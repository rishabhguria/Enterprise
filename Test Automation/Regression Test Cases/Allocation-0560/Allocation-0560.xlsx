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AddCalculatedPreferences" sheetId="5" r:id="rId7"/>
    <sheet name="SetAccountValueCalculatedPref" sheetId="6" r:id="rId8"/>
    <sheet name="SetDefaultRuleCalculatedPref" sheetId="7" r:id="rId9"/>
    <sheet name="LoginClient" sheetId="8" r:id="rId10"/>
    <sheet name="CreateDoneAwayOrder1" sheetId="9" r:id="rId11"/>
    <sheet name="SelectUnallocatedGroup" sheetId="10" r:id="rId12"/>
    <sheet name="EnterAllocatePreference" sheetId="11" r:id="rId13"/>
    <sheet name="CheckAllocatedTaxlots" sheetId="12" r:id="rId14"/>
  </sheets>
  <calcPr fullCalcOnLoad="1"/>
</workbook>
</file>

<file path=xl/sharedStrings.xml><?xml version="1.0" encoding="utf-8"?>
<sst xmlns="http://schemas.openxmlformats.org/spreadsheetml/2006/main" count="41" uniqueCount="41">
  <si>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</si>
  <si>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</si>
  <si>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</si>
  <si>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</si>
  <si>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</si>
  <si>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</si>
  <si>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</si>
  <si>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</si>
  <si>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</si>
  <si>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</si>
  <si>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</si>
  <si>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</si>
  <si>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</si>
  <si>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</si>
  <si>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</si>
  <si>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</si>
  <si>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</si>
  <si>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</si>
  <si>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</si>
  <si>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Allocation2</t>
  </si>
  <si>
    <t>Allocation3</t>
  </si>
  <si>
    <t>Allocation</t>
  </si>
  <si>
    <t>AddCalculatedPreferences</t>
  </si>
  <si>
    <t>test</t>
  </si>
  <si>
    <t>SetAccountValueCalculatedPref</t>
  </si>
  <si>
    <t>SetDefaultRuleCalculatedPref</t>
  </si>
  <si>
    <t>Trade Quantity</t>
  </si>
  <si>
    <t>Current Preference</t>
  </si>
  <si>
    <t>PranaClient</t>
  </si>
  <si>
    <t>LoginClient</t>
  </si>
  <si>
    <t>Support3</t>
  </si>
  <si>
    <t>Nirvana@1</t>
  </si>
  <si>
    <t>Sell</t>
  </si>
  <si>
    <t>Unallocated</t>
  </si>
  <si>
    <t>SelectUnallocatedGroup</t>
  </si>
  <si>
    <t>EnterAllocatePreference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</si>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</sst>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6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14" applyFont="1" fillId="0" applyFill="1" borderId="0" applyBorder="1" xfId="0"/>
    <xf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5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5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IFERROR(__xludf.DUMMYFUNCTION("""COMPUTED_VALUE"""),"EditPTTRecordAndExecuteOrder")</f>
        <v>EditPTTRecordAndExecuteOrder</v>
      </c>
      <c r="C418" s="0" t="str">
        <f>IFERROR(__xludf.DUMMYFUNCTION("""COMPUTED_VALUE"""),"1PSIJ72QdQ-ByplSZsPtKhZm3ADB7dR-xpWzGR4Bdl_4")</f>
        <v>1PSIJ72QdQ-ByplSZsPtKhZm3ADB7dR-xpWzGR4Bdl_4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>
      <c r="A654" s="0" t="str">
        <f>IFERROR(__xludf.DUMMYFUNCTION("""COMPUTED_VALUE"""),"Admin")</f>
        <v>Admin</v>
      </c>
      <c r="B654" s="0" t="str">
        <f>IFERROR(__xludf.DUMMYFUNCTION("""COMPUTED_VALUE"""),"SetRegularCompliancePermission")</f>
        <v>SetRegularCompliancePermission</v>
      </c>
      <c r="C654" s="0" t="str">
        <f>IFERROR(__xludf.DUMMYFUNCTION("""COMPUTED_VALUE"""),"1pGZ7u9bF4Lu1nJJRSpSz5TQn_FVJsrIH05yxOHHU4S4")</f>
        <v>1pGZ7u9bF4Lu1nJJRSpSz5TQn_FVJsrIH05yxOHHU4S4</v>
      </c>
    </row>
    <row r="655" ht="15.75" customHeight="1">
      <c r="A655" s="0" t="str">
        <f>IFERROR(__xludf.DUMMYFUNCTION("""COMPUTED_VALUE"""),"MultiTradingTicket")</f>
        <v>MultiTradingTicket</v>
      </c>
      <c r="B655" s="0" t="str">
        <f>IFERROR(__xludf.DUMMYFUNCTION("""COMPUTED_VALUE"""),"AddOrRemoveColumn")</f>
        <v>AddOrRemoveColumn</v>
      </c>
      <c r="C655" s="0" t="str">
        <f>IFERROR(__xludf.DUMMYFUNCTION("""COMPUTED_VALUE""")," ")</f>
      </c>
    </row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13" t="s">
        <v>18</v>
      </c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100</v>
      </c>
      <c r="E7" s="8"/>
      <c r="F7" s="13" t="s">
        <v>19</v>
      </c>
      <c r="G7" s="8"/>
      <c r="H7" s="8"/>
      <c r="I7" s="8"/>
      <c r="J7" s="13">
        <v>1</v>
      </c>
      <c r="K7" s="8"/>
      <c r="L7" s="8"/>
      <c r="M7" s="8"/>
      <c r="N7" s="8"/>
      <c r="O7" s="8"/>
    </row>
    <row r="8" ht="15.75" customHeight="1">
      <c r="A8" s="8"/>
      <c r="B8" s="13" t="s">
        <v>16</v>
      </c>
      <c r="C8" s="13" t="s">
        <v>17</v>
      </c>
      <c r="D8" s="13">
        <v>100</v>
      </c>
      <c r="E8" s="8"/>
      <c r="F8" s="13" t="s">
        <v>20</v>
      </c>
      <c r="G8" s="8"/>
      <c r="H8" s="8"/>
      <c r="I8" s="8"/>
      <c r="J8" s="13">
        <v>1</v>
      </c>
      <c r="K8" s="8"/>
      <c r="L8" s="8"/>
      <c r="M8" s="8"/>
      <c r="N8" s="8"/>
      <c r="O8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18</v>
      </c>
      <c r="D6" s="13">
        <v>100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 t="s">
        <v>27</v>
      </c>
      <c r="E6" s="31"/>
      <c r="F6" s="8"/>
      <c r="G6" s="13" t="b">
        <v>1</v>
      </c>
      <c r="H6" s="13" t="s">
        <v>23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31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32</v>
      </c>
      <c r="D6" s="13">
        <v>300</v>
      </c>
      <c r="E6" s="8"/>
      <c r="F6" s="13" t="s">
        <v>33</v>
      </c>
      <c r="G6" s="8"/>
      <c r="H6" s="8"/>
      <c r="I6" s="8"/>
      <c r="J6" s="13">
        <v>1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32</v>
      </c>
      <c r="D6" s="13">
        <v>300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32" t="s">
        <v>37</v>
      </c>
      <c r="G6" s="8"/>
      <c r="H6" s="32" t="s">
        <v>38</v>
      </c>
      <c r="I6" s="8"/>
      <c r="J6" s="8"/>
      <c r="K6" s="8"/>
      <c r="L6" s="8"/>
      <c r="M6" s="8"/>
      <c r="N6" s="8"/>
      <c r="O6" s="32" t="s">
        <v>18</v>
      </c>
      <c r="P6" s="32" t="s">
        <v>39</v>
      </c>
      <c r="Q6" s="33">
        <v>100</v>
      </c>
      <c r="R6" s="33">
        <v>100</v>
      </c>
      <c r="AF6" s="32" t="s">
        <v>40</v>
      </c>
    </row>
    <row r="7" ht="15.75" customHeight="1">
      <c r="A7" s="8"/>
      <c r="B7" s="8"/>
      <c r="C7" s="8"/>
      <c r="D7" s="8"/>
      <c r="E7" s="8"/>
      <c r="F7" s="32" t="s">
        <v>37</v>
      </c>
      <c r="G7" s="8"/>
      <c r="H7" s="32" t="s">
        <v>38</v>
      </c>
      <c r="I7" s="8"/>
      <c r="J7" s="8"/>
      <c r="K7" s="8"/>
      <c r="L7" s="8"/>
      <c r="M7" s="8"/>
      <c r="N7" s="8"/>
      <c r="O7" s="32" t="s">
        <v>19</v>
      </c>
      <c r="P7" s="32" t="s">
        <v>39</v>
      </c>
      <c r="Q7" s="33">
        <v>100</v>
      </c>
      <c r="R7" s="33">
        <v>100</v>
      </c>
      <c r="AF7" s="32" t="s">
        <v>40</v>
      </c>
    </row>
    <row r="8" ht="15.75" customHeight="1">
      <c r="A8" s="8"/>
      <c r="B8" s="8"/>
      <c r="C8" s="8"/>
      <c r="D8" s="8"/>
      <c r="E8" s="8"/>
      <c r="F8" s="34"/>
      <c r="G8" s="8"/>
      <c r="H8" s="34"/>
      <c r="I8" s="8"/>
      <c r="J8" s="8"/>
      <c r="K8" s="8"/>
      <c r="L8" s="8"/>
      <c r="M8" s="8"/>
      <c r="N8" s="8"/>
      <c r="O8" s="34"/>
      <c r="P8" s="34"/>
      <c r="Q8" s="34"/>
      <c r="R8" s="34"/>
      <c r="AF8" s="35"/>
    </row>
    <row r="9" ht="15.75" customHeight="1">
      <c r="A9" s="8"/>
      <c r="B9" s="8"/>
      <c r="C9" s="8"/>
      <c r="D9" s="8"/>
      <c r="E9" s="8"/>
      <c r="F9" s="32"/>
      <c r="G9" s="8"/>
      <c r="H9" s="32"/>
      <c r="I9" s="8"/>
      <c r="J9" s="8"/>
      <c r="K9" s="8"/>
      <c r="L9" s="8"/>
      <c r="M9" s="8"/>
      <c r="N9" s="8"/>
      <c r="O9" s="34"/>
      <c r="P9" s="34"/>
      <c r="Q9" s="34"/>
      <c r="R9" s="34"/>
    </row>
    <row r="10" ht="15.75" customHeight="1">
      <c r="A10" s="8"/>
      <c r="B10" s="8"/>
      <c r="C10" s="8"/>
      <c r="D10" s="8"/>
      <c r="E10" s="8"/>
      <c r="F10" s="32"/>
      <c r="G10" s="8"/>
      <c r="H10" s="32"/>
      <c r="I10" s="8"/>
      <c r="J10" s="8"/>
      <c r="K10" s="8"/>
      <c r="L10" s="8"/>
      <c r="M10" s="8"/>
      <c r="N10" s="8"/>
      <c r="O10" s="32"/>
      <c r="P10" s="34"/>
      <c r="Q10" s="34"/>
      <c r="R10" s="34"/>
    </row>
    <row r="11" ht="15.75" customHeight="1">
      <c r="A11" s="8"/>
      <c r="B11" s="8"/>
      <c r="C11" s="8"/>
      <c r="D11" s="8"/>
      <c r="E11" s="8"/>
      <c r="F11" s="32"/>
      <c r="G11" s="8"/>
      <c r="H11" s="32"/>
      <c r="I11" s="8"/>
      <c r="J11" s="8"/>
      <c r="K11" s="8"/>
      <c r="L11" s="8"/>
      <c r="M11" s="8"/>
      <c r="N11" s="8"/>
      <c r="O11" s="32"/>
      <c r="P11" s="32"/>
      <c r="Q11" s="33"/>
      <c r="R11" s="33"/>
    </row>
    <row r="12" ht="15.75" customHeight="1">
      <c r="A12" s="8"/>
      <c r="B12" s="8"/>
      <c r="C12" s="8"/>
      <c r="D12" s="8"/>
      <c r="E12" s="8"/>
      <c r="F12" s="35"/>
      <c r="G12" s="8"/>
      <c r="H12" s="35"/>
      <c r="I12" s="8"/>
      <c r="J12" s="8"/>
      <c r="K12" s="8"/>
      <c r="L12" s="8"/>
      <c r="M12" s="8"/>
      <c r="N12" s="8"/>
      <c r="O12" s="35"/>
      <c r="P12" s="35"/>
      <c r="Q12" s="35"/>
      <c r="R12" s="35"/>
    </row>
    <row r="13" ht="15.75" customHeight="1">
      <c r="A13" s="8"/>
      <c r="B13" s="8"/>
      <c r="C13" s="8"/>
      <c r="D13" s="8"/>
      <c r="E13" s="8"/>
      <c r="F13" s="35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35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