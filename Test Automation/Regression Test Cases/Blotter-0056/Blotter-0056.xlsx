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8" activeTab="20"/>
  </bookViews>
  <sheets>
    <sheet name="_Modules" sheetId="1" r:id="rId1"/>
    <sheet name="_Settings" sheetId="2" r:id="rId2"/>
    <sheet name="_MasterData" sheetId="3" r:id="rId3"/>
    <sheet name="CreateStageOrder" sheetId="4" r:id="rId4"/>
    <sheet name="CreateStageOrder1" sheetId="5" r:id="rId5"/>
    <sheet name="CreateDoneAwayOrder" sheetId="6" r:id="rId6"/>
    <sheet name="CreateDoneAwayOrder1" sheetId="7" r:id="rId7"/>
    <sheet name="VerifyOrder" sheetId="8" r:id="rId8"/>
    <sheet name="TradeNewSubOrder" sheetId="9" r:id="rId9"/>
    <sheet name="CreateNewSubOrder" sheetId="10" r:id="rId10"/>
    <sheet name="EditStageOrder" sheetId="11" r:id="rId11"/>
    <sheet name="CreateReplaceOrder" sheetId="12" r:id="rId12"/>
    <sheet name="SelectTradeOnOrderGrid" sheetId="13" r:id="rId13"/>
    <sheet name="CancelSubOrder" sheetId="14" r:id="rId14"/>
    <sheet name="SelectTradeOnOrderGrid1" sheetId="15" r:id="rId15"/>
    <sheet name="VerifySubOrder" sheetId="16" r:id="rId16"/>
    <sheet name="VerifyOrder1" sheetId="17" r:id="rId17"/>
    <sheet name="VerifyWorkingSubs" sheetId="18" r:id="rId18"/>
    <sheet name="GetDataAllocation" sheetId="19" r:id="rId19"/>
    <sheet name="CheckAllocatedGroups" sheetId="20" r:id="rId20"/>
    <sheet name="CheckPortfolioManagement" sheetId="21" r:id="rId21"/>
  </sheets>
  <calcPr calcId="145621"/>
</workbook>
</file>

<file path=xl/calcChain.xml><?xml version="1.0" encoding="utf-8"?>
<calcChain xmlns="http://schemas.openxmlformats.org/spreadsheetml/2006/main">
  <c r="J2" i="21" l="1"/>
  <c r="J2" i="20"/>
  <c r="J2" i="19"/>
  <c r="J2" i="18"/>
  <c r="J2" i="17"/>
  <c r="J2" i="16"/>
  <c r="J2" i="15"/>
  <c r="J2" i="14"/>
  <c r="J2" i="13"/>
  <c r="J2" i="12"/>
  <c r="J2" i="11"/>
  <c r="J2" i="10"/>
  <c r="J2" i="9"/>
  <c r="J2" i="8"/>
  <c r="J2" i="7"/>
  <c r="J2" i="6"/>
  <c r="J2" i="5"/>
  <c r="J2" i="4"/>
  <c r="BK5" i="21"/>
  <c r="FK5" i="21"/>
  <c r="FC5" i="21"/>
  <c r="EU5" i="21"/>
  <c r="EM5" i="21"/>
  <c r="EE5" i="21"/>
  <c r="DW5" i="21"/>
  <c r="DO5" i="21"/>
  <c r="DG5" i="21"/>
  <c r="CY5" i="21"/>
  <c r="CQ5" i="21"/>
  <c r="CI5" i="21"/>
  <c r="CA5" i="21"/>
  <c r="BS5" i="21"/>
  <c r="BC5" i="21"/>
  <c r="AU5" i="21"/>
  <c r="AM5" i="21"/>
  <c r="AE5" i="21"/>
  <c r="W5" i="21"/>
  <c r="O5" i="21"/>
  <c r="G5" i="21"/>
  <c r="FJ4" i="21"/>
  <c r="FB4" i="21"/>
  <c r="ET4" i="21"/>
  <c r="EL4" i="21"/>
  <c r="ED4" i="21"/>
  <c r="DV4" i="21"/>
  <c r="DN4" i="21"/>
  <c r="DF4" i="21"/>
  <c r="CX4" i="21"/>
  <c r="CP4" i="21"/>
  <c r="CH4" i="21"/>
  <c r="BZ4" i="21"/>
  <c r="BR4" i="21"/>
  <c r="BJ4" i="21"/>
  <c r="BB4" i="21"/>
  <c r="AT4" i="21"/>
  <c r="AL4" i="21"/>
  <c r="AD4" i="21"/>
  <c r="V4" i="21"/>
  <c r="N4" i="21"/>
  <c r="F4" i="21"/>
  <c r="EV5" i="20"/>
  <c r="EN5" i="20"/>
  <c r="EF5" i="20"/>
  <c r="DX5" i="20"/>
  <c r="DP5" i="20"/>
  <c r="DH5" i="20"/>
  <c r="CZ5" i="20"/>
  <c r="CR5" i="20"/>
  <c r="CJ5" i="20"/>
  <c r="CB5" i="20"/>
  <c r="BT5" i="20"/>
  <c r="BL5" i="20"/>
  <c r="BD5" i="20"/>
  <c r="AV5" i="20"/>
  <c r="AN5" i="20"/>
  <c r="AF5" i="20"/>
  <c r="X5" i="20"/>
  <c r="P5" i="20"/>
  <c r="H5" i="20"/>
  <c r="EX4" i="20"/>
  <c r="EP4" i="20"/>
  <c r="EH4" i="20"/>
  <c r="DZ4" i="20"/>
  <c r="DR4" i="20"/>
  <c r="DJ4" i="20"/>
  <c r="DB4" i="20"/>
  <c r="CT4" i="20"/>
  <c r="CL4" i="20"/>
  <c r="CD4" i="20"/>
  <c r="BV4" i="20"/>
  <c r="BN4" i="20"/>
  <c r="BF4" i="20"/>
  <c r="AX4" i="20"/>
  <c r="AP4" i="20"/>
  <c r="AH4" i="20"/>
  <c r="Z4" i="20"/>
  <c r="R4" i="20"/>
  <c r="J4" i="20"/>
  <c r="B4" i="20"/>
  <c r="ER5" i="19"/>
  <c r="EJ5" i="19"/>
  <c r="EB5" i="19"/>
  <c r="DT5" i="19"/>
  <c r="DL5" i="19"/>
  <c r="DD5" i="19"/>
  <c r="CV5" i="19"/>
  <c r="CN5" i="19"/>
  <c r="CF5" i="19"/>
  <c r="BX5" i="19"/>
  <c r="BP5" i="19"/>
  <c r="BH5" i="19"/>
  <c r="AZ5" i="19"/>
  <c r="AR5" i="19"/>
  <c r="AJ5" i="19"/>
  <c r="AB5" i="19"/>
  <c r="T5" i="19"/>
  <c r="L5" i="19"/>
  <c r="D5" i="19"/>
  <c r="ET4" i="19"/>
  <c r="EL4" i="19"/>
  <c r="ED4" i="19"/>
  <c r="DV4" i="19"/>
  <c r="DN4" i="19"/>
  <c r="DF4" i="19"/>
  <c r="CX4" i="19"/>
  <c r="CP4" i="19"/>
  <c r="CH4" i="19"/>
  <c r="BZ4" i="19"/>
  <c r="BR4" i="19"/>
  <c r="BJ4" i="19"/>
  <c r="BB4" i="19"/>
  <c r="AT4" i="19"/>
  <c r="AL4" i="19"/>
  <c r="AD4" i="19"/>
  <c r="V4" i="19"/>
  <c r="N4" i="19"/>
  <c r="F4" i="19"/>
  <c r="EV5" i="18"/>
  <c r="EN5" i="18"/>
  <c r="EF5" i="18"/>
  <c r="DX5" i="18"/>
  <c r="DP5" i="18"/>
  <c r="DH5" i="18"/>
  <c r="CZ5" i="18"/>
  <c r="CR5" i="18"/>
  <c r="FJ5" i="21"/>
  <c r="FB5" i="21"/>
  <c r="ET5" i="21"/>
  <c r="EL5" i="21"/>
  <c r="ED5" i="21"/>
  <c r="DV5" i="21"/>
  <c r="DN5" i="21"/>
  <c r="DF5" i="21"/>
  <c r="CX5" i="21"/>
  <c r="CP5" i="21"/>
  <c r="CH5" i="21"/>
  <c r="BZ5" i="21"/>
  <c r="BR5" i="21"/>
  <c r="BJ5" i="21"/>
  <c r="BB5" i="21"/>
  <c r="AT5" i="21"/>
  <c r="AL5" i="21"/>
  <c r="AD5" i="21"/>
  <c r="V5" i="21"/>
  <c r="N5" i="21"/>
  <c r="F5" i="21"/>
  <c r="FI4" i="21"/>
  <c r="FA4" i="21"/>
  <c r="ES4" i="21"/>
  <c r="EK4" i="21"/>
  <c r="EC4" i="21"/>
  <c r="DU4" i="21"/>
  <c r="DM4" i="21"/>
  <c r="DE4" i="21"/>
  <c r="CW4" i="21"/>
  <c r="CO4" i="21"/>
  <c r="CG4" i="21"/>
  <c r="BY4" i="21"/>
  <c r="BQ4" i="21"/>
  <c r="BI4" i="21"/>
  <c r="BA4" i="21"/>
  <c r="AS4" i="21"/>
  <c r="AK4" i="21"/>
  <c r="AC4" i="21"/>
  <c r="U4" i="21"/>
  <c r="M4" i="21"/>
  <c r="E4" i="21"/>
  <c r="EU5" i="20"/>
  <c r="EM5" i="20"/>
  <c r="EE5" i="20"/>
  <c r="DW5" i="20"/>
  <c r="DO5" i="20"/>
  <c r="DG5" i="20"/>
  <c r="CY5" i="20"/>
  <c r="CQ5" i="20"/>
  <c r="CI5" i="20"/>
  <c r="CA5" i="20"/>
  <c r="BS5" i="20"/>
  <c r="BK5" i="20"/>
  <c r="BC5" i="20"/>
  <c r="AU5" i="20"/>
  <c r="AM5" i="20"/>
  <c r="AE5" i="20"/>
  <c r="W5" i="20"/>
  <c r="O5" i="20"/>
  <c r="G5" i="20"/>
  <c r="EW4" i="20"/>
  <c r="EO4" i="20"/>
  <c r="EG4" i="20"/>
  <c r="DY4" i="20"/>
  <c r="DQ4" i="20"/>
  <c r="DI4" i="20"/>
  <c r="DA4" i="20"/>
  <c r="CS4" i="20"/>
  <c r="CK4" i="20"/>
  <c r="CC4" i="20"/>
  <c r="BU4" i="20"/>
  <c r="BM4" i="20"/>
  <c r="BE4" i="20"/>
  <c r="AW4" i="20"/>
  <c r="AO4" i="20"/>
  <c r="AG4" i="20"/>
  <c r="Y4" i="20"/>
  <c r="Q4" i="20"/>
  <c r="I4" i="20"/>
  <c r="FI5" i="21"/>
  <c r="FA5" i="21"/>
  <c r="ES5" i="21"/>
  <c r="EK5" i="21"/>
  <c r="EC5" i="21"/>
  <c r="DU5" i="21"/>
  <c r="DM5" i="21"/>
  <c r="DE5" i="21"/>
  <c r="CW5" i="21"/>
  <c r="CO5" i="21"/>
  <c r="CG5" i="21"/>
  <c r="BY5" i="21"/>
  <c r="BQ5" i="21"/>
  <c r="BI5" i="21"/>
  <c r="BA5" i="21"/>
  <c r="AS5" i="21"/>
  <c r="AK5" i="21"/>
  <c r="AC5" i="21"/>
  <c r="U5" i="21"/>
  <c r="M5" i="21"/>
  <c r="E5" i="21"/>
  <c r="FH4" i="21"/>
  <c r="EZ4" i="21"/>
  <c r="ER4" i="21"/>
  <c r="EJ4" i="21"/>
  <c r="EB4" i="21"/>
  <c r="DT4" i="21"/>
  <c r="DL4" i="21"/>
  <c r="DD4" i="21"/>
  <c r="CV4" i="21"/>
  <c r="CN4" i="21"/>
  <c r="CF4" i="21"/>
  <c r="BX4" i="21"/>
  <c r="BP4" i="21"/>
  <c r="BH4" i="21"/>
  <c r="AZ4" i="21"/>
  <c r="AR4" i="21"/>
  <c r="AJ4" i="21"/>
  <c r="AB4" i="21"/>
  <c r="T4" i="21"/>
  <c r="L4" i="21"/>
  <c r="D4" i="21"/>
  <c r="ET5" i="20"/>
  <c r="EL5" i="20"/>
  <c r="ED5" i="20"/>
  <c r="DV5" i="20"/>
  <c r="DN5" i="20"/>
  <c r="DF5" i="20"/>
  <c r="CX5" i="20"/>
  <c r="CP5" i="20"/>
  <c r="CH5" i="20"/>
  <c r="BZ5" i="20"/>
  <c r="BR5" i="20"/>
  <c r="BJ5" i="20"/>
  <c r="BB5" i="20"/>
  <c r="AT5" i="20"/>
  <c r="AL5" i="20"/>
  <c r="AD5" i="20"/>
  <c r="V5" i="20"/>
  <c r="N5" i="20"/>
  <c r="F5" i="20"/>
  <c r="EV4" i="20"/>
  <c r="EN4" i="20"/>
  <c r="EF4" i="20"/>
  <c r="DX4" i="20"/>
  <c r="DP4" i="20"/>
  <c r="DH4" i="20"/>
  <c r="CZ4" i="20"/>
  <c r="CR4" i="20"/>
  <c r="CJ4" i="20"/>
  <c r="CB4" i="20"/>
  <c r="BT4" i="20"/>
  <c r="BL4" i="20"/>
  <c r="BD4" i="20"/>
  <c r="AV4" i="20"/>
  <c r="AN4" i="20"/>
  <c r="AF4" i="20"/>
  <c r="X4" i="20"/>
  <c r="P4" i="20"/>
  <c r="H4" i="20"/>
  <c r="EX5" i="19"/>
  <c r="EP5" i="19"/>
  <c r="EH5" i="19"/>
  <c r="DZ5" i="19"/>
  <c r="DR5" i="19"/>
  <c r="DJ5" i="19"/>
  <c r="DB5" i="19"/>
  <c r="CT5" i="19"/>
  <c r="CL5" i="19"/>
  <c r="CD5" i="19"/>
  <c r="BV5" i="19"/>
  <c r="BN5" i="19"/>
  <c r="BF5" i="19"/>
  <c r="AX5" i="19"/>
  <c r="AP5" i="19"/>
  <c r="AH5" i="19"/>
  <c r="Z5" i="19"/>
  <c r="R5" i="19"/>
  <c r="J5" i="19"/>
  <c r="B5" i="19"/>
  <c r="ER4" i="19"/>
  <c r="EJ4" i="19"/>
  <c r="EB4" i="19"/>
  <c r="DT4" i="19"/>
  <c r="DL4" i="19"/>
  <c r="DD4" i="19"/>
  <c r="CV4" i="19"/>
  <c r="FH5" i="21"/>
  <c r="EZ5" i="21"/>
  <c r="ER5" i="21"/>
  <c r="EJ5" i="21"/>
  <c r="EB5" i="21"/>
  <c r="DT5" i="21"/>
  <c r="DL5" i="21"/>
  <c r="DD5" i="21"/>
  <c r="CV5" i="21"/>
  <c r="CN5" i="21"/>
  <c r="CF5" i="21"/>
  <c r="BX5" i="21"/>
  <c r="BP5" i="21"/>
  <c r="BH5" i="21"/>
  <c r="AZ5" i="21"/>
  <c r="AR5" i="21"/>
  <c r="AJ5" i="21"/>
  <c r="AB5" i="21"/>
  <c r="T5" i="21"/>
  <c r="L5" i="21"/>
  <c r="D5" i="21"/>
  <c r="FG4" i="21"/>
  <c r="EY4" i="21"/>
  <c r="EQ4" i="21"/>
  <c r="EI4" i="21"/>
  <c r="EA4" i="21"/>
  <c r="DS4" i="21"/>
  <c r="DK4" i="21"/>
  <c r="DC4" i="21"/>
  <c r="CU4" i="21"/>
  <c r="CM4" i="21"/>
  <c r="CE4" i="21"/>
  <c r="BW4" i="21"/>
  <c r="BO4" i="21"/>
  <c r="BG4" i="21"/>
  <c r="AY4" i="21"/>
  <c r="AQ4" i="21"/>
  <c r="AI4" i="21"/>
  <c r="AA4" i="21"/>
  <c r="S4" i="21"/>
  <c r="K4" i="21"/>
  <c r="C4" i="21"/>
  <c r="ES5" i="20"/>
  <c r="EK5" i="20"/>
  <c r="EC5" i="20"/>
  <c r="DU5" i="20"/>
  <c r="DM5" i="20"/>
  <c r="DE5" i="20"/>
  <c r="CW5" i="20"/>
  <c r="CO5" i="20"/>
  <c r="CG5" i="20"/>
  <c r="BY5" i="20"/>
  <c r="BQ5" i="20"/>
  <c r="BI5" i="20"/>
  <c r="BA5" i="20"/>
  <c r="AS5" i="20"/>
  <c r="AK5" i="20"/>
  <c r="AC5" i="20"/>
  <c r="U5" i="20"/>
  <c r="M5" i="20"/>
  <c r="E5" i="20"/>
  <c r="EU4" i="20"/>
  <c r="EM4" i="20"/>
  <c r="EE4" i="20"/>
  <c r="DW4" i="20"/>
  <c r="DO4" i="20"/>
  <c r="DG4" i="20"/>
  <c r="CY4" i="20"/>
  <c r="CQ4" i="20"/>
  <c r="CI4" i="20"/>
  <c r="CA4" i="20"/>
  <c r="BS4" i="20"/>
  <c r="BK4" i="20"/>
  <c r="FG5" i="21"/>
  <c r="EY5" i="21"/>
  <c r="EQ5" i="21"/>
  <c r="EI5" i="21"/>
  <c r="EA5" i="21"/>
  <c r="DS5" i="21"/>
  <c r="DK5" i="21"/>
  <c r="DC5" i="21"/>
  <c r="CU5" i="21"/>
  <c r="CM5" i="21"/>
  <c r="CE5" i="21"/>
  <c r="BW5" i="21"/>
  <c r="BO5" i="21"/>
  <c r="BG5" i="21"/>
  <c r="AY5" i="21"/>
  <c r="AQ5" i="21"/>
  <c r="AI5" i="21"/>
  <c r="AA5" i="21"/>
  <c r="S5" i="21"/>
  <c r="K5" i="21"/>
  <c r="C5" i="21"/>
  <c r="FF4" i="21"/>
  <c r="EX4" i="21"/>
  <c r="EP4" i="21"/>
  <c r="EH4" i="21"/>
  <c r="DZ4" i="21"/>
  <c r="DR4" i="21"/>
  <c r="DJ4" i="21"/>
  <c r="DB4" i="21"/>
  <c r="CT4" i="21"/>
  <c r="CL4" i="21"/>
  <c r="CD4" i="21"/>
  <c r="BV4" i="21"/>
  <c r="BN4" i="21"/>
  <c r="BF4" i="21"/>
  <c r="AX4" i="21"/>
  <c r="AP4" i="21"/>
  <c r="AH4" i="21"/>
  <c r="Z4" i="21"/>
  <c r="R4" i="21"/>
  <c r="J4" i="21"/>
  <c r="B4" i="21"/>
  <c r="ER5" i="20"/>
  <c r="EJ5" i="20"/>
  <c r="EB5" i="20"/>
  <c r="DT5" i="20"/>
  <c r="DL5" i="20"/>
  <c r="DD5" i="20"/>
  <c r="CV5" i="20"/>
  <c r="CN5" i="20"/>
  <c r="CF5" i="20"/>
  <c r="BX5" i="20"/>
  <c r="BP5" i="20"/>
  <c r="BH5" i="20"/>
  <c r="AZ5" i="20"/>
  <c r="AR5" i="20"/>
  <c r="AJ5" i="20"/>
  <c r="AB5" i="20"/>
  <c r="T5" i="20"/>
  <c r="L5" i="20"/>
  <c r="D5" i="20"/>
  <c r="ET4" i="20"/>
  <c r="EL4" i="20"/>
  <c r="ED4" i="20"/>
  <c r="DV4" i="20"/>
  <c r="DN4" i="20"/>
  <c r="DF4" i="20"/>
  <c r="CX4" i="20"/>
  <c r="CP4" i="20"/>
  <c r="CH4" i="20"/>
  <c r="BZ4" i="20"/>
  <c r="BR4" i="20"/>
  <c r="BJ4" i="20"/>
  <c r="BB4" i="20"/>
  <c r="AT4" i="20"/>
  <c r="AL4" i="20"/>
  <c r="AD4" i="20"/>
  <c r="V4" i="20"/>
  <c r="N4" i="20"/>
  <c r="F4" i="20"/>
  <c r="EV5" i="19"/>
  <c r="EN5" i="19"/>
  <c r="EF5" i="19"/>
  <c r="DX5" i="19"/>
  <c r="DP5" i="19"/>
  <c r="DH5" i="19"/>
  <c r="FF5" i="21"/>
  <c r="EX5" i="21"/>
  <c r="EP5" i="21"/>
  <c r="EH5" i="21"/>
  <c r="DZ5" i="21"/>
  <c r="DR5" i="21"/>
  <c r="DJ5" i="21"/>
  <c r="DB5" i="21"/>
  <c r="CT5" i="21"/>
  <c r="CL5" i="21"/>
  <c r="CD5" i="21"/>
  <c r="BV5" i="21"/>
  <c r="BN5" i="21"/>
  <c r="BF5" i="21"/>
  <c r="AX5" i="21"/>
  <c r="AP5" i="21"/>
  <c r="AH5" i="21"/>
  <c r="Z5" i="21"/>
  <c r="R5" i="21"/>
  <c r="J5" i="21"/>
  <c r="B5" i="21"/>
  <c r="FE4" i="21"/>
  <c r="EW4" i="21"/>
  <c r="EO4" i="21"/>
  <c r="EG4" i="21"/>
  <c r="DY4" i="21"/>
  <c r="DQ4" i="21"/>
  <c r="DI4" i="21"/>
  <c r="DA4" i="21"/>
  <c r="CS4" i="21"/>
  <c r="CK4" i="21"/>
  <c r="CC4" i="21"/>
  <c r="BU4" i="21"/>
  <c r="BM4" i="21"/>
  <c r="BE4" i="21"/>
  <c r="AW4" i="21"/>
  <c r="AO4" i="21"/>
  <c r="AG4" i="21"/>
  <c r="Y4" i="21"/>
  <c r="Q4" i="21"/>
  <c r="I4" i="21"/>
  <c r="FE5" i="21"/>
  <c r="EW5" i="21"/>
  <c r="EO5" i="21"/>
  <c r="EG5" i="21"/>
  <c r="DY5" i="21"/>
  <c r="DQ5" i="21"/>
  <c r="DI5" i="21"/>
  <c r="DA5" i="21"/>
  <c r="CS5" i="21"/>
  <c r="CK5" i="21"/>
  <c r="CC5" i="21"/>
  <c r="BU5" i="21"/>
  <c r="BM5" i="21"/>
  <c r="BE5" i="21"/>
  <c r="AW5" i="21"/>
  <c r="AO5" i="21"/>
  <c r="AG5" i="21"/>
  <c r="Y5" i="21"/>
  <c r="Q5" i="21"/>
  <c r="I5" i="21"/>
  <c r="A5" i="21"/>
  <c r="FD4" i="21"/>
  <c r="EV4" i="21"/>
  <c r="EN4" i="21"/>
  <c r="EF4" i="21"/>
  <c r="DX4" i="21"/>
  <c r="DP4" i="21"/>
  <c r="DH4" i="21"/>
  <c r="CZ4" i="21"/>
  <c r="CR4" i="21"/>
  <c r="CJ4" i="21"/>
  <c r="CB4" i="21"/>
  <c r="BT4" i="21"/>
  <c r="BL4" i="21"/>
  <c r="BD4" i="21"/>
  <c r="AV4" i="21"/>
  <c r="AN4" i="21"/>
  <c r="AF4" i="21"/>
  <c r="X4" i="21"/>
  <c r="P4" i="21"/>
  <c r="H4" i="21"/>
  <c r="EX5" i="20"/>
  <c r="EP5" i="20"/>
  <c r="EH5" i="20"/>
  <c r="DZ5" i="20"/>
  <c r="DR5" i="20"/>
  <c r="DJ5" i="20"/>
  <c r="DB5" i="20"/>
  <c r="CT5" i="20"/>
  <c r="CL5" i="20"/>
  <c r="CD5" i="20"/>
  <c r="BV5" i="20"/>
  <c r="BN5" i="20"/>
  <c r="BF5" i="20"/>
  <c r="AX5" i="20"/>
  <c r="AP5" i="20"/>
  <c r="AH5" i="20"/>
  <c r="Z5" i="20"/>
  <c r="R5" i="20"/>
  <c r="J5" i="20"/>
  <c r="B5" i="20"/>
  <c r="ER4" i="20"/>
  <c r="EJ4" i="20"/>
  <c r="EB4" i="20"/>
  <c r="DT4" i="20"/>
  <c r="DL4" i="20"/>
  <c r="DD4" i="20"/>
  <c r="CV4" i="20"/>
  <c r="CN4" i="20"/>
  <c r="CF4" i="20"/>
  <c r="BX4" i="20"/>
  <c r="BP4" i="20"/>
  <c r="BH4" i="20"/>
  <c r="AZ4" i="20"/>
  <c r="AR4" i="20"/>
  <c r="AJ4" i="20"/>
  <c r="AB4" i="20"/>
  <c r="T4" i="20"/>
  <c r="L4" i="20"/>
  <c r="D4" i="20"/>
  <c r="ET5" i="19"/>
  <c r="EL5" i="19"/>
  <c r="ED5" i="19"/>
  <c r="DV5" i="19"/>
  <c r="FD5" i="21"/>
  <c r="EV5" i="21"/>
  <c r="EN5" i="21"/>
  <c r="EF5" i="21"/>
  <c r="DX5" i="21"/>
  <c r="DP5" i="21"/>
  <c r="DH5" i="21"/>
  <c r="CZ5" i="21"/>
  <c r="CR5" i="21"/>
  <c r="CJ5" i="21"/>
  <c r="CB5" i="21"/>
  <c r="BT5" i="21"/>
  <c r="BL5" i="21"/>
  <c r="BD5" i="21"/>
  <c r="AV5" i="21"/>
  <c r="AN5" i="21"/>
  <c r="AF5" i="21"/>
  <c r="X5" i="21"/>
  <c r="P5" i="21"/>
  <c r="H5" i="21"/>
  <c r="FK4" i="21"/>
  <c r="FC4" i="21"/>
  <c r="EU4" i="21"/>
  <c r="EM4" i="21"/>
  <c r="EE4" i="21"/>
  <c r="DW4" i="21"/>
  <c r="DO4" i="21"/>
  <c r="DG4" i="21"/>
  <c r="CY4" i="21"/>
  <c r="CQ4" i="21"/>
  <c r="CI4" i="21"/>
  <c r="CA4" i="21"/>
  <c r="BS4" i="21"/>
  <c r="BK4" i="21"/>
  <c r="BC4" i="21"/>
  <c r="AU4" i="21"/>
  <c r="AM4" i="21"/>
  <c r="AE4" i="21"/>
  <c r="W4" i="21"/>
  <c r="O4" i="21"/>
  <c r="G4" i="21"/>
  <c r="EW5" i="20"/>
  <c r="EO5" i="20"/>
  <c r="EG5" i="20"/>
  <c r="DY5" i="20"/>
  <c r="DQ5" i="20"/>
  <c r="DI5" i="20"/>
  <c r="DA5" i="20"/>
  <c r="CS5" i="20"/>
  <c r="CK5" i="20"/>
  <c r="CC5" i="20"/>
  <c r="BU5" i="20"/>
  <c r="BM5" i="20"/>
  <c r="BE5" i="20"/>
  <c r="AW5" i="20"/>
  <c r="AO5" i="20"/>
  <c r="AG5" i="20"/>
  <c r="Y5" i="20"/>
  <c r="Q5" i="20"/>
  <c r="I5" i="20"/>
  <c r="A5" i="20"/>
  <c r="EQ4" i="20"/>
  <c r="EI4" i="20"/>
  <c r="EA4" i="20"/>
  <c r="DS4" i="20"/>
  <c r="DK4" i="20"/>
  <c r="DC4" i="20"/>
  <c r="CU4" i="20"/>
  <c r="CM4" i="20"/>
  <c r="CE4" i="20"/>
  <c r="BW4" i="20"/>
  <c r="BO4" i="20"/>
  <c r="BG4" i="20"/>
  <c r="AY4" i="20"/>
  <c r="AQ4" i="20"/>
  <c r="AI4" i="20"/>
  <c r="AA4" i="20"/>
  <c r="S4" i="20"/>
  <c r="K4" i="20"/>
  <c r="C4" i="20"/>
  <c r="ES5" i="19"/>
  <c r="EQ5" i="20"/>
  <c r="CE5" i="20"/>
  <c r="S5" i="20"/>
  <c r="DE4" i="20"/>
  <c r="BA4" i="20"/>
  <c r="U4" i="20"/>
  <c r="EQ5" i="19"/>
  <c r="EA5" i="19"/>
  <c r="DM5" i="19"/>
  <c r="CZ5" i="19"/>
  <c r="CP5" i="19"/>
  <c r="CE5" i="19"/>
  <c r="BT5" i="19"/>
  <c r="BJ5" i="19"/>
  <c r="AY5" i="19"/>
  <c r="AN5" i="19"/>
  <c r="AD5" i="19"/>
  <c r="S5" i="19"/>
  <c r="H5" i="19"/>
  <c r="EV4" i="19"/>
  <c r="EK4" i="19"/>
  <c r="DZ4" i="19"/>
  <c r="DP4" i="19"/>
  <c r="DE4" i="19"/>
  <c r="CT4" i="19"/>
  <c r="CK4" i="19"/>
  <c r="CB4" i="19"/>
  <c r="BS4" i="19"/>
  <c r="BI4" i="19"/>
  <c r="AZ4" i="19"/>
  <c r="AQ4" i="19"/>
  <c r="AH4" i="19"/>
  <c r="Y4" i="19"/>
  <c r="P4" i="19"/>
  <c r="G4" i="19"/>
  <c r="EU5" i="18"/>
  <c r="EL5" i="18"/>
  <c r="EC5" i="18"/>
  <c r="DT5" i="18"/>
  <c r="DK5" i="18"/>
  <c r="DB5" i="18"/>
  <c r="CS5" i="18"/>
  <c r="CJ5" i="18"/>
  <c r="CB5" i="18"/>
  <c r="BT5" i="18"/>
  <c r="BL5" i="18"/>
  <c r="BD5" i="18"/>
  <c r="AV5" i="18"/>
  <c r="AN5" i="18"/>
  <c r="AF5" i="18"/>
  <c r="X5" i="18"/>
  <c r="P5" i="18"/>
  <c r="H5" i="18"/>
  <c r="EX4" i="18"/>
  <c r="EP4" i="18"/>
  <c r="EH4" i="18"/>
  <c r="DZ4" i="18"/>
  <c r="DR4" i="18"/>
  <c r="DJ4" i="18"/>
  <c r="DB4" i="18"/>
  <c r="CT4" i="18"/>
  <c r="CL4" i="18"/>
  <c r="CD4" i="18"/>
  <c r="BV4" i="18"/>
  <c r="BN4" i="18"/>
  <c r="BF4" i="18"/>
  <c r="AX4" i="18"/>
  <c r="AP4" i="18"/>
  <c r="AH4" i="18"/>
  <c r="Z4" i="18"/>
  <c r="R4" i="18"/>
  <c r="J4" i="18"/>
  <c r="B4" i="18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L5" i="17"/>
  <c r="D5" i="17"/>
  <c r="ET4" i="17"/>
  <c r="EL4" i="17"/>
  <c r="ED4" i="17"/>
  <c r="DV4" i="17"/>
  <c r="DN4" i="17"/>
  <c r="DF4" i="17"/>
  <c r="CX4" i="17"/>
  <c r="CP4" i="17"/>
  <c r="CH4" i="17"/>
  <c r="BZ4" i="17"/>
  <c r="BR4" i="17"/>
  <c r="BJ4" i="17"/>
  <c r="BB4" i="17"/>
  <c r="AT4" i="17"/>
  <c r="AL4" i="17"/>
  <c r="AD4" i="17"/>
  <c r="V4" i="17"/>
  <c r="N4" i="17"/>
  <c r="F4" i="17"/>
  <c r="EV5" i="16"/>
  <c r="EN5" i="16"/>
  <c r="EF5" i="16"/>
  <c r="DX5" i="16"/>
  <c r="DP5" i="16"/>
  <c r="DH5" i="16"/>
  <c r="CZ5" i="16"/>
  <c r="CR5" i="16"/>
  <c r="CJ5" i="16"/>
  <c r="CB5" i="16"/>
  <c r="BT5" i="16"/>
  <c r="BL5" i="16"/>
  <c r="BD5" i="16"/>
  <c r="AV5" i="16"/>
  <c r="AN5" i="16"/>
  <c r="AF5" i="16"/>
  <c r="EI5" i="20"/>
  <c r="BW5" i="20"/>
  <c r="K5" i="20"/>
  <c r="CW4" i="20"/>
  <c r="AU4" i="20"/>
  <c r="O4" i="20"/>
  <c r="EO5" i="19"/>
  <c r="DY5" i="19"/>
  <c r="DK5" i="19"/>
  <c r="CY5" i="19"/>
  <c r="CO5" i="19"/>
  <c r="CC5" i="19"/>
  <c r="BS5" i="19"/>
  <c r="BI5" i="19"/>
  <c r="AW5" i="19"/>
  <c r="AM5" i="19"/>
  <c r="AC5" i="19"/>
  <c r="Q5" i="19"/>
  <c r="G5" i="19"/>
  <c r="EU4" i="19"/>
  <c r="EI4" i="19"/>
  <c r="DY4" i="19"/>
  <c r="DO4" i="19"/>
  <c r="DC4" i="19"/>
  <c r="CS4" i="19"/>
  <c r="CJ4" i="19"/>
  <c r="CA4" i="19"/>
  <c r="BQ4" i="19"/>
  <c r="BH4" i="19"/>
  <c r="AY4" i="19"/>
  <c r="AP4" i="19"/>
  <c r="AG4" i="19"/>
  <c r="X4" i="19"/>
  <c r="O4" i="19"/>
  <c r="E4" i="19"/>
  <c r="ET5" i="18"/>
  <c r="EK5" i="18"/>
  <c r="EB5" i="18"/>
  <c r="DS5" i="18"/>
  <c r="DJ5" i="18"/>
  <c r="DA5" i="18"/>
  <c r="CQ5" i="18"/>
  <c r="CI5" i="18"/>
  <c r="CA5" i="18"/>
  <c r="BS5" i="18"/>
  <c r="BK5" i="18"/>
  <c r="BC5" i="18"/>
  <c r="AU5" i="18"/>
  <c r="AM5" i="18"/>
  <c r="AE5" i="18"/>
  <c r="W5" i="18"/>
  <c r="O5" i="18"/>
  <c r="G5" i="18"/>
  <c r="EW4" i="18"/>
  <c r="EO4" i="18"/>
  <c r="EG4" i="18"/>
  <c r="DY4" i="18"/>
  <c r="DQ4" i="18"/>
  <c r="DI4" i="18"/>
  <c r="DA4" i="18"/>
  <c r="CS4" i="18"/>
  <c r="CK4" i="18"/>
  <c r="CC4" i="18"/>
  <c r="BU4" i="18"/>
  <c r="BM4" i="18"/>
  <c r="BE4" i="18"/>
  <c r="AW4" i="18"/>
  <c r="AO4" i="18"/>
  <c r="AG4" i="18"/>
  <c r="Y4" i="18"/>
  <c r="Q4" i="18"/>
  <c r="I4" i="18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S5" i="17"/>
  <c r="K5" i="17"/>
  <c r="C5" i="17"/>
  <c r="ES4" i="17"/>
  <c r="EK4" i="17"/>
  <c r="EC4" i="17"/>
  <c r="DU4" i="17"/>
  <c r="DM4" i="17"/>
  <c r="DE4" i="17"/>
  <c r="CW4" i="17"/>
  <c r="CO4" i="17"/>
  <c r="CG4" i="17"/>
  <c r="BY4" i="17"/>
  <c r="BQ4" i="17"/>
  <c r="BI4" i="17"/>
  <c r="BA4" i="17"/>
  <c r="AS4" i="17"/>
  <c r="AK4" i="17"/>
  <c r="AC4" i="17"/>
  <c r="U4" i="17"/>
  <c r="M4" i="17"/>
  <c r="E4" i="17"/>
  <c r="EU5" i="16"/>
  <c r="EM5" i="16"/>
  <c r="EE5" i="16"/>
  <c r="DW5" i="16"/>
  <c r="DO5" i="16"/>
  <c r="DG5" i="16"/>
  <c r="CY5" i="16"/>
  <c r="CQ5" i="16"/>
  <c r="CI5" i="16"/>
  <c r="CA5" i="16"/>
  <c r="BS5" i="16"/>
  <c r="BK5" i="16"/>
  <c r="BC5" i="16"/>
  <c r="AU5" i="16"/>
  <c r="AM5" i="16"/>
  <c r="AE5" i="16"/>
  <c r="EA5" i="20"/>
  <c r="BO5" i="20"/>
  <c r="C5" i="20"/>
  <c r="CO4" i="20"/>
  <c r="AS4" i="20"/>
  <c r="M4" i="20"/>
  <c r="EM5" i="19"/>
  <c r="DW5" i="19"/>
  <c r="DI5" i="19"/>
  <c r="CX5" i="19"/>
  <c r="CM5" i="19"/>
  <c r="CB5" i="19"/>
  <c r="BR5" i="19"/>
  <c r="BG5" i="19"/>
  <c r="AV5" i="19"/>
  <c r="AL5" i="19"/>
  <c r="AA5" i="19"/>
  <c r="P5" i="19"/>
  <c r="F5" i="19"/>
  <c r="ES4" i="19"/>
  <c r="EH4" i="19"/>
  <c r="DX4" i="19"/>
  <c r="DM4" i="19"/>
  <c r="DB4" i="19"/>
  <c r="CR4" i="19"/>
  <c r="CI4" i="19"/>
  <c r="BY4" i="19"/>
  <c r="BP4" i="19"/>
  <c r="BG4" i="19"/>
  <c r="AX4" i="19"/>
  <c r="AO4" i="19"/>
  <c r="AF4" i="19"/>
  <c r="W4" i="19"/>
  <c r="M4" i="19"/>
  <c r="D4" i="19"/>
  <c r="ES5" i="18"/>
  <c r="EJ5" i="18"/>
  <c r="EA5" i="18"/>
  <c r="DR5" i="18"/>
  <c r="DI5" i="18"/>
  <c r="CY5" i="18"/>
  <c r="CP5" i="18"/>
  <c r="CH5" i="18"/>
  <c r="BZ5" i="18"/>
  <c r="BR5" i="18"/>
  <c r="BJ5" i="18"/>
  <c r="BB5" i="18"/>
  <c r="AT5" i="18"/>
  <c r="AL5" i="18"/>
  <c r="AD5" i="18"/>
  <c r="V5" i="18"/>
  <c r="N5" i="18"/>
  <c r="F5" i="18"/>
  <c r="EV4" i="18"/>
  <c r="EN4" i="18"/>
  <c r="EF4" i="18"/>
  <c r="DX4" i="18"/>
  <c r="DP4" i="18"/>
  <c r="DH4" i="18"/>
  <c r="CZ4" i="18"/>
  <c r="CR4" i="18"/>
  <c r="CJ4" i="18"/>
  <c r="CB4" i="18"/>
  <c r="BT4" i="18"/>
  <c r="BL4" i="18"/>
  <c r="BD4" i="18"/>
  <c r="AV4" i="18"/>
  <c r="AN4" i="18"/>
  <c r="AF4" i="18"/>
  <c r="X4" i="18"/>
  <c r="P4" i="18"/>
  <c r="H4" i="18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B5" i="17"/>
  <c r="ER4" i="17"/>
  <c r="EJ4" i="17"/>
  <c r="EB4" i="17"/>
  <c r="DT4" i="17"/>
  <c r="DL4" i="17"/>
  <c r="DD4" i="17"/>
  <c r="CV4" i="17"/>
  <c r="CN4" i="17"/>
  <c r="CF4" i="17"/>
  <c r="BX4" i="17"/>
  <c r="BP4" i="17"/>
  <c r="BH4" i="17"/>
  <c r="AZ4" i="17"/>
  <c r="AR4" i="17"/>
  <c r="AJ4" i="17"/>
  <c r="AB4" i="17"/>
  <c r="T4" i="17"/>
  <c r="L4" i="17"/>
  <c r="D4" i="17"/>
  <c r="ET5" i="16"/>
  <c r="EL5" i="16"/>
  <c r="ED5" i="16"/>
  <c r="DV5" i="16"/>
  <c r="DN5" i="16"/>
  <c r="DF5" i="16"/>
  <c r="CX5" i="16"/>
  <c r="CP5" i="16"/>
  <c r="CH5" i="16"/>
  <c r="BZ5" i="16"/>
  <c r="BR5" i="16"/>
  <c r="BJ5" i="16"/>
  <c r="BB5" i="16"/>
  <c r="AT5" i="16"/>
  <c r="AL5" i="16"/>
  <c r="AD5" i="16"/>
  <c r="DS5" i="20"/>
  <c r="BG5" i="20"/>
  <c r="ES4" i="20"/>
  <c r="CG4" i="20"/>
  <c r="AM4" i="20"/>
  <c r="G4" i="20"/>
  <c r="EK5" i="19"/>
  <c r="DU5" i="19"/>
  <c r="DG5" i="19"/>
  <c r="CW5" i="19"/>
  <c r="CK5" i="19"/>
  <c r="CA5" i="19"/>
  <c r="BQ5" i="19"/>
  <c r="BE5" i="19"/>
  <c r="AU5" i="19"/>
  <c r="AK5" i="19"/>
  <c r="Y5" i="19"/>
  <c r="O5" i="19"/>
  <c r="E5" i="19"/>
  <c r="EQ4" i="19"/>
  <c r="EG4" i="19"/>
  <c r="DW4" i="19"/>
  <c r="DK4" i="19"/>
  <c r="DA4" i="19"/>
  <c r="CQ4" i="19"/>
  <c r="CG4" i="19"/>
  <c r="BX4" i="19"/>
  <c r="BO4" i="19"/>
  <c r="BF4" i="19"/>
  <c r="AW4" i="19"/>
  <c r="AN4" i="19"/>
  <c r="AE4" i="19"/>
  <c r="U4" i="19"/>
  <c r="L4" i="19"/>
  <c r="C4" i="19"/>
  <c r="ER5" i="18"/>
  <c r="EI5" i="18"/>
  <c r="DZ5" i="18"/>
  <c r="DQ5" i="18"/>
  <c r="DG5" i="18"/>
  <c r="CX5" i="18"/>
  <c r="CO5" i="18"/>
  <c r="CG5" i="18"/>
  <c r="BY5" i="18"/>
  <c r="BQ5" i="18"/>
  <c r="BI5" i="18"/>
  <c r="BA5" i="18"/>
  <c r="AS5" i="18"/>
  <c r="AK5" i="18"/>
  <c r="AC5" i="18"/>
  <c r="U5" i="18"/>
  <c r="M5" i="18"/>
  <c r="E5" i="18"/>
  <c r="EU4" i="18"/>
  <c r="EM4" i="18"/>
  <c r="EE4" i="18"/>
  <c r="DW4" i="18"/>
  <c r="DO4" i="18"/>
  <c r="DG4" i="18"/>
  <c r="CY4" i="18"/>
  <c r="CQ4" i="18"/>
  <c r="CI4" i="18"/>
  <c r="CA4" i="18"/>
  <c r="BS4" i="18"/>
  <c r="BK4" i="18"/>
  <c r="BC4" i="18"/>
  <c r="AU4" i="18"/>
  <c r="AM4" i="18"/>
  <c r="AE4" i="18"/>
  <c r="W4" i="18"/>
  <c r="O4" i="18"/>
  <c r="G4" i="18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EQ4" i="17"/>
  <c r="EI4" i="17"/>
  <c r="EA4" i="17"/>
  <c r="DS4" i="17"/>
  <c r="DK4" i="17"/>
  <c r="DC4" i="17"/>
  <c r="CU4" i="17"/>
  <c r="CM4" i="17"/>
  <c r="CE4" i="17"/>
  <c r="BW4" i="17"/>
  <c r="BO4" i="17"/>
  <c r="BG4" i="17"/>
  <c r="AY4" i="17"/>
  <c r="AQ4" i="17"/>
  <c r="AI4" i="17"/>
  <c r="AA4" i="17"/>
  <c r="S4" i="17"/>
  <c r="K4" i="17"/>
  <c r="C4" i="17"/>
  <c r="ES5" i="16"/>
  <c r="EK5" i="16"/>
  <c r="EC5" i="16"/>
  <c r="DU5" i="16"/>
  <c r="DM5" i="16"/>
  <c r="DE5" i="16"/>
  <c r="CW5" i="16"/>
  <c r="CO5" i="16"/>
  <c r="CG5" i="16"/>
  <c r="BY5" i="16"/>
  <c r="BQ5" i="16"/>
  <c r="BI5" i="16"/>
  <c r="BA5" i="16"/>
  <c r="AS5" i="16"/>
  <c r="AK5" i="16"/>
  <c r="AC5" i="16"/>
  <c r="DK5" i="20"/>
  <c r="AY5" i="20"/>
  <c r="EK4" i="20"/>
  <c r="BY4" i="20"/>
  <c r="AK4" i="20"/>
  <c r="E4" i="20"/>
  <c r="EI5" i="19"/>
  <c r="DS5" i="19"/>
  <c r="DF5" i="19"/>
  <c r="CU5" i="19"/>
  <c r="CJ5" i="19"/>
  <c r="BZ5" i="19"/>
  <c r="BO5" i="19"/>
  <c r="BD5" i="19"/>
  <c r="AT5" i="19"/>
  <c r="AI5" i="19"/>
  <c r="X5" i="19"/>
  <c r="N5" i="19"/>
  <c r="C5" i="19"/>
  <c r="EP4" i="19"/>
  <c r="EF4" i="19"/>
  <c r="DU4" i="19"/>
  <c r="DJ4" i="19"/>
  <c r="CZ4" i="19"/>
  <c r="CO4" i="19"/>
  <c r="CF4" i="19"/>
  <c r="BW4" i="19"/>
  <c r="BN4" i="19"/>
  <c r="BE4" i="19"/>
  <c r="AV4" i="19"/>
  <c r="AM4" i="19"/>
  <c r="AC4" i="19"/>
  <c r="T4" i="19"/>
  <c r="K4" i="19"/>
  <c r="B4" i="19"/>
  <c r="EQ5" i="18"/>
  <c r="EH5" i="18"/>
  <c r="DY5" i="18"/>
  <c r="DO5" i="18"/>
  <c r="DF5" i="18"/>
  <c r="CW5" i="18"/>
  <c r="CN5" i="18"/>
  <c r="CF5" i="18"/>
  <c r="BX5" i="18"/>
  <c r="BP5" i="18"/>
  <c r="BH5" i="18"/>
  <c r="AZ5" i="18"/>
  <c r="AR5" i="18"/>
  <c r="AJ5" i="18"/>
  <c r="AB5" i="18"/>
  <c r="T5" i="18"/>
  <c r="L5" i="18"/>
  <c r="D5" i="18"/>
  <c r="ET4" i="18"/>
  <c r="EL4" i="18"/>
  <c r="ED4" i="18"/>
  <c r="DV4" i="18"/>
  <c r="DN4" i="18"/>
  <c r="DF4" i="18"/>
  <c r="CX4" i="18"/>
  <c r="CP4" i="18"/>
  <c r="CH4" i="18"/>
  <c r="BZ4" i="18"/>
  <c r="BR4" i="18"/>
  <c r="BJ4" i="18"/>
  <c r="BB4" i="18"/>
  <c r="AT4" i="18"/>
  <c r="AL4" i="18"/>
  <c r="AD4" i="18"/>
  <c r="V4" i="18"/>
  <c r="N4" i="18"/>
  <c r="F4" i="18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EX4" i="17"/>
  <c r="EP4" i="17"/>
  <c r="EH4" i="17"/>
  <c r="DZ4" i="17"/>
  <c r="DR4" i="17"/>
  <c r="DJ4" i="17"/>
  <c r="DB4" i="17"/>
  <c r="CT4" i="17"/>
  <c r="CL4" i="17"/>
  <c r="CD4" i="17"/>
  <c r="BV4" i="17"/>
  <c r="BN4" i="17"/>
  <c r="BF4" i="17"/>
  <c r="AX4" i="17"/>
  <c r="AP4" i="17"/>
  <c r="AH4" i="17"/>
  <c r="Z4" i="17"/>
  <c r="R4" i="17"/>
  <c r="J4" i="17"/>
  <c r="B4" i="17"/>
  <c r="ER5" i="16"/>
  <c r="EJ5" i="16"/>
  <c r="EB5" i="16"/>
  <c r="DT5" i="16"/>
  <c r="DL5" i="16"/>
  <c r="DD5" i="16"/>
  <c r="CV5" i="16"/>
  <c r="CN5" i="16"/>
  <c r="CF5" i="16"/>
  <c r="BX5" i="16"/>
  <c r="BP5" i="16"/>
  <c r="BH5" i="16"/>
  <c r="AZ5" i="16"/>
  <c r="AR5" i="16"/>
  <c r="AJ5" i="16"/>
  <c r="AB5" i="16"/>
  <c r="DC5" i="20"/>
  <c r="AQ5" i="20"/>
  <c r="EC4" i="20"/>
  <c r="BQ4" i="20"/>
  <c r="AE4" i="20"/>
  <c r="EG5" i="19"/>
  <c r="DQ5" i="19"/>
  <c r="DE5" i="19"/>
  <c r="CS5" i="19"/>
  <c r="CI5" i="19"/>
  <c r="BY5" i="19"/>
  <c r="BM5" i="19"/>
  <c r="BC5" i="19"/>
  <c r="AS5" i="19"/>
  <c r="AG5" i="19"/>
  <c r="W5" i="19"/>
  <c r="M5" i="19"/>
  <c r="A5" i="19"/>
  <c r="EO4" i="19"/>
  <c r="EE4" i="19"/>
  <c r="DS4" i="19"/>
  <c r="DI4" i="19"/>
  <c r="CY4" i="19"/>
  <c r="CN4" i="19"/>
  <c r="CE4" i="19"/>
  <c r="BV4" i="19"/>
  <c r="BM4" i="19"/>
  <c r="BD4" i="19"/>
  <c r="AU4" i="19"/>
  <c r="AK4" i="19"/>
  <c r="AB4" i="19"/>
  <c r="S4" i="19"/>
  <c r="J4" i="19"/>
  <c r="EP5" i="18"/>
  <c r="EG5" i="18"/>
  <c r="DW5" i="18"/>
  <c r="DN5" i="18"/>
  <c r="DE5" i="18"/>
  <c r="CV5" i="18"/>
  <c r="CM5" i="18"/>
  <c r="CE5" i="18"/>
  <c r="BW5" i="18"/>
  <c r="BO5" i="18"/>
  <c r="BG5" i="18"/>
  <c r="AY5" i="18"/>
  <c r="AQ5" i="18"/>
  <c r="AI5" i="18"/>
  <c r="AA5" i="18"/>
  <c r="S5" i="18"/>
  <c r="K5" i="18"/>
  <c r="C5" i="18"/>
  <c r="ES4" i="18"/>
  <c r="EK4" i="18"/>
  <c r="EC4" i="18"/>
  <c r="DU4" i="18"/>
  <c r="DM4" i="18"/>
  <c r="DE4" i="18"/>
  <c r="CW4" i="18"/>
  <c r="CO4" i="18"/>
  <c r="CG4" i="18"/>
  <c r="BY4" i="18"/>
  <c r="BQ4" i="18"/>
  <c r="BI4" i="18"/>
  <c r="BA4" i="18"/>
  <c r="AS4" i="18"/>
  <c r="AK4" i="18"/>
  <c r="AC4" i="18"/>
  <c r="U4" i="18"/>
  <c r="M4" i="18"/>
  <c r="E4" i="18"/>
  <c r="EU5" i="17"/>
  <c r="EM5" i="17"/>
  <c r="EE5" i="17"/>
  <c r="DW5" i="17"/>
  <c r="DO5" i="17"/>
  <c r="DG5" i="17"/>
  <c r="CY5" i="17"/>
  <c r="CQ5" i="17"/>
  <c r="CI5" i="17"/>
  <c r="CA5" i="17"/>
  <c r="BS5" i="17"/>
  <c r="BK5" i="17"/>
  <c r="BC5" i="17"/>
  <c r="AU5" i="17"/>
  <c r="AM5" i="17"/>
  <c r="AE5" i="17"/>
  <c r="W5" i="17"/>
  <c r="O5" i="17"/>
  <c r="G5" i="17"/>
  <c r="EW4" i="17"/>
  <c r="EO4" i="17"/>
  <c r="EG4" i="17"/>
  <c r="DY4" i="17"/>
  <c r="DQ4" i="17"/>
  <c r="DI4" i="17"/>
  <c r="DA4" i="17"/>
  <c r="CS4" i="17"/>
  <c r="CK4" i="17"/>
  <c r="CC4" i="17"/>
  <c r="BU4" i="17"/>
  <c r="BM4" i="17"/>
  <c r="BE4" i="17"/>
  <c r="AW4" i="17"/>
  <c r="AO4" i="17"/>
  <c r="AG4" i="17"/>
  <c r="Y4" i="17"/>
  <c r="Q4" i="17"/>
  <c r="I4" i="17"/>
  <c r="EQ5" i="16"/>
  <c r="EI5" i="16"/>
  <c r="EA5" i="16"/>
  <c r="DS5" i="16"/>
  <c r="DK5" i="16"/>
  <c r="DC5" i="16"/>
  <c r="CU5" i="16"/>
  <c r="CM5" i="16"/>
  <c r="CE5" i="16"/>
  <c r="BW5" i="16"/>
  <c r="BO5" i="16"/>
  <c r="BG5" i="16"/>
  <c r="AY5" i="16"/>
  <c r="AQ5" i="16"/>
  <c r="AI5" i="16"/>
  <c r="CU5" i="20"/>
  <c r="AI5" i="20"/>
  <c r="DU4" i="20"/>
  <c r="BI4" i="20"/>
  <c r="AC4" i="20"/>
  <c r="EW5" i="19"/>
  <c r="EE5" i="19"/>
  <c r="DO5" i="19"/>
  <c r="DC5" i="19"/>
  <c r="CR5" i="19"/>
  <c r="CH5" i="19"/>
  <c r="BW5" i="19"/>
  <c r="BL5" i="19"/>
  <c r="BB5" i="19"/>
  <c r="AQ5" i="19"/>
  <c r="AF5" i="19"/>
  <c r="V5" i="19"/>
  <c r="K5" i="19"/>
  <c r="EX4" i="19"/>
  <c r="EN4" i="19"/>
  <c r="EC4" i="19"/>
  <c r="DR4" i="19"/>
  <c r="DH4" i="19"/>
  <c r="CW4" i="19"/>
  <c r="CM4" i="19"/>
  <c r="CD4" i="19"/>
  <c r="BU4" i="19"/>
  <c r="BL4" i="19"/>
  <c r="BC4" i="19"/>
  <c r="AS4" i="19"/>
  <c r="AJ4" i="19"/>
  <c r="AA4" i="19"/>
  <c r="R4" i="19"/>
  <c r="I4" i="19"/>
  <c r="EX5" i="18"/>
  <c r="EO5" i="18"/>
  <c r="EE5" i="18"/>
  <c r="DV5" i="18"/>
  <c r="DM5" i="18"/>
  <c r="DD5" i="18"/>
  <c r="CU5" i="18"/>
  <c r="CL5" i="18"/>
  <c r="CD5" i="18"/>
  <c r="BV5" i="18"/>
  <c r="BN5" i="18"/>
  <c r="BF5" i="18"/>
  <c r="AX5" i="18"/>
  <c r="AP5" i="18"/>
  <c r="AH5" i="18"/>
  <c r="Z5" i="18"/>
  <c r="R5" i="18"/>
  <c r="J5" i="18"/>
  <c r="B5" i="18"/>
  <c r="ER4" i="18"/>
  <c r="EJ4" i="18"/>
  <c r="EB4" i="18"/>
  <c r="DT4" i="18"/>
  <c r="DL4" i="18"/>
  <c r="DD4" i="18"/>
  <c r="CV4" i="18"/>
  <c r="CN4" i="18"/>
  <c r="CF4" i="18"/>
  <c r="BX4" i="18"/>
  <c r="BP4" i="18"/>
  <c r="BH4" i="18"/>
  <c r="AZ4" i="18"/>
  <c r="AR4" i="18"/>
  <c r="AJ4" i="18"/>
  <c r="AB4" i="18"/>
  <c r="T4" i="18"/>
  <c r="L4" i="18"/>
  <c r="D4" i="18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EV4" i="17"/>
  <c r="EN4" i="17"/>
  <c r="EF4" i="17"/>
  <c r="DX4" i="17"/>
  <c r="DP4" i="17"/>
  <c r="DH4" i="17"/>
  <c r="CZ4" i="17"/>
  <c r="CR4" i="17"/>
  <c r="CJ4" i="17"/>
  <c r="CB4" i="17"/>
  <c r="BT4" i="17"/>
  <c r="BL4" i="17"/>
  <c r="BD4" i="17"/>
  <c r="AV4" i="17"/>
  <c r="AN4" i="17"/>
  <c r="AF4" i="17"/>
  <c r="X4" i="17"/>
  <c r="P4" i="17"/>
  <c r="H4" i="17"/>
  <c r="EX5" i="16"/>
  <c r="EP5" i="16"/>
  <c r="EH5" i="16"/>
  <c r="DZ5" i="16"/>
  <c r="DR5" i="16"/>
  <c r="DJ5" i="16"/>
  <c r="DB5" i="16"/>
  <c r="CT5" i="16"/>
  <c r="CL5" i="16"/>
  <c r="CD5" i="16"/>
  <c r="BV5" i="16"/>
  <c r="BN5" i="16"/>
  <c r="BF5" i="16"/>
  <c r="AX5" i="16"/>
  <c r="AP5" i="16"/>
  <c r="AH5" i="16"/>
  <c r="CM5" i="20"/>
  <c r="AA5" i="20"/>
  <c r="DM4" i="20"/>
  <c r="BC4" i="20"/>
  <c r="W4" i="20"/>
  <c r="EU5" i="19"/>
  <c r="EC5" i="19"/>
  <c r="DN5" i="19"/>
  <c r="DA5" i="19"/>
  <c r="CQ5" i="19"/>
  <c r="CG5" i="19"/>
  <c r="BU5" i="19"/>
  <c r="BK5" i="19"/>
  <c r="BA5" i="19"/>
  <c r="AO5" i="19"/>
  <c r="AE5" i="19"/>
  <c r="U5" i="19"/>
  <c r="I5" i="19"/>
  <c r="EW4" i="19"/>
  <c r="EM4" i="19"/>
  <c r="EA4" i="19"/>
  <c r="DQ4" i="19"/>
  <c r="DG4" i="19"/>
  <c r="CU4" i="19"/>
  <c r="CL4" i="19"/>
  <c r="CC4" i="19"/>
  <c r="BT4" i="19"/>
  <c r="BK4" i="19"/>
  <c r="BA4" i="19"/>
  <c r="AR4" i="19"/>
  <c r="AI4" i="19"/>
  <c r="Z4" i="19"/>
  <c r="Q4" i="19"/>
  <c r="H4" i="19"/>
  <c r="EW5" i="18"/>
  <c r="EM5" i="18"/>
  <c r="ED5" i="18"/>
  <c r="DU5" i="18"/>
  <c r="DL5" i="18"/>
  <c r="DC5" i="18"/>
  <c r="CT5" i="18"/>
  <c r="CK5" i="18"/>
  <c r="CC5" i="18"/>
  <c r="BU5" i="18"/>
  <c r="BM5" i="18"/>
  <c r="BE5" i="18"/>
  <c r="AW5" i="18"/>
  <c r="AO5" i="18"/>
  <c r="AG5" i="18"/>
  <c r="Y5" i="18"/>
  <c r="Q5" i="18"/>
  <c r="I5" i="18"/>
  <c r="A5" i="18"/>
  <c r="EQ4" i="18"/>
  <c r="EI4" i="18"/>
  <c r="EA4" i="18"/>
  <c r="DS4" i="18"/>
  <c r="DK4" i="18"/>
  <c r="DC4" i="18"/>
  <c r="CU4" i="18"/>
  <c r="CM4" i="18"/>
  <c r="CE4" i="18"/>
  <c r="BW4" i="18"/>
  <c r="BO4" i="18"/>
  <c r="BG4" i="18"/>
  <c r="AY4" i="18"/>
  <c r="AQ4" i="18"/>
  <c r="AI4" i="18"/>
  <c r="AA4" i="18"/>
  <c r="S4" i="18"/>
  <c r="K4" i="18"/>
  <c r="C4" i="18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EU4" i="17"/>
  <c r="EM4" i="17"/>
  <c r="EE4" i="17"/>
  <c r="DW4" i="17"/>
  <c r="DO4" i="17"/>
  <c r="DG4" i="17"/>
  <c r="CY4" i="17"/>
  <c r="CQ4" i="17"/>
  <c r="CI4" i="17"/>
  <c r="CA4" i="17"/>
  <c r="BS4" i="17"/>
  <c r="BK4" i="17"/>
  <c r="BC4" i="17"/>
  <c r="AU4" i="17"/>
  <c r="AM4" i="17"/>
  <c r="AE4" i="17"/>
  <c r="W4" i="17"/>
  <c r="O4" i="17"/>
  <c r="G4" i="17"/>
  <c r="EW5" i="16"/>
  <c r="EO5" i="16"/>
  <c r="EG5" i="16"/>
  <c r="DY5" i="16"/>
  <c r="DQ5" i="16"/>
  <c r="DI5" i="16"/>
  <c r="DA5" i="16"/>
  <c r="CS5" i="16"/>
  <c r="CK5" i="16"/>
  <c r="CC5" i="16"/>
  <c r="BU5" i="16"/>
  <c r="BM5" i="16"/>
  <c r="BE5" i="16"/>
  <c r="AW5" i="16"/>
  <c r="AO5" i="16"/>
  <c r="AG5" i="16"/>
  <c r="AA5" i="16"/>
  <c r="S5" i="16"/>
  <c r="K5" i="16"/>
  <c r="C5" i="16"/>
  <c r="ES4" i="16"/>
  <c r="EK4" i="16"/>
  <c r="EC4" i="16"/>
  <c r="DU4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EU5" i="15"/>
  <c r="EM5" i="15"/>
  <c r="EE5" i="15"/>
  <c r="DW5" i="15"/>
  <c r="DO5" i="15"/>
  <c r="DG5" i="15"/>
  <c r="CY5" i="15"/>
  <c r="CQ5" i="15"/>
  <c r="CI5" i="15"/>
  <c r="CA5" i="15"/>
  <c r="BS5" i="15"/>
  <c r="BK5" i="15"/>
  <c r="BC5" i="15"/>
  <c r="AU5" i="15"/>
  <c r="AM5" i="15"/>
  <c r="AE5" i="15"/>
  <c r="W5" i="15"/>
  <c r="O5" i="15"/>
  <c r="G5" i="15"/>
  <c r="EW4" i="15"/>
  <c r="EO4" i="15"/>
  <c r="EG4" i="15"/>
  <c r="DY4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EQ5" i="14"/>
  <c r="EI5" i="14"/>
  <c r="EA5" i="14"/>
  <c r="DS5" i="14"/>
  <c r="DK5" i="14"/>
  <c r="DC5" i="14"/>
  <c r="CU5" i="14"/>
  <c r="CM5" i="14"/>
  <c r="CE5" i="14"/>
  <c r="BW5" i="14"/>
  <c r="BO5" i="14"/>
  <c r="BG5" i="14"/>
  <c r="AY5" i="14"/>
  <c r="AQ5" i="14"/>
  <c r="AI5" i="14"/>
  <c r="AA5" i="14"/>
  <c r="S5" i="14"/>
  <c r="K5" i="14"/>
  <c r="C5" i="14"/>
  <c r="ES4" i="14"/>
  <c r="EK4" i="14"/>
  <c r="EC4" i="14"/>
  <c r="DU4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EU5" i="13"/>
  <c r="EM5" i="13"/>
  <c r="EE5" i="13"/>
  <c r="DW5" i="13"/>
  <c r="DO5" i="13"/>
  <c r="DG5" i="13"/>
  <c r="CY5" i="13"/>
  <c r="CQ5" i="13"/>
  <c r="CI5" i="13"/>
  <c r="CA5" i="13"/>
  <c r="BS5" i="13"/>
  <c r="BK5" i="13"/>
  <c r="BC5" i="13"/>
  <c r="AU5" i="13"/>
  <c r="AM5" i="13"/>
  <c r="AE5" i="13"/>
  <c r="W5" i="13"/>
  <c r="O5" i="13"/>
  <c r="G5" i="13"/>
  <c r="EW4" i="13"/>
  <c r="EO4" i="13"/>
  <c r="EG4" i="13"/>
  <c r="DY4" i="13"/>
  <c r="DQ4" i="13"/>
  <c r="DI4" i="13"/>
  <c r="DA4" i="13"/>
  <c r="CS4" i="13"/>
  <c r="CK4" i="13"/>
  <c r="Z5" i="16"/>
  <c r="R5" i="16"/>
  <c r="J5" i="16"/>
  <c r="B5" i="16"/>
  <c r="ER4" i="16"/>
  <c r="EJ4" i="16"/>
  <c r="EB4" i="16"/>
  <c r="DT4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ET5" i="15"/>
  <c r="EL5" i="15"/>
  <c r="ED5" i="15"/>
  <c r="DV5" i="15"/>
  <c r="DN5" i="15"/>
  <c r="DF5" i="15"/>
  <c r="CX5" i="15"/>
  <c r="CP5" i="15"/>
  <c r="CH5" i="15"/>
  <c r="BZ5" i="15"/>
  <c r="BR5" i="15"/>
  <c r="BJ5" i="15"/>
  <c r="BB5" i="15"/>
  <c r="AT5" i="15"/>
  <c r="AL5" i="15"/>
  <c r="AD5" i="15"/>
  <c r="V5" i="15"/>
  <c r="N5" i="15"/>
  <c r="F5" i="15"/>
  <c r="EV4" i="15"/>
  <c r="EN4" i="15"/>
  <c r="EF4" i="15"/>
  <c r="DX4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EX5" i="14"/>
  <c r="EP5" i="14"/>
  <c r="EH5" i="14"/>
  <c r="DZ5" i="14"/>
  <c r="DR5" i="14"/>
  <c r="DJ5" i="14"/>
  <c r="DB5" i="14"/>
  <c r="CT5" i="14"/>
  <c r="CL5" i="14"/>
  <c r="CD5" i="14"/>
  <c r="BV5" i="14"/>
  <c r="BN5" i="14"/>
  <c r="BF5" i="14"/>
  <c r="AX5" i="14"/>
  <c r="AP5" i="14"/>
  <c r="AH5" i="14"/>
  <c r="Z5" i="14"/>
  <c r="R5" i="14"/>
  <c r="J5" i="14"/>
  <c r="B5" i="14"/>
  <c r="ER4" i="14"/>
  <c r="EJ4" i="14"/>
  <c r="EB4" i="14"/>
  <c r="DT4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EV4" i="13"/>
  <c r="EN4" i="13"/>
  <c r="EF4" i="13"/>
  <c r="DX4" i="13"/>
  <c r="DP4" i="13"/>
  <c r="DH4" i="13"/>
  <c r="CZ4" i="13"/>
  <c r="CR4" i="13"/>
  <c r="Y5" i="16"/>
  <c r="Q5" i="16"/>
  <c r="I5" i="16"/>
  <c r="A5" i="16"/>
  <c r="EQ4" i="16"/>
  <c r="EI4" i="16"/>
  <c r="EA4" i="16"/>
  <c r="DS4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ES5" i="15"/>
  <c r="EK5" i="15"/>
  <c r="EC5" i="15"/>
  <c r="DU5" i="15"/>
  <c r="DM5" i="15"/>
  <c r="DE5" i="15"/>
  <c r="CW5" i="15"/>
  <c r="CO5" i="15"/>
  <c r="CG5" i="15"/>
  <c r="BY5" i="15"/>
  <c r="BQ5" i="15"/>
  <c r="BI5" i="15"/>
  <c r="BA5" i="15"/>
  <c r="AS5" i="15"/>
  <c r="AK5" i="15"/>
  <c r="AC5" i="15"/>
  <c r="U5" i="15"/>
  <c r="M5" i="15"/>
  <c r="E5" i="15"/>
  <c r="EU4" i="15"/>
  <c r="EM4" i="15"/>
  <c r="EE4" i="15"/>
  <c r="DW4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EW5" i="14"/>
  <c r="EO5" i="14"/>
  <c r="EG5" i="14"/>
  <c r="DY5" i="14"/>
  <c r="DQ5" i="14"/>
  <c r="DI5" i="14"/>
  <c r="DA5" i="14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EQ4" i="14"/>
  <c r="EI4" i="14"/>
  <c r="EA4" i="14"/>
  <c r="DS4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ES5" i="13"/>
  <c r="EK5" i="13"/>
  <c r="EC5" i="13"/>
  <c r="DU5" i="13"/>
  <c r="DM5" i="13"/>
  <c r="DE5" i="13"/>
  <c r="CW5" i="13"/>
  <c r="CO5" i="13"/>
  <c r="CG5" i="13"/>
  <c r="BY5" i="13"/>
  <c r="BQ5" i="13"/>
  <c r="BI5" i="13"/>
  <c r="BA5" i="13"/>
  <c r="AS5" i="13"/>
  <c r="AK5" i="13"/>
  <c r="AC5" i="13"/>
  <c r="U5" i="13"/>
  <c r="M5" i="13"/>
  <c r="E5" i="13"/>
  <c r="EU4" i="13"/>
  <c r="EM4" i="13"/>
  <c r="EE4" i="13"/>
  <c r="DW4" i="13"/>
  <c r="DO4" i="13"/>
  <c r="DG4" i="13"/>
  <c r="CY4" i="13"/>
  <c r="CQ4" i="13"/>
  <c r="X5" i="16"/>
  <c r="P5" i="16"/>
  <c r="H5" i="16"/>
  <c r="EX4" i="16"/>
  <c r="EP4" i="16"/>
  <c r="EH4" i="16"/>
  <c r="DZ4" i="16"/>
  <c r="DR4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ER5" i="15"/>
  <c r="EJ5" i="15"/>
  <c r="EB5" i="15"/>
  <c r="DT5" i="15"/>
  <c r="DL5" i="15"/>
  <c r="DD5" i="15"/>
  <c r="CV5" i="15"/>
  <c r="CN5" i="15"/>
  <c r="CF5" i="15"/>
  <c r="BX5" i="15"/>
  <c r="BP5" i="15"/>
  <c r="BH5" i="15"/>
  <c r="AZ5" i="15"/>
  <c r="AR5" i="15"/>
  <c r="AJ5" i="15"/>
  <c r="AB5" i="15"/>
  <c r="T5" i="15"/>
  <c r="L5" i="15"/>
  <c r="D5" i="15"/>
  <c r="ET4" i="15"/>
  <c r="EL4" i="15"/>
  <c r="ED4" i="15"/>
  <c r="DV4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EV5" i="14"/>
  <c r="EN5" i="14"/>
  <c r="EF5" i="14"/>
  <c r="DX5" i="14"/>
  <c r="DP5" i="14"/>
  <c r="DH5" i="14"/>
  <c r="CZ5" i="14"/>
  <c r="CR5" i="14"/>
  <c r="CJ5" i="14"/>
  <c r="CB5" i="14"/>
  <c r="BT5" i="14"/>
  <c r="BL5" i="14"/>
  <c r="BD5" i="14"/>
  <c r="AV5" i="14"/>
  <c r="AN5" i="14"/>
  <c r="AF5" i="14"/>
  <c r="X5" i="14"/>
  <c r="P5" i="14"/>
  <c r="H5" i="14"/>
  <c r="EX4" i="14"/>
  <c r="EP4" i="14"/>
  <c r="EH4" i="14"/>
  <c r="DZ4" i="14"/>
  <c r="DR4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ET4" i="13"/>
  <c r="EL4" i="13"/>
  <c r="ED4" i="13"/>
  <c r="DV4" i="13"/>
  <c r="DN4" i="13"/>
  <c r="DF4" i="13"/>
  <c r="CX4" i="13"/>
  <c r="CP4" i="13"/>
  <c r="W5" i="16"/>
  <c r="O5" i="16"/>
  <c r="G5" i="16"/>
  <c r="EW4" i="16"/>
  <c r="EO4" i="16"/>
  <c r="EG4" i="16"/>
  <c r="DY4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EQ5" i="15"/>
  <c r="EI5" i="15"/>
  <c r="EA5" i="15"/>
  <c r="DS5" i="15"/>
  <c r="DK5" i="15"/>
  <c r="DC5" i="15"/>
  <c r="CU5" i="15"/>
  <c r="CM5" i="15"/>
  <c r="CE5" i="15"/>
  <c r="BW5" i="15"/>
  <c r="BO5" i="15"/>
  <c r="BG5" i="15"/>
  <c r="AY5" i="15"/>
  <c r="AQ5" i="15"/>
  <c r="AI5" i="15"/>
  <c r="AA5" i="15"/>
  <c r="S5" i="15"/>
  <c r="K5" i="15"/>
  <c r="C5" i="15"/>
  <c r="ES4" i="15"/>
  <c r="EK4" i="15"/>
  <c r="EC4" i="15"/>
  <c r="DU4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EU5" i="14"/>
  <c r="EM5" i="14"/>
  <c r="EE5" i="14"/>
  <c r="DW5" i="14"/>
  <c r="DO5" i="14"/>
  <c r="DG5" i="14"/>
  <c r="CY5" i="14"/>
  <c r="CQ5" i="14"/>
  <c r="CI5" i="14"/>
  <c r="CA5" i="14"/>
  <c r="BS5" i="14"/>
  <c r="BK5" i="14"/>
  <c r="BC5" i="14"/>
  <c r="AU5" i="14"/>
  <c r="AM5" i="14"/>
  <c r="AE5" i="14"/>
  <c r="W5" i="14"/>
  <c r="O5" i="14"/>
  <c r="G5" i="14"/>
  <c r="EW4" i="14"/>
  <c r="EO4" i="14"/>
  <c r="EG4" i="14"/>
  <c r="DY4" i="14"/>
  <c r="DQ4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EQ5" i="13"/>
  <c r="EI5" i="13"/>
  <c r="EA5" i="13"/>
  <c r="DS5" i="13"/>
  <c r="DK5" i="13"/>
  <c r="DC5" i="13"/>
  <c r="CU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ES4" i="13"/>
  <c r="EK4" i="13"/>
  <c r="EC4" i="13"/>
  <c r="DU4" i="13"/>
  <c r="DM4" i="13"/>
  <c r="DE4" i="13"/>
  <c r="CW4" i="13"/>
  <c r="CO4" i="13"/>
  <c r="V5" i="16"/>
  <c r="N5" i="16"/>
  <c r="F5" i="16"/>
  <c r="EV4" i="16"/>
  <c r="EN4" i="16"/>
  <c r="EF4" i="16"/>
  <c r="DX4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EX5" i="15"/>
  <c r="EP5" i="15"/>
  <c r="EH5" i="15"/>
  <c r="DZ5" i="15"/>
  <c r="DR5" i="15"/>
  <c r="DJ5" i="15"/>
  <c r="DB5" i="15"/>
  <c r="CT5" i="15"/>
  <c r="CL5" i="15"/>
  <c r="CD5" i="15"/>
  <c r="BV5" i="15"/>
  <c r="BN5" i="15"/>
  <c r="BF5" i="15"/>
  <c r="AX5" i="15"/>
  <c r="AP5" i="15"/>
  <c r="AH5" i="15"/>
  <c r="Z5" i="15"/>
  <c r="R5" i="15"/>
  <c r="J5" i="15"/>
  <c r="B5" i="15"/>
  <c r="ER4" i="15"/>
  <c r="EJ4" i="15"/>
  <c r="EB4" i="15"/>
  <c r="DT4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ET5" i="14"/>
  <c r="EL5" i="14"/>
  <c r="ED5" i="14"/>
  <c r="DV5" i="14"/>
  <c r="DN5" i="14"/>
  <c r="DF5" i="14"/>
  <c r="CX5" i="14"/>
  <c r="CP5" i="14"/>
  <c r="CH5" i="14"/>
  <c r="BZ5" i="14"/>
  <c r="BR5" i="14"/>
  <c r="BJ5" i="14"/>
  <c r="BB5" i="14"/>
  <c r="AT5" i="14"/>
  <c r="AL5" i="14"/>
  <c r="AD5" i="14"/>
  <c r="V5" i="14"/>
  <c r="N5" i="14"/>
  <c r="F5" i="14"/>
  <c r="EV4" i="14"/>
  <c r="EN4" i="14"/>
  <c r="EF4" i="14"/>
  <c r="DX4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ER4" i="13"/>
  <c r="EJ4" i="13"/>
  <c r="EB4" i="13"/>
  <c r="DT4" i="13"/>
  <c r="DL4" i="13"/>
  <c r="DD4" i="13"/>
  <c r="CV4" i="13"/>
  <c r="CN4" i="13"/>
  <c r="U5" i="16"/>
  <c r="M5" i="16"/>
  <c r="E5" i="16"/>
  <c r="EU4" i="16"/>
  <c r="EM4" i="16"/>
  <c r="EE4" i="16"/>
  <c r="DW4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EW5" i="15"/>
  <c r="EO5" i="15"/>
  <c r="EG5" i="15"/>
  <c r="DY5" i="15"/>
  <c r="DQ5" i="15"/>
  <c r="DI5" i="15"/>
  <c r="DA5" i="15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EQ4" i="15"/>
  <c r="EI4" i="15"/>
  <c r="EA4" i="15"/>
  <c r="DS4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ES5" i="14"/>
  <c r="EK5" i="14"/>
  <c r="EC5" i="14"/>
  <c r="DU5" i="14"/>
  <c r="DM5" i="14"/>
  <c r="DE5" i="14"/>
  <c r="CW5" i="14"/>
  <c r="CO5" i="14"/>
  <c r="CG5" i="14"/>
  <c r="BY5" i="14"/>
  <c r="BQ5" i="14"/>
  <c r="BI5" i="14"/>
  <c r="BA5" i="14"/>
  <c r="AS5" i="14"/>
  <c r="AK5" i="14"/>
  <c r="AC5" i="14"/>
  <c r="U5" i="14"/>
  <c r="M5" i="14"/>
  <c r="E5" i="14"/>
  <c r="EU4" i="14"/>
  <c r="EM4" i="14"/>
  <c r="EE4" i="14"/>
  <c r="DW4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EW5" i="13"/>
  <c r="EO5" i="13"/>
  <c r="EG5" i="13"/>
  <c r="DY5" i="13"/>
  <c r="DQ5" i="13"/>
  <c r="DI5" i="13"/>
  <c r="DA5" i="13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EQ4" i="13"/>
  <c r="EI4" i="13"/>
  <c r="EA4" i="13"/>
  <c r="DS4" i="13"/>
  <c r="DK4" i="13"/>
  <c r="DC4" i="13"/>
  <c r="CU4" i="13"/>
  <c r="T5" i="16"/>
  <c r="L5" i="16"/>
  <c r="D5" i="16"/>
  <c r="ET4" i="16"/>
  <c r="EL4" i="16"/>
  <c r="ED4" i="16"/>
  <c r="DV4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EV5" i="15"/>
  <c r="EN5" i="15"/>
  <c r="EF5" i="15"/>
  <c r="DX5" i="15"/>
  <c r="DP5" i="15"/>
  <c r="DH5" i="15"/>
  <c r="CZ5" i="15"/>
  <c r="CR5" i="15"/>
  <c r="CJ5" i="15"/>
  <c r="CB5" i="15"/>
  <c r="BT5" i="15"/>
  <c r="BL5" i="15"/>
  <c r="BD5" i="15"/>
  <c r="AV5" i="15"/>
  <c r="AN5" i="15"/>
  <c r="AF5" i="15"/>
  <c r="X5" i="15"/>
  <c r="P5" i="15"/>
  <c r="H5" i="15"/>
  <c r="EX4" i="15"/>
  <c r="EP4" i="15"/>
  <c r="EH4" i="15"/>
  <c r="DZ4" i="15"/>
  <c r="DR4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ER5" i="14"/>
  <c r="EJ5" i="14"/>
  <c r="EB5" i="14"/>
  <c r="DT5" i="14"/>
  <c r="DL5" i="14"/>
  <c r="DD5" i="14"/>
  <c r="CV5" i="14"/>
  <c r="CN5" i="14"/>
  <c r="CF5" i="14"/>
  <c r="BX5" i="14"/>
  <c r="BP5" i="14"/>
  <c r="BH5" i="14"/>
  <c r="AZ5" i="14"/>
  <c r="AR5" i="14"/>
  <c r="AJ5" i="14"/>
  <c r="AB5" i="14"/>
  <c r="T5" i="14"/>
  <c r="L5" i="14"/>
  <c r="D5" i="14"/>
  <c r="ET4" i="14"/>
  <c r="EL4" i="14"/>
  <c r="ED4" i="14"/>
  <c r="DV4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EX4" i="13"/>
  <c r="EP4" i="13"/>
  <c r="EH4" i="13"/>
  <c r="DZ4" i="13"/>
  <c r="DR4" i="13"/>
  <c r="DJ4" i="13"/>
  <c r="DB4" i="13"/>
  <c r="CT4" i="13"/>
  <c r="CL4" i="13"/>
  <c r="CM4" i="13"/>
  <c r="CC4" i="13"/>
  <c r="BU4" i="13"/>
  <c r="BM4" i="13"/>
  <c r="BE4" i="13"/>
  <c r="AW4" i="13"/>
  <c r="AO4" i="13"/>
  <c r="AG4" i="13"/>
  <c r="Y4" i="13"/>
  <c r="Q4" i="13"/>
  <c r="I4" i="13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ES4" i="12"/>
  <c r="EK4" i="12"/>
  <c r="EC4" i="12"/>
  <c r="DU4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EU5" i="11"/>
  <c r="EM5" i="11"/>
  <c r="EE5" i="11"/>
  <c r="DW5" i="11"/>
  <c r="DO5" i="11"/>
  <c r="DG5" i="11"/>
  <c r="CY5" i="11"/>
  <c r="CQ5" i="11"/>
  <c r="CI5" i="11"/>
  <c r="CA5" i="11"/>
  <c r="BS5" i="11"/>
  <c r="BK5" i="11"/>
  <c r="BC5" i="11"/>
  <c r="AU5" i="11"/>
  <c r="AM5" i="11"/>
  <c r="AE5" i="11"/>
  <c r="W5" i="11"/>
  <c r="O5" i="11"/>
  <c r="G5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CJ4" i="13"/>
  <c r="CB4" i="13"/>
  <c r="BT4" i="13"/>
  <c r="BL4" i="13"/>
  <c r="BD4" i="13"/>
  <c r="AV4" i="13"/>
  <c r="AN4" i="13"/>
  <c r="AF4" i="13"/>
  <c r="X4" i="13"/>
  <c r="P4" i="13"/>
  <c r="H4" i="13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CI4" i="13"/>
  <c r="CA4" i="13"/>
  <c r="BS4" i="13"/>
  <c r="BK4" i="13"/>
  <c r="BC4" i="13"/>
  <c r="AU4" i="13"/>
  <c r="AM4" i="13"/>
  <c r="AE4" i="13"/>
  <c r="W4" i="13"/>
  <c r="O4" i="13"/>
  <c r="G4" i="13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CH4" i="13"/>
  <c r="BZ4" i="13"/>
  <c r="BR4" i="13"/>
  <c r="BJ4" i="13"/>
  <c r="BB4" i="13"/>
  <c r="AT4" i="13"/>
  <c r="AL4" i="13"/>
  <c r="AD4" i="13"/>
  <c r="V4" i="13"/>
  <c r="N4" i="13"/>
  <c r="F4" i="13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CG4" i="13"/>
  <c r="BY4" i="13"/>
  <c r="BQ4" i="13"/>
  <c r="BI4" i="13"/>
  <c r="BA4" i="13"/>
  <c r="AS4" i="13"/>
  <c r="AK4" i="13"/>
  <c r="AC4" i="13"/>
  <c r="U4" i="13"/>
  <c r="M4" i="13"/>
  <c r="E4" i="13"/>
  <c r="EU5" i="12"/>
  <c r="EM5" i="12"/>
  <c r="EE5" i="12"/>
  <c r="DW5" i="12"/>
  <c r="DO5" i="12"/>
  <c r="DG5" i="12"/>
  <c r="CY5" i="12"/>
  <c r="CQ5" i="12"/>
  <c r="CI5" i="12"/>
  <c r="CA5" i="12"/>
  <c r="BS5" i="12"/>
  <c r="BK5" i="12"/>
  <c r="BC5" i="12"/>
  <c r="AU5" i="12"/>
  <c r="AM5" i="12"/>
  <c r="AE5" i="12"/>
  <c r="W5" i="12"/>
  <c r="O5" i="12"/>
  <c r="G5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CF4" i="13"/>
  <c r="BX4" i="13"/>
  <c r="BP4" i="13"/>
  <c r="BH4" i="13"/>
  <c r="AZ4" i="13"/>
  <c r="AR4" i="13"/>
  <c r="AJ4" i="13"/>
  <c r="AB4" i="13"/>
  <c r="T4" i="13"/>
  <c r="L4" i="13"/>
  <c r="D4" i="13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CE4" i="13"/>
  <c r="BW4" i="13"/>
  <c r="BO4" i="13"/>
  <c r="BG4" i="13"/>
  <c r="AY4" i="13"/>
  <c r="AQ4" i="13"/>
  <c r="AI4" i="13"/>
  <c r="AA4" i="13"/>
  <c r="S4" i="13"/>
  <c r="K4" i="13"/>
  <c r="C4" i="13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CD4" i="13"/>
  <c r="BV4" i="13"/>
  <c r="BN4" i="13"/>
  <c r="BF4" i="13"/>
  <c r="AX4" i="13"/>
  <c r="AP4" i="13"/>
  <c r="AH4" i="13"/>
  <c r="Z4" i="13"/>
  <c r="R4" i="13"/>
  <c r="J4" i="13"/>
  <c r="B4" i="13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AG4" i="10"/>
  <c r="V4" i="10"/>
  <c r="J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AF4" i="10"/>
  <c r="U4" i="10"/>
  <c r="I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AE4" i="10"/>
  <c r="R4" i="10"/>
  <c r="H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AC4" i="10"/>
  <c r="Q4" i="10"/>
  <c r="G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Z4" i="10"/>
  <c r="P4" i="10"/>
  <c r="F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Y4" i="10"/>
  <c r="O4" i="10"/>
  <c r="E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X4" i="10"/>
  <c r="N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W4" i="10"/>
  <c r="M4" i="10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P5" i="8"/>
  <c r="D5" i="8"/>
  <c r="CP4" i="8"/>
  <c r="AD4" i="8"/>
  <c r="DX5" i="7"/>
  <c r="BL5" i="7"/>
  <c r="G5" i="7"/>
  <c r="DY4" i="7"/>
  <c r="CS4" i="7"/>
  <c r="BN4" i="7"/>
  <c r="AS4" i="7"/>
  <c r="Z4" i="7"/>
  <c r="J4" i="7"/>
  <c r="ER5" i="6"/>
  <c r="EB5" i="6"/>
  <c r="DL5" i="6"/>
  <c r="CV5" i="6"/>
  <c r="CH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L870" i="1"/>
  <c r="D870" i="1"/>
  <c r="H869" i="1"/>
  <c r="L868" i="1"/>
  <c r="D868" i="1"/>
  <c r="H867" i="1"/>
  <c r="L866" i="1"/>
  <c r="D866" i="1"/>
  <c r="H865" i="1"/>
  <c r="L864" i="1"/>
  <c r="D864" i="1"/>
  <c r="BH5" i="8"/>
  <c r="ET4" i="8"/>
  <c r="CH4" i="8"/>
  <c r="V4" i="8"/>
  <c r="DP5" i="7"/>
  <c r="BD5" i="7"/>
  <c r="EX4" i="7"/>
  <c r="DR4" i="7"/>
  <c r="CL4" i="7"/>
  <c r="BM4" i="7"/>
  <c r="AP4" i="7"/>
  <c r="Y4" i="7"/>
  <c r="I4" i="7"/>
  <c r="EQ5" i="6"/>
  <c r="EA5" i="6"/>
  <c r="DK5" i="6"/>
  <c r="CU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K870" i="1"/>
  <c r="C870" i="1"/>
  <c r="G869" i="1"/>
  <c r="K868" i="1"/>
  <c r="C868" i="1"/>
  <c r="G867" i="1"/>
  <c r="K866" i="1"/>
  <c r="C866" i="1"/>
  <c r="G865" i="1"/>
  <c r="K864" i="1"/>
  <c r="C864" i="1"/>
  <c r="AZ5" i="8"/>
  <c r="EL4" i="8"/>
  <c r="BZ4" i="8"/>
  <c r="N4" i="8"/>
  <c r="DH5" i="7"/>
  <c r="AV5" i="7"/>
  <c r="EW4" i="7"/>
  <c r="DQ4" i="7"/>
  <c r="CK4" i="7"/>
  <c r="BI4" i="7"/>
  <c r="AO4" i="7"/>
  <c r="X4" i="7"/>
  <c r="H4" i="7"/>
  <c r="EP5" i="6"/>
  <c r="DZ5" i="6"/>
  <c r="DJ5" i="6"/>
  <c r="CT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J870" i="1"/>
  <c r="B870" i="1"/>
  <c r="F869" i="1"/>
  <c r="AR5" i="8"/>
  <c r="ED4" i="8"/>
  <c r="BR4" i="8"/>
  <c r="F4" i="8"/>
  <c r="CZ5" i="7"/>
  <c r="AN5" i="7"/>
  <c r="EP4" i="7"/>
  <c r="DJ4" i="7"/>
  <c r="CD4" i="7"/>
  <c r="BF4" i="7"/>
  <c r="AK4" i="7"/>
  <c r="U4" i="7"/>
  <c r="E4" i="7"/>
  <c r="EM5" i="6"/>
  <c r="DW5" i="6"/>
  <c r="DG5" i="6"/>
  <c r="CQ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I870" i="1"/>
  <c r="A870" i="1"/>
  <c r="E869" i="1"/>
  <c r="I868" i="1"/>
  <c r="A868" i="1"/>
  <c r="E867" i="1"/>
  <c r="I866" i="1"/>
  <c r="A866" i="1"/>
  <c r="E865" i="1"/>
  <c r="I864" i="1"/>
  <c r="AJ5" i="8"/>
  <c r="DV4" i="8"/>
  <c r="BJ4" i="8"/>
  <c r="CR5" i="7"/>
  <c r="AF5" i="7"/>
  <c r="EO4" i="7"/>
  <c r="DI4" i="7"/>
  <c r="CC4" i="7"/>
  <c r="BE4" i="7"/>
  <c r="AH4" i="7"/>
  <c r="R4" i="7"/>
  <c r="B4" i="7"/>
  <c r="EJ5" i="6"/>
  <c r="DT5" i="6"/>
  <c r="DD5" i="6"/>
  <c r="CN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H870" i="1"/>
  <c r="L869" i="1"/>
  <c r="D869" i="1"/>
  <c r="H868" i="1"/>
  <c r="L867" i="1"/>
  <c r="D867" i="1"/>
  <c r="H866" i="1"/>
  <c r="L865" i="1"/>
  <c r="D865" i="1"/>
  <c r="H864" i="1"/>
  <c r="AB5" i="8"/>
  <c r="DN4" i="8"/>
  <c r="BB4" i="8"/>
  <c r="EV5" i="7"/>
  <c r="CJ5" i="7"/>
  <c r="X5" i="7"/>
  <c r="EH4" i="7"/>
  <c r="DB4" i="7"/>
  <c r="BV4" i="7"/>
  <c r="BA4" i="7"/>
  <c r="AG4" i="7"/>
  <c r="Q4" i="7"/>
  <c r="EI5" i="6"/>
  <c r="DS5" i="6"/>
  <c r="DC5" i="6"/>
  <c r="CM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G870" i="1"/>
  <c r="K869" i="1"/>
  <c r="C869" i="1"/>
  <c r="G868" i="1"/>
  <c r="K867" i="1"/>
  <c r="C867" i="1"/>
  <c r="G866" i="1"/>
  <c r="K865" i="1"/>
  <c r="C865" i="1"/>
  <c r="G864" i="1"/>
  <c r="T5" i="8"/>
  <c r="DF4" i="8"/>
  <c r="AT4" i="8"/>
  <c r="EN5" i="7"/>
  <c r="CB5" i="7"/>
  <c r="P5" i="7"/>
  <c r="EG4" i="7"/>
  <c r="DA4" i="7"/>
  <c r="BU4" i="7"/>
  <c r="AX4" i="7"/>
  <c r="AF4" i="7"/>
  <c r="P4" i="7"/>
  <c r="EX5" i="6"/>
  <c r="EH5" i="6"/>
  <c r="DR5" i="6"/>
  <c r="DB5" i="6"/>
  <c r="CL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F870" i="1"/>
  <c r="J869" i="1"/>
  <c r="B869" i="1"/>
  <c r="F868" i="1"/>
  <c r="J867" i="1"/>
  <c r="L5" i="8"/>
  <c r="CT4" i="7"/>
  <c r="DO5" i="6"/>
  <c r="AL5" i="6"/>
  <c r="DX4" i="6"/>
  <c r="BL4" i="6"/>
  <c r="CT5" i="5"/>
  <c r="AH5" i="5"/>
  <c r="DT4" i="5"/>
  <c r="BH4" i="5"/>
  <c r="CP5" i="4"/>
  <c r="AD5" i="4"/>
  <c r="DP4" i="4"/>
  <c r="BD4" i="4"/>
  <c r="A4" i="3"/>
  <c r="F867" i="1"/>
  <c r="I865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CX4" i="8"/>
  <c r="BQ4" i="7"/>
  <c r="CY5" i="6"/>
  <c r="AD5" i="6"/>
  <c r="DP4" i="6"/>
  <c r="BD4" i="6"/>
  <c r="EX5" i="5"/>
  <c r="CL5" i="5"/>
  <c r="Z5" i="5"/>
  <c r="DL4" i="5"/>
  <c r="AZ4" i="5"/>
  <c r="ET5" i="4"/>
  <c r="CH5" i="4"/>
  <c r="V5" i="4"/>
  <c r="DH4" i="4"/>
  <c r="AV4" i="4"/>
  <c r="E870" i="1"/>
  <c r="B867" i="1"/>
  <c r="F865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AL4" i="8"/>
  <c r="AW4" i="7"/>
  <c r="CI5" i="6"/>
  <c r="V5" i="6"/>
  <c r="DH4" i="6"/>
  <c r="AV4" i="6"/>
  <c r="EP5" i="5"/>
  <c r="CD5" i="5"/>
  <c r="R5" i="5"/>
  <c r="DD4" i="5"/>
  <c r="AR4" i="5"/>
  <c r="EL5" i="4"/>
  <c r="BZ5" i="4"/>
  <c r="N5" i="4"/>
  <c r="CZ4" i="4"/>
  <c r="AN4" i="4"/>
  <c r="I869" i="1"/>
  <c r="A867" i="1"/>
  <c r="B865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AC4" i="7"/>
  <c r="BZ5" i="6"/>
  <c r="N5" i="6"/>
  <c r="CZ4" i="6"/>
  <c r="AN4" i="6"/>
  <c r="EH5" i="5"/>
  <c r="BV5" i="5"/>
  <c r="J5" i="5"/>
  <c r="CV4" i="5"/>
  <c r="AJ4" i="5"/>
  <c r="ED5" i="4"/>
  <c r="BR5" i="4"/>
  <c r="F5" i="4"/>
  <c r="CR4" i="4"/>
  <c r="AF4" i="4"/>
  <c r="A869" i="1"/>
  <c r="J866" i="1"/>
  <c r="A865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EF5" i="7"/>
  <c r="M4" i="7"/>
  <c r="BR5" i="6"/>
  <c r="F5" i="6"/>
  <c r="CR4" i="6"/>
  <c r="AF4" i="6"/>
  <c r="DZ5" i="5"/>
  <c r="BN5" i="5"/>
  <c r="B5" i="5"/>
  <c r="CN4" i="5"/>
  <c r="AB4" i="5"/>
  <c r="DV5" i="4"/>
  <c r="BJ5" i="4"/>
  <c r="EV4" i="4"/>
  <c r="CJ4" i="4"/>
  <c r="X4" i="4"/>
  <c r="J868" i="1"/>
  <c r="F866" i="1"/>
  <c r="J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BT5" i="7"/>
  <c r="BJ5" i="6"/>
  <c r="EV4" i="6"/>
  <c r="CJ4" i="6"/>
  <c r="X4" i="6"/>
  <c r="DR5" i="5"/>
  <c r="BF5" i="5"/>
  <c r="ER4" i="5"/>
  <c r="CF4" i="5"/>
  <c r="T4" i="5"/>
  <c r="DN5" i="4"/>
  <c r="BB5" i="4"/>
  <c r="EN4" i="4"/>
  <c r="CB4" i="4"/>
  <c r="P4" i="4"/>
  <c r="E868" i="1"/>
  <c r="E866" i="1"/>
  <c r="F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5" i="7"/>
  <c r="EU5" i="6"/>
  <c r="BB5" i="6"/>
  <c r="EN4" i="6"/>
  <c r="CB4" i="6"/>
  <c r="P4" i="6"/>
  <c r="DJ5" i="5"/>
  <c r="AX5" i="5"/>
  <c r="EJ4" i="5"/>
  <c r="BX4" i="5"/>
  <c r="L4" i="5"/>
  <c r="DF5" i="4"/>
  <c r="AT5" i="4"/>
  <c r="EF4" i="4"/>
  <c r="BT4" i="4"/>
  <c r="H4" i="4"/>
  <c r="B868" i="1"/>
  <c r="B866" i="1"/>
  <c r="E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DZ4" i="7"/>
  <c r="DB5" i="5"/>
  <c r="DX4" i="4"/>
  <c r="B862" i="1"/>
  <c r="J856" i="1"/>
  <c r="F851" i="1"/>
  <c r="B846" i="1"/>
  <c r="J840" i="1"/>
  <c r="F835" i="1"/>
  <c r="B830" i="1"/>
  <c r="J824" i="1"/>
  <c r="F819" i="1"/>
  <c r="B814" i="1"/>
  <c r="J808" i="1"/>
  <c r="F803" i="1"/>
  <c r="B798" i="1"/>
  <c r="J792" i="1"/>
  <c r="D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AP5" i="5"/>
  <c r="BL4" i="4"/>
  <c r="F861" i="1"/>
  <c r="B856" i="1"/>
  <c r="J850" i="1"/>
  <c r="F845" i="1"/>
  <c r="B840" i="1"/>
  <c r="J834" i="1"/>
  <c r="F829" i="1"/>
  <c r="B824" i="1"/>
  <c r="J818" i="1"/>
  <c r="F813" i="1"/>
  <c r="B808" i="1"/>
  <c r="J802" i="1"/>
  <c r="F797" i="1"/>
  <c r="B792" i="1"/>
  <c r="C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EE5" i="6"/>
  <c r="EB4" i="5"/>
  <c r="J860" i="1"/>
  <c r="F855" i="1"/>
  <c r="B850" i="1"/>
  <c r="J844" i="1"/>
  <c r="F839" i="1"/>
  <c r="B834" i="1"/>
  <c r="J828" i="1"/>
  <c r="F823" i="1"/>
  <c r="B818" i="1"/>
  <c r="J812" i="1"/>
  <c r="F807" i="1"/>
  <c r="B802" i="1"/>
  <c r="J796" i="1"/>
  <c r="K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AT5" i="6"/>
  <c r="BP4" i="5"/>
  <c r="I867" i="1"/>
  <c r="B860" i="1"/>
  <c r="J854" i="1"/>
  <c r="F849" i="1"/>
  <c r="B844" i="1"/>
  <c r="J838" i="1"/>
  <c r="F833" i="1"/>
  <c r="B828" i="1"/>
  <c r="J822" i="1"/>
  <c r="F817" i="1"/>
  <c r="B812" i="1"/>
  <c r="J806" i="1"/>
  <c r="F801" i="1"/>
  <c r="B796" i="1"/>
  <c r="I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BT4" i="6"/>
  <c r="B864" i="1"/>
  <c r="J858" i="1"/>
  <c r="F853" i="1"/>
  <c r="B848" i="1"/>
  <c r="J842" i="1"/>
  <c r="F837" i="1"/>
  <c r="B832" i="1"/>
  <c r="J826" i="1"/>
  <c r="F821" i="1"/>
  <c r="B816" i="1"/>
  <c r="J810" i="1"/>
  <c r="F805" i="1"/>
  <c r="B800" i="1"/>
  <c r="J794" i="1"/>
  <c r="G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H4" i="6"/>
  <c r="CX5" i="4"/>
  <c r="F863" i="1"/>
  <c r="B858" i="1"/>
  <c r="J852" i="1"/>
  <c r="F847" i="1"/>
  <c r="B842" i="1"/>
  <c r="J836" i="1"/>
  <c r="F831" i="1"/>
  <c r="B826" i="1"/>
  <c r="J820" i="1"/>
  <c r="F815" i="1"/>
  <c r="B810" i="1"/>
  <c r="J804" i="1"/>
  <c r="F799" i="1"/>
  <c r="B794" i="1"/>
  <c r="F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AL5" i="4"/>
  <c r="J862" i="1"/>
  <c r="F857" i="1"/>
  <c r="B852" i="1"/>
  <c r="J846" i="1"/>
  <c r="F841" i="1"/>
  <c r="B836" i="1"/>
  <c r="J830" i="1"/>
  <c r="F825" i="1"/>
  <c r="B820" i="1"/>
  <c r="J814" i="1"/>
  <c r="F809" i="1"/>
  <c r="B804" i="1"/>
  <c r="J798" i="1"/>
  <c r="F793" i="1"/>
  <c r="E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EF4" i="6"/>
  <c r="J848" i="1"/>
  <c r="B806" i="1"/>
  <c r="C788" i="1"/>
  <c r="K782" i="1"/>
  <c r="G777" i="1"/>
  <c r="C772" i="1"/>
  <c r="K766" i="1"/>
  <c r="G761" i="1"/>
  <c r="C756" i="1"/>
  <c r="K750" i="1"/>
  <c r="G745" i="1"/>
  <c r="C740" i="1"/>
  <c r="K734" i="1"/>
  <c r="G729" i="1"/>
  <c r="C724" i="1"/>
  <c r="K718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F843" i="1"/>
  <c r="J800" i="1"/>
  <c r="G787" i="1"/>
  <c r="C782" i="1"/>
  <c r="K776" i="1"/>
  <c r="G771" i="1"/>
  <c r="C766" i="1"/>
  <c r="K760" i="1"/>
  <c r="G755" i="1"/>
  <c r="C750" i="1"/>
  <c r="K744" i="1"/>
  <c r="G739" i="1"/>
  <c r="C734" i="1"/>
  <c r="K728" i="1"/>
  <c r="G723" i="1"/>
  <c r="C718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D4" i="5"/>
  <c r="B838" i="1"/>
  <c r="F795" i="1"/>
  <c r="K786" i="1"/>
  <c r="G781" i="1"/>
  <c r="C776" i="1"/>
  <c r="K770" i="1"/>
  <c r="G765" i="1"/>
  <c r="C760" i="1"/>
  <c r="K754" i="1"/>
  <c r="G749" i="1"/>
  <c r="C744" i="1"/>
  <c r="K738" i="1"/>
  <c r="G733" i="1"/>
  <c r="C728" i="1"/>
  <c r="K722" i="1"/>
  <c r="B718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J832" i="1"/>
  <c r="H791" i="1"/>
  <c r="C786" i="1"/>
  <c r="K780" i="1"/>
  <c r="G775" i="1"/>
  <c r="C770" i="1"/>
  <c r="K764" i="1"/>
  <c r="G759" i="1"/>
  <c r="C754" i="1"/>
  <c r="K748" i="1"/>
  <c r="G743" i="1"/>
  <c r="C738" i="1"/>
  <c r="K732" i="1"/>
  <c r="G727" i="1"/>
  <c r="C722" i="1"/>
  <c r="G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F827" i="1"/>
  <c r="K790" i="1"/>
  <c r="G785" i="1"/>
  <c r="C780" i="1"/>
  <c r="K774" i="1"/>
  <c r="G769" i="1"/>
  <c r="C764" i="1"/>
  <c r="K758" i="1"/>
  <c r="G753" i="1"/>
  <c r="C748" i="1"/>
  <c r="K742" i="1"/>
  <c r="G737" i="1"/>
  <c r="C732" i="1"/>
  <c r="K726" i="1"/>
  <c r="G721" i="1"/>
  <c r="F717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J865" i="1"/>
  <c r="B822" i="1"/>
  <c r="C790" i="1"/>
  <c r="K784" i="1"/>
  <c r="G779" i="1"/>
  <c r="C774" i="1"/>
  <c r="K768" i="1"/>
  <c r="G763" i="1"/>
  <c r="C758" i="1"/>
  <c r="K752" i="1"/>
  <c r="G747" i="1"/>
  <c r="C742" i="1"/>
  <c r="K736" i="1"/>
  <c r="G731" i="1"/>
  <c r="C726" i="1"/>
  <c r="K720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F859" i="1"/>
  <c r="J816" i="1"/>
  <c r="G789" i="1"/>
  <c r="C784" i="1"/>
  <c r="K778" i="1"/>
  <c r="G773" i="1"/>
  <c r="C768" i="1"/>
  <c r="K762" i="1"/>
  <c r="G757" i="1"/>
  <c r="C752" i="1"/>
  <c r="K746" i="1"/>
  <c r="G741" i="1"/>
  <c r="C736" i="1"/>
  <c r="K730" i="1"/>
  <c r="G725" i="1"/>
  <c r="C720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B854" i="1"/>
  <c r="K756" i="1"/>
  <c r="I716" i="1"/>
  <c r="E711" i="1"/>
  <c r="A706" i="1"/>
  <c r="I700" i="1"/>
  <c r="E695" i="1"/>
  <c r="A690" i="1"/>
  <c r="I684" i="1"/>
  <c r="E679" i="1"/>
  <c r="A674" i="1"/>
  <c r="I668" i="1"/>
  <c r="E663" i="1"/>
  <c r="A658" i="1"/>
  <c r="I652" i="1"/>
  <c r="E647" i="1"/>
  <c r="A642" i="1"/>
  <c r="I636" i="1"/>
  <c r="E631" i="1"/>
  <c r="A626" i="1"/>
  <c r="I620" i="1"/>
  <c r="E615" i="1"/>
  <c r="A610" i="1"/>
  <c r="I604" i="1"/>
  <c r="E599" i="1"/>
  <c r="A594" i="1"/>
  <c r="I588" i="1"/>
  <c r="E583" i="1"/>
  <c r="A578" i="1"/>
  <c r="I572" i="1"/>
  <c r="E567" i="1"/>
  <c r="A562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F811" i="1"/>
  <c r="G751" i="1"/>
  <c r="A716" i="1"/>
  <c r="I710" i="1"/>
  <c r="E705" i="1"/>
  <c r="A700" i="1"/>
  <c r="I694" i="1"/>
  <c r="E689" i="1"/>
  <c r="A684" i="1"/>
  <c r="I678" i="1"/>
  <c r="E673" i="1"/>
  <c r="A668" i="1"/>
  <c r="I662" i="1"/>
  <c r="E657" i="1"/>
  <c r="A652" i="1"/>
  <c r="I646" i="1"/>
  <c r="E641" i="1"/>
  <c r="A636" i="1"/>
  <c r="I630" i="1"/>
  <c r="E625" i="1"/>
  <c r="A620" i="1"/>
  <c r="I614" i="1"/>
  <c r="E609" i="1"/>
  <c r="A604" i="1"/>
  <c r="I598" i="1"/>
  <c r="E593" i="1"/>
  <c r="A588" i="1"/>
  <c r="I582" i="1"/>
  <c r="E577" i="1"/>
  <c r="A572" i="1"/>
  <c r="I566" i="1"/>
  <c r="E561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K788" i="1"/>
  <c r="C746" i="1"/>
  <c r="E715" i="1"/>
  <c r="A710" i="1"/>
  <c r="I704" i="1"/>
  <c r="E699" i="1"/>
  <c r="A694" i="1"/>
  <c r="I688" i="1"/>
  <c r="E683" i="1"/>
  <c r="A678" i="1"/>
  <c r="I672" i="1"/>
  <c r="E667" i="1"/>
  <c r="A662" i="1"/>
  <c r="I656" i="1"/>
  <c r="E651" i="1"/>
  <c r="A646" i="1"/>
  <c r="I640" i="1"/>
  <c r="E635" i="1"/>
  <c r="A630" i="1"/>
  <c r="I624" i="1"/>
  <c r="E619" i="1"/>
  <c r="A614" i="1"/>
  <c r="I608" i="1"/>
  <c r="E603" i="1"/>
  <c r="A598" i="1"/>
  <c r="I592" i="1"/>
  <c r="E587" i="1"/>
  <c r="A582" i="1"/>
  <c r="I576" i="1"/>
  <c r="E571" i="1"/>
  <c r="A566" i="1"/>
  <c r="I560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G783" i="1"/>
  <c r="K740" i="1"/>
  <c r="I714" i="1"/>
  <c r="E709" i="1"/>
  <c r="A704" i="1"/>
  <c r="I698" i="1"/>
  <c r="E693" i="1"/>
  <c r="A688" i="1"/>
  <c r="I682" i="1"/>
  <c r="E677" i="1"/>
  <c r="A672" i="1"/>
  <c r="I666" i="1"/>
  <c r="E661" i="1"/>
  <c r="A656" i="1"/>
  <c r="I650" i="1"/>
  <c r="E645" i="1"/>
  <c r="A640" i="1"/>
  <c r="I634" i="1"/>
  <c r="E629" i="1"/>
  <c r="A624" i="1"/>
  <c r="I618" i="1"/>
  <c r="E613" i="1"/>
  <c r="A608" i="1"/>
  <c r="I602" i="1"/>
  <c r="E597" i="1"/>
  <c r="A592" i="1"/>
  <c r="I586" i="1"/>
  <c r="E581" i="1"/>
  <c r="A576" i="1"/>
  <c r="I570" i="1"/>
  <c r="E565" i="1"/>
  <c r="A560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C778" i="1"/>
  <c r="G735" i="1"/>
  <c r="A714" i="1"/>
  <c r="I708" i="1"/>
  <c r="E703" i="1"/>
  <c r="A698" i="1"/>
  <c r="I692" i="1"/>
  <c r="E687" i="1"/>
  <c r="A682" i="1"/>
  <c r="I676" i="1"/>
  <c r="E671" i="1"/>
  <c r="A666" i="1"/>
  <c r="I660" i="1"/>
  <c r="E655" i="1"/>
  <c r="A650" i="1"/>
  <c r="I644" i="1"/>
  <c r="E639" i="1"/>
  <c r="A634" i="1"/>
  <c r="I628" i="1"/>
  <c r="E623" i="1"/>
  <c r="A618" i="1"/>
  <c r="I612" i="1"/>
  <c r="E607" i="1"/>
  <c r="A602" i="1"/>
  <c r="I596" i="1"/>
  <c r="E591" i="1"/>
  <c r="A586" i="1"/>
  <c r="I580" i="1"/>
  <c r="E575" i="1"/>
  <c r="A570" i="1"/>
  <c r="I564" i="1"/>
  <c r="E559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K772" i="1"/>
  <c r="C730" i="1"/>
  <c r="E713" i="1"/>
  <c r="A708" i="1"/>
  <c r="I702" i="1"/>
  <c r="E697" i="1"/>
  <c r="A692" i="1"/>
  <c r="I686" i="1"/>
  <c r="E681" i="1"/>
  <c r="A676" i="1"/>
  <c r="I670" i="1"/>
  <c r="E665" i="1"/>
  <c r="A660" i="1"/>
  <c r="I654" i="1"/>
  <c r="E649" i="1"/>
  <c r="A644" i="1"/>
  <c r="I638" i="1"/>
  <c r="E633" i="1"/>
  <c r="A628" i="1"/>
  <c r="I622" i="1"/>
  <c r="E617" i="1"/>
  <c r="A612" i="1"/>
  <c r="I606" i="1"/>
  <c r="E601" i="1"/>
  <c r="A596" i="1"/>
  <c r="I590" i="1"/>
  <c r="E585" i="1"/>
  <c r="A580" i="1"/>
  <c r="I574" i="1"/>
  <c r="E569" i="1"/>
  <c r="A564" i="1"/>
  <c r="I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G767" i="1"/>
  <c r="K724" i="1"/>
  <c r="I712" i="1"/>
  <c r="E707" i="1"/>
  <c r="A702" i="1"/>
  <c r="I696" i="1"/>
  <c r="E691" i="1"/>
  <c r="A686" i="1"/>
  <c r="I680" i="1"/>
  <c r="E675" i="1"/>
  <c r="A670" i="1"/>
  <c r="I664" i="1"/>
  <c r="E659" i="1"/>
  <c r="A654" i="1"/>
  <c r="I648" i="1"/>
  <c r="E643" i="1"/>
  <c r="A638" i="1"/>
  <c r="I632" i="1"/>
  <c r="E627" i="1"/>
  <c r="A622" i="1"/>
  <c r="I616" i="1"/>
  <c r="E611" i="1"/>
  <c r="A606" i="1"/>
  <c r="I600" i="1"/>
  <c r="E595" i="1"/>
  <c r="A590" i="1"/>
  <c r="I584" i="1"/>
  <c r="E579" i="1"/>
  <c r="A574" i="1"/>
  <c r="I568" i="1"/>
  <c r="E563" i="1"/>
  <c r="F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C762" i="1"/>
  <c r="A680" i="1"/>
  <c r="E637" i="1"/>
  <c r="I594" i="1"/>
  <c r="F557" i="1"/>
  <c r="B552" i="1"/>
  <c r="J546" i="1"/>
  <c r="F541" i="1"/>
  <c r="B536" i="1"/>
  <c r="J530" i="1"/>
  <c r="F525" i="1"/>
  <c r="B520" i="1"/>
  <c r="J514" i="1"/>
  <c r="F509" i="1"/>
  <c r="B504" i="1"/>
  <c r="J498" i="1"/>
  <c r="F493" i="1"/>
  <c r="B488" i="1"/>
  <c r="J482" i="1"/>
  <c r="F477" i="1"/>
  <c r="B472" i="1"/>
  <c r="J466" i="1"/>
  <c r="F461" i="1"/>
  <c r="B456" i="1"/>
  <c r="J450" i="1"/>
  <c r="F445" i="1"/>
  <c r="B440" i="1"/>
  <c r="J434" i="1"/>
  <c r="F429" i="1"/>
  <c r="B424" i="1"/>
  <c r="J418" i="1"/>
  <c r="F413" i="1"/>
  <c r="F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G719" i="1"/>
  <c r="I674" i="1"/>
  <c r="A632" i="1"/>
  <c r="E589" i="1"/>
  <c r="J556" i="1"/>
  <c r="F551" i="1"/>
  <c r="B546" i="1"/>
  <c r="J540" i="1"/>
  <c r="F535" i="1"/>
  <c r="B530" i="1"/>
  <c r="J524" i="1"/>
  <c r="F519" i="1"/>
  <c r="B514" i="1"/>
  <c r="J508" i="1"/>
  <c r="F503" i="1"/>
  <c r="B498" i="1"/>
  <c r="J492" i="1"/>
  <c r="F487" i="1"/>
  <c r="B482" i="1"/>
  <c r="J476" i="1"/>
  <c r="F471" i="1"/>
  <c r="B466" i="1"/>
  <c r="J460" i="1"/>
  <c r="F455" i="1"/>
  <c r="B450" i="1"/>
  <c r="J444" i="1"/>
  <c r="F439" i="1"/>
  <c r="B434" i="1"/>
  <c r="J428" i="1"/>
  <c r="F423" i="1"/>
  <c r="B418" i="1"/>
  <c r="J412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A712" i="1"/>
  <c r="E669" i="1"/>
  <c r="I626" i="1"/>
  <c r="A584" i="1"/>
  <c r="B556" i="1"/>
  <c r="J550" i="1"/>
  <c r="F545" i="1"/>
  <c r="B540" i="1"/>
  <c r="J534" i="1"/>
  <c r="F529" i="1"/>
  <c r="B524" i="1"/>
  <c r="J518" i="1"/>
  <c r="F513" i="1"/>
  <c r="B508" i="1"/>
  <c r="J502" i="1"/>
  <c r="F497" i="1"/>
  <c r="B492" i="1"/>
  <c r="J486" i="1"/>
  <c r="F481" i="1"/>
  <c r="B476" i="1"/>
  <c r="J470" i="1"/>
  <c r="F465" i="1"/>
  <c r="B460" i="1"/>
  <c r="J454" i="1"/>
  <c r="F449" i="1"/>
  <c r="B444" i="1"/>
  <c r="J438" i="1"/>
  <c r="F433" i="1"/>
  <c r="B428" i="1"/>
  <c r="J422" i="1"/>
  <c r="F417" i="1"/>
  <c r="B412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I706" i="1"/>
  <c r="A664" i="1"/>
  <c r="E621" i="1"/>
  <c r="I578" i="1"/>
  <c r="F555" i="1"/>
  <c r="B550" i="1"/>
  <c r="J544" i="1"/>
  <c r="F539" i="1"/>
  <c r="B534" i="1"/>
  <c r="J528" i="1"/>
  <c r="F523" i="1"/>
  <c r="B518" i="1"/>
  <c r="J512" i="1"/>
  <c r="F507" i="1"/>
  <c r="B502" i="1"/>
  <c r="J496" i="1"/>
  <c r="F491" i="1"/>
  <c r="B486" i="1"/>
  <c r="J480" i="1"/>
  <c r="F475" i="1"/>
  <c r="B470" i="1"/>
  <c r="J464" i="1"/>
  <c r="F459" i="1"/>
  <c r="B454" i="1"/>
  <c r="J448" i="1"/>
  <c r="F443" i="1"/>
  <c r="B438" i="1"/>
  <c r="J432" i="1"/>
  <c r="F427" i="1"/>
  <c r="B422" i="1"/>
  <c r="J416" i="1"/>
  <c r="F411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E701" i="1"/>
  <c r="I658" i="1"/>
  <c r="A616" i="1"/>
  <c r="E573" i="1"/>
  <c r="J554" i="1"/>
  <c r="F549" i="1"/>
  <c r="B544" i="1"/>
  <c r="J538" i="1"/>
  <c r="F533" i="1"/>
  <c r="B528" i="1"/>
  <c r="J522" i="1"/>
  <c r="F517" i="1"/>
  <c r="B512" i="1"/>
  <c r="J506" i="1"/>
  <c r="F501" i="1"/>
  <c r="B496" i="1"/>
  <c r="J490" i="1"/>
  <c r="F485" i="1"/>
  <c r="B480" i="1"/>
  <c r="J474" i="1"/>
  <c r="F469" i="1"/>
  <c r="B464" i="1"/>
  <c r="J458" i="1"/>
  <c r="F453" i="1"/>
  <c r="B448" i="1"/>
  <c r="J442" i="1"/>
  <c r="F437" i="1"/>
  <c r="B432" i="1"/>
  <c r="J426" i="1"/>
  <c r="F421" i="1"/>
  <c r="B416" i="1"/>
  <c r="J410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696" i="1"/>
  <c r="E653" i="1"/>
  <c r="I610" i="1"/>
  <c r="A568" i="1"/>
  <c r="B554" i="1"/>
  <c r="J548" i="1"/>
  <c r="F543" i="1"/>
  <c r="B538" i="1"/>
  <c r="J532" i="1"/>
  <c r="F527" i="1"/>
  <c r="B522" i="1"/>
  <c r="J516" i="1"/>
  <c r="F511" i="1"/>
  <c r="B506" i="1"/>
  <c r="J500" i="1"/>
  <c r="F495" i="1"/>
  <c r="B490" i="1"/>
  <c r="J484" i="1"/>
  <c r="F479" i="1"/>
  <c r="B474" i="1"/>
  <c r="J468" i="1"/>
  <c r="F463" i="1"/>
  <c r="B458" i="1"/>
  <c r="J452" i="1"/>
  <c r="F447" i="1"/>
  <c r="B442" i="1"/>
  <c r="J436" i="1"/>
  <c r="F431" i="1"/>
  <c r="B426" i="1"/>
  <c r="J420" i="1"/>
  <c r="F415" i="1"/>
  <c r="B410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I690" i="1"/>
  <c r="A648" i="1"/>
  <c r="E605" i="1"/>
  <c r="I562" i="1"/>
  <c r="F553" i="1"/>
  <c r="B548" i="1"/>
  <c r="J542" i="1"/>
  <c r="F537" i="1"/>
  <c r="B532" i="1"/>
  <c r="J526" i="1"/>
  <c r="F521" i="1"/>
  <c r="B516" i="1"/>
  <c r="J510" i="1"/>
  <c r="F505" i="1"/>
  <c r="B500" i="1"/>
  <c r="J494" i="1"/>
  <c r="F489" i="1"/>
  <c r="B484" i="1"/>
  <c r="J478" i="1"/>
  <c r="F473" i="1"/>
  <c r="B468" i="1"/>
  <c r="J462" i="1"/>
  <c r="F457" i="1"/>
  <c r="B452" i="1"/>
  <c r="J446" i="1"/>
  <c r="F441" i="1"/>
  <c r="B436" i="1"/>
  <c r="J430" i="1"/>
  <c r="F425" i="1"/>
  <c r="B420" i="1"/>
  <c r="J414" i="1"/>
  <c r="K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E685" i="1"/>
  <c r="F531" i="1"/>
  <c r="J488" i="1"/>
  <c r="B446" i="1"/>
  <c r="J408" i="1"/>
  <c r="F403" i="1"/>
  <c r="B398" i="1"/>
  <c r="J392" i="1"/>
  <c r="F387" i="1"/>
  <c r="B382" i="1"/>
  <c r="J376" i="1"/>
  <c r="F371" i="1"/>
  <c r="B366" i="1"/>
  <c r="J360" i="1"/>
  <c r="F355" i="1"/>
  <c r="B350" i="1"/>
  <c r="J344" i="1"/>
  <c r="F339" i="1"/>
  <c r="B334" i="1"/>
  <c r="J328" i="1"/>
  <c r="F323" i="1"/>
  <c r="B318" i="1"/>
  <c r="J312" i="1"/>
  <c r="F307" i="1"/>
  <c r="B302" i="1"/>
  <c r="J296" i="1"/>
  <c r="F291" i="1"/>
  <c r="B286" i="1"/>
  <c r="J280" i="1"/>
  <c r="F275" i="1"/>
  <c r="B270" i="1"/>
  <c r="J264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I642" i="1"/>
  <c r="B526" i="1"/>
  <c r="F483" i="1"/>
  <c r="J440" i="1"/>
  <c r="B408" i="1"/>
  <c r="J402" i="1"/>
  <c r="F397" i="1"/>
  <c r="B392" i="1"/>
  <c r="J386" i="1"/>
  <c r="F381" i="1"/>
  <c r="B376" i="1"/>
  <c r="J370" i="1"/>
  <c r="F365" i="1"/>
  <c r="B360" i="1"/>
  <c r="J354" i="1"/>
  <c r="F349" i="1"/>
  <c r="B344" i="1"/>
  <c r="J338" i="1"/>
  <c r="F333" i="1"/>
  <c r="B328" i="1"/>
  <c r="J322" i="1"/>
  <c r="F317" i="1"/>
  <c r="B312" i="1"/>
  <c r="J306" i="1"/>
  <c r="F301" i="1"/>
  <c r="B296" i="1"/>
  <c r="J290" i="1"/>
  <c r="F285" i="1"/>
  <c r="B280" i="1"/>
  <c r="J274" i="1"/>
  <c r="F269" i="1"/>
  <c r="B264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A600" i="1"/>
  <c r="J520" i="1"/>
  <c r="B478" i="1"/>
  <c r="F435" i="1"/>
  <c r="F407" i="1"/>
  <c r="B402" i="1"/>
  <c r="J396" i="1"/>
  <c r="F391" i="1"/>
  <c r="B386" i="1"/>
  <c r="J380" i="1"/>
  <c r="F375" i="1"/>
  <c r="B370" i="1"/>
  <c r="J364" i="1"/>
  <c r="F359" i="1"/>
  <c r="B354" i="1"/>
  <c r="J348" i="1"/>
  <c r="F343" i="1"/>
  <c r="B338" i="1"/>
  <c r="J332" i="1"/>
  <c r="F327" i="1"/>
  <c r="B322" i="1"/>
  <c r="J316" i="1"/>
  <c r="F311" i="1"/>
  <c r="B306" i="1"/>
  <c r="J300" i="1"/>
  <c r="F295" i="1"/>
  <c r="B290" i="1"/>
  <c r="J284" i="1"/>
  <c r="F279" i="1"/>
  <c r="B274" i="1"/>
  <c r="J268" i="1"/>
  <c r="F263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E558" i="1"/>
  <c r="F515" i="1"/>
  <c r="J472" i="1"/>
  <c r="B430" i="1"/>
  <c r="J406" i="1"/>
  <c r="F401" i="1"/>
  <c r="B396" i="1"/>
  <c r="J390" i="1"/>
  <c r="F385" i="1"/>
  <c r="B380" i="1"/>
  <c r="J374" i="1"/>
  <c r="F369" i="1"/>
  <c r="B364" i="1"/>
  <c r="J358" i="1"/>
  <c r="F353" i="1"/>
  <c r="B348" i="1"/>
  <c r="J342" i="1"/>
  <c r="F337" i="1"/>
  <c r="B332" i="1"/>
  <c r="J326" i="1"/>
  <c r="F321" i="1"/>
  <c r="B316" i="1"/>
  <c r="J310" i="1"/>
  <c r="F305" i="1"/>
  <c r="B300" i="1"/>
  <c r="J294" i="1"/>
  <c r="F289" i="1"/>
  <c r="B284" i="1"/>
  <c r="J278" i="1"/>
  <c r="F273" i="1"/>
  <c r="B268" i="1"/>
  <c r="J262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J552" i="1"/>
  <c r="B510" i="1"/>
  <c r="F467" i="1"/>
  <c r="J424" i="1"/>
  <c r="B406" i="1"/>
  <c r="J400" i="1"/>
  <c r="F395" i="1"/>
  <c r="B390" i="1"/>
  <c r="J384" i="1"/>
  <c r="F379" i="1"/>
  <c r="B374" i="1"/>
  <c r="J368" i="1"/>
  <c r="F363" i="1"/>
  <c r="B358" i="1"/>
  <c r="J352" i="1"/>
  <c r="F347" i="1"/>
  <c r="B342" i="1"/>
  <c r="J336" i="1"/>
  <c r="F331" i="1"/>
  <c r="B326" i="1"/>
  <c r="J320" i="1"/>
  <c r="F315" i="1"/>
  <c r="B310" i="1"/>
  <c r="J304" i="1"/>
  <c r="F299" i="1"/>
  <c r="B294" i="1"/>
  <c r="J288" i="1"/>
  <c r="F283" i="1"/>
  <c r="B278" i="1"/>
  <c r="J272" i="1"/>
  <c r="F267" i="1"/>
  <c r="B262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547" i="1"/>
  <c r="J504" i="1"/>
  <c r="B462" i="1"/>
  <c r="F419" i="1"/>
  <c r="F405" i="1"/>
  <c r="B400" i="1"/>
  <c r="J394" i="1"/>
  <c r="F389" i="1"/>
  <c r="B384" i="1"/>
  <c r="J378" i="1"/>
  <c r="F373" i="1"/>
  <c r="B368" i="1"/>
  <c r="J362" i="1"/>
  <c r="F357" i="1"/>
  <c r="B352" i="1"/>
  <c r="J346" i="1"/>
  <c r="F341" i="1"/>
  <c r="B336" i="1"/>
  <c r="J330" i="1"/>
  <c r="F325" i="1"/>
  <c r="B320" i="1"/>
  <c r="J314" i="1"/>
  <c r="F309" i="1"/>
  <c r="B304" i="1"/>
  <c r="J298" i="1"/>
  <c r="F293" i="1"/>
  <c r="B288" i="1"/>
  <c r="J282" i="1"/>
  <c r="F277" i="1"/>
  <c r="B272" i="1"/>
  <c r="J266" i="1"/>
  <c r="F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B542" i="1"/>
  <c r="F499" i="1"/>
  <c r="J456" i="1"/>
  <c r="B414" i="1"/>
  <c r="J404" i="1"/>
  <c r="F399" i="1"/>
  <c r="B394" i="1"/>
  <c r="J388" i="1"/>
  <c r="F383" i="1"/>
  <c r="B378" i="1"/>
  <c r="J372" i="1"/>
  <c r="F367" i="1"/>
  <c r="B362" i="1"/>
  <c r="J356" i="1"/>
  <c r="F351" i="1"/>
  <c r="B346" i="1"/>
  <c r="J340" i="1"/>
  <c r="F335" i="1"/>
  <c r="B330" i="1"/>
  <c r="J324" i="1"/>
  <c r="F319" i="1"/>
  <c r="B314" i="1"/>
  <c r="J308" i="1"/>
  <c r="F303" i="1"/>
  <c r="B298" i="1"/>
  <c r="J292" i="1"/>
  <c r="F287" i="1"/>
  <c r="B282" i="1"/>
  <c r="J276" i="1"/>
  <c r="F271" i="1"/>
  <c r="B266" i="1"/>
  <c r="B261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J536" i="1"/>
  <c r="J382" i="1"/>
  <c r="B340" i="1"/>
  <c r="F297" i="1"/>
  <c r="C260" i="1"/>
  <c r="K254" i="1"/>
  <c r="G249" i="1"/>
  <c r="C244" i="1"/>
  <c r="K238" i="1"/>
  <c r="G233" i="1"/>
  <c r="C228" i="1"/>
  <c r="K222" i="1"/>
  <c r="G217" i="1"/>
  <c r="C212" i="1"/>
  <c r="K206" i="1"/>
  <c r="G201" i="1"/>
  <c r="C196" i="1"/>
  <c r="K190" i="1"/>
  <c r="G185" i="1"/>
  <c r="C180" i="1"/>
  <c r="K174" i="1"/>
  <c r="G169" i="1"/>
  <c r="C164" i="1"/>
  <c r="K158" i="1"/>
  <c r="G153" i="1"/>
  <c r="C148" i="1"/>
  <c r="K142" i="1"/>
  <c r="G137" i="1"/>
  <c r="C132" i="1"/>
  <c r="K126" i="1"/>
  <c r="G121" i="1"/>
  <c r="A118" i="1"/>
  <c r="E115" i="1"/>
  <c r="E113" i="1"/>
  <c r="E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B4" i="1"/>
  <c r="G409" i="1"/>
  <c r="C258" i="1"/>
  <c r="C242" i="1"/>
  <c r="C226" i="1"/>
  <c r="C210" i="1"/>
  <c r="C194" i="1"/>
  <c r="C178" i="1"/>
  <c r="K156" i="1"/>
  <c r="K140" i="1"/>
  <c r="C130" i="1"/>
  <c r="K116" i="1"/>
  <c r="A112" i="1"/>
  <c r="D109" i="1"/>
  <c r="L107" i="1"/>
  <c r="H104" i="1"/>
  <c r="H102" i="1"/>
  <c r="D101" i="1"/>
  <c r="D99" i="1"/>
  <c r="D97" i="1"/>
  <c r="D95" i="1"/>
  <c r="D93" i="1"/>
  <c r="L89" i="1"/>
  <c r="H88" i="1"/>
  <c r="H86" i="1"/>
  <c r="H84" i="1"/>
  <c r="H82" i="1"/>
  <c r="H80" i="1"/>
  <c r="H78" i="1"/>
  <c r="H76" i="1"/>
  <c r="D75" i="1"/>
  <c r="D73" i="1"/>
  <c r="D71" i="1"/>
  <c r="D69" i="1"/>
  <c r="L67" i="1"/>
  <c r="L65" i="1"/>
  <c r="L63" i="1"/>
  <c r="L61" i="1"/>
  <c r="L59" i="1"/>
  <c r="D57" i="1"/>
  <c r="D55" i="1"/>
  <c r="H52" i="1"/>
  <c r="H50" i="1"/>
  <c r="B494" i="1"/>
  <c r="F377" i="1"/>
  <c r="J334" i="1"/>
  <c r="B292" i="1"/>
  <c r="G259" i="1"/>
  <c r="C254" i="1"/>
  <c r="K248" i="1"/>
  <c r="G243" i="1"/>
  <c r="C238" i="1"/>
  <c r="K232" i="1"/>
  <c r="G227" i="1"/>
  <c r="C222" i="1"/>
  <c r="K216" i="1"/>
  <c r="G211" i="1"/>
  <c r="C206" i="1"/>
  <c r="K200" i="1"/>
  <c r="G195" i="1"/>
  <c r="C190" i="1"/>
  <c r="K184" i="1"/>
  <c r="G179" i="1"/>
  <c r="C174" i="1"/>
  <c r="K168" i="1"/>
  <c r="G163" i="1"/>
  <c r="C158" i="1"/>
  <c r="K152" i="1"/>
  <c r="G147" i="1"/>
  <c r="C142" i="1"/>
  <c r="K136" i="1"/>
  <c r="G131" i="1"/>
  <c r="C126" i="1"/>
  <c r="K120" i="1"/>
  <c r="G117" i="1"/>
  <c r="K114" i="1"/>
  <c r="C113" i="1"/>
  <c r="C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J366" i="1"/>
  <c r="G247" i="1"/>
  <c r="G231" i="1"/>
  <c r="G215" i="1"/>
  <c r="G199" i="1"/>
  <c r="G183" i="1"/>
  <c r="G167" i="1"/>
  <c r="G151" i="1"/>
  <c r="G135" i="1"/>
  <c r="G119" i="1"/>
  <c r="K112" i="1"/>
  <c r="H110" i="1"/>
  <c r="H108" i="1"/>
  <c r="D107" i="1"/>
  <c r="L105" i="1"/>
  <c r="L103" i="1"/>
  <c r="L101" i="1"/>
  <c r="L99" i="1"/>
  <c r="L97" i="1"/>
  <c r="L95" i="1"/>
  <c r="L93" i="1"/>
  <c r="L91" i="1"/>
  <c r="D91" i="1"/>
  <c r="D89" i="1"/>
  <c r="D87" i="1"/>
  <c r="D85" i="1"/>
  <c r="D83" i="1"/>
  <c r="D81" i="1"/>
  <c r="D79" i="1"/>
  <c r="D77" i="1"/>
  <c r="H74" i="1"/>
  <c r="H72" i="1"/>
  <c r="H70" i="1"/>
  <c r="H68" i="1"/>
  <c r="H66" i="1"/>
  <c r="H64" i="1"/>
  <c r="H62" i="1"/>
  <c r="H60" i="1"/>
  <c r="H58" i="1"/>
  <c r="L55" i="1"/>
  <c r="L53" i="1"/>
  <c r="L51" i="1"/>
  <c r="F451" i="1"/>
  <c r="B372" i="1"/>
  <c r="F329" i="1"/>
  <c r="J286" i="1"/>
  <c r="K258" i="1"/>
  <c r="G253" i="1"/>
  <c r="C248" i="1"/>
  <c r="K242" i="1"/>
  <c r="G237" i="1"/>
  <c r="C232" i="1"/>
  <c r="K226" i="1"/>
  <c r="G221" i="1"/>
  <c r="C216" i="1"/>
  <c r="K210" i="1"/>
  <c r="G205" i="1"/>
  <c r="C200" i="1"/>
  <c r="K194" i="1"/>
  <c r="G189" i="1"/>
  <c r="C184" i="1"/>
  <c r="K178" i="1"/>
  <c r="G173" i="1"/>
  <c r="C168" i="1"/>
  <c r="K162" i="1"/>
  <c r="G157" i="1"/>
  <c r="C152" i="1"/>
  <c r="K146" i="1"/>
  <c r="G141" i="1"/>
  <c r="C136" i="1"/>
  <c r="K130" i="1"/>
  <c r="G125" i="1"/>
  <c r="C120" i="1"/>
  <c r="E117" i="1"/>
  <c r="I114" i="1"/>
  <c r="A113" i="1"/>
  <c r="B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B324" i="1"/>
  <c r="F281" i="1"/>
  <c r="K252" i="1"/>
  <c r="K236" i="1"/>
  <c r="K220" i="1"/>
  <c r="K204" i="1"/>
  <c r="K188" i="1"/>
  <c r="K172" i="1"/>
  <c r="C162" i="1"/>
  <c r="C146" i="1"/>
  <c r="K124" i="1"/>
  <c r="G114" i="1"/>
  <c r="D111" i="1"/>
  <c r="L109" i="1"/>
  <c r="H106" i="1"/>
  <c r="D105" i="1"/>
  <c r="D103" i="1"/>
  <c r="H100" i="1"/>
  <c r="H98" i="1"/>
  <c r="H96" i="1"/>
  <c r="H94" i="1"/>
  <c r="H92" i="1"/>
  <c r="H90" i="1"/>
  <c r="L87" i="1"/>
  <c r="L85" i="1"/>
  <c r="L83" i="1"/>
  <c r="L81" i="1"/>
  <c r="L79" i="1"/>
  <c r="L77" i="1"/>
  <c r="L75" i="1"/>
  <c r="L73" i="1"/>
  <c r="L71" i="1"/>
  <c r="L69" i="1"/>
  <c r="D67" i="1"/>
  <c r="D65" i="1"/>
  <c r="D63" i="1"/>
  <c r="D61" i="1"/>
  <c r="D59" i="1"/>
  <c r="L57" i="1"/>
  <c r="H56" i="1"/>
  <c r="H54" i="1"/>
  <c r="D53" i="1"/>
  <c r="D51" i="1"/>
  <c r="J398" i="1"/>
  <c r="B356" i="1"/>
  <c r="F313" i="1"/>
  <c r="J270" i="1"/>
  <c r="K256" i="1"/>
  <c r="G251" i="1"/>
  <c r="C246" i="1"/>
  <c r="K240" i="1"/>
  <c r="G235" i="1"/>
  <c r="C230" i="1"/>
  <c r="K224" i="1"/>
  <c r="G219" i="1"/>
  <c r="C214" i="1"/>
  <c r="K208" i="1"/>
  <c r="G203" i="1"/>
  <c r="C198" i="1"/>
  <c r="K192" i="1"/>
  <c r="G187" i="1"/>
  <c r="C182" i="1"/>
  <c r="K176" i="1"/>
  <c r="G171" i="1"/>
  <c r="C166" i="1"/>
  <c r="K160" i="1"/>
  <c r="G155" i="1"/>
  <c r="C150" i="1"/>
  <c r="K144" i="1"/>
  <c r="G139" i="1"/>
  <c r="C134" i="1"/>
  <c r="K128" i="1"/>
  <c r="G123" i="1"/>
  <c r="K118" i="1"/>
  <c r="C116" i="1"/>
  <c r="A114" i="1"/>
  <c r="I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F393" i="1"/>
  <c r="J350" i="1"/>
  <c r="B308" i="1"/>
  <c r="F265" i="1"/>
  <c r="C256" i="1"/>
  <c r="K250" i="1"/>
  <c r="G245" i="1"/>
  <c r="C240" i="1"/>
  <c r="K234" i="1"/>
  <c r="G229" i="1"/>
  <c r="C224" i="1"/>
  <c r="K218" i="1"/>
  <c r="G213" i="1"/>
  <c r="C208" i="1"/>
  <c r="K202" i="1"/>
  <c r="G197" i="1"/>
  <c r="C192" i="1"/>
  <c r="K186" i="1"/>
  <c r="G181" i="1"/>
  <c r="C176" i="1"/>
  <c r="K170" i="1"/>
  <c r="G165" i="1"/>
  <c r="C160" i="1"/>
  <c r="K154" i="1"/>
  <c r="G149" i="1"/>
  <c r="C144" i="1"/>
  <c r="K138" i="1"/>
  <c r="G133" i="1"/>
  <c r="C128" i="1"/>
  <c r="K122" i="1"/>
  <c r="I118" i="1"/>
  <c r="A116" i="1"/>
  <c r="K113" i="1"/>
  <c r="G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B404" i="1"/>
  <c r="G257" i="1"/>
  <c r="C236" i="1"/>
  <c r="K214" i="1"/>
  <c r="G193" i="1"/>
  <c r="C172" i="1"/>
  <c r="K150" i="1"/>
  <c r="G129" i="1"/>
  <c r="C114" i="1"/>
  <c r="G110" i="1"/>
  <c r="K107" i="1"/>
  <c r="C105" i="1"/>
  <c r="G102" i="1"/>
  <c r="K99" i="1"/>
  <c r="C97" i="1"/>
  <c r="L94" i="1"/>
  <c r="A93" i="1"/>
  <c r="C91" i="1"/>
  <c r="H89" i="1"/>
  <c r="I87" i="1"/>
  <c r="K85" i="1"/>
  <c r="D84" i="1"/>
  <c r="E82" i="1"/>
  <c r="G80" i="1"/>
  <c r="L78" i="1"/>
  <c r="A77" i="1"/>
  <c r="C75" i="1"/>
  <c r="H73" i="1"/>
  <c r="I71" i="1"/>
  <c r="K69" i="1"/>
  <c r="D68" i="1"/>
  <c r="E66" i="1"/>
  <c r="G64" i="1"/>
  <c r="L62" i="1"/>
  <c r="A61" i="1"/>
  <c r="C59" i="1"/>
  <c r="H57" i="1"/>
  <c r="I55" i="1"/>
  <c r="K53" i="1"/>
  <c r="D52" i="1"/>
  <c r="E50" i="1"/>
  <c r="A49" i="1"/>
  <c r="I47" i="1"/>
  <c r="E46" i="1"/>
  <c r="A45" i="1"/>
  <c r="I43" i="1"/>
  <c r="E42" i="1"/>
  <c r="A41" i="1"/>
  <c r="I39" i="1"/>
  <c r="E38" i="1"/>
  <c r="A37" i="1"/>
  <c r="I35" i="1"/>
  <c r="E34" i="1"/>
  <c r="A33" i="1"/>
  <c r="I31" i="1"/>
  <c r="E30" i="1"/>
  <c r="A29" i="1"/>
  <c r="I27" i="1"/>
  <c r="E26" i="1"/>
  <c r="A25" i="1"/>
  <c r="I23" i="1"/>
  <c r="E22" i="1"/>
  <c r="A21" i="1"/>
  <c r="I19" i="1"/>
  <c r="E18" i="1"/>
  <c r="A17" i="1"/>
  <c r="I15" i="1"/>
  <c r="E14" i="1"/>
  <c r="A13" i="1"/>
  <c r="I11" i="1"/>
  <c r="E10" i="1"/>
  <c r="A9" i="1"/>
  <c r="I7" i="1"/>
  <c r="E6" i="1"/>
  <c r="A5" i="1"/>
  <c r="K198" i="1"/>
  <c r="C79" i="1"/>
  <c r="A65" i="1"/>
  <c r="D49" i="1"/>
  <c r="L39" i="1"/>
  <c r="L27" i="1"/>
  <c r="D17" i="1"/>
  <c r="L7" i="1"/>
  <c r="B388" i="1"/>
  <c r="G255" i="1"/>
  <c r="C234" i="1"/>
  <c r="K212" i="1"/>
  <c r="G191" i="1"/>
  <c r="C170" i="1"/>
  <c r="K148" i="1"/>
  <c r="G127" i="1"/>
  <c r="G113" i="1"/>
  <c r="D110" i="1"/>
  <c r="H107" i="1"/>
  <c r="L104" i="1"/>
  <c r="D102" i="1"/>
  <c r="H99" i="1"/>
  <c r="L96" i="1"/>
  <c r="G94" i="1"/>
  <c r="L92" i="1"/>
  <c r="A91" i="1"/>
  <c r="C89" i="1"/>
  <c r="H87" i="1"/>
  <c r="I85" i="1"/>
  <c r="K83" i="1"/>
  <c r="D82" i="1"/>
  <c r="E80" i="1"/>
  <c r="G78" i="1"/>
  <c r="L76" i="1"/>
  <c r="A75" i="1"/>
  <c r="C73" i="1"/>
  <c r="H71" i="1"/>
  <c r="I69" i="1"/>
  <c r="K67" i="1"/>
  <c r="D66" i="1"/>
  <c r="E64" i="1"/>
  <c r="G62" i="1"/>
  <c r="L60" i="1"/>
  <c r="A59" i="1"/>
  <c r="C57" i="1"/>
  <c r="H55" i="1"/>
  <c r="I53" i="1"/>
  <c r="K51" i="1"/>
  <c r="D50" i="1"/>
  <c r="L48" i="1"/>
  <c r="H47" i="1"/>
  <c r="D46" i="1"/>
  <c r="L44" i="1"/>
  <c r="H43" i="1"/>
  <c r="D42" i="1"/>
  <c r="L40" i="1"/>
  <c r="H39" i="1"/>
  <c r="D38" i="1"/>
  <c r="L36" i="1"/>
  <c r="H35" i="1"/>
  <c r="D34" i="1"/>
  <c r="L32" i="1"/>
  <c r="H31" i="1"/>
  <c r="D30" i="1"/>
  <c r="L28" i="1"/>
  <c r="H27" i="1"/>
  <c r="D26" i="1"/>
  <c r="L24" i="1"/>
  <c r="H23" i="1"/>
  <c r="D22" i="1"/>
  <c r="L20" i="1"/>
  <c r="H19" i="1"/>
  <c r="D18" i="1"/>
  <c r="L16" i="1"/>
  <c r="H15" i="1"/>
  <c r="D14" i="1"/>
  <c r="L12" i="1"/>
  <c r="H11" i="1"/>
  <c r="D10" i="1"/>
  <c r="L8" i="1"/>
  <c r="H7" i="1"/>
  <c r="D6" i="1"/>
  <c r="L4" i="1"/>
  <c r="G241" i="1"/>
  <c r="K73" i="1"/>
  <c r="K57" i="1"/>
  <c r="L43" i="1"/>
  <c r="D33" i="1"/>
  <c r="L23" i="1"/>
  <c r="D13" i="1"/>
  <c r="F361" i="1"/>
  <c r="C252" i="1"/>
  <c r="K230" i="1"/>
  <c r="G209" i="1"/>
  <c r="C188" i="1"/>
  <c r="K166" i="1"/>
  <c r="G145" i="1"/>
  <c r="C124" i="1"/>
  <c r="J112" i="1"/>
  <c r="K109" i="1"/>
  <c r="C107" i="1"/>
  <c r="G104" i="1"/>
  <c r="K101" i="1"/>
  <c r="C99" i="1"/>
  <c r="G96" i="1"/>
  <c r="E94" i="1"/>
  <c r="G92" i="1"/>
  <c r="L90" i="1"/>
  <c r="A89" i="1"/>
  <c r="C87" i="1"/>
  <c r="H85" i="1"/>
  <c r="I83" i="1"/>
  <c r="K81" i="1"/>
  <c r="D80" i="1"/>
  <c r="E78" i="1"/>
  <c r="G76" i="1"/>
  <c r="L74" i="1"/>
  <c r="A73" i="1"/>
  <c r="C71" i="1"/>
  <c r="H69" i="1"/>
  <c r="I67" i="1"/>
  <c r="K65" i="1"/>
  <c r="D64" i="1"/>
  <c r="E62" i="1"/>
  <c r="G60" i="1"/>
  <c r="L58" i="1"/>
  <c r="A57" i="1"/>
  <c r="C55" i="1"/>
  <c r="H53" i="1"/>
  <c r="I51" i="1"/>
  <c r="L49" i="1"/>
  <c r="H48" i="1"/>
  <c r="D47" i="1"/>
  <c r="L45" i="1"/>
  <c r="H44" i="1"/>
  <c r="D43" i="1"/>
  <c r="L41" i="1"/>
  <c r="H40" i="1"/>
  <c r="D39" i="1"/>
  <c r="L37" i="1"/>
  <c r="H36" i="1"/>
  <c r="D35" i="1"/>
  <c r="L33" i="1"/>
  <c r="H32" i="1"/>
  <c r="D31" i="1"/>
  <c r="L29" i="1"/>
  <c r="H28" i="1"/>
  <c r="D27" i="1"/>
  <c r="L25" i="1"/>
  <c r="H24" i="1"/>
  <c r="D23" i="1"/>
  <c r="L21" i="1"/>
  <c r="H20" i="1"/>
  <c r="D19" i="1"/>
  <c r="L17" i="1"/>
  <c r="H16" i="1"/>
  <c r="D15" i="1"/>
  <c r="L13" i="1"/>
  <c r="H12" i="1"/>
  <c r="D11" i="1"/>
  <c r="L9" i="1"/>
  <c r="H8" i="1"/>
  <c r="D7" i="1"/>
  <c r="L5" i="1"/>
  <c r="H4" i="1"/>
  <c r="C220" i="1"/>
  <c r="K134" i="1"/>
  <c r="I116" i="1"/>
  <c r="C111" i="1"/>
  <c r="K105" i="1"/>
  <c r="C103" i="1"/>
  <c r="G100" i="1"/>
  <c r="K97" i="1"/>
  <c r="C95" i="1"/>
  <c r="H93" i="1"/>
  <c r="I91" i="1"/>
  <c r="K89" i="1"/>
  <c r="E86" i="1"/>
  <c r="G84" i="1"/>
  <c r="H77" i="1"/>
  <c r="G68" i="1"/>
  <c r="C63" i="1"/>
  <c r="L50" i="1"/>
  <c r="D45" i="1"/>
  <c r="L35" i="1"/>
  <c r="H30" i="1"/>
  <c r="D25" i="1"/>
  <c r="L15" i="1"/>
  <c r="H10" i="1"/>
  <c r="F345" i="1"/>
  <c r="C250" i="1"/>
  <c r="K228" i="1"/>
  <c r="G207" i="1"/>
  <c r="C186" i="1"/>
  <c r="K164" i="1"/>
  <c r="G143" i="1"/>
  <c r="C122" i="1"/>
  <c r="F112" i="1"/>
  <c r="H109" i="1"/>
  <c r="L106" i="1"/>
  <c r="D104" i="1"/>
  <c r="H101" i="1"/>
  <c r="L98" i="1"/>
  <c r="D96" i="1"/>
  <c r="D94" i="1"/>
  <c r="E92" i="1"/>
  <c r="G90" i="1"/>
  <c r="L88" i="1"/>
  <c r="A87" i="1"/>
  <c r="C85" i="1"/>
  <c r="H83" i="1"/>
  <c r="I81" i="1"/>
  <c r="K79" i="1"/>
  <c r="D78" i="1"/>
  <c r="E76" i="1"/>
  <c r="G74" i="1"/>
  <c r="L72" i="1"/>
  <c r="A71" i="1"/>
  <c r="C69" i="1"/>
  <c r="H67" i="1"/>
  <c r="I65" i="1"/>
  <c r="K63" i="1"/>
  <c r="D62" i="1"/>
  <c r="E60" i="1"/>
  <c r="G58" i="1"/>
  <c r="L56" i="1"/>
  <c r="A55" i="1"/>
  <c r="C53" i="1"/>
  <c r="H51" i="1"/>
  <c r="K49" i="1"/>
  <c r="G48" i="1"/>
  <c r="C47" i="1"/>
  <c r="K45" i="1"/>
  <c r="G44" i="1"/>
  <c r="C43" i="1"/>
  <c r="K41" i="1"/>
  <c r="G40" i="1"/>
  <c r="C39" i="1"/>
  <c r="K37" i="1"/>
  <c r="G36" i="1"/>
  <c r="C35" i="1"/>
  <c r="K33" i="1"/>
  <c r="G32" i="1"/>
  <c r="C31" i="1"/>
  <c r="K29" i="1"/>
  <c r="G28" i="1"/>
  <c r="C27" i="1"/>
  <c r="K25" i="1"/>
  <c r="G24" i="1"/>
  <c r="C23" i="1"/>
  <c r="K21" i="1"/>
  <c r="G20" i="1"/>
  <c r="C19" i="1"/>
  <c r="K17" i="1"/>
  <c r="G16" i="1"/>
  <c r="C15" i="1"/>
  <c r="K13" i="1"/>
  <c r="G12" i="1"/>
  <c r="C11" i="1"/>
  <c r="K9" i="1"/>
  <c r="G8" i="1"/>
  <c r="C7" i="1"/>
  <c r="K5" i="1"/>
  <c r="G4" i="1"/>
  <c r="B276" i="1"/>
  <c r="E70" i="1"/>
  <c r="G52" i="1"/>
  <c r="H42" i="1"/>
  <c r="L31" i="1"/>
  <c r="D21" i="1"/>
  <c r="D9" i="1"/>
  <c r="J318" i="1"/>
  <c r="K246" i="1"/>
  <c r="G225" i="1"/>
  <c r="C204" i="1"/>
  <c r="K182" i="1"/>
  <c r="G161" i="1"/>
  <c r="C140" i="1"/>
  <c r="E119" i="1"/>
  <c r="K111" i="1"/>
  <c r="C109" i="1"/>
  <c r="G106" i="1"/>
  <c r="K103" i="1"/>
  <c r="C101" i="1"/>
  <c r="G98" i="1"/>
  <c r="K95" i="1"/>
  <c r="K93" i="1"/>
  <c r="D92" i="1"/>
  <c r="E90" i="1"/>
  <c r="G88" i="1"/>
  <c r="L86" i="1"/>
  <c r="A85" i="1"/>
  <c r="C83" i="1"/>
  <c r="H81" i="1"/>
  <c r="I79" i="1"/>
  <c r="K77" i="1"/>
  <c r="D76" i="1"/>
  <c r="E74" i="1"/>
  <c r="G72" i="1"/>
  <c r="L70" i="1"/>
  <c r="A69" i="1"/>
  <c r="C67" i="1"/>
  <c r="H65" i="1"/>
  <c r="I63" i="1"/>
  <c r="K61" i="1"/>
  <c r="D60" i="1"/>
  <c r="E58" i="1"/>
  <c r="G56" i="1"/>
  <c r="L54" i="1"/>
  <c r="A53" i="1"/>
  <c r="C51" i="1"/>
  <c r="I49" i="1"/>
  <c r="E48" i="1"/>
  <c r="A47" i="1"/>
  <c r="I45" i="1"/>
  <c r="E44" i="1"/>
  <c r="A43" i="1"/>
  <c r="I41" i="1"/>
  <c r="E40" i="1"/>
  <c r="A39" i="1"/>
  <c r="I37" i="1"/>
  <c r="E36" i="1"/>
  <c r="A35" i="1"/>
  <c r="I33" i="1"/>
  <c r="E32" i="1"/>
  <c r="A31" i="1"/>
  <c r="I29" i="1"/>
  <c r="E28" i="1"/>
  <c r="A27" i="1"/>
  <c r="I25" i="1"/>
  <c r="E24" i="1"/>
  <c r="A23" i="1"/>
  <c r="I21" i="1"/>
  <c r="E20" i="1"/>
  <c r="A19" i="1"/>
  <c r="I17" i="1"/>
  <c r="E16" i="1"/>
  <c r="A15" i="1"/>
  <c r="I13" i="1"/>
  <c r="E12" i="1"/>
  <c r="A11" i="1"/>
  <c r="I9" i="1"/>
  <c r="E8" i="1"/>
  <c r="A7" i="1"/>
  <c r="I5" i="1"/>
  <c r="E4" i="1"/>
  <c r="G177" i="1"/>
  <c r="I75" i="1"/>
  <c r="E54" i="1"/>
  <c r="D37" i="1"/>
  <c r="H22" i="1"/>
  <c r="H6" i="1"/>
  <c r="J302" i="1"/>
  <c r="K244" i="1"/>
  <c r="G223" i="1"/>
  <c r="C202" i="1"/>
  <c r="K180" i="1"/>
  <c r="G159" i="1"/>
  <c r="C138" i="1"/>
  <c r="C118" i="1"/>
  <c r="H111" i="1"/>
  <c r="L108" i="1"/>
  <c r="D106" i="1"/>
  <c r="H103" i="1"/>
  <c r="L100" i="1"/>
  <c r="D98" i="1"/>
  <c r="H95" i="1"/>
  <c r="I93" i="1"/>
  <c r="K91" i="1"/>
  <c r="D90" i="1"/>
  <c r="E88" i="1"/>
  <c r="G86" i="1"/>
  <c r="L84" i="1"/>
  <c r="A83" i="1"/>
  <c r="C81" i="1"/>
  <c r="H79" i="1"/>
  <c r="I77" i="1"/>
  <c r="K75" i="1"/>
  <c r="D74" i="1"/>
  <c r="E72" i="1"/>
  <c r="G70" i="1"/>
  <c r="L68" i="1"/>
  <c r="A67" i="1"/>
  <c r="C65" i="1"/>
  <c r="H63" i="1"/>
  <c r="I61" i="1"/>
  <c r="K59" i="1"/>
  <c r="D58" i="1"/>
  <c r="E56" i="1"/>
  <c r="G54" i="1"/>
  <c r="L52" i="1"/>
  <c r="A51" i="1"/>
  <c r="H49" i="1"/>
  <c r="D48" i="1"/>
  <c r="L46" i="1"/>
  <c r="H45" i="1"/>
  <c r="D44" i="1"/>
  <c r="L42" i="1"/>
  <c r="H41" i="1"/>
  <c r="D40" i="1"/>
  <c r="L38" i="1"/>
  <c r="H37" i="1"/>
  <c r="D36" i="1"/>
  <c r="L34" i="1"/>
  <c r="H33" i="1"/>
  <c r="D32" i="1"/>
  <c r="L30" i="1"/>
  <c r="H29" i="1"/>
  <c r="D28" i="1"/>
  <c r="L26" i="1"/>
  <c r="H25" i="1"/>
  <c r="D24" i="1"/>
  <c r="L22" i="1"/>
  <c r="H21" i="1"/>
  <c r="D20" i="1"/>
  <c r="L18" i="1"/>
  <c r="H17" i="1"/>
  <c r="D16" i="1"/>
  <c r="L14" i="1"/>
  <c r="H13" i="1"/>
  <c r="D12" i="1"/>
  <c r="L10" i="1"/>
  <c r="H9" i="1"/>
  <c r="D8" i="1"/>
  <c r="L6" i="1"/>
  <c r="H5" i="1"/>
  <c r="D4" i="1"/>
  <c r="C156" i="1"/>
  <c r="A81" i="1"/>
  <c r="I59" i="1"/>
  <c r="L47" i="1"/>
  <c r="H38" i="1"/>
  <c r="D29" i="1"/>
  <c r="L19" i="1"/>
  <c r="L11" i="1"/>
  <c r="A261" i="1"/>
  <c r="G239" i="1"/>
  <c r="C218" i="1"/>
  <c r="K196" i="1"/>
  <c r="G175" i="1"/>
  <c r="C154" i="1"/>
  <c r="K132" i="1"/>
  <c r="G115" i="1"/>
  <c r="L110" i="1"/>
  <c r="D108" i="1"/>
  <c r="H105" i="1"/>
  <c r="L102" i="1"/>
  <c r="D100" i="1"/>
  <c r="H97" i="1"/>
  <c r="A95" i="1"/>
  <c r="C93" i="1"/>
  <c r="H91" i="1"/>
  <c r="I89" i="1"/>
  <c r="K87" i="1"/>
  <c r="D86" i="1"/>
  <c r="E84" i="1"/>
  <c r="G82" i="1"/>
  <c r="L80" i="1"/>
  <c r="A79" i="1"/>
  <c r="C77" i="1"/>
  <c r="H75" i="1"/>
  <c r="I73" i="1"/>
  <c r="K71" i="1"/>
  <c r="D70" i="1"/>
  <c r="E68" i="1"/>
  <c r="G66" i="1"/>
  <c r="L64" i="1"/>
  <c r="A63" i="1"/>
  <c r="C61" i="1"/>
  <c r="H59" i="1"/>
  <c r="I57" i="1"/>
  <c r="K55" i="1"/>
  <c r="D54" i="1"/>
  <c r="E52" i="1"/>
  <c r="G50" i="1"/>
  <c r="C49" i="1"/>
  <c r="K47" i="1"/>
  <c r="G46" i="1"/>
  <c r="C45" i="1"/>
  <c r="K43" i="1"/>
  <c r="G42" i="1"/>
  <c r="C41" i="1"/>
  <c r="K39" i="1"/>
  <c r="G38" i="1"/>
  <c r="C37" i="1"/>
  <c r="K35" i="1"/>
  <c r="G34" i="1"/>
  <c r="C33" i="1"/>
  <c r="K31" i="1"/>
  <c r="G30" i="1"/>
  <c r="C29" i="1"/>
  <c r="K27" i="1"/>
  <c r="G26" i="1"/>
  <c r="C25" i="1"/>
  <c r="K23" i="1"/>
  <c r="G22" i="1"/>
  <c r="C21" i="1"/>
  <c r="K19" i="1"/>
  <c r="G18" i="1"/>
  <c r="C17" i="1"/>
  <c r="K15" i="1"/>
  <c r="G14" i="1"/>
  <c r="C13" i="1"/>
  <c r="K11" i="1"/>
  <c r="G10" i="1"/>
  <c r="C9" i="1"/>
  <c r="K7" i="1"/>
  <c r="G6" i="1"/>
  <c r="C5" i="1"/>
  <c r="G108" i="1"/>
  <c r="D88" i="1"/>
  <c r="L82" i="1"/>
  <c r="D72" i="1"/>
  <c r="L66" i="1"/>
  <c r="H61" i="1"/>
  <c r="D56" i="1"/>
  <c r="H46" i="1"/>
  <c r="D41" i="1"/>
  <c r="H34" i="1"/>
  <c r="H26" i="1"/>
  <c r="H18" i="1"/>
  <c r="H14" i="1"/>
  <c r="D5" i="1"/>
</calcChain>
</file>

<file path=xl/sharedStrings.xml><?xml version="1.0" encoding="utf-8"?>
<sst xmlns="http://schemas.openxmlformats.org/spreadsheetml/2006/main" count="313" uniqueCount="55">
  <si>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</si>
  <si>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</si>
  <si>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</si>
  <si>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</si>
  <si>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</si>
  <si>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</si>
  <si>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</si>
  <si>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</si>
  <si>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</si>
  <si>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</si>
  <si>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</si>
  <si>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</si>
  <si>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</si>
  <si>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</si>
  <si>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</si>
  <si>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</si>
  <si>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MSFT</t>
  </si>
  <si>
    <t>Buy</t>
  </si>
  <si>
    <t>Allocation1</t>
  </si>
  <si>
    <t>AAPL</t>
  </si>
  <si>
    <t>Unallocated</t>
  </si>
  <si>
    <t>CreateDoneAwayOrder</t>
  </si>
  <si>
    <t>FRU-TC</t>
  </si>
  <si>
    <t>BMW-FRA</t>
  </si>
  <si>
    <t>Blotter</t>
  </si>
  <si>
    <t>VerifyOrder</t>
  </si>
  <si>
    <t>Equity</t>
  </si>
  <si>
    <t>New</t>
  </si>
  <si>
    <t>MS</t>
  </si>
  <si>
    <t>Market</t>
  </si>
  <si>
    <t>PartiallyFilled</t>
  </si>
  <si>
    <t>TradeNewSubOrder</t>
  </si>
  <si>
    <t>CreateNewSubOrder</t>
  </si>
  <si>
    <t>EditStageOrder</t>
  </si>
  <si>
    <t>CreateReplaceOrder</t>
  </si>
  <si>
    <t>SelectTradeOnOrderGrid</t>
  </si>
  <si>
    <t>CancelSubOrder</t>
  </si>
  <si>
    <t>VerifySubOrder</t>
  </si>
  <si>
    <t>Cancelled</t>
  </si>
  <si>
    <t>Replaced</t>
  </si>
  <si>
    <t>VerifyWorkingSubs</t>
  </si>
  <si>
    <t>Allocation</t>
  </si>
  <si>
    <t>GetDataAllocation</t>
  </si>
  <si>
    <t>Current</t>
  </si>
  <si>
    <t>CheckAllocatedGroups</t>
  </si>
  <si>
    <t>CAD</t>
  </si>
  <si>
    <t>BMW BAYERISCHE MOTOREN WERKE AG</t>
  </si>
  <si>
    <t>EUR</t>
  </si>
  <si>
    <t>MICROSOFT INC</t>
  </si>
  <si>
    <t>USD</t>
  </si>
  <si>
    <t>PortfolioManagement</t>
  </si>
  <si>
    <t>CheckPortfolioManagement</t>
  </si>
  <si>
    <t>Long</t>
  </si>
  <si>
    <t>US</t>
  </si>
  <si>
    <t>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</si>
</sst>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,###,###,###,##0.00#############"/>
    <numFmt numFmtId="165" formatCode="#,###,##0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3" fontId="2" fillId="0" borderId="0" xfId="0" applyNumberFormat="1" applyFont="1" applyAlignment="1"/>
    <xf numFmtId="3" fontId="5" fillId="0" borderId="0" xfId="0" applyNumberFormat="1" applyFont="1" applyAlignment="1"/>
    <xf numFmtId="0" fontId="13" fillId="0" borderId="0" xfId="0" applyFont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165" fontId="13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32" t="s">
        <v>0</v>
      </c>
      <c r="B1" s="33"/>
      <c r="C1" s="33"/>
      <c r="D1" s="33"/>
      <c r="E1" s="33"/>
      <c r="F1" s="34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2" t="s">
        <v>1</v>
      </c>
      <c r="B3" s="3"/>
      <c r="C3" s="4"/>
      <c r="D3" s="4"/>
      <c r="E3" s="4"/>
      <c r="F3" s="4"/>
    </row>
    <row r="4" spans="1:12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35" t="s">
        <v>2</v>
      </c>
      <c r="B1" s="33"/>
      <c r="C1" s="34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32" t="s">
        <v>7</v>
      </c>
      <c r="B1" s="33"/>
      <c r="C1" s="33"/>
      <c r="D1" s="33"/>
      <c r="E1" s="33"/>
      <c r="F1" s="34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16</v>
      </c>
      <c r="C6" s="7" t="s">
        <v>17</v>
      </c>
      <c r="D6" s="7">
        <v>1000</v>
      </c>
      <c r="E6" s="7">
        <v>1000</v>
      </c>
      <c r="F6" s="7" t="s">
        <v>18</v>
      </c>
      <c r="G6" s="5"/>
      <c r="H6" s="5"/>
      <c r="I6" s="5"/>
      <c r="J6" s="7">
        <v>500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19</v>
      </c>
      <c r="C6" s="7" t="s">
        <v>17</v>
      </c>
      <c r="D6" s="7">
        <v>1000</v>
      </c>
      <c r="E6" s="7">
        <v>1000</v>
      </c>
      <c r="F6" s="7" t="s">
        <v>20</v>
      </c>
      <c r="G6" s="5"/>
      <c r="H6" s="5"/>
      <c r="I6" s="5"/>
      <c r="J6" s="7">
        <v>500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22</v>
      </c>
      <c r="C6" s="7" t="s">
        <v>17</v>
      </c>
      <c r="D6" s="7">
        <v>1000</v>
      </c>
      <c r="E6" s="7">
        <v>500</v>
      </c>
      <c r="F6" s="7" t="s">
        <v>18</v>
      </c>
      <c r="G6" s="5"/>
      <c r="H6" s="5"/>
      <c r="I6" s="5"/>
      <c r="J6" s="7">
        <v>800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23</v>
      </c>
      <c r="C6" s="7" t="s">
        <v>17</v>
      </c>
      <c r="D6" s="7">
        <v>1000</v>
      </c>
      <c r="E6" s="7">
        <v>500</v>
      </c>
      <c r="F6" s="7" t="s">
        <v>18</v>
      </c>
      <c r="G6" s="5"/>
      <c r="H6" s="5"/>
      <c r="I6" s="5"/>
      <c r="J6" s="7">
        <v>800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26</v>
      </c>
      <c r="AI6" s="6" t="s">
        <v>16</v>
      </c>
      <c r="AJ6" s="6" t="s">
        <v>17</v>
      </c>
      <c r="AK6" s="6" t="s">
        <v>27</v>
      </c>
      <c r="AL6" s="26">
        <v>1000</v>
      </c>
      <c r="AP6" s="26">
        <v>1000</v>
      </c>
      <c r="AQ6" s="6">
        <v>0</v>
      </c>
      <c r="AR6" s="6">
        <v>0</v>
      </c>
      <c r="AS6" s="6" t="s">
        <v>28</v>
      </c>
      <c r="AT6" s="6" t="s">
        <v>18</v>
      </c>
      <c r="AU6" s="6" t="s">
        <v>29</v>
      </c>
      <c r="AV6" s="6">
        <v>0</v>
      </c>
      <c r="AW6" s="6">
        <v>0</v>
      </c>
      <c r="AY6" s="26">
        <v>1000</v>
      </c>
      <c r="AZ6" s="6">
        <v>1000</v>
      </c>
    </row>
    <row r="7" spans="1:154" ht="15.75" customHeight="1">
      <c r="A7" s="5"/>
      <c r="B7" s="5"/>
      <c r="C7" s="5"/>
      <c r="D7" s="7">
        <v>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AD7" s="6">
        <v>1</v>
      </c>
      <c r="AH7" s="6" t="s">
        <v>26</v>
      </c>
      <c r="AI7" s="6" t="s">
        <v>19</v>
      </c>
      <c r="AJ7" s="6" t="s">
        <v>17</v>
      </c>
      <c r="AK7" s="6" t="s">
        <v>27</v>
      </c>
      <c r="AL7" s="26">
        <v>1000</v>
      </c>
      <c r="AP7" s="26">
        <v>1000</v>
      </c>
      <c r="AQ7" s="6">
        <v>0</v>
      </c>
      <c r="AR7" s="6">
        <v>0</v>
      </c>
      <c r="AS7" s="6" t="s">
        <v>28</v>
      </c>
      <c r="AU7" s="6" t="s">
        <v>29</v>
      </c>
      <c r="AV7" s="6">
        <v>0</v>
      </c>
      <c r="AW7" s="6">
        <v>0</v>
      </c>
      <c r="AY7" s="26">
        <v>1000</v>
      </c>
      <c r="AZ7" s="6">
        <v>1000</v>
      </c>
    </row>
    <row r="8" spans="1:154" ht="15.75" customHeight="1">
      <c r="A8" s="5"/>
      <c r="B8" s="5"/>
      <c r="C8" s="5"/>
      <c r="D8" s="7">
        <v>0</v>
      </c>
      <c r="E8" s="5"/>
      <c r="F8" s="5"/>
      <c r="G8" s="7">
        <v>500</v>
      </c>
      <c r="H8" s="5"/>
      <c r="I8" s="5"/>
      <c r="J8" s="5"/>
      <c r="K8" s="5"/>
      <c r="L8" s="5"/>
      <c r="M8" s="5"/>
      <c r="N8" s="5"/>
      <c r="O8" s="5"/>
      <c r="AD8" s="6">
        <v>0</v>
      </c>
      <c r="AH8" s="6" t="s">
        <v>26</v>
      </c>
      <c r="AI8" s="6" t="s">
        <v>22</v>
      </c>
      <c r="AJ8" s="6" t="s">
        <v>17</v>
      </c>
      <c r="AK8" s="6" t="s">
        <v>30</v>
      </c>
      <c r="AL8" s="26">
        <v>1000</v>
      </c>
      <c r="AM8" s="6">
        <v>500</v>
      </c>
      <c r="AN8" s="6">
        <v>50</v>
      </c>
      <c r="AO8" s="6">
        <v>500</v>
      </c>
      <c r="AQ8" s="6">
        <v>800</v>
      </c>
      <c r="AR8" s="6">
        <v>800</v>
      </c>
      <c r="AS8" s="6" t="s">
        <v>28</v>
      </c>
      <c r="AT8" s="6" t="s">
        <v>18</v>
      </c>
      <c r="AU8" s="6" t="s">
        <v>29</v>
      </c>
      <c r="AV8" s="26">
        <v>400000</v>
      </c>
      <c r="AW8" s="6">
        <v>0</v>
      </c>
      <c r="AY8" s="26">
        <v>1000</v>
      </c>
      <c r="AZ8" s="6">
        <v>500</v>
      </c>
    </row>
    <row r="9" spans="1:154" ht="15.75" customHeight="1">
      <c r="A9" s="5"/>
      <c r="B9" s="5"/>
      <c r="C9" s="5"/>
      <c r="D9" s="7">
        <v>0</v>
      </c>
      <c r="E9" s="5"/>
      <c r="F9" s="5"/>
      <c r="G9" s="7">
        <v>500</v>
      </c>
      <c r="H9" s="5"/>
      <c r="I9" s="5"/>
      <c r="J9" s="5"/>
      <c r="K9" s="5"/>
      <c r="L9" s="5"/>
      <c r="M9" s="5"/>
      <c r="N9" s="5"/>
      <c r="O9" s="5"/>
      <c r="AD9" s="6">
        <v>0</v>
      </c>
      <c r="AH9" s="6" t="s">
        <v>26</v>
      </c>
      <c r="AI9" s="6" t="s">
        <v>23</v>
      </c>
      <c r="AJ9" s="6" t="s">
        <v>17</v>
      </c>
      <c r="AK9" s="6" t="s">
        <v>30</v>
      </c>
      <c r="AL9" s="26">
        <v>1000</v>
      </c>
      <c r="AM9" s="6">
        <v>500</v>
      </c>
      <c r="AN9" s="6">
        <v>50</v>
      </c>
      <c r="AO9" s="6">
        <v>500</v>
      </c>
      <c r="AQ9" s="6">
        <v>800</v>
      </c>
      <c r="AR9" s="6">
        <v>800</v>
      </c>
      <c r="AS9" s="6" t="s">
        <v>28</v>
      </c>
      <c r="AT9" s="6" t="s">
        <v>18</v>
      </c>
      <c r="AU9" s="6" t="s">
        <v>29</v>
      </c>
      <c r="AV9" s="26">
        <v>400000</v>
      </c>
      <c r="AW9" s="6">
        <v>0</v>
      </c>
      <c r="AY9" s="26">
        <v>1000</v>
      </c>
      <c r="AZ9" s="6">
        <v>500</v>
      </c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H6" s="6" t="s">
        <v>26</v>
      </c>
      <c r="AI6" s="6" t="s">
        <v>16</v>
      </c>
      <c r="AJ6" s="6" t="s">
        <v>17</v>
      </c>
      <c r="AK6" s="6" t="s">
        <v>27</v>
      </c>
      <c r="AL6" s="26">
        <v>1000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500</v>
      </c>
      <c r="E6" s="7">
        <v>200</v>
      </c>
      <c r="F6" s="5"/>
      <c r="G6" s="5"/>
      <c r="H6" s="5"/>
      <c r="I6" s="5"/>
      <c r="J6" s="7">
        <v>600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1")</f>
        <v>Trade Attribute 1</v>
      </c>
      <c r="N5" s="22" t="str">
        <f ca="1">IFERROR(__xludf.DUMMYFUNCTION("""COMPUTED_VALUE"""),"Trade Attribute 2")</f>
        <v>Trade Attribute 2</v>
      </c>
      <c r="O5" s="22" t="str">
        <f ca="1">IFERROR(__xludf.DUMMYFUNCTION("""COMPUTED_VALUE"""),"Trade Attribute 3")</f>
        <v>Trade Attribute 3</v>
      </c>
      <c r="P5" s="22" t="str">
        <f ca="1">IFERROR(__xludf.DUMMYFUNCTION("""COMPUTED_VALUE"""),"Trade Attribute 4")</f>
        <v>Trade Attribute 4</v>
      </c>
      <c r="Q5" s="22" t="str">
        <f ca="1">IFERROR(__xludf.DUMMYFUNCTION("""COMPUTED_VALUE"""),"Trade Attribute 5")</f>
        <v>Trade Attribute 5</v>
      </c>
      <c r="R5" s="22" t="str">
        <f ca="1">IFERROR(__xludf.DUMMYFUNCTION("""COMPUTED_VALUE"""),"Trade Attribute 6")</f>
        <v>Trade Attribute 6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H6" s="6" t="s">
        <v>26</v>
      </c>
      <c r="AI6" s="6" t="s">
        <v>23</v>
      </c>
      <c r="AJ6" s="6" t="s">
        <v>17</v>
      </c>
      <c r="AK6" s="6" t="s">
        <v>30</v>
      </c>
      <c r="AL6" s="26">
        <v>1000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IFERROR(__xludf.DUMMYFUNCTION("""COMPUTED_VALUE"""),"MasterFund")</f>
        <v>MasterFund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1200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IFERROR(__xludf.DUMMYFUNCTION("""COMPUTED_VALUE"""),"Avg Fill Price (Base)")</f>
        <v>Avg Fill Price (Base)</v>
      </c>
      <c r="C5" s="22" t="str">
        <f ca="1">IFERROR(__xludf.DUMMYFUNCTION("""COMPUTED_VALUE"""),"Transaction Time")</f>
        <v>Transaction Time</v>
      </c>
      <c r="D5" s="22" t="str">
        <f ca="1">IFERROR(__xludf.DUMMYFUNCTION("""COMPUTED_VALUE"""),"Symbol")</f>
        <v>Symbol</v>
      </c>
      <c r="E5" s="22" t="str">
        <f ca="1">IFERROR(__xludf.DUMMYFUNCTION("""COMPUTED_VALUE"""),"Algo")</f>
        <v>Algo</v>
      </c>
      <c r="F5" s="23" t="str">
        <f ca="1">IFERROR(__xludf.DUMMYFUNCTION("""COMPUTED_VALUE"""),"Side")</f>
        <v>Side</v>
      </c>
      <c r="G5" s="22" t="str">
        <f ca="1">IFERROR(__xludf.DUMMYFUNCTION("""COMPUTED_VALUE"""),"Status")</f>
        <v>Status</v>
      </c>
      <c r="H5" s="22" t="str">
        <f ca="1">IFERROR(__xludf.DUMMYFUNCTION("""COMPUTED_VALUE"""),"Target Qty")</f>
        <v>Target Qty</v>
      </c>
      <c r="I5" s="22" t="str">
        <f ca="1">IFERROR(__xludf.DUMMYFUNCTION("""COMPUTED_VALUE"""),"Total Executed Qty")</f>
        <v>Total Executed Qty</v>
      </c>
      <c r="J5" s="22" t="str">
        <f ca="1">IFERROR(__xludf.DUMMYFUNCTION("""COMPUTED_VALUE"""),"% Executed")</f>
        <v>% Executed</v>
      </c>
      <c r="K5" s="22" t="str">
        <f ca="1">IFERROR(__xludf.DUMMYFUNCTION("""COMPUTED_VALUE"""),"Day Executed Qty")</f>
        <v>Day Executed Qty</v>
      </c>
      <c r="L5" s="22" t="str">
        <f ca="1">IFERROR(__xludf.DUMMYFUNCTION("""COMPUTED_VALUE"""),"Uncommitted Qty")</f>
        <v>Uncommitted Qty</v>
      </c>
      <c r="M5" s="22" t="str">
        <f ca="1">IFERROR(__xludf.DUMMYFUNCTION("""COMPUTED_VALUE"""),"Limit Price")</f>
        <v>Limit Price</v>
      </c>
      <c r="N5" s="22" t="str">
        <f ca="1">IFERROR(__xludf.DUMMYFUNCTION("""COMPUTED_VALUE"""),"Last Fill Price (Local)")</f>
        <v>Last Fill Price (Local)</v>
      </c>
      <c r="O5" s="22" t="str">
        <f ca="1">IFERROR(__xludf.DUMMYFUNCTION("""COMPUTED_VALUE"""),"Stop Price")</f>
        <v>Stop Price</v>
      </c>
      <c r="P5" s="22" t="str">
        <f ca="1">IFERROR(__xludf.DUMMYFUNCTION("""COMPUTED_VALUE"""),"Avg Fill Price (Local)")</f>
        <v>Avg Fill Price (Local)</v>
      </c>
      <c r="Q5" s="22" t="str">
        <f ca="1">IFERROR(__xludf.DUMMYFUNCTION("""COMPUTED_VALUE"""),"Broker")</f>
        <v>Broker</v>
      </c>
      <c r="R5" s="22" t="str">
        <f ca="1">IFERROR(__xludf.DUMMYFUNCTION("""COMPUTED_VALUE"""),"Account")</f>
        <v>Account</v>
      </c>
      <c r="S5" s="22" t="str">
        <f ca="1">IFERROR(__xludf.DUMMYFUNCTION("""COMPUTED_VALUE"""),"OrderID")</f>
        <v>OrderID</v>
      </c>
      <c r="T5" s="24" t="str">
        <f ca="1">IFERROR(__xludf.DUMMYFUNCTION("""COMPUTED_VALUE"""),"Order Type")</f>
        <v>Order Type</v>
      </c>
      <c r="U5" s="24" t="str">
        <f ca="1">IFERROR(__xludf.DUMMYFUNCTION("""COMPUTED_VALUE"""),"Principal Amount (Local)")</f>
        <v>Principal Amount (Local)</v>
      </c>
      <c r="V5" s="24" t="str">
        <f ca="1">IFERROR(__xludf.DUMMYFUNCTION("""COMPUTED_VALUE"""),"Principal Amount (Base)")</f>
        <v>Principal Amount (Base)</v>
      </c>
      <c r="W5" s="24" t="str">
        <f ca="1">IFERROR(__xludf.DUMMYFUNCTION("""COMPUTED_VALUE"""),"Peg")</f>
        <v>Peg</v>
      </c>
      <c r="X5" s="24" t="str">
        <f ca="1">IFERROR(__xludf.DUMMYFUNCTION("""COMPUTED_VALUE"""),"ParentClOrderID")</f>
        <v>ParentClOrderID</v>
      </c>
      <c r="Y5" s="24" t="str">
        <f ca="1">IFERROR(__xludf.DUMMYFUNCTION("""COMPUTED_VALUE"""),"Strike Price")</f>
        <v>Strike Price</v>
      </c>
      <c r="Z5" s="24" t="str">
        <f ca="1">IFERROR(__xludf.DUMMYFUNCTION("""COMPUTED_VALUE"""),"Last Shares")</f>
        <v>Last Shares</v>
      </c>
      <c r="AA5" s="24" t="str">
        <f ca="1">IFERROR(__xludf.DUMMYFUNCTION("""COMPUTED_VALUE"""),"Working Qty")</f>
        <v>Working Qty</v>
      </c>
      <c r="AB5" s="24" t="str">
        <f ca="1">IFERROR(__xludf.DUMMYFUNCTION("""COMPUTED_VALUE"""),"Bloomberg Symbol")</f>
        <v>Bloomberg Symbol</v>
      </c>
      <c r="AC5" s="24" t="str">
        <f ca="1">IFERROR(__xludf.DUMMYFUNCTION("""COMPUTED_VALUE"""),"Imported File Name")</f>
        <v>Imported File Name</v>
      </c>
      <c r="AD5" s="24" t="str">
        <f ca="1">IFERROR(__xludf.DUMMYFUNCTION("""COMPUTED_VALUE"""),"Master Fund")</f>
        <v>Master Fund</v>
      </c>
      <c r="AE5" s="24" t="str">
        <f ca="1">IFERROR(__xludf.DUMMYFUNCTION("""COMPUTED_VALUE"""),"Day Average Price")</f>
        <v>Day Average Price</v>
      </c>
      <c r="AF5" s="24" t="str">
        <f ca="1">IFERROR(__xludf.DUMMYFUNCTION("""COMPUTED_VALUE"""),"Asset Class")</f>
        <v>Asset Class</v>
      </c>
      <c r="AG5" s="24" t="str">
        <f ca="1">IFERROR(__xludf.DUMMYFUNCTION("""COMPUTED_VALUE"""),"Underlying Country")</f>
        <v>Underlying Country</v>
      </c>
      <c r="AH5" s="24" t="str">
        <f ca="1">IFERROR(__xludf.DUMMYFUNCTION("""COMPUTED_VALUE"""),"Trader")</f>
        <v>Trader</v>
      </c>
      <c r="AI5" s="24" t="str">
        <f ca="1">IFERROR(__xludf.DUMMYFUNCTION("""COMPUTED_VALUE"""),"User")</f>
        <v>User</v>
      </c>
      <c r="AJ5" s="24" t="str">
        <f ca="1">IFERROR(__xludf.DUMMYFUNCTION("""COMPUTED_VALUE"""),"Venue")</f>
        <v>Venue</v>
      </c>
      <c r="AK5" s="24" t="str">
        <f ca="1">IFERROR(__xludf.DUMMYFUNCTION("""COMPUTED_VALUE"""),"Settlement Currency")</f>
        <v>Settlement Currency</v>
      </c>
      <c r="AL5" s="24" t="str">
        <f ca="1">IFERROR(__xludf.DUMMYFUNCTION("""COMPUTED_VALUE"""),"FX Conversion Operator")</f>
        <v>FX Conversion Operator</v>
      </c>
      <c r="AM5" s="24" t="str">
        <f ca="1">IFERROR(__xludf.DUMMYFUNCTION("""COMPUTED_VALUE"""),"Process Date")</f>
        <v>Process Date</v>
      </c>
      <c r="AN5" s="24" t="str">
        <f ca="1">IFERROR(__xludf.DUMMYFUNCTION("""COMPUTED_VALUE"""),"Underlying Symbol")</f>
        <v>Underlying Symbol</v>
      </c>
      <c r="AO5" s="24" t="str">
        <f ca="1">IFERROR(__xludf.DUMMYFUNCTION("""COMPUTED_VALUE"""),"Put/Call")</f>
        <v>Put/Call</v>
      </c>
      <c r="AP5" s="24" t="str">
        <f ca="1">IFERROR(__xludf.DUMMYFUNCTION("""COMPUTED_VALUE"""),"FX Rate")</f>
        <v>FX Rate</v>
      </c>
      <c r="AQ5" s="24" t="str">
        <f ca="1">IFERROR(__xludf.DUMMYFUNCTION("""COMPUTED_VALUE"""),"Trade Attribute 1")</f>
        <v>Trade Attribute 1</v>
      </c>
      <c r="AR5" s="24" t="str">
        <f ca="1">IFERROR(__xludf.DUMMYFUNCTION("""COMPUTED_VALUE"""),"Trade Attribute 2")</f>
        <v>Trade Attribute 2</v>
      </c>
      <c r="AS5" s="24" t="str">
        <f ca="1">IFERROR(__xludf.DUMMYFUNCTION("""COMPUTED_VALUE"""),"Trade Attribute 3")</f>
        <v>Trade Attribute 3</v>
      </c>
      <c r="AT5" s="24" t="str">
        <f ca="1">IFERROR(__xludf.DUMMYFUNCTION("""COMPUTED_VALUE"""),"Trade Attribute 4")</f>
        <v>Trade Attribute 4</v>
      </c>
      <c r="AU5" s="24" t="str">
        <f ca="1">IFERROR(__xludf.DUMMYFUNCTION("""COMPUTED_VALUE"""),"Trade Attribute 5")</f>
        <v>Trade Attribute 5</v>
      </c>
      <c r="AV5" s="24" t="str">
        <f ca="1">IFERROR(__xludf.DUMMYFUNCTION("""COMPUTED_VALUE"""),"Trade Attribute 6")</f>
        <v>Trade Attribute 6</v>
      </c>
      <c r="AW5" s="24" t="str">
        <f ca="1">IFERROR(__xludf.DUMMYFUNCTION("""COMPUTED_VALUE"""),"Internal Comments")</f>
        <v>Internal Comments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 t="s">
        <v>16</v>
      </c>
      <c r="E6" s="25"/>
      <c r="F6" s="7" t="s">
        <v>17</v>
      </c>
      <c r="G6" s="7" t="s">
        <v>30</v>
      </c>
      <c r="H6" s="27">
        <v>1000</v>
      </c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1")</f>
        <v>Trade Attribute 1</v>
      </c>
      <c r="N5" s="22" t="str">
        <f ca="1">IFERROR(__xludf.DUMMYFUNCTION("""COMPUTED_VALUE"""),"Trade Attribute 2")</f>
        <v>Trade Attribute 2</v>
      </c>
      <c r="O5" s="22" t="str">
        <f ca="1">IFERROR(__xludf.DUMMYFUNCTION("""COMPUTED_VALUE"""),"Trade Attribute 3")</f>
        <v>Trade Attribute 3</v>
      </c>
      <c r="P5" s="22" t="str">
        <f ca="1">IFERROR(__xludf.DUMMYFUNCTION("""COMPUTED_VALUE"""),"Trade Attribute 4")</f>
        <v>Trade Attribute 4</v>
      </c>
      <c r="Q5" s="22" t="str">
        <f ca="1">IFERROR(__xludf.DUMMYFUNCTION("""COMPUTED_VALUE"""),"Trade Attribute 5")</f>
        <v>Trade Attribute 5</v>
      </c>
      <c r="R5" s="22" t="str">
        <f ca="1">IFERROR(__xludf.DUMMYFUNCTION("""COMPUTED_VALUE"""),"Trade Attribute 6")</f>
        <v>Trade Attribute 6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IFERROR(__xludf.DUMMYFUNCTION("""COMPUTED_VALUE"""),"Remaining Qty")</f>
        <v>Remaining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600</v>
      </c>
      <c r="E6" s="25"/>
      <c r="F6" s="5"/>
      <c r="G6" s="7">
        <v>300</v>
      </c>
      <c r="H6" s="5"/>
      <c r="I6" s="5"/>
      <c r="J6" s="5"/>
      <c r="K6" s="5"/>
      <c r="L6" s="5"/>
      <c r="M6" s="5"/>
      <c r="N6" s="5"/>
      <c r="O6" s="5"/>
      <c r="AH6" s="6" t="s">
        <v>26</v>
      </c>
      <c r="AI6" s="6" t="s">
        <v>16</v>
      </c>
      <c r="AJ6" s="6" t="s">
        <v>17</v>
      </c>
      <c r="AK6" s="6" t="s">
        <v>30</v>
      </c>
      <c r="AL6" s="6">
        <v>500</v>
      </c>
      <c r="AM6" s="6">
        <v>200</v>
      </c>
      <c r="AQ6" s="6">
        <v>600</v>
      </c>
      <c r="AR6" s="6">
        <v>600</v>
      </c>
      <c r="AS6" s="6" t="s">
        <v>28</v>
      </c>
      <c r="AT6" s="6" t="s">
        <v>18</v>
      </c>
      <c r="AU6" s="6" t="s">
        <v>29</v>
      </c>
      <c r="AV6" s="26">
        <v>120000</v>
      </c>
      <c r="AW6" s="26">
        <v>120000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IFERROR(__xludf.DUMMYFUNCTION("""COMPUTED_VALUE"""),"Avg Fill Price (Base)")</f>
        <v>Avg Fill Price (Base)</v>
      </c>
      <c r="C5" s="22" t="str">
        <f ca="1">IFERROR(__xludf.DUMMYFUNCTION("""COMPUTED_VALUE"""),"Transaction Time")</f>
        <v>Transaction Time</v>
      </c>
      <c r="D5" s="22" t="str">
        <f ca="1">IFERROR(__xludf.DUMMYFUNCTION("""COMPUTED_VALUE"""),"Symbol")</f>
        <v>Symbol</v>
      </c>
      <c r="E5" s="22" t="str">
        <f ca="1">IFERROR(__xludf.DUMMYFUNCTION("""COMPUTED_VALUE"""),"Algo")</f>
        <v>Algo</v>
      </c>
      <c r="F5" s="23" t="str">
        <f ca="1">IFERROR(__xludf.DUMMYFUNCTION("""COMPUTED_VALUE"""),"Side")</f>
        <v>Side</v>
      </c>
      <c r="G5" s="22" t="str">
        <f ca="1">IFERROR(__xludf.DUMMYFUNCTION("""COMPUTED_VALUE"""),"Status")</f>
        <v>Status</v>
      </c>
      <c r="H5" s="22" t="str">
        <f ca="1">IFERROR(__xludf.DUMMYFUNCTION("""COMPUTED_VALUE"""),"Target Qty")</f>
        <v>Target Qty</v>
      </c>
      <c r="I5" s="22" t="str">
        <f ca="1">IFERROR(__xludf.DUMMYFUNCTION("""COMPUTED_VALUE"""),"Total Executed Qty")</f>
        <v>Total Executed Qty</v>
      </c>
      <c r="J5" s="22" t="str">
        <f ca="1">IFERROR(__xludf.DUMMYFUNCTION("""COMPUTED_VALUE"""),"% Executed")</f>
        <v>% Executed</v>
      </c>
      <c r="K5" s="22" t="str">
        <f ca="1">IFERROR(__xludf.DUMMYFUNCTION("""COMPUTED_VALUE"""),"Day Executed Qty")</f>
        <v>Day Executed Qty</v>
      </c>
      <c r="L5" s="22" t="str">
        <f ca="1">IFERROR(__xludf.DUMMYFUNCTION("""COMPUTED_VALUE"""),"Uncommitted Qty")</f>
        <v>Uncommitted Qty</v>
      </c>
      <c r="M5" s="22" t="str">
        <f ca="1">IFERROR(__xludf.DUMMYFUNCTION("""COMPUTED_VALUE"""),"Limit Price")</f>
        <v>Limit Price</v>
      </c>
      <c r="N5" s="22" t="str">
        <f ca="1">IFERROR(__xludf.DUMMYFUNCTION("""COMPUTED_VALUE"""),"Last Fill Price (Local)")</f>
        <v>Last Fill Price (Local)</v>
      </c>
      <c r="O5" s="22" t="str">
        <f ca="1">IFERROR(__xludf.DUMMYFUNCTION("""COMPUTED_VALUE"""),"Stop Price")</f>
        <v>Stop Price</v>
      </c>
      <c r="P5" s="22" t="str">
        <f ca="1">IFERROR(__xludf.DUMMYFUNCTION("""COMPUTED_VALUE"""),"Avg Fill Price (Local)")</f>
        <v>Avg Fill Price (Local)</v>
      </c>
      <c r="Q5" s="22" t="str">
        <f ca="1">IFERROR(__xludf.DUMMYFUNCTION("""COMPUTED_VALUE"""),"Broker")</f>
        <v>Broker</v>
      </c>
      <c r="R5" s="22" t="str">
        <f ca="1">IFERROR(__xludf.DUMMYFUNCTION("""COMPUTED_VALUE"""),"Account")</f>
        <v>Account</v>
      </c>
      <c r="S5" s="22" t="str">
        <f ca="1">IFERROR(__xludf.DUMMYFUNCTION("""COMPUTED_VALUE"""),"OrderID")</f>
        <v>OrderID</v>
      </c>
      <c r="T5" s="24" t="str">
        <f ca="1">IFERROR(__xludf.DUMMYFUNCTION("""COMPUTED_VALUE"""),"Order Type")</f>
        <v>Order Type</v>
      </c>
      <c r="U5" s="24" t="str">
        <f ca="1">IFERROR(__xludf.DUMMYFUNCTION("""COMPUTED_VALUE"""),"Principal Amount (Local)")</f>
        <v>Principal Amount (Local)</v>
      </c>
      <c r="V5" s="24" t="str">
        <f ca="1">IFERROR(__xludf.DUMMYFUNCTION("""COMPUTED_VALUE"""),"Principal Amount (Base)")</f>
        <v>Principal Amount (Base)</v>
      </c>
      <c r="W5" s="24" t="str">
        <f ca="1">IFERROR(__xludf.DUMMYFUNCTION("""COMPUTED_VALUE"""),"Peg")</f>
        <v>Peg</v>
      </c>
      <c r="X5" s="24" t="str">
        <f ca="1">IFERROR(__xludf.DUMMYFUNCTION("""COMPUTED_VALUE"""),"ParentClOrderID")</f>
        <v>ParentClOrderID</v>
      </c>
      <c r="Y5" s="24" t="str">
        <f ca="1">IFERROR(__xludf.DUMMYFUNCTION("""COMPUTED_VALUE"""),"Strike Price")</f>
        <v>Strike Price</v>
      </c>
      <c r="Z5" s="24" t="str">
        <f ca="1">IFERROR(__xludf.DUMMYFUNCTION("""COMPUTED_VALUE"""),"Last Shares")</f>
        <v>Last Shares</v>
      </c>
      <c r="AA5" s="24" t="str">
        <f ca="1">IFERROR(__xludf.DUMMYFUNCTION("""COMPUTED_VALUE"""),"Working Qty")</f>
        <v>Working Qty</v>
      </c>
      <c r="AB5" s="24" t="str">
        <f ca="1">IFERROR(__xludf.DUMMYFUNCTION("""COMPUTED_VALUE"""),"Bloomberg Symbol")</f>
        <v>Bloomberg Symbol</v>
      </c>
      <c r="AC5" s="24" t="str">
        <f ca="1">IFERROR(__xludf.DUMMYFUNCTION("""COMPUTED_VALUE"""),"Imported File Name")</f>
        <v>Imported File Name</v>
      </c>
      <c r="AD5" s="24" t="str">
        <f ca="1">IFERROR(__xludf.DUMMYFUNCTION("""COMPUTED_VALUE"""),"Master Fund")</f>
        <v>Master Fund</v>
      </c>
      <c r="AE5" s="24" t="str">
        <f ca="1">IFERROR(__xludf.DUMMYFUNCTION("""COMPUTED_VALUE"""),"Day Average Price")</f>
        <v>Day Average Price</v>
      </c>
      <c r="AF5" s="24" t="str">
        <f ca="1">IFERROR(__xludf.DUMMYFUNCTION("""COMPUTED_VALUE"""),"Asset Class")</f>
        <v>Asset Class</v>
      </c>
      <c r="AG5" s="24" t="str">
        <f ca="1">IFERROR(__xludf.DUMMYFUNCTION("""COMPUTED_VALUE"""),"Underlying Country")</f>
        <v>Underlying Country</v>
      </c>
      <c r="AH5" s="24" t="str">
        <f ca="1">IFERROR(__xludf.DUMMYFUNCTION("""COMPUTED_VALUE"""),"Trader")</f>
        <v>Trader</v>
      </c>
      <c r="AI5" s="24" t="str">
        <f ca="1">IFERROR(__xludf.DUMMYFUNCTION("""COMPUTED_VALUE"""),"User")</f>
        <v>User</v>
      </c>
      <c r="AJ5" s="24" t="str">
        <f ca="1">IFERROR(__xludf.DUMMYFUNCTION("""COMPUTED_VALUE"""),"Venue")</f>
        <v>Venue</v>
      </c>
      <c r="AK5" s="24" t="str">
        <f ca="1">IFERROR(__xludf.DUMMYFUNCTION("""COMPUTED_VALUE"""),"Settlement Currency")</f>
        <v>Settlement Currency</v>
      </c>
      <c r="AL5" s="24" t="str">
        <f ca="1">IFERROR(__xludf.DUMMYFUNCTION("""COMPUTED_VALUE"""),"FX Conversion Operator")</f>
        <v>FX Conversion Operator</v>
      </c>
      <c r="AM5" s="24" t="str">
        <f ca="1">IFERROR(__xludf.DUMMYFUNCTION("""COMPUTED_VALUE"""),"Process Date")</f>
        <v>Process Date</v>
      </c>
      <c r="AN5" s="24" t="str">
        <f ca="1">IFERROR(__xludf.DUMMYFUNCTION("""COMPUTED_VALUE"""),"Underlying Symbol")</f>
        <v>Underlying Symbol</v>
      </c>
      <c r="AO5" s="24" t="str">
        <f ca="1">IFERROR(__xludf.DUMMYFUNCTION("""COMPUTED_VALUE"""),"Put/Call")</f>
        <v>Put/Call</v>
      </c>
      <c r="AP5" s="24" t="str">
        <f ca="1">IFERROR(__xludf.DUMMYFUNCTION("""COMPUTED_VALUE"""),"FX Rate")</f>
        <v>FX Rate</v>
      </c>
      <c r="AQ5" s="24" t="str">
        <f ca="1">IFERROR(__xludf.DUMMYFUNCTION("""COMPUTED_VALUE"""),"Trade Attribute 1")</f>
        <v>Trade Attribute 1</v>
      </c>
      <c r="AR5" s="24" t="str">
        <f ca="1">IFERROR(__xludf.DUMMYFUNCTION("""COMPUTED_VALUE"""),"Trade Attribute 2")</f>
        <v>Trade Attribute 2</v>
      </c>
      <c r="AS5" s="24" t="str">
        <f ca="1">IFERROR(__xludf.DUMMYFUNCTION("""COMPUTED_VALUE"""),"Trade Attribute 3")</f>
        <v>Trade Attribute 3</v>
      </c>
      <c r="AT5" s="24" t="str">
        <f ca="1">IFERROR(__xludf.DUMMYFUNCTION("""COMPUTED_VALUE"""),"Trade Attribute 4")</f>
        <v>Trade Attribute 4</v>
      </c>
      <c r="AU5" s="24" t="str">
        <f ca="1">IFERROR(__xludf.DUMMYFUNCTION("""COMPUTED_VALUE"""),"Trade Attribute 5")</f>
        <v>Trade Attribute 5</v>
      </c>
      <c r="AV5" s="24" t="str">
        <f ca="1">IFERROR(__xludf.DUMMYFUNCTION("""COMPUTED_VALUE"""),"Trade Attribute 6")</f>
        <v>Trade Attribute 6</v>
      </c>
      <c r="AW5" s="24" t="str">
        <f ca="1">IFERROR(__xludf.DUMMYFUNCTION("""COMPUTED_VALUE"""),"Internal Comments")</f>
        <v>Internal Comments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 t="s">
        <v>16</v>
      </c>
      <c r="E6" s="25"/>
      <c r="F6" s="7" t="s">
        <v>17</v>
      </c>
      <c r="G6" s="7" t="s">
        <v>30</v>
      </c>
      <c r="H6" s="27">
        <v>1000</v>
      </c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2")</f>
        <v>Trade Attribute 2</v>
      </c>
      <c r="R5" s="22" t="str">
        <f ca="1">IFERROR(__xludf.DUMMYFUNCTION("""COMPUTED_VALUE"""),"Trade Attribute 1")</f>
        <v>Trade Attribute 1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IFERROR(__xludf.DUMMYFUNCTION("""COMPUTED_VALUE"""),"Day Executed Qty")</f>
        <v>Day Executed Qty</v>
      </c>
      <c r="AO5" s="24" t="str">
        <f ca="1">IFERROR(__xludf.DUMMYFUNCTION("""COMPUTED_VALUE"""),"Last Fill Price (Local)")</f>
        <v>Last Fill Price (Local)</v>
      </c>
      <c r="AP5" s="24" t="str">
        <f ca="1">IFERROR(__xludf.DUMMYFUNCTION("""COMPUTED_VALUE"""),"Avg Fill Price (Local)")</f>
        <v>Avg Fill Price (Local)</v>
      </c>
      <c r="AQ5" s="24" t="str">
        <f ca="1">IFERROR(__xludf.DUMMYFUNCTION("""COMPUTED_VALUE"""),"Broker")</f>
        <v>Broker</v>
      </c>
      <c r="AR5" s="24" t="str">
        <f ca="1">IFERROR(__xludf.DUMMYFUNCTION("""COMPUTED_VALUE"""),"Account")</f>
        <v>Account</v>
      </c>
      <c r="AS5" s="24" t="str">
        <f ca="1">IFERROR(__xludf.DUMMYFUNCTION("""COMPUTED_VALUE"""),"Order Type")</f>
        <v>Order Type</v>
      </c>
      <c r="AT5" s="24" t="str">
        <f ca="1">IFERROR(__xludf.DUMMYFUNCTION("""COMPUTED_VALUE"""),"Principal Amount (Local)")</f>
        <v>Principal Amount (Local)</v>
      </c>
      <c r="AU5" s="24" t="str">
        <f ca="1">IFERROR(__xludf.DUMMYFUNCTION("""COMPUTED_VALUE"""),"Principal Amount (Base)")</f>
        <v>Principal Amount (Base)</v>
      </c>
      <c r="AV5" s="24" t="str">
        <f ca="1">IFERROR(__xludf.DUMMYFUNCTION("""COMPUTED_VALUE"""),"Allocation Scheme Name")</f>
        <v>Allocation Scheme Name</v>
      </c>
      <c r="AW5" s="24" t="str">
        <f ca="1">IFERROR(__xludf.DUMMYFUNCTION("""COMPUTED_VALUE"""),"Status (With Rollover)")</f>
        <v>Status (With Rollover)</v>
      </c>
      <c r="AX5" s="24" t="str">
        <f ca="1">IFERROR(__xludf.DUMMYFUNCTION("""COMPUTED_VALUE"""),"Unexecuted Qty")</f>
        <v>Unexecuted Qty</v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600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H6" s="6" t="s">
        <v>26</v>
      </c>
      <c r="AI6" s="6" t="s">
        <v>16</v>
      </c>
      <c r="AJ6" s="6" t="s">
        <v>17</v>
      </c>
      <c r="AK6" s="6" t="s">
        <v>38</v>
      </c>
      <c r="AL6" s="6">
        <v>500</v>
      </c>
      <c r="AM6" s="6">
        <v>200</v>
      </c>
      <c r="AO6" s="6">
        <v>0</v>
      </c>
      <c r="AP6" s="6">
        <v>600</v>
      </c>
      <c r="AQ6" s="6" t="s">
        <v>28</v>
      </c>
      <c r="AR6" s="6" t="s">
        <v>18</v>
      </c>
      <c r="AS6" s="6" t="s">
        <v>29</v>
      </c>
      <c r="AT6" s="26">
        <v>120000</v>
      </c>
      <c r="AU6" s="26">
        <v>120000</v>
      </c>
      <c r="AX6" s="6">
        <v>300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600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H6" s="6" t="s">
        <v>26</v>
      </c>
      <c r="AI6" s="6" t="s">
        <v>16</v>
      </c>
      <c r="AJ6" s="6" t="s">
        <v>17</v>
      </c>
      <c r="AK6" s="6" t="s">
        <v>30</v>
      </c>
      <c r="AL6" s="26">
        <v>1000</v>
      </c>
      <c r="AM6" s="6">
        <v>200</v>
      </c>
      <c r="AN6" s="6">
        <v>20</v>
      </c>
      <c r="AO6" s="6">
        <v>200</v>
      </c>
      <c r="AP6" s="6">
        <v>800</v>
      </c>
      <c r="AQ6" s="6">
        <v>0</v>
      </c>
      <c r="AR6" s="6">
        <v>600</v>
      </c>
      <c r="AS6" s="6" t="s">
        <v>28</v>
      </c>
      <c r="AT6" s="6" t="s">
        <v>18</v>
      </c>
      <c r="AU6" s="6" t="s">
        <v>29</v>
      </c>
      <c r="AV6" s="26">
        <v>120000</v>
      </c>
      <c r="AW6" s="26">
        <v>120000</v>
      </c>
      <c r="AY6" s="26">
        <v>1000</v>
      </c>
      <c r="AZ6" s="6">
        <v>800</v>
      </c>
    </row>
    <row r="7" spans="1:154" ht="15.75" customHeight="1">
      <c r="A7" s="5"/>
      <c r="B7" s="5"/>
      <c r="C7" s="5"/>
      <c r="D7" s="7">
        <v>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AH7" s="6" t="s">
        <v>26</v>
      </c>
      <c r="AI7" s="6" t="s">
        <v>19</v>
      </c>
      <c r="AJ7" s="6" t="s">
        <v>17</v>
      </c>
      <c r="AK7" s="6" t="s">
        <v>27</v>
      </c>
      <c r="AL7" s="26">
        <v>1000</v>
      </c>
      <c r="AP7" s="26">
        <v>1000</v>
      </c>
      <c r="AQ7" s="6">
        <v>0</v>
      </c>
      <c r="AR7" s="6">
        <v>0</v>
      </c>
      <c r="AS7" s="6" t="s">
        <v>28</v>
      </c>
      <c r="AU7" s="6" t="s">
        <v>29</v>
      </c>
      <c r="AV7" s="6">
        <v>0</v>
      </c>
      <c r="AW7" s="6">
        <v>0</v>
      </c>
      <c r="AY7" s="26">
        <v>1000</v>
      </c>
      <c r="AZ7" s="6">
        <v>1000</v>
      </c>
    </row>
    <row r="8" spans="1:154" ht="15.75" customHeight="1">
      <c r="A8" s="5"/>
      <c r="B8" s="5"/>
      <c r="C8" s="5"/>
      <c r="D8" s="7">
        <v>0</v>
      </c>
      <c r="E8" s="5"/>
      <c r="F8" s="5"/>
      <c r="G8" s="7">
        <v>500</v>
      </c>
      <c r="H8" s="5"/>
      <c r="I8" s="5"/>
      <c r="J8" s="5"/>
      <c r="K8" s="5"/>
      <c r="L8" s="5"/>
      <c r="M8" s="5"/>
      <c r="N8" s="5"/>
      <c r="O8" s="5"/>
      <c r="AH8" s="6" t="s">
        <v>26</v>
      </c>
      <c r="AI8" s="6" t="s">
        <v>22</v>
      </c>
      <c r="AJ8" s="6" t="s">
        <v>17</v>
      </c>
      <c r="AK8" s="6" t="s">
        <v>30</v>
      </c>
      <c r="AL8" s="26">
        <v>1000</v>
      </c>
      <c r="AM8" s="6">
        <v>500</v>
      </c>
      <c r="AN8" s="6">
        <v>50</v>
      </c>
      <c r="AO8" s="6">
        <v>500</v>
      </c>
      <c r="AQ8" s="6">
        <v>800</v>
      </c>
      <c r="AR8" s="6">
        <v>800</v>
      </c>
      <c r="AS8" s="6" t="s">
        <v>28</v>
      </c>
      <c r="AT8" s="6" t="s">
        <v>18</v>
      </c>
      <c r="AU8" s="6" t="s">
        <v>29</v>
      </c>
      <c r="AV8" s="26">
        <v>400000</v>
      </c>
      <c r="AW8" s="6">
        <v>0</v>
      </c>
      <c r="AY8" s="26">
        <v>1000</v>
      </c>
      <c r="AZ8" s="6">
        <v>500</v>
      </c>
    </row>
    <row r="9" spans="1:154" ht="15.75" customHeight="1">
      <c r="A9" s="5"/>
      <c r="B9" s="5"/>
      <c r="C9" s="5"/>
      <c r="D9" s="7">
        <v>0</v>
      </c>
      <c r="E9" s="5"/>
      <c r="F9" s="5"/>
      <c r="G9" s="7">
        <v>500</v>
      </c>
      <c r="H9" s="5"/>
      <c r="I9" s="5"/>
      <c r="J9" s="5"/>
      <c r="K9" s="5"/>
      <c r="L9" s="5"/>
      <c r="M9" s="5"/>
      <c r="N9" s="5"/>
      <c r="O9" s="5"/>
      <c r="AH9" s="6" t="s">
        <v>26</v>
      </c>
      <c r="AI9" s="6" t="s">
        <v>23</v>
      </c>
      <c r="AJ9" s="6" t="s">
        <v>17</v>
      </c>
      <c r="AK9" s="6" t="s">
        <v>39</v>
      </c>
      <c r="AL9" s="26">
        <v>1200</v>
      </c>
      <c r="AM9" s="6">
        <v>500</v>
      </c>
      <c r="AN9" s="6">
        <v>41.67</v>
      </c>
      <c r="AO9" s="6">
        <v>500</v>
      </c>
      <c r="AP9" s="6">
        <v>200</v>
      </c>
      <c r="AQ9" s="6">
        <v>0</v>
      </c>
      <c r="AR9" s="6">
        <v>800</v>
      </c>
      <c r="AS9" s="6" t="s">
        <v>28</v>
      </c>
      <c r="AT9" s="6" t="s">
        <v>18</v>
      </c>
      <c r="AU9" s="6" t="s">
        <v>29</v>
      </c>
      <c r="AV9" s="26">
        <v>400000</v>
      </c>
      <c r="AW9" s="6">
        <v>0</v>
      </c>
      <c r="AY9" s="26">
        <v>1200</v>
      </c>
      <c r="AZ9" s="6">
        <v>700</v>
      </c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22</v>
      </c>
      <c r="C6" s="7" t="s">
        <v>17</v>
      </c>
      <c r="D6" s="27">
        <v>1000</v>
      </c>
      <c r="E6" s="7">
        <v>500</v>
      </c>
      <c r="F6" s="7">
        <v>500</v>
      </c>
      <c r="G6" s="7" t="s">
        <v>30</v>
      </c>
      <c r="H6" s="5"/>
      <c r="I6" s="7">
        <v>800</v>
      </c>
      <c r="J6" s="7">
        <v>800</v>
      </c>
      <c r="K6" s="7" t="s">
        <v>28</v>
      </c>
      <c r="L6" s="7" t="s">
        <v>18</v>
      </c>
      <c r="M6" s="7" t="s">
        <v>29</v>
      </c>
      <c r="N6" s="5"/>
      <c r="O6" s="7">
        <v>0</v>
      </c>
      <c r="W6" s="6" t="s">
        <v>26</v>
      </c>
      <c r="AC6" s="6">
        <v>0</v>
      </c>
      <c r="AD6" s="26">
        <v>400000</v>
      </c>
    </row>
    <row r="7" spans="1:154" ht="15.75" customHeight="1">
      <c r="A7" s="5"/>
      <c r="B7" s="7" t="s">
        <v>23</v>
      </c>
      <c r="C7" s="7" t="s">
        <v>17</v>
      </c>
      <c r="D7" s="27">
        <v>1000</v>
      </c>
      <c r="E7" s="7">
        <v>500</v>
      </c>
      <c r="F7" s="7">
        <v>500</v>
      </c>
      <c r="G7" s="7" t="s">
        <v>30</v>
      </c>
      <c r="H7" s="5"/>
      <c r="I7" s="7">
        <v>800</v>
      </c>
      <c r="J7" s="7">
        <v>800</v>
      </c>
      <c r="K7" s="7" t="s">
        <v>28</v>
      </c>
      <c r="L7" s="7" t="s">
        <v>18</v>
      </c>
      <c r="M7" s="7" t="s">
        <v>29</v>
      </c>
      <c r="N7" s="5"/>
      <c r="O7" s="7">
        <v>0</v>
      </c>
      <c r="W7" s="6" t="s">
        <v>26</v>
      </c>
      <c r="AC7" s="6">
        <v>0</v>
      </c>
      <c r="AD7" s="26">
        <v>400000</v>
      </c>
    </row>
    <row r="8" spans="1:154" ht="15.75" customHeight="1">
      <c r="A8" s="5"/>
      <c r="B8" s="7" t="s">
        <v>16</v>
      </c>
      <c r="C8" s="7" t="s">
        <v>17</v>
      </c>
      <c r="D8" s="7">
        <v>500</v>
      </c>
      <c r="E8" s="7">
        <v>200</v>
      </c>
      <c r="F8" s="7">
        <v>300</v>
      </c>
      <c r="G8" s="7" t="s">
        <v>38</v>
      </c>
      <c r="H8" s="5"/>
      <c r="I8" s="7">
        <v>0</v>
      </c>
      <c r="J8" s="7">
        <v>600</v>
      </c>
      <c r="K8" s="7" t="s">
        <v>28</v>
      </c>
      <c r="L8" s="7" t="s">
        <v>18</v>
      </c>
      <c r="M8" s="7" t="s">
        <v>29</v>
      </c>
      <c r="N8" s="5"/>
      <c r="O8" s="7">
        <v>600</v>
      </c>
      <c r="W8" s="6" t="s">
        <v>26</v>
      </c>
      <c r="AC8" s="26">
        <v>120000</v>
      </c>
      <c r="AD8" s="26">
        <v>120000</v>
      </c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41</v>
      </c>
      <c r="D3" s="2" t="s">
        <v>9</v>
      </c>
      <c r="E3" s="17" t="s">
        <v>42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43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21" width="14.42578125" customWidth="1"/>
    <col min="22" max="22" width="38.85546875" customWidth="1"/>
    <col min="23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41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28" t="s">
        <v>18</v>
      </c>
      <c r="C6" s="5"/>
      <c r="D6" s="29">
        <v>0</v>
      </c>
      <c r="E6" s="29">
        <v>500</v>
      </c>
      <c r="F6" s="5"/>
      <c r="G6" s="5"/>
      <c r="H6" s="29">
        <v>0</v>
      </c>
      <c r="I6" s="29">
        <v>0</v>
      </c>
      <c r="J6" s="5"/>
      <c r="K6" s="29">
        <v>0</v>
      </c>
      <c r="L6" s="29">
        <v>800</v>
      </c>
      <c r="N6" s="5"/>
      <c r="O6" s="7" t="s">
        <v>28</v>
      </c>
      <c r="R6" s="29">
        <v>0</v>
      </c>
      <c r="T6" s="29">
        <v>0</v>
      </c>
      <c r="U6" s="29">
        <v>0</v>
      </c>
      <c r="V6" s="30" t="s">
        <v>22</v>
      </c>
      <c r="Z6" s="30" t="s">
        <v>45</v>
      </c>
      <c r="AE6" s="29">
        <v>500</v>
      </c>
      <c r="AI6" s="29">
        <v>0</v>
      </c>
      <c r="AT6" s="29">
        <v>0</v>
      </c>
      <c r="AU6" s="29">
        <v>400000</v>
      </c>
      <c r="AW6" s="29">
        <v>0</v>
      </c>
      <c r="AX6" s="29">
        <v>0</v>
      </c>
      <c r="AY6" s="30" t="s">
        <v>29</v>
      </c>
      <c r="AZ6" s="29">
        <v>0</v>
      </c>
      <c r="BC6" s="29">
        <v>0</v>
      </c>
      <c r="BE6" s="29">
        <v>0</v>
      </c>
      <c r="BF6" s="29">
        <v>400000</v>
      </c>
      <c r="BJ6" s="29">
        <v>1000</v>
      </c>
      <c r="BO6" s="30" t="s">
        <v>17</v>
      </c>
      <c r="BP6" s="29">
        <v>0</v>
      </c>
      <c r="BQ6" s="29">
        <v>0</v>
      </c>
      <c r="BT6" s="30" t="s">
        <v>22</v>
      </c>
      <c r="BV6" s="29">
        <v>0</v>
      </c>
      <c r="BW6" s="29">
        <v>0</v>
      </c>
      <c r="BX6" s="29">
        <v>0</v>
      </c>
      <c r="CJ6" s="29">
        <v>0</v>
      </c>
    </row>
    <row r="7" spans="1:154" ht="15.75" customHeight="1">
      <c r="A7" s="5"/>
      <c r="B7" s="30" t="s">
        <v>18</v>
      </c>
      <c r="C7" s="5"/>
      <c r="D7" s="29">
        <v>0</v>
      </c>
      <c r="E7" s="29">
        <v>500</v>
      </c>
      <c r="F7" s="5"/>
      <c r="G7" s="5"/>
      <c r="H7" s="29">
        <v>0</v>
      </c>
      <c r="I7" s="29">
        <v>0</v>
      </c>
      <c r="J7" s="5"/>
      <c r="K7" s="29">
        <v>0</v>
      </c>
      <c r="L7" s="29">
        <v>800</v>
      </c>
      <c r="N7" s="5"/>
      <c r="O7" s="7" t="s">
        <v>28</v>
      </c>
      <c r="R7" s="29">
        <v>0</v>
      </c>
      <c r="T7" s="29">
        <v>0</v>
      </c>
      <c r="U7" s="29">
        <v>0</v>
      </c>
      <c r="V7" s="30" t="s">
        <v>46</v>
      </c>
      <c r="Z7" s="30" t="s">
        <v>47</v>
      </c>
      <c r="AE7" s="29">
        <v>500</v>
      </c>
      <c r="AI7" s="29">
        <v>0</v>
      </c>
      <c r="AT7" s="29">
        <v>0</v>
      </c>
      <c r="AU7" s="29">
        <v>400000</v>
      </c>
      <c r="AW7" s="29">
        <v>0</v>
      </c>
      <c r="AX7" s="29">
        <v>0</v>
      </c>
      <c r="AY7" s="30" t="s">
        <v>29</v>
      </c>
      <c r="AZ7" s="29">
        <v>0</v>
      </c>
      <c r="BC7" s="29">
        <v>0</v>
      </c>
      <c r="BE7" s="29">
        <v>0</v>
      </c>
      <c r="BF7" s="29">
        <v>400000</v>
      </c>
      <c r="BJ7" s="29">
        <v>1000</v>
      </c>
      <c r="BO7" s="30" t="s">
        <v>17</v>
      </c>
      <c r="BP7" s="29">
        <v>0</v>
      </c>
      <c r="BQ7" s="29">
        <v>0</v>
      </c>
      <c r="BT7" s="30" t="s">
        <v>23</v>
      </c>
      <c r="BV7" s="29">
        <v>0</v>
      </c>
      <c r="BW7" s="29">
        <v>0</v>
      </c>
      <c r="BX7" s="29">
        <v>0</v>
      </c>
      <c r="CJ7" s="29">
        <v>0</v>
      </c>
    </row>
    <row r="8" spans="1:154" ht="15.75" customHeight="1">
      <c r="A8" s="5"/>
      <c r="B8" s="30" t="s">
        <v>18</v>
      </c>
      <c r="C8" s="5"/>
      <c r="D8" s="29">
        <v>0</v>
      </c>
      <c r="E8" s="29">
        <v>200</v>
      </c>
      <c r="F8" s="5"/>
      <c r="G8" s="5"/>
      <c r="H8" s="29">
        <v>4</v>
      </c>
      <c r="I8" s="29">
        <v>5</v>
      </c>
      <c r="J8" s="5"/>
      <c r="K8" s="29">
        <v>600</v>
      </c>
      <c r="L8" s="29">
        <v>600</v>
      </c>
      <c r="N8" s="5"/>
      <c r="O8" s="7" t="s">
        <v>28</v>
      </c>
      <c r="R8" s="29">
        <v>0</v>
      </c>
      <c r="T8" s="29">
        <v>0</v>
      </c>
      <c r="U8" s="29">
        <v>0</v>
      </c>
      <c r="V8" s="30" t="s">
        <v>48</v>
      </c>
      <c r="Z8" s="30" t="s">
        <v>49</v>
      </c>
      <c r="AE8" s="29">
        <v>200</v>
      </c>
      <c r="AI8" s="29">
        <v>1</v>
      </c>
      <c r="AT8" s="29">
        <v>120014.0672</v>
      </c>
      <c r="AU8" s="29">
        <v>120014.0672</v>
      </c>
      <c r="AW8" s="29">
        <v>0</v>
      </c>
      <c r="AX8" s="29">
        <v>0</v>
      </c>
      <c r="AY8" s="30" t="s">
        <v>29</v>
      </c>
      <c r="AZ8" s="29">
        <v>0</v>
      </c>
      <c r="BC8" s="29">
        <v>0</v>
      </c>
      <c r="BE8" s="29">
        <v>120000</v>
      </c>
      <c r="BF8" s="29">
        <v>120000</v>
      </c>
      <c r="BJ8" s="29">
        <v>500</v>
      </c>
      <c r="BO8" s="30" t="s">
        <v>17</v>
      </c>
      <c r="BP8" s="29">
        <v>0</v>
      </c>
      <c r="BQ8" s="29">
        <v>0</v>
      </c>
      <c r="BT8" s="30" t="s">
        <v>16</v>
      </c>
      <c r="BV8" s="29">
        <v>0</v>
      </c>
      <c r="BW8" s="29">
        <v>14.0672</v>
      </c>
      <c r="BX8" s="29">
        <v>0</v>
      </c>
      <c r="CJ8" s="29">
        <v>0</v>
      </c>
    </row>
    <row r="9" spans="1:154" ht="15.75" customHeight="1">
      <c r="A9" s="5"/>
      <c r="B9" s="30"/>
      <c r="C9" s="5"/>
      <c r="D9" s="30"/>
      <c r="E9" s="30"/>
      <c r="F9" s="5"/>
      <c r="G9" s="5"/>
      <c r="H9" s="30"/>
      <c r="I9" s="30"/>
      <c r="J9" s="5"/>
      <c r="K9" s="30"/>
      <c r="L9" s="30"/>
      <c r="N9" s="5"/>
      <c r="O9" s="5"/>
      <c r="R9" s="30"/>
      <c r="AE9" s="30"/>
      <c r="AT9" s="30"/>
      <c r="AU9" s="30"/>
      <c r="BE9" s="30"/>
      <c r="BF9" s="30"/>
      <c r="BO9" s="30"/>
      <c r="BW9" s="30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30"/>
      <c r="L10" s="30"/>
      <c r="N10" s="5"/>
      <c r="O10" s="5"/>
      <c r="R10" s="30"/>
      <c r="AT10" s="30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BF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4" width="14.42578125" customWidth="1"/>
    <col min="15" max="15" width="35.7109375" customWidth="1"/>
    <col min="16" max="167" width="14.42578125" customWidth="1"/>
  </cols>
  <sheetData>
    <row r="1" spans="1:167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50</v>
      </c>
      <c r="D3" s="2" t="s">
        <v>9</v>
      </c>
      <c r="E3" s="17" t="s">
        <v>51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</row>
    <row r="6" spans="1:167" ht="15.75" customHeight="1">
      <c r="A6" s="7"/>
      <c r="B6" s="7"/>
      <c r="C6" s="30" t="s">
        <v>22</v>
      </c>
      <c r="D6" s="31">
        <v>500</v>
      </c>
      <c r="E6" s="30" t="s">
        <v>18</v>
      </c>
      <c r="F6" s="5"/>
      <c r="G6" s="5"/>
      <c r="H6" s="30" t="s">
        <v>52</v>
      </c>
      <c r="I6" s="5"/>
      <c r="J6" s="5"/>
      <c r="K6" s="31">
        <v>0</v>
      </c>
      <c r="L6" s="5"/>
      <c r="M6" s="5"/>
      <c r="N6" s="31">
        <v>0</v>
      </c>
      <c r="O6" s="30" t="s">
        <v>22</v>
      </c>
      <c r="Q6" s="31">
        <v>0</v>
      </c>
      <c r="T6" s="30" t="s">
        <v>26</v>
      </c>
      <c r="U6" s="30" t="s">
        <v>53</v>
      </c>
      <c r="Y6" s="31">
        <v>0</v>
      </c>
      <c r="AB6" s="31">
        <v>0</v>
      </c>
      <c r="AC6" s="31">
        <v>0</v>
      </c>
      <c r="AD6" s="31">
        <v>0</v>
      </c>
      <c r="AE6" s="31">
        <v>0</v>
      </c>
      <c r="AF6" s="31">
        <v>500</v>
      </c>
      <c r="AG6" s="31">
        <v>0</v>
      </c>
      <c r="AH6" s="31">
        <v>0</v>
      </c>
      <c r="AI6" s="31">
        <v>0</v>
      </c>
      <c r="AJ6" s="31">
        <v>0</v>
      </c>
      <c r="AK6" s="31">
        <v>-400000</v>
      </c>
      <c r="AN6" s="6" t="s">
        <v>17</v>
      </c>
      <c r="AP6" s="30" t="s">
        <v>52</v>
      </c>
      <c r="AQ6" s="30" t="s">
        <v>22</v>
      </c>
      <c r="AW6" s="31">
        <v>-400000</v>
      </c>
      <c r="AX6" s="31">
        <v>0</v>
      </c>
      <c r="AY6" s="31">
        <v>0</v>
      </c>
      <c r="AZ6" s="31">
        <v>0</v>
      </c>
      <c r="BA6" s="31">
        <v>0</v>
      </c>
      <c r="BD6" s="31">
        <v>-400000</v>
      </c>
      <c r="BJ6" s="31">
        <v>0</v>
      </c>
      <c r="BK6" s="31">
        <v>0</v>
      </c>
      <c r="BL6" s="31">
        <v>0</v>
      </c>
      <c r="BM6" s="31">
        <v>0</v>
      </c>
      <c r="BO6" s="31">
        <v>0</v>
      </c>
      <c r="BP6" s="31">
        <v>0</v>
      </c>
      <c r="BR6" s="30" t="s">
        <v>28</v>
      </c>
      <c r="BS6" s="31">
        <v>0</v>
      </c>
      <c r="BT6" s="31">
        <v>0</v>
      </c>
      <c r="BW6" s="31">
        <v>0</v>
      </c>
      <c r="BX6" s="31">
        <v>0</v>
      </c>
      <c r="BY6" s="31">
        <v>0</v>
      </c>
      <c r="BZ6" s="31">
        <v>0</v>
      </c>
      <c r="CA6" s="31">
        <v>0</v>
      </c>
      <c r="CB6" s="31"/>
      <c r="CC6" s="31">
        <v>0</v>
      </c>
      <c r="CD6" s="31">
        <v>0</v>
      </c>
      <c r="CE6" s="31">
        <v>0</v>
      </c>
      <c r="CF6" s="31">
        <v>0</v>
      </c>
      <c r="CG6" s="31">
        <v>0</v>
      </c>
      <c r="CH6" s="31">
        <v>0</v>
      </c>
      <c r="DA6" s="31">
        <v>0</v>
      </c>
      <c r="DB6" s="31">
        <v>0</v>
      </c>
      <c r="DC6" s="31"/>
      <c r="DE6" s="31">
        <v>0</v>
      </c>
      <c r="DF6" s="31">
        <v>0</v>
      </c>
      <c r="DG6" s="31">
        <v>0</v>
      </c>
      <c r="DJ6" s="30" t="s">
        <v>17</v>
      </c>
      <c r="DK6" s="31">
        <v>0</v>
      </c>
      <c r="DL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0" t="s">
        <v>52</v>
      </c>
      <c r="EM6" s="31">
        <v>0</v>
      </c>
      <c r="EN6" s="31">
        <v>0</v>
      </c>
      <c r="EO6" s="31">
        <v>0</v>
      </c>
      <c r="EP6" s="31">
        <v>0</v>
      </c>
      <c r="EQ6" s="31">
        <v>0</v>
      </c>
      <c r="ER6" s="31">
        <v>0</v>
      </c>
      <c r="ES6" s="31">
        <v>-120000</v>
      </c>
      <c r="ET6" s="31">
        <v>0</v>
      </c>
      <c r="EU6" s="31">
        <v>0</v>
      </c>
      <c r="EV6" s="30" t="s">
        <v>52</v>
      </c>
    </row>
    <row r="7" spans="1:167" ht="15.75" customHeight="1">
      <c r="A7" s="5"/>
      <c r="B7" s="5"/>
      <c r="C7" s="30" t="s">
        <v>23</v>
      </c>
      <c r="D7" s="31">
        <v>500</v>
      </c>
      <c r="E7" s="30" t="s">
        <v>18</v>
      </c>
      <c r="F7" s="5"/>
      <c r="G7" s="5"/>
      <c r="H7" s="30" t="s">
        <v>52</v>
      </c>
      <c r="I7" s="5"/>
      <c r="J7" s="5"/>
      <c r="K7" s="31">
        <v>0</v>
      </c>
      <c r="L7" s="5"/>
      <c r="M7" s="5"/>
      <c r="N7" s="31">
        <v>0</v>
      </c>
      <c r="O7" s="30" t="s">
        <v>46</v>
      </c>
      <c r="Q7" s="31">
        <v>0</v>
      </c>
      <c r="T7" s="30" t="s">
        <v>26</v>
      </c>
      <c r="U7" s="30" t="s">
        <v>54</v>
      </c>
      <c r="Y7" s="31">
        <v>0</v>
      </c>
      <c r="AB7" s="31">
        <v>0</v>
      </c>
      <c r="AC7" s="31">
        <v>0</v>
      </c>
      <c r="AD7" s="31">
        <v>0</v>
      </c>
      <c r="AE7" s="31">
        <v>0</v>
      </c>
      <c r="AF7" s="31">
        <v>500</v>
      </c>
      <c r="AG7" s="31">
        <v>0</v>
      </c>
      <c r="AH7" s="31">
        <v>0</v>
      </c>
      <c r="AI7" s="31">
        <v>0</v>
      </c>
      <c r="AJ7" s="31">
        <v>0</v>
      </c>
      <c r="AK7" s="31">
        <v>-400000</v>
      </c>
      <c r="AN7" s="6" t="s">
        <v>17</v>
      </c>
      <c r="AP7" s="30" t="s">
        <v>52</v>
      </c>
      <c r="AQ7" s="30" t="s">
        <v>23</v>
      </c>
      <c r="AW7" s="31">
        <v>-400000</v>
      </c>
      <c r="AX7" s="31">
        <v>0</v>
      </c>
      <c r="AY7" s="31">
        <v>0</v>
      </c>
      <c r="AZ7" s="31">
        <v>0</v>
      </c>
      <c r="BA7" s="31">
        <v>0</v>
      </c>
      <c r="BD7" s="31">
        <v>-400000</v>
      </c>
      <c r="BJ7" s="31">
        <v>0</v>
      </c>
      <c r="BK7" s="31">
        <v>0</v>
      </c>
      <c r="BL7" s="31">
        <v>0</v>
      </c>
      <c r="BM7" s="31">
        <v>0</v>
      </c>
      <c r="BO7" s="31">
        <v>0</v>
      </c>
      <c r="BP7" s="31">
        <v>0</v>
      </c>
      <c r="BR7" s="30" t="s">
        <v>28</v>
      </c>
      <c r="BS7" s="31">
        <v>0</v>
      </c>
      <c r="BT7" s="31">
        <v>0</v>
      </c>
      <c r="BW7" s="31">
        <v>0</v>
      </c>
      <c r="BX7" s="31">
        <v>0</v>
      </c>
      <c r="BY7" s="31">
        <v>0</v>
      </c>
      <c r="BZ7" s="31">
        <v>0</v>
      </c>
      <c r="CA7" s="31">
        <v>0</v>
      </c>
      <c r="CB7" s="31"/>
      <c r="CC7" s="31">
        <v>0</v>
      </c>
      <c r="CD7" s="31">
        <v>0</v>
      </c>
      <c r="CE7" s="31">
        <v>0</v>
      </c>
      <c r="CF7" s="31">
        <v>0</v>
      </c>
      <c r="CG7" s="31">
        <v>0</v>
      </c>
      <c r="CH7" s="31">
        <v>0</v>
      </c>
      <c r="DA7" s="31">
        <v>0</v>
      </c>
      <c r="DB7" s="31">
        <v>0</v>
      </c>
      <c r="DC7" s="31"/>
      <c r="DE7" s="31">
        <v>0</v>
      </c>
      <c r="DF7" s="31">
        <v>0</v>
      </c>
      <c r="DG7" s="31">
        <v>0</v>
      </c>
      <c r="DJ7" s="30" t="s">
        <v>17</v>
      </c>
      <c r="DK7" s="31">
        <v>0</v>
      </c>
      <c r="DL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0" t="s">
        <v>52</v>
      </c>
      <c r="EM7" s="31">
        <v>0</v>
      </c>
      <c r="EN7" s="31">
        <v>0</v>
      </c>
      <c r="EO7" s="31">
        <v>0</v>
      </c>
      <c r="EP7" s="31">
        <v>0</v>
      </c>
      <c r="EQ7" s="31">
        <v>0</v>
      </c>
      <c r="ER7" s="31">
        <v>0</v>
      </c>
      <c r="ES7" s="31">
        <v>-120000</v>
      </c>
      <c r="ET7" s="31">
        <v>0</v>
      </c>
      <c r="EU7" s="31">
        <v>0</v>
      </c>
      <c r="EV7" s="30" t="s">
        <v>52</v>
      </c>
    </row>
    <row r="8" spans="1:167" ht="15.75" customHeight="1">
      <c r="A8" s="5"/>
      <c r="B8" s="5"/>
      <c r="C8" s="30" t="s">
        <v>16</v>
      </c>
      <c r="D8" s="31">
        <v>200</v>
      </c>
      <c r="E8" s="30" t="s">
        <v>18</v>
      </c>
      <c r="F8" s="5"/>
      <c r="G8" s="5"/>
      <c r="H8" s="30" t="s">
        <v>52</v>
      </c>
      <c r="I8" s="5"/>
      <c r="J8" s="5"/>
      <c r="K8" s="31">
        <v>0</v>
      </c>
      <c r="L8" s="5"/>
      <c r="M8" s="5"/>
      <c r="N8" s="31">
        <v>-120000</v>
      </c>
      <c r="O8" s="30" t="s">
        <v>48</v>
      </c>
      <c r="Q8" s="31">
        <v>-120000</v>
      </c>
      <c r="T8" s="30" t="s">
        <v>26</v>
      </c>
      <c r="U8" s="30" t="s">
        <v>53</v>
      </c>
      <c r="Y8" s="31">
        <v>1</v>
      </c>
      <c r="AB8" s="31">
        <v>0</v>
      </c>
      <c r="AC8" s="31">
        <v>0</v>
      </c>
      <c r="AD8" s="31">
        <v>0</v>
      </c>
      <c r="AE8" s="31">
        <v>0</v>
      </c>
      <c r="AF8" s="31">
        <v>200</v>
      </c>
      <c r="AG8" s="31">
        <v>0</v>
      </c>
      <c r="AH8" s="31">
        <v>0</v>
      </c>
      <c r="AI8" s="31">
        <v>0</v>
      </c>
      <c r="AJ8" s="31">
        <v>0</v>
      </c>
      <c r="AK8" s="31">
        <v>-120000</v>
      </c>
      <c r="AN8" s="6" t="s">
        <v>17</v>
      </c>
      <c r="AP8" s="30" t="s">
        <v>52</v>
      </c>
      <c r="AQ8" s="30" t="s">
        <v>16</v>
      </c>
      <c r="AW8" s="31">
        <v>-120000</v>
      </c>
      <c r="AX8" s="31">
        <v>0</v>
      </c>
      <c r="AY8" s="31">
        <v>0</v>
      </c>
      <c r="AZ8" s="31">
        <v>0</v>
      </c>
      <c r="BA8" s="31">
        <v>-100</v>
      </c>
      <c r="BD8" s="31">
        <v>-120000</v>
      </c>
      <c r="BJ8" s="31">
        <v>0</v>
      </c>
      <c r="BK8" s="31">
        <v>0</v>
      </c>
      <c r="BL8" s="31">
        <v>0</v>
      </c>
      <c r="BM8" s="31">
        <v>0</v>
      </c>
      <c r="BO8" s="31">
        <v>-120000</v>
      </c>
      <c r="BP8" s="31">
        <v>0</v>
      </c>
      <c r="BR8" s="30" t="s">
        <v>28</v>
      </c>
      <c r="BS8" s="31">
        <v>0</v>
      </c>
      <c r="BT8" s="31">
        <v>0</v>
      </c>
      <c r="BW8" s="31">
        <v>0</v>
      </c>
      <c r="BX8" s="31">
        <v>0</v>
      </c>
      <c r="BY8" s="31">
        <v>0</v>
      </c>
      <c r="BZ8" s="31">
        <v>0</v>
      </c>
      <c r="CA8" s="31">
        <v>0</v>
      </c>
      <c r="CB8" s="31"/>
      <c r="CC8" s="31">
        <v>0</v>
      </c>
      <c r="CD8" s="31">
        <v>-120000</v>
      </c>
      <c r="CE8" s="31">
        <v>0</v>
      </c>
      <c r="CF8" s="31">
        <v>0</v>
      </c>
      <c r="CG8" s="31">
        <v>-120000</v>
      </c>
      <c r="CH8" s="31">
        <v>-100</v>
      </c>
      <c r="DA8" s="31">
        <v>0</v>
      </c>
      <c r="DB8" s="31">
        <v>0</v>
      </c>
      <c r="DC8" s="31"/>
      <c r="DE8" s="31">
        <v>0</v>
      </c>
      <c r="DF8" s="31">
        <v>0</v>
      </c>
      <c r="DG8" s="31">
        <v>0</v>
      </c>
      <c r="DJ8" s="30" t="s">
        <v>17</v>
      </c>
      <c r="DK8" s="31">
        <v>0</v>
      </c>
      <c r="DL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0" t="s">
        <v>52</v>
      </c>
      <c r="EM8" s="31">
        <v>0</v>
      </c>
      <c r="EN8" s="31">
        <v>0</v>
      </c>
      <c r="EO8" s="31">
        <v>0</v>
      </c>
      <c r="EP8" s="31">
        <v>0</v>
      </c>
      <c r="EQ8" s="31">
        <v>0</v>
      </c>
      <c r="ER8" s="31">
        <v>0</v>
      </c>
      <c r="ES8" s="31">
        <v>-120000</v>
      </c>
      <c r="ET8" s="31">
        <v>0</v>
      </c>
      <c r="EU8" s="31">
        <v>0</v>
      </c>
      <c r="EV8" s="30" t="s">
        <v>52</v>
      </c>
    </row>
    <row r="9" spans="1:167" ht="15.75" customHeight="1">
      <c r="A9" s="5"/>
      <c r="B9" s="5"/>
      <c r="C9" s="30"/>
      <c r="D9" s="30"/>
      <c r="E9" s="30"/>
      <c r="F9" s="5"/>
      <c r="G9" s="5"/>
      <c r="H9" s="30"/>
      <c r="I9" s="5"/>
      <c r="J9" s="5"/>
      <c r="K9" s="30"/>
      <c r="L9" s="5"/>
      <c r="M9" s="5"/>
      <c r="N9" s="5"/>
      <c r="O9" s="5"/>
      <c r="T9" s="30"/>
      <c r="U9" s="30"/>
      <c r="Y9" s="30"/>
      <c r="AP9" s="30"/>
      <c r="AQ9" s="30"/>
      <c r="AW9" s="30"/>
      <c r="AX9" s="30"/>
      <c r="AY9" s="30"/>
      <c r="AZ9" s="30"/>
      <c r="BA9" s="30"/>
      <c r="BD9" s="30"/>
      <c r="BJ9" s="30"/>
      <c r="BK9" s="30"/>
      <c r="BL9" s="30"/>
      <c r="BM9" s="30"/>
      <c r="BO9" s="30"/>
      <c r="BP9" s="30"/>
      <c r="BR9" s="30"/>
      <c r="BS9" s="30"/>
      <c r="BT9" s="30"/>
      <c r="BW9" s="30"/>
      <c r="BX9" s="30"/>
      <c r="BY9" s="30"/>
      <c r="BZ9" s="30"/>
      <c r="CA9" s="30"/>
      <c r="CB9" s="30"/>
      <c r="DJ9" s="30"/>
      <c r="DK9" s="30"/>
      <c r="DL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</row>
    <row r="10" spans="1:167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BD10" s="30"/>
      <c r="BO10" s="30"/>
      <c r="BP10" s="30"/>
      <c r="ES10" s="30"/>
    </row>
    <row r="11" spans="1:167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_Modules</vt:lpstr>
      <vt:lpstr>_Settings</vt:lpstr>
      <vt:lpstr>_MasterData</vt:lpstr>
      <vt:lpstr>CreateStageOrder</vt:lpstr>
      <vt:lpstr>CreateStageOrder1</vt:lpstr>
      <vt:lpstr>CreateDoneAwayOrder</vt:lpstr>
      <vt:lpstr>CreateDoneAwayOrder1</vt:lpstr>
      <vt:lpstr>VerifyOrder</vt:lpstr>
      <vt:lpstr>TradeNewSubOrder</vt:lpstr>
      <vt:lpstr>CreateNewSubOrder</vt:lpstr>
      <vt:lpstr>EditStageOrder</vt:lpstr>
      <vt:lpstr>CreateReplaceOrder</vt:lpstr>
      <vt:lpstr>SelectTradeOnOrderGrid</vt:lpstr>
      <vt:lpstr>CancelSubOrder</vt:lpstr>
      <vt:lpstr>SelectTradeOnOrderGrid1</vt:lpstr>
      <vt:lpstr>VerifySubOrder</vt:lpstr>
      <vt:lpstr>VerifyOrder1</vt:lpstr>
      <vt:lpstr>VerifyWorkingSubs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2021-08-04T10:15:16Z</dcterms:modified>
</cp:coreProperties>
</file>