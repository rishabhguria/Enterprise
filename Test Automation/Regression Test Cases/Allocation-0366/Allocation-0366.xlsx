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SetAutoGroupingPreferences" sheetId="5" r:id="rId7"/>
    <sheet state="visible" name="SetAutoGroupingAccount" sheetId="6" r:id="rId8"/>
    <sheet state="visible" name="AddCalculatedPreferences" sheetId="7" r:id="rId9"/>
    <sheet state="visible" name="SetAccountValueCalculatedPref" sheetId="8" r:id="rId10"/>
    <sheet state="visible" name="CreateLiveOrder" sheetId="9" r:id="rId11"/>
    <sheet state="visible" name="CreateLiveOrder1" sheetId="10" r:id="rId12"/>
    <sheet state="visible" name="GetDataAllocation" sheetId="11" r:id="rId13"/>
    <sheet state="visible" name="CheckAllocatedGroups" sheetId="12" r:id="rId14"/>
    <sheet state="visible" name="ConnectToSimAutoMan" sheetId="13" r:id="rId15"/>
  </sheets>
  <definedNames/>
  <calcPr/>
</workbook>
</file>

<file path=xl/sharedStrings.xml><?xml version="1.0" encoding="utf-8"?>
<sst xmlns="http://schemas.openxmlformats.org/spreadsheetml/2006/main" count="192" uniqueCount="48">
  <si>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</si>
  <si>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</si>
  <si>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</si>
  <si>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</si>
  <si>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</si>
  <si>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</si>
  <si>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</si>
  <si>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</si>
  <si>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</si>
  <si>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</si>
  <si>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</si>
  <si>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</si>
  <si>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</si>
  <si>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</si>
  <si>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</si>
  <si>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</si>
  <si>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Allocation</t>
  </si>
  <si>
    <t>SetAutoGroupingPreferences</t>
  </si>
  <si>
    <t>SetAutoGroupingAccount</t>
  </si>
  <si>
    <t>Allocation1</t>
  </si>
  <si>
    <t>AddCalculatedPreferences</t>
  </si>
  <si>
    <t>Test</t>
  </si>
  <si>
    <t>SetAccountValueCalculatedPref</t>
  </si>
  <si>
    <t>Allocation2</t>
  </si>
  <si>
    <t>Allocation3</t>
  </si>
  <si>
    <t>TradingTicket</t>
  </si>
  <si>
    <t>CreateLiveOrder</t>
  </si>
  <si>
    <t>AAPL</t>
  </si>
  <si>
    <t>Buy</t>
  </si>
  <si>
    <t>GetDataAllocation</t>
  </si>
  <si>
    <t>Current</t>
  </si>
  <si>
    <t>CheckAllocatedGroups</t>
  </si>
  <si>
    <t/>
  </si>
  <si>
    <t>Multiple</t>
  </si>
  <si>
    <t>Equity</t>
  </si>
  <si>
    <t>AAPL US EQUITY</t>
  </si>
  <si>
    <t>MS</t>
  </si>
  <si>
    <t>APPLE</t>
  </si>
  <si>
    <t>USD</t>
  </si>
  <si>
    <t>NASDAQ</t>
  </si>
  <si>
    <t>M</t>
  </si>
  <si>
    <t>Market</t>
  </si>
  <si>
    <t>Strategy Unallocated</t>
  </si>
  <si>
    <t>US</t>
  </si>
  <si>
    <t>jpearce</t>
  </si>
  <si>
    <t>TradeServer</t>
  </si>
  <si>
    <t>ConnectToSimAutoMan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</si>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</sst>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IFERROR(__xludf.DUMMYFUNCTION("""COMPUTED_VALUE"""),"CompanyId")</f>
        <v>CompanyId</v>
      </c>
      <c r="C5" s="28" t="str">
        <f>IFERROR(__xludf.DUMMYFUNCTION("""COMPUTED_VALUE"""),"AutoGroup")</f>
        <v>AutoGroup</v>
      </c>
      <c r="D5" s="28" t="str">
        <f>IFERROR(__xludf.DUMMYFUNCTION("""COMPUTED_VALUE"""),"TradeAttribute1")</f>
        <v>TradeAttribute1</v>
      </c>
      <c r="E5" s="28" t="str">
        <f>IFERROR(__xludf.DUMMYFUNCTION("""COMPUTED_VALUE"""),"TradeAttribute2")</f>
        <v>TradeAttribute2</v>
      </c>
      <c r="F5" s="29" t="str">
        <f>IFERROR(__xludf.DUMMYFUNCTION("""COMPUTED_VALUE"""),"TradeAttribute3")</f>
        <v>TradeAttribute3</v>
      </c>
      <c r="G5" s="28" t="str">
        <f>IFERROR(__xludf.DUMMYFUNCTION("""COMPUTED_VALUE"""),"TradeAttribute4")</f>
        <v>TradeAttribute4</v>
      </c>
      <c r="H5" s="28" t="str">
        <f>IFERROR(__xludf.DUMMYFUNCTION("""COMPUTED_VALUE"""),"TradeAttribute5")</f>
        <v>TradeAttribute5</v>
      </c>
      <c r="I5" s="28" t="str">
        <f>IFERROR(__xludf.DUMMYFUNCTION("""COMPUTED_VALUE"""),"TradeAttribute6")</f>
        <v>TradeAttribute6</v>
      </c>
      <c r="J5" s="28" t="str">
        <f>IFERROR(__xludf.DUMMYFUNCTION("""COMPUTED_VALUE"""),"Broker")</f>
        <v>Broker</v>
      </c>
      <c r="K5" s="28" t="str">
        <f>IFERROR(__xludf.DUMMYFUNCTION("""COMPUTED_VALUE"""),"Venue")</f>
        <v>Venue</v>
      </c>
      <c r="L5" s="28" t="str">
        <f>IFERROR(__xludf.DUMMYFUNCTION("""COMPUTED_VALUE"""),"TradingAC")</f>
        <v>TradingAC</v>
      </c>
      <c r="M5" s="28" t="str">
        <f>IFERROR(__xludf.DUMMYFUNCTION("""COMPUTED_VALUE"""),"TradeDate")</f>
        <v>TradeDate</v>
      </c>
      <c r="N5" s="28" t="str">
        <f>IFERROR(__xludf.DUMMYFUNCTION("""COMPUTED_VALUE"""),"ProcessDate")</f>
        <v>ProcessDate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5.0</v>
      </c>
      <c r="C6" s="33">
        <v>1.0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b">
        <v>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23</v>
      </c>
      <c r="D6" s="13">
        <v>50.0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21</v>
      </c>
      <c r="C7" s="13" t="s">
        <v>24</v>
      </c>
      <c r="D7" s="13">
        <v>50.0</v>
      </c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4" t="s">
        <v>28</v>
      </c>
      <c r="D6" s="32">
        <v>999999.0</v>
      </c>
      <c r="E6" s="34"/>
      <c r="F6" s="37" t="s">
        <v>21</v>
      </c>
      <c r="G6" s="34"/>
      <c r="H6" s="34"/>
      <c r="I6" s="34"/>
      <c r="J6" s="33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4" t="s">
        <v>28</v>
      </c>
      <c r="D6" s="32">
        <v>10.0</v>
      </c>
      <c r="E6" s="34"/>
      <c r="F6" s="37" t="s">
        <v>21</v>
      </c>
      <c r="G6" s="34"/>
      <c r="H6" s="34"/>
      <c r="I6" s="34"/>
      <c r="J6" s="33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32</v>
      </c>
      <c r="B6" s="38" t="s">
        <v>33</v>
      </c>
      <c r="C6" s="8"/>
      <c r="D6" s="38"/>
      <c r="E6" s="8">
        <v>1000009.0</v>
      </c>
      <c r="F6" s="8" t="s">
        <v>21</v>
      </c>
      <c r="G6" s="8" t="s">
        <v>34</v>
      </c>
      <c r="H6" s="8">
        <v>4.0</v>
      </c>
      <c r="I6" s="8">
        <v>5.0</v>
      </c>
      <c r="J6" s="8">
        <v>1.0</v>
      </c>
      <c r="K6" s="8"/>
      <c r="L6" s="8"/>
      <c r="M6" s="8" t="s">
        <v>35</v>
      </c>
      <c r="N6" s="8"/>
      <c r="O6" s="8" t="s">
        <v>36</v>
      </c>
      <c r="V6" t="s">
        <v>37</v>
      </c>
      <c r="Z6" t="s">
        <v>38</v>
      </c>
      <c r="AA6" t="s">
        <v>27</v>
      </c>
      <c r="AD6" t="s">
        <v>39</v>
      </c>
      <c r="AE6">
        <v>1000009.0</v>
      </c>
      <c r="AF6" t="s">
        <v>32</v>
      </c>
      <c r="AH6" t="s">
        <v>40</v>
      </c>
      <c r="AI6">
        <v>1.0</v>
      </c>
      <c r="AP6" t="b">
        <v>0</v>
      </c>
      <c r="AQ6" t="b">
        <v>0</v>
      </c>
      <c r="AR6" s="9" t="b">
        <v>1</v>
      </c>
      <c r="AY6" t="s">
        <v>41</v>
      </c>
      <c r="BJ6">
        <v>1000009.0</v>
      </c>
      <c r="BM6" t="s">
        <v>38</v>
      </c>
      <c r="BO6" t="s">
        <v>28</v>
      </c>
      <c r="BS6" t="s">
        <v>42</v>
      </c>
      <c r="BT6" t="s">
        <v>27</v>
      </c>
      <c r="CK6" t="s">
        <v>43</v>
      </c>
      <c r="CL6">
        <v>1.0</v>
      </c>
      <c r="CM6" t="s">
        <v>27</v>
      </c>
      <c r="CN6" t="s">
        <v>44</v>
      </c>
      <c r="CO6" t="s">
        <v>39</v>
      </c>
      <c r="CS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IFERROR(__xludf.DUMMYFUNCTION("IF(C3="""","""",Transpose(IMPORTRANGE('_Settings'!$B$3,C3&amp;""!A4:A1000"")))"),"CloseTradeServer")</f>
        <v>CloseTradeServer</v>
      </c>
      <c r="C4" s="25" t="str">
        <f>IFERROR(__xludf.DUMMYFUNCTION("""COMPUTED_VALUE"""),"StartTradeServer")</f>
        <v>StartTradeServer</v>
      </c>
      <c r="D4" s="25" t="str">
        <f>IFERROR(__xludf.DUMMYFUNCTION("""COMPUTED_VALUE"""),"RestartServer")</f>
        <v>RestartServer</v>
      </c>
      <c r="E4" s="25" t="str">
        <f>IFERROR(__xludf.DUMMYFUNCTION("""COMPUTED_VALUE"""),"UpdateServerConfig")</f>
        <v>UpdateServerConfig</v>
      </c>
      <c r="F4" s="25" t="str">
        <f>IFERROR(__xludf.DUMMYFUNCTION("""COMPUTED_VALUE"""),"ConnectToSimAutoMan")</f>
        <v>ConnectToSimAutoMan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IFERROR(__xludf.DUMMYFUNCTION("""COMPUTED_VALUE"""),"SetResponse")</f>
        <v>SetResponse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47</v>
      </c>
      <c r="C6" s="40" t="s">
        <v>36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ConnectToSimAutoMan!$4:$4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