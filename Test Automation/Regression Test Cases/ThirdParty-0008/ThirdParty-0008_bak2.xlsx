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ThirdPartyGenerate" sheetId="5" r:id="rId7"/>
    <sheet state="visible" name="VerifyThirdPartyGenerate" sheetId="6" r:id="rId8"/>
    <sheet state="visible" name="GetDataAllocation" sheetId="7" r:id="rId9"/>
    <sheet state="visible" name="SelectAllocatedGroup" sheetId="8" r:id="rId10"/>
    <sheet state="visible" name="EditAllocatedGrid" sheetId="9" r:id="rId11"/>
    <sheet state="visible" name="ViewThirdParty" sheetId="10" r:id="rId12"/>
    <sheet state="visible" name="VerifyThirdPartyView" sheetId="11" r:id="rId13"/>
    <sheet state="visible" name="ThirdPartySend" sheetId="12" r:id="rId14"/>
    <sheet state="visible" name="VerifyThirdPartySend" sheetId="13" r:id="rId15"/>
  </sheets>
  <definedNames/>
  <calcPr/>
</workbook>
</file>

<file path=xl/sharedStrings.xml><?xml version="1.0" encoding="utf-8"?>
<sst xmlns="http://schemas.openxmlformats.org/spreadsheetml/2006/main" count="121" uniqueCount="40">
  <si>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</si>
  <si>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</si>
  <si>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</si>
  <si>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</si>
  <si>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</si>
  <si>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</si>
  <si>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</si>
  <si>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</si>
  <si>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</si>
  <si>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</si>
  <si>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</si>
  <si>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</si>
  <si>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</si>
  <si>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</si>
  <si>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</si>
  <si>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</si>
  <si>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CSCO</t>
  </si>
  <si>
    <t>Buy</t>
  </si>
  <si>
    <t>Allocation1</t>
  </si>
  <si>
    <t>MS</t>
  </si>
  <si>
    <t>ThirdParty</t>
  </si>
  <si>
    <t>ThirdPartyGenerate</t>
  </si>
  <si>
    <t>PB.ISOX.Test</t>
  </si>
  <si>
    <t>ISOX</t>
  </si>
  <si>
    <t>Test</t>
  </si>
  <si>
    <t>PrimeBrokerClearer</t>
  </si>
  <si>
    <t>View</t>
  </si>
  <si>
    <t>Generate</t>
  </si>
  <si>
    <t xml:space="preserve">Send </t>
  </si>
  <si>
    <t>VerifyThirdPartyGenerate</t>
  </si>
  <si>
    <t>Allocated</t>
  </si>
  <si>
    <t>Allocation</t>
  </si>
  <si>
    <t>GetDataAllocation</t>
  </si>
  <si>
    <t>Current</t>
  </si>
  <si>
    <t>SelectAllocatedGroup</t>
  </si>
  <si>
    <t>EditAllocatedGrid</t>
  </si>
  <si>
    <t>ViewThirdParty</t>
  </si>
  <si>
    <t>VerifyThirdPartyView</t>
  </si>
  <si>
    <t>ThirdPartySend</t>
  </si>
  <si>
    <t>VerifyThirdPartySend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</si>
</sst>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5" fillId="6" fontId="13" numFmtId="14" xfId="0" applyAlignment="1" applyBorder="1" applyFill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2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3">
        <v>100.0</v>
      </c>
      <c r="E6" s="32"/>
      <c r="F6" s="32" t="s">
        <v>18</v>
      </c>
      <c r="G6" s="32" t="s">
        <v>19</v>
      </c>
      <c r="H6" s="32"/>
      <c r="I6" s="32"/>
      <c r="J6" s="34">
        <v>12.0</v>
      </c>
      <c r="K6" s="32"/>
      <c r="L6" s="32"/>
      <c r="M6" s="32"/>
      <c r="N6" s="35">
        <f>today()</f>
        <v>44105</v>
      </c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IFERROR(__xludf.DUMMYFUNCTION("IF(C3="""","""",Transpose(IMPORTRANGE('_Settings'!$B$3,C3&amp;""!A4:A1000"")))"),"GenerateThirdParty")</f>
        <v>GenerateThirdParty</v>
      </c>
      <c r="C4" s="24" t="str">
        <f>IFERROR(__xludf.DUMMYFUNCTION("""COMPUTED_VALUE"""),"SendThirdParty")</f>
        <v>SendThirdParty</v>
      </c>
      <c r="D4" s="24" t="str">
        <f>IFERROR(__xludf.DUMMYFUNCTION("""COMPUTED_VALUE"""),"ViewThirdParty")</f>
        <v>ViewThirdParty</v>
      </c>
      <c r="E4" s="24" t="str">
        <f>IFERROR(__xludf.DUMMYFUNCTION("""COMPUTED_VALUE"""),"SelectThirdPartyName")</f>
        <v>SelectThirdPartyName</v>
      </c>
      <c r="F4" s="24" t="str">
        <f>IFERROR(__xludf.DUMMYFUNCTION("""COMPUTED_VALUE"""),"VerifyThirdPartyData")</f>
        <v>VerifyThirdPartyData</v>
      </c>
      <c r="G4" s="24" t="str">
        <f>IFERROR(__xludf.DUMMYFUNCTION("""COMPUTED_VALUE"""),"ThirdPartyWork")</f>
        <v>ThirdPartyWork</v>
      </c>
      <c r="H4" s="24" t="str">
        <f>IFERROR(__xludf.DUMMYFUNCTION("""COMPUTED_VALUE"""),"Automation")</f>
        <v>Automation</v>
      </c>
      <c r="I4" s="24" t="str">
        <f>IFERROR(__xludf.DUMMYFUNCTION("""COMPUTED_VALUE"""),"ThirdPartyManagerFunction")</f>
        <v>ThirdPartyManagerFunction</v>
      </c>
      <c r="J4" s="24" t="str">
        <f>IFERROR(__xludf.DUMMYFUNCTION("""COMPUTED_VALUE"""),"OpeningManager")</f>
        <v>OpeningManager</v>
      </c>
      <c r="K4" s="24" t="str">
        <f>IFERROR(__xludf.DUMMYFUNCTION("""COMPUTED_VALUE"""),"SelectFromThirdPartyGrid")</f>
        <v>SelectFromThirdPartyGrid</v>
      </c>
      <c r="L4" s="24" t="str">
        <f>IFERROR(__xludf.DUMMYFUNCTION("""COMPUTED_VALUE"""),"SelectThirdPartyJob")</f>
        <v>SelectThirdPartyJob</v>
      </c>
      <c r="M4" s="24" t="str">
        <f>IFERROR(__xludf.DUMMYFUNCTION("""COMPUTED_VALUE"""),"GenerateAllThirdPartyData")</f>
        <v>GenerateAllThirdPartyData</v>
      </c>
      <c r="N4" s="24" t="str">
        <f>IFERROR(__xludf.DUMMYFUNCTION("""COMPUTED_VALUE"""),"SendAllThirdPartyData")</f>
        <v>SendAllThirdPartyData</v>
      </c>
      <c r="O4" s="24" t="str">
        <f>IFERROR(__xludf.DUMMYFUNCTION("""COMPUTED_VALUE"""),"VerifyThirdPartyView")</f>
        <v>VerifyThirdPartyView</v>
      </c>
      <c r="P4" s="25" t="str">
        <f>IFERROR(__xludf.DUMMYFUNCTION("""COMPUTED_VALUE"""),"SelectThirdParty")</f>
        <v>SelectThirdParty</v>
      </c>
      <c r="Q4" s="25" t="str">
        <f>IFERROR(__xludf.DUMMYFUNCTION("""COMPUTED_VALUE"""),"SelectThirdParty")</f>
        <v>SelectThirdParty</v>
      </c>
      <c r="R4" s="25" t="str">
        <f>IFERROR(__xludf.DUMMYFUNCTION("""COMPUTED_VALUE"""),"ViewThirdParty")</f>
        <v>ViewThirdParty</v>
      </c>
      <c r="S4" s="25" t="str">
        <f>IFERROR(__xludf.DUMMYFUNCTION("""COMPUTED_VALUE"""),"GenerateThirdPartyData")</f>
        <v>GenerateThirdPartyData</v>
      </c>
      <c r="T4" s="25" t="str">
        <f>IFERROR(__xludf.DUMMYFUNCTION("""COMPUTED_VALUE"""),"ThirdPartyGenerate")</f>
        <v>ThirdPartyGenerate</v>
      </c>
      <c r="U4" s="25" t="str">
        <f>IFERROR(__xludf.DUMMYFUNCTION("""COMPUTED_VALUE"""),"VerifyThirdPartyView")</f>
        <v>VerifyThirdPartyView</v>
      </c>
      <c r="V4" s="25" t="str">
        <f>IFERROR(__xludf.DUMMYFUNCTION("""COMPUTED_VALUE"""),"VerifyThirdPartyGenerate")</f>
        <v>VerifyThirdPartyGenerate</v>
      </c>
      <c r="W4" s="25" t="str">
        <f>IFERROR(__xludf.DUMMYFUNCTION("""COMPUTED_VALUE"""),"VerifyThirdPartySend")</f>
        <v>VerifyThirdPartySend</v>
      </c>
      <c r="X4" s="25" t="str">
        <f>IFERROR(__xludf.DUMMYFUNCTION("""COMPUTED_VALUE"""),"ThirdPartySend")</f>
        <v>ThirdPartySend</v>
      </c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IFERROR(__xludf.DUMMYFUNCTION("""COMPUTED_VALUE"""),"Job Name")</f>
        <v>Job Name</v>
      </c>
      <c r="C5" s="27" t="str">
        <f>IFERROR(__xludf.DUMMYFUNCTION("""COMPUTED_VALUE"""),"Party Name")</f>
        <v>Party Name</v>
      </c>
      <c r="D5" s="27" t="str">
        <f>IFERROR(__xludf.DUMMYFUNCTION("""COMPUTED_VALUE"""),"File Format")</f>
        <v>File Format</v>
      </c>
      <c r="E5" s="27" t="str">
        <f>IFERROR(__xludf.DUMMYFUNCTION("""COMPUTED_VALUE"""),"Third Party Type")</f>
        <v>Third Party Type</v>
      </c>
      <c r="F5" s="28" t="str">
        <f>IFERROR(__xludf.DUMMYFUNCTION("""COMPUTED_VALUE"""),"View")</f>
        <v>View</v>
      </c>
      <c r="G5" s="27" t="str">
        <f>IFERROR(__xludf.DUMMYFUNCTION("""COMPUTED_VALUE"""),"Generate")</f>
        <v>Generate</v>
      </c>
      <c r="H5" s="27" t="str">
        <f>IFERROR(__xludf.DUMMYFUNCTION("""COMPUTED_VALUE"""),"Send")</f>
        <v>Send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7"/>
      <c r="B6" s="30" t="s">
        <v>22</v>
      </c>
      <c r="C6" s="32" t="s">
        <v>23</v>
      </c>
      <c r="D6" s="30" t="s">
        <v>24</v>
      </c>
      <c r="E6" s="32" t="s">
        <v>25</v>
      </c>
      <c r="F6" s="32" t="s">
        <v>26</v>
      </c>
      <c r="G6" s="32" t="s">
        <v>27</v>
      </c>
      <c r="H6" s="32" t="s">
        <v>28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ThirdPartyGenerate!$4:$4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IFERROR(__xludf.DUMMYFUNCTION("IF(C3="""","""",Transpose(IMPORTRANGE('_Settings'!$B$3,C3&amp;""!A4:A1000"")))"),"GenerateThirdParty")</f>
        <v>GenerateThirdParty</v>
      </c>
      <c r="C4" s="24" t="str">
        <f>IFERROR(__xludf.DUMMYFUNCTION("""COMPUTED_VALUE"""),"SendThirdParty")</f>
        <v>SendThirdParty</v>
      </c>
      <c r="D4" s="24" t="str">
        <f>IFERROR(__xludf.DUMMYFUNCTION("""COMPUTED_VALUE"""),"ViewThirdParty")</f>
        <v>ViewThirdParty</v>
      </c>
      <c r="E4" s="24" t="str">
        <f>IFERROR(__xludf.DUMMYFUNCTION("""COMPUTED_VALUE"""),"SelectThirdPartyName")</f>
        <v>SelectThirdPartyName</v>
      </c>
      <c r="F4" s="24" t="str">
        <f>IFERROR(__xludf.DUMMYFUNCTION("""COMPUTED_VALUE"""),"VerifyThirdPartyData")</f>
        <v>VerifyThirdPartyData</v>
      </c>
      <c r="G4" s="24" t="str">
        <f>IFERROR(__xludf.DUMMYFUNCTION("""COMPUTED_VALUE"""),"ThirdPartyWork")</f>
        <v>ThirdPartyWork</v>
      </c>
      <c r="H4" s="24" t="str">
        <f>IFERROR(__xludf.DUMMYFUNCTION("""COMPUTED_VALUE"""),"Automation")</f>
        <v>Automation</v>
      </c>
      <c r="I4" s="24" t="str">
        <f>IFERROR(__xludf.DUMMYFUNCTION("""COMPUTED_VALUE"""),"ThirdPartyManagerFunction")</f>
        <v>ThirdPartyManagerFunction</v>
      </c>
      <c r="J4" s="24" t="str">
        <f>IFERROR(__xludf.DUMMYFUNCTION("""COMPUTED_VALUE"""),"OpeningManager")</f>
        <v>OpeningManager</v>
      </c>
      <c r="K4" s="24" t="str">
        <f>IFERROR(__xludf.DUMMYFUNCTION("""COMPUTED_VALUE"""),"SelectFromThirdPartyGrid")</f>
        <v>SelectFromThirdPartyGrid</v>
      </c>
      <c r="L4" s="24" t="str">
        <f>IFERROR(__xludf.DUMMYFUNCTION("""COMPUTED_VALUE"""),"SelectThirdPartyJob")</f>
        <v>SelectThirdPartyJob</v>
      </c>
      <c r="M4" s="24" t="str">
        <f>IFERROR(__xludf.DUMMYFUNCTION("""COMPUTED_VALUE"""),"GenerateAllThirdPartyData")</f>
        <v>GenerateAllThirdPartyData</v>
      </c>
      <c r="N4" s="24" t="str">
        <f>IFERROR(__xludf.DUMMYFUNCTION("""COMPUTED_VALUE"""),"SendAllThirdPartyData")</f>
        <v>SendAllThirdPartyData</v>
      </c>
      <c r="O4" s="24" t="str">
        <f>IFERROR(__xludf.DUMMYFUNCTION("""COMPUTED_VALUE"""),"VerifyThirdPartyView")</f>
        <v>VerifyThirdPartyView</v>
      </c>
      <c r="P4" s="25" t="str">
        <f>IFERROR(__xludf.DUMMYFUNCTION("""COMPUTED_VALUE"""),"SelectThirdParty")</f>
        <v>SelectThirdParty</v>
      </c>
      <c r="Q4" s="25" t="str">
        <f>IFERROR(__xludf.DUMMYFUNCTION("""COMPUTED_VALUE"""),"SelectThirdParty")</f>
        <v>SelectThirdParty</v>
      </c>
      <c r="R4" s="25" t="str">
        <f>IFERROR(__xludf.DUMMYFUNCTION("""COMPUTED_VALUE"""),"ViewThirdParty")</f>
        <v>ViewThirdParty</v>
      </c>
      <c r="S4" s="25" t="str">
        <f>IFERROR(__xludf.DUMMYFUNCTION("""COMPUTED_VALUE"""),"GenerateThirdPartyData")</f>
        <v>GenerateThirdPartyData</v>
      </c>
      <c r="T4" s="25" t="str">
        <f>IFERROR(__xludf.DUMMYFUNCTION("""COMPUTED_VALUE"""),"ThirdPartyGenerate")</f>
        <v>ThirdPartyGenerate</v>
      </c>
      <c r="U4" s="25" t="str">
        <f>IFERROR(__xludf.DUMMYFUNCTION("""COMPUTED_VALUE"""),"VerifyThirdPartyView")</f>
        <v>VerifyThirdPartyView</v>
      </c>
      <c r="V4" s="25" t="str">
        <f>IFERROR(__xludf.DUMMYFUNCTION("""COMPUTED_VALUE"""),"VerifyThirdPartyGenerate")</f>
        <v>VerifyThirdPartyGenerate</v>
      </c>
      <c r="W4" s="25" t="str">
        <f>IFERROR(__xludf.DUMMYFUNCTION("""COMPUTED_VALUE"""),"VerifyThirdPartySend")</f>
        <v>VerifyThirdPartySend</v>
      </c>
      <c r="X4" s="25" t="str">
        <f>IFERROR(__xludf.DUMMYFUNCTION("""COMPUTED_VALUE"""),"ThirdPartySend")</f>
        <v>ThirdPartySend</v>
      </c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IFERROR(__xludf.DUMMYFUNCTION("""COMPUTED_VALUE"""),"AccountName")</f>
        <v>AccountName</v>
      </c>
      <c r="C5" s="27" t="str">
        <f>IFERROR(__xludf.DUMMYFUNCTION("""COMPUTED_VALUE"""),"Symbol")</f>
        <v>Symbol</v>
      </c>
      <c r="D5" s="27" t="str">
        <f>IFERROR(__xludf.DUMMYFUNCTION("""COMPUTED_VALUE"""),"Side")</f>
        <v>Side</v>
      </c>
      <c r="E5" s="27" t="str">
        <f>IFERROR(__xludf.DUMMYFUNCTION("""COMPUTED_VALUE"""),"AveragePrice")</f>
        <v>AveragePrice</v>
      </c>
      <c r="F5" s="28" t="str">
        <f>IFERROR(__xludf.DUMMYFUNCTION("""COMPUTED_VALUE"""),"TradeDate")</f>
        <v>TradeDate</v>
      </c>
      <c r="G5" s="27" t="str">
        <f>IFERROR(__xludf.DUMMYFUNCTION("""COMPUTED_VALUE"""),"Quantity")</f>
        <v>Quantity</v>
      </c>
      <c r="H5" s="27" t="str">
        <f>IFERROR(__xludf.DUMMYFUNCTION("""COMPUTED_VALUE"""),"State")</f>
        <v>State</v>
      </c>
      <c r="I5" s="27" t="str">
        <f>IFERROR(__xludf.DUMMYFUNCTION("""COMPUTED_VALUE"""),"Currency")</f>
        <v>Currency</v>
      </c>
      <c r="J5" s="27" t="str">
        <f>IFERROR(__xludf.DUMMYFUNCTION("""COMPUTED_VALUE"""),"Commission")</f>
        <v>Commission</v>
      </c>
      <c r="K5" s="27" t="str">
        <f>IFERROR(__xludf.DUMMYFUNCTION("""COMPUTED_VALUE"""),"NetAmount")</f>
        <v>NetAmount</v>
      </c>
      <c r="L5" s="27" t="str">
        <f>IFERROR(__xludf.DUMMYFUNCTION("""COMPUTED_VALUE"""),"AssetName")</f>
        <v>AssetName</v>
      </c>
      <c r="M5" s="27" t="str">
        <f>IFERROR(__xludf.DUMMYFUNCTION("""COMPUTED_VALUE"""),"FXRate")</f>
        <v>FXRate</v>
      </c>
      <c r="N5" s="27" t="str">
        <f>IFERROR(__xludf.DUMMYFUNCTION("""COMPUTED_VALUE"""),"Broker")</f>
        <v>Broker</v>
      </c>
      <c r="O5" s="27" t="str">
        <f>IFERROR(__xludf.DUMMYFUNCTION("""COMPUTED_VALUE"""),"TradeAttribute1")</f>
        <v>TradeAttribute1</v>
      </c>
      <c r="P5" s="27" t="str">
        <f>IFERROR(__xludf.DUMMYFUNCTION("""COMPUTED_VALUE"""),"TradeAttribute2")</f>
        <v>TradeAttribute2</v>
      </c>
      <c r="Q5" s="27" t="str">
        <f>IFERROR(__xludf.DUMMYFUNCTION("""COMPUTED_VALUE"""),"TradeAttribute3")</f>
        <v>TradeAttribute3</v>
      </c>
      <c r="R5" s="27" t="str">
        <f>IFERROR(__xludf.DUMMYFUNCTION("""COMPUTED_VALUE"""),"TradeAttribute4")</f>
        <v>TradeAttribute4</v>
      </c>
      <c r="S5" s="27" t="str">
        <f>IFERROR(__xludf.DUMMYFUNCTION("""COMPUTED_VALUE"""),"TradeAttribute5")</f>
        <v>TradeAttribute5</v>
      </c>
      <c r="T5" s="29" t="str">
        <f>IFERROR(__xludf.DUMMYFUNCTION("""COMPUTED_VALUE"""),"TradeAttribute6")</f>
        <v>TradeAttribute6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18</v>
      </c>
      <c r="C6" s="31" t="s">
        <v>16</v>
      </c>
      <c r="D6" s="30" t="s">
        <v>17</v>
      </c>
      <c r="E6" s="34">
        <v>12.0</v>
      </c>
      <c r="F6" s="38">
        <f>today()</f>
        <v>44105</v>
      </c>
      <c r="G6" s="34">
        <v>100.0</v>
      </c>
      <c r="H6" s="32" t="s">
        <v>30</v>
      </c>
      <c r="I6" s="32"/>
      <c r="J6" s="31">
        <v>0.0</v>
      </c>
      <c r="K6" s="31">
        <v>1214.0007</v>
      </c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VerifyThirdPartyGenerate!$4:$4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33</v>
      </c>
      <c r="C6" s="8"/>
      <c r="D6" s="11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1-RJhOo2E5PhyqaiMEjsPi8RpfYBuiSqE9fj_-bRpkKw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7"/>
      <c r="B6" s="31" t="s">
        <v>16</v>
      </c>
      <c r="C6" s="34">
        <v>100.0</v>
      </c>
      <c r="D6" s="35">
        <f>today()</f>
        <v>44105</v>
      </c>
      <c r="E6" s="32"/>
      <c r="F6" s="32" t="s">
        <v>17</v>
      </c>
      <c r="G6" s="32"/>
      <c r="H6" s="34">
        <v>12.0</v>
      </c>
      <c r="I6" s="32"/>
      <c r="J6" s="32"/>
      <c r="K6" s="34">
        <v>12.0</v>
      </c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IFERROR(__xludf.DUMMYFUNCTION("""COMPUTED_VALUE"""),"Accured Interest")</f>
        <v>Accured Interest</v>
      </c>
      <c r="C5" s="27" t="str">
        <f>IFERROR(__xludf.DUMMYFUNCTION("""COMPUTED_VALUE"""),"Broker")</f>
        <v>Broker</v>
      </c>
      <c r="D5" s="27" t="str">
        <f>IFERROR(__xludf.DUMMYFUNCTION("""COMPUTED_VALUE"""),"Transaction Type")</f>
        <v>Transaction Type</v>
      </c>
      <c r="E5" s="27" t="str">
        <f>IFERROR(__xludf.DUMMYFUNCTION("""COMPUTED_VALUE"""),"Trade Attribute 1")</f>
        <v>Trade Attribute 1</v>
      </c>
      <c r="F5" s="28" t="str">
        <f>IFERROR(__xludf.DUMMYFUNCTION("""COMPUTED_VALUE"""),"Trade Attribute 2")</f>
        <v>Trade Attribute 2</v>
      </c>
      <c r="G5" s="27" t="str">
        <f>IFERROR(__xludf.DUMMYFUNCTION("""COMPUTED_VALUE"""),"Trade Attribute 3")</f>
        <v>Trade Attribute 3</v>
      </c>
      <c r="H5" s="27" t="str">
        <f>IFERROR(__xludf.DUMMYFUNCTION("""COMPUTED_VALUE"""),"Trade Attribute 4")</f>
        <v>Trade Attribute 4</v>
      </c>
      <c r="I5" s="27" t="str">
        <f>IFERROR(__xludf.DUMMYFUNCTION("""COMPUTED_VALUE"""),"Trade Attribute 5")</f>
        <v>Trade Attribute 5</v>
      </c>
      <c r="J5" s="27" t="str">
        <f>IFERROR(__xludf.DUMMYFUNCTION("""COMPUTED_VALUE"""),"Trade Attribute 6")</f>
        <v>Trade Attribute 6</v>
      </c>
      <c r="K5" s="27" t="str">
        <f>IFERROR(__xludf.DUMMYFUNCTION("""COMPUTED_VALUE"""),"Commission")</f>
        <v>Commission</v>
      </c>
      <c r="L5" s="27" t="str">
        <f>IFERROR(__xludf.DUMMYFUNCTION("""COMPUTED_VALUE"""),"Soft Commission")</f>
        <v>Soft Commission</v>
      </c>
      <c r="M5" s="27" t="str">
        <f>IFERROR(__xludf.DUMMYFUNCTION("""COMPUTED_VALUE"""),"Other Broker Fees")</f>
        <v>Other Broker Fees</v>
      </c>
      <c r="N5" s="27" t="str">
        <f>IFERROR(__xludf.DUMMYFUNCTION("""COMPUTED_VALUE"""),"Clearing Broker Fee")</f>
        <v>Clearing Broker Fee</v>
      </c>
      <c r="O5" s="27" t="str">
        <f>IFERROR(__xludf.DUMMYFUNCTION("""COMPUTED_VALUE"""),"Stamp Duty")</f>
        <v>Stamp Duty</v>
      </c>
      <c r="P5" s="27" t="str">
        <f>IFERROR(__xludf.DUMMYFUNCTION("""COMPUTED_VALUE"""),"AUEC Fee1")</f>
        <v>AUEC Fee1</v>
      </c>
      <c r="Q5" s="27" t="str">
        <f>IFERROR(__xludf.DUMMYFUNCTION("""COMPUTED_VALUE"""),"Tax On Commissions")</f>
        <v>Tax On Commissions</v>
      </c>
      <c r="R5" s="27" t="str">
        <f>IFERROR(__xludf.DUMMYFUNCTION("""COMPUTED_VALUE"""),"AUEC Fee2")</f>
        <v>AUEC Fee2</v>
      </c>
      <c r="S5" s="27" t="str">
        <f>IFERROR(__xludf.DUMMYFUNCTION("""COMPUTED_VALUE"""),"SEC Fee")</f>
        <v>SEC Fee</v>
      </c>
      <c r="T5" s="29" t="str">
        <f>IFERROR(__xludf.DUMMYFUNCTION("""COMPUTED_VALUE"""),"OCC Fee")</f>
        <v>OCC Fee</v>
      </c>
      <c r="U5" s="29" t="str">
        <f>IFERROR(__xludf.DUMMYFUNCTION("""COMPUTED_VALUE"""),"ORF Fee")</f>
        <v>ORF Fee</v>
      </c>
      <c r="V5" s="29" t="str">
        <f>IFERROR(__xludf.DUMMYFUNCTION("""COMPUTED_VALUE"""),"Option Premium Adjustment")</f>
        <v>Option Premium Adjustment</v>
      </c>
      <c r="W5" s="29" t="str">
        <f>IFERROR(__xludf.DUMMYFUNCTION("""COMPUTED_VALUE"""),"Change Comment")</f>
        <v>Change Comment</v>
      </c>
      <c r="X5" s="29" t="str">
        <f>IFERROR(__xludf.DUMMYFUNCTION("""COMPUTED_VALUE"""),"Avg Price(Local)")</f>
        <v>Avg Price(Local)</v>
      </c>
      <c r="Y5" s="29" t="str">
        <f>IFERROR(__xludf.DUMMYFUNCTION("""COMPUTED_VALUE"""),"Nirvana Process Date")</f>
        <v>Nirvana Process Date</v>
      </c>
      <c r="Z5" s="29" t="str">
        <f>IFERROR(__xludf.DUMMYFUNCTION("""COMPUTED_VALUE"""),"Closing Date")</f>
        <v>Closing Date</v>
      </c>
      <c r="AA5" s="29" t="str">
        <f>IFERROR(__xludf.DUMMYFUNCTION("""COMPUTED_VALUE"""),"Description")</f>
        <v>Description</v>
      </c>
      <c r="AB5" s="29" t="str">
        <f>IFERROR(__xludf.DUMMYFUNCTION("""COMPUTED_VALUE"""),"Coupon Rate")</f>
        <v>Coupon Rate</v>
      </c>
      <c r="AC5" s="29" t="str">
        <f>IFERROR(__xludf.DUMMYFUNCTION("""COMPUTED_VALUE"""),"Delta")</f>
        <v>Delta</v>
      </c>
      <c r="AD5" s="29" t="str">
        <f>IFERROR(__xludf.DUMMYFUNCTION("""COMPUTED_VALUE"""),"Symbol")</f>
        <v>Symbol</v>
      </c>
      <c r="AE5" s="29" t="str">
        <f>IFERROR(__xludf.DUMMYFUNCTION("""COMPUTED_VALUE"""),"Quantity")</f>
        <v>Quantity</v>
      </c>
      <c r="AF5" s="29" t="str">
        <f>IFERROR(__xludf.DUMMYFUNCTION("""COMPUTED_VALUE"""),"Avg Price(Base)")</f>
        <v>Avg Price(Base)</v>
      </c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7"/>
      <c r="B6" s="30"/>
      <c r="C6" s="32"/>
      <c r="D6" s="30"/>
      <c r="E6" s="32"/>
      <c r="F6" s="32"/>
      <c r="G6" s="32"/>
      <c r="H6" s="32"/>
      <c r="I6" s="32"/>
      <c r="J6" s="32"/>
      <c r="K6" s="31">
        <v>100.0</v>
      </c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40">
        <v>14.0</v>
      </c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EditAllocatedGrid!$4:$4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IFERROR(__xludf.DUMMYFUNCTION("IF(C3="""","""",Transpose(IMPORTRANGE('_Settings'!$B$3,C3&amp;""!A4:A1000"")))"),"GenerateThirdParty")</f>
        <v>GenerateThirdParty</v>
      </c>
      <c r="C4" s="24" t="str">
        <f>IFERROR(__xludf.DUMMYFUNCTION("""COMPUTED_VALUE"""),"SendThirdParty")</f>
        <v>SendThirdParty</v>
      </c>
      <c r="D4" s="24" t="str">
        <f>IFERROR(__xludf.DUMMYFUNCTION("""COMPUTED_VALUE"""),"ViewThirdParty")</f>
        <v>ViewThirdParty</v>
      </c>
      <c r="E4" s="24" t="str">
        <f>IFERROR(__xludf.DUMMYFUNCTION("""COMPUTED_VALUE"""),"SelectThirdPartyName")</f>
        <v>SelectThirdPartyName</v>
      </c>
      <c r="F4" s="24" t="str">
        <f>IFERROR(__xludf.DUMMYFUNCTION("""COMPUTED_VALUE"""),"VerifyThirdPartyData")</f>
        <v>VerifyThirdPartyData</v>
      </c>
      <c r="G4" s="24" t="str">
        <f>IFERROR(__xludf.DUMMYFUNCTION("""COMPUTED_VALUE"""),"ThirdPartyWork")</f>
        <v>ThirdPartyWork</v>
      </c>
      <c r="H4" s="24" t="str">
        <f>IFERROR(__xludf.DUMMYFUNCTION("""COMPUTED_VALUE"""),"Automation")</f>
        <v>Automation</v>
      </c>
      <c r="I4" s="24" t="str">
        <f>IFERROR(__xludf.DUMMYFUNCTION("""COMPUTED_VALUE"""),"ThirdPartyManagerFunction")</f>
        <v>ThirdPartyManagerFunction</v>
      </c>
      <c r="J4" s="24" t="str">
        <f>IFERROR(__xludf.DUMMYFUNCTION("""COMPUTED_VALUE"""),"OpeningManager")</f>
        <v>OpeningManager</v>
      </c>
      <c r="K4" s="24" t="str">
        <f>IFERROR(__xludf.DUMMYFUNCTION("""COMPUTED_VALUE"""),"SelectFromThirdPartyGrid")</f>
        <v>SelectFromThirdPartyGrid</v>
      </c>
      <c r="L4" s="24" t="str">
        <f>IFERROR(__xludf.DUMMYFUNCTION("""COMPUTED_VALUE"""),"SelectThirdPartyJob")</f>
        <v>SelectThirdPartyJob</v>
      </c>
      <c r="M4" s="24" t="str">
        <f>IFERROR(__xludf.DUMMYFUNCTION("""COMPUTED_VALUE"""),"GenerateAllThirdPartyData")</f>
        <v>GenerateAllThirdPartyData</v>
      </c>
      <c r="N4" s="24" t="str">
        <f>IFERROR(__xludf.DUMMYFUNCTION("""COMPUTED_VALUE"""),"SendAllThirdPartyData")</f>
        <v>SendAllThirdPartyData</v>
      </c>
      <c r="O4" s="24" t="str">
        <f>IFERROR(__xludf.DUMMYFUNCTION("""COMPUTED_VALUE"""),"VerifyThirdPartyView")</f>
        <v>VerifyThirdPartyView</v>
      </c>
      <c r="P4" s="25" t="str">
        <f>IFERROR(__xludf.DUMMYFUNCTION("""COMPUTED_VALUE"""),"SelectThirdParty")</f>
        <v>SelectThirdParty</v>
      </c>
      <c r="Q4" s="25" t="str">
        <f>IFERROR(__xludf.DUMMYFUNCTION("""COMPUTED_VALUE"""),"SelectThirdParty")</f>
        <v>SelectThirdParty</v>
      </c>
      <c r="R4" s="25" t="str">
        <f>IFERROR(__xludf.DUMMYFUNCTION("""COMPUTED_VALUE"""),"ViewThirdParty")</f>
        <v>ViewThirdParty</v>
      </c>
      <c r="S4" s="25" t="str">
        <f>IFERROR(__xludf.DUMMYFUNCTION("""COMPUTED_VALUE"""),"GenerateThirdPartyData")</f>
        <v>GenerateThirdPartyData</v>
      </c>
      <c r="T4" s="25" t="str">
        <f>IFERROR(__xludf.DUMMYFUNCTION("""COMPUTED_VALUE"""),"ThirdPartyGenerate")</f>
        <v>ThirdPartyGenerate</v>
      </c>
      <c r="U4" s="25" t="str">
        <f>IFERROR(__xludf.DUMMYFUNCTION("""COMPUTED_VALUE"""),"VerifyThirdPartyView")</f>
        <v>VerifyThirdPartyView</v>
      </c>
      <c r="V4" s="25" t="str">
        <f>IFERROR(__xludf.DUMMYFUNCTION("""COMPUTED_VALUE"""),"VerifyThirdPartyGenerate")</f>
        <v>VerifyThirdPartyGenerate</v>
      </c>
      <c r="W4" s="25" t="str">
        <f>IFERROR(__xludf.DUMMYFUNCTION("""COMPUTED_VALUE"""),"VerifyThirdPartySend")</f>
        <v>VerifyThirdPartySend</v>
      </c>
      <c r="X4" s="25" t="str">
        <f>IFERROR(__xludf.DUMMYFUNCTION("""COMPUTED_VALUE"""),"ThirdPartySend")</f>
        <v>ThirdPartySend</v>
      </c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IFERROR(__xludf.DUMMYFUNCTION("""COMPUTED_VALUE"""),"Job Name")</f>
        <v>Job Name</v>
      </c>
      <c r="C5" s="27" t="str">
        <f>IFERROR(__xludf.DUMMYFUNCTION("""COMPUTED_VALUE"""),"Party Name")</f>
        <v>Party Name</v>
      </c>
      <c r="D5" s="27" t="str">
        <f>IFERROR(__xludf.DUMMYFUNCTION("""COMPUTED_VALUE"""),"File Format")</f>
        <v>File Format</v>
      </c>
      <c r="E5" s="27" t="str">
        <f>IFERROR(__xludf.DUMMYFUNCTION("""COMPUTED_VALUE"""),"Third Party Type")</f>
        <v>Third Party Type</v>
      </c>
      <c r="F5" s="28" t="str">
        <f>IFERROR(__xludf.DUMMYFUNCTION("""COMPUTED_VALUE"""),"View")</f>
        <v>View</v>
      </c>
      <c r="G5" s="27" t="str">
        <f>IFERROR(__xludf.DUMMYFUNCTION("""COMPUTED_VALUE"""),"Generate")</f>
        <v>Generate</v>
      </c>
      <c r="H5" s="27" t="str">
        <f>IFERROR(__xludf.DUMMYFUNCTION("""COMPUTED_VALUE"""),"Send")</f>
        <v>Send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22</v>
      </c>
      <c r="C6" s="32" t="s">
        <v>23</v>
      </c>
      <c r="D6" s="30" t="s">
        <v>24</v>
      </c>
      <c r="E6" s="32" t="s">
        <v>25</v>
      </c>
      <c r="F6" s="32" t="s">
        <v>26</v>
      </c>
      <c r="G6" s="32" t="s">
        <v>27</v>
      </c>
      <c r="H6" s="32" t="s">
        <v>28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ViewThirdParty!$4:$4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IFERROR(__xludf.DUMMYFUNCTION("IF(C3="""","""",Transpose(IMPORTRANGE('_Settings'!$B$3,C3&amp;""!A4:A1000"")))"),"GenerateThirdParty")</f>
        <v>GenerateThirdParty</v>
      </c>
      <c r="C4" s="24" t="str">
        <f>IFERROR(__xludf.DUMMYFUNCTION("""COMPUTED_VALUE"""),"SendThirdParty")</f>
        <v>SendThirdParty</v>
      </c>
      <c r="D4" s="24" t="str">
        <f>IFERROR(__xludf.DUMMYFUNCTION("""COMPUTED_VALUE"""),"ViewThirdParty")</f>
        <v>ViewThirdParty</v>
      </c>
      <c r="E4" s="24" t="str">
        <f>IFERROR(__xludf.DUMMYFUNCTION("""COMPUTED_VALUE"""),"SelectThirdPartyName")</f>
        <v>SelectThirdPartyName</v>
      </c>
      <c r="F4" s="24" t="str">
        <f>IFERROR(__xludf.DUMMYFUNCTION("""COMPUTED_VALUE"""),"VerifyThirdPartyData")</f>
        <v>VerifyThirdPartyData</v>
      </c>
      <c r="G4" s="24" t="str">
        <f>IFERROR(__xludf.DUMMYFUNCTION("""COMPUTED_VALUE"""),"ThirdPartyWork")</f>
        <v>ThirdPartyWork</v>
      </c>
      <c r="H4" s="24" t="str">
        <f>IFERROR(__xludf.DUMMYFUNCTION("""COMPUTED_VALUE"""),"Automation")</f>
        <v>Automation</v>
      </c>
      <c r="I4" s="24" t="str">
        <f>IFERROR(__xludf.DUMMYFUNCTION("""COMPUTED_VALUE"""),"ThirdPartyManagerFunction")</f>
        <v>ThirdPartyManagerFunction</v>
      </c>
      <c r="J4" s="24" t="str">
        <f>IFERROR(__xludf.DUMMYFUNCTION("""COMPUTED_VALUE"""),"OpeningManager")</f>
        <v>OpeningManager</v>
      </c>
      <c r="K4" s="24" t="str">
        <f>IFERROR(__xludf.DUMMYFUNCTION("""COMPUTED_VALUE"""),"SelectFromThirdPartyGrid")</f>
        <v>SelectFromThirdPartyGrid</v>
      </c>
      <c r="L4" s="24" t="str">
        <f>IFERROR(__xludf.DUMMYFUNCTION("""COMPUTED_VALUE"""),"SelectThirdPartyJob")</f>
        <v>SelectThirdPartyJob</v>
      </c>
      <c r="M4" s="24" t="str">
        <f>IFERROR(__xludf.DUMMYFUNCTION("""COMPUTED_VALUE"""),"GenerateAllThirdPartyData")</f>
        <v>GenerateAllThirdPartyData</v>
      </c>
      <c r="N4" s="24" t="str">
        <f>IFERROR(__xludf.DUMMYFUNCTION("""COMPUTED_VALUE"""),"SendAllThirdPartyData")</f>
        <v>SendAllThirdPartyData</v>
      </c>
      <c r="O4" s="24" t="str">
        <f>IFERROR(__xludf.DUMMYFUNCTION("""COMPUTED_VALUE"""),"VerifyThirdPartyView")</f>
        <v>VerifyThirdPartyView</v>
      </c>
      <c r="P4" s="25" t="str">
        <f>IFERROR(__xludf.DUMMYFUNCTION("""COMPUTED_VALUE"""),"SelectThirdParty")</f>
        <v>SelectThirdParty</v>
      </c>
      <c r="Q4" s="25" t="str">
        <f>IFERROR(__xludf.DUMMYFUNCTION("""COMPUTED_VALUE"""),"SelectThirdParty")</f>
        <v>SelectThirdParty</v>
      </c>
      <c r="R4" s="25" t="str">
        <f>IFERROR(__xludf.DUMMYFUNCTION("""COMPUTED_VALUE"""),"ViewThirdParty")</f>
        <v>ViewThirdParty</v>
      </c>
      <c r="S4" s="25" t="str">
        <f>IFERROR(__xludf.DUMMYFUNCTION("""COMPUTED_VALUE"""),"GenerateThirdPartyData")</f>
        <v>GenerateThirdPartyData</v>
      </c>
      <c r="T4" s="25" t="str">
        <f>IFERROR(__xludf.DUMMYFUNCTION("""COMPUTED_VALUE"""),"ThirdPartyGenerate")</f>
        <v>ThirdPartyGenerate</v>
      </c>
      <c r="U4" s="25" t="str">
        <f>IFERROR(__xludf.DUMMYFUNCTION("""COMPUTED_VALUE"""),"VerifyThirdPartyView")</f>
        <v>VerifyThirdPartyView</v>
      </c>
      <c r="V4" s="25" t="str">
        <f>IFERROR(__xludf.DUMMYFUNCTION("""COMPUTED_VALUE"""),"VerifyThirdPartyGenerate")</f>
        <v>VerifyThirdPartyGenerate</v>
      </c>
      <c r="W4" s="25" t="str">
        <f>IFERROR(__xludf.DUMMYFUNCTION("""COMPUTED_VALUE"""),"VerifyThirdPartySend")</f>
        <v>VerifyThirdPartySend</v>
      </c>
      <c r="X4" s="25" t="str">
        <f>IFERROR(__xludf.DUMMYFUNCTION("""COMPUTED_VALUE"""),"ThirdPartySend")</f>
        <v>ThirdPartySend</v>
      </c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IFERROR(__xludf.DUMMYFUNCTION("""COMPUTED_VALUE"""),"AccountName")</f>
        <v>AccountName</v>
      </c>
      <c r="C5" s="27" t="str">
        <f>IFERROR(__xludf.DUMMYFUNCTION("""COMPUTED_VALUE"""),"Symbol")</f>
        <v>Symbol</v>
      </c>
      <c r="D5" s="27" t="str">
        <f>IFERROR(__xludf.DUMMYFUNCTION("""COMPUTED_VALUE"""),"Side")</f>
        <v>Side</v>
      </c>
      <c r="E5" s="27" t="str">
        <f>IFERROR(__xludf.DUMMYFUNCTION("""COMPUTED_VALUE"""),"AveragePrice")</f>
        <v>AveragePrice</v>
      </c>
      <c r="F5" s="28" t="str">
        <f>IFERROR(__xludf.DUMMYFUNCTION("""COMPUTED_VALUE"""),"TradeDate")</f>
        <v>TradeDate</v>
      </c>
      <c r="G5" s="27" t="str">
        <f>IFERROR(__xludf.DUMMYFUNCTION("""COMPUTED_VALUE"""),"Quantity")</f>
        <v>Quantity</v>
      </c>
      <c r="H5" s="27" t="str">
        <f>IFERROR(__xludf.DUMMYFUNCTION("""COMPUTED_VALUE"""),"State")</f>
        <v>State</v>
      </c>
      <c r="I5" s="27" t="str">
        <f>IFERROR(__xludf.DUMMYFUNCTION("""COMPUTED_VALUE"""),"Currency")</f>
        <v>Currency</v>
      </c>
      <c r="J5" s="27" t="str">
        <f>IFERROR(__xludf.DUMMYFUNCTION("""COMPUTED_VALUE"""),"Commission")</f>
        <v>Commission</v>
      </c>
      <c r="K5" s="27" t="str">
        <f>IFERROR(__xludf.DUMMYFUNCTION("""COMPUTED_VALUE"""),"NetAmount")</f>
        <v>NetAmount</v>
      </c>
      <c r="L5" s="27" t="str">
        <f>IFERROR(__xludf.DUMMYFUNCTION("""COMPUTED_VALUE"""),"AssetName")</f>
        <v>AssetName</v>
      </c>
      <c r="M5" s="27" t="str">
        <f>IFERROR(__xludf.DUMMYFUNCTION("""COMPUTED_VALUE"""),"FXRate")</f>
        <v>FXRate</v>
      </c>
      <c r="N5" s="27" t="str">
        <f>IFERROR(__xludf.DUMMYFUNCTION("""COMPUTED_VALUE"""),"Broker")</f>
        <v>Broker</v>
      </c>
      <c r="O5" s="27" t="str">
        <f>IFERROR(__xludf.DUMMYFUNCTION("""COMPUTED_VALUE"""),"TradeAttribute1")</f>
        <v>TradeAttribute1</v>
      </c>
      <c r="P5" s="27" t="str">
        <f>IFERROR(__xludf.DUMMYFUNCTION("""COMPUTED_VALUE"""),"TradeAttribute2")</f>
        <v>TradeAttribute2</v>
      </c>
      <c r="Q5" s="27" t="str">
        <f>IFERROR(__xludf.DUMMYFUNCTION("""COMPUTED_VALUE"""),"TradeAttribute3")</f>
        <v>TradeAttribute3</v>
      </c>
      <c r="R5" s="27" t="str">
        <f>IFERROR(__xludf.DUMMYFUNCTION("""COMPUTED_VALUE"""),"TradeAttribute4")</f>
        <v>TradeAttribute4</v>
      </c>
      <c r="S5" s="27" t="str">
        <f>IFERROR(__xludf.DUMMYFUNCTION("""COMPUTED_VALUE"""),"TradeAttribute5")</f>
        <v>TradeAttribute5</v>
      </c>
      <c r="T5" s="29" t="str">
        <f>IFERROR(__xludf.DUMMYFUNCTION("""COMPUTED_VALUE"""),"TradeAttribute6")</f>
        <v>TradeAttribute6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7"/>
      <c r="B6" s="30" t="s">
        <v>18</v>
      </c>
      <c r="C6" s="31" t="s">
        <v>16</v>
      </c>
      <c r="D6" s="30" t="s">
        <v>17</v>
      </c>
      <c r="E6" s="34">
        <v>14.0</v>
      </c>
      <c r="F6" s="38">
        <f>today()</f>
        <v>44105</v>
      </c>
      <c r="G6" s="34">
        <v>100.0</v>
      </c>
      <c r="H6" s="31" t="s">
        <v>30</v>
      </c>
      <c r="I6" s="32"/>
      <c r="J6" s="31">
        <v>100.0</v>
      </c>
      <c r="K6" s="31">
        <v>1514.0007</v>
      </c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VerifyThirdPartyView!$4:$4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IFERROR(__xludf.DUMMYFUNCTION("IF(C3="""","""",Transpose(IMPORTRANGE('_Settings'!$B$3,C3&amp;""!A4:A1000"")))"),"GenerateThirdParty")</f>
        <v>GenerateThirdParty</v>
      </c>
      <c r="C4" s="24" t="str">
        <f>IFERROR(__xludf.DUMMYFUNCTION("""COMPUTED_VALUE"""),"SendThirdParty")</f>
        <v>SendThirdParty</v>
      </c>
      <c r="D4" s="24" t="str">
        <f>IFERROR(__xludf.DUMMYFUNCTION("""COMPUTED_VALUE"""),"ViewThirdParty")</f>
        <v>ViewThirdParty</v>
      </c>
      <c r="E4" s="24" t="str">
        <f>IFERROR(__xludf.DUMMYFUNCTION("""COMPUTED_VALUE"""),"SelectThirdPartyName")</f>
        <v>SelectThirdPartyName</v>
      </c>
      <c r="F4" s="24" t="str">
        <f>IFERROR(__xludf.DUMMYFUNCTION("""COMPUTED_VALUE"""),"VerifyThirdPartyData")</f>
        <v>VerifyThirdPartyData</v>
      </c>
      <c r="G4" s="24" t="str">
        <f>IFERROR(__xludf.DUMMYFUNCTION("""COMPUTED_VALUE"""),"ThirdPartyWork")</f>
        <v>ThirdPartyWork</v>
      </c>
      <c r="H4" s="24" t="str">
        <f>IFERROR(__xludf.DUMMYFUNCTION("""COMPUTED_VALUE"""),"Automation")</f>
        <v>Automation</v>
      </c>
      <c r="I4" s="24" t="str">
        <f>IFERROR(__xludf.DUMMYFUNCTION("""COMPUTED_VALUE"""),"ThirdPartyManagerFunction")</f>
        <v>ThirdPartyManagerFunction</v>
      </c>
      <c r="J4" s="24" t="str">
        <f>IFERROR(__xludf.DUMMYFUNCTION("""COMPUTED_VALUE"""),"OpeningManager")</f>
        <v>OpeningManager</v>
      </c>
      <c r="K4" s="24" t="str">
        <f>IFERROR(__xludf.DUMMYFUNCTION("""COMPUTED_VALUE"""),"SelectFromThirdPartyGrid")</f>
        <v>SelectFromThirdPartyGrid</v>
      </c>
      <c r="L4" s="24" t="str">
        <f>IFERROR(__xludf.DUMMYFUNCTION("""COMPUTED_VALUE"""),"SelectThirdPartyJob")</f>
        <v>SelectThirdPartyJob</v>
      </c>
      <c r="M4" s="24" t="str">
        <f>IFERROR(__xludf.DUMMYFUNCTION("""COMPUTED_VALUE"""),"GenerateAllThirdPartyData")</f>
        <v>GenerateAllThirdPartyData</v>
      </c>
      <c r="N4" s="24" t="str">
        <f>IFERROR(__xludf.DUMMYFUNCTION("""COMPUTED_VALUE"""),"SendAllThirdPartyData")</f>
        <v>SendAllThirdPartyData</v>
      </c>
      <c r="O4" s="24" t="str">
        <f>IFERROR(__xludf.DUMMYFUNCTION("""COMPUTED_VALUE"""),"VerifyThirdPartyView")</f>
        <v>VerifyThirdPartyView</v>
      </c>
      <c r="P4" s="25" t="str">
        <f>IFERROR(__xludf.DUMMYFUNCTION("""COMPUTED_VALUE"""),"SelectThirdParty")</f>
        <v>SelectThirdParty</v>
      </c>
      <c r="Q4" s="25" t="str">
        <f>IFERROR(__xludf.DUMMYFUNCTION("""COMPUTED_VALUE"""),"SelectThirdParty")</f>
        <v>SelectThirdParty</v>
      </c>
      <c r="R4" s="25" t="str">
        <f>IFERROR(__xludf.DUMMYFUNCTION("""COMPUTED_VALUE"""),"ViewThirdParty")</f>
        <v>ViewThirdParty</v>
      </c>
      <c r="S4" s="25" t="str">
        <f>IFERROR(__xludf.DUMMYFUNCTION("""COMPUTED_VALUE"""),"GenerateThirdPartyData")</f>
        <v>GenerateThirdPartyData</v>
      </c>
      <c r="T4" s="25" t="str">
        <f>IFERROR(__xludf.DUMMYFUNCTION("""COMPUTED_VALUE"""),"ThirdPartyGenerate")</f>
        <v>ThirdPartyGenerate</v>
      </c>
      <c r="U4" s="25" t="str">
        <f>IFERROR(__xludf.DUMMYFUNCTION("""COMPUTED_VALUE"""),"VerifyThirdPartyView")</f>
        <v>VerifyThirdPartyView</v>
      </c>
      <c r="V4" s="25" t="str">
        <f>IFERROR(__xludf.DUMMYFUNCTION("""COMPUTED_VALUE"""),"VerifyThirdPartyGenerate")</f>
        <v>VerifyThirdPartyGenerate</v>
      </c>
      <c r="W4" s="25" t="str">
        <f>IFERROR(__xludf.DUMMYFUNCTION("""COMPUTED_VALUE"""),"VerifyThirdPartySend")</f>
        <v>VerifyThirdPartySend</v>
      </c>
      <c r="X4" s="25" t="str">
        <f>IFERROR(__xludf.DUMMYFUNCTION("""COMPUTED_VALUE"""),"ThirdPartySend")</f>
        <v>ThirdPartySend</v>
      </c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IFERROR(__xludf.DUMMYFUNCTION("""COMPUTED_VALUE"""),"Job Name")</f>
        <v>Job Name</v>
      </c>
      <c r="C5" s="27" t="str">
        <f>IFERROR(__xludf.DUMMYFUNCTION("""COMPUTED_VALUE"""),"Party Name")</f>
        <v>Party Name</v>
      </c>
      <c r="D5" s="27" t="str">
        <f>IFERROR(__xludf.DUMMYFUNCTION("""COMPUTED_VALUE"""),"File Format")</f>
        <v>File Format</v>
      </c>
      <c r="E5" s="27" t="str">
        <f>IFERROR(__xludf.DUMMYFUNCTION("""COMPUTED_VALUE"""),"Third Party Type")</f>
        <v>Third Party Type</v>
      </c>
      <c r="F5" s="28" t="str">
        <f>IFERROR(__xludf.DUMMYFUNCTION("""COMPUTED_VALUE"""),"View")</f>
        <v>View</v>
      </c>
      <c r="G5" s="27" t="str">
        <f>IFERROR(__xludf.DUMMYFUNCTION("""COMPUTED_VALUE"""),"Generate")</f>
        <v>Generate</v>
      </c>
      <c r="H5" s="27" t="str">
        <f>IFERROR(__xludf.DUMMYFUNCTION("""COMPUTED_VALUE"""),"Send")</f>
        <v>Send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22</v>
      </c>
      <c r="C6" s="32" t="s">
        <v>23</v>
      </c>
      <c r="D6" s="30" t="s">
        <v>24</v>
      </c>
      <c r="E6" s="32" t="s">
        <v>25</v>
      </c>
      <c r="F6" s="32" t="s">
        <v>26</v>
      </c>
      <c r="G6" s="32" t="s">
        <v>27</v>
      </c>
      <c r="H6" s="32" t="s">
        <v>28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ThirdPartySend!$4:$4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IFERROR(__xludf.DUMMYFUNCTION("IF(C3="""","""",Transpose(IMPORTRANGE('_Settings'!$B$3,C3&amp;""!A4:A1000"")))"),"GenerateThirdParty")</f>
        <v>GenerateThirdParty</v>
      </c>
      <c r="C4" s="24" t="str">
        <f>IFERROR(__xludf.DUMMYFUNCTION("""COMPUTED_VALUE"""),"SendThirdParty")</f>
        <v>SendThirdParty</v>
      </c>
      <c r="D4" s="24" t="str">
        <f>IFERROR(__xludf.DUMMYFUNCTION("""COMPUTED_VALUE"""),"ViewThirdParty")</f>
        <v>ViewThirdParty</v>
      </c>
      <c r="E4" s="24" t="str">
        <f>IFERROR(__xludf.DUMMYFUNCTION("""COMPUTED_VALUE"""),"SelectThirdPartyName")</f>
        <v>SelectThirdPartyName</v>
      </c>
      <c r="F4" s="24" t="str">
        <f>IFERROR(__xludf.DUMMYFUNCTION("""COMPUTED_VALUE"""),"VerifyThirdPartyData")</f>
        <v>VerifyThirdPartyData</v>
      </c>
      <c r="G4" s="24" t="str">
        <f>IFERROR(__xludf.DUMMYFUNCTION("""COMPUTED_VALUE"""),"ThirdPartyWork")</f>
        <v>ThirdPartyWork</v>
      </c>
      <c r="H4" s="24" t="str">
        <f>IFERROR(__xludf.DUMMYFUNCTION("""COMPUTED_VALUE"""),"Automation")</f>
        <v>Automation</v>
      </c>
      <c r="I4" s="24" t="str">
        <f>IFERROR(__xludf.DUMMYFUNCTION("""COMPUTED_VALUE"""),"ThirdPartyManagerFunction")</f>
        <v>ThirdPartyManagerFunction</v>
      </c>
      <c r="J4" s="24" t="str">
        <f>IFERROR(__xludf.DUMMYFUNCTION("""COMPUTED_VALUE"""),"OpeningManager")</f>
        <v>OpeningManager</v>
      </c>
      <c r="K4" s="24" t="str">
        <f>IFERROR(__xludf.DUMMYFUNCTION("""COMPUTED_VALUE"""),"SelectFromThirdPartyGrid")</f>
        <v>SelectFromThirdPartyGrid</v>
      </c>
      <c r="L4" s="24" t="str">
        <f>IFERROR(__xludf.DUMMYFUNCTION("""COMPUTED_VALUE"""),"SelectThirdPartyJob")</f>
        <v>SelectThirdPartyJob</v>
      </c>
      <c r="M4" s="24" t="str">
        <f>IFERROR(__xludf.DUMMYFUNCTION("""COMPUTED_VALUE"""),"GenerateAllThirdPartyData")</f>
        <v>GenerateAllThirdPartyData</v>
      </c>
      <c r="N4" s="24" t="str">
        <f>IFERROR(__xludf.DUMMYFUNCTION("""COMPUTED_VALUE"""),"SendAllThirdPartyData")</f>
        <v>SendAllThirdPartyData</v>
      </c>
      <c r="O4" s="24" t="str">
        <f>IFERROR(__xludf.DUMMYFUNCTION("""COMPUTED_VALUE"""),"VerifyThirdPartyView")</f>
        <v>VerifyThirdPartyView</v>
      </c>
      <c r="P4" s="25" t="str">
        <f>IFERROR(__xludf.DUMMYFUNCTION("""COMPUTED_VALUE"""),"SelectThirdParty")</f>
        <v>SelectThirdParty</v>
      </c>
      <c r="Q4" s="25" t="str">
        <f>IFERROR(__xludf.DUMMYFUNCTION("""COMPUTED_VALUE"""),"SelectThirdParty")</f>
        <v>SelectThirdParty</v>
      </c>
      <c r="R4" s="25" t="str">
        <f>IFERROR(__xludf.DUMMYFUNCTION("""COMPUTED_VALUE"""),"ViewThirdParty")</f>
        <v>ViewThirdParty</v>
      </c>
      <c r="S4" s="25" t="str">
        <f>IFERROR(__xludf.DUMMYFUNCTION("""COMPUTED_VALUE"""),"GenerateThirdPartyData")</f>
        <v>GenerateThirdPartyData</v>
      </c>
      <c r="T4" s="25" t="str">
        <f>IFERROR(__xludf.DUMMYFUNCTION("""COMPUTED_VALUE"""),"ThirdPartyGenerate")</f>
        <v>ThirdPartyGenerate</v>
      </c>
      <c r="U4" s="25" t="str">
        <f>IFERROR(__xludf.DUMMYFUNCTION("""COMPUTED_VALUE"""),"VerifyThirdPartyView")</f>
        <v>VerifyThirdPartyView</v>
      </c>
      <c r="V4" s="25" t="str">
        <f>IFERROR(__xludf.DUMMYFUNCTION("""COMPUTED_VALUE"""),"VerifyThirdPartyGenerate")</f>
        <v>VerifyThirdPartyGenerate</v>
      </c>
      <c r="W4" s="25" t="str">
        <f>IFERROR(__xludf.DUMMYFUNCTION("""COMPUTED_VALUE"""),"VerifyThirdPartySend")</f>
        <v>VerifyThirdPartySend</v>
      </c>
      <c r="X4" s="25" t="str">
        <f>IFERROR(__xludf.DUMMYFUNCTION("""COMPUTED_VALUE"""),"ThirdPartySend")</f>
        <v>ThirdPartySend</v>
      </c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IFERROR(__xludf.DUMMYFUNCTION("""COMPUTED_VALUE"""),"AccountName")</f>
        <v>AccountName</v>
      </c>
      <c r="C5" s="27" t="str">
        <f>IFERROR(__xludf.DUMMYFUNCTION("""COMPUTED_VALUE"""),"Symbol")</f>
        <v>Symbol</v>
      </c>
      <c r="D5" s="27" t="str">
        <f>IFERROR(__xludf.DUMMYFUNCTION("""COMPUTED_VALUE"""),"Side")</f>
        <v>Side</v>
      </c>
      <c r="E5" s="27" t="str">
        <f>IFERROR(__xludf.DUMMYFUNCTION("""COMPUTED_VALUE"""),"AveragePrice")</f>
        <v>AveragePrice</v>
      </c>
      <c r="F5" s="28" t="str">
        <f>IFERROR(__xludf.DUMMYFUNCTION("""COMPUTED_VALUE"""),"TradeDate")</f>
        <v>TradeDate</v>
      </c>
      <c r="G5" s="27" t="str">
        <f>IFERROR(__xludf.DUMMYFUNCTION("""COMPUTED_VALUE"""),"Quantity")</f>
        <v>Quantity</v>
      </c>
      <c r="H5" s="27" t="str">
        <f>IFERROR(__xludf.DUMMYFUNCTION("""COMPUTED_VALUE"""),"State")</f>
        <v>State</v>
      </c>
      <c r="I5" s="27" t="str">
        <f>IFERROR(__xludf.DUMMYFUNCTION("""COMPUTED_VALUE"""),"Currency")</f>
        <v>Currency</v>
      </c>
      <c r="J5" s="27" t="str">
        <f>IFERROR(__xludf.DUMMYFUNCTION("""COMPUTED_VALUE"""),"Commission")</f>
        <v>Commission</v>
      </c>
      <c r="K5" s="27" t="str">
        <f>IFERROR(__xludf.DUMMYFUNCTION("""COMPUTED_VALUE"""),"NetAmount")</f>
        <v>NetAmount</v>
      </c>
      <c r="L5" s="27" t="str">
        <f>IFERROR(__xludf.DUMMYFUNCTION("""COMPUTED_VALUE"""),"AssetName")</f>
        <v>AssetName</v>
      </c>
      <c r="M5" s="27" t="str">
        <f>IFERROR(__xludf.DUMMYFUNCTION("""COMPUTED_VALUE"""),"FXRate")</f>
        <v>FXRate</v>
      </c>
      <c r="N5" s="27" t="str">
        <f>IFERROR(__xludf.DUMMYFUNCTION("""COMPUTED_VALUE"""),"Broker")</f>
        <v>Broker</v>
      </c>
      <c r="O5" s="27" t="str">
        <f>IFERROR(__xludf.DUMMYFUNCTION("""COMPUTED_VALUE"""),"TradeAttribute1")</f>
        <v>TradeAttribute1</v>
      </c>
      <c r="P5" s="27" t="str">
        <f>IFERROR(__xludf.DUMMYFUNCTION("""COMPUTED_VALUE"""),"TradeAttribute2")</f>
        <v>TradeAttribute2</v>
      </c>
      <c r="Q5" s="27" t="str">
        <f>IFERROR(__xludf.DUMMYFUNCTION("""COMPUTED_VALUE"""),"TradeAttribute3")</f>
        <v>TradeAttribute3</v>
      </c>
      <c r="R5" s="27" t="str">
        <f>IFERROR(__xludf.DUMMYFUNCTION("""COMPUTED_VALUE"""),"TradeAttribute4")</f>
        <v>TradeAttribute4</v>
      </c>
      <c r="S5" s="27" t="str">
        <f>IFERROR(__xludf.DUMMYFUNCTION("""COMPUTED_VALUE"""),"TradeAttribute5")</f>
        <v>TradeAttribute5</v>
      </c>
      <c r="T5" s="29" t="str">
        <f>IFERROR(__xludf.DUMMYFUNCTION("""COMPUTED_VALUE"""),"TradeAttribute6")</f>
        <v>TradeAttribute6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7"/>
      <c r="B6" s="30" t="s">
        <v>18</v>
      </c>
      <c r="C6" s="31" t="s">
        <v>16</v>
      </c>
      <c r="D6" s="30" t="s">
        <v>17</v>
      </c>
      <c r="E6" s="34">
        <v>14.0</v>
      </c>
      <c r="F6" s="38">
        <f>today()</f>
        <v>44105</v>
      </c>
      <c r="G6" s="34">
        <v>100.0</v>
      </c>
      <c r="H6" s="31" t="s">
        <v>30</v>
      </c>
      <c r="I6" s="32"/>
      <c r="J6" s="31">
        <v>100.0</v>
      </c>
      <c r="K6" s="31">
        <v>1514.0007</v>
      </c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VerifyThirdPartySend!$4:$4</formula1>
    </dataValidation>
  </dataValidations>
  <drawing r:id="rId1"/>
</worksheet>
</file>