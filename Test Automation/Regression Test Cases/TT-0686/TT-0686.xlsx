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ecExecutingBroker" sheetId="4" r:id="rId6"/>
    <sheet state="visible" name="SetGeneralPreference" sheetId="5" r:id="rId7"/>
    <sheet state="visible" name="CreateDoneAwayOrder" sheetId="6" r:id="rId8"/>
    <sheet state="visible" name="CreateStageOrder" sheetId="7" r:id="rId9"/>
    <sheet state="visible" name="VerifyOrder" sheetId="8" r:id="rId10"/>
  </sheets>
  <definedNames/>
  <calcPr/>
</workbook>
</file>

<file path=xl/sharedStrings.xml><?xml version="1.0" encoding="utf-8"?>
<sst xmlns="http://schemas.openxmlformats.org/spreadsheetml/2006/main" count="467" uniqueCount="50">
  <si>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</si>
  <si>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</si>
  <si>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</si>
  <si>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</si>
  <si>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</si>
  <si>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</si>
  <si>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</si>
  <si>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</si>
  <si>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</si>
  <si>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</si>
  <si>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</si>
  <si>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</si>
  <si>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</si>
  <si>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SetAuecExecutingBroker</t>
  </si>
  <si>
    <t>Data Format</t>
  </si>
  <si>
    <t>Input Format</t>
  </si>
  <si>
    <t>Allocation1</t>
  </si>
  <si>
    <t>MS</t>
  </si>
  <si>
    <t>Allocation3</t>
  </si>
  <si>
    <t>Allocation2</t>
  </si>
  <si>
    <t>GS</t>
  </si>
  <si>
    <t>Allocation4</t>
  </si>
  <si>
    <t>TradingTicket</t>
  </si>
  <si>
    <t>SetGeneralPreference</t>
  </si>
  <si>
    <t>CreateDoneAwayOrder</t>
  </si>
  <si>
    <t>IBM</t>
  </si>
  <si>
    <t>Buy</t>
  </si>
  <si>
    <t>SAP</t>
  </si>
  <si>
    <t>Sell short</t>
  </si>
  <si>
    <t>CreateStageOrder</t>
  </si>
  <si>
    <t>AAPL</t>
  </si>
  <si>
    <t>Allocation1,Allocation2</t>
  </si>
  <si>
    <t>50,50</t>
  </si>
  <si>
    <t>Allocation1,Allocation3</t>
  </si>
  <si>
    <t>Blotter</t>
  </si>
  <si>
    <t>VerifyOrder</t>
  </si>
  <si>
    <t/>
  </si>
  <si>
    <t>NASDAQ</t>
  </si>
  <si>
    <t>jpearce</t>
  </si>
  <si>
    <t>US</t>
  </si>
  <si>
    <t>GCCAP1</t>
  </si>
  <si>
    <t>USD</t>
  </si>
  <si>
    <t>Multiple</t>
  </si>
  <si>
    <t>DefaultNotes</t>
  </si>
  <si>
    <t>M</t>
  </si>
  <si>
    <t>Equity</t>
  </si>
  <si>
    <t>New</t>
  </si>
  <si>
    <t>Market</t>
  </si>
  <si>
    <t>Day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</si>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</sst>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IFERROR(__xludf.DUMMYFUNCTION("""COMPUTED_VALUE"""),"Broker")</f>
        <v>Broker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2" t="s">
        <v>18</v>
      </c>
      <c r="C7" s="32" t="s">
        <v>17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2" t="s">
        <v>19</v>
      </c>
      <c r="C8" s="32" t="s">
        <v>20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2" t="s">
        <v>21</v>
      </c>
      <c r="C9" s="32" t="s">
        <v>20</v>
      </c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SetAuecExecutingBroker!$4:$4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IFERROR(__xludf.DUMMYFUNCTION("""COMPUTED_VALUE"""),"DefaultSymbology")</f>
        <v>DefaultSymbology</v>
      </c>
      <c r="C5" s="27" t="str">
        <f>IFERROR(__xludf.DUMMYFUNCTION("""COMPUTED_VALUE"""),"DefaultOptionType")</f>
        <v>DefaultOptionType</v>
      </c>
      <c r="D5" s="27" t="str">
        <f>IFERROR(__xludf.DUMMYFUNCTION("""COMPUTED_VALUE"""),"DefaultNotes")</f>
        <v>DefaultNotes</v>
      </c>
      <c r="E5" s="27" t="str">
        <f>IFERROR(__xludf.DUMMYFUNCTION("""COMPUTED_VALUE"""),"DefaultBrokerNotes")</f>
        <v>DefaultBrokerNotes</v>
      </c>
      <c r="F5" s="28" t="str">
        <f>IFERROR(__xludf.DUMMYFUNCTION("""COMPUTED_VALUE"""),"KeepTradingTicketOpenAfterTrade")</f>
        <v>KeepTradingTicketOpenAfterTrade</v>
      </c>
      <c r="G5" s="27" t="str">
        <f>IFERROR(__xludf.DUMMYFUNCTION("""COMPUTED_VALUE"""),"ShowOptionDetails")</f>
        <v>ShowOptionDetails</v>
      </c>
      <c r="H5" s="27" t="str">
        <f>IFERROR(__xludf.DUMMYFUNCTION("""COMPUTED_VALUE"""),"Use Custodian Broker")</f>
        <v>Use Custodian Broker</v>
      </c>
      <c r="I5" s="27" t="str">
        <f>IFERROR(__xludf.DUMMYFUNCTION("""COMPUTED_VALUE"""),"Button_Status")</f>
        <v>Button_Status</v>
      </c>
      <c r="J5" s="27" t="str">
        <f>IFERROR(__xludf.DUMMYFUNCTION("""COMPUTED_VALUE"""),"ClearColumnValue")</f>
        <v>ClearColumnValue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4" t="b">
        <v>1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100.0</v>
      </c>
      <c r="E6" s="35"/>
      <c r="F6" s="12" t="s">
        <v>19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12" t="s">
        <v>27</v>
      </c>
      <c r="C7" s="12" t="s">
        <v>26</v>
      </c>
      <c r="D7" s="12">
        <v>1000.0</v>
      </c>
      <c r="E7" s="8"/>
      <c r="F7" s="12" t="s">
        <v>19</v>
      </c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12" t="s">
        <v>25</v>
      </c>
      <c r="C8" s="12" t="s">
        <v>28</v>
      </c>
      <c r="D8" s="12">
        <v>100.0</v>
      </c>
      <c r="E8" s="8"/>
      <c r="F8" s="12" t="s">
        <v>16</v>
      </c>
      <c r="G8" s="8"/>
      <c r="H8" s="8"/>
      <c r="I8" s="8"/>
      <c r="J8" s="12">
        <v>2.0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26</v>
      </c>
      <c r="D6" s="12">
        <v>100.0</v>
      </c>
      <c r="E6" s="35"/>
      <c r="F6" s="8"/>
      <c r="G6" s="8"/>
      <c r="H6" s="8"/>
      <c r="I6" s="8"/>
      <c r="J6" s="12">
        <v>2.0</v>
      </c>
      <c r="K6" s="8"/>
      <c r="L6" s="8"/>
      <c r="M6" s="8"/>
      <c r="N6" s="8"/>
      <c r="O6" s="8"/>
      <c r="AK6" s="9" t="s">
        <v>31</v>
      </c>
      <c r="AL6" s="9" t="s">
        <v>32</v>
      </c>
    </row>
    <row r="7" ht="15.75" customHeight="1">
      <c r="A7" s="12"/>
      <c r="B7" s="12" t="s">
        <v>30</v>
      </c>
      <c r="C7" s="12" t="s">
        <v>26</v>
      </c>
      <c r="D7" s="12">
        <v>100.0</v>
      </c>
      <c r="E7" s="35"/>
      <c r="F7" s="8"/>
      <c r="G7" s="8"/>
      <c r="H7" s="8"/>
      <c r="I7" s="8"/>
      <c r="J7" s="12">
        <v>2.0</v>
      </c>
      <c r="K7" s="8"/>
      <c r="L7" s="8"/>
      <c r="M7" s="8"/>
      <c r="N7" s="8"/>
      <c r="O7" s="8"/>
      <c r="AK7" s="9" t="s">
        <v>33</v>
      </c>
      <c r="AL7" s="9" t="s">
        <v>32</v>
      </c>
    </row>
    <row r="8" ht="15.75" customHeight="1">
      <c r="A8" s="12"/>
      <c r="B8" s="12" t="s">
        <v>30</v>
      </c>
      <c r="C8" s="12" t="s">
        <v>26</v>
      </c>
      <c r="D8" s="12">
        <v>100.0</v>
      </c>
      <c r="E8" s="35"/>
      <c r="F8" s="12" t="s">
        <v>16</v>
      </c>
      <c r="G8" s="8"/>
      <c r="H8" s="8"/>
      <c r="I8" s="8"/>
      <c r="J8" s="12">
        <v>2.0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6" t="s">
        <v>36</v>
      </c>
      <c r="B6" s="36"/>
      <c r="C6" s="8"/>
      <c r="D6" s="36"/>
      <c r="E6" s="8"/>
      <c r="F6" s="8"/>
      <c r="G6" s="8"/>
      <c r="H6" s="36" t="s">
        <v>37</v>
      </c>
      <c r="I6" s="8" t="s">
        <v>38</v>
      </c>
      <c r="J6" s="8"/>
      <c r="K6" s="8" t="s">
        <v>39</v>
      </c>
      <c r="L6" s="8" t="s">
        <v>40</v>
      </c>
      <c r="M6" s="8"/>
      <c r="N6" s="8"/>
      <c r="O6" s="8"/>
      <c r="U6" t="s">
        <v>41</v>
      </c>
      <c r="AA6" t="s">
        <v>42</v>
      </c>
      <c r="AC6" t="s">
        <v>43</v>
      </c>
      <c r="AD6">
        <v>1.0</v>
      </c>
      <c r="AF6" t="s">
        <v>44</v>
      </c>
      <c r="AH6" t="s">
        <v>45</v>
      </c>
      <c r="AI6" s="12" t="s">
        <v>30</v>
      </c>
      <c r="AJ6" t="s">
        <v>26</v>
      </c>
      <c r="AK6" t="s">
        <v>46</v>
      </c>
      <c r="AL6">
        <v>100.0</v>
      </c>
      <c r="AP6">
        <v>100.0</v>
      </c>
      <c r="AS6" t="s">
        <v>42</v>
      </c>
      <c r="AT6" t="s">
        <v>42</v>
      </c>
      <c r="AU6" t="s">
        <v>47</v>
      </c>
      <c r="BA6" t="s">
        <v>38</v>
      </c>
      <c r="BB6" t="s">
        <v>36</v>
      </c>
      <c r="BC6" t="s">
        <v>36</v>
      </c>
      <c r="BD6" t="s">
        <v>36</v>
      </c>
      <c r="BE6" t="s">
        <v>36</v>
      </c>
      <c r="BF6" t="s">
        <v>36</v>
      </c>
      <c r="BG6" t="s">
        <v>22</v>
      </c>
      <c r="BH6" t="s">
        <v>48</v>
      </c>
      <c r="BK6" t="s">
        <v>36</v>
      </c>
      <c r="BP6" t="s">
        <v>36</v>
      </c>
      <c r="BQ6" t="s">
        <v>36</v>
      </c>
      <c r="BR6" t="s">
        <v>36</v>
      </c>
      <c r="BS6" t="s">
        <v>36</v>
      </c>
      <c r="BT6" t="s">
        <v>36</v>
      </c>
      <c r="BU6" t="s">
        <v>36</v>
      </c>
      <c r="BV6" t="s">
        <v>36</v>
      </c>
      <c r="BW6" t="s">
        <v>36</v>
      </c>
      <c r="BX6" t="s">
        <v>36</v>
      </c>
      <c r="BY6" t="s">
        <v>36</v>
      </c>
      <c r="BZ6" t="s">
        <v>36</v>
      </c>
      <c r="CA6" t="s">
        <v>36</v>
      </c>
      <c r="CB6" t="s">
        <v>36</v>
      </c>
      <c r="CC6" t="s">
        <v>36</v>
      </c>
      <c r="CD6" t="s">
        <v>36</v>
      </c>
      <c r="CE6" t="s">
        <v>36</v>
      </c>
      <c r="CF6" t="s">
        <v>36</v>
      </c>
      <c r="CG6" t="s">
        <v>36</v>
      </c>
      <c r="CH6" t="s">
        <v>36</v>
      </c>
      <c r="CI6" t="s">
        <v>36</v>
      </c>
      <c r="CJ6" t="s">
        <v>36</v>
      </c>
      <c r="CK6" t="s">
        <v>36</v>
      </c>
      <c r="CL6" t="s">
        <v>36</v>
      </c>
      <c r="CM6" t="s">
        <v>36</v>
      </c>
      <c r="CN6" t="s">
        <v>36</v>
      </c>
      <c r="CO6" t="s">
        <v>36</v>
      </c>
      <c r="CP6" t="s">
        <v>36</v>
      </c>
      <c r="CQ6" t="s">
        <v>36</v>
      </c>
      <c r="CR6" t="s">
        <v>36</v>
      </c>
      <c r="CS6" t="s">
        <v>36</v>
      </c>
      <c r="CT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EY6" t="s">
        <v>36</v>
      </c>
      <c r="EZ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J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36" t="s">
        <v>36</v>
      </c>
      <c r="B7" s="36"/>
      <c r="C7" s="8"/>
      <c r="D7" s="36"/>
      <c r="E7" s="8"/>
      <c r="F7" s="8"/>
      <c r="G7" s="8"/>
      <c r="H7" s="36" t="s">
        <v>37</v>
      </c>
      <c r="I7" s="8" t="s">
        <v>38</v>
      </c>
      <c r="J7" s="8"/>
      <c r="K7" s="8" t="s">
        <v>39</v>
      </c>
      <c r="L7" s="8" t="s">
        <v>40</v>
      </c>
      <c r="M7" s="8"/>
      <c r="N7" s="8"/>
      <c r="O7" s="8"/>
      <c r="U7" t="s">
        <v>41</v>
      </c>
      <c r="AA7" t="s">
        <v>49</v>
      </c>
      <c r="AC7" t="s">
        <v>43</v>
      </c>
      <c r="AD7">
        <v>1.0</v>
      </c>
      <c r="AF7" t="s">
        <v>44</v>
      </c>
      <c r="AH7" t="s">
        <v>45</v>
      </c>
      <c r="AI7" s="12" t="s">
        <v>30</v>
      </c>
      <c r="AJ7" t="s">
        <v>26</v>
      </c>
      <c r="AK7" t="s">
        <v>46</v>
      </c>
      <c r="AL7">
        <v>100.0</v>
      </c>
      <c r="AP7">
        <v>100.0</v>
      </c>
      <c r="AS7" t="s">
        <v>17</v>
      </c>
      <c r="AT7" t="s">
        <v>42</v>
      </c>
      <c r="AU7" t="s">
        <v>47</v>
      </c>
      <c r="BA7" t="s">
        <v>38</v>
      </c>
      <c r="BB7" t="s">
        <v>36</v>
      </c>
      <c r="BC7" t="s">
        <v>36</v>
      </c>
      <c r="BD7" t="s">
        <v>36</v>
      </c>
      <c r="BE7" t="s">
        <v>36</v>
      </c>
      <c r="BF7" t="s">
        <v>36</v>
      </c>
      <c r="BG7" t="s">
        <v>22</v>
      </c>
      <c r="BH7" t="s">
        <v>48</v>
      </c>
      <c r="BK7" t="s">
        <v>36</v>
      </c>
      <c r="BP7" t="s">
        <v>36</v>
      </c>
      <c r="BQ7" t="s">
        <v>36</v>
      </c>
      <c r="BR7" t="s">
        <v>36</v>
      </c>
      <c r="BS7" t="s">
        <v>36</v>
      </c>
      <c r="BT7" t="s">
        <v>36</v>
      </c>
      <c r="BU7" t="s">
        <v>36</v>
      </c>
      <c r="BV7" t="s">
        <v>36</v>
      </c>
      <c r="BW7" t="s">
        <v>36</v>
      </c>
      <c r="BX7" t="s">
        <v>36</v>
      </c>
      <c r="BY7" t="s">
        <v>36</v>
      </c>
      <c r="BZ7" t="s">
        <v>36</v>
      </c>
      <c r="CA7" t="s">
        <v>36</v>
      </c>
      <c r="CB7" t="s">
        <v>36</v>
      </c>
      <c r="CC7" t="s">
        <v>36</v>
      </c>
      <c r="CD7" t="s">
        <v>36</v>
      </c>
      <c r="CE7" t="s">
        <v>36</v>
      </c>
      <c r="CF7" t="s">
        <v>36</v>
      </c>
      <c r="CG7" t="s">
        <v>36</v>
      </c>
      <c r="CH7" t="s">
        <v>36</v>
      </c>
      <c r="CI7" t="s">
        <v>36</v>
      </c>
      <c r="CJ7" t="s">
        <v>36</v>
      </c>
      <c r="CK7" t="s">
        <v>36</v>
      </c>
      <c r="CL7" t="s">
        <v>36</v>
      </c>
      <c r="CM7" t="s">
        <v>36</v>
      </c>
      <c r="CN7" t="s">
        <v>36</v>
      </c>
      <c r="CO7" t="s">
        <v>36</v>
      </c>
      <c r="CP7" t="s">
        <v>36</v>
      </c>
      <c r="CQ7" t="s">
        <v>36</v>
      </c>
      <c r="CR7" t="s">
        <v>36</v>
      </c>
      <c r="CS7" t="s">
        <v>36</v>
      </c>
      <c r="CT7" t="s">
        <v>36</v>
      </c>
      <c r="CU7" t="s">
        <v>36</v>
      </c>
      <c r="CV7" t="s">
        <v>36</v>
      </c>
      <c r="CW7" t="s">
        <v>36</v>
      </c>
      <c r="CX7" t="s">
        <v>36</v>
      </c>
      <c r="CY7" t="s">
        <v>36</v>
      </c>
      <c r="CZ7" t="s">
        <v>36</v>
      </c>
      <c r="DA7" t="s">
        <v>36</v>
      </c>
      <c r="DB7" t="s">
        <v>36</v>
      </c>
      <c r="DC7" t="s">
        <v>36</v>
      </c>
      <c r="DD7" t="s">
        <v>36</v>
      </c>
      <c r="DE7" t="s">
        <v>36</v>
      </c>
      <c r="DF7" t="s">
        <v>36</v>
      </c>
      <c r="DG7" t="s">
        <v>36</v>
      </c>
      <c r="DH7" t="s">
        <v>36</v>
      </c>
      <c r="DI7" t="s">
        <v>36</v>
      </c>
      <c r="DJ7" t="s">
        <v>36</v>
      </c>
      <c r="DK7" t="s">
        <v>36</v>
      </c>
      <c r="DL7" t="s">
        <v>36</v>
      </c>
      <c r="DM7" t="s">
        <v>36</v>
      </c>
      <c r="DN7" t="s">
        <v>36</v>
      </c>
      <c r="DO7" t="s">
        <v>36</v>
      </c>
      <c r="DP7" t="s">
        <v>36</v>
      </c>
      <c r="DQ7" t="s">
        <v>36</v>
      </c>
      <c r="DR7" t="s">
        <v>36</v>
      </c>
      <c r="DS7" t="s">
        <v>36</v>
      </c>
      <c r="DT7" t="s">
        <v>36</v>
      </c>
      <c r="DU7" t="s">
        <v>36</v>
      </c>
      <c r="DV7" t="s">
        <v>36</v>
      </c>
      <c r="DW7" t="s">
        <v>36</v>
      </c>
      <c r="DX7" t="s">
        <v>36</v>
      </c>
      <c r="DY7" t="s">
        <v>36</v>
      </c>
      <c r="DZ7" t="s">
        <v>36</v>
      </c>
      <c r="EA7" t="s">
        <v>36</v>
      </c>
      <c r="EB7" t="s">
        <v>36</v>
      </c>
      <c r="EC7" t="s">
        <v>36</v>
      </c>
      <c r="ED7" t="s">
        <v>36</v>
      </c>
      <c r="EE7" t="s">
        <v>36</v>
      </c>
      <c r="EF7" t="s">
        <v>36</v>
      </c>
      <c r="EG7" t="s">
        <v>36</v>
      </c>
      <c r="EH7" t="s">
        <v>36</v>
      </c>
      <c r="EI7" t="s">
        <v>36</v>
      </c>
      <c r="EJ7" t="s">
        <v>36</v>
      </c>
      <c r="EK7" t="s">
        <v>36</v>
      </c>
      <c r="EL7" t="s">
        <v>36</v>
      </c>
      <c r="EM7" t="s">
        <v>36</v>
      </c>
      <c r="EN7" t="s">
        <v>36</v>
      </c>
      <c r="EO7" t="s">
        <v>36</v>
      </c>
      <c r="EP7" t="s">
        <v>36</v>
      </c>
      <c r="EQ7" t="s">
        <v>36</v>
      </c>
      <c r="ER7" t="s">
        <v>36</v>
      </c>
      <c r="ES7" t="s">
        <v>36</v>
      </c>
      <c r="ET7" t="s">
        <v>36</v>
      </c>
      <c r="EU7" t="s">
        <v>36</v>
      </c>
      <c r="EV7" t="s">
        <v>36</v>
      </c>
      <c r="EW7" t="s">
        <v>36</v>
      </c>
      <c r="EX7" t="s">
        <v>36</v>
      </c>
      <c r="EY7" t="s">
        <v>36</v>
      </c>
      <c r="EZ7" t="s">
        <v>36</v>
      </c>
      <c r="FA7" t="s">
        <v>36</v>
      </c>
      <c r="FB7" t="s">
        <v>36</v>
      </c>
      <c r="FC7" t="s">
        <v>36</v>
      </c>
      <c r="FD7" t="s">
        <v>36</v>
      </c>
      <c r="FE7" t="s">
        <v>36</v>
      </c>
      <c r="FF7" t="s">
        <v>36</v>
      </c>
      <c r="FG7" t="s">
        <v>36</v>
      </c>
      <c r="FH7" t="s">
        <v>36</v>
      </c>
      <c r="FI7" t="s">
        <v>36</v>
      </c>
      <c r="FJ7" t="s">
        <v>36</v>
      </c>
      <c r="FK7" t="s">
        <v>36</v>
      </c>
      <c r="FL7" t="s">
        <v>36</v>
      </c>
      <c r="FM7" t="s">
        <v>36</v>
      </c>
      <c r="FN7" t="s">
        <v>36</v>
      </c>
      <c r="FO7" t="s">
        <v>36</v>
      </c>
      <c r="FP7" t="s">
        <v>36</v>
      </c>
      <c r="FQ7" t="s">
        <v>36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</row>
    <row r="8" ht="15.75" customHeight="1">
      <c r="A8" s="36" t="s">
        <v>36</v>
      </c>
      <c r="B8" s="36"/>
      <c r="C8" s="8"/>
      <c r="D8" s="36"/>
      <c r="E8" s="8"/>
      <c r="F8" s="8"/>
      <c r="G8" s="8"/>
      <c r="H8" s="36" t="s">
        <v>37</v>
      </c>
      <c r="I8" s="8" t="s">
        <v>38</v>
      </c>
      <c r="J8" s="8"/>
      <c r="K8" s="8" t="s">
        <v>39</v>
      </c>
      <c r="L8" s="8" t="s">
        <v>40</v>
      </c>
      <c r="M8" s="8"/>
      <c r="N8" s="8"/>
      <c r="O8" s="8"/>
      <c r="U8" t="s">
        <v>41</v>
      </c>
      <c r="AA8" t="s">
        <v>49</v>
      </c>
      <c r="AC8" t="s">
        <v>43</v>
      </c>
      <c r="AD8">
        <v>1.0</v>
      </c>
      <c r="AF8" t="s">
        <v>44</v>
      </c>
      <c r="AH8" t="s">
        <v>45</v>
      </c>
      <c r="AI8" s="12" t="s">
        <v>30</v>
      </c>
      <c r="AJ8" t="s">
        <v>26</v>
      </c>
      <c r="AK8" t="s">
        <v>46</v>
      </c>
      <c r="AL8">
        <v>100.0</v>
      </c>
      <c r="AP8">
        <v>100.0</v>
      </c>
      <c r="AS8" t="s">
        <v>17</v>
      </c>
      <c r="AT8" t="s">
        <v>16</v>
      </c>
      <c r="AU8" t="s">
        <v>47</v>
      </c>
      <c r="BA8" t="s">
        <v>38</v>
      </c>
      <c r="BB8" t="s">
        <v>36</v>
      </c>
      <c r="BC8" t="s">
        <v>36</v>
      </c>
      <c r="BD8" t="s">
        <v>36</v>
      </c>
      <c r="BE8" t="s">
        <v>36</v>
      </c>
      <c r="BF8" t="s">
        <v>36</v>
      </c>
      <c r="BG8" t="s">
        <v>22</v>
      </c>
      <c r="BH8" t="s">
        <v>48</v>
      </c>
      <c r="BK8" t="s">
        <v>36</v>
      </c>
      <c r="BP8" t="s">
        <v>36</v>
      </c>
      <c r="BQ8" t="s">
        <v>36</v>
      </c>
      <c r="BR8" t="s">
        <v>36</v>
      </c>
      <c r="BS8" t="s">
        <v>36</v>
      </c>
      <c r="BT8" t="s">
        <v>36</v>
      </c>
      <c r="BU8" t="s">
        <v>36</v>
      </c>
      <c r="BV8" t="s">
        <v>36</v>
      </c>
      <c r="BW8" t="s">
        <v>36</v>
      </c>
      <c r="BX8" t="s">
        <v>36</v>
      </c>
      <c r="BY8" t="s">
        <v>36</v>
      </c>
      <c r="BZ8" t="s">
        <v>36</v>
      </c>
      <c r="CA8" t="s">
        <v>36</v>
      </c>
      <c r="CB8" t="s">
        <v>36</v>
      </c>
      <c r="CC8" t="s">
        <v>36</v>
      </c>
      <c r="CD8" t="s">
        <v>36</v>
      </c>
      <c r="CE8" t="s">
        <v>36</v>
      </c>
      <c r="CF8" t="s">
        <v>36</v>
      </c>
      <c r="CG8" t="s">
        <v>36</v>
      </c>
      <c r="CH8" t="s">
        <v>36</v>
      </c>
      <c r="CI8" t="s">
        <v>36</v>
      </c>
      <c r="CJ8" t="s">
        <v>36</v>
      </c>
      <c r="CK8" t="s">
        <v>36</v>
      </c>
      <c r="CL8" t="s">
        <v>36</v>
      </c>
      <c r="CM8" t="s">
        <v>36</v>
      </c>
      <c r="CN8" t="s">
        <v>36</v>
      </c>
      <c r="CO8" t="s">
        <v>36</v>
      </c>
      <c r="CP8" t="s">
        <v>36</v>
      </c>
      <c r="CQ8" t="s">
        <v>36</v>
      </c>
      <c r="CR8" t="s">
        <v>36</v>
      </c>
      <c r="CS8" t="s">
        <v>36</v>
      </c>
      <c r="CT8" t="s">
        <v>36</v>
      </c>
      <c r="CU8" t="s">
        <v>36</v>
      </c>
      <c r="CV8" t="s">
        <v>36</v>
      </c>
      <c r="CW8" t="s">
        <v>36</v>
      </c>
      <c r="CX8" t="s">
        <v>36</v>
      </c>
      <c r="CY8" t="s">
        <v>36</v>
      </c>
      <c r="CZ8" t="s">
        <v>36</v>
      </c>
      <c r="DA8" t="s">
        <v>36</v>
      </c>
      <c r="DB8" t="s">
        <v>36</v>
      </c>
      <c r="DC8" t="s">
        <v>36</v>
      </c>
      <c r="DD8" t="s">
        <v>36</v>
      </c>
      <c r="DE8" t="s">
        <v>36</v>
      </c>
      <c r="DF8" t="s">
        <v>36</v>
      </c>
      <c r="DG8" t="s">
        <v>36</v>
      </c>
      <c r="DH8" t="s">
        <v>36</v>
      </c>
      <c r="DI8" t="s">
        <v>36</v>
      </c>
      <c r="DJ8" t="s">
        <v>36</v>
      </c>
      <c r="DK8" t="s">
        <v>36</v>
      </c>
      <c r="DL8" t="s">
        <v>36</v>
      </c>
      <c r="DM8" t="s">
        <v>36</v>
      </c>
      <c r="DN8" t="s">
        <v>36</v>
      </c>
      <c r="DO8" t="s">
        <v>36</v>
      </c>
      <c r="DP8" t="s">
        <v>36</v>
      </c>
      <c r="DQ8" t="s">
        <v>36</v>
      </c>
      <c r="DR8" t="s">
        <v>36</v>
      </c>
      <c r="DS8" t="s">
        <v>36</v>
      </c>
      <c r="DT8" t="s">
        <v>36</v>
      </c>
      <c r="DU8" t="s">
        <v>36</v>
      </c>
      <c r="DV8" t="s">
        <v>36</v>
      </c>
      <c r="DW8" t="s">
        <v>36</v>
      </c>
      <c r="DX8" t="s">
        <v>36</v>
      </c>
      <c r="DY8" t="s">
        <v>36</v>
      </c>
      <c r="DZ8" t="s">
        <v>36</v>
      </c>
      <c r="EA8" t="s">
        <v>36</v>
      </c>
      <c r="EB8" t="s">
        <v>36</v>
      </c>
      <c r="EC8" t="s">
        <v>36</v>
      </c>
      <c r="ED8" t="s">
        <v>36</v>
      </c>
      <c r="EE8" t="s">
        <v>36</v>
      </c>
      <c r="EF8" t="s">
        <v>36</v>
      </c>
      <c r="EG8" t="s">
        <v>36</v>
      </c>
      <c r="EH8" t="s">
        <v>36</v>
      </c>
      <c r="EI8" t="s">
        <v>36</v>
      </c>
      <c r="EJ8" t="s">
        <v>36</v>
      </c>
      <c r="EK8" t="s">
        <v>36</v>
      </c>
      <c r="EL8" t="s">
        <v>36</v>
      </c>
      <c r="EM8" t="s">
        <v>36</v>
      </c>
      <c r="EN8" t="s">
        <v>36</v>
      </c>
      <c r="EO8" t="s">
        <v>36</v>
      </c>
      <c r="EP8" t="s">
        <v>36</v>
      </c>
      <c r="EQ8" t="s">
        <v>36</v>
      </c>
      <c r="ER8" t="s">
        <v>36</v>
      </c>
      <c r="ES8" t="s">
        <v>36</v>
      </c>
      <c r="ET8" t="s">
        <v>36</v>
      </c>
      <c r="EU8" t="s">
        <v>36</v>
      </c>
      <c r="EV8" t="s">
        <v>36</v>
      </c>
      <c r="EW8" t="s">
        <v>36</v>
      </c>
      <c r="EX8" t="s">
        <v>36</v>
      </c>
      <c r="EY8" t="s">
        <v>36</v>
      </c>
      <c r="EZ8" t="s">
        <v>36</v>
      </c>
      <c r="FA8" t="s">
        <v>36</v>
      </c>
      <c r="FB8" t="s">
        <v>36</v>
      </c>
      <c r="FC8" t="s">
        <v>36</v>
      </c>
      <c r="FD8" t="s">
        <v>36</v>
      </c>
      <c r="FE8" t="s">
        <v>36</v>
      </c>
      <c r="FF8" t="s">
        <v>36</v>
      </c>
      <c r="FG8" t="s">
        <v>36</v>
      </c>
      <c r="FH8" t="s">
        <v>36</v>
      </c>
      <c r="FI8" t="s">
        <v>36</v>
      </c>
      <c r="FJ8" t="s">
        <v>36</v>
      </c>
      <c r="FK8" t="s">
        <v>36</v>
      </c>
      <c r="FL8" t="s">
        <v>36</v>
      </c>
      <c r="FM8" t="s">
        <v>36</v>
      </c>
      <c r="FN8" t="s">
        <v>36</v>
      </c>
      <c r="FO8" t="s">
        <v>36</v>
      </c>
      <c r="FP8" t="s">
        <v>36</v>
      </c>
      <c r="FQ8" t="s">
        <v>36</v>
      </c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  <c r="QZ8" s="37"/>
      <c r="RA8" s="37"/>
      <c r="RB8" s="37"/>
      <c r="RC8" s="37"/>
      <c r="RD8" s="37"/>
      <c r="RE8" s="37"/>
      <c r="RF8" s="37"/>
      <c r="RG8" s="37"/>
      <c r="RH8" s="37"/>
      <c r="RI8" s="37"/>
      <c r="RJ8" s="37"/>
      <c r="RK8" s="37"/>
      <c r="RL8" s="37"/>
      <c r="RM8" s="37"/>
      <c r="RN8" s="37"/>
      <c r="RO8" s="37"/>
      <c r="RP8" s="37"/>
      <c r="RQ8" s="37"/>
      <c r="RR8" s="37"/>
      <c r="RS8" s="37"/>
      <c r="RT8" s="37"/>
      <c r="RU8" s="37"/>
      <c r="RV8" s="37"/>
      <c r="RW8" s="37"/>
      <c r="RX8" s="37"/>
      <c r="RY8" s="37"/>
      <c r="RZ8" s="37"/>
      <c r="SA8" s="37"/>
      <c r="SB8" s="37"/>
      <c r="SC8" s="37"/>
      <c r="SD8" s="37"/>
      <c r="SE8" s="37"/>
      <c r="SF8" s="37"/>
      <c r="SG8" s="37"/>
      <c r="SH8" s="37"/>
      <c r="SI8" s="37"/>
      <c r="SJ8" s="37"/>
      <c r="SK8" s="37"/>
      <c r="SL8" s="37"/>
      <c r="SM8" s="37"/>
      <c r="SN8" s="37"/>
      <c r="SO8" s="37"/>
      <c r="SP8" s="37"/>
      <c r="SQ8" s="37"/>
      <c r="SR8" s="37"/>
      <c r="SS8" s="37"/>
      <c r="ST8" s="37"/>
      <c r="SU8" s="37"/>
      <c r="SV8" s="37"/>
      <c r="SW8" s="37"/>
      <c r="SX8" s="37"/>
      <c r="SY8" s="37"/>
      <c r="SZ8" s="37"/>
      <c r="TA8" s="37"/>
      <c r="TB8" s="37"/>
      <c r="TC8" s="37"/>
      <c r="TD8" s="37"/>
      <c r="TE8" s="37"/>
      <c r="TF8" s="37"/>
      <c r="TG8" s="37"/>
      <c r="TH8" s="37"/>
      <c r="TI8" s="37"/>
      <c r="TJ8" s="37"/>
      <c r="TK8" s="37"/>
      <c r="TL8" s="37"/>
      <c r="TM8" s="37"/>
      <c r="TN8" s="37"/>
      <c r="TO8" s="37"/>
      <c r="TP8" s="37"/>
      <c r="TQ8" s="37"/>
      <c r="TR8" s="37"/>
      <c r="TS8" s="37"/>
      <c r="TT8" s="37"/>
      <c r="TU8" s="37"/>
      <c r="TV8" s="37"/>
      <c r="TW8" s="37"/>
      <c r="TX8" s="37"/>
      <c r="TY8" s="37"/>
      <c r="TZ8" s="37"/>
      <c r="UA8" s="37"/>
      <c r="UB8" s="37"/>
      <c r="UC8" s="37"/>
      <c r="UD8" s="37"/>
      <c r="UE8" s="37"/>
      <c r="UF8" s="37"/>
      <c r="UG8" s="37"/>
      <c r="UH8" s="37"/>
      <c r="UI8" s="37"/>
      <c r="UJ8" s="37"/>
      <c r="UK8" s="37"/>
      <c r="UL8" s="37"/>
      <c r="UM8" s="37"/>
      <c r="UN8" s="37"/>
      <c r="UO8" s="37"/>
      <c r="UP8" s="37"/>
      <c r="UQ8" s="37"/>
      <c r="UR8" s="37"/>
      <c r="US8" s="37"/>
      <c r="UT8" s="37"/>
      <c r="UU8" s="37"/>
      <c r="UV8" s="37"/>
      <c r="UW8" s="37"/>
      <c r="UX8" s="37"/>
      <c r="UY8" s="37"/>
      <c r="UZ8" s="37"/>
      <c r="VA8" s="37"/>
      <c r="VB8" s="37"/>
      <c r="VC8" s="37"/>
      <c r="VD8" s="37"/>
      <c r="VE8" s="37"/>
      <c r="VF8" s="37"/>
      <c r="VG8" s="37"/>
      <c r="VH8" s="37"/>
      <c r="VI8" s="37"/>
      <c r="VJ8" s="37"/>
      <c r="VK8" s="37"/>
      <c r="VL8" s="37"/>
      <c r="VM8" s="37"/>
      <c r="VN8" s="37"/>
      <c r="VO8" s="37"/>
      <c r="VP8" s="37"/>
      <c r="VQ8" s="37"/>
      <c r="VR8" s="37"/>
      <c r="VS8" s="37"/>
      <c r="VT8" s="37"/>
      <c r="VU8" s="37"/>
      <c r="VV8" s="37"/>
      <c r="VW8" s="37"/>
      <c r="VX8" s="37"/>
      <c r="VY8" s="37"/>
      <c r="VZ8" s="37"/>
      <c r="WA8" s="37"/>
      <c r="WB8" s="37"/>
      <c r="WC8" s="37"/>
      <c r="WD8" s="37"/>
      <c r="WE8" s="37"/>
      <c r="WF8" s="37"/>
      <c r="WG8" s="37"/>
      <c r="WH8" s="37"/>
      <c r="WI8" s="37"/>
      <c r="WJ8" s="37"/>
      <c r="WK8" s="37"/>
      <c r="WL8" s="37"/>
      <c r="WM8" s="37"/>
      <c r="WN8" s="37"/>
      <c r="WO8" s="37"/>
      <c r="WP8" s="37"/>
      <c r="WQ8" s="37"/>
      <c r="WR8" s="37"/>
      <c r="WS8" s="37"/>
      <c r="WT8" s="37"/>
      <c r="WU8" s="37"/>
      <c r="WV8" s="37"/>
      <c r="WW8" s="37"/>
      <c r="WX8" s="37"/>
      <c r="WY8" s="37"/>
      <c r="WZ8" s="37"/>
      <c r="XA8" s="37"/>
      <c r="XB8" s="37"/>
      <c r="XC8" s="37"/>
      <c r="XD8" s="37"/>
      <c r="XE8" s="37"/>
      <c r="XF8" s="37"/>
      <c r="XG8" s="37"/>
      <c r="XH8" s="37"/>
      <c r="XI8" s="37"/>
      <c r="XJ8" s="37"/>
      <c r="XK8" s="37"/>
      <c r="XL8" s="37"/>
      <c r="XM8" s="37"/>
      <c r="XN8" s="37"/>
      <c r="XO8" s="37"/>
      <c r="XP8" s="37"/>
      <c r="XQ8" s="37"/>
      <c r="XR8" s="37"/>
      <c r="XS8" s="37"/>
      <c r="XT8" s="37"/>
      <c r="XU8" s="37"/>
      <c r="XV8" s="37"/>
      <c r="XW8" s="37"/>
      <c r="XX8" s="37"/>
      <c r="XY8" s="37"/>
      <c r="XZ8" s="37"/>
      <c r="YA8" s="37"/>
      <c r="YB8" s="37"/>
      <c r="YC8" s="37"/>
      <c r="YD8" s="37"/>
      <c r="YE8" s="37"/>
      <c r="YF8" s="37"/>
      <c r="YG8" s="37"/>
      <c r="YH8" s="37"/>
      <c r="YI8" s="37"/>
      <c r="YJ8" s="37"/>
      <c r="YK8" s="37"/>
      <c r="YL8" s="37"/>
      <c r="YM8" s="37"/>
      <c r="YN8" s="37"/>
      <c r="YO8" s="37"/>
      <c r="YP8" s="37"/>
      <c r="YQ8" s="37"/>
      <c r="YR8" s="37"/>
      <c r="YS8" s="37"/>
      <c r="YT8" s="37"/>
      <c r="YU8" s="37"/>
      <c r="YV8" s="37"/>
      <c r="YW8" s="37"/>
      <c r="YX8" s="37"/>
      <c r="YY8" s="37"/>
      <c r="YZ8" s="37"/>
      <c r="ZA8" s="37"/>
      <c r="ZB8" s="37"/>
      <c r="ZC8" s="37"/>
      <c r="ZD8" s="37"/>
      <c r="ZE8" s="37"/>
      <c r="ZF8" s="37"/>
      <c r="ZG8" s="37"/>
      <c r="ZH8" s="37"/>
      <c r="ZI8" s="37"/>
      <c r="ZJ8" s="37"/>
      <c r="ZK8" s="37"/>
      <c r="ZL8" s="37"/>
      <c r="ZM8" s="37"/>
      <c r="ZN8" s="37"/>
      <c r="ZO8" s="37"/>
      <c r="ZP8" s="37"/>
      <c r="ZQ8" s="37"/>
      <c r="ZR8" s="37"/>
      <c r="ZS8" s="37"/>
      <c r="ZT8" s="37"/>
      <c r="ZU8" s="37"/>
      <c r="ZV8" s="37"/>
      <c r="ZW8" s="37"/>
      <c r="ZX8" s="37"/>
      <c r="ZY8" s="37"/>
      <c r="ZZ8" s="37"/>
      <c r="AAA8" s="37"/>
      <c r="AAB8" s="37"/>
      <c r="AAC8" s="37"/>
      <c r="AAD8" s="37"/>
      <c r="AAE8" s="37"/>
      <c r="AAF8" s="37"/>
      <c r="AAG8" s="37"/>
      <c r="AAH8" s="37"/>
      <c r="AAI8" s="37"/>
      <c r="AAJ8" s="37"/>
      <c r="AAK8" s="37"/>
      <c r="AAL8" s="37"/>
      <c r="AAM8" s="37"/>
      <c r="AAN8" s="37"/>
      <c r="AAO8" s="37"/>
      <c r="AAP8" s="37"/>
      <c r="AAQ8" s="37"/>
      <c r="AAR8" s="37"/>
      <c r="AAS8" s="37"/>
      <c r="AAT8" s="37"/>
      <c r="AAU8" s="37"/>
      <c r="AAV8" s="37"/>
      <c r="AAW8" s="37"/>
      <c r="AAX8" s="37"/>
      <c r="AAY8" s="37"/>
      <c r="AAZ8" s="37"/>
      <c r="ABA8" s="37"/>
      <c r="ABB8" s="37"/>
      <c r="ABC8" s="37"/>
      <c r="ABD8" s="37"/>
      <c r="ABE8" s="37"/>
      <c r="ABF8" s="37"/>
      <c r="ABG8" s="37"/>
      <c r="ABH8" s="37"/>
      <c r="ABI8" s="37"/>
      <c r="ABJ8" s="37"/>
      <c r="ABK8" s="37"/>
      <c r="ABL8" s="37"/>
      <c r="ABM8" s="37"/>
      <c r="ABN8" s="37"/>
      <c r="ABO8" s="37"/>
      <c r="ABP8" s="37"/>
      <c r="ABQ8" s="37"/>
      <c r="ABR8" s="37"/>
      <c r="ABS8" s="37"/>
      <c r="ABT8" s="37"/>
      <c r="ABU8" s="37"/>
      <c r="ABV8" s="37"/>
      <c r="ABW8" s="37"/>
      <c r="ABX8" s="37"/>
      <c r="ABY8" s="37"/>
      <c r="ABZ8" s="37"/>
      <c r="ACA8" s="37"/>
      <c r="ACB8" s="37"/>
      <c r="ACC8" s="37"/>
      <c r="ACD8" s="37"/>
      <c r="ACE8" s="37"/>
      <c r="ACF8" s="37"/>
      <c r="ACG8" s="37"/>
      <c r="ACH8" s="37"/>
      <c r="ACI8" s="37"/>
      <c r="ACJ8" s="37"/>
      <c r="ACK8" s="37"/>
      <c r="ACL8" s="37"/>
      <c r="ACM8" s="37"/>
      <c r="ACN8" s="37"/>
      <c r="ACO8" s="37"/>
      <c r="ACP8" s="37"/>
      <c r="ACQ8" s="37"/>
      <c r="ACR8" s="37"/>
      <c r="ACS8" s="37"/>
      <c r="ACT8" s="37"/>
      <c r="ACU8" s="37"/>
      <c r="ACV8" s="37"/>
      <c r="ACW8" s="37"/>
      <c r="ACX8" s="37"/>
      <c r="ACY8" s="37"/>
      <c r="ACZ8" s="37"/>
      <c r="ADA8" s="37"/>
      <c r="ADB8" s="37"/>
      <c r="ADC8" s="37"/>
      <c r="ADD8" s="37"/>
      <c r="ADE8" s="37"/>
      <c r="ADF8" s="37"/>
      <c r="ADG8" s="37"/>
      <c r="ADH8" s="37"/>
      <c r="ADI8" s="37"/>
      <c r="ADJ8" s="37"/>
      <c r="ADK8" s="37"/>
      <c r="ADL8" s="37"/>
      <c r="ADM8" s="37"/>
      <c r="ADN8" s="37"/>
      <c r="ADO8" s="37"/>
      <c r="ADP8" s="37"/>
      <c r="ADQ8" s="37"/>
      <c r="ADR8" s="37"/>
      <c r="ADS8" s="37"/>
      <c r="ADT8" s="37"/>
      <c r="ADU8" s="37"/>
      <c r="ADV8" s="37"/>
      <c r="ADW8" s="37"/>
      <c r="ADX8" s="37"/>
      <c r="ADY8" s="37"/>
      <c r="ADZ8" s="37"/>
      <c r="AEA8" s="37"/>
      <c r="AEB8" s="37"/>
      <c r="AEC8" s="37"/>
      <c r="AED8" s="37"/>
      <c r="AEE8" s="37"/>
      <c r="AEF8" s="37"/>
      <c r="AEG8" s="37"/>
      <c r="AEH8" s="37"/>
      <c r="AEI8" s="37"/>
      <c r="AEJ8" s="37"/>
      <c r="AEK8" s="37"/>
      <c r="AEL8" s="37"/>
      <c r="AEM8" s="37"/>
      <c r="AEN8" s="37"/>
      <c r="AEO8" s="37"/>
      <c r="AEP8" s="37"/>
      <c r="AEQ8" s="37"/>
      <c r="AER8" s="37"/>
      <c r="AES8" s="37"/>
      <c r="AET8" s="37"/>
      <c r="AEU8" s="37"/>
      <c r="AEV8" s="37"/>
      <c r="AEW8" s="37"/>
      <c r="AEX8" s="37"/>
      <c r="AEY8" s="37"/>
      <c r="AEZ8" s="37"/>
      <c r="AFA8" s="37"/>
      <c r="AFB8" s="37"/>
      <c r="AFC8" s="37"/>
      <c r="AFD8" s="37"/>
      <c r="AFE8" s="37"/>
      <c r="AFF8" s="37"/>
      <c r="AFG8" s="37"/>
      <c r="AFH8" s="37"/>
      <c r="AFI8" s="37"/>
      <c r="AFJ8" s="37"/>
      <c r="AFK8" s="37"/>
      <c r="AFL8" s="37"/>
      <c r="AFM8" s="37"/>
      <c r="AFN8" s="37"/>
      <c r="AFO8" s="37"/>
      <c r="AFP8" s="37"/>
      <c r="AFQ8" s="37"/>
      <c r="AFR8" s="37"/>
      <c r="AFS8" s="37"/>
      <c r="AFT8" s="37"/>
      <c r="AFU8" s="37"/>
      <c r="AFV8" s="37"/>
      <c r="AFW8" s="37"/>
      <c r="AFX8" s="37"/>
      <c r="AFY8" s="37"/>
      <c r="AFZ8" s="37"/>
      <c r="AGA8" s="37"/>
      <c r="AGB8" s="37"/>
      <c r="AGC8" s="37"/>
      <c r="AGD8" s="37"/>
      <c r="AGE8" s="37"/>
      <c r="AGF8" s="37"/>
      <c r="AGG8" s="37"/>
      <c r="AGH8" s="37"/>
      <c r="AGI8" s="37"/>
      <c r="AGJ8" s="37"/>
      <c r="AGK8" s="37"/>
      <c r="AGL8" s="37"/>
      <c r="AGM8" s="37"/>
      <c r="AGN8" s="37"/>
      <c r="AGO8" s="37"/>
      <c r="AGP8" s="37"/>
      <c r="AGQ8" s="37"/>
      <c r="AGR8" s="37"/>
      <c r="AGS8" s="37"/>
      <c r="AGT8" s="37"/>
      <c r="AGU8" s="37"/>
      <c r="AGV8" s="37"/>
      <c r="AGW8" s="37"/>
      <c r="AGX8" s="37"/>
      <c r="AGY8" s="37"/>
      <c r="AGZ8" s="37"/>
      <c r="AHA8" s="37"/>
      <c r="AHB8" s="37"/>
      <c r="AHC8" s="37"/>
      <c r="AHD8" s="37"/>
      <c r="AHE8" s="37"/>
      <c r="AHF8" s="37"/>
      <c r="AHG8" s="37"/>
      <c r="AHH8" s="37"/>
      <c r="AHI8" s="37"/>
      <c r="AHJ8" s="37"/>
      <c r="AHK8" s="37"/>
      <c r="AHL8" s="37"/>
      <c r="AHM8" s="37"/>
      <c r="AHN8" s="37"/>
      <c r="AHO8" s="37"/>
      <c r="AHP8" s="37"/>
      <c r="AHQ8" s="37"/>
      <c r="AHR8" s="37"/>
      <c r="AHS8" s="37"/>
      <c r="AHT8" s="37"/>
      <c r="AHU8" s="37"/>
      <c r="AHV8" s="37"/>
      <c r="AHW8" s="37"/>
      <c r="AHX8" s="37"/>
      <c r="AHY8" s="37"/>
      <c r="AHZ8" s="37"/>
      <c r="AIA8" s="37"/>
      <c r="AIB8" s="37"/>
      <c r="AIC8" s="37"/>
      <c r="AID8" s="37"/>
      <c r="AIE8" s="37"/>
      <c r="AIF8" s="37"/>
      <c r="AIG8" s="37"/>
      <c r="AIH8" s="37"/>
      <c r="AII8" s="37"/>
      <c r="AIJ8" s="37"/>
      <c r="AIK8" s="37"/>
      <c r="AIL8" s="37"/>
      <c r="AIM8" s="37"/>
      <c r="AIN8" s="37"/>
      <c r="AIO8" s="37"/>
      <c r="AIP8" s="37"/>
      <c r="AIQ8" s="37"/>
      <c r="AIR8" s="37"/>
      <c r="AIS8" s="37"/>
      <c r="AIT8" s="37"/>
      <c r="AIU8" s="37"/>
      <c r="AIV8" s="37"/>
      <c r="AIW8" s="37"/>
      <c r="AIX8" s="37"/>
      <c r="AIY8" s="37"/>
      <c r="AIZ8" s="37"/>
      <c r="AJA8" s="37"/>
      <c r="AJB8" s="37"/>
      <c r="AJC8" s="37"/>
      <c r="AJD8" s="37"/>
      <c r="AJE8" s="37"/>
      <c r="AJF8" s="37"/>
      <c r="AJG8" s="37"/>
      <c r="AJH8" s="37"/>
      <c r="AJI8" s="37"/>
      <c r="AJJ8" s="37"/>
      <c r="AJK8" s="37"/>
      <c r="AJL8" s="37"/>
      <c r="AJM8" s="37"/>
      <c r="AJN8" s="37"/>
      <c r="AJO8" s="37"/>
      <c r="AJP8" s="37"/>
      <c r="AJQ8" s="37"/>
      <c r="AJR8" s="37"/>
      <c r="AJS8" s="37"/>
      <c r="AJT8" s="37"/>
      <c r="AJU8" s="37"/>
      <c r="AJV8" s="37"/>
      <c r="AJW8" s="37"/>
      <c r="AJX8" s="37"/>
      <c r="AJY8" s="37"/>
      <c r="AJZ8" s="37"/>
      <c r="AKA8" s="37"/>
      <c r="AKB8" s="37"/>
      <c r="AKC8" s="37"/>
      <c r="AKD8" s="37"/>
      <c r="AKE8" s="37"/>
      <c r="AKF8" s="37"/>
      <c r="AKG8" s="37"/>
      <c r="AKH8" s="37"/>
      <c r="AKI8" s="37"/>
      <c r="AKJ8" s="37"/>
      <c r="AKK8" s="37"/>
      <c r="AKL8" s="37"/>
      <c r="AKM8" s="37"/>
      <c r="AKN8" s="37"/>
      <c r="AKO8" s="37"/>
      <c r="AKP8" s="37"/>
      <c r="AKQ8" s="37"/>
      <c r="AKR8" s="37"/>
      <c r="AKS8" s="37"/>
      <c r="AKT8" s="37"/>
      <c r="AKU8" s="37"/>
      <c r="AKV8" s="37"/>
      <c r="AKW8" s="37"/>
      <c r="AKX8" s="37"/>
      <c r="AKY8" s="37"/>
      <c r="AKZ8" s="37"/>
      <c r="ALA8" s="37"/>
      <c r="ALB8" s="37"/>
      <c r="ALC8" s="37"/>
      <c r="ALD8" s="37"/>
      <c r="ALE8" s="37"/>
      <c r="ALF8" s="37"/>
      <c r="ALG8" s="37"/>
      <c r="ALH8" s="37"/>
      <c r="ALI8" s="37"/>
      <c r="ALJ8" s="37"/>
      <c r="ALK8" s="37"/>
      <c r="ALL8" s="37"/>
      <c r="ALM8" s="37"/>
      <c r="ALN8" s="37"/>
      <c r="ALO8" s="37"/>
      <c r="ALP8" s="37"/>
      <c r="ALQ8" s="37"/>
      <c r="ALR8" s="37"/>
      <c r="ALS8" s="37"/>
      <c r="ALT8" s="37"/>
      <c r="ALU8" s="37"/>
      <c r="ALV8" s="37"/>
      <c r="ALW8" s="37"/>
      <c r="ALX8" s="37"/>
      <c r="ALY8" s="37"/>
      <c r="ALZ8" s="37"/>
      <c r="AMA8" s="37"/>
      <c r="AMB8" s="37"/>
      <c r="AMC8" s="37"/>
      <c r="AMD8" s="37"/>
      <c r="AME8" s="37"/>
      <c r="AMF8" s="37"/>
      <c r="AMG8" s="37"/>
      <c r="AMH8" s="37"/>
      <c r="AMI8" s="37"/>
      <c r="AMJ8" s="37"/>
      <c r="AMK8" s="37"/>
      <c r="AML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