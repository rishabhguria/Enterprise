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ForexConversion" sheetId="7" r:id="rId9"/>
    <sheet state="visible" name="UpdateForexConversion" sheetId="8" r:id="rId10"/>
    <sheet state="visible" name="GetMarkPriceData" sheetId="9" r:id="rId11"/>
    <sheet state="visible" name="UpdateMarkPrice" sheetId="10" r:id="rId12"/>
    <sheet state="visible" name="GetDayEndCash" sheetId="11" r:id="rId13"/>
    <sheet state="visible" name="GetAccountBalance" sheetId="12" r:id="rId14"/>
    <sheet state="visible" name="GetForexConversion1" sheetId="13" r:id="rId15"/>
    <sheet state="visible" name="UpdateForexConversion1" sheetId="14" r:id="rId16"/>
    <sheet state="visible" name="GetMarkPriceData1" sheetId="15" r:id="rId17"/>
    <sheet state="visible" name="UpdateMarkPrice1" sheetId="16" r:id="rId18"/>
    <sheet state="visible" name="GetDayEndCash1" sheetId="17" r:id="rId19"/>
    <sheet state="visible" name="GetAccountBalance1" sheetId="18" r:id="rId20"/>
    <sheet state="visible" name="GetRevaluationData" sheetId="19" r:id="rId21"/>
    <sheet state="visible" name="VerifyRevaluationData" sheetId="20" r:id="rId22"/>
    <sheet state="visible" name="VerifyTradingTransaction" sheetId="21" r:id="rId23"/>
    <sheet state="visible" name="GetActivityData" sheetId="22" r:id="rId24"/>
    <sheet state="visible" name="VerifyActivity" sheetId="23" r:id="rId25"/>
    <sheet state="visible" name="OpenSpinOff" sheetId="24" r:id="rId26"/>
    <sheet state="visible" name="SpinOff" sheetId="25" r:id="rId27"/>
    <sheet state="visible" name="VerifyAndApplyCorpAction" sheetId="26" r:id="rId28"/>
    <sheet state="visible" name="GetForexConversion2" sheetId="27" r:id="rId29"/>
    <sheet state="visible" name="UpdateForexConversion2" sheetId="28" r:id="rId30"/>
    <sheet state="visible" name="GetMarkPriceData2" sheetId="29" r:id="rId31"/>
    <sheet state="visible" name="UpdateMarkPrice2" sheetId="30" r:id="rId32"/>
    <sheet state="visible" name="GetAccountBalance2" sheetId="31" r:id="rId33"/>
    <sheet state="visible" name="GetRevaluationData1" sheetId="32" r:id="rId34"/>
    <sheet state="visible" name="VerifyRevaluationData1" sheetId="33" r:id="rId35"/>
    <sheet state="visible" name="VerifyTradingTransaction1" sheetId="34" r:id="rId36"/>
    <sheet state="visible" name="GetActivityData1" sheetId="35" r:id="rId37"/>
    <sheet state="visible" name="VerifyActivity1" sheetId="36" r:id="rId38"/>
    <sheet state="visible" name="GetDataClosing" sheetId="37" r:id="rId39"/>
    <sheet state="visible" name="VerifyShortPositionsGrid" sheetId="38" r:id="rId40"/>
    <sheet state="visible" name="GetDataAllocation" sheetId="39" r:id="rId41"/>
    <sheet state="visible" name="CheckAllocatedGroups" sheetId="40" r:id="rId42"/>
  </sheets>
  <definedNames/>
  <calcPr/>
</workbook>
</file>

<file path=xl/sharedStrings.xml><?xml version="1.0" encoding="utf-8"?>
<sst xmlns="http://schemas.openxmlformats.org/spreadsheetml/2006/main" count="1371" uniqueCount="88">
  <si>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</si>
  <si>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</si>
  <si>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</si>
  <si>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</si>
  <si>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</si>
  <si>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</si>
  <si>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</si>
  <si>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</si>
  <si>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</si>
  <si>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</si>
  <si>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</si>
  <si>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</si>
  <si>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</si>
  <si>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</si>
  <si>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</si>
  <si>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</si>
  <si>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</si>
  <si>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</si>
  <si>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</si>
  <si>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</si>
  <si>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</si>
  <si>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</si>
  <si>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</si>
  <si>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</si>
  <si>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ABI-EEB</t>
  </si>
  <si>
    <t>Sell short</t>
  </si>
  <si>
    <t>MS</t>
  </si>
  <si>
    <t>Flat Amount</t>
  </si>
  <si>
    <t>EUR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</si>
  <si>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</si>
  <si>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</si>
  <si>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</si>
  <si>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</si>
  <si>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</si>
  <si>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</si>
  <si>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</si>
  <si>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</si>
  <si>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</si>
  <si>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</si>
  <si>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</si>
  <si>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</si>
  <si>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</si>
  <si>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</si>
  <si>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</si>
  <si>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</si>
  <si>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</si>
  <si>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</si>
  <si>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</si>
  <si>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</si>
  <si>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</si>
  <si>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VerifyTradingTransaction</t>
  </si>
  <si>
    <t>Trading</t>
  </si>
  <si>
    <t>Investment - Short Equity [Liability]</t>
  </si>
  <si>
    <t>GetActivityData</t>
  </si>
  <si>
    <t>VerifyActivity</t>
  </si>
  <si>
    <t>EquityShortUnRealizedPNL</t>
  </si>
  <si>
    <t>Cash</t>
  </si>
  <si>
    <t>NonTrading</t>
  </si>
  <si>
    <t>unknown5</t>
  </si>
  <si>
    <t>Manual Journal Entry</t>
  </si>
  <si>
    <t>CashUnRealizedPNL</t>
  </si>
  <si>
    <t>EquityS</t>
  </si>
  <si>
    <t>BrokerNotes</t>
  </si>
  <si>
    <t>CorporateAction</t>
  </si>
  <si>
    <t>OpenSpinOff</t>
  </si>
  <si>
    <t>SpinOff</t>
  </si>
  <si>
    <t>LI-EEB</t>
  </si>
  <si>
    <t>CloseAtGivenPrice</t>
  </si>
  <si>
    <t>VerifyAndApplyCorpAction</t>
  </si>
  <si>
    <t>SellShort</t>
  </si>
  <si>
    <t>Buy to Close</t>
  </si>
  <si>
    <t>BuytoClose</t>
  </si>
  <si>
    <t>Settlement Transaction</t>
  </si>
  <si>
    <t>MiscellaneousIncomeReversal</t>
  </si>
  <si>
    <t>Cash In Lieu</t>
  </si>
  <si>
    <t>Closing</t>
  </si>
  <si>
    <t>GetDataClosing</t>
  </si>
  <si>
    <t>Historical</t>
  </si>
  <si>
    <t>VerifyShortPositionsGrid</t>
  </si>
  <si>
    <t>Equity</t>
  </si>
  <si>
    <t>Strategy Unallocated</t>
  </si>
  <si>
    <t>EU</t>
  </si>
  <si>
    <t>KLEPIERRE</t>
  </si>
  <si>
    <t>Allocation</t>
  </si>
  <si>
    <t>GetDataAllocation</t>
  </si>
  <si>
    <t>CheckAllocatedGroups</t>
  </si>
  <si>
    <t>Open</t>
  </si>
  <si>
    <t>CAStockSpinoff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</si>
</sst>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/yyyy h:m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165" xfId="0" applyAlignment="1" applyFont="1" applyNumberFormat="1">
      <alignment shrinkToFit="0" wrapText="0"/>
    </xf>
    <xf borderId="4" fillId="3" fontId="4" numFmtId="165" xfId="0" applyAlignment="1" applyBorder="1" applyFont="1" applyNumberFormat="1">
      <alignment shrinkToFit="0" wrapText="0"/>
    </xf>
    <xf borderId="4" fillId="3" fontId="7" numFmtId="165" xfId="0" applyAlignment="1" applyBorder="1" applyFont="1" applyNumberFormat="1">
      <alignment readingOrder="0" shrinkToFit="0" wrapText="0"/>
    </xf>
    <xf borderId="0" fillId="4" fontId="11" numFmtId="165" xfId="0" applyAlignment="1" applyFont="1" applyNumberFormat="1">
      <alignment shrinkToFit="0" wrapText="0"/>
    </xf>
    <xf borderId="4" fillId="5" fontId="4" numFmtId="165" xfId="0" applyAlignment="1" applyBorder="1" applyFont="1" applyNumberFormat="1">
      <alignment shrinkToFit="0" wrapText="0"/>
    </xf>
    <xf borderId="0" fillId="0" fontId="2" numFmtId="165" xfId="0" applyFont="1" applyNumberFormat="1"/>
    <xf borderId="1" fillId="2" fontId="1" numFmtId="165" xfId="0" applyAlignment="1" applyBorder="1" applyFont="1" applyNumberFormat="1">
      <alignment horizontal="center" shrinkToFit="0" wrapText="0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7" fontId="13" numFmtId="165" xfId="0" applyAlignment="1" applyFont="1" applyNumberFormat="1">
      <alignment horizontal="left" readingOrder="0" shrinkToFit="0" wrapText="0"/>
    </xf>
    <xf borderId="0" fillId="2" fontId="2" numFmtId="165" xfId="0" applyFont="1" applyNumberFormat="1"/>
    <xf borderId="0" fillId="3" fontId="10" numFmtId="165" xfId="0" applyFont="1" applyNumberFormat="1"/>
    <xf borderId="0" fillId="4" fontId="12" numFmtId="165" xfId="0" applyFont="1" applyNumberFormat="1"/>
    <xf borderId="0" fillId="5" fontId="10" numFmtId="165" xfId="0" applyFont="1" applyNumberFormat="1"/>
    <xf borderId="0" fillId="6" fontId="13" numFmtId="0" xfId="0" applyAlignment="1" applyFont="1">
      <alignment horizontal="left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0" fontId="5" numFmtId="165" xfId="0" applyAlignment="1" applyFont="1" applyNumberFormat="1">
      <alignment horizontal="right" vertical="bottom"/>
    </xf>
    <xf borderId="0" fillId="2" fontId="1" numFmtId="165" xfId="0" applyAlignment="1" applyFont="1" applyNumberFormat="1">
      <alignment horizontal="center" shrinkToFit="0" wrapText="0"/>
    </xf>
    <xf borderId="0" fillId="0" fontId="7" numFmtId="165" xfId="0" applyAlignment="1" applyFont="1" applyNumberFormat="1">
      <alignment shrinkToFit="0" wrapText="0"/>
    </xf>
    <xf borderId="0" fillId="3" fontId="4" numFmtId="165" xfId="0" applyAlignment="1" applyFont="1" applyNumberFormat="1">
      <alignment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5" fillId="6" fontId="13" numFmtId="0" xfId="0" applyAlignment="1" applyBorder="1" applyFont="1">
      <alignment horizontal="left" readingOrder="0" shrinkToFit="0" vertical="bottom" wrapText="0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7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8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7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7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/>
      <c r="C6" s="31" t="s">
        <v>16</v>
      </c>
      <c r="D6" s="32">
        <v>43871.0</v>
      </c>
      <c r="E6" s="32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4">
        <v>43871.0</v>
      </c>
      <c r="C6" s="31" t="s">
        <v>16</v>
      </c>
      <c r="D6" s="30"/>
      <c r="E6" s="31" t="s">
        <v>18</v>
      </c>
      <c r="F6" s="31" t="s">
        <v>19</v>
      </c>
      <c r="G6" s="31"/>
      <c r="H6" s="35">
        <v>500000.0</v>
      </c>
      <c r="I6" s="31"/>
      <c r="J6" s="35">
        <v>1.0</v>
      </c>
      <c r="K6" s="31" t="s">
        <v>20</v>
      </c>
      <c r="L6" s="31"/>
      <c r="M6" s="31"/>
      <c r="N6" s="31"/>
      <c r="O6" s="31"/>
      <c r="P6" s="31"/>
      <c r="Q6" s="31"/>
      <c r="R6" s="35">
        <v>500000.0</v>
      </c>
      <c r="S6" s="31"/>
    </row>
    <row r="7" ht="15.75" customHeight="1">
      <c r="A7" s="8"/>
      <c r="B7" s="34">
        <v>43871.0</v>
      </c>
      <c r="C7" s="33" t="s">
        <v>16</v>
      </c>
      <c r="D7" s="33"/>
      <c r="E7" s="31" t="s">
        <v>18</v>
      </c>
      <c r="F7" s="36" t="s">
        <v>21</v>
      </c>
      <c r="G7" s="33"/>
      <c r="H7" s="33"/>
      <c r="I7" s="37">
        <v>500000.0</v>
      </c>
      <c r="J7" s="37">
        <v>1.0</v>
      </c>
      <c r="K7" s="33" t="s">
        <v>20</v>
      </c>
      <c r="L7" s="33"/>
      <c r="M7" s="33"/>
      <c r="N7" s="33"/>
      <c r="O7" s="33"/>
      <c r="P7" s="33"/>
      <c r="Q7" s="33"/>
      <c r="R7" s="31"/>
      <c r="S7" s="35">
        <v>500000.0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0" t="s">
        <v>24</v>
      </c>
      <c r="C6" s="38" t="s">
        <v>25</v>
      </c>
      <c r="D6" s="39">
        <v>105.0</v>
      </c>
      <c r="E6" s="35">
        <v>105.0</v>
      </c>
      <c r="F6" s="31"/>
      <c r="G6" s="31" t="s">
        <v>26</v>
      </c>
      <c r="H6" s="31"/>
      <c r="I6" s="31"/>
      <c r="J6" s="35">
        <v>70.0</v>
      </c>
      <c r="K6" s="31"/>
      <c r="L6" s="31"/>
      <c r="M6" s="31"/>
      <c r="N6" s="40">
        <v>43871.0</v>
      </c>
      <c r="O6" s="41">
        <v>1.1</v>
      </c>
      <c r="P6" s="31"/>
      <c r="Q6" s="31"/>
      <c r="R6" s="31" t="s">
        <v>27</v>
      </c>
      <c r="S6" s="41">
        <v>2.5</v>
      </c>
      <c r="T6" s="33" t="s">
        <v>27</v>
      </c>
      <c r="U6" s="42">
        <v>7.5</v>
      </c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 t="s">
        <v>28</v>
      </c>
      <c r="AG6" s="33"/>
      <c r="AH6" s="33"/>
      <c r="AI6" s="33"/>
      <c r="AJ6" s="33"/>
      <c r="AK6" s="33" t="s">
        <v>16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3"/>
      <c r="B6" s="40">
        <v>43871.0</v>
      </c>
      <c r="C6" s="40">
        <v>43871.0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43"/>
      <c r="B6" s="30" t="s">
        <v>28</v>
      </c>
      <c r="C6" s="31" t="s">
        <v>18</v>
      </c>
      <c r="D6" s="30"/>
      <c r="E6" s="35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0">
        <v>43871.0</v>
      </c>
      <c r="C6" s="40">
        <v>43871.0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3" t="s">
        <v>24</v>
      </c>
      <c r="C6" s="35">
        <v>75.0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3" t="s">
        <v>16</v>
      </c>
      <c r="D6" s="40">
        <v>43871.0</v>
      </c>
      <c r="E6" s="40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3" t="s">
        <v>16</v>
      </c>
      <c r="D6" s="32">
        <v>43871.0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0">
        <v>43872.0</v>
      </c>
      <c r="C6" s="40">
        <v>43872.0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28</v>
      </c>
      <c r="C6" s="47" t="s">
        <v>18</v>
      </c>
      <c r="D6" s="46"/>
      <c r="E6" s="35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0">
        <v>43872.0</v>
      </c>
      <c r="C6" s="40">
        <v>43872.0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0" t="s">
        <v>24</v>
      </c>
      <c r="C6" s="35">
        <v>80.0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1" t="s">
        <v>16</v>
      </c>
      <c r="D6" s="40">
        <v>43872.0</v>
      </c>
      <c r="E6" s="4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1" t="s">
        <v>16</v>
      </c>
      <c r="D6" s="40">
        <v>43872.0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48"/>
      <c r="E2" s="4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49" t="s">
        <v>9</v>
      </c>
      <c r="E3" s="50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51" t="str">
        <f>IFERROR(__xludf.DUMMYFUNCTION("""COMPUTED_VALUE"""),"EnterNonTradingTransaction")</f>
        <v>EnterNonTradingTransaction</v>
      </c>
      <c r="E4" s="51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52" t="str">
        <f>IFERROR(__xludf.DUMMYFUNCTION("""COMPUTED_VALUE"""),"From Date")</f>
        <v>From Date</v>
      </c>
      <c r="E5" s="52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1" t="s">
        <v>16</v>
      </c>
      <c r="D6" s="40">
        <v>43871.0</v>
      </c>
      <c r="E6" s="4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48"/>
      <c r="E7" s="4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48"/>
      <c r="E8" s="4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48"/>
      <c r="E9" s="4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48"/>
      <c r="E10" s="4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48"/>
      <c r="E11" s="4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48"/>
      <c r="E12" s="4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48"/>
      <c r="E13" s="4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48"/>
      <c r="E14" s="4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48"/>
      <c r="E15" s="4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48"/>
      <c r="E16" s="4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48"/>
      <c r="E17" s="4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48"/>
      <c r="E18" s="4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48"/>
      <c r="E19" s="4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48"/>
      <c r="E20" s="4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48"/>
      <c r="E21" s="4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48"/>
      <c r="E22" s="4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48"/>
      <c r="E23" s="4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48"/>
      <c r="E24" s="4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48"/>
      <c r="E25" s="4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48"/>
      <c r="E26" s="4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D27" s="53"/>
      <c r="E27" s="53"/>
    </row>
    <row r="28" ht="15.75" customHeight="1">
      <c r="D28" s="53"/>
      <c r="E28" s="53"/>
    </row>
    <row r="29" ht="15.75" customHeight="1">
      <c r="D29" s="53"/>
      <c r="E29" s="53"/>
    </row>
    <row r="30" ht="15.75" customHeight="1">
      <c r="D30" s="53"/>
      <c r="E30" s="53"/>
    </row>
    <row r="31" ht="15.75" customHeight="1">
      <c r="D31" s="53"/>
      <c r="E31" s="53"/>
    </row>
    <row r="32" ht="15.75" customHeight="1">
      <c r="D32" s="53"/>
      <c r="E32" s="53"/>
    </row>
    <row r="33" ht="15.75" customHeight="1">
      <c r="D33" s="53"/>
      <c r="E33" s="53"/>
    </row>
    <row r="34" ht="15.75" customHeight="1">
      <c r="D34" s="53"/>
      <c r="E34" s="53"/>
    </row>
    <row r="35" ht="15.75" customHeight="1">
      <c r="D35" s="53"/>
      <c r="E35" s="53"/>
    </row>
    <row r="36" ht="15.75" customHeight="1">
      <c r="D36" s="53"/>
      <c r="E36" s="53"/>
    </row>
    <row r="37" ht="15.75" customHeight="1">
      <c r="D37" s="53"/>
      <c r="E37" s="53"/>
    </row>
    <row r="38" ht="15.75" customHeight="1">
      <c r="D38" s="53"/>
      <c r="E38" s="53"/>
    </row>
    <row r="39" ht="15.75" customHeight="1">
      <c r="D39" s="53"/>
      <c r="E39" s="53"/>
    </row>
    <row r="40" ht="15.75" customHeight="1">
      <c r="D40" s="53"/>
      <c r="E40" s="53"/>
    </row>
    <row r="41" ht="15.75" customHeight="1">
      <c r="D41" s="53"/>
      <c r="E41" s="53"/>
    </row>
    <row r="42" ht="15.75" customHeight="1">
      <c r="D42" s="53"/>
      <c r="E42" s="53"/>
    </row>
    <row r="43" ht="15.75" customHeight="1">
      <c r="D43" s="53"/>
      <c r="E43" s="53"/>
    </row>
    <row r="44" ht="15.75" customHeight="1">
      <c r="D44" s="53"/>
      <c r="E44" s="53"/>
    </row>
    <row r="45" ht="15.75" customHeight="1">
      <c r="D45" s="53"/>
      <c r="E45" s="53"/>
    </row>
    <row r="46" ht="15.75" customHeight="1">
      <c r="D46" s="53"/>
      <c r="E46" s="53"/>
    </row>
    <row r="47" ht="15.75" customHeight="1">
      <c r="D47" s="53"/>
      <c r="E47" s="53"/>
    </row>
    <row r="48" ht="15.75" customHeight="1">
      <c r="D48" s="53"/>
      <c r="E48" s="53"/>
    </row>
    <row r="49" ht="15.75" customHeight="1">
      <c r="D49" s="53"/>
      <c r="E49" s="53"/>
    </row>
    <row r="50" ht="15.75" customHeight="1">
      <c r="D50" s="53"/>
      <c r="E50" s="53"/>
    </row>
    <row r="51" ht="15.75" customHeight="1">
      <c r="D51" s="53"/>
      <c r="E51" s="53"/>
    </row>
    <row r="52" ht="15.75" customHeight="1">
      <c r="D52" s="53"/>
      <c r="E52" s="53"/>
    </row>
    <row r="53" ht="15.75" customHeight="1">
      <c r="D53" s="53"/>
      <c r="E53" s="53"/>
    </row>
    <row r="54" ht="15.75" customHeight="1">
      <c r="D54" s="53"/>
      <c r="E54" s="53"/>
    </row>
    <row r="55" ht="15.75" customHeight="1">
      <c r="D55" s="53"/>
      <c r="E55" s="53"/>
    </row>
    <row r="56" ht="15.75" customHeight="1">
      <c r="D56" s="53"/>
      <c r="E56" s="53"/>
    </row>
    <row r="57" ht="15.75" customHeight="1">
      <c r="D57" s="53"/>
      <c r="E57" s="53"/>
    </row>
    <row r="58" ht="15.75" customHeight="1">
      <c r="D58" s="53"/>
      <c r="E58" s="53"/>
    </row>
    <row r="59" ht="15.75" customHeight="1">
      <c r="D59" s="53"/>
      <c r="E59" s="53"/>
    </row>
    <row r="60" ht="15.75" customHeight="1">
      <c r="D60" s="53"/>
      <c r="E60" s="53"/>
    </row>
    <row r="61" ht="15.75" customHeight="1">
      <c r="D61" s="53"/>
      <c r="E61" s="53"/>
    </row>
    <row r="62" ht="15.75" customHeight="1">
      <c r="D62" s="53"/>
      <c r="E62" s="53"/>
    </row>
    <row r="63" ht="15.75" customHeight="1">
      <c r="D63" s="53"/>
      <c r="E63" s="53"/>
    </row>
    <row r="64" ht="15.75" customHeight="1">
      <c r="D64" s="53"/>
      <c r="E64" s="53"/>
    </row>
    <row r="65" ht="15.75" customHeight="1">
      <c r="D65" s="53"/>
      <c r="E65" s="53"/>
    </row>
    <row r="66" ht="15.75" customHeight="1">
      <c r="D66" s="53"/>
      <c r="E66" s="53"/>
    </row>
    <row r="67" ht="15.75" customHeight="1">
      <c r="D67" s="53"/>
      <c r="E67" s="53"/>
    </row>
    <row r="68" ht="15.75" customHeight="1">
      <c r="D68" s="53"/>
      <c r="E68" s="53"/>
    </row>
    <row r="69" ht="15.75" customHeight="1">
      <c r="D69" s="53"/>
      <c r="E69" s="53"/>
    </row>
    <row r="70" ht="15.75" customHeight="1">
      <c r="D70" s="53"/>
      <c r="E70" s="53"/>
    </row>
    <row r="71" ht="15.75" customHeight="1">
      <c r="D71" s="53"/>
      <c r="E71" s="53"/>
    </row>
    <row r="72" ht="15.75" customHeight="1">
      <c r="D72" s="53"/>
      <c r="E72" s="53"/>
    </row>
    <row r="73" ht="15.75" customHeight="1">
      <c r="D73" s="53"/>
      <c r="E73" s="53"/>
    </row>
    <row r="74" ht="15.75" customHeight="1">
      <c r="D74" s="53"/>
      <c r="E74" s="53"/>
    </row>
    <row r="75" ht="15.75" customHeight="1">
      <c r="D75" s="53"/>
      <c r="E75" s="53"/>
    </row>
    <row r="76" ht="15.75" customHeight="1">
      <c r="D76" s="53"/>
      <c r="E76" s="53"/>
    </row>
    <row r="77" ht="15.75" customHeight="1">
      <c r="D77" s="53"/>
      <c r="E77" s="53"/>
    </row>
    <row r="78" ht="15.75" customHeight="1">
      <c r="D78" s="53"/>
      <c r="E78" s="53"/>
    </row>
    <row r="79" ht="15.75" customHeight="1">
      <c r="D79" s="53"/>
      <c r="E79" s="53"/>
    </row>
    <row r="80" ht="15.75" customHeight="1">
      <c r="D80" s="53"/>
      <c r="E80" s="53"/>
    </row>
    <row r="81" ht="15.75" customHeight="1">
      <c r="D81" s="53"/>
      <c r="E81" s="53"/>
    </row>
    <row r="82" ht="15.75" customHeight="1">
      <c r="D82" s="53"/>
      <c r="E82" s="53"/>
    </row>
    <row r="83" ht="15.75" customHeight="1">
      <c r="D83" s="53"/>
      <c r="E83" s="53"/>
    </row>
    <row r="84" ht="15.75" customHeight="1">
      <c r="D84" s="53"/>
      <c r="E84" s="53"/>
    </row>
    <row r="85" ht="15.75" customHeight="1">
      <c r="D85" s="53"/>
      <c r="E85" s="53"/>
    </row>
    <row r="86" ht="15.75" customHeight="1">
      <c r="D86" s="53"/>
      <c r="E86" s="53"/>
    </row>
    <row r="87" ht="15.75" customHeight="1">
      <c r="D87" s="53"/>
      <c r="E87" s="53"/>
    </row>
    <row r="88" ht="15.75" customHeight="1">
      <c r="D88" s="53"/>
      <c r="E88" s="53"/>
    </row>
    <row r="89" ht="15.75" customHeight="1">
      <c r="D89" s="53"/>
      <c r="E89" s="53"/>
    </row>
    <row r="90" ht="15.75" customHeight="1">
      <c r="D90" s="53"/>
      <c r="E90" s="53"/>
    </row>
    <row r="91" ht="15.75" customHeight="1">
      <c r="D91" s="53"/>
      <c r="E91" s="53"/>
    </row>
    <row r="92" ht="15.75" customHeight="1">
      <c r="D92" s="53"/>
      <c r="E92" s="53"/>
    </row>
    <row r="93" ht="15.75" customHeight="1">
      <c r="D93" s="53"/>
      <c r="E93" s="53"/>
    </row>
    <row r="94" ht="15.75" customHeight="1">
      <c r="D94" s="53"/>
      <c r="E94" s="53"/>
    </row>
    <row r="95" ht="15.75" customHeight="1">
      <c r="D95" s="53"/>
      <c r="E95" s="53"/>
    </row>
    <row r="96" ht="15.75" customHeight="1">
      <c r="D96" s="53"/>
      <c r="E96" s="53"/>
    </row>
    <row r="97" ht="15.75" customHeight="1">
      <c r="D97" s="53"/>
      <c r="E97" s="53"/>
    </row>
    <row r="98" ht="15.75" customHeight="1">
      <c r="D98" s="53"/>
      <c r="E98" s="53"/>
    </row>
    <row r="99" ht="15.75" customHeight="1">
      <c r="D99" s="53"/>
      <c r="E99" s="53"/>
    </row>
    <row r="100" ht="15.75" customHeight="1">
      <c r="D100" s="53"/>
      <c r="E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5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9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51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2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5">
        <v>43871.0</v>
      </c>
      <c r="C6" s="56" t="s">
        <v>16</v>
      </c>
      <c r="D6" s="56" t="s">
        <v>24</v>
      </c>
      <c r="E6" s="56" t="s">
        <v>28</v>
      </c>
      <c r="F6" s="56" t="s">
        <v>38</v>
      </c>
      <c r="G6" s="57">
        <v>535.0</v>
      </c>
      <c r="H6" s="58">
        <v>0.0</v>
      </c>
      <c r="I6" s="59"/>
      <c r="J6" s="59"/>
      <c r="K6" s="56"/>
      <c r="L6" s="57">
        <v>1.5</v>
      </c>
      <c r="M6" s="56" t="s">
        <v>20</v>
      </c>
      <c r="N6" s="56" t="s">
        <v>39</v>
      </c>
      <c r="O6" s="56" t="s">
        <v>40</v>
      </c>
      <c r="P6" s="56" t="s">
        <v>18</v>
      </c>
      <c r="Q6" s="56" t="s">
        <v>41</v>
      </c>
      <c r="R6" s="57">
        <v>802.5</v>
      </c>
      <c r="S6" s="57">
        <v>0.0</v>
      </c>
    </row>
    <row r="7" ht="15.75" customHeight="1">
      <c r="A7" s="8"/>
      <c r="B7" s="55">
        <v>43871.0</v>
      </c>
      <c r="C7" s="56" t="s">
        <v>16</v>
      </c>
      <c r="D7" s="56" t="s">
        <v>24</v>
      </c>
      <c r="E7" s="56" t="s">
        <v>28</v>
      </c>
      <c r="F7" s="60" t="s">
        <v>42</v>
      </c>
      <c r="G7" s="61">
        <v>0.0</v>
      </c>
      <c r="H7" s="62">
        <v>535.0</v>
      </c>
      <c r="I7" s="63"/>
      <c r="J7" s="63"/>
      <c r="K7" s="60"/>
      <c r="L7" s="62">
        <v>1.5</v>
      </c>
      <c r="M7" s="60" t="s">
        <v>20</v>
      </c>
      <c r="N7" s="60" t="s">
        <v>43</v>
      </c>
      <c r="O7" s="60" t="s">
        <v>40</v>
      </c>
      <c r="P7" s="60" t="s">
        <v>18</v>
      </c>
      <c r="Q7" s="56" t="s">
        <v>41</v>
      </c>
      <c r="R7" s="62">
        <v>0.0</v>
      </c>
      <c r="S7" s="62">
        <v>802.5</v>
      </c>
    </row>
    <row r="8" ht="15.75" customHeight="1">
      <c r="A8" s="8"/>
      <c r="B8" s="55">
        <v>43871.0</v>
      </c>
      <c r="C8" s="56" t="s">
        <v>16</v>
      </c>
      <c r="D8" s="56" t="s">
        <v>28</v>
      </c>
      <c r="E8" s="56" t="s">
        <v>18</v>
      </c>
      <c r="F8" s="56" t="s">
        <v>38</v>
      </c>
      <c r="G8" s="57">
        <v>2936.0</v>
      </c>
      <c r="H8" s="58">
        <v>0.0</v>
      </c>
      <c r="I8" s="59"/>
      <c r="J8" s="59"/>
      <c r="K8" s="56"/>
      <c r="L8" s="57">
        <v>1.0</v>
      </c>
      <c r="M8" s="56" t="s">
        <v>20</v>
      </c>
      <c r="N8" s="56" t="s">
        <v>39</v>
      </c>
      <c r="O8" s="56" t="s">
        <v>40</v>
      </c>
      <c r="P8" s="56" t="s">
        <v>18</v>
      </c>
      <c r="Q8" s="56" t="s">
        <v>41</v>
      </c>
      <c r="R8" s="57">
        <v>2936.0</v>
      </c>
      <c r="S8" s="57">
        <v>0.0</v>
      </c>
    </row>
    <row r="9" ht="15.75" customHeight="1">
      <c r="A9" s="8"/>
      <c r="B9" s="55">
        <v>43871.0</v>
      </c>
      <c r="C9" s="56" t="s">
        <v>16</v>
      </c>
      <c r="D9" s="56" t="s">
        <v>28</v>
      </c>
      <c r="E9" s="56" t="s">
        <v>18</v>
      </c>
      <c r="F9" s="60" t="s">
        <v>42</v>
      </c>
      <c r="G9" s="61">
        <v>0.0</v>
      </c>
      <c r="H9" s="62">
        <v>2936.0</v>
      </c>
      <c r="I9" s="63"/>
      <c r="J9" s="63"/>
      <c r="K9" s="60"/>
      <c r="L9" s="62">
        <v>1.0</v>
      </c>
      <c r="M9" s="60" t="s">
        <v>20</v>
      </c>
      <c r="N9" s="60" t="s">
        <v>43</v>
      </c>
      <c r="O9" s="60" t="s">
        <v>40</v>
      </c>
      <c r="P9" s="60" t="s">
        <v>18</v>
      </c>
      <c r="Q9" s="56" t="s">
        <v>41</v>
      </c>
      <c r="R9" s="62">
        <v>0.0</v>
      </c>
      <c r="S9" s="62">
        <v>2936.0</v>
      </c>
    </row>
    <row r="10" ht="15.75" customHeight="1">
      <c r="A10" s="8"/>
      <c r="B10" s="55">
        <v>43872.0</v>
      </c>
      <c r="C10" s="56" t="s">
        <v>16</v>
      </c>
      <c r="D10" s="56" t="s">
        <v>24</v>
      </c>
      <c r="E10" s="56" t="s">
        <v>28</v>
      </c>
      <c r="F10" s="56" t="s">
        <v>38</v>
      </c>
      <c r="G10" s="57">
        <v>1060.0</v>
      </c>
      <c r="H10" s="58">
        <v>0.0</v>
      </c>
      <c r="I10" s="59"/>
      <c r="J10" s="59"/>
      <c r="K10" s="56"/>
      <c r="L10" s="57">
        <v>2.0</v>
      </c>
      <c r="M10" s="56" t="s">
        <v>20</v>
      </c>
      <c r="N10" s="56" t="s">
        <v>39</v>
      </c>
      <c r="O10" s="56" t="s">
        <v>40</v>
      </c>
      <c r="P10" s="56" t="s">
        <v>18</v>
      </c>
      <c r="Q10" s="56" t="s">
        <v>41</v>
      </c>
      <c r="R10" s="57">
        <v>2120.0</v>
      </c>
      <c r="S10" s="57">
        <v>0.0</v>
      </c>
    </row>
    <row r="11" ht="15.75" customHeight="1">
      <c r="A11" s="8"/>
      <c r="B11" s="55">
        <v>43872.0</v>
      </c>
      <c r="C11" s="56" t="s">
        <v>16</v>
      </c>
      <c r="D11" s="56" t="s">
        <v>24</v>
      </c>
      <c r="E11" s="56" t="s">
        <v>28</v>
      </c>
      <c r="F11" s="60" t="s">
        <v>42</v>
      </c>
      <c r="G11" s="61">
        <v>0.0</v>
      </c>
      <c r="H11" s="62">
        <v>1060.0</v>
      </c>
      <c r="I11" s="63"/>
      <c r="J11" s="63"/>
      <c r="K11" s="60"/>
      <c r="L11" s="62">
        <v>2.0</v>
      </c>
      <c r="M11" s="60" t="s">
        <v>20</v>
      </c>
      <c r="N11" s="60" t="s">
        <v>43</v>
      </c>
      <c r="O11" s="60" t="s">
        <v>40</v>
      </c>
      <c r="P11" s="60" t="s">
        <v>18</v>
      </c>
      <c r="Q11" s="56" t="s">
        <v>41</v>
      </c>
      <c r="R11" s="62">
        <v>0.0</v>
      </c>
      <c r="S11" s="62">
        <v>2120.0</v>
      </c>
    </row>
    <row r="12" ht="15.75" customHeight="1">
      <c r="A12" s="8"/>
      <c r="B12" s="55">
        <v>43872.0</v>
      </c>
      <c r="C12" s="56" t="s">
        <v>16</v>
      </c>
      <c r="D12" s="56" t="s">
        <v>28</v>
      </c>
      <c r="E12" s="56" t="s">
        <v>18</v>
      </c>
      <c r="F12" s="56" t="s">
        <v>38</v>
      </c>
      <c r="G12" s="57">
        <v>6606.0</v>
      </c>
      <c r="H12" s="58">
        <v>0.0</v>
      </c>
      <c r="I12" s="59"/>
      <c r="J12" s="59"/>
      <c r="K12" s="56"/>
      <c r="L12" s="57">
        <v>1.0</v>
      </c>
      <c r="M12" s="56" t="s">
        <v>20</v>
      </c>
      <c r="N12" s="56" t="s">
        <v>39</v>
      </c>
      <c r="O12" s="56" t="s">
        <v>40</v>
      </c>
      <c r="P12" s="56" t="s">
        <v>18</v>
      </c>
      <c r="Q12" s="56" t="s">
        <v>41</v>
      </c>
      <c r="R12" s="57">
        <v>6606.0</v>
      </c>
      <c r="S12" s="57">
        <v>0.0</v>
      </c>
    </row>
    <row r="13" ht="15.75" customHeight="1">
      <c r="A13" s="8"/>
      <c r="B13" s="55">
        <v>43872.0</v>
      </c>
      <c r="C13" s="56" t="s">
        <v>16</v>
      </c>
      <c r="D13" s="56" t="s">
        <v>28</v>
      </c>
      <c r="E13" s="56" t="s">
        <v>18</v>
      </c>
      <c r="F13" s="60" t="s">
        <v>42</v>
      </c>
      <c r="G13" s="61">
        <v>0.0</v>
      </c>
      <c r="H13" s="62">
        <v>6606.0</v>
      </c>
      <c r="I13" s="63"/>
      <c r="J13" s="63"/>
      <c r="K13" s="60"/>
      <c r="L13" s="62">
        <v>1.0</v>
      </c>
      <c r="M13" s="60" t="s">
        <v>20</v>
      </c>
      <c r="N13" s="60" t="s">
        <v>43</v>
      </c>
      <c r="O13" s="60" t="s">
        <v>40</v>
      </c>
      <c r="P13" s="60" t="s">
        <v>18</v>
      </c>
      <c r="Q13" s="56" t="s">
        <v>41</v>
      </c>
      <c r="R13" s="62">
        <v>0.0</v>
      </c>
      <c r="S13" s="62">
        <v>6606.0</v>
      </c>
    </row>
    <row r="14" ht="15.75" customHeight="1">
      <c r="A14" s="8"/>
      <c r="B14" s="55">
        <v>43872.0</v>
      </c>
      <c r="C14" s="56" t="s">
        <v>16</v>
      </c>
      <c r="D14" s="56" t="s">
        <v>24</v>
      </c>
      <c r="E14" s="56" t="s">
        <v>28</v>
      </c>
      <c r="F14" s="56" t="s">
        <v>42</v>
      </c>
      <c r="G14" s="57">
        <v>535.0</v>
      </c>
      <c r="H14" s="58">
        <v>0.0</v>
      </c>
      <c r="I14" s="59"/>
      <c r="J14" s="59"/>
      <c r="K14" s="56"/>
      <c r="L14" s="57">
        <v>1.5</v>
      </c>
      <c r="M14" s="56" t="s">
        <v>20</v>
      </c>
      <c r="N14" s="56" t="s">
        <v>39</v>
      </c>
      <c r="O14" s="56" t="s">
        <v>40</v>
      </c>
      <c r="P14" s="56" t="s">
        <v>18</v>
      </c>
      <c r="Q14" s="56" t="s">
        <v>44</v>
      </c>
      <c r="R14" s="57">
        <v>802.5</v>
      </c>
      <c r="S14" s="57">
        <v>0.0</v>
      </c>
    </row>
    <row r="15" ht="15.75" customHeight="1">
      <c r="A15" s="8"/>
      <c r="B15" s="55">
        <v>43872.0</v>
      </c>
      <c r="C15" s="56" t="s">
        <v>16</v>
      </c>
      <c r="D15" s="56" t="s">
        <v>24</v>
      </c>
      <c r="E15" s="56" t="s">
        <v>28</v>
      </c>
      <c r="F15" s="60" t="s">
        <v>38</v>
      </c>
      <c r="G15" s="61">
        <v>0.0</v>
      </c>
      <c r="H15" s="62">
        <v>535.0</v>
      </c>
      <c r="I15" s="63"/>
      <c r="J15" s="63"/>
      <c r="K15" s="60"/>
      <c r="L15" s="62">
        <v>1.5</v>
      </c>
      <c r="M15" s="60" t="s">
        <v>20</v>
      </c>
      <c r="N15" s="60" t="s">
        <v>43</v>
      </c>
      <c r="O15" s="60" t="s">
        <v>40</v>
      </c>
      <c r="P15" s="60" t="s">
        <v>18</v>
      </c>
      <c r="Q15" s="56" t="s">
        <v>44</v>
      </c>
      <c r="R15" s="62">
        <v>0.0</v>
      </c>
      <c r="S15" s="62">
        <v>802.5</v>
      </c>
    </row>
    <row r="16" ht="15.75" customHeight="1">
      <c r="A16" s="8"/>
      <c r="B16" s="55">
        <v>43872.0</v>
      </c>
      <c r="C16" s="56" t="s">
        <v>16</v>
      </c>
      <c r="D16" s="56" t="s">
        <v>28</v>
      </c>
      <c r="E16" s="56" t="s">
        <v>18</v>
      </c>
      <c r="F16" s="56" t="s">
        <v>42</v>
      </c>
      <c r="G16" s="57">
        <v>2936.0</v>
      </c>
      <c r="H16" s="58">
        <v>0.0</v>
      </c>
      <c r="I16" s="59"/>
      <c r="J16" s="59"/>
      <c r="K16" s="56"/>
      <c r="L16" s="57">
        <v>1.0</v>
      </c>
      <c r="M16" s="56" t="s">
        <v>20</v>
      </c>
      <c r="N16" s="56" t="s">
        <v>39</v>
      </c>
      <c r="O16" s="56" t="s">
        <v>40</v>
      </c>
      <c r="P16" s="56" t="s">
        <v>18</v>
      </c>
      <c r="Q16" s="56" t="s">
        <v>44</v>
      </c>
      <c r="R16" s="57">
        <v>2936.0</v>
      </c>
      <c r="S16" s="57">
        <v>0.0</v>
      </c>
    </row>
    <row r="17" ht="15.75" customHeight="1">
      <c r="A17" s="8"/>
      <c r="B17" s="55">
        <v>43872.0</v>
      </c>
      <c r="C17" s="56" t="s">
        <v>16</v>
      </c>
      <c r="D17" s="56" t="s">
        <v>28</v>
      </c>
      <c r="E17" s="56" t="s">
        <v>18</v>
      </c>
      <c r="F17" s="60" t="s">
        <v>38</v>
      </c>
      <c r="G17" s="61">
        <v>0.0</v>
      </c>
      <c r="H17" s="62">
        <v>2936.0</v>
      </c>
      <c r="I17" s="63"/>
      <c r="J17" s="63"/>
      <c r="K17" s="60"/>
      <c r="L17" s="62">
        <v>1.0</v>
      </c>
      <c r="M17" s="60" t="s">
        <v>20</v>
      </c>
      <c r="N17" s="60" t="s">
        <v>43</v>
      </c>
      <c r="O17" s="60" t="s">
        <v>40</v>
      </c>
      <c r="P17" s="60" t="s">
        <v>18</v>
      </c>
      <c r="Q17" s="56" t="s">
        <v>44</v>
      </c>
      <c r="R17" s="62">
        <v>0.0</v>
      </c>
      <c r="S17" s="62">
        <v>2936.0</v>
      </c>
    </row>
    <row r="18" ht="15.75" customHeight="1">
      <c r="A18" s="8"/>
      <c r="B18" s="64">
        <v>43871.0</v>
      </c>
      <c r="C18" s="56" t="s">
        <v>16</v>
      </c>
      <c r="D18" s="56" t="s">
        <v>24</v>
      </c>
      <c r="E18" s="56" t="s">
        <v>28</v>
      </c>
      <c r="F18" s="56" t="s">
        <v>45</v>
      </c>
      <c r="G18" s="57">
        <v>7340.0</v>
      </c>
      <c r="H18" s="58">
        <v>0.0</v>
      </c>
      <c r="I18" s="59"/>
      <c r="J18" s="59"/>
      <c r="K18" s="56"/>
      <c r="L18" s="57">
        <v>1.1</v>
      </c>
      <c r="M18" s="56" t="s">
        <v>20</v>
      </c>
      <c r="N18" s="56" t="s">
        <v>39</v>
      </c>
      <c r="O18" s="56" t="s">
        <v>40</v>
      </c>
      <c r="P18" s="56" t="s">
        <v>18</v>
      </c>
      <c r="Q18" s="56" t="s">
        <v>46</v>
      </c>
      <c r="R18" s="57">
        <v>8074.0</v>
      </c>
      <c r="S18" s="57">
        <v>0.0</v>
      </c>
    </row>
    <row r="19" ht="15.75" customHeight="1">
      <c r="A19" s="8"/>
      <c r="B19" s="64">
        <v>43871.0</v>
      </c>
      <c r="C19" s="56" t="s">
        <v>16</v>
      </c>
      <c r="D19" s="56" t="s">
        <v>24</v>
      </c>
      <c r="E19" s="56" t="s">
        <v>28</v>
      </c>
      <c r="F19" s="60" t="s">
        <v>19</v>
      </c>
      <c r="G19" s="61">
        <v>0.0</v>
      </c>
      <c r="H19" s="62">
        <v>7340.0</v>
      </c>
      <c r="I19" s="63"/>
      <c r="J19" s="63"/>
      <c r="K19" s="60"/>
      <c r="L19" s="62">
        <v>1.1</v>
      </c>
      <c r="M19" s="60" t="s">
        <v>20</v>
      </c>
      <c r="N19" s="60" t="s">
        <v>43</v>
      </c>
      <c r="O19" s="60" t="s">
        <v>40</v>
      </c>
      <c r="P19" s="60" t="s">
        <v>18</v>
      </c>
      <c r="Q19" s="56" t="s">
        <v>46</v>
      </c>
      <c r="R19" s="62">
        <v>0.0</v>
      </c>
      <c r="S19" s="62">
        <v>8074.0</v>
      </c>
    </row>
    <row r="20" ht="15.75" customHeight="1">
      <c r="A20" s="8"/>
      <c r="B20" s="64">
        <v>43871.0</v>
      </c>
      <c r="C20" s="56" t="s">
        <v>16</v>
      </c>
      <c r="D20" s="56" t="s">
        <v>24</v>
      </c>
      <c r="E20" s="56" t="s">
        <v>28</v>
      </c>
      <c r="F20" s="56" t="s">
        <v>19</v>
      </c>
      <c r="G20" s="57">
        <v>7340.0</v>
      </c>
      <c r="H20" s="58">
        <v>0.0</v>
      </c>
      <c r="I20" s="59"/>
      <c r="J20" s="59"/>
      <c r="K20" s="56"/>
      <c r="L20" s="57">
        <v>1.5</v>
      </c>
      <c r="M20" s="56" t="s">
        <v>20</v>
      </c>
      <c r="N20" s="56" t="s">
        <v>39</v>
      </c>
      <c r="O20" s="56" t="s">
        <v>40</v>
      </c>
      <c r="P20" s="56" t="s">
        <v>18</v>
      </c>
      <c r="Q20" s="56" t="s">
        <v>47</v>
      </c>
      <c r="R20" s="57">
        <v>11010.0</v>
      </c>
      <c r="S20" s="57">
        <v>0.0</v>
      </c>
    </row>
    <row r="21" ht="15.75" customHeight="1">
      <c r="A21" s="8"/>
      <c r="B21" s="64">
        <v>43871.0</v>
      </c>
      <c r="C21" s="56" t="s">
        <v>16</v>
      </c>
      <c r="D21" s="56" t="s">
        <v>24</v>
      </c>
      <c r="E21" s="56" t="s">
        <v>28</v>
      </c>
      <c r="F21" s="60" t="s">
        <v>45</v>
      </c>
      <c r="G21" s="61">
        <v>0.0</v>
      </c>
      <c r="H21" s="62">
        <v>7340.0</v>
      </c>
      <c r="I21" s="63"/>
      <c r="J21" s="63"/>
      <c r="K21" s="60"/>
      <c r="L21" s="62">
        <v>1.5</v>
      </c>
      <c r="M21" s="60" t="s">
        <v>20</v>
      </c>
      <c r="N21" s="60" t="s">
        <v>43</v>
      </c>
      <c r="O21" s="60" t="s">
        <v>40</v>
      </c>
      <c r="P21" s="60" t="s">
        <v>18</v>
      </c>
      <c r="Q21" s="56" t="s">
        <v>47</v>
      </c>
      <c r="R21" s="62">
        <v>0.0</v>
      </c>
      <c r="S21" s="62">
        <v>11010.0</v>
      </c>
    </row>
    <row r="22" ht="15.75" customHeight="1">
      <c r="A22" s="8"/>
      <c r="B22" s="55">
        <v>43872.0</v>
      </c>
      <c r="C22" s="56" t="s">
        <v>16</v>
      </c>
      <c r="D22" s="56" t="s">
        <v>28</v>
      </c>
      <c r="E22" s="56" t="s">
        <v>28</v>
      </c>
      <c r="F22" s="56" t="s">
        <v>19</v>
      </c>
      <c r="G22" s="57">
        <v>7340.0</v>
      </c>
      <c r="H22" s="58">
        <v>0.0</v>
      </c>
      <c r="I22" s="59"/>
      <c r="J22" s="59"/>
      <c r="K22" s="56"/>
      <c r="L22" s="57">
        <v>2.0</v>
      </c>
      <c r="M22" s="56" t="s">
        <v>20</v>
      </c>
      <c r="N22" s="56" t="s">
        <v>39</v>
      </c>
      <c r="O22" s="56" t="s">
        <v>40</v>
      </c>
      <c r="P22" s="56" t="s">
        <v>18</v>
      </c>
      <c r="Q22" s="56" t="s">
        <v>48</v>
      </c>
      <c r="R22" s="57">
        <v>14680.0</v>
      </c>
      <c r="S22" s="57">
        <v>0.0</v>
      </c>
    </row>
    <row r="23" ht="15.75" customHeight="1">
      <c r="A23" s="8"/>
      <c r="B23" s="55">
        <v>43872.0</v>
      </c>
      <c r="C23" s="56" t="s">
        <v>16</v>
      </c>
      <c r="D23" s="56" t="s">
        <v>28</v>
      </c>
      <c r="E23" s="56" t="s">
        <v>28</v>
      </c>
      <c r="F23" s="60" t="s">
        <v>45</v>
      </c>
      <c r="G23" s="61">
        <v>0.0</v>
      </c>
      <c r="H23" s="62">
        <v>7340.0</v>
      </c>
      <c r="I23" s="63"/>
      <c r="J23" s="63"/>
      <c r="K23" s="60"/>
      <c r="L23" s="62">
        <v>2.0</v>
      </c>
      <c r="M23" s="60" t="s">
        <v>20</v>
      </c>
      <c r="N23" s="60" t="s">
        <v>43</v>
      </c>
      <c r="O23" s="60" t="s">
        <v>40</v>
      </c>
      <c r="P23" s="60" t="s">
        <v>18</v>
      </c>
      <c r="Q23" s="56" t="s">
        <v>48</v>
      </c>
      <c r="R23" s="62">
        <v>0.0</v>
      </c>
      <c r="S23" s="62">
        <v>14680.0</v>
      </c>
    </row>
    <row r="24" ht="15.75" customHeight="1">
      <c r="A24" s="8"/>
      <c r="B24" s="55">
        <v>43872.0</v>
      </c>
      <c r="C24" s="56" t="s">
        <v>16</v>
      </c>
      <c r="D24" s="56" t="s">
        <v>28</v>
      </c>
      <c r="E24" s="56" t="s">
        <v>28</v>
      </c>
      <c r="F24" s="56" t="s">
        <v>45</v>
      </c>
      <c r="G24" s="57">
        <v>7340.0</v>
      </c>
      <c r="H24" s="58">
        <v>0.0</v>
      </c>
      <c r="I24" s="59"/>
      <c r="J24" s="59"/>
      <c r="K24" s="56"/>
      <c r="L24" s="57">
        <v>1.5</v>
      </c>
      <c r="M24" s="56" t="s">
        <v>20</v>
      </c>
      <c r="N24" s="56" t="s">
        <v>39</v>
      </c>
      <c r="O24" s="56" t="s">
        <v>40</v>
      </c>
      <c r="P24" s="56" t="s">
        <v>18</v>
      </c>
      <c r="Q24" s="56" t="s">
        <v>49</v>
      </c>
      <c r="R24" s="57">
        <v>11010.0</v>
      </c>
      <c r="S24" s="57">
        <v>0.0</v>
      </c>
    </row>
    <row r="25" ht="15.75" customHeight="1">
      <c r="A25" s="8"/>
      <c r="B25" s="55">
        <v>43872.0</v>
      </c>
      <c r="C25" s="56" t="s">
        <v>16</v>
      </c>
      <c r="D25" s="56" t="s">
        <v>28</v>
      </c>
      <c r="E25" s="56" t="s">
        <v>28</v>
      </c>
      <c r="F25" s="60" t="s">
        <v>19</v>
      </c>
      <c r="G25" s="61">
        <v>0.0</v>
      </c>
      <c r="H25" s="62">
        <v>7340.0</v>
      </c>
      <c r="I25" s="63"/>
      <c r="J25" s="63"/>
      <c r="K25" s="60"/>
      <c r="L25" s="62">
        <v>1.5</v>
      </c>
      <c r="M25" s="60" t="s">
        <v>20</v>
      </c>
      <c r="N25" s="60" t="s">
        <v>43</v>
      </c>
      <c r="O25" s="60" t="s">
        <v>40</v>
      </c>
      <c r="P25" s="60" t="s">
        <v>18</v>
      </c>
      <c r="Q25" s="56" t="s">
        <v>49</v>
      </c>
      <c r="R25" s="62">
        <v>0.0</v>
      </c>
      <c r="S25" s="62">
        <v>11010.0</v>
      </c>
    </row>
    <row r="26" ht="15.75" customHeight="1">
      <c r="A26" s="8"/>
      <c r="B26" s="4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3"/>
    </row>
    <row r="28" ht="15.75" customHeight="1">
      <c r="B28" s="53"/>
    </row>
    <row r="29" ht="15.75" customHeight="1">
      <c r="B29" s="53"/>
    </row>
    <row r="30" ht="15.75" customHeight="1">
      <c r="B30" s="53"/>
    </row>
    <row r="31" ht="15.75" customHeight="1">
      <c r="B31" s="53"/>
    </row>
    <row r="32" ht="15.75" customHeight="1">
      <c r="B32" s="53"/>
    </row>
    <row r="33" ht="15.75" customHeight="1">
      <c r="B33" s="53"/>
    </row>
    <row r="34" ht="15.75" customHeight="1">
      <c r="B34" s="53"/>
    </row>
    <row r="35" ht="15.75" customHeight="1">
      <c r="B35" s="53"/>
    </row>
    <row r="36" ht="15.75" customHeight="1">
      <c r="B36" s="53"/>
    </row>
    <row r="37" ht="15.75" customHeight="1">
      <c r="B37" s="53"/>
    </row>
    <row r="38" ht="15.75" customHeight="1">
      <c r="B38" s="53"/>
    </row>
    <row r="39" ht="15.75" customHeight="1">
      <c r="B39" s="53"/>
    </row>
    <row r="40" ht="15.75" customHeight="1">
      <c r="B40" s="53"/>
    </row>
    <row r="41" ht="15.75" customHeight="1">
      <c r="B41" s="53"/>
    </row>
    <row r="42" ht="15.75" customHeight="1">
      <c r="B42" s="53"/>
    </row>
    <row r="43" ht="15.75" customHeight="1">
      <c r="B43" s="53"/>
    </row>
    <row r="44" ht="15.75" customHeight="1">
      <c r="B44" s="53"/>
    </row>
    <row r="45" ht="15.75" customHeight="1">
      <c r="B45" s="53"/>
    </row>
    <row r="46" ht="15.75" customHeight="1">
      <c r="B46" s="53"/>
    </row>
    <row r="47" ht="15.75" customHeight="1">
      <c r="B47" s="53"/>
    </row>
    <row r="48" ht="15.75" customHeight="1">
      <c r="B48" s="53"/>
    </row>
    <row r="49" ht="15.75" customHeight="1">
      <c r="B49" s="53"/>
    </row>
    <row r="50" ht="15.75" customHeight="1">
      <c r="B50" s="53"/>
    </row>
    <row r="51" ht="15.75" customHeight="1">
      <c r="B51" s="53"/>
    </row>
    <row r="52" ht="15.75" customHeight="1">
      <c r="B52" s="53"/>
    </row>
    <row r="53" ht="15.75" customHeight="1">
      <c r="B53" s="53"/>
    </row>
    <row r="54" ht="15.75" customHeight="1">
      <c r="B54" s="53"/>
    </row>
    <row r="55" ht="15.75" customHeight="1">
      <c r="B55" s="53"/>
    </row>
    <row r="56" ht="15.75" customHeight="1">
      <c r="B56" s="53"/>
    </row>
    <row r="57" ht="15.75" customHeight="1">
      <c r="B57" s="53"/>
    </row>
    <row r="58" ht="15.75" customHeight="1">
      <c r="B58" s="53"/>
    </row>
    <row r="59" ht="15.75" customHeight="1">
      <c r="B59" s="53"/>
    </row>
    <row r="60" ht="15.75" customHeight="1">
      <c r="B60" s="53"/>
    </row>
    <row r="61" ht="15.75" customHeight="1">
      <c r="B61" s="53"/>
    </row>
    <row r="62" ht="15.75" customHeight="1">
      <c r="B62" s="53"/>
    </row>
    <row r="63" ht="15.75" customHeight="1">
      <c r="B63" s="53"/>
    </row>
    <row r="64" ht="15.75" customHeight="1">
      <c r="B64" s="53"/>
    </row>
    <row r="65" ht="15.75" customHeight="1">
      <c r="B65" s="53"/>
    </row>
    <row r="66" ht="15.75" customHeight="1">
      <c r="B66" s="53"/>
    </row>
    <row r="67" ht="15.75" customHeight="1">
      <c r="B67" s="53"/>
    </row>
    <row r="68" ht="15.75" customHeight="1">
      <c r="B68" s="53"/>
    </row>
    <row r="69" ht="15.75" customHeight="1">
      <c r="B69" s="53"/>
    </row>
    <row r="70" ht="15.75" customHeight="1">
      <c r="B70" s="53"/>
    </row>
    <row r="71" ht="15.75" customHeight="1">
      <c r="B71" s="53"/>
    </row>
    <row r="72" ht="15.75" customHeight="1">
      <c r="B72" s="53"/>
    </row>
    <row r="73" ht="15.75" customHeight="1">
      <c r="B73" s="53"/>
    </row>
    <row r="74" ht="15.75" customHeight="1">
      <c r="B74" s="53"/>
    </row>
    <row r="75" ht="15.75" customHeight="1">
      <c r="B75" s="53"/>
    </row>
    <row r="76" ht="15.75" customHeight="1">
      <c r="B76" s="53"/>
    </row>
    <row r="77" ht="15.75" customHeight="1">
      <c r="B77" s="53"/>
    </row>
    <row r="78" ht="15.75" customHeight="1">
      <c r="B78" s="53"/>
    </row>
    <row r="79" ht="15.75" customHeight="1">
      <c r="B79" s="53"/>
    </row>
    <row r="80" ht="15.75" customHeight="1">
      <c r="B80" s="53"/>
    </row>
    <row r="81" ht="15.75" customHeight="1">
      <c r="B81" s="53"/>
    </row>
    <row r="82" ht="15.75" customHeight="1">
      <c r="B82" s="53"/>
    </row>
    <row r="83" ht="15.75" customHeight="1">
      <c r="B83" s="53"/>
    </row>
    <row r="84" ht="15.75" customHeight="1">
      <c r="B84" s="53"/>
    </row>
    <row r="85" ht="15.75" customHeight="1">
      <c r="B85" s="53"/>
    </row>
    <row r="86" ht="15.75" customHeight="1">
      <c r="B86" s="53"/>
    </row>
    <row r="87" ht="15.75" customHeight="1">
      <c r="B87" s="53"/>
    </row>
    <row r="88" ht="15.75" customHeight="1">
      <c r="B88" s="53"/>
    </row>
    <row r="89" ht="15.75" customHeight="1">
      <c r="B89" s="53"/>
    </row>
    <row r="90" ht="15.75" customHeight="1">
      <c r="B90" s="53"/>
    </row>
    <row r="91" ht="15.75" customHeight="1">
      <c r="B91" s="53"/>
    </row>
    <row r="92" ht="15.75" customHeight="1">
      <c r="B92" s="53"/>
    </row>
    <row r="93" ht="15.75" customHeight="1">
      <c r="B93" s="53"/>
    </row>
    <row r="94" ht="15.75" customHeight="1">
      <c r="B94" s="53"/>
    </row>
    <row r="95" ht="15.75" customHeight="1">
      <c r="B95" s="53"/>
    </row>
    <row r="96" ht="15.75" customHeight="1">
      <c r="B96" s="53"/>
    </row>
    <row r="97" ht="15.75" customHeight="1">
      <c r="B97" s="53"/>
    </row>
    <row r="98" ht="15.75" customHeight="1">
      <c r="B98" s="53"/>
    </row>
    <row r="99" ht="15.75" customHeight="1">
      <c r="B99" s="53"/>
    </row>
    <row r="100" ht="15.75" customHeight="1">
      <c r="B100" s="53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5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8"/>
      <c r="C2" s="8"/>
      <c r="D2" s="4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9" t="s">
        <v>8</v>
      </c>
      <c r="C3" s="22" t="s">
        <v>12</v>
      </c>
      <c r="D3" s="49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51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51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2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52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4">
        <v>43871.0</v>
      </c>
      <c r="C6" s="8"/>
      <c r="D6" s="64">
        <v>43871.0</v>
      </c>
      <c r="E6" s="57">
        <v>10.0</v>
      </c>
      <c r="F6" s="58">
        <v>0.0</v>
      </c>
      <c r="G6" s="57">
        <v>1.1</v>
      </c>
      <c r="H6" s="56" t="s">
        <v>20</v>
      </c>
      <c r="I6" s="56" t="s">
        <v>39</v>
      </c>
      <c r="J6" s="56" t="s">
        <v>51</v>
      </c>
      <c r="K6" s="56" t="s">
        <v>28</v>
      </c>
      <c r="L6" s="56" t="s">
        <v>18</v>
      </c>
      <c r="M6" s="56" t="s">
        <v>24</v>
      </c>
      <c r="N6" s="56"/>
      <c r="O6" s="57">
        <v>11.0</v>
      </c>
      <c r="P6" s="57">
        <v>0.0</v>
      </c>
      <c r="Q6" s="56" t="s">
        <v>52</v>
      </c>
      <c r="R6" s="56" t="s">
        <v>16</v>
      </c>
    </row>
    <row r="7" ht="15.75" customHeight="1">
      <c r="A7" s="8"/>
      <c r="B7" s="64">
        <v>43871.0</v>
      </c>
      <c r="C7" s="8"/>
      <c r="D7" s="65">
        <v>43871.0</v>
      </c>
      <c r="E7" s="61">
        <v>0.0</v>
      </c>
      <c r="F7" s="62">
        <v>10.0</v>
      </c>
      <c r="G7" s="62">
        <v>1.1</v>
      </c>
      <c r="H7" s="60" t="s">
        <v>20</v>
      </c>
      <c r="I7" s="60" t="s">
        <v>43</v>
      </c>
      <c r="J7" s="60" t="s">
        <v>51</v>
      </c>
      <c r="K7" s="56" t="s">
        <v>28</v>
      </c>
      <c r="L7" s="60" t="s">
        <v>18</v>
      </c>
      <c r="M7" s="56" t="s">
        <v>24</v>
      </c>
      <c r="N7" s="56"/>
      <c r="O7" s="62">
        <v>0.0</v>
      </c>
      <c r="P7" s="62">
        <v>11.0</v>
      </c>
      <c r="Q7" s="60" t="s">
        <v>19</v>
      </c>
      <c r="R7" s="56" t="s">
        <v>16</v>
      </c>
    </row>
    <row r="8" ht="15.75" customHeight="1">
      <c r="A8" s="8"/>
      <c r="B8" s="64">
        <v>43871.0</v>
      </c>
      <c r="C8" s="8"/>
      <c r="D8" s="64">
        <v>43871.0</v>
      </c>
      <c r="E8" s="57">
        <v>7350.0</v>
      </c>
      <c r="F8" s="58">
        <v>0.0</v>
      </c>
      <c r="G8" s="57">
        <v>1.1</v>
      </c>
      <c r="H8" s="56" t="s">
        <v>20</v>
      </c>
      <c r="I8" s="56" t="s">
        <v>39</v>
      </c>
      <c r="J8" s="56" t="s">
        <v>51</v>
      </c>
      <c r="K8" s="56" t="s">
        <v>28</v>
      </c>
      <c r="L8" s="56" t="s">
        <v>18</v>
      </c>
      <c r="M8" s="56" t="s">
        <v>24</v>
      </c>
      <c r="N8" s="56"/>
      <c r="O8" s="57">
        <v>8085.0</v>
      </c>
      <c r="P8" s="57">
        <v>0.0</v>
      </c>
      <c r="Q8" s="56" t="s">
        <v>19</v>
      </c>
      <c r="R8" s="56" t="s">
        <v>16</v>
      </c>
    </row>
    <row r="9" ht="15.75" customHeight="1">
      <c r="A9" s="8"/>
      <c r="B9" s="64">
        <v>43871.0</v>
      </c>
      <c r="C9" s="8"/>
      <c r="D9" s="65">
        <v>43871.0</v>
      </c>
      <c r="E9" s="61">
        <v>0.0</v>
      </c>
      <c r="F9" s="62">
        <v>7350.0</v>
      </c>
      <c r="G9" s="62">
        <v>1.1</v>
      </c>
      <c r="H9" s="60" t="s">
        <v>20</v>
      </c>
      <c r="I9" s="60" t="s">
        <v>43</v>
      </c>
      <c r="J9" s="60" t="s">
        <v>51</v>
      </c>
      <c r="K9" s="56" t="s">
        <v>28</v>
      </c>
      <c r="L9" s="60" t="s">
        <v>18</v>
      </c>
      <c r="M9" s="56" t="s">
        <v>24</v>
      </c>
      <c r="N9" s="56"/>
      <c r="O9" s="62">
        <v>0.0</v>
      </c>
      <c r="P9" s="62">
        <v>8085.0</v>
      </c>
      <c r="Q9" s="60" t="s">
        <v>52</v>
      </c>
      <c r="R9" s="56" t="s">
        <v>16</v>
      </c>
    </row>
    <row r="10" ht="15.75" customHeight="1">
      <c r="A10" s="8"/>
      <c r="B10" s="48"/>
      <c r="C10" s="8"/>
      <c r="D10" s="4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8"/>
      <c r="C11" s="8"/>
      <c r="D11" s="4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8"/>
      <c r="C12" s="8"/>
      <c r="D12" s="4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8"/>
      <c r="C13" s="8"/>
      <c r="D13" s="4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8"/>
      <c r="C14" s="8"/>
      <c r="D14" s="4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8"/>
      <c r="C15" s="8"/>
      <c r="D15" s="4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8"/>
      <c r="C16" s="8"/>
      <c r="D16" s="4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8"/>
      <c r="C17" s="8"/>
      <c r="D17" s="4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8"/>
      <c r="C18" s="8"/>
      <c r="D18" s="4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8"/>
      <c r="C19" s="8"/>
      <c r="D19" s="4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8"/>
      <c r="C20" s="8"/>
      <c r="D20" s="4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8"/>
      <c r="C21" s="8"/>
      <c r="D21" s="4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8"/>
      <c r="C22" s="8"/>
      <c r="D22" s="4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8"/>
      <c r="C23" s="8"/>
      <c r="D23" s="4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8"/>
      <c r="C24" s="8"/>
      <c r="D24" s="4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8"/>
      <c r="C25" s="8"/>
      <c r="D25" s="4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8"/>
      <c r="C26" s="8"/>
      <c r="D26" s="4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3"/>
      <c r="D27" s="53"/>
    </row>
    <row r="28" ht="15.75" customHeight="1">
      <c r="B28" s="53"/>
      <c r="D28" s="53"/>
    </row>
    <row r="29" ht="15.75" customHeight="1">
      <c r="B29" s="53"/>
      <c r="D29" s="53"/>
    </row>
    <row r="30" ht="15.75" customHeight="1">
      <c r="B30" s="53"/>
      <c r="D30" s="53"/>
    </row>
    <row r="31" ht="15.75" customHeight="1">
      <c r="B31" s="53"/>
      <c r="D31" s="53"/>
    </row>
    <row r="32" ht="15.75" customHeight="1">
      <c r="B32" s="53"/>
      <c r="D32" s="53"/>
    </row>
    <row r="33" ht="15.75" customHeight="1">
      <c r="B33" s="53"/>
      <c r="D33" s="53"/>
    </row>
    <row r="34" ht="15.75" customHeight="1">
      <c r="B34" s="53"/>
      <c r="D34" s="53"/>
    </row>
    <row r="35" ht="15.75" customHeight="1">
      <c r="B35" s="53"/>
      <c r="D35" s="53"/>
    </row>
    <row r="36" ht="15.75" customHeight="1">
      <c r="B36" s="53"/>
      <c r="D36" s="53"/>
    </row>
    <row r="37" ht="15.75" customHeight="1">
      <c r="B37" s="53"/>
      <c r="D37" s="53"/>
    </row>
    <row r="38" ht="15.75" customHeight="1">
      <c r="B38" s="53"/>
      <c r="D38" s="53"/>
    </row>
    <row r="39" ht="15.75" customHeight="1">
      <c r="B39" s="53"/>
      <c r="D39" s="53"/>
    </row>
    <row r="40" ht="15.75" customHeight="1">
      <c r="B40" s="53"/>
      <c r="D40" s="53"/>
    </row>
    <row r="41" ht="15.75" customHeight="1">
      <c r="B41" s="53"/>
      <c r="D41" s="53"/>
    </row>
    <row r="42" ht="15.75" customHeight="1">
      <c r="B42" s="53"/>
      <c r="D42" s="53"/>
    </row>
    <row r="43" ht="15.75" customHeight="1">
      <c r="B43" s="53"/>
      <c r="D43" s="53"/>
    </row>
    <row r="44" ht="15.75" customHeight="1">
      <c r="B44" s="53"/>
      <c r="D44" s="53"/>
    </row>
    <row r="45" ht="15.75" customHeight="1">
      <c r="B45" s="53"/>
      <c r="D45" s="53"/>
    </row>
    <row r="46" ht="15.75" customHeight="1">
      <c r="B46" s="53"/>
      <c r="D46" s="53"/>
    </row>
    <row r="47" ht="15.75" customHeight="1">
      <c r="B47" s="53"/>
      <c r="D47" s="53"/>
    </row>
    <row r="48" ht="15.75" customHeight="1">
      <c r="B48" s="53"/>
      <c r="D48" s="53"/>
    </row>
    <row r="49" ht="15.75" customHeight="1">
      <c r="B49" s="53"/>
      <c r="D49" s="53"/>
    </row>
    <row r="50" ht="15.75" customHeight="1">
      <c r="B50" s="53"/>
      <c r="D50" s="53"/>
    </row>
    <row r="51" ht="15.75" customHeight="1">
      <c r="B51" s="53"/>
      <c r="D51" s="53"/>
    </row>
    <row r="52" ht="15.75" customHeight="1">
      <c r="B52" s="53"/>
      <c r="D52" s="53"/>
    </row>
    <row r="53" ht="15.75" customHeight="1">
      <c r="B53" s="53"/>
      <c r="D53" s="53"/>
    </row>
    <row r="54" ht="15.75" customHeight="1">
      <c r="B54" s="53"/>
      <c r="D54" s="53"/>
    </row>
    <row r="55" ht="15.75" customHeight="1">
      <c r="B55" s="53"/>
      <c r="D55" s="53"/>
    </row>
    <row r="56" ht="15.75" customHeight="1">
      <c r="B56" s="53"/>
      <c r="D56" s="53"/>
    </row>
    <row r="57" ht="15.75" customHeight="1">
      <c r="B57" s="53"/>
      <c r="D57" s="53"/>
    </row>
    <row r="58" ht="15.75" customHeight="1">
      <c r="B58" s="53"/>
      <c r="D58" s="53"/>
    </row>
    <row r="59" ht="15.75" customHeight="1">
      <c r="B59" s="53"/>
      <c r="D59" s="53"/>
    </row>
    <row r="60" ht="15.75" customHeight="1">
      <c r="B60" s="53"/>
      <c r="D60" s="53"/>
    </row>
    <row r="61" ht="15.75" customHeight="1">
      <c r="B61" s="53"/>
      <c r="D61" s="53"/>
    </row>
    <row r="62" ht="15.75" customHeight="1">
      <c r="B62" s="53"/>
      <c r="D62" s="53"/>
    </row>
    <row r="63" ht="15.75" customHeight="1">
      <c r="B63" s="53"/>
      <c r="D63" s="53"/>
    </row>
    <row r="64" ht="15.75" customHeight="1">
      <c r="B64" s="53"/>
      <c r="D64" s="53"/>
    </row>
    <row r="65" ht="15.75" customHeight="1">
      <c r="B65" s="53"/>
      <c r="D65" s="53"/>
    </row>
    <row r="66" ht="15.75" customHeight="1">
      <c r="B66" s="53"/>
      <c r="D66" s="53"/>
    </row>
    <row r="67" ht="15.75" customHeight="1">
      <c r="B67" s="53"/>
      <c r="D67" s="53"/>
    </row>
    <row r="68" ht="15.75" customHeight="1">
      <c r="B68" s="53"/>
      <c r="D68" s="53"/>
    </row>
    <row r="69" ht="15.75" customHeight="1">
      <c r="B69" s="53"/>
      <c r="D69" s="53"/>
    </row>
    <row r="70" ht="15.75" customHeight="1">
      <c r="B70" s="53"/>
      <c r="D70" s="53"/>
    </row>
    <row r="71" ht="15.75" customHeight="1">
      <c r="B71" s="53"/>
      <c r="D71" s="53"/>
    </row>
    <row r="72" ht="15.75" customHeight="1">
      <c r="B72" s="53"/>
      <c r="D72" s="53"/>
    </row>
    <row r="73" ht="15.75" customHeight="1">
      <c r="B73" s="53"/>
      <c r="D73" s="53"/>
    </row>
    <row r="74" ht="15.75" customHeight="1">
      <c r="B74" s="53"/>
      <c r="D74" s="53"/>
    </row>
    <row r="75" ht="15.75" customHeight="1">
      <c r="B75" s="53"/>
      <c r="D75" s="53"/>
    </row>
    <row r="76" ht="15.75" customHeight="1">
      <c r="B76" s="53"/>
      <c r="D76" s="53"/>
    </row>
    <row r="77" ht="15.75" customHeight="1">
      <c r="B77" s="53"/>
      <c r="D77" s="53"/>
    </row>
    <row r="78" ht="15.75" customHeight="1">
      <c r="B78" s="53"/>
      <c r="D78" s="53"/>
    </row>
    <row r="79" ht="15.75" customHeight="1">
      <c r="B79" s="53"/>
      <c r="D79" s="53"/>
    </row>
    <row r="80" ht="15.75" customHeight="1">
      <c r="B80" s="53"/>
      <c r="D80" s="53"/>
    </row>
    <row r="81" ht="15.75" customHeight="1">
      <c r="B81" s="53"/>
      <c r="D81" s="53"/>
    </row>
    <row r="82" ht="15.75" customHeight="1">
      <c r="B82" s="53"/>
      <c r="D82" s="53"/>
    </row>
    <row r="83" ht="15.75" customHeight="1">
      <c r="B83" s="53"/>
      <c r="D83" s="53"/>
    </row>
    <row r="84" ht="15.75" customHeight="1">
      <c r="B84" s="53"/>
      <c r="D84" s="53"/>
    </row>
    <row r="85" ht="15.75" customHeight="1">
      <c r="B85" s="53"/>
      <c r="D85" s="53"/>
    </row>
    <row r="86" ht="15.75" customHeight="1">
      <c r="B86" s="53"/>
      <c r="D86" s="53"/>
    </row>
    <row r="87" ht="15.75" customHeight="1">
      <c r="B87" s="53"/>
      <c r="D87" s="53"/>
    </row>
    <row r="88" ht="15.75" customHeight="1">
      <c r="B88" s="53"/>
      <c r="D88" s="53"/>
    </row>
    <row r="89" ht="15.75" customHeight="1">
      <c r="B89" s="53"/>
      <c r="D89" s="53"/>
    </row>
    <row r="90" ht="15.75" customHeight="1">
      <c r="B90" s="53"/>
      <c r="D90" s="53"/>
    </row>
    <row r="91" ht="15.75" customHeight="1">
      <c r="B91" s="53"/>
      <c r="D91" s="53"/>
    </row>
    <row r="92" ht="15.75" customHeight="1">
      <c r="B92" s="53"/>
      <c r="D92" s="53"/>
    </row>
    <row r="93" ht="15.75" customHeight="1">
      <c r="B93" s="53"/>
      <c r="D93" s="53"/>
    </row>
    <row r="94" ht="15.75" customHeight="1">
      <c r="B94" s="53"/>
      <c r="D94" s="53"/>
    </row>
    <row r="95" ht="15.75" customHeight="1">
      <c r="B95" s="53"/>
      <c r="D95" s="53"/>
    </row>
    <row r="96" ht="15.75" customHeight="1">
      <c r="B96" s="53"/>
      <c r="D96" s="53"/>
    </row>
    <row r="97" ht="15.75" customHeight="1">
      <c r="B97" s="53"/>
      <c r="D97" s="53"/>
    </row>
    <row r="98" ht="15.75" customHeight="1">
      <c r="B98" s="53"/>
      <c r="D98" s="53"/>
    </row>
    <row r="99" ht="15.75" customHeight="1">
      <c r="B99" s="53"/>
      <c r="D99" s="53"/>
    </row>
    <row r="100" ht="15.75" customHeight="1">
      <c r="B100" s="53"/>
      <c r="D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1" t="s">
        <v>16</v>
      </c>
      <c r="D6" s="40">
        <v>43871.0</v>
      </c>
      <c r="E6" s="40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66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AE2" s="53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67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68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6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6" t="s">
        <v>16</v>
      </c>
      <c r="C6" s="56" t="s">
        <v>40</v>
      </c>
      <c r="D6" s="56" t="s">
        <v>55</v>
      </c>
      <c r="E6" s="57">
        <v>-535.0</v>
      </c>
      <c r="F6" s="57">
        <v>0.0</v>
      </c>
      <c r="G6" s="57">
        <v>0.0</v>
      </c>
      <c r="H6" s="56" t="s">
        <v>56</v>
      </c>
      <c r="I6" s="57">
        <v>0.0</v>
      </c>
      <c r="J6" s="57">
        <v>0.0</v>
      </c>
      <c r="K6" s="56" t="s">
        <v>28</v>
      </c>
      <c r="L6" s="56" t="s">
        <v>41</v>
      </c>
      <c r="M6" s="8"/>
      <c r="N6" s="56" t="s">
        <v>20</v>
      </c>
      <c r="O6" s="57">
        <v>1.5</v>
      </c>
      <c r="R6" s="57">
        <v>0.0</v>
      </c>
      <c r="S6" s="57">
        <v>0.0</v>
      </c>
      <c r="T6" s="57">
        <v>0.0</v>
      </c>
      <c r="U6" s="57">
        <v>0.0</v>
      </c>
      <c r="V6" s="57">
        <v>0.0</v>
      </c>
      <c r="W6" s="57">
        <v>0.0</v>
      </c>
      <c r="X6" s="70"/>
      <c r="Z6" s="57">
        <v>0.0</v>
      </c>
      <c r="AA6" s="57">
        <v>0.0</v>
      </c>
      <c r="AB6" s="56" t="s">
        <v>24</v>
      </c>
      <c r="AC6" s="57">
        <v>0.0</v>
      </c>
      <c r="AD6" s="57">
        <v>0.0</v>
      </c>
      <c r="AE6" s="55">
        <v>43871.0</v>
      </c>
      <c r="AF6" s="57">
        <v>0.0</v>
      </c>
      <c r="AG6" s="71" t="s">
        <v>40</v>
      </c>
    </row>
    <row r="7" ht="15.75" customHeight="1">
      <c r="A7" s="8"/>
      <c r="B7" s="72" t="s">
        <v>16</v>
      </c>
      <c r="C7" s="72" t="s">
        <v>40</v>
      </c>
      <c r="D7" s="72" t="s">
        <v>55</v>
      </c>
      <c r="E7" s="73">
        <v>-2936.0</v>
      </c>
      <c r="F7" s="73">
        <v>0.0</v>
      </c>
      <c r="G7" s="73">
        <v>0.0</v>
      </c>
      <c r="H7" s="72" t="s">
        <v>56</v>
      </c>
      <c r="I7" s="73">
        <v>0.0</v>
      </c>
      <c r="J7" s="73">
        <v>0.0</v>
      </c>
      <c r="K7" s="72" t="s">
        <v>18</v>
      </c>
      <c r="L7" s="72" t="s">
        <v>41</v>
      </c>
      <c r="M7" s="8"/>
      <c r="N7" s="72" t="s">
        <v>20</v>
      </c>
      <c r="O7" s="73">
        <v>1.0</v>
      </c>
      <c r="R7" s="73">
        <v>0.0</v>
      </c>
      <c r="S7" s="73">
        <v>0.0</v>
      </c>
      <c r="T7" s="73">
        <v>0.0</v>
      </c>
      <c r="U7" s="73">
        <v>0.0</v>
      </c>
      <c r="V7" s="73">
        <v>0.0</v>
      </c>
      <c r="W7" s="73">
        <v>0.0</v>
      </c>
      <c r="X7" s="74"/>
      <c r="Z7" s="73">
        <v>0.0</v>
      </c>
      <c r="AA7" s="73">
        <v>0.0</v>
      </c>
      <c r="AB7" s="72" t="s">
        <v>28</v>
      </c>
      <c r="AC7" s="73">
        <v>0.0</v>
      </c>
      <c r="AD7" s="73">
        <v>0.0</v>
      </c>
      <c r="AE7" s="75">
        <v>43871.0</v>
      </c>
      <c r="AF7" s="73">
        <v>0.0</v>
      </c>
      <c r="AG7" s="76" t="s">
        <v>40</v>
      </c>
    </row>
    <row r="8" ht="15.75" customHeight="1">
      <c r="A8" s="8"/>
      <c r="B8" s="56" t="s">
        <v>16</v>
      </c>
      <c r="C8" s="56" t="s">
        <v>57</v>
      </c>
      <c r="D8" s="56" t="s">
        <v>58</v>
      </c>
      <c r="E8" s="57">
        <v>500000.0</v>
      </c>
      <c r="F8" s="57">
        <v>0.0</v>
      </c>
      <c r="G8" s="57">
        <v>0.0</v>
      </c>
      <c r="H8" s="56" t="s">
        <v>56</v>
      </c>
      <c r="I8" s="57">
        <v>0.0</v>
      </c>
      <c r="J8" s="57">
        <v>0.0</v>
      </c>
      <c r="K8" s="56" t="s">
        <v>18</v>
      </c>
      <c r="L8" s="70"/>
      <c r="M8" s="8"/>
      <c r="N8" s="56" t="s">
        <v>20</v>
      </c>
      <c r="O8" s="57">
        <v>1.0</v>
      </c>
      <c r="R8" s="57">
        <v>0.0</v>
      </c>
      <c r="S8" s="57">
        <v>0.0</v>
      </c>
      <c r="T8" s="57">
        <v>0.0</v>
      </c>
      <c r="U8" s="57">
        <v>0.0</v>
      </c>
      <c r="V8" s="57">
        <v>0.0</v>
      </c>
      <c r="W8" s="57">
        <v>0.0</v>
      </c>
      <c r="X8" s="70"/>
      <c r="Z8" s="57">
        <v>0.0</v>
      </c>
      <c r="AA8" s="57">
        <v>0.0</v>
      </c>
      <c r="AB8" s="70"/>
      <c r="AC8" s="57">
        <v>0.0</v>
      </c>
      <c r="AD8" s="57">
        <v>0.0</v>
      </c>
      <c r="AE8" s="55">
        <v>43871.0</v>
      </c>
      <c r="AF8" s="57">
        <v>0.0</v>
      </c>
      <c r="AG8" s="71" t="s">
        <v>59</v>
      </c>
    </row>
    <row r="9" ht="15.75" customHeight="1">
      <c r="A9" s="8"/>
      <c r="B9" s="72" t="s">
        <v>16</v>
      </c>
      <c r="C9" s="72" t="s">
        <v>40</v>
      </c>
      <c r="D9" s="72" t="s">
        <v>60</v>
      </c>
      <c r="E9" s="73">
        <v>-7340.0</v>
      </c>
      <c r="F9" s="73">
        <v>0.0</v>
      </c>
      <c r="G9" s="73">
        <v>0.0</v>
      </c>
      <c r="H9" s="72" t="s">
        <v>56</v>
      </c>
      <c r="I9" s="73">
        <v>0.0</v>
      </c>
      <c r="J9" s="73">
        <v>0.0</v>
      </c>
      <c r="K9" s="72" t="s">
        <v>28</v>
      </c>
      <c r="L9" s="72" t="s">
        <v>46</v>
      </c>
      <c r="M9" s="8"/>
      <c r="N9" s="72" t="s">
        <v>20</v>
      </c>
      <c r="O9" s="73">
        <v>1.1</v>
      </c>
      <c r="R9" s="73">
        <v>0.0</v>
      </c>
      <c r="S9" s="73">
        <v>0.0</v>
      </c>
      <c r="T9" s="73">
        <v>0.0</v>
      </c>
      <c r="U9" s="73">
        <v>0.0</v>
      </c>
      <c r="V9" s="73">
        <v>0.0</v>
      </c>
      <c r="W9" s="73">
        <v>0.0</v>
      </c>
      <c r="X9" s="74"/>
      <c r="Z9" s="73">
        <v>0.0</v>
      </c>
      <c r="AA9" s="73">
        <v>0.0</v>
      </c>
      <c r="AB9" s="72" t="s">
        <v>24</v>
      </c>
      <c r="AC9" s="73">
        <v>0.0</v>
      </c>
      <c r="AD9" s="73">
        <v>0.0</v>
      </c>
      <c r="AE9" s="77">
        <v>43871.0</v>
      </c>
      <c r="AF9" s="73">
        <v>0.0</v>
      </c>
      <c r="AG9" s="76" t="s">
        <v>40</v>
      </c>
    </row>
    <row r="10" ht="15.75" customHeight="1">
      <c r="A10" s="8"/>
      <c r="B10" s="56" t="s">
        <v>16</v>
      </c>
      <c r="C10" s="56" t="s">
        <v>40</v>
      </c>
      <c r="D10" s="56" t="s">
        <v>60</v>
      </c>
      <c r="E10" s="57">
        <v>7340.0</v>
      </c>
      <c r="F10" s="57">
        <v>0.0</v>
      </c>
      <c r="G10" s="57">
        <v>0.0</v>
      </c>
      <c r="H10" s="56" t="s">
        <v>56</v>
      </c>
      <c r="I10" s="57">
        <v>0.0</v>
      </c>
      <c r="J10" s="57">
        <v>0.0</v>
      </c>
      <c r="K10" s="56" t="s">
        <v>28</v>
      </c>
      <c r="L10" s="56" t="s">
        <v>47</v>
      </c>
      <c r="M10" s="8"/>
      <c r="N10" s="56" t="s">
        <v>20</v>
      </c>
      <c r="O10" s="57">
        <v>1.5</v>
      </c>
      <c r="R10" s="57">
        <v>0.0</v>
      </c>
      <c r="S10" s="57">
        <v>0.0</v>
      </c>
      <c r="T10" s="57">
        <v>0.0</v>
      </c>
      <c r="U10" s="57">
        <v>0.0</v>
      </c>
      <c r="V10" s="57">
        <v>0.0</v>
      </c>
      <c r="W10" s="57">
        <v>0.0</v>
      </c>
      <c r="X10" s="70"/>
      <c r="Z10" s="57">
        <v>0.0</v>
      </c>
      <c r="AA10" s="57">
        <v>0.0</v>
      </c>
      <c r="AB10" s="56" t="s">
        <v>24</v>
      </c>
      <c r="AC10" s="57">
        <v>0.0</v>
      </c>
      <c r="AD10" s="57">
        <v>0.0</v>
      </c>
      <c r="AE10" s="64">
        <v>43871.0</v>
      </c>
      <c r="AF10" s="57">
        <v>0.0</v>
      </c>
      <c r="AG10" s="71" t="s">
        <v>40</v>
      </c>
    </row>
    <row r="11" ht="15.75" customHeight="1">
      <c r="A11" s="8"/>
      <c r="B11" s="72" t="s">
        <v>16</v>
      </c>
      <c r="C11" s="72" t="s">
        <v>51</v>
      </c>
      <c r="D11" s="72" t="s">
        <v>61</v>
      </c>
      <c r="E11" s="73">
        <v>7340.0</v>
      </c>
      <c r="F11" s="73">
        <v>0.0</v>
      </c>
      <c r="G11" s="73">
        <v>0.0</v>
      </c>
      <c r="H11" s="72" t="s">
        <v>56</v>
      </c>
      <c r="I11" s="73">
        <v>0.0</v>
      </c>
      <c r="J11" s="73">
        <v>2.5</v>
      </c>
      <c r="K11" s="72" t="s">
        <v>28</v>
      </c>
      <c r="L11" s="72" t="s">
        <v>62</v>
      </c>
      <c r="M11" s="8"/>
      <c r="N11" s="72" t="s">
        <v>20</v>
      </c>
      <c r="O11" s="73">
        <v>1.1</v>
      </c>
      <c r="R11" s="73">
        <v>0.0</v>
      </c>
      <c r="S11" s="73">
        <v>0.0</v>
      </c>
      <c r="T11" s="73">
        <v>0.0</v>
      </c>
      <c r="U11" s="73">
        <v>0.0</v>
      </c>
      <c r="V11" s="73">
        <v>105.0</v>
      </c>
      <c r="W11" s="73">
        <v>0.0</v>
      </c>
      <c r="X11" s="76" t="s">
        <v>28</v>
      </c>
      <c r="Z11" s="73">
        <v>7.5</v>
      </c>
      <c r="AA11" s="73">
        <v>0.0</v>
      </c>
      <c r="AB11" s="72" t="s">
        <v>24</v>
      </c>
      <c r="AC11" s="73">
        <v>0.0</v>
      </c>
      <c r="AD11" s="73">
        <v>10.0</v>
      </c>
      <c r="AE11" s="77">
        <v>43871.0</v>
      </c>
      <c r="AF11" s="73">
        <v>0.0</v>
      </c>
      <c r="AG11" s="76" t="s">
        <v>51</v>
      </c>
    </row>
    <row r="12" ht="15.75" customHeight="1">
      <c r="A12" s="8"/>
      <c r="B12" s="56" t="s">
        <v>16</v>
      </c>
      <c r="C12" s="56" t="s">
        <v>40</v>
      </c>
      <c r="D12" s="56" t="s">
        <v>60</v>
      </c>
      <c r="E12" s="57">
        <v>7340.0</v>
      </c>
      <c r="F12" s="57">
        <v>0.0</v>
      </c>
      <c r="G12" s="57">
        <v>0.0</v>
      </c>
      <c r="H12" s="56" t="s">
        <v>56</v>
      </c>
      <c r="I12" s="57">
        <v>0.0</v>
      </c>
      <c r="J12" s="57">
        <v>0.0</v>
      </c>
      <c r="K12" s="56" t="s">
        <v>28</v>
      </c>
      <c r="L12" s="56" t="s">
        <v>48</v>
      </c>
      <c r="M12" s="8"/>
      <c r="N12" s="56" t="s">
        <v>20</v>
      </c>
      <c r="O12" s="57">
        <v>2.0</v>
      </c>
      <c r="R12" s="57">
        <v>0.0</v>
      </c>
      <c r="S12" s="57">
        <v>0.0</v>
      </c>
      <c r="T12" s="57">
        <v>0.0</v>
      </c>
      <c r="U12" s="57">
        <v>0.0</v>
      </c>
      <c r="V12" s="57">
        <v>0.0</v>
      </c>
      <c r="W12" s="57">
        <v>0.0</v>
      </c>
      <c r="X12" s="70"/>
      <c r="Z12" s="57">
        <v>0.0</v>
      </c>
      <c r="AA12" s="57">
        <v>0.0</v>
      </c>
      <c r="AB12" s="56" t="s">
        <v>28</v>
      </c>
      <c r="AC12" s="57">
        <v>0.0</v>
      </c>
      <c r="AD12" s="57">
        <v>0.0</v>
      </c>
      <c r="AE12" s="55">
        <v>43872.0</v>
      </c>
      <c r="AF12" s="57">
        <v>0.0</v>
      </c>
      <c r="AG12" s="71" t="s">
        <v>40</v>
      </c>
    </row>
    <row r="13" ht="15.75" customHeight="1">
      <c r="A13" s="8"/>
      <c r="B13" s="72" t="s">
        <v>16</v>
      </c>
      <c r="C13" s="72" t="s">
        <v>40</v>
      </c>
      <c r="D13" s="72" t="s">
        <v>60</v>
      </c>
      <c r="E13" s="73">
        <v>-7340.0</v>
      </c>
      <c r="F13" s="73">
        <v>0.0</v>
      </c>
      <c r="G13" s="73">
        <v>0.0</v>
      </c>
      <c r="H13" s="72" t="s">
        <v>56</v>
      </c>
      <c r="I13" s="73">
        <v>0.0</v>
      </c>
      <c r="J13" s="73">
        <v>0.0</v>
      </c>
      <c r="K13" s="72" t="s">
        <v>28</v>
      </c>
      <c r="L13" s="72" t="s">
        <v>49</v>
      </c>
      <c r="M13" s="8"/>
      <c r="N13" s="72" t="s">
        <v>20</v>
      </c>
      <c r="O13" s="73">
        <v>1.5</v>
      </c>
      <c r="R13" s="73">
        <v>0.0</v>
      </c>
      <c r="S13" s="73">
        <v>0.0</v>
      </c>
      <c r="T13" s="73">
        <v>0.0</v>
      </c>
      <c r="U13" s="73">
        <v>0.0</v>
      </c>
      <c r="V13" s="73">
        <v>0.0</v>
      </c>
      <c r="W13" s="73">
        <v>0.0</v>
      </c>
      <c r="X13" s="74"/>
      <c r="Z13" s="73">
        <v>0.0</v>
      </c>
      <c r="AA13" s="73">
        <v>0.0</v>
      </c>
      <c r="AB13" s="72" t="s">
        <v>28</v>
      </c>
      <c r="AC13" s="73">
        <v>0.0</v>
      </c>
      <c r="AD13" s="73">
        <v>0.0</v>
      </c>
      <c r="AE13" s="75">
        <v>43872.0</v>
      </c>
      <c r="AF13" s="73">
        <v>0.0</v>
      </c>
      <c r="AG13" s="76" t="s">
        <v>40</v>
      </c>
    </row>
    <row r="14" ht="15.75" customHeight="1">
      <c r="A14" s="8"/>
      <c r="B14" s="56" t="s">
        <v>16</v>
      </c>
      <c r="C14" s="56" t="s">
        <v>40</v>
      </c>
      <c r="D14" s="56" t="s">
        <v>55</v>
      </c>
      <c r="E14" s="57">
        <v>-1060.0</v>
      </c>
      <c r="F14" s="57">
        <v>0.0</v>
      </c>
      <c r="G14" s="57">
        <v>0.0</v>
      </c>
      <c r="H14" s="56" t="s">
        <v>56</v>
      </c>
      <c r="I14" s="57">
        <v>0.0</v>
      </c>
      <c r="J14" s="57">
        <v>0.0</v>
      </c>
      <c r="K14" s="56" t="s">
        <v>28</v>
      </c>
      <c r="L14" s="56" t="s">
        <v>41</v>
      </c>
      <c r="M14" s="8"/>
      <c r="N14" s="56" t="s">
        <v>20</v>
      </c>
      <c r="O14" s="57">
        <v>2.0</v>
      </c>
      <c r="R14" s="57">
        <v>0.0</v>
      </c>
      <c r="S14" s="57">
        <v>0.0</v>
      </c>
      <c r="T14" s="57">
        <v>0.0</v>
      </c>
      <c r="U14" s="57">
        <v>0.0</v>
      </c>
      <c r="V14" s="57">
        <v>0.0</v>
      </c>
      <c r="W14" s="57">
        <v>0.0</v>
      </c>
      <c r="X14" s="70"/>
      <c r="Z14" s="57">
        <v>0.0</v>
      </c>
      <c r="AA14" s="57">
        <v>0.0</v>
      </c>
      <c r="AB14" s="56" t="s">
        <v>24</v>
      </c>
      <c r="AC14" s="57">
        <v>0.0</v>
      </c>
      <c r="AD14" s="57">
        <v>0.0</v>
      </c>
      <c r="AE14" s="55">
        <v>43872.0</v>
      </c>
      <c r="AF14" s="57">
        <v>0.0</v>
      </c>
      <c r="AG14" s="71" t="s">
        <v>40</v>
      </c>
    </row>
    <row r="15" ht="15.75" customHeight="1">
      <c r="A15" s="8"/>
      <c r="B15" s="72" t="s">
        <v>16</v>
      </c>
      <c r="C15" s="72" t="s">
        <v>40</v>
      </c>
      <c r="D15" s="72" t="s">
        <v>55</v>
      </c>
      <c r="E15" s="73">
        <v>-6606.0</v>
      </c>
      <c r="F15" s="73">
        <v>0.0</v>
      </c>
      <c r="G15" s="73">
        <v>0.0</v>
      </c>
      <c r="H15" s="72" t="s">
        <v>56</v>
      </c>
      <c r="I15" s="73">
        <v>0.0</v>
      </c>
      <c r="J15" s="73">
        <v>0.0</v>
      </c>
      <c r="K15" s="72" t="s">
        <v>18</v>
      </c>
      <c r="L15" s="72" t="s">
        <v>41</v>
      </c>
      <c r="M15" s="8"/>
      <c r="N15" s="72" t="s">
        <v>20</v>
      </c>
      <c r="O15" s="73">
        <v>1.0</v>
      </c>
      <c r="R15" s="73">
        <v>0.0</v>
      </c>
      <c r="S15" s="73">
        <v>0.0</v>
      </c>
      <c r="T15" s="73">
        <v>0.0</v>
      </c>
      <c r="U15" s="73">
        <v>0.0</v>
      </c>
      <c r="V15" s="73">
        <v>0.0</v>
      </c>
      <c r="W15" s="73">
        <v>0.0</v>
      </c>
      <c r="X15" s="74"/>
      <c r="Z15" s="73">
        <v>0.0</v>
      </c>
      <c r="AA15" s="73">
        <v>0.0</v>
      </c>
      <c r="AB15" s="72" t="s">
        <v>28</v>
      </c>
      <c r="AC15" s="73">
        <v>0.0</v>
      </c>
      <c r="AD15" s="73">
        <v>0.0</v>
      </c>
      <c r="AE15" s="75">
        <v>43872.0</v>
      </c>
      <c r="AF15" s="73">
        <v>0.0</v>
      </c>
      <c r="AG15" s="76" t="s">
        <v>40</v>
      </c>
    </row>
    <row r="16" ht="15.75" customHeight="1">
      <c r="A16" s="8"/>
      <c r="B16" s="56" t="s">
        <v>16</v>
      </c>
      <c r="C16" s="56" t="s">
        <v>40</v>
      </c>
      <c r="D16" s="56" t="s">
        <v>55</v>
      </c>
      <c r="E16" s="57">
        <v>535.0</v>
      </c>
      <c r="F16" s="57">
        <v>0.0</v>
      </c>
      <c r="G16" s="57">
        <v>0.0</v>
      </c>
      <c r="H16" s="56" t="s">
        <v>56</v>
      </c>
      <c r="I16" s="57">
        <v>0.0</v>
      </c>
      <c r="J16" s="57">
        <v>0.0</v>
      </c>
      <c r="K16" s="56" t="s">
        <v>28</v>
      </c>
      <c r="L16" s="56" t="s">
        <v>44</v>
      </c>
      <c r="M16" s="8"/>
      <c r="N16" s="56" t="s">
        <v>20</v>
      </c>
      <c r="O16" s="57">
        <v>1.5</v>
      </c>
      <c r="R16" s="57">
        <v>0.0</v>
      </c>
      <c r="S16" s="57">
        <v>0.0</v>
      </c>
      <c r="T16" s="57">
        <v>0.0</v>
      </c>
      <c r="U16" s="57">
        <v>0.0</v>
      </c>
      <c r="V16" s="57">
        <v>0.0</v>
      </c>
      <c r="W16" s="57">
        <v>0.0</v>
      </c>
      <c r="X16" s="70"/>
      <c r="Z16" s="57">
        <v>0.0</v>
      </c>
      <c r="AA16" s="57">
        <v>0.0</v>
      </c>
      <c r="AB16" s="56" t="s">
        <v>24</v>
      </c>
      <c r="AC16" s="57">
        <v>0.0</v>
      </c>
      <c r="AD16" s="57">
        <v>0.0</v>
      </c>
      <c r="AE16" s="55">
        <v>43872.0</v>
      </c>
      <c r="AF16" s="57">
        <v>0.0</v>
      </c>
      <c r="AG16" s="71" t="s">
        <v>40</v>
      </c>
    </row>
    <row r="17" ht="15.75" customHeight="1">
      <c r="A17" s="8"/>
      <c r="B17" s="72" t="s">
        <v>16</v>
      </c>
      <c r="C17" s="72" t="s">
        <v>40</v>
      </c>
      <c r="D17" s="72" t="s">
        <v>55</v>
      </c>
      <c r="E17" s="73">
        <v>2936.0</v>
      </c>
      <c r="F17" s="73">
        <v>0.0</v>
      </c>
      <c r="G17" s="73">
        <v>0.0</v>
      </c>
      <c r="H17" s="72" t="s">
        <v>56</v>
      </c>
      <c r="I17" s="73">
        <v>0.0</v>
      </c>
      <c r="J17" s="73">
        <v>0.0</v>
      </c>
      <c r="K17" s="72" t="s">
        <v>18</v>
      </c>
      <c r="L17" s="72" t="s">
        <v>44</v>
      </c>
      <c r="M17" s="8"/>
      <c r="N17" s="72" t="s">
        <v>20</v>
      </c>
      <c r="O17" s="73">
        <v>1.0</v>
      </c>
      <c r="R17" s="73">
        <v>0.0</v>
      </c>
      <c r="S17" s="73">
        <v>0.0</v>
      </c>
      <c r="T17" s="73">
        <v>0.0</v>
      </c>
      <c r="U17" s="73">
        <v>0.0</v>
      </c>
      <c r="V17" s="73">
        <v>0.0</v>
      </c>
      <c r="W17" s="73">
        <v>0.0</v>
      </c>
      <c r="X17" s="74"/>
      <c r="Z17" s="73">
        <v>0.0</v>
      </c>
      <c r="AA17" s="73">
        <v>0.0</v>
      </c>
      <c r="AB17" s="72" t="s">
        <v>28</v>
      </c>
      <c r="AC17" s="73">
        <v>0.0</v>
      </c>
      <c r="AD17" s="73">
        <v>0.0</v>
      </c>
      <c r="AE17" s="75">
        <v>43872.0</v>
      </c>
      <c r="AF17" s="73">
        <v>0.0</v>
      </c>
      <c r="AG17" s="76" t="s">
        <v>40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E18" s="5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AE19" s="5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AE20" s="5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AE21" s="5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E22" s="5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AE23" s="53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AE24" s="53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AE25" s="53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AE26" s="53"/>
    </row>
    <row r="27" ht="15.75" customHeight="1">
      <c r="AE27" s="53"/>
    </row>
    <row r="28" ht="15.75" customHeight="1">
      <c r="AE28" s="53"/>
    </row>
    <row r="29" ht="15.75" customHeight="1">
      <c r="AE29" s="53"/>
    </row>
    <row r="30" ht="15.75" customHeight="1">
      <c r="AE30" s="53"/>
    </row>
    <row r="31" ht="15.75" customHeight="1">
      <c r="AE31" s="53"/>
    </row>
    <row r="32" ht="15.75" customHeight="1">
      <c r="AE32" s="53"/>
    </row>
    <row r="33" ht="15.75" customHeight="1">
      <c r="AE33" s="53"/>
    </row>
    <row r="34" ht="15.75" customHeight="1">
      <c r="AE34" s="53"/>
    </row>
    <row r="35" ht="15.75" customHeight="1">
      <c r="AE35" s="53"/>
    </row>
    <row r="36" ht="15.75" customHeight="1">
      <c r="AE36" s="53"/>
    </row>
    <row r="37" ht="15.75" customHeight="1">
      <c r="AE37" s="53"/>
    </row>
    <row r="38" ht="15.75" customHeight="1">
      <c r="AE38" s="53"/>
    </row>
    <row r="39" ht="15.75" customHeight="1">
      <c r="AE39" s="53"/>
    </row>
    <row r="40" ht="15.75" customHeight="1">
      <c r="AE40" s="53"/>
    </row>
    <row r="41" ht="15.75" customHeight="1">
      <c r="AE41" s="53"/>
    </row>
    <row r="42" ht="15.75" customHeight="1">
      <c r="AE42" s="53"/>
    </row>
    <row r="43" ht="15.75" customHeight="1">
      <c r="AE43" s="53"/>
    </row>
    <row r="44" ht="15.75" customHeight="1">
      <c r="AE44" s="53"/>
    </row>
    <row r="45" ht="15.75" customHeight="1">
      <c r="AE45" s="53"/>
    </row>
    <row r="46" ht="15.75" customHeight="1">
      <c r="AE46" s="53"/>
    </row>
    <row r="47" ht="15.75" customHeight="1">
      <c r="AE47" s="53"/>
    </row>
    <row r="48" ht="15.75" customHeight="1">
      <c r="AE48" s="53"/>
    </row>
    <row r="49" ht="15.75" customHeight="1">
      <c r="AE49" s="53"/>
    </row>
    <row r="50" ht="15.75" customHeight="1">
      <c r="AE50" s="53"/>
    </row>
    <row r="51" ht="15.75" customHeight="1">
      <c r="AE51" s="53"/>
    </row>
    <row r="52" ht="15.75" customHeight="1">
      <c r="AE52" s="53"/>
    </row>
    <row r="53" ht="15.75" customHeight="1">
      <c r="AE53" s="53"/>
    </row>
    <row r="54" ht="15.75" customHeight="1">
      <c r="AE54" s="53"/>
    </row>
    <row r="55" ht="15.75" customHeight="1">
      <c r="AE55" s="53"/>
    </row>
    <row r="56" ht="15.75" customHeight="1">
      <c r="AE56" s="53"/>
    </row>
    <row r="57" ht="15.75" customHeight="1">
      <c r="AE57" s="53"/>
    </row>
    <row r="58" ht="15.75" customHeight="1">
      <c r="AE58" s="53"/>
    </row>
    <row r="59" ht="15.75" customHeight="1">
      <c r="AE59" s="53"/>
    </row>
    <row r="60" ht="15.75" customHeight="1">
      <c r="AE60" s="53"/>
    </row>
    <row r="61" ht="15.75" customHeight="1">
      <c r="AE61" s="53"/>
    </row>
    <row r="62" ht="15.75" customHeight="1">
      <c r="AE62" s="53"/>
    </row>
    <row r="63" ht="15.75" customHeight="1">
      <c r="AE63" s="53"/>
    </row>
    <row r="64" ht="15.75" customHeight="1">
      <c r="AE64" s="53"/>
    </row>
    <row r="65" ht="15.75" customHeight="1">
      <c r="AE65" s="53"/>
    </row>
    <row r="66" ht="15.75" customHeight="1">
      <c r="AE66" s="53"/>
    </row>
    <row r="67" ht="15.75" customHeight="1">
      <c r="AE67" s="53"/>
    </row>
    <row r="68" ht="15.75" customHeight="1">
      <c r="AE68" s="53"/>
    </row>
    <row r="69" ht="15.75" customHeight="1">
      <c r="AE69" s="53"/>
    </row>
    <row r="70" ht="15.75" customHeight="1">
      <c r="AE70" s="53"/>
    </row>
    <row r="71" ht="15.75" customHeight="1">
      <c r="AE71" s="53"/>
    </row>
    <row r="72" ht="15.75" customHeight="1">
      <c r="AE72" s="53"/>
    </row>
    <row r="73" ht="15.75" customHeight="1">
      <c r="AE73" s="53"/>
    </row>
    <row r="74" ht="15.75" customHeight="1">
      <c r="AE74" s="53"/>
    </row>
    <row r="75" ht="15.75" customHeight="1">
      <c r="AE75" s="53"/>
    </row>
    <row r="76" ht="15.75" customHeight="1">
      <c r="AE76" s="53"/>
    </row>
    <row r="77" ht="15.75" customHeight="1">
      <c r="AE77" s="53"/>
    </row>
    <row r="78" ht="15.75" customHeight="1">
      <c r="AE78" s="53"/>
    </row>
    <row r="79" ht="15.75" customHeight="1">
      <c r="AE79" s="53"/>
    </row>
    <row r="80" ht="15.75" customHeight="1">
      <c r="AE80" s="53"/>
    </row>
    <row r="81" ht="15.75" customHeight="1">
      <c r="AE81" s="53"/>
    </row>
    <row r="82" ht="15.75" customHeight="1">
      <c r="AE82" s="53"/>
    </row>
    <row r="83" ht="15.75" customHeight="1">
      <c r="AE83" s="53"/>
    </row>
    <row r="84" ht="15.75" customHeight="1">
      <c r="AE84" s="53"/>
    </row>
    <row r="85" ht="15.75" customHeight="1">
      <c r="AE85" s="53"/>
    </row>
    <row r="86" ht="15.75" customHeight="1">
      <c r="AE86" s="53"/>
    </row>
    <row r="87" ht="15.75" customHeight="1">
      <c r="AE87" s="53"/>
    </row>
    <row r="88" ht="15.75" customHeight="1">
      <c r="AE88" s="53"/>
    </row>
    <row r="89" ht="15.75" customHeight="1">
      <c r="AE89" s="53"/>
    </row>
    <row r="90" ht="15.75" customHeight="1">
      <c r="AE90" s="53"/>
    </row>
    <row r="91" ht="15.75" customHeight="1">
      <c r="AE91" s="53"/>
    </row>
    <row r="92" ht="15.75" customHeight="1">
      <c r="AE92" s="53"/>
    </row>
    <row r="93" ht="15.75" customHeight="1">
      <c r="AE93" s="53"/>
    </row>
    <row r="94" ht="15.75" customHeight="1">
      <c r="AE94" s="53"/>
    </row>
    <row r="95" ht="15.75" customHeight="1">
      <c r="AE95" s="53"/>
    </row>
    <row r="96" ht="15.75" customHeight="1">
      <c r="AE96" s="53"/>
    </row>
    <row r="97" ht="15.75" customHeight="1">
      <c r="AE97" s="53"/>
    </row>
    <row r="98" ht="15.75" customHeight="1">
      <c r="AE98" s="53"/>
    </row>
    <row r="99" ht="15.75" customHeight="1">
      <c r="AE99" s="53"/>
    </row>
    <row r="100" ht="15.75" customHeight="1">
      <c r="AE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3" t="s">
        <v>65</v>
      </c>
      <c r="C6" s="31" t="s">
        <v>16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78">
        <v>43873.0</v>
      </c>
      <c r="C6" s="31"/>
      <c r="D6" s="30"/>
      <c r="E6" s="31" t="s">
        <v>24</v>
      </c>
      <c r="F6" s="31"/>
      <c r="G6" s="31" t="s">
        <v>66</v>
      </c>
      <c r="H6" s="35">
        <v>1.0</v>
      </c>
      <c r="I6" s="35">
        <v>0.33</v>
      </c>
      <c r="J6" s="35">
        <v>0.625</v>
      </c>
      <c r="K6" s="8"/>
      <c r="L6" s="8"/>
      <c r="M6" s="11" t="s">
        <v>67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79"/>
      <c r="J1" s="79"/>
      <c r="K1" s="79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48"/>
      <c r="J2" s="80" t="str">
        <f> VLOOKUP($E$3,'_MasterData'!B4:D1000,3,FALSE)</f>
        <v>#N/A</v>
      </c>
      <c r="K2" s="8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81"/>
      <c r="J3" s="81"/>
      <c r="K3" s="8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51" t="str">
        <f>IFERROR(__xludf.DUMMYFUNCTION("""COMPUTED_VALUE"""),"Split")</f>
        <v>Split</v>
      </c>
      <c r="J4" s="51" t="str">
        <f>IFERROR(__xludf.DUMMYFUNCTION("""COMPUTED_VALUE"""),"StockDividend")</f>
        <v>StockDividend</v>
      </c>
      <c r="K4" s="51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52" t="str">
        <f>IFERROR(__xludf.DUMMYFUNCTION("""COMPUTED_VALUE"""),"Trade Date")</f>
        <v>Trade Date</v>
      </c>
      <c r="J5" s="52" t="str">
        <f>IFERROR(__xludf.DUMMYFUNCTION("""COMPUTED_VALUE"""),"Process Date")</f>
        <v>Process Date</v>
      </c>
      <c r="K5" s="52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82" t="s">
        <v>24</v>
      </c>
      <c r="C6" s="82" t="s">
        <v>28</v>
      </c>
      <c r="D6" s="82" t="s">
        <v>25</v>
      </c>
      <c r="E6" s="82" t="s">
        <v>16</v>
      </c>
      <c r="F6" s="83">
        <v>70.0</v>
      </c>
      <c r="G6" s="83">
        <v>105.0</v>
      </c>
      <c r="H6" s="83">
        <v>10.0</v>
      </c>
      <c r="I6" s="84">
        <v>43871.0</v>
      </c>
      <c r="J6" s="84">
        <v>43871.0</v>
      </c>
      <c r="K6" s="84">
        <v>43871.0</v>
      </c>
      <c r="L6" s="85"/>
      <c r="M6" s="82"/>
      <c r="N6" s="83">
        <v>1.1</v>
      </c>
      <c r="O6" s="82" t="s">
        <v>20</v>
      </c>
      <c r="P6" s="83">
        <v>0.0</v>
      </c>
      <c r="Q6" s="83">
        <v>7340.0</v>
      </c>
      <c r="R6" s="83">
        <v>8074.0</v>
      </c>
      <c r="S6" s="82" t="s">
        <v>69</v>
      </c>
    </row>
    <row r="7" ht="15.75" customHeight="1">
      <c r="A7" s="8"/>
      <c r="B7" s="82" t="s">
        <v>24</v>
      </c>
      <c r="C7" s="82" t="s">
        <v>28</v>
      </c>
      <c r="D7" s="82" t="s">
        <v>70</v>
      </c>
      <c r="E7" s="82" t="s">
        <v>16</v>
      </c>
      <c r="F7" s="83">
        <v>69.9047619</v>
      </c>
      <c r="G7" s="83">
        <v>105.0</v>
      </c>
      <c r="H7" s="83">
        <v>0.0</v>
      </c>
      <c r="I7" s="84">
        <v>43873.0</v>
      </c>
      <c r="J7" s="84">
        <v>43873.0</v>
      </c>
      <c r="K7" s="84">
        <v>43873.0</v>
      </c>
      <c r="L7" s="85"/>
      <c r="M7" s="86"/>
      <c r="N7" s="83">
        <v>1.1</v>
      </c>
      <c r="O7" s="82" t="s">
        <v>20</v>
      </c>
      <c r="P7" s="83">
        <v>0.0</v>
      </c>
      <c r="Q7" s="83">
        <v>7340.0</v>
      </c>
      <c r="R7" s="83">
        <v>8074.0</v>
      </c>
      <c r="S7" s="82" t="s">
        <v>71</v>
      </c>
    </row>
    <row r="8" ht="15.75" customHeight="1">
      <c r="A8" s="8"/>
      <c r="B8" s="82" t="s">
        <v>24</v>
      </c>
      <c r="C8" s="82" t="s">
        <v>28</v>
      </c>
      <c r="D8" s="82" t="s">
        <v>25</v>
      </c>
      <c r="E8" s="82" t="s">
        <v>16</v>
      </c>
      <c r="F8" s="83">
        <v>43.69047619</v>
      </c>
      <c r="G8" s="83">
        <v>105.0</v>
      </c>
      <c r="H8" s="83">
        <v>0.0</v>
      </c>
      <c r="I8" s="84">
        <v>43873.0</v>
      </c>
      <c r="J8" s="84">
        <v>43873.0</v>
      </c>
      <c r="K8" s="84">
        <v>43871.0</v>
      </c>
      <c r="L8" s="85"/>
      <c r="M8" s="86"/>
      <c r="N8" s="83">
        <v>1.1</v>
      </c>
      <c r="O8" s="82" t="s">
        <v>20</v>
      </c>
      <c r="P8" s="83">
        <v>70.0</v>
      </c>
      <c r="Q8" s="83">
        <v>4587.5</v>
      </c>
      <c r="R8" s="83">
        <v>5046.25</v>
      </c>
      <c r="S8" s="82" t="s">
        <v>69</v>
      </c>
    </row>
    <row r="9" ht="15.75" customHeight="1">
      <c r="A9" s="8"/>
      <c r="B9" s="82" t="s">
        <v>66</v>
      </c>
      <c r="C9" s="82" t="s">
        <v>28</v>
      </c>
      <c r="D9" s="82" t="s">
        <v>25</v>
      </c>
      <c r="E9" s="82" t="s">
        <v>16</v>
      </c>
      <c r="F9" s="83">
        <v>80.95588235</v>
      </c>
      <c r="G9" s="83">
        <v>34.0</v>
      </c>
      <c r="H9" s="83">
        <v>0.0</v>
      </c>
      <c r="I9" s="84">
        <v>43873.0</v>
      </c>
      <c r="J9" s="84">
        <v>43873.0</v>
      </c>
      <c r="K9" s="84">
        <v>43871.0</v>
      </c>
      <c r="L9" s="85"/>
      <c r="M9" s="86"/>
      <c r="N9" s="83">
        <v>1.1</v>
      </c>
      <c r="O9" s="82" t="s">
        <v>20</v>
      </c>
      <c r="P9" s="83">
        <v>79.43722944</v>
      </c>
      <c r="Q9" s="83">
        <v>2752.5</v>
      </c>
      <c r="R9" s="83">
        <v>3027.75</v>
      </c>
      <c r="S9" s="82" t="s">
        <v>69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48"/>
      <c r="J10" s="48"/>
      <c r="K10" s="4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48"/>
      <c r="J11" s="48"/>
      <c r="K11" s="4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48"/>
      <c r="J12" s="48"/>
      <c r="K12" s="4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48"/>
      <c r="J13" s="48"/>
      <c r="K13" s="4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48"/>
      <c r="J14" s="48"/>
      <c r="K14" s="4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48"/>
      <c r="J15" s="48"/>
      <c r="K15" s="4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48"/>
      <c r="J16" s="48"/>
      <c r="K16" s="4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48"/>
      <c r="J17" s="48"/>
      <c r="K17" s="4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48"/>
      <c r="J18" s="48"/>
      <c r="K18" s="4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48"/>
      <c r="J19" s="48"/>
      <c r="K19" s="4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48"/>
      <c r="J20" s="48"/>
      <c r="K20" s="4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48"/>
      <c r="J21" s="48"/>
      <c r="K21" s="4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48"/>
      <c r="J22" s="48"/>
      <c r="K22" s="4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48"/>
      <c r="J23" s="48"/>
      <c r="K23" s="4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48"/>
      <c r="J24" s="48"/>
      <c r="K24" s="4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48"/>
      <c r="J25" s="48"/>
      <c r="K25" s="4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48"/>
      <c r="J26" s="48"/>
      <c r="K26" s="48"/>
      <c r="L26" s="8"/>
      <c r="M26" s="8"/>
      <c r="N26" s="8"/>
      <c r="O26" s="8"/>
    </row>
    <row r="27" ht="15.75" customHeight="1">
      <c r="I27" s="53"/>
      <c r="J27" s="53"/>
      <c r="K27" s="53"/>
    </row>
    <row r="28" ht="15.75" customHeight="1">
      <c r="I28" s="53"/>
      <c r="J28" s="53"/>
      <c r="K28" s="53"/>
    </row>
    <row r="29" ht="15.75" customHeight="1">
      <c r="I29" s="53"/>
      <c r="J29" s="53"/>
      <c r="K29" s="53"/>
    </row>
    <row r="30" ht="15.75" customHeight="1">
      <c r="I30" s="53"/>
      <c r="J30" s="53"/>
      <c r="K30" s="53"/>
    </row>
    <row r="31" ht="15.75" customHeight="1">
      <c r="I31" s="53"/>
      <c r="J31" s="53"/>
      <c r="K31" s="53"/>
    </row>
    <row r="32" ht="15.75" customHeight="1">
      <c r="I32" s="53"/>
      <c r="J32" s="53"/>
      <c r="K32" s="53"/>
    </row>
    <row r="33" ht="15.75" customHeight="1">
      <c r="I33" s="53"/>
      <c r="J33" s="53"/>
      <c r="K33" s="53"/>
    </row>
    <row r="34" ht="15.75" customHeight="1">
      <c r="I34" s="53"/>
      <c r="J34" s="53"/>
      <c r="K34" s="53"/>
    </row>
    <row r="35" ht="15.75" customHeight="1">
      <c r="I35" s="53"/>
      <c r="J35" s="53"/>
      <c r="K35" s="53"/>
    </row>
    <row r="36" ht="15.75" customHeight="1">
      <c r="I36" s="53"/>
      <c r="J36" s="53"/>
      <c r="K36" s="53"/>
    </row>
    <row r="37" ht="15.75" customHeight="1">
      <c r="I37" s="53"/>
      <c r="J37" s="53"/>
      <c r="K37" s="53"/>
    </row>
    <row r="38" ht="15.75" customHeight="1">
      <c r="I38" s="53"/>
      <c r="J38" s="53"/>
      <c r="K38" s="53"/>
    </row>
    <row r="39" ht="15.75" customHeight="1">
      <c r="I39" s="53"/>
      <c r="J39" s="53"/>
      <c r="K39" s="53"/>
    </row>
    <row r="40" ht="15.75" customHeight="1">
      <c r="I40" s="53"/>
      <c r="J40" s="53"/>
      <c r="K40" s="53"/>
    </row>
    <row r="41" ht="15.75" customHeight="1">
      <c r="I41" s="53"/>
      <c r="J41" s="53"/>
      <c r="K41" s="53"/>
    </row>
    <row r="42" ht="15.75" customHeight="1">
      <c r="I42" s="53"/>
      <c r="J42" s="53"/>
      <c r="K42" s="53"/>
    </row>
    <row r="43" ht="15.75" customHeight="1">
      <c r="I43" s="53"/>
      <c r="J43" s="53"/>
      <c r="K43" s="53"/>
    </row>
    <row r="44" ht="15.75" customHeight="1">
      <c r="I44" s="53"/>
      <c r="J44" s="53"/>
      <c r="K44" s="53"/>
    </row>
    <row r="45" ht="15.75" customHeight="1">
      <c r="I45" s="53"/>
      <c r="J45" s="53"/>
      <c r="K45" s="53"/>
    </row>
    <row r="46" ht="15.75" customHeight="1">
      <c r="I46" s="53"/>
      <c r="J46" s="53"/>
      <c r="K46" s="53"/>
    </row>
    <row r="47" ht="15.75" customHeight="1">
      <c r="I47" s="53"/>
      <c r="J47" s="53"/>
      <c r="K47" s="53"/>
    </row>
    <row r="48" ht="15.75" customHeight="1">
      <c r="I48" s="53"/>
      <c r="J48" s="53"/>
      <c r="K48" s="53"/>
    </row>
    <row r="49" ht="15.75" customHeight="1">
      <c r="I49" s="53"/>
      <c r="J49" s="53"/>
      <c r="K49" s="53"/>
    </row>
    <row r="50" ht="15.75" customHeight="1">
      <c r="I50" s="53"/>
      <c r="J50" s="53"/>
      <c r="K50" s="53"/>
    </row>
    <row r="51" ht="15.75" customHeight="1">
      <c r="I51" s="53"/>
      <c r="J51" s="53"/>
      <c r="K51" s="53"/>
    </row>
    <row r="52" ht="15.75" customHeight="1">
      <c r="I52" s="53"/>
      <c r="J52" s="53"/>
      <c r="K52" s="53"/>
    </row>
    <row r="53" ht="15.75" customHeight="1">
      <c r="I53" s="53"/>
      <c r="J53" s="53"/>
      <c r="K53" s="53"/>
    </row>
    <row r="54" ht="15.75" customHeight="1">
      <c r="I54" s="53"/>
      <c r="J54" s="53"/>
      <c r="K54" s="53"/>
    </row>
    <row r="55" ht="15.75" customHeight="1">
      <c r="I55" s="53"/>
      <c r="J55" s="53"/>
      <c r="K55" s="53"/>
    </row>
    <row r="56" ht="15.75" customHeight="1">
      <c r="I56" s="53"/>
      <c r="J56" s="53"/>
      <c r="K56" s="53"/>
    </row>
    <row r="57" ht="15.75" customHeight="1">
      <c r="I57" s="53"/>
      <c r="J57" s="53"/>
      <c r="K57" s="53"/>
    </row>
    <row r="58" ht="15.75" customHeight="1">
      <c r="I58" s="53"/>
      <c r="J58" s="53"/>
      <c r="K58" s="53"/>
    </row>
    <row r="59" ht="15.75" customHeight="1">
      <c r="I59" s="53"/>
      <c r="J59" s="53"/>
      <c r="K59" s="53"/>
    </row>
    <row r="60" ht="15.75" customHeight="1">
      <c r="I60" s="53"/>
      <c r="J60" s="53"/>
      <c r="K60" s="53"/>
    </row>
    <row r="61" ht="15.75" customHeight="1">
      <c r="I61" s="53"/>
      <c r="J61" s="53"/>
      <c r="K61" s="53"/>
    </row>
    <row r="62" ht="15.75" customHeight="1">
      <c r="I62" s="53"/>
      <c r="J62" s="53"/>
      <c r="K62" s="53"/>
    </row>
    <row r="63" ht="15.75" customHeight="1">
      <c r="I63" s="53"/>
      <c r="J63" s="53"/>
      <c r="K63" s="53"/>
    </row>
    <row r="64" ht="15.75" customHeight="1">
      <c r="I64" s="53"/>
      <c r="J64" s="53"/>
      <c r="K64" s="53"/>
    </row>
    <row r="65" ht="15.75" customHeight="1">
      <c r="I65" s="53"/>
      <c r="J65" s="53"/>
      <c r="K65" s="53"/>
    </row>
    <row r="66" ht="15.75" customHeight="1">
      <c r="I66" s="53"/>
      <c r="J66" s="53"/>
      <c r="K66" s="53"/>
    </row>
    <row r="67" ht="15.75" customHeight="1">
      <c r="I67" s="53"/>
      <c r="J67" s="53"/>
      <c r="K67" s="53"/>
    </row>
    <row r="68" ht="15.75" customHeight="1">
      <c r="I68" s="53"/>
      <c r="J68" s="53"/>
      <c r="K68" s="53"/>
    </row>
    <row r="69" ht="15.75" customHeight="1">
      <c r="I69" s="53"/>
      <c r="J69" s="53"/>
      <c r="K69" s="53"/>
    </row>
    <row r="70" ht="15.75" customHeight="1">
      <c r="I70" s="53"/>
      <c r="J70" s="53"/>
      <c r="K70" s="53"/>
    </row>
    <row r="71" ht="15.75" customHeight="1">
      <c r="I71" s="53"/>
      <c r="J71" s="53"/>
      <c r="K71" s="53"/>
    </row>
    <row r="72" ht="15.75" customHeight="1">
      <c r="I72" s="53"/>
      <c r="J72" s="53"/>
      <c r="K72" s="53"/>
    </row>
    <row r="73" ht="15.75" customHeight="1">
      <c r="I73" s="53"/>
      <c r="J73" s="53"/>
      <c r="K73" s="53"/>
    </row>
    <row r="74" ht="15.75" customHeight="1">
      <c r="I74" s="53"/>
      <c r="J74" s="53"/>
      <c r="K74" s="53"/>
    </row>
    <row r="75" ht="15.75" customHeight="1">
      <c r="I75" s="53"/>
      <c r="J75" s="53"/>
      <c r="K75" s="53"/>
    </row>
    <row r="76" ht="15.75" customHeight="1">
      <c r="I76" s="53"/>
      <c r="J76" s="53"/>
      <c r="K76" s="53"/>
    </row>
    <row r="77" ht="15.75" customHeight="1">
      <c r="I77" s="53"/>
      <c r="J77" s="53"/>
      <c r="K77" s="53"/>
    </row>
    <row r="78" ht="15.75" customHeight="1">
      <c r="I78" s="53"/>
      <c r="J78" s="53"/>
      <c r="K78" s="53"/>
    </row>
    <row r="79" ht="15.75" customHeight="1">
      <c r="I79" s="53"/>
      <c r="J79" s="53"/>
      <c r="K79" s="53"/>
    </row>
    <row r="80" ht="15.75" customHeight="1">
      <c r="I80" s="53"/>
      <c r="J80" s="53"/>
      <c r="K80" s="53"/>
    </row>
    <row r="81" ht="15.75" customHeight="1">
      <c r="I81" s="53"/>
      <c r="J81" s="53"/>
      <c r="K81" s="53"/>
    </row>
    <row r="82" ht="15.75" customHeight="1">
      <c r="I82" s="53"/>
      <c r="J82" s="53"/>
      <c r="K82" s="53"/>
    </row>
    <row r="83" ht="15.75" customHeight="1">
      <c r="I83" s="53"/>
      <c r="J83" s="53"/>
      <c r="K83" s="53"/>
    </row>
    <row r="84" ht="15.75" customHeight="1">
      <c r="I84" s="53"/>
      <c r="J84" s="53"/>
      <c r="K84" s="53"/>
    </row>
    <row r="85" ht="15.75" customHeight="1">
      <c r="I85" s="53"/>
      <c r="J85" s="53"/>
      <c r="K85" s="53"/>
    </row>
    <row r="86" ht="15.75" customHeight="1">
      <c r="I86" s="53"/>
      <c r="J86" s="53"/>
      <c r="K86" s="53"/>
    </row>
    <row r="87" ht="15.75" customHeight="1">
      <c r="I87" s="53"/>
      <c r="J87" s="53"/>
      <c r="K87" s="53"/>
    </row>
    <row r="88" ht="15.75" customHeight="1">
      <c r="I88" s="53"/>
      <c r="J88" s="53"/>
      <c r="K88" s="53"/>
    </row>
    <row r="89" ht="15.75" customHeight="1">
      <c r="I89" s="53"/>
      <c r="J89" s="53"/>
      <c r="K89" s="53"/>
    </row>
    <row r="90" ht="15.75" customHeight="1">
      <c r="I90" s="53"/>
      <c r="J90" s="53"/>
      <c r="K90" s="53"/>
    </row>
    <row r="91" ht="15.75" customHeight="1">
      <c r="I91" s="53"/>
      <c r="J91" s="53"/>
      <c r="K91" s="53"/>
    </row>
    <row r="92" ht="15.75" customHeight="1">
      <c r="I92" s="53"/>
      <c r="J92" s="53"/>
      <c r="K92" s="53"/>
    </row>
    <row r="93" ht="15.75" customHeight="1">
      <c r="I93" s="53"/>
      <c r="J93" s="53"/>
      <c r="K93" s="53"/>
    </row>
    <row r="94" ht="15.75" customHeight="1">
      <c r="I94" s="53"/>
      <c r="J94" s="53"/>
      <c r="K94" s="53"/>
    </row>
    <row r="95" ht="15.75" customHeight="1">
      <c r="I95" s="53"/>
      <c r="J95" s="53"/>
      <c r="K95" s="53"/>
    </row>
    <row r="96" ht="15.75" customHeight="1">
      <c r="I96" s="53"/>
      <c r="J96" s="53"/>
      <c r="K96" s="53"/>
    </row>
    <row r="97" ht="15.75" customHeight="1">
      <c r="I97" s="53"/>
      <c r="J97" s="53"/>
      <c r="K97" s="53"/>
    </row>
    <row r="98" ht="15.75" customHeight="1">
      <c r="I98" s="53"/>
      <c r="J98" s="53"/>
      <c r="K98" s="53"/>
    </row>
    <row r="99" ht="15.75" customHeight="1">
      <c r="I99" s="53"/>
      <c r="J99" s="53"/>
      <c r="K99" s="53"/>
    </row>
    <row r="100" ht="15.75" customHeight="1">
      <c r="I100" s="53"/>
      <c r="J100" s="53"/>
      <c r="K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0">
        <v>43873.0</v>
      </c>
      <c r="C6" s="40">
        <v>43873.0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28</v>
      </c>
      <c r="C6" s="47" t="s">
        <v>18</v>
      </c>
      <c r="D6" s="46"/>
      <c r="E6" s="35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0">
        <v>43873.0</v>
      </c>
      <c r="C6" s="40">
        <v>43873.0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87" t="s">
        <v>24</v>
      </c>
      <c r="C6" s="35">
        <v>85.0</v>
      </c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8" t="s">
        <v>66</v>
      </c>
      <c r="C7" s="37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47" t="s">
        <v>16</v>
      </c>
      <c r="D6" s="40">
        <v>43873.0</v>
      </c>
      <c r="E6" s="45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1" t="s">
        <v>16</v>
      </c>
      <c r="D6" s="40">
        <v>43871.0</v>
      </c>
      <c r="E6" s="40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5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9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51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2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4">
        <v>43871.0</v>
      </c>
      <c r="C6" s="56" t="s">
        <v>16</v>
      </c>
      <c r="D6" s="56" t="s">
        <v>24</v>
      </c>
      <c r="E6" s="56" t="s">
        <v>28</v>
      </c>
      <c r="F6" s="56" t="s">
        <v>45</v>
      </c>
      <c r="G6" s="57">
        <v>7340.0</v>
      </c>
      <c r="H6" s="58">
        <v>0.0</v>
      </c>
      <c r="I6" s="59"/>
      <c r="J6" s="59"/>
      <c r="K6" s="56"/>
      <c r="L6" s="57">
        <v>1.1</v>
      </c>
      <c r="M6" s="56" t="s">
        <v>20</v>
      </c>
      <c r="N6" s="56" t="s">
        <v>39</v>
      </c>
      <c r="O6" s="56" t="s">
        <v>40</v>
      </c>
      <c r="P6" s="56" t="s">
        <v>18</v>
      </c>
      <c r="Q6" s="56" t="s">
        <v>46</v>
      </c>
      <c r="R6" s="57">
        <v>8074.0</v>
      </c>
      <c r="S6" s="57">
        <v>0.0</v>
      </c>
    </row>
    <row r="7" ht="15.75" customHeight="1">
      <c r="A7" s="8"/>
      <c r="B7" s="64">
        <v>43871.0</v>
      </c>
      <c r="C7" s="56" t="s">
        <v>16</v>
      </c>
      <c r="D7" s="56" t="s">
        <v>24</v>
      </c>
      <c r="E7" s="56" t="s">
        <v>28</v>
      </c>
      <c r="F7" s="60" t="s">
        <v>19</v>
      </c>
      <c r="G7" s="61">
        <v>0.0</v>
      </c>
      <c r="H7" s="62">
        <v>7340.0</v>
      </c>
      <c r="I7" s="63"/>
      <c r="J7" s="63"/>
      <c r="K7" s="60"/>
      <c r="L7" s="62">
        <v>1.1</v>
      </c>
      <c r="M7" s="60" t="s">
        <v>20</v>
      </c>
      <c r="N7" s="60" t="s">
        <v>43</v>
      </c>
      <c r="O7" s="60" t="s">
        <v>40</v>
      </c>
      <c r="P7" s="60" t="s">
        <v>18</v>
      </c>
      <c r="Q7" s="56" t="s">
        <v>46</v>
      </c>
      <c r="R7" s="62">
        <v>0.0</v>
      </c>
      <c r="S7" s="62">
        <v>8074.0</v>
      </c>
    </row>
    <row r="8" ht="15.75" customHeight="1">
      <c r="A8" s="8"/>
      <c r="B8" s="64">
        <v>43871.0</v>
      </c>
      <c r="C8" s="56" t="s">
        <v>16</v>
      </c>
      <c r="D8" s="56" t="s">
        <v>24</v>
      </c>
      <c r="E8" s="56" t="s">
        <v>28</v>
      </c>
      <c r="F8" s="56" t="s">
        <v>19</v>
      </c>
      <c r="G8" s="57">
        <v>7340.0</v>
      </c>
      <c r="H8" s="58">
        <v>0.0</v>
      </c>
      <c r="I8" s="59"/>
      <c r="J8" s="59"/>
      <c r="K8" s="56"/>
      <c r="L8" s="57">
        <v>1.5</v>
      </c>
      <c r="M8" s="56" t="s">
        <v>20</v>
      </c>
      <c r="N8" s="56" t="s">
        <v>39</v>
      </c>
      <c r="O8" s="56" t="s">
        <v>40</v>
      </c>
      <c r="P8" s="56" t="s">
        <v>18</v>
      </c>
      <c r="Q8" s="56" t="s">
        <v>47</v>
      </c>
      <c r="R8" s="57">
        <v>11010.0</v>
      </c>
      <c r="S8" s="57">
        <v>0.0</v>
      </c>
    </row>
    <row r="9" ht="15.75" customHeight="1">
      <c r="A9" s="8"/>
      <c r="B9" s="64">
        <v>43871.0</v>
      </c>
      <c r="C9" s="56" t="s">
        <v>16</v>
      </c>
      <c r="D9" s="56" t="s">
        <v>24</v>
      </c>
      <c r="E9" s="56" t="s">
        <v>28</v>
      </c>
      <c r="F9" s="60" t="s">
        <v>45</v>
      </c>
      <c r="G9" s="61">
        <v>0.0</v>
      </c>
      <c r="H9" s="62">
        <v>7340.0</v>
      </c>
      <c r="I9" s="63"/>
      <c r="J9" s="63"/>
      <c r="K9" s="60"/>
      <c r="L9" s="62">
        <v>1.5</v>
      </c>
      <c r="M9" s="60" t="s">
        <v>20</v>
      </c>
      <c r="N9" s="60" t="s">
        <v>43</v>
      </c>
      <c r="O9" s="60" t="s">
        <v>40</v>
      </c>
      <c r="P9" s="60" t="s">
        <v>18</v>
      </c>
      <c r="Q9" s="56" t="s">
        <v>47</v>
      </c>
      <c r="R9" s="62">
        <v>0.0</v>
      </c>
      <c r="S9" s="62">
        <v>11010.0</v>
      </c>
    </row>
    <row r="10" ht="15.75" customHeight="1">
      <c r="A10" s="8"/>
      <c r="B10" s="55">
        <v>43872.0</v>
      </c>
      <c r="C10" s="56" t="s">
        <v>16</v>
      </c>
      <c r="D10" s="56" t="s">
        <v>24</v>
      </c>
      <c r="E10" s="56" t="s">
        <v>28</v>
      </c>
      <c r="F10" s="56" t="s">
        <v>38</v>
      </c>
      <c r="G10" s="57">
        <v>1060.0</v>
      </c>
      <c r="H10" s="58">
        <v>0.0</v>
      </c>
      <c r="I10" s="59"/>
      <c r="J10" s="59"/>
      <c r="K10" s="56"/>
      <c r="L10" s="57">
        <v>2.0</v>
      </c>
      <c r="M10" s="56" t="s">
        <v>20</v>
      </c>
      <c r="N10" s="56" t="s">
        <v>39</v>
      </c>
      <c r="O10" s="56" t="s">
        <v>40</v>
      </c>
      <c r="P10" s="56" t="s">
        <v>18</v>
      </c>
      <c r="Q10" s="56" t="s">
        <v>41</v>
      </c>
      <c r="R10" s="57">
        <v>2120.0</v>
      </c>
      <c r="S10" s="57">
        <v>0.0</v>
      </c>
    </row>
    <row r="11" ht="15.75" customHeight="1">
      <c r="A11" s="8"/>
      <c r="B11" s="55">
        <v>43872.0</v>
      </c>
      <c r="C11" s="56" t="s">
        <v>16</v>
      </c>
      <c r="D11" s="56" t="s">
        <v>24</v>
      </c>
      <c r="E11" s="56" t="s">
        <v>28</v>
      </c>
      <c r="F11" s="60" t="s">
        <v>42</v>
      </c>
      <c r="G11" s="61">
        <v>0.0</v>
      </c>
      <c r="H11" s="62">
        <v>1060.0</v>
      </c>
      <c r="I11" s="63"/>
      <c r="J11" s="63"/>
      <c r="K11" s="60"/>
      <c r="L11" s="62">
        <v>2.0</v>
      </c>
      <c r="M11" s="60" t="s">
        <v>20</v>
      </c>
      <c r="N11" s="60" t="s">
        <v>43</v>
      </c>
      <c r="O11" s="60" t="s">
        <v>40</v>
      </c>
      <c r="P11" s="60" t="s">
        <v>18</v>
      </c>
      <c r="Q11" s="56" t="s">
        <v>41</v>
      </c>
      <c r="R11" s="62">
        <v>0.0</v>
      </c>
      <c r="S11" s="62">
        <v>2120.0</v>
      </c>
    </row>
    <row r="12" ht="15.75" customHeight="1">
      <c r="A12" s="8"/>
      <c r="B12" s="55">
        <v>43872.0</v>
      </c>
      <c r="C12" s="56" t="s">
        <v>16</v>
      </c>
      <c r="D12" s="56" t="s">
        <v>28</v>
      </c>
      <c r="E12" s="56" t="s">
        <v>18</v>
      </c>
      <c r="F12" s="56" t="s">
        <v>38</v>
      </c>
      <c r="G12" s="57">
        <v>6606.0</v>
      </c>
      <c r="H12" s="58">
        <v>0.0</v>
      </c>
      <c r="I12" s="59"/>
      <c r="J12" s="59"/>
      <c r="K12" s="56"/>
      <c r="L12" s="57">
        <v>1.0</v>
      </c>
      <c r="M12" s="56" t="s">
        <v>20</v>
      </c>
      <c r="N12" s="56" t="s">
        <v>39</v>
      </c>
      <c r="O12" s="56" t="s">
        <v>40</v>
      </c>
      <c r="P12" s="56" t="s">
        <v>18</v>
      </c>
      <c r="Q12" s="56" t="s">
        <v>41</v>
      </c>
      <c r="R12" s="57">
        <v>6606.0</v>
      </c>
      <c r="S12" s="57">
        <v>0.0</v>
      </c>
    </row>
    <row r="13" ht="15.75" customHeight="1">
      <c r="A13" s="8"/>
      <c r="B13" s="55">
        <v>43872.0</v>
      </c>
      <c r="C13" s="56" t="s">
        <v>16</v>
      </c>
      <c r="D13" s="56" t="s">
        <v>28</v>
      </c>
      <c r="E13" s="56" t="s">
        <v>18</v>
      </c>
      <c r="F13" s="60" t="s">
        <v>42</v>
      </c>
      <c r="G13" s="61">
        <v>0.0</v>
      </c>
      <c r="H13" s="62">
        <v>6606.0</v>
      </c>
      <c r="I13" s="63"/>
      <c r="J13" s="63"/>
      <c r="K13" s="60"/>
      <c r="L13" s="62">
        <v>1.0</v>
      </c>
      <c r="M13" s="60" t="s">
        <v>20</v>
      </c>
      <c r="N13" s="60" t="s">
        <v>43</v>
      </c>
      <c r="O13" s="60" t="s">
        <v>40</v>
      </c>
      <c r="P13" s="60" t="s">
        <v>18</v>
      </c>
      <c r="Q13" s="56" t="s">
        <v>41</v>
      </c>
      <c r="R13" s="62">
        <v>0.0</v>
      </c>
      <c r="S13" s="62">
        <v>6606.0</v>
      </c>
    </row>
    <row r="14" ht="15.75" customHeight="1">
      <c r="A14" s="8"/>
      <c r="B14" s="55">
        <v>43872.0</v>
      </c>
      <c r="C14" s="56" t="s">
        <v>16</v>
      </c>
      <c r="D14" s="56" t="s">
        <v>24</v>
      </c>
      <c r="E14" s="56" t="s">
        <v>28</v>
      </c>
      <c r="F14" s="56" t="s">
        <v>42</v>
      </c>
      <c r="G14" s="57">
        <v>535.0</v>
      </c>
      <c r="H14" s="58">
        <v>0.0</v>
      </c>
      <c r="I14" s="59"/>
      <c r="J14" s="59"/>
      <c r="K14" s="56"/>
      <c r="L14" s="57">
        <v>1.5</v>
      </c>
      <c r="M14" s="56" t="s">
        <v>20</v>
      </c>
      <c r="N14" s="56" t="s">
        <v>39</v>
      </c>
      <c r="O14" s="56" t="s">
        <v>40</v>
      </c>
      <c r="P14" s="56" t="s">
        <v>18</v>
      </c>
      <c r="Q14" s="56" t="s">
        <v>44</v>
      </c>
      <c r="R14" s="57">
        <v>802.5</v>
      </c>
      <c r="S14" s="57">
        <v>0.0</v>
      </c>
    </row>
    <row r="15" ht="15.75" customHeight="1">
      <c r="A15" s="8"/>
      <c r="B15" s="55">
        <v>43872.0</v>
      </c>
      <c r="C15" s="56" t="s">
        <v>16</v>
      </c>
      <c r="D15" s="56" t="s">
        <v>24</v>
      </c>
      <c r="E15" s="56" t="s">
        <v>28</v>
      </c>
      <c r="F15" s="60" t="s">
        <v>38</v>
      </c>
      <c r="G15" s="61">
        <v>0.0</v>
      </c>
      <c r="H15" s="62">
        <v>535.0</v>
      </c>
      <c r="I15" s="63"/>
      <c r="J15" s="63"/>
      <c r="K15" s="60"/>
      <c r="L15" s="62">
        <v>1.5</v>
      </c>
      <c r="M15" s="60" t="s">
        <v>20</v>
      </c>
      <c r="N15" s="60" t="s">
        <v>43</v>
      </c>
      <c r="O15" s="60" t="s">
        <v>40</v>
      </c>
      <c r="P15" s="60" t="s">
        <v>18</v>
      </c>
      <c r="Q15" s="56" t="s">
        <v>44</v>
      </c>
      <c r="R15" s="62">
        <v>0.0</v>
      </c>
      <c r="S15" s="62">
        <v>802.5</v>
      </c>
    </row>
    <row r="16" ht="15.75" customHeight="1">
      <c r="A16" s="8"/>
      <c r="B16" s="55">
        <v>43872.0</v>
      </c>
      <c r="C16" s="56" t="s">
        <v>16</v>
      </c>
      <c r="D16" s="56" t="s">
        <v>28</v>
      </c>
      <c r="E16" s="56" t="s">
        <v>18</v>
      </c>
      <c r="F16" s="56" t="s">
        <v>42</v>
      </c>
      <c r="G16" s="57">
        <v>2936.0</v>
      </c>
      <c r="H16" s="58">
        <v>0.0</v>
      </c>
      <c r="I16" s="59"/>
      <c r="J16" s="59"/>
      <c r="K16" s="56"/>
      <c r="L16" s="57">
        <v>1.0</v>
      </c>
      <c r="M16" s="56" t="s">
        <v>20</v>
      </c>
      <c r="N16" s="56" t="s">
        <v>39</v>
      </c>
      <c r="O16" s="56" t="s">
        <v>40</v>
      </c>
      <c r="P16" s="56" t="s">
        <v>18</v>
      </c>
      <c r="Q16" s="56" t="s">
        <v>44</v>
      </c>
      <c r="R16" s="57">
        <v>2936.0</v>
      </c>
      <c r="S16" s="57">
        <v>0.0</v>
      </c>
    </row>
    <row r="17" ht="15.75" customHeight="1">
      <c r="A17" s="8"/>
      <c r="B17" s="55">
        <v>43872.0</v>
      </c>
      <c r="C17" s="56" t="s">
        <v>16</v>
      </c>
      <c r="D17" s="56" t="s">
        <v>28</v>
      </c>
      <c r="E17" s="56" t="s">
        <v>18</v>
      </c>
      <c r="F17" s="60" t="s">
        <v>38</v>
      </c>
      <c r="G17" s="61">
        <v>0.0</v>
      </c>
      <c r="H17" s="62">
        <v>2936.0</v>
      </c>
      <c r="I17" s="63"/>
      <c r="J17" s="63"/>
      <c r="K17" s="60"/>
      <c r="L17" s="62">
        <v>1.0</v>
      </c>
      <c r="M17" s="60" t="s">
        <v>20</v>
      </c>
      <c r="N17" s="60" t="s">
        <v>43</v>
      </c>
      <c r="O17" s="60" t="s">
        <v>40</v>
      </c>
      <c r="P17" s="60" t="s">
        <v>18</v>
      </c>
      <c r="Q17" s="56" t="s">
        <v>44</v>
      </c>
      <c r="R17" s="62">
        <v>0.0</v>
      </c>
      <c r="S17" s="62">
        <v>2936.0</v>
      </c>
    </row>
    <row r="18" ht="15.75" customHeight="1">
      <c r="A18" s="8"/>
      <c r="B18" s="55">
        <v>43873.0</v>
      </c>
      <c r="C18" s="56" t="s">
        <v>16</v>
      </c>
      <c r="D18" s="56" t="s">
        <v>24</v>
      </c>
      <c r="E18" s="56" t="s">
        <v>28</v>
      </c>
      <c r="F18" s="56" t="s">
        <v>38</v>
      </c>
      <c r="G18" s="57">
        <v>4337.5</v>
      </c>
      <c r="H18" s="58">
        <v>0.0</v>
      </c>
      <c r="I18" s="59"/>
      <c r="J18" s="59"/>
      <c r="K18" s="56"/>
      <c r="L18" s="57">
        <v>2.5</v>
      </c>
      <c r="M18" s="56" t="s">
        <v>20</v>
      </c>
      <c r="N18" s="56" t="s">
        <v>39</v>
      </c>
      <c r="O18" s="56" t="s">
        <v>40</v>
      </c>
      <c r="P18" s="56" t="s">
        <v>18</v>
      </c>
      <c r="Q18" s="56" t="s">
        <v>41</v>
      </c>
      <c r="R18" s="57">
        <v>10843.75</v>
      </c>
      <c r="S18" s="57">
        <v>0.0</v>
      </c>
    </row>
    <row r="19" ht="15.75" customHeight="1">
      <c r="A19" s="8"/>
      <c r="B19" s="55">
        <v>43873.0</v>
      </c>
      <c r="C19" s="56" t="s">
        <v>16</v>
      </c>
      <c r="D19" s="56" t="s">
        <v>24</v>
      </c>
      <c r="E19" s="56" t="s">
        <v>28</v>
      </c>
      <c r="F19" s="60" t="s">
        <v>42</v>
      </c>
      <c r="G19" s="61">
        <v>0.0</v>
      </c>
      <c r="H19" s="62">
        <v>4337.5</v>
      </c>
      <c r="I19" s="63"/>
      <c r="J19" s="63"/>
      <c r="K19" s="60"/>
      <c r="L19" s="62">
        <v>2.5</v>
      </c>
      <c r="M19" s="60" t="s">
        <v>20</v>
      </c>
      <c r="N19" s="60" t="s">
        <v>43</v>
      </c>
      <c r="O19" s="60" t="s">
        <v>40</v>
      </c>
      <c r="P19" s="60" t="s">
        <v>18</v>
      </c>
      <c r="Q19" s="56" t="s">
        <v>41</v>
      </c>
      <c r="R19" s="62">
        <v>0.0</v>
      </c>
      <c r="S19" s="62">
        <v>10843.75</v>
      </c>
    </row>
    <row r="20" ht="15.75" customHeight="1">
      <c r="A20" s="8"/>
      <c r="B20" s="55">
        <v>43873.0</v>
      </c>
      <c r="C20" s="56" t="s">
        <v>16</v>
      </c>
      <c r="D20" s="56" t="s">
        <v>28</v>
      </c>
      <c r="E20" s="56" t="s">
        <v>18</v>
      </c>
      <c r="F20" s="56" t="s">
        <v>38</v>
      </c>
      <c r="G20" s="57">
        <v>10276.0</v>
      </c>
      <c r="H20" s="58">
        <v>0.0</v>
      </c>
      <c r="I20" s="59"/>
      <c r="J20" s="59"/>
      <c r="K20" s="56"/>
      <c r="L20" s="57">
        <v>1.0</v>
      </c>
      <c r="M20" s="56" t="s">
        <v>20</v>
      </c>
      <c r="N20" s="56" t="s">
        <v>39</v>
      </c>
      <c r="O20" s="56" t="s">
        <v>40</v>
      </c>
      <c r="P20" s="56" t="s">
        <v>18</v>
      </c>
      <c r="Q20" s="56" t="s">
        <v>41</v>
      </c>
      <c r="R20" s="57">
        <v>10276.0</v>
      </c>
      <c r="S20" s="57">
        <v>0.0</v>
      </c>
    </row>
    <row r="21" ht="15.75" customHeight="1">
      <c r="A21" s="8"/>
      <c r="B21" s="55">
        <v>43873.0</v>
      </c>
      <c r="C21" s="56" t="s">
        <v>16</v>
      </c>
      <c r="D21" s="56" t="s">
        <v>28</v>
      </c>
      <c r="E21" s="56" t="s">
        <v>18</v>
      </c>
      <c r="F21" s="60" t="s">
        <v>42</v>
      </c>
      <c r="G21" s="61">
        <v>0.0</v>
      </c>
      <c r="H21" s="62">
        <v>10276.0</v>
      </c>
      <c r="I21" s="63"/>
      <c r="J21" s="63"/>
      <c r="K21" s="60"/>
      <c r="L21" s="62">
        <v>1.0</v>
      </c>
      <c r="M21" s="60" t="s">
        <v>20</v>
      </c>
      <c r="N21" s="60" t="s">
        <v>43</v>
      </c>
      <c r="O21" s="60" t="s">
        <v>40</v>
      </c>
      <c r="P21" s="60" t="s">
        <v>18</v>
      </c>
      <c r="Q21" s="56" t="s">
        <v>41</v>
      </c>
      <c r="R21" s="62">
        <v>0.0</v>
      </c>
      <c r="S21" s="62">
        <v>10276.0</v>
      </c>
    </row>
    <row r="22" ht="15.75" customHeight="1">
      <c r="A22" s="8"/>
      <c r="B22" s="55">
        <v>43873.0</v>
      </c>
      <c r="C22" s="56" t="s">
        <v>16</v>
      </c>
      <c r="D22" s="56" t="s">
        <v>66</v>
      </c>
      <c r="E22" s="56" t="s">
        <v>28</v>
      </c>
      <c r="F22" s="56" t="s">
        <v>38</v>
      </c>
      <c r="G22" s="57">
        <v>647.5</v>
      </c>
      <c r="H22" s="58">
        <v>0.0</v>
      </c>
      <c r="I22" s="59"/>
      <c r="J22" s="59"/>
      <c r="K22" s="56"/>
      <c r="L22" s="57">
        <v>2.5</v>
      </c>
      <c r="M22" s="56" t="s">
        <v>20</v>
      </c>
      <c r="N22" s="56" t="s">
        <v>39</v>
      </c>
      <c r="O22" s="56" t="s">
        <v>40</v>
      </c>
      <c r="P22" s="56" t="s">
        <v>18</v>
      </c>
      <c r="Q22" s="56" t="s">
        <v>41</v>
      </c>
      <c r="R22" s="57">
        <v>1618.75</v>
      </c>
      <c r="S22" s="57">
        <v>0.0</v>
      </c>
    </row>
    <row r="23" ht="15.75" customHeight="1">
      <c r="A23" s="8"/>
      <c r="B23" s="55">
        <v>43873.0</v>
      </c>
      <c r="C23" s="56" t="s">
        <v>16</v>
      </c>
      <c r="D23" s="56" t="s">
        <v>66</v>
      </c>
      <c r="E23" s="56" t="s">
        <v>28</v>
      </c>
      <c r="F23" s="60" t="s">
        <v>42</v>
      </c>
      <c r="G23" s="61">
        <v>0.0</v>
      </c>
      <c r="H23" s="62">
        <v>647.5</v>
      </c>
      <c r="I23" s="63"/>
      <c r="J23" s="63"/>
      <c r="K23" s="60"/>
      <c r="L23" s="62">
        <v>2.5</v>
      </c>
      <c r="M23" s="60" t="s">
        <v>20</v>
      </c>
      <c r="N23" s="60" t="s">
        <v>43</v>
      </c>
      <c r="O23" s="60" t="s">
        <v>40</v>
      </c>
      <c r="P23" s="60" t="s">
        <v>18</v>
      </c>
      <c r="Q23" s="56" t="s">
        <v>41</v>
      </c>
      <c r="R23" s="62">
        <v>0.0</v>
      </c>
      <c r="S23" s="62">
        <v>1618.75</v>
      </c>
    </row>
    <row r="24" ht="15.75" customHeight="1">
      <c r="A24" s="8"/>
      <c r="B24" s="55">
        <v>43873.0</v>
      </c>
      <c r="C24" s="56" t="s">
        <v>16</v>
      </c>
      <c r="D24" s="56" t="s">
        <v>24</v>
      </c>
      <c r="E24" s="56" t="s">
        <v>28</v>
      </c>
      <c r="F24" s="56" t="s">
        <v>42</v>
      </c>
      <c r="G24" s="57">
        <v>1060.0</v>
      </c>
      <c r="H24" s="58">
        <v>0.0</v>
      </c>
      <c r="I24" s="59"/>
      <c r="J24" s="59"/>
      <c r="K24" s="56"/>
      <c r="L24" s="57">
        <v>2.0</v>
      </c>
      <c r="M24" s="56" t="s">
        <v>20</v>
      </c>
      <c r="N24" s="56" t="s">
        <v>39</v>
      </c>
      <c r="O24" s="56" t="s">
        <v>40</v>
      </c>
      <c r="P24" s="56" t="s">
        <v>18</v>
      </c>
      <c r="Q24" s="56" t="s">
        <v>44</v>
      </c>
      <c r="R24" s="57">
        <v>2120.0</v>
      </c>
      <c r="S24" s="57">
        <v>0.0</v>
      </c>
    </row>
    <row r="25" ht="15.75" customHeight="1">
      <c r="A25" s="8"/>
      <c r="B25" s="55">
        <v>43873.0</v>
      </c>
      <c r="C25" s="56" t="s">
        <v>16</v>
      </c>
      <c r="D25" s="56" t="s">
        <v>24</v>
      </c>
      <c r="E25" s="56" t="s">
        <v>28</v>
      </c>
      <c r="F25" s="60" t="s">
        <v>38</v>
      </c>
      <c r="G25" s="61">
        <v>0.0</v>
      </c>
      <c r="H25" s="62">
        <v>1060.0</v>
      </c>
      <c r="I25" s="63"/>
      <c r="J25" s="63"/>
      <c r="K25" s="60"/>
      <c r="L25" s="62">
        <v>2.0</v>
      </c>
      <c r="M25" s="60" t="s">
        <v>20</v>
      </c>
      <c r="N25" s="60" t="s">
        <v>43</v>
      </c>
      <c r="O25" s="60" t="s">
        <v>40</v>
      </c>
      <c r="P25" s="60" t="s">
        <v>18</v>
      </c>
      <c r="Q25" s="56" t="s">
        <v>44</v>
      </c>
      <c r="R25" s="62">
        <v>0.0</v>
      </c>
      <c r="S25" s="62">
        <v>2120.0</v>
      </c>
    </row>
    <row r="26" ht="15.75" customHeight="1">
      <c r="A26" s="8"/>
      <c r="B26" s="55">
        <v>43873.0</v>
      </c>
      <c r="C26" s="56" t="s">
        <v>16</v>
      </c>
      <c r="D26" s="56" t="s">
        <v>28</v>
      </c>
      <c r="E26" s="56" t="s">
        <v>18</v>
      </c>
      <c r="F26" s="56" t="s">
        <v>42</v>
      </c>
      <c r="G26" s="57">
        <v>6606.0</v>
      </c>
      <c r="H26" s="58">
        <v>0.0</v>
      </c>
      <c r="I26" s="59"/>
      <c r="J26" s="59"/>
      <c r="K26" s="56"/>
      <c r="L26" s="57">
        <v>1.0</v>
      </c>
      <c r="M26" s="56" t="s">
        <v>20</v>
      </c>
      <c r="N26" s="56" t="s">
        <v>39</v>
      </c>
      <c r="O26" s="56" t="s">
        <v>40</v>
      </c>
      <c r="P26" s="56" t="s">
        <v>18</v>
      </c>
      <c r="Q26" s="56" t="s">
        <v>44</v>
      </c>
      <c r="R26" s="57">
        <v>6606.0</v>
      </c>
      <c r="S26" s="57">
        <v>0.0</v>
      </c>
    </row>
    <row r="27" ht="15.75" customHeight="1">
      <c r="B27" s="55">
        <v>43873.0</v>
      </c>
      <c r="C27" s="56" t="s">
        <v>16</v>
      </c>
      <c r="D27" s="56" t="s">
        <v>28</v>
      </c>
      <c r="E27" s="56" t="s">
        <v>18</v>
      </c>
      <c r="F27" s="60" t="s">
        <v>38</v>
      </c>
      <c r="G27" s="61">
        <v>0.0</v>
      </c>
      <c r="H27" s="62">
        <v>6606.0</v>
      </c>
      <c r="I27" s="63"/>
      <c r="J27" s="63"/>
      <c r="K27" s="60"/>
      <c r="L27" s="62">
        <v>1.0</v>
      </c>
      <c r="M27" s="60" t="s">
        <v>20</v>
      </c>
      <c r="N27" s="60" t="s">
        <v>43</v>
      </c>
      <c r="O27" s="60" t="s">
        <v>40</v>
      </c>
      <c r="P27" s="60" t="s">
        <v>18</v>
      </c>
      <c r="Q27" s="56" t="s">
        <v>44</v>
      </c>
      <c r="R27" s="62">
        <v>0.0</v>
      </c>
      <c r="S27" s="62">
        <v>6606.0</v>
      </c>
    </row>
    <row r="28" ht="15.75" customHeight="1">
      <c r="B28" s="55">
        <v>43871.0</v>
      </c>
      <c r="C28" s="56" t="s">
        <v>16</v>
      </c>
      <c r="D28" s="56" t="s">
        <v>24</v>
      </c>
      <c r="E28" s="56" t="s">
        <v>28</v>
      </c>
      <c r="F28" s="56" t="s">
        <v>38</v>
      </c>
      <c r="G28" s="57">
        <v>535.0</v>
      </c>
      <c r="H28" s="58">
        <v>0.0</v>
      </c>
      <c r="I28" s="59"/>
      <c r="J28" s="59"/>
      <c r="K28" s="56"/>
      <c r="L28" s="57">
        <v>1.5</v>
      </c>
      <c r="M28" s="56" t="s">
        <v>20</v>
      </c>
      <c r="N28" s="56" t="s">
        <v>39</v>
      </c>
      <c r="O28" s="56" t="s">
        <v>40</v>
      </c>
      <c r="P28" s="56" t="s">
        <v>18</v>
      </c>
      <c r="Q28" s="56" t="s">
        <v>41</v>
      </c>
      <c r="R28" s="57">
        <v>802.5</v>
      </c>
      <c r="S28" s="57">
        <v>0.0</v>
      </c>
    </row>
    <row r="29" ht="15.75" customHeight="1">
      <c r="B29" s="55">
        <v>43871.0</v>
      </c>
      <c r="C29" s="56" t="s">
        <v>16</v>
      </c>
      <c r="D29" s="56" t="s">
        <v>24</v>
      </c>
      <c r="E29" s="56" t="s">
        <v>28</v>
      </c>
      <c r="F29" s="60" t="s">
        <v>42</v>
      </c>
      <c r="G29" s="61">
        <v>0.0</v>
      </c>
      <c r="H29" s="62">
        <v>535.0</v>
      </c>
      <c r="I29" s="63"/>
      <c r="J29" s="63"/>
      <c r="K29" s="60"/>
      <c r="L29" s="62">
        <v>1.5</v>
      </c>
      <c r="M29" s="60" t="s">
        <v>20</v>
      </c>
      <c r="N29" s="60" t="s">
        <v>43</v>
      </c>
      <c r="O29" s="60" t="s">
        <v>40</v>
      </c>
      <c r="P29" s="60" t="s">
        <v>18</v>
      </c>
      <c r="Q29" s="56" t="s">
        <v>41</v>
      </c>
      <c r="R29" s="62">
        <v>0.0</v>
      </c>
      <c r="S29" s="62">
        <v>802.5</v>
      </c>
    </row>
    <row r="30" ht="15.75" customHeight="1">
      <c r="B30" s="55">
        <v>43871.0</v>
      </c>
      <c r="C30" s="56" t="s">
        <v>16</v>
      </c>
      <c r="D30" s="56" t="s">
        <v>28</v>
      </c>
      <c r="E30" s="56" t="s">
        <v>18</v>
      </c>
      <c r="F30" s="56" t="s">
        <v>38</v>
      </c>
      <c r="G30" s="57">
        <v>2936.0</v>
      </c>
      <c r="H30" s="58">
        <v>0.0</v>
      </c>
      <c r="I30" s="59"/>
      <c r="J30" s="59"/>
      <c r="K30" s="56"/>
      <c r="L30" s="57">
        <v>1.0</v>
      </c>
      <c r="M30" s="56" t="s">
        <v>20</v>
      </c>
      <c r="N30" s="56" t="s">
        <v>39</v>
      </c>
      <c r="O30" s="56" t="s">
        <v>40</v>
      </c>
      <c r="P30" s="56" t="s">
        <v>18</v>
      </c>
      <c r="Q30" s="56" t="s">
        <v>41</v>
      </c>
      <c r="R30" s="57">
        <v>2936.0</v>
      </c>
      <c r="S30" s="57">
        <v>0.0</v>
      </c>
    </row>
    <row r="31" ht="15.75" customHeight="1">
      <c r="B31" s="55">
        <v>43871.0</v>
      </c>
      <c r="C31" s="56" t="s">
        <v>16</v>
      </c>
      <c r="D31" s="56" t="s">
        <v>28</v>
      </c>
      <c r="E31" s="56" t="s">
        <v>18</v>
      </c>
      <c r="F31" s="60" t="s">
        <v>42</v>
      </c>
      <c r="G31" s="61">
        <v>0.0</v>
      </c>
      <c r="H31" s="62">
        <v>2936.0</v>
      </c>
      <c r="I31" s="63"/>
      <c r="J31" s="63"/>
      <c r="K31" s="60"/>
      <c r="L31" s="62">
        <v>1.0</v>
      </c>
      <c r="M31" s="60" t="s">
        <v>20</v>
      </c>
      <c r="N31" s="60" t="s">
        <v>43</v>
      </c>
      <c r="O31" s="60" t="s">
        <v>40</v>
      </c>
      <c r="P31" s="60" t="s">
        <v>18</v>
      </c>
      <c r="Q31" s="56" t="s">
        <v>41</v>
      </c>
      <c r="R31" s="62">
        <v>0.0</v>
      </c>
      <c r="S31" s="62">
        <v>2936.0</v>
      </c>
    </row>
    <row r="32" ht="15.75" customHeight="1">
      <c r="B32" s="55">
        <v>43872.0</v>
      </c>
      <c r="C32" s="56" t="s">
        <v>16</v>
      </c>
      <c r="D32" s="56" t="s">
        <v>28</v>
      </c>
      <c r="E32" s="56" t="s">
        <v>28</v>
      </c>
      <c r="F32" s="56" t="s">
        <v>19</v>
      </c>
      <c r="G32" s="57">
        <v>7340.0</v>
      </c>
      <c r="H32" s="58">
        <v>0.0</v>
      </c>
      <c r="I32" s="59"/>
      <c r="J32" s="59"/>
      <c r="K32" s="56"/>
      <c r="L32" s="57">
        <v>2.0</v>
      </c>
      <c r="M32" s="56" t="s">
        <v>20</v>
      </c>
      <c r="N32" s="56" t="s">
        <v>39</v>
      </c>
      <c r="O32" s="56" t="s">
        <v>40</v>
      </c>
      <c r="P32" s="56" t="s">
        <v>18</v>
      </c>
      <c r="Q32" s="56" t="s">
        <v>48</v>
      </c>
      <c r="R32" s="57">
        <v>14680.0</v>
      </c>
      <c r="S32" s="57">
        <v>0.0</v>
      </c>
    </row>
    <row r="33" ht="15.75" customHeight="1">
      <c r="B33" s="55">
        <v>43872.0</v>
      </c>
      <c r="C33" s="56" t="s">
        <v>16</v>
      </c>
      <c r="D33" s="56" t="s">
        <v>28</v>
      </c>
      <c r="E33" s="56" t="s">
        <v>28</v>
      </c>
      <c r="F33" s="60" t="s">
        <v>45</v>
      </c>
      <c r="G33" s="61">
        <v>0.0</v>
      </c>
      <c r="H33" s="62">
        <v>7340.0</v>
      </c>
      <c r="I33" s="63"/>
      <c r="J33" s="63"/>
      <c r="K33" s="60"/>
      <c r="L33" s="62">
        <v>2.0</v>
      </c>
      <c r="M33" s="60" t="s">
        <v>20</v>
      </c>
      <c r="N33" s="60" t="s">
        <v>43</v>
      </c>
      <c r="O33" s="60" t="s">
        <v>40</v>
      </c>
      <c r="P33" s="60" t="s">
        <v>18</v>
      </c>
      <c r="Q33" s="56" t="s">
        <v>48</v>
      </c>
      <c r="R33" s="62">
        <v>0.0</v>
      </c>
      <c r="S33" s="62">
        <v>14680.0</v>
      </c>
    </row>
    <row r="34" ht="15.75" customHeight="1">
      <c r="B34" s="55">
        <v>43872.0</v>
      </c>
      <c r="C34" s="56" t="s">
        <v>16</v>
      </c>
      <c r="D34" s="56" t="s">
        <v>28</v>
      </c>
      <c r="E34" s="56" t="s">
        <v>28</v>
      </c>
      <c r="F34" s="56" t="s">
        <v>45</v>
      </c>
      <c r="G34" s="57">
        <v>7340.0</v>
      </c>
      <c r="H34" s="58">
        <v>0.0</v>
      </c>
      <c r="I34" s="59"/>
      <c r="J34" s="59"/>
      <c r="K34" s="56"/>
      <c r="L34" s="57">
        <v>1.5</v>
      </c>
      <c r="M34" s="56" t="s">
        <v>20</v>
      </c>
      <c r="N34" s="56" t="s">
        <v>39</v>
      </c>
      <c r="O34" s="56" t="s">
        <v>40</v>
      </c>
      <c r="P34" s="56" t="s">
        <v>18</v>
      </c>
      <c r="Q34" s="56" t="s">
        <v>49</v>
      </c>
      <c r="R34" s="57">
        <v>11010.0</v>
      </c>
      <c r="S34" s="57">
        <v>0.0</v>
      </c>
    </row>
    <row r="35" ht="15.75" customHeight="1">
      <c r="B35" s="55">
        <v>43872.0</v>
      </c>
      <c r="C35" s="56" t="s">
        <v>16</v>
      </c>
      <c r="D35" s="56" t="s">
        <v>28</v>
      </c>
      <c r="E35" s="56" t="s">
        <v>28</v>
      </c>
      <c r="F35" s="60" t="s">
        <v>19</v>
      </c>
      <c r="G35" s="61">
        <v>0.0</v>
      </c>
      <c r="H35" s="62">
        <v>7340.0</v>
      </c>
      <c r="I35" s="63"/>
      <c r="J35" s="63"/>
      <c r="K35" s="60"/>
      <c r="L35" s="62">
        <v>1.5</v>
      </c>
      <c r="M35" s="60" t="s">
        <v>20</v>
      </c>
      <c r="N35" s="60" t="s">
        <v>43</v>
      </c>
      <c r="O35" s="60" t="s">
        <v>40</v>
      </c>
      <c r="P35" s="60" t="s">
        <v>18</v>
      </c>
      <c r="Q35" s="56" t="s">
        <v>49</v>
      </c>
      <c r="R35" s="62">
        <v>0.0</v>
      </c>
      <c r="S35" s="62">
        <v>11010.0</v>
      </c>
    </row>
    <row r="36" ht="15.75" customHeight="1">
      <c r="B36" s="55">
        <v>43873.0</v>
      </c>
      <c r="C36" s="56" t="s">
        <v>16</v>
      </c>
      <c r="D36" s="56" t="s">
        <v>28</v>
      </c>
      <c r="E36" s="56" t="s">
        <v>28</v>
      </c>
      <c r="F36" s="56" t="s">
        <v>19</v>
      </c>
      <c r="G36" s="57">
        <v>7340.0</v>
      </c>
      <c r="H36" s="58">
        <v>0.0</v>
      </c>
      <c r="I36" s="59"/>
      <c r="J36" s="59"/>
      <c r="K36" s="56"/>
      <c r="L36" s="57">
        <v>2.5</v>
      </c>
      <c r="M36" s="56" t="s">
        <v>20</v>
      </c>
      <c r="N36" s="56" t="s">
        <v>39</v>
      </c>
      <c r="O36" s="56" t="s">
        <v>40</v>
      </c>
      <c r="P36" s="56" t="s">
        <v>18</v>
      </c>
      <c r="Q36" s="56" t="s">
        <v>48</v>
      </c>
      <c r="R36" s="57">
        <v>18350.0</v>
      </c>
      <c r="S36" s="57">
        <v>0.0</v>
      </c>
    </row>
    <row r="37" ht="15.75" customHeight="1">
      <c r="B37" s="55">
        <v>43873.0</v>
      </c>
      <c r="C37" s="56" t="s">
        <v>16</v>
      </c>
      <c r="D37" s="56" t="s">
        <v>28</v>
      </c>
      <c r="E37" s="56" t="s">
        <v>28</v>
      </c>
      <c r="F37" s="60" t="s">
        <v>45</v>
      </c>
      <c r="G37" s="61">
        <v>0.0</v>
      </c>
      <c r="H37" s="62">
        <v>7340.0</v>
      </c>
      <c r="I37" s="63"/>
      <c r="J37" s="63"/>
      <c r="K37" s="60"/>
      <c r="L37" s="62">
        <v>2.5</v>
      </c>
      <c r="M37" s="60" t="s">
        <v>20</v>
      </c>
      <c r="N37" s="60" t="s">
        <v>43</v>
      </c>
      <c r="O37" s="60" t="s">
        <v>40</v>
      </c>
      <c r="P37" s="60" t="s">
        <v>18</v>
      </c>
      <c r="Q37" s="56" t="s">
        <v>48</v>
      </c>
      <c r="R37" s="62">
        <v>0.0</v>
      </c>
      <c r="S37" s="62">
        <v>18350.0</v>
      </c>
    </row>
    <row r="38" ht="15.75" customHeight="1">
      <c r="B38" s="55">
        <v>43873.0</v>
      </c>
      <c r="C38" s="56" t="s">
        <v>16</v>
      </c>
      <c r="D38" s="56" t="s">
        <v>28</v>
      </c>
      <c r="E38" s="56" t="s">
        <v>28</v>
      </c>
      <c r="F38" s="56" t="s">
        <v>45</v>
      </c>
      <c r="G38" s="57">
        <v>7340.0</v>
      </c>
      <c r="H38" s="58">
        <v>0.0</v>
      </c>
      <c r="I38" s="59"/>
      <c r="J38" s="59"/>
      <c r="K38" s="56"/>
      <c r="L38" s="57">
        <v>2.0</v>
      </c>
      <c r="M38" s="56" t="s">
        <v>20</v>
      </c>
      <c r="N38" s="56" t="s">
        <v>39</v>
      </c>
      <c r="O38" s="56" t="s">
        <v>40</v>
      </c>
      <c r="P38" s="56" t="s">
        <v>18</v>
      </c>
      <c r="Q38" s="56" t="s">
        <v>49</v>
      </c>
      <c r="R38" s="57">
        <v>14680.0</v>
      </c>
      <c r="S38" s="57">
        <v>0.0</v>
      </c>
    </row>
    <row r="39" ht="15.75" customHeight="1">
      <c r="B39" s="55">
        <v>43873.0</v>
      </c>
      <c r="C39" s="56" t="s">
        <v>16</v>
      </c>
      <c r="D39" s="56" t="s">
        <v>28</v>
      </c>
      <c r="E39" s="56" t="s">
        <v>28</v>
      </c>
      <c r="F39" s="60" t="s">
        <v>19</v>
      </c>
      <c r="G39" s="61">
        <v>0.0</v>
      </c>
      <c r="H39" s="62">
        <v>7340.0</v>
      </c>
      <c r="I39" s="63"/>
      <c r="J39" s="63"/>
      <c r="K39" s="60"/>
      <c r="L39" s="62">
        <v>2.0</v>
      </c>
      <c r="M39" s="60" t="s">
        <v>20</v>
      </c>
      <c r="N39" s="60" t="s">
        <v>43</v>
      </c>
      <c r="O39" s="60" t="s">
        <v>40</v>
      </c>
      <c r="P39" s="60" t="s">
        <v>18</v>
      </c>
      <c r="Q39" s="56" t="s">
        <v>49</v>
      </c>
      <c r="R39" s="62">
        <v>0.0</v>
      </c>
      <c r="S39" s="62">
        <v>14680.0</v>
      </c>
    </row>
    <row r="40" ht="15.75" customHeight="1">
      <c r="B40" s="53"/>
    </row>
    <row r="41" ht="15.75" customHeight="1">
      <c r="B41" s="53"/>
    </row>
    <row r="42" ht="15.75" customHeight="1">
      <c r="B42" s="53"/>
    </row>
    <row r="43" ht="15.75" customHeight="1">
      <c r="B43" s="53"/>
    </row>
    <row r="44" ht="15.75" customHeight="1">
      <c r="B44" s="53"/>
    </row>
    <row r="45" ht="15.75" customHeight="1">
      <c r="B45" s="53"/>
    </row>
    <row r="46" ht="15.75" customHeight="1">
      <c r="B46" s="53"/>
    </row>
    <row r="47" ht="15.75" customHeight="1">
      <c r="B47" s="53"/>
    </row>
    <row r="48" ht="15.75" customHeight="1">
      <c r="B48" s="53"/>
    </row>
    <row r="49" ht="15.75" customHeight="1">
      <c r="B49" s="53"/>
    </row>
    <row r="50" ht="15.75" customHeight="1">
      <c r="B50" s="53"/>
    </row>
    <row r="51" ht="15.75" customHeight="1">
      <c r="B51" s="53"/>
    </row>
    <row r="52" ht="15.75" customHeight="1">
      <c r="B52" s="53"/>
    </row>
    <row r="53" ht="15.75" customHeight="1">
      <c r="B53" s="53"/>
    </row>
    <row r="54" ht="15.75" customHeight="1">
      <c r="B54" s="53"/>
    </row>
    <row r="55" ht="15.75" customHeight="1">
      <c r="B55" s="53"/>
    </row>
    <row r="56" ht="15.75" customHeight="1">
      <c r="B56" s="53"/>
    </row>
    <row r="57" ht="15.75" customHeight="1">
      <c r="B57" s="53"/>
    </row>
    <row r="58" ht="15.75" customHeight="1">
      <c r="B58" s="53"/>
    </row>
    <row r="59" ht="15.75" customHeight="1">
      <c r="B59" s="53"/>
    </row>
    <row r="60" ht="15.75" customHeight="1">
      <c r="B60" s="53"/>
    </row>
    <row r="61" ht="15.75" customHeight="1">
      <c r="B61" s="53"/>
    </row>
    <row r="62" ht="15.75" customHeight="1">
      <c r="B62" s="53"/>
    </row>
    <row r="63" ht="15.75" customHeight="1">
      <c r="B63" s="53"/>
    </row>
    <row r="64" ht="15.75" customHeight="1">
      <c r="B64" s="53"/>
    </row>
    <row r="65" ht="15.75" customHeight="1">
      <c r="B65" s="53"/>
    </row>
    <row r="66" ht="15.75" customHeight="1">
      <c r="B66" s="53"/>
    </row>
    <row r="67" ht="15.75" customHeight="1">
      <c r="B67" s="53"/>
    </row>
    <row r="68" ht="15.75" customHeight="1">
      <c r="B68" s="53"/>
    </row>
    <row r="69" ht="15.75" customHeight="1">
      <c r="B69" s="53"/>
    </row>
    <row r="70" ht="15.75" customHeight="1">
      <c r="B70" s="53"/>
    </row>
    <row r="71" ht="15.75" customHeight="1">
      <c r="B71" s="53"/>
    </row>
    <row r="72" ht="15.75" customHeight="1">
      <c r="B72" s="53"/>
    </row>
    <row r="73" ht="15.75" customHeight="1">
      <c r="B73" s="53"/>
    </row>
    <row r="74" ht="15.75" customHeight="1">
      <c r="B74" s="53"/>
    </row>
    <row r="75" ht="15.75" customHeight="1">
      <c r="B75" s="53"/>
    </row>
    <row r="76" ht="15.75" customHeight="1">
      <c r="B76" s="53"/>
    </row>
    <row r="77" ht="15.75" customHeight="1">
      <c r="B77" s="53"/>
    </row>
    <row r="78" ht="15.75" customHeight="1">
      <c r="B78" s="53"/>
    </row>
    <row r="79" ht="15.75" customHeight="1">
      <c r="B79" s="53"/>
    </row>
    <row r="80" ht="15.75" customHeight="1">
      <c r="B80" s="53"/>
    </row>
    <row r="81" ht="15.75" customHeight="1">
      <c r="B81" s="53"/>
    </row>
    <row r="82" ht="15.75" customHeight="1">
      <c r="B82" s="53"/>
    </row>
    <row r="83" ht="15.75" customHeight="1">
      <c r="B83" s="53"/>
    </row>
    <row r="84" ht="15.75" customHeight="1">
      <c r="B84" s="53"/>
    </row>
    <row r="85" ht="15.75" customHeight="1">
      <c r="B85" s="53"/>
    </row>
    <row r="86" ht="15.75" customHeight="1">
      <c r="B86" s="53"/>
    </row>
    <row r="87" ht="15.75" customHeight="1">
      <c r="B87" s="53"/>
    </row>
    <row r="88" ht="15.75" customHeight="1">
      <c r="B88" s="53"/>
    </row>
    <row r="89" ht="15.75" customHeight="1">
      <c r="B89" s="53"/>
    </row>
    <row r="90" ht="15.75" customHeight="1">
      <c r="B90" s="53"/>
    </row>
    <row r="91" ht="15.75" customHeight="1">
      <c r="B91" s="53"/>
    </row>
    <row r="92" ht="15.75" customHeight="1">
      <c r="B92" s="53"/>
    </row>
    <row r="93" ht="15.75" customHeight="1">
      <c r="B93" s="53"/>
    </row>
    <row r="94" ht="15.75" customHeight="1">
      <c r="B94" s="53"/>
    </row>
    <row r="95" ht="15.75" customHeight="1">
      <c r="B95" s="53"/>
    </row>
    <row r="96" ht="15.75" customHeight="1">
      <c r="B96" s="53"/>
    </row>
    <row r="97" ht="15.75" customHeight="1">
      <c r="B97" s="53"/>
    </row>
    <row r="98" ht="15.75" customHeight="1">
      <c r="B98" s="53"/>
    </row>
    <row r="99" ht="15.75" customHeight="1">
      <c r="B99" s="53"/>
    </row>
    <row r="100" ht="15.75" customHeight="1">
      <c r="B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54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48"/>
      <c r="C2" s="8"/>
      <c r="D2" s="4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49" t="s">
        <v>8</v>
      </c>
      <c r="C3" s="22" t="s">
        <v>12</v>
      </c>
      <c r="D3" s="49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51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51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2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52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64">
        <v>43871.0</v>
      </c>
      <c r="C6" s="59"/>
      <c r="D6" s="64">
        <v>43871.0</v>
      </c>
      <c r="E6" s="57">
        <v>10.0</v>
      </c>
      <c r="F6" s="58">
        <v>0.0</v>
      </c>
      <c r="G6" s="57">
        <v>1.1</v>
      </c>
      <c r="H6" s="56" t="s">
        <v>20</v>
      </c>
      <c r="I6" s="56" t="s">
        <v>39</v>
      </c>
      <c r="J6" s="56" t="s">
        <v>51</v>
      </c>
      <c r="K6" s="56" t="s">
        <v>28</v>
      </c>
      <c r="L6" s="56" t="s">
        <v>18</v>
      </c>
      <c r="M6" s="56" t="s">
        <v>24</v>
      </c>
      <c r="N6" s="56"/>
      <c r="O6" s="57">
        <v>11.0</v>
      </c>
      <c r="P6" s="57">
        <v>0.0</v>
      </c>
      <c r="Q6" s="56" t="s">
        <v>52</v>
      </c>
      <c r="R6" s="56" t="s">
        <v>16</v>
      </c>
    </row>
    <row r="7" ht="15.75" customHeight="1">
      <c r="A7" s="8"/>
      <c r="B7" s="64">
        <v>43871.0</v>
      </c>
      <c r="C7" s="63"/>
      <c r="D7" s="65">
        <v>43871.0</v>
      </c>
      <c r="E7" s="61">
        <v>0.0</v>
      </c>
      <c r="F7" s="62">
        <v>10.0</v>
      </c>
      <c r="G7" s="62">
        <v>1.1</v>
      </c>
      <c r="H7" s="60" t="s">
        <v>20</v>
      </c>
      <c r="I7" s="60" t="s">
        <v>43</v>
      </c>
      <c r="J7" s="60" t="s">
        <v>51</v>
      </c>
      <c r="K7" s="56" t="s">
        <v>28</v>
      </c>
      <c r="L7" s="60" t="s">
        <v>18</v>
      </c>
      <c r="M7" s="56" t="s">
        <v>24</v>
      </c>
      <c r="N7" s="56"/>
      <c r="O7" s="62">
        <v>0.0</v>
      </c>
      <c r="P7" s="62">
        <v>11.0</v>
      </c>
      <c r="Q7" s="60" t="s">
        <v>19</v>
      </c>
      <c r="R7" s="56" t="s">
        <v>16</v>
      </c>
    </row>
    <row r="8" ht="15.75" customHeight="1">
      <c r="A8" s="8"/>
      <c r="B8" s="64">
        <v>43871.0</v>
      </c>
      <c r="C8" s="59"/>
      <c r="D8" s="64">
        <v>43871.0</v>
      </c>
      <c r="E8" s="57">
        <v>7350.0</v>
      </c>
      <c r="F8" s="58">
        <v>0.0</v>
      </c>
      <c r="G8" s="57">
        <v>1.1</v>
      </c>
      <c r="H8" s="56" t="s">
        <v>20</v>
      </c>
      <c r="I8" s="56" t="s">
        <v>39</v>
      </c>
      <c r="J8" s="56" t="s">
        <v>51</v>
      </c>
      <c r="K8" s="56" t="s">
        <v>28</v>
      </c>
      <c r="L8" s="56" t="s">
        <v>18</v>
      </c>
      <c r="M8" s="56" t="s">
        <v>24</v>
      </c>
      <c r="N8" s="56"/>
      <c r="O8" s="57">
        <v>8085.0</v>
      </c>
      <c r="P8" s="57">
        <v>0.0</v>
      </c>
      <c r="Q8" s="56" t="s">
        <v>19</v>
      </c>
      <c r="R8" s="56" t="s">
        <v>16</v>
      </c>
    </row>
    <row r="9" ht="15.75" customHeight="1">
      <c r="A9" s="8"/>
      <c r="B9" s="64">
        <v>43871.0</v>
      </c>
      <c r="C9" s="63"/>
      <c r="D9" s="65">
        <v>43871.0</v>
      </c>
      <c r="E9" s="61">
        <v>0.0</v>
      </c>
      <c r="F9" s="62">
        <v>7350.0</v>
      </c>
      <c r="G9" s="62">
        <v>1.1</v>
      </c>
      <c r="H9" s="60" t="s">
        <v>20</v>
      </c>
      <c r="I9" s="60" t="s">
        <v>43</v>
      </c>
      <c r="J9" s="60" t="s">
        <v>51</v>
      </c>
      <c r="K9" s="56" t="s">
        <v>28</v>
      </c>
      <c r="L9" s="60" t="s">
        <v>18</v>
      </c>
      <c r="M9" s="56" t="s">
        <v>24</v>
      </c>
      <c r="N9" s="56"/>
      <c r="O9" s="62">
        <v>0.0</v>
      </c>
      <c r="P9" s="62">
        <v>8085.0</v>
      </c>
      <c r="Q9" s="60" t="s">
        <v>52</v>
      </c>
      <c r="R9" s="56" t="s">
        <v>16</v>
      </c>
    </row>
    <row r="10" ht="15.75" customHeight="1">
      <c r="A10" s="8"/>
      <c r="B10" s="55">
        <v>43873.0</v>
      </c>
      <c r="C10" s="59"/>
      <c r="D10" s="55">
        <v>43873.0</v>
      </c>
      <c r="E10" s="57">
        <v>7340.0</v>
      </c>
      <c r="F10" s="58">
        <v>0.0</v>
      </c>
      <c r="G10" s="57">
        <v>1.1</v>
      </c>
      <c r="H10" s="56" t="s">
        <v>20</v>
      </c>
      <c r="I10" s="56" t="s">
        <v>39</v>
      </c>
      <c r="J10" s="56" t="s">
        <v>51</v>
      </c>
      <c r="K10" s="56" t="s">
        <v>28</v>
      </c>
      <c r="L10" s="56" t="s">
        <v>18</v>
      </c>
      <c r="M10" s="56" t="s">
        <v>24</v>
      </c>
      <c r="N10" s="56"/>
      <c r="O10" s="57">
        <v>8074.0</v>
      </c>
      <c r="P10" s="57">
        <v>0.0</v>
      </c>
      <c r="Q10" s="56" t="s">
        <v>52</v>
      </c>
      <c r="R10" s="56" t="s">
        <v>16</v>
      </c>
    </row>
    <row r="11" ht="15.75" customHeight="1">
      <c r="A11" s="8"/>
      <c r="B11" s="55">
        <v>43873.0</v>
      </c>
      <c r="C11" s="63"/>
      <c r="D11" s="89">
        <v>43873.0</v>
      </c>
      <c r="E11" s="61">
        <v>0.0</v>
      </c>
      <c r="F11" s="62">
        <v>7340.0</v>
      </c>
      <c r="G11" s="62">
        <v>1.1</v>
      </c>
      <c r="H11" s="60" t="s">
        <v>20</v>
      </c>
      <c r="I11" s="60" t="s">
        <v>43</v>
      </c>
      <c r="J11" s="60" t="s">
        <v>72</v>
      </c>
      <c r="K11" s="56" t="s">
        <v>28</v>
      </c>
      <c r="L11" s="60" t="s">
        <v>18</v>
      </c>
      <c r="M11" s="56" t="s">
        <v>24</v>
      </c>
      <c r="N11" s="56"/>
      <c r="O11" s="62">
        <v>0.0</v>
      </c>
      <c r="P11" s="62">
        <v>8074.0</v>
      </c>
      <c r="Q11" s="60" t="s">
        <v>19</v>
      </c>
      <c r="R11" s="56" t="s">
        <v>16</v>
      </c>
    </row>
    <row r="12" ht="15.75" customHeight="1">
      <c r="A12" s="8"/>
      <c r="B12" s="55">
        <v>43873.0</v>
      </c>
      <c r="C12" s="59"/>
      <c r="D12" s="55">
        <v>43873.0</v>
      </c>
      <c r="E12" s="57">
        <v>7340.0</v>
      </c>
      <c r="F12" s="58">
        <v>0.0</v>
      </c>
      <c r="G12" s="57">
        <v>1.1</v>
      </c>
      <c r="H12" s="56" t="s">
        <v>20</v>
      </c>
      <c r="I12" s="56" t="s">
        <v>39</v>
      </c>
      <c r="J12" s="56" t="s">
        <v>72</v>
      </c>
      <c r="K12" s="56" t="s">
        <v>28</v>
      </c>
      <c r="L12" s="56" t="s">
        <v>18</v>
      </c>
      <c r="M12" s="56" t="s">
        <v>24</v>
      </c>
      <c r="N12" s="56"/>
      <c r="O12" s="57">
        <v>8074.0</v>
      </c>
      <c r="P12" s="57">
        <v>0.0</v>
      </c>
      <c r="Q12" s="56" t="s">
        <v>19</v>
      </c>
      <c r="R12" s="56" t="s">
        <v>16</v>
      </c>
    </row>
    <row r="13" ht="15.75" customHeight="1">
      <c r="A13" s="8"/>
      <c r="B13" s="55">
        <v>43873.0</v>
      </c>
      <c r="C13" s="63"/>
      <c r="D13" s="89">
        <v>43873.0</v>
      </c>
      <c r="E13" s="61">
        <v>0.0</v>
      </c>
      <c r="F13" s="62">
        <v>8074.0</v>
      </c>
      <c r="G13" s="62">
        <v>1.0</v>
      </c>
      <c r="H13" s="60" t="s">
        <v>20</v>
      </c>
      <c r="I13" s="60" t="s">
        <v>43</v>
      </c>
      <c r="J13" s="60" t="s">
        <v>51</v>
      </c>
      <c r="K13" s="56" t="s">
        <v>18</v>
      </c>
      <c r="L13" s="60" t="s">
        <v>18</v>
      </c>
      <c r="M13" s="56" t="s">
        <v>24</v>
      </c>
      <c r="N13" s="56"/>
      <c r="O13" s="62">
        <v>0.0</v>
      </c>
      <c r="P13" s="62">
        <v>8074.0</v>
      </c>
      <c r="Q13" s="60" t="s">
        <v>19</v>
      </c>
      <c r="R13" s="56" t="s">
        <v>16</v>
      </c>
    </row>
    <row r="14" ht="15.75" customHeight="1">
      <c r="A14" s="8"/>
      <c r="B14" s="55">
        <v>43873.0</v>
      </c>
      <c r="C14" s="59"/>
      <c r="D14" s="55">
        <v>43873.0</v>
      </c>
      <c r="E14" s="57">
        <v>4587.5</v>
      </c>
      <c r="F14" s="58">
        <v>0.0</v>
      </c>
      <c r="G14" s="57">
        <v>1.1</v>
      </c>
      <c r="H14" s="56" t="s">
        <v>20</v>
      </c>
      <c r="I14" s="56" t="s">
        <v>39</v>
      </c>
      <c r="J14" s="56" t="s">
        <v>72</v>
      </c>
      <c r="K14" s="56" t="s">
        <v>28</v>
      </c>
      <c r="L14" s="56" t="s">
        <v>18</v>
      </c>
      <c r="M14" s="56" t="s">
        <v>24</v>
      </c>
      <c r="N14" s="56"/>
      <c r="O14" s="57">
        <v>5046.25</v>
      </c>
      <c r="P14" s="57">
        <v>0.0</v>
      </c>
      <c r="Q14" s="56" t="s">
        <v>19</v>
      </c>
      <c r="R14" s="56" t="s">
        <v>16</v>
      </c>
    </row>
    <row r="15" ht="15.75" customHeight="1">
      <c r="A15" s="8"/>
      <c r="B15" s="55">
        <v>43873.0</v>
      </c>
      <c r="C15" s="63"/>
      <c r="D15" s="89">
        <v>43873.0</v>
      </c>
      <c r="E15" s="61">
        <v>0.0</v>
      </c>
      <c r="F15" s="62">
        <v>4587.5</v>
      </c>
      <c r="G15" s="62">
        <v>1.1</v>
      </c>
      <c r="H15" s="60" t="s">
        <v>20</v>
      </c>
      <c r="I15" s="60" t="s">
        <v>43</v>
      </c>
      <c r="J15" s="60" t="s">
        <v>51</v>
      </c>
      <c r="K15" s="56" t="s">
        <v>28</v>
      </c>
      <c r="L15" s="60" t="s">
        <v>18</v>
      </c>
      <c r="M15" s="56" t="s">
        <v>24</v>
      </c>
      <c r="N15" s="56"/>
      <c r="O15" s="62">
        <v>0.0</v>
      </c>
      <c r="P15" s="62">
        <v>5046.25</v>
      </c>
      <c r="Q15" s="60" t="s">
        <v>52</v>
      </c>
      <c r="R15" s="56" t="s">
        <v>16</v>
      </c>
    </row>
    <row r="16" ht="15.75" customHeight="1">
      <c r="A16" s="8"/>
      <c r="B16" s="55">
        <v>43873.0</v>
      </c>
      <c r="C16" s="63"/>
      <c r="D16" s="89">
        <v>43873.0</v>
      </c>
      <c r="E16" s="61">
        <v>0.0</v>
      </c>
      <c r="F16" s="62">
        <v>4587.5</v>
      </c>
      <c r="G16" s="62">
        <v>1.1</v>
      </c>
      <c r="H16" s="60" t="s">
        <v>20</v>
      </c>
      <c r="I16" s="60" t="s">
        <v>43</v>
      </c>
      <c r="J16" s="60" t="s">
        <v>72</v>
      </c>
      <c r="K16" s="56" t="s">
        <v>28</v>
      </c>
      <c r="L16" s="60" t="s">
        <v>18</v>
      </c>
      <c r="M16" s="56" t="s">
        <v>24</v>
      </c>
      <c r="N16" s="56"/>
      <c r="O16" s="62">
        <v>0.0</v>
      </c>
      <c r="P16" s="62">
        <v>5046.25</v>
      </c>
      <c r="Q16" s="60" t="s">
        <v>19</v>
      </c>
      <c r="R16" s="56" t="s">
        <v>16</v>
      </c>
    </row>
    <row r="17" ht="15.75" customHeight="1">
      <c r="A17" s="8"/>
      <c r="B17" s="55">
        <v>43873.0</v>
      </c>
      <c r="C17" s="59"/>
      <c r="D17" s="55">
        <v>43873.0</v>
      </c>
      <c r="E17" s="57">
        <v>5046.25</v>
      </c>
      <c r="F17" s="58">
        <v>0.0</v>
      </c>
      <c r="G17" s="57">
        <v>1.0</v>
      </c>
      <c r="H17" s="56" t="s">
        <v>20</v>
      </c>
      <c r="I17" s="56" t="s">
        <v>39</v>
      </c>
      <c r="J17" s="56" t="s">
        <v>51</v>
      </c>
      <c r="K17" s="56" t="s">
        <v>18</v>
      </c>
      <c r="L17" s="56" t="s">
        <v>18</v>
      </c>
      <c r="M17" s="56" t="s">
        <v>24</v>
      </c>
      <c r="N17" s="56"/>
      <c r="O17" s="57">
        <v>5046.25</v>
      </c>
      <c r="P17" s="57">
        <v>0.0</v>
      </c>
      <c r="Q17" s="56" t="s">
        <v>19</v>
      </c>
      <c r="R17" s="56" t="s">
        <v>16</v>
      </c>
    </row>
    <row r="18" ht="15.75" customHeight="1">
      <c r="A18" s="8"/>
      <c r="B18" s="55">
        <v>43873.0</v>
      </c>
      <c r="C18" s="59"/>
      <c r="D18" s="55">
        <v>43873.0</v>
      </c>
      <c r="E18" s="57">
        <v>2752.5</v>
      </c>
      <c r="F18" s="58">
        <v>0.0</v>
      </c>
      <c r="G18" s="57">
        <v>1.1</v>
      </c>
      <c r="H18" s="56" t="s">
        <v>20</v>
      </c>
      <c r="I18" s="56" t="s">
        <v>39</v>
      </c>
      <c r="J18" s="56" t="s">
        <v>72</v>
      </c>
      <c r="K18" s="56" t="s">
        <v>28</v>
      </c>
      <c r="L18" s="56" t="s">
        <v>18</v>
      </c>
      <c r="M18" s="56" t="s">
        <v>66</v>
      </c>
      <c r="N18" s="56"/>
      <c r="O18" s="57">
        <v>3027.75</v>
      </c>
      <c r="P18" s="57">
        <v>0.0</v>
      </c>
      <c r="Q18" s="56" t="s">
        <v>19</v>
      </c>
      <c r="R18" s="56" t="s">
        <v>16</v>
      </c>
    </row>
    <row r="19" ht="15.75" customHeight="1">
      <c r="A19" s="8"/>
      <c r="B19" s="55">
        <v>43873.0</v>
      </c>
      <c r="C19" s="63"/>
      <c r="D19" s="89">
        <v>43873.0</v>
      </c>
      <c r="E19" s="61">
        <v>0.0</v>
      </c>
      <c r="F19" s="62">
        <v>2752.5</v>
      </c>
      <c r="G19" s="62">
        <v>1.1</v>
      </c>
      <c r="H19" s="60" t="s">
        <v>20</v>
      </c>
      <c r="I19" s="60" t="s">
        <v>43</v>
      </c>
      <c r="J19" s="60" t="s">
        <v>51</v>
      </c>
      <c r="K19" s="56" t="s">
        <v>28</v>
      </c>
      <c r="L19" s="60" t="s">
        <v>18</v>
      </c>
      <c r="M19" s="56" t="s">
        <v>66</v>
      </c>
      <c r="N19" s="56"/>
      <c r="O19" s="62">
        <v>0.0</v>
      </c>
      <c r="P19" s="62">
        <v>3027.75</v>
      </c>
      <c r="Q19" s="60" t="s">
        <v>52</v>
      </c>
      <c r="R19" s="56" t="s">
        <v>16</v>
      </c>
    </row>
    <row r="20" ht="15.75" customHeight="1">
      <c r="A20" s="8"/>
      <c r="B20" s="55">
        <v>43873.0</v>
      </c>
      <c r="C20" s="63"/>
      <c r="D20" s="89">
        <v>43873.0</v>
      </c>
      <c r="E20" s="61">
        <v>0.0</v>
      </c>
      <c r="F20" s="62">
        <v>2752.5</v>
      </c>
      <c r="G20" s="62">
        <v>1.1</v>
      </c>
      <c r="H20" s="60" t="s">
        <v>20</v>
      </c>
      <c r="I20" s="60" t="s">
        <v>43</v>
      </c>
      <c r="J20" s="60" t="s">
        <v>72</v>
      </c>
      <c r="K20" s="56" t="s">
        <v>28</v>
      </c>
      <c r="L20" s="60" t="s">
        <v>18</v>
      </c>
      <c r="M20" s="56" t="s">
        <v>66</v>
      </c>
      <c r="N20" s="56"/>
      <c r="O20" s="62">
        <v>0.0</v>
      </c>
      <c r="P20" s="62">
        <v>3027.75</v>
      </c>
      <c r="Q20" s="60" t="s">
        <v>19</v>
      </c>
      <c r="R20" s="56" t="s">
        <v>16</v>
      </c>
    </row>
    <row r="21" ht="15.75" customHeight="1">
      <c r="A21" s="8"/>
      <c r="B21" s="55">
        <v>43873.0</v>
      </c>
      <c r="C21" s="59"/>
      <c r="D21" s="55">
        <v>43873.0</v>
      </c>
      <c r="E21" s="57">
        <v>3027.75</v>
      </c>
      <c r="F21" s="58">
        <v>0.0</v>
      </c>
      <c r="G21" s="57">
        <v>1.0</v>
      </c>
      <c r="H21" s="56" t="s">
        <v>20</v>
      </c>
      <c r="I21" s="56" t="s">
        <v>39</v>
      </c>
      <c r="J21" s="56" t="s">
        <v>51</v>
      </c>
      <c r="K21" s="56" t="s">
        <v>18</v>
      </c>
      <c r="L21" s="56" t="s">
        <v>18</v>
      </c>
      <c r="M21" s="56" t="s">
        <v>66</v>
      </c>
      <c r="N21" s="56"/>
      <c r="O21" s="57">
        <v>3027.75</v>
      </c>
      <c r="P21" s="57">
        <v>0.0</v>
      </c>
      <c r="Q21" s="56" t="s">
        <v>19</v>
      </c>
      <c r="R21" s="56" t="s">
        <v>16</v>
      </c>
    </row>
    <row r="22" ht="15.75" customHeight="1">
      <c r="A22" s="8"/>
      <c r="B22" s="48"/>
      <c r="C22" s="8"/>
      <c r="D22" s="4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8"/>
      <c r="C23" s="8"/>
      <c r="D23" s="4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8"/>
      <c r="C24" s="8"/>
      <c r="D24" s="4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48"/>
      <c r="C25" s="8"/>
      <c r="D25" s="4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48"/>
      <c r="C26" s="8"/>
      <c r="D26" s="4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B27" s="53"/>
      <c r="D27" s="53"/>
    </row>
    <row r="28" ht="15.75" customHeight="1">
      <c r="B28" s="53"/>
      <c r="D28" s="53"/>
    </row>
    <row r="29" ht="15.75" customHeight="1">
      <c r="B29" s="53"/>
      <c r="D29" s="53"/>
    </row>
    <row r="30" ht="15.75" customHeight="1">
      <c r="B30" s="53"/>
      <c r="D30" s="53"/>
    </row>
    <row r="31" ht="15.75" customHeight="1">
      <c r="B31" s="53"/>
      <c r="D31" s="53"/>
    </row>
    <row r="32" ht="15.75" customHeight="1">
      <c r="B32" s="53"/>
      <c r="D32" s="53"/>
    </row>
    <row r="33" ht="15.75" customHeight="1">
      <c r="B33" s="53"/>
      <c r="D33" s="53"/>
    </row>
    <row r="34" ht="15.75" customHeight="1">
      <c r="B34" s="53"/>
      <c r="D34" s="53"/>
    </row>
    <row r="35" ht="15.75" customHeight="1">
      <c r="B35" s="53"/>
      <c r="D35" s="53"/>
    </row>
    <row r="36" ht="15.75" customHeight="1">
      <c r="B36" s="53"/>
      <c r="D36" s="53"/>
    </row>
    <row r="37" ht="15.75" customHeight="1">
      <c r="B37" s="53"/>
      <c r="D37" s="53"/>
    </row>
    <row r="38" ht="15.75" customHeight="1">
      <c r="B38" s="53"/>
      <c r="D38" s="53"/>
    </row>
    <row r="39" ht="15.75" customHeight="1">
      <c r="B39" s="53"/>
      <c r="D39" s="53"/>
    </row>
    <row r="40" ht="15.75" customHeight="1">
      <c r="B40" s="53"/>
      <c r="D40" s="53"/>
    </row>
    <row r="41" ht="15.75" customHeight="1">
      <c r="B41" s="53"/>
      <c r="D41" s="53"/>
    </row>
    <row r="42" ht="15.75" customHeight="1">
      <c r="B42" s="53"/>
      <c r="D42" s="53"/>
    </row>
    <row r="43" ht="15.75" customHeight="1">
      <c r="B43" s="53"/>
      <c r="D43" s="53"/>
    </row>
    <row r="44" ht="15.75" customHeight="1">
      <c r="B44" s="53"/>
      <c r="D44" s="53"/>
    </row>
    <row r="45" ht="15.75" customHeight="1">
      <c r="B45" s="53"/>
      <c r="D45" s="53"/>
    </row>
    <row r="46" ht="15.75" customHeight="1">
      <c r="B46" s="53"/>
      <c r="D46" s="53"/>
    </row>
    <row r="47" ht="15.75" customHeight="1">
      <c r="B47" s="53"/>
      <c r="D47" s="53"/>
    </row>
    <row r="48" ht="15.75" customHeight="1">
      <c r="B48" s="53"/>
      <c r="D48" s="53"/>
    </row>
    <row r="49" ht="15.75" customHeight="1">
      <c r="B49" s="53"/>
      <c r="D49" s="53"/>
    </row>
    <row r="50" ht="15.75" customHeight="1">
      <c r="B50" s="53"/>
      <c r="D50" s="53"/>
    </row>
    <row r="51" ht="15.75" customHeight="1">
      <c r="B51" s="53"/>
      <c r="D51" s="53"/>
    </row>
    <row r="52" ht="15.75" customHeight="1">
      <c r="B52" s="53"/>
      <c r="D52" s="53"/>
    </row>
    <row r="53" ht="15.75" customHeight="1">
      <c r="B53" s="53"/>
      <c r="D53" s="53"/>
    </row>
    <row r="54" ht="15.75" customHeight="1">
      <c r="B54" s="53"/>
      <c r="D54" s="53"/>
    </row>
    <row r="55" ht="15.75" customHeight="1">
      <c r="B55" s="53"/>
      <c r="D55" s="53"/>
    </row>
    <row r="56" ht="15.75" customHeight="1">
      <c r="B56" s="53"/>
      <c r="D56" s="53"/>
    </row>
    <row r="57" ht="15.75" customHeight="1">
      <c r="B57" s="53"/>
      <c r="D57" s="53"/>
    </row>
    <row r="58" ht="15.75" customHeight="1">
      <c r="B58" s="53"/>
      <c r="D58" s="53"/>
    </row>
    <row r="59" ht="15.75" customHeight="1">
      <c r="B59" s="53"/>
      <c r="D59" s="53"/>
    </row>
    <row r="60" ht="15.75" customHeight="1">
      <c r="B60" s="53"/>
      <c r="D60" s="53"/>
    </row>
    <row r="61" ht="15.75" customHeight="1">
      <c r="B61" s="53"/>
      <c r="D61" s="53"/>
    </row>
    <row r="62" ht="15.75" customHeight="1">
      <c r="B62" s="53"/>
      <c r="D62" s="53"/>
    </row>
    <row r="63" ht="15.75" customHeight="1">
      <c r="B63" s="53"/>
      <c r="D63" s="53"/>
    </row>
    <row r="64" ht="15.75" customHeight="1">
      <c r="B64" s="53"/>
      <c r="D64" s="53"/>
    </row>
    <row r="65" ht="15.75" customHeight="1">
      <c r="B65" s="53"/>
      <c r="D65" s="53"/>
    </row>
    <row r="66" ht="15.75" customHeight="1">
      <c r="B66" s="53"/>
      <c r="D66" s="53"/>
    </row>
    <row r="67" ht="15.75" customHeight="1">
      <c r="B67" s="53"/>
      <c r="D67" s="53"/>
    </row>
    <row r="68" ht="15.75" customHeight="1">
      <c r="B68" s="53"/>
      <c r="D68" s="53"/>
    </row>
    <row r="69" ht="15.75" customHeight="1">
      <c r="B69" s="53"/>
      <c r="D69" s="53"/>
    </row>
    <row r="70" ht="15.75" customHeight="1">
      <c r="B70" s="53"/>
      <c r="D70" s="53"/>
    </row>
    <row r="71" ht="15.75" customHeight="1">
      <c r="B71" s="53"/>
      <c r="D71" s="53"/>
    </row>
    <row r="72" ht="15.75" customHeight="1">
      <c r="B72" s="53"/>
      <c r="D72" s="53"/>
    </row>
    <row r="73" ht="15.75" customHeight="1">
      <c r="B73" s="53"/>
      <c r="D73" s="53"/>
    </row>
    <row r="74" ht="15.75" customHeight="1">
      <c r="B74" s="53"/>
      <c r="D74" s="53"/>
    </row>
    <row r="75" ht="15.75" customHeight="1">
      <c r="B75" s="53"/>
      <c r="D75" s="53"/>
    </row>
    <row r="76" ht="15.75" customHeight="1">
      <c r="B76" s="53"/>
      <c r="D76" s="53"/>
    </row>
    <row r="77" ht="15.75" customHeight="1">
      <c r="B77" s="53"/>
      <c r="D77" s="53"/>
    </row>
    <row r="78" ht="15.75" customHeight="1">
      <c r="B78" s="53"/>
      <c r="D78" s="53"/>
    </row>
    <row r="79" ht="15.75" customHeight="1">
      <c r="B79" s="53"/>
      <c r="D79" s="53"/>
    </row>
    <row r="80" ht="15.75" customHeight="1">
      <c r="B80" s="53"/>
      <c r="D80" s="53"/>
    </row>
    <row r="81" ht="15.75" customHeight="1">
      <c r="B81" s="53"/>
      <c r="D81" s="53"/>
    </row>
    <row r="82" ht="15.75" customHeight="1">
      <c r="B82" s="53"/>
      <c r="D82" s="53"/>
    </row>
    <row r="83" ht="15.75" customHeight="1">
      <c r="B83" s="53"/>
      <c r="D83" s="53"/>
    </row>
    <row r="84" ht="15.75" customHeight="1">
      <c r="B84" s="53"/>
      <c r="D84" s="53"/>
    </row>
    <row r="85" ht="15.75" customHeight="1">
      <c r="B85" s="53"/>
      <c r="D85" s="53"/>
    </row>
    <row r="86" ht="15.75" customHeight="1">
      <c r="B86" s="53"/>
      <c r="D86" s="53"/>
    </row>
    <row r="87" ht="15.75" customHeight="1">
      <c r="B87" s="53"/>
      <c r="D87" s="53"/>
    </row>
    <row r="88" ht="15.75" customHeight="1">
      <c r="B88" s="53"/>
      <c r="D88" s="53"/>
    </row>
    <row r="89" ht="15.75" customHeight="1">
      <c r="B89" s="53"/>
      <c r="D89" s="53"/>
    </row>
    <row r="90" ht="15.75" customHeight="1">
      <c r="B90" s="53"/>
      <c r="D90" s="53"/>
    </row>
    <row r="91" ht="15.75" customHeight="1">
      <c r="B91" s="53"/>
      <c r="D91" s="53"/>
    </row>
    <row r="92" ht="15.75" customHeight="1">
      <c r="B92" s="53"/>
      <c r="D92" s="53"/>
    </row>
    <row r="93" ht="15.75" customHeight="1">
      <c r="B93" s="53"/>
      <c r="D93" s="53"/>
    </row>
    <row r="94" ht="15.75" customHeight="1">
      <c r="B94" s="53"/>
      <c r="D94" s="53"/>
    </row>
    <row r="95" ht="15.75" customHeight="1">
      <c r="B95" s="53"/>
      <c r="D95" s="53"/>
    </row>
    <row r="96" ht="15.75" customHeight="1">
      <c r="B96" s="53"/>
      <c r="D96" s="53"/>
    </row>
    <row r="97" ht="15.75" customHeight="1">
      <c r="B97" s="53"/>
      <c r="D97" s="53"/>
    </row>
    <row r="98" ht="15.75" customHeight="1">
      <c r="B98" s="53"/>
      <c r="D98" s="53"/>
    </row>
    <row r="99" ht="15.75" customHeight="1">
      <c r="B99" s="53"/>
      <c r="D99" s="53"/>
    </row>
    <row r="100" ht="15.75" customHeight="1">
      <c r="B100" s="53"/>
      <c r="D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47" t="s">
        <v>16</v>
      </c>
      <c r="D6" s="40">
        <v>43871.0</v>
      </c>
      <c r="E6" s="40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66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AE2" s="53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67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68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6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56" t="s">
        <v>16</v>
      </c>
      <c r="C6" s="56" t="s">
        <v>40</v>
      </c>
      <c r="D6" s="56" t="s">
        <v>55</v>
      </c>
      <c r="E6" s="57">
        <v>-535.0</v>
      </c>
      <c r="F6" s="57">
        <v>0.0</v>
      </c>
      <c r="G6" s="57">
        <v>0.0</v>
      </c>
      <c r="H6" s="56" t="s">
        <v>56</v>
      </c>
      <c r="I6" s="57">
        <v>0.0</v>
      </c>
      <c r="J6" s="57">
        <v>0.0</v>
      </c>
      <c r="K6" s="56" t="s">
        <v>28</v>
      </c>
      <c r="L6" s="56" t="s">
        <v>41</v>
      </c>
      <c r="M6" s="8"/>
      <c r="N6" s="56" t="s">
        <v>20</v>
      </c>
      <c r="O6" s="57">
        <v>1.5</v>
      </c>
      <c r="R6" s="57">
        <v>0.0</v>
      </c>
      <c r="S6" s="57">
        <v>0.0</v>
      </c>
      <c r="T6" s="57">
        <v>0.0</v>
      </c>
      <c r="U6" s="57">
        <v>0.0</v>
      </c>
      <c r="V6" s="57">
        <v>0.0</v>
      </c>
      <c r="W6" s="57">
        <v>0.0</v>
      </c>
      <c r="X6" s="70"/>
      <c r="Z6" s="57">
        <v>0.0</v>
      </c>
      <c r="AA6" s="57">
        <v>0.0</v>
      </c>
      <c r="AB6" s="56" t="s">
        <v>24</v>
      </c>
      <c r="AC6" s="57">
        <v>0.0</v>
      </c>
      <c r="AD6" s="57">
        <v>0.0</v>
      </c>
      <c r="AE6" s="55">
        <v>43871.0</v>
      </c>
      <c r="AF6" s="57">
        <v>0.0</v>
      </c>
      <c r="AG6" s="71" t="s">
        <v>40</v>
      </c>
    </row>
    <row r="7" ht="15.75" customHeight="1">
      <c r="A7" s="8"/>
      <c r="B7" s="72" t="s">
        <v>16</v>
      </c>
      <c r="C7" s="72" t="s">
        <v>40</v>
      </c>
      <c r="D7" s="72" t="s">
        <v>55</v>
      </c>
      <c r="E7" s="73">
        <v>-2936.0</v>
      </c>
      <c r="F7" s="73">
        <v>0.0</v>
      </c>
      <c r="G7" s="73">
        <v>0.0</v>
      </c>
      <c r="H7" s="72" t="s">
        <v>56</v>
      </c>
      <c r="I7" s="73">
        <v>0.0</v>
      </c>
      <c r="J7" s="73">
        <v>0.0</v>
      </c>
      <c r="K7" s="72" t="s">
        <v>18</v>
      </c>
      <c r="L7" s="72" t="s">
        <v>41</v>
      </c>
      <c r="M7" s="8"/>
      <c r="N7" s="72" t="s">
        <v>20</v>
      </c>
      <c r="O7" s="73">
        <v>1.0</v>
      </c>
      <c r="R7" s="73">
        <v>0.0</v>
      </c>
      <c r="S7" s="73">
        <v>0.0</v>
      </c>
      <c r="T7" s="73">
        <v>0.0</v>
      </c>
      <c r="U7" s="73">
        <v>0.0</v>
      </c>
      <c r="V7" s="73">
        <v>0.0</v>
      </c>
      <c r="W7" s="73">
        <v>0.0</v>
      </c>
      <c r="X7" s="74"/>
      <c r="Z7" s="73">
        <v>0.0</v>
      </c>
      <c r="AA7" s="73">
        <v>0.0</v>
      </c>
      <c r="AB7" s="72" t="s">
        <v>28</v>
      </c>
      <c r="AC7" s="73">
        <v>0.0</v>
      </c>
      <c r="AD7" s="73">
        <v>0.0</v>
      </c>
      <c r="AE7" s="75">
        <v>43871.0</v>
      </c>
      <c r="AF7" s="73">
        <v>0.0</v>
      </c>
      <c r="AG7" s="76" t="s">
        <v>40</v>
      </c>
    </row>
    <row r="8" ht="15.75" customHeight="1">
      <c r="A8" s="8"/>
      <c r="B8" s="56" t="s">
        <v>16</v>
      </c>
      <c r="C8" s="56" t="s">
        <v>57</v>
      </c>
      <c r="D8" s="56" t="s">
        <v>58</v>
      </c>
      <c r="E8" s="57">
        <v>500000.0</v>
      </c>
      <c r="F8" s="57">
        <v>0.0</v>
      </c>
      <c r="G8" s="57">
        <v>0.0</v>
      </c>
      <c r="H8" s="56" t="s">
        <v>56</v>
      </c>
      <c r="I8" s="57">
        <v>0.0</v>
      </c>
      <c r="J8" s="57">
        <v>0.0</v>
      </c>
      <c r="K8" s="56" t="s">
        <v>18</v>
      </c>
      <c r="L8" s="70"/>
      <c r="M8" s="8"/>
      <c r="N8" s="56" t="s">
        <v>20</v>
      </c>
      <c r="O8" s="57">
        <v>1.0</v>
      </c>
      <c r="R8" s="57">
        <v>0.0</v>
      </c>
      <c r="S8" s="57">
        <v>0.0</v>
      </c>
      <c r="T8" s="57">
        <v>0.0</v>
      </c>
      <c r="U8" s="57">
        <v>0.0</v>
      </c>
      <c r="V8" s="57">
        <v>0.0</v>
      </c>
      <c r="W8" s="57">
        <v>0.0</v>
      </c>
      <c r="X8" s="70"/>
      <c r="Z8" s="57">
        <v>0.0</v>
      </c>
      <c r="AA8" s="57">
        <v>0.0</v>
      </c>
      <c r="AB8" s="70"/>
      <c r="AC8" s="57">
        <v>0.0</v>
      </c>
      <c r="AD8" s="57">
        <v>0.0</v>
      </c>
      <c r="AE8" s="55">
        <v>43871.0</v>
      </c>
      <c r="AF8" s="57">
        <v>0.0</v>
      </c>
      <c r="AG8" s="71" t="s">
        <v>59</v>
      </c>
    </row>
    <row r="9" ht="15.75" customHeight="1">
      <c r="A9" s="8"/>
      <c r="B9" s="72" t="s">
        <v>16</v>
      </c>
      <c r="C9" s="72" t="s">
        <v>40</v>
      </c>
      <c r="D9" s="72" t="s">
        <v>60</v>
      </c>
      <c r="E9" s="73">
        <v>-7340.0</v>
      </c>
      <c r="F9" s="73">
        <v>0.0</v>
      </c>
      <c r="G9" s="73">
        <v>0.0</v>
      </c>
      <c r="H9" s="72" t="s">
        <v>56</v>
      </c>
      <c r="I9" s="73">
        <v>0.0</v>
      </c>
      <c r="J9" s="73">
        <v>0.0</v>
      </c>
      <c r="K9" s="72" t="s">
        <v>28</v>
      </c>
      <c r="L9" s="72" t="s">
        <v>46</v>
      </c>
      <c r="M9" s="8"/>
      <c r="N9" s="72" t="s">
        <v>20</v>
      </c>
      <c r="O9" s="73">
        <v>1.1</v>
      </c>
      <c r="R9" s="73">
        <v>0.0</v>
      </c>
      <c r="S9" s="73">
        <v>0.0</v>
      </c>
      <c r="T9" s="73">
        <v>0.0</v>
      </c>
      <c r="U9" s="73">
        <v>0.0</v>
      </c>
      <c r="V9" s="73">
        <v>0.0</v>
      </c>
      <c r="W9" s="73">
        <v>0.0</v>
      </c>
      <c r="X9" s="74"/>
      <c r="Z9" s="73">
        <v>0.0</v>
      </c>
      <c r="AA9" s="73">
        <v>0.0</v>
      </c>
      <c r="AB9" s="72" t="s">
        <v>24</v>
      </c>
      <c r="AC9" s="73">
        <v>0.0</v>
      </c>
      <c r="AD9" s="73">
        <v>0.0</v>
      </c>
      <c r="AE9" s="77">
        <v>43871.0</v>
      </c>
      <c r="AF9" s="73">
        <v>0.0</v>
      </c>
      <c r="AG9" s="76" t="s">
        <v>40</v>
      </c>
    </row>
    <row r="10" ht="15.75" customHeight="1">
      <c r="A10" s="8"/>
      <c r="B10" s="56" t="s">
        <v>16</v>
      </c>
      <c r="C10" s="56" t="s">
        <v>40</v>
      </c>
      <c r="D10" s="56" t="s">
        <v>60</v>
      </c>
      <c r="E10" s="57">
        <v>7340.0</v>
      </c>
      <c r="F10" s="57">
        <v>0.0</v>
      </c>
      <c r="G10" s="57">
        <v>0.0</v>
      </c>
      <c r="H10" s="56" t="s">
        <v>56</v>
      </c>
      <c r="I10" s="57">
        <v>0.0</v>
      </c>
      <c r="J10" s="57">
        <v>0.0</v>
      </c>
      <c r="K10" s="56" t="s">
        <v>28</v>
      </c>
      <c r="L10" s="56" t="s">
        <v>47</v>
      </c>
      <c r="M10" s="8"/>
      <c r="N10" s="56" t="s">
        <v>20</v>
      </c>
      <c r="O10" s="57">
        <v>1.5</v>
      </c>
      <c r="R10" s="57">
        <v>0.0</v>
      </c>
      <c r="S10" s="57">
        <v>0.0</v>
      </c>
      <c r="T10" s="57">
        <v>0.0</v>
      </c>
      <c r="U10" s="57">
        <v>0.0</v>
      </c>
      <c r="V10" s="57">
        <v>0.0</v>
      </c>
      <c r="W10" s="57">
        <v>0.0</v>
      </c>
      <c r="X10" s="70"/>
      <c r="Z10" s="57">
        <v>0.0</v>
      </c>
      <c r="AA10" s="57">
        <v>0.0</v>
      </c>
      <c r="AB10" s="56" t="s">
        <v>24</v>
      </c>
      <c r="AC10" s="57">
        <v>0.0</v>
      </c>
      <c r="AD10" s="57">
        <v>0.0</v>
      </c>
      <c r="AE10" s="64">
        <v>43871.0</v>
      </c>
      <c r="AF10" s="57">
        <v>0.0</v>
      </c>
      <c r="AG10" s="71" t="s">
        <v>40</v>
      </c>
    </row>
    <row r="11" ht="15.75" customHeight="1">
      <c r="A11" s="8"/>
      <c r="B11" s="72" t="s">
        <v>16</v>
      </c>
      <c r="C11" s="72" t="s">
        <v>51</v>
      </c>
      <c r="D11" s="72" t="s">
        <v>61</v>
      </c>
      <c r="E11" s="73">
        <v>7340.0</v>
      </c>
      <c r="F11" s="73">
        <v>0.0</v>
      </c>
      <c r="G11" s="73">
        <v>0.0</v>
      </c>
      <c r="H11" s="72" t="s">
        <v>56</v>
      </c>
      <c r="I11" s="73">
        <v>0.0</v>
      </c>
      <c r="J11" s="73">
        <v>2.5</v>
      </c>
      <c r="K11" s="72" t="s">
        <v>28</v>
      </c>
      <c r="L11" s="72" t="s">
        <v>62</v>
      </c>
      <c r="M11" s="8"/>
      <c r="N11" s="72" t="s">
        <v>20</v>
      </c>
      <c r="O11" s="73">
        <v>1.1</v>
      </c>
      <c r="R11" s="73">
        <v>0.0</v>
      </c>
      <c r="S11" s="73">
        <v>0.0</v>
      </c>
      <c r="T11" s="73">
        <v>0.0</v>
      </c>
      <c r="U11" s="73">
        <v>0.0</v>
      </c>
      <c r="V11" s="73">
        <v>105.0</v>
      </c>
      <c r="W11" s="73">
        <v>0.0</v>
      </c>
      <c r="X11" s="76" t="s">
        <v>28</v>
      </c>
      <c r="Z11" s="73">
        <v>7.5</v>
      </c>
      <c r="AA11" s="73">
        <v>0.0</v>
      </c>
      <c r="AB11" s="72" t="s">
        <v>24</v>
      </c>
      <c r="AC11" s="73">
        <v>0.0</v>
      </c>
      <c r="AD11" s="73">
        <v>10.0</v>
      </c>
      <c r="AE11" s="77">
        <v>43871.0</v>
      </c>
      <c r="AF11" s="73">
        <v>0.0</v>
      </c>
      <c r="AG11" s="76" t="s">
        <v>51</v>
      </c>
    </row>
    <row r="12" ht="15.75" customHeight="1">
      <c r="A12" s="8"/>
      <c r="B12" s="56" t="s">
        <v>16</v>
      </c>
      <c r="C12" s="56" t="s">
        <v>40</v>
      </c>
      <c r="D12" s="56" t="s">
        <v>60</v>
      </c>
      <c r="E12" s="57">
        <v>7340.0</v>
      </c>
      <c r="F12" s="57">
        <v>0.0</v>
      </c>
      <c r="G12" s="57">
        <v>0.0</v>
      </c>
      <c r="H12" s="56" t="s">
        <v>56</v>
      </c>
      <c r="I12" s="57">
        <v>0.0</v>
      </c>
      <c r="J12" s="57">
        <v>0.0</v>
      </c>
      <c r="K12" s="56" t="s">
        <v>28</v>
      </c>
      <c r="L12" s="56" t="s">
        <v>48</v>
      </c>
      <c r="M12" s="8"/>
      <c r="N12" s="56" t="s">
        <v>20</v>
      </c>
      <c r="O12" s="57">
        <v>2.0</v>
      </c>
      <c r="R12" s="57">
        <v>0.0</v>
      </c>
      <c r="S12" s="57">
        <v>0.0</v>
      </c>
      <c r="T12" s="57">
        <v>0.0</v>
      </c>
      <c r="U12" s="57">
        <v>0.0</v>
      </c>
      <c r="V12" s="57">
        <v>0.0</v>
      </c>
      <c r="W12" s="57">
        <v>0.0</v>
      </c>
      <c r="X12" s="70"/>
      <c r="Z12" s="57">
        <v>0.0</v>
      </c>
      <c r="AA12" s="57">
        <v>0.0</v>
      </c>
      <c r="AB12" s="56" t="s">
        <v>28</v>
      </c>
      <c r="AC12" s="57">
        <v>0.0</v>
      </c>
      <c r="AD12" s="57">
        <v>0.0</v>
      </c>
      <c r="AE12" s="55">
        <v>43872.0</v>
      </c>
      <c r="AF12" s="57">
        <v>0.0</v>
      </c>
      <c r="AG12" s="71" t="s">
        <v>40</v>
      </c>
    </row>
    <row r="13" ht="15.75" customHeight="1">
      <c r="A13" s="8"/>
      <c r="B13" s="72" t="s">
        <v>16</v>
      </c>
      <c r="C13" s="72" t="s">
        <v>40</v>
      </c>
      <c r="D13" s="72" t="s">
        <v>60</v>
      </c>
      <c r="E13" s="73">
        <v>-7340.0</v>
      </c>
      <c r="F13" s="73">
        <v>0.0</v>
      </c>
      <c r="G13" s="73">
        <v>0.0</v>
      </c>
      <c r="H13" s="72" t="s">
        <v>56</v>
      </c>
      <c r="I13" s="73">
        <v>0.0</v>
      </c>
      <c r="J13" s="73">
        <v>0.0</v>
      </c>
      <c r="K13" s="72" t="s">
        <v>28</v>
      </c>
      <c r="L13" s="72" t="s">
        <v>49</v>
      </c>
      <c r="M13" s="8"/>
      <c r="N13" s="72" t="s">
        <v>20</v>
      </c>
      <c r="O13" s="73">
        <v>1.5</v>
      </c>
      <c r="R13" s="73">
        <v>0.0</v>
      </c>
      <c r="S13" s="73">
        <v>0.0</v>
      </c>
      <c r="T13" s="73">
        <v>0.0</v>
      </c>
      <c r="U13" s="73">
        <v>0.0</v>
      </c>
      <c r="V13" s="73">
        <v>0.0</v>
      </c>
      <c r="W13" s="73">
        <v>0.0</v>
      </c>
      <c r="X13" s="74"/>
      <c r="Z13" s="73">
        <v>0.0</v>
      </c>
      <c r="AA13" s="73">
        <v>0.0</v>
      </c>
      <c r="AB13" s="72" t="s">
        <v>28</v>
      </c>
      <c r="AC13" s="73">
        <v>0.0</v>
      </c>
      <c r="AD13" s="73">
        <v>0.0</v>
      </c>
      <c r="AE13" s="75">
        <v>43872.0</v>
      </c>
      <c r="AF13" s="73">
        <v>0.0</v>
      </c>
      <c r="AG13" s="76" t="s">
        <v>40</v>
      </c>
    </row>
    <row r="14" ht="15.75" customHeight="1">
      <c r="A14" s="8"/>
      <c r="B14" s="56" t="s">
        <v>16</v>
      </c>
      <c r="C14" s="56" t="s">
        <v>40</v>
      </c>
      <c r="D14" s="56" t="s">
        <v>55</v>
      </c>
      <c r="E14" s="57">
        <v>-1060.0</v>
      </c>
      <c r="F14" s="57">
        <v>0.0</v>
      </c>
      <c r="G14" s="57">
        <v>0.0</v>
      </c>
      <c r="H14" s="56" t="s">
        <v>56</v>
      </c>
      <c r="I14" s="57">
        <v>0.0</v>
      </c>
      <c r="J14" s="57">
        <v>0.0</v>
      </c>
      <c r="K14" s="56" t="s">
        <v>28</v>
      </c>
      <c r="L14" s="56" t="s">
        <v>41</v>
      </c>
      <c r="M14" s="8"/>
      <c r="N14" s="56" t="s">
        <v>20</v>
      </c>
      <c r="O14" s="57">
        <v>2.0</v>
      </c>
      <c r="R14" s="57">
        <v>0.0</v>
      </c>
      <c r="S14" s="57">
        <v>0.0</v>
      </c>
      <c r="T14" s="57">
        <v>0.0</v>
      </c>
      <c r="U14" s="57">
        <v>0.0</v>
      </c>
      <c r="V14" s="57">
        <v>0.0</v>
      </c>
      <c r="W14" s="57">
        <v>0.0</v>
      </c>
      <c r="X14" s="70"/>
      <c r="Z14" s="57">
        <v>0.0</v>
      </c>
      <c r="AA14" s="57">
        <v>0.0</v>
      </c>
      <c r="AB14" s="56" t="s">
        <v>24</v>
      </c>
      <c r="AC14" s="57">
        <v>0.0</v>
      </c>
      <c r="AD14" s="57">
        <v>0.0</v>
      </c>
      <c r="AE14" s="55">
        <v>43872.0</v>
      </c>
      <c r="AF14" s="57">
        <v>0.0</v>
      </c>
      <c r="AG14" s="71" t="s">
        <v>40</v>
      </c>
    </row>
    <row r="15" ht="15.75" customHeight="1">
      <c r="A15" s="8"/>
      <c r="B15" s="72" t="s">
        <v>16</v>
      </c>
      <c r="C15" s="72" t="s">
        <v>40</v>
      </c>
      <c r="D15" s="72" t="s">
        <v>55</v>
      </c>
      <c r="E15" s="73">
        <v>-6606.0</v>
      </c>
      <c r="F15" s="73">
        <v>0.0</v>
      </c>
      <c r="G15" s="73">
        <v>0.0</v>
      </c>
      <c r="H15" s="72" t="s">
        <v>56</v>
      </c>
      <c r="I15" s="73">
        <v>0.0</v>
      </c>
      <c r="J15" s="73">
        <v>0.0</v>
      </c>
      <c r="K15" s="72" t="s">
        <v>18</v>
      </c>
      <c r="L15" s="72" t="s">
        <v>41</v>
      </c>
      <c r="M15" s="8"/>
      <c r="N15" s="72" t="s">
        <v>20</v>
      </c>
      <c r="O15" s="73">
        <v>1.0</v>
      </c>
      <c r="R15" s="73">
        <v>0.0</v>
      </c>
      <c r="S15" s="73">
        <v>0.0</v>
      </c>
      <c r="T15" s="73">
        <v>0.0</v>
      </c>
      <c r="U15" s="73">
        <v>0.0</v>
      </c>
      <c r="V15" s="73">
        <v>0.0</v>
      </c>
      <c r="W15" s="73">
        <v>0.0</v>
      </c>
      <c r="X15" s="74"/>
      <c r="Z15" s="73">
        <v>0.0</v>
      </c>
      <c r="AA15" s="73">
        <v>0.0</v>
      </c>
      <c r="AB15" s="72" t="s">
        <v>28</v>
      </c>
      <c r="AC15" s="73">
        <v>0.0</v>
      </c>
      <c r="AD15" s="73">
        <v>0.0</v>
      </c>
      <c r="AE15" s="75">
        <v>43872.0</v>
      </c>
      <c r="AF15" s="73">
        <v>0.0</v>
      </c>
      <c r="AG15" s="76" t="s">
        <v>40</v>
      </c>
    </row>
    <row r="16" ht="15.75" customHeight="1">
      <c r="A16" s="8"/>
      <c r="B16" s="56" t="s">
        <v>16</v>
      </c>
      <c r="C16" s="56" t="s">
        <v>40</v>
      </c>
      <c r="D16" s="56" t="s">
        <v>55</v>
      </c>
      <c r="E16" s="57">
        <v>535.0</v>
      </c>
      <c r="F16" s="57">
        <v>0.0</v>
      </c>
      <c r="G16" s="57">
        <v>0.0</v>
      </c>
      <c r="H16" s="56" t="s">
        <v>56</v>
      </c>
      <c r="I16" s="57">
        <v>0.0</v>
      </c>
      <c r="J16" s="57">
        <v>0.0</v>
      </c>
      <c r="K16" s="56" t="s">
        <v>28</v>
      </c>
      <c r="L16" s="56" t="s">
        <v>44</v>
      </c>
      <c r="M16" s="8"/>
      <c r="N16" s="56" t="s">
        <v>20</v>
      </c>
      <c r="O16" s="57">
        <v>1.5</v>
      </c>
      <c r="R16" s="57">
        <v>0.0</v>
      </c>
      <c r="S16" s="57">
        <v>0.0</v>
      </c>
      <c r="T16" s="57">
        <v>0.0</v>
      </c>
      <c r="U16" s="57">
        <v>0.0</v>
      </c>
      <c r="V16" s="57">
        <v>0.0</v>
      </c>
      <c r="W16" s="57">
        <v>0.0</v>
      </c>
      <c r="X16" s="70"/>
      <c r="Z16" s="57">
        <v>0.0</v>
      </c>
      <c r="AA16" s="57">
        <v>0.0</v>
      </c>
      <c r="AB16" s="56" t="s">
        <v>24</v>
      </c>
      <c r="AC16" s="57">
        <v>0.0</v>
      </c>
      <c r="AD16" s="57">
        <v>0.0</v>
      </c>
      <c r="AE16" s="55">
        <v>43872.0</v>
      </c>
      <c r="AF16" s="57">
        <v>0.0</v>
      </c>
      <c r="AG16" s="71" t="s">
        <v>40</v>
      </c>
    </row>
    <row r="17" ht="15.75" customHeight="1">
      <c r="A17" s="8"/>
      <c r="B17" s="72" t="s">
        <v>16</v>
      </c>
      <c r="C17" s="72" t="s">
        <v>40</v>
      </c>
      <c r="D17" s="72" t="s">
        <v>55</v>
      </c>
      <c r="E17" s="73">
        <v>2936.0</v>
      </c>
      <c r="F17" s="73">
        <v>0.0</v>
      </c>
      <c r="G17" s="73">
        <v>0.0</v>
      </c>
      <c r="H17" s="72" t="s">
        <v>56</v>
      </c>
      <c r="I17" s="73">
        <v>0.0</v>
      </c>
      <c r="J17" s="73">
        <v>0.0</v>
      </c>
      <c r="K17" s="72" t="s">
        <v>18</v>
      </c>
      <c r="L17" s="72" t="s">
        <v>44</v>
      </c>
      <c r="M17" s="8"/>
      <c r="N17" s="72" t="s">
        <v>20</v>
      </c>
      <c r="O17" s="73">
        <v>1.0</v>
      </c>
      <c r="R17" s="73">
        <v>0.0</v>
      </c>
      <c r="S17" s="73">
        <v>0.0</v>
      </c>
      <c r="T17" s="73">
        <v>0.0</v>
      </c>
      <c r="U17" s="73">
        <v>0.0</v>
      </c>
      <c r="V17" s="73">
        <v>0.0</v>
      </c>
      <c r="W17" s="73">
        <v>0.0</v>
      </c>
      <c r="X17" s="74"/>
      <c r="Z17" s="73">
        <v>0.0</v>
      </c>
      <c r="AA17" s="73">
        <v>0.0</v>
      </c>
      <c r="AB17" s="72" t="s">
        <v>28</v>
      </c>
      <c r="AC17" s="73">
        <v>0.0</v>
      </c>
      <c r="AD17" s="73">
        <v>0.0</v>
      </c>
      <c r="AE17" s="75">
        <v>43872.0</v>
      </c>
      <c r="AF17" s="73">
        <v>0.0</v>
      </c>
      <c r="AG17" s="76" t="s">
        <v>40</v>
      </c>
    </row>
    <row r="18" ht="15.75" customHeight="1">
      <c r="A18" s="8"/>
      <c r="B18" s="56" t="s">
        <v>16</v>
      </c>
      <c r="C18" s="56" t="s">
        <v>40</v>
      </c>
      <c r="D18" s="56" t="s">
        <v>55</v>
      </c>
      <c r="E18" s="57">
        <v>-4337.5</v>
      </c>
      <c r="F18" s="57">
        <v>0.0</v>
      </c>
      <c r="G18" s="57">
        <v>0.0</v>
      </c>
      <c r="H18" s="56" t="s">
        <v>56</v>
      </c>
      <c r="I18" s="57">
        <v>0.0</v>
      </c>
      <c r="J18" s="57">
        <v>0.0</v>
      </c>
      <c r="K18" s="56" t="s">
        <v>28</v>
      </c>
      <c r="L18" s="56" t="s">
        <v>41</v>
      </c>
      <c r="M18" s="8"/>
      <c r="N18" s="56" t="s">
        <v>20</v>
      </c>
      <c r="O18" s="57">
        <v>2.5</v>
      </c>
      <c r="R18" s="57">
        <v>0.0</v>
      </c>
      <c r="S18" s="57">
        <v>0.0</v>
      </c>
      <c r="T18" s="57">
        <v>0.0</v>
      </c>
      <c r="U18" s="57">
        <v>0.0</v>
      </c>
      <c r="V18" s="57">
        <v>0.0</v>
      </c>
      <c r="W18" s="57">
        <v>0.0</v>
      </c>
      <c r="X18" s="70"/>
      <c r="Z18" s="57">
        <v>0.0</v>
      </c>
      <c r="AA18" s="57">
        <v>0.0</v>
      </c>
      <c r="AB18" s="56" t="s">
        <v>24</v>
      </c>
      <c r="AC18" s="57">
        <v>0.0</v>
      </c>
      <c r="AD18" s="57">
        <v>0.0</v>
      </c>
      <c r="AE18" s="55">
        <v>43873.0</v>
      </c>
      <c r="AF18" s="57">
        <v>0.0</v>
      </c>
      <c r="AG18" s="71" t="s">
        <v>40</v>
      </c>
    </row>
    <row r="19" ht="15.75" customHeight="1">
      <c r="A19" s="8"/>
      <c r="B19" s="72" t="s">
        <v>16</v>
      </c>
      <c r="C19" s="72" t="s">
        <v>40</v>
      </c>
      <c r="D19" s="72" t="s">
        <v>55</v>
      </c>
      <c r="E19" s="73">
        <v>-10276.0</v>
      </c>
      <c r="F19" s="73">
        <v>0.0</v>
      </c>
      <c r="G19" s="73">
        <v>0.0</v>
      </c>
      <c r="H19" s="72" t="s">
        <v>56</v>
      </c>
      <c r="I19" s="73">
        <v>0.0</v>
      </c>
      <c r="J19" s="73">
        <v>0.0</v>
      </c>
      <c r="K19" s="72" t="s">
        <v>18</v>
      </c>
      <c r="L19" s="72" t="s">
        <v>41</v>
      </c>
      <c r="M19" s="8"/>
      <c r="N19" s="72" t="s">
        <v>20</v>
      </c>
      <c r="O19" s="73">
        <v>1.0</v>
      </c>
      <c r="R19" s="73">
        <v>0.0</v>
      </c>
      <c r="S19" s="73">
        <v>0.0</v>
      </c>
      <c r="T19" s="73">
        <v>0.0</v>
      </c>
      <c r="U19" s="73">
        <v>0.0</v>
      </c>
      <c r="V19" s="73">
        <v>0.0</v>
      </c>
      <c r="W19" s="73">
        <v>0.0</v>
      </c>
      <c r="X19" s="74"/>
      <c r="Z19" s="73">
        <v>0.0</v>
      </c>
      <c r="AA19" s="73">
        <v>0.0</v>
      </c>
      <c r="AB19" s="72" t="s">
        <v>28</v>
      </c>
      <c r="AC19" s="73">
        <v>0.0</v>
      </c>
      <c r="AD19" s="73">
        <v>0.0</v>
      </c>
      <c r="AE19" s="75">
        <v>43873.0</v>
      </c>
      <c r="AF19" s="73">
        <v>0.0</v>
      </c>
      <c r="AG19" s="76" t="s">
        <v>40</v>
      </c>
    </row>
    <row r="20" ht="15.75" customHeight="1">
      <c r="A20" s="8"/>
      <c r="B20" s="56" t="s">
        <v>16</v>
      </c>
      <c r="C20" s="56" t="s">
        <v>40</v>
      </c>
      <c r="D20" s="56" t="s">
        <v>55</v>
      </c>
      <c r="E20" s="57">
        <v>-647.5</v>
      </c>
      <c r="F20" s="57">
        <v>0.0</v>
      </c>
      <c r="G20" s="57">
        <v>0.0</v>
      </c>
      <c r="H20" s="56" t="s">
        <v>56</v>
      </c>
      <c r="I20" s="57">
        <v>0.0</v>
      </c>
      <c r="J20" s="57">
        <v>0.0</v>
      </c>
      <c r="K20" s="56" t="s">
        <v>28</v>
      </c>
      <c r="L20" s="56" t="s">
        <v>41</v>
      </c>
      <c r="M20" s="8"/>
      <c r="N20" s="56" t="s">
        <v>20</v>
      </c>
      <c r="O20" s="57">
        <v>2.5</v>
      </c>
      <c r="R20" s="57">
        <v>0.0</v>
      </c>
      <c r="S20" s="57">
        <v>0.0</v>
      </c>
      <c r="T20" s="57">
        <v>0.0</v>
      </c>
      <c r="U20" s="57">
        <v>0.0</v>
      </c>
      <c r="V20" s="57">
        <v>0.0</v>
      </c>
      <c r="W20" s="57">
        <v>0.0</v>
      </c>
      <c r="X20" s="70"/>
      <c r="Z20" s="57">
        <v>0.0</v>
      </c>
      <c r="AA20" s="57">
        <v>0.0</v>
      </c>
      <c r="AB20" s="56" t="s">
        <v>66</v>
      </c>
      <c r="AC20" s="57">
        <v>0.0</v>
      </c>
      <c r="AD20" s="57">
        <v>0.0</v>
      </c>
      <c r="AE20" s="55">
        <v>43873.0</v>
      </c>
      <c r="AF20" s="57">
        <v>0.0</v>
      </c>
      <c r="AG20" s="71" t="s">
        <v>40</v>
      </c>
    </row>
    <row r="21" ht="15.75" customHeight="1">
      <c r="A21" s="8"/>
      <c r="B21" s="72" t="s">
        <v>16</v>
      </c>
      <c r="C21" s="72" t="s">
        <v>40</v>
      </c>
      <c r="D21" s="72" t="s">
        <v>55</v>
      </c>
      <c r="E21" s="73">
        <v>1060.0</v>
      </c>
      <c r="F21" s="73">
        <v>0.0</v>
      </c>
      <c r="G21" s="73">
        <v>0.0</v>
      </c>
      <c r="H21" s="72" t="s">
        <v>56</v>
      </c>
      <c r="I21" s="73">
        <v>0.0</v>
      </c>
      <c r="J21" s="73">
        <v>0.0</v>
      </c>
      <c r="K21" s="72" t="s">
        <v>28</v>
      </c>
      <c r="L21" s="72" t="s">
        <v>44</v>
      </c>
      <c r="M21" s="8"/>
      <c r="N21" s="72" t="s">
        <v>20</v>
      </c>
      <c r="O21" s="73">
        <v>2.0</v>
      </c>
      <c r="R21" s="73">
        <v>0.0</v>
      </c>
      <c r="S21" s="73">
        <v>0.0</v>
      </c>
      <c r="T21" s="73">
        <v>0.0</v>
      </c>
      <c r="U21" s="73">
        <v>0.0</v>
      </c>
      <c r="V21" s="73">
        <v>0.0</v>
      </c>
      <c r="W21" s="73">
        <v>0.0</v>
      </c>
      <c r="X21" s="74"/>
      <c r="Z21" s="73">
        <v>0.0</v>
      </c>
      <c r="AA21" s="73">
        <v>0.0</v>
      </c>
      <c r="AB21" s="72" t="s">
        <v>24</v>
      </c>
      <c r="AC21" s="73">
        <v>0.0</v>
      </c>
      <c r="AD21" s="73">
        <v>0.0</v>
      </c>
      <c r="AE21" s="75">
        <v>43873.0</v>
      </c>
      <c r="AF21" s="73">
        <v>0.0</v>
      </c>
      <c r="AG21" s="76" t="s">
        <v>40</v>
      </c>
    </row>
    <row r="22" ht="15.75" customHeight="1">
      <c r="A22" s="8"/>
      <c r="B22" s="56" t="s">
        <v>16</v>
      </c>
      <c r="C22" s="56" t="s">
        <v>40</v>
      </c>
      <c r="D22" s="56" t="s">
        <v>55</v>
      </c>
      <c r="E22" s="57">
        <v>6606.0</v>
      </c>
      <c r="F22" s="57">
        <v>0.0</v>
      </c>
      <c r="G22" s="57">
        <v>0.0</v>
      </c>
      <c r="H22" s="56" t="s">
        <v>56</v>
      </c>
      <c r="I22" s="57">
        <v>0.0</v>
      </c>
      <c r="J22" s="57">
        <v>0.0</v>
      </c>
      <c r="K22" s="56" t="s">
        <v>18</v>
      </c>
      <c r="L22" s="56" t="s">
        <v>44</v>
      </c>
      <c r="M22" s="8"/>
      <c r="N22" s="56" t="s">
        <v>20</v>
      </c>
      <c r="O22" s="57">
        <v>1.0</v>
      </c>
      <c r="R22" s="57">
        <v>0.0</v>
      </c>
      <c r="S22" s="57">
        <v>0.0</v>
      </c>
      <c r="T22" s="57">
        <v>0.0</v>
      </c>
      <c r="U22" s="57">
        <v>0.0</v>
      </c>
      <c r="V22" s="57">
        <v>0.0</v>
      </c>
      <c r="W22" s="57">
        <v>0.0</v>
      </c>
      <c r="X22" s="70"/>
      <c r="Z22" s="57">
        <v>0.0</v>
      </c>
      <c r="AA22" s="57">
        <v>0.0</v>
      </c>
      <c r="AB22" s="56" t="s">
        <v>28</v>
      </c>
      <c r="AC22" s="57">
        <v>0.0</v>
      </c>
      <c r="AD22" s="57">
        <v>0.0</v>
      </c>
      <c r="AE22" s="55">
        <v>43873.0</v>
      </c>
      <c r="AF22" s="57">
        <v>0.0</v>
      </c>
      <c r="AG22" s="71" t="s">
        <v>40</v>
      </c>
    </row>
    <row r="23" ht="15.75" customHeight="1">
      <c r="A23" s="8"/>
      <c r="B23" s="72" t="s">
        <v>16</v>
      </c>
      <c r="C23" s="72" t="s">
        <v>40</v>
      </c>
      <c r="D23" s="72" t="s">
        <v>60</v>
      </c>
      <c r="E23" s="73">
        <v>7340.0</v>
      </c>
      <c r="F23" s="73">
        <v>0.0</v>
      </c>
      <c r="G23" s="73">
        <v>0.0</v>
      </c>
      <c r="H23" s="72" t="s">
        <v>56</v>
      </c>
      <c r="I23" s="73">
        <v>0.0</v>
      </c>
      <c r="J23" s="73">
        <v>0.0</v>
      </c>
      <c r="K23" s="72" t="s">
        <v>28</v>
      </c>
      <c r="L23" s="72" t="s">
        <v>48</v>
      </c>
      <c r="M23" s="8"/>
      <c r="N23" s="72" t="s">
        <v>20</v>
      </c>
      <c r="O23" s="73">
        <v>2.5</v>
      </c>
      <c r="R23" s="73">
        <v>0.0</v>
      </c>
      <c r="S23" s="73">
        <v>0.0</v>
      </c>
      <c r="T23" s="73">
        <v>0.0</v>
      </c>
      <c r="U23" s="73">
        <v>0.0</v>
      </c>
      <c r="V23" s="73">
        <v>0.0</v>
      </c>
      <c r="W23" s="73">
        <v>0.0</v>
      </c>
      <c r="X23" s="74"/>
      <c r="Z23" s="73">
        <v>0.0</v>
      </c>
      <c r="AA23" s="73">
        <v>0.0</v>
      </c>
      <c r="AB23" s="72" t="s">
        <v>28</v>
      </c>
      <c r="AC23" s="73">
        <v>0.0</v>
      </c>
      <c r="AD23" s="73">
        <v>0.0</v>
      </c>
      <c r="AE23" s="75">
        <v>43873.0</v>
      </c>
      <c r="AF23" s="73">
        <v>0.0</v>
      </c>
      <c r="AG23" s="76" t="s">
        <v>40</v>
      </c>
    </row>
    <row r="24" ht="15.75" customHeight="1">
      <c r="A24" s="8"/>
      <c r="B24" s="56" t="s">
        <v>16</v>
      </c>
      <c r="C24" s="56" t="s">
        <v>40</v>
      </c>
      <c r="D24" s="56" t="s">
        <v>60</v>
      </c>
      <c r="E24" s="57">
        <v>-7340.0</v>
      </c>
      <c r="F24" s="57">
        <v>0.0</v>
      </c>
      <c r="G24" s="57">
        <v>0.0</v>
      </c>
      <c r="H24" s="56" t="s">
        <v>56</v>
      </c>
      <c r="I24" s="57">
        <v>0.0</v>
      </c>
      <c r="J24" s="57">
        <v>0.0</v>
      </c>
      <c r="K24" s="56" t="s">
        <v>28</v>
      </c>
      <c r="L24" s="56" t="s">
        <v>49</v>
      </c>
      <c r="M24" s="8"/>
      <c r="N24" s="56" t="s">
        <v>20</v>
      </c>
      <c r="O24" s="57">
        <v>2.0</v>
      </c>
      <c r="R24" s="57">
        <v>0.0</v>
      </c>
      <c r="S24" s="57">
        <v>0.0</v>
      </c>
      <c r="T24" s="57">
        <v>0.0</v>
      </c>
      <c r="U24" s="57">
        <v>0.0</v>
      </c>
      <c r="V24" s="57">
        <v>0.0</v>
      </c>
      <c r="W24" s="57">
        <v>0.0</v>
      </c>
      <c r="X24" s="70"/>
      <c r="Z24" s="57">
        <v>0.0</v>
      </c>
      <c r="AA24" s="57">
        <v>0.0</v>
      </c>
      <c r="AB24" s="56" t="s">
        <v>28</v>
      </c>
      <c r="AC24" s="57">
        <v>0.0</v>
      </c>
      <c r="AD24" s="57">
        <v>0.0</v>
      </c>
      <c r="AE24" s="55">
        <v>43873.0</v>
      </c>
      <c r="AF24" s="57">
        <v>0.0</v>
      </c>
      <c r="AG24" s="71" t="s">
        <v>40</v>
      </c>
    </row>
    <row r="25" ht="15.75" customHeight="1">
      <c r="A25" s="8"/>
      <c r="B25" s="72" t="s">
        <v>16</v>
      </c>
      <c r="C25" s="72" t="s">
        <v>51</v>
      </c>
      <c r="D25" s="72" t="s">
        <v>61</v>
      </c>
      <c r="E25" s="73">
        <v>-7340.0</v>
      </c>
      <c r="F25" s="73">
        <v>0.0</v>
      </c>
      <c r="G25" s="73">
        <v>0.0</v>
      </c>
      <c r="H25" s="72" t="s">
        <v>56</v>
      </c>
      <c r="I25" s="73">
        <v>0.0</v>
      </c>
      <c r="J25" s="73">
        <v>0.0</v>
      </c>
      <c r="K25" s="72" t="s">
        <v>28</v>
      </c>
      <c r="L25" s="72" t="s">
        <v>62</v>
      </c>
      <c r="M25" s="8"/>
      <c r="N25" s="72" t="s">
        <v>20</v>
      </c>
      <c r="O25" s="73">
        <v>1.1</v>
      </c>
      <c r="R25" s="73">
        <v>0.0</v>
      </c>
      <c r="S25" s="73">
        <v>0.0</v>
      </c>
      <c r="T25" s="73">
        <v>0.0</v>
      </c>
      <c r="U25" s="73">
        <v>0.0</v>
      </c>
      <c r="V25" s="73">
        <v>105.0</v>
      </c>
      <c r="W25" s="73">
        <v>0.0</v>
      </c>
      <c r="X25" s="76" t="s">
        <v>18</v>
      </c>
      <c r="Z25" s="73">
        <v>0.0</v>
      </c>
      <c r="AA25" s="73">
        <v>0.0</v>
      </c>
      <c r="AB25" s="72" t="s">
        <v>24</v>
      </c>
      <c r="AC25" s="73">
        <v>0.0</v>
      </c>
      <c r="AD25" s="73">
        <v>0.0</v>
      </c>
      <c r="AE25" s="75">
        <v>43873.0</v>
      </c>
      <c r="AF25" s="73">
        <v>0.0</v>
      </c>
      <c r="AG25" s="76" t="s">
        <v>51</v>
      </c>
    </row>
    <row r="26" ht="15.75" customHeight="1">
      <c r="A26" s="8"/>
      <c r="B26" s="56" t="s">
        <v>16</v>
      </c>
      <c r="C26" s="56" t="s">
        <v>51</v>
      </c>
      <c r="D26" s="56" t="s">
        <v>61</v>
      </c>
      <c r="E26" s="57">
        <v>4587.5</v>
      </c>
      <c r="F26" s="57">
        <v>0.0</v>
      </c>
      <c r="G26" s="57">
        <v>0.0</v>
      </c>
      <c r="H26" s="56" t="s">
        <v>56</v>
      </c>
      <c r="I26" s="57">
        <v>0.0</v>
      </c>
      <c r="J26" s="57">
        <v>0.0</v>
      </c>
      <c r="K26" s="56" t="s">
        <v>28</v>
      </c>
      <c r="L26" s="56" t="s">
        <v>62</v>
      </c>
      <c r="M26" s="8"/>
      <c r="N26" s="56" t="s">
        <v>20</v>
      </c>
      <c r="O26" s="57">
        <v>1.1</v>
      </c>
      <c r="R26" s="57">
        <v>0.0</v>
      </c>
      <c r="S26" s="57">
        <v>0.0</v>
      </c>
      <c r="T26" s="57">
        <v>0.0</v>
      </c>
      <c r="U26" s="57">
        <v>0.0</v>
      </c>
      <c r="V26" s="57">
        <v>105.0</v>
      </c>
      <c r="W26" s="57">
        <v>0.0</v>
      </c>
      <c r="X26" s="71" t="s">
        <v>18</v>
      </c>
      <c r="Z26" s="57">
        <v>0.0</v>
      </c>
      <c r="AA26" s="57">
        <v>0.0</v>
      </c>
      <c r="AB26" s="56" t="s">
        <v>24</v>
      </c>
      <c r="AC26" s="57">
        <v>0.0</v>
      </c>
      <c r="AD26" s="57">
        <v>0.0</v>
      </c>
      <c r="AE26" s="55">
        <v>43873.0</v>
      </c>
      <c r="AF26" s="57">
        <v>0.0</v>
      </c>
      <c r="AG26" s="71" t="s">
        <v>51</v>
      </c>
    </row>
    <row r="27" ht="15.75" customHeight="1">
      <c r="B27" s="72" t="s">
        <v>16</v>
      </c>
      <c r="C27" s="72" t="s">
        <v>51</v>
      </c>
      <c r="D27" s="72" t="s">
        <v>61</v>
      </c>
      <c r="E27" s="73">
        <v>2752.5</v>
      </c>
      <c r="F27" s="73">
        <v>0.0</v>
      </c>
      <c r="G27" s="73">
        <v>0.0</v>
      </c>
      <c r="H27" s="72" t="s">
        <v>56</v>
      </c>
      <c r="I27" s="73">
        <v>0.0</v>
      </c>
      <c r="J27" s="73">
        <v>0.0</v>
      </c>
      <c r="K27" s="72" t="s">
        <v>28</v>
      </c>
      <c r="L27" s="72" t="s">
        <v>62</v>
      </c>
      <c r="N27" s="72" t="s">
        <v>20</v>
      </c>
      <c r="O27" s="73">
        <v>1.1</v>
      </c>
      <c r="R27" s="73">
        <v>0.0</v>
      </c>
      <c r="S27" s="73">
        <v>0.0</v>
      </c>
      <c r="T27" s="73">
        <v>0.0</v>
      </c>
      <c r="U27" s="73">
        <v>0.0</v>
      </c>
      <c r="V27" s="73">
        <v>34.0</v>
      </c>
      <c r="W27" s="73">
        <v>0.0</v>
      </c>
      <c r="X27" s="76" t="s">
        <v>18</v>
      </c>
      <c r="Z27" s="73">
        <v>0.0</v>
      </c>
      <c r="AA27" s="73">
        <v>0.0</v>
      </c>
      <c r="AB27" s="72" t="s">
        <v>66</v>
      </c>
      <c r="AC27" s="73">
        <v>0.0</v>
      </c>
      <c r="AD27" s="73">
        <v>0.0</v>
      </c>
      <c r="AE27" s="75">
        <v>43873.0</v>
      </c>
      <c r="AF27" s="73">
        <v>0.0</v>
      </c>
      <c r="AG27" s="76" t="s">
        <v>51</v>
      </c>
    </row>
    <row r="28" ht="15.75" customHeight="1">
      <c r="B28" s="56" t="s">
        <v>16</v>
      </c>
      <c r="C28" s="56" t="s">
        <v>57</v>
      </c>
      <c r="D28" s="90" t="s">
        <v>73</v>
      </c>
      <c r="E28" s="57">
        <v>0.0</v>
      </c>
      <c r="F28" s="57">
        <v>0.0</v>
      </c>
      <c r="G28" s="57">
        <v>0.0</v>
      </c>
      <c r="H28" s="56" t="s">
        <v>56</v>
      </c>
      <c r="I28" s="57">
        <v>0.0</v>
      </c>
      <c r="J28" s="57">
        <v>0.0</v>
      </c>
      <c r="K28" s="56" t="s">
        <v>28</v>
      </c>
      <c r="L28" s="56" t="s">
        <v>74</v>
      </c>
      <c r="N28" s="56" t="s">
        <v>20</v>
      </c>
      <c r="O28" s="57">
        <v>1.1</v>
      </c>
      <c r="R28" s="57">
        <v>0.0</v>
      </c>
      <c r="S28" s="57">
        <v>0.0</v>
      </c>
      <c r="T28" s="57">
        <v>0.0</v>
      </c>
      <c r="U28" s="57">
        <v>0.0</v>
      </c>
      <c r="V28" s="57">
        <v>0.0</v>
      </c>
      <c r="W28" s="57">
        <v>0.0</v>
      </c>
      <c r="X28" s="70"/>
      <c r="Z28" s="57">
        <v>0.0</v>
      </c>
      <c r="AA28" s="57">
        <v>0.0</v>
      </c>
      <c r="AB28" s="56" t="s">
        <v>66</v>
      </c>
      <c r="AC28" s="57">
        <v>0.0</v>
      </c>
      <c r="AD28" s="57">
        <v>0.0</v>
      </c>
      <c r="AE28" s="55">
        <v>43873.0</v>
      </c>
      <c r="AF28" s="57">
        <v>0.0</v>
      </c>
      <c r="AG28" s="71" t="s">
        <v>59</v>
      </c>
    </row>
    <row r="29" ht="15.75" customHeight="1">
      <c r="AE29" s="53"/>
    </row>
    <row r="30" ht="15.75" customHeight="1">
      <c r="AE30" s="53"/>
    </row>
    <row r="31" ht="15.75" customHeight="1">
      <c r="AE31" s="53"/>
    </row>
    <row r="32" ht="15.75" customHeight="1">
      <c r="AE32" s="53"/>
    </row>
    <row r="33" ht="15.75" customHeight="1">
      <c r="AE33" s="53"/>
    </row>
    <row r="34" ht="15.75" customHeight="1">
      <c r="AE34" s="53"/>
    </row>
    <row r="35" ht="15.75" customHeight="1">
      <c r="AE35" s="53"/>
    </row>
    <row r="36" ht="15.75" customHeight="1">
      <c r="AE36" s="53"/>
    </row>
    <row r="37" ht="15.75" customHeight="1">
      <c r="AE37" s="53"/>
    </row>
    <row r="38" ht="15.75" customHeight="1">
      <c r="AE38" s="53"/>
    </row>
    <row r="39" ht="15.75" customHeight="1">
      <c r="AE39" s="53"/>
    </row>
    <row r="40" ht="15.75" customHeight="1">
      <c r="AE40" s="53"/>
    </row>
    <row r="41" ht="15.75" customHeight="1">
      <c r="AE41" s="53"/>
    </row>
    <row r="42" ht="15.75" customHeight="1">
      <c r="AE42" s="53"/>
    </row>
    <row r="43" ht="15.75" customHeight="1">
      <c r="AE43" s="53"/>
    </row>
    <row r="44" ht="15.75" customHeight="1">
      <c r="AE44" s="53"/>
    </row>
    <row r="45" ht="15.75" customHeight="1">
      <c r="AE45" s="53"/>
    </row>
    <row r="46" ht="15.75" customHeight="1">
      <c r="AE46" s="53"/>
    </row>
    <row r="47" ht="15.75" customHeight="1">
      <c r="AE47" s="53"/>
    </row>
    <row r="48" ht="15.75" customHeight="1">
      <c r="AE48" s="53"/>
    </row>
    <row r="49" ht="15.75" customHeight="1">
      <c r="AE49" s="53"/>
    </row>
    <row r="50" ht="15.75" customHeight="1">
      <c r="AE50" s="53"/>
    </row>
    <row r="51" ht="15.75" customHeight="1">
      <c r="AE51" s="53"/>
    </row>
    <row r="52" ht="15.75" customHeight="1">
      <c r="AE52" s="53"/>
    </row>
    <row r="53" ht="15.75" customHeight="1">
      <c r="AE53" s="53"/>
    </row>
    <row r="54" ht="15.75" customHeight="1">
      <c r="AE54" s="53"/>
    </row>
    <row r="55" ht="15.75" customHeight="1">
      <c r="AE55" s="53"/>
    </row>
    <row r="56" ht="15.75" customHeight="1">
      <c r="AE56" s="53"/>
    </row>
    <row r="57" ht="15.75" customHeight="1">
      <c r="AE57" s="53"/>
    </row>
    <row r="58" ht="15.75" customHeight="1">
      <c r="AE58" s="53"/>
    </row>
    <row r="59" ht="15.75" customHeight="1">
      <c r="AE59" s="53"/>
    </row>
    <row r="60" ht="15.75" customHeight="1">
      <c r="AE60" s="53"/>
    </row>
    <row r="61" ht="15.75" customHeight="1">
      <c r="AE61" s="53"/>
    </row>
    <row r="62" ht="15.75" customHeight="1">
      <c r="AE62" s="53"/>
    </row>
    <row r="63" ht="15.75" customHeight="1">
      <c r="AE63" s="53"/>
    </row>
    <row r="64" ht="15.75" customHeight="1">
      <c r="AE64" s="53"/>
    </row>
    <row r="65" ht="15.75" customHeight="1">
      <c r="AE65" s="53"/>
    </row>
    <row r="66" ht="15.75" customHeight="1">
      <c r="AE66" s="53"/>
    </row>
    <row r="67" ht="15.75" customHeight="1">
      <c r="AE67" s="53"/>
    </row>
    <row r="68" ht="15.75" customHeight="1">
      <c r="AE68" s="53"/>
    </row>
    <row r="69" ht="15.75" customHeight="1">
      <c r="AE69" s="53"/>
    </row>
    <row r="70" ht="15.75" customHeight="1">
      <c r="AE70" s="53"/>
    </row>
    <row r="71" ht="15.75" customHeight="1">
      <c r="AE71" s="53"/>
    </row>
    <row r="72" ht="15.75" customHeight="1">
      <c r="AE72" s="53"/>
    </row>
    <row r="73" ht="15.75" customHeight="1">
      <c r="AE73" s="53"/>
    </row>
    <row r="74" ht="15.75" customHeight="1">
      <c r="AE74" s="53"/>
    </row>
    <row r="75" ht="15.75" customHeight="1">
      <c r="AE75" s="53"/>
    </row>
    <row r="76" ht="15.75" customHeight="1">
      <c r="AE76" s="53"/>
    </row>
    <row r="77" ht="15.75" customHeight="1">
      <c r="AE77" s="53"/>
    </row>
    <row r="78" ht="15.75" customHeight="1">
      <c r="AE78" s="53"/>
    </row>
    <row r="79" ht="15.75" customHeight="1">
      <c r="AE79" s="53"/>
    </row>
    <row r="80" ht="15.75" customHeight="1">
      <c r="AE80" s="53"/>
    </row>
    <row r="81" ht="15.75" customHeight="1">
      <c r="AE81" s="53"/>
    </row>
    <row r="82" ht="15.75" customHeight="1">
      <c r="AE82" s="53"/>
    </row>
    <row r="83" ht="15.75" customHeight="1">
      <c r="AE83" s="53"/>
    </row>
    <row r="84" ht="15.75" customHeight="1">
      <c r="AE84" s="53"/>
    </row>
    <row r="85" ht="15.75" customHeight="1">
      <c r="AE85" s="53"/>
    </row>
    <row r="86" ht="15.75" customHeight="1">
      <c r="AE86" s="53"/>
    </row>
    <row r="87" ht="15.75" customHeight="1">
      <c r="AE87" s="53"/>
    </row>
    <row r="88" ht="15.75" customHeight="1">
      <c r="AE88" s="53"/>
    </row>
    <row r="89" ht="15.75" customHeight="1">
      <c r="AE89" s="53"/>
    </row>
    <row r="90" ht="15.75" customHeight="1">
      <c r="AE90" s="53"/>
    </row>
    <row r="91" ht="15.75" customHeight="1">
      <c r="AE91" s="53"/>
    </row>
    <row r="92" ht="15.75" customHeight="1">
      <c r="AE92" s="53"/>
    </row>
    <row r="93" ht="15.75" customHeight="1">
      <c r="AE93" s="53"/>
    </row>
    <row r="94" ht="15.75" customHeight="1">
      <c r="AE94" s="53"/>
    </row>
    <row r="95" ht="15.75" customHeight="1">
      <c r="AE95" s="53"/>
    </row>
    <row r="96" ht="15.75" customHeight="1">
      <c r="AE96" s="53"/>
    </row>
    <row r="97" ht="15.75" customHeight="1">
      <c r="AE97" s="53"/>
    </row>
    <row r="98" ht="15.75" customHeight="1">
      <c r="AE98" s="53"/>
    </row>
    <row r="99" ht="15.75" customHeight="1">
      <c r="AE99" s="53"/>
    </row>
    <row r="100" ht="15.75" customHeight="1">
      <c r="AE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3" t="s">
        <v>77</v>
      </c>
      <c r="C6" s="40">
        <v>43871.0</v>
      </c>
      <c r="D6" s="40">
        <v>43873.0</v>
      </c>
      <c r="E6" s="31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79"/>
      <c r="K1" s="18"/>
      <c r="L1" s="18"/>
      <c r="M1" s="18"/>
      <c r="N1" s="18"/>
      <c r="O1" s="18"/>
      <c r="P1" s="19"/>
      <c r="Q1" s="19"/>
      <c r="R1" s="19"/>
      <c r="S1" s="19"/>
      <c r="T1" s="19"/>
      <c r="U1" s="66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80" t="str">
        <f> VLOOKUP($E$3,'_MasterData'!B4:D1000,3,FALSE)</f>
        <v>#N/A</v>
      </c>
      <c r="K2" s="20"/>
      <c r="L2" s="8"/>
      <c r="M2" s="8"/>
      <c r="N2" s="8"/>
      <c r="O2" s="8"/>
      <c r="U2" s="53"/>
    </row>
    <row r="3" ht="15.75" customHeight="1">
      <c r="A3" s="21"/>
      <c r="B3" s="5" t="s">
        <v>8</v>
      </c>
      <c r="C3" s="22" t="s">
        <v>75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81"/>
      <c r="K3" s="21"/>
      <c r="L3" s="21"/>
      <c r="M3" s="21"/>
      <c r="N3" s="21"/>
      <c r="O3" s="21"/>
      <c r="P3" s="23"/>
      <c r="Q3" s="23"/>
      <c r="R3" s="23"/>
      <c r="S3" s="23"/>
      <c r="T3" s="23"/>
      <c r="U3" s="67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51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68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52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6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82" t="s">
        <v>16</v>
      </c>
      <c r="C6" s="82" t="s">
        <v>79</v>
      </c>
      <c r="D6" s="11"/>
      <c r="E6" s="44"/>
      <c r="F6" s="8"/>
      <c r="G6" s="8"/>
      <c r="H6" s="83">
        <v>4587.5</v>
      </c>
      <c r="I6" s="83">
        <v>43.69047619</v>
      </c>
      <c r="J6" s="84"/>
      <c r="K6" s="8"/>
      <c r="L6" s="8"/>
      <c r="M6" s="83">
        <v>105.0</v>
      </c>
      <c r="N6" s="82" t="s">
        <v>24</v>
      </c>
      <c r="O6" s="83"/>
      <c r="P6" s="82" t="s">
        <v>25</v>
      </c>
      <c r="Q6" s="82" t="s">
        <v>80</v>
      </c>
      <c r="R6" s="82" t="s">
        <v>24</v>
      </c>
      <c r="T6" s="83">
        <v>0.0</v>
      </c>
      <c r="U6" s="84">
        <v>43873.0</v>
      </c>
      <c r="V6" s="91" t="s">
        <v>25</v>
      </c>
      <c r="W6" s="82" t="s">
        <v>81</v>
      </c>
      <c r="X6" s="83">
        <v>43.69047619</v>
      </c>
      <c r="Y6" s="83">
        <v>48.05952381</v>
      </c>
      <c r="Z6" s="83">
        <v>48.05952381</v>
      </c>
    </row>
    <row r="7" ht="15.75" customHeight="1">
      <c r="A7" s="8"/>
      <c r="B7" s="82" t="s">
        <v>16</v>
      </c>
      <c r="C7" s="82" t="s">
        <v>79</v>
      </c>
      <c r="D7" s="8"/>
      <c r="E7" s="8"/>
      <c r="F7" s="8"/>
      <c r="G7" s="8"/>
      <c r="H7" s="83">
        <v>2752.5</v>
      </c>
      <c r="I7" s="83">
        <v>80.95588235</v>
      </c>
      <c r="J7" s="84"/>
      <c r="K7" s="8"/>
      <c r="L7" s="8"/>
      <c r="M7" s="83">
        <v>34.0</v>
      </c>
      <c r="N7" s="82" t="s">
        <v>82</v>
      </c>
      <c r="O7" s="83"/>
      <c r="P7" s="82" t="s">
        <v>25</v>
      </c>
      <c r="Q7" s="82" t="s">
        <v>80</v>
      </c>
      <c r="R7" s="82" t="s">
        <v>66</v>
      </c>
      <c r="T7" s="83">
        <v>0.0</v>
      </c>
      <c r="U7" s="84">
        <v>43873.0</v>
      </c>
      <c r="V7" s="91" t="s">
        <v>25</v>
      </c>
      <c r="W7" s="82" t="s">
        <v>81</v>
      </c>
      <c r="X7" s="83">
        <v>80.95588235</v>
      </c>
      <c r="Y7" s="83">
        <v>89.05147059</v>
      </c>
      <c r="Z7" s="83">
        <v>89.05147059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48"/>
      <c r="K8" s="8"/>
      <c r="L8" s="8"/>
      <c r="M8" s="8"/>
      <c r="N8" s="8"/>
      <c r="O8" s="8"/>
      <c r="U8" s="5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48"/>
      <c r="K9" s="8"/>
      <c r="L9" s="8"/>
      <c r="M9" s="8"/>
      <c r="N9" s="8"/>
      <c r="O9" s="8"/>
      <c r="U9" s="5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48"/>
      <c r="K10" s="8"/>
      <c r="L10" s="8"/>
      <c r="M10" s="8"/>
      <c r="N10" s="8"/>
      <c r="O10" s="8"/>
      <c r="U10" s="5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48"/>
      <c r="K11" s="8"/>
      <c r="L11" s="8"/>
      <c r="M11" s="8"/>
      <c r="N11" s="8"/>
      <c r="O11" s="8"/>
      <c r="U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48"/>
      <c r="K12" s="8"/>
      <c r="L12" s="8"/>
      <c r="M12" s="8"/>
      <c r="N12" s="8"/>
      <c r="O12" s="8"/>
      <c r="U12" s="5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48"/>
      <c r="K13" s="8"/>
      <c r="L13" s="8"/>
      <c r="M13" s="8"/>
      <c r="N13" s="8"/>
      <c r="O13" s="8"/>
      <c r="U13" s="5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48"/>
      <c r="K14" s="8"/>
      <c r="L14" s="8"/>
      <c r="M14" s="8"/>
      <c r="N14" s="8"/>
      <c r="O14" s="8"/>
      <c r="U14" s="5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48"/>
      <c r="K15" s="8"/>
      <c r="L15" s="8"/>
      <c r="M15" s="8"/>
      <c r="N15" s="8"/>
      <c r="O15" s="8"/>
      <c r="U15" s="5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48"/>
      <c r="K16" s="8"/>
      <c r="L16" s="8"/>
      <c r="M16" s="8"/>
      <c r="N16" s="8"/>
      <c r="O16" s="8"/>
      <c r="U16" s="5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48"/>
      <c r="K17" s="8"/>
      <c r="L17" s="8"/>
      <c r="M17" s="8"/>
      <c r="N17" s="8"/>
      <c r="O17" s="8"/>
      <c r="U17" s="5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48"/>
      <c r="K18" s="8"/>
      <c r="L18" s="8"/>
      <c r="M18" s="8"/>
      <c r="N18" s="8"/>
      <c r="O18" s="8"/>
      <c r="U18" s="5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48"/>
      <c r="K19" s="8"/>
      <c r="L19" s="8"/>
      <c r="M19" s="8"/>
      <c r="N19" s="8"/>
      <c r="O19" s="8"/>
      <c r="U19" s="5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48"/>
      <c r="K20" s="8"/>
      <c r="L20" s="8"/>
      <c r="M20" s="8"/>
      <c r="N20" s="8"/>
      <c r="O20" s="8"/>
      <c r="U20" s="5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48"/>
      <c r="K21" s="8"/>
      <c r="L21" s="8"/>
      <c r="M21" s="8"/>
      <c r="N21" s="8"/>
      <c r="O21" s="8"/>
      <c r="U21" s="5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48"/>
      <c r="K22" s="8"/>
      <c r="L22" s="8"/>
      <c r="M22" s="8"/>
      <c r="N22" s="8"/>
      <c r="O22" s="8"/>
      <c r="U22" s="5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48"/>
      <c r="K23" s="8"/>
      <c r="L23" s="8"/>
      <c r="M23" s="8"/>
      <c r="N23" s="8"/>
      <c r="O23" s="8"/>
      <c r="U23" s="53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48"/>
      <c r="K24" s="8"/>
      <c r="L24" s="8"/>
      <c r="M24" s="8"/>
      <c r="N24" s="8"/>
      <c r="O24" s="8"/>
      <c r="U24" s="53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48"/>
      <c r="K25" s="8"/>
      <c r="L25" s="8"/>
      <c r="M25" s="8"/>
      <c r="N25" s="8"/>
      <c r="O25" s="8"/>
      <c r="U25" s="53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48"/>
      <c r="K26" s="8"/>
      <c r="L26" s="8"/>
      <c r="M26" s="8"/>
      <c r="N26" s="8"/>
      <c r="O26" s="8"/>
      <c r="U26" s="53"/>
    </row>
    <row r="27" ht="15.75" customHeight="1">
      <c r="J27" s="53"/>
      <c r="U27" s="53"/>
    </row>
    <row r="28" ht="15.75" customHeight="1">
      <c r="J28" s="53"/>
      <c r="U28" s="53"/>
    </row>
    <row r="29" ht="15.75" customHeight="1">
      <c r="J29" s="53"/>
      <c r="U29" s="53"/>
    </row>
    <row r="30" ht="15.75" customHeight="1">
      <c r="J30" s="53"/>
      <c r="U30" s="53"/>
    </row>
    <row r="31" ht="15.75" customHeight="1">
      <c r="J31" s="53"/>
      <c r="U31" s="53"/>
    </row>
    <row r="32" ht="15.75" customHeight="1">
      <c r="J32" s="53"/>
      <c r="U32" s="53"/>
    </row>
    <row r="33" ht="15.75" customHeight="1">
      <c r="J33" s="53"/>
      <c r="U33" s="53"/>
    </row>
    <row r="34" ht="15.75" customHeight="1">
      <c r="J34" s="53"/>
      <c r="U34" s="53"/>
    </row>
    <row r="35" ht="15.75" customHeight="1">
      <c r="J35" s="53"/>
      <c r="U35" s="53"/>
    </row>
    <row r="36" ht="15.75" customHeight="1">
      <c r="J36" s="53"/>
      <c r="U36" s="53"/>
    </row>
    <row r="37" ht="15.75" customHeight="1">
      <c r="J37" s="53"/>
      <c r="U37" s="53"/>
    </row>
    <row r="38" ht="15.75" customHeight="1">
      <c r="J38" s="53"/>
      <c r="U38" s="53"/>
    </row>
    <row r="39" ht="15.75" customHeight="1">
      <c r="J39" s="53"/>
      <c r="U39" s="53"/>
    </row>
    <row r="40" ht="15.75" customHeight="1">
      <c r="J40" s="53"/>
      <c r="U40" s="53"/>
    </row>
    <row r="41" ht="15.75" customHeight="1">
      <c r="J41" s="53"/>
      <c r="U41" s="53"/>
    </row>
    <row r="42" ht="15.75" customHeight="1">
      <c r="J42" s="53"/>
      <c r="U42" s="53"/>
    </row>
    <row r="43" ht="15.75" customHeight="1">
      <c r="J43" s="53"/>
      <c r="U43" s="53"/>
    </row>
    <row r="44" ht="15.75" customHeight="1">
      <c r="J44" s="53"/>
      <c r="U44" s="53"/>
    </row>
    <row r="45" ht="15.75" customHeight="1">
      <c r="J45" s="53"/>
      <c r="U45" s="53"/>
    </row>
    <row r="46" ht="15.75" customHeight="1">
      <c r="J46" s="53"/>
      <c r="U46" s="53"/>
    </row>
    <row r="47" ht="15.75" customHeight="1">
      <c r="J47" s="53"/>
      <c r="U47" s="53"/>
    </row>
    <row r="48" ht="15.75" customHeight="1">
      <c r="J48" s="53"/>
      <c r="U48" s="53"/>
    </row>
    <row r="49" ht="15.75" customHeight="1">
      <c r="J49" s="53"/>
      <c r="U49" s="53"/>
    </row>
    <row r="50" ht="15.75" customHeight="1">
      <c r="J50" s="53"/>
      <c r="U50" s="53"/>
    </row>
    <row r="51" ht="15.75" customHeight="1">
      <c r="J51" s="53"/>
      <c r="U51" s="53"/>
    </row>
    <row r="52" ht="15.75" customHeight="1">
      <c r="J52" s="53"/>
      <c r="U52" s="53"/>
    </row>
    <row r="53" ht="15.75" customHeight="1">
      <c r="J53" s="53"/>
      <c r="U53" s="53"/>
    </row>
    <row r="54" ht="15.75" customHeight="1">
      <c r="J54" s="53"/>
      <c r="U54" s="53"/>
    </row>
    <row r="55" ht="15.75" customHeight="1">
      <c r="J55" s="53"/>
      <c r="U55" s="53"/>
    </row>
    <row r="56" ht="15.75" customHeight="1">
      <c r="J56" s="53"/>
      <c r="U56" s="53"/>
    </row>
    <row r="57" ht="15.75" customHeight="1">
      <c r="J57" s="53"/>
      <c r="U57" s="53"/>
    </row>
    <row r="58" ht="15.75" customHeight="1">
      <c r="J58" s="53"/>
      <c r="U58" s="53"/>
    </row>
    <row r="59" ht="15.75" customHeight="1">
      <c r="J59" s="53"/>
      <c r="U59" s="53"/>
    </row>
    <row r="60" ht="15.75" customHeight="1">
      <c r="J60" s="53"/>
      <c r="U60" s="53"/>
    </row>
    <row r="61" ht="15.75" customHeight="1">
      <c r="J61" s="53"/>
      <c r="U61" s="53"/>
    </row>
    <row r="62" ht="15.75" customHeight="1">
      <c r="J62" s="53"/>
      <c r="U62" s="53"/>
    </row>
    <row r="63" ht="15.75" customHeight="1">
      <c r="J63" s="53"/>
      <c r="U63" s="53"/>
    </row>
    <row r="64" ht="15.75" customHeight="1">
      <c r="J64" s="53"/>
      <c r="U64" s="53"/>
    </row>
    <row r="65" ht="15.75" customHeight="1">
      <c r="J65" s="53"/>
      <c r="U65" s="53"/>
    </row>
    <row r="66" ht="15.75" customHeight="1">
      <c r="J66" s="53"/>
      <c r="U66" s="53"/>
    </row>
    <row r="67" ht="15.75" customHeight="1">
      <c r="J67" s="53"/>
      <c r="U67" s="53"/>
    </row>
    <row r="68" ht="15.75" customHeight="1">
      <c r="J68" s="53"/>
      <c r="U68" s="53"/>
    </row>
    <row r="69" ht="15.75" customHeight="1">
      <c r="J69" s="53"/>
      <c r="U69" s="53"/>
    </row>
    <row r="70" ht="15.75" customHeight="1">
      <c r="J70" s="53"/>
      <c r="U70" s="53"/>
    </row>
    <row r="71" ht="15.75" customHeight="1">
      <c r="J71" s="53"/>
      <c r="U71" s="53"/>
    </row>
    <row r="72" ht="15.75" customHeight="1">
      <c r="J72" s="53"/>
      <c r="U72" s="53"/>
    </row>
    <row r="73" ht="15.75" customHeight="1">
      <c r="J73" s="53"/>
      <c r="U73" s="53"/>
    </row>
    <row r="74" ht="15.75" customHeight="1">
      <c r="J74" s="53"/>
      <c r="U74" s="53"/>
    </row>
    <row r="75" ht="15.75" customHeight="1">
      <c r="J75" s="53"/>
      <c r="U75" s="53"/>
    </row>
    <row r="76" ht="15.75" customHeight="1">
      <c r="J76" s="53"/>
      <c r="U76" s="53"/>
    </row>
    <row r="77" ht="15.75" customHeight="1">
      <c r="J77" s="53"/>
      <c r="U77" s="53"/>
    </row>
    <row r="78" ht="15.75" customHeight="1">
      <c r="J78" s="53"/>
      <c r="U78" s="53"/>
    </row>
    <row r="79" ht="15.75" customHeight="1">
      <c r="J79" s="53"/>
      <c r="U79" s="53"/>
    </row>
    <row r="80" ht="15.75" customHeight="1">
      <c r="J80" s="53"/>
      <c r="U80" s="53"/>
    </row>
    <row r="81" ht="15.75" customHeight="1">
      <c r="J81" s="53"/>
      <c r="U81" s="53"/>
    </row>
    <row r="82" ht="15.75" customHeight="1">
      <c r="J82" s="53"/>
      <c r="U82" s="53"/>
    </row>
    <row r="83" ht="15.75" customHeight="1">
      <c r="J83" s="53"/>
      <c r="U83" s="53"/>
    </row>
    <row r="84" ht="15.75" customHeight="1">
      <c r="J84" s="53"/>
      <c r="U84" s="53"/>
    </row>
    <row r="85" ht="15.75" customHeight="1">
      <c r="J85" s="53"/>
      <c r="U85" s="53"/>
    </row>
    <row r="86" ht="15.75" customHeight="1">
      <c r="J86" s="53"/>
      <c r="U86" s="53"/>
    </row>
    <row r="87" ht="15.75" customHeight="1">
      <c r="J87" s="53"/>
      <c r="U87" s="53"/>
    </row>
    <row r="88" ht="15.75" customHeight="1">
      <c r="J88" s="53"/>
      <c r="U88" s="53"/>
    </row>
    <row r="89" ht="15.75" customHeight="1">
      <c r="J89" s="53"/>
      <c r="U89" s="53"/>
    </row>
    <row r="90" ht="15.75" customHeight="1">
      <c r="J90" s="53"/>
      <c r="U90" s="53"/>
    </row>
    <row r="91" ht="15.75" customHeight="1">
      <c r="J91" s="53"/>
      <c r="U91" s="53"/>
    </row>
    <row r="92" ht="15.75" customHeight="1">
      <c r="J92" s="53"/>
      <c r="U92" s="53"/>
    </row>
    <row r="93" ht="15.75" customHeight="1">
      <c r="J93" s="53"/>
      <c r="U93" s="53"/>
    </row>
    <row r="94" ht="15.75" customHeight="1">
      <c r="J94" s="53"/>
      <c r="U94" s="53"/>
    </row>
    <row r="95" ht="15.75" customHeight="1">
      <c r="J95" s="53"/>
      <c r="U95" s="53"/>
    </row>
    <row r="96" ht="15.75" customHeight="1">
      <c r="J96" s="53"/>
      <c r="U96" s="53"/>
    </row>
    <row r="97" ht="15.75" customHeight="1">
      <c r="J97" s="53"/>
      <c r="U97" s="53"/>
    </row>
    <row r="98" ht="15.75" customHeight="1">
      <c r="J98" s="53"/>
      <c r="U98" s="53"/>
    </row>
    <row r="99" ht="15.75" customHeight="1">
      <c r="J99" s="53"/>
      <c r="U99" s="53"/>
    </row>
    <row r="100" ht="15.75" customHeight="1">
      <c r="J100" s="53"/>
      <c r="U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3" t="s">
        <v>77</v>
      </c>
      <c r="C6" s="40">
        <v>43871.0</v>
      </c>
      <c r="D6" s="40">
        <v>43873.0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66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66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BA2" s="53"/>
      <c r="CE2" s="53"/>
    </row>
    <row r="3" ht="15.75" customHeight="1">
      <c r="A3" s="21"/>
      <c r="B3" s="5" t="s">
        <v>8</v>
      </c>
      <c r="C3" s="22" t="s">
        <v>83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67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67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68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68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6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6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92" t="s">
        <v>16</v>
      </c>
      <c r="C6" s="8"/>
      <c r="D6" s="11"/>
      <c r="E6" s="93">
        <v>105.0</v>
      </c>
      <c r="F6" s="8"/>
      <c r="G6" s="92" t="s">
        <v>79</v>
      </c>
      <c r="H6" s="93">
        <v>0.0</v>
      </c>
      <c r="I6" s="93">
        <v>0.0</v>
      </c>
      <c r="J6" s="8"/>
      <c r="K6" s="93">
        <v>77.0</v>
      </c>
      <c r="L6" s="93">
        <v>70.0</v>
      </c>
      <c r="M6" s="8"/>
      <c r="N6" s="8"/>
      <c r="O6" s="8"/>
      <c r="R6" s="93">
        <v>0.0</v>
      </c>
      <c r="S6" s="92" t="s">
        <v>86</v>
      </c>
      <c r="T6" s="93">
        <v>2.5</v>
      </c>
      <c r="U6" s="93">
        <v>0.023809523809524</v>
      </c>
      <c r="V6" s="92" t="s">
        <v>24</v>
      </c>
      <c r="Z6" s="92" t="s">
        <v>28</v>
      </c>
      <c r="AE6" s="93">
        <v>105.0</v>
      </c>
      <c r="AH6" s="92" t="s">
        <v>20</v>
      </c>
      <c r="AI6" s="93">
        <v>1.1</v>
      </c>
      <c r="AJ6" s="92" t="s">
        <v>63</v>
      </c>
      <c r="AT6" s="94">
        <v>8074.0</v>
      </c>
      <c r="AU6" s="94">
        <v>7340.0</v>
      </c>
      <c r="AZ6" s="93">
        <v>0.0</v>
      </c>
      <c r="BA6" s="95">
        <v>43871.0</v>
      </c>
      <c r="BB6" s="96"/>
      <c r="BC6" s="93">
        <v>0.0</v>
      </c>
      <c r="BD6" s="92"/>
      <c r="BE6" s="94">
        <v>8085.0</v>
      </c>
      <c r="BF6" s="94">
        <v>7350.0</v>
      </c>
      <c r="BJ6" s="93">
        <v>105.0</v>
      </c>
      <c r="BK6" s="93">
        <v>0.0</v>
      </c>
      <c r="BL6" s="96"/>
      <c r="BM6" s="92" t="s">
        <v>28</v>
      </c>
      <c r="BO6" s="92" t="s">
        <v>25</v>
      </c>
      <c r="BP6" s="93">
        <v>7.5</v>
      </c>
      <c r="BQ6" s="93">
        <v>0.071428571428571</v>
      </c>
      <c r="BR6" s="93">
        <v>0.0</v>
      </c>
      <c r="BS6" s="92"/>
      <c r="BT6" s="92" t="s">
        <v>24</v>
      </c>
      <c r="BU6" s="93">
        <v>0.0</v>
      </c>
      <c r="BV6" s="93">
        <v>10.0</v>
      </c>
      <c r="BW6" s="93">
        <v>10.0</v>
      </c>
      <c r="BX6" s="93">
        <v>0.095238095238095</v>
      </c>
      <c r="BY6" s="96"/>
      <c r="BZ6" s="96"/>
      <c r="CA6" s="96"/>
      <c r="CB6" s="96"/>
      <c r="CC6" s="96"/>
      <c r="CD6" s="96"/>
      <c r="CE6" s="95">
        <v>43871.0</v>
      </c>
      <c r="CH6" s="92" t="s">
        <v>22</v>
      </c>
      <c r="CI6" s="92" t="s">
        <v>69</v>
      </c>
      <c r="CJ6" s="93">
        <v>0.0</v>
      </c>
      <c r="CK6" s="92" t="s">
        <v>81</v>
      </c>
      <c r="CL6" s="93"/>
      <c r="CM6" s="92" t="s">
        <v>24</v>
      </c>
    </row>
    <row r="7" ht="15.75" customHeight="1">
      <c r="A7" s="8"/>
      <c r="B7" s="92" t="s">
        <v>16</v>
      </c>
      <c r="C7" s="8"/>
      <c r="D7" s="8"/>
      <c r="E7" s="93">
        <v>105.0</v>
      </c>
      <c r="F7" s="8"/>
      <c r="G7" s="92" t="s">
        <v>79</v>
      </c>
      <c r="H7" s="93">
        <v>0.0</v>
      </c>
      <c r="I7" s="93">
        <v>0.0</v>
      </c>
      <c r="J7" s="8"/>
      <c r="K7" s="93">
        <v>76.8952380952381</v>
      </c>
      <c r="L7" s="93">
        <v>69.9047619047619</v>
      </c>
      <c r="M7" s="8"/>
      <c r="N7" s="8"/>
      <c r="O7" s="8"/>
      <c r="R7" s="93">
        <v>0.0</v>
      </c>
      <c r="S7" s="92" t="s">
        <v>86</v>
      </c>
      <c r="T7" s="93">
        <v>0.0</v>
      </c>
      <c r="U7" s="93">
        <v>0.0</v>
      </c>
      <c r="V7" s="92" t="s">
        <v>24</v>
      </c>
      <c r="Z7" s="92" t="s">
        <v>28</v>
      </c>
      <c r="AE7" s="93">
        <v>105.0</v>
      </c>
      <c r="AH7" s="92" t="s">
        <v>20</v>
      </c>
      <c r="AI7" s="93">
        <v>1.1</v>
      </c>
      <c r="AJ7" s="92" t="s">
        <v>63</v>
      </c>
      <c r="AT7" s="94">
        <v>8074.0</v>
      </c>
      <c r="AU7" s="94">
        <v>7340.0</v>
      </c>
      <c r="AZ7" s="93">
        <v>0.0</v>
      </c>
      <c r="BA7" s="95">
        <v>43873.0</v>
      </c>
      <c r="BB7" s="96"/>
      <c r="BC7" s="93">
        <v>0.0</v>
      </c>
      <c r="BD7" s="92"/>
      <c r="BE7" s="94">
        <v>8074.0</v>
      </c>
      <c r="BF7" s="94">
        <v>7340.0</v>
      </c>
      <c r="BJ7" s="93">
        <v>105.0</v>
      </c>
      <c r="BK7" s="93">
        <v>0.0</v>
      </c>
      <c r="BL7" s="96"/>
      <c r="BM7" s="92" t="s">
        <v>18</v>
      </c>
      <c r="BO7" s="92" t="s">
        <v>70</v>
      </c>
      <c r="BP7" s="93">
        <v>0.0</v>
      </c>
      <c r="BQ7" s="93">
        <v>0.0</v>
      </c>
      <c r="BR7" s="93">
        <v>0.0</v>
      </c>
      <c r="BS7" s="92"/>
      <c r="BT7" s="92" t="s">
        <v>24</v>
      </c>
      <c r="BU7" s="93">
        <v>0.0</v>
      </c>
      <c r="BV7" s="93">
        <v>0.0</v>
      </c>
      <c r="BW7" s="93">
        <v>0.0</v>
      </c>
      <c r="BX7" s="93">
        <v>0.0</v>
      </c>
      <c r="BY7" s="96"/>
      <c r="BZ7" s="96"/>
      <c r="CA7" s="96"/>
      <c r="CB7" s="96"/>
      <c r="CC7" s="96"/>
      <c r="CD7" s="96"/>
      <c r="CE7" s="95">
        <v>43873.0</v>
      </c>
      <c r="CH7" s="92" t="s">
        <v>87</v>
      </c>
      <c r="CI7" s="92" t="s">
        <v>71</v>
      </c>
      <c r="CJ7" s="93">
        <v>0.0</v>
      </c>
      <c r="CK7" s="92" t="s">
        <v>81</v>
      </c>
      <c r="CL7" s="93"/>
      <c r="CM7" s="92" t="s">
        <v>24</v>
      </c>
    </row>
    <row r="8" ht="15.75" customHeight="1">
      <c r="A8" s="8"/>
      <c r="B8" s="92" t="s">
        <v>16</v>
      </c>
      <c r="C8" s="8"/>
      <c r="D8" s="8"/>
      <c r="E8" s="93">
        <v>105.0</v>
      </c>
      <c r="F8" s="8"/>
      <c r="G8" s="92" t="s">
        <v>79</v>
      </c>
      <c r="H8" s="93">
        <v>0.0</v>
      </c>
      <c r="I8" s="93">
        <v>0.0</v>
      </c>
      <c r="J8" s="8"/>
      <c r="K8" s="93">
        <v>48.0595238095238</v>
      </c>
      <c r="L8" s="93">
        <v>43.6904761904762</v>
      </c>
      <c r="M8" s="8"/>
      <c r="N8" s="8"/>
      <c r="O8" s="8"/>
      <c r="R8" s="93">
        <v>0.0</v>
      </c>
      <c r="S8" s="92" t="s">
        <v>86</v>
      </c>
      <c r="T8" s="93">
        <v>0.0</v>
      </c>
      <c r="U8" s="93">
        <v>0.0</v>
      </c>
      <c r="V8" s="92" t="s">
        <v>24</v>
      </c>
      <c r="Z8" s="92" t="s">
        <v>28</v>
      </c>
      <c r="AE8" s="93">
        <v>105.0</v>
      </c>
      <c r="AH8" s="92" t="s">
        <v>20</v>
      </c>
      <c r="AI8" s="93">
        <v>1.1</v>
      </c>
      <c r="AJ8" s="92" t="s">
        <v>63</v>
      </c>
      <c r="AT8" s="94">
        <v>5046.25</v>
      </c>
      <c r="AU8" s="94">
        <v>4587.5</v>
      </c>
      <c r="AZ8" s="93">
        <v>0.0</v>
      </c>
      <c r="BA8" s="95">
        <v>43871.0</v>
      </c>
      <c r="BB8" s="96"/>
      <c r="BC8" s="93">
        <v>0.0</v>
      </c>
      <c r="BD8" s="92"/>
      <c r="BE8" s="94">
        <v>5046.25</v>
      </c>
      <c r="BF8" s="94">
        <v>4587.5</v>
      </c>
      <c r="BJ8" s="93">
        <v>105.0</v>
      </c>
      <c r="BK8" s="93">
        <v>0.0</v>
      </c>
      <c r="BL8" s="96"/>
      <c r="BM8" s="92" t="s">
        <v>18</v>
      </c>
      <c r="BO8" s="92" t="s">
        <v>25</v>
      </c>
      <c r="BP8" s="93">
        <v>0.0</v>
      </c>
      <c r="BQ8" s="93">
        <v>0.0</v>
      </c>
      <c r="BR8" s="93">
        <v>0.0</v>
      </c>
      <c r="BS8" s="92"/>
      <c r="BT8" s="92" t="s">
        <v>24</v>
      </c>
      <c r="BU8" s="93">
        <v>0.0</v>
      </c>
      <c r="BV8" s="93">
        <v>0.0</v>
      </c>
      <c r="BW8" s="93">
        <v>0.0</v>
      </c>
      <c r="BX8" s="93">
        <v>0.0</v>
      </c>
      <c r="BY8" s="96"/>
      <c r="BZ8" s="96"/>
      <c r="CA8" s="96"/>
      <c r="CB8" s="96"/>
      <c r="CC8" s="96"/>
      <c r="CD8" s="96"/>
      <c r="CE8" s="95">
        <v>43873.0</v>
      </c>
      <c r="CH8" s="92" t="s">
        <v>87</v>
      </c>
      <c r="CI8" s="92" t="s">
        <v>69</v>
      </c>
      <c r="CJ8" s="93">
        <v>0.0</v>
      </c>
      <c r="CK8" s="92" t="s">
        <v>81</v>
      </c>
      <c r="CL8" s="93"/>
      <c r="CM8" s="92" t="s">
        <v>24</v>
      </c>
    </row>
    <row r="9" ht="15.75" customHeight="1">
      <c r="A9" s="8"/>
      <c r="B9" s="92" t="s">
        <v>16</v>
      </c>
      <c r="C9" s="8"/>
      <c r="D9" s="8"/>
      <c r="E9" s="93">
        <v>34.0</v>
      </c>
      <c r="F9" s="8"/>
      <c r="G9" s="92" t="s">
        <v>79</v>
      </c>
      <c r="H9" s="93">
        <v>0.0</v>
      </c>
      <c r="I9" s="93">
        <v>0.0</v>
      </c>
      <c r="J9" s="8"/>
      <c r="K9" s="93">
        <v>89.0514705882353</v>
      </c>
      <c r="L9" s="93">
        <v>80.9558823529412</v>
      </c>
      <c r="M9" s="8"/>
      <c r="N9" s="8"/>
      <c r="O9" s="8"/>
      <c r="R9" s="93">
        <v>0.0</v>
      </c>
      <c r="S9" s="92" t="s">
        <v>86</v>
      </c>
      <c r="T9" s="93">
        <v>0.0</v>
      </c>
      <c r="U9" s="93">
        <v>0.0</v>
      </c>
      <c r="V9" s="92" t="s">
        <v>82</v>
      </c>
      <c r="Z9" s="92" t="s">
        <v>28</v>
      </c>
      <c r="AE9" s="93">
        <v>34.0</v>
      </c>
      <c r="AH9" s="92" t="s">
        <v>20</v>
      </c>
      <c r="AI9" s="93">
        <v>1.1</v>
      </c>
      <c r="AJ9" s="92" t="s">
        <v>63</v>
      </c>
      <c r="AT9" s="94">
        <v>3027.75</v>
      </c>
      <c r="AU9" s="94">
        <v>2752.5</v>
      </c>
      <c r="AZ9" s="93">
        <v>0.0</v>
      </c>
      <c r="BA9" s="95">
        <v>43871.0</v>
      </c>
      <c r="BB9" s="96"/>
      <c r="BC9" s="93">
        <v>0.0</v>
      </c>
      <c r="BD9" s="92"/>
      <c r="BE9" s="94">
        <v>3027.75</v>
      </c>
      <c r="BF9" s="94">
        <v>2752.5</v>
      </c>
      <c r="BJ9" s="93">
        <v>34.0</v>
      </c>
      <c r="BK9" s="93">
        <v>0.0</v>
      </c>
      <c r="BL9" s="96"/>
      <c r="BM9" s="92" t="s">
        <v>18</v>
      </c>
      <c r="BO9" s="92" t="s">
        <v>25</v>
      </c>
      <c r="BP9" s="93">
        <v>0.0</v>
      </c>
      <c r="BQ9" s="93">
        <v>0.0</v>
      </c>
      <c r="BR9" s="93">
        <v>0.0</v>
      </c>
      <c r="BS9" s="92"/>
      <c r="BT9" s="92" t="s">
        <v>66</v>
      </c>
      <c r="BU9" s="93">
        <v>0.0</v>
      </c>
      <c r="BV9" s="93">
        <v>0.0</v>
      </c>
      <c r="BW9" s="93">
        <v>0.0</v>
      </c>
      <c r="BX9" s="93">
        <v>0.0</v>
      </c>
      <c r="BY9" s="96"/>
      <c r="BZ9" s="96"/>
      <c r="CA9" s="96"/>
      <c r="CB9" s="96"/>
      <c r="CC9" s="96"/>
      <c r="CD9" s="96"/>
      <c r="CE9" s="95">
        <v>43873.0</v>
      </c>
      <c r="CH9" s="92" t="s">
        <v>87</v>
      </c>
      <c r="CI9" s="92" t="s">
        <v>69</v>
      </c>
      <c r="CJ9" s="93">
        <v>0.0</v>
      </c>
      <c r="CK9" s="92" t="s">
        <v>81</v>
      </c>
      <c r="CL9" s="93"/>
      <c r="CM9" s="92" t="s">
        <v>66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A10" s="53"/>
      <c r="CE10" s="5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A11" s="53"/>
      <c r="CE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A12" s="53"/>
      <c r="CE12" s="5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A13" s="53"/>
      <c r="CE13" s="5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A14" s="53"/>
      <c r="CE14" s="5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BA15" s="53"/>
      <c r="CE15" s="5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BA16" s="53"/>
      <c r="CE16" s="53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BA17" s="53"/>
      <c r="CE17" s="5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BA18" s="53"/>
      <c r="CE18" s="53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BA19" s="53"/>
      <c r="CE19" s="53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BA20" s="53"/>
      <c r="CE20" s="5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BA21" s="53"/>
      <c r="CE21" s="53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BA22" s="53"/>
      <c r="CE22" s="53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BA23" s="53"/>
      <c r="CE23" s="53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BA24" s="53"/>
      <c r="CE24" s="53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BA25" s="53"/>
      <c r="CE25" s="53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BA26" s="53"/>
      <c r="CE26" s="53"/>
    </row>
    <row r="27" ht="15.75" customHeight="1">
      <c r="BA27" s="53"/>
      <c r="CE27" s="53"/>
    </row>
    <row r="28" ht="15.75" customHeight="1">
      <c r="BA28" s="53"/>
      <c r="CE28" s="53"/>
    </row>
    <row r="29" ht="15.75" customHeight="1">
      <c r="BA29" s="53"/>
      <c r="CE29" s="53"/>
    </row>
    <row r="30" ht="15.75" customHeight="1">
      <c r="BA30" s="53"/>
      <c r="CE30" s="53"/>
    </row>
    <row r="31" ht="15.75" customHeight="1">
      <c r="BA31" s="53"/>
      <c r="CE31" s="53"/>
    </row>
    <row r="32" ht="15.75" customHeight="1">
      <c r="BA32" s="53"/>
      <c r="CE32" s="53"/>
    </row>
    <row r="33" ht="15.75" customHeight="1">
      <c r="BA33" s="53"/>
      <c r="CE33" s="53"/>
    </row>
    <row r="34" ht="15.75" customHeight="1">
      <c r="BA34" s="53"/>
      <c r="CE34" s="53"/>
    </row>
    <row r="35" ht="15.75" customHeight="1">
      <c r="BA35" s="53"/>
      <c r="CE35" s="53"/>
    </row>
    <row r="36" ht="15.75" customHeight="1">
      <c r="BA36" s="53"/>
      <c r="CE36" s="53"/>
    </row>
    <row r="37" ht="15.75" customHeight="1">
      <c r="BA37" s="53"/>
      <c r="CE37" s="53"/>
    </row>
    <row r="38" ht="15.75" customHeight="1">
      <c r="BA38" s="53"/>
      <c r="CE38" s="53"/>
    </row>
    <row r="39" ht="15.75" customHeight="1">
      <c r="BA39" s="53"/>
      <c r="CE39" s="53"/>
    </row>
    <row r="40" ht="15.75" customHeight="1">
      <c r="BA40" s="53"/>
      <c r="CE40" s="53"/>
    </row>
    <row r="41" ht="15.75" customHeight="1">
      <c r="BA41" s="53"/>
      <c r="CE41" s="53"/>
    </row>
    <row r="42" ht="15.75" customHeight="1">
      <c r="BA42" s="53"/>
      <c r="CE42" s="53"/>
    </row>
    <row r="43" ht="15.75" customHeight="1">
      <c r="BA43" s="53"/>
      <c r="CE43" s="53"/>
    </row>
    <row r="44" ht="15.75" customHeight="1">
      <c r="BA44" s="53"/>
      <c r="CE44" s="53"/>
    </row>
    <row r="45" ht="15.75" customHeight="1">
      <c r="BA45" s="53"/>
      <c r="CE45" s="53"/>
    </row>
    <row r="46" ht="15.75" customHeight="1">
      <c r="BA46" s="53"/>
      <c r="CE46" s="53"/>
    </row>
    <row r="47" ht="15.75" customHeight="1">
      <c r="BA47" s="53"/>
      <c r="CE47" s="53"/>
    </row>
    <row r="48" ht="15.75" customHeight="1">
      <c r="BA48" s="53"/>
      <c r="CE48" s="53"/>
    </row>
    <row r="49" ht="15.75" customHeight="1">
      <c r="BA49" s="53"/>
      <c r="CE49" s="53"/>
    </row>
    <row r="50" ht="15.75" customHeight="1">
      <c r="BA50" s="53"/>
      <c r="CE50" s="53"/>
    </row>
    <row r="51" ht="15.75" customHeight="1">
      <c r="BA51" s="53"/>
      <c r="CE51" s="53"/>
    </row>
    <row r="52" ht="15.75" customHeight="1">
      <c r="BA52" s="53"/>
      <c r="CE52" s="53"/>
    </row>
    <row r="53" ht="15.75" customHeight="1">
      <c r="BA53" s="53"/>
      <c r="CE53" s="53"/>
    </row>
    <row r="54" ht="15.75" customHeight="1">
      <c r="BA54" s="53"/>
      <c r="CE54" s="53"/>
    </row>
    <row r="55" ht="15.75" customHeight="1">
      <c r="BA55" s="53"/>
      <c r="CE55" s="53"/>
    </row>
    <row r="56" ht="15.75" customHeight="1">
      <c r="BA56" s="53"/>
      <c r="CE56" s="53"/>
    </row>
    <row r="57" ht="15.75" customHeight="1">
      <c r="BA57" s="53"/>
      <c r="CE57" s="53"/>
    </row>
    <row r="58" ht="15.75" customHeight="1">
      <c r="BA58" s="53"/>
      <c r="CE58" s="53"/>
    </row>
    <row r="59" ht="15.75" customHeight="1">
      <c r="BA59" s="53"/>
      <c r="CE59" s="53"/>
    </row>
    <row r="60" ht="15.75" customHeight="1">
      <c r="BA60" s="53"/>
      <c r="CE60" s="53"/>
    </row>
    <row r="61" ht="15.75" customHeight="1">
      <c r="BA61" s="53"/>
      <c r="CE61" s="53"/>
    </row>
    <row r="62" ht="15.75" customHeight="1">
      <c r="BA62" s="53"/>
      <c r="CE62" s="53"/>
    </row>
    <row r="63" ht="15.75" customHeight="1">
      <c r="BA63" s="53"/>
      <c r="CE63" s="53"/>
    </row>
    <row r="64" ht="15.75" customHeight="1">
      <c r="BA64" s="53"/>
      <c r="CE64" s="53"/>
    </row>
    <row r="65" ht="15.75" customHeight="1">
      <c r="BA65" s="53"/>
      <c r="CE65" s="53"/>
    </row>
    <row r="66" ht="15.75" customHeight="1">
      <c r="BA66" s="53"/>
      <c r="CE66" s="53"/>
    </row>
    <row r="67" ht="15.75" customHeight="1">
      <c r="BA67" s="53"/>
      <c r="CE67" s="53"/>
    </row>
    <row r="68" ht="15.75" customHeight="1">
      <c r="BA68" s="53"/>
      <c r="CE68" s="53"/>
    </row>
    <row r="69" ht="15.75" customHeight="1">
      <c r="BA69" s="53"/>
      <c r="CE69" s="53"/>
    </row>
    <row r="70" ht="15.75" customHeight="1">
      <c r="BA70" s="53"/>
      <c r="CE70" s="53"/>
    </row>
    <row r="71" ht="15.75" customHeight="1">
      <c r="BA71" s="53"/>
      <c r="CE71" s="53"/>
    </row>
    <row r="72" ht="15.75" customHeight="1">
      <c r="BA72" s="53"/>
      <c r="CE72" s="53"/>
    </row>
    <row r="73" ht="15.75" customHeight="1">
      <c r="BA73" s="53"/>
      <c r="CE73" s="53"/>
    </row>
    <row r="74" ht="15.75" customHeight="1">
      <c r="BA74" s="53"/>
      <c r="CE74" s="53"/>
    </row>
    <row r="75" ht="15.75" customHeight="1">
      <c r="BA75" s="53"/>
      <c r="CE75" s="53"/>
    </row>
    <row r="76" ht="15.75" customHeight="1">
      <c r="BA76" s="53"/>
      <c r="CE76" s="53"/>
    </row>
    <row r="77" ht="15.75" customHeight="1">
      <c r="BA77" s="53"/>
      <c r="CE77" s="53"/>
    </row>
    <row r="78" ht="15.75" customHeight="1">
      <c r="BA78" s="53"/>
      <c r="CE78" s="53"/>
    </row>
    <row r="79" ht="15.75" customHeight="1">
      <c r="BA79" s="53"/>
      <c r="CE79" s="53"/>
    </row>
    <row r="80" ht="15.75" customHeight="1">
      <c r="BA80" s="53"/>
      <c r="CE80" s="53"/>
    </row>
    <row r="81" ht="15.75" customHeight="1">
      <c r="BA81" s="53"/>
      <c r="CE81" s="53"/>
    </row>
    <row r="82" ht="15.75" customHeight="1">
      <c r="BA82" s="53"/>
      <c r="CE82" s="53"/>
    </row>
    <row r="83" ht="15.75" customHeight="1">
      <c r="BA83" s="53"/>
      <c r="CE83" s="53"/>
    </row>
    <row r="84" ht="15.75" customHeight="1">
      <c r="BA84" s="53"/>
      <c r="CE84" s="53"/>
    </row>
    <row r="85" ht="15.75" customHeight="1">
      <c r="BA85" s="53"/>
      <c r="CE85" s="53"/>
    </row>
    <row r="86" ht="15.75" customHeight="1">
      <c r="BA86" s="53"/>
      <c r="CE86" s="53"/>
    </row>
    <row r="87" ht="15.75" customHeight="1">
      <c r="BA87" s="53"/>
      <c r="CE87" s="53"/>
    </row>
    <row r="88" ht="15.75" customHeight="1">
      <c r="BA88" s="53"/>
      <c r="CE88" s="53"/>
    </row>
    <row r="89" ht="15.75" customHeight="1">
      <c r="BA89" s="53"/>
      <c r="CE89" s="53"/>
    </row>
    <row r="90" ht="15.75" customHeight="1">
      <c r="BA90" s="53"/>
      <c r="CE90" s="53"/>
    </row>
    <row r="91" ht="15.75" customHeight="1">
      <c r="BA91" s="53"/>
      <c r="CE91" s="53"/>
    </row>
    <row r="92" ht="15.75" customHeight="1">
      <c r="BA92" s="53"/>
      <c r="CE92" s="53"/>
    </row>
    <row r="93" ht="15.75" customHeight="1">
      <c r="BA93" s="53"/>
      <c r="CE93" s="53"/>
    </row>
    <row r="94" ht="15.75" customHeight="1">
      <c r="BA94" s="53"/>
      <c r="CE94" s="53"/>
    </row>
    <row r="95" ht="15.75" customHeight="1">
      <c r="BA95" s="53"/>
      <c r="CE95" s="53"/>
    </row>
    <row r="96" ht="15.75" customHeight="1">
      <c r="BA96" s="53"/>
      <c r="CE96" s="53"/>
    </row>
    <row r="97" ht="15.75" customHeight="1">
      <c r="BA97" s="53"/>
      <c r="CE97" s="53"/>
    </row>
    <row r="98" ht="15.75" customHeight="1">
      <c r="BA98" s="53"/>
      <c r="CE98" s="53"/>
    </row>
    <row r="99" ht="15.75" customHeight="1">
      <c r="BA99" s="53"/>
      <c r="CE99" s="53"/>
    </row>
    <row r="100" ht="15.75" customHeight="1">
      <c r="BA100" s="53"/>
      <c r="CE100" s="53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