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reateLiveOrder" sheetId="5" r:id="rId7"/>
    <sheet state="visible" name="SelectTradeOnOrderGrid" sheetId="6" r:id="rId8"/>
    <sheet state="visible" name="AllocateFromBlotter" sheetId="7" r:id="rId9"/>
    <sheet state="visible" name="SelectTradeOnOrderGrid1" sheetId="8" r:id="rId10"/>
    <sheet state="visible" name="GetDataFromAuditTrail" sheetId="9" r:id="rId11"/>
    <sheet state="visible" name="VerifyAuditTrail" sheetId="10" r:id="rId12"/>
    <sheet state="visible" name="SetAccountValueCalculatedPref" sheetId="11" r:id="rId13"/>
    <sheet state="visible" name="AddCalculatedPreferences" sheetId="12" r:id="rId14"/>
    <sheet state="visible" name="SetDefaultRuleCalculatedPref" sheetId="13" r:id="rId15"/>
    <sheet state="visible" name="AllocateFromBlotter1" sheetId="14" r:id="rId16"/>
  </sheets>
  <definedNames/>
  <calcPr/>
</workbook>
</file>

<file path=xl/sharedStrings.xml><?xml version="1.0" encoding="utf-8"?>
<sst xmlns="http://schemas.openxmlformats.org/spreadsheetml/2006/main" count="137" uniqueCount="42">
  <si>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</si>
  <si>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</si>
  <si>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</si>
  <si>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</si>
  <si>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</si>
  <si>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</si>
  <si>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</si>
  <si>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</si>
  <si>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</si>
  <si>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</si>
  <si>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</si>
  <si>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</si>
  <si>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</si>
  <si>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</si>
  <si>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</si>
  <si>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</si>
  <si>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</si>
  <si>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CreateLiveOrder</t>
  </si>
  <si>
    <t>MSFT</t>
  </si>
  <si>
    <t>Buy</t>
  </si>
  <si>
    <t>Unallocated</t>
  </si>
  <si>
    <t>INFY</t>
  </si>
  <si>
    <t>Blotter</t>
  </si>
  <si>
    <t>SelectTradeOnOrderGrid</t>
  </si>
  <si>
    <t>Filled</t>
  </si>
  <si>
    <t>AllocateFromBlotter</t>
  </si>
  <si>
    <t>Allocation1</t>
  </si>
  <si>
    <t>AuditTrail</t>
  </si>
  <si>
    <t>GetDataFromAuditTrail</t>
  </si>
  <si>
    <t>VerifyAuditTrail</t>
  </si>
  <si>
    <t>Trades Allocated/Reallocated</t>
  </si>
  <si>
    <t>Grouped order allocated from Blotter</t>
  </si>
  <si>
    <t>jpearce</t>
  </si>
  <si>
    <t>Allocation2</t>
  </si>
  <si>
    <t>Allocation3</t>
  </si>
  <si>
    <t>Allocation</t>
  </si>
  <si>
    <t>SetAccountValueCalculatedPref</t>
  </si>
  <si>
    <t>Test1</t>
  </si>
  <si>
    <t>AddCalculatedPreferences</t>
  </si>
  <si>
    <t>SetDefaultRuleCalculatedPref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</si>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</sst>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Google Sans Mono"/>
    </font>
    <font>
      <sz val="9.0"/>
      <color rgb="FF000000"/>
      <name val="&quot;Segoe UI&quot;"/>
    </font>
    <font>
      <sz val="9.0"/>
      <color rgb="FF000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6" fontId="13" numFmtId="14" xfId="0" applyAlignment="1" applyFill="1" applyFont="1" applyNumberFormat="1">
      <alignment vertical="bottom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6" fontId="3" numFmtId="0" xfId="0" applyAlignment="1" applyFont="1">
      <alignment vertical="bottom"/>
    </xf>
    <xf borderId="0" fillId="6" fontId="14" numFmtId="0" xfId="0" applyAlignment="1" applyFont="1">
      <alignment horizontal="right" readingOrder="0" shrinkToFit="0" vertical="bottom" wrapText="0"/>
    </xf>
    <xf borderId="0" fillId="6" fontId="14" numFmtId="164" xfId="0" applyAlignment="1" applyFont="1" applyNumberFormat="1">
      <alignment horizontal="right" readingOrder="0" shrinkToFit="0" vertical="bottom" wrapText="0"/>
    </xf>
    <xf borderId="0" fillId="6" fontId="14" numFmtId="165" xfId="0" applyAlignment="1" applyFont="1" applyNumberFormat="1">
      <alignment horizontal="right" readingOrder="0" shrinkToFit="0" vertical="bottom" wrapText="0"/>
    </xf>
    <xf borderId="0" fillId="6" fontId="3" numFmtId="0" xfId="0" applyAlignment="1" applyFont="1">
      <alignment vertical="bottom"/>
    </xf>
    <xf borderId="0" fillId="6" fontId="15" numFmtId="0" xfId="0" applyAlignment="1" applyFont="1">
      <alignment horizontal="right" vertical="bottom"/>
    </xf>
    <xf borderId="0" fillId="6" fontId="3" numFmtId="164" xfId="0" applyAlignment="1" applyFont="1" applyNumberFormat="1">
      <alignment vertical="bottom"/>
    </xf>
    <xf borderId="0" fillId="6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100.0</v>
      </c>
      <c r="E6" s="33"/>
      <c r="F6" s="37" t="s">
        <v>20</v>
      </c>
      <c r="G6" s="33"/>
      <c r="H6" s="33"/>
      <c r="I6" s="33"/>
      <c r="J6" s="38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18</v>
      </c>
      <c r="C7" s="35" t="s">
        <v>19</v>
      </c>
      <c r="D7" s="38">
        <v>100.0</v>
      </c>
      <c r="E7" s="33"/>
      <c r="F7" s="37" t="s">
        <v>20</v>
      </c>
      <c r="G7" s="33"/>
      <c r="H7" s="33"/>
      <c r="I7" s="33"/>
      <c r="J7" s="38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21</v>
      </c>
      <c r="C8" s="35" t="s">
        <v>19</v>
      </c>
      <c r="D8" s="38">
        <v>100.0</v>
      </c>
      <c r="E8" s="33"/>
      <c r="F8" s="37" t="s">
        <v>20</v>
      </c>
      <c r="G8" s="33"/>
      <c r="H8" s="33"/>
      <c r="I8" s="33"/>
      <c r="J8" s="38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21</v>
      </c>
      <c r="C9" s="35" t="s">
        <v>19</v>
      </c>
      <c r="D9" s="38">
        <v>100.0</v>
      </c>
      <c r="E9" s="33"/>
      <c r="F9" s="37" t="s">
        <v>20</v>
      </c>
      <c r="G9" s="33"/>
      <c r="H9" s="33"/>
      <c r="I9" s="33"/>
      <c r="J9" s="38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9"/>
      <c r="F6" s="12" t="s">
        <v>19</v>
      </c>
      <c r="G6" s="12" t="s">
        <v>24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26</v>
      </c>
      <c r="D6" s="36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9"/>
      <c r="F6" s="12" t="s">
        <v>19</v>
      </c>
      <c r="G6" s="12" t="s">
        <v>24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>
        <f t="shared" ref="B6:C6" si="1">TODAY()</f>
        <v>45590</v>
      </c>
      <c r="C6" s="41">
        <f t="shared" si="1"/>
        <v>45590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2" t="str">
        <f>IFERROR(__xludf.DUMMYFUNCTION("""COMPUTED_VALUE"""),"Action Time (UTC)")</f>
        <v>Action Time (UTC)</v>
      </c>
      <c r="C5" s="42" t="str">
        <f>IFERROR(__xludf.DUMMYFUNCTION("""COMPUTED_VALUE"""),"Symbol")</f>
        <v>Symbol</v>
      </c>
      <c r="D5" s="42" t="str">
        <f>IFERROR(__xludf.DUMMYFUNCTION("""COMPUTED_VALUE"""),"Order Side")</f>
        <v>Order Side</v>
      </c>
      <c r="E5" s="42" t="str">
        <f>IFERROR(__xludf.DUMMYFUNCTION("""COMPUTED_VALUE"""),"Account Name")</f>
        <v>Account Name</v>
      </c>
      <c r="F5" s="43" t="str">
        <f>IFERROR(__xludf.DUMMYFUNCTION("""COMPUTED_VALUE"""),"Action")</f>
        <v>Action</v>
      </c>
      <c r="G5" s="42" t="str">
        <f>IFERROR(__xludf.DUMMYFUNCTION("""COMPUTED_VALUE"""),"Original Value")</f>
        <v>Original Value</v>
      </c>
      <c r="H5" s="42" t="str">
        <f>IFERROR(__xludf.DUMMYFUNCTION("""COMPUTED_VALUE"""),"New Value")</f>
        <v>New Value</v>
      </c>
      <c r="I5" s="42" t="str">
        <f>IFERROR(__xludf.DUMMYFUNCTION("""COMPUTED_VALUE"""),"Comment")</f>
        <v>Comment</v>
      </c>
      <c r="J5" s="42" t="str">
        <f>IFERROR(__xludf.DUMMYFUNCTION("""COMPUTED_VALUE"""),"Company User")</f>
        <v>Company User</v>
      </c>
      <c r="K5" s="42" t="str">
        <f>IFERROR(__xludf.DUMMYFUNCTION("""COMPUTED_VALUE"""),"TaxlotId")</f>
        <v>TaxlotId</v>
      </c>
      <c r="L5" s="42" t="str">
        <f>IFERROR(__xludf.DUMMYFUNCTION("""COMPUTED_VALUE"""),"GroupId")</f>
        <v>GroupId</v>
      </c>
      <c r="M5" s="42" t="str">
        <f>IFERROR(__xludf.DUMMYFUNCTION("""COMPUTED_VALUE"""),"Action Time")</f>
        <v>Action Time</v>
      </c>
      <c r="N5" s="42" t="str">
        <f>IFERROR(__xludf.DUMMYFUNCTION("""COMPUTED_VALUE"""),"ParentOrderId")</f>
        <v>ParentOrderId</v>
      </c>
      <c r="O5" s="42" t="str">
        <f>IFERROR(__xludf.DUMMYFUNCTION("""COMPUTED_VALUE"""),"OrderId")</f>
        <v>OrderId</v>
      </c>
      <c r="P5" s="42" t="str">
        <f>IFERROR(__xludf.DUMMYFUNCTION("""COMPUTED_VALUE"""),"Source")</f>
        <v>Source</v>
      </c>
      <c r="Q5" s="42"/>
      <c r="R5" s="42"/>
      <c r="S5" s="4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45" t="s">
        <v>18</v>
      </c>
      <c r="D6" s="45" t="s">
        <v>19</v>
      </c>
      <c r="E6" s="45" t="s">
        <v>26</v>
      </c>
      <c r="F6" s="45" t="s">
        <v>30</v>
      </c>
      <c r="G6" s="45">
        <v>0.0</v>
      </c>
      <c r="H6" s="45">
        <v>200.0</v>
      </c>
      <c r="I6" s="45" t="s">
        <v>31</v>
      </c>
      <c r="J6" s="45" t="s">
        <v>32</v>
      </c>
      <c r="K6" s="45"/>
      <c r="L6" s="45"/>
      <c r="M6" s="46"/>
      <c r="N6" s="47"/>
      <c r="O6" s="45"/>
      <c r="P6" s="45" t="s">
        <v>22</v>
      </c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8"/>
      <c r="B7" s="48"/>
      <c r="C7" s="45" t="s">
        <v>21</v>
      </c>
      <c r="D7" s="45" t="s">
        <v>19</v>
      </c>
      <c r="E7" s="45" t="s">
        <v>33</v>
      </c>
      <c r="F7" s="45" t="s">
        <v>30</v>
      </c>
      <c r="G7" s="45">
        <v>0.0</v>
      </c>
      <c r="H7" s="45"/>
      <c r="I7" s="45" t="s">
        <v>31</v>
      </c>
      <c r="J7" s="45" t="s">
        <v>32</v>
      </c>
      <c r="K7" s="45"/>
      <c r="L7" s="45"/>
      <c r="M7" s="46"/>
      <c r="N7" s="47"/>
      <c r="O7" s="45"/>
      <c r="P7" s="45" t="s">
        <v>22</v>
      </c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8"/>
      <c r="B8" s="48"/>
      <c r="C8" s="45" t="s">
        <v>21</v>
      </c>
      <c r="D8" s="45" t="s">
        <v>19</v>
      </c>
      <c r="E8" s="45" t="s">
        <v>34</v>
      </c>
      <c r="F8" s="45" t="s">
        <v>30</v>
      </c>
      <c r="G8" s="45">
        <v>0.0</v>
      </c>
      <c r="H8" s="45"/>
      <c r="I8" s="45" t="s">
        <v>31</v>
      </c>
      <c r="J8" s="45" t="s">
        <v>32</v>
      </c>
      <c r="K8" s="45"/>
      <c r="L8" s="45"/>
      <c r="M8" s="46"/>
      <c r="N8" s="47"/>
      <c r="O8" s="45"/>
      <c r="P8" s="45" t="s">
        <v>22</v>
      </c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8"/>
      <c r="B9" s="48"/>
      <c r="C9" s="49"/>
      <c r="D9" s="49"/>
      <c r="E9" s="49"/>
      <c r="F9" s="49"/>
      <c r="G9" s="49"/>
      <c r="H9" s="49"/>
      <c r="I9" s="45"/>
      <c r="J9" s="49"/>
      <c r="K9" s="48"/>
      <c r="L9" s="48"/>
      <c r="M9" s="50"/>
      <c r="N9" s="51"/>
      <c r="O9" s="48"/>
      <c r="P9" s="49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48"/>
      <c r="B10" s="48"/>
      <c r="C10" s="49"/>
      <c r="D10" s="49"/>
      <c r="E10" s="49"/>
      <c r="F10" s="49"/>
      <c r="G10" s="49"/>
      <c r="H10" s="49"/>
      <c r="I10" s="45"/>
      <c r="J10" s="49"/>
      <c r="K10" s="48"/>
      <c r="L10" s="48"/>
      <c r="M10" s="50"/>
      <c r="N10" s="51"/>
      <c r="O10" s="48"/>
      <c r="P10" s="49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37</v>
      </c>
      <c r="C6" s="35" t="s">
        <v>33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37</v>
      </c>
      <c r="C7" s="35" t="s">
        <v>34</v>
      </c>
      <c r="D7" s="38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40</v>
      </c>
      <c r="C6" s="33"/>
      <c r="D6" s="34" t="s">
        <v>41</v>
      </c>
      <c r="E6" s="33"/>
      <c r="F6" s="33"/>
      <c r="G6" s="32" t="b">
        <v>0</v>
      </c>
      <c r="H6" s="35" t="s">
        <v>37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37</v>
      </c>
      <c r="C6" s="8"/>
      <c r="D6" s="12">
        <v>100.0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