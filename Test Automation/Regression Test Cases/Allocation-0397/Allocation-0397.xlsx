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toGroupingPreferences" sheetId="4" r:id="rId6"/>
    <sheet state="visible" name="SetAutoGroupingAccount" sheetId="5" r:id="rId7"/>
    <sheet state="visible" name="CreateLiveOrder" sheetId="6" r:id="rId8"/>
    <sheet state="visible" name="VerifyOrder" sheetId="7" r:id="rId9"/>
    <sheet state="visible" name="CheckAllocatedGroups" sheetId="8" r:id="rId10"/>
    <sheet state="visible" name="CheckPortfolioManagement" sheetId="9" r:id="rId11"/>
    <sheet state="visible" name="SelectUnallocatedGroup" sheetId="10" r:id="rId12"/>
    <sheet state="visible" name="GroupTrades" sheetId="11" r:id="rId13"/>
    <sheet state="visible" name="CheckUnallocatedGroups" sheetId="12" r:id="rId14"/>
    <sheet state="visible" name="EnterAccountValuesToAllocate" sheetId="13" r:id="rId15"/>
    <sheet state="visible" name="CheckPortfolioManagement1" sheetId="14" r:id="rId16"/>
    <sheet state="visible" name="CheckAllocatedGroups1" sheetId="15" r:id="rId17"/>
    <sheet state="visible" name="Unallocate" sheetId="16" r:id="rId18"/>
    <sheet state="visible" name="SelectTrade" sheetId="17" r:id="rId19"/>
    <sheet state="visible" name="AcknowledgeTrade" sheetId="18" r:id="rId20"/>
    <sheet state="visible" name="ExecuteTrade" sheetId="19" r:id="rId21"/>
    <sheet state="visible" name="SelectTrade1" sheetId="20" r:id="rId22"/>
    <sheet state="visible" name="AcknowledgeTrade1" sheetId="21" r:id="rId23"/>
    <sheet state="visible" name="ExecuteTrade1" sheetId="22" r:id="rId24"/>
  </sheets>
  <definedNames/>
  <calcPr/>
</workbook>
</file>

<file path=xl/sharedStrings.xml><?xml version="1.0" encoding="utf-8"?>
<sst xmlns="http://schemas.openxmlformats.org/spreadsheetml/2006/main" count="861" uniqueCount="59">
  <si>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</si>
  <si>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</si>
  <si>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</si>
  <si>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</si>
  <si>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</si>
  <si>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</si>
  <si>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</si>
  <si>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</si>
  <si>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</si>
  <si>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</si>
  <si>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</si>
  <si>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</si>
  <si>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</si>
  <si>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SetAutoGroupingPreferences</t>
  </si>
  <si>
    <t>Data Format</t>
  </si>
  <si>
    <t>Input Format</t>
  </si>
  <si>
    <t>SetAutoGroupingAccount</t>
  </si>
  <si>
    <t>Unallocated</t>
  </si>
  <si>
    <t>TradingTicket</t>
  </si>
  <si>
    <t>CreateLiveOrder</t>
  </si>
  <si>
    <t>MSFT</t>
  </si>
  <si>
    <t>Buy</t>
  </si>
  <si>
    <t>S1</t>
  </si>
  <si>
    <t>S2</t>
  </si>
  <si>
    <t>Blotter</t>
  </si>
  <si>
    <t>VerifyOrder</t>
  </si>
  <si>
    <t/>
  </si>
  <si>
    <t>MSFT US EQUITY</t>
  </si>
  <si>
    <t>NASDAQ</t>
  </si>
  <si>
    <t>jpearce</t>
  </si>
  <si>
    <t>US</t>
  </si>
  <si>
    <t>GCCAP1</t>
  </si>
  <si>
    <t>NewMF</t>
  </si>
  <si>
    <t>M</t>
  </si>
  <si>
    <t>Equity</t>
  </si>
  <si>
    <t>Filled</t>
  </si>
  <si>
    <t>MS</t>
  </si>
  <si>
    <t>Allocation1</t>
  </si>
  <si>
    <t>Market</t>
  </si>
  <si>
    <t>Manual</t>
  </si>
  <si>
    <t>CheckAllocatedGroups</t>
  </si>
  <si>
    <t>USD</t>
  </si>
  <si>
    <t>PortfolioManagement</t>
  </si>
  <si>
    <t>CheckPortfolioManagement</t>
  </si>
  <si>
    <t>Long</t>
  </si>
  <si>
    <t>FIMAT</t>
  </si>
  <si>
    <t>Equity General</t>
  </si>
  <si>
    <t>Information Technology</t>
  </si>
  <si>
    <t>Copper</t>
  </si>
  <si>
    <t>NA</t>
  </si>
  <si>
    <t>SelectAllocatedGroup</t>
  </si>
  <si>
    <t>GroupTrades</t>
  </si>
  <si>
    <t>CheckUnallocatedGroups</t>
  </si>
  <si>
    <t>EnterAccountValuesToAllocate</t>
  </si>
  <si>
    <t>Unallocate</t>
  </si>
  <si>
    <t>Simulator</t>
  </si>
  <si>
    <t>SelectTrade</t>
  </si>
  <si>
    <t>AcknowledgeTrade</t>
  </si>
  <si>
    <t>ExecuteTrade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</si>
</sst>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6" fontId="14" numFmtId="0" xfId="0" applyAlignment="1" applyFill="1" applyFont="1">
      <alignment horizontal="left"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IFERROR(__xludf.DUMMYFUNCTION("""COMPUTED_VALUE"""),"AutoGroup")</f>
        <v>AutoGroup</v>
      </c>
      <c r="C5" s="28" t="str">
        <f>IFERROR(__xludf.DUMMYFUNCTION("""COMPUTED_VALUE"""),"TradeAttribute1")</f>
        <v>TradeAttribute1</v>
      </c>
      <c r="D5" s="28" t="str">
        <f>IFERROR(__xludf.DUMMYFUNCTION("""COMPUTED_VALUE"""),"TradeAttribute2")</f>
        <v>TradeAttribute2</v>
      </c>
      <c r="E5" s="28" t="str">
        <f>IFERROR(__xludf.DUMMYFUNCTION("""COMPUTED_VALUE"""),"TradeAttribute3")</f>
        <v>TradeAttribute3</v>
      </c>
      <c r="F5" s="29" t="str">
        <f>IFERROR(__xludf.DUMMYFUNCTION("""COMPUTED_VALUE"""),"TradeAttribute4")</f>
        <v>TradeAttribute4</v>
      </c>
      <c r="G5" s="28" t="str">
        <f>IFERROR(__xludf.DUMMYFUNCTION("""COMPUTED_VALUE"""),"TradeAttribute5")</f>
        <v>TradeAttribute5</v>
      </c>
      <c r="H5" s="28" t="str">
        <f>IFERROR(__xludf.DUMMYFUNCTION("""COMPUTED_VALUE"""),"TradeAttribute6")</f>
        <v>TradeAttribute6</v>
      </c>
      <c r="I5" s="28" t="str">
        <f>IFERROR(__xludf.DUMMYFUNCTION("""COMPUTED_VALUE"""),"Broker")</f>
        <v>Broker</v>
      </c>
      <c r="J5" s="28" t="str">
        <f>IFERROR(__xludf.DUMMYFUNCTION("""COMPUTED_VALUE"""),"Venue")</f>
        <v>Venue</v>
      </c>
      <c r="K5" s="28" t="str">
        <f>IFERROR(__xludf.DUMMYFUNCTION("""COMPUTED_VALUE"""),"TradingAC")</f>
        <v>TradingAC</v>
      </c>
      <c r="L5" s="28" t="str">
        <f>IFERROR(__xludf.DUMMYFUNCTION("""COMPUTED_VALUE"""),"TradeDate")</f>
        <v>TradeDate</v>
      </c>
      <c r="M5" s="28" t="str">
        <f>IFERROR(__xludf.DUMMYFUNCTION("""COMPUTED_VALUE"""),"ProcessDate")</f>
        <v>ProcessDate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/>
      <c r="D6" s="31"/>
      <c r="E6" s="33"/>
      <c r="F6" s="33"/>
      <c r="G6" s="33"/>
      <c r="H6" s="33"/>
      <c r="I6" s="33"/>
      <c r="J6" s="33"/>
      <c r="K6" s="33"/>
      <c r="L6" s="34" t="b">
        <v>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SetAutoGroupingPreferences!$4:$4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IFERROR(__xludf.DUMMYFUNCTION("""COMPUTED_VALUE"""),"FundName")</f>
        <v>FundName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SetAutoGroupingAccount!$4:$4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21</v>
      </c>
      <c r="D6" s="13">
        <v>10.0</v>
      </c>
      <c r="E6" s="35"/>
      <c r="F6" s="8"/>
      <c r="G6" s="8"/>
      <c r="H6" s="8"/>
      <c r="I6" s="8"/>
      <c r="J6" s="8"/>
      <c r="K6" s="8"/>
      <c r="L6" s="8"/>
      <c r="M6" s="13" t="s">
        <v>22</v>
      </c>
      <c r="N6" s="8"/>
      <c r="O6" s="8"/>
    </row>
    <row r="7" ht="15.75" customHeight="1">
      <c r="A7" s="8"/>
      <c r="B7" s="13" t="s">
        <v>20</v>
      </c>
      <c r="C7" s="13" t="s">
        <v>21</v>
      </c>
      <c r="D7" s="13">
        <v>20.0</v>
      </c>
      <c r="E7" s="8"/>
      <c r="F7" s="8"/>
      <c r="G7" s="8"/>
      <c r="H7" s="8"/>
      <c r="I7" s="8"/>
      <c r="J7" s="8"/>
      <c r="K7" s="8"/>
      <c r="L7" s="8"/>
      <c r="M7" s="13" t="s">
        <v>23</v>
      </c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6" t="s">
        <v>26</v>
      </c>
      <c r="B6" s="36"/>
      <c r="C6" s="8"/>
      <c r="D6" s="36"/>
      <c r="E6" s="8" t="s">
        <v>27</v>
      </c>
      <c r="F6" s="8"/>
      <c r="G6" s="8"/>
      <c r="H6" s="8" t="s">
        <v>28</v>
      </c>
      <c r="I6" s="8" t="s">
        <v>29</v>
      </c>
      <c r="J6" s="8" t="s">
        <v>20</v>
      </c>
      <c r="K6" s="8" t="s">
        <v>30</v>
      </c>
      <c r="L6" s="8" t="s">
        <v>31</v>
      </c>
      <c r="M6" s="8"/>
      <c r="N6" s="8"/>
      <c r="O6" s="8"/>
      <c r="AA6" t="s">
        <v>32</v>
      </c>
      <c r="AB6">
        <v>10.0</v>
      </c>
      <c r="AD6">
        <v>1.0</v>
      </c>
      <c r="AF6" t="s">
        <v>33</v>
      </c>
      <c r="AH6" t="s">
        <v>34</v>
      </c>
      <c r="AI6" t="s">
        <v>20</v>
      </c>
      <c r="AJ6" t="s">
        <v>21</v>
      </c>
      <c r="AK6" t="s">
        <v>35</v>
      </c>
      <c r="AL6">
        <v>10.0</v>
      </c>
      <c r="AM6">
        <v>10.0</v>
      </c>
      <c r="AN6">
        <v>100.0</v>
      </c>
      <c r="AO6">
        <v>10.0</v>
      </c>
      <c r="AS6" t="s">
        <v>36</v>
      </c>
      <c r="AT6" t="s">
        <v>37</v>
      </c>
      <c r="AU6" t="s">
        <v>38</v>
      </c>
      <c r="AX6" t="s">
        <v>39</v>
      </c>
      <c r="BA6" t="s">
        <v>29</v>
      </c>
      <c r="BB6" t="s">
        <v>26</v>
      </c>
      <c r="BC6" t="s">
        <v>26</v>
      </c>
      <c r="BD6" t="s">
        <v>26</v>
      </c>
      <c r="BE6" t="s">
        <v>26</v>
      </c>
      <c r="BF6" t="s">
        <v>26</v>
      </c>
      <c r="BG6" s="37" t="s">
        <v>18</v>
      </c>
      <c r="BH6" t="s">
        <v>26</v>
      </c>
      <c r="BI6" t="s">
        <v>26</v>
      </c>
      <c r="BJ6" t="s">
        <v>26</v>
      </c>
      <c r="BK6" t="s">
        <v>26</v>
      </c>
      <c r="BL6" t="s">
        <v>26</v>
      </c>
      <c r="BM6" t="s">
        <v>26</v>
      </c>
      <c r="BN6" t="s">
        <v>26</v>
      </c>
      <c r="BO6" t="s">
        <v>26</v>
      </c>
      <c r="BP6" t="s">
        <v>26</v>
      </c>
      <c r="BQ6" t="s">
        <v>26</v>
      </c>
      <c r="BR6" t="s">
        <v>26</v>
      </c>
      <c r="BS6" t="s">
        <v>26</v>
      </c>
      <c r="BT6" t="s">
        <v>26</v>
      </c>
      <c r="BU6" t="s">
        <v>26</v>
      </c>
      <c r="BV6" t="s">
        <v>26</v>
      </c>
      <c r="BW6" t="s">
        <v>26</v>
      </c>
      <c r="BX6" t="s">
        <v>26</v>
      </c>
      <c r="BY6" t="s">
        <v>26</v>
      </c>
      <c r="BZ6" t="s">
        <v>26</v>
      </c>
      <c r="CA6" t="s">
        <v>26</v>
      </c>
      <c r="CB6" t="s">
        <v>26</v>
      </c>
      <c r="CC6" t="s">
        <v>26</v>
      </c>
      <c r="CD6" t="s">
        <v>26</v>
      </c>
      <c r="CE6" t="s">
        <v>26</v>
      </c>
      <c r="CF6" t="s">
        <v>26</v>
      </c>
      <c r="CG6" t="s">
        <v>26</v>
      </c>
      <c r="CH6" t="s">
        <v>26</v>
      </c>
      <c r="CI6" t="s">
        <v>26</v>
      </c>
      <c r="CJ6" t="s">
        <v>26</v>
      </c>
      <c r="CK6" t="s">
        <v>26</v>
      </c>
      <c r="CL6" t="s">
        <v>26</v>
      </c>
      <c r="CM6" t="s">
        <v>26</v>
      </c>
      <c r="CN6" t="s">
        <v>26</v>
      </c>
      <c r="CO6" t="s">
        <v>26</v>
      </c>
      <c r="CP6" t="s">
        <v>26</v>
      </c>
      <c r="CQ6" t="s">
        <v>26</v>
      </c>
      <c r="CR6" t="s">
        <v>26</v>
      </c>
      <c r="CS6" t="s">
        <v>26</v>
      </c>
      <c r="CT6" t="s">
        <v>26</v>
      </c>
      <c r="CU6" t="s">
        <v>26</v>
      </c>
      <c r="CV6" t="s">
        <v>26</v>
      </c>
      <c r="CW6" t="s">
        <v>26</v>
      </c>
      <c r="CX6" t="s">
        <v>26</v>
      </c>
      <c r="CY6" t="s">
        <v>26</v>
      </c>
      <c r="CZ6" t="s">
        <v>26</v>
      </c>
      <c r="DA6" t="s">
        <v>26</v>
      </c>
      <c r="DB6" t="s">
        <v>26</v>
      </c>
      <c r="DC6" t="s">
        <v>26</v>
      </c>
      <c r="DD6" t="s">
        <v>26</v>
      </c>
      <c r="DE6" t="s">
        <v>26</v>
      </c>
      <c r="DF6" t="s">
        <v>26</v>
      </c>
      <c r="DG6" t="s">
        <v>26</v>
      </c>
      <c r="DH6" t="s">
        <v>26</v>
      </c>
      <c r="DI6" t="s">
        <v>26</v>
      </c>
      <c r="DJ6" t="s">
        <v>26</v>
      </c>
      <c r="DK6" t="s">
        <v>26</v>
      </c>
      <c r="DL6" t="s">
        <v>26</v>
      </c>
      <c r="DM6" t="s">
        <v>26</v>
      </c>
      <c r="DN6" t="s">
        <v>26</v>
      </c>
      <c r="DO6" t="s">
        <v>26</v>
      </c>
      <c r="DP6" t="s">
        <v>26</v>
      </c>
      <c r="DQ6" t="s">
        <v>26</v>
      </c>
      <c r="DR6" t="s">
        <v>26</v>
      </c>
      <c r="DS6" t="s">
        <v>26</v>
      </c>
      <c r="DT6" t="s">
        <v>26</v>
      </c>
      <c r="DU6" t="s">
        <v>26</v>
      </c>
      <c r="DV6" t="s">
        <v>26</v>
      </c>
      <c r="DW6" t="s">
        <v>26</v>
      </c>
      <c r="DX6" t="s">
        <v>26</v>
      </c>
      <c r="DY6" t="s">
        <v>26</v>
      </c>
      <c r="DZ6" t="s">
        <v>26</v>
      </c>
      <c r="EA6" t="s">
        <v>26</v>
      </c>
      <c r="EB6" t="s">
        <v>26</v>
      </c>
      <c r="EC6" t="s">
        <v>26</v>
      </c>
      <c r="ED6" t="s">
        <v>26</v>
      </c>
      <c r="EE6" t="s">
        <v>26</v>
      </c>
      <c r="EF6" t="s">
        <v>26</v>
      </c>
      <c r="EG6" t="s">
        <v>26</v>
      </c>
      <c r="EH6" t="s">
        <v>26</v>
      </c>
      <c r="EI6" t="s">
        <v>26</v>
      </c>
      <c r="EJ6" t="s">
        <v>26</v>
      </c>
      <c r="EK6" t="s">
        <v>26</v>
      </c>
      <c r="EL6" t="s">
        <v>26</v>
      </c>
      <c r="EM6" t="s">
        <v>26</v>
      </c>
      <c r="EN6" t="s">
        <v>26</v>
      </c>
      <c r="EO6" t="s">
        <v>26</v>
      </c>
      <c r="EP6" t="s">
        <v>26</v>
      </c>
      <c r="EQ6" t="s">
        <v>26</v>
      </c>
      <c r="ER6" t="s">
        <v>26</v>
      </c>
      <c r="ES6" t="s">
        <v>26</v>
      </c>
      <c r="ET6" t="s">
        <v>26</v>
      </c>
      <c r="EU6" t="s">
        <v>26</v>
      </c>
      <c r="EV6" t="s">
        <v>26</v>
      </c>
      <c r="EW6" t="s">
        <v>26</v>
      </c>
      <c r="EX6" t="s">
        <v>26</v>
      </c>
      <c r="EY6" t="s">
        <v>26</v>
      </c>
      <c r="EZ6" t="s">
        <v>26</v>
      </c>
      <c r="FA6" t="s">
        <v>26</v>
      </c>
      <c r="FB6" t="s">
        <v>26</v>
      </c>
      <c r="FC6" t="s">
        <v>26</v>
      </c>
      <c r="FD6" t="s">
        <v>26</v>
      </c>
      <c r="FE6" t="s">
        <v>26</v>
      </c>
      <c r="FF6" t="s">
        <v>26</v>
      </c>
      <c r="FG6" t="s">
        <v>26</v>
      </c>
      <c r="FH6" t="s">
        <v>26</v>
      </c>
      <c r="FI6" t="s">
        <v>26</v>
      </c>
      <c r="FJ6" t="s">
        <v>26</v>
      </c>
      <c r="FK6" t="s">
        <v>26</v>
      </c>
      <c r="FL6" t="s">
        <v>26</v>
      </c>
      <c r="FM6" t="s">
        <v>26</v>
      </c>
      <c r="FN6" t="s">
        <v>26</v>
      </c>
      <c r="FO6" t="s">
        <v>26</v>
      </c>
      <c r="FP6" t="s">
        <v>26</v>
      </c>
      <c r="FQ6" t="s">
        <v>26</v>
      </c>
    </row>
    <row r="7" ht="15.75" customHeight="1">
      <c r="A7" s="8" t="s">
        <v>26</v>
      </c>
      <c r="B7" s="8"/>
      <c r="C7" s="8"/>
      <c r="D7" s="8"/>
      <c r="E7" s="8" t="s">
        <v>27</v>
      </c>
      <c r="F7" s="8"/>
      <c r="G7" s="8"/>
      <c r="H7" s="8" t="s">
        <v>28</v>
      </c>
      <c r="I7" s="8" t="s">
        <v>29</v>
      </c>
      <c r="J7" s="8" t="s">
        <v>20</v>
      </c>
      <c r="K7" s="8" t="s">
        <v>30</v>
      </c>
      <c r="L7" s="8" t="s">
        <v>31</v>
      </c>
      <c r="M7" s="8"/>
      <c r="N7" s="8"/>
      <c r="O7" s="8"/>
      <c r="AA7" t="s">
        <v>32</v>
      </c>
      <c r="AD7">
        <v>1.0</v>
      </c>
      <c r="AF7" t="s">
        <v>33</v>
      </c>
      <c r="AH7" t="s">
        <v>34</v>
      </c>
      <c r="AI7" t="s">
        <v>20</v>
      </c>
      <c r="AJ7" t="s">
        <v>21</v>
      </c>
      <c r="AK7" t="s">
        <v>35</v>
      </c>
      <c r="AL7" s="9">
        <v>20.0</v>
      </c>
      <c r="AM7" s="9">
        <v>20.0</v>
      </c>
      <c r="AN7">
        <v>100.0</v>
      </c>
      <c r="AO7" s="9">
        <v>20.0</v>
      </c>
      <c r="AS7" t="s">
        <v>36</v>
      </c>
      <c r="AT7" t="s">
        <v>37</v>
      </c>
      <c r="AU7" t="s">
        <v>38</v>
      </c>
      <c r="AX7" t="s">
        <v>39</v>
      </c>
      <c r="BA7" t="s">
        <v>29</v>
      </c>
      <c r="BB7" t="s">
        <v>26</v>
      </c>
      <c r="BC7" t="s">
        <v>26</v>
      </c>
      <c r="BD7" t="s">
        <v>26</v>
      </c>
      <c r="BE7" t="s">
        <v>26</v>
      </c>
      <c r="BF7" t="s">
        <v>26</v>
      </c>
      <c r="BG7" s="37" t="s">
        <v>18</v>
      </c>
      <c r="BH7" t="s">
        <v>26</v>
      </c>
      <c r="BI7" t="s">
        <v>26</v>
      </c>
      <c r="BJ7" t="s">
        <v>26</v>
      </c>
      <c r="BK7" t="s">
        <v>26</v>
      </c>
      <c r="BL7" t="s">
        <v>26</v>
      </c>
      <c r="BM7" t="s">
        <v>26</v>
      </c>
      <c r="BN7" t="s">
        <v>26</v>
      </c>
      <c r="BO7" t="s">
        <v>26</v>
      </c>
      <c r="BP7" t="s">
        <v>26</v>
      </c>
      <c r="BQ7" t="s">
        <v>26</v>
      </c>
      <c r="BR7" t="s">
        <v>26</v>
      </c>
      <c r="BS7" t="s">
        <v>26</v>
      </c>
      <c r="BT7" t="s">
        <v>26</v>
      </c>
      <c r="BU7" t="s">
        <v>26</v>
      </c>
      <c r="BV7" t="s">
        <v>26</v>
      </c>
      <c r="BW7" t="s">
        <v>26</v>
      </c>
      <c r="BX7" t="s">
        <v>26</v>
      </c>
      <c r="BY7" t="s">
        <v>26</v>
      </c>
      <c r="BZ7" t="s">
        <v>26</v>
      </c>
      <c r="CA7" t="s">
        <v>26</v>
      </c>
      <c r="CB7" t="s">
        <v>26</v>
      </c>
      <c r="CC7" t="s">
        <v>26</v>
      </c>
      <c r="CD7" t="s">
        <v>26</v>
      </c>
      <c r="CE7" t="s">
        <v>26</v>
      </c>
      <c r="CF7" t="s">
        <v>26</v>
      </c>
      <c r="CG7" t="s">
        <v>26</v>
      </c>
      <c r="CH7" t="s">
        <v>26</v>
      </c>
      <c r="CI7" t="s">
        <v>26</v>
      </c>
      <c r="CJ7" t="s">
        <v>26</v>
      </c>
      <c r="CK7" t="s">
        <v>26</v>
      </c>
      <c r="CL7" t="s">
        <v>26</v>
      </c>
      <c r="CM7" t="s">
        <v>26</v>
      </c>
      <c r="CN7" t="s">
        <v>26</v>
      </c>
      <c r="CO7" t="s">
        <v>26</v>
      </c>
      <c r="CP7" t="s">
        <v>26</v>
      </c>
      <c r="CQ7" t="s">
        <v>26</v>
      </c>
      <c r="CR7" t="s">
        <v>26</v>
      </c>
      <c r="CS7" t="s">
        <v>26</v>
      </c>
      <c r="CT7" t="s">
        <v>26</v>
      </c>
      <c r="CU7" t="s">
        <v>26</v>
      </c>
      <c r="CV7" t="s">
        <v>26</v>
      </c>
      <c r="CW7" t="s">
        <v>26</v>
      </c>
      <c r="CX7" t="s">
        <v>26</v>
      </c>
      <c r="CY7" t="s">
        <v>26</v>
      </c>
      <c r="CZ7" t="s">
        <v>26</v>
      </c>
      <c r="DA7" t="s">
        <v>26</v>
      </c>
      <c r="DB7" t="s">
        <v>26</v>
      </c>
      <c r="DC7" t="s">
        <v>26</v>
      </c>
      <c r="DD7" t="s">
        <v>26</v>
      </c>
      <c r="DE7" t="s">
        <v>26</v>
      </c>
      <c r="DF7" t="s">
        <v>26</v>
      </c>
      <c r="DG7" t="s">
        <v>26</v>
      </c>
      <c r="DH7" t="s">
        <v>26</v>
      </c>
      <c r="DI7" t="s">
        <v>26</v>
      </c>
      <c r="DJ7" t="s">
        <v>26</v>
      </c>
      <c r="DK7" t="s">
        <v>26</v>
      </c>
      <c r="DL7" t="s">
        <v>26</v>
      </c>
      <c r="DM7" t="s">
        <v>26</v>
      </c>
      <c r="DN7" t="s">
        <v>26</v>
      </c>
      <c r="DO7" t="s">
        <v>26</v>
      </c>
      <c r="DP7" t="s">
        <v>26</v>
      </c>
      <c r="DQ7" t="s">
        <v>26</v>
      </c>
      <c r="DR7" t="s">
        <v>26</v>
      </c>
      <c r="DS7" t="s">
        <v>26</v>
      </c>
      <c r="DT7" t="s">
        <v>26</v>
      </c>
      <c r="DU7" t="s">
        <v>26</v>
      </c>
      <c r="DV7" t="s">
        <v>26</v>
      </c>
      <c r="DW7" t="s">
        <v>26</v>
      </c>
      <c r="DX7" t="s">
        <v>26</v>
      </c>
      <c r="DY7" t="s">
        <v>26</v>
      </c>
      <c r="DZ7" t="s">
        <v>26</v>
      </c>
      <c r="EA7" t="s">
        <v>26</v>
      </c>
      <c r="EB7" t="s">
        <v>26</v>
      </c>
      <c r="EC7" t="s">
        <v>26</v>
      </c>
      <c r="ED7" t="s">
        <v>26</v>
      </c>
      <c r="EE7" t="s">
        <v>26</v>
      </c>
      <c r="EF7" t="s">
        <v>26</v>
      </c>
      <c r="EG7" t="s">
        <v>26</v>
      </c>
      <c r="EH7" t="s">
        <v>26</v>
      </c>
      <c r="EI7" t="s">
        <v>26</v>
      </c>
      <c r="EJ7" t="s">
        <v>26</v>
      </c>
      <c r="EK7" t="s">
        <v>26</v>
      </c>
      <c r="EL7" t="s">
        <v>26</v>
      </c>
      <c r="EM7" t="s">
        <v>26</v>
      </c>
      <c r="EN7" t="s">
        <v>26</v>
      </c>
      <c r="EO7" t="s">
        <v>26</v>
      </c>
      <c r="EP7" t="s">
        <v>26</v>
      </c>
      <c r="EQ7" t="s">
        <v>26</v>
      </c>
      <c r="ER7" t="s">
        <v>26</v>
      </c>
      <c r="ES7" t="s">
        <v>26</v>
      </c>
      <c r="ET7" t="s">
        <v>26</v>
      </c>
      <c r="EU7" t="s">
        <v>26</v>
      </c>
      <c r="EV7" t="s">
        <v>26</v>
      </c>
      <c r="EW7" t="s">
        <v>26</v>
      </c>
      <c r="EX7" t="s">
        <v>26</v>
      </c>
      <c r="EY7" t="s">
        <v>26</v>
      </c>
      <c r="EZ7" t="s">
        <v>26</v>
      </c>
      <c r="FA7" t="s">
        <v>26</v>
      </c>
      <c r="FB7" t="s">
        <v>26</v>
      </c>
      <c r="FC7" t="s">
        <v>26</v>
      </c>
      <c r="FD7" t="s">
        <v>26</v>
      </c>
      <c r="FE7" t="s">
        <v>26</v>
      </c>
      <c r="FF7" t="s">
        <v>26</v>
      </c>
      <c r="FG7" t="s">
        <v>26</v>
      </c>
      <c r="FH7" t="s">
        <v>26</v>
      </c>
      <c r="FI7" t="s">
        <v>26</v>
      </c>
      <c r="FJ7" t="s">
        <v>26</v>
      </c>
      <c r="FK7" t="s">
        <v>26</v>
      </c>
      <c r="FL7" t="s">
        <v>26</v>
      </c>
      <c r="FM7" t="s">
        <v>26</v>
      </c>
      <c r="FN7" t="s">
        <v>26</v>
      </c>
      <c r="FO7" t="s">
        <v>26</v>
      </c>
      <c r="FP7" t="s">
        <v>26</v>
      </c>
      <c r="FQ7" t="s">
        <v>26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6" t="s">
        <v>26</v>
      </c>
      <c r="B6" s="36" t="s">
        <v>37</v>
      </c>
      <c r="C6" s="8" t="s">
        <v>26</v>
      </c>
      <c r="D6" s="36"/>
      <c r="E6" s="8">
        <v>10.0</v>
      </c>
      <c r="F6" s="8" t="s">
        <v>39</v>
      </c>
      <c r="G6" s="8" t="s">
        <v>34</v>
      </c>
      <c r="H6" s="8">
        <v>4.0</v>
      </c>
      <c r="I6" s="8">
        <v>5.0</v>
      </c>
      <c r="J6" s="8">
        <v>1.0</v>
      </c>
      <c r="K6" s="8"/>
      <c r="L6" s="8"/>
      <c r="M6" s="8" t="s">
        <v>27</v>
      </c>
      <c r="N6" s="8" t="s">
        <v>26</v>
      </c>
      <c r="O6" s="8" t="s">
        <v>36</v>
      </c>
      <c r="W6">
        <v>1.0</v>
      </c>
      <c r="X6" t="s">
        <v>26</v>
      </c>
      <c r="Y6" t="s">
        <v>26</v>
      </c>
      <c r="Z6" t="s">
        <v>41</v>
      </c>
      <c r="AD6" t="s">
        <v>28</v>
      </c>
      <c r="AE6">
        <v>10.0</v>
      </c>
      <c r="AH6" t="s">
        <v>33</v>
      </c>
      <c r="AI6">
        <v>1.0</v>
      </c>
      <c r="AY6" t="s">
        <v>38</v>
      </c>
      <c r="BJ6">
        <v>10.0</v>
      </c>
      <c r="BL6" t="s">
        <v>26</v>
      </c>
      <c r="BM6" t="s">
        <v>41</v>
      </c>
      <c r="BO6" t="s">
        <v>21</v>
      </c>
      <c r="BS6" t="s">
        <v>22</v>
      </c>
      <c r="BT6" t="s">
        <v>20</v>
      </c>
      <c r="CF6" t="s">
        <v>31</v>
      </c>
      <c r="CH6" s="37" t="s">
        <v>18</v>
      </c>
      <c r="CI6" t="s">
        <v>21</v>
      </c>
      <c r="CK6" t="s">
        <v>30</v>
      </c>
      <c r="CL6">
        <v>1.0</v>
      </c>
      <c r="CM6" t="s">
        <v>20</v>
      </c>
      <c r="CN6" t="s">
        <v>29</v>
      </c>
      <c r="CO6" t="s">
        <v>28</v>
      </c>
      <c r="CS6" t="s">
        <v>26</v>
      </c>
      <c r="CV6" t="s">
        <v>26</v>
      </c>
      <c r="CW6" t="s">
        <v>26</v>
      </c>
      <c r="CX6" t="s">
        <v>26</v>
      </c>
      <c r="CY6" t="s">
        <v>26</v>
      </c>
      <c r="CZ6" t="s">
        <v>26</v>
      </c>
      <c r="DA6" t="s">
        <v>26</v>
      </c>
      <c r="DB6" t="s">
        <v>26</v>
      </c>
      <c r="DC6" t="s">
        <v>26</v>
      </c>
      <c r="DD6" t="s">
        <v>26</v>
      </c>
      <c r="DE6" t="s">
        <v>26</v>
      </c>
      <c r="DF6" t="s">
        <v>26</v>
      </c>
      <c r="DG6" t="s">
        <v>26</v>
      </c>
      <c r="DH6" t="s">
        <v>26</v>
      </c>
      <c r="DI6" t="s">
        <v>26</v>
      </c>
      <c r="DJ6" t="s">
        <v>26</v>
      </c>
      <c r="DK6" t="s">
        <v>26</v>
      </c>
      <c r="DL6" t="s">
        <v>26</v>
      </c>
      <c r="DM6" t="s">
        <v>26</v>
      </c>
      <c r="DN6" t="s">
        <v>26</v>
      </c>
      <c r="DO6" t="s">
        <v>26</v>
      </c>
      <c r="DP6" t="s">
        <v>26</v>
      </c>
      <c r="DQ6" t="s">
        <v>26</v>
      </c>
      <c r="DR6" t="s">
        <v>26</v>
      </c>
      <c r="DS6" t="s">
        <v>26</v>
      </c>
      <c r="DT6" t="s">
        <v>26</v>
      </c>
      <c r="DU6" t="s">
        <v>26</v>
      </c>
      <c r="DV6" t="s">
        <v>26</v>
      </c>
      <c r="DW6" t="s">
        <v>26</v>
      </c>
      <c r="DX6" t="s">
        <v>26</v>
      </c>
      <c r="DY6" t="s">
        <v>26</v>
      </c>
      <c r="DZ6" t="s">
        <v>26</v>
      </c>
      <c r="EA6" t="s">
        <v>26</v>
      </c>
      <c r="EB6" t="s">
        <v>26</v>
      </c>
      <c r="EC6" t="s">
        <v>26</v>
      </c>
      <c r="ED6" t="s">
        <v>26</v>
      </c>
      <c r="EE6" t="s">
        <v>26</v>
      </c>
      <c r="EF6" t="s">
        <v>26</v>
      </c>
      <c r="EG6" t="s">
        <v>26</v>
      </c>
      <c r="EH6" t="s">
        <v>26</v>
      </c>
      <c r="EI6" t="s">
        <v>26</v>
      </c>
      <c r="EJ6" t="s">
        <v>26</v>
      </c>
      <c r="EK6" t="s">
        <v>26</v>
      </c>
      <c r="EL6" t="s">
        <v>26</v>
      </c>
      <c r="EM6" t="s">
        <v>26</v>
      </c>
      <c r="EN6" t="s">
        <v>26</v>
      </c>
      <c r="EO6" t="s">
        <v>26</v>
      </c>
      <c r="EP6" t="s">
        <v>26</v>
      </c>
      <c r="EQ6" t="s">
        <v>26</v>
      </c>
      <c r="ER6" t="s">
        <v>26</v>
      </c>
      <c r="ES6" t="s">
        <v>26</v>
      </c>
      <c r="ET6" t="s">
        <v>26</v>
      </c>
      <c r="EU6" t="s">
        <v>26</v>
      </c>
      <c r="EV6" t="s">
        <v>26</v>
      </c>
      <c r="EW6" t="s">
        <v>26</v>
      </c>
      <c r="EX6" t="s">
        <v>26</v>
      </c>
      <c r="EY6" t="s">
        <v>26</v>
      </c>
      <c r="EZ6" t="s">
        <v>26</v>
      </c>
      <c r="FA6" t="s">
        <v>26</v>
      </c>
      <c r="FB6" t="s">
        <v>26</v>
      </c>
      <c r="FC6" t="s">
        <v>26</v>
      </c>
      <c r="FD6" t="s">
        <v>26</v>
      </c>
      <c r="FE6" t="s">
        <v>26</v>
      </c>
      <c r="FF6" t="s">
        <v>26</v>
      </c>
      <c r="FG6" t="s">
        <v>26</v>
      </c>
      <c r="FH6" t="s">
        <v>26</v>
      </c>
      <c r="FI6" t="s">
        <v>26</v>
      </c>
      <c r="FJ6" t="s">
        <v>26</v>
      </c>
      <c r="FK6" t="s">
        <v>26</v>
      </c>
      <c r="FL6" t="s">
        <v>26</v>
      </c>
      <c r="FM6" t="s">
        <v>26</v>
      </c>
      <c r="FN6" t="s">
        <v>26</v>
      </c>
      <c r="FO6" t="s">
        <v>26</v>
      </c>
      <c r="FP6" t="s">
        <v>26</v>
      </c>
      <c r="FQ6" t="s">
        <v>26</v>
      </c>
    </row>
    <row r="7" ht="15.75" customHeight="1">
      <c r="A7" s="8" t="s">
        <v>26</v>
      </c>
      <c r="B7" s="8" t="s">
        <v>37</v>
      </c>
      <c r="C7" s="8" t="s">
        <v>26</v>
      </c>
      <c r="D7" s="8"/>
      <c r="E7" s="13">
        <v>20.0</v>
      </c>
      <c r="F7" s="8" t="s">
        <v>39</v>
      </c>
      <c r="G7" s="8" t="s">
        <v>34</v>
      </c>
      <c r="H7" s="8"/>
      <c r="I7" s="8"/>
      <c r="J7" s="8"/>
      <c r="K7" s="8"/>
      <c r="L7" s="8"/>
      <c r="M7" s="8" t="s">
        <v>27</v>
      </c>
      <c r="N7" s="8" t="s">
        <v>26</v>
      </c>
      <c r="O7" s="8" t="s">
        <v>36</v>
      </c>
      <c r="W7">
        <v>1.0</v>
      </c>
      <c r="X7" t="s">
        <v>26</v>
      </c>
      <c r="Y7" t="s">
        <v>26</v>
      </c>
      <c r="Z7" t="s">
        <v>41</v>
      </c>
      <c r="AD7" t="s">
        <v>28</v>
      </c>
      <c r="AE7" s="9">
        <v>20.0</v>
      </c>
      <c r="AH7" t="s">
        <v>33</v>
      </c>
      <c r="AI7">
        <v>1.0</v>
      </c>
      <c r="AY7" t="s">
        <v>38</v>
      </c>
      <c r="BJ7" s="9">
        <v>20.0</v>
      </c>
      <c r="BL7" t="s">
        <v>26</v>
      </c>
      <c r="BM7" t="s">
        <v>41</v>
      </c>
      <c r="BO7" t="s">
        <v>21</v>
      </c>
      <c r="BS7" t="s">
        <v>23</v>
      </c>
      <c r="BT7" t="s">
        <v>20</v>
      </c>
      <c r="CF7" t="s">
        <v>31</v>
      </c>
      <c r="CH7" s="37" t="s">
        <v>18</v>
      </c>
      <c r="CI7" t="s">
        <v>21</v>
      </c>
      <c r="CK7" t="s">
        <v>30</v>
      </c>
      <c r="CL7">
        <v>1.0</v>
      </c>
      <c r="CM7" t="s">
        <v>20</v>
      </c>
      <c r="CN7" t="s">
        <v>29</v>
      </c>
      <c r="CO7" t="s">
        <v>28</v>
      </c>
      <c r="CS7" t="s">
        <v>26</v>
      </c>
      <c r="CV7" t="s">
        <v>26</v>
      </c>
      <c r="CW7" t="s">
        <v>26</v>
      </c>
      <c r="CX7" t="s">
        <v>26</v>
      </c>
      <c r="CY7" t="s">
        <v>26</v>
      </c>
      <c r="CZ7" t="s">
        <v>26</v>
      </c>
      <c r="DA7" t="s">
        <v>26</v>
      </c>
      <c r="DB7" t="s">
        <v>26</v>
      </c>
      <c r="DC7" t="s">
        <v>26</v>
      </c>
      <c r="DD7" t="s">
        <v>26</v>
      </c>
      <c r="DE7" t="s">
        <v>26</v>
      </c>
      <c r="DF7" t="s">
        <v>26</v>
      </c>
      <c r="DG7" t="s">
        <v>26</v>
      </c>
      <c r="DH7" t="s">
        <v>26</v>
      </c>
      <c r="DI7" t="s">
        <v>26</v>
      </c>
      <c r="DJ7" t="s">
        <v>26</v>
      </c>
      <c r="DK7" t="s">
        <v>26</v>
      </c>
      <c r="DL7" t="s">
        <v>26</v>
      </c>
      <c r="DM7" t="s">
        <v>26</v>
      </c>
      <c r="DN7" t="s">
        <v>26</v>
      </c>
      <c r="DO7" t="s">
        <v>26</v>
      </c>
      <c r="DP7" t="s">
        <v>26</v>
      </c>
      <c r="DQ7" t="s">
        <v>26</v>
      </c>
      <c r="DR7" t="s">
        <v>26</v>
      </c>
      <c r="DS7" t="s">
        <v>26</v>
      </c>
      <c r="DT7" t="s">
        <v>26</v>
      </c>
      <c r="DU7" t="s">
        <v>26</v>
      </c>
      <c r="DV7" t="s">
        <v>26</v>
      </c>
      <c r="DW7" t="s">
        <v>26</v>
      </c>
      <c r="DX7" t="s">
        <v>26</v>
      </c>
      <c r="DY7" t="s">
        <v>26</v>
      </c>
      <c r="DZ7" t="s">
        <v>26</v>
      </c>
      <c r="EA7" t="s">
        <v>26</v>
      </c>
      <c r="EB7" t="s">
        <v>26</v>
      </c>
      <c r="EC7" t="s">
        <v>26</v>
      </c>
      <c r="ED7" t="s">
        <v>26</v>
      </c>
      <c r="EE7" t="s">
        <v>26</v>
      </c>
      <c r="EF7" t="s">
        <v>26</v>
      </c>
      <c r="EG7" t="s">
        <v>26</v>
      </c>
      <c r="EH7" t="s">
        <v>26</v>
      </c>
      <c r="EI7" t="s">
        <v>26</v>
      </c>
      <c r="EJ7" t="s">
        <v>26</v>
      </c>
      <c r="EK7" t="s">
        <v>26</v>
      </c>
      <c r="EL7" t="s">
        <v>26</v>
      </c>
      <c r="EM7" t="s">
        <v>26</v>
      </c>
      <c r="EN7" t="s">
        <v>26</v>
      </c>
      <c r="EO7" t="s">
        <v>26</v>
      </c>
      <c r="EP7" t="s">
        <v>26</v>
      </c>
      <c r="EQ7" t="s">
        <v>26</v>
      </c>
      <c r="ER7" t="s">
        <v>26</v>
      </c>
      <c r="ES7" t="s">
        <v>26</v>
      </c>
      <c r="ET7" t="s">
        <v>26</v>
      </c>
      <c r="EU7" t="s">
        <v>26</v>
      </c>
      <c r="EV7" t="s">
        <v>26</v>
      </c>
      <c r="EW7" t="s">
        <v>26</v>
      </c>
      <c r="EX7" t="s">
        <v>26</v>
      </c>
      <c r="EY7" t="s">
        <v>26</v>
      </c>
      <c r="EZ7" t="s">
        <v>26</v>
      </c>
      <c r="FA7" t="s">
        <v>26</v>
      </c>
      <c r="FB7" t="s">
        <v>26</v>
      </c>
      <c r="FC7" t="s">
        <v>26</v>
      </c>
      <c r="FD7" t="s">
        <v>26</v>
      </c>
      <c r="FE7" t="s">
        <v>26</v>
      </c>
      <c r="FF7" t="s">
        <v>26</v>
      </c>
      <c r="FG7" t="s">
        <v>26</v>
      </c>
      <c r="FH7" t="s">
        <v>26</v>
      </c>
      <c r="FI7" t="s">
        <v>26</v>
      </c>
      <c r="FJ7" t="s">
        <v>26</v>
      </c>
      <c r="FK7" t="s">
        <v>26</v>
      </c>
      <c r="FL7" t="s">
        <v>26</v>
      </c>
      <c r="FM7" t="s">
        <v>26</v>
      </c>
      <c r="FN7" t="s">
        <v>26</v>
      </c>
      <c r="FO7" t="s">
        <v>26</v>
      </c>
      <c r="FP7" t="s">
        <v>26</v>
      </c>
      <c r="FQ7" t="s">
        <v>26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6" t="s">
        <v>26</v>
      </c>
      <c r="B6" s="36"/>
      <c r="C6" s="8" t="s">
        <v>20</v>
      </c>
      <c r="D6" s="36">
        <v>10.0</v>
      </c>
      <c r="E6" s="8" t="s">
        <v>37</v>
      </c>
      <c r="F6" s="8" t="s">
        <v>32</v>
      </c>
      <c r="G6" s="8"/>
      <c r="H6" s="8" t="s">
        <v>44</v>
      </c>
      <c r="I6" s="8"/>
      <c r="J6" s="8"/>
      <c r="K6" s="8"/>
      <c r="L6" s="8"/>
      <c r="M6" s="8"/>
      <c r="N6" s="8"/>
      <c r="O6" s="8"/>
      <c r="R6" t="s">
        <v>45</v>
      </c>
      <c r="S6" t="s">
        <v>22</v>
      </c>
      <c r="T6" t="s">
        <v>34</v>
      </c>
      <c r="U6" t="s">
        <v>30</v>
      </c>
      <c r="V6" t="s">
        <v>28</v>
      </c>
      <c r="W6" t="s">
        <v>41</v>
      </c>
      <c r="X6">
        <v>1.0</v>
      </c>
      <c r="Y6">
        <v>1.0</v>
      </c>
      <c r="AL6">
        <v>1.0</v>
      </c>
      <c r="AM6">
        <v>1.0</v>
      </c>
      <c r="AN6" t="s">
        <v>21</v>
      </c>
      <c r="AP6" t="s">
        <v>44</v>
      </c>
      <c r="AQ6" t="s">
        <v>20</v>
      </c>
      <c r="AV6">
        <v>1.0</v>
      </c>
      <c r="BE6" t="s">
        <v>34</v>
      </c>
      <c r="BF6" t="s">
        <v>46</v>
      </c>
      <c r="BG6" t="s">
        <v>47</v>
      </c>
      <c r="BH6" t="s">
        <v>48</v>
      </c>
      <c r="BQ6" t="s">
        <v>29</v>
      </c>
      <c r="BR6" t="s">
        <v>36</v>
      </c>
      <c r="BU6" t="s">
        <v>34</v>
      </c>
      <c r="DJ6" t="s">
        <v>21</v>
      </c>
      <c r="DM6">
        <v>1.0</v>
      </c>
      <c r="DP6" t="s">
        <v>44</v>
      </c>
      <c r="ED6" t="s">
        <v>41</v>
      </c>
      <c r="EL6" t="s">
        <v>44</v>
      </c>
      <c r="EV6" t="s">
        <v>44</v>
      </c>
      <c r="FA6" t="s">
        <v>26</v>
      </c>
      <c r="FB6" t="s">
        <v>26</v>
      </c>
      <c r="FC6" t="s">
        <v>49</v>
      </c>
      <c r="FI6" t="s">
        <v>26</v>
      </c>
      <c r="FK6" t="s">
        <v>26</v>
      </c>
      <c r="FL6" t="s">
        <v>26</v>
      </c>
      <c r="FM6" t="s">
        <v>26</v>
      </c>
      <c r="FN6" t="s">
        <v>26</v>
      </c>
      <c r="FO6" t="s">
        <v>26</v>
      </c>
      <c r="FP6" t="s">
        <v>26</v>
      </c>
      <c r="FQ6" t="s">
        <v>26</v>
      </c>
    </row>
    <row r="7" ht="15.75" customHeight="1">
      <c r="A7" s="8" t="s">
        <v>26</v>
      </c>
      <c r="B7" s="8"/>
      <c r="C7" s="8" t="s">
        <v>20</v>
      </c>
      <c r="D7" s="13">
        <v>20.0</v>
      </c>
      <c r="E7" s="8" t="s">
        <v>37</v>
      </c>
      <c r="F7" s="8" t="s">
        <v>32</v>
      </c>
      <c r="G7" s="8"/>
      <c r="H7" s="8" t="s">
        <v>44</v>
      </c>
      <c r="I7" s="8"/>
      <c r="J7" s="8"/>
      <c r="K7" s="8"/>
      <c r="L7" s="8"/>
      <c r="M7" s="8"/>
      <c r="N7" s="8"/>
      <c r="O7" s="8"/>
      <c r="R7" t="s">
        <v>45</v>
      </c>
      <c r="S7" t="s">
        <v>23</v>
      </c>
      <c r="T7" t="s">
        <v>34</v>
      </c>
      <c r="U7" t="s">
        <v>30</v>
      </c>
      <c r="V7" t="s">
        <v>28</v>
      </c>
      <c r="W7" t="s">
        <v>41</v>
      </c>
      <c r="X7">
        <v>1.0</v>
      </c>
      <c r="Y7">
        <v>1.0</v>
      </c>
      <c r="AL7">
        <v>1.0</v>
      </c>
      <c r="AM7">
        <v>1.0</v>
      </c>
      <c r="AN7" t="s">
        <v>21</v>
      </c>
      <c r="AP7" t="s">
        <v>44</v>
      </c>
      <c r="AQ7" t="s">
        <v>20</v>
      </c>
      <c r="AV7">
        <v>1.0</v>
      </c>
      <c r="BE7" t="s">
        <v>34</v>
      </c>
      <c r="BF7" t="s">
        <v>46</v>
      </c>
      <c r="BG7" t="s">
        <v>47</v>
      </c>
      <c r="BH7" t="s">
        <v>48</v>
      </c>
      <c r="BQ7" t="s">
        <v>29</v>
      </c>
      <c r="BR7" t="s">
        <v>36</v>
      </c>
      <c r="BU7" t="s">
        <v>34</v>
      </c>
      <c r="DJ7" t="s">
        <v>21</v>
      </c>
      <c r="DM7">
        <v>1.0</v>
      </c>
      <c r="DP7" t="s">
        <v>44</v>
      </c>
      <c r="ED7" t="s">
        <v>41</v>
      </c>
      <c r="EL7" t="s">
        <v>44</v>
      </c>
      <c r="EV7" t="s">
        <v>44</v>
      </c>
      <c r="FA7" t="s">
        <v>26</v>
      </c>
      <c r="FB7" t="s">
        <v>26</v>
      </c>
      <c r="FC7" t="s">
        <v>49</v>
      </c>
      <c r="FI7" t="s">
        <v>26</v>
      </c>
      <c r="FK7" t="s">
        <v>26</v>
      </c>
      <c r="FL7" t="s">
        <v>26</v>
      </c>
      <c r="FM7" t="s">
        <v>26</v>
      </c>
      <c r="FN7" t="s">
        <v>26</v>
      </c>
      <c r="FO7" t="s">
        <v>26</v>
      </c>
      <c r="FP7" t="s">
        <v>26</v>
      </c>
      <c r="FQ7" t="s">
        <v>26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8" t="s">
        <v>20</v>
      </c>
      <c r="C6" s="13">
        <v>30.0</v>
      </c>
      <c r="D6" s="13"/>
      <c r="E6" s="35"/>
      <c r="F6" s="13" t="s">
        <v>21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8" t="s">
        <v>20</v>
      </c>
      <c r="C6" s="13" t="s">
        <v>21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GroupTrades!$4:$4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AG6" s="9" t="s">
        <v>33</v>
      </c>
      <c r="AH6" s="9">
        <v>1.0</v>
      </c>
      <c r="AY6" s="9" t="s">
        <v>38</v>
      </c>
      <c r="BO6" s="9" t="s">
        <v>21</v>
      </c>
      <c r="BS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13">
        <v>100.0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6" t="s">
        <v>26</v>
      </c>
      <c r="B6" s="36"/>
      <c r="C6" s="8" t="s">
        <v>20</v>
      </c>
      <c r="D6" s="13">
        <v>30.0</v>
      </c>
      <c r="E6" s="8" t="s">
        <v>37</v>
      </c>
      <c r="F6" s="8" t="s">
        <v>32</v>
      </c>
      <c r="G6" s="8">
        <v>10.0</v>
      </c>
      <c r="H6" s="8" t="s">
        <v>44</v>
      </c>
      <c r="I6" s="8"/>
      <c r="J6" s="8"/>
      <c r="K6" s="8"/>
      <c r="L6" s="8"/>
      <c r="M6" s="8"/>
      <c r="N6" s="8"/>
      <c r="O6" s="8"/>
      <c r="R6" t="s">
        <v>45</v>
      </c>
      <c r="T6" t="s">
        <v>34</v>
      </c>
      <c r="U6" t="s">
        <v>30</v>
      </c>
      <c r="V6" t="s">
        <v>28</v>
      </c>
      <c r="W6" t="s">
        <v>41</v>
      </c>
      <c r="X6">
        <v>1.0</v>
      </c>
      <c r="Y6">
        <v>1.0</v>
      </c>
      <c r="AN6" t="s">
        <v>21</v>
      </c>
      <c r="AP6" t="s">
        <v>44</v>
      </c>
      <c r="AQ6" t="s">
        <v>20</v>
      </c>
      <c r="AS6">
        <v>1.0</v>
      </c>
      <c r="AV6">
        <v>1.0</v>
      </c>
      <c r="BC6">
        <v>1.0</v>
      </c>
      <c r="BE6" t="s">
        <v>34</v>
      </c>
      <c r="BF6" t="s">
        <v>46</v>
      </c>
      <c r="BG6" t="s">
        <v>47</v>
      </c>
      <c r="BQ6" t="s">
        <v>29</v>
      </c>
      <c r="BR6" t="s">
        <v>36</v>
      </c>
      <c r="BU6" t="s">
        <v>34</v>
      </c>
      <c r="CP6" t="s">
        <v>27</v>
      </c>
      <c r="DJ6" t="s">
        <v>21</v>
      </c>
      <c r="DM6">
        <v>1.0</v>
      </c>
      <c r="DP6" t="s">
        <v>44</v>
      </c>
      <c r="ED6" t="s">
        <v>41</v>
      </c>
      <c r="EL6" t="s">
        <v>44</v>
      </c>
      <c r="EV6" t="s">
        <v>44</v>
      </c>
      <c r="FA6" t="s">
        <v>26</v>
      </c>
      <c r="FB6" t="s">
        <v>26</v>
      </c>
      <c r="FC6" t="s">
        <v>49</v>
      </c>
      <c r="FE6" t="s">
        <v>26</v>
      </c>
      <c r="FH6" t="s">
        <v>26</v>
      </c>
      <c r="FI6" t="s">
        <v>26</v>
      </c>
      <c r="FK6" t="s">
        <v>26</v>
      </c>
      <c r="FL6" t="s">
        <v>26</v>
      </c>
      <c r="FM6" t="s">
        <v>26</v>
      </c>
      <c r="FN6" t="s">
        <v>26</v>
      </c>
      <c r="FO6" t="s">
        <v>26</v>
      </c>
      <c r="FP6" t="s">
        <v>26</v>
      </c>
      <c r="FQ6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6" t="s">
        <v>26</v>
      </c>
      <c r="B6" s="36" t="s">
        <v>37</v>
      </c>
      <c r="C6" s="8" t="s">
        <v>26</v>
      </c>
      <c r="D6" s="36"/>
      <c r="E6" s="13">
        <v>30.0</v>
      </c>
      <c r="F6" s="8" t="s">
        <v>39</v>
      </c>
      <c r="G6" s="8" t="s">
        <v>34</v>
      </c>
      <c r="H6" s="8"/>
      <c r="I6" s="8"/>
      <c r="J6" s="8"/>
      <c r="K6" s="8"/>
      <c r="L6" s="8"/>
      <c r="M6" s="8"/>
      <c r="N6" s="8" t="s">
        <v>26</v>
      </c>
      <c r="O6" s="8" t="s">
        <v>36</v>
      </c>
      <c r="Y6" t="s">
        <v>26</v>
      </c>
      <c r="Z6" t="s">
        <v>41</v>
      </c>
      <c r="AD6" t="s">
        <v>28</v>
      </c>
      <c r="AE6" s="9">
        <v>30.0</v>
      </c>
      <c r="AF6" t="s">
        <v>26</v>
      </c>
      <c r="AH6" t="s">
        <v>33</v>
      </c>
      <c r="AI6">
        <v>1.0</v>
      </c>
      <c r="AY6" t="s">
        <v>38</v>
      </c>
      <c r="BE6" s="9">
        <v>300.0</v>
      </c>
      <c r="BF6" s="9">
        <v>300.0</v>
      </c>
      <c r="BJ6" s="9">
        <v>30.0</v>
      </c>
      <c r="BM6" t="s">
        <v>41</v>
      </c>
      <c r="BO6" t="s">
        <v>21</v>
      </c>
      <c r="BT6" t="s">
        <v>20</v>
      </c>
      <c r="CF6" t="s">
        <v>31</v>
      </c>
      <c r="CI6" t="s">
        <v>21</v>
      </c>
      <c r="CK6" t="s">
        <v>30</v>
      </c>
      <c r="CL6">
        <v>1.0</v>
      </c>
      <c r="CM6" t="s">
        <v>20</v>
      </c>
      <c r="CN6" t="s">
        <v>29</v>
      </c>
      <c r="CO6" t="s">
        <v>28</v>
      </c>
      <c r="CS6" t="s">
        <v>26</v>
      </c>
      <c r="CV6" t="s">
        <v>26</v>
      </c>
      <c r="CW6" t="s">
        <v>26</v>
      </c>
      <c r="CX6" t="s">
        <v>26</v>
      </c>
      <c r="CY6" t="s">
        <v>26</v>
      </c>
      <c r="CZ6" t="s">
        <v>26</v>
      </c>
      <c r="DA6" t="s">
        <v>26</v>
      </c>
      <c r="DB6" t="s">
        <v>26</v>
      </c>
      <c r="DC6" t="s">
        <v>26</v>
      </c>
      <c r="DD6" t="s">
        <v>26</v>
      </c>
      <c r="DE6" t="s">
        <v>26</v>
      </c>
      <c r="DF6" t="s">
        <v>26</v>
      </c>
      <c r="DG6" t="s">
        <v>26</v>
      </c>
      <c r="DH6" t="s">
        <v>26</v>
      </c>
      <c r="DI6" t="s">
        <v>26</v>
      </c>
      <c r="DJ6" t="s">
        <v>26</v>
      </c>
      <c r="DK6" t="s">
        <v>26</v>
      </c>
      <c r="DL6" t="s">
        <v>26</v>
      </c>
      <c r="DM6" t="s">
        <v>26</v>
      </c>
      <c r="DN6" t="s">
        <v>26</v>
      </c>
      <c r="DO6" t="s">
        <v>26</v>
      </c>
      <c r="DP6" t="s">
        <v>26</v>
      </c>
      <c r="DQ6" t="s">
        <v>26</v>
      </c>
      <c r="DR6" t="s">
        <v>26</v>
      </c>
      <c r="DS6" t="s">
        <v>26</v>
      </c>
      <c r="DT6" t="s">
        <v>26</v>
      </c>
      <c r="DU6" t="s">
        <v>26</v>
      </c>
      <c r="DV6" t="s">
        <v>26</v>
      </c>
      <c r="DW6" t="s">
        <v>26</v>
      </c>
      <c r="DX6" t="s">
        <v>26</v>
      </c>
      <c r="DY6" t="s">
        <v>26</v>
      </c>
      <c r="DZ6" t="s">
        <v>26</v>
      </c>
      <c r="EA6" t="s">
        <v>26</v>
      </c>
      <c r="EB6" t="s">
        <v>26</v>
      </c>
      <c r="EC6" t="s">
        <v>26</v>
      </c>
      <c r="ED6" t="s">
        <v>26</v>
      </c>
      <c r="EE6" t="s">
        <v>26</v>
      </c>
      <c r="EF6" t="s">
        <v>26</v>
      </c>
      <c r="EG6" t="s">
        <v>26</v>
      </c>
      <c r="EH6" t="s">
        <v>26</v>
      </c>
      <c r="EI6" t="s">
        <v>26</v>
      </c>
      <c r="EJ6" t="s">
        <v>26</v>
      </c>
      <c r="EK6" t="s">
        <v>26</v>
      </c>
      <c r="EL6" t="s">
        <v>26</v>
      </c>
      <c r="EM6" t="s">
        <v>26</v>
      </c>
      <c r="EN6" t="s">
        <v>26</v>
      </c>
      <c r="EO6" t="s">
        <v>26</v>
      </c>
      <c r="EP6" t="s">
        <v>26</v>
      </c>
      <c r="EQ6" t="s">
        <v>26</v>
      </c>
      <c r="ER6" t="s">
        <v>26</v>
      </c>
      <c r="ES6" t="s">
        <v>26</v>
      </c>
      <c r="ET6" t="s">
        <v>26</v>
      </c>
      <c r="EU6" t="s">
        <v>26</v>
      </c>
      <c r="EV6" t="s">
        <v>26</v>
      </c>
      <c r="EW6" t="s">
        <v>26</v>
      </c>
      <c r="EX6" t="s">
        <v>26</v>
      </c>
      <c r="EY6" t="s">
        <v>26</v>
      </c>
      <c r="EZ6" t="s">
        <v>26</v>
      </c>
      <c r="FA6" t="s">
        <v>26</v>
      </c>
      <c r="FB6" t="s">
        <v>26</v>
      </c>
      <c r="FC6" t="s">
        <v>26</v>
      </c>
      <c r="FD6" t="s">
        <v>26</v>
      </c>
      <c r="FE6" t="s">
        <v>26</v>
      </c>
      <c r="FF6" t="s">
        <v>26</v>
      </c>
      <c r="FG6" t="s">
        <v>26</v>
      </c>
      <c r="FH6" t="s">
        <v>26</v>
      </c>
      <c r="FI6" t="s">
        <v>26</v>
      </c>
      <c r="FJ6" t="s">
        <v>26</v>
      </c>
      <c r="FK6" t="s">
        <v>26</v>
      </c>
      <c r="FL6" t="s">
        <v>26</v>
      </c>
      <c r="FM6" t="s">
        <v>26</v>
      </c>
      <c r="FN6" t="s">
        <v>26</v>
      </c>
      <c r="FO6" t="s">
        <v>26</v>
      </c>
      <c r="FP6" t="s">
        <v>26</v>
      </c>
      <c r="FQ6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20</v>
      </c>
      <c r="C6" s="39">
        <v>10.0</v>
      </c>
      <c r="D6" s="31"/>
      <c r="E6" s="33"/>
      <c r="F6" s="33" t="s">
        <v>21</v>
      </c>
      <c r="G6" s="40"/>
      <c r="H6" s="40"/>
      <c r="I6" s="40"/>
      <c r="J6" s="40"/>
      <c r="K6" s="40"/>
      <c r="L6" s="40"/>
      <c r="M6" s="40"/>
      <c r="N6" s="40"/>
      <c r="O6" s="40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 t="s">
        <v>22</v>
      </c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40"/>
      <c r="B7" s="40" t="s">
        <v>20</v>
      </c>
      <c r="C7" s="41">
        <v>20.0</v>
      </c>
      <c r="D7" s="40"/>
      <c r="E7" s="40"/>
      <c r="F7" s="33" t="s">
        <v>21</v>
      </c>
      <c r="G7" s="40"/>
      <c r="H7" s="40"/>
      <c r="I7" s="40"/>
      <c r="J7" s="40"/>
      <c r="K7" s="40"/>
      <c r="L7" s="40"/>
      <c r="M7" s="40"/>
      <c r="N7" s="40"/>
      <c r="O7" s="40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 t="s">
        <v>23</v>
      </c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20</v>
      </c>
      <c r="D6" s="13"/>
      <c r="E6" s="35"/>
      <c r="F6" s="8"/>
      <c r="G6" s="13">
        <v>10.0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13"/>
      <c r="D7" s="8"/>
      <c r="E7" s="8"/>
      <c r="F7" s="8"/>
      <c r="G7" s="13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3" t="s">
        <v>20</v>
      </c>
      <c r="D6" s="31"/>
      <c r="E6" s="33"/>
      <c r="F6" s="33"/>
      <c r="G6" s="39">
        <v>10.0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3"/>
      <c r="E7" s="33"/>
      <c r="F7" s="33"/>
      <c r="G7" s="41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10.0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20</v>
      </c>
      <c r="D6" s="13"/>
      <c r="E6" s="35"/>
      <c r="F6" s="8"/>
      <c r="G6" s="13">
        <v>20.0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3" t="s">
        <v>20</v>
      </c>
      <c r="D6" s="31"/>
      <c r="E6" s="33"/>
      <c r="F6" s="33"/>
      <c r="G6" s="41">
        <v>20.0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20.0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