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8" activeTab="11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Closing" sheetId="5" r:id="rId5"/>
    <sheet name="VerifyLongPositionsGrid" sheetId="6" r:id="rId6"/>
    <sheet name="SelectTradeUnexpiredUnsettled" sheetId="7" r:id="rId7"/>
    <sheet name="ExerciseAssignment" sheetId="8" r:id="rId8"/>
    <sheet name="VerifyExpiredSettledGrid" sheetId="9" r:id="rId9"/>
    <sheet name="GetDataAllocation" sheetId="10" r:id="rId10"/>
    <sheet name="CheckAllocatedGroups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J2" i="12" l="1"/>
  <c r="J2" i="11"/>
  <c r="J2" i="10"/>
  <c r="J2" i="9"/>
  <c r="BP6" i="8"/>
  <c r="J2" i="8"/>
  <c r="J2" i="7"/>
  <c r="J2" i="6"/>
  <c r="J2" i="5"/>
  <c r="J2" i="4"/>
  <c r="BK5" i="12"/>
  <c r="FA5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V4" i="12"/>
  <c r="N4" i="12"/>
  <c r="F4" i="12"/>
  <c r="CQ5" i="11"/>
  <c r="CI5" i="11"/>
  <c r="CA5" i="11"/>
  <c r="BS5" i="11"/>
  <c r="BK5" i="11"/>
  <c r="BC5" i="11"/>
  <c r="AU5" i="11"/>
  <c r="AM5" i="11"/>
  <c r="AE5" i="11"/>
  <c r="W5" i="11"/>
  <c r="O5" i="11"/>
  <c r="G5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R5" i="10"/>
  <c r="J5" i="10"/>
  <c r="B5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Y5" i="9"/>
  <c r="Q5" i="9"/>
  <c r="I5" i="9"/>
  <c r="A5" i="9"/>
  <c r="V4" i="9"/>
  <c r="N4" i="9"/>
  <c r="F4" i="9"/>
  <c r="BU5" i="8"/>
  <c r="BM5" i="8"/>
  <c r="BE5" i="8"/>
  <c r="AW5" i="8"/>
  <c r="AO5" i="8"/>
  <c r="AG5" i="8"/>
  <c r="Y5" i="8"/>
  <c r="Q5" i="8"/>
  <c r="I5" i="8"/>
  <c r="A5" i="8"/>
  <c r="V4" i="8"/>
  <c r="N4" i="8"/>
  <c r="F4" i="8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Z4" i="7"/>
  <c r="R4" i="7"/>
  <c r="J4" i="7"/>
  <c r="B4" i="7"/>
  <c r="T5" i="6"/>
  <c r="L5" i="6"/>
  <c r="D5" i="6"/>
  <c r="Y4" i="6"/>
  <c r="Q4" i="6"/>
  <c r="I4" i="6"/>
  <c r="EZ5" i="12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U4" i="12"/>
  <c r="M4" i="12"/>
  <c r="E4" i="12"/>
  <c r="CP5" i="11"/>
  <c r="CH5" i="11"/>
  <c r="BZ5" i="11"/>
  <c r="BR5" i="11"/>
  <c r="BJ5" i="11"/>
  <c r="BB5" i="11"/>
  <c r="AT5" i="11"/>
  <c r="AL5" i="11"/>
  <c r="AD5" i="11"/>
  <c r="V5" i="11"/>
  <c r="N5" i="11"/>
  <c r="F5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Q5" i="10"/>
  <c r="I5" i="10"/>
  <c r="A5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X5" i="9"/>
  <c r="P5" i="9"/>
  <c r="H5" i="9"/>
  <c r="AC4" i="9"/>
  <c r="U4" i="9"/>
  <c r="M4" i="9"/>
  <c r="E4" i="9"/>
  <c r="BT5" i="8"/>
  <c r="BL5" i="8"/>
  <c r="BD5" i="8"/>
  <c r="AV5" i="8"/>
  <c r="AN5" i="8"/>
  <c r="AF5" i="8"/>
  <c r="X5" i="8"/>
  <c r="P5" i="8"/>
  <c r="H5" i="8"/>
  <c r="AC4" i="8"/>
  <c r="U4" i="8"/>
  <c r="M4" i="8"/>
  <c r="E4" i="8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Y4" i="7"/>
  <c r="Q4" i="7"/>
  <c r="I4" i="7"/>
  <c r="S5" i="6"/>
  <c r="K5" i="6"/>
  <c r="C5" i="6"/>
  <c r="X4" i="6"/>
  <c r="P4" i="6"/>
  <c r="H4" i="6"/>
  <c r="E5" i="5"/>
  <c r="Z4" i="5"/>
  <c r="R4" i="5"/>
  <c r="EY5" i="12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T4" i="12"/>
  <c r="L4" i="12"/>
  <c r="D4" i="12"/>
  <c r="CO5" i="11"/>
  <c r="CG5" i="11"/>
  <c r="BY5" i="11"/>
  <c r="BQ5" i="11"/>
  <c r="BI5" i="11"/>
  <c r="BA5" i="11"/>
  <c r="AS5" i="11"/>
  <c r="AK5" i="11"/>
  <c r="AC5" i="11"/>
  <c r="U5" i="11"/>
  <c r="M5" i="11"/>
  <c r="E5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P5" i="10"/>
  <c r="H5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S4" i="12"/>
  <c r="K4" i="12"/>
  <c r="C4" i="12"/>
  <c r="CN5" i="11"/>
  <c r="CF5" i="11"/>
  <c r="BX5" i="11"/>
  <c r="BP5" i="11"/>
  <c r="BH5" i="11"/>
  <c r="AZ5" i="11"/>
  <c r="AR5" i="11"/>
  <c r="AJ5" i="11"/>
  <c r="AB5" i="11"/>
  <c r="T5" i="11"/>
  <c r="L5" i="11"/>
  <c r="D5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O5" i="10"/>
  <c r="G5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AD5" i="9"/>
  <c r="V5" i="9"/>
  <c r="N5" i="9"/>
  <c r="F5" i="9"/>
  <c r="AA4" i="9"/>
  <c r="S4" i="9"/>
  <c r="K4" i="9"/>
  <c r="C4" i="9"/>
  <c r="BR5" i="8"/>
  <c r="BJ5" i="8"/>
  <c r="BB5" i="8"/>
  <c r="AT5" i="8"/>
  <c r="AL5" i="8"/>
  <c r="AD5" i="8"/>
  <c r="V5" i="8"/>
  <c r="N5" i="8"/>
  <c r="F5" i="8"/>
  <c r="AA4" i="8"/>
  <c r="S4" i="8"/>
  <c r="K4" i="8"/>
  <c r="C4" i="8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W4" i="7"/>
  <c r="O4" i="7"/>
  <c r="G4" i="7"/>
  <c r="Y5" i="6"/>
  <c r="Q5" i="6"/>
  <c r="I5" i="6"/>
  <c r="A5" i="6"/>
  <c r="V4" i="6"/>
  <c r="N4" i="6"/>
  <c r="F4" i="6"/>
  <c r="C5" i="5"/>
  <c r="X4" i="5"/>
  <c r="P4" i="5"/>
  <c r="H4" i="5"/>
  <c r="AO5" i="4"/>
  <c r="AG5" i="4"/>
  <c r="Y5" i="4"/>
  <c r="Q5" i="4"/>
  <c r="I5" i="4"/>
  <c r="A5" i="4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R4" i="12"/>
  <c r="J4" i="12"/>
  <c r="B4" i="12"/>
  <c r="CM5" i="11"/>
  <c r="CE5" i="11"/>
  <c r="BW5" i="11"/>
  <c r="BO5" i="11"/>
  <c r="BG5" i="11"/>
  <c r="AY5" i="11"/>
  <c r="AQ5" i="11"/>
  <c r="AI5" i="11"/>
  <c r="AA5" i="11"/>
  <c r="S5" i="11"/>
  <c r="K5" i="11"/>
  <c r="C5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N5" i="10"/>
  <c r="F5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AC5" i="9"/>
  <c r="U5" i="9"/>
  <c r="M5" i="9"/>
  <c r="E5" i="9"/>
  <c r="Z4" i="9"/>
  <c r="R4" i="9"/>
  <c r="J4" i="9"/>
  <c r="B4" i="9"/>
  <c r="BQ5" i="8"/>
  <c r="BI5" i="8"/>
  <c r="BA5" i="8"/>
  <c r="AS5" i="8"/>
  <c r="AK5" i="8"/>
  <c r="AC5" i="8"/>
  <c r="U5" i="8"/>
  <c r="M5" i="8"/>
  <c r="E5" i="8"/>
  <c r="Z4" i="8"/>
  <c r="R4" i="8"/>
  <c r="J4" i="8"/>
  <c r="B4" i="8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V4" i="7"/>
  <c r="N4" i="7"/>
  <c r="F4" i="7"/>
  <c r="X5" i="6"/>
  <c r="P5" i="6"/>
  <c r="H5" i="6"/>
  <c r="AC4" i="6"/>
  <c r="U4" i="6"/>
  <c r="M4" i="6"/>
  <c r="E4" i="6"/>
  <c r="B5" i="5"/>
  <c r="W4" i="5"/>
  <c r="O4" i="5"/>
  <c r="G4" i="5"/>
  <c r="AN5" i="4"/>
  <c r="AF5" i="4"/>
  <c r="X5" i="4"/>
  <c r="P5" i="4"/>
  <c r="H5" i="4"/>
  <c r="T4" i="4"/>
  <c r="L4" i="4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Y4" i="12"/>
  <c r="Q4" i="12"/>
  <c r="I4" i="12"/>
  <c r="CL5" i="11"/>
  <c r="CD5" i="11"/>
  <c r="BV5" i="11"/>
  <c r="BN5" i="11"/>
  <c r="BF5" i="11"/>
  <c r="AX5" i="11"/>
  <c r="AP5" i="11"/>
  <c r="AH5" i="11"/>
  <c r="Z5" i="11"/>
  <c r="R5" i="11"/>
  <c r="J5" i="11"/>
  <c r="B5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M5" i="10"/>
  <c r="E5" i="10"/>
  <c r="DN4" i="10"/>
  <c r="DF4" i="10"/>
  <c r="CX4" i="10"/>
  <c r="CP4" i="10"/>
  <c r="CH4" i="10"/>
  <c r="BZ4" i="10"/>
  <c r="BR4" i="10"/>
  <c r="BJ4" i="10"/>
  <c r="BB4" i="10"/>
  <c r="EU5" i="12"/>
  <c r="EM5" i="12"/>
  <c r="EE5" i="12"/>
  <c r="DW5" i="12"/>
  <c r="DO5" i="12"/>
  <c r="DG5" i="12"/>
  <c r="CY5" i="12"/>
  <c r="CQ5" i="12"/>
  <c r="CI5" i="12"/>
  <c r="CA5" i="12"/>
  <c r="BS5" i="12"/>
  <c r="BC5" i="12"/>
  <c r="AU5" i="12"/>
  <c r="AM5" i="12"/>
  <c r="AE5" i="12"/>
  <c r="W5" i="12"/>
  <c r="O5" i="12"/>
  <c r="G5" i="12"/>
  <c r="X4" i="12"/>
  <c r="P4" i="12"/>
  <c r="H4" i="12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L5" i="10"/>
  <c r="D5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AA5" i="9"/>
  <c r="S5" i="9"/>
  <c r="K5" i="9"/>
  <c r="C5" i="9"/>
  <c r="X4" i="9"/>
  <c r="P4" i="9"/>
  <c r="H4" i="9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W4" i="12"/>
  <c r="O4" i="12"/>
  <c r="G4" i="12"/>
  <c r="CR5" i="11"/>
  <c r="CJ5" i="11"/>
  <c r="CB5" i="11"/>
  <c r="BT5" i="11"/>
  <c r="BL5" i="11"/>
  <c r="BD5" i="11"/>
  <c r="AV5" i="11"/>
  <c r="AN5" i="11"/>
  <c r="AF5" i="11"/>
  <c r="X5" i="11"/>
  <c r="P5" i="11"/>
  <c r="H5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K5" i="10"/>
  <c r="C5" i="10"/>
  <c r="DL4" i="10"/>
  <c r="DD4" i="10"/>
  <c r="CV4" i="10"/>
  <c r="AR4" i="10"/>
  <c r="L4" i="10"/>
  <c r="R5" i="9"/>
  <c r="Y4" i="9"/>
  <c r="D4" i="9"/>
  <c r="BK5" i="8"/>
  <c r="AU5" i="8"/>
  <c r="AE5" i="8"/>
  <c r="O5" i="8"/>
  <c r="AB4" i="8"/>
  <c r="L4" i="8"/>
  <c r="EI5" i="7"/>
  <c r="DS5" i="7"/>
  <c r="DC5" i="7"/>
  <c r="CM5" i="7"/>
  <c r="BW5" i="7"/>
  <c r="BG5" i="7"/>
  <c r="AQ5" i="7"/>
  <c r="AA5" i="7"/>
  <c r="K5" i="7"/>
  <c r="X4" i="7"/>
  <c r="H4" i="7"/>
  <c r="U5" i="6"/>
  <c r="E5" i="6"/>
  <c r="R4" i="6"/>
  <c r="B4" i="6"/>
  <c r="V4" i="5"/>
  <c r="K4" i="5"/>
  <c r="AD5" i="4"/>
  <c r="T5" i="4"/>
  <c r="J5" i="4"/>
  <c r="R4" i="4"/>
  <c r="I4" i="4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N4" i="10"/>
  <c r="AL4" i="10"/>
  <c r="F4" i="10"/>
  <c r="O5" i="9"/>
  <c r="W4" i="9"/>
  <c r="BH5" i="8"/>
  <c r="AR5" i="8"/>
  <c r="AB5" i="8"/>
  <c r="L5" i="8"/>
  <c r="Y4" i="8"/>
  <c r="I4" i="8"/>
  <c r="EF5" i="7"/>
  <c r="DP5" i="7"/>
  <c r="CZ5" i="7"/>
  <c r="CJ5" i="7"/>
  <c r="BT5" i="7"/>
  <c r="BD5" i="7"/>
  <c r="AN5" i="7"/>
  <c r="X5" i="7"/>
  <c r="H5" i="7"/>
  <c r="U4" i="7"/>
  <c r="E4" i="7"/>
  <c r="R5" i="6"/>
  <c r="B5" i="6"/>
  <c r="O4" i="6"/>
  <c r="U4" i="5"/>
  <c r="J4" i="5"/>
  <c r="AM5" i="4"/>
  <c r="AC5" i="4"/>
  <c r="S5" i="4"/>
  <c r="G5" i="4"/>
  <c r="Q4" i="4"/>
  <c r="H4" i="4"/>
  <c r="A4" i="3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CF4" i="10"/>
  <c r="AJ4" i="10"/>
  <c r="D4" i="10"/>
  <c r="L5" i="9"/>
  <c r="T4" i="9"/>
  <c r="BG5" i="8"/>
  <c r="AQ5" i="8"/>
  <c r="AA5" i="8"/>
  <c r="K5" i="8"/>
  <c r="X4" i="8"/>
  <c r="H4" i="8"/>
  <c r="EE5" i="7"/>
  <c r="DO5" i="7"/>
  <c r="CY5" i="7"/>
  <c r="CI5" i="7"/>
  <c r="BS5" i="7"/>
  <c r="BC5" i="7"/>
  <c r="AM5" i="7"/>
  <c r="W5" i="7"/>
  <c r="G5" i="7"/>
  <c r="T4" i="7"/>
  <c r="D4" i="7"/>
  <c r="O5" i="6"/>
  <c r="AB4" i="6"/>
  <c r="L4" i="6"/>
  <c r="D5" i="5"/>
  <c r="T4" i="5"/>
  <c r="I4" i="5"/>
  <c r="AL5" i="4"/>
  <c r="AB5" i="4"/>
  <c r="R5" i="4"/>
  <c r="F5" i="4"/>
  <c r="P4" i="4"/>
  <c r="G4" i="4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BX4" i="10"/>
  <c r="AD4" i="10"/>
  <c r="J5" i="9"/>
  <c r="Q4" i="9"/>
  <c r="BV5" i="8"/>
  <c r="BF5" i="8"/>
  <c r="AP5" i="8"/>
  <c r="Z5" i="8"/>
  <c r="J5" i="8"/>
  <c r="W4" i="8"/>
  <c r="G4" i="8"/>
  <c r="ED5" i="7"/>
  <c r="DN5" i="7"/>
  <c r="CX5" i="7"/>
  <c r="CH5" i="7"/>
  <c r="BR5" i="7"/>
  <c r="BB5" i="7"/>
  <c r="AL5" i="7"/>
  <c r="V5" i="7"/>
  <c r="F5" i="7"/>
  <c r="S4" i="7"/>
  <c r="C4" i="7"/>
  <c r="N5" i="6"/>
  <c r="AA4" i="6"/>
  <c r="K4" i="6"/>
  <c r="A5" i="5"/>
  <c r="S4" i="5"/>
  <c r="F4" i="5"/>
  <c r="AK5" i="4"/>
  <c r="AA5" i="4"/>
  <c r="O5" i="4"/>
  <c r="E5" i="4"/>
  <c r="O4" i="4"/>
  <c r="F4" i="4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P4" i="10"/>
  <c r="AB4" i="10"/>
  <c r="AB5" i="9"/>
  <c r="G5" i="9"/>
  <c r="O4" i="9"/>
  <c r="BS5" i="8"/>
  <c r="BC5" i="8"/>
  <c r="AM5" i="8"/>
  <c r="W5" i="8"/>
  <c r="G5" i="8"/>
  <c r="T4" i="8"/>
  <c r="D4" i="8"/>
  <c r="EA5" i="7"/>
  <c r="DK5" i="7"/>
  <c r="CU5" i="7"/>
  <c r="CE5" i="7"/>
  <c r="BO5" i="7"/>
  <c r="AY5" i="7"/>
  <c r="AI5" i="7"/>
  <c r="S5" i="7"/>
  <c r="C5" i="7"/>
  <c r="P4" i="7"/>
  <c r="M5" i="6"/>
  <c r="Z4" i="6"/>
  <c r="J4" i="6"/>
  <c r="AC4" i="5"/>
  <c r="Q4" i="5"/>
  <c r="E4" i="5"/>
  <c r="AJ5" i="4"/>
  <c r="Z5" i="4"/>
  <c r="N5" i="4"/>
  <c r="D5" i="4"/>
  <c r="N4" i="4"/>
  <c r="E4" i="4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H4" i="10"/>
  <c r="V4" i="10"/>
  <c r="Z5" i="9"/>
  <c r="D5" i="9"/>
  <c r="L4" i="9"/>
  <c r="BP5" i="8"/>
  <c r="AZ5" i="8"/>
  <c r="AJ5" i="8"/>
  <c r="T5" i="8"/>
  <c r="D5" i="8"/>
  <c r="Q4" i="8"/>
  <c r="DX5" i="7"/>
  <c r="DH5" i="7"/>
  <c r="CR5" i="7"/>
  <c r="CB5" i="7"/>
  <c r="BL5" i="7"/>
  <c r="AV5" i="7"/>
  <c r="AF5" i="7"/>
  <c r="P5" i="7"/>
  <c r="AC4" i="7"/>
  <c r="M4" i="7"/>
  <c r="Z5" i="6"/>
  <c r="J5" i="6"/>
  <c r="W4" i="6"/>
  <c r="G4" i="6"/>
  <c r="AB4" i="5"/>
  <c r="N4" i="5"/>
  <c r="D4" i="5"/>
  <c r="AI5" i="4"/>
  <c r="W5" i="4"/>
  <c r="M5" i="4"/>
  <c r="C5" i="4"/>
  <c r="M4" i="4"/>
  <c r="D4" i="4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AZ4" i="10"/>
  <c r="T4" i="10"/>
  <c r="W5" i="9"/>
  <c r="B5" i="9"/>
  <c r="I4" i="9"/>
  <c r="BO5" i="8"/>
  <c r="AY5" i="8"/>
  <c r="AI5" i="8"/>
  <c r="S5" i="8"/>
  <c r="C5" i="8"/>
  <c r="P4" i="8"/>
  <c r="EM5" i="7"/>
  <c r="DW5" i="7"/>
  <c r="DG5" i="7"/>
  <c r="CQ5" i="7"/>
  <c r="CA5" i="7"/>
  <c r="BK5" i="7"/>
  <c r="AU5" i="7"/>
  <c r="AE5" i="7"/>
  <c r="O5" i="7"/>
  <c r="AB4" i="7"/>
  <c r="L4" i="7"/>
  <c r="W5" i="6"/>
  <c r="G5" i="6"/>
  <c r="T4" i="6"/>
  <c r="D4" i="6"/>
  <c r="AA4" i="5"/>
  <c r="M4" i="5"/>
  <c r="C4" i="5"/>
  <c r="AH5" i="4"/>
  <c r="V5" i="4"/>
  <c r="L5" i="4"/>
  <c r="B5" i="4"/>
  <c r="K4" i="4"/>
  <c r="C4" i="4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AT4" i="10"/>
  <c r="N4" i="10"/>
  <c r="T5" i="9"/>
  <c r="AB4" i="9"/>
  <c r="G4" i="9"/>
  <c r="BN5" i="8"/>
  <c r="AX5" i="8"/>
  <c r="AH5" i="8"/>
  <c r="R5" i="8"/>
  <c r="B5" i="8"/>
  <c r="O4" i="8"/>
  <c r="EL5" i="7"/>
  <c r="DV5" i="7"/>
  <c r="DF5" i="7"/>
  <c r="CP5" i="7"/>
  <c r="BZ5" i="7"/>
  <c r="BJ5" i="7"/>
  <c r="AT5" i="7"/>
  <c r="AD5" i="7"/>
  <c r="N5" i="7"/>
  <c r="AA4" i="7"/>
  <c r="K4" i="7"/>
  <c r="V5" i="6"/>
  <c r="F5" i="6"/>
  <c r="S4" i="6"/>
  <c r="C4" i="6"/>
  <c r="Y4" i="5"/>
  <c r="L4" i="5"/>
  <c r="B4" i="5"/>
  <c r="AE5" i="4"/>
  <c r="U5" i="4"/>
  <c r="K5" i="4"/>
  <c r="S4" i="4"/>
  <c r="J4" i="4"/>
  <c r="B4" i="4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B232" i="1"/>
  <c r="A229" i="1"/>
  <c r="A226" i="1"/>
  <c r="A223" i="1"/>
  <c r="A220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8" i="1"/>
  <c r="C231" i="1"/>
  <c r="C228" i="1"/>
  <c r="C225" i="1"/>
  <c r="C222" i="1"/>
  <c r="C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A6" i="1"/>
  <c r="B231" i="1"/>
  <c r="B228" i="1"/>
  <c r="B225" i="1"/>
  <c r="B222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5" i="1"/>
  <c r="A231" i="1"/>
  <c r="A228" i="1"/>
  <c r="A225" i="1"/>
  <c r="C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C230" i="1"/>
  <c r="C227" i="1"/>
  <c r="B224" i="1"/>
  <c r="B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230" i="1"/>
  <c r="A227" i="1"/>
  <c r="A224" i="1"/>
  <c r="A221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4" i="1"/>
  <c r="C229" i="1"/>
  <c r="C226" i="1"/>
  <c r="C223" i="1"/>
  <c r="C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229" i="1"/>
  <c r="B226" i="1"/>
  <c r="B223" i="1"/>
  <c r="B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</calcChain>
</file>

<file path=xl/sharedStrings.xml><?xml version="1.0" encoding="utf-8"?>
<sst xmlns="http://schemas.openxmlformats.org/spreadsheetml/2006/main" count="122" uniqueCount="40">
  <si>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</si>
  <si>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</si>
  <si>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</si>
  <si>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</si>
  <si>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</si>
  <si>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</si>
  <si>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</si>
  <si>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</si>
  <si>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</si>
  <si>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</si>
  <si>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</si>
  <si>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</si>
  <si>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</si>
  <si>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</si>
  <si>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</si>
  <si>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</si>
  <si>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</si>
  <si>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</si>
  <si>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</si>
  <si>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Closing</t>
  </si>
  <si>
    <t>GetDataClosing</t>
  </si>
  <si>
    <t>Current</t>
  </si>
  <si>
    <t>VerifyLongPositionsGrid</t>
  </si>
  <si>
    <t>EquityOption</t>
  </si>
  <si>
    <t>Long</t>
  </si>
  <si>
    <t>SelectTradeUnexpiredUnsettled</t>
  </si>
  <si>
    <t>ExerciseAssignment</t>
  </si>
  <si>
    <t>Equity</t>
  </si>
  <si>
    <t>ABM</t>
  </si>
  <si>
    <t>VerifyExpiredSettledGrid</t>
  </si>
  <si>
    <t>Allocation</t>
  </si>
  <si>
    <t>GetDataAllocation</t>
  </si>
  <si>
    <t>CheckAllocatedGroups</t>
  </si>
  <si>
    <t>Closed</t>
  </si>
  <si>
    <t>O:ABM 10D20.00</t>
  </si>
  <si>
    <t>Sell to Close</t>
  </si>
  <si>
    <t>Open</t>
  </si>
  <si>
    <t>Buy</t>
  </si>
  <si>
    <t>PortfolioManagement</t>
  </si>
  <si>
    <t>CheckPortfolioManagement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</si>
</sst>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2" fillId="0" borderId="0" xfId="0" applyNumberFormat="1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4" fontId="13" fillId="0" borderId="0" xfId="0" applyNumberFormat="1" applyFont="1" applyAlignment="1">
      <alignment horizontal="right"/>
    </xf>
    <xf numFmtId="0" fontId="14" fillId="0" borderId="5" xfId="0" applyFont="1" applyBorder="1" applyAlignment="1"/>
    <xf numFmtId="0" fontId="14" fillId="0" borderId="5" xfId="0" applyFont="1" applyBorder="1" applyAlignment="1">
      <alignment horizontal="right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3" fontId="14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5" t="s">
        <v>0</v>
      </c>
      <c r="B1" s="36"/>
      <c r="C1" s="36"/>
      <c r="D1" s="36"/>
      <c r="E1" s="36"/>
      <c r="F1" s="37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8" t="s">
        <v>2</v>
      </c>
      <c r="B1" s="36"/>
      <c r="C1" s="37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5" t="s">
        <v>7</v>
      </c>
      <c r="B1" s="36"/>
      <c r="C1" s="36"/>
      <c r="D1" s="36"/>
      <c r="E1" s="36"/>
      <c r="F1" s="37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100</v>
      </c>
      <c r="E6" s="7">
        <v>100</v>
      </c>
      <c r="F6" s="7" t="s">
        <v>18</v>
      </c>
      <c r="G6" s="5"/>
      <c r="H6" s="5"/>
      <c r="I6" s="5"/>
      <c r="J6" s="7">
        <v>15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5"/>
      <c r="F6" s="5"/>
      <c r="G6" s="5"/>
      <c r="H6" s="5"/>
      <c r="I6" s="7">
        <v>15</v>
      </c>
      <c r="J6" s="5"/>
      <c r="K6" s="7" t="s">
        <v>24</v>
      </c>
      <c r="L6" s="5"/>
      <c r="M6" s="7">
        <v>100</v>
      </c>
      <c r="N6" s="5"/>
      <c r="O6" s="5"/>
      <c r="P6" s="6" t="s">
        <v>17</v>
      </c>
      <c r="R6" s="7" t="s">
        <v>16</v>
      </c>
      <c r="X6" s="6">
        <v>15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IFERROR(__xludf.DUMMYFUNCTION("""COMPUTED_VALUE"""),"AccruedInterest")</f>
        <v>AccruedInterest</v>
      </c>
      <c r="D5" s="22" t="str">
        <f ca="1">IFERROR(__xludf.DUMMYFUNCTION("""COMPUTED_VALUE"""),"Analyst")</f>
        <v>Analyst</v>
      </c>
      <c r="E5" s="22" t="str">
        <f ca="1">IFERROR(__xludf.DUMMYFUNCTION("""COMPUTED_VALUE"""),"Asset Class")</f>
        <v>Asset Class</v>
      </c>
      <c r="F5" s="23" t="str">
        <f ca="1">IFERROR(__xludf.DUMMYFUNCTION("""COMPUTED_VALUE"""),"Asset Derivative")</f>
        <v>Asset Derivative</v>
      </c>
      <c r="G5" s="22" t="str">
        <f ca="1">IFERROR(__xludf.DUMMYFUNCTION("""COMPUTED_VALUE"""),"AUECID")</f>
        <v>AUECID</v>
      </c>
      <c r="H5" s="22" t="str">
        <f ca="1">IFERROR(__xludf.DUMMYFUNCTION("""COMPUTED_VALUE"""),"AUECModifiedDate")</f>
        <v>AUECModifiedDate</v>
      </c>
      <c r="I5" s="22" t="str">
        <f ca="1">IFERROR(__xludf.DUMMYFUNCTION("""COMPUTED_VALUE"""),"Average Price")</f>
        <v>Average Price</v>
      </c>
      <c r="J5" s="22" t="str">
        <f ca="1">IFERROR(__xludf.DUMMYFUNCTION("""COMPUTED_VALUE"""),"BloombergSymbol")</f>
        <v>BloombergSymbol</v>
      </c>
      <c r="K5" s="22" t="str">
        <f ca="1">IFERROR(__xludf.DUMMYFUNCTION("""COMPUTED_VALUE"""),"Broker")</f>
        <v>Broker</v>
      </c>
      <c r="L5" s="22" t="str">
        <f ca="1">IFERROR(__xludf.DUMMYFUNCTION("""COMPUTED_VALUE"""),"CalcBasis")</f>
        <v>CalcBasis</v>
      </c>
      <c r="M5" s="22" t="str">
        <f ca="1">IFERROR(__xludf.DUMMYFUNCTION("""COMPUTED_VALUE"""),"CashSettledPrice")</f>
        <v>CashSettledPrice</v>
      </c>
      <c r="N5" s="22" t="str">
        <f ca="1">IFERROR(__xludf.DUMMYFUNCTION("""COMPUTED_VALUE"""),"ChangeComment")</f>
        <v>ChangeComment</v>
      </c>
      <c r="O5" s="22" t="str">
        <f ca="1">IFERROR(__xludf.DUMMYFUNCTION("""COMPUTED_VALUE"""),"ChangeType")</f>
        <v>ChangeType</v>
      </c>
      <c r="P5" s="22" t="str">
        <f ca="1">IFERROR(__xludf.DUMMYFUNCTION("""COMPUTED_VALUE"""),"ClearingBrokerFee")</f>
        <v>ClearingBrokerFee</v>
      </c>
      <c r="Q5" s="22" t="str">
        <f ca="1">IFERROR(__xludf.DUMMYFUNCTION("""COMPUTED_VALUE"""),"ClearingFee")</f>
        <v>ClearingFee</v>
      </c>
      <c r="R5" s="22" t="str">
        <f ca="1">IFERROR(__xludf.DUMMYFUNCTION("""COMPUTED_VALUE"""),"ClosedTotalCommissionandFees")</f>
        <v>ClosedTotalCommissionandFees</v>
      </c>
      <c r="S5" s="22" t="str">
        <f ca="1">IFERROR(__xludf.DUMMYFUNCTION("""COMPUTED_VALUE"""),"ClosingAlgo")</f>
        <v>ClosingAlgo</v>
      </c>
      <c r="T5" s="24" t="str">
        <f ca="1">IFERROR(__xludf.DUMMYFUNCTION("""COMPUTED_VALUE"""),"ClosingDate")</f>
        <v>ClosingDate</v>
      </c>
      <c r="U5" s="24" t="str">
        <f ca="1">IFERROR(__xludf.DUMMYFUNCTION("""COMPUTED_VALUE"""),"ClosingStatus")</f>
        <v>ClosingStatus</v>
      </c>
      <c r="V5" s="24" t="str">
        <f ca="1">IFERROR(__xludf.DUMMYFUNCTION("""COMPUTED_VALUE"""),"Commission")</f>
        <v>Commission</v>
      </c>
      <c r="W5" s="24" t="str">
        <f ca="1">IFERROR(__xludf.DUMMYFUNCTION("""COMPUTED_VALUE"""),"CommissionAmt")</f>
        <v>CommissionAmt</v>
      </c>
      <c r="X5" s="24" t="str">
        <f ca="1">IFERROR(__xludf.DUMMYFUNCTION("""COMPUTED_VALUE"""),"CommissionRate")</f>
        <v>CommissionRate</v>
      </c>
      <c r="Y5" s="24" t="str">
        <f ca="1">IFERROR(__xludf.DUMMYFUNCTION("""COMPUTED_VALUE"""),"CompanyUserName")</f>
        <v>CompanyUserName</v>
      </c>
      <c r="Z5" s="24" t="str">
        <f ca="1">IFERROR(__xludf.DUMMYFUNCTION("""COMPUTED_VALUE"""),"ContractMultiplier")</f>
        <v>ContractMultiplier</v>
      </c>
      <c r="AA5" s="24" t="str">
        <f ca="1">IFERROR(__xludf.DUMMYFUNCTION("""COMPUTED_VALUE"""),"CountryName")</f>
        <v>CountryName</v>
      </c>
      <c r="AB5" s="24" t="str">
        <f ca="1">IFERROR(__xludf.DUMMYFUNCTION("""COMPUTED_VALUE"""),"CountryOfRisk")</f>
        <v>CountryOfRisk</v>
      </c>
      <c r="AC5" s="24" t="str">
        <f ca="1">IFERROR(__xludf.DUMMYFUNCTION("""COMPUTED_VALUE"""),"CumQty")</f>
        <v>CumQty</v>
      </c>
      <c r="AD5" s="24" t="str">
        <f ca="1">IFERROR(__xludf.DUMMYFUNCTION("""COMPUTED_VALUE"""),"CurrencyID")</f>
        <v>CurrencyID</v>
      </c>
      <c r="AE5" s="24" t="str">
        <f ca="1">IFERROR(__xludf.DUMMYFUNCTION("""COMPUTED_VALUE"""),"CurrencyName")</f>
        <v>CurrencyName</v>
      </c>
      <c r="AF5" s="24" t="str">
        <f ca="1">IFERROR(__xludf.DUMMYFUNCTION("""COMPUTED_VALUE"""),"CusipSymbol")</f>
        <v>CusipSymbol</v>
      </c>
      <c r="AG5" s="24" t="str">
        <f ca="1">IFERROR(__xludf.DUMMYFUNCTION("""COMPUTED_VALUE"""),"CustomUDA1")</f>
        <v>CustomUDA1</v>
      </c>
      <c r="AH5" s="24" t="str">
        <f ca="1">IFERROR(__xludf.DUMMYFUNCTION("""COMPUTED_VALUE"""),"CustomUDA2")</f>
        <v>CustomUDA2</v>
      </c>
      <c r="AI5" s="24" t="str">
        <f ca="1">IFERROR(__xludf.DUMMYFUNCTION("""COMPUTED_VALUE"""),"CustomUDA3")</f>
        <v>CustomUDA3</v>
      </c>
      <c r="AJ5" s="24" t="str">
        <f ca="1">IFERROR(__xludf.DUMMYFUNCTION("""COMPUTED_VALUE"""),"CustomUDA4")</f>
        <v>CustomUDA4</v>
      </c>
      <c r="AK5" s="24" t="str">
        <f ca="1">IFERROR(__xludf.DUMMYFUNCTION("""COMPUTED_VALUE"""),"CustomUDA5")</f>
        <v>CustomUDA5</v>
      </c>
      <c r="AL5" s="24" t="str">
        <f ca="1">IFERROR(__xludf.DUMMYFUNCTION("""COMPUTED_VALUE"""),"CustomUDA6")</f>
        <v>CustomUDA6</v>
      </c>
      <c r="AM5" s="24" t="str">
        <f ca="1">IFERROR(__xludf.DUMMYFUNCTION("""COMPUTED_VALUE"""),"CustomUDA7")</f>
        <v>CustomUDA7</v>
      </c>
      <c r="AN5" s="24" t="str">
        <f ca="1">IFERROR(__xludf.DUMMYFUNCTION("""COMPUTED_VALUE"""),"Delta")</f>
        <v>Delta</v>
      </c>
      <c r="AO5" s="24" t="str">
        <f ca="1">IFERROR(__xludf.DUMMYFUNCTION("""COMPUTED_VALUE"""),"Description")</f>
        <v>Description</v>
      </c>
      <c r="AP5" s="24" t="str">
        <f ca="1">IFERROR(__xludf.DUMMYFUNCTION("""COMPUTED_VALUE"""),"ExchangeName")</f>
        <v>ExchangeName</v>
      </c>
      <c r="AQ5" s="24" t="str">
        <f ca="1">IFERROR(__xludf.DUMMYFUNCTION("""COMPUTED_VALUE"""),"ExecutedQty")</f>
        <v>ExecutedQty</v>
      </c>
      <c r="AR5" s="24" t="str">
        <f ca="1">IFERROR(__xludf.DUMMYFUNCTION("""COMPUTED_VALUE"""),"ExpirationDate")</f>
        <v>ExpirationDate</v>
      </c>
      <c r="AS5" s="24" t="str">
        <f ca="1">IFERROR(__xludf.DUMMYFUNCTION("""COMPUTED_VALUE"""),"ExternalTransID")</f>
        <v>ExternalTransID</v>
      </c>
      <c r="AT5" s="24" t="str">
        <f ca="1">IFERROR(__xludf.DUMMYFUNCTION("""COMPUTED_VALUE"""),"FXConversionMethodOperator")</f>
        <v>FXConversionMethodOperator</v>
      </c>
      <c r="AU5" s="24" t="str">
        <f ca="1">IFERROR(__xludf.DUMMYFUNCTION("""COMPUTED_VALUE"""),"FXRate")</f>
        <v>FXRate</v>
      </c>
      <c r="AV5" s="24" t="str">
        <f ca="1">IFERROR(__xludf.DUMMYFUNCTION("""COMPUTED_VALUE"""),"GroupID")</f>
        <v>GroupID</v>
      </c>
      <c r="AW5" s="24" t="str">
        <f ca="1">IFERROR(__xludf.DUMMYFUNCTION("""COMPUTED_VALUE"""),"IDCOSymbol")</f>
        <v>IDCOSymbol</v>
      </c>
      <c r="AX5" s="24" t="str">
        <f ca="1">IFERROR(__xludf.DUMMYFUNCTION("""COMPUTED_VALUE"""),"InternalComments")</f>
        <v>InternalComments</v>
      </c>
      <c r="AY5" s="24" t="str">
        <f ca="1">IFERROR(__xludf.DUMMYFUNCTION("""COMPUTED_VALUE"""),"IsExerciseAtZero")</f>
        <v>IsExerciseAtZero</v>
      </c>
      <c r="AZ5" s="24" t="str">
        <f ca="1">IFERROR(__xludf.DUMMYFUNCTION("""COMPUTED_VALUE"""),"ISINSymbol")</f>
        <v>ISINSymbol</v>
      </c>
      <c r="BA5" s="24" t="str">
        <f ca="1">IFERROR(__xludf.DUMMYFUNCTION("""COMPUTED_VALUE"""),"IsNDF")</f>
        <v>IsNDF</v>
      </c>
      <c r="BB5" s="24" t="str">
        <f ca="1">IFERROR(__xludf.DUMMYFUNCTION("""COMPUTED_VALUE"""),"IsPosition")</f>
        <v>IsPosition</v>
      </c>
      <c r="BC5" s="24" t="str">
        <f ca="1">IFERROR(__xludf.DUMMYFUNCTION("""COMPUTED_VALUE"""),"IsPreAllocated")</f>
        <v>IsPreAllocated</v>
      </c>
      <c r="BD5" s="24" t="str">
        <f ca="1">IFERROR(__xludf.DUMMYFUNCTION("""COMPUTED_VALUE"""),"Issuer")</f>
        <v>Issuer</v>
      </c>
      <c r="BE5" s="24" t="str">
        <f ca="1">IFERROR(__xludf.DUMMYFUNCTION("""COMPUTED_VALUE"""),"IsSwapped")</f>
        <v>IsSwapped</v>
      </c>
      <c r="BF5" s="24" t="str">
        <f ca="1">IFERROR(__xludf.DUMMYFUNCTION("""COMPUTED_VALUE"""),"LeadCurrencyID")</f>
        <v>LeadCurrencyID</v>
      </c>
      <c r="BG5" s="24" t="str">
        <f ca="1">IFERROR(__xludf.DUMMYFUNCTION("""COMPUTED_VALUE"""),"LiquidTag")</f>
        <v>LiquidTag</v>
      </c>
      <c r="BH5" s="24" t="str">
        <f ca="1">IFERROR(__xludf.DUMMYFUNCTION("""COMPUTED_VALUE"""),"LongOrShort")</f>
        <v>LongOrShort</v>
      </c>
      <c r="BI5" s="24" t="str">
        <f ca="1">IFERROR(__xludf.DUMMYFUNCTION("""COMPUTED_VALUE"""),"LotId")</f>
        <v>LotId</v>
      </c>
      <c r="BJ5" s="24" t="str">
        <f ca="1">IFERROR(__xludf.DUMMYFUNCTION("""COMPUTED_VALUE"""),"M2MProfitLoss")</f>
        <v>M2MProfitLoss</v>
      </c>
      <c r="BK5" s="24" t="str">
        <f ca="1">IFERROR(__xludf.DUMMYFUNCTION("""COMPUTED_VALUE"""),"MarkPrice")</f>
        <v>MarkPrice</v>
      </c>
      <c r="BL5" s="24" t="str">
        <f ca="1">IFERROR(__xludf.DUMMYFUNCTION("""COMPUTED_VALUE"""),"MasterFund")</f>
        <v>MasterFund</v>
      </c>
      <c r="BM5" s="24" t="str">
        <f ca="1">IFERROR(__xludf.DUMMYFUNCTION("""COMPUTED_VALUE"""),"MiscFees")</f>
        <v>MiscFees</v>
      </c>
      <c r="BN5" s="24" t="str">
        <f ca="1">IFERROR(__xludf.DUMMYFUNCTION("""COMPUTED_VALUE"""),"NavLockStatus")</f>
        <v>NavLockStatus</v>
      </c>
      <c r="BO5" s="24" t="str">
        <f ca="1">IFERROR(__xludf.DUMMYFUNCTION("""COMPUTED_VALUE"""),"Net Notional")</f>
        <v>Net Notional</v>
      </c>
      <c r="BP5" s="24" t="str">
        <f ca="1">IFERROR(__xludf.DUMMYFUNCTION("""COMPUTED_VALUE"""),"NirvanaProcessDate")</f>
        <v>NirvanaProcessDate</v>
      </c>
      <c r="BQ5" s="24" t="str">
        <f ca="1">IFERROR(__xludf.DUMMYFUNCTION("""COMPUTED_VALUE"""),"OccFee")</f>
        <v>OccFee</v>
      </c>
      <c r="BR5" s="24" t="str">
        <f ca="1">IFERROR(__xludf.DUMMYFUNCTION("""COMPUTED_VALUE"""),"OptionPremiumAdjustment")</f>
        <v>OptionPremiumAdjustment</v>
      </c>
      <c r="BS5" s="24" t="str">
        <f ca="1">IFERROR(__xludf.DUMMYFUNCTION("""COMPUTED_VALUE"""),"OrderSideTagValue")</f>
        <v>OrderSideTagValue</v>
      </c>
      <c r="BT5" s="24" t="str">
        <f ca="1">IFERROR(__xludf.DUMMYFUNCTION("""COMPUTED_VALUE"""),"OrderType")</f>
        <v>OrderType</v>
      </c>
      <c r="BU5" s="24" t="str">
        <f ca="1">IFERROR(__xludf.DUMMYFUNCTION("""COMPUTED_VALUE"""),"OrfFee")</f>
        <v>OrfFee</v>
      </c>
      <c r="BV5" s="24" t="str">
        <f ca="1">IFERROR(__xludf.DUMMYFUNCTION("""COMPUTED_VALUE"""),"Original Side")</f>
        <v>Original Side</v>
      </c>
      <c r="BW5" s="24" t="str">
        <f ca="1">IFERROR(__xludf.DUMMYFUNCTION("""COMPUTED_VALUE"""),"OriginalPurchase Date")</f>
        <v>OriginalPurchase Date</v>
      </c>
      <c r="BX5" s="24" t="str">
        <f ca="1">IFERROR(__xludf.DUMMYFUNCTION("""COMPUTED_VALUE"""),"OSISymbol")</f>
        <v>OSISymbol</v>
      </c>
      <c r="BY5" s="24" t="str">
        <f ca="1">IFERROR(__xludf.DUMMYFUNCTION("""COMPUTED_VALUE"""),"OtherBrokerFees")</f>
        <v>OtherBrokerFees</v>
      </c>
      <c r="BZ5" s="24" t="str">
        <f ca="1">IFERROR(__xludf.DUMMYFUNCTION("""COMPUTED_VALUE"""),"ParentRowPK")</f>
        <v>ParentRowPK</v>
      </c>
      <c r="CA5" s="24" t="str">
        <f ca="1">IFERROR(__xludf.DUMMYFUNCTION("""COMPUTED_VALUE"""),"Percentage")</f>
        <v>Percentage</v>
      </c>
      <c r="CB5" s="24" t="str">
        <f ca="1">IFERROR(__xludf.DUMMYFUNCTION("""COMPUTED_VALUE"""),"PositionTag")</f>
        <v>PositionTag</v>
      </c>
      <c r="CC5" s="24" t="str">
        <f ca="1">IFERROR(__xludf.DUMMYFUNCTION("""COMPUTED_VALUE"""),"PositionType")</f>
        <v>PositionType</v>
      </c>
      <c r="CD5" s="24" t="str">
        <f ca="1">IFERROR(__xludf.DUMMYFUNCTION("""COMPUTED_VALUE"""),"Process Date")</f>
        <v>Process Date</v>
      </c>
      <c r="CE5" s="24" t="str">
        <f ca="1">IFERROR(__xludf.DUMMYFUNCTION("""COMPUTED_VALUE"""),"ProxySymbol")</f>
        <v>ProxySymbol</v>
      </c>
      <c r="CF5" s="24" t="str">
        <f ca="1">IFERROR(__xludf.DUMMYFUNCTION("""COMPUTED_VALUE"""),"PutOrCall")</f>
        <v>PutOrCall</v>
      </c>
      <c r="CG5" s="24" t="str">
        <f ca="1">IFERROR(__xludf.DUMMYFUNCTION("""COMPUTED_VALUE"""),"Quantity")</f>
        <v>Quantity</v>
      </c>
      <c r="CH5" s="24" t="str">
        <f ca="1">IFERROR(__xludf.DUMMYFUNCTION("""COMPUTED_VALUE"""),"Region")</f>
        <v>Region</v>
      </c>
      <c r="CI5" s="24" t="str">
        <f ca="1">IFERROR(__xludf.DUMMYFUNCTION("""COMPUTED_VALUE"""),"ReutersSymbol")</f>
        <v>ReutersSymbol</v>
      </c>
      <c r="CJ5" s="24" t="str">
        <f ca="1">IFERROR(__xludf.DUMMYFUNCTION("""COMPUTED_VALUE"""),"RiskCurrency")</f>
        <v>RiskCurrency</v>
      </c>
      <c r="CK5" s="24" t="str">
        <f ca="1">IFERROR(__xludf.DUMMYFUNCTION("""COMPUTED_VALUE"""),"SecFee")</f>
        <v>SecFee</v>
      </c>
      <c r="CL5" s="24" t="str">
        <f ca="1">IFERROR(__xludf.DUMMYFUNCTION("""COMPUTED_VALUE"""),"SectorName")</f>
        <v>SectorName</v>
      </c>
      <c r="CM5" s="24" t="str">
        <f ca="1">IFERROR(__xludf.DUMMYFUNCTION("""COMPUTED_VALUE"""),"Security Name")</f>
        <v>Security Name</v>
      </c>
      <c r="CN5" s="24" t="str">
        <f ca="1">IFERROR(__xludf.DUMMYFUNCTION("""COMPUTED_VALUE"""),"SecurityTypeName")</f>
        <v>SecurityTypeName</v>
      </c>
      <c r="CO5" s="24" t="str">
        <f ca="1">IFERROR(__xludf.DUMMYFUNCTION("""COMPUTED_VALUE"""),"SedolSymbol")</f>
        <v>SedolSymbol</v>
      </c>
      <c r="CP5" s="24" t="str">
        <f ca="1">IFERROR(__xludf.DUMMYFUNCTION("""COMPUTED_VALUE"""),"SettlCurrAmt")</f>
        <v>SettlCurrAmt</v>
      </c>
      <c r="CQ5" s="24" t="str">
        <f ca="1">IFERROR(__xludf.DUMMYFUNCTION("""COMPUTED_VALUE"""),"SettlCurrFxRate")</f>
        <v>SettlCurrFxRate</v>
      </c>
      <c r="CR5" s="24" t="str">
        <f ca="1">IFERROR(__xludf.DUMMYFUNCTION("""COMPUTED_VALUE"""),"SettlCurrFxRateCalc")</f>
        <v>SettlCurrFxRateCalc</v>
      </c>
      <c r="CS5" s="24" t="str">
        <f ca="1">IFERROR(__xludf.DUMMYFUNCTION("""COMPUTED_VALUE"""),"SettlCurrUnitCost")</f>
        <v>SettlCurrUnitCost</v>
      </c>
      <c r="CT5" s="24" t="str">
        <f ca="1">IFERROR(__xludf.DUMMYFUNCTION("""COMPUTED_VALUE"""),"Settlement Mode")</f>
        <v>Settlement Mode</v>
      </c>
      <c r="CU5" s="24" t="str">
        <f ca="1">IFERROR(__xludf.DUMMYFUNCTION("""COMPUTED_VALUE"""),"Settlement Qty")</f>
        <v>Settlement Qty</v>
      </c>
      <c r="CV5" s="24" t="str">
        <f ca="1">IFERROR(__xludf.DUMMYFUNCTION("""COMPUTED_VALUE"""),"SettlementCurrencyID")</f>
        <v>SettlementCurrencyID</v>
      </c>
      <c r="CW5" s="24" t="str">
        <f ca="1">IFERROR(__xludf.DUMMYFUNCTION("""COMPUTED_VALUE"""),"SettlementDate")</f>
        <v>SettlementDate</v>
      </c>
      <c r="CX5" s="24" t="str">
        <f ca="1">IFERROR(__xludf.DUMMYFUNCTION("""COMPUTED_VALUE"""),"SideMultiplier")</f>
        <v>SideMultiplier</v>
      </c>
      <c r="CY5" s="24" t="str">
        <f ca="1">IFERROR(__xludf.DUMMYFUNCTION("""COMPUTED_VALUE"""),"SoftCommission")</f>
        <v>SoftCommission</v>
      </c>
      <c r="CZ5" s="24" t="str">
        <f ca="1">IFERROR(__xludf.DUMMYFUNCTION("""COMPUTED_VALUE"""),"SoftCommissionAmt")</f>
        <v>SoftCommissionAmt</v>
      </c>
      <c r="DA5" s="24" t="str">
        <f ca="1">IFERROR(__xludf.DUMMYFUNCTION("""COMPUTED_VALUE"""),"SoftCommissionCalcBasis")</f>
        <v>SoftCommissionCalcBasis</v>
      </c>
      <c r="DB5" s="24" t="str">
        <f ca="1">IFERROR(__xludf.DUMMYFUNCTION("""COMPUTED_VALUE"""),"SoftCommissionRate")</f>
        <v>SoftCommissionRate</v>
      </c>
      <c r="DC5" s="24" t="str">
        <f ca="1">IFERROR(__xludf.DUMMYFUNCTION("""COMPUTED_VALUE"""),"StampDuty")</f>
        <v>StampDuty</v>
      </c>
      <c r="DD5" s="24" t="str">
        <f ca="1">IFERROR(__xludf.DUMMYFUNCTION("""COMPUTED_VALUE"""),"Strategy")</f>
        <v>Strategy</v>
      </c>
      <c r="DE5" s="24" t="str">
        <f ca="1">IFERROR(__xludf.DUMMYFUNCTION("""COMPUTED_VALUE"""),"Strike Price")</f>
        <v>Strike Price</v>
      </c>
      <c r="DF5" s="24" t="str">
        <f ca="1">IFERROR(__xludf.DUMMYFUNCTION("""COMPUTED_VALUE"""),"SubSectorName")</f>
        <v>SubSectorName</v>
      </c>
      <c r="DG5" s="24" t="str">
        <f ca="1">IFERROR(__xludf.DUMMYFUNCTION("""COMPUTED_VALUE"""),"SwapParameters")</f>
        <v>SwapParameters</v>
      </c>
      <c r="DH5" s="24" t="str">
        <f ca="1">IFERROR(__xludf.DUMMYFUNCTION("""COMPUTED_VALUE"""),"Symbol")</f>
        <v>Symbol</v>
      </c>
      <c r="DI5" s="24" t="str">
        <f ca="1">IFERROR(__xludf.DUMMYFUNCTION("""COMPUTED_VALUE"""),"TaxlotClosingId")</f>
        <v>TaxlotClosingId</v>
      </c>
      <c r="DJ5" s="24" t="str">
        <f ca="1">IFERROR(__xludf.DUMMYFUNCTION("""COMPUTED_VALUE"""),"TaxLotID")</f>
        <v>TaxLotID</v>
      </c>
      <c r="DK5" s="24" t="str">
        <f ca="1">IFERROR(__xludf.DUMMYFUNCTION("""COMPUTED_VALUE"""),"TaxlotPk")</f>
        <v>TaxlotPk</v>
      </c>
      <c r="DL5" s="24" t="str">
        <f ca="1">IFERROR(__xludf.DUMMYFUNCTION("""COMPUTED_VALUE"""),"TaxLotQtyToClose")</f>
        <v>TaxLotQtyToClose</v>
      </c>
      <c r="DM5" s="24" t="str">
        <f ca="1">IFERROR(__xludf.DUMMYFUNCTION("""COMPUTED_VALUE"""),"TaxonCommissions")</f>
        <v>TaxonCommissions</v>
      </c>
      <c r="DN5" s="24" t="str">
        <f ca="1">IFERROR(__xludf.DUMMYFUNCTION("""COMPUTED_VALUE"""),"TimeOfSaveUTC")</f>
        <v>TimeOfSaveUTC</v>
      </c>
      <c r="DO5" s="24" t="str">
        <f ca="1">IFERROR(__xludf.DUMMYFUNCTION("""COMPUTED_VALUE"""),"TotalCommission&amp;Fees")</f>
        <v>TotalCommission&amp;Fees</v>
      </c>
      <c r="DP5" s="24" t="str">
        <f ca="1">IFERROR(__xludf.DUMMYFUNCTION("""COMPUTED_VALUE"""),"TotalCommissionandFees")</f>
        <v>TotalCommissionandFees</v>
      </c>
      <c r="DQ5" s="24" t="str">
        <f ca="1">IFERROR(__xludf.DUMMYFUNCTION("""COMPUTED_VALUE"""),"Tradedate")</f>
        <v>Tradedate</v>
      </c>
      <c r="DR5" s="24" t="str">
        <f ca="1">IFERROR(__xludf.DUMMYFUNCTION("""COMPUTED_VALUE"""),"TradeAttribute1")</f>
        <v>TradeAttribute1</v>
      </c>
      <c r="DS5" s="24" t="str">
        <f ca="1">IFERROR(__xludf.DUMMYFUNCTION("""COMPUTED_VALUE"""),"TradeAttribute2")</f>
        <v>TradeAttribute2</v>
      </c>
      <c r="DT5" s="24" t="str">
        <f ca="1">IFERROR(__xludf.DUMMYFUNCTION("""COMPUTED_VALUE"""),"TradeAttribute3")</f>
        <v>TradeAttribute3</v>
      </c>
      <c r="DU5" s="24" t="str">
        <f ca="1">IFERROR(__xludf.DUMMYFUNCTION("""COMPUTED_VALUE"""),"TradeAttribute4")</f>
        <v>TradeAttribute4</v>
      </c>
      <c r="DV5" s="24" t="str">
        <f ca="1">IFERROR(__xludf.DUMMYFUNCTION("""COMPUTED_VALUE"""),"TradeAttribute5")</f>
        <v>TradeAttribute5</v>
      </c>
      <c r="DW5" s="24" t="str">
        <f ca="1">IFERROR(__xludf.DUMMYFUNCTION("""COMPUTED_VALUE"""),"TradeAttribute6")</f>
        <v>TradeAttribute6</v>
      </c>
      <c r="DX5" s="24" t="str">
        <f ca="1">IFERROR(__xludf.DUMMYFUNCTION("""COMPUTED_VALUE"""),"TradingAccountName")</f>
        <v>TradingAccountName</v>
      </c>
      <c r="DY5" s="24" t="str">
        <f ca="1">IFERROR(__xludf.DUMMYFUNCTION("""COMPUTED_VALUE"""),"TransactionLevy")</f>
        <v>TransactionLevy</v>
      </c>
      <c r="DZ5" s="24" t="str">
        <f ca="1">IFERROR(__xludf.DUMMYFUNCTION("""COMPUTED_VALUE"""),"TransactionType")</f>
        <v>TransactionType</v>
      </c>
      <c r="EA5" s="24" t="str">
        <f ca="1">IFERROR(__xludf.DUMMYFUNCTION("""COMPUTED_VALUE"""),"UcitsEligibleTag")</f>
        <v>UcitsEligibleTag</v>
      </c>
      <c r="EB5" s="24" t="str">
        <f ca="1">IFERROR(__xludf.DUMMYFUNCTION("""COMPUTED_VALUE"""),"UDAAsset")</f>
        <v>UDAAsset</v>
      </c>
      <c r="EC5" s="24" t="str">
        <f ca="1">IFERROR(__xludf.DUMMYFUNCTION("""COMPUTED_VALUE"""),"UnderlyingDelta")</f>
        <v>UnderlyingDelta</v>
      </c>
      <c r="ED5" s="24" t="str">
        <f ca="1">IFERROR(__xludf.DUMMYFUNCTION("""COMPUTED_VALUE"""),"UnderlyingName")</f>
        <v>UnderlyingName</v>
      </c>
      <c r="EE5" s="24" t="str">
        <f ca="1">IFERROR(__xludf.DUMMYFUNCTION("""COMPUTED_VALUE"""),"UnderlyingSymbol")</f>
        <v>UnderlyingSymbol</v>
      </c>
      <c r="EF5" s="24" t="str">
        <f ca="1">IFERROR(__xludf.DUMMYFUNCTION("""COMPUTED_VALUE"""),"UnitCost")</f>
        <v>UnitCost</v>
      </c>
      <c r="EG5" s="24" t="str">
        <f ca="1">IFERROR(__xludf.DUMMYFUNCTION("""COMPUTED_VALUE"""),"UnRealizedPNL")</f>
        <v>UnRealizedPNL</v>
      </c>
      <c r="EH5" s="24" t="str">
        <f ca="1">IFERROR(__xludf.DUMMYFUNCTION("""COMPUTED_VALUE"""),"Venue")</f>
        <v>Venue</v>
      </c>
      <c r="EI5" s="24" t="str">
        <f ca="1">IFERROR(__xludf.DUMMYFUNCTION("""COMPUTED_VALUE"""),"VsCurrencyID")</f>
        <v>VsCurrencyID</v>
      </c>
      <c r="EJ5" s="24" t="str">
        <f ca="1">IFERROR(__xludf.DUMMYFUNCTION("""COMPUTED_VALUE"""),"WorkflowState")</f>
        <v>WorkflowState</v>
      </c>
      <c r="EK5" s="24" t="str">
        <f ca="1">IFERROR(__xludf.DUMMYFUNCTION("""COMPUTED_VALUE"""),"AvgPriceBase")</f>
        <v>AvgPriceBase</v>
      </c>
      <c r="EL5" s="24" t="str">
        <f ca="1">IFERROR(__xludf.DUMMYFUNCTION("""COMPUTED_VALUE"""),"MarketCap")</f>
        <v>MarketCap</v>
      </c>
      <c r="EM5" s="24" t="str">
        <f ca="1">IFERROR(__xludf.DUMMYFUNCTION("""COMPUTED_VALUE"""),"UnitCostBase")</f>
        <v>UnitCostBase</v>
      </c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7" t="s">
        <v>23</v>
      </c>
      <c r="F6" s="5"/>
      <c r="G6" s="5"/>
      <c r="H6" s="5"/>
      <c r="I6" s="7">
        <v>15</v>
      </c>
      <c r="J6" s="5"/>
      <c r="K6" s="5"/>
      <c r="L6" s="5"/>
      <c r="M6" s="5"/>
      <c r="N6" s="5"/>
      <c r="O6" s="5"/>
      <c r="AQ6" s="6">
        <v>100</v>
      </c>
      <c r="BV6" s="6" t="s">
        <v>17</v>
      </c>
      <c r="CB6" s="6" t="s">
        <v>24</v>
      </c>
      <c r="CC6" s="6" t="s">
        <v>24</v>
      </c>
      <c r="CG6" s="6">
        <v>100</v>
      </c>
      <c r="DH6" s="7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IFERROR(__xludf.DUMMYFUNCTION("""COMPUTED_VALUE"""),"AccountValue")</f>
        <v>AccountValue</v>
      </c>
      <c r="D5" s="22" t="str">
        <f ca="1">IFERROR(__xludf.DUMMYFUNCTION("""COMPUTED_VALUE"""),"AccruedInterest")</f>
        <v>AccruedInterest</v>
      </c>
      <c r="E5" s="22" t="str">
        <f ca="1">IFERROR(__xludf.DUMMYFUNCTION("""COMPUTED_VALUE"""),"Asset")</f>
        <v>Asset</v>
      </c>
      <c r="F5" s="23" t="str">
        <f ca="1">IFERROR(__xludf.DUMMYFUNCTION("""COMPUTED_VALUE"""),"AUEC Fee1")</f>
        <v>AUEC Fee1</v>
      </c>
      <c r="G5" s="22" t="str">
        <f ca="1">IFERROR(__xludf.DUMMYFUNCTION("""COMPUTED_VALUE"""),"AUCE Fee2")</f>
        <v>AUCE Fee2</v>
      </c>
      <c r="H5" s="22" t="str">
        <f ca="1">IFERROR(__xludf.DUMMYFUNCTION("""COMPUTED_VALUE"""),"AUECID")</f>
        <v>AUECID</v>
      </c>
      <c r="I5" s="22" t="str">
        <f ca="1">IFERROR(__xludf.DUMMYFUNCTION("""COMPUTED_VALUE"""),"AUECLocalDateToday")</f>
        <v>AUECLocalDateToday</v>
      </c>
      <c r="J5" s="22" t="str">
        <f ca="1">IFERROR(__xludf.DUMMYFUNCTION("""COMPUTED_VALUE"""),"Average Price")</f>
        <v>Average Price</v>
      </c>
      <c r="K5" s="22" t="str">
        <f ca="1">IFERROR(__xludf.DUMMYFUNCTION("""COMPUTED_VALUE"""),"AvgPriceRealizedPL")</f>
        <v>AvgPriceRealizedPL</v>
      </c>
      <c r="L5" s="22" t="str">
        <f ca="1">IFERROR(__xludf.DUMMYFUNCTION("""COMPUTED_VALUE"""),"Broker")</f>
        <v>Broker</v>
      </c>
      <c r="M5" s="22" t="str">
        <f ca="1">IFERROR(__xludf.DUMMYFUNCTION("""COMPUTED_VALUE"""),"Clearing Broker Fee")</f>
        <v>Clearing Broker Fee</v>
      </c>
      <c r="N5" s="22" t="str">
        <f ca="1">IFERROR(__xludf.DUMMYFUNCTION("""COMPUTED_VALUE"""),"ClosedQty")</f>
        <v>ClosedQty</v>
      </c>
      <c r="O5" s="22" t="str">
        <f ca="1">IFERROR(__xludf.DUMMYFUNCTION("""COMPUTED_VALUE"""),"Commission")</f>
        <v>Commission</v>
      </c>
      <c r="P5" s="22" t="str">
        <f ca="1">IFERROR(__xludf.DUMMYFUNCTION("""COMPUTED_VALUE"""),"CostBasisRealizePNL")</f>
        <v>CostBasisRealizePNL</v>
      </c>
      <c r="Q5" s="22" t="str">
        <f ca="1">IFERROR(__xludf.DUMMYFUNCTION("""COMPUTED_VALUE"""),"Currency")</f>
        <v>Currency</v>
      </c>
      <c r="R5" s="22" t="str">
        <f ca="1">IFERROR(__xludf.DUMMYFUNCTION("""COMPUTED_VALUE"""),"Description")</f>
        <v>Description</v>
      </c>
      <c r="S5" s="22" t="str">
        <f ca="1">IFERROR(__xludf.DUMMYFUNCTION("""COMPUTED_VALUE"""),"EndDate")</f>
        <v>EndDate</v>
      </c>
      <c r="T5" s="24" t="str">
        <f ca="1">IFERROR(__xludf.DUMMYFUNCTION("""COMPUTED_VALUE"""),"ExchangeID")</f>
        <v>ExchangeID</v>
      </c>
      <c r="U5" s="24" t="str">
        <f ca="1">IFERROR(__xludf.DUMMYFUNCTION("""COMPUTED_VALUE"""),"Expiration Date")</f>
        <v>Expiration Date</v>
      </c>
      <c r="V5" s="24" t="str">
        <f ca="1">IFERROR(__xludf.DUMMYFUNCTION("""COMPUTED_VALUE"""),"ExpiredQty")</f>
        <v>ExpiredQty</v>
      </c>
      <c r="W5" s="24" t="str">
        <f ca="1">IFERROR(__xludf.DUMMYFUNCTION("""COMPUTED_VALUE"""),"ExpiredTaxlotID")</f>
        <v>ExpiredTaxlotID</v>
      </c>
      <c r="X5" s="24" t="str">
        <f ca="1">IFERROR(__xludf.DUMMYFUNCTION("""COMPUTED_VALUE"""),"FXRate")</f>
        <v>FXRate</v>
      </c>
      <c r="Y5" s="24" t="str">
        <f ca="1">IFERROR(__xludf.DUMMYFUNCTION("""COMPUTED_VALUE"""),"FXRateoperator")</f>
        <v>FXRateoperator</v>
      </c>
      <c r="Z5" s="24" t="str">
        <f ca="1">IFERROR(__xludf.DUMMYFUNCTION("""COMPUTED_VALUE"""),"ID")</f>
        <v>ID</v>
      </c>
      <c r="AA5" s="24" t="str">
        <f ca="1">IFERROR(__xludf.DUMMYFUNCTION("""COMPUTED_VALUE"""),"If Pay/Recevie Changes")</f>
        <v>If Pay/Recevie Changes</v>
      </c>
      <c r="AB5" s="24" t="str">
        <f ca="1">IFERROR(__xludf.DUMMYFUNCTION("""COMPUTED_VALUE"""),"IntPositionType")</f>
        <v>IntPositionType</v>
      </c>
      <c r="AC5" s="24" t="str">
        <f ca="1">IFERROR(__xludf.DUMMYFUNCTION("""COMPUTED_VALUE"""),"LeadCurrencyID")</f>
        <v>LeadCurrencyID</v>
      </c>
      <c r="AD5" s="24" t="str">
        <f ca="1">IFERROR(__xludf.DUMMYFUNCTION("""COMPUTED_VALUE"""),"Leveraged Factor")</f>
        <v>Leveraged Factor</v>
      </c>
      <c r="AE5" s="24" t="str">
        <f ca="1">IFERROR(__xludf.DUMMYFUNCTION("""COMPUTED_VALUE"""),"MarkPriceForMonth")</f>
        <v>MarkPriceForMonth</v>
      </c>
      <c r="AF5" s="24" t="str">
        <f ca="1">IFERROR(__xludf.DUMMYFUNCTION("""COMPUTED_VALUE"""),"MonthToDateRealizedProfit")</f>
        <v>MonthToDateRealizedProfit</v>
      </c>
      <c r="AG5" s="24" t="str">
        <f ca="1">IFERROR(__xludf.DUMMYFUNCTION("""COMPUTED_VALUE"""),"Multiplier")</f>
        <v>Multiplier</v>
      </c>
      <c r="AH5" s="24" t="str">
        <f ca="1">IFERROR(__xludf.DUMMYFUNCTION("""COMPUTED_VALUE"""),"NotionalValue")</f>
        <v>NotionalValue</v>
      </c>
      <c r="AI5" s="24" t="str">
        <f ca="1">IFERROR(__xludf.DUMMYFUNCTION("""COMPUTED_VALUE"""),"OCC Fee")</f>
        <v>OCC Fee</v>
      </c>
      <c r="AJ5" s="24" t="str">
        <f ca="1">IFERROR(__xludf.DUMMYFUNCTION("""COMPUTED_VALUE"""),"OpenQty")</f>
        <v>OpenQty</v>
      </c>
      <c r="AK5" s="24" t="str">
        <f ca="1">IFERROR(__xludf.DUMMYFUNCTION("""COMPUTED_VALUE"""),"Option Activated")</f>
        <v>Option Activated</v>
      </c>
      <c r="AL5" s="24" t="str">
        <f ca="1">IFERROR(__xludf.DUMMYFUNCTION("""COMPUTED_VALUE"""),"Option Type")</f>
        <v>Option Type</v>
      </c>
      <c r="AM5" s="24" t="str">
        <f ca="1">IFERROR(__xludf.DUMMYFUNCTION("""COMPUTED_VALUE"""),"OptionPremiumAdjustment")</f>
        <v>OptionPremiumAdjustment</v>
      </c>
      <c r="AN5" s="24" t="str">
        <f ca="1">IFERROR(__xludf.DUMMYFUNCTION("""COMPUTED_VALUE"""),"ORF Fee")</f>
        <v>ORF Fee</v>
      </c>
      <c r="AO5" s="24" t="str">
        <f ca="1">IFERROR(__xludf.DUMMYFUNCTION("""COMPUTED_VALUE"""),"Original Side")</f>
        <v>Original Side</v>
      </c>
      <c r="AP5" s="24" t="str">
        <f ca="1">IFERROR(__xludf.DUMMYFUNCTION("""COMPUTED_VALUE"""),"OriginalPurchaseDate")</f>
        <v>OriginalPurchaseDate</v>
      </c>
      <c r="AQ5" s="24" t="str">
        <f ca="1">IFERROR(__xludf.DUMMYFUNCTION("""COMPUTED_VALUE"""),"Other Broker Fees")</f>
        <v>Other Broker Fees</v>
      </c>
      <c r="AR5" s="24" t="str">
        <f ca="1">IFERROR(__xludf.DUMMYFUNCTION("""COMPUTED_VALUE"""),"ParentTradeDate")</f>
        <v>ParentTradeDate</v>
      </c>
      <c r="AS5" s="24" t="str">
        <f ca="1">IFERROR(__xludf.DUMMYFUNCTION("""COMPUTED_VALUE"""),"Pay/Recive")</f>
        <v>Pay/Recive</v>
      </c>
      <c r="AT5" s="24" t="str">
        <f ca="1">IFERROR(__xludf.DUMMYFUNCTION("""COMPUTED_VALUE"""),"PositionType")</f>
        <v>PositionType</v>
      </c>
      <c r="AU5" s="24" t="str">
        <f ca="1">IFERROR(__xludf.DUMMYFUNCTION("""COMPUTED_VALUE"""),"ProcessDate")</f>
        <v>ProcessDate</v>
      </c>
      <c r="AV5" s="24" t="str">
        <f ca="1">IFERROR(__xludf.DUMMYFUNCTION("""COMPUTED_VALUE"""),"QtyCurrency")</f>
        <v>QtyCurrency</v>
      </c>
      <c r="AW5" s="24" t="str">
        <f ca="1">IFERROR(__xludf.DUMMYFUNCTION("""COMPUTED_VALUE"""),"Quantity")</f>
        <v>Quantity</v>
      </c>
      <c r="AX5" s="24" t="str">
        <f ca="1">IFERROR(__xludf.DUMMYFUNCTION("""COMPUTED_VALUE"""),"RecordType")</f>
        <v>RecordType</v>
      </c>
      <c r="AY5" s="24" t="str">
        <f ca="1">IFERROR(__xludf.DUMMYFUNCTION("""COMPUTED_VALUE"""),"SEC Fee")</f>
        <v>SEC Fee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IFERROR(__xludf.DUMMYFUNCTION("""COMPUTED_VALUE"""),"Settlement Date")</f>
        <v>Settlement Date</v>
      </c>
      <c r="BB5" s="24" t="str">
        <f ca="1">IFERROR(__xludf.DUMMYFUNCTION("""COMPUTED_VALUE"""),"Settlement FxRate")</f>
        <v>Settlement FxRate</v>
      </c>
      <c r="BC5" s="24" t="str">
        <f ca="1">IFERROR(__xludf.DUMMYFUNCTION("""COMPUTED_VALUE"""),"Settlement FxRate Operator")</f>
        <v>Settlement FxRate Operator</v>
      </c>
      <c r="BD5" s="24" t="str">
        <f ca="1">IFERROR(__xludf.DUMMYFUNCTION("""COMPUTED_VALUE"""),"Settlement Price")</f>
        <v>Settlement Price</v>
      </c>
      <c r="BE5" s="24" t="str">
        <f ca="1">IFERROR(__xludf.DUMMYFUNCTION("""COMPUTED_VALUE"""),"Side")</f>
        <v>Side</v>
      </c>
      <c r="BF5" s="24" t="str">
        <f ca="1">IFERROR(__xludf.DUMMYFUNCTION("""COMPUTED_VALUE"""),"Soft Commission")</f>
        <v>Soft Commission</v>
      </c>
      <c r="BG5" s="24" t="str">
        <f ca="1">IFERROR(__xludf.DUMMYFUNCTION("""COMPUTED_VALUE"""),"Stamp Duty")</f>
        <v>Stamp Duty</v>
      </c>
      <c r="BH5" s="24" t="str">
        <f ca="1">IFERROR(__xludf.DUMMYFUNCTION("""COMPUTED_VALUE"""),"StartTaxlotID")</f>
        <v>StartTaxlotID</v>
      </c>
      <c r="BI5" s="24" t="str">
        <f ca="1">IFERROR(__xludf.DUMMYFUNCTION("""COMPUTED_VALUE"""),"Status")</f>
        <v>Status</v>
      </c>
      <c r="BJ5" s="24" t="str">
        <f ca="1">IFERROR(__xludf.DUMMYFUNCTION("""COMPUTED_VALUE"""),"Strategy")</f>
        <v>Strategy</v>
      </c>
      <c r="BK5" s="24" t="str">
        <f ca="1">IFERROR(__xludf.DUMMYFUNCTION("""COMPUTED_VALUE"""),"Strike Price")</f>
        <v>Strike Price</v>
      </c>
      <c r="BL5" s="24" t="str">
        <f ca="1">IFERROR(__xludf.DUMMYFUNCTION("""COMPUTED_VALUE"""),"Symbol")</f>
        <v>Symbol</v>
      </c>
      <c r="BM5" s="24" t="str">
        <f ca="1">IFERROR(__xludf.DUMMYFUNCTION("""COMPUTED_VALUE"""),"SymbolAveragePrice")</f>
        <v>SymbolAveragePrice</v>
      </c>
      <c r="BN5" s="24" t="str">
        <f ca="1">IFERROR(__xludf.DUMMYFUNCTION("""COMPUTED_VALUE"""),"Tax On Commissions")</f>
        <v>Tax On Commissions</v>
      </c>
      <c r="BO5" s="24" t="str">
        <f ca="1">IFERROR(__xludf.DUMMYFUNCTION("""COMPUTED_VALUE"""),"TaxLotClosingId")</f>
        <v>TaxLotClosingId</v>
      </c>
      <c r="BP5" s="24" t="str">
        <f ca="1">IFERROR(__xludf.DUMMYFUNCTION("""COMPUTED_VALUE"""),"Trade Date")</f>
        <v>Trade Date</v>
      </c>
      <c r="BQ5" s="24" t="str">
        <f ca="1">IFERROR(__xludf.DUMMYFUNCTION("""COMPUTED_VALUE"""),"Transaction Levy")</f>
        <v>Transaction Levy</v>
      </c>
      <c r="BR5" s="24" t="str">
        <f ca="1">IFERROR(__xludf.DUMMYFUNCTION("""COMPUTED_VALUE"""),"Transaction Type")</f>
        <v>Transaction Type</v>
      </c>
      <c r="BS5" s="24" t="str">
        <f ca="1">IFERROR(__xludf.DUMMYFUNCTION("""COMPUTED_VALUE"""),"TransactionSource")</f>
        <v>TransactionSource</v>
      </c>
      <c r="BT5" s="24" t="str">
        <f ca="1">IFERROR(__xludf.DUMMYFUNCTION("""COMPUTED_VALUE"""),"Underlying Symbol")</f>
        <v>Underlying Symbol</v>
      </c>
      <c r="BU5" s="24" t="str">
        <f ca="1">IFERROR(__xludf.DUMMYFUNCTION("""COMPUTED_VALUE"""),"UnderlyingID")</f>
        <v>UnderlyingID</v>
      </c>
      <c r="BV5" s="24" t="str">
        <f ca="1">IFERROR(__xludf.DUMMYFUNCTION("""COMPUTED_VALUE"""),"Venue")</f>
        <v>Venue</v>
      </c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7" t="s">
        <v>27</v>
      </c>
      <c r="F6" s="5"/>
      <c r="G6" s="5"/>
      <c r="H6" s="5"/>
      <c r="I6" s="5"/>
      <c r="J6" s="7">
        <v>15</v>
      </c>
      <c r="K6" s="5"/>
      <c r="L6" s="5"/>
      <c r="M6" s="5"/>
      <c r="N6" s="5"/>
      <c r="O6" s="5"/>
      <c r="BL6" s="6" t="s">
        <v>28</v>
      </c>
      <c r="BP6" s="26">
        <f ca="1">TODAY()-3</f>
        <v>44409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IFERROR(__xludf.DUMMYFUNCTION("""COMPUTED_VALUE"""),"checkBox")</f>
        <v>checkBox</v>
      </c>
      <c r="E5" s="22" t="str">
        <f ca="1">IFERROR(__xludf.DUMMYFUNCTION("""COMPUTED_VALUE"""),"Close Date")</f>
        <v>Close Date</v>
      </c>
      <c r="F5" s="23" t="str">
        <f ca="1">IFERROR(__xludf.DUMMYFUNCTION("""COMPUTED_VALUE"""),"ClosedAveragePrice")</f>
        <v>ClosedAveragePrice</v>
      </c>
      <c r="G5" s="22" t="str">
        <f ca="1">IFERROR(__xludf.DUMMYFUNCTION("""COMPUTED_VALUE"""),"ClosedQty")</f>
        <v>ClosedQty</v>
      </c>
      <c r="H5" s="22" t="str">
        <f ca="1">IFERROR(__xludf.DUMMYFUNCTION("""COMPUTED_VALUE"""),"Closing Method")</f>
        <v>Closing Method</v>
      </c>
      <c r="I5" s="22" t="str">
        <f ca="1">IFERROR(__xludf.DUMMYFUNCTION("""COMPUTED_VALUE"""),"ClosingID")</f>
        <v>ClosingID</v>
      </c>
      <c r="J5" s="22" t="str">
        <f ca="1">IFERROR(__xludf.DUMMYFUNCTION("""COMPUTED_VALUE"""),"ClosingMode")</f>
        <v>ClosingMode</v>
      </c>
      <c r="K5" s="22" t="str">
        <f ca="1">IFERROR(__xludf.DUMMYFUNCTION("""COMPUTED_VALUE"""),"ClosingPositionTag")</f>
        <v>ClosingPositionTag</v>
      </c>
      <c r="L5" s="22" t="str">
        <f ca="1">IFERROR(__xludf.DUMMYFUNCTION("""COMPUTED_VALUE"""),"ClosingSide")</f>
        <v>ClosingSide</v>
      </c>
      <c r="M5" s="22" t="str">
        <f ca="1">IFERROR(__xludf.DUMMYFUNCTION("""COMPUTED_VALUE"""),"ClosingTotalCommissionandFees")</f>
        <v>ClosingTotalCommissionandFees</v>
      </c>
      <c r="N5" s="22" t="str">
        <f ca="1">IFERROR(__xludf.DUMMYFUNCTION("""COMPUTED_VALUE"""),"Column1")</f>
        <v>Column1</v>
      </c>
      <c r="O5" s="22" t="str">
        <f ca="1">IFERROR(__xludf.DUMMYFUNCTION("""COMPUTED_VALUE"""),"CostBasisGrossPNL")</f>
        <v>CostBasisGrossPNL</v>
      </c>
      <c r="P5" s="22" t="str">
        <f ca="1">IFERROR(__xludf.DUMMYFUNCTION("""COMPUTED_VALUE"""),"Currency")</f>
        <v>Currency</v>
      </c>
      <c r="Q5" s="22" t="str">
        <f ca="1">IFERROR(__xludf.DUMMYFUNCTION("""COMPUTED_VALUE"""),"CurrencyID")</f>
        <v>CurrencyID</v>
      </c>
      <c r="R5" s="22" t="str">
        <f ca="1">IFERROR(__xludf.DUMMYFUNCTION("""COMPUTED_VALUE"""),"Exchange")</f>
        <v>Exchange</v>
      </c>
      <c r="S5" s="22" t="str">
        <f ca="1">IFERROR(__xludf.DUMMYFUNCTION("""COMPUTED_VALUE"""),"NotionalChange")</f>
        <v>NotionalChange</v>
      </c>
      <c r="T5" s="24" t="str">
        <f ca="1">IFERROR(__xludf.DUMMYFUNCTION("""COMPUTED_VALUE"""),"OpenAveragePrice")</f>
        <v>OpenAveragePrice</v>
      </c>
      <c r="U5" s="24" t="str">
        <f ca="1">IFERROR(__xludf.DUMMYFUNCTION("""COMPUTED_VALUE"""),"Original Purchase Date")</f>
        <v>Original Purchase Date</v>
      </c>
      <c r="V5" s="24" t="str">
        <f ca="1">IFERROR(__xludf.DUMMYFUNCTION("""COMPUTED_VALUE"""),"Position Type")</f>
        <v>Position Type</v>
      </c>
      <c r="W5" s="24" t="str">
        <f ca="1">IFERROR(__xludf.DUMMYFUNCTION("""COMPUTED_VALUE"""),"PositionSide")</f>
        <v>PositionSide</v>
      </c>
      <c r="X5" s="24" t="str">
        <f ca="1">IFERROR(__xludf.DUMMYFUNCTION("""COMPUTED_VALUE"""),"PositionTotalCommissionandFees")</f>
        <v>PositionTotalCommissionandFees</v>
      </c>
      <c r="Y5" s="24" t="str">
        <f ca="1">IFERROR(__xludf.DUMMYFUNCTION("""COMPUTED_VALUE"""),"Realized PNL(C.B.)")</f>
        <v>Realized PNL(C.B.)</v>
      </c>
      <c r="Z5" s="24" t="str">
        <f ca="1">IFERROR(__xludf.DUMMYFUNCTION("""COMPUTED_VALUE"""),"Side")</f>
        <v>Side</v>
      </c>
      <c r="AA5" s="24" t="str">
        <f ca="1">IFERROR(__xludf.DUMMYFUNCTION("""COMPUTED_VALUE"""),"Strategy")</f>
        <v>Strategy</v>
      </c>
      <c r="AB5" s="24" t="str">
        <f ca="1">IFERROR(__xludf.DUMMYFUNCTION("""COMPUTED_VALUE"""),"Symbol")</f>
        <v>Symbol</v>
      </c>
      <c r="AC5" s="24" t="str">
        <f ca="1">IFERROR(__xludf.DUMMYFUNCTION("""COMPUTED_VALUE"""),"Taxlot ID")</f>
        <v>Taxlot ID</v>
      </c>
      <c r="AD5" s="24" t="str">
        <f ca="1">IFERROR(__xludf.DUMMYFUNCTION("""COMPUTED_VALUE"""),"UnderlyingName")</f>
        <v>UnderlyingName</v>
      </c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  <c r="T6" s="6">
        <v>15</v>
      </c>
      <c r="W6" s="6" t="s">
        <v>24</v>
      </c>
      <c r="Z6" s="6" t="s">
        <v>17</v>
      </c>
      <c r="AB6" s="7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/>
      <c r="E6" s="27">
        <v>100</v>
      </c>
      <c r="F6" s="5"/>
      <c r="G6" s="5"/>
      <c r="H6" s="5"/>
      <c r="I6" s="5"/>
      <c r="J6" s="5"/>
      <c r="K6" s="27">
        <v>15</v>
      </c>
      <c r="L6" s="27">
        <v>15</v>
      </c>
      <c r="M6" s="5"/>
      <c r="N6" s="5"/>
      <c r="O6" s="5"/>
      <c r="S6" s="28" t="s">
        <v>33</v>
      </c>
      <c r="BJ6" s="27">
        <v>100</v>
      </c>
      <c r="BO6" s="28" t="s">
        <v>17</v>
      </c>
      <c r="BT6" s="28" t="s">
        <v>34</v>
      </c>
    </row>
    <row r="7" spans="1:154" ht="15.75" customHeight="1" x14ac:dyDescent="0.2">
      <c r="A7" s="5"/>
      <c r="B7" s="5"/>
      <c r="C7" s="5"/>
      <c r="D7" s="5"/>
      <c r="E7" s="27">
        <v>100</v>
      </c>
      <c r="F7" s="5"/>
      <c r="G7" s="5"/>
      <c r="H7" s="5"/>
      <c r="I7" s="5"/>
      <c r="J7" s="5"/>
      <c r="K7" s="27">
        <v>0</v>
      </c>
      <c r="L7" s="27">
        <v>0</v>
      </c>
      <c r="M7" s="5"/>
      <c r="N7" s="5"/>
      <c r="O7" s="5"/>
      <c r="S7" s="28" t="s">
        <v>33</v>
      </c>
      <c r="BJ7" s="27">
        <v>100</v>
      </c>
      <c r="BO7" s="28" t="s">
        <v>35</v>
      </c>
      <c r="BT7" s="28" t="s">
        <v>34</v>
      </c>
    </row>
    <row r="8" spans="1:154" ht="15.75" customHeight="1" x14ac:dyDescent="0.2">
      <c r="A8" s="5"/>
      <c r="B8" s="5"/>
      <c r="C8" s="5"/>
      <c r="D8" s="5"/>
      <c r="E8" s="29">
        <v>10000</v>
      </c>
      <c r="F8" s="5"/>
      <c r="G8" s="5"/>
      <c r="H8" s="5"/>
      <c r="I8" s="5"/>
      <c r="J8" s="5"/>
      <c r="K8" s="27">
        <v>15</v>
      </c>
      <c r="L8" s="27">
        <v>15</v>
      </c>
      <c r="M8" s="5"/>
      <c r="N8" s="5"/>
      <c r="O8" s="5"/>
      <c r="S8" s="28" t="s">
        <v>36</v>
      </c>
      <c r="BJ8" s="29">
        <v>10000</v>
      </c>
      <c r="BO8" s="28" t="s">
        <v>37</v>
      </c>
      <c r="BT8" s="28" t="s">
        <v>28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E1" workbookViewId="0">
      <selection activeCell="BM14" sqref="BM14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30" t="s">
        <v>34</v>
      </c>
      <c r="D6" s="31">
        <v>100</v>
      </c>
      <c r="E6" s="30" t="s">
        <v>18</v>
      </c>
      <c r="F6" s="5"/>
      <c r="G6" s="7">
        <v>15</v>
      </c>
      <c r="H6" s="30" t="s">
        <v>24</v>
      </c>
      <c r="I6" s="5"/>
      <c r="J6" s="5"/>
      <c r="K6" s="5"/>
      <c r="L6" s="5"/>
      <c r="M6" s="5"/>
      <c r="N6" s="5"/>
      <c r="O6" s="5"/>
      <c r="T6" s="32" t="s">
        <v>23</v>
      </c>
      <c r="AN6" s="32" t="s">
        <v>17</v>
      </c>
    </row>
    <row r="7" spans="1:167" ht="15.75" customHeight="1" x14ac:dyDescent="0.2">
      <c r="A7" s="5"/>
      <c r="B7" s="5"/>
      <c r="C7" s="32" t="s">
        <v>34</v>
      </c>
      <c r="D7" s="33">
        <v>-100</v>
      </c>
      <c r="E7" s="32" t="s">
        <v>18</v>
      </c>
      <c r="F7" s="5"/>
      <c r="G7" s="7">
        <v>0</v>
      </c>
      <c r="H7" s="32" t="s">
        <v>24</v>
      </c>
      <c r="I7" s="5"/>
      <c r="J7" s="5"/>
      <c r="K7" s="5"/>
      <c r="L7" s="5"/>
      <c r="M7" s="5"/>
      <c r="N7" s="5"/>
      <c r="O7" s="5"/>
      <c r="T7" s="32" t="s">
        <v>23</v>
      </c>
      <c r="AN7" s="32" t="s">
        <v>35</v>
      </c>
    </row>
    <row r="8" spans="1:167" ht="15.75" customHeight="1" x14ac:dyDescent="0.2">
      <c r="A8" s="5"/>
      <c r="B8" s="5"/>
      <c r="C8" s="32" t="s">
        <v>28</v>
      </c>
      <c r="D8" s="34">
        <v>10000</v>
      </c>
      <c r="E8" s="32" t="s">
        <v>18</v>
      </c>
      <c r="F8" s="5"/>
      <c r="G8" s="7">
        <v>15</v>
      </c>
      <c r="H8" s="32" t="s">
        <v>24</v>
      </c>
      <c r="I8" s="5"/>
      <c r="J8" s="5"/>
      <c r="K8" s="5"/>
      <c r="L8" s="5"/>
      <c r="M8" s="5"/>
      <c r="N8" s="5"/>
      <c r="O8" s="5"/>
      <c r="T8" s="32" t="s">
        <v>27</v>
      </c>
      <c r="AN8" s="32" t="s">
        <v>37</v>
      </c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CreateDoneAwayOrder</vt:lpstr>
      <vt:lpstr>GetDataClosing</vt:lpstr>
      <vt:lpstr>VerifyLongPositionsGrid</vt:lpstr>
      <vt:lpstr>SelectTradeUnexpiredUnsettled</vt:lpstr>
      <vt:lpstr>ExerciseAssignment</vt:lpstr>
      <vt:lpstr>VerifyExpiredSettledGrid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2021-08-04T10:22:55Z</dcterms:modified>
</cp:coreProperties>
</file>