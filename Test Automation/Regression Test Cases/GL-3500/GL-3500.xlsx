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ManualClosing" sheetId="6" r:id="rId8"/>
    <sheet state="visible" name="GetDayEndCash" sheetId="7" r:id="rId9"/>
    <sheet state="visible" name="GetAccountBalance" sheetId="8" r:id="rId10"/>
    <sheet state="visible" name="VerifyAccountBalances" sheetId="9" r:id="rId11"/>
    <sheet state="visible" name="GetDataClosing1" sheetId="10" r:id="rId12"/>
    <sheet state="visible" name="UnWindCloseOrder" sheetId="11" r:id="rId13"/>
    <sheet state="visible" name="ManualClosing1" sheetId="12" r:id="rId14"/>
    <sheet state="visible" name="GetAccountBalance1" sheetId="13" r:id="rId15"/>
    <sheet state="visible" name="VerifyAccountBalances1" sheetId="14" r:id="rId16"/>
    <sheet state="visible" name="UnwindClosing" sheetId="15" r:id="rId17"/>
  </sheets>
  <definedNames/>
  <calcPr/>
</workbook>
</file>

<file path=xl/sharedStrings.xml><?xml version="1.0" encoding="utf-8"?>
<sst xmlns="http://schemas.openxmlformats.org/spreadsheetml/2006/main" count="207" uniqueCount="46">
  <si>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</si>
  <si>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</si>
  <si>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</si>
  <si>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</si>
  <si>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</si>
  <si>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</si>
  <si>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</si>
  <si>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</si>
  <si>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</si>
  <si>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</si>
  <si>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</si>
  <si>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</si>
  <si>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</si>
  <si>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</si>
  <si>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</si>
  <si>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</si>
  <si>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</si>
  <si>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</si>
  <si>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</si>
  <si>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Market</t>
  </si>
  <si>
    <t>Allocation1</t>
  </si>
  <si>
    <t>Sell</t>
  </si>
  <si>
    <t>Closing</t>
  </si>
  <si>
    <t>GetDataClosing</t>
  </si>
  <si>
    <t>Historical</t>
  </si>
  <si>
    <t>ManualClosing</t>
  </si>
  <si>
    <t>Equity</t>
  </si>
  <si>
    <t>Strategy Unallocated</t>
  </si>
  <si>
    <t>GeneralLedger</t>
  </si>
  <si>
    <t>GetDayEndCash</t>
  </si>
  <si>
    <t>GetAccountBalance</t>
  </si>
  <si>
    <t>VerifyAccountBalances</t>
  </si>
  <si>
    <t>Investment - Long Equity</t>
  </si>
  <si>
    <t>Asset</t>
  </si>
  <si>
    <t>Trade Transaction</t>
  </si>
  <si>
    <t>USD</t>
  </si>
  <si>
    <t>Cash</t>
  </si>
  <si>
    <t>Equity Realized Profit And Loss</t>
  </si>
  <si>
    <t>Income</t>
  </si>
  <si>
    <t>Equity UnRealized Profit And Loss</t>
  </si>
  <si>
    <t>Equity Long Revaluation</t>
  </si>
  <si>
    <t>UnWindCloseOrder</t>
  </si>
  <si>
    <t>Manual</t>
  </si>
  <si>
    <t>Long</t>
  </si>
  <si>
    <t>UnwindClosing</t>
  </si>
  <si>
    <t xml:space="preserve">Equity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</si>
</sst>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6" fontId="13" numFmtId="0" xfId="0" applyAlignment="1" applyFill="1" applyFont="1">
      <alignment horizontal="right" readingOrder="0" shrinkToFit="0" wrapText="0"/>
    </xf>
    <xf borderId="0" fillId="7" fontId="13" numFmtId="0" xfId="0" applyAlignment="1" applyFill="1" applyFont="1">
      <alignment horizontal="right"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100.0</v>
      </c>
      <c r="E6" s="12">
        <v>100.0</v>
      </c>
      <c r="F6" s="8"/>
      <c r="G6" s="12" t="s">
        <v>18</v>
      </c>
      <c r="H6" s="8"/>
      <c r="I6" s="12" t="s">
        <v>19</v>
      </c>
      <c r="J6" s="12">
        <v>3.0</v>
      </c>
      <c r="K6" s="8"/>
      <c r="L6" s="8"/>
      <c r="M6" s="8"/>
      <c r="N6" s="30">
        <f t="shared" ref="N6:N8" si="1">TODAY()-1</f>
        <v>45854</v>
      </c>
      <c r="O6" s="8"/>
      <c r="AK6" s="9" t="s">
        <v>20</v>
      </c>
    </row>
    <row r="7" ht="15.75" customHeight="1">
      <c r="A7" s="8"/>
      <c r="B7" s="12" t="s">
        <v>16</v>
      </c>
      <c r="C7" s="12" t="s">
        <v>17</v>
      </c>
      <c r="D7" s="12">
        <v>50.0</v>
      </c>
      <c r="E7" s="12">
        <v>50.0</v>
      </c>
      <c r="F7" s="8"/>
      <c r="G7" s="12" t="s">
        <v>18</v>
      </c>
      <c r="H7" s="8"/>
      <c r="I7" s="12" t="s">
        <v>19</v>
      </c>
      <c r="J7" s="12">
        <v>4.0</v>
      </c>
      <c r="K7" s="8"/>
      <c r="L7" s="8"/>
      <c r="M7" s="8"/>
      <c r="N7" s="30">
        <f t="shared" si="1"/>
        <v>45854</v>
      </c>
      <c r="O7" s="8"/>
      <c r="AK7" s="9" t="s">
        <v>20</v>
      </c>
    </row>
    <row r="8" ht="15.75" customHeight="1">
      <c r="A8" s="8"/>
      <c r="B8" s="12" t="s">
        <v>16</v>
      </c>
      <c r="C8" s="12" t="s">
        <v>21</v>
      </c>
      <c r="D8" s="12">
        <v>50.0</v>
      </c>
      <c r="E8" s="12">
        <v>50.0</v>
      </c>
      <c r="F8" s="8"/>
      <c r="G8" s="12" t="s">
        <v>18</v>
      </c>
      <c r="H8" s="8"/>
      <c r="I8" s="12" t="s">
        <v>19</v>
      </c>
      <c r="J8" s="12">
        <v>5.0</v>
      </c>
      <c r="K8" s="8"/>
      <c r="L8" s="8"/>
      <c r="M8" s="8"/>
      <c r="N8" s="30">
        <f t="shared" si="1"/>
        <v>45854</v>
      </c>
      <c r="O8" s="8"/>
      <c r="AK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>
        <f t="shared" ref="C6:D6" si="1">TODAY()-1</f>
        <v>45854</v>
      </c>
      <c r="D6" s="33">
        <f t="shared" si="1"/>
        <v>45854</v>
      </c>
      <c r="E6" s="32" t="s">
        <v>20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b">
        <v>0</v>
      </c>
      <c r="C6" s="32" t="b">
        <v>0</v>
      </c>
      <c r="D6" s="35" t="s">
        <v>20</v>
      </c>
      <c r="E6" s="35" t="s">
        <v>26</v>
      </c>
      <c r="F6" s="31"/>
      <c r="G6" s="31"/>
      <c r="H6" s="31"/>
      <c r="I6" s="31"/>
      <c r="J6" s="31"/>
      <c r="K6" s="31"/>
      <c r="L6" s="31"/>
      <c r="M6" s="31"/>
      <c r="N6" s="31"/>
      <c r="O6" s="36">
        <v>100.0</v>
      </c>
      <c r="P6" s="31"/>
      <c r="Q6" s="31"/>
      <c r="R6" s="31"/>
      <c r="S6" s="31"/>
      <c r="T6" s="34"/>
      <c r="U6" s="34"/>
      <c r="V6" s="34" t="s">
        <v>17</v>
      </c>
      <c r="W6" s="34" t="s">
        <v>27</v>
      </c>
      <c r="X6" s="37" t="s">
        <v>16</v>
      </c>
      <c r="Y6" s="34"/>
      <c r="Z6" s="34"/>
      <c r="AA6" s="38">
        <f>TODAY()-1</f>
        <v>45854</v>
      </c>
      <c r="AB6" s="34"/>
      <c r="AC6" s="34"/>
      <c r="AD6" s="34"/>
      <c r="AE6" s="37" t="s">
        <v>20</v>
      </c>
      <c r="AF6" s="37" t="s">
        <v>26</v>
      </c>
      <c r="AG6" s="34"/>
      <c r="AH6" s="34"/>
      <c r="AI6" s="34"/>
      <c r="AJ6" s="34"/>
      <c r="AK6" s="34"/>
      <c r="AL6" s="34"/>
      <c r="AM6" s="34"/>
      <c r="AN6" s="34"/>
      <c r="AO6" s="34"/>
      <c r="AP6" s="39">
        <v>50.0</v>
      </c>
      <c r="AQ6" s="34"/>
      <c r="AR6" s="34"/>
      <c r="AS6" s="34"/>
      <c r="AT6" s="34"/>
      <c r="AU6" s="34"/>
      <c r="AV6" s="34"/>
      <c r="AW6" s="34" t="s">
        <v>21</v>
      </c>
      <c r="AX6" s="34" t="s">
        <v>27</v>
      </c>
      <c r="AY6" s="37" t="s">
        <v>16</v>
      </c>
      <c r="AZ6" s="34"/>
      <c r="BA6" s="34"/>
      <c r="BB6" s="38">
        <f>TODAY()-1</f>
        <v>45854</v>
      </c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40">
        <f t="shared" ref="D6:E6" si="1">TODAY()-1</f>
        <v>45854</v>
      </c>
      <c r="E6" s="40">
        <f t="shared" si="1"/>
        <v>45854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/>
      <c r="C6" s="31" t="s">
        <v>20</v>
      </c>
      <c r="D6" s="41">
        <f>TODAY()-1</f>
        <v>45854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IFERROR(__xludf.DUMMYFUNCTION("""COMPUTED_VALUE"""),"A/c")</f>
        <v>A/c</v>
      </c>
      <c r="D5" s="27" t="str">
        <f>IFERROR(__xludf.DUMMYFUNCTION("""COMPUTED_VALUE"""),"Master A/c")</f>
        <v>Master A/c</v>
      </c>
      <c r="E5" s="27" t="str">
        <f>IFERROR(__xludf.DUMMYFUNCTION("""COMPUTED_VALUE"""),"A/c Type")</f>
        <v>A/c Type</v>
      </c>
      <c r="F5" s="28" t="str">
        <f>IFERROR(__xludf.DUMMYFUNCTION("""COMPUTED_VALUE"""),"Currency")</f>
        <v>Currency</v>
      </c>
      <c r="G5" s="27" t="str">
        <f>IFERROR(__xludf.DUMMYFUNCTION("""COMPUTED_VALUE"""),"Closing Balance (Dr)")</f>
        <v>Closing Balance (Dr)</v>
      </c>
      <c r="H5" s="27" t="str">
        <f>IFERROR(__xludf.DUMMYFUNCTION("""COMPUTED_VALUE"""),"Closing Balance (Cr)")</f>
        <v>Closing Balance (Cr)</v>
      </c>
      <c r="I5" s="27" t="str">
        <f>IFERROR(__xludf.DUMMYFUNCTION("""COMPUTED_VALUE"""),"Closing Balance Base (Dr)")</f>
        <v>Closing Balance Base (Dr)</v>
      </c>
      <c r="J5" s="27" t="str">
        <f>IFERROR(__xludf.DUMMYFUNCTION("""COMPUTED_VALUE"""),"Closing Balance Base (Cr)")</f>
        <v>Closing Balance Base (Cr)</v>
      </c>
      <c r="K5" s="27" t="str">
        <f>IFERROR(__xludf.DUMMYFUNCTION("""COMPUTED_VALUE"""),"SubCategory A/c")</f>
        <v>SubCategory A/c</v>
      </c>
      <c r="L5" s="27" t="str">
        <f>IFERROR(__xludf.DUMMYFUNCTION("""COMPUTED_VALUE"""),"Opening Balance Date")</f>
        <v>Opening Balance Date</v>
      </c>
      <c r="M5" s="27" t="str">
        <f>IFERROR(__xludf.DUMMYFUNCTION("""COMPUTED_VALUE"""),"TransactionDate")</f>
        <v>TransactionDate</v>
      </c>
      <c r="N5" s="27" t="str">
        <f>IFERROR(__xludf.DUMMYFUNCTION("""COMPUTED_VALUE"""),"Opening Balance (Dr)")</f>
        <v>Opening Balance (Dr)</v>
      </c>
      <c r="O5" s="27" t="str">
        <f>IFERROR(__xludf.DUMMYFUNCTION("""COMPUTED_VALUE"""),"Opening Balance (Cr)")</f>
        <v>Opening Balance (Cr)</v>
      </c>
      <c r="P5" s="27" t="str">
        <f>IFERROR(__xludf.DUMMYFUNCTION("""COMPUTED_VALUE"""),"Day Balance (Dr)")</f>
        <v>Day Balance (Dr)</v>
      </c>
      <c r="Q5" s="27" t="str">
        <f>IFERROR(__xludf.DUMMYFUNCTION("""COMPUTED_VALUE"""),"Day Balance (Cr)")</f>
        <v>Day Balance (Cr)</v>
      </c>
      <c r="R5" s="27" t="str">
        <f>IFERROR(__xludf.DUMMYFUNCTION("""COMPUTED_VALUE"""),"Opening Balance Base (Dr)")</f>
        <v>Opening Balance Base (Dr)</v>
      </c>
      <c r="S5" s="27" t="str">
        <f>IFERROR(__xludf.DUMMYFUNCTION("""COMPUTED_VALUE"""),"Opening Balance Base (Cr)")</f>
        <v>Opening Balance Base (Cr)</v>
      </c>
      <c r="T5" s="29" t="str">
        <f>IFERROR(__xludf.DUMMYFUNCTION("""COMPUTED_VALUE"""),"Day Balance Base (Dr)")</f>
        <v>Day Balance Base (Dr)</v>
      </c>
      <c r="U5" s="29" t="str">
        <f>IFERROR(__xludf.DUMMYFUNCTION("""COMPUTED_VALUE"""),"Day Balance Base (Cr)")</f>
        <v>Day Balance Base (Cr)</v>
      </c>
      <c r="V5" s="29" t="str">
        <f>IFERROR(__xludf.DUMMYFUNCTION("""COMPUTED_VALUE"""),"Base Currency")</f>
        <v>Base Currency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20</v>
      </c>
      <c r="C6" s="43" t="s">
        <v>32</v>
      </c>
      <c r="D6" s="43" t="s">
        <v>33</v>
      </c>
      <c r="E6" s="43" t="s">
        <v>34</v>
      </c>
      <c r="F6" s="43" t="s">
        <v>35</v>
      </c>
      <c r="G6" s="43">
        <v>371.0004</v>
      </c>
      <c r="H6" s="43">
        <v>0.0</v>
      </c>
      <c r="I6" s="43">
        <v>371.0004</v>
      </c>
      <c r="J6" s="43">
        <v>0.0</v>
      </c>
      <c r="K6" s="8"/>
      <c r="L6" s="8"/>
      <c r="M6" s="8"/>
      <c r="N6" s="43">
        <v>0.0</v>
      </c>
      <c r="O6" s="43">
        <v>0.0</v>
      </c>
      <c r="P6" s="43">
        <v>621.0004</v>
      </c>
      <c r="Q6" s="43">
        <v>250.0</v>
      </c>
      <c r="R6" s="43">
        <v>0.0</v>
      </c>
      <c r="S6" s="43">
        <v>0.0</v>
      </c>
      <c r="T6" s="43">
        <v>621.0004</v>
      </c>
      <c r="U6" s="43">
        <v>250.0</v>
      </c>
      <c r="V6" s="43" t="s">
        <v>35</v>
      </c>
    </row>
    <row r="7" ht="15.75" customHeight="1">
      <c r="A7" s="8"/>
      <c r="B7" s="44" t="s">
        <v>20</v>
      </c>
      <c r="C7" s="44" t="s">
        <v>36</v>
      </c>
      <c r="D7" s="44" t="s">
        <v>36</v>
      </c>
      <c r="E7" s="44" t="s">
        <v>36</v>
      </c>
      <c r="F7" s="44" t="s">
        <v>35</v>
      </c>
      <c r="G7" s="44">
        <v>0.0</v>
      </c>
      <c r="H7" s="44">
        <v>292.0004</v>
      </c>
      <c r="I7" s="44">
        <v>0.0</v>
      </c>
      <c r="J7" s="44">
        <v>292.0004</v>
      </c>
      <c r="K7" s="8"/>
      <c r="L7" s="8"/>
      <c r="M7" s="8"/>
      <c r="N7" s="44">
        <v>0.0</v>
      </c>
      <c r="O7" s="44">
        <v>0.0</v>
      </c>
      <c r="P7" s="44">
        <v>250.0</v>
      </c>
      <c r="Q7" s="44">
        <v>542.0004</v>
      </c>
      <c r="R7" s="44">
        <v>0.0</v>
      </c>
      <c r="S7" s="44">
        <v>0.0</v>
      </c>
      <c r="T7" s="44">
        <v>250.0</v>
      </c>
      <c r="U7" s="44">
        <v>542.0004</v>
      </c>
      <c r="V7" s="43" t="s">
        <v>35</v>
      </c>
    </row>
    <row r="8" ht="15.75" customHeight="1">
      <c r="A8" s="8"/>
      <c r="B8" s="43" t="s">
        <v>20</v>
      </c>
      <c r="C8" s="43" t="s">
        <v>37</v>
      </c>
      <c r="D8" s="43" t="s">
        <v>38</v>
      </c>
      <c r="E8" s="43" t="s">
        <v>34</v>
      </c>
      <c r="F8" s="43" t="s">
        <v>35</v>
      </c>
      <c r="G8" s="43">
        <v>0.0</v>
      </c>
      <c r="H8" s="43">
        <v>79.0</v>
      </c>
      <c r="I8" s="43">
        <v>0.0</v>
      </c>
      <c r="J8" s="43">
        <v>79.0</v>
      </c>
      <c r="K8" s="8"/>
      <c r="L8" s="8"/>
      <c r="M8" s="8"/>
      <c r="N8" s="43">
        <v>0.0</v>
      </c>
      <c r="O8" s="43">
        <v>0.0</v>
      </c>
      <c r="P8" s="43">
        <v>0.0</v>
      </c>
      <c r="Q8" s="43">
        <v>79.0</v>
      </c>
      <c r="R8" s="43">
        <v>0.0</v>
      </c>
      <c r="S8" s="43">
        <v>0.0</v>
      </c>
      <c r="T8" s="43">
        <v>0.0</v>
      </c>
      <c r="U8" s="43">
        <v>79.0</v>
      </c>
      <c r="V8" s="43" t="s">
        <v>35</v>
      </c>
    </row>
    <row r="9" ht="15.75" customHeight="1">
      <c r="A9" s="8"/>
      <c r="B9" s="44" t="s">
        <v>20</v>
      </c>
      <c r="C9" s="44" t="s">
        <v>39</v>
      </c>
      <c r="D9" s="44" t="s">
        <v>38</v>
      </c>
      <c r="E9" s="44" t="s">
        <v>34</v>
      </c>
      <c r="F9" s="44" t="s">
        <v>35</v>
      </c>
      <c r="G9" s="44">
        <v>371.0</v>
      </c>
      <c r="H9" s="44">
        <v>0.0</v>
      </c>
      <c r="I9" s="44">
        <v>371.0</v>
      </c>
      <c r="J9" s="44">
        <v>0.0</v>
      </c>
      <c r="K9" s="8"/>
      <c r="L9" s="8"/>
      <c r="M9" s="8"/>
      <c r="N9" s="44">
        <v>0.0</v>
      </c>
      <c r="O9" s="44">
        <v>0.0</v>
      </c>
      <c r="P9" s="44">
        <v>371.0</v>
      </c>
      <c r="Q9" s="44">
        <v>0.0</v>
      </c>
      <c r="R9" s="44">
        <v>0.0</v>
      </c>
      <c r="S9" s="44">
        <v>0.0</v>
      </c>
      <c r="T9" s="44">
        <v>371.0</v>
      </c>
      <c r="U9" s="44">
        <v>0.0</v>
      </c>
      <c r="V9" s="43" t="s">
        <v>35</v>
      </c>
    </row>
    <row r="10" ht="15.75" customHeight="1">
      <c r="A10" s="8"/>
      <c r="B10" s="43" t="s">
        <v>20</v>
      </c>
      <c r="C10" s="43" t="s">
        <v>40</v>
      </c>
      <c r="D10" s="43" t="s">
        <v>33</v>
      </c>
      <c r="E10" s="43" t="s">
        <v>34</v>
      </c>
      <c r="F10" s="43" t="s">
        <v>35</v>
      </c>
      <c r="G10" s="43">
        <v>0.0</v>
      </c>
      <c r="H10" s="43">
        <v>371.0</v>
      </c>
      <c r="I10" s="43">
        <v>0.0</v>
      </c>
      <c r="J10" s="43">
        <v>371.0</v>
      </c>
      <c r="K10" s="8"/>
      <c r="L10" s="8"/>
      <c r="M10" s="8"/>
      <c r="N10" s="43">
        <v>0.0</v>
      </c>
      <c r="O10" s="43">
        <v>0.0</v>
      </c>
      <c r="P10" s="43">
        <v>0.0</v>
      </c>
      <c r="Q10" s="43">
        <v>371.0</v>
      </c>
      <c r="R10" s="43">
        <v>0.0</v>
      </c>
      <c r="S10" s="43">
        <v>0.0</v>
      </c>
      <c r="T10" s="43">
        <v>0.0</v>
      </c>
      <c r="U10" s="43">
        <v>371.0</v>
      </c>
      <c r="V10" s="43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VerifyAccountBalances!$4:$4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>
        <f t="shared" ref="C6:D6" si="1">TODAY()-1</f>
        <v>45854</v>
      </c>
      <c r="D6" s="33">
        <f t="shared" si="1"/>
        <v>45854</v>
      </c>
      <c r="E6" s="32" t="s">
        <v>20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IFERROR(__xludf.DUMMYFUNCTION("""COMPUTED_VALUE"""),"Closing Date")</f>
        <v>Closing Date</v>
      </c>
      <c r="E5" s="27" t="str">
        <f>IFERROR(__xludf.DUMMYFUNCTION("""COMPUTED_VALUE"""),"Closing Method")</f>
        <v>Closing Method</v>
      </c>
      <c r="F5" s="28" t="str">
        <f>IFERROR(__xludf.DUMMYFUNCTION("""COMPUTED_VALUE"""),"Closing Mode")</f>
        <v>Closing Mode</v>
      </c>
      <c r="G5" s="27" t="str">
        <f>IFERROR(__xludf.DUMMYFUNCTION("""COMPUTED_VALUE"""),"Closing Position Type")</f>
        <v>Closing Position Type</v>
      </c>
      <c r="H5" s="27" t="str">
        <f>IFERROR(__xludf.DUMMYFUNCTION("""COMPUTED_VALUE"""),"Closing Price")</f>
        <v>Closing Price</v>
      </c>
      <c r="I5" s="27" t="str">
        <f>IFERROR(__xludf.DUMMYFUNCTION("""COMPUTED_VALUE"""),"Closing Side")</f>
        <v>Closing Side</v>
      </c>
      <c r="J5" s="27" t="str">
        <f>IFERROR(__xludf.DUMMYFUNCTION("""COMPUTED_VALUE"""),"ClosingID")</f>
        <v>ClosingID</v>
      </c>
      <c r="K5" s="27" t="str">
        <f>IFERROR(__xludf.DUMMYFUNCTION("""COMPUTED_VALUE"""),"ClosingTotalCommissionFee")</f>
        <v>ClosingTotalCommissionFee</v>
      </c>
      <c r="L5" s="27" t="str">
        <f>IFERROR(__xludf.DUMMYFUNCTION("""COMPUTED_VALUE"""),"Currency")</f>
        <v>Currency</v>
      </c>
      <c r="M5" s="27" t="str">
        <f>IFERROR(__xludf.DUMMYFUNCTION("""COMPUTED_VALUE"""),"Exchange")</f>
        <v>Exchange</v>
      </c>
      <c r="N5" s="27" t="str">
        <f>IFERROR(__xludf.DUMMYFUNCTION("""COMPUTED_VALUE"""),"Opening Fee &amp; Commission")</f>
        <v>Opening Fee &amp; Commission</v>
      </c>
      <c r="O5" s="27" t="str">
        <f>IFERROR(__xludf.DUMMYFUNCTION("""COMPUTED_VALUE"""),"Opening Price")</f>
        <v>Opening Price</v>
      </c>
      <c r="P5" s="27" t="str">
        <f>IFERROR(__xludf.DUMMYFUNCTION("""COMPUTED_VALUE"""),"Opening Side")</f>
        <v>Opening Side</v>
      </c>
      <c r="Q5" s="27" t="str">
        <f>IFERROR(__xludf.DUMMYFUNCTION("""COMPUTED_VALUE"""),"Original Purchase Date")</f>
        <v>Original Purchase Date</v>
      </c>
      <c r="R5" s="27" t="str">
        <f>IFERROR(__xludf.DUMMYFUNCTION("""COMPUTED_VALUE"""),"Position Type")</f>
        <v>Position Type</v>
      </c>
      <c r="S5" s="27" t="str">
        <f>IFERROR(__xludf.DUMMYFUNCTION("""COMPUTED_VALUE"""),"Qty Closed")</f>
        <v>Qty Closed</v>
      </c>
      <c r="T5" s="29" t="str">
        <f>IFERROR(__xludf.DUMMYFUNCTION("""COMPUTED_VALUE"""),"Realized PNL(C.B.)")</f>
        <v>Realized PNL(C.B.)</v>
      </c>
      <c r="U5" s="29" t="str">
        <f>IFERROR(__xludf.DUMMYFUNCTION("""COMPUTED_VALUE"""),"Side")</f>
        <v>Side</v>
      </c>
      <c r="V5" s="29" t="str">
        <f>IFERROR(__xludf.DUMMYFUNCTION("""COMPUTED_VALUE"""),"Strategy")</f>
        <v>Strategy</v>
      </c>
      <c r="W5" s="29" t="str">
        <f>IFERROR(__xludf.DUMMYFUNCTION("""COMPUTED_VALUE"""),"Symbol")</f>
        <v>Symbol</v>
      </c>
      <c r="X5" s="29" t="str">
        <f>IFERROR(__xludf.DUMMYFUNCTION("""COMPUTED_VALUE"""),"Taxlot ID")</f>
        <v>Taxlot ID</v>
      </c>
      <c r="Y5" s="29" t="str">
        <f>IFERROR(__xludf.DUMMYFUNCTION("""COMPUTED_VALUE"""),"Underlying")</f>
        <v>Underlying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 t="s">
        <v>20</v>
      </c>
      <c r="C6" s="45" t="s">
        <v>26</v>
      </c>
      <c r="D6" s="31"/>
      <c r="E6" s="31" t="s">
        <v>42</v>
      </c>
      <c r="F6" s="31"/>
      <c r="G6" s="31"/>
      <c r="H6" s="46">
        <v>5.0</v>
      </c>
      <c r="I6" s="31"/>
      <c r="J6" s="45"/>
      <c r="K6" s="31"/>
      <c r="L6" s="31"/>
      <c r="M6" s="31"/>
      <c r="N6" s="31"/>
      <c r="O6" s="31"/>
      <c r="P6" s="47">
        <v>3.0</v>
      </c>
      <c r="Q6" s="31"/>
      <c r="R6" s="45" t="s">
        <v>43</v>
      </c>
      <c r="S6" s="46">
        <v>50.0</v>
      </c>
      <c r="T6" s="34"/>
      <c r="U6" s="34"/>
      <c r="V6" s="34"/>
      <c r="W6" s="48" t="s">
        <v>16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b">
        <v>0</v>
      </c>
      <c r="C6" s="32" t="b">
        <v>0</v>
      </c>
      <c r="D6" s="35" t="s">
        <v>20</v>
      </c>
      <c r="E6" s="35" t="s">
        <v>26</v>
      </c>
      <c r="F6" s="31"/>
      <c r="G6" s="31"/>
      <c r="H6" s="31"/>
      <c r="I6" s="31"/>
      <c r="J6" s="31"/>
      <c r="K6" s="31"/>
      <c r="L6" s="31"/>
      <c r="M6" s="31"/>
      <c r="N6" s="31"/>
      <c r="O6" s="36">
        <v>50.0</v>
      </c>
      <c r="P6" s="31"/>
      <c r="Q6" s="31"/>
      <c r="R6" s="31"/>
      <c r="S6" s="31"/>
      <c r="T6" s="34"/>
      <c r="U6" s="34"/>
      <c r="V6" s="34" t="s">
        <v>17</v>
      </c>
      <c r="W6" s="34" t="s">
        <v>27</v>
      </c>
      <c r="X6" s="37" t="s">
        <v>16</v>
      </c>
      <c r="Y6" s="34"/>
      <c r="Z6" s="34"/>
      <c r="AA6" s="38">
        <f>TODAY()-1</f>
        <v>45854</v>
      </c>
      <c r="AB6" s="34"/>
      <c r="AC6" s="34"/>
      <c r="AD6" s="34"/>
      <c r="AE6" s="37" t="s">
        <v>20</v>
      </c>
      <c r="AF6" s="37" t="s">
        <v>26</v>
      </c>
      <c r="AG6" s="34"/>
      <c r="AH6" s="34"/>
      <c r="AI6" s="34"/>
      <c r="AJ6" s="34"/>
      <c r="AK6" s="34"/>
      <c r="AL6" s="34"/>
      <c r="AM6" s="34"/>
      <c r="AN6" s="34"/>
      <c r="AO6" s="34"/>
      <c r="AP6" s="39">
        <v>50.0</v>
      </c>
      <c r="AQ6" s="34"/>
      <c r="AR6" s="34"/>
      <c r="AS6" s="34"/>
      <c r="AT6" s="34"/>
      <c r="AU6" s="34"/>
      <c r="AV6" s="34"/>
      <c r="AW6" s="34" t="s">
        <v>21</v>
      </c>
      <c r="AX6" s="34" t="s">
        <v>27</v>
      </c>
      <c r="AY6" s="37" t="s">
        <v>16</v>
      </c>
      <c r="AZ6" s="34"/>
      <c r="BA6" s="34"/>
      <c r="BB6" s="38">
        <f>TODAY()-1</f>
        <v>45854</v>
      </c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/>
      <c r="C6" s="31" t="s">
        <v>20</v>
      </c>
      <c r="D6" s="41">
        <f>TODAY()-1</f>
        <v>45854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IFERROR(__xludf.DUMMYFUNCTION("""COMPUTED_VALUE"""),"A/c")</f>
        <v>A/c</v>
      </c>
      <c r="D5" s="27" t="str">
        <f>IFERROR(__xludf.DUMMYFUNCTION("""COMPUTED_VALUE"""),"Master A/c")</f>
        <v>Master A/c</v>
      </c>
      <c r="E5" s="27" t="str">
        <f>IFERROR(__xludf.DUMMYFUNCTION("""COMPUTED_VALUE"""),"A/c Type")</f>
        <v>A/c Type</v>
      </c>
      <c r="F5" s="28" t="str">
        <f>IFERROR(__xludf.DUMMYFUNCTION("""COMPUTED_VALUE"""),"Currency")</f>
        <v>Currency</v>
      </c>
      <c r="G5" s="27" t="str">
        <f>IFERROR(__xludf.DUMMYFUNCTION("""COMPUTED_VALUE"""),"Closing Balance (Dr)")</f>
        <v>Closing Balance (Dr)</v>
      </c>
      <c r="H5" s="27" t="str">
        <f>IFERROR(__xludf.DUMMYFUNCTION("""COMPUTED_VALUE"""),"Closing Balance (Cr)")</f>
        <v>Closing Balance (Cr)</v>
      </c>
      <c r="I5" s="27" t="str">
        <f>IFERROR(__xludf.DUMMYFUNCTION("""COMPUTED_VALUE"""),"Closing Balance Base (Dr)")</f>
        <v>Closing Balance Base (Dr)</v>
      </c>
      <c r="J5" s="27" t="str">
        <f>IFERROR(__xludf.DUMMYFUNCTION("""COMPUTED_VALUE"""),"Closing Balance Base (Cr)")</f>
        <v>Closing Balance Base (Cr)</v>
      </c>
      <c r="K5" s="27" t="str">
        <f>IFERROR(__xludf.DUMMYFUNCTION("""COMPUTED_VALUE"""),"SubCategory A/c")</f>
        <v>SubCategory A/c</v>
      </c>
      <c r="L5" s="27" t="str">
        <f>IFERROR(__xludf.DUMMYFUNCTION("""COMPUTED_VALUE"""),"Opening Balance Date")</f>
        <v>Opening Balance Date</v>
      </c>
      <c r="M5" s="27" t="str">
        <f>IFERROR(__xludf.DUMMYFUNCTION("""COMPUTED_VALUE"""),"TransactionDate")</f>
        <v>TransactionDate</v>
      </c>
      <c r="N5" s="27" t="str">
        <f>IFERROR(__xludf.DUMMYFUNCTION("""COMPUTED_VALUE"""),"Opening Balance (Dr)")</f>
        <v>Opening Balance (Dr)</v>
      </c>
      <c r="O5" s="27" t="str">
        <f>IFERROR(__xludf.DUMMYFUNCTION("""COMPUTED_VALUE"""),"Opening Balance (Cr)")</f>
        <v>Opening Balance (Cr)</v>
      </c>
      <c r="P5" s="27" t="str">
        <f>IFERROR(__xludf.DUMMYFUNCTION("""COMPUTED_VALUE"""),"Day Balance (Dr)")</f>
        <v>Day Balance (Dr)</v>
      </c>
      <c r="Q5" s="27" t="str">
        <f>IFERROR(__xludf.DUMMYFUNCTION("""COMPUTED_VALUE"""),"Day Balance (Cr)")</f>
        <v>Day Balance (Cr)</v>
      </c>
      <c r="R5" s="27" t="str">
        <f>IFERROR(__xludf.DUMMYFUNCTION("""COMPUTED_VALUE"""),"Opening Balance Base (Dr)")</f>
        <v>Opening Balance Base (Dr)</v>
      </c>
      <c r="S5" s="27" t="str">
        <f>IFERROR(__xludf.DUMMYFUNCTION("""COMPUTED_VALUE"""),"Opening Balance Base (Cr)")</f>
        <v>Opening Balance Base (Cr)</v>
      </c>
      <c r="T5" s="29" t="str">
        <f>IFERROR(__xludf.DUMMYFUNCTION("""COMPUTED_VALUE"""),"Day Balance Base (Dr)")</f>
        <v>Day Balance Base (Dr)</v>
      </c>
      <c r="U5" s="29" t="str">
        <f>IFERROR(__xludf.DUMMYFUNCTION("""COMPUTED_VALUE"""),"Day Balance Base (Cr)")</f>
        <v>Day Balance Base (Cr)</v>
      </c>
      <c r="V5" s="29" t="str">
        <f>IFERROR(__xludf.DUMMYFUNCTION("""COMPUTED_VALUE"""),"Base Currency")</f>
        <v>Base Currency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3" t="s">
        <v>20</v>
      </c>
      <c r="C6" s="43" t="s">
        <v>32</v>
      </c>
      <c r="D6" s="43" t="s">
        <v>33</v>
      </c>
      <c r="E6" s="43" t="s">
        <v>34</v>
      </c>
      <c r="F6" s="43" t="s">
        <v>35</v>
      </c>
      <c r="G6" s="43">
        <v>314.0004</v>
      </c>
      <c r="H6" s="43">
        <v>0.0</v>
      </c>
      <c r="I6" s="43">
        <v>314.0004</v>
      </c>
      <c r="J6" s="43">
        <v>0.0</v>
      </c>
      <c r="K6" s="8"/>
      <c r="L6" s="8"/>
      <c r="M6" s="8"/>
      <c r="N6" s="43">
        <v>0.0</v>
      </c>
      <c r="O6" s="43">
        <v>0.0</v>
      </c>
      <c r="P6" s="43">
        <v>564.0004</v>
      </c>
      <c r="Q6" s="43">
        <v>250.0</v>
      </c>
      <c r="R6" s="43">
        <v>0.0</v>
      </c>
      <c r="S6" s="43">
        <v>0.0</v>
      </c>
      <c r="T6" s="43">
        <v>564.0004</v>
      </c>
      <c r="U6" s="43">
        <v>250.0</v>
      </c>
      <c r="V6" s="43" t="s">
        <v>35</v>
      </c>
    </row>
    <row r="7" ht="15.75" customHeight="1">
      <c r="A7" s="8"/>
      <c r="B7" s="44" t="s">
        <v>20</v>
      </c>
      <c r="C7" s="44" t="s">
        <v>36</v>
      </c>
      <c r="D7" s="44" t="s">
        <v>36</v>
      </c>
      <c r="E7" s="44" t="s">
        <v>36</v>
      </c>
      <c r="F7" s="44" t="s">
        <v>35</v>
      </c>
      <c r="G7" s="44">
        <v>0.0</v>
      </c>
      <c r="H7" s="44">
        <v>292.0004</v>
      </c>
      <c r="I7" s="44">
        <v>0.0</v>
      </c>
      <c r="J7" s="44">
        <v>292.0004</v>
      </c>
      <c r="K7" s="8"/>
      <c r="L7" s="8"/>
      <c r="M7" s="8"/>
      <c r="N7" s="44">
        <v>0.0</v>
      </c>
      <c r="O7" s="44">
        <v>0.0</v>
      </c>
      <c r="P7" s="44">
        <v>250.0</v>
      </c>
      <c r="Q7" s="44">
        <v>542.0004</v>
      </c>
      <c r="R7" s="44">
        <v>0.0</v>
      </c>
      <c r="S7" s="44">
        <v>0.0</v>
      </c>
      <c r="T7" s="44">
        <v>250.0</v>
      </c>
      <c r="U7" s="44">
        <v>542.0004</v>
      </c>
      <c r="V7" s="44" t="s">
        <v>35</v>
      </c>
    </row>
    <row r="8" ht="15.75" customHeight="1">
      <c r="A8" s="8"/>
      <c r="B8" s="43" t="s">
        <v>20</v>
      </c>
      <c r="C8" s="43" t="s">
        <v>37</v>
      </c>
      <c r="D8" s="43" t="s">
        <v>38</v>
      </c>
      <c r="E8" s="43" t="s">
        <v>34</v>
      </c>
      <c r="F8" s="43" t="s">
        <v>35</v>
      </c>
      <c r="G8" s="43">
        <v>0.0</v>
      </c>
      <c r="H8" s="43">
        <v>22.0</v>
      </c>
      <c r="I8" s="43">
        <v>0.0</v>
      </c>
      <c r="J8" s="43">
        <v>22.0</v>
      </c>
      <c r="K8" s="8"/>
      <c r="L8" s="8"/>
      <c r="M8" s="8"/>
      <c r="N8" s="43">
        <v>0.0</v>
      </c>
      <c r="O8" s="43">
        <v>0.0</v>
      </c>
      <c r="P8" s="43">
        <v>0.0</v>
      </c>
      <c r="Q8" s="43">
        <v>22.0</v>
      </c>
      <c r="R8" s="43">
        <v>0.0</v>
      </c>
      <c r="S8" s="43">
        <v>0.0</v>
      </c>
      <c r="T8" s="43">
        <v>0.0</v>
      </c>
      <c r="U8" s="43">
        <v>22.0</v>
      </c>
      <c r="V8" s="43" t="s">
        <v>35</v>
      </c>
    </row>
    <row r="9" ht="15.75" customHeight="1">
      <c r="A9" s="8"/>
      <c r="B9" s="44" t="s">
        <v>20</v>
      </c>
      <c r="C9" s="44" t="s">
        <v>39</v>
      </c>
      <c r="D9" s="44" t="s">
        <v>38</v>
      </c>
      <c r="E9" s="44" t="s">
        <v>34</v>
      </c>
      <c r="F9" s="44" t="s">
        <v>35</v>
      </c>
      <c r="G9" s="44">
        <v>314.0</v>
      </c>
      <c r="H9" s="44">
        <v>0.0</v>
      </c>
      <c r="I9" s="44">
        <v>314.0</v>
      </c>
      <c r="J9" s="44">
        <v>0.0</v>
      </c>
      <c r="K9" s="8"/>
      <c r="L9" s="8"/>
      <c r="M9" s="8"/>
      <c r="N9" s="44">
        <v>0.0</v>
      </c>
      <c r="O9" s="44">
        <v>0.0</v>
      </c>
      <c r="P9" s="44">
        <v>314.0</v>
      </c>
      <c r="Q9" s="44">
        <v>0.0</v>
      </c>
      <c r="R9" s="44">
        <v>0.0</v>
      </c>
      <c r="S9" s="44">
        <v>0.0</v>
      </c>
      <c r="T9" s="44">
        <v>314.0</v>
      </c>
      <c r="U9" s="44">
        <v>0.0</v>
      </c>
      <c r="V9" s="44" t="s">
        <v>35</v>
      </c>
    </row>
    <row r="10" ht="15.75" customHeight="1">
      <c r="A10" s="8"/>
      <c r="B10" s="43" t="s">
        <v>20</v>
      </c>
      <c r="C10" s="43" t="s">
        <v>40</v>
      </c>
      <c r="D10" s="43" t="s">
        <v>33</v>
      </c>
      <c r="E10" s="43" t="s">
        <v>34</v>
      </c>
      <c r="F10" s="43" t="s">
        <v>35</v>
      </c>
      <c r="G10" s="43">
        <v>0.0</v>
      </c>
      <c r="H10" s="43">
        <v>314.0</v>
      </c>
      <c r="I10" s="43">
        <v>0.0</v>
      </c>
      <c r="J10" s="43">
        <v>314.0</v>
      </c>
      <c r="K10" s="8"/>
      <c r="L10" s="8"/>
      <c r="M10" s="8"/>
      <c r="N10" s="43">
        <v>0.0</v>
      </c>
      <c r="O10" s="43">
        <v>0.0</v>
      </c>
      <c r="P10" s="43">
        <v>0.0</v>
      </c>
      <c r="Q10" s="43">
        <v>314.0</v>
      </c>
      <c r="R10" s="43">
        <v>0.0</v>
      </c>
      <c r="S10" s="43">
        <v>0.0</v>
      </c>
      <c r="T10" s="43">
        <v>0.0</v>
      </c>
      <c r="U10" s="43">
        <v>314.0</v>
      </c>
      <c r="V10" s="43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V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VerifyAccountBalances1!$4:$4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50"/>
      <c r="F6" s="12" t="s">
        <v>43</v>
      </c>
      <c r="G6" s="12" t="s">
        <v>45</v>
      </c>
      <c r="H6" s="12" t="s">
        <v>16</v>
      </c>
      <c r="I6" s="12">
        <v>50.0</v>
      </c>
      <c r="J6" s="8"/>
      <c r="K6" s="8"/>
      <c r="L6" s="8"/>
      <c r="M6" s="8"/>
      <c r="N6" s="8"/>
      <c r="O6" s="8"/>
      <c r="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