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GroupTrades1" sheetId="9" r:id="rId11"/>
    <sheet state="visible" name="SelectUnallocatedGroup1" sheetId="10" r:id="rId12"/>
    <sheet state="visible" name="EnterAccountValuesToAllocate" sheetId="11" r:id="rId13"/>
    <sheet state="visible" name="GetAccountBalance" sheetId="12" r:id="rId14"/>
    <sheet state="visible" name="VerifyAccountBalances" sheetId="13" r:id="rId15"/>
    <sheet state="visible" name="CheckAllocatedGroups" sheetId="14" r:id="rId16"/>
    <sheet state="visible" name="CheckPortfolioManagement" sheetId="15" r:id="rId17"/>
  </sheets>
  <calcPr fullCalcOnLoad="1" fullPrecision="1"/>
</workbook>
</file>

<file path=xl/sharedStrings.xml><?xml version="1.0" encoding="utf-8"?>
<sst xmlns="http://schemas.openxmlformats.org/spreadsheetml/2006/main" count="433" uniqueCount="433">
  <si>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</si>
  <si>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</si>
  <si>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</si>
  <si>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</si>
  <si>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</si>
  <si>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</si>
  <si>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</si>
  <si>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</si>
  <si>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</si>
  <si>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</si>
  <si>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</si>
  <si>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</si>
  <si>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</si>
  <si>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</si>
  <si>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</si>
  <si>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</si>
  <si>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</si>
  <si>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</si>
  <si>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</si>
  <si>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</si>
  <si>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</si>
  <si>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</si>
  <si>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</si>
  <si>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</si>
  <si>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</si>
  <si>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</si>
  <si>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</si>
  <si>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</si>
  <si>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</si>
  <si>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</si>
  <si>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</si>
  <si>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</si>
  <si>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</si>
  <si>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</si>
  <si>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</si>
  <si>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</si>
  <si>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</si>
  <si>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</si>
  <si>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</si>
  <si>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</si>
  <si>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</si>
  <si>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</si>
  <si>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</si>
  <si>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</si>
  <si>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</si>
  <si>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</si>
  <si>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</si>
  <si>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</si>
  <si>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</si>
  <si>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</si>
  <si>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</si>
  <si>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</si>
  <si>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</si>
  <si>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</si>
  <si>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</si>
  <si>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</si>
  <si>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</si>
  <si>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</si>
  <si>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</si>
  <si>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</si>
  <si>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</si>
  <si>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</si>
  <si>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</si>
  <si>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</si>
  <si>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</si>
  <si>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</si>
  <si>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</si>
  <si>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</si>
  <si>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</si>
  <si>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</si>
  <si>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</si>
  <si>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</si>
  <si>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</si>
  <si>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</si>
  <si>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</si>
  <si>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</si>
  <si>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</si>
  <si>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</si>
  <si>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</si>
  <si>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O:MSFT 16A22.00D15</t>
  </si>
  <si>
    <t>Buy to Close</t>
  </si>
  <si>
    <t>Unallocated</t>
  </si>
  <si>
    <t>Buy to Open</t>
  </si>
  <si>
    <t>Allocation</t>
  </si>
  <si>
    <t>GroupTrades</t>
  </si>
  <si>
    <t>Side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</si>
  <si>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</si>
  <si>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</si>
  <si>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</si>
  <si>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</si>
  <si>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</si>
  <si>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</si>
  <si>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</si>
  <si>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</si>
  <si>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</si>
  <si>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</si>
  <si>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</si>
  <si>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</si>
  <si>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</si>
  <si>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</si>
  <si>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</si>
  <si>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</si>
  <si>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</si>
  <si>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</si>
  <si>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</si>
  <si>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</si>
  <si>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</si>
  <si>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</si>
  <si>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</si>
  <si>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</si>
  <si>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</si>
  <si>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</si>
  <si>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</si>
  <si>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</si>
  <si>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</si>
  <si>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</si>
  <si>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</si>
  <si>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</si>
  <si>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</si>
  <si>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</si>
  <si>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</si>
  <si>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</si>
  <si>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</si>
  <si>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</si>
  <si>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</si>
  <si>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</si>
  <si>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</si>
  <si>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</si>
  <si>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</si>
  <si>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</si>
  <si>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</si>
  <si>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</si>
  <si>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</si>
  <si>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</si>
  <si>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</si>
  <si>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</si>
  <si>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</si>
  <si>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</si>
  <si>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</si>
  <si>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</si>
  <si>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</si>
  <si>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</si>
  <si>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</si>
  <si>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</si>
  <si>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</si>
  <si>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</si>
  <si>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</si>
  <si>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</si>
  <si>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</si>
  <si>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</si>
  <si>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</si>
  <si>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</si>
  <si>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</si>
  <si>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</si>
  <si>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</si>
  <si>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</si>
  <si>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</si>
  <si>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</si>
  <si>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</si>
  <si>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</si>
  <si>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</si>
  <si>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</si>
  <si>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</si>
  <si>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</si>
  <si>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</si>
  <si>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</si>
  <si>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</si>
  <si>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</si>
  <si>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</si>
  <si>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</si>
  <si>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</si>
  <si>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</si>
  <si>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</si>
  <si>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</si>
  <si>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</si>
  <si>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</si>
  <si>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</si>
  <si>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</si>
  <si>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</si>
  <si>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</si>
  <si>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</si>
  <si>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</si>
  <si>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</si>
  <si>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</si>
  <si>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</si>
  <si>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</si>
  <si>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BuytoClose</t>
  </si>
  <si>
    <t>GCCAP1</t>
  </si>
  <si>
    <t>MS</t>
  </si>
  <si>
    <t>NASDAQ</t>
  </si>
  <si>
    <t>M</t>
  </si>
  <si>
    <t>jpearce</t>
  </si>
  <si>
    <t>EquityOption</t>
  </si>
  <si>
    <t>Market</t>
  </si>
  <si>
    <t>US</t>
  </si>
  <si>
    <t>OPTS</t>
  </si>
  <si>
    <t>USD</t>
  </si>
  <si>
    <t>BrokerNotes</t>
  </si>
  <si>
    <t>MSFT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</si>
  <si>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</si>
  <si>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</si>
  <si>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</si>
  <si>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</si>
  <si>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</si>
  <si>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</si>
  <si>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</si>
  <si>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</si>
  <si>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</si>
  <si>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</si>
  <si>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</si>
  <si>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</si>
  <si>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</si>
  <si>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</si>
  <si>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</si>
  <si>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</si>
  <si>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</si>
  <si>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</si>
  <si>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</si>
  <si>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</si>
  <si>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</si>
  <si>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</si>
  <si>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BuytoOpen</t>
  </si>
  <si>
    <t>EnterAccountValuesToAllocate</t>
  </si>
  <si>
    <t>Account Name</t>
  </si>
  <si>
    <t>Account Percentage</t>
  </si>
  <si>
    <t>Account Quantity</t>
  </si>
  <si>
    <t>Allocation1</t>
  </si>
  <si>
    <t>GeneralLedger</t>
  </si>
  <si>
    <t>GetAccountBalance</t>
  </si>
  <si>
    <t>MasterFund</t>
  </si>
  <si>
    <t>Accounts</t>
  </si>
  <si>
    <t>Balances as on date</t>
  </si>
  <si>
    <t>IsRunRevalOnGetAccountBalances</t>
  </si>
  <si>
    <t>VerifyAccountBalances</t>
  </si>
  <si>
    <t>A/c</t>
  </si>
  <si>
    <t>Master A/c</t>
  </si>
  <si>
    <t>A/c Type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</si>
  <si>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</si>
  <si>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</si>
  <si>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</si>
  <si>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</si>
  <si>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</si>
  <si>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</si>
  <si>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</si>
  <si>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</si>
  <si>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</si>
  <si>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</si>
  <si>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</si>
  <si>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</si>
  <si>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</si>
  <si>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(Dr)</t>
  </si>
  <si>
    <t>Day Balance Base (Cr)</t>
  </si>
  <si>
    <t>Base Currency</t>
  </si>
  <si>
    <t>Cash</t>
  </si>
  <si>
    <t>Investment - Long Equity Option</t>
  </si>
  <si>
    <t>Trade Transaction</t>
  </si>
  <si>
    <t>Equity Option UnRealized Profit And Loss</t>
  </si>
  <si>
    <t>Income</t>
  </si>
  <si>
    <t>Equity Option Long Revaluation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</si>
  <si>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</si>
  <si>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</si>
  <si>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</si>
  <si>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</si>
  <si>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</si>
  <si>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</si>
  <si>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</si>
  <si>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</si>
  <si>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</si>
  <si>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</si>
  <si>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</si>
  <si>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</si>
  <si>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</si>
  <si>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C</t>
  </si>
  <si>
    <t>None</t>
  </si>
  <si>
    <t>PortfolioManagement</t>
  </si>
  <si>
    <t>CheckPortfolioManagement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</si>
  <si>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</si>
  <si>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</si>
  <si>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</si>
  <si>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</si>
  <si>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</si>
  <si>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</si>
  <si>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</si>
  <si>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</si>
  <si>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</si>
  <si>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</si>
  <si>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</si>
  <si>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</si>
  <si>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</si>
  <si>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</si>
  <si>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</si>
  <si>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</si>
  <si>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</si>
  <si>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</si>
  <si>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</si>
  <si>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</si>
  <si>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</si>
  <si>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</si>
  <si>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</si>
  <si>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</si>
  <si>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</si>
  <si>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</si>
  <si>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</si>
  <si>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</si>
  <si>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</si>
  <si>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</si>
  <si>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</si>
  <si>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</si>
  <si>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</si>
  <si>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</si>
  <si>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</si>
  <si>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</si>
  <si>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</si>
  <si>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</si>
  <si>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</si>
  <si>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</si>
  <si>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</si>
  <si>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</si>
  <si>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</si>
  <si>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</si>
  <si>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</si>
  <si>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</si>
  <si>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</si>
  <si>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</si>
  <si>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</si>
  <si>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</si>
  <si>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</si>
  <si>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</si>
  <si>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</si>
  <si>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</si>
  <si>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</si>
  <si>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</si>
  <si>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</si>
  <si>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</si>
  <si>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</si>
  <si>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</si>
  <si>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</si>
  <si>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</si>
  <si>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</si>
  <si>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</si>
  <si>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</si>
  <si>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</si>
  <si>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</si>
  <si>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</si>
  <si>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</si>
  <si>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</si>
  <si>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</si>
  <si>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</si>
  <si>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</si>
  <si>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</si>
  <si>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</si>
  <si>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</si>
  <si>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</si>
  <si>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</si>
  <si>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</si>
  <si>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</si>
  <si>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</si>
  <si>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</si>
  <si>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</si>
  <si>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</si>
  <si>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</si>
  <si>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</si>
  <si>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</si>
  <si>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</si>
  <si>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</si>
  <si>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</si>
  <si>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</si>
  <si>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</si>
  <si>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</si>
  <si>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</si>
  <si>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</si>
  <si>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</si>
  <si>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</si>
  <si>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</si>
  <si>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</si>
  <si>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</si>
  <si>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</si>
  <si>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</si>
  <si>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</si>
  <si>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</si>
  <si>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</si>
  <si>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</si>
  <si>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</si>
  <si>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</si>
  <si>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</si>
  <si>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</si>
  <si>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</si>
  <si>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</si>
  <si>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</si>
  <si>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</si>
  <si>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</si>
  <si>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</si>
  <si>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</si>
  <si>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</si>
  <si>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</si>
  <si>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</si>
  <si>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</si>
  <si>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</si>
  <si>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</si>
  <si>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</si>
  <si>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</si>
  <si>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</si>
  <si>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</si>
  <si>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</si>
  <si>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</si>
  <si>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</si>
  <si>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</si>
  <si>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</si>
  <si>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</si>
  <si>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</si>
  <si>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</si>
  <si>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</si>
  <si>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</si>
  <si>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</si>
  <si>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</si>
  <si>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</si>
  <si>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</si>
  <si>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</si>
  <si>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</si>
  <si>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</si>
  <si>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</si>
  <si>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</si>
  <si>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</si>
  <si>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</si>
  <si>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/>
  </si>
  <si>
    <t>NewMF</t>
  </si>
  <si>
    <t>Long</t>
  </si>
  <si>
    <t>FIMAT</t>
  </si>
  <si>
    <t>Equity Call</t>
  </si>
  <si>
    <t>Equity General</t>
  </si>
  <si>
    <t>Information Technology</t>
  </si>
  <si>
    <t>Copper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</si>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</sst>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  <font>
      <color rgb="FF000000"/>
      <name val="Arial"/>
    </font>
    <font>
      <sz val="11"/>
      <color rgb="FF000000"/>
      <name val="Calibri"/>
    </font>
    <font>
      <sz val="9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applyFont="1" fillId="0" borderId="0" applyAlignment="1"/>
  </cellStyleXfs>
  <cellXfs count="4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14" applyNumberFormat="1" fontId="14" applyFont="1" fillId="5" applyFill="1" borderId="0" xfId="0" applyAlignment="1">
      <alignment horizontal="right"/>
    </xf>
    <xf numFmtId="0" fontId="15" applyFont="1" fillId="5" applyFill="1" borderId="0" xfId="0" applyAlignment="1">
      <alignment horizontal="left"/>
    </xf>
    <xf numFmtId="0" fontId="3" applyFont="1" fillId="0" borderId="0" xfId="0" applyAlignment="1"/>
    <xf numFmtId="0" fontId="5" applyFont="1" fillId="0" borderId="0" xfId="0" applyAlignment="1"/>
    <xf numFmtId="4" applyNumberFormat="1" fontId="16" applyFont="1" fillId="0" borderId="0" xfId="0" applyAlignment="1">
      <alignment horizontal="right"/>
    </xf>
    <xf numFmtId="0" fontId="16" applyFont="1" fillId="0" borderId="0" xfId="0" applyAlignment="1"/>
    <xf numFmtId="0" fontId="16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5" applyBorder="1" xfId="0" applyAlignment="1"/>
    <xf numFmtId="164" applyNumberFormat="1" fontId="5" applyFont="1" fillId="0" borderId="6" applyBorder="1" xfId="0" applyAlignment="1">
      <alignment horizontal="right"/>
    </xf>
    <xf numFmtId="0" fontId="5" applyFont="1" fillId="0" borderId="6" applyBorder="1" xfId="0" applyAlignment="1">
      <alignment horizontal="center"/>
    </xf>
    <xf numFmtId="0" fontId="17" applyFont="1" fillId="6" applyFill="1" borderId="7" applyBorder="1" xfId="0" applyAlignment="1">
      <alignment horizontal="right"/>
    </xf>
    <xf numFmtId="0" fontId="17" applyFont="1" fillId="7" applyFill="1" borderId="7" applyBorder="1" xfId="0" applyAlignment="1">
      <alignment horizontal="right"/>
    </xf>
    <xf numFmtId="0" fontId="17" applyFont="1" fillId="7" applyFill="1" borderId="8" applyBorder="1" xfId="0" applyAlignment="1">
      <alignment horizontal="right"/>
    </xf>
    <xf numFmtId="0" fontId="16" applyFont="1" fillId="0" borderId="0" xfId="0" applyAlignment="1"/>
    <xf numFmtId="0" fontId="5" applyFont="1" fillId="0" borderId="0" xfId="0" applyAlignment="1"/>
    <xf numFmtId="164" applyNumberFormat="1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27" t="s">
        <v>79</v>
      </c>
      <c r="C6" s="27" t="s">
        <v>80</v>
      </c>
      <c r="D6" s="28">
        <v>1</v>
      </c>
      <c r="E6" s="29"/>
      <c r="F6" s="27" t="s">
        <v>81</v>
      </c>
      <c r="G6" s="29"/>
      <c r="H6" s="29"/>
      <c r="I6" s="29"/>
      <c r="J6" s="28">
        <v>5</v>
      </c>
      <c r="K6" s="29"/>
      <c r="L6" s="29"/>
      <c r="M6" s="29"/>
      <c r="N6" s="30">
        <f ref="N6:N8" t="shared" si="1">TODAY()</f>
        <v>45855</v>
      </c>
      <c r="O6" s="8"/>
    </row>
    <row r="7" ht="15.75" customHeight="1">
      <c r="A7" s="8"/>
      <c r="B7" s="27" t="s">
        <v>79</v>
      </c>
      <c r="C7" s="31" t="s">
        <v>80</v>
      </c>
      <c r="D7" s="28">
        <v>2</v>
      </c>
      <c r="E7" s="29"/>
      <c r="F7" s="27" t="s">
        <v>81</v>
      </c>
      <c r="G7" s="29"/>
      <c r="H7" s="29"/>
      <c r="I7" s="29"/>
      <c r="J7" s="28">
        <v>5</v>
      </c>
      <c r="K7" s="29"/>
      <c r="L7" s="29"/>
      <c r="M7" s="29"/>
      <c r="N7" s="30">
        <f t="shared" si="1"/>
        <v>45855</v>
      </c>
      <c r="O7" s="8"/>
    </row>
    <row r="8" ht="15.75" customHeight="1">
      <c r="A8" s="8"/>
      <c r="B8" s="27" t="s">
        <v>79</v>
      </c>
      <c r="C8" s="31" t="s">
        <v>82</v>
      </c>
      <c r="D8" s="28">
        <v>100</v>
      </c>
      <c r="E8" s="29"/>
      <c r="F8" s="27" t="s">
        <v>81</v>
      </c>
      <c r="G8" s="29"/>
      <c r="H8" s="29"/>
      <c r="I8" s="29"/>
      <c r="J8" s="28">
        <v>5</v>
      </c>
      <c r="K8" s="8"/>
      <c r="L8" s="8"/>
      <c r="M8" s="8"/>
      <c r="N8" s="30">
        <f t="shared" si="1"/>
        <v>45855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4D9112A-448E-473A-80CB-FEC83A036B8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2B87090-8B86-4CF5-BF78-9F1B2F00B8CC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C824F0ED-C3E5-4B97-A638-BBDD3148D116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27" t="s">
        <v>79</v>
      </c>
      <c r="C6" s="32" t="s">
        <v>80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A434634-1907-4299-91D5-76F122C97E1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AEF85EE-30E3-4B62-BF1A-3DDBAB667F0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A36B37D-D5C9-4CB4-BF07-B9E3465A6F99}">
          <x14:formula1>
            <xm:f>GroupTrades!$4:$4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87</v>
      </c>
      <c r="C5" s="0" t="s">
        <v>88</v>
      </c>
      <c r="D5" s="0" t="s">
        <v>89</v>
      </c>
      <c r="E5" s="0" t="s">
        <v>90</v>
      </c>
      <c r="F5" s="0" t="s">
        <v>16</v>
      </c>
      <c r="G5" s="0" t="s">
        <v>91</v>
      </c>
      <c r="H5" s="0" t="s">
        <v>85</v>
      </c>
      <c r="I5" s="0" t="s">
        <v>51</v>
      </c>
      <c r="J5" s="0" t="s">
        <v>21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42</v>
      </c>
      <c r="P5" s="0" t="s">
        <v>96</v>
      </c>
      <c r="Q5" s="0" t="s">
        <v>97</v>
      </c>
      <c r="R5" s="0" t="s">
        <v>98</v>
      </c>
    </row>
    <row r="6" ht="15.75" customHeight="1">
      <c r="A6" s="13"/>
      <c r="B6" s="13" t="s">
        <v>99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9F26339-7133-48E0-AC68-2365335B320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D5FD3DF-C5C4-40E6-90AE-6CF1F8F9E625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A2D7D60E-F1C0-48E0-984D-D86C6C5D2B44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101</v>
      </c>
      <c r="F5" s="0" t="s">
        <v>28</v>
      </c>
      <c r="G5" s="0" t="s">
        <v>102</v>
      </c>
      <c r="H5" s="0" t="s">
        <v>103</v>
      </c>
      <c r="I5" s="0" t="s">
        <v>104</v>
      </c>
      <c r="J5" s="0" t="s">
        <v>105</v>
      </c>
      <c r="K5" s="0" t="s">
        <v>106</v>
      </c>
      <c r="L5" s="0" t="s">
        <v>107</v>
      </c>
      <c r="M5" s="0" t="s">
        <v>108</v>
      </c>
      <c r="N5" s="0" t="s">
        <v>109</v>
      </c>
      <c r="O5" s="0" t="s">
        <v>110</v>
      </c>
      <c r="P5" s="0" t="s">
        <v>21</v>
      </c>
      <c r="Q5" s="0" t="s">
        <v>111</v>
      </c>
      <c r="R5" s="0" t="s">
        <v>42</v>
      </c>
      <c r="S5" s="0" t="s">
        <v>112</v>
      </c>
      <c r="T5" s="0" t="s">
        <v>113</v>
      </c>
      <c r="U5" s="0" t="s">
        <v>114</v>
      </c>
      <c r="V5" s="0" t="s">
        <v>115</v>
      </c>
      <c r="W5" s="0" t="s">
        <v>116</v>
      </c>
      <c r="X5" s="0" t="s">
        <v>117</v>
      </c>
      <c r="Y5" s="0" t="s">
        <v>118</v>
      </c>
      <c r="Z5" s="0" t="s">
        <v>119</v>
      </c>
      <c r="AA5" s="0" t="s">
        <v>120</v>
      </c>
      <c r="AB5" s="0" t="s">
        <v>121</v>
      </c>
      <c r="AC5" s="0" t="s">
        <v>122</v>
      </c>
      <c r="AD5" s="0" t="s">
        <v>123</v>
      </c>
      <c r="AE5" s="0" t="s">
        <v>124</v>
      </c>
      <c r="AF5" s="0" t="s">
        <v>125</v>
      </c>
      <c r="AG5" s="0" t="s">
        <v>126</v>
      </c>
      <c r="AH5" s="0" t="s">
        <v>127</v>
      </c>
      <c r="AI5" s="0" t="s">
        <v>128</v>
      </c>
      <c r="AJ5" s="0" t="s">
        <v>129</v>
      </c>
      <c r="AK5" s="0" t="s">
        <v>130</v>
      </c>
      <c r="AL5" s="0" t="s">
        <v>131</v>
      </c>
      <c r="AM5" s="0" t="s">
        <v>132</v>
      </c>
      <c r="AN5" s="0" t="s">
        <v>133</v>
      </c>
      <c r="AO5" s="0" t="s">
        <v>134</v>
      </c>
      <c r="AP5" s="0" t="s">
        <v>135</v>
      </c>
      <c r="AQ5" s="0" t="s">
        <v>136</v>
      </c>
      <c r="AR5" s="0" t="s">
        <v>137</v>
      </c>
      <c r="AS5" s="0" t="s">
        <v>138</v>
      </c>
      <c r="AT5" s="0" t="s">
        <v>139</v>
      </c>
      <c r="AU5" s="0" t="s">
        <v>140</v>
      </c>
      <c r="AV5" s="0" t="s">
        <v>141</v>
      </c>
      <c r="AW5" s="0" t="s">
        <v>142</v>
      </c>
      <c r="AX5" s="0" t="s">
        <v>143</v>
      </c>
      <c r="AY5" s="0" t="s">
        <v>144</v>
      </c>
      <c r="AZ5" s="0" t="s">
        <v>145</v>
      </c>
      <c r="BA5" s="0" t="s">
        <v>146</v>
      </c>
      <c r="BB5" s="0" t="s">
        <v>147</v>
      </c>
      <c r="BC5" s="0" t="s">
        <v>148</v>
      </c>
      <c r="BD5" s="0" t="s">
        <v>149</v>
      </c>
      <c r="BE5" s="0" t="s">
        <v>150</v>
      </c>
      <c r="BF5" s="0" t="s">
        <v>151</v>
      </c>
      <c r="BG5" s="0" t="s">
        <v>152</v>
      </c>
      <c r="BH5" s="0" t="s">
        <v>153</v>
      </c>
      <c r="BI5" s="0" t="s">
        <v>154</v>
      </c>
      <c r="BJ5" s="0" t="s">
        <v>155</v>
      </c>
      <c r="BK5" s="0" t="s">
        <v>23</v>
      </c>
      <c r="BL5" s="0" t="s">
        <v>95</v>
      </c>
      <c r="BM5" s="0" t="s">
        <v>93</v>
      </c>
      <c r="BN5" s="0" t="s">
        <v>92</v>
      </c>
      <c r="BO5" s="0" t="s">
        <v>156</v>
      </c>
      <c r="BP5" s="0" t="s">
        <v>157</v>
      </c>
      <c r="BQ5" s="0" t="s">
        <v>158</v>
      </c>
      <c r="BR5" s="0" t="s">
        <v>159</v>
      </c>
      <c r="BS5" s="0" t="s">
        <v>160</v>
      </c>
      <c r="BT5" s="0" t="s">
        <v>161</v>
      </c>
      <c r="BU5" s="0" t="s">
        <v>162</v>
      </c>
      <c r="BV5" s="0" t="s">
        <v>163</v>
      </c>
      <c r="BW5" s="0" t="s">
        <v>164</v>
      </c>
      <c r="BX5" s="0" t="s">
        <v>165</v>
      </c>
      <c r="BY5" s="0" t="s">
        <v>166</v>
      </c>
      <c r="BZ5" s="0" t="s">
        <v>167</v>
      </c>
      <c r="CA5" s="0" t="s">
        <v>168</v>
      </c>
      <c r="CB5" s="0" t="s">
        <v>169</v>
      </c>
      <c r="CC5" s="0" t="s">
        <v>170</v>
      </c>
      <c r="CD5" s="0" t="s">
        <v>171</v>
      </c>
      <c r="CE5" s="0" t="s">
        <v>172</v>
      </c>
      <c r="CF5" s="0" t="s">
        <v>173</v>
      </c>
      <c r="CG5" s="0" t="s">
        <v>174</v>
      </c>
      <c r="CH5" s="0" t="s">
        <v>175</v>
      </c>
      <c r="CI5" s="0" t="s">
        <v>176</v>
      </c>
      <c r="CJ5" s="0" t="s">
        <v>177</v>
      </c>
      <c r="CK5" s="0" t="s">
        <v>178</v>
      </c>
      <c r="CL5" s="0" t="s">
        <v>179</v>
      </c>
      <c r="CM5" s="0" t="s">
        <v>180</v>
      </c>
      <c r="CN5" s="0" t="s">
        <v>181</v>
      </c>
      <c r="CO5" s="0" t="s">
        <v>182</v>
      </c>
      <c r="CP5" s="0" t="s">
        <v>183</v>
      </c>
      <c r="CQ5" s="0" t="s">
        <v>184</v>
      </c>
      <c r="CR5" s="0" t="s">
        <v>185</v>
      </c>
    </row>
    <row r="6" ht="15.75" customHeight="1">
      <c r="A6" s="13"/>
      <c r="B6" s="27" t="s">
        <v>79</v>
      </c>
      <c r="C6" s="13" t="s">
        <v>80</v>
      </c>
      <c r="D6" s="13">
        <v>3</v>
      </c>
      <c r="E6" s="13">
        <v>3</v>
      </c>
      <c r="F6" s="8"/>
      <c r="G6" s="34">
        <v>1500</v>
      </c>
      <c r="H6" s="34">
        <v>1500</v>
      </c>
      <c r="I6" s="34">
        <v>1500</v>
      </c>
      <c r="J6" s="35" t="s">
        <v>186</v>
      </c>
      <c r="K6" s="34">
        <v>1500</v>
      </c>
      <c r="L6" s="8"/>
      <c r="M6" s="35" t="s">
        <v>187</v>
      </c>
      <c r="N6" s="13"/>
      <c r="O6" s="13"/>
      <c r="P6" s="9" t="s">
        <v>188</v>
      </c>
      <c r="Q6" s="9">
        <v>1</v>
      </c>
      <c r="R6" s="35" t="s">
        <v>189</v>
      </c>
      <c r="S6" s="9" t="s">
        <v>190</v>
      </c>
      <c r="T6" s="9" t="s">
        <v>191</v>
      </c>
      <c r="U6" s="35" t="s">
        <v>192</v>
      </c>
      <c r="AL6" s="35"/>
      <c r="BK6" s="9" t="s">
        <v>193</v>
      </c>
      <c r="BL6" s="9" t="s">
        <v>194</v>
      </c>
      <c r="BM6" s="35" t="s">
        <v>195</v>
      </c>
      <c r="BN6" s="9" t="s">
        <v>196</v>
      </c>
      <c r="BO6" s="36"/>
      <c r="BR6" s="35"/>
      <c r="BY6" s="35" t="s">
        <v>197</v>
      </c>
      <c r="BZ6" s="35" t="s">
        <v>198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7DB6A62-D2DF-46AA-A0B8-6114D3ECA1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34DDE32-0BD3-4344-AB74-B47C790C1BB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E8FCAC0-0446-4562-BA20-7503B07D35D5}">
          <x14:formula1>
            <xm:f>SelectUnallocatedGroup!$4:$4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200</v>
      </c>
      <c r="C5" s="0" t="s">
        <v>201</v>
      </c>
      <c r="D5" s="0" t="s">
        <v>85</v>
      </c>
      <c r="E5" s="0" t="s">
        <v>202</v>
      </c>
      <c r="F5" s="0" t="s">
        <v>203</v>
      </c>
      <c r="G5" s="0" t="s">
        <v>204</v>
      </c>
      <c r="H5" s="0" t="s">
        <v>205</v>
      </c>
      <c r="I5" s="0" t="s">
        <v>135</v>
      </c>
      <c r="J5" s="0" t="s">
        <v>206</v>
      </c>
      <c r="K5" s="0" t="s">
        <v>207</v>
      </c>
      <c r="L5" s="0" t="s">
        <v>208</v>
      </c>
      <c r="M5" s="0" t="s">
        <v>209</v>
      </c>
      <c r="N5" s="0" t="s">
        <v>210</v>
      </c>
      <c r="O5" s="0" t="s">
        <v>211</v>
      </c>
      <c r="P5" s="0" t="s">
        <v>212</v>
      </c>
      <c r="Q5" s="0" t="s">
        <v>213</v>
      </c>
      <c r="R5" s="0" t="s">
        <v>214</v>
      </c>
      <c r="S5" s="0" t="s">
        <v>215</v>
      </c>
      <c r="T5" s="0" t="s">
        <v>216</v>
      </c>
      <c r="U5" s="0" t="s">
        <v>21</v>
      </c>
      <c r="V5" s="0" t="s">
        <v>42</v>
      </c>
      <c r="W5" s="0" t="s">
        <v>166</v>
      </c>
      <c r="X5" s="0" t="s">
        <v>217</v>
      </c>
      <c r="Y5" s="0" t="s">
        <v>218</v>
      </c>
      <c r="Z5" s="0" t="s">
        <v>219</v>
      </c>
      <c r="AA5" s="0" t="s">
        <v>220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AA1A66-F252-4E1A-91AF-9B95EDFEFE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31FC19C-5C81-4785-9052-8820F0B621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8A3A01E-BE5D-410D-82EB-A97A970BCF18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27" t="s">
        <v>79</v>
      </c>
      <c r="C6" s="13" t="s">
        <v>82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FBFC3E-F9F7-4745-8BB2-D389B8EB86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055AAF7-87E7-437C-A6D1-A8B96848C35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9E18DA9-B732-4D35-AB85-548D4F4B4A62}">
          <x14:formula1>
            <xm:f>GroupTrades1!$4:$4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101</v>
      </c>
      <c r="F5" s="0" t="s">
        <v>28</v>
      </c>
      <c r="G5" s="0" t="s">
        <v>102</v>
      </c>
      <c r="H5" s="0" t="s">
        <v>103</v>
      </c>
      <c r="I5" s="0" t="s">
        <v>104</v>
      </c>
      <c r="J5" s="0" t="s">
        <v>105</v>
      </c>
      <c r="K5" s="0" t="s">
        <v>106</v>
      </c>
      <c r="L5" s="0" t="s">
        <v>107</v>
      </c>
      <c r="M5" s="0" t="s">
        <v>108</v>
      </c>
      <c r="N5" s="0" t="s">
        <v>109</v>
      </c>
      <c r="O5" s="0" t="s">
        <v>110</v>
      </c>
      <c r="P5" s="0" t="s">
        <v>21</v>
      </c>
      <c r="Q5" s="0" t="s">
        <v>111</v>
      </c>
      <c r="R5" s="0" t="s">
        <v>42</v>
      </c>
      <c r="S5" s="0" t="s">
        <v>112</v>
      </c>
      <c r="T5" s="0" t="s">
        <v>113</v>
      </c>
      <c r="U5" s="0" t="s">
        <v>114</v>
      </c>
      <c r="V5" s="0" t="s">
        <v>115</v>
      </c>
      <c r="W5" s="0" t="s">
        <v>116</v>
      </c>
      <c r="X5" s="0" t="s">
        <v>117</v>
      </c>
      <c r="Y5" s="0" t="s">
        <v>118</v>
      </c>
      <c r="Z5" s="0" t="s">
        <v>119</v>
      </c>
      <c r="AA5" s="0" t="s">
        <v>120</v>
      </c>
      <c r="AB5" s="0" t="s">
        <v>121</v>
      </c>
      <c r="AC5" s="0" t="s">
        <v>122</v>
      </c>
      <c r="AD5" s="0" t="s">
        <v>123</v>
      </c>
      <c r="AE5" s="0" t="s">
        <v>124</v>
      </c>
      <c r="AF5" s="0" t="s">
        <v>125</v>
      </c>
      <c r="AG5" s="0" t="s">
        <v>126</v>
      </c>
      <c r="AH5" s="0" t="s">
        <v>127</v>
      </c>
      <c r="AI5" s="0" t="s">
        <v>128</v>
      </c>
      <c r="AJ5" s="0" t="s">
        <v>129</v>
      </c>
      <c r="AK5" s="0" t="s">
        <v>130</v>
      </c>
      <c r="AL5" s="0" t="s">
        <v>131</v>
      </c>
      <c r="AM5" s="0" t="s">
        <v>132</v>
      </c>
      <c r="AN5" s="0" t="s">
        <v>133</v>
      </c>
      <c r="AO5" s="0" t="s">
        <v>134</v>
      </c>
      <c r="AP5" s="0" t="s">
        <v>135</v>
      </c>
      <c r="AQ5" s="0" t="s">
        <v>136</v>
      </c>
      <c r="AR5" s="0" t="s">
        <v>137</v>
      </c>
      <c r="AS5" s="0" t="s">
        <v>138</v>
      </c>
      <c r="AT5" s="0" t="s">
        <v>139</v>
      </c>
      <c r="AU5" s="0" t="s">
        <v>140</v>
      </c>
      <c r="AV5" s="0" t="s">
        <v>141</v>
      </c>
      <c r="AW5" s="0" t="s">
        <v>142</v>
      </c>
      <c r="AX5" s="0" t="s">
        <v>143</v>
      </c>
      <c r="AY5" s="0" t="s">
        <v>144</v>
      </c>
      <c r="AZ5" s="0" t="s">
        <v>145</v>
      </c>
      <c r="BA5" s="0" t="s">
        <v>146</v>
      </c>
      <c r="BB5" s="0" t="s">
        <v>147</v>
      </c>
      <c r="BC5" s="0" t="s">
        <v>148</v>
      </c>
      <c r="BD5" s="0" t="s">
        <v>149</v>
      </c>
      <c r="BE5" s="0" t="s">
        <v>150</v>
      </c>
      <c r="BF5" s="0" t="s">
        <v>151</v>
      </c>
      <c r="BG5" s="0" t="s">
        <v>152</v>
      </c>
      <c r="BH5" s="0" t="s">
        <v>153</v>
      </c>
      <c r="BI5" s="0" t="s">
        <v>154</v>
      </c>
      <c r="BJ5" s="0" t="s">
        <v>155</v>
      </c>
      <c r="BK5" s="0" t="s">
        <v>23</v>
      </c>
      <c r="BL5" s="0" t="s">
        <v>95</v>
      </c>
      <c r="BM5" s="0" t="s">
        <v>93</v>
      </c>
      <c r="BN5" s="0" t="s">
        <v>92</v>
      </c>
      <c r="BO5" s="0" t="s">
        <v>156</v>
      </c>
      <c r="BP5" s="0" t="s">
        <v>157</v>
      </c>
      <c r="BQ5" s="0" t="s">
        <v>158</v>
      </c>
      <c r="BR5" s="0" t="s">
        <v>159</v>
      </c>
      <c r="BS5" s="0" t="s">
        <v>160</v>
      </c>
      <c r="BT5" s="0" t="s">
        <v>161</v>
      </c>
      <c r="BU5" s="0" t="s">
        <v>162</v>
      </c>
      <c r="BV5" s="0" t="s">
        <v>163</v>
      </c>
      <c r="BW5" s="0" t="s">
        <v>164</v>
      </c>
      <c r="BX5" s="0" t="s">
        <v>165</v>
      </c>
      <c r="BY5" s="0" t="s">
        <v>166</v>
      </c>
      <c r="BZ5" s="0" t="s">
        <v>167</v>
      </c>
      <c r="CA5" s="0" t="s">
        <v>168</v>
      </c>
      <c r="CB5" s="0" t="s">
        <v>169</v>
      </c>
      <c r="CC5" s="0" t="s">
        <v>170</v>
      </c>
      <c r="CD5" s="0" t="s">
        <v>171</v>
      </c>
      <c r="CE5" s="0" t="s">
        <v>172</v>
      </c>
      <c r="CF5" s="0" t="s">
        <v>173</v>
      </c>
      <c r="CG5" s="0" t="s">
        <v>174</v>
      </c>
      <c r="CH5" s="0" t="s">
        <v>175</v>
      </c>
      <c r="CI5" s="0" t="s">
        <v>176</v>
      </c>
      <c r="CJ5" s="0" t="s">
        <v>177</v>
      </c>
      <c r="CK5" s="0" t="s">
        <v>178</v>
      </c>
      <c r="CL5" s="0" t="s">
        <v>179</v>
      </c>
      <c r="CM5" s="0" t="s">
        <v>180</v>
      </c>
      <c r="CN5" s="0" t="s">
        <v>181</v>
      </c>
      <c r="CO5" s="0" t="s">
        <v>182</v>
      </c>
      <c r="CP5" s="0" t="s">
        <v>183</v>
      </c>
      <c r="CQ5" s="0" t="s">
        <v>184</v>
      </c>
      <c r="CR5" s="0" t="s">
        <v>185</v>
      </c>
    </row>
    <row r="6" ht="15.75" customHeight="1">
      <c r="A6" s="13"/>
      <c r="B6" s="27" t="s">
        <v>79</v>
      </c>
      <c r="C6" s="32" t="s">
        <v>82</v>
      </c>
      <c r="D6" s="13">
        <v>103</v>
      </c>
      <c r="E6" s="13"/>
      <c r="F6" s="8"/>
      <c r="G6" s="34">
        <v>51500</v>
      </c>
      <c r="H6" s="34">
        <v>51500</v>
      </c>
      <c r="I6" s="34">
        <v>51500</v>
      </c>
      <c r="J6" s="35" t="s">
        <v>221</v>
      </c>
      <c r="K6" s="34">
        <v>51500</v>
      </c>
      <c r="L6" s="8"/>
      <c r="M6" s="35" t="s">
        <v>187</v>
      </c>
      <c r="N6" s="13"/>
      <c r="O6" s="13"/>
      <c r="P6" s="9" t="s">
        <v>188</v>
      </c>
      <c r="Q6" s="9">
        <v>1</v>
      </c>
      <c r="R6" s="35" t="s">
        <v>189</v>
      </c>
      <c r="S6" s="35" t="s">
        <v>190</v>
      </c>
      <c r="T6" s="9" t="s">
        <v>191</v>
      </c>
      <c r="U6" s="35" t="s">
        <v>192</v>
      </c>
      <c r="BK6" s="9" t="s">
        <v>193</v>
      </c>
      <c r="BL6" s="9" t="s">
        <v>194</v>
      </c>
      <c r="BM6" s="35"/>
      <c r="BR6" s="35"/>
      <c r="BY6" s="35" t="s">
        <v>197</v>
      </c>
      <c r="BZ6" s="9" t="s">
        <v>198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EF5880-4BF5-422E-8777-39625D02B24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48160FA-01DA-4BE1-8D73-9015DF078163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75AC9A39-E953-4128-B373-0A44A457D7B1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223</v>
      </c>
      <c r="C5" s="0" t="s">
        <v>224</v>
      </c>
      <c r="D5" s="0" t="s">
        <v>225</v>
      </c>
    </row>
    <row r="6" ht="15.75" customHeight="1">
      <c r="A6" s="13"/>
      <c r="B6" s="37" t="s">
        <v>226</v>
      </c>
      <c r="C6" s="13">
        <v>100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3E28BF-2E55-4657-BC9F-89544978E1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21ABFDD-623D-4D7D-A358-4C5E6533F5DA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7CB21133-DAAD-43CD-B08B-EF5DDCE0AA26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227</v>
      </c>
      <c r="D3" s="5" t="s">
        <v>9</v>
      </c>
      <c r="E3" s="23" t="s">
        <v>228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229</v>
      </c>
      <c r="C5" s="0" t="s">
        <v>230</v>
      </c>
      <c r="D5" s="0" t="s">
        <v>231</v>
      </c>
      <c r="E5" s="0" t="s">
        <v>232</v>
      </c>
    </row>
    <row r="6" ht="15.75" customHeight="1">
      <c r="A6" s="13"/>
      <c r="B6" s="13"/>
      <c r="C6" s="38" t="s">
        <v>226</v>
      </c>
      <c r="D6" s="39">
        <f>TODAY()</f>
        <v>45855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31D9FAC-0F25-4FF5-BC11-658B3FC61D8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E71A5EE-9613-45FA-9EE9-2C225B6EADED}">
          <x14:formula1>
            <xm:f>GetAccountBalance!$4:$4</xm:f>
          </x14:formula1>
          <xm:sqref>E3</xm:sqref>
        </x14:dataValidation>
        <x14:dataValidation type="list" allowBlank="1" showInputMessage="1" showErrorMessage="1" prompt="Choose an available module" xr:uid="{1DE59192-2F9E-467B-8841-AF07575482C6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227</v>
      </c>
      <c r="D3" s="5" t="s">
        <v>9</v>
      </c>
      <c r="E3" s="23" t="s">
        <v>233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234</v>
      </c>
      <c r="D5" s="0" t="s">
        <v>235</v>
      </c>
      <c r="E5" s="0" t="s">
        <v>236</v>
      </c>
      <c r="F5" s="0" t="s">
        <v>92</v>
      </c>
      <c r="G5" s="0" t="s">
        <v>237</v>
      </c>
      <c r="H5" s="0" t="s">
        <v>238</v>
      </c>
      <c r="I5" s="0" t="s">
        <v>239</v>
      </c>
      <c r="J5" s="0" t="s">
        <v>240</v>
      </c>
      <c r="K5" s="0" t="s">
        <v>241</v>
      </c>
      <c r="L5" s="0" t="s">
        <v>242</v>
      </c>
      <c r="M5" s="0" t="s">
        <v>243</v>
      </c>
      <c r="N5" s="0" t="s">
        <v>244</v>
      </c>
      <c r="O5" s="0" t="s">
        <v>245</v>
      </c>
      <c r="P5" s="0" t="s">
        <v>246</v>
      </c>
      <c r="Q5" s="0" t="s">
        <v>247</v>
      </c>
      <c r="R5" s="0" t="s">
        <v>248</v>
      </c>
      <c r="S5" s="0" t="s">
        <v>249</v>
      </c>
      <c r="T5" s="0" t="s">
        <v>250</v>
      </c>
      <c r="U5" s="0" t="s">
        <v>251</v>
      </c>
      <c r="V5" s="0" t="s">
        <v>252</v>
      </c>
    </row>
    <row r="6" ht="15.75" customHeight="1">
      <c r="A6" s="13"/>
      <c r="B6" s="41" t="s">
        <v>226</v>
      </c>
      <c r="C6" s="41" t="s">
        <v>253</v>
      </c>
      <c r="D6" s="41" t="s">
        <v>253</v>
      </c>
      <c r="E6" s="41" t="s">
        <v>253</v>
      </c>
      <c r="F6" s="41" t="s">
        <v>196</v>
      </c>
      <c r="G6" s="41">
        <v>0</v>
      </c>
      <c r="H6" s="41">
        <v>51500</v>
      </c>
      <c r="I6" s="41">
        <v>0</v>
      </c>
      <c r="J6" s="41">
        <v>51500</v>
      </c>
      <c r="K6" s="8"/>
      <c r="L6" s="8"/>
      <c r="M6" s="8"/>
      <c r="N6" s="8"/>
      <c r="O6" s="8"/>
    </row>
    <row r="7" ht="15.75" customHeight="1">
      <c r="A7" s="8"/>
      <c r="B7" s="42" t="s">
        <v>226</v>
      </c>
      <c r="C7" s="42" t="s">
        <v>254</v>
      </c>
      <c r="D7" s="42" t="s">
        <v>91</v>
      </c>
      <c r="E7" s="42" t="s">
        <v>255</v>
      </c>
      <c r="F7" s="42" t="s">
        <v>196</v>
      </c>
      <c r="G7" s="42">
        <v>51500</v>
      </c>
      <c r="H7" s="42">
        <v>0</v>
      </c>
      <c r="I7" s="42">
        <v>51500</v>
      </c>
      <c r="J7" s="42">
        <v>0</v>
      </c>
      <c r="K7" s="8"/>
      <c r="L7" s="8"/>
      <c r="M7" s="8"/>
      <c r="N7" s="8"/>
      <c r="O7" s="8"/>
    </row>
    <row r="8" ht="15.75" customHeight="1">
      <c r="A8" s="8"/>
      <c r="B8" s="41" t="s">
        <v>226</v>
      </c>
      <c r="C8" s="41" t="s">
        <v>256</v>
      </c>
      <c r="D8" s="41" t="s">
        <v>257</v>
      </c>
      <c r="E8" s="41" t="s">
        <v>255</v>
      </c>
      <c r="F8" s="41" t="s">
        <v>196</v>
      </c>
      <c r="G8" s="41">
        <v>51500</v>
      </c>
      <c r="H8" s="41">
        <v>0</v>
      </c>
      <c r="I8" s="41">
        <v>51500</v>
      </c>
      <c r="J8" s="41">
        <v>0</v>
      </c>
      <c r="K8" s="8"/>
      <c r="L8" s="8"/>
      <c r="M8" s="8"/>
      <c r="N8" s="8"/>
      <c r="O8" s="8"/>
    </row>
    <row r="9" ht="15.75" customHeight="1">
      <c r="A9" s="8"/>
      <c r="B9" s="43" t="s">
        <v>226</v>
      </c>
      <c r="C9" s="43" t="s">
        <v>258</v>
      </c>
      <c r="D9" s="43" t="s">
        <v>91</v>
      </c>
      <c r="E9" s="43" t="s">
        <v>255</v>
      </c>
      <c r="F9" s="43" t="s">
        <v>196</v>
      </c>
      <c r="G9" s="43">
        <v>0</v>
      </c>
      <c r="H9" s="43">
        <v>51500</v>
      </c>
      <c r="I9" s="43">
        <v>0</v>
      </c>
      <c r="J9" s="43">
        <v>51500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B8E7B65-B49D-4C1A-A6DA-2613E7E865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4D494D6-E1E4-450D-BBDA-656A7608761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9258D8D-2AC2-4933-A2CB-37BC42549783}">
          <x14:formula1>
            <xm:f>VerifyAccountBalances!$4:$4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223</v>
      </c>
      <c r="C5" s="0" t="s">
        <v>169</v>
      </c>
      <c r="D5" s="0" t="s">
        <v>168</v>
      </c>
      <c r="E5" s="0" t="s">
        <v>134</v>
      </c>
      <c r="F5" s="0" t="s">
        <v>154</v>
      </c>
      <c r="G5" s="0" t="s">
        <v>114</v>
      </c>
      <c r="H5" s="0" t="s">
        <v>142</v>
      </c>
      <c r="I5" s="0" t="s">
        <v>144</v>
      </c>
      <c r="J5" s="0" t="s">
        <v>156</v>
      </c>
      <c r="K5" s="0" t="s">
        <v>110</v>
      </c>
      <c r="L5" s="0" t="s">
        <v>109</v>
      </c>
      <c r="M5" s="0" t="s">
        <v>173</v>
      </c>
      <c r="N5" s="0" t="s">
        <v>170</v>
      </c>
      <c r="O5" s="0" t="s">
        <v>21</v>
      </c>
      <c r="P5" s="0" t="s">
        <v>155</v>
      </c>
      <c r="Q5" s="0" t="s">
        <v>119</v>
      </c>
      <c r="R5" s="0" t="s">
        <v>138</v>
      </c>
      <c r="S5" s="0" t="s">
        <v>151</v>
      </c>
      <c r="T5" s="0" t="s">
        <v>135</v>
      </c>
      <c r="U5" s="0" t="s">
        <v>116</v>
      </c>
      <c r="V5" s="0" t="s">
        <v>159</v>
      </c>
      <c r="W5" s="0" t="s">
        <v>158</v>
      </c>
      <c r="X5" s="0" t="s">
        <v>171</v>
      </c>
      <c r="Y5" s="0" t="s">
        <v>157</v>
      </c>
      <c r="Z5" s="0" t="s">
        <v>92</v>
      </c>
      <c r="AA5" s="0" t="s">
        <v>175</v>
      </c>
      <c r="AB5" s="0" t="s">
        <v>172</v>
      </c>
      <c r="AC5" s="0" t="s">
        <v>166</v>
      </c>
      <c r="AD5" s="0" t="s">
        <v>93</v>
      </c>
      <c r="AE5" s="0" t="s">
        <v>101</v>
      </c>
      <c r="AF5" s="0" t="s">
        <v>260</v>
      </c>
      <c r="AG5" s="0" t="s">
        <v>165</v>
      </c>
      <c r="AH5" s="0" t="s">
        <v>112</v>
      </c>
      <c r="AI5" s="0" t="s">
        <v>111</v>
      </c>
      <c r="AJ5" s="0" t="s">
        <v>153</v>
      </c>
      <c r="AK5" s="0" t="s">
        <v>178</v>
      </c>
      <c r="AL5" s="0" t="s">
        <v>183</v>
      </c>
      <c r="AM5" s="0" t="s">
        <v>180</v>
      </c>
      <c r="AN5" s="0" t="s">
        <v>128</v>
      </c>
      <c r="AO5" s="0" t="s">
        <v>176</v>
      </c>
      <c r="AP5" s="0" t="s">
        <v>127</v>
      </c>
      <c r="AQ5" s="0" t="s">
        <v>129</v>
      </c>
      <c r="AR5" s="0" t="s">
        <v>126</v>
      </c>
      <c r="AS5" s="0" t="s">
        <v>130</v>
      </c>
      <c r="AT5" s="0" t="s">
        <v>103</v>
      </c>
      <c r="AU5" s="0" t="s">
        <v>102</v>
      </c>
      <c r="AV5" s="0" t="s">
        <v>160</v>
      </c>
      <c r="AW5" s="0" t="s">
        <v>146</v>
      </c>
      <c r="AX5" s="0" t="s">
        <v>148</v>
      </c>
      <c r="AY5" s="0" t="s">
        <v>23</v>
      </c>
      <c r="AZ5" s="0" t="s">
        <v>147</v>
      </c>
      <c r="BA5" s="0" t="s">
        <v>162</v>
      </c>
      <c r="BB5" s="0" t="s">
        <v>177</v>
      </c>
      <c r="BC5" s="0" t="s">
        <v>137</v>
      </c>
      <c r="BD5" s="0" t="s">
        <v>149</v>
      </c>
      <c r="BE5" s="0" t="s">
        <v>106</v>
      </c>
      <c r="BF5" s="0" t="s">
        <v>104</v>
      </c>
      <c r="BG5" s="0" t="s">
        <v>161</v>
      </c>
      <c r="BH5" s="0" t="s">
        <v>181</v>
      </c>
      <c r="BI5" s="0" t="s">
        <v>131</v>
      </c>
      <c r="BJ5" s="0" t="s">
        <v>18</v>
      </c>
      <c r="BK5" s="0" t="s">
        <v>145</v>
      </c>
      <c r="BL5" s="0" t="s">
        <v>174</v>
      </c>
      <c r="BM5" s="0" t="s">
        <v>115</v>
      </c>
      <c r="BN5" s="0" t="s">
        <v>164</v>
      </c>
      <c r="BO5" s="0" t="s">
        <v>85</v>
      </c>
      <c r="BP5" s="0" t="s">
        <v>136</v>
      </c>
      <c r="BQ5" s="0" t="s">
        <v>117</v>
      </c>
      <c r="BR5" s="0" t="s">
        <v>141</v>
      </c>
      <c r="BS5" s="0" t="s">
        <v>261</v>
      </c>
      <c r="BT5" s="0" t="s">
        <v>16</v>
      </c>
      <c r="BU5" s="0" t="s">
        <v>143</v>
      </c>
      <c r="BV5" s="0" t="s">
        <v>150</v>
      </c>
      <c r="BW5" s="0" t="s">
        <v>139</v>
      </c>
      <c r="BX5" s="0" t="s">
        <v>118</v>
      </c>
      <c r="BY5" s="0" t="s">
        <v>120</v>
      </c>
      <c r="BZ5" s="0" t="s">
        <v>121</v>
      </c>
      <c r="CA5" s="0" t="s">
        <v>122</v>
      </c>
      <c r="CB5" s="0" t="s">
        <v>123</v>
      </c>
      <c r="CC5" s="0" t="s">
        <v>124</v>
      </c>
      <c r="CD5" s="0" t="s">
        <v>125</v>
      </c>
      <c r="CE5" s="0" t="s">
        <v>28</v>
      </c>
      <c r="CF5" s="0" t="s">
        <v>108</v>
      </c>
      <c r="CG5" s="0" t="s">
        <v>140</v>
      </c>
      <c r="CH5" s="0" t="s">
        <v>182</v>
      </c>
      <c r="CI5" s="0" t="s">
        <v>105</v>
      </c>
      <c r="CJ5" s="0" t="s">
        <v>133</v>
      </c>
      <c r="CK5" s="0" t="s">
        <v>95</v>
      </c>
      <c r="CL5" s="0" t="s">
        <v>179</v>
      </c>
      <c r="CM5" s="0" t="s">
        <v>167</v>
      </c>
      <c r="CN5" s="0" t="s">
        <v>113</v>
      </c>
      <c r="CO5" s="0" t="s">
        <v>42</v>
      </c>
      <c r="CP5" s="0" t="s">
        <v>152</v>
      </c>
      <c r="CQ5" s="0" t="s">
        <v>163</v>
      </c>
      <c r="CR5" s="0" t="s">
        <v>132</v>
      </c>
      <c r="CS5" s="0" t="s">
        <v>185</v>
      </c>
      <c r="CT5" s="0" t="s">
        <v>262</v>
      </c>
      <c r="CU5" s="0" t="s">
        <v>263</v>
      </c>
      <c r="CV5" s="0" t="s">
        <v>264</v>
      </c>
      <c r="CW5" s="0" t="s">
        <v>265</v>
      </c>
      <c r="CX5" s="0" t="s">
        <v>184</v>
      </c>
      <c r="CY5" s="0" t="s">
        <v>266</v>
      </c>
      <c r="CZ5" s="0" t="s">
        <v>267</v>
      </c>
      <c r="DA5" s="0" t="s">
        <v>268</v>
      </c>
      <c r="DB5" s="0" t="s">
        <v>269</v>
      </c>
      <c r="DC5" s="0" t="s">
        <v>270</v>
      </c>
      <c r="DD5" s="0" t="s">
        <v>271</v>
      </c>
    </row>
    <row r="6" ht="15.75" customHeight="1">
      <c r="A6" s="13"/>
      <c r="B6" s="35" t="s">
        <v>226</v>
      </c>
      <c r="C6" s="35"/>
      <c r="D6" s="36"/>
      <c r="E6" s="36">
        <v>103</v>
      </c>
      <c r="F6" s="35"/>
      <c r="G6" s="35" t="s">
        <v>192</v>
      </c>
      <c r="H6" s="8"/>
      <c r="I6" s="8"/>
      <c r="J6" s="8"/>
      <c r="K6" s="36">
        <v>5</v>
      </c>
      <c r="L6" s="36">
        <v>5</v>
      </c>
      <c r="M6" s="44"/>
      <c r="N6" s="35"/>
      <c r="O6" s="35" t="s">
        <v>188</v>
      </c>
      <c r="P6" s="44"/>
      <c r="Q6" s="36"/>
      <c r="V6" s="35"/>
      <c r="W6" s="36">
        <v>100</v>
      </c>
      <c r="Z6" s="9" t="s">
        <v>196</v>
      </c>
      <c r="AB6" s="36">
        <v>1</v>
      </c>
      <c r="AC6" s="35" t="s">
        <v>197</v>
      </c>
      <c r="AD6" s="35" t="s">
        <v>195</v>
      </c>
      <c r="AH6" s="9" t="s">
        <v>190</v>
      </c>
      <c r="AI6" s="9">
        <v>1</v>
      </c>
      <c r="AM6" s="35" t="s">
        <v>197</v>
      </c>
      <c r="AN6" s="35" t="b">
        <v>0</v>
      </c>
      <c r="AO6" s="44"/>
      <c r="AP6" s="35"/>
      <c r="AT6" s="34">
        <v>51500</v>
      </c>
      <c r="AU6" s="34">
        <v>51500</v>
      </c>
      <c r="AY6" s="9" t="s">
        <v>193</v>
      </c>
      <c r="BE6" s="34">
        <v>51500</v>
      </c>
      <c r="BF6" s="34">
        <v>51500</v>
      </c>
      <c r="BI6" s="35" t="s">
        <v>272</v>
      </c>
      <c r="BJ6" s="36">
        <v>103</v>
      </c>
      <c r="BK6" s="36">
        <v>0</v>
      </c>
      <c r="BL6" s="44"/>
      <c r="BM6" s="35" t="s">
        <v>196</v>
      </c>
      <c r="BO6" s="35" t="s">
        <v>82</v>
      </c>
      <c r="BT6" s="27" t="s">
        <v>79</v>
      </c>
      <c r="CF6" s="35" t="s">
        <v>187</v>
      </c>
      <c r="CG6" s="36">
        <v>0</v>
      </c>
      <c r="CH6" s="35" t="s">
        <v>273</v>
      </c>
      <c r="CI6" s="35" t="s">
        <v>221</v>
      </c>
      <c r="CK6" s="35" t="s">
        <v>194</v>
      </c>
      <c r="CL6" s="36">
        <v>1</v>
      </c>
      <c r="CM6" s="35" t="s">
        <v>198</v>
      </c>
      <c r="CN6" s="35" t="s">
        <v>191</v>
      </c>
      <c r="CO6" s="35" t="s">
        <v>189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E632C3F-CFA2-44F5-A478-1E0816406C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35CFCE9-93FF-4EE1-9E35-5FAE0F5D0AD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A129EE9-D624-4D14-89B8-8DA38A74D3EE}">
          <x14:formula1>
            <xm:f>CheckAllocatedGroups!$4:$4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274</v>
      </c>
      <c r="D3" s="5" t="s">
        <v>9</v>
      </c>
      <c r="E3" s="23" t="s">
        <v>275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B5" s="0" t="s">
        <v>28</v>
      </c>
      <c r="C5" s="0" t="s">
        <v>16</v>
      </c>
      <c r="D5" s="0" t="s">
        <v>276</v>
      </c>
      <c r="E5" s="0" t="s">
        <v>51</v>
      </c>
      <c r="F5" s="0" t="s">
        <v>229</v>
      </c>
      <c r="G5" s="0" t="s">
        <v>277</v>
      </c>
      <c r="H5" s="0" t="s">
        <v>278</v>
      </c>
      <c r="I5" s="0" t="s">
        <v>279</v>
      </c>
      <c r="J5" s="0" t="s">
        <v>280</v>
      </c>
      <c r="K5" s="0" t="s">
        <v>281</v>
      </c>
      <c r="L5" s="0" t="s">
        <v>282</v>
      </c>
      <c r="M5" s="0" t="s">
        <v>283</v>
      </c>
      <c r="N5" s="0" t="s">
        <v>284</v>
      </c>
      <c r="O5" s="0" t="s">
        <v>285</v>
      </c>
      <c r="P5" s="0" t="s">
        <v>286</v>
      </c>
      <c r="Q5" s="0" t="s">
        <v>287</v>
      </c>
      <c r="R5" s="0" t="s">
        <v>288</v>
      </c>
      <c r="S5" s="0" t="s">
        <v>27</v>
      </c>
      <c r="T5" s="0" t="s">
        <v>289</v>
      </c>
      <c r="U5" s="0" t="s">
        <v>95</v>
      </c>
      <c r="V5" s="0" t="s">
        <v>93</v>
      </c>
      <c r="W5" s="0" t="s">
        <v>290</v>
      </c>
      <c r="X5" s="0" t="s">
        <v>291</v>
      </c>
      <c r="Y5" s="0" t="s">
        <v>111</v>
      </c>
      <c r="Z5" s="0" t="s">
        <v>292</v>
      </c>
      <c r="AA5" s="0" t="s">
        <v>293</v>
      </c>
      <c r="AB5" s="0" t="s">
        <v>294</v>
      </c>
      <c r="AC5" s="0" t="s">
        <v>295</v>
      </c>
      <c r="AD5" s="0" t="s">
        <v>296</v>
      </c>
      <c r="AE5" s="0" t="s">
        <v>297</v>
      </c>
      <c r="AF5" s="0" t="s">
        <v>298</v>
      </c>
      <c r="AG5" s="0" t="s">
        <v>299</v>
      </c>
      <c r="AH5" s="0" t="s">
        <v>300</v>
      </c>
      <c r="AI5" s="0" t="s">
        <v>301</v>
      </c>
      <c r="AJ5" s="0" t="s">
        <v>302</v>
      </c>
      <c r="AK5" s="0" t="s">
        <v>303</v>
      </c>
      <c r="AL5" s="0" t="s">
        <v>172</v>
      </c>
      <c r="AM5" s="0" t="s">
        <v>304</v>
      </c>
      <c r="AN5" s="0" t="s">
        <v>17</v>
      </c>
      <c r="AO5" s="0" t="s">
        <v>305</v>
      </c>
      <c r="AP5" s="0" t="s">
        <v>306</v>
      </c>
      <c r="AQ5" s="0" t="s">
        <v>167</v>
      </c>
      <c r="AR5" s="0" t="s">
        <v>307</v>
      </c>
      <c r="AS5" s="0" t="s">
        <v>308</v>
      </c>
      <c r="AT5" s="0" t="s">
        <v>166</v>
      </c>
      <c r="AU5" s="0" t="s">
        <v>180</v>
      </c>
      <c r="AV5" s="0" t="s">
        <v>309</v>
      </c>
      <c r="AW5" s="0" t="s">
        <v>310</v>
      </c>
      <c r="AX5" s="0" t="s">
        <v>311</v>
      </c>
      <c r="AY5" s="0" t="s">
        <v>312</v>
      </c>
      <c r="AZ5" s="0" t="s">
        <v>313</v>
      </c>
      <c r="BA5" s="0" t="s">
        <v>314</v>
      </c>
      <c r="BB5" s="0" t="s">
        <v>315</v>
      </c>
      <c r="BC5" s="0" t="s">
        <v>316</v>
      </c>
      <c r="BD5" s="0" t="s">
        <v>317</v>
      </c>
      <c r="BE5" s="0" t="s">
        <v>318</v>
      </c>
      <c r="BF5" s="0" t="s">
        <v>319</v>
      </c>
      <c r="BG5" s="0" t="s">
        <v>320</v>
      </c>
      <c r="BH5" s="0" t="s">
        <v>321</v>
      </c>
      <c r="BI5" s="0" t="s">
        <v>322</v>
      </c>
      <c r="BJ5" s="0" t="s">
        <v>323</v>
      </c>
      <c r="BK5" s="0" t="s">
        <v>324</v>
      </c>
      <c r="BL5" s="0" t="s">
        <v>325</v>
      </c>
      <c r="BM5" s="0" t="s">
        <v>326</v>
      </c>
      <c r="BN5" s="0" t="s">
        <v>327</v>
      </c>
      <c r="BO5" s="0" t="s">
        <v>328</v>
      </c>
      <c r="BP5" s="0" t="s">
        <v>329</v>
      </c>
      <c r="BQ5" s="0" t="s">
        <v>113</v>
      </c>
      <c r="BR5" s="0" t="s">
        <v>21</v>
      </c>
      <c r="BS5" s="0" t="s">
        <v>330</v>
      </c>
      <c r="BT5" s="0" t="s">
        <v>331</v>
      </c>
      <c r="BU5" s="0" t="s">
        <v>332</v>
      </c>
      <c r="BV5" s="0" t="s">
        <v>165</v>
      </c>
      <c r="BW5" s="0" t="s">
        <v>333</v>
      </c>
      <c r="BX5" s="0" t="s">
        <v>334</v>
      </c>
      <c r="BY5" s="0" t="s">
        <v>335</v>
      </c>
      <c r="BZ5" s="0" t="s">
        <v>336</v>
      </c>
      <c r="CA5" s="0" t="s">
        <v>337</v>
      </c>
      <c r="CB5" s="0" t="s">
        <v>164</v>
      </c>
      <c r="CC5" s="0" t="s">
        <v>338</v>
      </c>
      <c r="CD5" s="0" t="s">
        <v>339</v>
      </c>
      <c r="CE5" s="0" t="s">
        <v>340</v>
      </c>
      <c r="CF5" s="0" t="s">
        <v>341</v>
      </c>
      <c r="CG5" s="0" t="s">
        <v>342</v>
      </c>
      <c r="CH5" s="0" t="s">
        <v>343</v>
      </c>
      <c r="CI5" s="0" t="s">
        <v>344</v>
      </c>
      <c r="CJ5" s="0" t="s">
        <v>345</v>
      </c>
      <c r="CK5" s="0" t="s">
        <v>346</v>
      </c>
      <c r="CL5" s="0" t="s">
        <v>347</v>
      </c>
      <c r="CM5" s="0" t="s">
        <v>348</v>
      </c>
      <c r="CN5" s="0" t="s">
        <v>349</v>
      </c>
      <c r="CO5" s="0" t="s">
        <v>350</v>
      </c>
      <c r="CP5" s="0" t="s">
        <v>173</v>
      </c>
      <c r="CQ5" s="0" t="s">
        <v>176</v>
      </c>
      <c r="CR5" s="0" t="s">
        <v>351</v>
      </c>
      <c r="CS5" s="0" t="s">
        <v>352</v>
      </c>
      <c r="CT5" s="0" t="s">
        <v>122</v>
      </c>
      <c r="CU5" s="0" t="s">
        <v>123</v>
      </c>
      <c r="CV5" s="0" t="s">
        <v>124</v>
      </c>
      <c r="CW5" s="0" t="s">
        <v>125</v>
      </c>
      <c r="CX5" s="0" t="s">
        <v>181</v>
      </c>
      <c r="CY5" s="0" t="s">
        <v>353</v>
      </c>
      <c r="CZ5" s="0" t="s">
        <v>354</v>
      </c>
      <c r="DA5" s="0" t="s">
        <v>355</v>
      </c>
      <c r="DB5" s="0" t="s">
        <v>356</v>
      </c>
      <c r="DC5" s="0" t="s">
        <v>357</v>
      </c>
      <c r="DD5" s="0" t="s">
        <v>358</v>
      </c>
      <c r="DE5" s="0" t="s">
        <v>359</v>
      </c>
      <c r="DF5" s="0" t="s">
        <v>360</v>
      </c>
      <c r="DG5" s="0" t="s">
        <v>361</v>
      </c>
      <c r="DH5" s="0" t="s">
        <v>362</v>
      </c>
      <c r="DI5" s="0" t="s">
        <v>363</v>
      </c>
      <c r="DJ5" s="0" t="s">
        <v>105</v>
      </c>
      <c r="DK5" s="0" t="s">
        <v>364</v>
      </c>
      <c r="DL5" s="0" t="s">
        <v>365</v>
      </c>
      <c r="DM5" s="0" t="s">
        <v>366</v>
      </c>
      <c r="DN5" s="0" t="s">
        <v>367</v>
      </c>
      <c r="DO5" s="0" t="s">
        <v>368</v>
      </c>
      <c r="DP5" s="0" t="s">
        <v>369</v>
      </c>
      <c r="DQ5" s="0" t="s">
        <v>370</v>
      </c>
      <c r="DR5" s="0" t="s">
        <v>371</v>
      </c>
      <c r="DS5" s="0" t="s">
        <v>372</v>
      </c>
      <c r="DT5" s="0" t="s">
        <v>373</v>
      </c>
      <c r="DU5" s="0" t="s">
        <v>374</v>
      </c>
      <c r="DV5" s="0" t="s">
        <v>375</v>
      </c>
      <c r="DW5" s="0" t="s">
        <v>376</v>
      </c>
      <c r="DX5" s="0" t="s">
        <v>377</v>
      </c>
      <c r="DY5" s="0" t="s">
        <v>378</v>
      </c>
      <c r="DZ5" s="0" t="s">
        <v>379</v>
      </c>
      <c r="EA5" s="0" t="s">
        <v>380</v>
      </c>
      <c r="EB5" s="0" t="s">
        <v>381</v>
      </c>
      <c r="EC5" s="0" t="s">
        <v>382</v>
      </c>
      <c r="ED5" s="0" t="s">
        <v>383</v>
      </c>
      <c r="EE5" s="0" t="s">
        <v>384</v>
      </c>
      <c r="EF5" s="0" t="s">
        <v>385</v>
      </c>
      <c r="EG5" s="0" t="s">
        <v>386</v>
      </c>
      <c r="EH5" s="0" t="s">
        <v>387</v>
      </c>
      <c r="EI5" s="0" t="s">
        <v>388</v>
      </c>
      <c r="EJ5" s="0" t="s">
        <v>389</v>
      </c>
      <c r="EK5" s="0" t="s">
        <v>390</v>
      </c>
      <c r="EL5" s="0" t="s">
        <v>391</v>
      </c>
      <c r="EM5" s="0" t="s">
        <v>392</v>
      </c>
      <c r="EN5" s="0" t="s">
        <v>393</v>
      </c>
      <c r="EO5" s="0" t="s">
        <v>394</v>
      </c>
      <c r="EP5" s="0" t="s">
        <v>395</v>
      </c>
      <c r="EQ5" s="0" t="s">
        <v>396</v>
      </c>
      <c r="ER5" s="0" t="s">
        <v>397</v>
      </c>
      <c r="ES5" s="0" t="s">
        <v>398</v>
      </c>
      <c r="ET5" s="0" t="s">
        <v>399</v>
      </c>
      <c r="EU5" s="0" t="s">
        <v>400</v>
      </c>
      <c r="EV5" s="0" t="s">
        <v>401</v>
      </c>
      <c r="EW5" s="0" t="s">
        <v>402</v>
      </c>
      <c r="EX5" s="0" t="s">
        <v>403</v>
      </c>
      <c r="EY5" s="0" t="s">
        <v>120</v>
      </c>
      <c r="EZ5" s="0" t="s">
        <v>121</v>
      </c>
      <c r="FA5" s="0" t="s">
        <v>185</v>
      </c>
      <c r="FB5" s="0" t="s">
        <v>404</v>
      </c>
      <c r="FC5" s="0" t="s">
        <v>405</v>
      </c>
      <c r="FD5" s="0" t="s">
        <v>406</v>
      </c>
      <c r="FE5" s="0" t="s">
        <v>407</v>
      </c>
      <c r="FF5" s="0" t="s">
        <v>408</v>
      </c>
      <c r="FG5" s="0" t="s">
        <v>409</v>
      </c>
      <c r="FH5" s="0" t="s">
        <v>410</v>
      </c>
      <c r="FI5" s="0" t="s">
        <v>411</v>
      </c>
      <c r="FJ5" s="0" t="s">
        <v>263</v>
      </c>
      <c r="FK5" s="0" t="s">
        <v>412</v>
      </c>
      <c r="FL5" s="0" t="s">
        <v>266</v>
      </c>
      <c r="FM5" s="0" t="s">
        <v>413</v>
      </c>
      <c r="FN5" s="0" t="s">
        <v>414</v>
      </c>
      <c r="FO5" s="0" t="s">
        <v>415</v>
      </c>
      <c r="FP5" s="0" t="s">
        <v>416</v>
      </c>
      <c r="FQ5" s="0" t="s">
        <v>417</v>
      </c>
      <c r="FR5" s="0" t="s">
        <v>418</v>
      </c>
      <c r="FS5" s="0" t="s">
        <v>419</v>
      </c>
      <c r="FT5" s="0" t="s">
        <v>420</v>
      </c>
      <c r="FU5" s="0" t="s">
        <v>421</v>
      </c>
      <c r="FV5" s="0" t="s">
        <v>422</v>
      </c>
      <c r="FW5" s="0" t="s">
        <v>423</v>
      </c>
    </row>
    <row r="6" ht="15.75" customHeight="1">
      <c r="A6" s="45" t="s">
        <v>424</v>
      </c>
      <c r="B6" s="45"/>
      <c r="C6" s="8" t="s">
        <v>79</v>
      </c>
      <c r="D6" s="45">
        <v>103</v>
      </c>
      <c r="E6" s="8" t="s">
        <v>226</v>
      </c>
      <c r="F6" s="8" t="s">
        <v>425</v>
      </c>
      <c r="G6" s="8"/>
      <c r="H6" s="8" t="s">
        <v>426</v>
      </c>
      <c r="I6" s="8"/>
      <c r="J6" s="8"/>
      <c r="K6" s="8"/>
      <c r="L6" s="8"/>
      <c r="M6" s="8"/>
      <c r="N6" s="8"/>
      <c r="O6" s="8"/>
      <c r="R6" s="0" t="s">
        <v>427</v>
      </c>
      <c r="T6" s="0" t="s">
        <v>192</v>
      </c>
      <c r="U6" s="0" t="s">
        <v>194</v>
      </c>
      <c r="V6" s="0" t="s">
        <v>195</v>
      </c>
      <c r="W6" s="0" t="s">
        <v>196</v>
      </c>
      <c r="X6" s="0">
        <v>100</v>
      </c>
      <c r="Y6" s="0">
        <v>1</v>
      </c>
      <c r="AN6" s="0" t="s">
        <v>82</v>
      </c>
      <c r="AP6" s="0" t="s">
        <v>426</v>
      </c>
      <c r="AQ6" s="0" t="s">
        <v>198</v>
      </c>
      <c r="AV6" s="0">
        <v>1</v>
      </c>
      <c r="BE6" s="0" t="s">
        <v>428</v>
      </c>
      <c r="BF6" s="0" t="s">
        <v>429</v>
      </c>
      <c r="BG6" s="0" t="s">
        <v>430</v>
      </c>
      <c r="BH6" s="0" t="s">
        <v>431</v>
      </c>
      <c r="BQ6" s="0" t="s">
        <v>191</v>
      </c>
      <c r="BR6" s="0" t="s">
        <v>188</v>
      </c>
      <c r="BU6" s="0" t="s">
        <v>432</v>
      </c>
      <c r="DJ6" s="0" t="s">
        <v>82</v>
      </c>
      <c r="DP6" s="0" t="s">
        <v>426</v>
      </c>
      <c r="FH6" s="0">
        <v>103</v>
      </c>
      <c r="FI6" s="0" t="s">
        <v>424</v>
      </c>
      <c r="FK6" s="0" t="s">
        <v>424</v>
      </c>
      <c r="FL6" s="0" t="s">
        <v>424</v>
      </c>
      <c r="FM6" s="0" t="s">
        <v>424</v>
      </c>
      <c r="FN6" s="0" t="s">
        <v>424</v>
      </c>
      <c r="FO6" s="0" t="s">
        <v>424</v>
      </c>
      <c r="FP6" s="0" t="s">
        <v>424</v>
      </c>
      <c r="FQ6" s="0" t="s">
        <v>424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0E3C34-3FD7-497F-A334-70D5C7B8E7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8BB850B-F181-4619-9939-5CDCAED958C9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7F6CE6CE-7E18-4D3C-BF1D-859C72F0DAA7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