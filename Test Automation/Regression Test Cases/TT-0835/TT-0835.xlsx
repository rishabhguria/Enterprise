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ValidateSymbolTT" sheetId="4" r:id="rId6"/>
    <sheet state="visible" name="OpenQtt" sheetId="5" r:id="rId7"/>
    <sheet state="visible" name="TradeQTT" sheetId="6" r:id="rId8"/>
    <sheet state="visible" name="TradeQTT1" sheetId="7" r:id="rId9"/>
    <sheet state="visible" name="UseOrVerifyHotKeys" sheetId="8" r:id="rId10"/>
    <sheet state="visible" name="SelectET" sheetId="9" r:id="rId11"/>
    <sheet state="visible" name="UseOrVerifyHotKeys1" sheetId="10" r:id="rId12"/>
    <sheet state="visible" name="CustomOrderTT" sheetId="11" r:id="rId13"/>
    <sheet state="visible" name="VerifyOrder" sheetId="12" r:id="rId14"/>
  </sheets>
  <definedNames/>
  <calcPr/>
</workbook>
</file>

<file path=xl/sharedStrings.xml><?xml version="1.0" encoding="utf-8"?>
<sst xmlns="http://schemas.openxmlformats.org/spreadsheetml/2006/main" count="92" uniqueCount="37">
  <si>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</si>
  <si>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</si>
  <si>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</si>
  <si>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</si>
  <si>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</si>
  <si>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</si>
  <si>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</si>
  <si>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</si>
  <si>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</si>
  <si>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</si>
  <si>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</si>
  <si>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</si>
  <si>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</si>
  <si>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ValidateSymbolTT</t>
  </si>
  <si>
    <t>Data Format</t>
  </si>
  <si>
    <t>Input Format</t>
  </si>
  <si>
    <t>AAPL</t>
  </si>
  <si>
    <t>QTT</t>
  </si>
  <si>
    <t>OpenQtt</t>
  </si>
  <si>
    <t>Save</t>
  </si>
  <si>
    <t>TradeQTT</t>
  </si>
  <si>
    <t>G</t>
  </si>
  <si>
    <t>KO</t>
  </si>
  <si>
    <t>Stage</t>
  </si>
  <si>
    <t>G1</t>
  </si>
  <si>
    <t>CLEAR</t>
  </si>
  <si>
    <t>UseOrVerifyHotKeys</t>
  </si>
  <si>
    <t>SelectET</t>
  </si>
  <si>
    <t>DoneAway</t>
  </si>
  <si>
    <t>CustomOrderTT</t>
  </si>
  <si>
    <t>DEFAULT</t>
  </si>
  <si>
    <t>Allocation1</t>
  </si>
  <si>
    <t>Buy</t>
  </si>
  <si>
    <t>MS</t>
  </si>
  <si>
    <t>Blotter</t>
  </si>
  <si>
    <t>VerifyOrder</t>
  </si>
  <si>
    <t>Filled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</si>
</sst>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ValidateSymbolTT!$4:$4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IFERROR(__xludf.DUMMYFUNCTION("""COMPUTED_VALUE"""),"Action")</f>
        <v>Action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OpenQtt!$4:$4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12" t="s">
        <v>22</v>
      </c>
      <c r="D6" s="12"/>
      <c r="E6" s="30"/>
      <c r="F6" s="8"/>
      <c r="G6" s="8"/>
      <c r="H6" s="8"/>
      <c r="I6" s="8"/>
      <c r="J6" s="12" t="s">
        <v>23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TradeQTT!$4:$4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IFERROR(__xludf.DUMMYFUNCTION("""COMPUTED_VALUE"""),"Title")</f>
        <v>Title</v>
      </c>
      <c r="C5" s="27" t="str">
        <f>IFERROR(__xludf.DUMMYFUNCTION("""COMPUTED_VALUE"""),"Symbol")</f>
        <v>Symbol</v>
      </c>
      <c r="D5" s="27" t="str">
        <f>IFERROR(__xludf.DUMMYFUNCTION("""COMPUTED_VALUE"""),"Quantity")</f>
        <v>Quantity</v>
      </c>
      <c r="E5" s="27" t="str">
        <f>IFERROR(__xludf.DUMMYFUNCTION("""COMPUTED_VALUE"""),"Allocation")</f>
        <v>Allocation</v>
      </c>
      <c r="F5" s="28" t="str">
        <f>IFERROR(__xludf.DUMMYFUNCTION("""COMPUTED_VALUE"""),"Broker")</f>
        <v>Broker</v>
      </c>
      <c r="G5" s="27" t="str">
        <f>IFERROR(__xludf.DUMMYFUNCTION("""COMPUTED_VALUE"""),"Venue")</f>
        <v>Venue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IFERROR(__xludf.DUMMYFUNCTION("""COMPUTED_VALUE"""),"Execution Type")</f>
        <v>Execution Type</v>
      </c>
      <c r="K5" s="27" t="str">
        <f>IFERROR(__xludf.DUMMYFUNCTION("""COMPUTED_VALUE"""),"Select Color")</f>
        <v>Select Color</v>
      </c>
      <c r="L5" s="27" t="str">
        <f>IFERROR(__xludf.DUMMYFUNCTION("""COMPUTED_VALUE"""),"Add To Favourite")</f>
        <v>Add To Favourite</v>
      </c>
      <c r="M5" s="27" t="str">
        <f>IFERROR(__xludf.DUMMYFUNCTION("""COMPUTED_VALUE"""),"AlgoType")</f>
        <v>AlgoType</v>
      </c>
      <c r="N5" s="27" t="str">
        <f>IFERROR(__xludf.DUMMYFUNCTION("""COMPUTED_VALUE"""),"Start time")</f>
        <v>Start time</v>
      </c>
      <c r="O5" s="27" t="str">
        <f>IFERROR(__xludf.DUMMYFUNCTION("""COMPUTED_VALUE"""),"End time")</f>
        <v>End time</v>
      </c>
      <c r="P5" s="27" t="str">
        <f>IFERROR(__xludf.DUMMYFUNCTION("""COMPUTED_VALUE"""),"EndTimeCheckBox")</f>
        <v>EndTimeCheckBox</v>
      </c>
      <c r="Q5" s="27" t="str">
        <f>IFERROR(__xludf.DUMMYFUNCTION("""COMPUTED_VALUE"""),"Style")</f>
        <v>Style</v>
      </c>
      <c r="R5" s="27" t="str">
        <f>IFERROR(__xludf.DUMMYFUNCTION("""COMPUTED_VALUE"""),"Save")</f>
        <v>Save</v>
      </c>
      <c r="S5" s="27" t="str">
        <f>IFERROR(__xludf.DUMMYFUNCTION("""COMPUTED_VALUE"""),"Quick Preferences Name")</f>
        <v>Quick Preferences Name</v>
      </c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16</v>
      </c>
      <c r="D6" s="12"/>
      <c r="E6" s="30"/>
      <c r="F6" s="8"/>
      <c r="G6" s="8"/>
      <c r="H6" s="8"/>
      <c r="I6" s="8"/>
      <c r="J6" s="12" t="s">
        <v>25</v>
      </c>
      <c r="K6" s="8"/>
      <c r="L6" s="12" t="b">
        <v>1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TradeQTT1!$4:$4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21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IFERROR(__xludf.DUMMYFUNCTION("""COMPUTED_VALUE"""),"Order type button")</f>
        <v>Order type button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SelectET!$4:$4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IFERROR(__xludf.DUMMYFUNCTION("IF(C3="""","""",Transpose(IMPORTRANGE('_Settings'!$B$3,C3&amp;""!A4:A1000"")))"),"OpenQtt")</f>
        <v>OpenQtt</v>
      </c>
      <c r="C4" s="24" t="str">
        <f>IFERROR(__xludf.DUMMYFUNCTION("""COMPUTED_VALUE"""),"TradeFromQTT")</f>
        <v>TradeFromQTT</v>
      </c>
      <c r="D4" s="24" t="str">
        <f>IFERROR(__xludf.DUMMYFUNCTION("""COMPUTED_VALUE"""),"TradeQTT")</f>
        <v>TradeQTT</v>
      </c>
      <c r="E4" s="24" t="str">
        <f>IFERROR(__xludf.DUMMYFUNCTION("""COMPUTED_VALUE"""),"UseOrVerifyHotKeys")</f>
        <v>UseOrVerifyHotKeys</v>
      </c>
      <c r="F4" s="24"/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IFERROR(__xludf.DUMMYFUNCTION("""COMPUTED_VALUE"""),"UseHotKey")</f>
        <v>UseHotKey</v>
      </c>
      <c r="C5" s="27" t="str">
        <f>IFERROR(__xludf.DUMMYFUNCTION("""COMPUTED_VALUE"""),"VerifyHotKeys")</f>
        <v>VerifyHotKeys</v>
      </c>
      <c r="D5" s="27" t="str">
        <f>IFERROR(__xludf.DUMMYFUNCTION("""COMPUTED_VALUE"""),"VerifyHotKeysColor")</f>
        <v>VerifyHotKeysColor</v>
      </c>
      <c r="E5" s="27" t="str">
        <f>IFERROR(__xludf.DUMMYFUNCTION("""COMPUTED_VALUE"""),"TTStayOpen")</f>
        <v>TTStayOpen</v>
      </c>
      <c r="F5" s="28" t="str">
        <f>IFERROR(__xludf.DUMMYFUNCTION("""COMPUTED_VALUE"""),"NegativeTesting")</f>
        <v>NegativeTesting</v>
      </c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12" t="b">
        <v>1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UseOrVerifyHotKeys1!$4:$4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IFERROR(__xludf.DUMMYFUNCTION("""COMPUTED_VALUE"""),"Price")</f>
        <v>Price</v>
      </c>
      <c r="E5" s="27" t="str">
        <f>IFERROR(__xludf.DUMMYFUNCTION("""COMPUTED_VALUE"""),"Order type button")</f>
        <v>Order type button</v>
      </c>
      <c r="F5" s="28" t="str">
        <f>IFERROR(__xludf.DUMMYFUNCTION("""COMPUTED_VALUE"""),"SharesOutstandingPopUp")</f>
        <v>SharesOutstandingPopUp</v>
      </c>
      <c r="G5" s="27" t="str">
        <f>IFERROR(__xludf.DUMMYFUNCTION("""COMPUTED_VALUE"""),"TT_Open")</f>
        <v>TT_Open</v>
      </c>
      <c r="H5" s="27" t="str">
        <f>IFERROR(__xludf.DUMMYFUNCTION("""COMPUTED_VALUE"""),"SharesOutstandingPopUpQty")</f>
        <v>SharesOutstandingPopUpQty</v>
      </c>
      <c r="I5" s="27" t="str">
        <f>IFERROR(__xludf.DUMMYFUNCTION("""COMPUTED_VALUE"""),"AllocationMethod")</f>
        <v>AllocationMethod</v>
      </c>
      <c r="J5" s="27" t="str">
        <f>IFERROR(__xludf.DUMMYFUNCTION("""COMPUTED_VALUE"""),"Order Side")</f>
        <v>Order Side</v>
      </c>
      <c r="K5" s="27" t="str">
        <f>IFERROR(__xludf.DUMMYFUNCTION("""COMPUTED_VALUE"""),"DB_Check")</f>
        <v>DB_Check</v>
      </c>
      <c r="L5" s="27" t="str">
        <f>IFERROR(__xludf.DUMMYFUNCTION("""COMPUTED_VALUE"""),"CommissionBasis")</f>
        <v>CommissionBasis</v>
      </c>
      <c r="M5" s="27" t="str">
        <f>IFERROR(__xludf.DUMMYFUNCTION("""COMPUTED_VALUE"""),"CommissionRate")</f>
        <v>CommissionRate</v>
      </c>
      <c r="N5" s="27" t="str">
        <f>IFERROR(__xludf.DUMMYFUNCTION("""COMPUTED_VALUE"""),"SoftBasis")</f>
        <v>SoftBasis</v>
      </c>
      <c r="O5" s="27" t="str">
        <f>IFERROR(__xludf.DUMMYFUNCTION("""COMPUTED_VALUE"""),"SoftRate")</f>
        <v>SoftRate</v>
      </c>
      <c r="P5" s="27" t="str">
        <f>IFERROR(__xludf.DUMMYFUNCTION("""COMPUTED_VALUE"""),"Account")</f>
        <v>Account</v>
      </c>
      <c r="Q5" s="27" t="str">
        <f>IFERROR(__xludf.DUMMYFUNCTION("""COMPUTED_VALUE"""),"Account %")</f>
        <v>Account %</v>
      </c>
      <c r="R5" s="27" t="str">
        <f>IFERROR(__xludf.DUMMYFUNCTION("""COMPUTED_VALUE"""),"VerifySuggestions")</f>
        <v>VerifySuggestions</v>
      </c>
      <c r="S5" s="27" t="str">
        <f>IFERROR(__xludf.DUMMYFUNCTION("""COMPUTED_VALUE"""),"SymbolToPickFromSuggesstions")</f>
        <v>SymbolToPickFromSuggesstions</v>
      </c>
      <c r="T5" s="29" t="str">
        <f>IFERROR(__xludf.DUMMYFUNCTION("""COMPUTED_VALUE"""),"TypedSymbolAvailableOnSuggestion")</f>
        <v>TypedSymbolAvailableOnSuggestion</v>
      </c>
      <c r="U5" s="29" t="str">
        <f>IFERROR(__xludf.DUMMYFUNCTION("""COMPUTED_VALUE"""),"TIF")</f>
        <v>TIF</v>
      </c>
      <c r="V5" s="29" t="str">
        <f>IFERROR(__xludf.DUMMYFUNCTION("""COMPUTED_VALUE"""),"Order Type")</f>
        <v>Order Type</v>
      </c>
      <c r="W5" s="29" t="str">
        <f>IFERROR(__xludf.DUMMYFUNCTION("""COMPUTED_VALUE"""),"Stop")</f>
        <v>Stop</v>
      </c>
      <c r="X5" s="29" t="str">
        <f>IFERROR(__xludf.DUMMYFUNCTION("""COMPUTED_VALUE"""),"Limit")</f>
        <v>Limit</v>
      </c>
      <c r="Y5" s="29" t="str">
        <f>IFERROR(__xludf.DUMMYFUNCTION("""COMPUTED_VALUE"""),"Expiration Date")</f>
        <v>Expiration Date</v>
      </c>
      <c r="Z5" s="29" t="str">
        <f>IFERROR(__xludf.DUMMYFUNCTION("""COMPUTED_VALUE"""),"Trade Date")</f>
        <v>Trade Date</v>
      </c>
      <c r="AA5" s="29" t="str">
        <f>IFERROR(__xludf.DUMMYFUNCTION("""COMPUTED_VALUE"""),"Broker")</f>
        <v>Broker</v>
      </c>
      <c r="AB5" s="29" t="str">
        <f>IFERROR(__xludf.DUMMYFUNCTION("""COMPUTED_VALUE"""),"Padlock Visiblity")</f>
        <v>Padlock Visiblity</v>
      </c>
      <c r="AC5" s="29" t="str">
        <f>IFERROR(__xludf.DUMMYFUNCTION("""COMPUTED_VALUE"""),"Padlock Unlock")</f>
        <v>Padlock Unlock</v>
      </c>
      <c r="AD5" s="29" t="str">
        <f>IFERROR(__xludf.DUMMYFUNCTION("""COMPUTED_VALUE"""),"Venue")</f>
        <v>Venue</v>
      </c>
      <c r="AE5" s="29" t="str">
        <f>IFERROR(__xludf.DUMMYFUNCTION("""COMPUTED_VALUE"""),"Fx Rate")</f>
        <v>Fx Rate</v>
      </c>
      <c r="AF5" s="29" t="str">
        <f>IFERROR(__xludf.DUMMYFUNCTION("""COMPUTED_VALUE"""),"Fx Operator")</f>
        <v>Fx Operator</v>
      </c>
      <c r="AG5" s="29" t="str">
        <f>IFERROR(__xludf.DUMMYFUNCTION("""COMPUTED_VALUE"""),"PendingApprovalPopUp")</f>
        <v>PendingApprovalPopUp</v>
      </c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>
        <v>100.0</v>
      </c>
      <c r="D6" s="12">
        <v>20.0</v>
      </c>
      <c r="E6" s="12" t="s">
        <v>30</v>
      </c>
      <c r="F6" s="8"/>
      <c r="G6" s="8"/>
      <c r="H6" s="8"/>
      <c r="I6" s="12" t="s">
        <v>31</v>
      </c>
      <c r="J6" s="12" t="s">
        <v>32</v>
      </c>
      <c r="K6" s="8"/>
      <c r="L6" s="8"/>
      <c r="M6" s="8"/>
      <c r="N6" s="8"/>
      <c r="O6" s="8"/>
      <c r="AA6" s="9" t="s">
        <v>33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34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12"/>
      <c r="H6" s="8"/>
      <c r="I6" s="8"/>
      <c r="J6" s="8"/>
      <c r="K6" s="8"/>
      <c r="L6" s="8"/>
      <c r="M6" s="8"/>
      <c r="N6" s="8"/>
      <c r="O6" s="8"/>
      <c r="AI6" s="9" t="s">
        <v>16</v>
      </c>
      <c r="AJ6" s="9" t="s">
        <v>32</v>
      </c>
      <c r="AK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