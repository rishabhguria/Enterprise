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RunProrata" sheetId="6" r:id="rId8"/>
    <sheet state="visible" name="CreateDoneAwayOrder1" sheetId="7" r:id="rId9"/>
    <sheet state="visible" name="GetDataAllocation" sheetId="8" r:id="rId10"/>
    <sheet state="visible" name="SelectUnallocatedGroup" sheetId="9" r:id="rId11"/>
    <sheet state="visible" name="EnterAllocatePreference" sheetId="10" r:id="rId12"/>
    <sheet state="visible" name="CheckAllocatedGroups" sheetId="11" r:id="rId13"/>
  </sheets>
  <definedNames/>
  <calcPr/>
</workbook>
</file>

<file path=xl/sharedStrings.xml><?xml version="1.0" encoding="utf-8"?>
<sst xmlns="http://schemas.openxmlformats.org/spreadsheetml/2006/main" count="101" uniqueCount="38">
  <si>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</si>
  <si>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</si>
  <si>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</si>
  <si>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</si>
  <si>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</si>
  <si>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</si>
  <si>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</si>
  <si>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</si>
  <si>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</si>
  <si>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</si>
  <si>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</si>
  <si>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</si>
  <si>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</si>
  <si>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</si>
  <si>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</si>
  <si>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</si>
  <si>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AFB</t>
  </si>
  <si>
    <t>Buy</t>
  </si>
  <si>
    <t>Allocation3</t>
  </si>
  <si>
    <t>Allocation</t>
  </si>
  <si>
    <t>SetGeneralPreferences</t>
  </si>
  <si>
    <t>Single_SS</t>
  </si>
  <si>
    <t>RunProrata</t>
  </si>
  <si>
    <t>Sell</t>
  </si>
  <si>
    <t>Unallocated</t>
  </si>
  <si>
    <t>GetDataAllocation</t>
  </si>
  <si>
    <t>Current</t>
  </si>
  <si>
    <t>SelectUnallocatedGroup</t>
  </si>
  <si>
    <t>EnterAllocatePreference</t>
  </si>
  <si>
    <t>Fixed</t>
  </si>
  <si>
    <t>CheckAllocatedGroups</t>
  </si>
  <si>
    <t>Manual</t>
  </si>
  <si>
    <t>Equity</t>
  </si>
  <si>
    <t>MS</t>
  </si>
  <si>
    <t>Open</t>
  </si>
  <si>
    <t>USD</t>
  </si>
  <si>
    <t>M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</si>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</sst>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color rgb="FF333333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readingOrder="0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5" numFmtId="0" xfId="0" applyAlignment="1" applyFont="1">
      <alignment readingOrder="0" shrinkToFit="0" wrapText="1"/>
    </xf>
    <xf borderId="0" fillId="0" fontId="1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1000.0</v>
      </c>
      <c r="E6" s="35"/>
      <c r="F6" s="36" t="s">
        <v>18</v>
      </c>
      <c r="G6" s="35"/>
      <c r="H6" s="35"/>
      <c r="I6" s="35"/>
      <c r="J6" s="37">
        <v>1.0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b">
        <v>1</v>
      </c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 t="s">
        <v>21</v>
      </c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IFERROR(__xludf.DUMMYFUNCTION("""COMPUTED_VALUE"""),"Date")</f>
        <v>Date</v>
      </c>
      <c r="C5" s="28" t="str">
        <f>IFERROR(__xludf.DUMMYFUNCTION("""COMPUTED_VALUE"""),"SchemeName")</f>
        <v>SchemeName</v>
      </c>
      <c r="D5" s="28" t="str">
        <f>IFERROR(__xludf.DUMMYFUNCTION("""COMPUTED_VALUE"""),"SchemeBasis")</f>
        <v>SchemeBasis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>
        <f>today()</f>
        <v>45657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RunProrata!$4:$4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23</v>
      </c>
      <c r="D6" s="34">
        <v>1000.0</v>
      </c>
      <c r="E6" s="35"/>
      <c r="F6" s="33" t="s">
        <v>24</v>
      </c>
      <c r="G6" s="35"/>
      <c r="H6" s="35"/>
      <c r="I6" s="35"/>
      <c r="J6" s="37">
        <v>1.0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23</v>
      </c>
      <c r="D6" s="34">
        <v>1000.0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29</v>
      </c>
      <c r="C6" s="35" t="s">
        <v>21</v>
      </c>
      <c r="D6" s="31"/>
      <c r="E6" s="41" t="b">
        <v>1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18</v>
      </c>
      <c r="C6" s="35"/>
      <c r="D6" s="43">
        <v>0.0</v>
      </c>
      <c r="E6" s="44">
        <v>1000.0</v>
      </c>
      <c r="F6" s="45" t="s">
        <v>31</v>
      </c>
      <c r="G6" s="45" t="s">
        <v>32</v>
      </c>
      <c r="H6" s="44"/>
      <c r="I6" s="46">
        <v>0.0</v>
      </c>
      <c r="J6" s="46">
        <v>15.0</v>
      </c>
      <c r="K6" s="46">
        <v>1.0</v>
      </c>
      <c r="L6" s="46">
        <v>1.0</v>
      </c>
      <c r="M6" s="35"/>
      <c r="N6" s="35"/>
      <c r="O6" s="45" t="s">
        <v>33</v>
      </c>
      <c r="P6" s="35"/>
      <c r="Q6" s="46">
        <v>3.0</v>
      </c>
      <c r="R6" s="46">
        <v>0.0</v>
      </c>
      <c r="S6" s="45" t="s">
        <v>34</v>
      </c>
      <c r="T6" s="35"/>
      <c r="U6" s="35"/>
      <c r="V6" s="35"/>
      <c r="W6" s="46">
        <v>1.0</v>
      </c>
      <c r="X6" s="46">
        <v>0.0</v>
      </c>
      <c r="Y6" s="35"/>
      <c r="Z6" s="45" t="s">
        <v>35</v>
      </c>
      <c r="AA6" s="35"/>
      <c r="AB6" s="35"/>
      <c r="AC6" s="35"/>
      <c r="AD6" s="35"/>
      <c r="AE6" s="44">
        <v>1000.0</v>
      </c>
      <c r="AF6" s="35"/>
      <c r="AG6" s="35"/>
      <c r="AH6" s="45" t="s">
        <v>36</v>
      </c>
      <c r="AI6" s="46">
        <v>1.0</v>
      </c>
      <c r="AJ6" s="45" t="s">
        <v>37</v>
      </c>
      <c r="AK6" s="35"/>
      <c r="AL6" s="35"/>
      <c r="AM6" s="35"/>
      <c r="AN6" s="35"/>
      <c r="AO6" s="35"/>
      <c r="AP6" s="35"/>
      <c r="AQ6" s="35"/>
      <c r="AR6" s="35"/>
      <c r="AS6" s="35"/>
      <c r="AT6" s="47">
        <v>1010.18</v>
      </c>
      <c r="AU6" s="47">
        <v>1010.18</v>
      </c>
      <c r="AV6" s="35"/>
      <c r="AW6" s="35"/>
      <c r="AX6" s="35"/>
      <c r="AY6" s="35"/>
      <c r="AZ6" s="35"/>
      <c r="BA6" s="35"/>
      <c r="BB6" s="35"/>
      <c r="BC6" s="35"/>
      <c r="BD6" s="35"/>
      <c r="BE6" s="44">
        <v>1000.0</v>
      </c>
      <c r="BF6" s="44">
        <v>1000.0</v>
      </c>
      <c r="BG6" s="35"/>
      <c r="BH6" s="35"/>
      <c r="BI6" s="35"/>
      <c r="BJ6" s="44">
        <v>1000.0</v>
      </c>
      <c r="BK6" s="35"/>
      <c r="BL6" s="35"/>
      <c r="BM6" s="45" t="s">
        <v>35</v>
      </c>
      <c r="BN6" s="35"/>
      <c r="BO6" s="45" t="s">
        <v>17</v>
      </c>
      <c r="BP6" s="35"/>
      <c r="BQ6" s="35"/>
      <c r="BR6" s="35"/>
      <c r="BS6" s="35"/>
      <c r="BT6" s="45" t="s">
        <v>16</v>
      </c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2" t="s">
        <v>18</v>
      </c>
      <c r="C7" s="35"/>
      <c r="D7" s="46">
        <v>0.0</v>
      </c>
      <c r="E7" s="44">
        <v>1000.0</v>
      </c>
      <c r="F7" s="45" t="s">
        <v>21</v>
      </c>
      <c r="G7" s="45" t="s">
        <v>32</v>
      </c>
      <c r="H7" s="44"/>
      <c r="I7" s="46">
        <v>0.0</v>
      </c>
      <c r="J7" s="46">
        <v>15.0</v>
      </c>
      <c r="K7" s="46">
        <v>1.0</v>
      </c>
      <c r="L7" s="46">
        <v>1.0</v>
      </c>
      <c r="M7" s="35"/>
      <c r="N7" s="35"/>
      <c r="O7" s="45" t="s">
        <v>33</v>
      </c>
      <c r="P7" s="35"/>
      <c r="Q7" s="46">
        <v>3.0</v>
      </c>
      <c r="R7" s="46">
        <v>0.0</v>
      </c>
      <c r="S7" s="45" t="s">
        <v>34</v>
      </c>
      <c r="T7" s="35"/>
      <c r="U7" s="35"/>
      <c r="V7" s="35"/>
      <c r="W7" s="46">
        <v>1.0</v>
      </c>
      <c r="X7" s="46">
        <v>0.0</v>
      </c>
      <c r="Y7" s="35"/>
      <c r="Z7" s="45" t="s">
        <v>35</v>
      </c>
      <c r="AA7" s="35"/>
      <c r="AB7" s="35"/>
      <c r="AC7" s="35"/>
      <c r="AD7" s="35"/>
      <c r="AE7" s="44">
        <v>1000.0</v>
      </c>
      <c r="AF7" s="35"/>
      <c r="AG7" s="35"/>
      <c r="AH7" s="45" t="s">
        <v>36</v>
      </c>
      <c r="AI7" s="46">
        <v>1.0</v>
      </c>
      <c r="AJ7" s="45" t="s">
        <v>37</v>
      </c>
      <c r="AK7" s="35"/>
      <c r="AL7" s="35"/>
      <c r="AM7" s="35"/>
      <c r="AN7" s="35"/>
      <c r="AO7" s="35"/>
      <c r="AP7" s="35"/>
      <c r="AQ7" s="35"/>
      <c r="AR7" s="35"/>
      <c r="AS7" s="35"/>
      <c r="AT7" s="48">
        <v>988.83</v>
      </c>
      <c r="AU7" s="48">
        <v>988.83</v>
      </c>
      <c r="AV7" s="35"/>
      <c r="AW7" s="35"/>
      <c r="AX7" s="35"/>
      <c r="AY7" s="35"/>
      <c r="AZ7" s="35"/>
      <c r="BA7" s="35"/>
      <c r="BB7" s="35"/>
      <c r="BC7" s="35"/>
      <c r="BD7" s="35"/>
      <c r="BE7" s="44">
        <v>1000.0</v>
      </c>
      <c r="BF7" s="44">
        <v>1000.0</v>
      </c>
      <c r="BG7" s="35"/>
      <c r="BH7" s="35"/>
      <c r="BI7" s="35"/>
      <c r="BJ7" s="44">
        <v>1000.0</v>
      </c>
      <c r="BK7" s="35"/>
      <c r="BL7" s="35"/>
      <c r="BM7" s="45" t="s">
        <v>35</v>
      </c>
      <c r="BN7" s="35"/>
      <c r="BO7" s="45" t="s">
        <v>23</v>
      </c>
      <c r="BP7" s="35"/>
      <c r="BQ7" s="35"/>
      <c r="BR7" s="35"/>
      <c r="BS7" s="35"/>
      <c r="BT7" s="45" t="s">
        <v>16</v>
      </c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