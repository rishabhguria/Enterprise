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CreateDoneAwayOrder" sheetId="4" r:id="rId6"/>
    <sheet state="visible" name="GetDailyCash" sheetId="5" r:id="rId7"/>
    <sheet state="visible" name="UpdateMultipleDailyCash" sheetId="6" r:id="rId8"/>
    <sheet state="visible" name="PricingInput" sheetId="7" r:id="rId9"/>
    <sheet state="visible" name="FetchAccountPositions" sheetId="8" r:id="rId10"/>
    <sheet state="visible" name="AddCash" sheetId="9" r:id="rId11"/>
    <sheet state="visible" name="RunRebalance" sheetId="10" r:id="rId12"/>
    <sheet state="visible" name="RebalanceAcrossSecurities" sheetId="11" r:id="rId13"/>
    <sheet state="visible" name="SendtoStaging" sheetId="12" r:id="rId14"/>
    <sheet state="visible" name="VerifyOrder" sheetId="13" r:id="rId15"/>
  </sheets>
  <definedNames/>
  <calcPr/>
</workbook>
</file>

<file path=xl/sharedStrings.xml><?xml version="1.0" encoding="utf-8"?>
<sst xmlns="http://schemas.openxmlformats.org/spreadsheetml/2006/main" count="115" uniqueCount="49">
  <si>
    <t>Modules Info</t>
  </si>
  <si>
    <t>Modules</t>
  </si>
  <si>
    <t>Settings</t>
  </si>
  <si>
    <t>Module Step Setting File</t>
  </si>
  <si>
    <t>1HDGslINsX2xvwv6GJ3A4R106X2n1r8EbCpymEmKvxA8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</si>
  <si>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</si>
  <si>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</si>
  <si>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</si>
  <si>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</si>
  <si>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</si>
  <si>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</si>
  <si>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</si>
  <si>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TradingTicket</t>
  </si>
  <si>
    <t>CreateDoneAwayOrder</t>
  </si>
  <si>
    <t>Data Format</t>
  </si>
  <si>
    <t>Input Format</t>
  </si>
  <si>
    <t>AAPL</t>
  </si>
  <si>
    <t>Sell short</t>
  </si>
  <si>
    <t>Allocation1</t>
  </si>
  <si>
    <t>Allocation2</t>
  </si>
  <si>
    <t>DailyValuation</t>
  </si>
  <si>
    <t>GetDailyCash</t>
  </si>
  <si>
    <t>UpdateMultipleDailyCash</t>
  </si>
  <si>
    <t>USD</t>
  </si>
  <si>
    <t>PricingInput</t>
  </si>
  <si>
    <t>Rebalancer</t>
  </si>
  <si>
    <t>FetchAccountPositions</t>
  </si>
  <si>
    <t>TRIAL</t>
  </si>
  <si>
    <t>Real-Time Positions</t>
  </si>
  <si>
    <t>Account</t>
  </si>
  <si>
    <t>Positions</t>
  </si>
  <si>
    <t>AddCash</t>
  </si>
  <si>
    <t>Impact NAV</t>
  </si>
  <si>
    <t>None</t>
  </si>
  <si>
    <t>RunRebalance</t>
  </si>
  <si>
    <t>Nearest Round Off</t>
  </si>
  <si>
    <t>RebalanceAcrossSecurities</t>
  </si>
  <si>
    <t>Increase</t>
  </si>
  <si>
    <t>SendtoStaging</t>
  </si>
  <si>
    <t>BuyToClose</t>
  </si>
  <si>
    <t>Blotter</t>
  </si>
  <si>
    <t>VerifyOrder</t>
  </si>
  <si>
    <t>Buy to Close</t>
  </si>
  <si>
    <t>New</t>
  </si>
  <si>
    <t>MS</t>
  </si>
  <si>
    <t>Multiple</t>
  </si>
  <si>
    <t>Market</t>
  </si>
  <si>
    <t>*Rebal#_AAPL</t>
  </si>
  <si>
    <t xml:space="preserve">Rebalancer
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</si>
</sst>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6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sz val="10.0"/>
      <color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color rgb="FF000000"/>
      <name val="Docs-Calibri"/>
    </font>
    <font>
      <color rgb="FF000000"/>
      <name val="Arial"/>
    </font>
  </fonts>
  <fills count="7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  <fill>
      <patternFill patternType="solid">
        <fgColor rgb="FFFFFFFF"/>
        <bgColor rgb="FFFFFFFF"/>
      </patternFill>
    </fill>
  </fills>
  <borders count="8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right style="thin">
        <color rgb="FF000000"/>
      </right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48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7" numFmtId="0" xfId="0" applyAlignment="1" applyFont="1">
      <alignment readingOrder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9" numFmtId="0" xfId="0" applyAlignment="1" applyBorder="1" applyFont="1">
      <alignment readingOrder="0" shrinkToFit="0" wrapText="0"/>
    </xf>
    <xf borderId="4" fillId="3" fontId="9" numFmtId="0" xfId="0" applyAlignment="1" applyBorder="1" applyFont="1">
      <alignment shrinkToFit="0" wrapText="0"/>
    </xf>
    <xf borderId="0" fillId="0" fontId="10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8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1" numFmtId="0" xfId="0" applyFont="1"/>
    <xf borderId="0" fillId="4" fontId="12" numFmtId="0" xfId="0" applyAlignment="1" applyFill="1" applyFont="1">
      <alignment shrinkToFit="0" wrapText="0"/>
    </xf>
    <xf borderId="0" fillId="4" fontId="13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1" numFmtId="0" xfId="0" applyFont="1"/>
    <xf borderId="0" fillId="0" fontId="3" numFmtId="0" xfId="0" applyAlignment="1" applyFont="1">
      <alignment vertical="bottom"/>
    </xf>
    <xf borderId="0" fillId="0" fontId="5" numFmtId="0" xfId="0" applyAlignment="1" applyFont="1">
      <alignment horizontal="right" readingOrder="0" vertical="bottom"/>
    </xf>
    <xf borderId="0" fillId="0" fontId="5" numFmtId="0" xfId="0" applyAlignment="1" applyFont="1">
      <alignment horizontal="right" vertical="bottom"/>
    </xf>
    <xf borderId="0" fillId="0" fontId="3" numFmtId="14" xfId="0" applyAlignment="1" applyFont="1" applyNumberFormat="1">
      <alignment vertical="bottom"/>
    </xf>
    <xf borderId="0" fillId="0" fontId="5" numFmtId="14" xfId="0" applyAlignment="1" applyFont="1" applyNumberFormat="1">
      <alignment horizontal="right" vertical="bottom"/>
    </xf>
    <xf borderId="5" fillId="0" fontId="5" numFmtId="0" xfId="0" applyAlignment="1" applyBorder="1" applyFont="1">
      <alignment vertical="bottom"/>
    </xf>
    <xf borderId="6" fillId="0" fontId="5" numFmtId="0" xfId="0" applyAlignment="1" applyBorder="1" applyFont="1">
      <alignment vertical="bottom"/>
    </xf>
    <xf borderId="6" fillId="0" fontId="5" numFmtId="0" xfId="0" applyAlignment="1" applyBorder="1" applyFont="1">
      <alignment horizontal="right" vertical="bottom"/>
    </xf>
    <xf borderId="7" fillId="0" fontId="5" numFmtId="0" xfId="0" applyAlignment="1" applyBorder="1" applyFont="1">
      <alignment vertical="bottom"/>
    </xf>
    <xf borderId="7" fillId="0" fontId="5" numFmtId="0" xfId="0" applyAlignment="1" applyBorder="1" applyFont="1">
      <alignment horizontal="right" vertical="bottom"/>
    </xf>
    <xf borderId="0" fillId="0" fontId="5" numFmtId="0" xfId="0" applyAlignment="1" applyFont="1">
      <alignment vertical="bottom"/>
    </xf>
    <xf borderId="6" fillId="0" fontId="3" numFmtId="0" xfId="0" applyAlignment="1" applyBorder="1" applyFont="1">
      <alignment readingOrder="0" vertical="bottom"/>
    </xf>
    <xf borderId="6" fillId="0" fontId="3" numFmtId="0" xfId="0" applyAlignment="1" applyBorder="1" applyFont="1">
      <alignment vertical="bottom"/>
    </xf>
    <xf borderId="0" fillId="6" fontId="14" numFmtId="0" xfId="0" applyAlignment="1" applyFill="1" applyFont="1">
      <alignment horizontal="left" readingOrder="0"/>
    </xf>
    <xf borderId="0" fillId="0" fontId="3" numFmtId="0" xfId="0" applyAlignment="1" applyFont="1">
      <alignment readingOrder="0" vertical="bottom"/>
    </xf>
    <xf borderId="0" fillId="0" fontId="3" numFmtId="0" xfId="0" applyAlignment="1" applyFont="1">
      <alignment horizontal="right" readingOrder="0" vertical="bottom"/>
    </xf>
    <xf borderId="0" fillId="6" fontId="15" numFmtId="0" xfId="0" applyAlignment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9.png"/><Relationship Id="rId2" Type="http://schemas.openxmlformats.org/officeDocument/2006/relationships/image" Target="../media/image11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9.png"/><Relationship Id="rId2" Type="http://schemas.openxmlformats.org/officeDocument/2006/relationships/image" Target="../media/image11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9.png"/><Relationship Id="rId2" Type="http://schemas.openxmlformats.org/officeDocument/2006/relationships/image" Target="../media/image11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9.png"/><Relationship Id="rId2" Type="http://schemas.openxmlformats.org/officeDocument/2006/relationships/image" Target="../media/image11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9.png"/><Relationship Id="rId2" Type="http://schemas.openxmlformats.org/officeDocument/2006/relationships/image" Target="../media/image11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9.png"/><Relationship Id="rId2" Type="http://schemas.openxmlformats.org/officeDocument/2006/relationships/image" Target="../media/image11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9.png"/><Relationship Id="rId2" Type="http://schemas.openxmlformats.org/officeDocument/2006/relationships/image" Target="../media/image11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19.png"/><Relationship Id="rId2" Type="http://schemas.openxmlformats.org/officeDocument/2006/relationships/image" Target="../media/image11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19.png"/><Relationship Id="rId2" Type="http://schemas.openxmlformats.org/officeDocument/2006/relationships/image" Target="../media/image11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19.png"/><Relationship Id="rId2" Type="http://schemas.openxmlformats.org/officeDocument/2006/relationships/image" Target="../media/image1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IFERROR(__xludf.DUMMYFUNCTION("""COMPUTED_VALUE"""),"1dAW4zy24rTGIk36aETFXuQIiGMdIekN8xCbk-P0LmLA")</f>
        <v>1dAW4zy24rTGIk36aETFXuQIiGMdIekN8xCbk-P0LmLA</v>
      </c>
      <c r="D5" s="4" t="str">
        <f>IFERROR(__xludf.DUMMYFUNCTION("""COMPUTED_VALUE"""),"Output")</f>
        <v>Output</v>
      </c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IFERROR(__xludf.DUMMYFUNCTION("""COMPUTED_VALUE"""),"17z9ihiMKD6gfUvZ9W-EjVcck7eLx5-pL1aGZINvM7DM")</f>
        <v>17z9ihiMKD6gfUvZ9W-EjVcck7eLx5-pL1aGZINvM7DM</v>
      </c>
      <c r="D6" s="4" t="str">
        <f>IFERROR(__xludf.DUMMYFUNCTION("""COMPUTED_VALUE"""),"Output")</f>
        <v>Output</v>
      </c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IFERROR(__xludf.DUMMYFUNCTION("""COMPUTED_VALUE"""),"1zHzWd-dKjjhFUjGMV5t3NQvfyrdLY3UgzQqgPYz_w-M")</f>
        <v>1zHzWd-dKjjhFUjGMV5t3NQvfyrdLY3UgzQqgPYz_w-M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IFERROR(__xludf.DUMMYFUNCTION("""COMPUTED_VALUE"""),"1Od578flUHxwEJwC1Fz1DITVFvR2djQefHIh7VovYb4w")</f>
        <v>1Od578flUHxwEJwC1Fz1DITVFvR2djQefHIh7VovYb4w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IFERROR(__xludf.DUMMYFUNCTION("""COMPUTED_VALUE"""),"1UDUQRoc1aD2NzlOBbpEHizmHA_TClEqDOUqmI85UdPY")</f>
        <v>1UDUQRoc1aD2NzlOBbpEHizmHA_TClEqDOUqmI85UdPY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IFERROR(__xludf.DUMMYFUNCTION("""COMPUTED_VALUE"""),"CheckBlotter")</f>
        <v>CheckBlotter</v>
      </c>
      <c r="C12" s="4" t="str">
        <f>IFERROR(__xludf.DUMMYFUNCTION("""COMPUTED_VALUE"""),"13ZrsiZ70OIEAatRBfOiR_gV5rJ_midISjjF8v-4eL0Y")</f>
        <v>13ZrsiZ70OIEAatRBfOiR_gV5rJ_midISjjF8v-4eL0Y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IFERROR(__xludf.DUMMYFUNCTION("""COMPUTED_VALUE"""),"1tyMnWQY__e4MUR_xwPpIDDmcPGtTnjD3W3VkZKeGYzI")</f>
        <v>1tyMnWQY__e4MUR_xwPpIDDmcPGtTnjD3W3VkZKeGYzI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IFERROR(__xludf.DUMMYFUNCTION("""COMPUTED_VALUE"""),"1USUg7JbYRIA3kdfb0kw6ZMMOSpQ1ZYhS75Gao9wR5T8")</f>
        <v>1USUg7JbYRIA3kdfb0kw6ZMMOSpQ1ZYhS75Gao9wR5T8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IFERROR(__xludf.DUMMYFUNCTION("""COMPUTED_VALUE"""),"1p2p6gSqvocKogadVT8EcyD1uh3PHpJ19DpW4ijaPhxE")</f>
        <v>1p2p6gSqvocKogadVT8EcyD1uh3PHpJ19DpW4ijaPhxE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IFERROR(__xludf.DUMMYFUNCTION("""COMPUTED_VALUE"""),"19uFS9OGON_IU8FmYpPrX0mhGeWrYqRslB9hXN6_tcJw")</f>
        <v>19uFS9OGON_IU8FmYpPrX0mhGeWrYqRslB9hXN6_tcJw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IFERROR(__xludf.DUMMYFUNCTION("""COMPUTED_VALUE"""),"1-XlUXAxaC6I6StmIuxYN-EpjycpOsKaKUTf2A8ycEz8")</f>
        <v>1-XlUXAxaC6I6StmIuxYN-EpjycpOsKaKUTf2A8ycEz8</v>
      </c>
      <c r="D17" s="4" t="str">
        <f>IFERROR(__xludf.DUMMYFUNCTION("""COMPUTED_VALUE"""),"Output")</f>
        <v>Output</v>
      </c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IFERROR(__xludf.DUMMYFUNCTION("""COMPUTED_VALUE"""),"1sL_WZLppCT4Ki-R3zoVfUsjrZLxQpK1e4BjriH8glWU")</f>
        <v>1sL_WZLppCT4Ki-R3zoVfUsjrZLxQpK1e4BjriH8glWU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IFERROR(__xludf.DUMMYFUNCTION("""COMPUTED_VALUE"""),"102WNNSUlKvyh3foJRyeIRNwf9zLZy3mPzlXFy3nx5eI")</f>
        <v>102WNNSUlKvyh3foJRyeIRNwf9zLZy3mPzlXFy3nx5eI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IFERROR(__xludf.DUMMYFUNCTION("""COMPUTED_VALUE"""),"1-0Em95ZN9Vt-zKWBJwpEk4-Gv9MytxdcIN56mf3XmAY")</f>
        <v>1-0Em95ZN9Vt-zKWBJwpEk4-Gv9MytxdcIN56mf3XmAY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IFERROR(__xludf.DUMMYFUNCTION("""COMPUTED_VALUE"""),"1XBVNrYsG0mscyH68ut4sRom8XHcikIuM5L2SZOnTqh8")</f>
        <v>1XBVNrYsG0mscyH68ut4sRom8XHcikIuM5L2SZOnTqh8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IFERROR(__xludf.DUMMYFUNCTION("""COMPUTED_VALUE"""),"1dVMhvhPJNkuRqzig0Yyxm9TcxCvSCxm4pGTHTUTnsRE")</f>
        <v>1dVMhvhPJNkuRqzig0Yyxm9TcxCvSCxm4pGTHTUTnsRE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IFERROR(__xludf.DUMMYFUNCTION("""COMPUTED_VALUE"""),"1VgfvPkC2fO8lxFnWeV2SJts5aU1T2aFQ0qKO0SLQUe8")</f>
        <v>1VgfvPkC2fO8lxFnWeV2SJts5aU1T2aFQ0qKO0SLQUe8</v>
      </c>
      <c r="D23" s="4" t="str">
        <f>IFERROR(__xludf.DUMMYFUNCTION("""COMPUTED_VALUE"""),"Input")</f>
        <v>Input</v>
      </c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IFERROR(__xludf.DUMMYFUNCTION("""COMPUTED_VALUE"""),"1zW-ZRiE_Nva2mXz7B9Rcq8AEgDMa5eZaUAA_V2cuGso")</f>
        <v>1zW-ZRiE_Nva2mXz7B9Rcq8AEgDMa5eZaUAA_V2cuGso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IFERROR(__xludf.DUMMYFUNCTION("""COMPUTED_VALUE"""),"16RytMV8yiBXzfJCYZpll7LZktPSSGF4KWO7qf7ok8JQ")</f>
        <v>16RytMV8yiBXzfJCYZpll7LZktPSSGF4KWO7qf7ok8JQ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IFERROR(__xludf.DUMMYFUNCTION("""COMPUTED_VALUE"""),"1enXmitAcl2gpCRQiXEHfGs14iE42srrOblgmWD48ZBs")</f>
        <v>1enXmitAcl2gpCRQiXEHfGs14iE42srrOblgmWD48ZBs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IFERROR(__xludf.DUMMYFUNCTION("""COMPUTED_VALUE"""),"1C7Ks4F1TdJ8FZ6aZHjbrGn084nRfj8jEyfA5AFY5Nq0")</f>
        <v>1C7Ks4F1TdJ8FZ6aZHjbrGn084nRfj8jEyfA5AFY5Nq0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IFERROR(__xludf.DUMMYFUNCTION("""COMPUTED_VALUE"""),"1ZYl3uoCzgPXxwJvvcfCJFn-BuPdlu5gk2xFErxHot4E")</f>
        <v>1ZYl3uoCzgPXxwJvvcfCJFn-BuPdlu5gk2xFErxHot4E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IFERROR(__xludf.DUMMYFUNCTION("""COMPUTED_VALUE"""),"1dhMZot7F9QQRFijtknpohXOzfw-LKDG0jNChXBmHnV0")</f>
        <v>1dhMZot7F9QQRFijtknpohXOzfw-LKDG0jNChXBmHnV0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IFERROR(__xludf.DUMMYFUNCTION("""COMPUTED_VALUE"""),"1PvJslce4o2d-qEGhOJrynvXMJkt18ljCw9Pu5raIKXY")</f>
        <v>1PvJslce4o2d-qEGhOJrynvXMJkt18ljCw9Pu5raIKXY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IFERROR(__xludf.DUMMYFUNCTION("""COMPUTED_VALUE"""),"1MWj-Ewd_04hjbFCDp4jovmv42JdTVXl3OPLl_2Xl8YM")</f>
        <v>1MWj-Ewd_04hjbFCDp4jovmv42JdTVXl3OPLl_2Xl8YM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IFERROR(__xludf.DUMMYFUNCTION("""COMPUTED_VALUE"""),"14QSrtmSo-hnXcnllkpyGNjEuADSVYEG-iEsa8-G5EZw")</f>
        <v>14QSrtmSo-hnXcnllkpyGNjEuADSVYEG-iEsa8-G5EZw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IFERROR(__xludf.DUMMYFUNCTION("""COMPUTED_VALUE"""),"1Cgo4_M28Dd3NnKk4ASpCKTv_dvi6I8bjSSceZyVjX9A")</f>
        <v>1Cgo4_M28Dd3NnKk4ASpCKTv_dvi6I8bjSSceZyVjX9A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IFERROR(__xludf.DUMMYFUNCTION("""COMPUTED_VALUE"""),"1nGpwtxrIFtmReUhGpIilT0MevcyxkX19n4HnGhdnzYE")</f>
        <v>1nGpwtxrIFtmReUhGpIilT0MevcyxkX19n4HnGhdnzYE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IFERROR(__xludf.DUMMYFUNCTION("""COMPUTED_VALUE"""),"1Kg0g4qJialeFYzLCU4TTV0I5NyaTDDmAlGxn3x6T-ok")</f>
        <v>1Kg0g4qJialeFYzLCU4TTV0I5NyaTDDmAlGxn3x6T-ok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IFERROR(__xludf.DUMMYFUNCTION("""COMPUTED_VALUE"""),"1_Go4Nh_j8RGdlKm_DDwyvOgfOr3AwhBuVa9rA-AUAOw")</f>
        <v>1_Go4Nh_j8RGdlKm_DDwyvOgfOr3AwhBuVa9rA-AUAOw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IFERROR(__xludf.DUMMYFUNCTION("""COMPUTED_VALUE"""),"1054Dp-OxM1p-rZnzzSqh-SqQkpD8Z_OWXg3CfFdqy7M")</f>
        <v>1054Dp-OxM1p-rZnzzSqh-SqQkpD8Z_OWXg3CfFdqy7M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IFERROR(__xludf.DUMMYFUNCTION("""COMPUTED_VALUE"""),"1uWQj54UjFWhgsLL9n5pavuSkyyDXc2Vcn7SoBgryi3o")</f>
        <v>1uWQj54UjFWhgsLL9n5pavuSkyyDXc2Vcn7SoBgryi3o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IFERROR(__xludf.DUMMYFUNCTION("""COMPUTED_VALUE"""),"1QaI6E-t-jX8GKJ5JGoQ4u9mtVMyU1Cn0CKimTSyR5q4")</f>
        <v>1QaI6E-t-jX8GKJ5JGoQ4u9mtVMyU1Cn0CKimTSyR5q4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IFERROR(__xludf.DUMMYFUNCTION("""COMPUTED_VALUE"""),"11J2CyS04tBp4uY6TcAPw3JIrDRfa-LbGSO4t2uHxwps")</f>
        <v>11J2CyS04tBp4uY6TcAPw3JIrDRfa-LbGSO4t2uHxwps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IFERROR(__xludf.DUMMYFUNCTION("""COMPUTED_VALUE"""),"1M_vWwbJmnVHSZCn_aXTbhje_gX1wR7qPtpIVUwfXXEI")</f>
        <v>1M_vWwbJmnVHSZCn_aXTbhje_gX1wR7qPtpIVUwfXXEI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IFERROR(__xludf.DUMMYFUNCTION("""COMPUTED_VALUE"""),"1vFZ64ryr2VFLcElyXorjcKwwOhZ8tjDhryLIAHy27bE")</f>
        <v>1vFZ64ryr2VFLcElyXorjcKwwOhZ8tjDhryLIAHy27bE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IFERROR(__xludf.DUMMYFUNCTION("""COMPUTED_VALUE"""),"1L3gN238YfNhME2oXANYOxsDqCsLD4ZEHIlA5Jsb6m6c")</f>
        <v>1L3gN238YfNhME2oXANYOxsDqCsLD4ZEHIlA5Jsb6m6c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IFERROR(__xludf.DUMMYFUNCTION("""COMPUTED_VALUE"""),"1pKHneTUFUr5WXMe4F-VBAmct-wXnePCUdmBXuOqeVuw")</f>
        <v>1pKHneTUFUr5WXMe4F-VBAmct-wXnePCUdmBXuOqeVuw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IFERROR(__xludf.DUMMYFUNCTION("""COMPUTED_VALUE"""),"1WzU1RiZXL_7t6r0dcR0WnXz71am7fUsr-wU3kjWCtaE")</f>
        <v>1WzU1RiZXL_7t6r0dcR0WnXz71am7fUsr-wU3kjWCtaE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IFERROR(__xludf.DUMMYFUNCTION("""COMPUTED_VALUE"""),"1RIHUYWPMKXGpnAsp4Jz6Em30T64FYyR5TIgIkrla3yU")</f>
        <v>1RIHUYWPMKXGpnAsp4Jz6Em30T64FYyR5TIgIkrla3yU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IFERROR(__xludf.DUMMYFUNCTION("""COMPUTED_VALUE"""),"1Q3CvcJTXAvTE2mBIvHOTKjxVj65x69-r_2DX4vvEdI8")</f>
        <v>1Q3CvcJTXAvTE2mBIvHOTKjxVj65x69-r_2DX4vvEdI8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IFERROR(__xludf.DUMMYFUNCTION("""COMPUTED_VALUE"""),"1wNuNwZOJqtA-8mRJL9Ia6-naXg3bSmEyC3qYtF3Zb6k")</f>
        <v>1wNuNwZOJqtA-8mRJL9Ia6-naXg3bSmEyC3qYtF3Zb6k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IFERROR(__xludf.DUMMYFUNCTION("""COMPUTED_VALUE"""),"1v2TwlXYUVTAW9403xEXtZUKOP9DAhnmCSHAEgc6AVaI")</f>
        <v>1v2TwlXYUVTAW9403xEXtZUKOP9DAhnmCSHAEgc6AVaI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IFERROR(__xludf.DUMMYFUNCTION("""COMPUTED_VALUE"""),"1N-zYKtF75gyqLL5P02km4hZ7Jkr0uNE2IK0AoWpxdB4")</f>
        <v>1N-zYKtF75gyqLL5P02km4hZ7Jkr0uNE2IK0AoWpxdB4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IFERROR(__xludf.DUMMYFUNCTION("""COMPUTED_VALUE"""),"Split")</f>
        <v>Split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IFERROR(__xludf.DUMMYFUNCTION("""COMPUTED_VALUE"""),"CorporateAction")</f>
        <v>CorporateAction</v>
      </c>
      <c r="B57" t="str">
        <f>IFERROR(__xludf.DUMMYFUNCTION("""COMPUTED_VALUE"""),"StockDividend")</f>
        <v>StockDividend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IFERROR(__xludf.DUMMYFUNCTION("""COMPUTED_VALUE"""),"TradingTicket")</f>
        <v>TradingTicket</v>
      </c>
      <c r="B58" t="str">
        <f>IFERROR(__xludf.DUMMYFUNCTION("""COMPUTED_VALUE"""),"EnterDetailsOnTT")</f>
        <v>EnterDetailsOnTT</v>
      </c>
      <c r="C58" t="str">
        <f>IFERROR(__xludf.DUMMYFUNCTION("""COMPUTED_VALUE"""),"1USUFnv2khq0UbjkrPU_zQJSuYXrvmItX38YEDm8i76M")</f>
        <v>1USUFnv2khq0UbjkrPU_zQJSuYXrvmItX38YEDm8i76M</v>
      </c>
    </row>
    <row r="59" ht="15.75" customHeight="1">
      <c r="A59" t="str">
        <f>IFERROR(__xludf.DUMMYFUNCTION("""COMPUTED_VALUE"""),"DailyValuation")</f>
        <v>DailyValuation</v>
      </c>
      <c r="B59" t="str">
        <f>IFERROR(__xludf.DUMMYFUNCTION("""COMPUTED_VALUE"""),"CleanUp")</f>
        <v>CleanUp</v>
      </c>
      <c r="C59" t="str">
        <f>IFERROR(__xludf.DUMMYFUNCTION("""COMPUTED_VALUE"""),"Undefined")</f>
        <v>Undefined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IFERROR(__xludf.DUMMYFUNCTION("""COMPUTED_VALUE"""),"EditUnallocatedGroupSidePanel")</f>
        <v>EditUnallocatedGroupSidePanel</v>
      </c>
      <c r="C60" t="str">
        <f>IFERROR(__xludf.DUMMYFUNCTION("""COMPUTED_VALUE"""),"1yQCR9Blg-BWAFR5rejoQ3Xot5kTqa1YSrepP8yRI0no")</f>
        <v>1yQCR9Blg-BWAFR5rejoQ3Xot5kTqa1YSrepP8yRI0no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IFERROR(__xludf.DUMMYFUNCTION("""COMPUTED_VALUE"""),"TradeAttributeBulkChange")</f>
        <v>TradeAttributeBulkChange</v>
      </c>
      <c r="C61" t="str">
        <f>IFERROR(__xludf.DUMMYFUNCTION("""COMPUTED_VALUE"""),"1xR2U77hDGoYiG9UJiadlkCtex4CRP3XdEHpNVb6-_DU")</f>
        <v>1xR2U77hDGoYiG9UJiadlkCtex4CRP3XdEHpNVb6-_DU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IFERROR(__xludf.DUMMYFUNCTION("""COMPUTED_VALUE"""),"ApplyBulkUpdateOnGroups")</f>
        <v>ApplyBulkUpdateOnGroups</v>
      </c>
      <c r="C62" t="str">
        <f>IFERROR(__xludf.DUMMYFUNCTION("""COMPUTED_VALUE"""),"1H1EToJE2qBCDCNT5pO7WcuJ0iHV1kDkWlUcEtahS-t0")</f>
        <v>1H1EToJE2qBCDCNT5pO7WcuJ0iHV1kDkWlUcEtahS-t0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IFERROR(__xludf.DUMMYFUNCTION("""COMPUTED_VALUE"""),"ApplyPrefetchFilters")</f>
        <v>ApplyPrefetchFilters</v>
      </c>
      <c r="C63" t="str">
        <f>IFERROR(__xludf.DUMMYFUNCTION("""COMPUTED_VALUE"""),"1Yd3RGZzNaXytrUWlc8Ri6Dz4jB5W5r3-aLLpT8fi0WQ")</f>
        <v>1Yd3RGZzNaXytrUWlc8Ri6Dz4jB5W5r3-aLLpT8fi0WQ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IFERROR(__xludf.DUMMYFUNCTION("""COMPUTED_VALUE"""),"GeneralPreferencesDefaultRule")</f>
        <v>GeneralPreferencesDefaultRule</v>
      </c>
      <c r="C64" t="str">
        <f>IFERROR(__xludf.DUMMYFUNCTION("""COMPUTED_VALUE"""),"1NdBqiHIw-u9pqZMPVlcNKatJPe7upqebG7W2y5rMqzE")</f>
        <v>1NdBqiHIw-u9pqZMPVlcNKatJPe7upqebG7W2y5rMqzE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IFERROR(__xludf.DUMMYFUNCTION("""COMPUTED_VALUE"""),"GeneralPrefCompanyUserWise")</f>
        <v>GeneralPrefCompanyUserWise</v>
      </c>
      <c r="C65" t="str">
        <f>IFERROR(__xludf.DUMMYFUNCTION("""COMPUTED_VALUE"""),"1_lJmD986KGGdVst_lNkOtnFwiUJJsqL0-r0ZnsgbBOY")</f>
        <v>1_lJmD986KGGdVst_lNkOtnFwiUJJsqL0-r0ZnsgbBOY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IFERROR(__xludf.DUMMYFUNCTION("""COMPUTED_VALUE"""),"RenameTradeAttributes")</f>
        <v>RenameTradeAttributes</v>
      </c>
      <c r="C66" t="str">
        <f>IFERROR(__xludf.DUMMYFUNCTION("""COMPUTED_VALUE"""),"1pMOWszVmrlGDHYTadcb5_EUVP8T4vk6pLOP4_kFCagw")</f>
        <v>1pMOWszVmrlGDHYTadcb5_EUVP8T4vk6pLOP4_kFCagw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IFERROR(__xludf.DUMMYFUNCTION("""COMPUTED_VALUE"""),"SetGroupingRules")</f>
        <v>SetGroupingRules</v>
      </c>
      <c r="C67" t="str">
        <f>IFERROR(__xludf.DUMMYFUNCTION("""COMPUTED_VALUE"""),"1QLeyqVSjQtcuPzU9zlGJg_H8l4QWFjACqX99YM-g82I")</f>
        <v>1QLeyqVSjQtcuPzU9zlGJg_H8l4QWFjACqX99YM-g82I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IFERROR(__xludf.DUMMYFUNCTION("""COMPUTED_VALUE"""),"SetMasterFundRatio")</f>
        <v>SetMasterFundRatio</v>
      </c>
      <c r="C68" t="str">
        <f>IFERROR(__xludf.DUMMYFUNCTION("""COMPUTED_VALUE"""),"1gdeUgF-J2HwokdWex9YmjHD4Ccg50-NZB7E8YkmPtOo")</f>
        <v>1gdeUgF-J2HwokdWex9YmjHD4Ccg50-NZB7E8YkmPtOo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IFERROR(__xludf.DUMMYFUNCTION("""COMPUTED_VALUE"""),"CheckFixedPreference")</f>
        <v>CheckFixedPreference</v>
      </c>
      <c r="C69" t="str">
        <f>IFERROR(__xludf.DUMMYFUNCTION("""COMPUTED_VALUE"""),"1Zu2Bi3EmtHPhjLwCDeJ29XaN2qT3Qxabh7bCJWu7PTI")</f>
        <v>1Zu2Bi3EmtHPhjLwCDeJ29XaN2qT3Qxabh7bCJWu7PTI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IFERROR(__xludf.DUMMYFUNCTION("""COMPUTED_VALUE"""),"GetFixedPreference")</f>
        <v>GetFixedPreference</v>
      </c>
      <c r="C70" t="str">
        <f>IFERROR(__xludf.DUMMYFUNCTION("""COMPUTED_VALUE"""),"1ODsvxjkKKhh0dGDsE_DQyuSMdpx2X9J4089o-Dt1a9A")</f>
        <v>1ODsvxjkKKhh0dGDsE_DQyuSMdpx2X9J4089o-Dt1a9A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IFERROR(__xludf.DUMMYFUNCTION("""COMPUTED_VALUE"""),"AddCalculatedPreferences")</f>
        <v>AddCalculatedPreferences</v>
      </c>
      <c r="C71" t="str">
        <f>IFERROR(__xludf.DUMMYFUNCTION("""COMPUTED_VALUE"""),"1faXJF5y2ZVHmLsgikwmvDB-Jtq_rGbNG6zlAUDzRBtA")</f>
        <v>1faXJF5y2ZVHmLsgikwmvDB-Jtq_rGbNG6zlAUDzRBtA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IFERROR(__xludf.DUMMYFUNCTION("""COMPUTED_VALUE"""),"BulkChangeCalculatedPreferences")</f>
        <v>BulkChangeCalculatedPreferences</v>
      </c>
      <c r="C72" t="str">
        <f>IFERROR(__xludf.DUMMYFUNCTION("""COMPUTED_VALUE"""),"1llt7_DP_NqeceNLLJIKbcJarV5Lqj6ALOHCKOuJmGjk")</f>
        <v>1llt7_DP_NqeceNLLJIKbcJarV5Lqj6ALOHCKOuJmGjk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IFERROR(__xludf.DUMMYFUNCTION("""COMPUTED_VALUE"""),"DeleteCalculatedPreferences")</f>
        <v>DeleteCalculatedPreferences</v>
      </c>
      <c r="C73" t="str">
        <f>IFERROR(__xludf.DUMMYFUNCTION("""COMPUTED_VALUE"""),"1fNu6gI_y_85KD4O0jSI66dgRQwcPPJheWBdLlHvTGFg")</f>
        <v>1fNu6gI_y_85KD4O0jSI66dgRQwcPPJheWBdLlHvTGFg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IFERROR(__xludf.DUMMYFUNCTION("""COMPUTED_VALUE"""),"RenameCalculatedPreferences")</f>
        <v>RenameCalculatedPreferences</v>
      </c>
      <c r="C74" t="str">
        <f>IFERROR(__xludf.DUMMYFUNCTION("""COMPUTED_VALUE"""),"1YxoMrdMTEXgWpPXHs7vTOHT3Df0ifrbC19UEqshVQfI")</f>
        <v>1YxoMrdMTEXgWpPXHs7vTOHT3Df0ifrbC19UEqshVQfI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IFERROR(__xludf.DUMMYFUNCTION("""COMPUTED_VALUE"""),"CopyCalculatedPreferences")</f>
        <v>CopyCalculatedPreferences</v>
      </c>
      <c r="C75" t="str">
        <f>IFERROR(__xludf.DUMMYFUNCTION("""COMPUTED_VALUE"""),"1l2YY8Mzn32EgaMbMJhhzT2XMWHmURG-s0Zu8Olt_3fU")</f>
        <v>1l2YY8Mzn32EgaMbMJhhzT2XMWHmURG-s0Zu8Olt_3fU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IFERROR(__xludf.DUMMYFUNCTION("""COMPUTED_VALUE"""),"RunAutoGroup")</f>
        <v>RunAutoGroup</v>
      </c>
      <c r="C76" t="str">
        <f>IFERROR(__xludf.DUMMYFUNCTION("""COMPUTED_VALUE"""),"12vKN0G7oN8cWEJ4AlpsbQhg1ZjcvZZ4xGj4U--I5G90")</f>
        <v>12vKN0G7oN8cWEJ4AlpsbQhg1ZjcvZZ4xGj4U--I5G90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IFERROR(__xludf.DUMMYFUNCTION("""COMPUTED_VALUE"""),"BookOrUpdateSwap")</f>
        <v>BookOrUpdateSwap</v>
      </c>
      <c r="C77" t="str">
        <f>IFERROR(__xludf.DUMMYFUNCTION("""COMPUTED_VALUE"""),"1kAt3Mgmw5tT6toTdnsGHKVMKAVf3hEh5XynY25StseE")</f>
        <v>1kAt3Mgmw5tT6toTdnsGHKVMKAVf3hEh5XynY25StseE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IFERROR(__xludf.DUMMYFUNCTION("""COMPUTED_VALUE"""),"RunProrata")</f>
        <v>RunProrata</v>
      </c>
      <c r="C78" t="str">
        <f>IFERROR(__xludf.DUMMYFUNCTION("""COMPUTED_VALUE"""),"16DnLu_yRMpQd_JaFe_TkLYqrruNMkt7YlE7TbZhNq1k")</f>
        <v>16DnLu_yRMpQd_JaFe_TkLYqrruNMkt7YlE7TbZhNq1k</v>
      </c>
    </row>
    <row r="79" ht="15.75" customHeight="1">
      <c r="A79" t="str">
        <f>IFERROR(__xludf.DUMMYFUNCTION("""COMPUTED_VALUE"""),"Allocation")</f>
        <v>Allocation</v>
      </c>
      <c r="B79" t="str">
        <f>IFERROR(__xludf.DUMMYFUNCTION("""COMPUTED_VALUE"""),"SetDefaultRuleCalculatedPref")</f>
        <v>SetDefaultRuleCalculatedPref</v>
      </c>
      <c r="C79" t="str">
        <f>IFERROR(__xludf.DUMMYFUNCTION("""COMPUTED_VALUE"""),"10JstdZ0oAMKlf3YcIFD3LEy3lSUVJZ88BP-uXbM_37M")</f>
        <v>10JstdZ0oAMKlf3YcIFD3LEy3lSUVJZ88BP-uXbM_37M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IFERROR(__xludf.DUMMYFUNCTION("""COMPUTED_VALUE"""),"SetTTUIPreferences")</f>
        <v>SetTTUIPreferences</v>
      </c>
      <c r="C80" t="str">
        <f>IFERROR(__xludf.DUMMYFUNCTION("""COMPUTED_VALUE"""),"10lnSWIZEIkkrpKRGZSTZZ3CJwUT2e_wja-kp_hFbqgs")</f>
        <v>10lnSWIZEIkkrpKRGZSTZZ3CJwUT2e_wja-kp_hFbqgs</v>
      </c>
    </row>
    <row r="81" ht="15.75" customHeight="1">
      <c r="A81" t="str">
        <f>IFERROR(__xludf.DUMMYFUNCTION("""COMPUTED_VALUE"""),"Admin")</f>
        <v>Admin</v>
      </c>
      <c r="B81" t="str">
        <f>IFERROR(__xludf.DUMMYFUNCTION("""COMPUTED_VALUE"""),"TTPermissionLevel")</f>
        <v>TTPermissionLevel</v>
      </c>
      <c r="C81" t="str">
        <f>IFERROR(__xludf.DUMMYFUNCTION("""COMPUTED_VALUE"""),"10v0BJe2YKjTEVcglnAbRuMYRHHr2FY-iAfdpmMRzRiE")</f>
        <v>10v0BJe2YKjTEVcglnAbRuMYRHHr2FY-iAfdpmMRzRiE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IFERROR(__xludf.DUMMYFUNCTION("""COMPUTED_VALUE"""),"ValidateSymbolTT")</f>
        <v>ValidateSymbolTT</v>
      </c>
      <c r="C82" t="str">
        <f>IFERROR(__xludf.DUMMYFUNCTION("""COMPUTED_VALUE"""),"1isIZCSjuRGxfoo8ExjjNDs0TzIIeZIsHSnQvqmaDKQI")</f>
        <v>1isIZCSjuRGxfoo8ExjjNDs0TzIIeZIsHSnQvqmaDKQI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IFERROR(__xludf.DUMMYFUNCTION("""COMPUTED_VALUE"""),"VerifyDataTT")</f>
        <v>VerifyDataTT</v>
      </c>
      <c r="C83" t="str">
        <f>IFERROR(__xludf.DUMMYFUNCTION("""COMPUTED_VALUE"""),"Undefined")</f>
        <v>Undefined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IFERROR(__xludf.DUMMYFUNCTION("""COMPUTED_VALUE"""),"SetUIPreferencesTT")</f>
        <v>SetUIPreferencesTT</v>
      </c>
      <c r="C84" t="str">
        <f>IFERROR(__xludf.DUMMYFUNCTION("""COMPUTED_VALUE"""),"1on24Xx1A89RTEZQ936dDTQItTDtvLOJ0q7jxDMXximg")</f>
        <v>1on24Xx1A89RTEZQ936dDTQItTDtvLOJ0q7jxDMXximg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IFERROR(__xludf.DUMMYFUNCTION("""COMPUTED_VALUE"""),"SetBrokerWisePreferencesTT")</f>
        <v>SetBrokerWisePreferencesTT</v>
      </c>
      <c r="C85" t="str">
        <f>IFERROR(__xludf.DUMMYFUNCTION("""COMPUTED_VALUE"""),"1oazHOMbdZzIFqt9RWTRPe_FI8r-VEbDEKFhRoyrF_ZI")</f>
        <v>1oazHOMbdZzIFqt9RWTRPe_FI8r-VEbDEKFhRoyrF_ZI</v>
      </c>
    </row>
    <row r="86" ht="15.75" customHeight="1">
      <c r="A86" t="str">
        <f>IFERROR(__xludf.DUMMYFUNCTION("""COMPUTED_VALUE"""),"TradingTicket")</f>
        <v>TradingTicket</v>
      </c>
      <c r="B86" t="str">
        <f>IFERROR(__xludf.DUMMYFUNCTION("""COMPUTED_VALUE"""),"VerifyComplianceOrder")</f>
        <v>VerifyComplianceOrder</v>
      </c>
      <c r="C86" t="str">
        <f>IFERROR(__xludf.DUMMYFUNCTION("""COMPUTED_VALUE"""),"1C1ihxuii7UtcJWaOpuhmq2xNZfrmJtCRgTQInc4VfTM")</f>
        <v>1C1ihxuii7UtcJWaOpuhmq2xNZfrmJtCRgTQInc4VfTM</v>
      </c>
    </row>
    <row r="87" ht="15.75" customHeight="1">
      <c r="A87" t="str">
        <f>IFERROR(__xludf.DUMMYFUNCTION("""COMPUTED_VALUE"""),"Blotter")</f>
        <v>Blotter</v>
      </c>
      <c r="B87" t="str">
        <f>IFERROR(__xludf.DUMMYFUNCTION("""COMPUTED_VALUE"""),"BlotterFunctionalities")</f>
        <v>BlotterFunctionalities</v>
      </c>
      <c r="C87" t="str">
        <f>IFERROR(__xludf.DUMMYFUNCTION("""COMPUTED_VALUE"""),"1NTjIJzn83A5UVkjxsSH3LnmJ5c7qV5uOQs8vtIWCRLg")</f>
        <v>1NTjIJzn83A5UVkjxsSH3LnmJ5c7qV5uOQs8vtIWCRLg</v>
      </c>
    </row>
    <row r="88" ht="15.75" customHeight="1">
      <c r="A88" t="str">
        <f>IFERROR(__xludf.DUMMYFUNCTION("""COMPUTED_VALUE"""),"TradingTicket")</f>
        <v>TradingTicket</v>
      </c>
      <c r="B88" t="str">
        <f>IFERROR(__xludf.DUMMYFUNCTION("""COMPUTED_VALUE"""),"TradeNewSub")</f>
        <v>TradeNewSub</v>
      </c>
      <c r="C88" t="str">
        <f>IFERROR(__xludf.DUMMYFUNCTION("""COMPUTED_VALUE"""),"1zKwPhUWsQiJuXW-5M_TapYbtIUsySxSnBvlnGGYS6Ak")</f>
        <v>1zKwPhUWsQiJuXW-5M_TapYbtIUsySxSnBvlnGGYS6Ak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IFERROR(__xludf.DUMMYFUNCTION("""COMPUTED_VALUE"""),"GetTradingTransaction")</f>
        <v>GetTradingTransaction</v>
      </c>
      <c r="C89" t="str">
        <f>IFERROR(__xludf.DUMMYFUNCTION("""COMPUTED_VALUE"""),"1kv8v1CbDlw931gEvlCVeiXqmEc9l3QCI_MwkOELS2qw")</f>
        <v>1kv8v1CbDlw931gEvlCVeiXqmEc9l3QCI_MwkOELS2qw</v>
      </c>
    </row>
    <row r="90" ht="15.75" customHeight="1">
      <c r="A90" t="str">
        <f>IFERROR(__xludf.DUMMYFUNCTION("""COMPUTED_VALUE"""),"GeneralLedger")</f>
        <v>GeneralLedger</v>
      </c>
      <c r="B90" t="str">
        <f>IFERROR(__xludf.DUMMYFUNCTION("""COMPUTED_VALUE"""),"GetActivityData")</f>
        <v>GetActivityData</v>
      </c>
      <c r="C90" t="str">
        <f>IFERROR(__xludf.DUMMYFUNCTION("""COMPUTED_VALUE"""),"1gC0fGcg2kDadwcHwX4w3_k5mEk9qKGCjBN44zKok6kw")</f>
        <v>1gC0fGcg2kDadwcHwX4w3_k5mEk9qKGCjBN44zKok6kw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IFERROR(__xludf.DUMMYFUNCTION("""COMPUTED_VALUE"""),"SetAccountValueCalculatedPref")</f>
        <v>SetAccountValueCalculatedPref</v>
      </c>
      <c r="C91" t="str">
        <f>IFERROR(__xludf.DUMMYFUNCTION("""COMPUTED_VALUE"""),"1szyA-wnQxJNDjKp5TPI-uk3EJyLpMX2K0QEQn9jfQ7U")</f>
        <v>1szyA-wnQxJNDjKp5TPI-uk3EJyLpMX2K0QEQn9jfQ7U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IFERROR(__xludf.DUMMYFUNCTION("""COMPUTED_VALUE"""),"TradeAttributeBulkChangeGroups")</f>
        <v>TradeAttributeBulkChangeGroups</v>
      </c>
      <c r="C92" t="str">
        <f>IFERROR(__xludf.DUMMYFUNCTION("""COMPUTED_VALUE"""),"1OIjDCM6TnKKQSDlidlK0dxEESXLKiqUJwn0hQQ_tBgg")</f>
        <v>1OIjDCM6TnKKQSDlidlK0dxEESXLKiqUJwn0hQQ_tBgg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IFERROR(__xludf.DUMMYFUNCTION("""COMPUTED_VALUE"""),"TradeAttributeBulkChangeTaxlots")</f>
        <v>TradeAttributeBulkChangeTaxlots</v>
      </c>
      <c r="C93" t="str">
        <f>IFERROR(__xludf.DUMMYFUNCTION("""COMPUTED_VALUE"""),"1-EkhvJm1K679q763Pphv6jCkS338lkjK1empSqlEI6g")</f>
        <v>1-EkhvJm1K679q763Pphv6jCkS338lkjK1empSqlEI6g</v>
      </c>
    </row>
    <row r="94" ht="15.75" customHeight="1">
      <c r="A94" t="str">
        <f>IFERROR(__xludf.DUMMYFUNCTION("""COMPUTED_VALUE"""),"Allocation")</f>
        <v>Allocation</v>
      </c>
      <c r="B94" t="str">
        <f>IFERROR(__xludf.DUMMYFUNCTION("""COMPUTED_VALUE"""),"AddCalculatedPreferenceToolbar")</f>
        <v>AddCalculatedPreferenceToolbar</v>
      </c>
      <c r="C94" t="str">
        <f>IFERROR(__xludf.DUMMYFUNCTION("""COMPUTED_VALUE"""),"1DXbBxZ56O_c_EOU2QMzew8pcePIeS9V7oBQzfHm1nrU")</f>
        <v>1DXbBxZ56O_c_EOU2QMzew8pcePIeS9V7oBQzfHm1nrU</v>
      </c>
    </row>
    <row r="95" ht="15.75" customHeight="1">
      <c r="A95" t="str">
        <f>IFERROR(__xludf.DUMMYFUNCTION("""COMPUTED_VALUE"""),"GeneralLedger")</f>
        <v>GeneralLedger</v>
      </c>
      <c r="B95" t="str">
        <f>IFERROR(__xludf.DUMMYFUNCTION("""COMPUTED_VALUE"""),"GetRevaluationData")</f>
        <v>GetRevaluationData</v>
      </c>
      <c r="C95" t="str">
        <f>IFERROR(__xludf.DUMMYFUNCTION("""COMPUTED_VALUE"""),"1_jCrLemDOFwKSZ0VodisRVJ3gJ2pYEa9vtELYDKZ7D8")</f>
        <v>1_jCrLemDOFwKSZ0VodisRVJ3gJ2pYEa9vtELYDKZ7D8</v>
      </c>
    </row>
    <row r="96" ht="15.75" customHeight="1">
      <c r="A96" t="str">
        <f>IFERROR(__xludf.DUMMYFUNCTION("""COMPUTED_VALUE"""),"Allocation")</f>
        <v>Allocation</v>
      </c>
      <c r="B96" t="str">
        <f>IFERROR(__xludf.DUMMYFUNCTION("""COMPUTED_VALUE"""),"SetStrategyValueCalculatedPref")</f>
        <v>SetStrategyValueCalculatedPref</v>
      </c>
      <c r="C96" t="str">
        <f>IFERROR(__xludf.DUMMYFUNCTION("""COMPUTED_VALUE"""),"16RHY1TeGLbg5aTXsB-Ui80dCjjhaTX8_mez3VOo9FEk")</f>
        <v>16RHY1TeGLbg5aTXsB-Ui80dCjjhaTX8_mez3VOo9FEk</v>
      </c>
    </row>
    <row r="97" ht="15.75" customHeight="1">
      <c r="A97" t="str">
        <f>IFERROR(__xludf.DUMMYFUNCTION("""COMPUTED_VALUE"""),"GeneralLedger")</f>
        <v>GeneralLedger</v>
      </c>
      <c r="B97" t="str">
        <f>IFERROR(__xludf.DUMMYFUNCTION("""COMPUTED_VALUE"""),"GetAccountDetails")</f>
        <v>GetAccountDetails</v>
      </c>
      <c r="C97" t="str">
        <f>IFERROR(__xludf.DUMMYFUNCTION("""COMPUTED_VALUE"""),"1TXu6gXnarAC8lKHRoBfjneR2t9URT4SQRLYj-_dv9B8")</f>
        <v>1TXu6gXnarAC8lKHRoBfjneR2t9URT4SQRLYj-_dv9B8</v>
      </c>
    </row>
    <row r="98" ht="15.75" customHeight="1">
      <c r="A98" t="str">
        <f>IFERROR(__xludf.DUMMYFUNCTION("""COMPUTED_VALUE"""),"Allocation")</f>
        <v>Allocation</v>
      </c>
      <c r="B98" t="str">
        <f>IFERROR(__xludf.DUMMYFUNCTION("""COMPUTED_VALUE"""),"ApplyBulkUpdateOnTaxlots")</f>
        <v>ApplyBulkUpdateOnTaxlots</v>
      </c>
      <c r="C98" t="str">
        <f>IFERROR(__xludf.DUMMYFUNCTION("""COMPUTED_VALUE"""),"1VH3caZODr9iY2kqHjoSV3FhwJni6tKZaHoFPgAW7oH0")</f>
        <v>1VH3caZODr9iY2kqHjoSV3FhwJni6tKZaHoFPgAW7oH0</v>
      </c>
    </row>
    <row r="99" ht="15.75" customHeight="1">
      <c r="A99" t="str">
        <f>IFERROR(__xludf.DUMMYFUNCTION("""COMPUTED_VALUE"""),"GeneralLedger")</f>
        <v>GeneralLedger</v>
      </c>
      <c r="B99" t="str">
        <f>IFERROR(__xludf.DUMMYFUNCTION("""COMPUTED_VALUE"""),"GetNonTradingTransaction")</f>
        <v>GetNonTradingTransaction</v>
      </c>
      <c r="C99" t="str">
        <f>IFERROR(__xludf.DUMMYFUNCTION("""COMPUTED_VALUE"""),"1WwXkdWAh3bdjgnontJiBzztlPilW0CctfCnAlV9Jtsk")</f>
        <v>1WwXkdWAh3bdjgnontJiBzztlPilW0CctfCnAlV9Jtsk</v>
      </c>
    </row>
    <row r="100" ht="15.75" customHeight="1">
      <c r="A100" t="str">
        <f>IFERROR(__xludf.DUMMYFUNCTION("""COMPUTED_VALUE"""),"Allocation")</f>
        <v>Allocation</v>
      </c>
      <c r="B100" t="str">
        <f>IFERROR(__xludf.DUMMYFUNCTION("""COMPUTED_VALUE"""),"CommissionBulkChangeOnGroups")</f>
        <v>CommissionBulkChangeOnGroups</v>
      </c>
      <c r="C100" t="str">
        <f>IFERROR(__xludf.DUMMYFUNCTION("""COMPUTED_VALUE"""),"1GHbxG_gmo0oAM2ECsMcvjgkbxL3HmvWhdwso0kHhxxY")</f>
        <v>1GHbxG_gmo0oAM2ECsMcvjgkbxL3HmvWhdwso0kHhxxY</v>
      </c>
    </row>
    <row r="101" ht="15.75" customHeight="1">
      <c r="A101" t="str">
        <f>IFERROR(__xludf.DUMMYFUNCTION("""COMPUTED_VALUE"""),"GeneralLedger")</f>
        <v>GeneralLedger</v>
      </c>
      <c r="B101" t="str">
        <f>IFERROR(__xludf.DUMMYFUNCTION("""COMPUTED_VALUE"""),"GetDividendData")</f>
        <v>GetDividendData</v>
      </c>
      <c r="C101" t="str">
        <f>IFERROR(__xludf.DUMMYFUNCTION("""COMPUTED_VALUE"""),"1GswznQiWvhiSC0OEO7CQehE7tAU2I_GAPgMkpYmR8HY")</f>
        <v>1GswznQiWvhiSC0OEO7CQehE7tAU2I_GAPgMkpYmR8HY</v>
      </c>
    </row>
    <row r="102" ht="15.75" customHeight="1">
      <c r="A102" t="str">
        <f>IFERROR(__xludf.DUMMYFUNCTION("""COMPUTED_VALUE"""),"Allocation")</f>
        <v>Allocation</v>
      </c>
      <c r="B102" t="str">
        <f>IFERROR(__xludf.DUMMYFUNCTION("""COMPUTED_VALUE"""),"CommissionBulkChangeOnTaxlots")</f>
        <v>CommissionBulkChangeOnTaxlots</v>
      </c>
      <c r="C102" t="str">
        <f>IFERROR(__xludf.DUMMYFUNCTION("""COMPUTED_VALUE"""),"1JSV--K7Q9AVdFghlAQLPvoliFST4hJcrUqb7Lm7ht_s")</f>
        <v>1JSV--K7Q9AVdFghlAQLPvoliFST4hJcrUqb7Lm7ht_s</v>
      </c>
    </row>
    <row r="103" ht="15.75" customHeight="1">
      <c r="A103" t="str">
        <f>IFERROR(__xludf.DUMMYFUNCTION("""COMPUTED_VALUE"""),"GeneralLedger")</f>
        <v>GeneralLedger</v>
      </c>
      <c r="B103" t="str">
        <f>IFERROR(__xludf.DUMMYFUNCTION("""COMPUTED_VALUE"""),"VerifyNonTradingTransaction")</f>
        <v>VerifyNonTradingTransaction</v>
      </c>
      <c r="C103" t="str">
        <f>IFERROR(__xludf.DUMMYFUNCTION("""COMPUTED_VALUE"""),"1o4SeiIVOvtilKbWLzkvKtCGRHUJvLPzFD3kWYlOTDFY")</f>
        <v>1o4SeiIVOvtilKbWLzkvKtCGRHUJvLPzFD3kWYlOTDFY</v>
      </c>
    </row>
    <row r="104" ht="15.75" customHeight="1">
      <c r="A104" t="str">
        <f>IFERROR(__xludf.DUMMYFUNCTION("""COMPUTED_VALUE"""),"Allocation")</f>
        <v>Allocation</v>
      </c>
      <c r="B104" t="str">
        <f>IFERROR(__xludf.DUMMYFUNCTION("""COMPUTED_VALUE"""),"SelectUnallocatedGroup")</f>
        <v>SelectUnallocatedGroup</v>
      </c>
      <c r="C104" t="str">
        <f>IFERROR(__xludf.DUMMYFUNCTION("""COMPUTED_VALUE"""),"1PykwrxeWk59EvKJjR2-bkrhi9UOWXCqXJ9LsY_QGIyg")</f>
        <v>1PykwrxeWk59EvKJjR2-bkrhi9UOWXCqXJ9LsY_QGIyg</v>
      </c>
    </row>
    <row r="105" ht="15.75" customHeight="1">
      <c r="A105" t="str">
        <f>IFERROR(__xludf.DUMMYFUNCTION("""COMPUTED_VALUE"""),"GeneralLedger")</f>
        <v>GeneralLedger</v>
      </c>
      <c r="B105" t="str">
        <f>IFERROR(__xludf.DUMMYFUNCTION("""COMPUTED_VALUE"""),"VerifyDividend")</f>
        <v>VerifyDividend</v>
      </c>
      <c r="C105" t="str">
        <f>IFERROR(__xludf.DUMMYFUNCTION("""COMPUTED_VALUE"""),"1yNATSEwdZIg22rajZvFROqYG-SMOcj0UKSuABzCcbrg")</f>
        <v>1yNATSEwdZIg22rajZvFROqYG-SMOcj0UKSuABzCcbrg</v>
      </c>
    </row>
    <row r="106" ht="15.75" customHeight="1">
      <c r="A106" t="str">
        <f>IFERROR(__xludf.DUMMYFUNCTION("""COMPUTED_VALUE"""),"Allocation")</f>
        <v>Allocation</v>
      </c>
      <c r="B106" t="str">
        <f>IFERROR(__xludf.DUMMYFUNCTION("""COMPUTED_VALUE"""),"EnterAccountValuesToAllocate")</f>
        <v>EnterAccountValuesToAllocate</v>
      </c>
      <c r="C106" t="str">
        <f>IFERROR(__xludf.DUMMYFUNCTION("""COMPUTED_VALUE"""),"1kr04YBOz0Ztah2RGYUkYH5t3_s4wso2_y_Z2nndmke4")</f>
        <v>1kr04YBOz0Ztah2RGYUkYH5t3_s4wso2_y_Z2nndmke4</v>
      </c>
    </row>
    <row r="107" ht="15.75" customHeight="1">
      <c r="A107" t="str">
        <f>IFERROR(__xludf.DUMMYFUNCTION("""COMPUTED_VALUE"""),"GeneralLedger")</f>
        <v>GeneralLedger</v>
      </c>
      <c r="B107" t="str">
        <f>IFERROR(__xludf.DUMMYFUNCTION("""COMPUTED_VALUE"""),"GetOpeningBalanceData")</f>
        <v>GetOpeningBalanceData</v>
      </c>
      <c r="C107" t="str">
        <f>IFERROR(__xludf.DUMMYFUNCTION("""COMPUTED_VALUE"""),"1GJsRSs8phBv97QiJwIDXxz__kmfV3tq2DF7jPw6Rzcc")</f>
        <v>1GJsRSs8phBv97QiJwIDXxz__kmfV3tq2DF7jPw6Rzcc</v>
      </c>
    </row>
    <row r="108" ht="15.75" customHeight="1">
      <c r="A108" t="str">
        <f>IFERROR(__xludf.DUMMYFUNCTION("""COMPUTED_VALUE"""),"Allocation")</f>
        <v>Allocation</v>
      </c>
      <c r="B108" t="str">
        <f>IFERROR(__xludf.DUMMYFUNCTION("""COMPUTED_VALUE"""),"EnterAllocatePreference")</f>
        <v>EnterAllocatePreference</v>
      </c>
      <c r="C108" t="str">
        <f>IFERROR(__xludf.DUMMYFUNCTION("""COMPUTED_VALUE"""),"1haSEXf6TIeQYi_1sgjBN0a8Kd0oihrY49BfLwnN7fuI")</f>
        <v>1haSEXf6TIeQYi_1sgjBN0a8Kd0oihrY49BfLwnN7fuI</v>
      </c>
    </row>
    <row r="109" ht="15.75" customHeight="1">
      <c r="A109" t="str">
        <f>IFERROR(__xludf.DUMMYFUNCTION("""COMPUTED_VALUE"""),"GeneralLedger")</f>
        <v>GeneralLedger</v>
      </c>
      <c r="B109" t="str">
        <f>IFERROR(__xludf.DUMMYFUNCTION("""COMPUTED_VALUE"""),"GetAccountBalance")</f>
        <v>GetAccountBalance</v>
      </c>
      <c r="C109" t="str">
        <f>IFERROR(__xludf.DUMMYFUNCTION("""COMPUTED_VALUE"""),"19yGJzO1TCo08wHjexzSA7gxYozh5nmBmm_h8W-7yXXE")</f>
        <v>19yGJzO1TCo08wHjexzSA7gxYozh5nmBmm_h8W-7yXXE</v>
      </c>
    </row>
    <row r="110" ht="15.75" customHeight="1">
      <c r="A110" t="str">
        <f>IFERROR(__xludf.DUMMYFUNCTION("""COMPUTED_VALUE"""),"Expnl")</f>
        <v>Expnl</v>
      </c>
      <c r="B110" t="str">
        <f>IFERROR(__xludf.DUMMYFUNCTION("""COMPUTED_VALUE"""),"RestartExpnl")</f>
        <v>RestartExpnl</v>
      </c>
      <c r="C110" t="str">
        <f>IFERROR(__xludf.DUMMYFUNCTION("""COMPUTED_VALUE"""),"1SFxd7-IZSkRF_20Dfu_Uk623wJILbNPUOwLIkgbyHyc")</f>
        <v>1SFxd7-IZSkRF_20Dfu_Uk623wJILbNPUOwLIkgbyHyc</v>
      </c>
    </row>
    <row r="111" ht="15.75" customHeight="1">
      <c r="A111" t="str">
        <f>IFERROR(__xludf.DUMMYFUNCTION("""COMPUTED_VALUE"""),"PortfolioManagement")</f>
        <v>PortfolioManagement</v>
      </c>
      <c r="B111" t="str">
        <f>IFERROR(__xludf.DUMMYFUNCTION("""COMPUTED_VALUE"""),"ClosePM")</f>
        <v>ClosePM</v>
      </c>
      <c r="C111" t="str">
        <f>IFERROR(__xludf.DUMMYFUNCTION("""COMPUTED_VALUE"""),"Undefined")</f>
        <v>Undefined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IFERROR(__xludf.DUMMYFUNCTION("""COMPUTED_VALUE"""),"EnterStrategyValuesToAllocate")</f>
        <v>EnterStrategyValuesToAllocate</v>
      </c>
      <c r="C112" t="str">
        <f>IFERROR(__xludf.DUMMYFUNCTION("""COMPUTED_VALUE"""),"1-8cEVr7pAI2wgMdL3_6tq-WORMZN8GmCtu9xIjj6j6o")</f>
        <v>1-8cEVr7pAI2wgMdL3_6tq-WORMZN8GmCtu9xIjj6j6o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IFERROR(__xludf.DUMMYFUNCTION("""COMPUTED_VALUE"""),"SelectNonTradingTransaction")</f>
        <v>SelectNonTradingTransaction</v>
      </c>
      <c r="C113" t="str">
        <f>IFERROR(__xludf.DUMMYFUNCTION("""COMPUTED_VALUE"""),"1ZZCt0lDjl7RLYD2Mntzrt8K90X_eJFTEXwVYmBpuJrI")</f>
        <v>1ZZCt0lDjl7RLYD2Mntzrt8K90X_eJFTEXwVYmBpuJrI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IFERROR(__xludf.DUMMYFUNCTION("""COMPUTED_VALUE"""),"SelectNonTradingTranItem")</f>
        <v>SelectNonTradingTranItem</v>
      </c>
      <c r="C114" t="str">
        <f>IFERROR(__xludf.DUMMYFUNCTION("""COMPUTED_VALUE"""),"16m3UbEFQhQPWPiSa_1EhmXlZxLYP_MUqbxMjHJ-ClFY")</f>
        <v>16m3UbEFQhQPWPiSa_1EhmXlZxLYP_MUqbxMjHJ-ClFY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IFERROR(__xludf.DUMMYFUNCTION("""COMPUTED_VALUE"""),"CopyCalculatedPreferenceToolbar")</f>
        <v>CopyCalculatedPreferenceToolbar</v>
      </c>
      <c r="C115" t="str">
        <f>IFERROR(__xludf.DUMMYFUNCTION("""COMPUTED_VALUE"""),"1_ToPqKQ7KBsW-Qbh_BzgjcxrmCVkWJXDYrKj7bFoT1c")</f>
        <v>1_ToPqKQ7KBsW-Qbh_BzgjcxrmCVkWJXDYrKj7bFoT1c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IFERROR(__xludf.DUMMYFUNCTION("""COMPUTED_VALUE"""),"SetGeneralRuleCalculatedPref")</f>
        <v>SetGeneralRuleCalculatedPref</v>
      </c>
      <c r="C116" t="str">
        <f>IFERROR(__xludf.DUMMYFUNCTION("""COMPUTED_VALUE"""),"1aXiFWEohqaH2_K4j0vh9e2qsSVxsknfuhcQeOE9hi3Q")</f>
        <v>1aXiFWEohqaH2_K4j0vh9e2qsSVxsknfuhcQeOE9hi3Q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IFERROR(__xludf.DUMMYFUNCTION("""COMPUTED_VALUE"""),"DeleteNonTradingTransaction")</f>
        <v>DeleteNonTradingTransaction</v>
      </c>
      <c r="C117" t="str">
        <f>IFERROR(__xludf.DUMMYFUNCTION("""COMPUTED_VALUE"""),"1EjVRXlSGmVrAZDdOicBBFp0AQRuU9J2S0sWJSK8n2YQ")</f>
        <v>1EjVRXlSGmVrAZDdOicBBFp0AQRuU9J2S0sWJSK8n2YQ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IFERROR(__xludf.DUMMYFUNCTION("""COMPUTED_VALUE"""),"DeleteNonTradingTranItem")</f>
        <v>DeleteNonTradingTranItem</v>
      </c>
      <c r="C118" t="str">
        <f>IFERROR(__xludf.DUMMYFUNCTION("""COMPUTED_VALUE"""),"17d6nTaGrtU53Ggt44z0DBtOe6BoXa-RluaNmydPewJc")</f>
        <v>17d6nTaGrtU53Ggt44z0DBtOe6BoXa-RluaNmydPewJc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IFERROR(__xludf.DUMMYFUNCTION("""COMPUTED_VALUE"""),"ExportAllCalculatedPreferences")</f>
        <v>ExportAllCalculatedPreferences</v>
      </c>
      <c r="C119" t="str">
        <f>IFERROR(__xludf.DUMMYFUNCTION("""COMPUTED_VALUE"""),"1t7n3e5xHa-zqiwDexIMbaSHvIBvZeqc9clL5rr4oU1E")</f>
        <v>1t7n3e5xHa-zqiwDexIMbaSHvIBvZeqc9clL5rr4oU1E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IFERROR(__xludf.DUMMYFUNCTION("""COMPUTED_VALUE"""),"AddNonTradingTransaction")</f>
        <v>AddNonTradingTransaction</v>
      </c>
      <c r="C120" t="str">
        <f>IFERROR(__xludf.DUMMYFUNCTION("""COMPUTED_VALUE"""),"1g_iduG9-VROpoRQbgomDMnwhDO5V1MCdoXo7B0KkCjo")</f>
        <v>1g_iduG9-VROpoRQbgomDMnwhDO5V1MCdoXo7B0KkCjo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IFERROR(__xludf.DUMMYFUNCTION("""COMPUTED_VALUE"""),"AddNonTradingTranItem")</f>
        <v>AddNonTradingTranItem</v>
      </c>
      <c r="C121" t="str">
        <f>IFERROR(__xludf.DUMMYFUNCTION("""COMPUTED_VALUE"""),"1f-by-zymlQYhK_E-j7JuCFmcrmShTNyoIRdep0I9WiQ")</f>
        <v>1f-by-zymlQYhK_E-j7JuCFmcrmShTNyoIRdep0I9WiQ</v>
      </c>
    </row>
    <row r="122" ht="15.75" customHeight="1">
      <c r="A122" t="str">
        <f>IFERROR(__xludf.DUMMYFUNCTION("""COMPUTED_VALUE"""),"Allocation")</f>
        <v>Allocation</v>
      </c>
      <c r="B122" t="str">
        <f>IFERROR(__xludf.DUMMYFUNCTION("""COMPUTED_VALUE"""),"SaveCalculatedPreferences")</f>
        <v>SaveCalculatedPreferences</v>
      </c>
      <c r="C122" t="str">
        <f>IFERROR(__xludf.DUMMYFUNCTION("""COMPUTED_VALUE"""),"Undefined")</f>
        <v>Undefined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IFERROR(__xludf.DUMMYFUNCTION("""COMPUTED_VALUE"""),"VerifyOpeningBalanceData")</f>
        <v>VerifyOpeningBalanceData</v>
      </c>
      <c r="C123" t="str">
        <f>IFERROR(__xludf.DUMMYFUNCTION("""COMPUTED_VALUE"""),"1HBHQimrc8zfoFghmOi00Kyuswkhw5t2zr8z75prYQoU")</f>
        <v>1HBHQimrc8zfoFghmOi00Kyuswkhw5t2zr8z75prYQoU</v>
      </c>
    </row>
    <row r="124" ht="15.75" customHeight="1">
      <c r="A124" t="str">
        <f>IFERROR(__xludf.DUMMYFUNCTION("""COMPUTED_VALUE"""),"GeneralLedger")</f>
        <v>GeneralLedger</v>
      </c>
      <c r="B124" t="str">
        <f>IFERROR(__xludf.DUMMYFUNCTION("""COMPUTED_VALUE"""),"SelectOpeningBalanceTransaction")</f>
        <v>SelectOpeningBalanceTransaction</v>
      </c>
      <c r="C124" t="str">
        <f>IFERROR(__xludf.DUMMYFUNCTION("""COMPUTED_VALUE"""),"1hRgqQ_8KWjDa-IhDaI4dj4DIa-LKAF0dtsLGSuRISFg")</f>
        <v>1hRgqQ_8KWjDa-IhDaI4dj4DIa-LKAF0dtsLGSuRISFg</v>
      </c>
    </row>
    <row r="125" ht="15.75" customHeight="1">
      <c r="A125" t="str">
        <f>IFERROR(__xludf.DUMMYFUNCTION("""COMPUTED_VALUE"""),"TradingTicket")</f>
        <v>TradingTicket</v>
      </c>
      <c r="B125" t="str">
        <f>IFERROR(__xludf.DUMMYFUNCTION("""COMPUTED_VALUE"""),"CreateStageOrder ")</f>
        <v>CreateStageOrder </v>
      </c>
      <c r="C125" t="str">
        <f>IFERROR(__xludf.DUMMYFUNCTION("""COMPUTED_VALUE"""),"1aKdtkgfy-qm5UkM4xEgwsIC2Y0tkkZ2nnlAt2YRyCIY")</f>
        <v>1aKdtkgfy-qm5UkM4xEgwsIC2Y0tkkZ2nnlAt2YRyCIY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IFERROR(__xludf.DUMMYFUNCTION("""COMPUTED_VALUE"""),"TransferToUserWorkingSubs")</f>
        <v>TransferToUserWorkingSubs</v>
      </c>
      <c r="C126" t="str">
        <f>IFERROR(__xludf.DUMMYFUNCTION("""COMPUTED_VALUE"""),"1kz2VbYDYVt81r6Crqstq3_e7JPi3pG646PWatn8mPqI")</f>
        <v>1kz2VbYDYVt81r6Crqstq3_e7JPi3pG646PWatn8mPqI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IFERROR(__xludf.DUMMYFUNCTION("""COMPUTED_VALUE"""),"CancelWorkingSubs")</f>
        <v>CancelWorkingSubs</v>
      </c>
      <c r="C127" t="str">
        <f>IFERROR(__xludf.DUMMYFUNCTION("""COMPUTED_VALUE"""),"1NBR38i2felKivQP6OhR7WBHM-4rxXfJzcKuENwPKRGE")</f>
        <v>1NBR38i2felKivQP6OhR7WBHM-4rxXfJzcKuENwPKRGE</v>
      </c>
      <c r="D127">
        <f>IFERROR(__xludf.DUMMYFUNCTION("""COMPUTED_VALUE"""),2.0)</f>
        <v>2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IFERROR(__xludf.DUMMYFUNCTION("""COMPUTED_VALUE"""),"ReplaceWorkingSubs")</f>
        <v>ReplaceWorkingSubs</v>
      </c>
      <c r="C128" t="str">
        <f>IFERROR(__xludf.DUMMYFUNCTION("""COMPUTED_VALUE"""),"1E4shR2SnIPZbHN18xXEMyrgo70wZH3PZ7bsQcZMxqWs")</f>
        <v>1E4shR2SnIPZbHN18xXEMyrgo70wZH3PZ7bsQcZMxqWs</v>
      </c>
    </row>
    <row r="129" ht="15.75" customHeight="1">
      <c r="A129" t="str">
        <f>IFERROR(__xludf.DUMMYFUNCTION("""COMPUTED_VALUE"""),"Expnl")</f>
        <v>Expnl</v>
      </c>
      <c r="B129" t="str">
        <f>IFERROR(__xludf.DUMMYFUNCTION("""COMPUTED_VALUE"""),"UpdateExpnlConfig")</f>
        <v>UpdateExpnlConfig</v>
      </c>
      <c r="C129" t="str">
        <f>IFERROR(__xludf.DUMMYFUNCTION("""COMPUTED_VALUE"""),"1HCFewt-pwGWR5iNNmWN6uvH655SGnG39ZPt3qgn1fzA")</f>
        <v>1HCFewt-pwGWR5iNNmWN6uvH655SGnG39ZPt3qgn1fzA</v>
      </c>
      <c r="D129">
        <f>IFERROR(__xludf.DUMMYFUNCTION("""COMPUTED_VALUE"""),1.0)</f>
        <v>1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IFERROR(__xludf.DUMMYFUNCTION("""COMPUTED_VALUE"""),"ViewAllocationDetailsWorkingSub")</f>
        <v>ViewAllocationDetailsWorkingSub</v>
      </c>
      <c r="C130" t="str">
        <f>IFERROR(__xludf.DUMMYFUNCTION("""COMPUTED_VALUE"""),"1RIECjeIoo9Ed5LapEOoN4zgF1bqZRnOsbWjnqXuNGVQ")</f>
        <v>1RIECjeIoo9Ed5LapEOoN4zgF1bqZRnOsbWjnqXuNGVQ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IFERROR(__xludf.DUMMYFUNCTION("""COMPUTED_VALUE"""),"SelectTradeOnOrderGrid")</f>
        <v>SelectTradeOnOrderGrid</v>
      </c>
      <c r="C131" t="str">
        <f>IFERROR(__xludf.DUMMYFUNCTION("""COMPUTED_VALUE"""),"1G1TzFJzPKFnIeFk1Ygruk-TgZ1E4OzotLzmXkrCfydo")</f>
        <v>1G1TzFJzPKFnIeFk1Ygruk-TgZ1E4OzotLzmXkrCfydo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IFERROR(__xludf.DUMMYFUNCTION("""COMPUTED_VALUE"""),"ShowDetailsForAlgoTradeSubOrder")</f>
        <v>ShowDetailsForAlgoTradeSubOrder</v>
      </c>
      <c r="C132" t="str">
        <f>IFERROR(__xludf.DUMMYFUNCTION("""COMPUTED_VALUE"""),"1cs4Fq7TTIBg-0scmlXwevni9dZWkhIRRtH8PFI0zITU")</f>
        <v>1cs4Fq7TTIBg-0scmlXwevni9dZWkhIRRtH8PFI0zITU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IFERROR(__xludf.DUMMYFUNCTION("""COMPUTED_VALUE"""),"SelectTradeOrderBlotter")</f>
        <v>SelectTradeOrderBlotter</v>
      </c>
      <c r="C133" t="str">
        <f>IFERROR(__xludf.DUMMYFUNCTION("""COMPUTED_VALUE"""),"13ynqJyBLiTSOeDNH_88Zy2459I5IbcLrArZ3KrZJcUM")</f>
        <v>13ynqJyBLiTSOeDNH_88Zy2459I5IbcLrArZ3KrZJcUM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IFERROR(__xludf.DUMMYFUNCTION("""COMPUTED_VALUE"""),"AddFillsWorkingSubs")</f>
        <v>AddFillsWorkingSubs</v>
      </c>
      <c r="C134" t="str">
        <f>IFERROR(__xludf.DUMMYFUNCTION("""COMPUTED_VALUE"""),"1QMJ1EeGqZUMPaentiXmY-qZo0nib_XUvbEJJUqCu54s")</f>
        <v>1QMJ1EeGqZUMPaentiXmY-qZo0nib_XUvbEJJUqCu54s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IFERROR(__xludf.DUMMYFUNCTION("""COMPUTED_VALUE"""),"EditAddFillsDetails")</f>
        <v>EditAddFillsDetails</v>
      </c>
      <c r="C135" t="str">
        <f>IFERROR(__xludf.DUMMYFUNCTION("""COMPUTED_VALUE"""),"1E-tAvpWCMvH1-L2VgrY-CsAMjjQbseS53lRaadteqY4")</f>
        <v>1E-tAvpWCMvH1-L2VgrY-CsAMjjQbseS53lRaadteqY4</v>
      </c>
    </row>
    <row r="136" ht="15.75" customHeight="1">
      <c r="A136" t="str">
        <f>IFERROR(__xludf.DUMMYFUNCTION("""COMPUTED_VALUE"""),"Blotter")</f>
        <v>Blotter</v>
      </c>
      <c r="B136" t="str">
        <f>IFERROR(__xludf.DUMMYFUNCTION("""COMPUTED_VALUE"""),"ShowDetailsForAlgoTradeWorkingSubs")</f>
        <v>ShowDetailsForAlgoTradeWorkingSubs</v>
      </c>
      <c r="C136" t="str">
        <f>IFERROR(__xludf.DUMMYFUNCTION("""COMPUTED_VALUE"""),"1MW6UTBXJ6_4nEgZhz-2VRPEBOcOGahWTNBaogUf-_90")</f>
        <v>1MW6UTBXJ6_4nEgZhz-2VRPEBOcOGahWTNBaogUf-_90</v>
      </c>
    </row>
    <row r="137" ht="15.75" customHeight="1">
      <c r="A137" t="str">
        <f>IFERROR(__xludf.DUMMYFUNCTION("""COMPUTED_VALUE"""),"Closing")</f>
        <v>Closing</v>
      </c>
      <c r="B137" t="str">
        <f>IFERROR(__xludf.DUMMYFUNCTION("""COMPUTED_VALUE"""),"SwapExpire")</f>
        <v>SwapExpire</v>
      </c>
      <c r="C137" t="str">
        <f>IFERROR(__xludf.DUMMYFUNCTION("""COMPUTED_VALUE"""),"1sPvrowwTQsK7O1mUC-eQeJJSEgA9er_TCbHzyMsToxw")</f>
        <v>1sPvrowwTQsK7O1mUC-eQeJJSEgA9er_TCbHzyMsToxw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IFERROR(__xludf.DUMMYFUNCTION("""COMPUTED_VALUE"""),"VerifyWorkingSubs")</f>
        <v>VerifyWorkingSubs</v>
      </c>
      <c r="C138" t="str">
        <f>IFERROR(__xludf.DUMMYFUNCTION("""COMPUTED_VALUE"""),"13McK_2eAGLCT-zvjQjNR2TNP5foe4OzipdCTy1LibIk")</f>
        <v>13McK_2eAGLCT-zvjQjNR2TNP5foe4OzipdCTy1LibIk</v>
      </c>
      <c r="D138">
        <f>IFERROR(__xludf.DUMMYFUNCTION("""COMPUTED_VALUE"""),2.0)</f>
        <v>2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IFERROR(__xludf.DUMMYFUNCTION("""COMPUTED_VALUE"""),"TransferToUserOrder")</f>
        <v>TransferToUserOrder</v>
      </c>
      <c r="C139" t="str">
        <f>IFERROR(__xludf.DUMMYFUNCTION("""COMPUTED_VALUE"""),"11uZx-CaSQ01yGgtab77kdvBCGN1nOo3g0k8Bw5WqjZg")</f>
        <v>11uZx-CaSQ01yGgtab77kdvBCGN1nOo3g0k8Bw5WqjZg</v>
      </c>
    </row>
    <row r="140" ht="15.75" customHeight="1">
      <c r="A140" t="str">
        <f>IFERROR(__xludf.DUMMYFUNCTION("""COMPUTED_VALUE"""),"Allocation")</f>
        <v>Allocation</v>
      </c>
      <c r="B140" t="str">
        <f>IFERROR(__xludf.DUMMYFUNCTION("""COMPUTED_VALUE"""),"CloseCalculatedPreferences")</f>
        <v>CloseCalculatedPreferences</v>
      </c>
      <c r="C140" t="str">
        <f>IFERROR(__xludf.DUMMYFUNCTION("""COMPUTED_VALUE"""),"Undefined")</f>
        <v>Undefined</v>
      </c>
    </row>
    <row r="141" ht="15.75" customHeight="1">
      <c r="A141" t="str">
        <f>IFERROR(__xludf.DUMMYFUNCTION("""COMPUTED_VALUE"""),"TradingTicket")</f>
        <v>TradingTicket</v>
      </c>
      <c r="B141" t="str">
        <f>IFERROR(__xludf.DUMMYFUNCTION("""COMPUTED_VALUE"""),"CreateReplaceOrder")</f>
        <v>CreateReplaceOrder</v>
      </c>
      <c r="C141" t="str">
        <f>IFERROR(__xludf.DUMMYFUNCTION("""COMPUTED_VALUE"""),"1yur8pXg-NhCMSD11wSVwvv0Fez2TUQp9ujOOBjwd3Us")</f>
        <v>1yur8pXg-NhCMSD11wSVwvv0Fez2TUQp9ujOOBjwd3Us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IFERROR(__xludf.DUMMYFUNCTION("""COMPUTED_VALUE"""),"EditOrder")</f>
        <v>EditOrder</v>
      </c>
      <c r="C142" t="str">
        <f>IFERROR(__xludf.DUMMYFUNCTION("""COMPUTED_VALUE"""),"1lKZmmIgqPZZBJtNH48lLmgj0q9ec1_4IPwkMjm00z-8")</f>
        <v>1lKZmmIgqPZZBJtNH48lLmgj0q9ec1_4IPwkMjm00z-8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IFERROR(__xludf.DUMMYFUNCTION("""COMPUTED_VALUE"""),"SelectTradeSubOrderBlotter")</f>
        <v>SelectTradeSubOrderBlotter</v>
      </c>
      <c r="C143" t="str">
        <f>IFERROR(__xludf.DUMMYFUNCTION("""COMPUTED_VALUE"""),"19D1UAVXlfPtqeFEBJfut55kr89Eu_txYvrbwbDEzF8Y")</f>
        <v>19D1UAVXlfPtqeFEBJfut55kr89Eu_txYvrbwbDEzF8Y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IFERROR(__xludf.DUMMYFUNCTION("""COMPUTED_VALUE"""),"VerifyOrder")</f>
        <v>VerifyOrder</v>
      </c>
      <c r="C144" t="str">
        <f>IFERROR(__xludf.DUMMYFUNCTION("""COMPUTED_VALUE"""),"19Sn1yI9trlccQAGFXG-Y-afytOt_KfoVnPQzvl6XROo")</f>
        <v>19Sn1yI9trlccQAGFXG-Y-afytOt_KfoVnPQzvl6XROo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IFERROR(__xludf.DUMMYFUNCTION("""COMPUTED_VALUE"""),"VerifySubOrder")</f>
        <v>VerifySubOrder</v>
      </c>
      <c r="C145" t="str">
        <f>IFERROR(__xludf.DUMMYFUNCTION("""COMPUTED_VALUE"""),"1Sju_rkEX7ClHISzkl9UFKNY6k_5t_S0tdxtpZAnXpqg")</f>
        <v>1Sju_rkEX7ClHISzkl9UFKNY6k_5t_S0tdxtpZAnXpqg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IFERROR(__xludf.DUMMYFUNCTION("""COMPUTED_VALUE"""),"RemoveSelectedOrders")</f>
        <v>RemoveSelectedOrders</v>
      </c>
      <c r="C146" t="str">
        <f>IFERROR(__xludf.DUMMYFUNCTION("""COMPUTED_VALUE"""),"1hMVNdo4B8WswaauY8yqbHmt3Wx_NMRxgdB2vow1p5ag")</f>
        <v>1hMVNdo4B8WswaauY8yqbHmt3Wx_NMRxgdB2vow1p5ag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IFERROR(__xludf.DUMMYFUNCTION("""COMPUTED_VALUE"""),"CancelAllSelectedSubs")</f>
        <v>CancelAllSelectedSubs</v>
      </c>
      <c r="C147" t="str">
        <f>IFERROR(__xludf.DUMMYFUNCTION("""COMPUTED_VALUE"""),"17hK-yfN8xD8Jmg_FY__Qc7iyqgJ_SEvFr4VPoKbeMwA")</f>
        <v>17hK-yfN8xD8Jmg_FY__Qc7iyqgJ_SEvFr4VPoKbeMwA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IFERROR(__xludf.DUMMYFUNCTION("""COMPUTED_VALUE"""),"MultiTradingTicket")</f>
        <v>MultiTradingTicket</v>
      </c>
      <c r="C148" t="str">
        <f>IFERROR(__xludf.DUMMYFUNCTION("""COMPUTED_VALUE"""),"1PVfLR7ICBE01CuxIYtMmaiNL2Kh672bUXBCbt4UzQ6o")</f>
        <v>1PVfLR7ICBE01CuxIYtMmaiNL2Kh672bUXBCbt4UzQ6o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IFERROR(__xludf.DUMMYFUNCTION("""COMPUTED_VALUE"""),"AuditTrailOrderBlotter")</f>
        <v>AuditTrailOrderBlotter</v>
      </c>
      <c r="C149" t="str">
        <f>IFERROR(__xludf.DUMMYFUNCTION("""COMPUTED_VALUE"""),"160g9HJhQPDPrb5GQ9yBr07xujKJVYwd9MqM5deuYRdg")</f>
        <v>160g9HJhQPDPrb5GQ9yBr07xujKJVYwd9MqM5deuYRdg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IFERROR(__xludf.DUMMYFUNCTION("""COMPUTED_VALUE"""),"TradeNewSubOrder")</f>
        <v>TradeNewSubOrder</v>
      </c>
      <c r="C150" t="str">
        <f>IFERROR(__xludf.DUMMYFUNCTION("""COMPUTED_VALUE"""),"1Y0fnfatmthYmvzL4CE2DD2fnb5XpxasaQ-eFA8AHZZQ")</f>
        <v>1Y0fnfatmthYmvzL4CE2DD2fnb5XpxasaQ-eFA8AHZZQ</v>
      </c>
    </row>
    <row r="151" ht="15.75" customHeight="1">
      <c r="A151" t="str">
        <f>IFERROR(__xludf.DUMMYFUNCTION("""COMPUTED_VALUE"""),"Blotter")</f>
        <v>Blotter</v>
      </c>
      <c r="B151" t="str">
        <f>IFERROR(__xludf.DUMMYFUNCTION("""COMPUTED_VALUE"""),"RemoveStageOrder")</f>
        <v>RemoveStageOrder</v>
      </c>
      <c r="C151" t="str">
        <f>IFERROR(__xludf.DUMMYFUNCTION("""COMPUTED_VALUE"""),"1GpKhg0atHUhh5xpcVyJ6Pd3hJZQxWyd6a8oGGx9nPYg")</f>
        <v>1GpKhg0atHUhh5xpcVyJ6Pd3hJZQxWyd6a8oGGx9nPYg</v>
      </c>
    </row>
    <row r="152" ht="15.75" customHeight="1">
      <c r="A152" t="str">
        <f>IFERROR(__xludf.DUMMYFUNCTION("""COMPUTED_VALUE"""),"TradingTicket")</f>
        <v>TradingTicket</v>
      </c>
      <c r="B152" t="str">
        <f>IFERROR(__xludf.DUMMYFUNCTION("""COMPUTED_VALUE"""),"SetGeneralPreference")</f>
        <v>SetGeneralPreference</v>
      </c>
      <c r="C152" t="str">
        <f>IFERROR(__xludf.DUMMYFUNCTION("""COMPUTED_VALUE"""),"1phmh27oiwwsNI8gsVMqQfGGO_0r53sX6ECZYHWcovOo")</f>
        <v>1phmh27oiwwsNI8gsVMqQfGGO_0r53sX6ECZYHWcovOo</v>
      </c>
    </row>
    <row r="153" ht="15.75" customHeight="1">
      <c r="A153" t="str">
        <f>IFERROR(__xludf.DUMMYFUNCTION("""COMPUTED_VALUE"""),"Allocation")</f>
        <v>Allocation</v>
      </c>
      <c r="B153" t="str">
        <f>IFERROR(__xludf.DUMMYFUNCTION("""COMPUTED_VALUE"""),"ExportCalculatedPreference")</f>
        <v>ExportCalculatedPreference</v>
      </c>
      <c r="C153" t="str">
        <f>IFERROR(__xludf.DUMMYFUNCTION("""COMPUTED_VALUE"""),"14Z9mQRGA079RUxIVwyD7PLJFHYiOWiv2B-Al2lvfB3o")</f>
        <v>14Z9mQRGA079RUxIVwyD7PLJFHYiOWiv2B-Al2lvfB3o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IFERROR(__xludf.DUMMYFUNCTION("""COMPUTED_VALUE"""),"SelectOpeningBalanceTranItem")</f>
        <v>SelectOpeningBalanceTranItem</v>
      </c>
      <c r="C154" t="str">
        <f>IFERROR(__xludf.DUMMYFUNCTION("""COMPUTED_VALUE"""),"1hBeOAPWx6TCdJJCI4w8uFuWHTAtyZoYxMjU6EsfNFEk")</f>
        <v>1hBeOAPWx6TCdJJCI4w8uFuWHTAtyZoYxMjU6EsfNFEk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IFERROR(__xludf.DUMMYFUNCTION("""COMPUTED_VALUE"""),"EODTPreferences")</f>
        <v>EODTPreferences</v>
      </c>
      <c r="C155" t="str">
        <f>IFERROR(__xludf.DUMMYFUNCTION("""COMPUTED_VALUE"""),"1fFcmVLJC1pdRtoDEYUpc-7PqDqHrSB9eszanKXDSJj4")</f>
        <v>1fFcmVLJC1pdRtoDEYUpc-7PqDqHrSB9eszanKXDSJj4</v>
      </c>
    </row>
    <row r="156" ht="15.75" customHeight="1">
      <c r="A156" t="str">
        <f>IFERROR(__xludf.DUMMYFUNCTION("""COMPUTED_VALUE"""),"PricingInput")</f>
        <v>PricingInput</v>
      </c>
      <c r="B156" t="str">
        <f>IFERROR(__xludf.DUMMYFUNCTION("""COMPUTED_VALUE"""),"LiveData")</f>
        <v>LiveData</v>
      </c>
      <c r="C156" t="str">
        <f>IFERROR(__xludf.DUMMYFUNCTION("""COMPUTED_VALUE"""),"1YOGzCbzwMOUWi6IInIaMz0zG1USfIA94aG1uJB_CI08")</f>
        <v>1YOGzCbzwMOUWi6IInIaMz0zG1USfIA94aG1uJB_CI08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IFERROR(__xludf.DUMMYFUNCTION("""COMPUTED_VALUE"""),"EditNonTradingTransaction")</f>
        <v>EditNonTradingTransaction</v>
      </c>
      <c r="C157" t="str">
        <f>IFERROR(__xludf.DUMMYFUNCTION("""COMPUTED_VALUE"""),"1QNAooZZRVTav0dvHEE8XpPUSKYVTrEIX2ZnajpipHy4")</f>
        <v>1QNAooZZRVTav0dvHEE8XpPUSKYVTrEIX2ZnajpipHy4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IFERROR(__xludf.DUMMYFUNCTION("""COMPUTED_VALUE"""),"EditNonTradingTranItem")</f>
        <v>EditNonTradingTranItem</v>
      </c>
      <c r="C158" t="str">
        <f>IFERROR(__xludf.DUMMYFUNCTION("""COMPUTED_VALUE"""),"1QcdF9vMihakzH2FxKv9Cpbj_RQbRL9ekc6YNTmX1z84")</f>
        <v>1QcdF9vMihakzH2FxKv9Cpbj_RQbRL9ekc6YNTmX1z84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IFERROR(__xludf.DUMMYFUNCTION("""COMPUTED_VALUE"""),"DeleteOpeningBalanceTransaction")</f>
        <v>DeleteOpeningBalanceTransaction</v>
      </c>
      <c r="C159" t="str">
        <f>IFERROR(__xludf.DUMMYFUNCTION("""COMPUTED_VALUE"""),"1rgAbCdFrwIQMzfUdq_wtSIftaHjcPOpcYLMOv57yFm8")</f>
        <v>1rgAbCdFrwIQMzfUdq_wtSIftaHjcPOpcYLMOv57yFm8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IFERROR(__xludf.DUMMYFUNCTION("""COMPUTED_VALUE"""),"DeleteOpeningBalanceTranItem")</f>
        <v>DeleteOpeningBalanceTranItem</v>
      </c>
      <c r="C160" t="str">
        <f>IFERROR(__xludf.DUMMYFUNCTION("""COMPUTED_VALUE"""),"1c_LKV6zddYnZbIaXjB1YR41mZ4nlWwdD8Utip2o4gCE")</f>
        <v>1c_LKV6zddYnZbIaXjB1YR41mZ4nlWwdD8Utip2o4gCE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IFERROR(__xludf.DUMMYFUNCTION("""COMPUTED_VALUE"""),"ImportCalculatedPreferences")</f>
        <v>ImportCalculatedPreferences</v>
      </c>
      <c r="C161" t="str">
        <f>IFERROR(__xludf.DUMMYFUNCTION("""COMPUTED_VALUE"""),"1UBqDSoxtrz7S7kPHKAv-U3PIbDLOoqvMVk2ePCXS3JI")</f>
        <v>1UBqDSoxtrz7S7kPHKAv-U3PIbDLOoqvMVk2ePCXS3JI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IFERROR(__xludf.DUMMYFUNCTION("""COMPUTED_VALUE"""),"GetDayEndCash")</f>
        <v>GetDayEndCash</v>
      </c>
      <c r="C162" t="str">
        <f>IFERROR(__xludf.DUMMYFUNCTION("""COMPUTED_VALUE"""),"1ezlJO3ad1pj8tG7Y13sk4HHPJQqXBEeDnF4yFfqk2vE")</f>
        <v>1ezlJO3ad1pj8tG7Y13sk4HHPJQqXBEeDnF4yFfqk2vE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IFERROR(__xludf.DUMMYFUNCTION("""COMPUTED_VALUE"""),"VerifyDayEndCash")</f>
        <v>VerifyDayEndCash</v>
      </c>
      <c r="C163" t="str">
        <f>IFERROR(__xludf.DUMMYFUNCTION("""COMPUTED_VALUE"""),"12Egp-BXTkbQ_7GUw6K5R9vN0h1cCWX33r9TLwUnfo74")</f>
        <v>12Egp-BXTkbQ_7GUw6K5R9vN0h1cCWX33r9TLwUnfo74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IFERROR(__xludf.DUMMYFUNCTION("""COMPUTED_VALUE"""),"OpenAuditTrailUnallocatedGroup")</f>
        <v>OpenAuditTrailUnallocatedGroup</v>
      </c>
      <c r="C164" t="str">
        <f>IFERROR(__xludf.DUMMYFUNCTION("""COMPUTED_VALUE"""),"1-L0ACZJpBrZm_Mt6lp10r-l8qiO2nDijPY7e0lp1axM")</f>
        <v>1-L0ACZJpBrZm_Mt6lp10r-l8qiO2nDijPY7e0lp1axM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IFERROR(__xludf.DUMMYFUNCTION("""COMPUTED_VALUE"""),"DeleteCalculatedPreferencesTool")</f>
        <v>DeleteCalculatedPreferencesTool</v>
      </c>
      <c r="C165" t="str">
        <f>IFERROR(__xludf.DUMMYFUNCTION("""COMPUTED_VALUE"""),"1_jVpPpMklRkZw3q0WK9yD6CZ9UKHrIwt5zxC5U9dRcg")</f>
        <v>1_jVpPpMklRkZw3q0WK9yD6CZ9UKHrIwt5zxC5U9dRcg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IFERROR(__xludf.DUMMYFUNCTION("""COMPUTED_VALUE"""),"ImportCalculatedPreferencesTool")</f>
        <v>ImportCalculatedPreferencesTool</v>
      </c>
      <c r="C166" t="str">
        <f>IFERROR(__xludf.DUMMYFUNCTION("""COMPUTED_VALUE"""),"15cvdIe75lDUXBGGMjjwC10U3pS8MfyoIe2lkeVTiz4Q")</f>
        <v>15cvdIe75lDUXBGGMjjwC10U3pS8MfyoIe2lkeVTiz4Q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IFERROR(__xludf.DUMMYFUNCTION("""COMPUTED_VALUE"""),"RunRevaluation")</f>
        <v>RunRevaluation</v>
      </c>
      <c r="C167" t="str">
        <f>IFERROR(__xludf.DUMMYFUNCTION("""COMPUTED_VALUE"""),"1CTkEDNwBtXXECS37_3g9vrTE1pbqsU-d8nKU-xj6BH8")</f>
        <v>1CTkEDNwBtXXECS37_3g9vrTE1pbqsU-d8nKU-xj6BH8</v>
      </c>
    </row>
    <row r="168" ht="15.75" customHeight="1">
      <c r="A168" t="str">
        <f>IFERROR(__xludf.DUMMYFUNCTION("""COMPUTED_VALUE"""),"GeneralLedger")</f>
        <v>GeneralLedger</v>
      </c>
      <c r="B168" t="str">
        <f>IFERROR(__xludf.DUMMYFUNCTION("""COMPUTED_VALUE"""),"CalculateDayEndCash")</f>
        <v>CalculateDayEndCash</v>
      </c>
      <c r="C168" t="str">
        <f>IFERROR(__xludf.DUMMYFUNCTION("""COMPUTED_VALUE"""),"Undefined")</f>
        <v>Undefined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IFERROR(__xludf.DUMMYFUNCTION("""COMPUTED_VALUE"""),"ExportAllCalculatedPreferTool")</f>
        <v>ExportAllCalculatedPreferTool</v>
      </c>
      <c r="C169" t="str">
        <f>IFERROR(__xludf.DUMMYFUNCTION("""COMPUTED_VALUE"""),"19sktX0w4yHgQ6O1tvExgZzeUqcWIZA12C1zB18Be3Eg")</f>
        <v>19sktX0w4yHgQ6O1tvExgZzeUqcWIZA12C1zB18Be3Eg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IFERROR(__xludf.DUMMYFUNCTION("""COMPUTED_VALUE"""),"OpenAuditTrailAllocatedGroup")</f>
        <v>OpenAuditTrailAllocatedGroup</v>
      </c>
      <c r="C170" t="str">
        <f>IFERROR(__xludf.DUMMYFUNCTION("""COMPUTED_VALUE"""),"1tY0ONne4e_DLk01CP3Yr8PFqkHW7CN5Tcrdg_aTfyIc")</f>
        <v>1tY0ONne4e_DLk01CP3Yr8PFqkHW7CN5Tcrdg_aTfyIc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IFERROR(__xludf.DUMMYFUNCTION("""COMPUTED_VALUE"""),"OpenSymbolLookupUnallocateGroup")</f>
        <v>OpenSymbolLookupUnallocateGroup</v>
      </c>
      <c r="C171" t="str">
        <f>IFERROR(__xludf.DUMMYFUNCTION("""COMPUTED_VALUE"""),"1VgMLGfez9GRGMaP1WjU16fe-0tqNQm6Q4avE33EcOYY")</f>
        <v>1VgMLGfez9GRGMaP1WjU16fe-0tqNQm6Q4avE33EcOYY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IFERROR(__xludf.DUMMYFUNCTION("""COMPUTED_VALUE"""),"OpenSymbolLookupAllocatedGroup")</f>
        <v>OpenSymbolLookupAllocatedGroup</v>
      </c>
      <c r="C172" t="str">
        <f>IFERROR(__xludf.DUMMYFUNCTION("""COMPUTED_VALUE"""),"1UlD88MnL7cRrdpAs0oIY4CgiqqPAt6rG1QINQRoIUk0")</f>
        <v>1UlD88MnL7cRrdpAs0oIY4CgiqqPAt6rG1QINQRoIUk0</v>
      </c>
    </row>
    <row r="173" ht="15.75" customHeight="1">
      <c r="A173" t="str">
        <f>IFERROR(__xludf.DUMMYFUNCTION("""COMPUTED_VALUE"""),"Allocation")</f>
        <v>Allocation</v>
      </c>
      <c r="B173" t="str">
        <f>IFERROR(__xludf.DUMMYFUNCTION("""COMPUTED_VALUE"""),"DeleteFixedPreference")</f>
        <v>DeleteFixedPreference</v>
      </c>
      <c r="C173" t="str">
        <f>IFERROR(__xludf.DUMMYFUNCTION("""COMPUTED_VALUE"""),"1QuxQdRwCQLhQmIE-7ojQHbkfi3GduKopw_zRf7x4Z8k")</f>
        <v>1QuxQdRwCQLhQmIE-7ojQHbkfi3GduKopw_zRf7x4Z8k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IFERROR(__xludf.DUMMYFUNCTION("""COMPUTED_VALUE"""),"TransferToUserSubOrder")</f>
        <v>TransferToUserSubOrder</v>
      </c>
      <c r="C174" t="str">
        <f>IFERROR(__xludf.DUMMYFUNCTION("""COMPUTED_VALUE"""),"1hwATfGdtmHElWfysPQ8SoqtQYGAONa4CD5KGPnZG3g0")</f>
        <v>1hwATfGdtmHElWfysPQ8SoqtQYGAONa4CD5KGPnZG3g0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IFERROR(__xludf.DUMMYFUNCTION("""COMPUTED_VALUE"""),"DetailsForAlgoTradeOrder")</f>
        <v>DetailsForAlgoTradeOrder</v>
      </c>
      <c r="C175" t="str">
        <f>IFERROR(__xludf.DUMMYFUNCTION("""COMPUTED_VALUE"""),"1hKsLv5DWOG0nEHHNeqf5DATqVyLmKGNoGDvVEIduyxo")</f>
        <v>1hKsLv5DWOG0nEHHNeqf5DATqVyLmKGNoGDvVEIduyxo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IFERROR(__xludf.DUMMYFUNCTION("""COMPUTED_VALUE"""),"AddFillsSubOrder")</f>
        <v>AddFillsSubOrder</v>
      </c>
      <c r="C176" t="str">
        <f>IFERROR(__xludf.DUMMYFUNCTION("""COMPUTED_VALUE"""),"1epH2quBNafssL7JOfzPXsTzTtJ8ZaAHSnA9uKb8qH1U")</f>
        <v>1epH2quBNafssL7JOfzPXsTzTtJ8ZaAHSnA9uKb8qH1U</v>
      </c>
    </row>
    <row r="177" ht="15.75" customHeight="1">
      <c r="A177" t="str">
        <f>IFERROR(__xludf.DUMMYFUNCTION("""COMPUTED_VALUE"""),"Blotter")</f>
        <v>Blotter</v>
      </c>
      <c r="B177" t="str">
        <f>IFERROR(__xludf.DUMMYFUNCTION("""COMPUTED_VALUE"""),"ViewAllocationDetailsSubOrder")</f>
        <v>ViewAllocationDetailsSubOrder</v>
      </c>
      <c r="C177" t="str">
        <f>IFERROR(__xludf.DUMMYFUNCTION("""COMPUTED_VALUE"""),"1WFYL2DkTFjySpR-YYRIeZl8PCVg5VN801r302PFIqUw")</f>
        <v>1WFYL2DkTFjySpR-YYRIeZl8PCVg5VN801r302PFIqUw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IFERROR(__xludf.DUMMYFUNCTION("""COMPUTED_VALUE"""),"GetCashTransaction")</f>
        <v>GetCashTransaction</v>
      </c>
      <c r="C178" t="str">
        <f>IFERROR(__xludf.DUMMYFUNCTION("""COMPUTED_VALUE"""),"1eAu5kF0FOdHgLRmmaT6htwYFnDGtrElLVJv94QOc9Jk")</f>
        <v>1eAu5kF0FOdHgLRmmaT6htwYFnDGtrElLVJv94QOc9Jk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IFERROR(__xludf.DUMMYFUNCTION("""COMPUTED_VALUE"""),"SelectCashTransaction")</f>
        <v>SelectCashTransaction</v>
      </c>
      <c r="C179" t="str">
        <f>IFERROR(__xludf.DUMMYFUNCTION("""COMPUTED_VALUE"""),"1-JkpHPUP1cA_3kQbZkuY7fNLf2ujwn0GGAXQYg9Q3cs")</f>
        <v>1-JkpHPUP1cA_3kQbZkuY7fNLf2ujwn0GGAXQYg9Q3cs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IFERROR(__xludf.DUMMYFUNCTION("""COMPUTED_VALUE"""),"DeleteCashTransaction")</f>
        <v>DeleteCashTransaction</v>
      </c>
      <c r="C180" t="str">
        <f>IFERROR(__xludf.DUMMYFUNCTION("""COMPUTED_VALUE"""),"1-FMKzKFLs35vDwOy-dMpEXAgpkacDP7IxwYnkwezVRA")</f>
        <v>1-FMKzKFLs35vDwOy-dMpEXAgpkacDP7IxwYnkwezVRA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IFERROR(__xludf.DUMMYFUNCTION("""COMPUTED_VALUE"""),"EditCashTransaction")</f>
        <v>EditCashTransaction</v>
      </c>
      <c r="C181" t="str">
        <f>IFERROR(__xludf.DUMMYFUNCTION("""COMPUTED_VALUE"""),"1G86u72qdKVcfi1M5XOrtfzhereVolhrkGxtzlcFj3FE")</f>
        <v>1G86u72qdKVcfi1M5XOrtfzhereVolhrkGxtzlcFj3FE</v>
      </c>
    </row>
    <row r="182" ht="15.75" customHeight="1">
      <c r="A182" t="str">
        <f>IFERROR(__xludf.DUMMYFUNCTION("""COMPUTED_VALUE"""),"GeneralLedger")</f>
        <v>GeneralLedger</v>
      </c>
      <c r="B182" t="str">
        <f>IFERROR(__xludf.DUMMYFUNCTION("""COMPUTED_VALUE"""),"AddCashTransaction")</f>
        <v>AddCashTransaction</v>
      </c>
      <c r="C182" t="str">
        <f>IFERROR(__xludf.DUMMYFUNCTION("""COMPUTED_VALUE"""),"1sevd52QJcsTK-3lUhpRdNjV9xdzrQQXZeLRutjI_uKk")</f>
        <v>1sevd52QJcsTK-3lUhpRdNjV9xdzrQQXZeLRutjI_uKk</v>
      </c>
    </row>
    <row r="183" ht="15.75" customHeight="1">
      <c r="A183" t="str">
        <f>IFERROR(__xludf.DUMMYFUNCTION("""COMPUTED_VALUE"""),"Allocation")</f>
        <v>Allocation</v>
      </c>
      <c r="B183" t="str">
        <f>IFERROR(__xludf.DUMMYFUNCTION("""COMPUTED_VALUE"""),"EditAllocatedGroupSidePanel")</f>
        <v>EditAllocatedGroupSidePanel</v>
      </c>
      <c r="C183" t="str">
        <f>IFERROR(__xludf.DUMMYFUNCTION("""COMPUTED_VALUE"""),"1to781E8gHDZpAklYKgq0gbqaOiSm4UKSyxrXQekG8-E")</f>
        <v>1to781E8gHDZpAklYKgq0gbqaOiSm4UKSyxrXQekG8-E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IFERROR(__xludf.DUMMYFUNCTION("""COMPUTED_VALUE"""),"GetMarkPriceData")</f>
        <v>GetMarkPriceData</v>
      </c>
      <c r="C184" t="str">
        <f>IFERROR(__xludf.DUMMYFUNCTION("""COMPUTED_VALUE"""),"1n8_HzZqruobAe_bzZUNDlFTjWWOXhYdC6XO8toLSA1U")</f>
        <v>1n8_HzZqruobAe_bzZUNDlFTjWWOXhYdC6XO8toLSA1U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IFERROR(__xludf.DUMMYFUNCTION("""COMPUTED_VALUE"""),"GetForwardPoints")</f>
        <v>GetForwardPoints</v>
      </c>
      <c r="C185" t="str">
        <f>IFERROR(__xludf.DUMMYFUNCTION("""COMPUTED_VALUE"""),"1QzfIvMI24u1alGmbfvHB8YsLQnTXbnEskdO5U_4c03M")</f>
        <v>1QzfIvMI24u1alGmbfvHB8YsLQnTXbnEskdO5U_4c03M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IFERROR(__xludf.DUMMYFUNCTION("""COMPUTED_VALUE"""),"UpdateForwardPoints")</f>
        <v>UpdateForwardPoints</v>
      </c>
      <c r="C186" t="str">
        <f>IFERROR(__xludf.DUMMYFUNCTION("""COMPUTED_VALUE"""),"13AkdqEmmE2bNXqK_D5_68u-ZCAC0NWVG5008Fv31TBY")</f>
        <v>13AkdqEmmE2bNXqK_D5_68u-ZCAC0NWVG5008Fv31TBY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IFERROR(__xludf.DUMMYFUNCTION("""COMPUTED_VALUE"""),"GetForexConversion")</f>
        <v>GetForexConversion</v>
      </c>
      <c r="C187" t="str">
        <f>IFERROR(__xludf.DUMMYFUNCTION("""COMPUTED_VALUE"""),"1-EtK3j_FyjgJHsYvldAuV4YFHX-qm1CzWPL4SKUKm_I")</f>
        <v>1-EtK3j_FyjgJHsYvldAuV4YFHX-qm1CzWPL4SKUKm_I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IFERROR(__xludf.DUMMYFUNCTION("""COMPUTED_VALUE"""),"DeleteNAV")</f>
        <v>DeleteNAV</v>
      </c>
      <c r="C188" t="str">
        <f>IFERROR(__xludf.DUMMYFUNCTION("""COMPUTED_VALUE"""),"1eh6Leacf5FhDvEUrEksk9SLUjWAOnXtHRxNauMziD4o")</f>
        <v>1eh6Leacf5FhDvEUrEksk9SLUjWAOnXtHRxNauMziD4o</v>
      </c>
    </row>
    <row r="189" ht="15.75" customHeight="1">
      <c r="A189" t="str">
        <f>IFERROR(__xludf.DUMMYFUNCTION("""COMPUTED_VALUE"""),"Allocation")</f>
        <v>Allocation</v>
      </c>
      <c r="B189" t="str">
        <f>IFERROR(__xludf.DUMMYFUNCTION("""COMPUTED_VALUE"""),"CheckUnallocatedGroups")</f>
        <v>CheckUnallocatedGroups</v>
      </c>
      <c r="C189" t="str">
        <f>IFERROR(__xludf.DUMMYFUNCTION("""COMPUTED_VALUE"""),"1TAt_QqMW8h2ttxV57It9jVYC7njvL5tOt-r4EGRYGcE")</f>
        <v>1TAt_QqMW8h2ttxV57It9jVYC7njvL5tOt-r4EGRYGcE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IFERROR(__xludf.DUMMYFUNCTION("""COMPUTED_VALUE"""),"GetDailyCash")</f>
        <v>GetDailyCash</v>
      </c>
      <c r="C190" t="str">
        <f>IFERROR(__xludf.DUMMYFUNCTION("""COMPUTED_VALUE"""),"14gid3u0_rNvP0XS5C1YIlhQOluw_ZaKzbQj6rh_Y-CY")</f>
        <v>14gid3u0_rNvP0XS5C1YIlhQOluw_ZaKzbQj6rh_Y-CY</v>
      </c>
    </row>
    <row r="191" ht="15.75" customHeight="1">
      <c r="A191" t="str">
        <f>IFERROR(__xludf.DUMMYFUNCTION("""COMPUTED_VALUE"""),"Allocation")</f>
        <v>Allocation</v>
      </c>
      <c r="B191" t="str">
        <f>IFERROR(__xludf.DUMMYFUNCTION("""COMPUTED_VALUE"""),"SetGeneralPreferences")</f>
        <v>SetGeneralPreferences</v>
      </c>
      <c r="C191" t="str">
        <f>IFERROR(__xludf.DUMMYFUNCTION("""COMPUTED_VALUE"""),"13lsUBmvcs1NBlGITGBbugtTWepJLuzLGMOMde0zoOFI")</f>
        <v>13lsUBmvcs1NBlGITGBbugtTWepJLuzLGMOMde0zoOFI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IFERROR(__xludf.DUMMYFUNCTION("""COMPUTED_VALUE"""),"GetDailyBeta")</f>
        <v>GetDailyBeta</v>
      </c>
      <c r="C192" t="str">
        <f>IFERROR(__xludf.DUMMYFUNCTION("""COMPUTED_VALUE"""),"1pQIetLHHfnLHOHDOH81rC03QLUOIpHsKO6dDH-9qgiA")</f>
        <v>1pQIetLHHfnLHOHDOH81rC03QLUOIpHsKO6dDH-9qgiA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IFERROR(__xludf.DUMMYFUNCTION("""COMPUTED_VALUE"""),"GetDailyVolatility")</f>
        <v>GetDailyVolatility</v>
      </c>
      <c r="C193" t="str">
        <f>IFERROR(__xludf.DUMMYFUNCTION("""COMPUTED_VALUE"""),"1YzjFof__EtWy8oxu5pQ4N6G7Nktkl0nyAu81BckiIHo")</f>
        <v>1YzjFof__EtWy8oxu5pQ4N6G7Nktkl0nyAu81BckiIHo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IFERROR(__xludf.DUMMYFUNCTION("""COMPUTED_VALUE"""),"GetDailyDividendYield")</f>
        <v>GetDailyDividendYield</v>
      </c>
      <c r="C194" t="str">
        <f>IFERROR(__xludf.DUMMYFUNCTION("""COMPUTED_VALUE"""),"1IT8x5br3VynepPgq_xCGQsJR0piFM3lhqTr5GTh0kyM")</f>
        <v>1IT8x5br3VynepPgq_xCGQsJR0piFM3lhqTr5GTh0kyM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IFERROR(__xludf.DUMMYFUNCTION("""COMPUTED_VALUE"""),"GetDailyTradingVolume")</f>
        <v>GetDailyTradingVolume</v>
      </c>
      <c r="C195" t="str">
        <f>IFERROR(__xludf.DUMMYFUNCTION("""COMPUTED_VALUE"""),"1b0nK_mdsKdKSE4C04O7I8ZpvPLGjbiy-MhX9TjlXJOc")</f>
        <v>1b0nK_mdsKdKSE4C04O7I8ZpvPLGjbiy-MhX9TjlXJOc</v>
      </c>
    </row>
    <row r="196" ht="15.75" customHeight="1">
      <c r="A196" t="str">
        <f>IFERROR(__xludf.DUMMYFUNCTION("""COMPUTED_VALUE"""),"DailyValuation")</f>
        <v>DailyValuation</v>
      </c>
      <c r="B196" t="str">
        <f>IFERROR(__xludf.DUMMYFUNCTION("""COMPUTED_VALUE"""),"GetDailyOutstandings")</f>
        <v>GetDailyOutstandings</v>
      </c>
      <c r="C196" t="str">
        <f>IFERROR(__xludf.DUMMYFUNCTION("""COMPUTED_VALUE"""),"1JWIRWOskU5-ZLGBe3TJje54Hlb55btHuU3SX7Yu7WME")</f>
        <v>1JWIRWOskU5-ZLGBe3TJje54Hlb55btHuU3SX7Yu7WME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IFERROR(__xludf.DUMMYFUNCTION("""COMPUTED_VALUE"""),"GroupTrades")</f>
        <v>GroupTrades</v>
      </c>
      <c r="C197" t="str">
        <f>IFERROR(__xludf.DUMMYFUNCTION("""COMPUTED_VALUE"""),"1So5L0BXlev1p0ans29tDBJeLp2hRQnaDt7l5ChXhfes")</f>
        <v>1So5L0BXlev1p0ans29tDBJeLp2hRQnaDt7l5ChXhfes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IFERROR(__xludf.DUMMYFUNCTION("""COMPUTED_VALUE"""),"UngroupTrades")</f>
        <v>UngroupTrades</v>
      </c>
      <c r="C198" t="str">
        <f>IFERROR(__xludf.DUMMYFUNCTION("""COMPUTED_VALUE"""),"1pYOsK-haxePz_Yimf8WRvV4AA03Okf2Hys87-MH9gY8")</f>
        <v>1pYOsK-haxePz_Yimf8WRvV4AA03Okf2Hys87-MH9gY8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IFERROR(__xludf.DUMMYFUNCTION("""COMPUTED_VALUE"""),"DeleteGroup")</f>
        <v>DeleteGroup</v>
      </c>
      <c r="C199" t="str">
        <f>IFERROR(__xludf.DUMMYFUNCTION("""COMPUTED_VALUE"""),"1GB2HOSoXy5_fXzB6PWrRFuaVq7s_N92V1nsnnHizRIc")</f>
        <v>1GB2HOSoXy5_fXzB6PWrRFuaVq7s_N92V1nsnnHizRIc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IFERROR(__xludf.DUMMYFUNCTION("""COMPUTED_VALUE"""),"CloseOrder")</f>
        <v>CloseOrder</v>
      </c>
      <c r="C200" t="str">
        <f>IFERROR(__xludf.DUMMYFUNCTION("""COMPUTED_VALUE"""),"1hQS_ZIe0f-YDXYnVZH0axct7qbeGC9dZ8jS8WCF4z7Q")</f>
        <v>1hQS_ZIe0f-YDXYnVZH0axct7qbeGC9dZ8jS8WCF4z7Q</v>
      </c>
    </row>
    <row r="201" ht="15.75" customHeight="1">
      <c r="A201" t="str">
        <f>IFERROR(__xludf.DUMMYFUNCTION("""COMPUTED_VALUE"""),"Allocation")</f>
        <v>Allocation</v>
      </c>
      <c r="B201" t="str">
        <f>IFERROR(__xludf.DUMMYFUNCTION("""COMPUTED_VALUE"""),"Unallocate")</f>
        <v>Unallocate</v>
      </c>
      <c r="C201" t="str">
        <f>IFERROR(__xludf.DUMMYFUNCTION("""COMPUTED_VALUE"""),"1t4kPkbjkNXIe4MARfTMRmNFGo_pNUbSH11y89_kdYv8")</f>
        <v>1t4kPkbjkNXIe4MARfTMRmNFGo_pNUbSH11y89_kdYv8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IFERROR(__xludf.DUMMYFUNCTION("""COMPUTED_VALUE"""),"GetDailyDelta")</f>
        <v>GetDailyDelta</v>
      </c>
      <c r="C202" t="str">
        <f>IFERROR(__xludf.DUMMYFUNCTION("""COMPUTED_VALUE"""),"1EWopTT0IuOzHKc-T4uQJSGDc_PdR7QnTb3XX-tcRY_w")</f>
        <v>1EWopTT0IuOzHKc-T4uQJSGDc_PdR7QnTb3XX-tcRY_w</v>
      </c>
    </row>
    <row r="203" ht="15.75" customHeight="1">
      <c r="A203" t="str">
        <f>IFERROR(__xludf.DUMMYFUNCTION("""COMPUTED_VALUE"""),"DailyValuation")</f>
        <v>DailyValuation</v>
      </c>
      <c r="B203" t="str">
        <f>IFERROR(__xludf.DUMMYFUNCTION("""COMPUTED_VALUE"""),"UpdateDailyVolatility")</f>
        <v>UpdateDailyVolatility</v>
      </c>
      <c r="C203" t="str">
        <f>IFERROR(__xludf.DUMMYFUNCTION("""COMPUTED_VALUE"""),"1iA4AMqVk2SrSflatQ2iNOBpgxijhht1Fnx5gjinTpNE")</f>
        <v>1iA4AMqVk2SrSflatQ2iNOBpgxijhht1Fnx5gjinTpNE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IFERROR(__xludf.DUMMYFUNCTION("""COMPUTED_VALUE"""),"AddOpeningBalanceTransaction")</f>
        <v>AddOpeningBalanceTransaction</v>
      </c>
      <c r="C204" t="str">
        <f>IFERROR(__xludf.DUMMYFUNCTION("""COMPUTED_VALUE"""),"1aYOUexiSRWPy8aTQV4LoLIAgO5vDCT827evf8qbriCw")</f>
        <v>1aYOUexiSRWPy8aTQV4LoLIAgO5vDCT827evf8qbriCw</v>
      </c>
    </row>
    <row r="205" ht="15.75" customHeight="1">
      <c r="A205" t="str">
        <f>IFERROR(__xludf.DUMMYFUNCTION("""COMPUTED_VALUE"""),"GeneralLedger")</f>
        <v>GeneralLedger</v>
      </c>
      <c r="B205" t="str">
        <f>IFERROR(__xludf.DUMMYFUNCTION("""COMPUTED_VALUE"""),"AddOpeningBalanceTranItem")</f>
        <v>AddOpeningBalanceTranItem</v>
      </c>
      <c r="C205" t="str">
        <f>IFERROR(__xludf.DUMMYFUNCTION("""COMPUTED_VALUE"""),"1Fwh_5fQ1FG6uekAkW9Onl3gExHJ4LFINEfUWhVU7RZE")</f>
        <v>1Fwh_5fQ1FG6uekAkW9Onl3gExHJ4LFINEfUWhVU7RZE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IFERROR(__xludf.DUMMYFUNCTION("""COMPUTED_VALUE"""),"CancelAllSubs")</f>
        <v>CancelAllSubs</v>
      </c>
      <c r="C206" t="str">
        <f>IFERROR(__xludf.DUMMYFUNCTION("""COMPUTED_VALUE"""),"1SFrgXfnkqGWJMgHFA_u_7p2RPeiz9bYEbsmAuNUkulo")</f>
        <v>1SFrgXfnkqGWJMgHFA_u_7p2RPeiz9bYEbsmAuNUkulo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IFERROR(__xludf.DUMMYFUNCTION("""COMPUTED_VALUE"""),"CancelSubOrder")</f>
        <v>CancelSubOrder</v>
      </c>
      <c r="C207" t="str">
        <f>IFERROR(__xludf.DUMMYFUNCTION("""COMPUTED_VALUE"""),"1HgRCOHOWDe0WdsCwOOCeifnh4CU_EMG0jYwvF1Kw5CU")</f>
        <v>1HgRCOHOWDe0WdsCwOOCeifnh4CU_EMG0jYwvF1Kw5CU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IFERROR(__xludf.DUMMYFUNCTION("""COMPUTED_VALUE"""),"EditStageOrder")</f>
        <v>EditStageOrder</v>
      </c>
      <c r="C208" t="str">
        <f>IFERROR(__xludf.DUMMYFUNCTION("""COMPUTED_VALUE"""),"1CSJwXvHLRSniyl60uT7TjQbnLpp-heMq72pgOJJ1F2c")</f>
        <v>1CSJwXvHLRSniyl60uT7TjQbnLpp-heMq72pgOJJ1F2c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IFERROR(__xludf.DUMMYFUNCTION("""COMPUTED_VALUE"""),"ReplaceSubOrder")</f>
        <v>ReplaceSubOrder</v>
      </c>
      <c r="C209" t="str">
        <f>IFERROR(__xludf.DUMMYFUNCTION("""COMPUTED_VALUE"""),"1DiMnJfL8ny_q4NkWjHDLna6eWN_b1wz9lFLXHDLAxvc")</f>
        <v>1DiMnJfL8ny_q4NkWjHDLna6eWN_b1wz9lFLXHDLAxvc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IFERROR(__xludf.DUMMYFUNCTION("""COMPUTED_VALUE"""),"SelectTradeWorkingSubsBlotter")</f>
        <v>SelectTradeWorkingSubsBlotter</v>
      </c>
      <c r="C210" t="str">
        <f>IFERROR(__xludf.DUMMYFUNCTION("""COMPUTED_VALUE"""),"1bMbn1pg_skkJ9tr1sYGLyll2RO_KUXGAY_4l0agiVqs")</f>
        <v>1bMbn1pg_skkJ9tr1sYGLyll2RO_KUXGAY_4l0agiVqs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IFERROR(__xludf.DUMMYFUNCTION("""COMPUTED_VALUE"""),"VerifyAlgoDetails")</f>
        <v>VerifyAlgoDetails</v>
      </c>
      <c r="C211" t="str">
        <f>IFERROR(__xludf.DUMMYFUNCTION("""COMPUTED_VALUE"""),"1keLoHSkjbycZTYgUKqJWjQgUdVfUhUyItu_TF_Nnepg")</f>
        <v>1keLoHSkjbycZTYgUKqJWjQgUdVfUhUyItu_TF_Nnepg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IFERROR(__xludf.DUMMYFUNCTION("""COMPUTED_VALUE"""),"VerifyTransferToUserOrder")</f>
        <v>VerifyTransferToUserOrder</v>
      </c>
      <c r="C212" t="str">
        <f>IFERROR(__xludf.DUMMYFUNCTION("""COMPUTED_VALUE"""),"1JB77pWGg3Yigh8nRXBE3j84K0MUfsHo66tZGfomxokI")</f>
        <v>1JB77pWGg3Yigh8nRXBE3j84K0MUfsHo66tZGfomxokI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IFERROR(__xludf.DUMMYFUNCTION("""COMPUTED_VALUE"""),"VerifyTransferToUserSubOdr")</f>
        <v>VerifyTransferToUserSubOdr</v>
      </c>
      <c r="C213" t="str">
        <f>IFERROR(__xludf.DUMMYFUNCTION("""COMPUTED_VALUE"""),"13i3cde69VhVWqwDeyZvG2UTR0kaaEh6xf5cAoobr5mA")</f>
        <v>13i3cde69VhVWqwDeyZvG2UTR0kaaEh6xf5cAoobr5mA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IFERROR(__xludf.DUMMYFUNCTION("""COMPUTED_VALUE"""),"VerifyTransferToUserWorkSub")</f>
        <v>VerifyTransferToUserWorkSub</v>
      </c>
      <c r="C214" t="str">
        <f>IFERROR(__xludf.DUMMYFUNCTION("""COMPUTED_VALUE"""),"1d_4UCN2TwKGLAIryatMhyDmfPFId5_idGnegTQS_lSc")</f>
        <v>1d_4UCN2TwKGLAIryatMhyDmfPFId5_idGnegTQS_lSc</v>
      </c>
    </row>
    <row r="215" ht="15.75" customHeight="1">
      <c r="A215" t="str">
        <f>IFERROR(__xludf.DUMMYFUNCTION("""COMPUTED_VALUE"""),"Blotter")</f>
        <v>Blotter</v>
      </c>
      <c r="B215" t="str">
        <f>IFERROR(__xludf.DUMMYFUNCTION("""COMPUTED_VALUE"""),"SaveLayoutOrderGrid")</f>
        <v>SaveLayoutOrderGrid</v>
      </c>
      <c r="C215" t="str">
        <f>IFERROR(__xludf.DUMMYFUNCTION("""COMPUTED_VALUE"""),"1X0u87WRgFV9nfzAoxarkRCoGrGk1JKkwWhu3-eW1lKE")</f>
        <v>1X0u87WRgFV9nfzAoxarkRCoGrGk1JKkwWhu3-eW1lKE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IFERROR(__xludf.DUMMYFUNCTION("""COMPUTED_VALUE"""),"UpdateDividendYield")</f>
        <v>UpdateDividendYield</v>
      </c>
      <c r="C216" t="str">
        <f>IFERROR(__xludf.DUMMYFUNCTION("""COMPUTED_VALUE"""),"1l5ay-Y1acsWSAUtq9YQrxfOojAfjLCblSDpkEf0NHGo")</f>
        <v>1l5ay-Y1acsWSAUtq9YQrxfOojAfjLCblSDpkEf0NHGo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IFERROR(__xludf.DUMMYFUNCTION("""COMPUTED_VALUE"""),"UpdateTradingVolume")</f>
        <v>UpdateTradingVolume</v>
      </c>
      <c r="C217" t="str">
        <f>IFERROR(__xludf.DUMMYFUNCTION("""COMPUTED_VALUE"""),"1A19wf6hpfMJmBm83N_GhvYK2Gp3K-e3JP9EJ-P576Cw")</f>
        <v>1A19wf6hpfMJmBm83N_GhvYK2Gp3K-e3JP9EJ-P576Cw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IFERROR(__xludf.DUMMYFUNCTION("""COMPUTED_VALUE"""),"UpdateDailyDelta")</f>
        <v>UpdateDailyDelta</v>
      </c>
      <c r="C218" t="str">
        <f>IFERROR(__xludf.DUMMYFUNCTION("""COMPUTED_VALUE"""),"171XsheaaYdF5gMm2y5rdioGxjl_k82Rso_opEanflJI")</f>
        <v>171XsheaaYdF5gMm2y5rdioGxjl_k82Rso_opEanflJI</v>
      </c>
    </row>
    <row r="219" ht="15.75" customHeight="1">
      <c r="A219" t="str">
        <f>IFERROR(__xludf.DUMMYFUNCTION("""COMPUTED_VALUE"""),"DailyValuation")</f>
        <v>DailyValuation</v>
      </c>
      <c r="B219" t="str">
        <f>IFERROR(__xludf.DUMMYFUNCTION("""COMPUTED_VALUE"""),"UpdateDailyOutstandings")</f>
        <v>UpdateDailyOutstandings</v>
      </c>
      <c r="C219" t="str">
        <f>IFERROR(__xludf.DUMMYFUNCTION("""COMPUTED_VALUE"""),"1RX-Gap2zvagmEtgtn-yaOAByX7d1Wf9B5UxxxwHnBG0")</f>
        <v>1RX-Gap2zvagmEtgtn-yaOAByX7d1Wf9B5UxxxwHnBG0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IFERROR(__xludf.DUMMYFUNCTION("""COMPUTED_VALUE"""),"GetDataClosing")</f>
        <v>GetDataClosing</v>
      </c>
      <c r="C220" t="str">
        <f>IFERROR(__xludf.DUMMYFUNCTION("""COMPUTED_VALUE"""),"1zpj_umDuj1-o0Qnjy4AhkiZErr6BrbbzovL3thm9fjU")</f>
        <v>1zpj_umDuj1-o0Qnjy4AhkiZErr6BrbbzovL3thm9fjU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IFERROR(__xludf.DUMMYFUNCTION("""COMPUTED_VALUE"""),"ManualClosing")</f>
        <v>ManualClosing</v>
      </c>
      <c r="C221" t="str">
        <f>IFERROR(__xludf.DUMMYFUNCTION("""COMPUTED_VALUE"""),"1leJHZuhOWWw5Ahg0-DWVH5mHJ2YJlmZqRGOyALE7i9o")</f>
        <v>1leJHZuhOWWw5Ahg0-DWVH5mHJ2YJlmZqRGOyALE7i9o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IFERROR(__xludf.DUMMYFUNCTION("""COMPUTED_VALUE"""),"AutomaticClosing")</f>
        <v>AutomaticClosing</v>
      </c>
      <c r="C222" t="str">
        <f>IFERROR(__xludf.DUMMYFUNCTION("""COMPUTED_VALUE"""),"1WIQF7IwpSf3Cn5ovCdMQfdfxSkfCZCzVTpL_YVpEAnE")</f>
        <v>1WIQF7IwpSf3Cn5ovCdMQfdfxSkfCZCzVTpL_YVpEAnE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IFERROR(__xludf.DUMMYFUNCTION("""COMPUTED_VALUE"""),"UnwindClosing")</f>
        <v>UnwindClosing</v>
      </c>
      <c r="C223" t="str">
        <f>IFERROR(__xludf.DUMMYFUNCTION("""COMPUTED_VALUE"""),"1TGfoXbvH7XnRrtTbygxQiP_CGCUiD-kpaKBT1GGlJ5k")</f>
        <v>1TGfoXbvH7XnRrtTbygxQiP_CGCUiD-kpaKBT1GGlJ5k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IFERROR(__xludf.DUMMYFUNCTION("""COMPUTED_VALUE"""),"VerifyClosedTrades")</f>
        <v>VerifyClosedTrades</v>
      </c>
      <c r="C224" t="str">
        <f>IFERROR(__xludf.DUMMYFUNCTION("""COMPUTED_VALUE"""),"1-5-WK8gbrZ5gYJUTrxBke3x1Jgr3YYQdxyXVQBo6G84")</f>
        <v>1-5-WK8gbrZ5gYJUTrxBke3x1Jgr3YYQdxyXVQBo6G84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IFERROR(__xludf.DUMMYFUNCTION("""COMPUTED_VALUE"""),"VerifyLongPositionsGrid")</f>
        <v>VerifyLongPositionsGrid</v>
      </c>
      <c r="C225" t="str">
        <f>IFERROR(__xludf.DUMMYFUNCTION("""COMPUTED_VALUE"""),"1ttg9BWnk78DQDv-O4l-GQH4z2KLYqF-8x1YFxtmb2dM")</f>
        <v>1ttg9BWnk78DQDv-O4l-GQH4z2KLYqF-8x1YFxtmb2dM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IFERROR(__xludf.DUMMYFUNCTION("""COMPUTED_VALUE"""),"VerifyShortPositionsGrid")</f>
        <v>VerifyShortPositionsGrid</v>
      </c>
      <c r="C226" t="str">
        <f>IFERROR(__xludf.DUMMYFUNCTION("""COMPUTED_VALUE"""),"1iqnH235Ns1i-v1Te0t9y-s3gqhy30uGvGHdSxw9OuJc")</f>
        <v>1iqnH235Ns1i-v1Te0t9y-s3gqhy30uGvGHdSxw9OuJc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IFERROR(__xludf.DUMMYFUNCTION("""COMPUTED_VALUE"""),"SelectTradeUnexpiredUnsettled")</f>
        <v>SelectTradeUnexpiredUnsettled</v>
      </c>
      <c r="C227" t="str">
        <f>IFERROR(__xludf.DUMMYFUNCTION("""COMPUTED_VALUE"""),"1-lMv6JDKIjGiOD4yxxSfJBqD3PQjTk0_DqLFKliK-P4")</f>
        <v>1-lMv6JDKIjGiOD4yxxSfJBqD3PQjTk0_DqLFKliK-P4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IFERROR(__xludf.DUMMYFUNCTION("""COMPUTED_VALUE"""),"CashSettlementAtCost")</f>
        <v>CashSettlementAtCost</v>
      </c>
      <c r="C228" t="str">
        <f>IFERROR(__xludf.DUMMYFUNCTION("""COMPUTED_VALUE"""),"1WJrc9c47Pmk5qY7KMztGApsKlRbZNjVqNy90oWT9k5s")</f>
        <v>1WJrc9c47Pmk5qY7KMztGApsKlRbZNjVqNy90oWT9k5s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IFERROR(__xludf.DUMMYFUNCTION("""COMPUTED_VALUE"""),"CashSettlementAtZeroPrice")</f>
        <v>CashSettlementAtZeroPrice</v>
      </c>
      <c r="C229" t="str">
        <f>IFERROR(__xludf.DUMMYFUNCTION("""COMPUTED_VALUE"""),"17MNUtvIrTvTqiCtkjA9whCS3pSEmYiyq2dCpRNDR-Jw")</f>
        <v>17MNUtvIrTvTqiCtkjA9whCS3pSEmYiyq2dCpRNDR-Jw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IFERROR(__xludf.DUMMYFUNCTION("""COMPUTED_VALUE"""),"CashSettlementAtClosingDtSpotPx")</f>
        <v>CashSettlementAtClosingDtSpotPx</v>
      </c>
      <c r="C230" t="str">
        <f>IFERROR(__xludf.DUMMYFUNCTION("""COMPUTED_VALUE"""),"1C9uStqgFfWCHQzP5yX3EX8U5hkThVJiIrdTCvZ26BMc")</f>
        <v>1C9uStqgFfWCHQzP5yX3EX8U5hkThVJiIrdTCvZ26BMc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IFERROR(__xludf.DUMMYFUNCTION("""COMPUTED_VALUE"""),"PhysicalSettlement")</f>
        <v>PhysicalSettlement</v>
      </c>
      <c r="C231" t="str">
        <f>IFERROR(__xludf.DUMMYFUNCTION("""COMPUTED_VALUE"""),"1wSzKcpaAo_qIGXZhh7cr2aEMjgI5lIRo4Mhvhwq2qeY")</f>
        <v>1wSzKcpaAo_qIGXZhh7cr2aEMjgI5lIRo4Mhvhwq2qeY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IFERROR(__xludf.DUMMYFUNCTION("""COMPUTED_VALUE"""),"Expire")</f>
        <v>Expire</v>
      </c>
      <c r="C232" t="str">
        <f>IFERROR(__xludf.DUMMYFUNCTION("""COMPUTED_VALUE"""),"1Ip_8IOwz9bqljSD-feOp_lKkuwUz0ojb0L1ZfJB16Qk")</f>
        <v>1Ip_8IOwz9bqljSD-feOp_lKkuwUz0ojb0L1ZfJB16Qk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IFERROR(__xludf.DUMMYFUNCTION("""COMPUTED_VALUE"""),"ExerciseAssignment")</f>
        <v>ExerciseAssignment</v>
      </c>
      <c r="C233" t="str">
        <f>IFERROR(__xludf.DUMMYFUNCTION("""COMPUTED_VALUE"""),"1wtRdFxIJps7V6dCVpAiuURu6otnywpC22qYcCc8mcRo")</f>
        <v>1wtRdFxIJps7V6dCVpAiuURu6otnywpC22qYcCc8mcRo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IFERROR(__xludf.DUMMYFUNCTION("""COMPUTED_VALUE"""),"ExerciseAssignmentAtZero")</f>
        <v>ExerciseAssignmentAtZero</v>
      </c>
      <c r="C234" t="str">
        <f>IFERROR(__xludf.DUMMYFUNCTION("""COMPUTED_VALUE"""),"1RDhYUjIX5mcXvife-2a1DhS9e9_nAdKKNtIS723weSU")</f>
        <v>1RDhYUjIX5mcXvife-2a1DhS9e9_nAdKKNtIS723weSU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IFERROR(__xludf.DUMMYFUNCTION("""COMPUTED_VALUE"""),"SwapExpireAndRollover")</f>
        <v>SwapExpireAndRollover</v>
      </c>
      <c r="C235" t="str">
        <f>IFERROR(__xludf.DUMMYFUNCTION("""COMPUTED_VALUE"""),"12ERQgX7aAMiLB-7a8IQzGZT9zRJ3hxpnM1dEsBpvoTs")</f>
        <v>12ERQgX7aAMiLB-7a8IQzGZT9zRJ3hxpnM1dEsBpvoTs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IFERROR(__xludf.DUMMYFUNCTION("""COMPUTED_VALUE"""),"SwapExpire")</f>
        <v>SwapExpire</v>
      </c>
      <c r="C236" t="str">
        <f>IFERROR(__xludf.DUMMYFUNCTION("""COMPUTED_VALUE"""),"1sPvrowwTQsK7O1mUC-eQeJJSEgA9er_TCbHzyMsToxw")</f>
        <v>1sPvrowwTQsK7O1mUC-eQeJJSEgA9er_TCbHzyMsToxw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IFERROR(__xludf.DUMMYFUNCTION("""COMPUTED_VALUE"""),"VerifyExpiredSettledGrid")</f>
        <v>VerifyExpiredSettledGrid</v>
      </c>
      <c r="C237" t="str">
        <f>IFERROR(__xludf.DUMMYFUNCTION("""COMPUTED_VALUE"""),"10Zg67pbgVBxMXLfS0tb0CvJl6d4CddHzic_azwXCniM")</f>
        <v>10Zg67pbgVBxMXLfS0tb0CvJl6d4CddHzic_azwXCniM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IFERROR(__xludf.DUMMYFUNCTION("""COMPUTED_VALUE"""),"VerifyUnExpiredUnSettledGrid")</f>
        <v>VerifyUnExpiredUnSettledGrid</v>
      </c>
      <c r="C238" t="str">
        <f>IFERROR(__xludf.DUMMYFUNCTION("""COMPUTED_VALUE"""),"1rF_yrG82eLBZe-adfgdXilcZYJ6oludm1T8aoBS5c5o")</f>
        <v>1rF_yrG82eLBZe-adfgdXilcZYJ6oludm1T8aoBS5c5o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IFERROR(__xludf.DUMMYFUNCTION("""COMPUTED_VALUE"""),"UnWindTradeSettlement")</f>
        <v>UnWindTradeSettlement</v>
      </c>
      <c r="C239" t="str">
        <f>IFERROR(__xludf.DUMMYFUNCTION("""COMPUTED_VALUE"""),"1pGpjjND8zdK0CvWzT85s06ej72BcB2NDC7Q-WabwmKU")</f>
        <v>1pGpjjND8zdK0CvWzT85s06ej72BcB2NDC7Q-WabwmKU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IFERROR(__xludf.DUMMYFUNCTION("""COMPUTED_VALUE"""),"CloseOrder")</f>
        <v>CloseOrder</v>
      </c>
      <c r="C240" t="str">
        <f>IFERROR(__xludf.DUMMYFUNCTION("""COMPUTED_VALUE"""),"1vv9Kfv9KKSGeFLVF5gLJ02Q1tKJ5c9IHvX-Ou2CFpq4")</f>
        <v>1vv9Kfv9KKSGeFLVF5gLJ02Q1tKJ5c9IHvX-Ou2CFpq4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IFERROR(__xludf.DUMMYFUNCTION("""COMPUTED_VALUE"""),"VerifyCloseOrder")</f>
        <v>VerifyCloseOrder</v>
      </c>
      <c r="C241" t="str">
        <f>IFERROR(__xludf.DUMMYFUNCTION("""COMPUTED_VALUE"""),"1aKet1Md_J6wogUHMdNxyLsRKxYDsQAami-K_3W_9QtQ")</f>
        <v>1aKet1Md_J6wogUHMdNxyLsRKxYDsQAami-K_3W_9QtQ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IFERROR(__xludf.DUMMYFUNCTION("""COMPUTED_VALUE"""),"UnWindCloseOrder")</f>
        <v>UnWindCloseOrder</v>
      </c>
      <c r="C242" t="str">
        <f>IFERROR(__xludf.DUMMYFUNCTION("""COMPUTED_VALUE"""),"1fGQY5n6Q7p59RUxuwZzrcdNms0UeLdsR3hCGQmHSORY")</f>
        <v>1fGQY5n6Q7p59RUxuwZzrcdNms0UeLdsR3hCGQmHSORY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IFERROR(__xludf.DUMMYFUNCTION("""COMPUTED_VALUE"""),"ClosingCleanUp")</f>
        <v>ClosingCleanUp</v>
      </c>
      <c r="C243" t="str">
        <f>IFERROR(__xludf.DUMMYFUNCTION("""COMPUTED_VALUE"""),"1atfrQHjBlCKqTMcOEgTGeCL-hYY6nKtN80Uz1petdC4")</f>
        <v>1atfrQHjBlCKqTMcOEgTGeCL-hYY6nKtN80Uz1petdC4</v>
      </c>
    </row>
    <row r="244" ht="15.75" customHeight="1">
      <c r="A244" t="str">
        <f>IFERROR(__xludf.DUMMYFUNCTION("""COMPUTED_VALUE"""),"Closing")</f>
        <v>Closing</v>
      </c>
      <c r="B244" t="str">
        <f>IFERROR(__xludf.DUMMYFUNCTION("""COMPUTED_VALUE"""),"CloseClosingUI")</f>
        <v>CloseClosingUI</v>
      </c>
      <c r="C244" t="str">
        <f>IFERROR(__xludf.DUMMYFUNCTION("""COMPUTED_VALUE"""),"1Fwftdx7FZtRacGg7lr02b8ReR-9wM2S7uuooFC2sxiM")</f>
        <v>1Fwftdx7FZtRacGg7lr02b8ReR-9wM2S7uuooFC2sxiM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IFERROR(__xludf.DUMMYFUNCTION("""COMPUTED_VALUE"""),"GetDailyCalculationsData")</f>
        <v>GetDailyCalculationsData</v>
      </c>
      <c r="C245" t="str">
        <f>IFERROR(__xludf.DUMMYFUNCTION("""COMPUTED_VALUE"""),"1GUy-RbvdREdP9isWFulTF3xqzCn4AWr0RvL_r4boFmE")</f>
        <v>1GUy-RbvdREdP9isWFulTF3xqzCn4AWr0RvL_r4boFmE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IFERROR(__xludf.DUMMYFUNCTION("""COMPUTED_VALUE"""),"CalculateDailyCalculations")</f>
        <v>CalculateDailyCalculations</v>
      </c>
      <c r="C246" t="str">
        <f>IFERROR(__xludf.DUMMYFUNCTION("""COMPUTED_VALUE"""),"Undefined")</f>
        <v>Undefined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IFERROR(__xludf.DUMMYFUNCTION("""COMPUTED_VALUE"""),"EditOpeningBalanceTransaction")</f>
        <v>EditOpeningBalanceTransaction</v>
      </c>
      <c r="C247" t="str">
        <f>IFERROR(__xludf.DUMMYFUNCTION("""COMPUTED_VALUE"""),"1xA6dyBc4R1EBoqW6kY2Dti984vRAuD-5PxoFrgVMPA8")</f>
        <v>1xA6dyBc4R1EBoqW6kY2Dti984vRAuD-5PxoFrgVMPA8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IFERROR(__xludf.DUMMYFUNCTION("""COMPUTED_VALUE"""),"EditOpeningBalanceTranItem")</f>
        <v>EditOpeningBalanceTranItem</v>
      </c>
      <c r="C248" t="str">
        <f>IFERROR(__xludf.DUMMYFUNCTION("""COMPUTED_VALUE"""),"18j5l_WQ5Vfj90uB1s_BQ179tKwHv_Lf1wexmG7TnYu0")</f>
        <v>18j5l_WQ5Vfj90uB1s_BQ179tKwHv_Lf1wexmG7TnYu0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IFERROR(__xludf.DUMMYFUNCTION("""COMPUTED_VALUE"""),"UpdateBeta")</f>
        <v>UpdateBeta</v>
      </c>
      <c r="C249" t="str">
        <f>IFERROR(__xludf.DUMMYFUNCTION("""COMPUTED_VALUE"""),"1dVMhvhPJNkuRqzig0Yyxm9TcxCvSCxm4pGTHTUTnsRE")</f>
        <v>1dVMhvhPJNkuRqzig0Yyxm9TcxCvSCxm4pGTHTUTnsRE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IFERROR(__xludf.DUMMYFUNCTION("""COMPUTED_VALUE"""),"UpdateNAV")</f>
        <v>UpdateNAV</v>
      </c>
      <c r="C250" t="str">
        <f>IFERROR(__xludf.DUMMYFUNCTION("""COMPUTED_VALUE"""),"1hPiMOS3ea665vDEmxN9P-HH8lukKgmMnynK7_ZbYvZE")</f>
        <v>1hPiMOS3ea665vDEmxN9P-HH8lukKgmMnynK7_ZbYvZE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IFERROR(__xludf.DUMMYFUNCTION("""COMPUTED_VALUE"""),"UpdateDailyCash")</f>
        <v>UpdateDailyCash</v>
      </c>
      <c r="C251" t="str">
        <f>IFERROR(__xludf.DUMMYFUNCTION("""COMPUTED_VALUE"""),"1VgfvPkC2fO8lxFnWeV2SJts5aU1T2aFQ0qKO0SLQUe8")</f>
        <v>1VgfvPkC2fO8lxFnWeV2SJts5aU1T2aFQ0qKO0SLQUe8</v>
      </c>
    </row>
    <row r="252" ht="15.75" customHeight="1">
      <c r="A252" t="str">
        <f>IFERROR(__xludf.DUMMYFUNCTION("""COMPUTED_VALUE"""),"GeneralLedger")</f>
        <v>GeneralLedger</v>
      </c>
      <c r="B252" t="str">
        <f>IFERROR(__xludf.DUMMYFUNCTION("""COMPUTED_VALUE"""),"VerifyDailyCalTransactions")</f>
        <v>VerifyDailyCalTransactions</v>
      </c>
      <c r="C252" t="str">
        <f>IFERROR(__xludf.DUMMYFUNCTION("""COMPUTED_VALUE"""),"1GiZkUkl9S3W-syFWHx7eF24G8LX1NhjocAEtLxZqOBI")</f>
        <v>1GiZkUkl9S3W-syFWHx7eF24G8LX1NhjocAEtLxZqOBI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IFERROR(__xludf.DUMMYFUNCTION("""COMPUTED_VALUE"""),"UpdateDailyCreditLimt")</f>
        <v>UpdateDailyCreditLimt</v>
      </c>
      <c r="C253" t="str">
        <f>IFERROR(__xludf.DUMMYFUNCTION("""COMPUTED_VALUE"""),"1PGYnrEHaAZlP-Oh2PMA8WujQmK1pV5B4YlDkScrpR7o")</f>
        <v>1PGYnrEHaAZlP-Oh2PMA8WujQmK1pV5B4YlDkScrpR7o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IFERROR(__xludf.DUMMYFUNCTION("""COMPUTED_VALUE"""),"RemoveDailyCreditLimit")</f>
        <v>RemoveDailyCreditLimit</v>
      </c>
      <c r="C254" t="str">
        <f>IFERROR(__xludf.DUMMYFUNCTION("""COMPUTED_VALUE"""),"1uLdemvg5SsNtTpZzTRX03wcYmYQsfkgO_nbn3yRqMjQ")</f>
        <v>1uLdemvg5SsNtTpZzTRX03wcYmYQsfkgO_nbn3yRqMjQ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IFERROR(__xludf.DUMMYFUNCTION("""COMPUTED_VALUE"""),"RemoveDailyCash")</f>
        <v>RemoveDailyCash</v>
      </c>
      <c r="C255" t="str">
        <f>IFERROR(__xludf.DUMMYFUNCTION("""COMPUTED_VALUE"""),"1MrTHenFxkF5J71zXMaCuxQQEn0MTKrzO5gQMAwfQKRs")</f>
        <v>1MrTHenFxkF5J71zXMaCuxQQEn0MTKrzO5gQMAwfQKRs</v>
      </c>
    </row>
    <row r="256" ht="15.75" customHeight="1">
      <c r="A256" t="str">
        <f>IFERROR(__xludf.DUMMYFUNCTION("""COMPUTED_VALUE"""),"DailyValuation")</f>
        <v>DailyValuation</v>
      </c>
      <c r="B256" t="str">
        <f>IFERROR(__xludf.DUMMYFUNCTION("""COMPUTED_VALUE"""),"RemoveNAV")</f>
        <v>RemoveNAV</v>
      </c>
      <c r="C256" t="str">
        <f>IFERROR(__xludf.DUMMYFUNCTION("""COMPUTED_VALUE"""),"1eaoIETDNb24RXEreULlqBhqvx-wzyLQ-QZEGx6OOWIk")</f>
        <v>1eaoIETDNb24RXEreULlqBhqvx-wzyLQ-QZEGx6OOWIk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IFERROR(__xludf.DUMMYFUNCTION("""COMPUTED_VALUE"""),"FilterPM")</f>
        <v>FilterPM</v>
      </c>
      <c r="C257" t="str">
        <f>IFERROR(__xludf.DUMMYFUNCTION("""COMPUTED_VALUE"""),"1yC8Wv8pFz-xSKCh-BNoBEG_jvndfI1AIgV0zSlSDMI0")</f>
        <v>1yC8Wv8pFz-xSKCh-BNoBEG_jvndfI1AIgV0zSlSDMI0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IFERROR(__xludf.DUMMYFUNCTION("""COMPUTED_VALUE"""),"GroupRowPM")</f>
        <v>GroupRowPM</v>
      </c>
      <c r="C258" t="str">
        <f>IFERROR(__xludf.DUMMYFUNCTION("""COMPUTED_VALUE"""),"1BwceFfRFXBSOniiRhT1Nl_2D9MTRETjYIb7ZHUU6W4c")</f>
        <v>1BwceFfRFXBSOniiRhT1Nl_2D9MTRETjYIb7ZHUU6W4c</v>
      </c>
    </row>
    <row r="259" ht="15.75" customHeight="1">
      <c r="A259" t="str">
        <f>IFERROR(__xludf.DUMMYFUNCTION("""COMPUTED_VALUE"""),"Allocation")</f>
        <v>Allocation</v>
      </c>
      <c r="B259" t="str">
        <f>IFERROR(__xludf.DUMMYFUNCTION("""COMPUTED_VALUE"""),"CloseAllocation")</f>
        <v>CloseAllocation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IFERROR(__xludf.DUMMYFUNCTION("""COMPUTED_VALUE"""),"CheckDashboardWithPM")</f>
        <v>CheckDashboardWithPM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IFERROR(__xludf.DUMMYFUNCTION("""COMPUTED_VALUE"""),"RemoveFilterPM")</f>
        <v>RemoveFilterPM</v>
      </c>
      <c r="C261" t="str">
        <f>IFERROR(__xludf.DUMMYFUNCTION("""COMPUTED_VALUE"""),"Undefined")</f>
        <v>Undefined</v>
      </c>
    </row>
    <row r="262" ht="15.75" customHeight="1">
      <c r="A262" t="str">
        <f>IFERROR(__xludf.DUMMYFUNCTION("""COMPUTED_VALUE"""),"PortfolioManagement")</f>
        <v>PortfolioManagement</v>
      </c>
      <c r="B262" t="str">
        <f>IFERROR(__xludf.DUMMYFUNCTION("""COMPUTED_VALUE"""),"CheckSummaryRowsPM")</f>
        <v>CheckSummaryRowsPM</v>
      </c>
      <c r="C262" t="str">
        <f>IFERROR(__xludf.DUMMYFUNCTION("""COMPUTED_VALUE"""),"1Rvzh-eJXivhL6DEagE3qvEb1nFNqCrK4C1CGKgbWGc8")</f>
        <v>1Rvzh-eJXivhL6DEagE3qvEb1nFNqCrK4C1CGKgbWGc8</v>
      </c>
    </row>
    <row r="263" ht="15.75" customHeight="1">
      <c r="A263" t="str">
        <f>IFERROR(__xludf.DUMMYFUNCTION("""COMPUTED_VALUE"""),"GeneralLedger")</f>
        <v>GeneralLedger</v>
      </c>
      <c r="B263" t="str">
        <f>IFERROR(__xludf.DUMMYFUNCTION("""COMPUTED_VALUE"""),"CloseGeneralLedger")</f>
        <v>CloseGeneralLedger</v>
      </c>
      <c r="C263" t="str">
        <f>IFERROR(__xludf.DUMMYFUNCTION("""COMPUTED_VALUE"""),"Undefined")</f>
        <v>Undefined</v>
      </c>
    </row>
    <row r="264" ht="15.75" customHeight="1">
      <c r="A264" t="str">
        <f>IFERROR(__xludf.DUMMYFUNCTION("""COMPUTED_VALUE"""),"Blotter")</f>
        <v>Blotter</v>
      </c>
      <c r="B264" t="str">
        <f>IFERROR(__xludf.DUMMYFUNCTION("""COMPUTED_VALUE"""),"ReplaceStageOrder")</f>
        <v>ReplaceStageOrder</v>
      </c>
      <c r="C264" t="str">
        <f>IFERROR(__xludf.DUMMYFUNCTION("""COMPUTED_VALUE"""),"1Jso0TC_FWBB044YhD7W2BtiwhvzHb7EOgl_rdA3HFR0")</f>
        <v>1Jso0TC_FWBB044YhD7W2BtiwhvzHb7EOgl_rdA3HFR0</v>
      </c>
    </row>
    <row r="265" ht="15.75" customHeight="1">
      <c r="A265" t="str">
        <f>IFERROR(__xludf.DUMMYFUNCTION("""COMPUTED_VALUE"""),"GeneralLedger")</f>
        <v>GeneralLedger</v>
      </c>
      <c r="B265" t="str">
        <f>IFERROR(__xludf.DUMMYFUNCTION("""COMPUTED_VALUE"""),"VerifyAccountDetails")</f>
        <v>VerifyAccountDetails</v>
      </c>
      <c r="C265" t="str">
        <f>IFERROR(__xludf.DUMMYFUNCTION("""COMPUTED_VALUE"""),"1uyuwvv3L3R9HyXKpbUMYRZcMqOcR0HdO9g8C50GvA7o")</f>
        <v>1uyuwvv3L3R9HyXKpbUMYRZcMqOcR0HdO9g8C50GvA7o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IFERROR(__xludf.DUMMYFUNCTION("""COMPUTED_VALUE"""),"CreateNewSubOrder")</f>
        <v>CreateNewSubOrder</v>
      </c>
      <c r="C266" t="str">
        <f>IFERROR(__xludf.DUMMYFUNCTION("""COMPUTED_VALUE"""),"1AstfuV459BqKeepu1MNmnf9RnELNSqTbT8n5dWFhU4A")</f>
        <v>1AstfuV459BqKeepu1MNmnf9RnELNSqTbT8n5dWFhU4A</v>
      </c>
    </row>
    <row r="267" ht="15.75" customHeight="1">
      <c r="A267" t="str">
        <f>IFERROR(__xludf.DUMMYFUNCTION("""COMPUTED_VALUE"""),"CreateTransaction")</f>
        <v>CreateTransaction</v>
      </c>
      <c r="B267" t="str">
        <f>IFERROR(__xludf.DUMMYFUNCTION("""COMPUTED_VALUE"""),"AddNewTransaction")</f>
        <v>AddNewTransaction</v>
      </c>
      <c r="C267" t="str">
        <f>IFERROR(__xludf.DUMMYFUNCTION("""COMPUTED_VALUE"""),"109VETDxhCZifjTuw0RgdbIACi58AzIZl3dDnb6i6XHo")</f>
        <v>109VETDxhCZifjTuw0RgdbIACi58AzIZl3dDnb6i6XHo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IFERROR(__xludf.DUMMYFUNCTION("""COMPUTED_VALUE"""),"TradeBloomberg")</f>
        <v>TradeBloomberg</v>
      </c>
      <c r="C268" t="str">
        <f>IFERROR(__xludf.DUMMYFUNCTION("""COMPUTED_VALUE"""),"1XdZaKDGYgE9-tKFQso0HKZSgkAxkpHZOvbFRHMlZ3xA")</f>
        <v>1XdZaKDGYgE9-tKFQso0HKZSgkAxkpHZOvbFRHMlZ3xA</v>
      </c>
    </row>
    <row r="269" ht="15.75" customHeight="1">
      <c r="A269" t="str">
        <f>IFERROR(__xludf.DUMMYFUNCTION("""COMPUTED_VALUE"""),"TradingTicket")</f>
        <v>TradingTicket</v>
      </c>
      <c r="B269" t="str">
        <f>IFERROR(__xludf.DUMMYFUNCTION("""COMPUTED_VALUE"""),"ClickSymbolLookup")</f>
        <v>ClickSymbolLookup</v>
      </c>
      <c r="C269" t="str">
        <f>IFERROR(__xludf.DUMMYFUNCTION("""COMPUTED_VALUE"""),"1tUAq8qQntTSgASBY91fvVU8snKI0bJhC-FtS9W_wbzg")</f>
        <v>1tUAq8qQntTSgASBY91fvVU8snKI0bJhC-FtS9W_wbzg</v>
      </c>
    </row>
    <row r="270" ht="15.75" customHeight="1">
      <c r="A270" t="str">
        <f>IFERROR(__xludf.DUMMYFUNCTION("""COMPUTED_VALUE"""),"PricingServer")</f>
        <v>PricingServer</v>
      </c>
      <c r="B270" t="str">
        <f>IFERROR(__xludf.DUMMYFUNCTION("""COMPUTED_VALUE"""),"RestartPricingServer")</f>
        <v>RestartPricingServer</v>
      </c>
      <c r="C270" t="str">
        <f>IFERROR(__xludf.DUMMYFUNCTION("""COMPUTED_VALUE"""),"1Bno1TrJBKAvxD0_Fata4ZCQmTQjAVzTeScSoEZObcVU")</f>
        <v>1Bno1TrJBKAvxD0_Fata4ZCQmTQjAVzTeScSoEZObcVU</v>
      </c>
    </row>
    <row r="271" ht="15.75" customHeight="1">
      <c r="A271" t="str">
        <f>IFERROR(__xludf.DUMMYFUNCTION("""COMPUTED_VALUE"""),"TradeServer")</f>
        <v>TradeServer</v>
      </c>
      <c r="B271" t="str">
        <f>IFERROR(__xludf.DUMMYFUNCTION("""COMPUTED_VALUE"""),"RestartServer")</f>
        <v>RestartServer</v>
      </c>
      <c r="C271" t="str">
        <f>IFERROR(__xludf.DUMMYFUNCTION("""COMPUTED_VALUE"""),"1rgd2fe8QniENxU_y5tc12gCzhrYT-gekVPiniOFI6kw")</f>
        <v>1rgd2fe8QniENxU_y5tc12gCzhrYT-gekVPiniOFI6kw</v>
      </c>
    </row>
    <row r="272" ht="15.75" customHeight="1">
      <c r="A272" t="str">
        <f>IFERROR(__xludf.DUMMYFUNCTION("""COMPUTED_VALUE"""),"PranaClient")</f>
        <v>PranaClient</v>
      </c>
      <c r="B272" t="str">
        <f>IFERROR(__xludf.DUMMYFUNCTION("""COMPUTED_VALUE"""),"RestartClient")</f>
        <v>RestartClient</v>
      </c>
      <c r="C272" t="str">
        <f>IFERROR(__xludf.DUMMYFUNCTION("""COMPUTED_VALUE"""),"17HcIdum8zZH8Ni0jqEsdVE8-5i_Pp7PnFRmrFAMw42c")</f>
        <v>17HcIdum8zZH8Ni0jqEsdVE8-5i_Pp7PnFRmrFAMw42c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IFERROR(__xludf.DUMMYFUNCTION("""COMPUTED_VALUE"""),"CalculatePTT")</f>
        <v>CalculatePTT</v>
      </c>
      <c r="C273" t="str">
        <f>IFERROR(__xludf.DUMMYFUNCTION("""COMPUTED_VALUE"""),"1Usd8z5f1Gxiq2eU1suYXk3Wr-DyU1ioP01IpI3fb7HU")</f>
        <v>1Usd8z5f1Gxiq2eU1suYXk3Wr-DyU1ioP01IpI3fb7HU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IFERROR(__xludf.DUMMYFUNCTION("""COMPUTED_VALUE"""),"TradeUsingPTT")</f>
        <v>TradeUsingPTT</v>
      </c>
      <c r="C274" t="str">
        <f>IFERROR(__xludf.DUMMYFUNCTION("""COMPUTED_VALUE"""),"1eQN7kJn_D3eEi6utF462OrYRTnClw3BNXwnf8Nb24kE")</f>
        <v>1eQN7kJn_D3eEi6utF462OrYRTnClw3BNXwnf8Nb24kE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IFERROR(__xludf.DUMMYFUNCTION("""COMPUTED_VALUE"""),"VerifyPTTCompliance")</f>
        <v>VerifyPTTCompliance</v>
      </c>
      <c r="C275" t="str">
        <f>IFERROR(__xludf.DUMMYFUNCTION("""COMPUTED_VALUE"""),"1Vpasp_hFXJJz1bHltjhvLZZAgyBDtgwZwPCC3yE2F7E")</f>
        <v>1Vpasp_hFXJJz1bHltjhvLZZAgyBDtgwZwPCC3yE2F7E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IFERROR(__xludf.DUMMYFUNCTION("""COMPUTED_VALUE"""),"StageOrderUsingPTT")</f>
        <v>StageOrderUsingPTT</v>
      </c>
      <c r="C276" t="str">
        <f>IFERROR(__xludf.DUMMYFUNCTION("""COMPUTED_VALUE"""),"1aPIvRy1g73wuE_MnfsS9_6sZL8WBRMC5OSbBMVFTwZ4")</f>
        <v>1aPIvRy1g73wuE_MnfsS9_6sZL8WBRMC5OSbBMVFTwZ4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IFERROR(__xludf.DUMMYFUNCTION("""COMPUTED_VALUE"""),"CreateOrderPTT")</f>
        <v>CreateOrderPTT</v>
      </c>
      <c r="C277" t="str">
        <f>IFERROR(__xludf.DUMMYFUNCTION("""COMPUTED_VALUE"""),"1clS5unmZ92YCMaKCVLJ3r_ShuU8JBprNUpRv8R82FGU")</f>
        <v>1clS5unmZ92YCMaKCVLJ3r_ShuU8JBprNUpRv8R82FGU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IFERROR(__xludf.DUMMYFUNCTION("""COMPUTED_VALUE"""),"TradePTT")</f>
        <v>TradePTT</v>
      </c>
      <c r="C278" t="str">
        <f>IFERROR(__xludf.DUMMYFUNCTION("""COMPUTED_VALUE"""),"1B0mYySs5M1I6dikafVQ-4neiuHI-Vn_CefIpGSizjjc")</f>
        <v>1B0mYySs5M1I6dikafVQ-4neiuHI-Vn_CefIpGSizjjc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IFERROR(__xludf.DUMMYFUNCTION("""COMPUTED_VALUE"""),"VerifyPTT")</f>
        <v>VerifyPTT</v>
      </c>
      <c r="C279" t="str">
        <f>IFERROR(__xludf.DUMMYFUNCTION("""COMPUTED_VALUE"""),"1DhRXM2fca9wmYyaQSNF2bw07jlvNCvnHLL6qkOh4VYI")</f>
        <v>1DhRXM2fca9wmYyaQSNF2bw07jlvNCvnHLL6qkOh4VYI</v>
      </c>
    </row>
    <row r="280" ht="15.75" customHeight="1">
      <c r="A280" t="str">
        <f>IFERROR(__xludf.DUMMYFUNCTION("""COMPUTED_VALUE"""),"PortfolioManagement")</f>
        <v>PortfolioManagement</v>
      </c>
      <c r="B280" t="str">
        <f>IFERROR(__xludf.DUMMYFUNCTION("""COMPUTED_VALUE"""),"OpenPTTFromPM")</f>
        <v>OpenPTTFromPM</v>
      </c>
      <c r="C280" t="str">
        <f>IFERROR(__xludf.DUMMYFUNCTION("""COMPUTED_VALUE"""),"1VIvijDDAhEkPlk94McsOVF8Jhhp0VL5XZT6HhpFL9Zc")</f>
        <v>1VIvijDDAhEkPlk94McsOVF8Jhhp0VL5XZT6HhpFL9Zc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IFERROR(__xludf.DUMMYFUNCTION("""COMPUTED_VALUE"""),"OpenMultiTTFromPTT")</f>
        <v>OpenMultiTTFromPTT</v>
      </c>
      <c r="C281" t="str">
        <f>IFERROR(__xludf.DUMMYFUNCTION("""COMPUTED_VALUE"""),"1yFz_O3Qa1RLU4rwM7B95-FObIdnsJkq5W3t8wb25pwk")</f>
        <v>1yFz_O3Qa1RLU4rwM7B95-FObIdnsJkq5W3t8wb25pwk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IFERROR(__xludf.DUMMYFUNCTION("""COMPUTED_VALUE"""),"SelectMultiTT")</f>
        <v>SelectMultiTT</v>
      </c>
      <c r="C282" t="str">
        <f>IFERROR(__xludf.DUMMYFUNCTION("""COMPUTED_VALUE"""),"11zVa4QDQKlc2xL6L7T4ZkXvvPbqsdUS4dwdtv-vQckA")</f>
        <v>11zVa4QDQKlc2xL6L7T4ZkXvvPbqsdUS4dwdtv-vQckA</v>
      </c>
    </row>
    <row r="283" ht="15.75" customHeight="1">
      <c r="A283" t="str">
        <f>IFERROR(__xludf.DUMMYFUNCTION("""COMPUTED_VALUE"""),"PTT")</f>
        <v>PTT</v>
      </c>
      <c r="B283" t="str">
        <f>IFERROR(__xludf.DUMMYFUNCTION("""COMPUTED_VALUE"""),"EditMultiTT")</f>
        <v>EditMultiTT</v>
      </c>
      <c r="C283" t="str">
        <f>IFERROR(__xludf.DUMMYFUNCTION("""COMPUTED_VALUE"""),"1TP115IJHmOPYWofIcvK8Qm4INI0h3lVcWYgM7A1GDY0")</f>
        <v>1TP115IJHmOPYWofIcvK8Qm4INI0h3lVcWYgM7A1GDY0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IFERROR(__xludf.DUMMYFUNCTION("""COMPUTED_VALUE"""),"EditTradeUsingMTT")</f>
        <v>EditTradeUsingMTT</v>
      </c>
      <c r="C284" t="str">
        <f>IFERROR(__xludf.DUMMYFUNCTION("""COMPUTED_VALUE"""),"1VaJGHF0zBhhJsVgD_iWrTX0Nr78l3r6Vi8qxUzFqfpg")</f>
        <v>1VaJGHF0zBhhJsVgD_iWrTX0Nr78l3r6Vi8qxUzFqfpg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IFERROR(__xludf.DUMMYFUNCTION("""COMPUTED_VALUE"""),"SelectTradeUsingMTT")</f>
        <v>SelectTradeUsingMTT</v>
      </c>
      <c r="C285" t="str">
        <f>IFERROR(__xludf.DUMMYFUNCTION("""COMPUTED_VALUE"""),"1S084g8k68lhm_CzYP_s6hwzDsfQY_6PB602z30FlPho")</f>
        <v>1S084g8k68lhm_CzYP_s6hwzDsfQY_6PB602z30FlPho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IFERROR(__xludf.DUMMYFUNCTION("""COMPUTED_VALUE"""),"GetPriceUsingMTT")</f>
        <v>GetPriceUsingMTT</v>
      </c>
      <c r="C286" t="str">
        <f>IFERROR(__xludf.DUMMYFUNCTION("""COMPUTED_VALUE"""),"1_MlZUjk6ONPxfNtDIiycrqW9OaNnNF1m2u9LLf-5PcQ")</f>
        <v>1_MlZUjk6ONPxfNtDIiycrqW9OaNnNF1m2u9LLf-5PcQ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IFERROR(__xludf.DUMMYFUNCTION("""COMPUTED_VALUE"""),"DoneAwayUsingMTT")</f>
        <v>DoneAwayUsingMTT</v>
      </c>
      <c r="C287" t="str">
        <f>IFERROR(__xludf.DUMMYFUNCTION("""COMPUTED_VALUE"""),"17UYmoBLvsngTQLOZr9QrA8jxOAd0meDTXmZZyvI3OXI")</f>
        <v>17UYmoBLvsngTQLOZr9QrA8jxOAd0meDTXmZZyvI3OXI</v>
      </c>
    </row>
    <row r="288" ht="15.75" customHeight="1">
      <c r="A288" t="str">
        <f>IFERROR(__xludf.DUMMYFUNCTION("""COMPUTED_VALUE"""),"MultiTradingTicket")</f>
        <v>MultiTradingTicket</v>
      </c>
      <c r="B288" t="str">
        <f>IFERROR(__xludf.DUMMYFUNCTION("""COMPUTED_VALUE"""),"SendOrderUsingMTT")</f>
        <v>SendOrderUsingMTT</v>
      </c>
      <c r="C288" t="str">
        <f>IFERROR(__xludf.DUMMYFUNCTION("""COMPUTED_VALUE"""),"1Ncu0Zw9d-NZRpdNoPkeEXa5zXKF9E-P2wsxlX0wuyrc")</f>
        <v>1Ncu0Zw9d-NZRpdNoPkeEXa5zXKF9E-P2wsxlX0wuyrc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IFERROR(__xludf.DUMMYFUNCTION("""COMPUTED_VALUE"""),"UpdateGRAccountValue")</f>
        <v>UpdateGRAccountValue</v>
      </c>
      <c r="C289" t="str">
        <f>IFERROR(__xludf.DUMMYFUNCTION("""COMPUTED_VALUE"""),"1JNw9FkwFpwS2PGoV2iPz2qmPWmsTb8csLDPno0EuKzY")</f>
        <v>1JNw9FkwFpwS2PGoV2iPz2qmPWmsTb8csLDPno0EuKzY</v>
      </c>
    </row>
    <row r="290" ht="15.75" customHeight="1">
      <c r="A290" t="str">
        <f>IFERROR(__xludf.DUMMYFUNCTION("""COMPUTED_VALUE"""),"MultiTradingTicket")</f>
        <v>MultiTradingTicket</v>
      </c>
      <c r="B290" t="str">
        <f>IFERROR(__xludf.DUMMYFUNCTION("""COMPUTED_VALUE"""),"BulkChangeTradeDoneAway")</f>
        <v>BulkChangeTradeDoneAway</v>
      </c>
      <c r="C290" t="str">
        <f>IFERROR(__xludf.DUMMYFUNCTION("""COMPUTED_VALUE"""),"18XNfQJN7Pu4gTl1w2NXXhtl6NZpq3a53C0HJQ6Sp57c")</f>
        <v>18XNfQJN7Pu4gTl1w2NXXhtl6NZpq3a53C0HJQ6Sp57c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IFERROR(__xludf.DUMMYFUNCTION("""COMPUTED_VALUE"""),"UpdateGRStrategyValue")</f>
        <v>UpdateGRStrategyValue</v>
      </c>
      <c r="C291" t="str">
        <f>IFERROR(__xludf.DUMMYFUNCTION("""COMPUTED_VALUE"""),"1rMIUfcuqi6w1rhs_b8qvPSRahQ4icKmE0M2aOjPpKes")</f>
        <v>1rMIUfcuqi6w1rhs_b8qvPSRahQ4icKmE0M2aOjPpKes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IFERROR(__xludf.DUMMYFUNCTION("""COMPUTED_VALUE"""),"UpdateGRDefaultRule")</f>
        <v>UpdateGRDefaultRule</v>
      </c>
      <c r="C292" t="str">
        <f>IFERROR(__xludf.DUMMYFUNCTION("""COMPUTED_VALUE"""),"1pw1PrdXa_R5C5EukiFRPZWxGGq7JT9Agg84XvlWtXHM")</f>
        <v>1pw1PrdXa_R5C5EukiFRPZWxGGq7JT9Agg84XvlWtXHM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IFERROR(__xludf.DUMMYFUNCTION("""COMPUTED_VALUE"""),"UpdateGeneralRulePref")</f>
        <v>UpdateGeneralRulePref</v>
      </c>
      <c r="C293" t="str">
        <f>IFERROR(__xludf.DUMMYFUNCTION("""COMPUTED_VALUE"""),"Undefined")</f>
        <v>Undefined</v>
      </c>
    </row>
    <row r="294" ht="15.75" customHeight="1">
      <c r="A294" t="str">
        <f>IFERROR(__xludf.DUMMYFUNCTION("""COMPUTED_VALUE"""),"Blotter")</f>
        <v>Blotter</v>
      </c>
      <c r="B294" t="str">
        <f>IFERROR(__xludf.DUMMYFUNCTION("""COMPUTED_VALUE"""),"MultiTradingTicketFromBlotter")</f>
        <v>MultiTradingTicketFromBlotter</v>
      </c>
      <c r="C294" t="str">
        <f>IFERROR(__xludf.DUMMYFUNCTION("""COMPUTED_VALUE"""),"18LoNnAmIEkgMbba_u6IGuxxf0-Qe0rEpckSjd2uUouw")</f>
        <v>18LoNnAmIEkgMbba_u6IGuxxf0-Qe0rEpckSjd2uUouw</v>
      </c>
    </row>
    <row r="295" ht="15.75" customHeight="1">
      <c r="A295" t="str">
        <f>IFERROR(__xludf.DUMMYFUNCTION("""COMPUTED_VALUE"""),"CleanUp")</f>
        <v>CleanUp</v>
      </c>
      <c r="B295" t="str">
        <f>IFERROR(__xludf.DUMMYFUNCTION("""COMPUTED_VALUE"""),"DeleteClientData")</f>
        <v>DeleteClientData</v>
      </c>
      <c r="C295" t="str">
        <f>IFERROR(__xludf.DUMMYFUNCTION("""COMPUTED_VALUE"""),"1M-iHFf8UTEustA_Kaho7JrgnPvw5cftqwiBeRmymzB8")</f>
        <v>1M-iHFf8UTEustA_Kaho7JrgnPvw5cftqwiBeRmymzB8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IFERROR(__xludf.DUMMYFUNCTION("""COMPUTED_VALUE"""),"ModifyGRPreferenceValues")</f>
        <v>ModifyGRPreferenceValues</v>
      </c>
      <c r="C296" t="str">
        <f>IFERROR(__xludf.DUMMYFUNCTION("""COMPUTED_VALUE"""),"Undefined")</f>
        <v>Undefined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IFERROR(__xludf.DUMMYFUNCTION("""COMPUTED_VALUE"""),"AddMFPreferences")</f>
        <v>AddMFPreferences</v>
      </c>
      <c r="C297" t="str">
        <f>IFERROR(__xludf.DUMMYFUNCTION("""COMPUTED_VALUE"""),"1IlEdaeUqOBtg4mM4gYsuJa70B8Sbnp7plSyIOiAVIgk")</f>
        <v>1IlEdaeUqOBtg4mM4gYsuJa70B8Sbnp7plSyIOiAVIgk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IFERROR(__xludf.DUMMYFUNCTION("""COMPUTED_VALUE"""),"AddMFPreferenceToolbar")</f>
        <v>AddMFPreferenceToolbar</v>
      </c>
      <c r="C298" t="str">
        <f>IFERROR(__xludf.DUMMYFUNCTION("""COMPUTED_VALUE"""),"1dj8bA6nfZ1fxsLG7C3A_Ek0CtDIB8q7FR_rcxshATwQ")</f>
        <v>1dj8bA6nfZ1fxsLG7C3A_Ek0CtDIB8q7FR_rcxshATwQ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IFERROR(__xludf.DUMMYFUNCTION("""COMPUTED_VALUE"""),"DeleteMFPreferences")</f>
        <v>DeleteMFPreferences</v>
      </c>
      <c r="C299" t="str">
        <f>IFERROR(__xludf.DUMMYFUNCTION("""COMPUTED_VALUE"""),"1Dll2sWDtcfuwrpiTqSe-eN4inI0LypdXOVltGtNIqu8")</f>
        <v>1Dll2sWDtcfuwrpiTqSe-eN4inI0LypdXOVltGtNIqu8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IFERROR(__xludf.DUMMYFUNCTION("""COMPUTED_VALUE"""),"DeleteMFPreferenceToolbar")</f>
        <v>DeleteMFPreferenceToolbar</v>
      </c>
      <c r="C300" t="str">
        <f>IFERROR(__xludf.DUMMYFUNCTION("""COMPUTED_VALUE"""),"1lPnz-FV1f1G2GPvvQCySelg_zICYLc6nPkmy7MrNpX8")</f>
        <v>1lPnz-FV1f1G2GPvvQCySelg_zICYLc6nPkmy7MrNpX8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IFERROR(__xludf.DUMMYFUNCTION("""COMPUTED_VALUE"""),"RenameMFPreferences")</f>
        <v>RenameMFPreferences</v>
      </c>
      <c r="C301" t="str">
        <f>IFERROR(__xludf.DUMMYFUNCTION("""COMPUTED_VALUE"""),"16cTYyVqnDb0UBDA_IpfqwmNHyWAe8Ms-xO7jo-FKn0A")</f>
        <v>16cTYyVqnDb0UBDA_IpfqwmNHyWAe8Ms-xO7jo-FKn0A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IFERROR(__xludf.DUMMYFUNCTION("""COMPUTED_VALUE"""),"SaveCloseMFPreference")</f>
        <v>SaveCloseMFPreference</v>
      </c>
      <c r="C302" t="str">
        <f>IFERROR(__xludf.DUMMYFUNCTION("""COMPUTED_VALUE"""),"Undefined")</f>
        <v>Undefined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IFERROR(__xludf.DUMMYFUNCTION("""COMPUTED_VALUE"""),"SetMFPrefAccountValues")</f>
        <v>SetMFPrefAccountValues</v>
      </c>
      <c r="C303" t="str">
        <f>IFERROR(__xludf.DUMMYFUNCTION("""COMPUTED_VALUE"""),"1Owu2cic47Z8WbUo7WLWwgVPP5PNVHDHm-co-OUWbgmc")</f>
        <v>1Owu2cic47Z8WbUo7WLWwgVPP5PNVHDHm-co-OUWbgmc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IFERROR(__xludf.DUMMYFUNCTION("""COMPUTED_VALUE"""),"ModifyMFPrefGeneralRuleValues")</f>
        <v>ModifyMFPrefGeneralRuleValues</v>
      </c>
      <c r="C304" t="str">
        <f>IFERROR(__xludf.DUMMYFUNCTION("""COMPUTED_VALUE"""),"Undefined")</f>
        <v>Undefined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IFERROR(__xludf.DUMMYFUNCTION("""COMPUTED_VALUE"""),"SetMFPrefStrategyValues")</f>
        <v>SetMFPrefStrategyValues</v>
      </c>
      <c r="C305" t="str">
        <f>IFERROR(__xludf.DUMMYFUNCTION("""COMPUTED_VALUE"""),"1Y50AzSmKdg7JfFK_LD8Z_vfcYqmFBTY5OUH-3AWHhgI")</f>
        <v>1Y50AzSmKdg7JfFK_LD8Z_vfcYqmFBTY5OUH-3AWHhgI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IFERROR(__xludf.DUMMYFUNCTION("""COMPUTED_VALUE"""),"SetMFPrefGeneralRule")</f>
        <v>SetMFPrefGeneralRule</v>
      </c>
      <c r="C306" t="str">
        <f>IFERROR(__xludf.DUMMYFUNCTION("""COMPUTED_VALUE"""),"1wTPQxotwV6JCtfSovv5YJI6ZA3N8v8QfO3Rl7M8WBw4")</f>
        <v>1wTPQxotwV6JCtfSovv5YJI6ZA3N8v8QfO3Rl7M8WBw4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IFERROR(__xludf.DUMMYFUNCTION("""COMPUTED_VALUE"""),"SetMFPrefFundDistribution")</f>
        <v>SetMFPrefFundDistribution</v>
      </c>
      <c r="C307" t="str">
        <f>IFERROR(__xludf.DUMMYFUNCTION("""COMPUTED_VALUE"""),"1J8U9t3KVSIgtMdaCtvDl7vczUVKJ0rbXoktGlC0pouM")</f>
        <v>1J8U9t3KVSIgtMdaCtvDl7vczUVKJ0rbXoktGlC0pouM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IFERROR(__xludf.DUMMYFUNCTION("""COMPUTED_VALUE"""),"SetMFPreferencesDefaultRule")</f>
        <v>SetMFPreferencesDefaultRule</v>
      </c>
      <c r="C308" t="str">
        <f>IFERROR(__xludf.DUMMYFUNCTION("""COMPUTED_VALUE"""),"19ADTickI55w_f0Qh4KDprj-ycjacQTK1rRm3kN1lL9I")</f>
        <v>19ADTickI55w_f0Qh4KDprj-ycjacQTK1rRm3kN1lL9I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IFERROR(__xludf.DUMMYFUNCTION("""COMPUTED_VALUE"""),"SetMFPrefFundDefaultRule")</f>
        <v>SetMFPrefFundDefaultRule</v>
      </c>
      <c r="C309" t="str">
        <f>IFERROR(__xludf.DUMMYFUNCTION("""COMPUTED_VALUE"""),"16-eFUIQ3ukzsjSPxB24KZvEky-ECCg70eA4oWMP0k-0")</f>
        <v>16-eFUIQ3ukzsjSPxB24KZvEky-ECCg70eA4oWMP0k-0</v>
      </c>
    </row>
    <row r="310" ht="15.75" customHeight="1">
      <c r="A310" t="str">
        <f>IFERROR(__xludf.DUMMYFUNCTION("""COMPUTED_VALUE"""),"PTT")</f>
        <v>PTT</v>
      </c>
      <c r="B310" t="str">
        <f>IFERROR(__xludf.DUMMYFUNCTION("""COMPUTED_VALUE"""),"SetAccountFactor")</f>
        <v>SetAccountFactor</v>
      </c>
      <c r="C310" t="str">
        <f>IFERROR(__xludf.DUMMYFUNCTION("""COMPUTED_VALUE"""),"10BtQvahVCYnraPnKKsXTlDDrXH35Dfu57xMmuGesPbw")</f>
        <v>10BtQvahVCYnraPnKKsXTlDDrXH35Dfu57xMmuGesPbw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IFERROR(__xludf.DUMMYFUNCTION("""COMPUTED_VALUE"""),"ClearPrefetchFilters")</f>
        <v>ClearPrefetchFilters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IFERROR(__xludf.DUMMYFUNCTION("""COMPUTED_VALUE"""),"ExpandCollapseAllUnallocated")</f>
        <v>ExpandCollapseAllUnallocated</v>
      </c>
      <c r="C312" t="str">
        <f>IFERROR(__xludf.DUMMYFUNCTION("""COMPUTED_VALUE"""),"1FlgjlUfMB_Ov2ajxqPDBmx4FjNzjR-hUBeEMwt9iQY4")</f>
        <v>1FlgjlUfMB_Ov2ajxqPDBmx4FjNzjR-hUBeEMwt9iQY4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IFERROR(__xludf.DUMMYFUNCTION("""COMPUTED_VALUE"""),"ExpandCollapseAllAllocated")</f>
        <v>ExpandCollapseAllAllocated</v>
      </c>
      <c r="C313" t="str">
        <f>IFERROR(__xludf.DUMMYFUNCTION("""COMPUTED_VALUE"""),"1ehtDHXUOwy3gDt4GoAJ9GbAoxhAGxjndnc_T-1yFgR8")</f>
        <v>1ehtDHXUOwy3gDt4GoAJ9GbAoxhAGxjndnc_T-1yFgR8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IFERROR(__xludf.DUMMYFUNCTION("""COMPUTED_VALUE"""),"GenerateCashTransaction")</f>
        <v>GenerateCashTransaction</v>
      </c>
      <c r="C314" t="str">
        <f>IFERROR(__xludf.DUMMYFUNCTION("""COMPUTED_VALUE"""),"1cmWZ4-ng-hApE-psRT8bSWDbTVr7SYk0cVc8bUH6io8")</f>
        <v>1cmWZ4-ng-hApE-psRT8bSWDbTVr7SYk0cVc8bUH6io8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IFERROR(__xludf.DUMMYFUNCTION("""COMPUTED_VALUE"""),"SaveAllocation")</f>
        <v>SaveAllocation</v>
      </c>
      <c r="C315" t="str">
        <f>IFERROR(__xludf.DUMMYFUNCTION("""COMPUTED_VALUE"""),"Undefined")</f>
        <v>Undefined</v>
      </c>
    </row>
    <row r="316" ht="15.75" customHeight="1">
      <c r="A316" t="str">
        <f>IFERROR(__xludf.DUMMYFUNCTION("""COMPUTED_VALUE"""),"Allocation")</f>
        <v>Allocation</v>
      </c>
      <c r="B316" t="str">
        <f>IFERROR(__xludf.DUMMYFUNCTION("""COMPUTED_VALUE"""),"UnallocateWithOutSave")</f>
        <v>UnallocateWithOutSave</v>
      </c>
      <c r="C316" t="str">
        <f>IFERROR(__xludf.DUMMYFUNCTION("""COMPUTED_VALUE"""),"1L9Jzxvuy5z_ke_fw4Ut_3K-JV6BVs1ABWW5abckiRuk")</f>
        <v>1L9Jzxvuy5z_ke_fw4Ut_3K-JV6BVs1ABWW5abckiRuk</v>
      </c>
    </row>
    <row r="317" ht="15.75" customHeight="1">
      <c r="A317" t="str">
        <f>IFERROR(__xludf.DUMMYFUNCTION("""COMPUTED_VALUE"""),"TradeServer")</f>
        <v>TradeServer</v>
      </c>
      <c r="B317" t="str">
        <f>IFERROR(__xludf.DUMMYFUNCTION("""COMPUTED_VALUE"""),"UpdateServerConfig")</f>
        <v>UpdateServerConfig</v>
      </c>
      <c r="C317" t="str">
        <f>IFERROR(__xludf.DUMMYFUNCTION("""COMPUTED_VALUE"""),"1TpAslQOfNHC2s8O1Pa0jlryh5LOsLayesGJ-HdRVDoY")</f>
        <v>1TpAslQOfNHC2s8O1Pa0jlryh5LOsLayesGJ-HdRVDoY</v>
      </c>
    </row>
    <row r="318" ht="15.75" customHeight="1">
      <c r="A318" t="str">
        <f>IFERROR(__xludf.DUMMYFUNCTION("""COMPUTED_VALUE"""),"PricingServer")</f>
        <v>PricingServer</v>
      </c>
      <c r="B318" t="str">
        <f>IFERROR(__xludf.DUMMYFUNCTION("""COMPUTED_VALUE"""),"UpdatePricingConfig")</f>
        <v>UpdatePricingConfig</v>
      </c>
      <c r="C318" t="str">
        <f>IFERROR(__xludf.DUMMYFUNCTION("""COMPUTED_VALUE"""),"1Bu2vtRhzucwHoO-CJpsj3Z5UqUWOWJKUcbkMM6vGTqo")</f>
        <v>1Bu2vtRhzucwHoO-CJpsj3Z5UqUWOWJKUcbkMM6vGTqo</v>
      </c>
    </row>
    <row r="319" ht="15.75" customHeight="1">
      <c r="A319" t="str">
        <f>IFERROR(__xludf.DUMMYFUNCTION("""COMPUTED_VALUE"""),"PranaClient")</f>
        <v>PranaClient</v>
      </c>
      <c r="B319" t="str">
        <f>IFERROR(__xludf.DUMMYFUNCTION("""COMPUTED_VALUE"""),"UpdateClientConfig")</f>
        <v>UpdateClientConfig</v>
      </c>
      <c r="C319" t="str">
        <f>IFERROR(__xludf.DUMMYFUNCTION("""COMPUTED_VALUE"""),"18PkgWy5HKnMMEpYHNfztlnZCng_Slh7Iy3Jjdf9FnyI")</f>
        <v>18PkgWy5HKnMMEpYHNfztlnZCng_Slh7Iy3Jjdf9FnyI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IFERROR(__xludf.DUMMYFUNCTION("""COMPUTED_VALUE"""),"OpenClosingFromPM")</f>
        <v>OpenClosingFromPM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IFERROR(__xludf.DUMMYFUNCTION("""COMPUTED_VALUE"""),"OpenCorporateActionFromPM")</f>
        <v>OpenCorporateActionFromPM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IFERROR(__xludf.DUMMYFUNCTION("""COMPUTED_VALUE"""),"OpenDailyValuationFromPM")</f>
        <v>OpenDailyValuationFromPM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IFERROR(__xludf.DUMMYFUNCTION("""COMPUTED_VALUE"""),"ClosePositionFromPM")</f>
        <v>ClosePositionFromPM</v>
      </c>
      <c r="C323" t="str">
        <f>IFERROR(__xludf.DUMMYFUNCTION("""COMPUTED_VALUE"""),"1EH8pKjhhBPNLqmDrqbG0JqtjsXaV8KJYA6l5N4MrrIY")</f>
        <v>1EH8pKjhhBPNLqmDrqbG0JqtjsXaV8KJYA6l5N4MrrIY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IFERROR(__xludf.DUMMYFUNCTION("""COMPUTED_VALUE"""),"ShowSummaryToolFromPM")</f>
        <v>ShowSummaryToolFromPM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IFERROR(__xludf.DUMMYFUNCTION("""COMPUTED_VALUE"""),"HideSummaryToolFromPM")</f>
        <v>HideSummaryToolFromPM</v>
      </c>
      <c r="C325" t="str">
        <f>IFERROR(__xludf.DUMMYFUNCTION("""COMPUTED_VALUE"""),"Undefined")</f>
        <v>Undefined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IFERROR(__xludf.DUMMYFUNCTION("""COMPUTED_VALUE"""),"CloseAccountPositionFromPM")</f>
        <v>CloseAccountPositionFromPM</v>
      </c>
      <c r="C326" t="str">
        <f>IFERROR(__xludf.DUMMYFUNCTION("""COMPUTED_VALUE"""),"1gZaSRFUpO1ruQv0px2yVE7mLEnMKIc_QL_JxhUJns6w")</f>
        <v>1gZaSRFUpO1ruQv0px2yVE7mLEnMKIc_QL_JxhUJns6w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IFERROR(__xludf.DUMMYFUNCTION("""COMPUTED_VALUE"""),"CloseSelectedTaxlotsFromPM")</f>
        <v>CloseSelectedTaxlotsFromPM</v>
      </c>
      <c r="C327" t="str">
        <f>IFERROR(__xludf.DUMMYFUNCTION("""COMPUTED_VALUE"""),"1Z8sb4__Lg0JalM6pM6xkVc_TiLbeNHrj6IknKSnL5H4")</f>
        <v>1Z8sb4__Lg0JalM6pM6xkVc_TiLbeNHrj6IknKSnL5H4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IFERROR(__xludf.DUMMYFUNCTION("""COMPUTED_VALUE"""),"ExpandCollapsePM")</f>
        <v>ExpandCollapsePM</v>
      </c>
      <c r="C328" t="str">
        <f>IFERROR(__xludf.DUMMYFUNCTION("""COMPUTED_VALUE"""),"16iKUzpEpEJO_Bl2pXlVRM-vD5UK97D5AFC9rw46xLBk")</f>
        <v>16iKUzpEpEJO_Bl2pXlVRM-vD5UK97D5AFC9rw46xLBk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IFERROR(__xludf.DUMMYFUNCTION("""COMPUTED_VALUE"""),"AddCustomViewPM")</f>
        <v>AddCustomViewPM</v>
      </c>
      <c r="C329" t="str">
        <f>IFERROR(__xludf.DUMMYFUNCTION("""COMPUTED_VALUE"""),"1RTjztF0M6g7xcSJNmqN1nHi0V-gzwXQuBB4-RbMrIdA")</f>
        <v>1RTjztF0M6g7xcSJNmqN1nHi0V-gzwXQuBB4-RbMrIdA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IFERROR(__xludf.DUMMYFUNCTION("""COMPUTED_VALUE"""),"AddCustomViewRightClickPM")</f>
        <v>AddCustomViewRightClickPM</v>
      </c>
      <c r="C330" t="str">
        <f>IFERROR(__xludf.DUMMYFUNCTION("""COMPUTED_VALUE"""),"1oiSYwztRGp8xzlvAitHk5O2zskEABIhO5tgHUEL1svc")</f>
        <v>1oiSYwztRGp8xzlvAitHk5O2zskEABIhO5tgHUEL1svc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IFERROR(__xludf.DUMMYFUNCTION("""COMPUTED_VALUE"""),"RenameCustomViewPM")</f>
        <v>RenameCustomViewPM</v>
      </c>
      <c r="C331" t="str">
        <f>IFERROR(__xludf.DUMMYFUNCTION("""COMPUTED_VALUE"""),"17QovWM75UjApdwFwFRSmfy8ed2oBNL4vbwf5BJpKNtg")</f>
        <v>17QovWM75UjApdwFwFRSmfy8ed2oBNL4vbwf5BJpKNtg</v>
      </c>
    </row>
    <row r="332" ht="15.75" customHeight="1">
      <c r="A332" t="str">
        <f>IFERROR(__xludf.DUMMYFUNCTION("""COMPUTED_VALUE"""),"PortfolioManagement")</f>
        <v>PortfolioManagement</v>
      </c>
      <c r="B332" t="str">
        <f>IFERROR(__xludf.DUMMYFUNCTION("""COMPUTED_VALUE"""),"DeleteCustomViewPM")</f>
        <v>DeleteCustomViewPM</v>
      </c>
      <c r="C332" t="str">
        <f>IFERROR(__xludf.DUMMYFUNCTION("""COMPUTED_VALUE"""),"1_kadfg1NiQaQ44l2s4JaAOdX0oK0uIiEpEpcE8kSXc4")</f>
        <v>1_kadfg1NiQaQ44l2s4JaAOdX0oK0uIiEpEpcE8kSXc4</v>
      </c>
    </row>
    <row r="333" ht="15.75" customHeight="1">
      <c r="A333" t="str">
        <f>IFERROR(__xludf.DUMMYFUNCTION("""COMPUTED_VALUE"""),"Closing")</f>
        <v>Closing</v>
      </c>
      <c r="B333" t="str">
        <f>IFERROR(__xludf.DUMMYFUNCTION("""COMPUTED_VALUE"""),"SetClosingPreference")</f>
        <v>SetClosingPreference</v>
      </c>
      <c r="C333" t="str">
        <f>IFERROR(__xludf.DUMMYFUNCTION("""COMPUTED_VALUE"""),"1rIgT_oUd8VYn3uvQkaqypsWXPI5mArskMgfPFTMOqy4")</f>
        <v>1rIgT_oUd8VYn3uvQkaqypsWXPI5mArskMgfPFTMOqy4</v>
      </c>
    </row>
    <row r="334" ht="15.75" customHeight="1">
      <c r="A334" t="str">
        <f>IFERROR(__xludf.DUMMYFUNCTION("""COMPUTED_VALUE"""),"CreateTransaction")</f>
        <v>CreateTransaction</v>
      </c>
      <c r="B334" t="str">
        <f>IFERROR(__xludf.DUMMYFUNCTION("""COMPUTED_VALUE"""),"SaveTransaction")</f>
        <v>SaveTransaction</v>
      </c>
      <c r="C334" t="str">
        <f>IFERROR(__xludf.DUMMYFUNCTION("""COMPUTED_VALUE"""),"Undefined")</f>
        <v>Undefined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IFERROR(__xludf.DUMMYFUNCTION("""COMPUTED_VALUE"""),"EditUnallocatedGrid")</f>
        <v>EditUnallocatedGrid</v>
      </c>
      <c r="C335" t="str">
        <f>IFERROR(__xludf.DUMMYFUNCTION("""COMPUTED_VALUE"""),"1CjzXvuGPVDt7n4wJXsXH_CROBLKwj-GiagtBRetK2qU")</f>
        <v>1CjzXvuGPVDt7n4wJXsXH_CROBLKwj-GiagtBRetK2qU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IFERROR(__xludf.DUMMYFUNCTION("""COMPUTED_VALUE"""),"EditAllocatedGrid")</f>
        <v>EditAllocatedGrid</v>
      </c>
      <c r="C336" t="str">
        <f>IFERROR(__xludf.DUMMYFUNCTION("""COMPUTED_VALUE"""),"17D-CeSv7zeLu6w3e6KeVgmSR8GUhyfnVkMBKFVBrARI")</f>
        <v>17D-CeSv7zeLu6w3e6KeVgmSR8GUhyfnVkMBKFVBrARI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IFERROR(__xludf.DUMMYFUNCTION("""COMPUTED_VALUE"""),"SetPTTPreference")</f>
        <v>SetPTTPreference</v>
      </c>
      <c r="C337" t="str">
        <f>IFERROR(__xludf.DUMMYFUNCTION("""COMPUTED_VALUE"""),"1JV2odq8th8dTkDYRpq9RVp4raTtWdmbKUn5nMJX441s")</f>
        <v>1JV2odq8th8dTkDYRpq9RVp4raTtWdmbKUn5nMJX441s</v>
      </c>
    </row>
    <row r="338" ht="15.75" customHeight="1">
      <c r="A338" t="str">
        <f>IFERROR(__xludf.DUMMYFUNCTION("""COMPUTED_VALUE"""),"PTT")</f>
        <v>PTT</v>
      </c>
      <c r="B338" t="str">
        <f>IFERROR(__xludf.DUMMYFUNCTION("""COMPUTED_VALUE"""),"SetLongShortPTTPreference")</f>
        <v>SetLongShortPTTPreference</v>
      </c>
      <c r="C338" t="str">
        <f>IFERROR(__xludf.DUMMYFUNCTION("""COMPUTED_VALUE"""),"1sVj_55a0V51yYMgEL9RB8hYTgtzHoJcBI5hYzjILSRk")</f>
        <v>1sVj_55a0V51yYMgEL9RB8hYTgtzHoJcBI5hYzjILSRk</v>
      </c>
    </row>
    <row r="339" ht="15.75" customHeight="1">
      <c r="A339" t="str">
        <f>IFERROR(__xludf.DUMMYFUNCTION("""COMPUTED_VALUE"""),"TradingTicket")</f>
        <v>TradingTicket</v>
      </c>
      <c r="B339" t="str">
        <f>IFERROR(__xludf.DUMMYFUNCTION("""COMPUTED_VALUE"""),"VerifyTT")</f>
        <v>VerifyTT</v>
      </c>
      <c r="C339" t="str">
        <f>IFERROR(__xludf.DUMMYFUNCTION("""COMPUTED_VALUE"""),"1OWqgdRDfNIdrJXb61LMsF2wWIdH59kPrc-oGeZc1MEI")</f>
        <v>1OWqgdRDfNIdrJXb61LMsF2wWIdH59kPrc-oGeZc1MEI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IFERROR(__xludf.DUMMYFUNCTION("""COMPUTED_VALUE"""),"SaveLayoutAllocatedGrid")</f>
        <v>SaveLayoutAllocatedGrid</v>
      </c>
      <c r="C340" t="str">
        <f>IFERROR(__xludf.DUMMYFUNCTION("""COMPUTED_VALUE"""),"1aZcLqglE7GPm90-oMIdSJp7HlQrA30JIDZ-M2a2zcms")</f>
        <v>1aZcLqglE7GPm90-oMIdSJp7HlQrA30JIDZ-M2a2zcms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IFERROR(__xludf.DUMMYFUNCTION("""COMPUTED_VALUE"""),"SaveLayoutUnallocatedGrid")</f>
        <v>SaveLayoutUnallocatedGrid</v>
      </c>
      <c r="C341" t="str">
        <f>IFERROR(__xludf.DUMMYFUNCTION("""COMPUTED_VALUE"""),"1vcbfMsKMqF_V0OadQLfepNtS8WnwHqU0WFEA0aT_HeU")</f>
        <v>1vcbfMsKMqF_V0OadQLfepNtS8WnwHqU0WFEA0aT_HeU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IFERROR(__xludf.DUMMYFUNCTION("""COMPUTED_VALUE"""),"SaveLayoutAllocationUI")</f>
        <v>SaveLayoutAllocationUI</v>
      </c>
      <c r="C342" t="str">
        <f>IFERROR(__xludf.DUMMYFUNCTION("""COMPUTED_VALUE"""),"12wm-nFx8_xYkNhDb-kzakUa7uPl25NpCXbma6t3ZfiQ")</f>
        <v>12wm-nFx8_xYkNhDb-kzakUa7uPl25NpCXbma6t3ZfiQ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IFERROR(__xludf.DUMMYFUNCTION("""COMPUTED_VALUE"""),"ClearFiltersAllocatedGrid")</f>
        <v>ClearFiltersAllocatedGrid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IFERROR(__xludf.DUMMYFUNCTION("""COMPUTED_VALUE"""),"ClearFiltersUnallocatedGrid")</f>
        <v>ClearFiltersUnallocatedGrid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IFERROR(__xludf.DUMMYFUNCTION("""COMPUTED_VALUE"""),"VerifyLayoutAllocatedGrid")</f>
        <v>VerifyLayoutAllocatedGrid</v>
      </c>
      <c r="C345" t="str">
        <f>IFERROR(__xludf.DUMMYFUNCTION("""COMPUTED_VALUE"""),"1K-KHAWECCYGz8BTjRLH44g9Ol1pMUScm2Kx6yUQE7BU")</f>
        <v>1K-KHAWECCYGz8BTjRLH44g9Ol1pMUScm2Kx6yUQE7BU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IFERROR(__xludf.DUMMYFUNCTION("""COMPUTED_VALUE"""),"VerifyLayoutUnallocatedGrid")</f>
        <v>VerifyLayoutUnallocatedGrid</v>
      </c>
      <c r="C346" t="str">
        <f>IFERROR(__xludf.DUMMYFUNCTION("""COMPUTED_VALUE"""),"1sesgPiGJtT-Ey32zmnnKdOdBkvOJ6shdKgN--cZCNaM")</f>
        <v>1sesgPiGJtT-Ey32zmnnKdOdBkvOJ6shdKgN--cZCNaM</v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IFERROR(__xludf.DUMMYFUNCTION("""COMPUTED_VALUE"""),"UpdateForexConversionMonthly")</f>
        <v>UpdateForexConversionMonthly</v>
      </c>
      <c r="C347" t="str">
        <f>IFERROR(__xludf.DUMMYFUNCTION("""COMPUTED_VALUE"""),"1tWcQwLro3p26kKsWI6Z1I7GtylC9L1lsnTqAwHOZKzA")</f>
        <v>1tWcQwLro3p26kKsWI6Z1I7GtylC9L1lsnTqAwHOZKzA</v>
      </c>
    </row>
    <row r="348" ht="15.75" customHeight="1">
      <c r="A348" t="str">
        <f>IFERROR(__xludf.DUMMYFUNCTION("""COMPUTED_VALUE"""),"GeneralLedger")</f>
        <v>GeneralLedger</v>
      </c>
      <c r="B348" t="str">
        <f>IFERROR(__xludf.DUMMYFUNCTION("""COMPUTED_VALUE"""),"SaveTransaction")</f>
        <v>SaveTransaction</v>
      </c>
      <c r="C348" t="str">
        <f>IFERROR(__xludf.DUMMYFUNCTION("""COMPUTED_VALUE"""),"Undefined")</f>
        <v>Undefined</v>
      </c>
    </row>
    <row r="349" ht="15.75" customHeight="1">
      <c r="A349" t="str">
        <f>IFERROR(__xludf.DUMMYFUNCTION("""COMPUTED_VALUE"""),"DailyValuation")</f>
        <v>DailyValuation</v>
      </c>
      <c r="B349" t="str">
        <f>IFERROR(__xludf.DUMMYFUNCTION("""COMPUTED_VALUE"""),"UpdateMarkPriceMonthly")</f>
        <v>UpdateMarkPriceMonthly</v>
      </c>
      <c r="C349" t="str">
        <f>IFERROR(__xludf.DUMMYFUNCTION("""COMPUTED_VALUE"""),"1jdvjXxtQbc6B4hMFjCuUSHjrKwafI_4dN8zjMvnoryE")</f>
        <v>1jdvjXxtQbc6B4hMFjCuUSHjrKwafI_4dN8zjMvnoryE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IFERROR(__xludf.DUMMYFUNCTION("""COMPUTED_VALUE"""),"CleanUp")</f>
        <v>CleanUp</v>
      </c>
      <c r="C350" t="str">
        <f>IFERROR(__xludf.DUMMYFUNCTION("""COMPUTED_VALUE"""),"1LNsU7ep1l4cr_oy_uI86EJ1CkvkLHF6Yo0WOMRU74S8")</f>
        <v>1LNsU7ep1l4cr_oy_uI86EJ1CkvkLHF6Yo0WOMRU74S8</v>
      </c>
    </row>
    <row r="351" ht="15.75" customHeight="1">
      <c r="A351" t="str">
        <f>IFERROR(__xludf.DUMMYFUNCTION("""COMPUTED_VALUE"""),"Allocation")</f>
        <v>Allocation</v>
      </c>
      <c r="B351" t="str">
        <f>IFERROR(__xludf.DUMMYFUNCTION("""COMPUTED_VALUE"""),"CheckAllocatedTaxlots")</f>
        <v>CheckAllocatedTaxlots</v>
      </c>
      <c r="C351" t="str">
        <f>IFERROR(__xludf.DUMMYFUNCTION("""COMPUTED_VALUE"""),"1eGXUoChdJAU0jioBXcfFCco8AUptTMF3X3Ej_eTbGKk")</f>
        <v>1eGXUoChdJAU0jioBXcfFCco8AUptTMF3X3Ej_eTbGKk</v>
      </c>
    </row>
    <row r="352" ht="15.75" customHeight="1">
      <c r="A352" t="str">
        <f>IFERROR(__xludf.DUMMYFUNCTION("""COMPUTED_VALUE"""),"Closing")</f>
        <v>Closing</v>
      </c>
      <c r="B352" t="str">
        <f>IFERROR(__xludf.DUMMYFUNCTION("""COMPUTED_VALUE"""),"EditTradeUnexpiredUnsettled")</f>
        <v>EditTradeUnexpiredUnsettled</v>
      </c>
      <c r="C352" t="str">
        <f>IFERROR(__xludf.DUMMYFUNCTION("""COMPUTED_VALUE"""),"14HIfvcWxAjFiWkRU_cqPRIr9M_uQUpK5PUWLB8-QGeY")</f>
        <v>14HIfvcWxAjFiWkRU_cqPRIr9M_uQUpK5PUWLB8-QGeY</v>
      </c>
    </row>
    <row r="353" ht="15.75" customHeight="1">
      <c r="A353" t="str">
        <f>IFERROR(__xludf.DUMMYFUNCTION("""COMPUTED_VALUE"""),"ThirdParty")</f>
        <v>ThirdParty</v>
      </c>
      <c r="B353" t="str">
        <f>IFERROR(__xludf.DUMMYFUNCTION("""COMPUTED_VALUE"""),"VerifyThirdPartyView")</f>
        <v>VerifyThirdPartyView</v>
      </c>
      <c r="C353" t="str">
        <f>IFERROR(__xludf.DUMMYFUNCTION("""COMPUTED_VALUE"""),"1PlxAVmA1kQxKEDdmir_dZ2yCnS0sczqxaxI14lspQRc")</f>
        <v>1PlxAVmA1kQxKEDdmir_dZ2yCnS0sczqxaxI14lspQRc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IFERROR(__xludf.DUMMYFUNCTION("""COMPUTED_VALUE"""),"CheckCompliance")</f>
        <v>CheckCompliance</v>
      </c>
      <c r="C354" t="str">
        <f>IFERROR(__xludf.DUMMYFUNCTION("""COMPUTED_VALUE"""),"1V1RvmzETVxcH9CLybyKXqI5pWvziKkgQY1hpXLZpRb0")</f>
        <v>1V1RvmzETVxcH9CLybyKXqI5pWvziKkgQY1hpXLZpRb0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IFERROR(__xludf.DUMMYFUNCTION("""COMPUTED_VALUE"""),"VerifyAccountDivisorWindow")</f>
        <v>VerifyAccountDivisorWindow</v>
      </c>
      <c r="C355" t="str">
        <f>IFERROR(__xludf.DUMMYFUNCTION("""COMPUTED_VALUE"""),"1AQl7WcPdSUJr2euw305eRRQMuZWLmiJXK_zLYXfXpe0")</f>
        <v>1AQl7WcPdSUJr2euw305eRRQMuZWLmiJXK_zLYXfXpe0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IFERROR(__xludf.DUMMYFUNCTION("""COMPUTED_VALUE"""),"VerifyAccountSymbolDivisorWindow")</f>
        <v>VerifyAccountSymbolDivisorWindow</v>
      </c>
      <c r="C356" t="str">
        <f>IFERROR(__xludf.DUMMYFUNCTION("""COMPUTED_VALUE"""),"16JaseGtsYIGOyEASc-NbgrrX2NsXB9UQxLaelT6YRgQ")</f>
        <v>16JaseGtsYIGOyEASc-NbgrrX2NsXB9UQxLaelT6YRgQ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IFERROR(__xludf.DUMMYFUNCTION("""COMPUTED_VALUE"""),"VerifyAggregationAccountSymbolWithNav")</f>
        <v>VerifyAggregationAccountSymbolWithNav</v>
      </c>
      <c r="C357" t="str">
        <f>IFERROR(__xludf.DUMMYFUNCTION("""COMPUTED_VALUE"""),"1HqBILRs6rj75XQAhwegUY0yUgq0DFvsYJU1JqOKcCWw")</f>
        <v>1HqBILRs6rj75XQAhwegUY0yUgq0DFvsYJU1JqOKcCWw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IFERROR(__xludf.DUMMYFUNCTION("""COMPUTED_VALUE"""),"VerifyAggregationAccountWithNav")</f>
        <v>VerifyAggregationAccountWithNav</v>
      </c>
      <c r="C358" t="str">
        <f>IFERROR(__xludf.DUMMYFUNCTION("""COMPUTED_VALUE"""),"10senHLHNcYUh0kxAWl1Up6T7v4TtqcfQeVnNDTArAjg")</f>
        <v>10senHLHNcYUh0kxAWl1Up6T7v4TtqcfQeVnNDTArAjg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IFERROR(__xludf.DUMMYFUNCTION("""COMPUTED_VALUE"""),"VerifyAggregationMasterFundSymbolWithNav")</f>
        <v>VerifyAggregationMasterFundSymbolWithNav</v>
      </c>
      <c r="C359" t="str">
        <f>IFERROR(__xludf.DUMMYFUNCTION("""COMPUTED_VALUE"""),"1hpCDxexdBt2bsLnkKN6YERG6qu69pm_lyvTpfWmMM5Y")</f>
        <v>1hpCDxexdBt2bsLnkKN6YERG6qu69pm_lyvTpfWmMM5Y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IFERROR(__xludf.DUMMYFUNCTION("""COMPUTED_VALUE"""),"VerifyAggregationMasterFundUnderlyingSymbolWithNav")</f>
        <v>VerifyAggregationMasterFundUnderlyingSymbolWithNav</v>
      </c>
      <c r="C360" t="str">
        <f>IFERROR(__xludf.DUMMYFUNCTION("""COMPUTED_VALUE"""),"1StAxeCnhmJunJOF4qJw7V7rZDdzeSnvX__M_m1ZuPnM")</f>
        <v>1StAxeCnhmJunJOF4qJw7V7rZDdzeSnvX__M_m1ZuPnM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IFERROR(__xludf.DUMMYFUNCTION("""COMPUTED_VALUE"""),"VerifyAggregationMasterFundWithNav")</f>
        <v>VerifyAggregationMasterFundWithNav</v>
      </c>
      <c r="C361" t="str">
        <f>IFERROR(__xludf.DUMMYFUNCTION("""COMPUTED_VALUE"""),"1Jz70Q9qwZ_KOtJ0prDxI5KzBnE_QVBCDBZH3r44j7P8")</f>
        <v>1Jz70Q9qwZ_KOtJ0prDxI5KzBnE_QVBCDBZH3r44j7P8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IFERROR(__xludf.DUMMYFUNCTION("""COMPUTED_VALUE"""),"VerifyAggregationSectorWithNav")</f>
        <v>VerifyAggregationSectorWithNav</v>
      </c>
      <c r="C362" t="str">
        <f>IFERROR(__xludf.DUMMYFUNCTION("""COMPUTED_VALUE"""),"1LOLJZdwbbwm5MWN6Aj_y28uGgG8a5k52W10D4WJ-qkQ")</f>
        <v>1LOLJZdwbbwm5MWN6Aj_y28uGgG8a5k52W10D4WJ-qkQ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IFERROR(__xludf.DUMMYFUNCTION("""COMPUTED_VALUE"""),"VerifyAggregationUnderlyingSymbolWithNav")</f>
        <v>VerifyAggregationUnderlyingSymbolWithNav</v>
      </c>
      <c r="C363" t="str">
        <f>IFERROR(__xludf.DUMMYFUNCTION("""COMPUTED_VALUE"""),"1IlOCDJWqGZHQTQtKCdo8xvCewBQR_Pw60YZtZIktB4g")</f>
        <v>1IlOCDJWqGZHQTQtKCdo8xvCewBQR_Pw60YZtZIktB4g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IFERROR(__xludf.DUMMYFUNCTION("""COMPUTED_VALUE"""),"VerifyAuecWindow")</f>
        <v>VerifyAuecWindow</v>
      </c>
      <c r="C364" t="str">
        <f>IFERROR(__xludf.DUMMYFUNCTION("""COMPUTED_VALUE"""),"1RjKrb8uRhjiDYhV2_08MxltmgLmu-Nvd19RVEJ5t5fU")</f>
        <v>1RjKrb8uRhjiDYhV2_08MxltmgLmu-Nvd19RVEJ5t5fU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IFERROR(__xludf.DUMMYFUNCTION("""COMPUTED_VALUE"""),"VerifyBetaWindow")</f>
        <v>VerifyBetaWindow</v>
      </c>
      <c r="C365" t="str">
        <f>IFERROR(__xludf.DUMMYFUNCTION("""COMPUTED_VALUE"""),"1QSOAd6hb8iMGX99AAmBzh30ETFcaz04qbf8FEfLeYvg")</f>
        <v>1QSOAd6hb8iMGX99AAmBzh30ETFcaz04qbf8FEfLeYvg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IFERROR(__xludf.DUMMYFUNCTION("""COMPUTED_VALUE"""),"VerifyCustomSymbolDataWindow")</f>
        <v>VerifyCustomSymbolDataWindow</v>
      </c>
      <c r="C366" t="str">
        <f>IFERROR(__xludf.DUMMYFUNCTION("""COMPUTED_VALUE"""),"1giMfU5SJAKDQXA1Q4k75EmpXWW3khjzRDSVLnhL0EIY")</f>
        <v>1giMfU5SJAKDQXA1Q4k75EmpXWW3khjzRDSVLnhL0EIY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IFERROR(__xludf.DUMMYFUNCTION("""COMPUTED_VALUE"""),"VerifyDayEndCashAccountWindow")</f>
        <v>VerifyDayEndCashAccountWindow</v>
      </c>
      <c r="C367" t="str">
        <f>IFERROR(__xludf.DUMMYFUNCTION("""COMPUTED_VALUE"""),"1uiC0ZQIk0iOlMA5Va1xcENNDotJcx9lYGyBUwg9Hgto")</f>
        <v>1uiC0ZQIk0iOlMA5Va1xcENNDotJcx9lYGyBUwg9Hgto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IFERROR(__xludf.DUMMYFUNCTION("""COMPUTED_VALUE"""),"VerifyDbNavWindow")</f>
        <v>VerifyDbNavWindow</v>
      </c>
      <c r="C368" t="str">
        <f>IFERROR(__xludf.DUMMYFUNCTION("""COMPUTED_VALUE"""),"1SY6I7Y1kNH4RpCgdDlY3E-h8usrAsSq5w0L2A_JbP0E")</f>
        <v>1SY6I7Y1kNH4RpCgdDlY3E-h8usrAsSq5w0L2A_JbP0E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IFERROR(__xludf.DUMMYFUNCTION("""COMPUTED_VALUE"""),"VerifyGlobalDivisorWindow")</f>
        <v>VerifyGlobalDivisorWindow</v>
      </c>
      <c r="C369" t="str">
        <f>IFERROR(__xludf.DUMMYFUNCTION("""COMPUTED_VALUE"""),"1k5EBRXPiJ1hAJdYsT4pHusMAvNL8WFGRU-AVEwxmWtw")</f>
        <v>1k5EBRXPiJ1hAJdYsT4pHusMAvNL8WFGRU-AVEwxmWtw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IFERROR(__xludf.DUMMYFUNCTION("""COMPUTED_VALUE"""),"VerifyPmCalculationPreferenceWindow")</f>
        <v>VerifyPmCalculationPreferenceWindow</v>
      </c>
      <c r="C370" t="str">
        <f>IFERROR(__xludf.DUMMYFUNCTION("""COMPUTED_VALUE"""),"132M3XrMLcOse0wnuxC6V3UrkiB8-BoFhvU2tLauJ0N4")</f>
        <v>132M3XrMLcOse0wnuxC6V3UrkiB8-BoFhvU2tLauJ0N4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IFERROR(__xludf.DUMMYFUNCTION("""COMPUTED_VALUE"""),"VerifyRowCalculationBaseWindow")</f>
        <v>VerifyRowCalculationBaseWindow</v>
      </c>
      <c r="C371" t="str">
        <f>IFERROR(__xludf.DUMMYFUNCTION("""COMPUTED_VALUE"""),"1cajGzH7tqLxFC8BnuHlMCg-SRNTsx7KgHS6low_imiw")</f>
        <v>1cajGzH7tqLxFC8BnuHlMCg-SRNTsx7KgHS6low_imiw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IFERROR(__xludf.DUMMYFUNCTION("""COMPUTED_VALUE"""),"VerifySecurityWindow")</f>
        <v>VerifySecurityWindow</v>
      </c>
      <c r="C372" t="str">
        <f>IFERROR(__xludf.DUMMYFUNCTION("""COMPUTED_VALUE"""),"1FIVvYeBou_v0Rajgdlg4Dn259vj948a4ITnN6XGPiHY")</f>
        <v>1FIVvYeBou_v0Rajgdlg4Dn259vj948a4ITnN6XGPiHY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IFERROR(__xludf.DUMMYFUNCTION("""COMPUTED_VALUE"""),"VerifySymbolDataWindow")</f>
        <v>VerifySymbolDataWindow</v>
      </c>
      <c r="C373" t="str">
        <f>IFERROR(__xludf.DUMMYFUNCTION("""COMPUTED_VALUE"""),"1OAVpHXxYG9sHC2AdPSAmYbRcNgndP44OYbO-bvaSKIE")</f>
        <v>1OAVpHXxYG9sHC2AdPSAmYbRcNgndP44OYbO-bvaSKIE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IFERROR(__xludf.DUMMYFUNCTION("""COMPUTED_VALUE"""),"VerifySymbolDivisorWindow")</f>
        <v>VerifySymbolDivisorWindow</v>
      </c>
      <c r="C374" t="str">
        <f>IFERROR(__xludf.DUMMYFUNCTION("""COMPUTED_VALUE"""),"1deUHsiNLHEEsp-GNB4X4XUHjBGdMJF84xLmjUIBUcLA")</f>
        <v>1deUHsiNLHEEsp-GNB4X4XUHjBGdMJF84xLmjUIBUcLA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IFERROR(__xludf.DUMMYFUNCTION("""COMPUTED_VALUE"""),"VerifyTaxlotWindow")</f>
        <v>VerifyTaxlotWindow</v>
      </c>
      <c r="C375" t="str">
        <f>IFERROR(__xludf.DUMMYFUNCTION("""COMPUTED_VALUE"""),"1mnKl6jHQhD7AEx1jzxfLWuc2Kv5kLcwPNU4smHImEPs")</f>
        <v>1mnKl6jHQhD7AEx1jzxfLWuc2Kv5kLcwPNU4smHImEPs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IFERROR(__xludf.DUMMYFUNCTION("""COMPUTED_VALUE"""),"RestartEsper")</f>
        <v>RestartEsper</v>
      </c>
      <c r="C376" t="str">
        <f>IFERROR(__xludf.DUMMYFUNCTION("""COMPUTED_VALUE"""),"Undefined")</f>
        <v>Undefined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IFERROR(__xludf.DUMMYFUNCTION("""COMPUTED_VALUE"""),"VerifyAccountNavPreferenceWindow")</f>
        <v>VerifyAccountNavPreferenceWindow</v>
      </c>
      <c r="C377" t="str">
        <f>IFERROR(__xludf.DUMMYFUNCTION("""COMPUTED_VALUE"""),"1nf8W2oy_M0GSmFfcCFHOYCHWUwLMlzqDUSGBR36IbaI")</f>
        <v>1nf8W2oy_M0GSmFfcCFHOYCHWUwLMlzqDUSGBR36IbaI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 VerifyAggregationAccountUnderlyingSymbolWithNav")</f>
        <v> VerifyAggregationAccountUnderlyingSymbolWithNav</v>
      </c>
      <c r="C378" t="str">
        <f>IFERROR(__xludf.DUMMYFUNCTION("""COMPUTED_VALUE"""),"1jjVXzRolyFKUIxrpIo6DtnV6bx2CUj1M_kCNY_vsgy4")</f>
        <v>1jjVXzRolyFKUIxrpIo6DtnV6bx2CUj1M_kCNY_vsgy4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IFERROR(__xludf.DUMMYFUNCTION("""COMPUTED_VALUE"""),"VerifyAggregationAssetWithNav")</f>
        <v>VerifyAggregationAssetWithNav</v>
      </c>
      <c r="C379" t="str">
        <f>IFERROR(__xludf.DUMMYFUNCTION("""COMPUTED_VALUE"""),"18RcQxNwhAWOwcmy59o0cucJIdPSl6sADpFYIcsJ5sqo")</f>
        <v>18RcQxNwhAWOwcmy59o0cucJIdPSl6sADpFYIcsJ5sqo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IFERROR(__xludf.DUMMYFUNCTION("""COMPUTED_VALUE"""),"VerifyAggregationSymbolWithNav")</f>
        <v>VerifyAggregationSymbolWithNav</v>
      </c>
      <c r="C380" t="str">
        <f>IFERROR(__xludf.DUMMYFUNCTION("""COMPUTED_VALUE"""),"1C2o5-jwhnctEvEaVDDPBZz0tGyVsNv4VW3fW1bOL5TQ")</f>
        <v>1C2o5-jwhnctEvEaVDDPBZz0tGyVsNv4VW3fW1bOL5TQ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IFERROR(__xludf.DUMMYFUNCTION("""COMPUTED_VALUE"""),"VerifyAggregationSubSectorWithNav")</f>
        <v>VerifyAggregationSubSectorWithNav</v>
      </c>
      <c r="C381" t="str">
        <f>IFERROR(__xludf.DUMMYFUNCTION("""COMPUTED_VALUE"""),"1eX2Mfhb7koI3BhKKW6izvlEfitWdKST9vScAS14DYj0")</f>
        <v>1eX2Mfhb7koI3BhKKW6izvlEfitWdKST9vScAS14DYj0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IFERROR(__xludf.DUMMYFUNCTION("""COMPUTED_VALUE"""),"VerifyAggregationGlobalWithNav")</f>
        <v>VerifyAggregationGlobalWithNav</v>
      </c>
      <c r="C382" t="str">
        <f>IFERROR(__xludf.DUMMYFUNCTION("""COMPUTED_VALUE"""),"1CBXHBOOctFe-5Xw_99Yv2wghGcigXObx30_17CJORTs")</f>
        <v>1CBXHBOOctFe-5Xw_99Yv2wghGcigXObx30_17CJORTs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 VerifyAggregationGlobalWithNav")</f>
        <v> VerifyAggregationGlobalWithNav</v>
      </c>
      <c r="C383" t="str">
        <f>IFERROR(__xludf.DUMMYFUNCTION("""COMPUTED_VALUE"""),"1CBXHBOOctFe-5Xw_99Yv2wghGcigXObx30_17CJORTs")</f>
        <v>1CBXHBOOctFe-5Xw_99Yv2wghGcigXObx30_17CJORTs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IFERROR(__xludf.DUMMYFUNCTION("""COMPUTED_VALUE"""),"VerifyGlobalDivisorWindow")</f>
        <v>VerifyGlobalDivisorWindow</v>
      </c>
      <c r="C384" t="str">
        <f>IFERROR(__xludf.DUMMYFUNCTION("""COMPUTED_VALUE"""),"1k5EBRXPiJ1hAJdYsT4pHusMAvNL8WFGRU-AVEwxmWtw")</f>
        <v>1k5EBRXPiJ1hAJdYsT4pHusMAvNL8WFGRU-AVEwxmWtw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 VerifyAccrualForAccountWindow")</f>
        <v> VerifyAccrualForAccountWindow</v>
      </c>
      <c r="C385" t="str">
        <f>IFERROR(__xludf.DUMMYFUNCTION("""COMPUTED_VALUE"""),"1c_NLMk5uy2GW1oz-Zyz2EOEkjIs10v95M_q-jh7vKvs")</f>
        <v>1c_NLMk5uy2GW1oz-Zyz2EOEkjIs10v95M_q-jh7vKvs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IFERROR(__xludf.DUMMYFUNCTION("""COMPUTED_VALUE"""),"VerifyGlobalDivisorWindow")</f>
        <v>VerifyGlobalDivisorWindow</v>
      </c>
      <c r="C386" t="str">
        <f>IFERROR(__xludf.DUMMYFUNCTION("""COMPUTED_VALUE"""),"1k5EBRXPiJ1hAJdYsT4pHusMAvNL8WFGRU-AVEwxmWtw")</f>
        <v>1k5EBRXPiJ1hAJdYsT4pHusMAvNL8WFGRU-AVEwxmWtw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IFERROR(__xludf.DUMMYFUNCTION("""COMPUTED_VALUE"""),"VerifyMasterFundDivisorWindow")</f>
        <v>VerifyMasterFundDivisorWindow</v>
      </c>
      <c r="C387" t="str">
        <f>IFERROR(__xludf.DUMMYFUNCTION("""COMPUTED_VALUE"""),"1eiadZFi4EpW3GFqZaaoMFvWshTpPlk6F-hWhIJ18reQ")</f>
        <v>1eiadZFi4EpW3GFqZaaoMFvWshTpPlk6F-hWhIJ18reQ</v>
      </c>
    </row>
    <row r="388" ht="15.75" customHeight="1">
      <c r="A388" t="str">
        <f>IFERROR(__xludf.DUMMYFUNCTION("""COMPUTED_VALUE"""),"Compliance")</f>
        <v>Compliance</v>
      </c>
      <c r="B388" t="str">
        <f>IFERROR(__xludf.DUMMYFUNCTION("""COMPUTED_VALUE"""),"VerifyMasterFundSymbolDivisorWindow")</f>
        <v>VerifyMasterFundSymbolDivisorWindow</v>
      </c>
      <c r="C388" t="str">
        <f>IFERROR(__xludf.DUMMYFUNCTION("""COMPUTED_VALUE"""),"1tLvFabe6MOsJmg5CfsfrJ40ICMChWvnF-hcgnxRUcCc")</f>
        <v>1tLvFabe6MOsJmg5CfsfrJ40ICMChWvnF-hcgnxRUcCc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IFERROR(__xludf.DUMMYFUNCTION("""COMPUTED_VALUE"""),"FetchAccountPositions")</f>
        <v>FetchAccountPositions</v>
      </c>
      <c r="C389" t="str">
        <f>IFERROR(__xludf.DUMMYFUNCTION("""COMPUTED_VALUE"""),"1AwaQXJiwQ63pRdslfNamOnTIfyFa9PYlvDCRG8Moj7I")</f>
        <v>1AwaQXJiwQ63pRdslfNamOnTIfyFa9PYlvDCRG8Moj7I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IFERROR(__xludf.DUMMYFUNCTION("""COMPUTED_VALUE"""),"AddCash")</f>
        <v>AddCash</v>
      </c>
      <c r="C390" t="str">
        <f>IFERROR(__xludf.DUMMYFUNCTION("""COMPUTED_VALUE"""),"1AXzHAJjwT-9_5UW_XZw8Dwg7yp7Wz6mPkc0bQTXu160")</f>
        <v>1AXzHAJjwT-9_5UW_XZw8Dwg7yp7Wz6mPkc0bQTXu160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IFERROR(__xludf.DUMMYFUNCTION("""COMPUTED_VALUE"""),"VerifyGridData")</f>
        <v>VerifyGridData</v>
      </c>
      <c r="C391" t="str">
        <f>IFERROR(__xludf.DUMMYFUNCTION("""COMPUTED_VALUE"""),"1B7i0IoV9AO1bwZU3Tp_Qg16uzTHINgkzk9LQZ0sW_fs")</f>
        <v>1B7i0IoV9AO1bwZU3Tp_Qg16uzTHINgkzk9LQZ0sW_fs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IFERROR(__xludf.DUMMYFUNCTION("""COMPUTED_VALUE"""),"RunRebalance")</f>
        <v>RunRebalance</v>
      </c>
      <c r="C392" t="str">
        <f>IFERROR(__xludf.DUMMYFUNCTION("""COMPUTED_VALUE"""),"1CEnDaSGOuGcFNjm3hHd8aBDyUcX0sT7u_R9_4qKqDQg")</f>
        <v>1CEnDaSGOuGcFNjm3hHd8aBDyUcX0sT7u_R9_4qKqDQg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IFERROR(__xludf.DUMMYFUNCTION("""COMPUTED_VALUE"""),"EnableComplianceTab")</f>
        <v>EnableComplianceTab</v>
      </c>
      <c r="C393" t="str">
        <f>IFERROR(__xludf.DUMMYFUNCTION("""COMPUTED_VALUE"""),"Undefined")</f>
        <v>Undefined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IFERROR(__xludf.DUMMYFUNCTION("""COMPUTED_VALUE"""),"RebalancePreference")</f>
        <v>RebalancePreference</v>
      </c>
      <c r="C394" t="str">
        <f>IFERROR(__xludf.DUMMYFUNCTION("""COMPUTED_VALUE"""),"1I1ruBtO8EtWeNS27V6l1CtRbmFnyCoGYjJeQKaXGO9c")</f>
        <v>1I1ruBtO8EtWeNS27V6l1CtRbmFnyCoGYjJeQKaXGO9c</v>
      </c>
    </row>
    <row r="395" ht="15.75" customHeight="1">
      <c r="A395" t="str">
        <f>IFERROR(__xludf.DUMMYFUNCTION("""COMPUTED_VALUE"""),"Rebalancer")</f>
        <v>Rebalancer</v>
      </c>
      <c r="B395" t="str">
        <f>IFERROR(__xludf.DUMMYFUNCTION("""COMPUTED_VALUE"""),"ImportModelPortfolio")</f>
        <v>ImportModelPortfolio</v>
      </c>
      <c r="C395" t="str">
        <f>IFERROR(__xludf.DUMMYFUNCTION("""COMPUTED_VALUE"""),"1uA3-X_sfdgHpLlla2gmA5qaIeMTJ6myEpMQomvaH57E")</f>
        <v>1uA3-X_sfdgHpLlla2gmA5qaIeMTJ6myEpMQomvaH57E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IFERROR(__xludf.DUMMYFUNCTION("""COMPUTED_VALUE"""),"SelectTrade")</f>
        <v>SelectTrade</v>
      </c>
      <c r="C396" t="str">
        <f>IFERROR(__xludf.DUMMYFUNCTION("""COMPUTED_VALUE"""),"1oJZA4RBw_XCkQDDZBy85ywqvQNpWajanrSAgqZzI13E")</f>
        <v>1oJZA4RBw_XCkQDDZBy85ywqvQNpWajanrSAgqZzI13E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IFERROR(__xludf.DUMMYFUNCTION("""COMPUTED_VALUE"""),"AcknowledgeTrade")</f>
        <v>AcknowledgeTrade</v>
      </c>
      <c r="C397" t="str">
        <f>IFERROR(__xludf.DUMMYFUNCTION("""COMPUTED_VALUE"""),"1CdBYKFFqYhOy4q1BEQGu82mUnF7WNWe4Z814u9beHxI")</f>
        <v>1CdBYKFFqYhOy4q1BEQGu82mUnF7WNWe4Z814u9beHxI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IFERROR(__xludf.DUMMYFUNCTION("""COMPUTED_VALUE"""),"RejectTrade")</f>
        <v>RejectTrade</v>
      </c>
      <c r="C398" t="str">
        <f>IFERROR(__xludf.DUMMYFUNCTION("""COMPUTED_VALUE"""),"1Y1WdSpP2a4mgL9AgFePTD5-O91_kez0RV_3oa79deEo")</f>
        <v>1Y1WdSpP2a4mgL9AgFePTD5-O91_kez0RV_3oa79deEo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IFERROR(__xludf.DUMMYFUNCTION("""COMPUTED_VALUE"""),"ExecuteTrade")</f>
        <v>ExecuteTrade</v>
      </c>
      <c r="C399" t="str">
        <f>IFERROR(__xludf.DUMMYFUNCTION("""COMPUTED_VALUE"""),"1e_0FhonaytFQGqmA2SZC8cqHQ7AVLoOxgvQEkeR849g")</f>
        <v>1e_0FhonaytFQGqmA2SZC8cqHQ7AVLoOxgvQEkeR849g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IFERROR(__xludf.DUMMYFUNCTION("""COMPUTED_VALUE"""),"CancelTrade")</f>
        <v>CancelTrade</v>
      </c>
      <c r="C400" t="str">
        <f>IFERROR(__xludf.DUMMYFUNCTION("""COMPUTED_VALUE"""),"1XgmEBTVWV37ueOSbU-KFxQMdWXS2s9BOXYqMxqKf2BY")</f>
        <v>1XgmEBTVWV37ueOSbU-KFxQMdWXS2s9BOXYqMxqKf2BY</v>
      </c>
    </row>
    <row r="401" ht="15.75" customHeight="1">
      <c r="A401" t="str">
        <f>IFERROR(__xludf.DUMMYFUNCTION("""COMPUTED_VALUE"""),"Simulator")</f>
        <v>Simulator</v>
      </c>
      <c r="B401" t="str">
        <f>IFERROR(__xludf.DUMMYFUNCTION("""COMPUTED_VALUE"""),"OpenLiveTT")</f>
        <v>OpenLiveTT</v>
      </c>
      <c r="C401" t="str">
        <f>IFERROR(__xludf.DUMMYFUNCTION("""COMPUTED_VALUE"""),"1e4CzgxX2NVRwzHvDyPOuiTJca4c8SXcpIGr2QVrjYQI")</f>
        <v>1e4CzgxX2NVRwzHvDyPOuiTJca4c8SXcpIGr2QVrjYQI</v>
      </c>
    </row>
    <row r="402" ht="15.75" customHeight="1">
      <c r="A402" t="str">
        <f>IFERROR(__xludf.DUMMYFUNCTION("""COMPUTED_VALUE"""),"TradingTicket")</f>
        <v>TradingTicket</v>
      </c>
      <c r="B402" t="str">
        <f>IFERROR(__xludf.DUMMYFUNCTION("""COMPUTED_VALUE"""),"CreateLiveOrder")</f>
        <v>CreateLiveOrder</v>
      </c>
      <c r="C402" t="str">
        <f>IFERROR(__xludf.DUMMYFUNCTION("""COMPUTED_VALUE"""),"1YElm81jXxZdxskT731iIp16oGd1p-W5Ffb9MVJDoofg")</f>
        <v>1YElm81jXxZdxskT731iIp16oGd1p-W5Ffb9MVJDoofg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IFERROR(__xludf.DUMMYFUNCTION("""COMPUTED_VALUE"""),"SetManualResponse ")</f>
        <v>SetManualResponse 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IFERROR(__xludf.DUMMYFUNCTION("""COMPUTED_VALUE"""),"Simulator")</f>
        <v>Simulator</v>
      </c>
      <c r="B404" t="str">
        <f>IFERROR(__xludf.DUMMYFUNCTION("""COMPUTED_VALUE"""),"ClearUI")</f>
        <v>ClearUI</v>
      </c>
      <c r="C404" t="str">
        <f>IFERROR(__xludf.DUMMYFUNCTION("""COMPUTED_VALUE"""),"1bi6uYRfzxVu3GJCc3nSEh0YvVqGOtn-spYb06yo_hnY")</f>
        <v>1bi6uYRfzxVu3GJCc3nSEh0YvVqGOtn-spYb06yo_hnY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IFERROR(__xludf.DUMMYFUNCTION("""COMPUTED_VALUE"""),"RebalanceAcrossSecurities")</f>
        <v>RebalanceAcrossSecurities</v>
      </c>
      <c r="C405" t="str">
        <f>IFERROR(__xludf.DUMMYFUNCTION("""COMPUTED_VALUE"""),"1_DQqAXKgUDfMNZ4igcBmYvkPrPEjdQfZcn6_6SIc1LA")</f>
        <v>1_DQqAXKgUDfMNZ4igcBmYvkPrPEjdQfZcn6_6SIc1LA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IFERROR(__xludf.DUMMYFUNCTION("""COMPUTED_VALUE"""),"CheckBasketCompliance")</f>
        <v>CheckBasketCompliance</v>
      </c>
      <c r="C406" t="str">
        <f>IFERROR(__xludf.DUMMYFUNCTION("""COMPUTED_VALUE"""),"1OyBrMYDA5pir_a0JoXRjM-kGt-a_f9fa5fayZhq7gQA")</f>
        <v>1OyBrMYDA5pir_a0JoXRjM-kGt-a_f9fa5fayZhq7gQA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IFERROR(__xludf.DUMMYFUNCTION("""COMPUTED_VALUE"""),"ClearCalculations")</f>
        <v>ClearCalculations</v>
      </c>
      <c r="C407" t="str">
        <f>IFERROR(__xludf.DUMMYFUNCTION("""COMPUTED_VALUE"""),"1YZnEM1XNVemOWc-WrHrlgFWLxrgjrRkjzNt5BMMb0SQ")</f>
        <v>1YZnEM1XNVemOWc-WrHrlgFWLxrgjrRkjzNt5BMMb0SQ</v>
      </c>
    </row>
    <row r="408" ht="15.75" customHeight="1">
      <c r="A408" t="str">
        <f>IFERROR(__xludf.DUMMYFUNCTION("""COMPUTED_VALUE"""),"Rebalancer")</f>
        <v>Rebalancer</v>
      </c>
      <c r="B408" t="str">
        <f>IFERROR(__xludf.DUMMYFUNCTION("""COMPUTED_VALUE"""),"ModifyRebalance")</f>
        <v>ModifyRebalance</v>
      </c>
      <c r="C408" t="str">
        <f>IFERROR(__xludf.DUMMYFUNCTION("""COMPUTED_VALUE"""),"14dJxKOyoZUguSNdGUYEkaQb5fO8cn-Xi7Lvco3mqQT0")</f>
        <v>14dJxKOyoZUguSNdGUYEkaQb5fO8cn-Xi7Lvco3mqQT0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IFERROR(__xludf.DUMMYFUNCTION("""COMPUTED_VALUE"""),"SelectThirdParty")</f>
        <v>SelectThirdParty</v>
      </c>
      <c r="C409" t="str">
        <f>IFERROR(__xludf.DUMMYFUNCTION("""COMPUTED_VALUE"""),"1jjylktggovoVKJ93ygprcwMqE7x5APXRPDlZORnG-lM")</f>
        <v>1jjylktggovoVKJ93ygprcwMqE7x5APXRPDlZORnG-lM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IFERROR(__xludf.DUMMYFUNCTION("""COMPUTED_VALUE"""),"ViewThirdParty")</f>
        <v>ViewThirdParty</v>
      </c>
      <c r="C410" t="str">
        <f>IFERROR(__xludf.DUMMYFUNCTION("""COMPUTED_VALUE"""),"1M_vWwbJmnVHSZCn_aXTbhje_gX1wR7qPtpIVUwfXXEI")</f>
        <v>1M_vWwbJmnVHSZCn_aXTbhje_gX1wR7qPtpIVUwfXXEI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IFERROR(__xludf.DUMMYFUNCTION("""COMPUTED_VALUE"""),"ThirdPartyGenerate")</f>
        <v>ThirdPartyGenerate</v>
      </c>
      <c r="C411" t="str">
        <f>IFERROR(__xludf.DUMMYFUNCTION("""COMPUTED_VALUE"""),"1VY_dfHFF7h6QdGCqKyvQNhL1L0AflvVXqmsJf_-Q-wM")</f>
        <v>1VY_dfHFF7h6QdGCqKyvQNhL1L0AflvVXqmsJf_-Q-wM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IFERROR(__xludf.DUMMYFUNCTION("""COMPUTED_VALUE"""),"VerifyThirdPartyView")</f>
        <v>VerifyThirdPartyView</v>
      </c>
      <c r="C412" t="str">
        <f>IFERROR(__xludf.DUMMYFUNCTION("""COMPUTED_VALUE"""),"1PlxAVmA1kQxKEDdmir_dZ2yCnS0sczqxaxI14lspQRc")</f>
        <v>1PlxAVmA1kQxKEDdmir_dZ2yCnS0sczqxaxI14lspQRc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IFERROR(__xludf.DUMMYFUNCTION("""COMPUTED_VALUE"""),"VerifyThirdPartyGenerate")</f>
        <v>VerifyThirdPartyGenerate</v>
      </c>
      <c r="C413" t="str">
        <f>IFERROR(__xludf.DUMMYFUNCTION("""COMPUTED_VALUE"""),"1wcR0IDUt_nDrixwL4ekhCphzdwkRzSvN74wQc6bqa6I")</f>
        <v>1wcR0IDUt_nDrixwL4ekhCphzdwkRzSvN74wQc6bqa6I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IFERROR(__xludf.DUMMYFUNCTION("""COMPUTED_VALUE"""),"VerifyThirdPartySend")</f>
        <v>VerifyThirdPartySend</v>
      </c>
      <c r="C414" t="str">
        <f>IFERROR(__xludf.DUMMYFUNCTION("""COMPUTED_VALUE"""),"1xMTnPgjA-5czlK--QDF7kSLwwzm_Nr_U-hWjlIptwvA")</f>
        <v>1xMTnPgjA-5czlK--QDF7kSLwwzm_Nr_U-hWjlIptwvA</v>
      </c>
    </row>
    <row r="415" ht="15.75" customHeight="1">
      <c r="A415" t="str">
        <f>IFERROR(__xludf.DUMMYFUNCTION("""COMPUTED_VALUE"""),"ThirdParty")</f>
        <v>ThirdParty</v>
      </c>
      <c r="B415" t="str">
        <f>IFERROR(__xludf.DUMMYFUNCTION("""COMPUTED_VALUE"""),"ThirdPartySend")</f>
        <v>ThirdPartySend</v>
      </c>
      <c r="C415" t="str">
        <f>IFERROR(__xludf.DUMMYFUNCTION("""COMPUTED_VALUE"""),"1GTyXwiBJ89Cz8jXXGex2tRDqiQ-zfsA2Ab877TNJGO8")</f>
        <v>1GTyXwiBJ89Cz8jXXGex2tRDqiQ-zfsA2Ab877TNJGO8</v>
      </c>
    </row>
    <row r="416" ht="15.75" customHeight="1">
      <c r="A416" t="str">
        <f>IFERROR(__xludf.DUMMYFUNCTION("""COMPUTED_VALUE"""),"Blotter")</f>
        <v>Blotter</v>
      </c>
      <c r="B416" t="str">
        <f>IFERROR(__xludf.DUMMYFUNCTION("""COMPUTED_VALUE"""),"VerifyViewAllocationDetails")</f>
        <v>VerifyViewAllocationDetails</v>
      </c>
      <c r="C416" t="str">
        <f>IFERROR(__xludf.DUMMYFUNCTION("""COMPUTED_VALUE"""),"1bNNEr-lSd0r160QEx23XXOR6M4VNsWETJctUKdRQISI")</f>
        <v>1bNNEr-lSd0r160QEx23XXOR6M4VNsWETJctUKdRQISI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IFERROR(__xludf.DUMMYFUNCTION("""COMPUTED_VALUE"""),"SelectPTTRecord")</f>
        <v>SelectPTTRecord</v>
      </c>
      <c r="C417" t="str">
        <f>IFERROR(__xludf.DUMMYFUNCTION("""COMPUTED_VALUE"""),"1ZwKNiPobd02LDEL972DGhHwWWjyxykoNCOLI0J0A3FQ")</f>
        <v>1ZwKNiPobd02LDEL972DGhHwWWjyxykoNCOLI0J0A3FQ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IFERROR(__xludf.DUMMYFUNCTION("""COMPUTED_VALUE"""),"EditPTTRecord")</f>
        <v>EditPTTRecord</v>
      </c>
      <c r="C418" t="str">
        <f>IFERROR(__xludf.DUMMYFUNCTION("""COMPUTED_VALUE"""),"1UX2q2cE3Yhd9N1Cymq56lMWFO5b_5MRDssdEeUHk7Uw")</f>
        <v>1UX2q2cE3Yhd9N1Cymq56lMWFO5b_5MRDssdEeUHk7Uw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IFERROR(__xludf.DUMMYFUNCTION("""COMPUTED_VALUE"""),"CreateOrderAfterEditPTT")</f>
        <v>CreateOrderAfterEditPTT</v>
      </c>
      <c r="C419" t="str">
        <f>IFERROR(__xludf.DUMMYFUNCTION("""COMPUTED_VALUE"""),"1_Pi7jaWwC1-jHc4gdZjz6rVBF8BeDCN5MP-lkS3-P5A")</f>
        <v>1_Pi7jaWwC1-jHc4gdZjz6rVBF8BeDCN5MP-lkS3-P5A</v>
      </c>
    </row>
    <row r="420" ht="15.75" customHeight="1">
      <c r="A420" t="str">
        <f>IFERROR(__xludf.DUMMYFUNCTION("""COMPUTED_VALUE"""),"PTT")</f>
        <v>PTT</v>
      </c>
      <c r="B420" t="str">
        <f>IFERROR(__xludf.DUMMYFUNCTION("""COMPUTED_VALUE"""),"EditPTTWPFGrid")</f>
        <v>EditPTTWPFGrid</v>
      </c>
      <c r="C420" t="str">
        <f>IFERROR(__xludf.DUMMYFUNCTION("""COMPUTED_VALUE"""),"1o84-ebWnVj-2eOPPbqtkU7cjAdopGIv9U9UpnvyS_RM")</f>
        <v>1o84-ebWnVj-2eOPPbqtkU7cjAdopGIv9U9UpnvyS_RM</v>
      </c>
    </row>
    <row r="421" ht="15.75" customHeight="1">
      <c r="A421" t="str">
        <f>IFERROR(__xludf.DUMMYFUNCTION("""COMPUTED_VALUE"""),"Blotter")</f>
        <v>Blotter</v>
      </c>
      <c r="B421" t="str">
        <f>IFERROR(__xludf.DUMMYFUNCTION("""COMPUTED_VALUE"""),"GoToAllocation")</f>
        <v>GoToAllocation</v>
      </c>
      <c r="C421" t="str">
        <f>IFERROR(__xludf.DUMMYFUNCTION("""COMPUTED_VALUE"""),"10QzcdIo3u5jhik0CvwvheVC9AB6WY_giUhBXgjokbKA")</f>
        <v>10QzcdIo3u5jhik0CvwvheVC9AB6WY_giUhBXgjokbKA</v>
      </c>
    </row>
    <row r="422" ht="15.75" customHeight="1">
      <c r="A422" t="str">
        <f>IFERROR(__xludf.DUMMYFUNCTION("""COMPUTED_VALUE"""),"Simulator")</f>
        <v>Simulator</v>
      </c>
      <c r="B422" t="str">
        <f>IFERROR(__xludf.DUMMYFUNCTION("""COMPUTED_VALUE"""),"CloseSimulator")</f>
        <v>CloseSimulator</v>
      </c>
      <c r="C422" t="str">
        <f>IFERROR(__xludf.DUMMYFUNCTION("""COMPUTED_VALUE"""),"Undefined")</f>
        <v>Undefined</v>
      </c>
    </row>
    <row r="423" ht="15.75" customHeight="1">
      <c r="A423" t="str">
        <f>IFERROR(__xludf.DUMMYFUNCTION("""COMPUTED_VALUE"""),"GeneralLedger")</f>
        <v>GeneralLedger</v>
      </c>
      <c r="B423" t="str">
        <f>IFERROR(__xludf.DUMMYFUNCTION("""COMPUTED_VALUE"""),"VerifyCashTransaction")</f>
        <v>VerifyCashTransaction</v>
      </c>
      <c r="C423" t="str">
        <f>IFERROR(__xludf.DUMMYFUNCTION("""COMPUTED_VALUE"""),"1yhwHj8QXLwaG6_tqD1DiMTBFbGfFx06eBEkztEnm-Jw")</f>
        <v>1yhwHj8QXLwaG6_tqD1DiMTBFbGfFx06eBEkztEnm-Jw</v>
      </c>
    </row>
    <row r="424" ht="15.75" customHeight="1">
      <c r="A424" t="str">
        <f>IFERROR(__xludf.DUMMYFUNCTION("""COMPUTED_VALUE"""),"Rebalancer")</f>
        <v>Rebalancer</v>
      </c>
      <c r="B424" t="str">
        <f>IFERROR(__xludf.DUMMYFUNCTION("""COMPUTED_VALUE"""),"ModelPortfolio")</f>
        <v>ModelPortfolio</v>
      </c>
      <c r="C424" t="str">
        <f>IFERROR(__xludf.DUMMYFUNCTION("""COMPUTED_VALUE"""),"136i7p89n9UDWHd_V-4a1bV4rkJpS_ilCt9E0-pe1yK8")</f>
        <v>136i7p89n9UDWHd_V-4a1bV4rkJpS_ilCt9E0-pe1yK8</v>
      </c>
    </row>
    <row r="425" ht="15.75" customHeight="1">
      <c r="A425" t="str">
        <f>IFERROR(__xludf.DUMMYFUNCTION("""COMPUTED_VALUE"""),"DailyValuation")</f>
        <v>DailyValuation</v>
      </c>
      <c r="B425" t="str">
        <f>IFERROR(__xludf.DUMMYFUNCTION("""COMPUTED_VALUE"""),"VerifyDailyCash")</f>
        <v>VerifyDailyCash</v>
      </c>
      <c r="C425" t="str">
        <f>IFERROR(__xludf.DUMMYFUNCTION("""COMPUTED_VALUE"""),"1e9G7T26lY7vSvQv24ueVwOQKraBS_0LQ_KuMJQWQhZE")</f>
        <v>1e9G7T26lY7vSvQv24ueVwOQKraBS_0LQ_KuMJQWQhZE</v>
      </c>
    </row>
    <row r="426" ht="15.75" customHeight="1">
      <c r="A426" t="str">
        <f>IFERROR(__xludf.DUMMYFUNCTION("""COMPUTED_VALUE"""),"Admin")</f>
        <v>Admin</v>
      </c>
      <c r="B426" t="str">
        <f>IFERROR(__xludf.DUMMYFUNCTION("""COMPUTED_VALUE"""),"SetCheckSide")</f>
        <v>SetCheckSide</v>
      </c>
      <c r="C426" t="str">
        <f>IFERROR(__xludf.DUMMYFUNCTION("""COMPUTED_VALUE"""),"1ReudWT4409vS83RpMHfwkV9B4orUNJ9atUNdHyDBQ4s")</f>
        <v>1ReudWT4409vS83RpMHfwkV9B4orUNJ9atUNdHyDBQ4s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IFERROR(__xludf.DUMMYFUNCTION("""COMPUTED_VALUE"""),"OpenSpinOff")</f>
        <v>OpenSpinOff</v>
      </c>
      <c r="C427" t="str">
        <f>IFERROR(__xludf.DUMMYFUNCTION("""COMPUTED_VALUE"""),"1ca52Q2hfdhwZ8A2jVvaiicu3dt8a8J8L3Jhcse7pG2A")</f>
        <v>1ca52Q2hfdhwZ8A2jVvaiicu3dt8a8J8L3Jhcse7pG2A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IFERROR(__xludf.DUMMYFUNCTION("""COMPUTED_VALUE"""),"VerifyAndApplyCorpAction")</f>
        <v>VerifyAndApplyCorpAction</v>
      </c>
      <c r="C428" t="str">
        <f>IFERROR(__xludf.DUMMYFUNCTION("""COMPUTED_VALUE"""),"1SBzqeTSAoUoHFDHMn4k7c6g6LHSBIrpd4emybhFreTg")</f>
        <v>1SBzqeTSAoUoHFDHMn4k7c6g6LHSBIrpd4emybhFreTg</v>
      </c>
    </row>
    <row r="429" ht="15.75" customHeight="1">
      <c r="A429" t="str">
        <f>IFERROR(__xludf.DUMMYFUNCTION("""COMPUTED_VALUE"""),"CorporateAction ")</f>
        <v>CorporateAction </v>
      </c>
      <c r="B429" t="str">
        <f>IFERROR(__xludf.DUMMYFUNCTION("""COMPUTED_VALUE"""),"VerifyAndSaveCorpAction")</f>
        <v>VerifyAndSaveCorpAction</v>
      </c>
      <c r="C429" t="str">
        <f>IFERROR(__xludf.DUMMYFUNCTION("""COMPUTED_VALUE"""),"1wAywyRQ48H22P5SEjLRQxebHLFtPifvm4VFxZoSYlTI")</f>
        <v>1wAywyRQ48H22P5SEjLRQxebHLFtPifvm4VFxZoSYlTI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IFERROR(__xludf.DUMMYFUNCTION("""COMPUTED_VALUE"""),"DisableChecksideForAsset")</f>
        <v>DisableChecksideForAsset</v>
      </c>
      <c r="C430" t="str">
        <f>IFERROR(__xludf.DUMMYFUNCTION("""COMPUTED_VALUE"""),"16ErDdYMk92r2vHKFbCSsrMnG2qsS600CjuKBnkuz9bg")</f>
        <v>16ErDdYMk92r2vHKFbCSsrMnG2qsS600CjuKBnkuz9bg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IFERROR(__xludf.DUMMYFUNCTION("""COMPUTED_VALUE"""),"DisableChecksideForAccount")</f>
        <v>DisableChecksideForAccount</v>
      </c>
      <c r="C431" t="str">
        <f>IFERROR(__xludf.DUMMYFUNCTION("""COMPUTED_VALUE"""),"1_ofNNle4c82uOrOMYVoJijcsU3RrE_tOk8sP-7DTQbE")</f>
        <v>1_ofNNle4c82uOrOMYVoJijcsU3RrE_tOk8sP-7DTQbE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IFERROR(__xludf.DUMMYFUNCTION("""COMPUTED_VALUE"""),"DisableChecksideForCounterParty")</f>
        <v>DisableChecksideForCounterParty</v>
      </c>
      <c r="C432" t="str">
        <f>IFERROR(__xludf.DUMMYFUNCTION("""COMPUTED_VALUE"""),"1S6IfjsUhgXZnzhxXTQ9Pu8C2d3owAfDh3AkXsJ77ONs")</f>
        <v>1S6IfjsUhgXZnzhxXTQ9Pu8C2d3owAfDh3AkXsJ77ONs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IFERROR(__xludf.DUMMYFUNCTION("""COMPUTED_VALUE"""),"DisableCheckside")</f>
        <v>DisableCheckside</v>
      </c>
      <c r="C433" t="str">
        <f>IFERROR(__xludf.DUMMYFUNCTION("""COMPUTED_VALUE"""),"1VvbbBLsHbv0nOMc8RenJrC7_8Yjvi3rS_glRksBYT_g")</f>
        <v>1VvbbBLsHbv0nOMc8RenJrC7_8Yjvi3rS_glRksBYT_g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IFERROR(__xludf.DUMMYFUNCTION("""COMPUTED_VALUE"""),"ApplyMasterFundFilter")</f>
        <v>ApplyMasterFundFilter</v>
      </c>
      <c r="C434" t="str">
        <f>IFERROR(__xludf.DUMMYFUNCTION("""COMPUTED_VALUE"""),"1aOi8zMpuwOlcgS4kk8Ruk2p6o_Y6yab83mZG5CGPHsI")</f>
        <v>1aOi8zMpuwOlcgS4kk8Ruk2p6o_Y6yab83mZG5CGPHsI</v>
      </c>
    </row>
    <row r="435" ht="15.75" customHeight="1">
      <c r="A435" t="str">
        <f>IFERROR(__xludf.DUMMYFUNCTION("""COMPUTED_VALUE"""),"TradingTicket")</f>
        <v>TradingTicket</v>
      </c>
      <c r="B435" t="str">
        <f>IFERROR(__xludf.DUMMYFUNCTION("""COMPUTED_VALUE"""),"UpdateMasterFundOnTT")</f>
        <v>UpdateMasterFundOnTT</v>
      </c>
      <c r="C435" t="str">
        <f>IFERROR(__xludf.DUMMYFUNCTION("""COMPUTED_VALUE"""),"1NH2RgaXiyv04qiaKhglHuboYXdFpvtuQx8ZaQl1cqFs")</f>
        <v>1NH2RgaXiyv04qiaKhglHuboYXdFpvtuQx8ZaQl1cqFs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IFERROR(__xludf.DUMMYFUNCTION("""COMPUTED_VALUE"""),"ShowMasterFundOnTT")</f>
        <v>ShowMasterFundOnTT</v>
      </c>
      <c r="C436" t="str">
        <f>IFERROR(__xludf.DUMMYFUNCTION("""COMPUTED_VALUE"""),"1qIRihKlBnQ9rcLjWoqIp-PhksybW-tE4KcRwTi-uTh8")</f>
        <v>1qIRihKlBnQ9rcLjWoqIp-PhksybW-tE4KcRwTi-uTh8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IFERROR(__xludf.DUMMYFUNCTION("""COMPUTED_VALUE"""),"ShowMasterFundAsClient")</f>
        <v>ShowMasterFundAsClient</v>
      </c>
      <c r="C437" t="str">
        <f>IFERROR(__xludf.DUMMYFUNCTION("""COMPUTED_VALUE"""),"1mBYEgZFVmhMZkYKMz2zBcLvpelcKVcdkwVNoWjn9Yhg")</f>
        <v>1mBYEgZFVmhMZkYKMz2zBcLvpelcKVcdkwVNoWjn9Yhg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IFERROR(__xludf.DUMMYFUNCTION("""COMPUTED_VALUE"""),"SetBrokerAccountMapping")</f>
        <v>SetBrokerAccountMapping</v>
      </c>
      <c r="C438" t="str">
        <f>IFERROR(__xludf.DUMMYFUNCTION("""COMPUTED_VALUE"""),"1nb7n3oYvCbSlMI6mlmZw3W8oxoLWQ1JFUZkN8dhvKGo")</f>
        <v>1nb7n3oYvCbSlMI6mlmZw3W8oxoLWQ1JFUZkN8dhvKGo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IFERROR(__xludf.DUMMYFUNCTION("""COMPUTED_VALUE"""),"EditUnallocatedGridWPF")</f>
        <v>EditUnallocatedGridWPF</v>
      </c>
      <c r="C439" t="str">
        <f>IFERROR(__xludf.DUMMYFUNCTION("""COMPUTED_VALUE"""),"1c-Gj_pSa6hbKILBzHvXLuimO2VmGjEek0icIYnPcCPE")</f>
        <v>1c-Gj_pSa6hbKILBzHvXLuimO2VmGjEek0icIYnPcCPE</v>
      </c>
    </row>
    <row r="440" ht="15.75" customHeight="1">
      <c r="A440" t="str">
        <f>IFERROR(__xludf.DUMMYFUNCTION("""COMPUTED_VALUE"""),"Allocation")</f>
        <v>Allocation</v>
      </c>
      <c r="B440" t="str">
        <f>IFERROR(__xludf.DUMMYFUNCTION("""COMPUTED_VALUE"""),"EditAllocatedGridWPF")</f>
        <v>EditAllocatedGridWPF</v>
      </c>
      <c r="C440" t="str">
        <f>IFERROR(__xludf.DUMMYFUNCTION("""COMPUTED_VALUE"""),"1tOzxGOLWmanR1CinNEV8SAdqJX3ajMPchVgiX6Cao8s")</f>
        <v>1tOzxGOLWmanR1CinNEV8SAdqJX3ajMPchVgiX6Cao8s</v>
      </c>
    </row>
    <row r="441" ht="15.75" customHeight="1">
      <c r="A441" t="str">
        <f>IFERROR(__xludf.DUMMYFUNCTION("""COMPUTED_VALUE"""),"Admin")</f>
        <v>Admin</v>
      </c>
      <c r="B441" t="str">
        <f>IFERROR(__xludf.DUMMYFUNCTION("""COMPUTED_VALUE"""),"SetRollover")</f>
        <v>SetRollover</v>
      </c>
      <c r="C441" t="str">
        <f>IFERROR(__xludf.DUMMYFUNCTION("""COMPUTED_VALUE"""),"1B3vLz-YjdbGHniMwguZEWSalbMWNmVHodgQHVzZAq60")</f>
        <v>1B3vLz-YjdbGHniMwguZEWSalbMWNmVHodgQHVzZAq60</v>
      </c>
    </row>
    <row r="442" ht="15.75" customHeight="1">
      <c r="A442" t="str">
        <f>IFERROR(__xludf.DUMMYFUNCTION("""COMPUTED_VALUE"""),"Blotter")</f>
        <v>Blotter</v>
      </c>
      <c r="B442" t="str">
        <f>IFERROR(__xludf.DUMMYFUNCTION("""COMPUTED_VALUE"""),"VerifyRollover")</f>
        <v>VerifyRollover</v>
      </c>
      <c r="C442" t="str">
        <f>IFERROR(__xludf.DUMMYFUNCTION("""COMPUTED_VALUE"""),"1VQh3eCLRiyXufUtJv6VqIb0wjqC_jElZJAWe8vnyiFo")</f>
        <v>1VQh3eCLRiyXufUtJv6VqIb0wjqC_jElZJAWe8vnyiFo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IFERROR(__xludf.DUMMYFUNCTION("""COMPUTED_VALUE"""),"EditAllocatedGridTaxlot")</f>
        <v>EditAllocatedGridTaxlot</v>
      </c>
      <c r="C443" t="str">
        <f>IFERROR(__xludf.DUMMYFUNCTION("""COMPUTED_VALUE"""),"1jrQ5cTjzaAnJprHDrMJ7xLoViDRLxJhmViRhlMQyPmc")</f>
        <v>1jrQ5cTjzaAnJprHDrMJ7xLoViDRLxJhmViRhlMQyPmc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IFERROR(__xludf.DUMMYFUNCTION("""COMPUTED_VALUE"""),"ExpandCollapseAllocatedGrid")</f>
        <v>ExpandCollapseAllocatedGrid</v>
      </c>
      <c r="C444" t="str">
        <f>IFERROR(__xludf.DUMMYFUNCTION("""COMPUTED_VALUE"""),"1EtqBdhsUhwi27QZ_a5TFGvk7epbQRBAud4wwG4GjT-o")</f>
        <v>1EtqBdhsUhwi27QZ_a5TFGvk7epbQRBAud4wwG4GjT-o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IFERROR(__xludf.DUMMYFUNCTION("""COMPUTED_VALUE"""),"ExpandCollapseUnallocatedGrid")</f>
        <v>ExpandCollapseUnallocatedGrid</v>
      </c>
      <c r="C445" t="str">
        <f>IFERROR(__xludf.DUMMYFUNCTION("""COMPUTED_VALUE"""),"1DJn_ByYxhMzgt2AkKP7VvHaijAtfcn500twVCi3FuwY")</f>
        <v>1DJn_ByYxhMzgt2AkKP7VvHaijAtfcn500twVCi3FuwY</v>
      </c>
    </row>
    <row r="446" ht="15.75" customHeight="1">
      <c r="A446" t="str">
        <f>IFERROR(__xludf.DUMMYFUNCTION("""COMPUTED_VALUE"""),"Blotter")</f>
        <v>Blotter</v>
      </c>
      <c r="B446" t="str">
        <f>IFERROR(__xludf.DUMMYFUNCTION("""COMPUTED_VALUE"""),"VerifySubOrderAfterRollover")</f>
        <v>VerifySubOrderAfterRollover</v>
      </c>
      <c r="C446" t="str">
        <f>IFERROR(__xludf.DUMMYFUNCTION("""COMPUTED_VALUE"""),"1zDsXI3LPkoDacftZ2KF5YYjIcUlD3QhRUYRulDL5oN8")</f>
        <v>1zDsXI3LPkoDacftZ2KF5YYjIcUlD3QhRUYRulDL5oN8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IFERROR(__xludf.DUMMYFUNCTION("""COMPUTED_VALUE"""),"SelectTransactionImportType")</f>
        <v>SelectTransactionImportType</v>
      </c>
      <c r="C447" t="str">
        <f>IFERROR(__xludf.DUMMYFUNCTION("""COMPUTED_VALUE"""),"1MfOpDVrcGiBBIHH8fFTmd6amj1jHHg6rePWgu-2nZK8")</f>
        <v>1MfOpDVrcGiBBIHH8fFTmd6amj1jHHg6rePWgu-2nZK8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IFERROR(__xludf.DUMMYFUNCTION("""COMPUTED_VALUE"""),"SelectAllOnImport")</f>
        <v>SelectAllOnImport</v>
      </c>
      <c r="C448" t="str">
        <f>IFERROR(__xludf.DUMMYFUNCTION("""COMPUTED_VALUE"""),"1O-Z5n-OqLZKUyKhPsyc4cTH_RWRJRhFVjLQN9iZgf_g")</f>
        <v>1O-Z5n-OqLZKUyKhPsyc4cTH_RWRJRhFVjLQN9iZgf_g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IFERROR(__xludf.DUMMYFUNCTION("""COMPUTED_VALUE"""),"SelectMarkPriceImportType")</f>
        <v>SelectMarkPriceImportType</v>
      </c>
      <c r="C449" t="str">
        <f>IFERROR(__xludf.DUMMYFUNCTION("""COMPUTED_VALUE"""),"1X60AOW1PdXXC_MqWvlhO-_Xtym74TQ6JiKQf7BaFGFU")</f>
        <v>1X60AOW1PdXXC_MqWvlhO-_Xtym74TQ6JiKQf7BaFGFU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IFERROR(__xludf.DUMMYFUNCTION("""COMPUTED_VALUE"""),"SelectForexImportType")</f>
        <v>SelectForexImportType</v>
      </c>
      <c r="C450" t="str">
        <f>IFERROR(__xludf.DUMMYFUNCTION("""COMPUTED_VALUE"""),"1pQFXFOAH774XT-VZCbKCTilzQka7eSVAZO_30jAJkzc")</f>
        <v>1pQFXFOAH774XT-VZCbKCTilzQka7eSVAZO_30jAJkzc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IFERROR(__xludf.DUMMYFUNCTION("""COMPUTED_VALUE"""),"SelectDoubleEntryCashImportType")</f>
        <v>SelectDoubleEntryCashImportType</v>
      </c>
      <c r="C451" t="str">
        <f>IFERROR(__xludf.DUMMYFUNCTION("""COMPUTED_VALUE"""),"1LD-4ln6dD3Xr8MpjRWUrFZphBmyCgSTa6YWxKH2dnro")</f>
        <v>1LD-4ln6dD3Xr8MpjRWUrFZphBmyCgSTa6YWxKH2dnro</v>
      </c>
    </row>
    <row r="452" ht="15.75" customHeight="1">
      <c r="A452" t="str">
        <f>IFERROR(__xludf.DUMMYFUNCTION("""COMPUTED_VALUE"""),"Import")</f>
        <v>Import</v>
      </c>
      <c r="B452" t="str">
        <f>IFERROR(__xludf.DUMMYFUNCTION("""COMPUTED_VALUE"""),"SelectActivitiesImportType")</f>
        <v>SelectActivitiesImportType</v>
      </c>
      <c r="C452" t="str">
        <f>IFERROR(__xludf.DUMMYFUNCTION("""COMPUTED_VALUE"""),"1bU6-nZPWyWD3EHUirvMbX3iEk-dq8pOqW-T-92H7QH0")</f>
        <v>1bU6-nZPWyWD3EHUirvMbX3iEk-dq8pOqW-T-92H7QH0</v>
      </c>
    </row>
    <row r="453" ht="15.75" customHeight="1">
      <c r="A453" t="str">
        <f>IFERROR(__xludf.DUMMYFUNCTION("""COMPUTED_VALUE"""),"TradingTicket")</f>
        <v>TradingTicket</v>
      </c>
      <c r="B453" t="str">
        <f>IFERROR(__xludf.DUMMYFUNCTION("""COMPUTED_VALUE"""),"SetTTCompliancePreference")</f>
        <v>SetTTCompliancePreference</v>
      </c>
      <c r="C453" t="str">
        <f>IFERROR(__xludf.DUMMYFUNCTION("""COMPUTED_VALUE"""),"1Grp3J4MoPb4ugRngl-qzV4SSJXRISkZhbgiuGuLVEz4")</f>
        <v>1Grp3J4MoPb4ugRngl-qzV4SSJXRISkZhbgiuGuLVEz4</v>
      </c>
    </row>
    <row r="454" ht="15.75" customHeight="1">
      <c r="A454" t="str">
        <f>IFERROR(__xludf.DUMMYFUNCTION("""COMPUTED_VALUE"""),"Rebalancer")</f>
        <v>Rebalancer</v>
      </c>
      <c r="B454" t="str">
        <f>IFERROR(__xludf.DUMMYFUNCTION("""COMPUTED_VALUE"""),"LockandUnlockGridData")</f>
        <v>LockandUnlockGridData</v>
      </c>
      <c r="C454" t="str">
        <f>IFERROR(__xludf.DUMMYFUNCTION("""COMPUTED_VALUE"""),"1EAH65rZNySGGob__JM-Ohve-xSIVrLprry1-bHfxlIE")</f>
        <v>1EAH65rZNySGGob__JM-Ohve-xSIVrLprry1-bHfxlIE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IFERROR(__xludf.DUMMYFUNCTION("""COMPUTED_VALUE"""),"SetTradeAttributePreferences")</f>
        <v>SetTradeAttributePreferences</v>
      </c>
      <c r="C455" t="str">
        <f>IFERROR(__xludf.DUMMYFUNCTION("""COMPUTED_VALUE"""),"1my_zLaXc6szWpIOxmI-qCSNy0-rZqlHsM-ta7yilhBY")</f>
        <v>1my_zLaXc6szWpIOxmI-qCSNy0-rZqlHsM-ta7yilhBY</v>
      </c>
    </row>
    <row r="456" ht="15.75" customHeight="1">
      <c r="A456" t="str">
        <f>IFERROR(__xludf.DUMMYFUNCTION("""COMPUTED_VALUE"""),"GeneralLedger")</f>
        <v>GeneralLedger</v>
      </c>
      <c r="B456" t="str">
        <f>IFERROR(__xludf.DUMMYFUNCTION("""COMPUTED_VALUE"""),"VerifyAccountBalances")</f>
        <v>VerifyAccountBalances</v>
      </c>
      <c r="C456" t="str">
        <f>IFERROR(__xludf.DUMMYFUNCTION("""COMPUTED_VALUE"""),"1DPjaL7vtGJ9FJ9_Z4o7CkMSXYNcU4Qiga6SLll9BoUQ")</f>
        <v>1DPjaL7vtGJ9FJ9_Z4o7CkMSXYNcU4Qiga6SLll9BoUQ</v>
      </c>
    </row>
    <row r="457" ht="15.75" customHeight="1">
      <c r="A457" t="str">
        <f>IFERROR(__xludf.DUMMYFUNCTION("""COMPUTED_VALUE"""),"Rebalancer")</f>
        <v>Rebalancer</v>
      </c>
      <c r="B457" t="str">
        <f>IFERROR(__xludf.DUMMYFUNCTION("""COMPUTED_VALUE"""),"RefreshGridData")</f>
        <v>RefreshGridData</v>
      </c>
      <c r="C457" t="str">
        <f>IFERROR(__xludf.DUMMYFUNCTION("""COMPUTED_VALUE"""),"1Twh9hXbusYu_GS7dbW4xTddG57o7_sRf_eA0tSIHHnI")</f>
        <v>1Twh9hXbusYu_GS7dbW4xTddG57o7_sRf_eA0tSIHHnI</v>
      </c>
    </row>
    <row r="458" ht="15.75" customHeight="1">
      <c r="A458" t="str">
        <f>IFERROR(__xludf.DUMMYFUNCTION("""COMPUTED_VALUE"""),"GeneralLedger")</f>
        <v>GeneralLedger</v>
      </c>
      <c r="B458" t="str">
        <f>IFERROR(__xludf.DUMMYFUNCTION("""COMPUTED_VALUE"""),"AddMultipleOpeningBalTranItem")</f>
        <v>AddMultipleOpeningBalTranItem</v>
      </c>
      <c r="C458" t="str">
        <f>IFERROR(__xludf.DUMMYFUNCTION("""COMPUTED_VALUE"""),"1bJ3bDpFjTc_8g8qo7j1JVshB_LOl23u_1DYWXef1veE")</f>
        <v>1bJ3bDpFjTc_8g8qo7j1JVshB_LOl23u_1DYWXef1veE</v>
      </c>
    </row>
    <row r="459" ht="15.75" customHeight="1">
      <c r="A459" t="str">
        <f>IFERROR(__xludf.DUMMYFUNCTION("""COMPUTED_VALUE"""),"Import")</f>
        <v>Import</v>
      </c>
      <c r="B459" t="str">
        <f>IFERROR(__xludf.DUMMYFUNCTION("""COMPUTED_VALUE"""),"ApplyFilterOnImport")</f>
        <v>ApplyFilterOnImport</v>
      </c>
      <c r="C459" t="str">
        <f>IFERROR(__xludf.DUMMYFUNCTION("""COMPUTED_VALUE"""),"1Da-rjrbxEE3vLRnSqkr_MNxdUBaUjvyrVyCRsADwJKU")</f>
        <v>1Da-rjrbxEE3vLRnSqkr_MNxdUBaUjvyrVyCRsADwJKU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IFERROR(__xludf.DUMMYFUNCTION("""COMPUTED_VALUE"""),"SendtoStaging")</f>
        <v>SendtoStaging</v>
      </c>
      <c r="C460" t="str">
        <f>IFERROR(__xludf.DUMMYFUNCTION("""COMPUTED_VALUE"""),"1LVrDx22SvXtNLHuCgAdGOnjsdhE3b9tjTEtzx2RdECc")</f>
        <v>1LVrDx22SvXtNLHuCgAdGOnjsdhE3b9tjTEtzx2RdECc</v>
      </c>
    </row>
    <row r="461" ht="15.75" customHeight="1">
      <c r="A461" t="str">
        <f>IFERROR(__xludf.DUMMYFUNCTION("""COMPUTED_VALUE"""),"Rebalancer")</f>
        <v>Rebalancer</v>
      </c>
      <c r="B461" t="str">
        <f>IFERROR(__xludf.DUMMYFUNCTION("""COMPUTED_VALUE"""),"SendToStagingExport")</f>
        <v>SendToStagingExport</v>
      </c>
      <c r="C461" t="str">
        <f>IFERROR(__xludf.DUMMYFUNCTION("""COMPUTED_VALUE"""),"1ed4mu6dPKZ1upq8fj0V3A44fKKF0Kaci13w3MzPRi94")</f>
        <v>1ed4mu6dPKZ1upq8fj0V3A44fKKF0Kaci13w3MzPRi94</v>
      </c>
    </row>
    <row r="462" ht="15.75" customHeight="1">
      <c r="A462" t="str">
        <f>IFERROR(__xludf.DUMMYFUNCTION("""COMPUTED_VALUE"""),"PTT")</f>
        <v>PTT</v>
      </c>
      <c r="B462" t="str">
        <f>IFERROR(__xludf.DUMMYFUNCTION("""COMPUTED_VALUE"""),"SetDefaultSymbology")</f>
        <v>SetDefaultSymbology</v>
      </c>
      <c r="C462" t="str">
        <f>IFERROR(__xludf.DUMMYFUNCTION("""COMPUTED_VALUE"""),"1c8RXMSMKCCZZhGpaSJFpL0iNAB41irezmfODVoz-HOM")</f>
        <v>1c8RXMSMKCCZZhGpaSJFpL0iNAB41irezmfODVoz-HOM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IFERROR(__xludf.DUMMYFUNCTION("""COMPUTED_VALUE"""),"EnterCustomAllocatePreference")</f>
        <v>EnterCustomAllocatePreference</v>
      </c>
      <c r="C463" t="str">
        <f>IFERROR(__xludf.DUMMYFUNCTION("""COMPUTED_VALUE"""),"1Ag9B515mUdzPP5zMlZiJvXg_TX9Pf0V-JJb7HHGUFZQ")</f>
        <v>1Ag9B515mUdzPP5zMlZiJvXg_TX9Pf0V-JJb7HHGUFZQ</v>
      </c>
    </row>
    <row r="464" ht="15.75" customHeight="1">
      <c r="A464" t="str">
        <f>IFERROR(__xludf.DUMMYFUNCTION("""COMPUTED_VALUE"""),"PTT")</f>
        <v>PTT</v>
      </c>
      <c r="B464" t="str">
        <f>IFERROR(__xludf.DUMMYFUNCTION("""COMPUTED_VALUE"""),"EditPTTAccountLevelWPF")</f>
        <v>EditPTTAccountLevelWPF</v>
      </c>
      <c r="C464" t="str">
        <f>IFERROR(__xludf.DUMMYFUNCTION("""COMPUTED_VALUE"""),"14SRXKP6K_jM43UPVxHLajQ3RiPUNkFiafNIpKFU1qJw")</f>
        <v>14SRXKP6K_jM43UPVxHLajQ3RiPUNkFiafNIpKFU1qJw</v>
      </c>
    </row>
    <row r="465" ht="15.75" customHeight="1">
      <c r="A465" t="str">
        <f>IFERROR(__xludf.DUMMYFUNCTION("""COMPUTED_VALUE"""),"PortfolioManagement")</f>
        <v>PortfolioManagement</v>
      </c>
      <c r="B465" t="str">
        <f>IFERROR(__xludf.DUMMYFUNCTION("""COMPUTED_VALUE"""),"OpenCreateTransactionFromPM")</f>
        <v>OpenCreateTransactionFromPM</v>
      </c>
      <c r="C465" t="str">
        <f>IFERROR(__xludf.DUMMYFUNCTION("""COMPUTED_VALUE"""),"1Iqlyl1OX0stY1-IKyRyaVqLsL4U21WB22TR5R9IOuV0")</f>
        <v>1Iqlyl1OX0stY1-IKyRyaVqLsL4U21WB22TR5R9IOuV0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IFERROR(__xludf.DUMMYFUNCTION("""COMPUTED_VALUE"""),"SetAutoGroupingPreferences")</f>
        <v>SetAutoGroupingPreferences</v>
      </c>
      <c r="C466" t="str">
        <f>IFERROR(__xludf.DUMMYFUNCTION("""COMPUTED_VALUE"""),"1w0BOrROJMhSBD6gLWR9m2PsXt7yg48njQgJ3X9qWWeE")</f>
        <v>1w0BOrROJMhSBD6gLWR9m2PsXt7yg48njQgJ3X9qWWeE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IFERROR(__xludf.DUMMYFUNCTION("""COMPUTED_VALUE"""),"SetAutoGroupingAccount")</f>
        <v>SetAutoGroupingAccount</v>
      </c>
      <c r="C467" t="str">
        <f>IFERROR(__xludf.DUMMYFUNCTION("""COMPUTED_VALUE"""),"1UpTQDv3-OcoXnckKzH1C0np-5xkdjS3szbTcvwX-VWE")</f>
        <v>1UpTQDv3-OcoXnckKzH1C0np-5xkdjS3szbTcvwX-VWE</v>
      </c>
    </row>
    <row r="468" ht="15.75" customHeight="1">
      <c r="A468" t="str">
        <f>IFERROR(__xludf.DUMMYFUNCTION("""COMPUTED_VALUE"""),"Allocation")</f>
        <v>Allocation</v>
      </c>
      <c r="B468" t="str">
        <f>IFERROR(__xludf.DUMMYFUNCTION("""COMPUTED_VALUE"""),"SetAvgPriceRounding")</f>
        <v>SetAvgPriceRounding</v>
      </c>
      <c r="C468" t="str">
        <f>IFERROR(__xludf.DUMMYFUNCTION("""COMPUTED_VALUE"""),"1vMyQT3uR4ejtWOsCfpo0iqiZJvk8d4CyZ1m7nZfRedw")</f>
        <v>1vMyQT3uR4ejtWOsCfpo0iqiZJvk8d4CyZ1m7nZfRedw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IFERROR(__xludf.DUMMYFUNCTION("""COMPUTED_VALUE"""),"SetActive")</f>
        <v>SetActive</v>
      </c>
      <c r="C469" t="str">
        <f>IFERROR(__xludf.DUMMYFUNCTION("""COMPUTED_VALUE"""),"1ML-STLVrOrrVravDSrrhHBiPP2STeaHPpz6u2UzUbjY")</f>
        <v>1ML-STLVrOrrVravDSrrhHBiPP2STeaHPpz6u2UzUbjY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IFERROR(__xludf.DUMMYFUNCTION("""COMPUTED_VALUE"""),"SetThirdPartyFormat")</f>
        <v>SetThirdPartyFormat</v>
      </c>
      <c r="C470" t="str">
        <f>IFERROR(__xludf.DUMMYFUNCTION("""COMPUTED_VALUE"""),"1lpUcHcElZaOXkhMXuDMlsMhf---N3oQjSe1rn2RnGjE")</f>
        <v>1lpUcHcElZaOXkhMXuDMlsMhf---N3oQjSe1rn2RnGjE</v>
      </c>
    </row>
    <row r="471" ht="15.75" customHeight="1">
      <c r="A471" t="str">
        <f>IFERROR(__xludf.DUMMYFUNCTION("""COMPUTED_VALUE"""),"Admin")</f>
        <v>Admin</v>
      </c>
      <c r="B471" t="str">
        <f>IFERROR(__xludf.DUMMYFUNCTION("""COMPUTED_VALUE"""),"UpdateRoundLot")</f>
        <v>UpdateRoundLot</v>
      </c>
      <c r="C471" t="str">
        <f>IFERROR(__xludf.DUMMYFUNCTION("""COMPUTED_VALUE"""),"1IDlXbwq4xx3F351jk1e9GhmOOysQkjY49iti_LJY29Y")</f>
        <v>1IDlXbwq4xx3F351jk1e9GhmOOysQkjY49iti_LJY29Y</v>
      </c>
    </row>
    <row r="472" ht="15.75" customHeight="1">
      <c r="A472" t="str">
        <f>IFERROR(__xludf.DUMMYFUNCTION("""COMPUTED_VALUE"""),"Rebalancer")</f>
        <v>Rebalancer</v>
      </c>
      <c r="B472" t="str">
        <f>IFERROR(__xludf.DUMMYFUNCTION("""COMPUTED_VALUE"""),"RebalanceViaBloomberg")</f>
        <v>RebalanceViaBloomberg</v>
      </c>
      <c r="C472" t="str">
        <f>IFERROR(__xludf.DUMMYFUNCTION("""COMPUTED_VALUE"""),"1LwzjM4qhF7L7Sxpj0tmKmwrbnudRqAXE2o9sTrXIRg4")</f>
        <v>1LwzjM4qhF7L7Sxpj0tmKmwrbnudRqAXE2o9sTrXIRg4</v>
      </c>
    </row>
    <row r="473" ht="15.75" customHeight="1">
      <c r="A473" t="str">
        <f>IFERROR(__xludf.DUMMYFUNCTION("""COMPUTED_VALUE"""),"ThirdParty")</f>
        <v>ThirdParty</v>
      </c>
      <c r="B473" t="str">
        <f>IFERROR(__xludf.DUMMYFUNCTION("""COMPUTED_VALUE"""),"RefreshThirdParty")</f>
        <v>RefreshThirdParty</v>
      </c>
      <c r="C473" t="str">
        <f>IFERROR(__xludf.DUMMYFUNCTION("""COMPUTED_VALUE"""),"1guMwvYY7eIhwmTxoDxp96X7I1ob2jLHmhM39Dwo1Y_0")</f>
        <v>1guMwvYY7eIhwmTxoDxp96X7I1ob2jLHmhM39Dwo1Y_0</v>
      </c>
    </row>
    <row r="474" ht="15.75" customHeight="1">
      <c r="A474" t="str">
        <f>IFERROR(__xludf.DUMMYFUNCTION("""COMPUTED_VALUE"""),"Rebalancer")</f>
        <v>Rebalancer</v>
      </c>
      <c r="B474" t="str">
        <f>IFERROR(__xludf.DUMMYFUNCTION("""COMPUTED_VALUE"""),"AddUserAdjustedNAV")</f>
        <v>AddUserAdjustedNAV</v>
      </c>
      <c r="C474" t="str">
        <f>IFERROR(__xludf.DUMMYFUNCTION("""COMPUTED_VALUE"""),"19OVwZsuCpOR4wNoumc9dcWKh-GlmHGzdDHpxrI9vy2Q")</f>
        <v>19OVwZsuCpOR4wNoumc9dcWKh-GlmHGzdDHpxrI9vy2Q</v>
      </c>
    </row>
    <row r="475" ht="15.75" customHeight="1">
      <c r="A475" t="str">
        <f>IFERROR(__xludf.DUMMYFUNCTION("""COMPUTED_VALUE"""),"Allocation")</f>
        <v>Allocation</v>
      </c>
      <c r="B475" t="str">
        <f>IFERROR(__xludf.DUMMYFUNCTION("""COMPUTED_VALUE"""),"IsAllocationOpen")</f>
        <v>IsAllocationOpen</v>
      </c>
      <c r="C475" t="str">
        <f>IFERROR(__xludf.DUMMYFUNCTION("""COMPUTED_VALUE"""),"1tXfGlqhDgCdohzVgP6y6ZH15Fk9uu1P72qRZ3Z2rpG4")</f>
        <v>1tXfGlqhDgCdohzVgP6y6ZH15Fk9uu1P72qRZ3Z2rpG4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IFERROR(__xludf.DUMMYFUNCTION("""COMPUTED_VALUE"""),"ImportOnShortLocate")</f>
        <v>ImportOnShortLocate</v>
      </c>
      <c r="C476" t="str">
        <f>IFERROR(__xludf.DUMMYFUNCTION("""COMPUTED_VALUE"""),"19QVF-aiOcmBqU2qKUK-OCu98j5uyT4B-XqK8arWvdUE")</f>
        <v>19QVF-aiOcmBqU2qKUK-OCu98j5uyT4B-XqK8arWvdUE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IFERROR(__xludf.DUMMYFUNCTION("""COMPUTED_VALUE"""),"ApplyFilterOnShortLocate")</f>
        <v>ApplyFilterOnShortLocate</v>
      </c>
      <c r="C477" t="str">
        <f>IFERROR(__xludf.DUMMYFUNCTION("""COMPUTED_VALUE"""),"1PEbXqnVsJIUstDlBtSQ74U3EFTjGSqLfB7FqQsO5Lmw")</f>
        <v>1PEbXqnVsJIUstDlBtSQ74U3EFTjGSqLfB7FqQsO5Lmw</v>
      </c>
    </row>
    <row r="478" ht="15.75" customHeight="1">
      <c r="A478" t="str">
        <f>IFERROR(__xludf.DUMMYFUNCTION("""COMPUTED_VALUE"""),"ShortLocate")</f>
        <v>ShortLocate</v>
      </c>
      <c r="B478" t="str">
        <f>IFERROR(__xludf.DUMMYFUNCTION("""COMPUTED_VALUE"""),"OpenTTFromShortLocate")</f>
        <v>OpenTTFromShortLocate</v>
      </c>
      <c r="C478" t="str">
        <f>IFERROR(__xludf.DUMMYFUNCTION("""COMPUTED_VALUE"""),"1C5cKOwx9EUg1jODdQv4vMSqPEx82TJf3ahEnHpr3WXQ")</f>
        <v>1C5cKOwx9EUg1jODdQv4vMSqPEx82TJf3ahEnHpr3WXQ</v>
      </c>
    </row>
    <row r="479" ht="15.75" customHeight="1">
      <c r="A479" t="str">
        <f>IFERROR(__xludf.DUMMYFUNCTION("""COMPUTED_VALUE"""),"PortfolioManagement")</f>
        <v>PortfolioManagement</v>
      </c>
      <c r="B479" t="str">
        <f>IFERROR(__xludf.DUMMYFUNCTION("""COMPUTED_VALUE"""),"RemoveGroupingFromPM")</f>
        <v>RemoveGroupingFromPM</v>
      </c>
      <c r="C479" t="str">
        <f>IFERROR(__xludf.DUMMYFUNCTION("""COMPUTED_VALUE"""),"1dHOaB4ss1ElxiqF88xo8RR5XXPvF76pKh6JDOySJu-E")</f>
        <v>1dHOaB4ss1ElxiqF88xo8RR5XXPvF76pKh6JDOySJu-E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IFERROR(__xludf.DUMMYFUNCTION("""COMPUTED_VALUE"""),"AddTabOnWatchlist")</f>
        <v>AddTabOnWatchlist</v>
      </c>
      <c r="C480" t="str">
        <f>IFERROR(__xludf.DUMMYFUNCTION("""COMPUTED_VALUE"""),"1-Fquq09E5X5hH37sCvpU3vM33MTlYZO2fGOuT5GEl_0")</f>
        <v>1-Fquq09E5X5hH37sCvpU3vM33MTlYZO2fGOuT5GEl_0</v>
      </c>
    </row>
    <row r="481" ht="15.75" customHeight="1">
      <c r="A481" t="str">
        <f>IFERROR(__xludf.DUMMYFUNCTION("""COMPUTED_VALUE"""),"Watchlist")</f>
        <v>Watchlist</v>
      </c>
      <c r="B481" t="str">
        <f>IFERROR(__xludf.DUMMYFUNCTION("""COMPUTED_VALUE"""),"DeleteTabOnWatchlist")</f>
        <v>DeleteTabOnWatchlist</v>
      </c>
      <c r="C481" t="str">
        <f>IFERROR(__xludf.DUMMYFUNCTION("""COMPUTED_VALUE"""),"1aPotCHpuxmGXORel0Or7Cz4LqQtNgOXy6cutDrXC4ZA")</f>
        <v>1aPotCHpuxmGXORel0Or7Cz4LqQtNgOXy6cutDrXC4ZA</v>
      </c>
    </row>
    <row r="482" ht="15.75" customHeight="1">
      <c r="A482" t="str">
        <f>IFERROR(__xludf.DUMMYFUNCTION("""COMPUTED_VALUE"""),"ShortLocate")</f>
        <v>ShortLocate</v>
      </c>
      <c r="B482" t="str">
        <f>IFERROR(__xludf.DUMMYFUNCTION("""COMPUTED_VALUE"""),"Upload")</f>
        <v>Upload</v>
      </c>
      <c r="C482" t="str">
        <f>IFERROR(__xludf.DUMMYFUNCTION("""COMPUTED_VALUE"""),"1Yt8a2lXlhGObiQrMMM5W_j6RdU8jQn-mLCPBdmpe7Q4")</f>
        <v>1Yt8a2lXlhGObiQrMMM5W_j6RdU8jQn-mLCPBdmpe7Q4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IFERROR(__xludf.DUMMYFUNCTION("""COMPUTED_VALUE"""),"ViewDataOnRecon")</f>
        <v>ViewDataOnRecon</v>
      </c>
      <c r="C483" t="str">
        <f>IFERROR(__xludf.DUMMYFUNCTION("""COMPUTED_VALUE"""),"1MvpMdaCDeVLEpK1FmZNAkpQIPeitH0as0fCgj60iBiI")</f>
        <v>1MvpMdaCDeVLEpK1FmZNAkpQIPeitH0as0fCgj60iBiI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IFERROR(__xludf.DUMMYFUNCTION("""COMPUTED_VALUE"""),"RunRecon")</f>
        <v>RunRecon</v>
      </c>
      <c r="C484" t="str">
        <f>IFERROR(__xludf.DUMMYFUNCTION("""COMPUTED_VALUE"""),"1DDa6JCeggmfNaYD62TTTcjt1bmrk6ge5KcAe2yFoeMw")</f>
        <v>1DDa6JCeggmfNaYD62TTTcjt1bmrk6ge5KcAe2yFoeMw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IFERROR(__xludf.DUMMYFUNCTION("""COMPUTED_VALUE"""),"GenerateExceptionReport")</f>
        <v>GenerateExceptionReport</v>
      </c>
      <c r="C485" t="str">
        <f>IFERROR(__xludf.DUMMYFUNCTION("""COMPUTED_VALUE"""),"1UdCz3mbG1GJqgKZJ828uP7hYNKCi5g_gMKrTM4Nuw70")</f>
        <v>1UdCz3mbG1GJqgKZJ828uP7hYNKCi5g_gMKrTM4Nuw70</v>
      </c>
    </row>
    <row r="486" ht="15.75" customHeight="1">
      <c r="A486" t="str">
        <f>IFERROR(__xludf.DUMMYFUNCTION("""COMPUTED_VALUE"""),"Recon")</f>
        <v>Recon</v>
      </c>
      <c r="B486" t="str">
        <f>IFERROR(__xludf.DUMMYFUNCTION("""COMPUTED_VALUE"""),"ImportDataOnRecon")</f>
        <v>ImportDataOnRecon</v>
      </c>
      <c r="C486" t="str">
        <f>IFERROR(__xludf.DUMMYFUNCTION("""COMPUTED_VALUE"""),"1TGSSMCVBapTePkTNPegO5K-1JXoG29MXtaMfvS42lT4")</f>
        <v>1TGSSMCVBapTePkTNPegO5K-1JXoG29MXtaMfvS42lT4</v>
      </c>
    </row>
    <row r="487" ht="15.75" customHeight="1">
      <c r="A487" t="str">
        <f>IFERROR(__xludf.DUMMYFUNCTION("""COMPUTED_VALUE"""),"ShortLocate")</f>
        <v>ShortLocate</v>
      </c>
      <c r="B487" t="str">
        <f>IFERROR(__xludf.DUMMYFUNCTION("""COMPUTED_VALUE"""),"VerifyShortLocateGrid")</f>
        <v>VerifyShortLocateGrid</v>
      </c>
      <c r="C487" t="str">
        <f>IFERROR(__xludf.DUMMYFUNCTION("""COMPUTED_VALUE"""),"1sQkk0Iso34FqpWhLPcYXKUPQnmZ8Pjini2G3BJhnquM")</f>
        <v>1sQkk0Iso34FqpWhLPcYXKUPQnmZ8Pjini2G3BJhnquM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IFERROR(__xludf.DUMMYFUNCTION("""COMPUTED_VALUE"""),"VerifyApplicationData")</f>
        <v>VerifyApplicationData</v>
      </c>
      <c r="C488" t="str">
        <f>IFERROR(__xludf.DUMMYFUNCTION("""COMPUTED_VALUE"""),"12uaBilYuoqtrRW6_HDDP48tS7_jnEsipPeSiI04cKsU")</f>
        <v>12uaBilYuoqtrRW6_HDDP48tS7_jnEsipPeSiI04cKsU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IFERROR(__xludf.DUMMYFUNCTION("""COMPUTED_VALUE"""),"VerifyExceptionReport")</f>
        <v>VerifyExceptionReport</v>
      </c>
      <c r="C489" t="str">
        <f>IFERROR(__xludf.DUMMYFUNCTION("""COMPUTED_VALUE"""),"1XV5X_FcfT9lsESq_rfDGc3fxjjBPTf0U6hi--LgJFpk")</f>
        <v>1XV5X_FcfT9lsESq_rfDGc3fxjjBPTf0U6hi--LgJFpk</v>
      </c>
    </row>
    <row r="490" ht="15.75" customHeight="1">
      <c r="A490" t="str">
        <f>IFERROR(__xludf.DUMMYFUNCTION("""COMPUTED_VALUE"""),"Recon")</f>
        <v>Recon</v>
      </c>
      <c r="B490" t="str">
        <f>IFERROR(__xludf.DUMMYFUNCTION("""COMPUTED_VALUE"""),"VerifyPrimeBrokerData")</f>
        <v>VerifyPrimeBrokerData</v>
      </c>
      <c r="C490" t="str">
        <f>IFERROR(__xludf.DUMMYFUNCTION("""COMPUTED_VALUE"""),"1t0clw8YL_XSFlsdLmKvJToFZu0s9objoeJH9wCCADyE")</f>
        <v>1t0clw8YL_XSFlsdLmKvJToFZu0s9objoeJH9wCCADyE</v>
      </c>
    </row>
    <row r="491" ht="15.75" customHeight="1">
      <c r="A491" t="str">
        <f>IFERROR(__xludf.DUMMYFUNCTION("""COMPUTED_VALUE"""),"Admin")</f>
        <v>Admin</v>
      </c>
      <c r="B491" t="str">
        <f>IFERROR(__xludf.DUMMYFUNCTION("""COMPUTED_VALUE"""),"SetTradingComplianceRules")</f>
        <v>SetTradingComplianceRules</v>
      </c>
      <c r="C491" t="str">
        <f>IFERROR(__xludf.DUMMYFUNCTION("""COMPUTED_VALUE"""),"1azN1M08dpW7VMj-beZnqcg3K67iDFaQtsG3VPQICd34")</f>
        <v>1azN1M08dpW7VMj-beZnqcg3K67iDFaQtsG3VPQICd34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IFERROR(__xludf.DUMMYFUNCTION("""COMPUTED_VALUE"""),"ImportSymbol")</f>
        <v>ImportSymbol</v>
      </c>
      <c r="C492" t="str">
        <f>IFERROR(__xludf.DUMMYFUNCTION("""COMPUTED_VALUE"""),"1J1yzfPy0VAAGjLSKMbWrAky24FH9wnzsX22WqJo0rTw")</f>
        <v>1J1yzfPy0VAAGjLSKMbWrAky24FH9wnzsX22WqJo0rTw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IFERROR(__xludf.DUMMYFUNCTION("""COMPUTED_VALUE"""),"ExportSymbolFromRAList")</f>
        <v>ExportSymbolFromRAList</v>
      </c>
      <c r="C493" t="str">
        <f>IFERROR(__xludf.DUMMYFUNCTION("""COMPUTED_VALUE"""),"1_Jcd2NyXYod49jJBTF7mnnyrz-bqcIOuRrXNBhoAndM")</f>
        <v>1_Jcd2NyXYod49jJBTF7mnnyrz-bqcIOuRrXNBhoAndM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 CheckPendingNewOrderAlert")</f>
        <v> CheckPendingNewOrderAlert</v>
      </c>
      <c r="C494" t="str">
        <f>IFERROR(__xludf.DUMMYFUNCTION("""COMPUTED_VALUE"""),"1IjKsUSAA3GmZT9QQkCwzDRD8t7aMh3gfEnicm2yt7yk")</f>
        <v>1IjKsUSAA3GmZT9QQkCwzDRD8t7aMh3gfEnicm2yt7yk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IFERROR(__xludf.DUMMYFUNCTION("""COMPUTED_VALUE"""),"AddSymbolOnRAList")</f>
        <v>AddSymbolOnRAList</v>
      </c>
      <c r="C495" t="str">
        <f>IFERROR(__xludf.DUMMYFUNCTION("""COMPUTED_VALUE"""),"1msdo-HHZukw5R83IjNxsWerlvkI-fgQTDh4cp_x-lEM")</f>
        <v>1msdo-HHZukw5R83IjNxsWerlvkI-fgQTDh4cp_x-lEM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IFERROR(__xludf.DUMMYFUNCTION("""COMPUTED_VALUE"""),"DeleteSymbolListFromRA")</f>
        <v>DeleteSymbolListFromRA</v>
      </c>
      <c r="C496" t="str">
        <f>IFERROR(__xludf.DUMMYFUNCTION("""COMPUTED_VALUE"""),"1kvkQ3sHjIMOR6FW4ddUp3GL5YgZFuVUrFwr0ccGcALs")</f>
        <v>1kvkQ3sHjIMOR6FW4ddUp3GL5YgZFuVUrFwr0ccGcALs</v>
      </c>
    </row>
    <row r="497" ht="15.75" customHeight="1">
      <c r="A497" t="str">
        <f>IFERROR(__xludf.DUMMYFUNCTION("""COMPUTED_VALUE"""),"TradingTicket")</f>
        <v>TradingTicket</v>
      </c>
      <c r="B497" t="str">
        <f>IFERROR(__xludf.DUMMYFUNCTION("""COMPUTED_VALUE"""),"RemoveSymbolFromRAList")</f>
        <v>RemoveSymbolFromRAList</v>
      </c>
      <c r="C497" t="str">
        <f>IFERROR(__xludf.DUMMYFUNCTION("""COMPUTED_VALUE"""),"1-YmkMS_HNizqClLTgaGFhyqIssE8ZUmQHizsGnCO0-0")</f>
        <v>1-YmkMS_HNizqClLTgaGFhyqIssE8ZUmQHizsGnCO0-0</v>
      </c>
    </row>
    <row r="498" ht="15.75" customHeight="1">
      <c r="A498" t="str">
        <f>IFERROR(__xludf.DUMMYFUNCTION("""COMPUTED_VALUE"""),"Report")</f>
        <v>Report</v>
      </c>
      <c r="B498" t="str">
        <f>IFERROR(__xludf.DUMMYFUNCTION("""COMPUTED_VALUE"""),"ReportMatching")</f>
        <v>ReportMatching</v>
      </c>
      <c r="C498" t="str">
        <f>IFERROR(__xludf.DUMMYFUNCTION("""COMPUTED_VALUE"""),"1jht2hZ44HjYgB6aaBYiPuuuTSaEkHaPT4jKo7YIRGu4")</f>
        <v>1jht2hZ44HjYgB6aaBYiPuuuTSaEkHaPT4jKo7YIRGu4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IFERROR(__xludf.DUMMYFUNCTION("""COMPUTED_VALUE"""),"EnableBreakdownRealizedPNL")</f>
        <v>EnableBreakdownRealizedPNL</v>
      </c>
      <c r="C499" t="str">
        <f>IFERROR(__xludf.DUMMYFUNCTION("""COMPUTED_VALUE"""),"1fOE8jOgP2gNa3oRibbTXnvv_lvz-lbHvy-pceE4ajbs")</f>
        <v>1fOE8jOgP2gNa3oRibbTXnvv_lvz-lbHvy-pceE4ajbs</v>
      </c>
    </row>
    <row r="500" ht="15.75" customHeight="1">
      <c r="A500" t="str">
        <f>IFERROR(__xludf.DUMMYFUNCTION("""COMPUTED_VALUE"""),"Admin")</f>
        <v>Admin</v>
      </c>
      <c r="B500" t="str">
        <f>IFERROR(__xludf.DUMMYFUNCTION("""COMPUTED_VALUE"""),"SetTTGeneralPreferences")</f>
        <v>SetTTGeneralPreferences</v>
      </c>
      <c r="C500" t="str">
        <f>IFERROR(__xludf.DUMMYFUNCTION("""COMPUTED_VALUE"""),"1HhQmll51_SDv5EfY7waeq2fCv92vjcbj_GijhdZyvhI")</f>
        <v>1HhQmll51_SDv5EfY7waeq2fCv92vjcbj_GijhdZyvhI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IFERROR(__xludf.DUMMYFUNCTION("""COMPUTED_VALUE"""),"OpenBlotter")</f>
        <v>OpenBlotter</v>
      </c>
      <c r="C501" t="str">
        <f>IFERROR(__xludf.DUMMYFUNCTION("""COMPUTED_VALUE"""),"1gxr6RyiwWcasB3fKgXdgFiGMuKmec4L2x__tgBOzGJ4")</f>
        <v>1gxr6RyiwWcasB3fKgXdgFiGMuKmec4L2x__tgBOzGJ4</v>
      </c>
    </row>
    <row r="502" ht="15.75" customHeight="1">
      <c r="A502" t="str">
        <f>IFERROR(__xludf.DUMMYFUNCTION("""COMPUTED_VALUE"""),"ExeExecutor")</f>
        <v>ExeExecutor</v>
      </c>
      <c r="B502" t="str">
        <f>IFERROR(__xludf.DUMMYFUNCTION("""COMPUTED_VALUE"""),"CallExeExecutor")</f>
        <v>CallExeExecutor</v>
      </c>
      <c r="C502" t="str">
        <f>IFERROR(__xludf.DUMMYFUNCTION("""COMPUTED_VALUE"""),"1owuq6wQlz8I3_fYGTcvp_BtK2b79jE6vCJTDGLtxi4k")</f>
        <v>1owuq6wQlz8I3_fYGTcvp_BtK2b79jE6vCJTDGLtxi4k</v>
      </c>
    </row>
    <row r="503" ht="15.75" customHeight="1">
      <c r="A503" t="str">
        <f>IFERROR(__xludf.DUMMYFUNCTION("""COMPUTED_VALUE"""),"TradingTicket")</f>
        <v>TradingTicket</v>
      </c>
      <c r="B503" t="str">
        <f>IFERROR(__xludf.DUMMYFUNCTION("""COMPUTED_VALUE"""),"ToggleBlombergOnRA")</f>
        <v>ToggleBlombergOnRA</v>
      </c>
      <c r="C503" t="str">
        <f>IFERROR(__xludf.DUMMYFUNCTION("""COMPUTED_VALUE"""),"11C1E7MWiLt7_Bk66Vw9dmQ6oZNSONXaMtNXDJOQXq5s")</f>
        <v>11C1E7MWiLt7_Bk66Vw9dmQ6oZNSONXaMtNXDJOQXq5s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IFERROR(__xludf.DUMMYFUNCTION("""COMPUTED_VALUE"""),"RemoveManualExecution")</f>
        <v>RemoveManualExecution</v>
      </c>
      <c r="C504" t="str">
        <f>IFERROR(__xludf.DUMMYFUNCTION("""COMPUTED_VALUE"""),"1U6qqov4LzcjxrSucq0agJD46Q-GxDor6UdqCigUJ4Hk")</f>
        <v>1U6qqov4LzcjxrSucq0agJD46Q-GxDor6UdqCigUJ4Hk</v>
      </c>
    </row>
    <row r="505" ht="15.75" customHeight="1">
      <c r="A505" t="str">
        <f>IFERROR(__xludf.DUMMYFUNCTION("""COMPUTED_VALUE"""),"Blotter")</f>
        <v>Blotter</v>
      </c>
      <c r="B505" t="str">
        <f>IFERROR(__xludf.DUMMYFUNCTION("""COMPUTED_VALUE"""),"RemoveExecutionWorkingSubs")</f>
        <v>RemoveExecutionWorkingSubs</v>
      </c>
      <c r="C505" t="str">
        <f>IFERROR(__xludf.DUMMYFUNCTION("""COMPUTED_VALUE"""),"1gr6T2UvPfnYDk0z6dFV_mRYS8DySX1Vq8xjIgjK43Ok")</f>
        <v>1gr6T2UvPfnYDk0z6dFV_mRYS8DySX1Vq8xjIgjK43Ok</v>
      </c>
    </row>
    <row r="506" ht="15.75" customHeight="1">
      <c r="A506" t="str">
        <f>IFERROR(__xludf.DUMMYFUNCTION("""COMPUTED_VALUE"""),"Dropcopy")</f>
        <v>Dropcopy</v>
      </c>
      <c r="B506" t="str">
        <f>IFERROR(__xludf.DUMMYFUNCTION("""COMPUTED_VALUE"""),"UploadDropcopyFile")</f>
        <v>UploadDropcopyFile</v>
      </c>
      <c r="C506" t="str">
        <f>IFERROR(__xludf.DUMMYFUNCTION("""COMPUTED_VALUE"""),"1Tr2xSDgsBU643lR2QckIJKwAkNLNn-X0DpSgL4BbVB4")</f>
        <v>1Tr2xSDgsBU643lR2QckIJKwAkNLNn-X0DpSgL4BbVB4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IFERROR(__xludf.DUMMYFUNCTION("""COMPUTED_VALUE"""),"StartTradeServer")</f>
        <v>StartTradeServer</v>
      </c>
      <c r="C507" t="str">
        <f>IFERROR(__xludf.DUMMYFUNCTION("""COMPUTED_VALUE"""),"1_V828-1UqtJPJrCVclzkn3URR23OxnBP06IouHxEc18")</f>
        <v>1_V828-1UqtJPJrCVclzkn3URR23OxnBP06IouHxEc18</v>
      </c>
    </row>
    <row r="508" ht="15.75" customHeight="1">
      <c r="A508" t="str">
        <f>IFERROR(__xludf.DUMMYFUNCTION("""COMPUTED_VALUE"""),"TradeServer")</f>
        <v>TradeServer</v>
      </c>
      <c r="B508" t="str">
        <f>IFERROR(__xludf.DUMMYFUNCTION("""COMPUTED_VALUE"""),"CloseTradeServer ")</f>
        <v>CloseTradeServer </v>
      </c>
      <c r="C508" t="str">
        <f>IFERROR(__xludf.DUMMYFUNCTION("""COMPUTED_VALUE"""),"1NkAbdJ74ry_1fxzkJoBzFl9F_rMWydAb8sHkBebiFjk")</f>
        <v>1NkAbdJ74ry_1fxzkJoBzFl9F_rMWydAb8sHkBebiFjk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IFERROR(__xludf.DUMMYFUNCTION("""COMPUTED_VALUE"""),"GetExecutionReportOrders")</f>
        <v>GetExecutionReportOrders</v>
      </c>
      <c r="C509" t="str">
        <f>IFERROR(__xludf.DUMMYFUNCTION("""COMPUTED_VALUE"""),"1n7tEPxTe0qMZZ4L3gBhqHDVhiNPODDDQ1d__74EcJC8")</f>
        <v>1n7tEPxTe0qMZZ4L3gBhqHDVhiNPODDDQ1d__74EcJC8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IFERROR(__xludf.DUMMYFUNCTION("""COMPUTED_VALUE"""),"GetExecutionReportDetails")</f>
        <v>GetExecutionReportDetails</v>
      </c>
      <c r="C510" t="str">
        <f>IFERROR(__xludf.DUMMYFUNCTION("""COMPUTED_VALUE"""),"1S6sj5FWvIc-3o_AfPaPuatehpzQm1Qx2rydxXGom_dg")</f>
        <v>1S6sj5FWvIc-3o_AfPaPuatehpzQm1Qx2rydxXGom_dg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IFERROR(__xludf.DUMMYFUNCTION("""COMPUTED_VALUE"""),"ExportExecutionReportData")</f>
        <v>ExportExecutionReportData</v>
      </c>
      <c r="C511" t="str">
        <f>IFERROR(__xludf.DUMMYFUNCTION("""COMPUTED_VALUE"""),"1NuepzxikoEeQ9UGIazOW9FdK3u7QGJplxR7E8kC43zk")</f>
        <v>1NuepzxikoEeQ9UGIazOW9FdK3u7QGJplxR7E8kC43zk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IFERROR(__xludf.DUMMYFUNCTION("""COMPUTED_VALUE"""),"VerifyExecutionReport")</f>
        <v>VerifyExecutionReport</v>
      </c>
      <c r="C512" t="str">
        <f>IFERROR(__xludf.DUMMYFUNCTION("""COMPUTED_VALUE"""),"1oFdiPMJZ6QcqQOw8iiVuMy67mAJN06vJWm3q-cVwnno")</f>
        <v>1oFdiPMJZ6QcqQOw8iiVuMy67mAJN06vJWm3q-cVwnno</v>
      </c>
      <c r="D512" t="str">
        <f>IFERROR(__xludf.DUMMYFUNCTION("""COMPUTED_VALUE"""),"yes")</f>
        <v>yes</v>
      </c>
    </row>
    <row r="513" ht="15.75" customHeight="1">
      <c r="A513" t="str">
        <f>IFERROR(__xludf.DUMMYFUNCTION("""COMPUTED_VALUE"""),"Blotter")</f>
        <v>Blotter</v>
      </c>
      <c r="B513" t="str">
        <f>IFERROR(__xludf.DUMMYFUNCTION("""COMPUTED_VALUE"""),"BlotterExecutionReportSnapshot")</f>
        <v>BlotterExecutionReportSnapshot</v>
      </c>
      <c r="C513" t="str">
        <f>IFERROR(__xludf.DUMMYFUNCTION("""COMPUTED_VALUE"""),"1qS_WdHc-9zx-QFEzjKFnwArW39qAuRmf2BwbLZIYrx8")</f>
        <v>1qS_WdHc-9zx-QFEzjKFnwArW39qAuRmf2BwbLZIYrx8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IFERROR(__xludf.DUMMYFUNCTION("""COMPUTED_VALUE"""),"SetDollarAmountPermission")</f>
        <v>SetDollarAmountPermission</v>
      </c>
      <c r="C514" t="str">
        <f>IFERROR(__xludf.DUMMYFUNCTION("""COMPUTED_VALUE"""),"1xOFeeEAfRZ7uVQd-bOgJ8e2jRaAjMLV_Blt4kgkW758")</f>
        <v>1xOFeeEAfRZ7uVQd-bOgJ8e2jRaAjMLV_Blt4kgkW758</v>
      </c>
    </row>
    <row r="515" ht="15.75" customHeight="1">
      <c r="A515" t="str">
        <f>IFERROR(__xludf.DUMMYFUNCTION("""COMPUTED_VALUE"""),"Admin")</f>
        <v>Admin</v>
      </c>
      <c r="B515" t="str">
        <f>IFERROR(__xludf.DUMMYFUNCTION("""COMPUTED_VALUE"""),"EnableDisableModule")</f>
        <v>EnableDisableModule</v>
      </c>
      <c r="C515" t="str">
        <f>IFERROR(__xludf.DUMMYFUNCTION("""COMPUTED_VALUE"""),"1gOEnHffMXCfk3OHpA4l1AxtdYLt7yCY9nIAHCVLNwVc")</f>
        <v>1gOEnHffMXCfk3OHpA4l1AxtdYLt7yCY9nIAHCVLNwVc</v>
      </c>
    </row>
    <row r="516" ht="15.75" customHeight="1">
      <c r="A516" t="str">
        <f>IFERROR(__xludf.DUMMYFUNCTION("""COMPUTED_VALUE"""),"Blotter")</f>
        <v>Blotter</v>
      </c>
      <c r="B516" t="str">
        <f>IFERROR(__xludf.DUMMYFUNCTION("""COMPUTED_VALUE"""),"MultipleTradeTransferToUser")</f>
        <v>MultipleTradeTransferToUser</v>
      </c>
      <c r="C516" t="str">
        <f>IFERROR(__xludf.DUMMYFUNCTION("""COMPUTED_VALUE"""),"1MwTe8wnpOxfAt8LI3PyswJ6sddAaGzi5MdpUL8JAo-E")</f>
        <v>1MwTe8wnpOxfAt8LI3PyswJ6sddAaGzi5MdpUL8JAo-E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IFERROR(__xludf.DUMMYFUNCTION("""COMPUTED_VALUE"""),"IsImportOverrideOnShortLocate")</f>
        <v>IsImportOverrideOnShortLocate</v>
      </c>
      <c r="C517" t="str">
        <f>IFERROR(__xludf.DUMMYFUNCTION("""COMPUTED_VALUE"""),"1JlA0Y1H-vrWeIlqgP3MsswQdI6cigTmArnA7R2LWQc4")</f>
        <v>1JlA0Y1H-vrWeIlqgP3MsswQdI6cigTmArnA7R2LWQc4</v>
      </c>
    </row>
    <row r="518" ht="15.75" customHeight="1">
      <c r="A518" t="str">
        <f>IFERROR(__xludf.DUMMYFUNCTION("""COMPUTED_VALUE"""),"Admin")</f>
        <v>Admin</v>
      </c>
      <c r="B518" t="str">
        <f>IFERROR(__xludf.DUMMYFUNCTION("""COMPUTED_VALUE"""),"SetShortLocateStructures")</f>
        <v>SetShortLocateStructures</v>
      </c>
      <c r="C518" t="str">
        <f>IFERROR(__xludf.DUMMYFUNCTION("""COMPUTED_VALUE"""),"1kR80czhB9OTe0d_J57MU3TZ4AfXbKGWNfDZ-2FQbHwI")</f>
        <v>1kR80czhB9OTe0d_J57MU3TZ4AfXbKGWNfDZ-2FQbHwI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IFERROR(__xludf.DUMMYFUNCTION("""COMPUTED_VALUE"""),"DownloadFile")</f>
        <v>DownloadFile</v>
      </c>
      <c r="C519" t="str">
        <f>IFERROR(__xludf.DUMMYFUNCTION("""COMPUTED_VALUE"""),"1o7j1EbVMp55C2W0LtWgInbcaRCadHrS8uLmpnVq98uY")</f>
        <v>1o7j1EbVMp55C2W0LtWgInbcaRCadHrS8uLmpnVq98uY</v>
      </c>
    </row>
    <row r="520" ht="15.75" customHeight="1">
      <c r="A520" t="str">
        <f>IFERROR(__xludf.DUMMYFUNCTION("""COMPUTED_VALUE"""),"ShortLocate")</f>
        <v>ShortLocate</v>
      </c>
      <c r="B520" t="str">
        <f>IFERROR(__xludf.DUMMYFUNCTION("""COMPUTED_VALUE"""),"SearchShortLocateUI")</f>
        <v>SearchShortLocateUI</v>
      </c>
      <c r="C520" t="str">
        <f>IFERROR(__xludf.DUMMYFUNCTION("""COMPUTED_VALUE"""),"1WpyTBvj-iezHv6E9PbjJ3UJKNDEkGuyVLw4TOx5zcas")</f>
        <v>1WpyTBvj-iezHv6E9PbjJ3UJKNDEkGuyVLw4TOx5zcas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IFERROR(__xludf.DUMMYFUNCTION("""COMPUTED_VALUE"""),"CreateDoneAwayOrder")</f>
        <v>CreateDoneAwayOrder</v>
      </c>
      <c r="C521" t="str">
        <f>IFERROR(__xludf.DUMMYFUNCTION("""COMPUTED_VALUE"""),"1eq2tbYNZTU6VAfgYF2-ao4AM8-9yiVmbLsTlsY4KXro")</f>
        <v>1eq2tbYNZTU6VAfgYF2-ao4AM8-9yiVmbLsTlsY4KXro</v>
      </c>
      <c r="D521" t="str">
        <f>IFERROR(__xludf.DUMMYFUNCTION("""COMPUTED_VALUE"""),"Input")</f>
        <v>Input</v>
      </c>
    </row>
    <row r="522" ht="15.75" customHeight="1">
      <c r="A522" t="str">
        <f>IFERROR(__xludf.DUMMYFUNCTION("""COMPUTED_VALUE"""),"TradingTicket")</f>
        <v>TradingTicket</v>
      </c>
      <c r="B522" t="str">
        <f>IFERROR(__xludf.DUMMYFUNCTION("""COMPUTED_VALUE"""),"CreateComplianceOrder")</f>
        <v>CreateComplianceOrder</v>
      </c>
      <c r="C522" t="str">
        <f>IFERROR(__xludf.DUMMYFUNCTION("""COMPUTED_VALUE"""),"1gmcte0l7mexRV3mcVKh44GtDozpoxvkubq93yh2tGqU")</f>
        <v>1gmcte0l7mexRV3mcVKh44GtDozpoxvkubq93yh2tGqU</v>
      </c>
    </row>
    <row r="523" ht="15.75" customHeight="1">
      <c r="A523" t="str">
        <f>IFERROR(__xludf.DUMMYFUNCTION("""COMPUTED_VALUE"""),"Simulator")</f>
        <v>Simulator</v>
      </c>
      <c r="B523" t="str">
        <f>IFERROR(__xludf.DUMMYFUNCTION("""COMPUTED_VALUE"""),"VerifyTrades")</f>
        <v>VerifyTrades</v>
      </c>
      <c r="C523" t="str">
        <f>IFERROR(__xludf.DUMMYFUNCTION("""COMPUTED_VALUE"""),"1dCrY-kPvBYwHWZFEAPkwG7_-NIXiZCgTXwbmTvW0ejY")</f>
        <v>1dCrY-kPvBYwHWZFEAPkwG7_-NIXiZCgTXwbmTvW0ejY</v>
      </c>
    </row>
    <row r="524" ht="15.75" customHeight="1">
      <c r="A524" t="str">
        <f>IFERROR(__xludf.DUMMYFUNCTION("""COMPUTED_VALUE"""),"ShortLocate")</f>
        <v>ShortLocate</v>
      </c>
      <c r="B524" t="str">
        <f>IFERROR(__xludf.DUMMYFUNCTION("""COMPUTED_VALUE"""),"SetShortLocatePreferences")</f>
        <v>SetShortLocatePreferences</v>
      </c>
      <c r="C524" t="str">
        <f>IFERROR(__xludf.DUMMYFUNCTION("""COMPUTED_VALUE"""),"1YBhqpdTe5HhM37nCSMHR8xiY56Y5rQdUizIAR0ZhetA")</f>
        <v>1YBhqpdTe5HhM37nCSMHR8xiY56Y5rQdUizIAR0ZhetA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IFERROR(__xludf.DUMMYFUNCTION("""COMPUTED_VALUE"""),"GetSymbolData")</f>
        <v>GetSymbolData</v>
      </c>
      <c r="C525" t="str">
        <f>IFERROR(__xludf.DUMMYFUNCTION("""COMPUTED_VALUE"""),"1DkMDvYHJVI0PJ-rTpp2qT_DByDKjy7Jk0saOYBb6-mU")</f>
        <v>1DkMDvYHJVI0PJ-rTpp2qT_DByDKjy7Jk0saOYBb6-mU</v>
      </c>
    </row>
    <row r="526" ht="15.75" customHeight="1">
      <c r="A526" t="str">
        <f>IFERROR(__xludf.DUMMYFUNCTION("""COMPUTED_VALUE"""),"SecurityMaster")</f>
        <v>SecurityMaster</v>
      </c>
      <c r="B526" t="str">
        <f>IFERROR(__xludf.DUMMYFUNCTION("""COMPUTED_VALUE"""),"EditSMData")</f>
        <v>EditSMData</v>
      </c>
      <c r="C526" t="str">
        <f>IFERROR(__xludf.DUMMYFUNCTION("""COMPUTED_VALUE"""),"1d9VnMnman_DekbWVZZe1TyFq1K7qIz4-u3Ho348l7NQ")</f>
        <v>1d9VnMnman_DekbWVZZe1TyFq1K7qIz4-u3Ho348l7NQ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IFERROR(__xludf.DUMMYFUNCTION("""COMPUTED_VALUE"""),"RestartRuleMediator")</f>
        <v>RestartRuleMediator</v>
      </c>
      <c r="C527" t="str">
        <f>IFERROR(__xludf.DUMMYFUNCTION("""COMPUTED_VALUE"""),"1x9o8wpvtq-vnalvhw9-bSPFTvsAgLuSBv39sk-__sqA")</f>
        <v>1x9o8wpvtq-vnalvhw9-bSPFTvsAgLuSBv39sk-__sqA</v>
      </c>
    </row>
    <row r="528" ht="15.75" customHeight="1">
      <c r="A528" t="str">
        <f>IFERROR(__xludf.DUMMYFUNCTION("""COMPUTED_VALUE"""),"Compliance")</f>
        <v>Compliance</v>
      </c>
      <c r="B528" t="str">
        <f>IFERROR(__xludf.DUMMYFUNCTION("""COMPUTED_VALUE"""),"VerifyAggAccountSymbolWithNav")</f>
        <v>VerifyAggAccountSymbolWithNav</v>
      </c>
      <c r="C528" t="str">
        <f>IFERROR(__xludf.DUMMYFUNCTION("""COMPUTED_VALUE"""),"1QnRdwOkq7zW-9t1KpCO8lLG9e-abFT1Hi2jBNJs6XSQ")</f>
        <v>1QnRdwOkq7zW-9t1KpCO8lLG9e-abFT1Hi2jBNJs6XSQ</v>
      </c>
    </row>
    <row r="529" ht="15.75" customHeight="1">
      <c r="A529" t="str">
        <f>IFERROR(__xludf.DUMMYFUNCTION("""COMPUTED_VALUE"""),"Admin")</f>
        <v>Admin</v>
      </c>
      <c r="B529" t="str">
        <f>IFERROR(__xludf.DUMMYFUNCTION("""COMPUTED_VALUE"""),"SetComplianceAlert")</f>
        <v>SetComplianceAlert</v>
      </c>
      <c r="C529" t="str">
        <f>IFERROR(__xludf.DUMMYFUNCTION("""COMPUTED_VALUE"""),"1w3Tl0jhDzxZ-1bnuGo4OGQ5EoVFrAYr0TQ6Xl0YgpAY")</f>
        <v>1w3Tl0jhDzxZ-1bnuGo4OGQ5EoVFrAYr0TQ6Xl0YgpAY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IFERROR(__xludf.DUMMYFUNCTION("""COMPUTED_VALUE"""),"ReloadOrderFromBlotter")</f>
        <v>ReloadOrderFromBlotter</v>
      </c>
      <c r="C530" t="str">
        <f>IFERROR(__xludf.DUMMYFUNCTION("""COMPUTED_VALUE"""),"1qE7n9le_EHMocRkBbKlAcMbopbxmR7c6Nd_yVObz5Hc")</f>
        <v>1qE7n9le_EHMocRkBbKlAcMbopbxmR7c6Nd_yVObz5Hc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IFERROR(__xludf.DUMMYFUNCTION("""COMPUTED_VALUE"""),"ReloadOrderFromSubOrder")</f>
        <v>ReloadOrderFromSubOrder</v>
      </c>
      <c r="C531" t="str">
        <f>IFERROR(__xludf.DUMMYFUNCTION("""COMPUTED_VALUE"""),"1g0ptpj616n-M3tdgp6QODnakxqVbRiuaH5fglhhWvUA")</f>
        <v>1g0ptpj616n-M3tdgp6QODnakxqVbRiuaH5fglhhWvUA</v>
      </c>
    </row>
    <row r="532" ht="15.75" customHeight="1">
      <c r="A532" t="str">
        <f>IFERROR(__xludf.DUMMYFUNCTION("""COMPUTED_VALUE"""),"Blotter")</f>
        <v>Blotter</v>
      </c>
      <c r="B532" t="str">
        <f>IFERROR(__xludf.DUMMYFUNCTION("""COMPUTED_VALUE"""),"ReloadOrderFromWorkingSubs")</f>
        <v>ReloadOrderFromWorkingSubs</v>
      </c>
      <c r="C532" t="str">
        <f>IFERROR(__xludf.DUMMYFUNCTION("""COMPUTED_VALUE"""),"1XQ4pQr3fnuG-wfebHJWeoAU_oWraVvaEoq5vxfmeyFU")</f>
        <v>1XQ4pQr3fnuG-wfebHJWeoAU_oWraVvaEoq5vxfmeyFU</v>
      </c>
    </row>
    <row r="533" ht="15.75" customHeight="1">
      <c r="A533" t="str">
        <f>IFERROR(__xludf.DUMMYFUNCTION("""COMPUTED_VALUE"""),"Closing")</f>
        <v>Closing</v>
      </c>
      <c r="B533" t="str">
        <f>IFERROR(__xludf.DUMMYFUNCTION("""COMPUTED_VALUE"""),"AutoExercise")</f>
        <v>AutoExercise</v>
      </c>
      <c r="C533" t="str">
        <f>IFERROR(__xludf.DUMMYFUNCTION("""COMPUTED_VALUE"""),"1txUo3R71Idwek_WSkxDmfa85jvmU4skpklkunC9l4to")</f>
        <v>1txUo3R71Idwek_WSkxDmfa85jvmU4skpklkunC9l4to</v>
      </c>
    </row>
    <row r="534" ht="15.75" customHeight="1">
      <c r="A534" t="str">
        <f>IFERROR(__xludf.DUMMYFUNCTION("""COMPUTED_VALUE"""),"PortfolioManagement")</f>
        <v>PortfolioManagement</v>
      </c>
      <c r="B534" t="str">
        <f>IFERROR(__xludf.DUMMYFUNCTION("""COMPUTED_VALUE"""),"IncreasePositionFromPM")</f>
        <v>IncreasePositionFromPM</v>
      </c>
      <c r="C534" t="str">
        <f>IFERROR(__xludf.DUMMYFUNCTION("""COMPUTED_VALUE"""),"1jo5CsRlvFnrD55hhWEgqFOiGuhY6UoAWRWk9ysrekJ4")</f>
        <v>1jo5CsRlvFnrD55hhWEgqFOiGuhY6UoAWRWk9ysrekJ4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IFERROR(__xludf.DUMMYFUNCTION("""COMPUTED_VALUE"""),"AddOptionTrade")</f>
        <v>AddOptionTrade</v>
      </c>
      <c r="C535" t="str">
        <f>IFERROR(__xludf.DUMMYFUNCTION("""COMPUTED_VALUE"""),"17x5jnRAVCvQUGHBhgiiVTUeAomMG3s-WN918W8i78RY")</f>
        <v>17x5jnRAVCvQUGHBhgiiVTUeAomMG3s-WN918W8i78RY</v>
      </c>
    </row>
    <row r="536" ht="15.75" customHeight="1">
      <c r="A536" t="str">
        <f>IFERROR(__xludf.DUMMYFUNCTION("""COMPUTED_VALUE"""),"TradingTicket")</f>
        <v>TradingTicket</v>
      </c>
      <c r="B536" t="str">
        <f>IFERROR(__xludf.DUMMYFUNCTION("""COMPUTED_VALUE"""),"SendLiveBloomberg")</f>
        <v>SendLiveBloomberg</v>
      </c>
      <c r="C536" t="str">
        <f>IFERROR(__xludf.DUMMYFUNCTION("""COMPUTED_VALUE"""),"11bhQDFMxUdCHiZELuMSPwLt6XZavd_QvQB5Lxkm1XXE")</f>
        <v>11bhQDFMxUdCHiZELuMSPwLt6XZavd_QvQB5Lxkm1XXE</v>
      </c>
    </row>
    <row r="537" ht="15.75" customHeight="1">
      <c r="A537" t="str">
        <f>IFERROR(__xludf.DUMMYFUNCTION("""COMPUTED_VALUE"""),"Admin")</f>
        <v>Admin</v>
      </c>
      <c r="B537" t="str">
        <f>IFERROR(__xludf.DUMMYFUNCTION("""COMPUTED_VALUE"""),"UpdateExpirationDate")</f>
        <v>UpdateExpirationDate</v>
      </c>
      <c r="C537" t="str">
        <f>IFERROR(__xludf.DUMMYFUNCTION("""COMPUTED_VALUE"""),"1v_DBl1sU9-btwN2cjxlFI_LWcxrlSVvrF1KOzeJisPg")</f>
        <v>1v_DBl1sU9-btwN2cjxlFI_LWcxrlSVvrF1KOzeJisPg</v>
      </c>
    </row>
    <row r="538" ht="15.75" customHeight="1">
      <c r="A538" t="str">
        <f>IFERROR(__xludf.DUMMYFUNCTION("""COMPUTED_VALUE"""),"PricingInput")</f>
        <v>PricingInput</v>
      </c>
      <c r="B538" t="str">
        <f>IFERROR(__xludf.DUMMYFUNCTION("""COMPUTED_VALUE"""),"UncheckDividendYield")</f>
        <v>UncheckDividendYield</v>
      </c>
      <c r="C538" t="str">
        <f>IFERROR(__xludf.DUMMYFUNCTION("""COMPUTED_VALUE"""),"191PZhRplV1PcCALc5XtZSmsny5aT0kGj27fH7ERiAd8")</f>
        <v>191PZhRplV1PcCALc5XtZSmsny5aT0kGj27fH7ERiAd8</v>
      </c>
    </row>
    <row r="539" ht="15.75" customHeight="1">
      <c r="A539" t="str">
        <f>IFERROR(__xludf.DUMMYFUNCTION("""COMPUTED_VALUE"""),"Admin")</f>
        <v>Admin</v>
      </c>
      <c r="B539" t="str">
        <f>IFERROR(__xludf.DUMMYFUNCTION("""COMPUTED_VALUE"""),"RenameMasterStrategy")</f>
        <v>RenameMasterStrategy</v>
      </c>
      <c r="C539" t="str">
        <f>IFERROR(__xludf.DUMMYFUNCTION("""COMPUTED_VALUE"""),"1rUVERdbqvBECNyG_BrwWmTnx6C02IGItQZFJkw5ZzvM")</f>
        <v>1rUVERdbqvBECNyG_BrwWmTnx6C02IGItQZFJkw5ZzvM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IFERROR(__xludf.DUMMYFUNCTION("""COMPUTED_VALUE"""),"SelectFills")</f>
        <v>SelectFills</v>
      </c>
      <c r="C540" t="str">
        <f>IFERROR(__xludf.DUMMYFUNCTION("""COMPUTED_VALUE"""),"1Ies-dH6F3ega-0G78bGC6O4wv2KeaxZVCOrQ36yBSlQ")</f>
        <v>1Ies-dH6F3ega-0G78bGC6O4wv2KeaxZVCOrQ36yBSlQ</v>
      </c>
    </row>
    <row r="541" ht="15.75" customHeight="1">
      <c r="A541" t="str">
        <f>IFERROR(__xludf.DUMMYFUNCTION("""COMPUTED_VALUE"""),"Blotter")</f>
        <v>Blotter</v>
      </c>
      <c r="B541" t="str">
        <f>IFERROR(__xludf.DUMMYFUNCTION("""COMPUTED_VALUE"""),"ModifyFills")</f>
        <v>ModifyFills</v>
      </c>
      <c r="C541" t="str">
        <f>IFERROR(__xludf.DUMMYFUNCTION("""COMPUTED_VALUE"""),"1MILvcLzeuv6xKRk3qd4Sxn9N81mZ-zAP1j_d22RRaRk")</f>
        <v>1MILvcLzeuv6xKRk3qd4Sxn9N81mZ-zAP1j_d22RRaRk</v>
      </c>
    </row>
    <row r="542" ht="15.75" customHeight="1">
      <c r="A542" t="str">
        <f>IFERROR(__xludf.DUMMYFUNCTION("""COMPUTED_VALUE"""),"PranaClient")</f>
        <v>PranaClient</v>
      </c>
      <c r="B542" t="str">
        <f>IFERROR(__xludf.DUMMYFUNCTION("""COMPUTED_VALUE"""),"PranaClient")</f>
        <v>PranaClient</v>
      </c>
      <c r="C542" t="str">
        <f>IFERROR(__xludf.DUMMYFUNCTION("""COMPUTED_VALUE"""),"1WDFAjSIlOFsNX0LLYwhJaUkTKf6rViDpcTcizTr7tkE")</f>
        <v>1WDFAjSIlOFsNX0LLYwhJaUkTKf6rViDpcTcizTr7tkE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IFERROR(__xludf.DUMMYFUNCTION("""COMPUTED_VALUE"""),"EditMultipleCloseQuantity")</f>
        <v>EditMultipleCloseQuantity</v>
      </c>
      <c r="C543" t="str">
        <f>IFERROR(__xludf.DUMMYFUNCTION("""COMPUTED_VALUE"""),"1As4aK9TB7BNLyLzv833qnm_81Y9C10iVC1t_pVb_g4o")</f>
        <v>1As4aK9TB7BNLyLzv833qnm_81Y9C10iVC1t_pVb_g4o</v>
      </c>
    </row>
    <row r="544" ht="15.75" customHeight="1">
      <c r="A544" t="str">
        <f>IFERROR(__xludf.DUMMYFUNCTION("""COMPUTED_VALUE"""),"Closing")</f>
        <v>Closing</v>
      </c>
      <c r="B544" t="str">
        <f>IFERROR(__xludf.DUMMYFUNCTION("""COMPUTED_VALUE"""),"ManualCloseOrder")</f>
        <v>ManualCloseOrder</v>
      </c>
      <c r="C544" t="str">
        <f>IFERROR(__xludf.DUMMYFUNCTION("""COMPUTED_VALUE"""),"1Z6VinSFfvyzX51UkxNQ57jx1V4d_2r5QgnF-82XZiII")</f>
        <v>1Z6VinSFfvyzX51UkxNQ57jx1V4d_2r5QgnF-82XZiII</v>
      </c>
    </row>
    <row r="545" ht="15.75" customHeight="1">
      <c r="A545" t="str">
        <f>IFERROR(__xludf.DUMMYFUNCTION("""COMPUTED_VALUE"""),"Admin")</f>
        <v>Admin</v>
      </c>
      <c r="B545" t="str">
        <f>IFERROR(__xludf.DUMMYFUNCTION("""COMPUTED_VALUE"""),"SetTTUIAdminPreferences")</f>
        <v>SetTTUIAdminPreferences</v>
      </c>
      <c r="C545" t="str">
        <f>IFERROR(__xludf.DUMMYFUNCTION("""COMPUTED_VALUE"""),"1Xoytpjlm_uCbH7E2OBVyA5cpiEdagmLynZS77w0sB9E")</f>
        <v>1Xoytpjlm_uCbH7E2OBVyA5cpiEdagmLynZS77w0sB9E</v>
      </c>
    </row>
    <row r="546" ht="15.75" customHeight="1">
      <c r="A546" t="str">
        <f>IFERROR(__xludf.DUMMYFUNCTION("""COMPUTED_VALUE"""),"Closing")</f>
        <v>Closing</v>
      </c>
      <c r="B546" t="str">
        <f>IFERROR(__xludf.DUMMYFUNCTION("""COMPUTED_VALUE"""),"PreviewDataWithFilters")</f>
        <v>PreviewDataWithFilters</v>
      </c>
      <c r="C546" t="str">
        <f>IFERROR(__xludf.DUMMYFUNCTION("""COMPUTED_VALUE"""),"1KuYiSB26XWBfbzb75TDdM5e9oYb3vnk75drHSH0LnqY")</f>
        <v>1KuYiSB26XWBfbzb75TDdM5e9oYb3vnk75drHSH0LnqY</v>
      </c>
    </row>
    <row r="547" ht="15.75" customHeight="1">
      <c r="A547" t="str">
        <f>IFERROR(__xludf.DUMMYFUNCTION("""COMPUTED_VALUE"""),"TradingTicket")</f>
        <v>TradingTicket</v>
      </c>
      <c r="B547" t="str">
        <f>IFERROR(__xludf.DUMMYFUNCTION("""COMPUTED_VALUE"""),"ViewAllocation")</f>
        <v>ViewAllocation</v>
      </c>
      <c r="C547" t="str">
        <f>IFERROR(__xludf.DUMMYFUNCTION("""COMPUTED_VALUE"""),"1lByE4-9oGLqgyjwm136U-2hfBqhRA_J-WHj8Eo1iTAo")</f>
        <v>1lByE4-9oGLqgyjwm136U-2hfBqhRA_J-WHj8Eo1iTAo</v>
      </c>
    </row>
    <row r="548" ht="15.75" customHeight="1">
      <c r="A548" t="str">
        <f>IFERROR(__xludf.DUMMYFUNCTION("""COMPUTED_VALUE"""),"Admin")</f>
        <v>Admin</v>
      </c>
      <c r="B548" t="str">
        <f>IFERROR(__xludf.DUMMYFUNCTION("""COMPUTED_VALUE"""),"UpdateSecFee")</f>
        <v>UpdateSecFee</v>
      </c>
      <c r="C548" t="str">
        <f>IFERROR(__xludf.DUMMYFUNCTION("""COMPUTED_VALUE"""),"1gRoCh9m9NqIGTjNnEl44mGE3VScdhFYZFIGauMOiu0A")</f>
        <v>1gRoCh9m9NqIGTjNnEl44mGE3VScdhFYZFIGauMOiu0A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IFERROR(__xludf.DUMMYFUNCTION("""COMPUTED_VALUE"""),"CreateClosingTemplate")</f>
        <v>CreateClosingTemplate</v>
      </c>
      <c r="C549" t="str">
        <f>IFERROR(__xludf.DUMMYFUNCTION("""COMPUTED_VALUE"""),"1jfp8aZqh3UdVRZlAjBYQgJyHqTyBbhFc4uHQA7y9krs")</f>
        <v>1jfp8aZqh3UdVRZlAjBYQgJyHqTyBbhFc4uHQA7y9krs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IFERROR(__xludf.DUMMYFUNCTION("""COMPUTED_VALUE"""),"CreateUnwindingTemplate")</f>
        <v>CreateUnwindingTemplate</v>
      </c>
      <c r="C550" t="str">
        <f>IFERROR(__xludf.DUMMYFUNCTION("""COMPUTED_VALUE"""),"1Mu3QSS9ja4VJBNwHgxOrColyJvnFp-9taHs7WERfoGA")</f>
        <v>1Mu3QSS9ja4VJBNwHgxOrColyJvnFp-9taHs7WERfoGA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IFERROR(__xludf.DUMMYFUNCTION("""COMPUTED_VALUE"""),"EditTemplate")</f>
        <v>EditTemplate</v>
      </c>
      <c r="C551" t="str">
        <f>IFERROR(__xludf.DUMMYFUNCTION("""COMPUTED_VALUE"""),"1M-9P8q5tiKJgPHUTttNF6nknqVv2KelBDn-DmSjTqzE")</f>
        <v>1M-9P8q5tiKJgPHUTttNF6nknqVv2KelBDn-DmSjTqzE</v>
      </c>
    </row>
    <row r="552" ht="15.75" customHeight="1">
      <c r="A552" t="str">
        <f>IFERROR(__xludf.DUMMYFUNCTION("""COMPUTED_VALUE"""),"Closing")</f>
        <v>Closing</v>
      </c>
      <c r="B552" t="str">
        <f>IFERROR(__xludf.DUMMYFUNCTION("""COMPUTED_VALUE"""),"DeleteTemplate")</f>
        <v>DeleteTemplate</v>
      </c>
      <c r="C552" t="str">
        <f>IFERROR(__xludf.DUMMYFUNCTION("""COMPUTED_VALUE"""),"125HVLz9JsDfW-RasFrXrQbkmpfBgoLNIwAOq-tzTlKg")</f>
        <v>125HVLz9JsDfW-RasFrXrQbkmpfBgoLNIwAOq-tzTlKg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IFERROR(__xludf.DUMMYFUNCTION("""COMPUTED_VALUE"""),"AllocationAuditTrail")</f>
        <v>AllocationAuditTrail</v>
      </c>
      <c r="C553" t="str">
        <f>IFERROR(__xludf.DUMMYFUNCTION("""COMPUTED_VALUE"""),"10yWz7qGDCZSmNciBeD3O041xErneAlctCAKUTSUMCjo")</f>
        <v>10yWz7qGDCZSmNciBeD3O041xErneAlctCAKUTSUMCjo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IFERROR(__xludf.DUMMYFUNCTION("""COMPUTED_VALUE"""),"GetAuditTrailData")</f>
        <v>GetAuditTrailData</v>
      </c>
      <c r="C554" t="str">
        <f>IFERROR(__xludf.DUMMYFUNCTION("""COMPUTED_VALUE"""),"1tE0JmmhLdBJdhU5UVnPXGBlkR2I3vOjQv07gU21GvxE")</f>
        <v>1tE0JmmhLdBJdhU5UVnPXGBlkR2I3vOjQv07gU21GvxE</v>
      </c>
    </row>
    <row r="555" ht="15.75" customHeight="1">
      <c r="A555" t="str">
        <f>IFERROR(__xludf.DUMMYFUNCTION("""COMPUTED_VALUE"""),"Allocation")</f>
        <v>Allocation</v>
      </c>
      <c r="B555" t="str">
        <f>IFERROR(__xludf.DUMMYFUNCTION("""COMPUTED_VALUE"""),"CheckAuditTrailData")</f>
        <v>CheckAuditTrailData</v>
      </c>
      <c r="C555" t="str">
        <f>IFERROR(__xludf.DUMMYFUNCTION("""COMPUTED_VALUE"""),"12-0bH70bYN6Seh10B26EVNX7irTpsc_sZyluYAHwjQc")</f>
        <v>12-0bH70bYN6Seh10B26EVNX7irTpsc_sZyluYAHwjQc</v>
      </c>
    </row>
    <row r="556" ht="15.75" customHeight="1">
      <c r="A556" t="str">
        <f>IFERROR(__xludf.DUMMYFUNCTION("""COMPUTED_VALUE"""),"Closing")</f>
        <v>Closing</v>
      </c>
      <c r="B556" t="str">
        <f>IFERROR(__xludf.DUMMYFUNCTION("""COMPUTED_VALUE"""),"RunTemplate")</f>
        <v>RunTemplate</v>
      </c>
      <c r="C556" t="str">
        <f>IFERROR(__xludf.DUMMYFUNCTION("""COMPUTED_VALUE"""),"1bVzO569ANMee7krdBrWkFhCZKN5hTw6usYeUmdMDkzI")</f>
        <v>1bVzO569ANMee7krdBrWkFhCZKN5hTw6usYeUmdMDkzI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IFERROR(__xludf.DUMMYFUNCTION("""COMPUTED_VALUE"""),"EnterEquity")</f>
        <v>EnterEquity</v>
      </c>
      <c r="C557" t="str">
        <f>IFERROR(__xludf.DUMMYFUNCTION("""COMPUTED_VALUE"""),"1gNFsXBL_FJJrxJtDO2zjzVWu9qT_j1bzsfLqt4p-_Fo")</f>
        <v>1gNFsXBL_FJJrxJtDO2zjzVWu9qT_j1bzsfLqt4p-_Fo</v>
      </c>
    </row>
    <row r="558" ht="15.75" customHeight="1">
      <c r="A558" t="str">
        <f>IFERROR(__xludf.DUMMYFUNCTION("""COMPUTED_VALUE"""),"SymbolLookup")</f>
        <v>SymbolLookup</v>
      </c>
      <c r="B558" t="str">
        <f>IFERROR(__xludf.DUMMYFUNCTION("""COMPUTED_VALUE"""),"UpdateSecurityInfoOnSM")</f>
        <v>UpdateSecurityInfoOnSM</v>
      </c>
      <c r="C558" t="str">
        <f>IFERROR(__xludf.DUMMYFUNCTION("""COMPUTED_VALUE"""),"1RAgAbVa3RJzX7cn7Q8rWnjjzhfqmjIR64sJ84ZIl6PU")</f>
        <v>1RAgAbVa3RJzX7cn7Q8rWnjjzhfqmjIR64sJ84ZIl6PU</v>
      </c>
    </row>
    <row r="559" ht="15.75" customHeight="1">
      <c r="A559" t="str">
        <f>IFERROR(__xludf.DUMMYFUNCTION("""COMPUTED_VALUE"""),"Blotter")</f>
        <v>Blotter</v>
      </c>
      <c r="B559" t="str">
        <f>IFERROR(__xludf.DUMMYFUNCTION("""COMPUTED_VALUE"""),"AllocateFromBlotter")</f>
        <v>AllocateFromBlotter</v>
      </c>
      <c r="C559" t="str">
        <f>IFERROR(__xludf.DUMMYFUNCTION("""COMPUTED_VALUE"""),"1GsnTQHJQ7cVEizrryoUXk5eXeK0x0migAZPTN4d4rNQ")</f>
        <v>1GsnTQHJQ7cVEizrryoUXk5eXeK0x0migAZPTN4d4rNQ</v>
      </c>
    </row>
    <row r="560" ht="15.75" customHeight="1">
      <c r="A560" t="str">
        <f>IFERROR(__xludf.DUMMYFUNCTION("""COMPUTED_VALUE"""),"Admin")</f>
        <v>Admin</v>
      </c>
      <c r="B560" t="str">
        <f>IFERROR(__xludf.DUMMYFUNCTION("""COMPUTED_VALUE"""),"UpdateFee")</f>
        <v>UpdateFee</v>
      </c>
      <c r="C560" t="str">
        <f>IFERROR(__xludf.DUMMYFUNCTION("""COMPUTED_VALUE"""),"1t-RYeXwDqpClPnSrtgjRvnnCBVV4IZrE5q5cPKHHLLU")</f>
        <v>1t-RYeXwDqpClPnSrtgjRvnnCBVV4IZrE5q5cPKHHLLU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IFERROR(__xludf.DUMMYFUNCTION("""COMPUTED_VALUE"""),"DeleteGroupWithOutSave")</f>
        <v>DeleteGroupWithOutSave</v>
      </c>
      <c r="C561" t="str">
        <f>IFERROR(__xludf.DUMMYFUNCTION("""COMPUTED_VALUE"""),"1iBGHDOTSzgrcmh6jUKtLpmkIWeAU7Bkq-hGCZgisALw")</f>
        <v>1iBGHDOTSzgrcmh6jUKtLpmkIWeAU7Bkq-hGCZgisALw</v>
      </c>
    </row>
    <row r="562" ht="15.75" customHeight="1">
      <c r="A562" t="str">
        <f>IFERROR(__xludf.DUMMYFUNCTION("""COMPUTED_VALUE"""),"Allocation")</f>
        <v>Allocation</v>
      </c>
      <c r="B562" t="str">
        <f>IFERROR(__xludf.DUMMYFUNCTION("""COMPUTED_VALUE"""),"CheckPreferences")</f>
        <v>CheckPreferences</v>
      </c>
      <c r="C562" t="str">
        <f>IFERROR(__xludf.DUMMYFUNCTION("""COMPUTED_VALUE"""),"1HVuVuvAGvAMqFZra8_Q_UePURkSApZwNJIWqtez9PKM")</f>
        <v>1HVuVuvAGvAMqFZra8_Q_UePURkSApZwNJIWqtez9PKM</v>
      </c>
    </row>
    <row r="563" ht="15.75" customHeight="1">
      <c r="A563" t="str">
        <f>IFERROR(__xludf.DUMMYFUNCTION("""COMPUTED_VALUE"""),"Rebalancer")</f>
        <v>Rebalancer</v>
      </c>
      <c r="B563" t="str">
        <f>IFERROR(__xludf.DUMMYFUNCTION("""COMPUTED_VALUE"""),"SymbologyChangeRB")</f>
        <v>SymbologyChangeRB</v>
      </c>
      <c r="C563" t="str">
        <f>IFERROR(__xludf.DUMMYFUNCTION("""COMPUTED_VALUE"""),"Undefined")</f>
        <v>Undefined</v>
      </c>
    </row>
    <row r="564" ht="15.75" customHeight="1">
      <c r="A564" t="str">
        <f>IFERROR(__xludf.DUMMYFUNCTION("""COMPUTED_VALUE"""),"TradingTicket")</f>
        <v>TradingTicket</v>
      </c>
      <c r="B564" t="str">
        <f>IFERROR(__xludf.DUMMYFUNCTION("""COMPUTED_VALUE"""),"CreateReplaceLiveOrder")</f>
        <v>CreateReplaceLiveOrder</v>
      </c>
      <c r="C564" t="str">
        <f>IFERROR(__xludf.DUMMYFUNCTION("""COMPUTED_VALUE"""),"1XwWb172lSyEQcY3jmIlN32DUfXzcpCX3TAaiFMrAW6Q")</f>
        <v>1XwWb172lSyEQcY3jmIlN32DUfXzcpCX3TAaiFMrAW6Q</v>
      </c>
    </row>
    <row r="565" ht="15.75" customHeight="1">
      <c r="A565" t="str">
        <f>IFERROR(__xludf.DUMMYFUNCTION("""COMPUTED_VALUE"""),"Admin")</f>
        <v>Admin</v>
      </c>
      <c r="B565" t="str">
        <f>IFERROR(__xludf.DUMMYFUNCTION("""COMPUTED_VALUE"""),"RevertingSMSharesOutValue")</f>
        <v>RevertingSMSharesOutValue</v>
      </c>
      <c r="C565" t="str">
        <f>IFERROR(__xludf.DUMMYFUNCTION("""COMPUTED_VALUE"""),"1UFQ_O137A9fYomG8U3DZi6u0aJOLhEdOb9uPd1XRGg4")</f>
        <v>1UFQ_O137A9fYomG8U3DZi6u0aJOLhEdOb9uPd1XRGg4</v>
      </c>
    </row>
    <row r="566" ht="15.75" customHeight="1">
      <c r="A566" t="str">
        <f>IFERROR(__xludf.DUMMYFUNCTION("""COMPUTED_VALUE"""),"SymbolLookup")</f>
        <v>SymbolLookup</v>
      </c>
      <c r="B566" t="str">
        <f>IFERROR(__xludf.DUMMYFUNCTION("""COMPUTED_VALUE"""),"TradeSymbolFromSM")</f>
        <v>TradeSymbolFromSM</v>
      </c>
      <c r="C566" t="str">
        <f>IFERROR(__xludf.DUMMYFUNCTION("""COMPUTED_VALUE"""),"1PNlRP_f9Ce4d39zh_JfxS1-IRQ2lZ9LmbDv-YNbW0ws")</f>
        <v>1PNlRP_f9Ce4d39zh_JfxS1-IRQ2lZ9LmbDv-YNbW0ws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IFERROR(__xludf.DUMMYFUNCTION("""COMPUTED_VALUE"""),"SelectAccountWiseAsset")</f>
        <v>SelectAccountWiseAsset</v>
      </c>
      <c r="C567" t="str">
        <f>IFERROR(__xludf.DUMMYFUNCTION("""COMPUTED_VALUE"""),"10MC6_i1BVoL1LzM9Lj5pQq11-DVZxi4lg6JmZyXndlA")</f>
        <v>10MC6_i1BVoL1LzM9Lj5pQq11-DVZxi4lg6JmZyXndlA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IFERROR(__xludf.DUMMYFUNCTION("""COMPUTED_VALUE"""),"VerifyCTData")</f>
        <v>VerifyCTData</v>
      </c>
      <c r="C568" t="str">
        <f>IFERROR(__xludf.DUMMYFUNCTION("""COMPUTED_VALUE"""),"1wwRMdxFwMzL4j6aOJK1awK-P3H5mg_73kIOYdQV-jzE")</f>
        <v>1wwRMdxFwMzL4j6aOJK1awK-P3H5mg_73kIOYdQV-jzE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IFERROR(__xludf.DUMMYFUNCTION("""COMPUTED_VALUE"""),"ExerciseAssignmentWithOutSave")</f>
        <v>ExerciseAssignmentWithOutSave</v>
      </c>
      <c r="C569" t="str">
        <f>IFERROR(__xludf.DUMMYFUNCTION("""COMPUTED_VALUE"""),"1ydTFRdCEiW0S4QjO_nq3U9QkZ_sElCJSRuC8YTFTmDM")</f>
        <v>1ydTFRdCEiW0S4QjO_nq3U9QkZ_sElCJSRuC8YTFTmDM</v>
      </c>
    </row>
    <row r="570" ht="15.75" customHeight="1">
      <c r="A570" t="str">
        <f>IFERROR(__xludf.DUMMYFUNCTION("""COMPUTED_VALUE"""),"Closing")</f>
        <v>Closing</v>
      </c>
      <c r="B570" t="str">
        <f>IFERROR(__xludf.DUMMYFUNCTION("""COMPUTED_VALUE"""),"SaveCTData")</f>
        <v>SaveCTData</v>
      </c>
      <c r="C570" t="str">
        <f>IFERROR(__xludf.DUMMYFUNCTION("""COMPUTED_VALUE"""),"1TyXEOncuetpBc6awaz-9e8qmzRPhspaacAFxbb1KuXk")</f>
        <v>1TyXEOncuetpBc6awaz-9e8qmzRPhspaacAFxbb1KuXk</v>
      </c>
    </row>
    <row r="571" ht="15.75" customHeight="1">
      <c r="A571" t="str">
        <f>IFERROR(__xludf.DUMMYFUNCTION("""COMPUTED_VALUE"""),"Allocation")</f>
        <v>Allocation</v>
      </c>
      <c r="B571" t="str">
        <f>IFERROR(__xludf.DUMMYFUNCTION("""COMPUTED_VALUE"""),"AllocateWithPopUp")</f>
        <v>AllocateWithPopUp</v>
      </c>
      <c r="C571" t="str">
        <f>IFERROR(__xludf.DUMMYFUNCTION("""COMPUTED_VALUE"""),"1ujrr9fe1BF5zNwGm3FQX-VQGjnK8-GTda2InZicXhr0")</f>
        <v>1ujrr9fe1BF5zNwGm3FQX-VQGjnK8-GTda2InZicXhr0</v>
      </c>
    </row>
    <row r="572" ht="15.75" customHeight="1">
      <c r="A572" t="str">
        <f>IFERROR(__xludf.DUMMYFUNCTION("""COMPUTED_VALUE"""),"TradingTicket")</f>
        <v>TradingTicket</v>
      </c>
      <c r="B572" t="str">
        <f>IFERROR(__xludf.DUMMYFUNCTION("""COMPUTED_VALUE"""),"CreateNewSubLiveOrder")</f>
        <v>CreateNewSubLiveOrder</v>
      </c>
      <c r="C572" t="str">
        <f>IFERROR(__xludf.DUMMYFUNCTION("""COMPUTED_VALUE"""),"1VZ3yefl1NzzIoTT3B2uyDuSCt5Koeutvqcmf9ljJY2s")</f>
        <v>1VZ3yefl1NzzIoTT3B2uyDuSCt5Koeutvqcmf9ljJY2s</v>
      </c>
    </row>
    <row r="573" ht="15.75" customHeight="1">
      <c r="A573" t="str">
        <f>IFERROR(__xludf.DUMMYFUNCTION("""COMPUTED_VALUE"""),"Blotter")</f>
        <v>Blotter</v>
      </c>
      <c r="B573" t="str">
        <f>IFERROR(__xludf.DUMMYFUNCTION("""COMPUTED_VALUE"""),"ViewPTTAllocationDetails")</f>
        <v>ViewPTTAllocationDetails</v>
      </c>
      <c r="C573" t="str">
        <f>IFERROR(__xludf.DUMMYFUNCTION("""COMPUTED_VALUE"""),"1zhdc8S2ATpongUWtw4_n_Ao2z4dmVK8NaK3KnXEZcVs")</f>
        <v>1zhdc8S2ATpongUWtw4_n_Ao2z4dmVK8NaK3KnXEZcVs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IFERROR(__xludf.DUMMYFUNCTION("""COMPUTED_VALUE"""),"RestartSQL")</f>
        <v>RestartSQL</v>
      </c>
      <c r="C574" t="str">
        <f>IFERROR(__xludf.DUMMYFUNCTION("""COMPUTED_VALUE"""),"1Tf2tkH3voMf7Bddd7JKWvwpP_UlMk-ToxSdRxfAD0jM")</f>
        <v>1Tf2tkH3voMf7Bddd7JKWvwpP_UlMk-ToxSdRxfAD0jM</v>
      </c>
    </row>
    <row r="575" ht="15.75" customHeight="1">
      <c r="A575" t="str">
        <f>IFERROR(__xludf.DUMMYFUNCTION("""COMPUTED_VALUE"""),"Admin")</f>
        <v>Admin</v>
      </c>
      <c r="B575" t="str">
        <f>IFERROR(__xludf.DUMMYFUNCTION("""COMPUTED_VALUE"""),"TradeAuditCleanUp")</f>
        <v>TradeAuditCleanUp</v>
      </c>
      <c r="C575" t="str">
        <f>IFERROR(__xludf.DUMMYFUNCTION("""COMPUTED_VALUE"""),"1I5ypN0xJd-5h0D0FV3MNW12oOCuKLopQXeYbU4uymsQ")</f>
        <v>1I5ypN0xJd-5h0D0FV3MNW12oOCuKLopQXeYbU4uymsQ</v>
      </c>
    </row>
    <row r="576" ht="15.75" customHeight="1">
      <c r="A576" t="str">
        <f>IFERROR(__xludf.DUMMYFUNCTION("""COMPUTED_VALUE"""),"Import")</f>
        <v>Import</v>
      </c>
      <c r="B576" t="str">
        <f>IFERROR(__xludf.DUMMYFUNCTION("""COMPUTED_VALUE"""),"SelectTradeOnImport")</f>
        <v>SelectTradeOnImport</v>
      </c>
      <c r="C576" t="str">
        <f>IFERROR(__xludf.DUMMYFUNCTION("""COMPUTED_VALUE"""),"1HjUosyUubSyBTOoMjfoEXPhhuwTE0zxlMg_E5M-35KI")</f>
        <v>1HjUosyUubSyBTOoMjfoEXPhhuwTE0zxlMg_E5M-35KI</v>
      </c>
    </row>
    <row r="577" ht="15.75" customHeight="1">
      <c r="A577" t="str">
        <f>IFERROR(__xludf.DUMMYFUNCTION("""COMPUTED_VALUE"""),"Allocation")</f>
        <v>Allocation</v>
      </c>
      <c r="B577" t="str">
        <f>IFERROR(__xludf.DUMMYFUNCTION("""COMPUTED_VALUE"""),"SelectAllRowsAllocated")</f>
        <v>SelectAllRowsAllocated</v>
      </c>
      <c r="C577" t="str">
        <f>IFERROR(__xludf.DUMMYFUNCTION("""COMPUTED_VALUE"""),"Undefined")</f>
        <v>Undefined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IFERROR(__xludf.DUMMYFUNCTION("""COMPUTED_VALUE"""),"FilterLongPositionGrid")</f>
        <v>FilterLongPositionGrid</v>
      </c>
      <c r="C578" t="str">
        <f>IFERROR(__xludf.DUMMYFUNCTION("""COMPUTED_VALUE"""),"1ntkjcw7jS8fAkXNT1tS7ljnkeomzfYY3hPmh4aD_sAA")</f>
        <v>1ntkjcw7jS8fAkXNT1tS7ljnkeomzfYY3hPmh4aD_sAA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IFERROR(__xludf.DUMMYFUNCTION("""COMPUTED_VALUE"""),"FilterShortPositionGrid")</f>
        <v>FilterShortPositionGrid</v>
      </c>
      <c r="C579" t="str">
        <f>IFERROR(__xludf.DUMMYFUNCTION("""COMPUTED_VALUE"""),"1fmfWmLW7JtnC3QwQKE2SYNBjpfVryomKbf8dddB6uHo")</f>
        <v>1fmfWmLW7JtnC3QwQKE2SYNBjpfVryomKbf8dddB6uHo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IFERROR(__xludf.DUMMYFUNCTION("""COMPUTED_VALUE"""),"FilterClosingGrid")</f>
        <v>FilterClosingGrid</v>
      </c>
      <c r="C580" t="str">
        <f>IFERROR(__xludf.DUMMYFUNCTION("""COMPUTED_VALUE"""),"1z_Tn21iZAmnP5WjmCfyv2uDZQ6_QCU53OGLuDkx8Oc4")</f>
        <v>1z_Tn21iZAmnP5WjmCfyv2uDZQ6_QCU53OGLuDkx8Oc4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IFERROR(__xludf.DUMMYFUNCTION("""COMPUTED_VALUE"""),"FilterUnexpiredGrid")</f>
        <v>FilterUnexpiredGrid</v>
      </c>
      <c r="C581" t="str">
        <f>IFERROR(__xludf.DUMMYFUNCTION("""COMPUTED_VALUE"""),"1xZ1BV6Hh4RBWqJJnN_kJeyL0fwG7Ahrr3S06JFmSoYg")</f>
        <v>1xZ1BV6Hh4RBWqJJnN_kJeyL0fwG7Ahrr3S06JFmSoYg</v>
      </c>
    </row>
    <row r="582" ht="15.75" customHeight="1">
      <c r="A582" t="str">
        <f>IFERROR(__xludf.DUMMYFUNCTION("""COMPUTED_VALUE"""),"Closing")</f>
        <v>Closing</v>
      </c>
      <c r="B582" t="str">
        <f>IFERROR(__xludf.DUMMYFUNCTION("""COMPUTED_VALUE"""),"FilterExpiredGrid")</f>
        <v>FilterExpiredGrid</v>
      </c>
      <c r="C582" t="str">
        <f>IFERROR(__xludf.DUMMYFUNCTION("""COMPUTED_VALUE"""),"1wHqenR3Gam1p0PqW3aulNwmgLPY_UioCzlLWNtUNPfA")</f>
        <v>1wHqenR3Gam1p0PqW3aulNwmgLPY_UioCzlLWNtUNPfA</v>
      </c>
    </row>
    <row r="583" ht="15.75" customHeight="1">
      <c r="A583" t="str">
        <f>IFERROR(__xludf.DUMMYFUNCTION("""COMPUTED_VALUE"""),"GeneralLedger")</f>
        <v>GeneralLedger</v>
      </c>
      <c r="B583" t="str">
        <f>IFERROR(__xludf.DUMMYFUNCTION("""COMPUTED_VALUE"""),"FilterCashTransactionGrid")</f>
        <v>FilterCashTransactionGrid</v>
      </c>
      <c r="C583" t="str">
        <f>IFERROR(__xludf.DUMMYFUNCTION("""COMPUTED_VALUE"""),"1dC0jq3TP8OpNNJ8iqYrIIpx_-wGyka9u3QG_vMPR6Jk")</f>
        <v>1dC0jq3TP8OpNNJ8iqYrIIpx_-wGyka9u3QG_vMPR6Jk</v>
      </c>
    </row>
    <row r="584" ht="15.75" customHeight="1">
      <c r="A584" t="str">
        <f>IFERROR(__xludf.DUMMYFUNCTION("""COMPUTED_VALUE"""),"Recon")</f>
        <v>Recon</v>
      </c>
      <c r="B584" t="str">
        <f>IFERROR(__xludf.DUMMYFUNCTION("""COMPUTED_VALUE"""),"VerifyApplicationData")</f>
        <v>VerifyApplicationData</v>
      </c>
      <c r="C584" t="str">
        <f>IFERROR(__xludf.DUMMYFUNCTION("""COMPUTED_VALUE"""),"12uaBilYuoqtrRW6_HDDP48tS7_jnEsipPeSiI04cKsU")</f>
        <v>12uaBilYuoqtrRW6_HDDP48tS7_jnEsipPeSiI04cKsU</v>
      </c>
    </row>
    <row r="585" ht="15.75" customHeight="1">
      <c r="A585" t="str">
        <f>IFERROR(__xludf.DUMMYFUNCTION("""COMPUTED_VALUE"""),"GeneralLedger")</f>
        <v>GeneralLedger</v>
      </c>
      <c r="B585" t="str">
        <f>IFERROR(__xludf.DUMMYFUNCTION("""COMPUTED_VALUE"""),"EditGridCashTransactions")</f>
        <v>EditGridCashTransactions</v>
      </c>
      <c r="C585" t="str">
        <f>IFERROR(__xludf.DUMMYFUNCTION("""COMPUTED_VALUE"""),"1DbIO0VY7xpdEigO0mZ-XsVT568tgFmOXTwVpApe1exI")</f>
        <v>1DbIO0VY7xpdEigO0mZ-XsVT568tgFmOXTwVpApe1exI</v>
      </c>
    </row>
    <row r="586" ht="15.75" customHeight="1">
      <c r="A586" t="str">
        <f>IFERROR(__xludf.DUMMYFUNCTION("""COMPUTED_VALUE"""),"Closing")</f>
        <v>Closing</v>
      </c>
      <c r="B586" t="str">
        <f>IFERROR(__xludf.DUMMYFUNCTION("""COMPUTED_VALUE"""),"UnwindAllClosingData")</f>
        <v>UnwindAllClosingData</v>
      </c>
      <c r="C586" t="str">
        <f>IFERROR(__xludf.DUMMYFUNCTION("""COMPUTED_VALUE"""),"1LaX9icgrLb7UfkgW9ctd7uQhtirYerCxwOcdswi3qJ4")</f>
        <v>1LaX9icgrLb7UfkgW9ctd7uQhtirYerCxwOcdswi3qJ4</v>
      </c>
    </row>
    <row r="587" ht="15.75" customHeight="1">
      <c r="A587" t="str">
        <f>IFERROR(__xludf.DUMMYFUNCTION("""COMPUTED_VALUE"""),"GeneralLedger")</f>
        <v>GeneralLedger</v>
      </c>
      <c r="B587" t="str">
        <f>IFERROR(__xludf.DUMMYFUNCTION("""COMPUTED_VALUE"""),"SaveCashTransaction")</f>
        <v>SaveCashTransaction</v>
      </c>
      <c r="C587" t="str">
        <f>IFERROR(__xludf.DUMMYFUNCTION("""COMPUTED_VALUE"""),"1C9P1HbY6Ro9lyEQ5ZR0swuE8ZsndB32hjwqmgHAPO48")</f>
        <v>1C9P1HbY6Ro9lyEQ5ZR0swuE8ZsndB32hjwqmgHAPO48</v>
      </c>
    </row>
    <row r="588" ht="15.75" customHeight="1">
      <c r="A588" t="str">
        <f>IFERROR(__xludf.DUMMYFUNCTION("""COMPUTED_VALUE"""),"ThirdParty")</f>
        <v>ThirdParty</v>
      </c>
      <c r="B588" t="str">
        <f>IFERROR(__xludf.DUMMYFUNCTION("""COMPUTED_VALUE"""),"ChangeThirdpartyDate")</f>
        <v>ChangeThirdpartyDate</v>
      </c>
      <c r="C588" t="str">
        <f>IFERROR(__xludf.DUMMYFUNCTION("""COMPUTED_VALUE"""),"1r1jHbvFBzvHIf55vHWyS1tZHMjEnQ-JSG4wuNkUdo8w")</f>
        <v>1r1jHbvFBzvHIf55vHWyS1tZHMjEnQ-JSG4wuNkUdo8w</v>
      </c>
    </row>
    <row r="589" ht="15.75" customHeight="1">
      <c r="A589" t="str">
        <f>IFERROR(__xludf.DUMMYFUNCTION("""COMPUTED_VALUE"""),"GeneralLedger")</f>
        <v>GeneralLedger</v>
      </c>
      <c r="B589" t="str">
        <f>IFERROR(__xludf.DUMMYFUNCTION("""COMPUTED_VALUE"""),"RunManualRevaluation")</f>
        <v>RunManualRevaluation</v>
      </c>
      <c r="C589" t="str">
        <f>IFERROR(__xludf.DUMMYFUNCTION("""COMPUTED_VALUE"""),"1IpFI6-6JOwbL8gM-udQe1oYtIYXeEUX23ACYlbw7CAY")</f>
        <v>1IpFI6-6JOwbL8gM-udQe1oYtIYXeEUX23ACYlbw7CAY</v>
      </c>
    </row>
    <row r="590" ht="15.75" customHeight="1">
      <c r="A590" t="str">
        <f>IFERROR(__xludf.DUMMYFUNCTION("""COMPUTED_VALUE"""),"SymbolLookup")</f>
        <v>SymbolLookup</v>
      </c>
      <c r="B590" t="str">
        <f>IFERROR(__xludf.DUMMYFUNCTION("""COMPUTED_VALUE"""),"AddSymbol")</f>
        <v>AddSymbol</v>
      </c>
      <c r="C590" t="str">
        <f>IFERROR(__xludf.DUMMYFUNCTION("""COMPUTED_VALUE"""),"1PUyWc_VM13xLUcyQtECH7mYIvYQznLYdEjD41p5ATvo")</f>
        <v>1PUyWc_VM13xLUcyQtECH7mYIvYQznLYdEjD41p5ATvo</v>
      </c>
    </row>
    <row r="591" ht="15.75" customHeight="1">
      <c r="A591" t="str">
        <f>IFERROR(__xludf.DUMMYFUNCTION("""COMPUTED_VALUE"""),"Admin")</f>
        <v>Admin</v>
      </c>
      <c r="B591" t="str">
        <f>IFERROR(__xludf.DUMMYFUNCTION("""COMPUTED_VALUE"""),"DeleteSymbolFromSM")</f>
        <v>DeleteSymbolFromSM</v>
      </c>
      <c r="C591" t="str">
        <f>IFERROR(__xludf.DUMMYFUNCTION("""COMPUTED_VALUE"""),"1UQGi8IiCImUPn2i6EU0ofTcyy_2hwKGgHnjxdlRJD1s")</f>
        <v>1UQGi8IiCImUPn2i6EU0ofTcyy_2hwKGgHnjxdlRJD1s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IFERROR(__xludf.DUMMYFUNCTION("""COMPUTED_VALUE"""),"AddSymbolToWatchlist")</f>
        <v>AddSymbolToWatchlist</v>
      </c>
      <c r="C592" t="str">
        <f>IFERROR(__xludf.DUMMYFUNCTION("""COMPUTED_VALUE"""),"1CWvtsX9WRwgsY7IPC9XXmj-zkwapfAoP4tauSGybyb8")</f>
        <v>1CWvtsX9WRwgsY7IPC9XXmj-zkwapfAoP4tauSGybyb8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IFERROR(__xludf.DUMMYFUNCTION("""COMPUTED_VALUE"""),"TradeFromWatchlist")</f>
        <v>TradeFromWatchlist</v>
      </c>
      <c r="C593" t="str">
        <f>IFERROR(__xludf.DUMMYFUNCTION("""COMPUTED_VALUE"""),"1_gr9yAcv8XFCvsAga7kXC2kGLcr4Um8jwnsOhyTDua8")</f>
        <v>1_gr9yAcv8XFCvsAga7kXC2kGLcr4Um8jwnsOhyTDua8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IFERROR(__xludf.DUMMYFUNCTION("""COMPUTED_VALUE"""),"MultiTradeFromWatchlist")</f>
        <v>MultiTradeFromWatchlist</v>
      </c>
      <c r="C594" t="str">
        <f>IFERROR(__xludf.DUMMYFUNCTION("""COMPUTED_VALUE"""),"1rHIT8qxxt2ksNiLFI6Ig6ZXBYvp7yIuHfgc6AYFwYbs")</f>
        <v>1rHIT8qxxt2ksNiLFI6Ig6ZXBYvp7yIuHfgc6AYFwYbs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IFERROR(__xludf.DUMMYFUNCTION("""COMPUTED_VALUE"""),"DeleteSymbolFromWatchlist")</f>
        <v>DeleteSymbolFromWatchlist</v>
      </c>
      <c r="C595" t="str">
        <f>IFERROR(__xludf.DUMMYFUNCTION("""COMPUTED_VALUE"""),"1dTWLDYGXBeQl6LezEPzd60kFiyaea6looT7M4rwMv2I")</f>
        <v>1dTWLDYGXBeQl6LezEPzd60kFiyaea6looT7M4rwMv2I</v>
      </c>
    </row>
    <row r="596" ht="15.75" customHeight="1">
      <c r="A596" t="str">
        <f>IFERROR(__xludf.DUMMYFUNCTION("""COMPUTED_VALUE"""),"Watchlist")</f>
        <v>Watchlist</v>
      </c>
      <c r="B596" t="str">
        <f>IFERROR(__xludf.DUMMYFUNCTION("""COMPUTED_VALUE"""),"VerifySymbolsOnWatchlist")</f>
        <v>VerifySymbolsOnWatchlist</v>
      </c>
      <c r="C596" t="str">
        <f>IFERROR(__xludf.DUMMYFUNCTION("""COMPUTED_VALUE"""),"1znuLT8W_GL5u40WjJBKcPVMDYjEc2dCFxwQ_2yTGzRk")</f>
        <v>1znuLT8W_GL5u40WjJBKcPVMDYjEc2dCFxwQ_2yTGzRk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IFERROR(__xludf.DUMMYFUNCTION("""COMPUTED_VALUE"""),"VerifyAppMatchedData")</f>
        <v>VerifyAppMatchedData</v>
      </c>
      <c r="C597" t="str">
        <f>IFERROR(__xludf.DUMMYFUNCTION("""COMPUTED_VALUE"""),"1FcLdR_WnLZQHNZAb7fo31xvViPBiukK-X3k3IfDUT5E")</f>
        <v>1FcLdR_WnLZQHNZAb7fo31xvViPBiukK-X3k3IfDUT5E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IFERROR(__xludf.DUMMYFUNCTION("""COMPUTED_VALUE"""),"VerifyAppUnmatchedData")</f>
        <v>VerifyAppUnmatchedData</v>
      </c>
      <c r="C598" t="str">
        <f>IFERROR(__xludf.DUMMYFUNCTION("""COMPUTED_VALUE"""),"1xeVMiuwuNo3S6RUbUKWd8vGC2KydXNR7P51U89_3Yj4")</f>
        <v>1xeVMiuwuNo3S6RUbUKWd8vGC2KydXNR7P51U89_3Yj4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IFERROR(__xludf.DUMMYFUNCTION("""COMPUTED_VALUE"""),"VerifyPBMatchedData")</f>
        <v>VerifyPBMatchedData</v>
      </c>
      <c r="C599" t="str">
        <f>IFERROR(__xludf.DUMMYFUNCTION("""COMPUTED_VALUE"""),"1Wf4tlPp9DuAnbeTQJSJP1jFGY3nQl4LX2Px79JxbDdo")</f>
        <v>1Wf4tlPp9DuAnbeTQJSJP1jFGY3nQl4LX2Px79JxbDdo</v>
      </c>
    </row>
    <row r="600" ht="15.75" customHeight="1">
      <c r="A600" t="str">
        <f>IFERROR(__xludf.DUMMYFUNCTION("""COMPUTED_VALUE"""),"Recon")</f>
        <v>Recon</v>
      </c>
      <c r="B600" t="str">
        <f>IFERROR(__xludf.DUMMYFUNCTION("""COMPUTED_VALUE"""),"VerifyPBUnmatchedData")</f>
        <v>VerifyPBUnmatchedData</v>
      </c>
      <c r="C600" t="str">
        <f>IFERROR(__xludf.DUMMYFUNCTION("""COMPUTED_VALUE"""),"1SyeWrX5C-iBb5GKLRjVajC7dDI8Z7jALI4Z_58qM1t0")</f>
        <v>1SyeWrX5C-iBb5GKLRjVajC7dDI8Z7jALI4Z_58qM1t0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IFERROR(__xludf.DUMMYFUNCTION("""COMPUTED_VALUE"""),"OpenQtt")</f>
        <v>OpenQtt</v>
      </c>
      <c r="C601" t="str">
        <f>IFERROR(__xludf.DUMMYFUNCTION("""COMPUTED_VALUE"""),"1fxUsSbuYzzoFKbiPI8jP3qpfTtLIg38iXf_eO_-wiMQ")</f>
        <v>1fxUsSbuYzzoFKbiPI8jP3qpfTtLIg38iXf_eO_-wiMQ</v>
      </c>
    </row>
    <row r="602" ht="15.75" customHeight="1">
      <c r="A602" t="str">
        <f>IFERROR(__xludf.DUMMYFUNCTION("""COMPUTED_VALUE"""),"QTT")</f>
        <v>QTT</v>
      </c>
      <c r="B602" t="str">
        <f>IFERROR(__xludf.DUMMYFUNCTION("""COMPUTED_VALUE"""),"TradeFromQTT")</f>
        <v>TradeFromQTT</v>
      </c>
      <c r="C602" t="str">
        <f>IFERROR(__xludf.DUMMYFUNCTION("""COMPUTED_VALUE"""),"1c8z9uEtlJwmoxKTHOI7GTZUAANw-oZmQlhfT_OI-_oE")</f>
        <v>1c8z9uEtlJwmoxKTHOI7GTZUAANw-oZmQlhfT_OI-_oE</v>
      </c>
    </row>
    <row r="603" ht="15.75" customHeight="1">
      <c r="A603" t="str">
        <f>IFERROR(__xludf.DUMMYFUNCTION("""COMPUTED_VALUE"""),"TradingTicket")</f>
        <v>TradingTicket</v>
      </c>
      <c r="B603" t="str">
        <f>IFERROR(__xludf.DUMMYFUNCTION("""COMPUTED_VALUE"""),"VerifyBasketExport")</f>
        <v>VerifyBasketExport</v>
      </c>
      <c r="C603" t="str">
        <f>IFERROR(__xludf.DUMMYFUNCTION("""COMPUTED_VALUE"""),"1BncbZbC0fRvgdJBGqgOpno2NiNysxguEOKqQ_wx4rRM")</f>
        <v>1BncbZbC0fRvgdJBGqgOpno2NiNysxguEOKqQ_wx4rRM</v>
      </c>
    </row>
    <row r="604" ht="15.75" customHeight="1">
      <c r="A604" t="str">
        <f>IFERROR(__xludf.DUMMYFUNCTION("""COMPUTED_VALUE"""),"Admin")</f>
        <v>Admin</v>
      </c>
      <c r="B604" t="str">
        <f>IFERROR(__xludf.DUMMYFUNCTION("""COMPUTED_VALUE"""),"SetCompliancePermission")</f>
        <v>SetCompliancePermission</v>
      </c>
      <c r="C604" t="str">
        <f>IFERROR(__xludf.DUMMYFUNCTION("""COMPUTED_VALUE"""),"1-pNim8pz7Yv4cffmGN5HGGavnpzLzpq_5kA4AE20NYM")</f>
        <v>1-pNim8pz7Yv4cffmGN5HGGavnpzLzpq_5kA4AE20NYM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IFERROR(__xludf.DUMMYFUNCTION("""COMPUTED_VALUE"""),"ApproveorRejectpendingapproval")</f>
        <v>ApproveorRejectpendingapproval</v>
      </c>
      <c r="C605" t="str">
        <f>IFERROR(__xludf.DUMMYFUNCTION("""COMPUTED_VALUE"""),"1UhtKaIOSsaBasxqY3sKs-yzcdn7UYylLMA_S4p_LSUg")</f>
        <v>1UhtKaIOSsaBasxqY3sKs-yzcdn7UYylLMA_S4p_LSUg</v>
      </c>
    </row>
    <row r="606" ht="15.75" customHeight="1">
      <c r="A606" t="str">
        <f>IFERROR(__xludf.DUMMYFUNCTION("""COMPUTED_VALUE"""),"Compliance")</f>
        <v>Compliance</v>
      </c>
      <c r="B606" t="str">
        <f>IFERROR(__xludf.DUMMYFUNCTION("""COMPUTED_VALUE"""),"VerifyAlertHistory")</f>
        <v>VerifyAlertHistory</v>
      </c>
      <c r="C606" t="str">
        <f>IFERROR(__xludf.DUMMYFUNCTION("""COMPUTED_VALUE"""),"1ygGptXUyfzDQoJvkfgVUkPUYd4xHQRbgZPB1q7Mq4kI")</f>
        <v>1ygGptXUyfzDQoJvkfgVUkPUYd4xHQRbgZPB1q7Mq4kI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IFERROR(__xludf.DUMMYFUNCTION("""COMPUTED_VALUE"""),"MergeOrder")</f>
        <v>MergeOrder</v>
      </c>
      <c r="C607" t="str">
        <f>IFERROR(__xludf.DUMMYFUNCTION("""COMPUTED_VALUE"""),"1kwyTwH_g61zdsuJMhxqb6Maa6M29IITtQgDUPkSqCfI")</f>
        <v>1kwyTwH_g61zdsuJMhxqb6Maa6M29IITtQgDUPkSqCfI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IFERROR(__xludf.DUMMYFUNCTION("""COMPUTED_VALUE"""),"VerifyMergeOrder")</f>
        <v>VerifyMergeOrder</v>
      </c>
      <c r="C608" t="str">
        <f>IFERROR(__xludf.DUMMYFUNCTION("""COMPUTED_VALUE"""),"1dgPXerDnGponQg7QoRz9zJh5jFCq9rY4gVQkfW6ueRs")</f>
        <v>1dgPXerDnGponQg7QoRz9zJh5jFCq9rY4gVQkfW6ueRs</v>
      </c>
    </row>
    <row r="609" ht="15.75" customHeight="1">
      <c r="A609" t="str">
        <f>IFERROR(__xludf.DUMMYFUNCTION("""COMPUTED_VALUE"""),"Blotter")</f>
        <v>Blotter</v>
      </c>
      <c r="B609" t="str">
        <f>IFERROR(__xludf.DUMMYFUNCTION("""COMPUTED_VALUE"""),"AddTabBlotter")</f>
        <v>AddTabBlotter</v>
      </c>
      <c r="C609" t="str">
        <f>IFERROR(__xludf.DUMMYFUNCTION("""COMPUTED_VALUE"""),"1-HZoUz8p44kRmIYxeitmY0y8sxzMyURZWzTS0g37nzA")</f>
        <v>1-HZoUz8p44kRmIYxeitmY0y8sxzMyURZWzTS0g37nzA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IFERROR(__xludf.DUMMYFUNCTION("""COMPUTED_VALUE"""),"CloseRebalancer")</f>
        <v>CloseRebalancer</v>
      </c>
      <c r="C610" t="str">
        <f>IFERROR(__xludf.DUMMYFUNCTION("""COMPUTED_VALUE"""),"Undefined")</f>
        <v>Undefined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IFERROR(__xludf.DUMMYFUNCTION("""COMPUTED_VALUE"""),"AddCustomCashUsingImport")</f>
        <v>AddCustomCashUsingImport</v>
      </c>
      <c r="C611" t="str">
        <f>IFERROR(__xludf.DUMMYFUNCTION("""COMPUTED_VALUE"""),"1O3SOjzGFXrKLUBVExe6mkwP-cW27WQT9G0PcvkNksJc")</f>
        <v>1O3SOjzGFXrKLUBVExe6mkwP-cW27WQT9G0PcvkNksJc</v>
      </c>
    </row>
    <row r="612" ht="15.75" customHeight="1">
      <c r="A612" t="str">
        <f>IFERROR(__xludf.DUMMYFUNCTION("""COMPUTED_VALUE"""),"Rebalancer")</f>
        <v>Rebalancer</v>
      </c>
      <c r="B612" t="str">
        <f>IFERROR(__xludf.DUMMYFUNCTION("""COMPUTED_VALUE"""),"EditRebalanceGrid")</f>
        <v>EditRebalanceGrid</v>
      </c>
      <c r="C612" t="str">
        <f>IFERROR(__xludf.DUMMYFUNCTION("""COMPUTED_VALUE"""),"1E0dJWA33kTyYO_fdwidKBhJ1jMfTMbCADdoV67llPOA")</f>
        <v>1E0dJWA33kTyYO_fdwidKBhJ1jMfTMbCADdoV67llPOA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IFERROR(__xludf.DUMMYFUNCTION("""COMPUTED_VALUE"""),"EnableBlankMarkPrices")</f>
        <v>EnableBlankMarkPrices</v>
      </c>
      <c r="C613" t="str">
        <f>IFERROR(__xludf.DUMMYFUNCTION("""COMPUTED_VALUE"""),"1Lqg6zZCIQgFixPQUaXAjHwB-7OqPvbCOe32Jestm87U")</f>
        <v>1Lqg6zZCIQgFixPQUaXAjHwB-7OqPvbCOe32Jestm87U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IFERROR(__xludf.DUMMYFUNCTION("""COMPUTED_VALUE"""),"UpateSymbolBlankMP")</f>
        <v>UpateSymbolBlankMP</v>
      </c>
      <c r="C614" t="str">
        <f>IFERROR(__xludf.DUMMYFUNCTION("""COMPUTED_VALUE"""),"1kPqUA1eIuSVlgOBITs5CA81FHMww-cIa-anDNa23yuk")</f>
        <v>1kPqUA1eIuSVlgOBITs5CA81FHMww-cIa-anDNa23yuk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IFERROR(__xludf.DUMMYFUNCTION("""COMPUTED_VALUE"""),"UpdateBlankMP")</f>
        <v>UpdateBlankMP</v>
      </c>
      <c r="C615" t="str">
        <f>IFERROR(__xludf.DUMMYFUNCTION("""COMPUTED_VALUE"""),"1ED_HWp6cWhFdSYM9FJ4WIjNK5s9YQ96UM3HY6z7Uego")</f>
        <v>1ED_HWp6cWhFdSYM9FJ4WIjNK5s9YQ96UM3HY6z7Uego</v>
      </c>
    </row>
    <row r="616" ht="15.75" customHeight="1">
      <c r="A616" t="str">
        <f>IFERROR(__xludf.DUMMYFUNCTION("""COMPUTED_VALUE"""),"DailyValuation")</f>
        <v>DailyValuation</v>
      </c>
      <c r="B616" t="str">
        <f>IFERROR(__xludf.DUMMYFUNCTION("""COMPUTED_VALUE"""),"FilterBlankMP")</f>
        <v>FilterBlankMP</v>
      </c>
      <c r="C616" t="str">
        <f>IFERROR(__xludf.DUMMYFUNCTION("""COMPUTED_VALUE"""),"1hie509djkqOqzLwQ7S4lThLSFspiAn7Ow8Bo7rnDW4A")</f>
        <v>1hie509djkqOqzLwQ7S4lThLSFspiAn7Ow8Bo7rnDW4A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IFERROR(__xludf.DUMMYFUNCTION("""COMPUTED_VALUE"""),"SelectFromSMGridUI")</f>
        <v>SelectFromSMGridUI</v>
      </c>
      <c r="C617" t="str">
        <f>IFERROR(__xludf.DUMMYFUNCTION("""COMPUTED_VALUE"""),"1PjcRlbekDcLgzexy59Ff3csyLlFtkgjkCABuxqPrIFk")</f>
        <v>1PjcRlbekDcLgzexy59Ff3csyLlFtkgjkCABuxqPrIFk</v>
      </c>
    </row>
    <row r="618" ht="15.75" customHeight="1">
      <c r="A618" t="str">
        <f>IFERROR(__xludf.DUMMYFUNCTION("""COMPUTED_VALUE"""),"SymbolLookup")</f>
        <v>SymbolLookup</v>
      </c>
      <c r="B618" t="str">
        <f>IFERROR(__xludf.DUMMYFUNCTION("""COMPUTED_VALUE"""),"EditSMGridUi")</f>
        <v>EditSMGridUi</v>
      </c>
      <c r="C618" t="str">
        <f>IFERROR(__xludf.DUMMYFUNCTION("""COMPUTED_VALUE"""),"1HrnkYuHLAx8E64bu4fG7IGtnxXUEuwos_yJXHep8Gc0")</f>
        <v>1HrnkYuHLAx8E64bu4fG7IGtnxXUEuwos_yJXHep8Gc0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IFERROR(__xludf.DUMMYFUNCTION("""COMPUTED_VALUE"""),"EditInterceptorFile")</f>
        <v>EditInterceptorFile</v>
      </c>
      <c r="C619" t="str">
        <f>IFERROR(__xludf.DUMMYFUNCTION("""COMPUTED_VALUE"""),"1uRm_GGzspf-weRP6J-_7fCGDgJxtBXOqQ0LWy8KA90Q")</f>
        <v>1uRm_GGzspf-weRP6J-_7fCGDgJxtBXOqQ0LWy8KA90Q</v>
      </c>
    </row>
    <row r="620" ht="15.75" customHeight="1">
      <c r="A620" t="str">
        <f>IFERROR(__xludf.DUMMYFUNCTION("""COMPUTED_VALUE"""),"Compliance")</f>
        <v>Compliance</v>
      </c>
      <c r="B620" t="str">
        <f>IFERROR(__xludf.DUMMYFUNCTION("""COMPUTED_VALUE"""),"ReplaceInterceptorFile")</f>
        <v>ReplaceInterceptorFile</v>
      </c>
      <c r="C620" t="str">
        <f>IFERROR(__xludf.DUMMYFUNCTION("""COMPUTED_VALUE"""),"Undefined")</f>
        <v>Undefined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IFERROR(__xludf.DUMMYFUNCTION("""COMPUTED_VALUE"""),"VerifyLowerStripBlotterUI")</f>
        <v>VerifyLowerStripBlotterUI</v>
      </c>
      <c r="C621" t="str">
        <f>IFERROR(__xludf.DUMMYFUNCTION("""COMPUTED_VALUE"""),"1YDrduYEvyxQ-ys7ZmzJ1hAFHnVlU4eDnSPUoOeGr_f4")</f>
        <v>1YDrduYEvyxQ-ys7ZmzJ1hAFHnVlU4eDnSPUoOeGr_f4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IFERROR(__xludf.DUMMYFUNCTION("""COMPUTED_VALUE"""),"SaveOrRemoveInSummaryTab")</f>
        <v>SaveOrRemoveInSummaryTab</v>
      </c>
      <c r="C622" t="str">
        <f>IFERROR(__xludf.DUMMYFUNCTION("""COMPUTED_VALUE"""),"1w2lTzhhnevYZjNuQsbEfjU06TK5bPsmZrffn3PWjstA")</f>
        <v>1w2lTzhhnevYZjNuQsbEfjU06TK5bPsmZrffn3PWjstA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IFERROR(__xludf.DUMMYFUNCTION("""COMPUTED_VALUE"""),"SaveOrRemoveInWorkingSubsTab")</f>
        <v>SaveOrRemoveInWorkingSubsTab</v>
      </c>
      <c r="C623" t="str">
        <f>IFERROR(__xludf.DUMMYFUNCTION("""COMPUTED_VALUE"""),"1pTm3IssLBKuCHCVwzzjA4Y-2hzUGPXPx9Or-EGngy50")</f>
        <v>1pTm3IssLBKuCHCVwzzjA4Y-2hzUGPXPx9Or-EGngy50</v>
      </c>
    </row>
    <row r="624" ht="15.75" customHeight="1">
      <c r="A624" t="str">
        <f>IFERROR(__xludf.DUMMYFUNCTION("""COMPUTED_VALUE"""),"Blotter")</f>
        <v>Blotter</v>
      </c>
      <c r="B624" t="str">
        <f>IFERROR(__xludf.DUMMYFUNCTION("""COMPUTED_VALUE"""),"SelectCheckBoxOnOrderGrid")</f>
        <v>SelectCheckBoxOnOrderGrid</v>
      </c>
      <c r="C624" t="str">
        <f>IFERROR(__xludf.DUMMYFUNCTION("""COMPUTED_VALUE"""),"1pBoTKoxm2i8Grrd5C95OVH3v8ny3DiEsw2du30G_8Og")</f>
        <v>1pBoTKoxm2i8Grrd5C95OVH3v8ny3DiEsw2du30G_8Og</v>
      </c>
    </row>
    <row r="625" ht="15.75" customHeight="1">
      <c r="A625" t="str">
        <f>IFERROR(__xludf.DUMMYFUNCTION("""COMPUTED_VALUE"""),"Compliance")</f>
        <v>Compliance</v>
      </c>
      <c r="B625" t="str">
        <f>IFERROR(__xludf.DUMMYFUNCTION("""COMPUTED_VALUE"""),"RestartReleasesAndServices")</f>
        <v>RestartReleasesAndServices</v>
      </c>
      <c r="C625" t="str">
        <f>IFERROR(__xludf.DUMMYFUNCTION("""COMPUTED_VALUE"""),"19yYT51s3MQyYorKH4wk_SdxFAdVT_LG3M60cam5_IiY")</f>
        <v>19yYT51s3MQyYorKH4wk_SdxFAdVT_LG3M60cam5_IiY</v>
      </c>
    </row>
    <row r="626" ht="15.75" customHeight="1">
      <c r="A626" t="str">
        <f>IFERROR(__xludf.DUMMYFUNCTION("""COMPUTED_VALUE"""),"PTT")</f>
        <v>PTT</v>
      </c>
      <c r="B626" t="str">
        <f>IFERROR(__xludf.DUMMYFUNCTION("""COMPUTED_VALUE"""),"AutoStageImportFromPTTExport")</f>
        <v>AutoStageImportFromPTTExport</v>
      </c>
      <c r="C626" t="str">
        <f>IFERROR(__xludf.DUMMYFUNCTION("""COMPUTED_VALUE"""),"Undefined")</f>
        <v>Undefined</v>
      </c>
    </row>
    <row r="627" ht="15.75" customHeight="1">
      <c r="A627" t="str">
        <f>IFERROR(__xludf.DUMMYFUNCTION("""COMPUTED_VALUE"""),"Closing")</f>
        <v>Closing</v>
      </c>
      <c r="B627" t="str">
        <f>IFERROR(__xludf.DUMMYFUNCTION("""COMPUTED_VALUE"""),"FilterClosing")</f>
        <v>FilterClosing</v>
      </c>
      <c r="C627" t="str">
        <f>IFERROR(__xludf.DUMMYFUNCTION("""COMPUTED_VALUE"""),"1jVBqTixWDU8JyJbGKGBtrJQjm_NeYTaz3wu41AO1fk8")</f>
        <v>1jVBqTixWDU8JyJbGKGBtrJQjm_NeYTaz3wu41AO1fk8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IFERROR(__xludf.DUMMYFUNCTION("""COMPUTED_VALUE"""),"BulkEditUpdateFromMTT")</f>
        <v>BulkEditUpdateFromMTT</v>
      </c>
      <c r="C628" t="str">
        <f>IFERROR(__xludf.DUMMYFUNCTION("""COMPUTED_VALUE"""),"1PXjnQRFWRpATbYq-3yGKHrs-7O07blOuuM8BjzF_UGs")</f>
        <v>1PXjnQRFWRpATbYq-3yGKHrs-7O07blOuuM8BjzF_UGs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IFERROR(__xludf.DUMMYFUNCTION("""COMPUTED_VALUE"""),"BulkChangeCreateStageOrder")</f>
        <v>BulkChangeCreateStageOrder</v>
      </c>
      <c r="C629" t="str">
        <f>IFERROR(__xludf.DUMMYFUNCTION("""COMPUTED_VALUE"""),"1XpPlMHrXIkdrEc4GgpL4YGWBTY6izs1MK6Jy7Z3jR-Q")</f>
        <v>1XpPlMHrXIkdrEc4GgpL4YGWBTY6izs1MK6Jy7Z3jR-Q</v>
      </c>
    </row>
    <row r="630" ht="15.75" customHeight="1">
      <c r="A630" t="str">
        <f>IFERROR(__xludf.DUMMYFUNCTION("""COMPUTED_VALUE"""),"MultiTradingTicket")</f>
        <v>MultiTradingTicket</v>
      </c>
      <c r="B630" t="str">
        <f>IFERROR(__xludf.DUMMYFUNCTION("""COMPUTED_VALUE"""),"BulkUpdateUsingMTT")</f>
        <v>BulkUpdateUsingMTT</v>
      </c>
      <c r="C630" t="str">
        <f>IFERROR(__xludf.DUMMYFUNCTION("""COMPUTED_VALUE"""),"1z5unUI4CMAB-Y1nnow1quueM3t3SDsE_5x7GoqlPJdo")</f>
        <v>1z5unUI4CMAB-Y1nnow1quueM3t3SDsE_5x7GoqlPJdo</v>
      </c>
    </row>
    <row r="631" ht="15.75" customHeight="1">
      <c r="A631" t="str">
        <f>IFERROR(__xludf.DUMMYFUNCTION("""COMPUTED_VALUE"""),"PranaClient")</f>
        <v>PranaClient</v>
      </c>
      <c r="B631" t="str">
        <f>IFERROR(__xludf.DUMMYFUNCTION("""COMPUTED_VALUE"""),"CompareXML")</f>
        <v>CompareXML</v>
      </c>
      <c r="C631" t="str">
        <f>IFERROR(__xludf.DUMMYFUNCTION("""COMPUTED_VALUE"""),"1UbkLLvFc4omZgamtV9FPjYfaLw9XLbjQYRKGGO3lyPE")</f>
        <v>1UbkLLvFc4omZgamtV9FPjYfaLw9XLbjQYRKGGO3lyPE</v>
      </c>
    </row>
    <row r="632" ht="15.75" customHeight="1">
      <c r="A632" t="str">
        <f>IFERROR(__xludf.DUMMYFUNCTION("""COMPUTED_VALUE"""),"Admin")</f>
        <v>Admin</v>
      </c>
      <c r="B632" t="str">
        <f>IFERROR(__xludf.DUMMYFUNCTION("""COMPUTED_VALUE"""),"SetMasterFundOnTT")</f>
        <v>SetMasterFundOnTT</v>
      </c>
      <c r="C632" t="str">
        <f>IFERROR(__xludf.DUMMYFUNCTION("""COMPUTED_VALUE"""),"1LK3f7jczHzLHkY7I_RK-58BnR45KNGpebn0hHO3eSgo")</f>
        <v>1LK3f7jczHzLHkY7I_RK-58BnR45KNGpebn0hHO3eSgo</v>
      </c>
    </row>
    <row r="633" ht="15.75" customHeight="1">
      <c r="A633" t="str">
        <f>IFERROR(__xludf.DUMMYFUNCTION("""COMPUTED_VALUE"""),"TradingTicket")</f>
        <v>TradingTicket</v>
      </c>
      <c r="B633" t="str">
        <f>IFERROR(__xludf.DUMMYFUNCTION("""COMPUTED_VALUE"""),"VerifyCustomAllocationonTT")</f>
        <v>VerifyCustomAllocationonTT</v>
      </c>
      <c r="C633" t="str">
        <f>IFERROR(__xludf.DUMMYFUNCTION("""COMPUTED_VALUE"""),"10ici7f6_wpSFiwpn22nHeSOFsZ1dU_pzk6nMLQKHIRY")</f>
        <v>10ici7f6_wpSFiwpn22nHeSOFsZ1dU_pzk6nMLQKHIRY</v>
      </c>
    </row>
    <row r="634" ht="15.75" customHeight="1">
      <c r="A634" t="str">
        <f>IFERROR(__xludf.DUMMYFUNCTION("""COMPUTED_VALUE"""),"Blotter")</f>
        <v>Blotter</v>
      </c>
      <c r="B634" t="str">
        <f>IFERROR(__xludf.DUMMYFUNCTION("""COMPUTED_VALUE"""),"ReAllocateFromBlotterByAllocate")</f>
        <v>ReAllocateFromBlotterByAllocate</v>
      </c>
      <c r="C634" t="str">
        <f>IFERROR(__xludf.DUMMYFUNCTION("""COMPUTED_VALUE"""),"1RA-PKK7Kzfl_fgl03zAC8sp1VOE9HjaY5EL7ItkPBK4")</f>
        <v>1RA-PKK7Kzfl_fgl03zAC8sp1VOE9HjaY5EL7ItkPBK4</v>
      </c>
    </row>
    <row r="635" ht="15.75" customHeight="1">
      <c r="A635" t="str">
        <f>IFERROR(__xludf.DUMMYFUNCTION("""COMPUTED_VALUE"""),"Simulator")</f>
        <v>Simulator</v>
      </c>
      <c r="B635" t="str">
        <f>IFERROR(__xludf.DUMMYFUNCTION("""COMPUTED_VALUE"""),"VerifyTagInAllFixLogs")</f>
        <v>VerifyTagInAllFixLogs</v>
      </c>
      <c r="C635" t="str">
        <f>IFERROR(__xludf.DUMMYFUNCTION("""COMPUTED_VALUE"""),"1jKDiJYpLWAfkSGRoeJ_liPC1ZaTdCTC5AqjDzj9I61Q")</f>
        <v>1jKDiJYpLWAfkSGRoeJ_liPC1ZaTdCTC5AqjDzj9I61Q</v>
      </c>
    </row>
    <row r="636" ht="15.75" customHeight="1">
      <c r="A636" t="str">
        <f>IFERROR(__xludf.DUMMYFUNCTION("""COMPUTED_VALUE"""),"PranaClient")</f>
        <v>PranaClient</v>
      </c>
      <c r="B636" t="str">
        <f>IFERROR(__xludf.DUMMYFUNCTION("""COMPUTED_VALUE"""),"LoginClient")</f>
        <v>LoginClient</v>
      </c>
      <c r="C636" t="str">
        <f>IFERROR(__xludf.DUMMYFUNCTION("""COMPUTED_VALUE"""),"15s_MBgGJ0dfZ8sabmSGlh8UnFHbnEhlY_4upAbjXzmg")</f>
        <v>15s_MBgGJ0dfZ8sabmSGlh8UnFHbnEhlY_4upAbjXzmg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IFERROR(__xludf.DUMMYFUNCTION("""COMPUTED_VALUE"""),"SortAndVerifyPM")</f>
        <v>SortAndVerifyPM</v>
      </c>
      <c r="C637" t="str">
        <f>IFERROR(__xludf.DUMMYFUNCTION("""COMPUTED_VALUE"""),"1TqhiATlN6jhyI-VeiodnGdVQyLGZiu97o5NWbxOWr9s")</f>
        <v>1TqhiATlN6jhyI-VeiodnGdVQyLGZiu97o5NWbxOWr9s</v>
      </c>
    </row>
    <row r="638" ht="15.75" customHeight="1">
      <c r="A638" t="str">
        <f>IFERROR(__xludf.DUMMYFUNCTION("""COMPUTED_VALUE"""),"PortfolioManagement")</f>
        <v>PortfolioManagement</v>
      </c>
      <c r="B638" t="str">
        <f>IFERROR(__xludf.DUMMYFUNCTION("""COMPUTED_VALUE"""),"OpenPIFromPM")</f>
        <v>OpenPIFromPM</v>
      </c>
      <c r="C638" t="str">
        <f>IFERROR(__xludf.DUMMYFUNCTION("""COMPUTED_VALUE"""),"1dPK0Rp0k7gPTdi7pAXxULvjivbVrTViWALmSew6wF-0")</f>
        <v>1dPK0Rp0k7gPTdi7pAXxULvjivbVrTViWALmSew6wF-0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IFERROR(__xludf.DUMMYFUNCTION("""COMPUTED_VALUE"""),"RefreshPriceUsingMTT")</f>
        <v>RefreshPriceUsingMTT</v>
      </c>
      <c r="C639" t="str">
        <f>IFERROR(__xludf.DUMMYFUNCTION("""COMPUTED_VALUE"""),"178NOc-LsqpjkyVkksd_XD-EQcokXBH-1NEzm5ceoSAk")</f>
        <v>178NOc-LsqpjkyVkksd_XD-EQcokXBH-1NEzm5ceoSAk</v>
      </c>
    </row>
    <row r="640" ht="15.75" customHeight="1">
      <c r="A640" t="str">
        <f>IFERROR(__xludf.DUMMYFUNCTION("""COMPUTED_VALUE"""),"MultiTradingTicket")</f>
        <v>MultiTradingTicket</v>
      </c>
      <c r="B640" t="str">
        <f>IFERROR(__xludf.DUMMYFUNCTION("""COMPUTED_VALUE"""),"VerifyMTT")</f>
        <v>VerifyMTT</v>
      </c>
      <c r="C640" t="str">
        <f>IFERROR(__xludf.DUMMYFUNCTION("""COMPUTED_VALUE"""),"1Vv-FRtdz-znMa6eWfAZqSH3k0FWRSgYKVdL6W0eCjF8")</f>
        <v>1Vv-FRtdz-znMa6eWfAZqSH3k0FWRSgYKVdL6W0eCjF8</v>
      </c>
    </row>
    <row r="641" ht="15.75" customHeight="1">
      <c r="A641" t="str">
        <f>IFERROR(__xludf.DUMMYFUNCTION("""COMPUTED_VALUE"""),"Simulator")</f>
        <v>Simulator</v>
      </c>
      <c r="B641" t="str">
        <f>IFERROR(__xludf.DUMMYFUNCTION("""COMPUTED_VALUE"""),"SetToAutomaticResponse")</f>
        <v>SetToAutomaticResponse</v>
      </c>
      <c r="C641" t="str">
        <f>IFERROR(__xludf.DUMMYFUNCTION("""COMPUTED_VALUE"""),"undefined")</f>
        <v>undefined</v>
      </c>
    </row>
    <row r="642" ht="15.75" customHeight="1">
      <c r="A642" t="str">
        <f>IFERROR(__xludf.DUMMYFUNCTION("""COMPUTED_VALUE"""),"Closing")</f>
        <v>Closing</v>
      </c>
      <c r="B642" t="str">
        <f>IFERROR(__xludf.DUMMYFUNCTION("""COMPUTED_VALUE"""),"SelectCreateTransactions")</f>
        <v>SelectCreateTransactions</v>
      </c>
      <c r="C642" t="str">
        <f>IFERROR(__xludf.DUMMYFUNCTION("""COMPUTED_VALUE"""),"1H_lhrQblpnlyHkVDOXbhIVIhZoC9lIB9uTE29zuQhrM")</f>
        <v>1H_lhrQblpnlyHkVDOXbhIVIhZoC9lIB9uTE29zuQhrM</v>
      </c>
    </row>
    <row r="643" ht="15.75" customHeight="1">
      <c r="A643" t="str">
        <f>IFERROR(__xludf.DUMMYFUNCTION("""COMPUTED_VALUE"""),"Closing")</f>
        <v>Closing</v>
      </c>
      <c r="B643" t="str">
        <f>IFERROR(__xludf.DUMMYFUNCTION("""COMPUTED_VALUE"""),"EditClosingTransactions")</f>
        <v>EditClosingTransactions</v>
      </c>
      <c r="C643" t="str">
        <f>IFERROR(__xludf.DUMMYFUNCTION("""COMPUTED_VALUE"""),"15009hbvBY1YaqNloK72CjyPdL0kMpnEYl2EFB4TUG6g")</f>
        <v>15009hbvBY1YaqNloK72CjyPdL0kMpnEYl2EFB4TUG6g</v>
      </c>
    </row>
    <row r="644" ht="15.75" customHeight="1">
      <c r="A644" t="str">
        <f>IFERROR(__xludf.DUMMYFUNCTION("""COMPUTED_VALUE"""),"Admin")</f>
        <v>Admin</v>
      </c>
      <c r="B644" t="str">
        <f>IFERROR(__xludf.DUMMYFUNCTION("""COMPUTED_VALUE"""),"SetAllocationPreferences")</f>
        <v>SetAllocationPreferences</v>
      </c>
      <c r="C644" t="str">
        <f>IFERROR(__xludf.DUMMYFUNCTION("""COMPUTED_VALUE"""),"16PO4KGgITIDM3iQzFlyKHfXPBXba023pXOJQCBN_Elc")</f>
        <v>16PO4KGgITIDM3iQzFlyKHfXPBXba023pXOJQCBN_Elc</v>
      </c>
    </row>
    <row r="645" ht="15.75" customHeight="1">
      <c r="A645" t="str">
        <f>IFERROR(__xludf.DUMMYFUNCTION("""COMPUTED_VALUE"""),"Closing")</f>
        <v>Closing</v>
      </c>
      <c r="B645" t="str">
        <f>IFERROR(__xludf.DUMMYFUNCTION("""COMPUTED_VALUE"""),"AddDuplicateRow")</f>
        <v>AddDuplicateRow</v>
      </c>
      <c r="C645" t="str">
        <f>IFERROR(__xludf.DUMMYFUNCTION("""COMPUTED_VALUE"""),"1quv-mE6eJ-fIc80A1uTeO8ix7AN-iGUbKPfjMut6XGw")</f>
        <v>1quv-mE6eJ-fIc80A1uTeO8ix7AN-iGUbKPfjMut6XGw</v>
      </c>
    </row>
    <row r="646" ht="15.75" customHeight="1">
      <c r="A646" t="str">
        <f>IFERROR(__xludf.DUMMYFUNCTION("""COMPUTED_VALUE"""),"TradeServer")</f>
        <v>TradeServer</v>
      </c>
      <c r="B646" t="str">
        <f>IFERROR(__xludf.DUMMYFUNCTION("""COMPUTED_VALUE"""),"ConnectToSimAutoMan")</f>
        <v>ConnectToSimAutoMan</v>
      </c>
      <c r="C646" t="str">
        <f>IFERROR(__xludf.DUMMYFUNCTION("""COMPUTED_VALUE"""),"13IX3MrLRTuTJsyg3JaQ71o5MoHPrX4JeQ5EXnHjhkH8")</f>
        <v>13IX3MrLRTuTJsyg3JaQ71o5MoHPrX4JeQ5EXnHjhkH8</v>
      </c>
    </row>
    <row r="647" ht="15.75" customHeight="1">
      <c r="A647" t="str">
        <f>IFERROR(__xludf.DUMMYFUNCTION("""COMPUTED_VALUE"""),"Rebalancer")</f>
        <v>Rebalancer</v>
      </c>
      <c r="B647" t="str">
        <f>IFERROR(__xludf.DUMMYFUNCTION("""COMPUTED_VALUE"""),"NavImpactingComponent")</f>
        <v>NavImpactingComponent</v>
      </c>
      <c r="C647" t="str">
        <f>IFERROR(__xludf.DUMMYFUNCTION("""COMPUTED_VALUE"""),"1h8uyOI4WaUZMlwJvQlp6cezgxjyJ2SLa2OEiG81xpGE")</f>
        <v>1h8uyOI4WaUZMlwJvQlp6cezgxjyJ2SLa2OEiG81xpGE</v>
      </c>
    </row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Data!A4:L1000"")"),"TradingTicket")</f>
        <v>TradingTicket</v>
      </c>
      <c r="B4" t="str">
        <f>IFERROR(__xludf.DUMMYFUNCTION("""COMPUTED_VALUE"""),"TradeUsingTT")</f>
        <v>TradeUsingTT</v>
      </c>
      <c r="C4" t="str">
        <f>IFERROR(__xludf.DUMMYFUNCTION("""COMPUTED_VALUE"""),"TTTrades")</f>
        <v>TTTrades</v>
      </c>
      <c r="D4" t="str">
        <f>IFERROR(__xludf.DUMMYFUNCTION("""COMPUTED_VALUE"""),"1Q0knOJ8odySzW9kzE5w8PdOc44G2QBZUfKg5ZvUx-xw")</f>
        <v>1Q0knOJ8odySzW9kzE5w8PdOc44G2QBZUfKg5ZvUx-xw</v>
      </c>
    </row>
    <row r="5">
      <c r="A5" t="str">
        <f>IFERROR(__xludf.DUMMYFUNCTION("""COMPUTED_VALUE"""),"Allocation")</f>
        <v>Allocation</v>
      </c>
      <c r="B5" t="str">
        <f>IFERROR(__xludf.DUMMYFUNCTION("""COMPUTED_VALUE"""),"SelectAllocatedGroup")</f>
        <v>SelectAllocatedGroup</v>
      </c>
      <c r="C5" t="str">
        <f>IFERROR(__xludf.DUMMYFUNCTION("""COMPUTED_VALUE"""),"TradesForAllocation")</f>
        <v>TradesForAllocation</v>
      </c>
      <c r="D5" t="str">
        <f>IFERROR(__xludf.DUMMYFUNCTION("""COMPUTED_VALUE"""),"1-RJhOo2E5PhyqaiMEjsPi8RpfYBuiSqE9fj_-bRpkKw")</f>
        <v>1-RJhOo2E5PhyqaiMEjsPi8RpfYBuiSqE9fj_-bRpkKw</v>
      </c>
    </row>
    <row r="6">
      <c r="A6" t="str">
        <f>IFERROR(__xludf.DUMMYFUNCTION("""COMPUTED_VALUE"""),"Allocation")</f>
        <v>Allocation</v>
      </c>
      <c r="B6" t="str">
        <f>IFERROR(__xludf.DUMMYFUNCTION("""COMPUTED_VALUE"""),"SelectUnallocatedGroup")</f>
        <v>SelectUnallocatedGroup</v>
      </c>
      <c r="C6" t="str">
        <f>IFERROR(__xludf.DUMMYFUNCTION("""COMPUTED_VALUE"""),"TradesForAllocation")</f>
        <v>TradesForAllocation</v>
      </c>
      <c r="D6" t="str">
        <f>IFERROR(__xludf.DUMMYFUNCTION("""COMPUTED_VALUE"""),"1-RJhOo2E5PhyqaiMEjsPi8RpfYBuiSqE9fj_-bRpkKw")</f>
        <v>1-RJhOo2E5PhyqaiMEjsPi8RpfYBuiSqE9fj_-bRpkKw</v>
      </c>
    </row>
    <row r="7">
      <c r="A7" t="str">
        <f>IFERROR(__xludf.DUMMYFUNCTION("""COMPUTED_VALUE"""),"TradingTicket")</f>
        <v>TradingTicket</v>
      </c>
      <c r="B7" t="str">
        <f>IFERROR(__xludf.DUMMYFUNCTION("""COMPUTED_VALUE"""),"CreateDoneAwayOrder")</f>
        <v>CreateDoneAwayOrder</v>
      </c>
      <c r="C7" t="str">
        <f>IFERROR(__xludf.DUMMYFUNCTION("""COMPUTED_VALUE"""),"TTInput")</f>
        <v>TTInput</v>
      </c>
      <c r="D7" t="str">
        <f>IFERROR(__xludf.DUMMYFUNCTION("""COMPUTED_VALUE"""),"1b5S4Xpp4fgZ1ez6cK92QFnVBylqz8jhwxdAyEvwDqUI")</f>
        <v>1b5S4Xpp4fgZ1ez6cK92QFnVBylqz8jhwxdAyEvwDqUI</v>
      </c>
    </row>
    <row r="8">
      <c r="A8" t="str">
        <f>IFERROR(__xludf.DUMMYFUNCTION("""COMPUTED_VALUE"""),"Allocation")</f>
        <v>Allocation</v>
      </c>
      <c r="B8" t="str">
        <f>IFERROR(__xludf.DUMMYFUNCTION("""COMPUTED_VALUE"""),"SetGroupingRules")</f>
        <v>SetGroupingRules</v>
      </c>
      <c r="C8" t="str">
        <f>IFERROR(__xludf.DUMMYFUNCTION("""COMPUTED_VALUE"""),"GroupingRules")</f>
        <v>GroupingRules</v>
      </c>
      <c r="D8" t="str">
        <f>IFERROR(__xludf.DUMMYFUNCTION("""COMPUTED_VALUE"""),"1oiITP7kpTv6Zgm5fpjzHWhIjzPRoRqS_CIZxqoxWRkA")</f>
        <v>1oiITP7kpTv6Zgm5fpjzHWhIjzPRoRqS_CIZxqoxWRkA</v>
      </c>
    </row>
    <row r="9">
      <c r="A9" t="str">
        <f>IFERROR(__xludf.DUMMYFUNCTION("""COMPUTED_VALUE"""),"Allocation")</f>
        <v>Allocation</v>
      </c>
      <c r="B9" t="str">
        <f>IFERROR(__xludf.DUMMYFUNCTION("""COMPUTED_VALUE"""),"CheckUnallocatedGroups")</f>
        <v>CheckUnallocatedGroups</v>
      </c>
      <c r="C9" t="str">
        <f>IFERROR(__xludf.DUMMYFUNCTION("""COMPUTED_VALUE"""),"UnallocatedGroupCheck")</f>
        <v>UnallocatedGroupCheck</v>
      </c>
      <c r="D9" t="str">
        <f>IFERROR(__xludf.DUMMYFUNCTION("""COMPUTED_VALUE"""),"1c7aP-E18Fb8lEVGiXac03BLoNVdUNRzodD2Xjn-9pzU")</f>
        <v>1c7aP-E18Fb8lEVGiXac03BLoNVdUNRzodD2Xjn-9pzU</v>
      </c>
    </row>
    <row r="10">
      <c r="A10" t="str">
        <f>IFERROR(__xludf.DUMMYFUNCTION("""COMPUTED_VALUE"""),"GeneralLedger")</f>
        <v>GeneralLedger</v>
      </c>
      <c r="B10" t="str">
        <f>IFERROR(__xludf.DUMMYFUNCTION("""COMPUTED_VALUE"""),"GetTradingTransaction")</f>
        <v>GetTradingTransaction</v>
      </c>
      <c r="C10" t="str">
        <f>IFERROR(__xludf.DUMMYFUNCTION("""COMPUTED_VALUE"""),"GetTradingTransaction")</f>
        <v>GetTradingTransaction</v>
      </c>
      <c r="D10" t="str">
        <f>IFERROR(__xludf.DUMMYFUNCTION("""COMPUTED_VALUE"""),"1IuJkgEDoDUSnmXhZVZdA_x-3VnlMPyzRsUMpf_eRTTQ")</f>
        <v>1IuJkgEDoDUSnmXhZVZdA_x-3VnlMPyzRsUMpf_eRTTQ</v>
      </c>
    </row>
    <row r="11">
      <c r="A11" t="str">
        <f>IFERROR(__xludf.DUMMYFUNCTION("""COMPUTED_VALUE"""),"TradingTicket")</f>
        <v>TradingTicket</v>
      </c>
      <c r="B11" t="str">
        <f>IFERROR(__xludf.DUMMYFUNCTION("""COMPUTED_VALUE"""),"CreateDoneAwayOrder")</f>
        <v>CreateDoneAwayOrder</v>
      </c>
      <c r="C11" t="str">
        <f>IFERROR(__xludf.DUMMYFUNCTION("""COMPUTED_VALUE"""),"CreateDoneAwayOrder")</f>
        <v>CreateDoneAwayOrder</v>
      </c>
      <c r="D11" t="str">
        <f>IFERROR(__xludf.DUMMYFUNCTION("""COMPUTED_VALUE"""),"1Wybl1BX2sjPWI0uYzeN6KZO-tnk3-pf5NWNrZR7m_8I")</f>
        <v>1Wybl1BX2sjPWI0uYzeN6KZO-tnk3-pf5NWNrZR7m_8I</v>
      </c>
    </row>
    <row r="12">
      <c r="A12" t="str">
        <f>IFERROR(__xludf.DUMMYFUNCTION("""COMPUTED_VALUE"""),"Allocation")</f>
        <v>Allocation</v>
      </c>
      <c r="B12" t="str">
        <f>IFERROR(__xludf.DUMMYFUNCTION("""COMPUTED_VALUE"""),"GeneralPreferencesDefaultRule")</f>
        <v>GeneralPreferencesDefaultRule</v>
      </c>
      <c r="C12" t="str">
        <f>IFERROR(__xludf.DUMMYFUNCTION("""COMPUTED_VALUE"""),"GeneralPreferencesDefualtRules")</f>
        <v>GeneralPreferencesDefualtRules</v>
      </c>
      <c r="D12" t="str">
        <f>IFERROR(__xludf.DUMMYFUNCTION("""COMPUTED_VALUE"""),"1t-y8DW-cux-RoCJhMs9d4iDbW4QOQ-BXfiT1GYQBvbw")</f>
        <v>1t-y8DW-cux-RoCJhMs9d4iDbW4QOQ-BXfiT1GYQBvbw</v>
      </c>
    </row>
    <row r="13">
      <c r="A13" t="str">
        <f>IFERROR(__xludf.DUMMYFUNCTION("""COMPUTED_VALUE"""),"Allocation")</f>
        <v>Allocation</v>
      </c>
      <c r="B13" t="str">
        <f>IFERROR(__xludf.DUMMYFUNCTION("""COMPUTED_VALUE"""),"GeneralPrefCompanyUserWise")</f>
        <v>GeneralPrefCompanyUserWise</v>
      </c>
      <c r="C13" t="str">
        <f>IFERROR(__xludf.DUMMYFUNCTION("""COMPUTED_VALUE"""),"GeneralPrefCoUserRules")</f>
        <v>GeneralPrefCoUserRules</v>
      </c>
      <c r="D13" t="str">
        <f>IFERROR(__xludf.DUMMYFUNCTION("""COMPUTED_VALUE"""),"154-ES2jrM9C4VoMik8t5SCjN2LjvQHLPe8ANoIosIcc")</f>
        <v>154-ES2jrM9C4VoMik8t5SCjN2LjvQHLPe8ANoIosIcc</v>
      </c>
    </row>
    <row r="14">
      <c r="A14" t="str">
        <f>IFERROR(__xludf.DUMMYFUNCTION("""COMPUTED_VALUE"""),"Allocation")</f>
        <v>Allocation</v>
      </c>
      <c r="B14" t="str">
        <f>IFERROR(__xludf.DUMMYFUNCTION("""COMPUTED_VALUE"""),"EnterAccountValuesToAllocate")</f>
        <v>EnterAccountValuesToAllocate</v>
      </c>
      <c r="C14" t="str">
        <f>IFERROR(__xludf.DUMMYFUNCTION("""COMPUTED_VALUE"""),"AccountValues")</f>
        <v>AccountValues</v>
      </c>
      <c r="D14" t="str">
        <f>IFERROR(__xludf.DUMMYFUNCTION("""COMPUTED_VALUE"""),"1mOtszotVOdqHquQTLi-4CBnAUrtAF2MEABuvYJh_hzw")</f>
        <v>1mOtszotVOdqHquQTLi-4CBnAUrtAF2MEABuvYJh_hzw</v>
      </c>
    </row>
    <row r="15">
      <c r="A15" t="str">
        <f>IFERROR(__xludf.DUMMYFUNCTION("""COMPUTED_VALUE"""),"Allocation")</f>
        <v>Allocation</v>
      </c>
      <c r="B15" t="str">
        <f>IFERROR(__xludf.DUMMYFUNCTION("""COMPUTED_VALUE"""),"CheckFixedPreference")</f>
        <v>CheckFixedPreference</v>
      </c>
      <c r="C15" t="str">
        <f>IFERROR(__xludf.DUMMYFUNCTION("""COMPUTED_VALUE"""),"CheckFixedPreference")</f>
        <v>CheckFixedPreference</v>
      </c>
      <c r="D15" t="str">
        <f>IFERROR(__xludf.DUMMYFUNCTION("""COMPUTED_VALUE"""),"1RNofLIplBOnX_vwsD6AecMNF72I9x58kWSMHVy9EgsM")</f>
        <v>1RNofLIplBOnX_vwsD6AecMNF72I9x58kWSMHVy9EgsM</v>
      </c>
    </row>
    <row r="16">
      <c r="A16" t="str">
        <f>IFERROR(__xludf.DUMMYFUNCTION("""COMPUTED_VALUE"""),"Allocation")</f>
        <v>Allocation</v>
      </c>
      <c r="B16" t="str">
        <f>IFERROR(__xludf.DUMMYFUNCTION("""COMPUTED_VALUE"""),"SetAccountValueCalculatedPref")</f>
        <v>SetAccountValueCalculatedPref</v>
      </c>
      <c r="C16" t="str">
        <f>IFERROR(__xludf.DUMMYFUNCTION("""COMPUTED_VALUE"""),"AccountValueCalculatePref")</f>
        <v>AccountValueCalculatePref</v>
      </c>
      <c r="D16" t="str">
        <f>IFERROR(__xludf.DUMMYFUNCTION("""COMPUTED_VALUE"""),"1svq-61dzaRHeNDz1TSSUPXQbbN3Mi4bhNQabvGVoz2c")</f>
        <v>1svq-61dzaRHeNDz1TSSUPXQbbN3Mi4bhNQabvGVoz2c</v>
      </c>
    </row>
    <row r="17">
      <c r="A17" t="str">
        <f>IFERROR(__xludf.DUMMYFUNCTION("""COMPUTED_VALUE"""),"Allocation")</f>
        <v>Allocation</v>
      </c>
      <c r="B17" t="str">
        <f>IFERROR(__xludf.DUMMYFUNCTION("""COMPUTED_VALUE"""),"SetDefaultRuleCalculatedPref")</f>
        <v>SetDefaultRuleCalculatedPref</v>
      </c>
      <c r="C17" t="str">
        <f>IFERROR(__xludf.DUMMYFUNCTION("""COMPUTED_VALUE"""),"DefaultRuleCalculatePref")</f>
        <v>DefaultRuleCalculatePref</v>
      </c>
      <c r="D17" t="str">
        <f>IFERROR(__xludf.DUMMYFUNCTION("""COMPUTED_VALUE"""),"1j6MD8nFEuJNo52Mp8uXbXRmrJs802rnEIiTOEuZFdWA")</f>
        <v>1j6MD8nFEuJNo52Mp8uXbXRmrJs802rnEIiTOEuZFdWA</v>
      </c>
    </row>
    <row r="18">
      <c r="A18" t="str">
        <f>IFERROR(__xludf.DUMMYFUNCTION("""COMPUTED_VALUE"""),"Allocation")</f>
        <v>Allocation</v>
      </c>
      <c r="B18" t="str">
        <f>IFERROR(__xludf.DUMMYFUNCTION("""COMPUTED_VALUE"""),"SetStrategyValueCalculatedPref")</f>
        <v>SetStrategyValueCalculatedPref</v>
      </c>
      <c r="C18" t="str">
        <f>IFERROR(__xludf.DUMMYFUNCTION("""COMPUTED_VALUE"""),"StrategyValueCalculatedPref")</f>
        <v>StrategyValueCalculatedPref</v>
      </c>
      <c r="D18" t="str">
        <f>IFERROR(__xludf.DUMMYFUNCTION("""COMPUTED_VALUE"""),"1rt8inh4u7qHUhCAFSaa2kmPKLkqeh3uljucYajdto60")</f>
        <v>1rt8inh4u7qHUhCAFSaa2kmPKLkqeh3uljucYajdto60</v>
      </c>
    </row>
    <row r="19">
      <c r="A19" t="str">
        <f>IFERROR(__xludf.DUMMYFUNCTION("""COMPUTED_VALUE"""),"Allocation")</f>
        <v>Allocation</v>
      </c>
      <c r="B19" t="str">
        <f>IFERROR(__xludf.DUMMYFUNCTION("""COMPUTED_VALUE"""),"SetGeneralPreferences")</f>
        <v>SetGeneralPreferences</v>
      </c>
      <c r="C19" t="str">
        <f>IFERROR(__xludf.DUMMYFUNCTION("""COMPUTED_VALUE"""),"GeneralPreferences")</f>
        <v>GeneralPreferences</v>
      </c>
      <c r="D19" t="str">
        <f>IFERROR(__xludf.DUMMYFUNCTION("""COMPUTED_VALUE"""),"1lI4loUxqzsE3IjuxIjsVY3cB4J_eTKFPPDuXngut4FE")</f>
        <v>1lI4loUxqzsE3IjuxIjsVY3cB4J_eTKFPPDuXngut4FE</v>
      </c>
    </row>
    <row r="20">
      <c r="A20" t="str">
        <f>IFERROR(__xludf.DUMMYFUNCTION("""COMPUTED_VALUE"""),"Closing")</f>
        <v>Closing</v>
      </c>
      <c r="B20" t="str">
        <f>IFERROR(__xludf.DUMMYFUNCTION("""COMPUTED_VALUE"""),"AutomaticClosing")</f>
        <v>AutomaticClosing</v>
      </c>
      <c r="C20" t="str">
        <f>IFERROR(__xludf.DUMMYFUNCTION("""COMPUTED_VALUE"""),"AutomaticClosingMasterData")</f>
        <v>AutomaticClosingMasterData</v>
      </c>
      <c r="D20" t="str">
        <f>IFERROR(__xludf.DUMMYFUNCTION("""COMPUTED_VALUE"""),"1zwv-aZp-DRCpq8bqLR0XRiyt0av-GAm0ORqbhnV-FKI")</f>
        <v>1zwv-aZp-DRCpq8bqLR0XRiyt0av-GAm0ORqbhnV-FKI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1b5S4Xpp4fgZ1ez6cK92QFnVBylqz8jhwxdAyEvwDqUI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IFERROR(__xludf.DUMMYFUNCTION("IF(C3="""","""",Transpose(IMPORTRANGE('_Settings'!$B$3,C3&amp;""!A4:A1000"")))"),"VerifyBasketExport")</f>
        <v>VerifyBasketExport</v>
      </c>
      <c r="C4" s="25" t="str">
        <f>IFERROR(__xludf.DUMMYFUNCTION("""COMPUTED_VALUE"""),"OpenTTFromPST")</f>
        <v>OpenTTFromPST</v>
      </c>
      <c r="D4" s="25" t="str">
        <f>IFERROR(__xludf.DUMMYFUNCTION("""COMPUTED_VALUE"""),"CreateNewSubLiveOrder")</f>
        <v>CreateNewSubLiveOrder</v>
      </c>
      <c r="E4" s="25" t="str">
        <f>IFERROR(__xludf.DUMMYFUNCTION("""COMPUTED_VALUE"""),"CreateReplaceLiveOrder")</f>
        <v>CreateReplaceLiveOrder</v>
      </c>
      <c r="F4" s="25" t="str">
        <f>IFERROR(__xludf.DUMMYFUNCTION("""COMPUTED_VALUE"""),"EnterDetailsOnTT")</f>
        <v>EnterDetailsOnTT</v>
      </c>
      <c r="G4" s="25" t="str">
        <f>IFERROR(__xludf.DUMMYFUNCTION("""COMPUTED_VALUE"""),"ViewAllocation")</f>
        <v>ViewAllocation</v>
      </c>
      <c r="H4" s="25" t="str">
        <f>IFERROR(__xludf.DUMMYFUNCTION("""COMPUTED_VALUE"""),"ValidateSymbolTT")</f>
        <v>ValidateSymbolTT</v>
      </c>
      <c r="I4" s="25" t="str">
        <f>IFERROR(__xludf.DUMMYFUNCTION("""COMPUTED_VALUE"""),"VerifyDataTT")</f>
        <v>VerifyDataTT</v>
      </c>
      <c r="J4" s="25" t="str">
        <f>IFERROR(__xludf.DUMMYFUNCTION("""COMPUTED_VALUE"""),"SetUIPreferencesTT")</f>
        <v>SetUIPreferencesTT</v>
      </c>
      <c r="K4" s="25" t="str">
        <f>IFERROR(__xludf.DUMMYFUNCTION("""COMPUTED_VALUE"""),"SetBrokerWisePreferencesTT")</f>
        <v>SetBrokerWisePreferencesTT</v>
      </c>
      <c r="L4" s="25" t="str">
        <f>IFERROR(__xludf.DUMMYFUNCTION("""COMPUTED_VALUE"""),"VerifyComplianceOrder")</f>
        <v>VerifyComplianceOrder</v>
      </c>
      <c r="M4" s="25" t="str">
        <f>IFERROR(__xludf.DUMMYFUNCTION("""COMPUTED_VALUE"""),"TradeNewSub")</f>
        <v>TradeNewSub</v>
      </c>
      <c r="N4" s="25" t="str">
        <f>IFERROR(__xludf.DUMMYFUNCTION("""COMPUTED_VALUE"""),"SendLiveBloomberg")</f>
        <v>SendLiveBloomberg</v>
      </c>
      <c r="O4" s="25" t="str">
        <f>IFERROR(__xludf.DUMMYFUNCTION("""COMPUTED_VALUE"""),"AddOptionTrade")</f>
        <v>AddOptionTrade</v>
      </c>
      <c r="P4" s="26" t="str">
        <f>IFERROR(__xludf.DUMMYFUNCTION("""COMPUTED_VALUE"""),"CreateComplianceOrder")</f>
        <v>CreateComplianceOrder</v>
      </c>
      <c r="Q4" s="26" t="str">
        <f>IFERROR(__xludf.DUMMYFUNCTION("""COMPUTED_VALUE"""),"CreateDoneAwayOrder")</f>
        <v>CreateDoneAwayOrder</v>
      </c>
      <c r="R4" s="26" t="str">
        <f>IFERROR(__xludf.DUMMYFUNCTION("""COMPUTED_VALUE"""),"CreateStageOrder")</f>
        <v>CreateStageOrder</v>
      </c>
      <c r="S4" s="26" t="str">
        <f>IFERROR(__xludf.DUMMYFUNCTION("""COMPUTED_VALUE"""),"ToggleBlombergOnRA")</f>
        <v>ToggleBlombergOnRA</v>
      </c>
      <c r="T4" s="26" t="str">
        <f>IFERROR(__xludf.DUMMYFUNCTION("""COMPUTED_VALUE"""),"CreateReplaceOrder")</f>
        <v>CreateReplaceOrder</v>
      </c>
      <c r="U4" s="26" t="str">
        <f>IFERROR(__xludf.DUMMYFUNCTION("""COMPUTED_VALUE"""),"RemoveSymbolFromRAList")</f>
        <v>RemoveSymbolFromRAList</v>
      </c>
      <c r="V4" s="26" t="str">
        <f>IFERROR(__xludf.DUMMYFUNCTION("""COMPUTED_VALUE"""),"DeleteSymbolListFromRA")</f>
        <v>DeleteSymbolListFromRA</v>
      </c>
      <c r="W4" s="26" t="str">
        <f>IFERROR(__xludf.DUMMYFUNCTION("""COMPUTED_VALUE"""),"AddSymbolOnRAList")</f>
        <v>AddSymbolOnRAList</v>
      </c>
      <c r="X4" s="26" t="str">
        <f>IFERROR(__xludf.DUMMYFUNCTION("""COMPUTED_VALUE"""),"CheckPendingNewOrderAlert")</f>
        <v>CheckPendingNewOrderAlert</v>
      </c>
      <c r="Y4" s="26" t="str">
        <f>IFERROR(__xludf.DUMMYFUNCTION("""COMPUTED_VALUE"""),"ExportSymbolFromRAList")</f>
        <v>ExportSymbolFromRAList</v>
      </c>
      <c r="Z4" s="26" t="str">
        <f>IFERROR(__xludf.DUMMYFUNCTION("""COMPUTED_VALUE"""),"ImportSymbol")</f>
        <v>ImportSymbol</v>
      </c>
      <c r="AA4" s="26" t="str">
        <f>IFERROR(__xludf.DUMMYFUNCTION("""COMPUTED_VALUE"""),"SetGeneralPreference")</f>
        <v>SetGeneralPreference</v>
      </c>
      <c r="AB4" s="26" t="str">
        <f>IFERROR(__xludf.DUMMYFUNCTION("""COMPUTED_VALUE"""),"SetTTCompliancePreference")</f>
        <v>SetTTCompliancePreference</v>
      </c>
      <c r="AC4" s="26" t="str">
        <f>IFERROR(__xludf.DUMMYFUNCTION("""COMPUTED_VALUE"""),"UpdateMasterFundOnTT")</f>
        <v>UpdateMasterFundOnTT</v>
      </c>
      <c r="AD4" s="26" t="str">
        <f>IFERROR(__xludf.DUMMYFUNCTION("""COMPUTED_VALUE"""),"CreateLiveOrder")</f>
        <v>CreateLiveOrder</v>
      </c>
      <c r="AE4" s="26" t="str">
        <f>IFERROR(__xludf.DUMMYFUNCTION("""COMPUTED_VALUE"""),"CreateNewSubOrder")</f>
        <v>CreateNewSubOrder</v>
      </c>
      <c r="AF4" s="26" t="str">
        <f>IFERROR(__xludf.DUMMYFUNCTION("""COMPUTED_VALUE"""),"TradeBloomberg")</f>
        <v>TradeBloomberg</v>
      </c>
      <c r="AG4" s="26" t="str">
        <f>IFERROR(__xludf.DUMMYFUNCTION("""COMPUTED_VALUE"""),"ClickSymbolLookup")</f>
        <v>ClickSymbolLookup</v>
      </c>
      <c r="AH4" s="26" t="str">
        <f>IFERROR(__xludf.DUMMYFUNCTION("""COMPUTED_VALUE"""),"VerifyTT")</f>
        <v>VerifyTT</v>
      </c>
      <c r="AI4" s="26" t="str">
        <f>IFERROR(__xludf.DUMMYFUNCTION("""COMPUTED_VALUE"""),"VerifyCustomAllocationonTT")</f>
        <v>VerifyCustomAllocationonTT</v>
      </c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IFERROR(__xludf.DUMMYFUNCTION("""COMPUTED_VALUE"""),"Increase/Decrease Quantity")</f>
        <v>Increase/Decrease Quantity</v>
      </c>
      <c r="AY5" s="30" t="str">
        <f>IFERROR(__xludf.DUMMYFUNCTION("""COMPUTED_VALUE"""),"Master Funds")</f>
        <v>Master Funds</v>
      </c>
      <c r="AZ5" s="30" t="str">
        <f>IFERROR(__xludf.DUMMYFUNCTION("""COMPUTED_VALUE"""),"TRVAccountName")</f>
        <v>TRVAccountName</v>
      </c>
      <c r="BA5" s="30" t="str">
        <f>IFERROR(__xludf.DUMMYFUNCTION("""COMPUTED_VALUE"""),"TRVTradeQuantity")</f>
        <v>TRVTradeQuantity</v>
      </c>
      <c r="BB5" s="30" t="str">
        <f>IFERROR(__xludf.DUMMYFUNCTION("""COMPUTED_VALUE"""),"TRVCurrentPosition")</f>
        <v>TRVCurrentPosition</v>
      </c>
      <c r="BC5" s="30" t="str">
        <f>IFERROR(__xludf.DUMMYFUNCTION("""COMPUTED_VALUE"""),"TRVNav")</f>
        <v>TRVNav</v>
      </c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16</v>
      </c>
      <c r="C6" s="31" t="s">
        <v>17</v>
      </c>
      <c r="D6" s="32">
        <v>100.0</v>
      </c>
      <c r="E6" s="32">
        <v>100.0</v>
      </c>
      <c r="F6" s="31" t="s">
        <v>18</v>
      </c>
      <c r="G6" s="31"/>
      <c r="H6" s="31"/>
      <c r="I6" s="31"/>
      <c r="J6" s="33">
        <v>10.0</v>
      </c>
      <c r="K6" s="31"/>
      <c r="L6" s="31"/>
      <c r="M6" s="31"/>
      <c r="N6" s="34">
        <f t="shared" ref="N6:N7" si="1">TODAY()-1</f>
        <v>45196</v>
      </c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/>
      <c r="AK6" s="31"/>
      <c r="AL6" s="31"/>
      <c r="AM6" s="31"/>
      <c r="AN6" s="31"/>
      <c r="AO6" s="31"/>
      <c r="AP6" s="31"/>
      <c r="AQ6" s="31"/>
      <c r="AR6" s="31"/>
      <c r="AS6" s="31"/>
      <c r="AT6" s="31"/>
      <c r="AU6" s="31"/>
      <c r="AV6" s="31"/>
      <c r="AW6" s="31"/>
      <c r="AX6" s="31"/>
      <c r="AY6" s="31"/>
      <c r="AZ6" s="31"/>
      <c r="BA6" s="31"/>
      <c r="BB6" s="31"/>
      <c r="BC6" s="31"/>
      <c r="BD6" s="31"/>
      <c r="BE6" s="31"/>
      <c r="BF6" s="31"/>
      <c r="BG6" s="31"/>
      <c r="BH6" s="31"/>
      <c r="BI6" s="31"/>
      <c r="BJ6" s="31"/>
      <c r="BK6" s="31"/>
      <c r="BL6" s="31"/>
      <c r="BM6" s="31"/>
      <c r="BN6" s="31"/>
      <c r="BO6" s="31"/>
      <c r="BP6" s="31"/>
      <c r="BQ6" s="31"/>
      <c r="BR6" s="31"/>
      <c r="BS6" s="31"/>
      <c r="BT6" s="31"/>
      <c r="BU6" s="31"/>
      <c r="BV6" s="31"/>
      <c r="BW6" s="31"/>
      <c r="BX6" s="31"/>
      <c r="BY6" s="31"/>
      <c r="BZ6" s="31"/>
      <c r="CA6" s="31"/>
      <c r="CB6" s="31"/>
      <c r="CC6" s="31"/>
      <c r="CD6" s="31"/>
      <c r="CE6" s="31"/>
      <c r="CF6" s="31"/>
      <c r="CG6" s="31"/>
      <c r="CH6" s="31"/>
      <c r="CI6" s="31"/>
      <c r="CJ6" s="31"/>
      <c r="CK6" s="31"/>
      <c r="CL6" s="31"/>
      <c r="CM6" s="31"/>
      <c r="CN6" s="31"/>
      <c r="CO6" s="31"/>
      <c r="CP6" s="31"/>
      <c r="CQ6" s="31"/>
      <c r="CR6" s="31"/>
      <c r="CS6" s="31"/>
      <c r="CT6" s="31"/>
      <c r="CU6" s="31"/>
      <c r="CV6" s="31"/>
      <c r="CW6" s="31"/>
      <c r="CX6" s="31"/>
      <c r="CY6" s="31"/>
      <c r="CZ6" s="31"/>
      <c r="DA6" s="31"/>
      <c r="DB6" s="31"/>
      <c r="DC6" s="31"/>
      <c r="DD6" s="31"/>
      <c r="DE6" s="31"/>
      <c r="DF6" s="31"/>
      <c r="DG6" s="31"/>
      <c r="DH6" s="31"/>
      <c r="DI6" s="31"/>
      <c r="DJ6" s="31"/>
      <c r="DK6" s="31"/>
      <c r="DL6" s="31"/>
      <c r="DM6" s="31"/>
      <c r="DN6" s="31"/>
      <c r="DO6" s="31"/>
      <c r="DP6" s="31"/>
      <c r="DQ6" s="31"/>
      <c r="DR6" s="31"/>
      <c r="DS6" s="31"/>
      <c r="DT6" s="31"/>
      <c r="DU6" s="31"/>
      <c r="DV6" s="31"/>
      <c r="DW6" s="31"/>
      <c r="DX6" s="31"/>
      <c r="DY6" s="31"/>
      <c r="DZ6" s="31"/>
      <c r="EA6" s="31"/>
      <c r="EB6" s="31"/>
      <c r="EC6" s="31"/>
      <c r="ED6" s="31"/>
      <c r="EE6" s="31"/>
      <c r="EF6" s="31"/>
      <c r="EG6" s="31"/>
      <c r="EH6" s="31"/>
      <c r="EI6" s="31"/>
      <c r="EJ6" s="31"/>
      <c r="EK6" s="31"/>
      <c r="EL6" s="31"/>
      <c r="EM6" s="31"/>
      <c r="EN6" s="31"/>
      <c r="EO6" s="31"/>
      <c r="EP6" s="31"/>
      <c r="EQ6" s="31"/>
      <c r="ER6" s="31"/>
      <c r="ES6" s="31"/>
      <c r="ET6" s="31"/>
      <c r="EU6" s="31"/>
      <c r="EV6" s="31"/>
      <c r="EW6" s="31"/>
      <c r="EX6" s="31"/>
    </row>
    <row r="7" ht="15.75" customHeight="1">
      <c r="A7" s="31"/>
      <c r="B7" s="31" t="s">
        <v>16</v>
      </c>
      <c r="C7" s="31" t="s">
        <v>17</v>
      </c>
      <c r="D7" s="32">
        <v>100.0</v>
      </c>
      <c r="E7" s="32">
        <v>100.0</v>
      </c>
      <c r="F7" s="31" t="s">
        <v>19</v>
      </c>
      <c r="G7" s="31"/>
      <c r="H7" s="31"/>
      <c r="I7" s="31"/>
      <c r="J7" s="33">
        <v>10.0</v>
      </c>
      <c r="K7" s="31"/>
      <c r="L7" s="31"/>
      <c r="M7" s="31"/>
      <c r="N7" s="34">
        <f t="shared" si="1"/>
        <v>45196</v>
      </c>
      <c r="O7" s="31"/>
      <c r="P7" s="31"/>
      <c r="Q7" s="31"/>
      <c r="R7" s="31"/>
      <c r="S7" s="31"/>
      <c r="T7" s="31"/>
      <c r="U7" s="31"/>
      <c r="V7" s="31"/>
      <c r="W7" s="31"/>
      <c r="X7" s="31"/>
      <c r="Y7" s="31"/>
      <c r="Z7" s="31"/>
      <c r="AA7" s="31"/>
      <c r="AB7" s="31"/>
      <c r="AC7" s="31"/>
      <c r="AD7" s="31"/>
      <c r="AE7" s="31"/>
      <c r="AF7" s="31"/>
      <c r="AG7" s="31"/>
      <c r="AH7" s="31"/>
      <c r="AI7" s="31"/>
      <c r="AJ7" s="31"/>
      <c r="AK7" s="31"/>
      <c r="AL7" s="31"/>
      <c r="AM7" s="31"/>
      <c r="AN7" s="31"/>
      <c r="AO7" s="31"/>
      <c r="AP7" s="31"/>
      <c r="AQ7" s="31"/>
      <c r="AR7" s="31"/>
      <c r="AS7" s="31"/>
      <c r="AT7" s="31"/>
      <c r="AU7" s="31"/>
      <c r="AV7" s="31"/>
      <c r="AW7" s="31"/>
      <c r="AX7" s="31"/>
      <c r="AY7" s="31"/>
      <c r="AZ7" s="31"/>
      <c r="BA7" s="31"/>
      <c r="BB7" s="31"/>
      <c r="BC7" s="31"/>
      <c r="BD7" s="31"/>
      <c r="BE7" s="31"/>
      <c r="BF7" s="31"/>
      <c r="BG7" s="31"/>
      <c r="BH7" s="31"/>
      <c r="BI7" s="31"/>
      <c r="BJ7" s="31"/>
      <c r="BK7" s="31"/>
      <c r="BL7" s="31"/>
      <c r="BM7" s="31"/>
      <c r="BN7" s="31"/>
      <c r="BO7" s="31"/>
      <c r="BP7" s="31"/>
      <c r="BQ7" s="31"/>
      <c r="BR7" s="31"/>
      <c r="BS7" s="31"/>
      <c r="BT7" s="31"/>
      <c r="BU7" s="31"/>
      <c r="BV7" s="31"/>
      <c r="BW7" s="31"/>
      <c r="BX7" s="31"/>
      <c r="BY7" s="31"/>
      <c r="BZ7" s="31"/>
      <c r="CA7" s="31"/>
      <c r="CB7" s="31"/>
      <c r="CC7" s="31"/>
      <c r="CD7" s="31"/>
      <c r="CE7" s="31"/>
      <c r="CF7" s="31"/>
      <c r="CG7" s="31"/>
      <c r="CH7" s="31"/>
      <c r="CI7" s="31"/>
      <c r="CJ7" s="31"/>
      <c r="CK7" s="31"/>
      <c r="CL7" s="31"/>
      <c r="CM7" s="31"/>
      <c r="CN7" s="31"/>
      <c r="CO7" s="31"/>
      <c r="CP7" s="31"/>
      <c r="CQ7" s="31"/>
      <c r="CR7" s="31"/>
      <c r="CS7" s="31"/>
      <c r="CT7" s="31"/>
      <c r="CU7" s="31"/>
      <c r="CV7" s="31"/>
      <c r="CW7" s="31"/>
      <c r="CX7" s="31"/>
      <c r="CY7" s="31"/>
      <c r="CZ7" s="31"/>
      <c r="DA7" s="31"/>
      <c r="DB7" s="31"/>
      <c r="DC7" s="31"/>
      <c r="DD7" s="31"/>
      <c r="DE7" s="31"/>
      <c r="DF7" s="31"/>
      <c r="DG7" s="31"/>
      <c r="DH7" s="31"/>
      <c r="DI7" s="31"/>
      <c r="DJ7" s="31"/>
      <c r="DK7" s="31"/>
      <c r="DL7" s="31"/>
      <c r="DM7" s="31"/>
      <c r="DN7" s="31"/>
      <c r="DO7" s="31"/>
      <c r="DP7" s="31"/>
      <c r="DQ7" s="31"/>
      <c r="DR7" s="31"/>
      <c r="DS7" s="31"/>
      <c r="DT7" s="31"/>
      <c r="DU7" s="31"/>
      <c r="DV7" s="31"/>
      <c r="DW7" s="31"/>
      <c r="DX7" s="31"/>
      <c r="DY7" s="31"/>
      <c r="DZ7" s="31"/>
      <c r="EA7" s="31"/>
      <c r="EB7" s="31"/>
      <c r="EC7" s="31"/>
      <c r="ED7" s="31"/>
      <c r="EE7" s="31"/>
      <c r="EF7" s="31"/>
      <c r="EG7" s="31"/>
      <c r="EH7" s="31"/>
      <c r="EI7" s="31"/>
      <c r="EJ7" s="31"/>
      <c r="EK7" s="31"/>
      <c r="EL7" s="31"/>
      <c r="EM7" s="31"/>
      <c r="EN7" s="31"/>
      <c r="EO7" s="31"/>
      <c r="EP7" s="31"/>
      <c r="EQ7" s="31"/>
      <c r="ER7" s="31"/>
      <c r="ES7" s="31"/>
      <c r="ET7" s="31"/>
      <c r="EU7" s="31"/>
      <c r="EV7" s="31"/>
      <c r="EW7" s="31"/>
      <c r="EX7" s="31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CreateDoneAwayOrder!$4:$4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20</v>
      </c>
      <c r="D3" s="5" t="s">
        <v>9</v>
      </c>
      <c r="E3" s="23" t="s">
        <v>21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IFERROR(__xludf.DUMMYFUNCTION("IF(C3="""","""",Transpose(IMPORTRANGE('_Settings'!$B$3,C3&amp;""!A4:A1000"")))"),"FilterBlankMP")</f>
        <v>FilterBlankMP</v>
      </c>
      <c r="C4" s="25" t="str">
        <f>IFERROR(__xludf.DUMMYFUNCTION("""COMPUTED_VALUE"""),"UpdateBlankMP")</f>
        <v>UpdateBlankMP</v>
      </c>
      <c r="D4" s="25" t="str">
        <f>IFERROR(__xludf.DUMMYFUNCTION("""COMPUTED_VALUE"""),"UpateSymbolBlankMP")</f>
        <v>UpateSymbolBlankMP</v>
      </c>
      <c r="E4" s="25" t="str">
        <f>IFERROR(__xludf.DUMMYFUNCTION("""COMPUTED_VALUE"""),"EnableBlankMarkPrices")</f>
        <v>EnableBlankMarkPrices</v>
      </c>
      <c r="F4" s="25" t="str">
        <f>IFERROR(__xludf.DUMMYFUNCTION("""COMPUTED_VALUE"""),"UpdateBeta")</f>
        <v>UpdateBeta</v>
      </c>
      <c r="G4" s="25" t="str">
        <f>IFERROR(__xludf.DUMMYFUNCTION("""COMPUTED_VALUE"""),"UpdateDailyCash")</f>
        <v>UpdateDailyCash</v>
      </c>
      <c r="H4" s="25" t="str">
        <f>IFERROR(__xludf.DUMMYFUNCTION("""COMPUTED_VALUE"""),"UpdateMultipleDailyCash")</f>
        <v>UpdateMultipleDailyCash</v>
      </c>
      <c r="I4" s="25" t="str">
        <f>IFERROR(__xludf.DUMMYFUNCTION("""COMPUTED_VALUE"""),"UpdateForexConversion")</f>
        <v>UpdateForexConversion</v>
      </c>
      <c r="J4" s="25" t="str">
        <f>IFERROR(__xludf.DUMMYFUNCTION("""COMPUTED_VALUE"""),"UpdateMarkPrice")</f>
        <v>UpdateMarkPrice</v>
      </c>
      <c r="K4" s="25" t="str">
        <f>IFERROR(__xludf.DUMMYFUNCTION("""COMPUTED_VALUE"""),"CleanUp")</f>
        <v>CleanUp</v>
      </c>
      <c r="L4" s="25" t="str">
        <f>IFERROR(__xludf.DUMMYFUNCTION("""COMPUTED_VALUE"""),"GetMarkPriceData")</f>
        <v>GetMarkPriceData</v>
      </c>
      <c r="M4" s="25" t="str">
        <f>IFERROR(__xludf.DUMMYFUNCTION("""COMPUTED_VALUE"""),"GetForwardPoints")</f>
        <v>GetForwardPoints</v>
      </c>
      <c r="N4" s="25" t="str">
        <f>IFERROR(__xludf.DUMMYFUNCTION("""COMPUTED_VALUE"""),"UpdateForwardPoints")</f>
        <v>UpdateForwardPoints</v>
      </c>
      <c r="O4" s="25" t="str">
        <f>IFERROR(__xludf.DUMMYFUNCTION("""COMPUTED_VALUE"""),"GetForexConversion")</f>
        <v>GetForexConversion</v>
      </c>
      <c r="P4" s="26" t="str">
        <f>IFERROR(__xludf.DUMMYFUNCTION("""COMPUTED_VALUE"""),"DeleteNAV")</f>
        <v>DeleteNAV</v>
      </c>
      <c r="Q4" s="26" t="str">
        <f>IFERROR(__xludf.DUMMYFUNCTION("""COMPUTED_VALUE"""),"GetDailyCash")</f>
        <v>GetDailyCash</v>
      </c>
      <c r="R4" s="26" t="str">
        <f>IFERROR(__xludf.DUMMYFUNCTION("""COMPUTED_VALUE"""),"GetDailyBeta")</f>
        <v>GetDailyBeta</v>
      </c>
      <c r="S4" s="26" t="str">
        <f>IFERROR(__xludf.DUMMYFUNCTION("""COMPUTED_VALUE"""),"GetDailyVolatility")</f>
        <v>GetDailyVolatility</v>
      </c>
      <c r="T4" s="26" t="str">
        <f>IFERROR(__xludf.DUMMYFUNCTION("""COMPUTED_VALUE"""),"GetDailyDividendYield")</f>
        <v>GetDailyDividendYield</v>
      </c>
      <c r="U4" s="26" t="str">
        <f>IFERROR(__xludf.DUMMYFUNCTION("""COMPUTED_VALUE"""),"GetDailyTradingVolume")</f>
        <v>GetDailyTradingVolume</v>
      </c>
      <c r="V4" s="26" t="str">
        <f>IFERROR(__xludf.DUMMYFUNCTION("""COMPUTED_VALUE"""),"GetDailyOutstandings")</f>
        <v>GetDailyOutstandings</v>
      </c>
      <c r="W4" s="26" t="str">
        <f>IFERROR(__xludf.DUMMYFUNCTION("""COMPUTED_VALUE"""),"VerifyDailyCash")</f>
        <v>VerifyDailyCash</v>
      </c>
      <c r="X4" s="26" t="str">
        <f>IFERROR(__xludf.DUMMYFUNCTION("""COMPUTED_VALUE"""),"GetDailyDelta")</f>
        <v>GetDailyDelta</v>
      </c>
      <c r="Y4" s="26" t="str">
        <f>IFERROR(__xludf.DUMMYFUNCTION("""COMPUTED_VALUE"""),"UpdateDailyVolatility")</f>
        <v>UpdateDailyVolatility</v>
      </c>
      <c r="Z4" s="26" t="str">
        <f>IFERROR(__xludf.DUMMYFUNCTION("""COMPUTED_VALUE"""),"UpdateDividendYield")</f>
        <v>UpdateDividendYield</v>
      </c>
      <c r="AA4" s="26" t="str">
        <f>IFERROR(__xludf.DUMMYFUNCTION("""COMPUTED_VALUE"""),"UpdateTradingVolume")</f>
        <v>UpdateTradingVolume</v>
      </c>
      <c r="AB4" s="26" t="str">
        <f>IFERROR(__xludf.DUMMYFUNCTION("""COMPUTED_VALUE"""),"UpdateDailyDelta")</f>
        <v>UpdateDailyDelta</v>
      </c>
      <c r="AC4" s="26" t="str">
        <f>IFERROR(__xludf.DUMMYFUNCTION("""COMPUTED_VALUE"""),"UpdateDailyOutstandings")</f>
        <v>UpdateDailyOutstandings</v>
      </c>
      <c r="AD4" s="26" t="str">
        <f>IFERROR(__xludf.DUMMYFUNCTION("""COMPUTED_VALUE"""),"UpdateBeta")</f>
        <v>UpdateBeta</v>
      </c>
      <c r="AE4" s="26" t="str">
        <f>IFERROR(__xludf.DUMMYFUNCTION("""COMPUTED_VALUE"""),"UpdateNAV")</f>
        <v>UpdateNAV</v>
      </c>
      <c r="AF4" s="26" t="str">
        <f>IFERROR(__xludf.DUMMYFUNCTION("""COMPUTED_VALUE"""),"UpdateDailyCash")</f>
        <v>UpdateDailyCash</v>
      </c>
      <c r="AG4" s="26" t="str">
        <f>IFERROR(__xludf.DUMMYFUNCTION("""COMPUTED_VALUE"""),"UpdateDailyCreditLimt")</f>
        <v>UpdateDailyCreditLimt</v>
      </c>
      <c r="AH4" s="26" t="str">
        <f>IFERROR(__xludf.DUMMYFUNCTION("""COMPUTED_VALUE"""),"RemoveDailyCreditLimit")</f>
        <v>RemoveDailyCreditLimit</v>
      </c>
      <c r="AI4" s="26" t="str">
        <f>IFERROR(__xludf.DUMMYFUNCTION("""COMPUTED_VALUE"""),"RemoveDailyCash")</f>
        <v>RemoveDailyCash</v>
      </c>
      <c r="AJ4" s="26" t="str">
        <f>IFERROR(__xludf.DUMMYFUNCTION("""COMPUTED_VALUE"""),"RemoveNAV")</f>
        <v>RemoveNAV</v>
      </c>
      <c r="AK4" s="26" t="str">
        <f>IFERROR(__xludf.DUMMYFUNCTION("""COMPUTED_VALUE"""),"UpdateMarkPriceMonthly")</f>
        <v>UpdateMarkPriceMonthly</v>
      </c>
      <c r="AL4" s="26" t="str">
        <f>IFERROR(__xludf.DUMMYFUNCTION("""COMPUTED_VALUE"""),"UpdateForexConversionMonthly")</f>
        <v>UpdateForexConversionMonthly</v>
      </c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IFERROR(__xludf.DUMMYFUNCTION("""COMPUTED_VALUE"""),"Select Date")</f>
        <v>Select Date</v>
      </c>
      <c r="C5" s="28" t="str">
        <f>IFERROR(__xludf.DUMMYFUNCTION("""COMPUTED_VALUE"""),"Copy From")</f>
        <v>Copy From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8"/>
      <c r="B6" s="35">
        <f t="shared" ref="B6:C6" si="1">TODAY()-1</f>
        <v>45196</v>
      </c>
      <c r="C6" s="35">
        <f t="shared" si="1"/>
        <v>45196</v>
      </c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GetDailyCash!$4:$4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20</v>
      </c>
      <c r="D3" s="5" t="s">
        <v>9</v>
      </c>
      <c r="E3" s="23" t="s">
        <v>22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IFERROR(__xludf.DUMMYFUNCTION("IF(C3="""","""",Transpose(IMPORTRANGE('_Settings'!$B$3,C3&amp;""!A4:A1000"")))"),"FilterBlankMP")</f>
        <v>FilterBlankMP</v>
      </c>
      <c r="C4" s="25" t="str">
        <f>IFERROR(__xludf.DUMMYFUNCTION("""COMPUTED_VALUE"""),"UpdateBlankMP")</f>
        <v>UpdateBlankMP</v>
      </c>
      <c r="D4" s="25" t="str">
        <f>IFERROR(__xludf.DUMMYFUNCTION("""COMPUTED_VALUE"""),"UpateSymbolBlankMP")</f>
        <v>UpateSymbolBlankMP</v>
      </c>
      <c r="E4" s="25" t="str">
        <f>IFERROR(__xludf.DUMMYFUNCTION("""COMPUTED_VALUE"""),"EnableBlankMarkPrices")</f>
        <v>EnableBlankMarkPrices</v>
      </c>
      <c r="F4" s="25" t="str">
        <f>IFERROR(__xludf.DUMMYFUNCTION("""COMPUTED_VALUE"""),"UpdateBeta")</f>
        <v>UpdateBeta</v>
      </c>
      <c r="G4" s="25" t="str">
        <f>IFERROR(__xludf.DUMMYFUNCTION("""COMPUTED_VALUE"""),"UpdateDailyCash")</f>
        <v>UpdateDailyCash</v>
      </c>
      <c r="H4" s="25" t="str">
        <f>IFERROR(__xludf.DUMMYFUNCTION("""COMPUTED_VALUE"""),"UpdateMultipleDailyCash")</f>
        <v>UpdateMultipleDailyCash</v>
      </c>
      <c r="I4" s="25" t="str">
        <f>IFERROR(__xludf.DUMMYFUNCTION("""COMPUTED_VALUE"""),"UpdateForexConversion")</f>
        <v>UpdateForexConversion</v>
      </c>
      <c r="J4" s="25" t="str">
        <f>IFERROR(__xludf.DUMMYFUNCTION("""COMPUTED_VALUE"""),"UpdateMarkPrice")</f>
        <v>UpdateMarkPrice</v>
      </c>
      <c r="K4" s="25" t="str">
        <f>IFERROR(__xludf.DUMMYFUNCTION("""COMPUTED_VALUE"""),"CleanUp")</f>
        <v>CleanUp</v>
      </c>
      <c r="L4" s="25" t="str">
        <f>IFERROR(__xludf.DUMMYFUNCTION("""COMPUTED_VALUE"""),"GetMarkPriceData")</f>
        <v>GetMarkPriceData</v>
      </c>
      <c r="M4" s="25" t="str">
        <f>IFERROR(__xludf.DUMMYFUNCTION("""COMPUTED_VALUE"""),"GetForwardPoints")</f>
        <v>GetForwardPoints</v>
      </c>
      <c r="N4" s="25" t="str">
        <f>IFERROR(__xludf.DUMMYFUNCTION("""COMPUTED_VALUE"""),"UpdateForwardPoints")</f>
        <v>UpdateForwardPoints</v>
      </c>
      <c r="O4" s="25" t="str">
        <f>IFERROR(__xludf.DUMMYFUNCTION("""COMPUTED_VALUE"""),"GetForexConversion")</f>
        <v>GetForexConversion</v>
      </c>
      <c r="P4" s="26" t="str">
        <f>IFERROR(__xludf.DUMMYFUNCTION("""COMPUTED_VALUE"""),"DeleteNAV")</f>
        <v>DeleteNAV</v>
      </c>
      <c r="Q4" s="26" t="str">
        <f>IFERROR(__xludf.DUMMYFUNCTION("""COMPUTED_VALUE"""),"GetDailyCash")</f>
        <v>GetDailyCash</v>
      </c>
      <c r="R4" s="26" t="str">
        <f>IFERROR(__xludf.DUMMYFUNCTION("""COMPUTED_VALUE"""),"GetDailyBeta")</f>
        <v>GetDailyBeta</v>
      </c>
      <c r="S4" s="26" t="str">
        <f>IFERROR(__xludf.DUMMYFUNCTION("""COMPUTED_VALUE"""),"GetDailyVolatility")</f>
        <v>GetDailyVolatility</v>
      </c>
      <c r="T4" s="26" t="str">
        <f>IFERROR(__xludf.DUMMYFUNCTION("""COMPUTED_VALUE"""),"GetDailyDividendYield")</f>
        <v>GetDailyDividendYield</v>
      </c>
      <c r="U4" s="26" t="str">
        <f>IFERROR(__xludf.DUMMYFUNCTION("""COMPUTED_VALUE"""),"GetDailyTradingVolume")</f>
        <v>GetDailyTradingVolume</v>
      </c>
      <c r="V4" s="26" t="str">
        <f>IFERROR(__xludf.DUMMYFUNCTION("""COMPUTED_VALUE"""),"GetDailyOutstandings")</f>
        <v>GetDailyOutstandings</v>
      </c>
      <c r="W4" s="26" t="str">
        <f>IFERROR(__xludf.DUMMYFUNCTION("""COMPUTED_VALUE"""),"VerifyDailyCash")</f>
        <v>VerifyDailyCash</v>
      </c>
      <c r="X4" s="26" t="str">
        <f>IFERROR(__xludf.DUMMYFUNCTION("""COMPUTED_VALUE"""),"GetDailyDelta")</f>
        <v>GetDailyDelta</v>
      </c>
      <c r="Y4" s="26" t="str">
        <f>IFERROR(__xludf.DUMMYFUNCTION("""COMPUTED_VALUE"""),"UpdateDailyVolatility")</f>
        <v>UpdateDailyVolatility</v>
      </c>
      <c r="Z4" s="26" t="str">
        <f>IFERROR(__xludf.DUMMYFUNCTION("""COMPUTED_VALUE"""),"UpdateDividendYield")</f>
        <v>UpdateDividendYield</v>
      </c>
      <c r="AA4" s="26" t="str">
        <f>IFERROR(__xludf.DUMMYFUNCTION("""COMPUTED_VALUE"""),"UpdateTradingVolume")</f>
        <v>UpdateTradingVolume</v>
      </c>
      <c r="AB4" s="26" t="str">
        <f>IFERROR(__xludf.DUMMYFUNCTION("""COMPUTED_VALUE"""),"UpdateDailyDelta")</f>
        <v>UpdateDailyDelta</v>
      </c>
      <c r="AC4" s="26" t="str">
        <f>IFERROR(__xludf.DUMMYFUNCTION("""COMPUTED_VALUE"""),"UpdateDailyOutstandings")</f>
        <v>UpdateDailyOutstandings</v>
      </c>
      <c r="AD4" s="26" t="str">
        <f>IFERROR(__xludf.DUMMYFUNCTION("""COMPUTED_VALUE"""),"UpdateBeta")</f>
        <v>UpdateBeta</v>
      </c>
      <c r="AE4" s="26" t="str">
        <f>IFERROR(__xludf.DUMMYFUNCTION("""COMPUTED_VALUE"""),"UpdateNAV")</f>
        <v>UpdateNAV</v>
      </c>
      <c r="AF4" s="26" t="str">
        <f>IFERROR(__xludf.DUMMYFUNCTION("""COMPUTED_VALUE"""),"UpdateDailyCash")</f>
        <v>UpdateDailyCash</v>
      </c>
      <c r="AG4" s="26" t="str">
        <f>IFERROR(__xludf.DUMMYFUNCTION("""COMPUTED_VALUE"""),"UpdateDailyCreditLimt")</f>
        <v>UpdateDailyCreditLimt</v>
      </c>
      <c r="AH4" s="26" t="str">
        <f>IFERROR(__xludf.DUMMYFUNCTION("""COMPUTED_VALUE"""),"RemoveDailyCreditLimit")</f>
        <v>RemoveDailyCreditLimit</v>
      </c>
      <c r="AI4" s="26" t="str">
        <f>IFERROR(__xludf.DUMMYFUNCTION("""COMPUTED_VALUE"""),"RemoveDailyCash")</f>
        <v>RemoveDailyCash</v>
      </c>
      <c r="AJ4" s="26" t="str">
        <f>IFERROR(__xludf.DUMMYFUNCTION("""COMPUTED_VALUE"""),"RemoveNAV")</f>
        <v>RemoveNAV</v>
      </c>
      <c r="AK4" s="26" t="str">
        <f>IFERROR(__xludf.DUMMYFUNCTION("""COMPUTED_VALUE"""),"UpdateMarkPriceMonthly")</f>
        <v>UpdateMarkPriceMonthly</v>
      </c>
      <c r="AL4" s="26" t="str">
        <f>IFERROR(__xludf.DUMMYFUNCTION("""COMPUTED_VALUE"""),"UpdateForexConversionMonthly")</f>
        <v>UpdateForexConversionMonthly</v>
      </c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IFERROR(__xludf.DUMMYFUNCTION("""COMPUTED_VALUE"""),"Account")</f>
        <v>Account</v>
      </c>
      <c r="C5" s="28" t="str">
        <f>IFERROR(__xludf.DUMMYFUNCTION("""COMPUTED_VALUE"""),"Local Currency")</f>
        <v>Local Currency</v>
      </c>
      <c r="D5" s="28" t="str">
        <f>IFERROR(__xludf.DUMMYFUNCTION("""COMPUTED_VALUE"""),"Cash Value Local")</f>
        <v>Cash Value Local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8"/>
      <c r="B6" s="36" t="s">
        <v>18</v>
      </c>
      <c r="C6" s="37" t="s">
        <v>23</v>
      </c>
      <c r="D6" s="38">
        <v>100000.0</v>
      </c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36" t="s">
        <v>19</v>
      </c>
      <c r="C7" s="39" t="s">
        <v>23</v>
      </c>
      <c r="D7" s="40">
        <v>100000.0</v>
      </c>
      <c r="E7" s="31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31"/>
      <c r="C8" s="31"/>
      <c r="D8" s="31"/>
      <c r="E8" s="31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31"/>
      <c r="C9" s="31"/>
      <c r="D9" s="31"/>
      <c r="E9" s="31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UpdateMultipleDailyCash!$4:$4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24</v>
      </c>
      <c r="D3" s="5" t="s">
        <v>9</v>
      </c>
      <c r="E3" s="23" t="s">
        <v>24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IFERROR(__xludf.DUMMYFUNCTION("IF(C3="""","""",Transpose(IMPORTRANGE('_Settings'!$B$3,C3&amp;""!A4:A1000"")))"),"PricingInput")</f>
        <v>PricingInput</v>
      </c>
      <c r="C4" s="25" t="str">
        <f>IFERROR(__xludf.DUMMYFUNCTION("""COMPUTED_VALUE"""),"UpdateSharesOutstanding")</f>
        <v>UpdateSharesOutstanding</v>
      </c>
      <c r="D4" s="25" t="str">
        <f>IFERROR(__xludf.DUMMYFUNCTION("""COMPUTED_VALUE"""),"UncheckDividendYield")</f>
        <v>UncheckDividendYield</v>
      </c>
      <c r="E4" s="25" t="str">
        <f>IFERROR(__xludf.DUMMYFUNCTION("""COMPUTED_VALUE"""),"EODTPreferences")</f>
        <v>EODTPreferences</v>
      </c>
      <c r="F4" s="25" t="str">
        <f>IFERROR(__xludf.DUMMYFUNCTION("""COMPUTED_VALUE"""),"LiveData")</f>
        <v>LiveData</v>
      </c>
      <c r="G4" s="25"/>
      <c r="H4" s="25"/>
      <c r="I4" s="25"/>
      <c r="J4" s="25"/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IFERROR(__xludf.DUMMYFUNCTION("""COMPUTED_VALUE"""),"User Px")</f>
        <v>User Px</v>
      </c>
      <c r="D5" s="28" t="str">
        <f>IFERROR(__xludf.DUMMYFUNCTION("""COMPUTED_VALUE"""),"Asset Class")</f>
        <v>Asset Class</v>
      </c>
      <c r="E5" s="28" t="str">
        <f>IFERROR(__xludf.DUMMYFUNCTION("""COMPUTED_VALUE"""),"Volatility(%)")</f>
        <v>Volatility(%)</v>
      </c>
      <c r="F5" s="29" t="str">
        <f>IFERROR(__xludf.DUMMYFUNCTION("""COMPUTED_VALUE"""),"Historical Volatility")</f>
        <v>Historical Volatility</v>
      </c>
      <c r="G5" s="28" t="str">
        <f>IFERROR(__xludf.DUMMYFUNCTION("""COMPUTED_VALUE"""),"User Volatility")</f>
        <v>User Volatility</v>
      </c>
      <c r="H5" s="28" t="str">
        <f>IFERROR(__xludf.DUMMYFUNCTION("""COMPUTED_VALUE"""),"Interest Rate")</f>
        <v>Interest Rate</v>
      </c>
      <c r="I5" s="28" t="str">
        <f>IFERROR(__xludf.DUMMYFUNCTION("""COMPUTED_VALUE"""),"User Interest Rate")</f>
        <v>User Interest Rate</v>
      </c>
      <c r="J5" s="28" t="str">
        <f>IFERROR(__xludf.DUMMYFUNCTION("""COMPUTED_VALUE"""),"Dividend Yield")</f>
        <v>Dividend Yield</v>
      </c>
      <c r="K5" s="28" t="str">
        <f>IFERROR(__xludf.DUMMYFUNCTION("""COMPUTED_VALUE"""),"User Dividend Yield")</f>
        <v>User Dividend Yield</v>
      </c>
      <c r="L5" s="28" t="str">
        <f>IFERROR(__xludf.DUMMYFUNCTION("""COMPUTED_VALUE"""),"Actual Delta")</f>
        <v>Actual Delta</v>
      </c>
      <c r="M5" s="28" t="str">
        <f>IFERROR(__xludf.DUMMYFUNCTION("""COMPUTED_VALUE"""),"User Delta")</f>
        <v>User Delta</v>
      </c>
      <c r="N5" s="28" t="str">
        <f>IFERROR(__xludf.DUMMYFUNCTION("""COMPUTED_VALUE"""),"Selected Px")</f>
        <v>Selected Px</v>
      </c>
      <c r="O5" s="28" t="str">
        <f>IFERROR(__xludf.DUMMYFUNCTION("""COMPUTED_VALUE"""),"Forward Points")</f>
        <v>Forward Points</v>
      </c>
      <c r="P5" s="28" t="str">
        <f>IFERROR(__xludf.DUMMYFUNCTION("""COMPUTED_VALUE"""),"Shares Outstanding")</f>
        <v>Shares Outstanding</v>
      </c>
      <c r="Q5" s="28" t="str">
        <f>IFERROR(__xludf.DUMMYFUNCTION("""COMPUTED_VALUE"""),"User Shares Outstanding")</f>
        <v>User Shares Outstanding</v>
      </c>
      <c r="R5" s="28" t="str">
        <f>IFERROR(__xludf.DUMMYFUNCTION("""COMPUTED_VALUE"""),"LastPriceUsed")</f>
        <v>LastPriceUsed</v>
      </c>
      <c r="S5" s="28" t="str">
        <f>IFERROR(__xludf.DUMMYFUNCTION("""COMPUTED_VALUE"""),"VolatilityUsed")</f>
        <v>VolatilityUsed</v>
      </c>
      <c r="T5" s="30" t="str">
        <f>IFERROR(__xludf.DUMMYFUNCTION("""COMPUTED_VALUE"""),"IntRateUsed")</f>
        <v>IntRateUsed</v>
      </c>
      <c r="U5" s="30" t="str">
        <f>IFERROR(__xludf.DUMMYFUNCTION("""COMPUTED_VALUE"""),"SM Shares Outstanding")</f>
        <v>SM Shares Outstanding</v>
      </c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8"/>
      <c r="B6" s="41" t="s">
        <v>16</v>
      </c>
      <c r="C6" s="33">
        <v>10.0</v>
      </c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PricingInput!$4:$4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25</v>
      </c>
      <c r="D3" s="5" t="s">
        <v>9</v>
      </c>
      <c r="E3" s="23" t="s">
        <v>26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IFERROR(__xludf.DUMMYFUNCTION("IF(C3="""","""",Transpose(IMPORTRANGE('_Settings'!$B$3,C3&amp;""!A4:A1000"")))"),"EditRebalanceGrid")</f>
        <v>EditRebalanceGrid</v>
      </c>
      <c r="C4" s="25" t="str">
        <f>IFERROR(__xludf.DUMMYFUNCTION("""COMPUTED_VALUE"""),"AddCustomCashUsingImport")</f>
        <v>AddCustomCashUsingImport</v>
      </c>
      <c r="D4" s="25" t="str">
        <f>IFERROR(__xludf.DUMMYFUNCTION("""COMPUTED_VALUE"""),"CloseRebalancer")</f>
        <v>CloseRebalancer</v>
      </c>
      <c r="E4" s="25" t="str">
        <f>IFERROR(__xludf.DUMMYFUNCTION("""COMPUTED_VALUE"""),"SymbologyChangeRB")</f>
        <v>SymbologyChangeRB</v>
      </c>
      <c r="F4" s="25" t="str">
        <f>IFERROR(__xludf.DUMMYFUNCTION("""COMPUTED_VALUE"""),"AddUserAdjustedNAV")</f>
        <v>AddUserAdjustedNAV</v>
      </c>
      <c r="G4" s="25" t="str">
        <f>IFERROR(__xludf.DUMMYFUNCTION("""COMPUTED_VALUE"""),"RebalanceViaBloomberg")</f>
        <v>RebalanceViaBloomberg</v>
      </c>
      <c r="H4" s="25" t="str">
        <f>IFERROR(__xludf.DUMMYFUNCTION("""COMPUTED_VALUE"""),"SendtoStaging")</f>
        <v>SendtoStaging</v>
      </c>
      <c r="I4" s="25" t="str">
        <f>IFERROR(__xludf.DUMMYFUNCTION("""COMPUTED_VALUE"""),"SendToStagingExport")</f>
        <v>SendToStagingExport</v>
      </c>
      <c r="J4" s="25" t="str">
        <f>IFERROR(__xludf.DUMMYFUNCTION("""COMPUTED_VALUE"""),"RefreshGridData")</f>
        <v>RefreshGridData</v>
      </c>
      <c r="K4" s="25" t="str">
        <f>IFERROR(__xludf.DUMMYFUNCTION("""COMPUTED_VALUE"""),"LockandUnlockGridData")</f>
        <v>LockandUnlockGridData</v>
      </c>
      <c r="L4" s="25" t="str">
        <f>IFERROR(__xludf.DUMMYFUNCTION("""COMPUTED_VALUE"""),"ModelPortfolio")</f>
        <v>ModelPortfolio</v>
      </c>
      <c r="M4" s="25" t="str">
        <f>IFERROR(__xludf.DUMMYFUNCTION("""COMPUTED_VALUE"""),"ModifyRebalance")</f>
        <v>ModifyRebalance</v>
      </c>
      <c r="N4" s="25" t="str">
        <f>IFERROR(__xludf.DUMMYFUNCTION("""COMPUTED_VALUE"""),"ClearCalculations")</f>
        <v>ClearCalculations</v>
      </c>
      <c r="O4" s="25" t="str">
        <f>IFERROR(__xludf.DUMMYFUNCTION("""COMPUTED_VALUE"""),"CheckBasketCompliance")</f>
        <v>CheckBasketCompliance</v>
      </c>
      <c r="P4" s="26" t="str">
        <f>IFERROR(__xludf.DUMMYFUNCTION("""COMPUTED_VALUE"""),"RebalanceAcrossSecurities")</f>
        <v>RebalanceAcrossSecurities</v>
      </c>
      <c r="Q4" s="26" t="str">
        <f>IFERROR(__xludf.DUMMYFUNCTION("""COMPUTED_VALUE"""),"ImportModelPortfolio")</f>
        <v>ImportModelPortfolio</v>
      </c>
      <c r="R4" s="26" t="str">
        <f>IFERROR(__xludf.DUMMYFUNCTION("""COMPUTED_VALUE"""),"RebalancePreference")</f>
        <v>RebalancePreference</v>
      </c>
      <c r="S4" s="26" t="str">
        <f>IFERROR(__xludf.DUMMYFUNCTION("""COMPUTED_VALUE"""),"EnableComplianceTab")</f>
        <v>EnableComplianceTab</v>
      </c>
      <c r="T4" s="26" t="str">
        <f>IFERROR(__xludf.DUMMYFUNCTION("""COMPUTED_VALUE"""),"RunRebalance")</f>
        <v>RunRebalance</v>
      </c>
      <c r="U4" s="26" t="str">
        <f>IFERROR(__xludf.DUMMYFUNCTION("""COMPUTED_VALUE"""),"VerifyGridData")</f>
        <v>VerifyGridData</v>
      </c>
      <c r="V4" s="26" t="str">
        <f>IFERROR(__xludf.DUMMYFUNCTION("""COMPUTED_VALUE"""),"AddCash")</f>
        <v>AddCash</v>
      </c>
      <c r="W4" s="26" t="str">
        <f>IFERROR(__xludf.DUMMYFUNCTION("""COMPUTED_VALUE"""),"FetchAccountPositions")</f>
        <v>FetchAccountPositions</v>
      </c>
      <c r="X4" s="26" t="str">
        <f>IFERROR(__xludf.DUMMYFUNCTION("""COMPUTED_VALUE"""),"NavImpactingComponent")</f>
        <v>NavImpactingComponent</v>
      </c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IFERROR(__xludf.DUMMYFUNCTION("""COMPUTED_VALUE"""),"Account/Groups")</f>
        <v>Account/Groups</v>
      </c>
      <c r="C5" s="28" t="str">
        <f>IFERROR(__xludf.DUMMYFUNCTION("""COMPUTED_VALUE"""),"Account Positions")</f>
        <v>Account Positions</v>
      </c>
      <c r="D5" s="28" t="str">
        <f>IFERROR(__xludf.DUMMYFUNCTION("""COMPUTED_VALUE"""),"Calculation Level")</f>
        <v>Calculation Level</v>
      </c>
      <c r="E5" s="28" t="str">
        <f>IFERROR(__xludf.DUMMYFUNCTION("""COMPUTED_VALUE"""),"Refresh")</f>
        <v>Refresh</v>
      </c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8"/>
      <c r="B6" s="42" t="s">
        <v>27</v>
      </c>
      <c r="C6" s="43" t="s">
        <v>28</v>
      </c>
      <c r="D6" s="43" t="s">
        <v>29</v>
      </c>
      <c r="E6" s="43" t="s">
        <v>30</v>
      </c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FetchAccountPositions!$4:$4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25</v>
      </c>
      <c r="D3" s="5" t="s">
        <v>9</v>
      </c>
      <c r="E3" s="23" t="s">
        <v>31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IFERROR(__xludf.DUMMYFUNCTION("IF(C3="""","""",Transpose(IMPORTRANGE('_Settings'!$B$3,C3&amp;""!A4:A1000"")))"),"EditRebalanceGrid")</f>
        <v>EditRebalanceGrid</v>
      </c>
      <c r="C4" s="25" t="str">
        <f>IFERROR(__xludf.DUMMYFUNCTION("""COMPUTED_VALUE"""),"AddCustomCashUsingImport")</f>
        <v>AddCustomCashUsingImport</v>
      </c>
      <c r="D4" s="25" t="str">
        <f>IFERROR(__xludf.DUMMYFUNCTION("""COMPUTED_VALUE"""),"CloseRebalancer")</f>
        <v>CloseRebalancer</v>
      </c>
      <c r="E4" s="25" t="str">
        <f>IFERROR(__xludf.DUMMYFUNCTION("""COMPUTED_VALUE"""),"SymbologyChangeRB")</f>
        <v>SymbologyChangeRB</v>
      </c>
      <c r="F4" s="25" t="str">
        <f>IFERROR(__xludf.DUMMYFUNCTION("""COMPUTED_VALUE"""),"AddUserAdjustedNAV")</f>
        <v>AddUserAdjustedNAV</v>
      </c>
      <c r="G4" s="25" t="str">
        <f>IFERROR(__xludf.DUMMYFUNCTION("""COMPUTED_VALUE"""),"RebalanceViaBloomberg")</f>
        <v>RebalanceViaBloomberg</v>
      </c>
      <c r="H4" s="25" t="str">
        <f>IFERROR(__xludf.DUMMYFUNCTION("""COMPUTED_VALUE"""),"SendtoStaging")</f>
        <v>SendtoStaging</v>
      </c>
      <c r="I4" s="25" t="str">
        <f>IFERROR(__xludf.DUMMYFUNCTION("""COMPUTED_VALUE"""),"SendToStagingExport")</f>
        <v>SendToStagingExport</v>
      </c>
      <c r="J4" s="25" t="str">
        <f>IFERROR(__xludf.DUMMYFUNCTION("""COMPUTED_VALUE"""),"RefreshGridData")</f>
        <v>RefreshGridData</v>
      </c>
      <c r="K4" s="25" t="str">
        <f>IFERROR(__xludf.DUMMYFUNCTION("""COMPUTED_VALUE"""),"LockandUnlockGridData")</f>
        <v>LockandUnlockGridData</v>
      </c>
      <c r="L4" s="25" t="str">
        <f>IFERROR(__xludf.DUMMYFUNCTION("""COMPUTED_VALUE"""),"ModelPortfolio")</f>
        <v>ModelPortfolio</v>
      </c>
      <c r="M4" s="25" t="str">
        <f>IFERROR(__xludf.DUMMYFUNCTION("""COMPUTED_VALUE"""),"ModifyRebalance")</f>
        <v>ModifyRebalance</v>
      </c>
      <c r="N4" s="25" t="str">
        <f>IFERROR(__xludf.DUMMYFUNCTION("""COMPUTED_VALUE"""),"ClearCalculations")</f>
        <v>ClearCalculations</v>
      </c>
      <c r="O4" s="25" t="str">
        <f>IFERROR(__xludf.DUMMYFUNCTION("""COMPUTED_VALUE"""),"CheckBasketCompliance")</f>
        <v>CheckBasketCompliance</v>
      </c>
      <c r="P4" s="26" t="str">
        <f>IFERROR(__xludf.DUMMYFUNCTION("""COMPUTED_VALUE"""),"RebalanceAcrossSecurities")</f>
        <v>RebalanceAcrossSecurities</v>
      </c>
      <c r="Q4" s="26" t="str">
        <f>IFERROR(__xludf.DUMMYFUNCTION("""COMPUTED_VALUE"""),"ImportModelPortfolio")</f>
        <v>ImportModelPortfolio</v>
      </c>
      <c r="R4" s="26" t="str">
        <f>IFERROR(__xludf.DUMMYFUNCTION("""COMPUTED_VALUE"""),"RebalancePreference")</f>
        <v>RebalancePreference</v>
      </c>
      <c r="S4" s="26" t="str">
        <f>IFERROR(__xludf.DUMMYFUNCTION("""COMPUTED_VALUE"""),"EnableComplianceTab")</f>
        <v>EnableComplianceTab</v>
      </c>
      <c r="T4" s="26" t="str">
        <f>IFERROR(__xludf.DUMMYFUNCTION("""COMPUTED_VALUE"""),"RunRebalance")</f>
        <v>RunRebalance</v>
      </c>
      <c r="U4" s="26" t="str">
        <f>IFERROR(__xludf.DUMMYFUNCTION("""COMPUTED_VALUE"""),"VerifyGridData")</f>
        <v>VerifyGridData</v>
      </c>
      <c r="V4" s="26" t="str">
        <f>IFERROR(__xludf.DUMMYFUNCTION("""COMPUTED_VALUE"""),"AddCash")</f>
        <v>AddCash</v>
      </c>
      <c r="W4" s="26" t="str">
        <f>IFERROR(__xludf.DUMMYFUNCTION("""COMPUTED_VALUE"""),"FetchAccountPositions")</f>
        <v>FetchAccountPositions</v>
      </c>
      <c r="X4" s="26" t="str">
        <f>IFERROR(__xludf.DUMMYFUNCTION("""COMPUTED_VALUE"""),"NavImpactingComponent")</f>
        <v>NavImpactingComponent</v>
      </c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IFERROR(__xludf.DUMMYFUNCTION("""COMPUTED_VALUE"""),"Cash Flow(USD)")</f>
        <v>Cash Flow(USD)</v>
      </c>
      <c r="C5" s="28" t="str">
        <f>IFERROR(__xludf.DUMMYFUNCTION("""COMPUTED_VALUE"""),"Cash Flow Impact on NAV")</f>
        <v>Cash Flow Impact on NAV</v>
      </c>
      <c r="D5" s="28" t="str">
        <f>IFERROR(__xludf.DUMMYFUNCTION("""COMPUTED_VALUE"""),"Select Model")</f>
        <v>Select Model</v>
      </c>
      <c r="E5" s="28" t="str">
        <f>IFERROR(__xludf.DUMMYFUNCTION("""COMPUTED_VALUE"""),"Custom Cash Flow")</f>
        <v>Custom Cash Flow</v>
      </c>
      <c r="F5" s="29" t="str">
        <f>IFERROR(__xludf.DUMMYFUNCTION("""COMPUTED_VALUE"""),"MasterFund Groups")</f>
        <v>MasterFund Groups</v>
      </c>
      <c r="G5" s="28" t="str">
        <f>IFERROR(__xludf.DUMMYFUNCTION("""COMPUTED_VALUE"""),"Accounts")</f>
        <v>Accounts</v>
      </c>
      <c r="H5" s="28" t="str">
        <f>IFERROR(__xludf.DUMMYFUNCTION("""COMPUTED_VALUE"""),"Cash Flow Account Wise")</f>
        <v>Cash Flow Account Wise</v>
      </c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8"/>
      <c r="B6" s="13">
        <v>100000.0</v>
      </c>
      <c r="C6" s="13" t="s">
        <v>32</v>
      </c>
      <c r="D6" s="13" t="s">
        <v>33</v>
      </c>
      <c r="E6" s="8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AddCash!$4:$4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25</v>
      </c>
      <c r="D3" s="5" t="s">
        <v>9</v>
      </c>
      <c r="E3" s="23" t="s">
        <v>34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IFERROR(__xludf.DUMMYFUNCTION("IF(C3="""","""",Transpose(IMPORTRANGE('_Settings'!$B$3,C3&amp;""!A4:A1000"")))"),"EditRebalanceGrid")</f>
        <v>EditRebalanceGrid</v>
      </c>
      <c r="C4" s="25" t="str">
        <f>IFERROR(__xludf.DUMMYFUNCTION("""COMPUTED_VALUE"""),"AddCustomCashUsingImport")</f>
        <v>AddCustomCashUsingImport</v>
      </c>
      <c r="D4" s="25" t="str">
        <f>IFERROR(__xludf.DUMMYFUNCTION("""COMPUTED_VALUE"""),"CloseRebalancer")</f>
        <v>CloseRebalancer</v>
      </c>
      <c r="E4" s="25" t="str">
        <f>IFERROR(__xludf.DUMMYFUNCTION("""COMPUTED_VALUE"""),"SymbologyChangeRB")</f>
        <v>SymbologyChangeRB</v>
      </c>
      <c r="F4" s="25" t="str">
        <f>IFERROR(__xludf.DUMMYFUNCTION("""COMPUTED_VALUE"""),"AddUserAdjustedNAV")</f>
        <v>AddUserAdjustedNAV</v>
      </c>
      <c r="G4" s="25" t="str">
        <f>IFERROR(__xludf.DUMMYFUNCTION("""COMPUTED_VALUE"""),"RebalanceViaBloomberg")</f>
        <v>RebalanceViaBloomberg</v>
      </c>
      <c r="H4" s="25" t="str">
        <f>IFERROR(__xludf.DUMMYFUNCTION("""COMPUTED_VALUE"""),"SendtoStaging")</f>
        <v>SendtoStaging</v>
      </c>
      <c r="I4" s="25" t="str">
        <f>IFERROR(__xludf.DUMMYFUNCTION("""COMPUTED_VALUE"""),"SendToStagingExport")</f>
        <v>SendToStagingExport</v>
      </c>
      <c r="J4" s="25" t="str">
        <f>IFERROR(__xludf.DUMMYFUNCTION("""COMPUTED_VALUE"""),"RefreshGridData")</f>
        <v>RefreshGridData</v>
      </c>
      <c r="K4" s="25" t="str">
        <f>IFERROR(__xludf.DUMMYFUNCTION("""COMPUTED_VALUE"""),"LockandUnlockGridData")</f>
        <v>LockandUnlockGridData</v>
      </c>
      <c r="L4" s="25" t="str">
        <f>IFERROR(__xludf.DUMMYFUNCTION("""COMPUTED_VALUE"""),"ModelPortfolio")</f>
        <v>ModelPortfolio</v>
      </c>
      <c r="M4" s="25" t="str">
        <f>IFERROR(__xludf.DUMMYFUNCTION("""COMPUTED_VALUE"""),"ModifyRebalance")</f>
        <v>ModifyRebalance</v>
      </c>
      <c r="N4" s="25" t="str">
        <f>IFERROR(__xludf.DUMMYFUNCTION("""COMPUTED_VALUE"""),"ClearCalculations")</f>
        <v>ClearCalculations</v>
      </c>
      <c r="O4" s="25" t="str">
        <f>IFERROR(__xludf.DUMMYFUNCTION("""COMPUTED_VALUE"""),"CheckBasketCompliance")</f>
        <v>CheckBasketCompliance</v>
      </c>
      <c r="P4" s="26" t="str">
        <f>IFERROR(__xludf.DUMMYFUNCTION("""COMPUTED_VALUE"""),"RebalanceAcrossSecurities")</f>
        <v>RebalanceAcrossSecurities</v>
      </c>
      <c r="Q4" s="26" t="str">
        <f>IFERROR(__xludf.DUMMYFUNCTION("""COMPUTED_VALUE"""),"ImportModelPortfolio")</f>
        <v>ImportModelPortfolio</v>
      </c>
      <c r="R4" s="26" t="str">
        <f>IFERROR(__xludf.DUMMYFUNCTION("""COMPUTED_VALUE"""),"RebalancePreference")</f>
        <v>RebalancePreference</v>
      </c>
      <c r="S4" s="26" t="str">
        <f>IFERROR(__xludf.DUMMYFUNCTION("""COMPUTED_VALUE"""),"EnableComplianceTab")</f>
        <v>EnableComplianceTab</v>
      </c>
      <c r="T4" s="26" t="str">
        <f>IFERROR(__xludf.DUMMYFUNCTION("""COMPUTED_VALUE"""),"RunRebalance")</f>
        <v>RunRebalance</v>
      </c>
      <c r="U4" s="26" t="str">
        <f>IFERROR(__xludf.DUMMYFUNCTION("""COMPUTED_VALUE"""),"VerifyGridData")</f>
        <v>VerifyGridData</v>
      </c>
      <c r="V4" s="26" t="str">
        <f>IFERROR(__xludf.DUMMYFUNCTION("""COMPUTED_VALUE"""),"AddCash")</f>
        <v>AddCash</v>
      </c>
      <c r="W4" s="26" t="str">
        <f>IFERROR(__xludf.DUMMYFUNCTION("""COMPUTED_VALUE"""),"FetchAccountPositions")</f>
        <v>FetchAccountPositions</v>
      </c>
      <c r="X4" s="26" t="str">
        <f>IFERROR(__xludf.DUMMYFUNCTION("""COMPUTED_VALUE"""),"NavImpactingComponent")</f>
        <v>NavImpactingComponent</v>
      </c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IFERROR(__xludf.DUMMYFUNCTION("""COMPUTED_VALUE"""),"Rounding Type")</f>
        <v>Rounding Type</v>
      </c>
      <c r="C5" s="28" t="str">
        <f>IFERROR(__xludf.DUMMYFUNCTION("""COMPUTED_VALUE"""),"Rebalance")</f>
        <v>Rebalance</v>
      </c>
      <c r="D5" s="28" t="str">
        <f>IFERROR(__xludf.DUMMYFUNCTION("""COMPUTED_VALUE"""),"Round Lot")</f>
        <v>Round Lot</v>
      </c>
      <c r="E5" s="28" t="str">
        <f>IFERROR(__xludf.DUMMYFUNCTION("""COMPUTED_VALUE"""),"AllowNegCash")</f>
        <v>AllowNegCash</v>
      </c>
      <c r="F5" s="29" t="str">
        <f>IFERROR(__xludf.DUMMYFUNCTION("""COMPUTED_VALUE"""),"SellToRaiseCash")</f>
        <v>SellToRaiseCash</v>
      </c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8"/>
      <c r="B6" s="13" t="s">
        <v>35</v>
      </c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RunRebalance!$4:$4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25</v>
      </c>
      <c r="D3" s="5" t="s">
        <v>9</v>
      </c>
      <c r="E3" s="23" t="s">
        <v>36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IFERROR(__xludf.DUMMYFUNCTION("IF(C3="""","""",Transpose(IMPORTRANGE('_Settings'!$B$3,C3&amp;""!A4:A1000"")))"),"EditRebalanceGrid")</f>
        <v>EditRebalanceGrid</v>
      </c>
      <c r="C4" s="25" t="str">
        <f>IFERROR(__xludf.DUMMYFUNCTION("""COMPUTED_VALUE"""),"AddCustomCashUsingImport")</f>
        <v>AddCustomCashUsingImport</v>
      </c>
      <c r="D4" s="25" t="str">
        <f>IFERROR(__xludf.DUMMYFUNCTION("""COMPUTED_VALUE"""),"CloseRebalancer")</f>
        <v>CloseRebalancer</v>
      </c>
      <c r="E4" s="25" t="str">
        <f>IFERROR(__xludf.DUMMYFUNCTION("""COMPUTED_VALUE"""),"SymbologyChangeRB")</f>
        <v>SymbologyChangeRB</v>
      </c>
      <c r="F4" s="25" t="str">
        <f>IFERROR(__xludf.DUMMYFUNCTION("""COMPUTED_VALUE"""),"AddUserAdjustedNAV")</f>
        <v>AddUserAdjustedNAV</v>
      </c>
      <c r="G4" s="25" t="str">
        <f>IFERROR(__xludf.DUMMYFUNCTION("""COMPUTED_VALUE"""),"RebalanceViaBloomberg")</f>
        <v>RebalanceViaBloomberg</v>
      </c>
      <c r="H4" s="25" t="str">
        <f>IFERROR(__xludf.DUMMYFUNCTION("""COMPUTED_VALUE"""),"SendtoStaging")</f>
        <v>SendtoStaging</v>
      </c>
      <c r="I4" s="25" t="str">
        <f>IFERROR(__xludf.DUMMYFUNCTION("""COMPUTED_VALUE"""),"SendToStagingExport")</f>
        <v>SendToStagingExport</v>
      </c>
      <c r="J4" s="25" t="str">
        <f>IFERROR(__xludf.DUMMYFUNCTION("""COMPUTED_VALUE"""),"RefreshGridData")</f>
        <v>RefreshGridData</v>
      </c>
      <c r="K4" s="25" t="str">
        <f>IFERROR(__xludf.DUMMYFUNCTION("""COMPUTED_VALUE"""),"LockandUnlockGridData")</f>
        <v>LockandUnlockGridData</v>
      </c>
      <c r="L4" s="25" t="str">
        <f>IFERROR(__xludf.DUMMYFUNCTION("""COMPUTED_VALUE"""),"ModelPortfolio")</f>
        <v>ModelPortfolio</v>
      </c>
      <c r="M4" s="25" t="str">
        <f>IFERROR(__xludf.DUMMYFUNCTION("""COMPUTED_VALUE"""),"ModifyRebalance")</f>
        <v>ModifyRebalance</v>
      </c>
      <c r="N4" s="25" t="str">
        <f>IFERROR(__xludf.DUMMYFUNCTION("""COMPUTED_VALUE"""),"ClearCalculations")</f>
        <v>ClearCalculations</v>
      </c>
      <c r="O4" s="25" t="str">
        <f>IFERROR(__xludf.DUMMYFUNCTION("""COMPUTED_VALUE"""),"CheckBasketCompliance")</f>
        <v>CheckBasketCompliance</v>
      </c>
      <c r="P4" s="26" t="str">
        <f>IFERROR(__xludf.DUMMYFUNCTION("""COMPUTED_VALUE"""),"RebalanceAcrossSecurities")</f>
        <v>RebalanceAcrossSecurities</v>
      </c>
      <c r="Q4" s="26" t="str">
        <f>IFERROR(__xludf.DUMMYFUNCTION("""COMPUTED_VALUE"""),"ImportModelPortfolio")</f>
        <v>ImportModelPortfolio</v>
      </c>
      <c r="R4" s="26" t="str">
        <f>IFERROR(__xludf.DUMMYFUNCTION("""COMPUTED_VALUE"""),"RebalancePreference")</f>
        <v>RebalancePreference</v>
      </c>
      <c r="S4" s="26" t="str">
        <f>IFERROR(__xludf.DUMMYFUNCTION("""COMPUTED_VALUE"""),"EnableComplianceTab")</f>
        <v>EnableComplianceTab</v>
      </c>
      <c r="T4" s="26" t="str">
        <f>IFERROR(__xludf.DUMMYFUNCTION("""COMPUTED_VALUE"""),"RunRebalance")</f>
        <v>RunRebalance</v>
      </c>
      <c r="U4" s="26" t="str">
        <f>IFERROR(__xludf.DUMMYFUNCTION("""COMPUTED_VALUE"""),"VerifyGridData")</f>
        <v>VerifyGridData</v>
      </c>
      <c r="V4" s="26" t="str">
        <f>IFERROR(__xludf.DUMMYFUNCTION("""COMPUTED_VALUE"""),"AddCash")</f>
        <v>AddCash</v>
      </c>
      <c r="W4" s="26" t="str">
        <f>IFERROR(__xludf.DUMMYFUNCTION("""COMPUTED_VALUE"""),"FetchAccountPositions")</f>
        <v>FetchAccountPositions</v>
      </c>
      <c r="X4" s="26" t="str">
        <f>IFERROR(__xludf.DUMMYFUNCTION("""COMPUTED_VALUE"""),"NavImpactingComponent")</f>
        <v>NavImpactingComponent</v>
      </c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IFERROR(__xludf.DUMMYFUNCTION("""COMPUTED_VALUE"""),"Ticker")</f>
        <v>Ticker</v>
      </c>
      <c r="C5" s="28" t="str">
        <f>IFERROR(__xludf.DUMMYFUNCTION("""COMPUTED_VALUE"""),"Set/Inc/Dec")</f>
        <v>Set/Inc/Dec</v>
      </c>
      <c r="D5" s="28" t="str">
        <f>IFERROR(__xludf.DUMMYFUNCTION("""COMPUTED_VALUE"""),"Target%")</f>
        <v>Target%</v>
      </c>
      <c r="E5" s="28" t="str">
        <f>IFERROR(__xludf.DUMMYFUNCTION("""COMPUTED_VALUE"""),"Account/Group")</f>
        <v>Account/Group</v>
      </c>
      <c r="F5" s="29" t="str">
        <f>IFERROR(__xludf.DUMMYFUNCTION("""COMPUTED_VALUE"""),"ReinvestCash")</f>
        <v>ReinvestCash</v>
      </c>
      <c r="G5" s="28" t="str">
        <f>IFERROR(__xludf.DUMMYFUNCTION("""COMPUTED_VALUE"""),"SellToRaiseCash")</f>
        <v>SellToRaiseCash</v>
      </c>
      <c r="H5" s="28" t="str">
        <f>IFERROR(__xludf.DUMMYFUNCTION("""COMPUTED_VALUE"""),"AllowNegCash")</f>
        <v>AllowNegCash</v>
      </c>
      <c r="I5" s="28" t="str">
        <f>IFERROR(__xludf.DUMMYFUNCTION("""COMPUTED_VALUE"""),"NoShortning")</f>
        <v>NoShortning</v>
      </c>
      <c r="J5" s="28" t="str">
        <f>IFERROR(__xludf.DUMMYFUNCTION("""COMPUTED_VALUE"""),"Price")</f>
        <v>Price</v>
      </c>
      <c r="K5" s="28" t="str">
        <f>IFERROR(__xludf.DUMMYFUNCTION("""COMPUTED_VALUE"""),"Fx")</f>
        <v>Fx</v>
      </c>
      <c r="L5" s="28" t="str">
        <f>IFERROR(__xludf.DUMMYFUNCTION("""COMPUTED_VALUE"""),"BPS SET")</f>
        <v>BPS SET</v>
      </c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8"/>
      <c r="B6" s="13" t="s">
        <v>16</v>
      </c>
      <c r="C6" s="13" t="s">
        <v>37</v>
      </c>
      <c r="D6" s="13">
        <v>12.0</v>
      </c>
      <c r="E6" s="8"/>
      <c r="F6" s="8"/>
      <c r="G6" s="8"/>
      <c r="H6" s="8"/>
      <c r="I6" s="8"/>
      <c r="J6" s="13">
        <v>10.0</v>
      </c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RebalanceAcrossSecurities!$4:$4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25</v>
      </c>
      <c r="D3" s="5" t="s">
        <v>9</v>
      </c>
      <c r="E3" s="23" t="s">
        <v>38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IFERROR(__xludf.DUMMYFUNCTION("IF(C3="""","""",Transpose(IMPORTRANGE('_Settings'!$B$3,C3&amp;""!A4:A1000"")))"),"EditRebalanceGrid")</f>
        <v>EditRebalanceGrid</v>
      </c>
      <c r="C4" s="25" t="str">
        <f>IFERROR(__xludf.DUMMYFUNCTION("""COMPUTED_VALUE"""),"AddCustomCashUsingImport")</f>
        <v>AddCustomCashUsingImport</v>
      </c>
      <c r="D4" s="25" t="str">
        <f>IFERROR(__xludf.DUMMYFUNCTION("""COMPUTED_VALUE"""),"CloseRebalancer")</f>
        <v>CloseRebalancer</v>
      </c>
      <c r="E4" s="25" t="str">
        <f>IFERROR(__xludf.DUMMYFUNCTION("""COMPUTED_VALUE"""),"SymbologyChangeRB")</f>
        <v>SymbologyChangeRB</v>
      </c>
      <c r="F4" s="25" t="str">
        <f>IFERROR(__xludf.DUMMYFUNCTION("""COMPUTED_VALUE"""),"AddUserAdjustedNAV")</f>
        <v>AddUserAdjustedNAV</v>
      </c>
      <c r="G4" s="25" t="str">
        <f>IFERROR(__xludf.DUMMYFUNCTION("""COMPUTED_VALUE"""),"RebalanceViaBloomberg")</f>
        <v>RebalanceViaBloomberg</v>
      </c>
      <c r="H4" s="25" t="str">
        <f>IFERROR(__xludf.DUMMYFUNCTION("""COMPUTED_VALUE"""),"SendtoStaging")</f>
        <v>SendtoStaging</v>
      </c>
      <c r="I4" s="25" t="str">
        <f>IFERROR(__xludf.DUMMYFUNCTION("""COMPUTED_VALUE"""),"SendToStagingExport")</f>
        <v>SendToStagingExport</v>
      </c>
      <c r="J4" s="25" t="str">
        <f>IFERROR(__xludf.DUMMYFUNCTION("""COMPUTED_VALUE"""),"RefreshGridData")</f>
        <v>RefreshGridData</v>
      </c>
      <c r="K4" s="25" t="str">
        <f>IFERROR(__xludf.DUMMYFUNCTION("""COMPUTED_VALUE"""),"LockandUnlockGridData")</f>
        <v>LockandUnlockGridData</v>
      </c>
      <c r="L4" s="25" t="str">
        <f>IFERROR(__xludf.DUMMYFUNCTION("""COMPUTED_VALUE"""),"ModelPortfolio")</f>
        <v>ModelPortfolio</v>
      </c>
      <c r="M4" s="25" t="str">
        <f>IFERROR(__xludf.DUMMYFUNCTION("""COMPUTED_VALUE"""),"ModifyRebalance")</f>
        <v>ModifyRebalance</v>
      </c>
      <c r="N4" s="25" t="str">
        <f>IFERROR(__xludf.DUMMYFUNCTION("""COMPUTED_VALUE"""),"ClearCalculations")</f>
        <v>ClearCalculations</v>
      </c>
      <c r="O4" s="25" t="str">
        <f>IFERROR(__xludf.DUMMYFUNCTION("""COMPUTED_VALUE"""),"CheckBasketCompliance")</f>
        <v>CheckBasketCompliance</v>
      </c>
      <c r="P4" s="26" t="str">
        <f>IFERROR(__xludf.DUMMYFUNCTION("""COMPUTED_VALUE"""),"RebalanceAcrossSecurities")</f>
        <v>RebalanceAcrossSecurities</v>
      </c>
      <c r="Q4" s="26" t="str">
        <f>IFERROR(__xludf.DUMMYFUNCTION("""COMPUTED_VALUE"""),"ImportModelPortfolio")</f>
        <v>ImportModelPortfolio</v>
      </c>
      <c r="R4" s="26" t="str">
        <f>IFERROR(__xludf.DUMMYFUNCTION("""COMPUTED_VALUE"""),"RebalancePreference")</f>
        <v>RebalancePreference</v>
      </c>
      <c r="S4" s="26" t="str">
        <f>IFERROR(__xludf.DUMMYFUNCTION("""COMPUTED_VALUE"""),"EnableComplianceTab")</f>
        <v>EnableComplianceTab</v>
      </c>
      <c r="T4" s="26" t="str">
        <f>IFERROR(__xludf.DUMMYFUNCTION("""COMPUTED_VALUE"""),"RunRebalance")</f>
        <v>RunRebalance</v>
      </c>
      <c r="U4" s="26" t="str">
        <f>IFERROR(__xludf.DUMMYFUNCTION("""COMPUTED_VALUE"""),"VerifyGridData")</f>
        <v>VerifyGridData</v>
      </c>
      <c r="V4" s="26" t="str">
        <f>IFERROR(__xludf.DUMMYFUNCTION("""COMPUTED_VALUE"""),"AddCash")</f>
        <v>AddCash</v>
      </c>
      <c r="W4" s="26" t="str">
        <f>IFERROR(__xludf.DUMMYFUNCTION("""COMPUTED_VALUE"""),"FetchAccountPositions")</f>
        <v>FetchAccountPositions</v>
      </c>
      <c r="X4" s="26" t="str">
        <f>IFERROR(__xludf.DUMMYFUNCTION("""COMPUTED_VALUE"""),"NavImpactingComponent")</f>
        <v>NavImpactingComponent</v>
      </c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IFERROR(__xludf.DUMMYFUNCTION("""COMPUTED_VALUE"""),"Account")</f>
        <v>Account</v>
      </c>
      <c r="C5" s="28" t="str">
        <f>IFERROR(__xludf.DUMMYFUNCTION("""COMPUTED_VALUE"""),"Side")</f>
        <v>Side</v>
      </c>
      <c r="D5" s="28" t="str">
        <f>IFERROR(__xludf.DUMMYFUNCTION("""COMPUTED_VALUE"""),"Symbol")</f>
        <v>Symbol</v>
      </c>
      <c r="E5" s="28" t="str">
        <f>IFERROR(__xludf.DUMMYFUNCTION("""COMPUTED_VALUE"""),"Quantity")</f>
        <v>Quantity</v>
      </c>
      <c r="F5" s="29" t="str">
        <f>IFERROR(__xludf.DUMMYFUNCTION("""COMPUTED_VALUE"""),"Price (Local)")</f>
        <v>Price (Local)</v>
      </c>
      <c r="G5" s="28" t="str">
        <f>IFERROR(__xludf.DUMMYFUNCTION("""COMPUTED_VALUE"""),"Buy/Sell Value (Base)")</f>
        <v>Buy/Sell Value (Base)</v>
      </c>
      <c r="H5" s="28" t="str">
        <f>IFERROR(__xludf.DUMMYFUNCTION("""COMPUTED_VALUE"""),"Comments")</f>
        <v>Comments</v>
      </c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8"/>
      <c r="B6" s="13" t="s">
        <v>18</v>
      </c>
      <c r="C6" s="13" t="s">
        <v>39</v>
      </c>
      <c r="D6" s="13" t="s">
        <v>16</v>
      </c>
      <c r="E6" s="13">
        <v>100.0</v>
      </c>
      <c r="F6" s="13">
        <v>10.0</v>
      </c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13" t="s">
        <v>19</v>
      </c>
      <c r="C7" s="44" t="s">
        <v>39</v>
      </c>
      <c r="D7" s="13" t="s">
        <v>16</v>
      </c>
      <c r="E7" s="13">
        <v>100.0</v>
      </c>
      <c r="F7" s="13">
        <v>10.0</v>
      </c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SendtoStaging!$4:$4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02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  <c r="FS1" s="20"/>
      <c r="FT1" s="20"/>
      <c r="FU1" s="20"/>
      <c r="FV1" s="20"/>
      <c r="FW1" s="20"/>
      <c r="FX1" s="20"/>
      <c r="FY1" s="20"/>
      <c r="FZ1" s="20"/>
      <c r="GA1" s="20"/>
      <c r="GB1" s="20"/>
      <c r="GC1" s="20"/>
      <c r="GD1" s="20"/>
      <c r="GE1" s="20"/>
      <c r="GF1" s="20"/>
      <c r="GG1" s="20"/>
      <c r="GH1" s="20"/>
      <c r="GI1" s="20"/>
      <c r="GJ1" s="20"/>
      <c r="GK1" s="20"/>
      <c r="GL1" s="20"/>
      <c r="GM1" s="20"/>
      <c r="GN1" s="20"/>
      <c r="GO1" s="20"/>
      <c r="GP1" s="20"/>
      <c r="GQ1" s="20"/>
      <c r="GR1" s="20"/>
      <c r="GS1" s="20"/>
      <c r="GT1" s="20"/>
      <c r="GU1" s="20"/>
      <c r="GV1" s="20"/>
      <c r="GW1" s="20"/>
      <c r="GX1" s="20"/>
      <c r="GY1" s="20"/>
      <c r="GZ1" s="20"/>
      <c r="HA1" s="20"/>
      <c r="HB1" s="20"/>
      <c r="HC1" s="20"/>
      <c r="HD1" s="20"/>
      <c r="HE1" s="20"/>
      <c r="HF1" s="20"/>
      <c r="HG1" s="20"/>
      <c r="HH1" s="20"/>
      <c r="HI1" s="20"/>
      <c r="HJ1" s="20"/>
      <c r="HK1" s="20"/>
      <c r="HL1" s="20"/>
      <c r="HM1" s="20"/>
      <c r="HN1" s="20"/>
      <c r="HO1" s="20"/>
      <c r="HP1" s="20"/>
      <c r="HQ1" s="20"/>
      <c r="HR1" s="20"/>
      <c r="HS1" s="20"/>
      <c r="HT1" s="20"/>
      <c r="HU1" s="20"/>
      <c r="HV1" s="20"/>
      <c r="HW1" s="20"/>
      <c r="HX1" s="20"/>
      <c r="HY1" s="20"/>
      <c r="HZ1" s="20"/>
      <c r="IA1" s="20"/>
      <c r="IB1" s="20"/>
      <c r="IC1" s="20"/>
      <c r="ID1" s="20"/>
      <c r="IE1" s="20"/>
      <c r="IF1" s="20"/>
      <c r="IG1" s="20"/>
      <c r="IH1" s="20"/>
      <c r="II1" s="20"/>
      <c r="IJ1" s="20"/>
      <c r="IK1" s="20"/>
      <c r="IL1" s="20"/>
      <c r="IM1" s="20"/>
      <c r="IN1" s="20"/>
      <c r="IO1" s="20"/>
      <c r="IP1" s="20"/>
      <c r="IQ1" s="20"/>
      <c r="IR1" s="20"/>
      <c r="IS1" s="20"/>
      <c r="IT1" s="20"/>
      <c r="IU1" s="20"/>
      <c r="IV1" s="20"/>
      <c r="IW1" s="20"/>
      <c r="IX1" s="20"/>
      <c r="IY1" s="20"/>
      <c r="IZ1" s="20"/>
      <c r="JA1" s="20"/>
      <c r="JB1" s="20"/>
      <c r="JC1" s="20"/>
      <c r="JD1" s="20"/>
      <c r="JE1" s="20"/>
      <c r="JF1" s="20"/>
      <c r="JG1" s="20"/>
      <c r="JH1" s="20"/>
      <c r="JI1" s="20"/>
      <c r="JJ1" s="20"/>
      <c r="JK1" s="20"/>
      <c r="JL1" s="20"/>
      <c r="JM1" s="20"/>
      <c r="JN1" s="20"/>
      <c r="JO1" s="20"/>
      <c r="JP1" s="20"/>
      <c r="JQ1" s="20"/>
      <c r="JR1" s="20"/>
      <c r="JS1" s="20"/>
      <c r="JT1" s="20"/>
      <c r="JU1" s="20"/>
      <c r="JV1" s="20"/>
      <c r="JW1" s="20"/>
      <c r="JX1" s="20"/>
      <c r="JY1" s="20"/>
      <c r="JZ1" s="20"/>
      <c r="KA1" s="20"/>
      <c r="KB1" s="20"/>
      <c r="KC1" s="20"/>
      <c r="KD1" s="20"/>
      <c r="KE1" s="20"/>
      <c r="KF1" s="20"/>
      <c r="KG1" s="20"/>
      <c r="KH1" s="20"/>
      <c r="KI1" s="20"/>
      <c r="KJ1" s="20"/>
      <c r="KK1" s="20"/>
      <c r="KL1" s="20"/>
      <c r="KM1" s="20"/>
      <c r="KN1" s="20"/>
      <c r="KO1" s="20"/>
      <c r="KP1" s="20"/>
      <c r="KQ1" s="20"/>
      <c r="KR1" s="20"/>
      <c r="KS1" s="20"/>
      <c r="KT1" s="20"/>
      <c r="KU1" s="20"/>
      <c r="KV1" s="20"/>
      <c r="KW1" s="20"/>
      <c r="KX1" s="20"/>
      <c r="KY1" s="20"/>
      <c r="KZ1" s="20"/>
      <c r="LA1" s="20"/>
      <c r="LB1" s="20"/>
      <c r="LC1" s="20"/>
      <c r="LD1" s="20"/>
      <c r="LE1" s="20"/>
      <c r="LF1" s="20"/>
      <c r="LG1" s="20"/>
      <c r="LH1" s="20"/>
      <c r="LI1" s="20"/>
      <c r="LJ1" s="20"/>
      <c r="LK1" s="20"/>
      <c r="LL1" s="20"/>
      <c r="LM1" s="20"/>
      <c r="LN1" s="20"/>
      <c r="LO1" s="20"/>
      <c r="LP1" s="20"/>
      <c r="LQ1" s="20"/>
      <c r="LR1" s="20"/>
      <c r="LS1" s="20"/>
      <c r="LT1" s="20"/>
      <c r="LU1" s="20"/>
      <c r="LV1" s="20"/>
      <c r="LW1" s="20"/>
      <c r="LX1" s="20"/>
      <c r="LY1" s="20"/>
      <c r="LZ1" s="20"/>
      <c r="MA1" s="20"/>
      <c r="MB1" s="20"/>
      <c r="MC1" s="20"/>
      <c r="MD1" s="20"/>
      <c r="ME1" s="20"/>
      <c r="MF1" s="20"/>
      <c r="MG1" s="20"/>
      <c r="MH1" s="20"/>
      <c r="MI1" s="20"/>
      <c r="MJ1" s="20"/>
      <c r="MK1" s="20"/>
      <c r="ML1" s="20"/>
      <c r="MM1" s="20"/>
      <c r="MN1" s="20"/>
      <c r="MO1" s="20"/>
      <c r="MP1" s="20"/>
      <c r="MQ1" s="20"/>
      <c r="MR1" s="20"/>
      <c r="MS1" s="20"/>
      <c r="MT1" s="20"/>
      <c r="MU1" s="20"/>
      <c r="MV1" s="20"/>
      <c r="MW1" s="20"/>
      <c r="MX1" s="20"/>
      <c r="MY1" s="20"/>
      <c r="MZ1" s="20"/>
      <c r="NA1" s="20"/>
      <c r="NB1" s="20"/>
      <c r="NC1" s="20"/>
      <c r="ND1" s="20"/>
      <c r="NE1" s="20"/>
      <c r="NF1" s="20"/>
      <c r="NG1" s="20"/>
      <c r="NH1" s="20"/>
      <c r="NI1" s="20"/>
      <c r="NJ1" s="20"/>
      <c r="NK1" s="20"/>
      <c r="NL1" s="20"/>
      <c r="NM1" s="20"/>
      <c r="NN1" s="20"/>
      <c r="NO1" s="20"/>
      <c r="NP1" s="20"/>
      <c r="NQ1" s="20"/>
      <c r="NR1" s="20"/>
      <c r="NS1" s="20"/>
      <c r="NT1" s="20"/>
      <c r="NU1" s="20"/>
      <c r="NV1" s="20"/>
      <c r="NW1" s="20"/>
      <c r="NX1" s="20"/>
      <c r="NY1" s="20"/>
      <c r="NZ1" s="20"/>
      <c r="OA1" s="20"/>
      <c r="OB1" s="20"/>
      <c r="OC1" s="20"/>
      <c r="OD1" s="20"/>
      <c r="OE1" s="20"/>
      <c r="OF1" s="20"/>
      <c r="OG1" s="20"/>
      <c r="OH1" s="20"/>
      <c r="OI1" s="20"/>
      <c r="OJ1" s="20"/>
      <c r="OK1" s="20"/>
      <c r="OL1" s="20"/>
      <c r="OM1" s="20"/>
      <c r="ON1" s="20"/>
      <c r="OO1" s="20"/>
      <c r="OP1" s="20"/>
      <c r="OQ1" s="20"/>
      <c r="OR1" s="20"/>
      <c r="OS1" s="20"/>
      <c r="OT1" s="20"/>
      <c r="OU1" s="20"/>
      <c r="OV1" s="20"/>
      <c r="OW1" s="20"/>
      <c r="OX1" s="20"/>
      <c r="OY1" s="20"/>
      <c r="OZ1" s="20"/>
      <c r="PA1" s="20"/>
      <c r="PB1" s="20"/>
      <c r="PC1" s="20"/>
      <c r="PD1" s="20"/>
      <c r="PE1" s="20"/>
      <c r="PF1" s="20"/>
      <c r="PG1" s="20"/>
      <c r="PH1" s="20"/>
      <c r="PI1" s="20"/>
      <c r="PJ1" s="20"/>
      <c r="PK1" s="20"/>
      <c r="PL1" s="20"/>
      <c r="PM1" s="20"/>
      <c r="PN1" s="20"/>
      <c r="PO1" s="20"/>
      <c r="PP1" s="20"/>
      <c r="PQ1" s="20"/>
      <c r="PR1" s="20"/>
      <c r="PS1" s="20"/>
      <c r="PT1" s="20"/>
      <c r="PU1" s="20"/>
      <c r="PV1" s="20"/>
      <c r="PW1" s="20"/>
      <c r="PX1" s="20"/>
      <c r="PY1" s="20"/>
      <c r="PZ1" s="20"/>
      <c r="QA1" s="20"/>
      <c r="QB1" s="20"/>
      <c r="QC1" s="20"/>
      <c r="QD1" s="20"/>
      <c r="QE1" s="20"/>
      <c r="QF1" s="20"/>
      <c r="QG1" s="20"/>
      <c r="QH1" s="20"/>
      <c r="QI1" s="20"/>
      <c r="QJ1" s="20"/>
      <c r="QK1" s="20"/>
      <c r="QL1" s="20"/>
      <c r="QM1" s="20"/>
      <c r="QN1" s="20"/>
      <c r="QO1" s="20"/>
      <c r="QP1" s="20"/>
      <c r="QQ1" s="20"/>
      <c r="QR1" s="20"/>
      <c r="QS1" s="20"/>
      <c r="QT1" s="20"/>
      <c r="QU1" s="20"/>
      <c r="QV1" s="20"/>
      <c r="QW1" s="20"/>
      <c r="QX1" s="20"/>
      <c r="QY1" s="20"/>
      <c r="QZ1" s="20"/>
      <c r="RA1" s="20"/>
      <c r="RB1" s="20"/>
      <c r="RC1" s="20"/>
      <c r="RD1" s="20"/>
      <c r="RE1" s="20"/>
      <c r="RF1" s="20"/>
      <c r="RG1" s="20"/>
      <c r="RH1" s="20"/>
      <c r="RI1" s="20"/>
      <c r="RJ1" s="20"/>
      <c r="RK1" s="20"/>
      <c r="RL1" s="20"/>
      <c r="RM1" s="20"/>
      <c r="RN1" s="20"/>
      <c r="RO1" s="20"/>
      <c r="RP1" s="20"/>
      <c r="RQ1" s="20"/>
      <c r="RR1" s="20"/>
      <c r="RS1" s="20"/>
      <c r="RT1" s="20"/>
      <c r="RU1" s="20"/>
      <c r="RV1" s="20"/>
      <c r="RW1" s="20"/>
      <c r="RX1" s="20"/>
      <c r="RY1" s="20"/>
      <c r="RZ1" s="20"/>
      <c r="SA1" s="20"/>
      <c r="SB1" s="20"/>
      <c r="SC1" s="20"/>
      <c r="SD1" s="20"/>
      <c r="SE1" s="20"/>
      <c r="SF1" s="20"/>
      <c r="SG1" s="20"/>
      <c r="SH1" s="20"/>
      <c r="SI1" s="20"/>
      <c r="SJ1" s="20"/>
      <c r="SK1" s="20"/>
      <c r="SL1" s="20"/>
      <c r="SM1" s="20"/>
      <c r="SN1" s="20"/>
      <c r="SO1" s="20"/>
      <c r="SP1" s="20"/>
      <c r="SQ1" s="20"/>
      <c r="SR1" s="20"/>
      <c r="SS1" s="20"/>
      <c r="ST1" s="20"/>
      <c r="SU1" s="20"/>
      <c r="SV1" s="20"/>
      <c r="SW1" s="20"/>
      <c r="SX1" s="20"/>
      <c r="SY1" s="20"/>
      <c r="SZ1" s="20"/>
      <c r="TA1" s="20"/>
      <c r="TB1" s="20"/>
      <c r="TC1" s="20"/>
      <c r="TD1" s="20"/>
      <c r="TE1" s="20"/>
      <c r="TF1" s="20"/>
      <c r="TG1" s="20"/>
      <c r="TH1" s="20"/>
      <c r="TI1" s="20"/>
      <c r="TJ1" s="20"/>
      <c r="TK1" s="20"/>
      <c r="TL1" s="20"/>
      <c r="TM1" s="20"/>
      <c r="TN1" s="20"/>
      <c r="TO1" s="20"/>
      <c r="TP1" s="20"/>
      <c r="TQ1" s="20"/>
      <c r="TR1" s="20"/>
      <c r="TS1" s="20"/>
      <c r="TT1" s="20"/>
      <c r="TU1" s="20"/>
      <c r="TV1" s="20"/>
      <c r="TW1" s="20"/>
      <c r="TX1" s="20"/>
      <c r="TY1" s="20"/>
      <c r="TZ1" s="20"/>
      <c r="UA1" s="20"/>
      <c r="UB1" s="20"/>
      <c r="UC1" s="20"/>
      <c r="UD1" s="20"/>
      <c r="UE1" s="20"/>
      <c r="UF1" s="20"/>
      <c r="UG1" s="20"/>
      <c r="UH1" s="20"/>
      <c r="UI1" s="20"/>
      <c r="UJ1" s="20"/>
      <c r="UK1" s="20"/>
      <c r="UL1" s="20"/>
      <c r="UM1" s="20"/>
      <c r="UN1" s="20"/>
      <c r="UO1" s="20"/>
      <c r="UP1" s="20"/>
      <c r="UQ1" s="20"/>
      <c r="UR1" s="20"/>
      <c r="US1" s="20"/>
      <c r="UT1" s="20"/>
      <c r="UU1" s="20"/>
      <c r="UV1" s="20"/>
      <c r="UW1" s="20"/>
      <c r="UX1" s="20"/>
      <c r="UY1" s="20"/>
      <c r="UZ1" s="20"/>
      <c r="VA1" s="20"/>
      <c r="VB1" s="20"/>
      <c r="VC1" s="20"/>
      <c r="VD1" s="20"/>
      <c r="VE1" s="20"/>
      <c r="VF1" s="20"/>
      <c r="VG1" s="20"/>
      <c r="VH1" s="20"/>
      <c r="VI1" s="20"/>
      <c r="VJ1" s="20"/>
      <c r="VK1" s="20"/>
      <c r="VL1" s="20"/>
      <c r="VM1" s="20"/>
      <c r="VN1" s="20"/>
      <c r="VO1" s="20"/>
      <c r="VP1" s="20"/>
      <c r="VQ1" s="20"/>
      <c r="VR1" s="20"/>
      <c r="VS1" s="20"/>
      <c r="VT1" s="20"/>
      <c r="VU1" s="20"/>
      <c r="VV1" s="20"/>
      <c r="VW1" s="20"/>
      <c r="VX1" s="20"/>
      <c r="VY1" s="20"/>
      <c r="VZ1" s="20"/>
      <c r="WA1" s="20"/>
      <c r="WB1" s="20"/>
      <c r="WC1" s="20"/>
      <c r="WD1" s="20"/>
      <c r="WE1" s="20"/>
      <c r="WF1" s="20"/>
      <c r="WG1" s="20"/>
      <c r="WH1" s="20"/>
      <c r="WI1" s="20"/>
      <c r="WJ1" s="20"/>
      <c r="WK1" s="20"/>
      <c r="WL1" s="20"/>
      <c r="WM1" s="20"/>
      <c r="WN1" s="20"/>
      <c r="WO1" s="20"/>
      <c r="WP1" s="20"/>
      <c r="WQ1" s="20"/>
      <c r="WR1" s="20"/>
      <c r="WS1" s="20"/>
      <c r="WT1" s="20"/>
      <c r="WU1" s="20"/>
      <c r="WV1" s="20"/>
      <c r="WW1" s="20"/>
      <c r="WX1" s="20"/>
      <c r="WY1" s="20"/>
      <c r="WZ1" s="20"/>
      <c r="XA1" s="20"/>
      <c r="XB1" s="20"/>
      <c r="XC1" s="20"/>
      <c r="XD1" s="20"/>
      <c r="XE1" s="20"/>
      <c r="XF1" s="20"/>
      <c r="XG1" s="20"/>
      <c r="XH1" s="20"/>
      <c r="XI1" s="20"/>
      <c r="XJ1" s="20"/>
      <c r="XK1" s="20"/>
      <c r="XL1" s="20"/>
      <c r="XM1" s="20"/>
      <c r="XN1" s="20"/>
      <c r="XO1" s="20"/>
      <c r="XP1" s="20"/>
      <c r="XQ1" s="20"/>
      <c r="XR1" s="20"/>
      <c r="XS1" s="20"/>
      <c r="XT1" s="20"/>
      <c r="XU1" s="20"/>
      <c r="XV1" s="20"/>
      <c r="XW1" s="20"/>
      <c r="XX1" s="20"/>
      <c r="XY1" s="20"/>
      <c r="XZ1" s="20"/>
      <c r="YA1" s="20"/>
      <c r="YB1" s="20"/>
      <c r="YC1" s="20"/>
      <c r="YD1" s="20"/>
      <c r="YE1" s="20"/>
      <c r="YF1" s="20"/>
      <c r="YG1" s="20"/>
      <c r="YH1" s="20"/>
      <c r="YI1" s="20"/>
      <c r="YJ1" s="20"/>
      <c r="YK1" s="20"/>
      <c r="YL1" s="20"/>
      <c r="YM1" s="20"/>
      <c r="YN1" s="20"/>
      <c r="YO1" s="20"/>
      <c r="YP1" s="20"/>
      <c r="YQ1" s="20"/>
      <c r="YR1" s="20"/>
      <c r="YS1" s="20"/>
      <c r="YT1" s="20"/>
      <c r="YU1" s="20"/>
      <c r="YV1" s="20"/>
      <c r="YW1" s="20"/>
      <c r="YX1" s="20"/>
      <c r="YY1" s="20"/>
      <c r="YZ1" s="20"/>
      <c r="ZA1" s="20"/>
      <c r="ZB1" s="20"/>
      <c r="ZC1" s="20"/>
      <c r="ZD1" s="20"/>
      <c r="ZE1" s="20"/>
      <c r="ZF1" s="20"/>
      <c r="ZG1" s="20"/>
      <c r="ZH1" s="20"/>
      <c r="ZI1" s="20"/>
      <c r="ZJ1" s="20"/>
      <c r="ZK1" s="20"/>
      <c r="ZL1" s="20"/>
      <c r="ZM1" s="20"/>
      <c r="ZN1" s="20"/>
      <c r="ZO1" s="20"/>
      <c r="ZP1" s="20"/>
      <c r="ZQ1" s="20"/>
      <c r="ZR1" s="20"/>
      <c r="ZS1" s="20"/>
      <c r="ZT1" s="20"/>
      <c r="ZU1" s="20"/>
      <c r="ZV1" s="20"/>
      <c r="ZW1" s="20"/>
      <c r="ZX1" s="20"/>
      <c r="ZY1" s="20"/>
      <c r="ZZ1" s="20"/>
      <c r="AAA1" s="20"/>
      <c r="AAB1" s="20"/>
      <c r="AAC1" s="20"/>
      <c r="AAD1" s="20"/>
      <c r="AAE1" s="20"/>
      <c r="AAF1" s="20"/>
      <c r="AAG1" s="20"/>
      <c r="AAH1" s="20"/>
      <c r="AAI1" s="20"/>
      <c r="AAJ1" s="20"/>
      <c r="AAK1" s="20"/>
      <c r="AAL1" s="20"/>
      <c r="AAM1" s="20"/>
      <c r="AAN1" s="20"/>
      <c r="AAO1" s="20"/>
      <c r="AAP1" s="20"/>
      <c r="AAQ1" s="20"/>
      <c r="AAR1" s="20"/>
      <c r="AAS1" s="20"/>
      <c r="AAT1" s="20"/>
      <c r="AAU1" s="20"/>
      <c r="AAV1" s="20"/>
      <c r="AAW1" s="20"/>
      <c r="AAX1" s="20"/>
      <c r="AAY1" s="20"/>
      <c r="AAZ1" s="20"/>
      <c r="ABA1" s="20"/>
      <c r="ABB1" s="20"/>
      <c r="ABC1" s="20"/>
      <c r="ABD1" s="20"/>
      <c r="ABE1" s="20"/>
      <c r="ABF1" s="20"/>
      <c r="ABG1" s="20"/>
      <c r="ABH1" s="20"/>
      <c r="ABI1" s="20"/>
      <c r="ABJ1" s="20"/>
      <c r="ABK1" s="20"/>
      <c r="ABL1" s="20"/>
      <c r="ABM1" s="20"/>
      <c r="ABN1" s="20"/>
      <c r="ABO1" s="20"/>
      <c r="ABP1" s="20"/>
      <c r="ABQ1" s="20"/>
      <c r="ABR1" s="20"/>
      <c r="ABS1" s="20"/>
      <c r="ABT1" s="20"/>
      <c r="ABU1" s="20"/>
      <c r="ABV1" s="20"/>
      <c r="ABW1" s="20"/>
      <c r="ABX1" s="20"/>
      <c r="ABY1" s="20"/>
      <c r="ABZ1" s="20"/>
      <c r="ACA1" s="20"/>
      <c r="ACB1" s="20"/>
      <c r="ACC1" s="20"/>
      <c r="ACD1" s="20"/>
      <c r="ACE1" s="20"/>
      <c r="ACF1" s="20"/>
      <c r="ACG1" s="20"/>
      <c r="ACH1" s="20"/>
      <c r="ACI1" s="20"/>
      <c r="ACJ1" s="20"/>
      <c r="ACK1" s="20"/>
      <c r="ACL1" s="20"/>
      <c r="ACM1" s="20"/>
      <c r="ACN1" s="20"/>
      <c r="ACO1" s="20"/>
      <c r="ACP1" s="20"/>
      <c r="ACQ1" s="20"/>
      <c r="ACR1" s="20"/>
      <c r="ACS1" s="20"/>
      <c r="ACT1" s="20"/>
      <c r="ACU1" s="20"/>
      <c r="ACV1" s="20"/>
      <c r="ACW1" s="20"/>
      <c r="ACX1" s="20"/>
      <c r="ACY1" s="20"/>
      <c r="ACZ1" s="20"/>
      <c r="ADA1" s="20"/>
      <c r="ADB1" s="20"/>
      <c r="ADC1" s="20"/>
      <c r="ADD1" s="20"/>
      <c r="ADE1" s="20"/>
      <c r="ADF1" s="20"/>
      <c r="ADG1" s="20"/>
      <c r="ADH1" s="20"/>
      <c r="ADI1" s="20"/>
      <c r="ADJ1" s="20"/>
      <c r="ADK1" s="20"/>
      <c r="ADL1" s="20"/>
      <c r="ADM1" s="20"/>
      <c r="ADN1" s="20"/>
      <c r="ADO1" s="20"/>
      <c r="ADP1" s="20"/>
      <c r="ADQ1" s="20"/>
      <c r="ADR1" s="20"/>
      <c r="ADS1" s="20"/>
      <c r="ADT1" s="20"/>
      <c r="ADU1" s="20"/>
      <c r="ADV1" s="20"/>
      <c r="ADW1" s="20"/>
      <c r="ADX1" s="20"/>
      <c r="ADY1" s="20"/>
      <c r="ADZ1" s="20"/>
      <c r="AEA1" s="20"/>
      <c r="AEB1" s="20"/>
      <c r="AEC1" s="20"/>
      <c r="AED1" s="20"/>
      <c r="AEE1" s="20"/>
      <c r="AEF1" s="20"/>
      <c r="AEG1" s="20"/>
      <c r="AEH1" s="20"/>
      <c r="AEI1" s="20"/>
      <c r="AEJ1" s="20"/>
      <c r="AEK1" s="20"/>
      <c r="AEL1" s="20"/>
      <c r="AEM1" s="20"/>
      <c r="AEN1" s="20"/>
      <c r="AEO1" s="20"/>
      <c r="AEP1" s="20"/>
      <c r="AEQ1" s="20"/>
      <c r="AER1" s="20"/>
      <c r="AES1" s="20"/>
      <c r="AET1" s="20"/>
      <c r="AEU1" s="20"/>
      <c r="AEV1" s="20"/>
      <c r="AEW1" s="20"/>
      <c r="AEX1" s="20"/>
      <c r="AEY1" s="20"/>
      <c r="AEZ1" s="20"/>
      <c r="AFA1" s="20"/>
      <c r="AFB1" s="20"/>
      <c r="AFC1" s="20"/>
      <c r="AFD1" s="20"/>
      <c r="AFE1" s="20"/>
      <c r="AFF1" s="20"/>
      <c r="AFG1" s="20"/>
      <c r="AFH1" s="20"/>
      <c r="AFI1" s="20"/>
      <c r="AFJ1" s="20"/>
      <c r="AFK1" s="20"/>
      <c r="AFL1" s="20"/>
      <c r="AFM1" s="20"/>
      <c r="AFN1" s="20"/>
      <c r="AFO1" s="20"/>
      <c r="AFP1" s="20"/>
      <c r="AFQ1" s="20"/>
      <c r="AFR1" s="20"/>
      <c r="AFS1" s="20"/>
      <c r="AFT1" s="20"/>
      <c r="AFU1" s="20"/>
      <c r="AFV1" s="20"/>
      <c r="AFW1" s="20"/>
      <c r="AFX1" s="20"/>
      <c r="AFY1" s="20"/>
      <c r="AFZ1" s="20"/>
      <c r="AGA1" s="20"/>
      <c r="AGB1" s="20"/>
      <c r="AGC1" s="20"/>
      <c r="AGD1" s="20"/>
      <c r="AGE1" s="20"/>
      <c r="AGF1" s="20"/>
      <c r="AGG1" s="20"/>
      <c r="AGH1" s="20"/>
      <c r="AGI1" s="20"/>
      <c r="AGJ1" s="20"/>
      <c r="AGK1" s="20"/>
      <c r="AGL1" s="20"/>
      <c r="AGM1" s="20"/>
      <c r="AGN1" s="20"/>
      <c r="AGO1" s="20"/>
      <c r="AGP1" s="20"/>
      <c r="AGQ1" s="20"/>
      <c r="AGR1" s="20"/>
      <c r="AGS1" s="20"/>
      <c r="AGT1" s="20"/>
      <c r="AGU1" s="20"/>
      <c r="AGV1" s="20"/>
      <c r="AGW1" s="20"/>
      <c r="AGX1" s="20"/>
      <c r="AGY1" s="20"/>
      <c r="AGZ1" s="20"/>
      <c r="AHA1" s="20"/>
      <c r="AHB1" s="20"/>
      <c r="AHC1" s="20"/>
      <c r="AHD1" s="20"/>
      <c r="AHE1" s="20"/>
      <c r="AHF1" s="20"/>
      <c r="AHG1" s="20"/>
      <c r="AHH1" s="20"/>
      <c r="AHI1" s="20"/>
      <c r="AHJ1" s="20"/>
      <c r="AHK1" s="20"/>
      <c r="AHL1" s="20"/>
      <c r="AHM1" s="20"/>
      <c r="AHN1" s="20"/>
      <c r="AHO1" s="20"/>
      <c r="AHP1" s="20"/>
      <c r="AHQ1" s="20"/>
      <c r="AHR1" s="20"/>
      <c r="AHS1" s="20"/>
      <c r="AHT1" s="20"/>
      <c r="AHU1" s="20"/>
      <c r="AHV1" s="20"/>
      <c r="AHW1" s="20"/>
      <c r="AHX1" s="20"/>
      <c r="AHY1" s="20"/>
      <c r="AHZ1" s="20"/>
      <c r="AIA1" s="20"/>
      <c r="AIB1" s="20"/>
      <c r="AIC1" s="20"/>
      <c r="AID1" s="20"/>
      <c r="AIE1" s="20"/>
      <c r="AIF1" s="20"/>
      <c r="AIG1" s="20"/>
      <c r="AIH1" s="20"/>
      <c r="AII1" s="20"/>
      <c r="AIJ1" s="20"/>
      <c r="AIK1" s="20"/>
      <c r="AIL1" s="20"/>
      <c r="AIM1" s="20"/>
      <c r="AIN1" s="20"/>
      <c r="AIO1" s="20"/>
      <c r="AIP1" s="20"/>
      <c r="AIQ1" s="20"/>
      <c r="AIR1" s="20"/>
      <c r="AIS1" s="20"/>
      <c r="AIT1" s="20"/>
      <c r="AIU1" s="20"/>
      <c r="AIV1" s="20"/>
      <c r="AIW1" s="20"/>
      <c r="AIX1" s="20"/>
      <c r="AIY1" s="20"/>
      <c r="AIZ1" s="20"/>
      <c r="AJA1" s="20"/>
      <c r="AJB1" s="20"/>
      <c r="AJC1" s="20"/>
      <c r="AJD1" s="20"/>
      <c r="AJE1" s="20"/>
      <c r="AJF1" s="20"/>
      <c r="AJG1" s="20"/>
      <c r="AJH1" s="20"/>
      <c r="AJI1" s="20"/>
      <c r="AJJ1" s="20"/>
      <c r="AJK1" s="20"/>
      <c r="AJL1" s="20"/>
      <c r="AJM1" s="20"/>
      <c r="AJN1" s="20"/>
      <c r="AJO1" s="20"/>
      <c r="AJP1" s="20"/>
      <c r="AJQ1" s="20"/>
      <c r="AJR1" s="20"/>
      <c r="AJS1" s="20"/>
      <c r="AJT1" s="20"/>
      <c r="AJU1" s="20"/>
      <c r="AJV1" s="20"/>
      <c r="AJW1" s="20"/>
      <c r="AJX1" s="20"/>
      <c r="AJY1" s="20"/>
      <c r="AJZ1" s="20"/>
      <c r="AKA1" s="20"/>
      <c r="AKB1" s="20"/>
      <c r="AKC1" s="20"/>
      <c r="AKD1" s="20"/>
      <c r="AKE1" s="20"/>
      <c r="AKF1" s="20"/>
      <c r="AKG1" s="20"/>
      <c r="AKH1" s="20"/>
      <c r="AKI1" s="20"/>
      <c r="AKJ1" s="20"/>
      <c r="AKK1" s="20"/>
      <c r="AKL1" s="20"/>
      <c r="AKM1" s="20"/>
      <c r="AKN1" s="20"/>
      <c r="AKO1" s="20"/>
      <c r="AKP1" s="20"/>
      <c r="AKQ1" s="20"/>
      <c r="AKR1" s="20"/>
      <c r="AKS1" s="20"/>
      <c r="AKT1" s="20"/>
      <c r="AKU1" s="20"/>
      <c r="AKV1" s="20"/>
      <c r="AKW1" s="20"/>
      <c r="AKX1" s="20"/>
      <c r="AKY1" s="20"/>
      <c r="AKZ1" s="20"/>
      <c r="ALA1" s="20"/>
      <c r="ALB1" s="20"/>
      <c r="ALC1" s="20"/>
      <c r="ALD1" s="20"/>
      <c r="ALE1" s="20"/>
      <c r="ALF1" s="20"/>
      <c r="ALG1" s="20"/>
      <c r="ALH1" s="20"/>
      <c r="ALI1" s="20"/>
      <c r="ALJ1" s="20"/>
      <c r="ALK1" s="20"/>
      <c r="ALL1" s="20"/>
      <c r="ALM1" s="20"/>
      <c r="ALN1" s="20"/>
      <c r="ALO1" s="20"/>
      <c r="ALP1" s="20"/>
      <c r="ALQ1" s="20"/>
      <c r="ALR1" s="20"/>
      <c r="ALS1" s="20"/>
      <c r="ALT1" s="20"/>
      <c r="ALU1" s="20"/>
      <c r="ALV1" s="20"/>
      <c r="ALW1" s="20"/>
      <c r="ALX1" s="20"/>
      <c r="ALY1" s="20"/>
      <c r="ALZ1" s="20"/>
      <c r="AMA1" s="20"/>
      <c r="AMB1" s="20"/>
      <c r="AMC1" s="20"/>
      <c r="AMD1" s="20"/>
      <c r="AME1" s="20"/>
      <c r="AMF1" s="20"/>
      <c r="AMG1" s="20"/>
      <c r="AMH1" s="20"/>
      <c r="AMI1" s="20"/>
      <c r="AMJ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40</v>
      </c>
      <c r="D3" s="5" t="s">
        <v>9</v>
      </c>
      <c r="E3" s="23" t="s">
        <v>41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  <c r="FS3" s="24"/>
      <c r="FT3" s="24"/>
      <c r="FU3" s="24"/>
      <c r="FV3" s="24"/>
      <c r="FW3" s="24"/>
      <c r="FX3" s="24"/>
      <c r="FY3" s="24"/>
      <c r="FZ3" s="24"/>
      <c r="GA3" s="24"/>
      <c r="GB3" s="24"/>
      <c r="GC3" s="24"/>
      <c r="GD3" s="24"/>
      <c r="GE3" s="24"/>
      <c r="GF3" s="24"/>
      <c r="GG3" s="24"/>
      <c r="GH3" s="24"/>
      <c r="GI3" s="24"/>
      <c r="GJ3" s="24"/>
      <c r="GK3" s="24"/>
      <c r="GL3" s="24"/>
      <c r="GM3" s="24"/>
      <c r="GN3" s="24"/>
      <c r="GO3" s="24"/>
      <c r="GP3" s="24"/>
      <c r="GQ3" s="24"/>
      <c r="GR3" s="24"/>
      <c r="GS3" s="24"/>
      <c r="GT3" s="24"/>
      <c r="GU3" s="24"/>
      <c r="GV3" s="24"/>
      <c r="GW3" s="24"/>
      <c r="GX3" s="24"/>
      <c r="GY3" s="24"/>
      <c r="GZ3" s="24"/>
      <c r="HA3" s="24"/>
      <c r="HB3" s="24"/>
      <c r="HC3" s="24"/>
      <c r="HD3" s="24"/>
      <c r="HE3" s="24"/>
      <c r="HF3" s="24"/>
      <c r="HG3" s="24"/>
      <c r="HH3" s="24"/>
      <c r="HI3" s="24"/>
      <c r="HJ3" s="24"/>
      <c r="HK3" s="24"/>
      <c r="HL3" s="24"/>
      <c r="HM3" s="24"/>
      <c r="HN3" s="24"/>
      <c r="HO3" s="24"/>
      <c r="HP3" s="24"/>
      <c r="HQ3" s="24"/>
      <c r="HR3" s="24"/>
      <c r="HS3" s="24"/>
      <c r="HT3" s="24"/>
      <c r="HU3" s="24"/>
      <c r="HV3" s="24"/>
      <c r="HW3" s="24"/>
      <c r="HX3" s="24"/>
      <c r="HY3" s="24"/>
      <c r="HZ3" s="24"/>
      <c r="IA3" s="24"/>
      <c r="IB3" s="24"/>
      <c r="IC3" s="24"/>
      <c r="ID3" s="24"/>
      <c r="IE3" s="24"/>
      <c r="IF3" s="24"/>
      <c r="IG3" s="24"/>
      <c r="IH3" s="24"/>
      <c r="II3" s="24"/>
      <c r="IJ3" s="24"/>
      <c r="IK3" s="24"/>
      <c r="IL3" s="24"/>
      <c r="IM3" s="24"/>
      <c r="IN3" s="24"/>
      <c r="IO3" s="24"/>
      <c r="IP3" s="24"/>
      <c r="IQ3" s="24"/>
      <c r="IR3" s="24"/>
      <c r="IS3" s="24"/>
      <c r="IT3" s="24"/>
      <c r="IU3" s="24"/>
      <c r="IV3" s="24"/>
      <c r="IW3" s="24"/>
      <c r="IX3" s="24"/>
      <c r="IY3" s="24"/>
      <c r="IZ3" s="24"/>
      <c r="JA3" s="24"/>
      <c r="JB3" s="24"/>
      <c r="JC3" s="24"/>
      <c r="JD3" s="24"/>
      <c r="JE3" s="24"/>
      <c r="JF3" s="24"/>
      <c r="JG3" s="24"/>
      <c r="JH3" s="24"/>
      <c r="JI3" s="24"/>
      <c r="JJ3" s="24"/>
      <c r="JK3" s="24"/>
      <c r="JL3" s="24"/>
      <c r="JM3" s="24"/>
      <c r="JN3" s="24"/>
      <c r="JO3" s="24"/>
      <c r="JP3" s="24"/>
      <c r="JQ3" s="24"/>
      <c r="JR3" s="24"/>
      <c r="JS3" s="24"/>
      <c r="JT3" s="24"/>
      <c r="JU3" s="24"/>
      <c r="JV3" s="24"/>
      <c r="JW3" s="24"/>
      <c r="JX3" s="24"/>
      <c r="JY3" s="24"/>
      <c r="JZ3" s="24"/>
      <c r="KA3" s="24"/>
      <c r="KB3" s="24"/>
      <c r="KC3" s="24"/>
      <c r="KD3" s="24"/>
      <c r="KE3" s="24"/>
      <c r="KF3" s="24"/>
      <c r="KG3" s="24"/>
      <c r="KH3" s="24"/>
      <c r="KI3" s="24"/>
      <c r="KJ3" s="24"/>
      <c r="KK3" s="24"/>
      <c r="KL3" s="24"/>
      <c r="KM3" s="24"/>
      <c r="KN3" s="24"/>
      <c r="KO3" s="24"/>
      <c r="KP3" s="24"/>
      <c r="KQ3" s="24"/>
      <c r="KR3" s="24"/>
      <c r="KS3" s="24"/>
      <c r="KT3" s="24"/>
      <c r="KU3" s="24"/>
      <c r="KV3" s="24"/>
      <c r="KW3" s="24"/>
      <c r="KX3" s="24"/>
      <c r="KY3" s="24"/>
      <c r="KZ3" s="24"/>
      <c r="LA3" s="24"/>
      <c r="LB3" s="24"/>
      <c r="LC3" s="24"/>
      <c r="LD3" s="24"/>
      <c r="LE3" s="24"/>
      <c r="LF3" s="24"/>
      <c r="LG3" s="24"/>
      <c r="LH3" s="24"/>
      <c r="LI3" s="24"/>
      <c r="LJ3" s="24"/>
      <c r="LK3" s="24"/>
      <c r="LL3" s="24"/>
      <c r="LM3" s="24"/>
      <c r="LN3" s="24"/>
      <c r="LO3" s="24"/>
      <c r="LP3" s="24"/>
      <c r="LQ3" s="24"/>
      <c r="LR3" s="24"/>
      <c r="LS3" s="24"/>
      <c r="LT3" s="24"/>
      <c r="LU3" s="24"/>
      <c r="LV3" s="24"/>
      <c r="LW3" s="24"/>
      <c r="LX3" s="24"/>
      <c r="LY3" s="24"/>
      <c r="LZ3" s="24"/>
      <c r="MA3" s="24"/>
      <c r="MB3" s="24"/>
      <c r="MC3" s="24"/>
      <c r="MD3" s="24"/>
      <c r="ME3" s="24"/>
      <c r="MF3" s="24"/>
      <c r="MG3" s="24"/>
      <c r="MH3" s="24"/>
      <c r="MI3" s="24"/>
      <c r="MJ3" s="24"/>
      <c r="MK3" s="24"/>
      <c r="ML3" s="24"/>
      <c r="MM3" s="24"/>
      <c r="MN3" s="24"/>
      <c r="MO3" s="24"/>
      <c r="MP3" s="24"/>
      <c r="MQ3" s="24"/>
      <c r="MR3" s="24"/>
      <c r="MS3" s="24"/>
      <c r="MT3" s="24"/>
      <c r="MU3" s="24"/>
      <c r="MV3" s="24"/>
      <c r="MW3" s="24"/>
      <c r="MX3" s="24"/>
      <c r="MY3" s="24"/>
      <c r="MZ3" s="24"/>
      <c r="NA3" s="24"/>
      <c r="NB3" s="24"/>
      <c r="NC3" s="24"/>
      <c r="ND3" s="24"/>
      <c r="NE3" s="24"/>
      <c r="NF3" s="24"/>
      <c r="NG3" s="24"/>
      <c r="NH3" s="24"/>
      <c r="NI3" s="24"/>
      <c r="NJ3" s="24"/>
      <c r="NK3" s="24"/>
      <c r="NL3" s="24"/>
      <c r="NM3" s="24"/>
      <c r="NN3" s="24"/>
      <c r="NO3" s="24"/>
      <c r="NP3" s="24"/>
      <c r="NQ3" s="24"/>
      <c r="NR3" s="24"/>
      <c r="NS3" s="24"/>
      <c r="NT3" s="24"/>
      <c r="NU3" s="24"/>
      <c r="NV3" s="24"/>
      <c r="NW3" s="24"/>
      <c r="NX3" s="24"/>
      <c r="NY3" s="24"/>
      <c r="NZ3" s="24"/>
      <c r="OA3" s="24"/>
      <c r="OB3" s="24"/>
      <c r="OC3" s="24"/>
      <c r="OD3" s="24"/>
      <c r="OE3" s="24"/>
      <c r="OF3" s="24"/>
      <c r="OG3" s="24"/>
      <c r="OH3" s="24"/>
      <c r="OI3" s="24"/>
      <c r="OJ3" s="24"/>
      <c r="OK3" s="24"/>
      <c r="OL3" s="24"/>
      <c r="OM3" s="24"/>
      <c r="ON3" s="24"/>
      <c r="OO3" s="24"/>
      <c r="OP3" s="24"/>
      <c r="OQ3" s="24"/>
      <c r="OR3" s="24"/>
      <c r="OS3" s="24"/>
      <c r="OT3" s="24"/>
      <c r="OU3" s="24"/>
      <c r="OV3" s="24"/>
      <c r="OW3" s="24"/>
      <c r="OX3" s="24"/>
      <c r="OY3" s="24"/>
      <c r="OZ3" s="24"/>
      <c r="PA3" s="24"/>
      <c r="PB3" s="24"/>
      <c r="PC3" s="24"/>
      <c r="PD3" s="24"/>
      <c r="PE3" s="24"/>
      <c r="PF3" s="24"/>
      <c r="PG3" s="24"/>
      <c r="PH3" s="24"/>
      <c r="PI3" s="24"/>
      <c r="PJ3" s="24"/>
      <c r="PK3" s="24"/>
      <c r="PL3" s="24"/>
      <c r="PM3" s="24"/>
      <c r="PN3" s="24"/>
      <c r="PO3" s="24"/>
      <c r="PP3" s="24"/>
      <c r="PQ3" s="24"/>
      <c r="PR3" s="24"/>
      <c r="PS3" s="24"/>
      <c r="PT3" s="24"/>
      <c r="PU3" s="24"/>
      <c r="PV3" s="24"/>
      <c r="PW3" s="24"/>
      <c r="PX3" s="24"/>
      <c r="PY3" s="24"/>
      <c r="PZ3" s="24"/>
      <c r="QA3" s="24"/>
      <c r="QB3" s="24"/>
      <c r="QC3" s="24"/>
      <c r="QD3" s="24"/>
      <c r="QE3" s="24"/>
      <c r="QF3" s="24"/>
      <c r="QG3" s="24"/>
      <c r="QH3" s="24"/>
      <c r="QI3" s="24"/>
      <c r="QJ3" s="24"/>
      <c r="QK3" s="24"/>
      <c r="QL3" s="24"/>
      <c r="QM3" s="24"/>
      <c r="QN3" s="24"/>
      <c r="QO3" s="24"/>
      <c r="QP3" s="24"/>
      <c r="QQ3" s="24"/>
      <c r="QR3" s="24"/>
      <c r="QS3" s="24"/>
      <c r="QT3" s="24"/>
      <c r="QU3" s="24"/>
      <c r="QV3" s="24"/>
      <c r="QW3" s="24"/>
      <c r="QX3" s="24"/>
      <c r="QY3" s="24"/>
      <c r="QZ3" s="24"/>
      <c r="RA3" s="24"/>
      <c r="RB3" s="24"/>
      <c r="RC3" s="24"/>
      <c r="RD3" s="24"/>
      <c r="RE3" s="24"/>
      <c r="RF3" s="24"/>
      <c r="RG3" s="24"/>
      <c r="RH3" s="24"/>
      <c r="RI3" s="24"/>
      <c r="RJ3" s="24"/>
      <c r="RK3" s="24"/>
      <c r="RL3" s="24"/>
      <c r="RM3" s="24"/>
      <c r="RN3" s="24"/>
      <c r="RO3" s="24"/>
      <c r="RP3" s="24"/>
      <c r="RQ3" s="24"/>
      <c r="RR3" s="24"/>
      <c r="RS3" s="24"/>
      <c r="RT3" s="24"/>
      <c r="RU3" s="24"/>
      <c r="RV3" s="24"/>
      <c r="RW3" s="24"/>
      <c r="RX3" s="24"/>
      <c r="RY3" s="24"/>
      <c r="RZ3" s="24"/>
      <c r="SA3" s="24"/>
      <c r="SB3" s="24"/>
      <c r="SC3" s="24"/>
      <c r="SD3" s="24"/>
      <c r="SE3" s="24"/>
      <c r="SF3" s="24"/>
      <c r="SG3" s="24"/>
      <c r="SH3" s="24"/>
      <c r="SI3" s="24"/>
      <c r="SJ3" s="24"/>
      <c r="SK3" s="24"/>
      <c r="SL3" s="24"/>
      <c r="SM3" s="24"/>
      <c r="SN3" s="24"/>
      <c r="SO3" s="24"/>
      <c r="SP3" s="24"/>
      <c r="SQ3" s="24"/>
      <c r="SR3" s="24"/>
      <c r="SS3" s="24"/>
      <c r="ST3" s="24"/>
      <c r="SU3" s="24"/>
      <c r="SV3" s="24"/>
      <c r="SW3" s="24"/>
      <c r="SX3" s="24"/>
      <c r="SY3" s="24"/>
      <c r="SZ3" s="24"/>
      <c r="TA3" s="24"/>
      <c r="TB3" s="24"/>
      <c r="TC3" s="24"/>
      <c r="TD3" s="24"/>
      <c r="TE3" s="24"/>
      <c r="TF3" s="24"/>
      <c r="TG3" s="24"/>
      <c r="TH3" s="24"/>
      <c r="TI3" s="24"/>
      <c r="TJ3" s="24"/>
      <c r="TK3" s="24"/>
      <c r="TL3" s="24"/>
      <c r="TM3" s="24"/>
      <c r="TN3" s="24"/>
      <c r="TO3" s="24"/>
      <c r="TP3" s="24"/>
      <c r="TQ3" s="24"/>
      <c r="TR3" s="24"/>
      <c r="TS3" s="24"/>
      <c r="TT3" s="24"/>
      <c r="TU3" s="24"/>
      <c r="TV3" s="24"/>
      <c r="TW3" s="24"/>
      <c r="TX3" s="24"/>
      <c r="TY3" s="24"/>
      <c r="TZ3" s="24"/>
      <c r="UA3" s="24"/>
      <c r="UB3" s="24"/>
      <c r="UC3" s="24"/>
      <c r="UD3" s="24"/>
      <c r="UE3" s="24"/>
      <c r="UF3" s="24"/>
      <c r="UG3" s="24"/>
      <c r="UH3" s="24"/>
      <c r="UI3" s="24"/>
      <c r="UJ3" s="24"/>
      <c r="UK3" s="24"/>
      <c r="UL3" s="24"/>
      <c r="UM3" s="24"/>
      <c r="UN3" s="24"/>
      <c r="UO3" s="24"/>
      <c r="UP3" s="24"/>
      <c r="UQ3" s="24"/>
      <c r="UR3" s="24"/>
      <c r="US3" s="24"/>
      <c r="UT3" s="24"/>
      <c r="UU3" s="24"/>
      <c r="UV3" s="24"/>
      <c r="UW3" s="24"/>
      <c r="UX3" s="24"/>
      <c r="UY3" s="24"/>
      <c r="UZ3" s="24"/>
      <c r="VA3" s="24"/>
      <c r="VB3" s="24"/>
      <c r="VC3" s="24"/>
      <c r="VD3" s="24"/>
      <c r="VE3" s="24"/>
      <c r="VF3" s="24"/>
      <c r="VG3" s="24"/>
      <c r="VH3" s="24"/>
      <c r="VI3" s="24"/>
      <c r="VJ3" s="24"/>
      <c r="VK3" s="24"/>
      <c r="VL3" s="24"/>
      <c r="VM3" s="24"/>
      <c r="VN3" s="24"/>
      <c r="VO3" s="24"/>
      <c r="VP3" s="24"/>
      <c r="VQ3" s="24"/>
      <c r="VR3" s="24"/>
      <c r="VS3" s="24"/>
      <c r="VT3" s="24"/>
      <c r="VU3" s="24"/>
      <c r="VV3" s="24"/>
      <c r="VW3" s="24"/>
      <c r="VX3" s="24"/>
      <c r="VY3" s="24"/>
      <c r="VZ3" s="24"/>
      <c r="WA3" s="24"/>
      <c r="WB3" s="24"/>
      <c r="WC3" s="24"/>
      <c r="WD3" s="24"/>
      <c r="WE3" s="24"/>
      <c r="WF3" s="24"/>
      <c r="WG3" s="24"/>
      <c r="WH3" s="24"/>
      <c r="WI3" s="24"/>
      <c r="WJ3" s="24"/>
      <c r="WK3" s="24"/>
      <c r="WL3" s="24"/>
      <c r="WM3" s="24"/>
      <c r="WN3" s="24"/>
      <c r="WO3" s="24"/>
      <c r="WP3" s="24"/>
      <c r="WQ3" s="24"/>
      <c r="WR3" s="24"/>
      <c r="WS3" s="24"/>
      <c r="WT3" s="24"/>
      <c r="WU3" s="24"/>
      <c r="WV3" s="24"/>
      <c r="WW3" s="24"/>
      <c r="WX3" s="24"/>
      <c r="WY3" s="24"/>
      <c r="WZ3" s="24"/>
      <c r="XA3" s="24"/>
      <c r="XB3" s="24"/>
      <c r="XC3" s="24"/>
      <c r="XD3" s="24"/>
      <c r="XE3" s="24"/>
      <c r="XF3" s="24"/>
      <c r="XG3" s="24"/>
      <c r="XH3" s="24"/>
      <c r="XI3" s="24"/>
      <c r="XJ3" s="24"/>
      <c r="XK3" s="24"/>
      <c r="XL3" s="24"/>
      <c r="XM3" s="24"/>
      <c r="XN3" s="24"/>
      <c r="XO3" s="24"/>
      <c r="XP3" s="24"/>
      <c r="XQ3" s="24"/>
      <c r="XR3" s="24"/>
      <c r="XS3" s="24"/>
      <c r="XT3" s="24"/>
      <c r="XU3" s="24"/>
      <c r="XV3" s="24"/>
      <c r="XW3" s="24"/>
      <c r="XX3" s="24"/>
      <c r="XY3" s="24"/>
      <c r="XZ3" s="24"/>
      <c r="YA3" s="24"/>
      <c r="YB3" s="24"/>
      <c r="YC3" s="24"/>
      <c r="YD3" s="24"/>
      <c r="YE3" s="24"/>
      <c r="YF3" s="24"/>
      <c r="YG3" s="24"/>
      <c r="YH3" s="24"/>
      <c r="YI3" s="24"/>
      <c r="YJ3" s="24"/>
      <c r="YK3" s="24"/>
      <c r="YL3" s="24"/>
      <c r="YM3" s="24"/>
      <c r="YN3" s="24"/>
      <c r="YO3" s="24"/>
      <c r="YP3" s="24"/>
      <c r="YQ3" s="24"/>
      <c r="YR3" s="24"/>
      <c r="YS3" s="24"/>
      <c r="YT3" s="24"/>
      <c r="YU3" s="24"/>
      <c r="YV3" s="24"/>
      <c r="YW3" s="24"/>
      <c r="YX3" s="24"/>
      <c r="YY3" s="24"/>
      <c r="YZ3" s="24"/>
      <c r="ZA3" s="24"/>
      <c r="ZB3" s="24"/>
      <c r="ZC3" s="24"/>
      <c r="ZD3" s="24"/>
      <c r="ZE3" s="24"/>
      <c r="ZF3" s="24"/>
      <c r="ZG3" s="24"/>
      <c r="ZH3" s="24"/>
      <c r="ZI3" s="24"/>
      <c r="ZJ3" s="24"/>
      <c r="ZK3" s="24"/>
      <c r="ZL3" s="24"/>
      <c r="ZM3" s="24"/>
      <c r="ZN3" s="24"/>
      <c r="ZO3" s="24"/>
      <c r="ZP3" s="24"/>
      <c r="ZQ3" s="24"/>
      <c r="ZR3" s="24"/>
      <c r="ZS3" s="24"/>
      <c r="ZT3" s="24"/>
      <c r="ZU3" s="24"/>
      <c r="ZV3" s="24"/>
      <c r="ZW3" s="24"/>
      <c r="ZX3" s="24"/>
      <c r="ZY3" s="24"/>
      <c r="ZZ3" s="24"/>
      <c r="AAA3" s="24"/>
      <c r="AAB3" s="24"/>
      <c r="AAC3" s="24"/>
      <c r="AAD3" s="24"/>
      <c r="AAE3" s="24"/>
      <c r="AAF3" s="24"/>
      <c r="AAG3" s="24"/>
      <c r="AAH3" s="24"/>
      <c r="AAI3" s="24"/>
      <c r="AAJ3" s="24"/>
      <c r="AAK3" s="24"/>
      <c r="AAL3" s="24"/>
      <c r="AAM3" s="24"/>
      <c r="AAN3" s="24"/>
      <c r="AAO3" s="24"/>
      <c r="AAP3" s="24"/>
      <c r="AAQ3" s="24"/>
      <c r="AAR3" s="24"/>
      <c r="AAS3" s="24"/>
      <c r="AAT3" s="24"/>
      <c r="AAU3" s="24"/>
      <c r="AAV3" s="24"/>
      <c r="AAW3" s="24"/>
      <c r="AAX3" s="24"/>
      <c r="AAY3" s="24"/>
      <c r="AAZ3" s="24"/>
      <c r="ABA3" s="24"/>
      <c r="ABB3" s="24"/>
      <c r="ABC3" s="24"/>
      <c r="ABD3" s="24"/>
      <c r="ABE3" s="24"/>
      <c r="ABF3" s="24"/>
      <c r="ABG3" s="24"/>
      <c r="ABH3" s="24"/>
      <c r="ABI3" s="24"/>
      <c r="ABJ3" s="24"/>
      <c r="ABK3" s="24"/>
      <c r="ABL3" s="24"/>
      <c r="ABM3" s="24"/>
      <c r="ABN3" s="24"/>
      <c r="ABO3" s="24"/>
      <c r="ABP3" s="24"/>
      <c r="ABQ3" s="24"/>
      <c r="ABR3" s="24"/>
      <c r="ABS3" s="24"/>
      <c r="ABT3" s="24"/>
      <c r="ABU3" s="24"/>
      <c r="ABV3" s="24"/>
      <c r="ABW3" s="24"/>
      <c r="ABX3" s="24"/>
      <c r="ABY3" s="24"/>
      <c r="ABZ3" s="24"/>
      <c r="ACA3" s="24"/>
      <c r="ACB3" s="24"/>
      <c r="ACC3" s="24"/>
      <c r="ACD3" s="24"/>
      <c r="ACE3" s="24"/>
      <c r="ACF3" s="24"/>
      <c r="ACG3" s="24"/>
      <c r="ACH3" s="24"/>
      <c r="ACI3" s="24"/>
      <c r="ACJ3" s="24"/>
      <c r="ACK3" s="24"/>
      <c r="ACL3" s="24"/>
      <c r="ACM3" s="24"/>
      <c r="ACN3" s="24"/>
      <c r="ACO3" s="24"/>
      <c r="ACP3" s="24"/>
      <c r="ACQ3" s="24"/>
      <c r="ACR3" s="24"/>
      <c r="ACS3" s="24"/>
      <c r="ACT3" s="24"/>
      <c r="ACU3" s="24"/>
      <c r="ACV3" s="24"/>
      <c r="ACW3" s="24"/>
      <c r="ACX3" s="24"/>
      <c r="ACY3" s="24"/>
      <c r="ACZ3" s="24"/>
      <c r="ADA3" s="24"/>
      <c r="ADB3" s="24"/>
      <c r="ADC3" s="24"/>
      <c r="ADD3" s="24"/>
      <c r="ADE3" s="24"/>
      <c r="ADF3" s="24"/>
      <c r="ADG3" s="24"/>
      <c r="ADH3" s="24"/>
      <c r="ADI3" s="24"/>
      <c r="ADJ3" s="24"/>
      <c r="ADK3" s="24"/>
      <c r="ADL3" s="24"/>
      <c r="ADM3" s="24"/>
      <c r="ADN3" s="24"/>
      <c r="ADO3" s="24"/>
      <c r="ADP3" s="24"/>
      <c r="ADQ3" s="24"/>
      <c r="ADR3" s="24"/>
      <c r="ADS3" s="24"/>
      <c r="ADT3" s="24"/>
      <c r="ADU3" s="24"/>
      <c r="ADV3" s="24"/>
      <c r="ADW3" s="24"/>
      <c r="ADX3" s="24"/>
      <c r="ADY3" s="24"/>
      <c r="ADZ3" s="24"/>
      <c r="AEA3" s="24"/>
      <c r="AEB3" s="24"/>
      <c r="AEC3" s="24"/>
      <c r="AED3" s="24"/>
      <c r="AEE3" s="24"/>
      <c r="AEF3" s="24"/>
      <c r="AEG3" s="24"/>
      <c r="AEH3" s="24"/>
      <c r="AEI3" s="24"/>
      <c r="AEJ3" s="24"/>
      <c r="AEK3" s="24"/>
      <c r="AEL3" s="24"/>
      <c r="AEM3" s="24"/>
      <c r="AEN3" s="24"/>
      <c r="AEO3" s="24"/>
      <c r="AEP3" s="24"/>
      <c r="AEQ3" s="24"/>
      <c r="AER3" s="24"/>
      <c r="AES3" s="24"/>
      <c r="AET3" s="24"/>
      <c r="AEU3" s="24"/>
      <c r="AEV3" s="24"/>
      <c r="AEW3" s="24"/>
      <c r="AEX3" s="24"/>
      <c r="AEY3" s="24"/>
      <c r="AEZ3" s="24"/>
      <c r="AFA3" s="24"/>
      <c r="AFB3" s="24"/>
      <c r="AFC3" s="24"/>
      <c r="AFD3" s="24"/>
      <c r="AFE3" s="24"/>
      <c r="AFF3" s="24"/>
      <c r="AFG3" s="24"/>
      <c r="AFH3" s="24"/>
      <c r="AFI3" s="24"/>
      <c r="AFJ3" s="24"/>
      <c r="AFK3" s="24"/>
      <c r="AFL3" s="24"/>
      <c r="AFM3" s="24"/>
      <c r="AFN3" s="24"/>
      <c r="AFO3" s="24"/>
      <c r="AFP3" s="24"/>
      <c r="AFQ3" s="24"/>
      <c r="AFR3" s="24"/>
      <c r="AFS3" s="24"/>
      <c r="AFT3" s="24"/>
      <c r="AFU3" s="24"/>
      <c r="AFV3" s="24"/>
      <c r="AFW3" s="24"/>
      <c r="AFX3" s="24"/>
      <c r="AFY3" s="24"/>
      <c r="AFZ3" s="24"/>
      <c r="AGA3" s="24"/>
      <c r="AGB3" s="24"/>
      <c r="AGC3" s="24"/>
      <c r="AGD3" s="24"/>
      <c r="AGE3" s="24"/>
      <c r="AGF3" s="24"/>
      <c r="AGG3" s="24"/>
      <c r="AGH3" s="24"/>
      <c r="AGI3" s="24"/>
      <c r="AGJ3" s="24"/>
      <c r="AGK3" s="24"/>
      <c r="AGL3" s="24"/>
      <c r="AGM3" s="24"/>
      <c r="AGN3" s="24"/>
      <c r="AGO3" s="24"/>
      <c r="AGP3" s="24"/>
      <c r="AGQ3" s="24"/>
      <c r="AGR3" s="24"/>
      <c r="AGS3" s="24"/>
      <c r="AGT3" s="24"/>
      <c r="AGU3" s="24"/>
      <c r="AGV3" s="24"/>
      <c r="AGW3" s="24"/>
      <c r="AGX3" s="24"/>
      <c r="AGY3" s="24"/>
      <c r="AGZ3" s="24"/>
      <c r="AHA3" s="24"/>
      <c r="AHB3" s="24"/>
      <c r="AHC3" s="24"/>
      <c r="AHD3" s="24"/>
      <c r="AHE3" s="24"/>
      <c r="AHF3" s="24"/>
      <c r="AHG3" s="24"/>
      <c r="AHH3" s="24"/>
      <c r="AHI3" s="24"/>
      <c r="AHJ3" s="24"/>
      <c r="AHK3" s="24"/>
      <c r="AHL3" s="24"/>
      <c r="AHM3" s="24"/>
      <c r="AHN3" s="24"/>
      <c r="AHO3" s="24"/>
      <c r="AHP3" s="24"/>
      <c r="AHQ3" s="24"/>
      <c r="AHR3" s="24"/>
      <c r="AHS3" s="24"/>
      <c r="AHT3" s="24"/>
      <c r="AHU3" s="24"/>
      <c r="AHV3" s="24"/>
      <c r="AHW3" s="24"/>
      <c r="AHX3" s="24"/>
      <c r="AHY3" s="24"/>
      <c r="AHZ3" s="24"/>
      <c r="AIA3" s="24"/>
      <c r="AIB3" s="24"/>
      <c r="AIC3" s="24"/>
      <c r="AID3" s="24"/>
      <c r="AIE3" s="24"/>
      <c r="AIF3" s="24"/>
      <c r="AIG3" s="24"/>
      <c r="AIH3" s="24"/>
      <c r="AII3" s="24"/>
      <c r="AIJ3" s="24"/>
      <c r="AIK3" s="24"/>
      <c r="AIL3" s="24"/>
      <c r="AIM3" s="24"/>
      <c r="AIN3" s="24"/>
      <c r="AIO3" s="24"/>
      <c r="AIP3" s="24"/>
      <c r="AIQ3" s="24"/>
      <c r="AIR3" s="24"/>
      <c r="AIS3" s="24"/>
      <c r="AIT3" s="24"/>
      <c r="AIU3" s="24"/>
      <c r="AIV3" s="24"/>
      <c r="AIW3" s="24"/>
      <c r="AIX3" s="24"/>
      <c r="AIY3" s="24"/>
      <c r="AIZ3" s="24"/>
      <c r="AJA3" s="24"/>
      <c r="AJB3" s="24"/>
      <c r="AJC3" s="24"/>
      <c r="AJD3" s="24"/>
      <c r="AJE3" s="24"/>
      <c r="AJF3" s="24"/>
      <c r="AJG3" s="24"/>
      <c r="AJH3" s="24"/>
      <c r="AJI3" s="24"/>
      <c r="AJJ3" s="24"/>
      <c r="AJK3" s="24"/>
      <c r="AJL3" s="24"/>
      <c r="AJM3" s="24"/>
      <c r="AJN3" s="24"/>
      <c r="AJO3" s="24"/>
      <c r="AJP3" s="24"/>
      <c r="AJQ3" s="24"/>
      <c r="AJR3" s="24"/>
      <c r="AJS3" s="24"/>
      <c r="AJT3" s="24"/>
      <c r="AJU3" s="24"/>
      <c r="AJV3" s="24"/>
      <c r="AJW3" s="24"/>
      <c r="AJX3" s="24"/>
      <c r="AJY3" s="24"/>
      <c r="AJZ3" s="24"/>
      <c r="AKA3" s="24"/>
      <c r="AKB3" s="24"/>
      <c r="AKC3" s="24"/>
      <c r="AKD3" s="24"/>
      <c r="AKE3" s="24"/>
      <c r="AKF3" s="24"/>
      <c r="AKG3" s="24"/>
      <c r="AKH3" s="24"/>
      <c r="AKI3" s="24"/>
      <c r="AKJ3" s="24"/>
      <c r="AKK3" s="24"/>
      <c r="AKL3" s="24"/>
      <c r="AKM3" s="24"/>
      <c r="AKN3" s="24"/>
      <c r="AKO3" s="24"/>
      <c r="AKP3" s="24"/>
      <c r="AKQ3" s="24"/>
      <c r="AKR3" s="24"/>
      <c r="AKS3" s="24"/>
      <c r="AKT3" s="24"/>
      <c r="AKU3" s="24"/>
      <c r="AKV3" s="24"/>
      <c r="AKW3" s="24"/>
      <c r="AKX3" s="24"/>
      <c r="AKY3" s="24"/>
      <c r="AKZ3" s="24"/>
      <c r="ALA3" s="24"/>
      <c r="ALB3" s="24"/>
      <c r="ALC3" s="24"/>
      <c r="ALD3" s="24"/>
      <c r="ALE3" s="24"/>
      <c r="ALF3" s="24"/>
      <c r="ALG3" s="24"/>
      <c r="ALH3" s="24"/>
      <c r="ALI3" s="24"/>
      <c r="ALJ3" s="24"/>
      <c r="ALK3" s="24"/>
      <c r="ALL3" s="24"/>
      <c r="ALM3" s="24"/>
      <c r="ALN3" s="24"/>
      <c r="ALO3" s="24"/>
      <c r="ALP3" s="24"/>
      <c r="ALQ3" s="24"/>
      <c r="ALR3" s="24"/>
      <c r="ALS3" s="24"/>
      <c r="ALT3" s="24"/>
      <c r="ALU3" s="24"/>
      <c r="ALV3" s="24"/>
      <c r="ALW3" s="24"/>
      <c r="ALX3" s="24"/>
      <c r="ALY3" s="24"/>
      <c r="ALZ3" s="24"/>
      <c r="AMA3" s="24"/>
      <c r="AMB3" s="24"/>
      <c r="AMC3" s="24"/>
      <c r="AMD3" s="24"/>
      <c r="AME3" s="24"/>
      <c r="AMF3" s="24"/>
      <c r="AMG3" s="24"/>
      <c r="AMH3" s="24"/>
      <c r="AMI3" s="24"/>
      <c r="AMJ3" s="24"/>
    </row>
    <row r="4" ht="15.75" customHeight="1">
      <c r="A4" s="25"/>
      <c r="B4" s="25" t="str">
        <f>IFERROR(__xludf.DUMMYFUNCTION("IF(C3="""","""",Transpose(IMPORTRANGE('_Settings'!$B$3,C3&amp;""!A4:A1000"")))"),"SelectCheckBoxOnOrderGrid")</f>
        <v>SelectCheckBoxOnOrderGrid</v>
      </c>
      <c r="C4" s="25" t="str">
        <f>IFERROR(__xludf.DUMMYFUNCTION("""COMPUTED_VALUE"""),"SaveOrRemoveInWorkingSubsTab")</f>
        <v>SaveOrRemoveInWorkingSubsTab</v>
      </c>
      <c r="D4" s="25" t="str">
        <f>IFERROR(__xludf.DUMMYFUNCTION("""COMPUTED_VALUE"""),"SaveOrRemoveInSummaryTab")</f>
        <v>SaveOrRemoveInSummaryTab</v>
      </c>
      <c r="E4" s="25" t="str">
        <f>IFERROR(__xludf.DUMMYFUNCTION("""COMPUTED_VALUE"""),"VerifyLowerStripBlotterUI")</f>
        <v>VerifyLowerStripBlotterUI</v>
      </c>
      <c r="F4" s="25" t="str">
        <f>IFERROR(__xludf.DUMMYFUNCTION("""COMPUTED_VALUE"""),"AddTabBlotter")</f>
        <v>AddTabBlotter</v>
      </c>
      <c r="G4" s="25" t="str">
        <f>IFERROR(__xludf.DUMMYFUNCTION("""COMPUTED_VALUE"""),"VerifyMergeOrder")</f>
        <v>VerifyMergeOrder</v>
      </c>
      <c r="H4" s="25" t="str">
        <f>IFERROR(__xludf.DUMMYFUNCTION("""COMPUTED_VALUE"""),"MergeOrder")</f>
        <v>MergeOrder</v>
      </c>
      <c r="I4" s="25" t="str">
        <f>IFERROR(__xludf.DUMMYFUNCTION("""COMPUTED_VALUE"""),"ReplaceFillsOnBlotter")</f>
        <v>ReplaceFillsOnBlotter</v>
      </c>
      <c r="J4" s="25" t="str">
        <f>IFERROR(__xludf.DUMMYFUNCTION("""COMPUTED_VALUE"""),"CheckBlotter")</f>
        <v>CheckBlotter</v>
      </c>
      <c r="K4" s="25" t="str">
        <f>IFERROR(__xludf.DUMMYFUNCTION("""COMPUTED_VALUE"""),"ViewPTTAllocationDetails")</f>
        <v>ViewPTTAllocationDetails</v>
      </c>
      <c r="L4" s="25" t="str">
        <f>IFERROR(__xludf.DUMMYFUNCTION("""COMPUTED_VALUE"""),"AllocateFromBlotter")</f>
        <v>AllocateFromBlotter</v>
      </c>
      <c r="M4" s="25" t="str">
        <f>IFERROR(__xludf.DUMMYFUNCTION("""COMPUTED_VALUE"""),"ModifyFills")</f>
        <v>ModifyFills</v>
      </c>
      <c r="N4" s="25" t="str">
        <f>IFERROR(__xludf.DUMMYFUNCTION("""COMPUTED_VALUE"""),"BlotterFunctionalities")</f>
        <v>BlotterFunctionalities</v>
      </c>
      <c r="O4" s="25" t="str">
        <f>IFERROR(__xludf.DUMMYFUNCTION("""COMPUTED_VALUE"""),"SelectFills")</f>
        <v>SelectFills</v>
      </c>
      <c r="P4" s="26" t="str">
        <f>IFERROR(__xludf.DUMMYFUNCTION("""COMPUTED_VALUE"""),"ReloadOrderFromWorkingSubs")</f>
        <v>ReloadOrderFromWorkingSubs</v>
      </c>
      <c r="Q4" s="26" t="str">
        <f>IFERROR(__xludf.DUMMYFUNCTION("""COMPUTED_VALUE"""),"ReloadOrderFromSubOrder")</f>
        <v>ReloadOrderFromSubOrder</v>
      </c>
      <c r="R4" s="26" t="str">
        <f>IFERROR(__xludf.DUMMYFUNCTION("""COMPUTED_VALUE"""),"ReloadOrderFromBlotter")</f>
        <v>ReloadOrderFromBlotter</v>
      </c>
      <c r="S4" s="26" t="str">
        <f>IFERROR(__xludf.DUMMYFUNCTION("""COMPUTED_VALUE"""),"MultipleTradeTransferToUser")</f>
        <v>MultipleTradeTransferToUser</v>
      </c>
      <c r="T4" s="26" t="str">
        <f>IFERROR(__xludf.DUMMYFUNCTION("""COMPUTED_VALUE"""),"BlotterExecutionReportSnapshot")</f>
        <v>BlotterExecutionReportSnapshot</v>
      </c>
      <c r="U4" s="26" t="str">
        <f>IFERROR(__xludf.DUMMYFUNCTION("""COMPUTED_VALUE"""),"VerifyExecutionReport")</f>
        <v>VerifyExecutionReport</v>
      </c>
      <c r="V4" s="26" t="str">
        <f>IFERROR(__xludf.DUMMYFUNCTION("""COMPUTED_VALUE"""),"ExportExecutionReportData")</f>
        <v>ExportExecutionReportData</v>
      </c>
      <c r="W4" s="26" t="str">
        <f>IFERROR(__xludf.DUMMYFUNCTION("""COMPUTED_VALUE"""),"GetExecutionReportDetails")</f>
        <v>GetExecutionReportDetails</v>
      </c>
      <c r="X4" s="26" t="str">
        <f>IFERROR(__xludf.DUMMYFUNCTION("""COMPUTED_VALUE"""),"GetExecutionReportOrders")</f>
        <v>GetExecutionReportOrders</v>
      </c>
      <c r="Y4" s="26" t="str">
        <f>IFERROR(__xludf.DUMMYFUNCTION("""COMPUTED_VALUE"""),"RemoveExecutionWorkingSubs")</f>
        <v>RemoveExecutionWorkingSubs</v>
      </c>
      <c r="Z4" s="26" t="str">
        <f>IFERROR(__xludf.DUMMYFUNCTION("""COMPUTED_VALUE"""),"RemoveManualExecution")</f>
        <v>RemoveManualExecution</v>
      </c>
      <c r="AA4" s="26" t="str">
        <f>IFERROR(__xludf.DUMMYFUNCTION("""COMPUTED_VALUE"""),"TransferToUserWorkingSubs")</f>
        <v>TransferToUserWorkingSubs</v>
      </c>
      <c r="AB4" s="26" t="str">
        <f>IFERROR(__xludf.DUMMYFUNCTION("""COMPUTED_VALUE"""),"OpenBlotter")</f>
        <v>OpenBlotter</v>
      </c>
      <c r="AC4" s="26" t="str">
        <f>IFERROR(__xludf.DUMMYFUNCTION("""COMPUTED_VALUE"""),"CancelWorkingSubs")</f>
        <v>CancelWorkingSubs</v>
      </c>
      <c r="AD4" s="26" t="str">
        <f>IFERROR(__xludf.DUMMYFUNCTION("""COMPUTED_VALUE"""),"ReplaceWorkingSubs")</f>
        <v>ReplaceWorkingSubs</v>
      </c>
      <c r="AE4" s="26" t="str">
        <f>IFERROR(__xludf.DUMMYFUNCTION("""COMPUTED_VALUE"""),"ViewAllocationDetailsWorkingSub")</f>
        <v>ViewAllocationDetailsWorkingSub</v>
      </c>
      <c r="AF4" s="26" t="str">
        <f>IFERROR(__xludf.DUMMYFUNCTION("""COMPUTED_VALUE"""),"OpenBlotter")</f>
        <v>OpenBlotter</v>
      </c>
      <c r="AG4" s="26" t="str">
        <f>IFERROR(__xludf.DUMMYFUNCTION("""COMPUTED_VALUE"""),"SelectTradeOnOrderGrid")</f>
        <v>SelectTradeOnOrderGrid</v>
      </c>
      <c r="AH4" s="26" t="str">
        <f>IFERROR(__xludf.DUMMYFUNCTION("""COMPUTED_VALUE"""),"ShowDetailsForAlgoTradeSubOrder")</f>
        <v>ShowDetailsForAlgoTradeSubOrder</v>
      </c>
      <c r="AI4" s="26" t="str">
        <f>IFERROR(__xludf.DUMMYFUNCTION("""COMPUTED_VALUE"""),"SelectTradeOrderBlotter")</f>
        <v>SelectTradeOrderBlotter</v>
      </c>
      <c r="AJ4" s="26" t="str">
        <f>IFERROR(__xludf.DUMMYFUNCTION("""COMPUTED_VALUE"""),"AddFillsWorkingSubs")</f>
        <v>AddFillsWorkingSubs</v>
      </c>
      <c r="AK4" s="26" t="str">
        <f>IFERROR(__xludf.DUMMYFUNCTION("""COMPUTED_VALUE"""),"EditAddFillsDetails")</f>
        <v>EditAddFillsDetails</v>
      </c>
      <c r="AL4" s="26" t="str">
        <f>IFERROR(__xludf.DUMMYFUNCTION("""COMPUTED_VALUE"""),"ShowDetailsForAlgoTradeWorkingSubs")</f>
        <v>ShowDetailsForAlgoTradeWorkingSubs</v>
      </c>
      <c r="AM4" s="26" t="str">
        <f>IFERROR(__xludf.DUMMYFUNCTION("""COMPUTED_VALUE"""),"VerifyWorkingSubs")</f>
        <v>VerifyWorkingSubs</v>
      </c>
      <c r="AN4" s="26" t="str">
        <f>IFERROR(__xludf.DUMMYFUNCTION("""COMPUTED_VALUE"""),"TransferToUserOrder")</f>
        <v>TransferToUserOrder</v>
      </c>
      <c r="AO4" s="26" t="str">
        <f>IFERROR(__xludf.DUMMYFUNCTION("""COMPUTED_VALUE"""),"EditOrder")</f>
        <v>EditOrder</v>
      </c>
      <c r="AP4" s="26" t="str">
        <f>IFERROR(__xludf.DUMMYFUNCTION("""COMPUTED_VALUE"""),"SelectTradeSubOrderBlotter")</f>
        <v>SelectTradeSubOrderBlotter</v>
      </c>
      <c r="AQ4" s="26" t="str">
        <f>IFERROR(__xludf.DUMMYFUNCTION("""COMPUTED_VALUE"""),"VerifyOrder")</f>
        <v>VerifyOrder</v>
      </c>
      <c r="AR4" s="26" t="str">
        <f>IFERROR(__xludf.DUMMYFUNCTION("""COMPUTED_VALUE"""),"VerifySubOrder")</f>
        <v>VerifySubOrder</v>
      </c>
      <c r="AS4" s="26" t="str">
        <f>IFERROR(__xludf.DUMMYFUNCTION("""COMPUTED_VALUE"""),"RemoveSelectedOrders")</f>
        <v>RemoveSelectedOrders</v>
      </c>
      <c r="AT4" s="26" t="str">
        <f>IFERROR(__xludf.DUMMYFUNCTION("""COMPUTED_VALUE"""),"CancelAllSelectedSubs")</f>
        <v>CancelAllSelectedSubs</v>
      </c>
      <c r="AU4" s="26" t="str">
        <f>IFERROR(__xludf.DUMMYFUNCTION("""COMPUTED_VALUE"""),"MultiTradingTicket")</f>
        <v>MultiTradingTicket</v>
      </c>
      <c r="AV4" s="26" t="str">
        <f>IFERROR(__xludf.DUMMYFUNCTION("""COMPUTED_VALUE"""),"AuditTrailOrderBlotter")</f>
        <v>AuditTrailOrderBlotter</v>
      </c>
      <c r="AW4" s="26" t="str">
        <f>IFERROR(__xludf.DUMMYFUNCTION("""COMPUTED_VALUE"""),"TradeNewSubOrder")</f>
        <v>TradeNewSubOrder</v>
      </c>
      <c r="AX4" s="26" t="str">
        <f>IFERROR(__xludf.DUMMYFUNCTION("""COMPUTED_VALUE"""),"RemoveStageOrder")</f>
        <v>RemoveStageOrder</v>
      </c>
      <c r="AY4" s="26" t="str">
        <f>IFERROR(__xludf.DUMMYFUNCTION("""COMPUTED_VALUE"""),"TransferToUserSubOrder")</f>
        <v>TransferToUserSubOrder</v>
      </c>
      <c r="AZ4" s="26" t="str">
        <f>IFERROR(__xludf.DUMMYFUNCTION("""COMPUTED_VALUE"""),"DetailsForAlgoTradeOrder")</f>
        <v>DetailsForAlgoTradeOrder</v>
      </c>
      <c r="BA4" s="26" t="str">
        <f>IFERROR(__xludf.DUMMYFUNCTION("""COMPUTED_VALUE"""),"AddFillsSubOrder")</f>
        <v>AddFillsSubOrder</v>
      </c>
      <c r="BB4" s="26" t="str">
        <f>IFERROR(__xludf.DUMMYFUNCTION("""COMPUTED_VALUE"""),"ViewAllocationDetailsSubOrder")</f>
        <v>ViewAllocationDetailsSubOrder</v>
      </c>
      <c r="BC4" s="26" t="str">
        <f>IFERROR(__xludf.DUMMYFUNCTION("""COMPUTED_VALUE"""),"VerifySubOrderAfterRollover")</f>
        <v>VerifySubOrderAfterRollover</v>
      </c>
      <c r="BD4" s="26" t="str">
        <f>IFERROR(__xludf.DUMMYFUNCTION("""COMPUTED_VALUE"""),"VerifyRollover")</f>
        <v>VerifyRollover</v>
      </c>
      <c r="BE4" s="26" t="str">
        <f>IFERROR(__xludf.DUMMYFUNCTION("""COMPUTED_VALUE"""),"CancelAllSubs")</f>
        <v>CancelAllSubs</v>
      </c>
      <c r="BF4" s="26" t="str">
        <f>IFERROR(__xludf.DUMMYFUNCTION("""COMPUTED_VALUE"""),"CancelSubOrder")</f>
        <v>CancelSubOrder</v>
      </c>
      <c r="BG4" s="26" t="str">
        <f>IFERROR(__xludf.DUMMYFUNCTION("""COMPUTED_VALUE"""),"EditStageOrder")</f>
        <v>EditStageOrder</v>
      </c>
      <c r="BH4" s="26" t="str">
        <f>IFERROR(__xludf.DUMMYFUNCTION("""COMPUTED_VALUE"""),"ReplaceSubOrder")</f>
        <v>ReplaceSubOrder</v>
      </c>
      <c r="BI4" s="26" t="str">
        <f>IFERROR(__xludf.DUMMYFUNCTION("""COMPUTED_VALUE"""),"SelectTradeWorkingSubsBlotter")</f>
        <v>SelectTradeWorkingSubsBlotter</v>
      </c>
      <c r="BJ4" s="26" t="str">
        <f>IFERROR(__xludf.DUMMYFUNCTION("""COMPUTED_VALUE"""),"GoToAllocation")</f>
        <v>GoToAllocation</v>
      </c>
      <c r="BK4" s="26" t="str">
        <f>IFERROR(__xludf.DUMMYFUNCTION("""COMPUTED_VALUE"""),"VerifyAlgoDetails")</f>
        <v>VerifyAlgoDetails</v>
      </c>
      <c r="BL4" s="26" t="str">
        <f>IFERROR(__xludf.DUMMYFUNCTION("""COMPUTED_VALUE"""),"VerifyTransferToUserOrder")</f>
        <v>VerifyTransferToUserOrder</v>
      </c>
      <c r="BM4" s="26" t="str">
        <f>IFERROR(__xludf.DUMMYFUNCTION("""COMPUTED_VALUE"""),"VerifyTransferToUserSubOdr")</f>
        <v>VerifyTransferToUserSubOdr</v>
      </c>
      <c r="BN4" s="26" t="str">
        <f>IFERROR(__xludf.DUMMYFUNCTION("""COMPUTED_VALUE"""),"VerifyTransferToUserWorkSub")</f>
        <v>VerifyTransferToUserWorkSub</v>
      </c>
      <c r="BO4" s="26" t="str">
        <f>IFERROR(__xludf.DUMMYFUNCTION("""COMPUTED_VALUE"""),"VerifyViewAllocationDetails")</f>
        <v>VerifyViewAllocationDetails</v>
      </c>
      <c r="BP4" s="26" t="str">
        <f>IFERROR(__xludf.DUMMYFUNCTION("""COMPUTED_VALUE"""),"SaveLayoutOrderGrid")</f>
        <v>SaveLayoutOrderGrid</v>
      </c>
      <c r="BQ4" s="26" t="str">
        <f>IFERROR(__xludf.DUMMYFUNCTION("""COMPUTED_VALUE"""),"ReplaceStageOrder")</f>
        <v>ReplaceStageOrder</v>
      </c>
      <c r="BR4" s="26" t="str">
        <f>IFERROR(__xludf.DUMMYFUNCTION("""COMPUTED_VALUE"""),"MultiTradingTicketFromBlotter")</f>
        <v>MultiTradingTicketFromBlotter</v>
      </c>
      <c r="BS4" s="26" t="str">
        <f>IFERROR(__xludf.DUMMYFUNCTION("""COMPUTED_VALUE"""),"AllocateFromBlotter")</f>
        <v>AllocateFromBlotter</v>
      </c>
      <c r="BT4" s="26" t="str">
        <f>IFERROR(__xludf.DUMMYFUNCTION("""COMPUTED_VALUE"""),"ReAllocateFromBlotterUsingAllocate")</f>
        <v>ReAllocateFromBlotterUsingAllocate</v>
      </c>
      <c r="BU4" s="26" t="str">
        <f>IFERROR(__xludf.DUMMYFUNCTION("""COMPUTED_VALUE"""),"ReAllocateFromBlotterByAllocate")</f>
        <v>ReAllocateFromBlotterByAllocate</v>
      </c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  <c r="FU4" s="26"/>
      <c r="FV4" s="26"/>
      <c r="FW4" s="26"/>
      <c r="FX4" s="26"/>
      <c r="FY4" s="26"/>
      <c r="FZ4" s="26"/>
      <c r="GA4" s="26"/>
      <c r="GB4" s="26"/>
      <c r="GC4" s="26"/>
      <c r="GD4" s="26"/>
      <c r="GE4" s="26"/>
      <c r="GF4" s="26"/>
      <c r="GG4" s="26"/>
      <c r="GH4" s="26"/>
      <c r="GI4" s="26"/>
      <c r="GJ4" s="26"/>
      <c r="GK4" s="26"/>
      <c r="GL4" s="26"/>
      <c r="GM4" s="26"/>
      <c r="GN4" s="26"/>
      <c r="GO4" s="26"/>
      <c r="GP4" s="26"/>
      <c r="GQ4" s="26"/>
      <c r="GR4" s="26"/>
      <c r="GS4" s="26"/>
      <c r="GT4" s="26"/>
      <c r="GU4" s="26"/>
      <c r="GV4" s="26"/>
      <c r="GW4" s="26"/>
      <c r="GX4" s="26"/>
      <c r="GY4" s="26"/>
      <c r="GZ4" s="26"/>
      <c r="HA4" s="26"/>
      <c r="HB4" s="26"/>
      <c r="HC4" s="26"/>
      <c r="HD4" s="26"/>
      <c r="HE4" s="26"/>
      <c r="HF4" s="26"/>
      <c r="HG4" s="26"/>
      <c r="HH4" s="26"/>
      <c r="HI4" s="26"/>
      <c r="HJ4" s="26"/>
      <c r="HK4" s="26"/>
      <c r="HL4" s="26"/>
      <c r="HM4" s="26"/>
      <c r="HN4" s="26"/>
      <c r="HO4" s="26"/>
      <c r="HP4" s="26"/>
      <c r="HQ4" s="26"/>
      <c r="HR4" s="26"/>
      <c r="HS4" s="26"/>
      <c r="HT4" s="26"/>
      <c r="HU4" s="26"/>
      <c r="HV4" s="26"/>
      <c r="HW4" s="26"/>
      <c r="HX4" s="26"/>
      <c r="HY4" s="26"/>
      <c r="HZ4" s="26"/>
      <c r="IA4" s="26"/>
      <c r="IB4" s="26"/>
      <c r="IC4" s="26"/>
      <c r="ID4" s="26"/>
      <c r="IE4" s="26"/>
      <c r="IF4" s="26"/>
      <c r="IG4" s="26"/>
      <c r="IH4" s="26"/>
      <c r="II4" s="26"/>
      <c r="IJ4" s="26"/>
      <c r="IK4" s="26"/>
      <c r="IL4" s="26"/>
      <c r="IM4" s="26"/>
      <c r="IN4" s="26"/>
      <c r="IO4" s="26"/>
      <c r="IP4" s="26"/>
      <c r="IQ4" s="26"/>
      <c r="IR4" s="26"/>
      <c r="IS4" s="26"/>
      <c r="IT4" s="26"/>
      <c r="IU4" s="26"/>
      <c r="IV4" s="26"/>
      <c r="IW4" s="26"/>
      <c r="IX4" s="26"/>
      <c r="IY4" s="26"/>
      <c r="IZ4" s="26"/>
      <c r="JA4" s="26"/>
      <c r="JB4" s="26"/>
      <c r="JC4" s="26"/>
      <c r="JD4" s="26"/>
      <c r="JE4" s="26"/>
      <c r="JF4" s="26"/>
      <c r="JG4" s="26"/>
      <c r="JH4" s="26"/>
      <c r="JI4" s="26"/>
      <c r="JJ4" s="26"/>
      <c r="JK4" s="26"/>
      <c r="JL4" s="26"/>
      <c r="JM4" s="26"/>
      <c r="JN4" s="26"/>
      <c r="JO4" s="26"/>
      <c r="JP4" s="26"/>
      <c r="JQ4" s="26"/>
      <c r="JR4" s="26"/>
      <c r="JS4" s="26"/>
      <c r="JT4" s="26"/>
      <c r="JU4" s="26"/>
      <c r="JV4" s="26"/>
      <c r="JW4" s="26"/>
      <c r="JX4" s="26"/>
      <c r="JY4" s="26"/>
      <c r="JZ4" s="26"/>
      <c r="KA4" s="26"/>
      <c r="KB4" s="26"/>
      <c r="KC4" s="26"/>
      <c r="KD4" s="26"/>
      <c r="KE4" s="26"/>
      <c r="KF4" s="26"/>
      <c r="KG4" s="26"/>
      <c r="KH4" s="26"/>
      <c r="KI4" s="26"/>
      <c r="KJ4" s="26"/>
      <c r="KK4" s="26"/>
      <c r="KL4" s="26"/>
      <c r="KM4" s="26"/>
      <c r="KN4" s="26"/>
      <c r="KO4" s="26"/>
      <c r="KP4" s="26"/>
      <c r="KQ4" s="26"/>
      <c r="KR4" s="26"/>
      <c r="KS4" s="26"/>
      <c r="KT4" s="26"/>
      <c r="KU4" s="26"/>
      <c r="KV4" s="26"/>
      <c r="KW4" s="26"/>
      <c r="KX4" s="26"/>
      <c r="KY4" s="26"/>
      <c r="KZ4" s="26"/>
      <c r="LA4" s="26"/>
      <c r="LB4" s="26"/>
      <c r="LC4" s="26"/>
      <c r="LD4" s="26"/>
      <c r="LE4" s="26"/>
      <c r="LF4" s="26"/>
      <c r="LG4" s="26"/>
      <c r="LH4" s="26"/>
      <c r="LI4" s="26"/>
      <c r="LJ4" s="26"/>
      <c r="LK4" s="26"/>
      <c r="LL4" s="26"/>
      <c r="LM4" s="26"/>
      <c r="LN4" s="26"/>
      <c r="LO4" s="26"/>
      <c r="LP4" s="26"/>
      <c r="LQ4" s="26"/>
      <c r="LR4" s="26"/>
      <c r="LS4" s="26"/>
      <c r="LT4" s="26"/>
      <c r="LU4" s="26"/>
      <c r="LV4" s="26"/>
      <c r="LW4" s="26"/>
      <c r="LX4" s="26"/>
      <c r="LY4" s="26"/>
      <c r="LZ4" s="26"/>
      <c r="MA4" s="26"/>
      <c r="MB4" s="26"/>
      <c r="MC4" s="26"/>
      <c r="MD4" s="26"/>
      <c r="ME4" s="26"/>
      <c r="MF4" s="26"/>
      <c r="MG4" s="26"/>
      <c r="MH4" s="26"/>
      <c r="MI4" s="26"/>
      <c r="MJ4" s="26"/>
      <c r="MK4" s="26"/>
      <c r="ML4" s="26"/>
      <c r="MM4" s="26"/>
      <c r="MN4" s="26"/>
      <c r="MO4" s="26"/>
      <c r="MP4" s="26"/>
      <c r="MQ4" s="26"/>
      <c r="MR4" s="26"/>
      <c r="MS4" s="26"/>
      <c r="MT4" s="26"/>
      <c r="MU4" s="26"/>
      <c r="MV4" s="26"/>
      <c r="MW4" s="26"/>
      <c r="MX4" s="26"/>
      <c r="MY4" s="26"/>
      <c r="MZ4" s="26"/>
      <c r="NA4" s="26"/>
      <c r="NB4" s="26"/>
      <c r="NC4" s="26"/>
      <c r="ND4" s="26"/>
      <c r="NE4" s="26"/>
      <c r="NF4" s="26"/>
      <c r="NG4" s="26"/>
      <c r="NH4" s="26"/>
      <c r="NI4" s="26"/>
      <c r="NJ4" s="26"/>
      <c r="NK4" s="26"/>
      <c r="NL4" s="26"/>
      <c r="NM4" s="26"/>
      <c r="NN4" s="26"/>
      <c r="NO4" s="26"/>
      <c r="NP4" s="26"/>
      <c r="NQ4" s="26"/>
      <c r="NR4" s="26"/>
      <c r="NS4" s="26"/>
      <c r="NT4" s="26"/>
      <c r="NU4" s="26"/>
      <c r="NV4" s="26"/>
      <c r="NW4" s="26"/>
      <c r="NX4" s="26"/>
      <c r="NY4" s="26"/>
      <c r="NZ4" s="26"/>
      <c r="OA4" s="26"/>
      <c r="OB4" s="26"/>
      <c r="OC4" s="26"/>
      <c r="OD4" s="26"/>
      <c r="OE4" s="26"/>
      <c r="OF4" s="26"/>
      <c r="OG4" s="26"/>
      <c r="OH4" s="26"/>
      <c r="OI4" s="26"/>
      <c r="OJ4" s="26"/>
      <c r="OK4" s="26"/>
      <c r="OL4" s="26"/>
      <c r="OM4" s="26"/>
      <c r="ON4" s="26"/>
      <c r="OO4" s="26"/>
      <c r="OP4" s="26"/>
      <c r="OQ4" s="26"/>
      <c r="OR4" s="26"/>
      <c r="OS4" s="26"/>
      <c r="OT4" s="26"/>
      <c r="OU4" s="26"/>
      <c r="OV4" s="26"/>
      <c r="OW4" s="26"/>
      <c r="OX4" s="26"/>
      <c r="OY4" s="26"/>
      <c r="OZ4" s="26"/>
      <c r="PA4" s="26"/>
      <c r="PB4" s="26"/>
      <c r="PC4" s="26"/>
      <c r="PD4" s="26"/>
      <c r="PE4" s="26"/>
      <c r="PF4" s="26"/>
      <c r="PG4" s="26"/>
      <c r="PH4" s="26"/>
      <c r="PI4" s="26"/>
      <c r="PJ4" s="26"/>
      <c r="PK4" s="26"/>
      <c r="PL4" s="26"/>
      <c r="PM4" s="26"/>
      <c r="PN4" s="26"/>
      <c r="PO4" s="26"/>
      <c r="PP4" s="26"/>
      <c r="PQ4" s="26"/>
      <c r="PR4" s="26"/>
      <c r="PS4" s="26"/>
      <c r="PT4" s="26"/>
      <c r="PU4" s="26"/>
      <c r="PV4" s="26"/>
      <c r="PW4" s="26"/>
      <c r="PX4" s="26"/>
      <c r="PY4" s="26"/>
      <c r="PZ4" s="26"/>
      <c r="QA4" s="26"/>
      <c r="QB4" s="26"/>
      <c r="QC4" s="26"/>
      <c r="QD4" s="26"/>
      <c r="QE4" s="26"/>
      <c r="QF4" s="26"/>
      <c r="QG4" s="26"/>
      <c r="QH4" s="26"/>
      <c r="QI4" s="26"/>
      <c r="QJ4" s="26"/>
      <c r="QK4" s="26"/>
      <c r="QL4" s="26"/>
      <c r="QM4" s="26"/>
      <c r="QN4" s="26"/>
      <c r="QO4" s="26"/>
      <c r="QP4" s="26"/>
      <c r="QQ4" s="26"/>
      <c r="QR4" s="26"/>
      <c r="QS4" s="26"/>
      <c r="QT4" s="26"/>
      <c r="QU4" s="26"/>
      <c r="QV4" s="26"/>
      <c r="QW4" s="26"/>
      <c r="QX4" s="26"/>
      <c r="QY4" s="26"/>
      <c r="QZ4" s="26"/>
      <c r="RA4" s="26"/>
      <c r="RB4" s="26"/>
      <c r="RC4" s="26"/>
      <c r="RD4" s="26"/>
      <c r="RE4" s="26"/>
      <c r="RF4" s="26"/>
      <c r="RG4" s="26"/>
      <c r="RH4" s="26"/>
      <c r="RI4" s="26"/>
      <c r="RJ4" s="26"/>
      <c r="RK4" s="26"/>
      <c r="RL4" s="26"/>
      <c r="RM4" s="26"/>
      <c r="RN4" s="26"/>
      <c r="RO4" s="26"/>
      <c r="RP4" s="26"/>
      <c r="RQ4" s="26"/>
      <c r="RR4" s="26"/>
      <c r="RS4" s="26"/>
      <c r="RT4" s="26"/>
      <c r="RU4" s="26"/>
      <c r="RV4" s="26"/>
      <c r="RW4" s="26"/>
      <c r="RX4" s="26"/>
      <c r="RY4" s="26"/>
      <c r="RZ4" s="26"/>
      <c r="SA4" s="26"/>
      <c r="SB4" s="26"/>
      <c r="SC4" s="26"/>
      <c r="SD4" s="26"/>
      <c r="SE4" s="26"/>
      <c r="SF4" s="26"/>
      <c r="SG4" s="26"/>
      <c r="SH4" s="26"/>
      <c r="SI4" s="26"/>
      <c r="SJ4" s="26"/>
      <c r="SK4" s="26"/>
      <c r="SL4" s="26"/>
      <c r="SM4" s="26"/>
      <c r="SN4" s="26"/>
      <c r="SO4" s="26"/>
      <c r="SP4" s="26"/>
      <c r="SQ4" s="26"/>
      <c r="SR4" s="26"/>
      <c r="SS4" s="26"/>
      <c r="ST4" s="26"/>
      <c r="SU4" s="26"/>
      <c r="SV4" s="26"/>
      <c r="SW4" s="26"/>
      <c r="SX4" s="26"/>
      <c r="SY4" s="26"/>
      <c r="SZ4" s="26"/>
      <c r="TA4" s="26"/>
      <c r="TB4" s="26"/>
      <c r="TC4" s="26"/>
      <c r="TD4" s="26"/>
      <c r="TE4" s="26"/>
      <c r="TF4" s="26"/>
      <c r="TG4" s="26"/>
      <c r="TH4" s="26"/>
      <c r="TI4" s="26"/>
      <c r="TJ4" s="26"/>
      <c r="TK4" s="26"/>
      <c r="TL4" s="26"/>
      <c r="TM4" s="26"/>
      <c r="TN4" s="26"/>
      <c r="TO4" s="26"/>
      <c r="TP4" s="26"/>
      <c r="TQ4" s="26"/>
      <c r="TR4" s="26"/>
      <c r="TS4" s="26"/>
      <c r="TT4" s="26"/>
      <c r="TU4" s="26"/>
      <c r="TV4" s="26"/>
      <c r="TW4" s="26"/>
      <c r="TX4" s="26"/>
      <c r="TY4" s="26"/>
      <c r="TZ4" s="26"/>
      <c r="UA4" s="26"/>
      <c r="UB4" s="26"/>
      <c r="UC4" s="26"/>
      <c r="UD4" s="26"/>
      <c r="UE4" s="26"/>
      <c r="UF4" s="26"/>
      <c r="UG4" s="26"/>
      <c r="UH4" s="26"/>
      <c r="UI4" s="26"/>
      <c r="UJ4" s="26"/>
      <c r="UK4" s="26"/>
      <c r="UL4" s="26"/>
      <c r="UM4" s="26"/>
      <c r="UN4" s="26"/>
      <c r="UO4" s="26"/>
      <c r="UP4" s="26"/>
      <c r="UQ4" s="26"/>
      <c r="UR4" s="26"/>
      <c r="US4" s="26"/>
      <c r="UT4" s="26"/>
      <c r="UU4" s="26"/>
      <c r="UV4" s="26"/>
      <c r="UW4" s="26"/>
      <c r="UX4" s="26"/>
      <c r="UY4" s="26"/>
      <c r="UZ4" s="26"/>
      <c r="VA4" s="26"/>
      <c r="VB4" s="26"/>
      <c r="VC4" s="26"/>
      <c r="VD4" s="26"/>
      <c r="VE4" s="26"/>
      <c r="VF4" s="26"/>
      <c r="VG4" s="26"/>
      <c r="VH4" s="26"/>
      <c r="VI4" s="26"/>
      <c r="VJ4" s="26"/>
      <c r="VK4" s="26"/>
      <c r="VL4" s="26"/>
      <c r="VM4" s="26"/>
      <c r="VN4" s="26"/>
      <c r="VO4" s="26"/>
      <c r="VP4" s="26"/>
      <c r="VQ4" s="26"/>
      <c r="VR4" s="26"/>
      <c r="VS4" s="26"/>
      <c r="VT4" s="26"/>
      <c r="VU4" s="26"/>
      <c r="VV4" s="26"/>
      <c r="VW4" s="26"/>
      <c r="VX4" s="26"/>
      <c r="VY4" s="26"/>
      <c r="VZ4" s="26"/>
      <c r="WA4" s="26"/>
      <c r="WB4" s="26"/>
      <c r="WC4" s="26"/>
      <c r="WD4" s="26"/>
      <c r="WE4" s="26"/>
      <c r="WF4" s="26"/>
      <c r="WG4" s="26"/>
      <c r="WH4" s="26"/>
      <c r="WI4" s="26"/>
      <c r="WJ4" s="26"/>
      <c r="WK4" s="26"/>
      <c r="WL4" s="26"/>
      <c r="WM4" s="26"/>
      <c r="WN4" s="26"/>
      <c r="WO4" s="26"/>
      <c r="WP4" s="26"/>
      <c r="WQ4" s="26"/>
      <c r="WR4" s="26"/>
      <c r="WS4" s="26"/>
      <c r="WT4" s="26"/>
      <c r="WU4" s="26"/>
      <c r="WV4" s="26"/>
      <c r="WW4" s="26"/>
      <c r="WX4" s="26"/>
      <c r="WY4" s="26"/>
      <c r="WZ4" s="26"/>
      <c r="XA4" s="26"/>
      <c r="XB4" s="26"/>
      <c r="XC4" s="26"/>
      <c r="XD4" s="26"/>
      <c r="XE4" s="26"/>
      <c r="XF4" s="26"/>
      <c r="XG4" s="26"/>
      <c r="XH4" s="26"/>
      <c r="XI4" s="26"/>
      <c r="XJ4" s="26"/>
      <c r="XK4" s="26"/>
      <c r="XL4" s="26"/>
      <c r="XM4" s="26"/>
      <c r="XN4" s="26"/>
      <c r="XO4" s="26"/>
      <c r="XP4" s="26"/>
      <c r="XQ4" s="26"/>
      <c r="XR4" s="26"/>
      <c r="XS4" s="26"/>
      <c r="XT4" s="26"/>
      <c r="XU4" s="26"/>
      <c r="XV4" s="26"/>
      <c r="XW4" s="26"/>
      <c r="XX4" s="26"/>
      <c r="XY4" s="26"/>
      <c r="XZ4" s="26"/>
      <c r="YA4" s="26"/>
      <c r="YB4" s="26"/>
      <c r="YC4" s="26"/>
      <c r="YD4" s="26"/>
      <c r="YE4" s="26"/>
      <c r="YF4" s="26"/>
      <c r="YG4" s="26"/>
      <c r="YH4" s="26"/>
      <c r="YI4" s="26"/>
      <c r="YJ4" s="26"/>
      <c r="YK4" s="26"/>
      <c r="YL4" s="26"/>
      <c r="YM4" s="26"/>
      <c r="YN4" s="26"/>
      <c r="YO4" s="26"/>
      <c r="YP4" s="26"/>
      <c r="YQ4" s="26"/>
      <c r="YR4" s="26"/>
      <c r="YS4" s="26"/>
      <c r="YT4" s="26"/>
      <c r="YU4" s="26"/>
      <c r="YV4" s="26"/>
      <c r="YW4" s="26"/>
      <c r="YX4" s="26"/>
      <c r="YY4" s="26"/>
      <c r="YZ4" s="26"/>
      <c r="ZA4" s="26"/>
      <c r="ZB4" s="26"/>
      <c r="ZC4" s="26"/>
      <c r="ZD4" s="26"/>
      <c r="ZE4" s="26"/>
      <c r="ZF4" s="26"/>
      <c r="ZG4" s="26"/>
      <c r="ZH4" s="26"/>
      <c r="ZI4" s="26"/>
      <c r="ZJ4" s="26"/>
      <c r="ZK4" s="26"/>
      <c r="ZL4" s="26"/>
      <c r="ZM4" s="26"/>
      <c r="ZN4" s="26"/>
      <c r="ZO4" s="26"/>
      <c r="ZP4" s="26"/>
      <c r="ZQ4" s="26"/>
      <c r="ZR4" s="26"/>
      <c r="ZS4" s="26"/>
      <c r="ZT4" s="26"/>
      <c r="ZU4" s="26"/>
      <c r="ZV4" s="26"/>
      <c r="ZW4" s="26"/>
      <c r="ZX4" s="26"/>
      <c r="ZY4" s="26"/>
      <c r="ZZ4" s="26"/>
      <c r="AAA4" s="26"/>
      <c r="AAB4" s="26"/>
      <c r="AAC4" s="26"/>
      <c r="AAD4" s="26"/>
      <c r="AAE4" s="26"/>
      <c r="AAF4" s="26"/>
      <c r="AAG4" s="26"/>
      <c r="AAH4" s="26"/>
      <c r="AAI4" s="26"/>
      <c r="AAJ4" s="26"/>
      <c r="AAK4" s="26"/>
      <c r="AAL4" s="26"/>
      <c r="AAM4" s="26"/>
      <c r="AAN4" s="26"/>
      <c r="AAO4" s="26"/>
      <c r="AAP4" s="26"/>
      <c r="AAQ4" s="26"/>
      <c r="AAR4" s="26"/>
      <c r="AAS4" s="26"/>
      <c r="AAT4" s="26"/>
      <c r="AAU4" s="26"/>
      <c r="AAV4" s="26"/>
      <c r="AAW4" s="26"/>
      <c r="AAX4" s="26"/>
      <c r="AAY4" s="26"/>
      <c r="AAZ4" s="26"/>
      <c r="ABA4" s="26"/>
      <c r="ABB4" s="26"/>
      <c r="ABC4" s="26"/>
      <c r="ABD4" s="26"/>
      <c r="ABE4" s="26"/>
      <c r="ABF4" s="26"/>
      <c r="ABG4" s="26"/>
      <c r="ABH4" s="26"/>
      <c r="ABI4" s="26"/>
      <c r="ABJ4" s="26"/>
      <c r="ABK4" s="26"/>
      <c r="ABL4" s="26"/>
      <c r="ABM4" s="26"/>
      <c r="ABN4" s="26"/>
      <c r="ABO4" s="26"/>
      <c r="ABP4" s="26"/>
      <c r="ABQ4" s="26"/>
      <c r="ABR4" s="26"/>
      <c r="ABS4" s="26"/>
      <c r="ABT4" s="26"/>
      <c r="ABU4" s="26"/>
      <c r="ABV4" s="26"/>
      <c r="ABW4" s="26"/>
      <c r="ABX4" s="26"/>
      <c r="ABY4" s="26"/>
      <c r="ABZ4" s="26"/>
      <c r="ACA4" s="26"/>
      <c r="ACB4" s="26"/>
      <c r="ACC4" s="26"/>
      <c r="ACD4" s="26"/>
      <c r="ACE4" s="26"/>
      <c r="ACF4" s="26"/>
      <c r="ACG4" s="26"/>
      <c r="ACH4" s="26"/>
      <c r="ACI4" s="26"/>
      <c r="ACJ4" s="26"/>
      <c r="ACK4" s="26"/>
      <c r="ACL4" s="26"/>
      <c r="ACM4" s="26"/>
      <c r="ACN4" s="26"/>
      <c r="ACO4" s="26"/>
      <c r="ACP4" s="26"/>
      <c r="ACQ4" s="26"/>
      <c r="ACR4" s="26"/>
      <c r="ACS4" s="26"/>
      <c r="ACT4" s="26"/>
      <c r="ACU4" s="26"/>
      <c r="ACV4" s="26"/>
      <c r="ACW4" s="26"/>
      <c r="ACX4" s="26"/>
      <c r="ACY4" s="26"/>
      <c r="ACZ4" s="26"/>
      <c r="ADA4" s="26"/>
      <c r="ADB4" s="26"/>
      <c r="ADC4" s="26"/>
      <c r="ADD4" s="26"/>
      <c r="ADE4" s="26"/>
      <c r="ADF4" s="26"/>
      <c r="ADG4" s="26"/>
      <c r="ADH4" s="26"/>
      <c r="ADI4" s="26"/>
      <c r="ADJ4" s="26"/>
      <c r="ADK4" s="26"/>
      <c r="ADL4" s="26"/>
      <c r="ADM4" s="26"/>
      <c r="ADN4" s="26"/>
      <c r="ADO4" s="26"/>
      <c r="ADP4" s="26"/>
      <c r="ADQ4" s="26"/>
      <c r="ADR4" s="26"/>
      <c r="ADS4" s="26"/>
      <c r="ADT4" s="26"/>
      <c r="ADU4" s="26"/>
      <c r="ADV4" s="26"/>
      <c r="ADW4" s="26"/>
      <c r="ADX4" s="26"/>
      <c r="ADY4" s="26"/>
      <c r="ADZ4" s="26"/>
      <c r="AEA4" s="26"/>
      <c r="AEB4" s="26"/>
      <c r="AEC4" s="26"/>
      <c r="AED4" s="26"/>
      <c r="AEE4" s="26"/>
      <c r="AEF4" s="26"/>
      <c r="AEG4" s="26"/>
      <c r="AEH4" s="26"/>
      <c r="AEI4" s="26"/>
      <c r="AEJ4" s="26"/>
      <c r="AEK4" s="26"/>
      <c r="AEL4" s="26"/>
      <c r="AEM4" s="26"/>
      <c r="AEN4" s="26"/>
      <c r="AEO4" s="26"/>
      <c r="AEP4" s="26"/>
      <c r="AEQ4" s="26"/>
      <c r="AER4" s="26"/>
      <c r="AES4" s="26"/>
      <c r="AET4" s="26"/>
      <c r="AEU4" s="26"/>
      <c r="AEV4" s="26"/>
      <c r="AEW4" s="26"/>
      <c r="AEX4" s="26"/>
      <c r="AEY4" s="26"/>
      <c r="AEZ4" s="26"/>
      <c r="AFA4" s="26"/>
      <c r="AFB4" s="26"/>
      <c r="AFC4" s="26"/>
      <c r="AFD4" s="26"/>
      <c r="AFE4" s="26"/>
      <c r="AFF4" s="26"/>
      <c r="AFG4" s="26"/>
      <c r="AFH4" s="26"/>
      <c r="AFI4" s="26"/>
      <c r="AFJ4" s="26"/>
      <c r="AFK4" s="26"/>
      <c r="AFL4" s="26"/>
      <c r="AFM4" s="26"/>
      <c r="AFN4" s="26"/>
      <c r="AFO4" s="26"/>
      <c r="AFP4" s="26"/>
      <c r="AFQ4" s="26"/>
      <c r="AFR4" s="26"/>
      <c r="AFS4" s="26"/>
      <c r="AFT4" s="26"/>
      <c r="AFU4" s="26"/>
      <c r="AFV4" s="26"/>
      <c r="AFW4" s="26"/>
      <c r="AFX4" s="26"/>
      <c r="AFY4" s="26"/>
      <c r="AFZ4" s="26"/>
      <c r="AGA4" s="26"/>
      <c r="AGB4" s="26"/>
      <c r="AGC4" s="26"/>
      <c r="AGD4" s="26"/>
      <c r="AGE4" s="26"/>
      <c r="AGF4" s="26"/>
      <c r="AGG4" s="26"/>
      <c r="AGH4" s="26"/>
      <c r="AGI4" s="26"/>
      <c r="AGJ4" s="26"/>
      <c r="AGK4" s="26"/>
      <c r="AGL4" s="26"/>
      <c r="AGM4" s="26"/>
      <c r="AGN4" s="26"/>
      <c r="AGO4" s="26"/>
      <c r="AGP4" s="26"/>
      <c r="AGQ4" s="26"/>
      <c r="AGR4" s="26"/>
      <c r="AGS4" s="26"/>
      <c r="AGT4" s="26"/>
      <c r="AGU4" s="26"/>
      <c r="AGV4" s="26"/>
      <c r="AGW4" s="26"/>
      <c r="AGX4" s="26"/>
      <c r="AGY4" s="26"/>
      <c r="AGZ4" s="26"/>
      <c r="AHA4" s="26"/>
      <c r="AHB4" s="26"/>
      <c r="AHC4" s="26"/>
      <c r="AHD4" s="26"/>
      <c r="AHE4" s="26"/>
      <c r="AHF4" s="26"/>
      <c r="AHG4" s="26"/>
      <c r="AHH4" s="26"/>
      <c r="AHI4" s="26"/>
      <c r="AHJ4" s="26"/>
      <c r="AHK4" s="26"/>
      <c r="AHL4" s="26"/>
      <c r="AHM4" s="26"/>
      <c r="AHN4" s="26"/>
      <c r="AHO4" s="26"/>
      <c r="AHP4" s="26"/>
      <c r="AHQ4" s="26"/>
      <c r="AHR4" s="26"/>
      <c r="AHS4" s="26"/>
      <c r="AHT4" s="26"/>
      <c r="AHU4" s="26"/>
      <c r="AHV4" s="26"/>
      <c r="AHW4" s="26"/>
      <c r="AHX4" s="26"/>
      <c r="AHY4" s="26"/>
      <c r="AHZ4" s="26"/>
      <c r="AIA4" s="26"/>
      <c r="AIB4" s="26"/>
      <c r="AIC4" s="26"/>
      <c r="AID4" s="26"/>
      <c r="AIE4" s="26"/>
      <c r="AIF4" s="26"/>
      <c r="AIG4" s="26"/>
      <c r="AIH4" s="26"/>
      <c r="AII4" s="26"/>
      <c r="AIJ4" s="26"/>
      <c r="AIK4" s="26"/>
      <c r="AIL4" s="26"/>
      <c r="AIM4" s="26"/>
      <c r="AIN4" s="26"/>
      <c r="AIO4" s="26"/>
      <c r="AIP4" s="26"/>
      <c r="AIQ4" s="26"/>
      <c r="AIR4" s="26"/>
      <c r="AIS4" s="26"/>
      <c r="AIT4" s="26"/>
      <c r="AIU4" s="26"/>
      <c r="AIV4" s="26"/>
      <c r="AIW4" s="26"/>
      <c r="AIX4" s="26"/>
      <c r="AIY4" s="26"/>
      <c r="AIZ4" s="26"/>
      <c r="AJA4" s="26"/>
      <c r="AJB4" s="26"/>
      <c r="AJC4" s="26"/>
      <c r="AJD4" s="26"/>
      <c r="AJE4" s="26"/>
      <c r="AJF4" s="26"/>
      <c r="AJG4" s="26"/>
      <c r="AJH4" s="26"/>
      <c r="AJI4" s="26"/>
      <c r="AJJ4" s="26"/>
      <c r="AJK4" s="26"/>
      <c r="AJL4" s="26"/>
      <c r="AJM4" s="26"/>
      <c r="AJN4" s="26"/>
      <c r="AJO4" s="26"/>
      <c r="AJP4" s="26"/>
      <c r="AJQ4" s="26"/>
      <c r="AJR4" s="26"/>
      <c r="AJS4" s="26"/>
      <c r="AJT4" s="26"/>
      <c r="AJU4" s="26"/>
      <c r="AJV4" s="26"/>
      <c r="AJW4" s="26"/>
      <c r="AJX4" s="26"/>
      <c r="AJY4" s="26"/>
      <c r="AJZ4" s="26"/>
      <c r="AKA4" s="26"/>
      <c r="AKB4" s="26"/>
      <c r="AKC4" s="26"/>
      <c r="AKD4" s="26"/>
      <c r="AKE4" s="26"/>
      <c r="AKF4" s="26"/>
      <c r="AKG4" s="26"/>
      <c r="AKH4" s="26"/>
      <c r="AKI4" s="26"/>
      <c r="AKJ4" s="26"/>
      <c r="AKK4" s="26"/>
      <c r="AKL4" s="26"/>
      <c r="AKM4" s="26"/>
      <c r="AKN4" s="26"/>
      <c r="AKO4" s="26"/>
      <c r="AKP4" s="26"/>
      <c r="AKQ4" s="26"/>
      <c r="AKR4" s="26"/>
      <c r="AKS4" s="26"/>
      <c r="AKT4" s="26"/>
      <c r="AKU4" s="26"/>
      <c r="AKV4" s="26"/>
      <c r="AKW4" s="26"/>
      <c r="AKX4" s="26"/>
      <c r="AKY4" s="26"/>
      <c r="AKZ4" s="26"/>
      <c r="ALA4" s="26"/>
      <c r="ALB4" s="26"/>
      <c r="ALC4" s="26"/>
      <c r="ALD4" s="26"/>
      <c r="ALE4" s="26"/>
      <c r="ALF4" s="26"/>
      <c r="ALG4" s="26"/>
      <c r="ALH4" s="26"/>
      <c r="ALI4" s="26"/>
      <c r="ALJ4" s="26"/>
      <c r="ALK4" s="26"/>
      <c r="ALL4" s="26"/>
      <c r="ALM4" s="26"/>
      <c r="ALN4" s="26"/>
      <c r="ALO4" s="26"/>
      <c r="ALP4" s="26"/>
      <c r="ALQ4" s="26"/>
      <c r="ALR4" s="26"/>
      <c r="ALS4" s="26"/>
      <c r="ALT4" s="26"/>
      <c r="ALU4" s="26"/>
      <c r="ALV4" s="26"/>
      <c r="ALW4" s="26"/>
      <c r="ALX4" s="26"/>
      <c r="ALY4" s="26"/>
      <c r="ALZ4" s="26"/>
      <c r="AMA4" s="26"/>
      <c r="AMB4" s="26"/>
      <c r="AMC4" s="26"/>
      <c r="AMD4" s="26"/>
      <c r="AME4" s="26"/>
      <c r="AMF4" s="26"/>
      <c r="AMG4" s="26"/>
      <c r="AMH4" s="26"/>
      <c r="AMI4" s="26"/>
      <c r="AMJ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IFERROR(__xludf.DUMMYFUNCTION("""COMPUTED_VALUE"""),"Current User")</f>
        <v>Current 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1")</f>
        <v>Trade Attribute 1</v>
      </c>
      <c r="R5" s="28" t="str">
        <f>IFERROR(__xludf.DUMMYFUNCTION("""COMPUTED_VALUE"""),"Trade Attribute 2")</f>
        <v>Trade Attribute 2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IFERROR(__xludf.DUMMYFUNCTION("""COMPUTED_VALUE"""),"Uncommitted Qty")</f>
        <v>Uncommitted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 t="str">
        <f>IFERROR(__xludf.DUMMYFUNCTION("""COMPUTED_VALUE"""),"Actual User")</f>
        <v>Actual User</v>
      </c>
      <c r="BB5" s="30" t="str">
        <f>IFERROR(__xludf.DUMMYFUNCTION("""COMPUTED_VALUE"""),"Testing Type")</f>
        <v>Testing Type</v>
      </c>
      <c r="BC5" s="30" t="str">
        <f>IFERROR(__xludf.DUMMYFUNCTION("""COMPUTED_VALUE"""),"Testing Column")</f>
        <v>Testing Column</v>
      </c>
      <c r="BD5" s="30" t="str">
        <f>IFERROR(__xludf.DUMMYFUNCTION("""COMPUTED_VALUE"""),"Testing Col Value")</f>
        <v>Testing Col Value</v>
      </c>
      <c r="BE5" s="30" t="str">
        <f>IFERROR(__xludf.DUMMYFUNCTION("""COMPUTED_VALUE"""),"DuplicateRow")</f>
        <v>DuplicateRow</v>
      </c>
      <c r="BF5" s="30" t="str">
        <f>IFERROR(__xludf.DUMMYFUNCTION("""COMPUTED_VALUE"""),"DuplicateCountOnUI")</f>
        <v>DuplicateCountOnUI</v>
      </c>
      <c r="BG5" s="30" t="str">
        <f>IFERROR(__xludf.DUMMYFUNCTION("""COMPUTED_VALUE"""),"Transaction Source")</f>
        <v>Transaction Source</v>
      </c>
      <c r="BH5" s="30" t="str">
        <f>IFERROR(__xludf.DUMMYFUNCTION("""COMPUTED_VALUE"""),"TIF")</f>
        <v>TIF</v>
      </c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  <c r="EY5" s="30"/>
      <c r="EZ5" s="30"/>
      <c r="FA5" s="30"/>
      <c r="FB5" s="30"/>
      <c r="FC5" s="30"/>
      <c r="FD5" s="30"/>
      <c r="FE5" s="30"/>
      <c r="FF5" s="30"/>
      <c r="FG5" s="30"/>
      <c r="FH5" s="30"/>
      <c r="FI5" s="30"/>
      <c r="FJ5" s="30"/>
      <c r="FK5" s="30"/>
      <c r="FL5" s="30"/>
      <c r="FM5" s="30"/>
      <c r="FN5" s="30"/>
      <c r="FO5" s="30"/>
      <c r="FP5" s="30"/>
      <c r="FQ5" s="30"/>
      <c r="FR5" s="30"/>
      <c r="FS5" s="30"/>
      <c r="FT5" s="30"/>
      <c r="FU5" s="30"/>
      <c r="FV5" s="30"/>
      <c r="FW5" s="30"/>
      <c r="FX5" s="30"/>
      <c r="FY5" s="30"/>
      <c r="FZ5" s="30"/>
      <c r="GA5" s="30"/>
      <c r="GB5" s="30"/>
      <c r="GC5" s="30"/>
      <c r="GD5" s="30"/>
      <c r="GE5" s="30"/>
      <c r="GF5" s="30"/>
      <c r="GG5" s="30"/>
      <c r="GH5" s="30"/>
      <c r="GI5" s="30"/>
      <c r="GJ5" s="30"/>
      <c r="GK5" s="30"/>
      <c r="GL5" s="30"/>
      <c r="GM5" s="30"/>
      <c r="GN5" s="30"/>
      <c r="GO5" s="30"/>
      <c r="GP5" s="30"/>
      <c r="GQ5" s="30"/>
      <c r="GR5" s="30"/>
      <c r="GS5" s="30"/>
      <c r="GT5" s="30"/>
      <c r="GU5" s="30"/>
      <c r="GV5" s="30"/>
      <c r="GW5" s="30"/>
      <c r="GX5" s="30"/>
      <c r="GY5" s="30"/>
      <c r="GZ5" s="30"/>
      <c r="HA5" s="30"/>
      <c r="HB5" s="30"/>
      <c r="HC5" s="30"/>
      <c r="HD5" s="30"/>
      <c r="HE5" s="30"/>
      <c r="HF5" s="30"/>
      <c r="HG5" s="30"/>
      <c r="HH5" s="30"/>
      <c r="HI5" s="30"/>
      <c r="HJ5" s="30"/>
      <c r="HK5" s="30"/>
      <c r="HL5" s="30"/>
      <c r="HM5" s="30"/>
      <c r="HN5" s="30"/>
      <c r="HO5" s="30"/>
      <c r="HP5" s="30"/>
      <c r="HQ5" s="30"/>
      <c r="HR5" s="30"/>
      <c r="HS5" s="30"/>
      <c r="HT5" s="30"/>
      <c r="HU5" s="30"/>
      <c r="HV5" s="30"/>
      <c r="HW5" s="30"/>
      <c r="HX5" s="30"/>
      <c r="HY5" s="30"/>
      <c r="HZ5" s="30"/>
      <c r="IA5" s="30"/>
      <c r="IB5" s="30"/>
      <c r="IC5" s="30"/>
      <c r="ID5" s="30"/>
      <c r="IE5" s="30"/>
      <c r="IF5" s="30"/>
      <c r="IG5" s="30"/>
      <c r="IH5" s="30"/>
      <c r="II5" s="30"/>
      <c r="IJ5" s="30"/>
      <c r="IK5" s="30"/>
      <c r="IL5" s="30"/>
      <c r="IM5" s="30"/>
      <c r="IN5" s="30"/>
      <c r="IO5" s="30"/>
      <c r="IP5" s="30"/>
      <c r="IQ5" s="30"/>
      <c r="IR5" s="30"/>
      <c r="IS5" s="30"/>
      <c r="IT5" s="30"/>
      <c r="IU5" s="30"/>
      <c r="IV5" s="30"/>
      <c r="IW5" s="30"/>
      <c r="IX5" s="30"/>
      <c r="IY5" s="30"/>
      <c r="IZ5" s="30"/>
      <c r="JA5" s="30"/>
      <c r="JB5" s="30"/>
      <c r="JC5" s="30"/>
      <c r="JD5" s="30"/>
      <c r="JE5" s="30"/>
      <c r="JF5" s="30"/>
      <c r="JG5" s="30"/>
      <c r="JH5" s="30"/>
      <c r="JI5" s="30"/>
      <c r="JJ5" s="30"/>
      <c r="JK5" s="30"/>
      <c r="JL5" s="30"/>
      <c r="JM5" s="30"/>
      <c r="JN5" s="30"/>
      <c r="JO5" s="30"/>
      <c r="JP5" s="30"/>
      <c r="JQ5" s="30"/>
      <c r="JR5" s="30"/>
      <c r="JS5" s="30"/>
      <c r="JT5" s="30"/>
      <c r="JU5" s="30"/>
      <c r="JV5" s="30"/>
      <c r="JW5" s="30"/>
      <c r="JX5" s="30"/>
      <c r="JY5" s="30"/>
      <c r="JZ5" s="30"/>
      <c r="KA5" s="30"/>
      <c r="KB5" s="30"/>
      <c r="KC5" s="30"/>
      <c r="KD5" s="30"/>
      <c r="KE5" s="30"/>
      <c r="KF5" s="30"/>
      <c r="KG5" s="30"/>
      <c r="KH5" s="30"/>
      <c r="KI5" s="30"/>
      <c r="KJ5" s="30"/>
      <c r="KK5" s="30"/>
      <c r="KL5" s="30"/>
      <c r="KM5" s="30"/>
      <c r="KN5" s="30"/>
      <c r="KO5" s="30"/>
      <c r="KP5" s="30"/>
      <c r="KQ5" s="30"/>
      <c r="KR5" s="30"/>
      <c r="KS5" s="30"/>
      <c r="KT5" s="30"/>
      <c r="KU5" s="30"/>
      <c r="KV5" s="30"/>
      <c r="KW5" s="30"/>
      <c r="KX5" s="30"/>
      <c r="KY5" s="30"/>
      <c r="KZ5" s="30"/>
      <c r="LA5" s="30"/>
      <c r="LB5" s="30"/>
      <c r="LC5" s="30"/>
      <c r="LD5" s="30"/>
      <c r="LE5" s="30"/>
      <c r="LF5" s="30"/>
      <c r="LG5" s="30"/>
      <c r="LH5" s="30"/>
      <c r="LI5" s="30"/>
      <c r="LJ5" s="30"/>
      <c r="LK5" s="30"/>
      <c r="LL5" s="30"/>
      <c r="LM5" s="30"/>
      <c r="LN5" s="30"/>
      <c r="LO5" s="30"/>
      <c r="LP5" s="30"/>
      <c r="LQ5" s="30"/>
      <c r="LR5" s="30"/>
      <c r="LS5" s="30"/>
      <c r="LT5" s="30"/>
      <c r="LU5" s="30"/>
      <c r="LV5" s="30"/>
      <c r="LW5" s="30"/>
      <c r="LX5" s="30"/>
      <c r="LY5" s="30"/>
      <c r="LZ5" s="30"/>
      <c r="MA5" s="30"/>
      <c r="MB5" s="30"/>
      <c r="MC5" s="30"/>
      <c r="MD5" s="30"/>
      <c r="ME5" s="30"/>
      <c r="MF5" s="30"/>
      <c r="MG5" s="30"/>
      <c r="MH5" s="30"/>
      <c r="MI5" s="30"/>
      <c r="MJ5" s="30"/>
      <c r="MK5" s="30"/>
      <c r="ML5" s="30"/>
      <c r="MM5" s="30"/>
      <c r="MN5" s="30"/>
      <c r="MO5" s="30"/>
      <c r="MP5" s="30"/>
      <c r="MQ5" s="30"/>
      <c r="MR5" s="30"/>
      <c r="MS5" s="30"/>
      <c r="MT5" s="30"/>
      <c r="MU5" s="30"/>
      <c r="MV5" s="30"/>
      <c r="MW5" s="30"/>
      <c r="MX5" s="30"/>
      <c r="MY5" s="30"/>
      <c r="MZ5" s="30"/>
      <c r="NA5" s="30"/>
      <c r="NB5" s="30"/>
      <c r="NC5" s="30"/>
      <c r="ND5" s="30"/>
      <c r="NE5" s="30"/>
      <c r="NF5" s="30"/>
      <c r="NG5" s="30"/>
      <c r="NH5" s="30"/>
      <c r="NI5" s="30"/>
      <c r="NJ5" s="30"/>
      <c r="NK5" s="30"/>
      <c r="NL5" s="30"/>
      <c r="NM5" s="30"/>
      <c r="NN5" s="30"/>
      <c r="NO5" s="30"/>
      <c r="NP5" s="30"/>
      <c r="NQ5" s="30"/>
      <c r="NR5" s="30"/>
      <c r="NS5" s="30"/>
      <c r="NT5" s="30"/>
      <c r="NU5" s="30"/>
      <c r="NV5" s="30"/>
      <c r="NW5" s="30"/>
      <c r="NX5" s="30"/>
      <c r="NY5" s="30"/>
      <c r="NZ5" s="30"/>
      <c r="OA5" s="30"/>
      <c r="OB5" s="30"/>
      <c r="OC5" s="30"/>
      <c r="OD5" s="30"/>
      <c r="OE5" s="30"/>
      <c r="OF5" s="30"/>
      <c r="OG5" s="30"/>
      <c r="OH5" s="30"/>
      <c r="OI5" s="30"/>
      <c r="OJ5" s="30"/>
      <c r="OK5" s="30"/>
      <c r="OL5" s="30"/>
      <c r="OM5" s="30"/>
      <c r="ON5" s="30"/>
      <c r="OO5" s="30"/>
      <c r="OP5" s="30"/>
      <c r="OQ5" s="30"/>
      <c r="OR5" s="30"/>
      <c r="OS5" s="30"/>
      <c r="OT5" s="30"/>
      <c r="OU5" s="30"/>
      <c r="OV5" s="30"/>
      <c r="OW5" s="30"/>
      <c r="OX5" s="30"/>
      <c r="OY5" s="30"/>
      <c r="OZ5" s="30"/>
      <c r="PA5" s="30"/>
      <c r="PB5" s="30"/>
      <c r="PC5" s="30"/>
      <c r="PD5" s="30"/>
      <c r="PE5" s="30"/>
      <c r="PF5" s="30"/>
      <c r="PG5" s="30"/>
      <c r="PH5" s="30"/>
      <c r="PI5" s="30"/>
      <c r="PJ5" s="30"/>
      <c r="PK5" s="30"/>
      <c r="PL5" s="30"/>
      <c r="PM5" s="30"/>
      <c r="PN5" s="30"/>
      <c r="PO5" s="30"/>
      <c r="PP5" s="30"/>
      <c r="PQ5" s="30"/>
      <c r="PR5" s="30"/>
      <c r="PS5" s="30"/>
      <c r="PT5" s="30"/>
      <c r="PU5" s="30"/>
      <c r="PV5" s="30"/>
      <c r="PW5" s="30"/>
      <c r="PX5" s="30"/>
      <c r="PY5" s="30"/>
      <c r="PZ5" s="30"/>
      <c r="QA5" s="30"/>
      <c r="QB5" s="30"/>
      <c r="QC5" s="30"/>
      <c r="QD5" s="30"/>
      <c r="QE5" s="30"/>
      <c r="QF5" s="30"/>
      <c r="QG5" s="30"/>
      <c r="QH5" s="30"/>
      <c r="QI5" s="30"/>
      <c r="QJ5" s="30"/>
      <c r="QK5" s="30"/>
      <c r="QL5" s="30"/>
      <c r="QM5" s="30"/>
      <c r="QN5" s="30"/>
      <c r="QO5" s="30"/>
      <c r="QP5" s="30"/>
      <c r="QQ5" s="30"/>
      <c r="QR5" s="30"/>
      <c r="QS5" s="30"/>
      <c r="QT5" s="30"/>
      <c r="QU5" s="30"/>
      <c r="QV5" s="30"/>
      <c r="QW5" s="30"/>
      <c r="QX5" s="30"/>
      <c r="QY5" s="30"/>
      <c r="QZ5" s="30"/>
      <c r="RA5" s="30"/>
      <c r="RB5" s="30"/>
      <c r="RC5" s="30"/>
      <c r="RD5" s="30"/>
      <c r="RE5" s="30"/>
      <c r="RF5" s="30"/>
      <c r="RG5" s="30"/>
      <c r="RH5" s="30"/>
      <c r="RI5" s="30"/>
      <c r="RJ5" s="30"/>
      <c r="RK5" s="30"/>
      <c r="RL5" s="30"/>
      <c r="RM5" s="30"/>
      <c r="RN5" s="30"/>
      <c r="RO5" s="30"/>
      <c r="RP5" s="30"/>
      <c r="RQ5" s="30"/>
      <c r="RR5" s="30"/>
      <c r="RS5" s="30"/>
      <c r="RT5" s="30"/>
      <c r="RU5" s="30"/>
      <c r="RV5" s="30"/>
      <c r="RW5" s="30"/>
      <c r="RX5" s="30"/>
      <c r="RY5" s="30"/>
      <c r="RZ5" s="30"/>
      <c r="SA5" s="30"/>
      <c r="SB5" s="30"/>
      <c r="SC5" s="30"/>
      <c r="SD5" s="30"/>
      <c r="SE5" s="30"/>
      <c r="SF5" s="30"/>
      <c r="SG5" s="30"/>
      <c r="SH5" s="30"/>
      <c r="SI5" s="30"/>
      <c r="SJ5" s="30"/>
      <c r="SK5" s="30"/>
      <c r="SL5" s="30"/>
      <c r="SM5" s="30"/>
      <c r="SN5" s="30"/>
      <c r="SO5" s="30"/>
      <c r="SP5" s="30"/>
      <c r="SQ5" s="30"/>
      <c r="SR5" s="30"/>
      <c r="SS5" s="30"/>
      <c r="ST5" s="30"/>
      <c r="SU5" s="30"/>
      <c r="SV5" s="30"/>
      <c r="SW5" s="30"/>
      <c r="SX5" s="30"/>
      <c r="SY5" s="30"/>
      <c r="SZ5" s="30"/>
      <c r="TA5" s="30"/>
      <c r="TB5" s="30"/>
      <c r="TC5" s="30"/>
      <c r="TD5" s="30"/>
      <c r="TE5" s="30"/>
      <c r="TF5" s="30"/>
      <c r="TG5" s="30"/>
      <c r="TH5" s="30"/>
      <c r="TI5" s="30"/>
      <c r="TJ5" s="30"/>
      <c r="TK5" s="30"/>
      <c r="TL5" s="30"/>
      <c r="TM5" s="30"/>
      <c r="TN5" s="30"/>
      <c r="TO5" s="30"/>
      <c r="TP5" s="30"/>
      <c r="TQ5" s="30"/>
      <c r="TR5" s="30"/>
      <c r="TS5" s="30"/>
      <c r="TT5" s="30"/>
      <c r="TU5" s="30"/>
      <c r="TV5" s="30"/>
      <c r="TW5" s="30"/>
      <c r="TX5" s="30"/>
      <c r="TY5" s="30"/>
      <c r="TZ5" s="30"/>
      <c r="UA5" s="30"/>
      <c r="UB5" s="30"/>
      <c r="UC5" s="30"/>
      <c r="UD5" s="30"/>
      <c r="UE5" s="30"/>
      <c r="UF5" s="30"/>
      <c r="UG5" s="30"/>
      <c r="UH5" s="30"/>
      <c r="UI5" s="30"/>
      <c r="UJ5" s="30"/>
      <c r="UK5" s="30"/>
      <c r="UL5" s="30"/>
      <c r="UM5" s="30"/>
      <c r="UN5" s="30"/>
      <c r="UO5" s="30"/>
      <c r="UP5" s="30"/>
      <c r="UQ5" s="30"/>
      <c r="UR5" s="30"/>
      <c r="US5" s="30"/>
      <c r="UT5" s="30"/>
      <c r="UU5" s="30"/>
      <c r="UV5" s="30"/>
      <c r="UW5" s="30"/>
      <c r="UX5" s="30"/>
      <c r="UY5" s="30"/>
      <c r="UZ5" s="30"/>
      <c r="VA5" s="30"/>
      <c r="VB5" s="30"/>
      <c r="VC5" s="30"/>
      <c r="VD5" s="30"/>
      <c r="VE5" s="30"/>
      <c r="VF5" s="30"/>
      <c r="VG5" s="30"/>
      <c r="VH5" s="30"/>
      <c r="VI5" s="30"/>
      <c r="VJ5" s="30"/>
      <c r="VK5" s="30"/>
      <c r="VL5" s="30"/>
      <c r="VM5" s="30"/>
      <c r="VN5" s="30"/>
      <c r="VO5" s="30"/>
      <c r="VP5" s="30"/>
      <c r="VQ5" s="30"/>
      <c r="VR5" s="30"/>
      <c r="VS5" s="30"/>
      <c r="VT5" s="30"/>
      <c r="VU5" s="30"/>
      <c r="VV5" s="30"/>
      <c r="VW5" s="30"/>
      <c r="VX5" s="30"/>
      <c r="VY5" s="30"/>
      <c r="VZ5" s="30"/>
      <c r="WA5" s="30"/>
      <c r="WB5" s="30"/>
      <c r="WC5" s="30"/>
      <c r="WD5" s="30"/>
      <c r="WE5" s="30"/>
      <c r="WF5" s="30"/>
      <c r="WG5" s="30"/>
      <c r="WH5" s="30"/>
      <c r="WI5" s="30"/>
      <c r="WJ5" s="30"/>
      <c r="WK5" s="30"/>
      <c r="WL5" s="30"/>
      <c r="WM5" s="30"/>
      <c r="WN5" s="30"/>
      <c r="WO5" s="30"/>
      <c r="WP5" s="30"/>
      <c r="WQ5" s="30"/>
      <c r="WR5" s="30"/>
      <c r="WS5" s="30"/>
      <c r="WT5" s="30"/>
      <c r="WU5" s="30"/>
      <c r="WV5" s="30"/>
      <c r="WW5" s="30"/>
      <c r="WX5" s="30"/>
      <c r="WY5" s="30"/>
      <c r="WZ5" s="30"/>
      <c r="XA5" s="30"/>
      <c r="XB5" s="30"/>
      <c r="XC5" s="30"/>
      <c r="XD5" s="30"/>
      <c r="XE5" s="30"/>
      <c r="XF5" s="30"/>
      <c r="XG5" s="30"/>
      <c r="XH5" s="30"/>
      <c r="XI5" s="30"/>
      <c r="XJ5" s="30"/>
      <c r="XK5" s="30"/>
      <c r="XL5" s="30"/>
      <c r="XM5" s="30"/>
      <c r="XN5" s="30"/>
      <c r="XO5" s="30"/>
      <c r="XP5" s="30"/>
      <c r="XQ5" s="30"/>
      <c r="XR5" s="30"/>
      <c r="XS5" s="30"/>
      <c r="XT5" s="30"/>
      <c r="XU5" s="30"/>
      <c r="XV5" s="30"/>
      <c r="XW5" s="30"/>
      <c r="XX5" s="30"/>
      <c r="XY5" s="30"/>
      <c r="XZ5" s="30"/>
      <c r="YA5" s="30"/>
      <c r="YB5" s="30"/>
      <c r="YC5" s="30"/>
      <c r="YD5" s="30"/>
      <c r="YE5" s="30"/>
      <c r="YF5" s="30"/>
      <c r="YG5" s="30"/>
      <c r="YH5" s="30"/>
      <c r="YI5" s="30"/>
      <c r="YJ5" s="30"/>
      <c r="YK5" s="30"/>
      <c r="YL5" s="30"/>
      <c r="YM5" s="30"/>
      <c r="YN5" s="30"/>
      <c r="YO5" s="30"/>
      <c r="YP5" s="30"/>
      <c r="YQ5" s="30"/>
      <c r="YR5" s="30"/>
      <c r="YS5" s="30"/>
      <c r="YT5" s="30"/>
      <c r="YU5" s="30"/>
      <c r="YV5" s="30"/>
      <c r="YW5" s="30"/>
      <c r="YX5" s="30"/>
      <c r="YY5" s="30"/>
      <c r="YZ5" s="30"/>
      <c r="ZA5" s="30"/>
      <c r="ZB5" s="30"/>
      <c r="ZC5" s="30"/>
      <c r="ZD5" s="30"/>
      <c r="ZE5" s="30"/>
      <c r="ZF5" s="30"/>
      <c r="ZG5" s="30"/>
      <c r="ZH5" s="30"/>
      <c r="ZI5" s="30"/>
      <c r="ZJ5" s="30"/>
      <c r="ZK5" s="30"/>
      <c r="ZL5" s="30"/>
      <c r="ZM5" s="30"/>
      <c r="ZN5" s="30"/>
      <c r="ZO5" s="30"/>
      <c r="ZP5" s="30"/>
      <c r="ZQ5" s="30"/>
      <c r="ZR5" s="30"/>
      <c r="ZS5" s="30"/>
      <c r="ZT5" s="30"/>
      <c r="ZU5" s="30"/>
      <c r="ZV5" s="30"/>
      <c r="ZW5" s="30"/>
      <c r="ZX5" s="30"/>
      <c r="ZY5" s="30"/>
      <c r="ZZ5" s="30"/>
      <c r="AAA5" s="30"/>
      <c r="AAB5" s="30"/>
      <c r="AAC5" s="30"/>
      <c r="AAD5" s="30"/>
      <c r="AAE5" s="30"/>
      <c r="AAF5" s="30"/>
      <c r="AAG5" s="30"/>
      <c r="AAH5" s="30"/>
      <c r="AAI5" s="30"/>
      <c r="AAJ5" s="30"/>
      <c r="AAK5" s="30"/>
      <c r="AAL5" s="30"/>
      <c r="AAM5" s="30"/>
      <c r="AAN5" s="30"/>
      <c r="AAO5" s="30"/>
      <c r="AAP5" s="30"/>
      <c r="AAQ5" s="30"/>
      <c r="AAR5" s="30"/>
      <c r="AAS5" s="30"/>
      <c r="AAT5" s="30"/>
      <c r="AAU5" s="30"/>
      <c r="AAV5" s="30"/>
      <c r="AAW5" s="30"/>
      <c r="AAX5" s="30"/>
      <c r="AAY5" s="30"/>
      <c r="AAZ5" s="30"/>
      <c r="ABA5" s="30"/>
      <c r="ABB5" s="30"/>
      <c r="ABC5" s="30"/>
      <c r="ABD5" s="30"/>
      <c r="ABE5" s="30"/>
      <c r="ABF5" s="30"/>
      <c r="ABG5" s="30"/>
      <c r="ABH5" s="30"/>
      <c r="ABI5" s="30"/>
      <c r="ABJ5" s="30"/>
      <c r="ABK5" s="30"/>
      <c r="ABL5" s="30"/>
      <c r="ABM5" s="30"/>
      <c r="ABN5" s="30"/>
      <c r="ABO5" s="30"/>
      <c r="ABP5" s="30"/>
      <c r="ABQ5" s="30"/>
      <c r="ABR5" s="30"/>
      <c r="ABS5" s="30"/>
      <c r="ABT5" s="30"/>
      <c r="ABU5" s="30"/>
      <c r="ABV5" s="30"/>
      <c r="ABW5" s="30"/>
      <c r="ABX5" s="30"/>
      <c r="ABY5" s="30"/>
      <c r="ABZ5" s="30"/>
      <c r="ACA5" s="30"/>
      <c r="ACB5" s="30"/>
      <c r="ACC5" s="30"/>
      <c r="ACD5" s="30"/>
      <c r="ACE5" s="30"/>
      <c r="ACF5" s="30"/>
      <c r="ACG5" s="30"/>
      <c r="ACH5" s="30"/>
      <c r="ACI5" s="30"/>
      <c r="ACJ5" s="30"/>
      <c r="ACK5" s="30"/>
      <c r="ACL5" s="30"/>
      <c r="ACM5" s="30"/>
      <c r="ACN5" s="30"/>
      <c r="ACO5" s="30"/>
      <c r="ACP5" s="30"/>
      <c r="ACQ5" s="30"/>
      <c r="ACR5" s="30"/>
      <c r="ACS5" s="30"/>
      <c r="ACT5" s="30"/>
      <c r="ACU5" s="30"/>
      <c r="ACV5" s="30"/>
      <c r="ACW5" s="30"/>
      <c r="ACX5" s="30"/>
      <c r="ACY5" s="30"/>
      <c r="ACZ5" s="30"/>
      <c r="ADA5" s="30"/>
      <c r="ADB5" s="30"/>
      <c r="ADC5" s="30"/>
      <c r="ADD5" s="30"/>
      <c r="ADE5" s="30"/>
      <c r="ADF5" s="30"/>
      <c r="ADG5" s="30"/>
      <c r="ADH5" s="30"/>
      <c r="ADI5" s="30"/>
      <c r="ADJ5" s="30"/>
      <c r="ADK5" s="30"/>
      <c r="ADL5" s="30"/>
      <c r="ADM5" s="30"/>
      <c r="ADN5" s="30"/>
      <c r="ADO5" s="30"/>
      <c r="ADP5" s="30"/>
      <c r="ADQ5" s="30"/>
      <c r="ADR5" s="30"/>
      <c r="ADS5" s="30"/>
      <c r="ADT5" s="30"/>
      <c r="ADU5" s="30"/>
      <c r="ADV5" s="30"/>
      <c r="ADW5" s="30"/>
      <c r="ADX5" s="30"/>
      <c r="ADY5" s="30"/>
      <c r="ADZ5" s="30"/>
      <c r="AEA5" s="30"/>
      <c r="AEB5" s="30"/>
      <c r="AEC5" s="30"/>
      <c r="AED5" s="30"/>
      <c r="AEE5" s="30"/>
      <c r="AEF5" s="30"/>
      <c r="AEG5" s="30"/>
      <c r="AEH5" s="30"/>
      <c r="AEI5" s="30"/>
      <c r="AEJ5" s="30"/>
      <c r="AEK5" s="30"/>
      <c r="AEL5" s="30"/>
      <c r="AEM5" s="30"/>
      <c r="AEN5" s="30"/>
      <c r="AEO5" s="30"/>
      <c r="AEP5" s="30"/>
      <c r="AEQ5" s="30"/>
      <c r="AER5" s="30"/>
      <c r="AES5" s="30"/>
      <c r="AET5" s="30"/>
      <c r="AEU5" s="30"/>
      <c r="AEV5" s="30"/>
      <c r="AEW5" s="30"/>
      <c r="AEX5" s="30"/>
      <c r="AEY5" s="30"/>
      <c r="AEZ5" s="30"/>
      <c r="AFA5" s="30"/>
      <c r="AFB5" s="30"/>
      <c r="AFC5" s="30"/>
      <c r="AFD5" s="30"/>
      <c r="AFE5" s="30"/>
      <c r="AFF5" s="30"/>
      <c r="AFG5" s="30"/>
      <c r="AFH5" s="30"/>
      <c r="AFI5" s="30"/>
      <c r="AFJ5" s="30"/>
      <c r="AFK5" s="30"/>
      <c r="AFL5" s="30"/>
      <c r="AFM5" s="30"/>
      <c r="AFN5" s="30"/>
      <c r="AFO5" s="30"/>
      <c r="AFP5" s="30"/>
      <c r="AFQ5" s="30"/>
      <c r="AFR5" s="30"/>
      <c r="AFS5" s="30"/>
      <c r="AFT5" s="30"/>
      <c r="AFU5" s="30"/>
      <c r="AFV5" s="30"/>
      <c r="AFW5" s="30"/>
      <c r="AFX5" s="30"/>
      <c r="AFY5" s="30"/>
      <c r="AFZ5" s="30"/>
      <c r="AGA5" s="30"/>
      <c r="AGB5" s="30"/>
      <c r="AGC5" s="30"/>
      <c r="AGD5" s="30"/>
      <c r="AGE5" s="30"/>
      <c r="AGF5" s="30"/>
      <c r="AGG5" s="30"/>
      <c r="AGH5" s="30"/>
      <c r="AGI5" s="30"/>
      <c r="AGJ5" s="30"/>
      <c r="AGK5" s="30"/>
      <c r="AGL5" s="30"/>
      <c r="AGM5" s="30"/>
      <c r="AGN5" s="30"/>
      <c r="AGO5" s="30"/>
      <c r="AGP5" s="30"/>
      <c r="AGQ5" s="30"/>
      <c r="AGR5" s="30"/>
      <c r="AGS5" s="30"/>
      <c r="AGT5" s="30"/>
      <c r="AGU5" s="30"/>
      <c r="AGV5" s="30"/>
      <c r="AGW5" s="30"/>
      <c r="AGX5" s="30"/>
      <c r="AGY5" s="30"/>
      <c r="AGZ5" s="30"/>
      <c r="AHA5" s="30"/>
      <c r="AHB5" s="30"/>
      <c r="AHC5" s="30"/>
      <c r="AHD5" s="30"/>
      <c r="AHE5" s="30"/>
      <c r="AHF5" s="30"/>
      <c r="AHG5" s="30"/>
      <c r="AHH5" s="30"/>
      <c r="AHI5" s="30"/>
      <c r="AHJ5" s="30"/>
      <c r="AHK5" s="30"/>
      <c r="AHL5" s="30"/>
      <c r="AHM5" s="30"/>
      <c r="AHN5" s="30"/>
      <c r="AHO5" s="30"/>
      <c r="AHP5" s="30"/>
      <c r="AHQ5" s="30"/>
      <c r="AHR5" s="30"/>
      <c r="AHS5" s="30"/>
      <c r="AHT5" s="30"/>
      <c r="AHU5" s="30"/>
      <c r="AHV5" s="30"/>
      <c r="AHW5" s="30"/>
      <c r="AHX5" s="30"/>
      <c r="AHY5" s="30"/>
      <c r="AHZ5" s="30"/>
      <c r="AIA5" s="30"/>
      <c r="AIB5" s="30"/>
      <c r="AIC5" s="30"/>
      <c r="AID5" s="30"/>
      <c r="AIE5" s="30"/>
      <c r="AIF5" s="30"/>
      <c r="AIG5" s="30"/>
      <c r="AIH5" s="30"/>
      <c r="AII5" s="30"/>
      <c r="AIJ5" s="30"/>
      <c r="AIK5" s="30"/>
      <c r="AIL5" s="30"/>
      <c r="AIM5" s="30"/>
      <c r="AIN5" s="30"/>
      <c r="AIO5" s="30"/>
      <c r="AIP5" s="30"/>
      <c r="AIQ5" s="30"/>
      <c r="AIR5" s="30"/>
      <c r="AIS5" s="30"/>
      <c r="AIT5" s="30"/>
      <c r="AIU5" s="30"/>
      <c r="AIV5" s="30"/>
      <c r="AIW5" s="30"/>
      <c r="AIX5" s="30"/>
      <c r="AIY5" s="30"/>
      <c r="AIZ5" s="30"/>
      <c r="AJA5" s="30"/>
      <c r="AJB5" s="30"/>
      <c r="AJC5" s="30"/>
      <c r="AJD5" s="30"/>
      <c r="AJE5" s="30"/>
      <c r="AJF5" s="30"/>
      <c r="AJG5" s="30"/>
      <c r="AJH5" s="30"/>
      <c r="AJI5" s="30"/>
      <c r="AJJ5" s="30"/>
      <c r="AJK5" s="30"/>
      <c r="AJL5" s="30"/>
      <c r="AJM5" s="30"/>
      <c r="AJN5" s="30"/>
      <c r="AJO5" s="30"/>
      <c r="AJP5" s="30"/>
      <c r="AJQ5" s="30"/>
      <c r="AJR5" s="30"/>
      <c r="AJS5" s="30"/>
      <c r="AJT5" s="30"/>
      <c r="AJU5" s="30"/>
      <c r="AJV5" s="30"/>
      <c r="AJW5" s="30"/>
      <c r="AJX5" s="30"/>
      <c r="AJY5" s="30"/>
      <c r="AJZ5" s="30"/>
      <c r="AKA5" s="30"/>
      <c r="AKB5" s="30"/>
      <c r="AKC5" s="30"/>
      <c r="AKD5" s="30"/>
      <c r="AKE5" s="30"/>
      <c r="AKF5" s="30"/>
      <c r="AKG5" s="30"/>
      <c r="AKH5" s="30"/>
      <c r="AKI5" s="30"/>
      <c r="AKJ5" s="30"/>
      <c r="AKK5" s="30"/>
      <c r="AKL5" s="30"/>
      <c r="AKM5" s="30"/>
      <c r="AKN5" s="30"/>
      <c r="AKO5" s="30"/>
      <c r="AKP5" s="30"/>
      <c r="AKQ5" s="30"/>
      <c r="AKR5" s="30"/>
      <c r="AKS5" s="30"/>
      <c r="AKT5" s="30"/>
      <c r="AKU5" s="30"/>
      <c r="AKV5" s="30"/>
      <c r="AKW5" s="30"/>
      <c r="AKX5" s="30"/>
      <c r="AKY5" s="30"/>
      <c r="AKZ5" s="30"/>
      <c r="ALA5" s="30"/>
      <c r="ALB5" s="30"/>
      <c r="ALC5" s="30"/>
      <c r="ALD5" s="30"/>
      <c r="ALE5" s="30"/>
      <c r="ALF5" s="30"/>
      <c r="ALG5" s="30"/>
      <c r="ALH5" s="30"/>
      <c r="ALI5" s="30"/>
      <c r="ALJ5" s="30"/>
      <c r="ALK5" s="30"/>
      <c r="ALL5" s="30"/>
      <c r="ALM5" s="30"/>
      <c r="ALN5" s="30"/>
      <c r="ALO5" s="30"/>
      <c r="ALP5" s="30"/>
      <c r="ALQ5" s="30"/>
      <c r="ALR5" s="30"/>
      <c r="ALS5" s="30"/>
      <c r="ALT5" s="30"/>
      <c r="ALU5" s="30"/>
      <c r="ALV5" s="30"/>
      <c r="ALW5" s="30"/>
      <c r="ALX5" s="30"/>
      <c r="ALY5" s="30"/>
      <c r="ALZ5" s="30"/>
      <c r="AMA5" s="30"/>
      <c r="AMB5" s="30"/>
      <c r="AMC5" s="30"/>
      <c r="AMD5" s="30"/>
      <c r="AME5" s="30"/>
      <c r="AMF5" s="30"/>
      <c r="AMG5" s="30"/>
      <c r="AMH5" s="30"/>
      <c r="AMI5" s="30"/>
      <c r="AMJ5" s="30"/>
    </row>
    <row r="6" ht="15.75" customHeight="1">
      <c r="A6" s="31"/>
      <c r="B6" s="31"/>
      <c r="C6" s="31"/>
      <c r="D6" s="33">
        <v>10.0</v>
      </c>
      <c r="E6" s="31"/>
      <c r="F6" s="31"/>
      <c r="G6" s="31"/>
      <c r="H6" s="31"/>
      <c r="I6" s="31"/>
      <c r="J6" s="31"/>
      <c r="K6" s="31"/>
      <c r="L6" s="31"/>
      <c r="M6" s="31"/>
      <c r="N6" s="31"/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 t="s">
        <v>16</v>
      </c>
      <c r="AJ6" s="45" t="s">
        <v>42</v>
      </c>
      <c r="AK6" s="31" t="s">
        <v>43</v>
      </c>
      <c r="AL6" s="46">
        <v>200.0</v>
      </c>
      <c r="AM6" s="31"/>
      <c r="AN6" s="31"/>
      <c r="AO6" s="31"/>
      <c r="AP6" s="31"/>
      <c r="AQ6" s="31"/>
      <c r="AR6" s="31"/>
      <c r="AS6" s="31" t="s">
        <v>44</v>
      </c>
      <c r="AT6" s="31" t="s">
        <v>45</v>
      </c>
      <c r="AU6" s="47" t="s">
        <v>46</v>
      </c>
      <c r="AV6" s="31"/>
      <c r="AW6" s="31"/>
      <c r="AX6" s="31" t="s">
        <v>47</v>
      </c>
      <c r="AY6" s="31"/>
      <c r="AZ6" s="31"/>
      <c r="BA6" s="31"/>
      <c r="BB6" s="31"/>
      <c r="BC6" s="31"/>
      <c r="BD6" s="31"/>
      <c r="BE6" s="31"/>
      <c r="BF6" s="31"/>
      <c r="BG6" s="31" t="s">
        <v>48</v>
      </c>
      <c r="BH6" s="31"/>
      <c r="BI6" s="31"/>
      <c r="BJ6" s="31"/>
      <c r="BK6" s="31"/>
      <c r="BL6" s="31"/>
      <c r="BM6" s="31"/>
      <c r="BN6" s="31"/>
      <c r="BO6" s="31"/>
      <c r="BP6" s="31"/>
      <c r="BQ6" s="31"/>
      <c r="BR6" s="31"/>
      <c r="BS6" s="31"/>
      <c r="BT6" s="31"/>
      <c r="BU6" s="31"/>
      <c r="BV6" s="31"/>
      <c r="BW6" s="31"/>
      <c r="BX6" s="31"/>
      <c r="BY6" s="31"/>
      <c r="BZ6" s="31"/>
      <c r="CA6" s="31"/>
      <c r="CB6" s="31"/>
      <c r="CC6" s="31"/>
      <c r="CD6" s="31"/>
      <c r="CE6" s="31"/>
      <c r="CF6" s="31"/>
      <c r="CG6" s="31"/>
      <c r="CH6" s="31"/>
      <c r="CI6" s="31"/>
      <c r="CJ6" s="31"/>
      <c r="CK6" s="31"/>
      <c r="CL6" s="31"/>
      <c r="CM6" s="31"/>
      <c r="CN6" s="31"/>
      <c r="CO6" s="31"/>
      <c r="CP6" s="31"/>
      <c r="CQ6" s="31"/>
      <c r="CR6" s="31"/>
      <c r="CS6" s="31"/>
      <c r="CT6" s="31"/>
      <c r="CU6" s="31"/>
      <c r="CV6" s="31"/>
      <c r="CW6" s="31"/>
      <c r="CX6" s="31"/>
      <c r="CY6" s="31"/>
      <c r="CZ6" s="31"/>
      <c r="DA6" s="31"/>
      <c r="DB6" s="31"/>
      <c r="DC6" s="31"/>
      <c r="DD6" s="31"/>
      <c r="DE6" s="31"/>
      <c r="DF6" s="31"/>
      <c r="DG6" s="31"/>
      <c r="DH6" s="31"/>
      <c r="DI6" s="31"/>
      <c r="DJ6" s="31"/>
      <c r="DK6" s="31"/>
      <c r="DL6" s="31"/>
      <c r="DM6" s="31"/>
      <c r="DN6" s="31"/>
      <c r="DO6" s="31"/>
      <c r="DP6" s="31"/>
      <c r="DQ6" s="31"/>
      <c r="DR6" s="31"/>
      <c r="DS6" s="31"/>
      <c r="DT6" s="31"/>
      <c r="DU6" s="31"/>
      <c r="DV6" s="31"/>
      <c r="DW6" s="31"/>
      <c r="DX6" s="31"/>
      <c r="DY6" s="31"/>
      <c r="DZ6" s="31"/>
      <c r="EA6" s="31"/>
      <c r="EB6" s="31"/>
      <c r="EC6" s="31"/>
      <c r="ED6" s="31"/>
      <c r="EE6" s="31"/>
      <c r="EF6" s="31"/>
      <c r="EG6" s="31"/>
      <c r="EH6" s="31"/>
      <c r="EI6" s="31"/>
      <c r="EJ6" s="31"/>
      <c r="EK6" s="31"/>
      <c r="EL6" s="31"/>
      <c r="EM6" s="31"/>
      <c r="EN6" s="31"/>
      <c r="EO6" s="31"/>
      <c r="EP6" s="31"/>
      <c r="EQ6" s="31"/>
      <c r="ER6" s="31"/>
      <c r="ES6" s="31"/>
      <c r="ET6" s="31"/>
      <c r="EU6" s="31"/>
      <c r="EV6" s="31"/>
      <c r="EW6" s="31"/>
      <c r="EX6" s="31"/>
      <c r="EY6" s="31"/>
      <c r="EZ6" s="31"/>
      <c r="FA6" s="31"/>
      <c r="FB6" s="31"/>
      <c r="FC6" s="31"/>
      <c r="FD6" s="31"/>
      <c r="FE6" s="31"/>
      <c r="FF6" s="31"/>
      <c r="FG6" s="31"/>
      <c r="FH6" s="31"/>
      <c r="FI6" s="31"/>
      <c r="FJ6" s="31"/>
      <c r="FK6" s="31"/>
      <c r="FL6" s="31"/>
      <c r="FM6" s="31"/>
      <c r="FN6" s="31"/>
      <c r="FO6" s="31"/>
      <c r="FP6" s="31"/>
      <c r="FQ6" s="31"/>
      <c r="FR6" s="31"/>
      <c r="FS6" s="31"/>
      <c r="FT6" s="31"/>
      <c r="FU6" s="31"/>
      <c r="FV6" s="31"/>
      <c r="FW6" s="31"/>
      <c r="FX6" s="31"/>
      <c r="FY6" s="31"/>
      <c r="FZ6" s="31"/>
      <c r="GA6" s="31"/>
      <c r="GB6" s="31"/>
      <c r="GC6" s="31"/>
      <c r="GD6" s="31"/>
      <c r="GE6" s="31"/>
      <c r="GF6" s="31"/>
      <c r="GG6" s="31"/>
      <c r="GH6" s="31"/>
      <c r="GI6" s="31"/>
      <c r="GJ6" s="31"/>
      <c r="GK6" s="31"/>
      <c r="GL6" s="31"/>
      <c r="GM6" s="31"/>
      <c r="GN6" s="31"/>
      <c r="GO6" s="31"/>
      <c r="GP6" s="31"/>
      <c r="GQ6" s="31"/>
      <c r="GR6" s="31"/>
      <c r="GS6" s="31"/>
      <c r="GT6" s="31"/>
      <c r="GU6" s="31"/>
      <c r="GV6" s="31"/>
      <c r="GW6" s="31"/>
      <c r="GX6" s="31"/>
      <c r="GY6" s="31"/>
      <c r="GZ6" s="31"/>
      <c r="HA6" s="31"/>
      <c r="HB6" s="31"/>
      <c r="HC6" s="31"/>
      <c r="HD6" s="31"/>
      <c r="HE6" s="31"/>
      <c r="HF6" s="31"/>
      <c r="HG6" s="31"/>
      <c r="HH6" s="31"/>
      <c r="HI6" s="31"/>
      <c r="HJ6" s="31"/>
      <c r="HK6" s="31"/>
      <c r="HL6" s="31"/>
      <c r="HM6" s="31"/>
      <c r="HN6" s="31"/>
      <c r="HO6" s="31"/>
      <c r="HP6" s="31"/>
      <c r="HQ6" s="31"/>
      <c r="HR6" s="31"/>
      <c r="HS6" s="31"/>
      <c r="HT6" s="31"/>
      <c r="HU6" s="31"/>
      <c r="HV6" s="31"/>
      <c r="HW6" s="31"/>
      <c r="HX6" s="31"/>
      <c r="HY6" s="31"/>
      <c r="HZ6" s="31"/>
      <c r="IA6" s="31"/>
      <c r="IB6" s="31"/>
      <c r="IC6" s="31"/>
      <c r="ID6" s="31"/>
      <c r="IE6" s="31"/>
      <c r="IF6" s="31"/>
      <c r="IG6" s="31"/>
      <c r="IH6" s="31"/>
      <c r="II6" s="31"/>
      <c r="IJ6" s="31"/>
      <c r="IK6" s="31"/>
      <c r="IL6" s="31"/>
      <c r="IM6" s="31"/>
      <c r="IN6" s="31"/>
      <c r="IO6" s="31"/>
      <c r="IP6" s="31"/>
      <c r="IQ6" s="31"/>
      <c r="IR6" s="31"/>
      <c r="IS6" s="31"/>
      <c r="IT6" s="31"/>
      <c r="IU6" s="31"/>
      <c r="IV6" s="31"/>
      <c r="IW6" s="31"/>
      <c r="IX6" s="31"/>
      <c r="IY6" s="31"/>
      <c r="IZ6" s="31"/>
      <c r="JA6" s="31"/>
      <c r="JB6" s="31"/>
      <c r="JC6" s="31"/>
      <c r="JD6" s="31"/>
      <c r="JE6" s="31"/>
      <c r="JF6" s="31"/>
      <c r="JG6" s="31"/>
      <c r="JH6" s="31"/>
      <c r="JI6" s="31"/>
      <c r="JJ6" s="31"/>
      <c r="JK6" s="31"/>
      <c r="JL6" s="31"/>
      <c r="JM6" s="31"/>
      <c r="JN6" s="31"/>
      <c r="JO6" s="31"/>
      <c r="JP6" s="31"/>
      <c r="JQ6" s="31"/>
      <c r="JR6" s="31"/>
      <c r="JS6" s="31"/>
      <c r="JT6" s="31"/>
      <c r="JU6" s="31"/>
      <c r="JV6" s="31"/>
      <c r="JW6" s="31"/>
      <c r="JX6" s="31"/>
      <c r="JY6" s="31"/>
      <c r="JZ6" s="31"/>
      <c r="KA6" s="31"/>
      <c r="KB6" s="31"/>
      <c r="KC6" s="31"/>
      <c r="KD6" s="31"/>
      <c r="KE6" s="31"/>
      <c r="KF6" s="31"/>
      <c r="KG6" s="31"/>
      <c r="KH6" s="31"/>
      <c r="KI6" s="31"/>
      <c r="KJ6" s="31"/>
      <c r="KK6" s="31"/>
      <c r="KL6" s="31"/>
      <c r="KM6" s="31"/>
      <c r="KN6" s="31"/>
      <c r="KO6" s="31"/>
      <c r="KP6" s="31"/>
      <c r="KQ6" s="31"/>
      <c r="KR6" s="31"/>
      <c r="KS6" s="31"/>
      <c r="KT6" s="31"/>
      <c r="KU6" s="31"/>
      <c r="KV6" s="31"/>
      <c r="KW6" s="31"/>
      <c r="KX6" s="31"/>
      <c r="KY6" s="31"/>
      <c r="KZ6" s="31"/>
      <c r="LA6" s="31"/>
      <c r="LB6" s="31"/>
      <c r="LC6" s="31"/>
      <c r="LD6" s="31"/>
      <c r="LE6" s="31"/>
      <c r="LF6" s="31"/>
      <c r="LG6" s="31"/>
      <c r="LH6" s="31"/>
      <c r="LI6" s="31"/>
      <c r="LJ6" s="31"/>
      <c r="LK6" s="31"/>
      <c r="LL6" s="31"/>
      <c r="LM6" s="31"/>
      <c r="LN6" s="31"/>
      <c r="LO6" s="31"/>
      <c r="LP6" s="31"/>
      <c r="LQ6" s="31"/>
      <c r="LR6" s="31"/>
      <c r="LS6" s="31"/>
      <c r="LT6" s="31"/>
      <c r="LU6" s="31"/>
      <c r="LV6" s="31"/>
      <c r="LW6" s="31"/>
      <c r="LX6" s="31"/>
      <c r="LY6" s="31"/>
      <c r="LZ6" s="31"/>
      <c r="MA6" s="31"/>
      <c r="MB6" s="31"/>
      <c r="MC6" s="31"/>
      <c r="MD6" s="31"/>
      <c r="ME6" s="31"/>
      <c r="MF6" s="31"/>
      <c r="MG6" s="31"/>
      <c r="MH6" s="31"/>
      <c r="MI6" s="31"/>
      <c r="MJ6" s="31"/>
      <c r="MK6" s="31"/>
      <c r="ML6" s="31"/>
      <c r="MM6" s="31"/>
      <c r="MN6" s="31"/>
      <c r="MO6" s="31"/>
      <c r="MP6" s="31"/>
      <c r="MQ6" s="31"/>
      <c r="MR6" s="31"/>
      <c r="MS6" s="31"/>
      <c r="MT6" s="31"/>
      <c r="MU6" s="31"/>
      <c r="MV6" s="31"/>
      <c r="MW6" s="31"/>
      <c r="MX6" s="31"/>
      <c r="MY6" s="31"/>
      <c r="MZ6" s="31"/>
      <c r="NA6" s="31"/>
      <c r="NB6" s="31"/>
      <c r="NC6" s="31"/>
      <c r="ND6" s="31"/>
      <c r="NE6" s="31"/>
      <c r="NF6" s="31"/>
      <c r="NG6" s="31"/>
      <c r="NH6" s="31"/>
      <c r="NI6" s="31"/>
      <c r="NJ6" s="31"/>
      <c r="NK6" s="31"/>
      <c r="NL6" s="31"/>
      <c r="NM6" s="31"/>
      <c r="NN6" s="31"/>
      <c r="NO6" s="31"/>
      <c r="NP6" s="31"/>
      <c r="NQ6" s="31"/>
      <c r="NR6" s="31"/>
      <c r="NS6" s="31"/>
      <c r="NT6" s="31"/>
      <c r="NU6" s="31"/>
      <c r="NV6" s="31"/>
      <c r="NW6" s="31"/>
      <c r="NX6" s="31"/>
      <c r="NY6" s="31"/>
      <c r="NZ6" s="31"/>
      <c r="OA6" s="31"/>
      <c r="OB6" s="31"/>
      <c r="OC6" s="31"/>
      <c r="OD6" s="31"/>
      <c r="OE6" s="31"/>
      <c r="OF6" s="31"/>
      <c r="OG6" s="31"/>
      <c r="OH6" s="31"/>
      <c r="OI6" s="31"/>
      <c r="OJ6" s="31"/>
      <c r="OK6" s="31"/>
      <c r="OL6" s="31"/>
      <c r="OM6" s="31"/>
      <c r="ON6" s="31"/>
      <c r="OO6" s="31"/>
      <c r="OP6" s="31"/>
      <c r="OQ6" s="31"/>
      <c r="OR6" s="31"/>
      <c r="OS6" s="31"/>
      <c r="OT6" s="31"/>
      <c r="OU6" s="31"/>
      <c r="OV6" s="31"/>
      <c r="OW6" s="31"/>
      <c r="OX6" s="31"/>
      <c r="OY6" s="31"/>
      <c r="OZ6" s="31"/>
      <c r="PA6" s="31"/>
      <c r="PB6" s="31"/>
      <c r="PC6" s="31"/>
      <c r="PD6" s="31"/>
      <c r="PE6" s="31"/>
      <c r="PF6" s="31"/>
      <c r="PG6" s="31"/>
      <c r="PH6" s="31"/>
      <c r="PI6" s="31"/>
      <c r="PJ6" s="31"/>
      <c r="PK6" s="31"/>
      <c r="PL6" s="31"/>
      <c r="PM6" s="31"/>
      <c r="PN6" s="31"/>
      <c r="PO6" s="31"/>
      <c r="PP6" s="31"/>
      <c r="PQ6" s="31"/>
      <c r="PR6" s="31"/>
      <c r="PS6" s="31"/>
      <c r="PT6" s="31"/>
      <c r="PU6" s="31"/>
      <c r="PV6" s="31"/>
      <c r="PW6" s="31"/>
      <c r="PX6" s="31"/>
      <c r="PY6" s="31"/>
      <c r="PZ6" s="31"/>
      <c r="QA6" s="31"/>
      <c r="QB6" s="31"/>
      <c r="QC6" s="31"/>
      <c r="QD6" s="31"/>
      <c r="QE6" s="31"/>
      <c r="QF6" s="31"/>
      <c r="QG6" s="31"/>
      <c r="QH6" s="31"/>
      <c r="QI6" s="31"/>
      <c r="QJ6" s="31"/>
      <c r="QK6" s="31"/>
      <c r="QL6" s="31"/>
      <c r="QM6" s="31"/>
      <c r="QN6" s="31"/>
      <c r="QO6" s="31"/>
      <c r="QP6" s="31"/>
      <c r="QQ6" s="31"/>
      <c r="QR6" s="31"/>
      <c r="QS6" s="31"/>
      <c r="QT6" s="31"/>
      <c r="QU6" s="31"/>
      <c r="QV6" s="31"/>
      <c r="QW6" s="31"/>
      <c r="QX6" s="31"/>
      <c r="QY6" s="31"/>
      <c r="QZ6" s="31"/>
      <c r="RA6" s="31"/>
      <c r="RB6" s="31"/>
      <c r="RC6" s="31"/>
      <c r="RD6" s="31"/>
      <c r="RE6" s="31"/>
      <c r="RF6" s="31"/>
      <c r="RG6" s="31"/>
      <c r="RH6" s="31"/>
      <c r="RI6" s="31"/>
      <c r="RJ6" s="31"/>
      <c r="RK6" s="31"/>
      <c r="RL6" s="31"/>
      <c r="RM6" s="31"/>
      <c r="RN6" s="31"/>
      <c r="RO6" s="31"/>
      <c r="RP6" s="31"/>
      <c r="RQ6" s="31"/>
      <c r="RR6" s="31"/>
      <c r="RS6" s="31"/>
      <c r="RT6" s="31"/>
      <c r="RU6" s="31"/>
      <c r="RV6" s="31"/>
      <c r="RW6" s="31"/>
      <c r="RX6" s="31"/>
      <c r="RY6" s="31"/>
      <c r="RZ6" s="31"/>
      <c r="SA6" s="31"/>
      <c r="SB6" s="31"/>
      <c r="SC6" s="31"/>
      <c r="SD6" s="31"/>
      <c r="SE6" s="31"/>
      <c r="SF6" s="31"/>
      <c r="SG6" s="31"/>
      <c r="SH6" s="31"/>
      <c r="SI6" s="31"/>
      <c r="SJ6" s="31"/>
      <c r="SK6" s="31"/>
      <c r="SL6" s="31"/>
      <c r="SM6" s="31"/>
      <c r="SN6" s="31"/>
      <c r="SO6" s="31"/>
      <c r="SP6" s="31"/>
      <c r="SQ6" s="31"/>
      <c r="SR6" s="31"/>
      <c r="SS6" s="31"/>
      <c r="ST6" s="31"/>
      <c r="SU6" s="31"/>
      <c r="SV6" s="31"/>
      <c r="SW6" s="31"/>
      <c r="SX6" s="31"/>
      <c r="SY6" s="31"/>
      <c r="SZ6" s="31"/>
      <c r="TA6" s="31"/>
      <c r="TB6" s="31"/>
      <c r="TC6" s="31"/>
      <c r="TD6" s="31"/>
      <c r="TE6" s="31"/>
      <c r="TF6" s="31"/>
      <c r="TG6" s="31"/>
      <c r="TH6" s="31"/>
      <c r="TI6" s="31"/>
      <c r="TJ6" s="31"/>
      <c r="TK6" s="31"/>
      <c r="TL6" s="31"/>
      <c r="TM6" s="31"/>
      <c r="TN6" s="31"/>
      <c r="TO6" s="31"/>
      <c r="TP6" s="31"/>
      <c r="TQ6" s="31"/>
      <c r="TR6" s="31"/>
      <c r="TS6" s="31"/>
      <c r="TT6" s="31"/>
      <c r="TU6" s="31"/>
      <c r="TV6" s="31"/>
      <c r="TW6" s="31"/>
      <c r="TX6" s="31"/>
      <c r="TY6" s="31"/>
      <c r="TZ6" s="31"/>
      <c r="UA6" s="31"/>
      <c r="UB6" s="31"/>
      <c r="UC6" s="31"/>
      <c r="UD6" s="31"/>
      <c r="UE6" s="31"/>
      <c r="UF6" s="31"/>
      <c r="UG6" s="31"/>
      <c r="UH6" s="31"/>
      <c r="UI6" s="31"/>
      <c r="UJ6" s="31"/>
      <c r="UK6" s="31"/>
      <c r="UL6" s="31"/>
      <c r="UM6" s="31"/>
      <c r="UN6" s="31"/>
      <c r="UO6" s="31"/>
      <c r="UP6" s="31"/>
      <c r="UQ6" s="31"/>
      <c r="UR6" s="31"/>
      <c r="US6" s="31"/>
      <c r="UT6" s="31"/>
      <c r="UU6" s="31"/>
      <c r="UV6" s="31"/>
      <c r="UW6" s="31"/>
      <c r="UX6" s="31"/>
      <c r="UY6" s="31"/>
      <c r="UZ6" s="31"/>
      <c r="VA6" s="31"/>
      <c r="VB6" s="31"/>
      <c r="VC6" s="31"/>
      <c r="VD6" s="31"/>
      <c r="VE6" s="31"/>
      <c r="VF6" s="31"/>
      <c r="VG6" s="31"/>
      <c r="VH6" s="31"/>
      <c r="VI6" s="31"/>
      <c r="VJ6" s="31"/>
      <c r="VK6" s="31"/>
      <c r="VL6" s="31"/>
      <c r="VM6" s="31"/>
      <c r="VN6" s="31"/>
      <c r="VO6" s="31"/>
      <c r="VP6" s="31"/>
      <c r="VQ6" s="31"/>
      <c r="VR6" s="31"/>
      <c r="VS6" s="31"/>
      <c r="VT6" s="31"/>
      <c r="VU6" s="31"/>
      <c r="VV6" s="31"/>
      <c r="VW6" s="31"/>
      <c r="VX6" s="31"/>
      <c r="VY6" s="31"/>
      <c r="VZ6" s="31"/>
      <c r="WA6" s="31"/>
      <c r="WB6" s="31"/>
      <c r="WC6" s="31"/>
      <c r="WD6" s="31"/>
      <c r="WE6" s="31"/>
      <c r="WF6" s="31"/>
      <c r="WG6" s="31"/>
      <c r="WH6" s="31"/>
      <c r="WI6" s="31"/>
      <c r="WJ6" s="31"/>
      <c r="WK6" s="31"/>
      <c r="WL6" s="31"/>
      <c r="WM6" s="31"/>
      <c r="WN6" s="31"/>
      <c r="WO6" s="31"/>
      <c r="WP6" s="31"/>
      <c r="WQ6" s="31"/>
      <c r="WR6" s="31"/>
      <c r="WS6" s="31"/>
      <c r="WT6" s="31"/>
      <c r="WU6" s="31"/>
      <c r="WV6" s="31"/>
      <c r="WW6" s="31"/>
      <c r="WX6" s="31"/>
      <c r="WY6" s="31"/>
      <c r="WZ6" s="31"/>
      <c r="XA6" s="31"/>
      <c r="XB6" s="31"/>
      <c r="XC6" s="31"/>
      <c r="XD6" s="31"/>
      <c r="XE6" s="31"/>
      <c r="XF6" s="31"/>
      <c r="XG6" s="31"/>
      <c r="XH6" s="31"/>
      <c r="XI6" s="31"/>
      <c r="XJ6" s="31"/>
      <c r="XK6" s="31"/>
      <c r="XL6" s="31"/>
      <c r="XM6" s="31"/>
      <c r="XN6" s="31"/>
      <c r="XO6" s="31"/>
      <c r="XP6" s="31"/>
      <c r="XQ6" s="31"/>
      <c r="XR6" s="31"/>
      <c r="XS6" s="31"/>
      <c r="XT6" s="31"/>
      <c r="XU6" s="31"/>
      <c r="XV6" s="31"/>
      <c r="XW6" s="31"/>
      <c r="XX6" s="31"/>
      <c r="XY6" s="31"/>
      <c r="XZ6" s="31"/>
      <c r="YA6" s="31"/>
      <c r="YB6" s="31"/>
      <c r="YC6" s="31"/>
      <c r="YD6" s="31"/>
      <c r="YE6" s="31"/>
      <c r="YF6" s="31"/>
      <c r="YG6" s="31"/>
      <c r="YH6" s="31"/>
      <c r="YI6" s="31"/>
      <c r="YJ6" s="31"/>
      <c r="YK6" s="31"/>
      <c r="YL6" s="31"/>
      <c r="YM6" s="31"/>
      <c r="YN6" s="31"/>
      <c r="YO6" s="31"/>
      <c r="YP6" s="31"/>
      <c r="YQ6" s="31"/>
      <c r="YR6" s="31"/>
      <c r="YS6" s="31"/>
      <c r="YT6" s="31"/>
      <c r="YU6" s="31"/>
      <c r="YV6" s="31"/>
      <c r="YW6" s="31"/>
      <c r="YX6" s="31"/>
      <c r="YY6" s="31"/>
      <c r="YZ6" s="31"/>
      <c r="ZA6" s="31"/>
      <c r="ZB6" s="31"/>
      <c r="ZC6" s="31"/>
      <c r="ZD6" s="31"/>
      <c r="ZE6" s="31"/>
      <c r="ZF6" s="31"/>
      <c r="ZG6" s="31"/>
      <c r="ZH6" s="31"/>
      <c r="ZI6" s="31"/>
      <c r="ZJ6" s="31"/>
      <c r="ZK6" s="31"/>
      <c r="ZL6" s="31"/>
      <c r="ZM6" s="31"/>
      <c r="ZN6" s="31"/>
      <c r="ZO6" s="31"/>
      <c r="ZP6" s="31"/>
      <c r="ZQ6" s="31"/>
      <c r="ZR6" s="31"/>
      <c r="ZS6" s="31"/>
      <c r="ZT6" s="31"/>
      <c r="ZU6" s="31"/>
      <c r="ZV6" s="31"/>
      <c r="ZW6" s="31"/>
      <c r="ZX6" s="31"/>
      <c r="ZY6" s="31"/>
      <c r="ZZ6" s="31"/>
      <c r="AAA6" s="31"/>
      <c r="AAB6" s="31"/>
      <c r="AAC6" s="31"/>
      <c r="AAD6" s="31"/>
      <c r="AAE6" s="31"/>
      <c r="AAF6" s="31"/>
      <c r="AAG6" s="31"/>
      <c r="AAH6" s="31"/>
      <c r="AAI6" s="31"/>
      <c r="AAJ6" s="31"/>
      <c r="AAK6" s="31"/>
      <c r="AAL6" s="31"/>
      <c r="AAM6" s="31"/>
      <c r="AAN6" s="31"/>
      <c r="AAO6" s="31"/>
      <c r="AAP6" s="31"/>
      <c r="AAQ6" s="31"/>
      <c r="AAR6" s="31"/>
      <c r="AAS6" s="31"/>
      <c r="AAT6" s="31"/>
      <c r="AAU6" s="31"/>
      <c r="AAV6" s="31"/>
      <c r="AAW6" s="31"/>
      <c r="AAX6" s="31"/>
      <c r="AAY6" s="31"/>
      <c r="AAZ6" s="31"/>
      <c r="ABA6" s="31"/>
      <c r="ABB6" s="31"/>
      <c r="ABC6" s="31"/>
      <c r="ABD6" s="31"/>
      <c r="ABE6" s="31"/>
      <c r="ABF6" s="31"/>
      <c r="ABG6" s="31"/>
      <c r="ABH6" s="31"/>
      <c r="ABI6" s="31"/>
      <c r="ABJ6" s="31"/>
      <c r="ABK6" s="31"/>
      <c r="ABL6" s="31"/>
      <c r="ABM6" s="31"/>
      <c r="ABN6" s="31"/>
      <c r="ABO6" s="31"/>
      <c r="ABP6" s="31"/>
      <c r="ABQ6" s="31"/>
      <c r="ABR6" s="31"/>
      <c r="ABS6" s="31"/>
      <c r="ABT6" s="31"/>
      <c r="ABU6" s="31"/>
      <c r="ABV6" s="31"/>
      <c r="ABW6" s="31"/>
      <c r="ABX6" s="31"/>
      <c r="ABY6" s="31"/>
      <c r="ABZ6" s="31"/>
      <c r="ACA6" s="31"/>
      <c r="ACB6" s="31"/>
      <c r="ACC6" s="31"/>
      <c r="ACD6" s="31"/>
      <c r="ACE6" s="31"/>
      <c r="ACF6" s="31"/>
      <c r="ACG6" s="31"/>
      <c r="ACH6" s="31"/>
      <c r="ACI6" s="31"/>
      <c r="ACJ6" s="31"/>
      <c r="ACK6" s="31"/>
      <c r="ACL6" s="31"/>
      <c r="ACM6" s="31"/>
      <c r="ACN6" s="31"/>
      <c r="ACO6" s="31"/>
      <c r="ACP6" s="31"/>
      <c r="ACQ6" s="31"/>
      <c r="ACR6" s="31"/>
      <c r="ACS6" s="31"/>
      <c r="ACT6" s="31"/>
      <c r="ACU6" s="31"/>
      <c r="ACV6" s="31"/>
      <c r="ACW6" s="31"/>
      <c r="ACX6" s="31"/>
      <c r="ACY6" s="31"/>
      <c r="ACZ6" s="31"/>
      <c r="ADA6" s="31"/>
      <c r="ADB6" s="31"/>
      <c r="ADC6" s="31"/>
      <c r="ADD6" s="31"/>
      <c r="ADE6" s="31"/>
      <c r="ADF6" s="31"/>
      <c r="ADG6" s="31"/>
      <c r="ADH6" s="31"/>
      <c r="ADI6" s="31"/>
      <c r="ADJ6" s="31"/>
      <c r="ADK6" s="31"/>
      <c r="ADL6" s="31"/>
      <c r="ADM6" s="31"/>
      <c r="ADN6" s="31"/>
      <c r="ADO6" s="31"/>
      <c r="ADP6" s="31"/>
      <c r="ADQ6" s="31"/>
      <c r="ADR6" s="31"/>
      <c r="ADS6" s="31"/>
      <c r="ADT6" s="31"/>
      <c r="ADU6" s="31"/>
      <c r="ADV6" s="31"/>
      <c r="ADW6" s="31"/>
      <c r="ADX6" s="31"/>
      <c r="ADY6" s="31"/>
      <c r="ADZ6" s="31"/>
      <c r="AEA6" s="31"/>
      <c r="AEB6" s="31"/>
      <c r="AEC6" s="31"/>
      <c r="AED6" s="31"/>
      <c r="AEE6" s="31"/>
      <c r="AEF6" s="31"/>
      <c r="AEG6" s="31"/>
      <c r="AEH6" s="31"/>
      <c r="AEI6" s="31"/>
      <c r="AEJ6" s="31"/>
      <c r="AEK6" s="31"/>
      <c r="AEL6" s="31"/>
      <c r="AEM6" s="31"/>
      <c r="AEN6" s="31"/>
      <c r="AEO6" s="31"/>
      <c r="AEP6" s="31"/>
      <c r="AEQ6" s="31"/>
      <c r="AER6" s="31"/>
      <c r="AES6" s="31"/>
      <c r="AET6" s="31"/>
      <c r="AEU6" s="31"/>
      <c r="AEV6" s="31"/>
      <c r="AEW6" s="31"/>
      <c r="AEX6" s="31"/>
      <c r="AEY6" s="31"/>
      <c r="AEZ6" s="31"/>
      <c r="AFA6" s="31"/>
      <c r="AFB6" s="31"/>
      <c r="AFC6" s="31"/>
      <c r="AFD6" s="31"/>
      <c r="AFE6" s="31"/>
      <c r="AFF6" s="31"/>
      <c r="AFG6" s="31"/>
      <c r="AFH6" s="31"/>
      <c r="AFI6" s="31"/>
      <c r="AFJ6" s="31"/>
      <c r="AFK6" s="31"/>
      <c r="AFL6" s="31"/>
      <c r="AFM6" s="31"/>
      <c r="AFN6" s="31"/>
      <c r="AFO6" s="31"/>
      <c r="AFP6" s="31"/>
      <c r="AFQ6" s="31"/>
      <c r="AFR6" s="31"/>
      <c r="AFS6" s="31"/>
      <c r="AFT6" s="31"/>
      <c r="AFU6" s="31"/>
      <c r="AFV6" s="31"/>
      <c r="AFW6" s="31"/>
      <c r="AFX6" s="31"/>
      <c r="AFY6" s="31"/>
      <c r="AFZ6" s="31"/>
      <c r="AGA6" s="31"/>
      <c r="AGB6" s="31"/>
      <c r="AGC6" s="31"/>
      <c r="AGD6" s="31"/>
      <c r="AGE6" s="31"/>
      <c r="AGF6" s="31"/>
      <c r="AGG6" s="31"/>
      <c r="AGH6" s="31"/>
      <c r="AGI6" s="31"/>
      <c r="AGJ6" s="31"/>
      <c r="AGK6" s="31"/>
      <c r="AGL6" s="31"/>
      <c r="AGM6" s="31"/>
      <c r="AGN6" s="31"/>
      <c r="AGO6" s="31"/>
      <c r="AGP6" s="31"/>
      <c r="AGQ6" s="31"/>
      <c r="AGR6" s="31"/>
      <c r="AGS6" s="31"/>
      <c r="AGT6" s="31"/>
      <c r="AGU6" s="31"/>
      <c r="AGV6" s="31"/>
      <c r="AGW6" s="31"/>
      <c r="AGX6" s="31"/>
      <c r="AGY6" s="31"/>
      <c r="AGZ6" s="31"/>
      <c r="AHA6" s="31"/>
      <c r="AHB6" s="31"/>
      <c r="AHC6" s="31"/>
      <c r="AHD6" s="31"/>
      <c r="AHE6" s="31"/>
      <c r="AHF6" s="31"/>
      <c r="AHG6" s="31"/>
      <c r="AHH6" s="31"/>
      <c r="AHI6" s="31"/>
      <c r="AHJ6" s="31"/>
      <c r="AHK6" s="31"/>
      <c r="AHL6" s="31"/>
      <c r="AHM6" s="31"/>
      <c r="AHN6" s="31"/>
      <c r="AHO6" s="31"/>
      <c r="AHP6" s="31"/>
      <c r="AHQ6" s="31"/>
      <c r="AHR6" s="31"/>
      <c r="AHS6" s="31"/>
      <c r="AHT6" s="31"/>
      <c r="AHU6" s="31"/>
      <c r="AHV6" s="31"/>
      <c r="AHW6" s="31"/>
      <c r="AHX6" s="31"/>
      <c r="AHY6" s="31"/>
      <c r="AHZ6" s="31"/>
      <c r="AIA6" s="31"/>
      <c r="AIB6" s="31"/>
      <c r="AIC6" s="31"/>
      <c r="AID6" s="31"/>
      <c r="AIE6" s="31"/>
      <c r="AIF6" s="31"/>
      <c r="AIG6" s="31"/>
      <c r="AIH6" s="31"/>
      <c r="AII6" s="31"/>
      <c r="AIJ6" s="31"/>
      <c r="AIK6" s="31"/>
      <c r="AIL6" s="31"/>
      <c r="AIM6" s="31"/>
      <c r="AIN6" s="31"/>
      <c r="AIO6" s="31"/>
      <c r="AIP6" s="31"/>
      <c r="AIQ6" s="31"/>
      <c r="AIR6" s="31"/>
      <c r="AIS6" s="31"/>
      <c r="AIT6" s="31"/>
      <c r="AIU6" s="31"/>
      <c r="AIV6" s="31"/>
      <c r="AIW6" s="31"/>
      <c r="AIX6" s="31"/>
      <c r="AIY6" s="31"/>
      <c r="AIZ6" s="31"/>
      <c r="AJA6" s="31"/>
      <c r="AJB6" s="31"/>
      <c r="AJC6" s="31"/>
      <c r="AJD6" s="31"/>
      <c r="AJE6" s="31"/>
      <c r="AJF6" s="31"/>
      <c r="AJG6" s="31"/>
      <c r="AJH6" s="31"/>
      <c r="AJI6" s="31"/>
      <c r="AJJ6" s="31"/>
      <c r="AJK6" s="31"/>
      <c r="AJL6" s="31"/>
      <c r="AJM6" s="31"/>
      <c r="AJN6" s="31"/>
      <c r="AJO6" s="31"/>
      <c r="AJP6" s="31"/>
      <c r="AJQ6" s="31"/>
      <c r="AJR6" s="31"/>
      <c r="AJS6" s="31"/>
      <c r="AJT6" s="31"/>
      <c r="AJU6" s="31"/>
      <c r="AJV6" s="31"/>
      <c r="AJW6" s="31"/>
      <c r="AJX6" s="31"/>
      <c r="AJY6" s="31"/>
      <c r="AJZ6" s="31"/>
      <c r="AKA6" s="31"/>
      <c r="AKB6" s="31"/>
      <c r="AKC6" s="31"/>
      <c r="AKD6" s="31"/>
      <c r="AKE6" s="31"/>
      <c r="AKF6" s="31"/>
      <c r="AKG6" s="31"/>
      <c r="AKH6" s="31"/>
      <c r="AKI6" s="31"/>
      <c r="AKJ6" s="31"/>
      <c r="AKK6" s="31"/>
      <c r="AKL6" s="31"/>
      <c r="AKM6" s="31"/>
      <c r="AKN6" s="31"/>
      <c r="AKO6" s="31"/>
      <c r="AKP6" s="31"/>
      <c r="AKQ6" s="31"/>
      <c r="AKR6" s="31"/>
      <c r="AKS6" s="31"/>
      <c r="AKT6" s="31"/>
      <c r="AKU6" s="31"/>
      <c r="AKV6" s="31"/>
      <c r="AKW6" s="31"/>
      <c r="AKX6" s="31"/>
      <c r="AKY6" s="31"/>
      <c r="AKZ6" s="31"/>
      <c r="ALA6" s="31"/>
      <c r="ALB6" s="31"/>
      <c r="ALC6" s="31"/>
      <c r="ALD6" s="31"/>
      <c r="ALE6" s="31"/>
      <c r="ALF6" s="31"/>
      <c r="ALG6" s="31"/>
      <c r="ALH6" s="31"/>
      <c r="ALI6" s="31"/>
      <c r="ALJ6" s="31"/>
      <c r="ALK6" s="31"/>
      <c r="ALL6" s="31"/>
      <c r="ALM6" s="31"/>
      <c r="ALN6" s="31"/>
      <c r="ALO6" s="31"/>
      <c r="ALP6" s="31"/>
      <c r="ALQ6" s="31"/>
      <c r="ALR6" s="31"/>
      <c r="ALS6" s="31"/>
      <c r="ALT6" s="31"/>
      <c r="ALU6" s="31"/>
      <c r="ALV6" s="31"/>
      <c r="ALW6" s="31"/>
      <c r="ALX6" s="31"/>
      <c r="ALY6" s="31"/>
      <c r="ALZ6" s="31"/>
      <c r="AMA6" s="31"/>
      <c r="AMB6" s="31"/>
      <c r="AMC6" s="31"/>
      <c r="AMD6" s="31"/>
      <c r="AME6" s="31"/>
      <c r="AMF6" s="31"/>
      <c r="AMG6" s="31"/>
      <c r="AMH6" s="31"/>
      <c r="AMI6" s="31"/>
      <c r="AMJ6" s="31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