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SetShortLocateStructures" sheetId="5" r:id="rId7"/>
    <sheet state="visible" name="ImportOnShortLocate" sheetId="6" r:id="rId8"/>
    <sheet state="visible" name="VerifyShortLocateGrid" sheetId="7" r:id="rId9"/>
    <sheet state="visible" name="CustomOrderTT" sheetId="8" r:id="rId10"/>
    <sheet state="visible" name="UpdateShortLocateFromTT" sheetId="9" r:id="rId11"/>
    <sheet state="visible" name="SelectTradeOnOrderGrid" sheetId="10" r:id="rId12"/>
    <sheet state="visible" name="RemoveManualExecution" sheetId="11" r:id="rId13"/>
    <sheet state="visible" name="VerifyShortLocateGrid1" sheetId="12" r:id="rId14"/>
    <sheet state="visible" name="CustomOrderTT1" sheetId="13" r:id="rId15"/>
    <sheet state="visible" name="UpdateShortLocateFromTT1" sheetId="14" r:id="rId16"/>
    <sheet state="visible" name="SelectTradeOnOrderGrid1" sheetId="15" r:id="rId17"/>
    <sheet state="visible" name="RemoveManualExecution1" sheetId="16" r:id="rId18"/>
    <sheet state="visible" name="VerifyShortLocateGrid2" sheetId="17" r:id="rId19"/>
    <sheet state="visible" name="VerifyOrder" sheetId="18" r:id="rId20"/>
    <sheet state="visible" name="VerifyOrder1" sheetId="19" r:id="rId21"/>
  </sheets>
  <definedNames/>
  <calcPr/>
</workbook>
</file>

<file path=xl/sharedStrings.xml><?xml version="1.0" encoding="utf-8"?>
<sst xmlns="http://schemas.openxmlformats.org/spreadsheetml/2006/main" count="168" uniqueCount="40">
  <si>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</si>
  <si>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</si>
  <si>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</si>
  <si>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</si>
  <si>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</si>
  <si>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</si>
  <si>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</si>
  <si>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</si>
  <si>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</si>
  <si>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</si>
  <si>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</si>
  <si>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</si>
  <si>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</si>
  <si>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</si>
  <si>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</si>
  <si>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</si>
  <si>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Short Locate</t>
  </si>
  <si>
    <t>SetShortLocateStructures</t>
  </si>
  <si>
    <t>ShortLocate</t>
  </si>
  <si>
    <t>ImportOnShortLocate</t>
  </si>
  <si>
    <t>MS</t>
  </si>
  <si>
    <t>\\192.168.2.108\DistributedAutomation_Master\Import Cases\ShortLocate - 0083.csv</t>
  </si>
  <si>
    <t>VerifyShortLocateGrid</t>
  </si>
  <si>
    <t>IBM</t>
  </si>
  <si>
    <t>GS4566234</t>
  </si>
  <si>
    <t>API</t>
  </si>
  <si>
    <t>AAPL</t>
  </si>
  <si>
    <t>GS4566233</t>
  </si>
  <si>
    <t>TradingTicket</t>
  </si>
  <si>
    <t>CustomOrderTT</t>
  </si>
  <si>
    <t>DoneAway</t>
  </si>
  <si>
    <t>Sell short</t>
  </si>
  <si>
    <t>UpdateShortLocateFromTT</t>
  </si>
  <si>
    <t>MANUAL</t>
  </si>
  <si>
    <t>Blotter</t>
  </si>
  <si>
    <t>SelectTradeOnOrderGrid</t>
  </si>
  <si>
    <t>RemoveManualExecution</t>
  </si>
  <si>
    <t>Send</t>
  </si>
  <si>
    <t>VerifyOrder</t>
  </si>
  <si>
    <t>New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</si>
</sst>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b">
        <v>1</v>
      </c>
      <c r="C6" s="31" t="s">
        <v>16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EnableDisableModule!$4:$4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IFERROR(__xludf.DUMMYFUNCTION("""COMPUTED_VALUE"""),"isShowmasterFundOnShortLocate")</f>
        <v>isShowmasterFundOnShortLocate</v>
      </c>
      <c r="C5" s="27" t="str">
        <f>IFERROR(__xludf.DUMMYFUNCTION("""COMPUTED_VALUE"""),"IsImportOverrideOnShortLocate")</f>
        <v>IsImportOverrideOnShortLocate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SetShortLocateStructures!$4:$4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IFERROR(__xludf.DUMMYFUNCTION("""COMPUTED_VALUE"""),"Upload ThirdParty")</f>
        <v>Upload ThirdParty</v>
      </c>
      <c r="C5" s="27" t="str">
        <f>IFERROR(__xludf.DUMMYFUNCTION("""COMPUTED_VALUE"""),"Select File")</f>
        <v>Select File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3" t="s">
        <v>20</v>
      </c>
      <c r="C6" s="34" t="s">
        <v>21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ImportOnShortLocate!$4:$4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6" t="s">
        <v>20</v>
      </c>
      <c r="D6" s="37">
        <v>0.0</v>
      </c>
      <c r="E6" s="38">
        <v>0.0</v>
      </c>
      <c r="F6" s="38">
        <v>5000.0</v>
      </c>
      <c r="G6" s="38">
        <v>2.0</v>
      </c>
      <c r="H6" s="38">
        <v>0.0</v>
      </c>
      <c r="I6" s="39" t="s">
        <v>24</v>
      </c>
      <c r="J6" s="38">
        <v>0.0</v>
      </c>
      <c r="K6" s="38">
        <v>0.0</v>
      </c>
      <c r="L6" s="38">
        <v>0.0</v>
      </c>
      <c r="M6" s="38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6" t="s">
        <v>26</v>
      </c>
      <c r="C7" s="36" t="s">
        <v>20</v>
      </c>
      <c r="D7" s="38">
        <v>0.0</v>
      </c>
      <c r="E7" s="38">
        <v>0.0</v>
      </c>
      <c r="F7" s="38">
        <v>5000.0</v>
      </c>
      <c r="G7" s="38">
        <v>2.0</v>
      </c>
      <c r="H7" s="38">
        <v>0.0</v>
      </c>
      <c r="I7" s="40" t="s">
        <v>27</v>
      </c>
      <c r="J7" s="38">
        <v>0.0</v>
      </c>
      <c r="K7" s="38">
        <v>0.0</v>
      </c>
      <c r="L7" s="38">
        <v>0.0</v>
      </c>
      <c r="M7" s="38">
        <v>5000.0</v>
      </c>
      <c r="N7" s="38">
        <v>2.0</v>
      </c>
      <c r="O7" s="36" t="s">
        <v>25</v>
      </c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VerifyShortLocateGrid!$4:$4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5" t="s">
        <v>23</v>
      </c>
      <c r="C6" s="38">
        <v>6000.0</v>
      </c>
      <c r="D6" s="37">
        <v>2.0</v>
      </c>
      <c r="E6" s="36" t="s">
        <v>30</v>
      </c>
      <c r="F6" s="31"/>
      <c r="G6" s="41" t="b">
        <v>1</v>
      </c>
      <c r="H6" s="31"/>
      <c r="I6" s="31"/>
      <c r="J6" s="36" t="s">
        <v>31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2" t="s">
        <v>20</v>
      </c>
      <c r="C6" s="38">
        <v>5000.0</v>
      </c>
      <c r="D6" s="37">
        <v>6000.0</v>
      </c>
      <c r="E6" s="38">
        <v>2.0</v>
      </c>
      <c r="F6" s="35" t="s">
        <v>24</v>
      </c>
      <c r="G6" s="41" t="b">
        <v>1</v>
      </c>
      <c r="H6" s="41" t="b">
        <v>1</v>
      </c>
      <c r="I6" s="35" t="s">
        <v>33</v>
      </c>
      <c r="J6" s="43">
        <v>6000.0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UpdateShortLocateFromTT!$4:$4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12" t="s">
        <v>23</v>
      </c>
      <c r="E6" s="8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/>
      <c r="C7" s="8"/>
      <c r="D7" s="12"/>
      <c r="E7" s="32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s">
        <v>23</v>
      </c>
      <c r="C6" s="36" t="s">
        <v>20</v>
      </c>
      <c r="D6" s="37">
        <v>0.0</v>
      </c>
      <c r="E6" s="38">
        <v>0.0</v>
      </c>
      <c r="F6" s="43">
        <v>0.0</v>
      </c>
      <c r="G6" s="38">
        <v>2.0</v>
      </c>
      <c r="H6" s="38">
        <v>0.0</v>
      </c>
      <c r="I6" s="39" t="s">
        <v>24</v>
      </c>
      <c r="J6" s="43">
        <v>6000.0</v>
      </c>
      <c r="K6" s="43">
        <v>2.0</v>
      </c>
      <c r="L6" s="38">
        <v>0.0</v>
      </c>
      <c r="M6" s="38">
        <v>5000.0</v>
      </c>
      <c r="N6" s="38">
        <v>2.0</v>
      </c>
      <c r="O6" s="36" t="s">
        <v>25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2" t="s">
        <v>26</v>
      </c>
      <c r="C6" s="38">
        <v>6000.0</v>
      </c>
      <c r="D6" s="37">
        <v>2.0</v>
      </c>
      <c r="E6" s="36" t="s">
        <v>37</v>
      </c>
      <c r="F6" s="31"/>
      <c r="G6" s="41" t="b">
        <v>1</v>
      </c>
      <c r="H6" s="31"/>
      <c r="I6" s="31"/>
      <c r="J6" s="36" t="s">
        <v>31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2" t="s">
        <v>20</v>
      </c>
      <c r="C6" s="38">
        <v>5000.0</v>
      </c>
      <c r="D6" s="37">
        <v>6000.0</v>
      </c>
      <c r="E6" s="38">
        <v>2.0</v>
      </c>
      <c r="F6" s="36" t="s">
        <v>27</v>
      </c>
      <c r="G6" s="41" t="b">
        <v>1</v>
      </c>
      <c r="H6" s="41" t="b">
        <v>1</v>
      </c>
      <c r="I6" s="34" t="s">
        <v>33</v>
      </c>
      <c r="J6" s="34">
        <v>1000.0</v>
      </c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UpdateShortLocateFromTT1!$4:$4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E6" s="32"/>
      <c r="F6" s="12" t="s">
        <v>31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RemoveManualExecution1!$4:$4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IFERROR(__xludf.DUMMYFUNCTION("IF(C3="""","""",Transpose(IMPORTRANGE('_Settings'!$B$3,C3&amp;""!A4:A1000"")))"),"ImportOnShortLocate")</f>
        <v>ImportOnShortLocate</v>
      </c>
      <c r="C4" s="24" t="str">
        <f>IFERROR(__xludf.DUMMYFUNCTION("""COMPUTED_VALUE"""),"ApplyFilterOnShortLocate")</f>
        <v>ApplyFilterOnShortLocate</v>
      </c>
      <c r="D4" s="24" t="str">
        <f>IFERROR(__xludf.DUMMYFUNCTION("""COMPUTED_VALUE"""),"OpenTTFromShortLocate")</f>
        <v>OpenTTFromShortLocate</v>
      </c>
      <c r="E4" s="24" t="str">
        <f>IFERROR(__xludf.DUMMYFUNCTION("""COMPUTED_VALUE"""),"Upload")</f>
        <v>Upload</v>
      </c>
      <c r="F4" s="24" t="str">
        <f>IFERROR(__xludf.DUMMYFUNCTION("""COMPUTED_VALUE"""),"VerifyShortLocateGrid")</f>
        <v>VerifyShortLocateGrid</v>
      </c>
      <c r="G4" s="24" t="str">
        <f>IFERROR(__xludf.DUMMYFUNCTION("""COMPUTED_VALUE"""),"DownloadFile")</f>
        <v>DownloadFile</v>
      </c>
      <c r="H4" s="24" t="str">
        <f>IFERROR(__xludf.DUMMYFUNCTION("""COMPUTED_VALUE"""),"SearchShortLocateUI")</f>
        <v>SearchShortLocateUI</v>
      </c>
      <c r="I4" s="24" t="str">
        <f>IFERROR(__xludf.DUMMYFUNCTION("""COMPUTED_VALUE"""),"SetShortLocatePreferences")</f>
        <v>SetShortLocatePreferences</v>
      </c>
      <c r="J4" s="24" t="str">
        <f>IFERROR(__xludf.DUMMYFUNCTION("""COMPUTED_VALUE"""),"VerifySLNavLockPopup")</f>
        <v>VerifySLNavLockPopup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IFERROR(__xludf.DUMMYFUNCTION("""COMPUTED_VALUE"""),"Borrow Broker")</f>
        <v>Borrow Broker</v>
      </c>
      <c r="D5" s="27" t="str">
        <f>IFERROR(__xludf.DUMMYFUNCTION("""COMPUTED_VALUE"""),"Last PX")</f>
        <v>Last PX</v>
      </c>
      <c r="E5" s="27" t="str">
        <f>IFERROR(__xludf.DUMMYFUNCTION("""COMPUTED_VALUE"""),"Trade Quantity")</f>
        <v>Trade Quantity</v>
      </c>
      <c r="F5" s="28" t="str">
        <f>IFERROR(__xludf.DUMMYFUNCTION("""COMPUTED_VALUE"""),"Borrow Shares Available")</f>
        <v>Borrow Shares Available</v>
      </c>
      <c r="G5" s="27" t="str">
        <f>IFERROR(__xludf.DUMMYFUNCTION("""COMPUTED_VALUE"""),"Borrow Rate(%)")</f>
        <v>Borrow Rate(%)</v>
      </c>
      <c r="H5" s="27" t="str">
        <f>IFERROR(__xludf.DUMMYFUNCTION("""COMPUTED_VALUE"""),"Total Borrow Value")</f>
        <v>Total Borrow Value</v>
      </c>
      <c r="I5" s="27" t="str">
        <f>IFERROR(__xludf.DUMMYFUNCTION("""COMPUTED_VALUE"""),"Borrower ID")</f>
        <v>Borrower ID</v>
      </c>
      <c r="J5" s="27" t="str">
        <f>IFERROR(__xludf.DUMMYFUNCTION("""COMPUTED_VALUE"""),"Borrowed Share")</f>
        <v>Borrowed Share</v>
      </c>
      <c r="K5" s="27" t="str">
        <f>IFERROR(__xludf.DUMMYFUNCTION("""COMPUTED_VALUE"""),"Borrowed Rate(%)")</f>
        <v>Borrowed Rate(%)</v>
      </c>
      <c r="L5" s="27" t="str">
        <f>IFERROR(__xludf.DUMMYFUNCTION("""COMPUTED_VALUE"""),"Total Borrowed Value")</f>
        <v>Total Borrowed Value</v>
      </c>
      <c r="M5" s="27" t="str">
        <f>IFERROR(__xludf.DUMMYFUNCTION("""COMPUTED_VALUE"""),"SOD Borrow share Available")</f>
        <v>SOD Borrow share Available</v>
      </c>
      <c r="N5" s="27" t="str">
        <f>IFERROR(__xludf.DUMMYFUNCTION("""COMPUTED_VALUE"""),"SOD BorrowRate(%)")</f>
        <v>SOD BorrowRate(%)</v>
      </c>
      <c r="O5" s="27" t="str">
        <f>IFERROR(__xludf.DUMMYFUNCTION("""COMPUTED_VALUE"""),"Status Source")</f>
        <v>Status Source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26</v>
      </c>
      <c r="C6" s="36" t="s">
        <v>20</v>
      </c>
      <c r="D6" s="38">
        <v>0.0</v>
      </c>
      <c r="E6" s="38">
        <v>0.0</v>
      </c>
      <c r="F6" s="43">
        <v>0.0</v>
      </c>
      <c r="G6" s="38">
        <v>2.0</v>
      </c>
      <c r="H6" s="38">
        <v>0.0</v>
      </c>
      <c r="I6" s="40" t="s">
        <v>27</v>
      </c>
      <c r="J6" s="43">
        <v>6000.0</v>
      </c>
      <c r="K6" s="43">
        <v>2.0</v>
      </c>
      <c r="L6" s="38">
        <v>0.0</v>
      </c>
      <c r="M6" s="38">
        <v>5000.0</v>
      </c>
      <c r="N6" s="38">
        <v>2.0</v>
      </c>
      <c r="O6" s="36" t="s">
        <v>25</v>
      </c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VerifyShortLocateGrid2!$4:$4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31</v>
      </c>
      <c r="AK6" s="9" t="s">
        <v>39</v>
      </c>
      <c r="AL6" s="9">
        <v>6000.0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26</v>
      </c>
      <c r="AJ6" s="9" t="s">
        <v>31</v>
      </c>
      <c r="AK6" s="9" t="s">
        <v>39</v>
      </c>
      <c r="AL6" s="9">
        <v>6000.0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