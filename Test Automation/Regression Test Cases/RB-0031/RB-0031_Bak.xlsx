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<sst xmlns="http://schemas.openxmlformats.org/spreadsheetml/2006/main" count="110" uniqueCount="39">
  <si>
    <t>Modules Info</t>
  </si>
  <si>
    <t>Settings</t>
  </si>
  <si>
    <t>Master Data Info</t>
  </si>
  <si>
    <t>Module Step Setting File</t>
  </si>
  <si>
    <t>1BICZ_GcMhh_S937ZinFvSYqvvKYtOYB2Bc4woEPpgPg</t>
  </si>
  <si>
    <t>Master Data Settings File</t>
  </si>
  <si>
    <t>1hEhI9rg16D4Xvfk19pDaFUFF78jjfIG29BBaNg8kT0A</t>
  </si>
  <si>
    <t>Modules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</si>
  <si>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</si>
  <si>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</si>
  <si>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</si>
  <si>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</si>
  <si>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</si>
  <si>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</si>
  <si>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</si>
  <si>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</si>
  <si>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</si>
  <si>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</si>
  <si>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</si>
  <si>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</si>
  <si>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</si>
  <si>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</si>
  <si>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</si>
  <si>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MSFT</t>
  </si>
  <si>
    <t>AIG</t>
  </si>
  <si>
    <t>IBM</t>
  </si>
  <si>
    <t>AXP</t>
  </si>
  <si>
    <t>FB</t>
  </si>
  <si>
    <t>Sell short</t>
  </si>
  <si>
    <t>PricingInput</t>
  </si>
  <si>
    <t>Rebalancer</t>
  </si>
  <si>
    <t>FetchAccountPositions</t>
  </si>
  <si>
    <t>Real-Time Positions</t>
  </si>
  <si>
    <t>AddCash</t>
  </si>
  <si>
    <t>Impact NAV</t>
  </si>
  <si>
    <t>Target Cash</t>
  </si>
  <si>
    <t>RunRebalance</t>
  </si>
  <si>
    <t>Nearest Round Off</t>
  </si>
  <si>
    <t>VerifyGridData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</si>
</sst>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name val="Arial"/>
    </font>
    <font>
      <sz val="11.0"/>
      <color rgb="FFFF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/>
      <top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1" fillId="2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14" xfId="0" applyAlignment="1" applyBorder="1" applyFont="1" applyNumberFormat="1">
      <alignment horizontal="right" vertical="bottom"/>
    </xf>
    <xf borderId="5" fillId="6" fontId="13" numFmtId="14" xfId="0" applyAlignment="1" applyBorder="1" applyFill="1" applyFont="1" applyNumberFormat="1">
      <alignment vertical="bottom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6" fillId="5" fontId="4" numFmtId="0" xfId="0" applyAlignment="1" applyBorder="1" applyFont="1">
      <alignment shrinkToFit="0" wrapText="0"/>
    </xf>
    <xf borderId="6" fillId="5" fontId="4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14" numFmtId="1" xfId="0" applyAlignment="1" applyBorder="1" applyFont="1" applyNumberFormat="1">
      <alignment horizontal="right" vertical="bottom"/>
    </xf>
    <xf borderId="7" fillId="0" fontId="7" numFmtId="0" xfId="0" applyAlignment="1" applyBorder="1" applyFont="1">
      <alignment vertical="bottom"/>
    </xf>
    <xf borderId="7" fillId="0" fontId="14" numFmtId="0" xfId="0" applyAlignment="1" applyBorder="1" applyFont="1">
      <alignment horizontal="right" vertical="bottom"/>
    </xf>
    <xf borderId="7" fillId="0" fontId="3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vertical="bottom"/>
    </xf>
    <xf borderId="7" fillId="0" fontId="15" numFmtId="1" xfId="0" applyAlignment="1" applyBorder="1" applyFont="1" applyNumberFormat="1">
      <alignment horizontal="right" vertical="bottom"/>
    </xf>
    <xf borderId="7" fillId="0" fontId="15" numFmtId="0" xfId="0" applyAlignment="1" applyBorder="1" applyFont="1">
      <alignment horizontal="right" vertical="bottom"/>
    </xf>
    <xf borderId="7" fillId="0" fontId="3" numFmtId="0" xfId="0" applyAlignment="1" applyBorder="1" applyFont="1">
      <alignment readingOrder="0" shrinkToFit="0" wrapText="0"/>
    </xf>
    <xf borderId="5" fillId="6" fontId="16" numFmtId="0" xfId="0" applyAlignment="1" applyBorder="1" applyFont="1">
      <alignment vertical="bottom"/>
    </xf>
    <xf borderId="8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0</v>
      </c>
      <c r="B1" s="2"/>
      <c r="C1" s="2"/>
      <c r="D1" s="2"/>
      <c r="E1" s="2"/>
      <c r="F1" s="3"/>
    </row>
    <row r="2" ht="15.75" customHeight="1">
      <c r="A2" s="11"/>
      <c r="B2" s="11"/>
      <c r="C2" s="11"/>
      <c r="D2" s="11"/>
      <c r="E2" s="11"/>
      <c r="F2" s="11"/>
    </row>
    <row r="3" ht="15.75" customHeight="1">
      <c r="A3" s="5" t="s">
        <v>7</v>
      </c>
      <c r="B3" s="12"/>
      <c r="C3" s="13"/>
      <c r="D3" s="13"/>
      <c r="E3" s="13"/>
      <c r="F3" s="13"/>
    </row>
    <row r="4" ht="15.75" customHeight="1">
      <c r="A4" s="4" t="str">
        <f>IFERROR(__xludf.DUMMYFUNCTION("IMPORTRANGE('_Settings'!B3,""Modules!A4:L1000"")"),"Allocation")</f>
        <v>Allocation</v>
      </c>
      <c r="B4" s="11" t="str">
        <f>IFERROR(__xludf.DUMMYFUNCTION("""COMPUTED_VALUE"""),"Allocate")</f>
        <v>Allocate</v>
      </c>
      <c r="C4" s="11" t="str">
        <f>IFERROR(__xludf.DUMMYFUNCTION("""COMPUTED_VALUE"""),"1g8wLprruaWRC_5pQcovqkv8ZCiMt5fspCOACibdkz7g")</f>
        <v>1g8wLprruaWRC_5pQcovqkv8ZCiMt5fspCOACibdkz7g</v>
      </c>
      <c r="D4" s="11" t="str">
        <f>IFERROR(__xludf.DUMMYFUNCTION("""COMPUTED_VALUE"""),"")</f>
        <v/>
      </c>
      <c r="E4" s="11" t="str">
        <f>IFERROR(__xludf.DUMMYFUNCTION("""COMPUTED_VALUE"""),"")</f>
        <v/>
      </c>
      <c r="F4" s="11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1" t="str">
        <f>IFERROR(__xludf.DUMMYFUNCTION("""COMPUTED_VALUE"""),"CheckAllocatedGroups")</f>
        <v>CheckAllocatedGroups</v>
      </c>
      <c r="C5" s="11" t="str">
        <f>IFERROR(__xludf.DUMMYFUNCTION("""COMPUTED_VALUE"""),"1aecq-HMDoDkIInONjPC11z5TBFHyJhv4ro66e2ZOphg")</f>
        <v>1aecq-HMDoDkIInONjPC11z5TBFHyJhv4ro66e2ZOphg</v>
      </c>
      <c r="D5" s="11" t="str">
        <f>IFERROR(__xludf.DUMMYFUNCTION("""COMPUTED_VALUE"""),"")</f>
        <v/>
      </c>
      <c r="E5" s="11" t="str">
        <f>IFERROR(__xludf.DUMMYFUNCTION("""COMPUTED_VALUE"""),"")</f>
        <v/>
      </c>
      <c r="F5" s="11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1" t="str">
        <f>IFERROR(__xludf.DUMMYFUNCTION("""COMPUTED_VALUE"""),"Allocation")</f>
        <v>Allocation</v>
      </c>
      <c r="B6" s="11" t="str">
        <f>IFERROR(__xludf.DUMMYFUNCTION("""COMPUTED_VALUE"""),"Unallocate")</f>
        <v>Unallocate</v>
      </c>
      <c r="C6" s="11" t="str">
        <f>IFERROR(__xludf.DUMMYFUNCTION("""COMPUTED_VALUE"""),"1eDZq-_vllq4jwvwpk9qGnwQUhlb-sFvyFKPBriT2dA0")</f>
        <v>1eDZq-_vllq4jwvwpk9qGnwQUhlb-sFvyFKPBriT2dA0</v>
      </c>
      <c r="D6" s="11" t="str">
        <f>IFERROR(__xludf.DUMMYFUNCTION("""COMPUTED_VALUE"""),"")</f>
        <v/>
      </c>
      <c r="E6" s="11" t="str">
        <f>IFERROR(__xludf.DUMMYFUNCTION("""COMPUTED_VALUE"""),"")</f>
        <v/>
      </c>
      <c r="F6" s="11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1" t="str">
        <f>IFERROR(__xludf.DUMMYFUNCTION("""COMPUTED_VALUE"""),"Allocation")</f>
        <v>Allocation</v>
      </c>
      <c r="B7" s="11" t="str">
        <f>IFERROR(__xludf.DUMMYFUNCTION("""COMPUTED_VALUE"""),"GetDataAllocation")</f>
        <v>GetDataAllocation</v>
      </c>
      <c r="C7" s="11" t="str">
        <f>IFERROR(__xludf.DUMMYFUNCTION("""COMPUTED_VALUE"""),"1FBTO3wCB7odq-jpQMbYHgSrAL5-rFO2_kp9Kr2iXqXE")</f>
        <v>1FBTO3wCB7odq-jpQMbYHgSrAL5-rFO2_kp9Kr2iXqXE</v>
      </c>
      <c r="D7" s="11" t="str">
        <f>IFERROR(__xludf.DUMMYFUNCTION("""COMPUTED_VALUE"""),"")</f>
        <v/>
      </c>
      <c r="E7" s="11" t="str">
        <f>IFERROR(__xludf.DUMMYFUNCTION("""COMPUTED_VALUE"""),"")</f>
        <v/>
      </c>
      <c r="F7" s="11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1" t="str">
        <f>IFERROR(__xludf.DUMMYFUNCTION("""COMPUTED_VALUE"""),"Allocation")</f>
        <v>Allocation</v>
      </c>
      <c r="B8" s="11" t="str">
        <f>IFERROR(__xludf.DUMMYFUNCTION("""COMPUTED_VALUE"""),"SelectAllocatedGroup")</f>
        <v>SelectAllocatedGroup</v>
      </c>
      <c r="C8" s="11" t="str">
        <f>IFERROR(__xludf.DUMMYFUNCTION("""COMPUTED_VALUE"""),"1G0ZkXDrIDX_loGmAyLs_Shy8hExtTELtFXERbX-HdPo")</f>
        <v>1G0ZkXDrIDX_loGmAyLs_Shy8hExtTELtFXERbX-HdPo</v>
      </c>
      <c r="D8" s="11" t="str">
        <f>IFERROR(__xludf.DUMMYFUNCTION("""COMPUTED_VALUE"""),"")</f>
        <v/>
      </c>
      <c r="E8" s="11" t="str">
        <f>IFERROR(__xludf.DUMMYFUNCTION("""COMPUTED_VALUE"""),"")</f>
        <v/>
      </c>
      <c r="F8" s="11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1" t="str">
        <f>IFERROR(__xludf.DUMMYFUNCTION("""COMPUTED_VALUE"""),"Allocation")</f>
        <v>Allocation</v>
      </c>
      <c r="B9" s="11" t="str">
        <f>IFERROR(__xludf.DUMMYFUNCTION("""COMPUTED_VALUE"""),"EditTradesAllocated")</f>
        <v>EditTradesAllocated</v>
      </c>
      <c r="C9" s="11" t="str">
        <f>IFERROR(__xludf.DUMMYFUNCTION("""COMPUTED_VALUE"""),"1YgVZ1jEVgjUF1Dp8FAj_W_zLEZCyqvNMlWJIg0Tmkq4")</f>
        <v>1YgVZ1jEVgjUF1Dp8FAj_W_zLEZCyqvNMlWJIg0Tmkq4</v>
      </c>
      <c r="D9" s="11" t="str">
        <f>IFERROR(__xludf.DUMMYFUNCTION("""COMPUTED_VALUE"""),"")</f>
        <v/>
      </c>
      <c r="E9" s="11" t="str">
        <f>IFERROR(__xludf.DUMMYFUNCTION("""COMPUTED_VALUE"""),"")</f>
        <v/>
      </c>
      <c r="F9" s="11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1" t="str">
        <f>IFERROR(__xludf.DUMMYFUNCTION("""COMPUTED_VALUE"""),"Allocation")</f>
        <v>Allocation</v>
      </c>
      <c r="B10" s="11" t="str">
        <f>IFERROR(__xludf.DUMMYFUNCTION("""COMPUTED_VALUE"""),"EditTradesUnallocated")</f>
        <v>EditTradesUnallocated</v>
      </c>
      <c r="C10" s="11" t="str">
        <f>IFERROR(__xludf.DUMMYFUNCTION("""COMPUTED_VALUE"""),"1MyB61T39MDAUyQqCUJLATzUT2f5UlE8nFq4ltWy_DJ4")</f>
        <v>1MyB61T39MDAUyQqCUJLATzUT2f5UlE8nFq4ltWy_DJ4</v>
      </c>
      <c r="D10" s="11" t="str">
        <f>IFERROR(__xludf.DUMMYFUNCTION("""COMPUTED_VALUE"""),"")</f>
        <v/>
      </c>
      <c r="E10" s="11" t="str">
        <f>IFERROR(__xludf.DUMMYFUNCTION("""COMPUTED_VALUE"""),"")</f>
        <v/>
      </c>
      <c r="F10" s="11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1" t="str">
        <f>IFERROR(__xludf.DUMMYFUNCTION("""COMPUTED_VALUE"""),"Allocation")</f>
        <v>Allocation</v>
      </c>
      <c r="B11" s="11" t="str">
        <f>IFERROR(__xludf.DUMMYFUNCTION("""COMPUTED_VALUE"""),"Reallocate")</f>
        <v>Reallocate</v>
      </c>
      <c r="C11" s="11" t="str">
        <f>IFERROR(__xludf.DUMMYFUNCTION("""COMPUTED_VALUE"""),"undefined")</f>
        <v>undefined</v>
      </c>
      <c r="D11" s="11" t="str">
        <f>IFERROR(__xludf.DUMMYFUNCTION("""COMPUTED_VALUE"""),"")</f>
        <v/>
      </c>
      <c r="E11" s="11" t="str">
        <f>IFERROR(__xludf.DUMMYFUNCTION("""COMPUTED_VALUE"""),"")</f>
        <v/>
      </c>
      <c r="F11" s="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1" t="str">
        <f>IFERROR(__xludf.DUMMYFUNCTION("""COMPUTED_VALUE"""),"Blotter")</f>
        <v>Blotter</v>
      </c>
      <c r="B12" s="11" t="str">
        <f>IFERROR(__xludf.DUMMYFUNCTION("""COMPUTED_VALUE"""),"ReplaceFillsOnBlotter")</f>
        <v>ReplaceFillsOnBlotter</v>
      </c>
      <c r="C12" s="11" t="str">
        <f>IFERROR(__xludf.DUMMYFUNCTION("""COMPUTED_VALUE"""),"undefined")</f>
        <v>undefined</v>
      </c>
      <c r="D12" s="11" t="str">
        <f>IFERROR(__xludf.DUMMYFUNCTION("""COMPUTED_VALUE"""),"")</f>
        <v/>
      </c>
      <c r="E12" s="11" t="str">
        <f>IFERROR(__xludf.DUMMYFUNCTION("""COMPUTED_VALUE"""),"")</f>
        <v/>
      </c>
      <c r="F12" s="11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1" t="str">
        <f>IFERROR(__xludf.DUMMYFUNCTION("""COMPUTED_VALUE"""),"Blotter")</f>
        <v>Blotter</v>
      </c>
      <c r="B13" s="11" t="str">
        <f>IFERROR(__xludf.DUMMYFUNCTION("""COMPUTED_VALUE"""),"CheckBlotter")</f>
        <v>CheckBlotter</v>
      </c>
      <c r="C13" s="11" t="str">
        <f>IFERROR(__xludf.DUMMYFUNCTION("""COMPUTED_VALUE"""),"16qheLbvgC92hKxalWDlpWfHBMyDDVqHERUCc7bQiO2A")</f>
        <v>16qheLbvgC92hKxalWDlpWfHBMyDDVqHERUCc7bQiO2A</v>
      </c>
      <c r="D13" s="11" t="str">
        <f>IFERROR(__xludf.DUMMYFUNCTION("""COMPUTED_VALUE"""),"")</f>
        <v/>
      </c>
      <c r="E13" s="11" t="str">
        <f>IFERROR(__xludf.DUMMYFUNCTION("""COMPUTED_VALUE"""),"")</f>
        <v/>
      </c>
      <c r="F13" s="11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1" t="str">
        <f>IFERROR(__xludf.DUMMYFUNCTION("""COMPUTED_VALUE"""),"GeneralLedger")</f>
        <v>GeneralLedger</v>
      </c>
      <c r="B14" s="11" t="str">
        <f>IFERROR(__xludf.DUMMYFUNCTION("""COMPUTED_VALUE"""),"GetDataCash")</f>
        <v>GetDataCash</v>
      </c>
      <c r="C14" s="11" t="str">
        <f>IFERROR(__xludf.DUMMYFUNCTION("""COMPUTED_VALUE"""),"1zLd3ju-mV8f6PZiQUYLU-cAgAUwLwyoIAKuu0WgG2zI")</f>
        <v>1zLd3ju-mV8f6PZiQUYLU-cAgAUwLwyoIAKuu0WgG2zI</v>
      </c>
      <c r="D14" s="11" t="str">
        <f>IFERROR(__xludf.DUMMYFUNCTION("""COMPUTED_VALUE"""),"")</f>
        <v/>
      </c>
      <c r="E14" s="11" t="str">
        <f>IFERROR(__xludf.DUMMYFUNCTION("""COMPUTED_VALUE"""),"")</f>
        <v/>
      </c>
      <c r="F14" s="11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1" t="str">
        <f>IFERROR(__xludf.DUMMYFUNCTION("""COMPUTED_VALUE"""),"GeneralLedger")</f>
        <v>GeneralLedger</v>
      </c>
      <c r="B15" s="11" t="str">
        <f>IFERROR(__xludf.DUMMYFUNCTION("""COMPUTED_VALUE"""),"EnterCashDividends")</f>
        <v>EnterCashDividends</v>
      </c>
      <c r="C15" s="11" t="str">
        <f>IFERROR(__xludf.DUMMYFUNCTION("""COMPUTED_VALUE"""),"1sjDsI5FIL_l_G6osMJQ7e8auBgYd3R3JDaKWKV_8Og0")</f>
        <v>1sjDsI5FIL_l_G6osMJQ7e8auBgYd3R3JDaKWKV_8Og0</v>
      </c>
      <c r="D15" s="11" t="str">
        <f>IFERROR(__xludf.DUMMYFUNCTION("""COMPUTED_VALUE"""),"")</f>
        <v/>
      </c>
      <c r="E15" s="11" t="str">
        <f>IFERROR(__xludf.DUMMYFUNCTION("""COMPUTED_VALUE"""),"")</f>
        <v/>
      </c>
      <c r="F15" s="11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1" t="str">
        <f>IFERROR(__xludf.DUMMYFUNCTION("""COMPUTED_VALUE"""),"GeneralLedger")</f>
        <v>GeneralLedger</v>
      </c>
      <c r="B16" s="11" t="str">
        <f>IFERROR(__xludf.DUMMYFUNCTION("""COMPUTED_VALUE"""),"EnterNonTradingTransaction")</f>
        <v>EnterNonTradingTransaction</v>
      </c>
      <c r="C16" s="11" t="str">
        <f>IFERROR(__xludf.DUMMYFUNCTION("""COMPUTED_VALUE"""),"1xn1P_Z-3N4d2BC1SUPly2HiVZazly5ZQcS18BfaTyho")</f>
        <v>1xn1P_Z-3N4d2BC1SUPly2HiVZazly5ZQcS18BfaTyho</v>
      </c>
      <c r="D16" s="11" t="str">
        <f>IFERROR(__xludf.DUMMYFUNCTION("""COMPUTED_VALUE"""),"")</f>
        <v/>
      </c>
      <c r="E16" s="11" t="str">
        <f>IFERROR(__xludf.DUMMYFUNCTION("""COMPUTED_VALUE"""),"")</f>
        <v/>
      </c>
      <c r="F16" s="11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1" t="str">
        <f>IFERROR(__xludf.DUMMYFUNCTION("""COMPUTED_VALUE"""),"GeneralLedger")</f>
        <v>GeneralLedger</v>
      </c>
      <c r="B17" s="11" t="str">
        <f>IFERROR(__xludf.DUMMYFUNCTION("""COMPUTED_VALUE"""),"VerifyCash")</f>
        <v>VerifyCash</v>
      </c>
      <c r="C17" s="11" t="str">
        <f>IFERROR(__xludf.DUMMYFUNCTION("""COMPUTED_VALUE"""),"1vlvYPsiFAWjsnFrbkGn_fAvkwF00V3e7htalalU6QN4")</f>
        <v>1vlvYPsiFAWjsnFrbkGn_fAvkwF00V3e7htalalU6QN4</v>
      </c>
      <c r="D17" s="11" t="str">
        <f>IFERROR(__xludf.DUMMYFUNCTION("""COMPUTED_VALUE"""),"")</f>
        <v/>
      </c>
      <c r="E17" s="11" t="str">
        <f>IFERROR(__xludf.DUMMYFUNCTION("""COMPUTED_VALUE"""),"")</f>
        <v/>
      </c>
      <c r="F17" s="11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1" t="str">
        <f>IFERROR(__xludf.DUMMYFUNCTION("""COMPUTED_VALUE"""),"GeneralLedger")</f>
        <v>GeneralLedger</v>
      </c>
      <c r="B18" s="11" t="str">
        <f>IFERROR(__xludf.DUMMYFUNCTION("""COMPUTED_VALUE"""),"VerifyActivity")</f>
        <v>VerifyActivity</v>
      </c>
      <c r="C18" s="11" t="str">
        <f>IFERROR(__xludf.DUMMYFUNCTION("""COMPUTED_VALUE"""),"1o2rCg2FuoAOT5Pl8i4iFP_TwpPm0UB1dd49GbpkytfM")</f>
        <v>1o2rCg2FuoAOT5Pl8i4iFP_TwpPm0UB1dd49GbpkytfM</v>
      </c>
      <c r="D18" s="11" t="str">
        <f>IFERROR(__xludf.DUMMYFUNCTION("""COMPUTED_VALUE"""),"")</f>
        <v/>
      </c>
      <c r="E18" s="11" t="str">
        <f>IFERROR(__xludf.DUMMYFUNCTION("""COMPUTED_VALUE"""),"")</f>
        <v/>
      </c>
      <c r="F18" s="11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1" t="str">
        <f>IFERROR(__xludf.DUMMYFUNCTION("""COMPUTED_VALUE"""),"GeneralLedger")</f>
        <v>GeneralLedger</v>
      </c>
      <c r="B19" s="11" t="str">
        <f>IFERROR(__xludf.DUMMYFUNCTION("""COMPUTED_VALUE"""),"VerifyTradingTransaction")</f>
        <v>VerifyTradingTransaction</v>
      </c>
      <c r="C19" s="11" t="str">
        <f>IFERROR(__xludf.DUMMYFUNCTION("""COMPUTED_VALUE"""),"1_v2niCJ9VGNvgEBpvz030BFqEISSUhYRHyWcAJAn_Eg")</f>
        <v>1_v2niCJ9VGNvgEBpvz030BFqEISSUhYRHyWcAJAn_Eg</v>
      </c>
      <c r="D19" s="11" t="str">
        <f>IFERROR(__xludf.DUMMYFUNCTION("""COMPUTED_VALUE"""),"")</f>
        <v/>
      </c>
      <c r="E19" s="11" t="str">
        <f>IFERROR(__xludf.DUMMYFUNCTION("""COMPUTED_VALUE"""),"")</f>
        <v/>
      </c>
      <c r="F19" s="11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1" t="str">
        <f>IFERROR(__xludf.DUMMYFUNCTION("""COMPUTED_VALUE"""),"GeneralLedger")</f>
        <v>GeneralLedger</v>
      </c>
      <c r="B20" s="11" t="str">
        <f>IFERROR(__xludf.DUMMYFUNCTION("""COMPUTED_VALUE"""),"VerifyRevaluationData")</f>
        <v>VerifyRevaluationData</v>
      </c>
      <c r="C20" s="11" t="str">
        <f>IFERROR(__xludf.DUMMYFUNCTION("""COMPUTED_VALUE"""),"1hsRs1-LY0akTrMe91ArnbLtk6GUy_bKxVwMYCaiMs-8")</f>
        <v>1hsRs1-LY0akTrMe91ArnbLtk6GUy_bKxVwMYCaiMs-8</v>
      </c>
      <c r="D20" s="11" t="str">
        <f>IFERROR(__xludf.DUMMYFUNCTION("""COMPUTED_VALUE"""),"")</f>
        <v/>
      </c>
      <c r="E20" s="11" t="str">
        <f>IFERROR(__xludf.DUMMYFUNCTION("""COMPUTED_VALUE"""),"")</f>
        <v/>
      </c>
      <c r="F20" s="11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1" t="str">
        <f>IFERROR(__xludf.DUMMYFUNCTION("""COMPUTED_VALUE"""),"CorporateAction")</f>
        <v>CorporateAction</v>
      </c>
      <c r="B21" s="11" t="str">
        <f>IFERROR(__xludf.DUMMYFUNCTION("""COMPUTED_VALUE"""),"CorporateAction")</f>
        <v>CorporateAction</v>
      </c>
      <c r="C21" s="11" t="str">
        <f>IFERROR(__xludf.DUMMYFUNCTION("""COMPUTED_VALUE"""),"14rwUHTx4auE_hf60WN-tNOx3atNg7QGvErWNwVQIRqE")</f>
        <v>14rwUHTx4auE_hf60WN-tNOx3atNg7QGvErWNwVQIRqE</v>
      </c>
      <c r="D21" s="11" t="str">
        <f>IFERROR(__xludf.DUMMYFUNCTION("""COMPUTED_VALUE"""),"")</f>
        <v/>
      </c>
      <c r="E21" s="11" t="str">
        <f>IFERROR(__xludf.DUMMYFUNCTION("""COMPUTED_VALUE"""),"")</f>
        <v/>
      </c>
      <c r="F21" s="1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1" t="str">
        <f>IFERROR(__xludf.DUMMYFUNCTION("""COMPUTED_VALUE"""),"CreateTransaction")</f>
        <v>CreateTransaction</v>
      </c>
      <c r="B22" s="11" t="str">
        <f>IFERROR(__xludf.DUMMYFUNCTION("""COMPUTED_VALUE"""),"CreateTransaction")</f>
        <v>CreateTransaction</v>
      </c>
      <c r="C22" s="11" t="str">
        <f>IFERROR(__xludf.DUMMYFUNCTION("""COMPUTED_VALUE"""),"1amshi8Ns36lsDpccBK0y_9bL_pQ2rHdGNYypcgzceUg")</f>
        <v>1amshi8Ns36lsDpccBK0y_9bL_pQ2rHdGNYypcgzceUg</v>
      </c>
      <c r="D22" s="11" t="str">
        <f>IFERROR(__xludf.DUMMYFUNCTION("""COMPUTED_VALUE"""),"")</f>
        <v/>
      </c>
      <c r="E22" s="11" t="str">
        <f>IFERROR(__xludf.DUMMYFUNCTION("""COMPUTED_VALUE"""),"")</f>
        <v/>
      </c>
      <c r="F22" s="11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1" t="str">
        <f>IFERROR(__xludf.DUMMYFUNCTION("""COMPUTED_VALUE"""),"DailyValuation")</f>
        <v>DailyValuation</v>
      </c>
      <c r="B23" s="11" t="str">
        <f>IFERROR(__xludf.DUMMYFUNCTION("""COMPUTED_VALUE"""),"UpdateBeta")</f>
        <v>UpdateBeta</v>
      </c>
      <c r="C23" s="11" t="str">
        <f>IFERROR(__xludf.DUMMYFUNCTION("""COMPUTED_VALUE"""),"1YKttwHsdIskNDoo0Sl7HF2DWikROW-KA05qfT3GLIyI")</f>
        <v>1YKttwHsdIskNDoo0Sl7HF2DWikROW-KA05qfT3GLIyI</v>
      </c>
      <c r="D23" s="11" t="str">
        <f>IFERROR(__xludf.DUMMYFUNCTION("""COMPUTED_VALUE"""),"")</f>
        <v/>
      </c>
      <c r="E23" s="11" t="str">
        <f>IFERROR(__xludf.DUMMYFUNCTION("""COMPUTED_VALUE"""),"")</f>
        <v/>
      </c>
      <c r="F23" s="11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1" t="str">
        <f>IFERROR(__xludf.DUMMYFUNCTION("""COMPUTED_VALUE"""),"DailyValuation")</f>
        <v>DailyValuation</v>
      </c>
      <c r="B24" s="11" t="str">
        <f>IFERROR(__xludf.DUMMYFUNCTION("""COMPUTED_VALUE"""),"UpdateDailyCash")</f>
        <v>UpdateDailyCash</v>
      </c>
      <c r="C24" s="11" t="str">
        <f>IFERROR(__xludf.DUMMYFUNCTION("""COMPUTED_VALUE"""),"1YJ2rTp-OqQTGjubvs_cBC6fl0l94pyHI2eaLJzbddS4")</f>
        <v>1YJ2rTp-OqQTGjubvs_cBC6fl0l94pyHI2eaLJzbddS4</v>
      </c>
      <c r="D24" s="11" t="str">
        <f>IFERROR(__xludf.DUMMYFUNCTION("""COMPUTED_VALUE"""),"")</f>
        <v/>
      </c>
      <c r="E24" s="11" t="str">
        <f>IFERROR(__xludf.DUMMYFUNCTION("""COMPUTED_VALUE"""),"")</f>
        <v/>
      </c>
      <c r="F24" s="11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1" t="str">
        <f>IFERROR(__xludf.DUMMYFUNCTION("""COMPUTED_VALUE"""),"DailyValuation")</f>
        <v>DailyValuation</v>
      </c>
      <c r="B25" s="11" t="str">
        <f>IFERROR(__xludf.DUMMYFUNCTION("""COMPUTED_VALUE"""),"UpdateForexConversion")</f>
        <v>UpdateForexConversion</v>
      </c>
      <c r="C25" s="11" t="str">
        <f>IFERROR(__xludf.DUMMYFUNCTION("""COMPUTED_VALUE"""),"1mLyEfNTVFd65cnE6GfgCRD6TdpKg1BgqNIDjHCFzyO4")</f>
        <v>1mLyEfNTVFd65cnE6GfgCRD6TdpKg1BgqNIDjHCFzyO4</v>
      </c>
      <c r="D25" s="11" t="str">
        <f>IFERROR(__xludf.DUMMYFUNCTION("""COMPUTED_VALUE"""),"")</f>
        <v/>
      </c>
      <c r="E25" s="11" t="str">
        <f>IFERROR(__xludf.DUMMYFUNCTION("""COMPUTED_VALUE"""),"")</f>
        <v/>
      </c>
      <c r="F25" s="11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1" t="str">
        <f>IFERROR(__xludf.DUMMYFUNCTION("""COMPUTED_VALUE"""),"DailyValuation")</f>
        <v>DailyValuation</v>
      </c>
      <c r="B26" s="11" t="str">
        <f>IFERROR(__xludf.DUMMYFUNCTION("""COMPUTED_VALUE"""),"UpdateMarkPrice")</f>
        <v>UpdateMarkPrice</v>
      </c>
      <c r="C26" s="11" t="str">
        <f>IFERROR(__xludf.DUMMYFUNCTION("""COMPUTED_VALUE"""),"1M8d9TyOhMnA65NSIYvS6dR68SH5RL6oKahd6uz7yp6c")</f>
        <v>1M8d9TyOhMnA65NSIYvS6dR68SH5RL6oKahd6uz7yp6c</v>
      </c>
      <c r="D26" s="11" t="str">
        <f>IFERROR(__xludf.DUMMYFUNCTION("""COMPUTED_VALUE"""),"")</f>
        <v/>
      </c>
      <c r="E26" s="11" t="str">
        <f>IFERROR(__xludf.DUMMYFUNCTION("""COMPUTED_VALUE"""),"")</f>
        <v/>
      </c>
      <c r="F26" s="11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1" t="str">
        <f>IFERROR(__xludf.DUMMYFUNCTION("""COMPUTED_VALUE"""),"Import")</f>
        <v>Import</v>
      </c>
      <c r="B27" s="11" t="str">
        <f>IFERROR(__xludf.DUMMYFUNCTION("""COMPUTED_VALUE"""),"Import")</f>
        <v>Import</v>
      </c>
      <c r="C27" s="11" t="str">
        <f>IFERROR(__xludf.DUMMYFUNCTION("""COMPUTED_VALUE"""),"1Q5uOVYo1NMRks6hQRJuV8XWMPb6VFEAbSzpgP1dot1I")</f>
        <v>1Q5uOVYo1NMRks6hQRJuV8XWMPb6VFEAbSzpgP1dot1I</v>
      </c>
      <c r="D27" s="11" t="str">
        <f>IFERROR(__xludf.DUMMYFUNCTION("""COMPUTED_VALUE"""),"")</f>
        <v/>
      </c>
      <c r="E27" s="11" t="str">
        <f>IFERROR(__xludf.DUMMYFUNCTION("""COMPUTED_VALUE"""),"")</f>
        <v/>
      </c>
      <c r="F27" s="11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1" t="str">
        <f>IFERROR(__xludf.DUMMYFUNCTION("""COMPUTED_VALUE"""),"PortfolioManagement")</f>
        <v>PortfolioManagement</v>
      </c>
      <c r="B28" s="11" t="str">
        <f>IFERROR(__xludf.DUMMYFUNCTION("""COMPUTED_VALUE"""),"CheckDashboardPM")</f>
        <v>CheckDashboardPM</v>
      </c>
      <c r="C28" s="11" t="str">
        <f>IFERROR(__xludf.DUMMYFUNCTION("""COMPUTED_VALUE"""),"1iqfUyYqyebXIeNBGljH7-T8whBcywTlkBBU3dBZV06s")</f>
        <v>1iqfUyYqyebXIeNBGljH7-T8whBcywTlkBBU3dBZV06s</v>
      </c>
      <c r="D28" s="11" t="str">
        <f>IFERROR(__xludf.DUMMYFUNCTION("""COMPUTED_VALUE"""),"")</f>
        <v/>
      </c>
      <c r="E28" s="11" t="str">
        <f>IFERROR(__xludf.DUMMYFUNCTION("""COMPUTED_VALUE"""),"")</f>
        <v/>
      </c>
      <c r="F28" s="11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1" t="str">
        <f>IFERROR(__xludf.DUMMYFUNCTION("""COMPUTED_VALUE"""),"PortfolioManagement")</f>
        <v>PortfolioManagement</v>
      </c>
      <c r="B29" s="11" t="str">
        <f>IFERROR(__xludf.DUMMYFUNCTION("""COMPUTED_VALUE"""),"CheckPortfolioManagement")</f>
        <v>CheckPortfolioManagement</v>
      </c>
      <c r="C29" s="11" t="str">
        <f>IFERROR(__xludf.DUMMYFUNCTION("""COMPUTED_VALUE"""),"1u0XMlZJy_Slp7uXMwirinW7StOOdTcWD-D8V07sO0VA")</f>
        <v>1u0XMlZJy_Slp7uXMwirinW7StOOdTcWD-D8V07sO0VA</v>
      </c>
      <c r="D29" s="11" t="str">
        <f>IFERROR(__xludf.DUMMYFUNCTION("""COMPUTED_VALUE"""),"")</f>
        <v/>
      </c>
      <c r="E29" s="11" t="str">
        <f>IFERROR(__xludf.DUMMYFUNCTION("""COMPUTED_VALUE"""),"")</f>
        <v/>
      </c>
      <c r="F29" s="11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1" t="str">
        <f>IFERROR(__xludf.DUMMYFUNCTION("""COMPUTED_VALUE"""),"PricingInput")</f>
        <v>PricingInput</v>
      </c>
      <c r="B30" s="11" t="str">
        <f>IFERROR(__xludf.DUMMYFUNCTION("""COMPUTED_VALUE"""),"PricingInput")</f>
        <v>PricingInput</v>
      </c>
      <c r="C30" s="11" t="str">
        <f>IFERROR(__xludf.DUMMYFUNCTION("""COMPUTED_VALUE"""),"1mh3Z5PifhJ3yzX8TPeoc3H3nteNiA0V2tWFse0rVChE")</f>
        <v>1mh3Z5PifhJ3yzX8TPeoc3H3nteNiA0V2tWFse0rVChE</v>
      </c>
      <c r="D30" s="11" t="str">
        <f>IFERROR(__xludf.DUMMYFUNCTION("""COMPUTED_VALUE"""),"")</f>
        <v/>
      </c>
      <c r="E30" s="11" t="str">
        <f>IFERROR(__xludf.DUMMYFUNCTION("""COMPUTED_VALUE"""),"")</f>
        <v/>
      </c>
      <c r="F30" s="11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1" t="str">
        <f>IFERROR(__xludf.DUMMYFUNCTION("""COMPUTED_VALUE"""),"PricingInput")</f>
        <v>PricingInput</v>
      </c>
      <c r="B31" s="11" t="str">
        <f>IFERROR(__xludf.DUMMYFUNCTION("""COMPUTED_VALUE"""),"UpdateSharesOutstanding")</f>
        <v>UpdateSharesOutstanding</v>
      </c>
      <c r="C31" s="11" t="str">
        <f>IFERROR(__xludf.DUMMYFUNCTION("""COMPUTED_VALUE"""),"1vmZ6v1OyZ8SSi8bqqjK3ap3KtM_yPA_SEcIQgYiRInY")</f>
        <v>1vmZ6v1OyZ8SSi8bqqjK3ap3KtM_yPA_SEcIQgYiRInY</v>
      </c>
      <c r="D31" s="11" t="str">
        <f>IFERROR(__xludf.DUMMYFUNCTION("""COMPUTED_VALUE"""),"")</f>
        <v/>
      </c>
      <c r="E31" s="11" t="str">
        <f>IFERROR(__xludf.DUMMYFUNCTION("""COMPUTED_VALUE"""),"")</f>
        <v/>
      </c>
      <c r="F31" s="1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1" t="str">
        <f>IFERROR(__xludf.DUMMYFUNCTION("""COMPUTED_VALUE"""),"SymbolLookup")</f>
        <v>SymbolLookup</v>
      </c>
      <c r="B32" s="11" t="str">
        <f>IFERROR(__xludf.DUMMYFUNCTION("""COMPUTED_VALUE"""),"VerifySymbolLookUp")</f>
        <v>VerifySymbolLookUp</v>
      </c>
      <c r="C32" s="11" t="str">
        <f>IFERROR(__xludf.DUMMYFUNCTION("""COMPUTED_VALUE"""),"1OiI1Pi_JAFOFi8ByMaD3_qqEXSv6yQMo_u6aGTozbl8")</f>
        <v>1OiI1Pi_JAFOFi8ByMaD3_qqEXSv6yQMo_u6aGTozbl8</v>
      </c>
      <c r="D32" s="11" t="str">
        <f>IFERROR(__xludf.DUMMYFUNCTION("""COMPUTED_VALUE"""),"")</f>
        <v/>
      </c>
      <c r="E32" s="11" t="str">
        <f>IFERROR(__xludf.DUMMYFUNCTION("""COMPUTED_VALUE"""),"")</f>
        <v/>
      </c>
      <c r="F32" s="11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1" t="str">
        <f>IFERROR(__xludf.DUMMYFUNCTION("""COMPUTED_VALUE"""),"SymbolLookup")</f>
        <v>SymbolLookup</v>
      </c>
      <c r="B33" s="11" t="str">
        <f>IFERROR(__xludf.DUMMYFUNCTION("""COMPUTED_VALUE"""),"SymbolLookupFromTT")</f>
        <v>SymbolLookupFromTT</v>
      </c>
      <c r="C33" s="11" t="str">
        <f>IFERROR(__xludf.DUMMYFUNCTION("""COMPUTED_VALUE"""),"1ubfvE9sHq5KpJ9NazeH96CrVMJqAuol5Ya9GPjxWrgI")</f>
        <v>1ubfvE9sHq5KpJ9NazeH96CrVMJqAuol5Ya9GPjxWrgI</v>
      </c>
      <c r="D33" s="11" t="str">
        <f>IFERROR(__xludf.DUMMYFUNCTION("""COMPUTED_VALUE"""),"")</f>
        <v/>
      </c>
      <c r="E33" s="11" t="str">
        <f>IFERROR(__xludf.DUMMYFUNCTION("""COMPUTED_VALUE"""),"")</f>
        <v/>
      </c>
      <c r="F33" s="11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1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2</v>
      </c>
      <c r="B1" s="2"/>
      <c r="C1" s="2"/>
      <c r="D1" s="2"/>
      <c r="E1" s="2"/>
      <c r="F1" s="3"/>
    </row>
    <row r="2">
      <c r="A2" s="11"/>
      <c r="B2" s="11"/>
      <c r="C2" s="11"/>
      <c r="D2" s="11"/>
      <c r="E2" s="11"/>
      <c r="F2" s="11"/>
    </row>
    <row r="3">
      <c r="A3" s="7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>
        <f t="shared" ref="B6:C6" si="1">today()-1</f>
        <v>43796</v>
      </c>
      <c r="C6" s="30">
        <f t="shared" si="1"/>
        <v>43796</v>
      </c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16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3" t="s">
        <v>17</v>
      </c>
      <c r="C6" s="34" t="s">
        <v>18</v>
      </c>
      <c r="D6" s="35">
        <v>80000.0</v>
      </c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19</v>
      </c>
      <c r="D3" s="5" t="s">
        <v>9</v>
      </c>
      <c r="E3" s="21" t="s">
        <v>20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8"/>
      <c r="B6" s="39" t="s">
        <v>21</v>
      </c>
      <c r="C6" s="40" t="s">
        <v>22</v>
      </c>
      <c r="D6" s="41">
        <v>200.0</v>
      </c>
      <c r="E6" s="41">
        <v>200.0</v>
      </c>
      <c r="F6" s="40" t="s">
        <v>17</v>
      </c>
      <c r="G6" s="42"/>
      <c r="H6" s="42"/>
      <c r="I6" s="42"/>
      <c r="J6" s="43">
        <v>100.0</v>
      </c>
      <c r="K6" s="44"/>
      <c r="L6" s="44"/>
      <c r="M6" s="44"/>
      <c r="N6" s="4"/>
      <c r="O6" s="4"/>
    </row>
    <row r="7" ht="15.75" customHeight="1">
      <c r="A7" s="42"/>
      <c r="B7" s="40" t="s">
        <v>23</v>
      </c>
      <c r="C7" s="40" t="s">
        <v>22</v>
      </c>
      <c r="D7" s="41">
        <v>200.0</v>
      </c>
      <c r="E7" s="41">
        <v>200.0</v>
      </c>
      <c r="F7" s="40" t="s">
        <v>17</v>
      </c>
      <c r="G7" s="42"/>
      <c r="H7" s="42"/>
      <c r="I7" s="42"/>
      <c r="J7" s="43">
        <v>100.0</v>
      </c>
      <c r="K7" s="44"/>
      <c r="L7" s="44"/>
      <c r="M7" s="44"/>
      <c r="N7" s="4"/>
      <c r="O7" s="4"/>
    </row>
    <row r="8" ht="15.75" customHeight="1">
      <c r="A8" s="42"/>
      <c r="B8" s="40" t="s">
        <v>24</v>
      </c>
      <c r="C8" s="45" t="s">
        <v>22</v>
      </c>
      <c r="D8" s="41">
        <v>250.0</v>
      </c>
      <c r="E8" s="41">
        <v>250.0</v>
      </c>
      <c r="F8" s="40" t="s">
        <v>17</v>
      </c>
      <c r="G8" s="42"/>
      <c r="H8" s="42"/>
      <c r="I8" s="42"/>
      <c r="J8" s="43">
        <v>100.0</v>
      </c>
      <c r="K8" s="44"/>
      <c r="L8" s="44"/>
      <c r="M8" s="44"/>
      <c r="N8" s="4"/>
      <c r="O8" s="4"/>
    </row>
    <row r="9" ht="15.75" customHeight="1">
      <c r="A9" s="44"/>
      <c r="B9" s="45" t="s">
        <v>25</v>
      </c>
      <c r="C9" s="45" t="s">
        <v>22</v>
      </c>
      <c r="D9" s="41">
        <v>250.0</v>
      </c>
      <c r="E9" s="41">
        <v>250.0</v>
      </c>
      <c r="F9" s="46" t="s">
        <v>17</v>
      </c>
      <c r="G9" s="44"/>
      <c r="H9" s="44"/>
      <c r="I9" s="44"/>
      <c r="J9" s="43">
        <v>100.0</v>
      </c>
      <c r="K9" s="44"/>
      <c r="L9" s="44"/>
      <c r="M9" s="44"/>
      <c r="N9" s="4"/>
      <c r="O9" s="4"/>
    </row>
    <row r="10" ht="15.75" customHeight="1">
      <c r="A10" s="44"/>
      <c r="B10" s="45" t="s">
        <v>26</v>
      </c>
      <c r="C10" s="45" t="s">
        <v>22</v>
      </c>
      <c r="D10" s="41">
        <v>100.0</v>
      </c>
      <c r="E10" s="41">
        <v>100.0</v>
      </c>
      <c r="F10" s="46" t="s">
        <v>17</v>
      </c>
      <c r="G10" s="44"/>
      <c r="H10" s="44"/>
      <c r="I10" s="44"/>
      <c r="J10" s="43">
        <v>100.0</v>
      </c>
      <c r="K10" s="44"/>
      <c r="L10" s="44"/>
      <c r="M10" s="44"/>
      <c r="N10" s="4"/>
      <c r="O10" s="4"/>
    </row>
    <row r="11" ht="15.75" customHeight="1">
      <c r="A11" s="44"/>
      <c r="B11" s="45" t="s">
        <v>27</v>
      </c>
      <c r="C11" s="40" t="s">
        <v>28</v>
      </c>
      <c r="D11" s="47">
        <v>200.0</v>
      </c>
      <c r="E11" s="47">
        <v>200.0</v>
      </c>
      <c r="F11" s="46" t="s">
        <v>17</v>
      </c>
      <c r="G11" s="44"/>
      <c r="H11" s="44"/>
      <c r="I11" s="44"/>
      <c r="J11" s="48">
        <v>100.0</v>
      </c>
      <c r="K11" s="44"/>
      <c r="L11" s="44"/>
      <c r="M11" s="4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29</v>
      </c>
      <c r="D3" s="5" t="s">
        <v>9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IFERROR(__xludf.DUMMYFUNCTION("""COMPUTED_VALUE"""),"User Px")</f>
        <v>User Px</v>
      </c>
      <c r="D5" s="36" t="str">
        <f>IFERROR(__xludf.DUMMYFUNCTION("""COMPUTED_VALUE"""),"Asset Class")</f>
        <v>Asset Class</v>
      </c>
      <c r="E5" s="3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8"/>
      <c r="B6" s="39" t="s">
        <v>21</v>
      </c>
      <c r="C6" s="43">
        <v>100.0</v>
      </c>
      <c r="D6" s="45"/>
      <c r="E6" s="49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2"/>
      <c r="B7" s="40" t="s">
        <v>23</v>
      </c>
      <c r="C7" s="43">
        <v>100.0</v>
      </c>
      <c r="D7" s="44"/>
      <c r="E7" s="4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2"/>
      <c r="B8" s="40" t="s">
        <v>24</v>
      </c>
      <c r="C8" s="43">
        <v>100.0</v>
      </c>
      <c r="D8" s="44"/>
      <c r="E8" s="4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4"/>
      <c r="B9" s="45" t="s">
        <v>25</v>
      </c>
      <c r="C9" s="43">
        <v>100.0</v>
      </c>
      <c r="D9" s="44"/>
      <c r="E9" s="4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4"/>
      <c r="B10" s="45" t="s">
        <v>26</v>
      </c>
      <c r="C10" s="43">
        <v>100.0</v>
      </c>
      <c r="D10" s="44"/>
      <c r="E10" s="4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4"/>
      <c r="B11" s="45" t="s">
        <v>27</v>
      </c>
      <c r="C11" s="48">
        <v>100.0</v>
      </c>
      <c r="D11" s="44"/>
      <c r="E11" s="4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4"/>
      <c r="B12" s="44"/>
      <c r="C12" s="44"/>
      <c r="D12" s="44"/>
      <c r="E12" s="4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30</v>
      </c>
      <c r="D3" s="5" t="s">
        <v>9</v>
      </c>
      <c r="E3" s="21" t="s">
        <v>31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0" t="s">
        <v>17</v>
      </c>
      <c r="C6" s="51" t="s">
        <v>32</v>
      </c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30</v>
      </c>
      <c r="D3" s="5" t="s">
        <v>9</v>
      </c>
      <c r="E3" s="21" t="s">
        <v>33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IFERROR(__xludf.DUMMYFUNCTION("""COMPUTED_VALUE"""),"Cash Flow(USD)")</f>
        <v>Cash Flow(USD)</v>
      </c>
      <c r="C5" s="26" t="str">
        <f>IFERROR(__xludf.DUMMYFUNCTION("""COMPUTED_VALUE"""),"Cash Flow Impact on NAV")</f>
        <v>Cash Flow Impact on NAV</v>
      </c>
      <c r="D5" s="26" t="str">
        <f>IFERROR(__xludf.DUMMYFUNCTION("""COMPUTED_VALUE"""),"Select Model")</f>
        <v>Select Model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5">
        <v>50000.0</v>
      </c>
      <c r="C6" s="34" t="s">
        <v>34</v>
      </c>
      <c r="D6" s="52" t="s">
        <v>35</v>
      </c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30</v>
      </c>
      <c r="D3" s="5" t="s">
        <v>9</v>
      </c>
      <c r="E3" s="21" t="s">
        <v>36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37</v>
      </c>
      <c r="C6" s="4"/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30</v>
      </c>
      <c r="D3" s="5" t="s">
        <v>9</v>
      </c>
      <c r="E3" s="21" t="s">
        <v>38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IFERROR(__xludf.DUMMYFUNCTION("""COMPUTED_VALUE"""),"ModelPortfolio")</f>
        <v>ModelPortfolio</v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40" t="s">
        <v>17</v>
      </c>
      <c r="D6" s="39" t="s">
        <v>21</v>
      </c>
      <c r="E6" s="31"/>
      <c r="F6" s="4"/>
      <c r="G6" s="4"/>
      <c r="H6" s="43">
        <v>100.0</v>
      </c>
      <c r="I6" s="4"/>
      <c r="J6" s="4"/>
      <c r="K6" s="41">
        <v>200.0</v>
      </c>
      <c r="L6" s="4"/>
      <c r="M6" s="4"/>
      <c r="N6" s="4"/>
      <c r="O6" s="4"/>
    </row>
    <row r="7" ht="15.75" customHeight="1">
      <c r="A7" s="4"/>
      <c r="B7" s="4"/>
      <c r="C7" s="40" t="s">
        <v>17</v>
      </c>
      <c r="D7" s="40" t="s">
        <v>23</v>
      </c>
      <c r="E7" s="4"/>
      <c r="F7" s="4"/>
      <c r="G7" s="4"/>
      <c r="H7" s="43">
        <v>100.0</v>
      </c>
      <c r="I7" s="4"/>
      <c r="J7" s="4"/>
      <c r="K7" s="41">
        <v>200.0</v>
      </c>
      <c r="L7" s="4"/>
      <c r="M7" s="4"/>
      <c r="N7" s="4"/>
      <c r="O7" s="4"/>
    </row>
    <row r="8" ht="15.75" customHeight="1">
      <c r="A8" s="4"/>
      <c r="B8" s="4"/>
      <c r="C8" s="40" t="s">
        <v>17</v>
      </c>
      <c r="D8" s="40" t="s">
        <v>24</v>
      </c>
      <c r="E8" s="4"/>
      <c r="F8" s="4"/>
      <c r="G8" s="4"/>
      <c r="H8" s="43">
        <v>100.0</v>
      </c>
      <c r="I8" s="4"/>
      <c r="J8" s="4"/>
      <c r="K8" s="41">
        <v>250.0</v>
      </c>
      <c r="L8" s="4"/>
      <c r="M8" s="4"/>
      <c r="N8" s="4"/>
      <c r="O8" s="4"/>
    </row>
    <row r="9" ht="15.75" customHeight="1">
      <c r="A9" s="4"/>
      <c r="B9" s="4"/>
      <c r="C9" s="46" t="s">
        <v>17</v>
      </c>
      <c r="D9" s="45" t="s">
        <v>25</v>
      </c>
      <c r="E9" s="4"/>
      <c r="F9" s="4"/>
      <c r="G9" s="4"/>
      <c r="H9" s="43">
        <v>100.0</v>
      </c>
      <c r="I9" s="4"/>
      <c r="J9" s="4"/>
      <c r="K9" s="41">
        <v>250.0</v>
      </c>
      <c r="L9" s="4"/>
      <c r="M9" s="4"/>
      <c r="N9" s="4"/>
      <c r="O9" s="4"/>
    </row>
    <row r="10" ht="15.75" customHeight="1">
      <c r="A10" s="4"/>
      <c r="B10" s="4"/>
      <c r="C10" s="46" t="s">
        <v>17</v>
      </c>
      <c r="D10" s="45" t="s">
        <v>26</v>
      </c>
      <c r="E10" s="4"/>
      <c r="F10" s="4"/>
      <c r="G10" s="4"/>
      <c r="H10" s="43">
        <v>100.0</v>
      </c>
      <c r="I10" s="4"/>
      <c r="J10" s="4"/>
      <c r="K10" s="41">
        <v>100.0</v>
      </c>
      <c r="L10" s="4"/>
      <c r="M10" s="4"/>
      <c r="N10" s="4"/>
      <c r="O10" s="4"/>
    </row>
    <row r="11" ht="15.75" customHeight="1">
      <c r="A11" s="4"/>
      <c r="B11" s="4"/>
      <c r="C11" s="46" t="s">
        <v>17</v>
      </c>
      <c r="D11" s="45" t="s">
        <v>27</v>
      </c>
      <c r="E11" s="4"/>
      <c r="F11" s="4"/>
      <c r="G11" s="4"/>
      <c r="H11" s="48">
        <v>100.0</v>
      </c>
      <c r="I11" s="4"/>
      <c r="J11" s="4"/>
      <c r="K11" s="47">
        <v>200.0</v>
      </c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C14" s="4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C15" s="4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C16" s="4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C17" s="4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C18" s="4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C19" s="4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