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" sheetId="4" r:id="rId6"/>
    <sheet state="visible" name="TradeSymbolFromSM" sheetId="5" r:id="rId7"/>
    <sheet state="visible" name="CreateDoneAwayOrder" sheetId="6" r:id="rId8"/>
    <sheet state="visible" name="GetDataAllocation" sheetId="7" r:id="rId9"/>
    <sheet state="visible" name="CheckAllocatedGroups" sheetId="8" r:id="rId10"/>
    <sheet state="visible" name="CheckPortfolioManagement" sheetId="9" r:id="rId11"/>
    <sheet state="visible" name="UpdateUDA" sheetId="10" r:id="rId12"/>
    <sheet state="visible" name="CheckPortfolioManagement1" sheetId="11" r:id="rId13"/>
    <sheet state="visible" name="Unallocate" sheetId="12" r:id="rId14"/>
    <sheet state="visible" name="DeleteGroup" sheetId="13" r:id="rId15"/>
    <sheet state="visible" name="CheckPortfolioManagement2" sheetId="14" r:id="rId16"/>
    <sheet state="visible" name="GetDataSymbolLookup" sheetId="15" r:id="rId17"/>
  </sheets>
  <definedNames/>
  <calcPr/>
</workbook>
</file>

<file path=xl/sharedStrings.xml><?xml version="1.0" encoding="utf-8"?>
<sst xmlns="http://schemas.openxmlformats.org/spreadsheetml/2006/main" count="241" uniqueCount="68">
  <si>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</si>
  <si>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</si>
  <si>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</si>
  <si>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</si>
  <si>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</si>
  <si>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</si>
  <si>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</si>
  <si>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</si>
  <si>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</si>
  <si>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</si>
  <si>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</si>
  <si>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</si>
  <si>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SymbolLookup</t>
  </si>
  <si>
    <t>AddSymbol</t>
  </si>
  <si>
    <t>Data Format</t>
  </si>
  <si>
    <t>Input Format</t>
  </si>
  <si>
    <t>CMEE-Future</t>
  </si>
  <si>
    <t>ES Z9</t>
  </si>
  <si>
    <t>ES</t>
  </si>
  <si>
    <t>E-MINI S&amp;P 500</t>
  </si>
  <si>
    <t>Undefined</t>
  </si>
  <si>
    <t>TradeSymbolFromSM</t>
  </si>
  <si>
    <t>unique</t>
  </si>
  <si>
    <t>Future</t>
  </si>
  <si>
    <t>US</t>
  </si>
  <si>
    <t>CMEE</t>
  </si>
  <si>
    <t>USD</t>
  </si>
  <si>
    <t>NONE</t>
  </si>
  <si>
    <t>Treasury</t>
  </si>
  <si>
    <t>Actual_365</t>
  </si>
  <si>
    <t>Monthly</t>
  </si>
  <si>
    <t>TradingTicket</t>
  </si>
  <si>
    <t>CreateDoneAwayOrder</t>
  </si>
  <si>
    <t>Allocation</t>
  </si>
  <si>
    <t>GetDataAllocation</t>
  </si>
  <si>
    <t>Current</t>
  </si>
  <si>
    <t>CheckAllocatedGroups</t>
  </si>
  <si>
    <t>Allocation1</t>
  </si>
  <si>
    <t>Manual</t>
  </si>
  <si>
    <t>MS</t>
  </si>
  <si>
    <t>Open</t>
  </si>
  <si>
    <t>BrokerNotes</t>
  </si>
  <si>
    <t>M</t>
  </si>
  <si>
    <t>None</t>
  </si>
  <si>
    <t>DefaultNotes</t>
  </si>
  <si>
    <t>Market</t>
  </si>
  <si>
    <t>InternalOrder</t>
  </si>
  <si>
    <t>Buy</t>
  </si>
  <si>
    <t>Strategy Unallocated</t>
  </si>
  <si>
    <t>GCCAP1</t>
  </si>
  <si>
    <t>jpearce</t>
  </si>
  <si>
    <t>NASDAQ</t>
  </si>
  <si>
    <t>PortfolioManagement</t>
  </si>
  <si>
    <t>CheckPortfolioManagement</t>
  </si>
  <si>
    <t>NewMF</t>
  </si>
  <si>
    <t>Long</t>
  </si>
  <si>
    <t>FIMAT</t>
  </si>
  <si>
    <t>Preferencial</t>
  </si>
  <si>
    <t>Silver</t>
  </si>
  <si>
    <t>Default</t>
  </si>
  <si>
    <t>ENERGYSOLUTIONS</t>
  </si>
  <si>
    <t>UpdateUDA</t>
  </si>
  <si>
    <t>Small Cap</t>
  </si>
  <si>
    <t>Software</t>
  </si>
  <si>
    <t>Unallocate</t>
  </si>
  <si>
    <t>DeleteGroup</t>
  </si>
  <si>
    <t>GetDataSymbolLookup</t>
  </si>
  <si>
    <t>Exact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</si>
</sst>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 h:mm:ss am/pm"/>
    <numFmt numFmtId="166" formatCode="m/d/yyyy h:mm"/>
    <numFmt numFmtId="167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000000"/>
      <name val="&quot;Segoe UI&quot;"/>
    </font>
    <font>
      <sz val="9.0"/>
      <color rgb="FF000000"/>
      <name val="Verdana"/>
    </font>
    <font>
      <u/>
      <color rgb="FFD9D9D9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readingOrder="0"/>
    </xf>
    <xf borderId="0" fillId="0" fontId="5" numFmtId="164" xfId="0" applyAlignment="1" applyFont="1" applyNumberFormat="1">
      <alignment readingOrder="0" shrinkToFit="0" wrapText="0"/>
    </xf>
    <xf borderId="0" fillId="0" fontId="5" numFmtId="164" xfId="0" applyAlignment="1" applyFont="1" applyNumberFormat="1">
      <alignment shrinkToFit="0" wrapText="0"/>
    </xf>
    <xf borderId="0" fillId="7" fontId="14" numFmtId="0" xfId="0" applyAlignment="1" applyFill="1" applyFont="1">
      <alignment horizontal="right" readingOrder="0" shrinkToFit="0" wrapText="0"/>
    </xf>
    <xf borderId="0" fillId="7" fontId="15" numFmtId="0" xfId="0" applyAlignment="1" applyFont="1">
      <alignment horizontal="right" readingOrder="0" shrinkToFit="0" wrapText="0"/>
    </xf>
    <xf borderId="0" fillId="7" fontId="14" numFmtId="0" xfId="0" applyAlignment="1" applyFont="1">
      <alignment horizontal="right" shrinkToFit="0" wrapText="0"/>
    </xf>
    <xf borderId="0" fillId="7" fontId="14" numFmtId="165" xfId="0" applyAlignment="1" applyFont="1" applyNumberFormat="1">
      <alignment horizontal="right" readingOrder="0" shrinkToFit="0" wrapText="0"/>
    </xf>
    <xf borderId="0" fillId="7" fontId="14" numFmtId="166" xfId="0" applyAlignment="1" applyFont="1" applyNumberFormat="1">
      <alignment horizontal="right" readingOrder="0" shrinkToFit="0" wrapText="0"/>
    </xf>
    <xf borderId="0" fillId="4" fontId="16" numFmtId="0" xfId="0" applyFont="1"/>
    <xf borderId="0" fillId="0" fontId="5" numFmtId="0" xfId="0" applyAlignment="1" applyFont="1">
      <alignment readingOrder="0" shrinkToFit="0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165" xfId="0" applyAlignment="1" applyFont="1" applyNumberFormat="1">
      <alignment readingOrder="0" shrinkToFit="0" vertical="bottom" wrapText="0"/>
    </xf>
    <xf borderId="0" fillId="0" fontId="17" numFmtId="166" xfId="0" applyAlignment="1" applyFont="1" applyNumberFormat="1">
      <alignment horizontal="right"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vertical="bottom"/>
    </xf>
    <xf borderId="5" fillId="0" fontId="17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17" numFmtId="0" xfId="0" applyAlignment="1" applyFont="1">
      <alignment vertical="bottom"/>
    </xf>
    <xf borderId="0" fillId="0" fontId="3" numFmtId="165" xfId="0" applyAlignment="1" applyFont="1" applyNumberFormat="1">
      <alignment vertical="bottom"/>
    </xf>
    <xf borderId="0" fillId="0" fontId="17" numFmtId="0" xfId="0" applyAlignment="1" applyFont="1">
      <alignment horizontal="center" vertical="bottom"/>
    </xf>
    <xf borderId="0" fillId="0" fontId="17" numFmtId="4" xfId="0" applyAlignment="1" applyFont="1" applyNumberFormat="1">
      <alignment horizontal="right" vertical="bottom"/>
    </xf>
    <xf borderId="0" fillId="0" fontId="3" numFmtId="166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17" numFmtId="3" xfId="0" applyAlignment="1" applyFont="1" applyNumberFormat="1">
      <alignment horizontal="right" readingOrder="0" shrinkToFit="0" vertical="bottom" wrapText="0"/>
    </xf>
    <xf borderId="0" fillId="0" fontId="17" numFmtId="167" xfId="0" applyAlignment="1" applyFont="1" applyNumberFormat="1">
      <alignment horizontal="right" readingOrder="0" shrinkToFit="0" vertical="bottom" wrapText="0"/>
    </xf>
    <xf borderId="5" fillId="0" fontId="3" numFmtId="166" xfId="0" applyAlignment="1" applyBorder="1" applyFont="1" applyNumberFormat="1">
      <alignment vertical="bottom"/>
    </xf>
    <xf borderId="5" fillId="0" fontId="17" numFmtId="0" xfId="0" applyAlignment="1" applyBorder="1" applyFont="1">
      <alignment horizontal="right" vertical="bottom"/>
    </xf>
    <xf borderId="5" fillId="0" fontId="17" numFmtId="3" xfId="0" applyAlignment="1" applyBorder="1" applyFont="1" applyNumberFormat="1">
      <alignment horizontal="right" vertical="bottom"/>
    </xf>
    <xf borderId="0" fillId="0" fontId="17" numFmtId="0" xfId="0" applyAlignment="1" applyFont="1">
      <alignment horizontal="right" vertical="bottom"/>
    </xf>
    <xf borderId="0" fillId="0" fontId="17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IFERROR(__xludf.DUMMYFUNCTION("""COMPUTED_VALUE"""),"CreateNewSubLiveOrder")</f>
        <v>CreateNewSubLiveOrder</v>
      </c>
      <c r="C558" t="str">
        <f>IFERROR(__xludf.DUMMYFUNCTION("""COMPUTED_VALUE"""),"12zWky2LmOXrqIXPltYfxypKjuQf3ZHGv1mz-xQGxKTQ")</f>
        <v>12zWky2LmOXrqIXPltYfxypKjuQf3ZHGv1mz-xQGxKTQ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IFERROR(__xludf.DUMMYFUNCTION("""COMPUTED_VALUE"""),"ViewPTTAllocationDetails")</f>
        <v>ViewPTTAllocationDetails</v>
      </c>
      <c r="C559" t="str">
        <f>IFERROR(__xludf.DUMMYFUNCTION("""COMPUTED_VALUE"""),"1KoA0Wc5hAar-q0SNiFxHZv5O7_6Ub43E0Baobavff04")</f>
        <v>1KoA0Wc5hAar-q0SNiFxHZv5O7_6Ub43E0Baobavff04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IFERROR(__xludf.DUMMYFUNCTION("""COMPUTED_VALUE"""),"RestartSQL")</f>
        <v>RestartSQL</v>
      </c>
      <c r="C560" t="str">
        <f>IFERROR(__xludf.DUMMYFUNCTION("""COMPUTED_VALUE"""),"1vVUSxh3aheqbZRQq-3oJhAe8OKjNysk1JPVf_W8f5l0")</f>
        <v>1vVUSxh3aheqbZRQq-3oJhAe8OKjNysk1JPVf_W8f5l0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IFERROR(__xludf.DUMMYFUNCTION("""COMPUTED_VALUE"""),"TradeAuditCleanUp")</f>
        <v>TradeAuditCleanUp</v>
      </c>
      <c r="C561" t="str">
        <f>IFERROR(__xludf.DUMMYFUNCTION("""COMPUTED_VALUE"""),"1X5YzKAgrVFRed11iGwwlj-Wh1wAD0gvmGSkTbMQqBao")</f>
        <v>1X5YzKAgrVFRed11iGwwlj-Wh1wAD0gvmGSkTbMQqBao</v>
      </c>
    </row>
    <row r="562" ht="15.75" customHeight="1">
      <c r="A562" t="str">
        <f>IFERROR(__xludf.DUMMYFUNCTION("""COMPUTED_VALUE"""),"Import")</f>
        <v>Import</v>
      </c>
      <c r="B562" t="str">
        <f>IFERROR(__xludf.DUMMYFUNCTION("""COMPUTED_VALUE"""),"SelectTradeOnImport")</f>
        <v>SelectTradeOnImport</v>
      </c>
      <c r="C562" t="str">
        <f>IFERROR(__xludf.DUMMYFUNCTION("""COMPUTED_VALUE"""),"10cAOM3qnGaWW44q9z21WEIOpJdPIAth5hr8jecUfG6A")</f>
        <v>10cAOM3qnGaWW44q9z21WEIOpJdPIAth5hr8jecUfG6A</v>
      </c>
    </row>
    <row r="563" ht="15.75" customHeight="1">
      <c r="A563" t="str">
        <f>IFERROR(__xludf.DUMMYFUNCTION("""COMPUTED_VALUE"""),"Allocation")</f>
        <v>Allocation</v>
      </c>
      <c r="B563" t="str">
        <f>IFERROR(__xludf.DUMMYFUNCTION("""COMPUTED_VALUE"""),"SelectAllRowsAllocated")</f>
        <v>SelectAllRowsAllocated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IFERROR(__xludf.DUMMYFUNCTION("""COMPUTED_VALUE"""),"FilterLongPositionGrid")</f>
        <v>FilterLongPositionGrid</v>
      </c>
      <c r="C564" t="str">
        <f>IFERROR(__xludf.DUMMYFUNCTION("""COMPUTED_VALUE"""),"11V4DM1OMXH_V53PIsUZCW0QthHjB-hG0fn99Yo8Ry2c")</f>
        <v>11V4DM1OMXH_V53PIsUZCW0QthHjB-hG0fn99Yo8Ry2c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IFERROR(__xludf.DUMMYFUNCTION("""COMPUTED_VALUE"""),"FilterShortPositionGrid")</f>
        <v>FilterShortPositionGrid</v>
      </c>
      <c r="C565" t="str">
        <f>IFERROR(__xludf.DUMMYFUNCTION("""COMPUTED_VALUE"""),"1PD9u3XtwrJXt2fU5ghvPjJ7SpxcIKIIWrKF4YF7wZdo")</f>
        <v>1PD9u3XtwrJXt2fU5ghvPjJ7SpxcIKIIWrKF4YF7wZdo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IFERROR(__xludf.DUMMYFUNCTION("""COMPUTED_VALUE"""),"FilterClosingGrid")</f>
        <v>FilterClosingGrid</v>
      </c>
      <c r="C566" t="str">
        <f>IFERROR(__xludf.DUMMYFUNCTION("""COMPUTED_VALUE"""),"1zS4ALOAI4Qv9-imwrJ3P0juiFH5-Vvf_4yLE3c_77ww")</f>
        <v>1zS4ALOAI4Qv9-imwrJ3P0juiFH5-Vvf_4yLE3c_77ww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IFERROR(__xludf.DUMMYFUNCTION("""COMPUTED_VALUE"""),"FilterUnexpiredGrid")</f>
        <v>FilterUnexpiredGrid</v>
      </c>
      <c r="C567" t="str">
        <f>IFERROR(__xludf.DUMMYFUNCTION("""COMPUTED_VALUE"""),"1cf7V2VglYQWMxr9jI82Z1YFUP_Ufd3RrESoDhAX5nFQ")</f>
        <v>1cf7V2VglYQWMxr9jI82Z1YFUP_Ufd3RrESoDhAX5nFQ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IFERROR(__xludf.DUMMYFUNCTION("""COMPUTED_VALUE"""),"FilterExpiredGrid")</f>
        <v>FilterExpiredGrid</v>
      </c>
      <c r="C568" t="str">
        <f>IFERROR(__xludf.DUMMYFUNCTION("""COMPUTED_VALUE"""),"1pw8K3dcvVISd7jxODSx2U2PTzTKu53dxX_05mlkByK4")</f>
        <v>1pw8K3dcvVISd7jxODSx2U2PTzTKu53dxX_05mlkByK4</v>
      </c>
    </row>
    <row r="569" ht="15.75" customHeight="1">
      <c r="A569" t="str">
        <f>IFERROR(__xludf.DUMMYFUNCTION("""COMPUTED_VALUE"""),"GeneralLedger")</f>
        <v>GeneralLedger</v>
      </c>
      <c r="B569" t="str">
        <f>IFERROR(__xludf.DUMMYFUNCTION("""COMPUTED_VALUE"""),"FilterCashTransactionGrid")</f>
        <v>FilterCashTransactionGrid</v>
      </c>
      <c r="C569" t="str">
        <f>IFERROR(__xludf.DUMMYFUNCTION("""COMPUTED_VALUE"""),"1PqRBZQJtY5Oa2Uxs4vSRclsIlxPwyMvlrr2UUTSIb3Y")</f>
        <v>1PqRBZQJtY5Oa2Uxs4vSRclsIlxPwyMvlrr2UUTSIb3Y</v>
      </c>
    </row>
    <row r="570" ht="15.75" customHeight="1">
      <c r="A570" t="str">
        <f>IFERROR(__xludf.DUMMYFUNCTION("""COMPUTED_VALUE"""),"Recon")</f>
        <v>Recon</v>
      </c>
      <c r="B570" t="str">
        <f>IFERROR(__xludf.DUMMYFUNCTION("""COMPUTED_VALUE"""),"VerifyApplicationData")</f>
        <v>VerifyApplicationData</v>
      </c>
      <c r="C570" t="str">
        <f>IFERROR(__xludf.DUMMYFUNCTION("""COMPUTED_VALUE"""),"1gMSDalyxsP_enjWpKNvUKpnf9DVP87AgNzPibA-eyb0")</f>
        <v>1gMSDalyxsP_enjWpKNvUKpnf9DVP87AgNzPibA-eyb0</v>
      </c>
    </row>
    <row r="571" ht="15.75" customHeight="1">
      <c r="A571" t="str">
        <f>IFERROR(__xludf.DUMMYFUNCTION("""COMPUTED_VALUE"""),"GeneralLedger")</f>
        <v>GeneralLedger</v>
      </c>
      <c r="B571" t="str">
        <f>IFERROR(__xludf.DUMMYFUNCTION("""COMPUTED_VALUE"""),"EditGridCashTransactions")</f>
        <v>EditGridCashTransactions</v>
      </c>
      <c r="C571" t="str">
        <f>IFERROR(__xludf.DUMMYFUNCTION("""COMPUTED_VALUE"""),"1A9WP5K6T6_O4S-M78Jx1SEqevonRbthbPCskWXVzxtk")</f>
        <v>1A9WP5K6T6_O4S-M78Jx1SEqevonRbthbPCskWXVzxtk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IFERROR(__xludf.DUMMYFUNCTION("""COMPUTED_VALUE"""),"UnwindAllClosingData")</f>
        <v>UnwindAllClosingData</v>
      </c>
      <c r="C572" t="str">
        <f>IFERROR(__xludf.DUMMYFUNCTION("""COMPUTED_VALUE"""),"1W0sVWSXhitgjuC6P5w0kTp7TvFL-kAol4gyIX8lhd5w")</f>
        <v>1W0sVWSXhitgjuC6P5w0kTp7TvFL-kAol4gyIX8lhd5w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IFERROR(__xludf.DUMMYFUNCTION("""COMPUTED_VALUE"""),"SaveCashTransaction")</f>
        <v>SaveCashTransaction</v>
      </c>
      <c r="C573" t="str">
        <f>IFERROR(__xludf.DUMMYFUNCTION("""COMPUTED_VALUE"""),"1FAh4CFdlozjSlNDU3BUeaQu_1zckRBcWM8KQooONyxs")</f>
        <v>1FAh4CFdlozjSlNDU3BUeaQu_1zckRBcWM8KQooONyxs</v>
      </c>
    </row>
    <row r="574" ht="15.75" customHeight="1">
      <c r="A574" t="str">
        <f>IFERROR(__xludf.DUMMYFUNCTION("""COMPUTED_VALUE"""),"ThirdParty")</f>
        <v>ThirdParty</v>
      </c>
      <c r="B574" t="str">
        <f>IFERROR(__xludf.DUMMYFUNCTION("""COMPUTED_VALUE"""),"ChangeThirdpartyDate")</f>
        <v>ChangeThirdpartyDate</v>
      </c>
      <c r="C574" t="str">
        <f>IFERROR(__xludf.DUMMYFUNCTION("""COMPUTED_VALUE"""),"1F219wmX8xrFPgma8cjoUCm7q9nq-W9yFK7PTO5OggJw")</f>
        <v>1F219wmX8xrFPgma8cjoUCm7q9nq-W9yFK7PTO5OggJw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IFERROR(__xludf.DUMMYFUNCTION("""COMPUTED_VALUE"""),"RunManualRevaluation")</f>
        <v>RunManualRevaluation</v>
      </c>
      <c r="C575" t="str">
        <f>IFERROR(__xludf.DUMMYFUNCTION("""COMPUTED_VALUE"""),"1D5Y3RzzSSQaYL3n3QrXxry0SwVaG4gnMSCxFKtFszpQ")</f>
        <v>1D5Y3RzzSSQaYL3n3QrXxry0SwVaG4gnMSCxFKtFszpQ</v>
      </c>
    </row>
    <row r="576" ht="15.75" customHeight="1">
      <c r="A576" t="str">
        <f>IFERROR(__xludf.DUMMYFUNCTION("""COMPUTED_VALUE"""),"SymbolLookup")</f>
        <v>SymbolLookup</v>
      </c>
      <c r="B576" t="str">
        <f>IFERROR(__xludf.DUMMYFUNCTION("""COMPUTED_VALUE"""),"AddSymbol")</f>
        <v>AddSymbol</v>
      </c>
      <c r="C576" t="str">
        <f>IFERROR(__xludf.DUMMYFUNCTION("""COMPUTED_VALUE"""),"10HWI9Cc8RvROS5VcoYWQCiNm-ZMIi9mZRyugdSdwfao")</f>
        <v>10HWI9Cc8RvROS5VcoYWQCiNm-ZMIi9mZRyugdSdwfao</v>
      </c>
    </row>
    <row r="577" ht="15.75" customHeight="1">
      <c r="A577" t="str">
        <f>IFERROR(__xludf.DUMMYFUNCTION("""COMPUTED_VALUE"""),"Admin")</f>
        <v>Admin</v>
      </c>
      <c r="B577" t="str">
        <f>IFERROR(__xludf.DUMMYFUNCTION("""COMPUTED_VALUE"""),"DeleteSymbolFromSM")</f>
        <v>DeleteSymbolFromSM</v>
      </c>
      <c r="C577" t="str">
        <f>IFERROR(__xludf.DUMMYFUNCTION("""COMPUTED_VALUE"""),"16YNILloso-DtMjrvuLs9jjsIzEmPQxnFXrCt8yvHUNE")</f>
        <v>16YNILloso-DtMjrvuLs9jjsIzEmPQxnFXrCt8yvHUNE</v>
      </c>
    </row>
    <row r="578" ht="15.75" customHeight="1">
      <c r="A578" t="str">
        <f>IFERROR(__xludf.DUMMYFUNCTION("""COMPUTED_VALUE"""),"Watchlist")</f>
        <v>Watchlist</v>
      </c>
      <c r="B578" t="str">
        <f>IFERROR(__xludf.DUMMYFUNCTION("""COMPUTED_VALUE"""),"AddSymbolToWatchlist")</f>
        <v>AddSymbolToWatchlist</v>
      </c>
      <c r="C578" t="str">
        <f>IFERROR(__xludf.DUMMYFUNCTION("""COMPUTED_VALUE"""),"1uQiuSREeRIwO_nEU84cMzm9OFSYVLHU2rgcEaefXb2k")</f>
        <v>1uQiuSREeRIwO_nEU84cMzm9OFSYVLHU2rgcEaefXb2k</v>
      </c>
    </row>
    <row r="579" ht="15.75" customHeight="1">
      <c r="A579" t="str">
        <f>IFERROR(__xludf.DUMMYFUNCTION("""COMPUTED_VALUE"""),"Watchlist")</f>
        <v>Watchlist</v>
      </c>
      <c r="B579" t="str">
        <f>IFERROR(__xludf.DUMMYFUNCTION("""COMPUTED_VALUE"""),"TradeFromWatchlist")</f>
        <v>TradeFromWatchlist</v>
      </c>
      <c r="C579" t="str">
        <f>IFERROR(__xludf.DUMMYFUNCTION("""COMPUTED_VALUE"""),"1FKL2NTRmBSyITx5pyk6zHOKymU28NwrQwSuVbW4gNRg")</f>
        <v>1FKL2NTRmBSyITx5pyk6zHOKymU28NwrQwSuVbW4gNRg</v>
      </c>
    </row>
    <row r="580" ht="15.75" customHeight="1">
      <c r="A580" t="str">
        <f>IFERROR(__xludf.DUMMYFUNCTION("""COMPUTED_VALUE"""),"Watchlist")</f>
        <v>Watchlist</v>
      </c>
      <c r="B580" t="str">
        <f>IFERROR(__xludf.DUMMYFUNCTION("""COMPUTED_VALUE"""),"MultiTradeFromWatchlist")</f>
        <v>MultiTradeFromWatchlist</v>
      </c>
      <c r="C580" t="str">
        <f>IFERROR(__xludf.DUMMYFUNCTION("""COMPUTED_VALUE"""),"1nyCMJS4IH1BLXnFOr_FNoPH4XmaOIGdVjSJuJpNi2c8")</f>
        <v>1nyCMJS4IH1BLXnFOr_FNoPH4XmaOIGdVjSJuJpNi2c8</v>
      </c>
    </row>
    <row r="581" ht="15.75" customHeight="1">
      <c r="A581" t="str">
        <f>IFERROR(__xludf.DUMMYFUNCTION("""COMPUTED_VALUE"""),"Watchlist")</f>
        <v>Watchlist</v>
      </c>
      <c r="B581" t="str">
        <f>IFERROR(__xludf.DUMMYFUNCTION("""COMPUTED_VALUE"""),"DeleteSymbolFromWatchlist")</f>
        <v>DeleteSymbolFromWatchlist</v>
      </c>
      <c r="C581" t="str">
        <f>IFERROR(__xludf.DUMMYFUNCTION("""COMPUTED_VALUE"""),"1byaZalr_XhOG3LaxY-Riu8lHwQSFb098xHll__tkAtA")</f>
        <v>1byaZalr_XhOG3LaxY-Riu8lHwQSFb098xHll__tkAtA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IFERROR(__xludf.DUMMYFUNCTION("""COMPUTED_VALUE"""),"VerifySymbolsOnWatchlist")</f>
        <v>VerifySymbolsOnWatchlist</v>
      </c>
      <c r="C582" t="str">
        <f>IFERROR(__xludf.DUMMYFUNCTION("""COMPUTED_VALUE"""),"15PdvqcWBSttYjbzGBns1O_5cUV2nEVZ4r1YEe7ucwPs")</f>
        <v>15PdvqcWBSttYjbzGBns1O_5cUV2nEVZ4r1YEe7ucwPs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IFERROR(__xludf.DUMMYFUNCTION("""COMPUTED_VALUE"""),"VerifyAppMatchedData")</f>
        <v>VerifyAppMatchedData</v>
      </c>
      <c r="C583" t="str">
        <f>IFERROR(__xludf.DUMMYFUNCTION("""COMPUTED_VALUE"""),"197cwp2DCQ4L0B-G5b7CZAwGsgFZuiUTyD_BSwtc9wHA")</f>
        <v>197cwp2DCQ4L0B-G5b7CZAwGsgFZuiUTyD_BSwtc9wHA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IFERROR(__xludf.DUMMYFUNCTION("""COMPUTED_VALUE"""),"VerifyAppUnmatchedData")</f>
        <v>VerifyAppUnmatchedData</v>
      </c>
      <c r="C584" t="str">
        <f>IFERROR(__xludf.DUMMYFUNCTION("""COMPUTED_VALUE"""),"18fTZZkhP8PVk2zb3669RCgVH7l1lj74KOPGo3kRsFwA")</f>
        <v>18fTZZkhP8PVk2zb3669RCgVH7l1lj74KOPGo3kRsFwA</v>
      </c>
    </row>
    <row r="585" ht="15.75" customHeight="1">
      <c r="A585" t="str">
        <f>IFERROR(__xludf.DUMMYFUNCTION("""COMPUTED_VALUE"""),"Recon")</f>
        <v>Recon</v>
      </c>
      <c r="B585" t="str">
        <f>IFERROR(__xludf.DUMMYFUNCTION("""COMPUTED_VALUE"""),"VerifyPBMatchedData")</f>
        <v>VerifyPBMatchedData</v>
      </c>
      <c r="C585" t="str">
        <f>IFERROR(__xludf.DUMMYFUNCTION("""COMPUTED_VALUE"""),"1kM_UfqpK0PaHEHY4-JNdVXj1fPgIjBfWABlDaWsTh6o")</f>
        <v>1kM_UfqpK0PaHEHY4-JNdVXj1fPgIjBfWABlDaWsTh6o</v>
      </c>
    </row>
    <row r="586" ht="15.75" customHeight="1">
      <c r="A586" t="str">
        <f>IFERROR(__xludf.DUMMYFUNCTION("""COMPUTED_VALUE"""),"Recon")</f>
        <v>Recon</v>
      </c>
      <c r="B586" t="str">
        <f>IFERROR(__xludf.DUMMYFUNCTION("""COMPUTED_VALUE"""),"VerifyPBUnmatchedData")</f>
        <v>VerifyPBUnmatchedData</v>
      </c>
      <c r="C586" t="str">
        <f>IFERROR(__xludf.DUMMYFUNCTION("""COMPUTED_VALUE"""),"1kTWoOsrKD_0f_MBstD0yl6ly3CmvswKmK8GYKJUaSJY")</f>
        <v>1kTWoOsrKD_0f_MBstD0yl6ly3CmvswKmK8GYKJUaSJY</v>
      </c>
    </row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 t="str">
        <f>IFERROR(__xludf.DUMMYFUNCTION("""COMPUTED_VALUE"""),"TradeSymbolFromSM")</f>
        <v>TradeSymbolFromSM</v>
      </c>
      <c r="J4" s="25" t="str">
        <f>IFERROR(__xludf.DUMMYFUNCTION("""COMPUTED_VALUE"""),"AddSymbol")</f>
        <v>AddSymbol</v>
      </c>
      <c r="K4" s="25" t="str">
        <f>IFERROR(__xludf.DUMMYFUNCTION("""COMPUTED_VALUE"""),"DeleteSymbolFromSM")</f>
        <v>DeleteSymbolFromSM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IFERROR(__xludf.DUMMYFUNCTION("""COMPUTED_VALUE"""),"ExchangeIdentifier")</f>
        <v>ExchangeIdentifier</v>
      </c>
      <c r="C5" s="28" t="str">
        <f>IFERROR(__xludf.DUMMYFUNCTION("""COMPUTED_VALUE"""),"Symbol")</f>
        <v>Symbol</v>
      </c>
      <c r="D5" s="28" t="str">
        <f>IFERROR(__xludf.DUMMYFUNCTION("""COMPUTED_VALUE"""),"Currency")</f>
        <v>Currency</v>
      </c>
      <c r="E5" s="28" t="str">
        <f>IFERROR(__xludf.DUMMYFUNCTION("""COMPUTED_VALUE"""),"Multiplier")</f>
        <v>Multiplier</v>
      </c>
      <c r="F5" s="29" t="str">
        <f>IFERROR(__xludf.DUMMYFUNCTION("""COMPUTED_VALUE"""),"UnderLyingName")</f>
        <v>UnderLyingName</v>
      </c>
      <c r="G5" s="28" t="str">
        <f>IFERROR(__xludf.DUMMYFUNCTION("""COMPUTED_VALUE"""),"Bloomberg Symbol")</f>
        <v>Bloomberg Symbol</v>
      </c>
      <c r="H5" s="28" t="str">
        <f>IFERROR(__xludf.DUMMYFUNCTION("""COMPUTED_VALUE"""),"Description")</f>
        <v>Description</v>
      </c>
      <c r="I5" s="28" t="str">
        <f>IFERROR(__xludf.DUMMYFUNCTION("""COMPUTED_VALUE"""),"Expiration Date")</f>
        <v>Expiration Date</v>
      </c>
      <c r="J5" s="28" t="str">
        <f>IFERROR(__xludf.DUMMYFUNCTION("""COMPUTED_VALUE"""),"Put/Call")</f>
        <v>Put/Call</v>
      </c>
      <c r="K5" s="28" t="str">
        <f>IFERROR(__xludf.DUMMYFUNCTION("""COMPUTED_VALUE"""),"Strike Price")</f>
        <v>Strike Price</v>
      </c>
      <c r="L5" s="28" t="str">
        <f>IFERROR(__xludf.DUMMYFUNCTION("""COMPUTED_VALUE"""),"Issue Date")</f>
        <v>Issue Date</v>
      </c>
      <c r="M5" s="28" t="str">
        <f>IFERROR(__xludf.DUMMYFUNCTION("""COMPUTED_VALUE"""),"Accrual Basis")</f>
        <v>Accrual Basis</v>
      </c>
      <c r="N5" s="28" t="str">
        <f>IFERROR(__xludf.DUMMYFUNCTION("""COMPUTED_VALUE"""),"Coupon Frequency")</f>
        <v>Coupon Frequency</v>
      </c>
      <c r="O5" s="28" t="str">
        <f>IFERROR(__xludf.DUMMYFUNCTION("""COMPUTED_VALUE"""),"Coupon")</f>
        <v>Coupon</v>
      </c>
      <c r="P5" s="28" t="str">
        <f>IFERROR(__xludf.DUMMYFUNCTION("""COMPUTED_VALUE"""),"Bond Type")</f>
        <v>Bond Type</v>
      </c>
      <c r="Q5" s="28" t="str">
        <f>IFERROR(__xludf.DUMMYFUNCTION("""COMPUTED_VALUE"""),"First Coupan Date")</f>
        <v>First Coupan Date</v>
      </c>
      <c r="R5" s="28" t="str">
        <f>IFERROR(__xludf.DUMMYFUNCTION("""COMPUTED_VALUE"""),"Days To Settlement")</f>
        <v>Days To Settlement</v>
      </c>
      <c r="S5" s="28" t="str">
        <f>IFERROR(__xludf.DUMMYFUNCTION("""COMPUTED_VALUE"""),"IsZero")</f>
        <v>IsZero</v>
      </c>
      <c r="T5" s="30" t="str">
        <f>IFERROR(__xludf.DUMMYFUNCTION("""COMPUTED_VALUE"""),"Collateral Type")</f>
        <v>Collateral Type</v>
      </c>
      <c r="U5" s="30" t="str">
        <f>IFERROR(__xludf.DUMMYFUNCTION("""COMPUTED_VALUE"""),"RoundLots")</f>
        <v>RoundLots</v>
      </c>
      <c r="V5" s="30" t="str">
        <f>IFERROR(__xludf.DUMMYFUNCTION("""COMPUTED_VALUE"""),"LeveragedFactor")</f>
        <v>LeveragedFactor</v>
      </c>
      <c r="W5" s="30" t="str">
        <f>IFERROR(__xludf.DUMMYFUNCTION("""COMPUTED_VALUE"""),"Strike Price Multiplier")</f>
        <v>Strike Price Multiplier</v>
      </c>
      <c r="X5" s="30" t="str">
        <f>IFERROR(__xludf.DUMMYFUNCTION("""COMPUTED_VALUE"""),"Sedol Symbol")</f>
        <v>Sedol Symbol</v>
      </c>
      <c r="Y5" s="30" t="str">
        <f>IFERROR(__xludf.DUMMYFUNCTION("""COMPUTED_VALUE"""),"Cusip Symbol")</f>
        <v>Cusip Symbol</v>
      </c>
      <c r="Z5" s="30" t="str">
        <f>IFERROR(__xludf.DUMMYFUNCTION("""COMPUTED_VALUE"""),"ISIN Symbol")</f>
        <v>ISIN Symbol</v>
      </c>
      <c r="AA5" s="30" t="str">
        <f>IFERROR(__xludf.DUMMYFUNCTION("""COMPUTED_VALUE"""),"IDCOOption-22")</f>
        <v>IDCOOption-22</v>
      </c>
      <c r="AB5" s="30" t="str">
        <f>IFERROR(__xludf.DUMMYFUNCTION("""COMPUTED_VALUE"""),"OSIOption-21")</f>
        <v>OSIOption-21</v>
      </c>
      <c r="AC5" s="30" t="str">
        <f>IFERROR(__xludf.DUMMYFUNCTION("""COMPUTED_VALUE"""),"Comments")</f>
        <v>Comments</v>
      </c>
      <c r="AD5" s="30" t="str">
        <f>IFERROR(__xludf.DUMMYFUNCTION("""COMPUTED_VALUE"""),"Shares Outstanding")</f>
        <v>Shares Outstanding</v>
      </c>
      <c r="AE5" s="30" t="str">
        <f>IFERROR(__xludf.DUMMYFUNCTION("""COMPUTED_VALUE"""),"FactSet Symbol")</f>
        <v>FactSet Symbol</v>
      </c>
      <c r="AF5" s="30" t="str">
        <f>IFERROR(__xludf.DUMMYFUNCTION("""COMPUTED_VALUE"""),"ACTIV Symbol")</f>
        <v>ACTIV Symbol</v>
      </c>
      <c r="AG5" s="30" t="str">
        <f>IFERROR(__xludf.DUMMYFUNCTION("""COMPUTED_VALUE"""),"UDA Security Type")</f>
        <v>UDA Security Type</v>
      </c>
      <c r="AH5" s="30" t="str">
        <f>IFERROR(__xludf.DUMMYFUNCTION("""COMPUTED_VALUE"""),"UDA Country")</f>
        <v>UDA Country</v>
      </c>
      <c r="AI5" s="30" t="str">
        <f>IFERROR(__xludf.DUMMYFUNCTION("""COMPUTED_VALUE"""),"UDA Asset Class")</f>
        <v>UDA Asset Class</v>
      </c>
      <c r="AJ5" s="30" t="str">
        <f>IFERROR(__xludf.DUMMYFUNCTION("""COMPUTED_VALUE"""),"UDA Sector")</f>
        <v>UDA Sector</v>
      </c>
      <c r="AK5" s="30" t="str">
        <f>IFERROR(__xludf.DUMMYFUNCTION("""COMPUTED_VALUE"""),"UDA Sub Sector")</f>
        <v>UDA Sub Sector</v>
      </c>
      <c r="AL5" s="30" t="str">
        <f>IFERROR(__xludf.DUMMYFUNCTION("""COMPUTED_VALUE"""),"Proxy Symbol")</f>
        <v>Proxy Symbol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13">
        <v>50.0</v>
      </c>
      <c r="F6" s="13" t="s">
        <v>18</v>
      </c>
      <c r="G6" s="8"/>
      <c r="H6" s="31" t="s">
        <v>19</v>
      </c>
      <c r="I6" s="32">
        <v>40165.0</v>
      </c>
      <c r="J6" s="33"/>
      <c r="K6" s="8"/>
      <c r="L6" s="8"/>
      <c r="M6" s="8"/>
      <c r="AH6" s="13" t="s">
        <v>20</v>
      </c>
      <c r="AI6" s="13"/>
      <c r="AJ6" s="13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 t="str">
        <f>IFERROR(__xludf.DUMMYFUNCTION("""COMPUTED_VALUE"""),"TradeSymbolFromSM")</f>
        <v>TradeSymbolFromSM</v>
      </c>
      <c r="J4" s="25" t="str">
        <f>IFERROR(__xludf.DUMMYFUNCTION("""COMPUTED_VALUE"""),"AddSymbol")</f>
        <v>AddSymbol</v>
      </c>
      <c r="K4" s="25" t="str">
        <f>IFERROR(__xludf.DUMMYFUNCTION("""COMPUTED_VALUE"""),"DeleteSymbolFromSM")</f>
        <v>DeleteSymbolFromSM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IFERROR(__xludf.DUMMYFUNCTION("""COMPUTED_VALUE"""),"Analyst")</f>
        <v>Analyst</v>
      </c>
      <c r="C5" s="28" t="str">
        <f>IFERROR(__xludf.DUMMYFUNCTION("""COMPUTED_VALUE"""),"Asset Class")</f>
        <v>Asset Class</v>
      </c>
      <c r="D5" s="28" t="str">
        <f>IFERROR(__xludf.DUMMYFUNCTION("""COMPUTED_VALUE"""),"Underlying")</f>
        <v>Underlying</v>
      </c>
      <c r="E5" s="28" t="str">
        <f>IFERROR(__xludf.DUMMYFUNCTION("""COMPUTED_VALUE"""),"Exchange")</f>
        <v>Exchange</v>
      </c>
      <c r="F5" s="29" t="str">
        <f>IFERROR(__xludf.DUMMYFUNCTION("""COMPUTED_VALUE"""),"Currency")</f>
        <v>Currency</v>
      </c>
      <c r="G5" s="28" t="str">
        <f>IFERROR(__xludf.DUMMYFUNCTION("""COMPUTED_VALUE"""),"Ticker")</f>
        <v>Ticker</v>
      </c>
      <c r="H5" s="28" t="str">
        <f>IFERROR(__xludf.DUMMYFUNCTION("""COMPUTED_VALUE"""),"Description")</f>
        <v>Description</v>
      </c>
      <c r="I5" s="28" t="str">
        <f>IFERROR(__xludf.DUMMYFUNCTION("""COMPUTED_VALUE"""),"Proxy Symbol")</f>
        <v>Proxy Symbol</v>
      </c>
      <c r="J5" s="28" t="str">
        <f>IFERROR(__xludf.DUMMYFUNCTION("""COMPUTED_VALUE"""),"RIC")</f>
        <v>RIC</v>
      </c>
      <c r="K5" s="28" t="str">
        <f>IFERROR(__xludf.DUMMYFUNCTION("""COMPUTED_VALUE"""),"BB Code")</f>
        <v>BB Code</v>
      </c>
      <c r="L5" s="28" t="str">
        <f>IFERROR(__xludf.DUMMYFUNCTION("""COMPUTED_VALUE"""),"CUSIP")</f>
        <v>CUSIP</v>
      </c>
      <c r="M5" s="28" t="str">
        <f>IFERROR(__xludf.DUMMYFUNCTION("""COMPUTED_VALUE"""),"ISIN")</f>
        <v>ISIN</v>
      </c>
      <c r="N5" s="28" t="str">
        <f>IFERROR(__xludf.DUMMYFUNCTION("""COMPUTED_VALUE"""),"SEDOL")</f>
        <v>SEDOL</v>
      </c>
      <c r="O5" s="28" t="str">
        <f>IFERROR(__xludf.DUMMYFUNCTION("""COMPUTED_VALUE"""),"OSI-21")</f>
        <v>OSI-21</v>
      </c>
      <c r="P5" s="28" t="str">
        <f>IFERROR(__xludf.DUMMYFUNCTION("""COMPUTED_VALUE"""),"IDCO-22")</f>
        <v>IDCO-22</v>
      </c>
      <c r="Q5" s="28" t="str">
        <f>IFERROR(__xludf.DUMMYFUNCTION("""COMPUTED_VALUE"""),"Country Of Risk")</f>
        <v>Country Of Risk</v>
      </c>
      <c r="R5" s="28" t="str">
        <f>IFERROR(__xludf.DUMMYFUNCTION("""COMPUTED_VALUE"""),"Multiplier")</f>
        <v>Multiplier</v>
      </c>
      <c r="S5" s="28" t="str">
        <f>IFERROR(__xludf.DUMMYFUNCTION("""COMPUTED_VALUE"""),"IssueDate")</f>
        <v>IssueDate</v>
      </c>
      <c r="T5" s="30" t="str">
        <f>IFERROR(__xludf.DUMMYFUNCTION("""COMPUTED_VALUE"""),"FirstCouponDate")</f>
        <v>FirstCouponDate</v>
      </c>
      <c r="U5" s="30" t="str">
        <f>IFERROR(__xludf.DUMMYFUNCTION("""COMPUTED_VALUE"""),"Expiration Date")</f>
        <v>Expiration Date</v>
      </c>
      <c r="V5" s="30" t="str">
        <f>IFERROR(__xludf.DUMMYFUNCTION("""COMPUTED_VALUE"""),"Fixing Date")</f>
        <v>Fixing Date</v>
      </c>
      <c r="W5" s="30" t="str">
        <f>IFERROR(__xludf.DUMMYFUNCTION("""COMPUTED_VALUE"""),"Is NDF")</f>
        <v>Is NDF</v>
      </c>
      <c r="X5" s="30" t="str">
        <f>IFERROR(__xludf.DUMMYFUNCTION("""COMPUTED_VALUE"""),"Underlying Symbol")</f>
        <v>Underlying Symbol</v>
      </c>
      <c r="Y5" s="30" t="str">
        <f>IFERROR(__xludf.DUMMYFUNCTION("""COMPUTED_VALUE"""),"Put/Call")</f>
        <v>Put/Call</v>
      </c>
      <c r="Z5" s="30" t="str">
        <f>IFERROR(__xludf.DUMMYFUNCTION("""COMPUTED_VALUE"""),"Strike Price")</f>
        <v>Strike Price</v>
      </c>
      <c r="AA5" s="30" t="str">
        <f>IFERROR(__xludf.DUMMYFUNCTION("""COMPUTED_VALUE"""),"Leveraged Factor")</f>
        <v>Leveraged Factor</v>
      </c>
      <c r="AB5" s="30" t="str">
        <f>IFERROR(__xludf.DUMMYFUNCTION("""COMPUTED_VALUE"""),"Bond Type")</f>
        <v>Bond Type</v>
      </c>
      <c r="AC5" s="30" t="str">
        <f>IFERROR(__xludf.DUMMYFUNCTION("""COMPUTED_VALUE"""),"Accrual Basis")</f>
        <v>Accrual Basis</v>
      </c>
      <c r="AD5" s="30" t="str">
        <f>IFERROR(__xludf.DUMMYFUNCTION("""COMPUTED_VALUE"""),"Coupon Frequency")</f>
        <v>Coupon Frequency</v>
      </c>
      <c r="AE5" s="30" t="str">
        <f>IFERROR(__xludf.DUMMYFUNCTION("""COMPUTED_VALUE"""),"Issuer")</f>
        <v>Issuer</v>
      </c>
      <c r="AF5" s="30" t="str">
        <f>IFERROR(__xludf.DUMMYFUNCTION("""COMPUTED_VALUE"""),"Currency Future")</f>
        <v>Currency Future</v>
      </c>
      <c r="AG5" s="30" t="str">
        <f>IFERROR(__xludf.DUMMYFUNCTION("""COMPUTED_VALUE"""),"Custom UDA4")</f>
        <v>Custom UDA4</v>
      </c>
      <c r="AH5" s="30" t="str">
        <f>IFERROR(__xludf.DUMMYFUNCTION("""COMPUTED_VALUE"""),"Custom UDA5")</f>
        <v>Custom UDA5</v>
      </c>
      <c r="AI5" s="30" t="str">
        <f>IFERROR(__xludf.DUMMYFUNCTION("""COMPUTED_VALUE"""),"Custom UDA6")</f>
        <v>Custom UDA6</v>
      </c>
      <c r="AJ5" s="30" t="str">
        <f>IFERROR(__xludf.DUMMYFUNCTION("""COMPUTED_VALUE"""),"Custom UDA7")</f>
        <v>Custom UDA7</v>
      </c>
      <c r="AK5" s="30" t="str">
        <f>IFERROR(__xludf.DUMMYFUNCTION("""COMPUTED_VALUE"""),"Liquid Tag")</f>
        <v>Liquid Tag</v>
      </c>
      <c r="AL5" s="30" t="str">
        <f>IFERROR(__xludf.DUMMYFUNCTION("""COMPUTED_VALUE"""),"Region")</f>
        <v>Region</v>
      </c>
      <c r="AM5" s="30" t="str">
        <f>IFERROR(__xludf.DUMMYFUNCTION("""COMPUTED_VALUE"""),"OPRAOptionSymbol")</f>
        <v>OPRAOptionSymbol</v>
      </c>
      <c r="AN5" s="30" t="str">
        <f>IFERROR(__xludf.DUMMYFUNCTION("""COMPUTED_VALUE"""),"Risk Currency")</f>
        <v>Risk Currency</v>
      </c>
      <c r="AO5" s="30" t="str">
        <f>IFERROR(__xludf.DUMMYFUNCTION("""COMPUTED_VALUE"""),"RequestedSymbology")</f>
        <v>RequestedSymbology</v>
      </c>
      <c r="AP5" s="30" t="str">
        <f>IFERROR(__xludf.DUMMYFUNCTION("""COMPUTED_VALUE"""),"RequestedSymbol")</f>
        <v>RequestedSymbol</v>
      </c>
      <c r="AQ5" s="30" t="str">
        <f>IFERROR(__xludf.DUMMYFUNCTION("""COMPUTED_VALUE"""),"Coupon (%)")</f>
        <v>Coupon (%)</v>
      </c>
      <c r="AR5" s="30" t="str">
        <f>IFERROR(__xludf.DUMMYFUNCTION("""COMPUTED_VALUE"""),"IsZero")</f>
        <v>IsZero</v>
      </c>
      <c r="AS5" s="30" t="str">
        <f>IFERROR(__xludf.DUMMYFUNCTION("""COMPUTED_VALUE"""),"CountryCode")</f>
        <v>CountryCode</v>
      </c>
      <c r="AT5" s="30" t="str">
        <f>IFERROR(__xludf.DUMMYFUNCTION("""COMPUTED_VALUE"""),"DaysToSettlement")</f>
        <v>DaysToSettlement</v>
      </c>
      <c r="AU5" s="30" t="str">
        <f>IFERROR(__xludf.DUMMYFUNCTION("""COMPUTED_VALUE"""),"CutOffTime")</f>
        <v>CutOffTime</v>
      </c>
      <c r="AV5" s="30" t="str">
        <f>IFERROR(__xludf.DUMMYFUNCTION("""COMPUTED_VALUE"""),"Creation Date")</f>
        <v>Creation Date</v>
      </c>
      <c r="AW5" s="30" t="str">
        <f>IFERROR(__xludf.DUMMYFUNCTION("""COMPUTED_VALUE"""),"Modified Date")</f>
        <v>Modified Date</v>
      </c>
      <c r="AX5" s="30" t="str">
        <f>IFERROR(__xludf.DUMMYFUNCTION("""COMPUTED_VALUE"""),"RoundLots")</f>
        <v>RoundLots</v>
      </c>
      <c r="AY5" s="30" t="str">
        <f>IFERROR(__xludf.DUMMYFUNCTION("""COMPUTED_VALUE"""),"Sector")</f>
        <v>Sector</v>
      </c>
      <c r="AZ5" s="30" t="str">
        <f>IFERROR(__xludf.DUMMYFUNCTION("""COMPUTED_VALUE"""),"UCITS Eligible Tag")</f>
        <v>UCITS Eligible Tag</v>
      </c>
      <c r="BA5" s="30" t="str">
        <f>IFERROR(__xludf.DUMMYFUNCTION("""COMPUTED_VALUE"""),"DataSource")</f>
        <v>DataSource</v>
      </c>
      <c r="BB5" s="30" t="str">
        <f>IFERROR(__xludf.DUMMYFUNCTION("""COMPUTED_VALUE"""),"IsSecApproved")</f>
        <v>IsSecApproved</v>
      </c>
      <c r="BC5" s="30" t="str">
        <f>IFERROR(__xludf.DUMMYFUNCTION("""COMPUTED_VALUE"""),"Approval Status")</f>
        <v>Approval Status</v>
      </c>
      <c r="BD5" s="30" t="str">
        <f>IFERROR(__xludf.DUMMYFUNCTION("""COMPUTED_VALUE"""),"Last Approved By")</f>
        <v>Last Approved By</v>
      </c>
      <c r="BE5" s="30" t="str">
        <f>IFERROR(__xludf.DUMMYFUNCTION("""COMPUTED_VALUE"""),"CreatedBy")</f>
        <v>CreatedBy</v>
      </c>
      <c r="BF5" s="30" t="str">
        <f>IFERROR(__xludf.DUMMYFUNCTION("""COMPUTED_VALUE"""),"ModifiedBy")</f>
        <v>ModifiedBy</v>
      </c>
      <c r="BG5" s="30" t="str">
        <f>IFERROR(__xludf.DUMMYFUNCTION("""COMPUTED_VALUE"""),"BBGID")</f>
        <v>BBGID</v>
      </c>
      <c r="BH5" s="30" t="str">
        <f>IFERROR(__xludf.DUMMYFUNCTION("""COMPUTED_VALUE"""),"PrimarySymbology")</f>
        <v>PrimarySymbology</v>
      </c>
      <c r="BI5" s="30" t="str">
        <f>IFERROR(__xludf.DUMMYFUNCTION("""COMPUTED_VALUE"""),"ApprovalDate")</f>
        <v>ApprovalDate</v>
      </c>
      <c r="BJ5" s="30" t="str">
        <f>IFERROR(__xludf.DUMMYFUNCTION("""COMPUTED_VALUE"""),"Comments")</f>
        <v>Comments</v>
      </c>
      <c r="BK5" s="30" t="str">
        <f>IFERROR(__xludf.DUMMYFUNCTION("""COMPUTED_VALUE"""),"Strike Price Multiplier")</f>
        <v>Strike Price Multiplier</v>
      </c>
      <c r="BL5" s="30" t="str">
        <f>IFERROR(__xludf.DUMMYFUNCTION("""COMPUTED_VALUE"""),"Esignal Option Root")</f>
        <v>Esignal Option Root</v>
      </c>
      <c r="BM5" s="30" t="str">
        <f>IFERROR(__xludf.DUMMYFUNCTION("""COMPUTED_VALUE"""),"Bloomberg Option Root")</f>
        <v>Bloomberg Option Root</v>
      </c>
      <c r="BN5" s="30" t="str">
        <f>IFERROR(__xludf.DUMMYFUNCTION("""COMPUTED_VALUE"""),"UDA Asset")</f>
        <v>UDA Asset</v>
      </c>
      <c r="BO5" s="30" t="str">
        <f>IFERROR(__xludf.DUMMYFUNCTION("""COMPUTED_VALUE"""),"UDA Security")</f>
        <v>UDA Security</v>
      </c>
      <c r="BP5" s="30" t="str">
        <f>IFERROR(__xludf.DUMMYFUNCTION("""COMPUTED_VALUE"""),"UDA Sector")</f>
        <v>UDA Sector</v>
      </c>
      <c r="BQ5" s="30" t="str">
        <f>IFERROR(__xludf.DUMMYFUNCTION("""COMPUTED_VALUE"""),"UDA SubSector")</f>
        <v>UDA SubSector</v>
      </c>
      <c r="BR5" s="30" t="str">
        <f>IFERROR(__xludf.DUMMYFUNCTION("""COMPUTED_VALUE"""),"UDA Country")</f>
        <v>UDA Country</v>
      </c>
      <c r="BS5" s="30" t="str">
        <f>IFERROR(__xludf.DUMMYFUNCTION("""COMPUTED_VALUE"""),"UseUDAFromUnderlyingOrRoot")</f>
        <v>UseUDAFromUnderlyingOrRoot</v>
      </c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22</v>
      </c>
      <c r="C6" s="35" t="s">
        <v>23</v>
      </c>
      <c r="D6" s="35" t="s">
        <v>24</v>
      </c>
      <c r="E6" s="35" t="s">
        <v>25</v>
      </c>
      <c r="F6" s="35" t="s">
        <v>26</v>
      </c>
      <c r="G6" s="34" t="s">
        <v>17</v>
      </c>
      <c r="H6" s="34" t="s">
        <v>19</v>
      </c>
      <c r="I6" s="36"/>
      <c r="J6" s="36"/>
      <c r="K6" s="36"/>
      <c r="L6" s="36"/>
      <c r="M6" s="36"/>
      <c r="N6" s="36"/>
      <c r="O6" s="36"/>
      <c r="P6" s="36"/>
      <c r="Q6" s="36"/>
      <c r="R6" s="34">
        <v>50.0</v>
      </c>
      <c r="S6" s="37"/>
      <c r="T6" s="37"/>
      <c r="U6" s="38"/>
      <c r="V6" s="37"/>
      <c r="W6" s="34"/>
      <c r="X6" s="34" t="s">
        <v>18</v>
      </c>
      <c r="Y6" s="35" t="s">
        <v>27</v>
      </c>
      <c r="Z6" s="34">
        <v>0.0</v>
      </c>
      <c r="AA6" s="34">
        <v>1.0</v>
      </c>
      <c r="AB6" s="35" t="s">
        <v>28</v>
      </c>
      <c r="AC6" s="35" t="s">
        <v>29</v>
      </c>
      <c r="AD6" s="35" t="s">
        <v>30</v>
      </c>
      <c r="AF6" s="35"/>
      <c r="AG6" s="35"/>
      <c r="AH6" s="34"/>
      <c r="AI6" s="35"/>
      <c r="AJ6" s="35"/>
      <c r="AK6" s="35"/>
      <c r="AL6" s="35"/>
      <c r="AM6" s="35"/>
      <c r="AN6" s="35"/>
      <c r="AO6" s="35"/>
      <c r="AP6" s="34"/>
      <c r="AQ6" s="35"/>
      <c r="AR6" s="35"/>
      <c r="AS6" s="35"/>
      <c r="AT6" s="34"/>
      <c r="AU6" s="36"/>
      <c r="AV6" s="35"/>
      <c r="AW6" s="35"/>
      <c r="AX6" s="36"/>
      <c r="AY6" s="35"/>
      <c r="AZ6" s="35"/>
      <c r="BA6" s="35"/>
      <c r="BB6" s="35"/>
      <c r="BC6" s="34"/>
      <c r="BD6" s="34"/>
      <c r="BE6" s="36"/>
      <c r="BF6" s="34"/>
      <c r="BG6" s="36"/>
      <c r="BH6" s="38"/>
      <c r="BI6" s="38"/>
      <c r="BJ6" s="34"/>
      <c r="BK6" s="34"/>
      <c r="BL6" s="34"/>
      <c r="BM6" s="34"/>
      <c r="BN6" s="34"/>
      <c r="BO6" s="34"/>
      <c r="BP6" s="34"/>
      <c r="BQ6" s="34"/>
      <c r="BR6" s="36"/>
      <c r="BS6" s="36"/>
      <c r="BT6" s="34"/>
      <c r="BU6" s="38"/>
      <c r="BV6" s="36"/>
      <c r="BW6" s="34"/>
      <c r="BX6" s="34"/>
      <c r="BY6" s="36"/>
      <c r="BZ6" s="36"/>
      <c r="CA6" s="35"/>
      <c r="CB6" s="35"/>
      <c r="CC6" s="35"/>
      <c r="CD6" s="35"/>
      <c r="CE6" s="35"/>
      <c r="CF6" s="34"/>
      <c r="CG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TradeSymbolFromSM!$4:$4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>
        <v>100.0</v>
      </c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1" t="s">
        <v>37</v>
      </c>
      <c r="C6" s="41"/>
      <c r="D6" s="42"/>
      <c r="E6" s="42">
        <v>100.0</v>
      </c>
      <c r="F6" s="41" t="s">
        <v>38</v>
      </c>
      <c r="G6" s="41" t="s">
        <v>23</v>
      </c>
      <c r="H6" s="42">
        <v>0.0</v>
      </c>
      <c r="I6" s="42">
        <v>0.0</v>
      </c>
      <c r="J6" s="42">
        <v>16.0</v>
      </c>
      <c r="K6" s="42">
        <v>1.0</v>
      </c>
      <c r="L6" s="42">
        <v>1.0</v>
      </c>
      <c r="M6" s="43"/>
      <c r="N6" s="41"/>
      <c r="O6" s="41" t="s">
        <v>39</v>
      </c>
      <c r="P6" s="43"/>
      <c r="Q6" s="42">
        <v>3.0</v>
      </c>
      <c r="R6" s="42">
        <v>0.0</v>
      </c>
      <c r="S6" s="41" t="s">
        <v>40</v>
      </c>
      <c r="T6" s="42">
        <v>0.0</v>
      </c>
      <c r="U6" s="42">
        <v>0.0</v>
      </c>
      <c r="V6" s="41"/>
      <c r="W6" s="42">
        <v>50.0</v>
      </c>
      <c r="X6" s="42"/>
      <c r="Y6" s="43"/>
      <c r="Z6" s="41" t="s">
        <v>26</v>
      </c>
      <c r="AA6" s="43"/>
      <c r="AB6" s="42">
        <v>1.0</v>
      </c>
      <c r="AC6" s="41" t="s">
        <v>41</v>
      </c>
      <c r="AD6" s="41" t="s">
        <v>25</v>
      </c>
      <c r="AE6" s="42">
        <v>100.0</v>
      </c>
      <c r="AF6" s="44"/>
      <c r="AG6" s="45"/>
      <c r="AH6" s="41" t="s">
        <v>42</v>
      </c>
      <c r="AI6" s="42">
        <v>1.0</v>
      </c>
      <c r="AJ6" s="41" t="s">
        <v>43</v>
      </c>
      <c r="AK6" s="43"/>
      <c r="AL6" s="43"/>
      <c r="AM6" s="41" t="s">
        <v>44</v>
      </c>
      <c r="AN6" s="41" t="b">
        <v>0</v>
      </c>
      <c r="AO6" s="43"/>
      <c r="AP6" s="41" t="b">
        <v>1</v>
      </c>
      <c r="AQ6" s="41" t="b">
        <v>0</v>
      </c>
      <c r="AR6" s="41" t="b">
        <v>1</v>
      </c>
      <c r="AS6" s="42"/>
      <c r="AT6" s="46">
        <v>5000.0</v>
      </c>
      <c r="AU6" s="46">
        <v>5000.0</v>
      </c>
      <c r="AV6" s="45"/>
      <c r="AW6" s="42">
        <v>0.0</v>
      </c>
      <c r="AX6" s="42">
        <v>0.0</v>
      </c>
      <c r="AY6" s="41" t="s">
        <v>45</v>
      </c>
      <c r="AZ6" s="42">
        <v>0.0</v>
      </c>
      <c r="BA6" s="45"/>
      <c r="BB6" s="43"/>
      <c r="BC6" s="42">
        <v>0.0</v>
      </c>
      <c r="BD6" s="41" t="s">
        <v>46</v>
      </c>
      <c r="BE6" s="46">
        <v>5000.0</v>
      </c>
      <c r="BF6" s="46">
        <v>5000.0</v>
      </c>
      <c r="BG6" s="45"/>
      <c r="BH6" s="43"/>
      <c r="BI6" s="43"/>
      <c r="BJ6" s="42">
        <v>100.0</v>
      </c>
      <c r="BK6" s="42">
        <v>0.0</v>
      </c>
      <c r="BL6" s="43"/>
      <c r="BM6" s="41" t="s">
        <v>26</v>
      </c>
      <c r="BN6" s="45"/>
      <c r="BO6" s="41" t="s">
        <v>47</v>
      </c>
      <c r="BP6" s="42">
        <v>0.0</v>
      </c>
      <c r="BQ6" s="42">
        <v>0.0</v>
      </c>
      <c r="BR6" s="42">
        <v>0.0</v>
      </c>
      <c r="BS6" s="41" t="s">
        <v>48</v>
      </c>
      <c r="BT6" s="41" t="s">
        <v>17</v>
      </c>
      <c r="BU6" s="42">
        <v>0.0</v>
      </c>
      <c r="BV6" s="42">
        <v>0.0</v>
      </c>
      <c r="BW6" s="42">
        <v>0.0</v>
      </c>
      <c r="BX6" s="42">
        <v>0.0</v>
      </c>
      <c r="CF6" s="41" t="s">
        <v>49</v>
      </c>
      <c r="CG6" s="42">
        <v>0.0</v>
      </c>
      <c r="CH6" s="41" t="s">
        <v>31</v>
      </c>
      <c r="CI6" s="41" t="s">
        <v>47</v>
      </c>
      <c r="CJ6" s="42">
        <v>0.0</v>
      </c>
      <c r="CK6" s="41" t="s">
        <v>24</v>
      </c>
      <c r="CL6" s="42">
        <v>1.0</v>
      </c>
      <c r="CM6" s="41" t="s">
        <v>18</v>
      </c>
      <c r="CN6" s="41" t="s">
        <v>50</v>
      </c>
      <c r="CO6" s="41" t="s">
        <v>51</v>
      </c>
      <c r="CP6" s="41" t="s">
        <v>27</v>
      </c>
      <c r="CQ6" s="43"/>
      <c r="CR6" s="42"/>
      <c r="CS6" s="43"/>
      <c r="CT6" s="43"/>
      <c r="CU6" s="45"/>
      <c r="CV6" s="44"/>
      <c r="CW6" s="43"/>
      <c r="CX6" s="43"/>
      <c r="CY6" s="42"/>
      <c r="CZ6" s="43"/>
      <c r="DA6" s="42"/>
      <c r="DB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47"/>
      <c r="B8" s="48"/>
      <c r="C8" s="48"/>
      <c r="D8" s="49"/>
      <c r="E8" s="49"/>
      <c r="F8" s="48"/>
      <c r="G8" s="48"/>
      <c r="H8" s="49"/>
      <c r="I8" s="49"/>
      <c r="J8" s="49"/>
      <c r="K8" s="49"/>
      <c r="L8" s="49"/>
      <c r="M8" s="48"/>
      <c r="N8" s="48"/>
      <c r="O8" s="48"/>
      <c r="P8" s="49"/>
      <c r="Q8" s="49"/>
      <c r="R8" s="49"/>
      <c r="S8" s="48"/>
      <c r="T8" s="47"/>
      <c r="U8" s="47"/>
      <c r="V8" s="50"/>
      <c r="W8" s="47"/>
      <c r="X8" s="47"/>
      <c r="Y8" s="47"/>
      <c r="Z8" s="50"/>
      <c r="AA8" s="50"/>
      <c r="AB8" s="47"/>
      <c r="AC8" s="50"/>
      <c r="AD8" s="50"/>
      <c r="AE8" s="47"/>
      <c r="AF8" s="51"/>
      <c r="AG8" s="51"/>
      <c r="AH8" s="50"/>
      <c r="AI8" s="47"/>
      <c r="AJ8" s="50"/>
      <c r="AK8" s="47"/>
      <c r="AL8" s="47"/>
      <c r="AM8" s="50"/>
      <c r="AN8" s="52"/>
      <c r="AO8" s="47"/>
      <c r="AP8" s="52"/>
      <c r="AQ8" s="52"/>
      <c r="AR8" s="52"/>
      <c r="AS8" s="47"/>
      <c r="AT8" s="53"/>
      <c r="AU8" s="53"/>
      <c r="AV8" s="54"/>
      <c r="AW8" s="47"/>
      <c r="AX8" s="47"/>
      <c r="AY8" s="50"/>
      <c r="AZ8" s="47"/>
      <c r="BA8" s="54"/>
      <c r="BB8" s="47"/>
      <c r="BC8" s="47"/>
      <c r="BD8" s="50"/>
      <c r="BE8" s="53"/>
      <c r="BF8" s="53"/>
      <c r="BG8" s="54"/>
      <c r="BH8" s="47"/>
      <c r="BI8" s="47"/>
      <c r="BJ8" s="47"/>
      <c r="BK8" s="47"/>
      <c r="BL8" s="50"/>
      <c r="BM8" s="50"/>
      <c r="BN8" s="54"/>
      <c r="BO8" s="50"/>
      <c r="BP8" s="47"/>
      <c r="BQ8" s="47"/>
      <c r="BR8" s="55"/>
      <c r="BS8" s="50"/>
      <c r="BT8" s="50"/>
      <c r="BU8" s="47"/>
      <c r="BV8" s="47"/>
      <c r="BW8" s="55"/>
      <c r="BX8" s="47"/>
      <c r="BY8" s="47"/>
      <c r="BZ8" s="47"/>
      <c r="CA8" s="47"/>
      <c r="CB8" s="47"/>
      <c r="CC8" s="47"/>
      <c r="CD8" s="47"/>
      <c r="CE8" s="47"/>
      <c r="CF8" s="50"/>
      <c r="CG8" s="47"/>
      <c r="CH8" s="50"/>
      <c r="CI8" s="50"/>
      <c r="CJ8" s="47"/>
      <c r="CK8" s="50"/>
      <c r="CL8" s="47"/>
      <c r="CM8" s="50"/>
      <c r="CN8" s="50"/>
      <c r="CO8" s="50"/>
      <c r="CP8" s="50"/>
      <c r="CQ8" s="47"/>
      <c r="CR8" s="47"/>
      <c r="CS8" s="47"/>
      <c r="CT8" s="47"/>
      <c r="CU8" s="47"/>
      <c r="CV8" s="47"/>
      <c r="CW8" s="47"/>
      <c r="CX8" s="47"/>
      <c r="CY8" s="47"/>
      <c r="CZ8" s="47"/>
      <c r="DA8" s="47"/>
      <c r="DB8" s="54"/>
      <c r="DC8" s="50"/>
      <c r="DD8" s="47"/>
      <c r="DE8" s="47"/>
      <c r="DF8" s="47"/>
      <c r="DG8" s="47"/>
      <c r="DH8" s="47"/>
      <c r="DI8" s="47"/>
      <c r="DJ8" s="47"/>
      <c r="DK8" s="47"/>
      <c r="DL8" s="47"/>
      <c r="DM8" s="47"/>
      <c r="DN8" s="47"/>
      <c r="DO8" s="47"/>
      <c r="DP8" s="47"/>
      <c r="DQ8" s="47"/>
      <c r="DR8" s="47"/>
      <c r="DS8" s="47"/>
      <c r="DT8" s="47"/>
      <c r="DU8" s="47"/>
      <c r="DV8" s="47"/>
      <c r="DW8" s="47"/>
      <c r="DX8" s="47"/>
      <c r="DY8" s="47"/>
      <c r="DZ8" s="47"/>
      <c r="EA8" s="47"/>
      <c r="EB8" s="47"/>
      <c r="EC8" s="47"/>
      <c r="ED8" s="47"/>
      <c r="EE8" s="47"/>
      <c r="EF8" s="47"/>
      <c r="EG8" s="47"/>
      <c r="EH8" s="47"/>
      <c r="EI8" s="47"/>
      <c r="EJ8" s="47"/>
      <c r="EK8" s="47"/>
      <c r="EL8" s="47"/>
      <c r="EM8" s="47"/>
      <c r="EN8" s="47"/>
      <c r="EO8" s="47"/>
      <c r="EP8" s="47"/>
      <c r="EQ8" s="47"/>
      <c r="ER8" s="47"/>
      <c r="ES8" s="47"/>
      <c r="ET8" s="47"/>
      <c r="EU8" s="47"/>
      <c r="EV8" s="47"/>
      <c r="EW8" s="47"/>
      <c r="EX8" s="4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8"/>
      <c r="B6" s="45"/>
      <c r="C6" s="41" t="s">
        <v>17</v>
      </c>
      <c r="D6" s="42">
        <v>100.0</v>
      </c>
      <c r="E6" s="41" t="s">
        <v>37</v>
      </c>
      <c r="F6" s="41" t="s">
        <v>54</v>
      </c>
      <c r="G6" s="42">
        <v>1.0</v>
      </c>
      <c r="H6" s="41" t="s">
        <v>55</v>
      </c>
      <c r="I6" s="56">
        <v>-5000.0</v>
      </c>
      <c r="J6" s="42">
        <v>-100.0</v>
      </c>
      <c r="K6" s="42">
        <v>0.0</v>
      </c>
      <c r="L6" s="42">
        <v>0.0</v>
      </c>
      <c r="M6" s="42">
        <v>0.0</v>
      </c>
      <c r="N6" s="56">
        <v>-5000.0</v>
      </c>
      <c r="O6" s="41" t="s">
        <v>19</v>
      </c>
      <c r="P6" s="41"/>
      <c r="Q6" s="56">
        <v>-5000.0</v>
      </c>
      <c r="R6" s="41" t="s">
        <v>56</v>
      </c>
      <c r="S6" s="41" t="s">
        <v>48</v>
      </c>
      <c r="T6" s="41" t="s">
        <v>23</v>
      </c>
      <c r="U6" s="41" t="s">
        <v>24</v>
      </c>
      <c r="V6" s="41" t="s">
        <v>25</v>
      </c>
      <c r="W6" s="41" t="s">
        <v>26</v>
      </c>
      <c r="X6" s="42">
        <v>50.0</v>
      </c>
      <c r="Y6" s="42">
        <v>1.0</v>
      </c>
      <c r="Z6" s="43"/>
      <c r="AA6" s="43"/>
      <c r="AB6" s="42">
        <v>0.0</v>
      </c>
      <c r="AC6" s="42">
        <v>0.0</v>
      </c>
      <c r="AD6" s="42">
        <v>0.0</v>
      </c>
      <c r="AE6" s="56">
        <v>5000.0</v>
      </c>
      <c r="AF6" s="42">
        <v>100.0</v>
      </c>
      <c r="AG6" s="42">
        <v>0.0</v>
      </c>
      <c r="AH6" s="42">
        <v>0.0</v>
      </c>
      <c r="AI6" s="42">
        <v>0.0</v>
      </c>
      <c r="AJ6" s="42">
        <v>0.0</v>
      </c>
      <c r="AK6" s="56">
        <v>-5000.0</v>
      </c>
      <c r="AL6" s="42">
        <v>1.0</v>
      </c>
      <c r="AM6" s="42">
        <v>1.0</v>
      </c>
      <c r="AN6" s="41" t="s">
        <v>47</v>
      </c>
      <c r="AO6" s="43"/>
      <c r="AP6" s="41" t="s">
        <v>55</v>
      </c>
      <c r="AQ6" s="41" t="s">
        <v>18</v>
      </c>
      <c r="AR6" s="42">
        <v>0.0</v>
      </c>
      <c r="AS6" s="42">
        <v>1.0</v>
      </c>
      <c r="AT6" s="41" t="s">
        <v>41</v>
      </c>
      <c r="AU6" s="41" t="s">
        <v>44</v>
      </c>
      <c r="AV6" s="42">
        <v>1.0</v>
      </c>
      <c r="AW6" s="56">
        <v>-5000.0</v>
      </c>
      <c r="AX6" s="42">
        <v>0.0</v>
      </c>
      <c r="AY6" s="42">
        <v>0.0</v>
      </c>
      <c r="AZ6" s="56">
        <v>-5000.0</v>
      </c>
      <c r="BA6" s="42">
        <v>-100.0</v>
      </c>
      <c r="BB6" s="44"/>
      <c r="BC6" s="42">
        <v>1.0</v>
      </c>
      <c r="BD6" s="42">
        <v>0.0</v>
      </c>
      <c r="BE6" s="41" t="s">
        <v>23</v>
      </c>
      <c r="BF6" s="41" t="s">
        <v>57</v>
      </c>
      <c r="BG6" s="41" t="s">
        <v>20</v>
      </c>
      <c r="BH6" s="41" t="s">
        <v>58</v>
      </c>
      <c r="BI6" s="41" t="s">
        <v>20</v>
      </c>
      <c r="BJ6" s="42">
        <v>0.0</v>
      </c>
      <c r="BK6" s="42"/>
      <c r="BL6" s="42">
        <v>0.0</v>
      </c>
      <c r="BM6" s="42">
        <v>0.0</v>
      </c>
      <c r="BN6" s="44"/>
      <c r="BO6" s="42">
        <v>0.0</v>
      </c>
      <c r="BP6" s="42">
        <v>0.0</v>
      </c>
      <c r="BQ6" s="41" t="s">
        <v>50</v>
      </c>
      <c r="BR6" s="41" t="s">
        <v>39</v>
      </c>
      <c r="BS6" s="42">
        <v>0.0</v>
      </c>
      <c r="BT6" s="42">
        <v>0.0</v>
      </c>
      <c r="BU6" s="41" t="s">
        <v>23</v>
      </c>
      <c r="BV6" s="57"/>
      <c r="BW6" s="42">
        <v>0.0</v>
      </c>
      <c r="BX6" s="42">
        <v>0.0</v>
      </c>
      <c r="BY6" s="56">
        <v>5000.0</v>
      </c>
      <c r="BZ6" s="42">
        <v>0.0</v>
      </c>
      <c r="CA6" s="42">
        <v>0.0</v>
      </c>
      <c r="CB6" s="45"/>
      <c r="CC6" s="42">
        <v>0.0</v>
      </c>
      <c r="CD6" s="56">
        <v>-5000.0</v>
      </c>
      <c r="CE6" s="42">
        <v>0.0</v>
      </c>
      <c r="CF6" s="42">
        <v>0.0</v>
      </c>
      <c r="CG6" s="56">
        <v>-5000.0</v>
      </c>
      <c r="CH6" s="42">
        <v>-100.0</v>
      </c>
      <c r="CI6" s="42">
        <v>0.0</v>
      </c>
      <c r="CJ6" s="42">
        <v>0.0</v>
      </c>
      <c r="CK6" s="41" t="b">
        <v>0</v>
      </c>
      <c r="CL6" s="43"/>
      <c r="CM6" s="43"/>
      <c r="CN6" s="43"/>
      <c r="CO6" s="43"/>
      <c r="CP6" s="43"/>
      <c r="CQ6" s="43"/>
      <c r="CR6" s="45"/>
      <c r="CS6" s="42">
        <v>1.0</v>
      </c>
      <c r="CT6" s="43"/>
      <c r="CU6" s="43"/>
      <c r="CV6" s="43"/>
      <c r="CW6" s="43"/>
      <c r="CX6" s="43"/>
      <c r="CY6" s="41" t="s">
        <v>43</v>
      </c>
      <c r="CZ6" s="41" t="s">
        <v>59</v>
      </c>
      <c r="DA6" s="42">
        <v>0.0</v>
      </c>
      <c r="DB6" s="42">
        <v>100.0</v>
      </c>
      <c r="DC6" s="57"/>
      <c r="DD6" s="42">
        <v>100.0</v>
      </c>
      <c r="DE6" s="42">
        <v>0.0</v>
      </c>
      <c r="DF6" s="42">
        <v>0.0</v>
      </c>
      <c r="DG6" s="42">
        <v>0.0</v>
      </c>
      <c r="DH6" s="41"/>
      <c r="DI6" s="42">
        <v>0.0</v>
      </c>
      <c r="DJ6" s="41" t="s">
        <v>47</v>
      </c>
      <c r="DK6" s="42">
        <v>0.0</v>
      </c>
      <c r="DL6" s="42">
        <v>0.0</v>
      </c>
      <c r="DM6" s="42">
        <v>1.0</v>
      </c>
      <c r="DN6" s="42">
        <v>0.0</v>
      </c>
      <c r="DO6" s="43"/>
      <c r="DP6" s="41" t="s">
        <v>55</v>
      </c>
      <c r="DQ6" s="41" t="s">
        <v>22</v>
      </c>
      <c r="DR6" s="41" t="s">
        <v>22</v>
      </c>
      <c r="DS6" s="41" t="s">
        <v>22</v>
      </c>
      <c r="DT6" s="41" t="s">
        <v>22</v>
      </c>
      <c r="DU6" s="41" t="s">
        <v>22</v>
      </c>
      <c r="DV6" s="41" t="s">
        <v>22</v>
      </c>
      <c r="DW6" s="41" t="s">
        <v>22</v>
      </c>
      <c r="DX6" s="41" t="s">
        <v>22</v>
      </c>
      <c r="DY6" s="41" t="s">
        <v>22</v>
      </c>
      <c r="DZ6" s="41" t="s">
        <v>60</v>
      </c>
      <c r="EA6" s="41" t="s">
        <v>22</v>
      </c>
      <c r="EB6" s="41" t="s">
        <v>22</v>
      </c>
      <c r="EC6" s="41" t="s">
        <v>22</v>
      </c>
      <c r="ED6" s="41" t="s">
        <v>26</v>
      </c>
      <c r="EE6" s="41" t="s">
        <v>22</v>
      </c>
      <c r="EF6" s="42">
        <v>0.0</v>
      </c>
      <c r="EG6" s="42">
        <v>0.0</v>
      </c>
      <c r="EH6" s="42">
        <v>0.0</v>
      </c>
      <c r="EI6" s="42">
        <v>0.0</v>
      </c>
      <c r="EJ6" s="42">
        <v>0.0</v>
      </c>
      <c r="EK6" s="42">
        <v>0.0</v>
      </c>
      <c r="EL6" s="41" t="s">
        <v>55</v>
      </c>
      <c r="EM6" s="42">
        <v>0.0</v>
      </c>
      <c r="EN6" s="42">
        <v>0.0</v>
      </c>
      <c r="EO6" s="42">
        <v>0.0</v>
      </c>
      <c r="EP6" s="42">
        <v>0.0</v>
      </c>
      <c r="EQ6" s="42">
        <v>0.0</v>
      </c>
      <c r="ER6" s="42">
        <v>0.0</v>
      </c>
      <c r="ES6" s="56">
        <v>-5000.0</v>
      </c>
      <c r="ET6" s="42">
        <v>0.0</v>
      </c>
      <c r="EU6" s="42">
        <v>0.0</v>
      </c>
      <c r="EV6" s="41" t="s">
        <v>55</v>
      </c>
      <c r="EW6" s="56">
        <v>-5000.0</v>
      </c>
      <c r="EX6" s="41"/>
      <c r="EY6" s="41"/>
      <c r="EZ6" s="42"/>
      <c r="FA6" s="42"/>
      <c r="FB6" s="42"/>
      <c r="FC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47"/>
      <c r="B8" s="58"/>
      <c r="C8" s="48"/>
      <c r="D8" s="59"/>
      <c r="E8" s="48"/>
      <c r="F8" s="48"/>
      <c r="G8" s="59"/>
      <c r="H8" s="48"/>
      <c r="I8" s="59"/>
      <c r="J8" s="59"/>
      <c r="K8" s="59"/>
      <c r="L8" s="59"/>
      <c r="M8" s="59"/>
      <c r="N8" s="60"/>
      <c r="O8" s="48"/>
      <c r="P8" s="59"/>
      <c r="Q8" s="60"/>
      <c r="R8" s="48"/>
      <c r="S8" s="48"/>
      <c r="T8" s="50"/>
      <c r="U8" s="50"/>
      <c r="V8" s="50"/>
      <c r="W8" s="50"/>
      <c r="X8" s="61"/>
      <c r="Y8" s="61"/>
      <c r="Z8" s="47"/>
      <c r="AA8" s="47"/>
      <c r="AB8" s="61"/>
      <c r="AC8" s="61"/>
      <c r="AD8" s="61"/>
      <c r="AE8" s="61"/>
      <c r="AF8" s="61"/>
      <c r="AG8" s="61"/>
      <c r="AH8" s="61"/>
      <c r="AI8" s="61"/>
      <c r="AJ8" s="61"/>
      <c r="AK8" s="62"/>
      <c r="AL8" s="61"/>
      <c r="AM8" s="61"/>
      <c r="AN8" s="50"/>
      <c r="AO8" s="47"/>
      <c r="AP8" s="50"/>
      <c r="AQ8" s="50"/>
      <c r="AR8" s="61"/>
      <c r="AS8" s="61"/>
      <c r="AT8" s="50"/>
      <c r="AU8" s="50"/>
      <c r="AV8" s="61"/>
      <c r="AW8" s="62"/>
      <c r="AX8" s="61"/>
      <c r="AY8" s="61"/>
      <c r="AZ8" s="61"/>
      <c r="BA8" s="61"/>
      <c r="BB8" s="51"/>
      <c r="BC8" s="61"/>
      <c r="BD8" s="62"/>
      <c r="BE8" s="50"/>
      <c r="BF8" s="50"/>
      <c r="BG8" s="50"/>
      <c r="BH8" s="50"/>
      <c r="BI8" s="61"/>
      <c r="BJ8" s="61"/>
      <c r="BK8" s="61"/>
      <c r="BL8" s="61"/>
      <c r="BM8" s="61"/>
      <c r="BN8" s="51"/>
      <c r="BO8" s="62"/>
      <c r="BP8" s="61"/>
      <c r="BQ8" s="50"/>
      <c r="BR8" s="50"/>
      <c r="BS8" s="61"/>
      <c r="BT8" s="61"/>
      <c r="BU8" s="50"/>
      <c r="BV8" s="61"/>
      <c r="BW8" s="61"/>
      <c r="BX8" s="61"/>
      <c r="BY8" s="61"/>
      <c r="BZ8" s="61"/>
      <c r="CA8" s="61"/>
      <c r="CB8" s="54"/>
      <c r="CC8" s="61"/>
      <c r="CD8" s="62"/>
      <c r="CE8" s="61"/>
      <c r="CF8" s="61"/>
      <c r="CG8" s="62"/>
      <c r="CH8" s="61"/>
      <c r="CI8" s="61"/>
      <c r="CJ8" s="61"/>
      <c r="CK8" s="52"/>
      <c r="CL8" s="47"/>
      <c r="CM8" s="47"/>
      <c r="CN8" s="50"/>
      <c r="CO8" s="50"/>
      <c r="CP8" s="50"/>
      <c r="CQ8" s="47"/>
      <c r="CR8" s="54"/>
      <c r="CS8" s="61"/>
      <c r="CT8" s="47"/>
      <c r="CU8" s="47"/>
      <c r="CV8" s="47"/>
      <c r="CW8" s="47"/>
      <c r="CX8" s="47"/>
      <c r="CY8" s="50"/>
      <c r="CZ8" s="50"/>
      <c r="DA8" s="61"/>
      <c r="DB8" s="61"/>
      <c r="DC8" s="51"/>
      <c r="DD8" s="61"/>
      <c r="DE8" s="61"/>
      <c r="DF8" s="61"/>
      <c r="DG8" s="61"/>
      <c r="DH8" s="61"/>
      <c r="DI8" s="61"/>
      <c r="DJ8" s="50"/>
      <c r="DK8" s="61"/>
      <c r="DL8" s="61"/>
      <c r="DM8" s="61"/>
      <c r="DN8" s="61"/>
      <c r="DO8" s="47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61"/>
      <c r="EG8" s="61"/>
      <c r="EH8" s="61"/>
      <c r="EI8" s="61"/>
      <c r="EJ8" s="61"/>
      <c r="EK8" s="61"/>
      <c r="EL8" s="50"/>
      <c r="EM8" s="61"/>
      <c r="EN8" s="61"/>
      <c r="EO8" s="61"/>
      <c r="EP8" s="61"/>
      <c r="EQ8" s="61"/>
      <c r="ER8" s="61"/>
      <c r="ES8" s="62"/>
      <c r="ET8" s="61"/>
      <c r="EU8" s="61"/>
      <c r="EV8" s="50"/>
      <c r="EW8" s="62"/>
      <c r="EX8" s="52"/>
      <c r="EY8" s="50"/>
      <c r="EZ8" s="61"/>
      <c r="FA8" s="61"/>
      <c r="FB8" s="61"/>
      <c r="FC8" s="61"/>
      <c r="FD8" s="47"/>
      <c r="FE8" s="47"/>
      <c r="FF8" s="47"/>
      <c r="FG8" s="47"/>
      <c r="FH8" s="47"/>
      <c r="FI8" s="47"/>
      <c r="FJ8" s="47"/>
      <c r="FK8" s="47"/>
      <c r="FL8" s="47"/>
      <c r="FM8" s="47"/>
      <c r="FN8" s="47"/>
      <c r="FO8" s="47"/>
      <c r="FP8" s="47"/>
      <c r="FQ8" s="4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 t="str">
        <f>IFERROR(__xludf.DUMMYFUNCTION("""COMPUTED_VALUE"""),"TradeSymbolFromSM")</f>
        <v>TradeSymbolFromSM</v>
      </c>
      <c r="J4" s="25" t="str">
        <f>IFERROR(__xludf.DUMMYFUNCTION("""COMPUTED_VALUE"""),"AddSymbol")</f>
        <v>AddSymbol</v>
      </c>
      <c r="K4" s="25" t="str">
        <f>IFERROR(__xludf.DUMMYFUNCTION("""COMPUTED_VALUE"""),"DeleteSymbolFromSM")</f>
        <v>DeleteSymbolFromSM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IFERROR(__xludf.DUMMYFUNCTION("""COMPUTED_VALUE"""),"UDA Security Type")</f>
        <v>UDA Security Type</v>
      </c>
      <c r="C5" s="28" t="str">
        <f>IFERROR(__xludf.DUMMYFUNCTION("""COMPUTED_VALUE"""),"UDA Country")</f>
        <v>UDA Country</v>
      </c>
      <c r="D5" s="28" t="str">
        <f>IFERROR(__xludf.DUMMYFUNCTION("""COMPUTED_VALUE"""),"UDA Asset Class")</f>
        <v>UDA Asset Class</v>
      </c>
      <c r="E5" s="28" t="str">
        <f>IFERROR(__xludf.DUMMYFUNCTION("""COMPUTED_VALUE"""),"UDA Sector")</f>
        <v>UDA Sector</v>
      </c>
      <c r="F5" s="29" t="str">
        <f>IFERROR(__xludf.DUMMYFUNCTION("""COMPUTED_VALUE"""),"UDA Sub Sector")</f>
        <v>UDA Sub Sector</v>
      </c>
      <c r="G5" s="28" t="str">
        <f>IFERROR(__xludf.DUMMYFUNCTION("""COMPUTED_VALUE"""),"Bloomberg Symbol")</f>
        <v>Bloomberg Symbol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57</v>
      </c>
      <c r="C6" s="41" t="s">
        <v>24</v>
      </c>
      <c r="D6" s="13"/>
      <c r="E6" s="41" t="s">
        <v>62</v>
      </c>
      <c r="F6" s="41" t="s">
        <v>63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UpdateUDA!$4:$4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45"/>
      <c r="C6" s="41" t="s">
        <v>17</v>
      </c>
      <c r="D6" s="42">
        <v>100.0</v>
      </c>
      <c r="E6" s="41" t="s">
        <v>37</v>
      </c>
      <c r="F6" s="41" t="s">
        <v>54</v>
      </c>
      <c r="G6" s="42">
        <v>1.0</v>
      </c>
      <c r="H6" s="41" t="s">
        <v>55</v>
      </c>
      <c r="I6" s="56">
        <v>-5000.0</v>
      </c>
      <c r="J6" s="42">
        <v>-100.0</v>
      </c>
      <c r="K6" s="42">
        <v>0.0</v>
      </c>
      <c r="L6" s="42">
        <v>0.0</v>
      </c>
      <c r="M6" s="42">
        <v>0.0</v>
      </c>
      <c r="N6" s="56">
        <v>-5000.0</v>
      </c>
      <c r="O6" s="41" t="s">
        <v>19</v>
      </c>
      <c r="P6" s="41"/>
      <c r="Q6" s="56">
        <v>-5000.0</v>
      </c>
      <c r="R6" s="41" t="s">
        <v>56</v>
      </c>
      <c r="S6" s="41" t="s">
        <v>48</v>
      </c>
      <c r="T6" s="41" t="s">
        <v>23</v>
      </c>
      <c r="U6" s="41" t="s">
        <v>24</v>
      </c>
      <c r="V6" s="41" t="s">
        <v>25</v>
      </c>
      <c r="W6" s="41" t="s">
        <v>26</v>
      </c>
      <c r="X6" s="42">
        <v>50.0</v>
      </c>
      <c r="Y6" s="42">
        <v>1.0</v>
      </c>
      <c r="Z6" s="43"/>
      <c r="AA6" s="43"/>
      <c r="AB6" s="42">
        <v>0.0</v>
      </c>
      <c r="AC6" s="42">
        <v>0.0</v>
      </c>
      <c r="AD6" s="42">
        <v>0.0</v>
      </c>
      <c r="AE6" s="56">
        <v>5000.0</v>
      </c>
      <c r="AF6" s="42">
        <v>100.0</v>
      </c>
      <c r="AG6" s="42">
        <v>0.0</v>
      </c>
      <c r="AH6" s="42">
        <v>0.0</v>
      </c>
      <c r="AI6" s="42">
        <v>0.0</v>
      </c>
      <c r="AJ6" s="42">
        <v>0.0</v>
      </c>
      <c r="AK6" s="56">
        <v>-5000.0</v>
      </c>
      <c r="AL6" s="42">
        <v>1.0</v>
      </c>
      <c r="AM6" s="42">
        <v>1.0</v>
      </c>
      <c r="AN6" s="41" t="s">
        <v>47</v>
      </c>
      <c r="AO6" s="43"/>
      <c r="AP6" s="41" t="s">
        <v>55</v>
      </c>
      <c r="AQ6" s="41" t="s">
        <v>18</v>
      </c>
      <c r="AR6" s="42">
        <v>0.0</v>
      </c>
      <c r="AS6" s="42">
        <v>1.0</v>
      </c>
      <c r="AT6" s="41" t="s">
        <v>41</v>
      </c>
      <c r="AU6" s="41" t="s">
        <v>44</v>
      </c>
      <c r="AV6" s="42">
        <v>1.0</v>
      </c>
      <c r="AW6" s="56">
        <v>-5000.0</v>
      </c>
      <c r="AX6" s="42">
        <v>0.0</v>
      </c>
      <c r="AY6" s="42">
        <v>0.0</v>
      </c>
      <c r="AZ6" s="56">
        <v>-5000.0</v>
      </c>
      <c r="BA6" s="42">
        <v>-100.0</v>
      </c>
      <c r="BB6" s="44"/>
      <c r="BC6" s="42">
        <v>1.0</v>
      </c>
      <c r="BD6" s="42">
        <v>0.0</v>
      </c>
      <c r="BE6" s="41" t="s">
        <v>23</v>
      </c>
      <c r="BF6" s="41" t="s">
        <v>57</v>
      </c>
      <c r="BG6" s="41" t="s">
        <v>62</v>
      </c>
      <c r="BH6" s="41" t="s">
        <v>63</v>
      </c>
      <c r="BI6" s="41" t="s">
        <v>24</v>
      </c>
      <c r="BJ6" s="42">
        <v>0.0</v>
      </c>
      <c r="BK6" s="42"/>
      <c r="BL6" s="42">
        <v>0.0</v>
      </c>
      <c r="BM6" s="42">
        <v>0.0</v>
      </c>
      <c r="BN6" s="44"/>
      <c r="BO6" s="42">
        <v>0.0</v>
      </c>
      <c r="BP6" s="42">
        <v>0.0</v>
      </c>
      <c r="BQ6" s="41" t="s">
        <v>50</v>
      </c>
      <c r="BR6" s="41" t="s">
        <v>39</v>
      </c>
      <c r="BS6" s="42">
        <v>0.0</v>
      </c>
      <c r="BT6" s="42">
        <v>0.0</v>
      </c>
      <c r="BU6" s="41" t="s">
        <v>23</v>
      </c>
      <c r="BV6" s="57"/>
      <c r="BW6" s="42">
        <v>0.0</v>
      </c>
      <c r="BX6" s="42">
        <v>0.0</v>
      </c>
      <c r="BY6" s="56">
        <v>5000.0</v>
      </c>
      <c r="BZ6" s="42">
        <v>0.0</v>
      </c>
      <c r="CA6" s="42">
        <v>0.0</v>
      </c>
      <c r="CB6" s="45"/>
      <c r="CC6" s="42">
        <v>0.0</v>
      </c>
      <c r="CD6" s="56">
        <v>-5000.0</v>
      </c>
      <c r="CE6" s="42">
        <v>0.0</v>
      </c>
      <c r="CF6" s="42">
        <v>0.0</v>
      </c>
      <c r="CG6" s="56">
        <v>-5000.0</v>
      </c>
      <c r="CH6" s="42">
        <v>-100.0</v>
      </c>
      <c r="CI6" s="42">
        <v>0.0</v>
      </c>
      <c r="CJ6" s="42">
        <v>0.0</v>
      </c>
      <c r="CK6" s="41" t="b">
        <v>0</v>
      </c>
      <c r="CL6" s="43"/>
      <c r="CM6" s="43"/>
      <c r="CN6" s="43"/>
      <c r="CO6" s="43"/>
      <c r="CP6" s="43"/>
      <c r="CQ6" s="43"/>
      <c r="CR6" s="45"/>
      <c r="CS6" s="42">
        <v>1.0</v>
      </c>
      <c r="CT6" s="43"/>
      <c r="CU6" s="43"/>
      <c r="CV6" s="43"/>
      <c r="CW6" s="43"/>
      <c r="CX6" s="43"/>
      <c r="CY6" s="41" t="s">
        <v>43</v>
      </c>
      <c r="CZ6" s="41" t="s">
        <v>59</v>
      </c>
      <c r="DA6" s="42">
        <v>0.0</v>
      </c>
      <c r="DB6" s="42">
        <v>100.0</v>
      </c>
      <c r="DC6" s="57"/>
      <c r="DD6" s="42">
        <v>100.0</v>
      </c>
      <c r="DE6" s="42">
        <v>0.0</v>
      </c>
      <c r="DF6" s="42">
        <v>0.0</v>
      </c>
      <c r="DG6" s="42">
        <v>0.0</v>
      </c>
      <c r="DH6" s="41"/>
      <c r="DI6" s="42">
        <v>0.0</v>
      </c>
      <c r="DJ6" s="41" t="s">
        <v>47</v>
      </c>
      <c r="DK6" s="42">
        <v>0.0</v>
      </c>
      <c r="DL6" s="42">
        <v>0.0</v>
      </c>
      <c r="DM6" s="42">
        <v>1.0</v>
      </c>
      <c r="DN6" s="42">
        <v>0.0</v>
      </c>
      <c r="DO6" s="43"/>
      <c r="DP6" s="41" t="s">
        <v>55</v>
      </c>
      <c r="DQ6" s="41" t="s">
        <v>22</v>
      </c>
      <c r="DR6" s="41" t="s">
        <v>22</v>
      </c>
      <c r="DS6" s="41" t="s">
        <v>22</v>
      </c>
      <c r="DT6" s="41" t="s">
        <v>22</v>
      </c>
      <c r="DU6" s="41" t="s">
        <v>22</v>
      </c>
      <c r="DV6" s="41" t="s">
        <v>22</v>
      </c>
      <c r="DW6" s="41" t="s">
        <v>22</v>
      </c>
      <c r="DX6" s="41" t="s">
        <v>22</v>
      </c>
      <c r="DY6" s="41" t="s">
        <v>22</v>
      </c>
      <c r="DZ6" s="41" t="s">
        <v>60</v>
      </c>
      <c r="EA6" s="41" t="s">
        <v>22</v>
      </c>
      <c r="EB6" s="41" t="s">
        <v>22</v>
      </c>
      <c r="EC6" s="41" t="s">
        <v>22</v>
      </c>
      <c r="ED6" s="41" t="s">
        <v>26</v>
      </c>
      <c r="EE6" s="41" t="s">
        <v>22</v>
      </c>
      <c r="EF6" s="42">
        <v>0.0</v>
      </c>
      <c r="EG6" s="42">
        <v>0.0</v>
      </c>
      <c r="EH6" s="42">
        <v>0.0</v>
      </c>
      <c r="EI6" s="42">
        <v>0.0</v>
      </c>
      <c r="EJ6" s="42">
        <v>0.0</v>
      </c>
      <c r="EK6" s="42">
        <v>0.0</v>
      </c>
      <c r="EL6" s="41" t="s">
        <v>55</v>
      </c>
      <c r="EM6" s="42">
        <v>0.0</v>
      </c>
      <c r="EN6" s="42">
        <v>0.0</v>
      </c>
      <c r="EO6" s="42">
        <v>0.0</v>
      </c>
      <c r="EP6" s="42">
        <v>0.0</v>
      </c>
      <c r="EQ6" s="42">
        <v>0.0</v>
      </c>
      <c r="ER6" s="42">
        <v>0.0</v>
      </c>
      <c r="ES6" s="56">
        <v>-5000.0</v>
      </c>
      <c r="ET6" s="42">
        <v>0.0</v>
      </c>
      <c r="EU6" s="42">
        <v>0.0</v>
      </c>
      <c r="EV6" s="41" t="s">
        <v>55</v>
      </c>
      <c r="EW6" s="56">
        <v>-5000.0</v>
      </c>
      <c r="EX6" s="41"/>
      <c r="EY6" s="41"/>
      <c r="EZ6" s="42"/>
      <c r="FA6" s="42"/>
      <c r="FB6" s="42"/>
      <c r="FC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5"/>
      <c r="C8" s="41"/>
      <c r="D8" s="42"/>
      <c r="E8" s="41"/>
      <c r="F8" s="41"/>
      <c r="G8" s="42"/>
      <c r="H8" s="41"/>
      <c r="I8" s="56"/>
      <c r="J8" s="42"/>
      <c r="K8" s="42"/>
      <c r="L8" s="42"/>
      <c r="M8" s="42"/>
      <c r="N8" s="56"/>
      <c r="O8" s="41"/>
      <c r="P8" s="41"/>
      <c r="Q8" s="56"/>
      <c r="R8" s="41"/>
      <c r="S8" s="41"/>
      <c r="T8" s="41"/>
      <c r="U8" s="41"/>
      <c r="V8" s="41"/>
      <c r="W8" s="41"/>
      <c r="X8" s="42"/>
      <c r="Y8" s="42"/>
      <c r="Z8" s="43"/>
      <c r="AA8" s="43"/>
      <c r="AB8" s="42"/>
      <c r="AC8" s="42"/>
      <c r="AD8" s="42"/>
      <c r="AE8" s="56"/>
      <c r="AF8" s="42"/>
      <c r="AG8" s="42"/>
      <c r="AH8" s="42"/>
      <c r="AI8" s="42"/>
      <c r="AJ8" s="42"/>
      <c r="AK8" s="56"/>
      <c r="AL8" s="42"/>
      <c r="AM8" s="42"/>
      <c r="AN8" s="41"/>
      <c r="AO8" s="43"/>
      <c r="AP8" s="41"/>
      <c r="AQ8" s="41"/>
      <c r="AR8" s="42"/>
      <c r="AS8" s="42"/>
      <c r="AT8" s="41"/>
      <c r="AU8" s="41"/>
      <c r="AV8" s="42"/>
      <c r="AW8" s="56"/>
      <c r="AX8" s="42"/>
      <c r="AY8" s="42"/>
      <c r="AZ8" s="56"/>
      <c r="BA8" s="42"/>
      <c r="BB8" s="44"/>
      <c r="BC8" s="42"/>
      <c r="BD8" s="42"/>
      <c r="BE8" s="41"/>
      <c r="BF8" s="41"/>
      <c r="BG8" s="41"/>
      <c r="BH8" s="41"/>
      <c r="BI8" s="41"/>
      <c r="BJ8" s="42"/>
      <c r="BK8" s="42"/>
      <c r="BL8" s="42"/>
      <c r="BM8" s="42"/>
      <c r="BN8" s="44"/>
      <c r="BO8" s="42"/>
      <c r="BP8" s="42"/>
      <c r="BQ8" s="41"/>
      <c r="BR8" s="41"/>
      <c r="BS8" s="42"/>
      <c r="BT8" s="42"/>
      <c r="BU8" s="41"/>
      <c r="BV8" s="57"/>
      <c r="BW8" s="42"/>
      <c r="BX8" s="42"/>
      <c r="BY8" s="56"/>
      <c r="BZ8" s="42"/>
      <c r="CA8" s="42"/>
      <c r="CB8" s="45"/>
      <c r="CC8" s="42"/>
      <c r="CD8" s="56"/>
      <c r="CE8" s="42"/>
      <c r="CF8" s="42"/>
      <c r="CG8" s="56"/>
      <c r="CH8" s="42"/>
      <c r="CI8" s="42"/>
      <c r="CJ8" s="42"/>
      <c r="CK8" s="41"/>
      <c r="CL8" s="43"/>
      <c r="CM8" s="43"/>
      <c r="CN8" s="43"/>
      <c r="CO8" s="43"/>
      <c r="CP8" s="43"/>
      <c r="CQ8" s="43"/>
      <c r="CR8" s="45"/>
      <c r="CS8" s="42"/>
      <c r="CT8" s="43"/>
      <c r="CU8" s="43"/>
      <c r="CV8" s="43"/>
      <c r="CW8" s="43"/>
      <c r="CX8" s="43"/>
      <c r="CY8" s="41"/>
      <c r="CZ8" s="41"/>
      <c r="DA8" s="42"/>
      <c r="DB8" s="42"/>
      <c r="DC8" s="57"/>
      <c r="DD8" s="42"/>
      <c r="DE8" s="42"/>
      <c r="DF8" s="42"/>
      <c r="DG8" s="42"/>
      <c r="DH8" s="41"/>
      <c r="DI8" s="42"/>
      <c r="DJ8" s="41"/>
      <c r="DK8" s="42"/>
      <c r="DL8" s="42"/>
      <c r="DM8" s="42"/>
      <c r="DN8" s="42"/>
      <c r="DO8" s="43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2"/>
      <c r="EG8" s="42"/>
      <c r="EH8" s="42"/>
      <c r="EI8" s="42"/>
      <c r="EJ8" s="42"/>
      <c r="EK8" s="42"/>
      <c r="EL8" s="41"/>
      <c r="EM8" s="42"/>
      <c r="EN8" s="42"/>
      <c r="EO8" s="42"/>
      <c r="EP8" s="42"/>
      <c r="EQ8" s="42"/>
      <c r="ER8" s="42"/>
      <c r="ES8" s="56"/>
      <c r="ET8" s="42"/>
      <c r="EU8" s="42"/>
      <c r="EV8" s="41"/>
      <c r="EW8" s="56"/>
      <c r="EX8" s="41"/>
      <c r="EY8" s="41"/>
      <c r="EZ8" s="42"/>
      <c r="FA8" s="42"/>
      <c r="FB8" s="42"/>
      <c r="FC8" s="4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>
        <v>100.0</v>
      </c>
      <c r="D6" s="13"/>
      <c r="E6" s="13" t="s">
        <v>37</v>
      </c>
      <c r="F6" s="13" t="s">
        <v>47</v>
      </c>
      <c r="G6" s="8"/>
      <c r="H6" s="13">
        <v>1.0</v>
      </c>
      <c r="I6" s="8"/>
      <c r="J6" s="8"/>
      <c r="K6" s="13">
        <v>1.0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47</v>
      </c>
      <c r="D6" s="13">
        <v>100.0</v>
      </c>
      <c r="E6" s="13">
        <v>100.0</v>
      </c>
      <c r="F6" s="8"/>
      <c r="G6" s="8"/>
      <c r="H6" s="8"/>
      <c r="I6" s="8"/>
      <c r="J6" s="8"/>
      <c r="K6" s="8"/>
      <c r="L6" s="8"/>
      <c r="M6" s="8"/>
      <c r="N6" s="13">
        <v>1.0</v>
      </c>
      <c r="O6" s="13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DeleteGroup!$4:$4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FI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 t="str">
        <f>IFERROR(__xludf.DUMMYFUNCTION("""COMPUTED_VALUE"""),"TradeSymbolFromSM")</f>
        <v>TradeSymbolFromSM</v>
      </c>
      <c r="J4" s="25" t="str">
        <f>IFERROR(__xludf.DUMMYFUNCTION("""COMPUTED_VALUE"""),"AddSymbol")</f>
        <v>AddSymbol</v>
      </c>
      <c r="K4" s="25" t="str">
        <f>IFERROR(__xludf.DUMMYFUNCTION("""COMPUTED_VALUE"""),"DeleteSymbolFromSM")</f>
        <v>DeleteSymbolFromSM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IFERROR(__xludf.DUMMYFUNCTION("""COMPUTED_VALUE"""),"TradeID")</f>
        <v>TradeID</v>
      </c>
      <c r="C5" s="28" t="str">
        <f>IFERROR(__xludf.DUMMYFUNCTION("""COMPUTED_VALUE"""),"Symbol")</f>
        <v>Symbol</v>
      </c>
      <c r="D5" s="28" t="str">
        <f>IFERROR(__xludf.DUMMYFUNCTION("""COMPUTED_VALUE"""),"Search Type")</f>
        <v>Search Type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17</v>
      </c>
      <c r="D6" s="13" t="s">
        <v>67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GetDataSymbolLookup!$4:$4</formula1>
    </dataValidation>
  </dataValidations>
  <drawing r:id="rId1"/>
</worksheet>
</file>