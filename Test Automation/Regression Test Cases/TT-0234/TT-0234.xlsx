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9" activeTab="12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LiveOrder" sheetId="5" r:id="rId5"/>
    <sheet name="SelectTrade" sheetId="6" r:id="rId6"/>
    <sheet name="AcknowledgeTrade" sheetId="7" r:id="rId7"/>
    <sheet name="ExecuteTrade" sheetId="8" r:id="rId8"/>
    <sheet name="PricingInput" sheetId="9" r:id="rId9"/>
    <sheet name="CheckPortfolioManagement" sheetId="10" r:id="rId10"/>
    <sheet name="FilterPM" sheetId="11" r:id="rId11"/>
    <sheet name="IncreasePositionFromPM" sheetId="12" r:id="rId12"/>
    <sheet name="CreateLiveOrder1" sheetId="13" r:id="rId13"/>
    <sheet name="SelectTrade1" sheetId="14" r:id="rId14"/>
    <sheet name="AcknowledgeTrade1" sheetId="15" r:id="rId15"/>
    <sheet name="ExecuteTrade1" sheetId="16" r:id="rId16"/>
    <sheet name="VerifyOrder" sheetId="17" r:id="rId17"/>
    <sheet name="GetDataAllocation" sheetId="18" r:id="rId18"/>
    <sheet name="CheckUnallocatedGroups" sheetId="19" r:id="rId19"/>
    <sheet name="CheckAllocatedGroups" sheetId="20" r:id="rId20"/>
    <sheet name="CheckPortfolioManagement1" sheetId="21" r:id="rId21"/>
  </sheets>
  <calcPr calcId="144525"/>
</workbook>
</file>

<file path=xl/sharedStrings.xml><?xml version="1.0" encoding="utf-8"?>
<sst xmlns="http://schemas.openxmlformats.org/spreadsheetml/2006/main" count="202" uniqueCount="48">
  <si>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</si>
  <si>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</si>
  <si>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</si>
  <si>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</si>
  <si>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</si>
  <si>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</si>
  <si>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</si>
  <si>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</si>
  <si>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</si>
  <si>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</si>
  <si>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</si>
  <si>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</si>
  <si>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</si>
  <si>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</si>
  <si>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</si>
  <si>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</si>
  <si>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</si>
  <si>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</si>
  <si>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CreateLiveOrder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</si>
  <si>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</si>
  <si>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</si>
  <si>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</si>
  <si>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</si>
  <si>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</si>
  <si>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</si>
  <si>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</si>
  <si>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</si>
  <si>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</si>
  <si>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</si>
  <si>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</si>
  <si>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Long</t>
  </si>
  <si>
    <t>MS</t>
  </si>
  <si>
    <t>FilterPM</t>
  </si>
  <si>
    <t>Symbol</t>
  </si>
  <si>
    <t>IncreasePositionFromPM</t>
  </si>
  <si>
    <t>Allocation1</t>
  </si>
  <si>
    <t>Unallocated</t>
  </si>
  <si>
    <t>Blotter</t>
  </si>
  <si>
    <t>VerifyOrder</t>
  </si>
  <si>
    <t>AAPL US EQUITY</t>
  </si>
  <si>
    <t>Filled</t>
  </si>
  <si>
    <t>Allocation</t>
  </si>
  <si>
    <t>GetDataAllocation</t>
  </si>
  <si>
    <t>Current</t>
  </si>
  <si>
    <t>CheckUnallocatedGroups</t>
  </si>
  <si>
    <t>Equity</t>
  </si>
  <si>
    <t>USD</t>
  </si>
  <si>
    <t>CheckAllocatedGroups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</si>
</sst>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31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8" borderId="0" applyNumberFormat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6" borderId="1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9" fillId="18" borderId="2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7" fillId="5" borderId="0" xfId="0" applyFont="1" applyFill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3" borderId="0" xfId="0" applyFont="1" applyFill="1" applyBorder="1" applyAlignment="1"/>
    <xf numFmtId="0" fontId="9" fillId="0" borderId="0" xfId="0" applyFont="1"/>
    <xf numFmtId="0" fontId="10" fillId="2" borderId="0" xfId="0" applyFont="1" applyFill="1" applyBorder="1" applyAlignment="1">
      <alignment horizontal="center"/>
    </xf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6"/>
      <c r="B2" s="16"/>
      <c r="C2" s="16"/>
      <c r="D2" s="16"/>
      <c r="E2" s="16"/>
      <c r="F2" s="16"/>
    </row>
    <row r="3" ht="15.75" customHeight="1" spans="1:6">
      <c r="A3" s="6" t="s">
        <v>1</v>
      </c>
      <c r="B3" s="23"/>
      <c r="C3" s="23"/>
      <c r="D3" s="23"/>
      <c r="E3" s="23"/>
      <c r="F3" s="23"/>
    </row>
    <row r="4" ht="15.75" customHeight="1" spans="1:6">
      <c r="A4" s="4" t="str">
        <f>IFERROR(__xludf.DUMMYFUNCTION("IMPORTRANGE('_Settings'!B3,""Modules!A4:L1000"")"),"Allocation")</f>
        <v>Allocation</v>
      </c>
      <c r="B4" s="16" t="str">
        <f>IFERROR(__xludf.DUMMYFUNCTION("""COMPUTED_VALUE"""),"Allocate")</f>
        <v>Allocate</v>
      </c>
      <c r="C4" s="16" t="str">
        <f>IFERROR(__xludf.DUMMYFUNCTION("""COMPUTED_VALUE"""),"Undefined")</f>
        <v>Undefined</v>
      </c>
      <c r="D4" s="16"/>
      <c r="E4" s="16"/>
      <c r="F4" s="16"/>
    </row>
    <row r="5" ht="15.75" customHeight="1" spans="1:6">
      <c r="A5" s="4" t="str">
        <f>IFERROR(__xludf.DUMMYFUNCTION("""COMPUTED_VALUE"""),"Allocation")</f>
        <v>Allocation</v>
      </c>
      <c r="B5" s="16" t="str">
        <f>IFERROR(__xludf.DUMMYFUNCTION("""COMPUTED_VALUE"""),"CheckAllocatedGroups")</f>
        <v>CheckAllocatedGroups</v>
      </c>
      <c r="C5" s="16" t="str">
        <f>IFERROR(__xludf.DUMMYFUNCTION("""COMPUTED_VALUE"""),"1kXWX5XbWkcCarG3_NeoZcsMD84Dg7Y1HBOol0fT3llw")</f>
        <v>1kXWX5XbWkcCarG3_NeoZcsMD84Dg7Y1HBOol0fT3llw</v>
      </c>
      <c r="D5" s="16"/>
      <c r="E5" s="16"/>
      <c r="F5" s="16"/>
    </row>
    <row r="6" ht="15.75" customHeight="1" spans="1:6">
      <c r="A6" s="16" t="str">
        <f>IFERROR(__xludf.DUMMYFUNCTION("""COMPUTED_VALUE"""),"Allocation")</f>
        <v>Allocation</v>
      </c>
      <c r="B6" s="16" t="str">
        <f>IFERROR(__xludf.DUMMYFUNCTION("""COMPUTED_VALUE"""),"GetDataAllocation")</f>
        <v>GetDataAllocation</v>
      </c>
      <c r="C6" s="16" t="str">
        <f>IFERROR(__xludf.DUMMYFUNCTION("""COMPUTED_VALUE"""),"1Fsx99xjLV4wXC7CsT9wtcnBrZWmyHtcJTabwhtzutts")</f>
        <v>1Fsx99xjLV4wXC7CsT9wtcnBrZWmyHtcJTabwhtzutts</v>
      </c>
      <c r="D6" s="16"/>
      <c r="E6" s="16"/>
      <c r="F6" s="16"/>
    </row>
    <row r="7" ht="15.75" customHeight="1" spans="1:6">
      <c r="A7" s="16" t="str">
        <f>IFERROR(__xludf.DUMMYFUNCTION("""COMPUTED_VALUE"""),"Allocation")</f>
        <v>Allocation</v>
      </c>
      <c r="B7" s="16" t="str">
        <f>IFERROR(__xludf.DUMMYFUNCTION("""COMPUTED_VALUE"""),"SelectAllocatedGroup")</f>
        <v>SelectAllocatedGroup</v>
      </c>
      <c r="C7" s="16" t="str">
        <f>IFERROR(__xludf.DUMMYFUNCTION("""COMPUTED_VALUE"""),"1zHzWd-dKjjhFUjGMV5t3NQvfyrdLY3UgzQqgPYz_w-M")</f>
        <v>1zHzWd-dKjjhFUjGMV5t3NQvfyrdLY3UgzQqgPYz_w-M</v>
      </c>
      <c r="D7" s="16"/>
      <c r="E7" s="16"/>
      <c r="F7" s="16"/>
    </row>
    <row r="8" ht="15.75" customHeight="1" spans="1:6">
      <c r="A8" s="16" t="str">
        <f>IFERROR(__xludf.DUMMYFUNCTION("""COMPUTED_VALUE"""),"Allocation")</f>
        <v>Allocation</v>
      </c>
      <c r="B8" s="16" t="str">
        <f>IFERROR(__xludf.DUMMYFUNCTION("""COMPUTED_VALUE"""),"EditTradesAllocated")</f>
        <v>EditTradesAllocated</v>
      </c>
      <c r="C8" s="16" t="str">
        <f>IFERROR(__xludf.DUMMYFUNCTION("""COMPUTED_VALUE"""),"1Od578flUHxwEJwC1Fz1DITVFvR2djQefHIh7VovYb4w")</f>
        <v>1Od578flUHxwEJwC1Fz1DITVFvR2djQefHIh7VovYb4w</v>
      </c>
      <c r="D8" s="16"/>
      <c r="E8" s="16"/>
      <c r="F8" s="16"/>
    </row>
    <row r="9" ht="15.75" customHeight="1" spans="1:6">
      <c r="A9" s="16" t="str">
        <f>IFERROR(__xludf.DUMMYFUNCTION("""COMPUTED_VALUE"""),"Allocation")</f>
        <v>Allocation</v>
      </c>
      <c r="B9" s="16" t="str">
        <f>IFERROR(__xludf.DUMMYFUNCTION("""COMPUTED_VALUE"""),"EditTradesUnallocated")</f>
        <v>EditTradesUnallocated</v>
      </c>
      <c r="C9" s="16" t="str">
        <f>IFERROR(__xludf.DUMMYFUNCTION("""COMPUTED_VALUE"""),"1UDUQRoc1aD2NzlOBbpEHizmHA_TClEqDOUqmI85UdPY")</f>
        <v>1UDUQRoc1aD2NzlOBbpEHizmHA_TClEqDOUqmI85UdPY</v>
      </c>
      <c r="D9" s="16"/>
      <c r="E9" s="16"/>
      <c r="F9" s="16"/>
    </row>
    <row r="10" ht="15.75" customHeight="1" spans="1:6">
      <c r="A10" s="16" t="str">
        <f>IFERROR(__xludf.DUMMYFUNCTION("""COMPUTED_VALUE"""),"Allocation")</f>
        <v>Allocation</v>
      </c>
      <c r="B10" s="16" t="str">
        <f>IFERROR(__xludf.DUMMYFUNCTION("""COMPUTED_VALUE"""),"Reallocate")</f>
        <v>Reallocate</v>
      </c>
      <c r="C10" s="16" t="str">
        <f>IFERROR(__xludf.DUMMYFUNCTION("""COMPUTED_VALUE"""),"Undefined")</f>
        <v>Undefined</v>
      </c>
      <c r="D10" s="16"/>
      <c r="E10" s="16"/>
      <c r="F10" s="16"/>
    </row>
    <row r="11" ht="15.75" customHeight="1" spans="1:6">
      <c r="A11" s="16" t="str">
        <f>IFERROR(__xludf.DUMMYFUNCTION("""COMPUTED_VALUE"""),"Blotter")</f>
        <v>Blotter</v>
      </c>
      <c r="B11" s="16" t="str">
        <f>IFERROR(__xludf.DUMMYFUNCTION("""COMPUTED_VALUE"""),"ReplaceFillsOnBlotter")</f>
        <v>ReplaceFillsOnBlotter</v>
      </c>
      <c r="C11" s="16" t="str">
        <f>IFERROR(__xludf.DUMMYFUNCTION("""COMPUTED_VALUE"""),"Undefined")</f>
        <v>Undefined</v>
      </c>
      <c r="D11" s="16"/>
      <c r="E11" s="16"/>
      <c r="F11" s="16"/>
    </row>
    <row r="12" ht="15.75" customHeight="1" spans="1:6">
      <c r="A12" s="16" t="str">
        <f>IFERROR(__xludf.DUMMYFUNCTION("""COMPUTED_VALUE"""),"Blotter")</f>
        <v>Blotter</v>
      </c>
      <c r="B12" s="16" t="str">
        <f>IFERROR(__xludf.DUMMYFUNCTION("""COMPUTED_VALUE"""),"CheckBlotter")</f>
        <v>CheckBlotter</v>
      </c>
      <c r="C12" s="16" t="str">
        <f>IFERROR(__xludf.DUMMYFUNCTION("""COMPUTED_VALUE"""),"13ZrsiZ70OIEAatRBfOiR_gV5rJ_midISjjF8v-4eL0Y")</f>
        <v>13ZrsiZ70OIEAatRBfOiR_gV5rJ_midISjjF8v-4eL0Y</v>
      </c>
      <c r="D12" s="16"/>
      <c r="E12" s="16"/>
      <c r="F12" s="16"/>
    </row>
    <row r="13" ht="15.75" customHeight="1" spans="1:6">
      <c r="A13" s="16" t="str">
        <f>IFERROR(__xludf.DUMMYFUNCTION("""COMPUTED_VALUE"""),"GeneralLedger")</f>
        <v>GeneralLedger</v>
      </c>
      <c r="B13" s="16" t="str">
        <f>IFERROR(__xludf.DUMMYFUNCTION("""COMPUTED_VALUE"""),"GetDataCash")</f>
        <v>GetDataCash</v>
      </c>
      <c r="C13" s="16" t="str">
        <f>IFERROR(__xludf.DUMMYFUNCTION("""COMPUTED_VALUE"""),"1tyMnWQY__e4MUR_xwPpIDDmcPGtTnjD3W3VkZKeGYzI")</f>
        <v>1tyMnWQY__e4MUR_xwPpIDDmcPGtTnjD3W3VkZKeGYzI</v>
      </c>
      <c r="D13" s="16"/>
      <c r="E13" s="16"/>
      <c r="F13" s="16"/>
    </row>
    <row r="14" ht="15.75" customHeight="1" spans="1:6">
      <c r="A14" s="16" t="str">
        <f>IFERROR(__xludf.DUMMYFUNCTION("""COMPUTED_VALUE"""),"GeneralLedger")</f>
        <v>GeneralLedger</v>
      </c>
      <c r="B14" s="16" t="str">
        <f>IFERROR(__xludf.DUMMYFUNCTION("""COMPUTED_VALUE"""),"EnterCashDividends")</f>
        <v>EnterCashDividends</v>
      </c>
      <c r="C14" s="16" t="str">
        <f>IFERROR(__xludf.DUMMYFUNCTION("""COMPUTED_VALUE"""),"1USUg7JbYRIA3kdfb0kw6ZMMOSpQ1ZYhS75Gao9wR5T8")</f>
        <v>1USUg7JbYRIA3kdfb0kw6ZMMOSpQ1ZYhS75Gao9wR5T8</v>
      </c>
      <c r="D14" s="16"/>
      <c r="E14" s="16"/>
      <c r="F14" s="16"/>
    </row>
    <row r="15" ht="15.75" customHeight="1" spans="1:6">
      <c r="A15" s="16" t="str">
        <f>IFERROR(__xludf.DUMMYFUNCTION("""COMPUTED_VALUE"""),"GeneralLedger")</f>
        <v>GeneralLedger</v>
      </c>
      <c r="B15" s="16" t="str">
        <f>IFERROR(__xludf.DUMMYFUNCTION("""COMPUTED_VALUE"""),"EnterNonTradingTransaction")</f>
        <v>EnterNonTradingTransaction</v>
      </c>
      <c r="C15" s="16" t="str">
        <f>IFERROR(__xludf.DUMMYFUNCTION("""COMPUTED_VALUE"""),"1p2p6gSqvocKogadVT8EcyD1uh3PHpJ19DpW4ijaPhxE")</f>
        <v>1p2p6gSqvocKogadVT8EcyD1uh3PHpJ19DpW4ijaPhxE</v>
      </c>
      <c r="D15" s="16"/>
      <c r="E15" s="16"/>
      <c r="F15" s="16"/>
    </row>
    <row r="16" ht="15.75" customHeight="1" spans="1:6">
      <c r="A16" s="16" t="str">
        <f>IFERROR(__xludf.DUMMYFUNCTION("""COMPUTED_VALUE"""),"GeneralLedger")</f>
        <v>GeneralLedger</v>
      </c>
      <c r="B16" s="16" t="str">
        <f>IFERROR(__xludf.DUMMYFUNCTION("""COMPUTED_VALUE"""),"VerifyCash")</f>
        <v>VerifyCash</v>
      </c>
      <c r="C16" s="16" t="str">
        <f>IFERROR(__xludf.DUMMYFUNCTION("""COMPUTED_VALUE"""),"19uFS9OGON_IU8FmYpPrX0mhGeWrYqRslB9hXN6_tcJw")</f>
        <v>19uFS9OGON_IU8FmYpPrX0mhGeWrYqRslB9hXN6_tcJw</v>
      </c>
      <c r="D16" s="16"/>
      <c r="E16" s="16"/>
      <c r="F16" s="16"/>
    </row>
    <row r="17" ht="15.75" customHeight="1" spans="1:6">
      <c r="A17" s="16" t="str">
        <f>IFERROR(__xludf.DUMMYFUNCTION("""COMPUTED_VALUE"""),"GeneralLedger")</f>
        <v>GeneralLedger</v>
      </c>
      <c r="B17" s="16" t="str">
        <f>IFERROR(__xludf.DUMMYFUNCTION("""COMPUTED_VALUE"""),"VerifyActivity")</f>
        <v>VerifyActivity</v>
      </c>
      <c r="C17" s="16" t="str">
        <f>IFERROR(__xludf.DUMMYFUNCTION("""COMPUTED_VALUE"""),"1-XlUXAxaC6I6StmIuxYN-EpjycpOsKaKUTf2A8ycEz8")</f>
        <v>1-XlUXAxaC6I6StmIuxYN-EpjycpOsKaKUTf2A8ycEz8</v>
      </c>
      <c r="D17" s="16"/>
      <c r="E17" s="16"/>
      <c r="F17" s="16"/>
    </row>
    <row r="18" ht="15.75" customHeight="1" spans="1:6">
      <c r="A18" s="16" t="str">
        <f>IFERROR(__xludf.DUMMYFUNCTION("""COMPUTED_VALUE"""),"GeneralLedger")</f>
        <v>GeneralLedger</v>
      </c>
      <c r="B18" s="16" t="str">
        <f>IFERROR(__xludf.DUMMYFUNCTION("""COMPUTED_VALUE"""),"VerifyTradingTransaction")</f>
        <v>VerifyTradingTransaction</v>
      </c>
      <c r="C18" s="16" t="str">
        <f>IFERROR(__xludf.DUMMYFUNCTION("""COMPUTED_VALUE"""),"1sL_WZLppCT4Ki-R3zoVfUsjrZLxQpK1e4BjriH8glWU")</f>
        <v>1sL_WZLppCT4Ki-R3zoVfUsjrZLxQpK1e4BjriH8glWU</v>
      </c>
      <c r="D18" s="16"/>
      <c r="E18" s="16"/>
      <c r="F18" s="16"/>
    </row>
    <row r="19" ht="15.75" customHeight="1" spans="1:6">
      <c r="A19" s="16" t="str">
        <f>IFERROR(__xludf.DUMMYFUNCTION("""COMPUTED_VALUE"""),"GeneralLedger")</f>
        <v>GeneralLedger</v>
      </c>
      <c r="B19" s="16" t="str">
        <f>IFERROR(__xludf.DUMMYFUNCTION("""COMPUTED_VALUE"""),"VerifyRevaluationData")</f>
        <v>VerifyRevaluationData</v>
      </c>
      <c r="C19" s="16" t="str">
        <f>IFERROR(__xludf.DUMMYFUNCTION("""COMPUTED_VALUE"""),"102WNNSUlKvyh3foJRyeIRNwf9zLZy3mPzlXFy3nx5eI")</f>
        <v>102WNNSUlKvyh3foJRyeIRNwf9zLZy3mPzlXFy3nx5eI</v>
      </c>
      <c r="D19" s="16"/>
      <c r="E19" s="16"/>
      <c r="F19" s="16"/>
    </row>
    <row r="20" ht="15.75" customHeight="1" spans="1:6">
      <c r="A20" s="16" t="str">
        <f>IFERROR(__xludf.DUMMYFUNCTION("""COMPUTED_VALUE"""),"CorporateAction")</f>
        <v>CorporateAction</v>
      </c>
      <c r="B20" s="16" t="str">
        <f>IFERROR(__xludf.DUMMYFUNCTION("""COMPUTED_VALUE"""),"CorporateAction")</f>
        <v>CorporateAction</v>
      </c>
      <c r="C20" s="16" t="str">
        <f>IFERROR(__xludf.DUMMYFUNCTION("""COMPUTED_VALUE"""),"1-0Em95ZN9Vt-zKWBJwpEk4-Gv9MytxdcIN56mf3XmAY")</f>
        <v>1-0Em95ZN9Vt-zKWBJwpEk4-Gv9MytxdcIN56mf3XmAY</v>
      </c>
      <c r="D20" s="16"/>
      <c r="E20" s="16"/>
      <c r="F20" s="16"/>
    </row>
    <row r="21" ht="15.75" customHeight="1" spans="1:6">
      <c r="A21" s="16" t="str">
        <f>IFERROR(__xludf.DUMMYFUNCTION("""COMPUTED_VALUE"""),"CreateTransaction")</f>
        <v>CreateTransaction</v>
      </c>
      <c r="B21" s="16" t="str">
        <f>IFERROR(__xludf.DUMMYFUNCTION("""COMPUTED_VALUE"""),"CreateTransaction")</f>
        <v>CreateTransaction</v>
      </c>
      <c r="C21" s="16" t="str">
        <f>IFERROR(__xludf.DUMMYFUNCTION("""COMPUTED_VALUE"""),"1XBVNrYsG0mscyH68ut4sRom8XHcikIuM5L2SZOnTqh8")</f>
        <v>1XBVNrYsG0mscyH68ut4sRom8XHcikIuM5L2SZOnTqh8</v>
      </c>
      <c r="D21" s="16"/>
      <c r="E21" s="16"/>
      <c r="F21" s="16"/>
    </row>
    <row r="22" ht="15.75" customHeight="1" spans="1:6">
      <c r="A22" s="16" t="str">
        <f>IFERROR(__xludf.DUMMYFUNCTION("""COMPUTED_VALUE"""),"DailyValuation")</f>
        <v>DailyValuation</v>
      </c>
      <c r="B22" s="16" t="str">
        <f>IFERROR(__xludf.DUMMYFUNCTION("""COMPUTED_VALUE"""),"UpdateBeta")</f>
        <v>UpdateBeta</v>
      </c>
      <c r="C22" s="16" t="str">
        <f>IFERROR(__xludf.DUMMYFUNCTION("""COMPUTED_VALUE"""),"1dVMhvhPJNkuRqzig0Yyxm9TcxCvSCxm4pGTHTUTnsRE")</f>
        <v>1dVMhvhPJNkuRqzig0Yyxm9TcxCvSCxm4pGTHTUTnsRE</v>
      </c>
      <c r="D22" s="16"/>
      <c r="E22" s="16"/>
      <c r="F22" s="16"/>
    </row>
    <row r="23" ht="15.75" customHeight="1" spans="1:6">
      <c r="A23" s="16" t="str">
        <f>IFERROR(__xludf.DUMMYFUNCTION("""COMPUTED_VALUE"""),"DailyValuation")</f>
        <v>DailyValuation</v>
      </c>
      <c r="B23" s="16" t="str">
        <f>IFERROR(__xludf.DUMMYFUNCTION("""COMPUTED_VALUE"""),"UpdateDailyCash")</f>
        <v>UpdateDailyCash</v>
      </c>
      <c r="C23" s="16" t="str">
        <f>IFERROR(__xludf.DUMMYFUNCTION("""COMPUTED_VALUE"""),"1VgfvPkC2fO8lxFnWeV2SJts5aU1T2aFQ0qKO0SLQUe8")</f>
        <v>1VgfvPkC2fO8lxFnWeV2SJts5aU1T2aFQ0qKO0SLQUe8</v>
      </c>
      <c r="D23" s="16"/>
      <c r="E23" s="16"/>
      <c r="F23" s="16"/>
    </row>
    <row r="24" ht="15.75" customHeight="1" spans="1:6">
      <c r="A24" s="16" t="str">
        <f>IFERROR(__xludf.DUMMYFUNCTION("""COMPUTED_VALUE"""),"DailyValuation")</f>
        <v>DailyValuation</v>
      </c>
      <c r="B24" s="16" t="str">
        <f>IFERROR(__xludf.DUMMYFUNCTION("""COMPUTED_VALUE"""),"UpdateMultipleDailyCash")</f>
        <v>UpdateMultipleDailyCash</v>
      </c>
      <c r="C24" s="16" t="str">
        <f>IFERROR(__xludf.DUMMYFUNCTION("""COMPUTED_VALUE"""),"1zW-ZRiE_Nva2mXz7B9Rcq8AEgDMa5eZaUAA_V2cuGso")</f>
        <v>1zW-ZRiE_Nva2mXz7B9Rcq8AEgDMa5eZaUAA_V2cuGso</v>
      </c>
      <c r="D24" s="16"/>
      <c r="E24" s="16"/>
      <c r="F24" s="16"/>
    </row>
    <row r="25" ht="15.75" customHeight="1" spans="1:6">
      <c r="A25" s="16" t="str">
        <f>IFERROR(__xludf.DUMMYFUNCTION("""COMPUTED_VALUE"""),"DailyValuation")</f>
        <v>DailyValuation</v>
      </c>
      <c r="B25" s="16" t="str">
        <f>IFERROR(__xludf.DUMMYFUNCTION("""COMPUTED_VALUE"""),"UpdateForexConversion")</f>
        <v>UpdateForexConversion</v>
      </c>
      <c r="C25" s="16" t="str">
        <f>IFERROR(__xludf.DUMMYFUNCTION("""COMPUTED_VALUE"""),"16RytMV8yiBXzfJCYZpll7LZktPSSGF4KWO7qf7ok8JQ")</f>
        <v>16RytMV8yiBXzfJCYZpll7LZktPSSGF4KWO7qf7ok8JQ</v>
      </c>
      <c r="D25" s="16"/>
      <c r="E25" s="16"/>
      <c r="F25" s="16"/>
    </row>
    <row r="26" ht="15.75" customHeight="1" spans="1:6">
      <c r="A26" s="16" t="str">
        <f>IFERROR(__xludf.DUMMYFUNCTION("""COMPUTED_VALUE"""),"DailyValuation")</f>
        <v>DailyValuation</v>
      </c>
      <c r="B26" s="16" t="str">
        <f>IFERROR(__xludf.DUMMYFUNCTION("""COMPUTED_VALUE"""),"UpdateMarkPrice")</f>
        <v>UpdateMarkPrice</v>
      </c>
      <c r="C26" s="16" t="str">
        <f>IFERROR(__xludf.DUMMYFUNCTION("""COMPUTED_VALUE"""),"1enXmitAcl2gpCRQiXEHfGs14iE42srrOblgmWD48ZBs")</f>
        <v>1enXmitAcl2gpCRQiXEHfGs14iE42srrOblgmWD48ZBs</v>
      </c>
      <c r="D26" s="16"/>
      <c r="E26" s="16"/>
      <c r="F26" s="16"/>
    </row>
    <row r="27" ht="15.75" customHeight="1" spans="1:6">
      <c r="A27" s="16" t="str">
        <f>IFERROR(__xludf.DUMMYFUNCTION("""COMPUTED_VALUE"""),"Import")</f>
        <v>Import</v>
      </c>
      <c r="B27" s="16" t="str">
        <f>IFERROR(__xludf.DUMMYFUNCTION("""COMPUTED_VALUE"""),"Import")</f>
        <v>Import</v>
      </c>
      <c r="C27" s="16" t="str">
        <f>IFERROR(__xludf.DUMMYFUNCTION("""COMPUTED_VALUE"""),"1C7Ks4F1TdJ8FZ6aZHjbrGn084nRfj8jEyfA5AFY5Nq0")</f>
        <v>1C7Ks4F1TdJ8FZ6aZHjbrGn084nRfj8jEyfA5AFY5Nq0</v>
      </c>
      <c r="D27" s="16"/>
      <c r="E27" s="16"/>
      <c r="F27" s="16"/>
    </row>
    <row r="28" ht="15.75" customHeight="1" spans="1:6">
      <c r="A28" s="16" t="str">
        <f>IFERROR(__xludf.DUMMYFUNCTION("""COMPUTED_VALUE"""),"PortfolioManagement")</f>
        <v>PortfolioManagement</v>
      </c>
      <c r="B28" s="16" t="str">
        <f>IFERROR(__xludf.DUMMYFUNCTION("""COMPUTED_VALUE"""),"CheckDashboardPM")</f>
        <v>CheckDashboardPM</v>
      </c>
      <c r="C28" s="16" t="str">
        <f>IFERROR(__xludf.DUMMYFUNCTION("""COMPUTED_VALUE"""),"1ZYl3uoCzgPXxwJvvcfCJFn-BuPdlu5gk2xFErxHot4E")</f>
        <v>1ZYl3uoCzgPXxwJvvcfCJFn-BuPdlu5gk2xFErxHot4E</v>
      </c>
      <c r="D28" s="16"/>
      <c r="E28" s="16"/>
      <c r="F28" s="16"/>
    </row>
    <row r="29" ht="15.75" customHeight="1" spans="1:6">
      <c r="A29" s="16" t="str">
        <f>IFERROR(__xludf.DUMMYFUNCTION("""COMPUTED_VALUE"""),"PortfolioManagement")</f>
        <v>PortfolioManagement</v>
      </c>
      <c r="B29" s="16" t="str">
        <f>IFERROR(__xludf.DUMMYFUNCTION("""COMPUTED_VALUE"""),"CheckPortfolioManagement")</f>
        <v>CheckPortfolioManagement</v>
      </c>
      <c r="C29" s="16" t="str">
        <f>IFERROR(__xludf.DUMMYFUNCTION("""COMPUTED_VALUE"""),"1dhMZot7F9QQRFijtknpohXOzfw-LKDG0jNChXBmHnV0")</f>
        <v>1dhMZot7F9QQRFijtknpohXOzfw-LKDG0jNChXBmHnV0</v>
      </c>
      <c r="D29" s="16"/>
      <c r="E29" s="16"/>
      <c r="F29" s="16"/>
    </row>
    <row r="30" ht="15.75" customHeight="1" spans="1:6">
      <c r="A30" s="16" t="str">
        <f>IFERROR(__xludf.DUMMYFUNCTION("""COMPUTED_VALUE"""),"PortfolioManagement")</f>
        <v>PortfolioManagement</v>
      </c>
      <c r="B30" s="16" t="str">
        <f>IFERROR(__xludf.DUMMYFUNCTION("""COMPUTED_VALUE"""),"CheckPMLiveFeed")</f>
        <v>CheckPMLiveFeed</v>
      </c>
      <c r="C30" s="16" t="str">
        <f>IFERROR(__xludf.DUMMYFUNCTION("""COMPUTED_VALUE"""),"1PvJslce4o2d-qEGhOJrynvXMJkt18ljCw9Pu5raIKXY")</f>
        <v>1PvJslce4o2d-qEGhOJrynvXMJkt18ljCw9Pu5raIKXY</v>
      </c>
      <c r="D30" s="16"/>
      <c r="E30" s="16"/>
      <c r="F30" s="16"/>
    </row>
    <row r="31" ht="15.75" customHeight="1" spans="1:6">
      <c r="A31" s="16" t="str">
        <f>IFERROR(__xludf.DUMMYFUNCTION("""COMPUTED_VALUE"""),"PricingInput")</f>
        <v>PricingInput</v>
      </c>
      <c r="B31" s="16" t="str">
        <f>IFERROR(__xludf.DUMMYFUNCTION("""COMPUTED_VALUE"""),"PricingInput")</f>
        <v>PricingInput</v>
      </c>
      <c r="C31" s="16" t="str">
        <f>IFERROR(__xludf.DUMMYFUNCTION("""COMPUTED_VALUE"""),"1MWj-Ewd_04hjbFCDp4jovmv42JdTVXl3OPLl_2Xl8YM")</f>
        <v>1MWj-Ewd_04hjbFCDp4jovmv42JdTVXl3OPLl_2Xl8YM</v>
      </c>
      <c r="D31" s="16"/>
      <c r="E31" s="16"/>
      <c r="F31" s="16"/>
    </row>
    <row r="32" ht="15.75" customHeight="1" spans="1:6">
      <c r="A32" s="16" t="str">
        <f>IFERROR(__xludf.DUMMYFUNCTION("""COMPUTED_VALUE"""),"PricingInput")</f>
        <v>PricingInput</v>
      </c>
      <c r="B32" s="16" t="str">
        <f>IFERROR(__xludf.DUMMYFUNCTION("""COMPUTED_VALUE"""),"UpdateSharesOutstanding")</f>
        <v>UpdateSharesOutstanding</v>
      </c>
      <c r="C32" s="16" t="str">
        <f>IFERROR(__xludf.DUMMYFUNCTION("""COMPUTED_VALUE"""),"14QSrtmSo-hnXcnllkpyGNjEuADSVYEG-iEsa8-G5EZw")</f>
        <v>14QSrtmSo-hnXcnllkpyGNjEuADSVYEG-iEsa8-G5EZw</v>
      </c>
      <c r="D32" s="16"/>
      <c r="E32" s="16"/>
      <c r="F32" s="16"/>
    </row>
    <row r="33" ht="15.75" customHeight="1" spans="1:6">
      <c r="A33" s="16" t="str">
        <f>IFERROR(__xludf.DUMMYFUNCTION("""COMPUTED_VALUE"""),"SymbolLookup")</f>
        <v>SymbolLookup</v>
      </c>
      <c r="B33" s="16" t="str">
        <f>IFERROR(__xludf.DUMMYFUNCTION("""COMPUTED_VALUE"""),"VerifySymbolLookUp")</f>
        <v>VerifySymbolLookUp</v>
      </c>
      <c r="C33" s="16" t="str">
        <f>IFERROR(__xludf.DUMMYFUNCTION("""COMPUTED_VALUE"""),"1Cgo4_M28Dd3NnKk4ASpCKTv_dvi6I8bjSSceZyVjX9A")</f>
        <v>1Cgo4_M28Dd3NnKk4ASpCKTv_dvi6I8bjSSceZyVjX9A</v>
      </c>
      <c r="D33" s="16"/>
      <c r="E33" s="16"/>
      <c r="F33" s="16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 spans="1:3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 spans="1:3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 spans="1:3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 spans="1:3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 spans="1:3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 spans="1:3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 spans="1:3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 spans="1:3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 spans="1:3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 spans="1:3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 spans="1:3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 spans="1:3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 spans="1:3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 spans="1:3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 spans="1:3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 spans="1:3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 spans="1:3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 spans="1:3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 spans="1:3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 spans="1:3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 spans="1:3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 spans="1:3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 spans="1:3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 spans="1:3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 spans="1:3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 spans="1:3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 spans="1:3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 spans="1:3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 spans="1:3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 spans="1:3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 spans="1:3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 spans="1:3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 spans="1:3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 spans="1:3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 spans="1:3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 spans="1:3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 spans="1:3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 spans="1:3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 spans="1:3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 spans="1:3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 spans="1:3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 spans="1:3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 spans="1:3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 spans="1:3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 spans="1:3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 spans="1:3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 spans="1:3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 spans="1:3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 spans="1:3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 spans="1:3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 spans="1:3">
      <c r="A118" s="16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 spans="1:3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 spans="1:3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 spans="1:3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 spans="1:3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 spans="1:3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 spans="1:3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 spans="1:3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 spans="1:3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 spans="1:3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 spans="1:3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 spans="1:3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 spans="1:3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 spans="1:3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 spans="1:3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 spans="1:3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 spans="1:3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 spans="1:3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 spans="1:3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 spans="1:3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 spans="1:3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 spans="1:3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 spans="1:3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 spans="1:3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 spans="1:3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 spans="1:3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 spans="1:3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 spans="1:3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 spans="1:3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 spans="1:3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 spans="1:3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 spans="1:3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 spans="1:3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 spans="1:3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 spans="1:3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 spans="1:3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 spans="1:3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 spans="1:3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 spans="1:3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 spans="1:3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 spans="1:3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 spans="1:3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 spans="1:3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 spans="1:3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 spans="1:3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 spans="1:3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 spans="1:3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 spans="1:3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 spans="1:3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 spans="1:3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 spans="1:3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 spans="1:3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 spans="1:3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 spans="1:3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 spans="1:3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 spans="1:3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 spans="1:3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 spans="1:3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 spans="1:3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 spans="1:3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 spans="1:3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 spans="1:3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 spans="1:3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 spans="1:3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 spans="1:3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 spans="1:3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 spans="1:3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 spans="1:3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 spans="1:3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 spans="1:3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 spans="1:3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 spans="1:3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 spans="1:3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 spans="1:3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 spans="1:3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 spans="1:3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 spans="1:3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 spans="1:3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 spans="1:3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 spans="1:3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 spans="1:3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 spans="1:3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 spans="1:3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 spans="1:3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 spans="1:3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 spans="1:3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 spans="1:3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 spans="1:3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 spans="1:3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 spans="1:3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 spans="1:3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 spans="1:3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 spans="1:3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 spans="1:3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 spans="1:3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 spans="1:3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 spans="1:3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 spans="1:3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 spans="1:3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 spans="1:3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 spans="1:3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 spans="1:3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 spans="1:3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 spans="1:3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 spans="1:3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 spans="1:3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 spans="1:3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 spans="1:3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 spans="1:3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 spans="1:3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 spans="1:3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 spans="1:3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 spans="1:3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 spans="1:3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 spans="1:3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 spans="1:3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 spans="1:3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 spans="1:3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 spans="1:3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 spans="1:3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 spans="1:3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 spans="1:3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 spans="1:3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 spans="1:3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 spans="1:3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 spans="1:3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 spans="1:3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 spans="1:3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 spans="1:3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 spans="1:3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 spans="1:3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 spans="1:3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 spans="1:3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 spans="1:3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 spans="1:3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 spans="1:3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 spans="1:3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 spans="1:3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 spans="1:3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 spans="1:3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 spans="1:3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 spans="1:3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 spans="1:3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 spans="1:3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 spans="1:3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 spans="1:3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 spans="1:3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 spans="1:3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 spans="1:3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 spans="1:3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 spans="1:3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 spans="1:3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 spans="1:3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 spans="1:3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 spans="1:3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 spans="1:3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 spans="1:3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 spans="1:3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 spans="1:3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 spans="1:3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 spans="1:3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 spans="1:3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 spans="1:3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 spans="1:3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 spans="1:3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 spans="1:3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 spans="1:3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 spans="1:3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 spans="1:3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 spans="1:3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 spans="1:3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 spans="1:3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 spans="1:3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 spans="1:3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 spans="1:3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 spans="1:3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 spans="1:3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 spans="1:3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 spans="1:3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 spans="1:3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 spans="1:3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 spans="1:3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 spans="1:3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 spans="1:3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 spans="1:3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 spans="1:3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 spans="1:3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 spans="1:3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 spans="1:3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 spans="1:3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 spans="1:3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 spans="1:3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 spans="1:3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 spans="1:3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 spans="1:3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 spans="1:3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 spans="1:3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 spans="1:3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 spans="1:3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 spans="1:3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 spans="1:3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 spans="1:3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 spans="1:3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 spans="1:3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 spans="1:3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 spans="1:3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 spans="1:3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 spans="1:3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 spans="1:3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 spans="1:3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 spans="1:3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 spans="1:3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 spans="1:3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 spans="1:3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 spans="1:3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 spans="1:3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 spans="1:3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 spans="1:3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 spans="1:3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 spans="1:3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 spans="1:3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 spans="1:3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 spans="1:3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 spans="1:3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 spans="1:3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 spans="1:3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 spans="1:3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 spans="1:3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 spans="1:3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 spans="1:3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 spans="1:3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 spans="1:3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 spans="1:3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 spans="1:3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 spans="1:3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 spans="1:3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 spans="1:3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 spans="1:3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 spans="1:3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 spans="1:3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 spans="1:3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 spans="1:3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 spans="1:3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 spans="1:3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 spans="1:3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 spans="1:3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 spans="1:3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 spans="1:3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 spans="1:3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 spans="1:3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 spans="1:3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 spans="1:3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 spans="1:3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 spans="1:3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 spans="1:3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 spans="1:3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 spans="1:3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 spans="1:3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 spans="1:3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 spans="1:3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 spans="1:3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 spans="1:3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 spans="1:3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 spans="1:3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 spans="1:3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 spans="1:3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 spans="1:3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 spans="1:3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 spans="1:3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 spans="1:3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 spans="1:3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 spans="1:3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 spans="1:3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 spans="1:3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 spans="1:3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 spans="1:3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 spans="1:3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 spans="1:3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 spans="1:3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 spans="1:3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 spans="1:3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 spans="1:3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 spans="1:3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 spans="1:3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 spans="1:3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 spans="1:3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 spans="1:3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 spans="1:3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 spans="1:3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 spans="1:3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 spans="1:3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 spans="1:3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 spans="1:3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 spans="1:3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 spans="1:3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 spans="1:3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 spans="1:3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 spans="1:3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 spans="1:3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 spans="1:3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 spans="1:3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 spans="1:3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 spans="1:3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 spans="1:3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 spans="1:3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 spans="1:3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 spans="1:3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 spans="1:3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 spans="1:3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 spans="1:3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 spans="1:3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 spans="1:3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 spans="1:3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 spans="1:3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 spans="1:3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 spans="1:3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 spans="1:3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 spans="1:3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 spans="1:3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 spans="1:3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 spans="1:3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 spans="1:3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 spans="1:3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 spans="1:3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 spans="1:3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 spans="1:3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 spans="1:3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 spans="1:3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 spans="1:3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 spans="1:3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 spans="1:3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 spans="1:3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 spans="1:3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 spans="1:3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 spans="1:3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 spans="1:3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 spans="1:3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 spans="1:3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 spans="1:3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 spans="1:3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 spans="1:3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 spans="1:3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 spans="1:3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 spans="1:3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 spans="1:3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 spans="1:3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 spans="1:3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 spans="1:3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 spans="1:3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 spans="1:3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 spans="1:3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 spans="1:3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 spans="1:3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 spans="1:3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 spans="1:3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 spans="1:3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 spans="1:3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 spans="1:3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 spans="1:3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 spans="1:3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 spans="1:3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 spans="1:3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 spans="1:3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 spans="1:3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 spans="1:3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 spans="1:3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 spans="1:3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 spans="1:3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 spans="1:3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 spans="1:3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 spans="1:3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 spans="1:3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 spans="1:3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 spans="1:3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 spans="1:3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 spans="1:3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 spans="1:3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 spans="1:3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 spans="1:3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 spans="1:3">
      <c r="A1" s="22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4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"/>
  <sheetViews>
    <sheetView workbookViewId="0">
      <selection activeCell="A1" sqref="A1:F1"/>
    </sheetView>
  </sheetViews>
  <sheetFormatPr defaultColWidth="15.1333333333333" defaultRowHeight="15" customHeight="1"/>
  <cols>
    <col min="4" max="4" width="33.6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16"/>
      <c r="B2" s="16"/>
      <c r="C2" s="16"/>
      <c r="D2" s="16"/>
      <c r="E2" s="16"/>
      <c r="F2" s="16"/>
    </row>
    <row r="3" customHeight="1" spans="1:26">
      <c r="A3" s="6" t="s">
        <v>8</v>
      </c>
      <c r="B3" s="20" t="s">
        <v>9</v>
      </c>
      <c r="C3" s="20" t="s">
        <v>10</v>
      </c>
      <c r="D3" s="20"/>
      <c r="E3" s="20"/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Height="1" spans="1: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 customHeight="1" spans="1:4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 customHeight="1" spans="1:4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 customHeight="1" spans="1:4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 customHeight="1" spans="1:4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 customHeight="1" spans="1:4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 customHeight="1" spans="1:4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 customHeight="1" spans="1:4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 customHeight="1" spans="1:4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 customHeight="1" spans="1:4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 customHeight="1" spans="1: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 customHeight="1" spans="1:4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 customHeight="1" spans="1:4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 customHeight="1" spans="1:4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 customHeight="1" spans="1:4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 customHeight="1" spans="1:4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 customHeight="1" spans="1:4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IFERROR(__xludf.DUMMYFUNCTION("IF(C3="""","""",Transpose(IMPORTRANGE('_Settings'!$B$3,C3&amp;""!A4:A1000"")))"),"SetCompliancePermission")</f>
        <v>SetCompliancePermission</v>
      </c>
      <c r="C4" s="8" t="str">
        <f>IFERROR(__xludf.DUMMYFUNCTION("""COMPUTED_VALUE"""),"DeleteSymbolFromSM")</f>
        <v>DeleteSymbolFromSM</v>
      </c>
      <c r="D4" s="8" t="str">
        <f>IFERROR(__xludf.DUMMYFUNCTION("""COMPUTED_VALUE"""),"TradeAuditCleanUp")</f>
        <v>TradeAuditCleanUp</v>
      </c>
      <c r="E4" s="8" t="str">
        <f>IFERROR(__xludf.DUMMYFUNCTION("""COMPUTED_VALUE"""),"RestartSQL")</f>
        <v>RestartSQL</v>
      </c>
      <c r="F4" s="8" t="str">
        <f>IFERROR(__xludf.DUMMYFUNCTION("""COMPUTED_VALUE"""),"RevertingSMSharesOutValue")</f>
        <v>RevertingSMSharesOutValue</v>
      </c>
      <c r="G4" s="8" t="str">
        <f>IFERROR(__xludf.DUMMYFUNCTION("""COMPUTED_VALUE"""),"UpdateFee")</f>
        <v>UpdateFee</v>
      </c>
      <c r="H4" s="8" t="str">
        <f>IFERROR(__xludf.DUMMYFUNCTION("""COMPUTED_VALUE"""),"UpdateSecFee")</f>
        <v>UpdateSecFee</v>
      </c>
      <c r="I4" s="8" t="str">
        <f>IFERROR(__xludf.DUMMYFUNCTION("""COMPUTED_VALUE"""),"SetTTUIPreferences")</f>
        <v>SetTTUIPreferences</v>
      </c>
      <c r="J4" s="8" t="str">
        <f>IFERROR(__xludf.DUMMYFUNCTION("""COMPUTED_VALUE"""),"SetTTUIAdminPreferences")</f>
        <v>SetTTUIAdminPreferences</v>
      </c>
      <c r="K4" s="8" t="str">
        <f>IFERROR(__xludf.DUMMYFUNCTION("""COMPUTED_VALUE"""),"TTPermissionLevel")</f>
        <v>TTPermissionLevel</v>
      </c>
      <c r="L4" s="8" t="str">
        <f>IFERROR(__xludf.DUMMYFUNCTION("""COMPUTED_VALUE"""),"RenameMasterStrategy")</f>
        <v>RenameMasterStrategy</v>
      </c>
      <c r="M4" s="8" t="str">
        <f>IFERROR(__xludf.DUMMYFUNCTION("""COMPUTED_VALUE"""),"UpdateExpirationDate")</f>
        <v>UpdateExpirationDate</v>
      </c>
      <c r="N4" s="8" t="str">
        <f>IFERROR(__xludf.DUMMYFUNCTION("""COMPUTED_VALUE"""),"SetComplianceAlert")</f>
        <v>SetComplianceAlert</v>
      </c>
      <c r="O4" s="8" t="str">
        <f>IFERROR(__xludf.DUMMYFUNCTION("""COMPUTED_VALUE"""),"SetShortLocateStructures")</f>
        <v>SetShortLocateStructures</v>
      </c>
      <c r="P4" s="14" t="str">
        <f>IFERROR(__xludf.DUMMYFUNCTION("""COMPUTED_VALUE"""),"IsImportOverrideOnShortLocate")</f>
        <v>IsImportOverrideOnShortLocate</v>
      </c>
      <c r="Q4" s="14" t="str">
        <f>IFERROR(__xludf.DUMMYFUNCTION("""COMPUTED_VALUE"""),"EnableDisableModule")</f>
        <v>EnableDisableModule</v>
      </c>
      <c r="R4" s="14" t="str">
        <f>IFERROR(__xludf.DUMMYFUNCTION("""COMPUTED_VALUE"""),"SetDollarAmountPermission")</f>
        <v>SetDollarAmountPermission</v>
      </c>
      <c r="S4" s="14" t="str">
        <f>IFERROR(__xludf.DUMMYFUNCTION("""COMPUTED_VALUE"""),"SetTTGeneralPreferences")</f>
        <v>SetTTGeneralPreferences</v>
      </c>
      <c r="T4" s="14" t="str">
        <f>IFERROR(__xludf.DUMMYFUNCTION("""COMPUTED_VALUE"""),"EnableBreakdownRealizedPNL")</f>
        <v>EnableBreakdownRealizedPNL</v>
      </c>
      <c r="U4" s="14" t="str">
        <f>IFERROR(__xludf.DUMMYFUNCTION("""COMPUTED_VALUE"""),"SetTradingComplianceRules")</f>
        <v>SetTradingComplianceRules</v>
      </c>
      <c r="V4" s="14" t="str">
        <f>IFERROR(__xludf.DUMMYFUNCTION("""COMPUTED_VALUE"""),"UpdateRoundLot")</f>
        <v>UpdateRoundLot</v>
      </c>
      <c r="W4" s="14" t="str">
        <f>IFERROR(__xludf.DUMMYFUNCTION("""COMPUTED_VALUE"""),"SetThirdPartyFormat")</f>
        <v>SetThirdPartyFormat</v>
      </c>
      <c r="X4" s="14" t="str">
        <f>IFERROR(__xludf.DUMMYFUNCTION("""COMPUTED_VALUE"""),"SetActive")</f>
        <v>SetActive</v>
      </c>
      <c r="Y4" s="14" t="str">
        <f>IFERROR(__xludf.DUMMYFUNCTION("""COMPUTED_VALUE"""),"SetRollover")</f>
        <v>SetRollover</v>
      </c>
      <c r="Z4" s="14" t="str">
        <f>IFERROR(__xludf.DUMMYFUNCTION("""COMPUTED_VALUE"""),"SetCheckSide")</f>
        <v>SetCheckSide</v>
      </c>
      <c r="AA4" s="14" t="str">
        <f>IFERROR(__xludf.DUMMYFUNCTION("""COMPUTED_VALUE"""),"DeleteSymbolFromSM")</f>
        <v>DeleteSymbolFromSM</v>
      </c>
      <c r="AB4" s="14" t="str">
        <f>IFERROR(__xludf.DUMMYFUNCTION("""COMPUTED_VALUE"""),"SetMasterFundOnTT")</f>
        <v>SetMasterFundOnTT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IFERROR(__xludf.DUMMYFUNCTION("""COMPUTED_VALUE"""),"OverSellTradingRule")</f>
        <v>OverSellTradingRule</v>
      </c>
      <c r="C5" s="10" t="str">
        <f>IFERROR(__xludf.DUMMYFUNCTION("""COMPUTED_VALUE"""),"OverBuyTradingRule")</f>
        <v>OverBuyTradingRule</v>
      </c>
      <c r="D5" s="10" t="str">
        <f>IFERROR(__xludf.DUMMYFUNCTION("""COMPUTED_VALUE"""),"FatFingerTradingRule")</f>
        <v>FatFingerTradingRule</v>
      </c>
      <c r="E5" s="10" t="str">
        <f>IFERROR(__xludf.DUMMYFUNCTION("""COMPUTED_VALUE"""),"UnallocatedTradeAlert")</f>
        <v>UnallocatedTradeAlert</v>
      </c>
      <c r="F5" s="10" t="str">
        <f>IFERROR(__xludf.DUMMYFUNCTION("""COMPUTED_VALUE"""),"DuplicateTradeAlert")</f>
        <v>DuplicateTradeAlert</v>
      </c>
      <c r="G5" s="10" t="str">
        <f>IFERROR(__xludf.DUMMYFUNCTION("""COMPUTED_VALUE"""),"PendingNewOrderAlert")</f>
        <v>PendingNewOrderAlert</v>
      </c>
      <c r="H5" s="10" t="str">
        <f>IFERROR(__xludf.DUMMYFUNCTION("""COMPUTED_VALUE"""),"FatFingerPercent")</f>
        <v>FatFingerPercent</v>
      </c>
      <c r="I5" s="10" t="str">
        <f>IFERROR(__xludf.DUMMYFUNCTION("""COMPUTED_VALUE"""),"DuplicateTradeAlertTime")</f>
        <v>DuplicateTradeAlertTime</v>
      </c>
      <c r="J5" s="10" t="str">
        <f>IFERROR(__xludf.DUMMYFUNCTION("""COMPUTED_VALUE"""),"PendingNewOrderAlertTime")</f>
        <v>PendingNewOrderAlertTime</v>
      </c>
      <c r="K5" s="10" t="str">
        <f>IFERROR(__xludf.DUMMYFUNCTION("""COMPUTED_VALUE"""),"FatFingerAccountOrMasterFund")</f>
        <v>FatFingerAccountOrMasterFund</v>
      </c>
      <c r="L5" s="10" t="str">
        <f>IFERROR(__xludf.DUMMYFUNCTION("""COMPUTED_VALUE"""),"IsAbsoluteAmountOrDefinePercent")</f>
        <v>IsAbsoluteAmountOrDefinePercent</v>
      </c>
      <c r="M5" s="10" t="str">
        <f>IFERROR(__xludf.DUMMYFUNCTION("""COMPUTED_VALUE"""),"IsInMarketIncluded")</f>
        <v>IsInMarketIncluded</v>
      </c>
      <c r="N5" s="10" t="str">
        <f>IFERROR(__xludf.DUMMYFUNCTION("""COMPUTED_VALUE"""),"IsSharesOutstandingRule")</f>
        <v>IsSharesOutstandingRule</v>
      </c>
      <c r="O5" s="10" t="str">
        <f>IFERROR(__xludf.DUMMYFUNCTION("""COMPUTED_VALUE"""),"SharesOutstandingPercent")</f>
        <v>SharesOutstandingPercent</v>
      </c>
      <c r="P5" s="10" t="str">
        <f>IFERROR(__xludf.DUMMYFUNCTION("""COMPUTED_VALUE"""),"SharesOutstandingAccountOrMF")</f>
        <v>SharesOutstandingAccountOrMF</v>
      </c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b">
        <v>1</v>
      </c>
      <c r="O6" s="4">
        <v>2</v>
      </c>
      <c r="P6" s="16" t="s">
        <v>16</v>
      </c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17</v>
      </c>
      <c r="D3" s="6" t="s">
        <v>9</v>
      </c>
      <c r="E3" s="7" t="s">
        <v>18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IFERROR(__xludf.DUMMYFUNCTION("IF(C3="""","""",Transpose(IMPORTRANGE('_Settings'!$B$3,C3&amp;""!A4:A1000"")))"),"VerifyBasketExport")</f>
        <v>VerifyBasketExport</v>
      </c>
      <c r="C4" s="8" t="str">
        <f>IFERROR(__xludf.DUMMYFUNCTION("""COMPUTED_VALUE"""),"OpenTTFromPST")</f>
        <v>OpenTTFromPST</v>
      </c>
      <c r="D4" s="8" t="str">
        <f>IFERROR(__xludf.DUMMYFUNCTION("""COMPUTED_VALUE"""),"CreateNewSubLiveOrder")</f>
        <v>CreateNewSubLiveOrder</v>
      </c>
      <c r="E4" s="8" t="str">
        <f>IFERROR(__xludf.DUMMYFUNCTION("""COMPUTED_VALUE"""),"CreateReplaceLiveOrder")</f>
        <v>CreateReplaceLiveOrder</v>
      </c>
      <c r="F4" s="8" t="str">
        <f>IFERROR(__xludf.DUMMYFUNCTION("""COMPUTED_VALUE"""),"EnterDetailsOnTT")</f>
        <v>EnterDetailsOnTT</v>
      </c>
      <c r="G4" s="8" t="str">
        <f>IFERROR(__xludf.DUMMYFUNCTION("""COMPUTED_VALUE"""),"ViewAllocation")</f>
        <v>ViewAllocation</v>
      </c>
      <c r="H4" s="8" t="str">
        <f>IFERROR(__xludf.DUMMYFUNCTION("""COMPUTED_VALUE"""),"ValidateSymbolTT")</f>
        <v>ValidateSymbolTT</v>
      </c>
      <c r="I4" s="8" t="str">
        <f>IFERROR(__xludf.DUMMYFUNCTION("""COMPUTED_VALUE"""),"VerifyDataTT")</f>
        <v>VerifyDataTT</v>
      </c>
      <c r="J4" s="8" t="str">
        <f>IFERROR(__xludf.DUMMYFUNCTION("""COMPUTED_VALUE"""),"SetUIPreferencesTT")</f>
        <v>SetUIPreferencesTT</v>
      </c>
      <c r="K4" s="8" t="str">
        <f>IFERROR(__xludf.DUMMYFUNCTION("""COMPUTED_VALUE"""),"SetBrokerWisePreferencesTT")</f>
        <v>SetBrokerWisePreferencesTT</v>
      </c>
      <c r="L4" s="8" t="str">
        <f>IFERROR(__xludf.DUMMYFUNCTION("""COMPUTED_VALUE"""),"VerifyComplianceOrder")</f>
        <v>VerifyComplianceOrder</v>
      </c>
      <c r="M4" s="8" t="str">
        <f>IFERROR(__xludf.DUMMYFUNCTION("""COMPUTED_VALUE"""),"TradeNewSub")</f>
        <v>TradeNewSub</v>
      </c>
      <c r="N4" s="8" t="str">
        <f>IFERROR(__xludf.DUMMYFUNCTION("""COMPUTED_VALUE"""),"SendLiveBloomberg")</f>
        <v>SendLiveBloomberg</v>
      </c>
      <c r="O4" s="8" t="str">
        <f>IFERROR(__xludf.DUMMYFUNCTION("""COMPUTED_VALUE"""),"AddOptionTrade")</f>
        <v>AddOptionTrade</v>
      </c>
      <c r="P4" s="14" t="str">
        <f>IFERROR(__xludf.DUMMYFUNCTION("""COMPUTED_VALUE"""),"CreateComplianceOrder")</f>
        <v>CreateComplianceOrder</v>
      </c>
      <c r="Q4" s="14" t="str">
        <f>IFERROR(__xludf.DUMMYFUNCTION("""COMPUTED_VALUE"""),"CreateDoneAwayOrder")</f>
        <v>CreateDoneAwayOrder</v>
      </c>
      <c r="R4" s="14" t="str">
        <f>IFERROR(__xludf.DUMMYFUNCTION("""COMPUTED_VALUE"""),"CreateStageOrder")</f>
        <v>CreateStageOrder</v>
      </c>
      <c r="S4" s="14" t="str">
        <f>IFERROR(__xludf.DUMMYFUNCTION("""COMPUTED_VALUE"""),"ToggleBlombergOnRA")</f>
        <v>ToggleBlombergOnRA</v>
      </c>
      <c r="T4" s="14" t="str">
        <f>IFERROR(__xludf.DUMMYFUNCTION("""COMPUTED_VALUE"""),"CreateReplaceOrder")</f>
        <v>CreateReplaceOrder</v>
      </c>
      <c r="U4" s="14" t="str">
        <f>IFERROR(__xludf.DUMMYFUNCTION("""COMPUTED_VALUE"""),"RemoveSymbolFromRAList")</f>
        <v>RemoveSymbolFromRAList</v>
      </c>
      <c r="V4" s="14" t="str">
        <f>IFERROR(__xludf.DUMMYFUNCTION("""COMPUTED_VALUE"""),"DeleteSymbolListFromRA")</f>
        <v>DeleteSymbolListFromRA</v>
      </c>
      <c r="W4" s="14" t="str">
        <f>IFERROR(__xludf.DUMMYFUNCTION("""COMPUTED_VALUE"""),"AddSymbolOnRAList")</f>
        <v>AddSymbolOnRAList</v>
      </c>
      <c r="X4" s="14" t="str">
        <f>IFERROR(__xludf.DUMMYFUNCTION("""COMPUTED_VALUE"""),"CheckPendingNewOrderAlert")</f>
        <v>CheckPendingNewOrderAlert</v>
      </c>
      <c r="Y4" s="14" t="str">
        <f>IFERROR(__xludf.DUMMYFUNCTION("""COMPUTED_VALUE"""),"ExportSymbolFromRAList")</f>
        <v>ExportSymbolFromRAList</v>
      </c>
      <c r="Z4" s="14" t="str">
        <f>IFERROR(__xludf.DUMMYFUNCTION("""COMPUTED_VALUE"""),"ImportSymbol")</f>
        <v>ImportSymbol</v>
      </c>
      <c r="AA4" s="14" t="str">
        <f>IFERROR(__xludf.DUMMYFUNCTION("""COMPUTED_VALUE"""),"SetGeneralPreference")</f>
        <v>SetGeneralPreference</v>
      </c>
      <c r="AB4" s="14" t="str">
        <f>IFERROR(__xludf.DUMMYFUNCTION("""COMPUTED_VALUE"""),"SetTTCompliancePreference")</f>
        <v>SetTTCompliancePreference</v>
      </c>
      <c r="AC4" s="14" t="str">
        <f>IFERROR(__xludf.DUMMYFUNCTION("""COMPUTED_VALUE"""),"UpdateMasterFundOnTT")</f>
        <v>UpdateMasterFundOnTT</v>
      </c>
      <c r="AD4" s="14" t="str">
        <f>IFERROR(__xludf.DUMMYFUNCTION("""COMPUTED_VALUE"""),"CreateLiveOrder")</f>
        <v>CreateLiveOrder</v>
      </c>
      <c r="AE4" s="14" t="str">
        <f>IFERROR(__xludf.DUMMYFUNCTION("""COMPUTED_VALUE"""),"CreateNewSubOrder")</f>
        <v>CreateNewSubOrder</v>
      </c>
      <c r="AF4" s="14" t="str">
        <f>IFERROR(__xludf.DUMMYFUNCTION("""COMPUTED_VALUE"""),"TradeBloomberg")</f>
        <v>TradeBloomberg</v>
      </c>
      <c r="AG4" s="14" t="str">
        <f>IFERROR(__xludf.DUMMYFUNCTION("""COMPUTED_VALUE"""),"ClickSymbolLookup")</f>
        <v>ClickSymbolLookup</v>
      </c>
      <c r="AH4" s="14" t="str">
        <f>IFERROR(__xludf.DUMMYFUNCTION("""COMPUTED_VALUE"""),"VerifyTT")</f>
        <v>VerifyTT</v>
      </c>
      <c r="AI4" s="14" t="str">
        <f>IFERROR(__xludf.DUMMYFUNCTION("""COMPUTED_VALUE"""),"VerifyCustomAllocationonTT")</f>
        <v>VerifyCustomAllocationonTT</v>
      </c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IFERROR(__xludf.DUMMYFUNCTION("""COMPUTED_VALUE"""),"EditOrder")</f>
        <v>EditOrder</v>
      </c>
      <c r="AO5" s="15" t="str">
        <f>IFERROR(__xludf.DUMMYFUNCTION("""COMPUTED_VALUE"""),"AllowTrade")</f>
        <v>AllowTrade</v>
      </c>
      <c r="AP5" s="15" t="str">
        <f>IFERROR(__xludf.DUMMYFUNCTION("""COMPUTED_VALUE"""),"SharesOutstandingPopUpQty")</f>
        <v>SharesOutstandingPopUpQty</v>
      </c>
      <c r="AQ5" s="15" t="str">
        <f>IFERROR(__xludf.DUMMYFUNCTION("""COMPUTED_VALUE"""),"SharesOutstandingPopUp")</f>
        <v>SharesOutstandingPopUp</v>
      </c>
      <c r="AR5" s="15" t="str">
        <f>IFERROR(__xludf.DUMMYFUNCTION("""COMPUTED_VALUE"""),"ResAllowedListPopUp")</f>
        <v>ResAllowedListPopUp</v>
      </c>
      <c r="AS5" s="15" t="str">
        <f>IFERROR(__xludf.DUMMYFUNCTION("""COMPUTED_VALUE"""),"ChkBoxBookAsSwap")</f>
        <v>ChkBoxBookAsSwap</v>
      </c>
      <c r="AT5" s="15" t="str">
        <f>IFERROR(__xludf.DUMMYFUNCTION("""COMPUTED_VALUE"""),"Interest Rate")</f>
        <v>Interest Rate</v>
      </c>
      <c r="AU5" s="15" t="str">
        <f>IFERROR(__xludf.DUMMYFUNCTION("""COMPUTED_VALUE"""),"OrderPendingNewPopup")</f>
        <v>OrderPendingNewPopup</v>
      </c>
      <c r="AV5" s="15" t="str">
        <f>IFERROR(__xludf.DUMMYFUNCTION("""COMPUTED_VALUE"""),"Master Funds")</f>
        <v>Master Funds</v>
      </c>
      <c r="AW5" s="15" t="str">
        <f>IFERROR(__xludf.DUMMYFUNCTION("""COMPUTED_VALUE"""),"Allow Duplicate Trade")</f>
        <v>Allow Duplicate Trade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6"/>
      <c r="B6" s="16" t="s">
        <v>19</v>
      </c>
      <c r="C6" s="16" t="s">
        <v>20</v>
      </c>
      <c r="D6" s="19">
        <v>2000</v>
      </c>
      <c r="E6" s="19">
        <v>2000</v>
      </c>
      <c r="F6" s="16"/>
      <c r="G6" s="16"/>
      <c r="H6" s="16"/>
      <c r="I6" s="16"/>
      <c r="J6" s="19">
        <v>1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21</v>
      </c>
      <c r="AL6" s="16" t="s">
        <v>22</v>
      </c>
      <c r="AM6" s="16"/>
      <c r="AN6" s="16"/>
      <c r="AO6" s="16"/>
      <c r="AP6" s="16"/>
      <c r="AQ6" s="16"/>
      <c r="AR6" s="18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6"/>
      <c r="B6" s="16" t="s">
        <v>20</v>
      </c>
      <c r="C6" s="16" t="s">
        <v>19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6"/>
      <c r="B6" s="16" t="s">
        <v>20</v>
      </c>
      <c r="C6" s="16" t="s">
        <v>19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6"/>
      <c r="B6" s="19">
        <v>1</v>
      </c>
      <c r="C6" s="19">
        <v>2000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27</v>
      </c>
      <c r="D3" s="6" t="s">
        <v>9</v>
      </c>
      <c r="E3" s="7" t="s">
        <v>27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IFERROR(__xludf.DUMMYFUNCTION("IF(C3="""","""",Transpose(IMPORTRANGE('_Settings'!$B$3,C3&amp;""!A4:A1000"")))"),"PricingInput")</f>
        <v>PricingInput</v>
      </c>
      <c r="C4" s="8" t="str">
        <f>IFERROR(__xludf.DUMMYFUNCTION("""COMPUTED_VALUE"""),"UpdateSharesOutstanding")</f>
        <v>UpdateSharesOutstanding</v>
      </c>
      <c r="D4" s="8" t="str">
        <f>IFERROR(__xludf.DUMMYFUNCTION("""COMPUTED_VALUE"""),"UncheckDividendYield")</f>
        <v>UncheckDividendYield</v>
      </c>
      <c r="E4" s="8" t="str">
        <f>IFERROR(__xludf.DUMMYFUNCTION("""COMPUTED_VALUE"""),"EODTPreferences")</f>
        <v>EODTPreferences</v>
      </c>
      <c r="F4" s="8" t="str">
        <f>IFERROR(__xludf.DUMMYFUNCTION("""COMPUTED_VALUE"""),"LiveData")</f>
        <v>LiveData</v>
      </c>
      <c r="G4" s="8"/>
      <c r="H4" s="8"/>
      <c r="I4" s="8"/>
      <c r="J4" s="8"/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IFERROR(__xludf.DUMMYFUNCTION("""COMPUTED_VALUE"""),"User Px")</f>
        <v>User Px</v>
      </c>
      <c r="D5" s="10" t="str">
        <f>IFERROR(__xludf.DUMMYFUNCTION("""COMPUTED_VALUE"""),"Asset Class")</f>
        <v>Asset Class</v>
      </c>
      <c r="E5" s="10" t="str">
        <f>IFERROR(__xludf.DUMMYFUNCTION("""COMPUTED_VALUE"""),"Volatility(%)")</f>
        <v>Volatility(%)</v>
      </c>
      <c r="F5" s="10" t="str">
        <f>IFERROR(__xludf.DUMMYFUNCTION("""COMPUTED_VALUE"""),"Historical Volatility")</f>
        <v>Historical Volatility</v>
      </c>
      <c r="G5" s="10" t="str">
        <f>IFERROR(__xludf.DUMMYFUNCTION("""COMPUTED_VALUE"""),"User Volatility")</f>
        <v>User Volatility</v>
      </c>
      <c r="H5" s="10" t="str">
        <f>IFERROR(__xludf.DUMMYFUNCTION("""COMPUTED_VALUE"""),"Interest Rate")</f>
        <v>Interest Rate</v>
      </c>
      <c r="I5" s="10" t="str">
        <f>IFERROR(__xludf.DUMMYFUNCTION("""COMPUTED_VALUE"""),"User Interest Rate")</f>
        <v>User Interest Rate</v>
      </c>
      <c r="J5" s="10" t="str">
        <f>IFERROR(__xludf.DUMMYFUNCTION("""COMPUTED_VALUE"""),"Dividend Yield")</f>
        <v>Dividend Yield</v>
      </c>
      <c r="K5" s="10" t="str">
        <f>IFERROR(__xludf.DUMMYFUNCTION("""COMPUTED_VALUE"""),"User Dividend Yield")</f>
        <v>User Dividend Yield</v>
      </c>
      <c r="L5" s="10" t="str">
        <f>IFERROR(__xludf.DUMMYFUNCTION("""COMPUTED_VALUE"""),"Actual Delta")</f>
        <v>Actual Delta</v>
      </c>
      <c r="M5" s="10" t="str">
        <f>IFERROR(__xludf.DUMMYFUNCTION("""COMPUTED_VALUE"""),"User Delta")</f>
        <v>User Delta</v>
      </c>
      <c r="N5" s="10" t="str">
        <f>IFERROR(__xludf.DUMMYFUNCTION("""COMPUTED_VALUE"""),"Selected Px")</f>
        <v>Selected Px</v>
      </c>
      <c r="O5" s="10" t="str">
        <f>IFERROR(__xludf.DUMMYFUNCTION("""COMPUTED_VALUE"""),"Forward Points")</f>
        <v>Forward Points</v>
      </c>
      <c r="P5" s="10" t="str">
        <f>IFERROR(__xludf.DUMMYFUNCTION("""COMPUTED_VALUE"""),"Shares Outstanding")</f>
        <v>Shares Outstanding</v>
      </c>
      <c r="Q5" s="10" t="str">
        <f>IFERROR(__xludf.DUMMYFUNCTION("""COMPUTED_VALUE"""),"User Shares Outstanding")</f>
        <v>User Shares Outstanding</v>
      </c>
      <c r="R5" s="10" t="str">
        <f>IFERROR(__xludf.DUMMYFUNCTION("""COMPUTED_VALUE"""),"LastPriceUsed")</f>
        <v>LastPriceUsed</v>
      </c>
      <c r="S5" s="10" t="str">
        <f>IFERROR(__xludf.DUMMYFUNCTION("""COMPUTED_VALUE"""),"VolatilityUsed")</f>
        <v>VolatilityUsed</v>
      </c>
      <c r="T5" s="15" t="str">
        <f>IFERROR(__xludf.DUMMYFUNCTION("""COMPUTED_VALUE"""),"IntRateUsed")</f>
        <v>IntRateUsed</v>
      </c>
      <c r="U5" s="15" t="str">
        <f>IFERROR(__xludf.DUMMYFUNCTION("""COMPUTED_VALUE"""),"SM Shares Outstanding")</f>
        <v>SM Shares Outstanding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6"/>
      <c r="B6" s="16" t="s">
        <v>19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8">
        <v>1000000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T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76" width="12.6285714285714" customWidth="1"/>
  </cols>
  <sheetData>
    <row r="1" ht="15.75" customHeight="1" spans="1:176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76">
      <c r="A3" s="5"/>
      <c r="B3" s="6" t="s">
        <v>8</v>
      </c>
      <c r="C3" s="7" t="s">
        <v>28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ht="15.75" customHeight="1" spans="1:176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IFERROR(__xludf.DUMMYFUNCTION("""COMPUTED_VALUE"""),"CheckPMLiveFeed")</f>
        <v>CheckPMLiveFeed</v>
      </c>
      <c r="E4" s="8" t="str">
        <f>IFERROR(__xludf.DUMMYFUNCTION("""COMPUTED_VALUE"""),"OpenPSTFromPM")</f>
        <v>OpenPSTFromPM</v>
      </c>
      <c r="F4" s="8" t="str">
        <f>IFERROR(__xludf.DUMMYFUNCTION("""COMPUTED_VALUE"""),"IncreasePositionFromPM")</f>
        <v>IncreasePositionFromPM</v>
      </c>
      <c r="G4" s="8" t="str">
        <f>IFERROR(__xludf.DUMMYFUNCTION("""COMPUTED_VALUE"""),"ClosePM")</f>
        <v>ClosePM</v>
      </c>
      <c r="H4" s="8" t="str">
        <f>IFERROR(__xludf.DUMMYFUNCTION("""COMPUTED_VALUE"""),"RemoveGroupingFromPM")</f>
        <v>RemoveGroupingFromPM</v>
      </c>
      <c r="I4" s="8" t="str">
        <f>IFERROR(__xludf.DUMMYFUNCTION("""COMPUTED_VALUE"""),"OpenCreateTransactionFromPM")</f>
        <v>OpenCreateTransactionFromPM</v>
      </c>
      <c r="J4" s="8" t="str">
        <f>IFERROR(__xludf.DUMMYFUNCTION("""COMPUTED_VALUE"""),"FilterPM")</f>
        <v>FilterPM</v>
      </c>
      <c r="K4" s="8" t="str">
        <f>IFERROR(__xludf.DUMMYFUNCTION("""COMPUTED_VALUE"""),"GroupRowPM")</f>
        <v>GroupRowPM</v>
      </c>
      <c r="L4" s="8" t="str">
        <f>IFERROR(__xludf.DUMMYFUNCTION("""COMPUTED_VALUE"""),"CheckDashboardWithPM")</f>
        <v>CheckDashboardWithPM</v>
      </c>
      <c r="M4" s="8" t="str">
        <f>IFERROR(__xludf.DUMMYFUNCTION("""COMPUTED_VALUE"""),"RemoveFilterPM")</f>
        <v>RemoveFilterPM</v>
      </c>
      <c r="N4" s="8" t="str">
        <f>IFERROR(__xludf.DUMMYFUNCTION("""COMPUTED_VALUE"""),"CheckSummaryRowsPM")</f>
        <v>CheckSummaryRowsPM</v>
      </c>
      <c r="O4" s="8" t="str">
        <f>IFERROR(__xludf.DUMMYFUNCTION("""COMPUTED_VALUE"""),"OpenPTTFromPM")</f>
        <v>OpenPTTFromPM</v>
      </c>
      <c r="P4" s="14" t="str">
        <f>IFERROR(__xludf.DUMMYFUNCTION("""COMPUTED_VALUE"""),"DeleteCustomViewPM")</f>
        <v>DeleteCustomViewPM</v>
      </c>
      <c r="Q4" s="14" t="str">
        <f>IFERROR(__xludf.DUMMYFUNCTION("""COMPUTED_VALUE"""),"RenameCustomViewPM")</f>
        <v>RenameCustomViewPM</v>
      </c>
      <c r="R4" s="14" t="str">
        <f>IFERROR(__xludf.DUMMYFUNCTION("""COMPUTED_VALUE"""),"AddCustomViewRightClickPM")</f>
        <v>AddCustomViewRightClickPM</v>
      </c>
      <c r="S4" s="14" t="str">
        <f>IFERROR(__xludf.DUMMYFUNCTION("""COMPUTED_VALUE"""),"AddCustomViewPM")</f>
        <v>AddCustomViewPM</v>
      </c>
      <c r="T4" s="14" t="str">
        <f>IFERROR(__xludf.DUMMYFUNCTION("""COMPUTED_VALUE"""),"ExpandCollapsePM")</f>
        <v>ExpandCollapsePM</v>
      </c>
      <c r="U4" s="14" t="str">
        <f>IFERROR(__xludf.DUMMYFUNCTION("""COMPUTED_VALUE"""),"CloseSelectedTaxlotsFromPM")</f>
        <v>CloseSelectedTaxlotsFromPM</v>
      </c>
      <c r="V4" s="14" t="str">
        <f>IFERROR(__xludf.DUMMYFUNCTION("""COMPUTED_VALUE"""),"CloseAccountPositionFromPM")</f>
        <v>CloseAccountPositionFromPM</v>
      </c>
      <c r="W4" s="14" t="str">
        <f>IFERROR(__xludf.DUMMYFUNCTION("""COMPUTED_VALUE"""),"HideSummaryToolFromPM")</f>
        <v>HideSummaryToolFromPM</v>
      </c>
      <c r="X4" s="14" t="str">
        <f>IFERROR(__xludf.DUMMYFUNCTION("""COMPUTED_VALUE"""),"ShowSummaryToolFromPM")</f>
        <v>ShowSummaryToolFromPM</v>
      </c>
      <c r="Y4" s="14" t="str">
        <f>IFERROR(__xludf.DUMMYFUNCTION("""COMPUTED_VALUE"""),"ClosePositionFromPM")</f>
        <v>ClosePositionFromPM</v>
      </c>
      <c r="Z4" s="14" t="str">
        <f>IFERROR(__xludf.DUMMYFUNCTION("""COMPUTED_VALUE"""),"OpenDailyValuationFromPM")</f>
        <v>OpenDailyValuationFromPM</v>
      </c>
      <c r="AA4" s="14" t="str">
        <f>IFERROR(__xludf.DUMMYFUNCTION("""COMPUTED_VALUE"""),"OpenCorporateActionFromPM")</f>
        <v>OpenCorporateActionFromPM</v>
      </c>
      <c r="AB4" s="14" t="str">
        <f>IFERROR(__xludf.DUMMYFUNCTION("""COMPUTED_VALUE"""),"OpenClosingFromPM")</f>
        <v>OpenClosingFromPM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</row>
    <row r="5" ht="15.75" customHeight="1" spans="1:176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5" t="str">
        <f>IFERROR(__xludf.DUMMYFUNCTION("""COMPUTED_VALUE"""),"Asset Class")</f>
        <v>Asset Class</v>
      </c>
      <c r="U5" s="15" t="str">
        <f>IFERROR(__xludf.DUMMYFUNCTION("""COMPUTED_VALUE"""),"Underlying")</f>
        <v>Underlying</v>
      </c>
      <c r="V5" s="15" t="str">
        <f>IFERROR(__xludf.DUMMYFUNCTION("""COMPUTED_VALUE"""),"Exchange")</f>
        <v>Exchange</v>
      </c>
      <c r="W5" s="15" t="str">
        <f>IFERROR(__xludf.DUMMYFUNCTION("""COMPUTED_VALUE"""),"Trade Currency")</f>
        <v>Trade Currency</v>
      </c>
      <c r="X5" s="15" t="str">
        <f>IFERROR(__xludf.DUMMYFUNCTION("""COMPUTED_VALUE"""),"Multiplier")</f>
        <v>Multiplier</v>
      </c>
      <c r="Y5" s="15" t="str">
        <f>IFERROR(__xludf.DUMMYFUNCTION("""COMPUTED_VALUE"""),"FX Rate")</f>
        <v>FX Rate</v>
      </c>
      <c r="Z5" s="15" t="str">
        <f>IFERROR(__xludf.DUMMYFUNCTION("""COMPUTED_VALUE"""),"Vs Currency")</f>
        <v>Vs Currency</v>
      </c>
      <c r="AA5" s="15" t="str">
        <f>IFERROR(__xludf.DUMMYFUNCTION("""COMPUTED_VALUE"""),"Lead Currency")</f>
        <v>Lead Currency</v>
      </c>
      <c r="AB5" s="15" t="str">
        <f>IFERROR(__xludf.DUMMYFUNCTION("""COMPUTED_VALUE"""),"Dividend Yield (%)")</f>
        <v>Dividend Yield (%)</v>
      </c>
      <c r="AC5" s="15" t="str">
        <f>IFERROR(__xludf.DUMMYFUNCTION("""COMPUTED_VALUE"""),"% Change")</f>
        <v>% Change</v>
      </c>
      <c r="AD5" s="15" t="str">
        <f>IFERROR(__xludf.DUMMYFUNCTION("""COMPUTED_VALUE"""),"Net Exposure (Local)")</f>
        <v>Net Exposure (Local)</v>
      </c>
      <c r="AE5" s="15" t="str">
        <f>IFERROR(__xludf.DUMMYFUNCTION("""COMPUTED_VALUE"""),"Exposure (Local)")</f>
        <v>Exposure (Local)</v>
      </c>
      <c r="AF5" s="15" t="str">
        <f>IFERROR(__xludf.DUMMYFUNCTION("""COMPUTED_VALUE"""),"Delta Adj. Position")</f>
        <v>Delta Adj. Position</v>
      </c>
      <c r="AG5" s="15" t="str">
        <f>IFERROR(__xludf.DUMMYFUNCTION("""COMPUTED_VALUE"""),"Exposure (Base)")</f>
        <v>Exposure (Base)</v>
      </c>
      <c r="AH5" s="15" t="str">
        <f>IFERROR(__xludf.DUMMYFUNCTION("""COMPUTED_VALUE"""),"Beta Adj. Exposure (Local)")</f>
        <v>Beta Adj. Exposure (Local)</v>
      </c>
      <c r="AI5" s="15" t="str">
        <f>IFERROR(__xludf.DUMMYFUNCTION("""COMPUTED_VALUE"""),"Beta Adj. Exposure (Base)")</f>
        <v>Beta Adj. Exposure (Base)</v>
      </c>
      <c r="AJ5" s="15" t="str">
        <f>IFERROR(__xludf.DUMMYFUNCTION("""COMPUTED_VALUE"""),"Exposure (BP)(Base)")</f>
        <v>Exposure (BP)(Base)</v>
      </c>
      <c r="AK5" s="15" t="str">
        <f>IFERROR(__xludf.DUMMYFUNCTION("""COMPUTED_VALUE"""),"Day P&amp;L (Local)")</f>
        <v>Day P&amp;L (Local)</v>
      </c>
      <c r="AL5" s="15" t="str">
        <f>IFERROR(__xludf.DUMMYFUNCTION("""COMPUTED_VALUE"""),"Delta")</f>
        <v>Delta</v>
      </c>
      <c r="AM5" s="15" t="str">
        <f>IFERROR(__xludf.DUMMYFUNCTION("""COMPUTED_VALUE"""),"Leveraged Factor")</f>
        <v>Leveraged Factor</v>
      </c>
      <c r="AN5" s="15" t="str">
        <f>IFERROR(__xludf.DUMMYFUNCTION("""COMPUTED_VALUE"""),"Order Side")</f>
        <v>Order Side</v>
      </c>
      <c r="AO5" s="15" t="str">
        <f>IFERROR(__xludf.DUMMYFUNCTION("""COMPUTED_VALUE"""),"Master Strategy")</f>
        <v>Master Strategy</v>
      </c>
      <c r="AP5" s="15" t="str">
        <f>IFERROR(__xludf.DUMMYFUNCTION("""COMPUTED_VALUE"""),"Transaction Side")</f>
        <v>Transaction Side</v>
      </c>
      <c r="AQ5" s="15" t="str">
        <f>IFERROR(__xludf.DUMMYFUNCTION("""COMPUTED_VALUE"""),"Underlying Symbol")</f>
        <v>Underlying Symbol</v>
      </c>
      <c r="AR5" s="15" t="str">
        <f>IFERROR(__xludf.DUMMYFUNCTION("""COMPUTED_VALUE"""),"Underlying Price")</f>
        <v>Underlying Price</v>
      </c>
      <c r="AS5" s="15" t="str">
        <f>IFERROR(__xludf.DUMMYFUNCTION("""COMPUTED_VALUE"""),"Side Multiplier")</f>
        <v>Side Multiplier</v>
      </c>
      <c r="AT5" s="15" t="str">
        <f>IFERROR(__xludf.DUMMYFUNCTION("""COMPUTED_VALUE"""),"Description")</f>
        <v>Description</v>
      </c>
      <c r="AU5" s="15" t="str">
        <f>IFERROR(__xludf.DUMMYFUNCTION("""COMPUTED_VALUE"""),"Internal Comments")</f>
        <v>Internal Comments</v>
      </c>
      <c r="AV5" s="15" t="str">
        <f>IFERROR(__xludf.DUMMYFUNCTION("""COMPUTED_VALUE"""),"FX Rate On Trade Date")</f>
        <v>FX Rate On Trade Date</v>
      </c>
      <c r="AW5" s="15" t="str">
        <f>IFERROR(__xludf.DUMMYFUNCTION("""COMPUTED_VALUE"""),"Cost Basis P&amp;L (Local)")</f>
        <v>Cost Basis P&amp;L (Local)</v>
      </c>
      <c r="AX5" s="15" t="str">
        <f>IFERROR(__xludf.DUMMYFUNCTION("""COMPUTED_VALUE"""),"Day Interest")</f>
        <v>Day Interest</v>
      </c>
      <c r="AY5" s="15" t="str">
        <f>IFERROR(__xludf.DUMMYFUNCTION("""COMPUTED_VALUE"""),"Total Interest")</f>
        <v>Total Interest</v>
      </c>
      <c r="AZ5" s="15" t="str">
        <f>IFERROR(__xludf.DUMMYFUNCTION("""COMPUTED_VALUE"""),"Market Value (Local)")</f>
        <v>Market Value (Local)</v>
      </c>
      <c r="BA5" s="15" t="str">
        <f>IFERROR(__xludf.DUMMYFUNCTION("""COMPUTED_VALUE"""),"% Gain/Loss Day")</f>
        <v>% Gain/Loss Day</v>
      </c>
      <c r="BB5" s="15" t="str">
        <f>IFERROR(__xludf.DUMMYFUNCTION("""COMPUTED_VALUE"""),"Update Time (Last Price)")</f>
        <v>Update Time (Last Price)</v>
      </c>
      <c r="BC5" s="15" t="str">
        <f>IFERROR(__xludf.DUMMYFUNCTION("""COMPUTED_VALUE"""),"Beta")</f>
        <v>Beta</v>
      </c>
      <c r="BD5" s="15" t="str">
        <f>IFERROR(__xludf.DUMMYFUNCTION("""COMPUTED_VALUE"""),"Cash Impact (Local)")</f>
        <v>Cash Impact (Local)</v>
      </c>
      <c r="BE5" s="15" t="str">
        <f>IFERROR(__xludf.DUMMYFUNCTION("""COMPUTED_VALUE"""),"User Asset")</f>
        <v>User Asset</v>
      </c>
      <c r="BF5" s="15" t="str">
        <f>IFERROR(__xludf.DUMMYFUNCTION("""COMPUTED_VALUE"""),"Security Type")</f>
        <v>Security Type</v>
      </c>
      <c r="BG5" s="15" t="str">
        <f>IFERROR(__xludf.DUMMYFUNCTION("""COMPUTED_VALUE"""),"Sector")</f>
        <v>Sector</v>
      </c>
      <c r="BH5" s="15" t="str">
        <f>IFERROR(__xludf.DUMMYFUNCTION("""COMPUTED_VALUE"""),"Sub Sector")</f>
        <v>Sub Sector</v>
      </c>
      <c r="BI5" s="15" t="str">
        <f>IFERROR(__xludf.DUMMYFUNCTION("""COMPUTED_VALUE"""),"Country")</f>
        <v>Country</v>
      </c>
      <c r="BJ5" s="15" t="str">
        <f>IFERROR(__xludf.DUMMYFUNCTION("""COMPUTED_VALUE"""),"Market Cap")</f>
        <v>Market Cap</v>
      </c>
      <c r="BK5" s="15" t="str">
        <f>IFERROR(__xludf.DUMMYFUNCTION("""COMPUTED_VALUE"""),"Shares Outstanding (MM)")</f>
        <v>Shares Outstanding (MM)</v>
      </c>
      <c r="BL5" s="15" t="str">
        <f>IFERROR(__xludf.DUMMYFUNCTION("""COMPUTED_VALUE"""),"Avg Volume 20 Day")</f>
        <v>Avg Volume 20 Day</v>
      </c>
      <c r="BM5" s="15" t="str">
        <f>IFERROR(__xludf.DUMMYFUNCTION("""COMPUTED_VALUE"""),"% Avg Volume (Delta Adj.)")</f>
        <v>% Avg Volume (Delta Adj.)</v>
      </c>
      <c r="BN5" s="15" t="str">
        <f>IFERROR(__xludf.DUMMYFUNCTION("""COMPUTED_VALUE"""),"Ex Dividend Date")</f>
        <v>Ex Dividend Date</v>
      </c>
      <c r="BO5" s="15" t="str">
        <f>IFERROR(__xludf.DUMMYFUNCTION("""COMPUTED_VALUE"""),"Cash Impact (Base)")</f>
        <v>Cash Impact (Base)</v>
      </c>
      <c r="BP5" s="15" t="str">
        <f>IFERROR(__xludf.DUMMYFUNCTION("""COMPUTED_VALUE"""),"Volatility (%)")</f>
        <v>Volatility (%)</v>
      </c>
      <c r="BQ5" s="15" t="str">
        <f>IFERROR(__xludf.DUMMYFUNCTION("""COMPUTED_VALUE"""),"User")</f>
        <v>User</v>
      </c>
      <c r="BR5" s="15" t="str">
        <f>IFERROR(__xludf.DUMMYFUNCTION("""COMPUTED_VALUE"""),"Broker")</f>
        <v>Broker</v>
      </c>
      <c r="BS5" s="15" t="str">
        <f>IFERROR(__xludf.DUMMYFUNCTION("""COMPUTED_VALUE"""),"Earned Dividend (Local)")</f>
        <v>Earned Dividend (Local)</v>
      </c>
      <c r="BT5" s="15" t="str">
        <f>IFERROR(__xludf.DUMMYFUNCTION("""COMPUTED_VALUE"""),"Earned Dividend (Base)")</f>
        <v>Earned Dividend (Base)</v>
      </c>
      <c r="BU5" s="15" t="str">
        <f>IFERROR(__xludf.DUMMYFUNCTION("""COMPUTED_VALUE"""),"Put/Call")</f>
        <v>Put/Call</v>
      </c>
      <c r="BV5" s="15" t="str">
        <f>IFERROR(__xludf.DUMMYFUNCTION("""COMPUTED_VALUE"""),"Expiration Date")</f>
        <v>Expiration Date</v>
      </c>
      <c r="BW5" s="15" t="str">
        <f>IFERROR(__xludf.DUMMYFUNCTION("""COMPUTED_VALUE"""),"Strike Price")</f>
        <v>Strike Price</v>
      </c>
      <c r="BX5" s="15" t="str">
        <f>IFERROR(__xludf.DUMMYFUNCTION("""COMPUTED_VALUE"""),"Gross Exposure (Base)")</f>
        <v>Gross Exposure (Base)</v>
      </c>
      <c r="BY5" s="15" t="str">
        <f>IFERROR(__xludf.DUMMYFUNCTION("""COMPUTED_VALUE"""),"Gross Market Value (Base)")</f>
        <v>Gross Market Value (Base)</v>
      </c>
      <c r="BZ5" s="15" t="str">
        <f>IFERROR(__xludf.DUMMYFUNCTION("""COMPUTED_VALUE"""),"Px Selected Feed (Local)")</f>
        <v>Px Selected Feed (Local)</v>
      </c>
      <c r="CA5" s="15" t="str">
        <f>IFERROR(__xludf.DUMMYFUNCTION("""COMPUTED_VALUE"""),"Px Selected Feed (Base)")</f>
        <v>Px Selected Feed (Base)</v>
      </c>
      <c r="CB5" s="15" t="str">
        <f>IFERROR(__xludf.DUMMYFUNCTION("""COMPUTED_VALUE"""),"Settlement Date")</f>
        <v>Settlement Date</v>
      </c>
      <c r="CC5" s="15" t="str">
        <f>IFERROR(__xludf.DUMMYFUNCTION("""COMPUTED_VALUE"""),"% Avg Volume")</f>
        <v>% Avg Volume</v>
      </c>
      <c r="CD5" s="15" t="str">
        <f>IFERROR(__xludf.DUMMYFUNCTION("""COMPUTED_VALUE"""),"Day P&amp;L (Base)(Price Gain)")</f>
        <v>Day P&amp;L (Base)(Price Gain)</v>
      </c>
      <c r="CE5" s="15" t="str">
        <f>IFERROR(__xludf.DUMMYFUNCTION("""COMPUTED_VALUE"""),"Day P&amp;L (Base)(FX Gain)")</f>
        <v>Day P&amp;L (Base)(FX Gain)</v>
      </c>
      <c r="CF5" s="15" t="str">
        <f>IFERROR(__xludf.DUMMYFUNCTION("""COMPUTED_VALUE"""),"Cost Basis P&amp;L (Base)(FX Gain)")</f>
        <v>Cost Basis P&amp;L (Base)(FX Gain)</v>
      </c>
      <c r="CG5" s="15" t="str">
        <f>IFERROR(__xludf.DUMMYFUNCTION("""COMPUTED_VALUE"""),"Cost Basis P&amp;L (Base)(Price Gain)")</f>
        <v>Cost Basis P&amp;L (Base)(Price Gain)</v>
      </c>
      <c r="CH5" s="15" t="str">
        <f>IFERROR(__xludf.DUMMYFUNCTION("""COMPUTED_VALUE"""),"% Gain/Loss Cost")</f>
        <v>% Gain/Loss Cost</v>
      </c>
      <c r="CI5" s="15" t="str">
        <f>IFERROR(__xludf.DUMMYFUNCTION("""COMPUTED_VALUE"""),"Underlying Value (Options)")</f>
        <v>Underlying Value (Options)</v>
      </c>
      <c r="CJ5" s="15" t="str">
        <f>IFERROR(__xludf.DUMMYFUNCTION("""COMPUTED_VALUE"""),"Avg Volume 20 Day (Underlying Symbol)")</f>
        <v>Avg Volume 20 Day (Underlying Symbol)</v>
      </c>
      <c r="CK5" s="15" t="str">
        <f>IFERROR(__xludf.DUMMYFUNCTION("""COMPUTED_VALUE"""),"IsStaleData")</f>
        <v>IsStaleData</v>
      </c>
      <c r="CL5" s="15" t="str">
        <f>IFERROR(__xludf.DUMMYFUNCTION("""COMPUTED_VALUE"""),"IDCO")</f>
        <v>IDCO</v>
      </c>
      <c r="CM5" s="15" t="str">
        <f>IFERROR(__xludf.DUMMYFUNCTION("""COMPUTED_VALUE"""),"OSI")</f>
        <v>OSI</v>
      </c>
      <c r="CN5" s="15" t="str">
        <f>IFERROR(__xludf.DUMMYFUNCTION("""COMPUTED_VALUE"""),"SEDOL")</f>
        <v>SEDOL</v>
      </c>
      <c r="CO5" s="15" t="str">
        <f>IFERROR(__xludf.DUMMYFUNCTION("""COMPUTED_VALUE"""),"CUSIP")</f>
        <v>CUSIP</v>
      </c>
      <c r="CP5" s="15" t="str">
        <f>IFERROR(__xludf.DUMMYFUNCTION("""COMPUTED_VALUE"""),"Bloomberg")</f>
        <v>Bloomberg</v>
      </c>
      <c r="CQ5" s="15" t="str">
        <f>IFERROR(__xludf.DUMMYFUNCTION("""COMPUTED_VALUE"""),"ISIN")</f>
        <v>ISIN</v>
      </c>
      <c r="CR5" s="15" t="str">
        <f>IFERROR(__xludf.DUMMYFUNCTION("""COMPUTED_VALUE"""),"Start Trade Date")</f>
        <v>Start Trade Date</v>
      </c>
      <c r="CS5" s="15" t="str">
        <f>IFERROR(__xludf.DUMMYFUNCTION("""COMPUTED_VALUE"""),"Cost Basis (Break Even)")</f>
        <v>Cost Basis (Break Even)</v>
      </c>
      <c r="CT5" s="15" t="str">
        <f>IFERROR(__xludf.DUMMYFUNCTION("""COMPUTED_VALUE"""),"Trade Attribute 3")</f>
        <v>Trade Attribute 3</v>
      </c>
      <c r="CU5" s="15" t="str">
        <f>IFERROR(__xludf.DUMMYFUNCTION("""COMPUTED_VALUE"""),"Trade Attribute 4")</f>
        <v>Trade Attribute 4</v>
      </c>
      <c r="CV5" s="15" t="str">
        <f>IFERROR(__xludf.DUMMYFUNCTION("""COMPUTED_VALUE"""),"Trade Attribute 5")</f>
        <v>Trade Attribute 5</v>
      </c>
      <c r="CW5" s="15" t="str">
        <f>IFERROR(__xludf.DUMMYFUNCTION("""COMPUTED_VALUE"""),"Trade Attribute 6")</f>
        <v>Trade Attribute 6</v>
      </c>
      <c r="CX5" s="15" t="str">
        <f>IFERROR(__xludf.DUMMYFUNCTION("""COMPUTED_VALUE"""),"Proxy Symbol")</f>
        <v>Proxy Symbol</v>
      </c>
      <c r="CY5" s="15" t="str">
        <f>IFERROR(__xludf.DUMMYFUNCTION("""COMPUTED_VALUE"""),"Pricing Source")</f>
        <v>Pricing Source</v>
      </c>
      <c r="CZ5" s="15" t="str">
        <f>IFERROR(__xludf.DUMMYFUNCTION("""COMPUTED_VALUE"""),"Delta Source")</f>
        <v>Delta Source</v>
      </c>
      <c r="DA5" s="15" t="str">
        <f>IFERROR(__xludf.DUMMYFUNCTION("""COMPUTED_VALUE"""),"Gross Exposure (Local)")</f>
        <v>Gross Exposure (Local)</v>
      </c>
      <c r="DB5" s="15" t="str">
        <f>IFERROR(__xludf.DUMMYFUNCTION("""COMPUTED_VALUE"""),"% Day P&amp;L (Net MV)")</f>
        <v>% Day P&amp;L (Net MV)</v>
      </c>
      <c r="DC5" s="15" t="str">
        <f>IFERROR(__xludf.DUMMYFUNCTION("""COMPUTED_VALUE"""),"Expiration Month")</f>
        <v>Expiration Month</v>
      </c>
      <c r="DD5" s="15" t="str">
        <f>IFERROR(__xludf.DUMMYFUNCTION("""COMPUTED_VALUE"""),"Delta Adj. Position (LME)")</f>
        <v>Delta Adj. Position (LME)</v>
      </c>
      <c r="DE5" s="15" t="str">
        <f>IFERROR(__xludf.DUMMYFUNCTION("""COMPUTED_VALUE"""),"Premium")</f>
        <v>Premium</v>
      </c>
      <c r="DF5" s="15" t="str">
        <f>IFERROR(__xludf.DUMMYFUNCTION("""COMPUTED_VALUE"""),"Premium $")</f>
        <v>Premium $</v>
      </c>
      <c r="DG5" s="15" t="str">
        <f>IFERROR(__xludf.DUMMYFUNCTION("""COMPUTED_VALUE"""),"Forward Points")</f>
        <v>Forward Points</v>
      </c>
      <c r="DH5" s="15" t="str">
        <f>IFERROR(__xludf.DUMMYFUNCTION("""COMPUTED_VALUE"""),"Closing Mark (Underlying)")</f>
        <v>Closing Mark (Underlying)</v>
      </c>
      <c r="DI5" s="15" t="str">
        <f>IFERROR(__xludf.DUMMYFUNCTION("""COMPUTED_VALUE"""),"% Change (Underlying Price)")</f>
        <v>% Change (Underlying Price)</v>
      </c>
      <c r="DJ5" s="15" t="str">
        <f>IFERROR(__xludf.DUMMYFUNCTION("""COMPUTED_VALUE"""),"Transaction Type")</f>
        <v>Transaction Type</v>
      </c>
      <c r="DK5" s="15" t="str">
        <f>IFERROR(__xludf.DUMMYFUNCTION("""COMPUTED_VALUE"""),"Closing Market Value (Local)")</f>
        <v>Closing Market Value (Local)</v>
      </c>
      <c r="DL5" s="15" t="str">
        <f>IFERROR(__xludf.DUMMYFUNCTION("""COMPUTED_VALUE"""),"Closing Market Value (Base)")</f>
        <v>Closing Market Value (Base)</v>
      </c>
      <c r="DM5" s="15" t="str">
        <f>IFERROR(__xludf.DUMMYFUNCTION("""COMPUTED_VALUE"""),"Closing FX Rate")</f>
        <v>Closing FX Rate</v>
      </c>
      <c r="DN5" s="15" t="str">
        <f>IFERROR(__xludf.DUMMYFUNCTION("""COMPUTED_VALUE"""),"Change In Underlying Price")</f>
        <v>Change In Underlying Price</v>
      </c>
      <c r="DO5" s="15" t="str">
        <f>IFERROR(__xludf.DUMMYFUNCTION("""COMPUTED_VALUE"""),"RIC")</f>
        <v>RIC</v>
      </c>
      <c r="DP5" s="15" t="str">
        <f>IFERROR(__xludf.DUMMYFUNCTION("""COMPUTED_VALUE"""),"Position Side Exposure (Boxed)")</f>
        <v>Position Side Exposure (Boxed)</v>
      </c>
      <c r="DQ5" s="15" t="str">
        <f>IFERROR(__xludf.DUMMYFUNCTION("""COMPUTED_VALUE"""),"Analyst")</f>
        <v>Analyst</v>
      </c>
      <c r="DR5" s="15" t="str">
        <f>IFERROR(__xludf.DUMMYFUNCTION("""COMPUTED_VALUE"""),"Country Of Risk")</f>
        <v>Country Of Risk</v>
      </c>
      <c r="DS5" s="15" t="str">
        <f>IFERROR(__xludf.DUMMYFUNCTION("""COMPUTED_VALUE"""),"Custom UDA1")</f>
        <v>Custom UDA1</v>
      </c>
      <c r="DT5" s="15" t="str">
        <f>IFERROR(__xludf.DUMMYFUNCTION("""COMPUTED_VALUE"""),"Custom UDA2")</f>
        <v>Custom UDA2</v>
      </c>
      <c r="DU5" s="15" t="str">
        <f>IFERROR(__xludf.DUMMYFUNCTION("""COMPUTED_VALUE"""),"Custom UDA3")</f>
        <v>Custom UDA3</v>
      </c>
      <c r="DV5" s="15" t="str">
        <f>IFERROR(__xludf.DUMMYFUNCTION("""COMPUTED_VALUE"""),"Custom UDA4")</f>
        <v>Custom UDA4</v>
      </c>
      <c r="DW5" s="15" t="str">
        <f>IFERROR(__xludf.DUMMYFUNCTION("""COMPUTED_VALUE"""),"Custom UDA5")</f>
        <v>Custom UDA5</v>
      </c>
      <c r="DX5" s="15" t="str">
        <f>IFERROR(__xludf.DUMMYFUNCTION("""COMPUTED_VALUE"""),"Custom UDA6")</f>
        <v>Custom UDA6</v>
      </c>
      <c r="DY5" s="15" t="str">
        <f>IFERROR(__xludf.DUMMYFUNCTION("""COMPUTED_VALUE"""),"Custom UDA7")</f>
        <v>Custom UDA7</v>
      </c>
      <c r="DZ5" s="15" t="str">
        <f>IFERROR(__xludf.DUMMYFUNCTION("""COMPUTED_VALUE"""),"Issuer")</f>
        <v>Issuer</v>
      </c>
      <c r="EA5" s="15" t="str">
        <f>IFERROR(__xludf.DUMMYFUNCTION("""COMPUTED_VALUE"""),"Liquid Tag")</f>
        <v>Liquid Tag</v>
      </c>
      <c r="EB5" s="15" t="str">
        <f>IFERROR(__xludf.DUMMYFUNCTION("""COMPUTED_VALUE"""),"Market Cap UDA")</f>
        <v>Market Cap UDA</v>
      </c>
      <c r="EC5" s="15" t="str">
        <f>IFERROR(__xludf.DUMMYFUNCTION("""COMPUTED_VALUE"""),"Region")</f>
        <v>Region</v>
      </c>
      <c r="ED5" s="15" t="str">
        <f>IFERROR(__xludf.DUMMYFUNCTION("""COMPUTED_VALUE"""),"Risk Currency")</f>
        <v>Risk Currency</v>
      </c>
      <c r="EE5" s="15" t="str">
        <f>IFERROR(__xludf.DUMMYFUNCTION("""COMPUTED_VALUE"""),"UCITS Eligible Tag")</f>
        <v>UCITS Eligible Tag</v>
      </c>
      <c r="EF5" s="15" t="str">
        <f>IFERROR(__xludf.DUMMYFUNCTION("""COMPUTED_VALUE"""),"FX Rate (Display)")</f>
        <v>FX Rate (Display)</v>
      </c>
      <c r="EG5" s="15" t="str">
        <f>IFERROR(__xludf.DUMMYFUNCTION("""COMPUTED_VALUE"""),"% Net Exposure (Base)")</f>
        <v>% Net Exposure (Base)</v>
      </c>
      <c r="EH5" s="15" t="str">
        <f>IFERROR(__xludf.DUMMYFUNCTION("""COMPUTED_VALUE"""),"% Gross Exposure (Base)")</f>
        <v>% Gross Exposure (Base)</v>
      </c>
      <c r="EI5" s="15" t="str">
        <f>IFERROR(__xludf.DUMMYFUNCTION("""COMPUTED_VALUE"""),"% Exposure (Base)")</f>
        <v>% Exposure (Base)</v>
      </c>
      <c r="EJ5" s="15" t="str">
        <f>IFERROR(__xludf.DUMMYFUNCTION("""COMPUTED_VALUE"""),"% Gross Exposure (Underlying) (Base)")</f>
        <v>% Gross Exposure (Underlying) (Base)</v>
      </c>
      <c r="EK5" s="15" t="str">
        <f>IFERROR(__xludf.DUMMYFUNCTION("""COMPUTED_VALUE"""),"% Beta Adj. Gross Exposure (Base)")</f>
        <v>% Beta Adj. Gross Exposure (Base)</v>
      </c>
      <c r="EL5" s="15" t="str">
        <f>IFERROR(__xludf.DUMMYFUNCTION("""COMPUTED_VALUE"""),"Position Side Exposure (Underlying)")</f>
        <v>Position Side Exposure (Underlying)</v>
      </c>
      <c r="EM5" s="15" t="str">
        <f>IFERROR(__xludf.DUMMYFUNCTION("""COMPUTED_VALUE"""),"Gross Exposure (Underlying) (Base)")</f>
        <v>Gross Exposure (Underlying) (Base)</v>
      </c>
      <c r="EN5" s="15" t="str">
        <f>IFERROR(__xludf.DUMMYFUNCTION("""COMPUTED_VALUE"""),"Gross Exposure (Underlying)")</f>
        <v>Gross Exposure (Underlying)</v>
      </c>
      <c r="EO5" s="15" t="str">
        <f>IFERROR(__xludf.DUMMYFUNCTION("""COMPUTED_VALUE"""),"Day Return")</f>
        <v>Day Return</v>
      </c>
      <c r="EP5" s="15" t="str">
        <f>IFERROR(__xludf.DUMMYFUNCTION("""COMPUTED_VALUE"""),"Start of Day NAV")</f>
        <v>Start of Day NAV</v>
      </c>
      <c r="EQ5" s="15" t="str">
        <f>IFERROR(__xludf.DUMMYFUNCTION("""COMPUTED_VALUE"""),"% Gross Market Value (Base)")</f>
        <v>% Gross Market Value (Base)</v>
      </c>
      <c r="ER5" s="15" t="str">
        <f>IFERROR(__xludf.DUMMYFUNCTION("""COMPUTED_VALUE"""),"Beta Adj. Gross Exposure (Underlying) (Local)")</f>
        <v>Beta Adj. Gross Exposure (Underlying) (Local)</v>
      </c>
      <c r="ES5" s="15" t="str">
        <f>IFERROR(__xludf.DUMMYFUNCTION("""COMPUTED_VALUE"""),"NAV")</f>
        <v>NAV</v>
      </c>
      <c r="ET5" s="15" t="str">
        <f>IFERROR(__xludf.DUMMYFUNCTION("""COMPUTED_VALUE"""),"% P&amp;L Contribution")</f>
        <v>% P&amp;L Contribution</v>
      </c>
      <c r="EU5" s="15" t="str">
        <f>IFERROR(__xludf.DUMMYFUNCTION("""COMPUTED_VALUE"""),"% Net Market Value (Base)")</f>
        <v>% Net Market Value (Base)</v>
      </c>
      <c r="EV5" s="15" t="str">
        <f>IFERROR(__xludf.DUMMYFUNCTION("""COMPUTED_VALUE"""),"Position Side Exposure")</f>
        <v>Position Side Exposure</v>
      </c>
      <c r="EW5" s="15" t="str">
        <f>IFERROR(__xludf.DUMMYFUNCTION("""COMPUTED_VALUE"""),"NAV (Touch)")</f>
        <v>NAV (Touch)</v>
      </c>
      <c r="EX5" s="15" t="str">
        <f>IFERROR(__xludf.DUMMYFUNCTION("""COMPUTED_VALUE"""),"IgnorePropertyChangeEvents")</f>
        <v>IgnorePropertyChangeEvents</v>
      </c>
      <c r="EY5" s="15" t="str">
        <f>IFERROR(__xludf.DUMMYFUNCTION("""COMPUTED_VALUE"""),"Trade Attribute 1")</f>
        <v>Trade Attribute 1</v>
      </c>
      <c r="EZ5" s="15" t="str">
        <f>IFERROR(__xludf.DUMMYFUNCTION("""COMPUTED_VALUE"""),"Trade Attribute 2")</f>
        <v>Trade Attribute 2</v>
      </c>
      <c r="FA5" s="15" t="str">
        <f>IFERROR(__xludf.DUMMYFUNCTION("""COMPUTED_VALUE"""),"Client")</f>
        <v>Client</v>
      </c>
      <c r="FB5" s="15" t="str">
        <f>IFERROR(__xludf.DUMMYFUNCTION("""COMPUTED_VALUE"""),"IsCustomViewTab")</f>
        <v>IsCustomViewTab</v>
      </c>
      <c r="FC5" s="15" t="str">
        <f>IFERROR(__xludf.DUMMYFUNCTION("""COMPUTED_VALUE"""),"ITM/OTM")</f>
        <v>ITM/OTM</v>
      </c>
      <c r="FD5" s="15" t="str">
        <f>IFERROR(__xludf.DUMMYFUNCTION("""COMPUTED_VALUE"""),"Days to Expiry")</f>
        <v>Days to Expiry</v>
      </c>
      <c r="FE5" s="15" t="str">
        <f>IFERROR(__xludf.DUMMYFUNCTION("""COMPUTED_VALUE"""),"% of Underlying Price")</f>
        <v>% of Underlying Price</v>
      </c>
      <c r="FF5" s="15" t="str">
        <f>IFERROR(__xludf.DUMMYFUNCTION("""COMPUTED_VALUE"""),"Intrinsic value")</f>
        <v>Intrinsic value</v>
      </c>
      <c r="FG5" s="15" t="str">
        <f>IFERROR(__xludf.DUMMYFUNCTION("""COMPUTED_VALUE"""),"Gain/Loss if Ex./Assign")</f>
        <v>Gain/Loss if Ex./Assign</v>
      </c>
      <c r="FH5" s="15" t="str">
        <f>IFERROR(__xludf.DUMMYFUNCTION("""COMPUTED_VALUE"""),"Day Traded Position")</f>
        <v>Day Traded Position</v>
      </c>
      <c r="FI5" s="15" t="str">
        <f>IFERROR(__xludf.DUMMYFUNCTION("""COMPUTED_VALUE"""),"isRowCountCheck")</f>
        <v>isRowCountCheck</v>
      </c>
      <c r="FJ5" s="15" t="str">
        <f>IFERROR(__xludf.DUMMYFUNCTION("""COMPUTED_VALUE"""),"ACTIV Symbol")</f>
        <v>ACTIV Symbol</v>
      </c>
      <c r="FK5" s="15"/>
      <c r="FL5" s="15"/>
      <c r="FM5" s="15"/>
      <c r="FN5" s="15"/>
      <c r="FO5" s="15"/>
      <c r="FP5" s="15"/>
      <c r="FQ5" s="15"/>
      <c r="FR5" s="15"/>
      <c r="FS5" s="15"/>
      <c r="FT5" s="15"/>
    </row>
    <row r="6" ht="15.75" customHeight="1" spans="1:70">
      <c r="A6" s="4"/>
      <c r="B6" s="4"/>
      <c r="C6" s="4" t="s">
        <v>19</v>
      </c>
      <c r="D6" s="4">
        <v>1000</v>
      </c>
      <c r="E6" s="4"/>
      <c r="F6" s="4"/>
      <c r="G6" s="4"/>
      <c r="H6" s="4" t="s">
        <v>30</v>
      </c>
      <c r="I6" s="4"/>
      <c r="J6" s="4"/>
      <c r="K6" s="4"/>
      <c r="L6" s="4"/>
      <c r="M6" s="4"/>
      <c r="N6" s="4"/>
      <c r="O6" s="4"/>
      <c r="AN6" s="16" t="s">
        <v>20</v>
      </c>
      <c r="AP6" s="16" t="s">
        <v>30</v>
      </c>
      <c r="AQ6" s="16" t="s">
        <v>19</v>
      </c>
      <c r="BR6" s="16" t="s">
        <v>31</v>
      </c>
    </row>
    <row r="7" ht="15.75" customHeight="1" spans="1:43">
      <c r="A7" s="4"/>
      <c r="B7" s="4"/>
      <c r="C7" s="4" t="s">
        <v>19</v>
      </c>
      <c r="D7" s="4">
        <v>1000</v>
      </c>
      <c r="E7" s="4"/>
      <c r="F7" s="4"/>
      <c r="G7" s="4"/>
      <c r="H7" s="4" t="s">
        <v>30</v>
      </c>
      <c r="I7" s="4"/>
      <c r="J7" s="4"/>
      <c r="K7" s="4"/>
      <c r="L7" s="4"/>
      <c r="M7" s="4"/>
      <c r="N7" s="4"/>
      <c r="O7" s="4"/>
      <c r="AN7" s="16" t="s">
        <v>20</v>
      </c>
      <c r="AP7" s="16" t="s">
        <v>30</v>
      </c>
      <c r="AQ7" s="16" t="s">
        <v>19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28</v>
      </c>
      <c r="D3" s="6" t="s">
        <v>9</v>
      </c>
      <c r="E3" s="7" t="s">
        <v>32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IFERROR(__xludf.DUMMYFUNCTION("""COMPUTED_VALUE"""),"CheckPMLiveFeed")</f>
        <v>CheckPMLiveFeed</v>
      </c>
      <c r="E4" s="8" t="str">
        <f>IFERROR(__xludf.DUMMYFUNCTION("""COMPUTED_VALUE"""),"OpenPSTFromPM")</f>
        <v>OpenPSTFromPM</v>
      </c>
      <c r="F4" s="8" t="str">
        <f>IFERROR(__xludf.DUMMYFUNCTION("""COMPUTED_VALUE"""),"IncreasePositionFromPM")</f>
        <v>IncreasePositionFromPM</v>
      </c>
      <c r="G4" s="8" t="str">
        <f>IFERROR(__xludf.DUMMYFUNCTION("""COMPUTED_VALUE"""),"ClosePM")</f>
        <v>ClosePM</v>
      </c>
      <c r="H4" s="8" t="str">
        <f>IFERROR(__xludf.DUMMYFUNCTION("""COMPUTED_VALUE"""),"RemoveGroupingFromPM")</f>
        <v>RemoveGroupingFromPM</v>
      </c>
      <c r="I4" s="8" t="str">
        <f>IFERROR(__xludf.DUMMYFUNCTION("""COMPUTED_VALUE"""),"OpenCreateTransactionFromPM")</f>
        <v>OpenCreateTransactionFromPM</v>
      </c>
      <c r="J4" s="8" t="str">
        <f>IFERROR(__xludf.DUMMYFUNCTION("""COMPUTED_VALUE"""),"FilterPM")</f>
        <v>FilterPM</v>
      </c>
      <c r="K4" s="8" t="str">
        <f>IFERROR(__xludf.DUMMYFUNCTION("""COMPUTED_VALUE"""),"GroupRowPM")</f>
        <v>GroupRowPM</v>
      </c>
      <c r="L4" s="8" t="str">
        <f>IFERROR(__xludf.DUMMYFUNCTION("""COMPUTED_VALUE"""),"CheckDashboardWithPM")</f>
        <v>CheckDashboardWithPM</v>
      </c>
      <c r="M4" s="8" t="str">
        <f>IFERROR(__xludf.DUMMYFUNCTION("""COMPUTED_VALUE"""),"RemoveFilterPM")</f>
        <v>RemoveFilterPM</v>
      </c>
      <c r="N4" s="8" t="str">
        <f>IFERROR(__xludf.DUMMYFUNCTION("""COMPUTED_VALUE"""),"CheckSummaryRowsPM")</f>
        <v>CheckSummaryRowsPM</v>
      </c>
      <c r="O4" s="8" t="str">
        <f>IFERROR(__xludf.DUMMYFUNCTION("""COMPUTED_VALUE"""),"OpenPTTFromPM")</f>
        <v>OpenPTTFromPM</v>
      </c>
      <c r="P4" s="14" t="str">
        <f>IFERROR(__xludf.DUMMYFUNCTION("""COMPUTED_VALUE"""),"DeleteCustomViewPM")</f>
        <v>DeleteCustomViewPM</v>
      </c>
      <c r="Q4" s="14" t="str">
        <f>IFERROR(__xludf.DUMMYFUNCTION("""COMPUTED_VALUE"""),"RenameCustomViewPM")</f>
        <v>RenameCustomViewPM</v>
      </c>
      <c r="R4" s="14" t="str">
        <f>IFERROR(__xludf.DUMMYFUNCTION("""COMPUTED_VALUE"""),"AddCustomViewRightClickPM")</f>
        <v>AddCustomViewRightClickPM</v>
      </c>
      <c r="S4" s="14" t="str">
        <f>IFERROR(__xludf.DUMMYFUNCTION("""COMPUTED_VALUE"""),"AddCustomViewPM")</f>
        <v>AddCustomViewPM</v>
      </c>
      <c r="T4" s="14" t="str">
        <f>IFERROR(__xludf.DUMMYFUNCTION("""COMPUTED_VALUE"""),"ExpandCollapsePM")</f>
        <v>ExpandCollapsePM</v>
      </c>
      <c r="U4" s="14" t="str">
        <f>IFERROR(__xludf.DUMMYFUNCTION("""COMPUTED_VALUE"""),"CloseSelectedTaxlotsFromPM")</f>
        <v>CloseSelectedTaxlotsFromPM</v>
      </c>
      <c r="V4" s="14" t="str">
        <f>IFERROR(__xludf.DUMMYFUNCTION("""COMPUTED_VALUE"""),"CloseAccountPositionFromPM")</f>
        <v>CloseAccountPositionFromPM</v>
      </c>
      <c r="W4" s="14" t="str">
        <f>IFERROR(__xludf.DUMMYFUNCTION("""COMPUTED_VALUE"""),"HideSummaryToolFromPM")</f>
        <v>HideSummaryToolFromPM</v>
      </c>
      <c r="X4" s="14" t="str">
        <f>IFERROR(__xludf.DUMMYFUNCTION("""COMPUTED_VALUE"""),"ShowSummaryToolFromPM")</f>
        <v>ShowSummaryToolFromPM</v>
      </c>
      <c r="Y4" s="14" t="str">
        <f>IFERROR(__xludf.DUMMYFUNCTION("""COMPUTED_VALUE"""),"ClosePositionFromPM")</f>
        <v>ClosePositionFromPM</v>
      </c>
      <c r="Z4" s="14" t="str">
        <f>IFERROR(__xludf.DUMMYFUNCTION("""COMPUTED_VALUE"""),"OpenDailyValuationFromPM")</f>
        <v>OpenDailyValuationFromPM</v>
      </c>
      <c r="AA4" s="14" t="str">
        <f>IFERROR(__xludf.DUMMYFUNCTION("""COMPUTED_VALUE"""),"OpenCorporateActionFromPM")</f>
        <v>OpenCorporateActionFromPM</v>
      </c>
      <c r="AB4" s="14" t="str">
        <f>IFERROR(__xludf.DUMMYFUNCTION("""COMPUTED_VALUE"""),"OpenClosingFromPM")</f>
        <v>OpenClosingFromPM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IFERROR(__xludf.DUMMYFUNCTION("""COMPUTED_VALUE"""),"ColumnName")</f>
        <v>ColumnName</v>
      </c>
      <c r="C5" s="10" t="str">
        <f>IFERROR(__xludf.DUMMYFUNCTION("""COMPUTED_VALUE"""),"FilterList")</f>
        <v>FilterList</v>
      </c>
      <c r="D5" s="10" t="str">
        <f>IFERROR(__xludf.DUMMYFUNCTION("""COMPUTED_VALUE"""),"IsCustomViewTab")</f>
        <v>IsCustomViewTab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33</v>
      </c>
      <c r="C6" s="4" t="s">
        <v>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28</v>
      </c>
      <c r="D3" s="6" t="s">
        <v>9</v>
      </c>
      <c r="E3" s="7" t="s">
        <v>34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IFERROR(__xludf.DUMMYFUNCTION("""COMPUTED_VALUE"""),"CheckPMLiveFeed")</f>
        <v>CheckPMLiveFeed</v>
      </c>
      <c r="E4" s="8" t="str">
        <f>IFERROR(__xludf.DUMMYFUNCTION("""COMPUTED_VALUE"""),"OpenPSTFromPM")</f>
        <v>OpenPSTFromPM</v>
      </c>
      <c r="F4" s="8" t="str">
        <f>IFERROR(__xludf.DUMMYFUNCTION("""COMPUTED_VALUE"""),"IncreasePositionFromPM")</f>
        <v>IncreasePositionFromPM</v>
      </c>
      <c r="G4" s="8" t="str">
        <f>IFERROR(__xludf.DUMMYFUNCTION("""COMPUTED_VALUE"""),"ClosePM")</f>
        <v>ClosePM</v>
      </c>
      <c r="H4" s="8" t="str">
        <f>IFERROR(__xludf.DUMMYFUNCTION("""COMPUTED_VALUE"""),"RemoveGroupingFromPM")</f>
        <v>RemoveGroupingFromPM</v>
      </c>
      <c r="I4" s="8" t="str">
        <f>IFERROR(__xludf.DUMMYFUNCTION("""COMPUTED_VALUE"""),"OpenCreateTransactionFromPM")</f>
        <v>OpenCreateTransactionFromPM</v>
      </c>
      <c r="J4" s="8" t="str">
        <f>IFERROR(__xludf.DUMMYFUNCTION("""COMPUTED_VALUE"""),"FilterPM")</f>
        <v>FilterPM</v>
      </c>
      <c r="K4" s="8" t="str">
        <f>IFERROR(__xludf.DUMMYFUNCTION("""COMPUTED_VALUE"""),"GroupRowPM")</f>
        <v>GroupRowPM</v>
      </c>
      <c r="L4" s="8" t="str">
        <f>IFERROR(__xludf.DUMMYFUNCTION("""COMPUTED_VALUE"""),"CheckDashboardWithPM")</f>
        <v>CheckDashboardWithPM</v>
      </c>
      <c r="M4" s="8" t="str">
        <f>IFERROR(__xludf.DUMMYFUNCTION("""COMPUTED_VALUE"""),"RemoveFilterPM")</f>
        <v>RemoveFilterPM</v>
      </c>
      <c r="N4" s="8" t="str">
        <f>IFERROR(__xludf.DUMMYFUNCTION("""COMPUTED_VALUE"""),"CheckSummaryRowsPM")</f>
        <v>CheckSummaryRowsPM</v>
      </c>
      <c r="O4" s="8" t="str">
        <f>IFERROR(__xludf.DUMMYFUNCTION("""COMPUTED_VALUE"""),"OpenPTTFromPM")</f>
        <v>OpenPTTFromPM</v>
      </c>
      <c r="P4" s="14" t="str">
        <f>IFERROR(__xludf.DUMMYFUNCTION("""COMPUTED_VALUE"""),"DeleteCustomViewPM")</f>
        <v>DeleteCustomViewPM</v>
      </c>
      <c r="Q4" s="14" t="str">
        <f>IFERROR(__xludf.DUMMYFUNCTION("""COMPUTED_VALUE"""),"RenameCustomViewPM")</f>
        <v>RenameCustomViewPM</v>
      </c>
      <c r="R4" s="14" t="str">
        <f>IFERROR(__xludf.DUMMYFUNCTION("""COMPUTED_VALUE"""),"AddCustomViewRightClickPM")</f>
        <v>AddCustomViewRightClickPM</v>
      </c>
      <c r="S4" s="14" t="str">
        <f>IFERROR(__xludf.DUMMYFUNCTION("""COMPUTED_VALUE"""),"AddCustomViewPM")</f>
        <v>AddCustomViewPM</v>
      </c>
      <c r="T4" s="14" t="str">
        <f>IFERROR(__xludf.DUMMYFUNCTION("""COMPUTED_VALUE"""),"ExpandCollapsePM")</f>
        <v>ExpandCollapsePM</v>
      </c>
      <c r="U4" s="14" t="str">
        <f>IFERROR(__xludf.DUMMYFUNCTION("""COMPUTED_VALUE"""),"CloseSelectedTaxlotsFromPM")</f>
        <v>CloseSelectedTaxlotsFromPM</v>
      </c>
      <c r="V4" s="14" t="str">
        <f>IFERROR(__xludf.DUMMYFUNCTION("""COMPUTED_VALUE"""),"CloseAccountPositionFromPM")</f>
        <v>CloseAccountPositionFromPM</v>
      </c>
      <c r="W4" s="14" t="str">
        <f>IFERROR(__xludf.DUMMYFUNCTION("""COMPUTED_VALUE"""),"HideSummaryToolFromPM")</f>
        <v>HideSummaryToolFromPM</v>
      </c>
      <c r="X4" s="14" t="str">
        <f>IFERROR(__xludf.DUMMYFUNCTION("""COMPUTED_VALUE"""),"ShowSummaryToolFromPM")</f>
        <v>ShowSummaryToolFromPM</v>
      </c>
      <c r="Y4" s="14" t="str">
        <f>IFERROR(__xludf.DUMMYFUNCTION("""COMPUTED_VALUE"""),"ClosePositionFromPM")</f>
        <v>ClosePositionFromPM</v>
      </c>
      <c r="Z4" s="14" t="str">
        <f>IFERROR(__xludf.DUMMYFUNCTION("""COMPUTED_VALUE"""),"OpenDailyValuationFromPM")</f>
        <v>OpenDailyValuationFromPM</v>
      </c>
      <c r="AA4" s="14" t="str">
        <f>IFERROR(__xludf.DUMMYFUNCTION("""COMPUTED_VALUE"""),"OpenCorporateActionFromPM")</f>
        <v>OpenCorporateActionFromPM</v>
      </c>
      <c r="AB4" s="14" t="str">
        <f>IFERROR(__xludf.DUMMYFUNCTION("""COMPUTED_VALUE"""),"OpenClosingFromPM")</f>
        <v>OpenClosingFromPM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IFERROR(__xludf.DUMMYFUNCTION("""COMPUTED_VALUE"""),"Account")</f>
        <v>Account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35</v>
      </c>
      <c r="C6" s="4" t="s">
        <v>19</v>
      </c>
      <c r="D6" s="4">
        <v>1000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tabSelected="1" topLeftCell="AL1" workbookViewId="0">
      <selection activeCell="AQ6" sqref="AQ6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17</v>
      </c>
      <c r="D3" s="6" t="s">
        <v>9</v>
      </c>
      <c r="E3" s="7" t="s">
        <v>18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IFERROR(__xludf.DUMMYFUNCTION("IF(C3="""","""",Transpose(IMPORTRANGE('_Settings'!$B$3,C3&amp;""!A4:A1000"")))"),"VerifyBasketExport")</f>
        <v>VerifyBasketExport</v>
      </c>
      <c r="C4" s="8" t="str">
        <f>IFERROR(__xludf.DUMMYFUNCTION("""COMPUTED_VALUE"""),"OpenTTFromPST")</f>
        <v>OpenTTFromPST</v>
      </c>
      <c r="D4" s="8" t="str">
        <f>IFERROR(__xludf.DUMMYFUNCTION("""COMPUTED_VALUE"""),"CreateNewSubLiveOrder")</f>
        <v>CreateNewSubLiveOrder</v>
      </c>
      <c r="E4" s="8" t="str">
        <f>IFERROR(__xludf.DUMMYFUNCTION("""COMPUTED_VALUE"""),"CreateReplaceLiveOrder")</f>
        <v>CreateReplaceLiveOrder</v>
      </c>
      <c r="F4" s="8" t="str">
        <f>IFERROR(__xludf.DUMMYFUNCTION("""COMPUTED_VALUE"""),"EnterDetailsOnTT")</f>
        <v>EnterDetailsOnTT</v>
      </c>
      <c r="G4" s="8" t="str">
        <f>IFERROR(__xludf.DUMMYFUNCTION("""COMPUTED_VALUE"""),"ViewAllocation")</f>
        <v>ViewAllocation</v>
      </c>
      <c r="H4" s="8" t="str">
        <f>IFERROR(__xludf.DUMMYFUNCTION("""COMPUTED_VALUE"""),"ValidateSymbolTT")</f>
        <v>ValidateSymbolTT</v>
      </c>
      <c r="I4" s="8" t="str">
        <f>IFERROR(__xludf.DUMMYFUNCTION("""COMPUTED_VALUE"""),"VerifyDataTT")</f>
        <v>VerifyDataTT</v>
      </c>
      <c r="J4" s="8" t="str">
        <f>IFERROR(__xludf.DUMMYFUNCTION("""COMPUTED_VALUE"""),"SetUIPreferencesTT")</f>
        <v>SetUIPreferencesTT</v>
      </c>
      <c r="K4" s="8" t="str">
        <f>IFERROR(__xludf.DUMMYFUNCTION("""COMPUTED_VALUE"""),"SetBrokerWisePreferencesTT")</f>
        <v>SetBrokerWisePreferencesTT</v>
      </c>
      <c r="L4" s="8" t="str">
        <f>IFERROR(__xludf.DUMMYFUNCTION("""COMPUTED_VALUE"""),"VerifyComplianceOrder")</f>
        <v>VerifyComplianceOrder</v>
      </c>
      <c r="M4" s="8" t="str">
        <f>IFERROR(__xludf.DUMMYFUNCTION("""COMPUTED_VALUE"""),"TradeNewSub")</f>
        <v>TradeNewSub</v>
      </c>
      <c r="N4" s="8" t="str">
        <f>IFERROR(__xludf.DUMMYFUNCTION("""COMPUTED_VALUE"""),"SendLiveBloomberg")</f>
        <v>SendLiveBloomberg</v>
      </c>
      <c r="O4" s="8" t="str">
        <f>IFERROR(__xludf.DUMMYFUNCTION("""COMPUTED_VALUE"""),"AddOptionTrade")</f>
        <v>AddOptionTrade</v>
      </c>
      <c r="P4" s="14" t="str">
        <f>IFERROR(__xludf.DUMMYFUNCTION("""COMPUTED_VALUE"""),"CreateComplianceOrder")</f>
        <v>CreateComplianceOrder</v>
      </c>
      <c r="Q4" s="14" t="str">
        <f>IFERROR(__xludf.DUMMYFUNCTION("""COMPUTED_VALUE"""),"CreateDoneAwayOrder")</f>
        <v>CreateDoneAwayOrder</v>
      </c>
      <c r="R4" s="14" t="str">
        <f>IFERROR(__xludf.DUMMYFUNCTION("""COMPUTED_VALUE"""),"CreateStageOrder")</f>
        <v>CreateStageOrder</v>
      </c>
      <c r="S4" s="14" t="str">
        <f>IFERROR(__xludf.DUMMYFUNCTION("""COMPUTED_VALUE"""),"ToggleBlombergOnRA")</f>
        <v>ToggleBlombergOnRA</v>
      </c>
      <c r="T4" s="14" t="str">
        <f>IFERROR(__xludf.DUMMYFUNCTION("""COMPUTED_VALUE"""),"CreateReplaceOrder")</f>
        <v>CreateReplaceOrder</v>
      </c>
      <c r="U4" s="14" t="str">
        <f>IFERROR(__xludf.DUMMYFUNCTION("""COMPUTED_VALUE"""),"RemoveSymbolFromRAList")</f>
        <v>RemoveSymbolFromRAList</v>
      </c>
      <c r="V4" s="14" t="str">
        <f>IFERROR(__xludf.DUMMYFUNCTION("""COMPUTED_VALUE"""),"DeleteSymbolListFromRA")</f>
        <v>DeleteSymbolListFromRA</v>
      </c>
      <c r="W4" s="14" t="str">
        <f>IFERROR(__xludf.DUMMYFUNCTION("""COMPUTED_VALUE"""),"AddSymbolOnRAList")</f>
        <v>AddSymbolOnRAList</v>
      </c>
      <c r="X4" s="14" t="str">
        <f>IFERROR(__xludf.DUMMYFUNCTION("""COMPUTED_VALUE"""),"CheckPendingNewOrderAlert")</f>
        <v>CheckPendingNewOrderAlert</v>
      </c>
      <c r="Y4" s="14" t="str">
        <f>IFERROR(__xludf.DUMMYFUNCTION("""COMPUTED_VALUE"""),"ExportSymbolFromRAList")</f>
        <v>ExportSymbolFromRAList</v>
      </c>
      <c r="Z4" s="14" t="str">
        <f>IFERROR(__xludf.DUMMYFUNCTION("""COMPUTED_VALUE"""),"ImportSymbol")</f>
        <v>ImportSymbol</v>
      </c>
      <c r="AA4" s="14" t="str">
        <f>IFERROR(__xludf.DUMMYFUNCTION("""COMPUTED_VALUE"""),"SetGeneralPreference")</f>
        <v>SetGeneralPreference</v>
      </c>
      <c r="AB4" s="14" t="str">
        <f>IFERROR(__xludf.DUMMYFUNCTION("""COMPUTED_VALUE"""),"SetTTCompliancePreference")</f>
        <v>SetTTCompliancePreference</v>
      </c>
      <c r="AC4" s="14" t="str">
        <f>IFERROR(__xludf.DUMMYFUNCTION("""COMPUTED_VALUE"""),"UpdateMasterFundOnTT")</f>
        <v>UpdateMasterFundOnTT</v>
      </c>
      <c r="AD4" s="14" t="str">
        <f>IFERROR(__xludf.DUMMYFUNCTION("""COMPUTED_VALUE"""),"CreateLiveOrder")</f>
        <v>CreateLiveOrder</v>
      </c>
      <c r="AE4" s="14" t="str">
        <f>IFERROR(__xludf.DUMMYFUNCTION("""COMPUTED_VALUE"""),"CreateNewSubOrder")</f>
        <v>CreateNewSubOrder</v>
      </c>
      <c r="AF4" s="14" t="str">
        <f>IFERROR(__xludf.DUMMYFUNCTION("""COMPUTED_VALUE"""),"TradeBloomberg")</f>
        <v>TradeBloomberg</v>
      </c>
      <c r="AG4" s="14" t="str">
        <f>IFERROR(__xludf.DUMMYFUNCTION("""COMPUTED_VALUE"""),"ClickSymbolLookup")</f>
        <v>ClickSymbolLookup</v>
      </c>
      <c r="AH4" s="14" t="str">
        <f>IFERROR(__xludf.DUMMYFUNCTION("""COMPUTED_VALUE"""),"VerifyTT")</f>
        <v>VerifyTT</v>
      </c>
      <c r="AI4" s="14" t="str">
        <f>IFERROR(__xludf.DUMMYFUNCTION("""COMPUTED_VALUE"""),"VerifyCustomAllocationonTT")</f>
        <v>VerifyCustomAllocationonTT</v>
      </c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IFERROR(__xludf.DUMMYFUNCTION("""COMPUTED_VALUE"""),"EditOrder")</f>
        <v>EditOrder</v>
      </c>
      <c r="AO5" s="15" t="str">
        <f>IFERROR(__xludf.DUMMYFUNCTION("""COMPUTED_VALUE"""),"AllowTrade")</f>
        <v>AllowTrade</v>
      </c>
      <c r="AP5" s="15" t="str">
        <f>IFERROR(__xludf.DUMMYFUNCTION("""COMPUTED_VALUE"""),"SharesOutstandingPopUpQty")</f>
        <v>SharesOutstandingPopUpQty</v>
      </c>
      <c r="AQ5" s="15" t="str">
        <f>IFERROR(__xludf.DUMMYFUNCTION("""COMPUTED_VALUE"""),"SharesOutstandingPopUp")</f>
        <v>SharesOutstandingPopUp</v>
      </c>
      <c r="AR5" s="15" t="str">
        <f>IFERROR(__xludf.DUMMYFUNCTION("""COMPUTED_VALUE"""),"ResAllowedListPopUp")</f>
        <v>ResAllowedListPopUp</v>
      </c>
      <c r="AS5" s="15" t="str">
        <f>IFERROR(__xludf.DUMMYFUNCTION("""COMPUTED_VALUE"""),"ChkBoxBookAsSwap")</f>
        <v>ChkBoxBookAsSwap</v>
      </c>
      <c r="AT5" s="15" t="str">
        <f>IFERROR(__xludf.DUMMYFUNCTION("""COMPUTED_VALUE"""),"Interest Rate")</f>
        <v>Interest Rate</v>
      </c>
      <c r="AU5" s="15" t="str">
        <f>IFERROR(__xludf.DUMMYFUNCTION("""COMPUTED_VALUE"""),"OrderPendingNewPopup")</f>
        <v>OrderPendingNewPopup</v>
      </c>
      <c r="AV5" s="15" t="str">
        <f>IFERROR(__xludf.DUMMYFUNCTION("""COMPUTED_VALUE"""),"Master Funds")</f>
        <v>Master Funds</v>
      </c>
      <c r="AW5" s="15" t="str">
        <f>IFERROR(__xludf.DUMMYFUNCTION("""COMPUTED_VALUE"""),"Allow Duplicate Trade")</f>
        <v>Allow Duplicate Trade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43">
      <c r="A6" s="4"/>
      <c r="B6" s="4" t="s">
        <v>19</v>
      </c>
      <c r="C6" s="4" t="s">
        <v>20</v>
      </c>
      <c r="D6" s="4">
        <v>19000</v>
      </c>
      <c r="E6" s="4"/>
      <c r="F6" s="4" t="s">
        <v>36</v>
      </c>
      <c r="G6" s="4" t="s">
        <v>31</v>
      </c>
      <c r="H6" s="4"/>
      <c r="I6" s="4"/>
      <c r="J6" s="4">
        <v>1</v>
      </c>
      <c r="K6" s="4"/>
      <c r="L6" s="4"/>
      <c r="M6" s="4"/>
      <c r="N6" s="4"/>
      <c r="O6" s="4"/>
      <c r="AP6" s="16">
        <v>0</v>
      </c>
      <c r="AQ6" s="16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20</v>
      </c>
      <c r="C6" s="4" t="s">
        <v>19</v>
      </c>
      <c r="D6" s="4"/>
      <c r="E6" s="4"/>
      <c r="F6" s="4"/>
      <c r="G6" s="4">
        <v>19000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䒸ૐ䒸ૐ䒸ૐ䒸ૐ䒸ૐ䒸ૐ䒸ૐ䒸ૐ䒸ૐ䒸ૐ䒸ૐ䒸ૐ䒸ૐ䒸ૐ䒸ૐ䒸ૐ붧倀耀" sqref="C3">
      <formula1>_Modules!$A$4:$A$1000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20</v>
      </c>
      <c r="C6" s="4" t="s">
        <v>19</v>
      </c>
      <c r="D6" s="4"/>
      <c r="E6" s="4"/>
      <c r="F6" s="4"/>
      <c r="G6" s="4">
        <v>19000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23</v>
      </c>
      <c r="D3" s="6" t="s">
        <v>9</v>
      </c>
      <c r="E3" s="7" t="s">
        <v>26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IFERROR(__xludf.DUMMYFUNCTION("IF(C3="""","""",Transpose(IMPORTRANGE('_Settings'!$B$3,C3&amp;""!A4:A1000"")))"),"VerifyTrades")</f>
        <v>VerifyTrades</v>
      </c>
      <c r="C4" s="8" t="str">
        <f>IFERROR(__xludf.DUMMYFUNCTION("""COMPUTED_VALUE"""),"ClearUI")</f>
        <v>ClearUI</v>
      </c>
      <c r="D4" s="8" t="str">
        <f>IFERROR(__xludf.DUMMYFUNCTION("""COMPUTED_VALUE"""),"SetManualResponse")</f>
        <v>SetManualResponse</v>
      </c>
      <c r="E4" s="8" t="str">
        <f>IFERROR(__xludf.DUMMYFUNCTION("""COMPUTED_VALUE"""),"OpenLiveTT")</f>
        <v>OpenLiveTT</v>
      </c>
      <c r="F4" s="8" t="str">
        <f>IFERROR(__xludf.DUMMYFUNCTION("""COMPUTED_VALUE"""),"CancelTrade")</f>
        <v>CancelTrade</v>
      </c>
      <c r="G4" s="8" t="str">
        <f>IFERROR(__xludf.DUMMYFUNCTION("""COMPUTED_VALUE"""),"ExecuteTrade")</f>
        <v>ExecuteTrade</v>
      </c>
      <c r="H4" s="8" t="str">
        <f>IFERROR(__xludf.DUMMYFUNCTION("""COMPUTED_VALUE"""),"RejectTrade")</f>
        <v>RejectTrade</v>
      </c>
      <c r="I4" s="8" t="str">
        <f>IFERROR(__xludf.DUMMYFUNCTION("""COMPUTED_VALUE"""),"SelectTrade")</f>
        <v>SelectTrade</v>
      </c>
      <c r="J4" s="8" t="str">
        <f>IFERROR(__xludf.DUMMYFUNCTION("""COMPUTED_VALUE"""),"AcknowledgeTrade")</f>
        <v>AcknowledgeTrade</v>
      </c>
      <c r="K4" s="8"/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>
        <v>1</v>
      </c>
      <c r="C6" s="4">
        <v>19000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37</v>
      </c>
      <c r="D3" s="6" t="s">
        <v>9</v>
      </c>
      <c r="E3" s="7" t="s">
        <v>38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IFERROR(__xludf.DUMMYFUNCTION("IF(C3="""","""",Transpose(IMPORTRANGE('_Settings'!$B$3,C3&amp;""!A4:A1000"")))"),"SelectCheckBoxOnOrderGrid")</f>
        <v>SelectCheckBoxOnOrderGrid</v>
      </c>
      <c r="C4" s="8" t="str">
        <f>IFERROR(__xludf.DUMMYFUNCTION("""COMPUTED_VALUE"""),"SaveOrRemoveInWorkingSubsTab")</f>
        <v>SaveOrRemoveInWorkingSubsTab</v>
      </c>
      <c r="D4" s="8" t="str">
        <f>IFERROR(__xludf.DUMMYFUNCTION("""COMPUTED_VALUE"""),"SaveOrRemoveInSummaryTab")</f>
        <v>SaveOrRemoveInSummaryTab</v>
      </c>
      <c r="E4" s="8" t="str">
        <f>IFERROR(__xludf.DUMMYFUNCTION("""COMPUTED_VALUE"""),"VerifyLowerStripBlotterUI")</f>
        <v>VerifyLowerStripBlotterUI</v>
      </c>
      <c r="F4" s="8" t="str">
        <f>IFERROR(__xludf.DUMMYFUNCTION("""COMPUTED_VALUE"""),"AddTabBlotter")</f>
        <v>AddTabBlotter</v>
      </c>
      <c r="G4" s="8" t="str">
        <f>IFERROR(__xludf.DUMMYFUNCTION("""COMPUTED_VALUE"""),"VerifyMergeOrder")</f>
        <v>VerifyMergeOrder</v>
      </c>
      <c r="H4" s="8" t="str">
        <f>IFERROR(__xludf.DUMMYFUNCTION("""COMPUTED_VALUE"""),"MergeOrder")</f>
        <v>MergeOrder</v>
      </c>
      <c r="I4" s="8" t="str">
        <f>IFERROR(__xludf.DUMMYFUNCTION("""COMPUTED_VALUE"""),"ReplaceFillsOnBlotter")</f>
        <v>ReplaceFillsOnBlotter</v>
      </c>
      <c r="J4" s="8" t="str">
        <f>IFERROR(__xludf.DUMMYFUNCTION("""COMPUTED_VALUE"""),"CheckBlotter")</f>
        <v>CheckBlotter</v>
      </c>
      <c r="K4" s="8" t="str">
        <f>IFERROR(__xludf.DUMMYFUNCTION("""COMPUTED_VALUE"""),"ViewPTTAllocationDetails")</f>
        <v>ViewPTTAllocationDetails</v>
      </c>
      <c r="L4" s="8" t="str">
        <f>IFERROR(__xludf.DUMMYFUNCTION("""COMPUTED_VALUE"""),"AllocateFromBlotter")</f>
        <v>AllocateFromBlotter</v>
      </c>
      <c r="M4" s="8" t="str">
        <f>IFERROR(__xludf.DUMMYFUNCTION("""COMPUTED_VALUE"""),"ModifyFills")</f>
        <v>ModifyFills</v>
      </c>
      <c r="N4" s="8" t="str">
        <f>IFERROR(__xludf.DUMMYFUNCTION("""COMPUTED_VALUE"""),"BlotterFunctionalities")</f>
        <v>BlotterFunctionalities</v>
      </c>
      <c r="O4" s="8" t="str">
        <f>IFERROR(__xludf.DUMMYFUNCTION("""COMPUTED_VALUE"""),"SelectFills")</f>
        <v>SelectFills</v>
      </c>
      <c r="P4" s="14" t="str">
        <f>IFERROR(__xludf.DUMMYFUNCTION("""COMPUTED_VALUE"""),"ReloadOrderFromWorkingSubs")</f>
        <v>ReloadOrderFromWorkingSubs</v>
      </c>
      <c r="Q4" s="14" t="str">
        <f>IFERROR(__xludf.DUMMYFUNCTION("""COMPUTED_VALUE"""),"ReloadOrderFromSubOrder")</f>
        <v>ReloadOrderFromSubOrder</v>
      </c>
      <c r="R4" s="14" t="str">
        <f>IFERROR(__xludf.DUMMYFUNCTION("""COMPUTED_VALUE"""),"ReloadOrderFromBlotter")</f>
        <v>ReloadOrderFromBlotter</v>
      </c>
      <c r="S4" s="14" t="str">
        <f>IFERROR(__xludf.DUMMYFUNCTION("""COMPUTED_VALUE"""),"MultipleTradeTransferToUser")</f>
        <v>MultipleTradeTransferToUser</v>
      </c>
      <c r="T4" s="14" t="str">
        <f>IFERROR(__xludf.DUMMYFUNCTION("""COMPUTED_VALUE"""),"BlotterExecutionReportSnapshot")</f>
        <v>BlotterExecutionReportSnapshot</v>
      </c>
      <c r="U4" s="14" t="str">
        <f>IFERROR(__xludf.DUMMYFUNCTION("""COMPUTED_VALUE"""),"VerifyExecutionReport")</f>
        <v>VerifyExecutionReport</v>
      </c>
      <c r="V4" s="14" t="str">
        <f>IFERROR(__xludf.DUMMYFUNCTION("""COMPUTED_VALUE"""),"ExportExecutionReportData")</f>
        <v>ExportExecutionReportData</v>
      </c>
      <c r="W4" s="14" t="str">
        <f>IFERROR(__xludf.DUMMYFUNCTION("""COMPUTED_VALUE"""),"GetExecutionReportDetails")</f>
        <v>GetExecutionReportDetails</v>
      </c>
      <c r="X4" s="14" t="str">
        <f>IFERROR(__xludf.DUMMYFUNCTION("""COMPUTED_VALUE"""),"GetExecutionReportOrders")</f>
        <v>GetExecutionReportOrders</v>
      </c>
      <c r="Y4" s="14" t="str">
        <f>IFERROR(__xludf.DUMMYFUNCTION("""COMPUTED_VALUE"""),"RemoveExecutionWorkingSubs")</f>
        <v>RemoveExecutionWorkingSubs</v>
      </c>
      <c r="Z4" s="14" t="str">
        <f>IFERROR(__xludf.DUMMYFUNCTION("""COMPUTED_VALUE"""),"RemoveManualExecution")</f>
        <v>RemoveManualExecution</v>
      </c>
      <c r="AA4" s="14" t="str">
        <f>IFERROR(__xludf.DUMMYFUNCTION("""COMPUTED_VALUE"""),"TransferToUserWorkingSubs")</f>
        <v>TransferToUserWorkingSubs</v>
      </c>
      <c r="AB4" s="14" t="str">
        <f>IFERROR(__xludf.DUMMYFUNCTION("""COMPUTED_VALUE"""),"OpenBlotter")</f>
        <v>OpenBlotter</v>
      </c>
      <c r="AC4" s="14" t="str">
        <f>IFERROR(__xludf.DUMMYFUNCTION("""COMPUTED_VALUE"""),"CancelWorkingSubs")</f>
        <v>CancelWorkingSubs</v>
      </c>
      <c r="AD4" s="14" t="str">
        <f>IFERROR(__xludf.DUMMYFUNCTION("""COMPUTED_VALUE"""),"ReplaceWorkingSubs")</f>
        <v>ReplaceWorkingSubs</v>
      </c>
      <c r="AE4" s="14" t="str">
        <f>IFERROR(__xludf.DUMMYFUNCTION("""COMPUTED_VALUE"""),"ViewAllocationDetailsWorkingSub")</f>
        <v>ViewAllocationDetailsWorkingSub</v>
      </c>
      <c r="AF4" s="14" t="str">
        <f>IFERROR(__xludf.DUMMYFUNCTION("""COMPUTED_VALUE"""),"OpenBlotter")</f>
        <v>OpenBlotter</v>
      </c>
      <c r="AG4" s="14" t="str">
        <f>IFERROR(__xludf.DUMMYFUNCTION("""COMPUTED_VALUE"""),"SelectTradeOnOrderGrid")</f>
        <v>SelectTradeOnOrderGrid</v>
      </c>
      <c r="AH4" s="14" t="str">
        <f>IFERROR(__xludf.DUMMYFUNCTION("""COMPUTED_VALUE"""),"ShowDetailsForAlgoTradeSubOrder")</f>
        <v>ShowDetailsForAlgoTradeSubOrder</v>
      </c>
      <c r="AI4" s="14" t="str">
        <f>IFERROR(__xludf.DUMMYFUNCTION("""COMPUTED_VALUE"""),"SelectTradeOrderBlotter")</f>
        <v>SelectTradeOrderBlotter</v>
      </c>
      <c r="AJ4" s="14" t="str">
        <f>IFERROR(__xludf.DUMMYFUNCTION("""COMPUTED_VALUE"""),"AddFillsWorkingSubs")</f>
        <v>AddFillsWorkingSubs</v>
      </c>
      <c r="AK4" s="14" t="str">
        <f>IFERROR(__xludf.DUMMYFUNCTION("""COMPUTED_VALUE"""),"EditAddFillsDetails")</f>
        <v>EditAddFillsDetails</v>
      </c>
      <c r="AL4" s="14" t="str">
        <f>IFERROR(__xludf.DUMMYFUNCTION("""COMPUTED_VALUE"""),"ShowDetailsForAlgoTradeWorkingSubs")</f>
        <v>ShowDetailsForAlgoTradeWorkingSubs</v>
      </c>
      <c r="AM4" s="14" t="str">
        <f>IFERROR(__xludf.DUMMYFUNCTION("""COMPUTED_VALUE"""),"VerifyWorkingSubs")</f>
        <v>VerifyWorkingSubs</v>
      </c>
      <c r="AN4" s="14" t="str">
        <f>IFERROR(__xludf.DUMMYFUNCTION("""COMPUTED_VALUE"""),"TransferToUserOrder")</f>
        <v>TransferToUserOrder</v>
      </c>
      <c r="AO4" s="14" t="str">
        <f>IFERROR(__xludf.DUMMYFUNCTION("""COMPUTED_VALUE"""),"EditOrder")</f>
        <v>EditOrder</v>
      </c>
      <c r="AP4" s="14" t="str">
        <f>IFERROR(__xludf.DUMMYFUNCTION("""COMPUTED_VALUE"""),"SelectTradeSubOrderBlotter")</f>
        <v>SelectTradeSubOrderBlotter</v>
      </c>
      <c r="AQ4" s="14" t="str">
        <f>IFERROR(__xludf.DUMMYFUNCTION("""COMPUTED_VALUE"""),"VerifyOrder")</f>
        <v>VerifyOrder</v>
      </c>
      <c r="AR4" s="14" t="str">
        <f>IFERROR(__xludf.DUMMYFUNCTION("""COMPUTED_VALUE"""),"VerifySubOrder")</f>
        <v>VerifySubOrder</v>
      </c>
      <c r="AS4" s="14" t="str">
        <f>IFERROR(__xludf.DUMMYFUNCTION("""COMPUTED_VALUE"""),"RemoveSelectedOrders")</f>
        <v>RemoveSelectedOrders</v>
      </c>
      <c r="AT4" s="14" t="str">
        <f>IFERROR(__xludf.DUMMYFUNCTION("""COMPUTED_VALUE"""),"CancelAllSelectedSubs")</f>
        <v>CancelAllSelectedSubs</v>
      </c>
      <c r="AU4" s="14" t="str">
        <f>IFERROR(__xludf.DUMMYFUNCTION("""COMPUTED_VALUE"""),"MultiTradingTicket")</f>
        <v>MultiTradingTicket</v>
      </c>
      <c r="AV4" s="14" t="str">
        <f>IFERROR(__xludf.DUMMYFUNCTION("""COMPUTED_VALUE"""),"AuditTrailOrderBlotter")</f>
        <v>AuditTrailOrderBlotter</v>
      </c>
      <c r="AW4" s="14" t="str">
        <f>IFERROR(__xludf.DUMMYFUNCTION("""COMPUTED_VALUE"""),"TradeNewSubOrder")</f>
        <v>TradeNewSubOrder</v>
      </c>
      <c r="AX4" s="14" t="str">
        <f>IFERROR(__xludf.DUMMYFUNCTION("""COMPUTED_VALUE"""),"RemoveStageOrder")</f>
        <v>RemoveStageOrder</v>
      </c>
      <c r="AY4" s="14" t="str">
        <f>IFERROR(__xludf.DUMMYFUNCTION("""COMPUTED_VALUE"""),"TransferToUserSubOrder")</f>
        <v>TransferToUserSubOrder</v>
      </c>
      <c r="AZ4" s="14" t="str">
        <f>IFERROR(__xludf.DUMMYFUNCTION("""COMPUTED_VALUE"""),"DetailsForAlgoTradeOrder")</f>
        <v>DetailsForAlgoTradeOrder</v>
      </c>
      <c r="BA4" s="14" t="str">
        <f>IFERROR(__xludf.DUMMYFUNCTION("""COMPUTED_VALUE"""),"AddFillsSubOrder")</f>
        <v>AddFillsSubOrder</v>
      </c>
      <c r="BB4" s="14" t="str">
        <f>IFERROR(__xludf.DUMMYFUNCTION("""COMPUTED_VALUE"""),"ViewAllocationDetailsSubOrder")</f>
        <v>ViewAllocationDetailsSubOrder</v>
      </c>
      <c r="BC4" s="14" t="str">
        <f>IFERROR(__xludf.DUMMYFUNCTION("""COMPUTED_VALUE"""),"VerifySubOrderAfterRollover")</f>
        <v>VerifySubOrderAfterRollover</v>
      </c>
      <c r="BD4" s="14" t="str">
        <f>IFERROR(__xludf.DUMMYFUNCTION("""COMPUTED_VALUE"""),"VerifyRollover")</f>
        <v>VerifyRollover</v>
      </c>
      <c r="BE4" s="14" t="str">
        <f>IFERROR(__xludf.DUMMYFUNCTION("""COMPUTED_VALUE"""),"CancelAllSubs")</f>
        <v>CancelAllSubs</v>
      </c>
      <c r="BF4" s="14" t="str">
        <f>IFERROR(__xludf.DUMMYFUNCTION("""COMPUTED_VALUE"""),"CancelSubOrder")</f>
        <v>CancelSubOrder</v>
      </c>
      <c r="BG4" s="14" t="str">
        <f>IFERROR(__xludf.DUMMYFUNCTION("""COMPUTED_VALUE"""),"EditStageOrder")</f>
        <v>EditStageOrder</v>
      </c>
      <c r="BH4" s="14" t="str">
        <f>IFERROR(__xludf.DUMMYFUNCTION("""COMPUTED_VALUE"""),"ReplaceSubOrder")</f>
        <v>ReplaceSubOrder</v>
      </c>
      <c r="BI4" s="14" t="str">
        <f>IFERROR(__xludf.DUMMYFUNCTION("""COMPUTED_VALUE"""),"SelectTradeWorkingSubsBlotter")</f>
        <v>SelectTradeWorkingSubsBlotter</v>
      </c>
      <c r="BJ4" s="14" t="str">
        <f>IFERROR(__xludf.DUMMYFUNCTION("""COMPUTED_VALUE"""),"GoToAllocation")</f>
        <v>GoToAllocation</v>
      </c>
      <c r="BK4" s="14" t="str">
        <f>IFERROR(__xludf.DUMMYFUNCTION("""COMPUTED_VALUE"""),"VerifyAlgoDetails")</f>
        <v>VerifyAlgoDetails</v>
      </c>
      <c r="BL4" s="14" t="str">
        <f>IFERROR(__xludf.DUMMYFUNCTION("""COMPUTED_VALUE"""),"VerifyTransferToUserOrder")</f>
        <v>VerifyTransferToUserOrder</v>
      </c>
      <c r="BM4" s="14" t="str">
        <f>IFERROR(__xludf.DUMMYFUNCTION("""COMPUTED_VALUE"""),"VerifyTransferToUserSubOdr")</f>
        <v>VerifyTransferToUserSubOdr</v>
      </c>
      <c r="BN4" s="14" t="str">
        <f>IFERROR(__xludf.DUMMYFUNCTION("""COMPUTED_VALUE"""),"VerifyTransferToUserWorkSub")</f>
        <v>VerifyTransferToUserWorkSub</v>
      </c>
      <c r="BO4" s="14" t="str">
        <f>IFERROR(__xludf.DUMMYFUNCTION("""COMPUTED_VALUE"""),"VerifyViewAllocationDetails")</f>
        <v>VerifyViewAllocationDetails</v>
      </c>
      <c r="BP4" s="14" t="str">
        <f>IFERROR(__xludf.DUMMYFUNCTION("""COMPUTED_VALUE"""),"SaveLayoutOrderGrid")</f>
        <v>SaveLayoutOrderGrid</v>
      </c>
      <c r="BQ4" s="14" t="str">
        <f>IFERROR(__xludf.DUMMYFUNCTION("""COMPUTED_VALUE"""),"ReplaceStageOrder")</f>
        <v>ReplaceStageOrder</v>
      </c>
      <c r="BR4" s="14" t="str">
        <f>IFERROR(__xludf.DUMMYFUNCTION("""COMPUTED_VALUE"""),"MultiTradingTicketFromBlotter")</f>
        <v>MultiTradingTicketFromBlotter</v>
      </c>
      <c r="BS4" s="14" t="str">
        <f>IFERROR(__xludf.DUMMYFUNCTION("""COMPUTED_VALUE"""),"AllocateFromBlotter")</f>
        <v>AllocateFromBlotter</v>
      </c>
      <c r="BT4" s="14" t="str">
        <f>IFERROR(__xludf.DUMMYFUNCTION("""COMPUTED_VALUE"""),"ReAllocateFromBlotterUsingAllocate")</f>
        <v>ReAllocateFromBlotterUsingAllocate</v>
      </c>
      <c r="BU4" s="14" t="str">
        <f>IFERROR(__xludf.DUMMYFUNCTION("""COMPUTED_VALUE"""),"ReAllocateFromBlotterByAllocate")</f>
        <v>ReAllocateFromBlotterByAllocate</v>
      </c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IFERROR(__xludf.DUMMYFUNCTION("""COMPUTED_VALUE"""),"Transaction Time")</f>
        <v>Transaction Time</v>
      </c>
      <c r="C5" s="10" t="str">
        <f>IFERROR(__xludf.DUMMYFUNCTION("""COMPUTED_VALUE"""),"Algo")</f>
        <v>Algo</v>
      </c>
      <c r="D5" s="10" t="str">
        <f>IFERROR(__xludf.DUMMYFUNCTION("""COMPUTED_VALUE"""),"Avg Fill Price (Base)")</f>
        <v>Avg Fill Price (Base)</v>
      </c>
      <c r="E5" s="10" t="str">
        <f>IFERROR(__xludf.DUMMYFUNCTION("""COMPUTED_VALUE"""),"Bloomberg Symbol")</f>
        <v>Bloomberg Symbol</v>
      </c>
      <c r="F5" s="10" t="str">
        <f>IFERROR(__xludf.DUMMYFUNCTION("""COMPUTED_VALUE"""),"Limit Price")</f>
        <v>Limit Price</v>
      </c>
      <c r="G5" s="10" t="str">
        <f>IFERROR(__xludf.DUMMYFUNCTION("""COMPUTED_VALUE"""),"Working Qty")</f>
        <v>Working Qty</v>
      </c>
      <c r="H5" s="10" t="str">
        <f>IFERROR(__xludf.DUMMYFUNCTION("""COMPUTED_VALUE"""),"Venue")</f>
        <v>Venue</v>
      </c>
      <c r="I5" s="10" t="str">
        <f>IFERROR(__xludf.DUMMYFUNCTION("""COMPUTED_VALUE"""),"Current User")</f>
        <v>Current User</v>
      </c>
      <c r="J5" s="10" t="str">
        <f>IFERROR(__xludf.DUMMYFUNCTION("""COMPUTED_VALUE"""),"Underlying Symbol")</f>
        <v>Underlying Symbol</v>
      </c>
      <c r="K5" s="10" t="str">
        <f>IFERROR(__xludf.DUMMYFUNCTION("""COMPUTED_VALUE"""),"Underlying Country")</f>
        <v>Underlying Country</v>
      </c>
      <c r="L5" s="10" t="str">
        <f>IFERROR(__xludf.DUMMYFUNCTION("""COMPUTED_VALUE"""),"Trader")</f>
        <v>Trader</v>
      </c>
      <c r="M5" s="10" t="str">
        <f>IFERROR(__xludf.DUMMYFUNCTION("""COMPUTED_VALUE"""),"Trade Attribute 6")</f>
        <v>Trade Attribute 6</v>
      </c>
      <c r="N5" s="10" t="str">
        <f>IFERROR(__xludf.DUMMYFUNCTION("""COMPUTED_VALUE"""),"Trade Attribute 5")</f>
        <v>Trade Attribute 5</v>
      </c>
      <c r="O5" s="10" t="str">
        <f>IFERROR(__xludf.DUMMYFUNCTION("""COMPUTED_VALUE"""),"Trade Attribute 4")</f>
        <v>Trade Attribute 4</v>
      </c>
      <c r="P5" s="10" t="str">
        <f>IFERROR(__xludf.DUMMYFUNCTION("""COMPUTED_VALUE"""),"Trade Attribute 3")</f>
        <v>Trade Attribute 3</v>
      </c>
      <c r="Q5" s="10" t="str">
        <f>IFERROR(__xludf.DUMMYFUNCTION("""COMPUTED_VALUE"""),"Trade Attribute 1")</f>
        <v>Trade Attribute 1</v>
      </c>
      <c r="R5" s="10" t="str">
        <f>IFERROR(__xludf.DUMMYFUNCTION("""COMPUTED_VALUE"""),"Trade Attribute 2")</f>
        <v>Trade Attribute 2</v>
      </c>
      <c r="S5" s="10" t="str">
        <f>IFERROR(__xludf.DUMMYFUNCTION("""COMPUTED_VALUE"""),"Strike Price")</f>
        <v>Strike Price</v>
      </c>
      <c r="T5" s="15" t="str">
        <f>IFERROR(__xludf.DUMMYFUNCTION("""COMPUTED_VALUE"""),"Stop Price")</f>
        <v>Stop Price</v>
      </c>
      <c r="U5" s="15" t="str">
        <f>IFERROR(__xludf.DUMMYFUNCTION("""COMPUTED_VALUE"""),"Settlement Currency")</f>
        <v>Settlement Currency</v>
      </c>
      <c r="V5" s="15" t="str">
        <f>IFERROR(__xludf.DUMMYFUNCTION("""COMPUTED_VALUE"""),"Put/Call")</f>
        <v>Put/Call</v>
      </c>
      <c r="W5" s="15" t="str">
        <f>IFERROR(__xludf.DUMMYFUNCTION("""COMPUTED_VALUE"""),"Process Date")</f>
        <v>Process Date</v>
      </c>
      <c r="X5" s="15" t="str">
        <f>IFERROR(__xludf.DUMMYFUNCTION("""COMPUTED_VALUE"""),"Peg")</f>
        <v>Peg</v>
      </c>
      <c r="Y5" s="15" t="str">
        <f>IFERROR(__xludf.DUMMYFUNCTION("""COMPUTED_VALUE"""),"ParentClOrderID")</f>
        <v>ParentClOrderID</v>
      </c>
      <c r="Z5" s="15" t="str">
        <f>IFERROR(__xludf.DUMMYFUNCTION("""COMPUTED_VALUE"""),"OrderID")</f>
        <v>OrderID</v>
      </c>
      <c r="AA5" s="15" t="str">
        <f>IFERROR(__xludf.DUMMYFUNCTION("""COMPUTED_VALUE"""),"Master Fund")</f>
        <v>Master Fund</v>
      </c>
      <c r="AB5" s="15" t="str">
        <f>IFERROR(__xludf.DUMMYFUNCTION("""COMPUTED_VALUE"""),"Last Shares")</f>
        <v>Last Shares</v>
      </c>
      <c r="AC5" s="15" t="str">
        <f>IFERROR(__xludf.DUMMYFUNCTION("""COMPUTED_VALUE"""),"Internal Comments")</f>
        <v>Internal Comments</v>
      </c>
      <c r="AD5" s="15" t="str">
        <f>IFERROR(__xludf.DUMMYFUNCTION("""COMPUTED_VALUE"""),"FX Rate")</f>
        <v>FX Rate</v>
      </c>
      <c r="AE5" s="15" t="str">
        <f>IFERROR(__xludf.DUMMYFUNCTION("""COMPUTED_VALUE"""),"Imported File Name")</f>
        <v>Imported File Name</v>
      </c>
      <c r="AF5" s="15" t="str">
        <f>IFERROR(__xludf.DUMMYFUNCTION("""COMPUTED_VALUE"""),"FX Conversion Operator")</f>
        <v>FX Conversion Operator</v>
      </c>
      <c r="AG5" s="15" t="str">
        <f>IFERROR(__xludf.DUMMYFUNCTION("""COMPUTED_VALUE"""),"Day Average Price")</f>
        <v>Day Average Price</v>
      </c>
      <c r="AH5" s="15" t="str">
        <f>IFERROR(__xludf.DUMMYFUNCTION("""COMPUTED_VALUE"""),"Asset Class")</f>
        <v>Asset Class</v>
      </c>
      <c r="AI5" s="15" t="str">
        <f>IFERROR(__xludf.DUMMYFUNCTION("""COMPUTED_VALUE"""),"Symbol")</f>
        <v>Symbol</v>
      </c>
      <c r="AJ5" s="15" t="str">
        <f>IFERROR(__xludf.DUMMYFUNCTION("""COMPUTED_VALUE"""),"Side")</f>
        <v>Side</v>
      </c>
      <c r="AK5" s="15" t="str">
        <f>IFERROR(__xludf.DUMMYFUNCTION("""COMPUTED_VALUE"""),"Status")</f>
        <v>Status</v>
      </c>
      <c r="AL5" s="15" t="str">
        <f>IFERROR(__xludf.DUMMYFUNCTION("""COMPUTED_VALUE"""),"Target Qty")</f>
        <v>Target Qty</v>
      </c>
      <c r="AM5" s="15" t="str">
        <f>IFERROR(__xludf.DUMMYFUNCTION("""COMPUTED_VALUE"""),"Total Executed Qty")</f>
        <v>Total Executed Qty</v>
      </c>
      <c r="AN5" s="15" t="str">
        <f>IFERROR(__xludf.DUMMYFUNCTION("""COMPUTED_VALUE"""),"% Executed")</f>
        <v>% Executed</v>
      </c>
      <c r="AO5" s="15" t="str">
        <f>IFERROR(__xludf.DUMMYFUNCTION("""COMPUTED_VALUE"""),"Day Executed Qty")</f>
        <v>Day Executed Qty</v>
      </c>
      <c r="AP5" s="15" t="str">
        <f>IFERROR(__xludf.DUMMYFUNCTION("""COMPUTED_VALUE"""),"Uncommitted Qty")</f>
        <v>Uncommitted Qty</v>
      </c>
      <c r="AQ5" s="15" t="str">
        <f>IFERROR(__xludf.DUMMYFUNCTION("""COMPUTED_VALUE"""),"Last Fill Price (Local)")</f>
        <v>Last Fill Price (Local)</v>
      </c>
      <c r="AR5" s="15" t="str">
        <f>IFERROR(__xludf.DUMMYFUNCTION("""COMPUTED_VALUE"""),"Avg Fill Price (Local)")</f>
        <v>Avg Fill Price (Local)</v>
      </c>
      <c r="AS5" s="15" t="str">
        <f>IFERROR(__xludf.DUMMYFUNCTION("""COMPUTED_VALUE"""),"Broker")</f>
        <v>Broker</v>
      </c>
      <c r="AT5" s="15" t="str">
        <f>IFERROR(__xludf.DUMMYFUNCTION("""COMPUTED_VALUE"""),"Account")</f>
        <v>Account</v>
      </c>
      <c r="AU5" s="15" t="str">
        <f>IFERROR(__xludf.DUMMYFUNCTION("""COMPUTED_VALUE"""),"Order Type")</f>
        <v>Order Type</v>
      </c>
      <c r="AV5" s="15" t="str">
        <f>IFERROR(__xludf.DUMMYFUNCTION("""COMPUTED_VALUE"""),"Principal Amount (Local)")</f>
        <v>Principal Amount (Local)</v>
      </c>
      <c r="AW5" s="15" t="str">
        <f>IFERROR(__xludf.DUMMYFUNCTION("""COMPUTED_VALUE"""),"Principal Amount (Base)")</f>
        <v>Principal Amount (Base)</v>
      </c>
      <c r="AX5" s="15" t="str">
        <f>IFERROR(__xludf.DUMMYFUNCTION("""COMPUTED_VALUE"""),"Allocation Scheme Name")</f>
        <v>Allocation Scheme Name</v>
      </c>
      <c r="AY5" s="15" t="str">
        <f>IFERROR(__xludf.DUMMYFUNCTION("""COMPUTED_VALUE"""),"Start of Day Qty")</f>
        <v>Start of Day Qty</v>
      </c>
      <c r="AZ5" s="15" t="str">
        <f>IFERROR(__xludf.DUMMYFUNCTION("""COMPUTED_VALUE"""),"Leaves")</f>
        <v>Leaves</v>
      </c>
      <c r="BA5" s="15" t="str">
        <f>IFERROR(__xludf.DUMMYFUNCTION("""COMPUTED_VALUE"""),"Actual User")</f>
        <v>Actual User</v>
      </c>
      <c r="BB5" s="15" t="str">
        <f>IFERROR(__xludf.DUMMYFUNCTION("""COMPUTED_VALUE"""),"Testing Type")</f>
        <v>Testing Type</v>
      </c>
      <c r="BC5" s="15" t="str">
        <f>IFERROR(__xludf.DUMMYFUNCTION("""COMPUTED_VALUE"""),"Testing Column")</f>
        <v>Testing Column</v>
      </c>
      <c r="BD5" s="15" t="str">
        <f>IFERROR(__xludf.DUMMYFUNCTION("""COMPUTED_VALUE"""),"Testing Col Value")</f>
        <v>Testing Col Value</v>
      </c>
      <c r="BE5" s="15" t="str">
        <f>IFERROR(__xludf.DUMMYFUNCTION("""COMPUTED_VALUE"""),"DuplicateRow")</f>
        <v>DuplicateRow</v>
      </c>
      <c r="BF5" s="15" t="str">
        <f>IFERROR(__xludf.DUMMYFUNCTION("""COMPUTED_VALUE"""),"DuplicateCountOnUI")</f>
        <v>DuplicateCountOnUI</v>
      </c>
      <c r="BG5" s="15" t="str">
        <f>IFERROR(__xludf.DUMMYFUNCTION("""COMPUTED_VALUE"""),"Transaction Source")</f>
        <v>Transaction Source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45">
      <c r="A6" s="4"/>
      <c r="B6" s="4"/>
      <c r="C6" s="4"/>
      <c r="D6" s="4"/>
      <c r="E6" s="4" t="s">
        <v>39</v>
      </c>
      <c r="F6" s="4"/>
      <c r="G6" s="4"/>
      <c r="H6" s="4"/>
      <c r="I6" s="4"/>
      <c r="J6" s="4"/>
      <c r="K6" s="4"/>
      <c r="L6" s="4"/>
      <c r="M6" s="4"/>
      <c r="N6" s="4"/>
      <c r="O6" s="4"/>
      <c r="AI6" s="16" t="s">
        <v>19</v>
      </c>
      <c r="AJ6" s="16" t="s">
        <v>20</v>
      </c>
      <c r="AK6" s="16" t="s">
        <v>40</v>
      </c>
      <c r="AL6" s="16">
        <v>19000</v>
      </c>
      <c r="AS6" s="16" t="s">
        <v>31</v>
      </c>
    </row>
    <row r="7" ht="15.75" customHeight="1" spans="1:45">
      <c r="A7" s="4"/>
      <c r="B7" s="4"/>
      <c r="C7" s="4"/>
      <c r="D7" s="4"/>
      <c r="E7" s="4" t="s">
        <v>39</v>
      </c>
      <c r="F7" s="4"/>
      <c r="G7" s="4"/>
      <c r="H7" s="4"/>
      <c r="I7" s="4"/>
      <c r="J7" s="4"/>
      <c r="K7" s="4"/>
      <c r="L7" s="4"/>
      <c r="M7" s="4"/>
      <c r="N7" s="4"/>
      <c r="O7" s="4"/>
      <c r="AI7" s="16" t="s">
        <v>19</v>
      </c>
      <c r="AJ7" s="16" t="s">
        <v>20</v>
      </c>
      <c r="AK7" s="16" t="s">
        <v>40</v>
      </c>
      <c r="AL7" s="16">
        <v>2000</v>
      </c>
      <c r="AS7" s="16" t="s">
        <v>31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8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41</v>
      </c>
      <c r="D3" s="6" t="s">
        <v>9</v>
      </c>
      <c r="E3" s="7" t="s">
        <v>42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IFERROR(__xludf.DUMMYFUNCTION("""COMPUTED_VALUE"""),"SelectAllRowsAllocated")</f>
        <v>SelectAllRowsAllocated</v>
      </c>
      <c r="J4" s="8" t="str">
        <f>IFERROR(__xludf.DUMMYFUNCTION("""COMPUTED_VALUE"""),"AllocateWithPopUp")</f>
        <v>AllocateWithPopUp</v>
      </c>
      <c r="K4" s="8" t="str">
        <f>IFERROR(__xludf.DUMMYFUNCTION("""COMPUTED_VALUE"""),"EditUnallocatedGroupSidePanel")</f>
        <v>EditUnallocatedGroupSidePanel</v>
      </c>
      <c r="L4" s="8" t="str">
        <f>IFERROR(__xludf.DUMMYFUNCTION("""COMPUTED_VALUE"""),"CheckPreferences")</f>
        <v>CheckPreferences</v>
      </c>
      <c r="M4" s="8" t="str">
        <f>IFERROR(__xludf.DUMMYFUNCTION("""COMPUTED_VALUE"""),"DeleteGroupWithOutSave")</f>
        <v>DeleteGroupWithOutSave</v>
      </c>
      <c r="N4" s="8" t="str">
        <f>IFERROR(__xludf.DUMMYFUNCTION("""COMPUTED_VALUE"""),"TradeAttributeBulkChange")</f>
        <v>TradeAttributeBulkChange</v>
      </c>
      <c r="O4" s="8" t="str">
        <f>IFERROR(__xludf.DUMMYFUNCTION("""COMPUTED_VALUE"""),"ApplyBulkUpdateOnGroups")</f>
        <v>ApplyBulkUpdateOnGroups</v>
      </c>
      <c r="P4" s="14" t="str">
        <f>IFERROR(__xludf.DUMMYFUNCTION("""COMPUTED_VALUE"""),"ApplyPrefetchFilters")</f>
        <v>ApplyPrefetchFilters</v>
      </c>
      <c r="Q4" s="14" t="str">
        <f>IFERROR(__xludf.DUMMYFUNCTION("""COMPUTED_VALUE"""),"GeneralPreferencesDefaultRule")</f>
        <v>GeneralPreferencesDefaultRule</v>
      </c>
      <c r="R4" s="14" t="str">
        <f>IFERROR(__xludf.DUMMYFUNCTION("""COMPUTED_VALUE"""),"GeneralPrefCompanyUserWise")</f>
        <v>GeneralPrefCompanyUserWise</v>
      </c>
      <c r="S4" s="14" t="str">
        <f>IFERROR(__xludf.DUMMYFUNCTION("""COMPUTED_VALUE"""),"RenameTradeAttributes")</f>
        <v>RenameTradeAttributes</v>
      </c>
      <c r="T4" s="14" t="str">
        <f>IFERROR(__xludf.DUMMYFUNCTION("""COMPUTED_VALUE"""),"SetGroupingRules")</f>
        <v>SetGroupingRules</v>
      </c>
      <c r="U4" s="14" t="str">
        <f>IFERROR(__xludf.DUMMYFUNCTION("""COMPUTED_VALUE"""),"SetMasterFundRatio")</f>
        <v>SetMasterFundRatio</v>
      </c>
      <c r="V4" s="14" t="str">
        <f>IFERROR(__xludf.DUMMYFUNCTION("""COMPUTED_VALUE"""),"CheckFixedPreference")</f>
        <v>CheckFixedPreference</v>
      </c>
      <c r="W4" s="14" t="str">
        <f>IFERROR(__xludf.DUMMYFUNCTION("""COMPUTED_VALUE"""),"GetFixedPreference")</f>
        <v>GetFixedPreference</v>
      </c>
      <c r="X4" s="14" t="str">
        <f>IFERROR(__xludf.DUMMYFUNCTION("""COMPUTED_VALUE"""),"AddCalculatedPreferences")</f>
        <v>AddCalculatedPreferences</v>
      </c>
      <c r="Y4" s="14" t="str">
        <f>IFERROR(__xludf.DUMMYFUNCTION("""COMPUTED_VALUE"""),"BulkChangeCalculatedPreferences")</f>
        <v>BulkChangeCalculatedPreferences</v>
      </c>
      <c r="Z4" s="14" t="str">
        <f>IFERROR(__xludf.DUMMYFUNCTION("""COMPUTED_VALUE"""),"CheckAuditTrailData")</f>
        <v>CheckAuditTrailData</v>
      </c>
      <c r="AA4" s="14" t="str">
        <f>IFERROR(__xludf.DUMMYFUNCTION("""COMPUTED_VALUE"""),"DeleteCalculatedPreferences")</f>
        <v>DeleteCalculatedPreferences</v>
      </c>
      <c r="AB4" s="14" t="str">
        <f>IFERROR(__xludf.DUMMYFUNCTION("""COMPUTED_VALUE"""),"GetAuditTrailData")</f>
        <v>GetAuditTrailData</v>
      </c>
      <c r="AC4" s="14" t="str">
        <f>IFERROR(__xludf.DUMMYFUNCTION("""COMPUTED_VALUE"""),"RenameCalculatedPreferences")</f>
        <v>RenameCalculatedPreferences</v>
      </c>
      <c r="AD4" s="14" t="str">
        <f>IFERROR(__xludf.DUMMYFUNCTION("""COMPUTED_VALUE"""),"AllocationAuditTrail")</f>
        <v>AllocationAuditTrail</v>
      </c>
      <c r="AE4" s="14" t="str">
        <f>IFERROR(__xludf.DUMMYFUNCTION("""COMPUTED_VALUE"""),"CopyCalculatedPreferences")</f>
        <v>CopyCalculatedPreferences</v>
      </c>
      <c r="AF4" s="14" t="str">
        <f>IFERROR(__xludf.DUMMYFUNCTION("""COMPUTED_VALUE"""),"RunAutoGroup")</f>
        <v>RunAutoGroup</v>
      </c>
      <c r="AG4" s="14" t="str">
        <f>IFERROR(__xludf.DUMMYFUNCTION("""COMPUTED_VALUE"""),"BookOrUpdateSwap")</f>
        <v>BookOrUpdateSwap</v>
      </c>
      <c r="AH4" s="14" t="str">
        <f>IFERROR(__xludf.DUMMYFUNCTION("""COMPUTED_VALUE"""),"SetDefaultRuleCalculatedPref")</f>
        <v>SetDefaultRuleCalculatedPref</v>
      </c>
      <c r="AI4" s="14" t="str">
        <f>IFERROR(__xludf.DUMMYFUNCTION("""COMPUTED_VALUE"""),"RunProrata")</f>
        <v>RunProrata</v>
      </c>
      <c r="AJ4" s="14" t="str">
        <f>IFERROR(__xludf.DUMMYFUNCTION("""COMPUTED_VALUE"""),"SetAccountValueCalculatedPref")</f>
        <v>SetAccountValueCalculatedPref</v>
      </c>
      <c r="AK4" s="14" t="str">
        <f>IFERROR(__xludf.DUMMYFUNCTION("""COMPUTED_VALUE"""),"TradeAttributeBulkChangeGroups")</f>
        <v>TradeAttributeBulkChangeGroups</v>
      </c>
      <c r="AL4" s="14" t="str">
        <f>IFERROR(__xludf.DUMMYFUNCTION("""COMPUTED_VALUE"""),"TradeAttributeBulkChangeTaxlots")</f>
        <v>TradeAttributeBulkChangeTaxlots</v>
      </c>
      <c r="AM4" s="14" t="str">
        <f>IFERROR(__xludf.DUMMYFUNCTION("""COMPUTED_VALUE"""),"AddCalculatedPreferenceToolbar")</f>
        <v>AddCalculatedPreferenceToolbar</v>
      </c>
      <c r="AN4" s="14" t="str">
        <f>IFERROR(__xludf.DUMMYFUNCTION("""COMPUTED_VALUE"""),"SetStrategyValueCalculatedPref")</f>
        <v>SetStrategyValueCalculatedPref</v>
      </c>
      <c r="AO4" s="14" t="str">
        <f>IFERROR(__xludf.DUMMYFUNCTION("""COMPUTED_VALUE"""),"ApplyBulkUpdateOnTaxlots")</f>
        <v>ApplyBulkUpdateOnTaxlots</v>
      </c>
      <c r="AP4" s="14" t="str">
        <f>IFERROR(__xludf.DUMMYFUNCTION("""COMPUTED_VALUE"""),"CommissionBulkChangeOnGroups")</f>
        <v>CommissionBulkChangeOnGroups</v>
      </c>
      <c r="AQ4" s="14" t="str">
        <f>IFERROR(__xludf.DUMMYFUNCTION("""COMPUTED_VALUE"""),"CommissionBulkChangeOnTaxlots")</f>
        <v>CommissionBulkChangeOnTaxlots</v>
      </c>
      <c r="AR4" s="14" t="str">
        <f>IFERROR(__xludf.DUMMYFUNCTION("""COMPUTED_VALUE"""),"SelectUnallocatedGroup")</f>
        <v>SelectUnallocatedGroup</v>
      </c>
      <c r="AS4" s="14" t="str">
        <f>IFERROR(__xludf.DUMMYFUNCTION("""COMPUTED_VALUE"""),"EnterAccountValuesToAllocate")</f>
        <v>EnterAccountValuesToAllocate</v>
      </c>
      <c r="AT4" s="14" t="str">
        <f>IFERROR(__xludf.DUMMYFUNCTION("""COMPUTED_VALUE"""),"EnterAllocatePreference")</f>
        <v>EnterAllocatePreference</v>
      </c>
      <c r="AU4" s="14" t="str">
        <f>IFERROR(__xludf.DUMMYFUNCTION("""COMPUTED_VALUE"""),"EnterStrategyValuesToAllocate")</f>
        <v>EnterStrategyValuesToAllocate</v>
      </c>
      <c r="AV4" s="14" t="str">
        <f>IFERROR(__xludf.DUMMYFUNCTION("""COMPUTED_VALUE"""),"CopyCalculatedPreferenceToolbar")</f>
        <v>CopyCalculatedPreferenceToolbar</v>
      </c>
      <c r="AW4" s="14" t="str">
        <f>IFERROR(__xludf.DUMMYFUNCTION("""COMPUTED_VALUE"""),"SetGeneralRuleCalculatedPref")</f>
        <v>SetGeneralRuleCalculatedPref</v>
      </c>
      <c r="AX4" s="14" t="str">
        <f>IFERROR(__xludf.DUMMYFUNCTION("""COMPUTED_VALUE"""),"ExportAllCalculatedPreferences")</f>
        <v>ExportAllCalculatedPreferences</v>
      </c>
      <c r="AY4" s="14" t="str">
        <f>IFERROR(__xludf.DUMMYFUNCTION("""COMPUTED_VALUE"""),"SaveCalculatedPreferences")</f>
        <v>SaveCalculatedPreferences</v>
      </c>
      <c r="AZ4" s="14" t="str">
        <f>IFERROR(__xludf.DUMMYFUNCTION("""COMPUTED_VALUE"""),"CloseCalculatedPreferences")</f>
        <v>CloseCalculatedPreferences</v>
      </c>
      <c r="BA4" s="14" t="str">
        <f>IFERROR(__xludf.DUMMYFUNCTION("""COMPUTED_VALUE"""),"ExportCalculatedPreference")</f>
        <v>ExportCalculatedPreference</v>
      </c>
      <c r="BB4" s="14" t="str">
        <f>IFERROR(__xludf.DUMMYFUNCTION("""COMPUTED_VALUE"""),"ImportCalculatedPreferences")</f>
        <v>ImportCalculatedPreferences</v>
      </c>
      <c r="BC4" s="14" t="str">
        <f>IFERROR(__xludf.DUMMYFUNCTION("""COMPUTED_VALUE"""),"IsAllocationOpen")</f>
        <v>IsAllocationOpen</v>
      </c>
      <c r="BD4" s="14" t="str">
        <f>IFERROR(__xludf.DUMMYFUNCTION("""COMPUTED_VALUE"""),"OpenAuditTrailUnallocatedGroup")</f>
        <v>OpenAuditTrailUnallocatedGroup</v>
      </c>
      <c r="BE4" s="14" t="str">
        <f>IFERROR(__xludf.DUMMYFUNCTION("""COMPUTED_VALUE"""),"DeleteCalculatedPreferencesTool")</f>
        <v>DeleteCalculatedPreferencesTool</v>
      </c>
      <c r="BF4" s="14" t="str">
        <f>IFERROR(__xludf.DUMMYFUNCTION("""COMPUTED_VALUE"""),"ImportCalculatedPreferencesTool")</f>
        <v>ImportCalculatedPreferencesTool</v>
      </c>
      <c r="BG4" s="14" t="str">
        <f>IFERROR(__xludf.DUMMYFUNCTION("""COMPUTED_VALUE"""),"SetAvgPriceRounding")</f>
        <v>SetAvgPriceRounding</v>
      </c>
      <c r="BH4" s="14" t="str">
        <f>IFERROR(__xludf.DUMMYFUNCTION("""COMPUTED_VALUE"""),"SetAutoGroupingAccount")</f>
        <v>SetAutoGroupingAccount</v>
      </c>
      <c r="BI4" s="14" t="str">
        <f>IFERROR(__xludf.DUMMYFUNCTION("""COMPUTED_VALUE"""),"SetAutoGroupingPreferences")</f>
        <v>SetAutoGroupingPreferences</v>
      </c>
      <c r="BJ4" s="14" t="str">
        <f>IFERROR(__xludf.DUMMYFUNCTION("""COMPUTED_VALUE"""),"ExportAllCalculatedPreferTool")</f>
        <v>ExportAllCalculatedPreferTool</v>
      </c>
      <c r="BK4" s="14" t="str">
        <f>IFERROR(__xludf.DUMMYFUNCTION("""COMPUTED_VALUE"""),"EnterCustomAllocatePreference")</f>
        <v>EnterCustomAllocatePreference</v>
      </c>
      <c r="BL4" s="14" t="str">
        <f>IFERROR(__xludf.DUMMYFUNCTION("""COMPUTED_VALUE"""),"OpenSymbolLookupUnallocateGroup")</f>
        <v>OpenSymbolLookupUnallocateGroup</v>
      </c>
      <c r="BM4" s="14" t="str">
        <f>IFERROR(__xludf.DUMMYFUNCTION("""COMPUTED_VALUE"""),"OpenAuditTrailAllocatedGroup")</f>
        <v>OpenAuditTrailAllocatedGroup</v>
      </c>
      <c r="BN4" s="14" t="str">
        <f>IFERROR(__xludf.DUMMYFUNCTION("""COMPUTED_VALUE"""),"OpenSymbolLookupAllocatedGroup")</f>
        <v>OpenSymbolLookupAllocatedGroup</v>
      </c>
      <c r="BO4" s="14" t="str">
        <f>IFERROR(__xludf.DUMMYFUNCTION("""COMPUTED_VALUE"""),"DeleteFixedPreference")</f>
        <v>DeleteFixedPreference</v>
      </c>
      <c r="BP4" s="14" t="str">
        <f>IFERROR(__xludf.DUMMYFUNCTION("""COMPUTED_VALUE"""),"SetTradeAttributePreferences")</f>
        <v>SetTradeAttributePreferences</v>
      </c>
      <c r="BQ4" s="14" t="str">
        <f>IFERROR(__xludf.DUMMYFUNCTION("""COMPUTED_VALUE"""),"EditAllocatedGroupSidePanel")</f>
        <v>EditAllocatedGroupSidePanel</v>
      </c>
      <c r="BR4" s="14" t="str">
        <f>IFERROR(__xludf.DUMMYFUNCTION("""COMPUTED_VALUE"""),"ExpandCollapseAllocatedGrid")</f>
        <v>ExpandCollapseAllocatedGrid</v>
      </c>
      <c r="BS4" s="14" t="str">
        <f>IFERROR(__xludf.DUMMYFUNCTION("""COMPUTED_VALUE"""),"ExpandCollapseUnallocatedGrid")</f>
        <v>ExpandCollapseUnallocatedGrid</v>
      </c>
      <c r="BT4" s="14" t="str">
        <f>IFERROR(__xludf.DUMMYFUNCTION("""COMPUTED_VALUE"""),"EditAllocatedGridTaxlot")</f>
        <v>EditAllocatedGridTaxlot</v>
      </c>
      <c r="BU4" s="14" t="str">
        <f>IFERROR(__xludf.DUMMYFUNCTION("""COMPUTED_VALUE"""),"CheckUnallocatedGroups")</f>
        <v>CheckUnallocatedGroups</v>
      </c>
      <c r="BV4" s="14" t="str">
        <f>IFERROR(__xludf.DUMMYFUNCTION("""COMPUTED_VALUE"""),"EditAllocatedGridWPF")</f>
        <v>EditAllocatedGridWPF</v>
      </c>
      <c r="BW4" s="14" t="str">
        <f>IFERROR(__xludf.DUMMYFUNCTION("""COMPUTED_VALUE"""),"SetGeneralPreferences")</f>
        <v>SetGeneralPreferences</v>
      </c>
      <c r="BX4" s="14" t="str">
        <f>IFERROR(__xludf.DUMMYFUNCTION("""COMPUTED_VALUE"""),"EditUnallocatedGridWPF")</f>
        <v>EditUnallocatedGridWPF</v>
      </c>
      <c r="BY4" s="14" t="str">
        <f>IFERROR(__xludf.DUMMYFUNCTION("""COMPUTED_VALUE"""),"SetBrokerAccountMapping")</f>
        <v>SetBrokerAccountMapping</v>
      </c>
      <c r="BZ4" s="14" t="str">
        <f>IFERROR(__xludf.DUMMYFUNCTION("""COMPUTED_VALUE"""),"ShowMasterFundAsClient")</f>
        <v>ShowMasterFundAsClient</v>
      </c>
      <c r="CA4" s="14" t="str">
        <f>IFERROR(__xludf.DUMMYFUNCTION("""COMPUTED_VALUE"""),"ShowMasterFundOnTT")</f>
        <v>ShowMasterFundOnTT</v>
      </c>
      <c r="CB4" s="14" t="str">
        <f>IFERROR(__xludf.DUMMYFUNCTION("""COMPUTED_VALUE"""),"ApplyMasterFundFilter")</f>
        <v>ApplyMasterFundFilter</v>
      </c>
      <c r="CC4" s="14" t="str">
        <f>IFERROR(__xludf.DUMMYFUNCTION("""COMPUTED_VALUE"""),"GroupTrades")</f>
        <v>GroupTrades</v>
      </c>
      <c r="CD4" s="14" t="str">
        <f>IFERROR(__xludf.DUMMYFUNCTION("""COMPUTED_VALUE"""),"DisableCheckside")</f>
        <v>DisableCheckside</v>
      </c>
      <c r="CE4" s="14" t="str">
        <f>IFERROR(__xludf.DUMMYFUNCTION("""COMPUTED_VALUE"""),"UngroupTrades")</f>
        <v>UngroupTrades</v>
      </c>
      <c r="CF4" s="14" t="str">
        <f>IFERROR(__xludf.DUMMYFUNCTION("""COMPUTED_VALUE"""),"DisableChecksideForCounterParty")</f>
        <v>DisableChecksideForCounterParty</v>
      </c>
      <c r="CG4" s="14" t="str">
        <f>IFERROR(__xludf.DUMMYFUNCTION("""COMPUTED_VALUE"""),"DisableChecksideForAccount")</f>
        <v>DisableChecksideForAccount</v>
      </c>
      <c r="CH4" s="14" t="str">
        <f>IFERROR(__xludf.DUMMYFUNCTION("""COMPUTED_VALUE"""),"DeleteGroup")</f>
        <v>DeleteGroup</v>
      </c>
      <c r="CI4" s="14" t="str">
        <f>IFERROR(__xludf.DUMMYFUNCTION("""COMPUTED_VALUE"""),"DisableChecksideForAsset")</f>
        <v>DisableChecksideForAsset</v>
      </c>
      <c r="CJ4" s="14" t="str">
        <f>IFERROR(__xludf.DUMMYFUNCTION("""COMPUTED_VALUE"""),"CloseOrder")</f>
        <v>CloseOrder</v>
      </c>
      <c r="CK4" s="14" t="str">
        <f>IFERROR(__xludf.DUMMYFUNCTION("""COMPUTED_VALUE"""),"Unallocate")</f>
        <v>Unallocate</v>
      </c>
      <c r="CL4" s="14" t="str">
        <f>IFERROR(__xludf.DUMMYFUNCTION("""COMPUTED_VALUE"""),"CloseAllocation")</f>
        <v>CloseAllocation</v>
      </c>
      <c r="CM4" s="14" t="str">
        <f>IFERROR(__xludf.DUMMYFUNCTION("""COMPUTED_VALUE"""),"CheckAllocatedTaxlots")</f>
        <v>CheckAllocatedTaxlots</v>
      </c>
      <c r="CN4" s="14" t="str">
        <f>IFERROR(__xludf.DUMMYFUNCTION("""COMPUTED_VALUE"""),"CleanUp")</f>
        <v>CleanUp</v>
      </c>
      <c r="CO4" s="14" t="str">
        <f>IFERROR(__xludf.DUMMYFUNCTION("""COMPUTED_VALUE"""),"VerifyLayoutAllocatedGrid")</f>
        <v>VerifyLayoutAllocatedGrid</v>
      </c>
      <c r="CP4" s="14" t="str">
        <f>IFERROR(__xludf.DUMMYFUNCTION("""COMPUTED_VALUE"""),"VerifyLayoutUnallocatedGrid")</f>
        <v>VerifyLayoutUnallocatedGrid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IFERROR(__xludf.DUMMYFUNCTION("""COMPUTED_VALUE"""),"ClearFiltersAllocatedGrid")</f>
        <v>ClearFiltersAllocatedGrid</v>
      </c>
      <c r="CS4" s="14" t="str">
        <f>IFERROR(__xludf.DUMMYFUNCTION("""COMPUTED_VALUE"""),"UpdateGRAccountValue")</f>
        <v>UpdateGRAccountValue</v>
      </c>
      <c r="CT4" s="14" t="str">
        <f>IFERROR(__xludf.DUMMYFUNCTION("""COMPUTED_VALUE"""),"UpdateGRStrategyValue")</f>
        <v>UpdateGRStrategyValue</v>
      </c>
      <c r="CU4" s="14" t="str">
        <f>IFERROR(__xludf.DUMMYFUNCTION("""COMPUTED_VALUE"""),"UpdateGRDefaultRule")</f>
        <v>UpdateGRDefaultRule</v>
      </c>
      <c r="CV4" s="14" t="str">
        <f>IFERROR(__xludf.DUMMYFUNCTION("""COMPUTED_VALUE"""),"UpdateGeneralRulePref")</f>
        <v>UpdateGeneralRulePref</v>
      </c>
      <c r="CW4" s="14" t="str">
        <f>IFERROR(__xludf.DUMMYFUNCTION("""COMPUTED_VALUE"""),"AddMFPreferences")</f>
        <v>AddMFPreferences</v>
      </c>
      <c r="CX4" s="14" t="str">
        <f>IFERROR(__xludf.DUMMYFUNCTION("""COMPUTED_VALUE"""),"ModifyGRPreferenceValues")</f>
        <v>ModifyGRPreferenceValues</v>
      </c>
      <c r="CY4" s="14" t="str">
        <f>IFERROR(__xludf.DUMMYFUNCTION("""COMPUTED_VALUE"""),"AddMFPreferenceToolbar")</f>
        <v>AddMFPreferenceToolbar</v>
      </c>
      <c r="CZ4" s="14" t="str">
        <f>IFERROR(__xludf.DUMMYFUNCTION("""COMPUTED_VALUE"""),"DeleteMFPreferences")</f>
        <v>DeleteMFPreferences</v>
      </c>
      <c r="DA4" s="14" t="str">
        <f>IFERROR(__xludf.DUMMYFUNCTION("""COMPUTED_VALUE"""),"SaveLayoutAllocationUI")</f>
        <v>SaveLayoutAllocationUI</v>
      </c>
      <c r="DB4" s="14" t="str">
        <f>IFERROR(__xludf.DUMMYFUNCTION("""COMPUTED_VALUE"""),"DeleteMFPreferenceToolbar")</f>
        <v>DeleteMFPreferenceToolbar</v>
      </c>
      <c r="DC4" s="14" t="str">
        <f>IFERROR(__xludf.DUMMYFUNCTION("""COMPUTED_VALUE"""),"SaveLayoutUnallocatedGrid")</f>
        <v>SaveLayoutUnallocatedGrid</v>
      </c>
      <c r="DD4" s="14" t="str">
        <f>IFERROR(__xludf.DUMMYFUNCTION("""COMPUTED_VALUE"""),"SaveLayoutAllocatedGrid")</f>
        <v>SaveLayoutAllocatedGrid</v>
      </c>
      <c r="DE4" s="14" t="str">
        <f>IFERROR(__xludf.DUMMYFUNCTION("""COMPUTED_VALUE"""),"EditAllocatedGrid")</f>
        <v>EditAllocatedGrid</v>
      </c>
      <c r="DF4" s="14" t="str">
        <f>IFERROR(__xludf.DUMMYFUNCTION("""COMPUTED_VALUE"""),"EditUnallocatedGrid")</f>
        <v>EditUnallocatedGrid</v>
      </c>
      <c r="DG4" s="14" t="str">
        <f>IFERROR(__xludf.DUMMYFUNCTION("""COMPUTED_VALUE"""),"UnallocateWithOutSave")</f>
        <v>UnallocateWithOutSave</v>
      </c>
      <c r="DH4" s="14" t="str">
        <f>IFERROR(__xludf.DUMMYFUNCTION("""COMPUTED_VALUE"""),"SaveAllocation")</f>
        <v>SaveAllocation</v>
      </c>
      <c r="DI4" s="14" t="str">
        <f>IFERROR(__xludf.DUMMYFUNCTION("""COMPUTED_VALUE"""),"GenerateCashTransaction")</f>
        <v>GenerateCashTransaction</v>
      </c>
      <c r="DJ4" s="14" t="str">
        <f>IFERROR(__xludf.DUMMYFUNCTION("""COMPUTED_VALUE"""),"ExpandCollapseAllAllocated")</f>
        <v>ExpandCollapseAllAllocated</v>
      </c>
      <c r="DK4" s="14" t="str">
        <f>IFERROR(__xludf.DUMMYFUNCTION("""COMPUTED_VALUE"""),"ExpandCollapseAllUnallocated")</f>
        <v>ExpandCollapseAllUnallocated</v>
      </c>
      <c r="DL4" s="14" t="str">
        <f>IFERROR(__xludf.DUMMYFUNCTION("""COMPUTED_VALUE"""),"ClearPrefetchFilters")</f>
        <v>ClearPrefetchFilters</v>
      </c>
      <c r="DM4" s="14" t="str">
        <f>IFERROR(__xludf.DUMMYFUNCTION("""COMPUTED_VALUE"""),"RenameMFPreferences")</f>
        <v>RenameMFPreferences</v>
      </c>
      <c r="DN4" s="14" t="str">
        <f>IFERROR(__xludf.DUMMYFUNCTION("""COMPUTED_VALUE"""),"SetMFPrefFundDefaultRule")</f>
        <v>SetMFPrefFundDefaultRule</v>
      </c>
      <c r="DO4" s="14" t="str">
        <f>IFERROR(__xludf.DUMMYFUNCTION("""COMPUTED_VALUE"""),"SaveCloseMFPreference")</f>
        <v>SaveCloseMFPreference</v>
      </c>
      <c r="DP4" s="14" t="str">
        <f>IFERROR(__xludf.DUMMYFUNCTION("""COMPUTED_VALUE"""),"SetMFPrefAccountValues")</f>
        <v>SetMFPrefAccountValues</v>
      </c>
      <c r="DQ4" s="14" t="str">
        <f>IFERROR(__xludf.DUMMYFUNCTION("""COMPUTED_VALUE"""),"SetMFPreferencesDefaultRule")</f>
        <v>SetMFPreferencesDefaultRule</v>
      </c>
      <c r="DR4" s="14" t="str">
        <f>IFERROR(__xludf.DUMMYFUNCTION("""COMPUTED_VALUE"""),"SetMFPrefFundDistribution")</f>
        <v>SetMFPrefFundDistribution</v>
      </c>
      <c r="DS4" s="14" t="str">
        <f>IFERROR(__xludf.DUMMYFUNCTION("""COMPUTED_VALUE"""),"SetMFPrefGeneralRule")</f>
        <v>SetMFPrefGeneralRule</v>
      </c>
      <c r="DT4" s="14" t="str">
        <f>IFERROR(__xludf.DUMMYFUNCTION("""COMPUTED_VALUE"""),"ModifyMFPrefGeneralRuleValues")</f>
        <v>ModifyMFPrefGeneralRuleValues</v>
      </c>
      <c r="DU4" s="14" t="str">
        <f>IFERROR(__xludf.DUMMYFUNCTION("""COMPUTED_VALUE"""),"SetMFPrefStrategyValues")</f>
        <v>SetMFPrefStrategyValues</v>
      </c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43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 count="3">
    <dataValidation type="list" allowBlank="1" showInputMessage="1" showErrorMessage="1" prompt="잀૲잀૲잀૲잀૲잀૲잀૲잀૲잀૲잀૲잀૲잀૲잀૲잀૲잀૲잀૲잀૲벩怀耀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1c7aP-E18Fb8lEVGiXac03BLoNVdUNRzodD2Xjn-9pzU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41</v>
      </c>
      <c r="D3" s="6" t="s">
        <v>9</v>
      </c>
      <c r="E3" s="7" t="s">
        <v>44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IFERROR(__xludf.DUMMYFUNCTION("""COMPUTED_VALUE"""),"SelectAllRowsAllocated")</f>
        <v>SelectAllRowsAllocated</v>
      </c>
      <c r="J4" s="8" t="str">
        <f>IFERROR(__xludf.DUMMYFUNCTION("""COMPUTED_VALUE"""),"AllocateWithPopUp")</f>
        <v>AllocateWithPopUp</v>
      </c>
      <c r="K4" s="8" t="str">
        <f>IFERROR(__xludf.DUMMYFUNCTION("""COMPUTED_VALUE"""),"EditUnallocatedGroupSidePanel")</f>
        <v>EditUnallocatedGroupSidePanel</v>
      </c>
      <c r="L4" s="8" t="str">
        <f>IFERROR(__xludf.DUMMYFUNCTION("""COMPUTED_VALUE"""),"CheckPreferences")</f>
        <v>CheckPreferences</v>
      </c>
      <c r="M4" s="8" t="str">
        <f>IFERROR(__xludf.DUMMYFUNCTION("""COMPUTED_VALUE"""),"DeleteGroupWithOutSave")</f>
        <v>DeleteGroupWithOutSave</v>
      </c>
      <c r="N4" s="8" t="str">
        <f>IFERROR(__xludf.DUMMYFUNCTION("""COMPUTED_VALUE"""),"TradeAttributeBulkChange")</f>
        <v>TradeAttributeBulkChange</v>
      </c>
      <c r="O4" s="8" t="str">
        <f>IFERROR(__xludf.DUMMYFUNCTION("""COMPUTED_VALUE"""),"ApplyBulkUpdateOnGroups")</f>
        <v>ApplyBulkUpdateOnGroups</v>
      </c>
      <c r="P4" s="14" t="str">
        <f>IFERROR(__xludf.DUMMYFUNCTION("""COMPUTED_VALUE"""),"ApplyPrefetchFilters")</f>
        <v>ApplyPrefetchFilters</v>
      </c>
      <c r="Q4" s="14" t="str">
        <f>IFERROR(__xludf.DUMMYFUNCTION("""COMPUTED_VALUE"""),"GeneralPreferencesDefaultRule")</f>
        <v>GeneralPreferencesDefaultRule</v>
      </c>
      <c r="R4" s="14" t="str">
        <f>IFERROR(__xludf.DUMMYFUNCTION("""COMPUTED_VALUE"""),"GeneralPrefCompanyUserWise")</f>
        <v>GeneralPrefCompanyUserWise</v>
      </c>
      <c r="S4" s="14" t="str">
        <f>IFERROR(__xludf.DUMMYFUNCTION("""COMPUTED_VALUE"""),"RenameTradeAttributes")</f>
        <v>RenameTradeAttributes</v>
      </c>
      <c r="T4" s="14" t="str">
        <f>IFERROR(__xludf.DUMMYFUNCTION("""COMPUTED_VALUE"""),"SetGroupingRules")</f>
        <v>SetGroupingRules</v>
      </c>
      <c r="U4" s="14" t="str">
        <f>IFERROR(__xludf.DUMMYFUNCTION("""COMPUTED_VALUE"""),"SetMasterFundRatio")</f>
        <v>SetMasterFundRatio</v>
      </c>
      <c r="V4" s="14" t="str">
        <f>IFERROR(__xludf.DUMMYFUNCTION("""COMPUTED_VALUE"""),"CheckFixedPreference")</f>
        <v>CheckFixedPreference</v>
      </c>
      <c r="W4" s="14" t="str">
        <f>IFERROR(__xludf.DUMMYFUNCTION("""COMPUTED_VALUE"""),"GetFixedPreference")</f>
        <v>GetFixedPreference</v>
      </c>
      <c r="X4" s="14" t="str">
        <f>IFERROR(__xludf.DUMMYFUNCTION("""COMPUTED_VALUE"""),"AddCalculatedPreferences")</f>
        <v>AddCalculatedPreferences</v>
      </c>
      <c r="Y4" s="14" t="str">
        <f>IFERROR(__xludf.DUMMYFUNCTION("""COMPUTED_VALUE"""),"BulkChangeCalculatedPreferences")</f>
        <v>BulkChangeCalculatedPreferences</v>
      </c>
      <c r="Z4" s="14" t="str">
        <f>IFERROR(__xludf.DUMMYFUNCTION("""COMPUTED_VALUE"""),"CheckAuditTrailData")</f>
        <v>CheckAuditTrailData</v>
      </c>
      <c r="AA4" s="14" t="str">
        <f>IFERROR(__xludf.DUMMYFUNCTION("""COMPUTED_VALUE"""),"DeleteCalculatedPreferences")</f>
        <v>DeleteCalculatedPreferences</v>
      </c>
      <c r="AB4" s="14" t="str">
        <f>IFERROR(__xludf.DUMMYFUNCTION("""COMPUTED_VALUE"""),"GetAuditTrailData")</f>
        <v>GetAuditTrailData</v>
      </c>
      <c r="AC4" s="14" t="str">
        <f>IFERROR(__xludf.DUMMYFUNCTION("""COMPUTED_VALUE"""),"RenameCalculatedPreferences")</f>
        <v>RenameCalculatedPreferences</v>
      </c>
      <c r="AD4" s="14" t="str">
        <f>IFERROR(__xludf.DUMMYFUNCTION("""COMPUTED_VALUE"""),"AllocationAuditTrail")</f>
        <v>AllocationAuditTrail</v>
      </c>
      <c r="AE4" s="14" t="str">
        <f>IFERROR(__xludf.DUMMYFUNCTION("""COMPUTED_VALUE"""),"CopyCalculatedPreferences")</f>
        <v>CopyCalculatedPreferences</v>
      </c>
      <c r="AF4" s="14" t="str">
        <f>IFERROR(__xludf.DUMMYFUNCTION("""COMPUTED_VALUE"""),"RunAutoGroup")</f>
        <v>RunAutoGroup</v>
      </c>
      <c r="AG4" s="14" t="str">
        <f>IFERROR(__xludf.DUMMYFUNCTION("""COMPUTED_VALUE"""),"BookOrUpdateSwap")</f>
        <v>BookOrUpdateSwap</v>
      </c>
      <c r="AH4" s="14" t="str">
        <f>IFERROR(__xludf.DUMMYFUNCTION("""COMPUTED_VALUE"""),"SetDefaultRuleCalculatedPref")</f>
        <v>SetDefaultRuleCalculatedPref</v>
      </c>
      <c r="AI4" s="14" t="str">
        <f>IFERROR(__xludf.DUMMYFUNCTION("""COMPUTED_VALUE"""),"RunProrata")</f>
        <v>RunProrata</v>
      </c>
      <c r="AJ4" s="14" t="str">
        <f>IFERROR(__xludf.DUMMYFUNCTION("""COMPUTED_VALUE"""),"SetAccountValueCalculatedPref")</f>
        <v>SetAccountValueCalculatedPref</v>
      </c>
      <c r="AK4" s="14" t="str">
        <f>IFERROR(__xludf.DUMMYFUNCTION("""COMPUTED_VALUE"""),"TradeAttributeBulkChangeGroups")</f>
        <v>TradeAttributeBulkChangeGroups</v>
      </c>
      <c r="AL4" s="14" t="str">
        <f>IFERROR(__xludf.DUMMYFUNCTION("""COMPUTED_VALUE"""),"TradeAttributeBulkChangeTaxlots")</f>
        <v>TradeAttributeBulkChangeTaxlots</v>
      </c>
      <c r="AM4" s="14" t="str">
        <f>IFERROR(__xludf.DUMMYFUNCTION("""COMPUTED_VALUE"""),"AddCalculatedPreferenceToolbar")</f>
        <v>AddCalculatedPreferenceToolbar</v>
      </c>
      <c r="AN4" s="14" t="str">
        <f>IFERROR(__xludf.DUMMYFUNCTION("""COMPUTED_VALUE"""),"SetStrategyValueCalculatedPref")</f>
        <v>SetStrategyValueCalculatedPref</v>
      </c>
      <c r="AO4" s="14" t="str">
        <f>IFERROR(__xludf.DUMMYFUNCTION("""COMPUTED_VALUE"""),"ApplyBulkUpdateOnTaxlots")</f>
        <v>ApplyBulkUpdateOnTaxlots</v>
      </c>
      <c r="AP4" s="14" t="str">
        <f>IFERROR(__xludf.DUMMYFUNCTION("""COMPUTED_VALUE"""),"CommissionBulkChangeOnGroups")</f>
        <v>CommissionBulkChangeOnGroups</v>
      </c>
      <c r="AQ4" s="14" t="str">
        <f>IFERROR(__xludf.DUMMYFUNCTION("""COMPUTED_VALUE"""),"CommissionBulkChangeOnTaxlots")</f>
        <v>CommissionBulkChangeOnTaxlots</v>
      </c>
      <c r="AR4" s="14" t="str">
        <f>IFERROR(__xludf.DUMMYFUNCTION("""COMPUTED_VALUE"""),"SelectUnallocatedGroup")</f>
        <v>SelectUnallocatedGroup</v>
      </c>
      <c r="AS4" s="14" t="str">
        <f>IFERROR(__xludf.DUMMYFUNCTION("""COMPUTED_VALUE"""),"EnterAccountValuesToAllocate")</f>
        <v>EnterAccountValuesToAllocate</v>
      </c>
      <c r="AT4" s="14" t="str">
        <f>IFERROR(__xludf.DUMMYFUNCTION("""COMPUTED_VALUE"""),"EnterAllocatePreference")</f>
        <v>EnterAllocatePreference</v>
      </c>
      <c r="AU4" s="14" t="str">
        <f>IFERROR(__xludf.DUMMYFUNCTION("""COMPUTED_VALUE"""),"EnterStrategyValuesToAllocate")</f>
        <v>EnterStrategyValuesToAllocate</v>
      </c>
      <c r="AV4" s="14" t="str">
        <f>IFERROR(__xludf.DUMMYFUNCTION("""COMPUTED_VALUE"""),"CopyCalculatedPreferenceToolbar")</f>
        <v>CopyCalculatedPreferenceToolbar</v>
      </c>
      <c r="AW4" s="14" t="str">
        <f>IFERROR(__xludf.DUMMYFUNCTION("""COMPUTED_VALUE"""),"SetGeneralRuleCalculatedPref")</f>
        <v>SetGeneralRuleCalculatedPref</v>
      </c>
      <c r="AX4" s="14" t="str">
        <f>IFERROR(__xludf.DUMMYFUNCTION("""COMPUTED_VALUE"""),"ExportAllCalculatedPreferences")</f>
        <v>ExportAllCalculatedPreferences</v>
      </c>
      <c r="AY4" s="14" t="str">
        <f>IFERROR(__xludf.DUMMYFUNCTION("""COMPUTED_VALUE"""),"SaveCalculatedPreferences")</f>
        <v>SaveCalculatedPreferences</v>
      </c>
      <c r="AZ4" s="14" t="str">
        <f>IFERROR(__xludf.DUMMYFUNCTION("""COMPUTED_VALUE"""),"CloseCalculatedPreferences")</f>
        <v>CloseCalculatedPreferences</v>
      </c>
      <c r="BA4" s="14" t="str">
        <f>IFERROR(__xludf.DUMMYFUNCTION("""COMPUTED_VALUE"""),"ExportCalculatedPreference")</f>
        <v>ExportCalculatedPreference</v>
      </c>
      <c r="BB4" s="14" t="str">
        <f>IFERROR(__xludf.DUMMYFUNCTION("""COMPUTED_VALUE"""),"ImportCalculatedPreferences")</f>
        <v>ImportCalculatedPreferences</v>
      </c>
      <c r="BC4" s="14" t="str">
        <f>IFERROR(__xludf.DUMMYFUNCTION("""COMPUTED_VALUE"""),"IsAllocationOpen")</f>
        <v>IsAllocationOpen</v>
      </c>
      <c r="BD4" s="14" t="str">
        <f>IFERROR(__xludf.DUMMYFUNCTION("""COMPUTED_VALUE"""),"OpenAuditTrailUnallocatedGroup")</f>
        <v>OpenAuditTrailUnallocatedGroup</v>
      </c>
      <c r="BE4" s="14" t="str">
        <f>IFERROR(__xludf.DUMMYFUNCTION("""COMPUTED_VALUE"""),"DeleteCalculatedPreferencesTool")</f>
        <v>DeleteCalculatedPreferencesTool</v>
      </c>
      <c r="BF4" s="14" t="str">
        <f>IFERROR(__xludf.DUMMYFUNCTION("""COMPUTED_VALUE"""),"ImportCalculatedPreferencesTool")</f>
        <v>ImportCalculatedPreferencesTool</v>
      </c>
      <c r="BG4" s="14" t="str">
        <f>IFERROR(__xludf.DUMMYFUNCTION("""COMPUTED_VALUE"""),"SetAvgPriceRounding")</f>
        <v>SetAvgPriceRounding</v>
      </c>
      <c r="BH4" s="14" t="str">
        <f>IFERROR(__xludf.DUMMYFUNCTION("""COMPUTED_VALUE"""),"SetAutoGroupingAccount")</f>
        <v>SetAutoGroupingAccount</v>
      </c>
      <c r="BI4" s="14" t="str">
        <f>IFERROR(__xludf.DUMMYFUNCTION("""COMPUTED_VALUE"""),"SetAutoGroupingPreferences")</f>
        <v>SetAutoGroupingPreferences</v>
      </c>
      <c r="BJ4" s="14" t="str">
        <f>IFERROR(__xludf.DUMMYFUNCTION("""COMPUTED_VALUE"""),"ExportAllCalculatedPreferTool")</f>
        <v>ExportAllCalculatedPreferTool</v>
      </c>
      <c r="BK4" s="14" t="str">
        <f>IFERROR(__xludf.DUMMYFUNCTION("""COMPUTED_VALUE"""),"EnterCustomAllocatePreference")</f>
        <v>EnterCustomAllocatePreference</v>
      </c>
      <c r="BL4" s="14" t="str">
        <f>IFERROR(__xludf.DUMMYFUNCTION("""COMPUTED_VALUE"""),"OpenSymbolLookupUnallocateGroup")</f>
        <v>OpenSymbolLookupUnallocateGroup</v>
      </c>
      <c r="BM4" s="14" t="str">
        <f>IFERROR(__xludf.DUMMYFUNCTION("""COMPUTED_VALUE"""),"OpenAuditTrailAllocatedGroup")</f>
        <v>OpenAuditTrailAllocatedGroup</v>
      </c>
      <c r="BN4" s="14" t="str">
        <f>IFERROR(__xludf.DUMMYFUNCTION("""COMPUTED_VALUE"""),"OpenSymbolLookupAllocatedGroup")</f>
        <v>OpenSymbolLookupAllocatedGroup</v>
      </c>
      <c r="BO4" s="14" t="str">
        <f>IFERROR(__xludf.DUMMYFUNCTION("""COMPUTED_VALUE"""),"DeleteFixedPreference")</f>
        <v>DeleteFixedPreference</v>
      </c>
      <c r="BP4" s="14" t="str">
        <f>IFERROR(__xludf.DUMMYFUNCTION("""COMPUTED_VALUE"""),"SetTradeAttributePreferences")</f>
        <v>SetTradeAttributePreferences</v>
      </c>
      <c r="BQ4" s="14" t="str">
        <f>IFERROR(__xludf.DUMMYFUNCTION("""COMPUTED_VALUE"""),"EditAllocatedGroupSidePanel")</f>
        <v>EditAllocatedGroupSidePanel</v>
      </c>
      <c r="BR4" s="14" t="str">
        <f>IFERROR(__xludf.DUMMYFUNCTION("""COMPUTED_VALUE"""),"ExpandCollapseAllocatedGrid")</f>
        <v>ExpandCollapseAllocatedGrid</v>
      </c>
      <c r="BS4" s="14" t="str">
        <f>IFERROR(__xludf.DUMMYFUNCTION("""COMPUTED_VALUE"""),"ExpandCollapseUnallocatedGrid")</f>
        <v>ExpandCollapseUnallocatedGrid</v>
      </c>
      <c r="BT4" s="14" t="str">
        <f>IFERROR(__xludf.DUMMYFUNCTION("""COMPUTED_VALUE"""),"EditAllocatedGridTaxlot")</f>
        <v>EditAllocatedGridTaxlot</v>
      </c>
      <c r="BU4" s="14" t="str">
        <f>IFERROR(__xludf.DUMMYFUNCTION("""COMPUTED_VALUE"""),"CheckUnallocatedGroups")</f>
        <v>CheckUnallocatedGroups</v>
      </c>
      <c r="BV4" s="14" t="str">
        <f>IFERROR(__xludf.DUMMYFUNCTION("""COMPUTED_VALUE"""),"EditAllocatedGridWPF")</f>
        <v>EditAllocatedGridWPF</v>
      </c>
      <c r="BW4" s="14" t="str">
        <f>IFERROR(__xludf.DUMMYFUNCTION("""COMPUTED_VALUE"""),"SetGeneralPreferences")</f>
        <v>SetGeneralPreferences</v>
      </c>
      <c r="BX4" s="14" t="str">
        <f>IFERROR(__xludf.DUMMYFUNCTION("""COMPUTED_VALUE"""),"EditUnallocatedGridWPF")</f>
        <v>EditUnallocatedGridWPF</v>
      </c>
      <c r="BY4" s="14" t="str">
        <f>IFERROR(__xludf.DUMMYFUNCTION("""COMPUTED_VALUE"""),"SetBrokerAccountMapping")</f>
        <v>SetBrokerAccountMapping</v>
      </c>
      <c r="BZ4" s="14" t="str">
        <f>IFERROR(__xludf.DUMMYFUNCTION("""COMPUTED_VALUE"""),"ShowMasterFundAsClient")</f>
        <v>ShowMasterFundAsClient</v>
      </c>
      <c r="CA4" s="14" t="str">
        <f>IFERROR(__xludf.DUMMYFUNCTION("""COMPUTED_VALUE"""),"ShowMasterFundOnTT")</f>
        <v>ShowMasterFundOnTT</v>
      </c>
      <c r="CB4" s="14" t="str">
        <f>IFERROR(__xludf.DUMMYFUNCTION("""COMPUTED_VALUE"""),"ApplyMasterFundFilter")</f>
        <v>ApplyMasterFundFilter</v>
      </c>
      <c r="CC4" s="14" t="str">
        <f>IFERROR(__xludf.DUMMYFUNCTION("""COMPUTED_VALUE"""),"GroupTrades")</f>
        <v>GroupTrades</v>
      </c>
      <c r="CD4" s="14" t="str">
        <f>IFERROR(__xludf.DUMMYFUNCTION("""COMPUTED_VALUE"""),"DisableCheckside")</f>
        <v>DisableCheckside</v>
      </c>
      <c r="CE4" s="14" t="str">
        <f>IFERROR(__xludf.DUMMYFUNCTION("""COMPUTED_VALUE"""),"UngroupTrades")</f>
        <v>UngroupTrades</v>
      </c>
      <c r="CF4" s="14" t="str">
        <f>IFERROR(__xludf.DUMMYFUNCTION("""COMPUTED_VALUE"""),"DisableChecksideForCounterParty")</f>
        <v>DisableChecksideForCounterParty</v>
      </c>
      <c r="CG4" s="14" t="str">
        <f>IFERROR(__xludf.DUMMYFUNCTION("""COMPUTED_VALUE"""),"DisableChecksideForAccount")</f>
        <v>DisableChecksideForAccount</v>
      </c>
      <c r="CH4" s="14" t="str">
        <f>IFERROR(__xludf.DUMMYFUNCTION("""COMPUTED_VALUE"""),"DeleteGroup")</f>
        <v>DeleteGroup</v>
      </c>
      <c r="CI4" s="14" t="str">
        <f>IFERROR(__xludf.DUMMYFUNCTION("""COMPUTED_VALUE"""),"DisableChecksideForAsset")</f>
        <v>DisableChecksideForAsset</v>
      </c>
      <c r="CJ4" s="14" t="str">
        <f>IFERROR(__xludf.DUMMYFUNCTION("""COMPUTED_VALUE"""),"CloseOrder")</f>
        <v>CloseOrder</v>
      </c>
      <c r="CK4" s="14" t="str">
        <f>IFERROR(__xludf.DUMMYFUNCTION("""COMPUTED_VALUE"""),"Unallocate")</f>
        <v>Unallocate</v>
      </c>
      <c r="CL4" s="14" t="str">
        <f>IFERROR(__xludf.DUMMYFUNCTION("""COMPUTED_VALUE"""),"CloseAllocation")</f>
        <v>CloseAllocation</v>
      </c>
      <c r="CM4" s="14" t="str">
        <f>IFERROR(__xludf.DUMMYFUNCTION("""COMPUTED_VALUE"""),"CheckAllocatedTaxlots")</f>
        <v>CheckAllocatedTaxlots</v>
      </c>
      <c r="CN4" s="14" t="str">
        <f>IFERROR(__xludf.DUMMYFUNCTION("""COMPUTED_VALUE"""),"CleanUp")</f>
        <v>CleanUp</v>
      </c>
      <c r="CO4" s="14" t="str">
        <f>IFERROR(__xludf.DUMMYFUNCTION("""COMPUTED_VALUE"""),"VerifyLayoutAllocatedGrid")</f>
        <v>VerifyLayoutAllocatedGrid</v>
      </c>
      <c r="CP4" s="14" t="str">
        <f>IFERROR(__xludf.DUMMYFUNCTION("""COMPUTED_VALUE"""),"VerifyLayoutUnallocatedGrid")</f>
        <v>VerifyLayoutUnallocatedGrid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IFERROR(__xludf.DUMMYFUNCTION("""COMPUTED_VALUE"""),"ClearFiltersAllocatedGrid")</f>
        <v>ClearFiltersAllocatedGrid</v>
      </c>
      <c r="CS4" s="14" t="str">
        <f>IFERROR(__xludf.DUMMYFUNCTION("""COMPUTED_VALUE"""),"UpdateGRAccountValue")</f>
        <v>UpdateGRAccountValue</v>
      </c>
      <c r="CT4" s="14" t="str">
        <f>IFERROR(__xludf.DUMMYFUNCTION("""COMPUTED_VALUE"""),"UpdateGRStrategyValue")</f>
        <v>UpdateGRStrategyValue</v>
      </c>
      <c r="CU4" s="14" t="str">
        <f>IFERROR(__xludf.DUMMYFUNCTION("""COMPUTED_VALUE"""),"UpdateGRDefaultRule")</f>
        <v>UpdateGRDefaultRule</v>
      </c>
      <c r="CV4" s="14" t="str">
        <f>IFERROR(__xludf.DUMMYFUNCTION("""COMPUTED_VALUE"""),"UpdateGeneralRulePref")</f>
        <v>UpdateGeneralRulePref</v>
      </c>
      <c r="CW4" s="14" t="str">
        <f>IFERROR(__xludf.DUMMYFUNCTION("""COMPUTED_VALUE"""),"AddMFPreferences")</f>
        <v>AddMFPreferences</v>
      </c>
      <c r="CX4" s="14" t="str">
        <f>IFERROR(__xludf.DUMMYFUNCTION("""COMPUTED_VALUE"""),"ModifyGRPreferenceValues")</f>
        <v>ModifyGRPreferenceValues</v>
      </c>
      <c r="CY4" s="14" t="str">
        <f>IFERROR(__xludf.DUMMYFUNCTION("""COMPUTED_VALUE"""),"AddMFPreferenceToolbar")</f>
        <v>AddMFPreferenceToolbar</v>
      </c>
      <c r="CZ4" s="14" t="str">
        <f>IFERROR(__xludf.DUMMYFUNCTION("""COMPUTED_VALUE"""),"DeleteMFPreferences")</f>
        <v>DeleteMFPreferences</v>
      </c>
      <c r="DA4" s="14" t="str">
        <f>IFERROR(__xludf.DUMMYFUNCTION("""COMPUTED_VALUE"""),"SaveLayoutAllocationUI")</f>
        <v>SaveLayoutAllocationUI</v>
      </c>
      <c r="DB4" s="14" t="str">
        <f>IFERROR(__xludf.DUMMYFUNCTION("""COMPUTED_VALUE"""),"DeleteMFPreferenceToolbar")</f>
        <v>DeleteMFPreferenceToolbar</v>
      </c>
      <c r="DC4" s="14" t="str">
        <f>IFERROR(__xludf.DUMMYFUNCTION("""COMPUTED_VALUE"""),"SaveLayoutUnallocatedGrid")</f>
        <v>SaveLayoutUnallocatedGrid</v>
      </c>
      <c r="DD4" s="14" t="str">
        <f>IFERROR(__xludf.DUMMYFUNCTION("""COMPUTED_VALUE"""),"SaveLayoutAllocatedGrid")</f>
        <v>SaveLayoutAllocatedGrid</v>
      </c>
      <c r="DE4" s="14" t="str">
        <f>IFERROR(__xludf.DUMMYFUNCTION("""COMPUTED_VALUE"""),"EditAllocatedGrid")</f>
        <v>EditAllocatedGrid</v>
      </c>
      <c r="DF4" s="14" t="str">
        <f>IFERROR(__xludf.DUMMYFUNCTION("""COMPUTED_VALUE"""),"EditUnallocatedGrid")</f>
        <v>EditUnallocatedGrid</v>
      </c>
      <c r="DG4" s="14" t="str">
        <f>IFERROR(__xludf.DUMMYFUNCTION("""COMPUTED_VALUE"""),"UnallocateWithOutSave")</f>
        <v>UnallocateWithOutSave</v>
      </c>
      <c r="DH4" s="14" t="str">
        <f>IFERROR(__xludf.DUMMYFUNCTION("""COMPUTED_VALUE"""),"SaveAllocation")</f>
        <v>SaveAllocation</v>
      </c>
      <c r="DI4" s="14" t="str">
        <f>IFERROR(__xludf.DUMMYFUNCTION("""COMPUTED_VALUE"""),"GenerateCashTransaction")</f>
        <v>GenerateCashTransaction</v>
      </c>
      <c r="DJ4" s="14" t="str">
        <f>IFERROR(__xludf.DUMMYFUNCTION("""COMPUTED_VALUE"""),"ExpandCollapseAllAllocated")</f>
        <v>ExpandCollapseAllAllocated</v>
      </c>
      <c r="DK4" s="14" t="str">
        <f>IFERROR(__xludf.DUMMYFUNCTION("""COMPUTED_VALUE"""),"ExpandCollapseAllUnallocated")</f>
        <v>ExpandCollapseAllUnallocated</v>
      </c>
      <c r="DL4" s="14" t="str">
        <f>IFERROR(__xludf.DUMMYFUNCTION("""COMPUTED_VALUE"""),"ClearPrefetchFilters")</f>
        <v>ClearPrefetchFilters</v>
      </c>
      <c r="DM4" s="14" t="str">
        <f>IFERROR(__xludf.DUMMYFUNCTION("""COMPUTED_VALUE"""),"RenameMFPreferences")</f>
        <v>RenameMFPreferences</v>
      </c>
      <c r="DN4" s="14" t="str">
        <f>IFERROR(__xludf.DUMMYFUNCTION("""COMPUTED_VALUE"""),"SetMFPrefFundDefaultRule")</f>
        <v>SetMFPrefFundDefaultRule</v>
      </c>
      <c r="DO4" s="14" t="str">
        <f>IFERROR(__xludf.DUMMYFUNCTION("""COMPUTED_VALUE"""),"SaveCloseMFPreference")</f>
        <v>SaveCloseMFPreference</v>
      </c>
      <c r="DP4" s="14" t="str">
        <f>IFERROR(__xludf.DUMMYFUNCTION("""COMPUTED_VALUE"""),"SetMFPrefAccountValues")</f>
        <v>SetMFPrefAccountValues</v>
      </c>
      <c r="DQ4" s="14" t="str">
        <f>IFERROR(__xludf.DUMMYFUNCTION("""COMPUTED_VALUE"""),"SetMFPreferencesDefaultRule")</f>
        <v>SetMFPreferencesDefaultRule</v>
      </c>
      <c r="DR4" s="14" t="str">
        <f>IFERROR(__xludf.DUMMYFUNCTION("""COMPUTED_VALUE"""),"SetMFPrefFundDistribution")</f>
        <v>SetMFPrefFundDistribution</v>
      </c>
      <c r="DS4" s="14" t="str">
        <f>IFERROR(__xludf.DUMMYFUNCTION("""COMPUTED_VALUE"""),"SetMFPrefGeneralRule")</f>
        <v>SetMFPrefGeneralRule</v>
      </c>
      <c r="DT4" s="14" t="str">
        <f>IFERROR(__xludf.DUMMYFUNCTION("""COMPUTED_VALUE"""),"ModifyMFPrefGeneralRuleValues")</f>
        <v>ModifyMFPrefGeneralRuleValues</v>
      </c>
      <c r="DU4" s="14" t="str">
        <f>IFERROR(__xludf.DUMMYFUNCTION("""COMPUTED_VALUE"""),"SetMFPrefStrategyValues")</f>
        <v>SetMFPrefStrategyValues</v>
      </c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IFERROR(__xludf.DUMMYFUNCTION("""COMPUTED_VALUE"""),"Accrual Basis")</f>
        <v>Accrual Basis</v>
      </c>
      <c r="C5" s="10" t="str">
        <f>IFERROR(__xludf.DUMMYFUNCTION("""COMPUTED_VALUE"""),"Accrued Interest")</f>
        <v>Accrued Interest</v>
      </c>
      <c r="D5" s="10" t="str">
        <f>IFERROR(__xludf.DUMMYFUNCTION("""COMPUTED_VALUE"""),"Allocated Qty")</f>
        <v>Allocated Qty</v>
      </c>
      <c r="E5" s="10" t="str">
        <f>IFERROR(__xludf.DUMMYFUNCTION("""COMPUTED_VALUE"""),"Allocation Scheme Name")</f>
        <v>Allocation Scheme Name</v>
      </c>
      <c r="F5" s="10" t="str">
        <f>IFERROR(__xludf.DUMMYFUNCTION("""COMPUTED_VALUE"""),"Asset Category")</f>
        <v>Asset Category</v>
      </c>
      <c r="G5" s="10" t="str">
        <f>IFERROR(__xludf.DUMMYFUNCTION("""COMPUTED_VALUE"""),"AUEC Fee1")</f>
        <v>AUEC Fee1</v>
      </c>
      <c r="H5" s="10" t="str">
        <f>IFERROR(__xludf.DUMMYFUNCTION("""COMPUTED_VALUE"""),"AUEC Fee2")</f>
        <v>AUEC Fee2</v>
      </c>
      <c r="I5" s="10" t="str">
        <f>IFERROR(__xludf.DUMMYFUNCTION("""COMPUTED_VALUE"""),"AUECID")</f>
        <v>AUECID</v>
      </c>
      <c r="J5" s="10" t="str">
        <f>IFERROR(__xludf.DUMMYFUNCTION("""COMPUTED_VALUE"""),"Avg Price(Base)")</f>
        <v>Avg Price(Base)</v>
      </c>
      <c r="K5" s="10" t="str">
        <f>IFERROR(__xludf.DUMMYFUNCTION("""COMPUTED_VALUE"""),"Avg Price(Local)")</f>
        <v>Avg Price(Local)</v>
      </c>
      <c r="L5" s="10" t="str">
        <f>IFERROR(__xludf.DUMMYFUNCTION("""COMPUTED_VALUE"""),"Bloomberg")</f>
        <v>Bloomberg</v>
      </c>
      <c r="M5" s="10" t="str">
        <f>IFERROR(__xludf.DUMMYFUNCTION("""COMPUTED_VALUE"""),"Bond Type")</f>
        <v>Bond Type</v>
      </c>
      <c r="N5" s="10" t="str">
        <f>IFERROR(__xludf.DUMMYFUNCTION("""COMPUTED_VALUE"""),"Broker")</f>
        <v>Broker</v>
      </c>
      <c r="O5" s="10" t="str">
        <f>IFERROR(__xludf.DUMMYFUNCTION("""COMPUTED_VALUE"""),"Change Comment")</f>
        <v>Change Comment</v>
      </c>
      <c r="P5" s="10" t="str">
        <f>IFERROR(__xludf.DUMMYFUNCTION("""COMPUTED_VALUE"""),"Change Type")</f>
        <v>Change Type</v>
      </c>
      <c r="Q5" s="10" t="str">
        <f>IFERROR(__xludf.DUMMYFUNCTION("""COMPUTED_VALUE"""),"Clearing Broker Fee")</f>
        <v>Clearing Broker Fee</v>
      </c>
      <c r="R5" s="10" t="str">
        <f>IFERROR(__xludf.DUMMYFUNCTION("""COMPUTED_VALUE"""),"Closing Method")</f>
        <v>Closing Method</v>
      </c>
      <c r="S5" s="10" t="str">
        <f>IFERROR(__xludf.DUMMYFUNCTION("""COMPUTED_VALUE"""),"Closing Status")</f>
        <v>Closing Status</v>
      </c>
      <c r="T5" s="15" t="str">
        <f>IFERROR(__xludf.DUMMYFUNCTION("""COMPUTED_VALUE"""),"Commission")</f>
        <v>Commission</v>
      </c>
      <c r="U5" s="15" t="str">
        <f>IFERROR(__xludf.DUMMYFUNCTION("""COMPUTED_VALUE"""),"Commission Per Share")</f>
        <v>Commission Per Share</v>
      </c>
      <c r="V5" s="15" t="str">
        <f>IFERROR(__xludf.DUMMYFUNCTION("""COMPUTED_VALUE"""),"Company")</f>
        <v>Company</v>
      </c>
      <c r="W5" s="15" t="str">
        <f>IFERROR(__xludf.DUMMYFUNCTION("""COMPUTED_VALUE"""),"Contract Multiplier")</f>
        <v>Contract Multiplier</v>
      </c>
      <c r="X5" s="15" t="str">
        <f>IFERROR(__xludf.DUMMYFUNCTION("""COMPUTED_VALUE"""),"Coupon Rate")</f>
        <v>Coupon Rate</v>
      </c>
      <c r="Y5" s="15" t="str">
        <f>IFERROR(__xludf.DUMMYFUNCTION("""COMPUTED_VALUE"""),"Cum Qty For Sub Order")</f>
        <v>Cum Qty For Sub Order</v>
      </c>
      <c r="Z5" s="15" t="str">
        <f>IFERROR(__xludf.DUMMYFUNCTION("""COMPUTED_VALUE"""),"Currency")</f>
        <v>Currency</v>
      </c>
      <c r="AA5" s="15" t="str">
        <f>IFERROR(__xludf.DUMMYFUNCTION("""COMPUTED_VALUE"""),"Cusip Symbol")</f>
        <v>Cusip Symbol</v>
      </c>
      <c r="AB5" s="15" t="str">
        <f>IFERROR(__xludf.DUMMYFUNCTION("""COMPUTED_VALUE"""),"Delta")</f>
        <v>Delta</v>
      </c>
      <c r="AC5" s="15" t="str">
        <f>IFERROR(__xludf.DUMMYFUNCTION("""COMPUTED_VALUE"""),"Description")</f>
        <v>Description</v>
      </c>
      <c r="AD5" s="15" t="str">
        <f>IFERROR(__xludf.DUMMYFUNCTION("""COMPUTED_VALUE"""),"Exchange")</f>
        <v>Exchange</v>
      </c>
      <c r="AE5" s="15" t="str">
        <f>IFERROR(__xludf.DUMMYFUNCTION("""COMPUTED_VALUE"""),"Executed Qty")</f>
        <v>Executed Qty</v>
      </c>
      <c r="AF5" s="15" t="str">
        <f>IFERROR(__xludf.DUMMYFUNCTION("""COMPUTED_VALUE"""),"Execution Time")</f>
        <v>Execution Time</v>
      </c>
      <c r="AG5" s="15" t="str">
        <f>IFERROR(__xludf.DUMMYFUNCTION("""COMPUTED_VALUE"""),"FX Conversion Operator")</f>
        <v>FX Conversion Operator</v>
      </c>
      <c r="AH5" s="15" t="str">
        <f>IFERROR(__xludf.DUMMYFUNCTION("""COMPUTED_VALUE"""),"FX Rate")</f>
        <v>FX Rate</v>
      </c>
      <c r="AI5" s="15" t="str">
        <f>IFERROR(__xludf.DUMMYFUNCTION("""COMPUTED_VALUE"""),"Group Status")</f>
        <v>Group Status</v>
      </c>
      <c r="AJ5" s="15" t="str">
        <f>IFERROR(__xludf.DUMMYFUNCTION("""COMPUTED_VALUE"""),"GroupID")</f>
        <v>GroupID</v>
      </c>
      <c r="AK5" s="15" t="str">
        <f>IFERROR(__xludf.DUMMYFUNCTION("""COMPUTED_VALUE"""),"IDCOSymbol")</f>
        <v>IDCOSymbol</v>
      </c>
      <c r="AL5" s="15" t="str">
        <f>IFERROR(__xludf.DUMMYFUNCTION("""COMPUTED_VALUE"""),"Import File Name")</f>
        <v>Import File Name</v>
      </c>
      <c r="AM5" s="15" t="str">
        <f>IFERROR(__xludf.DUMMYFUNCTION("""COMPUTED_VALUE"""),"Internal Comments")</f>
        <v>Internal Comments</v>
      </c>
      <c r="AN5" s="15" t="str">
        <f>IFERROR(__xludf.DUMMYFUNCTION("""COMPUTED_VALUE"""),"IsAnotherTaxlotAttributesUpdated")</f>
        <v>IsAnotherTaxlotAttributesUpdated</v>
      </c>
      <c r="AO5" s="15" t="str">
        <f>IFERROR(__xludf.DUMMYFUNCTION("""COMPUTED_VALUE"""),"ISIN")</f>
        <v>ISIN</v>
      </c>
      <c r="AP5" s="15" t="str">
        <f>IFERROR(__xludf.DUMMYFUNCTION("""COMPUTED_VALUE"""),"IsManual Group")</f>
        <v>IsManual Group</v>
      </c>
      <c r="AQ5" s="15" t="str">
        <f>IFERROR(__xludf.DUMMYFUNCTION("""COMPUTED_VALUE"""),"ISNDF")</f>
        <v>ISNDF</v>
      </c>
      <c r="AR5" s="15" t="str">
        <f>IFERROR(__xludf.DUMMYFUNCTION("""COMPUTED_VALUE"""),"IsPreAllocated")</f>
        <v>IsPreAllocated</v>
      </c>
      <c r="AS5" s="15" t="str">
        <f>IFERROR(__xludf.DUMMYFUNCTION("""COMPUTED_VALUE"""),"M2MProfitLoss")</f>
        <v>M2MProfitLoss</v>
      </c>
      <c r="AT5" s="15" t="str">
        <f>IFERROR(__xludf.DUMMYFUNCTION("""COMPUTED_VALUE"""),"Net Amount( Base)")</f>
        <v>Net Amount( Base)</v>
      </c>
      <c r="AU5" s="15" t="str">
        <f>IFERROR(__xludf.DUMMYFUNCTION("""COMPUTED_VALUE"""),"Net Amount( Local)")</f>
        <v>Net Amount( Local)</v>
      </c>
      <c r="AV5" s="15" t="str">
        <f>IFERROR(__xludf.DUMMYFUNCTION("""COMPUTED_VALUE"""),"Nirvana Process Date")</f>
        <v>Nirvana Process Date</v>
      </c>
      <c r="AW5" s="15" t="str">
        <f>IFERROR(__xludf.DUMMYFUNCTION("""COMPUTED_VALUE"""),"OCC Fee")</f>
        <v>OCC Fee</v>
      </c>
      <c r="AX5" s="15" t="str">
        <f>IFERROR(__xludf.DUMMYFUNCTION("""COMPUTED_VALUE"""),"Option Premium Adjustment")</f>
        <v>Option Premium Adjustment</v>
      </c>
      <c r="AY5" s="17" t="str">
        <f>IFERROR(__xludf.DUMMYFUNCTION("""COMPUTED_VALUE"""),"Order Type")</f>
        <v>Order Type</v>
      </c>
      <c r="AZ5" s="15" t="str">
        <f>IFERROR(__xludf.DUMMYFUNCTION("""COMPUTED_VALUE"""),"ORF Fee")</f>
        <v>ORF Fee</v>
      </c>
      <c r="BA5" s="15" t="str">
        <f>IFERROR(__xludf.DUMMYFUNCTION("""COMPUTED_VALUE"""),"Original Purchase Date")</f>
        <v>Original Purchase Date</v>
      </c>
      <c r="BB5" s="15" t="str">
        <f>IFERROR(__xludf.DUMMYFUNCTION("""COMPUTED_VALUE"""),"OSISSymbol")</f>
        <v>OSISSymbol</v>
      </c>
      <c r="BC5" s="15" t="str">
        <f>IFERROR(__xludf.DUMMYFUNCTION("""COMPUTED_VALUE"""),"Other Broker Fees")</f>
        <v>Other Broker Fees</v>
      </c>
      <c r="BD5" s="15" t="str">
        <f>IFERROR(__xludf.DUMMYFUNCTION("""COMPUTED_VALUE"""),"Prana Msg Type")</f>
        <v>Prana Msg Type</v>
      </c>
      <c r="BE5" s="15" t="str">
        <f>IFERROR(__xludf.DUMMYFUNCTION("""COMPUTED_VALUE"""),"Principal Amount( Base)")</f>
        <v>Principal Amount( Base)</v>
      </c>
      <c r="BF5" s="15" t="str">
        <f>IFERROR(__xludf.DUMMYFUNCTION("""COMPUTED_VALUE"""),"Principal Amount( Local)")</f>
        <v>Principal Amount( Local)</v>
      </c>
      <c r="BG5" s="15" t="str">
        <f>IFERROR(__xludf.DUMMYFUNCTION("""COMPUTED_VALUE"""),"Process Date")</f>
        <v>Process Date</v>
      </c>
      <c r="BH5" s="15" t="str">
        <f>IFERROR(__xludf.DUMMYFUNCTION("""COMPUTED_VALUE"""),"Proxy Symbol")</f>
        <v>Proxy Symbol</v>
      </c>
      <c r="BI5" s="15" t="str">
        <f>IFERROR(__xludf.DUMMYFUNCTION("""COMPUTED_VALUE"""),"Put Or Call")</f>
        <v>Put Or Call</v>
      </c>
      <c r="BJ5" s="15" t="str">
        <f>IFERROR(__xludf.DUMMYFUNCTION("""COMPUTED_VALUE"""),"Quantity")</f>
        <v>Quantity</v>
      </c>
      <c r="BK5" s="15" t="str">
        <f>IFERROR(__xludf.DUMMYFUNCTION("""COMPUTED_VALUE"""),"SEC Fee")</f>
        <v>SEC Fee</v>
      </c>
      <c r="BL5" s="15" t="str">
        <f>IFERROR(__xludf.DUMMYFUNCTION("""COMPUTED_VALUE"""),"Sedol Symbol")</f>
        <v>Sedol Symbol</v>
      </c>
      <c r="BM5" s="15" t="str">
        <f>IFERROR(__xludf.DUMMYFUNCTION("""COMPUTED_VALUE"""),"Settlement Currency")</f>
        <v>Settlement Currency</v>
      </c>
      <c r="BN5" s="15" t="str">
        <f>IFERROR(__xludf.DUMMYFUNCTION("""COMPUTED_VALUE"""),"Settlement Date")</f>
        <v>Settlement Date</v>
      </c>
      <c r="BO5" s="15" t="str">
        <f>IFERROR(__xludf.DUMMYFUNCTION("""COMPUTED_VALUE"""),"Side")</f>
        <v>Side</v>
      </c>
      <c r="BP5" s="15" t="str">
        <f>IFERROR(__xludf.DUMMYFUNCTION("""COMPUTED_VALUE"""),"Soft Commission")</f>
        <v>Soft Commission</v>
      </c>
      <c r="BQ5" s="15" t="str">
        <f>IFERROR(__xludf.DUMMYFUNCTION("""COMPUTED_VALUE"""),"Soft Commission Per Share")</f>
        <v>Soft Commission Per Share</v>
      </c>
      <c r="BR5" s="15" t="str">
        <f>IFERROR(__xludf.DUMMYFUNCTION("""COMPUTED_VALUE"""),"Stamp Duty")</f>
        <v>Stamp Duty</v>
      </c>
      <c r="BS5" s="15" t="str">
        <f>IFERROR(__xludf.DUMMYFUNCTION("""COMPUTED_VALUE"""),"Symbol")</f>
        <v>Symbol</v>
      </c>
      <c r="BT5" s="15" t="str">
        <f>IFERROR(__xludf.DUMMYFUNCTION("""COMPUTED_VALUE"""),"Tax On Commissions")</f>
        <v>Tax On Commissions</v>
      </c>
      <c r="BU5" s="15" t="str">
        <f>IFERROR(__xludf.DUMMYFUNCTION("""COMPUTED_VALUE"""),"Total Commission")</f>
        <v>Total Commission</v>
      </c>
      <c r="BV5" s="15" t="str">
        <f>IFERROR(__xludf.DUMMYFUNCTION("""COMPUTED_VALUE"""),"Total Commission And Fee")</f>
        <v>Total Commission And Fee</v>
      </c>
      <c r="BW5" s="15" t="str">
        <f>IFERROR(__xludf.DUMMYFUNCTION("""COMPUTED_VALUE"""),"Total Commission Per Share")</f>
        <v>Total Commission Per Share</v>
      </c>
      <c r="BX5" s="15" t="str">
        <f>IFERROR(__xludf.DUMMYFUNCTION("""COMPUTED_VALUE"""),"Trade Attribute 1")</f>
        <v>Trade Attribute 1</v>
      </c>
      <c r="BY5" s="15" t="str">
        <f>IFERROR(__xludf.DUMMYFUNCTION("""COMPUTED_VALUE"""),"Trade Attribute 2")</f>
        <v>Trade Attribute 2</v>
      </c>
      <c r="BZ5" s="15" t="str">
        <f>IFERROR(__xludf.DUMMYFUNCTION("""COMPUTED_VALUE"""),"Trade Attribute 3")</f>
        <v>Trade Attribute 3</v>
      </c>
      <c r="CA5" s="15" t="str">
        <f>IFERROR(__xludf.DUMMYFUNCTION("""COMPUTED_VALUE"""),"Trade Attribute 4")</f>
        <v>Trade Attribute 4</v>
      </c>
      <c r="CB5" s="15" t="str">
        <f>IFERROR(__xludf.DUMMYFUNCTION("""COMPUTED_VALUE"""),"Trade Attribute 5")</f>
        <v>Trade Attribute 5</v>
      </c>
      <c r="CC5" s="15" t="str">
        <f>IFERROR(__xludf.DUMMYFUNCTION("""COMPUTED_VALUE"""),"Trade Attribute 6")</f>
        <v>Trade Attribute 6</v>
      </c>
      <c r="CD5" s="15" t="str">
        <f>IFERROR(__xludf.DUMMYFUNCTION("""COMPUTED_VALUE"""),"Trade Date")</f>
        <v>Trade Date</v>
      </c>
      <c r="CE5" s="15" t="str">
        <f>IFERROR(__xludf.DUMMYFUNCTION("""COMPUTED_VALUE"""),"Trading Account")</f>
        <v>Trading Account</v>
      </c>
      <c r="CF5" s="15" t="str">
        <f>IFERROR(__xludf.DUMMYFUNCTION("""COMPUTED_VALUE"""),"Transaction Levy")</f>
        <v>Transaction Levy</v>
      </c>
      <c r="CG5" s="15" t="str">
        <f>IFERROR(__xludf.DUMMYFUNCTION("""COMPUTED_VALUE"""),"Transaction Source")</f>
        <v>Transaction Source</v>
      </c>
      <c r="CH5" s="15" t="str">
        <f>IFERROR(__xludf.DUMMYFUNCTION("""COMPUTED_VALUE"""),"Transaction Type")</f>
        <v>Transaction Type</v>
      </c>
      <c r="CI5" s="15" t="str">
        <f>IFERROR(__xludf.DUMMYFUNCTION("""COMPUTED_VALUE"""),"UnAllocatedQty")</f>
        <v>UnAllocatedQty</v>
      </c>
      <c r="CJ5" s="15" t="str">
        <f>IFERROR(__xludf.DUMMYFUNCTION("""COMPUTED_VALUE"""),"Underlying")</f>
        <v>Underlying</v>
      </c>
      <c r="CK5" s="15" t="str">
        <f>IFERROR(__xludf.DUMMYFUNCTION("""COMPUTED_VALUE"""),"Underlying Delta")</f>
        <v>Underlying Delta</v>
      </c>
      <c r="CL5" s="15" t="str">
        <f>IFERROR(__xludf.DUMMYFUNCTION("""COMPUTED_VALUE"""),"Underlying Symbol")</f>
        <v>Underlying Symbol</v>
      </c>
      <c r="CM5" s="15" t="str">
        <f>IFERROR(__xludf.DUMMYFUNCTION("""COMPUTED_VALUE"""),"User")</f>
        <v>User</v>
      </c>
      <c r="CN5" s="15" t="str">
        <f>IFERROR(__xludf.DUMMYFUNCTION("""COMPUTED_VALUE"""),"Venue")</f>
        <v>Venue</v>
      </c>
      <c r="CO5" s="15" t="str">
        <f>IFERROR(__xludf.DUMMYFUNCTION("""COMPUTED_VALUE"""),"Closing Date")</f>
        <v>Closing Date</v>
      </c>
      <c r="CP5" s="15" t="str">
        <f>IFERROR(__xludf.DUMMYFUNCTION("""COMPUTED_VALUE"""),"Expiration Date")</f>
        <v>Expiration Date</v>
      </c>
      <c r="CQ5" s="15" t="str">
        <f>IFERROR(__xludf.DUMMYFUNCTION("""COMPUTED_VALUE"""),"Master Fund")</f>
        <v>Master Fund</v>
      </c>
      <c r="CR5" s="15" t="str">
        <f>IFERROR(__xludf.DUMMYFUNCTION("""COMPUTED_VALUE"""),"Borrow Broker")</f>
        <v>Borrow Broker</v>
      </c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71">
      <c r="A6" s="4"/>
      <c r="B6" s="4"/>
      <c r="C6" s="4"/>
      <c r="D6" s="4"/>
      <c r="E6" s="4"/>
      <c r="F6" s="4" t="s">
        <v>45</v>
      </c>
      <c r="G6" s="4">
        <v>4</v>
      </c>
      <c r="H6" s="4">
        <v>5</v>
      </c>
      <c r="I6" s="4">
        <v>1</v>
      </c>
      <c r="J6" s="4">
        <v>1</v>
      </c>
      <c r="K6" s="4">
        <v>1</v>
      </c>
      <c r="L6" s="4" t="s">
        <v>39</v>
      </c>
      <c r="M6" s="4"/>
      <c r="N6" s="4" t="s">
        <v>31</v>
      </c>
      <c r="O6" s="4"/>
      <c r="Z6" s="16" t="s">
        <v>46</v>
      </c>
      <c r="AE6" s="16">
        <v>19000</v>
      </c>
      <c r="AH6" s="16">
        <v>1</v>
      </c>
      <c r="BJ6" s="16">
        <v>19000</v>
      </c>
      <c r="BO6" s="16" t="s">
        <v>20</v>
      </c>
      <c r="BS6" s="16" t="s">
        <v>19</v>
      </c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41</v>
      </c>
      <c r="D3" s="6" t="s">
        <v>9</v>
      </c>
      <c r="E3" s="7" t="s">
        <v>47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IFERROR(__xludf.DUMMYFUNCTION("""COMPUTED_VALUE"""),"SelectAllRowsAllocated")</f>
        <v>SelectAllRowsAllocated</v>
      </c>
      <c r="J4" s="8" t="str">
        <f>IFERROR(__xludf.DUMMYFUNCTION("""COMPUTED_VALUE"""),"AllocateWithPopUp")</f>
        <v>AllocateWithPopUp</v>
      </c>
      <c r="K4" s="8" t="str">
        <f>IFERROR(__xludf.DUMMYFUNCTION("""COMPUTED_VALUE"""),"EditUnallocatedGroupSidePanel")</f>
        <v>EditUnallocatedGroupSidePanel</v>
      </c>
      <c r="L4" s="8" t="str">
        <f>IFERROR(__xludf.DUMMYFUNCTION("""COMPUTED_VALUE"""),"CheckPreferences")</f>
        <v>CheckPreferences</v>
      </c>
      <c r="M4" s="8" t="str">
        <f>IFERROR(__xludf.DUMMYFUNCTION("""COMPUTED_VALUE"""),"DeleteGroupWithOutSave")</f>
        <v>DeleteGroupWithOutSave</v>
      </c>
      <c r="N4" s="8" t="str">
        <f>IFERROR(__xludf.DUMMYFUNCTION("""COMPUTED_VALUE"""),"TradeAttributeBulkChange")</f>
        <v>TradeAttributeBulkChange</v>
      </c>
      <c r="O4" s="8" t="str">
        <f>IFERROR(__xludf.DUMMYFUNCTION("""COMPUTED_VALUE"""),"ApplyBulkUpdateOnGroups")</f>
        <v>ApplyBulkUpdateOnGroups</v>
      </c>
      <c r="P4" s="14" t="str">
        <f>IFERROR(__xludf.DUMMYFUNCTION("""COMPUTED_VALUE"""),"ApplyPrefetchFilters")</f>
        <v>ApplyPrefetchFilters</v>
      </c>
      <c r="Q4" s="14" t="str">
        <f>IFERROR(__xludf.DUMMYFUNCTION("""COMPUTED_VALUE"""),"GeneralPreferencesDefaultRule")</f>
        <v>GeneralPreferencesDefaultRule</v>
      </c>
      <c r="R4" s="14" t="str">
        <f>IFERROR(__xludf.DUMMYFUNCTION("""COMPUTED_VALUE"""),"GeneralPrefCompanyUserWise")</f>
        <v>GeneralPrefCompanyUserWise</v>
      </c>
      <c r="S4" s="14" t="str">
        <f>IFERROR(__xludf.DUMMYFUNCTION("""COMPUTED_VALUE"""),"RenameTradeAttributes")</f>
        <v>RenameTradeAttributes</v>
      </c>
      <c r="T4" s="14" t="str">
        <f>IFERROR(__xludf.DUMMYFUNCTION("""COMPUTED_VALUE"""),"SetGroupingRules")</f>
        <v>SetGroupingRules</v>
      </c>
      <c r="U4" s="14" t="str">
        <f>IFERROR(__xludf.DUMMYFUNCTION("""COMPUTED_VALUE"""),"SetMasterFundRatio")</f>
        <v>SetMasterFundRatio</v>
      </c>
      <c r="V4" s="14" t="str">
        <f>IFERROR(__xludf.DUMMYFUNCTION("""COMPUTED_VALUE"""),"CheckFixedPreference")</f>
        <v>CheckFixedPreference</v>
      </c>
      <c r="W4" s="14" t="str">
        <f>IFERROR(__xludf.DUMMYFUNCTION("""COMPUTED_VALUE"""),"GetFixedPreference")</f>
        <v>GetFixedPreference</v>
      </c>
      <c r="X4" s="14" t="str">
        <f>IFERROR(__xludf.DUMMYFUNCTION("""COMPUTED_VALUE"""),"AddCalculatedPreferences")</f>
        <v>AddCalculatedPreferences</v>
      </c>
      <c r="Y4" s="14" t="str">
        <f>IFERROR(__xludf.DUMMYFUNCTION("""COMPUTED_VALUE"""),"BulkChangeCalculatedPreferences")</f>
        <v>BulkChangeCalculatedPreferences</v>
      </c>
      <c r="Z4" s="14" t="str">
        <f>IFERROR(__xludf.DUMMYFUNCTION("""COMPUTED_VALUE"""),"CheckAuditTrailData")</f>
        <v>CheckAuditTrailData</v>
      </c>
      <c r="AA4" s="14" t="str">
        <f>IFERROR(__xludf.DUMMYFUNCTION("""COMPUTED_VALUE"""),"DeleteCalculatedPreferences")</f>
        <v>DeleteCalculatedPreferences</v>
      </c>
      <c r="AB4" s="14" t="str">
        <f>IFERROR(__xludf.DUMMYFUNCTION("""COMPUTED_VALUE"""),"GetAuditTrailData")</f>
        <v>GetAuditTrailData</v>
      </c>
      <c r="AC4" s="14" t="str">
        <f>IFERROR(__xludf.DUMMYFUNCTION("""COMPUTED_VALUE"""),"RenameCalculatedPreferences")</f>
        <v>RenameCalculatedPreferences</v>
      </c>
      <c r="AD4" s="14" t="str">
        <f>IFERROR(__xludf.DUMMYFUNCTION("""COMPUTED_VALUE"""),"AllocationAuditTrail")</f>
        <v>AllocationAuditTrail</v>
      </c>
      <c r="AE4" s="14" t="str">
        <f>IFERROR(__xludf.DUMMYFUNCTION("""COMPUTED_VALUE"""),"CopyCalculatedPreferences")</f>
        <v>CopyCalculatedPreferences</v>
      </c>
      <c r="AF4" s="14" t="str">
        <f>IFERROR(__xludf.DUMMYFUNCTION("""COMPUTED_VALUE"""),"RunAutoGroup")</f>
        <v>RunAutoGroup</v>
      </c>
      <c r="AG4" s="14" t="str">
        <f>IFERROR(__xludf.DUMMYFUNCTION("""COMPUTED_VALUE"""),"BookOrUpdateSwap")</f>
        <v>BookOrUpdateSwap</v>
      </c>
      <c r="AH4" s="14" t="str">
        <f>IFERROR(__xludf.DUMMYFUNCTION("""COMPUTED_VALUE"""),"SetDefaultRuleCalculatedPref")</f>
        <v>SetDefaultRuleCalculatedPref</v>
      </c>
      <c r="AI4" s="14" t="str">
        <f>IFERROR(__xludf.DUMMYFUNCTION("""COMPUTED_VALUE"""),"RunProrata")</f>
        <v>RunProrata</v>
      </c>
      <c r="AJ4" s="14" t="str">
        <f>IFERROR(__xludf.DUMMYFUNCTION("""COMPUTED_VALUE"""),"SetAccountValueCalculatedPref")</f>
        <v>SetAccountValueCalculatedPref</v>
      </c>
      <c r="AK4" s="14" t="str">
        <f>IFERROR(__xludf.DUMMYFUNCTION("""COMPUTED_VALUE"""),"TradeAttributeBulkChangeGroups")</f>
        <v>TradeAttributeBulkChangeGroups</v>
      </c>
      <c r="AL4" s="14" t="str">
        <f>IFERROR(__xludf.DUMMYFUNCTION("""COMPUTED_VALUE"""),"TradeAttributeBulkChangeTaxlots")</f>
        <v>TradeAttributeBulkChangeTaxlots</v>
      </c>
      <c r="AM4" s="14" t="str">
        <f>IFERROR(__xludf.DUMMYFUNCTION("""COMPUTED_VALUE"""),"AddCalculatedPreferenceToolbar")</f>
        <v>AddCalculatedPreferenceToolbar</v>
      </c>
      <c r="AN4" s="14" t="str">
        <f>IFERROR(__xludf.DUMMYFUNCTION("""COMPUTED_VALUE"""),"SetStrategyValueCalculatedPref")</f>
        <v>SetStrategyValueCalculatedPref</v>
      </c>
      <c r="AO4" s="14" t="str">
        <f>IFERROR(__xludf.DUMMYFUNCTION("""COMPUTED_VALUE"""),"ApplyBulkUpdateOnTaxlots")</f>
        <v>ApplyBulkUpdateOnTaxlots</v>
      </c>
      <c r="AP4" s="14" t="str">
        <f>IFERROR(__xludf.DUMMYFUNCTION("""COMPUTED_VALUE"""),"CommissionBulkChangeOnGroups")</f>
        <v>CommissionBulkChangeOnGroups</v>
      </c>
      <c r="AQ4" s="14" t="str">
        <f>IFERROR(__xludf.DUMMYFUNCTION("""COMPUTED_VALUE"""),"CommissionBulkChangeOnTaxlots")</f>
        <v>CommissionBulkChangeOnTaxlots</v>
      </c>
      <c r="AR4" s="14" t="str">
        <f>IFERROR(__xludf.DUMMYFUNCTION("""COMPUTED_VALUE"""),"SelectUnallocatedGroup")</f>
        <v>SelectUnallocatedGroup</v>
      </c>
      <c r="AS4" s="14" t="str">
        <f>IFERROR(__xludf.DUMMYFUNCTION("""COMPUTED_VALUE"""),"EnterAccountValuesToAllocate")</f>
        <v>EnterAccountValuesToAllocate</v>
      </c>
      <c r="AT4" s="14" t="str">
        <f>IFERROR(__xludf.DUMMYFUNCTION("""COMPUTED_VALUE"""),"EnterAllocatePreference")</f>
        <v>EnterAllocatePreference</v>
      </c>
      <c r="AU4" s="14" t="str">
        <f>IFERROR(__xludf.DUMMYFUNCTION("""COMPUTED_VALUE"""),"EnterStrategyValuesToAllocate")</f>
        <v>EnterStrategyValuesToAllocate</v>
      </c>
      <c r="AV4" s="14" t="str">
        <f>IFERROR(__xludf.DUMMYFUNCTION("""COMPUTED_VALUE"""),"CopyCalculatedPreferenceToolbar")</f>
        <v>CopyCalculatedPreferenceToolbar</v>
      </c>
      <c r="AW4" s="14" t="str">
        <f>IFERROR(__xludf.DUMMYFUNCTION("""COMPUTED_VALUE"""),"SetGeneralRuleCalculatedPref")</f>
        <v>SetGeneralRuleCalculatedPref</v>
      </c>
      <c r="AX4" s="14" t="str">
        <f>IFERROR(__xludf.DUMMYFUNCTION("""COMPUTED_VALUE"""),"ExportAllCalculatedPreferences")</f>
        <v>ExportAllCalculatedPreferences</v>
      </c>
      <c r="AY4" s="14" t="str">
        <f>IFERROR(__xludf.DUMMYFUNCTION("""COMPUTED_VALUE"""),"SaveCalculatedPreferences")</f>
        <v>SaveCalculatedPreferences</v>
      </c>
      <c r="AZ4" s="14" t="str">
        <f>IFERROR(__xludf.DUMMYFUNCTION("""COMPUTED_VALUE"""),"CloseCalculatedPreferences")</f>
        <v>CloseCalculatedPreferences</v>
      </c>
      <c r="BA4" s="14" t="str">
        <f>IFERROR(__xludf.DUMMYFUNCTION("""COMPUTED_VALUE"""),"ExportCalculatedPreference")</f>
        <v>ExportCalculatedPreference</v>
      </c>
      <c r="BB4" s="14" t="str">
        <f>IFERROR(__xludf.DUMMYFUNCTION("""COMPUTED_VALUE"""),"ImportCalculatedPreferences")</f>
        <v>ImportCalculatedPreferences</v>
      </c>
      <c r="BC4" s="14" t="str">
        <f>IFERROR(__xludf.DUMMYFUNCTION("""COMPUTED_VALUE"""),"IsAllocationOpen")</f>
        <v>IsAllocationOpen</v>
      </c>
      <c r="BD4" s="14" t="str">
        <f>IFERROR(__xludf.DUMMYFUNCTION("""COMPUTED_VALUE"""),"OpenAuditTrailUnallocatedGroup")</f>
        <v>OpenAuditTrailUnallocatedGroup</v>
      </c>
      <c r="BE4" s="14" t="str">
        <f>IFERROR(__xludf.DUMMYFUNCTION("""COMPUTED_VALUE"""),"DeleteCalculatedPreferencesTool")</f>
        <v>DeleteCalculatedPreferencesTool</v>
      </c>
      <c r="BF4" s="14" t="str">
        <f>IFERROR(__xludf.DUMMYFUNCTION("""COMPUTED_VALUE"""),"ImportCalculatedPreferencesTool")</f>
        <v>ImportCalculatedPreferencesTool</v>
      </c>
      <c r="BG4" s="14" t="str">
        <f>IFERROR(__xludf.DUMMYFUNCTION("""COMPUTED_VALUE"""),"SetAvgPriceRounding")</f>
        <v>SetAvgPriceRounding</v>
      </c>
      <c r="BH4" s="14" t="str">
        <f>IFERROR(__xludf.DUMMYFUNCTION("""COMPUTED_VALUE"""),"SetAutoGroupingAccount")</f>
        <v>SetAutoGroupingAccount</v>
      </c>
      <c r="BI4" s="14" t="str">
        <f>IFERROR(__xludf.DUMMYFUNCTION("""COMPUTED_VALUE"""),"SetAutoGroupingPreferences")</f>
        <v>SetAutoGroupingPreferences</v>
      </c>
      <c r="BJ4" s="14" t="str">
        <f>IFERROR(__xludf.DUMMYFUNCTION("""COMPUTED_VALUE"""),"ExportAllCalculatedPreferTool")</f>
        <v>ExportAllCalculatedPreferTool</v>
      </c>
      <c r="BK4" s="14" t="str">
        <f>IFERROR(__xludf.DUMMYFUNCTION("""COMPUTED_VALUE"""),"EnterCustomAllocatePreference")</f>
        <v>EnterCustomAllocatePreference</v>
      </c>
      <c r="BL4" s="14" t="str">
        <f>IFERROR(__xludf.DUMMYFUNCTION("""COMPUTED_VALUE"""),"OpenSymbolLookupUnallocateGroup")</f>
        <v>OpenSymbolLookupUnallocateGroup</v>
      </c>
      <c r="BM4" s="14" t="str">
        <f>IFERROR(__xludf.DUMMYFUNCTION("""COMPUTED_VALUE"""),"OpenAuditTrailAllocatedGroup")</f>
        <v>OpenAuditTrailAllocatedGroup</v>
      </c>
      <c r="BN4" s="14" t="str">
        <f>IFERROR(__xludf.DUMMYFUNCTION("""COMPUTED_VALUE"""),"OpenSymbolLookupAllocatedGroup")</f>
        <v>OpenSymbolLookupAllocatedGroup</v>
      </c>
      <c r="BO4" s="14" t="str">
        <f>IFERROR(__xludf.DUMMYFUNCTION("""COMPUTED_VALUE"""),"DeleteFixedPreference")</f>
        <v>DeleteFixedPreference</v>
      </c>
      <c r="BP4" s="14" t="str">
        <f>IFERROR(__xludf.DUMMYFUNCTION("""COMPUTED_VALUE"""),"SetTradeAttributePreferences")</f>
        <v>SetTradeAttributePreferences</v>
      </c>
      <c r="BQ4" s="14" t="str">
        <f>IFERROR(__xludf.DUMMYFUNCTION("""COMPUTED_VALUE"""),"EditAllocatedGroupSidePanel")</f>
        <v>EditAllocatedGroupSidePanel</v>
      </c>
      <c r="BR4" s="14" t="str">
        <f>IFERROR(__xludf.DUMMYFUNCTION("""COMPUTED_VALUE"""),"ExpandCollapseAllocatedGrid")</f>
        <v>ExpandCollapseAllocatedGrid</v>
      </c>
      <c r="BS4" s="14" t="str">
        <f>IFERROR(__xludf.DUMMYFUNCTION("""COMPUTED_VALUE"""),"ExpandCollapseUnallocatedGrid")</f>
        <v>ExpandCollapseUnallocatedGrid</v>
      </c>
      <c r="BT4" s="14" t="str">
        <f>IFERROR(__xludf.DUMMYFUNCTION("""COMPUTED_VALUE"""),"EditAllocatedGridTaxlot")</f>
        <v>EditAllocatedGridTaxlot</v>
      </c>
      <c r="BU4" s="14" t="str">
        <f>IFERROR(__xludf.DUMMYFUNCTION("""COMPUTED_VALUE"""),"CheckUnallocatedGroups")</f>
        <v>CheckUnallocatedGroups</v>
      </c>
      <c r="BV4" s="14" t="str">
        <f>IFERROR(__xludf.DUMMYFUNCTION("""COMPUTED_VALUE"""),"EditAllocatedGridWPF")</f>
        <v>EditAllocatedGridWPF</v>
      </c>
      <c r="BW4" s="14" t="str">
        <f>IFERROR(__xludf.DUMMYFUNCTION("""COMPUTED_VALUE"""),"SetGeneralPreferences")</f>
        <v>SetGeneralPreferences</v>
      </c>
      <c r="BX4" s="14" t="str">
        <f>IFERROR(__xludf.DUMMYFUNCTION("""COMPUTED_VALUE"""),"EditUnallocatedGridWPF")</f>
        <v>EditUnallocatedGridWPF</v>
      </c>
      <c r="BY4" s="14" t="str">
        <f>IFERROR(__xludf.DUMMYFUNCTION("""COMPUTED_VALUE"""),"SetBrokerAccountMapping")</f>
        <v>SetBrokerAccountMapping</v>
      </c>
      <c r="BZ4" s="14" t="str">
        <f>IFERROR(__xludf.DUMMYFUNCTION("""COMPUTED_VALUE"""),"ShowMasterFundAsClient")</f>
        <v>ShowMasterFundAsClient</v>
      </c>
      <c r="CA4" s="14" t="str">
        <f>IFERROR(__xludf.DUMMYFUNCTION("""COMPUTED_VALUE"""),"ShowMasterFundOnTT")</f>
        <v>ShowMasterFundOnTT</v>
      </c>
      <c r="CB4" s="14" t="str">
        <f>IFERROR(__xludf.DUMMYFUNCTION("""COMPUTED_VALUE"""),"ApplyMasterFundFilter")</f>
        <v>ApplyMasterFundFilter</v>
      </c>
      <c r="CC4" s="14" t="str">
        <f>IFERROR(__xludf.DUMMYFUNCTION("""COMPUTED_VALUE"""),"GroupTrades")</f>
        <v>GroupTrades</v>
      </c>
      <c r="CD4" s="14" t="str">
        <f>IFERROR(__xludf.DUMMYFUNCTION("""COMPUTED_VALUE"""),"DisableCheckside")</f>
        <v>DisableCheckside</v>
      </c>
      <c r="CE4" s="14" t="str">
        <f>IFERROR(__xludf.DUMMYFUNCTION("""COMPUTED_VALUE"""),"UngroupTrades")</f>
        <v>UngroupTrades</v>
      </c>
      <c r="CF4" s="14" t="str">
        <f>IFERROR(__xludf.DUMMYFUNCTION("""COMPUTED_VALUE"""),"DisableChecksideForCounterParty")</f>
        <v>DisableChecksideForCounterParty</v>
      </c>
      <c r="CG4" s="14" t="str">
        <f>IFERROR(__xludf.DUMMYFUNCTION("""COMPUTED_VALUE"""),"DisableChecksideForAccount")</f>
        <v>DisableChecksideForAccount</v>
      </c>
      <c r="CH4" s="14" t="str">
        <f>IFERROR(__xludf.DUMMYFUNCTION("""COMPUTED_VALUE"""),"DeleteGroup")</f>
        <v>DeleteGroup</v>
      </c>
      <c r="CI4" s="14" t="str">
        <f>IFERROR(__xludf.DUMMYFUNCTION("""COMPUTED_VALUE"""),"DisableChecksideForAsset")</f>
        <v>DisableChecksideForAsset</v>
      </c>
      <c r="CJ4" s="14" t="str">
        <f>IFERROR(__xludf.DUMMYFUNCTION("""COMPUTED_VALUE"""),"CloseOrder")</f>
        <v>CloseOrder</v>
      </c>
      <c r="CK4" s="14" t="str">
        <f>IFERROR(__xludf.DUMMYFUNCTION("""COMPUTED_VALUE"""),"Unallocate")</f>
        <v>Unallocate</v>
      </c>
      <c r="CL4" s="14" t="str">
        <f>IFERROR(__xludf.DUMMYFUNCTION("""COMPUTED_VALUE"""),"CloseAllocation")</f>
        <v>CloseAllocation</v>
      </c>
      <c r="CM4" s="14" t="str">
        <f>IFERROR(__xludf.DUMMYFUNCTION("""COMPUTED_VALUE"""),"CheckAllocatedTaxlots")</f>
        <v>CheckAllocatedTaxlots</v>
      </c>
      <c r="CN4" s="14" t="str">
        <f>IFERROR(__xludf.DUMMYFUNCTION("""COMPUTED_VALUE"""),"CleanUp")</f>
        <v>CleanUp</v>
      </c>
      <c r="CO4" s="14" t="str">
        <f>IFERROR(__xludf.DUMMYFUNCTION("""COMPUTED_VALUE"""),"VerifyLayoutAllocatedGrid")</f>
        <v>VerifyLayoutAllocatedGrid</v>
      </c>
      <c r="CP4" s="14" t="str">
        <f>IFERROR(__xludf.DUMMYFUNCTION("""COMPUTED_VALUE"""),"VerifyLayoutUnallocatedGrid")</f>
        <v>VerifyLayoutUnallocatedGrid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IFERROR(__xludf.DUMMYFUNCTION("""COMPUTED_VALUE"""),"ClearFiltersAllocatedGrid")</f>
        <v>ClearFiltersAllocatedGrid</v>
      </c>
      <c r="CS4" s="14" t="str">
        <f>IFERROR(__xludf.DUMMYFUNCTION("""COMPUTED_VALUE"""),"UpdateGRAccountValue")</f>
        <v>UpdateGRAccountValue</v>
      </c>
      <c r="CT4" s="14" t="str">
        <f>IFERROR(__xludf.DUMMYFUNCTION("""COMPUTED_VALUE"""),"UpdateGRStrategyValue")</f>
        <v>UpdateGRStrategyValue</v>
      </c>
      <c r="CU4" s="14" t="str">
        <f>IFERROR(__xludf.DUMMYFUNCTION("""COMPUTED_VALUE"""),"UpdateGRDefaultRule")</f>
        <v>UpdateGRDefaultRule</v>
      </c>
      <c r="CV4" s="14" t="str">
        <f>IFERROR(__xludf.DUMMYFUNCTION("""COMPUTED_VALUE"""),"UpdateGeneralRulePref")</f>
        <v>UpdateGeneralRulePref</v>
      </c>
      <c r="CW4" s="14" t="str">
        <f>IFERROR(__xludf.DUMMYFUNCTION("""COMPUTED_VALUE"""),"AddMFPreferences")</f>
        <v>AddMFPreferences</v>
      </c>
      <c r="CX4" s="14" t="str">
        <f>IFERROR(__xludf.DUMMYFUNCTION("""COMPUTED_VALUE"""),"ModifyGRPreferenceValues")</f>
        <v>ModifyGRPreferenceValues</v>
      </c>
      <c r="CY4" s="14" t="str">
        <f>IFERROR(__xludf.DUMMYFUNCTION("""COMPUTED_VALUE"""),"AddMFPreferenceToolbar")</f>
        <v>AddMFPreferenceToolbar</v>
      </c>
      <c r="CZ4" s="14" t="str">
        <f>IFERROR(__xludf.DUMMYFUNCTION("""COMPUTED_VALUE"""),"DeleteMFPreferences")</f>
        <v>DeleteMFPreferences</v>
      </c>
      <c r="DA4" s="14" t="str">
        <f>IFERROR(__xludf.DUMMYFUNCTION("""COMPUTED_VALUE"""),"SaveLayoutAllocationUI")</f>
        <v>SaveLayoutAllocationUI</v>
      </c>
      <c r="DB4" s="14" t="str">
        <f>IFERROR(__xludf.DUMMYFUNCTION("""COMPUTED_VALUE"""),"DeleteMFPreferenceToolbar")</f>
        <v>DeleteMFPreferenceToolbar</v>
      </c>
      <c r="DC4" s="14" t="str">
        <f>IFERROR(__xludf.DUMMYFUNCTION("""COMPUTED_VALUE"""),"SaveLayoutUnallocatedGrid")</f>
        <v>SaveLayoutUnallocatedGrid</v>
      </c>
      <c r="DD4" s="14" t="str">
        <f>IFERROR(__xludf.DUMMYFUNCTION("""COMPUTED_VALUE"""),"SaveLayoutAllocatedGrid")</f>
        <v>SaveLayoutAllocatedGrid</v>
      </c>
      <c r="DE4" s="14" t="str">
        <f>IFERROR(__xludf.DUMMYFUNCTION("""COMPUTED_VALUE"""),"EditAllocatedGrid")</f>
        <v>EditAllocatedGrid</v>
      </c>
      <c r="DF4" s="14" t="str">
        <f>IFERROR(__xludf.DUMMYFUNCTION("""COMPUTED_VALUE"""),"EditUnallocatedGrid")</f>
        <v>EditUnallocatedGrid</v>
      </c>
      <c r="DG4" s="14" t="str">
        <f>IFERROR(__xludf.DUMMYFUNCTION("""COMPUTED_VALUE"""),"UnallocateWithOutSave")</f>
        <v>UnallocateWithOutSave</v>
      </c>
      <c r="DH4" s="14" t="str">
        <f>IFERROR(__xludf.DUMMYFUNCTION("""COMPUTED_VALUE"""),"SaveAllocation")</f>
        <v>SaveAllocation</v>
      </c>
      <c r="DI4" s="14" t="str">
        <f>IFERROR(__xludf.DUMMYFUNCTION("""COMPUTED_VALUE"""),"GenerateCashTransaction")</f>
        <v>GenerateCashTransaction</v>
      </c>
      <c r="DJ4" s="14" t="str">
        <f>IFERROR(__xludf.DUMMYFUNCTION("""COMPUTED_VALUE"""),"ExpandCollapseAllAllocated")</f>
        <v>ExpandCollapseAllAllocated</v>
      </c>
      <c r="DK4" s="14" t="str">
        <f>IFERROR(__xludf.DUMMYFUNCTION("""COMPUTED_VALUE"""),"ExpandCollapseAllUnallocated")</f>
        <v>ExpandCollapseAllUnallocated</v>
      </c>
      <c r="DL4" s="14" t="str">
        <f>IFERROR(__xludf.DUMMYFUNCTION("""COMPUTED_VALUE"""),"ClearPrefetchFilters")</f>
        <v>ClearPrefetchFilters</v>
      </c>
      <c r="DM4" s="14" t="str">
        <f>IFERROR(__xludf.DUMMYFUNCTION("""COMPUTED_VALUE"""),"RenameMFPreferences")</f>
        <v>RenameMFPreferences</v>
      </c>
      <c r="DN4" s="14" t="str">
        <f>IFERROR(__xludf.DUMMYFUNCTION("""COMPUTED_VALUE"""),"SetMFPrefFundDefaultRule")</f>
        <v>SetMFPrefFundDefaultRule</v>
      </c>
      <c r="DO4" s="14" t="str">
        <f>IFERROR(__xludf.DUMMYFUNCTION("""COMPUTED_VALUE"""),"SaveCloseMFPreference")</f>
        <v>SaveCloseMFPreference</v>
      </c>
      <c r="DP4" s="14" t="str">
        <f>IFERROR(__xludf.DUMMYFUNCTION("""COMPUTED_VALUE"""),"SetMFPrefAccountValues")</f>
        <v>SetMFPrefAccountValues</v>
      </c>
      <c r="DQ4" s="14" t="str">
        <f>IFERROR(__xludf.DUMMYFUNCTION("""COMPUTED_VALUE"""),"SetMFPreferencesDefaultRule")</f>
        <v>SetMFPreferencesDefaultRule</v>
      </c>
      <c r="DR4" s="14" t="str">
        <f>IFERROR(__xludf.DUMMYFUNCTION("""COMPUTED_VALUE"""),"SetMFPrefFundDistribution")</f>
        <v>SetMFPrefFundDistribution</v>
      </c>
      <c r="DS4" s="14" t="str">
        <f>IFERROR(__xludf.DUMMYFUNCTION("""COMPUTED_VALUE"""),"SetMFPrefGeneralRule")</f>
        <v>SetMFPrefGeneralRule</v>
      </c>
      <c r="DT4" s="14" t="str">
        <f>IFERROR(__xludf.DUMMYFUNCTION("""COMPUTED_VALUE"""),"ModifyMFPrefGeneralRuleValues")</f>
        <v>ModifyMFPrefGeneralRuleValues</v>
      </c>
      <c r="DU4" s="14" t="str">
        <f>IFERROR(__xludf.DUMMYFUNCTION("""COMPUTED_VALUE"""),"SetMFPrefStrategyValues")</f>
        <v>SetMFPrefStrategyValues</v>
      </c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IFERROR(__xludf.DUMMYFUNCTION("""COMPUTED_VALUE"""),"Accrual Basis")</f>
        <v>Accrual Basis</v>
      </c>
      <c r="D5" s="10" t="str">
        <f>IFERROR(__xludf.DUMMYFUNCTION("""COMPUTED_VALUE"""),"Accrued Interest")</f>
        <v>Accrued Interest</v>
      </c>
      <c r="E5" s="10" t="str">
        <f>IFERROR(__xludf.DUMMYFUNCTION("""COMPUTED_VALUE"""),"Allocated Qty")</f>
        <v>Allocated Qty</v>
      </c>
      <c r="F5" s="10" t="str">
        <f>IFERROR(__xludf.DUMMYFUNCTION("""COMPUTED_VALUE"""),"Allocation Scheme Name")</f>
        <v>Allocation Scheme Name</v>
      </c>
      <c r="G5" s="10" t="str">
        <f>IFERROR(__xludf.DUMMYFUNCTION("""COMPUTED_VALUE"""),"Asset Category")</f>
        <v>Asset Category</v>
      </c>
      <c r="H5" s="10" t="str">
        <f>IFERROR(__xludf.DUMMYFUNCTION("""COMPUTED_VALUE"""),"AUEC Fee1")</f>
        <v>AUEC Fee1</v>
      </c>
      <c r="I5" s="10" t="str">
        <f>IFERROR(__xludf.DUMMYFUNCTION("""COMPUTED_VALUE"""),"AUEC Fee2")</f>
        <v>AUEC Fee2</v>
      </c>
      <c r="J5" s="10" t="str">
        <f>IFERROR(__xludf.DUMMYFUNCTION("""COMPUTED_VALUE"""),"AUECID")</f>
        <v>AUECID</v>
      </c>
      <c r="K5" s="10" t="str">
        <f>IFERROR(__xludf.DUMMYFUNCTION("""COMPUTED_VALUE"""),"Avg Price(Base)")</f>
        <v>Avg Price(Base)</v>
      </c>
      <c r="L5" s="10" t="str">
        <f>IFERROR(__xludf.DUMMYFUNCTION("""COMPUTED_VALUE"""),"Avg Price(Local)")</f>
        <v>Avg Price(Local)</v>
      </c>
      <c r="M5" s="10" t="str">
        <f>IFERROR(__xludf.DUMMYFUNCTION("""COMPUTED_VALUE"""),"Bloomberg")</f>
        <v>Bloomberg</v>
      </c>
      <c r="N5" s="10" t="str">
        <f>IFERROR(__xludf.DUMMYFUNCTION("""COMPUTED_VALUE"""),"Bond Type")</f>
        <v>Bond Type</v>
      </c>
      <c r="O5" s="10" t="str">
        <f>IFERROR(__xludf.DUMMYFUNCTION("""COMPUTED_VALUE"""),"Broker")</f>
        <v>Broker</v>
      </c>
      <c r="P5" s="10" t="str">
        <f>IFERROR(__xludf.DUMMYFUNCTION("""COMPUTED_VALUE"""),"Change Comment")</f>
        <v>Change Comment</v>
      </c>
      <c r="Q5" s="10" t="str">
        <f>IFERROR(__xludf.DUMMYFUNCTION("""COMPUTED_VALUE"""),"Change Type")</f>
        <v>Change Type</v>
      </c>
      <c r="R5" s="10" t="str">
        <f>IFERROR(__xludf.DUMMYFUNCTION("""COMPUTED_VALUE"""),"Clearing Broker Fee")</f>
        <v>Clearing Broker Fee</v>
      </c>
      <c r="S5" s="10" t="str">
        <f>IFERROR(__xludf.DUMMYFUNCTION("""COMPUTED_VALUE"""),"Closing Status")</f>
        <v>Closing Status</v>
      </c>
      <c r="T5" s="15" t="str">
        <f>IFERROR(__xludf.DUMMYFUNCTION("""COMPUTED_VALUE"""),"Commission")</f>
        <v>Commission</v>
      </c>
      <c r="U5" s="15" t="str">
        <f>IFERROR(__xludf.DUMMYFUNCTION("""COMPUTED_VALUE"""),"Commission Per Share")</f>
        <v>Commission Per Share</v>
      </c>
      <c r="V5" s="15" t="str">
        <f>IFERROR(__xludf.DUMMYFUNCTION("""COMPUTED_VALUE"""),"Company")</f>
        <v>Company</v>
      </c>
      <c r="W5" s="15" t="str">
        <f>IFERROR(__xludf.DUMMYFUNCTION("""COMPUTED_VALUE"""),"Contract Multiplier")</f>
        <v>Contract Multiplier</v>
      </c>
      <c r="X5" s="15" t="str">
        <f>IFERROR(__xludf.DUMMYFUNCTION("""COMPUTED_VALUE"""),"Coupon Rate")</f>
        <v>Coupon Rate</v>
      </c>
      <c r="Y5" s="15" t="str">
        <f>IFERROR(__xludf.DUMMYFUNCTION("""COMPUTED_VALUE"""),"Cum Qty For Sub Order")</f>
        <v>Cum Qty For Sub Order</v>
      </c>
      <c r="Z5" s="15" t="str">
        <f>IFERROR(__xludf.DUMMYFUNCTION("""COMPUTED_VALUE"""),"Currency")</f>
        <v>Currency</v>
      </c>
      <c r="AA5" s="15" t="str">
        <f>IFERROR(__xludf.DUMMYFUNCTION("""COMPUTED_VALUE"""),"Cusip Symbol")</f>
        <v>Cusip Symbol</v>
      </c>
      <c r="AB5" s="15" t="str">
        <f>IFERROR(__xludf.DUMMYFUNCTION("""COMPUTED_VALUE"""),"Delta")</f>
        <v>Delta</v>
      </c>
      <c r="AC5" s="15" t="str">
        <f>IFERROR(__xludf.DUMMYFUNCTION("""COMPUTED_VALUE"""),"Description")</f>
        <v>Description</v>
      </c>
      <c r="AD5" s="15" t="str">
        <f>IFERROR(__xludf.DUMMYFUNCTION("""COMPUTED_VALUE"""),"Exchange")</f>
        <v>Exchange</v>
      </c>
      <c r="AE5" s="15" t="str">
        <f>IFERROR(__xludf.DUMMYFUNCTION("""COMPUTED_VALUE"""),"Executed Qty")</f>
        <v>Executed Qty</v>
      </c>
      <c r="AF5" s="15" t="str">
        <f>IFERROR(__xludf.DUMMYFUNCTION("""COMPUTED_VALUE"""),"Exceution Time")</f>
        <v>Exceution Time</v>
      </c>
      <c r="AG5" s="15" t="str">
        <f>IFERROR(__xludf.DUMMYFUNCTION("""COMPUTED_VALUE"""),"Expiration Date")</f>
        <v>Expiration Date</v>
      </c>
      <c r="AH5" s="15" t="str">
        <f>IFERROR(__xludf.DUMMYFUNCTION("""COMPUTED_VALUE"""),"FX Conversion Operator")</f>
        <v>FX Conversion Operator</v>
      </c>
      <c r="AI5" s="15" t="str">
        <f>IFERROR(__xludf.DUMMYFUNCTION("""COMPUTED_VALUE"""),"FX Rate")</f>
        <v>FX Rate</v>
      </c>
      <c r="AJ5" s="15" t="str">
        <f>IFERROR(__xludf.DUMMYFUNCTION("""COMPUTED_VALUE"""),"Group Status")</f>
        <v>Group Status</v>
      </c>
      <c r="AK5" s="15" t="str">
        <f>IFERROR(__xludf.DUMMYFUNCTION("""COMPUTED_VALUE"""),"IDCOSymbol")</f>
        <v>IDCOSymbol</v>
      </c>
      <c r="AL5" s="15" t="str">
        <f>IFERROR(__xludf.DUMMYFUNCTION("""COMPUTED_VALUE"""),"Import File Name")</f>
        <v>Import File Name</v>
      </c>
      <c r="AM5" s="15" t="str">
        <f>IFERROR(__xludf.DUMMYFUNCTION("""COMPUTED_VALUE"""),"Internal Comments")</f>
        <v>Internal Comments</v>
      </c>
      <c r="AN5" s="15" t="str">
        <f>IFERROR(__xludf.DUMMYFUNCTION("""COMPUTED_VALUE"""),"IsAnotherTaxlotAttributesUpdated")</f>
        <v>IsAnotherTaxlotAttributesUpdated</v>
      </c>
      <c r="AO5" s="15" t="str">
        <f>IFERROR(__xludf.DUMMYFUNCTION("""COMPUTED_VALUE"""),"ISIN")</f>
        <v>ISIN</v>
      </c>
      <c r="AP5" s="15" t="str">
        <f>IFERROR(__xludf.DUMMYFUNCTION("""COMPUTED_VALUE"""),"IsManual Group")</f>
        <v>IsManual Group</v>
      </c>
      <c r="AQ5" s="15" t="str">
        <f>IFERROR(__xludf.DUMMYFUNCTION("""COMPUTED_VALUE"""),"ISNDF")</f>
        <v>ISNDF</v>
      </c>
      <c r="AR5" s="15" t="str">
        <f>IFERROR(__xludf.DUMMYFUNCTION("""COMPUTED_VALUE"""),"IsPreAllocated")</f>
        <v>IsPreAllocated</v>
      </c>
      <c r="AS5" s="15" t="str">
        <f>IFERROR(__xludf.DUMMYFUNCTION("""COMPUTED_VALUE"""),"M2MProfitLoss")</f>
        <v>M2MProfitLoss</v>
      </c>
      <c r="AT5" s="15" t="str">
        <f>IFERROR(__xludf.DUMMYFUNCTION("""COMPUTED_VALUE"""),"Net Amount( Base)")</f>
        <v>Net Amount( Base)</v>
      </c>
      <c r="AU5" s="15" t="str">
        <f>IFERROR(__xludf.DUMMYFUNCTION("""COMPUTED_VALUE"""),"Net Amount( Local)")</f>
        <v>Net Amount( Local)</v>
      </c>
      <c r="AV5" s="15" t="str">
        <f>IFERROR(__xludf.DUMMYFUNCTION("""COMPUTED_VALUE"""),"Nirvana Process Date")</f>
        <v>Nirvana Process Date</v>
      </c>
      <c r="AW5" s="15" t="str">
        <f>IFERROR(__xludf.DUMMYFUNCTION("""COMPUTED_VALUE"""),"OCC Fee")</f>
        <v>OCC Fee</v>
      </c>
      <c r="AX5" s="15" t="str">
        <f>IFERROR(__xludf.DUMMYFUNCTION("""COMPUTED_VALUE"""),"Option Premium Adjustment")</f>
        <v>Option Premium Adjustment</v>
      </c>
      <c r="AY5" s="15" t="str">
        <f>IFERROR(__xludf.DUMMYFUNCTION("""COMPUTED_VALUE"""),"Order Type")</f>
        <v>Order Type</v>
      </c>
      <c r="AZ5" s="15" t="str">
        <f>IFERROR(__xludf.DUMMYFUNCTION("""COMPUTED_VALUE"""),"ORF Fee")</f>
        <v>ORF Fee</v>
      </c>
      <c r="BA5" s="15" t="str">
        <f>IFERROR(__xludf.DUMMYFUNCTION("""COMPUTED_VALUE"""),"Original Purchase Date")</f>
        <v>Original Purchase Date</v>
      </c>
      <c r="BB5" s="15" t="str">
        <f>IFERROR(__xludf.DUMMYFUNCTION("""COMPUTED_VALUE"""),"OSISSymbol")</f>
        <v>OSISSymbol</v>
      </c>
      <c r="BC5" s="15" t="str">
        <f>IFERROR(__xludf.DUMMYFUNCTION("""COMPUTED_VALUE"""),"Other Broker Fees")</f>
        <v>Other Broker Fees</v>
      </c>
      <c r="BD5" s="15" t="str">
        <f>IFERROR(__xludf.DUMMYFUNCTION("""COMPUTED_VALUE"""),"Prana Msg Type")</f>
        <v>Prana Msg Type</v>
      </c>
      <c r="BE5" s="15" t="str">
        <f>IFERROR(__xludf.DUMMYFUNCTION("""COMPUTED_VALUE"""),"Principal Amount( Base)")</f>
        <v>Principal Amount( Base)</v>
      </c>
      <c r="BF5" s="15" t="str">
        <f>IFERROR(__xludf.DUMMYFUNCTION("""COMPUTED_VALUE"""),"Principal Amount( Local)")</f>
        <v>Principal Amount( Local)</v>
      </c>
      <c r="BG5" s="15" t="str">
        <f>IFERROR(__xludf.DUMMYFUNCTION("""COMPUTED_VALUE"""),"Process Date")</f>
        <v>Process Date</v>
      </c>
      <c r="BH5" s="15" t="str">
        <f>IFERROR(__xludf.DUMMYFUNCTION("""COMPUTED_VALUE"""),"Proxy Symbol")</f>
        <v>Proxy Symbol</v>
      </c>
      <c r="BI5" s="15" t="str">
        <f>IFERROR(__xludf.DUMMYFUNCTION("""COMPUTED_VALUE"""),"Put Or Call")</f>
        <v>Put Or Call</v>
      </c>
      <c r="BJ5" s="15" t="str">
        <f>IFERROR(__xludf.DUMMYFUNCTION("""COMPUTED_VALUE"""),"Quantity")</f>
        <v>Quantity</v>
      </c>
      <c r="BK5" s="15" t="str">
        <f>IFERROR(__xludf.DUMMYFUNCTION("""COMPUTED_VALUE"""),"SEC Fee")</f>
        <v>SEC Fee</v>
      </c>
      <c r="BL5" s="15" t="str">
        <f>IFERROR(__xludf.DUMMYFUNCTION("""COMPUTED_VALUE"""),"Sedol Symbol")</f>
        <v>Sedol Symbol</v>
      </c>
      <c r="BM5" s="15" t="str">
        <f>IFERROR(__xludf.DUMMYFUNCTION("""COMPUTED_VALUE"""),"Settlement Currency")</f>
        <v>Settlement Currency</v>
      </c>
      <c r="BN5" s="15" t="str">
        <f>IFERROR(__xludf.DUMMYFUNCTION("""COMPUTED_VALUE"""),"Settlement Date")</f>
        <v>Settlement Date</v>
      </c>
      <c r="BO5" s="15" t="str">
        <f>IFERROR(__xludf.DUMMYFUNCTION("""COMPUTED_VALUE"""),"Side")</f>
        <v>Side</v>
      </c>
      <c r="BP5" s="15" t="str">
        <f>IFERROR(__xludf.DUMMYFUNCTION("""COMPUTED_VALUE"""),"Soft Commission")</f>
        <v>Soft Commission</v>
      </c>
      <c r="BQ5" s="15" t="str">
        <f>IFERROR(__xludf.DUMMYFUNCTION("""COMPUTED_VALUE"""),"Soft Commission Per Share")</f>
        <v>Soft Commission Per Share</v>
      </c>
      <c r="BR5" s="15" t="str">
        <f>IFERROR(__xludf.DUMMYFUNCTION("""COMPUTED_VALUE"""),"Stamp Duty")</f>
        <v>Stamp Duty</v>
      </c>
      <c r="BS5" s="15" t="str">
        <f>IFERROR(__xludf.DUMMYFUNCTION("""COMPUTED_VALUE"""),"Strategy Name")</f>
        <v>Strategy Name</v>
      </c>
      <c r="BT5" s="15" t="str">
        <f>IFERROR(__xludf.DUMMYFUNCTION("""COMPUTED_VALUE"""),"Symbol")</f>
        <v>Symbol</v>
      </c>
      <c r="BU5" s="15" t="str">
        <f>IFERROR(__xludf.DUMMYFUNCTION("""COMPUTED_VALUE"""),"Tax On Commissions")</f>
        <v>Tax On Commissions</v>
      </c>
      <c r="BV5" s="15" t="str">
        <f>IFERROR(__xludf.DUMMYFUNCTION("""COMPUTED_VALUE"""),"Total Commission")</f>
        <v>Total Commission</v>
      </c>
      <c r="BW5" s="15" t="str">
        <f>IFERROR(__xludf.DUMMYFUNCTION("""COMPUTED_VALUE"""),"Total Commission And Fee")</f>
        <v>Total Commission And Fee</v>
      </c>
      <c r="BX5" s="15" t="str">
        <f>IFERROR(__xludf.DUMMYFUNCTION("""COMPUTED_VALUE"""),"Total Commission Per Share")</f>
        <v>Total Commission Per Share</v>
      </c>
      <c r="BY5" s="15" t="str">
        <f>IFERROR(__xludf.DUMMYFUNCTION("""COMPUTED_VALUE"""),"Trade Attribute 1")</f>
        <v>Trade Attribute 1</v>
      </c>
      <c r="BZ5" s="15" t="str">
        <f>IFERROR(__xludf.DUMMYFUNCTION("""COMPUTED_VALUE"""),"Trade Attribute 2")</f>
        <v>Trade Attribute 2</v>
      </c>
      <c r="CA5" s="15" t="str">
        <f>IFERROR(__xludf.DUMMYFUNCTION("""COMPUTED_VALUE"""),"Trade Attribute 3")</f>
        <v>Trade Attribute 3</v>
      </c>
      <c r="CB5" s="15" t="str">
        <f>IFERROR(__xludf.DUMMYFUNCTION("""COMPUTED_VALUE"""),"Trade Attribute 4")</f>
        <v>Trade Attribute 4</v>
      </c>
      <c r="CC5" s="15" t="str">
        <f>IFERROR(__xludf.DUMMYFUNCTION("""COMPUTED_VALUE"""),"Trade Attribute 5")</f>
        <v>Trade Attribute 5</v>
      </c>
      <c r="CD5" s="15" t="str">
        <f>IFERROR(__xludf.DUMMYFUNCTION("""COMPUTED_VALUE"""),"Trade Attribute 6")</f>
        <v>Trade Attribute 6</v>
      </c>
      <c r="CE5" s="15" t="str">
        <f>IFERROR(__xludf.DUMMYFUNCTION("""COMPUTED_VALUE"""),"Trade Date")</f>
        <v>Trade Date</v>
      </c>
      <c r="CF5" s="15" t="str">
        <f>IFERROR(__xludf.DUMMYFUNCTION("""COMPUTED_VALUE"""),"Trading Account")</f>
        <v>Trading Account</v>
      </c>
      <c r="CG5" s="15" t="str">
        <f>IFERROR(__xludf.DUMMYFUNCTION("""COMPUTED_VALUE"""),"Transaction Levy")</f>
        <v>Transaction Levy</v>
      </c>
      <c r="CH5" s="15" t="str">
        <f>IFERROR(__xludf.DUMMYFUNCTION("""COMPUTED_VALUE"""),"Transaction Source")</f>
        <v>Transaction Source</v>
      </c>
      <c r="CI5" s="15" t="str">
        <f>IFERROR(__xludf.DUMMYFUNCTION("""COMPUTED_VALUE"""),"Transaction Type")</f>
        <v>Transaction Type</v>
      </c>
      <c r="CJ5" s="15" t="str">
        <f>IFERROR(__xludf.DUMMYFUNCTION("""COMPUTED_VALUE"""),"UnAllocatedQty")</f>
        <v>UnAllocatedQty</v>
      </c>
      <c r="CK5" s="15" t="str">
        <f>IFERROR(__xludf.DUMMYFUNCTION("""COMPUTED_VALUE"""),"Underlying")</f>
        <v>Underlying</v>
      </c>
      <c r="CL5" s="15" t="str">
        <f>IFERROR(__xludf.DUMMYFUNCTION("""COMPUTED_VALUE"""),"Underlying Delta")</f>
        <v>Underlying Delta</v>
      </c>
      <c r="CM5" s="15" t="str">
        <f>IFERROR(__xludf.DUMMYFUNCTION("""COMPUTED_VALUE"""),"Underlying Symbol")</f>
        <v>Underlying Symbol</v>
      </c>
      <c r="CN5" s="15" t="str">
        <f>IFERROR(__xludf.DUMMYFUNCTION("""COMPUTED_VALUE"""),"User")</f>
        <v>User</v>
      </c>
      <c r="CO5" s="15" t="str">
        <f>IFERROR(__xludf.DUMMYFUNCTION("""COMPUTED_VALUE"""),"Venue")</f>
        <v>Venue</v>
      </c>
      <c r="CP5" s="15" t="str">
        <f>IFERROR(__xludf.DUMMYFUNCTION("""COMPUTED_VALUE"""),"Closing Method")</f>
        <v>Closing Method</v>
      </c>
      <c r="CQ5" s="15" t="str">
        <f>IFERROR(__xludf.DUMMYFUNCTION("""COMPUTED_VALUE"""),"Closing Date")</f>
        <v>Closing Date</v>
      </c>
      <c r="CR5" s="15" t="str">
        <f>IFERROR(__xludf.DUMMYFUNCTION("""COMPUTED_VALUE"""),"GroupID")</f>
        <v>GroupID</v>
      </c>
      <c r="CS5" s="15" t="str">
        <f>IFERROR(__xludf.DUMMYFUNCTION("""COMPUTED_VALUE"""),"Client")</f>
        <v>Client</v>
      </c>
      <c r="CT5" s="15" t="str">
        <f>IFERROR(__xludf.DUMMYFUNCTION("""COMPUTED_VALUE"""),"Borrow Broker")</f>
        <v>Borrow Broker</v>
      </c>
      <c r="CU5" s="15" t="str">
        <f>IFERROR(__xludf.DUMMYFUNCTION("""COMPUTED_VALUE"""),"ACTIV Symbol")</f>
        <v>ACTIV Symbol</v>
      </c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72">
      <c r="A6" s="4"/>
      <c r="B6" s="4"/>
      <c r="C6" s="4"/>
      <c r="D6" s="4"/>
      <c r="E6" s="4"/>
      <c r="F6" s="4"/>
      <c r="G6" s="4" t="s">
        <v>45</v>
      </c>
      <c r="H6" s="4">
        <v>4</v>
      </c>
      <c r="I6" s="4">
        <v>5</v>
      </c>
      <c r="J6" s="4">
        <v>1</v>
      </c>
      <c r="K6" s="4">
        <v>1</v>
      </c>
      <c r="L6" s="4">
        <v>1</v>
      </c>
      <c r="M6" s="4" t="s">
        <v>39</v>
      </c>
      <c r="N6" s="4"/>
      <c r="O6" s="4" t="s">
        <v>31</v>
      </c>
      <c r="BJ6" s="16">
        <v>2000</v>
      </c>
      <c r="BO6" s="16" t="s">
        <v>20</v>
      </c>
      <c r="BT6" s="16" t="s">
        <v>19</v>
      </c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T99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76" width="12.6285714285714" customWidth="1"/>
  </cols>
  <sheetData>
    <row r="1" ht="15.75" customHeight="1" spans="1:176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76">
      <c r="A3" s="5"/>
      <c r="B3" s="6" t="s">
        <v>8</v>
      </c>
      <c r="C3" s="7" t="s">
        <v>28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ht="15.75" customHeight="1" spans="1:176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IFERROR(__xludf.DUMMYFUNCTION("""COMPUTED_VALUE"""),"CheckPMLiveFeed")</f>
        <v>CheckPMLiveFeed</v>
      </c>
      <c r="E4" s="8" t="str">
        <f>IFERROR(__xludf.DUMMYFUNCTION("""COMPUTED_VALUE"""),"OpenPSTFromPM")</f>
        <v>OpenPSTFromPM</v>
      </c>
      <c r="F4" s="8" t="str">
        <f>IFERROR(__xludf.DUMMYFUNCTION("""COMPUTED_VALUE"""),"IncreasePositionFromPM")</f>
        <v>IncreasePositionFromPM</v>
      </c>
      <c r="G4" s="8" t="str">
        <f>IFERROR(__xludf.DUMMYFUNCTION("""COMPUTED_VALUE"""),"ClosePM")</f>
        <v>ClosePM</v>
      </c>
      <c r="H4" s="8" t="str">
        <f>IFERROR(__xludf.DUMMYFUNCTION("""COMPUTED_VALUE"""),"RemoveGroupingFromPM")</f>
        <v>RemoveGroupingFromPM</v>
      </c>
      <c r="I4" s="8" t="str">
        <f>IFERROR(__xludf.DUMMYFUNCTION("""COMPUTED_VALUE"""),"OpenCreateTransactionFromPM")</f>
        <v>OpenCreateTransactionFromPM</v>
      </c>
      <c r="J4" s="8" t="str">
        <f>IFERROR(__xludf.DUMMYFUNCTION("""COMPUTED_VALUE"""),"FilterPM")</f>
        <v>FilterPM</v>
      </c>
      <c r="K4" s="8" t="str">
        <f>IFERROR(__xludf.DUMMYFUNCTION("""COMPUTED_VALUE"""),"GroupRowPM")</f>
        <v>GroupRowPM</v>
      </c>
      <c r="L4" s="8" t="str">
        <f>IFERROR(__xludf.DUMMYFUNCTION("""COMPUTED_VALUE"""),"CheckDashboardWithPM")</f>
        <v>CheckDashboardWithPM</v>
      </c>
      <c r="M4" s="8" t="str">
        <f>IFERROR(__xludf.DUMMYFUNCTION("""COMPUTED_VALUE"""),"RemoveFilterPM")</f>
        <v>RemoveFilterPM</v>
      </c>
      <c r="N4" s="8" t="str">
        <f>IFERROR(__xludf.DUMMYFUNCTION("""COMPUTED_VALUE"""),"CheckSummaryRowsPM")</f>
        <v>CheckSummaryRowsPM</v>
      </c>
      <c r="O4" s="8" t="str">
        <f>IFERROR(__xludf.DUMMYFUNCTION("""COMPUTED_VALUE"""),"OpenPTTFromPM")</f>
        <v>OpenPTTFromPM</v>
      </c>
      <c r="P4" s="14" t="str">
        <f>IFERROR(__xludf.DUMMYFUNCTION("""COMPUTED_VALUE"""),"DeleteCustomViewPM")</f>
        <v>DeleteCustomViewPM</v>
      </c>
      <c r="Q4" s="14" t="str">
        <f>IFERROR(__xludf.DUMMYFUNCTION("""COMPUTED_VALUE"""),"RenameCustomViewPM")</f>
        <v>RenameCustomViewPM</v>
      </c>
      <c r="R4" s="14" t="str">
        <f>IFERROR(__xludf.DUMMYFUNCTION("""COMPUTED_VALUE"""),"AddCustomViewRightClickPM")</f>
        <v>AddCustomViewRightClickPM</v>
      </c>
      <c r="S4" s="14" t="str">
        <f>IFERROR(__xludf.DUMMYFUNCTION("""COMPUTED_VALUE"""),"AddCustomViewPM")</f>
        <v>AddCustomViewPM</v>
      </c>
      <c r="T4" s="14" t="str">
        <f>IFERROR(__xludf.DUMMYFUNCTION("""COMPUTED_VALUE"""),"ExpandCollapsePM")</f>
        <v>ExpandCollapsePM</v>
      </c>
      <c r="U4" s="14" t="str">
        <f>IFERROR(__xludf.DUMMYFUNCTION("""COMPUTED_VALUE"""),"CloseSelectedTaxlotsFromPM")</f>
        <v>CloseSelectedTaxlotsFromPM</v>
      </c>
      <c r="V4" s="14" t="str">
        <f>IFERROR(__xludf.DUMMYFUNCTION("""COMPUTED_VALUE"""),"CloseAccountPositionFromPM")</f>
        <v>CloseAccountPositionFromPM</v>
      </c>
      <c r="W4" s="14" t="str">
        <f>IFERROR(__xludf.DUMMYFUNCTION("""COMPUTED_VALUE"""),"HideSummaryToolFromPM")</f>
        <v>HideSummaryToolFromPM</v>
      </c>
      <c r="X4" s="14" t="str">
        <f>IFERROR(__xludf.DUMMYFUNCTION("""COMPUTED_VALUE"""),"ShowSummaryToolFromPM")</f>
        <v>ShowSummaryToolFromPM</v>
      </c>
      <c r="Y4" s="14" t="str">
        <f>IFERROR(__xludf.DUMMYFUNCTION("""COMPUTED_VALUE"""),"ClosePositionFromPM")</f>
        <v>ClosePositionFromPM</v>
      </c>
      <c r="Z4" s="14" t="str">
        <f>IFERROR(__xludf.DUMMYFUNCTION("""COMPUTED_VALUE"""),"OpenDailyValuationFromPM")</f>
        <v>OpenDailyValuationFromPM</v>
      </c>
      <c r="AA4" s="14" t="str">
        <f>IFERROR(__xludf.DUMMYFUNCTION("""COMPUTED_VALUE"""),"OpenCorporateActionFromPM")</f>
        <v>OpenCorporateActionFromPM</v>
      </c>
      <c r="AB4" s="14" t="str">
        <f>IFERROR(__xludf.DUMMYFUNCTION("""COMPUTED_VALUE"""),"OpenClosingFromPM")</f>
        <v>OpenClosingFromPM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</row>
    <row r="5" ht="15.75" customHeight="1" spans="1:176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5" t="str">
        <f>IFERROR(__xludf.DUMMYFUNCTION("""COMPUTED_VALUE"""),"Asset Class")</f>
        <v>Asset Class</v>
      </c>
      <c r="U5" s="15" t="str">
        <f>IFERROR(__xludf.DUMMYFUNCTION("""COMPUTED_VALUE"""),"Underlying")</f>
        <v>Underlying</v>
      </c>
      <c r="V5" s="15" t="str">
        <f>IFERROR(__xludf.DUMMYFUNCTION("""COMPUTED_VALUE"""),"Exchange")</f>
        <v>Exchange</v>
      </c>
      <c r="W5" s="15" t="str">
        <f>IFERROR(__xludf.DUMMYFUNCTION("""COMPUTED_VALUE"""),"Trade Currency")</f>
        <v>Trade Currency</v>
      </c>
      <c r="X5" s="15" t="str">
        <f>IFERROR(__xludf.DUMMYFUNCTION("""COMPUTED_VALUE"""),"Multiplier")</f>
        <v>Multiplier</v>
      </c>
      <c r="Y5" s="15" t="str">
        <f>IFERROR(__xludf.DUMMYFUNCTION("""COMPUTED_VALUE"""),"FX Rate")</f>
        <v>FX Rate</v>
      </c>
      <c r="Z5" s="15" t="str">
        <f>IFERROR(__xludf.DUMMYFUNCTION("""COMPUTED_VALUE"""),"Vs Currency")</f>
        <v>Vs Currency</v>
      </c>
      <c r="AA5" s="15" t="str">
        <f>IFERROR(__xludf.DUMMYFUNCTION("""COMPUTED_VALUE"""),"Lead Currency")</f>
        <v>Lead Currency</v>
      </c>
      <c r="AB5" s="15" t="str">
        <f>IFERROR(__xludf.DUMMYFUNCTION("""COMPUTED_VALUE"""),"Dividend Yield (%)")</f>
        <v>Dividend Yield (%)</v>
      </c>
      <c r="AC5" s="15" t="str">
        <f>IFERROR(__xludf.DUMMYFUNCTION("""COMPUTED_VALUE"""),"% Change")</f>
        <v>% Change</v>
      </c>
      <c r="AD5" s="15" t="str">
        <f>IFERROR(__xludf.DUMMYFUNCTION("""COMPUTED_VALUE"""),"Net Exposure (Local)")</f>
        <v>Net Exposure (Local)</v>
      </c>
      <c r="AE5" s="15" t="str">
        <f>IFERROR(__xludf.DUMMYFUNCTION("""COMPUTED_VALUE"""),"Exposure (Local)")</f>
        <v>Exposure (Local)</v>
      </c>
      <c r="AF5" s="15" t="str">
        <f>IFERROR(__xludf.DUMMYFUNCTION("""COMPUTED_VALUE"""),"Delta Adj. Position")</f>
        <v>Delta Adj. Position</v>
      </c>
      <c r="AG5" s="15" t="str">
        <f>IFERROR(__xludf.DUMMYFUNCTION("""COMPUTED_VALUE"""),"Exposure (Base)")</f>
        <v>Exposure (Base)</v>
      </c>
      <c r="AH5" s="15" t="str">
        <f>IFERROR(__xludf.DUMMYFUNCTION("""COMPUTED_VALUE"""),"Beta Adj. Exposure (Local)")</f>
        <v>Beta Adj. Exposure (Local)</v>
      </c>
      <c r="AI5" s="15" t="str">
        <f>IFERROR(__xludf.DUMMYFUNCTION("""COMPUTED_VALUE"""),"Beta Adj. Exposure (Base)")</f>
        <v>Beta Adj. Exposure (Base)</v>
      </c>
      <c r="AJ5" s="15" t="str">
        <f>IFERROR(__xludf.DUMMYFUNCTION("""COMPUTED_VALUE"""),"Exposure (BP)(Base)")</f>
        <v>Exposure (BP)(Base)</v>
      </c>
      <c r="AK5" s="15" t="str">
        <f>IFERROR(__xludf.DUMMYFUNCTION("""COMPUTED_VALUE"""),"Day P&amp;L (Local)")</f>
        <v>Day P&amp;L (Local)</v>
      </c>
      <c r="AL5" s="15" t="str">
        <f>IFERROR(__xludf.DUMMYFUNCTION("""COMPUTED_VALUE"""),"Delta")</f>
        <v>Delta</v>
      </c>
      <c r="AM5" s="15" t="str">
        <f>IFERROR(__xludf.DUMMYFUNCTION("""COMPUTED_VALUE"""),"Leveraged Factor")</f>
        <v>Leveraged Factor</v>
      </c>
      <c r="AN5" s="15" t="str">
        <f>IFERROR(__xludf.DUMMYFUNCTION("""COMPUTED_VALUE"""),"Order Side")</f>
        <v>Order Side</v>
      </c>
      <c r="AO5" s="15" t="str">
        <f>IFERROR(__xludf.DUMMYFUNCTION("""COMPUTED_VALUE"""),"Master Strategy")</f>
        <v>Master Strategy</v>
      </c>
      <c r="AP5" s="15" t="str">
        <f>IFERROR(__xludf.DUMMYFUNCTION("""COMPUTED_VALUE"""),"Transaction Side")</f>
        <v>Transaction Side</v>
      </c>
      <c r="AQ5" s="15" t="str">
        <f>IFERROR(__xludf.DUMMYFUNCTION("""COMPUTED_VALUE"""),"Underlying Symbol")</f>
        <v>Underlying Symbol</v>
      </c>
      <c r="AR5" s="15" t="str">
        <f>IFERROR(__xludf.DUMMYFUNCTION("""COMPUTED_VALUE"""),"Underlying Price")</f>
        <v>Underlying Price</v>
      </c>
      <c r="AS5" s="15" t="str">
        <f>IFERROR(__xludf.DUMMYFUNCTION("""COMPUTED_VALUE"""),"Side Multiplier")</f>
        <v>Side Multiplier</v>
      </c>
      <c r="AT5" s="15" t="str">
        <f>IFERROR(__xludf.DUMMYFUNCTION("""COMPUTED_VALUE"""),"Description")</f>
        <v>Description</v>
      </c>
      <c r="AU5" s="15" t="str">
        <f>IFERROR(__xludf.DUMMYFUNCTION("""COMPUTED_VALUE"""),"Internal Comments")</f>
        <v>Internal Comments</v>
      </c>
      <c r="AV5" s="15" t="str">
        <f>IFERROR(__xludf.DUMMYFUNCTION("""COMPUTED_VALUE"""),"FX Rate On Trade Date")</f>
        <v>FX Rate On Trade Date</v>
      </c>
      <c r="AW5" s="15" t="str">
        <f>IFERROR(__xludf.DUMMYFUNCTION("""COMPUTED_VALUE"""),"Cost Basis P&amp;L (Local)")</f>
        <v>Cost Basis P&amp;L (Local)</v>
      </c>
      <c r="AX5" s="15" t="str">
        <f>IFERROR(__xludf.DUMMYFUNCTION("""COMPUTED_VALUE"""),"Day Interest")</f>
        <v>Day Interest</v>
      </c>
      <c r="AY5" s="15" t="str">
        <f>IFERROR(__xludf.DUMMYFUNCTION("""COMPUTED_VALUE"""),"Total Interest")</f>
        <v>Total Interest</v>
      </c>
      <c r="AZ5" s="15" t="str">
        <f>IFERROR(__xludf.DUMMYFUNCTION("""COMPUTED_VALUE"""),"Market Value (Local)")</f>
        <v>Market Value (Local)</v>
      </c>
      <c r="BA5" s="15" t="str">
        <f>IFERROR(__xludf.DUMMYFUNCTION("""COMPUTED_VALUE"""),"% Gain/Loss Day")</f>
        <v>% Gain/Loss Day</v>
      </c>
      <c r="BB5" s="15" t="str">
        <f>IFERROR(__xludf.DUMMYFUNCTION("""COMPUTED_VALUE"""),"Update Time (Last Price)")</f>
        <v>Update Time (Last Price)</v>
      </c>
      <c r="BC5" s="15" t="str">
        <f>IFERROR(__xludf.DUMMYFUNCTION("""COMPUTED_VALUE"""),"Beta")</f>
        <v>Beta</v>
      </c>
      <c r="BD5" s="15" t="str">
        <f>IFERROR(__xludf.DUMMYFUNCTION("""COMPUTED_VALUE"""),"Cash Impact (Local)")</f>
        <v>Cash Impact (Local)</v>
      </c>
      <c r="BE5" s="15" t="str">
        <f>IFERROR(__xludf.DUMMYFUNCTION("""COMPUTED_VALUE"""),"User Asset")</f>
        <v>User Asset</v>
      </c>
      <c r="BF5" s="15" t="str">
        <f>IFERROR(__xludf.DUMMYFUNCTION("""COMPUTED_VALUE"""),"Security Type")</f>
        <v>Security Type</v>
      </c>
      <c r="BG5" s="15" t="str">
        <f>IFERROR(__xludf.DUMMYFUNCTION("""COMPUTED_VALUE"""),"Sector")</f>
        <v>Sector</v>
      </c>
      <c r="BH5" s="15" t="str">
        <f>IFERROR(__xludf.DUMMYFUNCTION("""COMPUTED_VALUE"""),"Sub Sector")</f>
        <v>Sub Sector</v>
      </c>
      <c r="BI5" s="15" t="str">
        <f>IFERROR(__xludf.DUMMYFUNCTION("""COMPUTED_VALUE"""),"Country")</f>
        <v>Country</v>
      </c>
      <c r="BJ5" s="15" t="str">
        <f>IFERROR(__xludf.DUMMYFUNCTION("""COMPUTED_VALUE"""),"Market Cap")</f>
        <v>Market Cap</v>
      </c>
      <c r="BK5" s="15" t="str">
        <f>IFERROR(__xludf.DUMMYFUNCTION("""COMPUTED_VALUE"""),"Shares Outstanding (MM)")</f>
        <v>Shares Outstanding (MM)</v>
      </c>
      <c r="BL5" s="15" t="str">
        <f>IFERROR(__xludf.DUMMYFUNCTION("""COMPUTED_VALUE"""),"Avg Volume 20 Day")</f>
        <v>Avg Volume 20 Day</v>
      </c>
      <c r="BM5" s="15" t="str">
        <f>IFERROR(__xludf.DUMMYFUNCTION("""COMPUTED_VALUE"""),"% Avg Volume (Delta Adj.)")</f>
        <v>% Avg Volume (Delta Adj.)</v>
      </c>
      <c r="BN5" s="15" t="str">
        <f>IFERROR(__xludf.DUMMYFUNCTION("""COMPUTED_VALUE"""),"Ex Dividend Date")</f>
        <v>Ex Dividend Date</v>
      </c>
      <c r="BO5" s="15" t="str">
        <f>IFERROR(__xludf.DUMMYFUNCTION("""COMPUTED_VALUE"""),"Cash Impact (Base)")</f>
        <v>Cash Impact (Base)</v>
      </c>
      <c r="BP5" s="15" t="str">
        <f>IFERROR(__xludf.DUMMYFUNCTION("""COMPUTED_VALUE"""),"Volatility (%)")</f>
        <v>Volatility (%)</v>
      </c>
      <c r="BQ5" s="15" t="str">
        <f>IFERROR(__xludf.DUMMYFUNCTION("""COMPUTED_VALUE"""),"User")</f>
        <v>User</v>
      </c>
      <c r="BR5" s="15" t="str">
        <f>IFERROR(__xludf.DUMMYFUNCTION("""COMPUTED_VALUE"""),"Broker")</f>
        <v>Broker</v>
      </c>
      <c r="BS5" s="15" t="str">
        <f>IFERROR(__xludf.DUMMYFUNCTION("""COMPUTED_VALUE"""),"Earned Dividend (Local)")</f>
        <v>Earned Dividend (Local)</v>
      </c>
      <c r="BT5" s="15" t="str">
        <f>IFERROR(__xludf.DUMMYFUNCTION("""COMPUTED_VALUE"""),"Earned Dividend (Base)")</f>
        <v>Earned Dividend (Base)</v>
      </c>
      <c r="BU5" s="15" t="str">
        <f>IFERROR(__xludf.DUMMYFUNCTION("""COMPUTED_VALUE"""),"Put/Call")</f>
        <v>Put/Call</v>
      </c>
      <c r="BV5" s="15" t="str">
        <f>IFERROR(__xludf.DUMMYFUNCTION("""COMPUTED_VALUE"""),"Expiration Date")</f>
        <v>Expiration Date</v>
      </c>
      <c r="BW5" s="15" t="str">
        <f>IFERROR(__xludf.DUMMYFUNCTION("""COMPUTED_VALUE"""),"Strike Price")</f>
        <v>Strike Price</v>
      </c>
      <c r="BX5" s="15" t="str">
        <f>IFERROR(__xludf.DUMMYFUNCTION("""COMPUTED_VALUE"""),"Gross Exposure (Base)")</f>
        <v>Gross Exposure (Base)</v>
      </c>
      <c r="BY5" s="15" t="str">
        <f>IFERROR(__xludf.DUMMYFUNCTION("""COMPUTED_VALUE"""),"Gross Market Value (Base)")</f>
        <v>Gross Market Value (Base)</v>
      </c>
      <c r="BZ5" s="15" t="str">
        <f>IFERROR(__xludf.DUMMYFUNCTION("""COMPUTED_VALUE"""),"Px Selected Feed (Local)")</f>
        <v>Px Selected Feed (Local)</v>
      </c>
      <c r="CA5" s="15" t="str">
        <f>IFERROR(__xludf.DUMMYFUNCTION("""COMPUTED_VALUE"""),"Px Selected Feed (Base)")</f>
        <v>Px Selected Feed (Base)</v>
      </c>
      <c r="CB5" s="15" t="str">
        <f>IFERROR(__xludf.DUMMYFUNCTION("""COMPUTED_VALUE"""),"Settlement Date")</f>
        <v>Settlement Date</v>
      </c>
      <c r="CC5" s="15" t="str">
        <f>IFERROR(__xludf.DUMMYFUNCTION("""COMPUTED_VALUE"""),"% Avg Volume")</f>
        <v>% Avg Volume</v>
      </c>
      <c r="CD5" s="15" t="str">
        <f>IFERROR(__xludf.DUMMYFUNCTION("""COMPUTED_VALUE"""),"Day P&amp;L (Base)(Price Gain)")</f>
        <v>Day P&amp;L (Base)(Price Gain)</v>
      </c>
      <c r="CE5" s="15" t="str">
        <f>IFERROR(__xludf.DUMMYFUNCTION("""COMPUTED_VALUE"""),"Day P&amp;L (Base)(FX Gain)")</f>
        <v>Day P&amp;L (Base)(FX Gain)</v>
      </c>
      <c r="CF5" s="15" t="str">
        <f>IFERROR(__xludf.DUMMYFUNCTION("""COMPUTED_VALUE"""),"Cost Basis P&amp;L (Base)(FX Gain)")</f>
        <v>Cost Basis P&amp;L (Base)(FX Gain)</v>
      </c>
      <c r="CG5" s="15" t="str">
        <f>IFERROR(__xludf.DUMMYFUNCTION("""COMPUTED_VALUE"""),"Cost Basis P&amp;L (Base)(Price Gain)")</f>
        <v>Cost Basis P&amp;L (Base)(Price Gain)</v>
      </c>
      <c r="CH5" s="15" t="str">
        <f>IFERROR(__xludf.DUMMYFUNCTION("""COMPUTED_VALUE"""),"% Gain/Loss Cost")</f>
        <v>% Gain/Loss Cost</v>
      </c>
      <c r="CI5" s="15" t="str">
        <f>IFERROR(__xludf.DUMMYFUNCTION("""COMPUTED_VALUE"""),"Underlying Value (Options)")</f>
        <v>Underlying Value (Options)</v>
      </c>
      <c r="CJ5" s="15" t="str">
        <f>IFERROR(__xludf.DUMMYFUNCTION("""COMPUTED_VALUE"""),"Avg Volume 20 Day (Underlying Symbol)")</f>
        <v>Avg Volume 20 Day (Underlying Symbol)</v>
      </c>
      <c r="CK5" s="15" t="str">
        <f>IFERROR(__xludf.DUMMYFUNCTION("""COMPUTED_VALUE"""),"IsStaleData")</f>
        <v>IsStaleData</v>
      </c>
      <c r="CL5" s="15" t="str">
        <f>IFERROR(__xludf.DUMMYFUNCTION("""COMPUTED_VALUE"""),"IDCO")</f>
        <v>IDCO</v>
      </c>
      <c r="CM5" s="15" t="str">
        <f>IFERROR(__xludf.DUMMYFUNCTION("""COMPUTED_VALUE"""),"OSI")</f>
        <v>OSI</v>
      </c>
      <c r="CN5" s="15" t="str">
        <f>IFERROR(__xludf.DUMMYFUNCTION("""COMPUTED_VALUE"""),"SEDOL")</f>
        <v>SEDOL</v>
      </c>
      <c r="CO5" s="15" t="str">
        <f>IFERROR(__xludf.DUMMYFUNCTION("""COMPUTED_VALUE"""),"CUSIP")</f>
        <v>CUSIP</v>
      </c>
      <c r="CP5" s="15" t="str">
        <f>IFERROR(__xludf.DUMMYFUNCTION("""COMPUTED_VALUE"""),"Bloomberg")</f>
        <v>Bloomberg</v>
      </c>
      <c r="CQ5" s="15" t="str">
        <f>IFERROR(__xludf.DUMMYFUNCTION("""COMPUTED_VALUE"""),"ISIN")</f>
        <v>ISIN</v>
      </c>
      <c r="CR5" s="15" t="str">
        <f>IFERROR(__xludf.DUMMYFUNCTION("""COMPUTED_VALUE"""),"Start Trade Date")</f>
        <v>Start Trade Date</v>
      </c>
      <c r="CS5" s="15" t="str">
        <f>IFERROR(__xludf.DUMMYFUNCTION("""COMPUTED_VALUE"""),"Cost Basis (Break Even)")</f>
        <v>Cost Basis (Break Even)</v>
      </c>
      <c r="CT5" s="15" t="str">
        <f>IFERROR(__xludf.DUMMYFUNCTION("""COMPUTED_VALUE"""),"Trade Attribute 3")</f>
        <v>Trade Attribute 3</v>
      </c>
      <c r="CU5" s="15" t="str">
        <f>IFERROR(__xludf.DUMMYFUNCTION("""COMPUTED_VALUE"""),"Trade Attribute 4")</f>
        <v>Trade Attribute 4</v>
      </c>
      <c r="CV5" s="15" t="str">
        <f>IFERROR(__xludf.DUMMYFUNCTION("""COMPUTED_VALUE"""),"Trade Attribute 5")</f>
        <v>Trade Attribute 5</v>
      </c>
      <c r="CW5" s="15" t="str">
        <f>IFERROR(__xludf.DUMMYFUNCTION("""COMPUTED_VALUE"""),"Trade Attribute 6")</f>
        <v>Trade Attribute 6</v>
      </c>
      <c r="CX5" s="15" t="str">
        <f>IFERROR(__xludf.DUMMYFUNCTION("""COMPUTED_VALUE"""),"Proxy Symbol")</f>
        <v>Proxy Symbol</v>
      </c>
      <c r="CY5" s="15" t="str">
        <f>IFERROR(__xludf.DUMMYFUNCTION("""COMPUTED_VALUE"""),"Pricing Source")</f>
        <v>Pricing Source</v>
      </c>
      <c r="CZ5" s="15" t="str">
        <f>IFERROR(__xludf.DUMMYFUNCTION("""COMPUTED_VALUE"""),"Delta Source")</f>
        <v>Delta Source</v>
      </c>
      <c r="DA5" s="15" t="str">
        <f>IFERROR(__xludf.DUMMYFUNCTION("""COMPUTED_VALUE"""),"Gross Exposure (Local)")</f>
        <v>Gross Exposure (Local)</v>
      </c>
      <c r="DB5" s="15" t="str">
        <f>IFERROR(__xludf.DUMMYFUNCTION("""COMPUTED_VALUE"""),"% Day P&amp;L (Net MV)")</f>
        <v>% Day P&amp;L (Net MV)</v>
      </c>
      <c r="DC5" s="15" t="str">
        <f>IFERROR(__xludf.DUMMYFUNCTION("""COMPUTED_VALUE"""),"Expiration Month")</f>
        <v>Expiration Month</v>
      </c>
      <c r="DD5" s="15" t="str">
        <f>IFERROR(__xludf.DUMMYFUNCTION("""COMPUTED_VALUE"""),"Delta Adj. Position (LME)")</f>
        <v>Delta Adj. Position (LME)</v>
      </c>
      <c r="DE5" s="15" t="str">
        <f>IFERROR(__xludf.DUMMYFUNCTION("""COMPUTED_VALUE"""),"Premium")</f>
        <v>Premium</v>
      </c>
      <c r="DF5" s="15" t="str">
        <f>IFERROR(__xludf.DUMMYFUNCTION("""COMPUTED_VALUE"""),"Premium $")</f>
        <v>Premium $</v>
      </c>
      <c r="DG5" s="15" t="str">
        <f>IFERROR(__xludf.DUMMYFUNCTION("""COMPUTED_VALUE"""),"Forward Points")</f>
        <v>Forward Points</v>
      </c>
      <c r="DH5" s="15" t="str">
        <f>IFERROR(__xludf.DUMMYFUNCTION("""COMPUTED_VALUE"""),"Closing Mark (Underlying)")</f>
        <v>Closing Mark (Underlying)</v>
      </c>
      <c r="DI5" s="15" t="str">
        <f>IFERROR(__xludf.DUMMYFUNCTION("""COMPUTED_VALUE"""),"% Change (Underlying Price)")</f>
        <v>% Change (Underlying Price)</v>
      </c>
      <c r="DJ5" s="15" t="str">
        <f>IFERROR(__xludf.DUMMYFUNCTION("""COMPUTED_VALUE"""),"Transaction Type")</f>
        <v>Transaction Type</v>
      </c>
      <c r="DK5" s="15" t="str">
        <f>IFERROR(__xludf.DUMMYFUNCTION("""COMPUTED_VALUE"""),"Closing Market Value (Local)")</f>
        <v>Closing Market Value (Local)</v>
      </c>
      <c r="DL5" s="15" t="str">
        <f>IFERROR(__xludf.DUMMYFUNCTION("""COMPUTED_VALUE"""),"Closing Market Value (Base)")</f>
        <v>Closing Market Value (Base)</v>
      </c>
      <c r="DM5" s="15" t="str">
        <f>IFERROR(__xludf.DUMMYFUNCTION("""COMPUTED_VALUE"""),"Closing FX Rate")</f>
        <v>Closing FX Rate</v>
      </c>
      <c r="DN5" s="15" t="str">
        <f>IFERROR(__xludf.DUMMYFUNCTION("""COMPUTED_VALUE"""),"Change In Underlying Price")</f>
        <v>Change In Underlying Price</v>
      </c>
      <c r="DO5" s="15" t="str">
        <f>IFERROR(__xludf.DUMMYFUNCTION("""COMPUTED_VALUE"""),"RIC")</f>
        <v>RIC</v>
      </c>
      <c r="DP5" s="15" t="str">
        <f>IFERROR(__xludf.DUMMYFUNCTION("""COMPUTED_VALUE"""),"Position Side Exposure (Boxed)")</f>
        <v>Position Side Exposure (Boxed)</v>
      </c>
      <c r="DQ5" s="15" t="str">
        <f>IFERROR(__xludf.DUMMYFUNCTION("""COMPUTED_VALUE"""),"Analyst")</f>
        <v>Analyst</v>
      </c>
      <c r="DR5" s="15" t="str">
        <f>IFERROR(__xludf.DUMMYFUNCTION("""COMPUTED_VALUE"""),"Country Of Risk")</f>
        <v>Country Of Risk</v>
      </c>
      <c r="DS5" s="15" t="str">
        <f>IFERROR(__xludf.DUMMYFUNCTION("""COMPUTED_VALUE"""),"Custom UDA1")</f>
        <v>Custom UDA1</v>
      </c>
      <c r="DT5" s="15" t="str">
        <f>IFERROR(__xludf.DUMMYFUNCTION("""COMPUTED_VALUE"""),"Custom UDA2")</f>
        <v>Custom UDA2</v>
      </c>
      <c r="DU5" s="15" t="str">
        <f>IFERROR(__xludf.DUMMYFUNCTION("""COMPUTED_VALUE"""),"Custom UDA3")</f>
        <v>Custom UDA3</v>
      </c>
      <c r="DV5" s="15" t="str">
        <f>IFERROR(__xludf.DUMMYFUNCTION("""COMPUTED_VALUE"""),"Custom UDA4")</f>
        <v>Custom UDA4</v>
      </c>
      <c r="DW5" s="15" t="str">
        <f>IFERROR(__xludf.DUMMYFUNCTION("""COMPUTED_VALUE"""),"Custom UDA5")</f>
        <v>Custom UDA5</v>
      </c>
      <c r="DX5" s="15" t="str">
        <f>IFERROR(__xludf.DUMMYFUNCTION("""COMPUTED_VALUE"""),"Custom UDA6")</f>
        <v>Custom UDA6</v>
      </c>
      <c r="DY5" s="15" t="str">
        <f>IFERROR(__xludf.DUMMYFUNCTION("""COMPUTED_VALUE"""),"Custom UDA7")</f>
        <v>Custom UDA7</v>
      </c>
      <c r="DZ5" s="15" t="str">
        <f>IFERROR(__xludf.DUMMYFUNCTION("""COMPUTED_VALUE"""),"Issuer")</f>
        <v>Issuer</v>
      </c>
      <c r="EA5" s="15" t="str">
        <f>IFERROR(__xludf.DUMMYFUNCTION("""COMPUTED_VALUE"""),"Liquid Tag")</f>
        <v>Liquid Tag</v>
      </c>
      <c r="EB5" s="15" t="str">
        <f>IFERROR(__xludf.DUMMYFUNCTION("""COMPUTED_VALUE"""),"Market Cap UDA")</f>
        <v>Market Cap UDA</v>
      </c>
      <c r="EC5" s="15" t="str">
        <f>IFERROR(__xludf.DUMMYFUNCTION("""COMPUTED_VALUE"""),"Region")</f>
        <v>Region</v>
      </c>
      <c r="ED5" s="15" t="str">
        <f>IFERROR(__xludf.DUMMYFUNCTION("""COMPUTED_VALUE"""),"Risk Currency")</f>
        <v>Risk Currency</v>
      </c>
      <c r="EE5" s="15" t="str">
        <f>IFERROR(__xludf.DUMMYFUNCTION("""COMPUTED_VALUE"""),"UCITS Eligible Tag")</f>
        <v>UCITS Eligible Tag</v>
      </c>
      <c r="EF5" s="15" t="str">
        <f>IFERROR(__xludf.DUMMYFUNCTION("""COMPUTED_VALUE"""),"FX Rate (Display)")</f>
        <v>FX Rate (Display)</v>
      </c>
      <c r="EG5" s="15" t="str">
        <f>IFERROR(__xludf.DUMMYFUNCTION("""COMPUTED_VALUE"""),"% Net Exposure (Base)")</f>
        <v>% Net Exposure (Base)</v>
      </c>
      <c r="EH5" s="15" t="str">
        <f>IFERROR(__xludf.DUMMYFUNCTION("""COMPUTED_VALUE"""),"% Gross Exposure (Base)")</f>
        <v>% Gross Exposure (Base)</v>
      </c>
      <c r="EI5" s="15" t="str">
        <f>IFERROR(__xludf.DUMMYFUNCTION("""COMPUTED_VALUE"""),"% Exposure (Base)")</f>
        <v>% Exposure (Base)</v>
      </c>
      <c r="EJ5" s="15" t="str">
        <f>IFERROR(__xludf.DUMMYFUNCTION("""COMPUTED_VALUE"""),"% Gross Exposure (Underlying) (Base)")</f>
        <v>% Gross Exposure (Underlying) (Base)</v>
      </c>
      <c r="EK5" s="15" t="str">
        <f>IFERROR(__xludf.DUMMYFUNCTION("""COMPUTED_VALUE"""),"% Beta Adj. Gross Exposure (Base)")</f>
        <v>% Beta Adj. Gross Exposure (Base)</v>
      </c>
      <c r="EL5" s="15" t="str">
        <f>IFERROR(__xludf.DUMMYFUNCTION("""COMPUTED_VALUE"""),"Position Side Exposure (Underlying)")</f>
        <v>Position Side Exposure (Underlying)</v>
      </c>
      <c r="EM5" s="15" t="str">
        <f>IFERROR(__xludf.DUMMYFUNCTION("""COMPUTED_VALUE"""),"Gross Exposure (Underlying) (Base)")</f>
        <v>Gross Exposure (Underlying) (Base)</v>
      </c>
      <c r="EN5" s="15" t="str">
        <f>IFERROR(__xludf.DUMMYFUNCTION("""COMPUTED_VALUE"""),"Gross Exposure (Underlying)")</f>
        <v>Gross Exposure (Underlying)</v>
      </c>
      <c r="EO5" s="15" t="str">
        <f>IFERROR(__xludf.DUMMYFUNCTION("""COMPUTED_VALUE"""),"Day Return")</f>
        <v>Day Return</v>
      </c>
      <c r="EP5" s="15" t="str">
        <f>IFERROR(__xludf.DUMMYFUNCTION("""COMPUTED_VALUE"""),"Start of Day NAV")</f>
        <v>Start of Day NAV</v>
      </c>
      <c r="EQ5" s="15" t="str">
        <f>IFERROR(__xludf.DUMMYFUNCTION("""COMPUTED_VALUE"""),"% Gross Market Value (Base)")</f>
        <v>% Gross Market Value (Base)</v>
      </c>
      <c r="ER5" s="15" t="str">
        <f>IFERROR(__xludf.DUMMYFUNCTION("""COMPUTED_VALUE"""),"Beta Adj. Gross Exposure (Underlying) (Local)")</f>
        <v>Beta Adj. Gross Exposure (Underlying) (Local)</v>
      </c>
      <c r="ES5" s="15" t="str">
        <f>IFERROR(__xludf.DUMMYFUNCTION("""COMPUTED_VALUE"""),"NAV")</f>
        <v>NAV</v>
      </c>
      <c r="ET5" s="15" t="str">
        <f>IFERROR(__xludf.DUMMYFUNCTION("""COMPUTED_VALUE"""),"% P&amp;L Contribution")</f>
        <v>% P&amp;L Contribution</v>
      </c>
      <c r="EU5" s="15" t="str">
        <f>IFERROR(__xludf.DUMMYFUNCTION("""COMPUTED_VALUE"""),"% Net Market Value (Base)")</f>
        <v>% Net Market Value (Base)</v>
      </c>
      <c r="EV5" s="15" t="str">
        <f>IFERROR(__xludf.DUMMYFUNCTION("""COMPUTED_VALUE"""),"Position Side Exposure")</f>
        <v>Position Side Exposure</v>
      </c>
      <c r="EW5" s="15" t="str">
        <f>IFERROR(__xludf.DUMMYFUNCTION("""COMPUTED_VALUE"""),"NAV (Touch)")</f>
        <v>NAV (Touch)</v>
      </c>
      <c r="EX5" s="15" t="str">
        <f>IFERROR(__xludf.DUMMYFUNCTION("""COMPUTED_VALUE"""),"IgnorePropertyChangeEvents")</f>
        <v>IgnorePropertyChangeEvents</v>
      </c>
      <c r="EY5" s="15" t="str">
        <f>IFERROR(__xludf.DUMMYFUNCTION("""COMPUTED_VALUE"""),"Trade Attribute 1")</f>
        <v>Trade Attribute 1</v>
      </c>
      <c r="EZ5" s="15" t="str">
        <f>IFERROR(__xludf.DUMMYFUNCTION("""COMPUTED_VALUE"""),"Trade Attribute 2")</f>
        <v>Trade Attribute 2</v>
      </c>
      <c r="FA5" s="15" t="str">
        <f>IFERROR(__xludf.DUMMYFUNCTION("""COMPUTED_VALUE"""),"Client")</f>
        <v>Client</v>
      </c>
      <c r="FB5" s="15" t="str">
        <f>IFERROR(__xludf.DUMMYFUNCTION("""COMPUTED_VALUE"""),"IsCustomViewTab")</f>
        <v>IsCustomViewTab</v>
      </c>
      <c r="FC5" s="15" t="str">
        <f>IFERROR(__xludf.DUMMYFUNCTION("""COMPUTED_VALUE"""),"ITM/OTM")</f>
        <v>ITM/OTM</v>
      </c>
      <c r="FD5" s="15" t="str">
        <f>IFERROR(__xludf.DUMMYFUNCTION("""COMPUTED_VALUE"""),"Days to Expiry")</f>
        <v>Days to Expiry</v>
      </c>
      <c r="FE5" s="15" t="str">
        <f>IFERROR(__xludf.DUMMYFUNCTION("""COMPUTED_VALUE"""),"% of Underlying Price")</f>
        <v>% of Underlying Price</v>
      </c>
      <c r="FF5" s="15" t="str">
        <f>IFERROR(__xludf.DUMMYFUNCTION("""COMPUTED_VALUE"""),"Intrinsic value")</f>
        <v>Intrinsic value</v>
      </c>
      <c r="FG5" s="15" t="str">
        <f>IFERROR(__xludf.DUMMYFUNCTION("""COMPUTED_VALUE"""),"Gain/Loss if Ex./Assign")</f>
        <v>Gain/Loss if Ex./Assign</v>
      </c>
      <c r="FH5" s="15" t="str">
        <f>IFERROR(__xludf.DUMMYFUNCTION("""COMPUTED_VALUE"""),"Day Traded Position")</f>
        <v>Day Traded Position</v>
      </c>
      <c r="FI5" s="15" t="str">
        <f>IFERROR(__xludf.DUMMYFUNCTION("""COMPUTED_VALUE"""),"isRowCountCheck")</f>
        <v>isRowCountCheck</v>
      </c>
      <c r="FJ5" s="15" t="str">
        <f>IFERROR(__xludf.DUMMYFUNCTION("""COMPUTED_VALUE"""),"ACTIV Symbol")</f>
        <v>ACTIV Symbol</v>
      </c>
      <c r="FK5" s="15"/>
      <c r="FL5" s="15"/>
      <c r="FM5" s="15"/>
      <c r="FN5" s="15"/>
      <c r="FO5" s="15"/>
      <c r="FP5" s="15"/>
      <c r="FQ5" s="15"/>
      <c r="FR5" s="15"/>
      <c r="FS5" s="15"/>
      <c r="FT5" s="15"/>
    </row>
    <row r="6" ht="15.75" customHeight="1" spans="1:94">
      <c r="A6" s="4"/>
      <c r="B6" s="4"/>
      <c r="C6" s="4" t="s">
        <v>19</v>
      </c>
      <c r="D6" s="4"/>
      <c r="E6" s="4"/>
      <c r="F6" s="4"/>
      <c r="G6" s="4"/>
      <c r="H6" s="4" t="s">
        <v>30</v>
      </c>
      <c r="I6" s="4"/>
      <c r="J6" s="4"/>
      <c r="K6" s="4"/>
      <c r="L6" s="4"/>
      <c r="M6" s="4"/>
      <c r="N6" s="4"/>
      <c r="O6" s="4"/>
      <c r="AN6" s="16" t="s">
        <v>20</v>
      </c>
      <c r="BR6" s="16" t="s">
        <v>31</v>
      </c>
      <c r="CP6" s="4" t="s">
        <v>39</v>
      </c>
    </row>
    <row r="7" ht="15.75" customHeight="1" spans="1:94">
      <c r="A7" s="4"/>
      <c r="B7" s="4"/>
      <c r="C7" s="4" t="s">
        <v>19</v>
      </c>
      <c r="D7" s="4"/>
      <c r="E7" s="4"/>
      <c r="F7" s="4"/>
      <c r="G7" s="4"/>
      <c r="H7" s="4" t="s">
        <v>30</v>
      </c>
      <c r="I7" s="4"/>
      <c r="J7" s="4"/>
      <c r="K7" s="4"/>
      <c r="L7" s="4"/>
      <c r="M7" s="4"/>
      <c r="N7" s="4"/>
      <c r="O7" s="4"/>
      <c r="AN7" s="16" t="s">
        <v>20</v>
      </c>
      <c r="BR7" s="16" t="s">
        <v>31</v>
      </c>
      <c r="CP7" s="4" t="s">
        <v>39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SetTradingComplianceRules</vt:lpstr>
      <vt:lpstr>CreateLiveOrder</vt:lpstr>
      <vt:lpstr>SelectTrade</vt:lpstr>
      <vt:lpstr>AcknowledgeTrade</vt:lpstr>
      <vt:lpstr>ExecuteTrade</vt:lpstr>
      <vt:lpstr>PricingInput</vt:lpstr>
      <vt:lpstr>CheckPortfolioManagement</vt:lpstr>
      <vt:lpstr>FilterPM</vt:lpstr>
      <vt:lpstr>IncreasePositionFromPM</vt:lpstr>
      <vt:lpstr>CreateLiveOrder1</vt:lpstr>
      <vt:lpstr>SelectTrade1</vt:lpstr>
      <vt:lpstr>AcknowledgeTrade1</vt:lpstr>
      <vt:lpstr>ExecuteTrade1</vt:lpstr>
      <vt:lpstr>VerifyOrder</vt:lpstr>
      <vt:lpstr>GetDataAllocation</vt:lpstr>
      <vt:lpstr>CheckUnallocatedGroups</vt:lpstr>
      <vt:lpstr>CheckAllocatedGroups</vt:lpstr>
      <vt:lpstr>CheckPortfolioManagement1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2023-03-30T19:21:28Z</dcterms:created>
  <dcterms:modified xsi:type="dcterms:W3CDTF">2023-03-30T19:21:49Z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03E8ADE56DE943A9BE06BE43D90FF77B</vt:lpwstr>
  </property>
  <property fmtid="{D5CDD505-2E9C-101B-9397-08002B2CF9AE}" pid="3" name="KSOProductBuildVer">
    <vt:lpwstr>1033-11.2.0.11513</vt:lpwstr>
  </property>
</Properties>
</file>