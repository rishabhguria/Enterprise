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nableDisableModule" sheetId="4" r:id="rId6"/>
    <sheet state="visible" name="ImportOnShortLocate" sheetId="5" r:id="rId7"/>
    <sheet state="visible" name="VerifyShortLocateGrid" sheetId="6" r:id="rId8"/>
    <sheet state="visible" name="LoginClient" sheetId="7" r:id="rId9"/>
    <sheet state="visible" name="VerifyShortLocateGrid1" sheetId="8" r:id="rId10"/>
    <sheet state="visible" name="ApplyFilterOnShortLocate" sheetId="9" r:id="rId11"/>
    <sheet state="visible" name="OpenTTFromShortLocate" sheetId="10" r:id="rId12"/>
    <sheet state="visible" name="CreateDoneAwayOrder" sheetId="11" r:id="rId13"/>
    <sheet state="visible" name="VerifyShortLocateGrid2" sheetId="12" r:id="rId14"/>
    <sheet state="visible" name="LoginClient1" sheetId="13" r:id="rId15"/>
    <sheet state="visible" name="VerifyShortLocateGrid3" sheetId="14" r:id="rId16"/>
  </sheets>
  <definedNames/>
  <calcPr/>
</workbook>
</file>

<file path=xl/sharedStrings.xml><?xml version="1.0" encoding="utf-8"?>
<sst xmlns="http://schemas.openxmlformats.org/spreadsheetml/2006/main" count="202" uniqueCount="47">
  <si>
    <t>Modules Info</t>
  </si>
  <si>
    <t>Modules</t>
  </si>
  <si>
    <t>Settings</t>
  </si>
  <si>
    <t>Module Step Setting File</t>
  </si>
  <si>
    <t>1y12nxDe0q34orOtihd3Ea3KAAd0vlIgtofcFPW3C-CM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</si>
  <si>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</si>
  <si>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</si>
  <si>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</si>
  <si>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</si>
  <si>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</si>
  <si>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</si>
  <si>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</si>
  <si>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Admin</t>
  </si>
  <si>
    <t>EnableDisableModule</t>
  </si>
  <si>
    <t>Data Format</t>
  </si>
  <si>
    <t>Input Format</t>
  </si>
  <si>
    <t>Short Locate</t>
  </si>
  <si>
    <t>jgulbrandsen</t>
  </si>
  <si>
    <t>ShortLocate</t>
  </si>
  <si>
    <t>ImportOnShortLocate</t>
  </si>
  <si>
    <t>MS</t>
  </si>
  <si>
    <t>\\192.168.2.108\DistributedAutomation_Master\Import Cases\20201002_SLL_GSPRIME.csv</t>
  </si>
  <si>
    <t>VerifyShortLocateGrid</t>
  </si>
  <si>
    <t>AAA</t>
  </si>
  <si>
    <t>GS7432126</t>
  </si>
  <si>
    <t>API</t>
  </si>
  <si>
    <t>AACG</t>
  </si>
  <si>
    <t>GS7567456</t>
  </si>
  <si>
    <t>AAL</t>
  </si>
  <si>
    <t>GS4567456</t>
  </si>
  <si>
    <t>AAU</t>
  </si>
  <si>
    <t>GS5657842</t>
  </si>
  <si>
    <t>ABEQ</t>
  </si>
  <si>
    <t>GS4566231</t>
  </si>
  <si>
    <t>MSFT</t>
  </si>
  <si>
    <t>GS4566232</t>
  </si>
  <si>
    <t>PranaClient</t>
  </si>
  <si>
    <t>LoginClient</t>
  </si>
  <si>
    <t>Support2</t>
  </si>
  <si>
    <t>Nirvana@1</t>
  </si>
  <si>
    <t>ApplyFilterOnShortLocate</t>
  </si>
  <si>
    <t>Ticker</t>
  </si>
  <si>
    <t>OpenTTFromShortLocate</t>
  </si>
  <si>
    <t>TradingTicket</t>
  </si>
  <si>
    <t>CreateDoneAwayOrder</t>
  </si>
  <si>
    <t>Allocation1</t>
  </si>
  <si>
    <t>Support1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</si>
</sst>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FF8000"/>
      <name val="Arial"/>
    </font>
    <font>
      <u/>
      <color rgb="FF0000FF"/>
      <name val="Arial"/>
    </font>
    <font>
      <color rgb="FF000000"/>
      <name val="Roboto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  <fill>
      <patternFill patternType="solid">
        <fgColor rgb="FFFFFFFF"/>
        <bgColor rgb="FFFFFFFF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horizontal="center"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5" fillId="6" fontId="13" numFmtId="0" xfId="0" applyAlignment="1" applyBorder="1" applyFill="1" applyFont="1">
      <alignment horizontal="right" vertical="top"/>
    </xf>
    <xf borderId="5" fillId="0" fontId="14" numFmtId="0" xfId="0" applyAlignment="1" applyBorder="1" applyFont="1">
      <alignment shrinkToFit="0" vertical="bottom" wrapText="0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5" fillId="0" fontId="5" numFmtId="0" xfId="0" applyAlignment="1" applyBorder="1" applyFont="1">
      <alignment vertical="bottom"/>
    </xf>
    <xf borderId="5" fillId="0" fontId="3" numFmtId="0" xfId="0" applyAlignment="1" applyBorder="1" applyFont="1">
      <alignment horizontal="right" vertical="bottom"/>
    </xf>
    <xf borderId="5" fillId="7" fontId="15" numFmtId="0" xfId="0" applyAlignment="1" applyBorder="1" applyFill="1" applyFont="1">
      <alignment vertical="bottom"/>
    </xf>
    <xf borderId="0" fillId="0" fontId="3" numFmtId="0" xfId="0" applyAlignment="1" applyFont="1">
      <alignment horizontal="center" vertical="bottom"/>
    </xf>
    <xf borderId="0" fillId="0" fontId="5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8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9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4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2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1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IFERROR(__xludf.DUMMYFUNCTION("""COMPUTED_VALUE"""),"Compliance")</f>
        <v>Compliance</v>
      </c>
      <c r="B510" t="str">
        <f>IFERROR(__xludf.DUMMYFUNCTION("""COMPUTED_VALUE"""),"RestartRuleMediator")</f>
        <v>RestartRuleMediator</v>
      </c>
      <c r="C510" t="str">
        <f>IFERROR(__xludf.DUMMYFUNCTION("""COMPUTED_VALUE"""),"18SVZSt8o151Ibqp7S3Ge-27pHb5fW7wNT71WgA_kP_8")</f>
        <v>18SVZSt8o151Ibqp7S3Ge-27pHb5fW7wNT71WgA_kP_8</v>
      </c>
    </row>
    <row r="511" ht="15.75" customHeight="1">
      <c r="A511" t="str">
        <f>IFERROR(__xludf.DUMMYFUNCTION("""COMPUTED_VALUE"""),"Compliance")</f>
        <v>Compliance</v>
      </c>
      <c r="B511" t="str">
        <f>IFERROR(__xludf.DUMMYFUNCTION("""COMPUTED_VALUE"""),"VerifyAggAccountSymbolWithNav")</f>
        <v>VerifyAggAccountSymbolWithNav</v>
      </c>
      <c r="C511" t="str">
        <f>IFERROR(__xludf.DUMMYFUNCTION("""COMPUTED_VALUE"""),"1yORtQDYWOiS9sGzwmSy3jeH1KeWbwIscJSVtvVljcqk")</f>
        <v>1yORtQDYWOiS9sGzwmSy3jeH1KeWbwIscJSVtvVljcqk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IFERROR(__xludf.DUMMYFUNCTION("""COMPUTED_VALUE"""),"SetComplianceAlert")</f>
        <v>SetComplianceAlert</v>
      </c>
      <c r="C512" t="str">
        <f>IFERROR(__xludf.DUMMYFUNCTION("""COMPUTED_VALUE"""),"1tHcWqzzT9x7_tjIYlb_jsMu7VunfhVIyqGIWGIXOrQE")</f>
        <v>1tHcWqzzT9x7_tjIYlb_jsMu7VunfhVIyqGIWGIXOrQE</v>
      </c>
    </row>
    <row r="513" ht="15.75" customHeight="1">
      <c r="A513" t="str">
        <f>IFERROR(__xludf.DUMMYFUNCTION("""COMPUTED_VALUE"""),"PortfolioManagement")</f>
        <v>PortfolioManagement</v>
      </c>
      <c r="B513" t="str">
        <f>IFERROR(__xludf.DUMMYFUNCTION("""COMPUTED_VALUE"""),"IncreasePositionFromPM")</f>
        <v>IncreasePositionFromPM</v>
      </c>
      <c r="C513" t="str">
        <f>IFERROR(__xludf.DUMMYFUNCTION("""COMPUTED_VALUE"""),"1eE569Brgsjqyathy0MKO50Wmj5QCDLuax0S-29Hix4A")</f>
        <v>1eE569Brgsjqyathy0MKO50Wmj5QCDLuax0S-29Hix4A</v>
      </c>
    </row>
    <row r="514" ht="15.75" customHeight="1">
      <c r="A514" t="str">
        <f>IFERROR(__xludf.DUMMYFUNCTION("""COMPUTED_VALUE"""),"TradingTicket")</f>
        <v>TradingTicket</v>
      </c>
      <c r="B514" t="str">
        <f>IFERROR(__xludf.DUMMYFUNCTION("""COMPUTED_VALUE"""),"SendLiveBloomberg")</f>
        <v>SendLiveBloomberg</v>
      </c>
      <c r="C514" t="str">
        <f>IFERROR(__xludf.DUMMYFUNCTION("""COMPUTED_VALUE"""),"1jm-Rrun0S1nkf5N9L0XR0cK07laQ4i2IyhTZ_88GUUQ")</f>
        <v>1jm-Rrun0S1nkf5N9L0XR0cK07laQ4i2IyhTZ_88GUUQ</v>
      </c>
    </row>
    <row r="515" ht="15.75" customHeight="1">
      <c r="A515" t="str">
        <f>IFERROR(__xludf.DUMMYFUNCTION("""COMPUTED_VALUE"""),"TradingTicket")</f>
        <v>TradingTicket</v>
      </c>
      <c r="B515" t="str">
        <f>IFERROR(__xludf.DUMMYFUNCTION("""COMPUTED_VALUE"""),"AddOptionTrade")</f>
        <v>AddOptionTrade</v>
      </c>
      <c r="C515" t="str">
        <f>IFERROR(__xludf.DUMMYFUNCTION("""COMPUTED_VALUE"""),"1S77RUpuNPEdRdFAsltgJ4BQ2n1UATWQLWerXZ4PXTkk")</f>
        <v>1S77RUpuNPEdRdFAsltgJ4BQ2n1UATWQLWerXZ4PXTkk</v>
      </c>
    </row>
    <row r="516" ht="15.75" customHeight="1">
      <c r="A516" t="str">
        <f>IFERROR(__xludf.DUMMYFUNCTION("""COMPUTED_VALUE"""),"Closing")</f>
        <v>Closing</v>
      </c>
      <c r="B516" t="str">
        <f>IFERROR(__xludf.DUMMYFUNCTION("""COMPUTED_VALUE"""),"AutoExercise")</f>
        <v>AutoExercise</v>
      </c>
      <c r="C516" t="str">
        <f>IFERROR(__xludf.DUMMYFUNCTION("""COMPUTED_VALUE"""),"1hfy0JEIqBV_drZcgmDPPTyHwSQxbE1sD97UL33FyUKI")</f>
        <v>1hfy0JEIqBV_drZcgmDPPTyHwSQxbE1sD97UL33FyUKI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IFERROR(__xludf.DUMMYFUNCTION("""COMPUTED_VALUE"""),"UpdateExpirationDate")</f>
        <v>UpdateExpirationDate</v>
      </c>
      <c r="C517" t="str">
        <f>IFERROR(__xludf.DUMMYFUNCTION("""COMPUTED_VALUE"""),"1dylWul81BFmbZVj_Z-Xiz11zLj_QrhKk5QXK_mf_uUE")</f>
        <v>1dylWul81BFmbZVj_Z-Xiz11zLj_QrhKk5QXK_mf_uUE</v>
      </c>
    </row>
    <row r="518" ht="15.75" customHeight="1">
      <c r="A518" t="str">
        <f>IFERROR(__xludf.DUMMYFUNCTION("""COMPUTED_VALUE"""),"PricingInput")</f>
        <v>PricingInput</v>
      </c>
      <c r="B518" t="str">
        <f>IFERROR(__xludf.DUMMYFUNCTION("""COMPUTED_VALUE"""),"UncheckDividendYield")</f>
        <v>UncheckDividendYield</v>
      </c>
      <c r="C518" t="str">
        <f>IFERROR(__xludf.DUMMYFUNCTION("""COMPUTED_VALUE"""),"1tE_B1MbYuONekKo2FJCjz81vOxEukuWLbDI84AvoR2Y")</f>
        <v>1tE_B1MbYuONekKo2FJCjz81vOxEukuWLbDI84AvoR2Y</v>
      </c>
    </row>
    <row r="519" ht="15.75" customHeight="1">
      <c r="A519" t="str">
        <f>IFERROR(__xludf.DUMMYFUNCTION("""COMPUTED_VALUE"""),"PranaClient")</f>
        <v>PranaClient</v>
      </c>
      <c r="B519" t="str">
        <f>IFERROR(__xludf.DUMMYFUNCTION("""COMPUTED_VALUE"""),"LoginClient")</f>
        <v>LoginClient</v>
      </c>
      <c r="C519" t="str">
        <f>IFERROR(__xludf.DUMMYFUNCTION("""COMPUTED_VALUE"""),"1q8zAoreC7MIeJDU3n8P82NH8qIhpvWC2BtDtEAyBLPg")</f>
        <v>1q8zAoreC7MIeJDU3n8P82NH8qIhpvWC2BtDtEAyBLPg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IFERROR(__xludf.DUMMYFUNCTION("""COMPUTED_VALUE"""),"ViewAllocation")</f>
        <v>ViewAllocation</v>
      </c>
      <c r="C520" t="str">
        <f>IFERROR(__xludf.DUMMYFUNCTION("""COMPUTED_VALUE"""),"1oyfT0NXu05XUQfzB3__UfSsQJxHsjU5EfujHM7zFMlY")</f>
        <v>1oyfT0NXu05XUQfzB3__UfSsQJxHsjU5EfujHM7zFMlY</v>
      </c>
    </row>
    <row r="521" ht="15.75" customHeight="1">
      <c r="A521" t="str">
        <f>IFERROR(__xludf.DUMMYFUNCTION("""COMPUTED_VALUE"""),"Admin")</f>
        <v>Admin</v>
      </c>
      <c r="B521" t="str">
        <f>IFERROR(__xludf.DUMMYFUNCTION("""COMPUTED_VALUE"""),"UpdateSecFee")</f>
        <v>UpdateSecFee</v>
      </c>
      <c r="C521" t="str">
        <f>IFERROR(__xludf.DUMMYFUNCTION("""COMPUTED_VALUE"""),"1ptHqTt8wfxoCZvvS0BozaQuRsKg0DRBnN_lMfrOuCt4")</f>
        <v>1ptHqTt8wfxoCZvvS0BozaQuRsKg0DRBnN_lMfrOuCt4</v>
      </c>
    </row>
    <row r="522" ht="15.75" customHeight="1">
      <c r="A522" t="str">
        <f>IFERROR(__xludf.DUMMYFUNCTION("""COMPUTED_VALUE"""),"Blotter")</f>
        <v>Blotter</v>
      </c>
      <c r="B522" t="str">
        <f>IFERROR(__xludf.DUMMYFUNCTION("""COMPUTED_VALUE"""),"AllocateFromBlotter")</f>
        <v>AllocateFromBlotter</v>
      </c>
      <c r="C522" t="str">
        <f>IFERROR(__xludf.DUMMYFUNCTION("""COMPUTED_VALUE"""),"1oly-GUleCLstbhsLqb5z_nrN6IcuRDzo7dau3mRro2g")</f>
        <v>1oly-GUleCLstbhsLqb5z_nrN6IcuRDzo7dau3mRro2g</v>
      </c>
    </row>
    <row r="523" ht="15.75" customHeight="1">
      <c r="A523" t="str">
        <f>IFERROR(__xludf.DUMMYFUNCTION("""COMPUTED_VALUE"""),"Admin")</f>
        <v>Admin</v>
      </c>
      <c r="B523" t="str">
        <f>IFERROR(__xludf.DUMMYFUNCTION("""COMPUTED_VALUE"""),"UpdateFee")</f>
        <v>UpdateFee</v>
      </c>
      <c r="C523" t="str">
        <f>IFERROR(__xludf.DUMMYFUNCTION("""COMPUTED_VALUE"""),"19Rcvs50oHXGL5FsIW3nGsIY2a3BShYxifQZnyCdj5YI")</f>
        <v>19Rcvs50oHXGL5FsIW3nGsIY2a3BShYxifQZnyCdj5YI</v>
      </c>
    </row>
    <row r="524" ht="15.75" customHeight="1">
      <c r="A524" t="str">
        <f>IFERROR(__xludf.DUMMYFUNCTION("""COMPUTED_VALUE"""),"Allocation")</f>
        <v>Allocation</v>
      </c>
      <c r="B524" t="str">
        <f>IFERROR(__xludf.DUMMYFUNCTION("""COMPUTED_VALUE"""),"CheckPreferences")</f>
        <v>CheckPreferences</v>
      </c>
      <c r="C524" t="str">
        <f>IFERROR(__xludf.DUMMYFUNCTION("""COMPUTED_VALUE"""),"19LWAFgtJK8TJic3Bigl3vokyu1yraGt63a_sVpP1MUU")</f>
        <v>19LWAFgtJK8TJic3Bigl3vokyu1yraGt63a_sVpP1MUU</v>
      </c>
    </row>
    <row r="525" ht="15.75" customHeight="1">
      <c r="A525" t="str">
        <f>IFERROR(__xludf.DUMMYFUNCTION("""COMPUTED_VALUE"""),"Admin")</f>
        <v>Admin</v>
      </c>
      <c r="B525" t="str">
        <f>IFERROR(__xludf.DUMMYFUNCTION("""COMPUTED_VALUE"""),"SetTTUIAdminPreferences")</f>
        <v>SetTTUIAdminPreferences</v>
      </c>
      <c r="C525" t="str">
        <f>IFERROR(__xludf.DUMMYFUNCTION("""COMPUTED_VALUE"""),"1XGzqnk2nunw7F--MNGHLzH3F0YYmIumyegAncIZZB6k")</f>
        <v>1XGzqnk2nunw7F--MNGHLzH3F0YYmIumyegAncIZZB6k</v>
      </c>
    </row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IFERROR(__xludf.DUMMYFUNCTION("""COMPUTED_VALUE"""),"SetTradingComplianceRules")</f>
        <v>SetTradingComplianceRules</v>
      </c>
      <c r="I4" s="24" t="str">
        <f>IFERROR(__xludf.DUMMYFUNCTION("""COMPUTED_VALUE"""),"EnableBreakdownRealizedPNL")</f>
        <v>EnableBreakdownRealizedPNL</v>
      </c>
      <c r="J4" s="24" t="str">
        <f>IFERROR(__xludf.DUMMYFUNCTION("""COMPUTED_VALUE"""),"SetTTGeneralPreferences")</f>
        <v>SetTTGeneralPreferences</v>
      </c>
      <c r="K4" s="24" t="str">
        <f>IFERROR(__xludf.DUMMYFUNCTION("""COMPUTED_VALUE"""),"SetDollarAmountPermission")</f>
        <v>SetDollarAmountPermission</v>
      </c>
      <c r="L4" s="24" t="str">
        <f>IFERROR(__xludf.DUMMYFUNCTION("""COMPUTED_VALUE"""),"EnableDiableModule")</f>
        <v>EnableDiableModule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IFERROR(__xludf.DUMMYFUNCTION("""COMPUTED_VALUE"""),"UpdateSecFee")</f>
        <v>UpdateSecFee</v>
      </c>
      <c r="S4" s="25" t="str">
        <f>IFERROR(__xludf.DUMMYFUNCTION("""COMPUTED_VALUE"""),"UpdateFee")</f>
        <v>UpdateFee</v>
      </c>
      <c r="T4" s="25" t="str">
        <f>IFERROR(__xludf.DUMMYFUNCTION("""COMPUTED_VALUE"""),"SetTTUIAdminPreferences")</f>
        <v>SetTTUIAdminPreferences</v>
      </c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IFERROR(__xludf.DUMMYFUNCTION("""COMPUTED_VALUE"""),"isEnableModule")</f>
        <v>isEnableModule</v>
      </c>
      <c r="C5" s="27" t="str">
        <f>IFERROR(__xludf.DUMMYFUNCTION("""COMPUTED_VALUE"""),"moduleName")</f>
        <v>moduleName</v>
      </c>
      <c r="D5" s="27" t="str">
        <f>IFERROR(__xludf.DUMMYFUNCTION("""COMPUTED_VALUE"""),"userName")</f>
        <v>userName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b">
        <v>1</v>
      </c>
      <c r="C6" s="32" t="s">
        <v>16</v>
      </c>
      <c r="D6" s="33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31" t="b">
        <v>1</v>
      </c>
      <c r="C7" s="32" t="s">
        <v>16</v>
      </c>
      <c r="D7" s="35" t="s">
        <v>17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EnableDisableModule!$4:$4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IFERROR(__xludf.DUMMYFUNCTION("IF(C3="""","""",Transpose(IMPORTRANGE('_Settings'!$B$3,C3&amp;""!A4:A1000"")))"),"ImportOnShortLocate")</f>
        <v>ImportOnShortLocate</v>
      </c>
      <c r="C4" s="24" t="str">
        <f>IFERROR(__xludf.DUMMYFUNCTION("""COMPUTED_VALUE"""),"ApplyFilterOnShortLocate")</f>
        <v>ApplyFilterOnShortLocate</v>
      </c>
      <c r="D4" s="24" t="str">
        <f>IFERROR(__xludf.DUMMYFUNCTION("""COMPUTED_VALUE"""),"OpenTTFromShortLocate")</f>
        <v>OpenTTFromShortLocate</v>
      </c>
      <c r="E4" s="24" t="str">
        <f>IFERROR(__xludf.DUMMYFUNCTION("""COMPUTED_VALUE"""),"Upload")</f>
        <v>Upload</v>
      </c>
      <c r="F4" s="24" t="str">
        <f>IFERROR(__xludf.DUMMYFUNCTION("""COMPUTED_VALUE"""),"VerifyShortLocateGrid")</f>
        <v>VerifyShortLocateGrid</v>
      </c>
      <c r="G4" s="24" t="str">
        <f>IFERROR(__xludf.DUMMYFUNCTION("""COMPUTED_VALUE"""),"DownloadFile")</f>
        <v>DownloadFile</v>
      </c>
      <c r="H4" s="24" t="str">
        <f>IFERROR(__xludf.DUMMYFUNCTION("""COMPUTED_VALUE"""),"SearchShortLocateUI")</f>
        <v>SearchShortLocateUI</v>
      </c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IFERROR(__xludf.DUMMYFUNCTION("""COMPUTED_VALUE"""),"Upload ThirdParty")</f>
        <v>Upload ThirdParty</v>
      </c>
      <c r="C5" s="27" t="str">
        <f>IFERROR(__xludf.DUMMYFUNCTION("""COMPUTED_VALUE"""),"Select File")</f>
        <v>Select File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3" t="s">
        <v>20</v>
      </c>
      <c r="C6" s="36" t="s">
        <v>21</v>
      </c>
      <c r="D6" s="33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ImportOnShortLocate!$4:$4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IFERROR(__xludf.DUMMYFUNCTION("IF(C3="""","""",Transpose(IMPORTRANGE('_Settings'!$B$3,C3&amp;""!A4:A1000"")))"),"ImportOnShortLocate")</f>
        <v>ImportOnShortLocate</v>
      </c>
      <c r="C4" s="24" t="str">
        <f>IFERROR(__xludf.DUMMYFUNCTION("""COMPUTED_VALUE"""),"ApplyFilterOnShortLocate")</f>
        <v>ApplyFilterOnShortLocate</v>
      </c>
      <c r="D4" s="24" t="str">
        <f>IFERROR(__xludf.DUMMYFUNCTION("""COMPUTED_VALUE"""),"OpenTTFromShortLocate")</f>
        <v>OpenTTFromShortLocate</v>
      </c>
      <c r="E4" s="24" t="str">
        <f>IFERROR(__xludf.DUMMYFUNCTION("""COMPUTED_VALUE"""),"Upload")</f>
        <v>Upload</v>
      </c>
      <c r="F4" s="24" t="str">
        <f>IFERROR(__xludf.DUMMYFUNCTION("""COMPUTED_VALUE"""),"VerifyShortLocateGrid")</f>
        <v>VerifyShortLocateGrid</v>
      </c>
      <c r="G4" s="24" t="str">
        <f>IFERROR(__xludf.DUMMYFUNCTION("""COMPUTED_VALUE"""),"DownloadFile")</f>
        <v>DownloadFile</v>
      </c>
      <c r="H4" s="24" t="str">
        <f>IFERROR(__xludf.DUMMYFUNCTION("""COMPUTED_VALUE"""),"SearchShortLocateUI")</f>
        <v>SearchShortLocateUI</v>
      </c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IFERROR(__xludf.DUMMYFUNCTION("""COMPUTED_VALUE"""),"Borrow Broker")</f>
        <v>Borrow Broker</v>
      </c>
      <c r="D5" s="27" t="str">
        <f>IFERROR(__xludf.DUMMYFUNCTION("""COMPUTED_VALUE"""),"Last PX")</f>
        <v>Last PX</v>
      </c>
      <c r="E5" s="27" t="str">
        <f>IFERROR(__xludf.DUMMYFUNCTION("""COMPUTED_VALUE"""),"Trade Quantity")</f>
        <v>Trade Quantity</v>
      </c>
      <c r="F5" s="28" t="str">
        <f>IFERROR(__xludf.DUMMYFUNCTION("""COMPUTED_VALUE"""),"Borrow Shares Available")</f>
        <v>Borrow Shares Available</v>
      </c>
      <c r="G5" s="27" t="str">
        <f>IFERROR(__xludf.DUMMYFUNCTION("""COMPUTED_VALUE"""),"Borrow Rate(%)")</f>
        <v>Borrow Rate(%)</v>
      </c>
      <c r="H5" s="27" t="str">
        <f>IFERROR(__xludf.DUMMYFUNCTION("""COMPUTED_VALUE"""),"Total Borrow Value")</f>
        <v>Total Borrow Value</v>
      </c>
      <c r="I5" s="27" t="str">
        <f>IFERROR(__xludf.DUMMYFUNCTION("""COMPUTED_VALUE"""),"Borrower ID")</f>
        <v>Borrower ID</v>
      </c>
      <c r="J5" s="27" t="str">
        <f>IFERROR(__xludf.DUMMYFUNCTION("""COMPUTED_VALUE"""),"Borrowed Share")</f>
        <v>Borrowed Share</v>
      </c>
      <c r="K5" s="27" t="str">
        <f>IFERROR(__xludf.DUMMYFUNCTION("""COMPUTED_VALUE"""),"Borrowed Rate(%)")</f>
        <v>Borrowed Rate(%)</v>
      </c>
      <c r="L5" s="27" t="str">
        <f>IFERROR(__xludf.DUMMYFUNCTION("""COMPUTED_VALUE"""),"Total Borrowed Value")</f>
        <v>Total Borrowed Value</v>
      </c>
      <c r="M5" s="27" t="str">
        <f>IFERROR(__xludf.DUMMYFUNCTION("""COMPUTED_VALUE"""),"SOD Borrow share Available")</f>
        <v>SOD Borrow share Available</v>
      </c>
      <c r="N5" s="27" t="str">
        <f>IFERROR(__xludf.DUMMYFUNCTION("""COMPUTED_VALUE"""),"SOD BorrowRate(%)")</f>
        <v>SOD BorrowRate(%)</v>
      </c>
      <c r="O5" s="27" t="str">
        <f>IFERROR(__xludf.DUMMYFUNCTION("""COMPUTED_VALUE"""),"Status Source")</f>
        <v>Status Source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3" t="s">
        <v>23</v>
      </c>
      <c r="C6" s="32" t="s">
        <v>20</v>
      </c>
      <c r="D6" s="37">
        <v>0.0</v>
      </c>
      <c r="E6" s="38">
        <v>0.0</v>
      </c>
      <c r="F6" s="38">
        <v>10000.0</v>
      </c>
      <c r="G6" s="38">
        <v>2.0</v>
      </c>
      <c r="H6" s="38">
        <v>0.0</v>
      </c>
      <c r="I6" s="39" t="s">
        <v>24</v>
      </c>
      <c r="J6" s="38">
        <v>0.0</v>
      </c>
      <c r="K6" s="38">
        <v>0.0</v>
      </c>
      <c r="L6" s="38">
        <v>0.0</v>
      </c>
      <c r="M6" s="38">
        <v>10000.0</v>
      </c>
      <c r="N6" s="38">
        <v>2.0</v>
      </c>
      <c r="O6" s="32" t="s">
        <v>25</v>
      </c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 t="s">
        <v>26</v>
      </c>
      <c r="C7" s="34" t="s">
        <v>20</v>
      </c>
      <c r="D7" s="40">
        <v>0.0</v>
      </c>
      <c r="E7" s="40">
        <v>0.0</v>
      </c>
      <c r="F7" s="40">
        <v>20000.0</v>
      </c>
      <c r="G7" s="40">
        <v>2.0</v>
      </c>
      <c r="H7" s="40">
        <v>0.0</v>
      </c>
      <c r="I7" s="41" t="s">
        <v>27</v>
      </c>
      <c r="J7" s="40">
        <v>0.0</v>
      </c>
      <c r="K7" s="40">
        <v>0.0</v>
      </c>
      <c r="L7" s="40">
        <v>0.0</v>
      </c>
      <c r="M7" s="40">
        <v>20000.0</v>
      </c>
      <c r="N7" s="40">
        <v>2.0</v>
      </c>
      <c r="O7" s="34" t="s">
        <v>25</v>
      </c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4" t="s">
        <v>28</v>
      </c>
      <c r="C8" s="34" t="s">
        <v>20</v>
      </c>
      <c r="D8" s="40">
        <v>0.0</v>
      </c>
      <c r="E8" s="40">
        <v>0.0</v>
      </c>
      <c r="F8" s="40">
        <v>30000.0</v>
      </c>
      <c r="G8" s="40">
        <v>2.0</v>
      </c>
      <c r="H8" s="40">
        <v>0.0</v>
      </c>
      <c r="I8" s="41" t="s">
        <v>29</v>
      </c>
      <c r="J8" s="40">
        <v>0.0</v>
      </c>
      <c r="K8" s="40">
        <v>0.0</v>
      </c>
      <c r="L8" s="40">
        <v>0.0</v>
      </c>
      <c r="M8" s="40">
        <v>30000.0</v>
      </c>
      <c r="N8" s="40">
        <v>2.0</v>
      </c>
      <c r="O8" s="34" t="s">
        <v>25</v>
      </c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34"/>
      <c r="B9" s="34" t="s">
        <v>30</v>
      </c>
      <c r="C9" s="34" t="s">
        <v>20</v>
      </c>
      <c r="D9" s="40">
        <v>0.0</v>
      </c>
      <c r="E9" s="40">
        <v>0.0</v>
      </c>
      <c r="F9" s="40">
        <v>40000.0</v>
      </c>
      <c r="G9" s="40">
        <v>2.0</v>
      </c>
      <c r="H9" s="40">
        <v>0.0</v>
      </c>
      <c r="I9" s="41" t="s">
        <v>31</v>
      </c>
      <c r="J9" s="40">
        <v>0.0</v>
      </c>
      <c r="K9" s="40">
        <v>0.0</v>
      </c>
      <c r="L9" s="40">
        <v>0.0</v>
      </c>
      <c r="M9" s="40">
        <v>40000.0</v>
      </c>
      <c r="N9" s="40">
        <v>2.0</v>
      </c>
      <c r="O9" s="34" t="s">
        <v>25</v>
      </c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34"/>
      <c r="B10" s="34" t="s">
        <v>32</v>
      </c>
      <c r="C10" s="34" t="s">
        <v>20</v>
      </c>
      <c r="D10" s="40">
        <v>0.0</v>
      </c>
      <c r="E10" s="40">
        <v>0.0</v>
      </c>
      <c r="F10" s="40">
        <v>6000.0</v>
      </c>
      <c r="G10" s="40">
        <v>2.0</v>
      </c>
      <c r="H10" s="40">
        <v>0.0</v>
      </c>
      <c r="I10" s="41" t="s">
        <v>33</v>
      </c>
      <c r="J10" s="40">
        <v>0.0</v>
      </c>
      <c r="K10" s="40">
        <v>0.0</v>
      </c>
      <c r="L10" s="40">
        <v>0.0</v>
      </c>
      <c r="M10" s="40">
        <v>6000.0</v>
      </c>
      <c r="N10" s="40">
        <v>2.0</v>
      </c>
      <c r="O10" s="34" t="s">
        <v>25</v>
      </c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  <c r="CA10" s="34"/>
      <c r="CB10" s="34"/>
      <c r="CC10" s="34"/>
      <c r="CD10" s="34"/>
      <c r="CE10" s="34"/>
      <c r="CF10" s="34"/>
      <c r="CG10" s="34"/>
      <c r="CH10" s="34"/>
      <c r="CI10" s="34"/>
      <c r="CJ10" s="34"/>
      <c r="CK10" s="34"/>
      <c r="CL10" s="34"/>
      <c r="CM10" s="34"/>
      <c r="CN10" s="34"/>
      <c r="CO10" s="34"/>
      <c r="CP10" s="34"/>
      <c r="CQ10" s="34"/>
      <c r="CR10" s="34"/>
      <c r="CS10" s="34"/>
      <c r="CT10" s="34"/>
      <c r="CU10" s="34"/>
      <c r="CV10" s="34"/>
      <c r="CW10" s="34"/>
      <c r="CX10" s="34"/>
      <c r="CY10" s="34"/>
      <c r="CZ10" s="34"/>
      <c r="DA10" s="34"/>
      <c r="DB10" s="34"/>
      <c r="DC10" s="34"/>
      <c r="DD10" s="34"/>
      <c r="DE10" s="34"/>
      <c r="DF10" s="34"/>
      <c r="DG10" s="34"/>
      <c r="DH10" s="34"/>
      <c r="DI10" s="34"/>
      <c r="DJ10" s="34"/>
      <c r="DK10" s="34"/>
      <c r="DL10" s="34"/>
      <c r="DM10" s="34"/>
      <c r="DN10" s="34"/>
      <c r="DO10" s="34"/>
      <c r="DP10" s="34"/>
      <c r="DQ10" s="34"/>
      <c r="DR10" s="34"/>
      <c r="DS10" s="34"/>
      <c r="DT10" s="34"/>
      <c r="DU10" s="34"/>
      <c r="DV10" s="34"/>
      <c r="DW10" s="34"/>
      <c r="DX10" s="34"/>
      <c r="DY10" s="34"/>
      <c r="DZ10" s="34"/>
      <c r="EA10" s="34"/>
      <c r="EB10" s="34"/>
      <c r="EC10" s="34"/>
      <c r="ED10" s="34"/>
      <c r="EE10" s="34"/>
      <c r="EF10" s="34"/>
      <c r="EG10" s="34"/>
      <c r="EH10" s="34"/>
      <c r="EI10" s="34"/>
      <c r="EJ10" s="34"/>
      <c r="EK10" s="34"/>
      <c r="EL10" s="34"/>
      <c r="EM10" s="34"/>
      <c r="EN10" s="34"/>
      <c r="EO10" s="34"/>
      <c r="EP10" s="34"/>
      <c r="EQ10" s="34"/>
      <c r="ER10" s="34"/>
      <c r="ES10" s="34"/>
      <c r="ET10" s="34"/>
      <c r="EU10" s="34"/>
      <c r="EV10" s="34"/>
      <c r="EW10" s="34"/>
      <c r="EX10" s="34"/>
    </row>
    <row r="11" ht="15.75" customHeight="1">
      <c r="A11" s="34"/>
      <c r="B11" s="34" t="s">
        <v>34</v>
      </c>
      <c r="C11" s="34" t="s">
        <v>20</v>
      </c>
      <c r="D11" s="40">
        <v>0.0</v>
      </c>
      <c r="E11" s="40">
        <v>0.0</v>
      </c>
      <c r="F11" s="40">
        <v>60000.0</v>
      </c>
      <c r="G11" s="40">
        <v>2.0</v>
      </c>
      <c r="H11" s="40">
        <v>0.0</v>
      </c>
      <c r="I11" s="41" t="s">
        <v>35</v>
      </c>
      <c r="J11" s="40">
        <v>0.0</v>
      </c>
      <c r="K11" s="40">
        <v>0.0</v>
      </c>
      <c r="L11" s="40">
        <v>0.0</v>
      </c>
      <c r="M11" s="40">
        <v>60000.0</v>
      </c>
      <c r="N11" s="40">
        <v>2.0</v>
      </c>
      <c r="O11" s="34" t="s">
        <v>25</v>
      </c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4"/>
      <c r="AV11" s="34"/>
      <c r="AW11" s="34"/>
      <c r="AX11" s="34"/>
      <c r="AY11" s="34"/>
      <c r="AZ11" s="34"/>
      <c r="BA11" s="34"/>
      <c r="BB11" s="34"/>
      <c r="BC11" s="34"/>
      <c r="BD11" s="34"/>
      <c r="BE11" s="34"/>
      <c r="BF11" s="34"/>
      <c r="BG11" s="34"/>
      <c r="BH11" s="34"/>
      <c r="BI11" s="34"/>
      <c r="BJ11" s="34"/>
      <c r="BK11" s="34"/>
      <c r="BL11" s="34"/>
      <c r="BM11" s="34"/>
      <c r="BN11" s="34"/>
      <c r="BO11" s="34"/>
      <c r="BP11" s="34"/>
      <c r="BQ11" s="34"/>
      <c r="BR11" s="34"/>
      <c r="BS11" s="34"/>
      <c r="BT11" s="34"/>
      <c r="BU11" s="34"/>
      <c r="BV11" s="34"/>
      <c r="BW11" s="34"/>
      <c r="BX11" s="34"/>
      <c r="BY11" s="34"/>
      <c r="BZ11" s="34"/>
      <c r="CA11" s="34"/>
      <c r="CB11" s="34"/>
      <c r="CC11" s="34"/>
      <c r="CD11" s="34"/>
      <c r="CE11" s="34"/>
      <c r="CF11" s="34"/>
      <c r="CG11" s="34"/>
      <c r="CH11" s="34"/>
      <c r="CI11" s="34"/>
      <c r="CJ11" s="34"/>
      <c r="CK11" s="34"/>
      <c r="CL11" s="34"/>
      <c r="CM11" s="34"/>
      <c r="CN11" s="34"/>
      <c r="CO11" s="34"/>
      <c r="CP11" s="34"/>
      <c r="CQ11" s="34"/>
      <c r="CR11" s="34"/>
      <c r="CS11" s="34"/>
      <c r="CT11" s="34"/>
      <c r="CU11" s="34"/>
      <c r="CV11" s="34"/>
      <c r="CW11" s="34"/>
      <c r="CX11" s="34"/>
      <c r="CY11" s="34"/>
      <c r="CZ11" s="34"/>
      <c r="DA11" s="34"/>
      <c r="DB11" s="34"/>
      <c r="DC11" s="34"/>
      <c r="DD11" s="34"/>
      <c r="DE11" s="34"/>
      <c r="DF11" s="34"/>
      <c r="DG11" s="34"/>
      <c r="DH11" s="34"/>
      <c r="DI11" s="34"/>
      <c r="DJ11" s="34"/>
      <c r="DK11" s="34"/>
      <c r="DL11" s="34"/>
      <c r="DM11" s="34"/>
      <c r="DN11" s="34"/>
      <c r="DO11" s="34"/>
      <c r="DP11" s="34"/>
      <c r="DQ11" s="34"/>
      <c r="DR11" s="34"/>
      <c r="DS11" s="34"/>
      <c r="DT11" s="34"/>
      <c r="DU11" s="34"/>
      <c r="DV11" s="34"/>
      <c r="DW11" s="34"/>
      <c r="DX11" s="34"/>
      <c r="DY11" s="34"/>
      <c r="DZ11" s="34"/>
      <c r="EA11" s="34"/>
      <c r="EB11" s="34"/>
      <c r="EC11" s="34"/>
      <c r="ED11" s="34"/>
      <c r="EE11" s="34"/>
      <c r="EF11" s="34"/>
      <c r="EG11" s="34"/>
      <c r="EH11" s="34"/>
      <c r="EI11" s="34"/>
      <c r="EJ11" s="34"/>
      <c r="EK11" s="34"/>
      <c r="EL11" s="34"/>
      <c r="EM11" s="34"/>
      <c r="EN11" s="34"/>
      <c r="EO11" s="34"/>
      <c r="EP11" s="34"/>
      <c r="EQ11" s="34"/>
      <c r="ER11" s="34"/>
      <c r="ES11" s="34"/>
      <c r="ET11" s="34"/>
      <c r="EU11" s="34"/>
      <c r="EV11" s="34"/>
      <c r="EW11" s="34"/>
      <c r="EX11" s="34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VerifyShortLocateGrid!$4:$4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IFERROR(__xludf.DUMMYFUNCTION("IF(C3="""","""",Transpose(IMPORTRANGE('_Settings'!$B$3,C3&amp;""!A4:A1000"")))"),"RestartClient")</f>
        <v>RestartClient</v>
      </c>
      <c r="C4" s="24" t="str">
        <f>IFERROR(__xludf.DUMMYFUNCTION("""COMPUTED_VALUE"""),"UpdateClientConfig")</f>
        <v>UpdateClientConfig</v>
      </c>
      <c r="D4" s="24" t="str">
        <f>IFERROR(__xludf.DUMMYFUNCTION("""COMPUTED_VALUE"""),"LoginClient")</f>
        <v>LoginClient</v>
      </c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IFERROR(__xludf.DUMMYFUNCTION("""COMPUTED_VALUE"""),"LoginUserName")</f>
        <v>LoginUserName</v>
      </c>
      <c r="C5" s="27" t="str">
        <f>IFERROR(__xludf.DUMMYFUNCTION("""COMPUTED_VALUE"""),"LoginPassword")</f>
        <v>LoginPassword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38</v>
      </c>
      <c r="C6" s="11" t="s">
        <v>39</v>
      </c>
      <c r="D6" s="11"/>
      <c r="E6" s="4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LoginClient!$4:$4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IFERROR(__xludf.DUMMYFUNCTION("IF(C3="""","""",Transpose(IMPORTRANGE('_Settings'!$B$3,C3&amp;""!A4:A1000"")))"),"ImportOnShortLocate")</f>
        <v>ImportOnShortLocate</v>
      </c>
      <c r="C4" s="24" t="str">
        <f>IFERROR(__xludf.DUMMYFUNCTION("""COMPUTED_VALUE"""),"ApplyFilterOnShortLocate")</f>
        <v>ApplyFilterOnShortLocate</v>
      </c>
      <c r="D4" s="24" t="str">
        <f>IFERROR(__xludf.DUMMYFUNCTION("""COMPUTED_VALUE"""),"OpenTTFromShortLocate")</f>
        <v>OpenTTFromShortLocate</v>
      </c>
      <c r="E4" s="24" t="str">
        <f>IFERROR(__xludf.DUMMYFUNCTION("""COMPUTED_VALUE"""),"Upload")</f>
        <v>Upload</v>
      </c>
      <c r="F4" s="24" t="str">
        <f>IFERROR(__xludf.DUMMYFUNCTION("""COMPUTED_VALUE"""),"VerifyShortLocateGrid")</f>
        <v>VerifyShortLocateGrid</v>
      </c>
      <c r="G4" s="24" t="str">
        <f>IFERROR(__xludf.DUMMYFUNCTION("""COMPUTED_VALUE"""),"DownloadFile")</f>
        <v>DownloadFile</v>
      </c>
      <c r="H4" s="24" t="str">
        <f>IFERROR(__xludf.DUMMYFUNCTION("""COMPUTED_VALUE"""),"SearchShortLocateUI")</f>
        <v>SearchShortLocateUI</v>
      </c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IFERROR(__xludf.DUMMYFUNCTION("""COMPUTED_VALUE"""),"Borrow Broker")</f>
        <v>Borrow Broker</v>
      </c>
      <c r="D5" s="27" t="str">
        <f>IFERROR(__xludf.DUMMYFUNCTION("""COMPUTED_VALUE"""),"Last PX")</f>
        <v>Last PX</v>
      </c>
      <c r="E5" s="27" t="str">
        <f>IFERROR(__xludf.DUMMYFUNCTION("""COMPUTED_VALUE"""),"Trade Quantity")</f>
        <v>Trade Quantity</v>
      </c>
      <c r="F5" s="28" t="str">
        <f>IFERROR(__xludf.DUMMYFUNCTION("""COMPUTED_VALUE"""),"Borrow Shares Available")</f>
        <v>Borrow Shares Available</v>
      </c>
      <c r="G5" s="27" t="str">
        <f>IFERROR(__xludf.DUMMYFUNCTION("""COMPUTED_VALUE"""),"Borrow Rate(%)")</f>
        <v>Borrow Rate(%)</v>
      </c>
      <c r="H5" s="27" t="str">
        <f>IFERROR(__xludf.DUMMYFUNCTION("""COMPUTED_VALUE"""),"Total Borrow Value")</f>
        <v>Total Borrow Value</v>
      </c>
      <c r="I5" s="27" t="str">
        <f>IFERROR(__xludf.DUMMYFUNCTION("""COMPUTED_VALUE"""),"Borrower ID")</f>
        <v>Borrower ID</v>
      </c>
      <c r="J5" s="27" t="str">
        <f>IFERROR(__xludf.DUMMYFUNCTION("""COMPUTED_VALUE"""),"Borrowed Share")</f>
        <v>Borrowed Share</v>
      </c>
      <c r="K5" s="27" t="str">
        <f>IFERROR(__xludf.DUMMYFUNCTION("""COMPUTED_VALUE"""),"Borrowed Rate(%)")</f>
        <v>Borrowed Rate(%)</v>
      </c>
      <c r="L5" s="27" t="str">
        <f>IFERROR(__xludf.DUMMYFUNCTION("""COMPUTED_VALUE"""),"Total Borrowed Value")</f>
        <v>Total Borrowed Value</v>
      </c>
      <c r="M5" s="27" t="str">
        <f>IFERROR(__xludf.DUMMYFUNCTION("""COMPUTED_VALUE"""),"SOD Borrow share Available")</f>
        <v>SOD Borrow share Available</v>
      </c>
      <c r="N5" s="27" t="str">
        <f>IFERROR(__xludf.DUMMYFUNCTION("""COMPUTED_VALUE"""),"SOD BorrowRate(%)")</f>
        <v>SOD BorrowRate(%)</v>
      </c>
      <c r="O5" s="27" t="str">
        <f>IFERROR(__xludf.DUMMYFUNCTION("""COMPUTED_VALUE"""),"Status Source")</f>
        <v>Status Source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3" t="s">
        <v>23</v>
      </c>
      <c r="C6" s="32" t="s">
        <v>20</v>
      </c>
      <c r="D6" s="37">
        <v>0.0</v>
      </c>
      <c r="E6" s="38">
        <v>0.0</v>
      </c>
      <c r="F6" s="38">
        <v>10000.0</v>
      </c>
      <c r="G6" s="38">
        <v>2.0</v>
      </c>
      <c r="H6" s="38">
        <v>0.0</v>
      </c>
      <c r="I6" s="39" t="s">
        <v>24</v>
      </c>
      <c r="J6" s="38">
        <v>0.0</v>
      </c>
      <c r="K6" s="38">
        <v>0.0</v>
      </c>
      <c r="L6" s="38">
        <v>0.0</v>
      </c>
      <c r="M6" s="38">
        <v>10000.0</v>
      </c>
      <c r="N6" s="38">
        <v>2.0</v>
      </c>
      <c r="O6" s="32" t="s">
        <v>25</v>
      </c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 t="s">
        <v>26</v>
      </c>
      <c r="C7" s="34" t="s">
        <v>20</v>
      </c>
      <c r="D7" s="40">
        <v>0.0</v>
      </c>
      <c r="E7" s="40">
        <v>0.0</v>
      </c>
      <c r="F7" s="40">
        <v>20000.0</v>
      </c>
      <c r="G7" s="40">
        <v>2.0</v>
      </c>
      <c r="H7" s="40">
        <v>0.0</v>
      </c>
      <c r="I7" s="41" t="s">
        <v>27</v>
      </c>
      <c r="J7" s="40">
        <v>0.0</v>
      </c>
      <c r="K7" s="40">
        <v>0.0</v>
      </c>
      <c r="L7" s="40">
        <v>0.0</v>
      </c>
      <c r="M7" s="40">
        <v>20000.0</v>
      </c>
      <c r="N7" s="40">
        <v>2.0</v>
      </c>
      <c r="O7" s="34" t="s">
        <v>25</v>
      </c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4" t="s">
        <v>28</v>
      </c>
      <c r="C8" s="34" t="s">
        <v>20</v>
      </c>
      <c r="D8" s="40">
        <v>0.0</v>
      </c>
      <c r="E8" s="40">
        <v>0.0</v>
      </c>
      <c r="F8" s="40">
        <v>30000.0</v>
      </c>
      <c r="G8" s="40">
        <v>2.0</v>
      </c>
      <c r="H8" s="40">
        <v>0.0</v>
      </c>
      <c r="I8" s="41" t="s">
        <v>29</v>
      </c>
      <c r="J8" s="40">
        <v>0.0</v>
      </c>
      <c r="K8" s="40">
        <v>0.0</v>
      </c>
      <c r="L8" s="40">
        <v>0.0</v>
      </c>
      <c r="M8" s="40">
        <v>30000.0</v>
      </c>
      <c r="N8" s="40">
        <v>2.0</v>
      </c>
      <c r="O8" s="34" t="s">
        <v>25</v>
      </c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34"/>
      <c r="B9" s="34" t="s">
        <v>30</v>
      </c>
      <c r="C9" s="34" t="s">
        <v>20</v>
      </c>
      <c r="D9" s="40">
        <v>0.0</v>
      </c>
      <c r="E9" s="40">
        <v>0.0</v>
      </c>
      <c r="F9" s="40">
        <v>40000.0</v>
      </c>
      <c r="G9" s="40">
        <v>2.0</v>
      </c>
      <c r="H9" s="40">
        <v>0.0</v>
      </c>
      <c r="I9" s="41" t="s">
        <v>31</v>
      </c>
      <c r="J9" s="40">
        <v>0.0</v>
      </c>
      <c r="K9" s="40">
        <v>0.0</v>
      </c>
      <c r="L9" s="40">
        <v>0.0</v>
      </c>
      <c r="M9" s="40">
        <v>40000.0</v>
      </c>
      <c r="N9" s="40">
        <v>2.0</v>
      </c>
      <c r="O9" s="34" t="s">
        <v>25</v>
      </c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34"/>
      <c r="B10" s="34" t="s">
        <v>32</v>
      </c>
      <c r="C10" s="34" t="s">
        <v>20</v>
      </c>
      <c r="D10" s="40">
        <v>0.0</v>
      </c>
      <c r="E10" s="40">
        <v>0.0</v>
      </c>
      <c r="F10" s="40">
        <v>6000.0</v>
      </c>
      <c r="G10" s="40">
        <v>2.0</v>
      </c>
      <c r="H10" s="40">
        <v>0.0</v>
      </c>
      <c r="I10" s="41" t="s">
        <v>33</v>
      </c>
      <c r="J10" s="40">
        <v>0.0</v>
      </c>
      <c r="K10" s="40">
        <v>0.0</v>
      </c>
      <c r="L10" s="40">
        <v>0.0</v>
      </c>
      <c r="M10" s="40">
        <v>6000.0</v>
      </c>
      <c r="N10" s="40">
        <v>2.0</v>
      </c>
      <c r="O10" s="34" t="s">
        <v>25</v>
      </c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  <c r="CA10" s="34"/>
      <c r="CB10" s="34"/>
      <c r="CC10" s="34"/>
      <c r="CD10" s="34"/>
      <c r="CE10" s="34"/>
      <c r="CF10" s="34"/>
      <c r="CG10" s="34"/>
      <c r="CH10" s="34"/>
      <c r="CI10" s="34"/>
      <c r="CJ10" s="34"/>
      <c r="CK10" s="34"/>
      <c r="CL10" s="34"/>
      <c r="CM10" s="34"/>
      <c r="CN10" s="34"/>
      <c r="CO10" s="34"/>
      <c r="CP10" s="34"/>
      <c r="CQ10" s="34"/>
      <c r="CR10" s="34"/>
      <c r="CS10" s="34"/>
      <c r="CT10" s="34"/>
      <c r="CU10" s="34"/>
      <c r="CV10" s="34"/>
      <c r="CW10" s="34"/>
      <c r="CX10" s="34"/>
      <c r="CY10" s="34"/>
      <c r="CZ10" s="34"/>
      <c r="DA10" s="34"/>
      <c r="DB10" s="34"/>
      <c r="DC10" s="34"/>
      <c r="DD10" s="34"/>
      <c r="DE10" s="34"/>
      <c r="DF10" s="34"/>
      <c r="DG10" s="34"/>
      <c r="DH10" s="34"/>
      <c r="DI10" s="34"/>
      <c r="DJ10" s="34"/>
      <c r="DK10" s="34"/>
      <c r="DL10" s="34"/>
      <c r="DM10" s="34"/>
      <c r="DN10" s="34"/>
      <c r="DO10" s="34"/>
      <c r="DP10" s="34"/>
      <c r="DQ10" s="34"/>
      <c r="DR10" s="34"/>
      <c r="DS10" s="34"/>
      <c r="DT10" s="34"/>
      <c r="DU10" s="34"/>
      <c r="DV10" s="34"/>
      <c r="DW10" s="34"/>
      <c r="DX10" s="34"/>
      <c r="DY10" s="34"/>
      <c r="DZ10" s="34"/>
      <c r="EA10" s="34"/>
      <c r="EB10" s="34"/>
      <c r="EC10" s="34"/>
      <c r="ED10" s="34"/>
      <c r="EE10" s="34"/>
      <c r="EF10" s="34"/>
      <c r="EG10" s="34"/>
      <c r="EH10" s="34"/>
      <c r="EI10" s="34"/>
      <c r="EJ10" s="34"/>
      <c r="EK10" s="34"/>
      <c r="EL10" s="34"/>
      <c r="EM10" s="34"/>
      <c r="EN10" s="34"/>
      <c r="EO10" s="34"/>
      <c r="EP10" s="34"/>
      <c r="EQ10" s="34"/>
      <c r="ER10" s="34"/>
      <c r="ES10" s="34"/>
      <c r="ET10" s="34"/>
      <c r="EU10" s="34"/>
      <c r="EV10" s="34"/>
      <c r="EW10" s="34"/>
      <c r="EX10" s="34"/>
    </row>
    <row r="11" ht="15.75" customHeight="1">
      <c r="A11" s="34"/>
      <c r="B11" s="34" t="s">
        <v>34</v>
      </c>
      <c r="C11" s="34" t="s">
        <v>20</v>
      </c>
      <c r="D11" s="40">
        <v>0.0</v>
      </c>
      <c r="E11" s="40">
        <v>0.0</v>
      </c>
      <c r="F11" s="40">
        <v>60000.0</v>
      </c>
      <c r="G11" s="40">
        <v>2.0</v>
      </c>
      <c r="H11" s="40">
        <v>0.0</v>
      </c>
      <c r="I11" s="41" t="s">
        <v>35</v>
      </c>
      <c r="J11" s="40">
        <v>0.0</v>
      </c>
      <c r="K11" s="40">
        <v>0.0</v>
      </c>
      <c r="L11" s="40">
        <v>0.0</v>
      </c>
      <c r="M11" s="40">
        <v>60000.0</v>
      </c>
      <c r="N11" s="40">
        <v>2.0</v>
      </c>
      <c r="O11" s="34" t="s">
        <v>25</v>
      </c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4"/>
      <c r="AV11" s="34"/>
      <c r="AW11" s="34"/>
      <c r="AX11" s="34"/>
      <c r="AY11" s="34"/>
      <c r="AZ11" s="34"/>
      <c r="BA11" s="34"/>
      <c r="BB11" s="34"/>
      <c r="BC11" s="34"/>
      <c r="BD11" s="34"/>
      <c r="BE11" s="34"/>
      <c r="BF11" s="34"/>
      <c r="BG11" s="34"/>
      <c r="BH11" s="34"/>
      <c r="BI11" s="34"/>
      <c r="BJ11" s="34"/>
      <c r="BK11" s="34"/>
      <c r="BL11" s="34"/>
      <c r="BM11" s="34"/>
      <c r="BN11" s="34"/>
      <c r="BO11" s="34"/>
      <c r="BP11" s="34"/>
      <c r="BQ11" s="34"/>
      <c r="BR11" s="34"/>
      <c r="BS11" s="34"/>
      <c r="BT11" s="34"/>
      <c r="BU11" s="34"/>
      <c r="BV11" s="34"/>
      <c r="BW11" s="34"/>
      <c r="BX11" s="34"/>
      <c r="BY11" s="34"/>
      <c r="BZ11" s="34"/>
      <c r="CA11" s="34"/>
      <c r="CB11" s="34"/>
      <c r="CC11" s="34"/>
      <c r="CD11" s="34"/>
      <c r="CE11" s="34"/>
      <c r="CF11" s="34"/>
      <c r="CG11" s="34"/>
      <c r="CH11" s="34"/>
      <c r="CI11" s="34"/>
      <c r="CJ11" s="34"/>
      <c r="CK11" s="34"/>
      <c r="CL11" s="34"/>
      <c r="CM11" s="34"/>
      <c r="CN11" s="34"/>
      <c r="CO11" s="34"/>
      <c r="CP11" s="34"/>
      <c r="CQ11" s="34"/>
      <c r="CR11" s="34"/>
      <c r="CS11" s="34"/>
      <c r="CT11" s="34"/>
      <c r="CU11" s="34"/>
      <c r="CV11" s="34"/>
      <c r="CW11" s="34"/>
      <c r="CX11" s="34"/>
      <c r="CY11" s="34"/>
      <c r="CZ11" s="34"/>
      <c r="DA11" s="34"/>
      <c r="DB11" s="34"/>
      <c r="DC11" s="34"/>
      <c r="DD11" s="34"/>
      <c r="DE11" s="34"/>
      <c r="DF11" s="34"/>
      <c r="DG11" s="34"/>
      <c r="DH11" s="34"/>
      <c r="DI11" s="34"/>
      <c r="DJ11" s="34"/>
      <c r="DK11" s="34"/>
      <c r="DL11" s="34"/>
      <c r="DM11" s="34"/>
      <c r="DN11" s="34"/>
      <c r="DO11" s="34"/>
      <c r="DP11" s="34"/>
      <c r="DQ11" s="34"/>
      <c r="DR11" s="34"/>
      <c r="DS11" s="34"/>
      <c r="DT11" s="34"/>
      <c r="DU11" s="34"/>
      <c r="DV11" s="34"/>
      <c r="DW11" s="34"/>
      <c r="DX11" s="34"/>
      <c r="DY11" s="34"/>
      <c r="DZ11" s="34"/>
      <c r="EA11" s="34"/>
      <c r="EB11" s="34"/>
      <c r="EC11" s="34"/>
      <c r="ED11" s="34"/>
      <c r="EE11" s="34"/>
      <c r="EF11" s="34"/>
      <c r="EG11" s="34"/>
      <c r="EH11" s="34"/>
      <c r="EI11" s="34"/>
      <c r="EJ11" s="34"/>
      <c r="EK11" s="34"/>
      <c r="EL11" s="34"/>
      <c r="EM11" s="34"/>
      <c r="EN11" s="34"/>
      <c r="EO11" s="34"/>
      <c r="EP11" s="34"/>
      <c r="EQ11" s="34"/>
      <c r="ER11" s="34"/>
      <c r="ES11" s="34"/>
      <c r="ET11" s="34"/>
      <c r="EU11" s="34"/>
      <c r="EV11" s="34"/>
      <c r="EW11" s="34"/>
      <c r="EX11" s="34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VerifyShortLocateGrid1!$4:$4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IFERROR(__xludf.DUMMYFUNCTION("IF(C3="""","""",Transpose(IMPORTRANGE('_Settings'!$B$3,C3&amp;""!A4:A1000"")))"),"ImportOnShortLocate")</f>
        <v>ImportOnShortLocate</v>
      </c>
      <c r="C4" s="24" t="str">
        <f>IFERROR(__xludf.DUMMYFUNCTION("""COMPUTED_VALUE"""),"ApplyFilterOnShortLocate")</f>
        <v>ApplyFilterOnShortLocate</v>
      </c>
      <c r="D4" s="24" t="str">
        <f>IFERROR(__xludf.DUMMYFUNCTION("""COMPUTED_VALUE"""),"OpenTTFromShortLocate")</f>
        <v>OpenTTFromShortLocate</v>
      </c>
      <c r="E4" s="24" t="str">
        <f>IFERROR(__xludf.DUMMYFUNCTION("""COMPUTED_VALUE"""),"Upload")</f>
        <v>Upload</v>
      </c>
      <c r="F4" s="24" t="str">
        <f>IFERROR(__xludf.DUMMYFUNCTION("""COMPUTED_VALUE"""),"VerifyShortLocateGrid")</f>
        <v>VerifyShortLocateGrid</v>
      </c>
      <c r="G4" s="24" t="str">
        <f>IFERROR(__xludf.DUMMYFUNCTION("""COMPUTED_VALUE"""),"DownloadFile")</f>
        <v>DownloadFile</v>
      </c>
      <c r="H4" s="24" t="str">
        <f>IFERROR(__xludf.DUMMYFUNCTION("""COMPUTED_VALUE"""),"SearchShortLocateUI")</f>
        <v>SearchShortLocateUI</v>
      </c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IFERROR(__xludf.DUMMYFUNCTION("""COMPUTED_VALUE"""),"ColumnName")</f>
        <v>ColumnName</v>
      </c>
      <c r="C5" s="27" t="str">
        <f>IFERROR(__xludf.DUMMYFUNCTION("""COMPUTED_VALUE"""),"FilterList")</f>
        <v>FilterList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3"/>
      <c r="B6" s="43" t="s">
        <v>41</v>
      </c>
      <c r="C6" s="39" t="s">
        <v>34</v>
      </c>
      <c r="D6" s="33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ApplyFilterOnShortLocate!$4:$4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42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IFERROR(__xludf.DUMMYFUNCTION("IF(C3="""","""",Transpose(IMPORTRANGE('_Settings'!$B$3,C3&amp;""!A4:A1000"")))"),"ImportOnShortLocate")</f>
        <v>ImportOnShortLocate</v>
      </c>
      <c r="C4" s="24" t="str">
        <f>IFERROR(__xludf.DUMMYFUNCTION("""COMPUTED_VALUE"""),"ApplyFilterOnShortLocate")</f>
        <v>ApplyFilterOnShortLocate</v>
      </c>
      <c r="D4" s="24" t="str">
        <f>IFERROR(__xludf.DUMMYFUNCTION("""COMPUTED_VALUE"""),"OpenTTFromShortLocate")</f>
        <v>OpenTTFromShortLocate</v>
      </c>
      <c r="E4" s="24" t="str">
        <f>IFERROR(__xludf.DUMMYFUNCTION("""COMPUTED_VALUE"""),"Upload")</f>
        <v>Upload</v>
      </c>
      <c r="F4" s="24" t="str">
        <f>IFERROR(__xludf.DUMMYFUNCTION("""COMPUTED_VALUE"""),"VerifyShortLocateGrid")</f>
        <v>VerifyShortLocateGrid</v>
      </c>
      <c r="G4" s="24" t="str">
        <f>IFERROR(__xludf.DUMMYFUNCTION("""COMPUTED_VALUE"""),"DownloadFile")</f>
        <v>DownloadFile</v>
      </c>
      <c r="H4" s="24" t="str">
        <f>IFERROR(__xludf.DUMMYFUNCTION("""COMPUTED_VALUE"""),"SearchShortLocateUI")</f>
        <v>SearchShortLocateUI</v>
      </c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IFERROR(__xludf.DUMMYFUNCTION("""COMPUTED_VALUE"""),"Borrow Broker")</f>
        <v>Borrow Broker</v>
      </c>
      <c r="D5" s="27" t="str">
        <f>IFERROR(__xludf.DUMMYFUNCTION("""COMPUTED_VALUE"""),"Last PX")</f>
        <v>Last PX</v>
      </c>
      <c r="E5" s="27" t="str">
        <f>IFERROR(__xludf.DUMMYFUNCTION("""COMPUTED_VALUE"""),"Trade Quantity")</f>
        <v>Trade Quantity</v>
      </c>
      <c r="F5" s="28" t="str">
        <f>IFERROR(__xludf.DUMMYFUNCTION("""COMPUTED_VALUE"""),"Borrow Shares Available")</f>
        <v>Borrow Shares Available</v>
      </c>
      <c r="G5" s="27" t="str">
        <f>IFERROR(__xludf.DUMMYFUNCTION("""COMPUTED_VALUE"""),"Borrow Rate(%)")</f>
        <v>Borrow Rate(%)</v>
      </c>
      <c r="H5" s="27" t="str">
        <f>IFERROR(__xludf.DUMMYFUNCTION("""COMPUTED_VALUE"""),"Total Borrow Value")</f>
        <v>Total Borrow Value</v>
      </c>
      <c r="I5" s="27" t="str">
        <f>IFERROR(__xludf.DUMMYFUNCTION("""COMPUTED_VALUE"""),"Borrower ID")</f>
        <v>Borrower ID</v>
      </c>
      <c r="J5" s="27" t="str">
        <f>IFERROR(__xludf.DUMMYFUNCTION("""COMPUTED_VALUE"""),"Borrowed Share")</f>
        <v>Borrowed Share</v>
      </c>
      <c r="K5" s="27" t="str">
        <f>IFERROR(__xludf.DUMMYFUNCTION("""COMPUTED_VALUE"""),"Borrowed Rate(%)")</f>
        <v>Borrowed Rate(%)</v>
      </c>
      <c r="L5" s="27" t="str">
        <f>IFERROR(__xludf.DUMMYFUNCTION("""COMPUTED_VALUE"""),"Total Borrowed Value")</f>
        <v>Total Borrowed Value</v>
      </c>
      <c r="M5" s="27" t="str">
        <f>IFERROR(__xludf.DUMMYFUNCTION("""COMPUTED_VALUE"""),"SOD Borrow share Available")</f>
        <v>SOD Borrow share Available</v>
      </c>
      <c r="N5" s="27" t="str">
        <f>IFERROR(__xludf.DUMMYFUNCTION("""COMPUTED_VALUE"""),"SOD BorrowRate(%)")</f>
        <v>SOD BorrowRate(%)</v>
      </c>
      <c r="O5" s="27" t="str">
        <f>IFERROR(__xludf.DUMMYFUNCTION("""COMPUTED_VALUE"""),"Status Source")</f>
        <v>Status Source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3" t="s">
        <v>34</v>
      </c>
      <c r="C6" s="39" t="s">
        <v>20</v>
      </c>
      <c r="D6" s="43"/>
      <c r="E6" s="39"/>
      <c r="F6" s="38">
        <v>60000.0</v>
      </c>
      <c r="G6" s="38">
        <v>2.0</v>
      </c>
      <c r="H6" s="39"/>
      <c r="I6" s="39" t="s">
        <v>35</v>
      </c>
      <c r="J6" s="39"/>
      <c r="K6" s="39"/>
      <c r="L6" s="39"/>
      <c r="M6" s="38">
        <v>60000.0</v>
      </c>
      <c r="N6" s="38">
        <v>2.0</v>
      </c>
      <c r="O6" s="39" t="s">
        <v>25</v>
      </c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OpenTTFromShortLocate!$4:$4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43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 t="str">
        <f>IFERROR(__xludf.DUMMYFUNCTION("""COMPUTED_VALUE"""),"ViewAllocation")</f>
        <v>ViewAllocation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IFERROR(__xludf.DUMMYFUNCTION("""COMPUTED_VALUE"""),"Rate(%)")</f>
        <v>Rate(%)</v>
      </c>
      <c r="AS5" s="29" t="str">
        <f>IFERROR(__xludf.DUMMYFUNCTION("""COMPUTED_VALUE"""),"SharesOutstandingPopUpQty")</f>
        <v>SharesOutstandingPopUpQty</v>
      </c>
      <c r="AT5" s="29" t="str">
        <f>IFERROR(__xludf.DUMMYFUNCTION("""COMPUTED_VALUE"""),"SharesOutstandingPopUp")</f>
        <v>SharesOutstandingPopUp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3" t="s">
        <v>34</v>
      </c>
      <c r="C6" s="32"/>
      <c r="D6" s="44">
        <v>1000.0</v>
      </c>
      <c r="E6" s="32"/>
      <c r="F6" s="45" t="s">
        <v>45</v>
      </c>
      <c r="G6" s="32" t="s">
        <v>20</v>
      </c>
      <c r="H6" s="32"/>
      <c r="I6" s="32"/>
      <c r="J6" s="38">
        <v>10.0</v>
      </c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46" t="b">
        <v>1</v>
      </c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IFERROR(__xludf.DUMMYFUNCTION("IF(C3="""","""",Transpose(IMPORTRANGE('_Settings'!$B$3,C3&amp;""!A4:A1000"")))"),"ImportOnShortLocate")</f>
        <v>ImportOnShortLocate</v>
      </c>
      <c r="C4" s="24" t="str">
        <f>IFERROR(__xludf.DUMMYFUNCTION("""COMPUTED_VALUE"""),"ApplyFilterOnShortLocate")</f>
        <v>ApplyFilterOnShortLocate</v>
      </c>
      <c r="D4" s="24" t="str">
        <f>IFERROR(__xludf.DUMMYFUNCTION("""COMPUTED_VALUE"""),"OpenTTFromShortLocate")</f>
        <v>OpenTTFromShortLocate</v>
      </c>
      <c r="E4" s="24" t="str">
        <f>IFERROR(__xludf.DUMMYFUNCTION("""COMPUTED_VALUE"""),"Upload")</f>
        <v>Upload</v>
      </c>
      <c r="F4" s="24" t="str">
        <f>IFERROR(__xludf.DUMMYFUNCTION("""COMPUTED_VALUE"""),"VerifyShortLocateGrid")</f>
        <v>VerifyShortLocateGrid</v>
      </c>
      <c r="G4" s="24" t="str">
        <f>IFERROR(__xludf.DUMMYFUNCTION("""COMPUTED_VALUE"""),"DownloadFile")</f>
        <v>DownloadFile</v>
      </c>
      <c r="H4" s="24" t="str">
        <f>IFERROR(__xludf.DUMMYFUNCTION("""COMPUTED_VALUE"""),"SearchShortLocateUI")</f>
        <v>SearchShortLocateUI</v>
      </c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IFERROR(__xludf.DUMMYFUNCTION("""COMPUTED_VALUE"""),"Borrow Broker")</f>
        <v>Borrow Broker</v>
      </c>
      <c r="D5" s="27" t="str">
        <f>IFERROR(__xludf.DUMMYFUNCTION("""COMPUTED_VALUE"""),"Last PX")</f>
        <v>Last PX</v>
      </c>
      <c r="E5" s="27" t="str">
        <f>IFERROR(__xludf.DUMMYFUNCTION("""COMPUTED_VALUE"""),"Trade Quantity")</f>
        <v>Trade Quantity</v>
      </c>
      <c r="F5" s="28" t="str">
        <f>IFERROR(__xludf.DUMMYFUNCTION("""COMPUTED_VALUE"""),"Borrow Shares Available")</f>
        <v>Borrow Shares Available</v>
      </c>
      <c r="G5" s="27" t="str">
        <f>IFERROR(__xludf.DUMMYFUNCTION("""COMPUTED_VALUE"""),"Borrow Rate(%)")</f>
        <v>Borrow Rate(%)</v>
      </c>
      <c r="H5" s="27" t="str">
        <f>IFERROR(__xludf.DUMMYFUNCTION("""COMPUTED_VALUE"""),"Total Borrow Value")</f>
        <v>Total Borrow Value</v>
      </c>
      <c r="I5" s="27" t="str">
        <f>IFERROR(__xludf.DUMMYFUNCTION("""COMPUTED_VALUE"""),"Borrower ID")</f>
        <v>Borrower ID</v>
      </c>
      <c r="J5" s="27" t="str">
        <f>IFERROR(__xludf.DUMMYFUNCTION("""COMPUTED_VALUE"""),"Borrowed Share")</f>
        <v>Borrowed Share</v>
      </c>
      <c r="K5" s="27" t="str">
        <f>IFERROR(__xludf.DUMMYFUNCTION("""COMPUTED_VALUE"""),"Borrowed Rate(%)")</f>
        <v>Borrowed Rate(%)</v>
      </c>
      <c r="L5" s="27" t="str">
        <f>IFERROR(__xludf.DUMMYFUNCTION("""COMPUTED_VALUE"""),"Total Borrowed Value")</f>
        <v>Total Borrowed Value</v>
      </c>
      <c r="M5" s="27" t="str">
        <f>IFERROR(__xludf.DUMMYFUNCTION("""COMPUTED_VALUE"""),"SOD Borrow share Available")</f>
        <v>SOD Borrow share Available</v>
      </c>
      <c r="N5" s="27" t="str">
        <f>IFERROR(__xludf.DUMMYFUNCTION("""COMPUTED_VALUE"""),"SOD BorrowRate(%)")</f>
        <v>SOD BorrowRate(%)</v>
      </c>
      <c r="O5" s="27" t="str">
        <f>IFERROR(__xludf.DUMMYFUNCTION("""COMPUTED_VALUE"""),"Status Source")</f>
        <v>Status Source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3" t="s">
        <v>23</v>
      </c>
      <c r="C6" s="39" t="s">
        <v>20</v>
      </c>
      <c r="D6" s="37">
        <v>0.0</v>
      </c>
      <c r="E6" s="38">
        <v>0.0</v>
      </c>
      <c r="F6" s="38">
        <v>10000.0</v>
      </c>
      <c r="G6" s="38">
        <v>2.0</v>
      </c>
      <c r="H6" s="38">
        <v>0.0</v>
      </c>
      <c r="I6" s="39" t="s">
        <v>24</v>
      </c>
      <c r="J6" s="38">
        <v>0.0</v>
      </c>
      <c r="K6" s="38">
        <v>0.0</v>
      </c>
      <c r="L6" s="38">
        <v>0.0</v>
      </c>
      <c r="M6" s="38">
        <v>10000.0</v>
      </c>
      <c r="N6" s="38">
        <v>2.0</v>
      </c>
      <c r="O6" s="39" t="s">
        <v>25</v>
      </c>
      <c r="P6" s="39"/>
      <c r="Q6" s="39"/>
      <c r="R6" s="39"/>
      <c r="S6" s="39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 t="s">
        <v>26</v>
      </c>
      <c r="C7" s="34" t="s">
        <v>20</v>
      </c>
      <c r="D7" s="40">
        <v>0.0</v>
      </c>
      <c r="E7" s="40">
        <v>0.0</v>
      </c>
      <c r="F7" s="40">
        <v>20000.0</v>
      </c>
      <c r="G7" s="40">
        <v>2.0</v>
      </c>
      <c r="H7" s="40">
        <v>0.0</v>
      </c>
      <c r="I7" s="41" t="s">
        <v>27</v>
      </c>
      <c r="J7" s="40">
        <v>0.0</v>
      </c>
      <c r="K7" s="40">
        <v>0.0</v>
      </c>
      <c r="L7" s="40">
        <v>0.0</v>
      </c>
      <c r="M7" s="40">
        <v>20000.0</v>
      </c>
      <c r="N7" s="40">
        <v>2.0</v>
      </c>
      <c r="O7" s="34" t="s">
        <v>25</v>
      </c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4" t="s">
        <v>28</v>
      </c>
      <c r="C8" s="34" t="s">
        <v>20</v>
      </c>
      <c r="D8" s="40">
        <v>0.0</v>
      </c>
      <c r="E8" s="40">
        <v>0.0</v>
      </c>
      <c r="F8" s="40">
        <v>30000.0</v>
      </c>
      <c r="G8" s="40">
        <v>2.0</v>
      </c>
      <c r="H8" s="40">
        <v>0.0</v>
      </c>
      <c r="I8" s="41" t="s">
        <v>29</v>
      </c>
      <c r="J8" s="40">
        <v>0.0</v>
      </c>
      <c r="K8" s="40">
        <v>0.0</v>
      </c>
      <c r="L8" s="40">
        <v>0.0</v>
      </c>
      <c r="M8" s="40">
        <v>30000.0</v>
      </c>
      <c r="N8" s="40">
        <v>2.0</v>
      </c>
      <c r="O8" s="34" t="s">
        <v>25</v>
      </c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34"/>
      <c r="B9" s="34" t="s">
        <v>30</v>
      </c>
      <c r="C9" s="34" t="s">
        <v>20</v>
      </c>
      <c r="D9" s="40">
        <v>0.0</v>
      </c>
      <c r="E9" s="40">
        <v>0.0</v>
      </c>
      <c r="F9" s="40">
        <v>40000.0</v>
      </c>
      <c r="G9" s="40">
        <v>2.0</v>
      </c>
      <c r="H9" s="40">
        <v>0.0</v>
      </c>
      <c r="I9" s="41" t="s">
        <v>31</v>
      </c>
      <c r="J9" s="40">
        <v>0.0</v>
      </c>
      <c r="K9" s="40">
        <v>0.0</v>
      </c>
      <c r="L9" s="40">
        <v>0.0</v>
      </c>
      <c r="M9" s="40">
        <v>40000.0</v>
      </c>
      <c r="N9" s="40">
        <v>2.0</v>
      </c>
      <c r="O9" s="34" t="s">
        <v>25</v>
      </c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34"/>
      <c r="B10" s="34" t="s">
        <v>32</v>
      </c>
      <c r="C10" s="34" t="s">
        <v>20</v>
      </c>
      <c r="D10" s="40">
        <v>0.0</v>
      </c>
      <c r="E10" s="40">
        <v>0.0</v>
      </c>
      <c r="F10" s="40">
        <v>6000.0</v>
      </c>
      <c r="G10" s="40">
        <v>2.0</v>
      </c>
      <c r="H10" s="40">
        <v>0.0</v>
      </c>
      <c r="I10" s="41" t="s">
        <v>33</v>
      </c>
      <c r="J10" s="40">
        <v>0.0</v>
      </c>
      <c r="K10" s="40">
        <v>0.0</v>
      </c>
      <c r="L10" s="40">
        <v>0.0</v>
      </c>
      <c r="M10" s="40">
        <v>6000.0</v>
      </c>
      <c r="N10" s="40">
        <v>2.0</v>
      </c>
      <c r="O10" s="34" t="s">
        <v>25</v>
      </c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  <c r="CA10" s="34"/>
      <c r="CB10" s="34"/>
      <c r="CC10" s="34"/>
      <c r="CD10" s="34"/>
      <c r="CE10" s="34"/>
      <c r="CF10" s="34"/>
      <c r="CG10" s="34"/>
      <c r="CH10" s="34"/>
      <c r="CI10" s="34"/>
      <c r="CJ10" s="34"/>
      <c r="CK10" s="34"/>
      <c r="CL10" s="34"/>
      <c r="CM10" s="34"/>
      <c r="CN10" s="34"/>
      <c r="CO10" s="34"/>
      <c r="CP10" s="34"/>
      <c r="CQ10" s="34"/>
      <c r="CR10" s="34"/>
      <c r="CS10" s="34"/>
      <c r="CT10" s="34"/>
      <c r="CU10" s="34"/>
      <c r="CV10" s="34"/>
      <c r="CW10" s="34"/>
      <c r="CX10" s="34"/>
      <c r="CY10" s="34"/>
      <c r="CZ10" s="34"/>
      <c r="DA10" s="34"/>
      <c r="DB10" s="34"/>
      <c r="DC10" s="34"/>
      <c r="DD10" s="34"/>
      <c r="DE10" s="34"/>
      <c r="DF10" s="34"/>
      <c r="DG10" s="34"/>
      <c r="DH10" s="34"/>
      <c r="DI10" s="34"/>
      <c r="DJ10" s="34"/>
      <c r="DK10" s="34"/>
      <c r="DL10" s="34"/>
      <c r="DM10" s="34"/>
      <c r="DN10" s="34"/>
      <c r="DO10" s="34"/>
      <c r="DP10" s="34"/>
      <c r="DQ10" s="34"/>
      <c r="DR10" s="34"/>
      <c r="DS10" s="34"/>
      <c r="DT10" s="34"/>
      <c r="DU10" s="34"/>
      <c r="DV10" s="34"/>
      <c r="DW10" s="34"/>
      <c r="DX10" s="34"/>
      <c r="DY10" s="34"/>
      <c r="DZ10" s="34"/>
      <c r="EA10" s="34"/>
      <c r="EB10" s="34"/>
      <c r="EC10" s="34"/>
      <c r="ED10" s="34"/>
      <c r="EE10" s="34"/>
      <c r="EF10" s="34"/>
      <c r="EG10" s="34"/>
      <c r="EH10" s="34"/>
      <c r="EI10" s="34"/>
      <c r="EJ10" s="34"/>
      <c r="EK10" s="34"/>
      <c r="EL10" s="34"/>
      <c r="EM10" s="34"/>
      <c r="EN10" s="34"/>
      <c r="EO10" s="34"/>
      <c r="EP10" s="34"/>
      <c r="EQ10" s="34"/>
      <c r="ER10" s="34"/>
      <c r="ES10" s="34"/>
      <c r="ET10" s="34"/>
      <c r="EU10" s="34"/>
      <c r="EV10" s="34"/>
      <c r="EW10" s="34"/>
      <c r="EX10" s="34"/>
    </row>
    <row r="11" ht="15.75" customHeight="1">
      <c r="A11" s="34"/>
      <c r="B11" s="34" t="s">
        <v>34</v>
      </c>
      <c r="C11" s="34" t="s">
        <v>20</v>
      </c>
      <c r="D11" s="40">
        <v>0.0</v>
      </c>
      <c r="E11" s="40">
        <v>0.0</v>
      </c>
      <c r="F11" s="47">
        <v>59000.0</v>
      </c>
      <c r="G11" s="40">
        <v>2.0</v>
      </c>
      <c r="H11" s="40">
        <v>0.0</v>
      </c>
      <c r="I11" s="41" t="s">
        <v>35</v>
      </c>
      <c r="J11" s="47">
        <v>1000.0</v>
      </c>
      <c r="K11" s="40">
        <v>2.0</v>
      </c>
      <c r="L11" s="40">
        <v>0.0</v>
      </c>
      <c r="M11" s="40">
        <v>60000.0</v>
      </c>
      <c r="N11" s="40">
        <v>2.0</v>
      </c>
      <c r="O11" s="34" t="s">
        <v>25</v>
      </c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4"/>
      <c r="AV11" s="34"/>
      <c r="AW11" s="34"/>
      <c r="AX11" s="34"/>
      <c r="AY11" s="34"/>
      <c r="AZ11" s="34"/>
      <c r="BA11" s="34"/>
      <c r="BB11" s="34"/>
      <c r="BC11" s="34"/>
      <c r="BD11" s="34"/>
      <c r="BE11" s="34"/>
      <c r="BF11" s="34"/>
      <c r="BG11" s="34"/>
      <c r="BH11" s="34"/>
      <c r="BI11" s="34"/>
      <c r="BJ11" s="34"/>
      <c r="BK11" s="34"/>
      <c r="BL11" s="34"/>
      <c r="BM11" s="34"/>
      <c r="BN11" s="34"/>
      <c r="BO11" s="34"/>
      <c r="BP11" s="34"/>
      <c r="BQ11" s="34"/>
      <c r="BR11" s="34"/>
      <c r="BS11" s="34"/>
      <c r="BT11" s="34"/>
      <c r="BU11" s="34"/>
      <c r="BV11" s="34"/>
      <c r="BW11" s="34"/>
      <c r="BX11" s="34"/>
      <c r="BY11" s="34"/>
      <c r="BZ11" s="34"/>
      <c r="CA11" s="34"/>
      <c r="CB11" s="34"/>
      <c r="CC11" s="34"/>
      <c r="CD11" s="34"/>
      <c r="CE11" s="34"/>
      <c r="CF11" s="34"/>
      <c r="CG11" s="34"/>
      <c r="CH11" s="34"/>
      <c r="CI11" s="34"/>
      <c r="CJ11" s="34"/>
      <c r="CK11" s="34"/>
      <c r="CL11" s="34"/>
      <c r="CM11" s="34"/>
      <c r="CN11" s="34"/>
      <c r="CO11" s="34"/>
      <c r="CP11" s="34"/>
      <c r="CQ11" s="34"/>
      <c r="CR11" s="34"/>
      <c r="CS11" s="34"/>
      <c r="CT11" s="34"/>
      <c r="CU11" s="34"/>
      <c r="CV11" s="34"/>
      <c r="CW11" s="34"/>
      <c r="CX11" s="34"/>
      <c r="CY11" s="34"/>
      <c r="CZ11" s="34"/>
      <c r="DA11" s="34"/>
      <c r="DB11" s="34"/>
      <c r="DC11" s="34"/>
      <c r="DD11" s="34"/>
      <c r="DE11" s="34"/>
      <c r="DF11" s="34"/>
      <c r="DG11" s="34"/>
      <c r="DH11" s="34"/>
      <c r="DI11" s="34"/>
      <c r="DJ11" s="34"/>
      <c r="DK11" s="34"/>
      <c r="DL11" s="34"/>
      <c r="DM11" s="34"/>
      <c r="DN11" s="34"/>
      <c r="DO11" s="34"/>
      <c r="DP11" s="34"/>
      <c r="DQ11" s="34"/>
      <c r="DR11" s="34"/>
      <c r="DS11" s="34"/>
      <c r="DT11" s="34"/>
      <c r="DU11" s="34"/>
      <c r="DV11" s="34"/>
      <c r="DW11" s="34"/>
      <c r="DX11" s="34"/>
      <c r="DY11" s="34"/>
      <c r="DZ11" s="34"/>
      <c r="EA11" s="34"/>
      <c r="EB11" s="34"/>
      <c r="EC11" s="34"/>
      <c r="ED11" s="34"/>
      <c r="EE11" s="34"/>
      <c r="EF11" s="34"/>
      <c r="EG11" s="34"/>
      <c r="EH11" s="34"/>
      <c r="EI11" s="34"/>
      <c r="EJ11" s="34"/>
      <c r="EK11" s="34"/>
      <c r="EL11" s="34"/>
      <c r="EM11" s="34"/>
      <c r="EN11" s="34"/>
      <c r="EO11" s="34"/>
      <c r="EP11" s="34"/>
      <c r="EQ11" s="34"/>
      <c r="ER11" s="34"/>
      <c r="ES11" s="34"/>
      <c r="ET11" s="34"/>
      <c r="EU11" s="34"/>
      <c r="EV11" s="34"/>
      <c r="EW11" s="34"/>
      <c r="EX11" s="34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VerifyShortLocateGrid2!$4:$4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IFERROR(__xludf.DUMMYFUNCTION("IF(C3="""","""",Transpose(IMPORTRANGE('_Settings'!$B$3,C3&amp;""!A4:A1000"")))"),"RestartClient")</f>
        <v>RestartClient</v>
      </c>
      <c r="C4" s="24" t="str">
        <f>IFERROR(__xludf.DUMMYFUNCTION("""COMPUTED_VALUE"""),"UpdateClientConfig")</f>
        <v>UpdateClientConfig</v>
      </c>
      <c r="D4" s="24" t="str">
        <f>IFERROR(__xludf.DUMMYFUNCTION("""COMPUTED_VALUE"""),"LoginClient")</f>
        <v>LoginClient</v>
      </c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IFERROR(__xludf.DUMMYFUNCTION("""COMPUTED_VALUE"""),"LoginUserName")</f>
        <v>LoginUserName</v>
      </c>
      <c r="C5" s="27" t="str">
        <f>IFERROR(__xludf.DUMMYFUNCTION("""COMPUTED_VALUE"""),"LoginPassword")</f>
        <v>LoginPassword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46</v>
      </c>
      <c r="C6" s="11" t="s">
        <v>39</v>
      </c>
      <c r="D6" s="11"/>
      <c r="E6" s="4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LoginClient1!$4:$4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IFERROR(__xludf.DUMMYFUNCTION("IF(C3="""","""",Transpose(IMPORTRANGE('_Settings'!$B$3,C3&amp;""!A4:A1000"")))"),"ImportOnShortLocate")</f>
        <v>ImportOnShortLocate</v>
      </c>
      <c r="C4" s="24" t="str">
        <f>IFERROR(__xludf.DUMMYFUNCTION("""COMPUTED_VALUE"""),"ApplyFilterOnShortLocate")</f>
        <v>ApplyFilterOnShortLocate</v>
      </c>
      <c r="D4" s="24" t="str">
        <f>IFERROR(__xludf.DUMMYFUNCTION("""COMPUTED_VALUE"""),"OpenTTFromShortLocate")</f>
        <v>OpenTTFromShortLocate</v>
      </c>
      <c r="E4" s="24" t="str">
        <f>IFERROR(__xludf.DUMMYFUNCTION("""COMPUTED_VALUE"""),"Upload")</f>
        <v>Upload</v>
      </c>
      <c r="F4" s="24" t="str">
        <f>IFERROR(__xludf.DUMMYFUNCTION("""COMPUTED_VALUE"""),"VerifyShortLocateGrid")</f>
        <v>VerifyShortLocateGrid</v>
      </c>
      <c r="G4" s="24" t="str">
        <f>IFERROR(__xludf.DUMMYFUNCTION("""COMPUTED_VALUE"""),"DownloadFile")</f>
        <v>DownloadFile</v>
      </c>
      <c r="H4" s="24" t="str">
        <f>IFERROR(__xludf.DUMMYFUNCTION("""COMPUTED_VALUE"""),"SearchShortLocateUI")</f>
        <v>SearchShortLocateUI</v>
      </c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IFERROR(__xludf.DUMMYFUNCTION("""COMPUTED_VALUE"""),"Borrow Broker")</f>
        <v>Borrow Broker</v>
      </c>
      <c r="D5" s="27" t="str">
        <f>IFERROR(__xludf.DUMMYFUNCTION("""COMPUTED_VALUE"""),"Last PX")</f>
        <v>Last PX</v>
      </c>
      <c r="E5" s="27" t="str">
        <f>IFERROR(__xludf.DUMMYFUNCTION("""COMPUTED_VALUE"""),"Trade Quantity")</f>
        <v>Trade Quantity</v>
      </c>
      <c r="F5" s="28" t="str">
        <f>IFERROR(__xludf.DUMMYFUNCTION("""COMPUTED_VALUE"""),"Borrow Shares Available")</f>
        <v>Borrow Shares Available</v>
      </c>
      <c r="G5" s="27" t="str">
        <f>IFERROR(__xludf.DUMMYFUNCTION("""COMPUTED_VALUE"""),"Borrow Rate(%)")</f>
        <v>Borrow Rate(%)</v>
      </c>
      <c r="H5" s="27" t="str">
        <f>IFERROR(__xludf.DUMMYFUNCTION("""COMPUTED_VALUE"""),"Total Borrow Value")</f>
        <v>Total Borrow Value</v>
      </c>
      <c r="I5" s="27" t="str">
        <f>IFERROR(__xludf.DUMMYFUNCTION("""COMPUTED_VALUE"""),"Borrower ID")</f>
        <v>Borrower ID</v>
      </c>
      <c r="J5" s="27" t="str">
        <f>IFERROR(__xludf.DUMMYFUNCTION("""COMPUTED_VALUE"""),"Borrowed Share")</f>
        <v>Borrowed Share</v>
      </c>
      <c r="K5" s="27" t="str">
        <f>IFERROR(__xludf.DUMMYFUNCTION("""COMPUTED_VALUE"""),"Borrowed Rate(%)")</f>
        <v>Borrowed Rate(%)</v>
      </c>
      <c r="L5" s="27" t="str">
        <f>IFERROR(__xludf.DUMMYFUNCTION("""COMPUTED_VALUE"""),"Total Borrowed Value")</f>
        <v>Total Borrowed Value</v>
      </c>
      <c r="M5" s="27" t="str">
        <f>IFERROR(__xludf.DUMMYFUNCTION("""COMPUTED_VALUE"""),"SOD Borrow share Available")</f>
        <v>SOD Borrow share Available</v>
      </c>
      <c r="N5" s="27" t="str">
        <f>IFERROR(__xludf.DUMMYFUNCTION("""COMPUTED_VALUE"""),"SOD BorrowRate(%)")</f>
        <v>SOD BorrowRate(%)</v>
      </c>
      <c r="O5" s="27" t="str">
        <f>IFERROR(__xludf.DUMMYFUNCTION("""COMPUTED_VALUE"""),"Status Source")</f>
        <v>Status Source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3" t="s">
        <v>23</v>
      </c>
      <c r="C6" s="39" t="s">
        <v>20</v>
      </c>
      <c r="D6" s="37">
        <v>0.0</v>
      </c>
      <c r="E6" s="38">
        <v>0.0</v>
      </c>
      <c r="F6" s="38">
        <v>10000.0</v>
      </c>
      <c r="G6" s="38">
        <v>2.0</v>
      </c>
      <c r="H6" s="38">
        <v>0.0</v>
      </c>
      <c r="I6" s="39" t="s">
        <v>24</v>
      </c>
      <c r="J6" s="38">
        <v>0.0</v>
      </c>
      <c r="K6" s="38">
        <v>0.0</v>
      </c>
      <c r="L6" s="38">
        <v>0.0</v>
      </c>
      <c r="M6" s="38">
        <v>10000.0</v>
      </c>
      <c r="N6" s="38">
        <v>2.0</v>
      </c>
      <c r="O6" s="39" t="s">
        <v>25</v>
      </c>
      <c r="P6" s="39"/>
      <c r="Q6" s="39"/>
      <c r="R6" s="39"/>
      <c r="S6" s="39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 t="s">
        <v>26</v>
      </c>
      <c r="C7" s="34" t="s">
        <v>20</v>
      </c>
      <c r="D7" s="40">
        <v>0.0</v>
      </c>
      <c r="E7" s="40">
        <v>0.0</v>
      </c>
      <c r="F7" s="40">
        <v>20000.0</v>
      </c>
      <c r="G7" s="40">
        <v>2.0</v>
      </c>
      <c r="H7" s="40">
        <v>0.0</v>
      </c>
      <c r="I7" s="41" t="s">
        <v>27</v>
      </c>
      <c r="J7" s="40">
        <v>0.0</v>
      </c>
      <c r="K7" s="40">
        <v>0.0</v>
      </c>
      <c r="L7" s="40">
        <v>0.0</v>
      </c>
      <c r="M7" s="40">
        <v>20000.0</v>
      </c>
      <c r="N7" s="40">
        <v>2.0</v>
      </c>
      <c r="O7" s="34" t="s">
        <v>25</v>
      </c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4" t="s">
        <v>28</v>
      </c>
      <c r="C8" s="34" t="s">
        <v>20</v>
      </c>
      <c r="D8" s="40">
        <v>0.0</v>
      </c>
      <c r="E8" s="40">
        <v>0.0</v>
      </c>
      <c r="F8" s="40">
        <v>30000.0</v>
      </c>
      <c r="G8" s="40">
        <v>2.0</v>
      </c>
      <c r="H8" s="40">
        <v>0.0</v>
      </c>
      <c r="I8" s="41" t="s">
        <v>29</v>
      </c>
      <c r="J8" s="40">
        <v>0.0</v>
      </c>
      <c r="K8" s="40">
        <v>0.0</v>
      </c>
      <c r="L8" s="40">
        <v>0.0</v>
      </c>
      <c r="M8" s="40">
        <v>30000.0</v>
      </c>
      <c r="N8" s="40">
        <v>2.0</v>
      </c>
      <c r="O8" s="34" t="s">
        <v>25</v>
      </c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34"/>
      <c r="B9" s="34" t="s">
        <v>30</v>
      </c>
      <c r="C9" s="34" t="s">
        <v>20</v>
      </c>
      <c r="D9" s="40">
        <v>0.0</v>
      </c>
      <c r="E9" s="40">
        <v>0.0</v>
      </c>
      <c r="F9" s="40">
        <v>40000.0</v>
      </c>
      <c r="G9" s="40">
        <v>2.0</v>
      </c>
      <c r="H9" s="40">
        <v>0.0</v>
      </c>
      <c r="I9" s="41" t="s">
        <v>31</v>
      </c>
      <c r="J9" s="40">
        <v>0.0</v>
      </c>
      <c r="K9" s="40">
        <v>0.0</v>
      </c>
      <c r="L9" s="40">
        <v>0.0</v>
      </c>
      <c r="M9" s="40">
        <v>40000.0</v>
      </c>
      <c r="N9" s="40">
        <v>2.0</v>
      </c>
      <c r="O9" s="34" t="s">
        <v>25</v>
      </c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34"/>
      <c r="B10" s="34" t="s">
        <v>32</v>
      </c>
      <c r="C10" s="34" t="s">
        <v>20</v>
      </c>
      <c r="D10" s="40">
        <v>0.0</v>
      </c>
      <c r="E10" s="40">
        <v>0.0</v>
      </c>
      <c r="F10" s="40">
        <v>6000.0</v>
      </c>
      <c r="G10" s="40">
        <v>2.0</v>
      </c>
      <c r="H10" s="40">
        <v>0.0</v>
      </c>
      <c r="I10" s="41" t="s">
        <v>33</v>
      </c>
      <c r="J10" s="40">
        <v>0.0</v>
      </c>
      <c r="K10" s="40">
        <v>0.0</v>
      </c>
      <c r="L10" s="40">
        <v>0.0</v>
      </c>
      <c r="M10" s="40">
        <v>6000.0</v>
      </c>
      <c r="N10" s="40">
        <v>2.0</v>
      </c>
      <c r="O10" s="34" t="s">
        <v>25</v>
      </c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  <c r="CA10" s="34"/>
      <c r="CB10" s="34"/>
      <c r="CC10" s="34"/>
      <c r="CD10" s="34"/>
      <c r="CE10" s="34"/>
      <c r="CF10" s="34"/>
      <c r="CG10" s="34"/>
      <c r="CH10" s="34"/>
      <c r="CI10" s="34"/>
      <c r="CJ10" s="34"/>
      <c r="CK10" s="34"/>
      <c r="CL10" s="34"/>
      <c r="CM10" s="34"/>
      <c r="CN10" s="34"/>
      <c r="CO10" s="34"/>
      <c r="CP10" s="34"/>
      <c r="CQ10" s="34"/>
      <c r="CR10" s="34"/>
      <c r="CS10" s="34"/>
      <c r="CT10" s="34"/>
      <c r="CU10" s="34"/>
      <c r="CV10" s="34"/>
      <c r="CW10" s="34"/>
      <c r="CX10" s="34"/>
      <c r="CY10" s="34"/>
      <c r="CZ10" s="34"/>
      <c r="DA10" s="34"/>
      <c r="DB10" s="34"/>
      <c r="DC10" s="34"/>
      <c r="DD10" s="34"/>
      <c r="DE10" s="34"/>
      <c r="DF10" s="34"/>
      <c r="DG10" s="34"/>
      <c r="DH10" s="34"/>
      <c r="DI10" s="34"/>
      <c r="DJ10" s="34"/>
      <c r="DK10" s="34"/>
      <c r="DL10" s="34"/>
      <c r="DM10" s="34"/>
      <c r="DN10" s="34"/>
      <c r="DO10" s="34"/>
      <c r="DP10" s="34"/>
      <c r="DQ10" s="34"/>
      <c r="DR10" s="34"/>
      <c r="DS10" s="34"/>
      <c r="DT10" s="34"/>
      <c r="DU10" s="34"/>
      <c r="DV10" s="34"/>
      <c r="DW10" s="34"/>
      <c r="DX10" s="34"/>
      <c r="DY10" s="34"/>
      <c r="DZ10" s="34"/>
      <c r="EA10" s="34"/>
      <c r="EB10" s="34"/>
      <c r="EC10" s="34"/>
      <c r="ED10" s="34"/>
      <c r="EE10" s="34"/>
      <c r="EF10" s="34"/>
      <c r="EG10" s="34"/>
      <c r="EH10" s="34"/>
      <c r="EI10" s="34"/>
      <c r="EJ10" s="34"/>
      <c r="EK10" s="34"/>
      <c r="EL10" s="34"/>
      <c r="EM10" s="34"/>
      <c r="EN10" s="34"/>
      <c r="EO10" s="34"/>
      <c r="EP10" s="34"/>
      <c r="EQ10" s="34"/>
      <c r="ER10" s="34"/>
      <c r="ES10" s="34"/>
      <c r="ET10" s="34"/>
      <c r="EU10" s="34"/>
      <c r="EV10" s="34"/>
      <c r="EW10" s="34"/>
      <c r="EX10" s="34"/>
    </row>
    <row r="11" ht="15.75" customHeight="1">
      <c r="A11" s="34"/>
      <c r="B11" s="34" t="s">
        <v>34</v>
      </c>
      <c r="C11" s="34" t="s">
        <v>20</v>
      </c>
      <c r="D11" s="40">
        <v>0.0</v>
      </c>
      <c r="E11" s="40">
        <v>0.0</v>
      </c>
      <c r="F11" s="47">
        <v>59000.0</v>
      </c>
      <c r="G11" s="40">
        <v>2.0</v>
      </c>
      <c r="H11" s="40">
        <v>0.0</v>
      </c>
      <c r="I11" s="41" t="s">
        <v>35</v>
      </c>
      <c r="J11" s="47">
        <v>1000.0</v>
      </c>
      <c r="K11" s="40">
        <v>2.0</v>
      </c>
      <c r="L11" s="40">
        <v>0.0</v>
      </c>
      <c r="M11" s="40">
        <v>60000.0</v>
      </c>
      <c r="N11" s="40">
        <v>2.0</v>
      </c>
      <c r="O11" s="34" t="s">
        <v>25</v>
      </c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4"/>
      <c r="AV11" s="34"/>
      <c r="AW11" s="34"/>
      <c r="AX11" s="34"/>
      <c r="AY11" s="34"/>
      <c r="AZ11" s="34"/>
      <c r="BA11" s="34"/>
      <c r="BB11" s="34"/>
      <c r="BC11" s="34"/>
      <c r="BD11" s="34"/>
      <c r="BE11" s="34"/>
      <c r="BF11" s="34"/>
      <c r="BG11" s="34"/>
      <c r="BH11" s="34"/>
      <c r="BI11" s="34"/>
      <c r="BJ11" s="34"/>
      <c r="BK11" s="34"/>
      <c r="BL11" s="34"/>
      <c r="BM11" s="34"/>
      <c r="BN11" s="34"/>
      <c r="BO11" s="34"/>
      <c r="BP11" s="34"/>
      <c r="BQ11" s="34"/>
      <c r="BR11" s="34"/>
      <c r="BS11" s="34"/>
      <c r="BT11" s="34"/>
      <c r="BU11" s="34"/>
      <c r="BV11" s="34"/>
      <c r="BW11" s="34"/>
      <c r="BX11" s="34"/>
      <c r="BY11" s="34"/>
      <c r="BZ11" s="34"/>
      <c r="CA11" s="34"/>
      <c r="CB11" s="34"/>
      <c r="CC11" s="34"/>
      <c r="CD11" s="34"/>
      <c r="CE11" s="34"/>
      <c r="CF11" s="34"/>
      <c r="CG11" s="34"/>
      <c r="CH11" s="34"/>
      <c r="CI11" s="34"/>
      <c r="CJ11" s="34"/>
      <c r="CK11" s="34"/>
      <c r="CL11" s="34"/>
      <c r="CM11" s="34"/>
      <c r="CN11" s="34"/>
      <c r="CO11" s="34"/>
      <c r="CP11" s="34"/>
      <c r="CQ11" s="34"/>
      <c r="CR11" s="34"/>
      <c r="CS11" s="34"/>
      <c r="CT11" s="34"/>
      <c r="CU11" s="34"/>
      <c r="CV11" s="34"/>
      <c r="CW11" s="34"/>
      <c r="CX11" s="34"/>
      <c r="CY11" s="34"/>
      <c r="CZ11" s="34"/>
      <c r="DA11" s="34"/>
      <c r="DB11" s="34"/>
      <c r="DC11" s="34"/>
      <c r="DD11" s="34"/>
      <c r="DE11" s="34"/>
      <c r="DF11" s="34"/>
      <c r="DG11" s="34"/>
      <c r="DH11" s="34"/>
      <c r="DI11" s="34"/>
      <c r="DJ11" s="34"/>
      <c r="DK11" s="34"/>
      <c r="DL11" s="34"/>
      <c r="DM11" s="34"/>
      <c r="DN11" s="34"/>
      <c r="DO11" s="34"/>
      <c r="DP11" s="34"/>
      <c r="DQ11" s="34"/>
      <c r="DR11" s="34"/>
      <c r="DS11" s="34"/>
      <c r="DT11" s="34"/>
      <c r="DU11" s="34"/>
      <c r="DV11" s="34"/>
      <c r="DW11" s="34"/>
      <c r="DX11" s="34"/>
      <c r="DY11" s="34"/>
      <c r="DZ11" s="34"/>
      <c r="EA11" s="34"/>
      <c r="EB11" s="34"/>
      <c r="EC11" s="34"/>
      <c r="ED11" s="34"/>
      <c r="EE11" s="34"/>
      <c r="EF11" s="34"/>
      <c r="EG11" s="34"/>
      <c r="EH11" s="34"/>
      <c r="EI11" s="34"/>
      <c r="EJ11" s="34"/>
      <c r="EK11" s="34"/>
      <c r="EL11" s="34"/>
      <c r="EM11" s="34"/>
      <c r="EN11" s="34"/>
      <c r="EO11" s="34"/>
      <c r="EP11" s="34"/>
      <c r="EQ11" s="34"/>
      <c r="ER11" s="34"/>
      <c r="ES11" s="34"/>
      <c r="ET11" s="34"/>
      <c r="EU11" s="34"/>
      <c r="EV11" s="34"/>
      <c r="EW11" s="34"/>
      <c r="EX11" s="34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VerifyShortLocateGrid3!$4:$4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