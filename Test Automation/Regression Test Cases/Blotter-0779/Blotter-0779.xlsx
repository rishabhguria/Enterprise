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OrVerifyHotButton" sheetId="4" r:id="rId6"/>
    <sheet state="visible" name="AddTabBlotter" sheetId="5" r:id="rId7"/>
    <sheet state="visible" name="AddTabBlotter1" sheetId="6" r:id="rId8"/>
    <sheet state="visible" name="SwitchTabBlotter" sheetId="7" r:id="rId9"/>
    <sheet state="visible" name="EnableOrVerifyHotButton1" sheetId="8" r:id="rId10"/>
    <sheet state="visible" name="SwitchTabBlotter1" sheetId="9" r:id="rId11"/>
    <sheet state="visible" name="EnableOrVerifyHotButton2" sheetId="10" r:id="rId12"/>
    <sheet state="visible" name="SwitchTabBlotter2" sheetId="11" r:id="rId13"/>
    <sheet state="visible" name="SwitchTabBlotter3" sheetId="12" r:id="rId14"/>
    <sheet state="visible" name="EnableOrVerifyHotButton3" sheetId="13" r:id="rId15"/>
    <sheet state="visible" name="EnableOrVerifyHotButton4" sheetId="14" r:id="rId16"/>
  </sheets>
  <definedNames/>
  <calcPr/>
</workbook>
</file>

<file path=xl/sharedStrings.xml><?xml version="1.0" encoding="utf-8"?>
<sst xmlns="http://schemas.openxmlformats.org/spreadsheetml/2006/main" count="454" uniqueCount="114">
  <si>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</si>
  <si>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</si>
  <si>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</si>
  <si>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</si>
  <si>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</si>
  <si>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</si>
  <si>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</si>
  <si>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</si>
  <si>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</si>
  <si>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</si>
  <si>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</si>
  <si>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</si>
  <si>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Blotter</t>
  </si>
  <si>
    <t>EnableOrVerifyHotButton</t>
  </si>
  <si>
    <t>Data Format</t>
  </si>
  <si>
    <t>Input Format</t>
  </si>
  <si>
    <t>Click</t>
  </si>
  <si>
    <t>Enable</t>
  </si>
  <si>
    <t>Disable</t>
  </si>
  <si>
    <t>AddTabBlotter</t>
  </si>
  <si>
    <t>kartik</t>
  </si>
  <si>
    <t>Add Tab(Order)</t>
  </si>
  <si>
    <t>workingcustom</t>
  </si>
  <si>
    <t>Add Tab(Working)</t>
  </si>
  <si>
    <t>SwitchTabBlotter</t>
  </si>
  <si>
    <t>Transaction Time</t>
  </si>
  <si>
    <t>Algo</t>
  </si>
  <si>
    <t>Avg Fill Price (Base)</t>
  </si>
  <si>
    <t>Bloomberg Symbol</t>
  </si>
  <si>
    <t>Limit Price</t>
  </si>
  <si>
    <t>Working Qty</t>
  </si>
  <si>
    <t>Venue</t>
  </si>
  <si>
    <t>Current User</t>
  </si>
  <si>
    <t>Underlying Symbol</t>
  </si>
  <si>
    <t>Quantity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</si>
  <si>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</si>
  <si>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</si>
  <si>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</si>
  <si>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</si>
  <si>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</si>
  <si>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</si>
  <si>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</si>
  <si>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</si>
  <si>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</si>
  <si>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</si>
  <si>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</si>
  <si>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</si>
  <si>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</si>
  <si>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</si>
  <si>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</si>
  <si>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</si>
  <si>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</si>
  <si>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</si>
  <si>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</si>
  <si>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</si>
  <si>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</si>
  <si>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</si>
  <si>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</si>
  <si>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</si>
  <si>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Symbol</t>
  </si>
  <si>
    <t>Side</t>
  </si>
  <si>
    <t>Status</t>
  </si>
  <si>
    <t>Target Qty</t>
  </si>
  <si>
    <t>Executed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</si>
  <si>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</si>
  <si>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</si>
  <si>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</si>
  <si>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</si>
  <si>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</si>
  <si>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</si>
  <si>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Broker</t>
  </si>
  <si>
    <t>Account</t>
  </si>
  <si>
    <t>Order Type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</si>
  <si>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</si>
  <si>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</si>
  <si>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</si>
  <si>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</si>
  <si>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</si>
  <si>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</si>
  <si>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</si>
  <si>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</si>
  <si>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</si>
  <si>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</si>
  <si>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</si>
  <si>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</si>
  <si>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TIF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</si>
  <si>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</si>
  <si>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</si>
  <si>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</si>
  <si>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</si>
  <si>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</si>
  <si>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</si>
  <si>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</si>
  <si>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</si>
  <si>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RolloverAllSubs</t>
  </si>
  <si>
    <t>MergeOrderCustomMessageBox</t>
  </si>
  <si>
    <t>Toolbar : BlotterToolBar</t>
  </si>
  <si>
    <t>Refresh Data</t>
  </si>
  <si>
    <t>Add Tab (Working)</t>
  </si>
  <si>
    <t>Add Tab (Order)</t>
  </si>
  <si>
    <t>Preferences</t>
  </si>
  <si>
    <t>Save All Layout</t>
  </si>
  <si>
    <t>Remove Orders</t>
  </si>
  <si>
    <t>Cancel All Subs</t>
  </si>
  <si>
    <t>Rollover All Subs</t>
  </si>
  <si>
    <t>Link Tab</t>
  </si>
  <si>
    <t>Upload Stage Orders</t>
  </si>
  <si>
    <t>Merge Orders</t>
  </si>
  <si>
    <t>TabItem Key Orders</t>
  </si>
  <si>
    <t>TabItem Key WorkingSubs</t>
  </si>
  <si>
    <t>TabItem Key Summary</t>
  </si>
  <si>
    <t>TabItem Key Dynamic</t>
  </si>
  <si>
    <t>Working Subs</t>
  </si>
  <si>
    <t>Summary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</si>
</sst>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13" numFmtId="0" xfId="0" applyAlignment="1" applyFont="1">
      <alignment vertical="bottom"/>
    </xf>
    <xf borderId="0" fillId="0" fontId="1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IFERROR(__xludf.DUMMYFUNCTION("""COMPUTED_VALUE"""),"ActionOnCFI")</f>
        <v>ActionOnCFI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IFERROR(__xludf.DUMMYFUNCTION("""COMPUTED_VALUE"""),"Rebalancer")</f>
        <v>Rebalancer</v>
      </c>
      <c r="B879" t="str">
        <f>IFERROR(__xludf.DUMMYFUNCTION("""COMPUTED_VALUE"""),"VerifyCFI")</f>
        <v>VerifyCFI</v>
      </c>
      <c r="C879" t="str">
        <f>IFERROR(__xludf.DUMMYFUNCTION("""COMPUTED_VALUE"""),"1DUwxSUq_47EK60XmK3LOdCXa1fkWqWJE9bLuGS3ccv412")</f>
        <v>1DUwxSUq_47EK60XmK3LOdCXa1fkWqWJE9bLuGS3ccv412</v>
      </c>
    </row>
    <row r="880" ht="15.75" customHeight="1">
      <c r="A880" t="str">
        <f>IFERROR(__xludf.DUMMYFUNCTION("""COMPUTED_VALUE"""),"Blotter")</f>
        <v>Blotter</v>
      </c>
      <c r="B880" t="str">
        <f>IFERROR(__xludf.DUMMYFUNCTION("""COMPUTED_VALUE"""),"EnableOrVerifyHotButton")</f>
        <v>EnableOrVerifyHotButton</v>
      </c>
      <c r="C880" t="str">
        <f>IFERROR(__xludf.DUMMYFUNCTION("""COMPUTED_VALUE"""),"1wa8x9d9kPOHEp49mT2DEW0cyjjOClvAgixk1H2w-Tos")</f>
        <v>1wa8x9d9kPOHEp49mT2DEW0cyjjOClvAgixk1H2w-Tos</v>
      </c>
    </row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IFERROR(__xludf.DUMMYFUNCTION("""COMPUTED_VALUE"""),"EnableHotButton")</f>
        <v>EnableHotButton</v>
      </c>
      <c r="C5" s="27" t="str">
        <f>IFERROR(__xludf.DUMMYFUNCTION("""COMPUTED_VALUE"""),"VisiblityOfHotButtonPanel")</f>
        <v>VisiblityOfHotButtonPanel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16</v>
      </c>
      <c r="C7" s="12" t="s">
        <v>18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IFERROR(__xludf.DUMMYFUNCTION("""COMPUTED_VALUE"""),"TabName")</f>
        <v>TabName</v>
      </c>
      <c r="C5" s="27" t="str">
        <f>IFERROR(__xludf.DUMMYFUNCTION("""COMPUTED_VALUE"""),"Button Name")</f>
        <v>Button 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21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AddTabBlotter!$4:$4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IFERROR(__xludf.DUMMYFUNCTION("""COMPUTED_VALUE"""),"TabName")</f>
        <v>TabName</v>
      </c>
      <c r="C5" s="27" t="str">
        <f>IFERROR(__xludf.DUMMYFUNCTION("""COMPUTED_VALUE"""),"Button Name")</f>
        <v>Button 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23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AddTabBlotter1!$4:$4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1"/>
      <c r="B5" s="31" t="s">
        <v>25</v>
      </c>
      <c r="C5" s="31" t="s">
        <v>26</v>
      </c>
      <c r="D5" s="31" t="s">
        <v>27</v>
      </c>
      <c r="E5" s="31" t="s">
        <v>28</v>
      </c>
      <c r="F5" s="32" t="s">
        <v>29</v>
      </c>
      <c r="G5" s="31" t="s">
        <v>30</v>
      </c>
      <c r="H5" s="31" t="s">
        <v>31</v>
      </c>
      <c r="I5" s="31" t="s">
        <v>32</v>
      </c>
      <c r="J5" s="31" t="s">
        <v>33</v>
      </c>
      <c r="K5" s="31" t="s">
        <v>34</v>
      </c>
      <c r="L5" s="31" t="s">
        <v>35</v>
      </c>
      <c r="M5" s="31" t="s">
        <v>36</v>
      </c>
      <c r="N5" s="31" t="s">
        <v>37</v>
      </c>
      <c r="O5" s="31" t="s">
        <v>38</v>
      </c>
      <c r="P5" s="31" t="s">
        <v>39</v>
      </c>
      <c r="Q5" s="31" t="s">
        <v>40</v>
      </c>
      <c r="R5" s="31" t="s">
        <v>41</v>
      </c>
      <c r="S5" s="31" t="s">
        <v>42</v>
      </c>
      <c r="T5" s="31" t="s">
        <v>43</v>
      </c>
      <c r="U5" s="31" t="s">
        <v>44</v>
      </c>
      <c r="V5" s="31" t="s">
        <v>45</v>
      </c>
      <c r="W5" s="31" t="s">
        <v>46</v>
      </c>
      <c r="X5" s="31" t="s">
        <v>47</v>
      </c>
      <c r="Y5" s="31" t="s">
        <v>48</v>
      </c>
      <c r="Z5" s="31" t="s">
        <v>49</v>
      </c>
      <c r="AA5" s="31" t="s">
        <v>50</v>
      </c>
      <c r="AB5" s="31" t="s">
        <v>51</v>
      </c>
      <c r="AC5" s="31" t="s">
        <v>52</v>
      </c>
      <c r="AD5" s="31" t="s">
        <v>53</v>
      </c>
      <c r="AE5" s="31" t="s">
        <v>54</v>
      </c>
      <c r="AF5" s="31" t="s">
        <v>55</v>
      </c>
      <c r="AG5" s="31" t="s">
        <v>56</v>
      </c>
      <c r="AH5" s="31" t="s">
        <v>57</v>
      </c>
      <c r="AI5" s="31" t="s">
        <v>58</v>
      </c>
      <c r="AJ5" s="31" t="s">
        <v>59</v>
      </c>
      <c r="AK5" s="31" t="s">
        <v>60</v>
      </c>
      <c r="AL5" s="31" t="s">
        <v>61</v>
      </c>
      <c r="AM5" s="31" t="s">
        <v>62</v>
      </c>
      <c r="AN5" s="31" t="s">
        <v>63</v>
      </c>
      <c r="AO5" s="31" t="s">
        <v>64</v>
      </c>
      <c r="AP5" s="31" t="s">
        <v>65</v>
      </c>
      <c r="AQ5" s="31" t="s">
        <v>66</v>
      </c>
      <c r="AR5" s="31" t="s">
        <v>67</v>
      </c>
      <c r="AS5" s="31" t="s">
        <v>68</v>
      </c>
      <c r="AT5" s="31" t="s">
        <v>69</v>
      </c>
      <c r="AU5" s="31" t="s">
        <v>70</v>
      </c>
      <c r="AV5" s="31" t="s">
        <v>71</v>
      </c>
      <c r="AW5" s="31" t="s">
        <v>72</v>
      </c>
      <c r="AX5" s="31" t="s">
        <v>73</v>
      </c>
      <c r="AY5" s="31" t="s">
        <v>74</v>
      </c>
      <c r="AZ5" s="31" t="s">
        <v>75</v>
      </c>
      <c r="BA5" s="31" t="s">
        <v>76</v>
      </c>
      <c r="BB5" s="31" t="s">
        <v>77</v>
      </c>
      <c r="BC5" s="31" t="s">
        <v>78</v>
      </c>
      <c r="BD5" s="31" t="s">
        <v>79</v>
      </c>
      <c r="BE5" s="31" t="s">
        <v>80</v>
      </c>
      <c r="BF5" s="31" t="s">
        <v>81</v>
      </c>
      <c r="BG5" s="31" t="s">
        <v>82</v>
      </c>
      <c r="BH5" s="31" t="s">
        <v>83</v>
      </c>
      <c r="BI5" s="31" t="s">
        <v>84</v>
      </c>
      <c r="BJ5" s="31" t="s">
        <v>85</v>
      </c>
      <c r="BK5" s="31" t="s">
        <v>86</v>
      </c>
      <c r="BL5" s="31" t="s">
        <v>87</v>
      </c>
      <c r="BM5" s="31" t="s">
        <v>88</v>
      </c>
      <c r="BN5" s="31" t="s">
        <v>89</v>
      </c>
      <c r="BO5" s="31" t="s">
        <v>90</v>
      </c>
      <c r="BP5" s="31" t="s">
        <v>91</v>
      </c>
      <c r="BQ5" s="31" t="s">
        <v>92</v>
      </c>
      <c r="BR5" s="31" t="s">
        <v>93</v>
      </c>
      <c r="BS5" s="31" t="s">
        <v>94</v>
      </c>
      <c r="BT5" s="31" t="s">
        <v>95</v>
      </c>
      <c r="BU5" s="31" t="s">
        <v>96</v>
      </c>
      <c r="BV5" s="31" t="s">
        <v>97</v>
      </c>
      <c r="BW5" s="31" t="s">
        <v>98</v>
      </c>
      <c r="BX5" s="31" t="s">
        <v>99</v>
      </c>
      <c r="BY5" s="31" t="s">
        <v>100</v>
      </c>
      <c r="BZ5" s="31" t="s">
        <v>101</v>
      </c>
      <c r="CA5" s="31" t="s">
        <v>102</v>
      </c>
      <c r="CB5" s="31" t="s">
        <v>103</v>
      </c>
      <c r="CC5" s="31" t="s">
        <v>104</v>
      </c>
      <c r="CD5" s="31" t="s">
        <v>105</v>
      </c>
      <c r="CE5" s="31" t="s">
        <v>106</v>
      </c>
      <c r="CF5" s="31" t="s">
        <v>107</v>
      </c>
      <c r="CG5" s="31" t="s">
        <v>108</v>
      </c>
      <c r="CH5" s="31" t="s">
        <v>109</v>
      </c>
      <c r="CI5" s="31" t="s">
        <v>110</v>
      </c>
      <c r="CJ5" s="31" t="s">
        <v>111</v>
      </c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CH6" t="s">
        <v>112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SwitchTabBlotter!$4:$4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IFERROR(__xludf.DUMMYFUNCTION("""COMPUTED_VALUE"""),"EnableHotButton")</f>
        <v>EnableHotButton</v>
      </c>
      <c r="C5" s="27" t="str">
        <f>IFERROR(__xludf.DUMMYFUNCTION("""COMPUTED_VALUE"""),"VisiblityOfHotButtonPanel")</f>
        <v>VisiblityOfHotButtonPanel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1"/>
      <c r="B5" s="31" t="s">
        <v>25</v>
      </c>
      <c r="C5" s="31" t="s">
        <v>26</v>
      </c>
      <c r="D5" s="31" t="s">
        <v>27</v>
      </c>
      <c r="E5" s="31" t="s">
        <v>28</v>
      </c>
      <c r="F5" s="32" t="s">
        <v>29</v>
      </c>
      <c r="G5" s="31" t="s">
        <v>30</v>
      </c>
      <c r="H5" s="31" t="s">
        <v>31</v>
      </c>
      <c r="I5" s="31" t="s">
        <v>32</v>
      </c>
      <c r="J5" s="31" t="s">
        <v>33</v>
      </c>
      <c r="K5" s="31" t="s">
        <v>34</v>
      </c>
      <c r="L5" s="31" t="s">
        <v>35</v>
      </c>
      <c r="M5" s="31" t="s">
        <v>36</v>
      </c>
      <c r="N5" s="31" t="s">
        <v>37</v>
      </c>
      <c r="O5" s="31" t="s">
        <v>38</v>
      </c>
      <c r="P5" s="31" t="s">
        <v>39</v>
      </c>
      <c r="Q5" s="31" t="s">
        <v>40</v>
      </c>
      <c r="R5" s="31" t="s">
        <v>41</v>
      </c>
      <c r="S5" s="31" t="s">
        <v>42</v>
      </c>
      <c r="T5" s="31" t="s">
        <v>43</v>
      </c>
      <c r="U5" s="31" t="s">
        <v>44</v>
      </c>
      <c r="V5" s="31" t="s">
        <v>45</v>
      </c>
      <c r="W5" s="31" t="s">
        <v>46</v>
      </c>
      <c r="X5" s="31" t="s">
        <v>47</v>
      </c>
      <c r="Y5" s="31" t="s">
        <v>48</v>
      </c>
      <c r="Z5" s="31" t="s">
        <v>49</v>
      </c>
      <c r="AA5" s="31" t="s">
        <v>50</v>
      </c>
      <c r="AB5" s="31" t="s">
        <v>51</v>
      </c>
      <c r="AC5" s="31" t="s">
        <v>52</v>
      </c>
      <c r="AD5" s="31" t="s">
        <v>53</v>
      </c>
      <c r="AE5" s="31" t="s">
        <v>54</v>
      </c>
      <c r="AF5" s="31" t="s">
        <v>55</v>
      </c>
      <c r="AG5" s="31" t="s">
        <v>56</v>
      </c>
      <c r="AH5" s="31" t="s">
        <v>57</v>
      </c>
      <c r="AI5" s="31" t="s">
        <v>58</v>
      </c>
      <c r="AJ5" s="31" t="s">
        <v>59</v>
      </c>
      <c r="AK5" s="31" t="s">
        <v>60</v>
      </c>
      <c r="AL5" s="31" t="s">
        <v>61</v>
      </c>
      <c r="AM5" s="31" t="s">
        <v>62</v>
      </c>
      <c r="AN5" s="31" t="s">
        <v>63</v>
      </c>
      <c r="AO5" s="31" t="s">
        <v>64</v>
      </c>
      <c r="AP5" s="31" t="s">
        <v>65</v>
      </c>
      <c r="AQ5" s="31" t="s">
        <v>66</v>
      </c>
      <c r="AR5" s="31" t="s">
        <v>67</v>
      </c>
      <c r="AS5" s="31" t="s">
        <v>68</v>
      </c>
      <c r="AT5" s="31" t="s">
        <v>69</v>
      </c>
      <c r="AU5" s="31" t="s">
        <v>70</v>
      </c>
      <c r="AV5" s="31" t="s">
        <v>71</v>
      </c>
      <c r="AW5" s="31" t="s">
        <v>72</v>
      </c>
      <c r="AX5" s="31" t="s">
        <v>73</v>
      </c>
      <c r="AY5" s="31" t="s">
        <v>74</v>
      </c>
      <c r="AZ5" s="31" t="s">
        <v>75</v>
      </c>
      <c r="BA5" s="31" t="s">
        <v>76</v>
      </c>
      <c r="BB5" s="31" t="s">
        <v>77</v>
      </c>
      <c r="BC5" s="31" t="s">
        <v>78</v>
      </c>
      <c r="BD5" s="31" t="s">
        <v>79</v>
      </c>
      <c r="BE5" s="31" t="s">
        <v>80</v>
      </c>
      <c r="BF5" s="31" t="s">
        <v>81</v>
      </c>
      <c r="BG5" s="31" t="s">
        <v>82</v>
      </c>
      <c r="BH5" s="31" t="s">
        <v>83</v>
      </c>
      <c r="BI5" s="31" t="s">
        <v>84</v>
      </c>
      <c r="BJ5" s="31" t="s">
        <v>85</v>
      </c>
      <c r="BK5" s="31" t="s">
        <v>86</v>
      </c>
      <c r="BL5" s="31" t="s">
        <v>87</v>
      </c>
      <c r="BM5" s="31" t="s">
        <v>88</v>
      </c>
      <c r="BN5" s="31" t="s">
        <v>89</v>
      </c>
      <c r="BO5" s="31" t="s">
        <v>90</v>
      </c>
      <c r="BP5" s="31" t="s">
        <v>91</v>
      </c>
      <c r="BQ5" s="31" t="s">
        <v>92</v>
      </c>
      <c r="BR5" s="31" t="s">
        <v>93</v>
      </c>
      <c r="BS5" s="31" t="s">
        <v>94</v>
      </c>
      <c r="BT5" s="31" t="s">
        <v>95</v>
      </c>
      <c r="BU5" s="31" t="s">
        <v>96</v>
      </c>
      <c r="BV5" s="31" t="s">
        <v>97</v>
      </c>
      <c r="BW5" s="31" t="s">
        <v>98</v>
      </c>
      <c r="BX5" s="31" t="s">
        <v>99</v>
      </c>
      <c r="BY5" s="31" t="s">
        <v>100</v>
      </c>
      <c r="BZ5" s="31" t="s">
        <v>101</v>
      </c>
      <c r="CA5" s="31" t="s">
        <v>102</v>
      </c>
      <c r="CB5" s="31" t="s">
        <v>103</v>
      </c>
      <c r="CC5" s="31" t="s">
        <v>104</v>
      </c>
      <c r="CD5" s="31" t="s">
        <v>105</v>
      </c>
      <c r="CE5" s="31" t="s">
        <v>106</v>
      </c>
      <c r="CF5" s="31" t="s">
        <v>107</v>
      </c>
      <c r="CG5" s="31" t="s">
        <v>108</v>
      </c>
      <c r="CH5" s="31" t="s">
        <v>109</v>
      </c>
      <c r="CI5" s="31" t="s">
        <v>110</v>
      </c>
      <c r="CJ5" s="31" t="s">
        <v>111</v>
      </c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CI6" s="9" t="s">
        <v>113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SwitchTabBlotter1!$4:$4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IFERROR(__xludf.DUMMYFUNCTION("""COMPUTED_VALUE"""),"EnableHotButton")</f>
        <v>EnableHotButton</v>
      </c>
      <c r="C5" s="27" t="str">
        <f>IFERROR(__xludf.DUMMYFUNCTION("""COMPUTED_VALUE"""),"VisiblityOfHotButtonPanel")</f>
        <v>VisiblityOfHotButtonPanel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18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1"/>
      <c r="B5" s="31" t="s">
        <v>25</v>
      </c>
      <c r="C5" s="31" t="s">
        <v>26</v>
      </c>
      <c r="D5" s="31" t="s">
        <v>27</v>
      </c>
      <c r="E5" s="31" t="s">
        <v>28</v>
      </c>
      <c r="F5" s="32" t="s">
        <v>29</v>
      </c>
      <c r="G5" s="31" t="s">
        <v>30</v>
      </c>
      <c r="H5" s="31" t="s">
        <v>31</v>
      </c>
      <c r="I5" s="31" t="s">
        <v>32</v>
      </c>
      <c r="J5" s="31" t="s">
        <v>33</v>
      </c>
      <c r="K5" s="31" t="s">
        <v>34</v>
      </c>
      <c r="L5" s="31" t="s">
        <v>35</v>
      </c>
      <c r="M5" s="31" t="s">
        <v>36</v>
      </c>
      <c r="N5" s="31" t="s">
        <v>37</v>
      </c>
      <c r="O5" s="31" t="s">
        <v>38</v>
      </c>
      <c r="P5" s="31" t="s">
        <v>39</v>
      </c>
      <c r="Q5" s="31" t="s">
        <v>40</v>
      </c>
      <c r="R5" s="31" t="s">
        <v>41</v>
      </c>
      <c r="S5" s="31" t="s">
        <v>42</v>
      </c>
      <c r="T5" s="31" t="s">
        <v>43</v>
      </c>
      <c r="U5" s="31" t="s">
        <v>44</v>
      </c>
      <c r="V5" s="31" t="s">
        <v>45</v>
      </c>
      <c r="W5" s="31" t="s">
        <v>46</v>
      </c>
      <c r="X5" s="31" t="s">
        <v>47</v>
      </c>
      <c r="Y5" s="31" t="s">
        <v>48</v>
      </c>
      <c r="Z5" s="31" t="s">
        <v>49</v>
      </c>
      <c r="AA5" s="31" t="s">
        <v>50</v>
      </c>
      <c r="AB5" s="31" t="s">
        <v>51</v>
      </c>
      <c r="AC5" s="31" t="s">
        <v>52</v>
      </c>
      <c r="AD5" s="31" t="s">
        <v>53</v>
      </c>
      <c r="AE5" s="31" t="s">
        <v>54</v>
      </c>
      <c r="AF5" s="31" t="s">
        <v>55</v>
      </c>
      <c r="AG5" s="31" t="s">
        <v>56</v>
      </c>
      <c r="AH5" s="31" t="s">
        <v>57</v>
      </c>
      <c r="AI5" s="31" t="s">
        <v>58</v>
      </c>
      <c r="AJ5" s="31" t="s">
        <v>59</v>
      </c>
      <c r="AK5" s="31" t="s">
        <v>60</v>
      </c>
      <c r="AL5" s="31" t="s">
        <v>61</v>
      </c>
      <c r="AM5" s="31" t="s">
        <v>62</v>
      </c>
      <c r="AN5" s="31" t="s">
        <v>63</v>
      </c>
      <c r="AO5" s="31" t="s">
        <v>64</v>
      </c>
      <c r="AP5" s="31" t="s">
        <v>65</v>
      </c>
      <c r="AQ5" s="31" t="s">
        <v>66</v>
      </c>
      <c r="AR5" s="31" t="s">
        <v>67</v>
      </c>
      <c r="AS5" s="31" t="s">
        <v>68</v>
      </c>
      <c r="AT5" s="31" t="s">
        <v>69</v>
      </c>
      <c r="AU5" s="31" t="s">
        <v>70</v>
      </c>
      <c r="AV5" s="31" t="s">
        <v>71</v>
      </c>
      <c r="AW5" s="31" t="s">
        <v>72</v>
      </c>
      <c r="AX5" s="31" t="s">
        <v>73</v>
      </c>
      <c r="AY5" s="31" t="s">
        <v>74</v>
      </c>
      <c r="AZ5" s="31" t="s">
        <v>75</v>
      </c>
      <c r="BA5" s="31" t="s">
        <v>76</v>
      </c>
      <c r="BB5" s="31" t="s">
        <v>77</v>
      </c>
      <c r="BC5" s="31" t="s">
        <v>78</v>
      </c>
      <c r="BD5" s="31" t="s">
        <v>79</v>
      </c>
      <c r="BE5" s="31" t="s">
        <v>80</v>
      </c>
      <c r="BF5" s="31" t="s">
        <v>81</v>
      </c>
      <c r="BG5" s="31" t="s">
        <v>82</v>
      </c>
      <c r="BH5" s="31" t="s">
        <v>83</v>
      </c>
      <c r="BI5" s="31" t="s">
        <v>84</v>
      </c>
      <c r="BJ5" s="31" t="s">
        <v>85</v>
      </c>
      <c r="BK5" s="31" t="s">
        <v>86</v>
      </c>
      <c r="BL5" s="31" t="s">
        <v>87</v>
      </c>
      <c r="BM5" s="31" t="s">
        <v>88</v>
      </c>
      <c r="BN5" s="31" t="s">
        <v>89</v>
      </c>
      <c r="BO5" s="31" t="s">
        <v>90</v>
      </c>
      <c r="BP5" s="31" t="s">
        <v>91</v>
      </c>
      <c r="BQ5" s="31" t="s">
        <v>92</v>
      </c>
      <c r="BR5" s="31" t="s">
        <v>93</v>
      </c>
      <c r="BS5" s="31" t="s">
        <v>94</v>
      </c>
      <c r="BT5" s="31" t="s">
        <v>95</v>
      </c>
      <c r="BU5" s="31" t="s">
        <v>96</v>
      </c>
      <c r="BV5" s="31" t="s">
        <v>97</v>
      </c>
      <c r="BW5" s="31" t="s">
        <v>98</v>
      </c>
      <c r="BX5" s="31" t="s">
        <v>99</v>
      </c>
      <c r="BY5" s="31" t="s">
        <v>100</v>
      </c>
      <c r="BZ5" s="31" t="s">
        <v>101</v>
      </c>
      <c r="CA5" s="31" t="s">
        <v>102</v>
      </c>
      <c r="CB5" s="31" t="s">
        <v>103</v>
      </c>
      <c r="CC5" s="31" t="s">
        <v>104</v>
      </c>
      <c r="CD5" s="31" t="s">
        <v>105</v>
      </c>
      <c r="CE5" s="31" t="s">
        <v>106</v>
      </c>
      <c r="CF5" s="31" t="s">
        <v>107</v>
      </c>
      <c r="CG5" s="31" t="s">
        <v>108</v>
      </c>
      <c r="CH5" s="31" t="s">
        <v>109</v>
      </c>
      <c r="CI5" s="31" t="s">
        <v>110</v>
      </c>
      <c r="CJ5" s="31" t="s">
        <v>111</v>
      </c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CJ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SwitchTabBlotter2!$4:$4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1"/>
      <c r="B5" s="31" t="s">
        <v>25</v>
      </c>
      <c r="C5" s="31" t="s">
        <v>26</v>
      </c>
      <c r="D5" s="31" t="s">
        <v>27</v>
      </c>
      <c r="E5" s="31" t="s">
        <v>28</v>
      </c>
      <c r="F5" s="32" t="s">
        <v>29</v>
      </c>
      <c r="G5" s="31" t="s">
        <v>30</v>
      </c>
      <c r="H5" s="31" t="s">
        <v>31</v>
      </c>
      <c r="I5" s="31" t="s">
        <v>32</v>
      </c>
      <c r="J5" s="31" t="s">
        <v>33</v>
      </c>
      <c r="K5" s="31" t="s">
        <v>34</v>
      </c>
      <c r="L5" s="31" t="s">
        <v>35</v>
      </c>
      <c r="M5" s="31" t="s">
        <v>36</v>
      </c>
      <c r="N5" s="31" t="s">
        <v>37</v>
      </c>
      <c r="O5" s="31" t="s">
        <v>38</v>
      </c>
      <c r="P5" s="31" t="s">
        <v>39</v>
      </c>
      <c r="Q5" s="31" t="s">
        <v>40</v>
      </c>
      <c r="R5" s="31" t="s">
        <v>41</v>
      </c>
      <c r="S5" s="31" t="s">
        <v>42</v>
      </c>
      <c r="T5" s="31" t="s">
        <v>43</v>
      </c>
      <c r="U5" s="31" t="s">
        <v>44</v>
      </c>
      <c r="V5" s="31" t="s">
        <v>45</v>
      </c>
      <c r="W5" s="31" t="s">
        <v>46</v>
      </c>
      <c r="X5" s="31" t="s">
        <v>47</v>
      </c>
      <c r="Y5" s="31" t="s">
        <v>48</v>
      </c>
      <c r="Z5" s="31" t="s">
        <v>49</v>
      </c>
      <c r="AA5" s="31" t="s">
        <v>50</v>
      </c>
      <c r="AB5" s="31" t="s">
        <v>51</v>
      </c>
      <c r="AC5" s="31" t="s">
        <v>52</v>
      </c>
      <c r="AD5" s="31" t="s">
        <v>53</v>
      </c>
      <c r="AE5" s="31" t="s">
        <v>54</v>
      </c>
      <c r="AF5" s="31" t="s">
        <v>55</v>
      </c>
      <c r="AG5" s="31" t="s">
        <v>56</v>
      </c>
      <c r="AH5" s="31" t="s">
        <v>57</v>
      </c>
      <c r="AI5" s="31" t="s">
        <v>58</v>
      </c>
      <c r="AJ5" s="31" t="s">
        <v>59</v>
      </c>
      <c r="AK5" s="31" t="s">
        <v>60</v>
      </c>
      <c r="AL5" s="31" t="s">
        <v>61</v>
      </c>
      <c r="AM5" s="31" t="s">
        <v>62</v>
      </c>
      <c r="AN5" s="31" t="s">
        <v>63</v>
      </c>
      <c r="AO5" s="31" t="s">
        <v>64</v>
      </c>
      <c r="AP5" s="31" t="s">
        <v>65</v>
      </c>
      <c r="AQ5" s="31" t="s">
        <v>66</v>
      </c>
      <c r="AR5" s="31" t="s">
        <v>67</v>
      </c>
      <c r="AS5" s="31" t="s">
        <v>68</v>
      </c>
      <c r="AT5" s="31" t="s">
        <v>69</v>
      </c>
      <c r="AU5" s="31" t="s">
        <v>70</v>
      </c>
      <c r="AV5" s="31" t="s">
        <v>71</v>
      </c>
      <c r="AW5" s="31" t="s">
        <v>72</v>
      </c>
      <c r="AX5" s="31" t="s">
        <v>73</v>
      </c>
      <c r="AY5" s="31" t="s">
        <v>74</v>
      </c>
      <c r="AZ5" s="31" t="s">
        <v>75</v>
      </c>
      <c r="BA5" s="31" t="s">
        <v>76</v>
      </c>
      <c r="BB5" s="31" t="s">
        <v>77</v>
      </c>
      <c r="BC5" s="31" t="s">
        <v>78</v>
      </c>
      <c r="BD5" s="31" t="s">
        <v>79</v>
      </c>
      <c r="BE5" s="31" t="s">
        <v>80</v>
      </c>
      <c r="BF5" s="31" t="s">
        <v>81</v>
      </c>
      <c r="BG5" s="31" t="s">
        <v>82</v>
      </c>
      <c r="BH5" s="31" t="s">
        <v>83</v>
      </c>
      <c r="BI5" s="31" t="s">
        <v>84</v>
      </c>
      <c r="BJ5" s="31" t="s">
        <v>85</v>
      </c>
      <c r="BK5" s="31" t="s">
        <v>86</v>
      </c>
      <c r="BL5" s="31" t="s">
        <v>87</v>
      </c>
      <c r="BM5" s="31" t="s">
        <v>88</v>
      </c>
      <c r="BN5" s="31" t="s">
        <v>89</v>
      </c>
      <c r="BO5" s="31" t="s">
        <v>90</v>
      </c>
      <c r="BP5" s="31" t="s">
        <v>91</v>
      </c>
      <c r="BQ5" s="31" t="s">
        <v>92</v>
      </c>
      <c r="BR5" s="31" t="s">
        <v>93</v>
      </c>
      <c r="BS5" s="31" t="s">
        <v>94</v>
      </c>
      <c r="BT5" s="31" t="s">
        <v>95</v>
      </c>
      <c r="BU5" s="31" t="s">
        <v>96</v>
      </c>
      <c r="BV5" s="31" t="s">
        <v>97</v>
      </c>
      <c r="BW5" s="31" t="s">
        <v>98</v>
      </c>
      <c r="BX5" s="31" t="s">
        <v>99</v>
      </c>
      <c r="BY5" s="31" t="s">
        <v>100</v>
      </c>
      <c r="BZ5" s="31" t="s">
        <v>101</v>
      </c>
      <c r="CA5" s="31" t="s">
        <v>102</v>
      </c>
      <c r="CB5" s="31" t="s">
        <v>103</v>
      </c>
      <c r="CC5" s="31" t="s">
        <v>104</v>
      </c>
      <c r="CD5" s="31" t="s">
        <v>105</v>
      </c>
      <c r="CE5" s="31" t="s">
        <v>106</v>
      </c>
      <c r="CF5" s="31" t="s">
        <v>107</v>
      </c>
      <c r="CG5" s="31" t="s">
        <v>108</v>
      </c>
      <c r="CH5" s="31" t="s">
        <v>109</v>
      </c>
      <c r="CI5" s="31" t="s">
        <v>110</v>
      </c>
      <c r="CJ5" s="31" t="s">
        <v>111</v>
      </c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CJ6" s="12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SwitchTabBlotter3!$4:$4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IFERROR(__xludf.DUMMYFUNCTION("""COMPUTED_VALUE"""),"EnableHotButton")</f>
        <v>EnableHotButton</v>
      </c>
      <c r="C5" s="27" t="str">
        <f>IFERROR(__xludf.DUMMYFUNCTION("""COMPUTED_VALUE"""),"VisiblityOfHotButtonPanel")</f>
        <v>VisiblityOfHotButtonPanel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IFERROR(__xludf.DUMMYFUNCTION("""COMPUTED_VALUE"""),"EnableHotButton")</f>
        <v>EnableHotButton</v>
      </c>
      <c r="C5" s="27" t="str">
        <f>IFERROR(__xludf.DUMMYFUNCTION("""COMPUTED_VALUE"""),"VisiblityOfHotButtonPanel")</f>
        <v>VisiblityOfHotButtonPanel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18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EnableOrVerifyHotButton4!$4:$4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