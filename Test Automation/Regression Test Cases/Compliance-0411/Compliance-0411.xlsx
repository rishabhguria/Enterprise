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GetMarkPriceData" sheetId="6" r:id="rId8"/>
    <sheet state="visible" name="CreateComplianceOrder1" sheetId="7" r:id="rId9"/>
    <sheet state="visible" name="VerifyComplianceOrder1" sheetId="8" r:id="rId10"/>
    <sheet state="visible" name="UpdateMarkPrice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ComplianceOrder2" sheetId="16" r:id="rId18"/>
  </sheets>
  <definedNames/>
  <calcPr/>
</workbook>
</file>

<file path=xl/sharedStrings.xml><?xml version="1.0" encoding="utf-8"?>
<sst xmlns="http://schemas.openxmlformats.org/spreadsheetml/2006/main" count="175" uniqueCount="53">
  <si>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</si>
  <si>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</si>
  <si>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</si>
  <si>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</si>
  <si>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</si>
  <si>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</si>
  <si>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</si>
  <si>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</si>
  <si>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</si>
  <si>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</si>
  <si>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</si>
  <si>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</si>
  <si>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</si>
  <si>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</si>
  <si>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</si>
  <si>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</si>
  <si>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GOOG</t>
  </si>
  <si>
    <t>Buy</t>
  </si>
  <si>
    <t>Allocation1</t>
  </si>
  <si>
    <t>DoneAway</t>
  </si>
  <si>
    <t>VerifyComplianceOrder</t>
  </si>
  <si>
    <t>Soft</t>
  </si>
  <si>
    <t>Account_Symbol</t>
  </si>
  <si>
    <t>Enter Summary</t>
  </si>
  <si>
    <t>Allocation1-GOOG</t>
  </si>
  <si>
    <t>quantity: 100.00, symbol: GOOG, AccountShortName: Allocation1</t>
  </si>
  <si>
    <t>Yes</t>
  </si>
  <si>
    <t>MasterFund_Symbol</t>
  </si>
  <si>
    <t>NewMF-GOOG</t>
  </si>
  <si>
    <t>quantity: 100.00, symbol: GOOG, MasterFundName: NewMF</t>
  </si>
  <si>
    <t>Symbol</t>
  </si>
  <si>
    <t>quantity: 100.00, symbol: GOOG</t>
  </si>
  <si>
    <t>Trade3</t>
  </si>
  <si>
    <t>Multiple</t>
  </si>
  <si>
    <t>quantity: 100.00, avgPrice: 2.00, selectedFeedPrice: 2.00, netMarketValueBase: 200.00, netExposureLocal: 200.00, Symbol: GOOG</t>
  </si>
  <si>
    <t>DailyValuation</t>
  </si>
  <si>
    <t>GetMarkPriceData</t>
  </si>
  <si>
    <t>Send</t>
  </si>
  <si>
    <t>quantity: 200.00, symbol: GOOG, AccountShortName: Allocation1</t>
  </si>
  <si>
    <t>quantity: 200.00, symbol: GOOG, MasterFundName: NewMF</t>
  </si>
  <si>
    <t>quantity: 200.00, symbol: GOOG</t>
  </si>
  <si>
    <t>UpdateMarkPrice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</si>
  <si>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</si>
  <si>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</si>
  <si>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</si>
  <si>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</si>
  <si>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</si>
  <si>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</si>
  <si>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</si>
  <si>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</si>
  <si>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</si>
  <si>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quantity: 300.00, symbol: GOOG, AccountShortName: Allocation1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</si>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</sst>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31">
        <f>TODAY()-1</f>
        <v>45854</v>
      </c>
      <c r="O6" s="8"/>
      <c r="AX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21</v>
      </c>
      <c r="C6" s="12" t="s">
        <v>22</v>
      </c>
      <c r="D6" s="12" t="s">
        <v>23</v>
      </c>
      <c r="E6" s="12" t="s">
        <v>24</v>
      </c>
      <c r="F6" s="12">
        <v>-1234.0</v>
      </c>
      <c r="G6" s="12">
        <v>100.0</v>
      </c>
      <c r="H6" s="12" t="s">
        <v>25</v>
      </c>
      <c r="I6" s="8"/>
      <c r="J6" s="8"/>
      <c r="K6" s="12" t="s">
        <v>26</v>
      </c>
      <c r="L6" s="8"/>
      <c r="M6" s="9" t="s">
        <v>19</v>
      </c>
      <c r="N6" s="8"/>
      <c r="O6" s="8"/>
    </row>
    <row r="7" ht="15.75" customHeight="1">
      <c r="A7" s="8"/>
      <c r="B7" s="12" t="s">
        <v>21</v>
      </c>
      <c r="C7" s="12" t="s">
        <v>27</v>
      </c>
      <c r="D7" s="12" t="s">
        <v>23</v>
      </c>
      <c r="E7" s="12" t="s">
        <v>28</v>
      </c>
      <c r="F7" s="12">
        <v>-1234.0</v>
      </c>
      <c r="G7" s="12">
        <v>100.0</v>
      </c>
      <c r="H7" s="12" t="s">
        <v>29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30</v>
      </c>
      <c r="D8" s="12" t="s">
        <v>23</v>
      </c>
      <c r="E8" s="12" t="s">
        <v>16</v>
      </c>
      <c r="F8" s="12">
        <v>-123466.0</v>
      </c>
      <c r="G8" s="12">
        <v>100.0</v>
      </c>
      <c r="H8" s="12" t="s">
        <v>31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32</v>
      </c>
      <c r="D9" s="12" t="s">
        <v>23</v>
      </c>
      <c r="E9" s="12" t="s">
        <v>16</v>
      </c>
      <c r="F9" s="12" t="s">
        <v>33</v>
      </c>
      <c r="G9" s="12" t="s">
        <v>33</v>
      </c>
      <c r="H9" s="12" t="s">
        <v>34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45854</v>
      </c>
      <c r="C6" s="31">
        <f>TODAY()</f>
        <v>45855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 t="s">
        <v>23</v>
      </c>
      <c r="E6" s="12" t="s">
        <v>24</v>
      </c>
      <c r="F6" s="12">
        <v>-1234.0</v>
      </c>
      <c r="G6" s="12">
        <v>200.0</v>
      </c>
      <c r="H6" s="12" t="s">
        <v>38</v>
      </c>
      <c r="I6" s="8"/>
      <c r="J6" s="8"/>
      <c r="K6" s="12" t="s">
        <v>26</v>
      </c>
      <c r="L6" s="8"/>
      <c r="M6" s="12" t="s">
        <v>37</v>
      </c>
      <c r="N6" s="8"/>
      <c r="O6" s="8"/>
    </row>
    <row r="7" ht="15.75" customHeight="1">
      <c r="A7" s="8"/>
      <c r="B7" s="12" t="s">
        <v>21</v>
      </c>
      <c r="C7" s="12" t="s">
        <v>27</v>
      </c>
      <c r="D7" s="12" t="s">
        <v>23</v>
      </c>
      <c r="E7" s="12" t="s">
        <v>28</v>
      </c>
      <c r="F7" s="12">
        <v>-1234.0</v>
      </c>
      <c r="G7" s="12">
        <v>200.0</v>
      </c>
      <c r="H7" s="12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30</v>
      </c>
      <c r="D8" s="12" t="s">
        <v>23</v>
      </c>
      <c r="E8" s="12" t="s">
        <v>16</v>
      </c>
      <c r="F8" s="12">
        <v>-123466.0</v>
      </c>
      <c r="G8" s="12">
        <v>200.0</v>
      </c>
      <c r="H8" s="12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32</v>
      </c>
      <c r="D9" s="12" t="s">
        <v>23</v>
      </c>
      <c r="E9" s="12" t="s">
        <v>16</v>
      </c>
      <c r="F9" s="12" t="s">
        <v>33</v>
      </c>
      <c r="G9" s="12" t="s">
        <v>33</v>
      </c>
      <c r="H9" s="12" t="s">
        <v>34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48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16</v>
      </c>
      <c r="AK6" s="12" t="s">
        <v>17</v>
      </c>
      <c r="AL6" s="12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21</v>
      </c>
      <c r="C6" s="12" t="s">
        <v>22</v>
      </c>
      <c r="D6" s="12" t="s">
        <v>23</v>
      </c>
      <c r="E6" s="12" t="s">
        <v>24</v>
      </c>
      <c r="F6" s="12">
        <v>-1234.0</v>
      </c>
      <c r="G6" s="12">
        <v>300.0</v>
      </c>
      <c r="H6" s="12" t="s">
        <v>51</v>
      </c>
      <c r="I6" s="8"/>
      <c r="J6" s="8"/>
      <c r="K6" s="12" t="s">
        <v>26</v>
      </c>
      <c r="L6" s="8"/>
      <c r="M6" s="12" t="s">
        <v>52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