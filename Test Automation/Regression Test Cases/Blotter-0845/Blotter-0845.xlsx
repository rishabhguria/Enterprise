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ExecuteTrade1" sheetId="9" r:id="rId11"/>
    <sheet state="visible" name="ExecuteTrade2" sheetId="10" r:id="rId12"/>
    <sheet state="visible" name="ChangeDate" sheetId="11" r:id="rId13"/>
    <sheet state="visible" name="RestartReleasesAndServices" sheetId="12" r:id="rId14"/>
    <sheet state="visible" name="SelectTradeOnOrderGrid" sheetId="13" r:id="rId15"/>
    <sheet state="visible" name="ReplaceSubOrder" sheetId="14" r:id="rId16"/>
    <sheet state="visible" name="CustomOrderTT1" sheetId="15" r:id="rId17"/>
    <sheet state="visible" name="AllocateFromBlotter" sheetId="16" r:id="rId18"/>
    <sheet state="visible" name="VerifySubOrder" sheetId="17" r:id="rId19"/>
    <sheet state="visible" name="GetDataAllocation" sheetId="18" r:id="rId20"/>
    <sheet state="visible" name="CheckAllocatedGroups" sheetId="19" r:id="rId21"/>
    <sheet state="visible" name="CheckAllocatedGroups1" sheetId="20" r:id="rId22"/>
    <sheet state="visible" name="ChangeDate1" sheetId="21" r:id="rId23"/>
  </sheets>
  <definedNames/>
  <calcPr/>
</workbook>
</file>

<file path=xl/sharedStrings.xml><?xml version="1.0" encoding="utf-8"?>
<sst xmlns="http://schemas.openxmlformats.org/spreadsheetml/2006/main" count="262" uniqueCount="69">
  <si>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</si>
  <si>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</si>
  <si>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</si>
  <si>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</si>
  <si>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</si>
  <si>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</si>
  <si>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</si>
  <si>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</si>
  <si>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</si>
  <si>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</si>
  <si>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</si>
  <si>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</si>
  <si>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</si>
  <si>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</si>
  <si>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</si>
  <si>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</si>
  <si>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</si>
  <si>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</si>
  <si>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</si>
  <si>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MSFT</t>
  </si>
  <si>
    <t>Send</t>
  </si>
  <si>
    <t>Unallocated</t>
  </si>
  <si>
    <t>Buy</t>
  </si>
  <si>
    <t>GTC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</si>
  <si>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</si>
  <si>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</si>
  <si>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</si>
  <si>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</si>
  <si>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</si>
  <si>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</si>
  <si>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</si>
  <si>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</si>
  <si>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</si>
  <si>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</si>
  <si>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Blotter</t>
  </si>
  <si>
    <t>SelectTradeOnOrderGrid</t>
  </si>
  <si>
    <t>ReplaceSubOrder</t>
  </si>
  <si>
    <t>Replace</t>
  </si>
  <si>
    <t>Good Till Date</t>
  </si>
  <si>
    <t>AllocateFromBlotter</t>
  </si>
  <si>
    <t>Positions_Symbol</t>
  </si>
  <si>
    <t>VerifySubOrder</t>
  </si>
  <si>
    <t>MSFT US EQUITY</t>
  </si>
  <si>
    <t>NASDAQ</t>
  </si>
  <si>
    <t>jpearce</t>
  </si>
  <si>
    <t>GCCAP1</t>
  </si>
  <si>
    <t>USD</t>
  </si>
  <si>
    <t>NONE</t>
  </si>
  <si>
    <t>DefaultNotes</t>
  </si>
  <si>
    <t>M</t>
  </si>
  <si>
    <t>Equity</t>
  </si>
  <si>
    <t>Replaced</t>
  </si>
  <si>
    <t>MS</t>
  </si>
  <si>
    <t>Multiple</t>
  </si>
  <si>
    <t>Strategy Unallocated</t>
  </si>
  <si>
    <t>Allocation</t>
  </si>
  <si>
    <t>GetDataAllocation</t>
  </si>
  <si>
    <t>Historical</t>
  </si>
  <si>
    <t>CheckAllocatedGroups</t>
  </si>
  <si>
    <t>Actual_365</t>
  </si>
  <si>
    <t>Treasury</t>
  </si>
  <si>
    <t>Open</t>
  </si>
  <si>
    <t>MICROSOFT INC</t>
  </si>
  <si>
    <t>None</t>
  </si>
  <si>
    <t>InternalOrder</t>
  </si>
  <si>
    <t>FIX</t>
  </si>
  <si>
    <t>US</t>
  </si>
  <si>
    <t>Manual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</si>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</sst>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14" xfId="0" applyAlignment="1" applyFont="1" applyNumberForma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5">
        <v>10000.0</v>
      </c>
      <c r="D6" s="30"/>
      <c r="E6" s="36" t="s">
        <v>20</v>
      </c>
      <c r="F6" s="33"/>
      <c r="G6" s="33"/>
      <c r="H6" s="33"/>
      <c r="I6" s="36" t="s">
        <v>21</v>
      </c>
      <c r="J6" s="36" t="s">
        <v>22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 t="s">
        <v>23</v>
      </c>
      <c r="V6" s="33" t="s">
        <v>24</v>
      </c>
      <c r="W6" s="33"/>
      <c r="X6" s="35">
        <v>10.0</v>
      </c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5000.0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2500.0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 t="s">
        <v>31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9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7"/>
      <c r="F6" s="12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9" t="s">
        <v>19</v>
      </c>
      <c r="C6" s="35"/>
      <c r="D6" s="30"/>
      <c r="E6" s="34" t="s">
        <v>37</v>
      </c>
      <c r="F6" s="33"/>
      <c r="G6" s="33"/>
      <c r="H6" s="33"/>
      <c r="I6" s="36"/>
      <c r="J6" s="36"/>
      <c r="K6" s="33"/>
      <c r="L6" s="33"/>
      <c r="M6" s="33"/>
      <c r="N6" s="33"/>
      <c r="O6" s="33"/>
      <c r="P6" s="33"/>
      <c r="Q6" s="33"/>
      <c r="R6" s="33"/>
      <c r="S6" s="33"/>
      <c r="T6" s="33"/>
      <c r="U6" s="40" t="s">
        <v>38</v>
      </c>
      <c r="V6" s="33" t="s">
        <v>24</v>
      </c>
      <c r="W6" s="33"/>
      <c r="X6" s="35">
        <v>10.0</v>
      </c>
      <c r="Y6" s="41">
        <f>TODAY()+2</f>
        <v>45819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42"/>
      <c r="C6" s="33"/>
      <c r="D6" s="43">
        <v>10.0</v>
      </c>
      <c r="E6" s="33" t="s">
        <v>42</v>
      </c>
      <c r="F6" s="44">
        <v>10.0</v>
      </c>
      <c r="G6" s="44">
        <v>2500.0</v>
      </c>
      <c r="H6" s="33" t="s">
        <v>43</v>
      </c>
      <c r="I6" s="33" t="s">
        <v>44</v>
      </c>
      <c r="J6" s="33" t="s">
        <v>19</v>
      </c>
      <c r="K6" s="33"/>
      <c r="L6" s="33" t="s">
        <v>45</v>
      </c>
      <c r="M6" s="33"/>
      <c r="N6" s="33"/>
      <c r="O6" s="33"/>
      <c r="P6" s="33"/>
      <c r="Q6" s="33"/>
      <c r="R6" s="33"/>
      <c r="S6" s="44"/>
      <c r="T6" s="44"/>
      <c r="U6" s="33" t="s">
        <v>46</v>
      </c>
      <c r="V6" s="33" t="s">
        <v>47</v>
      </c>
      <c r="W6" s="41"/>
      <c r="X6" s="33"/>
      <c r="Y6" s="33"/>
      <c r="Z6" s="33"/>
      <c r="AA6" s="33"/>
      <c r="AB6" s="44"/>
      <c r="AC6" s="33" t="s">
        <v>48</v>
      </c>
      <c r="AD6" s="44">
        <v>1.0</v>
      </c>
      <c r="AE6" s="33"/>
      <c r="AF6" s="33" t="s">
        <v>49</v>
      </c>
      <c r="AG6" s="42"/>
      <c r="AH6" s="33" t="s">
        <v>50</v>
      </c>
      <c r="AI6" s="33" t="s">
        <v>19</v>
      </c>
      <c r="AJ6" s="33" t="s">
        <v>22</v>
      </c>
      <c r="AK6" s="33" t="s">
        <v>51</v>
      </c>
      <c r="AL6" s="44">
        <v>10000.0</v>
      </c>
      <c r="AM6" s="44">
        <v>7500.0</v>
      </c>
      <c r="AN6" s="44"/>
      <c r="AO6" s="44"/>
      <c r="AP6" s="44">
        <v>10.0</v>
      </c>
      <c r="AQ6" s="33" t="s">
        <v>52</v>
      </c>
      <c r="AR6" s="33" t="s">
        <v>53</v>
      </c>
      <c r="AS6" s="33" t="s">
        <v>24</v>
      </c>
      <c r="AT6" s="44">
        <v>75000.0</v>
      </c>
      <c r="AU6" s="44">
        <v>75000.0</v>
      </c>
      <c r="AV6" s="33" t="s">
        <v>40</v>
      </c>
      <c r="AW6" s="33" t="s">
        <v>51</v>
      </c>
      <c r="AX6" s="44">
        <v>2500.0</v>
      </c>
      <c r="AY6" s="33" t="s">
        <v>54</v>
      </c>
      <c r="AZ6" s="33" t="s">
        <v>44</v>
      </c>
      <c r="BA6" s="42"/>
      <c r="BB6" s="33"/>
      <c r="BC6" s="42"/>
      <c r="BD6" s="33"/>
      <c r="BE6" s="33"/>
      <c r="BF6" s="33"/>
      <c r="BG6" s="41"/>
      <c r="BH6" s="33"/>
      <c r="BI6" s="33"/>
      <c r="BJ6" s="33"/>
      <c r="BK6" s="33"/>
      <c r="BL6" s="33"/>
      <c r="BM6" s="33"/>
      <c r="BN6" s="41"/>
      <c r="BO6" s="33"/>
      <c r="BP6" s="33"/>
      <c r="BQ6" s="33"/>
      <c r="BR6" s="33"/>
      <c r="BS6" s="33"/>
      <c r="BT6" s="33"/>
      <c r="BU6" s="33"/>
      <c r="BV6" s="41"/>
      <c r="BW6" s="33"/>
      <c r="BX6" s="33"/>
      <c r="BY6" s="33"/>
      <c r="BZ6" s="33"/>
      <c r="CA6" s="33"/>
      <c r="CB6" s="41"/>
      <c r="CC6" s="33"/>
      <c r="CD6" s="33"/>
      <c r="CE6" s="41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41"/>
      <c r="CR6" s="41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41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57</v>
      </c>
      <c r="C6" s="45">
        <f>TODAY()-10</f>
        <v>45807</v>
      </c>
      <c r="D6" s="45">
        <f>TODAY()+2</f>
        <v>45819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53</v>
      </c>
      <c r="C6" s="33" t="s">
        <v>59</v>
      </c>
      <c r="D6" s="43"/>
      <c r="E6" s="44">
        <v>2500.0</v>
      </c>
      <c r="F6" s="33" t="s">
        <v>40</v>
      </c>
      <c r="G6" s="33" t="s">
        <v>50</v>
      </c>
      <c r="H6" s="44">
        <v>4.0</v>
      </c>
      <c r="I6" s="44">
        <v>5.0</v>
      </c>
      <c r="J6" s="44">
        <v>1.0</v>
      </c>
      <c r="K6" s="44">
        <v>10.0</v>
      </c>
      <c r="L6" s="44">
        <v>10.0</v>
      </c>
      <c r="M6" s="33" t="s">
        <v>42</v>
      </c>
      <c r="N6" s="33" t="s">
        <v>60</v>
      </c>
      <c r="O6" s="33" t="s">
        <v>52</v>
      </c>
      <c r="P6" s="33"/>
      <c r="Q6" s="44">
        <v>3.0</v>
      </c>
      <c r="R6" s="44"/>
      <c r="S6" s="33" t="s">
        <v>61</v>
      </c>
      <c r="T6" s="44"/>
      <c r="U6" s="44"/>
      <c r="V6" s="33" t="s">
        <v>62</v>
      </c>
      <c r="W6" s="42"/>
      <c r="X6" s="44"/>
      <c r="Y6" s="33"/>
      <c r="Z6" s="33" t="s">
        <v>46</v>
      </c>
      <c r="AA6" s="44"/>
      <c r="AB6" s="44">
        <v>1.0</v>
      </c>
      <c r="AC6" s="33"/>
      <c r="AD6" s="33" t="s">
        <v>43</v>
      </c>
      <c r="AE6" s="44">
        <v>2500.0</v>
      </c>
      <c r="AF6" s="33"/>
      <c r="AG6" s="42"/>
      <c r="AH6" s="33" t="s">
        <v>49</v>
      </c>
      <c r="AI6" s="44">
        <v>1.0</v>
      </c>
      <c r="AJ6" s="33" t="s">
        <v>63</v>
      </c>
      <c r="AK6" s="33"/>
      <c r="AL6" s="33"/>
      <c r="AM6" s="33"/>
      <c r="AN6" s="39" t="b">
        <v>0</v>
      </c>
      <c r="AO6" s="33"/>
      <c r="AP6" s="39" t="b">
        <v>0</v>
      </c>
      <c r="AQ6" s="39" t="b">
        <v>0</v>
      </c>
      <c r="AR6" s="39" t="b">
        <v>0</v>
      </c>
      <c r="AS6" s="44"/>
      <c r="AT6" s="44"/>
      <c r="AU6" s="44"/>
      <c r="AV6" s="42"/>
      <c r="AW6" s="44"/>
      <c r="AX6" s="44"/>
      <c r="AY6" s="33" t="s">
        <v>24</v>
      </c>
      <c r="AZ6" s="44"/>
      <c r="BA6" s="42"/>
      <c r="BB6" s="33"/>
      <c r="BC6" s="42"/>
      <c r="BD6" s="33" t="s">
        <v>64</v>
      </c>
      <c r="BE6" s="44">
        <v>25000.0</v>
      </c>
      <c r="BF6" s="44">
        <v>25000.0</v>
      </c>
      <c r="BG6" s="42"/>
      <c r="BH6" s="33"/>
      <c r="BI6" s="33"/>
      <c r="BJ6" s="44">
        <v>10000.0</v>
      </c>
      <c r="BK6" s="44"/>
      <c r="BL6" s="44"/>
      <c r="BM6" s="33" t="s">
        <v>46</v>
      </c>
      <c r="BN6" s="42"/>
      <c r="BO6" s="33" t="s">
        <v>22</v>
      </c>
      <c r="BP6" s="44"/>
      <c r="BQ6" s="44"/>
      <c r="BR6" s="44"/>
      <c r="BS6" s="33" t="s">
        <v>54</v>
      </c>
      <c r="BT6" s="33" t="s">
        <v>19</v>
      </c>
      <c r="BU6" s="44"/>
      <c r="BV6" s="42"/>
      <c r="BW6" s="44"/>
      <c r="BX6" s="44"/>
      <c r="BY6" s="33"/>
      <c r="BZ6" s="33"/>
      <c r="CA6" s="33"/>
      <c r="CB6" s="41"/>
      <c r="CC6" s="33"/>
      <c r="CD6" s="33"/>
      <c r="CE6" s="42"/>
      <c r="CF6" s="33" t="s">
        <v>45</v>
      </c>
      <c r="CG6" s="44"/>
      <c r="CH6" s="33" t="s">
        <v>65</v>
      </c>
      <c r="CI6" s="33" t="s">
        <v>22</v>
      </c>
      <c r="CJ6" s="44"/>
      <c r="CK6" s="33"/>
      <c r="CL6" s="44"/>
      <c r="CM6" s="33" t="s">
        <v>19</v>
      </c>
      <c r="CN6" s="33" t="s">
        <v>44</v>
      </c>
      <c r="CO6" s="33" t="s">
        <v>43</v>
      </c>
      <c r="CP6" s="33" t="s">
        <v>47</v>
      </c>
      <c r="CQ6" s="42"/>
      <c r="CR6" s="42"/>
      <c r="CS6" s="33"/>
      <c r="CT6" s="33"/>
      <c r="CU6" s="33"/>
      <c r="CV6" s="33"/>
      <c r="CW6" s="44"/>
      <c r="CX6" s="33" t="s">
        <v>53</v>
      </c>
      <c r="CY6" s="33"/>
      <c r="CZ6" s="33"/>
      <c r="DA6" s="33"/>
      <c r="DB6" s="33"/>
      <c r="DC6" s="41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53</v>
      </c>
      <c r="C6" s="33" t="s">
        <v>59</v>
      </c>
      <c r="D6" s="43"/>
      <c r="E6" s="44">
        <v>2500.0</v>
      </c>
      <c r="F6" s="33" t="s">
        <v>40</v>
      </c>
      <c r="G6" s="33" t="s">
        <v>50</v>
      </c>
      <c r="H6" s="44">
        <v>4.0</v>
      </c>
      <c r="I6" s="44">
        <v>5.0</v>
      </c>
      <c r="J6" s="44">
        <v>1.0</v>
      </c>
      <c r="K6" s="44">
        <v>10.0</v>
      </c>
      <c r="L6" s="44">
        <v>10.0</v>
      </c>
      <c r="M6" s="33" t="s">
        <v>42</v>
      </c>
      <c r="N6" s="33" t="s">
        <v>60</v>
      </c>
      <c r="O6" s="33" t="s">
        <v>52</v>
      </c>
      <c r="P6" s="33"/>
      <c r="Q6" s="44">
        <v>3.0</v>
      </c>
      <c r="R6" s="44"/>
      <c r="S6" s="33" t="s">
        <v>61</v>
      </c>
      <c r="T6" s="44"/>
      <c r="U6" s="44"/>
      <c r="V6" s="33" t="s">
        <v>62</v>
      </c>
      <c r="W6" s="42"/>
      <c r="X6" s="44"/>
      <c r="Y6" s="33"/>
      <c r="Z6" s="33" t="s">
        <v>46</v>
      </c>
      <c r="AA6" s="44"/>
      <c r="AB6" s="44">
        <v>1.0</v>
      </c>
      <c r="AC6" s="33"/>
      <c r="AD6" s="33" t="s">
        <v>43</v>
      </c>
      <c r="AE6" s="44">
        <v>2500.0</v>
      </c>
      <c r="AF6" s="33"/>
      <c r="AG6" s="42"/>
      <c r="AH6" s="33" t="s">
        <v>49</v>
      </c>
      <c r="AI6" s="44">
        <v>1.0</v>
      </c>
      <c r="AJ6" s="33" t="s">
        <v>63</v>
      </c>
      <c r="AK6" s="33"/>
      <c r="AL6" s="33"/>
      <c r="AM6" s="33"/>
      <c r="AN6" s="39" t="b">
        <v>0</v>
      </c>
      <c r="AO6" s="33"/>
      <c r="AP6" s="39" t="b">
        <v>0</v>
      </c>
      <c r="AQ6" s="39" t="b">
        <v>0</v>
      </c>
      <c r="AR6" s="39" t="b">
        <v>0</v>
      </c>
      <c r="AS6" s="44"/>
      <c r="AT6" s="44"/>
      <c r="AU6" s="44"/>
      <c r="AV6" s="42"/>
      <c r="AW6" s="44"/>
      <c r="AX6" s="44"/>
      <c r="AY6" s="33" t="s">
        <v>24</v>
      </c>
      <c r="AZ6" s="44"/>
      <c r="BA6" s="42"/>
      <c r="BB6" s="33"/>
      <c r="BC6" s="42"/>
      <c r="BD6" s="33" t="s">
        <v>64</v>
      </c>
      <c r="BE6" s="44">
        <v>25000.0</v>
      </c>
      <c r="BF6" s="44">
        <v>25000.0</v>
      </c>
      <c r="BG6" s="42"/>
      <c r="BH6" s="33"/>
      <c r="BI6" s="33"/>
      <c r="BJ6" s="44">
        <v>10000.0</v>
      </c>
      <c r="BK6" s="44"/>
      <c r="BL6" s="44"/>
      <c r="BM6" s="33" t="s">
        <v>46</v>
      </c>
      <c r="BN6" s="42"/>
      <c r="BO6" s="33" t="s">
        <v>22</v>
      </c>
      <c r="BP6" s="44"/>
      <c r="BQ6" s="44"/>
      <c r="BR6" s="44"/>
      <c r="BS6" s="33" t="s">
        <v>54</v>
      </c>
      <c r="BT6" s="33" t="s">
        <v>19</v>
      </c>
      <c r="BU6" s="44"/>
      <c r="BV6" s="42"/>
      <c r="BW6" s="44"/>
      <c r="BX6" s="44"/>
      <c r="BY6" s="33"/>
      <c r="BZ6" s="33"/>
      <c r="CA6" s="33"/>
      <c r="CB6" s="41"/>
      <c r="CC6" s="33"/>
      <c r="CD6" s="33"/>
      <c r="CE6" s="42"/>
      <c r="CF6" s="33" t="s">
        <v>45</v>
      </c>
      <c r="CG6" s="44">
        <v>2.0</v>
      </c>
      <c r="CH6" s="33" t="s">
        <v>65</v>
      </c>
      <c r="CI6" s="33" t="s">
        <v>22</v>
      </c>
      <c r="CJ6" s="44"/>
      <c r="CK6" s="33" t="s">
        <v>66</v>
      </c>
      <c r="CL6" s="44">
        <v>1.0</v>
      </c>
      <c r="CM6" s="33" t="s">
        <v>19</v>
      </c>
      <c r="CN6" s="33" t="s">
        <v>44</v>
      </c>
      <c r="CO6" s="33" t="s">
        <v>43</v>
      </c>
      <c r="CP6" s="33" t="s">
        <v>47</v>
      </c>
      <c r="CQ6" s="42"/>
      <c r="CR6" s="42"/>
      <c r="CS6" s="33"/>
      <c r="CT6" s="33"/>
      <c r="CU6" s="33"/>
      <c r="CV6" s="33"/>
      <c r="CW6" s="44"/>
      <c r="CX6" s="33" t="s">
        <v>53</v>
      </c>
      <c r="CY6" s="33"/>
      <c r="CZ6" s="33"/>
      <c r="DA6" s="33"/>
      <c r="DB6" s="33"/>
      <c r="DC6" s="41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53</v>
      </c>
      <c r="C7" s="33" t="s">
        <v>59</v>
      </c>
      <c r="D7" s="44"/>
      <c r="E7" s="44">
        <v>100.0</v>
      </c>
      <c r="F7" s="33" t="s">
        <v>67</v>
      </c>
      <c r="G7" s="33" t="s">
        <v>50</v>
      </c>
      <c r="H7" s="44">
        <v>4.0</v>
      </c>
      <c r="I7" s="44">
        <v>5.0</v>
      </c>
      <c r="J7" s="44">
        <v>1.0</v>
      </c>
      <c r="K7" s="44">
        <v>10.0</v>
      </c>
      <c r="L7" s="44">
        <v>10.0</v>
      </c>
      <c r="M7" s="33" t="s">
        <v>42</v>
      </c>
      <c r="N7" s="33" t="s">
        <v>60</v>
      </c>
      <c r="O7" s="33" t="s">
        <v>52</v>
      </c>
      <c r="P7" s="33"/>
      <c r="Q7" s="44">
        <v>3.0</v>
      </c>
      <c r="R7" s="44"/>
      <c r="S7" s="33" t="s">
        <v>61</v>
      </c>
      <c r="T7" s="44"/>
      <c r="U7" s="44"/>
      <c r="V7" s="33" t="s">
        <v>62</v>
      </c>
      <c r="W7" s="42"/>
      <c r="X7" s="44"/>
      <c r="Y7" s="33"/>
      <c r="Z7" s="33" t="s">
        <v>46</v>
      </c>
      <c r="AA7" s="44"/>
      <c r="AB7" s="44">
        <v>1.0</v>
      </c>
      <c r="AC7" s="33"/>
      <c r="AD7" s="33" t="s">
        <v>43</v>
      </c>
      <c r="AE7" s="44">
        <v>100.0</v>
      </c>
      <c r="AF7" s="33"/>
      <c r="AG7" s="42"/>
      <c r="AH7" s="33" t="s">
        <v>49</v>
      </c>
      <c r="AI7" s="44">
        <v>1.0</v>
      </c>
      <c r="AJ7" s="33" t="s">
        <v>63</v>
      </c>
      <c r="AK7" s="33"/>
      <c r="AL7" s="33"/>
      <c r="AM7" s="33" t="s">
        <v>48</v>
      </c>
      <c r="AN7" s="39" t="b">
        <v>0</v>
      </c>
      <c r="AO7" s="33"/>
      <c r="AP7" s="39" t="b">
        <v>0</v>
      </c>
      <c r="AQ7" s="39" t="b">
        <v>0</v>
      </c>
      <c r="AR7" s="39" t="b">
        <v>1</v>
      </c>
      <c r="AS7" s="44"/>
      <c r="AT7" s="44"/>
      <c r="AU7" s="44"/>
      <c r="AV7" s="42"/>
      <c r="AW7" s="44"/>
      <c r="AX7" s="44"/>
      <c r="AY7" s="33" t="s">
        <v>24</v>
      </c>
      <c r="AZ7" s="44"/>
      <c r="BA7" s="42"/>
      <c r="BB7" s="33"/>
      <c r="BC7" s="44"/>
      <c r="BD7" s="33" t="s">
        <v>64</v>
      </c>
      <c r="BE7" s="44">
        <v>1000.0</v>
      </c>
      <c r="BF7" s="44">
        <v>1000.0</v>
      </c>
      <c r="BG7" s="42"/>
      <c r="BH7" s="33"/>
      <c r="BI7" s="33"/>
      <c r="BJ7" s="44">
        <v>10000.0</v>
      </c>
      <c r="BK7" s="44"/>
      <c r="BL7" s="44"/>
      <c r="BM7" s="33" t="s">
        <v>46</v>
      </c>
      <c r="BN7" s="42"/>
      <c r="BO7" s="33" t="s">
        <v>22</v>
      </c>
      <c r="BP7" s="44"/>
      <c r="BQ7" s="44"/>
      <c r="BR7" s="44"/>
      <c r="BS7" s="33" t="s">
        <v>54</v>
      </c>
      <c r="BT7" s="33" t="s">
        <v>19</v>
      </c>
      <c r="BU7" s="44"/>
      <c r="BV7" s="44"/>
      <c r="BW7" s="44"/>
      <c r="BX7" s="44"/>
      <c r="BY7" s="33"/>
      <c r="BZ7" s="33"/>
      <c r="CA7" s="33"/>
      <c r="CB7" s="33"/>
      <c r="CC7" s="33"/>
      <c r="CD7" s="33"/>
      <c r="CE7" s="42"/>
      <c r="CF7" s="33" t="s">
        <v>45</v>
      </c>
      <c r="CG7" s="44">
        <v>2.0</v>
      </c>
      <c r="CH7" s="33" t="s">
        <v>17</v>
      </c>
      <c r="CI7" s="33" t="s">
        <v>22</v>
      </c>
      <c r="CJ7" s="44"/>
      <c r="CK7" s="33" t="s">
        <v>66</v>
      </c>
      <c r="CL7" s="44">
        <v>1.0</v>
      </c>
      <c r="CM7" s="33" t="s">
        <v>19</v>
      </c>
      <c r="CN7" s="33" t="s">
        <v>44</v>
      </c>
      <c r="CO7" s="33" t="s">
        <v>43</v>
      </c>
      <c r="CP7" s="33" t="s">
        <v>47</v>
      </c>
      <c r="CQ7" s="42"/>
      <c r="CR7" s="44"/>
      <c r="CS7" s="33"/>
      <c r="CT7" s="33"/>
      <c r="CU7" s="33"/>
      <c r="CV7" s="33"/>
      <c r="CW7" s="44"/>
      <c r="CX7" s="33" t="s">
        <v>53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12" t="s">
        <v>68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ChangeDate1!$4:$4</formula1>
    </dataValidation>
  </dataValidations>
  <drawing r:id="rId1"/>
</worksheet>
</file>