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GetMarkPriceData" sheetId="12" r:id="rId14"/>
  </sheets>
  <definedNames/>
  <calcPr/>
</workbook>
</file>

<file path=xl/sharedStrings.xml><?xml version="1.0" encoding="utf-8"?>
<sst xmlns="http://schemas.openxmlformats.org/spreadsheetml/2006/main" count="101" uniqueCount="38">
  <si>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</si>
  <si>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</si>
  <si>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</si>
  <si>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</si>
  <si>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</si>
  <si>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</si>
  <si>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</si>
  <si>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</si>
  <si>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</si>
  <si>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</si>
  <si>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</si>
  <si>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</si>
  <si>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</si>
  <si>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</si>
  <si>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</si>
  <si>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</si>
  <si>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</si>
  <si>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</si>
  <si>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</si>
  <si>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</si>
  <si>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</si>
  <si>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</si>
  <si>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</si>
  <si>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</si>
  <si>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Sell to Open</t>
  </si>
  <si>
    <t>S1</t>
  </si>
  <si>
    <t>S2</t>
  </si>
  <si>
    <t>DailyValuation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</si>
  <si>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</si>
  <si>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</si>
  <si>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</si>
  <si>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</si>
  <si>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</si>
  <si>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</si>
  <si>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</si>
  <si>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</si>
  <si>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</si>
  <si>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GetMarkPriceData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</si>
</sst>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TODAY()-4</f>
        <v>45060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TODAY()-3</f>
        <v>45061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TODAY()-2</f>
        <v>45062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23</v>
      </c>
      <c r="D6" s="36">
        <v>1100.0</v>
      </c>
      <c r="E6" s="33"/>
      <c r="F6" s="33"/>
      <c r="G6" s="33"/>
      <c r="H6" s="33"/>
      <c r="I6" s="33"/>
      <c r="J6" s="37">
        <v>1.0</v>
      </c>
      <c r="K6" s="33"/>
      <c r="L6" s="33"/>
      <c r="M6" s="33"/>
      <c r="N6" s="32">
        <f>TODAY()-8</f>
        <v>45056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24</v>
      </c>
      <c r="D7" s="37">
        <v>10.0</v>
      </c>
      <c r="E7" s="33"/>
      <c r="F7" s="33"/>
      <c r="G7" s="33"/>
      <c r="H7" s="33"/>
      <c r="I7" s="33"/>
      <c r="J7" s="37">
        <v>10.0</v>
      </c>
      <c r="K7" s="33"/>
      <c r="L7" s="33"/>
      <c r="M7" s="33"/>
      <c r="N7" s="32">
        <f>TODAY()-4</f>
        <v>45060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8" t="s">
        <v>24</v>
      </c>
      <c r="D8" s="37">
        <v>10.0</v>
      </c>
      <c r="E8" s="33"/>
      <c r="F8" s="33"/>
      <c r="G8" s="33"/>
      <c r="H8" s="33"/>
      <c r="I8" s="33"/>
      <c r="J8" s="37">
        <v>10.0</v>
      </c>
      <c r="K8" s="33"/>
      <c r="L8" s="33"/>
      <c r="M8" s="39" t="s">
        <v>25</v>
      </c>
      <c r="N8" s="32">
        <f>TODAY()-3</f>
        <v>45061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8" t="s">
        <v>24</v>
      </c>
      <c r="D9" s="37">
        <v>10.0</v>
      </c>
      <c r="E9" s="33"/>
      <c r="F9" s="33"/>
      <c r="G9" s="33"/>
      <c r="H9" s="33"/>
      <c r="I9" s="33"/>
      <c r="J9" s="37">
        <v>10.0</v>
      </c>
      <c r="K9" s="33"/>
      <c r="L9" s="33"/>
      <c r="M9" s="39" t="s">
        <v>26</v>
      </c>
      <c r="N9" s="32">
        <f>TODAY()-2</f>
        <v>45062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22</v>
      </c>
      <c r="C6" s="40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42" t="s">
        <v>31</v>
      </c>
      <c r="D6" s="42">
        <f>TODAY()</f>
        <v>45064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2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9" t="s">
        <v>25</v>
      </c>
      <c r="DE7" s="33"/>
      <c r="DF7" s="33"/>
      <c r="DG7" s="33"/>
      <c r="DH7" s="43" t="s">
        <v>16</v>
      </c>
      <c r="DI7" s="33"/>
      <c r="DJ7" s="33"/>
      <c r="DK7" s="33"/>
      <c r="DL7" s="33"/>
      <c r="DM7" s="33"/>
      <c r="DN7" s="33"/>
      <c r="DO7" s="33"/>
      <c r="DP7" s="33"/>
      <c r="DQ7" s="32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33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9" t="s">
        <v>26</v>
      </c>
      <c r="DE8" s="33"/>
      <c r="DF8" s="33"/>
      <c r="DG8" s="33"/>
      <c r="DH8" s="43" t="s">
        <v>16</v>
      </c>
      <c r="DI8" s="33"/>
      <c r="DJ8" s="33"/>
      <c r="DK8" s="33"/>
      <c r="DL8" s="33"/>
      <c r="DM8" s="33"/>
      <c r="DN8" s="33"/>
      <c r="DO8" s="33"/>
      <c r="DP8" s="33"/>
      <c r="DQ8" s="32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42" t="s">
        <v>31</v>
      </c>
      <c r="D6" s="42">
        <f>TODAY()</f>
        <v>45064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45063</v>
      </c>
      <c r="C6" s="32">
        <f>Today()</f>
        <v>45064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