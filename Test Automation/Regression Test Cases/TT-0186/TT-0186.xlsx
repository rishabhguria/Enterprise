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GetDataAllocation" sheetId="10" r:id="rId12"/>
    <sheet state="visible" name="CheckAllocatedGroups" sheetId="11" r:id="rId13"/>
    <sheet state="visible" name="CheckUnallocatedGroups" sheetId="12" r:id="rId14"/>
  </sheets>
  <definedNames/>
  <calcPr/>
</workbook>
</file>

<file path=xl/sharedStrings.xml><?xml version="1.0" encoding="utf-8"?>
<sst xmlns="http://schemas.openxmlformats.org/spreadsheetml/2006/main" count="101" uniqueCount="39">
  <si>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</si>
  <si>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</si>
  <si>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</si>
  <si>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</si>
  <si>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</si>
  <si>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</si>
  <si>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</si>
  <si>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</si>
  <si>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</si>
  <si>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</si>
  <si>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</si>
  <si>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</si>
  <si>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</si>
  <si>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</si>
  <si>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</si>
  <si>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</si>
  <si>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</si>
  <si>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</si>
  <si>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IBM</t>
  </si>
  <si>
    <t>Buy</t>
  </si>
  <si>
    <t>Allocation2,Allocation3</t>
  </si>
  <si>
    <t>60,40</t>
  </si>
  <si>
    <t>Allocation</t>
  </si>
  <si>
    <t>AddCalculatedPreferences</t>
  </si>
  <si>
    <t>prf7</t>
  </si>
  <si>
    <t>SetAccountValueCalculatedPref</t>
  </si>
  <si>
    <t>Allocation2</t>
  </si>
  <si>
    <t>Allocation3</t>
  </si>
  <si>
    <t>SetDefaultRuleCalculatedPref</t>
  </si>
  <si>
    <t>Prorata</t>
  </si>
  <si>
    <t>Allocation1,Allocation4</t>
  </si>
  <si>
    <t>GetDataAllocation</t>
  </si>
  <si>
    <t>Current</t>
  </si>
  <si>
    <t>CheckAllocatedGroups</t>
  </si>
  <si>
    <t>Multiple</t>
  </si>
  <si>
    <t>M</t>
  </si>
  <si>
    <t>Market</t>
  </si>
  <si>
    <t>CheckUnallocatedGroups</t>
  </si>
  <si>
    <t>IBM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</si>
</sst>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4" fontId="13" numFmtId="0" xfId="0" applyFont="1"/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 t="str">
        <f>IFERROR(__xludf.DUMMYFUNCTION("""COMPUTED_VALUE"""),"UpdateFee")</f>
        <v>UpdateFee</v>
      </c>
      <c r="U4" s="25" t="str">
        <f>IFERROR(__xludf.DUMMYFUNCTION("""COMPUTED_VALUE"""),"RevertingSMSharesOutValue")</f>
        <v>RevertingSMSharesOutValue</v>
      </c>
      <c r="V4" s="25" t="str">
        <f>IFERROR(__xludf.DUMMYFUNCTION("""COMPUTED_VALUE"""),"SetTTUIAdminPreferences")</f>
        <v>SetTTUIAdminPreferences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IFERROR(__xludf.DUMMYFUNCTION("""COMPUTED_VALUE"""),"UpdateRoundLot")</f>
        <v>UpdateRoundLot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2" t="b">
        <v>1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1" t="s">
        <v>19</v>
      </c>
      <c r="D6" s="33">
        <v>1000.0</v>
      </c>
      <c r="E6" s="31"/>
      <c r="F6" s="31"/>
      <c r="G6" s="31"/>
      <c r="H6" s="31"/>
      <c r="I6" s="31"/>
      <c r="J6" s="34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 t="s">
        <v>20</v>
      </c>
      <c r="AL6" s="31" t="s">
        <v>21</v>
      </c>
      <c r="AM6" s="31"/>
      <c r="AN6" s="31"/>
      <c r="AO6" s="31"/>
      <c r="AP6" s="31"/>
      <c r="AQ6" s="31"/>
      <c r="AR6" s="35">
        <v>0.0</v>
      </c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24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24</v>
      </c>
      <c r="C6" s="31" t="s">
        <v>26</v>
      </c>
      <c r="D6" s="33">
        <v>80.0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5" t="s">
        <v>24</v>
      </c>
      <c r="C7" s="31" t="s">
        <v>27</v>
      </c>
      <c r="D7" s="34">
        <v>20.0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 t="s">
        <v>29</v>
      </c>
      <c r="E6" s="37" t="s">
        <v>30</v>
      </c>
      <c r="F6" s="31"/>
      <c r="G6" s="32" t="b">
        <v>0</v>
      </c>
      <c r="H6" s="35" t="s">
        <v>24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1" t="s">
        <v>19</v>
      </c>
      <c r="D6" s="33">
        <v>9.9999999E7</v>
      </c>
      <c r="E6" s="31"/>
      <c r="F6" s="35" t="s">
        <v>24</v>
      </c>
      <c r="G6" s="31"/>
      <c r="H6" s="31"/>
      <c r="I6" s="31"/>
      <c r="J6" s="34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5">
        <v>0.0</v>
      </c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8" t="s">
        <v>32</v>
      </c>
      <c r="C6" s="8"/>
      <c r="D6" s="38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40" t="s">
        <v>34</v>
      </c>
      <c r="C6" s="8"/>
      <c r="D6" s="38"/>
      <c r="E6" s="41">
        <v>1000.0</v>
      </c>
      <c r="F6" s="8"/>
      <c r="G6" s="8"/>
      <c r="H6" s="42">
        <v>90.0</v>
      </c>
      <c r="I6" s="42">
        <v>0.0</v>
      </c>
      <c r="J6" s="8"/>
      <c r="K6" s="38">
        <v>10.0</v>
      </c>
      <c r="L6" s="38">
        <v>10.0</v>
      </c>
      <c r="M6" s="8"/>
      <c r="N6" s="8"/>
      <c r="O6" s="8"/>
      <c r="V6" s="9" t="s">
        <v>18</v>
      </c>
      <c r="AE6" s="9">
        <v>1000.0</v>
      </c>
      <c r="AH6" s="9" t="s">
        <v>35</v>
      </c>
      <c r="AI6" s="9">
        <v>1.0</v>
      </c>
      <c r="AT6" s="41">
        <v>10092.75</v>
      </c>
      <c r="AU6" s="41">
        <v>10092.75</v>
      </c>
      <c r="AY6" s="9" t="s">
        <v>36</v>
      </c>
      <c r="BE6" s="41">
        <v>10000.0</v>
      </c>
      <c r="BF6" s="41">
        <v>10000.0</v>
      </c>
      <c r="BJ6" s="9">
        <v>1000.0</v>
      </c>
      <c r="BO6" s="9" t="s">
        <v>19</v>
      </c>
      <c r="B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1c7aP-E18Fb8lEVGiXac03BLoNVdUNRzodD2Xjn-9pzU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8"/>
      <c r="C6" s="8"/>
      <c r="D6" s="38"/>
      <c r="E6" s="39"/>
      <c r="F6" s="8"/>
      <c r="G6" s="41">
        <v>9000000.0</v>
      </c>
      <c r="H6" s="38">
        <v>0.0</v>
      </c>
      <c r="I6" s="8"/>
      <c r="J6" s="38">
        <v>10.0</v>
      </c>
      <c r="K6" s="38">
        <v>10.0</v>
      </c>
      <c r="L6" s="40" t="s">
        <v>38</v>
      </c>
      <c r="M6" s="8"/>
      <c r="N6" s="8"/>
      <c r="O6" s="8"/>
      <c r="V6" s="9" t="s">
        <v>18</v>
      </c>
      <c r="AE6" s="41">
        <v>9.9999999E7</v>
      </c>
      <c r="AG6" s="9" t="s">
        <v>35</v>
      </c>
      <c r="AH6" s="9">
        <v>1.0</v>
      </c>
      <c r="AT6" s="9">
        <v>1.00917499099825E9</v>
      </c>
      <c r="AU6" s="9">
        <v>1.00917499099825E9</v>
      </c>
      <c r="BE6" s="41">
        <v>9.9999999E8</v>
      </c>
      <c r="BF6" s="41">
        <v>9.9999999E8</v>
      </c>
      <c r="BJ6" s="41">
        <v>9.9999999E7</v>
      </c>
      <c r="BO6" s="9" t="s">
        <v>19</v>
      </c>
      <c r="BS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hyperlinks>
    <hyperlink r:id="rId1" ref="DT4"/>
  </hyperlinks>
  <drawing r:id="rId2"/>
</worksheet>
</file>