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CheckPortfolioManagement" sheetId="7" r:id="rId9"/>
    <sheet state="visible" name="GetAccountBalance" sheetId="8" r:id="rId10"/>
    <sheet state="visible" name="VerifyAccountBalances" sheetId="9" r:id="rId11"/>
  </sheets>
  <definedNames/>
  <calcPr/>
</workbook>
</file>

<file path=xl/sharedStrings.xml><?xml version="1.0" encoding="utf-8"?>
<sst xmlns="http://schemas.openxmlformats.org/spreadsheetml/2006/main" count="72" uniqueCount="33">
  <si>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</si>
  <si>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</si>
  <si>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</si>
  <si>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</si>
  <si>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</si>
  <si>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</si>
  <si>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</si>
  <si>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</si>
  <si>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</si>
  <si>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</si>
  <si>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</si>
  <si>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</si>
  <si>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</si>
  <si>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</si>
  <si>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</si>
  <si>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</si>
  <si>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</si>
  <si>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</si>
  <si>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</si>
  <si>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DailyValuation</t>
  </si>
  <si>
    <t>GetMarkPriceData</t>
  </si>
  <si>
    <t>UpdateMarkPrice</t>
  </si>
  <si>
    <t>PortfolioManagement</t>
  </si>
  <si>
    <t>CheckPortfolioManagement</t>
  </si>
  <si>
    <t>GeneralLedger</t>
  </si>
  <si>
    <t>GetAccountBalance</t>
  </si>
  <si>
    <t>All MasterFund(s) Selected</t>
  </si>
  <si>
    <t>VerifyAccountBalances</t>
  </si>
  <si>
    <t>Investment - Long Equity</t>
  </si>
  <si>
    <t>Asset</t>
  </si>
  <si>
    <t>Trade Transaction</t>
  </si>
  <si>
    <t>USD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</si>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</sst>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6" fontId="14" numFmtId="0" xfId="0" applyAlignment="1" applyBorder="1" applyFill="1" applyFont="1">
      <alignment horizontal="right" readingOrder="0" shrinkToFit="0" wrapText="0"/>
    </xf>
    <xf borderId="6" fillId="7" fontId="14" numFmtId="0" xfId="0" applyAlignment="1" applyBorder="1" applyFill="1" applyFont="1">
      <alignment horizontal="right" readingOrder="0" shrinkToFit="0" wrapText="0"/>
    </xf>
    <xf borderId="5" fillId="7" fontId="14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2">
        <v>44849.0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today()-22</f>
        <v>44857</v>
      </c>
      <c r="C6" s="32">
        <f t="shared" si="1"/>
        <v>44857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33"/>
      <c r="C6" s="34" t="s">
        <v>16</v>
      </c>
      <c r="D6" s="35">
        <v>100.0</v>
      </c>
      <c r="E6" s="34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  <c r="P6" s="34"/>
      <c r="AN6" s="36" t="s">
        <v>17</v>
      </c>
      <c r="AO6" s="36"/>
      <c r="AP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37" t="s">
        <v>18</v>
      </c>
      <c r="D6" s="32">
        <f>today()-20</f>
        <v>44859</v>
      </c>
      <c r="E6" s="31"/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IFERROR(__xludf.DUMMYFUNCTION("""COMPUTED_VALUE"""),"A/c")</f>
        <v>A/c</v>
      </c>
      <c r="D5" s="28" t="str">
        <f>IFERROR(__xludf.DUMMYFUNCTION("""COMPUTED_VALUE"""),"Master A/c")</f>
        <v>Master A/c</v>
      </c>
      <c r="E5" s="28" t="str">
        <f>IFERROR(__xludf.DUMMYFUNCTION("""COMPUTED_VALUE"""),"A/c Type")</f>
        <v>A/c Type</v>
      </c>
      <c r="F5" s="29" t="str">
        <f>IFERROR(__xludf.DUMMYFUNCTION("""COMPUTED_VALUE"""),"Currency")</f>
        <v>Currency</v>
      </c>
      <c r="G5" s="28" t="str">
        <f>IFERROR(__xludf.DUMMYFUNCTION("""COMPUTED_VALUE"""),"Closing Balance (Dr)")</f>
        <v>Closing Balance (Dr)</v>
      </c>
      <c r="H5" s="28" t="str">
        <f>IFERROR(__xludf.DUMMYFUNCTION("""COMPUTED_VALUE"""),"Closing Balance (Cr)")</f>
        <v>Closing Balance (Cr)</v>
      </c>
      <c r="I5" s="28" t="str">
        <f>IFERROR(__xludf.DUMMYFUNCTION("""COMPUTED_VALUE"""),"Closing Balance Base (Dr)")</f>
        <v>Closing Balance Base (Dr)</v>
      </c>
      <c r="J5" s="28" t="str">
        <f>IFERROR(__xludf.DUMMYFUNCTION("""COMPUTED_VALUE"""),"Closing Balance Base (Cr)")</f>
        <v>Closing Balance Base (Cr)</v>
      </c>
      <c r="K5" s="28" t="str">
        <f>IFERROR(__xludf.DUMMYFUNCTION("""COMPUTED_VALUE"""),"SubCategory A/c")</f>
        <v>SubCategory A/c</v>
      </c>
      <c r="L5" s="28" t="str">
        <f>IFERROR(__xludf.DUMMYFUNCTION("""COMPUTED_VALUE"""),"Opening Balance Date")</f>
        <v>Opening Balance Date</v>
      </c>
      <c r="M5" s="28" t="str">
        <f>IFERROR(__xludf.DUMMYFUNCTION("""COMPUTED_VALUE"""),"TransactionDate")</f>
        <v>TransactionDate</v>
      </c>
      <c r="N5" s="28" t="str">
        <f>IFERROR(__xludf.DUMMYFUNCTION("""COMPUTED_VALUE"""),"Opening Balance (Dr)")</f>
        <v>Opening Balance (Dr)</v>
      </c>
      <c r="O5" s="28" t="str">
        <f>IFERROR(__xludf.DUMMYFUNCTION("""COMPUTED_VALUE"""),"Opening Balance (Cr)")</f>
        <v>Opening Balance (Cr)</v>
      </c>
      <c r="P5" s="28" t="str">
        <f>IFERROR(__xludf.DUMMYFUNCTION("""COMPUTED_VALUE"""),"Day Balance (Dr)")</f>
        <v>Day Balance (Dr)</v>
      </c>
      <c r="Q5" s="28" t="str">
        <f>IFERROR(__xludf.DUMMYFUNCTION("""COMPUTED_VALUE"""),"Day Balance (Cr)")</f>
        <v>Day Balance (Cr)</v>
      </c>
      <c r="R5" s="28" t="str">
        <f>IFERROR(__xludf.DUMMYFUNCTION("""COMPUTED_VALUE"""),"Opening Balance Base (Dr)")</f>
        <v>Opening Balance Base (Dr)</v>
      </c>
      <c r="S5" s="28" t="str">
        <f>IFERROR(__xludf.DUMMYFUNCTION("""COMPUTED_VALUE"""),"Opening Balance Base (Cr)")</f>
        <v>Opening Balance Base (Cr)</v>
      </c>
      <c r="T5" s="30" t="str">
        <f>IFERROR(__xludf.DUMMYFUNCTION("""COMPUTED_VALUE"""),"Day Balance Base (Dr)")</f>
        <v>Day Balance Base (Dr)</v>
      </c>
      <c r="U5" s="30" t="str">
        <f>IFERROR(__xludf.DUMMYFUNCTION("""COMPUTED_VALUE"""),"Day Balance Base (Cr)")</f>
        <v>Day Balance Base (Cr)</v>
      </c>
      <c r="V5" s="30" t="str">
        <f>IFERROR(__xludf.DUMMYFUNCTION("""COMPUTED_VALUE"""),"Base Currency")</f>
        <v>Base Currency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18</v>
      </c>
      <c r="C6" s="38" t="s">
        <v>28</v>
      </c>
      <c r="D6" s="38" t="s">
        <v>29</v>
      </c>
      <c r="E6" s="38" t="s">
        <v>30</v>
      </c>
      <c r="F6" s="38" t="s">
        <v>31</v>
      </c>
      <c r="G6" s="38">
        <v>1014.0006</v>
      </c>
      <c r="H6" s="38">
        <v>0.0</v>
      </c>
      <c r="I6" s="38">
        <v>1014.0006</v>
      </c>
      <c r="J6" s="38">
        <v>0.0</v>
      </c>
      <c r="K6" s="8"/>
      <c r="L6" s="8"/>
      <c r="M6" s="8"/>
      <c r="N6" s="8"/>
      <c r="O6" s="8"/>
    </row>
    <row r="7" ht="15.75" customHeight="1">
      <c r="A7" s="39"/>
      <c r="B7" s="39" t="s">
        <v>18</v>
      </c>
      <c r="C7" s="39" t="s">
        <v>32</v>
      </c>
      <c r="D7" s="39" t="s">
        <v>32</v>
      </c>
      <c r="E7" s="39" t="s">
        <v>32</v>
      </c>
      <c r="F7" s="39" t="s">
        <v>31</v>
      </c>
      <c r="G7" s="39">
        <v>0.0</v>
      </c>
      <c r="H7" s="39">
        <v>1014.0006</v>
      </c>
      <c r="I7" s="39">
        <v>0.0</v>
      </c>
      <c r="J7" s="39">
        <v>1014.0006</v>
      </c>
      <c r="K7" s="8"/>
      <c r="L7" s="8"/>
      <c r="M7" s="8"/>
      <c r="N7" s="8"/>
      <c r="O7" s="8"/>
    </row>
    <row r="8" ht="15.75" customHeight="1">
      <c r="A8" s="8"/>
      <c r="B8" s="38"/>
      <c r="C8" s="38"/>
      <c r="D8" s="38"/>
      <c r="E8" s="38"/>
      <c r="F8" s="38"/>
      <c r="G8" s="38"/>
      <c r="H8" s="38"/>
      <c r="I8" s="38"/>
      <c r="J8" s="38"/>
      <c r="K8" s="8"/>
      <c r="L8" s="8"/>
      <c r="M8" s="8"/>
      <c r="N8" s="8"/>
      <c r="O8" s="8"/>
    </row>
    <row r="9" ht="15.75" customHeight="1">
      <c r="A9" s="8"/>
      <c r="B9" s="39"/>
      <c r="C9" s="39"/>
      <c r="D9" s="39"/>
      <c r="E9" s="39"/>
      <c r="F9" s="39"/>
      <c r="G9" s="39"/>
      <c r="H9" s="39"/>
      <c r="I9" s="39"/>
      <c r="J9" s="39"/>
      <c r="K9" s="8"/>
      <c r="L9" s="8"/>
      <c r="M9" s="8"/>
      <c r="N9" s="8"/>
      <c r="O9" s="8"/>
    </row>
    <row r="10" ht="15.75" customHeight="1">
      <c r="A10" s="8"/>
      <c r="B10" s="38"/>
      <c r="C10" s="38"/>
      <c r="D10" s="38"/>
      <c r="E10" s="38"/>
      <c r="F10" s="38"/>
      <c r="G10" s="38"/>
      <c r="H10" s="38"/>
      <c r="I10" s="38"/>
      <c r="J10" s="38"/>
      <c r="K10" s="8"/>
      <c r="L10" s="8"/>
      <c r="M10" s="8"/>
      <c r="N10" s="8"/>
      <c r="O10" s="8"/>
    </row>
    <row r="11" ht="15.75" customHeight="1">
      <c r="A11" s="8"/>
      <c r="B11" s="40"/>
      <c r="C11" s="40"/>
      <c r="D11" s="40"/>
      <c r="E11" s="40"/>
      <c r="F11" s="40"/>
      <c r="G11" s="40"/>
      <c r="H11" s="40"/>
      <c r="I11" s="40"/>
      <c r="J11" s="40"/>
      <c r="K11" s="8"/>
      <c r="L11" s="8"/>
      <c r="M11" s="8"/>
      <c r="N11" s="8"/>
      <c r="O11" s="8"/>
    </row>
    <row r="12" ht="15.75" customHeight="1">
      <c r="A12" s="8"/>
      <c r="B12" s="38"/>
      <c r="C12" s="38"/>
      <c r="D12" s="38"/>
      <c r="E12" s="38"/>
      <c r="F12" s="38"/>
      <c r="G12" s="38"/>
      <c r="H12" s="38"/>
      <c r="I12" s="38"/>
      <c r="J12" s="38"/>
      <c r="K12" s="8"/>
      <c r="L12" s="8"/>
      <c r="M12" s="8"/>
      <c r="N12" s="8"/>
      <c r="O12" s="8"/>
    </row>
    <row r="13" ht="15.75" customHeight="1">
      <c r="A13" s="8"/>
      <c r="B13" s="39"/>
      <c r="C13" s="39"/>
      <c r="D13" s="39"/>
      <c r="E13" s="39"/>
      <c r="F13" s="39"/>
      <c r="G13" s="39"/>
      <c r="H13" s="39"/>
      <c r="I13" s="39"/>
      <c r="J13" s="39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VerifyAccountBalances!$4:$4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