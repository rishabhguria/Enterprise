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ilyCash" sheetId="5" r:id="rId7"/>
    <sheet state="visible" name="UpdateMultipleDailyCash" sheetId="6" r:id="rId8"/>
    <sheet state="visible" name="PricingInput" sheetId="7" r:id="rId9"/>
    <sheet state="visible" name="FetchAccountPositions" sheetId="8" r:id="rId10"/>
    <sheet state="visible" name="RunRebalance" sheetId="9" r:id="rId11"/>
    <sheet state="visible" name="SendtoStaging" sheetId="10" r:id="rId12"/>
    <sheet state="visible" name="VerifyOrder" sheetId="11" r:id="rId13"/>
    <sheet state="visible" name="AddCash" sheetId="12" r:id="rId14"/>
    <sheet state="visible" name="RebalanceAcrossSecurities" sheetId="13" r:id="rId15"/>
  </sheets>
  <definedNames/>
  <calcPr/>
</workbook>
</file>

<file path=xl/sharedStrings.xml><?xml version="1.0" encoding="utf-8"?>
<sst xmlns="http://schemas.openxmlformats.org/spreadsheetml/2006/main" count="115" uniqueCount="48">
  <si>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</si>
  <si>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</si>
  <si>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</si>
  <si>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</si>
  <si>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</si>
  <si>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</si>
  <si>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</si>
  <si>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</si>
  <si>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</si>
  <si>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</si>
  <si>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</si>
  <si>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</si>
  <si>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</si>
  <si>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</si>
  <si>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</si>
  <si>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</si>
  <si>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</si>
  <si>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</si>
  <si>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</si>
  <si>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</si>
  <si>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DailyValuation</t>
  </si>
  <si>
    <t>GetDailyCash</t>
  </si>
  <si>
    <t>UpdateMultipleDailyCash</t>
  </si>
  <si>
    <t>USD</t>
  </si>
  <si>
    <t>PricingInput</t>
  </si>
  <si>
    <t>Rebalancer</t>
  </si>
  <si>
    <t>FetchAccountPositions</t>
  </si>
  <si>
    <t>TRIAL</t>
  </si>
  <si>
    <t>Real-Time Positions</t>
  </si>
  <si>
    <t>Account</t>
  </si>
  <si>
    <t>Positions</t>
  </si>
  <si>
    <t>RunRebalance</t>
  </si>
  <si>
    <t>Nearest Round Off</t>
  </si>
  <si>
    <t>SendtoStaging</t>
  </si>
  <si>
    <t>Sell</t>
  </si>
  <si>
    <t>Blotter</t>
  </si>
  <si>
    <t>VerifyOrder</t>
  </si>
  <si>
    <t>New</t>
  </si>
  <si>
    <t>MS</t>
  </si>
  <si>
    <t>Multiple</t>
  </si>
  <si>
    <t>Market</t>
  </si>
  <si>
    <t>*Rebal#_AAPL</t>
  </si>
  <si>
    <t xml:space="preserve">Rebalancer
</t>
  </si>
  <si>
    <t>AddCash</t>
  </si>
  <si>
    <t>Impact NAV</t>
  </si>
  <si>
    <t>None</t>
  </si>
  <si>
    <t>RebalanceAcrossSecurities</t>
  </si>
  <si>
    <t>Decrease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</si>
</sst>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1155CC"/>
      <name val="Inconsolata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6" fontId="14" numFmtId="14" xfId="0" applyFill="1" applyFont="1" applyNumberFormat="1"/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vertical="bottom"/>
    </xf>
    <xf borderId="7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6" fillId="0" fontId="3" numFmtId="0" xfId="0" applyAlignment="1" applyBorder="1" applyFont="1">
      <alignment readingOrder="0" vertical="bottom"/>
    </xf>
    <xf borderId="6" fillId="0" fontId="3" numFmtId="0" xfId="0" applyAlignment="1" applyBorder="1" applyFont="1">
      <alignment vertical="bottom"/>
    </xf>
    <xf borderId="0" fillId="6" fontId="1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2">
        <v>100.0</v>
      </c>
      <c r="F6" s="31" t="s">
        <v>18</v>
      </c>
      <c r="G6" s="31"/>
      <c r="H6" s="31"/>
      <c r="I6" s="31"/>
      <c r="J6" s="33">
        <v>10.0</v>
      </c>
      <c r="K6" s="31"/>
      <c r="L6" s="31"/>
      <c r="M6" s="31"/>
      <c r="N6" s="34">
        <f t="shared" ref="N6:N7" si="1">TODAY()-1</f>
        <v>45196</v>
      </c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16</v>
      </c>
      <c r="C7" s="31" t="s">
        <v>17</v>
      </c>
      <c r="D7" s="32">
        <v>100.0</v>
      </c>
      <c r="E7" s="32">
        <v>100.0</v>
      </c>
      <c r="F7" s="35" t="s">
        <v>19</v>
      </c>
      <c r="G7" s="31"/>
      <c r="H7" s="31"/>
      <c r="I7" s="31"/>
      <c r="J7" s="33">
        <v>10.0</v>
      </c>
      <c r="K7" s="31"/>
      <c r="L7" s="31"/>
      <c r="M7" s="31"/>
      <c r="N7" s="34">
        <f t="shared" si="1"/>
        <v>45196</v>
      </c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>
        <f t="shared" ref="B6:C6" si="1">TODAY()-1</f>
        <v>45196</v>
      </c>
      <c r="C6" s="36">
        <f t="shared" si="1"/>
        <v>45196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18</v>
      </c>
      <c r="C6" s="38" t="s">
        <v>23</v>
      </c>
      <c r="D6" s="39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19</v>
      </c>
      <c r="C7" s="40" t="s">
        <v>23</v>
      </c>
      <c r="D7" s="41">
        <v>100000.0</v>
      </c>
      <c r="E7" s="3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2" t="s">
        <v>16</v>
      </c>
      <c r="C6" s="3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3" t="s">
        <v>27</v>
      </c>
      <c r="C6" s="44" t="s">
        <v>28</v>
      </c>
      <c r="D6" s="44" t="s">
        <v>29</v>
      </c>
      <c r="E6" s="44" t="s">
        <v>30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13" t="s">
        <v>34</v>
      </c>
      <c r="D6" s="13" t="s">
        <v>16</v>
      </c>
      <c r="E6" s="13">
        <v>100.0</v>
      </c>
      <c r="F6" s="13">
        <v>10.0</v>
      </c>
      <c r="G6" s="13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34</v>
      </c>
      <c r="D7" s="13" t="s">
        <v>16</v>
      </c>
      <c r="E7" s="13">
        <v>100.0</v>
      </c>
      <c r="F7" s="13">
        <v>10.0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/>
      <c r="B6" s="8"/>
      <c r="C6" s="8"/>
      <c r="D6" s="13">
        <v>10.0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34</v>
      </c>
      <c r="AK6" s="9" t="s">
        <v>37</v>
      </c>
      <c r="AL6" s="9">
        <v>200.0</v>
      </c>
      <c r="AS6" s="9" t="s">
        <v>38</v>
      </c>
      <c r="AT6" s="9" t="s">
        <v>39</v>
      </c>
      <c r="AU6" s="45" t="s">
        <v>40</v>
      </c>
      <c r="AX6" s="9" t="s">
        <v>41</v>
      </c>
      <c r="BG6" s="9" t="s">
        <v>42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>
        <v>100000.0</v>
      </c>
      <c r="C6" s="13" t="s">
        <v>44</v>
      </c>
      <c r="D6" s="13" t="s">
        <v>45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 t="str">
        <f>IFERROR(__xludf.DUMMYFUNCTION("""COMPUTED_VALUE"""),"NavImpactingComponent")</f>
        <v>NavImpactingComponent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IFERROR(__xludf.DUMMYFUNCTION("""COMPUTED_VALUE"""),"Set/Inc/Dec")</f>
        <v>Set/Inc/Dec</v>
      </c>
      <c r="D5" s="28" t="str">
        <f>IFERROR(__xludf.DUMMYFUNCTION("""COMPUTED_VALUE"""),"Target%")</f>
        <v>Target%</v>
      </c>
      <c r="E5" s="28" t="str">
        <f>IFERROR(__xludf.DUMMYFUNCTION("""COMPUTED_VALUE"""),"Account/Group")</f>
        <v>Account/Group</v>
      </c>
      <c r="F5" s="29" t="str">
        <f>IFERROR(__xludf.DUMMYFUNCTION("""COMPUTED_VALUE"""),"ReinvestCash")</f>
        <v>ReinvestCash</v>
      </c>
      <c r="G5" s="28" t="str">
        <f>IFERROR(__xludf.DUMMYFUNCTION("""COMPUTED_VALUE"""),"SellToRaiseCash")</f>
        <v>SellToRaiseCash</v>
      </c>
      <c r="H5" s="28" t="str">
        <f>IFERROR(__xludf.DUMMYFUNCTION("""COMPUTED_VALUE"""),"AllowNegCash")</f>
        <v>AllowNegCash</v>
      </c>
      <c r="I5" s="28" t="str">
        <f>IFERROR(__xludf.DUMMYFUNCTION("""COMPUTED_VALUE"""),"NoShortning")</f>
        <v>NoShortning</v>
      </c>
      <c r="J5" s="28" t="str">
        <f>IFERROR(__xludf.DUMMYFUNCTION("""COMPUTED_VALUE"""),"Price")</f>
        <v>Price</v>
      </c>
      <c r="K5" s="28" t="str">
        <f>IFERROR(__xludf.DUMMYFUNCTION("""COMPUTED_VALUE"""),"Fx")</f>
        <v>Fx</v>
      </c>
      <c r="L5" s="28" t="str">
        <f>IFERROR(__xludf.DUMMYFUNCTION("""COMPUTED_VALUE"""),"BPS SET")</f>
        <v>BPS SET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47</v>
      </c>
      <c r="D6" s="13">
        <v>12.0</v>
      </c>
      <c r="E6" s="8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