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ZeroPrice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UnWindTradeSettlement" sheetId="12" r:id="rId14"/>
    <sheet state="visible" name="GetTradingTransaction" sheetId="13" r:id="rId15"/>
    <sheet state="visible" name="VerifyTradingTransaction" sheetId="14" r:id="rId16"/>
  </sheets>
  <definedNames/>
  <calcPr/>
</workbook>
</file>

<file path=xl/sharedStrings.xml><?xml version="1.0" encoding="utf-8"?>
<sst xmlns="http://schemas.openxmlformats.org/spreadsheetml/2006/main" count="153" uniqueCount="44">
  <si>
    <t>Modules Info</t>
  </si>
  <si>
    <t>Settings</t>
  </si>
  <si>
    <t>Module Step Setting File</t>
  </si>
  <si>
    <t>1eFq-0rBBBruaRgYp8Plf3EAV1IQUFSYg9ee_wKGGGko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</si>
  <si>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</si>
  <si>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</si>
  <si>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</si>
  <si>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</si>
  <si>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</si>
  <si>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</si>
  <si>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</si>
  <si>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</si>
  <si>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</si>
  <si>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</si>
  <si>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</si>
  <si>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Modules</t>
  </si>
  <si>
    <t>USD/JPY 01/01/2016</t>
  </si>
  <si>
    <t>Buy</t>
  </si>
  <si>
    <t>Allocation1</t>
  </si>
  <si>
    <t>Closing</t>
  </si>
  <si>
    <t>GetDataClosing</t>
  </si>
  <si>
    <t>Current</t>
  </si>
  <si>
    <t>VerifyLongPositionsGrid</t>
  </si>
  <si>
    <t>FXForward</t>
  </si>
  <si>
    <t>JPY</t>
  </si>
  <si>
    <t>SelectTradeUnexpiredUnsettled</t>
  </si>
  <si>
    <t>CashSettlementAtZeroPrice</t>
  </si>
  <si>
    <t>VerifyExpiredSettledGrid</t>
  </si>
  <si>
    <t>NONE</t>
  </si>
  <si>
    <t>Long</t>
  </si>
  <si>
    <t>Allocation</t>
  </si>
  <si>
    <t>GetDataAllocation</t>
  </si>
  <si>
    <t>CheckAllocatedGroups</t>
  </si>
  <si>
    <t>Sell</t>
  </si>
  <si>
    <t>UnWindTradeSettlement</t>
  </si>
  <si>
    <t>GeneralLedger</t>
  </si>
  <si>
    <t>GetTradingTransaction</t>
  </si>
  <si>
    <t>SelectAll</t>
  </si>
  <si>
    <t>VerifyTradingTransaction</t>
  </si>
  <si>
    <t>USD</t>
  </si>
  <si>
    <t>Cash [Cash]</t>
  </si>
  <si>
    <t>Investment - Long FX Forward [Asset]</t>
  </si>
  <si>
    <t>Investment - Short FX Forward [Liability]</t>
  </si>
  <si>
    <t>FxForward Profit and Loss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</si>
</sst>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4" xfId="0" applyFont="1" applyNumberFormat="1"/>
    <xf borderId="0" fillId="0" fontId="4" numFmtId="14" xfId="0" applyAlignment="1" applyFont="1" applyNumberFormat="1">
      <alignment readingOrder="0" shrinkToFit="0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1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6" t="s">
        <v>15</v>
      </c>
      <c r="B3" s="22"/>
      <c r="C3" s="23"/>
      <c r="D3" s="23"/>
      <c r="E3" s="23"/>
      <c r="F3" s="23"/>
    </row>
    <row r="4" ht="15.75" customHeight="1">
      <c r="A4" s="5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5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2</v>
      </c>
      <c r="B3" s="7" t="s">
        <v>3</v>
      </c>
      <c r="C3" s="5"/>
    </row>
    <row r="4" ht="15.75" customHeight="1">
      <c r="A4" s="8" t="s">
        <v>4</v>
      </c>
      <c r="B4" s="7" t="s">
        <v>5</v>
      </c>
      <c r="C4" s="5"/>
    </row>
    <row r="5" ht="15.75" customHeight="1">
      <c r="A5" s="9"/>
      <c r="B5" s="5"/>
      <c r="C5" s="5"/>
    </row>
    <row r="6" ht="15.75" customHeight="1">
      <c r="A6" s="9"/>
      <c r="B6" s="5"/>
      <c r="C6" s="5"/>
    </row>
    <row r="7" ht="15.75" customHeight="1">
      <c r="A7" s="9"/>
      <c r="B7" s="5"/>
      <c r="C7" s="5"/>
    </row>
    <row r="8" ht="15.75" customHeight="1">
      <c r="A8" s="9"/>
      <c r="B8" s="5"/>
      <c r="C8" s="5"/>
    </row>
    <row r="9" ht="15.75" customHeight="1">
      <c r="A9" s="9"/>
      <c r="B9" s="5"/>
      <c r="C9" s="5"/>
    </row>
    <row r="10" ht="15.75" customHeight="1">
      <c r="A10" s="9"/>
      <c r="B10" s="5"/>
      <c r="C10" s="5"/>
    </row>
    <row r="11" ht="15.75" customHeight="1">
      <c r="A11" s="9"/>
      <c r="B11" s="5"/>
      <c r="C11" s="5"/>
    </row>
    <row r="12" ht="15.75" customHeight="1">
      <c r="A12" s="9"/>
      <c r="B12" s="5"/>
      <c r="C12" s="5"/>
    </row>
    <row r="13" ht="15.75" customHeight="1">
      <c r="A13" s="9"/>
      <c r="B13" s="5"/>
      <c r="C13" s="5"/>
    </row>
    <row r="14" ht="15.75" customHeight="1">
      <c r="A14" s="9"/>
      <c r="B14" s="5"/>
      <c r="C14" s="5"/>
    </row>
    <row r="15" ht="15.75" customHeight="1">
      <c r="A15" s="9"/>
      <c r="B15" s="5"/>
      <c r="C15" s="5"/>
    </row>
    <row r="16" ht="15.75" customHeight="1">
      <c r="A16" s="9"/>
      <c r="B16" s="5"/>
      <c r="C16" s="5"/>
    </row>
    <row r="17" ht="15.75" customHeight="1">
      <c r="A17" s="9"/>
      <c r="B17" s="5"/>
      <c r="C17" s="5"/>
    </row>
    <row r="18" ht="15.75" customHeight="1">
      <c r="A18" s="9"/>
      <c r="B18" s="5"/>
      <c r="C18" s="5"/>
    </row>
    <row r="19" ht="15.75" customHeight="1">
      <c r="A19" s="9"/>
      <c r="B19" s="5"/>
      <c r="C19" s="5"/>
    </row>
    <row r="20" ht="15.75" customHeight="1">
      <c r="A20" s="9"/>
      <c r="B20" s="5"/>
      <c r="C20" s="5"/>
    </row>
    <row r="21" ht="15.75" customHeight="1">
      <c r="A21" s="9"/>
      <c r="B21" s="5"/>
      <c r="C21" s="5"/>
    </row>
    <row r="22" ht="15.75" customHeight="1">
      <c r="A22" s="9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6</v>
      </c>
      <c r="B1" s="3"/>
      <c r="C1" s="3"/>
      <c r="D1" s="3"/>
      <c r="E1" s="3"/>
      <c r="F1" s="4"/>
    </row>
    <row r="2">
      <c r="A2" s="11"/>
      <c r="B2" s="11"/>
      <c r="C2" s="11"/>
      <c r="D2" s="11"/>
      <c r="E2" s="11"/>
      <c r="F2" s="11"/>
    </row>
    <row r="3">
      <c r="A3" s="8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1b5S4Xpp4fgZ1ez6cK92QFnVBylqz8jhwxdAyEvwDqUI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11</v>
      </c>
      <c r="D3" s="6" t="s">
        <v>8</v>
      </c>
      <c r="E3" s="19" t="s">
        <v>12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IFERROR(__xludf.DUMMYFUNCTION("IF(C3="""","""",Transpose(IMPORTRANGE('_Settings'!$B$3,C3&amp;""!A4:A1000"")))"),"OpenTTFromPST")</f>
        <v>OpenTTFromPST</v>
      </c>
      <c r="C4" s="21" t="str">
        <f>IFERROR(__xludf.DUMMYFUNCTION("""COMPUTED_VALUE"""),"EnterDetailsOnTT")</f>
        <v>EnterDetailsOnTT</v>
      </c>
      <c r="D4" s="21" t="str">
        <f>IFERROR(__xludf.DUMMYFUNCTION("""COMPUTED_VALUE"""),"ValidateSymbolTT")</f>
        <v>ValidateSymbolTT</v>
      </c>
      <c r="E4" s="21" t="str">
        <f>IFERROR(__xludf.DUMMYFUNCTION("""COMPUTED_VALUE"""),"VerifyDataTT")</f>
        <v>VerifyDataTT</v>
      </c>
      <c r="F4" s="21" t="str">
        <f>IFERROR(__xludf.DUMMYFUNCTION("""COMPUTED_VALUE"""),"SetUIPreferencesTT")</f>
        <v>SetUIPreferencesTT</v>
      </c>
      <c r="G4" s="21" t="str">
        <f>IFERROR(__xludf.DUMMYFUNCTION("""COMPUTED_VALUE"""),"SetBrokerWisePreferencesTT")</f>
        <v>SetBrokerWisePreferencesTT</v>
      </c>
      <c r="H4" s="21" t="str">
        <f>IFERROR(__xludf.DUMMYFUNCTION("""COMPUTED_VALUE"""),"TradeNewSub")</f>
        <v>TradeNewSub</v>
      </c>
      <c r="I4" s="21" t="str">
        <f>IFERROR(__xludf.DUMMYFUNCTION("""COMPUTED_VALUE"""),"CreateStageOrder")</f>
        <v>CreateStageOrder</v>
      </c>
      <c r="J4" s="21" t="str">
        <f>IFERROR(__xludf.DUMMYFUNCTION("""COMPUTED_VALUE"""),"CreateReplaceOrder")</f>
        <v>CreateReplaceOrder</v>
      </c>
      <c r="K4" s="21" t="str">
        <f>IFERROR(__xludf.DUMMYFUNCTION("""COMPUTED_VALUE"""),"SetGeneralPreference")</f>
        <v>SetGeneralPreference</v>
      </c>
      <c r="L4" s="21" t="str">
        <f>IFERROR(__xludf.DUMMYFUNCTION("""COMPUTED_VALUE"""),"CreateDoneAwayOrder")</f>
        <v>CreateDoneAwayOrder</v>
      </c>
      <c r="M4" s="21" t="str">
        <f>IFERROR(__xludf.DUMMYFUNCTION("""COMPUTED_VALUE"""),"CreateNewSubOrder")</f>
        <v>CreateNewSubOrder</v>
      </c>
      <c r="N4" s="21" t="str">
        <f>IFERROR(__xludf.DUMMYFUNCTION("""COMPUTED_VALUE"""),"TradeBloomberg")</f>
        <v>TradeBloomberg</v>
      </c>
      <c r="O4" s="21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16</v>
      </c>
      <c r="C6" s="7" t="s">
        <v>17</v>
      </c>
      <c r="D6" s="7">
        <v>90.0</v>
      </c>
      <c r="E6" s="7">
        <v>90.0</v>
      </c>
      <c r="F6" s="7" t="s">
        <v>18</v>
      </c>
      <c r="G6" s="5"/>
      <c r="H6" s="5"/>
      <c r="I6" s="5"/>
      <c r="J6" s="7">
        <v>5.0</v>
      </c>
      <c r="K6" s="5"/>
      <c r="L6" s="5"/>
      <c r="M6" s="5"/>
      <c r="N6" s="29">
        <f>TODAY()</f>
        <v>43789</v>
      </c>
      <c r="O6" s="7">
        <v>1.0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20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21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22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31" t="s">
        <v>23</v>
      </c>
      <c r="D6" s="7"/>
      <c r="E6" s="30"/>
      <c r="F6" s="5"/>
      <c r="G6" s="5"/>
      <c r="H6" s="7">
        <v>450.0</v>
      </c>
      <c r="I6" s="7">
        <v>5.0</v>
      </c>
      <c r="J6" s="5"/>
      <c r="K6" s="5"/>
      <c r="L6" s="5"/>
      <c r="M6" s="7">
        <v>90.0</v>
      </c>
      <c r="N6" s="5"/>
      <c r="O6" s="7" t="s">
        <v>24</v>
      </c>
      <c r="P6" s="32" t="s">
        <v>17</v>
      </c>
      <c r="R6" s="32" t="s">
        <v>16</v>
      </c>
      <c r="U6" s="33">
        <f>TODAY()</f>
        <v>43789</v>
      </c>
      <c r="X6" s="32">
        <v>5.0</v>
      </c>
      <c r="Y6" s="32">
        <v>1.0</v>
      </c>
      <c r="Z6" s="32">
        <v>1.0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25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5"/>
      <c r="D6" s="7"/>
      <c r="E6" s="31" t="s">
        <v>23</v>
      </c>
      <c r="F6" s="5"/>
      <c r="G6" s="5"/>
      <c r="H6" s="5"/>
      <c r="I6" s="7">
        <v>5.0</v>
      </c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26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29">
        <f>TODAY()</f>
        <v>43789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27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31" t="s">
        <v>23</v>
      </c>
      <c r="D6" s="7"/>
      <c r="E6" s="34">
        <f>TODAY()</f>
        <v>43789</v>
      </c>
      <c r="F6" s="7">
        <v>0.0</v>
      </c>
      <c r="G6" s="7">
        <v>90.0</v>
      </c>
      <c r="H6" s="7" t="s">
        <v>28</v>
      </c>
      <c r="I6" s="5"/>
      <c r="J6" s="7"/>
      <c r="K6" s="5"/>
      <c r="L6" s="7"/>
      <c r="M6" s="5"/>
      <c r="N6" s="5"/>
      <c r="O6" s="7">
        <v>-450.0</v>
      </c>
      <c r="P6" s="32" t="s">
        <v>24</v>
      </c>
      <c r="T6" s="32">
        <v>5.0</v>
      </c>
      <c r="W6" s="32" t="s">
        <v>29</v>
      </c>
      <c r="Y6" s="32">
        <v>-450.0</v>
      </c>
      <c r="Z6" s="32" t="s">
        <v>17</v>
      </c>
      <c r="AB6" s="32" t="s">
        <v>16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30</v>
      </c>
      <c r="D3" s="6" t="s">
        <v>8</v>
      </c>
      <c r="E3" s="19" t="s">
        <v>31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21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30</v>
      </c>
      <c r="D3" s="6" t="s">
        <v>8</v>
      </c>
      <c r="E3" s="19" t="s">
        <v>32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tr">
        <f>IFERROR(__xludf.DUMMYFUNCTION("""COMPUTED_VALUE"""),"CheckAllocatedGroups")</f>
        <v>CheckAllocatedGroups</v>
      </c>
      <c r="D4" s="21" t="str">
        <f>IFERROR(__xludf.DUMMYFUNCTION("""COMPUTED_VALUE"""),"Unallocate")</f>
        <v>Unallocate</v>
      </c>
      <c r="E4" s="21" t="str">
        <f>IFERROR(__xludf.DUMMYFUNCTION("""COMPUTED_VALUE"""),"GetDataAllocation")</f>
        <v>GetDataAllocation</v>
      </c>
      <c r="F4" s="21" t="str">
        <f>IFERROR(__xludf.DUMMYFUNCTION("""COMPUTED_VALUE"""),"SelectAllocatedGroup")</f>
        <v>SelectAllocatedGroup</v>
      </c>
      <c r="G4" s="21" t="str">
        <f>IFERROR(__xludf.DUMMYFUNCTION("""COMPUTED_VALUE"""),"EditTradesAllocated")</f>
        <v>EditTradesAllocated</v>
      </c>
      <c r="H4" s="21" t="str">
        <f>IFERROR(__xludf.DUMMYFUNCTION("""COMPUTED_VALUE"""),"EditTradesUnallocated")</f>
        <v>EditTradesUnallocated</v>
      </c>
      <c r="I4" s="21" t="str">
        <f>IFERROR(__xludf.DUMMYFUNCTION("""COMPUTED_VALUE"""),"Reallocate")</f>
        <v>Reallocate</v>
      </c>
      <c r="J4" s="21" t="str">
        <f>IFERROR(__xludf.DUMMYFUNCTION("""COMPUTED_VALUE"""),"EditUnallocatedGroupSidePanel")</f>
        <v>EditUnallocatedGroupSidePanel</v>
      </c>
      <c r="K4" s="21" t="str">
        <f>IFERROR(__xludf.DUMMYFUNCTION("""COMPUTED_VALUE"""),"TradeAttributeBulkChange")</f>
        <v>TradeAttributeBulkChange</v>
      </c>
      <c r="L4" s="21" t="str">
        <f>IFERROR(__xludf.DUMMYFUNCTION("""COMPUTED_VALUE"""),"ApplyBulkUpdateOnGroups")</f>
        <v>ApplyBulkUpdateOnGroups</v>
      </c>
      <c r="M4" s="21" t="str">
        <f>IFERROR(__xludf.DUMMYFUNCTION("""COMPUTED_VALUE"""),"ApplyPrefetchFilters")</f>
        <v>ApplyPrefetchFilters</v>
      </c>
      <c r="N4" s="21" t="str">
        <f>IFERROR(__xludf.DUMMYFUNCTION("""COMPUTED_VALUE"""),"GeneralPreferencesDefaultRule")</f>
        <v>GeneralPreferencesDefaultRule</v>
      </c>
      <c r="O4" s="21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5"/>
      <c r="D6" s="7"/>
      <c r="E6" s="7">
        <v>90.0</v>
      </c>
      <c r="F6" s="5"/>
      <c r="G6" s="5"/>
      <c r="H6" s="5"/>
      <c r="I6" s="5"/>
      <c r="J6" s="5"/>
      <c r="K6" s="7"/>
      <c r="L6" s="7">
        <v>5.0</v>
      </c>
      <c r="M6" s="5"/>
      <c r="N6" s="5"/>
      <c r="O6" s="5"/>
      <c r="U6" s="32"/>
      <c r="AE6" s="32">
        <v>90.0</v>
      </c>
      <c r="BJ6" s="32">
        <v>90.0</v>
      </c>
      <c r="BO6" s="32" t="s">
        <v>17</v>
      </c>
      <c r="BT6" s="32" t="s">
        <v>16</v>
      </c>
    </row>
    <row r="7" ht="15.75" customHeight="1">
      <c r="A7" s="5"/>
      <c r="B7" s="7" t="s">
        <v>18</v>
      </c>
      <c r="C7" s="5"/>
      <c r="D7" s="5"/>
      <c r="E7" s="7">
        <v>90.0</v>
      </c>
      <c r="F7" s="5"/>
      <c r="G7" s="5"/>
      <c r="H7" s="5"/>
      <c r="I7" s="5"/>
      <c r="J7" s="5"/>
      <c r="K7" s="7">
        <v>0.0</v>
      </c>
      <c r="L7" s="7">
        <v>0.0</v>
      </c>
      <c r="M7" s="5"/>
      <c r="N7" s="5"/>
      <c r="O7" s="5"/>
      <c r="U7" s="32"/>
      <c r="AE7" s="32">
        <v>90.0</v>
      </c>
      <c r="BJ7" s="32">
        <v>90.0</v>
      </c>
      <c r="BO7" s="32" t="s">
        <v>33</v>
      </c>
      <c r="BT7" s="32" t="s">
        <v>16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19</v>
      </c>
      <c r="D3" s="6" t="s">
        <v>8</v>
      </c>
      <c r="E3" s="19" t="s">
        <v>34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IFERROR(__xludf.DUMMYFUNCTION("IF(C3="""","""",Transpose(IMPORTRANGE('_Settings'!$B$3,C3&amp;""!A4:A1000"")))"),"SwapExpire")</f>
        <v>SwapExpire</v>
      </c>
      <c r="C4" s="21" t="str">
        <f>IFERROR(__xludf.DUMMYFUNCTION("""COMPUTED_VALUE"""),"GetDataClosing")</f>
        <v>GetDataClosing</v>
      </c>
      <c r="D4" s="21" t="str">
        <f>IFERROR(__xludf.DUMMYFUNCTION("""COMPUTED_VALUE"""),"ManualClosing")</f>
        <v>ManualClosing</v>
      </c>
      <c r="E4" s="21" t="str">
        <f>IFERROR(__xludf.DUMMYFUNCTION("""COMPUTED_VALUE"""),"AutomaticClosing")</f>
        <v>AutomaticClosing</v>
      </c>
      <c r="F4" s="21" t="str">
        <f>IFERROR(__xludf.DUMMYFUNCTION("""COMPUTED_VALUE"""),"UnwindClosing")</f>
        <v>UnwindClosing</v>
      </c>
      <c r="G4" s="21" t="str">
        <f>IFERROR(__xludf.DUMMYFUNCTION("""COMPUTED_VALUE"""),"VerifyClosedTrades")</f>
        <v>VerifyClosedTrades</v>
      </c>
      <c r="H4" s="21" t="str">
        <f>IFERROR(__xludf.DUMMYFUNCTION("""COMPUTED_VALUE"""),"VerifyLongPositionsGrid")</f>
        <v>VerifyLongPositionsGrid</v>
      </c>
      <c r="I4" s="21" t="str">
        <f>IFERROR(__xludf.DUMMYFUNCTION("""COMPUTED_VALUE"""),"VerifyShortPositionsGrid")</f>
        <v>VerifyShortPositionsGrid</v>
      </c>
      <c r="J4" s="21" t="str">
        <f>IFERROR(__xludf.DUMMYFUNCTION("""COMPUTED_VALUE"""),"SelectTradeUnexpiredUnsettled")</f>
        <v>SelectTradeUnexpiredUnsettled</v>
      </c>
      <c r="K4" s="21" t="str">
        <f>IFERROR(__xludf.DUMMYFUNCTION("""COMPUTED_VALUE"""),"CashSettlementAtCost")</f>
        <v>CashSettlementAtCost</v>
      </c>
      <c r="L4" s="21" t="str">
        <f>IFERROR(__xludf.DUMMYFUNCTION("""COMPUTED_VALUE"""),"CashSettlementAtZeroPrice")</f>
        <v>CashSettlementAtZeroPrice</v>
      </c>
      <c r="M4" s="21" t="str">
        <f>IFERROR(__xludf.DUMMYFUNCTION("""COMPUTED_VALUE"""),"CashSettlementAtClosingDtSpotPx")</f>
        <v>CashSettlementAtClosingDtSpotPx</v>
      </c>
      <c r="N4" s="21" t="str">
        <f>IFERROR(__xludf.DUMMYFUNCTION("""COMPUTED_VALUE"""),"PhysicalSettlement")</f>
        <v>PhysicalSettlement</v>
      </c>
      <c r="O4" s="21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18</v>
      </c>
      <c r="C6" s="31" t="s">
        <v>23</v>
      </c>
      <c r="D6" s="7"/>
      <c r="E6" s="30"/>
      <c r="F6" s="7">
        <v>0.0</v>
      </c>
      <c r="G6" s="7">
        <v>90.0</v>
      </c>
      <c r="H6" s="7" t="s">
        <v>28</v>
      </c>
      <c r="I6" s="5"/>
      <c r="J6" s="7"/>
      <c r="K6" s="5"/>
      <c r="L6" s="5"/>
      <c r="M6" s="5"/>
      <c r="N6" s="5"/>
      <c r="O6" s="5"/>
      <c r="V6" s="32" t="s">
        <v>29</v>
      </c>
      <c r="Y6" s="32" t="s">
        <v>17</v>
      </c>
      <c r="AA6" s="32" t="s">
        <v>16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1IuJkgEDoDUSnmXhZVZdA_x-3VnlMPyzRsUMpf_eRTTQ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35</v>
      </c>
      <c r="D3" s="6" t="s">
        <v>8</v>
      </c>
      <c r="E3" s="19" t="s">
        <v>36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IFERROR(__xludf.DUMMYFUNCTION("IF(C3="""","""",Transpose(IMPORTRANGE('_Settings'!$B$3,C3&amp;""!A4:A1000"")))"),"GetDataCash")</f>
        <v>GetDataCash</v>
      </c>
      <c r="C4" s="21" t="str">
        <f>IFERROR(__xludf.DUMMYFUNCTION("""COMPUTED_VALUE"""),"EnterCashDividends")</f>
        <v>EnterCashDividends</v>
      </c>
      <c r="D4" s="21" t="str">
        <f>IFERROR(__xludf.DUMMYFUNCTION("""COMPUTED_VALUE"""),"EnterNonTradingTransaction")</f>
        <v>EnterNonTradingTransaction</v>
      </c>
      <c r="E4" s="21" t="str">
        <f>IFERROR(__xludf.DUMMYFUNCTION("""COMPUTED_VALUE"""),"VerifyCash")</f>
        <v>VerifyCash</v>
      </c>
      <c r="F4" s="21" t="str">
        <f>IFERROR(__xludf.DUMMYFUNCTION("""COMPUTED_VALUE"""),"VerifyActivity")</f>
        <v>VerifyActivity</v>
      </c>
      <c r="G4" s="21" t="str">
        <f>IFERROR(__xludf.DUMMYFUNCTION("""COMPUTED_VALUE"""),"VerifyTradingTransaction")</f>
        <v>VerifyTradingTransaction</v>
      </c>
      <c r="H4" s="21" t="str">
        <f>IFERROR(__xludf.DUMMYFUNCTION("""COMPUTED_VALUE"""),"VerifyRevaluationData")</f>
        <v>VerifyRevaluationData</v>
      </c>
      <c r="I4" s="21" t="str">
        <f>IFERROR(__xludf.DUMMYFUNCTION("""COMPUTED_VALUE"""),"GetTradingTransaction")</f>
        <v>GetTradingTransaction</v>
      </c>
      <c r="J4" s="21" t="str">
        <f>IFERROR(__xludf.DUMMYFUNCTION("""COMPUTED_VALUE"""),"GetActivityData")</f>
        <v>GetActivityData</v>
      </c>
      <c r="K4" s="21" t="str">
        <f>IFERROR(__xludf.DUMMYFUNCTION("""COMPUTED_VALUE"""),"GetRevaluationData")</f>
        <v>GetRevaluationData</v>
      </c>
      <c r="L4" s="21" t="str">
        <f>IFERROR(__xludf.DUMMYFUNCTION("""COMPUTED_VALUE"""),"GetAccountDetails")</f>
        <v>GetAccountDetails</v>
      </c>
      <c r="M4" s="21" t="str">
        <f>IFERROR(__xludf.DUMMYFUNCTION("""COMPUTED_VALUE"""),"GetNonTradingTransaction")</f>
        <v>GetNonTradingTransaction</v>
      </c>
      <c r="N4" s="21" t="str">
        <f>IFERROR(__xludf.DUMMYFUNCTION("""COMPUTED_VALUE"""),"GetDividendData")</f>
        <v>GetDividendData</v>
      </c>
      <c r="O4" s="21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 t="s">
        <v>37</v>
      </c>
      <c r="C6" s="7" t="s">
        <v>18</v>
      </c>
      <c r="D6" s="34">
        <f t="shared" ref="D6:E6" si="1">TODAY()</f>
        <v>43789</v>
      </c>
      <c r="E6" s="34">
        <f t="shared" si="1"/>
        <v>43789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4.29"/>
    <col customWidth="1" min="18" max="154" width="14.43"/>
  </cols>
  <sheetData>
    <row r="1" ht="15.75" customHeight="1">
      <c r="A1" s="15"/>
      <c r="B1" s="1" t="s">
        <v>10</v>
      </c>
      <c r="C1" s="3"/>
      <c r="D1" s="3"/>
      <c r="E1" s="3"/>
      <c r="F1" s="3"/>
      <c r="G1" s="3"/>
      <c r="H1" s="4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7" t="str">
        <f> VLOOKUP($E$3,'_MasterData'!B4:D1000,3,FALSE)</f>
        <v>#N/A</v>
      </c>
      <c r="K2" s="17"/>
      <c r="L2" s="5"/>
      <c r="M2" s="5"/>
      <c r="N2" s="5"/>
      <c r="O2" s="5"/>
    </row>
    <row r="3" ht="15.75" customHeight="1">
      <c r="A3" s="18"/>
      <c r="B3" s="6" t="s">
        <v>7</v>
      </c>
      <c r="C3" s="19" t="s">
        <v>35</v>
      </c>
      <c r="D3" s="6" t="s">
        <v>8</v>
      </c>
      <c r="E3" s="19" t="s">
        <v>38</v>
      </c>
      <c r="F3" s="6" t="s">
        <v>13</v>
      </c>
      <c r="G3" s="9" t="s">
        <v>14</v>
      </c>
      <c r="H3" s="6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IFERROR(__xludf.DUMMYFUNCTION("IF(C3="""","""",Transpose(IMPORTRANGE('_Settings'!$B$3,C3&amp;""!A4:A1000"")))"),"GetDataCash")</f>
        <v>GetDataCash</v>
      </c>
      <c r="C4" s="21" t="str">
        <f>IFERROR(__xludf.DUMMYFUNCTION("""COMPUTED_VALUE"""),"EnterCashDividends")</f>
        <v>EnterCashDividends</v>
      </c>
      <c r="D4" s="21" t="str">
        <f>IFERROR(__xludf.DUMMYFUNCTION("""COMPUTED_VALUE"""),"EnterNonTradingTransaction")</f>
        <v>EnterNonTradingTransaction</v>
      </c>
      <c r="E4" s="21" t="str">
        <f>IFERROR(__xludf.DUMMYFUNCTION("""COMPUTED_VALUE"""),"VerifyCash")</f>
        <v>VerifyCash</v>
      </c>
      <c r="F4" s="21" t="str">
        <f>IFERROR(__xludf.DUMMYFUNCTION("""COMPUTED_VALUE"""),"VerifyActivity")</f>
        <v>VerifyActivity</v>
      </c>
      <c r="G4" s="21" t="str">
        <f>IFERROR(__xludf.DUMMYFUNCTION("""COMPUTED_VALUE"""),"VerifyTradingTransaction")</f>
        <v>VerifyTradingTransaction</v>
      </c>
      <c r="H4" s="21" t="str">
        <f>IFERROR(__xludf.DUMMYFUNCTION("""COMPUTED_VALUE"""),"VerifyRevaluationData")</f>
        <v>VerifyRevaluationData</v>
      </c>
      <c r="I4" s="21" t="str">
        <f>IFERROR(__xludf.DUMMYFUNCTION("""COMPUTED_VALUE"""),"GetTradingTransaction")</f>
        <v>GetTradingTransaction</v>
      </c>
      <c r="J4" s="21" t="str">
        <f>IFERROR(__xludf.DUMMYFUNCTION("""COMPUTED_VALUE"""),"GetActivityData")</f>
        <v>GetActivityData</v>
      </c>
      <c r="K4" s="21" t="str">
        <f>IFERROR(__xludf.DUMMYFUNCTION("""COMPUTED_VALUE"""),"GetRevaluationData")</f>
        <v>GetRevaluationData</v>
      </c>
      <c r="L4" s="21" t="str">
        <f>IFERROR(__xludf.DUMMYFUNCTION("""COMPUTED_VALUE"""),"GetAccountDetails")</f>
        <v>GetAccountDetails</v>
      </c>
      <c r="M4" s="21" t="str">
        <f>IFERROR(__xludf.DUMMYFUNCTION("""COMPUTED_VALUE"""),"GetNonTradingTransaction")</f>
        <v>GetNonTradingTransaction</v>
      </c>
      <c r="N4" s="21" t="str">
        <f>IFERROR(__xludf.DUMMYFUNCTION("""COMPUTED_VALUE"""),"GetDividendData")</f>
        <v>GetDividendData</v>
      </c>
      <c r="O4" s="21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6">
        <f t="shared" ref="B6:B13" si="1">Today()</f>
        <v>43789</v>
      </c>
      <c r="C6" s="37"/>
      <c r="D6" s="35"/>
      <c r="E6" s="38">
        <v>90.0</v>
      </c>
      <c r="F6" s="37"/>
      <c r="G6" s="37"/>
      <c r="H6" s="37"/>
      <c r="I6" s="37"/>
      <c r="J6" s="37"/>
      <c r="K6" s="39" t="s">
        <v>39</v>
      </c>
      <c r="L6" s="37"/>
      <c r="M6" s="39" t="s">
        <v>16</v>
      </c>
      <c r="N6" s="37"/>
      <c r="O6" s="37"/>
      <c r="P6" s="40"/>
      <c r="Q6" s="41" t="s">
        <v>40</v>
      </c>
      <c r="R6" s="41" t="s">
        <v>18</v>
      </c>
    </row>
    <row r="7" ht="15.75" customHeight="1">
      <c r="A7" s="37"/>
      <c r="B7" s="42">
        <f t="shared" si="1"/>
        <v>43789</v>
      </c>
      <c r="C7" s="37"/>
      <c r="D7" s="37"/>
      <c r="E7" s="37"/>
      <c r="F7" s="38">
        <v>90.0</v>
      </c>
      <c r="G7" s="37"/>
      <c r="H7" s="37"/>
      <c r="I7" s="37"/>
      <c r="J7" s="37"/>
      <c r="K7" s="39" t="s">
        <v>39</v>
      </c>
      <c r="L7" s="37"/>
      <c r="M7" s="39" t="s">
        <v>16</v>
      </c>
      <c r="N7" s="37"/>
      <c r="O7" s="37"/>
      <c r="P7" s="40"/>
      <c r="Q7" s="41" t="s">
        <v>41</v>
      </c>
      <c r="R7" s="41" t="s">
        <v>18</v>
      </c>
    </row>
    <row r="8" ht="15.75" customHeight="1">
      <c r="A8" s="37"/>
      <c r="B8" s="36">
        <f t="shared" si="1"/>
        <v>43789</v>
      </c>
      <c r="C8" s="37"/>
      <c r="D8" s="37"/>
      <c r="E8" s="38">
        <v>450.0</v>
      </c>
      <c r="F8" s="37"/>
      <c r="G8" s="37"/>
      <c r="H8" s="37"/>
      <c r="I8" s="37"/>
      <c r="J8" s="37"/>
      <c r="K8" s="39" t="s">
        <v>24</v>
      </c>
      <c r="L8" s="37"/>
      <c r="M8" s="39" t="s">
        <v>16</v>
      </c>
      <c r="N8" s="37"/>
      <c r="O8" s="37"/>
      <c r="P8" s="40"/>
      <c r="Q8" s="41" t="s">
        <v>42</v>
      </c>
      <c r="R8" s="41" t="s">
        <v>18</v>
      </c>
    </row>
    <row r="9" ht="15.75" customHeight="1">
      <c r="A9" s="37"/>
      <c r="B9" s="36">
        <f t="shared" si="1"/>
        <v>43789</v>
      </c>
      <c r="C9" s="37"/>
      <c r="D9" s="37"/>
      <c r="E9" s="37"/>
      <c r="F9" s="38">
        <v>450.0</v>
      </c>
      <c r="G9" s="37"/>
      <c r="H9" s="37"/>
      <c r="I9" s="37"/>
      <c r="J9" s="37"/>
      <c r="K9" s="39" t="s">
        <v>24</v>
      </c>
      <c r="L9" s="37"/>
      <c r="M9" s="39" t="s">
        <v>16</v>
      </c>
      <c r="N9" s="37"/>
      <c r="O9" s="37"/>
      <c r="P9" s="40"/>
      <c r="Q9" s="41" t="s">
        <v>40</v>
      </c>
      <c r="R9" s="41" t="s">
        <v>18</v>
      </c>
    </row>
    <row r="10" ht="15.75" customHeight="1">
      <c r="A10" s="37"/>
      <c r="B10" s="36">
        <f t="shared" si="1"/>
        <v>43789</v>
      </c>
      <c r="C10" s="37"/>
      <c r="D10" s="37"/>
      <c r="E10" s="38">
        <v>90.0</v>
      </c>
      <c r="F10" s="37"/>
      <c r="G10" s="37"/>
      <c r="H10" s="37"/>
      <c r="I10" s="37"/>
      <c r="J10" s="37"/>
      <c r="K10" s="39" t="s">
        <v>39</v>
      </c>
      <c r="L10" s="37"/>
      <c r="M10" s="39" t="s">
        <v>16</v>
      </c>
      <c r="N10" s="37"/>
      <c r="O10" s="37"/>
      <c r="P10" s="40"/>
      <c r="Q10" s="41" t="s">
        <v>43</v>
      </c>
      <c r="R10" s="41" t="s">
        <v>18</v>
      </c>
    </row>
    <row r="11" ht="15.75" customHeight="1">
      <c r="A11" s="37"/>
      <c r="B11" s="36">
        <f t="shared" si="1"/>
        <v>43789</v>
      </c>
      <c r="C11" s="37"/>
      <c r="D11" s="37"/>
      <c r="E11" s="37"/>
      <c r="F11" s="38">
        <v>90.0</v>
      </c>
      <c r="G11" s="37"/>
      <c r="H11" s="37"/>
      <c r="I11" s="37"/>
      <c r="J11" s="37"/>
      <c r="K11" s="39" t="s">
        <v>39</v>
      </c>
      <c r="L11" s="37"/>
      <c r="M11" s="39" t="s">
        <v>16</v>
      </c>
      <c r="N11" s="37"/>
      <c r="O11" s="37"/>
      <c r="P11" s="40"/>
      <c r="Q11" s="41" t="s">
        <v>40</v>
      </c>
      <c r="R11" s="41" t="s">
        <v>18</v>
      </c>
    </row>
    <row r="12" ht="15.75" customHeight="1">
      <c r="A12" s="37"/>
      <c r="B12" s="36">
        <f t="shared" si="1"/>
        <v>43789</v>
      </c>
      <c r="C12" s="37"/>
      <c r="D12" s="37"/>
      <c r="E12" s="43">
        <v>90.0</v>
      </c>
      <c r="F12" s="40"/>
      <c r="G12" s="37"/>
      <c r="H12" s="37"/>
      <c r="I12" s="37"/>
      <c r="J12" s="37"/>
      <c r="K12" s="39" t="s">
        <v>39</v>
      </c>
      <c r="L12" s="37"/>
      <c r="M12" s="39" t="s">
        <v>16</v>
      </c>
      <c r="N12" s="37"/>
      <c r="O12" s="37"/>
      <c r="P12" s="40"/>
      <c r="Q12" s="41" t="s">
        <v>41</v>
      </c>
      <c r="R12" s="41" t="s">
        <v>18</v>
      </c>
    </row>
    <row r="13" ht="15.75" customHeight="1">
      <c r="A13" s="37"/>
      <c r="B13" s="36">
        <f t="shared" si="1"/>
        <v>43789</v>
      </c>
      <c r="C13" s="37"/>
      <c r="D13" s="37"/>
      <c r="E13" s="40"/>
      <c r="F13" s="43">
        <v>450.0</v>
      </c>
      <c r="G13" s="37"/>
      <c r="H13" s="37"/>
      <c r="I13" s="37"/>
      <c r="J13" s="37"/>
      <c r="K13" s="39" t="s">
        <v>24</v>
      </c>
      <c r="L13" s="37"/>
      <c r="M13" s="39" t="s">
        <v>16</v>
      </c>
      <c r="N13" s="37"/>
      <c r="O13" s="37"/>
      <c r="P13" s="40"/>
      <c r="Q13" s="41" t="s">
        <v>42</v>
      </c>
      <c r="R13" s="41" t="s">
        <v>18</v>
      </c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