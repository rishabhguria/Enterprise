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ManualClosing" sheetId="5" r:id="rId7"/>
    <sheet state="visible" name="UnwindClosing" sheetId="6" r:id="rId8"/>
    <sheet state="visible" name="AutomaticClosing" sheetId="7" r:id="rId9"/>
    <sheet state="visible" name="CustomOrderTT1" sheetId="8" r:id="rId10"/>
    <sheet state="visible" name="GetDataClosing" sheetId="9" r:id="rId11"/>
    <sheet state="visible" name="VerifyClosedTrades" sheetId="10" r:id="rId12"/>
    <sheet state="visible" name="VerifyClosedTrades1" sheetId="11" r:id="rId13"/>
    <sheet state="visible" name="VerifyShortPositionsGrid" sheetId="12" r:id="rId14"/>
  </sheets>
  <definedNames/>
  <calcPr/>
</workbook>
</file>

<file path=xl/sharedStrings.xml><?xml version="1.0" encoding="utf-8"?>
<sst xmlns="http://schemas.openxmlformats.org/spreadsheetml/2006/main" count="695" uniqueCount="39">
  <si>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</si>
  <si>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</si>
  <si>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</si>
  <si>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</si>
  <si>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</si>
  <si>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</si>
  <si>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</si>
  <si>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</si>
  <si>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</si>
  <si>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</si>
  <si>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</si>
  <si>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</si>
  <si>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</si>
  <si>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</si>
  <si>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</si>
  <si>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</si>
  <si>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</si>
  <si>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</si>
  <si>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Sell</t>
  </si>
  <si>
    <t>Closing</t>
  </si>
  <si>
    <t>ManualClosing</t>
  </si>
  <si>
    <t>Allocation1</t>
  </si>
  <si>
    <t>Equity</t>
  </si>
  <si>
    <t>UnwindClosing</t>
  </si>
  <si>
    <t>AutomaticClosing</t>
  </si>
  <si>
    <t>FIFO</t>
  </si>
  <si>
    <t>MSFT</t>
  </si>
  <si>
    <t>GetDataClosing</t>
  </si>
  <si>
    <t>Current</t>
  </si>
  <si>
    <t>VerifyClosedTrades</t>
  </si>
  <si>
    <t/>
  </si>
  <si>
    <t>Long</t>
  </si>
  <si>
    <t>NASDAQ</t>
  </si>
  <si>
    <t>US</t>
  </si>
  <si>
    <t>USD</t>
  </si>
  <si>
    <t>Short</t>
  </si>
  <si>
    <t>Offset</t>
  </si>
  <si>
    <t>VerifyShortPositionsGrid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</si>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</sst>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0</v>
      </c>
      <c r="C6" s="32" t="b">
        <v>1</v>
      </c>
      <c r="D6" s="33" t="s">
        <v>21</v>
      </c>
      <c r="E6" s="34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16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5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0</v>
      </c>
      <c r="C6" s="32" t="b">
        <v>1</v>
      </c>
      <c r="D6" s="36" t="s">
        <v>25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101.0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 t="str">
        <f>IFERROR(__xludf.DUMMYFUNCTION("""COMPUTED_VALUE"""),"MandatoryColumn")</f>
        <v>MandatoryColumn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30</v>
      </c>
      <c r="B6" s="37"/>
      <c r="C6" s="8"/>
      <c r="D6" s="37" t="s">
        <v>21</v>
      </c>
      <c r="E6" s="8"/>
      <c r="F6" s="8" t="s">
        <v>31</v>
      </c>
      <c r="G6" s="8" t="s">
        <v>22</v>
      </c>
      <c r="H6" s="8" t="s">
        <v>16</v>
      </c>
      <c r="I6" s="8">
        <v>100.0</v>
      </c>
      <c r="J6" s="8">
        <v>10.0</v>
      </c>
      <c r="K6" s="8">
        <v>10.0</v>
      </c>
      <c r="L6" s="8"/>
      <c r="M6" s="8"/>
      <c r="N6" s="8" t="s">
        <v>32</v>
      </c>
      <c r="O6" s="8" t="s">
        <v>31</v>
      </c>
      <c r="P6">
        <v>14.0006</v>
      </c>
      <c r="Q6" t="s">
        <v>18</v>
      </c>
      <c r="W6" t="b">
        <v>0</v>
      </c>
      <c r="X6" t="s">
        <v>33</v>
      </c>
      <c r="Y6">
        <v>1.0</v>
      </c>
      <c r="Z6" t="s">
        <v>34</v>
      </c>
      <c r="AE6" t="s">
        <v>35</v>
      </c>
      <c r="AF6" t="s">
        <v>36</v>
      </c>
      <c r="AH6" t="s">
        <v>30</v>
      </c>
      <c r="AI6" t="s">
        <v>30</v>
      </c>
      <c r="AJ6" t="s">
        <v>30</v>
      </c>
      <c r="AK6" t="s">
        <v>30</v>
      </c>
      <c r="AL6" t="s">
        <v>30</v>
      </c>
      <c r="AM6" t="s">
        <v>30</v>
      </c>
      <c r="AN6" t="s">
        <v>30</v>
      </c>
      <c r="AO6" t="s">
        <v>30</v>
      </c>
      <c r="AP6" t="s">
        <v>30</v>
      </c>
      <c r="AQ6" t="s">
        <v>30</v>
      </c>
      <c r="AR6" t="s">
        <v>30</v>
      </c>
      <c r="AS6" t="s">
        <v>30</v>
      </c>
      <c r="AT6" t="s">
        <v>30</v>
      </c>
      <c r="AU6" t="s">
        <v>30</v>
      </c>
      <c r="AV6" t="s">
        <v>30</v>
      </c>
      <c r="AW6" t="s">
        <v>30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>
        <v>10.0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 t="str">
        <f>IFERROR(__xludf.DUMMYFUNCTION("""COMPUTED_VALUE"""),"MandatoryColumn")</f>
        <v>MandatoryColumn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30</v>
      </c>
      <c r="B6" s="37"/>
      <c r="C6" s="8"/>
      <c r="D6" s="37" t="s">
        <v>21</v>
      </c>
      <c r="E6" s="8"/>
      <c r="F6" s="8" t="s">
        <v>31</v>
      </c>
      <c r="G6" s="8" t="s">
        <v>22</v>
      </c>
      <c r="H6" s="8" t="s">
        <v>16</v>
      </c>
      <c r="I6" s="8">
        <v>100.0</v>
      </c>
      <c r="J6" s="8">
        <v>10.0</v>
      </c>
      <c r="K6" s="8">
        <v>10.0</v>
      </c>
      <c r="L6" s="8"/>
      <c r="M6" s="8"/>
      <c r="N6" s="8" t="s">
        <v>32</v>
      </c>
      <c r="O6" s="8" t="s">
        <v>31</v>
      </c>
      <c r="P6">
        <v>14.0006</v>
      </c>
      <c r="Q6" t="s">
        <v>18</v>
      </c>
      <c r="W6" t="b">
        <v>0</v>
      </c>
      <c r="X6" t="s">
        <v>33</v>
      </c>
      <c r="Y6">
        <v>1.0</v>
      </c>
      <c r="Z6" t="s">
        <v>34</v>
      </c>
      <c r="AE6" t="s">
        <v>35</v>
      </c>
      <c r="AF6" t="s">
        <v>36</v>
      </c>
      <c r="AH6" t="s">
        <v>30</v>
      </c>
      <c r="AI6" t="s">
        <v>30</v>
      </c>
      <c r="AJ6" t="s">
        <v>30</v>
      </c>
      <c r="AK6" t="s">
        <v>30</v>
      </c>
      <c r="AL6" t="s">
        <v>30</v>
      </c>
      <c r="AM6" t="s">
        <v>30</v>
      </c>
      <c r="AN6" t="s">
        <v>30</v>
      </c>
      <c r="AO6" t="s">
        <v>30</v>
      </c>
      <c r="AP6" t="s">
        <v>30</v>
      </c>
      <c r="AQ6" t="s">
        <v>30</v>
      </c>
      <c r="AR6" t="s">
        <v>30</v>
      </c>
      <c r="AS6" t="s">
        <v>30</v>
      </c>
      <c r="AT6" t="s">
        <v>30</v>
      </c>
      <c r="AU6" t="s">
        <v>30</v>
      </c>
      <c r="AV6" t="s">
        <v>30</v>
      </c>
      <c r="AW6" t="s">
        <v>30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>
        <v>10.0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30</v>
      </c>
      <c r="B7" s="8"/>
      <c r="C7" s="8"/>
      <c r="D7" s="8" t="s">
        <v>21</v>
      </c>
      <c r="E7" s="8"/>
      <c r="F7" s="8" t="s">
        <v>31</v>
      </c>
      <c r="G7" s="8" t="s">
        <v>22</v>
      </c>
      <c r="H7" s="8" t="s">
        <v>26</v>
      </c>
      <c r="I7" s="8">
        <v>100.0</v>
      </c>
      <c r="J7" s="8">
        <v>10.0</v>
      </c>
      <c r="K7" s="8">
        <v>10.0</v>
      </c>
      <c r="L7" s="8"/>
      <c r="M7" s="8"/>
      <c r="N7" s="8" t="s">
        <v>32</v>
      </c>
      <c r="O7" s="8" t="s">
        <v>31</v>
      </c>
      <c r="P7">
        <v>14.0006</v>
      </c>
      <c r="Q7" t="s">
        <v>18</v>
      </c>
      <c r="W7" t="b">
        <v>0</v>
      </c>
      <c r="X7" t="s">
        <v>33</v>
      </c>
      <c r="Y7">
        <v>1.0</v>
      </c>
      <c r="Z7" t="s">
        <v>34</v>
      </c>
      <c r="AE7" t="s">
        <v>35</v>
      </c>
      <c r="AF7" t="s">
        <v>36</v>
      </c>
      <c r="AH7" t="s">
        <v>30</v>
      </c>
      <c r="AI7" t="s">
        <v>30</v>
      </c>
      <c r="AJ7" t="s">
        <v>30</v>
      </c>
      <c r="AK7" t="s">
        <v>30</v>
      </c>
      <c r="AL7" t="s">
        <v>30</v>
      </c>
      <c r="AM7" t="s">
        <v>30</v>
      </c>
      <c r="AN7" t="s">
        <v>30</v>
      </c>
      <c r="AO7" t="s">
        <v>30</v>
      </c>
      <c r="AP7" t="s">
        <v>30</v>
      </c>
      <c r="AQ7" t="s">
        <v>30</v>
      </c>
      <c r="AR7" t="s">
        <v>30</v>
      </c>
      <c r="AS7" t="s">
        <v>30</v>
      </c>
      <c r="AT7" t="s">
        <v>30</v>
      </c>
      <c r="AU7" t="s">
        <v>30</v>
      </c>
      <c r="AV7" t="s">
        <v>30</v>
      </c>
      <c r="AW7" t="s">
        <v>30</v>
      </c>
      <c r="AX7" t="s">
        <v>30</v>
      </c>
      <c r="AY7" t="s">
        <v>30</v>
      </c>
      <c r="AZ7" t="s">
        <v>30</v>
      </c>
      <c r="BA7" t="s">
        <v>30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G7" t="s">
        <v>30</v>
      </c>
      <c r="BH7" t="s">
        <v>30</v>
      </c>
      <c r="BI7" t="s">
        <v>30</v>
      </c>
      <c r="BJ7" t="s">
        <v>30</v>
      </c>
      <c r="BK7" t="s">
        <v>30</v>
      </c>
      <c r="BL7" t="s">
        <v>30</v>
      </c>
      <c r="BM7" t="s">
        <v>30</v>
      </c>
      <c r="BN7" t="s">
        <v>30</v>
      </c>
      <c r="BO7" t="s">
        <v>30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>
        <v>10.0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 t="str">
        <f>IFERROR(__xludf.DUMMYFUNCTION("""COMPUTED_VALUE"""),"MandatoryColumn")</f>
        <v>MandatoryColumn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30</v>
      </c>
      <c r="B6" s="37" t="s">
        <v>21</v>
      </c>
      <c r="C6" s="8" t="s">
        <v>22</v>
      </c>
      <c r="D6" s="37"/>
      <c r="E6" s="8"/>
      <c r="F6" s="8"/>
      <c r="G6" s="8"/>
      <c r="H6" s="8"/>
      <c r="I6" s="8">
        <v>10.0</v>
      </c>
      <c r="J6" s="8"/>
      <c r="K6" s="8" t="s">
        <v>35</v>
      </c>
      <c r="L6" s="8"/>
      <c r="M6" s="8">
        <v>1.0</v>
      </c>
      <c r="N6" s="8" t="s">
        <v>38</v>
      </c>
      <c r="O6" s="8"/>
      <c r="P6" t="s">
        <v>18</v>
      </c>
      <c r="R6" t="s">
        <v>26</v>
      </c>
      <c r="AE6" t="s">
        <v>30</v>
      </c>
      <c r="AF6" t="s">
        <v>30</v>
      </c>
      <c r="AG6" t="s">
        <v>30</v>
      </c>
      <c r="AH6" t="s">
        <v>30</v>
      </c>
      <c r="AI6" t="s">
        <v>30</v>
      </c>
      <c r="AJ6" t="s">
        <v>30</v>
      </c>
      <c r="AK6" t="s">
        <v>30</v>
      </c>
      <c r="AL6" t="s">
        <v>30</v>
      </c>
      <c r="AM6" t="s">
        <v>30</v>
      </c>
      <c r="AN6" t="s">
        <v>30</v>
      </c>
      <c r="AO6" t="s">
        <v>30</v>
      </c>
      <c r="AP6" t="s">
        <v>30</v>
      </c>
      <c r="AQ6" t="s">
        <v>30</v>
      </c>
      <c r="AR6" t="s">
        <v>30</v>
      </c>
      <c r="AS6" t="s">
        <v>30</v>
      </c>
      <c r="AT6" t="s">
        <v>30</v>
      </c>
      <c r="AU6" t="s">
        <v>30</v>
      </c>
      <c r="AV6" t="s">
        <v>30</v>
      </c>
      <c r="AW6" t="s">
        <v>30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