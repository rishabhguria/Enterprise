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TabBlotter" sheetId="4" r:id="rId6"/>
    <sheet state="visible" name="CustomOrderTT" sheetId="5" r:id="rId7"/>
    <sheet state="visible" name="AddSymbolToWatchlist" sheetId="6" r:id="rId8"/>
    <sheet state="visible" name="TradeFromWatchlist" sheetId="7" r:id="rId9"/>
    <sheet state="visible" name="SelectTradeUsingMTT" sheetId="8" r:id="rId10"/>
    <sheet state="visible" name="EditTradeUsingMTT" sheetId="9" r:id="rId11"/>
    <sheet state="visible" name="SelectTradeUsingMTT1" sheetId="10" r:id="rId12"/>
    <sheet state="visible" name="EditTradeUsingMTT1" sheetId="11" r:id="rId13"/>
    <sheet state="visible" name="BulkChangeCreateStageOrder" sheetId="12" r:id="rId14"/>
    <sheet state="visible" name="SetGeneralPreference" sheetId="13" r:id="rId15"/>
    <sheet state="visible" name="SetCompliancePermission" sheetId="14" r:id="rId16"/>
    <sheet state="visible" name="RestartReleasesAndServices" sheetId="15" r:id="rId17"/>
    <sheet state="visible" name="SelectTradeOnOrderGrid" sheetId="16" r:id="rId18"/>
    <sheet state="visible" name="TradeNewSubOrder" sheetId="17" r:id="rId19"/>
    <sheet state="visible" name="CustomOrderTT1" sheetId="18" r:id="rId20"/>
    <sheet state="visible" name="SelectTradeOnOrderGrid1" sheetId="19" r:id="rId21"/>
    <sheet state="visible" name="TradeNewSubOrder1" sheetId="20" r:id="rId22"/>
    <sheet state="visible" name="CustomOrderTT2" sheetId="21" r:id="rId23"/>
    <sheet state="visible" name="ApproveorRejectpendingapproval" sheetId="22" r:id="rId24"/>
    <sheet state="visible" name="CancelWorkingSubs" sheetId="23" r:id="rId25"/>
    <sheet state="visible" name="CancelFromSummary" sheetId="24" r:id="rId26"/>
    <sheet state="visible" name="VerifyAlertHistory" sheetId="25" r:id="rId27"/>
    <sheet state="visible" name="GetDataFromAuditTrail" sheetId="26" r:id="rId28"/>
    <sheet state="visible" name="VerifyAuditTrail" sheetId="27" r:id="rId29"/>
  </sheets>
  <definedNames/>
  <calcPr/>
</workbook>
</file>

<file path=xl/sharedStrings.xml><?xml version="1.0" encoding="utf-8"?>
<sst xmlns="http://schemas.openxmlformats.org/spreadsheetml/2006/main" count="322" uniqueCount="78">
  <si>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</si>
  <si>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</si>
  <si>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</si>
  <si>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</si>
  <si>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</si>
  <si>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</si>
  <si>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</si>
  <si>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</si>
  <si>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</si>
  <si>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</si>
  <si>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</si>
  <si>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</si>
  <si>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Blotter</t>
  </si>
  <si>
    <t>AddTabBlotter</t>
  </si>
  <si>
    <t>Data Format</t>
  </si>
  <si>
    <t>Input Format</t>
  </si>
  <si>
    <t>ABC</t>
  </si>
  <si>
    <t>Add Tab(Working)</t>
  </si>
  <si>
    <t>TradingTicket</t>
  </si>
  <si>
    <t>CustomOrderTT</t>
  </si>
  <si>
    <t>AAPL</t>
  </si>
  <si>
    <t>CreateStage</t>
  </si>
  <si>
    <t>Buy</t>
  </si>
  <si>
    <t>IBM</t>
  </si>
  <si>
    <t>Watchlist</t>
  </si>
  <si>
    <t>AddSymbolToWatchlist</t>
  </si>
  <si>
    <t>SAP</t>
  </si>
  <si>
    <t>TSLA</t>
  </si>
  <si>
    <t>TradeFromWatchlist</t>
  </si>
  <si>
    <t>MultiTradingTicket</t>
  </si>
  <si>
    <t>SelectTradeUsingMTT</t>
  </si>
  <si>
    <t>EditTradeUsingMTT</t>
  </si>
  <si>
    <t>Allocation1</t>
  </si>
  <si>
    <t>BulkChangeCreateStageOrder</t>
  </si>
  <si>
    <t>SetGeneralPreference</t>
  </si>
  <si>
    <t>DefaultNotes,DefaultBrokerNotes</t>
  </si>
  <si>
    <t>Admin</t>
  </si>
  <si>
    <t>SetCompliancePermission</t>
  </si>
  <si>
    <t>TradeQuantity-123</t>
  </si>
  <si>
    <t>RequiresApproval</t>
  </si>
  <si>
    <t>Compliance</t>
  </si>
  <si>
    <t>RestartReleasesAndServices</t>
  </si>
  <si>
    <t>Yes</t>
  </si>
  <si>
    <t>SelectTradeOnOrderGrid</t>
  </si>
  <si>
    <t>TradeNewSubOrder</t>
  </si>
  <si>
    <t>Send</t>
  </si>
  <si>
    <t>ApproveorRejectpendingapproval</t>
  </si>
  <si>
    <t>N/A</t>
  </si>
  <si>
    <t>Multi Trading Ticket</t>
  </si>
  <si>
    <t>jpearce</t>
  </si>
  <si>
    <t>MS</t>
  </si>
  <si>
    <t>Pending Approval</t>
  </si>
  <si>
    <t>Verify</t>
  </si>
  <si>
    <t>Single Trade</t>
  </si>
  <si>
    <t>GCCAP1</t>
  </si>
  <si>
    <t>Buy 100 AAPL @10, Notional USD 1,000</t>
  </si>
  <si>
    <t>DefaultNotes</t>
  </si>
  <si>
    <t>Buy 100 IBM @10, Notional USD 1,000</t>
  </si>
  <si>
    <t>CancelWorkingSubs</t>
  </si>
  <si>
    <t>Pending Compliance Approval</t>
  </si>
  <si>
    <t>CancelFromSummary</t>
  </si>
  <si>
    <t>VerifyAlertHistory</t>
  </si>
  <si>
    <t>Support1</t>
  </si>
  <si>
    <t>PreTrade</t>
  </si>
  <si>
    <t>Enter Summary</t>
  </si>
  <si>
    <t>Trade</t>
  </si>
  <si>
    <t>quantity: 100.00, Symbol: AAPL</t>
  </si>
  <si>
    <t>Expired because the order was cancelled.</t>
  </si>
  <si>
    <t>If Quantity not equals to -123, Then block the trade.</t>
  </si>
  <si>
    <t>Original order cancelled.</t>
  </si>
  <si>
    <t>quantity: 100.00, Symbol: IBM</t>
  </si>
  <si>
    <t>AuditTrail</t>
  </si>
  <si>
    <t>GetDataFromAuditTrail</t>
  </si>
  <si>
    <t>VerifyAuditTrail</t>
  </si>
  <si>
    <t>Order Blocked (Compliance)</t>
  </si>
  <si>
    <t>Sub-Order Cancelled</t>
  </si>
  <si>
    <t>Sub Order Cancel Requested</t>
  </si>
  <si>
    <t>Sub Order cancel requested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</si>
</sst>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b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IFERROR(__xludf.DUMMYFUNCTION("""COMPUTED_VALUE"""),"TabName")</f>
        <v>TabName</v>
      </c>
      <c r="C5" s="28" t="str">
        <f>IFERROR(__xludf.DUMMYFUNCTION("""COMPUTED_VALUE"""),"Button Name")</f>
        <v>Button 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AddTabBlotter!$4:$4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>
        <v>100.0</v>
      </c>
      <c r="D6" s="13">
        <v>10.0</v>
      </c>
      <c r="E6" s="13" t="s">
        <v>21</v>
      </c>
      <c r="F6" s="8"/>
      <c r="G6" s="8"/>
      <c r="H6" s="8"/>
      <c r="I6" s="8"/>
      <c r="J6" s="13" t="s">
        <v>22</v>
      </c>
      <c r="K6" s="8"/>
      <c r="L6" s="8"/>
      <c r="M6" s="8"/>
      <c r="N6" s="8"/>
      <c r="O6" s="8"/>
    </row>
    <row r="7" ht="15.75" customHeight="1">
      <c r="A7" s="8"/>
      <c r="B7" s="13" t="s">
        <v>23</v>
      </c>
      <c r="C7" s="13">
        <v>100.0</v>
      </c>
      <c r="D7" s="13">
        <v>10.0</v>
      </c>
      <c r="E7" s="13" t="s">
        <v>21</v>
      </c>
      <c r="F7" s="8"/>
      <c r="G7" s="8"/>
      <c r="H7" s="8"/>
      <c r="I7" s="8"/>
      <c r="J7" s="13" t="s">
        <v>22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IFERROR(__xludf.DUMMYFUNCTION("IF(C3="""","""",Transpose(IMPORTRANGE('_Settings'!$B$3,C3&amp;""!A4:A1000"")))"),"AddTabOnWatchlist")</f>
        <v>AddTabOnWatchlist</v>
      </c>
      <c r="C4" s="25" t="str">
        <f>IFERROR(__xludf.DUMMYFUNCTION("""COMPUTED_VALUE"""),"DeleteTabOnWatchlist")</f>
        <v>DeleteTabOnWatchlist</v>
      </c>
      <c r="D4" s="25" t="str">
        <f>IFERROR(__xludf.DUMMYFUNCTION("""COMPUTED_VALUE"""),"AddSymbolToWatchlist")</f>
        <v>AddSymbolToWatchlist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IFERROR(__xludf.DUMMYFUNCTION("""COMPUTED_VALUE"""),"MultiTradeFromWatchlist")</f>
        <v>MultiTradeFromWatchlist</v>
      </c>
      <c r="G4" s="25" t="str">
        <f>IFERROR(__xludf.DUMMYFUNCTION("""COMPUTED_VALUE"""),"DeleteSymbolFromWatchlist")</f>
        <v>DeleteSymbolFromWatchlist</v>
      </c>
      <c r="H4" s="25" t="str">
        <f>IFERROR(__xludf.DUMMYFUNCTION("""COMPUTED_VALUE"""),"VerifySymbolsOnWatchlist")</f>
        <v>VerifySymbolsOnWatchlist</v>
      </c>
      <c r="I4" s="25" t="str">
        <f>IFERROR(__xludf.DUMMYFUNCTION("""COMPUTED_VALUE"""),"OpenPTTFromWatchlist")</f>
        <v>OpenPTTFromWatchlist</v>
      </c>
      <c r="J4" s="25" t="str">
        <f>IFERROR(__xludf.DUMMYFUNCTION("""COMPUTED_VALUE"""),"SelectTradeWatchlist")</f>
        <v>SelectTradeWatchlist</v>
      </c>
      <c r="K4" s="25" t="str">
        <f>IFERROR(__xludf.DUMMYFUNCTION("""COMPUTED_VALUE"""),"ActionOnWatchlist")</f>
        <v>ActionOnWatchlist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IFERROR(__xludf.DUMMYFUNCTION("IF(C3="""","""",Transpose(IMPORTRANGE('_Settings'!$B$3,C3&amp;""!A4:A1000"")))"),"AddTabOnWatchlist")</f>
        <v>AddTabOnWatchlist</v>
      </c>
      <c r="C4" s="25" t="str">
        <f>IFERROR(__xludf.DUMMYFUNCTION("""COMPUTED_VALUE"""),"DeleteTabOnWatchlist")</f>
        <v>DeleteTabOnWatchlist</v>
      </c>
      <c r="D4" s="25" t="str">
        <f>IFERROR(__xludf.DUMMYFUNCTION("""COMPUTED_VALUE"""),"AddSymbolToWatchlist")</f>
        <v>AddSymbolToWatchlist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IFERROR(__xludf.DUMMYFUNCTION("""COMPUTED_VALUE"""),"MultiTradeFromWatchlist")</f>
        <v>MultiTradeFromWatchlist</v>
      </c>
      <c r="G4" s="25" t="str">
        <f>IFERROR(__xludf.DUMMYFUNCTION("""COMPUTED_VALUE"""),"DeleteSymbolFromWatchlist")</f>
        <v>DeleteSymbolFromWatchlist</v>
      </c>
      <c r="H4" s="25" t="str">
        <f>IFERROR(__xludf.DUMMYFUNCTION("""COMPUTED_VALUE"""),"VerifySymbolsOnWatchlist")</f>
        <v>VerifySymbolsOnWatchlist</v>
      </c>
      <c r="I4" s="25" t="str">
        <f>IFERROR(__xludf.DUMMYFUNCTION("""COMPUTED_VALUE"""),"OpenPTTFromWatchlist")</f>
        <v>OpenPTTFromWatchlist</v>
      </c>
      <c r="J4" s="25" t="str">
        <f>IFERROR(__xludf.DUMMYFUNCTION("""COMPUTED_VALUE"""),"SelectTradeWatchlist")</f>
        <v>SelectTradeWatchlist</v>
      </c>
      <c r="K4" s="25" t="str">
        <f>IFERROR(__xludf.DUMMYFUNCTION("""COMPUTED_VALUE"""),"ActionOnWatchlist")</f>
        <v>ActionOnWatchlist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22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27</v>
      </c>
      <c r="C7" s="13" t="s">
        <v>22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TradeFromWatchlist!$4:$4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22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100.0</v>
      </c>
      <c r="E6" s="13">
        <v>10.0</v>
      </c>
      <c r="F6" s="13" t="s">
        <v>32</v>
      </c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22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100.0</v>
      </c>
      <c r="E6" s="13">
        <v>10.0</v>
      </c>
      <c r="F6" s="13" t="s">
        <v>32</v>
      </c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IFERROR(__xludf.DUMMYFUNCTION("""COMPUTED_VALUE"""),"INFORMATIONRELATEDPOPUP_YESORNO")</f>
        <v>INFORMATIONRELATEDPOPUP_YESORNO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13" t="s">
        <v>32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BulkChangeCreateStageOrder!$4:$4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 t="s">
        <v>35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4.25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38</v>
      </c>
      <c r="C6" s="33" t="s">
        <v>39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SetCompliancePermission!$4:$4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 t="str">
        <f>IFERROR(__xludf.DUMMYFUNCTION("""COMPUTED_VALUE"""),"DontShutSimulator")</f>
        <v>DontShutSimulator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42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20</v>
      </c>
      <c r="E6" s="31"/>
      <c r="F6" s="13" t="s">
        <v>22</v>
      </c>
      <c r="G6" s="8"/>
      <c r="H6" s="13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13" t="s">
        <v>20</v>
      </c>
      <c r="AJ6" s="13" t="s">
        <v>22</v>
      </c>
      <c r="AK6" s="8"/>
      <c r="AL6" s="13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>
        <v>100.0</v>
      </c>
      <c r="D6" s="13">
        <v>2.0</v>
      </c>
      <c r="E6" s="13" t="s">
        <v>45</v>
      </c>
      <c r="F6" s="8"/>
      <c r="G6" s="8"/>
      <c r="H6" s="8"/>
      <c r="I6" s="8"/>
      <c r="J6" s="13" t="s">
        <v>22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23</v>
      </c>
      <c r="E6" s="31"/>
      <c r="F6" s="13" t="s">
        <v>22</v>
      </c>
      <c r="G6" s="8"/>
      <c r="H6" s="13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23</v>
      </c>
      <c r="AJ6" s="9" t="s">
        <v>22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>
        <v>100.0</v>
      </c>
      <c r="D6" s="13">
        <v>10.0</v>
      </c>
      <c r="E6" s="13" t="s">
        <v>45</v>
      </c>
      <c r="F6" s="8"/>
      <c r="G6" s="8"/>
      <c r="H6" s="8"/>
      <c r="I6" s="8"/>
      <c r="J6" s="13" t="s">
        <v>22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8"/>
      <c r="B6" s="13" t="s">
        <v>47</v>
      </c>
      <c r="C6" s="13" t="s">
        <v>47</v>
      </c>
      <c r="D6" s="13" t="s">
        <v>48</v>
      </c>
      <c r="E6" s="13" t="s">
        <v>47</v>
      </c>
      <c r="F6" s="13" t="s">
        <v>47</v>
      </c>
      <c r="G6" s="13" t="s">
        <v>47</v>
      </c>
      <c r="H6" s="8"/>
      <c r="I6" s="13" t="s">
        <v>49</v>
      </c>
      <c r="J6" s="8"/>
      <c r="K6" s="13"/>
      <c r="L6" s="8"/>
      <c r="M6" s="13" t="s">
        <v>50</v>
      </c>
      <c r="N6" s="13" t="s">
        <v>51</v>
      </c>
      <c r="O6" s="13" t="s">
        <v>47</v>
      </c>
      <c r="P6" s="9" t="s">
        <v>52</v>
      </c>
    </row>
    <row r="7" ht="15.75" customHeight="1">
      <c r="A7" s="8"/>
      <c r="B7" s="13" t="s">
        <v>47</v>
      </c>
      <c r="C7" s="13" t="s">
        <v>47</v>
      </c>
      <c r="D7" s="13" t="s">
        <v>48</v>
      </c>
      <c r="E7" s="13" t="s">
        <v>47</v>
      </c>
      <c r="F7" s="13" t="s">
        <v>47</v>
      </c>
      <c r="G7" s="13" t="s">
        <v>47</v>
      </c>
      <c r="H7" s="8"/>
      <c r="I7" s="13" t="s">
        <v>49</v>
      </c>
      <c r="J7" s="8"/>
      <c r="K7" s="13"/>
      <c r="L7" s="8"/>
      <c r="M7" s="13" t="s">
        <v>50</v>
      </c>
      <c r="N7" s="13" t="s">
        <v>51</v>
      </c>
      <c r="O7" s="13" t="s">
        <v>47</v>
      </c>
      <c r="P7" s="9" t="s">
        <v>52</v>
      </c>
    </row>
    <row r="8" ht="15.75" customHeight="1">
      <c r="A8" s="8"/>
      <c r="B8" s="13"/>
      <c r="C8" s="13" t="s">
        <v>20</v>
      </c>
      <c r="D8" s="13" t="s">
        <v>53</v>
      </c>
      <c r="E8" s="13" t="s">
        <v>54</v>
      </c>
      <c r="F8" s="13" t="s">
        <v>55</v>
      </c>
      <c r="G8" s="13" t="s">
        <v>56</v>
      </c>
      <c r="H8" s="8"/>
      <c r="I8" s="13" t="s">
        <v>49</v>
      </c>
      <c r="J8" s="13">
        <v>10.0</v>
      </c>
      <c r="K8" s="13"/>
      <c r="L8" s="13">
        <v>100.0</v>
      </c>
      <c r="M8" s="13" t="s">
        <v>50</v>
      </c>
      <c r="N8" s="13" t="s">
        <v>51</v>
      </c>
      <c r="O8" s="13" t="s">
        <v>22</v>
      </c>
      <c r="P8" s="9" t="s">
        <v>52</v>
      </c>
    </row>
    <row r="9" ht="15.75" customHeight="1">
      <c r="A9" s="8"/>
      <c r="B9" s="13"/>
      <c r="C9" s="13" t="s">
        <v>23</v>
      </c>
      <c r="D9" s="13" t="s">
        <v>53</v>
      </c>
      <c r="E9" s="13" t="s">
        <v>54</v>
      </c>
      <c r="F9" s="13" t="s">
        <v>57</v>
      </c>
      <c r="G9" s="13" t="s">
        <v>56</v>
      </c>
      <c r="H9" s="8"/>
      <c r="I9" s="13" t="s">
        <v>49</v>
      </c>
      <c r="J9" s="13">
        <v>10.0</v>
      </c>
      <c r="K9" s="13"/>
      <c r="L9" s="13">
        <v>100.0</v>
      </c>
      <c r="M9" s="13" t="s">
        <v>50</v>
      </c>
      <c r="N9" s="13" t="s">
        <v>51</v>
      </c>
      <c r="O9" s="13" t="s">
        <v>22</v>
      </c>
      <c r="P9" s="9" t="s">
        <v>52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IFERROR(__xludf.DUMMYFUNCTION("""COMPUTED_VALUE"""),"Remaining Qty")</f>
        <v>Remaining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IFERROR(__xludf.DUMMYFUNCTION("""COMPUTED_VALUE"""),"Status (With Rollover)")</f>
        <v>Status (With Rollover)</v>
      </c>
      <c r="AY5" s="30" t="str">
        <f>IFERROR(__xludf.DUMMYFUNCTION("""COMPUTED_VALUE"""),"CustomTabName")</f>
        <v>CustomTabName</v>
      </c>
      <c r="AZ5" s="30" t="str">
        <f>IFERROR(__xludf.DUMMYFUNCTION("""COMPUTED_VALUE"""),"CancelAllSubsOnHeader")</f>
        <v>CancelAllSubsOnHeader</v>
      </c>
      <c r="BA5" s="30" t="str">
        <f>IFERROR(__xludf.DUMMYFUNCTION("""COMPUTED_VALUE"""),"CancelOrderPopup(Yes/No)")</f>
        <v>CancelOrderPopup(Yes/No)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20</v>
      </c>
      <c r="E6" s="31"/>
      <c r="F6" s="13" t="s">
        <v>22</v>
      </c>
      <c r="G6" s="13" t="s">
        <v>59</v>
      </c>
      <c r="H6" s="13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CancelWorkingSubs!$4:$4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 t="str">
        <f>IFERROR(__xludf.DUMMYFUNCTION("""COMPUTED_VALUE"""),"CancelOrderPopup(Yes/No)")</f>
        <v>CancelOrderPopup(Yes/No)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23</v>
      </c>
      <c r="AJ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CancelFromSummary!$4:$4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IFERROR(__xludf.DUMMYFUNCTION("""COMPUTED_VALUE"""),"Name")</f>
        <v>Name</v>
      </c>
      <c r="C5" s="28" t="str">
        <f>IFERROR(__xludf.DUMMYFUNCTION("""COMPUTED_VALUE"""),"User Name")</f>
        <v>User Name</v>
      </c>
      <c r="D5" s="28" t="str">
        <f>IFERROR(__xludf.DUMMYFUNCTION("""COMPUTED_VALUE"""),"Rule Type")</f>
        <v>Rule Type</v>
      </c>
      <c r="E5" s="28" t="str">
        <f>IFERROR(__xludf.DUMMYFUNCTION("""COMPUTED_VALUE"""),"Summary")</f>
        <v>Summary</v>
      </c>
      <c r="F5" s="29" t="str">
        <f>IFERROR(__xludf.DUMMYFUNCTION("""COMPUTED_VALUE"""),"Compression Level")</f>
        <v>Compression Level</v>
      </c>
      <c r="G5" s="28" t="str">
        <f>IFERROR(__xludf.DUMMYFUNCTION("""COMPUTED_VALUE"""),"Parameters")</f>
        <v>Parameters</v>
      </c>
      <c r="H5" s="28" t="str">
        <f>IFERROR(__xludf.DUMMYFUNCTION("""COMPUTED_VALUE"""),"Validation Time")</f>
        <v>Validation Time</v>
      </c>
      <c r="I5" s="28" t="str">
        <f>IFERROR(__xludf.DUMMYFUNCTION("""COMPUTED_VALUE"""),"OrderId")</f>
        <v>OrderId</v>
      </c>
      <c r="J5" s="28" t="str">
        <f>IFERROR(__xludf.DUMMYFUNCTION("""COMPUTED_VALUE"""),"Status")</f>
        <v>Status</v>
      </c>
      <c r="K5" s="28" t="str">
        <f>IFERROR(__xludf.DUMMYFUNCTION("""COMPUTED_VALUE"""),"Description")</f>
        <v>Description</v>
      </c>
      <c r="L5" s="28" t="str">
        <f>IFERROR(__xludf.DUMMYFUNCTION("""COMPUTED_VALUE"""),"Dimension")</f>
        <v>Dimension</v>
      </c>
      <c r="M5" s="28" t="str">
        <f>IFERROR(__xludf.DUMMYFUNCTION("""COMPUTED_VALUE"""),"Rule Deleted")</f>
        <v>Rule Deleted</v>
      </c>
      <c r="N5" s="28" t="str">
        <f>IFERROR(__xludf.DUMMYFUNCTION("""COMPUTED_VALUE"""),"PreTrade Type")</f>
        <v>PreTrade Type</v>
      </c>
      <c r="O5" s="28" t="str">
        <f>IFERROR(__xludf.DUMMYFUNCTION("""COMPUTED_VALUE"""),"Compliance Officer Notes")</f>
        <v>Compliance Officer Notes</v>
      </c>
      <c r="P5" s="28" t="str">
        <f>IFERROR(__xludf.DUMMYFUNCTION("""COMPUTED_VALUE"""),"User Notes")</f>
        <v>User Notes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13"/>
      <c r="B6" s="13" t="s">
        <v>38</v>
      </c>
      <c r="C6" s="13" t="s">
        <v>62</v>
      </c>
      <c r="D6" s="13" t="s">
        <v>63</v>
      </c>
      <c r="E6" s="13" t="s">
        <v>64</v>
      </c>
      <c r="F6" s="13" t="s">
        <v>65</v>
      </c>
      <c r="G6" s="13" t="s">
        <v>66</v>
      </c>
      <c r="H6" s="13"/>
      <c r="I6" s="13"/>
      <c r="J6" s="13" t="s">
        <v>67</v>
      </c>
      <c r="K6" s="13" t="s">
        <v>68</v>
      </c>
      <c r="L6" s="13" t="s">
        <v>20</v>
      </c>
      <c r="M6" s="13" t="b">
        <v>0</v>
      </c>
      <c r="N6" s="13" t="s">
        <v>65</v>
      </c>
      <c r="O6" s="8"/>
      <c r="P6" s="9" t="s">
        <v>69</v>
      </c>
    </row>
    <row r="7" ht="15.75" customHeight="1">
      <c r="A7" s="8"/>
      <c r="B7" s="13" t="s">
        <v>38</v>
      </c>
      <c r="C7" s="13" t="s">
        <v>62</v>
      </c>
      <c r="D7" s="13" t="s">
        <v>63</v>
      </c>
      <c r="E7" s="13" t="s">
        <v>64</v>
      </c>
      <c r="F7" s="13" t="s">
        <v>65</v>
      </c>
      <c r="G7" s="13" t="s">
        <v>70</v>
      </c>
      <c r="H7" s="13"/>
      <c r="I7" s="13"/>
      <c r="J7" s="13" t="s">
        <v>67</v>
      </c>
      <c r="K7" s="13" t="s">
        <v>68</v>
      </c>
      <c r="L7" s="13" t="s">
        <v>23</v>
      </c>
      <c r="M7" s="13" t="b">
        <v>0</v>
      </c>
      <c r="N7" s="13" t="s">
        <v>65</v>
      </c>
      <c r="O7" s="8"/>
      <c r="P7" s="9" t="s">
        <v>69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VerifyAlertHistory!$4:$4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71</v>
      </c>
      <c r="D3" s="5" t="s">
        <v>9</v>
      </c>
      <c r="E3" s="23" t="s">
        <v>72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IFERROR(__xludf.DUMMYFUNCTION("IF(C3="""","""",Transpose(IMPORTRANGE('_Settings'!$B$3,C3&amp;""!A4:A1000"")))"),"GetDataFromAuditTrail")</f>
        <v>GetDataFromAuditTrail</v>
      </c>
      <c r="C4" s="25" t="str">
        <f>IFERROR(__xludf.DUMMYFUNCTION("""COMPUTED_VALUE"""),"VerifyAuditTrail")</f>
        <v>VerifyAuditTrail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IFERROR(__xludf.DUMMYFUNCTION("""COMPUTED_VALUE"""),"FromDate")</f>
        <v>FromDate</v>
      </c>
      <c r="C5" s="28" t="str">
        <f>IFERROR(__xludf.DUMMYFUNCTION("""COMPUTED_VALUE"""),"ToDate")</f>
        <v>ToDate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>
        <f>today()-1</f>
        <v>45816</v>
      </c>
      <c r="C6" s="35">
        <f>today()</f>
        <v>45817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GetDataFromAuditTrail!$4:$4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71</v>
      </c>
      <c r="D3" s="5" t="s">
        <v>9</v>
      </c>
      <c r="E3" s="23" t="s">
        <v>73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IFERROR(__xludf.DUMMYFUNCTION("IF(C3="""","""",Transpose(IMPORTRANGE('_Settings'!$B$3,C3&amp;""!A4:A1000"")))"),"GetDataFromAuditTrail")</f>
        <v>GetDataFromAuditTrail</v>
      </c>
      <c r="C4" s="25" t="str">
        <f>IFERROR(__xludf.DUMMYFUNCTION("""COMPUTED_VALUE"""),"VerifyAuditTrail")</f>
        <v>VerifyAuditTrail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 Time (UTC)")</f>
        <v>Action Time (UTC)</v>
      </c>
      <c r="C5" s="28" t="str">
        <f>IFERROR(__xludf.DUMMYFUNCTION("""COMPUTED_VALUE"""),"Symbol")</f>
        <v>Symbol</v>
      </c>
      <c r="D5" s="28" t="str">
        <f>IFERROR(__xludf.DUMMYFUNCTION("""COMPUTED_VALUE"""),"Order Side")</f>
        <v>Order Side</v>
      </c>
      <c r="E5" s="28" t="str">
        <f>IFERROR(__xludf.DUMMYFUNCTION("""COMPUTED_VALUE"""),"Account Name")</f>
        <v>Account Name</v>
      </c>
      <c r="F5" s="29" t="str">
        <f>IFERROR(__xludf.DUMMYFUNCTION("""COMPUTED_VALUE"""),"Action")</f>
        <v>Action</v>
      </c>
      <c r="G5" s="28" t="str">
        <f>IFERROR(__xludf.DUMMYFUNCTION("""COMPUTED_VALUE"""),"Original Value")</f>
        <v>Original Value</v>
      </c>
      <c r="H5" s="28" t="str">
        <f>IFERROR(__xludf.DUMMYFUNCTION("""COMPUTED_VALUE"""),"New Value")</f>
        <v>New Value</v>
      </c>
      <c r="I5" s="28" t="str">
        <f>IFERROR(__xludf.DUMMYFUNCTION("""COMPUTED_VALUE"""),"Comment")</f>
        <v>Comment</v>
      </c>
      <c r="J5" s="28" t="str">
        <f>IFERROR(__xludf.DUMMYFUNCTION("""COMPUTED_VALUE"""),"Company User")</f>
        <v>Company User</v>
      </c>
      <c r="K5" s="28" t="str">
        <f>IFERROR(__xludf.DUMMYFUNCTION("""COMPUTED_VALUE"""),"TaxlotId")</f>
        <v>TaxlotId</v>
      </c>
      <c r="L5" s="28" t="str">
        <f>IFERROR(__xludf.DUMMYFUNCTION("""COMPUTED_VALUE"""),"GroupId")</f>
        <v>GroupId</v>
      </c>
      <c r="M5" s="28" t="str">
        <f>IFERROR(__xludf.DUMMYFUNCTION("""COMPUTED_VALUE"""),"Action Time")</f>
        <v>Action Time</v>
      </c>
      <c r="N5" s="28" t="str">
        <f>IFERROR(__xludf.DUMMYFUNCTION("""COMPUTED_VALUE"""),"ParentOrderId")</f>
        <v>ParentOrderId</v>
      </c>
      <c r="O5" s="28" t="str">
        <f>IFERROR(__xludf.DUMMYFUNCTION("""COMPUTED_VALUE"""),"OrderId")</f>
        <v>OrderId</v>
      </c>
      <c r="P5" s="28" t="str">
        <f>IFERROR(__xludf.DUMMYFUNCTION("""COMPUTED_VALUE"""),"Source")</f>
        <v>Source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13"/>
      <c r="B6" s="13"/>
      <c r="C6" s="13" t="s">
        <v>20</v>
      </c>
      <c r="D6" s="13" t="s">
        <v>22</v>
      </c>
      <c r="E6" s="13" t="s">
        <v>32</v>
      </c>
      <c r="F6" s="13" t="s">
        <v>74</v>
      </c>
      <c r="G6" s="8"/>
      <c r="H6" s="8"/>
      <c r="I6" s="13" t="s">
        <v>67</v>
      </c>
      <c r="J6" s="13" t="s">
        <v>49</v>
      </c>
      <c r="K6" s="8"/>
      <c r="L6" s="8"/>
      <c r="M6" s="13"/>
      <c r="N6" s="13"/>
      <c r="O6" s="13"/>
      <c r="P6" s="9" t="s">
        <v>40</v>
      </c>
    </row>
    <row r="7" ht="15.75" customHeight="1">
      <c r="A7" s="8"/>
      <c r="B7" s="13"/>
      <c r="C7" s="13" t="s">
        <v>20</v>
      </c>
      <c r="D7" s="13" t="s">
        <v>22</v>
      </c>
      <c r="E7" s="13" t="s">
        <v>32</v>
      </c>
      <c r="F7" s="13" t="s">
        <v>75</v>
      </c>
      <c r="G7" s="8"/>
      <c r="H7" s="8"/>
      <c r="I7" s="13" t="s">
        <v>75</v>
      </c>
      <c r="J7" s="13" t="s">
        <v>49</v>
      </c>
      <c r="K7" s="8"/>
      <c r="L7" s="8"/>
      <c r="M7" s="13"/>
      <c r="N7" s="13"/>
      <c r="O7" s="13"/>
      <c r="P7" s="9" t="s">
        <v>12</v>
      </c>
    </row>
    <row r="8" ht="15.75" customHeight="1">
      <c r="A8" s="8"/>
      <c r="B8" s="13"/>
      <c r="C8" s="13" t="s">
        <v>23</v>
      </c>
      <c r="D8" s="13" t="s">
        <v>22</v>
      </c>
      <c r="E8" s="13" t="s">
        <v>32</v>
      </c>
      <c r="F8" s="13" t="s">
        <v>76</v>
      </c>
      <c r="G8" s="8"/>
      <c r="H8" s="8"/>
      <c r="I8" s="13" t="s">
        <v>77</v>
      </c>
      <c r="J8" s="13" t="s">
        <v>49</v>
      </c>
      <c r="K8" s="8"/>
      <c r="L8" s="8"/>
      <c r="M8" s="13"/>
      <c r="N8" s="13"/>
      <c r="O8" s="13"/>
      <c r="P8" s="9" t="s">
        <v>12</v>
      </c>
    </row>
    <row r="9" ht="15.75" customHeight="1">
      <c r="A9" s="8"/>
      <c r="B9" s="13"/>
      <c r="C9" s="13" t="s">
        <v>23</v>
      </c>
      <c r="D9" s="13" t="s">
        <v>22</v>
      </c>
      <c r="E9" s="13" t="s">
        <v>32</v>
      </c>
      <c r="F9" s="13" t="s">
        <v>74</v>
      </c>
      <c r="G9" s="8"/>
      <c r="H9" s="8"/>
      <c r="I9" s="13" t="s">
        <v>67</v>
      </c>
      <c r="J9" s="13" t="s">
        <v>49</v>
      </c>
      <c r="K9" s="8"/>
      <c r="L9" s="8"/>
      <c r="M9" s="13"/>
      <c r="N9" s="13"/>
      <c r="O9" s="13"/>
      <c r="P9" s="9" t="s">
        <v>40</v>
      </c>
    </row>
    <row r="10" ht="15.75" customHeight="1">
      <c r="A10" s="8"/>
      <c r="B10" s="13"/>
      <c r="C10" s="13" t="s">
        <v>23</v>
      </c>
      <c r="D10" s="13" t="s">
        <v>22</v>
      </c>
      <c r="E10" s="13" t="s">
        <v>32</v>
      </c>
      <c r="F10" s="13" t="s">
        <v>75</v>
      </c>
      <c r="G10" s="8"/>
      <c r="H10" s="8"/>
      <c r="I10" s="13" t="s">
        <v>75</v>
      </c>
      <c r="J10" s="13" t="s">
        <v>49</v>
      </c>
      <c r="K10" s="8"/>
      <c r="L10" s="8"/>
      <c r="M10" s="13"/>
      <c r="N10" s="13"/>
      <c r="O10" s="13"/>
      <c r="P10" s="9" t="s">
        <v>12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VerifyAuditTrail!$4:$4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