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GetDataAllocation" sheetId="6" r:id="rId8"/>
    <sheet state="visible" name="SelectUnallocatedGroup" sheetId="7" r:id="rId9"/>
    <sheet state="visible" name="EditUnallocatedGridWPF" sheetId="8" r:id="rId10"/>
    <sheet state="visible" name="SelectUnallocatedGroup1" sheetId="9" r:id="rId11"/>
    <sheet state="visible" name="EditUnallocatedGridWPF1" sheetId="10" r:id="rId12"/>
    <sheet state="visible" name="SelectUnallocatedGroup2" sheetId="11" r:id="rId13"/>
    <sheet state="visible" name="EditUnallocatedGridWPF2" sheetId="12" r:id="rId14"/>
    <sheet state="visible" name="CheckUnallocatedGroups" sheetId="13" r:id="rId15"/>
  </sheets>
  <definedNames/>
  <calcPr/>
</workbook>
</file>

<file path=xl/sharedStrings.xml><?xml version="1.0" encoding="utf-8"?>
<sst xmlns="http://schemas.openxmlformats.org/spreadsheetml/2006/main" count="156" uniqueCount="46">
  <si>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</si>
  <si>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</si>
  <si>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</si>
  <si>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</si>
  <si>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</si>
  <si>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</si>
  <si>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</si>
  <si>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</si>
  <si>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</si>
  <si>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</si>
  <si>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</si>
  <si>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</si>
  <si>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</si>
  <si>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</si>
  <si>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</si>
  <si>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</si>
  <si>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</si>
  <si>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</si>
  <si>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</si>
  <si>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AAPL</t>
  </si>
  <si>
    <t>Sell</t>
  </si>
  <si>
    <t>IBM</t>
  </si>
  <si>
    <t>Allocation</t>
  </si>
  <si>
    <t>SetGeneralPreferences</t>
  </si>
  <si>
    <t>Keep commission values</t>
  </si>
  <si>
    <t>GetDataAllocation</t>
  </si>
  <si>
    <t>Historical</t>
  </si>
  <si>
    <t>1/1/1800</t>
  </si>
  <si>
    <t>SelectUnallocatedGroup</t>
  </si>
  <si>
    <t>EditUnallocatedGridWPF</t>
  </si>
  <si>
    <t>NASDAQ</t>
  </si>
  <si>
    <t>US555</t>
  </si>
  <si>
    <t>Editing</t>
  </si>
  <si>
    <t>GS</t>
  </si>
  <si>
    <t>TA1</t>
  </si>
  <si>
    <t>TA2</t>
  </si>
  <si>
    <t>TA3</t>
  </si>
  <si>
    <t>TA4</t>
  </si>
  <si>
    <t>TA5</t>
  </si>
  <si>
    <t>TA6</t>
  </si>
  <si>
    <t>1/3/1800</t>
  </si>
  <si>
    <t>CheckUnallocatedGroups</t>
  </si>
  <si>
    <t>Equity</t>
  </si>
  <si>
    <t>MS</t>
  </si>
  <si>
    <t>DefaultNotes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</si>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</sst>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b/>
      <sz val="10.0"/>
      <color rgb="FFFFFFFF"/>
      <name val="Arial"/>
    </font>
    <font>
      <sz val="10.0"/>
      <name val="Arial"/>
    </font>
    <font>
      <sz val="10.0"/>
      <color rgb="FFFFFFFF"/>
      <name val="Arial"/>
    </font>
    <font>
      <color rgb="FFFFFFFF"/>
    </font>
    <font>
      <color rgb="FFD9D9D9"/>
      <name val="Calibri"/>
    </font>
    <font>
      <sz val="10.0"/>
      <color rgb="FFD9D9D9"/>
      <name val="Arial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1" fillId="2" fontId="10" numFmtId="0" xfId="0" applyAlignment="1" applyBorder="1" applyFont="1">
      <alignment horizontal="center" shrinkToFit="0" wrapText="0"/>
    </xf>
    <xf borderId="0" fillId="2" fontId="10" numFmtId="0" xfId="0" applyAlignment="1" applyFont="1">
      <alignment horizontal="center" shrinkToFit="0" wrapText="0"/>
    </xf>
    <xf borderId="0" fillId="2" fontId="11" numFmtId="0" xfId="0" applyFont="1"/>
    <xf borderId="0" fillId="2" fontId="2" numFmtId="0" xfId="0" applyFont="1"/>
    <xf borderId="0" fillId="0" fontId="11" numFmtId="0" xfId="0" applyAlignment="1" applyFont="1">
      <alignment shrinkToFit="0" wrapText="0"/>
    </xf>
    <xf borderId="0" fillId="0" fontId="12" numFmtId="0" xfId="0" applyAlignment="1" applyFont="1">
      <alignment shrinkToFit="0" wrapText="0"/>
    </xf>
    <xf borderId="0" fillId="0" fontId="11" numFmtId="0" xfId="0" applyFont="1"/>
    <xf borderId="0" fillId="3" fontId="4" numFmtId="0" xfId="0" applyAlignment="1" applyFont="1">
      <alignment shrinkToFit="0" wrapText="0"/>
    </xf>
    <xf borderId="4" fillId="3" fontId="10" numFmtId="0" xfId="0" applyAlignment="1" applyBorder="1" applyFont="1">
      <alignment shrinkToFit="0" wrapText="0"/>
    </xf>
    <xf borderId="4" fillId="3" fontId="12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shrinkToFit="0" wrapText="0"/>
    </xf>
    <xf borderId="0" fillId="3" fontId="10" numFmtId="0" xfId="0" applyAlignment="1" applyFont="1">
      <alignment shrinkToFit="0" wrapText="0"/>
    </xf>
    <xf borderId="0" fillId="3" fontId="12" numFmtId="0" xfId="0" applyFont="1"/>
    <xf borderId="0" fillId="3" fontId="13" numFmtId="0" xfId="0" applyFont="1"/>
    <xf borderId="0" fillId="4" fontId="14" numFmtId="0" xfId="0" applyAlignment="1" applyFill="1" applyFont="1">
      <alignment shrinkToFit="0" wrapText="0"/>
    </xf>
    <xf borderId="0" fillId="4" fontId="15" numFmtId="0" xfId="0" applyAlignment="1" applyFont="1">
      <alignment shrinkToFit="0" wrapText="0"/>
    </xf>
    <xf borderId="0" fillId="4" fontId="15" numFmtId="0" xfId="0" applyFont="1"/>
    <xf borderId="0" fillId="4" fontId="16" numFmtId="0" xfId="0" applyFont="1"/>
    <xf borderId="0" fillId="5" fontId="4" numFmtId="0" xfId="0" applyAlignment="1" applyFill="1" applyFont="1">
      <alignment shrinkToFit="0" wrapText="0"/>
    </xf>
    <xf borderId="4" fillId="5" fontId="10" numFmtId="0" xfId="0" applyAlignment="1" applyBorder="1" applyFont="1">
      <alignment shrinkToFit="0" wrapText="0"/>
    </xf>
    <xf borderId="4" fillId="5" fontId="10" numFmtId="0" xfId="0" applyAlignment="1" applyBorder="1" applyFont="1">
      <alignment readingOrder="0" shrinkToFit="0" wrapText="0"/>
    </xf>
    <xf borderId="0" fillId="5" fontId="12" numFmtId="0" xfId="0" applyFont="1"/>
    <xf borderId="0" fillId="5" fontId="13" numFmtId="0" xfId="0" applyFont="1"/>
    <xf borderId="0" fillId="0" fontId="3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0" fillId="0" fontId="11" numFmtId="14" xfId="0" applyAlignment="1" applyFont="1" applyNumberFormat="1">
      <alignment readingOrder="0" shrinkToFit="0" wrapText="0"/>
    </xf>
    <xf borderId="0" fillId="0" fontId="1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1" numFmtId="0" xfId="0" applyAlignment="1" applyFont="1">
      <alignment readingOrder="0" shrinkToFit="0" wrapText="0"/>
    </xf>
    <xf borderId="5" fillId="0" fontId="11" numFmtId="0" xfId="0" applyAlignment="1" applyBorder="1" applyFont="1">
      <alignment readingOrder="0" vertical="bottom"/>
    </xf>
    <xf borderId="5" fillId="0" fontId="11" numFmtId="0" xfId="0" applyAlignment="1" applyBorder="1" applyFont="1">
      <alignment horizontal="right" readingOrder="0" vertical="bottom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4" fontId="14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17" numFmtId="0" xfId="0" applyAlignment="1" applyFont="1">
      <alignment vertical="bottom"/>
    </xf>
    <xf borderId="0" fillId="0" fontId="17" numFmtId="165" xfId="0" applyAlignment="1" applyFont="1" applyNumberFormat="1">
      <alignment horizontal="right" vertical="bottom"/>
    </xf>
    <xf borderId="0" fillId="0" fontId="17" numFmtId="164" xfId="0" applyAlignment="1" applyFont="1" applyNumberFormat="1">
      <alignment horizontal="right" readingOrder="0" vertical="bottom"/>
    </xf>
    <xf borderId="0" fillId="0" fontId="17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9" t="s">
        <v>11</v>
      </c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23"/>
      <c r="C2" s="23"/>
      <c r="D2" s="23"/>
      <c r="E2" s="23"/>
      <c r="F2" s="23"/>
      <c r="G2" s="23"/>
      <c r="H2" s="23"/>
      <c r="I2" s="23"/>
      <c r="J2" s="24" t="str">
        <f> VLOOKUP($E$3,'_MasterData'!B4:D1000,3,FALSE)</f>
        <v>#N/A</v>
      </c>
      <c r="K2" s="24"/>
      <c r="L2" s="23"/>
      <c r="M2" s="23"/>
      <c r="N2" s="23"/>
      <c r="O2" s="23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</row>
    <row r="3" ht="15.75" customHeight="1">
      <c r="A3" s="26"/>
      <c r="B3" s="27" t="s">
        <v>8</v>
      </c>
      <c r="C3" s="28" t="s">
        <v>12</v>
      </c>
      <c r="D3" s="27" t="s">
        <v>9</v>
      </c>
      <c r="E3" s="28" t="s">
        <v>13</v>
      </c>
      <c r="F3" s="27" t="s">
        <v>14</v>
      </c>
      <c r="G3" s="29" t="s">
        <v>15</v>
      </c>
      <c r="H3" s="27"/>
      <c r="I3" s="30"/>
      <c r="J3" s="30"/>
      <c r="K3" s="30"/>
      <c r="L3" s="30"/>
      <c r="M3" s="30"/>
      <c r="N3" s="30"/>
      <c r="O3" s="30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4" t="str">
        <f>IFERROR(__xludf.DUMMYFUNCTION("IF(C3="""","""",Transpose(IMPORTRANGE('_Settings'!$B$3,C3&amp;""!A4:A1000"")))"),"OpenTTFromPST")</f>
        <v>OpenTTFromPST</v>
      </c>
      <c r="C4" s="34" t="str">
        <f>IFERROR(__xludf.DUMMYFUNCTION("""COMPUTED_VALUE"""),"EnterDetailsOnTT")</f>
        <v>EnterDetailsOnTT</v>
      </c>
      <c r="D4" s="34" t="str">
        <f>IFERROR(__xludf.DUMMYFUNCTION("""COMPUTED_VALUE"""),"ValidateSymbolTT")</f>
        <v>ValidateSymbolTT</v>
      </c>
      <c r="E4" s="34" t="str">
        <f>IFERROR(__xludf.DUMMYFUNCTION("""COMPUTED_VALUE"""),"VerifyDataTT")</f>
        <v>VerifyDataTT</v>
      </c>
      <c r="F4" s="34" t="str">
        <f>IFERROR(__xludf.DUMMYFUNCTION("""COMPUTED_VALUE"""),"SetUIPreferencesTT")</f>
        <v>SetUIPreferencesTT</v>
      </c>
      <c r="G4" s="34" t="str">
        <f>IFERROR(__xludf.DUMMYFUNCTION("""COMPUTED_VALUE"""),"SetBrokerWisePreferencesTT")</f>
        <v>SetBrokerWisePreferencesTT</v>
      </c>
      <c r="H4" s="34" t="str">
        <f>IFERROR(__xludf.DUMMYFUNCTION("""COMPUTED_VALUE"""),"TradeNewSub")</f>
        <v>TradeNewSub</v>
      </c>
      <c r="I4" s="34" t="str">
        <f>IFERROR(__xludf.DUMMYFUNCTION("""COMPUTED_VALUE"""),"CreateStageOrder")</f>
        <v>CreateStageOrder</v>
      </c>
      <c r="J4" s="34" t="str">
        <f>IFERROR(__xludf.DUMMYFUNCTION("""COMPUTED_VALUE"""),"CreateReplaceOrder")</f>
        <v>CreateReplaceOrder</v>
      </c>
      <c r="K4" s="34" t="str">
        <f>IFERROR(__xludf.DUMMYFUNCTION("""COMPUTED_VALUE"""),"SetGeneralPreference")</f>
        <v>SetGeneralPreference</v>
      </c>
      <c r="L4" s="34" t="str">
        <f>IFERROR(__xludf.DUMMYFUNCTION("""COMPUTED_VALUE"""),"CreateNewSubOrder")</f>
        <v>CreateNewSubOrder</v>
      </c>
      <c r="M4" s="34" t="str">
        <f>IFERROR(__xludf.DUMMYFUNCTION("""COMPUTED_VALUE"""),"TradeBloomberg")</f>
        <v>TradeBloomberg</v>
      </c>
      <c r="N4" s="34" t="str">
        <f>IFERROR(__xludf.DUMMYFUNCTION("""COMPUTED_VALUE"""),"ClickSymbolLookup")</f>
        <v>ClickSymbolLookup</v>
      </c>
      <c r="O4" s="34" t="str">
        <f>IFERROR(__xludf.DUMMYFUNCTION("""COMPUTED_VALUE"""),"VerifyTT")</f>
        <v>VerifyTT</v>
      </c>
      <c r="P4" s="35" t="str">
        <f>IFERROR(__xludf.DUMMYFUNCTION("""COMPUTED_VALUE"""),"CreateLiveOrder")</f>
        <v>CreateLiveOrder</v>
      </c>
      <c r="Q4" s="35" t="str">
        <f>IFERROR(__xludf.DUMMYFUNCTION("""COMPUTED_VALUE"""),"UpdateMasterFundOnTT")</f>
        <v>UpdateMasterFundOnTT</v>
      </c>
      <c r="R4" s="35" t="str">
        <f>IFERROR(__xludf.DUMMYFUNCTION("""COMPUTED_VALUE"""),"SetTTCompliancePreference")</f>
        <v>SetTTCompliancePreference</v>
      </c>
      <c r="S4" s="35" t="str">
        <f>IFERROR(__xludf.DUMMYFUNCTION("""COMPUTED_VALUE"""),"ImportSymbol")</f>
        <v>ImportSymbol</v>
      </c>
      <c r="T4" s="35" t="str">
        <f>IFERROR(__xludf.DUMMYFUNCTION("""COMPUTED_VALUE"""),"ExportSymbolFromRAList")</f>
        <v>ExportSymbolFromRAList</v>
      </c>
      <c r="U4" s="35" t="str">
        <f>IFERROR(__xludf.DUMMYFUNCTION("""COMPUTED_VALUE"""),"CheckPendingNewOrderAlert")</f>
        <v>CheckPendingNewOrderAlert</v>
      </c>
      <c r="V4" s="35" t="str">
        <f>IFERROR(__xludf.DUMMYFUNCTION("""COMPUTED_VALUE"""),"AddSymbolOnRAList")</f>
        <v>AddSymbolOnRAList</v>
      </c>
      <c r="W4" s="35" t="str">
        <f>IFERROR(__xludf.DUMMYFUNCTION("""COMPUTED_VALUE"""),"DeleteSymbolListFromRA")</f>
        <v>DeleteSymbolListFromRA</v>
      </c>
      <c r="X4" s="35" t="str">
        <f>IFERROR(__xludf.DUMMYFUNCTION("""COMPUTED_VALUE"""),"RemoveSymbolFromRAList")</f>
        <v>RemoveSymbolFromRAList</v>
      </c>
      <c r="Y4" s="35" t="str">
        <f>IFERROR(__xludf.DUMMYFUNCTION("""COMPUTED_VALUE"""),"ToggleBlombergOnRA")</f>
        <v>ToggleBlombergOnRA</v>
      </c>
      <c r="Z4" s="35" t="str">
        <f>IFERROR(__xludf.DUMMYFUNCTION("""COMPUTED_VALUE"""),"CreateDoneAwayOrder")</f>
        <v>CreateDoneAwayOrder</v>
      </c>
      <c r="AA4" s="35" t="str">
        <f>IFERROR(__xludf.DUMMYFUNCTION("""COMPUTED_VALUE"""),"AddOptionTrade")</f>
        <v>AddOptionTrade</v>
      </c>
      <c r="AB4" s="35" t="str">
        <f>IFERROR(__xludf.DUMMYFUNCTION("""COMPUTED_VALUE"""),"SendLiveBloomberg")</f>
        <v>SendLiveBloomberg</v>
      </c>
      <c r="AC4" s="35" t="str">
        <f>IFERROR(__xludf.DUMMYFUNCTION("""COMPUTED_VALUE"""),"ViewAllocation")</f>
        <v>ViewAllocation</v>
      </c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IFERROR(__xludf.DUMMYFUNCTION("""COMPUTED_VALUE"""),"ChkBoxBookAsSwap")</f>
        <v>ChkBoxBookAsSwap</v>
      </c>
      <c r="AO5" s="41" t="str">
        <f>IFERROR(__xludf.DUMMYFUNCTION("""COMPUTED_VALUE"""),"PopUpQuantity")</f>
        <v>PopUpQuantity</v>
      </c>
      <c r="AP5" s="41" t="str">
        <f>IFERROR(__xludf.DUMMYFUNCTION("""COMPUTED_VALUE"""),"ShortLocate")</f>
        <v>ShortLocate</v>
      </c>
      <c r="AQ5" s="41" t="str">
        <f>IFERROR(__xludf.DUMMYFUNCTION("""COMPUTED_VALUE"""),"AllowTrade")</f>
        <v>AllowTrade</v>
      </c>
      <c r="AR5" s="41" t="str">
        <f>IFERROR(__xludf.DUMMYFUNCTION("""COMPUTED_VALUE"""),"SharesOutstandingPopUpQty")</f>
        <v>SharesOutstandingPopUpQty</v>
      </c>
      <c r="AS5" s="41" t="str">
        <f>IFERROR(__xludf.DUMMYFUNCTION("""COMPUTED_VALUE"""),"SharesOutstandingPopUp")</f>
        <v>SharesOutstandingPopUp</v>
      </c>
      <c r="AT5" s="41" t="str">
        <f>IFERROR(__xludf.DUMMYFUNCTION("""COMPUTED_VALUE"""),"ResAllowedListPopUp")</f>
        <v>ResAllowedListPopUp</v>
      </c>
      <c r="AU5" s="41" t="str">
        <f>IFERROR(__xludf.DUMMYFUNCTION("""COMPUTED_VALUE"""),"Rate(%)")</f>
        <v>Rate(%)</v>
      </c>
      <c r="AV5" s="41" t="str">
        <f>IFERROR(__xludf.DUMMYFUNCTION("""COMPUTED_VALUE"""),"Interest Rate")</f>
        <v>Interest Rate</v>
      </c>
      <c r="AW5" s="41" t="str">
        <f>IFERROR(__xludf.DUMMYFUNCTION("""COMPUTED_VALUE"""),"SelectAlgoStrategy")</f>
        <v>SelectAlgoStrategy</v>
      </c>
      <c r="AX5" s="41" t="str">
        <f>IFERROR(__xludf.DUMMYFUNCTION("""COMPUTED_VALUE"""),"Increase/Decrease Quantity")</f>
        <v>Increase/Decrease Quantity</v>
      </c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42"/>
      <c r="B6" s="43" t="s">
        <v>16</v>
      </c>
      <c r="C6" s="44" t="s">
        <v>17</v>
      </c>
      <c r="D6" s="45">
        <v>100.0</v>
      </c>
      <c r="E6" s="46">
        <v>100.0</v>
      </c>
      <c r="F6" s="44" t="s">
        <v>18</v>
      </c>
      <c r="G6" s="44"/>
      <c r="H6" s="44"/>
      <c r="I6" s="44"/>
      <c r="J6" s="46">
        <v>10.0</v>
      </c>
      <c r="K6" s="44"/>
      <c r="L6" s="44"/>
      <c r="M6" s="44"/>
      <c r="N6" s="47">
        <v>44012.0</v>
      </c>
      <c r="O6" s="44"/>
      <c r="P6" s="44"/>
      <c r="Q6" s="44"/>
      <c r="R6" s="44"/>
      <c r="S6" s="44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11"/>
      <c r="B7" s="50" t="s">
        <v>19</v>
      </c>
      <c r="C7" s="51" t="s">
        <v>20</v>
      </c>
      <c r="D7" s="52">
        <v>150.0</v>
      </c>
      <c r="E7" s="52">
        <v>150.0</v>
      </c>
      <c r="F7" s="44" t="s">
        <v>18</v>
      </c>
      <c r="G7" s="44"/>
      <c r="H7" s="44"/>
      <c r="I7" s="44"/>
      <c r="J7" s="50">
        <v>15.0</v>
      </c>
      <c r="K7" s="44"/>
      <c r="L7" s="44"/>
      <c r="M7" s="44"/>
      <c r="N7" s="47">
        <v>44012.0</v>
      </c>
      <c r="O7" s="44"/>
      <c r="P7" s="44"/>
      <c r="Q7" s="44"/>
      <c r="R7" s="44"/>
      <c r="S7" s="44"/>
      <c r="T7" s="48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</row>
    <row r="8" ht="15.75" customHeight="1">
      <c r="A8" s="11"/>
      <c r="B8" s="50" t="s">
        <v>21</v>
      </c>
      <c r="C8" s="50" t="s">
        <v>17</v>
      </c>
      <c r="D8" s="50">
        <v>200.0</v>
      </c>
      <c r="E8" s="50">
        <v>200.0</v>
      </c>
      <c r="F8" s="44" t="s">
        <v>18</v>
      </c>
      <c r="G8" s="44"/>
      <c r="H8" s="44"/>
      <c r="I8" s="44"/>
      <c r="J8" s="50">
        <v>20.0</v>
      </c>
      <c r="K8" s="23"/>
      <c r="L8" s="23"/>
      <c r="M8" s="23"/>
      <c r="N8" s="47">
        <v>44012.0</v>
      </c>
      <c r="O8" s="23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" width="12.63"/>
    <col customWidth="1" min="19" max="19" width="21.75"/>
    <col customWidth="1" min="20" max="20" width="12.63"/>
    <col customWidth="1" min="21" max="21" width="21.75"/>
    <col customWidth="1" min="2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23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IFERROR(__xludf.DUMMYFUNCTION("""COMPUTED_VALUE"""),"ValidateCheckSide")</f>
        <v>ValidateCheckSide</v>
      </c>
      <c r="C5" s="55" t="str">
        <f>IFERROR(__xludf.DUMMYFUNCTION("""COMPUTED_VALUE"""),"DisabledChecksideAssets")</f>
        <v>DisabledChecksideAssets</v>
      </c>
      <c r="D5" s="55" t="str">
        <f>IFERROR(__xludf.DUMMYFUNCTION("""COMPUTED_VALUE"""),"PrecisionValue")</f>
        <v>PrecisionValue</v>
      </c>
      <c r="E5" s="55" t="str">
        <f>IFERROR(__xludf.DUMMYFUNCTION("""COMPUTED_VALUE"""),"UseCommissionInNetAmount")</f>
        <v>UseCommissionInNetAmount</v>
      </c>
      <c r="F5" s="56" t="str">
        <f>IFERROR(__xludf.DUMMYFUNCTION("""COMPUTED_VALUE"""),"SaveWithoutState")</f>
        <v>SaveWithoutState</v>
      </c>
      <c r="G5" s="55" t="str">
        <f>IFERROR(__xludf.DUMMYFUNCTION("""COMPUTED_VALUE"""),"SaveWithState")</f>
        <v>SaveWithState</v>
      </c>
      <c r="H5" s="55" t="str">
        <f>IFERROR(__xludf.DUMMYFUNCTION("""COMPUTED_VALUE"""),"ClearQuantities")</f>
        <v>ClearQuantities</v>
      </c>
      <c r="I5" s="55" t="str">
        <f>IFERROR(__xludf.DUMMYFUNCTION("""COMPUTED_VALUE"""),"ReapplyAllocation")</f>
        <v>ReapplyAllocation</v>
      </c>
      <c r="J5" s="55" t="str">
        <f>IFERROR(__xludf.DUMMYFUNCTION("""COMPUTED_VALUE"""),"DefaultAllocation")</f>
        <v>DefaultAllocation</v>
      </c>
      <c r="K5" s="55" t="str">
        <f>IFERROR(__xludf.DUMMYFUNCTION("""COMPUTED_VALUE"""),"IsCustomPreference")</f>
        <v>IsCustomPreference</v>
      </c>
      <c r="L5" s="55" t="str">
        <f>IFERROR(__xludf.DUMMYFUNCTION("""COMPUTED_VALUE"""),"AllocationMethod")</f>
        <v>AllocationMethod</v>
      </c>
      <c r="M5" s="55" t="str">
        <f>IFERROR(__xludf.DUMMYFUNCTION("""COMPUTED_VALUE"""),"RemainderAllocationTo")</f>
        <v>RemainderAllocationTo</v>
      </c>
      <c r="N5" s="55" t="str">
        <f>IFERROR(__xludf.DUMMYFUNCTION("""COMPUTED_VALUE"""),"Target%AsOf")</f>
        <v>Target%AsOf</v>
      </c>
      <c r="O5" s="55" t="str">
        <f>IFERROR(__xludf.DUMMYFUNCTION("""COMPUTED_VALUE"""),"ProrataAccounts")</f>
        <v>ProrataAccounts</v>
      </c>
      <c r="P5" s="55" t="str">
        <f>IFERROR(__xludf.DUMMYFUNCTION("""COMPUTED_VALUE"""),"DateUptoDays")</f>
        <v>DateUptoDays</v>
      </c>
      <c r="Q5" s="55" t="str">
        <f>IFERROR(__xludf.DUMMYFUNCTION("""COMPUTED_VALUE"""),"MatchClosing")</f>
        <v>MatchClosing</v>
      </c>
      <c r="R5" s="55" t="str">
        <f>IFERROR(__xludf.DUMMYFUNCTION("""COMPUTED_VALUE"""),"CommissionAlertOnBrokerChange")</f>
        <v>CommissionAlertOnBrokerChange</v>
      </c>
      <c r="S5" s="55" t="str">
        <f>IFERROR(__xludf.DUMMYFUNCTION("""COMPUTED_VALUE"""),"RecalculateCommissionOnBrokerChange")</f>
        <v>RecalculateCommissionOnBrokerChange</v>
      </c>
      <c r="T5" s="41" t="str">
        <f>IFERROR(__xludf.DUMMYFUNCTION("""COMPUTED_VALUE"""),"CommissionAlertOnAllocation")</f>
        <v>CommissionAlertOnAllocation</v>
      </c>
      <c r="U5" s="41" t="str">
        <f>IFERROR(__xludf.DUMMYFUNCTION("""COMPUTED_VALUE"""),"RecalculateCommissionOnAllocation")</f>
        <v>RecalculateCommissionOnAllocation</v>
      </c>
      <c r="V5" s="41" t="str">
        <f>IFERROR(__xludf.DUMMYFUNCTION("""COMPUTED_VALUE"""),"EnableMasterFund")</f>
        <v>EnableMasterFund</v>
      </c>
      <c r="W5" s="41" t="str">
        <f>IFERROR(__xludf.DUMMYFUNCTION("""COMPUTED_VALUE"""),"1MasterFund/1Symbol")</f>
        <v>1MasterFund/1Symbol</v>
      </c>
      <c r="X5" s="41" t="str">
        <f>IFERROR(__xludf.DUMMYFUNCTION("""COMPUTED_VALUE"""),"ProrataSchemeName")</f>
        <v>ProrataSchemeName</v>
      </c>
      <c r="Y5" s="41" t="str">
        <f>IFERROR(__xludf.DUMMYFUNCTION("""COMPUTED_VALUE"""),"ProrataAllocationSchemeBasis")</f>
        <v>ProrataAllocationSchemeBasis</v>
      </c>
      <c r="Z5" s="41" t="str">
        <f>IFERROR(__xludf.DUMMYFUNCTION("""COMPUTED_VALUE"""),"ShowAdvancedProrataUI")</f>
        <v>ShowAdvancedProrataUI</v>
      </c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8"/>
      <c r="G6" s="8"/>
      <c r="H6" s="8"/>
      <c r="I6" s="8"/>
      <c r="J6" s="8"/>
      <c r="K6" s="8"/>
      <c r="L6" s="8"/>
      <c r="M6" s="8"/>
      <c r="N6" s="8"/>
      <c r="O6" s="8"/>
      <c r="R6" s="9" t="b">
        <v>0</v>
      </c>
      <c r="S6" s="9" t="s">
        <v>24</v>
      </c>
      <c r="T6" s="9" t="b">
        <v>0</v>
      </c>
      <c r="U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25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IFERROR(__xludf.DUMMYFUNCTION("""COMPUTED_VALUE"""),"RangeType")</f>
        <v>RangeType</v>
      </c>
      <c r="C5" s="55" t="str">
        <f>IFERROR(__xludf.DUMMYFUNCTION("""COMPUTED_VALUE"""),"From")</f>
        <v>From</v>
      </c>
      <c r="D5" s="55" t="str">
        <f>IFERROR(__xludf.DUMMYFUNCTION("""COMPUTED_VALUE"""),"To")</f>
        <v>To</v>
      </c>
      <c r="E5" s="55" t="str">
        <f>IFERROR(__xludf.DUMMYFUNCTION("""COMPUTED_VALUE"""),"FilterTabName")</f>
        <v>FilterTabName</v>
      </c>
      <c r="F5" s="56" t="str">
        <f>IFERROR(__xludf.DUMMYFUNCTION("""COMPUTED_VALUE"""),"Symbol")</f>
        <v>Symbol</v>
      </c>
      <c r="G5" s="55" t="str">
        <f>IFERROR(__xludf.DUMMYFUNCTION("""COMPUTED_VALUE"""),"Asset")</f>
        <v>Asset</v>
      </c>
      <c r="H5" s="55" t="str">
        <f>IFERROR(__xludf.DUMMYFUNCTION("""COMPUTED_VALUE"""),"Side")</f>
        <v>Side</v>
      </c>
      <c r="I5" s="55" t="str">
        <f>IFERROR(__xludf.DUMMYFUNCTION("""COMPUTED_VALUE"""),"Account")</f>
        <v>Account</v>
      </c>
      <c r="J5" s="55" t="str">
        <f>IFERROR(__xludf.DUMMYFUNCTION("""COMPUTED_VALUE"""),"Broker")</f>
        <v>Broker</v>
      </c>
      <c r="K5" s="55" t="str">
        <f>IFERROR(__xludf.DUMMYFUNCTION("""COMPUTED_VALUE"""),"Currency")</f>
        <v>Currency</v>
      </c>
      <c r="L5" s="55" t="str">
        <f>IFERROR(__xludf.DUMMYFUNCTION("""COMPUTED_VALUE"""),"Exchange")</f>
        <v>Exchange</v>
      </c>
      <c r="M5" s="55" t="str">
        <f>IFERROR(__xludf.DUMMYFUNCTION("""COMPUTED_VALUE"""),"StrategyName")</f>
        <v>StrategyName</v>
      </c>
      <c r="N5" s="55" t="str">
        <f>IFERROR(__xludf.DUMMYFUNCTION("""COMPUTED_VALUE"""),"Underlying")</f>
        <v>Underlying</v>
      </c>
      <c r="O5" s="55" t="str">
        <f>IFERROR(__xludf.DUMMYFUNCTION("""COMPUTED_VALUE"""),"Venue")</f>
        <v>Venue</v>
      </c>
      <c r="P5" s="55" t="str">
        <f>IFERROR(__xludf.DUMMYFUNCTION("""COMPUTED_VALUE"""),"TradingAccount")</f>
        <v>TradingAccount</v>
      </c>
      <c r="Q5" s="55" t="str">
        <f>IFERROR(__xludf.DUMMYFUNCTION("""COMPUTED_VALUE"""),"PreAllocated")</f>
        <v>PreAllocated</v>
      </c>
      <c r="R5" s="55" t="str">
        <f>IFERROR(__xludf.DUMMYFUNCTION("""COMPUTED_VALUE"""),"ManualGroup")</f>
        <v>ManualGroup</v>
      </c>
      <c r="S5" s="55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 t="s">
        <v>26</v>
      </c>
      <c r="C6" s="58" t="s">
        <v>27</v>
      </c>
      <c r="D6" s="59">
        <f>TODAY()</f>
        <v>45854</v>
      </c>
      <c r="E6" s="5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28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42"/>
      <c r="B6" s="60" t="s">
        <v>16</v>
      </c>
      <c r="C6" s="61" t="s">
        <v>17</v>
      </c>
      <c r="D6" s="62">
        <v>100.0</v>
      </c>
      <c r="E6" s="63">
        <v>100.0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29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IFERROR(__xludf.DUMMYFUNCTION("IF(C3="""","""",Transpose(IMPORTRANGE('_Settings'!$B$3,C3&amp;""!A4:A1000"")))"),"#REF!")</f>
        <v>#REF!</v>
      </c>
      <c r="C4" s="33"/>
      <c r="D4" s="33"/>
      <c r="E4" s="33"/>
      <c r="F4" s="33"/>
      <c r="G4" s="64">
        <v>44013.0</v>
      </c>
      <c r="H4" s="33"/>
      <c r="I4" s="33"/>
      <c r="J4" s="33"/>
      <c r="K4" s="33"/>
      <c r="L4" s="33"/>
      <c r="M4" s="33"/>
      <c r="N4" s="33"/>
      <c r="O4" s="3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IFERROR(__xludf.DUMMYFUNCTION("""COMPUTED_VALUE"""),"Avg Price(Local)")</f>
        <v>Avg Price(Local)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IFERROR(__xludf.DUMMYFUNCTION("""COMPUTED_VALUE"""),"SEC Fee")</f>
        <v>SEC Fee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 t="str">
        <f>IFERROR(__xludf.DUMMYFUNCTION("""COMPUTED_VALUE"""),"FX Rate")</f>
        <v>FX Rate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58">
        <v>44013.0</v>
      </c>
      <c r="G6" s="58"/>
      <c r="H6" s="58"/>
      <c r="I6" s="58"/>
      <c r="J6" s="11"/>
      <c r="K6" s="8"/>
      <c r="L6" s="8"/>
      <c r="M6" s="11"/>
      <c r="N6" s="11"/>
      <c r="O6" s="65"/>
      <c r="P6" s="66"/>
      <c r="Q6" s="66"/>
      <c r="R6" s="66"/>
      <c r="S6" s="66"/>
      <c r="T6" s="65"/>
      <c r="AI6" s="67"/>
      <c r="AN6" s="9" t="s">
        <v>16</v>
      </c>
      <c r="AO6" s="9">
        <v>100.0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28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19</v>
      </c>
      <c r="C6" s="11" t="s">
        <v>20</v>
      </c>
      <c r="D6" s="11">
        <v>150.0</v>
      </c>
      <c r="E6" s="11">
        <v>150.0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1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29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IFERROR(__xludf.DUMMYFUNCTION("""COMPUTED_VALUE"""),"Avg Price(Local)")</f>
        <v>Avg Price(Local)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IFERROR(__xludf.DUMMYFUNCTION("""COMPUTED_VALUE"""),"SEC Fee")</f>
        <v>SEC Fee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 t="str">
        <f>IFERROR(__xludf.DUMMYFUNCTION("""COMPUTED_VALUE"""),"FX Rate")</f>
        <v>FX Rate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17</v>
      </c>
      <c r="C6" s="11" t="s">
        <v>30</v>
      </c>
      <c r="D6" s="11">
        <v>5.0</v>
      </c>
      <c r="E6" s="11">
        <v>40.0</v>
      </c>
      <c r="F6" s="58"/>
      <c r="G6" s="58">
        <v>44015.0</v>
      </c>
      <c r="H6" s="58">
        <v>44010.0</v>
      </c>
      <c r="I6" s="58">
        <v>44015.0</v>
      </c>
      <c r="J6" s="11" t="s">
        <v>31</v>
      </c>
      <c r="K6" s="11" t="s">
        <v>32</v>
      </c>
      <c r="L6" s="8"/>
      <c r="M6" s="11" t="s">
        <v>33</v>
      </c>
      <c r="N6" s="11"/>
      <c r="O6" s="65" t="s">
        <v>34</v>
      </c>
      <c r="P6" s="66" t="s">
        <v>35</v>
      </c>
      <c r="Q6" s="66" t="s">
        <v>36</v>
      </c>
      <c r="R6" s="66" t="s">
        <v>37</v>
      </c>
      <c r="S6" s="66" t="s">
        <v>38</v>
      </c>
      <c r="T6" s="65" t="s">
        <v>39</v>
      </c>
      <c r="U6" s="9">
        <v>1.0</v>
      </c>
      <c r="V6" s="9">
        <v>2.0</v>
      </c>
      <c r="W6" s="9">
        <v>15.0</v>
      </c>
      <c r="Z6" s="9">
        <v>2.0</v>
      </c>
      <c r="AA6" s="9">
        <v>5.0</v>
      </c>
      <c r="AB6" s="9">
        <v>2.0</v>
      </c>
      <c r="AD6" s="9">
        <v>4.0</v>
      </c>
      <c r="AE6" s="9">
        <v>6.0</v>
      </c>
      <c r="AF6" s="9">
        <v>7.0</v>
      </c>
      <c r="AH6" s="9">
        <v>5.0</v>
      </c>
      <c r="AI6" s="67"/>
      <c r="AN6" s="9" t="s">
        <v>19</v>
      </c>
      <c r="AO6" s="9">
        <v>150.0</v>
      </c>
      <c r="AP6" s="9">
        <v>15.0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28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IFERROR(__xludf.DUMMYFUNCTION("""COMPUTED_VALUE"""),"Symbol")</f>
        <v>Symbol</v>
      </c>
      <c r="C5" s="55" t="str">
        <f>IFERROR(__xludf.DUMMYFUNCTION("""COMPUTED_VALUE"""),"Side")</f>
        <v>Side</v>
      </c>
      <c r="D5" s="55" t="str">
        <f>IFERROR(__xludf.DUMMYFUNCTION("""COMPUTED_VALUE"""),"Quantity")</f>
        <v>Quantity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IFERROR(__xludf.DUMMYFUNCTION("""COMPUTED_VALUE"""),"Net Amount( Local)")</f>
        <v>Net Amount( Local)</v>
      </c>
      <c r="H5" s="55" t="str">
        <f>IFERROR(__xludf.DUMMYFUNCTION("""COMPUTED_VALUE"""),"Net Amount( Base)")</f>
        <v>Net Amount( Base)</v>
      </c>
      <c r="I5" s="55" t="str">
        <f>IFERROR(__xludf.DUMMYFUNCTION("""COMPUTED_VALUE"""),"Principal Amount( Local)")</f>
        <v>Principal Amount( Local)</v>
      </c>
      <c r="J5" s="55" t="str">
        <f>IFERROR(__xludf.DUMMYFUNCTION("""COMPUTED_VALUE"""),"Transaction Type")</f>
        <v>Transaction Type</v>
      </c>
      <c r="K5" s="55" t="str">
        <f>IFERROR(__xludf.DUMMYFUNCTION("""COMPUTED_VALUE"""),"Principal Amount( Base)")</f>
        <v>Principal Amount( Base)</v>
      </c>
      <c r="L5" s="55" t="str">
        <f>IFERROR(__xludf.DUMMYFUNCTION("""COMPUTED_VALUE"""),"Execution Time")</f>
        <v>Execution Time</v>
      </c>
      <c r="M5" s="55" t="str">
        <f>IFERROR(__xludf.DUMMYFUNCTION("""COMPUTED_VALUE"""),"Trading Account")</f>
        <v>Trading Account</v>
      </c>
      <c r="N5" s="55" t="str">
        <f>IFERROR(__xludf.DUMMYFUNCTION("""COMPUTED_VALUE"""),"Avg Price(Local)")</f>
        <v>Avg Price(Local)</v>
      </c>
      <c r="O5" s="55" t="str">
        <f>IFERROR(__xludf.DUMMYFUNCTION("""COMPUTED_VALUE"""),"Avg Price(Base)")</f>
        <v>Avg Price(Base)</v>
      </c>
      <c r="P5" s="55" t="str">
        <f>IFERROR(__xludf.DUMMYFUNCTION("""COMPUTED_VALUE"""),"Broker")</f>
        <v>Broker</v>
      </c>
      <c r="Q5" s="55" t="str">
        <f>IFERROR(__xludf.DUMMYFUNCTION("""COMPUTED_VALUE"""),"FX Rate")</f>
        <v>FX Rate</v>
      </c>
      <c r="R5" s="55" t="str">
        <f>IFERROR(__xludf.DUMMYFUNCTION("""COMPUTED_VALUE"""),"Venue")</f>
        <v>Venue</v>
      </c>
      <c r="S5" s="55" t="str">
        <f>IFERROR(__xludf.DUMMYFUNCTION("""COMPUTED_VALUE"""),"FX Conversion Operator")</f>
        <v>FX Conversion Operator</v>
      </c>
      <c r="T5" s="41" t="str">
        <f>IFERROR(__xludf.DUMMYFUNCTION("""COMPUTED_VALUE"""),"User")</f>
        <v>User</v>
      </c>
      <c r="U5" s="41" t="str">
        <f>IFERROR(__xludf.DUMMYFUNCTION("""COMPUTED_VALUE"""),"Asset Category")</f>
        <v>Asset Category</v>
      </c>
      <c r="V5" s="41" t="str">
        <f>IFERROR(__xludf.DUMMYFUNCTION("""COMPUTED_VALUE"""),"Settlement Currency")</f>
        <v>Settlement Currency</v>
      </c>
      <c r="W5" s="41" t="str">
        <f>IFERROR(__xludf.DUMMYFUNCTION("""COMPUTED_VALUE"""),"Commission Per Share")</f>
        <v>Commission Per Share</v>
      </c>
      <c r="X5" s="41" t="str">
        <f>IFERROR(__xludf.DUMMYFUNCTION("""COMPUTED_VALUE"""),"Soft Commission Per Share")</f>
        <v>Soft Commission Per Share</v>
      </c>
      <c r="Y5" s="41" t="str">
        <f>IFERROR(__xludf.DUMMYFUNCTION("""COMPUTED_VALUE"""),"Total Commission Per Share")</f>
        <v>Total Commission Per Share</v>
      </c>
      <c r="Z5" s="41" t="str">
        <f>IFERROR(__xludf.DUMMYFUNCTION("""COMPUTED_VALUE"""),"Change Type")</f>
        <v>Change Type</v>
      </c>
      <c r="AA5" s="41" t="str">
        <f>IFERROR(__xludf.DUMMYFUNCTION("""COMPUTED_VALUE"""),"Trade Attribute 1")</f>
        <v>Trade Attribute 1</v>
      </c>
      <c r="AB5" s="41" t="str">
        <f>IFERROR(__xludf.DUMMYFUNCTION("""COMPUTED_VALUE"""),"Trade Attribute 2")</f>
        <v>Trade Attribute 2</v>
      </c>
      <c r="AC5" s="41" t="str">
        <f>IFERROR(__xludf.DUMMYFUNCTION("""COMPUTED_VALUE"""),"Trade Attribute 3")</f>
        <v>Trade Attribute 3</v>
      </c>
      <c r="AD5" s="41" t="str">
        <f>IFERROR(__xludf.DUMMYFUNCTION("""COMPUTED_VALUE"""),"Trade Attribute 4")</f>
        <v>Trade Attribute 4</v>
      </c>
      <c r="AE5" s="41" t="str">
        <f>IFERROR(__xludf.DUMMYFUNCTION("""COMPUTED_VALUE"""),"Trade Attribute 5")</f>
        <v>Trade Attribute 5</v>
      </c>
      <c r="AF5" s="41" t="str">
        <f>IFERROR(__xludf.DUMMYFUNCTION("""COMPUTED_VALUE"""),"Trade Attribute 6")</f>
        <v>Trade Attribute 6</v>
      </c>
      <c r="AG5" s="41" t="str">
        <f>IFERROR(__xludf.DUMMYFUNCTION("""COMPUTED_VALUE"""),"IsPreAllocated")</f>
        <v>IsPreAllocated</v>
      </c>
      <c r="AH5" s="41" t="str">
        <f>IFERROR(__xludf.DUMMYFUNCTION("""COMPUTED_VALUE"""),"IsManual Group")</f>
        <v>IsManual Group</v>
      </c>
      <c r="AI5" s="41" t="str">
        <f>IFERROR(__xludf.DUMMYFUNCTION("""COMPUTED_VALUE"""),"IsAnotherTaxlotAttributesUpdated")</f>
        <v>IsAnotherTaxlotAttributesUpdated</v>
      </c>
      <c r="AJ5" s="41" t="str">
        <f>IFERROR(__xludf.DUMMYFUNCTION("""COMPUTED_VALUE"""),"ISNDF")</f>
        <v>ISNDF</v>
      </c>
      <c r="AK5" s="41" t="str">
        <f>IFERROR(__xludf.DUMMYFUNCTION("""COMPUTED_VALUE"""),"M2MProfitLoss")</f>
        <v>M2MProfitLoss</v>
      </c>
      <c r="AL5" s="41" t="str">
        <f>IFERROR(__xludf.DUMMYFUNCTION("""COMPUTED_VALUE"""),"Put Or Call")</f>
        <v>Put Or Call</v>
      </c>
      <c r="AM5" s="41" t="str">
        <f>IFERROR(__xludf.DUMMYFUNCTION("""COMPUTED_VALUE"""),"GroupID")</f>
        <v>GroupID</v>
      </c>
      <c r="AN5" s="41" t="str">
        <f>IFERROR(__xludf.DUMMYFUNCTION("""COMPUTED_VALUE"""),"UnAllocatedQty")</f>
        <v>UnAllocatedQty</v>
      </c>
      <c r="AO5" s="41" t="str">
        <f>IFERROR(__xludf.DUMMYFUNCTION("""COMPUTED_VALUE"""),"Allocated Qty")</f>
        <v>Allocated Qty</v>
      </c>
      <c r="AP5" s="41" t="str">
        <f>IFERROR(__xludf.DUMMYFUNCTION("""COMPUTED_VALUE"""),"Commission")</f>
        <v>Commission</v>
      </c>
      <c r="AQ5" s="41" t="str">
        <f>IFERROR(__xludf.DUMMYFUNCTION("""COMPUTED_VALUE"""),"Soft Commission")</f>
        <v>Soft Commission</v>
      </c>
      <c r="AR5" s="41" t="str">
        <f>IFERROR(__xludf.DUMMYFUNCTION("""COMPUTED_VALUE"""),"Other Broker Fees")</f>
        <v>Other Broker Fees</v>
      </c>
      <c r="AS5" s="41" t="str">
        <f>IFERROR(__xludf.DUMMYFUNCTION("""COMPUTED_VALUE"""),"Clearing Broker Fee")</f>
        <v>Clearing Broker Fee</v>
      </c>
      <c r="AT5" s="41" t="str">
        <f>IFERROR(__xludf.DUMMYFUNCTION("""COMPUTED_VALUE"""),"Total Commission And Fee")</f>
        <v>Total Commission And Fee</v>
      </c>
      <c r="AU5" s="41" t="str">
        <f>IFERROR(__xludf.DUMMYFUNCTION("""COMPUTED_VALUE"""),"Transaction Levy")</f>
        <v>Transaction Levy</v>
      </c>
      <c r="AV5" s="41" t="str">
        <f>IFERROR(__xludf.DUMMYFUNCTION("""COMPUTED_VALUE"""),"Stamp Duty")</f>
        <v>Stamp Duty</v>
      </c>
      <c r="AW5" s="41" t="str">
        <f>IFERROR(__xludf.DUMMYFUNCTION("""COMPUTED_VALUE"""),"AUEC Fee1")</f>
        <v>AUEC Fee1</v>
      </c>
      <c r="AX5" s="41" t="str">
        <f>IFERROR(__xludf.DUMMYFUNCTION("""COMPUTED_VALUE"""),"Tax On Commissions")</f>
        <v>Tax On Commissions</v>
      </c>
      <c r="AY5" s="41" t="str">
        <f>IFERROR(__xludf.DUMMYFUNCTION("""COMPUTED_VALUE"""),"AUEC Fee2")</f>
        <v>AUEC Fee2</v>
      </c>
      <c r="AZ5" s="41" t="str">
        <f>IFERROR(__xludf.DUMMYFUNCTION("""COMPUTED_VALUE"""),"SEC Fee")</f>
        <v>SEC Fee</v>
      </c>
      <c r="BA5" s="41" t="str">
        <f>IFERROR(__xludf.DUMMYFUNCTION("""COMPUTED_VALUE"""),"OCC Fee")</f>
        <v>OCC Fee</v>
      </c>
      <c r="BB5" s="41" t="str">
        <f>IFERROR(__xludf.DUMMYFUNCTION("""COMPUTED_VALUE"""),"ORF Fee")</f>
        <v>ORF Fee</v>
      </c>
      <c r="BC5" s="41" t="str">
        <f>IFERROR(__xludf.DUMMYFUNCTION("""COMPUTED_VALUE"""),"Option Premium Adjustment")</f>
        <v>Option Premium Adjustment</v>
      </c>
      <c r="BD5" s="41" t="str">
        <f>IFERROR(__xludf.DUMMYFUNCTION("""COMPUTED_VALUE"""),"Prana Msg Type")</f>
        <v>Prana Msg Type</v>
      </c>
      <c r="BE5" s="41" t="str">
        <f>IFERROR(__xludf.DUMMYFUNCTION("""COMPUTED_VALUE"""),"Total Commission")</f>
        <v>Total Commission</v>
      </c>
      <c r="BF5" s="41" t="str">
        <f>IFERROR(__xludf.DUMMYFUNCTION("""COMPUTED_VALUE"""),"Closing Status")</f>
        <v>Closing Status</v>
      </c>
      <c r="BG5" s="41" t="str">
        <f>IFERROR(__xludf.DUMMYFUNCTION("""COMPUTED_VALUE"""),"Closing Method")</f>
        <v>Closing Method</v>
      </c>
      <c r="BH5" s="41" t="str">
        <f>IFERROR(__xludf.DUMMYFUNCTION("""COMPUTED_VALUE"""),"Group Status")</f>
        <v>Group Status</v>
      </c>
      <c r="BI5" s="41" t="str">
        <f>IFERROR(__xludf.DUMMYFUNCTION("""COMPUTED_VALUE"""),"Allocation Scheme Name")</f>
        <v>Allocation Scheme Name</v>
      </c>
      <c r="BJ5" s="41" t="str">
        <f>IFERROR(__xludf.DUMMYFUNCTION("""COMPUTED_VALUE"""),"Change Comment")</f>
        <v>Change Comment</v>
      </c>
      <c r="BK5" s="41" t="str">
        <f>IFERROR(__xludf.DUMMYFUNCTION("""COMPUTED_VALUE"""),"Order Type")</f>
        <v>Order Type</v>
      </c>
      <c r="BL5" s="41" t="str">
        <f>IFERROR(__xludf.DUMMYFUNCTION("""COMPUTED_VALUE"""),"Underlying")</f>
        <v>Underlying</v>
      </c>
      <c r="BM5" s="41" t="str">
        <f>IFERROR(__xludf.DUMMYFUNCTION("""COMPUTED_VALUE"""),"Exchange")</f>
        <v>Exchange</v>
      </c>
      <c r="BN5" s="41" t="str">
        <f>IFERROR(__xludf.DUMMYFUNCTION("""COMPUTED_VALUE"""),"Currency")</f>
        <v>Currency</v>
      </c>
      <c r="BO5" s="41" t="str">
        <f>IFERROR(__xludf.DUMMYFUNCTION("""COMPUTED_VALUE"""),"AUECID")</f>
        <v>AUECID</v>
      </c>
      <c r="BP5" s="41" t="str">
        <f>IFERROR(__xludf.DUMMYFUNCTION("""COMPUTED_VALUE"""),"Cum Qty For Sub Order")</f>
        <v>Cum Qty For Sub Order</v>
      </c>
      <c r="BQ5" s="41" t="str">
        <f>IFERROR(__xludf.DUMMYFUNCTION("""COMPUTED_VALUE"""),"Contract Multiplier")</f>
        <v>Contract Multiplier</v>
      </c>
      <c r="BR5" s="41" t="str">
        <f>IFERROR(__xludf.DUMMYFUNCTION("""COMPUTED_VALUE"""),"Company")</f>
        <v>Company</v>
      </c>
      <c r="BS5" s="41" t="str">
        <f>IFERROR(__xludf.DUMMYFUNCTION("""COMPUTED_VALUE"""),"Nirvana Process Date")</f>
        <v>Nirvana Process Date</v>
      </c>
      <c r="BT5" s="41" t="str">
        <f>IFERROR(__xludf.DUMMYFUNCTION("""COMPUTED_VALUE"""),"Process Date")</f>
        <v>Process Date</v>
      </c>
      <c r="BU5" s="41" t="str">
        <f>IFERROR(__xludf.DUMMYFUNCTION("""COMPUTED_VALUE"""),"Original Purchase Date")</f>
        <v>Original Purchase Date</v>
      </c>
      <c r="BV5" s="41" t="str">
        <f>IFERROR(__xludf.DUMMYFUNCTION("""COMPUTED_VALUE"""),"Closing Date")</f>
        <v>Closing Date</v>
      </c>
      <c r="BW5" s="41" t="str">
        <f>IFERROR(__xludf.DUMMYFUNCTION("""COMPUTED_VALUE"""),"Settlement Date")</f>
        <v>Settlement Date</v>
      </c>
      <c r="BX5" s="41" t="str">
        <f>IFERROR(__xludf.DUMMYFUNCTION("""COMPUTED_VALUE"""),"Expiration Date")</f>
        <v>Expiration Date</v>
      </c>
      <c r="BY5" s="41" t="str">
        <f>IFERROR(__xludf.DUMMYFUNCTION("""COMPUTED_VALUE"""),"Description")</f>
        <v>Description</v>
      </c>
      <c r="BZ5" s="41" t="str">
        <f>IFERROR(__xludf.DUMMYFUNCTION("""COMPUTED_VALUE"""),"Underlying Symbol")</f>
        <v>Underlying Symbol</v>
      </c>
      <c r="CA5" s="41" t="str">
        <f>IFERROR(__xludf.DUMMYFUNCTION("""COMPUTED_VALUE"""),"Accrued Interest")</f>
        <v>Accrued Interest</v>
      </c>
      <c r="CB5" s="41" t="str">
        <f>IFERROR(__xludf.DUMMYFUNCTION("""COMPUTED_VALUE"""),"Accrual Basis")</f>
        <v>Accrual Basis</v>
      </c>
      <c r="CC5" s="41" t="str">
        <f>IFERROR(__xludf.DUMMYFUNCTION("""COMPUTED_VALUE"""),"Bond Type")</f>
        <v>Bond Type</v>
      </c>
      <c r="CD5" s="41" t="str">
        <f>IFERROR(__xludf.DUMMYFUNCTION("""COMPUTED_VALUE"""),"Coupon Rate")</f>
        <v>Coupon Rate</v>
      </c>
      <c r="CE5" s="41" t="str">
        <f>IFERROR(__xludf.DUMMYFUNCTION("""COMPUTED_VALUE"""),"Delta")</f>
        <v>Delta</v>
      </c>
      <c r="CF5" s="41" t="str">
        <f>IFERROR(__xludf.DUMMYFUNCTION("""COMPUTED_VALUE"""),"Bloomberg")</f>
        <v>Bloomberg</v>
      </c>
      <c r="CG5" s="41" t="str">
        <f>IFERROR(__xludf.DUMMYFUNCTION("""COMPUTED_VALUE"""),"Sedol Symbol")</f>
        <v>Sedol Symbol</v>
      </c>
      <c r="CH5" s="41" t="str">
        <f>IFERROR(__xludf.DUMMYFUNCTION("""COMPUTED_VALUE"""),"Cusip Symbol")</f>
        <v>Cusip Symbol</v>
      </c>
      <c r="CI5" s="41" t="str">
        <f>IFERROR(__xludf.DUMMYFUNCTION("""COMPUTED_VALUE"""),"ISIN")</f>
        <v>ISIN</v>
      </c>
      <c r="CJ5" s="41" t="str">
        <f>IFERROR(__xludf.DUMMYFUNCTION("""COMPUTED_VALUE"""),"OSISSymbol")</f>
        <v>OSISSymbol</v>
      </c>
      <c r="CK5" s="41" t="str">
        <f>IFERROR(__xludf.DUMMYFUNCTION("""COMPUTED_VALUE"""),"IDCOSymbol")</f>
        <v>IDCOSymbol</v>
      </c>
      <c r="CL5" s="41" t="str">
        <f>IFERROR(__xludf.DUMMYFUNCTION("""COMPUTED_VALUE"""),"Underlying Delta")</f>
        <v>Underlying Delta</v>
      </c>
      <c r="CM5" s="41" t="str">
        <f>IFERROR(__xludf.DUMMYFUNCTION("""COMPUTED_VALUE"""),"Internal Comments")</f>
        <v>Internal Comments</v>
      </c>
      <c r="CN5" s="41" t="str">
        <f>IFERROR(__xludf.DUMMYFUNCTION("""COMPUTED_VALUE"""),"Proxy Symbol")</f>
        <v>Proxy Symbol</v>
      </c>
      <c r="CO5" s="41" t="str">
        <f>IFERROR(__xludf.DUMMYFUNCTION("""COMPUTED_VALUE"""),"Transaction Source")</f>
        <v>Transaction Source</v>
      </c>
      <c r="CP5" s="41" t="str">
        <f>IFERROR(__xludf.DUMMYFUNCTION("""COMPUTED_VALUE"""),"Import File Name")</f>
        <v>Import File Name</v>
      </c>
      <c r="CQ5" s="41" t="str">
        <f>IFERROR(__xludf.DUMMYFUNCTION("""COMPUTED_VALUE"""),"Master Fund")</f>
        <v>Master Fund</v>
      </c>
      <c r="CR5" s="41" t="str">
        <f>IFERROR(__xludf.DUMMYFUNCTION("""COMPUTED_VALUE"""),"Client")</f>
        <v>Client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 t="s">
        <v>21</v>
      </c>
      <c r="C6" s="11" t="s">
        <v>17</v>
      </c>
      <c r="D6" s="11">
        <v>200.0</v>
      </c>
      <c r="E6" s="11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29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IFERROR(__xludf.DUMMYFUNCTION("""COMPUTED_VALUE"""),"Side")</f>
        <v>Side</v>
      </c>
      <c r="C5" s="55" t="str">
        <f>IFERROR(__xludf.DUMMYFUNCTION("""COMPUTED_VALUE"""),"Venue")</f>
        <v>Venue</v>
      </c>
      <c r="D5" s="55" t="str">
        <f>IFERROR(__xludf.DUMMYFUNCTION("""COMPUTED_VALUE"""),"Transaction Levy")</f>
        <v>Transaction Levy</v>
      </c>
      <c r="E5" s="55" t="str">
        <f>IFERROR(__xludf.DUMMYFUNCTION("""COMPUTED_VALUE"""),"Executed Qty")</f>
        <v>Executed Qty</v>
      </c>
      <c r="F5" s="56" t="str">
        <f>IFERROR(__xludf.DUMMYFUNCTION("""COMPUTED_VALUE"""),"Trade Date")</f>
        <v>Trade Date</v>
      </c>
      <c r="G5" s="55" t="str">
        <f>IFERROR(__xludf.DUMMYFUNCTION("""COMPUTED_VALUE"""),"Process Date")</f>
        <v>Process Date</v>
      </c>
      <c r="H5" s="55" t="str">
        <f>IFERROR(__xludf.DUMMYFUNCTION("""COMPUTED_VALUE"""),"Original Purchase Date")</f>
        <v>Original Purchase Date</v>
      </c>
      <c r="I5" s="55" t="str">
        <f>IFERROR(__xludf.DUMMYFUNCTION("""COMPUTED_VALUE"""),"Settlement Date")</f>
        <v>Settlement Date</v>
      </c>
      <c r="J5" s="55" t="str">
        <f>IFERROR(__xludf.DUMMYFUNCTION("""COMPUTED_VALUE"""),"ISIN")</f>
        <v>ISIN</v>
      </c>
      <c r="K5" s="55" t="str">
        <f>IFERROR(__xludf.DUMMYFUNCTION("""COMPUTED_VALUE"""),"Internal Comments")</f>
        <v>Internal Comments</v>
      </c>
      <c r="L5" s="55" t="str">
        <f>IFERROR(__xludf.DUMMYFUNCTION("""COMPUTED_VALUE"""),"Accrued Interest")</f>
        <v>Accrued Interest</v>
      </c>
      <c r="M5" s="55" t="str">
        <f>IFERROR(__xludf.DUMMYFUNCTION("""COMPUTED_VALUE"""),"Broker")</f>
        <v>Broker</v>
      </c>
      <c r="N5" s="55" t="str">
        <f>IFERROR(__xludf.DUMMYFUNCTION("""COMPUTED_VALUE"""),"Transaction Type")</f>
        <v>Transaction Type</v>
      </c>
      <c r="O5" s="55" t="str">
        <f>IFERROR(__xludf.DUMMYFUNCTION("""COMPUTED_VALUE"""),"Trade Attribute 1")</f>
        <v>Trade Attribute 1</v>
      </c>
      <c r="P5" s="55" t="str">
        <f>IFERROR(__xludf.DUMMYFUNCTION("""COMPUTED_VALUE"""),"Trade Attribute 2")</f>
        <v>Trade Attribute 2</v>
      </c>
      <c r="Q5" s="55" t="str">
        <f>IFERROR(__xludf.DUMMYFUNCTION("""COMPUTED_VALUE"""),"Trade Attribute 3")</f>
        <v>Trade Attribute 3</v>
      </c>
      <c r="R5" s="55" t="str">
        <f>IFERROR(__xludf.DUMMYFUNCTION("""COMPUTED_VALUE"""),"Trade Attribute 4")</f>
        <v>Trade Attribute 4</v>
      </c>
      <c r="S5" s="55" t="str">
        <f>IFERROR(__xludf.DUMMYFUNCTION("""COMPUTED_VALUE"""),"Trade Attribute 5")</f>
        <v>Trade Attribute 5</v>
      </c>
      <c r="T5" s="41" t="str">
        <f>IFERROR(__xludf.DUMMYFUNCTION("""COMPUTED_VALUE"""),"Trade Attribute 6")</f>
        <v>Trade Attribute 6</v>
      </c>
      <c r="U5" s="41" t="str">
        <f>IFERROR(__xludf.DUMMYFUNCTION("""COMPUTED_VALUE"""),"Commission")</f>
        <v>Commission</v>
      </c>
      <c r="V5" s="41" t="str">
        <f>IFERROR(__xludf.DUMMYFUNCTION("""COMPUTED_VALUE"""),"Soft Commission")</f>
        <v>Soft Commission</v>
      </c>
      <c r="W5" s="41" t="str">
        <f>IFERROR(__xludf.DUMMYFUNCTION("""COMPUTED_VALUE"""),"Other Broker Fees")</f>
        <v>Other Broker Fees</v>
      </c>
      <c r="X5" s="41" t="str">
        <f>IFERROR(__xludf.DUMMYFUNCTION("""COMPUTED_VALUE"""),"Clearing Broker Fee")</f>
        <v>Clearing Broker Fee</v>
      </c>
      <c r="Y5" s="41" t="str">
        <f>IFERROR(__xludf.DUMMYFUNCTION("""COMPUTED_VALUE"""),"Stamp Duty")</f>
        <v>Stamp Duty</v>
      </c>
      <c r="Z5" s="41" t="str">
        <f>IFERROR(__xludf.DUMMYFUNCTION("""COMPUTED_VALUE"""),"AUEC Fee1")</f>
        <v>AUEC Fee1</v>
      </c>
      <c r="AA5" s="41" t="str">
        <f>IFERROR(__xludf.DUMMYFUNCTION("""COMPUTED_VALUE"""),"Tax On Commissions")</f>
        <v>Tax On Commissions</v>
      </c>
      <c r="AB5" s="41" t="str">
        <f>IFERROR(__xludf.DUMMYFUNCTION("""COMPUTED_VALUE"""),"AUEC Fee2")</f>
        <v>AUEC Fee2</v>
      </c>
      <c r="AC5" s="41" t="str">
        <f>IFERROR(__xludf.DUMMYFUNCTION("""COMPUTED_VALUE"""),"Avg Price(Local)")</f>
        <v>Avg Price(Local)</v>
      </c>
      <c r="AD5" s="41" t="str">
        <f>IFERROR(__xludf.DUMMYFUNCTION("""COMPUTED_VALUE"""),"OCC Fee")</f>
        <v>OCC Fee</v>
      </c>
      <c r="AE5" s="41" t="str">
        <f>IFERROR(__xludf.DUMMYFUNCTION("""COMPUTED_VALUE"""),"ORF Fee")</f>
        <v>ORF Fee</v>
      </c>
      <c r="AF5" s="41" t="str">
        <f>IFERROR(__xludf.DUMMYFUNCTION("""COMPUTED_VALUE"""),"Option Premium Adjustment")</f>
        <v>Option Premium Adjustment</v>
      </c>
      <c r="AG5" s="41" t="str">
        <f>IFERROR(__xludf.DUMMYFUNCTION("""COMPUTED_VALUE"""),"Change Comment")</f>
        <v>Change Comment</v>
      </c>
      <c r="AH5" s="41" t="str">
        <f>IFERROR(__xludf.DUMMYFUNCTION("""COMPUTED_VALUE"""),"SEC Fee")</f>
        <v>SEC Fee</v>
      </c>
      <c r="AI5" s="41" t="str">
        <f>IFERROR(__xludf.DUMMYFUNCTION("""COMPUTED_VALUE"""),"Nirvana Process Date")</f>
        <v>Nirvana Process Date</v>
      </c>
      <c r="AJ5" s="41" t="str">
        <f>IFERROR(__xludf.DUMMYFUNCTION("""COMPUTED_VALUE"""),"Closing Date")</f>
        <v>Closing Date</v>
      </c>
      <c r="AK5" s="41" t="str">
        <f>IFERROR(__xludf.DUMMYFUNCTION("""COMPUTED_VALUE"""),"Description")</f>
        <v>Description</v>
      </c>
      <c r="AL5" s="41" t="str">
        <f>IFERROR(__xludf.DUMMYFUNCTION("""COMPUTED_VALUE"""),"Coupon Rate")</f>
        <v>Coupon Rate</v>
      </c>
      <c r="AM5" s="41" t="str">
        <f>IFERROR(__xludf.DUMMYFUNCTION("""COMPUTED_VALUE"""),"Delta")</f>
        <v>Delta</v>
      </c>
      <c r="AN5" s="41" t="str">
        <f>IFERROR(__xludf.DUMMYFUNCTION("""COMPUTED_VALUE"""),"Symbol")</f>
        <v>Symbol</v>
      </c>
      <c r="AO5" s="41" t="str">
        <f>IFERROR(__xludf.DUMMYFUNCTION("""COMPUTED_VALUE"""),"Quantity")</f>
        <v>Quantity</v>
      </c>
      <c r="AP5" s="41" t="str">
        <f>IFERROR(__xludf.DUMMYFUNCTION("""COMPUTED_VALUE"""),"Avg Price(Base)")</f>
        <v>Avg Price(Base)</v>
      </c>
      <c r="AQ5" s="41" t="str">
        <f>IFERROR(__xludf.DUMMYFUNCTION("""COMPUTED_VALUE"""),"Sedol Symbol")</f>
        <v>Sedol Symbol</v>
      </c>
      <c r="AR5" s="41" t="str">
        <f>IFERROR(__xludf.DUMMYFUNCTION("""COMPUTED_VALUE"""),"Borrow Broker")</f>
        <v>Borrow Broker</v>
      </c>
      <c r="AS5" s="41" t="str">
        <f>IFERROR(__xludf.DUMMYFUNCTION("""COMPUTED_VALUE"""),"FX Rate")</f>
        <v>FX Rate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8"/>
      <c r="B6" s="11" t="s">
        <v>20</v>
      </c>
      <c r="C6" s="8"/>
      <c r="D6" s="11">
        <v>5.0</v>
      </c>
      <c r="E6" s="11">
        <v>50.0</v>
      </c>
      <c r="F6" s="58"/>
      <c r="G6" s="58"/>
      <c r="H6" s="8"/>
      <c r="I6" s="8"/>
      <c r="J6" s="11"/>
      <c r="K6" s="8"/>
      <c r="L6" s="8"/>
      <c r="M6" s="11"/>
      <c r="N6" s="11"/>
      <c r="O6" s="49"/>
      <c r="P6" s="61"/>
      <c r="Q6" s="61"/>
      <c r="R6" s="61"/>
      <c r="S6" s="61"/>
      <c r="T6" s="49"/>
      <c r="U6" s="9">
        <v>1.0</v>
      </c>
      <c r="V6" s="9">
        <v>2.0</v>
      </c>
      <c r="Y6" s="9">
        <v>10.0</v>
      </c>
      <c r="Z6" s="9">
        <v>3.0</v>
      </c>
      <c r="AA6" s="9">
        <v>6.0</v>
      </c>
      <c r="AB6" s="9">
        <v>3.0</v>
      </c>
      <c r="AC6" s="9">
        <v>15.0</v>
      </c>
      <c r="AD6" s="9">
        <v>5.0</v>
      </c>
      <c r="AE6" s="9">
        <v>7.0</v>
      </c>
      <c r="AF6" s="9">
        <v>8.0</v>
      </c>
      <c r="AH6" s="9">
        <v>6.0</v>
      </c>
      <c r="AJ6" s="67" t="s">
        <v>40</v>
      </c>
      <c r="AK6" s="9" t="s">
        <v>32</v>
      </c>
      <c r="AN6" s="9" t="s">
        <v>21</v>
      </c>
      <c r="AO6" s="9">
        <v>200.0</v>
      </c>
      <c r="AP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EditUnallocatedGridWPF2!$4:$4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7" width="12.63"/>
    <col customWidth="1" min="48" max="48" width="20.0"/>
    <col customWidth="1" min="49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53" t="str">
        <f> VLOOKUP($E$3,'_MasterData'!B4:D1000,3,FALSE)</f>
        <v>#N/A</v>
      </c>
      <c r="K2" s="53"/>
      <c r="L2" s="8"/>
      <c r="M2" s="8"/>
      <c r="N2" s="8"/>
      <c r="O2" s="8"/>
    </row>
    <row r="3" ht="15.75" customHeight="1">
      <c r="A3" s="26"/>
      <c r="B3" s="5" t="s">
        <v>8</v>
      </c>
      <c r="C3" s="54" t="s">
        <v>22</v>
      </c>
      <c r="D3" s="5" t="s">
        <v>9</v>
      </c>
      <c r="E3" s="54" t="s">
        <v>41</v>
      </c>
      <c r="F3" s="5" t="s">
        <v>14</v>
      </c>
      <c r="G3" s="13" t="s">
        <v>15</v>
      </c>
      <c r="H3" s="5"/>
      <c r="I3" s="26"/>
      <c r="J3" s="26"/>
      <c r="K3" s="26"/>
      <c r="L3" s="26"/>
      <c r="M3" s="26"/>
      <c r="N3" s="26"/>
      <c r="O3" s="26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</row>
    <row r="4" ht="15.75" customHeight="1">
      <c r="A4" s="33"/>
      <c r="B4" s="33" t="str">
        <f>IFERROR(__xludf.DUMMYFUNCTION("IF(C3="""","""",Transpose(IMPORTRANGE('_Settings'!$B$3,C3&amp;""!A4:A1000"")))"),"Allocate")</f>
        <v>Allocate</v>
      </c>
      <c r="C4" s="33" t="str">
        <f>IFERROR(__xludf.DUMMYFUNCTION("""COMPUTED_VALUE"""),"CheckAllocatedGroups")</f>
        <v>CheckAllocatedGroups</v>
      </c>
      <c r="D4" s="33" t="str">
        <f>IFERROR(__xludf.DUMMYFUNCTION("""COMPUTED_VALUE"""),"Unallocate")</f>
        <v>Unallocate</v>
      </c>
      <c r="E4" s="33" t="str">
        <f>IFERROR(__xludf.DUMMYFUNCTION("""COMPUTED_VALUE"""),"GetDataAllocation")</f>
        <v>GetDataAllocation</v>
      </c>
      <c r="F4" s="33" t="str">
        <f>IFERROR(__xludf.DUMMYFUNCTION("""COMPUTED_VALUE"""),"SelectAllocatedGroup")</f>
        <v>SelectAllocatedGroup</v>
      </c>
      <c r="G4" s="33" t="str">
        <f>IFERROR(__xludf.DUMMYFUNCTION("""COMPUTED_VALUE"""),"EditTradesAllocated")</f>
        <v>EditTradesAllocated</v>
      </c>
      <c r="H4" s="33" t="str">
        <f>IFERROR(__xludf.DUMMYFUNCTION("""COMPUTED_VALUE"""),"EditTradesUnallocated")</f>
        <v>EditTradesUnallocated</v>
      </c>
      <c r="I4" s="33" t="str">
        <f>IFERROR(__xludf.DUMMYFUNCTION("""COMPUTED_VALUE"""),"Reallocate")</f>
        <v>Reallocate</v>
      </c>
      <c r="J4" s="33" t="str">
        <f>IFERROR(__xludf.DUMMYFUNCTION("""COMPUTED_VALUE"""),"EditUnallocatedGroupSidePanel")</f>
        <v>EditUnallocatedGroupSidePanel</v>
      </c>
      <c r="K4" s="33" t="str">
        <f>IFERROR(__xludf.DUMMYFUNCTION("""COMPUTED_VALUE"""),"TradeAttributeBulkChange")</f>
        <v>TradeAttributeBulkChange</v>
      </c>
      <c r="L4" s="33" t="str">
        <f>IFERROR(__xludf.DUMMYFUNCTION("""COMPUTED_VALUE"""),"ApplyBulkUpdateOnGroups")</f>
        <v>ApplyBulkUpdateOnGroups</v>
      </c>
      <c r="M4" s="33" t="str">
        <f>IFERROR(__xludf.DUMMYFUNCTION("""COMPUTED_VALUE"""),"ApplyPrefetchFilters")</f>
        <v>ApplyPrefetchFilters</v>
      </c>
      <c r="N4" s="33" t="str">
        <f>IFERROR(__xludf.DUMMYFUNCTION("""COMPUTED_VALUE"""),"GeneralPreferencesDefaultRule")</f>
        <v>GeneralPreferencesDefaultRule</v>
      </c>
      <c r="O4" s="33" t="str">
        <f>IFERROR(__xludf.DUMMYFUNCTION("""COMPUTED_VALUE"""),"GeneralPrefCompanyUserWise")</f>
        <v>GeneralPrefCompanyUserWise</v>
      </c>
      <c r="P4" s="36" t="str">
        <f>IFERROR(__xludf.DUMMYFUNCTION("""COMPUTED_VALUE"""),"RenameTradeAttributes")</f>
        <v>RenameTradeAttributes</v>
      </c>
      <c r="Q4" s="36" t="str">
        <f>IFERROR(__xludf.DUMMYFUNCTION("""COMPUTED_VALUE"""),"SetGroupingRules")</f>
        <v>SetGroupingRules</v>
      </c>
      <c r="R4" s="36" t="str">
        <f>IFERROR(__xludf.DUMMYFUNCTION("""COMPUTED_VALUE"""),"SetMasterFundRatio")</f>
        <v>SetMasterFundRatio</v>
      </c>
      <c r="S4" s="36" t="str">
        <f>IFERROR(__xludf.DUMMYFUNCTION("""COMPUTED_VALUE"""),"CheckFixedPreference")</f>
        <v>CheckFixedPreference</v>
      </c>
      <c r="T4" s="36" t="str">
        <f>IFERROR(__xludf.DUMMYFUNCTION("""COMPUTED_VALUE"""),"GetFixedPreference")</f>
        <v>GetFixedPreference</v>
      </c>
      <c r="U4" s="36" t="str">
        <f>IFERROR(__xludf.DUMMYFUNCTION("""COMPUTED_VALUE"""),"AddCalculatedPreferences")</f>
        <v>AddCalculatedPreferences</v>
      </c>
      <c r="V4" s="36" t="str">
        <f>IFERROR(__xludf.DUMMYFUNCTION("""COMPUTED_VALUE"""),"BulkChangeCalculatedPreferences")</f>
        <v>BulkChangeCalculatedPreferences</v>
      </c>
      <c r="W4" s="36" t="str">
        <f>IFERROR(__xludf.DUMMYFUNCTION("""COMPUTED_VALUE"""),"DeleteCalculatedPreferences")</f>
        <v>DeleteCalculatedPreferences</v>
      </c>
      <c r="X4" s="36" t="str">
        <f>IFERROR(__xludf.DUMMYFUNCTION("""COMPUTED_VALUE"""),"RenameCalculatedPreferences")</f>
        <v>RenameCalculatedPreferences</v>
      </c>
      <c r="Y4" s="36" t="str">
        <f>IFERROR(__xludf.DUMMYFUNCTION("""COMPUTED_VALUE"""),"CopyCalculatedPreferences")</f>
        <v>CopyCalculatedPreferences</v>
      </c>
      <c r="Z4" s="36" t="str">
        <f>IFERROR(__xludf.DUMMYFUNCTION("""COMPUTED_VALUE"""),"RunAutoGroup")</f>
        <v>RunAutoGroup</v>
      </c>
      <c r="AA4" s="36" t="str">
        <f>IFERROR(__xludf.DUMMYFUNCTION("""COMPUTED_VALUE"""),"BookOrUpdateSwap")</f>
        <v>BookOrUpdateSwap</v>
      </c>
      <c r="AB4" s="36" t="str">
        <f>IFERROR(__xludf.DUMMYFUNCTION("""COMPUTED_VALUE"""),"RunProrata")</f>
        <v>RunProrata</v>
      </c>
      <c r="AC4" s="36" t="str">
        <f>IFERROR(__xludf.DUMMYFUNCTION("""COMPUTED_VALUE"""),"SetDefaultRuleCalculatedPref")</f>
        <v>SetDefaultRuleCalculatedPref</v>
      </c>
      <c r="AD4" s="36" t="str">
        <f>IFERROR(__xludf.DUMMYFUNCTION("""COMPUTED_VALUE"""),"SetAccountValueCalculatedPref")</f>
        <v>SetAccountValueCalculatedPref</v>
      </c>
      <c r="AE4" s="36" t="str">
        <f>IFERROR(__xludf.DUMMYFUNCTION("""COMPUTED_VALUE"""),"TradeAttributeBulkChangeGroups")</f>
        <v>TradeAttributeBulkChangeGroups</v>
      </c>
      <c r="AF4" s="36" t="str">
        <f>IFERROR(__xludf.DUMMYFUNCTION("""COMPUTED_VALUE"""),"TradeAttributeBulkChangeTaxlots")</f>
        <v>TradeAttributeBulkChangeTaxlots</v>
      </c>
      <c r="AG4" s="36" t="str">
        <f>IFERROR(__xludf.DUMMYFUNCTION("""COMPUTED_VALUE"""),"AddCalculatedPreferenceToolbar")</f>
        <v>AddCalculatedPreferenceToolbar</v>
      </c>
      <c r="AH4" s="36" t="str">
        <f>IFERROR(__xludf.DUMMYFUNCTION("""COMPUTED_VALUE"""),"SetStrategyValueCalculatedPref")</f>
        <v>SetStrategyValueCalculatedPref</v>
      </c>
      <c r="AI4" s="36" t="str">
        <f>IFERROR(__xludf.DUMMYFUNCTION("""COMPUTED_VALUE"""),"ApplyBulkUpdateOnTaxlots")</f>
        <v>ApplyBulkUpdateOnTaxlots</v>
      </c>
      <c r="AJ4" s="36" t="str">
        <f>IFERROR(__xludf.DUMMYFUNCTION("""COMPUTED_VALUE"""),"CommissionBulkChangeOnGroups")</f>
        <v>CommissionBulkChangeOnGroups</v>
      </c>
      <c r="AK4" s="36" t="str">
        <f>IFERROR(__xludf.DUMMYFUNCTION("""COMPUTED_VALUE"""),"CommissionBulkChangeOnTaxlots")</f>
        <v>CommissionBulkChangeOnTaxlots</v>
      </c>
      <c r="AL4" s="36" t="str">
        <f>IFERROR(__xludf.DUMMYFUNCTION("""COMPUTED_VALUE"""),"SelectUnallocatedGroup")</f>
        <v>SelectUnallocatedGroup</v>
      </c>
      <c r="AM4" s="36" t="str">
        <f>IFERROR(__xludf.DUMMYFUNCTION("""COMPUTED_VALUE"""),"EnterAccountValuesToAllocate")</f>
        <v>EnterAccountValuesToAllocate</v>
      </c>
      <c r="AN4" s="36" t="str">
        <f>IFERROR(__xludf.DUMMYFUNCTION("""COMPUTED_VALUE"""),"EnterAllocatePreference")</f>
        <v>EnterAllocatePreference</v>
      </c>
      <c r="AO4" s="36" t="str">
        <f>IFERROR(__xludf.DUMMYFUNCTION("""COMPUTED_VALUE"""),"EnterStrategyValuesToAllocate")</f>
        <v>EnterStrategyValuesToAllocate</v>
      </c>
      <c r="AP4" s="36" t="str">
        <f>IFERROR(__xludf.DUMMYFUNCTION("""COMPUTED_VALUE"""),"CopyCalculatedPreferenceToolbar")</f>
        <v>CopyCalculatedPreferenceToolbar</v>
      </c>
      <c r="AQ4" s="36" t="str">
        <f>IFERROR(__xludf.DUMMYFUNCTION("""COMPUTED_VALUE"""),"SetGeneralRuleCalculatedPref")</f>
        <v>SetGeneralRuleCalculatedPref</v>
      </c>
      <c r="AR4" s="36" t="str">
        <f>IFERROR(__xludf.DUMMYFUNCTION("""COMPUTED_VALUE"""),"ExportAllCalculatedPreferences")</f>
        <v>ExportAllCalculatedPreferences</v>
      </c>
      <c r="AS4" s="36" t="str">
        <f>IFERROR(__xludf.DUMMYFUNCTION("""COMPUTED_VALUE"""),"SaveCalculatedPreferences")</f>
        <v>SaveCalculatedPreferences</v>
      </c>
      <c r="AT4" s="36" t="str">
        <f>IFERROR(__xludf.DUMMYFUNCTION("""COMPUTED_VALUE"""),"CloseCalculatedPreferences")</f>
        <v>CloseCalculatedPreferences</v>
      </c>
      <c r="AU4" s="36" t="str">
        <f>IFERROR(__xludf.DUMMYFUNCTION("""COMPUTED_VALUE"""),"ExportCalculatedPreference")</f>
        <v>ExportCalculatedPreference</v>
      </c>
      <c r="AV4" s="36" t="str">
        <f>IFERROR(__xludf.DUMMYFUNCTION("""COMPUTED_VALUE"""),"ImportCalculatedPreferences")</f>
        <v>ImportCalculatedPreferences</v>
      </c>
      <c r="AW4" s="36" t="str">
        <f>IFERROR(__xludf.DUMMYFUNCTION("""COMPUTED_VALUE"""),"OpenAuditTrailUnallocatedGroup")</f>
        <v>OpenAuditTrailUnallocatedGroup</v>
      </c>
      <c r="AX4" s="36" t="str">
        <f>IFERROR(__xludf.DUMMYFUNCTION("""COMPUTED_VALUE"""),"DeleteCalculatedPreferencesTool")</f>
        <v>DeleteCalculatedPreferencesTool</v>
      </c>
      <c r="AY4" s="36" t="str">
        <f>IFERROR(__xludf.DUMMYFUNCTION("""COMPUTED_VALUE"""),"ImportCalculatedPreferencesTool")</f>
        <v>ImportCalculatedPreferencesTool</v>
      </c>
      <c r="AZ4" s="36" t="str">
        <f>IFERROR(__xludf.DUMMYFUNCTION("""COMPUTED_VALUE"""),"ExportAllCalculatedPreferTool")</f>
        <v>ExportAllCalculatedPreferTool</v>
      </c>
      <c r="BA4" s="36" t="str">
        <f>IFERROR(__xludf.DUMMYFUNCTION("""COMPUTED_VALUE"""),"OpenAuditTrailAllocatedGroup")</f>
        <v>OpenAuditTrailAllocatedGroup</v>
      </c>
      <c r="BB4" s="36" t="str">
        <f>IFERROR(__xludf.DUMMYFUNCTION("""COMPUTED_VALUE"""),"OpenSymbolLookupUnallocateGroup")</f>
        <v>OpenSymbolLookupUnallocateGroup</v>
      </c>
      <c r="BC4" s="36" t="str">
        <f>IFERROR(__xludf.DUMMYFUNCTION("""COMPUTED_VALUE"""),"OpenSymbolLookupAllocatedGroup")</f>
        <v>OpenSymbolLookupAllocatedGroup</v>
      </c>
      <c r="BD4" s="36" t="str">
        <f>IFERROR(__xludf.DUMMYFUNCTION("""COMPUTED_VALUE"""),"DeleteFixedPreference")</f>
        <v>DeleteFixedPreference</v>
      </c>
      <c r="BE4" s="36" t="str">
        <f>IFERROR(__xludf.DUMMYFUNCTION("""COMPUTED_VALUE"""),"EditAllocatedGroupSidePanel")</f>
        <v>EditAllocatedGroupSidePanel</v>
      </c>
      <c r="BF4" s="36" t="str">
        <f>IFERROR(__xludf.DUMMYFUNCTION("""COMPUTED_VALUE"""),"CheckUnallocatedGroups")</f>
        <v>CheckUnallocatedGroups</v>
      </c>
      <c r="BG4" s="36" t="str">
        <f>IFERROR(__xludf.DUMMYFUNCTION("""COMPUTED_VALUE"""),"SetGeneralPreferences")</f>
        <v>SetGeneralPreferences</v>
      </c>
      <c r="BH4" s="36" t="str">
        <f>IFERROR(__xludf.DUMMYFUNCTION("""COMPUTED_VALUE"""),"GroupTrades")</f>
        <v>GroupTrades</v>
      </c>
      <c r="BI4" s="36" t="str">
        <f>IFERROR(__xludf.DUMMYFUNCTION("""COMPUTED_VALUE"""),"UngroupTrades")</f>
        <v>UngroupTrades</v>
      </c>
      <c r="BJ4" s="36" t="str">
        <f>IFERROR(__xludf.DUMMYFUNCTION("""COMPUTED_VALUE"""),"DeleteGroup")</f>
        <v>DeleteGroup</v>
      </c>
      <c r="BK4" s="36" t="str">
        <f>IFERROR(__xludf.DUMMYFUNCTION("""COMPUTED_VALUE"""),"CloseOrder")</f>
        <v>CloseOrder</v>
      </c>
      <c r="BL4" s="36" t="str">
        <f>IFERROR(__xludf.DUMMYFUNCTION("""COMPUTED_VALUE"""),"Unallocate")</f>
        <v>Unallocate</v>
      </c>
      <c r="BM4" s="36" t="str">
        <f>IFERROR(__xludf.DUMMYFUNCTION("""COMPUTED_VALUE"""),"CloseAllocation")</f>
        <v>CloseAllocation</v>
      </c>
      <c r="BN4" s="36" t="str">
        <f>IFERROR(__xludf.DUMMYFUNCTION("""COMPUTED_VALUE"""),"UpdateGRAccountValue")</f>
        <v>UpdateGRAccountValue</v>
      </c>
      <c r="BO4" s="36" t="str">
        <f>IFERROR(__xludf.DUMMYFUNCTION("""COMPUTED_VALUE"""),"UpdateGRStrategyValue")</f>
        <v>UpdateGRStrategyValue</v>
      </c>
      <c r="BP4" s="36" t="str">
        <f>IFERROR(__xludf.DUMMYFUNCTION("""COMPUTED_VALUE"""),"UpdateGRDefaultRule")</f>
        <v>UpdateGRDefaultRule</v>
      </c>
      <c r="BQ4" s="36" t="str">
        <f>IFERROR(__xludf.DUMMYFUNCTION("""COMPUTED_VALUE"""),"UpdateGeneralRulePref")</f>
        <v>UpdateGeneralRulePref</v>
      </c>
      <c r="BR4" s="36" t="str">
        <f>IFERROR(__xludf.DUMMYFUNCTION("""COMPUTED_VALUE"""),"ModifyGRPreferenceValues")</f>
        <v>ModifyGRPreferenceValues</v>
      </c>
      <c r="BS4" s="36" t="str">
        <f>IFERROR(__xludf.DUMMYFUNCTION("""COMPUTED_VALUE"""),"AddMFPreferences")</f>
        <v>AddMFPreferences</v>
      </c>
      <c r="BT4" s="36" t="str">
        <f>IFERROR(__xludf.DUMMYFUNCTION("""COMPUTED_VALUE"""),"AddMFPreferenceToolbar")</f>
        <v>AddMFPreferenceToolbar</v>
      </c>
      <c r="BU4" s="36" t="str">
        <f>IFERROR(__xludf.DUMMYFUNCTION("""COMPUTED_VALUE"""),"DeleteMFPreferences")</f>
        <v>DeleteMFPreferences</v>
      </c>
      <c r="BV4" s="36" t="str">
        <f>IFERROR(__xludf.DUMMYFUNCTION("""COMPUTED_VALUE"""),"DeleteMFPreferenceToolbar")</f>
        <v>DeleteMFPreferenceToolbar</v>
      </c>
      <c r="BW4" s="36" t="str">
        <f>IFERROR(__xludf.DUMMYFUNCTION("""COMPUTED_VALUE"""),"RenameMFPreferences")</f>
        <v>RenameMFPreferences</v>
      </c>
      <c r="BX4" s="36" t="str">
        <f>IFERROR(__xludf.DUMMYFUNCTION("""COMPUTED_VALUE"""),"SaveCloseMFPreference")</f>
        <v>SaveCloseMFPreference</v>
      </c>
      <c r="BY4" s="36" t="str">
        <f>IFERROR(__xludf.DUMMYFUNCTION("""COMPUTED_VALUE"""),"SetMFPrefAccountValues")</f>
        <v>SetMFPrefAccountValues</v>
      </c>
      <c r="BZ4" s="36" t="str">
        <f>IFERROR(__xludf.DUMMYFUNCTION("""COMPUTED_VALUE"""),"ModifyMFPrefGeneralRuleValues")</f>
        <v>ModifyMFPrefGeneralRuleValues</v>
      </c>
      <c r="CA4" s="36" t="str">
        <f>IFERROR(__xludf.DUMMYFUNCTION("""COMPUTED_VALUE"""),"SetMFPrefStrategyValues")</f>
        <v>SetMFPrefStrategyValues</v>
      </c>
      <c r="CB4" s="36" t="str">
        <f>IFERROR(__xludf.DUMMYFUNCTION("""COMPUTED_VALUE"""),"SetMFPrefGeneralRule")</f>
        <v>SetMFPrefGeneralRule</v>
      </c>
      <c r="CC4" s="36" t="str">
        <f>IFERROR(__xludf.DUMMYFUNCTION("""COMPUTED_VALUE"""),"SetMFPrefFundDistribution")</f>
        <v>SetMFPrefFundDistribution</v>
      </c>
      <c r="CD4" s="36" t="str">
        <f>IFERROR(__xludf.DUMMYFUNCTION("""COMPUTED_VALUE"""),"SetMFPreferencesDefaultRule")</f>
        <v>SetMFPreferencesDefaultRule</v>
      </c>
      <c r="CE4" s="36" t="str">
        <f>IFERROR(__xludf.DUMMYFUNCTION("""COMPUTED_VALUE"""),"SetMFPrefFundDefaultRule")</f>
        <v>SetMFPrefFundDefaultRule</v>
      </c>
      <c r="CF4" s="36" t="str">
        <f>IFERROR(__xludf.DUMMYFUNCTION("""COMPUTED_VALUE"""),"ClearPrefetchFilters")</f>
        <v>ClearPrefetchFilters</v>
      </c>
      <c r="CG4" s="36" t="str">
        <f>IFERROR(__xludf.DUMMYFUNCTION("""COMPUTED_VALUE"""),"ExpandCollapseAllUnallocated")</f>
        <v>ExpandCollapseAllUnallocated</v>
      </c>
      <c r="CH4" s="36" t="str">
        <f>IFERROR(__xludf.DUMMYFUNCTION("""COMPUTED_VALUE"""),"ExpandCollapseAllAllocated")</f>
        <v>ExpandCollapseAllAllocated</v>
      </c>
      <c r="CI4" s="36" t="str">
        <f>IFERROR(__xludf.DUMMYFUNCTION("""COMPUTED_VALUE"""),"GenerateCashTransaction")</f>
        <v>GenerateCashTransaction</v>
      </c>
      <c r="CJ4" s="36" t="str">
        <f>IFERROR(__xludf.DUMMYFUNCTION("""COMPUTED_VALUE"""),"SaveAllocation")</f>
        <v>SaveAllocation</v>
      </c>
      <c r="CK4" s="36" t="str">
        <f>IFERROR(__xludf.DUMMYFUNCTION("""COMPUTED_VALUE"""),"UnallocateWithOutSave")</f>
        <v>UnallocateWithOutSave</v>
      </c>
      <c r="CL4" s="36" t="str">
        <f>IFERROR(__xludf.DUMMYFUNCTION("""COMPUTED_VALUE"""),"EditUnallocatedGrid")</f>
        <v>EditUnallocatedGrid</v>
      </c>
      <c r="CM4" s="36" t="str">
        <f>IFERROR(__xludf.DUMMYFUNCTION("""COMPUTED_VALUE"""),"EditAllocatedGrid")</f>
        <v>EditAllocatedGrid</v>
      </c>
      <c r="CN4" s="36" t="str">
        <f>IFERROR(__xludf.DUMMYFUNCTION("""COMPUTED_VALUE"""),"SaveLayoutAllocatedGrid")</f>
        <v>SaveLayoutAllocatedGrid</v>
      </c>
      <c r="CO4" s="36" t="str">
        <f>IFERROR(__xludf.DUMMYFUNCTION("""COMPUTED_VALUE"""),"SaveLayoutUnallocatedGrid")</f>
        <v>SaveLayoutUnallocatedGrid</v>
      </c>
      <c r="CP4" s="36" t="str">
        <f>IFERROR(__xludf.DUMMYFUNCTION("""COMPUTED_VALUE"""),"SaveLayoutAllocationUI")</f>
        <v>SaveLayoutAllocationUI</v>
      </c>
      <c r="CQ4" s="36" t="str">
        <f>IFERROR(__xludf.DUMMYFUNCTION("""COMPUTED_VALUE"""),"ClearFiltersAllocatedGrid")</f>
        <v>ClearFiltersAllocatedGrid</v>
      </c>
      <c r="CR4" s="36" t="str">
        <f>IFERROR(__xludf.DUMMYFUNCTION("""COMPUTED_VALUE"""),"ClearFiltersUnallocatedGrid")</f>
        <v>ClearFiltersUnallocatedGrid</v>
      </c>
      <c r="CS4" s="36" t="str">
        <f>IFERROR(__xludf.DUMMYFUNCTION("""COMPUTED_VALUE"""),"VerifyLayoutAllocatedGrid")</f>
        <v>VerifyLayoutAllocatedGrid</v>
      </c>
      <c r="CT4" s="36" t="str">
        <f>IFERROR(__xludf.DUMMYFUNCTION("""COMPUTED_VALUE"""),"VerifyLayoutUnallocatedGrid")</f>
        <v>VerifyLayoutUnallocatedGrid</v>
      </c>
      <c r="CU4" s="36" t="str">
        <f>IFERROR(__xludf.DUMMYFUNCTION("""COMPUTED_VALUE"""),"CleanUp")</f>
        <v>CleanUp</v>
      </c>
      <c r="CV4" s="36" t="str">
        <f>IFERROR(__xludf.DUMMYFUNCTION("""COMPUTED_VALUE"""),"CheckAllocatedTaxlots")</f>
        <v>CheckAllocatedTaxlots</v>
      </c>
      <c r="CW4" s="36" t="str">
        <f>IFERROR(__xludf.DUMMYFUNCTION("""COMPUTED_VALUE"""),"DisableChecksideForAsset")</f>
        <v>DisableChecksideForAsset</v>
      </c>
      <c r="CX4" s="36" t="str">
        <f>IFERROR(__xludf.DUMMYFUNCTION("""COMPUTED_VALUE"""),"DisableChecksideForAccount")</f>
        <v>DisableChecksideForAccount</v>
      </c>
      <c r="CY4" s="36" t="str">
        <f>IFERROR(__xludf.DUMMYFUNCTION("""COMPUTED_VALUE"""),"DisableChecksideForCounterParty")</f>
        <v>DisableChecksideForCounterParty</v>
      </c>
      <c r="CZ4" s="36" t="str">
        <f>IFERROR(__xludf.DUMMYFUNCTION("""COMPUTED_VALUE"""),"DisableCheckside")</f>
        <v>DisableCheckside</v>
      </c>
      <c r="DA4" s="36" t="str">
        <f>IFERROR(__xludf.DUMMYFUNCTION("""COMPUTED_VALUE"""),"ApplyMasterFundFilter")</f>
        <v>ApplyMasterFundFilter</v>
      </c>
      <c r="DB4" s="36" t="str">
        <f>IFERROR(__xludf.DUMMYFUNCTION("""COMPUTED_VALUE"""),"ShowMasterFundOnTT")</f>
        <v>ShowMasterFundOnTT</v>
      </c>
      <c r="DC4" s="36" t="str">
        <f>IFERROR(__xludf.DUMMYFUNCTION("""COMPUTED_VALUE"""),"ShowMasterFundAsClient")</f>
        <v>ShowMasterFundAsClient</v>
      </c>
      <c r="DD4" s="36" t="str">
        <f>IFERROR(__xludf.DUMMYFUNCTION("""COMPUTED_VALUE"""),"SetBrokerAccountMapping")</f>
        <v>SetBrokerAccountMapping</v>
      </c>
      <c r="DE4" s="36" t="str">
        <f>IFERROR(__xludf.DUMMYFUNCTION("""COMPUTED_VALUE"""),"EditUnallocatedGridWPF")</f>
        <v>EditUnallocatedGridWPF</v>
      </c>
      <c r="DF4" s="36" t="str">
        <f>IFERROR(__xludf.DUMMYFUNCTION("""COMPUTED_VALUE"""),"EditAllocatedGridWPF")</f>
        <v>EditAllocatedGridWPF</v>
      </c>
      <c r="DG4" s="36" t="str">
        <f>IFERROR(__xludf.DUMMYFUNCTION("""COMPUTED_VALUE"""),"EditAllocatedGridTaxlot")</f>
        <v>EditAllocatedGridTaxlot</v>
      </c>
      <c r="DH4" s="36" t="str">
        <f>IFERROR(__xludf.DUMMYFUNCTION("""COMPUTED_VALUE"""),"ExpandCollapseAllocatedGrid")</f>
        <v>ExpandCollapseAllocatedGrid</v>
      </c>
      <c r="DI4" s="36" t="str">
        <f>IFERROR(__xludf.DUMMYFUNCTION("""COMPUTED_VALUE"""),"ExpandCollapseUnallocatedGrid")</f>
        <v>ExpandCollapseUnallocatedGrid</v>
      </c>
      <c r="DJ4" s="36" t="str">
        <f>IFERROR(__xludf.DUMMYFUNCTION("""COMPUTED_VALUE"""),"SetTradeAttributePreferences")</f>
        <v>SetTradeAttributePreferences</v>
      </c>
      <c r="DK4" s="36" t="str">
        <f>IFERROR(__xludf.DUMMYFUNCTION("""COMPUTED_VALUE"""),"EnterCustomAllocatePreference")</f>
        <v>EnterCustomAllocatePreference</v>
      </c>
      <c r="DL4" s="36" t="str">
        <f>IFERROR(__xludf.DUMMYFUNCTION("""COMPUTED_VALUE"""),"SetAutoGroupingPreferences")</f>
        <v>SetAutoGroupingPreferences</v>
      </c>
      <c r="DM4" s="36" t="str">
        <f>IFERROR(__xludf.DUMMYFUNCTION("""COMPUTED_VALUE"""),"SetAutoGroupingAccount")</f>
        <v>SetAutoGroupingAccount</v>
      </c>
      <c r="DN4" s="36" t="str">
        <f>IFERROR(__xludf.DUMMYFUNCTION("""COMPUTED_VALUE"""),"SetAvgPriceRounding")</f>
        <v>SetAvgPriceRounding</v>
      </c>
      <c r="DO4" s="36" t="str">
        <f>IFERROR(__xludf.DUMMYFUNCTION("""COMPUTED_VALUE"""),"IsAllocationOpen")</f>
        <v>IsAllocationOpen</v>
      </c>
      <c r="DP4" s="36" t="str">
        <f>IFERROR(__xludf.DUMMYFUNCTION("""COMPUTED_VALUE"""),"AllocationAuditTrail")</f>
        <v>AllocationAuditTrail</v>
      </c>
      <c r="DQ4" s="36" t="str">
        <f>IFERROR(__xludf.DUMMYFUNCTION("""COMPUTED_VALUE"""),"GetAuditTrailData")</f>
        <v>GetAuditTrailData</v>
      </c>
      <c r="DR4" s="36" t="str">
        <f>IFERROR(__xludf.DUMMYFUNCTION("""COMPUTED_VALUE"""),"CheckAuditTrailData")</f>
        <v>CheckAuditTrailData</v>
      </c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55" t="str">
        <f>IFERROR(__xludf.DUMMYFUNCTION("""COMPUTED_VALUE"""),"Accrual Basis")</f>
        <v>Accrual Basis</v>
      </c>
      <c r="C5" s="55" t="str">
        <f>IFERROR(__xludf.DUMMYFUNCTION("""COMPUTED_VALUE"""),"Accrued Interest")</f>
        <v>Accrued Interest</v>
      </c>
      <c r="D5" s="55" t="str">
        <f>IFERROR(__xludf.DUMMYFUNCTION("""COMPUTED_VALUE"""),"Allocated Qty")</f>
        <v>Allocated Qty</v>
      </c>
      <c r="E5" s="55" t="str">
        <f>IFERROR(__xludf.DUMMYFUNCTION("""COMPUTED_VALUE"""),"Allocation Scheme Name")</f>
        <v>Allocation Scheme Name</v>
      </c>
      <c r="F5" s="56" t="str">
        <f>IFERROR(__xludf.DUMMYFUNCTION("""COMPUTED_VALUE"""),"Asset Category")</f>
        <v>Asset Category</v>
      </c>
      <c r="G5" s="55" t="str">
        <f>IFERROR(__xludf.DUMMYFUNCTION("""COMPUTED_VALUE"""),"AUEC Fee1")</f>
        <v>AUEC Fee1</v>
      </c>
      <c r="H5" s="55" t="str">
        <f>IFERROR(__xludf.DUMMYFUNCTION("""COMPUTED_VALUE"""),"AUEC Fee2")</f>
        <v>AUEC Fee2</v>
      </c>
      <c r="I5" s="55" t="str">
        <f>IFERROR(__xludf.DUMMYFUNCTION("""COMPUTED_VALUE"""),"AUECID")</f>
        <v>AUECID</v>
      </c>
      <c r="J5" s="55" t="str">
        <f>IFERROR(__xludf.DUMMYFUNCTION("""COMPUTED_VALUE"""),"Avg Price(Base)")</f>
        <v>Avg Price(Base)</v>
      </c>
      <c r="K5" s="55" t="str">
        <f>IFERROR(__xludf.DUMMYFUNCTION("""COMPUTED_VALUE"""),"Avg Price(Local)")</f>
        <v>Avg Price(Local)</v>
      </c>
      <c r="L5" s="55" t="str">
        <f>IFERROR(__xludf.DUMMYFUNCTION("""COMPUTED_VALUE"""),"Bloomberg")</f>
        <v>Bloomberg</v>
      </c>
      <c r="M5" s="55" t="str">
        <f>IFERROR(__xludf.DUMMYFUNCTION("""COMPUTED_VALUE"""),"Bond Type")</f>
        <v>Bond Type</v>
      </c>
      <c r="N5" s="55" t="str">
        <f>IFERROR(__xludf.DUMMYFUNCTION("""COMPUTED_VALUE"""),"Broker")</f>
        <v>Broker</v>
      </c>
      <c r="O5" s="55" t="str">
        <f>IFERROR(__xludf.DUMMYFUNCTION("""COMPUTED_VALUE"""),"Change Comment")</f>
        <v>Change Comment</v>
      </c>
      <c r="P5" s="55" t="str">
        <f>IFERROR(__xludf.DUMMYFUNCTION("""COMPUTED_VALUE"""),"Change Type")</f>
        <v>Change Type</v>
      </c>
      <c r="Q5" s="55" t="str">
        <f>IFERROR(__xludf.DUMMYFUNCTION("""COMPUTED_VALUE"""),"Clearing Broker Fee")</f>
        <v>Clearing Broker Fee</v>
      </c>
      <c r="R5" s="55" t="str">
        <f>IFERROR(__xludf.DUMMYFUNCTION("""COMPUTED_VALUE"""),"Closing Method")</f>
        <v>Closing Method</v>
      </c>
      <c r="S5" s="55" t="str">
        <f>IFERROR(__xludf.DUMMYFUNCTION("""COMPUTED_VALUE"""),"Closing Status")</f>
        <v>Closing Status</v>
      </c>
      <c r="T5" s="41" t="str">
        <f>IFERROR(__xludf.DUMMYFUNCTION("""COMPUTED_VALUE"""),"Commission")</f>
        <v>Commission</v>
      </c>
      <c r="U5" s="41" t="str">
        <f>IFERROR(__xludf.DUMMYFUNCTION("""COMPUTED_VALUE"""),"Commission Per Share")</f>
        <v>Commission Per Share</v>
      </c>
      <c r="V5" s="41" t="str">
        <f>IFERROR(__xludf.DUMMYFUNCTION("""COMPUTED_VALUE"""),"Company")</f>
        <v>Company</v>
      </c>
      <c r="W5" s="41" t="str">
        <f>IFERROR(__xludf.DUMMYFUNCTION("""COMPUTED_VALUE"""),"Contract Multiplier")</f>
        <v>Contract Multiplier</v>
      </c>
      <c r="X5" s="41" t="str">
        <f>IFERROR(__xludf.DUMMYFUNCTION("""COMPUTED_VALUE"""),"Coupon Rate")</f>
        <v>Coupon Rate</v>
      </c>
      <c r="Y5" s="41" t="str">
        <f>IFERROR(__xludf.DUMMYFUNCTION("""COMPUTED_VALUE"""),"Cum Qty For Sub Order")</f>
        <v>Cum Qty For Sub Order</v>
      </c>
      <c r="Z5" s="41" t="str">
        <f>IFERROR(__xludf.DUMMYFUNCTION("""COMPUTED_VALUE"""),"Currency")</f>
        <v>Currency</v>
      </c>
      <c r="AA5" s="41" t="str">
        <f>IFERROR(__xludf.DUMMYFUNCTION("""COMPUTED_VALUE"""),"Cusip Symbol")</f>
        <v>Cusip Symbol</v>
      </c>
      <c r="AB5" s="41" t="str">
        <f>IFERROR(__xludf.DUMMYFUNCTION("""COMPUTED_VALUE"""),"Delta")</f>
        <v>Delta</v>
      </c>
      <c r="AC5" s="41" t="str">
        <f>IFERROR(__xludf.DUMMYFUNCTION("""COMPUTED_VALUE"""),"Description")</f>
        <v>Description</v>
      </c>
      <c r="AD5" s="41" t="str">
        <f>IFERROR(__xludf.DUMMYFUNCTION("""COMPUTED_VALUE"""),"Exchange")</f>
        <v>Exchange</v>
      </c>
      <c r="AE5" s="41" t="str">
        <f>IFERROR(__xludf.DUMMYFUNCTION("""COMPUTED_VALUE"""),"Executed Qty")</f>
        <v>Executed Qty</v>
      </c>
      <c r="AF5" s="41" t="str">
        <f>IFERROR(__xludf.DUMMYFUNCTION("""COMPUTED_VALUE"""),"Execution Time")</f>
        <v>Execution Time</v>
      </c>
      <c r="AG5" s="41" t="str">
        <f>IFERROR(__xludf.DUMMYFUNCTION("""COMPUTED_VALUE"""),"FX Conversion Operator")</f>
        <v>FX Conversion Operator</v>
      </c>
      <c r="AH5" s="41" t="str">
        <f>IFERROR(__xludf.DUMMYFUNCTION("""COMPUTED_VALUE"""),"FX Rate")</f>
        <v>FX Rate</v>
      </c>
      <c r="AI5" s="41" t="str">
        <f>IFERROR(__xludf.DUMMYFUNCTION("""COMPUTED_VALUE"""),"Group Status")</f>
        <v>Group Status</v>
      </c>
      <c r="AJ5" s="41" t="str">
        <f>IFERROR(__xludf.DUMMYFUNCTION("""COMPUTED_VALUE"""),"GroupID")</f>
        <v>GroupID</v>
      </c>
      <c r="AK5" s="41" t="str">
        <f>IFERROR(__xludf.DUMMYFUNCTION("""COMPUTED_VALUE"""),"IDCOSymbol")</f>
        <v>IDCOSymbol</v>
      </c>
      <c r="AL5" s="41" t="str">
        <f>IFERROR(__xludf.DUMMYFUNCTION("""COMPUTED_VALUE"""),"Import File Name")</f>
        <v>Import File Name</v>
      </c>
      <c r="AM5" s="41" t="str">
        <f>IFERROR(__xludf.DUMMYFUNCTION("""COMPUTED_VALUE"""),"Internal Comments")</f>
        <v>Internal Comments</v>
      </c>
      <c r="AN5" s="41" t="str">
        <f>IFERROR(__xludf.DUMMYFUNCTION("""COMPUTED_VALUE"""),"IsAnotherTaxlotAttributesUpdated")</f>
        <v>IsAnotherTaxlotAttributesUpdated</v>
      </c>
      <c r="AO5" s="41" t="str">
        <f>IFERROR(__xludf.DUMMYFUNCTION("""COMPUTED_VALUE"""),"ISIN")</f>
        <v>ISIN</v>
      </c>
      <c r="AP5" s="41" t="str">
        <f>IFERROR(__xludf.DUMMYFUNCTION("""COMPUTED_VALUE"""),"IsManual Group")</f>
        <v>IsManual Group</v>
      </c>
      <c r="AQ5" s="41" t="str">
        <f>IFERROR(__xludf.DUMMYFUNCTION("""COMPUTED_VALUE"""),"ISNDF")</f>
        <v>ISNDF</v>
      </c>
      <c r="AR5" s="41" t="str">
        <f>IFERROR(__xludf.DUMMYFUNCTION("""COMPUTED_VALUE"""),"IsPreAllocated")</f>
        <v>IsPreAllocated</v>
      </c>
      <c r="AS5" s="41" t="str">
        <f>IFERROR(__xludf.DUMMYFUNCTION("""COMPUTED_VALUE"""),"M2MProfitLoss")</f>
        <v>M2MProfitLoss</v>
      </c>
      <c r="AT5" s="41" t="str">
        <f>IFERROR(__xludf.DUMMYFUNCTION("""COMPUTED_VALUE"""),"Net Amount( Base)")</f>
        <v>Net Amount( Base)</v>
      </c>
      <c r="AU5" s="41" t="str">
        <f>IFERROR(__xludf.DUMMYFUNCTION("""COMPUTED_VALUE"""),"Net Amount( Local)")</f>
        <v>Net Amount( Local)</v>
      </c>
      <c r="AV5" s="41" t="str">
        <f>IFERROR(__xludf.DUMMYFUNCTION("""COMPUTED_VALUE"""),"Nirvana Process Date")</f>
        <v>Nirvana Process Date</v>
      </c>
      <c r="AW5" s="41" t="str">
        <f>IFERROR(__xludf.DUMMYFUNCTION("""COMPUTED_VALUE"""),"OCC Fee")</f>
        <v>OCC Fee</v>
      </c>
      <c r="AX5" s="41" t="str">
        <f>IFERROR(__xludf.DUMMYFUNCTION("""COMPUTED_VALUE"""),"Option Premium Adjustment")</f>
        <v>Option Premium Adjustment</v>
      </c>
      <c r="AY5" s="41" t="str">
        <f>IFERROR(__xludf.DUMMYFUNCTION("""COMPUTED_VALUE"""),"Order Type")</f>
        <v>Order Type</v>
      </c>
      <c r="AZ5" s="41" t="str">
        <f>IFERROR(__xludf.DUMMYFUNCTION("""COMPUTED_VALUE"""),"ORF Fee")</f>
        <v>ORF Fee</v>
      </c>
      <c r="BA5" s="41" t="str">
        <f>IFERROR(__xludf.DUMMYFUNCTION("""COMPUTED_VALUE"""),"Original Purchase Date")</f>
        <v>Original Purchase Date</v>
      </c>
      <c r="BB5" s="41" t="str">
        <f>IFERROR(__xludf.DUMMYFUNCTION("""COMPUTED_VALUE"""),"OSISSymbol")</f>
        <v>OSISSymbol</v>
      </c>
      <c r="BC5" s="41" t="str">
        <f>IFERROR(__xludf.DUMMYFUNCTION("""COMPUTED_VALUE"""),"Other Broker Fees")</f>
        <v>Other Broker Fees</v>
      </c>
      <c r="BD5" s="41" t="str">
        <f>IFERROR(__xludf.DUMMYFUNCTION("""COMPUTED_VALUE"""),"Prana Msg Type")</f>
        <v>Prana Msg Type</v>
      </c>
      <c r="BE5" s="41" t="str">
        <f>IFERROR(__xludf.DUMMYFUNCTION("""COMPUTED_VALUE"""),"Principal Amount( Base)")</f>
        <v>Principal Amount( Base)</v>
      </c>
      <c r="BF5" s="41" t="str">
        <f>IFERROR(__xludf.DUMMYFUNCTION("""COMPUTED_VALUE"""),"Principal Amount( Local)")</f>
        <v>Principal Amount( Local)</v>
      </c>
      <c r="BG5" s="41" t="str">
        <f>IFERROR(__xludf.DUMMYFUNCTION("""COMPUTED_VALUE"""),"Process Date")</f>
        <v>Process Date</v>
      </c>
      <c r="BH5" s="41" t="str">
        <f>IFERROR(__xludf.DUMMYFUNCTION("""COMPUTED_VALUE"""),"Proxy Symbol")</f>
        <v>Proxy Symbol</v>
      </c>
      <c r="BI5" s="41" t="str">
        <f>IFERROR(__xludf.DUMMYFUNCTION("""COMPUTED_VALUE"""),"Put Or Call")</f>
        <v>Put Or Call</v>
      </c>
      <c r="BJ5" s="41" t="str">
        <f>IFERROR(__xludf.DUMMYFUNCTION("""COMPUTED_VALUE"""),"Quantity")</f>
        <v>Quantity</v>
      </c>
      <c r="BK5" s="41" t="str">
        <f>IFERROR(__xludf.DUMMYFUNCTION("""COMPUTED_VALUE"""),"SEC Fee")</f>
        <v>SEC Fee</v>
      </c>
      <c r="BL5" s="41" t="str">
        <f>IFERROR(__xludf.DUMMYFUNCTION("""COMPUTED_VALUE"""),"Sedol Symbol")</f>
        <v>Sedol Symbol</v>
      </c>
      <c r="BM5" s="41" t="str">
        <f>IFERROR(__xludf.DUMMYFUNCTION("""COMPUTED_VALUE"""),"Settlement Currency")</f>
        <v>Settlement Currency</v>
      </c>
      <c r="BN5" s="41" t="str">
        <f>IFERROR(__xludf.DUMMYFUNCTION("""COMPUTED_VALUE"""),"Settlement Date")</f>
        <v>Settlement Date</v>
      </c>
      <c r="BO5" s="41" t="str">
        <f>IFERROR(__xludf.DUMMYFUNCTION("""COMPUTED_VALUE"""),"Side")</f>
        <v>Side</v>
      </c>
      <c r="BP5" s="41" t="str">
        <f>IFERROR(__xludf.DUMMYFUNCTION("""COMPUTED_VALUE"""),"Soft Commission")</f>
        <v>Soft Commission</v>
      </c>
      <c r="BQ5" s="41" t="str">
        <f>IFERROR(__xludf.DUMMYFUNCTION("""COMPUTED_VALUE"""),"Soft Commission Per Share")</f>
        <v>Soft Commission Per Share</v>
      </c>
      <c r="BR5" s="41" t="str">
        <f>IFERROR(__xludf.DUMMYFUNCTION("""COMPUTED_VALUE"""),"Stamp Duty")</f>
        <v>Stamp Duty</v>
      </c>
      <c r="BS5" s="41" t="str">
        <f>IFERROR(__xludf.DUMMYFUNCTION("""COMPUTED_VALUE"""),"Symbol")</f>
        <v>Symbol</v>
      </c>
      <c r="BT5" s="41" t="str">
        <f>IFERROR(__xludf.DUMMYFUNCTION("""COMPUTED_VALUE"""),"Tax On Commissions")</f>
        <v>Tax On Commissions</v>
      </c>
      <c r="BU5" s="41" t="str">
        <f>IFERROR(__xludf.DUMMYFUNCTION("""COMPUTED_VALUE"""),"Total Commission")</f>
        <v>Total Commission</v>
      </c>
      <c r="BV5" s="41" t="str">
        <f>IFERROR(__xludf.DUMMYFUNCTION("""COMPUTED_VALUE"""),"Total Commission And Fee")</f>
        <v>Total Commission And Fee</v>
      </c>
      <c r="BW5" s="41" t="str">
        <f>IFERROR(__xludf.DUMMYFUNCTION("""COMPUTED_VALUE"""),"Total Commission Per Share")</f>
        <v>Total Commission Per Share</v>
      </c>
      <c r="BX5" s="41" t="str">
        <f>IFERROR(__xludf.DUMMYFUNCTION("""COMPUTED_VALUE"""),"Trade Attribute 1")</f>
        <v>Trade Attribute 1</v>
      </c>
      <c r="BY5" s="41" t="str">
        <f>IFERROR(__xludf.DUMMYFUNCTION("""COMPUTED_VALUE"""),"Trade Attribute 2")</f>
        <v>Trade Attribute 2</v>
      </c>
      <c r="BZ5" s="41" t="str">
        <f>IFERROR(__xludf.DUMMYFUNCTION("""COMPUTED_VALUE"""),"Trade Attribute 3")</f>
        <v>Trade Attribute 3</v>
      </c>
      <c r="CA5" s="41" t="str">
        <f>IFERROR(__xludf.DUMMYFUNCTION("""COMPUTED_VALUE"""),"Trade Attribute 4")</f>
        <v>Trade Attribute 4</v>
      </c>
      <c r="CB5" s="41" t="str">
        <f>IFERROR(__xludf.DUMMYFUNCTION("""COMPUTED_VALUE"""),"Trade Attribute 5")</f>
        <v>Trade Attribute 5</v>
      </c>
      <c r="CC5" s="41" t="str">
        <f>IFERROR(__xludf.DUMMYFUNCTION("""COMPUTED_VALUE"""),"Trade Attribute 6")</f>
        <v>Trade Attribute 6</v>
      </c>
      <c r="CD5" s="41" t="str">
        <f>IFERROR(__xludf.DUMMYFUNCTION("""COMPUTED_VALUE"""),"Trade Date")</f>
        <v>Trade Date</v>
      </c>
      <c r="CE5" s="41" t="str">
        <f>IFERROR(__xludf.DUMMYFUNCTION("""COMPUTED_VALUE"""),"Trading Account")</f>
        <v>Trading Account</v>
      </c>
      <c r="CF5" s="41" t="str">
        <f>IFERROR(__xludf.DUMMYFUNCTION("""COMPUTED_VALUE"""),"Transaction Levy")</f>
        <v>Transaction Levy</v>
      </c>
      <c r="CG5" s="41" t="str">
        <f>IFERROR(__xludf.DUMMYFUNCTION("""COMPUTED_VALUE"""),"Transaction Source")</f>
        <v>Transaction Source</v>
      </c>
      <c r="CH5" s="41" t="str">
        <f>IFERROR(__xludf.DUMMYFUNCTION("""COMPUTED_VALUE"""),"Transaction Type")</f>
        <v>Transaction Type</v>
      </c>
      <c r="CI5" s="41" t="str">
        <f>IFERROR(__xludf.DUMMYFUNCTION("""COMPUTED_VALUE"""),"UnAllocatedQty")</f>
        <v>UnAllocatedQty</v>
      </c>
      <c r="CJ5" s="41" t="str">
        <f>IFERROR(__xludf.DUMMYFUNCTION("""COMPUTED_VALUE"""),"Underlying")</f>
        <v>Underlying</v>
      </c>
      <c r="CK5" s="41" t="str">
        <f>IFERROR(__xludf.DUMMYFUNCTION("""COMPUTED_VALUE"""),"Underlying Delta")</f>
        <v>Underlying Delta</v>
      </c>
      <c r="CL5" s="41" t="str">
        <f>IFERROR(__xludf.DUMMYFUNCTION("""COMPUTED_VALUE"""),"Underlying Symbol")</f>
        <v>Underlying Symbol</v>
      </c>
      <c r="CM5" s="41" t="str">
        <f>IFERROR(__xludf.DUMMYFUNCTION("""COMPUTED_VALUE"""),"User")</f>
        <v>User</v>
      </c>
      <c r="CN5" s="41" t="str">
        <f>IFERROR(__xludf.DUMMYFUNCTION("""COMPUTED_VALUE"""),"Venue")</f>
        <v>Venue</v>
      </c>
      <c r="CO5" s="41" t="str">
        <f>IFERROR(__xludf.DUMMYFUNCTION("""COMPUTED_VALUE"""),"Closing Date")</f>
        <v>Closing Date</v>
      </c>
      <c r="CP5" s="41" t="str">
        <f>IFERROR(__xludf.DUMMYFUNCTION("""COMPUTED_VALUE"""),"Expiration Date")</f>
        <v>Expiration Date</v>
      </c>
      <c r="CQ5" s="41" t="str">
        <f>IFERROR(__xludf.DUMMYFUNCTION("""COMPUTED_VALUE"""),"Master Fund")</f>
        <v>Master Fund</v>
      </c>
      <c r="CR5" s="41" t="str">
        <f>IFERROR(__xludf.DUMMYFUNCTION("""COMPUTED_VALUE"""),"Borrow Broker")</f>
        <v>Borrow Broker</v>
      </c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1"/>
      <c r="B6" s="11"/>
      <c r="C6" s="8"/>
      <c r="D6" s="11"/>
      <c r="E6" s="57"/>
      <c r="F6" s="68" t="s">
        <v>42</v>
      </c>
      <c r="G6" s="69">
        <v>4.0</v>
      </c>
      <c r="H6" s="69">
        <v>5.0</v>
      </c>
      <c r="I6" s="8"/>
      <c r="J6" s="69">
        <v>10.0</v>
      </c>
      <c r="K6" s="69">
        <v>10.0</v>
      </c>
      <c r="L6" s="8"/>
      <c r="M6" s="8"/>
      <c r="N6" s="68" t="s">
        <v>43</v>
      </c>
      <c r="O6" s="68"/>
      <c r="Q6" s="69">
        <v>0.0</v>
      </c>
      <c r="T6" s="69">
        <v>0.0</v>
      </c>
      <c r="AB6" s="69"/>
      <c r="AC6" s="68"/>
      <c r="AE6" s="69">
        <v>100.0</v>
      </c>
      <c r="AM6" s="68" t="s">
        <v>44</v>
      </c>
      <c r="AO6" s="68"/>
      <c r="AT6" s="69">
        <v>1014.0006</v>
      </c>
      <c r="AU6" s="69">
        <v>1014.0006</v>
      </c>
      <c r="AV6" s="70"/>
      <c r="AW6" s="69">
        <v>0.0</v>
      </c>
      <c r="AX6" s="69">
        <v>0.0</v>
      </c>
      <c r="AY6" s="68"/>
      <c r="AZ6" s="69">
        <v>0.0</v>
      </c>
      <c r="BA6" s="70"/>
      <c r="BC6" s="69">
        <v>0.0</v>
      </c>
      <c r="BE6" s="69">
        <v>1000.0</v>
      </c>
      <c r="BF6" s="69">
        <v>1000.0</v>
      </c>
      <c r="BG6" s="70"/>
      <c r="BJ6" s="69">
        <v>100.0</v>
      </c>
      <c r="BK6" s="69">
        <v>0.0</v>
      </c>
      <c r="BN6" s="70"/>
      <c r="BO6" s="68" t="s">
        <v>17</v>
      </c>
      <c r="BP6" s="69">
        <v>0.0</v>
      </c>
      <c r="BR6" s="69">
        <v>6.0E-4</v>
      </c>
      <c r="BS6" s="68" t="s">
        <v>16</v>
      </c>
      <c r="BT6" s="69">
        <v>3.0</v>
      </c>
      <c r="BU6" s="69">
        <v>0.0</v>
      </c>
      <c r="BV6" s="69">
        <v>14.0006</v>
      </c>
      <c r="BX6" s="68" t="s">
        <v>45</v>
      </c>
      <c r="BY6" s="68" t="s">
        <v>45</v>
      </c>
      <c r="BZ6" s="68" t="s">
        <v>45</v>
      </c>
      <c r="CA6" s="68" t="s">
        <v>45</v>
      </c>
      <c r="CB6" s="68" t="s">
        <v>45</v>
      </c>
      <c r="CC6" s="68" t="s">
        <v>45</v>
      </c>
      <c r="CD6" s="70"/>
      <c r="CF6" s="69">
        <v>2.0</v>
      </c>
      <c r="CH6" s="68" t="s">
        <v>17</v>
      </c>
      <c r="CI6" s="69"/>
      <c r="CN6" s="68" t="s">
        <v>30</v>
      </c>
      <c r="CO6" s="71"/>
    </row>
    <row r="7" ht="15.75" customHeight="1">
      <c r="A7" s="8"/>
      <c r="B7" s="8"/>
      <c r="C7" s="8"/>
      <c r="D7" s="8"/>
      <c r="E7" s="8"/>
      <c r="F7" s="68" t="s">
        <v>42</v>
      </c>
      <c r="G7" s="69">
        <v>2.0</v>
      </c>
      <c r="H7" s="69">
        <v>2.0</v>
      </c>
      <c r="I7" s="8"/>
      <c r="J7" s="69">
        <v>15.0</v>
      </c>
      <c r="K7" s="69">
        <v>15.0</v>
      </c>
      <c r="L7" s="8"/>
      <c r="M7" s="8"/>
      <c r="N7" s="68" t="s">
        <v>33</v>
      </c>
      <c r="O7" s="68"/>
      <c r="Q7" s="69">
        <v>0.0</v>
      </c>
      <c r="T7" s="69">
        <v>1.0</v>
      </c>
      <c r="AB7" s="69"/>
      <c r="AC7" s="68"/>
      <c r="AE7" s="69">
        <v>40.0</v>
      </c>
      <c r="AM7" s="68" t="s">
        <v>32</v>
      </c>
      <c r="AO7" s="68"/>
      <c r="AT7" s="69">
        <v>654.0013</v>
      </c>
      <c r="AU7" s="69">
        <v>654.0013</v>
      </c>
      <c r="AV7" s="70"/>
      <c r="AW7" s="69">
        <v>4.0</v>
      </c>
      <c r="AX7" s="69">
        <v>7.0</v>
      </c>
      <c r="AY7" s="68"/>
      <c r="AZ7" s="69">
        <v>6.0</v>
      </c>
      <c r="BA7" s="70"/>
      <c r="BC7" s="69">
        <v>15.0</v>
      </c>
      <c r="BE7" s="69">
        <v>600.0</v>
      </c>
      <c r="BF7" s="69">
        <v>600.0</v>
      </c>
      <c r="BG7" s="70"/>
      <c r="BJ7" s="69">
        <v>150.0</v>
      </c>
      <c r="BK7" s="69">
        <v>5.0</v>
      </c>
      <c r="BN7" s="70"/>
      <c r="BO7" s="68" t="s">
        <v>17</v>
      </c>
      <c r="BP7" s="69">
        <v>2.0</v>
      </c>
      <c r="BR7" s="69">
        <v>0.0013</v>
      </c>
      <c r="BS7" s="68" t="s">
        <v>19</v>
      </c>
      <c r="BT7" s="69">
        <v>5.0</v>
      </c>
      <c r="BU7" s="69">
        <v>3.0</v>
      </c>
      <c r="BV7" s="69">
        <v>54.0013</v>
      </c>
      <c r="BX7" s="68" t="s">
        <v>34</v>
      </c>
      <c r="BY7" s="68" t="s">
        <v>35</v>
      </c>
      <c r="BZ7" s="68" t="s">
        <v>36</v>
      </c>
      <c r="CA7" s="68" t="s">
        <v>37</v>
      </c>
      <c r="CB7" s="68" t="s">
        <v>38</v>
      </c>
      <c r="CC7" s="68" t="s">
        <v>39</v>
      </c>
      <c r="CD7" s="70"/>
      <c r="CF7" s="69">
        <v>5.0</v>
      </c>
      <c r="CH7" s="68" t="s">
        <v>17</v>
      </c>
      <c r="CI7" s="69"/>
      <c r="CN7" s="68" t="s">
        <v>30</v>
      </c>
      <c r="CO7" s="71"/>
    </row>
    <row r="8" ht="15.75" customHeight="1">
      <c r="A8" s="8"/>
      <c r="B8" s="8"/>
      <c r="C8" s="8"/>
      <c r="D8" s="8"/>
      <c r="E8" s="8"/>
      <c r="F8" s="68" t="s">
        <v>42</v>
      </c>
      <c r="G8" s="69">
        <v>3.0</v>
      </c>
      <c r="H8" s="69">
        <v>3.0</v>
      </c>
      <c r="I8" s="8"/>
      <c r="J8" s="69">
        <v>15.0</v>
      </c>
      <c r="K8" s="69">
        <v>15.0</v>
      </c>
      <c r="L8" s="8"/>
      <c r="M8" s="8"/>
      <c r="N8" s="68" t="s">
        <v>43</v>
      </c>
      <c r="O8" s="68"/>
      <c r="Q8" s="69">
        <v>0.0</v>
      </c>
      <c r="T8" s="69">
        <v>1.0</v>
      </c>
      <c r="AB8" s="69"/>
      <c r="AC8" s="68"/>
      <c r="AE8" s="69">
        <v>50.0</v>
      </c>
      <c r="AM8" s="68" t="s">
        <v>44</v>
      </c>
      <c r="AO8" s="68"/>
      <c r="AT8" s="69">
        <v>694.0</v>
      </c>
      <c r="AU8" s="69">
        <v>694.0</v>
      </c>
      <c r="AV8" s="70"/>
      <c r="AW8" s="69">
        <v>5.0</v>
      </c>
      <c r="AX8" s="69">
        <v>8.0</v>
      </c>
      <c r="AY8" s="68"/>
      <c r="AZ8" s="69">
        <v>7.0</v>
      </c>
      <c r="BA8" s="70"/>
      <c r="BC8" s="69">
        <v>0.0</v>
      </c>
      <c r="BE8" s="69">
        <v>750.0</v>
      </c>
      <c r="BF8" s="69">
        <v>750.0</v>
      </c>
      <c r="BG8" s="70"/>
      <c r="BJ8" s="69">
        <v>200.0</v>
      </c>
      <c r="BK8" s="69">
        <v>6.0</v>
      </c>
      <c r="BN8" s="70"/>
      <c r="BO8" s="68" t="s">
        <v>20</v>
      </c>
      <c r="BP8" s="69">
        <v>2.0</v>
      </c>
      <c r="BR8" s="69">
        <v>10.0</v>
      </c>
      <c r="BS8" s="68" t="s">
        <v>21</v>
      </c>
      <c r="BT8" s="69">
        <v>6.0</v>
      </c>
      <c r="BU8" s="69">
        <v>3.0</v>
      </c>
      <c r="BV8" s="69">
        <v>56.0</v>
      </c>
      <c r="BX8" s="68" t="s">
        <v>45</v>
      </c>
      <c r="BY8" s="68" t="s">
        <v>45</v>
      </c>
      <c r="BZ8" s="68" t="s">
        <v>45</v>
      </c>
      <c r="CA8" s="68" t="s">
        <v>45</v>
      </c>
      <c r="CB8" s="68" t="s">
        <v>45</v>
      </c>
      <c r="CC8" s="68" t="s">
        <v>45</v>
      </c>
      <c r="CD8" s="70"/>
      <c r="CF8" s="69">
        <v>5.0</v>
      </c>
      <c r="CH8" s="68" t="s">
        <v>20</v>
      </c>
      <c r="CI8" s="69"/>
      <c r="CN8" s="68" t="s">
        <v>30</v>
      </c>
      <c r="CO8" s="71"/>
    </row>
    <row r="9" ht="15.75" customHeight="1">
      <c r="A9" s="8"/>
      <c r="B9" s="8"/>
      <c r="C9" s="8"/>
      <c r="D9" s="8"/>
      <c r="E9" s="8"/>
      <c r="F9" s="8"/>
      <c r="G9" s="68"/>
      <c r="H9" s="68"/>
      <c r="I9" s="8"/>
      <c r="J9" s="68"/>
      <c r="K9" s="68"/>
      <c r="L9" s="8"/>
      <c r="M9" s="8"/>
      <c r="N9" s="8"/>
      <c r="O9" s="68"/>
      <c r="P9" s="68"/>
      <c r="Q9" s="68"/>
      <c r="T9" s="68"/>
      <c r="AB9" s="68"/>
      <c r="AE9" s="68"/>
      <c r="AM9" s="68"/>
      <c r="AT9" s="68"/>
      <c r="AU9" s="68"/>
      <c r="AV9" s="68"/>
      <c r="AW9" s="68"/>
      <c r="AX9" s="68"/>
      <c r="AY9" s="68"/>
      <c r="BA9" s="68"/>
      <c r="BC9" s="68"/>
      <c r="BE9" s="68"/>
      <c r="BF9" s="68"/>
      <c r="BG9" s="68"/>
      <c r="BJ9" s="68"/>
      <c r="BN9" s="68"/>
      <c r="BP9" s="68"/>
      <c r="BT9" s="68"/>
      <c r="BU9" s="68"/>
      <c r="BV9" s="68"/>
      <c r="BX9" s="68"/>
      <c r="BY9" s="68"/>
      <c r="BZ9" s="68"/>
      <c r="CA9" s="68"/>
      <c r="CB9" s="68"/>
      <c r="CC9" s="68"/>
      <c r="CD9" s="68"/>
      <c r="CF9" s="68"/>
      <c r="CH9" s="68"/>
      <c r="CI9" s="68"/>
      <c r="CO9" s="68"/>
    </row>
    <row r="10" ht="15.75" customHeight="1">
      <c r="A10" s="8"/>
      <c r="B10" s="8"/>
      <c r="C10" s="8"/>
      <c r="D10" s="8"/>
      <c r="E10" s="8"/>
      <c r="F10" s="8"/>
      <c r="G10" s="68"/>
      <c r="H10" s="8"/>
      <c r="I10" s="8"/>
      <c r="J10" s="8"/>
      <c r="K10" s="8"/>
      <c r="L10" s="8"/>
      <c r="M10" s="8"/>
      <c r="N10" s="8"/>
      <c r="O10" s="8"/>
      <c r="AT10" s="68"/>
      <c r="AX10" s="68"/>
      <c r="BJ10" s="68"/>
      <c r="BU10" s="68"/>
      <c r="CH10" s="6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