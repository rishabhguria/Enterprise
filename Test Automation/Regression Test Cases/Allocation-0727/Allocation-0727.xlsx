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s" sheetId="4" r:id="rId6"/>
    <sheet state="visible" name="AddMFPreferences" sheetId="5" r:id="rId7"/>
    <sheet state="visible" name="SetMFPrefFundDistribution" sheetId="6" r:id="rId8"/>
    <sheet state="visible" name="SetMFPrefAccountValues" sheetId="7" r:id="rId9"/>
    <sheet state="visible" name="SetMFPrefFundDefaultRule" sheetId="8" r:id="rId10"/>
    <sheet state="visible" name="SetMFPrefAccountValues1" sheetId="9" r:id="rId11"/>
    <sheet state="visible" name="SetMFPrefFundDefaultRule1" sheetId="10" r:id="rId12"/>
    <sheet state="visible" name="CreateDoneAwayOrder" sheetId="11" r:id="rId13"/>
    <sheet state="visible" name="SelectUnallocatedGroup" sheetId="12" r:id="rId14"/>
    <sheet state="visible" name="EnterAllocatePreference" sheetId="13" r:id="rId15"/>
    <sheet state="visible" name="CheckAllocatedTaxlots" sheetId="14" r:id="rId16"/>
  </sheets>
  <definedNames/>
  <calcPr/>
</workbook>
</file>

<file path=xl/sharedStrings.xml><?xml version="1.0" encoding="utf-8"?>
<sst xmlns="http://schemas.openxmlformats.org/spreadsheetml/2006/main" count="154" uniqueCount="41">
  <si>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</si>
  <si>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</si>
  <si>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</si>
  <si>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</si>
  <si>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</si>
  <si>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</si>
  <si>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</si>
  <si>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</si>
  <si>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</si>
  <si>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</si>
  <si>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</si>
  <si>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</si>
  <si>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</si>
  <si>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SetGeneralPreferences</t>
  </si>
  <si>
    <t>Data Format</t>
  </si>
  <si>
    <t>Input Format</t>
  </si>
  <si>
    <t>AddMFPreferences</t>
  </si>
  <si>
    <t>Test</t>
  </si>
  <si>
    <t>SetMFPrefFundDistribution</t>
  </si>
  <si>
    <t>NewMF</t>
  </si>
  <si>
    <t>NewMF1</t>
  </si>
  <si>
    <t>SetMFPrefAccountValues</t>
  </si>
  <si>
    <t>Allocation1</t>
  </si>
  <si>
    <t>Allocation3</t>
  </si>
  <si>
    <t>SetMFPrefFundDefaultRule</t>
  </si>
  <si>
    <t>Fair Pricing</t>
  </si>
  <si>
    <t>Current Preference</t>
  </si>
  <si>
    <t>Allocation2</t>
  </si>
  <si>
    <t>Allocation4</t>
  </si>
  <si>
    <t>TradingTicket</t>
  </si>
  <si>
    <t>CreateDoneAwayOrder</t>
  </si>
  <si>
    <t>AAPL</t>
  </si>
  <si>
    <t>Buy</t>
  </si>
  <si>
    <t>Unallocated</t>
  </si>
  <si>
    <t>IBM</t>
  </si>
  <si>
    <t>SelectUnallocatedGroup</t>
  </si>
  <si>
    <t>EnterAllocatePreference</t>
  </si>
  <si>
    <t>CheckAllocatedTaxlots</t>
  </si>
  <si>
    <t>M</t>
  </si>
  <si>
    <t>USD</t>
  </si>
  <si>
    <t>Strategy Unallocated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</si>
</sst>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IFERROR(__xludf.DUMMYFUNCTION("""COMPUTED_VALUE"""),"ValidateCheckSide")</f>
        <v>ValidateCheckSide</v>
      </c>
      <c r="C5" s="27" t="str">
        <f>IFERROR(__xludf.DUMMYFUNCTION("""COMPUTED_VALUE"""),"DisabledChecksideAssets")</f>
        <v>DisabledChecksideAssets</v>
      </c>
      <c r="D5" s="27" t="str">
        <f>IFERROR(__xludf.DUMMYFUNCTION("""COMPUTED_VALUE"""),"PrecisionValue")</f>
        <v>PrecisionValue</v>
      </c>
      <c r="E5" s="27" t="str">
        <f>IFERROR(__xludf.DUMMYFUNCTION("""COMPUTED_VALUE"""),"UseCommissionInNetAmount")</f>
        <v>UseCommissionInNetAmount</v>
      </c>
      <c r="F5" s="28" t="str">
        <f>IFERROR(__xludf.DUMMYFUNCTION("""COMPUTED_VALUE"""),"SaveWithoutState")</f>
        <v>SaveWithoutState</v>
      </c>
      <c r="G5" s="27" t="str">
        <f>IFERROR(__xludf.DUMMYFUNCTION("""COMPUTED_VALUE"""),"SaveWithState")</f>
        <v>SaveWithState</v>
      </c>
      <c r="H5" s="27" t="str">
        <f>IFERROR(__xludf.DUMMYFUNCTION("""COMPUTED_VALUE"""),"ClearQuantities")</f>
        <v>ClearQuantities</v>
      </c>
      <c r="I5" s="27" t="str">
        <f>IFERROR(__xludf.DUMMYFUNCTION("""COMPUTED_VALUE"""),"ReapplyAllocation")</f>
        <v>ReapplyAllocation</v>
      </c>
      <c r="J5" s="27" t="str">
        <f>IFERROR(__xludf.DUMMYFUNCTION("""COMPUTED_VALUE"""),"DefaultAllocation")</f>
        <v>DefaultAllocation</v>
      </c>
      <c r="K5" s="27" t="str">
        <f>IFERROR(__xludf.DUMMYFUNCTION("""COMPUTED_VALUE"""),"IsCustomPreference")</f>
        <v>IsCustomPreference</v>
      </c>
      <c r="L5" s="27" t="str">
        <f>IFERROR(__xludf.DUMMYFUNCTION("""COMPUTED_VALUE"""),"AllocationMethod")</f>
        <v>AllocationMethod</v>
      </c>
      <c r="M5" s="27" t="str">
        <f>IFERROR(__xludf.DUMMYFUNCTION("""COMPUTED_VALUE"""),"RemainderAllocationTo")</f>
        <v>RemainderAllocationTo</v>
      </c>
      <c r="N5" s="27" t="str">
        <f>IFERROR(__xludf.DUMMYFUNCTION("""COMPUTED_VALUE"""),"Target%AsOf")</f>
        <v>Target%AsOf</v>
      </c>
      <c r="O5" s="27" t="str">
        <f>IFERROR(__xludf.DUMMYFUNCTION("""COMPUTED_VALUE"""),"ProrataAccounts")</f>
        <v>ProrataAccounts</v>
      </c>
      <c r="P5" s="27" t="str">
        <f>IFERROR(__xludf.DUMMYFUNCTION("""COMPUTED_VALUE"""),"DateUptoDays")</f>
        <v>DateUptoDays</v>
      </c>
      <c r="Q5" s="27" t="str">
        <f>IFERROR(__xludf.DUMMYFUNCTION("""COMPUTED_VALUE"""),"MatchClosing")</f>
        <v>MatchClosing</v>
      </c>
      <c r="R5" s="27" t="str">
        <f>IFERROR(__xludf.DUMMYFUNCTION("""COMPUTED_VALUE"""),"CommissionAlertOnBrokerChange")</f>
        <v>CommissionAlertOnBrokerChange</v>
      </c>
      <c r="S5" s="27" t="str">
        <f>IFERROR(__xludf.DUMMYFUNCTION("""COMPUTED_VALUE"""),"RecalculateCommissionOnBrokerChange")</f>
        <v>RecalculateCommissionOnBrokerChange</v>
      </c>
      <c r="T5" s="29" t="str">
        <f>IFERROR(__xludf.DUMMYFUNCTION("""COMPUTED_VALUE"""),"CommissionAlertOnAllocation")</f>
        <v>CommissionAlertOnAllocation</v>
      </c>
      <c r="U5" s="29" t="str">
        <f>IFERROR(__xludf.DUMMYFUNCTION("""COMPUTED_VALUE"""),"RecalculateCommissionOnAllocation")</f>
        <v>RecalculateCommissionOnAllocation</v>
      </c>
      <c r="V5" s="29" t="str">
        <f>IFERROR(__xludf.DUMMYFUNCTION("""COMPUTED_VALUE"""),"EnableMasterFund")</f>
        <v>EnableMasterFund</v>
      </c>
      <c r="W5" s="29" t="str">
        <f>IFERROR(__xludf.DUMMYFUNCTION("""COMPUTED_VALUE"""),"1MasterFund/1Symbol")</f>
        <v>1MasterFund/1Symbol</v>
      </c>
      <c r="X5" s="29" t="str">
        <f>IFERROR(__xludf.DUMMYFUNCTION("""COMPUTED_VALUE"""),"ProrataSchemeName")</f>
        <v>ProrataSchemeName</v>
      </c>
      <c r="Y5" s="29" t="str">
        <f>IFERROR(__xludf.DUMMYFUNCTION("""COMPUTED_VALUE"""),"ProrataAllocationSchemeBasis")</f>
        <v>ProrataAllocationSchemeBasis</v>
      </c>
      <c r="Z5" s="29" t="str">
        <f>IFERROR(__xludf.DUMMYFUNCTION("""COMPUTED_VALUE"""),"ShowAdvancedProrataUI")</f>
        <v>ShowAdvancedProrataUI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2" t="b">
        <v>1</v>
      </c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">
        <v>17</v>
      </c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AddMFPreferences!$4:$4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IFERROR(__xludf.DUMMYFUNCTION("""COMPUTED_VALUE"""),"MasterFundName")</f>
        <v>MasterFundName</v>
      </c>
      <c r="D5" s="27" t="str">
        <f>IFERROR(__xludf.DUMMYFUNCTION("""COMPUTED_VALUE"""),"TargetPercentage")</f>
        <v>TargetPercentage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">
        <v>17</v>
      </c>
      <c r="C6" s="34" t="s">
        <v>19</v>
      </c>
      <c r="D6" s="35">
        <v>50.0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4" t="s">
        <v>17</v>
      </c>
      <c r="C7" s="34" t="s">
        <v>20</v>
      </c>
      <c r="D7" s="36">
        <v>50.0</v>
      </c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SetMFPrefFundDistribution!$4:$4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IFERROR(__xludf.DUMMYFUNCTION("""COMPUTED_VALUE"""),"AccountName")</f>
        <v>AccountName</v>
      </c>
      <c r="E5" s="27" t="str">
        <f>IFERROR(__xludf.DUMMYFUNCTION("""COMPUTED_VALUE"""),"Percentage")</f>
        <v>Percentage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">
        <v>17</v>
      </c>
      <c r="C6" s="34" t="s">
        <v>19</v>
      </c>
      <c r="D6" s="33" t="s">
        <v>22</v>
      </c>
      <c r="E6" s="36">
        <v>50.0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4" t="s">
        <v>17</v>
      </c>
      <c r="C7" s="34" t="s">
        <v>19</v>
      </c>
      <c r="D7" s="34" t="s">
        <v>23</v>
      </c>
      <c r="E7" s="36">
        <v>50.0</v>
      </c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SetMFPrefAccountValues!$4:$4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IFERROR(__xludf.DUMMYFUNCTION("""COMPUTED_VALUE"""),"AllocationMethod")</f>
        <v>AllocationMethod</v>
      </c>
      <c r="E5" s="27" t="str">
        <f>IFERROR(__xludf.DUMMYFUNCTION("""COMPUTED_VALUE"""),"RemainderAllocationTo")</f>
        <v>RemainderAllocationTo</v>
      </c>
      <c r="F5" s="28" t="str">
        <f>IFERROR(__xludf.DUMMYFUNCTION("""COMPUTED_VALUE"""),"Target%AsOf")</f>
        <v>Target%AsOf</v>
      </c>
      <c r="G5" s="27" t="str">
        <f>IFERROR(__xludf.DUMMYFUNCTION("""COMPUTED_VALUE"""),"ProrataAccounts")</f>
        <v>ProrataAccounts</v>
      </c>
      <c r="H5" s="27" t="str">
        <f>IFERROR(__xludf.DUMMYFUNCTION("""COMPUTED_VALUE"""),"DateUptoDays")</f>
        <v>DateUptoDays</v>
      </c>
      <c r="I5" s="27" t="str">
        <f>IFERROR(__xludf.DUMMYFUNCTION("""COMPUTED_VALUE"""),"MatchClosingTransactions")</f>
        <v>MatchClosingTransactions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">
        <v>17</v>
      </c>
      <c r="C6" s="31" t="s">
        <v>19</v>
      </c>
      <c r="D6" s="37" t="s">
        <v>25</v>
      </c>
      <c r="E6" s="31"/>
      <c r="F6" s="38" t="s">
        <v>26</v>
      </c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SetMFPrefFundDefaultRule!$4:$4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IFERROR(__xludf.DUMMYFUNCTION("""COMPUTED_VALUE"""),"AccountName")</f>
        <v>AccountName</v>
      </c>
      <c r="E5" s="27" t="str">
        <f>IFERROR(__xludf.DUMMYFUNCTION("""COMPUTED_VALUE"""),"Percentage")</f>
        <v>Percentage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">
        <v>17</v>
      </c>
      <c r="C6" s="34" t="s">
        <v>20</v>
      </c>
      <c r="D6" s="33" t="s">
        <v>27</v>
      </c>
      <c r="E6" s="36">
        <v>50.0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4" t="s">
        <v>17</v>
      </c>
      <c r="C7" s="34" t="s">
        <v>20</v>
      </c>
      <c r="D7" s="34" t="s">
        <v>28</v>
      </c>
      <c r="E7" s="36">
        <v>50.0</v>
      </c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SetMFPrefAccountValues1!$4:$4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IFERROR(__xludf.DUMMYFUNCTION("""COMPUTED_VALUE"""),"AllocationMethod")</f>
        <v>AllocationMethod</v>
      </c>
      <c r="E5" s="27" t="str">
        <f>IFERROR(__xludf.DUMMYFUNCTION("""COMPUTED_VALUE"""),"RemainderAllocationTo")</f>
        <v>RemainderAllocationTo</v>
      </c>
      <c r="F5" s="28" t="str">
        <f>IFERROR(__xludf.DUMMYFUNCTION("""COMPUTED_VALUE"""),"Target%AsOf")</f>
        <v>Target%AsOf</v>
      </c>
      <c r="G5" s="27" t="str">
        <f>IFERROR(__xludf.DUMMYFUNCTION("""COMPUTED_VALUE"""),"ProrataAccounts")</f>
        <v>ProrataAccounts</v>
      </c>
      <c r="H5" s="27" t="str">
        <f>IFERROR(__xludf.DUMMYFUNCTION("""COMPUTED_VALUE"""),"DateUptoDays")</f>
        <v>DateUptoDays</v>
      </c>
      <c r="I5" s="27" t="str">
        <f>IFERROR(__xludf.DUMMYFUNCTION("""COMPUTED_VALUE"""),"MatchClosingTransactions")</f>
        <v>MatchClosingTransactions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">
        <v>17</v>
      </c>
      <c r="C6" s="31" t="s">
        <v>20</v>
      </c>
      <c r="D6" s="37" t="s">
        <v>25</v>
      </c>
      <c r="E6" s="31"/>
      <c r="F6" s="38" t="s">
        <v>26</v>
      </c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SetMFPrefFundDefaultRule1!$4:$4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31</v>
      </c>
      <c r="C6" s="12" t="s">
        <v>32</v>
      </c>
      <c r="D6" s="12">
        <v>100.0</v>
      </c>
      <c r="E6" s="39"/>
      <c r="F6" s="12" t="s">
        <v>33</v>
      </c>
      <c r="G6" s="8"/>
      <c r="H6" s="8"/>
      <c r="I6" s="8"/>
      <c r="J6" s="12">
        <v>30.67</v>
      </c>
      <c r="K6" s="8"/>
      <c r="L6" s="8"/>
      <c r="M6" s="8"/>
      <c r="N6" s="8"/>
      <c r="O6" s="8"/>
    </row>
    <row r="7" ht="15.75" customHeight="1">
      <c r="A7" s="12"/>
      <c r="B7" s="12" t="s">
        <v>34</v>
      </c>
      <c r="C7" s="12" t="s">
        <v>32</v>
      </c>
      <c r="D7" s="12">
        <v>100.0</v>
      </c>
      <c r="E7" s="39"/>
      <c r="F7" s="12" t="s">
        <v>17</v>
      </c>
      <c r="G7" s="8"/>
      <c r="H7" s="8"/>
      <c r="I7" s="8"/>
      <c r="J7" s="12">
        <v>30.67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IFERROR(__xludf.DUMMYFUNCTION("""COMPUTED_VALUE"""),"Net Amount( Local)")</f>
        <v>Net Amount( Local)</v>
      </c>
      <c r="H5" s="27" t="str">
        <f>IFERROR(__xludf.DUMMYFUNCTION("""COMPUTED_VALUE"""),"Net Amount( Base)")</f>
        <v>Net Amount( Base)</v>
      </c>
      <c r="I5" s="27" t="str">
        <f>IFERROR(__xludf.DUMMYFUNCTION("""COMPUTED_VALUE"""),"Principal Amount( Local)")</f>
        <v>Principal Amount( Local)</v>
      </c>
      <c r="J5" s="27" t="str">
        <f>IFERROR(__xludf.DUMMYFUNCTION("""COMPUTED_VALUE"""),"Transaction Type")</f>
        <v>Transaction Type</v>
      </c>
      <c r="K5" s="27" t="str">
        <f>IFERROR(__xludf.DUMMYFUNCTION("""COMPUTED_VALUE"""),"Principal Amount( Base)")</f>
        <v>Principal Amount( Base)</v>
      </c>
      <c r="L5" s="27" t="str">
        <f>IFERROR(__xludf.DUMMYFUNCTION("""COMPUTED_VALUE"""),"Execution Time")</f>
        <v>Execution Time</v>
      </c>
      <c r="M5" s="27" t="str">
        <f>IFERROR(__xludf.DUMMYFUNCTION("""COMPUTED_VALUE"""),"Trading Account")</f>
        <v>Trading Account</v>
      </c>
      <c r="N5" s="27" t="str">
        <f>IFERROR(__xludf.DUMMYFUNCTION("""COMPUTED_VALUE"""),"Avg Price(Local)")</f>
        <v>Avg Price(Local)</v>
      </c>
      <c r="O5" s="27" t="str">
        <f>IFERROR(__xludf.DUMMYFUNCTION("""COMPUTED_VALUE"""),"Avg Price(Base)")</f>
        <v>Avg Price(Base)</v>
      </c>
      <c r="P5" s="27" t="str">
        <f>IFERROR(__xludf.DUMMYFUNCTION("""COMPUTED_VALUE"""),"Broker")</f>
        <v>Broker</v>
      </c>
      <c r="Q5" s="27" t="str">
        <f>IFERROR(__xludf.DUMMYFUNCTION("""COMPUTED_VALUE"""),"FX Rate")</f>
        <v>FX Rate</v>
      </c>
      <c r="R5" s="27" t="str">
        <f>IFERROR(__xludf.DUMMYFUNCTION("""COMPUTED_VALUE"""),"Venue")</f>
        <v>Venue</v>
      </c>
      <c r="S5" s="27" t="str">
        <f>IFERROR(__xludf.DUMMYFUNCTION("""COMPUTED_VALUE"""),"FX Conversion Operator")</f>
        <v>FX Conversion Operator</v>
      </c>
      <c r="T5" s="29" t="str">
        <f>IFERROR(__xludf.DUMMYFUNCTION("""COMPUTED_VALUE"""),"User")</f>
        <v>User</v>
      </c>
      <c r="U5" s="29" t="str">
        <f>IFERROR(__xludf.DUMMYFUNCTION("""COMPUTED_VALUE"""),"Asset Category")</f>
        <v>Asset Category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IFERROR(__xludf.DUMMYFUNCTION("""COMPUTED_VALUE"""),"Commission Per Share")</f>
        <v>Commission Per Share</v>
      </c>
      <c r="X5" s="29" t="str">
        <f>IFERROR(__xludf.DUMMYFUNCTION("""COMPUTED_VALUE"""),"Soft Commission Per Share")</f>
        <v>Soft Commission Per Share</v>
      </c>
      <c r="Y5" s="29" t="str">
        <f>IFERROR(__xludf.DUMMYFUNCTION("""COMPUTED_VALUE"""),"Total Commission Per Share")</f>
        <v>Total Commission Per Share</v>
      </c>
      <c r="Z5" s="29" t="str">
        <f>IFERROR(__xludf.DUMMYFUNCTION("""COMPUTED_VALUE"""),"Change Type")</f>
        <v>Change Type</v>
      </c>
      <c r="AA5" s="29" t="str">
        <f>IFERROR(__xludf.DUMMYFUNCTION("""COMPUTED_VALUE"""),"Trade Attribute 1")</f>
        <v>Trade Attribute 1</v>
      </c>
      <c r="AB5" s="29" t="str">
        <f>IFERROR(__xludf.DUMMYFUNCTION("""COMPUTED_VALUE"""),"Trade Attribute 2")</f>
        <v>Trade Attribute 2</v>
      </c>
      <c r="AC5" s="29" t="str">
        <f>IFERROR(__xludf.DUMMYFUNCTION("""COMPUTED_VALUE"""),"Trade Attribute 3")</f>
        <v>Trade Attribute 3</v>
      </c>
      <c r="AD5" s="29" t="str">
        <f>IFERROR(__xludf.DUMMYFUNCTION("""COMPUTED_VALUE"""),"Trade Attribute 4")</f>
        <v>Trade Attribute 4</v>
      </c>
      <c r="AE5" s="29" t="str">
        <f>IFERROR(__xludf.DUMMYFUNCTION("""COMPUTED_VALUE"""),"Trade Attribute 5")</f>
        <v>Trade Attribute 5</v>
      </c>
      <c r="AF5" s="29" t="str">
        <f>IFERROR(__xludf.DUMMYFUNCTION("""COMPUTED_VALUE"""),"Trade Attribute 6")</f>
        <v>Trade Attribute 6</v>
      </c>
      <c r="AG5" s="29" t="str">
        <f>IFERROR(__xludf.DUMMYFUNCTION("""COMPUTED_VALUE"""),"IsPreAllocated")</f>
        <v>IsPreAllocated</v>
      </c>
      <c r="AH5" s="29" t="str">
        <f>IFERROR(__xludf.DUMMYFUNCTION("""COMPUTED_VALUE"""),"IsManual Group")</f>
        <v>IsManual Group</v>
      </c>
      <c r="AI5" s="29" t="str">
        <f>IFERROR(__xludf.DUMMYFUNCTION("""COMPUTED_VALUE"""),"IsAnotherTaxlotAttributesUpdated")</f>
        <v>IsAnotherTaxlotAttributesUpdated</v>
      </c>
      <c r="AJ5" s="29" t="str">
        <f>IFERROR(__xludf.DUMMYFUNCTION("""COMPUTED_VALUE"""),"ISNDF")</f>
        <v>ISNDF</v>
      </c>
      <c r="AK5" s="29" t="str">
        <f>IFERROR(__xludf.DUMMYFUNCTION("""COMPUTED_VALUE"""),"M2MProfitLoss")</f>
        <v>M2MProfitLoss</v>
      </c>
      <c r="AL5" s="29" t="str">
        <f>IFERROR(__xludf.DUMMYFUNCTION("""COMPUTED_VALUE"""),"Put Or Call")</f>
        <v>Put Or Call</v>
      </c>
      <c r="AM5" s="29" t="str">
        <f>IFERROR(__xludf.DUMMYFUNCTION("""COMPUTED_VALUE"""),"GroupID")</f>
        <v>GroupID</v>
      </c>
      <c r="AN5" s="29" t="str">
        <f>IFERROR(__xludf.DUMMYFUNCTION("""COMPUTED_VALUE"""),"UnAllocatedQty")</f>
        <v>UnAllocatedQty</v>
      </c>
      <c r="AO5" s="29" t="str">
        <f>IFERROR(__xludf.DUMMYFUNCTION("""COMPUTED_VALUE"""),"Allocated Qty")</f>
        <v>Allocated Qty</v>
      </c>
      <c r="AP5" s="29" t="str">
        <f>IFERROR(__xludf.DUMMYFUNCTION("""COMPUTED_VALUE"""),"Commission")</f>
        <v>Commission</v>
      </c>
      <c r="AQ5" s="29" t="str">
        <f>IFERROR(__xludf.DUMMYFUNCTION("""COMPUTED_VALUE"""),"Soft Commission")</f>
        <v>Soft Commission</v>
      </c>
      <c r="AR5" s="29" t="str">
        <f>IFERROR(__xludf.DUMMYFUNCTION("""COMPUTED_VALUE"""),"Other Broker Fees")</f>
        <v>Other Broker Fees</v>
      </c>
      <c r="AS5" s="29" t="str">
        <f>IFERROR(__xludf.DUMMYFUNCTION("""COMPUTED_VALUE"""),"Clearing Broker Fee")</f>
        <v>Clearing Broker Fee</v>
      </c>
      <c r="AT5" s="29" t="str">
        <f>IFERROR(__xludf.DUMMYFUNCTION("""COMPUTED_VALUE"""),"Total Commission And Fee")</f>
        <v>Total Commission And Fee</v>
      </c>
      <c r="AU5" s="29" t="str">
        <f>IFERROR(__xludf.DUMMYFUNCTION("""COMPUTED_VALUE"""),"Transaction Levy")</f>
        <v>Transaction Levy</v>
      </c>
      <c r="AV5" s="29" t="str">
        <f>IFERROR(__xludf.DUMMYFUNCTION("""COMPUTED_VALUE"""),"Stamp Duty")</f>
        <v>Stamp Duty</v>
      </c>
      <c r="AW5" s="29" t="str">
        <f>IFERROR(__xludf.DUMMYFUNCTION("""COMPUTED_VALUE"""),"AUEC Fee1")</f>
        <v>AUEC Fee1</v>
      </c>
      <c r="AX5" s="29" t="str">
        <f>IFERROR(__xludf.DUMMYFUNCTION("""COMPUTED_VALUE"""),"Tax On Commissions")</f>
        <v>Tax On Commissions</v>
      </c>
      <c r="AY5" s="29" t="str">
        <f>IFERROR(__xludf.DUMMYFUNCTION("""COMPUTED_VALUE"""),"AUEC Fee2")</f>
        <v>AUEC Fee2</v>
      </c>
      <c r="AZ5" s="29" t="str">
        <f>IFERROR(__xludf.DUMMYFUNCTION("""COMPUTED_VALUE"""),"SEC Fee")</f>
        <v>SEC Fee</v>
      </c>
      <c r="BA5" s="29" t="str">
        <f>IFERROR(__xludf.DUMMYFUNCTION("""COMPUTED_VALUE"""),"OCC Fee")</f>
        <v>OCC Fee</v>
      </c>
      <c r="BB5" s="29" t="str">
        <f>IFERROR(__xludf.DUMMYFUNCTION("""COMPUTED_VALUE"""),"ORF Fee")</f>
        <v>ORF Fee</v>
      </c>
      <c r="BC5" s="29" t="str">
        <f>IFERROR(__xludf.DUMMYFUNCTION("""COMPUTED_VALUE"""),"Option Premium Adjustment")</f>
        <v>Option Premium Adjustment</v>
      </c>
      <c r="BD5" s="29" t="str">
        <f>IFERROR(__xludf.DUMMYFUNCTION("""COMPUTED_VALUE"""),"Prana Msg Type")</f>
        <v>Prana Msg Type</v>
      </c>
      <c r="BE5" s="29" t="str">
        <f>IFERROR(__xludf.DUMMYFUNCTION("""COMPUTED_VALUE"""),"Total Commission")</f>
        <v>Total Commission</v>
      </c>
      <c r="BF5" s="29" t="str">
        <f>IFERROR(__xludf.DUMMYFUNCTION("""COMPUTED_VALUE"""),"Closing Status")</f>
        <v>Closing Status</v>
      </c>
      <c r="BG5" s="29" t="str">
        <f>IFERROR(__xludf.DUMMYFUNCTION("""COMPUTED_VALUE"""),"Closing Method")</f>
        <v>Closing Method</v>
      </c>
      <c r="BH5" s="29" t="str">
        <f>IFERROR(__xludf.DUMMYFUNCTION("""COMPUTED_VALUE"""),"Group Status")</f>
        <v>Group Status</v>
      </c>
      <c r="BI5" s="29" t="str">
        <f>IFERROR(__xludf.DUMMYFUNCTION("""COMPUTED_VALUE"""),"Allocation Scheme Name")</f>
        <v>Allocation Scheme Name</v>
      </c>
      <c r="BJ5" s="29" t="str">
        <f>IFERROR(__xludf.DUMMYFUNCTION("""COMPUTED_VALUE"""),"Change Comment")</f>
        <v>Change Comment</v>
      </c>
      <c r="BK5" s="29" t="str">
        <f>IFERROR(__xludf.DUMMYFUNCTION("""COMPUTED_VALUE"""),"Order Type")</f>
        <v>Order Type</v>
      </c>
      <c r="BL5" s="29" t="str">
        <f>IFERROR(__xludf.DUMMYFUNCTION("""COMPUTED_VALUE"""),"Underlying")</f>
        <v>Underlying</v>
      </c>
      <c r="BM5" s="29" t="str">
        <f>IFERROR(__xludf.DUMMYFUNCTION("""COMPUTED_VALUE"""),"Exchange")</f>
        <v>Exchange</v>
      </c>
      <c r="BN5" s="29" t="str">
        <f>IFERROR(__xludf.DUMMYFUNCTION("""COMPUTED_VALUE"""),"Currency")</f>
        <v>Currency</v>
      </c>
      <c r="BO5" s="29" t="str">
        <f>IFERROR(__xludf.DUMMYFUNCTION("""COMPUTED_VALUE"""),"AUECID")</f>
        <v>AUECID</v>
      </c>
      <c r="BP5" s="29" t="str">
        <f>IFERROR(__xludf.DUMMYFUNCTION("""COMPUTED_VALUE"""),"Cum Qty For Sub Order")</f>
        <v>Cum Qty For Sub Order</v>
      </c>
      <c r="BQ5" s="29" t="str">
        <f>IFERROR(__xludf.DUMMYFUNCTION("""COMPUTED_VALUE"""),"Contract Multiplier")</f>
        <v>Contract Multiplier</v>
      </c>
      <c r="BR5" s="29" t="str">
        <f>IFERROR(__xludf.DUMMYFUNCTION("""COMPUTED_VALUE"""),"Company")</f>
        <v>Company</v>
      </c>
      <c r="BS5" s="29" t="str">
        <f>IFERROR(__xludf.DUMMYFUNCTION("""COMPUTED_VALUE"""),"Nirvana Process Date")</f>
        <v>Nirvana Process Date</v>
      </c>
      <c r="BT5" s="29" t="str">
        <f>IFERROR(__xludf.DUMMYFUNCTION("""COMPUTED_VALUE"""),"Process Date")</f>
        <v>Process Date</v>
      </c>
      <c r="BU5" s="29" t="str">
        <f>IFERROR(__xludf.DUMMYFUNCTION("""COMPUTED_VALUE"""),"Original Purchase Date")</f>
        <v>Original Purchase Date</v>
      </c>
      <c r="BV5" s="29" t="str">
        <f>IFERROR(__xludf.DUMMYFUNCTION("""COMPUTED_VALUE"""),"Closing Date")</f>
        <v>Closing Date</v>
      </c>
      <c r="BW5" s="29" t="str">
        <f>IFERROR(__xludf.DUMMYFUNCTION("""COMPUTED_VALUE"""),"Settlement Date")</f>
        <v>Settlement Date</v>
      </c>
      <c r="BX5" s="29" t="str">
        <f>IFERROR(__xludf.DUMMYFUNCTION("""COMPUTED_VALUE"""),"Expiration Date")</f>
        <v>Expiration Date</v>
      </c>
      <c r="BY5" s="29" t="str">
        <f>IFERROR(__xludf.DUMMYFUNCTION("""COMPUTED_VALUE"""),"Description")</f>
        <v>Description</v>
      </c>
      <c r="BZ5" s="29" t="str">
        <f>IFERROR(__xludf.DUMMYFUNCTION("""COMPUTED_VALUE"""),"Underlying Symbol")</f>
        <v>Underlying Symbol</v>
      </c>
      <c r="CA5" s="29" t="str">
        <f>IFERROR(__xludf.DUMMYFUNCTION("""COMPUTED_VALUE"""),"Accrued Interest")</f>
        <v>Accrued Interest</v>
      </c>
      <c r="CB5" s="29" t="str">
        <f>IFERROR(__xludf.DUMMYFUNCTION("""COMPUTED_VALUE"""),"Accrual Basis")</f>
        <v>Accrual Basis</v>
      </c>
      <c r="CC5" s="29" t="str">
        <f>IFERROR(__xludf.DUMMYFUNCTION("""COMPUTED_VALUE"""),"Bond Type")</f>
        <v>Bond Type</v>
      </c>
      <c r="CD5" s="29" t="str">
        <f>IFERROR(__xludf.DUMMYFUNCTION("""COMPUTED_VALUE"""),"Coupon Rate")</f>
        <v>Coupon Rate</v>
      </c>
      <c r="CE5" s="29" t="str">
        <f>IFERROR(__xludf.DUMMYFUNCTION("""COMPUTED_VALUE"""),"Delta")</f>
        <v>Delta</v>
      </c>
      <c r="CF5" s="29" t="str">
        <f>IFERROR(__xludf.DUMMYFUNCTION("""COMPUTED_VALUE"""),"Bloomberg")</f>
        <v>Bloomberg</v>
      </c>
      <c r="CG5" s="29" t="str">
        <f>IFERROR(__xludf.DUMMYFUNCTION("""COMPUTED_VALUE"""),"Sedol Symbol")</f>
        <v>Sedol Symbol</v>
      </c>
      <c r="CH5" s="29" t="str">
        <f>IFERROR(__xludf.DUMMYFUNCTION("""COMPUTED_VALUE"""),"Cusip Symbol")</f>
        <v>Cusip Symbol</v>
      </c>
      <c r="CI5" s="29" t="str">
        <f>IFERROR(__xludf.DUMMYFUNCTION("""COMPUTED_VALUE"""),"ISIN")</f>
        <v>ISIN</v>
      </c>
      <c r="CJ5" s="29" t="str">
        <f>IFERROR(__xludf.DUMMYFUNCTION("""COMPUTED_VALUE"""),"OSISSymbol")</f>
        <v>OSISSymbol</v>
      </c>
      <c r="CK5" s="29" t="str">
        <f>IFERROR(__xludf.DUMMYFUNCTION("""COMPUTED_VALUE"""),"IDCOSymbol")</f>
        <v>IDCOSymbol</v>
      </c>
      <c r="CL5" s="29" t="str">
        <f>IFERROR(__xludf.DUMMYFUNCTION("""COMPUTED_VALUE"""),"Underlying Delta")</f>
        <v>Underlying Delta</v>
      </c>
      <c r="CM5" s="29" t="str">
        <f>IFERROR(__xludf.DUMMYFUNCTION("""COMPUTED_VALUE"""),"Internal Comments")</f>
        <v>Internal Comments</v>
      </c>
      <c r="CN5" s="29" t="str">
        <f>IFERROR(__xludf.DUMMYFUNCTION("""COMPUTED_VALUE"""),"Proxy Symbol")</f>
        <v>Proxy Symbol</v>
      </c>
      <c r="CO5" s="29" t="str">
        <f>IFERROR(__xludf.DUMMYFUNCTION("""COMPUTED_VALUE"""),"Transaction Source")</f>
        <v>Transaction Source</v>
      </c>
      <c r="CP5" s="29" t="str">
        <f>IFERROR(__xludf.DUMMYFUNCTION("""COMPUTED_VALUE"""),"Import File Name")</f>
        <v>Import File Name</v>
      </c>
      <c r="CQ5" s="29" t="str">
        <f>IFERROR(__xludf.DUMMYFUNCTION("""COMPUTED_VALUE"""),"Master Fund")</f>
        <v>Master Fund</v>
      </c>
      <c r="CR5" s="29" t="str">
        <f>IFERROR(__xludf.DUMMYFUNCTION("""COMPUTED_VALUE"""),"Client")</f>
        <v>Client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31</v>
      </c>
      <c r="C6" s="12" t="s">
        <v>32</v>
      </c>
      <c r="D6" s="12">
        <v>100.0</v>
      </c>
      <c r="E6" s="12">
        <v>100.0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IFERROR(__xludf.DUMMYFUNCTION("""COMPUTED_VALUE"""),"PreferenceType")</f>
        <v>PreferenceType</v>
      </c>
      <c r="C5" s="27" t="str">
        <f>IFERROR(__xludf.DUMMYFUNCTION("""COMPUTED_VALUE"""),"PreferenceName")</f>
        <v>PreferenceName</v>
      </c>
      <c r="D5" s="27" t="str">
        <f>IFERROR(__xludf.DUMMYFUNCTION("""COMPUTED_VALUE"""),"PTTPrefNeeded")</f>
        <v>PTTPrefNeeded</v>
      </c>
      <c r="E5" s="27" t="str">
        <f>IFERROR(__xludf.DUMMYFUNCTION("""COMPUTED_VALUE"""),"IsForceAllocation")</f>
        <v>IsForceAllocation</v>
      </c>
      <c r="F5" s="28" t="str">
        <f>IFERROR(__xludf.DUMMYFUNCTION("""COMPUTED_VALUE"""),"AllocationMethod")</f>
        <v>AllocationMethod</v>
      </c>
      <c r="G5" s="27" t="str">
        <f>IFERROR(__xludf.DUMMYFUNCTION("""COMPUTED_VALUE"""),"RemainderAllocationTo")</f>
        <v>RemainderAllocationTo</v>
      </c>
      <c r="H5" s="27" t="str">
        <f>IFERROR(__xludf.DUMMYFUNCTION("""COMPUTED_VALUE"""),"Target%AsOf")</f>
        <v>Target%AsOf</v>
      </c>
      <c r="I5" s="27" t="str">
        <f>IFERROR(__xludf.DUMMYFUNCTION("""COMPUTED_VALUE"""),"AccountsForProrata")</f>
        <v>AccountsForProrata</v>
      </c>
      <c r="J5" s="27" t="str">
        <f>IFERROR(__xludf.DUMMYFUNCTION("""COMPUTED_VALUE"""),"DateUptoDays")</f>
        <v>DateUptoDays</v>
      </c>
      <c r="K5" s="27" t="str">
        <f>IFERROR(__xludf.DUMMYFUNCTION("""COMPUTED_VALUE"""),"MatchClosingTransactions")</f>
        <v>MatchClosingTransactions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17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IFERROR(__xludf.DUMMYFUNCTION("""COMPUTED_VALUE"""),"Net Amount(Local)")</f>
        <v>Net Amount(Local)</v>
      </c>
      <c r="C5" s="27" t="str">
        <f>IFERROR(__xludf.DUMMYFUNCTION("""COMPUTED_VALUE"""),"Net Amount(Base)")</f>
        <v>Net Amount(Base)</v>
      </c>
      <c r="D5" s="27" t="str">
        <f>IFERROR(__xludf.DUMMYFUNCTION("""COMPUTED_VALUE"""),"Principal Amount(Local)")</f>
        <v>Principal Amount(Local)</v>
      </c>
      <c r="E5" s="27" t="str">
        <f>IFERROR(__xludf.DUMMYFUNCTION("""COMPUTED_VALUE"""),"Principal Amount(Base)")</f>
        <v>Principal Amount(Base)</v>
      </c>
      <c r="F5" s="28" t="str">
        <f>IFERROR(__xludf.DUMMYFUNCTION("""COMPUTED_VALUE"""),"FX Conversion Operator")</f>
        <v>FX Conversion Operator</v>
      </c>
      <c r="G5" s="27" t="str">
        <f>IFERROR(__xludf.DUMMYFUNCTION("""COMPUTED_VALUE"""),"TaxLotID")</f>
        <v>TaxLotID</v>
      </c>
      <c r="H5" s="27" t="str">
        <f>IFERROR(__xludf.DUMMYFUNCTION("""COMPUTED_VALUE"""),"Settlement Currency")</f>
        <v>Settlement Currency</v>
      </c>
      <c r="I5" s="27" t="str">
        <f>IFERROR(__xludf.DUMMYFUNCTION("""COMPUTED_VALUE"""),"Trade Attribute 1")</f>
        <v>Trade Attribute 1</v>
      </c>
      <c r="J5" s="27" t="str">
        <f>IFERROR(__xludf.DUMMYFUNCTION("""COMPUTED_VALUE"""),"Trade Attribute 2")</f>
        <v>Trade Attribute 2</v>
      </c>
      <c r="K5" s="27" t="str">
        <f>IFERROR(__xludf.DUMMYFUNCTION("""COMPUTED_VALUE"""),"Trade Attribute 3")</f>
        <v>Trade Attribute 3</v>
      </c>
      <c r="L5" s="27" t="str">
        <f>IFERROR(__xludf.DUMMYFUNCTION("""COMPUTED_VALUE"""),"Trade Attribute 4")</f>
        <v>Trade Attribute 4</v>
      </c>
      <c r="M5" s="27" t="str">
        <f>IFERROR(__xludf.DUMMYFUNCTION("""COMPUTED_VALUE"""),"Trade Attribute 5")</f>
        <v>Trade Attribute 5</v>
      </c>
      <c r="N5" s="27" t="str">
        <f>IFERROR(__xludf.DUMMYFUNCTION("""COMPUTED_VALUE"""),"Trade Attribute 6")</f>
        <v>Trade Attribute 6</v>
      </c>
      <c r="O5" s="27" t="str">
        <f>IFERROR(__xludf.DUMMYFUNCTION("""COMPUTED_VALUE"""),"Account Name")</f>
        <v>Account Name</v>
      </c>
      <c r="P5" s="27" t="str">
        <f>IFERROR(__xludf.DUMMYFUNCTION("""COMPUTED_VALUE"""),"Strategy Name")</f>
        <v>Strategy Name</v>
      </c>
      <c r="Q5" s="27" t="str">
        <f>IFERROR(__xludf.DUMMYFUNCTION("""COMPUTED_VALUE"""),"Percentage")</f>
        <v>Percentage</v>
      </c>
      <c r="R5" s="27" t="str">
        <f>IFERROR(__xludf.DUMMYFUNCTION("""COMPUTED_VALUE"""),"Taxlot Qty")</f>
        <v>Taxlot Qty</v>
      </c>
      <c r="S5" s="27" t="str">
        <f>IFERROR(__xludf.DUMMYFUNCTION("""COMPUTED_VALUE"""),"Commission")</f>
        <v>Commission</v>
      </c>
      <c r="T5" s="29" t="str">
        <f>IFERROR(__xludf.DUMMYFUNCTION("""COMPUTED_VALUE"""),"Soft Commission")</f>
        <v>Soft Commission</v>
      </c>
      <c r="U5" s="29" t="str">
        <f>IFERROR(__xludf.DUMMYFUNCTION("""COMPUTED_VALUE"""),"Other Broker Fees")</f>
        <v>Other Broker Fees</v>
      </c>
      <c r="V5" s="29" t="str">
        <f>IFERROR(__xludf.DUMMYFUNCTION("""COMPUTED_VALUE"""),"Clearing Broker Fees")</f>
        <v>Clearing Broker Fees</v>
      </c>
      <c r="W5" s="29" t="str">
        <f>IFERROR(__xludf.DUMMYFUNCTION("""COMPUTED_VALUE"""),"Stamp Duty")</f>
        <v>Stamp Duty</v>
      </c>
      <c r="X5" s="29" t="str">
        <f>IFERROR(__xludf.DUMMYFUNCTION("""COMPUTED_VALUE"""),"Transaction Levy")</f>
        <v>Transaction Levy</v>
      </c>
      <c r="Y5" s="29" t="str">
        <f>IFERROR(__xludf.DUMMYFUNCTION("""COMPUTED_VALUE"""),"AUEC Fee1")</f>
        <v>AUEC Fee1</v>
      </c>
      <c r="Z5" s="29" t="str">
        <f>IFERROR(__xludf.DUMMYFUNCTION("""COMPUTED_VALUE"""),"Tax On Commissions")</f>
        <v>Tax On Commissions</v>
      </c>
      <c r="AA5" s="29" t="str">
        <f>IFERROR(__xludf.DUMMYFUNCTION("""COMPUTED_VALUE"""),"AUEC Fee2")</f>
        <v>AUEC Fee2</v>
      </c>
      <c r="AB5" s="29" t="str">
        <f>IFERROR(__xludf.DUMMYFUNCTION("""COMPUTED_VALUE"""),"SEC Fee")</f>
        <v>SEC Fee</v>
      </c>
      <c r="AC5" s="29" t="str">
        <f>IFERROR(__xludf.DUMMYFUNCTION("""COMPUTED_VALUE"""),"OCC Fee")</f>
        <v>OCC Fee</v>
      </c>
      <c r="AD5" s="29" t="str">
        <f>IFERROR(__xludf.DUMMYFUNCTION("""COMPUTED_VALUE"""),"ORF Fee")</f>
        <v>ORF Fee</v>
      </c>
      <c r="AE5" s="29" t="str">
        <f>IFERROR(__xludf.DUMMYFUNCTION("""COMPUTED_VALUE"""),"Option Premium Adjustment")</f>
        <v>Option Premium Adjustment</v>
      </c>
      <c r="AF5" s="29" t="str">
        <f>IFERROR(__xludf.DUMMYFUNCTION("""COMPUTED_VALUE"""),"Closing Status")</f>
        <v>Closing Status</v>
      </c>
      <c r="AG5" s="29" t="str">
        <f>IFERROR(__xludf.DUMMYFUNCTION("""COMPUTED_VALUE"""),"External Transaction ID")</f>
        <v>External Transaction ID</v>
      </c>
      <c r="AH5" s="29" t="str">
        <f>IFERROR(__xludf.DUMMYFUNCTION("""COMPUTED_VALUE"""),"Lot ID")</f>
        <v>Lot ID</v>
      </c>
      <c r="AI5" s="29" t="str">
        <f>IFERROR(__xludf.DUMMYFUNCTION("""COMPUTED_VALUE"""),"AvgPriceBase")</f>
        <v>AvgPriceBase</v>
      </c>
      <c r="AJ5" s="29" t="str">
        <f>IFERROR(__xludf.DUMMYFUNCTION("""COMPUTED_VALUE"""),"Accrued Interest")</f>
        <v>Accrued Interest</v>
      </c>
      <c r="AK5" s="29" t="str">
        <f>IFERROR(__xludf.DUMMYFUNCTION("""COMPUTED_VALUE"""),"FXRate")</f>
        <v>FXRate</v>
      </c>
      <c r="AL5" s="29" t="str">
        <f>IFERROR(__xludf.DUMMYFUNCTION("""COMPUTED_VALUE"""),"Change Type")</f>
        <v>Change Type</v>
      </c>
      <c r="AM5" s="29" t="str">
        <f>IFERROR(__xludf.DUMMYFUNCTION("""COMPUTED_VALUE"""),"MandatoryColumn")</f>
        <v>MandatoryColumn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40">
        <v>766.75</v>
      </c>
      <c r="E6" s="40">
        <v>766.75</v>
      </c>
      <c r="F6" s="41" t="s">
        <v>38</v>
      </c>
      <c r="G6" s="8"/>
      <c r="H6" s="41" t="s">
        <v>39</v>
      </c>
      <c r="I6" s="8"/>
      <c r="J6" s="8"/>
      <c r="K6" s="8"/>
      <c r="L6" s="8"/>
      <c r="M6" s="8"/>
      <c r="N6" s="8"/>
      <c r="O6" s="41" t="s">
        <v>27</v>
      </c>
      <c r="P6" s="41" t="s">
        <v>40</v>
      </c>
      <c r="Q6" s="40">
        <v>25.0</v>
      </c>
      <c r="R6" s="40">
        <v>25.0</v>
      </c>
      <c r="S6" s="40">
        <v>0.0</v>
      </c>
      <c r="T6" s="40">
        <v>0.0</v>
      </c>
      <c r="U6" s="40">
        <v>0.0</v>
      </c>
      <c r="V6" s="40">
        <v>0.0</v>
      </c>
    </row>
    <row r="7" ht="15.75" customHeight="1">
      <c r="A7" s="8"/>
      <c r="B7" s="8"/>
      <c r="C7" s="8"/>
      <c r="D7" s="40">
        <v>766.75</v>
      </c>
      <c r="E7" s="40">
        <v>766.75</v>
      </c>
      <c r="F7" s="41" t="s">
        <v>38</v>
      </c>
      <c r="G7" s="8"/>
      <c r="H7" s="41" t="s">
        <v>39</v>
      </c>
      <c r="I7" s="8"/>
      <c r="J7" s="8"/>
      <c r="K7" s="8"/>
      <c r="L7" s="8"/>
      <c r="M7" s="8"/>
      <c r="N7" s="8"/>
      <c r="O7" s="41" t="s">
        <v>23</v>
      </c>
      <c r="P7" s="41" t="s">
        <v>40</v>
      </c>
      <c r="Q7" s="40">
        <v>25.0</v>
      </c>
      <c r="R7" s="40">
        <v>25.0</v>
      </c>
      <c r="S7" s="40">
        <v>0.0</v>
      </c>
      <c r="T7" s="40">
        <v>0.0</v>
      </c>
      <c r="U7" s="40">
        <v>0.0</v>
      </c>
      <c r="V7" s="40">
        <v>0.0</v>
      </c>
    </row>
    <row r="8" ht="15.75" customHeight="1">
      <c r="A8" s="8"/>
      <c r="B8" s="8"/>
      <c r="C8" s="8"/>
      <c r="D8" s="40">
        <v>766.75</v>
      </c>
      <c r="E8" s="40">
        <v>766.75</v>
      </c>
      <c r="F8" s="41" t="s">
        <v>38</v>
      </c>
      <c r="G8" s="8"/>
      <c r="H8" s="41" t="s">
        <v>39</v>
      </c>
      <c r="I8" s="8"/>
      <c r="J8" s="8"/>
      <c r="K8" s="8"/>
      <c r="L8" s="8"/>
      <c r="M8" s="8"/>
      <c r="N8" s="8"/>
      <c r="O8" s="41" t="s">
        <v>22</v>
      </c>
      <c r="P8" s="41" t="s">
        <v>40</v>
      </c>
      <c r="Q8" s="40">
        <v>25.0</v>
      </c>
      <c r="R8" s="40">
        <v>25.0</v>
      </c>
      <c r="S8" s="40">
        <v>0.0</v>
      </c>
      <c r="T8" s="40">
        <v>0.0</v>
      </c>
      <c r="U8" s="40">
        <v>0.0</v>
      </c>
      <c r="V8" s="40">
        <v>0.0</v>
      </c>
    </row>
    <row r="9" ht="15.75" customHeight="1">
      <c r="A9" s="8"/>
      <c r="B9" s="8"/>
      <c r="C9" s="8"/>
      <c r="D9" s="40">
        <v>766.75</v>
      </c>
      <c r="E9" s="40">
        <v>766.75</v>
      </c>
      <c r="F9" s="41" t="s">
        <v>38</v>
      </c>
      <c r="G9" s="8"/>
      <c r="H9" s="41" t="s">
        <v>39</v>
      </c>
      <c r="I9" s="8"/>
      <c r="J9" s="8"/>
      <c r="K9" s="8"/>
      <c r="L9" s="8"/>
      <c r="M9" s="8"/>
      <c r="N9" s="8"/>
      <c r="O9" s="41" t="s">
        <v>28</v>
      </c>
      <c r="P9" s="41" t="s">
        <v>40</v>
      </c>
      <c r="Q9" s="40">
        <v>25.0</v>
      </c>
      <c r="R9" s="40">
        <v>25.0</v>
      </c>
      <c r="S9" s="40">
        <v>0.0</v>
      </c>
      <c r="T9" s="40">
        <v>0.0</v>
      </c>
      <c r="U9" s="40">
        <v>0.0</v>
      </c>
      <c r="V9" s="40">
        <v>0.0</v>
      </c>
    </row>
    <row r="10" ht="15.75" customHeight="1">
      <c r="A10" s="8"/>
      <c r="B10" s="8"/>
      <c r="C10" s="8"/>
      <c r="D10" s="40">
        <v>766.75</v>
      </c>
      <c r="E10" s="40">
        <v>766.75</v>
      </c>
      <c r="F10" s="41" t="s">
        <v>38</v>
      </c>
      <c r="G10" s="8"/>
      <c r="H10" s="41" t="s">
        <v>39</v>
      </c>
      <c r="I10" s="8"/>
      <c r="J10" s="8"/>
      <c r="K10" s="8"/>
      <c r="L10" s="8"/>
      <c r="M10" s="8"/>
      <c r="N10" s="8"/>
      <c r="O10" s="41" t="s">
        <v>27</v>
      </c>
      <c r="P10" s="41" t="s">
        <v>40</v>
      </c>
      <c r="Q10" s="40">
        <v>25.0</v>
      </c>
      <c r="R10" s="40">
        <v>25.0</v>
      </c>
      <c r="S10" s="40">
        <v>0.0</v>
      </c>
      <c r="T10" s="40">
        <v>0.0</v>
      </c>
      <c r="U10" s="40">
        <v>0.0</v>
      </c>
      <c r="V10" s="40">
        <v>0.0</v>
      </c>
    </row>
    <row r="11" ht="15.75" customHeight="1">
      <c r="A11" s="8"/>
      <c r="B11" s="8"/>
      <c r="C11" s="8"/>
      <c r="D11" s="40">
        <v>766.75</v>
      </c>
      <c r="E11" s="40">
        <v>766.75</v>
      </c>
      <c r="F11" s="41" t="s">
        <v>38</v>
      </c>
      <c r="G11" s="8"/>
      <c r="H11" s="41" t="s">
        <v>39</v>
      </c>
      <c r="I11" s="8"/>
      <c r="J11" s="8"/>
      <c r="K11" s="8"/>
      <c r="L11" s="8"/>
      <c r="M11" s="8"/>
      <c r="N11" s="8"/>
      <c r="O11" s="41" t="s">
        <v>23</v>
      </c>
      <c r="P11" s="41" t="s">
        <v>40</v>
      </c>
      <c r="Q11" s="40">
        <v>25.0</v>
      </c>
      <c r="R11" s="40">
        <v>25.0</v>
      </c>
      <c r="S11" s="40">
        <v>0.0</v>
      </c>
      <c r="T11" s="40">
        <v>0.0</v>
      </c>
      <c r="U11" s="40">
        <v>0.0</v>
      </c>
      <c r="V11" s="40">
        <v>0.0</v>
      </c>
    </row>
    <row r="12" ht="15.75" customHeight="1">
      <c r="A12" s="8"/>
      <c r="B12" s="8"/>
      <c r="C12" s="8"/>
      <c r="D12" s="40">
        <v>766.75</v>
      </c>
      <c r="E12" s="40">
        <v>766.75</v>
      </c>
      <c r="F12" s="41" t="s">
        <v>38</v>
      </c>
      <c r="G12" s="8"/>
      <c r="H12" s="41" t="s">
        <v>39</v>
      </c>
      <c r="I12" s="8"/>
      <c r="J12" s="8"/>
      <c r="K12" s="8"/>
      <c r="L12" s="8"/>
      <c r="M12" s="8"/>
      <c r="N12" s="8"/>
      <c r="O12" s="41" t="s">
        <v>22</v>
      </c>
      <c r="P12" s="41" t="s">
        <v>40</v>
      </c>
      <c r="Q12" s="40">
        <v>25.0</v>
      </c>
      <c r="R12" s="40">
        <v>25.0</v>
      </c>
      <c r="S12" s="40">
        <v>0.0</v>
      </c>
      <c r="T12" s="40">
        <v>0.0</v>
      </c>
      <c r="U12" s="40">
        <v>0.0</v>
      </c>
      <c r="V12" s="40">
        <v>0.0</v>
      </c>
    </row>
    <row r="13" ht="15.75" customHeight="1">
      <c r="A13" s="8"/>
      <c r="B13" s="8"/>
      <c r="C13" s="8"/>
      <c r="D13" s="40">
        <v>766.75</v>
      </c>
      <c r="E13" s="40">
        <v>766.75</v>
      </c>
      <c r="F13" s="41" t="s">
        <v>38</v>
      </c>
      <c r="G13" s="8"/>
      <c r="H13" s="41" t="s">
        <v>39</v>
      </c>
      <c r="I13" s="8"/>
      <c r="J13" s="8"/>
      <c r="K13" s="8"/>
      <c r="L13" s="8"/>
      <c r="M13" s="8"/>
      <c r="N13" s="8"/>
      <c r="O13" s="41" t="s">
        <v>28</v>
      </c>
      <c r="P13" s="41" t="s">
        <v>40</v>
      </c>
      <c r="Q13" s="40">
        <v>25.0</v>
      </c>
      <c r="R13" s="40">
        <v>25.0</v>
      </c>
      <c r="S13" s="40">
        <v>0.0</v>
      </c>
      <c r="T13" s="40">
        <v>0.0</v>
      </c>
      <c r="U13" s="40">
        <v>0.0</v>
      </c>
      <c r="V13" s="40">
        <v>0.0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