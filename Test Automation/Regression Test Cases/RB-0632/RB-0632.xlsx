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SendtoStaging" sheetId="11" r:id="rId13"/>
    <sheet state="visible" name="TradeNewSubOrder" sheetId="12" r:id="rId14"/>
    <sheet state="visible" name="CreateDoneAwayOrder" sheetId="13" r:id="rId15"/>
    <sheet state="visible" name="EditOrder" sheetId="14" r:id="rId16"/>
    <sheet state="visible" name="CreateReplaceOrder" sheetId="15" r:id="rId17"/>
    <sheet state="visible" name="GetDataAllocation" sheetId="16" r:id="rId18"/>
    <sheet state="visible" name="CheckAllocatedGroups" sheetId="17" r:id="rId19"/>
  </sheets>
  <definedNames/>
  <calcPr/>
</workbook>
</file>

<file path=xl/sharedStrings.xml><?xml version="1.0" encoding="utf-8"?>
<sst xmlns="http://schemas.openxmlformats.org/spreadsheetml/2006/main" count="145" uniqueCount="50">
  <si>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</si>
  <si>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</si>
  <si>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</si>
  <si>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</si>
  <si>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</si>
  <si>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</si>
  <si>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</si>
  <si>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</si>
  <si>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</si>
  <si>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</si>
  <si>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</si>
  <si>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</si>
  <si>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</si>
  <si>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</si>
  <si>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</si>
  <si>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</si>
  <si>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IBM</t>
  </si>
  <si>
    <t>DoneAway</t>
  </si>
  <si>
    <t>Buy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</si>
  <si>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</si>
  <si>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</si>
  <si>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</si>
  <si>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</si>
  <si>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</si>
  <si>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</si>
  <si>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</si>
  <si>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</si>
  <si>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</si>
  <si>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</si>
  <si>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</si>
  <si>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</si>
  <si>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</si>
  <si>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TradeNewSubOrder</t>
  </si>
  <si>
    <t>CreateDoneAwayOrder</t>
  </si>
  <si>
    <t>EditOrder</t>
  </si>
  <si>
    <t>CreateReplaceOrder</t>
  </si>
  <si>
    <t>Allocation</t>
  </si>
  <si>
    <t>GetDataAllocation</t>
  </si>
  <si>
    <t>Current</t>
  </si>
  <si>
    <t>CheckAllocatedGroups</t>
  </si>
  <si>
    <t>Manual</t>
  </si>
  <si>
    <t>Equity</t>
  </si>
  <si>
    <t>MS</t>
  </si>
  <si>
    <t>Open</t>
  </si>
  <si>
    <t>NYSE</t>
  </si>
  <si>
    <t>M</t>
  </si>
  <si>
    <t>jpearce</t>
  </si>
  <si>
    <t>NASDAQ</t>
  </si>
  <si>
    <t>NONE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</si>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</sst>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Z6" s="31">
        <f>TODAY()-1</f>
        <v>45825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45825</v>
      </c>
      <c r="C6" s="34">
        <f>TODAY()</f>
        <v>45826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50000.0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5000.0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 t="str">
        <f>IFERROR(__xludf.DUMMYFUNCTION("""COMPUTED_VALUE"""),"VerifyPopupCashValue")</f>
        <v>VerifyPopupCashValue</v>
      </c>
      <c r="H5" s="28" t="str">
        <f>IFERROR(__xludf.DUMMYFUNCTION("""COMPUTED_VALUE"""),"AllowPopup")</f>
        <v>AllowPopup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 t="str">
        <f>IFERROR(__xludf.DUMMYFUNCTION("""COMPUTED_VALUE"""),"CreateOrViewModelPortfolio")</f>
        <v>CreateOrViewModelPortfolio</v>
      </c>
      <c r="AG4" s="26" t="str">
        <f>IFERROR(__xludf.DUMMYFUNCTION("""COMPUTED_VALUE"""),"VerifyModelPortfolio")</f>
        <v>VerifyModelPortfolio</v>
      </c>
      <c r="AH4" s="26" t="str">
        <f>IFERROR(__xludf.DUMMYFUNCTION("""COMPUTED_VALUE"""),"VerifyTradeListSummary")</f>
        <v>VerifyTradeListSummary</v>
      </c>
      <c r="AI4" s="26" t="str">
        <f>IFERROR(__xludf.DUMMYFUNCTION("""COMPUTED_VALUE"""),"ActionOnTBSListSummary")</f>
        <v>ActionOnTBSListSummary</v>
      </c>
      <c r="AJ4" s="26" t="str">
        <f>IFERROR(__xludf.DUMMYFUNCTION("""COMPUTED_VALUE"""),"VerifyTLOSideSummary")</f>
        <v>VerifyTLOSideSummary</v>
      </c>
      <c r="AK4" s="26" t="str">
        <f>IFERROR(__xludf.DUMMYFUNCTION("""COMPUTED_VALUE"""),"SelectAndVerifyTradeList")</f>
        <v>SelectAndVerifyTradeList</v>
      </c>
      <c r="AL4" s="26" t="str">
        <f>IFERROR(__xludf.DUMMYFUNCTION("""COMPUTED_VALUE"""),"ActionOnTradeBuySellListView")</f>
        <v>ActionOnTradeBuySellListView</v>
      </c>
      <c r="AM4" s="26" t="str">
        <f>IFERROR(__xludf.DUMMYFUNCTION("""COMPUTED_VALUE"""),"ImportOnRB")</f>
        <v>ImportOnRB</v>
      </c>
      <c r="AN4" s="26" t="str">
        <f>IFERROR(__xludf.DUMMYFUNCTION("""COMPUTED_VALUE"""),"VerifyImportGridRBForInvalidSec")</f>
        <v>VerifyImportGridRBForInvalidSec</v>
      </c>
      <c r="AO4" s="26" t="str">
        <f>IFERROR(__xludf.DUMMYFUNCTION("""COMPUTED_VALUE"""),"VerifyImportGridRBForValidSec")</f>
        <v>VerifyImportGridRBForValidSec</v>
      </c>
      <c r="AP4" s="26" t="str">
        <f>IFERROR(__xludf.DUMMYFUNCTION("""COMPUTED_VALUE"""),"ActionOnRSAImportGrid")</f>
        <v>ActionOnRSAImportGrid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IFERROR(__xludf.DUMMYFUNCTION("""COMPUTED_VALUE"""),"SendToStaging")</f>
        <v>SendToStaging</v>
      </c>
      <c r="J5" s="28" t="str">
        <f>IFERROR(__xludf.DUMMYFUNCTION("""COMPUTED_VALUE"""),"Use Custodian Broker")</f>
        <v>Use Custodian Broker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23</v>
      </c>
      <c r="C6" s="37" t="s">
        <v>18</v>
      </c>
      <c r="D6" s="38" t="s">
        <v>16</v>
      </c>
      <c r="E6" s="13">
        <v>10.0</v>
      </c>
      <c r="F6" s="13">
        <v>10.0</v>
      </c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10.0</v>
      </c>
      <c r="E6" s="13">
        <v>5.0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20.0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13">
        <v>5.0</v>
      </c>
      <c r="F6" s="13" t="s">
        <v>40</v>
      </c>
      <c r="G6" s="13" t="s">
        <v>41</v>
      </c>
      <c r="H6" s="13">
        <v>0.0</v>
      </c>
      <c r="I6" s="13">
        <v>0.0</v>
      </c>
      <c r="J6" s="13">
        <v>15.0</v>
      </c>
      <c r="K6" s="13">
        <v>10.0</v>
      </c>
      <c r="L6" s="13">
        <v>10.0</v>
      </c>
      <c r="M6" s="8"/>
      <c r="N6" s="8"/>
      <c r="O6" s="13" t="s">
        <v>42</v>
      </c>
      <c r="S6" s="9" t="s">
        <v>43</v>
      </c>
      <c r="Z6" s="9" t="s">
        <v>24</v>
      </c>
      <c r="AD6" s="9" t="s">
        <v>44</v>
      </c>
      <c r="AE6" s="9">
        <v>5.0</v>
      </c>
      <c r="AH6" s="9" t="s">
        <v>45</v>
      </c>
      <c r="AI6" s="9">
        <v>1.0</v>
      </c>
      <c r="AR6" s="9" t="b">
        <v>1</v>
      </c>
      <c r="AT6" s="9">
        <v>51.01</v>
      </c>
      <c r="AU6" s="9">
        <v>51.01</v>
      </c>
      <c r="BE6" s="9">
        <v>50.0</v>
      </c>
      <c r="BF6" s="9">
        <v>50.0</v>
      </c>
      <c r="BJ6" s="9">
        <v>10.0</v>
      </c>
      <c r="BM6" s="9" t="s">
        <v>24</v>
      </c>
      <c r="BO6" s="9" t="s">
        <v>18</v>
      </c>
      <c r="BT6" s="9" t="s">
        <v>16</v>
      </c>
      <c r="CH6" s="9" t="s">
        <v>25</v>
      </c>
      <c r="CN6" s="9" t="s">
        <v>46</v>
      </c>
      <c r="CO6" s="9" t="s">
        <v>47</v>
      </c>
      <c r="CP6" s="9" t="s">
        <v>48</v>
      </c>
      <c r="CX6" s="9" t="s">
        <v>49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13"/>
      <c r="I8" s="8"/>
      <c r="J8" s="13"/>
      <c r="K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