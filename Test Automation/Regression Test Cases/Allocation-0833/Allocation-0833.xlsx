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opyCalculatedPreferences" sheetId="6" r:id="rId8"/>
    <sheet state="visible" name="ImportCalculatedPreferences" sheetId="7" r:id="rId9"/>
    <sheet state="visible" name="ExportCalculatedPreference" sheetId="8" r:id="rId10"/>
    <sheet state="visible" name="CreateDoneAwayOrder" sheetId="9" r:id="rId11"/>
    <sheet state="visible" name="RunProrata" sheetId="10" r:id="rId12"/>
    <sheet state="visible" name="GetFixedPreference" sheetId="11" r:id="rId13"/>
    <sheet state="visible" name="CheckFixedPreference" sheetId="12" r:id="rId14"/>
    <sheet state="visible" name="DeleteFixedPreference" sheetId="13" r:id="rId15"/>
  </sheets>
  <definedNames/>
  <calcPr/>
</workbook>
</file>

<file path=xl/sharedStrings.xml><?xml version="1.0" encoding="utf-8"?>
<sst xmlns="http://schemas.openxmlformats.org/spreadsheetml/2006/main" count="102" uniqueCount="36">
  <si>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</si>
  <si>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</si>
  <si>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</si>
  <si>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</si>
  <si>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</si>
  <si>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</si>
  <si>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</si>
  <si>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</si>
  <si>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</si>
  <si>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</si>
  <si>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</si>
  <si>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</si>
  <si>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</si>
  <si>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</si>
  <si>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</si>
  <si>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</si>
  <si>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ABC</t>
  </si>
  <si>
    <t>SetAccountValueCalculatedPref</t>
  </si>
  <si>
    <t>Allocation1</t>
  </si>
  <si>
    <t>Allocation2</t>
  </si>
  <si>
    <t>CopyCalculatedPreferences</t>
  </si>
  <si>
    <t>ABCD</t>
  </si>
  <si>
    <t>ImportCalculatedPreferences</t>
  </si>
  <si>
    <t>\\192.168.2.108\DistributedAutomation_Master\Import Cases\Preferences\Pref1.npref</t>
  </si>
  <si>
    <t>ExportCalculatedPreference</t>
  </si>
  <si>
    <t>\\192.168.2.108\DistributedAutomation_Master\Import Cases\Preferences</t>
  </si>
  <si>
    <t>TradingTicket</t>
  </si>
  <si>
    <t>CreateDoneAwayOrder</t>
  </si>
  <si>
    <t>MSFT</t>
  </si>
  <si>
    <t>Buy</t>
  </si>
  <si>
    <t>RunProrata</t>
  </si>
  <si>
    <t>GetFixedPreference</t>
  </si>
  <si>
    <t>Positions</t>
  </si>
  <si>
    <t>CheckFixedPreference</t>
  </si>
  <si>
    <t>Symbol</t>
  </si>
  <si>
    <t>DeleteFixedPreference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</si>
</sst>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IFERROR(__xludf.DUMMYFUNCTION("""COMPUTED_VALUE"""),"CopyFromPreference")</f>
        <v>CopyFromPreference</v>
      </c>
      <c r="C5" s="28" t="str">
        <f>IFERROR(__xludf.DUMMYFUNCTION("""COMPUTED_VALUE"""),"NewPreferenceName")</f>
        <v>NewPreferenceName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CopyCalculatedPreferences!$4:$4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IFERROR(__xludf.DUMMYFUNCTION("""COMPUTED_VALUE"""),"ImportFilePath")</f>
        <v>ImportFilePath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IFERROR(__xludf.DUMMYFUNCTION("""COMPUTED_VALUE"""),"ExportFolderPath")</f>
        <v>ExportFolderPath</v>
      </c>
      <c r="C5" s="28" t="str">
        <f>IFERROR(__xludf.DUMMYFUNCTION("""COMPUTED_VALUE"""),"PreferenceName")</f>
        <v>PreferenceName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32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ExportCalculatedPreference!$4:$4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28</v>
      </c>
      <c r="C6" s="35" t="s">
        <v>29</v>
      </c>
      <c r="D6" s="36">
        <v>1000.0</v>
      </c>
      <c r="E6" s="37">
        <v>1000.0</v>
      </c>
      <c r="F6" s="35" t="s">
        <v>19</v>
      </c>
      <c r="G6" s="38"/>
      <c r="H6" s="38"/>
      <c r="I6" s="38"/>
      <c r="J6" s="37">
        <v>200.0</v>
      </c>
      <c r="K6" s="38"/>
      <c r="L6" s="38"/>
      <c r="M6" s="38"/>
      <c r="N6" s="39">
        <f t="shared" ref="N6:N7" si="1">today()-1</f>
        <v>45837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5" t="s">
        <v>28</v>
      </c>
      <c r="C7" s="35" t="s">
        <v>29</v>
      </c>
      <c r="D7" s="37">
        <v>150.0</v>
      </c>
      <c r="E7" s="37">
        <v>150.0</v>
      </c>
      <c r="F7" s="35" t="s">
        <v>19</v>
      </c>
      <c r="G7" s="38"/>
      <c r="H7" s="38"/>
      <c r="I7" s="38"/>
      <c r="J7" s="37">
        <v>200.0</v>
      </c>
      <c r="K7" s="38"/>
      <c r="L7" s="38"/>
      <c r="M7" s="38"/>
      <c r="N7" s="39">
        <f t="shared" si="1"/>
        <v>45837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</f>
        <v>45838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IFERROR(__xludf.DUMMYFUNCTION("""COMPUTED_VALUE"""),"Ticker Symbol")</f>
        <v>Ticker Symbol</v>
      </c>
      <c r="D5" s="28" t="str">
        <f>IFERROR(__xludf.DUMMYFUNCTION("""COMPUTED_VALUE"""),"Description")</f>
        <v>Description</v>
      </c>
      <c r="E5" s="28" t="str">
        <f>IFERROR(__xludf.DUMMYFUNCTION("""COMPUTED_VALUE"""),"Sedol Symbol")</f>
        <v>Sedol Symbol</v>
      </c>
      <c r="F5" s="29" t="str">
        <f>IFERROR(__xludf.DUMMYFUNCTION("""COMPUTED_VALUE"""),"Bloomberg Symbol")</f>
        <v>Bloomberg Symbol</v>
      </c>
      <c r="G5" s="28" t="str">
        <f>IFERROR(__xludf.DUMMYFUNCTION("""COMPUTED_VALUE"""),"Side")</f>
        <v>Side</v>
      </c>
      <c r="H5" s="28" t="str">
        <f>IFERROR(__xludf.DUMMYFUNCTION("""COMPUTED_VALUE"""),"Quantity")</f>
        <v>Quantity</v>
      </c>
      <c r="I5" s="28" t="str">
        <f>IFERROR(__xludf.DUMMYFUNCTION("""COMPUTED_VALUE"""),"Total Quantity")</f>
        <v>Total Quantity</v>
      </c>
      <c r="J5" s="28" t="str">
        <f>IFERROR(__xludf.DUMMYFUNCTION("""COMPUTED_VALUE"""),"Allocation %")</f>
        <v>Allocation %</v>
      </c>
      <c r="K5" s="28" t="str">
        <f>IFERROR(__xludf.DUMMYFUNCTION("""COMPUTED_VALUE"""),"RoundLots")</f>
        <v>RoundLots</v>
      </c>
      <c r="L5" s="28" t="str">
        <f>IFERROR(__xludf.DUMMYFUNCTION("""COMPUTED_VALUE"""),"Trade Type")</f>
        <v>Trade Type</v>
      </c>
      <c r="M5" s="28" t="str">
        <f>IFERROR(__xludf.DUMMYFUNCTION("""COMPUTED_VALUE"""),"Currency")</f>
        <v>Currency</v>
      </c>
      <c r="N5" s="28" t="str">
        <f>IFERROR(__xludf.DUMMYFUNCTION("""COMPUTED_VALUE"""),"PB")</f>
        <v>PB</v>
      </c>
      <c r="O5" s="28" t="str">
        <f>IFERROR(__xludf.DUMMYFUNCTION("""COMPUTED_VALUE"""),"Allocation Scheme Key")</f>
        <v>Allocation Scheme Key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19</v>
      </c>
      <c r="C6" s="35" t="s">
        <v>28</v>
      </c>
      <c r="D6" s="33"/>
      <c r="E6" s="38"/>
      <c r="F6" s="38"/>
      <c r="G6" s="38"/>
      <c r="H6" s="37">
        <v>1150.0</v>
      </c>
      <c r="I6" s="37">
        <v>1150.0</v>
      </c>
      <c r="J6" s="37">
        <v>100.0</v>
      </c>
      <c r="K6" s="37"/>
      <c r="L6" s="38"/>
      <c r="M6" s="38"/>
      <c r="N6" s="38"/>
      <c r="O6" s="35" t="s">
        <v>34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CheckFixedPreference!$4:$4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DeleteFixedPreference!$4:$4</formula1>
    </dataValidation>
  </dataValidations>
  <drawing r:id="rId1"/>
</worksheet>
</file>