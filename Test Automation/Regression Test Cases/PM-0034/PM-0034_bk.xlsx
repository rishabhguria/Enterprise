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package.relationships+xml" Extension="rels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2.xml"/>
  <Override ContentType="application/vnd.openxmlformats-officedocument.spreadsheetml.worksheet+xml" PartName="/xl/worksheets/sheet17.xml"/>
  <Override ContentType="application/vnd.openxmlformats-officedocument.spreadsheetml.worksheet+xml" PartName="/xl/worksheets/sheet15.xml"/>
  <Override ContentType="application/vnd.openxmlformats-officedocument.spreadsheetml.worksheet+xml" PartName="/xl/worksheets/sheet2.xml"/>
  <Override ContentType="application/vnd.openxmlformats-officedocument.spreadsheetml.worksheet+xml" PartName="/xl/worksheets/sheet6.xml"/>
  <Override ContentType="application/vnd.openxmlformats-officedocument.spreadsheetml.worksheet+xml" PartName="/xl/worksheets/sheet8.xml"/>
  <Override ContentType="application/vnd.openxmlformats-officedocument.spreadsheetml.worksheet+xml" PartName="/xl/worksheets/sheet16.xml"/>
  <Override ContentType="application/vnd.openxmlformats-officedocument.spreadsheetml.worksheet+xml" PartName="/xl/worksheets/sheet5.xml"/>
  <Override ContentType="application/vnd.openxmlformats-officedocument.spreadsheetml.worksheet+xml" PartName="/xl/worksheets/sheet11.xml"/>
  <Override ContentType="application/vnd.openxmlformats-officedocument.spreadsheetml.worksheet+xml" PartName="/xl/worksheets/sheet14.xml"/>
  <Override ContentType="application/vnd.openxmlformats-officedocument.spreadsheetml.worksheet+xml" PartName="/xl/worksheets/sheet13.xml"/>
  <Override ContentType="application/vnd.openxmlformats-officedocument.spreadsheetml.worksheet+xml" PartName="/xl/worksheets/sheet1.xml"/>
  <Override ContentType="application/vnd.openxmlformats-officedocument.spreadsheetml.worksheet+xml" PartName="/xl/worksheets/sheet3.xml"/>
  <Override ContentType="application/vnd.openxmlformats-officedocument.spreadsheetml.worksheet+xml" PartName="/xl/worksheets/sheet9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13.xml"/>
  <Override ContentType="application/vnd.openxmlformats-officedocument.drawing+xml" PartName="/xl/drawings/drawing6.xml"/>
  <Override ContentType="application/vnd.openxmlformats-officedocument.drawing+xml" PartName="/xl/drawings/drawing15.xml"/>
  <Override ContentType="application/vnd.openxmlformats-officedocument.drawing+xml" PartName="/xl/drawings/drawing1.xml"/>
  <Override ContentType="application/vnd.openxmlformats-officedocument.drawing+xml" PartName="/xl/drawings/drawing12.xml"/>
  <Override ContentType="application/vnd.openxmlformats-officedocument.drawing+xml" PartName="/xl/drawings/drawing17.xml"/>
  <Override ContentType="application/vnd.openxmlformats-officedocument.drawing+xml" PartName="/xl/drawings/drawing8.xml"/>
  <Override ContentType="application/vnd.openxmlformats-officedocument.drawing+xml" PartName="/xl/drawings/drawing16.xml"/>
  <Override ContentType="application/vnd.openxmlformats-officedocument.drawing+xml" PartName="/xl/drawings/drawing3.xml"/>
  <Override ContentType="application/vnd.openxmlformats-officedocument.drawing+xml" PartName="/xl/drawings/drawing14.xml"/>
  <Override ContentType="application/vnd.openxmlformats-officedocument.drawing+xml" PartName="/xl/drawings/drawing5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1.xml"/>
  <Override ContentType="application/vnd.openxmlformats-officedocument.spreadsheetml.styles+xml" PartName="/xl/styles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_Modules" sheetId="1" r:id="rId3"/>
    <sheet state="visible" name="_Settings" sheetId="2" r:id="rId4"/>
    <sheet state="visible" name="_MasterData" sheetId="3" r:id="rId5"/>
    <sheet state="visible" name="CreateDoneAwayOrder" sheetId="4" r:id="rId6"/>
    <sheet state="visible" name="GetMarkPriceData" sheetId="5" r:id="rId7"/>
    <sheet state="visible" name="UpdateMarkPrice" sheetId="6" r:id="rId8"/>
    <sheet state="visible" name="GetMarkPriceData1" sheetId="7" r:id="rId9"/>
    <sheet state="visible" name="UpdateMarkPrice1" sheetId="8" r:id="rId10"/>
    <sheet state="visible" name="GetForexConversion" sheetId="9" r:id="rId11"/>
    <sheet state="visible" name="UpdateForexConversion" sheetId="10" r:id="rId12"/>
    <sheet state="visible" name="GetForexConversion1" sheetId="11" r:id="rId13"/>
    <sheet state="visible" name="UpdateForexConversion1" sheetId="12" r:id="rId14"/>
    <sheet state="visible" name="PricingInput" sheetId="13" r:id="rId15"/>
    <sheet state="visible" name="GetDataClosing" sheetId="14" r:id="rId16"/>
    <sheet state="visible" name="AutomaticClosing" sheetId="15" r:id="rId17"/>
    <sheet state="visible" name="GetDayEndCash" sheetId="16" r:id="rId18"/>
    <sheet state="visible" name="CheckPortfolioManagement" sheetId="17" r:id="rId19"/>
  </sheets>
  <definedNames/>
  <calcPr/>
</workbook>
</file>

<file path=xl/sharedStrings.xml><?xml version="1.0" encoding="utf-8"?>
<sst xmlns="http://schemas.openxmlformats.org/spreadsheetml/2006/main" count="210" uniqueCount="64">
  <si>
    <t>Master Data Info</t>
  </si>
  <si>
    <t>Modules Info</t>
  </si>
  <si>
    <t>Settings</t>
  </si>
  <si>
    <t>Module</t>
  </si>
  <si>
    <t>Modules</t>
  </si>
  <si>
    <t>Module Step Setting File</t>
  </si>
  <si>
    <t>Step</t>
  </si>
  <si>
    <t>1sG6uB28jAaiyaldDeMtbboQN41jJ2tAmE2rg6U9qH5o</t>
  </si>
  <si>
    <t>Master Data Sheet</t>
  </si>
  <si>
    <t>Master Data Settings File</t>
  </si>
  <si>
    <t>1hEhI9rg16D4Xvfk19pDaFUFF78jjfIG29BBaNg8kT0A</t>
  </si>
  <si>
    <t>Data</t>
  </si>
  <si>
    <t>DailyValuation</t>
  </si>
  <si>
    <t>TradingTicket</t>
  </si>
  <si>
    <t>GetMarkPriceData</t>
  </si>
  <si>
    <t>Data Format</t>
  </si>
  <si>
    <t>CreateDoneAwayOrder</t>
  </si>
  <si>
    <t>Input Format</t>
  </si>
  <si>
    <t>KGDFUT</t>
  </si>
  <si>
    <t>Buy</t>
  </si>
  <si>
    <t>Allocation1</t>
  </si>
  <si>
    <t>Flat Amount</t>
  </si>
  <si>
    <t>NQ Z7</t>
  </si>
  <si>
    <t xml:space="preserve">Buy </t>
  </si>
  <si>
    <t>Allocation2</t>
  </si>
  <si>
    <t>Sell</t>
  </si>
  <si>
    <t>UpdateMarkPrice</t>
  </si>
  <si>
    <t>GetForexConversion</t>
  </si>
  <si>
    <t>UpdateForexConversion</t>
  </si>
  <si>
    <t>TRY</t>
  </si>
  <si>
    <t>USD</t>
  </si>
  <si>
    <t>USD AO-FX</t>
  </si>
  <si>
    <t>PricingInput</t>
  </si>
  <si>
    <t>closing</t>
  </si>
  <si>
    <t>GetDataClosing</t>
  </si>
  <si>
    <t>Closing</t>
  </si>
  <si>
    <t>AutomaticClosing</t>
  </si>
  <si>
    <t>Historical</t>
  </si>
  <si>
    <t>Allocation1,Allocation2</t>
  </si>
  <si>
    <t>FIFO</t>
  </si>
  <si>
    <t>None</t>
  </si>
  <si>
    <t>Default</t>
  </si>
  <si>
    <t>GeneralLedger</t>
  </si>
  <si>
    <t>GetDayEndCash</t>
  </si>
  <si>
    <t>NewMF,NewMF1</t>
  </si>
  <si>
    <t>PortfolioManagement</t>
  </si>
  <si>
    <t>CheckPortfolioManagement</t>
  </si>
  <si>
    <t>NewMF</t>
  </si>
  <si>
    <t>Long</t>
  </si>
  <si>
    <t>FIMAT</t>
  </si>
  <si>
    <t>Strategy Unallocated</t>
  </si>
  <si>
    <t>Future</t>
  </si>
  <si>
    <t>AsiaXJapan</t>
  </si>
  <si>
    <t>HKG</t>
  </si>
  <si>
    <t>HKD</t>
  </si>
  <si>
    <t/>
  </si>
  <si>
    <t>BrokerNotes</t>
  </si>
  <si>
    <t>DefaultNotes</t>
  </si>
  <si>
    <t>Undefined</t>
  </si>
  <si>
    <t>jpearce</t>
  </si>
  <si>
    <t>MS</t>
  </si>
  <si>
    <t>User Defined</t>
  </si>
  <si>
    <t>UK</t>
  </si>
  <si>
    <t>Yes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</si>
</sst>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6">
    <font>
      <sz val="10.0"/>
      <color rgb="FF000000"/>
      <name val="Arial"/>
    </font>
    <font>
      <b/>
      <sz val="14.0"/>
      <color rgb="FFFFFFFF"/>
      <name val="Calibri"/>
    </font>
    <font/>
    <font>
      <sz val="14.0"/>
      <color rgb="FFFFFFFF"/>
      <name val="Calibri"/>
    </font>
    <font>
      <name val="Arial"/>
    </font>
    <font>
      <name val="Calibri"/>
    </font>
    <font>
      <b/>
      <color rgb="FFFFFFFF"/>
      <name val="Calibri"/>
    </font>
    <font>
      <b/>
      <color rgb="FFFFFFFF"/>
      <name val="Arial"/>
    </font>
    <font>
      <b/>
      <color rgb="FFFFFFFF"/>
    </font>
    <font>
      <color rgb="FFFFFFFF"/>
      <name val="Calibri"/>
    </font>
    <font>
      <color rgb="FFFFFFFF"/>
    </font>
    <font>
      <color rgb="FFD9D9D9"/>
      <name val="Calibri"/>
    </font>
    <font>
      <color rgb="FFD9D9D9"/>
    </font>
    <font>
      <color rgb="FF000000"/>
      <name val="Arial"/>
    </font>
    <font>
      <sz val="11.0"/>
      <name val="Calibri"/>
    </font>
    <font>
      <sz val="11.0"/>
      <color rgb="FF000000"/>
      <name val="Calibri"/>
    </font>
  </fonts>
  <fills count="7">
    <fill>
      <patternFill patternType="none"/>
    </fill>
    <fill>
      <patternFill patternType="lightGray"/>
    </fill>
    <fill>
      <patternFill patternType="solid">
        <fgColor rgb="FF5B0F00"/>
        <bgColor rgb="FF5B0F00"/>
      </patternFill>
    </fill>
    <fill>
      <patternFill patternType="solid">
        <fgColor rgb="FF000000"/>
        <bgColor rgb="FF000000"/>
      </patternFill>
    </fill>
    <fill>
      <patternFill patternType="solid">
        <fgColor rgb="FFD9D9D9"/>
        <bgColor rgb="FFD9D9D9"/>
      </patternFill>
    </fill>
    <fill>
      <patternFill patternType="solid">
        <fgColor rgb="FF666666"/>
        <bgColor rgb="FF666666"/>
      </patternFill>
    </fill>
    <fill>
      <patternFill patternType="solid">
        <fgColor rgb="FFFFFFFF"/>
        <bgColor rgb="FFFFFFFF"/>
      </patternFill>
    </fill>
  </fills>
  <borders count="6">
    <border/>
    <border>
      <left/>
      <top/>
      <bottom/>
    </border>
    <border>
      <top/>
      <bottom/>
    </border>
    <border>
      <right/>
      <top/>
      <bottom/>
    </border>
    <border>
      <left/>
      <right/>
      <top/>
      <bottom/>
    </border>
    <border>
      <top/>
    </border>
  </borders>
  <cellStyleXfs count="1">
    <xf borderId="0" fillId="0" fontId="0" numFmtId="0" applyAlignment="1" applyFont="1"/>
  </cellStyleXfs>
  <cellXfs count="74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readingOrder="0" shrinkToFit="0" wrapText="0"/>
    </xf>
    <xf borderId="1" fillId="2" fontId="1" numFmtId="0" xfId="0" applyAlignment="1" applyBorder="1" applyFont="1">
      <alignment horizontal="center" shrinkToFit="0" wrapText="0"/>
    </xf>
    <xf borderId="2" fillId="0" fontId="2" numFmtId="0" xfId="0" applyBorder="1" applyFont="1"/>
    <xf borderId="1" fillId="2" fontId="3" numFmtId="0" xfId="0" applyAlignment="1" applyBorder="1" applyFont="1">
      <alignment horizontal="center" shrinkToFit="0" wrapText="0"/>
    </xf>
    <xf borderId="3" fillId="0" fontId="2" numFmtId="0" xfId="0" applyBorder="1" applyFont="1"/>
    <xf borderId="0" fillId="0" fontId="4" numFmtId="0" xfId="0" applyAlignment="1" applyFont="1">
      <alignment shrinkToFit="0" wrapText="0"/>
    </xf>
    <xf borderId="0" fillId="0" fontId="5" numFmtId="0" xfId="0" applyAlignment="1" applyFont="1">
      <alignment shrinkToFit="0" wrapText="0"/>
    </xf>
    <xf borderId="4" fillId="3" fontId="6" numFmtId="0" xfId="0" applyAlignment="1" applyBorder="1" applyFill="1" applyFont="1">
      <alignment readingOrder="0" shrinkToFit="0" wrapText="0"/>
    </xf>
    <xf borderId="4" fillId="3" fontId="6" numFmtId="0" xfId="0" applyAlignment="1" applyBorder="1" applyFont="1">
      <alignment shrinkToFit="0" wrapText="0"/>
    </xf>
    <xf borderId="4" fillId="3" fontId="7" numFmtId="0" xfId="0" applyAlignment="1" applyBorder="1" applyFont="1">
      <alignment readingOrder="0" shrinkToFit="0" wrapText="0"/>
    </xf>
    <xf borderId="4" fillId="3" fontId="7" numFmtId="0" xfId="0" applyAlignment="1" applyBorder="1" applyFont="1">
      <alignment shrinkToFit="0" wrapText="0"/>
    </xf>
    <xf borderId="4" fillId="3" fontId="4" numFmtId="0" xfId="0" applyAlignment="1" applyBorder="1" applyFont="1">
      <alignment readingOrder="0" shrinkToFit="0" wrapText="0"/>
    </xf>
    <xf borderId="0" fillId="0" fontId="8" numFmtId="0" xfId="0" applyFont="1"/>
    <xf borderId="4" fillId="3" fontId="4" numFmtId="0" xfId="0" applyAlignment="1" applyBorder="1" applyFont="1">
      <alignment shrinkToFit="0" wrapText="0"/>
    </xf>
    <xf borderId="0" fillId="0" fontId="5" numFmtId="0" xfId="0" applyAlignment="1" applyFont="1">
      <alignment readingOrder="0" shrinkToFit="0" wrapText="0"/>
    </xf>
    <xf borderId="4" fillId="3" fontId="9" numFmtId="0" xfId="0" applyAlignment="1" applyBorder="1" applyFont="1">
      <alignment shrinkToFit="0" wrapText="0"/>
    </xf>
    <xf borderId="0" fillId="2" fontId="1" numFmtId="0" xfId="0" applyAlignment="1" applyFont="1">
      <alignment horizontal="center" shrinkToFit="0" wrapText="0"/>
    </xf>
    <xf borderId="0" fillId="2" fontId="2" numFmtId="0" xfId="0" applyFont="1"/>
    <xf borderId="0" fillId="0" fontId="9" numFmtId="0" xfId="0" applyAlignment="1" applyFont="1">
      <alignment shrinkToFit="0" wrapText="0"/>
    </xf>
    <xf borderId="0" fillId="3" fontId="6" numFmtId="0" xfId="0" applyAlignment="1" applyFont="1">
      <alignment shrinkToFit="0" wrapText="0"/>
    </xf>
    <xf borderId="4" fillId="3" fontId="9" numFmtId="0" xfId="0" applyAlignment="1" applyBorder="1" applyFont="1">
      <alignment readingOrder="0" shrinkToFit="0" wrapText="0"/>
    </xf>
    <xf borderId="0" fillId="3" fontId="10" numFmtId="0" xfId="0" applyFont="1"/>
    <xf borderId="0" fillId="4" fontId="11" numFmtId="0" xfId="0" applyAlignment="1" applyFill="1" applyFont="1">
      <alignment shrinkToFit="0" wrapText="0"/>
    </xf>
    <xf borderId="0" fillId="4" fontId="12" numFmtId="0" xfId="0" applyFont="1"/>
    <xf borderId="0" fillId="5" fontId="6" numFmtId="0" xfId="0" applyAlignment="1" applyFill="1" applyFont="1">
      <alignment shrinkToFit="0" wrapText="0"/>
    </xf>
    <xf borderId="4" fillId="5" fontId="6" numFmtId="0" xfId="0" applyAlignment="1" applyBorder="1" applyFont="1">
      <alignment shrinkToFit="0" wrapText="0"/>
    </xf>
    <xf borderId="4" fillId="5" fontId="6" numFmtId="0" xfId="0" applyAlignment="1" applyBorder="1" applyFont="1">
      <alignment readingOrder="0" shrinkToFit="0" wrapText="0"/>
    </xf>
    <xf borderId="0" fillId="5" fontId="10" numFmtId="0" xfId="0" applyFont="1"/>
    <xf borderId="0" fillId="0" fontId="5" numFmtId="14" xfId="0" applyAlignment="1" applyFont="1" applyNumberFormat="1">
      <alignment readingOrder="0" shrinkToFit="0" wrapText="0"/>
    </xf>
    <xf borderId="0" fillId="0" fontId="5" numFmtId="14" xfId="0" applyAlignment="1" applyFont="1" applyNumberFormat="1">
      <alignment shrinkToFit="0" wrapText="0"/>
    </xf>
    <xf borderId="0" fillId="0" fontId="5" numFmtId="0" xfId="0" applyAlignment="1" applyFont="1">
      <alignment readingOrder="0" shrinkToFit="0" wrapText="0"/>
    </xf>
    <xf borderId="0" fillId="0" fontId="4" numFmtId="0" xfId="0" applyAlignment="1" applyFont="1">
      <alignment vertical="bottom"/>
    </xf>
    <xf borderId="0" fillId="0" fontId="4" numFmtId="0" xfId="0" applyAlignment="1" applyFont="1">
      <alignment vertical="bottom"/>
    </xf>
    <xf borderId="0" fillId="0" fontId="4" numFmtId="0" xfId="0" applyAlignment="1" applyFont="1">
      <alignment horizontal="right" vertical="bottom"/>
    </xf>
    <xf borderId="0" fillId="0" fontId="4" numFmtId="0" xfId="0" applyAlignment="1" applyFont="1">
      <alignment horizontal="right" vertical="bottom"/>
    </xf>
    <xf borderId="0" fillId="0" fontId="4" numFmtId="14" xfId="0" applyAlignment="1" applyFont="1" applyNumberFormat="1">
      <alignment vertical="bottom"/>
    </xf>
    <xf borderId="0" fillId="0" fontId="2" numFmtId="0" xfId="0" applyAlignment="1" applyFont="1">
      <alignment readingOrder="0"/>
    </xf>
    <xf borderId="0" fillId="6" fontId="13" numFmtId="14" xfId="0" applyAlignment="1" applyFill="1" applyFont="1" applyNumberFormat="1">
      <alignment vertical="bottom"/>
    </xf>
    <xf borderId="0" fillId="6" fontId="13" numFmtId="0" xfId="0" applyAlignment="1" applyFont="1">
      <alignment vertical="bottom"/>
    </xf>
    <xf borderId="0" fillId="6" fontId="13" numFmtId="0" xfId="0" applyAlignment="1" applyFont="1">
      <alignment vertical="bottom"/>
    </xf>
    <xf borderId="0" fillId="0" fontId="4" numFmtId="0" xfId="0" applyAlignment="1" applyFont="1">
      <alignment vertical="bottom"/>
    </xf>
    <xf borderId="5" fillId="0" fontId="4" numFmtId="0" xfId="0" applyAlignment="1" applyBorder="1" applyFont="1">
      <alignment vertical="bottom"/>
    </xf>
    <xf borderId="5" fillId="0" fontId="4" numFmtId="0" xfId="0" applyAlignment="1" applyBorder="1" applyFont="1">
      <alignment vertical="bottom"/>
    </xf>
    <xf borderId="5" fillId="0" fontId="4" numFmtId="0" xfId="0" applyAlignment="1" applyBorder="1" applyFont="1">
      <alignment horizontal="right" vertical="bottom"/>
    </xf>
    <xf borderId="5" fillId="0" fontId="5" numFmtId="0" xfId="0" applyAlignment="1" applyBorder="1" applyFont="1">
      <alignment horizontal="right" readingOrder="0" vertical="bottom"/>
    </xf>
    <xf borderId="0" fillId="0" fontId="4" numFmtId="0" xfId="0" applyAlignment="1" applyFont="1">
      <alignment vertical="bottom"/>
    </xf>
    <xf borderId="5" fillId="0" fontId="5" numFmtId="0" xfId="0" applyAlignment="1" applyBorder="1" applyFont="1">
      <alignment horizontal="center" vertical="bottom"/>
    </xf>
    <xf borderId="5" fillId="0" fontId="5" numFmtId="0" xfId="0" applyAlignment="1" applyBorder="1" applyFont="1">
      <alignment horizontal="center" vertical="bottom"/>
    </xf>
    <xf borderId="5" fillId="0" fontId="5" numFmtId="0" xfId="0" applyAlignment="1" applyBorder="1" applyFont="1">
      <alignment vertical="bottom"/>
    </xf>
    <xf borderId="5" fillId="0" fontId="5" numFmtId="0" xfId="0" applyAlignment="1" applyBorder="1" applyFont="1">
      <alignment vertical="bottom"/>
    </xf>
    <xf borderId="0" fillId="2" fontId="1" numFmtId="4" xfId="0" applyAlignment="1" applyFont="1" applyNumberFormat="1">
      <alignment horizontal="center" shrinkToFit="0" wrapText="0"/>
    </xf>
    <xf borderId="1" fillId="2" fontId="1" numFmtId="4" xfId="0" applyAlignment="1" applyBorder="1" applyFont="1" applyNumberFormat="1">
      <alignment horizontal="center" shrinkToFit="0" wrapText="0"/>
    </xf>
    <xf borderId="5" fillId="0" fontId="5" numFmtId="14" xfId="0" applyAlignment="1" applyBorder="1" applyFont="1" applyNumberFormat="1">
      <alignment horizontal="right" vertical="bottom"/>
    </xf>
    <xf borderId="0" fillId="2" fontId="2" numFmtId="4" xfId="0" applyFont="1" applyNumberFormat="1"/>
    <xf borderId="0" fillId="0" fontId="5" numFmtId="4" xfId="0" applyAlignment="1" applyFont="1" applyNumberFormat="1">
      <alignment shrinkToFit="0" wrapText="0"/>
    </xf>
    <xf borderId="0" fillId="0" fontId="9" numFmtId="4" xfId="0" applyAlignment="1" applyFont="1" applyNumberFormat="1">
      <alignment shrinkToFit="0" wrapText="0"/>
    </xf>
    <xf borderId="0" fillId="0" fontId="2" numFmtId="4" xfId="0" applyFont="1" applyNumberFormat="1"/>
    <xf borderId="0" fillId="3" fontId="6" numFmtId="4" xfId="0" applyAlignment="1" applyFont="1" applyNumberFormat="1">
      <alignment shrinkToFit="0" wrapText="0"/>
    </xf>
    <xf borderId="4" fillId="3" fontId="6" numFmtId="4" xfId="0" applyAlignment="1" applyBorder="1" applyFont="1" applyNumberFormat="1">
      <alignment shrinkToFit="0" wrapText="0"/>
    </xf>
    <xf borderId="4" fillId="3" fontId="9" numFmtId="4" xfId="0" applyAlignment="1" applyBorder="1" applyFont="1" applyNumberFormat="1">
      <alignment readingOrder="0" shrinkToFit="0" wrapText="0"/>
    </xf>
    <xf borderId="4" fillId="3" fontId="9" numFmtId="4" xfId="0" applyAlignment="1" applyBorder="1" applyFont="1" applyNumberFormat="1">
      <alignment shrinkToFit="0" wrapText="0"/>
    </xf>
    <xf borderId="0" fillId="3" fontId="10" numFmtId="4" xfId="0" applyFont="1" applyNumberFormat="1"/>
    <xf borderId="0" fillId="4" fontId="11" numFmtId="4" xfId="0" applyAlignment="1" applyFont="1" applyNumberFormat="1">
      <alignment shrinkToFit="0" wrapText="0"/>
    </xf>
    <xf borderId="0" fillId="4" fontId="12" numFmtId="4" xfId="0" applyFont="1" applyNumberFormat="1"/>
    <xf borderId="0" fillId="5" fontId="6" numFmtId="4" xfId="0" applyAlignment="1" applyFont="1" applyNumberFormat="1">
      <alignment shrinkToFit="0" wrapText="0"/>
    </xf>
    <xf borderId="4" fillId="5" fontId="6" numFmtId="4" xfId="0" applyAlignment="1" applyBorder="1" applyFont="1" applyNumberFormat="1">
      <alignment shrinkToFit="0" wrapText="0"/>
    </xf>
    <xf borderId="4" fillId="5" fontId="6" numFmtId="4" xfId="0" applyAlignment="1" applyBorder="1" applyFont="1" applyNumberFormat="1">
      <alignment readingOrder="0" shrinkToFit="0" wrapText="0"/>
    </xf>
    <xf borderId="0" fillId="5" fontId="10" numFmtId="4" xfId="0" applyFont="1" applyNumberFormat="1"/>
    <xf borderId="0" fillId="0" fontId="5" numFmtId="4" xfId="0" applyAlignment="1" applyFont="1" applyNumberFormat="1">
      <alignment readingOrder="0" shrinkToFit="0" wrapText="0"/>
    </xf>
    <xf borderId="0" fillId="0" fontId="14" numFmtId="4" xfId="0" applyAlignment="1" applyFont="1" applyNumberFormat="1">
      <alignment vertical="bottom"/>
    </xf>
    <xf borderId="0" fillId="0" fontId="15" numFmtId="4" xfId="0" applyAlignment="1" applyFont="1" applyNumberFormat="1">
      <alignment horizontal="right" vertical="bottom"/>
    </xf>
    <xf borderId="0" fillId="0" fontId="15" numFmtId="4" xfId="0" applyAlignment="1" applyFont="1" applyNumberFormat="1">
      <alignment horizontal="right" readingOrder="0" vertical="bottom"/>
    </xf>
    <xf borderId="0" fillId="0" fontId="14" numFmtId="4" xfId="0" applyAlignment="1" applyFont="1" applyNumberFormat="1">
      <alignment horizontal="center"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1" Type="http://schemas.openxmlformats.org/officeDocument/2006/relationships/worksheet" Target="worksheets/sheet9.xml"/><Relationship Id="rId10" Type="http://schemas.openxmlformats.org/officeDocument/2006/relationships/worksheet" Target="worksheets/sheet8.xml"/><Relationship Id="rId13" Type="http://schemas.openxmlformats.org/officeDocument/2006/relationships/worksheet" Target="worksheets/sheet11.xml"/><Relationship Id="rId12" Type="http://schemas.openxmlformats.org/officeDocument/2006/relationships/worksheet" Target="worksheets/sheet10.xml"/><Relationship Id="rId1" Type="http://schemas.openxmlformats.org/officeDocument/2006/relationships/styles" Target="styles.xml"/><Relationship Id="rId2" Type="http://schemas.openxmlformats.org/officeDocument/2006/relationships/sharedStrings" Target="sharedString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9" Type="http://schemas.openxmlformats.org/officeDocument/2006/relationships/worksheet" Target="worksheets/sheet7.xml"/><Relationship Id="rId15" Type="http://schemas.openxmlformats.org/officeDocument/2006/relationships/worksheet" Target="worksheets/sheet13.xml"/><Relationship Id="rId14" Type="http://schemas.openxmlformats.org/officeDocument/2006/relationships/worksheet" Target="worksheets/sheet12.xml"/><Relationship Id="rId17" Type="http://schemas.openxmlformats.org/officeDocument/2006/relationships/worksheet" Target="worksheets/sheet15.xml"/><Relationship Id="rId16" Type="http://schemas.openxmlformats.org/officeDocument/2006/relationships/worksheet" Target="worksheets/sheet14.xml"/><Relationship Id="rId5" Type="http://schemas.openxmlformats.org/officeDocument/2006/relationships/worksheet" Target="worksheets/sheet3.xml"/><Relationship Id="rId19" Type="http://schemas.openxmlformats.org/officeDocument/2006/relationships/worksheet" Target="worksheets/sheet17.xml"/><Relationship Id="rId6" Type="http://schemas.openxmlformats.org/officeDocument/2006/relationships/worksheet" Target="worksheets/sheet4.xml"/><Relationship Id="rId18" Type="http://schemas.openxmlformats.org/officeDocument/2006/relationships/worksheet" Target="worksheets/sheet16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/Relationships>
</file>

<file path=xl/drawings/_rels/drawing4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5.png"/></Relationships>
</file>

<file path=xl/drawings/_rels/drawing5.xml.rels><?xml version="1.0" encoding="UTF-8" standalone="yes"?><Relationships xmlns="http://schemas.openxmlformats.org/package/2006/relationships"><Relationship Id="rId1" Type="http://schemas.openxmlformats.org/officeDocument/2006/relationships/image" Target="../media/image3.png"/><Relationship Id="rId2" Type="http://schemas.openxmlformats.org/officeDocument/2006/relationships/image" Target="../media/image2.png"/></Relationships>
</file>

<file path=xl/drawings/_rels/drawing6.xml.rels><?xml version="1.0" encoding="UTF-8" standalone="yes"?><Relationships xmlns="http://schemas.openxmlformats.org/package/2006/relationships"><Relationship Id="rId1" Type="http://schemas.openxmlformats.org/officeDocument/2006/relationships/image" Target="../media/image4.png"/><Relationship Id="rId2" Type="http://schemas.openxmlformats.org/officeDocument/2006/relationships/image" Target="../media/image6.png"/></Relationships>
</file>

<file path=xl/drawings/_rels/drawing7.xml.rels><?xml version="1.0" encoding="UTF-8" standalone="yes"?><Relationships xmlns="http://schemas.openxmlformats.org/package/2006/relationships"><Relationship Id="rId1" Type="http://schemas.openxmlformats.org/officeDocument/2006/relationships/image" Target="../media/image7.png"/><Relationship Id="rId2" Type="http://schemas.openxmlformats.org/officeDocument/2006/relationships/image" Target="../media/image8.png"/></Relationships>
</file>

<file path=xl/drawings/_rels/drawing8.xml.rels><?xml version="1.0" encoding="UTF-8" standalone="yes"?><Relationships xmlns="http://schemas.openxmlformats.org/package/2006/relationships"><Relationship Id="rId1" Type="http://schemas.openxmlformats.org/officeDocument/2006/relationships/image" Target="../media/image9.png"/><Relationship Id="rId2" Type="http://schemas.openxmlformats.org/officeDocument/2006/relationships/image" Target="../media/image10.png"/></Relationships>
</file>

<file path=xl/drawings/_rels/drawing9.xml.rels><?xml version="1.0" encoding="UTF-8" standalone="yes"?><Relationships xmlns="http://schemas.openxmlformats.org/package/2006/relationships"><Relationship Id="rId1" Type="http://schemas.openxmlformats.org/officeDocument/2006/relationships/image" Target="../media/image11.png"/><Relationship Id="rId2" Type="http://schemas.openxmlformats.org/officeDocument/2006/relationships/image" Target="../media/image12.png"/></Relationships>
</file>

<file path=xl/drawings/_rels/drawing10.xml.rels><?xml version="1.0" encoding="UTF-8" standalone="yes"?><Relationships xmlns="http://schemas.openxmlformats.org/package/2006/relationships"><Relationship Id="rId1" Type="http://schemas.openxmlformats.org/officeDocument/2006/relationships/image" Target="../media/image13.png"/><Relationship Id="rId2" Type="http://schemas.openxmlformats.org/officeDocument/2006/relationships/image" Target="../media/image14.png"/></Relationships>
</file>

<file path=xl/drawings/_rels/drawing11.xml.rels><?xml version="1.0" encoding="UTF-8" standalone="yes"?><Relationships xmlns="http://schemas.openxmlformats.org/package/2006/relationships"><Relationship Id="rId1" Type="http://schemas.openxmlformats.org/officeDocument/2006/relationships/image" Target="../media/image15.png"/><Relationship Id="rId2" Type="http://schemas.openxmlformats.org/officeDocument/2006/relationships/image" Target="../media/image16.png"/></Relationships>
</file>

<file path=xl/drawings/_rels/drawing12.xml.rels><?xml version="1.0" encoding="UTF-8" standalone="yes"?><Relationships xmlns="http://schemas.openxmlformats.org/package/2006/relationships"><Relationship Id="rId1" Type="http://schemas.openxmlformats.org/officeDocument/2006/relationships/image" Target="../media/image17.png"/><Relationship Id="rId2" Type="http://schemas.openxmlformats.org/officeDocument/2006/relationships/image" Target="../media/image19.png"/></Relationships>
</file>

<file path=xl/drawings/_rels/drawing13.xml.rels><?xml version="1.0" encoding="UTF-8" standalone="yes"?><Relationships xmlns="http://schemas.openxmlformats.org/package/2006/relationships"><Relationship Id="rId1" Type="http://schemas.openxmlformats.org/officeDocument/2006/relationships/image" Target="../media/image18.png"/><Relationship Id="rId2" Type="http://schemas.openxmlformats.org/officeDocument/2006/relationships/image" Target="../media/image20.png"/></Relationships>
</file>

<file path=xl/drawings/_rels/drawing14.xml.rels><?xml version="1.0" encoding="UTF-8" standalone="yes"?><Relationships xmlns="http://schemas.openxmlformats.org/package/2006/relationships"><Relationship Id="rId1" Type="http://schemas.openxmlformats.org/officeDocument/2006/relationships/image" Target="../media/image22.png"/><Relationship Id="rId2" Type="http://schemas.openxmlformats.org/officeDocument/2006/relationships/image" Target="../media/image21.png"/></Relationships>
</file>

<file path=xl/drawings/_rels/drawing15.xml.rels><?xml version="1.0" encoding="UTF-8" standalone="yes"?><Relationships xmlns="http://schemas.openxmlformats.org/package/2006/relationships"><Relationship Id="rId1" Type="http://schemas.openxmlformats.org/officeDocument/2006/relationships/image" Target="../media/image23.png"/><Relationship Id="rId2" Type="http://schemas.openxmlformats.org/officeDocument/2006/relationships/image" Target="../media/image24.png"/></Relationships>
</file>

<file path=xl/drawings/_rels/drawing16.xml.rels><?xml version="1.0" encoding="UTF-8" standalone="yes"?><Relationships xmlns="http://schemas.openxmlformats.org/package/2006/relationships"><Relationship Id="rId1" Type="http://schemas.openxmlformats.org/officeDocument/2006/relationships/image" Target="../media/image25.png"/><Relationship Id="rId2" Type="http://schemas.openxmlformats.org/officeDocument/2006/relationships/image" Target="../media/image26.png"/></Relationships>
</file>

<file path=xl/drawings/_rels/drawing17.xml.rels><?xml version="1.0" encoding="UTF-8" standalone="yes"?><Relationships xmlns="http://schemas.openxmlformats.org/package/2006/relationships"><Relationship Id="rId1" Type="http://schemas.openxmlformats.org/officeDocument/2006/relationships/image" Target="../media/image27.png"/><Relationship Id="rId2" Type="http://schemas.openxmlformats.org/officeDocument/2006/relationships/image" Target="../media/image28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5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3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4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6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7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8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9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0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2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3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4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5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6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7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9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8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0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2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1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3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4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5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6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7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8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2.xml"/></Relationships>
</file>

<file path=xl/worksheets/_rels/sheet1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3.xml"/></Relationships>
</file>

<file path=xl/worksheets/_rels/sheet1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4.xml"/></Relationships>
</file>

<file path=xl/worksheets/_rels/sheet1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5.xml"/></Relationships>
</file>

<file path=xl/worksheets/_rels/sheet1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6.xml"/></Relationships>
</file>

<file path=xl/worksheets/_rels/sheet1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7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18.71"/>
    <col customWidth="1" min="2" max="2" width="26.86"/>
    <col customWidth="1" min="3" max="3" width="50.43"/>
    <col customWidth="1" min="4" max="26" width="14.43"/>
  </cols>
  <sheetData>
    <row r="1" ht="15.75" customHeight="1">
      <c r="A1" s="2" t="s">
        <v>1</v>
      </c>
      <c r="B1" s="3"/>
      <c r="C1" s="3"/>
      <c r="D1" s="3"/>
      <c r="E1" s="3"/>
      <c r="F1" s="5"/>
    </row>
    <row r="2" ht="15.75" customHeight="1">
      <c r="A2" s="6"/>
      <c r="B2" s="6"/>
      <c r="C2" s="6"/>
      <c r="D2" s="6"/>
      <c r="E2" s="6"/>
      <c r="F2" s="6"/>
    </row>
    <row r="3" ht="15.75" customHeight="1">
      <c r="A3" s="9" t="s">
        <v>4</v>
      </c>
      <c r="B3" s="12"/>
      <c r="C3" s="14"/>
      <c r="D3" s="14"/>
      <c r="E3" s="14"/>
      <c r="F3" s="14"/>
    </row>
    <row r="4" ht="15.75" customHeight="1">
      <c r="A4" s="7" t="str">
        <f>IFERROR(__xludf.DUMMYFUNCTION("IMPORTRANGE('_Settings'!B3,""Modules!A4:L1000"")"),"Allocation")</f>
        <v>Allocation</v>
      </c>
      <c r="B4" s="6" t="str">
        <f>IFERROR(__xludf.DUMMYFUNCTION("""COMPUTED_VALUE"""),"Allocate")</f>
        <v>Allocate</v>
      </c>
      <c r="C4" s="6" t="str">
        <f>IFERROR(__xludf.DUMMYFUNCTION("""COMPUTED_VALUE"""),"Undefined")</f>
        <v>Undefined</v>
      </c>
      <c r="D4" s="6" t="str">
        <f>IFERROR(__xludf.DUMMYFUNCTION("""COMPUTED_VALUE"""),"")</f>
        <v/>
      </c>
      <c r="E4" s="6" t="str">
        <f>IFERROR(__xludf.DUMMYFUNCTION("""COMPUTED_VALUE"""),"")</f>
        <v/>
      </c>
      <c r="F4" s="6" t="str">
        <f>IFERROR(__xludf.DUMMYFUNCTION("""COMPUTED_VALUE"""),"")</f>
        <v/>
      </c>
      <c r="G4" t="str">
        <f>IFERROR(__xludf.DUMMYFUNCTION("""COMPUTED_VALUE"""),"")</f>
        <v/>
      </c>
      <c r="H4" t="str">
        <f>IFERROR(__xludf.DUMMYFUNCTION("""COMPUTED_VALUE"""),"")</f>
        <v/>
      </c>
      <c r="I4" t="str">
        <f>IFERROR(__xludf.DUMMYFUNCTION("""COMPUTED_VALUE"""),"")</f>
        <v/>
      </c>
      <c r="J4" t="str">
        <f>IFERROR(__xludf.DUMMYFUNCTION("""COMPUTED_VALUE"""),"")</f>
        <v/>
      </c>
      <c r="K4" t="str">
        <f>IFERROR(__xludf.DUMMYFUNCTION("""COMPUTED_VALUE"""),"")</f>
        <v/>
      </c>
      <c r="L4" t="str">
        <f>IFERROR(__xludf.DUMMYFUNCTION("""COMPUTED_VALUE"""),"")</f>
        <v/>
      </c>
    </row>
    <row r="5" ht="15.75" customHeight="1">
      <c r="A5" s="7" t="str">
        <f>IFERROR(__xludf.DUMMYFUNCTION("""COMPUTED_VALUE"""),"Allocation")</f>
        <v>Allocation</v>
      </c>
      <c r="B5" s="6" t="str">
        <f>IFERROR(__xludf.DUMMYFUNCTION("""COMPUTED_VALUE"""),"CheckAllocatedGroups")</f>
        <v>CheckAllocatedGroups</v>
      </c>
      <c r="C5" s="6" t="str">
        <f>IFERROR(__xludf.DUMMYFUNCTION("""COMPUTED_VALUE"""),"1ASulLlGAl--JRs7NVIiQ-6Q2Y2P3o7Y40cokKmMg-UA")</f>
        <v>1ASulLlGAl--JRs7NVIiQ-6Q2Y2P3o7Y40cokKmMg-UA</v>
      </c>
      <c r="D5" s="6" t="str">
        <f>IFERROR(__xludf.DUMMYFUNCTION("""COMPUTED_VALUE"""),"")</f>
        <v/>
      </c>
      <c r="E5" s="6" t="str">
        <f>IFERROR(__xludf.DUMMYFUNCTION("""COMPUTED_VALUE"""),"")</f>
        <v/>
      </c>
      <c r="F5" s="6" t="str">
        <f>IFERROR(__xludf.DUMMYFUNCTION("""COMPUTED_VALUE"""),"")</f>
        <v/>
      </c>
      <c r="G5" t="str">
        <f>IFERROR(__xludf.DUMMYFUNCTION("""COMPUTED_VALUE"""),"")</f>
        <v/>
      </c>
      <c r="H5" t="str">
        <f>IFERROR(__xludf.DUMMYFUNCTION("""COMPUTED_VALUE"""),"")</f>
        <v/>
      </c>
      <c r="I5" t="str">
        <f>IFERROR(__xludf.DUMMYFUNCTION("""COMPUTED_VALUE"""),"")</f>
        <v/>
      </c>
      <c r="J5" t="str">
        <f>IFERROR(__xludf.DUMMYFUNCTION("""COMPUTED_VALUE"""),"")</f>
        <v/>
      </c>
      <c r="K5" t="str">
        <f>IFERROR(__xludf.DUMMYFUNCTION("""COMPUTED_VALUE"""),"")</f>
        <v/>
      </c>
      <c r="L5" t="str">
        <f>IFERROR(__xludf.DUMMYFUNCTION("""COMPUTED_VALUE"""),"")</f>
        <v/>
      </c>
    </row>
    <row r="6" ht="15.75" customHeight="1">
      <c r="A6" s="6" t="str">
        <f>IFERROR(__xludf.DUMMYFUNCTION("""COMPUTED_VALUE"""),"Allocation")</f>
        <v>Allocation</v>
      </c>
      <c r="B6" s="6" t="str">
        <f>IFERROR(__xludf.DUMMYFUNCTION("""COMPUTED_VALUE"""),"Unallocate")</f>
        <v>Unallocate</v>
      </c>
      <c r="C6" s="6" t="str">
        <f>IFERROR(__xludf.DUMMYFUNCTION("""COMPUTED_VALUE"""),"153rAtnJuNh4UK26GjSOxUSjAHcOxzWv7CRGvmhrIJRs")</f>
        <v>153rAtnJuNh4UK26GjSOxUSjAHcOxzWv7CRGvmhrIJRs</v>
      </c>
      <c r="D6" s="6" t="str">
        <f>IFERROR(__xludf.DUMMYFUNCTION("""COMPUTED_VALUE"""),"")</f>
        <v/>
      </c>
      <c r="E6" s="6" t="str">
        <f>IFERROR(__xludf.DUMMYFUNCTION("""COMPUTED_VALUE"""),"")</f>
        <v/>
      </c>
      <c r="F6" s="6" t="str">
        <f>IFERROR(__xludf.DUMMYFUNCTION("""COMPUTED_VALUE"""),"")</f>
        <v/>
      </c>
      <c r="G6" t="str">
        <f>IFERROR(__xludf.DUMMYFUNCTION("""COMPUTED_VALUE"""),"")</f>
        <v/>
      </c>
      <c r="H6" t="str">
        <f>IFERROR(__xludf.DUMMYFUNCTION("""COMPUTED_VALUE"""),"")</f>
        <v/>
      </c>
      <c r="I6" t="str">
        <f>IFERROR(__xludf.DUMMYFUNCTION("""COMPUTED_VALUE"""),"")</f>
        <v/>
      </c>
      <c r="J6" t="str">
        <f>IFERROR(__xludf.DUMMYFUNCTION("""COMPUTED_VALUE"""),"")</f>
        <v/>
      </c>
      <c r="K6" t="str">
        <f>IFERROR(__xludf.DUMMYFUNCTION("""COMPUTED_VALUE"""),"")</f>
        <v/>
      </c>
      <c r="L6" t="str">
        <f>IFERROR(__xludf.DUMMYFUNCTION("""COMPUTED_VALUE"""),"")</f>
        <v/>
      </c>
    </row>
    <row r="7" ht="15.75" customHeight="1">
      <c r="A7" s="6" t="str">
        <f>IFERROR(__xludf.DUMMYFUNCTION("""COMPUTED_VALUE"""),"Allocation")</f>
        <v>Allocation</v>
      </c>
      <c r="B7" s="6" t="str">
        <f>IFERROR(__xludf.DUMMYFUNCTION("""COMPUTED_VALUE"""),"GetDataAllocation")</f>
        <v>GetDataAllocation</v>
      </c>
      <c r="C7" s="6" t="str">
        <f>IFERROR(__xludf.DUMMYFUNCTION("""COMPUTED_VALUE"""),"14c4GsPTH5D3eyeeKaMiqJQXOT6OiyIKnC2Ey2f-mzXU")</f>
        <v>14c4GsPTH5D3eyeeKaMiqJQXOT6OiyIKnC2Ey2f-mzXU</v>
      </c>
      <c r="D7" s="6" t="str">
        <f>IFERROR(__xludf.DUMMYFUNCTION("""COMPUTED_VALUE"""),"")</f>
        <v/>
      </c>
      <c r="E7" s="6" t="str">
        <f>IFERROR(__xludf.DUMMYFUNCTION("""COMPUTED_VALUE"""),"")</f>
        <v/>
      </c>
      <c r="F7" s="6" t="str">
        <f>IFERROR(__xludf.DUMMYFUNCTION("""COMPUTED_VALUE"""),"")</f>
        <v/>
      </c>
      <c r="G7" t="str">
        <f>IFERROR(__xludf.DUMMYFUNCTION("""COMPUTED_VALUE"""),"")</f>
        <v/>
      </c>
      <c r="H7" t="str">
        <f>IFERROR(__xludf.DUMMYFUNCTION("""COMPUTED_VALUE"""),"")</f>
        <v/>
      </c>
      <c r="I7" t="str">
        <f>IFERROR(__xludf.DUMMYFUNCTION("""COMPUTED_VALUE"""),"")</f>
        <v/>
      </c>
      <c r="J7" t="str">
        <f>IFERROR(__xludf.DUMMYFUNCTION("""COMPUTED_VALUE"""),"")</f>
        <v/>
      </c>
      <c r="K7" t="str">
        <f>IFERROR(__xludf.DUMMYFUNCTION("""COMPUTED_VALUE"""),"")</f>
        <v/>
      </c>
      <c r="L7" t="str">
        <f>IFERROR(__xludf.DUMMYFUNCTION("""COMPUTED_VALUE"""),"")</f>
        <v/>
      </c>
    </row>
    <row r="8" ht="15.75" customHeight="1">
      <c r="A8" s="6" t="str">
        <f>IFERROR(__xludf.DUMMYFUNCTION("""COMPUTED_VALUE"""),"Allocation")</f>
        <v>Allocation</v>
      </c>
      <c r="B8" s="6" t="str">
        <f>IFERROR(__xludf.DUMMYFUNCTION("""COMPUTED_VALUE"""),"SelectAllocatedGroup")</f>
        <v>SelectAllocatedGroup</v>
      </c>
      <c r="C8" s="6" t="str">
        <f>IFERROR(__xludf.DUMMYFUNCTION("""COMPUTED_VALUE"""),"1FoqTScZHaIaLmwoImnVY7WWuCKEwJNYw8_jsXiT_wz4")</f>
        <v>1FoqTScZHaIaLmwoImnVY7WWuCKEwJNYw8_jsXiT_wz4</v>
      </c>
      <c r="D8" s="6" t="str">
        <f>IFERROR(__xludf.DUMMYFUNCTION("""COMPUTED_VALUE"""),"")</f>
        <v/>
      </c>
      <c r="E8" s="6" t="str">
        <f>IFERROR(__xludf.DUMMYFUNCTION("""COMPUTED_VALUE"""),"")</f>
        <v/>
      </c>
      <c r="F8" s="6" t="str">
        <f>IFERROR(__xludf.DUMMYFUNCTION("""COMPUTED_VALUE"""),"")</f>
        <v/>
      </c>
      <c r="G8" t="str">
        <f>IFERROR(__xludf.DUMMYFUNCTION("""COMPUTED_VALUE"""),"")</f>
        <v/>
      </c>
      <c r="H8" t="str">
        <f>IFERROR(__xludf.DUMMYFUNCTION("""COMPUTED_VALUE"""),"")</f>
        <v/>
      </c>
      <c r="I8" t="str">
        <f>IFERROR(__xludf.DUMMYFUNCTION("""COMPUTED_VALUE"""),"")</f>
        <v/>
      </c>
      <c r="J8" t="str">
        <f>IFERROR(__xludf.DUMMYFUNCTION("""COMPUTED_VALUE"""),"")</f>
        <v/>
      </c>
      <c r="K8" t="str">
        <f>IFERROR(__xludf.DUMMYFUNCTION("""COMPUTED_VALUE"""),"")</f>
        <v/>
      </c>
      <c r="L8" t="str">
        <f>IFERROR(__xludf.DUMMYFUNCTION("""COMPUTED_VALUE"""),"")</f>
        <v/>
      </c>
    </row>
    <row r="9" ht="15.75" customHeight="1">
      <c r="A9" s="6" t="str">
        <f>IFERROR(__xludf.DUMMYFUNCTION("""COMPUTED_VALUE"""),"Allocation")</f>
        <v>Allocation</v>
      </c>
      <c r="B9" s="6" t="str">
        <f>IFERROR(__xludf.DUMMYFUNCTION("""COMPUTED_VALUE"""),"EditTradesAllocated")</f>
        <v>EditTradesAllocated</v>
      </c>
      <c r="C9" s="6" t="str">
        <f>IFERROR(__xludf.DUMMYFUNCTION("""COMPUTED_VALUE"""),"1nx-Ntcckcf-w1Yr5yyOw4Vmcr4UsalakHe-CHaRihg0")</f>
        <v>1nx-Ntcckcf-w1Yr5yyOw4Vmcr4UsalakHe-CHaRihg0</v>
      </c>
      <c r="D9" s="6" t="str">
        <f>IFERROR(__xludf.DUMMYFUNCTION("""COMPUTED_VALUE"""),"")</f>
        <v/>
      </c>
      <c r="E9" s="6" t="str">
        <f>IFERROR(__xludf.DUMMYFUNCTION("""COMPUTED_VALUE"""),"")</f>
        <v/>
      </c>
      <c r="F9" s="6" t="str">
        <f>IFERROR(__xludf.DUMMYFUNCTION("""COMPUTED_VALUE"""),"")</f>
        <v/>
      </c>
      <c r="G9" t="str">
        <f>IFERROR(__xludf.DUMMYFUNCTION("""COMPUTED_VALUE"""),"")</f>
        <v/>
      </c>
      <c r="H9" t="str">
        <f>IFERROR(__xludf.DUMMYFUNCTION("""COMPUTED_VALUE"""),"")</f>
        <v/>
      </c>
      <c r="I9" t="str">
        <f>IFERROR(__xludf.DUMMYFUNCTION("""COMPUTED_VALUE"""),"")</f>
        <v/>
      </c>
      <c r="J9" t="str">
        <f>IFERROR(__xludf.DUMMYFUNCTION("""COMPUTED_VALUE"""),"")</f>
        <v/>
      </c>
      <c r="K9" t="str">
        <f>IFERROR(__xludf.DUMMYFUNCTION("""COMPUTED_VALUE"""),"")</f>
        <v/>
      </c>
      <c r="L9" t="str">
        <f>IFERROR(__xludf.DUMMYFUNCTION("""COMPUTED_VALUE"""),"")</f>
        <v/>
      </c>
    </row>
    <row r="10" ht="15.75" customHeight="1">
      <c r="A10" s="6" t="str">
        <f>IFERROR(__xludf.DUMMYFUNCTION("""COMPUTED_VALUE"""),"Allocation")</f>
        <v>Allocation</v>
      </c>
      <c r="B10" s="6" t="str">
        <f>IFERROR(__xludf.DUMMYFUNCTION("""COMPUTED_VALUE"""),"EditTradesUnallocated")</f>
        <v>EditTradesUnallocated</v>
      </c>
      <c r="C10" s="6" t="str">
        <f>IFERROR(__xludf.DUMMYFUNCTION("""COMPUTED_VALUE"""),"1aOr-_cYT21IfJctqcBB50iQOXfB0qUo9bBesL3tt_2o")</f>
        <v>1aOr-_cYT21IfJctqcBB50iQOXfB0qUo9bBesL3tt_2o</v>
      </c>
      <c r="D10" s="6" t="str">
        <f>IFERROR(__xludf.DUMMYFUNCTION("""COMPUTED_VALUE"""),"")</f>
        <v/>
      </c>
      <c r="E10" s="6" t="str">
        <f>IFERROR(__xludf.DUMMYFUNCTION("""COMPUTED_VALUE"""),"")</f>
        <v/>
      </c>
      <c r="F10" s="6" t="str">
        <f>IFERROR(__xludf.DUMMYFUNCTION("""COMPUTED_VALUE"""),"")</f>
        <v/>
      </c>
      <c r="G10" t="str">
        <f>IFERROR(__xludf.DUMMYFUNCTION("""COMPUTED_VALUE"""),"")</f>
        <v/>
      </c>
      <c r="H10" t="str">
        <f>IFERROR(__xludf.DUMMYFUNCTION("""COMPUTED_VALUE"""),"")</f>
        <v/>
      </c>
      <c r="I10" t="str">
        <f>IFERROR(__xludf.DUMMYFUNCTION("""COMPUTED_VALUE"""),"")</f>
        <v/>
      </c>
      <c r="J10" t="str">
        <f>IFERROR(__xludf.DUMMYFUNCTION("""COMPUTED_VALUE"""),"")</f>
        <v/>
      </c>
      <c r="K10" t="str">
        <f>IFERROR(__xludf.DUMMYFUNCTION("""COMPUTED_VALUE"""),"")</f>
        <v/>
      </c>
      <c r="L10" t="str">
        <f>IFERROR(__xludf.DUMMYFUNCTION("""COMPUTED_VALUE"""),"")</f>
        <v/>
      </c>
    </row>
    <row r="11" ht="15.75" customHeight="1">
      <c r="A11" s="6" t="str">
        <f>IFERROR(__xludf.DUMMYFUNCTION("""COMPUTED_VALUE"""),"Allocation")</f>
        <v>Allocation</v>
      </c>
      <c r="B11" s="6" t="str">
        <f>IFERROR(__xludf.DUMMYFUNCTION("""COMPUTED_VALUE"""),"Reallocate")</f>
        <v>Reallocate</v>
      </c>
      <c r="C11" s="6" t="str">
        <f>IFERROR(__xludf.DUMMYFUNCTION("""COMPUTED_VALUE"""),"Undefined")</f>
        <v>Undefined</v>
      </c>
      <c r="D11" s="6" t="str">
        <f>IFERROR(__xludf.DUMMYFUNCTION("""COMPUTED_VALUE"""),"")</f>
        <v/>
      </c>
      <c r="E11" s="6" t="str">
        <f>IFERROR(__xludf.DUMMYFUNCTION("""COMPUTED_VALUE"""),"")</f>
        <v/>
      </c>
      <c r="F11" s="6" t="str">
        <f>IFERROR(__xludf.DUMMYFUNCTION("""COMPUTED_VALUE"""),"")</f>
        <v/>
      </c>
      <c r="G11" t="str">
        <f>IFERROR(__xludf.DUMMYFUNCTION("""COMPUTED_VALUE"""),"")</f>
        <v/>
      </c>
      <c r="H11" t="str">
        <f>IFERROR(__xludf.DUMMYFUNCTION("""COMPUTED_VALUE"""),"")</f>
        <v/>
      </c>
      <c r="I11" t="str">
        <f>IFERROR(__xludf.DUMMYFUNCTION("""COMPUTED_VALUE"""),"")</f>
        <v/>
      </c>
      <c r="J11" t="str">
        <f>IFERROR(__xludf.DUMMYFUNCTION("""COMPUTED_VALUE"""),"")</f>
        <v/>
      </c>
      <c r="K11" t="str">
        <f>IFERROR(__xludf.DUMMYFUNCTION("""COMPUTED_VALUE"""),"")</f>
        <v/>
      </c>
      <c r="L11" t="str">
        <f>IFERROR(__xludf.DUMMYFUNCTION("""COMPUTED_VALUE"""),"")</f>
        <v/>
      </c>
    </row>
    <row r="12" ht="15.75" customHeight="1">
      <c r="A12" s="6" t="str">
        <f>IFERROR(__xludf.DUMMYFUNCTION("""COMPUTED_VALUE"""),"Blotter")</f>
        <v>Blotter</v>
      </c>
      <c r="B12" s="6" t="str">
        <f>IFERROR(__xludf.DUMMYFUNCTION("""COMPUTED_VALUE"""),"ReplaceFillsOnBlotter")</f>
        <v>ReplaceFillsOnBlotter</v>
      </c>
      <c r="C12" s="6" t="str">
        <f>IFERROR(__xludf.DUMMYFUNCTION("""COMPUTED_VALUE"""),"Undefined")</f>
        <v>Undefined</v>
      </c>
      <c r="D12" s="6" t="str">
        <f>IFERROR(__xludf.DUMMYFUNCTION("""COMPUTED_VALUE"""),"")</f>
        <v/>
      </c>
      <c r="E12" s="6" t="str">
        <f>IFERROR(__xludf.DUMMYFUNCTION("""COMPUTED_VALUE"""),"")</f>
        <v/>
      </c>
      <c r="F12" s="6" t="str">
        <f>IFERROR(__xludf.DUMMYFUNCTION("""COMPUTED_VALUE"""),"")</f>
        <v/>
      </c>
      <c r="G12" t="str">
        <f>IFERROR(__xludf.DUMMYFUNCTION("""COMPUTED_VALUE"""),"")</f>
        <v/>
      </c>
      <c r="H12" t="str">
        <f>IFERROR(__xludf.DUMMYFUNCTION("""COMPUTED_VALUE"""),"")</f>
        <v/>
      </c>
      <c r="I12" t="str">
        <f>IFERROR(__xludf.DUMMYFUNCTION("""COMPUTED_VALUE"""),"")</f>
        <v/>
      </c>
      <c r="J12" t="str">
        <f>IFERROR(__xludf.DUMMYFUNCTION("""COMPUTED_VALUE"""),"")</f>
        <v/>
      </c>
      <c r="K12" t="str">
        <f>IFERROR(__xludf.DUMMYFUNCTION("""COMPUTED_VALUE"""),"")</f>
        <v/>
      </c>
      <c r="L12" t="str">
        <f>IFERROR(__xludf.DUMMYFUNCTION("""COMPUTED_VALUE"""),"")</f>
        <v/>
      </c>
    </row>
    <row r="13" ht="15.75" customHeight="1">
      <c r="A13" s="6" t="str">
        <f>IFERROR(__xludf.DUMMYFUNCTION("""COMPUTED_VALUE"""),"Blotter")</f>
        <v>Blotter</v>
      </c>
      <c r="B13" s="6" t="str">
        <f>IFERROR(__xludf.DUMMYFUNCTION("""COMPUTED_VALUE"""),"CheckBlotter")</f>
        <v>CheckBlotter</v>
      </c>
      <c r="C13" s="6" t="str">
        <f>IFERROR(__xludf.DUMMYFUNCTION("""COMPUTED_VALUE"""),"1NSNUZ7aVjKq-fJWvjMKU9f1Hhbf0UmIY3RQLFu0_U94")</f>
        <v>1NSNUZ7aVjKq-fJWvjMKU9f1Hhbf0UmIY3RQLFu0_U94</v>
      </c>
      <c r="D13" s="6" t="str">
        <f>IFERROR(__xludf.DUMMYFUNCTION("""COMPUTED_VALUE"""),"")</f>
        <v/>
      </c>
      <c r="E13" s="6" t="str">
        <f>IFERROR(__xludf.DUMMYFUNCTION("""COMPUTED_VALUE"""),"")</f>
        <v/>
      </c>
      <c r="F13" s="6" t="str">
        <f>IFERROR(__xludf.DUMMYFUNCTION("""COMPUTED_VALUE"""),"")</f>
        <v/>
      </c>
      <c r="G13" t="str">
        <f>IFERROR(__xludf.DUMMYFUNCTION("""COMPUTED_VALUE"""),"")</f>
        <v/>
      </c>
      <c r="H13" t="str">
        <f>IFERROR(__xludf.DUMMYFUNCTION("""COMPUTED_VALUE"""),"")</f>
        <v/>
      </c>
      <c r="I13" t="str">
        <f>IFERROR(__xludf.DUMMYFUNCTION("""COMPUTED_VALUE"""),"")</f>
        <v/>
      </c>
      <c r="J13" t="str">
        <f>IFERROR(__xludf.DUMMYFUNCTION("""COMPUTED_VALUE"""),"")</f>
        <v/>
      </c>
      <c r="K13" t="str">
        <f>IFERROR(__xludf.DUMMYFUNCTION("""COMPUTED_VALUE"""),"")</f>
        <v/>
      </c>
      <c r="L13" t="str">
        <f>IFERROR(__xludf.DUMMYFUNCTION("""COMPUTED_VALUE"""),"")</f>
        <v/>
      </c>
    </row>
    <row r="14" ht="15.75" customHeight="1">
      <c r="A14" s="6" t="str">
        <f>IFERROR(__xludf.DUMMYFUNCTION("""COMPUTED_VALUE"""),"GeneralLedger")</f>
        <v>GeneralLedger</v>
      </c>
      <c r="B14" s="6" t="str">
        <f>IFERROR(__xludf.DUMMYFUNCTION("""COMPUTED_VALUE"""),"GetDataCash")</f>
        <v>GetDataCash</v>
      </c>
      <c r="C14" s="6" t="str">
        <f>IFERROR(__xludf.DUMMYFUNCTION("""COMPUTED_VALUE"""),"1qcpgHRQFZbpv-NnW8K-CvX_auKXD5UD0KzrBvuBL6yQ")</f>
        <v>1qcpgHRQFZbpv-NnW8K-CvX_auKXD5UD0KzrBvuBL6yQ</v>
      </c>
      <c r="D14" s="6" t="str">
        <f>IFERROR(__xludf.DUMMYFUNCTION("""COMPUTED_VALUE"""),"")</f>
        <v/>
      </c>
      <c r="E14" s="6" t="str">
        <f>IFERROR(__xludf.DUMMYFUNCTION("""COMPUTED_VALUE"""),"")</f>
        <v/>
      </c>
      <c r="F14" s="6" t="str">
        <f>IFERROR(__xludf.DUMMYFUNCTION("""COMPUTED_VALUE"""),"")</f>
        <v/>
      </c>
      <c r="G14" t="str">
        <f>IFERROR(__xludf.DUMMYFUNCTION("""COMPUTED_VALUE"""),"")</f>
        <v/>
      </c>
      <c r="H14" t="str">
        <f>IFERROR(__xludf.DUMMYFUNCTION("""COMPUTED_VALUE"""),"")</f>
        <v/>
      </c>
      <c r="I14" t="str">
        <f>IFERROR(__xludf.DUMMYFUNCTION("""COMPUTED_VALUE"""),"")</f>
        <v/>
      </c>
      <c r="J14" t="str">
        <f>IFERROR(__xludf.DUMMYFUNCTION("""COMPUTED_VALUE"""),"")</f>
        <v/>
      </c>
      <c r="K14" t="str">
        <f>IFERROR(__xludf.DUMMYFUNCTION("""COMPUTED_VALUE"""),"")</f>
        <v/>
      </c>
      <c r="L14" t="str">
        <f>IFERROR(__xludf.DUMMYFUNCTION("""COMPUTED_VALUE"""),"")</f>
        <v/>
      </c>
    </row>
    <row r="15" ht="15.75" customHeight="1">
      <c r="A15" s="6" t="str">
        <f>IFERROR(__xludf.DUMMYFUNCTION("""COMPUTED_VALUE"""),"GeneralLedger")</f>
        <v>GeneralLedger</v>
      </c>
      <c r="B15" s="6" t="str">
        <f>IFERROR(__xludf.DUMMYFUNCTION("""COMPUTED_VALUE"""),"EnterCashDividends")</f>
        <v>EnterCashDividends</v>
      </c>
      <c r="C15" s="6" t="str">
        <f>IFERROR(__xludf.DUMMYFUNCTION("""COMPUTED_VALUE"""),"1AcxAZQwu6HAEJMCMK3bk08quIeXstZWKnCNeDGuqkgc")</f>
        <v>1AcxAZQwu6HAEJMCMK3bk08quIeXstZWKnCNeDGuqkgc</v>
      </c>
      <c r="D15" s="6" t="str">
        <f>IFERROR(__xludf.DUMMYFUNCTION("""COMPUTED_VALUE"""),"")</f>
        <v/>
      </c>
      <c r="E15" s="6" t="str">
        <f>IFERROR(__xludf.DUMMYFUNCTION("""COMPUTED_VALUE"""),"")</f>
        <v/>
      </c>
      <c r="F15" s="6" t="str">
        <f>IFERROR(__xludf.DUMMYFUNCTION("""COMPUTED_VALUE"""),"")</f>
        <v/>
      </c>
      <c r="G15" t="str">
        <f>IFERROR(__xludf.DUMMYFUNCTION("""COMPUTED_VALUE"""),"")</f>
        <v/>
      </c>
      <c r="H15" t="str">
        <f>IFERROR(__xludf.DUMMYFUNCTION("""COMPUTED_VALUE"""),"")</f>
        <v/>
      </c>
      <c r="I15" t="str">
        <f>IFERROR(__xludf.DUMMYFUNCTION("""COMPUTED_VALUE"""),"")</f>
        <v/>
      </c>
      <c r="J15" t="str">
        <f>IFERROR(__xludf.DUMMYFUNCTION("""COMPUTED_VALUE"""),"")</f>
        <v/>
      </c>
      <c r="K15" t="str">
        <f>IFERROR(__xludf.DUMMYFUNCTION("""COMPUTED_VALUE"""),"")</f>
        <v/>
      </c>
      <c r="L15" t="str">
        <f>IFERROR(__xludf.DUMMYFUNCTION("""COMPUTED_VALUE"""),"")</f>
        <v/>
      </c>
    </row>
    <row r="16" ht="15.75" customHeight="1">
      <c r="A16" s="6" t="str">
        <f>IFERROR(__xludf.DUMMYFUNCTION("""COMPUTED_VALUE"""),"GeneralLedger")</f>
        <v>GeneralLedger</v>
      </c>
      <c r="B16" s="6" t="str">
        <f>IFERROR(__xludf.DUMMYFUNCTION("""COMPUTED_VALUE"""),"EnterNonTradingTransaction")</f>
        <v>EnterNonTradingTransaction</v>
      </c>
      <c r="C16" s="6" t="str">
        <f>IFERROR(__xludf.DUMMYFUNCTION("""COMPUTED_VALUE"""),"1VLF0uNJJlumCyBscfuDhTN1tOv-0IRCkYlwfDU8GczQ")</f>
        <v>1VLF0uNJJlumCyBscfuDhTN1tOv-0IRCkYlwfDU8GczQ</v>
      </c>
      <c r="D16" s="6" t="str">
        <f>IFERROR(__xludf.DUMMYFUNCTION("""COMPUTED_VALUE"""),"")</f>
        <v/>
      </c>
      <c r="E16" s="6" t="str">
        <f>IFERROR(__xludf.DUMMYFUNCTION("""COMPUTED_VALUE"""),"")</f>
        <v/>
      </c>
      <c r="F16" s="6" t="str">
        <f>IFERROR(__xludf.DUMMYFUNCTION("""COMPUTED_VALUE"""),"")</f>
        <v/>
      </c>
      <c r="G16" t="str">
        <f>IFERROR(__xludf.DUMMYFUNCTION("""COMPUTED_VALUE"""),"")</f>
        <v/>
      </c>
      <c r="H16" t="str">
        <f>IFERROR(__xludf.DUMMYFUNCTION("""COMPUTED_VALUE"""),"")</f>
        <v/>
      </c>
      <c r="I16" t="str">
        <f>IFERROR(__xludf.DUMMYFUNCTION("""COMPUTED_VALUE"""),"")</f>
        <v/>
      </c>
      <c r="J16" t="str">
        <f>IFERROR(__xludf.DUMMYFUNCTION("""COMPUTED_VALUE"""),"")</f>
        <v/>
      </c>
      <c r="K16" t="str">
        <f>IFERROR(__xludf.DUMMYFUNCTION("""COMPUTED_VALUE"""),"")</f>
        <v/>
      </c>
      <c r="L16" t="str">
        <f>IFERROR(__xludf.DUMMYFUNCTION("""COMPUTED_VALUE"""),"")</f>
        <v/>
      </c>
    </row>
    <row r="17" ht="15.75" customHeight="1">
      <c r="A17" s="6" t="str">
        <f>IFERROR(__xludf.DUMMYFUNCTION("""COMPUTED_VALUE"""),"GeneralLedger")</f>
        <v>GeneralLedger</v>
      </c>
      <c r="B17" s="6" t="str">
        <f>IFERROR(__xludf.DUMMYFUNCTION("""COMPUTED_VALUE"""),"VerifyCash")</f>
        <v>VerifyCash</v>
      </c>
      <c r="C17" s="6" t="str">
        <f>IFERROR(__xludf.DUMMYFUNCTION("""COMPUTED_VALUE"""),"1_8MIcc2OK_ojl_V4NIwMLs9H7qkQkwyq9sDf1PpIqc8")</f>
        <v>1_8MIcc2OK_ojl_V4NIwMLs9H7qkQkwyq9sDf1PpIqc8</v>
      </c>
      <c r="D17" s="6" t="str">
        <f>IFERROR(__xludf.DUMMYFUNCTION("""COMPUTED_VALUE"""),"")</f>
        <v/>
      </c>
      <c r="E17" s="6" t="str">
        <f>IFERROR(__xludf.DUMMYFUNCTION("""COMPUTED_VALUE"""),"")</f>
        <v/>
      </c>
      <c r="F17" s="6" t="str">
        <f>IFERROR(__xludf.DUMMYFUNCTION("""COMPUTED_VALUE"""),"")</f>
        <v/>
      </c>
      <c r="G17" t="str">
        <f>IFERROR(__xludf.DUMMYFUNCTION("""COMPUTED_VALUE"""),"")</f>
        <v/>
      </c>
      <c r="H17" t="str">
        <f>IFERROR(__xludf.DUMMYFUNCTION("""COMPUTED_VALUE"""),"")</f>
        <v/>
      </c>
      <c r="I17" t="str">
        <f>IFERROR(__xludf.DUMMYFUNCTION("""COMPUTED_VALUE"""),"")</f>
        <v/>
      </c>
      <c r="J17" t="str">
        <f>IFERROR(__xludf.DUMMYFUNCTION("""COMPUTED_VALUE"""),"")</f>
        <v/>
      </c>
      <c r="K17" t="str">
        <f>IFERROR(__xludf.DUMMYFUNCTION("""COMPUTED_VALUE"""),"")</f>
        <v/>
      </c>
      <c r="L17" t="str">
        <f>IFERROR(__xludf.DUMMYFUNCTION("""COMPUTED_VALUE"""),"")</f>
        <v/>
      </c>
    </row>
    <row r="18" ht="15.75" customHeight="1">
      <c r="A18" s="6" t="str">
        <f>IFERROR(__xludf.DUMMYFUNCTION("""COMPUTED_VALUE"""),"GeneralLedger")</f>
        <v>GeneralLedger</v>
      </c>
      <c r="B18" s="6" t="str">
        <f>IFERROR(__xludf.DUMMYFUNCTION("""COMPUTED_VALUE"""),"VerifyActivity")</f>
        <v>VerifyActivity</v>
      </c>
      <c r="C18" s="6" t="str">
        <f>IFERROR(__xludf.DUMMYFUNCTION("""COMPUTED_VALUE"""),"1tN1tbsnXiVRytGN-WCzTnGTmfRxY2nBklQk3AQSJo2c")</f>
        <v>1tN1tbsnXiVRytGN-WCzTnGTmfRxY2nBklQk3AQSJo2c</v>
      </c>
      <c r="D18" s="6" t="str">
        <f>IFERROR(__xludf.DUMMYFUNCTION("""COMPUTED_VALUE"""),"")</f>
        <v/>
      </c>
      <c r="E18" s="6" t="str">
        <f>IFERROR(__xludf.DUMMYFUNCTION("""COMPUTED_VALUE"""),"")</f>
        <v/>
      </c>
      <c r="F18" s="6" t="str">
        <f>IFERROR(__xludf.DUMMYFUNCTION("""COMPUTED_VALUE"""),"")</f>
        <v/>
      </c>
      <c r="G18" t="str">
        <f>IFERROR(__xludf.DUMMYFUNCTION("""COMPUTED_VALUE"""),"")</f>
        <v/>
      </c>
      <c r="H18" t="str">
        <f>IFERROR(__xludf.DUMMYFUNCTION("""COMPUTED_VALUE"""),"")</f>
        <v/>
      </c>
      <c r="I18" t="str">
        <f>IFERROR(__xludf.DUMMYFUNCTION("""COMPUTED_VALUE"""),"")</f>
        <v/>
      </c>
      <c r="J18" t="str">
        <f>IFERROR(__xludf.DUMMYFUNCTION("""COMPUTED_VALUE"""),"")</f>
        <v/>
      </c>
      <c r="K18" t="str">
        <f>IFERROR(__xludf.DUMMYFUNCTION("""COMPUTED_VALUE"""),"")</f>
        <v/>
      </c>
      <c r="L18" t="str">
        <f>IFERROR(__xludf.DUMMYFUNCTION("""COMPUTED_VALUE"""),"")</f>
        <v/>
      </c>
    </row>
    <row r="19" ht="15.75" customHeight="1">
      <c r="A19" s="6" t="str">
        <f>IFERROR(__xludf.DUMMYFUNCTION("""COMPUTED_VALUE"""),"GeneralLedger")</f>
        <v>GeneralLedger</v>
      </c>
      <c r="B19" s="6" t="str">
        <f>IFERROR(__xludf.DUMMYFUNCTION("""COMPUTED_VALUE"""),"VerifyTradingTransaction")</f>
        <v>VerifyTradingTransaction</v>
      </c>
      <c r="C19" s="6" t="str">
        <f>IFERROR(__xludf.DUMMYFUNCTION("""COMPUTED_VALUE"""),"1VRRuQCPazoSKAv27NBzQzv_Yw_Kgakw-yyKn6w1zhKU")</f>
        <v>1VRRuQCPazoSKAv27NBzQzv_Yw_Kgakw-yyKn6w1zhKU</v>
      </c>
      <c r="D19" s="6" t="str">
        <f>IFERROR(__xludf.DUMMYFUNCTION("""COMPUTED_VALUE"""),"")</f>
        <v/>
      </c>
      <c r="E19" s="6" t="str">
        <f>IFERROR(__xludf.DUMMYFUNCTION("""COMPUTED_VALUE"""),"")</f>
        <v/>
      </c>
      <c r="F19" s="6" t="str">
        <f>IFERROR(__xludf.DUMMYFUNCTION("""COMPUTED_VALUE"""),"")</f>
        <v/>
      </c>
      <c r="G19" t="str">
        <f>IFERROR(__xludf.DUMMYFUNCTION("""COMPUTED_VALUE"""),"")</f>
        <v/>
      </c>
      <c r="H19" t="str">
        <f>IFERROR(__xludf.DUMMYFUNCTION("""COMPUTED_VALUE"""),"")</f>
        <v/>
      </c>
      <c r="I19" t="str">
        <f>IFERROR(__xludf.DUMMYFUNCTION("""COMPUTED_VALUE"""),"")</f>
        <v/>
      </c>
      <c r="J19" t="str">
        <f>IFERROR(__xludf.DUMMYFUNCTION("""COMPUTED_VALUE"""),"")</f>
        <v/>
      </c>
      <c r="K19" t="str">
        <f>IFERROR(__xludf.DUMMYFUNCTION("""COMPUTED_VALUE"""),"")</f>
        <v/>
      </c>
      <c r="L19" t="str">
        <f>IFERROR(__xludf.DUMMYFUNCTION("""COMPUTED_VALUE"""),"")</f>
        <v/>
      </c>
    </row>
    <row r="20" ht="15.75" customHeight="1">
      <c r="A20" s="6" t="str">
        <f>IFERROR(__xludf.DUMMYFUNCTION("""COMPUTED_VALUE"""),"GeneralLedger")</f>
        <v>GeneralLedger</v>
      </c>
      <c r="B20" s="6" t="str">
        <f>IFERROR(__xludf.DUMMYFUNCTION("""COMPUTED_VALUE"""),"VerifyRevaluationData")</f>
        <v>VerifyRevaluationData</v>
      </c>
      <c r="C20" s="6" t="str">
        <f>IFERROR(__xludf.DUMMYFUNCTION("""COMPUTED_VALUE"""),"1fGo94nf55bWXddEMlTwX902cb1V6cWr9GHWYy_sZ8IU")</f>
        <v>1fGo94nf55bWXddEMlTwX902cb1V6cWr9GHWYy_sZ8IU</v>
      </c>
      <c r="D20" s="6" t="str">
        <f>IFERROR(__xludf.DUMMYFUNCTION("""COMPUTED_VALUE"""),"")</f>
        <v/>
      </c>
      <c r="E20" s="6" t="str">
        <f>IFERROR(__xludf.DUMMYFUNCTION("""COMPUTED_VALUE"""),"")</f>
        <v/>
      </c>
      <c r="F20" s="6" t="str">
        <f>IFERROR(__xludf.DUMMYFUNCTION("""COMPUTED_VALUE"""),"")</f>
        <v/>
      </c>
      <c r="G20" t="str">
        <f>IFERROR(__xludf.DUMMYFUNCTION("""COMPUTED_VALUE"""),"")</f>
        <v/>
      </c>
      <c r="H20" t="str">
        <f>IFERROR(__xludf.DUMMYFUNCTION("""COMPUTED_VALUE"""),"")</f>
        <v/>
      </c>
      <c r="I20" t="str">
        <f>IFERROR(__xludf.DUMMYFUNCTION("""COMPUTED_VALUE"""),"")</f>
        <v/>
      </c>
      <c r="J20" t="str">
        <f>IFERROR(__xludf.DUMMYFUNCTION("""COMPUTED_VALUE"""),"")</f>
        <v/>
      </c>
      <c r="K20" t="str">
        <f>IFERROR(__xludf.DUMMYFUNCTION("""COMPUTED_VALUE"""),"")</f>
        <v/>
      </c>
      <c r="L20" t="str">
        <f>IFERROR(__xludf.DUMMYFUNCTION("""COMPUTED_VALUE"""),"")</f>
        <v/>
      </c>
    </row>
    <row r="21" ht="15.75" customHeight="1">
      <c r="A21" s="6" t="str">
        <f>IFERROR(__xludf.DUMMYFUNCTION("""COMPUTED_VALUE"""),"CorporateAction")</f>
        <v>CorporateAction</v>
      </c>
      <c r="B21" s="6" t="str">
        <f>IFERROR(__xludf.DUMMYFUNCTION("""COMPUTED_VALUE"""),"CorporateAction")</f>
        <v>CorporateAction</v>
      </c>
      <c r="C21" s="6" t="str">
        <f>IFERROR(__xludf.DUMMYFUNCTION("""COMPUTED_VALUE"""),"1rOMKu0Ez7NdxjtZC05lRrPUSa0tkOQSvbOhxjuijMsU")</f>
        <v>1rOMKu0Ez7NdxjtZC05lRrPUSa0tkOQSvbOhxjuijMsU</v>
      </c>
      <c r="D21" s="6" t="str">
        <f>IFERROR(__xludf.DUMMYFUNCTION("""COMPUTED_VALUE"""),"")</f>
        <v/>
      </c>
      <c r="E21" s="6" t="str">
        <f>IFERROR(__xludf.DUMMYFUNCTION("""COMPUTED_VALUE"""),"")</f>
        <v/>
      </c>
      <c r="F21" s="6" t="str">
        <f>IFERROR(__xludf.DUMMYFUNCTION("""COMPUTED_VALUE"""),"")</f>
        <v/>
      </c>
      <c r="G21" t="str">
        <f>IFERROR(__xludf.DUMMYFUNCTION("""COMPUTED_VALUE"""),"")</f>
        <v/>
      </c>
      <c r="H21" t="str">
        <f>IFERROR(__xludf.DUMMYFUNCTION("""COMPUTED_VALUE"""),"")</f>
        <v/>
      </c>
      <c r="I21" t="str">
        <f>IFERROR(__xludf.DUMMYFUNCTION("""COMPUTED_VALUE"""),"")</f>
        <v/>
      </c>
      <c r="J21" t="str">
        <f>IFERROR(__xludf.DUMMYFUNCTION("""COMPUTED_VALUE"""),"")</f>
        <v/>
      </c>
      <c r="K21" t="str">
        <f>IFERROR(__xludf.DUMMYFUNCTION("""COMPUTED_VALUE"""),"")</f>
        <v/>
      </c>
      <c r="L21" t="str">
        <f>IFERROR(__xludf.DUMMYFUNCTION("""COMPUTED_VALUE"""),"")</f>
        <v/>
      </c>
    </row>
    <row r="22" ht="15.75" customHeight="1">
      <c r="A22" s="6" t="str">
        <f>IFERROR(__xludf.DUMMYFUNCTION("""COMPUTED_VALUE"""),"CreateTransaction")</f>
        <v>CreateTransaction</v>
      </c>
      <c r="B22" s="6" t="str">
        <f>IFERROR(__xludf.DUMMYFUNCTION("""COMPUTED_VALUE"""),"CreateTransaction")</f>
        <v>CreateTransaction</v>
      </c>
      <c r="C22" s="6" t="str">
        <f>IFERROR(__xludf.DUMMYFUNCTION("""COMPUTED_VALUE"""),"1yBi-hp0jcYIFB6ymnlQIlx-pUUkfcjJU7Ap0azBbNcE")</f>
        <v>1yBi-hp0jcYIFB6ymnlQIlx-pUUkfcjJU7Ap0azBbNcE</v>
      </c>
      <c r="D22" s="6" t="str">
        <f>IFERROR(__xludf.DUMMYFUNCTION("""COMPUTED_VALUE"""),"")</f>
        <v/>
      </c>
      <c r="E22" s="6" t="str">
        <f>IFERROR(__xludf.DUMMYFUNCTION("""COMPUTED_VALUE"""),"")</f>
        <v/>
      </c>
      <c r="F22" s="6" t="str">
        <f>IFERROR(__xludf.DUMMYFUNCTION("""COMPUTED_VALUE"""),"")</f>
        <v/>
      </c>
      <c r="G22" t="str">
        <f>IFERROR(__xludf.DUMMYFUNCTION("""COMPUTED_VALUE"""),"")</f>
        <v/>
      </c>
      <c r="H22" t="str">
        <f>IFERROR(__xludf.DUMMYFUNCTION("""COMPUTED_VALUE"""),"")</f>
        <v/>
      </c>
      <c r="I22" t="str">
        <f>IFERROR(__xludf.DUMMYFUNCTION("""COMPUTED_VALUE"""),"")</f>
        <v/>
      </c>
      <c r="J22" t="str">
        <f>IFERROR(__xludf.DUMMYFUNCTION("""COMPUTED_VALUE"""),"")</f>
        <v/>
      </c>
      <c r="K22" t="str">
        <f>IFERROR(__xludf.DUMMYFUNCTION("""COMPUTED_VALUE"""),"")</f>
        <v/>
      </c>
      <c r="L22" t="str">
        <f>IFERROR(__xludf.DUMMYFUNCTION("""COMPUTED_VALUE"""),"")</f>
        <v/>
      </c>
    </row>
    <row r="23" ht="15.75" customHeight="1">
      <c r="A23" s="6" t="str">
        <f>IFERROR(__xludf.DUMMYFUNCTION("""COMPUTED_VALUE"""),"DailyValuation")</f>
        <v>DailyValuation</v>
      </c>
      <c r="B23" s="6" t="str">
        <f>IFERROR(__xludf.DUMMYFUNCTION("""COMPUTED_VALUE"""),"UpdateBeta")</f>
        <v>UpdateBeta</v>
      </c>
      <c r="C23" s="6" t="str">
        <f>IFERROR(__xludf.DUMMYFUNCTION("""COMPUTED_VALUE"""),"1x5iUjYB72ZJ35IOvQ_JQkWHV-d1FlgKY3bIxxTpk-f0")</f>
        <v>1x5iUjYB72ZJ35IOvQ_JQkWHV-d1FlgKY3bIxxTpk-f0</v>
      </c>
      <c r="D23" s="6" t="str">
        <f>IFERROR(__xludf.DUMMYFUNCTION("""COMPUTED_VALUE"""),"")</f>
        <v/>
      </c>
      <c r="E23" s="6" t="str">
        <f>IFERROR(__xludf.DUMMYFUNCTION("""COMPUTED_VALUE"""),"")</f>
        <v/>
      </c>
      <c r="F23" s="6" t="str">
        <f>IFERROR(__xludf.DUMMYFUNCTION("""COMPUTED_VALUE"""),"")</f>
        <v/>
      </c>
      <c r="G23" t="str">
        <f>IFERROR(__xludf.DUMMYFUNCTION("""COMPUTED_VALUE"""),"")</f>
        <v/>
      </c>
      <c r="H23" t="str">
        <f>IFERROR(__xludf.DUMMYFUNCTION("""COMPUTED_VALUE"""),"")</f>
        <v/>
      </c>
      <c r="I23" t="str">
        <f>IFERROR(__xludf.DUMMYFUNCTION("""COMPUTED_VALUE"""),"")</f>
        <v/>
      </c>
      <c r="J23" t="str">
        <f>IFERROR(__xludf.DUMMYFUNCTION("""COMPUTED_VALUE"""),"")</f>
        <v/>
      </c>
      <c r="K23" t="str">
        <f>IFERROR(__xludf.DUMMYFUNCTION("""COMPUTED_VALUE"""),"")</f>
        <v/>
      </c>
      <c r="L23" t="str">
        <f>IFERROR(__xludf.DUMMYFUNCTION("""COMPUTED_VALUE"""),"")</f>
        <v/>
      </c>
    </row>
    <row r="24" ht="15.75" customHeight="1">
      <c r="A24" s="6" t="str">
        <f>IFERROR(__xludf.DUMMYFUNCTION("""COMPUTED_VALUE"""),"DailyValuation")</f>
        <v>DailyValuation</v>
      </c>
      <c r="B24" s="6" t="str">
        <f>IFERROR(__xludf.DUMMYFUNCTION("""COMPUTED_VALUE"""),"UpdateDailyCash")</f>
        <v>UpdateDailyCash</v>
      </c>
      <c r="C24" s="6" t="str">
        <f>IFERROR(__xludf.DUMMYFUNCTION("""COMPUTED_VALUE"""),"1Li5RKULV7Lc2MLczTkVbzq0oDYcFGfTlBUO9__NoODc")</f>
        <v>1Li5RKULV7Lc2MLczTkVbzq0oDYcFGfTlBUO9__NoODc</v>
      </c>
      <c r="D24" s="6" t="str">
        <f>IFERROR(__xludf.DUMMYFUNCTION("""COMPUTED_VALUE"""),"")</f>
        <v/>
      </c>
      <c r="E24" s="6" t="str">
        <f>IFERROR(__xludf.DUMMYFUNCTION("""COMPUTED_VALUE"""),"")</f>
        <v/>
      </c>
      <c r="F24" s="6" t="str">
        <f>IFERROR(__xludf.DUMMYFUNCTION("""COMPUTED_VALUE"""),"")</f>
        <v/>
      </c>
      <c r="G24" t="str">
        <f>IFERROR(__xludf.DUMMYFUNCTION("""COMPUTED_VALUE"""),"")</f>
        <v/>
      </c>
      <c r="H24" t="str">
        <f>IFERROR(__xludf.DUMMYFUNCTION("""COMPUTED_VALUE"""),"")</f>
        <v/>
      </c>
      <c r="I24" t="str">
        <f>IFERROR(__xludf.DUMMYFUNCTION("""COMPUTED_VALUE"""),"")</f>
        <v/>
      </c>
      <c r="J24" t="str">
        <f>IFERROR(__xludf.DUMMYFUNCTION("""COMPUTED_VALUE"""),"")</f>
        <v/>
      </c>
      <c r="K24" t="str">
        <f>IFERROR(__xludf.DUMMYFUNCTION("""COMPUTED_VALUE"""),"")</f>
        <v/>
      </c>
      <c r="L24" t="str">
        <f>IFERROR(__xludf.DUMMYFUNCTION("""COMPUTED_VALUE"""),"")</f>
        <v/>
      </c>
    </row>
    <row r="25" ht="15.75" customHeight="1">
      <c r="A25" s="6" t="str">
        <f>IFERROR(__xludf.DUMMYFUNCTION("""COMPUTED_VALUE"""),"DailyValuation")</f>
        <v>DailyValuation</v>
      </c>
      <c r="B25" s="6" t="str">
        <f>IFERROR(__xludf.DUMMYFUNCTION("""COMPUTED_VALUE"""),"UpdateForexConversion")</f>
        <v>UpdateForexConversion</v>
      </c>
      <c r="C25" s="6" t="str">
        <f>IFERROR(__xludf.DUMMYFUNCTION("""COMPUTED_VALUE"""),"1vnIE6mL0eHSchRF1qTlJ2JL_Ylu6hiC6uOXpzq7M0BQ")</f>
        <v>1vnIE6mL0eHSchRF1qTlJ2JL_Ylu6hiC6uOXpzq7M0BQ</v>
      </c>
      <c r="D25" s="6" t="str">
        <f>IFERROR(__xludf.DUMMYFUNCTION("""COMPUTED_VALUE"""),"")</f>
        <v/>
      </c>
      <c r="E25" s="6" t="str">
        <f>IFERROR(__xludf.DUMMYFUNCTION("""COMPUTED_VALUE"""),"")</f>
        <v/>
      </c>
      <c r="F25" s="6" t="str">
        <f>IFERROR(__xludf.DUMMYFUNCTION("""COMPUTED_VALUE"""),"")</f>
        <v/>
      </c>
      <c r="G25" t="str">
        <f>IFERROR(__xludf.DUMMYFUNCTION("""COMPUTED_VALUE"""),"")</f>
        <v/>
      </c>
      <c r="H25" t="str">
        <f>IFERROR(__xludf.DUMMYFUNCTION("""COMPUTED_VALUE"""),"")</f>
        <v/>
      </c>
      <c r="I25" t="str">
        <f>IFERROR(__xludf.DUMMYFUNCTION("""COMPUTED_VALUE"""),"")</f>
        <v/>
      </c>
      <c r="J25" t="str">
        <f>IFERROR(__xludf.DUMMYFUNCTION("""COMPUTED_VALUE"""),"")</f>
        <v/>
      </c>
      <c r="K25" t="str">
        <f>IFERROR(__xludf.DUMMYFUNCTION("""COMPUTED_VALUE"""),"")</f>
        <v/>
      </c>
      <c r="L25" t="str">
        <f>IFERROR(__xludf.DUMMYFUNCTION("""COMPUTED_VALUE"""),"")</f>
        <v/>
      </c>
    </row>
    <row r="26" ht="15.75" customHeight="1">
      <c r="A26" s="6" t="str">
        <f>IFERROR(__xludf.DUMMYFUNCTION("""COMPUTED_VALUE"""),"DailyValuation")</f>
        <v>DailyValuation</v>
      </c>
      <c r="B26" s="6" t="str">
        <f>IFERROR(__xludf.DUMMYFUNCTION("""COMPUTED_VALUE"""),"UpdateMarkPrice")</f>
        <v>UpdateMarkPrice</v>
      </c>
      <c r="C26" s="6" t="str">
        <f>IFERROR(__xludf.DUMMYFUNCTION("""COMPUTED_VALUE"""),"1KCMHfIqMprTfc21JY7-_BuJZCbNmjdI-pAMs1UtHRgM")</f>
        <v>1KCMHfIqMprTfc21JY7-_BuJZCbNmjdI-pAMs1UtHRgM</v>
      </c>
      <c r="D26" s="6" t="str">
        <f>IFERROR(__xludf.DUMMYFUNCTION("""COMPUTED_VALUE"""),"")</f>
        <v/>
      </c>
      <c r="E26" s="6" t="str">
        <f>IFERROR(__xludf.DUMMYFUNCTION("""COMPUTED_VALUE"""),"")</f>
        <v/>
      </c>
      <c r="F26" s="6" t="str">
        <f>IFERROR(__xludf.DUMMYFUNCTION("""COMPUTED_VALUE"""),"")</f>
        <v/>
      </c>
      <c r="G26" t="str">
        <f>IFERROR(__xludf.DUMMYFUNCTION("""COMPUTED_VALUE"""),"")</f>
        <v/>
      </c>
      <c r="H26" t="str">
        <f>IFERROR(__xludf.DUMMYFUNCTION("""COMPUTED_VALUE"""),"")</f>
        <v/>
      </c>
      <c r="I26" t="str">
        <f>IFERROR(__xludf.DUMMYFUNCTION("""COMPUTED_VALUE"""),"")</f>
        <v/>
      </c>
      <c r="J26" t="str">
        <f>IFERROR(__xludf.DUMMYFUNCTION("""COMPUTED_VALUE"""),"")</f>
        <v/>
      </c>
      <c r="K26" t="str">
        <f>IFERROR(__xludf.DUMMYFUNCTION("""COMPUTED_VALUE"""),"")</f>
        <v/>
      </c>
      <c r="L26" t="str">
        <f>IFERROR(__xludf.DUMMYFUNCTION("""COMPUTED_VALUE"""),"")</f>
        <v/>
      </c>
    </row>
    <row r="27" ht="15.75" customHeight="1">
      <c r="A27" s="6" t="str">
        <f>IFERROR(__xludf.DUMMYFUNCTION("""COMPUTED_VALUE"""),"Import")</f>
        <v>Import</v>
      </c>
      <c r="B27" s="6" t="str">
        <f>IFERROR(__xludf.DUMMYFUNCTION("""COMPUTED_VALUE"""),"Import")</f>
        <v>Import</v>
      </c>
      <c r="C27" s="6" t="str">
        <f>IFERROR(__xludf.DUMMYFUNCTION("""COMPUTED_VALUE"""),"1tRgcAtzRVDm6tX53uSpBOxZNBYm4sTcJiDaR4fxdfwY")</f>
        <v>1tRgcAtzRVDm6tX53uSpBOxZNBYm4sTcJiDaR4fxdfwY</v>
      </c>
      <c r="D27" s="6" t="str">
        <f>IFERROR(__xludf.DUMMYFUNCTION("""COMPUTED_VALUE"""),"")</f>
        <v/>
      </c>
      <c r="E27" s="6" t="str">
        <f>IFERROR(__xludf.DUMMYFUNCTION("""COMPUTED_VALUE"""),"")</f>
        <v/>
      </c>
      <c r="F27" s="6" t="str">
        <f>IFERROR(__xludf.DUMMYFUNCTION("""COMPUTED_VALUE"""),"")</f>
        <v/>
      </c>
      <c r="G27" t="str">
        <f>IFERROR(__xludf.DUMMYFUNCTION("""COMPUTED_VALUE"""),"")</f>
        <v/>
      </c>
      <c r="H27" t="str">
        <f>IFERROR(__xludf.DUMMYFUNCTION("""COMPUTED_VALUE"""),"")</f>
        <v/>
      </c>
      <c r="I27" t="str">
        <f>IFERROR(__xludf.DUMMYFUNCTION("""COMPUTED_VALUE"""),"")</f>
        <v/>
      </c>
      <c r="J27" t="str">
        <f>IFERROR(__xludf.DUMMYFUNCTION("""COMPUTED_VALUE"""),"")</f>
        <v/>
      </c>
      <c r="K27" t="str">
        <f>IFERROR(__xludf.DUMMYFUNCTION("""COMPUTED_VALUE"""),"")</f>
        <v/>
      </c>
      <c r="L27" t="str">
        <f>IFERROR(__xludf.DUMMYFUNCTION("""COMPUTED_VALUE"""),"")</f>
        <v/>
      </c>
    </row>
    <row r="28" ht="15.75" customHeight="1">
      <c r="A28" s="6" t="str">
        <f>IFERROR(__xludf.DUMMYFUNCTION("""COMPUTED_VALUE"""),"PortfolioManagement")</f>
        <v>PortfolioManagement</v>
      </c>
      <c r="B28" s="6" t="str">
        <f>IFERROR(__xludf.DUMMYFUNCTION("""COMPUTED_VALUE"""),"CheckDashboardPM")</f>
        <v>CheckDashboardPM</v>
      </c>
      <c r="C28" s="6" t="str">
        <f>IFERROR(__xludf.DUMMYFUNCTION("""COMPUTED_VALUE"""),"12DQ8VFmnoIi6USj-pAupggGf1Uakm-iIEO9IboOJPds")</f>
        <v>12DQ8VFmnoIi6USj-pAupggGf1Uakm-iIEO9IboOJPds</v>
      </c>
      <c r="D28" s="6" t="str">
        <f>IFERROR(__xludf.DUMMYFUNCTION("""COMPUTED_VALUE"""),"")</f>
        <v/>
      </c>
      <c r="E28" s="6" t="str">
        <f>IFERROR(__xludf.DUMMYFUNCTION("""COMPUTED_VALUE"""),"")</f>
        <v/>
      </c>
      <c r="F28" s="6" t="str">
        <f>IFERROR(__xludf.DUMMYFUNCTION("""COMPUTED_VALUE"""),"")</f>
        <v/>
      </c>
      <c r="G28" t="str">
        <f>IFERROR(__xludf.DUMMYFUNCTION("""COMPUTED_VALUE"""),"")</f>
        <v/>
      </c>
      <c r="H28" t="str">
        <f>IFERROR(__xludf.DUMMYFUNCTION("""COMPUTED_VALUE"""),"")</f>
        <v/>
      </c>
      <c r="I28" t="str">
        <f>IFERROR(__xludf.DUMMYFUNCTION("""COMPUTED_VALUE"""),"")</f>
        <v/>
      </c>
      <c r="J28" t="str">
        <f>IFERROR(__xludf.DUMMYFUNCTION("""COMPUTED_VALUE"""),"")</f>
        <v/>
      </c>
      <c r="K28" t="str">
        <f>IFERROR(__xludf.DUMMYFUNCTION("""COMPUTED_VALUE"""),"")</f>
        <v/>
      </c>
      <c r="L28" t="str">
        <f>IFERROR(__xludf.DUMMYFUNCTION("""COMPUTED_VALUE"""),"")</f>
        <v/>
      </c>
    </row>
    <row r="29" ht="15.75" customHeight="1">
      <c r="A29" s="6" t="str">
        <f>IFERROR(__xludf.DUMMYFUNCTION("""COMPUTED_VALUE"""),"PortfolioManagement")</f>
        <v>PortfolioManagement</v>
      </c>
      <c r="B29" s="6" t="str">
        <f>IFERROR(__xludf.DUMMYFUNCTION("""COMPUTED_VALUE"""),"CheckPortfolioManagement")</f>
        <v>CheckPortfolioManagement</v>
      </c>
      <c r="C29" s="6" t="str">
        <f>IFERROR(__xludf.DUMMYFUNCTION("""COMPUTED_VALUE"""),"1EinrxkfbLK2Tdj1nGXu4y1H2zmS6g6G85Hm0vYSOHlA")</f>
        <v>1EinrxkfbLK2Tdj1nGXu4y1H2zmS6g6G85Hm0vYSOHlA</v>
      </c>
      <c r="D29" s="6" t="str">
        <f>IFERROR(__xludf.DUMMYFUNCTION("""COMPUTED_VALUE"""),"")</f>
        <v/>
      </c>
      <c r="E29" s="6" t="str">
        <f>IFERROR(__xludf.DUMMYFUNCTION("""COMPUTED_VALUE"""),"")</f>
        <v/>
      </c>
      <c r="F29" s="6" t="str">
        <f>IFERROR(__xludf.DUMMYFUNCTION("""COMPUTED_VALUE"""),"")</f>
        <v/>
      </c>
      <c r="G29" t="str">
        <f>IFERROR(__xludf.DUMMYFUNCTION("""COMPUTED_VALUE"""),"")</f>
        <v/>
      </c>
      <c r="H29" t="str">
        <f>IFERROR(__xludf.DUMMYFUNCTION("""COMPUTED_VALUE"""),"")</f>
        <v/>
      </c>
      <c r="I29" t="str">
        <f>IFERROR(__xludf.DUMMYFUNCTION("""COMPUTED_VALUE"""),"")</f>
        <v/>
      </c>
      <c r="J29" t="str">
        <f>IFERROR(__xludf.DUMMYFUNCTION("""COMPUTED_VALUE"""),"")</f>
        <v/>
      </c>
      <c r="K29" t="str">
        <f>IFERROR(__xludf.DUMMYFUNCTION("""COMPUTED_VALUE"""),"")</f>
        <v/>
      </c>
      <c r="L29" t="str">
        <f>IFERROR(__xludf.DUMMYFUNCTION("""COMPUTED_VALUE"""),"")</f>
        <v/>
      </c>
    </row>
    <row r="30" ht="15.75" customHeight="1">
      <c r="A30" s="6" t="str">
        <f>IFERROR(__xludf.DUMMYFUNCTION("""COMPUTED_VALUE"""),"PricingInput")</f>
        <v>PricingInput</v>
      </c>
      <c r="B30" s="6" t="str">
        <f>IFERROR(__xludf.DUMMYFUNCTION("""COMPUTED_VALUE"""),"PricingInput")</f>
        <v>PricingInput</v>
      </c>
      <c r="C30" s="6" t="str">
        <f>IFERROR(__xludf.DUMMYFUNCTION("""COMPUTED_VALUE"""),"1qeUVChEAj0eKA7tNZsUWM4FcqW347Jcsk_tvw1-FP3s")</f>
        <v>1qeUVChEAj0eKA7tNZsUWM4FcqW347Jcsk_tvw1-FP3s</v>
      </c>
      <c r="D30" s="6" t="str">
        <f>IFERROR(__xludf.DUMMYFUNCTION("""COMPUTED_VALUE"""),"")</f>
        <v/>
      </c>
      <c r="E30" s="6" t="str">
        <f>IFERROR(__xludf.DUMMYFUNCTION("""COMPUTED_VALUE"""),"")</f>
        <v/>
      </c>
      <c r="F30" s="6" t="str">
        <f>IFERROR(__xludf.DUMMYFUNCTION("""COMPUTED_VALUE"""),"")</f>
        <v/>
      </c>
      <c r="G30" t="str">
        <f>IFERROR(__xludf.DUMMYFUNCTION("""COMPUTED_VALUE"""),"")</f>
        <v/>
      </c>
      <c r="H30" t="str">
        <f>IFERROR(__xludf.DUMMYFUNCTION("""COMPUTED_VALUE"""),"")</f>
        <v/>
      </c>
      <c r="I30" t="str">
        <f>IFERROR(__xludf.DUMMYFUNCTION("""COMPUTED_VALUE"""),"")</f>
        <v/>
      </c>
      <c r="J30" t="str">
        <f>IFERROR(__xludf.DUMMYFUNCTION("""COMPUTED_VALUE"""),"")</f>
        <v/>
      </c>
      <c r="K30" t="str">
        <f>IFERROR(__xludf.DUMMYFUNCTION("""COMPUTED_VALUE"""),"")</f>
        <v/>
      </c>
      <c r="L30" t="str">
        <f>IFERROR(__xludf.DUMMYFUNCTION("""COMPUTED_VALUE"""),"")</f>
        <v/>
      </c>
    </row>
    <row r="31" ht="15.75" customHeight="1">
      <c r="A31" s="6" t="str">
        <f>IFERROR(__xludf.DUMMYFUNCTION("""COMPUTED_VALUE"""),"PricingInput")</f>
        <v>PricingInput</v>
      </c>
      <c r="B31" s="6" t="str">
        <f>IFERROR(__xludf.DUMMYFUNCTION("""COMPUTED_VALUE"""),"UpdateSharesOutstanding")</f>
        <v>UpdateSharesOutstanding</v>
      </c>
      <c r="C31" s="6" t="str">
        <f>IFERROR(__xludf.DUMMYFUNCTION("""COMPUTED_VALUE"""),"1aVxYFzFjJM4FVvXjfioQc67hI5XgzzCTHLg8f7lbJhU")</f>
        <v>1aVxYFzFjJM4FVvXjfioQc67hI5XgzzCTHLg8f7lbJhU</v>
      </c>
      <c r="D31" s="6" t="str">
        <f>IFERROR(__xludf.DUMMYFUNCTION("""COMPUTED_VALUE"""),"")</f>
        <v/>
      </c>
      <c r="E31" s="6" t="str">
        <f>IFERROR(__xludf.DUMMYFUNCTION("""COMPUTED_VALUE"""),"")</f>
        <v/>
      </c>
      <c r="F31" s="6" t="str">
        <f>IFERROR(__xludf.DUMMYFUNCTION("""COMPUTED_VALUE"""),"")</f>
        <v/>
      </c>
      <c r="G31" t="str">
        <f>IFERROR(__xludf.DUMMYFUNCTION("""COMPUTED_VALUE"""),"")</f>
        <v/>
      </c>
      <c r="H31" t="str">
        <f>IFERROR(__xludf.DUMMYFUNCTION("""COMPUTED_VALUE"""),"")</f>
        <v/>
      </c>
      <c r="I31" t="str">
        <f>IFERROR(__xludf.DUMMYFUNCTION("""COMPUTED_VALUE"""),"")</f>
        <v/>
      </c>
      <c r="J31" t="str">
        <f>IFERROR(__xludf.DUMMYFUNCTION("""COMPUTED_VALUE"""),"")</f>
        <v/>
      </c>
      <c r="K31" t="str">
        <f>IFERROR(__xludf.DUMMYFUNCTION("""COMPUTED_VALUE"""),"")</f>
        <v/>
      </c>
      <c r="L31" t="str">
        <f>IFERROR(__xludf.DUMMYFUNCTION("""COMPUTED_VALUE"""),"")</f>
        <v/>
      </c>
    </row>
    <row r="32" ht="15.75" customHeight="1">
      <c r="A32" s="6" t="str">
        <f>IFERROR(__xludf.DUMMYFUNCTION("""COMPUTED_VALUE"""),"SymbolLookup")</f>
        <v>SymbolLookup</v>
      </c>
      <c r="B32" s="6" t="str">
        <f>IFERROR(__xludf.DUMMYFUNCTION("""COMPUTED_VALUE"""),"VerifySymbolLookUp")</f>
        <v>VerifySymbolLookUp</v>
      </c>
      <c r="C32" s="6" t="str">
        <f>IFERROR(__xludf.DUMMYFUNCTION("""COMPUTED_VALUE"""),"1Fe8M8KnrsIcnAobjXa43I9IzXKCnB39xCSYterKkeEc")</f>
        <v>1Fe8M8KnrsIcnAobjXa43I9IzXKCnB39xCSYterKkeEc</v>
      </c>
      <c r="D32" s="6" t="str">
        <f>IFERROR(__xludf.DUMMYFUNCTION("""COMPUTED_VALUE"""),"")</f>
        <v/>
      </c>
      <c r="E32" s="6" t="str">
        <f>IFERROR(__xludf.DUMMYFUNCTION("""COMPUTED_VALUE"""),"")</f>
        <v/>
      </c>
      <c r="F32" s="6" t="str">
        <f>IFERROR(__xludf.DUMMYFUNCTION("""COMPUTED_VALUE"""),"")</f>
        <v/>
      </c>
      <c r="G32" t="str">
        <f>IFERROR(__xludf.DUMMYFUNCTION("""COMPUTED_VALUE"""),"")</f>
        <v/>
      </c>
      <c r="H32" t="str">
        <f>IFERROR(__xludf.DUMMYFUNCTION("""COMPUTED_VALUE"""),"")</f>
        <v/>
      </c>
      <c r="I32" t="str">
        <f>IFERROR(__xludf.DUMMYFUNCTION("""COMPUTED_VALUE"""),"")</f>
        <v/>
      </c>
      <c r="J32" t="str">
        <f>IFERROR(__xludf.DUMMYFUNCTION("""COMPUTED_VALUE"""),"")</f>
        <v/>
      </c>
      <c r="K32" t="str">
        <f>IFERROR(__xludf.DUMMYFUNCTION("""COMPUTED_VALUE"""),"")</f>
        <v/>
      </c>
      <c r="L32" t="str">
        <f>IFERROR(__xludf.DUMMYFUNCTION("""COMPUTED_VALUE"""),"")</f>
        <v/>
      </c>
    </row>
    <row r="33" ht="15.75" customHeight="1">
      <c r="A33" s="6" t="str">
        <f>IFERROR(__xludf.DUMMYFUNCTION("""COMPUTED_VALUE"""),"SymbolLookup")</f>
        <v>SymbolLookup</v>
      </c>
      <c r="B33" s="6" t="str">
        <f>IFERROR(__xludf.DUMMYFUNCTION("""COMPUTED_VALUE"""),"SymbolLookupFromTT")</f>
        <v>SymbolLookupFromTT</v>
      </c>
      <c r="C33" s="6" t="str">
        <f>IFERROR(__xludf.DUMMYFUNCTION("""COMPUTED_VALUE"""),"1qJHd_QH5ht3ZzeFZbKiVeEOBmlpAshwV72N701B28uk")</f>
        <v>1qJHd_QH5ht3ZzeFZbKiVeEOBmlpAshwV72N701B28uk</v>
      </c>
      <c r="D33" s="6" t="str">
        <f>IFERROR(__xludf.DUMMYFUNCTION("""COMPUTED_VALUE"""),"")</f>
        <v/>
      </c>
      <c r="E33" s="6" t="str">
        <f>IFERROR(__xludf.DUMMYFUNCTION("""COMPUTED_VALUE"""),"")</f>
        <v/>
      </c>
      <c r="F33" s="6" t="str">
        <f>IFERROR(__xludf.DUMMYFUNCTION("""COMPUTED_VALUE"""),"")</f>
        <v/>
      </c>
      <c r="G33" t="str">
        <f>IFERROR(__xludf.DUMMYFUNCTION("""COMPUTED_VALUE"""),"")</f>
        <v/>
      </c>
      <c r="H33" t="str">
        <f>IFERROR(__xludf.DUMMYFUNCTION("""COMPUTED_VALUE"""),"")</f>
        <v/>
      </c>
      <c r="I33" t="str">
        <f>IFERROR(__xludf.DUMMYFUNCTION("""COMPUTED_VALUE"""),"")</f>
        <v/>
      </c>
      <c r="J33" t="str">
        <f>IFERROR(__xludf.DUMMYFUNCTION("""COMPUTED_VALUE"""),"")</f>
        <v/>
      </c>
      <c r="K33" t="str">
        <f>IFERROR(__xludf.DUMMYFUNCTION("""COMPUTED_VALUE"""),"")</f>
        <v/>
      </c>
      <c r="L33" t="str">
        <f>IFERROR(__xludf.DUMMYFUNCTION("""COMPUTED_VALUE"""),"")</f>
        <v/>
      </c>
    </row>
    <row r="34" ht="15.75" customHeight="1">
      <c r="A34" t="str">
        <f>IFERROR(__xludf.DUMMYFUNCTION("""COMPUTED_VALUE"""),"SymbolLookup")</f>
        <v>SymbolLookup</v>
      </c>
      <c r="B34" t="str">
        <f>IFERROR(__xludf.DUMMYFUNCTION("""COMPUTED_VALUE"""),"UpdateUDA")</f>
        <v>UpdateUDA</v>
      </c>
      <c r="C34" t="str">
        <f>IFERROR(__xludf.DUMMYFUNCTION("""COMPUTED_VALUE"""),"15oRO_LPvC6rypZrsVSsxZ-4GAvCsN-AMXec_SMX1zsQ")</f>
        <v>15oRO_LPvC6rypZrsVSsxZ-4GAvCsN-AMXec_SMX1zsQ</v>
      </c>
      <c r="D34" t="str">
        <f>IFERROR(__xludf.DUMMYFUNCTION("""COMPUTED_VALUE"""),"")</f>
        <v/>
      </c>
      <c r="E34" t="str">
        <f>IFERROR(__xludf.DUMMYFUNCTION("""COMPUTED_VALUE"""),"")</f>
        <v/>
      </c>
      <c r="F34" t="str">
        <f>IFERROR(__xludf.DUMMYFUNCTION("""COMPUTED_VALUE"""),"")</f>
        <v/>
      </c>
      <c r="G34" t="str">
        <f>IFERROR(__xludf.DUMMYFUNCTION("""COMPUTED_VALUE"""),"")</f>
        <v/>
      </c>
      <c r="H34" t="str">
        <f>IFERROR(__xludf.DUMMYFUNCTION("""COMPUTED_VALUE"""),"")</f>
        <v/>
      </c>
      <c r="I34" t="str">
        <f>IFERROR(__xludf.DUMMYFUNCTION("""COMPUTED_VALUE"""),"")</f>
        <v/>
      </c>
      <c r="J34" t="str">
        <f>IFERROR(__xludf.DUMMYFUNCTION("""COMPUTED_VALUE"""),"")</f>
        <v/>
      </c>
      <c r="K34" t="str">
        <f>IFERROR(__xludf.DUMMYFUNCTION("""COMPUTED_VALUE"""),"")</f>
        <v/>
      </c>
      <c r="L34" t="str">
        <f>IFERROR(__xludf.DUMMYFUNCTION("""COMPUTED_VALUE"""),"")</f>
        <v/>
      </c>
    </row>
    <row r="35" ht="15.75" customHeight="1">
      <c r="A35" t="str">
        <f>IFERROR(__xludf.DUMMYFUNCTION("""COMPUTED_VALUE"""),"SymbolLookup")</f>
        <v>SymbolLookup</v>
      </c>
      <c r="B35" t="str">
        <f>IFERROR(__xludf.DUMMYFUNCTION("""COMPUTED_VALUE"""),"GetSymbol")</f>
        <v>GetSymbol</v>
      </c>
      <c r="C35" t="str">
        <f>IFERROR(__xludf.DUMMYFUNCTION("""COMPUTED_VALUE"""),"1x31soGgAIzQ8ewrat6Uw5zrZIzPOYIL8ZYN_OzrxiqU")</f>
        <v>1x31soGgAIzQ8ewrat6Uw5zrZIzPOYIL8ZYN_OzrxiqU</v>
      </c>
      <c r="D35" t="str">
        <f>IFERROR(__xludf.DUMMYFUNCTION("""COMPUTED_VALUE"""),"")</f>
        <v/>
      </c>
      <c r="E35" t="str">
        <f>IFERROR(__xludf.DUMMYFUNCTION("""COMPUTED_VALUE"""),"")</f>
        <v/>
      </c>
      <c r="F35" t="str">
        <f>IFERROR(__xludf.DUMMYFUNCTION("""COMPUTED_VALUE"""),"")</f>
        <v/>
      </c>
      <c r="G35" t="str">
        <f>IFERROR(__xludf.DUMMYFUNCTION("""COMPUTED_VALUE"""),"")</f>
        <v/>
      </c>
      <c r="H35" t="str">
        <f>IFERROR(__xludf.DUMMYFUNCTION("""COMPUTED_VALUE"""),"")</f>
        <v/>
      </c>
      <c r="I35" t="str">
        <f>IFERROR(__xludf.DUMMYFUNCTION("""COMPUTED_VALUE"""),"")</f>
        <v/>
      </c>
      <c r="J35" t="str">
        <f>IFERROR(__xludf.DUMMYFUNCTION("""COMPUTED_VALUE"""),"")</f>
        <v/>
      </c>
      <c r="K35" t="str">
        <f>IFERROR(__xludf.DUMMYFUNCTION("""COMPUTED_VALUE"""),"")</f>
        <v/>
      </c>
      <c r="L35" t="str">
        <f>IFERROR(__xludf.DUMMYFUNCTION("""COMPUTED_VALUE"""),"")</f>
        <v/>
      </c>
    </row>
    <row r="36" ht="15.75" customHeight="1">
      <c r="A36" t="str">
        <f>IFERROR(__xludf.DUMMYFUNCTION("""COMPUTED_VALUE"""),"SymbolLookup")</f>
        <v>SymbolLookup</v>
      </c>
      <c r="B36" t="str">
        <f>IFERROR(__xludf.DUMMYFUNCTION("""COMPUTED_VALUE"""),"GetDataSymbolLookup")</f>
        <v>GetDataSymbolLookup</v>
      </c>
      <c r="C36" t="str">
        <f>IFERROR(__xludf.DUMMYFUNCTION("""COMPUTED_VALUE"""),"1e0trYHQukhb0WQXpsxD5RhQ_bYwjB2sFNrgs2uaqNvg")</f>
        <v>1e0trYHQukhb0WQXpsxD5RhQ_bYwjB2sFNrgs2uaqNvg</v>
      </c>
      <c r="D36" t="str">
        <f>IFERROR(__xludf.DUMMYFUNCTION("""COMPUTED_VALUE"""),"")</f>
        <v/>
      </c>
      <c r="E36" t="str">
        <f>IFERROR(__xludf.DUMMYFUNCTION("""COMPUTED_VALUE"""),"")</f>
        <v/>
      </c>
      <c r="F36" t="str">
        <f>IFERROR(__xludf.DUMMYFUNCTION("""COMPUTED_VALUE"""),"")</f>
        <v/>
      </c>
      <c r="G36" t="str">
        <f>IFERROR(__xludf.DUMMYFUNCTION("""COMPUTED_VALUE"""),"")</f>
        <v/>
      </c>
      <c r="H36" t="str">
        <f>IFERROR(__xludf.DUMMYFUNCTION("""COMPUTED_VALUE"""),"")</f>
        <v/>
      </c>
      <c r="I36" t="str">
        <f>IFERROR(__xludf.DUMMYFUNCTION("""COMPUTED_VALUE"""),"")</f>
        <v/>
      </c>
      <c r="J36" t="str">
        <f>IFERROR(__xludf.DUMMYFUNCTION("""COMPUTED_VALUE"""),"")</f>
        <v/>
      </c>
      <c r="K36" t="str">
        <f>IFERROR(__xludf.DUMMYFUNCTION("""COMPUTED_VALUE"""),"")</f>
        <v/>
      </c>
      <c r="L36" t="str">
        <f>IFERROR(__xludf.DUMMYFUNCTION("""COMPUTED_VALUE"""),"")</f>
        <v/>
      </c>
    </row>
    <row r="37" ht="15.75" customHeight="1">
      <c r="A37" t="str">
        <f>IFERROR(__xludf.DUMMYFUNCTION("""COMPUTED_VALUE"""),"ThirdParty")</f>
        <v>ThirdParty</v>
      </c>
      <c r="B37" t="str">
        <f>IFERROR(__xludf.DUMMYFUNCTION("""COMPUTED_VALUE"""),"ViewThirdParty")</f>
        <v>ViewThirdParty</v>
      </c>
      <c r="C37" t="str">
        <f>IFERROR(__xludf.DUMMYFUNCTION("""COMPUTED_VALUE"""),"1F_BXcQL-UOYNmtCgE2FRSzTxqoMMKNIV-clJRsPLe1s")</f>
        <v>1F_BXcQL-UOYNmtCgE2FRSzTxqoMMKNIV-clJRsPLe1s</v>
      </c>
      <c r="D37" t="str">
        <f>IFERROR(__xludf.DUMMYFUNCTION("""COMPUTED_VALUE"""),"")</f>
        <v/>
      </c>
      <c r="E37" t="str">
        <f>IFERROR(__xludf.DUMMYFUNCTION("""COMPUTED_VALUE"""),"")</f>
        <v/>
      </c>
      <c r="F37" t="str">
        <f>IFERROR(__xludf.DUMMYFUNCTION("""COMPUTED_VALUE"""),"")</f>
        <v/>
      </c>
      <c r="G37" t="str">
        <f>IFERROR(__xludf.DUMMYFUNCTION("""COMPUTED_VALUE"""),"")</f>
        <v/>
      </c>
      <c r="H37" t="str">
        <f>IFERROR(__xludf.DUMMYFUNCTION("""COMPUTED_VALUE"""),"")</f>
        <v/>
      </c>
      <c r="I37" t="str">
        <f>IFERROR(__xludf.DUMMYFUNCTION("""COMPUTED_VALUE"""),"")</f>
        <v/>
      </c>
      <c r="J37" t="str">
        <f>IFERROR(__xludf.DUMMYFUNCTION("""COMPUTED_VALUE"""),"")</f>
        <v/>
      </c>
      <c r="K37" t="str">
        <f>IFERROR(__xludf.DUMMYFUNCTION("""COMPUTED_VALUE"""),"")</f>
        <v/>
      </c>
      <c r="L37" t="str">
        <f>IFERROR(__xludf.DUMMYFUNCTION("""COMPUTED_VALUE"""),"")</f>
        <v/>
      </c>
    </row>
    <row r="38" ht="15.75" customHeight="1">
      <c r="A38" t="str">
        <f>IFERROR(__xludf.DUMMYFUNCTION("""COMPUTED_VALUE"""),"ThirdParty")</f>
        <v>ThirdParty</v>
      </c>
      <c r="B38" t="str">
        <f>IFERROR(__xludf.DUMMYFUNCTION("""COMPUTED_VALUE"""),"SelectThirdPartyName")</f>
        <v>SelectThirdPartyName</v>
      </c>
      <c r="C38" t="str">
        <f>IFERROR(__xludf.DUMMYFUNCTION("""COMPUTED_VALUE"""),"1Seece-QvbnxJPXb_gnGofgxvFKlLukvDW2KqTZLtK98")</f>
        <v>1Seece-QvbnxJPXb_gnGofgxvFKlLukvDW2KqTZLtK98</v>
      </c>
      <c r="D38" t="str">
        <f>IFERROR(__xludf.DUMMYFUNCTION("""COMPUTED_VALUE"""),"")</f>
        <v/>
      </c>
      <c r="E38" t="str">
        <f>IFERROR(__xludf.DUMMYFUNCTION("""COMPUTED_VALUE"""),"")</f>
        <v/>
      </c>
      <c r="F38" t="str">
        <f>IFERROR(__xludf.DUMMYFUNCTION("""COMPUTED_VALUE"""),"")</f>
        <v/>
      </c>
      <c r="G38" t="str">
        <f>IFERROR(__xludf.DUMMYFUNCTION("""COMPUTED_VALUE"""),"")</f>
        <v/>
      </c>
      <c r="H38" t="str">
        <f>IFERROR(__xludf.DUMMYFUNCTION("""COMPUTED_VALUE"""),"")</f>
        <v/>
      </c>
      <c r="I38" t="str">
        <f>IFERROR(__xludf.DUMMYFUNCTION("""COMPUTED_VALUE"""),"")</f>
        <v/>
      </c>
      <c r="J38" t="str">
        <f>IFERROR(__xludf.DUMMYFUNCTION("""COMPUTED_VALUE"""),"")</f>
        <v/>
      </c>
      <c r="K38" t="str">
        <f>IFERROR(__xludf.DUMMYFUNCTION("""COMPUTED_VALUE"""),"")</f>
        <v/>
      </c>
      <c r="L38" t="str">
        <f>IFERROR(__xludf.DUMMYFUNCTION("""COMPUTED_VALUE"""),"")</f>
        <v/>
      </c>
    </row>
    <row r="39" ht="15.75" customHeight="1">
      <c r="A39" t="str">
        <f>IFERROR(__xludf.DUMMYFUNCTION("""COMPUTED_VALUE"""),"ThirdParty")</f>
        <v>ThirdParty</v>
      </c>
      <c r="B39" t="str">
        <f>IFERROR(__xludf.DUMMYFUNCTION("""COMPUTED_VALUE"""),"VerifyThirdPartyData")</f>
        <v>VerifyThirdPartyData</v>
      </c>
      <c r="C39" t="str">
        <f>IFERROR(__xludf.DUMMYFUNCTION("""COMPUTED_VALUE"""),"1u7KqMwMvVlHd9mcfrPLUbFG22gfYSWpnZJvdzoK1ZYA")</f>
        <v>1u7KqMwMvVlHd9mcfrPLUbFG22gfYSWpnZJvdzoK1ZYA</v>
      </c>
      <c r="D39" t="str">
        <f>IFERROR(__xludf.DUMMYFUNCTION("""COMPUTED_VALUE"""),"")</f>
        <v/>
      </c>
      <c r="E39" t="str">
        <f>IFERROR(__xludf.DUMMYFUNCTION("""COMPUTED_VALUE"""),"")</f>
        <v/>
      </c>
      <c r="F39" t="str">
        <f>IFERROR(__xludf.DUMMYFUNCTION("""COMPUTED_VALUE"""),"")</f>
        <v/>
      </c>
      <c r="G39" t="str">
        <f>IFERROR(__xludf.DUMMYFUNCTION("""COMPUTED_VALUE"""),"")</f>
        <v/>
      </c>
      <c r="H39" t="str">
        <f>IFERROR(__xludf.DUMMYFUNCTION("""COMPUTED_VALUE"""),"")</f>
        <v/>
      </c>
      <c r="I39" t="str">
        <f>IFERROR(__xludf.DUMMYFUNCTION("""COMPUTED_VALUE"""),"")</f>
        <v/>
      </c>
      <c r="J39" t="str">
        <f>IFERROR(__xludf.DUMMYFUNCTION("""COMPUTED_VALUE"""),"")</f>
        <v/>
      </c>
      <c r="K39" t="str">
        <f>IFERROR(__xludf.DUMMYFUNCTION("""COMPUTED_VALUE"""),"")</f>
        <v/>
      </c>
      <c r="L39" t="str">
        <f>IFERROR(__xludf.DUMMYFUNCTION("""COMPUTED_VALUE"""),"")</f>
        <v/>
      </c>
    </row>
    <row r="40" ht="15.75" customHeight="1">
      <c r="A40" t="str">
        <f>IFERROR(__xludf.DUMMYFUNCTION("""COMPUTED_VALUE"""),"CorporateAction")</f>
        <v>CorporateAction</v>
      </c>
      <c r="B40" t="str">
        <f>IFERROR(__xludf.DUMMYFUNCTION("""COMPUTED_VALUE"""),"CleanUp")</f>
        <v>CleanUp</v>
      </c>
      <c r="C40" t="str">
        <f>IFERROR(__xludf.DUMMYFUNCTION("""COMPUTED_VALUE"""),"19OUC-KFPJBCD5XEanC8Js6T4MSPKjYN8wC24gzOEVFk")</f>
        <v>19OUC-KFPJBCD5XEanC8Js6T4MSPKjYN8wC24gzOEVFk</v>
      </c>
      <c r="D40" t="str">
        <f>IFERROR(__xludf.DUMMYFUNCTION("""COMPUTED_VALUE"""),"")</f>
        <v/>
      </c>
      <c r="E40" t="str">
        <f>IFERROR(__xludf.DUMMYFUNCTION("""COMPUTED_VALUE"""),"")</f>
        <v/>
      </c>
      <c r="F40" t="str">
        <f>IFERROR(__xludf.DUMMYFUNCTION("""COMPUTED_VALUE"""),"")</f>
        <v/>
      </c>
      <c r="G40" t="str">
        <f>IFERROR(__xludf.DUMMYFUNCTION("""COMPUTED_VALUE"""),"")</f>
        <v/>
      </c>
      <c r="H40" t="str">
        <f>IFERROR(__xludf.DUMMYFUNCTION("""COMPUTED_VALUE"""),"")</f>
        <v/>
      </c>
      <c r="I40" t="str">
        <f>IFERROR(__xludf.DUMMYFUNCTION("""COMPUTED_VALUE"""),"")</f>
        <v/>
      </c>
      <c r="J40" t="str">
        <f>IFERROR(__xludf.DUMMYFUNCTION("""COMPUTED_VALUE"""),"")</f>
        <v/>
      </c>
      <c r="K40" t="str">
        <f>IFERROR(__xludf.DUMMYFUNCTION("""COMPUTED_VALUE"""),"")</f>
        <v/>
      </c>
      <c r="L40" t="str">
        <f>IFERROR(__xludf.DUMMYFUNCTION("""COMPUTED_VALUE"""),"")</f>
        <v/>
      </c>
    </row>
    <row r="41" ht="15.75" customHeight="1">
      <c r="A41" t="str">
        <f>IFERROR(__xludf.DUMMYFUNCTION("""COMPUTED_VALUE"""),"PST")</f>
        <v>PST</v>
      </c>
      <c r="B41" t="str">
        <f>IFERROR(__xludf.DUMMYFUNCTION("""COMPUTED_VALUE"""),"RunPST")</f>
        <v>RunPST</v>
      </c>
      <c r="C41" t="str">
        <f>IFERROR(__xludf.DUMMYFUNCTION("""COMPUTED_VALUE"""),"13u7vqO7dHa-QnQluOEUR6rpZXp__Iv3tfm7aMG4omnc")</f>
        <v>13u7vqO7dHa-QnQluOEUR6rpZXp__Iv3tfm7aMG4omnc</v>
      </c>
      <c r="D41" t="str">
        <f>IFERROR(__xludf.DUMMYFUNCTION("""COMPUTED_VALUE"""),"")</f>
        <v/>
      </c>
      <c r="E41" t="str">
        <f>IFERROR(__xludf.DUMMYFUNCTION("""COMPUTED_VALUE"""),"")</f>
        <v/>
      </c>
      <c r="F41" t="str">
        <f>IFERROR(__xludf.DUMMYFUNCTION("""COMPUTED_VALUE"""),"")</f>
        <v/>
      </c>
      <c r="G41" t="str">
        <f>IFERROR(__xludf.DUMMYFUNCTION("""COMPUTED_VALUE"""),"")</f>
        <v/>
      </c>
      <c r="H41" t="str">
        <f>IFERROR(__xludf.DUMMYFUNCTION("""COMPUTED_VALUE"""),"")</f>
        <v/>
      </c>
      <c r="I41" t="str">
        <f>IFERROR(__xludf.DUMMYFUNCTION("""COMPUTED_VALUE"""),"")</f>
        <v/>
      </c>
      <c r="J41" t="str">
        <f>IFERROR(__xludf.DUMMYFUNCTION("""COMPUTED_VALUE"""),"")</f>
        <v/>
      </c>
      <c r="K41" t="str">
        <f>IFERROR(__xludf.DUMMYFUNCTION("""COMPUTED_VALUE"""),"")</f>
        <v/>
      </c>
      <c r="L41" t="str">
        <f>IFERROR(__xludf.DUMMYFUNCTION("""COMPUTED_VALUE"""),"")</f>
        <v/>
      </c>
    </row>
    <row r="42" ht="15.75" customHeight="1">
      <c r="A42" t="str">
        <f>IFERROR(__xludf.DUMMYFUNCTION("""COMPUTED_VALUE"""),"PST")</f>
        <v>PST</v>
      </c>
      <c r="B42" t="str">
        <f>IFERROR(__xludf.DUMMYFUNCTION("""COMPUTED_VALUE"""),"PSTInputData")</f>
        <v>PSTInputData</v>
      </c>
      <c r="C42" t="str">
        <f>IFERROR(__xludf.DUMMYFUNCTION("""COMPUTED_VALUE"""),"1B7NnkALzxy07DJM7saVZv1o5ZltnXFqFqsxqWW8kqA0")</f>
        <v>1B7NnkALzxy07DJM7saVZv1o5ZltnXFqFqsxqWW8kqA0</v>
      </c>
      <c r="D42" t="str">
        <f>IFERROR(__xludf.DUMMYFUNCTION("""COMPUTED_VALUE"""),"")</f>
        <v/>
      </c>
      <c r="E42" t="str">
        <f>IFERROR(__xludf.DUMMYFUNCTION("""COMPUTED_VALUE"""),"")</f>
        <v/>
      </c>
      <c r="F42" t="str">
        <f>IFERROR(__xludf.DUMMYFUNCTION("""COMPUTED_VALUE"""),"")</f>
        <v/>
      </c>
      <c r="G42" t="str">
        <f>IFERROR(__xludf.DUMMYFUNCTION("""COMPUTED_VALUE"""),"")</f>
        <v/>
      </c>
      <c r="H42" t="str">
        <f>IFERROR(__xludf.DUMMYFUNCTION("""COMPUTED_VALUE"""),"")</f>
        <v/>
      </c>
      <c r="I42" t="str">
        <f>IFERROR(__xludf.DUMMYFUNCTION("""COMPUTED_VALUE"""),"")</f>
        <v/>
      </c>
      <c r="J42" t="str">
        <f>IFERROR(__xludf.DUMMYFUNCTION("""COMPUTED_VALUE"""),"")</f>
        <v/>
      </c>
      <c r="K42" t="str">
        <f>IFERROR(__xludf.DUMMYFUNCTION("""COMPUTED_VALUE"""),"")</f>
        <v/>
      </c>
      <c r="L42" t="str">
        <f>IFERROR(__xludf.DUMMYFUNCTION("""COMPUTED_VALUE"""),"")</f>
        <v/>
      </c>
    </row>
    <row r="43" ht="15.75" customHeight="1">
      <c r="A43" t="str">
        <f>IFERROR(__xludf.DUMMYFUNCTION("""COMPUTED_VALUE"""),"PST")</f>
        <v>PST</v>
      </c>
      <c r="B43" t="str">
        <f>IFERROR(__xludf.DUMMYFUNCTION("""COMPUTED_VALUE"""),"PSTVerifyData")</f>
        <v>PSTVerifyData</v>
      </c>
      <c r="C43" t="str">
        <f>IFERROR(__xludf.DUMMYFUNCTION("""COMPUTED_VALUE"""),"1FXo2WcGDASn25PGZWTFfkBEPCkvTAGauIbof2MOtRxE")</f>
        <v>1FXo2WcGDASn25PGZWTFfkBEPCkvTAGauIbof2MOtRxE</v>
      </c>
      <c r="D43" t="str">
        <f>IFERROR(__xludf.DUMMYFUNCTION("""COMPUTED_VALUE"""),"")</f>
        <v/>
      </c>
      <c r="E43" t="str">
        <f>IFERROR(__xludf.DUMMYFUNCTION("""COMPUTED_VALUE"""),"")</f>
        <v/>
      </c>
      <c r="F43" t="str">
        <f>IFERROR(__xludf.DUMMYFUNCTION("""COMPUTED_VALUE"""),"")</f>
        <v/>
      </c>
      <c r="G43" t="str">
        <f>IFERROR(__xludf.DUMMYFUNCTION("""COMPUTED_VALUE"""),"")</f>
        <v/>
      </c>
      <c r="H43" t="str">
        <f>IFERROR(__xludf.DUMMYFUNCTION("""COMPUTED_VALUE"""),"")</f>
        <v/>
      </c>
      <c r="I43" t="str">
        <f>IFERROR(__xludf.DUMMYFUNCTION("""COMPUTED_VALUE"""),"")</f>
        <v/>
      </c>
      <c r="J43" t="str">
        <f>IFERROR(__xludf.DUMMYFUNCTION("""COMPUTED_VALUE"""),"")</f>
        <v/>
      </c>
      <c r="K43" t="str">
        <f>IFERROR(__xludf.DUMMYFUNCTION("""COMPUTED_VALUE"""),"")</f>
        <v/>
      </c>
      <c r="L43" t="str">
        <f>IFERROR(__xludf.DUMMYFUNCTION("""COMPUTED_VALUE"""),"")</f>
        <v/>
      </c>
    </row>
    <row r="44" ht="15.75" customHeight="1">
      <c r="A44" t="str">
        <f>IFERROR(__xludf.DUMMYFUNCTION("""COMPUTED_VALUE"""),"PST")</f>
        <v>PST</v>
      </c>
      <c r="B44" t="str">
        <f>IFERROR(__xludf.DUMMYFUNCTION("""COMPUTED_VALUE"""),"PSTFunctionalities")</f>
        <v>PSTFunctionalities</v>
      </c>
      <c r="C44" t="str">
        <f>IFERROR(__xludf.DUMMYFUNCTION("""COMPUTED_VALUE"""),"1uwp5EUk7yLKid2SqDjwj0_GiGO9VhpJzYIcxQylCTwo")</f>
        <v>1uwp5EUk7yLKid2SqDjwj0_GiGO9VhpJzYIcxQylCTwo</v>
      </c>
      <c r="D44" t="str">
        <f>IFERROR(__xludf.DUMMYFUNCTION("""COMPUTED_VALUE"""),"")</f>
        <v/>
      </c>
      <c r="E44" t="str">
        <f>IFERROR(__xludf.DUMMYFUNCTION("""COMPUTED_VALUE"""),"")</f>
        <v/>
      </c>
      <c r="F44" t="str">
        <f>IFERROR(__xludf.DUMMYFUNCTION("""COMPUTED_VALUE"""),"")</f>
        <v/>
      </c>
      <c r="G44" t="str">
        <f>IFERROR(__xludf.DUMMYFUNCTION("""COMPUTED_VALUE"""),"")</f>
        <v/>
      </c>
      <c r="H44" t="str">
        <f>IFERROR(__xludf.DUMMYFUNCTION("""COMPUTED_VALUE"""),"")</f>
        <v/>
      </c>
      <c r="I44" t="str">
        <f>IFERROR(__xludf.DUMMYFUNCTION("""COMPUTED_VALUE"""),"")</f>
        <v/>
      </c>
      <c r="J44" t="str">
        <f>IFERROR(__xludf.DUMMYFUNCTION("""COMPUTED_VALUE"""),"")</f>
        <v/>
      </c>
      <c r="K44" t="str">
        <f>IFERROR(__xludf.DUMMYFUNCTION("""COMPUTED_VALUE"""),"")</f>
        <v/>
      </c>
      <c r="L44" t="str">
        <f>IFERROR(__xludf.DUMMYFUNCTION("""COMPUTED_VALUE"""),"")</f>
        <v/>
      </c>
    </row>
    <row r="45" ht="15.75" customHeight="1">
      <c r="A45" t="str">
        <f>IFERROR(__xludf.DUMMYFUNCTION("""COMPUTED_VALUE"""),"PortfolioManagement")</f>
        <v>PortfolioManagement</v>
      </c>
      <c r="B45" t="str">
        <f>IFERROR(__xludf.DUMMYFUNCTION("""COMPUTED_VALUE"""),"OpenPSTFromPM")</f>
        <v>OpenPSTFromPM</v>
      </c>
      <c r="C45" t="str">
        <f>IFERROR(__xludf.DUMMYFUNCTION("""COMPUTED_VALUE"""),"1Hh6nJVl05fGFGgAzhC0v2n-p_CU9Jd0uFqdHlnWwJTg")</f>
        <v>1Hh6nJVl05fGFGgAzhC0v2n-p_CU9Jd0uFqdHlnWwJTg</v>
      </c>
      <c r="D45" t="str">
        <f>IFERROR(__xludf.DUMMYFUNCTION("""COMPUTED_VALUE"""),"")</f>
        <v/>
      </c>
      <c r="E45" t="str">
        <f>IFERROR(__xludf.DUMMYFUNCTION("""COMPUTED_VALUE"""),"")</f>
        <v/>
      </c>
      <c r="F45" t="str">
        <f>IFERROR(__xludf.DUMMYFUNCTION("""COMPUTED_VALUE"""),"")</f>
        <v/>
      </c>
      <c r="G45" t="str">
        <f>IFERROR(__xludf.DUMMYFUNCTION("""COMPUTED_VALUE"""),"")</f>
        <v/>
      </c>
      <c r="H45" t="str">
        <f>IFERROR(__xludf.DUMMYFUNCTION("""COMPUTED_VALUE"""),"")</f>
        <v/>
      </c>
      <c r="I45" t="str">
        <f>IFERROR(__xludf.DUMMYFUNCTION("""COMPUTED_VALUE"""),"")</f>
        <v/>
      </c>
      <c r="J45" t="str">
        <f>IFERROR(__xludf.DUMMYFUNCTION("""COMPUTED_VALUE"""),"")</f>
        <v/>
      </c>
      <c r="K45" t="str">
        <f>IFERROR(__xludf.DUMMYFUNCTION("""COMPUTED_VALUE"""),"")</f>
        <v/>
      </c>
      <c r="L45" t="str">
        <f>IFERROR(__xludf.DUMMYFUNCTION("""COMPUTED_VALUE"""),"")</f>
        <v/>
      </c>
    </row>
    <row r="46" ht="15.75" customHeight="1">
      <c r="A46" t="str">
        <f>IFERROR(__xludf.DUMMYFUNCTION("""COMPUTED_VALUE"""),"TradingTicket")</f>
        <v>TradingTicket</v>
      </c>
      <c r="B46" t="str">
        <f>IFERROR(__xludf.DUMMYFUNCTION("""COMPUTED_VALUE"""),"OpenTTFromPST")</f>
        <v>OpenTTFromPST</v>
      </c>
      <c r="C46" t="str">
        <f>IFERROR(__xludf.DUMMYFUNCTION("""COMPUTED_VALUE"""),"1O7edVbfzplQ-O-6CEJxzgq38bKuzQqrZMi1hvHduoxM")</f>
        <v>1O7edVbfzplQ-O-6CEJxzgq38bKuzQqrZMi1hvHduoxM</v>
      </c>
      <c r="D46" t="str">
        <f>IFERROR(__xludf.DUMMYFUNCTION("""COMPUTED_VALUE"""),"")</f>
        <v/>
      </c>
      <c r="E46" t="str">
        <f>IFERROR(__xludf.DUMMYFUNCTION("""COMPUTED_VALUE"""),"")</f>
        <v/>
      </c>
      <c r="F46" t="str">
        <f>IFERROR(__xludf.DUMMYFUNCTION("""COMPUTED_VALUE"""),"")</f>
        <v/>
      </c>
      <c r="G46" t="str">
        <f>IFERROR(__xludf.DUMMYFUNCTION("""COMPUTED_VALUE"""),"")</f>
        <v/>
      </c>
      <c r="H46" t="str">
        <f>IFERROR(__xludf.DUMMYFUNCTION("""COMPUTED_VALUE"""),"")</f>
        <v/>
      </c>
      <c r="I46" t="str">
        <f>IFERROR(__xludf.DUMMYFUNCTION("""COMPUTED_VALUE"""),"")</f>
        <v/>
      </c>
      <c r="J46" t="str">
        <f>IFERROR(__xludf.DUMMYFUNCTION("""COMPUTED_VALUE"""),"")</f>
        <v/>
      </c>
      <c r="K46" t="str">
        <f>IFERROR(__xludf.DUMMYFUNCTION("""COMPUTED_VALUE"""),"")</f>
        <v/>
      </c>
      <c r="L46" t="str">
        <f>IFERROR(__xludf.DUMMYFUNCTION("""COMPUTED_VALUE"""),"")</f>
        <v/>
      </c>
    </row>
    <row r="47" ht="15.75" customHeight="1">
      <c r="A47" t="str">
        <f>IFERROR(__xludf.DUMMYFUNCTION("""COMPUTED_VALUE"""),"CorporateAction")</f>
        <v>CorporateAction</v>
      </c>
      <c r="B47" t="str">
        <f>IFERROR(__xludf.DUMMYFUNCTION("""COMPUTED_VALUE"""),"CashDividend")</f>
        <v>CashDividend</v>
      </c>
      <c r="C47" t="str">
        <f>IFERROR(__xludf.DUMMYFUNCTION("""COMPUTED_VALUE"""),"1l95qunFGTeiKLwSKZHVbWlTE0cznZgjCRpuiltJ4gtg")</f>
        <v>1l95qunFGTeiKLwSKZHVbWlTE0cznZgjCRpuiltJ4gtg</v>
      </c>
      <c r="D47" t="str">
        <f>IFERROR(__xludf.DUMMYFUNCTION("""COMPUTED_VALUE"""),"")</f>
        <v/>
      </c>
      <c r="E47" t="str">
        <f>IFERROR(__xludf.DUMMYFUNCTION("""COMPUTED_VALUE"""),"")</f>
        <v/>
      </c>
      <c r="F47" t="str">
        <f>IFERROR(__xludf.DUMMYFUNCTION("""COMPUTED_VALUE"""),"")</f>
        <v/>
      </c>
      <c r="G47" t="str">
        <f>IFERROR(__xludf.DUMMYFUNCTION("""COMPUTED_VALUE"""),"")</f>
        <v/>
      </c>
      <c r="H47" t="str">
        <f>IFERROR(__xludf.DUMMYFUNCTION("""COMPUTED_VALUE"""),"")</f>
        <v/>
      </c>
      <c r="I47" t="str">
        <f>IFERROR(__xludf.DUMMYFUNCTION("""COMPUTED_VALUE"""),"")</f>
        <v/>
      </c>
      <c r="J47" t="str">
        <f>IFERROR(__xludf.DUMMYFUNCTION("""COMPUTED_VALUE"""),"")</f>
        <v/>
      </c>
      <c r="K47" t="str">
        <f>IFERROR(__xludf.DUMMYFUNCTION("""COMPUTED_VALUE"""),"")</f>
        <v/>
      </c>
      <c r="L47" t="str">
        <f>IFERROR(__xludf.DUMMYFUNCTION("""COMPUTED_VALUE"""),"")</f>
        <v/>
      </c>
    </row>
    <row r="48" ht="15.75" customHeight="1">
      <c r="A48" t="str">
        <f>IFERROR(__xludf.DUMMYFUNCTION("""COMPUTED_VALUE"""),"CorporateAction")</f>
        <v>CorporateAction</v>
      </c>
      <c r="B48" t="str">
        <f>IFERROR(__xludf.DUMMYFUNCTION("""COMPUTED_VALUE"""),"Exchange")</f>
        <v>Exchange</v>
      </c>
      <c r="C48" t="str">
        <f>IFERROR(__xludf.DUMMYFUNCTION("""COMPUTED_VALUE"""),"12KLRQucApo6IRtAzVp-za62nqiIuztr1Mj52yRvvqOY")</f>
        <v>12KLRQucApo6IRtAzVp-za62nqiIuztr1Mj52yRvvqOY</v>
      </c>
      <c r="D48" t="str">
        <f>IFERROR(__xludf.DUMMYFUNCTION("""COMPUTED_VALUE"""),"")</f>
        <v/>
      </c>
      <c r="E48" t="str">
        <f>IFERROR(__xludf.DUMMYFUNCTION("""COMPUTED_VALUE"""),"")</f>
        <v/>
      </c>
      <c r="F48" t="str">
        <f>IFERROR(__xludf.DUMMYFUNCTION("""COMPUTED_VALUE"""),"")</f>
        <v/>
      </c>
      <c r="G48" t="str">
        <f>IFERROR(__xludf.DUMMYFUNCTION("""COMPUTED_VALUE"""),"")</f>
        <v/>
      </c>
      <c r="H48" t="str">
        <f>IFERROR(__xludf.DUMMYFUNCTION("""COMPUTED_VALUE"""),"")</f>
        <v/>
      </c>
      <c r="I48" t="str">
        <f>IFERROR(__xludf.DUMMYFUNCTION("""COMPUTED_VALUE"""),"")</f>
        <v/>
      </c>
      <c r="J48" t="str">
        <f>IFERROR(__xludf.DUMMYFUNCTION("""COMPUTED_VALUE"""),"")</f>
        <v/>
      </c>
      <c r="K48" t="str">
        <f>IFERROR(__xludf.DUMMYFUNCTION("""COMPUTED_VALUE"""),"")</f>
        <v/>
      </c>
      <c r="L48" t="str">
        <f>IFERROR(__xludf.DUMMYFUNCTION("""COMPUTED_VALUE"""),"")</f>
        <v/>
      </c>
    </row>
    <row r="49" ht="15.75" customHeight="1">
      <c r="A49" t="str">
        <f>IFERROR(__xludf.DUMMYFUNCTION("""COMPUTED_VALUE"""),"CorporateAction")</f>
        <v>CorporateAction</v>
      </c>
      <c r="B49" t="str">
        <f>IFERROR(__xludf.DUMMYFUNCTION("""COMPUTED_VALUE"""),"Merger")</f>
        <v>Merger</v>
      </c>
      <c r="C49" t="str">
        <f>IFERROR(__xludf.DUMMYFUNCTION("""COMPUTED_VALUE"""),"1qgEiuLYXaLVPJOINdfkRr7c9lyRRS_xBSe6SPkp8K-o")</f>
        <v>1qgEiuLYXaLVPJOINdfkRr7c9lyRRS_xBSe6SPkp8K-o</v>
      </c>
      <c r="D49" t="str">
        <f>IFERROR(__xludf.DUMMYFUNCTION("""COMPUTED_VALUE"""),"")</f>
        <v/>
      </c>
      <c r="E49" t="str">
        <f>IFERROR(__xludf.DUMMYFUNCTION("""COMPUTED_VALUE"""),"")</f>
        <v/>
      </c>
      <c r="F49" t="str">
        <f>IFERROR(__xludf.DUMMYFUNCTION("""COMPUTED_VALUE"""),"")</f>
        <v/>
      </c>
      <c r="G49" t="str">
        <f>IFERROR(__xludf.DUMMYFUNCTION("""COMPUTED_VALUE"""),"")</f>
        <v/>
      </c>
      <c r="H49" t="str">
        <f>IFERROR(__xludf.DUMMYFUNCTION("""COMPUTED_VALUE"""),"")</f>
        <v/>
      </c>
      <c r="I49" t="str">
        <f>IFERROR(__xludf.DUMMYFUNCTION("""COMPUTED_VALUE"""),"")</f>
        <v/>
      </c>
      <c r="J49" t="str">
        <f>IFERROR(__xludf.DUMMYFUNCTION("""COMPUTED_VALUE"""),"")</f>
        <v/>
      </c>
      <c r="K49" t="str">
        <f>IFERROR(__xludf.DUMMYFUNCTION("""COMPUTED_VALUE"""),"")</f>
        <v/>
      </c>
      <c r="L49" t="str">
        <f>IFERROR(__xludf.DUMMYFUNCTION("""COMPUTED_VALUE"""),"")</f>
        <v/>
      </c>
    </row>
    <row r="50" ht="15.75" customHeight="1">
      <c r="A50" t="str">
        <f>IFERROR(__xludf.DUMMYFUNCTION("""COMPUTED_VALUE"""),"CorporateAction")</f>
        <v>CorporateAction</v>
      </c>
      <c r="B50" t="str">
        <f>IFERROR(__xludf.DUMMYFUNCTION("""COMPUTED_VALUE"""),"NameChange")</f>
        <v>NameChange</v>
      </c>
      <c r="C50" t="str">
        <f>IFERROR(__xludf.DUMMYFUNCTION("""COMPUTED_VALUE"""),"1VuAexgshIic71eEvB5mnvl0UMXMV0P8jozCsUHV30FM")</f>
        <v>1VuAexgshIic71eEvB5mnvl0UMXMV0P8jozCsUHV30FM</v>
      </c>
      <c r="D50" t="str">
        <f>IFERROR(__xludf.DUMMYFUNCTION("""COMPUTED_VALUE"""),"")</f>
        <v/>
      </c>
      <c r="E50" t="str">
        <f>IFERROR(__xludf.DUMMYFUNCTION("""COMPUTED_VALUE"""),"")</f>
        <v/>
      </c>
      <c r="F50" t="str">
        <f>IFERROR(__xludf.DUMMYFUNCTION("""COMPUTED_VALUE"""),"")</f>
        <v/>
      </c>
      <c r="G50" t="str">
        <f>IFERROR(__xludf.DUMMYFUNCTION("""COMPUTED_VALUE"""),"")</f>
        <v/>
      </c>
      <c r="H50" t="str">
        <f>IFERROR(__xludf.DUMMYFUNCTION("""COMPUTED_VALUE"""),"")</f>
        <v/>
      </c>
      <c r="I50" t="str">
        <f>IFERROR(__xludf.DUMMYFUNCTION("""COMPUTED_VALUE"""),"")</f>
        <v/>
      </c>
      <c r="J50" t="str">
        <f>IFERROR(__xludf.DUMMYFUNCTION("""COMPUTED_VALUE"""),"")</f>
        <v/>
      </c>
      <c r="K50" t="str">
        <f>IFERROR(__xludf.DUMMYFUNCTION("""COMPUTED_VALUE"""),"")</f>
        <v/>
      </c>
      <c r="L50" t="str">
        <f>IFERROR(__xludf.DUMMYFUNCTION("""COMPUTED_VALUE"""),"")</f>
        <v/>
      </c>
    </row>
    <row r="51" ht="15.75" customHeight="1">
      <c r="A51" t="str">
        <f>IFERROR(__xludf.DUMMYFUNCTION("""COMPUTED_VALUE"""),"CorporateAction")</f>
        <v>CorporateAction</v>
      </c>
      <c r="B51" t="str">
        <f>IFERROR(__xludf.DUMMYFUNCTION("""COMPUTED_VALUE"""),"SpinOff")</f>
        <v>SpinOff</v>
      </c>
      <c r="C51" t="str">
        <f>IFERROR(__xludf.DUMMYFUNCTION("""COMPUTED_VALUE"""),"14CbrcCPYaI4Gqde6ADz6rnkGV-C_I_sBUHhcLeGClx8")</f>
        <v>14CbrcCPYaI4Gqde6ADz6rnkGV-C_I_sBUHhcLeGClx8</v>
      </c>
      <c r="D51" t="str">
        <f>IFERROR(__xludf.DUMMYFUNCTION("""COMPUTED_VALUE"""),"")</f>
        <v/>
      </c>
      <c r="E51" t="str">
        <f>IFERROR(__xludf.DUMMYFUNCTION("""COMPUTED_VALUE"""),"")</f>
        <v/>
      </c>
      <c r="F51" t="str">
        <f>IFERROR(__xludf.DUMMYFUNCTION("""COMPUTED_VALUE"""),"")</f>
        <v/>
      </c>
      <c r="G51" t="str">
        <f>IFERROR(__xludf.DUMMYFUNCTION("""COMPUTED_VALUE"""),"")</f>
        <v/>
      </c>
      <c r="H51" t="str">
        <f>IFERROR(__xludf.DUMMYFUNCTION("""COMPUTED_VALUE"""),"")</f>
        <v/>
      </c>
      <c r="I51" t="str">
        <f>IFERROR(__xludf.DUMMYFUNCTION("""COMPUTED_VALUE"""),"")</f>
        <v/>
      </c>
      <c r="J51" t="str">
        <f>IFERROR(__xludf.DUMMYFUNCTION("""COMPUTED_VALUE"""),"")</f>
        <v/>
      </c>
      <c r="K51" t="str">
        <f>IFERROR(__xludf.DUMMYFUNCTION("""COMPUTED_VALUE"""),"")</f>
        <v/>
      </c>
      <c r="L51" t="str">
        <f>IFERROR(__xludf.DUMMYFUNCTION("""COMPUTED_VALUE"""),"")</f>
        <v/>
      </c>
    </row>
    <row r="52" ht="15.75" customHeight="1">
      <c r="A52" t="str">
        <f>IFERROR(__xludf.DUMMYFUNCTION("""COMPUTED_VALUE"""),"CorporateAction")</f>
        <v>CorporateAction</v>
      </c>
      <c r="B52" t="str">
        <f>IFERROR(__xludf.DUMMYFUNCTION("""COMPUTED_VALUE"""),"Split")</f>
        <v>Split</v>
      </c>
      <c r="C52" t="str">
        <f>IFERROR(__xludf.DUMMYFUNCTION("""COMPUTED_VALUE"""),"1QDL5sjj6u7bA-8ZBdirMnBaDWycVY_NycJVU4obVZW4")</f>
        <v>1QDL5sjj6u7bA-8ZBdirMnBaDWycVY_NycJVU4obVZW4</v>
      </c>
      <c r="D52" t="str">
        <f>IFERROR(__xludf.DUMMYFUNCTION("""COMPUTED_VALUE"""),"")</f>
        <v/>
      </c>
      <c r="E52" t="str">
        <f>IFERROR(__xludf.DUMMYFUNCTION("""COMPUTED_VALUE"""),"")</f>
        <v/>
      </c>
      <c r="F52" t="str">
        <f>IFERROR(__xludf.DUMMYFUNCTION("""COMPUTED_VALUE"""),"")</f>
        <v/>
      </c>
      <c r="G52" t="str">
        <f>IFERROR(__xludf.DUMMYFUNCTION("""COMPUTED_VALUE"""),"")</f>
        <v/>
      </c>
      <c r="H52" t="str">
        <f>IFERROR(__xludf.DUMMYFUNCTION("""COMPUTED_VALUE"""),"")</f>
        <v/>
      </c>
      <c r="I52" t="str">
        <f>IFERROR(__xludf.DUMMYFUNCTION("""COMPUTED_VALUE"""),"")</f>
        <v/>
      </c>
      <c r="J52" t="str">
        <f>IFERROR(__xludf.DUMMYFUNCTION("""COMPUTED_VALUE"""),"")</f>
        <v/>
      </c>
      <c r="K52" t="str">
        <f>IFERROR(__xludf.DUMMYFUNCTION("""COMPUTED_VALUE"""),"")</f>
        <v/>
      </c>
      <c r="L52" t="str">
        <f>IFERROR(__xludf.DUMMYFUNCTION("""COMPUTED_VALUE"""),"")</f>
        <v/>
      </c>
    </row>
    <row r="53" ht="15.75" customHeight="1">
      <c r="A53" t="str">
        <f>IFERROR(__xludf.DUMMYFUNCTION("""COMPUTED_VALUE"""),"CorporateAction")</f>
        <v>CorporateAction</v>
      </c>
      <c r="B53" t="str">
        <f>IFERROR(__xludf.DUMMYFUNCTION("""COMPUTED_VALUE"""),"StockDividend")</f>
        <v>StockDividend</v>
      </c>
      <c r="C53" t="str">
        <f>IFERROR(__xludf.DUMMYFUNCTION("""COMPUTED_VALUE"""),"16X2GOg0YhlSXphoVEDqum-MD5qeGqs4ri9q1t365RBM")</f>
        <v>16X2GOg0YhlSXphoVEDqum-MD5qeGqs4ri9q1t365RBM</v>
      </c>
      <c r="D53" t="str">
        <f>IFERROR(__xludf.DUMMYFUNCTION("""COMPUTED_VALUE"""),"")</f>
        <v/>
      </c>
      <c r="E53" t="str">
        <f>IFERROR(__xludf.DUMMYFUNCTION("""COMPUTED_VALUE"""),"")</f>
        <v/>
      </c>
      <c r="F53" t="str">
        <f>IFERROR(__xludf.DUMMYFUNCTION("""COMPUTED_VALUE"""),"")</f>
        <v/>
      </c>
      <c r="G53" t="str">
        <f>IFERROR(__xludf.DUMMYFUNCTION("""COMPUTED_VALUE"""),"")</f>
        <v/>
      </c>
      <c r="H53" t="str">
        <f>IFERROR(__xludf.DUMMYFUNCTION("""COMPUTED_VALUE"""),"")</f>
        <v/>
      </c>
      <c r="I53" t="str">
        <f>IFERROR(__xludf.DUMMYFUNCTION("""COMPUTED_VALUE"""),"")</f>
        <v/>
      </c>
      <c r="J53" t="str">
        <f>IFERROR(__xludf.DUMMYFUNCTION("""COMPUTED_VALUE"""),"")</f>
        <v/>
      </c>
      <c r="K53" t="str">
        <f>IFERROR(__xludf.DUMMYFUNCTION("""COMPUTED_VALUE"""),"")</f>
        <v/>
      </c>
      <c r="L53" t="str">
        <f>IFERROR(__xludf.DUMMYFUNCTION("""COMPUTED_VALUE"""),"")</f>
        <v/>
      </c>
    </row>
    <row r="54" ht="15.75" customHeight="1">
      <c r="A54" t="str">
        <f>IFERROR(__xludf.DUMMYFUNCTION("""COMPUTED_VALUE"""),"TradingTicket")</f>
        <v>TradingTicket</v>
      </c>
      <c r="B54" t="str">
        <f>IFERROR(__xludf.DUMMYFUNCTION("""COMPUTED_VALUE"""),"EnterDetailsOnTT")</f>
        <v>EnterDetailsOnTT</v>
      </c>
      <c r="C54" t="str">
        <f>IFERROR(__xludf.DUMMYFUNCTION("""COMPUTED_VALUE"""),"Undefined")</f>
        <v>Undefined</v>
      </c>
      <c r="D54" t="str">
        <f>IFERROR(__xludf.DUMMYFUNCTION("""COMPUTED_VALUE"""),"")</f>
        <v/>
      </c>
      <c r="E54" t="str">
        <f>IFERROR(__xludf.DUMMYFUNCTION("""COMPUTED_VALUE"""),"")</f>
        <v/>
      </c>
      <c r="F54" t="str">
        <f>IFERROR(__xludf.DUMMYFUNCTION("""COMPUTED_VALUE"""),"")</f>
        <v/>
      </c>
      <c r="G54" t="str">
        <f>IFERROR(__xludf.DUMMYFUNCTION("""COMPUTED_VALUE"""),"")</f>
        <v/>
      </c>
      <c r="H54" t="str">
        <f>IFERROR(__xludf.DUMMYFUNCTION("""COMPUTED_VALUE"""),"")</f>
        <v/>
      </c>
      <c r="I54" t="str">
        <f>IFERROR(__xludf.DUMMYFUNCTION("""COMPUTED_VALUE"""),"")</f>
        <v/>
      </c>
      <c r="J54" t="str">
        <f>IFERROR(__xludf.DUMMYFUNCTION("""COMPUTED_VALUE"""),"")</f>
        <v/>
      </c>
      <c r="K54" t="str">
        <f>IFERROR(__xludf.DUMMYFUNCTION("""COMPUTED_VALUE"""),"")</f>
        <v/>
      </c>
      <c r="L54" t="str">
        <f>IFERROR(__xludf.DUMMYFUNCTION("""COMPUTED_VALUE"""),"")</f>
        <v/>
      </c>
    </row>
    <row r="55" ht="15.75" customHeight="1">
      <c r="A55" t="str">
        <f>IFERROR(__xludf.DUMMYFUNCTION("""COMPUTED_VALUE"""),"DailyValuation")</f>
        <v>DailyValuation</v>
      </c>
      <c r="B55" t="str">
        <f>IFERROR(__xludf.DUMMYFUNCTION("""COMPUTED_VALUE"""),"CleanUp")</f>
        <v>CleanUp</v>
      </c>
      <c r="C55" t="str">
        <f>IFERROR(__xludf.DUMMYFUNCTION("""COMPUTED_VALUE"""),"Undefined")</f>
        <v>Undefined</v>
      </c>
      <c r="D55" t="str">
        <f>IFERROR(__xludf.DUMMYFUNCTION("""COMPUTED_VALUE"""),"")</f>
        <v/>
      </c>
      <c r="E55" t="str">
        <f>IFERROR(__xludf.DUMMYFUNCTION("""COMPUTED_VALUE"""),"")</f>
        <v/>
      </c>
      <c r="F55" t="str">
        <f>IFERROR(__xludf.DUMMYFUNCTION("""COMPUTED_VALUE"""),"")</f>
        <v/>
      </c>
      <c r="G55" t="str">
        <f>IFERROR(__xludf.DUMMYFUNCTION("""COMPUTED_VALUE"""),"")</f>
        <v/>
      </c>
      <c r="H55" t="str">
        <f>IFERROR(__xludf.DUMMYFUNCTION("""COMPUTED_VALUE"""),"")</f>
        <v/>
      </c>
      <c r="I55" t="str">
        <f>IFERROR(__xludf.DUMMYFUNCTION("""COMPUTED_VALUE"""),"")</f>
        <v/>
      </c>
      <c r="J55" t="str">
        <f>IFERROR(__xludf.DUMMYFUNCTION("""COMPUTED_VALUE"""),"")</f>
        <v/>
      </c>
      <c r="K55" t="str">
        <f>IFERROR(__xludf.DUMMYFUNCTION("""COMPUTED_VALUE"""),"")</f>
        <v/>
      </c>
      <c r="L55" t="str">
        <f>IFERROR(__xludf.DUMMYFUNCTION("""COMPUTED_VALUE"""),"")</f>
        <v/>
      </c>
    </row>
    <row r="56" ht="15.75" customHeight="1">
      <c r="A56" t="str">
        <f>IFERROR(__xludf.DUMMYFUNCTION("""COMPUTED_VALUE"""),"Allocation")</f>
        <v>Allocation</v>
      </c>
      <c r="B56" t="str">
        <f>IFERROR(__xludf.DUMMYFUNCTION("""COMPUTED_VALUE"""),"EditUnallocatedGroupSidePanel")</f>
        <v>EditUnallocatedGroupSidePanel</v>
      </c>
      <c r="C56" t="str">
        <f>IFERROR(__xludf.DUMMYFUNCTION("""COMPUTED_VALUE"""),"1obz67sla1dkodV-Q4D2wwh5s-e3HmC4hlGqolpOQUV8")</f>
        <v>1obz67sla1dkodV-Q4D2wwh5s-e3HmC4hlGqolpOQUV8</v>
      </c>
      <c r="D56" t="str">
        <f>IFERROR(__xludf.DUMMYFUNCTION("""COMPUTED_VALUE"""),"")</f>
        <v/>
      </c>
      <c r="E56" t="str">
        <f>IFERROR(__xludf.DUMMYFUNCTION("""COMPUTED_VALUE"""),"")</f>
        <v/>
      </c>
      <c r="F56" t="str">
        <f>IFERROR(__xludf.DUMMYFUNCTION("""COMPUTED_VALUE"""),"")</f>
        <v/>
      </c>
      <c r="G56" t="str">
        <f>IFERROR(__xludf.DUMMYFUNCTION("""COMPUTED_VALUE"""),"")</f>
        <v/>
      </c>
      <c r="H56" t="str">
        <f>IFERROR(__xludf.DUMMYFUNCTION("""COMPUTED_VALUE"""),"")</f>
        <v/>
      </c>
      <c r="I56" t="str">
        <f>IFERROR(__xludf.DUMMYFUNCTION("""COMPUTED_VALUE"""),"")</f>
        <v/>
      </c>
      <c r="J56" t="str">
        <f>IFERROR(__xludf.DUMMYFUNCTION("""COMPUTED_VALUE"""),"")</f>
        <v/>
      </c>
      <c r="K56" t="str">
        <f>IFERROR(__xludf.DUMMYFUNCTION("""COMPUTED_VALUE"""),"")</f>
        <v/>
      </c>
      <c r="L56" t="str">
        <f>IFERROR(__xludf.DUMMYFUNCTION("""COMPUTED_VALUE"""),"")</f>
        <v/>
      </c>
    </row>
    <row r="57" ht="15.75" customHeight="1">
      <c r="A57" t="str">
        <f>IFERROR(__xludf.DUMMYFUNCTION("""COMPUTED_VALUE"""),"Allocation")</f>
        <v>Allocation</v>
      </c>
      <c r="B57" t="str">
        <f>IFERROR(__xludf.DUMMYFUNCTION("""COMPUTED_VALUE"""),"TradeAttributeBulkChange")</f>
        <v>TradeAttributeBulkChange</v>
      </c>
      <c r="C57" t="str">
        <f>IFERROR(__xludf.DUMMYFUNCTION("""COMPUTED_VALUE"""),"125zeq5tUeqMKMM-UIYzLLNOo2jnWtqyUOTnd8xgkM2U")</f>
        <v>125zeq5tUeqMKMM-UIYzLLNOo2jnWtqyUOTnd8xgkM2U</v>
      </c>
      <c r="D57" t="str">
        <f>IFERROR(__xludf.DUMMYFUNCTION("""COMPUTED_VALUE"""),"")</f>
        <v/>
      </c>
      <c r="E57" t="str">
        <f>IFERROR(__xludf.DUMMYFUNCTION("""COMPUTED_VALUE"""),"")</f>
        <v/>
      </c>
      <c r="F57" t="str">
        <f>IFERROR(__xludf.DUMMYFUNCTION("""COMPUTED_VALUE"""),"")</f>
        <v/>
      </c>
      <c r="G57" t="str">
        <f>IFERROR(__xludf.DUMMYFUNCTION("""COMPUTED_VALUE"""),"")</f>
        <v/>
      </c>
      <c r="H57" t="str">
        <f>IFERROR(__xludf.DUMMYFUNCTION("""COMPUTED_VALUE"""),"")</f>
        <v/>
      </c>
      <c r="I57" t="str">
        <f>IFERROR(__xludf.DUMMYFUNCTION("""COMPUTED_VALUE"""),"")</f>
        <v/>
      </c>
      <c r="J57" t="str">
        <f>IFERROR(__xludf.DUMMYFUNCTION("""COMPUTED_VALUE"""),"")</f>
        <v/>
      </c>
      <c r="K57" t="str">
        <f>IFERROR(__xludf.DUMMYFUNCTION("""COMPUTED_VALUE"""),"")</f>
        <v/>
      </c>
      <c r="L57" t="str">
        <f>IFERROR(__xludf.DUMMYFUNCTION("""COMPUTED_VALUE"""),"")</f>
        <v/>
      </c>
    </row>
    <row r="58" ht="15.75" customHeight="1">
      <c r="A58" t="str">
        <f>IFERROR(__xludf.DUMMYFUNCTION("""COMPUTED_VALUE"""),"Allocation")</f>
        <v>Allocation</v>
      </c>
      <c r="B58" t="str">
        <f>IFERROR(__xludf.DUMMYFUNCTION("""COMPUTED_VALUE"""),"ApplyBulkUpdateOnGroups")</f>
        <v>ApplyBulkUpdateOnGroups</v>
      </c>
      <c r="C58" t="str">
        <f>IFERROR(__xludf.DUMMYFUNCTION("""COMPUTED_VALUE"""),"1fmnAQFt-_YGqWUkuKgjzxtlh-aixWAcNa1UIwdqtUaQ")</f>
        <v>1fmnAQFt-_YGqWUkuKgjzxtlh-aixWAcNa1UIwdqtUaQ</v>
      </c>
      <c r="D58" t="str">
        <f>IFERROR(__xludf.DUMMYFUNCTION("""COMPUTED_VALUE"""),"")</f>
        <v/>
      </c>
      <c r="E58" t="str">
        <f>IFERROR(__xludf.DUMMYFUNCTION("""COMPUTED_VALUE"""),"")</f>
        <v/>
      </c>
      <c r="F58" t="str">
        <f>IFERROR(__xludf.DUMMYFUNCTION("""COMPUTED_VALUE"""),"")</f>
        <v/>
      </c>
      <c r="G58" t="str">
        <f>IFERROR(__xludf.DUMMYFUNCTION("""COMPUTED_VALUE"""),"")</f>
        <v/>
      </c>
      <c r="H58" t="str">
        <f>IFERROR(__xludf.DUMMYFUNCTION("""COMPUTED_VALUE"""),"")</f>
        <v/>
      </c>
      <c r="I58" t="str">
        <f>IFERROR(__xludf.DUMMYFUNCTION("""COMPUTED_VALUE"""),"")</f>
        <v/>
      </c>
      <c r="J58" t="str">
        <f>IFERROR(__xludf.DUMMYFUNCTION("""COMPUTED_VALUE"""),"")</f>
        <v/>
      </c>
      <c r="K58" t="str">
        <f>IFERROR(__xludf.DUMMYFUNCTION("""COMPUTED_VALUE"""),"")</f>
        <v/>
      </c>
      <c r="L58" t="str">
        <f>IFERROR(__xludf.DUMMYFUNCTION("""COMPUTED_VALUE"""),"")</f>
        <v/>
      </c>
    </row>
    <row r="59" ht="15.75" customHeight="1">
      <c r="A59" t="str">
        <f>IFERROR(__xludf.DUMMYFUNCTION("""COMPUTED_VALUE"""),"Allocation")</f>
        <v>Allocation</v>
      </c>
      <c r="B59" t="str">
        <f>IFERROR(__xludf.DUMMYFUNCTION("""COMPUTED_VALUE"""),"ApplyPrefetchFilters")</f>
        <v>ApplyPrefetchFilters</v>
      </c>
      <c r="C59" t="str">
        <f>IFERROR(__xludf.DUMMYFUNCTION("""COMPUTED_VALUE"""),"1RpXT-dPg6X5MwsysSjIzJgVZ1LmQ-pZTaN1xAyetv9k")</f>
        <v>1RpXT-dPg6X5MwsysSjIzJgVZ1LmQ-pZTaN1xAyetv9k</v>
      </c>
      <c r="D59" t="str">
        <f>IFERROR(__xludf.DUMMYFUNCTION("""COMPUTED_VALUE"""),"")</f>
        <v/>
      </c>
      <c r="E59" t="str">
        <f>IFERROR(__xludf.DUMMYFUNCTION("""COMPUTED_VALUE"""),"")</f>
        <v/>
      </c>
      <c r="F59" t="str">
        <f>IFERROR(__xludf.DUMMYFUNCTION("""COMPUTED_VALUE"""),"")</f>
        <v/>
      </c>
      <c r="G59" t="str">
        <f>IFERROR(__xludf.DUMMYFUNCTION("""COMPUTED_VALUE"""),"")</f>
        <v/>
      </c>
      <c r="H59" t="str">
        <f>IFERROR(__xludf.DUMMYFUNCTION("""COMPUTED_VALUE"""),"")</f>
        <v/>
      </c>
      <c r="I59" t="str">
        <f>IFERROR(__xludf.DUMMYFUNCTION("""COMPUTED_VALUE"""),"")</f>
        <v/>
      </c>
      <c r="J59" t="str">
        <f>IFERROR(__xludf.DUMMYFUNCTION("""COMPUTED_VALUE"""),"")</f>
        <v/>
      </c>
      <c r="K59" t="str">
        <f>IFERROR(__xludf.DUMMYFUNCTION("""COMPUTED_VALUE"""),"")</f>
        <v/>
      </c>
      <c r="L59" t="str">
        <f>IFERROR(__xludf.DUMMYFUNCTION("""COMPUTED_VALUE"""),"")</f>
        <v/>
      </c>
    </row>
    <row r="60" ht="15.75" customHeight="1">
      <c r="A60" t="str">
        <f>IFERROR(__xludf.DUMMYFUNCTION("""COMPUTED_VALUE"""),"Allocation")</f>
        <v>Allocation</v>
      </c>
      <c r="B60" t="str">
        <f>IFERROR(__xludf.DUMMYFUNCTION("""COMPUTED_VALUE"""),"GeneralPreferencesDefaultRule")</f>
        <v>GeneralPreferencesDefaultRule</v>
      </c>
      <c r="C60" t="str">
        <f>IFERROR(__xludf.DUMMYFUNCTION("""COMPUTED_VALUE"""),"1CV6mfDD8X54LhJ8arf__OEfIfLNrn71OAu-q5NtWkTI")</f>
        <v>1CV6mfDD8X54LhJ8arf__OEfIfLNrn71OAu-q5NtWkTI</v>
      </c>
      <c r="D60" t="str">
        <f>IFERROR(__xludf.DUMMYFUNCTION("""COMPUTED_VALUE"""),"")</f>
        <v/>
      </c>
      <c r="E60" t="str">
        <f>IFERROR(__xludf.DUMMYFUNCTION("""COMPUTED_VALUE"""),"")</f>
        <v/>
      </c>
      <c r="F60" t="str">
        <f>IFERROR(__xludf.DUMMYFUNCTION("""COMPUTED_VALUE"""),"")</f>
        <v/>
      </c>
      <c r="G60" t="str">
        <f>IFERROR(__xludf.DUMMYFUNCTION("""COMPUTED_VALUE"""),"")</f>
        <v/>
      </c>
      <c r="H60" t="str">
        <f>IFERROR(__xludf.DUMMYFUNCTION("""COMPUTED_VALUE"""),"")</f>
        <v/>
      </c>
      <c r="I60" t="str">
        <f>IFERROR(__xludf.DUMMYFUNCTION("""COMPUTED_VALUE"""),"")</f>
        <v/>
      </c>
      <c r="J60" t="str">
        <f>IFERROR(__xludf.DUMMYFUNCTION("""COMPUTED_VALUE"""),"")</f>
        <v/>
      </c>
      <c r="K60" t="str">
        <f>IFERROR(__xludf.DUMMYFUNCTION("""COMPUTED_VALUE"""),"")</f>
        <v/>
      </c>
      <c r="L60" t="str">
        <f>IFERROR(__xludf.DUMMYFUNCTION("""COMPUTED_VALUE"""),"")</f>
        <v/>
      </c>
    </row>
    <row r="61" ht="15.75" customHeight="1">
      <c r="A61" t="str">
        <f>IFERROR(__xludf.DUMMYFUNCTION("""COMPUTED_VALUE"""),"Allocation")</f>
        <v>Allocation</v>
      </c>
      <c r="B61" t="str">
        <f>IFERROR(__xludf.DUMMYFUNCTION("""COMPUTED_VALUE"""),"GeneralPrefCompanyUserWise")</f>
        <v>GeneralPrefCompanyUserWise</v>
      </c>
      <c r="C61" t="str">
        <f>IFERROR(__xludf.DUMMYFUNCTION("""COMPUTED_VALUE"""),"1bTLj8UBbX8x8Nh9oZ3dmg11pxddYuwGh_Km5LJlEK6c")</f>
        <v>1bTLj8UBbX8x8Nh9oZ3dmg11pxddYuwGh_Km5LJlEK6c</v>
      </c>
      <c r="D61" t="str">
        <f>IFERROR(__xludf.DUMMYFUNCTION("""COMPUTED_VALUE"""),"")</f>
        <v/>
      </c>
      <c r="E61" t="str">
        <f>IFERROR(__xludf.DUMMYFUNCTION("""COMPUTED_VALUE"""),"")</f>
        <v/>
      </c>
      <c r="F61" t="str">
        <f>IFERROR(__xludf.DUMMYFUNCTION("""COMPUTED_VALUE"""),"")</f>
        <v/>
      </c>
      <c r="G61" t="str">
        <f>IFERROR(__xludf.DUMMYFUNCTION("""COMPUTED_VALUE"""),"")</f>
        <v/>
      </c>
      <c r="H61" t="str">
        <f>IFERROR(__xludf.DUMMYFUNCTION("""COMPUTED_VALUE"""),"")</f>
        <v/>
      </c>
      <c r="I61" t="str">
        <f>IFERROR(__xludf.DUMMYFUNCTION("""COMPUTED_VALUE"""),"")</f>
        <v/>
      </c>
      <c r="J61" t="str">
        <f>IFERROR(__xludf.DUMMYFUNCTION("""COMPUTED_VALUE"""),"")</f>
        <v/>
      </c>
      <c r="K61" t="str">
        <f>IFERROR(__xludf.DUMMYFUNCTION("""COMPUTED_VALUE"""),"")</f>
        <v/>
      </c>
      <c r="L61" t="str">
        <f>IFERROR(__xludf.DUMMYFUNCTION("""COMPUTED_VALUE"""),"")</f>
        <v/>
      </c>
    </row>
    <row r="62" ht="15.75" customHeight="1">
      <c r="A62" t="str">
        <f>IFERROR(__xludf.DUMMYFUNCTION("""COMPUTED_VALUE"""),"Allocation")</f>
        <v>Allocation</v>
      </c>
      <c r="B62" t="str">
        <f>IFERROR(__xludf.DUMMYFUNCTION("""COMPUTED_VALUE"""),"RenameTradeAttributes")</f>
        <v>RenameTradeAttributes</v>
      </c>
      <c r="C62" t="str">
        <f>IFERROR(__xludf.DUMMYFUNCTION("""COMPUTED_VALUE"""),"13LBQhnI0n0hlW6NV8EeRAzwHEza7O_fshrZJkCE660w")</f>
        <v>13LBQhnI0n0hlW6NV8EeRAzwHEza7O_fshrZJkCE660w</v>
      </c>
      <c r="D62" t="str">
        <f>IFERROR(__xludf.DUMMYFUNCTION("""COMPUTED_VALUE"""),"")</f>
        <v/>
      </c>
      <c r="E62" t="str">
        <f>IFERROR(__xludf.DUMMYFUNCTION("""COMPUTED_VALUE"""),"")</f>
        <v/>
      </c>
      <c r="F62" t="str">
        <f>IFERROR(__xludf.DUMMYFUNCTION("""COMPUTED_VALUE"""),"")</f>
        <v/>
      </c>
      <c r="G62" t="str">
        <f>IFERROR(__xludf.DUMMYFUNCTION("""COMPUTED_VALUE"""),"")</f>
        <v/>
      </c>
      <c r="H62" t="str">
        <f>IFERROR(__xludf.DUMMYFUNCTION("""COMPUTED_VALUE"""),"")</f>
        <v/>
      </c>
      <c r="I62" t="str">
        <f>IFERROR(__xludf.DUMMYFUNCTION("""COMPUTED_VALUE"""),"")</f>
        <v/>
      </c>
      <c r="J62" t="str">
        <f>IFERROR(__xludf.DUMMYFUNCTION("""COMPUTED_VALUE"""),"")</f>
        <v/>
      </c>
      <c r="K62" t="str">
        <f>IFERROR(__xludf.DUMMYFUNCTION("""COMPUTED_VALUE"""),"")</f>
        <v/>
      </c>
      <c r="L62" t="str">
        <f>IFERROR(__xludf.DUMMYFUNCTION("""COMPUTED_VALUE"""),"")</f>
        <v/>
      </c>
    </row>
    <row r="63" ht="15.75" customHeight="1">
      <c r="A63" t="str">
        <f>IFERROR(__xludf.DUMMYFUNCTION("""COMPUTED_VALUE"""),"Allocation")</f>
        <v>Allocation</v>
      </c>
      <c r="B63" t="str">
        <f>IFERROR(__xludf.DUMMYFUNCTION("""COMPUTED_VALUE"""),"SetGroupingRules")</f>
        <v>SetGroupingRules</v>
      </c>
      <c r="C63" t="str">
        <f>IFERROR(__xludf.DUMMYFUNCTION("""COMPUTED_VALUE"""),"1ZI2MUcaIdICaC-BRH8bwfpVUeS1ug7gXksmgYXABZ3g")</f>
        <v>1ZI2MUcaIdICaC-BRH8bwfpVUeS1ug7gXksmgYXABZ3g</v>
      </c>
      <c r="D63" t="str">
        <f>IFERROR(__xludf.DUMMYFUNCTION("""COMPUTED_VALUE"""),"")</f>
        <v/>
      </c>
      <c r="E63" t="str">
        <f>IFERROR(__xludf.DUMMYFUNCTION("""COMPUTED_VALUE"""),"")</f>
        <v/>
      </c>
      <c r="F63" t="str">
        <f>IFERROR(__xludf.DUMMYFUNCTION("""COMPUTED_VALUE"""),"")</f>
        <v/>
      </c>
      <c r="G63" t="str">
        <f>IFERROR(__xludf.DUMMYFUNCTION("""COMPUTED_VALUE"""),"")</f>
        <v/>
      </c>
      <c r="H63" t="str">
        <f>IFERROR(__xludf.DUMMYFUNCTION("""COMPUTED_VALUE"""),"")</f>
        <v/>
      </c>
      <c r="I63" t="str">
        <f>IFERROR(__xludf.DUMMYFUNCTION("""COMPUTED_VALUE"""),"")</f>
        <v/>
      </c>
      <c r="J63" t="str">
        <f>IFERROR(__xludf.DUMMYFUNCTION("""COMPUTED_VALUE"""),"")</f>
        <v/>
      </c>
      <c r="K63" t="str">
        <f>IFERROR(__xludf.DUMMYFUNCTION("""COMPUTED_VALUE"""),"")</f>
        <v/>
      </c>
      <c r="L63" t="str">
        <f>IFERROR(__xludf.DUMMYFUNCTION("""COMPUTED_VALUE"""),"")</f>
        <v/>
      </c>
    </row>
    <row r="64" ht="15.75" customHeight="1">
      <c r="A64" t="str">
        <f>IFERROR(__xludf.DUMMYFUNCTION("""COMPUTED_VALUE"""),"Allocation")</f>
        <v>Allocation</v>
      </c>
      <c r="B64" t="str">
        <f>IFERROR(__xludf.DUMMYFUNCTION("""COMPUTED_VALUE"""),"SetMasterFundRatio")</f>
        <v>SetMasterFundRatio</v>
      </c>
      <c r="C64" t="str">
        <f>IFERROR(__xludf.DUMMYFUNCTION("""COMPUTED_VALUE"""),"1HnUnCvn0omZQKeWh9DMLKrx03H2nG8a-KamHRLb2vko")</f>
        <v>1HnUnCvn0omZQKeWh9DMLKrx03H2nG8a-KamHRLb2vko</v>
      </c>
      <c r="D64" t="str">
        <f>IFERROR(__xludf.DUMMYFUNCTION("""COMPUTED_VALUE"""),"")</f>
        <v/>
      </c>
      <c r="E64" t="str">
        <f>IFERROR(__xludf.DUMMYFUNCTION("""COMPUTED_VALUE"""),"")</f>
        <v/>
      </c>
      <c r="F64" t="str">
        <f>IFERROR(__xludf.DUMMYFUNCTION("""COMPUTED_VALUE"""),"")</f>
        <v/>
      </c>
      <c r="G64" t="str">
        <f>IFERROR(__xludf.DUMMYFUNCTION("""COMPUTED_VALUE"""),"")</f>
        <v/>
      </c>
      <c r="H64" t="str">
        <f>IFERROR(__xludf.DUMMYFUNCTION("""COMPUTED_VALUE"""),"")</f>
        <v/>
      </c>
      <c r="I64" t="str">
        <f>IFERROR(__xludf.DUMMYFUNCTION("""COMPUTED_VALUE"""),"")</f>
        <v/>
      </c>
      <c r="J64" t="str">
        <f>IFERROR(__xludf.DUMMYFUNCTION("""COMPUTED_VALUE"""),"")</f>
        <v/>
      </c>
      <c r="K64" t="str">
        <f>IFERROR(__xludf.DUMMYFUNCTION("""COMPUTED_VALUE"""),"")</f>
        <v/>
      </c>
      <c r="L64" t="str">
        <f>IFERROR(__xludf.DUMMYFUNCTION("""COMPUTED_VALUE"""),"")</f>
        <v/>
      </c>
    </row>
    <row r="65" ht="15.75" customHeight="1">
      <c r="A65" t="str">
        <f>IFERROR(__xludf.DUMMYFUNCTION("""COMPUTED_VALUE"""),"Allocation")</f>
        <v>Allocation</v>
      </c>
      <c r="B65" t="str">
        <f>IFERROR(__xludf.DUMMYFUNCTION("""COMPUTED_VALUE"""),"CheckFixedPreference")</f>
        <v>CheckFixedPreference</v>
      </c>
      <c r="C65" t="str">
        <f>IFERROR(__xludf.DUMMYFUNCTION("""COMPUTED_VALUE"""),"1MxG9l1lQczLE5PdZzV-QjYVONc9z69XTu2wBiJDoklc")</f>
        <v>1MxG9l1lQczLE5PdZzV-QjYVONc9z69XTu2wBiJDoklc</v>
      </c>
      <c r="D65" t="str">
        <f>IFERROR(__xludf.DUMMYFUNCTION("""COMPUTED_VALUE"""),"")</f>
        <v/>
      </c>
      <c r="E65" t="str">
        <f>IFERROR(__xludf.DUMMYFUNCTION("""COMPUTED_VALUE"""),"")</f>
        <v/>
      </c>
      <c r="F65" t="str">
        <f>IFERROR(__xludf.DUMMYFUNCTION("""COMPUTED_VALUE"""),"")</f>
        <v/>
      </c>
      <c r="G65" t="str">
        <f>IFERROR(__xludf.DUMMYFUNCTION("""COMPUTED_VALUE"""),"")</f>
        <v/>
      </c>
      <c r="H65" t="str">
        <f>IFERROR(__xludf.DUMMYFUNCTION("""COMPUTED_VALUE"""),"")</f>
        <v/>
      </c>
      <c r="I65" t="str">
        <f>IFERROR(__xludf.DUMMYFUNCTION("""COMPUTED_VALUE"""),"")</f>
        <v/>
      </c>
      <c r="J65" t="str">
        <f>IFERROR(__xludf.DUMMYFUNCTION("""COMPUTED_VALUE"""),"")</f>
        <v/>
      </c>
      <c r="K65" t="str">
        <f>IFERROR(__xludf.DUMMYFUNCTION("""COMPUTED_VALUE"""),"")</f>
        <v/>
      </c>
      <c r="L65" t="str">
        <f>IFERROR(__xludf.DUMMYFUNCTION("""COMPUTED_VALUE"""),"")</f>
        <v/>
      </c>
    </row>
    <row r="66" ht="15.75" customHeight="1">
      <c r="A66" t="str">
        <f>IFERROR(__xludf.DUMMYFUNCTION("""COMPUTED_VALUE"""),"Allocation")</f>
        <v>Allocation</v>
      </c>
      <c r="B66" t="str">
        <f>IFERROR(__xludf.DUMMYFUNCTION("""COMPUTED_VALUE"""),"GetFixedPreference")</f>
        <v>GetFixedPreference</v>
      </c>
      <c r="C66" t="str">
        <f>IFERROR(__xludf.DUMMYFUNCTION("""COMPUTED_VALUE"""),"1BWEkQ0CkSiYeosqmxnRUzSfMXn7hwmMwFcWaGNhN0a0")</f>
        <v>1BWEkQ0CkSiYeosqmxnRUzSfMXn7hwmMwFcWaGNhN0a0</v>
      </c>
      <c r="D66" t="str">
        <f>IFERROR(__xludf.DUMMYFUNCTION("""COMPUTED_VALUE"""),"")</f>
        <v/>
      </c>
      <c r="E66" t="str">
        <f>IFERROR(__xludf.DUMMYFUNCTION("""COMPUTED_VALUE"""),"")</f>
        <v/>
      </c>
      <c r="F66" t="str">
        <f>IFERROR(__xludf.DUMMYFUNCTION("""COMPUTED_VALUE"""),"")</f>
        <v/>
      </c>
      <c r="G66" t="str">
        <f>IFERROR(__xludf.DUMMYFUNCTION("""COMPUTED_VALUE"""),"")</f>
        <v/>
      </c>
      <c r="H66" t="str">
        <f>IFERROR(__xludf.DUMMYFUNCTION("""COMPUTED_VALUE"""),"")</f>
        <v/>
      </c>
      <c r="I66" t="str">
        <f>IFERROR(__xludf.DUMMYFUNCTION("""COMPUTED_VALUE"""),"")</f>
        <v/>
      </c>
      <c r="J66" t="str">
        <f>IFERROR(__xludf.DUMMYFUNCTION("""COMPUTED_VALUE"""),"")</f>
        <v/>
      </c>
      <c r="K66" t="str">
        <f>IFERROR(__xludf.DUMMYFUNCTION("""COMPUTED_VALUE"""),"")</f>
        <v/>
      </c>
      <c r="L66" t="str">
        <f>IFERROR(__xludf.DUMMYFUNCTION("""COMPUTED_VALUE"""),"")</f>
        <v/>
      </c>
    </row>
    <row r="67" ht="15.75" customHeight="1">
      <c r="A67" t="str">
        <f>IFERROR(__xludf.DUMMYFUNCTION("""COMPUTED_VALUE"""),"Allocation")</f>
        <v>Allocation</v>
      </c>
      <c r="B67" t="str">
        <f>IFERROR(__xludf.DUMMYFUNCTION("""COMPUTED_VALUE"""),"AddCalculatedPreferences")</f>
        <v>AddCalculatedPreferences</v>
      </c>
      <c r="C67" t="str">
        <f>IFERROR(__xludf.DUMMYFUNCTION("""COMPUTED_VALUE"""),"1WsIU2FuWyqdJMtcmyw_BHMx4U8XVLpWl8JJrotx6ePI")</f>
        <v>1WsIU2FuWyqdJMtcmyw_BHMx4U8XVLpWl8JJrotx6ePI</v>
      </c>
      <c r="D67" t="str">
        <f>IFERROR(__xludf.DUMMYFUNCTION("""COMPUTED_VALUE"""),"")</f>
        <v/>
      </c>
      <c r="E67" t="str">
        <f>IFERROR(__xludf.DUMMYFUNCTION("""COMPUTED_VALUE"""),"")</f>
        <v/>
      </c>
      <c r="F67" t="str">
        <f>IFERROR(__xludf.DUMMYFUNCTION("""COMPUTED_VALUE"""),"")</f>
        <v/>
      </c>
      <c r="G67" t="str">
        <f>IFERROR(__xludf.DUMMYFUNCTION("""COMPUTED_VALUE"""),"")</f>
        <v/>
      </c>
      <c r="H67" t="str">
        <f>IFERROR(__xludf.DUMMYFUNCTION("""COMPUTED_VALUE"""),"")</f>
        <v/>
      </c>
      <c r="I67" t="str">
        <f>IFERROR(__xludf.DUMMYFUNCTION("""COMPUTED_VALUE"""),"")</f>
        <v/>
      </c>
      <c r="J67" t="str">
        <f>IFERROR(__xludf.DUMMYFUNCTION("""COMPUTED_VALUE"""),"")</f>
        <v/>
      </c>
      <c r="K67" t="str">
        <f>IFERROR(__xludf.DUMMYFUNCTION("""COMPUTED_VALUE"""),"")</f>
        <v/>
      </c>
      <c r="L67" t="str">
        <f>IFERROR(__xludf.DUMMYFUNCTION("""COMPUTED_VALUE"""),"")</f>
        <v/>
      </c>
    </row>
    <row r="68" ht="15.75" customHeight="1">
      <c r="A68" t="str">
        <f>IFERROR(__xludf.DUMMYFUNCTION("""COMPUTED_VALUE"""),"Allocation")</f>
        <v>Allocation</v>
      </c>
      <c r="B68" t="str">
        <f>IFERROR(__xludf.DUMMYFUNCTION("""COMPUTED_VALUE"""),"BulkChangeCalculatedPreferences")</f>
        <v>BulkChangeCalculatedPreferences</v>
      </c>
      <c r="C68" t="str">
        <f>IFERROR(__xludf.DUMMYFUNCTION("""COMPUTED_VALUE"""),"1NrLLc572hKpMzauSyaNtwhhiCBy61tlfp6nv6OL_CO0")</f>
        <v>1NrLLc572hKpMzauSyaNtwhhiCBy61tlfp6nv6OL_CO0</v>
      </c>
      <c r="D68" t="str">
        <f>IFERROR(__xludf.DUMMYFUNCTION("""COMPUTED_VALUE"""),"")</f>
        <v/>
      </c>
      <c r="E68" t="str">
        <f>IFERROR(__xludf.DUMMYFUNCTION("""COMPUTED_VALUE"""),"")</f>
        <v/>
      </c>
      <c r="F68" t="str">
        <f>IFERROR(__xludf.DUMMYFUNCTION("""COMPUTED_VALUE"""),"")</f>
        <v/>
      </c>
      <c r="G68" t="str">
        <f>IFERROR(__xludf.DUMMYFUNCTION("""COMPUTED_VALUE"""),"")</f>
        <v/>
      </c>
      <c r="H68" t="str">
        <f>IFERROR(__xludf.DUMMYFUNCTION("""COMPUTED_VALUE"""),"")</f>
        <v/>
      </c>
      <c r="I68" t="str">
        <f>IFERROR(__xludf.DUMMYFUNCTION("""COMPUTED_VALUE"""),"")</f>
        <v/>
      </c>
      <c r="J68" t="str">
        <f>IFERROR(__xludf.DUMMYFUNCTION("""COMPUTED_VALUE"""),"")</f>
        <v/>
      </c>
      <c r="K68" t="str">
        <f>IFERROR(__xludf.DUMMYFUNCTION("""COMPUTED_VALUE"""),"")</f>
        <v/>
      </c>
      <c r="L68" t="str">
        <f>IFERROR(__xludf.DUMMYFUNCTION("""COMPUTED_VALUE"""),"")</f>
        <v/>
      </c>
    </row>
    <row r="69" ht="15.75" customHeight="1">
      <c r="A69" t="str">
        <f>IFERROR(__xludf.DUMMYFUNCTION("""COMPUTED_VALUE"""),"Allocation")</f>
        <v>Allocation</v>
      </c>
      <c r="B69" t="str">
        <f>IFERROR(__xludf.DUMMYFUNCTION("""COMPUTED_VALUE"""),"DeleteCalculatedPreferences")</f>
        <v>DeleteCalculatedPreferences</v>
      </c>
      <c r="C69" t="str">
        <f>IFERROR(__xludf.DUMMYFUNCTION("""COMPUTED_VALUE"""),"1dd5N2CaOrQMCwOyMYcpk77icRYAOAWq2Q-iM6d30aaU")</f>
        <v>1dd5N2CaOrQMCwOyMYcpk77icRYAOAWq2Q-iM6d30aaU</v>
      </c>
      <c r="D69" t="str">
        <f>IFERROR(__xludf.DUMMYFUNCTION("""COMPUTED_VALUE"""),"")</f>
        <v/>
      </c>
      <c r="E69" t="str">
        <f>IFERROR(__xludf.DUMMYFUNCTION("""COMPUTED_VALUE"""),"")</f>
        <v/>
      </c>
      <c r="F69" t="str">
        <f>IFERROR(__xludf.DUMMYFUNCTION("""COMPUTED_VALUE"""),"")</f>
        <v/>
      </c>
      <c r="G69" t="str">
        <f>IFERROR(__xludf.DUMMYFUNCTION("""COMPUTED_VALUE"""),"")</f>
        <v/>
      </c>
      <c r="H69" t="str">
        <f>IFERROR(__xludf.DUMMYFUNCTION("""COMPUTED_VALUE"""),"")</f>
        <v/>
      </c>
      <c r="I69" t="str">
        <f>IFERROR(__xludf.DUMMYFUNCTION("""COMPUTED_VALUE"""),"")</f>
        <v/>
      </c>
      <c r="J69" t="str">
        <f>IFERROR(__xludf.DUMMYFUNCTION("""COMPUTED_VALUE"""),"")</f>
        <v/>
      </c>
      <c r="K69" t="str">
        <f>IFERROR(__xludf.DUMMYFUNCTION("""COMPUTED_VALUE"""),"")</f>
        <v/>
      </c>
      <c r="L69" t="str">
        <f>IFERROR(__xludf.DUMMYFUNCTION("""COMPUTED_VALUE"""),"")</f>
        <v/>
      </c>
    </row>
    <row r="70" ht="15.75" customHeight="1">
      <c r="A70" t="str">
        <f>IFERROR(__xludf.DUMMYFUNCTION("""COMPUTED_VALUE"""),"Allocation")</f>
        <v>Allocation</v>
      </c>
      <c r="B70" t="str">
        <f>IFERROR(__xludf.DUMMYFUNCTION("""COMPUTED_VALUE"""),"RenameCalculatedPreferences")</f>
        <v>RenameCalculatedPreferences</v>
      </c>
      <c r="C70" t="str">
        <f>IFERROR(__xludf.DUMMYFUNCTION("""COMPUTED_VALUE"""),"16YoKlUkbZBaPrggQKTzQkMlizINp1_oSx9jYRzNx_o4")</f>
        <v>16YoKlUkbZBaPrggQKTzQkMlizINp1_oSx9jYRzNx_o4</v>
      </c>
      <c r="D70" t="str">
        <f>IFERROR(__xludf.DUMMYFUNCTION("""COMPUTED_VALUE"""),"")</f>
        <v/>
      </c>
      <c r="E70" t="str">
        <f>IFERROR(__xludf.DUMMYFUNCTION("""COMPUTED_VALUE"""),"")</f>
        <v/>
      </c>
      <c r="F70" t="str">
        <f>IFERROR(__xludf.DUMMYFUNCTION("""COMPUTED_VALUE"""),"")</f>
        <v/>
      </c>
      <c r="G70" t="str">
        <f>IFERROR(__xludf.DUMMYFUNCTION("""COMPUTED_VALUE"""),"")</f>
        <v/>
      </c>
      <c r="H70" t="str">
        <f>IFERROR(__xludf.DUMMYFUNCTION("""COMPUTED_VALUE"""),"")</f>
        <v/>
      </c>
      <c r="I70" t="str">
        <f>IFERROR(__xludf.DUMMYFUNCTION("""COMPUTED_VALUE"""),"")</f>
        <v/>
      </c>
      <c r="J70" t="str">
        <f>IFERROR(__xludf.DUMMYFUNCTION("""COMPUTED_VALUE"""),"")</f>
        <v/>
      </c>
      <c r="K70" t="str">
        <f>IFERROR(__xludf.DUMMYFUNCTION("""COMPUTED_VALUE"""),"")</f>
        <v/>
      </c>
      <c r="L70" t="str">
        <f>IFERROR(__xludf.DUMMYFUNCTION("""COMPUTED_VALUE"""),"")</f>
        <v/>
      </c>
    </row>
    <row r="71" ht="15.75" customHeight="1">
      <c r="A71" t="str">
        <f>IFERROR(__xludf.DUMMYFUNCTION("""COMPUTED_VALUE"""),"Allocation")</f>
        <v>Allocation</v>
      </c>
      <c r="B71" t="str">
        <f>IFERROR(__xludf.DUMMYFUNCTION("""COMPUTED_VALUE"""),"CopyCalculatedPreferences")</f>
        <v>CopyCalculatedPreferences</v>
      </c>
      <c r="C71" t="str">
        <f>IFERROR(__xludf.DUMMYFUNCTION("""COMPUTED_VALUE"""),"1Vh7puU6V8sdg79BDEHjKR85NL7-Acme-qT6OtJYS8jU")</f>
        <v>1Vh7puU6V8sdg79BDEHjKR85NL7-Acme-qT6OtJYS8jU</v>
      </c>
      <c r="D71" t="str">
        <f>IFERROR(__xludf.DUMMYFUNCTION("""COMPUTED_VALUE"""),"")</f>
        <v/>
      </c>
      <c r="E71" t="str">
        <f>IFERROR(__xludf.DUMMYFUNCTION("""COMPUTED_VALUE"""),"")</f>
        <v/>
      </c>
      <c r="F71" t="str">
        <f>IFERROR(__xludf.DUMMYFUNCTION("""COMPUTED_VALUE"""),"")</f>
        <v/>
      </c>
      <c r="G71" t="str">
        <f>IFERROR(__xludf.DUMMYFUNCTION("""COMPUTED_VALUE"""),"")</f>
        <v/>
      </c>
      <c r="H71" t="str">
        <f>IFERROR(__xludf.DUMMYFUNCTION("""COMPUTED_VALUE"""),"")</f>
        <v/>
      </c>
      <c r="I71" t="str">
        <f>IFERROR(__xludf.DUMMYFUNCTION("""COMPUTED_VALUE"""),"")</f>
        <v/>
      </c>
      <c r="J71" t="str">
        <f>IFERROR(__xludf.DUMMYFUNCTION("""COMPUTED_VALUE"""),"")</f>
        <v/>
      </c>
      <c r="K71" t="str">
        <f>IFERROR(__xludf.DUMMYFUNCTION("""COMPUTED_VALUE"""),"")</f>
        <v/>
      </c>
      <c r="L71" t="str">
        <f>IFERROR(__xludf.DUMMYFUNCTION("""COMPUTED_VALUE"""),"")</f>
        <v/>
      </c>
    </row>
    <row r="72" ht="15.75" customHeight="1">
      <c r="A72" t="str">
        <f>IFERROR(__xludf.DUMMYFUNCTION("""COMPUTED_VALUE"""),"Allocation")</f>
        <v>Allocation</v>
      </c>
      <c r="B72" t="str">
        <f>IFERROR(__xludf.DUMMYFUNCTION("""COMPUTED_VALUE"""),"RunAutoGroup")</f>
        <v>RunAutoGroup</v>
      </c>
      <c r="C72" t="str">
        <f>IFERROR(__xludf.DUMMYFUNCTION("""COMPUTED_VALUE"""),"158eTu4y7Mzj5QKawI53nzZDBNrOyPWeB41H0X9otKtU")</f>
        <v>158eTu4y7Mzj5QKawI53nzZDBNrOyPWeB41H0X9otKtU</v>
      </c>
      <c r="D72" t="str">
        <f>IFERROR(__xludf.DUMMYFUNCTION("""COMPUTED_VALUE"""),"")</f>
        <v/>
      </c>
      <c r="E72" t="str">
        <f>IFERROR(__xludf.DUMMYFUNCTION("""COMPUTED_VALUE"""),"")</f>
        <v/>
      </c>
      <c r="F72" t="str">
        <f>IFERROR(__xludf.DUMMYFUNCTION("""COMPUTED_VALUE"""),"")</f>
        <v/>
      </c>
      <c r="G72" t="str">
        <f>IFERROR(__xludf.DUMMYFUNCTION("""COMPUTED_VALUE"""),"")</f>
        <v/>
      </c>
      <c r="H72" t="str">
        <f>IFERROR(__xludf.DUMMYFUNCTION("""COMPUTED_VALUE"""),"")</f>
        <v/>
      </c>
      <c r="I72" t="str">
        <f>IFERROR(__xludf.DUMMYFUNCTION("""COMPUTED_VALUE"""),"")</f>
        <v/>
      </c>
      <c r="J72" t="str">
        <f>IFERROR(__xludf.DUMMYFUNCTION("""COMPUTED_VALUE"""),"")</f>
        <v/>
      </c>
      <c r="K72" t="str">
        <f>IFERROR(__xludf.DUMMYFUNCTION("""COMPUTED_VALUE"""),"")</f>
        <v/>
      </c>
      <c r="L72" t="str">
        <f>IFERROR(__xludf.DUMMYFUNCTION("""COMPUTED_VALUE"""),"")</f>
        <v/>
      </c>
    </row>
    <row r="73" ht="15.75" customHeight="1">
      <c r="A73" t="str">
        <f>IFERROR(__xludf.DUMMYFUNCTION("""COMPUTED_VALUE"""),"Allocation")</f>
        <v>Allocation</v>
      </c>
      <c r="B73" t="str">
        <f>IFERROR(__xludf.DUMMYFUNCTION("""COMPUTED_VALUE"""),"BookOrUpdateSwap")</f>
        <v>BookOrUpdateSwap</v>
      </c>
      <c r="C73" t="str">
        <f>IFERROR(__xludf.DUMMYFUNCTION("""COMPUTED_VALUE"""),"1WP_KP7BGdetzKFFV_YXmrIpjZ117e0TQy6He8Pjsbn8")</f>
        <v>1WP_KP7BGdetzKFFV_YXmrIpjZ117e0TQy6He8Pjsbn8</v>
      </c>
      <c r="D73" t="str">
        <f>IFERROR(__xludf.DUMMYFUNCTION("""COMPUTED_VALUE"""),"")</f>
        <v/>
      </c>
      <c r="E73" t="str">
        <f>IFERROR(__xludf.DUMMYFUNCTION("""COMPUTED_VALUE"""),"")</f>
        <v/>
      </c>
      <c r="F73" t="str">
        <f>IFERROR(__xludf.DUMMYFUNCTION("""COMPUTED_VALUE"""),"")</f>
        <v/>
      </c>
      <c r="G73" t="str">
        <f>IFERROR(__xludf.DUMMYFUNCTION("""COMPUTED_VALUE"""),"")</f>
        <v/>
      </c>
      <c r="H73" t="str">
        <f>IFERROR(__xludf.DUMMYFUNCTION("""COMPUTED_VALUE"""),"")</f>
        <v/>
      </c>
      <c r="I73" t="str">
        <f>IFERROR(__xludf.DUMMYFUNCTION("""COMPUTED_VALUE"""),"")</f>
        <v/>
      </c>
      <c r="J73" t="str">
        <f>IFERROR(__xludf.DUMMYFUNCTION("""COMPUTED_VALUE"""),"")</f>
        <v/>
      </c>
      <c r="K73" t="str">
        <f>IFERROR(__xludf.DUMMYFUNCTION("""COMPUTED_VALUE"""),"")</f>
        <v/>
      </c>
      <c r="L73" t="str">
        <f>IFERROR(__xludf.DUMMYFUNCTION("""COMPUTED_VALUE"""),"")</f>
        <v/>
      </c>
    </row>
    <row r="74" ht="15.75" customHeight="1">
      <c r="A74" t="str">
        <f>IFERROR(__xludf.DUMMYFUNCTION("""COMPUTED_VALUE"""),"Allocation")</f>
        <v>Allocation</v>
      </c>
      <c r="B74" t="str">
        <f>IFERROR(__xludf.DUMMYFUNCTION("""COMPUTED_VALUE"""),"RunProrata")</f>
        <v>RunProrata</v>
      </c>
      <c r="C74" t="str">
        <f>IFERROR(__xludf.DUMMYFUNCTION("""COMPUTED_VALUE"""),"1HJLHDE5oGtsHlvN-IJtqA0k9UCPTKPg__dJ6Xmc6wfs")</f>
        <v>1HJLHDE5oGtsHlvN-IJtqA0k9UCPTKPg__dJ6Xmc6wfs</v>
      </c>
      <c r="D74" t="str">
        <f>IFERROR(__xludf.DUMMYFUNCTION("""COMPUTED_VALUE"""),"")</f>
        <v/>
      </c>
      <c r="E74" t="str">
        <f>IFERROR(__xludf.DUMMYFUNCTION("""COMPUTED_VALUE"""),"")</f>
        <v/>
      </c>
      <c r="F74" t="str">
        <f>IFERROR(__xludf.DUMMYFUNCTION("""COMPUTED_VALUE"""),"")</f>
        <v/>
      </c>
      <c r="G74" t="str">
        <f>IFERROR(__xludf.DUMMYFUNCTION("""COMPUTED_VALUE"""),"")</f>
        <v/>
      </c>
      <c r="H74" t="str">
        <f>IFERROR(__xludf.DUMMYFUNCTION("""COMPUTED_VALUE"""),"")</f>
        <v/>
      </c>
      <c r="I74" t="str">
        <f>IFERROR(__xludf.DUMMYFUNCTION("""COMPUTED_VALUE"""),"")</f>
        <v/>
      </c>
      <c r="J74" t="str">
        <f>IFERROR(__xludf.DUMMYFUNCTION("""COMPUTED_VALUE"""),"")</f>
        <v/>
      </c>
      <c r="K74" t="str">
        <f>IFERROR(__xludf.DUMMYFUNCTION("""COMPUTED_VALUE"""),"")</f>
        <v/>
      </c>
      <c r="L74" t="str">
        <f>IFERROR(__xludf.DUMMYFUNCTION("""COMPUTED_VALUE"""),"")</f>
        <v/>
      </c>
    </row>
    <row r="75" ht="15.75" customHeight="1">
      <c r="A75" t="str">
        <f>IFERROR(__xludf.DUMMYFUNCTION("""COMPUTED_VALUE"""),"Allocation")</f>
        <v>Allocation</v>
      </c>
      <c r="B75" t="str">
        <f>IFERROR(__xludf.DUMMYFUNCTION("""COMPUTED_VALUE"""),"SetDefaultRuleCalculatedPref")</f>
        <v>SetDefaultRuleCalculatedPref</v>
      </c>
      <c r="C75" t="str">
        <f>IFERROR(__xludf.DUMMYFUNCTION("""COMPUTED_VALUE"""),"19y7JJUjHv2co1ySpXKhNftDtMRpP9bKtqpUANMv9Aqk")</f>
        <v>19y7JJUjHv2co1ySpXKhNftDtMRpP9bKtqpUANMv9Aqk</v>
      </c>
      <c r="D75" t="str">
        <f>IFERROR(__xludf.DUMMYFUNCTION("""COMPUTED_VALUE"""),"")</f>
        <v/>
      </c>
      <c r="E75" t="str">
        <f>IFERROR(__xludf.DUMMYFUNCTION("""COMPUTED_VALUE"""),"")</f>
        <v/>
      </c>
      <c r="F75" t="str">
        <f>IFERROR(__xludf.DUMMYFUNCTION("""COMPUTED_VALUE"""),"")</f>
        <v/>
      </c>
      <c r="G75" t="str">
        <f>IFERROR(__xludf.DUMMYFUNCTION("""COMPUTED_VALUE"""),"")</f>
        <v/>
      </c>
      <c r="H75" t="str">
        <f>IFERROR(__xludf.DUMMYFUNCTION("""COMPUTED_VALUE"""),"")</f>
        <v/>
      </c>
      <c r="I75" t="str">
        <f>IFERROR(__xludf.DUMMYFUNCTION("""COMPUTED_VALUE"""),"")</f>
        <v/>
      </c>
      <c r="J75" t="str">
        <f>IFERROR(__xludf.DUMMYFUNCTION("""COMPUTED_VALUE"""),"")</f>
        <v/>
      </c>
      <c r="K75" t="str">
        <f>IFERROR(__xludf.DUMMYFUNCTION("""COMPUTED_VALUE"""),"")</f>
        <v/>
      </c>
      <c r="L75" t="str">
        <f>IFERROR(__xludf.DUMMYFUNCTION("""COMPUTED_VALUE"""),"")</f>
        <v/>
      </c>
    </row>
    <row r="76" ht="15.75" customHeight="1">
      <c r="A76" t="str">
        <f>IFERROR(__xludf.DUMMYFUNCTION("""COMPUTED_VALUE"""),"Admin")</f>
        <v>Admin</v>
      </c>
      <c r="B76" t="str">
        <f>IFERROR(__xludf.DUMMYFUNCTION("""COMPUTED_VALUE"""),"SetTTUIPreferences")</f>
        <v>SetTTUIPreferences</v>
      </c>
      <c r="C76" t="str">
        <f>IFERROR(__xludf.DUMMYFUNCTION("""COMPUTED_VALUE"""),"1vJDk7umktKM6xIYCDQtaPORMsI7Lqo0JwhEQIZcbcWA")</f>
        <v>1vJDk7umktKM6xIYCDQtaPORMsI7Lqo0JwhEQIZcbcWA</v>
      </c>
      <c r="D76" t="str">
        <f>IFERROR(__xludf.DUMMYFUNCTION("""COMPUTED_VALUE"""),"")</f>
        <v/>
      </c>
      <c r="E76" t="str">
        <f>IFERROR(__xludf.DUMMYFUNCTION("""COMPUTED_VALUE"""),"")</f>
        <v/>
      </c>
      <c r="F76" t="str">
        <f>IFERROR(__xludf.DUMMYFUNCTION("""COMPUTED_VALUE"""),"")</f>
        <v/>
      </c>
      <c r="G76" t="str">
        <f>IFERROR(__xludf.DUMMYFUNCTION("""COMPUTED_VALUE"""),"")</f>
        <v/>
      </c>
      <c r="H76" t="str">
        <f>IFERROR(__xludf.DUMMYFUNCTION("""COMPUTED_VALUE"""),"")</f>
        <v/>
      </c>
      <c r="I76" t="str">
        <f>IFERROR(__xludf.DUMMYFUNCTION("""COMPUTED_VALUE"""),"")</f>
        <v/>
      </c>
      <c r="J76" t="str">
        <f>IFERROR(__xludf.DUMMYFUNCTION("""COMPUTED_VALUE"""),"")</f>
        <v/>
      </c>
      <c r="K76" t="str">
        <f>IFERROR(__xludf.DUMMYFUNCTION("""COMPUTED_VALUE"""),"")</f>
        <v/>
      </c>
      <c r="L76" t="str">
        <f>IFERROR(__xludf.DUMMYFUNCTION("""COMPUTED_VALUE"""),"")</f>
        <v/>
      </c>
    </row>
    <row r="77" ht="15.75" customHeight="1">
      <c r="A77" t="str">
        <f>IFERROR(__xludf.DUMMYFUNCTION("""COMPUTED_VALUE"""),"Admin")</f>
        <v>Admin</v>
      </c>
      <c r="B77" t="str">
        <f>IFERROR(__xludf.DUMMYFUNCTION("""COMPUTED_VALUE"""),"TTPermissionLevel")</f>
        <v>TTPermissionLevel</v>
      </c>
      <c r="C77" t="str">
        <f>IFERROR(__xludf.DUMMYFUNCTION("""COMPUTED_VALUE"""),"14IVRT0g-2GNeaAMS9iaPvdKHXE7L-uF6tlIX39pwa6A")</f>
        <v>14IVRT0g-2GNeaAMS9iaPvdKHXE7L-uF6tlIX39pwa6A</v>
      </c>
      <c r="D77" t="str">
        <f>IFERROR(__xludf.DUMMYFUNCTION("""COMPUTED_VALUE"""),"")</f>
        <v/>
      </c>
      <c r="E77" t="str">
        <f>IFERROR(__xludf.DUMMYFUNCTION("""COMPUTED_VALUE"""),"")</f>
        <v/>
      </c>
      <c r="F77" t="str">
        <f>IFERROR(__xludf.DUMMYFUNCTION("""COMPUTED_VALUE"""),"")</f>
        <v/>
      </c>
      <c r="G77" t="str">
        <f>IFERROR(__xludf.DUMMYFUNCTION("""COMPUTED_VALUE"""),"")</f>
        <v/>
      </c>
      <c r="H77" t="str">
        <f>IFERROR(__xludf.DUMMYFUNCTION("""COMPUTED_VALUE"""),"")</f>
        <v/>
      </c>
      <c r="I77" t="str">
        <f>IFERROR(__xludf.DUMMYFUNCTION("""COMPUTED_VALUE"""),"")</f>
        <v/>
      </c>
      <c r="J77" t="str">
        <f>IFERROR(__xludf.DUMMYFUNCTION("""COMPUTED_VALUE"""),"")</f>
        <v/>
      </c>
      <c r="K77" t="str">
        <f>IFERROR(__xludf.DUMMYFUNCTION("""COMPUTED_VALUE"""),"")</f>
        <v/>
      </c>
      <c r="L77" t="str">
        <f>IFERROR(__xludf.DUMMYFUNCTION("""COMPUTED_VALUE"""),"")</f>
        <v/>
      </c>
    </row>
    <row r="78" ht="15.75" customHeight="1">
      <c r="A78" t="str">
        <f>IFERROR(__xludf.DUMMYFUNCTION("""COMPUTED_VALUE"""),"TradingTicket")</f>
        <v>TradingTicket</v>
      </c>
      <c r="B78" t="str">
        <f>IFERROR(__xludf.DUMMYFUNCTION("""COMPUTED_VALUE"""),"ValidateSymbolTT")</f>
        <v>ValidateSymbolTT</v>
      </c>
      <c r="C78" t="str">
        <f>IFERROR(__xludf.DUMMYFUNCTION("""COMPUTED_VALUE"""),"10G_Y6isKleDKBUw0uti8mqMOHAiZoyxYlUXPuI0cp84")</f>
        <v>10G_Y6isKleDKBUw0uti8mqMOHAiZoyxYlUXPuI0cp84</v>
      </c>
      <c r="D78" t="str">
        <f>IFERROR(__xludf.DUMMYFUNCTION("""COMPUTED_VALUE"""),"")</f>
        <v/>
      </c>
      <c r="E78" t="str">
        <f>IFERROR(__xludf.DUMMYFUNCTION("""COMPUTED_VALUE"""),"")</f>
        <v/>
      </c>
      <c r="F78" t="str">
        <f>IFERROR(__xludf.DUMMYFUNCTION("""COMPUTED_VALUE"""),"")</f>
        <v/>
      </c>
      <c r="G78" t="str">
        <f>IFERROR(__xludf.DUMMYFUNCTION("""COMPUTED_VALUE"""),"")</f>
        <v/>
      </c>
      <c r="H78" t="str">
        <f>IFERROR(__xludf.DUMMYFUNCTION("""COMPUTED_VALUE"""),"")</f>
        <v/>
      </c>
      <c r="I78" t="str">
        <f>IFERROR(__xludf.DUMMYFUNCTION("""COMPUTED_VALUE"""),"")</f>
        <v/>
      </c>
      <c r="J78" t="str">
        <f>IFERROR(__xludf.DUMMYFUNCTION("""COMPUTED_VALUE"""),"")</f>
        <v/>
      </c>
      <c r="K78" t="str">
        <f>IFERROR(__xludf.DUMMYFUNCTION("""COMPUTED_VALUE"""),"")</f>
        <v/>
      </c>
      <c r="L78" t="str">
        <f>IFERROR(__xludf.DUMMYFUNCTION("""COMPUTED_VALUE"""),"")</f>
        <v/>
      </c>
    </row>
    <row r="79" ht="15.75" customHeight="1">
      <c r="A79" t="str">
        <f>IFERROR(__xludf.DUMMYFUNCTION("""COMPUTED_VALUE"""),"TradingTicket")</f>
        <v>TradingTicket</v>
      </c>
      <c r="B79" t="str">
        <f>IFERROR(__xludf.DUMMYFUNCTION("""COMPUTED_VALUE"""),"VerifyDataTT")</f>
        <v>VerifyDataTT</v>
      </c>
      <c r="C79" t="str">
        <f>IFERROR(__xludf.DUMMYFUNCTION("""COMPUTED_VALUE"""),"Undefined")</f>
        <v>Undefined</v>
      </c>
      <c r="D79" t="str">
        <f>IFERROR(__xludf.DUMMYFUNCTION("""COMPUTED_VALUE"""),"")</f>
        <v/>
      </c>
      <c r="E79" t="str">
        <f>IFERROR(__xludf.DUMMYFUNCTION("""COMPUTED_VALUE"""),"")</f>
        <v/>
      </c>
      <c r="F79" t="str">
        <f>IFERROR(__xludf.DUMMYFUNCTION("""COMPUTED_VALUE"""),"")</f>
        <v/>
      </c>
      <c r="G79" t="str">
        <f>IFERROR(__xludf.DUMMYFUNCTION("""COMPUTED_VALUE"""),"")</f>
        <v/>
      </c>
      <c r="H79" t="str">
        <f>IFERROR(__xludf.DUMMYFUNCTION("""COMPUTED_VALUE"""),"")</f>
        <v/>
      </c>
      <c r="I79" t="str">
        <f>IFERROR(__xludf.DUMMYFUNCTION("""COMPUTED_VALUE"""),"")</f>
        <v/>
      </c>
      <c r="J79" t="str">
        <f>IFERROR(__xludf.DUMMYFUNCTION("""COMPUTED_VALUE"""),"")</f>
        <v/>
      </c>
      <c r="K79" t="str">
        <f>IFERROR(__xludf.DUMMYFUNCTION("""COMPUTED_VALUE"""),"")</f>
        <v/>
      </c>
      <c r="L79" t="str">
        <f>IFERROR(__xludf.DUMMYFUNCTION("""COMPUTED_VALUE"""),"")</f>
        <v/>
      </c>
    </row>
    <row r="80" ht="15.75" customHeight="1">
      <c r="A80" t="str">
        <f>IFERROR(__xludf.DUMMYFUNCTION("""COMPUTED_VALUE"""),"TradingTicket")</f>
        <v>TradingTicket</v>
      </c>
      <c r="B80" t="str">
        <f>IFERROR(__xludf.DUMMYFUNCTION("""COMPUTED_VALUE"""),"SetUIPreferencesTT")</f>
        <v>SetUIPreferencesTT</v>
      </c>
      <c r="C80" t="str">
        <f>IFERROR(__xludf.DUMMYFUNCTION("""COMPUTED_VALUE"""),"1mKK2qOB9c77LvJRMd9V1haRgnEbKEvJHAGMul7LU9r8")</f>
        <v>1mKK2qOB9c77LvJRMd9V1haRgnEbKEvJHAGMul7LU9r8</v>
      </c>
      <c r="D80" t="str">
        <f>IFERROR(__xludf.DUMMYFUNCTION("""COMPUTED_VALUE"""),"")</f>
        <v/>
      </c>
      <c r="E80" t="str">
        <f>IFERROR(__xludf.DUMMYFUNCTION("""COMPUTED_VALUE"""),"")</f>
        <v/>
      </c>
      <c r="F80" t="str">
        <f>IFERROR(__xludf.DUMMYFUNCTION("""COMPUTED_VALUE"""),"")</f>
        <v/>
      </c>
      <c r="G80" t="str">
        <f>IFERROR(__xludf.DUMMYFUNCTION("""COMPUTED_VALUE"""),"")</f>
        <v/>
      </c>
      <c r="H80" t="str">
        <f>IFERROR(__xludf.DUMMYFUNCTION("""COMPUTED_VALUE"""),"")</f>
        <v/>
      </c>
      <c r="I80" t="str">
        <f>IFERROR(__xludf.DUMMYFUNCTION("""COMPUTED_VALUE"""),"")</f>
        <v/>
      </c>
      <c r="J80" t="str">
        <f>IFERROR(__xludf.DUMMYFUNCTION("""COMPUTED_VALUE"""),"")</f>
        <v/>
      </c>
      <c r="K80" t="str">
        <f>IFERROR(__xludf.DUMMYFUNCTION("""COMPUTED_VALUE"""),"")</f>
        <v/>
      </c>
      <c r="L80" t="str">
        <f>IFERROR(__xludf.DUMMYFUNCTION("""COMPUTED_VALUE"""),"")</f>
        <v/>
      </c>
    </row>
    <row r="81" ht="15.75" customHeight="1">
      <c r="A81" t="str">
        <f>IFERROR(__xludf.DUMMYFUNCTION("""COMPUTED_VALUE"""),"TradingTicket")</f>
        <v>TradingTicket</v>
      </c>
      <c r="B81" t="str">
        <f>IFERROR(__xludf.DUMMYFUNCTION("""COMPUTED_VALUE"""),"SetBrokerWisePreferencesTT")</f>
        <v>SetBrokerWisePreferencesTT</v>
      </c>
      <c r="C81" t="str">
        <f>IFERROR(__xludf.DUMMYFUNCTION("""COMPUTED_VALUE"""),"1IGQeYHwZ1PTtDZ5J3pngQh2CiTe0eztPtkirV05Yfn0")</f>
        <v>1IGQeYHwZ1PTtDZ5J3pngQh2CiTe0eztPtkirV05Yfn0</v>
      </c>
      <c r="D81" t="str">
        <f>IFERROR(__xludf.DUMMYFUNCTION("""COMPUTED_VALUE"""),"")</f>
        <v/>
      </c>
      <c r="E81" t="str">
        <f>IFERROR(__xludf.DUMMYFUNCTION("""COMPUTED_VALUE"""),"")</f>
        <v/>
      </c>
      <c r="F81" t="str">
        <f>IFERROR(__xludf.DUMMYFUNCTION("""COMPUTED_VALUE"""),"")</f>
        <v/>
      </c>
      <c r="G81" t="str">
        <f>IFERROR(__xludf.DUMMYFUNCTION("""COMPUTED_VALUE"""),"")</f>
        <v/>
      </c>
      <c r="H81" t="str">
        <f>IFERROR(__xludf.DUMMYFUNCTION("""COMPUTED_VALUE"""),"")</f>
        <v/>
      </c>
      <c r="I81" t="str">
        <f>IFERROR(__xludf.DUMMYFUNCTION("""COMPUTED_VALUE"""),"")</f>
        <v/>
      </c>
      <c r="J81" t="str">
        <f>IFERROR(__xludf.DUMMYFUNCTION("""COMPUTED_VALUE"""),"")</f>
        <v/>
      </c>
      <c r="K81" t="str">
        <f>IFERROR(__xludf.DUMMYFUNCTION("""COMPUTED_VALUE"""),"")</f>
        <v/>
      </c>
      <c r="L81" t="str">
        <f>IFERROR(__xludf.DUMMYFUNCTION("""COMPUTED_VALUE"""),"")</f>
        <v/>
      </c>
    </row>
    <row r="82" ht="15.75" customHeight="1">
      <c r="A82" t="str">
        <f>IFERROR(__xludf.DUMMYFUNCTION("""COMPUTED_VALUE"""),"Blotter")</f>
        <v>Blotter</v>
      </c>
      <c r="B82" t="str">
        <f>IFERROR(__xludf.DUMMYFUNCTION("""COMPUTED_VALUE"""),"BlotterFunctionalities")</f>
        <v>BlotterFunctionalities</v>
      </c>
      <c r="C82" t="str">
        <f>IFERROR(__xludf.DUMMYFUNCTION("""COMPUTED_VALUE"""),"186JjG_Ko2ioSSokldVvYGEzowliqTGKmrzVD57ebYO0")</f>
        <v>186JjG_Ko2ioSSokldVvYGEzowliqTGKmrzVD57ebYO0</v>
      </c>
      <c r="D82" t="str">
        <f>IFERROR(__xludf.DUMMYFUNCTION("""COMPUTED_VALUE"""),"")</f>
        <v/>
      </c>
      <c r="E82" t="str">
        <f>IFERROR(__xludf.DUMMYFUNCTION("""COMPUTED_VALUE"""),"")</f>
        <v/>
      </c>
      <c r="F82" t="str">
        <f>IFERROR(__xludf.DUMMYFUNCTION("""COMPUTED_VALUE"""),"")</f>
        <v/>
      </c>
      <c r="G82" t="str">
        <f>IFERROR(__xludf.DUMMYFUNCTION("""COMPUTED_VALUE"""),"")</f>
        <v/>
      </c>
      <c r="H82" t="str">
        <f>IFERROR(__xludf.DUMMYFUNCTION("""COMPUTED_VALUE"""),"")</f>
        <v/>
      </c>
      <c r="I82" t="str">
        <f>IFERROR(__xludf.DUMMYFUNCTION("""COMPUTED_VALUE"""),"")</f>
        <v/>
      </c>
      <c r="J82" t="str">
        <f>IFERROR(__xludf.DUMMYFUNCTION("""COMPUTED_VALUE"""),"")</f>
        <v/>
      </c>
      <c r="K82" t="str">
        <f>IFERROR(__xludf.DUMMYFUNCTION("""COMPUTED_VALUE"""),"")</f>
        <v/>
      </c>
      <c r="L82" t="str">
        <f>IFERROR(__xludf.DUMMYFUNCTION("""COMPUTED_VALUE"""),"")</f>
        <v/>
      </c>
    </row>
    <row r="83" ht="15.75" customHeight="1">
      <c r="A83" t="str">
        <f>IFERROR(__xludf.DUMMYFUNCTION("""COMPUTED_VALUE"""),"TradingTicket")</f>
        <v>TradingTicket</v>
      </c>
      <c r="B83" t="str">
        <f>IFERROR(__xludf.DUMMYFUNCTION("""COMPUTED_VALUE"""),"TradeNewSub")</f>
        <v>TradeNewSub</v>
      </c>
      <c r="C83" t="str">
        <f>IFERROR(__xludf.DUMMYFUNCTION("""COMPUTED_VALUE"""),"1Muxt3XVeal8ijJZ9PFOV7BjtWOkZwktKh2hr7eyisr8")</f>
        <v>1Muxt3XVeal8ijJZ9PFOV7BjtWOkZwktKh2hr7eyisr8</v>
      </c>
      <c r="D83" t="str">
        <f>IFERROR(__xludf.DUMMYFUNCTION("""COMPUTED_VALUE"""),"")</f>
        <v/>
      </c>
      <c r="E83" t="str">
        <f>IFERROR(__xludf.DUMMYFUNCTION("""COMPUTED_VALUE"""),"")</f>
        <v/>
      </c>
      <c r="F83" t="str">
        <f>IFERROR(__xludf.DUMMYFUNCTION("""COMPUTED_VALUE"""),"")</f>
        <v/>
      </c>
      <c r="G83" t="str">
        <f>IFERROR(__xludf.DUMMYFUNCTION("""COMPUTED_VALUE"""),"")</f>
        <v/>
      </c>
      <c r="H83" t="str">
        <f>IFERROR(__xludf.DUMMYFUNCTION("""COMPUTED_VALUE"""),"")</f>
        <v/>
      </c>
      <c r="I83" t="str">
        <f>IFERROR(__xludf.DUMMYFUNCTION("""COMPUTED_VALUE"""),"")</f>
        <v/>
      </c>
      <c r="J83" t="str">
        <f>IFERROR(__xludf.DUMMYFUNCTION("""COMPUTED_VALUE"""),"")</f>
        <v/>
      </c>
      <c r="K83" t="str">
        <f>IFERROR(__xludf.DUMMYFUNCTION("""COMPUTED_VALUE"""),"")</f>
        <v/>
      </c>
      <c r="L83" t="str">
        <f>IFERROR(__xludf.DUMMYFUNCTION("""COMPUTED_VALUE"""),"")</f>
        <v/>
      </c>
    </row>
    <row r="84" ht="15.75" customHeight="1">
      <c r="A84" t="str">
        <f>IFERROR(__xludf.DUMMYFUNCTION("""COMPUTED_VALUE"""),"GeneralLedger")</f>
        <v>GeneralLedger</v>
      </c>
      <c r="B84" t="str">
        <f>IFERROR(__xludf.DUMMYFUNCTION("""COMPUTED_VALUE"""),"GetTradingTransaction")</f>
        <v>GetTradingTransaction</v>
      </c>
      <c r="C84" t="str">
        <f>IFERROR(__xludf.DUMMYFUNCTION("""COMPUTED_VALUE"""),"1VMYHglP2fkjYnP4JAs8baMjTLBOQq4G2nCZZHofxJ_E")</f>
        <v>1VMYHglP2fkjYnP4JAs8baMjTLBOQq4G2nCZZHofxJ_E</v>
      </c>
      <c r="D84" t="str">
        <f>IFERROR(__xludf.DUMMYFUNCTION("""COMPUTED_VALUE"""),"")</f>
        <v/>
      </c>
      <c r="E84" t="str">
        <f>IFERROR(__xludf.DUMMYFUNCTION("""COMPUTED_VALUE"""),"")</f>
        <v/>
      </c>
      <c r="F84" t="str">
        <f>IFERROR(__xludf.DUMMYFUNCTION("""COMPUTED_VALUE"""),"")</f>
        <v/>
      </c>
      <c r="G84" t="str">
        <f>IFERROR(__xludf.DUMMYFUNCTION("""COMPUTED_VALUE"""),"")</f>
        <v/>
      </c>
      <c r="H84" t="str">
        <f>IFERROR(__xludf.DUMMYFUNCTION("""COMPUTED_VALUE"""),"")</f>
        <v/>
      </c>
      <c r="I84" t="str">
        <f>IFERROR(__xludf.DUMMYFUNCTION("""COMPUTED_VALUE"""),"")</f>
        <v/>
      </c>
      <c r="J84" t="str">
        <f>IFERROR(__xludf.DUMMYFUNCTION("""COMPUTED_VALUE"""),"")</f>
        <v/>
      </c>
      <c r="K84" t="str">
        <f>IFERROR(__xludf.DUMMYFUNCTION("""COMPUTED_VALUE"""),"")</f>
        <v/>
      </c>
      <c r="L84" t="str">
        <f>IFERROR(__xludf.DUMMYFUNCTION("""COMPUTED_VALUE"""),"")</f>
        <v/>
      </c>
    </row>
    <row r="85" ht="15.75" customHeight="1">
      <c r="A85" t="str">
        <f>IFERROR(__xludf.DUMMYFUNCTION("""COMPUTED_VALUE"""),"GeneralLedger")</f>
        <v>GeneralLedger</v>
      </c>
      <c r="B85" t="str">
        <f>IFERROR(__xludf.DUMMYFUNCTION("""COMPUTED_VALUE"""),"GetActivityData")</f>
        <v>GetActivityData</v>
      </c>
      <c r="C85" t="str">
        <f>IFERROR(__xludf.DUMMYFUNCTION("""COMPUTED_VALUE"""),"1cgB7L-hmW69lXXu8-acayYl62KglwsTMNmc71UN0igs")</f>
        <v>1cgB7L-hmW69lXXu8-acayYl62KglwsTMNmc71UN0igs</v>
      </c>
      <c r="D85" t="str">
        <f>IFERROR(__xludf.DUMMYFUNCTION("""COMPUTED_VALUE"""),"")</f>
        <v/>
      </c>
      <c r="E85" t="str">
        <f>IFERROR(__xludf.DUMMYFUNCTION("""COMPUTED_VALUE"""),"")</f>
        <v/>
      </c>
      <c r="F85" t="str">
        <f>IFERROR(__xludf.DUMMYFUNCTION("""COMPUTED_VALUE"""),"")</f>
        <v/>
      </c>
      <c r="G85" t="str">
        <f>IFERROR(__xludf.DUMMYFUNCTION("""COMPUTED_VALUE"""),"")</f>
        <v/>
      </c>
      <c r="H85" t="str">
        <f>IFERROR(__xludf.DUMMYFUNCTION("""COMPUTED_VALUE"""),"")</f>
        <v/>
      </c>
      <c r="I85" t="str">
        <f>IFERROR(__xludf.DUMMYFUNCTION("""COMPUTED_VALUE"""),"")</f>
        <v/>
      </c>
      <c r="J85" t="str">
        <f>IFERROR(__xludf.DUMMYFUNCTION("""COMPUTED_VALUE"""),"")</f>
        <v/>
      </c>
      <c r="K85" t="str">
        <f>IFERROR(__xludf.DUMMYFUNCTION("""COMPUTED_VALUE"""),"")</f>
        <v/>
      </c>
      <c r="L85" t="str">
        <f>IFERROR(__xludf.DUMMYFUNCTION("""COMPUTED_VALUE"""),"")</f>
        <v/>
      </c>
    </row>
    <row r="86" ht="15.75" customHeight="1">
      <c r="A86" t="str">
        <f>IFERROR(__xludf.DUMMYFUNCTION("""COMPUTED_VALUE"""),"Allocation")</f>
        <v>Allocation</v>
      </c>
      <c r="B86" t="str">
        <f>IFERROR(__xludf.DUMMYFUNCTION("""COMPUTED_VALUE"""),"SetAccountValueCalculatedPref")</f>
        <v>SetAccountValueCalculatedPref</v>
      </c>
      <c r="C86" t="str">
        <f>IFERROR(__xludf.DUMMYFUNCTION("""COMPUTED_VALUE"""),"1iW8f0wobJi3n6fY9ZFF2ESnVsRhxf3kblT2TOsYbNlY")</f>
        <v>1iW8f0wobJi3n6fY9ZFF2ESnVsRhxf3kblT2TOsYbNlY</v>
      </c>
      <c r="D86" t="str">
        <f>IFERROR(__xludf.DUMMYFUNCTION("""COMPUTED_VALUE"""),"")</f>
        <v/>
      </c>
      <c r="E86" t="str">
        <f>IFERROR(__xludf.DUMMYFUNCTION("""COMPUTED_VALUE"""),"")</f>
        <v/>
      </c>
      <c r="F86" t="str">
        <f>IFERROR(__xludf.DUMMYFUNCTION("""COMPUTED_VALUE"""),"")</f>
        <v/>
      </c>
      <c r="G86" t="str">
        <f>IFERROR(__xludf.DUMMYFUNCTION("""COMPUTED_VALUE"""),"")</f>
        <v/>
      </c>
      <c r="H86" t="str">
        <f>IFERROR(__xludf.DUMMYFUNCTION("""COMPUTED_VALUE"""),"")</f>
        <v/>
      </c>
      <c r="I86" t="str">
        <f>IFERROR(__xludf.DUMMYFUNCTION("""COMPUTED_VALUE"""),"")</f>
        <v/>
      </c>
      <c r="J86" t="str">
        <f>IFERROR(__xludf.DUMMYFUNCTION("""COMPUTED_VALUE"""),"")</f>
        <v/>
      </c>
      <c r="K86" t="str">
        <f>IFERROR(__xludf.DUMMYFUNCTION("""COMPUTED_VALUE"""),"")</f>
        <v/>
      </c>
      <c r="L86" t="str">
        <f>IFERROR(__xludf.DUMMYFUNCTION("""COMPUTED_VALUE"""),"")</f>
        <v/>
      </c>
    </row>
    <row r="87" ht="15.75" customHeight="1">
      <c r="A87" t="str">
        <f>IFERROR(__xludf.DUMMYFUNCTION("""COMPUTED_VALUE"""),"Allocation")</f>
        <v>Allocation</v>
      </c>
      <c r="B87" t="str">
        <f>IFERROR(__xludf.DUMMYFUNCTION("""COMPUTED_VALUE"""),"TradeAttributeBulkChangeGroups")</f>
        <v>TradeAttributeBulkChangeGroups</v>
      </c>
      <c r="C87" t="str">
        <f>IFERROR(__xludf.DUMMYFUNCTION("""COMPUTED_VALUE"""),"1G53tsyKDmEFnrtosRZ96Q4iATP0dLrOdTyyxLeC6_d4")</f>
        <v>1G53tsyKDmEFnrtosRZ96Q4iATP0dLrOdTyyxLeC6_d4</v>
      </c>
      <c r="D87" t="str">
        <f>IFERROR(__xludf.DUMMYFUNCTION("""COMPUTED_VALUE"""),"")</f>
        <v/>
      </c>
      <c r="E87" t="str">
        <f>IFERROR(__xludf.DUMMYFUNCTION("""COMPUTED_VALUE"""),"")</f>
        <v/>
      </c>
      <c r="F87" t="str">
        <f>IFERROR(__xludf.DUMMYFUNCTION("""COMPUTED_VALUE"""),"")</f>
        <v/>
      </c>
      <c r="G87" t="str">
        <f>IFERROR(__xludf.DUMMYFUNCTION("""COMPUTED_VALUE"""),"")</f>
        <v/>
      </c>
      <c r="H87" t="str">
        <f>IFERROR(__xludf.DUMMYFUNCTION("""COMPUTED_VALUE"""),"")</f>
        <v/>
      </c>
      <c r="I87" t="str">
        <f>IFERROR(__xludf.DUMMYFUNCTION("""COMPUTED_VALUE"""),"")</f>
        <v/>
      </c>
      <c r="J87" t="str">
        <f>IFERROR(__xludf.DUMMYFUNCTION("""COMPUTED_VALUE"""),"")</f>
        <v/>
      </c>
      <c r="K87" t="str">
        <f>IFERROR(__xludf.DUMMYFUNCTION("""COMPUTED_VALUE"""),"")</f>
        <v/>
      </c>
      <c r="L87" t="str">
        <f>IFERROR(__xludf.DUMMYFUNCTION("""COMPUTED_VALUE"""),"")</f>
        <v/>
      </c>
    </row>
    <row r="88" ht="15.75" customHeight="1">
      <c r="A88" t="str">
        <f>IFERROR(__xludf.DUMMYFUNCTION("""COMPUTED_VALUE"""),"Allocation")</f>
        <v>Allocation</v>
      </c>
      <c r="B88" t="str">
        <f>IFERROR(__xludf.DUMMYFUNCTION("""COMPUTED_VALUE"""),"TradeAttributeBulkChangeTaxlots")</f>
        <v>TradeAttributeBulkChangeTaxlots</v>
      </c>
      <c r="C88" t="str">
        <f>IFERROR(__xludf.DUMMYFUNCTION("""COMPUTED_VALUE"""),"11X0wsOdGxXWCkqhBueMs8fsJ6tZSOyCBY_nreYhelGE")</f>
        <v>11X0wsOdGxXWCkqhBueMs8fsJ6tZSOyCBY_nreYhelGE</v>
      </c>
      <c r="D88" t="str">
        <f>IFERROR(__xludf.DUMMYFUNCTION("""COMPUTED_VALUE"""),"")</f>
        <v/>
      </c>
      <c r="E88" t="str">
        <f>IFERROR(__xludf.DUMMYFUNCTION("""COMPUTED_VALUE"""),"")</f>
        <v/>
      </c>
      <c r="F88" t="str">
        <f>IFERROR(__xludf.DUMMYFUNCTION("""COMPUTED_VALUE"""),"")</f>
        <v/>
      </c>
      <c r="G88" t="str">
        <f>IFERROR(__xludf.DUMMYFUNCTION("""COMPUTED_VALUE"""),"")</f>
        <v/>
      </c>
      <c r="H88" t="str">
        <f>IFERROR(__xludf.DUMMYFUNCTION("""COMPUTED_VALUE"""),"")</f>
        <v/>
      </c>
      <c r="I88" t="str">
        <f>IFERROR(__xludf.DUMMYFUNCTION("""COMPUTED_VALUE"""),"")</f>
        <v/>
      </c>
      <c r="J88" t="str">
        <f>IFERROR(__xludf.DUMMYFUNCTION("""COMPUTED_VALUE"""),"")</f>
        <v/>
      </c>
      <c r="K88" t="str">
        <f>IFERROR(__xludf.DUMMYFUNCTION("""COMPUTED_VALUE"""),"")</f>
        <v/>
      </c>
      <c r="L88" t="str">
        <f>IFERROR(__xludf.DUMMYFUNCTION("""COMPUTED_VALUE"""),"")</f>
        <v/>
      </c>
    </row>
    <row r="89" ht="15.75" customHeight="1">
      <c r="A89" t="str">
        <f>IFERROR(__xludf.DUMMYFUNCTION("""COMPUTED_VALUE"""),"Allocation")</f>
        <v>Allocation</v>
      </c>
      <c r="B89" t="str">
        <f>IFERROR(__xludf.DUMMYFUNCTION("""COMPUTED_VALUE"""),"AddCalculatedPreferenceToolbar")</f>
        <v>AddCalculatedPreferenceToolbar</v>
      </c>
      <c r="C89" t="str">
        <f>IFERROR(__xludf.DUMMYFUNCTION("""COMPUTED_VALUE"""),"1f8LdPG_fu813MWdc5LZ_f3a6pNZvy-agc1gnR2D2d1I")</f>
        <v>1f8LdPG_fu813MWdc5LZ_f3a6pNZvy-agc1gnR2D2d1I</v>
      </c>
      <c r="D89" t="str">
        <f>IFERROR(__xludf.DUMMYFUNCTION("""COMPUTED_VALUE"""),"")</f>
        <v/>
      </c>
      <c r="E89" t="str">
        <f>IFERROR(__xludf.DUMMYFUNCTION("""COMPUTED_VALUE"""),"")</f>
        <v/>
      </c>
      <c r="F89" t="str">
        <f>IFERROR(__xludf.DUMMYFUNCTION("""COMPUTED_VALUE"""),"")</f>
        <v/>
      </c>
      <c r="G89" t="str">
        <f>IFERROR(__xludf.DUMMYFUNCTION("""COMPUTED_VALUE"""),"")</f>
        <v/>
      </c>
      <c r="H89" t="str">
        <f>IFERROR(__xludf.DUMMYFUNCTION("""COMPUTED_VALUE"""),"")</f>
        <v/>
      </c>
      <c r="I89" t="str">
        <f>IFERROR(__xludf.DUMMYFUNCTION("""COMPUTED_VALUE"""),"")</f>
        <v/>
      </c>
      <c r="J89" t="str">
        <f>IFERROR(__xludf.DUMMYFUNCTION("""COMPUTED_VALUE"""),"")</f>
        <v/>
      </c>
      <c r="K89" t="str">
        <f>IFERROR(__xludf.DUMMYFUNCTION("""COMPUTED_VALUE"""),"")</f>
        <v/>
      </c>
      <c r="L89" t="str">
        <f>IFERROR(__xludf.DUMMYFUNCTION("""COMPUTED_VALUE"""),"")</f>
        <v/>
      </c>
    </row>
    <row r="90" ht="15.75" customHeight="1">
      <c r="A90" t="str">
        <f>IFERROR(__xludf.DUMMYFUNCTION("""COMPUTED_VALUE"""),"GeneralLedger")</f>
        <v>GeneralLedger</v>
      </c>
      <c r="B90" t="str">
        <f>IFERROR(__xludf.DUMMYFUNCTION("""COMPUTED_VALUE"""),"GetRevaluationData")</f>
        <v>GetRevaluationData</v>
      </c>
      <c r="C90" t="str">
        <f>IFERROR(__xludf.DUMMYFUNCTION("""COMPUTED_VALUE"""),"1V-6AQFpzaZJ8xmybbF01Wuug9O7LKL6RW8hnIFpfg0A")</f>
        <v>1V-6AQFpzaZJ8xmybbF01Wuug9O7LKL6RW8hnIFpfg0A</v>
      </c>
      <c r="D90" t="str">
        <f>IFERROR(__xludf.DUMMYFUNCTION("""COMPUTED_VALUE"""),"")</f>
        <v/>
      </c>
      <c r="E90" t="str">
        <f>IFERROR(__xludf.DUMMYFUNCTION("""COMPUTED_VALUE"""),"")</f>
        <v/>
      </c>
      <c r="F90" t="str">
        <f>IFERROR(__xludf.DUMMYFUNCTION("""COMPUTED_VALUE"""),"")</f>
        <v/>
      </c>
      <c r="G90" t="str">
        <f>IFERROR(__xludf.DUMMYFUNCTION("""COMPUTED_VALUE"""),"")</f>
        <v/>
      </c>
      <c r="H90" t="str">
        <f>IFERROR(__xludf.DUMMYFUNCTION("""COMPUTED_VALUE"""),"")</f>
        <v/>
      </c>
      <c r="I90" t="str">
        <f>IFERROR(__xludf.DUMMYFUNCTION("""COMPUTED_VALUE"""),"")</f>
        <v/>
      </c>
      <c r="J90" t="str">
        <f>IFERROR(__xludf.DUMMYFUNCTION("""COMPUTED_VALUE"""),"")</f>
        <v/>
      </c>
      <c r="K90" t="str">
        <f>IFERROR(__xludf.DUMMYFUNCTION("""COMPUTED_VALUE"""),"")</f>
        <v/>
      </c>
      <c r="L90" t="str">
        <f>IFERROR(__xludf.DUMMYFUNCTION("""COMPUTED_VALUE"""),"")</f>
        <v/>
      </c>
    </row>
    <row r="91" ht="15.75" customHeight="1">
      <c r="A91" t="str">
        <f>IFERROR(__xludf.DUMMYFUNCTION("""COMPUTED_VALUE"""),"Allocation")</f>
        <v>Allocation</v>
      </c>
      <c r="B91" t="str">
        <f>IFERROR(__xludf.DUMMYFUNCTION("""COMPUTED_VALUE"""),"SetStrategyValueCalculatedPref")</f>
        <v>SetStrategyValueCalculatedPref</v>
      </c>
      <c r="C91" t="str">
        <f>IFERROR(__xludf.DUMMYFUNCTION("""COMPUTED_VALUE"""),"1VB617Gzkn_UV5GDWBAYHZGgHKMLrMfaWHKFGFe9z8G8")</f>
        <v>1VB617Gzkn_UV5GDWBAYHZGgHKMLrMfaWHKFGFe9z8G8</v>
      </c>
      <c r="D91" t="str">
        <f>IFERROR(__xludf.DUMMYFUNCTION("""COMPUTED_VALUE"""),"")</f>
        <v/>
      </c>
      <c r="E91" t="str">
        <f>IFERROR(__xludf.DUMMYFUNCTION("""COMPUTED_VALUE"""),"")</f>
        <v/>
      </c>
      <c r="F91" t="str">
        <f>IFERROR(__xludf.DUMMYFUNCTION("""COMPUTED_VALUE"""),"")</f>
        <v/>
      </c>
      <c r="G91" t="str">
        <f>IFERROR(__xludf.DUMMYFUNCTION("""COMPUTED_VALUE"""),"")</f>
        <v/>
      </c>
      <c r="H91" t="str">
        <f>IFERROR(__xludf.DUMMYFUNCTION("""COMPUTED_VALUE"""),"")</f>
        <v/>
      </c>
      <c r="I91" t="str">
        <f>IFERROR(__xludf.DUMMYFUNCTION("""COMPUTED_VALUE"""),"")</f>
        <v/>
      </c>
      <c r="J91" t="str">
        <f>IFERROR(__xludf.DUMMYFUNCTION("""COMPUTED_VALUE"""),"")</f>
        <v/>
      </c>
      <c r="K91" t="str">
        <f>IFERROR(__xludf.DUMMYFUNCTION("""COMPUTED_VALUE"""),"")</f>
        <v/>
      </c>
      <c r="L91" t="str">
        <f>IFERROR(__xludf.DUMMYFUNCTION("""COMPUTED_VALUE"""),"")</f>
        <v/>
      </c>
    </row>
    <row r="92" ht="15.75" customHeight="1">
      <c r="A92" t="str">
        <f>IFERROR(__xludf.DUMMYFUNCTION("""COMPUTED_VALUE"""),"GeneralLedger")</f>
        <v>GeneralLedger</v>
      </c>
      <c r="B92" t="str">
        <f>IFERROR(__xludf.DUMMYFUNCTION("""COMPUTED_VALUE"""),"GetAccountDetails")</f>
        <v>GetAccountDetails</v>
      </c>
      <c r="C92" t="str">
        <f>IFERROR(__xludf.DUMMYFUNCTION("""COMPUTED_VALUE"""),"1k1Ie1c24aNxpOs6nYHOYfGQGN9W0vjGnF9yUwonVFeA")</f>
        <v>1k1Ie1c24aNxpOs6nYHOYfGQGN9W0vjGnF9yUwonVFeA</v>
      </c>
      <c r="D92" t="str">
        <f>IFERROR(__xludf.DUMMYFUNCTION("""COMPUTED_VALUE"""),"")</f>
        <v/>
      </c>
      <c r="E92" t="str">
        <f>IFERROR(__xludf.DUMMYFUNCTION("""COMPUTED_VALUE"""),"")</f>
        <v/>
      </c>
      <c r="F92" t="str">
        <f>IFERROR(__xludf.DUMMYFUNCTION("""COMPUTED_VALUE"""),"")</f>
        <v/>
      </c>
      <c r="G92" t="str">
        <f>IFERROR(__xludf.DUMMYFUNCTION("""COMPUTED_VALUE"""),"")</f>
        <v/>
      </c>
      <c r="H92" t="str">
        <f>IFERROR(__xludf.DUMMYFUNCTION("""COMPUTED_VALUE"""),"")</f>
        <v/>
      </c>
      <c r="I92" t="str">
        <f>IFERROR(__xludf.DUMMYFUNCTION("""COMPUTED_VALUE"""),"")</f>
        <v/>
      </c>
      <c r="J92" t="str">
        <f>IFERROR(__xludf.DUMMYFUNCTION("""COMPUTED_VALUE"""),"")</f>
        <v/>
      </c>
      <c r="K92" t="str">
        <f>IFERROR(__xludf.DUMMYFUNCTION("""COMPUTED_VALUE"""),"")</f>
        <v/>
      </c>
      <c r="L92" t="str">
        <f>IFERROR(__xludf.DUMMYFUNCTION("""COMPUTED_VALUE"""),"")</f>
        <v/>
      </c>
    </row>
    <row r="93" ht="15.75" customHeight="1">
      <c r="A93" t="str">
        <f>IFERROR(__xludf.DUMMYFUNCTION("""COMPUTED_VALUE"""),"Allocation")</f>
        <v>Allocation</v>
      </c>
      <c r="B93" t="str">
        <f>IFERROR(__xludf.DUMMYFUNCTION("""COMPUTED_VALUE"""),"ApplyBulkUpdateOnTaxlots")</f>
        <v>ApplyBulkUpdateOnTaxlots</v>
      </c>
      <c r="C93" t="str">
        <f>IFERROR(__xludf.DUMMYFUNCTION("""COMPUTED_VALUE"""),"1Xwbnmdxg6m-npWyZ5Gi23GfKz3X3tz-XezmOEO3vNfE")</f>
        <v>1Xwbnmdxg6m-npWyZ5Gi23GfKz3X3tz-XezmOEO3vNfE</v>
      </c>
      <c r="D93" t="str">
        <f>IFERROR(__xludf.DUMMYFUNCTION("""COMPUTED_VALUE"""),"")</f>
        <v/>
      </c>
      <c r="E93" t="str">
        <f>IFERROR(__xludf.DUMMYFUNCTION("""COMPUTED_VALUE"""),"")</f>
        <v/>
      </c>
      <c r="F93" t="str">
        <f>IFERROR(__xludf.DUMMYFUNCTION("""COMPUTED_VALUE"""),"")</f>
        <v/>
      </c>
      <c r="G93" t="str">
        <f>IFERROR(__xludf.DUMMYFUNCTION("""COMPUTED_VALUE"""),"")</f>
        <v/>
      </c>
      <c r="H93" t="str">
        <f>IFERROR(__xludf.DUMMYFUNCTION("""COMPUTED_VALUE"""),"")</f>
        <v/>
      </c>
      <c r="I93" t="str">
        <f>IFERROR(__xludf.DUMMYFUNCTION("""COMPUTED_VALUE"""),"")</f>
        <v/>
      </c>
      <c r="J93" t="str">
        <f>IFERROR(__xludf.DUMMYFUNCTION("""COMPUTED_VALUE"""),"")</f>
        <v/>
      </c>
      <c r="K93" t="str">
        <f>IFERROR(__xludf.DUMMYFUNCTION("""COMPUTED_VALUE"""),"")</f>
        <v/>
      </c>
      <c r="L93" t="str">
        <f>IFERROR(__xludf.DUMMYFUNCTION("""COMPUTED_VALUE"""),"")</f>
        <v/>
      </c>
    </row>
    <row r="94" ht="15.75" customHeight="1">
      <c r="A94" t="str">
        <f>IFERROR(__xludf.DUMMYFUNCTION("""COMPUTED_VALUE"""),"GeneralLedger")</f>
        <v>GeneralLedger</v>
      </c>
      <c r="B94" t="str">
        <f>IFERROR(__xludf.DUMMYFUNCTION("""COMPUTED_VALUE"""),"GetNonTradingTransaction")</f>
        <v>GetNonTradingTransaction</v>
      </c>
      <c r="C94" t="str">
        <f>IFERROR(__xludf.DUMMYFUNCTION("""COMPUTED_VALUE"""),"1XtTY96kO-E7pz5Jz6qiZoyQVS43HJTN-piH7D1rkU78")</f>
        <v>1XtTY96kO-E7pz5Jz6qiZoyQVS43HJTN-piH7D1rkU78</v>
      </c>
      <c r="D94" t="str">
        <f>IFERROR(__xludf.DUMMYFUNCTION("""COMPUTED_VALUE"""),"")</f>
        <v/>
      </c>
      <c r="E94" t="str">
        <f>IFERROR(__xludf.DUMMYFUNCTION("""COMPUTED_VALUE"""),"")</f>
        <v/>
      </c>
      <c r="F94" t="str">
        <f>IFERROR(__xludf.DUMMYFUNCTION("""COMPUTED_VALUE"""),"")</f>
        <v/>
      </c>
      <c r="G94" t="str">
        <f>IFERROR(__xludf.DUMMYFUNCTION("""COMPUTED_VALUE"""),"")</f>
        <v/>
      </c>
      <c r="H94" t="str">
        <f>IFERROR(__xludf.DUMMYFUNCTION("""COMPUTED_VALUE"""),"")</f>
        <v/>
      </c>
      <c r="I94" t="str">
        <f>IFERROR(__xludf.DUMMYFUNCTION("""COMPUTED_VALUE"""),"")</f>
        <v/>
      </c>
      <c r="J94" t="str">
        <f>IFERROR(__xludf.DUMMYFUNCTION("""COMPUTED_VALUE"""),"")</f>
        <v/>
      </c>
      <c r="K94" t="str">
        <f>IFERROR(__xludf.DUMMYFUNCTION("""COMPUTED_VALUE"""),"")</f>
        <v/>
      </c>
      <c r="L94" t="str">
        <f>IFERROR(__xludf.DUMMYFUNCTION("""COMPUTED_VALUE"""),"")</f>
        <v/>
      </c>
    </row>
    <row r="95" ht="15.75" customHeight="1">
      <c r="A95" t="str">
        <f>IFERROR(__xludf.DUMMYFUNCTION("""COMPUTED_VALUE"""),"Allocation")</f>
        <v>Allocation</v>
      </c>
      <c r="B95" t="str">
        <f>IFERROR(__xludf.DUMMYFUNCTION("""COMPUTED_VALUE"""),"CommissionBulkChangeOnGroups")</f>
        <v>CommissionBulkChangeOnGroups</v>
      </c>
      <c r="C95" t="str">
        <f>IFERROR(__xludf.DUMMYFUNCTION("""COMPUTED_VALUE"""),"1H67FQNHuP6xak7FlkxXewU5WTmrQHbta2nU0qPmskvU")</f>
        <v>1H67FQNHuP6xak7FlkxXewU5WTmrQHbta2nU0qPmskvU</v>
      </c>
      <c r="D95" t="str">
        <f>IFERROR(__xludf.DUMMYFUNCTION("""COMPUTED_VALUE"""),"")</f>
        <v/>
      </c>
      <c r="E95" t="str">
        <f>IFERROR(__xludf.DUMMYFUNCTION("""COMPUTED_VALUE"""),"")</f>
        <v/>
      </c>
      <c r="F95" t="str">
        <f>IFERROR(__xludf.DUMMYFUNCTION("""COMPUTED_VALUE"""),"")</f>
        <v/>
      </c>
      <c r="G95" t="str">
        <f>IFERROR(__xludf.DUMMYFUNCTION("""COMPUTED_VALUE"""),"")</f>
        <v/>
      </c>
      <c r="H95" t="str">
        <f>IFERROR(__xludf.DUMMYFUNCTION("""COMPUTED_VALUE"""),"")</f>
        <v/>
      </c>
      <c r="I95" t="str">
        <f>IFERROR(__xludf.DUMMYFUNCTION("""COMPUTED_VALUE"""),"")</f>
        <v/>
      </c>
      <c r="J95" t="str">
        <f>IFERROR(__xludf.DUMMYFUNCTION("""COMPUTED_VALUE"""),"")</f>
        <v/>
      </c>
      <c r="K95" t="str">
        <f>IFERROR(__xludf.DUMMYFUNCTION("""COMPUTED_VALUE"""),"")</f>
        <v/>
      </c>
      <c r="L95" t="str">
        <f>IFERROR(__xludf.DUMMYFUNCTION("""COMPUTED_VALUE"""),"")</f>
        <v/>
      </c>
    </row>
    <row r="96" ht="15.75" customHeight="1">
      <c r="A96" t="str">
        <f>IFERROR(__xludf.DUMMYFUNCTION("""COMPUTED_VALUE"""),"GeneralLedger")</f>
        <v>GeneralLedger</v>
      </c>
      <c r="B96" t="str">
        <f>IFERROR(__xludf.DUMMYFUNCTION("""COMPUTED_VALUE"""),"GetDividendData")</f>
        <v>GetDividendData</v>
      </c>
      <c r="C96" t="str">
        <f>IFERROR(__xludf.DUMMYFUNCTION("""COMPUTED_VALUE"""),"12a6kTgyTXVCSfnBgbAKqfG0SPlGmevXkjlXLI_wZUw4")</f>
        <v>12a6kTgyTXVCSfnBgbAKqfG0SPlGmevXkjlXLI_wZUw4</v>
      </c>
      <c r="D96" t="str">
        <f>IFERROR(__xludf.DUMMYFUNCTION("""COMPUTED_VALUE"""),"")</f>
        <v/>
      </c>
      <c r="E96" t="str">
        <f>IFERROR(__xludf.DUMMYFUNCTION("""COMPUTED_VALUE"""),"")</f>
        <v/>
      </c>
      <c r="F96" t="str">
        <f>IFERROR(__xludf.DUMMYFUNCTION("""COMPUTED_VALUE"""),"")</f>
        <v/>
      </c>
      <c r="G96" t="str">
        <f>IFERROR(__xludf.DUMMYFUNCTION("""COMPUTED_VALUE"""),"")</f>
        <v/>
      </c>
      <c r="H96" t="str">
        <f>IFERROR(__xludf.DUMMYFUNCTION("""COMPUTED_VALUE"""),"")</f>
        <v/>
      </c>
      <c r="I96" t="str">
        <f>IFERROR(__xludf.DUMMYFUNCTION("""COMPUTED_VALUE"""),"")</f>
        <v/>
      </c>
      <c r="J96" t="str">
        <f>IFERROR(__xludf.DUMMYFUNCTION("""COMPUTED_VALUE"""),"")</f>
        <v/>
      </c>
      <c r="K96" t="str">
        <f>IFERROR(__xludf.DUMMYFUNCTION("""COMPUTED_VALUE"""),"")</f>
        <v/>
      </c>
      <c r="L96" t="str">
        <f>IFERROR(__xludf.DUMMYFUNCTION("""COMPUTED_VALUE"""),"")</f>
        <v/>
      </c>
    </row>
    <row r="97" ht="15.75" customHeight="1">
      <c r="A97" t="str">
        <f>IFERROR(__xludf.DUMMYFUNCTION("""COMPUTED_VALUE"""),"Allocation")</f>
        <v>Allocation</v>
      </c>
      <c r="B97" t="str">
        <f>IFERROR(__xludf.DUMMYFUNCTION("""COMPUTED_VALUE"""),"CommissionBulkChangeOnTaxlots")</f>
        <v>CommissionBulkChangeOnTaxlots</v>
      </c>
      <c r="C97" t="str">
        <f>IFERROR(__xludf.DUMMYFUNCTION("""COMPUTED_VALUE"""),"1CoWI-gfDdRPBJ2e4daoGlDb8cG4zbzkObTfK5Aapr84")</f>
        <v>1CoWI-gfDdRPBJ2e4daoGlDb8cG4zbzkObTfK5Aapr84</v>
      </c>
      <c r="D97" t="str">
        <f>IFERROR(__xludf.DUMMYFUNCTION("""COMPUTED_VALUE"""),"")</f>
        <v/>
      </c>
      <c r="E97" t="str">
        <f>IFERROR(__xludf.DUMMYFUNCTION("""COMPUTED_VALUE"""),"")</f>
        <v/>
      </c>
      <c r="F97" t="str">
        <f>IFERROR(__xludf.DUMMYFUNCTION("""COMPUTED_VALUE"""),"")</f>
        <v/>
      </c>
      <c r="G97" t="str">
        <f>IFERROR(__xludf.DUMMYFUNCTION("""COMPUTED_VALUE"""),"")</f>
        <v/>
      </c>
      <c r="H97" t="str">
        <f>IFERROR(__xludf.DUMMYFUNCTION("""COMPUTED_VALUE"""),"")</f>
        <v/>
      </c>
      <c r="I97" t="str">
        <f>IFERROR(__xludf.DUMMYFUNCTION("""COMPUTED_VALUE"""),"")</f>
        <v/>
      </c>
      <c r="J97" t="str">
        <f>IFERROR(__xludf.DUMMYFUNCTION("""COMPUTED_VALUE"""),"")</f>
        <v/>
      </c>
      <c r="K97" t="str">
        <f>IFERROR(__xludf.DUMMYFUNCTION("""COMPUTED_VALUE"""),"")</f>
        <v/>
      </c>
      <c r="L97" t="str">
        <f>IFERROR(__xludf.DUMMYFUNCTION("""COMPUTED_VALUE"""),"")</f>
        <v/>
      </c>
    </row>
    <row r="98" ht="15.75" customHeight="1">
      <c r="A98" t="str">
        <f>IFERROR(__xludf.DUMMYFUNCTION("""COMPUTED_VALUE"""),"GeneralLedger")</f>
        <v>GeneralLedger</v>
      </c>
      <c r="B98" t="str">
        <f>IFERROR(__xludf.DUMMYFUNCTION("""COMPUTED_VALUE"""),"VerifyNonTradingTransaction")</f>
        <v>VerifyNonTradingTransaction</v>
      </c>
      <c r="C98" t="str">
        <f>IFERROR(__xludf.DUMMYFUNCTION("""COMPUTED_VALUE"""),"11r_KFt7jpx8JH9Q62IwhpJdz6uoTKEVt4skafwybhVk")</f>
        <v>11r_KFt7jpx8JH9Q62IwhpJdz6uoTKEVt4skafwybhVk</v>
      </c>
      <c r="D98" t="str">
        <f>IFERROR(__xludf.DUMMYFUNCTION("""COMPUTED_VALUE"""),"")</f>
        <v/>
      </c>
      <c r="E98" t="str">
        <f>IFERROR(__xludf.DUMMYFUNCTION("""COMPUTED_VALUE"""),"")</f>
        <v/>
      </c>
      <c r="F98" t="str">
        <f>IFERROR(__xludf.DUMMYFUNCTION("""COMPUTED_VALUE"""),"")</f>
        <v/>
      </c>
      <c r="G98" t="str">
        <f>IFERROR(__xludf.DUMMYFUNCTION("""COMPUTED_VALUE"""),"")</f>
        <v/>
      </c>
      <c r="H98" t="str">
        <f>IFERROR(__xludf.DUMMYFUNCTION("""COMPUTED_VALUE"""),"")</f>
        <v/>
      </c>
      <c r="I98" t="str">
        <f>IFERROR(__xludf.DUMMYFUNCTION("""COMPUTED_VALUE"""),"")</f>
        <v/>
      </c>
      <c r="J98" t="str">
        <f>IFERROR(__xludf.DUMMYFUNCTION("""COMPUTED_VALUE"""),"")</f>
        <v/>
      </c>
      <c r="K98" t="str">
        <f>IFERROR(__xludf.DUMMYFUNCTION("""COMPUTED_VALUE"""),"")</f>
        <v/>
      </c>
      <c r="L98" t="str">
        <f>IFERROR(__xludf.DUMMYFUNCTION("""COMPUTED_VALUE"""),"")</f>
        <v/>
      </c>
    </row>
    <row r="99" ht="15.75" customHeight="1">
      <c r="A99" t="str">
        <f>IFERROR(__xludf.DUMMYFUNCTION("""COMPUTED_VALUE"""),"Allocation")</f>
        <v>Allocation</v>
      </c>
      <c r="B99" t="str">
        <f>IFERROR(__xludf.DUMMYFUNCTION("""COMPUTED_VALUE"""),"SelectUnallocatedGroup")</f>
        <v>SelectUnallocatedGroup</v>
      </c>
      <c r="C99" t="str">
        <f>IFERROR(__xludf.DUMMYFUNCTION("""COMPUTED_VALUE"""),"1ILMSh2S7GBvsNEtiq4zqVqc5DztzmPTMHAtdTK4dnqk")</f>
        <v>1ILMSh2S7GBvsNEtiq4zqVqc5DztzmPTMHAtdTK4dnqk</v>
      </c>
      <c r="D99" t="str">
        <f>IFERROR(__xludf.DUMMYFUNCTION("""COMPUTED_VALUE"""),"")</f>
        <v/>
      </c>
      <c r="E99" t="str">
        <f>IFERROR(__xludf.DUMMYFUNCTION("""COMPUTED_VALUE"""),"")</f>
        <v/>
      </c>
      <c r="F99" t="str">
        <f>IFERROR(__xludf.DUMMYFUNCTION("""COMPUTED_VALUE"""),"")</f>
        <v/>
      </c>
      <c r="G99" t="str">
        <f>IFERROR(__xludf.DUMMYFUNCTION("""COMPUTED_VALUE"""),"")</f>
        <v/>
      </c>
      <c r="H99" t="str">
        <f>IFERROR(__xludf.DUMMYFUNCTION("""COMPUTED_VALUE"""),"")</f>
        <v/>
      </c>
      <c r="I99" t="str">
        <f>IFERROR(__xludf.DUMMYFUNCTION("""COMPUTED_VALUE"""),"")</f>
        <v/>
      </c>
      <c r="J99" t="str">
        <f>IFERROR(__xludf.DUMMYFUNCTION("""COMPUTED_VALUE"""),"")</f>
        <v/>
      </c>
      <c r="K99" t="str">
        <f>IFERROR(__xludf.DUMMYFUNCTION("""COMPUTED_VALUE"""),"")</f>
        <v/>
      </c>
      <c r="L99" t="str">
        <f>IFERROR(__xludf.DUMMYFUNCTION("""COMPUTED_VALUE"""),"")</f>
        <v/>
      </c>
    </row>
    <row r="100" ht="15.75" customHeight="1">
      <c r="A100" t="str">
        <f>IFERROR(__xludf.DUMMYFUNCTION("""COMPUTED_VALUE"""),"GeneralLedger")</f>
        <v>GeneralLedger</v>
      </c>
      <c r="B100" t="str">
        <f>IFERROR(__xludf.DUMMYFUNCTION("""COMPUTED_VALUE"""),"VerifyDividend")</f>
        <v>VerifyDividend</v>
      </c>
      <c r="C100" t="str">
        <f>IFERROR(__xludf.DUMMYFUNCTION("""COMPUTED_VALUE"""),"1heg65kitbQtwmRNUE0JsrxnOUfxvBMG9YTkDxdPt7PU")</f>
        <v>1heg65kitbQtwmRNUE0JsrxnOUfxvBMG9YTkDxdPt7PU</v>
      </c>
      <c r="D100" t="str">
        <f>IFERROR(__xludf.DUMMYFUNCTION("""COMPUTED_VALUE"""),"")</f>
        <v/>
      </c>
      <c r="E100" t="str">
        <f>IFERROR(__xludf.DUMMYFUNCTION("""COMPUTED_VALUE"""),"")</f>
        <v/>
      </c>
      <c r="F100" t="str">
        <f>IFERROR(__xludf.DUMMYFUNCTION("""COMPUTED_VALUE"""),"")</f>
        <v/>
      </c>
      <c r="G100" t="str">
        <f>IFERROR(__xludf.DUMMYFUNCTION("""COMPUTED_VALUE"""),"")</f>
        <v/>
      </c>
      <c r="H100" t="str">
        <f>IFERROR(__xludf.DUMMYFUNCTION("""COMPUTED_VALUE"""),"")</f>
        <v/>
      </c>
      <c r="I100" t="str">
        <f>IFERROR(__xludf.DUMMYFUNCTION("""COMPUTED_VALUE"""),"")</f>
        <v/>
      </c>
      <c r="J100" t="str">
        <f>IFERROR(__xludf.DUMMYFUNCTION("""COMPUTED_VALUE"""),"")</f>
        <v/>
      </c>
      <c r="K100" t="str">
        <f>IFERROR(__xludf.DUMMYFUNCTION("""COMPUTED_VALUE"""),"")</f>
        <v/>
      </c>
      <c r="L100" t="str">
        <f>IFERROR(__xludf.DUMMYFUNCTION("""COMPUTED_VALUE"""),"")</f>
        <v/>
      </c>
    </row>
    <row r="101" ht="15.75" customHeight="1">
      <c r="A101" t="str">
        <f>IFERROR(__xludf.DUMMYFUNCTION("""COMPUTED_VALUE"""),"Allocation")</f>
        <v>Allocation</v>
      </c>
      <c r="B101" t="str">
        <f>IFERROR(__xludf.DUMMYFUNCTION("""COMPUTED_VALUE"""),"EnterAccountValuesToAllocate")</f>
        <v>EnterAccountValuesToAllocate</v>
      </c>
      <c r="C101" t="str">
        <f>IFERROR(__xludf.DUMMYFUNCTION("""COMPUTED_VALUE"""),"1vlh5Xnse_6x32XgA3u-nJLmDSCp9gMOm-ONvzNJmenM")</f>
        <v>1vlh5Xnse_6x32XgA3u-nJLmDSCp9gMOm-ONvzNJmenM</v>
      </c>
      <c r="D101" t="str">
        <f>IFERROR(__xludf.DUMMYFUNCTION("""COMPUTED_VALUE"""),"")</f>
        <v/>
      </c>
      <c r="E101" t="str">
        <f>IFERROR(__xludf.DUMMYFUNCTION("""COMPUTED_VALUE"""),"")</f>
        <v/>
      </c>
      <c r="F101" t="str">
        <f>IFERROR(__xludf.DUMMYFUNCTION("""COMPUTED_VALUE"""),"")</f>
        <v/>
      </c>
      <c r="G101" t="str">
        <f>IFERROR(__xludf.DUMMYFUNCTION("""COMPUTED_VALUE"""),"")</f>
        <v/>
      </c>
      <c r="H101" t="str">
        <f>IFERROR(__xludf.DUMMYFUNCTION("""COMPUTED_VALUE"""),"")</f>
        <v/>
      </c>
      <c r="I101" t="str">
        <f>IFERROR(__xludf.DUMMYFUNCTION("""COMPUTED_VALUE"""),"")</f>
        <v/>
      </c>
      <c r="J101" t="str">
        <f>IFERROR(__xludf.DUMMYFUNCTION("""COMPUTED_VALUE"""),"")</f>
        <v/>
      </c>
      <c r="K101" t="str">
        <f>IFERROR(__xludf.DUMMYFUNCTION("""COMPUTED_VALUE"""),"")</f>
        <v/>
      </c>
      <c r="L101" t="str">
        <f>IFERROR(__xludf.DUMMYFUNCTION("""COMPUTED_VALUE"""),"")</f>
        <v/>
      </c>
    </row>
    <row r="102" ht="15.75" customHeight="1">
      <c r="A102" t="str">
        <f>IFERROR(__xludf.DUMMYFUNCTION("""COMPUTED_VALUE"""),"GeneralLedger")</f>
        <v>GeneralLedger</v>
      </c>
      <c r="B102" t="str">
        <f>IFERROR(__xludf.DUMMYFUNCTION("""COMPUTED_VALUE"""),"GetOpeningBalanceData")</f>
        <v>GetOpeningBalanceData</v>
      </c>
      <c r="C102" t="str">
        <f>IFERROR(__xludf.DUMMYFUNCTION("""COMPUTED_VALUE"""),"18FNVFHi4tmvLoVUEYW8OIBj34BJjSE4UfP22Low0lrQ")</f>
        <v>18FNVFHi4tmvLoVUEYW8OIBj34BJjSE4UfP22Low0lrQ</v>
      </c>
      <c r="D102" t="str">
        <f>IFERROR(__xludf.DUMMYFUNCTION("""COMPUTED_VALUE"""),"")</f>
        <v/>
      </c>
      <c r="E102" t="str">
        <f>IFERROR(__xludf.DUMMYFUNCTION("""COMPUTED_VALUE"""),"")</f>
        <v/>
      </c>
      <c r="F102" t="str">
        <f>IFERROR(__xludf.DUMMYFUNCTION("""COMPUTED_VALUE"""),"")</f>
        <v/>
      </c>
      <c r="G102" t="str">
        <f>IFERROR(__xludf.DUMMYFUNCTION("""COMPUTED_VALUE"""),"")</f>
        <v/>
      </c>
      <c r="H102" t="str">
        <f>IFERROR(__xludf.DUMMYFUNCTION("""COMPUTED_VALUE"""),"")</f>
        <v/>
      </c>
      <c r="I102" t="str">
        <f>IFERROR(__xludf.DUMMYFUNCTION("""COMPUTED_VALUE"""),"")</f>
        <v/>
      </c>
      <c r="J102" t="str">
        <f>IFERROR(__xludf.DUMMYFUNCTION("""COMPUTED_VALUE"""),"")</f>
        <v/>
      </c>
      <c r="K102" t="str">
        <f>IFERROR(__xludf.DUMMYFUNCTION("""COMPUTED_VALUE"""),"")</f>
        <v/>
      </c>
      <c r="L102" t="str">
        <f>IFERROR(__xludf.DUMMYFUNCTION("""COMPUTED_VALUE"""),"")</f>
        <v/>
      </c>
    </row>
    <row r="103" ht="15.75" customHeight="1">
      <c r="A103" t="str">
        <f>IFERROR(__xludf.DUMMYFUNCTION("""COMPUTED_VALUE"""),"Allocation")</f>
        <v>Allocation</v>
      </c>
      <c r="B103" t="str">
        <f>IFERROR(__xludf.DUMMYFUNCTION("""COMPUTED_VALUE"""),"EnterAllocatePreference")</f>
        <v>EnterAllocatePreference</v>
      </c>
      <c r="C103" t="str">
        <f>IFERROR(__xludf.DUMMYFUNCTION("""COMPUTED_VALUE"""),"1yu6800I5KuQnhcJ2fJ9MayJrB8hJgR22dDd3yAfoqrs")</f>
        <v>1yu6800I5KuQnhcJ2fJ9MayJrB8hJgR22dDd3yAfoqrs</v>
      </c>
      <c r="D103" t="str">
        <f>IFERROR(__xludf.DUMMYFUNCTION("""COMPUTED_VALUE"""),"")</f>
        <v/>
      </c>
      <c r="E103" t="str">
        <f>IFERROR(__xludf.DUMMYFUNCTION("""COMPUTED_VALUE"""),"")</f>
        <v/>
      </c>
      <c r="F103" t="str">
        <f>IFERROR(__xludf.DUMMYFUNCTION("""COMPUTED_VALUE"""),"")</f>
        <v/>
      </c>
      <c r="G103" t="str">
        <f>IFERROR(__xludf.DUMMYFUNCTION("""COMPUTED_VALUE"""),"")</f>
        <v/>
      </c>
      <c r="H103" t="str">
        <f>IFERROR(__xludf.DUMMYFUNCTION("""COMPUTED_VALUE"""),"")</f>
        <v/>
      </c>
      <c r="I103" t="str">
        <f>IFERROR(__xludf.DUMMYFUNCTION("""COMPUTED_VALUE"""),"")</f>
        <v/>
      </c>
      <c r="J103" t="str">
        <f>IFERROR(__xludf.DUMMYFUNCTION("""COMPUTED_VALUE"""),"")</f>
        <v/>
      </c>
      <c r="K103" t="str">
        <f>IFERROR(__xludf.DUMMYFUNCTION("""COMPUTED_VALUE"""),"")</f>
        <v/>
      </c>
      <c r="L103" t="str">
        <f>IFERROR(__xludf.DUMMYFUNCTION("""COMPUTED_VALUE"""),"")</f>
        <v/>
      </c>
    </row>
    <row r="104" ht="15.75" customHeight="1">
      <c r="A104" t="str">
        <f>IFERROR(__xludf.DUMMYFUNCTION("""COMPUTED_VALUE"""),"GeneralLedger")</f>
        <v>GeneralLedger</v>
      </c>
      <c r="B104" t="str">
        <f>IFERROR(__xludf.DUMMYFUNCTION("""COMPUTED_VALUE"""),"GetAccountBalance")</f>
        <v>GetAccountBalance</v>
      </c>
      <c r="C104" t="str">
        <f>IFERROR(__xludf.DUMMYFUNCTION("""COMPUTED_VALUE"""),"1LzTW5QCOg1n53cS_dRea7BFsZ_MH6SlpDslAW5yWH5M")</f>
        <v>1LzTW5QCOg1n53cS_dRea7BFsZ_MH6SlpDslAW5yWH5M</v>
      </c>
      <c r="D104" t="str">
        <f>IFERROR(__xludf.DUMMYFUNCTION("""COMPUTED_VALUE"""),"")</f>
        <v/>
      </c>
      <c r="E104" t="str">
        <f>IFERROR(__xludf.DUMMYFUNCTION("""COMPUTED_VALUE"""),"")</f>
        <v/>
      </c>
      <c r="F104" t="str">
        <f>IFERROR(__xludf.DUMMYFUNCTION("""COMPUTED_VALUE"""),"")</f>
        <v/>
      </c>
      <c r="G104" t="str">
        <f>IFERROR(__xludf.DUMMYFUNCTION("""COMPUTED_VALUE"""),"")</f>
        <v/>
      </c>
      <c r="H104" t="str">
        <f>IFERROR(__xludf.DUMMYFUNCTION("""COMPUTED_VALUE"""),"")</f>
        <v/>
      </c>
      <c r="I104" t="str">
        <f>IFERROR(__xludf.DUMMYFUNCTION("""COMPUTED_VALUE"""),"")</f>
        <v/>
      </c>
      <c r="J104" t="str">
        <f>IFERROR(__xludf.DUMMYFUNCTION("""COMPUTED_VALUE"""),"")</f>
        <v/>
      </c>
      <c r="K104" t="str">
        <f>IFERROR(__xludf.DUMMYFUNCTION("""COMPUTED_VALUE"""),"")</f>
        <v/>
      </c>
      <c r="L104" t="str">
        <f>IFERROR(__xludf.DUMMYFUNCTION("""COMPUTED_VALUE"""),"")</f>
        <v/>
      </c>
    </row>
    <row r="105" ht="15.75" customHeight="1">
      <c r="A105" t="str">
        <f>IFERROR(__xludf.DUMMYFUNCTION("""COMPUTED_VALUE"""),"Expnl")</f>
        <v>Expnl</v>
      </c>
      <c r="B105" t="str">
        <f>IFERROR(__xludf.DUMMYFUNCTION("""COMPUTED_VALUE"""),"RestartExpnl")</f>
        <v>RestartExpnl</v>
      </c>
      <c r="C105" t="str">
        <f>IFERROR(__xludf.DUMMYFUNCTION("""COMPUTED_VALUE"""),"1hp2_ancBTw_O56iD2xHFcUmnctCT6XmJGLoL9Zewic0")</f>
        <v>1hp2_ancBTw_O56iD2xHFcUmnctCT6XmJGLoL9Zewic0</v>
      </c>
      <c r="D105" t="str">
        <f>IFERROR(__xludf.DUMMYFUNCTION("""COMPUTED_VALUE"""),"")</f>
        <v/>
      </c>
      <c r="E105" t="str">
        <f>IFERROR(__xludf.DUMMYFUNCTION("""COMPUTED_VALUE"""),"")</f>
        <v/>
      </c>
      <c r="F105" t="str">
        <f>IFERROR(__xludf.DUMMYFUNCTION("""COMPUTED_VALUE"""),"")</f>
        <v/>
      </c>
      <c r="G105" t="str">
        <f>IFERROR(__xludf.DUMMYFUNCTION("""COMPUTED_VALUE"""),"")</f>
        <v/>
      </c>
      <c r="H105" t="str">
        <f>IFERROR(__xludf.DUMMYFUNCTION("""COMPUTED_VALUE"""),"")</f>
        <v/>
      </c>
      <c r="I105" t="str">
        <f>IFERROR(__xludf.DUMMYFUNCTION("""COMPUTED_VALUE"""),"")</f>
        <v/>
      </c>
      <c r="J105" t="str">
        <f>IFERROR(__xludf.DUMMYFUNCTION("""COMPUTED_VALUE"""),"")</f>
        <v/>
      </c>
      <c r="K105" t="str">
        <f>IFERROR(__xludf.DUMMYFUNCTION("""COMPUTED_VALUE"""),"")</f>
        <v/>
      </c>
      <c r="L105" t="str">
        <f>IFERROR(__xludf.DUMMYFUNCTION("""COMPUTED_VALUE"""),"")</f>
        <v/>
      </c>
    </row>
    <row r="106" ht="15.75" customHeight="1">
      <c r="A106" t="str">
        <f>IFERROR(__xludf.DUMMYFUNCTION("""COMPUTED_VALUE"""),"PortfolioManagement")</f>
        <v>PortfolioManagement</v>
      </c>
      <c r="B106" t="str">
        <f>IFERROR(__xludf.DUMMYFUNCTION("""COMPUTED_VALUE"""),"ClosePM")</f>
        <v>ClosePM</v>
      </c>
      <c r="C106" t="str">
        <f>IFERROR(__xludf.DUMMYFUNCTION("""COMPUTED_VALUE"""),"Undefined")</f>
        <v>Undefined</v>
      </c>
      <c r="D106" t="str">
        <f>IFERROR(__xludf.DUMMYFUNCTION("""COMPUTED_VALUE"""),"")</f>
        <v/>
      </c>
      <c r="E106" t="str">
        <f>IFERROR(__xludf.DUMMYFUNCTION("""COMPUTED_VALUE"""),"")</f>
        <v/>
      </c>
      <c r="F106" t="str">
        <f>IFERROR(__xludf.DUMMYFUNCTION("""COMPUTED_VALUE"""),"")</f>
        <v/>
      </c>
      <c r="G106" t="str">
        <f>IFERROR(__xludf.DUMMYFUNCTION("""COMPUTED_VALUE"""),"")</f>
        <v/>
      </c>
      <c r="H106" t="str">
        <f>IFERROR(__xludf.DUMMYFUNCTION("""COMPUTED_VALUE"""),"")</f>
        <v/>
      </c>
      <c r="I106" t="str">
        <f>IFERROR(__xludf.DUMMYFUNCTION("""COMPUTED_VALUE"""),"")</f>
        <v/>
      </c>
      <c r="J106" t="str">
        <f>IFERROR(__xludf.DUMMYFUNCTION("""COMPUTED_VALUE"""),"")</f>
        <v/>
      </c>
      <c r="K106" t="str">
        <f>IFERROR(__xludf.DUMMYFUNCTION("""COMPUTED_VALUE"""),"")</f>
        <v/>
      </c>
      <c r="L106" t="str">
        <f>IFERROR(__xludf.DUMMYFUNCTION("""COMPUTED_VALUE"""),"")</f>
        <v/>
      </c>
    </row>
    <row r="107" ht="15.75" customHeight="1">
      <c r="A107" t="str">
        <f>IFERROR(__xludf.DUMMYFUNCTION("""COMPUTED_VALUE"""),"Allocation")</f>
        <v>Allocation</v>
      </c>
      <c r="B107" t="str">
        <f>IFERROR(__xludf.DUMMYFUNCTION("""COMPUTED_VALUE"""),"EnterStrategyValuesToAllocate")</f>
        <v>EnterStrategyValuesToAllocate</v>
      </c>
      <c r="C107" t="str">
        <f>IFERROR(__xludf.DUMMYFUNCTION("""COMPUTED_VALUE"""),"1QiWbie1a2ZDKoeS6hogrVj4Gx1vXnqJjYt0otMhw4rQ")</f>
        <v>1QiWbie1a2ZDKoeS6hogrVj4Gx1vXnqJjYt0otMhw4rQ</v>
      </c>
      <c r="D107" t="str">
        <f>IFERROR(__xludf.DUMMYFUNCTION("""COMPUTED_VALUE"""),"")</f>
        <v/>
      </c>
      <c r="E107" t="str">
        <f>IFERROR(__xludf.DUMMYFUNCTION("""COMPUTED_VALUE"""),"")</f>
        <v/>
      </c>
      <c r="F107" t="str">
        <f>IFERROR(__xludf.DUMMYFUNCTION("""COMPUTED_VALUE"""),"")</f>
        <v/>
      </c>
      <c r="G107" t="str">
        <f>IFERROR(__xludf.DUMMYFUNCTION("""COMPUTED_VALUE"""),"")</f>
        <v/>
      </c>
      <c r="H107" t="str">
        <f>IFERROR(__xludf.DUMMYFUNCTION("""COMPUTED_VALUE"""),"")</f>
        <v/>
      </c>
      <c r="I107" t="str">
        <f>IFERROR(__xludf.DUMMYFUNCTION("""COMPUTED_VALUE"""),"")</f>
        <v/>
      </c>
      <c r="J107" t="str">
        <f>IFERROR(__xludf.DUMMYFUNCTION("""COMPUTED_VALUE"""),"")</f>
        <v/>
      </c>
      <c r="K107" t="str">
        <f>IFERROR(__xludf.DUMMYFUNCTION("""COMPUTED_VALUE"""),"")</f>
        <v/>
      </c>
      <c r="L107" t="str">
        <f>IFERROR(__xludf.DUMMYFUNCTION("""COMPUTED_VALUE"""),"")</f>
        <v/>
      </c>
    </row>
    <row r="108" ht="15.75" customHeight="1">
      <c r="A108" t="str">
        <f>IFERROR(__xludf.DUMMYFUNCTION("""COMPUTED_VALUE"""),"GeneralLedger")</f>
        <v>GeneralLedger</v>
      </c>
      <c r="B108" t="str">
        <f>IFERROR(__xludf.DUMMYFUNCTION("""COMPUTED_VALUE"""),"SelectNonTradingTransaction")</f>
        <v>SelectNonTradingTransaction</v>
      </c>
      <c r="C108" t="str">
        <f>IFERROR(__xludf.DUMMYFUNCTION("""COMPUTED_VALUE"""),"1-3zFbypNTYN7mseJg5VwjLJF0364sdxy5fm_i_dO6qk")</f>
        <v>1-3zFbypNTYN7mseJg5VwjLJF0364sdxy5fm_i_dO6qk</v>
      </c>
      <c r="D108" t="str">
        <f>IFERROR(__xludf.DUMMYFUNCTION("""COMPUTED_VALUE"""),"")</f>
        <v/>
      </c>
      <c r="E108" t="str">
        <f>IFERROR(__xludf.DUMMYFUNCTION("""COMPUTED_VALUE"""),"")</f>
        <v/>
      </c>
      <c r="F108" t="str">
        <f>IFERROR(__xludf.DUMMYFUNCTION("""COMPUTED_VALUE"""),"")</f>
        <v/>
      </c>
      <c r="G108" t="str">
        <f>IFERROR(__xludf.DUMMYFUNCTION("""COMPUTED_VALUE"""),"")</f>
        <v/>
      </c>
      <c r="H108" t="str">
        <f>IFERROR(__xludf.DUMMYFUNCTION("""COMPUTED_VALUE"""),"")</f>
        <v/>
      </c>
      <c r="I108" t="str">
        <f>IFERROR(__xludf.DUMMYFUNCTION("""COMPUTED_VALUE"""),"")</f>
        <v/>
      </c>
      <c r="J108" t="str">
        <f>IFERROR(__xludf.DUMMYFUNCTION("""COMPUTED_VALUE"""),"")</f>
        <v/>
      </c>
      <c r="K108" t="str">
        <f>IFERROR(__xludf.DUMMYFUNCTION("""COMPUTED_VALUE"""),"")</f>
        <v/>
      </c>
      <c r="L108" t="str">
        <f>IFERROR(__xludf.DUMMYFUNCTION("""COMPUTED_VALUE"""),"")</f>
        <v/>
      </c>
    </row>
    <row r="109" ht="15.75" customHeight="1">
      <c r="A109" t="str">
        <f>IFERROR(__xludf.DUMMYFUNCTION("""COMPUTED_VALUE"""),"GeneralLedger")</f>
        <v>GeneralLedger</v>
      </c>
      <c r="B109" t="str">
        <f>IFERROR(__xludf.DUMMYFUNCTION("""COMPUTED_VALUE"""),"SelectNonTradingTranItem")</f>
        <v>SelectNonTradingTranItem</v>
      </c>
      <c r="C109" t="str">
        <f>IFERROR(__xludf.DUMMYFUNCTION("""COMPUTED_VALUE"""),"1c3Ferc-qWUMc6sFnFHepxgiRH529ndWvHz_y9tP3QiQ")</f>
        <v>1c3Ferc-qWUMc6sFnFHepxgiRH529ndWvHz_y9tP3QiQ</v>
      </c>
      <c r="D109" t="str">
        <f>IFERROR(__xludf.DUMMYFUNCTION("""COMPUTED_VALUE"""),"")</f>
        <v/>
      </c>
      <c r="E109" t="str">
        <f>IFERROR(__xludf.DUMMYFUNCTION("""COMPUTED_VALUE"""),"")</f>
        <v/>
      </c>
      <c r="F109" t="str">
        <f>IFERROR(__xludf.DUMMYFUNCTION("""COMPUTED_VALUE"""),"")</f>
        <v/>
      </c>
      <c r="G109" t="str">
        <f>IFERROR(__xludf.DUMMYFUNCTION("""COMPUTED_VALUE"""),"")</f>
        <v/>
      </c>
      <c r="H109" t="str">
        <f>IFERROR(__xludf.DUMMYFUNCTION("""COMPUTED_VALUE"""),"")</f>
        <v/>
      </c>
      <c r="I109" t="str">
        <f>IFERROR(__xludf.DUMMYFUNCTION("""COMPUTED_VALUE"""),"")</f>
        <v/>
      </c>
      <c r="J109" t="str">
        <f>IFERROR(__xludf.DUMMYFUNCTION("""COMPUTED_VALUE"""),"")</f>
        <v/>
      </c>
      <c r="K109" t="str">
        <f>IFERROR(__xludf.DUMMYFUNCTION("""COMPUTED_VALUE"""),"")</f>
        <v/>
      </c>
      <c r="L109" t="str">
        <f>IFERROR(__xludf.DUMMYFUNCTION("""COMPUTED_VALUE"""),"")</f>
        <v/>
      </c>
    </row>
    <row r="110" ht="15.75" customHeight="1">
      <c r="A110" t="str">
        <f>IFERROR(__xludf.DUMMYFUNCTION("""COMPUTED_VALUE"""),"Allocation")</f>
        <v>Allocation</v>
      </c>
      <c r="B110" t="str">
        <f>IFERROR(__xludf.DUMMYFUNCTION("""COMPUTED_VALUE"""),"CopyCalculatedPreferenceToolbar")</f>
        <v>CopyCalculatedPreferenceToolbar</v>
      </c>
      <c r="C110" t="str">
        <f>IFERROR(__xludf.DUMMYFUNCTION("""COMPUTED_VALUE"""),"1Ie_ryJDtUyC5cY8EqwiXzEX5JRMGBxh8DhjtPOq2qH0")</f>
        <v>1Ie_ryJDtUyC5cY8EqwiXzEX5JRMGBxh8DhjtPOq2qH0</v>
      </c>
      <c r="D110" t="str">
        <f>IFERROR(__xludf.DUMMYFUNCTION("""COMPUTED_VALUE"""),"")</f>
        <v/>
      </c>
      <c r="E110" t="str">
        <f>IFERROR(__xludf.DUMMYFUNCTION("""COMPUTED_VALUE"""),"")</f>
        <v/>
      </c>
      <c r="F110" t="str">
        <f>IFERROR(__xludf.DUMMYFUNCTION("""COMPUTED_VALUE"""),"")</f>
        <v/>
      </c>
      <c r="G110" t="str">
        <f>IFERROR(__xludf.DUMMYFUNCTION("""COMPUTED_VALUE"""),"")</f>
        <v/>
      </c>
      <c r="H110" t="str">
        <f>IFERROR(__xludf.DUMMYFUNCTION("""COMPUTED_VALUE"""),"")</f>
        <v/>
      </c>
      <c r="I110" t="str">
        <f>IFERROR(__xludf.DUMMYFUNCTION("""COMPUTED_VALUE"""),"")</f>
        <v/>
      </c>
      <c r="J110" t="str">
        <f>IFERROR(__xludf.DUMMYFUNCTION("""COMPUTED_VALUE"""),"")</f>
        <v/>
      </c>
      <c r="K110" t="str">
        <f>IFERROR(__xludf.DUMMYFUNCTION("""COMPUTED_VALUE"""),"")</f>
        <v/>
      </c>
      <c r="L110" t="str">
        <f>IFERROR(__xludf.DUMMYFUNCTION("""COMPUTED_VALUE"""),"")</f>
        <v/>
      </c>
    </row>
    <row r="111" ht="15.75" customHeight="1">
      <c r="A111" t="str">
        <f>IFERROR(__xludf.DUMMYFUNCTION("""COMPUTED_VALUE"""),"Allocation")</f>
        <v>Allocation</v>
      </c>
      <c r="B111" t="str">
        <f>IFERROR(__xludf.DUMMYFUNCTION("""COMPUTED_VALUE"""),"SetGeneralRuleCalculatedPref")</f>
        <v>SetGeneralRuleCalculatedPref</v>
      </c>
      <c r="C111" t="str">
        <f>IFERROR(__xludf.DUMMYFUNCTION("""COMPUTED_VALUE"""),"1P6hfPLfTjAL9WDojfEMZZ12TRNV1fKQm6BoqOKyc3S4")</f>
        <v>1P6hfPLfTjAL9WDojfEMZZ12TRNV1fKQm6BoqOKyc3S4</v>
      </c>
      <c r="D111" t="str">
        <f>IFERROR(__xludf.DUMMYFUNCTION("""COMPUTED_VALUE"""),"")</f>
        <v/>
      </c>
      <c r="E111" t="str">
        <f>IFERROR(__xludf.DUMMYFUNCTION("""COMPUTED_VALUE"""),"")</f>
        <v/>
      </c>
      <c r="F111" t="str">
        <f>IFERROR(__xludf.DUMMYFUNCTION("""COMPUTED_VALUE"""),"")</f>
        <v/>
      </c>
      <c r="G111" t="str">
        <f>IFERROR(__xludf.DUMMYFUNCTION("""COMPUTED_VALUE"""),"")</f>
        <v/>
      </c>
      <c r="H111" t="str">
        <f>IFERROR(__xludf.DUMMYFUNCTION("""COMPUTED_VALUE"""),"")</f>
        <v/>
      </c>
      <c r="I111" t="str">
        <f>IFERROR(__xludf.DUMMYFUNCTION("""COMPUTED_VALUE"""),"")</f>
        <v/>
      </c>
      <c r="J111" t="str">
        <f>IFERROR(__xludf.DUMMYFUNCTION("""COMPUTED_VALUE"""),"")</f>
        <v/>
      </c>
      <c r="K111" t="str">
        <f>IFERROR(__xludf.DUMMYFUNCTION("""COMPUTED_VALUE"""),"")</f>
        <v/>
      </c>
      <c r="L111" t="str">
        <f>IFERROR(__xludf.DUMMYFUNCTION("""COMPUTED_VALUE"""),"")</f>
        <v/>
      </c>
    </row>
    <row r="112" ht="15.75" customHeight="1">
      <c r="A112" t="str">
        <f>IFERROR(__xludf.DUMMYFUNCTION("""COMPUTED_VALUE"""),"GeneralLedger")</f>
        <v>GeneralLedger</v>
      </c>
      <c r="B112" t="str">
        <f>IFERROR(__xludf.DUMMYFUNCTION("""COMPUTED_VALUE"""),"DeleteNonTradingTransaction")</f>
        <v>DeleteNonTradingTransaction</v>
      </c>
      <c r="C112" t="str">
        <f>IFERROR(__xludf.DUMMYFUNCTION("""COMPUTED_VALUE"""),"16lp7AjDIz-d1LMzx7DbYtSt-dT5ISvHEBpLY97GMi5c")</f>
        <v>16lp7AjDIz-d1LMzx7DbYtSt-dT5ISvHEBpLY97GMi5c</v>
      </c>
      <c r="D112" t="str">
        <f>IFERROR(__xludf.DUMMYFUNCTION("""COMPUTED_VALUE"""),"")</f>
        <v/>
      </c>
      <c r="E112" t="str">
        <f>IFERROR(__xludf.DUMMYFUNCTION("""COMPUTED_VALUE"""),"")</f>
        <v/>
      </c>
      <c r="F112" t="str">
        <f>IFERROR(__xludf.DUMMYFUNCTION("""COMPUTED_VALUE"""),"")</f>
        <v/>
      </c>
      <c r="G112" t="str">
        <f>IFERROR(__xludf.DUMMYFUNCTION("""COMPUTED_VALUE"""),"")</f>
        <v/>
      </c>
      <c r="H112" t="str">
        <f>IFERROR(__xludf.DUMMYFUNCTION("""COMPUTED_VALUE"""),"")</f>
        <v/>
      </c>
      <c r="I112" t="str">
        <f>IFERROR(__xludf.DUMMYFUNCTION("""COMPUTED_VALUE"""),"")</f>
        <v/>
      </c>
      <c r="J112" t="str">
        <f>IFERROR(__xludf.DUMMYFUNCTION("""COMPUTED_VALUE"""),"")</f>
        <v/>
      </c>
      <c r="K112" t="str">
        <f>IFERROR(__xludf.DUMMYFUNCTION("""COMPUTED_VALUE"""),"")</f>
        <v/>
      </c>
      <c r="L112" t="str">
        <f>IFERROR(__xludf.DUMMYFUNCTION("""COMPUTED_VALUE"""),"")</f>
        <v/>
      </c>
    </row>
    <row r="113" ht="15.75" customHeight="1">
      <c r="A113" t="str">
        <f>IFERROR(__xludf.DUMMYFUNCTION("""COMPUTED_VALUE"""),"GeneralLedger")</f>
        <v>GeneralLedger</v>
      </c>
      <c r="B113" t="str">
        <f>IFERROR(__xludf.DUMMYFUNCTION("""COMPUTED_VALUE"""),"DeleteNonTradingTranItem")</f>
        <v>DeleteNonTradingTranItem</v>
      </c>
      <c r="C113" t="str">
        <f>IFERROR(__xludf.DUMMYFUNCTION("""COMPUTED_VALUE"""),"1gcOSfV9GRfC4KYtkqfy-GZrjcJw1ZFzufEIqYnIRXAI")</f>
        <v>1gcOSfV9GRfC4KYtkqfy-GZrjcJw1ZFzufEIqYnIRXAI</v>
      </c>
      <c r="D113" t="str">
        <f>IFERROR(__xludf.DUMMYFUNCTION("""COMPUTED_VALUE"""),"")</f>
        <v/>
      </c>
      <c r="E113" t="str">
        <f>IFERROR(__xludf.DUMMYFUNCTION("""COMPUTED_VALUE"""),"")</f>
        <v/>
      </c>
      <c r="F113" t="str">
        <f>IFERROR(__xludf.DUMMYFUNCTION("""COMPUTED_VALUE"""),"")</f>
        <v/>
      </c>
      <c r="G113" t="str">
        <f>IFERROR(__xludf.DUMMYFUNCTION("""COMPUTED_VALUE"""),"")</f>
        <v/>
      </c>
      <c r="H113" t="str">
        <f>IFERROR(__xludf.DUMMYFUNCTION("""COMPUTED_VALUE"""),"")</f>
        <v/>
      </c>
      <c r="I113" t="str">
        <f>IFERROR(__xludf.DUMMYFUNCTION("""COMPUTED_VALUE"""),"")</f>
        <v/>
      </c>
      <c r="J113" t="str">
        <f>IFERROR(__xludf.DUMMYFUNCTION("""COMPUTED_VALUE"""),"")</f>
        <v/>
      </c>
      <c r="K113" t="str">
        <f>IFERROR(__xludf.DUMMYFUNCTION("""COMPUTED_VALUE"""),"")</f>
        <v/>
      </c>
      <c r="L113" t="str">
        <f>IFERROR(__xludf.DUMMYFUNCTION("""COMPUTED_VALUE"""),"")</f>
        <v/>
      </c>
    </row>
    <row r="114" ht="15.75" customHeight="1">
      <c r="A114" t="str">
        <f>IFERROR(__xludf.DUMMYFUNCTION("""COMPUTED_VALUE"""),"Allocation")</f>
        <v>Allocation</v>
      </c>
      <c r="B114" t="str">
        <f>IFERROR(__xludf.DUMMYFUNCTION("""COMPUTED_VALUE"""),"ExportAllCalculatedPreferences")</f>
        <v>ExportAllCalculatedPreferences</v>
      </c>
      <c r="C114" t="str">
        <f>IFERROR(__xludf.DUMMYFUNCTION("""COMPUTED_VALUE"""),"1sVDSPYZ4mdi-3PXni9I35_O4hc6X1H3U6gsgeGfmvZw")</f>
        <v>1sVDSPYZ4mdi-3PXni9I35_O4hc6X1H3U6gsgeGfmvZw</v>
      </c>
      <c r="D114" t="str">
        <f>IFERROR(__xludf.DUMMYFUNCTION("""COMPUTED_VALUE"""),"")</f>
        <v/>
      </c>
      <c r="E114" t="str">
        <f>IFERROR(__xludf.DUMMYFUNCTION("""COMPUTED_VALUE"""),"")</f>
        <v/>
      </c>
      <c r="F114" t="str">
        <f>IFERROR(__xludf.DUMMYFUNCTION("""COMPUTED_VALUE"""),"")</f>
        <v/>
      </c>
      <c r="G114" t="str">
        <f>IFERROR(__xludf.DUMMYFUNCTION("""COMPUTED_VALUE"""),"")</f>
        <v/>
      </c>
      <c r="H114" t="str">
        <f>IFERROR(__xludf.DUMMYFUNCTION("""COMPUTED_VALUE"""),"")</f>
        <v/>
      </c>
      <c r="I114" t="str">
        <f>IFERROR(__xludf.DUMMYFUNCTION("""COMPUTED_VALUE"""),"")</f>
        <v/>
      </c>
      <c r="J114" t="str">
        <f>IFERROR(__xludf.DUMMYFUNCTION("""COMPUTED_VALUE"""),"")</f>
        <v/>
      </c>
      <c r="K114" t="str">
        <f>IFERROR(__xludf.DUMMYFUNCTION("""COMPUTED_VALUE"""),"")</f>
        <v/>
      </c>
      <c r="L114" t="str">
        <f>IFERROR(__xludf.DUMMYFUNCTION("""COMPUTED_VALUE"""),"")</f>
        <v/>
      </c>
    </row>
    <row r="115" ht="15.75" customHeight="1">
      <c r="A115" t="str">
        <f>IFERROR(__xludf.DUMMYFUNCTION("""COMPUTED_VALUE"""),"GeneralLedger")</f>
        <v>GeneralLedger</v>
      </c>
      <c r="B115" t="str">
        <f>IFERROR(__xludf.DUMMYFUNCTION("""COMPUTED_VALUE"""),"AddNonTradingTransaction")</f>
        <v>AddNonTradingTransaction</v>
      </c>
      <c r="C115" t="str">
        <f>IFERROR(__xludf.DUMMYFUNCTION("""COMPUTED_VALUE"""),"1mp1XFP7835KF_T7MiX_Bq2nNPhyoxoF43xXV_hzO_Zw")</f>
        <v>1mp1XFP7835KF_T7MiX_Bq2nNPhyoxoF43xXV_hzO_Zw</v>
      </c>
      <c r="D115" t="str">
        <f>IFERROR(__xludf.DUMMYFUNCTION("""COMPUTED_VALUE"""),"")</f>
        <v/>
      </c>
      <c r="E115" t="str">
        <f>IFERROR(__xludf.DUMMYFUNCTION("""COMPUTED_VALUE"""),"")</f>
        <v/>
      </c>
      <c r="F115" t="str">
        <f>IFERROR(__xludf.DUMMYFUNCTION("""COMPUTED_VALUE"""),"")</f>
        <v/>
      </c>
      <c r="G115" t="str">
        <f>IFERROR(__xludf.DUMMYFUNCTION("""COMPUTED_VALUE"""),"")</f>
        <v/>
      </c>
      <c r="H115" t="str">
        <f>IFERROR(__xludf.DUMMYFUNCTION("""COMPUTED_VALUE"""),"")</f>
        <v/>
      </c>
      <c r="I115" t="str">
        <f>IFERROR(__xludf.DUMMYFUNCTION("""COMPUTED_VALUE"""),"")</f>
        <v/>
      </c>
      <c r="J115" t="str">
        <f>IFERROR(__xludf.DUMMYFUNCTION("""COMPUTED_VALUE"""),"")</f>
        <v/>
      </c>
      <c r="K115" t="str">
        <f>IFERROR(__xludf.DUMMYFUNCTION("""COMPUTED_VALUE"""),"")</f>
        <v/>
      </c>
      <c r="L115" t="str">
        <f>IFERROR(__xludf.DUMMYFUNCTION("""COMPUTED_VALUE"""),"")</f>
        <v/>
      </c>
    </row>
    <row r="116" ht="15.75" customHeight="1">
      <c r="A116" t="str">
        <f>IFERROR(__xludf.DUMMYFUNCTION("""COMPUTED_VALUE"""),"GeneralLedger")</f>
        <v>GeneralLedger</v>
      </c>
      <c r="B116" t="str">
        <f>IFERROR(__xludf.DUMMYFUNCTION("""COMPUTED_VALUE"""),"AddNonTradingTranItem")</f>
        <v>AddNonTradingTranItem</v>
      </c>
      <c r="C116" t="str">
        <f>IFERROR(__xludf.DUMMYFUNCTION("""COMPUTED_VALUE"""),"1VJ6kSBsB1sCLHWYTcE-jCL1JFseRHXx_eUPn7cMrsC4")</f>
        <v>1VJ6kSBsB1sCLHWYTcE-jCL1JFseRHXx_eUPn7cMrsC4</v>
      </c>
      <c r="D116" t="str">
        <f>IFERROR(__xludf.DUMMYFUNCTION("""COMPUTED_VALUE"""),"")</f>
        <v/>
      </c>
      <c r="E116" t="str">
        <f>IFERROR(__xludf.DUMMYFUNCTION("""COMPUTED_VALUE"""),"")</f>
        <v/>
      </c>
      <c r="F116" t="str">
        <f>IFERROR(__xludf.DUMMYFUNCTION("""COMPUTED_VALUE"""),"")</f>
        <v/>
      </c>
      <c r="G116" t="str">
        <f>IFERROR(__xludf.DUMMYFUNCTION("""COMPUTED_VALUE"""),"")</f>
        <v/>
      </c>
      <c r="H116" t="str">
        <f>IFERROR(__xludf.DUMMYFUNCTION("""COMPUTED_VALUE"""),"")</f>
        <v/>
      </c>
      <c r="I116" t="str">
        <f>IFERROR(__xludf.DUMMYFUNCTION("""COMPUTED_VALUE"""),"")</f>
        <v/>
      </c>
      <c r="J116" t="str">
        <f>IFERROR(__xludf.DUMMYFUNCTION("""COMPUTED_VALUE"""),"")</f>
        <v/>
      </c>
      <c r="K116" t="str">
        <f>IFERROR(__xludf.DUMMYFUNCTION("""COMPUTED_VALUE"""),"")</f>
        <v/>
      </c>
      <c r="L116" t="str">
        <f>IFERROR(__xludf.DUMMYFUNCTION("""COMPUTED_VALUE"""),"")</f>
        <v/>
      </c>
    </row>
    <row r="117" ht="15.75" customHeight="1">
      <c r="A117" t="str">
        <f>IFERROR(__xludf.DUMMYFUNCTION("""COMPUTED_VALUE"""),"Allocation")</f>
        <v>Allocation</v>
      </c>
      <c r="B117" t="str">
        <f>IFERROR(__xludf.DUMMYFUNCTION("""COMPUTED_VALUE"""),"SaveCalculatedPreferences")</f>
        <v>SaveCalculatedPreferences</v>
      </c>
      <c r="C117" t="str">
        <f>IFERROR(__xludf.DUMMYFUNCTION("""COMPUTED_VALUE"""),"Undefined")</f>
        <v>Undefined</v>
      </c>
      <c r="D117" t="str">
        <f>IFERROR(__xludf.DUMMYFUNCTION("""COMPUTED_VALUE"""),"")</f>
        <v/>
      </c>
      <c r="E117" t="str">
        <f>IFERROR(__xludf.DUMMYFUNCTION("""COMPUTED_VALUE"""),"")</f>
        <v/>
      </c>
      <c r="F117" t="str">
        <f>IFERROR(__xludf.DUMMYFUNCTION("""COMPUTED_VALUE"""),"")</f>
        <v/>
      </c>
      <c r="G117" t="str">
        <f>IFERROR(__xludf.DUMMYFUNCTION("""COMPUTED_VALUE"""),"")</f>
        <v/>
      </c>
      <c r="H117" t="str">
        <f>IFERROR(__xludf.DUMMYFUNCTION("""COMPUTED_VALUE"""),"")</f>
        <v/>
      </c>
      <c r="I117" t="str">
        <f>IFERROR(__xludf.DUMMYFUNCTION("""COMPUTED_VALUE"""),"")</f>
        <v/>
      </c>
      <c r="J117" t="str">
        <f>IFERROR(__xludf.DUMMYFUNCTION("""COMPUTED_VALUE"""),"")</f>
        <v/>
      </c>
      <c r="K117" t="str">
        <f>IFERROR(__xludf.DUMMYFUNCTION("""COMPUTED_VALUE"""),"")</f>
        <v/>
      </c>
      <c r="L117" t="str">
        <f>IFERROR(__xludf.DUMMYFUNCTION("""COMPUTED_VALUE"""),"")</f>
        <v/>
      </c>
    </row>
    <row r="118" ht="15.75" customHeight="1">
      <c r="A118" s="37" t="str">
        <f>IFERROR(__xludf.DUMMYFUNCTION("""COMPUTED_VALUE"""),"GeneralLedger")</f>
        <v>GeneralLedger</v>
      </c>
      <c r="B118" t="str">
        <f>IFERROR(__xludf.DUMMYFUNCTION("""COMPUTED_VALUE"""),"VerifyOpeningBalanceData")</f>
        <v>VerifyOpeningBalanceData</v>
      </c>
      <c r="C118" t="str">
        <f>IFERROR(__xludf.DUMMYFUNCTION("""COMPUTED_VALUE"""),"1cbgDUL82g9J-kIeKIRSbR3N23KhZT2PrbfbfNmiHy4g")</f>
        <v>1cbgDUL82g9J-kIeKIRSbR3N23KhZT2PrbfbfNmiHy4g</v>
      </c>
      <c r="D118" t="str">
        <f>IFERROR(__xludf.DUMMYFUNCTION("""COMPUTED_VALUE"""),"")</f>
        <v/>
      </c>
      <c r="E118" t="str">
        <f>IFERROR(__xludf.DUMMYFUNCTION("""COMPUTED_VALUE"""),"")</f>
        <v/>
      </c>
      <c r="F118" t="str">
        <f>IFERROR(__xludf.DUMMYFUNCTION("""COMPUTED_VALUE"""),"")</f>
        <v/>
      </c>
      <c r="G118" t="str">
        <f>IFERROR(__xludf.DUMMYFUNCTION("""COMPUTED_VALUE"""),"")</f>
        <v/>
      </c>
      <c r="H118" t="str">
        <f>IFERROR(__xludf.DUMMYFUNCTION("""COMPUTED_VALUE"""),"")</f>
        <v/>
      </c>
      <c r="I118" t="str">
        <f>IFERROR(__xludf.DUMMYFUNCTION("""COMPUTED_VALUE"""),"")</f>
        <v/>
      </c>
      <c r="J118" t="str">
        <f>IFERROR(__xludf.DUMMYFUNCTION("""COMPUTED_VALUE"""),"")</f>
        <v/>
      </c>
      <c r="K118" t="str">
        <f>IFERROR(__xludf.DUMMYFUNCTION("""COMPUTED_VALUE"""),"")</f>
        <v/>
      </c>
      <c r="L118" t="str">
        <f>IFERROR(__xludf.DUMMYFUNCTION("""COMPUTED_VALUE"""),"")</f>
        <v/>
      </c>
    </row>
    <row r="119" ht="15.75" customHeight="1">
      <c r="A119" t="str">
        <f>IFERROR(__xludf.DUMMYFUNCTION("""COMPUTED_VALUE"""),"GeneralLedger")</f>
        <v>GeneralLedger</v>
      </c>
      <c r="B119" t="str">
        <f>IFERROR(__xludf.DUMMYFUNCTION("""COMPUTED_VALUE"""),"SelectOpeningBalanceTransaction")</f>
        <v>SelectOpeningBalanceTransaction</v>
      </c>
      <c r="C119" t="str">
        <f>IFERROR(__xludf.DUMMYFUNCTION("""COMPUTED_VALUE"""),"16buMqjm-t8DWdN0KXsbYQ_lEbfhNYAAjpimZL4zGss4")</f>
        <v>16buMqjm-t8DWdN0KXsbYQ_lEbfhNYAAjpimZL4zGss4</v>
      </c>
      <c r="D119" t="str">
        <f>IFERROR(__xludf.DUMMYFUNCTION("""COMPUTED_VALUE"""),"")</f>
        <v/>
      </c>
      <c r="E119" t="str">
        <f>IFERROR(__xludf.DUMMYFUNCTION("""COMPUTED_VALUE"""),"")</f>
        <v/>
      </c>
      <c r="F119" t="str">
        <f>IFERROR(__xludf.DUMMYFUNCTION("""COMPUTED_VALUE"""),"")</f>
        <v/>
      </c>
      <c r="G119" t="str">
        <f>IFERROR(__xludf.DUMMYFUNCTION("""COMPUTED_VALUE"""),"")</f>
        <v/>
      </c>
      <c r="H119" t="str">
        <f>IFERROR(__xludf.DUMMYFUNCTION("""COMPUTED_VALUE"""),"")</f>
        <v/>
      </c>
      <c r="I119" t="str">
        <f>IFERROR(__xludf.DUMMYFUNCTION("""COMPUTED_VALUE"""),"")</f>
        <v/>
      </c>
      <c r="J119" t="str">
        <f>IFERROR(__xludf.DUMMYFUNCTION("""COMPUTED_VALUE"""),"")</f>
        <v/>
      </c>
      <c r="K119" t="str">
        <f>IFERROR(__xludf.DUMMYFUNCTION("""COMPUTED_VALUE"""),"")</f>
        <v/>
      </c>
      <c r="L119" t="str">
        <f>IFERROR(__xludf.DUMMYFUNCTION("""COMPUTED_VALUE"""),"")</f>
        <v/>
      </c>
    </row>
    <row r="120" ht="15.75" customHeight="1">
      <c r="A120" t="str">
        <f>IFERROR(__xludf.DUMMYFUNCTION("""COMPUTED_VALUE"""),"TradingTicket")</f>
        <v>TradingTicket</v>
      </c>
      <c r="B120" t="str">
        <f>IFERROR(__xludf.DUMMYFUNCTION("""COMPUTED_VALUE"""),"CreateStageOrder ")</f>
        <v>CreateStageOrder </v>
      </c>
      <c r="C120" t="str">
        <f>IFERROR(__xludf.DUMMYFUNCTION("""COMPUTED_VALUE"""),"1cTGXGtKQnVf_iYDZ14Z7WLr9Idi4Fv7ecBnDagaEoxc")</f>
        <v>1cTGXGtKQnVf_iYDZ14Z7WLr9Idi4Fv7ecBnDagaEoxc</v>
      </c>
      <c r="D120" t="str">
        <f>IFERROR(__xludf.DUMMYFUNCTION("""COMPUTED_VALUE"""),"")</f>
        <v/>
      </c>
      <c r="E120" t="str">
        <f>IFERROR(__xludf.DUMMYFUNCTION("""COMPUTED_VALUE"""),"")</f>
        <v/>
      </c>
      <c r="F120" t="str">
        <f>IFERROR(__xludf.DUMMYFUNCTION("""COMPUTED_VALUE"""),"")</f>
        <v/>
      </c>
      <c r="G120" t="str">
        <f>IFERROR(__xludf.DUMMYFUNCTION("""COMPUTED_VALUE"""),"")</f>
        <v/>
      </c>
      <c r="H120" t="str">
        <f>IFERROR(__xludf.DUMMYFUNCTION("""COMPUTED_VALUE"""),"")</f>
        <v/>
      </c>
      <c r="I120" t="str">
        <f>IFERROR(__xludf.DUMMYFUNCTION("""COMPUTED_VALUE"""),"")</f>
        <v/>
      </c>
      <c r="J120" t="str">
        <f>IFERROR(__xludf.DUMMYFUNCTION("""COMPUTED_VALUE"""),"")</f>
        <v/>
      </c>
      <c r="K120" t="str">
        <f>IFERROR(__xludf.DUMMYFUNCTION("""COMPUTED_VALUE"""),"")</f>
        <v/>
      </c>
      <c r="L120" t="str">
        <f>IFERROR(__xludf.DUMMYFUNCTION("""COMPUTED_VALUE"""),"")</f>
        <v/>
      </c>
    </row>
    <row r="121" ht="15.75" customHeight="1">
      <c r="A121" t="str">
        <f>IFERROR(__xludf.DUMMYFUNCTION("""COMPUTED_VALUE"""),"Blotter")</f>
        <v>Blotter</v>
      </c>
      <c r="B121" t="str">
        <f>IFERROR(__xludf.DUMMYFUNCTION("""COMPUTED_VALUE"""),"TransferToUserWorkingSubs")</f>
        <v>TransferToUserWorkingSubs</v>
      </c>
      <c r="C121" t="str">
        <f>IFERROR(__xludf.DUMMYFUNCTION("""COMPUTED_VALUE"""),"1rjH_mAlI-kiVGhxIxfiFp3qZK1WQe6BRlh4DIAucqp8")</f>
        <v>1rjH_mAlI-kiVGhxIxfiFp3qZK1WQe6BRlh4DIAucqp8</v>
      </c>
      <c r="D121" t="str">
        <f>IFERROR(__xludf.DUMMYFUNCTION("""COMPUTED_VALUE"""),"")</f>
        <v/>
      </c>
      <c r="E121" t="str">
        <f>IFERROR(__xludf.DUMMYFUNCTION("""COMPUTED_VALUE"""),"")</f>
        <v/>
      </c>
      <c r="F121" t="str">
        <f>IFERROR(__xludf.DUMMYFUNCTION("""COMPUTED_VALUE"""),"")</f>
        <v/>
      </c>
      <c r="G121" t="str">
        <f>IFERROR(__xludf.DUMMYFUNCTION("""COMPUTED_VALUE"""),"")</f>
        <v/>
      </c>
      <c r="H121" t="str">
        <f>IFERROR(__xludf.DUMMYFUNCTION("""COMPUTED_VALUE"""),"")</f>
        <v/>
      </c>
      <c r="I121" t="str">
        <f>IFERROR(__xludf.DUMMYFUNCTION("""COMPUTED_VALUE"""),"")</f>
        <v/>
      </c>
      <c r="J121" t="str">
        <f>IFERROR(__xludf.DUMMYFUNCTION("""COMPUTED_VALUE"""),"")</f>
        <v/>
      </c>
      <c r="K121" t="str">
        <f>IFERROR(__xludf.DUMMYFUNCTION("""COMPUTED_VALUE"""),"")</f>
        <v/>
      </c>
      <c r="L121" t="str">
        <f>IFERROR(__xludf.DUMMYFUNCTION("""COMPUTED_VALUE"""),"")</f>
        <v/>
      </c>
    </row>
    <row r="122" ht="15.75" customHeight="1">
      <c r="A122" t="str">
        <f>IFERROR(__xludf.DUMMYFUNCTION("""COMPUTED_VALUE"""),"Blotter")</f>
        <v>Blotter</v>
      </c>
      <c r="B122" t="str">
        <f>IFERROR(__xludf.DUMMYFUNCTION("""COMPUTED_VALUE"""),"CancelWorkingSubs")</f>
        <v>CancelWorkingSubs</v>
      </c>
      <c r="C122" t="str">
        <f>IFERROR(__xludf.DUMMYFUNCTION("""COMPUTED_VALUE"""),"1f4UZSvqnSA0-TMEsWanXPqPh8ArCbNzI-iVrxMqdPxI")</f>
        <v>1f4UZSvqnSA0-TMEsWanXPqPh8ArCbNzI-iVrxMqdPxI</v>
      </c>
      <c r="D122" t="str">
        <f>IFERROR(__xludf.DUMMYFUNCTION("""COMPUTED_VALUE"""),"")</f>
        <v/>
      </c>
      <c r="E122" t="str">
        <f>IFERROR(__xludf.DUMMYFUNCTION("""COMPUTED_VALUE"""),"")</f>
        <v/>
      </c>
      <c r="F122" t="str">
        <f>IFERROR(__xludf.DUMMYFUNCTION("""COMPUTED_VALUE"""),"")</f>
        <v/>
      </c>
      <c r="G122" t="str">
        <f>IFERROR(__xludf.DUMMYFUNCTION("""COMPUTED_VALUE"""),"")</f>
        <v/>
      </c>
      <c r="H122" t="str">
        <f>IFERROR(__xludf.DUMMYFUNCTION("""COMPUTED_VALUE"""),"")</f>
        <v/>
      </c>
      <c r="I122" t="str">
        <f>IFERROR(__xludf.DUMMYFUNCTION("""COMPUTED_VALUE"""),"")</f>
        <v/>
      </c>
      <c r="J122" t="str">
        <f>IFERROR(__xludf.DUMMYFUNCTION("""COMPUTED_VALUE"""),"")</f>
        <v/>
      </c>
      <c r="K122" t="str">
        <f>IFERROR(__xludf.DUMMYFUNCTION("""COMPUTED_VALUE"""),"")</f>
        <v/>
      </c>
      <c r="L122" t="str">
        <f>IFERROR(__xludf.DUMMYFUNCTION("""COMPUTED_VALUE"""),"")</f>
        <v/>
      </c>
    </row>
    <row r="123" ht="15.75" customHeight="1">
      <c r="A123" t="str">
        <f>IFERROR(__xludf.DUMMYFUNCTION("""COMPUTED_VALUE"""),"Blotter")</f>
        <v>Blotter</v>
      </c>
      <c r="B123" t="str">
        <f>IFERROR(__xludf.DUMMYFUNCTION("""COMPUTED_VALUE"""),"ReplaceWorkingSubs")</f>
        <v>ReplaceWorkingSubs</v>
      </c>
      <c r="C123" t="str">
        <f>IFERROR(__xludf.DUMMYFUNCTION("""COMPUTED_VALUE"""),"1N0y4hQ6-0O4QG9Lw-HRxuoqx62IGJgkW3FYbgGjNsEo")</f>
        <v>1N0y4hQ6-0O4QG9Lw-HRxuoqx62IGJgkW3FYbgGjNsEo</v>
      </c>
      <c r="D123" t="str">
        <f>IFERROR(__xludf.DUMMYFUNCTION("""COMPUTED_VALUE"""),"")</f>
        <v/>
      </c>
      <c r="E123" t="str">
        <f>IFERROR(__xludf.DUMMYFUNCTION("""COMPUTED_VALUE"""),"")</f>
        <v/>
      </c>
      <c r="F123" t="str">
        <f>IFERROR(__xludf.DUMMYFUNCTION("""COMPUTED_VALUE"""),"")</f>
        <v/>
      </c>
      <c r="G123" t="str">
        <f>IFERROR(__xludf.DUMMYFUNCTION("""COMPUTED_VALUE"""),"")</f>
        <v/>
      </c>
      <c r="H123" t="str">
        <f>IFERROR(__xludf.DUMMYFUNCTION("""COMPUTED_VALUE"""),"")</f>
        <v/>
      </c>
      <c r="I123" t="str">
        <f>IFERROR(__xludf.DUMMYFUNCTION("""COMPUTED_VALUE"""),"")</f>
        <v/>
      </c>
      <c r="J123" t="str">
        <f>IFERROR(__xludf.DUMMYFUNCTION("""COMPUTED_VALUE"""),"")</f>
        <v/>
      </c>
      <c r="K123" t="str">
        <f>IFERROR(__xludf.DUMMYFUNCTION("""COMPUTED_VALUE"""),"")</f>
        <v/>
      </c>
      <c r="L123" t="str">
        <f>IFERROR(__xludf.DUMMYFUNCTION("""COMPUTED_VALUE"""),"")</f>
        <v/>
      </c>
    </row>
    <row r="124" ht="15.75" customHeight="1">
      <c r="A124" t="str">
        <f>IFERROR(__xludf.DUMMYFUNCTION("""COMPUTED_VALUE"""),"Blotter")</f>
        <v>Blotter</v>
      </c>
      <c r="B124" t="str">
        <f>IFERROR(__xludf.DUMMYFUNCTION("""COMPUTED_VALUE"""),"ViewAllocationDetailsWorkingSub")</f>
        <v>ViewAllocationDetailsWorkingSub</v>
      </c>
      <c r="C124" t="str">
        <f>IFERROR(__xludf.DUMMYFUNCTION("""COMPUTED_VALUE"""),"1-uClOKqZLyl7y2gkvrmPsLuujEeaQk89MlmJI-seKDQ")</f>
        <v>1-uClOKqZLyl7y2gkvrmPsLuujEeaQk89MlmJI-seKDQ</v>
      </c>
      <c r="D124" t="str">
        <f>IFERROR(__xludf.DUMMYFUNCTION("""COMPUTED_VALUE"""),"")</f>
        <v/>
      </c>
      <c r="E124" t="str">
        <f>IFERROR(__xludf.DUMMYFUNCTION("""COMPUTED_VALUE"""),"")</f>
        <v/>
      </c>
      <c r="F124" t="str">
        <f>IFERROR(__xludf.DUMMYFUNCTION("""COMPUTED_VALUE"""),"")</f>
        <v/>
      </c>
      <c r="G124" t="str">
        <f>IFERROR(__xludf.DUMMYFUNCTION("""COMPUTED_VALUE"""),"")</f>
        <v/>
      </c>
      <c r="H124" t="str">
        <f>IFERROR(__xludf.DUMMYFUNCTION("""COMPUTED_VALUE"""),"")</f>
        <v/>
      </c>
      <c r="I124" t="str">
        <f>IFERROR(__xludf.DUMMYFUNCTION("""COMPUTED_VALUE"""),"")</f>
        <v/>
      </c>
      <c r="J124" t="str">
        <f>IFERROR(__xludf.DUMMYFUNCTION("""COMPUTED_VALUE"""),"")</f>
        <v/>
      </c>
      <c r="K124" t="str">
        <f>IFERROR(__xludf.DUMMYFUNCTION("""COMPUTED_VALUE"""),"")</f>
        <v/>
      </c>
      <c r="L124" t="str">
        <f>IFERROR(__xludf.DUMMYFUNCTION("""COMPUTED_VALUE"""),"")</f>
        <v/>
      </c>
    </row>
    <row r="125" ht="15.75" customHeight="1">
      <c r="A125" t="str">
        <f>IFERROR(__xludf.DUMMYFUNCTION("""COMPUTED_VALUE"""),"Blotter")</f>
        <v>Blotter</v>
      </c>
      <c r="B125" t="str">
        <f>IFERROR(__xludf.DUMMYFUNCTION("""COMPUTED_VALUE"""),"SelectTradeOnOrderGrid")</f>
        <v>SelectTradeOnOrderGrid</v>
      </c>
      <c r="C125" t="str">
        <f>IFERROR(__xludf.DUMMYFUNCTION("""COMPUTED_VALUE"""),"1ZeUzy4DVw1BRVaSZ9Gc4b0AxaQ3gmozmUvzNq8PNrSc")</f>
        <v>1ZeUzy4DVw1BRVaSZ9Gc4b0AxaQ3gmozmUvzNq8PNrSc</v>
      </c>
      <c r="D125" t="str">
        <f>IFERROR(__xludf.DUMMYFUNCTION("""COMPUTED_VALUE"""),"")</f>
        <v/>
      </c>
      <c r="E125" t="str">
        <f>IFERROR(__xludf.DUMMYFUNCTION("""COMPUTED_VALUE"""),"")</f>
        <v/>
      </c>
      <c r="F125" t="str">
        <f>IFERROR(__xludf.DUMMYFUNCTION("""COMPUTED_VALUE"""),"")</f>
        <v/>
      </c>
      <c r="G125" t="str">
        <f>IFERROR(__xludf.DUMMYFUNCTION("""COMPUTED_VALUE"""),"")</f>
        <v/>
      </c>
      <c r="H125" t="str">
        <f>IFERROR(__xludf.DUMMYFUNCTION("""COMPUTED_VALUE"""),"")</f>
        <v/>
      </c>
      <c r="I125" t="str">
        <f>IFERROR(__xludf.DUMMYFUNCTION("""COMPUTED_VALUE"""),"")</f>
        <v/>
      </c>
      <c r="J125" t="str">
        <f>IFERROR(__xludf.DUMMYFUNCTION("""COMPUTED_VALUE"""),"")</f>
        <v/>
      </c>
      <c r="K125" t="str">
        <f>IFERROR(__xludf.DUMMYFUNCTION("""COMPUTED_VALUE"""),"")</f>
        <v/>
      </c>
      <c r="L125" t="str">
        <f>IFERROR(__xludf.DUMMYFUNCTION("""COMPUTED_VALUE"""),"")</f>
        <v/>
      </c>
    </row>
    <row r="126" ht="15.75" customHeight="1">
      <c r="A126" t="str">
        <f>IFERROR(__xludf.DUMMYFUNCTION("""COMPUTED_VALUE"""),"Blotter")</f>
        <v>Blotter</v>
      </c>
      <c r="B126" t="str">
        <f>IFERROR(__xludf.DUMMYFUNCTION("""COMPUTED_VALUE"""),"ShowDetailsForAlgoTradeSubOrder")</f>
        <v>ShowDetailsForAlgoTradeSubOrder</v>
      </c>
      <c r="C126" t="str">
        <f>IFERROR(__xludf.DUMMYFUNCTION("""COMPUTED_VALUE"""),"1w85dUCDeKl2Qn0Srhw7tlKfWNcL7qOffjvVB5Aeacqw")</f>
        <v>1w85dUCDeKl2Qn0Srhw7tlKfWNcL7qOffjvVB5Aeacqw</v>
      </c>
      <c r="D126" t="str">
        <f>IFERROR(__xludf.DUMMYFUNCTION("""COMPUTED_VALUE"""),"")</f>
        <v/>
      </c>
      <c r="E126" t="str">
        <f>IFERROR(__xludf.DUMMYFUNCTION("""COMPUTED_VALUE"""),"")</f>
        <v/>
      </c>
      <c r="F126" t="str">
        <f>IFERROR(__xludf.DUMMYFUNCTION("""COMPUTED_VALUE"""),"")</f>
        <v/>
      </c>
      <c r="G126" t="str">
        <f>IFERROR(__xludf.DUMMYFUNCTION("""COMPUTED_VALUE"""),"")</f>
        <v/>
      </c>
      <c r="H126" t="str">
        <f>IFERROR(__xludf.DUMMYFUNCTION("""COMPUTED_VALUE"""),"")</f>
        <v/>
      </c>
      <c r="I126" t="str">
        <f>IFERROR(__xludf.DUMMYFUNCTION("""COMPUTED_VALUE"""),"")</f>
        <v/>
      </c>
      <c r="J126" t="str">
        <f>IFERROR(__xludf.DUMMYFUNCTION("""COMPUTED_VALUE"""),"")</f>
        <v/>
      </c>
      <c r="K126" t="str">
        <f>IFERROR(__xludf.DUMMYFUNCTION("""COMPUTED_VALUE"""),"")</f>
        <v/>
      </c>
      <c r="L126" t="str">
        <f>IFERROR(__xludf.DUMMYFUNCTION("""COMPUTED_VALUE"""),"")</f>
        <v/>
      </c>
    </row>
    <row r="127" ht="15.75" customHeight="1">
      <c r="A127" t="str">
        <f>IFERROR(__xludf.DUMMYFUNCTION("""COMPUTED_VALUE"""),"Blotter")</f>
        <v>Blotter</v>
      </c>
      <c r="B127" t="str">
        <f>IFERROR(__xludf.DUMMYFUNCTION("""COMPUTED_VALUE"""),"SelectTradeOrderBlotter")</f>
        <v>SelectTradeOrderBlotter</v>
      </c>
      <c r="C127" t="str">
        <f>IFERROR(__xludf.DUMMYFUNCTION("""COMPUTED_VALUE"""),"1bHMGFLukgIQvokymSozfHITL14P-6BmJD1fulShe_nE")</f>
        <v>1bHMGFLukgIQvokymSozfHITL14P-6BmJD1fulShe_nE</v>
      </c>
      <c r="D127" t="str">
        <f>IFERROR(__xludf.DUMMYFUNCTION("""COMPUTED_VALUE"""),"")</f>
        <v/>
      </c>
      <c r="E127" t="str">
        <f>IFERROR(__xludf.DUMMYFUNCTION("""COMPUTED_VALUE"""),"")</f>
        <v/>
      </c>
      <c r="F127" t="str">
        <f>IFERROR(__xludf.DUMMYFUNCTION("""COMPUTED_VALUE"""),"")</f>
        <v/>
      </c>
      <c r="G127" t="str">
        <f>IFERROR(__xludf.DUMMYFUNCTION("""COMPUTED_VALUE"""),"")</f>
        <v/>
      </c>
      <c r="H127" t="str">
        <f>IFERROR(__xludf.DUMMYFUNCTION("""COMPUTED_VALUE"""),"")</f>
        <v/>
      </c>
      <c r="I127" t="str">
        <f>IFERROR(__xludf.DUMMYFUNCTION("""COMPUTED_VALUE"""),"")</f>
        <v/>
      </c>
      <c r="J127" t="str">
        <f>IFERROR(__xludf.DUMMYFUNCTION("""COMPUTED_VALUE"""),"")</f>
        <v/>
      </c>
      <c r="K127" t="str">
        <f>IFERROR(__xludf.DUMMYFUNCTION("""COMPUTED_VALUE"""),"")</f>
        <v/>
      </c>
      <c r="L127" t="str">
        <f>IFERROR(__xludf.DUMMYFUNCTION("""COMPUTED_VALUE"""),"")</f>
        <v/>
      </c>
    </row>
    <row r="128" ht="15.75" customHeight="1">
      <c r="A128" t="str">
        <f>IFERROR(__xludf.DUMMYFUNCTION("""COMPUTED_VALUE"""),"Blotter")</f>
        <v>Blotter</v>
      </c>
      <c r="B128" t="str">
        <f>IFERROR(__xludf.DUMMYFUNCTION("""COMPUTED_VALUE"""),"AddFillsWorkingSubs")</f>
        <v>AddFillsWorkingSubs</v>
      </c>
      <c r="C128" t="str">
        <f>IFERROR(__xludf.DUMMYFUNCTION("""COMPUTED_VALUE"""),"1AMIiTOdlTgw9P8zc6L0r7j_BnZ_3MiAz7TO8GcTfNlc")</f>
        <v>1AMIiTOdlTgw9P8zc6L0r7j_BnZ_3MiAz7TO8GcTfNlc</v>
      </c>
      <c r="D128" t="str">
        <f>IFERROR(__xludf.DUMMYFUNCTION("""COMPUTED_VALUE"""),"")</f>
        <v/>
      </c>
      <c r="E128" t="str">
        <f>IFERROR(__xludf.DUMMYFUNCTION("""COMPUTED_VALUE"""),"")</f>
        <v/>
      </c>
      <c r="F128" t="str">
        <f>IFERROR(__xludf.DUMMYFUNCTION("""COMPUTED_VALUE"""),"")</f>
        <v/>
      </c>
      <c r="G128" t="str">
        <f>IFERROR(__xludf.DUMMYFUNCTION("""COMPUTED_VALUE"""),"")</f>
        <v/>
      </c>
      <c r="H128" t="str">
        <f>IFERROR(__xludf.DUMMYFUNCTION("""COMPUTED_VALUE"""),"")</f>
        <v/>
      </c>
      <c r="I128" t="str">
        <f>IFERROR(__xludf.DUMMYFUNCTION("""COMPUTED_VALUE"""),"")</f>
        <v/>
      </c>
      <c r="J128" t="str">
        <f>IFERROR(__xludf.DUMMYFUNCTION("""COMPUTED_VALUE"""),"")</f>
        <v/>
      </c>
      <c r="K128" t="str">
        <f>IFERROR(__xludf.DUMMYFUNCTION("""COMPUTED_VALUE"""),"")</f>
        <v/>
      </c>
      <c r="L128" t="str">
        <f>IFERROR(__xludf.DUMMYFUNCTION("""COMPUTED_VALUE"""),"")</f>
        <v/>
      </c>
    </row>
    <row r="129" ht="15.75" customHeight="1">
      <c r="A129" t="str">
        <f>IFERROR(__xludf.DUMMYFUNCTION("""COMPUTED_VALUE"""),"Blotter")</f>
        <v>Blotter</v>
      </c>
      <c r="B129" t="str">
        <f>IFERROR(__xludf.DUMMYFUNCTION("""COMPUTED_VALUE"""),"EditAddFillsDetails")</f>
        <v>EditAddFillsDetails</v>
      </c>
      <c r="C129" t="str">
        <f>IFERROR(__xludf.DUMMYFUNCTION("""COMPUTED_VALUE"""),"1o5hoU4jKWkNAyzCxyVxXl0pXQTW1E66hZri02EXVnLA")</f>
        <v>1o5hoU4jKWkNAyzCxyVxXl0pXQTW1E66hZri02EXVnLA</v>
      </c>
      <c r="D129" t="str">
        <f>IFERROR(__xludf.DUMMYFUNCTION("""COMPUTED_VALUE"""),"")</f>
        <v/>
      </c>
      <c r="E129" t="str">
        <f>IFERROR(__xludf.DUMMYFUNCTION("""COMPUTED_VALUE"""),"")</f>
        <v/>
      </c>
      <c r="F129" t="str">
        <f>IFERROR(__xludf.DUMMYFUNCTION("""COMPUTED_VALUE"""),"")</f>
        <v/>
      </c>
      <c r="G129" t="str">
        <f>IFERROR(__xludf.DUMMYFUNCTION("""COMPUTED_VALUE"""),"")</f>
        <v/>
      </c>
      <c r="H129" t="str">
        <f>IFERROR(__xludf.DUMMYFUNCTION("""COMPUTED_VALUE"""),"")</f>
        <v/>
      </c>
      <c r="I129" t="str">
        <f>IFERROR(__xludf.DUMMYFUNCTION("""COMPUTED_VALUE"""),"")</f>
        <v/>
      </c>
      <c r="J129" t="str">
        <f>IFERROR(__xludf.DUMMYFUNCTION("""COMPUTED_VALUE"""),"")</f>
        <v/>
      </c>
      <c r="K129" t="str">
        <f>IFERROR(__xludf.DUMMYFUNCTION("""COMPUTED_VALUE"""),"")</f>
        <v/>
      </c>
      <c r="L129" t="str">
        <f>IFERROR(__xludf.DUMMYFUNCTION("""COMPUTED_VALUE"""),"")</f>
        <v/>
      </c>
    </row>
    <row r="130" ht="15.75" customHeight="1">
      <c r="A130" t="str">
        <f>IFERROR(__xludf.DUMMYFUNCTION("""COMPUTED_VALUE"""),"Blotter")</f>
        <v>Blotter</v>
      </c>
      <c r="B130" t="str">
        <f>IFERROR(__xludf.DUMMYFUNCTION("""COMPUTED_VALUE"""),"ShowDetailsForAlgoTradeWorkingSubs")</f>
        <v>ShowDetailsForAlgoTradeWorkingSubs</v>
      </c>
      <c r="C130" t="str">
        <f>IFERROR(__xludf.DUMMYFUNCTION("""COMPUTED_VALUE"""),"1S5h4QaGRhGMlPa2ZRFO9TCNd2bWorBHznLf2u_4jHi8")</f>
        <v>1S5h4QaGRhGMlPa2ZRFO9TCNd2bWorBHznLf2u_4jHi8</v>
      </c>
      <c r="D130" t="str">
        <f>IFERROR(__xludf.DUMMYFUNCTION("""COMPUTED_VALUE"""),"")</f>
        <v/>
      </c>
      <c r="E130" t="str">
        <f>IFERROR(__xludf.DUMMYFUNCTION("""COMPUTED_VALUE"""),"")</f>
        <v/>
      </c>
      <c r="F130" t="str">
        <f>IFERROR(__xludf.DUMMYFUNCTION("""COMPUTED_VALUE"""),"")</f>
        <v/>
      </c>
      <c r="G130" t="str">
        <f>IFERROR(__xludf.DUMMYFUNCTION("""COMPUTED_VALUE"""),"")</f>
        <v/>
      </c>
      <c r="H130" t="str">
        <f>IFERROR(__xludf.DUMMYFUNCTION("""COMPUTED_VALUE"""),"")</f>
        <v/>
      </c>
      <c r="I130" t="str">
        <f>IFERROR(__xludf.DUMMYFUNCTION("""COMPUTED_VALUE"""),"")</f>
        <v/>
      </c>
      <c r="J130" t="str">
        <f>IFERROR(__xludf.DUMMYFUNCTION("""COMPUTED_VALUE"""),"")</f>
        <v/>
      </c>
      <c r="K130" t="str">
        <f>IFERROR(__xludf.DUMMYFUNCTION("""COMPUTED_VALUE"""),"")</f>
        <v/>
      </c>
      <c r="L130" t="str">
        <f>IFERROR(__xludf.DUMMYFUNCTION("""COMPUTED_VALUE"""),"")</f>
        <v/>
      </c>
    </row>
    <row r="131" ht="15.75" customHeight="1">
      <c r="A131" t="str">
        <f>IFERROR(__xludf.DUMMYFUNCTION("""COMPUTED_VALUE"""),"Closing")</f>
        <v>Closing</v>
      </c>
      <c r="B131" t="str">
        <f>IFERROR(__xludf.DUMMYFUNCTION("""COMPUTED_VALUE"""),"SwapExpire")</f>
        <v>SwapExpire</v>
      </c>
      <c r="C131" t="str">
        <f>IFERROR(__xludf.DUMMYFUNCTION("""COMPUTED_VALUE"""),"1jUV7qVgqGBaaceWSNh0-cSAYDYEL78u2ObuRdiWFjFM")</f>
        <v>1jUV7qVgqGBaaceWSNh0-cSAYDYEL78u2ObuRdiWFjFM</v>
      </c>
      <c r="D131" t="str">
        <f>IFERROR(__xludf.DUMMYFUNCTION("""COMPUTED_VALUE"""),"")</f>
        <v/>
      </c>
      <c r="E131" t="str">
        <f>IFERROR(__xludf.DUMMYFUNCTION("""COMPUTED_VALUE"""),"")</f>
        <v/>
      </c>
      <c r="F131" t="str">
        <f>IFERROR(__xludf.DUMMYFUNCTION("""COMPUTED_VALUE"""),"")</f>
        <v/>
      </c>
      <c r="G131" t="str">
        <f>IFERROR(__xludf.DUMMYFUNCTION("""COMPUTED_VALUE"""),"")</f>
        <v/>
      </c>
      <c r="H131" t="str">
        <f>IFERROR(__xludf.DUMMYFUNCTION("""COMPUTED_VALUE"""),"")</f>
        <v/>
      </c>
      <c r="I131" t="str">
        <f>IFERROR(__xludf.DUMMYFUNCTION("""COMPUTED_VALUE"""),"")</f>
        <v/>
      </c>
      <c r="J131" t="str">
        <f>IFERROR(__xludf.DUMMYFUNCTION("""COMPUTED_VALUE"""),"")</f>
        <v/>
      </c>
      <c r="K131" t="str">
        <f>IFERROR(__xludf.DUMMYFUNCTION("""COMPUTED_VALUE"""),"")</f>
        <v/>
      </c>
      <c r="L131" t="str">
        <f>IFERROR(__xludf.DUMMYFUNCTION("""COMPUTED_VALUE"""),"")</f>
        <v/>
      </c>
    </row>
    <row r="132" ht="15.75" customHeight="1">
      <c r="A132" t="str">
        <f>IFERROR(__xludf.DUMMYFUNCTION("""COMPUTED_VALUE"""),"Blotter")</f>
        <v>Blotter</v>
      </c>
      <c r="B132" t="str">
        <f>IFERROR(__xludf.DUMMYFUNCTION("""COMPUTED_VALUE"""),"VerifyWorkingSubs")</f>
        <v>VerifyWorkingSubs</v>
      </c>
      <c r="C132" t="str">
        <f>IFERROR(__xludf.DUMMYFUNCTION("""COMPUTED_VALUE"""),"1gnwVxErkX0O8iYhIQrs9DWwoaWkHaW13GCTqGHY6k_w")</f>
        <v>1gnwVxErkX0O8iYhIQrs9DWwoaWkHaW13GCTqGHY6k_w</v>
      </c>
      <c r="D132" t="str">
        <f>IFERROR(__xludf.DUMMYFUNCTION("""COMPUTED_VALUE"""),"")</f>
        <v/>
      </c>
      <c r="E132" t="str">
        <f>IFERROR(__xludf.DUMMYFUNCTION("""COMPUTED_VALUE"""),"")</f>
        <v/>
      </c>
      <c r="F132" t="str">
        <f>IFERROR(__xludf.DUMMYFUNCTION("""COMPUTED_VALUE"""),"")</f>
        <v/>
      </c>
      <c r="G132" t="str">
        <f>IFERROR(__xludf.DUMMYFUNCTION("""COMPUTED_VALUE"""),"")</f>
        <v/>
      </c>
      <c r="H132" t="str">
        <f>IFERROR(__xludf.DUMMYFUNCTION("""COMPUTED_VALUE"""),"")</f>
        <v/>
      </c>
      <c r="I132" t="str">
        <f>IFERROR(__xludf.DUMMYFUNCTION("""COMPUTED_VALUE"""),"")</f>
        <v/>
      </c>
      <c r="J132" t="str">
        <f>IFERROR(__xludf.DUMMYFUNCTION("""COMPUTED_VALUE"""),"")</f>
        <v/>
      </c>
      <c r="K132" t="str">
        <f>IFERROR(__xludf.DUMMYFUNCTION("""COMPUTED_VALUE"""),"")</f>
        <v/>
      </c>
      <c r="L132" t="str">
        <f>IFERROR(__xludf.DUMMYFUNCTION("""COMPUTED_VALUE"""),"")</f>
        <v/>
      </c>
    </row>
    <row r="133" ht="15.75" customHeight="1">
      <c r="A133" t="str">
        <f>IFERROR(__xludf.DUMMYFUNCTION("""COMPUTED_VALUE"""),"Blotter")</f>
        <v>Blotter</v>
      </c>
      <c r="B133" t="str">
        <f>IFERROR(__xludf.DUMMYFUNCTION("""COMPUTED_VALUE"""),"TransferToUserOrder")</f>
        <v>TransferToUserOrder</v>
      </c>
      <c r="C133" t="str">
        <f>IFERROR(__xludf.DUMMYFUNCTION("""COMPUTED_VALUE"""),"1Vo4cA56jwD3rxlaJNNHMgg8RQplZa0kTei6Nnq-HRXM")</f>
        <v>1Vo4cA56jwD3rxlaJNNHMgg8RQplZa0kTei6Nnq-HRXM</v>
      </c>
      <c r="D133" t="str">
        <f>IFERROR(__xludf.DUMMYFUNCTION("""COMPUTED_VALUE"""),"")</f>
        <v/>
      </c>
      <c r="E133" t="str">
        <f>IFERROR(__xludf.DUMMYFUNCTION("""COMPUTED_VALUE"""),"")</f>
        <v/>
      </c>
      <c r="F133" t="str">
        <f>IFERROR(__xludf.DUMMYFUNCTION("""COMPUTED_VALUE"""),"")</f>
        <v/>
      </c>
      <c r="G133" t="str">
        <f>IFERROR(__xludf.DUMMYFUNCTION("""COMPUTED_VALUE"""),"")</f>
        <v/>
      </c>
      <c r="H133" t="str">
        <f>IFERROR(__xludf.DUMMYFUNCTION("""COMPUTED_VALUE"""),"")</f>
        <v/>
      </c>
      <c r="I133" t="str">
        <f>IFERROR(__xludf.DUMMYFUNCTION("""COMPUTED_VALUE"""),"")</f>
        <v/>
      </c>
      <c r="J133" t="str">
        <f>IFERROR(__xludf.DUMMYFUNCTION("""COMPUTED_VALUE"""),"")</f>
        <v/>
      </c>
      <c r="K133" t="str">
        <f>IFERROR(__xludf.DUMMYFUNCTION("""COMPUTED_VALUE"""),"")</f>
        <v/>
      </c>
      <c r="L133" t="str">
        <f>IFERROR(__xludf.DUMMYFUNCTION("""COMPUTED_VALUE"""),"")</f>
        <v/>
      </c>
    </row>
    <row r="134" ht="15.75" customHeight="1">
      <c r="A134" t="str">
        <f>IFERROR(__xludf.DUMMYFUNCTION("""COMPUTED_VALUE"""),"Allocation")</f>
        <v>Allocation</v>
      </c>
      <c r="B134" t="str">
        <f>IFERROR(__xludf.DUMMYFUNCTION("""COMPUTED_VALUE"""),"CloseCalculatedPreferences")</f>
        <v>CloseCalculatedPreferences</v>
      </c>
      <c r="C134" t="str">
        <f>IFERROR(__xludf.DUMMYFUNCTION("""COMPUTED_VALUE"""),"Undefined")</f>
        <v>Undefined</v>
      </c>
      <c r="D134" t="str">
        <f>IFERROR(__xludf.DUMMYFUNCTION("""COMPUTED_VALUE"""),"")</f>
        <v/>
      </c>
      <c r="E134" t="str">
        <f>IFERROR(__xludf.DUMMYFUNCTION("""COMPUTED_VALUE"""),"")</f>
        <v/>
      </c>
      <c r="F134" t="str">
        <f>IFERROR(__xludf.DUMMYFUNCTION("""COMPUTED_VALUE"""),"")</f>
        <v/>
      </c>
      <c r="G134" t="str">
        <f>IFERROR(__xludf.DUMMYFUNCTION("""COMPUTED_VALUE"""),"")</f>
        <v/>
      </c>
      <c r="H134" t="str">
        <f>IFERROR(__xludf.DUMMYFUNCTION("""COMPUTED_VALUE"""),"")</f>
        <v/>
      </c>
      <c r="I134" t="str">
        <f>IFERROR(__xludf.DUMMYFUNCTION("""COMPUTED_VALUE"""),"")</f>
        <v/>
      </c>
      <c r="J134" t="str">
        <f>IFERROR(__xludf.DUMMYFUNCTION("""COMPUTED_VALUE"""),"")</f>
        <v/>
      </c>
      <c r="K134" t="str">
        <f>IFERROR(__xludf.DUMMYFUNCTION("""COMPUTED_VALUE"""),"")</f>
        <v/>
      </c>
      <c r="L134" t="str">
        <f>IFERROR(__xludf.DUMMYFUNCTION("""COMPUTED_VALUE"""),"")</f>
        <v/>
      </c>
    </row>
    <row r="135" ht="15.75" customHeight="1">
      <c r="A135" t="str">
        <f>IFERROR(__xludf.DUMMYFUNCTION("""COMPUTED_VALUE"""),"TradingTicket")</f>
        <v>TradingTicket</v>
      </c>
      <c r="B135" t="str">
        <f>IFERROR(__xludf.DUMMYFUNCTION("""COMPUTED_VALUE"""),"CreateReplaceOrder")</f>
        <v>CreateReplaceOrder</v>
      </c>
      <c r="C135" t="str">
        <f>IFERROR(__xludf.DUMMYFUNCTION("""COMPUTED_VALUE"""),"1M0Fl98LaCTHV2pr19gvtA9fIIfql3PLfeq1ULjK7UzA")</f>
        <v>1M0Fl98LaCTHV2pr19gvtA9fIIfql3PLfeq1ULjK7UzA</v>
      </c>
      <c r="D135" t="str">
        <f>IFERROR(__xludf.DUMMYFUNCTION("""COMPUTED_VALUE"""),"")</f>
        <v/>
      </c>
      <c r="E135" t="str">
        <f>IFERROR(__xludf.DUMMYFUNCTION("""COMPUTED_VALUE"""),"")</f>
        <v/>
      </c>
      <c r="F135" t="str">
        <f>IFERROR(__xludf.DUMMYFUNCTION("""COMPUTED_VALUE"""),"")</f>
        <v/>
      </c>
      <c r="G135" t="str">
        <f>IFERROR(__xludf.DUMMYFUNCTION("""COMPUTED_VALUE"""),"")</f>
        <v/>
      </c>
      <c r="H135" t="str">
        <f>IFERROR(__xludf.DUMMYFUNCTION("""COMPUTED_VALUE"""),"")</f>
        <v/>
      </c>
      <c r="I135" t="str">
        <f>IFERROR(__xludf.DUMMYFUNCTION("""COMPUTED_VALUE"""),"")</f>
        <v/>
      </c>
      <c r="J135" t="str">
        <f>IFERROR(__xludf.DUMMYFUNCTION("""COMPUTED_VALUE"""),"")</f>
        <v/>
      </c>
      <c r="K135" t="str">
        <f>IFERROR(__xludf.DUMMYFUNCTION("""COMPUTED_VALUE"""),"")</f>
        <v/>
      </c>
      <c r="L135" t="str">
        <f>IFERROR(__xludf.DUMMYFUNCTION("""COMPUTED_VALUE"""),"")</f>
        <v/>
      </c>
    </row>
    <row r="136" ht="15.75" customHeight="1">
      <c r="A136" t="str">
        <f>IFERROR(__xludf.DUMMYFUNCTION("""COMPUTED_VALUE"""),"Blotter")</f>
        <v>Blotter</v>
      </c>
      <c r="B136" t="str">
        <f>IFERROR(__xludf.DUMMYFUNCTION("""COMPUTED_VALUE"""),"EditOrder")</f>
        <v>EditOrder</v>
      </c>
      <c r="C136" t="str">
        <f>IFERROR(__xludf.DUMMYFUNCTION("""COMPUTED_VALUE"""),"1daa0SyOv50AAAdPGI6HsPWh5ZYvQ4SIcLdCEVWzrPQc")</f>
        <v>1daa0SyOv50AAAdPGI6HsPWh5ZYvQ4SIcLdCEVWzrPQc</v>
      </c>
      <c r="D136" t="str">
        <f>IFERROR(__xludf.DUMMYFUNCTION("""COMPUTED_VALUE"""),"")</f>
        <v/>
      </c>
      <c r="E136" t="str">
        <f>IFERROR(__xludf.DUMMYFUNCTION("""COMPUTED_VALUE"""),"")</f>
        <v/>
      </c>
      <c r="F136" t="str">
        <f>IFERROR(__xludf.DUMMYFUNCTION("""COMPUTED_VALUE"""),"")</f>
        <v/>
      </c>
      <c r="G136" t="str">
        <f>IFERROR(__xludf.DUMMYFUNCTION("""COMPUTED_VALUE"""),"")</f>
        <v/>
      </c>
      <c r="H136" t="str">
        <f>IFERROR(__xludf.DUMMYFUNCTION("""COMPUTED_VALUE"""),"")</f>
        <v/>
      </c>
      <c r="I136" t="str">
        <f>IFERROR(__xludf.DUMMYFUNCTION("""COMPUTED_VALUE"""),"")</f>
        <v/>
      </c>
      <c r="J136" t="str">
        <f>IFERROR(__xludf.DUMMYFUNCTION("""COMPUTED_VALUE"""),"")</f>
        <v/>
      </c>
      <c r="K136" t="str">
        <f>IFERROR(__xludf.DUMMYFUNCTION("""COMPUTED_VALUE"""),"")</f>
        <v/>
      </c>
      <c r="L136" t="str">
        <f>IFERROR(__xludf.DUMMYFUNCTION("""COMPUTED_VALUE"""),"")</f>
        <v/>
      </c>
    </row>
    <row r="137" ht="15.75" customHeight="1">
      <c r="A137" t="str">
        <f>IFERROR(__xludf.DUMMYFUNCTION("""COMPUTED_VALUE"""),"Blotter")</f>
        <v>Blotter</v>
      </c>
      <c r="B137" t="str">
        <f>IFERROR(__xludf.DUMMYFUNCTION("""COMPUTED_VALUE"""),"SelectTradeSubOrderBlotter")</f>
        <v>SelectTradeSubOrderBlotter</v>
      </c>
      <c r="C137" t="str">
        <f>IFERROR(__xludf.DUMMYFUNCTION("""COMPUTED_VALUE"""),"1siJRAcBcVXgBpK4E1BntQGR7VQIVib_eeve0MvaoRqs")</f>
        <v>1siJRAcBcVXgBpK4E1BntQGR7VQIVib_eeve0MvaoRqs</v>
      </c>
      <c r="D137" t="str">
        <f>IFERROR(__xludf.DUMMYFUNCTION("""COMPUTED_VALUE"""),"")</f>
        <v/>
      </c>
      <c r="E137" t="str">
        <f>IFERROR(__xludf.DUMMYFUNCTION("""COMPUTED_VALUE"""),"")</f>
        <v/>
      </c>
      <c r="F137" t="str">
        <f>IFERROR(__xludf.DUMMYFUNCTION("""COMPUTED_VALUE"""),"")</f>
        <v/>
      </c>
      <c r="G137" t="str">
        <f>IFERROR(__xludf.DUMMYFUNCTION("""COMPUTED_VALUE"""),"")</f>
        <v/>
      </c>
      <c r="H137" t="str">
        <f>IFERROR(__xludf.DUMMYFUNCTION("""COMPUTED_VALUE"""),"")</f>
        <v/>
      </c>
      <c r="I137" t="str">
        <f>IFERROR(__xludf.DUMMYFUNCTION("""COMPUTED_VALUE"""),"")</f>
        <v/>
      </c>
      <c r="J137" t="str">
        <f>IFERROR(__xludf.DUMMYFUNCTION("""COMPUTED_VALUE"""),"")</f>
        <v/>
      </c>
      <c r="K137" t="str">
        <f>IFERROR(__xludf.DUMMYFUNCTION("""COMPUTED_VALUE"""),"")</f>
        <v/>
      </c>
      <c r="L137" t="str">
        <f>IFERROR(__xludf.DUMMYFUNCTION("""COMPUTED_VALUE"""),"")</f>
        <v/>
      </c>
    </row>
    <row r="138" ht="15.75" customHeight="1">
      <c r="A138" t="str">
        <f>IFERROR(__xludf.DUMMYFUNCTION("""COMPUTED_VALUE"""),"Blotter")</f>
        <v>Blotter</v>
      </c>
      <c r="B138" t="str">
        <f>IFERROR(__xludf.DUMMYFUNCTION("""COMPUTED_VALUE"""),"VerifyOrder")</f>
        <v>VerifyOrder</v>
      </c>
      <c r="C138" t="str">
        <f>IFERROR(__xludf.DUMMYFUNCTION("""COMPUTED_VALUE"""),"1mdVvccZ_TGkK59RrMH3Cylr7jydt-mutfHV_wv0d4V4")</f>
        <v>1mdVvccZ_TGkK59RrMH3Cylr7jydt-mutfHV_wv0d4V4</v>
      </c>
      <c r="D138" t="str">
        <f>IFERROR(__xludf.DUMMYFUNCTION("""COMPUTED_VALUE"""),"")</f>
        <v/>
      </c>
      <c r="E138" t="str">
        <f>IFERROR(__xludf.DUMMYFUNCTION("""COMPUTED_VALUE"""),"")</f>
        <v/>
      </c>
      <c r="F138" t="str">
        <f>IFERROR(__xludf.DUMMYFUNCTION("""COMPUTED_VALUE"""),"")</f>
        <v/>
      </c>
      <c r="G138" t="str">
        <f>IFERROR(__xludf.DUMMYFUNCTION("""COMPUTED_VALUE"""),"")</f>
        <v/>
      </c>
      <c r="H138" t="str">
        <f>IFERROR(__xludf.DUMMYFUNCTION("""COMPUTED_VALUE"""),"")</f>
        <v/>
      </c>
      <c r="I138" t="str">
        <f>IFERROR(__xludf.DUMMYFUNCTION("""COMPUTED_VALUE"""),"")</f>
        <v/>
      </c>
      <c r="J138" t="str">
        <f>IFERROR(__xludf.DUMMYFUNCTION("""COMPUTED_VALUE"""),"")</f>
        <v/>
      </c>
      <c r="K138" t="str">
        <f>IFERROR(__xludf.DUMMYFUNCTION("""COMPUTED_VALUE"""),"")</f>
        <v/>
      </c>
      <c r="L138" t="str">
        <f>IFERROR(__xludf.DUMMYFUNCTION("""COMPUTED_VALUE"""),"")</f>
        <v/>
      </c>
    </row>
    <row r="139" ht="15.75" customHeight="1">
      <c r="A139" t="str">
        <f>IFERROR(__xludf.DUMMYFUNCTION("""COMPUTED_VALUE"""),"Blotter")</f>
        <v>Blotter</v>
      </c>
      <c r="B139" t="str">
        <f>IFERROR(__xludf.DUMMYFUNCTION("""COMPUTED_VALUE"""),"VerifySubOrder")</f>
        <v>VerifySubOrder</v>
      </c>
      <c r="C139" t="str">
        <f>IFERROR(__xludf.DUMMYFUNCTION("""COMPUTED_VALUE"""),"1b4Exp8SZBnmCRcnj8jug_2EDRsh1qKZFqZZ-Kww6ZoU")</f>
        <v>1b4Exp8SZBnmCRcnj8jug_2EDRsh1qKZFqZZ-Kww6ZoU</v>
      </c>
      <c r="D139" t="str">
        <f>IFERROR(__xludf.DUMMYFUNCTION("""COMPUTED_VALUE"""),"")</f>
        <v/>
      </c>
      <c r="E139" t="str">
        <f>IFERROR(__xludf.DUMMYFUNCTION("""COMPUTED_VALUE"""),"")</f>
        <v/>
      </c>
      <c r="F139" t="str">
        <f>IFERROR(__xludf.DUMMYFUNCTION("""COMPUTED_VALUE"""),"")</f>
        <v/>
      </c>
      <c r="G139" t="str">
        <f>IFERROR(__xludf.DUMMYFUNCTION("""COMPUTED_VALUE"""),"")</f>
        <v/>
      </c>
      <c r="H139" t="str">
        <f>IFERROR(__xludf.DUMMYFUNCTION("""COMPUTED_VALUE"""),"")</f>
        <v/>
      </c>
      <c r="I139" t="str">
        <f>IFERROR(__xludf.DUMMYFUNCTION("""COMPUTED_VALUE"""),"")</f>
        <v/>
      </c>
      <c r="J139" t="str">
        <f>IFERROR(__xludf.DUMMYFUNCTION("""COMPUTED_VALUE"""),"")</f>
        <v/>
      </c>
      <c r="K139" t="str">
        <f>IFERROR(__xludf.DUMMYFUNCTION("""COMPUTED_VALUE"""),"")</f>
        <v/>
      </c>
      <c r="L139" t="str">
        <f>IFERROR(__xludf.DUMMYFUNCTION("""COMPUTED_VALUE"""),"")</f>
        <v/>
      </c>
    </row>
    <row r="140" ht="15.75" customHeight="1">
      <c r="A140" t="str">
        <f>IFERROR(__xludf.DUMMYFUNCTION("""COMPUTED_VALUE"""),"Blotter")</f>
        <v>Blotter</v>
      </c>
      <c r="B140" t="str">
        <f>IFERROR(__xludf.DUMMYFUNCTION("""COMPUTED_VALUE"""),"RemoveSelectedOrders")</f>
        <v>RemoveSelectedOrders</v>
      </c>
      <c r="C140" t="str">
        <f>IFERROR(__xludf.DUMMYFUNCTION("""COMPUTED_VALUE"""),"1su4_C2jiNjIuylQbjXmPiFUtxQLa_obyl9U5T-xhfiY")</f>
        <v>1su4_C2jiNjIuylQbjXmPiFUtxQLa_obyl9U5T-xhfiY</v>
      </c>
      <c r="D140" t="str">
        <f>IFERROR(__xludf.DUMMYFUNCTION("""COMPUTED_VALUE"""),"")</f>
        <v/>
      </c>
      <c r="E140" t="str">
        <f>IFERROR(__xludf.DUMMYFUNCTION("""COMPUTED_VALUE"""),"")</f>
        <v/>
      </c>
      <c r="F140" t="str">
        <f>IFERROR(__xludf.DUMMYFUNCTION("""COMPUTED_VALUE"""),"")</f>
        <v/>
      </c>
      <c r="G140" t="str">
        <f>IFERROR(__xludf.DUMMYFUNCTION("""COMPUTED_VALUE"""),"")</f>
        <v/>
      </c>
      <c r="H140" t="str">
        <f>IFERROR(__xludf.DUMMYFUNCTION("""COMPUTED_VALUE"""),"")</f>
        <v/>
      </c>
      <c r="I140" t="str">
        <f>IFERROR(__xludf.DUMMYFUNCTION("""COMPUTED_VALUE"""),"")</f>
        <v/>
      </c>
      <c r="J140" t="str">
        <f>IFERROR(__xludf.DUMMYFUNCTION("""COMPUTED_VALUE"""),"")</f>
        <v/>
      </c>
      <c r="K140" t="str">
        <f>IFERROR(__xludf.DUMMYFUNCTION("""COMPUTED_VALUE"""),"")</f>
        <v/>
      </c>
      <c r="L140" t="str">
        <f>IFERROR(__xludf.DUMMYFUNCTION("""COMPUTED_VALUE"""),"")</f>
        <v/>
      </c>
    </row>
    <row r="141" ht="15.75" customHeight="1">
      <c r="A141" t="str">
        <f>IFERROR(__xludf.DUMMYFUNCTION("""COMPUTED_VALUE"""),"Blotter")</f>
        <v>Blotter</v>
      </c>
      <c r="B141" t="str">
        <f>IFERROR(__xludf.DUMMYFUNCTION("""COMPUTED_VALUE"""),"CancelAllSelectedSubs")</f>
        <v>CancelAllSelectedSubs</v>
      </c>
      <c r="C141" t="str">
        <f>IFERROR(__xludf.DUMMYFUNCTION("""COMPUTED_VALUE"""),"1yqxUE-GcHgNzogkK8Uhq1_S16WkZxmiCHXGj_lFRoMs")</f>
        <v>1yqxUE-GcHgNzogkK8Uhq1_S16WkZxmiCHXGj_lFRoMs</v>
      </c>
      <c r="D141" t="str">
        <f>IFERROR(__xludf.DUMMYFUNCTION("""COMPUTED_VALUE"""),"")</f>
        <v/>
      </c>
      <c r="E141" t="str">
        <f>IFERROR(__xludf.DUMMYFUNCTION("""COMPUTED_VALUE"""),"")</f>
        <v/>
      </c>
      <c r="F141" t="str">
        <f>IFERROR(__xludf.DUMMYFUNCTION("""COMPUTED_VALUE"""),"")</f>
        <v/>
      </c>
      <c r="G141" t="str">
        <f>IFERROR(__xludf.DUMMYFUNCTION("""COMPUTED_VALUE"""),"")</f>
        <v/>
      </c>
      <c r="H141" t="str">
        <f>IFERROR(__xludf.DUMMYFUNCTION("""COMPUTED_VALUE"""),"")</f>
        <v/>
      </c>
      <c r="I141" t="str">
        <f>IFERROR(__xludf.DUMMYFUNCTION("""COMPUTED_VALUE"""),"")</f>
        <v/>
      </c>
      <c r="J141" t="str">
        <f>IFERROR(__xludf.DUMMYFUNCTION("""COMPUTED_VALUE"""),"")</f>
        <v/>
      </c>
      <c r="K141" t="str">
        <f>IFERROR(__xludf.DUMMYFUNCTION("""COMPUTED_VALUE"""),"")</f>
        <v/>
      </c>
      <c r="L141" t="str">
        <f>IFERROR(__xludf.DUMMYFUNCTION("""COMPUTED_VALUE"""),"")</f>
        <v/>
      </c>
    </row>
    <row r="142" ht="15.75" customHeight="1">
      <c r="A142" t="str">
        <f>IFERROR(__xludf.DUMMYFUNCTION("""COMPUTED_VALUE"""),"Blotter")</f>
        <v>Blotter</v>
      </c>
      <c r="B142" t="str">
        <f>IFERROR(__xludf.DUMMYFUNCTION("""COMPUTED_VALUE"""),"MultiTradingTicket")</f>
        <v>MultiTradingTicket</v>
      </c>
      <c r="C142" t="str">
        <f>IFERROR(__xludf.DUMMYFUNCTION("""COMPUTED_VALUE"""),"11AaapLB727DIqrzOYaH29ZrZ50I2xzlLgLt7DGwyF-E")</f>
        <v>11AaapLB727DIqrzOYaH29ZrZ50I2xzlLgLt7DGwyF-E</v>
      </c>
      <c r="D142" t="str">
        <f>IFERROR(__xludf.DUMMYFUNCTION("""COMPUTED_VALUE"""),"")</f>
        <v/>
      </c>
      <c r="E142" t="str">
        <f>IFERROR(__xludf.DUMMYFUNCTION("""COMPUTED_VALUE"""),"")</f>
        <v/>
      </c>
      <c r="F142" t="str">
        <f>IFERROR(__xludf.DUMMYFUNCTION("""COMPUTED_VALUE"""),"")</f>
        <v/>
      </c>
      <c r="G142" t="str">
        <f>IFERROR(__xludf.DUMMYFUNCTION("""COMPUTED_VALUE"""),"")</f>
        <v/>
      </c>
      <c r="H142" t="str">
        <f>IFERROR(__xludf.DUMMYFUNCTION("""COMPUTED_VALUE"""),"")</f>
        <v/>
      </c>
      <c r="I142" t="str">
        <f>IFERROR(__xludf.DUMMYFUNCTION("""COMPUTED_VALUE"""),"")</f>
        <v/>
      </c>
      <c r="J142" t="str">
        <f>IFERROR(__xludf.DUMMYFUNCTION("""COMPUTED_VALUE"""),"")</f>
        <v/>
      </c>
      <c r="K142" t="str">
        <f>IFERROR(__xludf.DUMMYFUNCTION("""COMPUTED_VALUE"""),"")</f>
        <v/>
      </c>
      <c r="L142" t="str">
        <f>IFERROR(__xludf.DUMMYFUNCTION("""COMPUTED_VALUE"""),"")</f>
        <v/>
      </c>
    </row>
    <row r="143" ht="15.75" customHeight="1">
      <c r="A143" t="str">
        <f>IFERROR(__xludf.DUMMYFUNCTION("""COMPUTED_VALUE"""),"Blotter")</f>
        <v>Blotter</v>
      </c>
      <c r="B143" t="str">
        <f>IFERROR(__xludf.DUMMYFUNCTION("""COMPUTED_VALUE"""),"AuditTrailOrderBlotter")</f>
        <v>AuditTrailOrderBlotter</v>
      </c>
      <c r="C143" t="str">
        <f>IFERROR(__xludf.DUMMYFUNCTION("""COMPUTED_VALUE"""),"12bKbqZT4x0Zjg9oaFZq47_AyumIAto7nkCK1BpvRO0A")</f>
        <v>12bKbqZT4x0Zjg9oaFZq47_AyumIAto7nkCK1BpvRO0A</v>
      </c>
      <c r="D143" t="str">
        <f>IFERROR(__xludf.DUMMYFUNCTION("""COMPUTED_VALUE"""),"")</f>
        <v/>
      </c>
      <c r="E143" t="str">
        <f>IFERROR(__xludf.DUMMYFUNCTION("""COMPUTED_VALUE"""),"")</f>
        <v/>
      </c>
      <c r="F143" t="str">
        <f>IFERROR(__xludf.DUMMYFUNCTION("""COMPUTED_VALUE"""),"")</f>
        <v/>
      </c>
      <c r="G143" t="str">
        <f>IFERROR(__xludf.DUMMYFUNCTION("""COMPUTED_VALUE"""),"")</f>
        <v/>
      </c>
      <c r="H143" t="str">
        <f>IFERROR(__xludf.DUMMYFUNCTION("""COMPUTED_VALUE"""),"")</f>
        <v/>
      </c>
      <c r="I143" t="str">
        <f>IFERROR(__xludf.DUMMYFUNCTION("""COMPUTED_VALUE"""),"")</f>
        <v/>
      </c>
      <c r="J143" t="str">
        <f>IFERROR(__xludf.DUMMYFUNCTION("""COMPUTED_VALUE"""),"")</f>
        <v/>
      </c>
      <c r="K143" t="str">
        <f>IFERROR(__xludf.DUMMYFUNCTION("""COMPUTED_VALUE"""),"")</f>
        <v/>
      </c>
      <c r="L143" t="str">
        <f>IFERROR(__xludf.DUMMYFUNCTION("""COMPUTED_VALUE"""),"")</f>
        <v/>
      </c>
    </row>
    <row r="144" ht="15.75" customHeight="1">
      <c r="A144" t="str">
        <f>IFERROR(__xludf.DUMMYFUNCTION("""COMPUTED_VALUE"""),"Blotter")</f>
        <v>Blotter</v>
      </c>
      <c r="B144" t="str">
        <f>IFERROR(__xludf.DUMMYFUNCTION("""COMPUTED_VALUE"""),"TradeNewSubOrder")</f>
        <v>TradeNewSubOrder</v>
      </c>
      <c r="C144" t="str">
        <f>IFERROR(__xludf.DUMMYFUNCTION("""COMPUTED_VALUE"""),"1Kt5xAewSpVD6SPB-RgFrUBRQ1H7yWyRBFxZL3Ohrj6M")</f>
        <v>1Kt5xAewSpVD6SPB-RgFrUBRQ1H7yWyRBFxZL3Ohrj6M</v>
      </c>
      <c r="D144" t="str">
        <f>IFERROR(__xludf.DUMMYFUNCTION("""COMPUTED_VALUE"""),"")</f>
        <v/>
      </c>
      <c r="E144" t="str">
        <f>IFERROR(__xludf.DUMMYFUNCTION("""COMPUTED_VALUE"""),"")</f>
        <v/>
      </c>
      <c r="F144" t="str">
        <f>IFERROR(__xludf.DUMMYFUNCTION("""COMPUTED_VALUE"""),"")</f>
        <v/>
      </c>
      <c r="G144" t="str">
        <f>IFERROR(__xludf.DUMMYFUNCTION("""COMPUTED_VALUE"""),"")</f>
        <v/>
      </c>
      <c r="H144" t="str">
        <f>IFERROR(__xludf.DUMMYFUNCTION("""COMPUTED_VALUE"""),"")</f>
        <v/>
      </c>
      <c r="I144" t="str">
        <f>IFERROR(__xludf.DUMMYFUNCTION("""COMPUTED_VALUE"""),"")</f>
        <v/>
      </c>
      <c r="J144" t="str">
        <f>IFERROR(__xludf.DUMMYFUNCTION("""COMPUTED_VALUE"""),"")</f>
        <v/>
      </c>
      <c r="K144" t="str">
        <f>IFERROR(__xludf.DUMMYFUNCTION("""COMPUTED_VALUE"""),"")</f>
        <v/>
      </c>
      <c r="L144" t="str">
        <f>IFERROR(__xludf.DUMMYFUNCTION("""COMPUTED_VALUE"""),"")</f>
        <v/>
      </c>
    </row>
    <row r="145" ht="15.75" customHeight="1">
      <c r="A145" t="str">
        <f>IFERROR(__xludf.DUMMYFUNCTION("""COMPUTED_VALUE"""),"Blotter")</f>
        <v>Blotter</v>
      </c>
      <c r="B145" t="str">
        <f>IFERROR(__xludf.DUMMYFUNCTION("""COMPUTED_VALUE"""),"RemoveStageOrder")</f>
        <v>RemoveStageOrder</v>
      </c>
      <c r="C145" t="str">
        <f>IFERROR(__xludf.DUMMYFUNCTION("""COMPUTED_VALUE"""),"1Fluz_DWk_nKXjQBIVwWoOReF4d54NLihSDlBEeir8y8")</f>
        <v>1Fluz_DWk_nKXjQBIVwWoOReF4d54NLihSDlBEeir8y8</v>
      </c>
      <c r="D145" t="str">
        <f>IFERROR(__xludf.DUMMYFUNCTION("""COMPUTED_VALUE"""),"")</f>
        <v/>
      </c>
      <c r="E145" t="str">
        <f>IFERROR(__xludf.DUMMYFUNCTION("""COMPUTED_VALUE"""),"")</f>
        <v/>
      </c>
      <c r="F145" t="str">
        <f>IFERROR(__xludf.DUMMYFUNCTION("""COMPUTED_VALUE"""),"")</f>
        <v/>
      </c>
      <c r="G145" t="str">
        <f>IFERROR(__xludf.DUMMYFUNCTION("""COMPUTED_VALUE"""),"")</f>
        <v/>
      </c>
      <c r="H145" t="str">
        <f>IFERROR(__xludf.DUMMYFUNCTION("""COMPUTED_VALUE"""),"")</f>
        <v/>
      </c>
      <c r="I145" t="str">
        <f>IFERROR(__xludf.DUMMYFUNCTION("""COMPUTED_VALUE"""),"")</f>
        <v/>
      </c>
      <c r="J145" t="str">
        <f>IFERROR(__xludf.DUMMYFUNCTION("""COMPUTED_VALUE"""),"")</f>
        <v/>
      </c>
      <c r="K145" t="str">
        <f>IFERROR(__xludf.DUMMYFUNCTION("""COMPUTED_VALUE"""),"")</f>
        <v/>
      </c>
      <c r="L145" t="str">
        <f>IFERROR(__xludf.DUMMYFUNCTION("""COMPUTED_VALUE"""),"")</f>
        <v/>
      </c>
    </row>
    <row r="146" ht="15.75" customHeight="1">
      <c r="A146" t="str">
        <f>IFERROR(__xludf.DUMMYFUNCTION("""COMPUTED_VALUE"""),"TradingTicket")</f>
        <v>TradingTicket</v>
      </c>
      <c r="B146" t="str">
        <f>IFERROR(__xludf.DUMMYFUNCTION("""COMPUTED_VALUE"""),"SetGeneralPreference")</f>
        <v>SetGeneralPreference</v>
      </c>
      <c r="C146" t="str">
        <f>IFERROR(__xludf.DUMMYFUNCTION("""COMPUTED_VALUE"""),"1gReRtAWcOTHjowBeRYx4USBTkci2cVwEhCptDhFftUQ")</f>
        <v>1gReRtAWcOTHjowBeRYx4USBTkci2cVwEhCptDhFftUQ</v>
      </c>
      <c r="D146" t="str">
        <f>IFERROR(__xludf.DUMMYFUNCTION("""COMPUTED_VALUE"""),"")</f>
        <v/>
      </c>
      <c r="E146" t="str">
        <f>IFERROR(__xludf.DUMMYFUNCTION("""COMPUTED_VALUE"""),"")</f>
        <v/>
      </c>
      <c r="F146" t="str">
        <f>IFERROR(__xludf.DUMMYFUNCTION("""COMPUTED_VALUE"""),"")</f>
        <v/>
      </c>
      <c r="G146" t="str">
        <f>IFERROR(__xludf.DUMMYFUNCTION("""COMPUTED_VALUE"""),"")</f>
        <v/>
      </c>
      <c r="H146" t="str">
        <f>IFERROR(__xludf.DUMMYFUNCTION("""COMPUTED_VALUE"""),"")</f>
        <v/>
      </c>
      <c r="I146" t="str">
        <f>IFERROR(__xludf.DUMMYFUNCTION("""COMPUTED_VALUE"""),"")</f>
        <v/>
      </c>
      <c r="J146" t="str">
        <f>IFERROR(__xludf.DUMMYFUNCTION("""COMPUTED_VALUE"""),"")</f>
        <v/>
      </c>
      <c r="K146" t="str">
        <f>IFERROR(__xludf.DUMMYFUNCTION("""COMPUTED_VALUE"""),"")</f>
        <v/>
      </c>
      <c r="L146" t="str">
        <f>IFERROR(__xludf.DUMMYFUNCTION("""COMPUTED_VALUE"""),"")</f>
        <v/>
      </c>
    </row>
    <row r="147" ht="15.75" customHeight="1">
      <c r="A147" t="str">
        <f>IFERROR(__xludf.DUMMYFUNCTION("""COMPUTED_VALUE"""),"TradingTicket")</f>
        <v>TradingTicket</v>
      </c>
      <c r="B147" t="str">
        <f>IFERROR(__xludf.DUMMYFUNCTION("""COMPUTED_VALUE"""),"CreateDoneAwayOrder")</f>
        <v>CreateDoneAwayOrder</v>
      </c>
      <c r="C147" t="str">
        <f>IFERROR(__xludf.DUMMYFUNCTION("""COMPUTED_VALUE"""),"1uA0GOXh4wiGEFn1HBTpQeqSmerQ8wIisPCpc8Ty-HDI")</f>
        <v>1uA0GOXh4wiGEFn1HBTpQeqSmerQ8wIisPCpc8Ty-HDI</v>
      </c>
      <c r="D147" t="str">
        <f>IFERROR(__xludf.DUMMYFUNCTION("""COMPUTED_VALUE"""),"")</f>
        <v/>
      </c>
      <c r="E147" t="str">
        <f>IFERROR(__xludf.DUMMYFUNCTION("""COMPUTED_VALUE"""),"")</f>
        <v/>
      </c>
      <c r="F147" t="str">
        <f>IFERROR(__xludf.DUMMYFUNCTION("""COMPUTED_VALUE"""),"")</f>
        <v/>
      </c>
      <c r="G147" t="str">
        <f>IFERROR(__xludf.DUMMYFUNCTION("""COMPUTED_VALUE"""),"")</f>
        <v/>
      </c>
      <c r="H147" t="str">
        <f>IFERROR(__xludf.DUMMYFUNCTION("""COMPUTED_VALUE"""),"")</f>
        <v/>
      </c>
      <c r="I147" t="str">
        <f>IFERROR(__xludf.DUMMYFUNCTION("""COMPUTED_VALUE"""),"")</f>
        <v/>
      </c>
      <c r="J147" t="str">
        <f>IFERROR(__xludf.DUMMYFUNCTION("""COMPUTED_VALUE"""),"")</f>
        <v/>
      </c>
      <c r="K147" t="str">
        <f>IFERROR(__xludf.DUMMYFUNCTION("""COMPUTED_VALUE"""),"")</f>
        <v/>
      </c>
      <c r="L147" t="str">
        <f>IFERROR(__xludf.DUMMYFUNCTION("""COMPUTED_VALUE"""),"")</f>
        <v/>
      </c>
    </row>
    <row r="148" ht="15.75" customHeight="1">
      <c r="A148" t="str">
        <f>IFERROR(__xludf.DUMMYFUNCTION("""COMPUTED_VALUE"""),"Allocation")</f>
        <v>Allocation</v>
      </c>
      <c r="B148" t="str">
        <f>IFERROR(__xludf.DUMMYFUNCTION("""COMPUTED_VALUE"""),"ExportCalculatedPreference")</f>
        <v>ExportCalculatedPreference</v>
      </c>
      <c r="C148" t="str">
        <f>IFERROR(__xludf.DUMMYFUNCTION("""COMPUTED_VALUE"""),"1MQEZ1xJtb0wAcffKS4AHWZ6J2wU2x64PFmJubSuC1hU")</f>
        <v>1MQEZ1xJtb0wAcffKS4AHWZ6J2wU2x64PFmJubSuC1hU</v>
      </c>
      <c r="D148" t="str">
        <f>IFERROR(__xludf.DUMMYFUNCTION("""COMPUTED_VALUE"""),"")</f>
        <v/>
      </c>
      <c r="E148" t="str">
        <f>IFERROR(__xludf.DUMMYFUNCTION("""COMPUTED_VALUE"""),"")</f>
        <v/>
      </c>
      <c r="F148" t="str">
        <f>IFERROR(__xludf.DUMMYFUNCTION("""COMPUTED_VALUE"""),"")</f>
        <v/>
      </c>
      <c r="G148" t="str">
        <f>IFERROR(__xludf.DUMMYFUNCTION("""COMPUTED_VALUE"""),"")</f>
        <v/>
      </c>
      <c r="H148" t="str">
        <f>IFERROR(__xludf.DUMMYFUNCTION("""COMPUTED_VALUE"""),"")</f>
        <v/>
      </c>
      <c r="I148" t="str">
        <f>IFERROR(__xludf.DUMMYFUNCTION("""COMPUTED_VALUE"""),"")</f>
        <v/>
      </c>
      <c r="J148" t="str">
        <f>IFERROR(__xludf.DUMMYFUNCTION("""COMPUTED_VALUE"""),"")</f>
        <v/>
      </c>
      <c r="K148" t="str">
        <f>IFERROR(__xludf.DUMMYFUNCTION("""COMPUTED_VALUE"""),"")</f>
        <v/>
      </c>
      <c r="L148" t="str">
        <f>IFERROR(__xludf.DUMMYFUNCTION("""COMPUTED_VALUE"""),"")</f>
        <v/>
      </c>
    </row>
    <row r="149" ht="15.75" customHeight="1">
      <c r="A149" t="str">
        <f>IFERROR(__xludf.DUMMYFUNCTION("""COMPUTED_VALUE"""),"GeneralLedger")</f>
        <v>GeneralLedger</v>
      </c>
      <c r="B149" t="str">
        <f>IFERROR(__xludf.DUMMYFUNCTION("""COMPUTED_VALUE"""),"SelectOpeningBalanceTranItem")</f>
        <v>SelectOpeningBalanceTranItem</v>
      </c>
      <c r="C149" t="str">
        <f>IFERROR(__xludf.DUMMYFUNCTION("""COMPUTED_VALUE"""),"1HZK84R5oOOKqObvq4IWVEjFPVr_lAIiOQu5XaQ46GfQ")</f>
        <v>1HZK84R5oOOKqObvq4IWVEjFPVr_lAIiOQu5XaQ46GfQ</v>
      </c>
      <c r="D149" t="str">
        <f>IFERROR(__xludf.DUMMYFUNCTION("""COMPUTED_VALUE"""),"")</f>
        <v/>
      </c>
      <c r="E149" t="str">
        <f>IFERROR(__xludf.DUMMYFUNCTION("""COMPUTED_VALUE"""),"")</f>
        <v/>
      </c>
      <c r="F149" t="str">
        <f>IFERROR(__xludf.DUMMYFUNCTION("""COMPUTED_VALUE"""),"")</f>
        <v/>
      </c>
      <c r="G149" t="str">
        <f>IFERROR(__xludf.DUMMYFUNCTION("""COMPUTED_VALUE"""),"")</f>
        <v/>
      </c>
      <c r="H149" t="str">
        <f>IFERROR(__xludf.DUMMYFUNCTION("""COMPUTED_VALUE"""),"")</f>
        <v/>
      </c>
      <c r="I149" t="str">
        <f>IFERROR(__xludf.DUMMYFUNCTION("""COMPUTED_VALUE"""),"")</f>
        <v/>
      </c>
      <c r="J149" t="str">
        <f>IFERROR(__xludf.DUMMYFUNCTION("""COMPUTED_VALUE"""),"")</f>
        <v/>
      </c>
      <c r="K149" t="str">
        <f>IFERROR(__xludf.DUMMYFUNCTION("""COMPUTED_VALUE"""),"")</f>
        <v/>
      </c>
      <c r="L149" t="str">
        <f>IFERROR(__xludf.DUMMYFUNCTION("""COMPUTED_VALUE"""),"")</f>
        <v/>
      </c>
    </row>
    <row r="150" ht="15.75" customHeight="1">
      <c r="A150" t="str">
        <f>IFERROR(__xludf.DUMMYFUNCTION("""COMPUTED_VALUE"""),"PricingInput")</f>
        <v>PricingInput</v>
      </c>
      <c r="B150" t="str">
        <f>IFERROR(__xludf.DUMMYFUNCTION("""COMPUTED_VALUE"""),"EODTPreferences")</f>
        <v>EODTPreferences</v>
      </c>
      <c r="C150" t="str">
        <f>IFERROR(__xludf.DUMMYFUNCTION("""COMPUTED_VALUE"""),"1Yuzf3ad1vdeo7Vyxz1jY_tuk18-fmEfJxX0Cl8wtq5o")</f>
        <v>1Yuzf3ad1vdeo7Vyxz1jY_tuk18-fmEfJxX0Cl8wtq5o</v>
      </c>
      <c r="D150" t="str">
        <f>IFERROR(__xludf.DUMMYFUNCTION("""COMPUTED_VALUE"""),"")</f>
        <v/>
      </c>
      <c r="E150" t="str">
        <f>IFERROR(__xludf.DUMMYFUNCTION("""COMPUTED_VALUE"""),"")</f>
        <v/>
      </c>
      <c r="F150" t="str">
        <f>IFERROR(__xludf.DUMMYFUNCTION("""COMPUTED_VALUE"""),"")</f>
        <v/>
      </c>
      <c r="G150" t="str">
        <f>IFERROR(__xludf.DUMMYFUNCTION("""COMPUTED_VALUE"""),"")</f>
        <v/>
      </c>
      <c r="H150" t="str">
        <f>IFERROR(__xludf.DUMMYFUNCTION("""COMPUTED_VALUE"""),"")</f>
        <v/>
      </c>
      <c r="I150" t="str">
        <f>IFERROR(__xludf.DUMMYFUNCTION("""COMPUTED_VALUE"""),"")</f>
        <v/>
      </c>
      <c r="J150" t="str">
        <f>IFERROR(__xludf.DUMMYFUNCTION("""COMPUTED_VALUE"""),"")</f>
        <v/>
      </c>
      <c r="K150" t="str">
        <f>IFERROR(__xludf.DUMMYFUNCTION("""COMPUTED_VALUE"""),"")</f>
        <v/>
      </c>
      <c r="L150" t="str">
        <f>IFERROR(__xludf.DUMMYFUNCTION("""COMPUTED_VALUE"""),"")</f>
        <v/>
      </c>
    </row>
    <row r="151" ht="15.75" customHeight="1">
      <c r="A151" t="str">
        <f>IFERROR(__xludf.DUMMYFUNCTION("""COMPUTED_VALUE"""),"PricingInput")</f>
        <v>PricingInput</v>
      </c>
      <c r="B151" t="str">
        <f>IFERROR(__xludf.DUMMYFUNCTION("""COMPUTED_VALUE"""),"LiveData")</f>
        <v>LiveData</v>
      </c>
      <c r="C151" t="str">
        <f>IFERROR(__xludf.DUMMYFUNCTION("""COMPUTED_VALUE"""),"1Av2XxI5bNhCFlkv2kfzo6ujcIvVox_ZypslZ1RfvU1Y")</f>
        <v>1Av2XxI5bNhCFlkv2kfzo6ujcIvVox_ZypslZ1RfvU1Y</v>
      </c>
      <c r="D151" t="str">
        <f>IFERROR(__xludf.DUMMYFUNCTION("""COMPUTED_VALUE"""),"")</f>
        <v/>
      </c>
      <c r="E151" t="str">
        <f>IFERROR(__xludf.DUMMYFUNCTION("""COMPUTED_VALUE"""),"")</f>
        <v/>
      </c>
      <c r="F151" t="str">
        <f>IFERROR(__xludf.DUMMYFUNCTION("""COMPUTED_VALUE"""),"")</f>
        <v/>
      </c>
      <c r="G151" t="str">
        <f>IFERROR(__xludf.DUMMYFUNCTION("""COMPUTED_VALUE"""),"")</f>
        <v/>
      </c>
      <c r="H151" t="str">
        <f>IFERROR(__xludf.DUMMYFUNCTION("""COMPUTED_VALUE"""),"")</f>
        <v/>
      </c>
      <c r="I151" t="str">
        <f>IFERROR(__xludf.DUMMYFUNCTION("""COMPUTED_VALUE"""),"")</f>
        <v/>
      </c>
      <c r="J151" t="str">
        <f>IFERROR(__xludf.DUMMYFUNCTION("""COMPUTED_VALUE"""),"")</f>
        <v/>
      </c>
      <c r="K151" t="str">
        <f>IFERROR(__xludf.DUMMYFUNCTION("""COMPUTED_VALUE"""),"")</f>
        <v/>
      </c>
      <c r="L151" t="str">
        <f>IFERROR(__xludf.DUMMYFUNCTION("""COMPUTED_VALUE"""),"")</f>
        <v/>
      </c>
    </row>
    <row r="152" ht="15.75" customHeight="1">
      <c r="A152" t="str">
        <f>IFERROR(__xludf.DUMMYFUNCTION("""COMPUTED_VALUE"""),"GeneralLedger")</f>
        <v>GeneralLedger</v>
      </c>
      <c r="B152" t="str">
        <f>IFERROR(__xludf.DUMMYFUNCTION("""COMPUTED_VALUE"""),"EditNonTradingTransaction")</f>
        <v>EditNonTradingTransaction</v>
      </c>
      <c r="C152" t="str">
        <f>IFERROR(__xludf.DUMMYFUNCTION("""COMPUTED_VALUE"""),"1CTOcFQrIfmr9l7YbxfJ04bIDqO3dJEewsOBhR4HI24I")</f>
        <v>1CTOcFQrIfmr9l7YbxfJ04bIDqO3dJEewsOBhR4HI24I</v>
      </c>
      <c r="D152" t="str">
        <f>IFERROR(__xludf.DUMMYFUNCTION("""COMPUTED_VALUE"""),"")</f>
        <v/>
      </c>
      <c r="E152" t="str">
        <f>IFERROR(__xludf.DUMMYFUNCTION("""COMPUTED_VALUE"""),"")</f>
        <v/>
      </c>
      <c r="F152" t="str">
        <f>IFERROR(__xludf.DUMMYFUNCTION("""COMPUTED_VALUE"""),"")</f>
        <v/>
      </c>
      <c r="G152" t="str">
        <f>IFERROR(__xludf.DUMMYFUNCTION("""COMPUTED_VALUE"""),"")</f>
        <v/>
      </c>
      <c r="H152" t="str">
        <f>IFERROR(__xludf.DUMMYFUNCTION("""COMPUTED_VALUE"""),"")</f>
        <v/>
      </c>
      <c r="I152" t="str">
        <f>IFERROR(__xludf.DUMMYFUNCTION("""COMPUTED_VALUE"""),"")</f>
        <v/>
      </c>
      <c r="J152" t="str">
        <f>IFERROR(__xludf.DUMMYFUNCTION("""COMPUTED_VALUE"""),"")</f>
        <v/>
      </c>
      <c r="K152" t="str">
        <f>IFERROR(__xludf.DUMMYFUNCTION("""COMPUTED_VALUE"""),"")</f>
        <v/>
      </c>
      <c r="L152" t="str">
        <f>IFERROR(__xludf.DUMMYFUNCTION("""COMPUTED_VALUE"""),"")</f>
        <v/>
      </c>
    </row>
    <row r="153" ht="15.75" customHeight="1">
      <c r="A153" t="str">
        <f>IFERROR(__xludf.DUMMYFUNCTION("""COMPUTED_VALUE"""),"GeneralLedger")</f>
        <v>GeneralLedger</v>
      </c>
      <c r="B153" t="str">
        <f>IFERROR(__xludf.DUMMYFUNCTION("""COMPUTED_VALUE"""),"EditNonTradingTranItem")</f>
        <v>EditNonTradingTranItem</v>
      </c>
      <c r="C153" t="str">
        <f>IFERROR(__xludf.DUMMYFUNCTION("""COMPUTED_VALUE"""),"1iejPBQBT4ogIeeSTEsofxnnTPt0mnB-izN_DPqUhDu0")</f>
        <v>1iejPBQBT4ogIeeSTEsofxnnTPt0mnB-izN_DPqUhDu0</v>
      </c>
      <c r="D153" t="str">
        <f>IFERROR(__xludf.DUMMYFUNCTION("""COMPUTED_VALUE"""),"")</f>
        <v/>
      </c>
      <c r="E153" t="str">
        <f>IFERROR(__xludf.DUMMYFUNCTION("""COMPUTED_VALUE"""),"")</f>
        <v/>
      </c>
      <c r="F153" t="str">
        <f>IFERROR(__xludf.DUMMYFUNCTION("""COMPUTED_VALUE"""),"")</f>
        <v/>
      </c>
      <c r="G153" t="str">
        <f>IFERROR(__xludf.DUMMYFUNCTION("""COMPUTED_VALUE"""),"")</f>
        <v/>
      </c>
      <c r="H153" t="str">
        <f>IFERROR(__xludf.DUMMYFUNCTION("""COMPUTED_VALUE"""),"")</f>
        <v/>
      </c>
      <c r="I153" t="str">
        <f>IFERROR(__xludf.DUMMYFUNCTION("""COMPUTED_VALUE"""),"")</f>
        <v/>
      </c>
      <c r="J153" t="str">
        <f>IFERROR(__xludf.DUMMYFUNCTION("""COMPUTED_VALUE"""),"")</f>
        <v/>
      </c>
      <c r="K153" t="str">
        <f>IFERROR(__xludf.DUMMYFUNCTION("""COMPUTED_VALUE"""),"")</f>
        <v/>
      </c>
      <c r="L153" t="str">
        <f>IFERROR(__xludf.DUMMYFUNCTION("""COMPUTED_VALUE"""),"")</f>
        <v/>
      </c>
    </row>
    <row r="154" ht="15.75" customHeight="1">
      <c r="A154" t="str">
        <f>IFERROR(__xludf.DUMMYFUNCTION("""COMPUTED_VALUE"""),"GeneralLedger")</f>
        <v>GeneralLedger</v>
      </c>
      <c r="B154" t="str">
        <f>IFERROR(__xludf.DUMMYFUNCTION("""COMPUTED_VALUE"""),"DeleteOpeningBalanceTransaction")</f>
        <v>DeleteOpeningBalanceTransaction</v>
      </c>
      <c r="C154" t="str">
        <f>IFERROR(__xludf.DUMMYFUNCTION("""COMPUTED_VALUE"""),"1_wXfIf5DqAoY91Jb9aEQtyw84UyQs70uAByhfJLqFRY")</f>
        <v>1_wXfIf5DqAoY91Jb9aEQtyw84UyQs70uAByhfJLqFRY</v>
      </c>
      <c r="D154" t="str">
        <f>IFERROR(__xludf.DUMMYFUNCTION("""COMPUTED_VALUE"""),"")</f>
        <v/>
      </c>
      <c r="E154" t="str">
        <f>IFERROR(__xludf.DUMMYFUNCTION("""COMPUTED_VALUE"""),"")</f>
        <v/>
      </c>
      <c r="F154" t="str">
        <f>IFERROR(__xludf.DUMMYFUNCTION("""COMPUTED_VALUE"""),"")</f>
        <v/>
      </c>
      <c r="G154" t="str">
        <f>IFERROR(__xludf.DUMMYFUNCTION("""COMPUTED_VALUE"""),"")</f>
        <v/>
      </c>
      <c r="H154" t="str">
        <f>IFERROR(__xludf.DUMMYFUNCTION("""COMPUTED_VALUE"""),"")</f>
        <v/>
      </c>
      <c r="I154" t="str">
        <f>IFERROR(__xludf.DUMMYFUNCTION("""COMPUTED_VALUE"""),"")</f>
        <v/>
      </c>
      <c r="J154" t="str">
        <f>IFERROR(__xludf.DUMMYFUNCTION("""COMPUTED_VALUE"""),"")</f>
        <v/>
      </c>
      <c r="K154" t="str">
        <f>IFERROR(__xludf.DUMMYFUNCTION("""COMPUTED_VALUE"""),"")</f>
        <v/>
      </c>
      <c r="L154" t="str">
        <f>IFERROR(__xludf.DUMMYFUNCTION("""COMPUTED_VALUE"""),"")</f>
        <v/>
      </c>
    </row>
    <row r="155" ht="15.75" customHeight="1">
      <c r="A155" t="str">
        <f>IFERROR(__xludf.DUMMYFUNCTION("""COMPUTED_VALUE"""),"GeneralLedger")</f>
        <v>GeneralLedger</v>
      </c>
      <c r="B155" t="str">
        <f>IFERROR(__xludf.DUMMYFUNCTION("""COMPUTED_VALUE"""),"DeleteOpeningBalanceTranItem")</f>
        <v>DeleteOpeningBalanceTranItem</v>
      </c>
      <c r="C155" t="str">
        <f>IFERROR(__xludf.DUMMYFUNCTION("""COMPUTED_VALUE"""),"1EpsNt91ChcN8HQWEW-lErl4uX4OltaGCgs2tKp-kj4A")</f>
        <v>1EpsNt91ChcN8HQWEW-lErl4uX4OltaGCgs2tKp-kj4A</v>
      </c>
      <c r="D155" t="str">
        <f>IFERROR(__xludf.DUMMYFUNCTION("""COMPUTED_VALUE"""),"")</f>
        <v/>
      </c>
      <c r="E155" t="str">
        <f>IFERROR(__xludf.DUMMYFUNCTION("""COMPUTED_VALUE"""),"")</f>
        <v/>
      </c>
      <c r="F155" t="str">
        <f>IFERROR(__xludf.DUMMYFUNCTION("""COMPUTED_VALUE"""),"")</f>
        <v/>
      </c>
      <c r="G155" t="str">
        <f>IFERROR(__xludf.DUMMYFUNCTION("""COMPUTED_VALUE"""),"")</f>
        <v/>
      </c>
      <c r="H155" t="str">
        <f>IFERROR(__xludf.DUMMYFUNCTION("""COMPUTED_VALUE"""),"")</f>
        <v/>
      </c>
      <c r="I155" t="str">
        <f>IFERROR(__xludf.DUMMYFUNCTION("""COMPUTED_VALUE"""),"")</f>
        <v/>
      </c>
      <c r="J155" t="str">
        <f>IFERROR(__xludf.DUMMYFUNCTION("""COMPUTED_VALUE"""),"")</f>
        <v/>
      </c>
      <c r="K155" t="str">
        <f>IFERROR(__xludf.DUMMYFUNCTION("""COMPUTED_VALUE"""),"")</f>
        <v/>
      </c>
      <c r="L155" t="str">
        <f>IFERROR(__xludf.DUMMYFUNCTION("""COMPUTED_VALUE"""),"")</f>
        <v/>
      </c>
    </row>
    <row r="156" ht="15.75" customHeight="1">
      <c r="A156" t="str">
        <f>IFERROR(__xludf.DUMMYFUNCTION("""COMPUTED_VALUE"""),"Allocation")</f>
        <v>Allocation</v>
      </c>
      <c r="B156" t="str">
        <f>IFERROR(__xludf.DUMMYFUNCTION("""COMPUTED_VALUE"""),"ImportCalculatedPreferences")</f>
        <v>ImportCalculatedPreferences</v>
      </c>
      <c r="C156" t="str">
        <f>IFERROR(__xludf.DUMMYFUNCTION("""COMPUTED_VALUE"""),"18vhnd5xj3NAYjC-yFO1oyOPDOLkT2MS9D6zP1VcOkuU")</f>
        <v>18vhnd5xj3NAYjC-yFO1oyOPDOLkT2MS9D6zP1VcOkuU</v>
      </c>
      <c r="D156" t="str">
        <f>IFERROR(__xludf.DUMMYFUNCTION("""COMPUTED_VALUE"""),"")</f>
        <v/>
      </c>
      <c r="E156" t="str">
        <f>IFERROR(__xludf.DUMMYFUNCTION("""COMPUTED_VALUE"""),"")</f>
        <v/>
      </c>
      <c r="F156" t="str">
        <f>IFERROR(__xludf.DUMMYFUNCTION("""COMPUTED_VALUE"""),"")</f>
        <v/>
      </c>
      <c r="G156" t="str">
        <f>IFERROR(__xludf.DUMMYFUNCTION("""COMPUTED_VALUE"""),"")</f>
        <v/>
      </c>
      <c r="H156" t="str">
        <f>IFERROR(__xludf.DUMMYFUNCTION("""COMPUTED_VALUE"""),"")</f>
        <v/>
      </c>
      <c r="I156" t="str">
        <f>IFERROR(__xludf.DUMMYFUNCTION("""COMPUTED_VALUE"""),"")</f>
        <v/>
      </c>
      <c r="J156" t="str">
        <f>IFERROR(__xludf.DUMMYFUNCTION("""COMPUTED_VALUE"""),"")</f>
        <v/>
      </c>
      <c r="K156" t="str">
        <f>IFERROR(__xludf.DUMMYFUNCTION("""COMPUTED_VALUE"""),"")</f>
        <v/>
      </c>
      <c r="L156" t="str">
        <f>IFERROR(__xludf.DUMMYFUNCTION("""COMPUTED_VALUE"""),"")</f>
        <v/>
      </c>
    </row>
    <row r="157" ht="15.75" customHeight="1">
      <c r="A157" t="str">
        <f>IFERROR(__xludf.DUMMYFUNCTION("""COMPUTED_VALUE"""),"GeneralLedger")</f>
        <v>GeneralLedger</v>
      </c>
      <c r="B157" t="str">
        <f>IFERROR(__xludf.DUMMYFUNCTION("""COMPUTED_VALUE"""),"GetDayEndCash")</f>
        <v>GetDayEndCash</v>
      </c>
      <c r="C157" t="str">
        <f>IFERROR(__xludf.DUMMYFUNCTION("""COMPUTED_VALUE"""),"1jqS9oQPmnlJep9od8joR9qslA_C25MlFI6PrAbWqhmg")</f>
        <v>1jqS9oQPmnlJep9od8joR9qslA_C25MlFI6PrAbWqhmg</v>
      </c>
      <c r="D157" t="str">
        <f>IFERROR(__xludf.DUMMYFUNCTION("""COMPUTED_VALUE"""),"")</f>
        <v/>
      </c>
      <c r="E157" t="str">
        <f>IFERROR(__xludf.DUMMYFUNCTION("""COMPUTED_VALUE"""),"")</f>
        <v/>
      </c>
      <c r="F157" t="str">
        <f>IFERROR(__xludf.DUMMYFUNCTION("""COMPUTED_VALUE"""),"")</f>
        <v/>
      </c>
      <c r="G157" t="str">
        <f>IFERROR(__xludf.DUMMYFUNCTION("""COMPUTED_VALUE"""),"")</f>
        <v/>
      </c>
      <c r="H157" t="str">
        <f>IFERROR(__xludf.DUMMYFUNCTION("""COMPUTED_VALUE"""),"")</f>
        <v/>
      </c>
      <c r="I157" t="str">
        <f>IFERROR(__xludf.DUMMYFUNCTION("""COMPUTED_VALUE"""),"")</f>
        <v/>
      </c>
      <c r="J157" t="str">
        <f>IFERROR(__xludf.DUMMYFUNCTION("""COMPUTED_VALUE"""),"")</f>
        <v/>
      </c>
      <c r="K157" t="str">
        <f>IFERROR(__xludf.DUMMYFUNCTION("""COMPUTED_VALUE"""),"")</f>
        <v/>
      </c>
      <c r="L157" t="str">
        <f>IFERROR(__xludf.DUMMYFUNCTION("""COMPUTED_VALUE"""),"")</f>
        <v/>
      </c>
    </row>
    <row r="158" ht="15.75" customHeight="1">
      <c r="A158" t="str">
        <f>IFERROR(__xludf.DUMMYFUNCTION("""COMPUTED_VALUE"""),"GeneralLedger")</f>
        <v>GeneralLedger</v>
      </c>
      <c r="B158" t="str">
        <f>IFERROR(__xludf.DUMMYFUNCTION("""COMPUTED_VALUE"""),"VerifyDayEndCash")</f>
        <v>VerifyDayEndCash</v>
      </c>
      <c r="C158" t="str">
        <f>IFERROR(__xludf.DUMMYFUNCTION("""COMPUTED_VALUE"""),"1GW6vFeVwfYm2wcsBKLqW5b_IfQ0IXb-d4lE8S_dCos8")</f>
        <v>1GW6vFeVwfYm2wcsBKLqW5b_IfQ0IXb-d4lE8S_dCos8</v>
      </c>
      <c r="D158" t="str">
        <f>IFERROR(__xludf.DUMMYFUNCTION("""COMPUTED_VALUE"""),"")</f>
        <v/>
      </c>
      <c r="E158" t="str">
        <f>IFERROR(__xludf.DUMMYFUNCTION("""COMPUTED_VALUE"""),"")</f>
        <v/>
      </c>
      <c r="F158" t="str">
        <f>IFERROR(__xludf.DUMMYFUNCTION("""COMPUTED_VALUE"""),"")</f>
        <v/>
      </c>
      <c r="G158" t="str">
        <f>IFERROR(__xludf.DUMMYFUNCTION("""COMPUTED_VALUE"""),"")</f>
        <v/>
      </c>
      <c r="H158" t="str">
        <f>IFERROR(__xludf.DUMMYFUNCTION("""COMPUTED_VALUE"""),"")</f>
        <v/>
      </c>
      <c r="I158" t="str">
        <f>IFERROR(__xludf.DUMMYFUNCTION("""COMPUTED_VALUE"""),"")</f>
        <v/>
      </c>
      <c r="J158" t="str">
        <f>IFERROR(__xludf.DUMMYFUNCTION("""COMPUTED_VALUE"""),"")</f>
        <v/>
      </c>
      <c r="K158" t="str">
        <f>IFERROR(__xludf.DUMMYFUNCTION("""COMPUTED_VALUE"""),"")</f>
        <v/>
      </c>
      <c r="L158" t="str">
        <f>IFERROR(__xludf.DUMMYFUNCTION("""COMPUTED_VALUE"""),"")</f>
        <v/>
      </c>
    </row>
    <row r="159" ht="15.75" customHeight="1">
      <c r="A159" t="str">
        <f>IFERROR(__xludf.DUMMYFUNCTION("""COMPUTED_VALUE"""),"Allocation")</f>
        <v>Allocation</v>
      </c>
      <c r="B159" t="str">
        <f>IFERROR(__xludf.DUMMYFUNCTION("""COMPUTED_VALUE"""),"OpenAuditTrailUnallocatedGroup")</f>
        <v>OpenAuditTrailUnallocatedGroup</v>
      </c>
      <c r="C159" t="str">
        <f>IFERROR(__xludf.DUMMYFUNCTION("""COMPUTED_VALUE"""),"13bCdgscSA2xV2a8RyAti9ATAuGCeMp-bGJx93KoFRmI")</f>
        <v>13bCdgscSA2xV2a8RyAti9ATAuGCeMp-bGJx93KoFRmI</v>
      </c>
      <c r="D159" t="str">
        <f>IFERROR(__xludf.DUMMYFUNCTION("""COMPUTED_VALUE"""),"")</f>
        <v/>
      </c>
      <c r="E159" t="str">
        <f>IFERROR(__xludf.DUMMYFUNCTION("""COMPUTED_VALUE"""),"")</f>
        <v/>
      </c>
      <c r="F159" t="str">
        <f>IFERROR(__xludf.DUMMYFUNCTION("""COMPUTED_VALUE"""),"")</f>
        <v/>
      </c>
      <c r="G159" t="str">
        <f>IFERROR(__xludf.DUMMYFUNCTION("""COMPUTED_VALUE"""),"")</f>
        <v/>
      </c>
      <c r="H159" t="str">
        <f>IFERROR(__xludf.DUMMYFUNCTION("""COMPUTED_VALUE"""),"")</f>
        <v/>
      </c>
      <c r="I159" t="str">
        <f>IFERROR(__xludf.DUMMYFUNCTION("""COMPUTED_VALUE"""),"")</f>
        <v/>
      </c>
      <c r="J159" t="str">
        <f>IFERROR(__xludf.DUMMYFUNCTION("""COMPUTED_VALUE"""),"")</f>
        <v/>
      </c>
      <c r="K159" t="str">
        <f>IFERROR(__xludf.DUMMYFUNCTION("""COMPUTED_VALUE"""),"")</f>
        <v/>
      </c>
      <c r="L159" t="str">
        <f>IFERROR(__xludf.DUMMYFUNCTION("""COMPUTED_VALUE"""),"")</f>
        <v/>
      </c>
    </row>
    <row r="160" ht="15.75" customHeight="1">
      <c r="A160" t="str">
        <f>IFERROR(__xludf.DUMMYFUNCTION("""COMPUTED_VALUE"""),"Allocation")</f>
        <v>Allocation</v>
      </c>
      <c r="B160" t="str">
        <f>IFERROR(__xludf.DUMMYFUNCTION("""COMPUTED_VALUE"""),"DeleteCalculatedPreferencesTool")</f>
        <v>DeleteCalculatedPreferencesTool</v>
      </c>
      <c r="C160" t="str">
        <f>IFERROR(__xludf.DUMMYFUNCTION("""COMPUTED_VALUE"""),"1QzNsvV6HianBKTbpA7sMTjHgSpkga9jGXA3zKqeeWm8")</f>
        <v>1QzNsvV6HianBKTbpA7sMTjHgSpkga9jGXA3zKqeeWm8</v>
      </c>
      <c r="D160" t="str">
        <f>IFERROR(__xludf.DUMMYFUNCTION("""COMPUTED_VALUE"""),"")</f>
        <v/>
      </c>
      <c r="E160" t="str">
        <f>IFERROR(__xludf.DUMMYFUNCTION("""COMPUTED_VALUE"""),"")</f>
        <v/>
      </c>
      <c r="F160" t="str">
        <f>IFERROR(__xludf.DUMMYFUNCTION("""COMPUTED_VALUE"""),"")</f>
        <v/>
      </c>
      <c r="G160" t="str">
        <f>IFERROR(__xludf.DUMMYFUNCTION("""COMPUTED_VALUE"""),"")</f>
        <v/>
      </c>
      <c r="H160" t="str">
        <f>IFERROR(__xludf.DUMMYFUNCTION("""COMPUTED_VALUE"""),"")</f>
        <v/>
      </c>
      <c r="I160" t="str">
        <f>IFERROR(__xludf.DUMMYFUNCTION("""COMPUTED_VALUE"""),"")</f>
        <v/>
      </c>
      <c r="J160" t="str">
        <f>IFERROR(__xludf.DUMMYFUNCTION("""COMPUTED_VALUE"""),"")</f>
        <v/>
      </c>
      <c r="K160" t="str">
        <f>IFERROR(__xludf.DUMMYFUNCTION("""COMPUTED_VALUE"""),"")</f>
        <v/>
      </c>
      <c r="L160" t="str">
        <f>IFERROR(__xludf.DUMMYFUNCTION("""COMPUTED_VALUE"""),"")</f>
        <v/>
      </c>
    </row>
    <row r="161" ht="15.75" customHeight="1">
      <c r="A161" t="str">
        <f>IFERROR(__xludf.DUMMYFUNCTION("""COMPUTED_VALUE"""),"Allocation")</f>
        <v>Allocation</v>
      </c>
      <c r="B161" t="str">
        <f>IFERROR(__xludf.DUMMYFUNCTION("""COMPUTED_VALUE"""),"ImportCalculatedPreferencesTool")</f>
        <v>ImportCalculatedPreferencesTool</v>
      </c>
      <c r="C161" t="str">
        <f>IFERROR(__xludf.DUMMYFUNCTION("""COMPUTED_VALUE"""),"1rTwy8eQq8KSAOAj5Y93-37Y2MFOELhZnj-9vrSgpRZ0")</f>
        <v>1rTwy8eQq8KSAOAj5Y93-37Y2MFOELhZnj-9vrSgpRZ0</v>
      </c>
      <c r="D161" t="str">
        <f>IFERROR(__xludf.DUMMYFUNCTION("""COMPUTED_VALUE"""),"")</f>
        <v/>
      </c>
      <c r="E161" t="str">
        <f>IFERROR(__xludf.DUMMYFUNCTION("""COMPUTED_VALUE"""),"")</f>
        <v/>
      </c>
      <c r="F161" t="str">
        <f>IFERROR(__xludf.DUMMYFUNCTION("""COMPUTED_VALUE"""),"")</f>
        <v/>
      </c>
      <c r="G161" t="str">
        <f>IFERROR(__xludf.DUMMYFUNCTION("""COMPUTED_VALUE"""),"")</f>
        <v/>
      </c>
      <c r="H161" t="str">
        <f>IFERROR(__xludf.DUMMYFUNCTION("""COMPUTED_VALUE"""),"")</f>
        <v/>
      </c>
      <c r="I161" t="str">
        <f>IFERROR(__xludf.DUMMYFUNCTION("""COMPUTED_VALUE"""),"")</f>
        <v/>
      </c>
      <c r="J161" t="str">
        <f>IFERROR(__xludf.DUMMYFUNCTION("""COMPUTED_VALUE"""),"")</f>
        <v/>
      </c>
      <c r="K161" t="str">
        <f>IFERROR(__xludf.DUMMYFUNCTION("""COMPUTED_VALUE"""),"")</f>
        <v/>
      </c>
      <c r="L161" t="str">
        <f>IFERROR(__xludf.DUMMYFUNCTION("""COMPUTED_VALUE"""),"")</f>
        <v/>
      </c>
    </row>
    <row r="162" ht="15.75" customHeight="1">
      <c r="A162" t="str">
        <f>IFERROR(__xludf.DUMMYFUNCTION("""COMPUTED_VALUE"""),"GeneralLedger")</f>
        <v>GeneralLedger</v>
      </c>
      <c r="B162" t="str">
        <f>IFERROR(__xludf.DUMMYFUNCTION("""COMPUTED_VALUE"""),"RunRevaluation")</f>
        <v>RunRevaluation</v>
      </c>
      <c r="C162" t="str">
        <f>IFERROR(__xludf.DUMMYFUNCTION("""COMPUTED_VALUE"""),"12nLfwKuC1FOVktAPKiL0Y4Nl3H4mPS6B3Sphgv9TeP0")</f>
        <v>12nLfwKuC1FOVktAPKiL0Y4Nl3H4mPS6B3Sphgv9TeP0</v>
      </c>
      <c r="D162" t="str">
        <f>IFERROR(__xludf.DUMMYFUNCTION("""COMPUTED_VALUE"""),"")</f>
        <v/>
      </c>
      <c r="E162" t="str">
        <f>IFERROR(__xludf.DUMMYFUNCTION("""COMPUTED_VALUE"""),"")</f>
        <v/>
      </c>
      <c r="F162" t="str">
        <f>IFERROR(__xludf.DUMMYFUNCTION("""COMPUTED_VALUE"""),"")</f>
        <v/>
      </c>
      <c r="G162" t="str">
        <f>IFERROR(__xludf.DUMMYFUNCTION("""COMPUTED_VALUE"""),"")</f>
        <v/>
      </c>
      <c r="H162" t="str">
        <f>IFERROR(__xludf.DUMMYFUNCTION("""COMPUTED_VALUE"""),"")</f>
        <v/>
      </c>
      <c r="I162" t="str">
        <f>IFERROR(__xludf.DUMMYFUNCTION("""COMPUTED_VALUE"""),"")</f>
        <v/>
      </c>
      <c r="J162" t="str">
        <f>IFERROR(__xludf.DUMMYFUNCTION("""COMPUTED_VALUE"""),"")</f>
        <v/>
      </c>
      <c r="K162" t="str">
        <f>IFERROR(__xludf.DUMMYFUNCTION("""COMPUTED_VALUE"""),"")</f>
        <v/>
      </c>
      <c r="L162" t="str">
        <f>IFERROR(__xludf.DUMMYFUNCTION("""COMPUTED_VALUE"""),"")</f>
        <v/>
      </c>
    </row>
    <row r="163" ht="15.75" customHeight="1">
      <c r="A163" t="str">
        <f>IFERROR(__xludf.DUMMYFUNCTION("""COMPUTED_VALUE"""),"GeneralLedger")</f>
        <v>GeneralLedger</v>
      </c>
      <c r="B163" t="str">
        <f>IFERROR(__xludf.DUMMYFUNCTION("""COMPUTED_VALUE"""),"CalculateDayEndCash")</f>
        <v>CalculateDayEndCash</v>
      </c>
      <c r="C163" t="str">
        <f>IFERROR(__xludf.DUMMYFUNCTION("""COMPUTED_VALUE"""),"Undefined")</f>
        <v>Undefined</v>
      </c>
      <c r="D163" t="str">
        <f>IFERROR(__xludf.DUMMYFUNCTION("""COMPUTED_VALUE"""),"")</f>
        <v/>
      </c>
      <c r="E163" t="str">
        <f>IFERROR(__xludf.DUMMYFUNCTION("""COMPUTED_VALUE"""),"")</f>
        <v/>
      </c>
      <c r="F163" t="str">
        <f>IFERROR(__xludf.DUMMYFUNCTION("""COMPUTED_VALUE"""),"")</f>
        <v/>
      </c>
      <c r="G163" t="str">
        <f>IFERROR(__xludf.DUMMYFUNCTION("""COMPUTED_VALUE"""),"")</f>
        <v/>
      </c>
      <c r="H163" t="str">
        <f>IFERROR(__xludf.DUMMYFUNCTION("""COMPUTED_VALUE"""),"")</f>
        <v/>
      </c>
      <c r="I163" t="str">
        <f>IFERROR(__xludf.DUMMYFUNCTION("""COMPUTED_VALUE"""),"")</f>
        <v/>
      </c>
      <c r="J163" t="str">
        <f>IFERROR(__xludf.DUMMYFUNCTION("""COMPUTED_VALUE"""),"")</f>
        <v/>
      </c>
      <c r="K163" t="str">
        <f>IFERROR(__xludf.DUMMYFUNCTION("""COMPUTED_VALUE"""),"")</f>
        <v/>
      </c>
      <c r="L163" t="str">
        <f>IFERROR(__xludf.DUMMYFUNCTION("""COMPUTED_VALUE"""),"")</f>
        <v/>
      </c>
    </row>
    <row r="164" ht="15.75" customHeight="1">
      <c r="A164" t="str">
        <f>IFERROR(__xludf.DUMMYFUNCTION("""COMPUTED_VALUE"""),"Allocation")</f>
        <v>Allocation</v>
      </c>
      <c r="B164" t="str">
        <f>IFERROR(__xludf.DUMMYFUNCTION("""COMPUTED_VALUE"""),"ExportAllCalculatedPreferTool")</f>
        <v>ExportAllCalculatedPreferTool</v>
      </c>
      <c r="C164" t="str">
        <f>IFERROR(__xludf.DUMMYFUNCTION("""COMPUTED_VALUE"""),"1-hvKWsnsvP4bPLjKqz0fU1wSX-sKEKyp38DokUd9uZE")</f>
        <v>1-hvKWsnsvP4bPLjKqz0fU1wSX-sKEKyp38DokUd9uZE</v>
      </c>
      <c r="D164" t="str">
        <f>IFERROR(__xludf.DUMMYFUNCTION("""COMPUTED_VALUE"""),"")</f>
        <v/>
      </c>
      <c r="E164" t="str">
        <f>IFERROR(__xludf.DUMMYFUNCTION("""COMPUTED_VALUE"""),"")</f>
        <v/>
      </c>
      <c r="F164" t="str">
        <f>IFERROR(__xludf.DUMMYFUNCTION("""COMPUTED_VALUE"""),"")</f>
        <v/>
      </c>
      <c r="G164" t="str">
        <f>IFERROR(__xludf.DUMMYFUNCTION("""COMPUTED_VALUE"""),"")</f>
        <v/>
      </c>
      <c r="H164" t="str">
        <f>IFERROR(__xludf.DUMMYFUNCTION("""COMPUTED_VALUE"""),"")</f>
        <v/>
      </c>
      <c r="I164" t="str">
        <f>IFERROR(__xludf.DUMMYFUNCTION("""COMPUTED_VALUE"""),"")</f>
        <v/>
      </c>
      <c r="J164" t="str">
        <f>IFERROR(__xludf.DUMMYFUNCTION("""COMPUTED_VALUE"""),"")</f>
        <v/>
      </c>
      <c r="K164" t="str">
        <f>IFERROR(__xludf.DUMMYFUNCTION("""COMPUTED_VALUE"""),"")</f>
        <v/>
      </c>
      <c r="L164" t="str">
        <f>IFERROR(__xludf.DUMMYFUNCTION("""COMPUTED_VALUE"""),"")</f>
        <v/>
      </c>
    </row>
    <row r="165" ht="15.75" customHeight="1">
      <c r="A165" t="str">
        <f>IFERROR(__xludf.DUMMYFUNCTION("""COMPUTED_VALUE"""),"Allocation")</f>
        <v>Allocation</v>
      </c>
      <c r="B165" t="str">
        <f>IFERROR(__xludf.DUMMYFUNCTION("""COMPUTED_VALUE"""),"OpenAuditTrailAllocatedGroup")</f>
        <v>OpenAuditTrailAllocatedGroup</v>
      </c>
      <c r="C165" t="str">
        <f>IFERROR(__xludf.DUMMYFUNCTION("""COMPUTED_VALUE"""),"1rXWSc2w5tQgt_ZYA4eliVWt2qdn7dc0mZkX-DLF0YC0")</f>
        <v>1rXWSc2w5tQgt_ZYA4eliVWt2qdn7dc0mZkX-DLF0YC0</v>
      </c>
      <c r="D165" t="str">
        <f>IFERROR(__xludf.DUMMYFUNCTION("""COMPUTED_VALUE"""),"")</f>
        <v/>
      </c>
      <c r="E165" t="str">
        <f>IFERROR(__xludf.DUMMYFUNCTION("""COMPUTED_VALUE"""),"")</f>
        <v/>
      </c>
      <c r="F165" t="str">
        <f>IFERROR(__xludf.DUMMYFUNCTION("""COMPUTED_VALUE"""),"")</f>
        <v/>
      </c>
      <c r="G165" t="str">
        <f>IFERROR(__xludf.DUMMYFUNCTION("""COMPUTED_VALUE"""),"")</f>
        <v/>
      </c>
      <c r="H165" t="str">
        <f>IFERROR(__xludf.DUMMYFUNCTION("""COMPUTED_VALUE"""),"")</f>
        <v/>
      </c>
      <c r="I165" t="str">
        <f>IFERROR(__xludf.DUMMYFUNCTION("""COMPUTED_VALUE"""),"")</f>
        <v/>
      </c>
      <c r="J165" t="str">
        <f>IFERROR(__xludf.DUMMYFUNCTION("""COMPUTED_VALUE"""),"")</f>
        <v/>
      </c>
      <c r="K165" t="str">
        <f>IFERROR(__xludf.DUMMYFUNCTION("""COMPUTED_VALUE"""),"")</f>
        <v/>
      </c>
      <c r="L165" t="str">
        <f>IFERROR(__xludf.DUMMYFUNCTION("""COMPUTED_VALUE"""),"")</f>
        <v/>
      </c>
    </row>
    <row r="166" ht="15.75" customHeight="1">
      <c r="A166" t="str">
        <f>IFERROR(__xludf.DUMMYFUNCTION("""COMPUTED_VALUE"""),"Allocation")</f>
        <v>Allocation</v>
      </c>
      <c r="B166" t="str">
        <f>IFERROR(__xludf.DUMMYFUNCTION("""COMPUTED_VALUE"""),"OpenSymbolLookupUnallocateGroup")</f>
        <v>OpenSymbolLookupUnallocateGroup</v>
      </c>
      <c r="C166" t="str">
        <f>IFERROR(__xludf.DUMMYFUNCTION("""COMPUTED_VALUE"""),"18yoHsWAvFJtns5Vgsd3TC9waLg0jy_z8-Ov5sl1j0nE")</f>
        <v>18yoHsWAvFJtns5Vgsd3TC9waLg0jy_z8-Ov5sl1j0nE</v>
      </c>
      <c r="D166" t="str">
        <f>IFERROR(__xludf.DUMMYFUNCTION("""COMPUTED_VALUE"""),"")</f>
        <v/>
      </c>
      <c r="E166" t="str">
        <f>IFERROR(__xludf.DUMMYFUNCTION("""COMPUTED_VALUE"""),"")</f>
        <v/>
      </c>
      <c r="F166" t="str">
        <f>IFERROR(__xludf.DUMMYFUNCTION("""COMPUTED_VALUE"""),"")</f>
        <v/>
      </c>
      <c r="G166" t="str">
        <f>IFERROR(__xludf.DUMMYFUNCTION("""COMPUTED_VALUE"""),"")</f>
        <v/>
      </c>
      <c r="H166" t="str">
        <f>IFERROR(__xludf.DUMMYFUNCTION("""COMPUTED_VALUE"""),"")</f>
        <v/>
      </c>
      <c r="I166" t="str">
        <f>IFERROR(__xludf.DUMMYFUNCTION("""COMPUTED_VALUE"""),"")</f>
        <v/>
      </c>
      <c r="J166" t="str">
        <f>IFERROR(__xludf.DUMMYFUNCTION("""COMPUTED_VALUE"""),"")</f>
        <v/>
      </c>
      <c r="K166" t="str">
        <f>IFERROR(__xludf.DUMMYFUNCTION("""COMPUTED_VALUE"""),"")</f>
        <v/>
      </c>
      <c r="L166" t="str">
        <f>IFERROR(__xludf.DUMMYFUNCTION("""COMPUTED_VALUE"""),"")</f>
        <v/>
      </c>
    </row>
    <row r="167" ht="15.75" customHeight="1">
      <c r="A167" t="str">
        <f>IFERROR(__xludf.DUMMYFUNCTION("""COMPUTED_VALUE"""),"Allocation")</f>
        <v>Allocation</v>
      </c>
      <c r="B167" t="str">
        <f>IFERROR(__xludf.DUMMYFUNCTION("""COMPUTED_VALUE"""),"OpenSymbolLookupAllocatedGroup")</f>
        <v>OpenSymbolLookupAllocatedGroup</v>
      </c>
      <c r="C167" t="str">
        <f>IFERROR(__xludf.DUMMYFUNCTION("""COMPUTED_VALUE"""),"135eoaoRkLuLxBtrORiQ-ppYB7kxLijQFuqQ-OkQwsS0")</f>
        <v>135eoaoRkLuLxBtrORiQ-ppYB7kxLijQFuqQ-OkQwsS0</v>
      </c>
      <c r="D167" t="str">
        <f>IFERROR(__xludf.DUMMYFUNCTION("""COMPUTED_VALUE"""),"")</f>
        <v/>
      </c>
      <c r="E167" t="str">
        <f>IFERROR(__xludf.DUMMYFUNCTION("""COMPUTED_VALUE"""),"")</f>
        <v/>
      </c>
      <c r="F167" t="str">
        <f>IFERROR(__xludf.DUMMYFUNCTION("""COMPUTED_VALUE"""),"")</f>
        <v/>
      </c>
      <c r="G167" t="str">
        <f>IFERROR(__xludf.DUMMYFUNCTION("""COMPUTED_VALUE"""),"")</f>
        <v/>
      </c>
      <c r="H167" t="str">
        <f>IFERROR(__xludf.DUMMYFUNCTION("""COMPUTED_VALUE"""),"")</f>
        <v/>
      </c>
      <c r="I167" t="str">
        <f>IFERROR(__xludf.DUMMYFUNCTION("""COMPUTED_VALUE"""),"")</f>
        <v/>
      </c>
      <c r="J167" t="str">
        <f>IFERROR(__xludf.DUMMYFUNCTION("""COMPUTED_VALUE"""),"")</f>
        <v/>
      </c>
      <c r="K167" t="str">
        <f>IFERROR(__xludf.DUMMYFUNCTION("""COMPUTED_VALUE"""),"")</f>
        <v/>
      </c>
      <c r="L167" t="str">
        <f>IFERROR(__xludf.DUMMYFUNCTION("""COMPUTED_VALUE"""),"")</f>
        <v/>
      </c>
    </row>
    <row r="168" ht="15.75" customHeight="1">
      <c r="A168" t="str">
        <f>IFERROR(__xludf.DUMMYFUNCTION("""COMPUTED_VALUE"""),"Allocation")</f>
        <v>Allocation</v>
      </c>
      <c r="B168" t="str">
        <f>IFERROR(__xludf.DUMMYFUNCTION("""COMPUTED_VALUE"""),"DeleteFixedPreference")</f>
        <v>DeleteFixedPreference</v>
      </c>
      <c r="C168" t="str">
        <f>IFERROR(__xludf.DUMMYFUNCTION("""COMPUTED_VALUE"""),"1CSubToCak00thNXt6dtgCyBu3YVpO6DoKpBFQn2tb8k")</f>
        <v>1CSubToCak00thNXt6dtgCyBu3YVpO6DoKpBFQn2tb8k</v>
      </c>
      <c r="D168" t="str">
        <f>IFERROR(__xludf.DUMMYFUNCTION("""COMPUTED_VALUE"""),"")</f>
        <v/>
      </c>
      <c r="E168" t="str">
        <f>IFERROR(__xludf.DUMMYFUNCTION("""COMPUTED_VALUE"""),"")</f>
        <v/>
      </c>
      <c r="F168" t="str">
        <f>IFERROR(__xludf.DUMMYFUNCTION("""COMPUTED_VALUE"""),"")</f>
        <v/>
      </c>
      <c r="G168" t="str">
        <f>IFERROR(__xludf.DUMMYFUNCTION("""COMPUTED_VALUE"""),"")</f>
        <v/>
      </c>
      <c r="H168" t="str">
        <f>IFERROR(__xludf.DUMMYFUNCTION("""COMPUTED_VALUE"""),"")</f>
        <v/>
      </c>
      <c r="I168" t="str">
        <f>IFERROR(__xludf.DUMMYFUNCTION("""COMPUTED_VALUE"""),"")</f>
        <v/>
      </c>
      <c r="J168" t="str">
        <f>IFERROR(__xludf.DUMMYFUNCTION("""COMPUTED_VALUE"""),"")</f>
        <v/>
      </c>
      <c r="K168" t="str">
        <f>IFERROR(__xludf.DUMMYFUNCTION("""COMPUTED_VALUE"""),"")</f>
        <v/>
      </c>
      <c r="L168" t="str">
        <f>IFERROR(__xludf.DUMMYFUNCTION("""COMPUTED_VALUE"""),"")</f>
        <v/>
      </c>
    </row>
    <row r="169" ht="15.75" customHeight="1">
      <c r="A169" t="str">
        <f>IFERROR(__xludf.DUMMYFUNCTION("""COMPUTED_VALUE"""),"Blotter")</f>
        <v>Blotter</v>
      </c>
      <c r="B169" t="str">
        <f>IFERROR(__xludf.DUMMYFUNCTION("""COMPUTED_VALUE"""),"TransferToUserSubOrder")</f>
        <v>TransferToUserSubOrder</v>
      </c>
      <c r="C169" t="str">
        <f>IFERROR(__xludf.DUMMYFUNCTION("""COMPUTED_VALUE"""),"1qmP1zA3NwJXtfrBkoOmDjhF_cNSgtaOLfuoYqzGc8R0")</f>
        <v>1qmP1zA3NwJXtfrBkoOmDjhF_cNSgtaOLfuoYqzGc8R0</v>
      </c>
      <c r="D169" t="str">
        <f>IFERROR(__xludf.DUMMYFUNCTION("""COMPUTED_VALUE"""),"")</f>
        <v/>
      </c>
      <c r="E169" t="str">
        <f>IFERROR(__xludf.DUMMYFUNCTION("""COMPUTED_VALUE"""),"")</f>
        <v/>
      </c>
      <c r="F169" t="str">
        <f>IFERROR(__xludf.DUMMYFUNCTION("""COMPUTED_VALUE"""),"")</f>
        <v/>
      </c>
      <c r="G169" t="str">
        <f>IFERROR(__xludf.DUMMYFUNCTION("""COMPUTED_VALUE"""),"")</f>
        <v/>
      </c>
      <c r="H169" t="str">
        <f>IFERROR(__xludf.DUMMYFUNCTION("""COMPUTED_VALUE"""),"")</f>
        <v/>
      </c>
      <c r="I169" t="str">
        <f>IFERROR(__xludf.DUMMYFUNCTION("""COMPUTED_VALUE"""),"")</f>
        <v/>
      </c>
      <c r="J169" t="str">
        <f>IFERROR(__xludf.DUMMYFUNCTION("""COMPUTED_VALUE"""),"")</f>
        <v/>
      </c>
      <c r="K169" t="str">
        <f>IFERROR(__xludf.DUMMYFUNCTION("""COMPUTED_VALUE"""),"")</f>
        <v/>
      </c>
      <c r="L169" t="str">
        <f>IFERROR(__xludf.DUMMYFUNCTION("""COMPUTED_VALUE"""),"")</f>
        <v/>
      </c>
    </row>
    <row r="170" ht="15.75" customHeight="1">
      <c r="A170" t="str">
        <f>IFERROR(__xludf.DUMMYFUNCTION("""COMPUTED_VALUE"""),"Blotter")</f>
        <v>Blotter</v>
      </c>
      <c r="B170" t="str">
        <f>IFERROR(__xludf.DUMMYFUNCTION("""COMPUTED_VALUE"""),"DetailsForAlgoTradeOrder")</f>
        <v>DetailsForAlgoTradeOrder</v>
      </c>
      <c r="C170" t="str">
        <f>IFERROR(__xludf.DUMMYFUNCTION("""COMPUTED_VALUE"""),"1va5hZGEz8VAzZA8aF0bZ9yh24u7m6qpwPBq2w5yQk10")</f>
        <v>1va5hZGEz8VAzZA8aF0bZ9yh24u7m6qpwPBq2w5yQk10</v>
      </c>
      <c r="D170" t="str">
        <f>IFERROR(__xludf.DUMMYFUNCTION("""COMPUTED_VALUE"""),"")</f>
        <v/>
      </c>
      <c r="E170" t="str">
        <f>IFERROR(__xludf.DUMMYFUNCTION("""COMPUTED_VALUE"""),"")</f>
        <v/>
      </c>
      <c r="F170" t="str">
        <f>IFERROR(__xludf.DUMMYFUNCTION("""COMPUTED_VALUE"""),"")</f>
        <v/>
      </c>
      <c r="G170" t="str">
        <f>IFERROR(__xludf.DUMMYFUNCTION("""COMPUTED_VALUE"""),"")</f>
        <v/>
      </c>
      <c r="H170" t="str">
        <f>IFERROR(__xludf.DUMMYFUNCTION("""COMPUTED_VALUE"""),"")</f>
        <v/>
      </c>
      <c r="I170" t="str">
        <f>IFERROR(__xludf.DUMMYFUNCTION("""COMPUTED_VALUE"""),"")</f>
        <v/>
      </c>
      <c r="J170" t="str">
        <f>IFERROR(__xludf.DUMMYFUNCTION("""COMPUTED_VALUE"""),"")</f>
        <v/>
      </c>
      <c r="K170" t="str">
        <f>IFERROR(__xludf.DUMMYFUNCTION("""COMPUTED_VALUE"""),"")</f>
        <v/>
      </c>
      <c r="L170" t="str">
        <f>IFERROR(__xludf.DUMMYFUNCTION("""COMPUTED_VALUE"""),"")</f>
        <v/>
      </c>
    </row>
    <row r="171" ht="15.75" customHeight="1">
      <c r="A171" t="str">
        <f>IFERROR(__xludf.DUMMYFUNCTION("""COMPUTED_VALUE"""),"Blotter")</f>
        <v>Blotter</v>
      </c>
      <c r="B171" t="str">
        <f>IFERROR(__xludf.DUMMYFUNCTION("""COMPUTED_VALUE"""),"AddFillsSubOrder")</f>
        <v>AddFillsSubOrder</v>
      </c>
      <c r="C171" t="str">
        <f>IFERROR(__xludf.DUMMYFUNCTION("""COMPUTED_VALUE"""),"1L7WsHnZcDFzKmLPyelSR2n6F9BZz95HHlTa512p2S3c")</f>
        <v>1L7WsHnZcDFzKmLPyelSR2n6F9BZz95HHlTa512p2S3c</v>
      </c>
      <c r="D171" t="str">
        <f>IFERROR(__xludf.DUMMYFUNCTION("""COMPUTED_VALUE"""),"")</f>
        <v/>
      </c>
      <c r="E171" t="str">
        <f>IFERROR(__xludf.DUMMYFUNCTION("""COMPUTED_VALUE"""),"")</f>
        <v/>
      </c>
      <c r="F171" t="str">
        <f>IFERROR(__xludf.DUMMYFUNCTION("""COMPUTED_VALUE"""),"")</f>
        <v/>
      </c>
      <c r="G171" t="str">
        <f>IFERROR(__xludf.DUMMYFUNCTION("""COMPUTED_VALUE"""),"")</f>
        <v/>
      </c>
      <c r="H171" t="str">
        <f>IFERROR(__xludf.DUMMYFUNCTION("""COMPUTED_VALUE"""),"")</f>
        <v/>
      </c>
      <c r="I171" t="str">
        <f>IFERROR(__xludf.DUMMYFUNCTION("""COMPUTED_VALUE"""),"")</f>
        <v/>
      </c>
      <c r="J171" t="str">
        <f>IFERROR(__xludf.DUMMYFUNCTION("""COMPUTED_VALUE"""),"")</f>
        <v/>
      </c>
      <c r="K171" t="str">
        <f>IFERROR(__xludf.DUMMYFUNCTION("""COMPUTED_VALUE"""),"")</f>
        <v/>
      </c>
      <c r="L171" t="str">
        <f>IFERROR(__xludf.DUMMYFUNCTION("""COMPUTED_VALUE"""),"")</f>
        <v/>
      </c>
    </row>
    <row r="172" ht="15.75" customHeight="1">
      <c r="A172" t="str">
        <f>IFERROR(__xludf.DUMMYFUNCTION("""COMPUTED_VALUE"""),"Blotter")</f>
        <v>Blotter</v>
      </c>
      <c r="B172" t="str">
        <f>IFERROR(__xludf.DUMMYFUNCTION("""COMPUTED_VALUE"""),"ViewAllocationDetailsSubOrder")</f>
        <v>ViewAllocationDetailsSubOrder</v>
      </c>
      <c r="C172" t="str">
        <f>IFERROR(__xludf.DUMMYFUNCTION("""COMPUTED_VALUE"""),"1XA81-82HUa-cDA4PoYbJLTzM5_StfOfHam4UgnOt59E")</f>
        <v>1XA81-82HUa-cDA4PoYbJLTzM5_StfOfHam4UgnOt59E</v>
      </c>
      <c r="D172" t="str">
        <f>IFERROR(__xludf.DUMMYFUNCTION("""COMPUTED_VALUE"""),"")</f>
        <v/>
      </c>
      <c r="E172" t="str">
        <f>IFERROR(__xludf.DUMMYFUNCTION("""COMPUTED_VALUE"""),"")</f>
        <v/>
      </c>
      <c r="F172" t="str">
        <f>IFERROR(__xludf.DUMMYFUNCTION("""COMPUTED_VALUE"""),"")</f>
        <v/>
      </c>
      <c r="G172" t="str">
        <f>IFERROR(__xludf.DUMMYFUNCTION("""COMPUTED_VALUE"""),"")</f>
        <v/>
      </c>
      <c r="H172" t="str">
        <f>IFERROR(__xludf.DUMMYFUNCTION("""COMPUTED_VALUE"""),"")</f>
        <v/>
      </c>
      <c r="I172" t="str">
        <f>IFERROR(__xludf.DUMMYFUNCTION("""COMPUTED_VALUE"""),"")</f>
        <v/>
      </c>
      <c r="J172" t="str">
        <f>IFERROR(__xludf.DUMMYFUNCTION("""COMPUTED_VALUE"""),"")</f>
        <v/>
      </c>
      <c r="K172" t="str">
        <f>IFERROR(__xludf.DUMMYFUNCTION("""COMPUTED_VALUE"""),"")</f>
        <v/>
      </c>
      <c r="L172" t="str">
        <f>IFERROR(__xludf.DUMMYFUNCTION("""COMPUTED_VALUE"""),"")</f>
        <v/>
      </c>
    </row>
    <row r="173" ht="15.75" customHeight="1">
      <c r="A173" t="str">
        <f>IFERROR(__xludf.DUMMYFUNCTION("""COMPUTED_VALUE"""),"GeneralLedger")</f>
        <v>GeneralLedger</v>
      </c>
      <c r="B173" t="str">
        <f>IFERROR(__xludf.DUMMYFUNCTION("""COMPUTED_VALUE"""),"GetCashTransaction")</f>
        <v>GetCashTransaction</v>
      </c>
      <c r="C173" t="str">
        <f>IFERROR(__xludf.DUMMYFUNCTION("""COMPUTED_VALUE"""),"1X0pX_-x5vAH2oEKcaX2e6hOSBrvXzqnQAiN-Xns9A4M")</f>
        <v>1X0pX_-x5vAH2oEKcaX2e6hOSBrvXzqnQAiN-Xns9A4M</v>
      </c>
      <c r="D173" t="str">
        <f>IFERROR(__xludf.DUMMYFUNCTION("""COMPUTED_VALUE"""),"")</f>
        <v/>
      </c>
      <c r="E173" t="str">
        <f>IFERROR(__xludf.DUMMYFUNCTION("""COMPUTED_VALUE"""),"")</f>
        <v/>
      </c>
      <c r="F173" t="str">
        <f>IFERROR(__xludf.DUMMYFUNCTION("""COMPUTED_VALUE"""),"")</f>
        <v/>
      </c>
      <c r="G173" t="str">
        <f>IFERROR(__xludf.DUMMYFUNCTION("""COMPUTED_VALUE"""),"")</f>
        <v/>
      </c>
      <c r="H173" t="str">
        <f>IFERROR(__xludf.DUMMYFUNCTION("""COMPUTED_VALUE"""),"")</f>
        <v/>
      </c>
      <c r="I173" t="str">
        <f>IFERROR(__xludf.DUMMYFUNCTION("""COMPUTED_VALUE"""),"")</f>
        <v/>
      </c>
      <c r="J173" t="str">
        <f>IFERROR(__xludf.DUMMYFUNCTION("""COMPUTED_VALUE"""),"")</f>
        <v/>
      </c>
      <c r="K173" t="str">
        <f>IFERROR(__xludf.DUMMYFUNCTION("""COMPUTED_VALUE"""),"")</f>
        <v/>
      </c>
      <c r="L173" t="str">
        <f>IFERROR(__xludf.DUMMYFUNCTION("""COMPUTED_VALUE"""),"")</f>
        <v/>
      </c>
    </row>
    <row r="174" ht="15.75" customHeight="1">
      <c r="A174" t="str">
        <f>IFERROR(__xludf.DUMMYFUNCTION("""COMPUTED_VALUE"""),"GeneralLedger")</f>
        <v>GeneralLedger</v>
      </c>
      <c r="B174" t="str">
        <f>IFERROR(__xludf.DUMMYFUNCTION("""COMPUTED_VALUE"""),"SelectCashTransaction")</f>
        <v>SelectCashTransaction</v>
      </c>
      <c r="C174" t="str">
        <f>IFERROR(__xludf.DUMMYFUNCTION("""COMPUTED_VALUE"""),"1qTLVP_ce37jUncyDHY-5RHgrhpMowqKs8GPqX5Nux3g")</f>
        <v>1qTLVP_ce37jUncyDHY-5RHgrhpMowqKs8GPqX5Nux3g</v>
      </c>
      <c r="D174" t="str">
        <f>IFERROR(__xludf.DUMMYFUNCTION("""COMPUTED_VALUE"""),"")</f>
        <v/>
      </c>
      <c r="E174" t="str">
        <f>IFERROR(__xludf.DUMMYFUNCTION("""COMPUTED_VALUE"""),"")</f>
        <v/>
      </c>
      <c r="F174" t="str">
        <f>IFERROR(__xludf.DUMMYFUNCTION("""COMPUTED_VALUE"""),"")</f>
        <v/>
      </c>
      <c r="G174" t="str">
        <f>IFERROR(__xludf.DUMMYFUNCTION("""COMPUTED_VALUE"""),"")</f>
        <v/>
      </c>
      <c r="H174" t="str">
        <f>IFERROR(__xludf.DUMMYFUNCTION("""COMPUTED_VALUE"""),"")</f>
        <v/>
      </c>
      <c r="I174" t="str">
        <f>IFERROR(__xludf.DUMMYFUNCTION("""COMPUTED_VALUE"""),"")</f>
        <v/>
      </c>
      <c r="J174" t="str">
        <f>IFERROR(__xludf.DUMMYFUNCTION("""COMPUTED_VALUE"""),"")</f>
        <v/>
      </c>
      <c r="K174" t="str">
        <f>IFERROR(__xludf.DUMMYFUNCTION("""COMPUTED_VALUE"""),"")</f>
        <v/>
      </c>
      <c r="L174" t="str">
        <f>IFERROR(__xludf.DUMMYFUNCTION("""COMPUTED_VALUE"""),"")</f>
        <v/>
      </c>
    </row>
    <row r="175" ht="15.75" customHeight="1">
      <c r="A175" t="str">
        <f>IFERROR(__xludf.DUMMYFUNCTION("""COMPUTED_VALUE"""),"GeneralLedger")</f>
        <v>GeneralLedger</v>
      </c>
      <c r="B175" t="str">
        <f>IFERROR(__xludf.DUMMYFUNCTION("""COMPUTED_VALUE"""),"DeleteCashTransaction")</f>
        <v>DeleteCashTransaction</v>
      </c>
      <c r="C175" t="str">
        <f>IFERROR(__xludf.DUMMYFUNCTION("""COMPUTED_VALUE"""),"16uXj0rM-TvT9Xs9p8FMjMICfXtauwu5kNy0aNXH7pLQ")</f>
        <v>16uXj0rM-TvT9Xs9p8FMjMICfXtauwu5kNy0aNXH7pLQ</v>
      </c>
      <c r="D175" t="str">
        <f>IFERROR(__xludf.DUMMYFUNCTION("""COMPUTED_VALUE"""),"")</f>
        <v/>
      </c>
      <c r="E175" t="str">
        <f>IFERROR(__xludf.DUMMYFUNCTION("""COMPUTED_VALUE"""),"")</f>
        <v/>
      </c>
      <c r="F175" t="str">
        <f>IFERROR(__xludf.DUMMYFUNCTION("""COMPUTED_VALUE"""),"")</f>
        <v/>
      </c>
      <c r="G175" t="str">
        <f>IFERROR(__xludf.DUMMYFUNCTION("""COMPUTED_VALUE"""),"")</f>
        <v/>
      </c>
      <c r="H175" t="str">
        <f>IFERROR(__xludf.DUMMYFUNCTION("""COMPUTED_VALUE"""),"")</f>
        <v/>
      </c>
      <c r="I175" t="str">
        <f>IFERROR(__xludf.DUMMYFUNCTION("""COMPUTED_VALUE"""),"")</f>
        <v/>
      </c>
      <c r="J175" t="str">
        <f>IFERROR(__xludf.DUMMYFUNCTION("""COMPUTED_VALUE"""),"")</f>
        <v/>
      </c>
      <c r="K175" t="str">
        <f>IFERROR(__xludf.DUMMYFUNCTION("""COMPUTED_VALUE"""),"")</f>
        <v/>
      </c>
      <c r="L175" t="str">
        <f>IFERROR(__xludf.DUMMYFUNCTION("""COMPUTED_VALUE"""),"")</f>
        <v/>
      </c>
    </row>
    <row r="176" ht="15.75" customHeight="1">
      <c r="A176" t="str">
        <f>IFERROR(__xludf.DUMMYFUNCTION("""COMPUTED_VALUE"""),"GeneralLedger")</f>
        <v>GeneralLedger</v>
      </c>
      <c r="B176" t="str">
        <f>IFERROR(__xludf.DUMMYFUNCTION("""COMPUTED_VALUE"""),"EditCashTransaction")</f>
        <v>EditCashTransaction</v>
      </c>
      <c r="C176" t="str">
        <f>IFERROR(__xludf.DUMMYFUNCTION("""COMPUTED_VALUE"""),"1SL0UOLEyeTKN5t8dANjKQtXJvpkgBYY94wYFU1dJ0nY")</f>
        <v>1SL0UOLEyeTKN5t8dANjKQtXJvpkgBYY94wYFU1dJ0nY</v>
      </c>
      <c r="D176" t="str">
        <f>IFERROR(__xludf.DUMMYFUNCTION("""COMPUTED_VALUE"""),"")</f>
        <v/>
      </c>
      <c r="E176" t="str">
        <f>IFERROR(__xludf.DUMMYFUNCTION("""COMPUTED_VALUE"""),"")</f>
        <v/>
      </c>
      <c r="F176" t="str">
        <f>IFERROR(__xludf.DUMMYFUNCTION("""COMPUTED_VALUE"""),"")</f>
        <v/>
      </c>
      <c r="G176" t="str">
        <f>IFERROR(__xludf.DUMMYFUNCTION("""COMPUTED_VALUE"""),"")</f>
        <v/>
      </c>
      <c r="H176" t="str">
        <f>IFERROR(__xludf.DUMMYFUNCTION("""COMPUTED_VALUE"""),"")</f>
        <v/>
      </c>
      <c r="I176" t="str">
        <f>IFERROR(__xludf.DUMMYFUNCTION("""COMPUTED_VALUE"""),"")</f>
        <v/>
      </c>
      <c r="J176" t="str">
        <f>IFERROR(__xludf.DUMMYFUNCTION("""COMPUTED_VALUE"""),"")</f>
        <v/>
      </c>
      <c r="K176" t="str">
        <f>IFERROR(__xludf.DUMMYFUNCTION("""COMPUTED_VALUE"""),"")</f>
        <v/>
      </c>
      <c r="L176" t="str">
        <f>IFERROR(__xludf.DUMMYFUNCTION("""COMPUTED_VALUE"""),"")</f>
        <v/>
      </c>
    </row>
    <row r="177" ht="15.75" customHeight="1">
      <c r="A177" t="str">
        <f>IFERROR(__xludf.DUMMYFUNCTION("""COMPUTED_VALUE"""),"GeneralLedger")</f>
        <v>GeneralLedger</v>
      </c>
      <c r="B177" t="str">
        <f>IFERROR(__xludf.DUMMYFUNCTION("""COMPUTED_VALUE"""),"AddCashTransaction")</f>
        <v>AddCashTransaction</v>
      </c>
      <c r="C177" t="str">
        <f>IFERROR(__xludf.DUMMYFUNCTION("""COMPUTED_VALUE"""),"1juNE2nr1TxtNCKBuQfkWvVylAAmwXNLSW_76uowDwa4")</f>
        <v>1juNE2nr1TxtNCKBuQfkWvVylAAmwXNLSW_76uowDwa4</v>
      </c>
      <c r="D177" t="str">
        <f>IFERROR(__xludf.DUMMYFUNCTION("""COMPUTED_VALUE"""),"")</f>
        <v/>
      </c>
      <c r="E177" t="str">
        <f>IFERROR(__xludf.DUMMYFUNCTION("""COMPUTED_VALUE"""),"")</f>
        <v/>
      </c>
      <c r="F177" t="str">
        <f>IFERROR(__xludf.DUMMYFUNCTION("""COMPUTED_VALUE"""),"")</f>
        <v/>
      </c>
      <c r="G177" t="str">
        <f>IFERROR(__xludf.DUMMYFUNCTION("""COMPUTED_VALUE"""),"")</f>
        <v/>
      </c>
      <c r="H177" t="str">
        <f>IFERROR(__xludf.DUMMYFUNCTION("""COMPUTED_VALUE"""),"")</f>
        <v/>
      </c>
      <c r="I177" t="str">
        <f>IFERROR(__xludf.DUMMYFUNCTION("""COMPUTED_VALUE"""),"")</f>
        <v/>
      </c>
      <c r="J177" t="str">
        <f>IFERROR(__xludf.DUMMYFUNCTION("""COMPUTED_VALUE"""),"")</f>
        <v/>
      </c>
      <c r="K177" t="str">
        <f>IFERROR(__xludf.DUMMYFUNCTION("""COMPUTED_VALUE"""),"")</f>
        <v/>
      </c>
      <c r="L177" t="str">
        <f>IFERROR(__xludf.DUMMYFUNCTION("""COMPUTED_VALUE"""),"")</f>
        <v/>
      </c>
    </row>
    <row r="178" ht="15.75" customHeight="1">
      <c r="A178" t="str">
        <f>IFERROR(__xludf.DUMMYFUNCTION("""COMPUTED_VALUE"""),"Allocation")</f>
        <v>Allocation</v>
      </c>
      <c r="B178" t="str">
        <f>IFERROR(__xludf.DUMMYFUNCTION("""COMPUTED_VALUE"""),"EditAllocatedGroupSidePanel")</f>
        <v>EditAllocatedGroupSidePanel</v>
      </c>
      <c r="C178" t="str">
        <f>IFERROR(__xludf.DUMMYFUNCTION("""COMPUTED_VALUE"""),"1CYaZFNpRJb9tk_I1DjPVmUH7-bb4mrZAzwUG6v_kppo")</f>
        <v>1CYaZFNpRJb9tk_I1DjPVmUH7-bb4mrZAzwUG6v_kppo</v>
      </c>
      <c r="D178" t="str">
        <f>IFERROR(__xludf.DUMMYFUNCTION("""COMPUTED_VALUE"""),"")</f>
        <v/>
      </c>
      <c r="E178" t="str">
        <f>IFERROR(__xludf.DUMMYFUNCTION("""COMPUTED_VALUE"""),"")</f>
        <v/>
      </c>
      <c r="F178" t="str">
        <f>IFERROR(__xludf.DUMMYFUNCTION("""COMPUTED_VALUE"""),"")</f>
        <v/>
      </c>
      <c r="G178" t="str">
        <f>IFERROR(__xludf.DUMMYFUNCTION("""COMPUTED_VALUE"""),"")</f>
        <v/>
      </c>
      <c r="H178" t="str">
        <f>IFERROR(__xludf.DUMMYFUNCTION("""COMPUTED_VALUE"""),"")</f>
        <v/>
      </c>
      <c r="I178" t="str">
        <f>IFERROR(__xludf.DUMMYFUNCTION("""COMPUTED_VALUE"""),"")</f>
        <v/>
      </c>
      <c r="J178" t="str">
        <f>IFERROR(__xludf.DUMMYFUNCTION("""COMPUTED_VALUE"""),"")</f>
        <v/>
      </c>
      <c r="K178" t="str">
        <f>IFERROR(__xludf.DUMMYFUNCTION("""COMPUTED_VALUE"""),"")</f>
        <v/>
      </c>
      <c r="L178" t="str">
        <f>IFERROR(__xludf.DUMMYFUNCTION("""COMPUTED_VALUE"""),"")</f>
        <v/>
      </c>
    </row>
    <row r="179" ht="15.75" customHeight="1">
      <c r="A179" t="str">
        <f>IFERROR(__xludf.DUMMYFUNCTION("""COMPUTED_VALUE"""),"DailyValuation")</f>
        <v>DailyValuation</v>
      </c>
      <c r="B179" t="str">
        <f>IFERROR(__xludf.DUMMYFUNCTION("""COMPUTED_VALUE"""),"GetMarkPriceData")</f>
        <v>GetMarkPriceData</v>
      </c>
      <c r="C179" t="str">
        <f>IFERROR(__xludf.DUMMYFUNCTION("""COMPUTED_VALUE"""),"1NIxqFRW6hO3o7gkug_W-ZRDHlkaA6snAgVdpd8K2xA4")</f>
        <v>1NIxqFRW6hO3o7gkug_W-ZRDHlkaA6snAgVdpd8K2xA4</v>
      </c>
      <c r="D179" t="str">
        <f>IFERROR(__xludf.DUMMYFUNCTION("""COMPUTED_VALUE"""),"")</f>
        <v/>
      </c>
      <c r="E179" t="str">
        <f>IFERROR(__xludf.DUMMYFUNCTION("""COMPUTED_VALUE"""),"")</f>
        <v/>
      </c>
      <c r="F179" t="str">
        <f>IFERROR(__xludf.DUMMYFUNCTION("""COMPUTED_VALUE"""),"")</f>
        <v/>
      </c>
      <c r="G179" t="str">
        <f>IFERROR(__xludf.DUMMYFUNCTION("""COMPUTED_VALUE"""),"")</f>
        <v/>
      </c>
      <c r="H179" t="str">
        <f>IFERROR(__xludf.DUMMYFUNCTION("""COMPUTED_VALUE"""),"")</f>
        <v/>
      </c>
      <c r="I179" t="str">
        <f>IFERROR(__xludf.DUMMYFUNCTION("""COMPUTED_VALUE"""),"")</f>
        <v/>
      </c>
      <c r="J179" t="str">
        <f>IFERROR(__xludf.DUMMYFUNCTION("""COMPUTED_VALUE"""),"")</f>
        <v/>
      </c>
      <c r="K179" t="str">
        <f>IFERROR(__xludf.DUMMYFUNCTION("""COMPUTED_VALUE"""),"")</f>
        <v/>
      </c>
      <c r="L179" t="str">
        <f>IFERROR(__xludf.DUMMYFUNCTION("""COMPUTED_VALUE"""),"")</f>
        <v/>
      </c>
    </row>
    <row r="180" ht="15.75" customHeight="1">
      <c r="A180" t="str">
        <f>IFERROR(__xludf.DUMMYFUNCTION("""COMPUTED_VALUE"""),"DailyValuation")</f>
        <v>DailyValuation</v>
      </c>
      <c r="B180" t="str">
        <f>IFERROR(__xludf.DUMMYFUNCTION("""COMPUTED_VALUE"""),"GetForwardPoints")</f>
        <v>GetForwardPoints</v>
      </c>
      <c r="C180" t="str">
        <f>IFERROR(__xludf.DUMMYFUNCTION("""COMPUTED_VALUE"""),"11hX4oOfIZKxEBvdLS83-6pQVKc4swlGBapLI49USjho")</f>
        <v>11hX4oOfIZKxEBvdLS83-6pQVKc4swlGBapLI49USjho</v>
      </c>
      <c r="D180" t="str">
        <f>IFERROR(__xludf.DUMMYFUNCTION("""COMPUTED_VALUE"""),"")</f>
        <v/>
      </c>
      <c r="E180" t="str">
        <f>IFERROR(__xludf.DUMMYFUNCTION("""COMPUTED_VALUE"""),"")</f>
        <v/>
      </c>
      <c r="F180" t="str">
        <f>IFERROR(__xludf.DUMMYFUNCTION("""COMPUTED_VALUE"""),"")</f>
        <v/>
      </c>
      <c r="G180" t="str">
        <f>IFERROR(__xludf.DUMMYFUNCTION("""COMPUTED_VALUE"""),"")</f>
        <v/>
      </c>
      <c r="H180" t="str">
        <f>IFERROR(__xludf.DUMMYFUNCTION("""COMPUTED_VALUE"""),"")</f>
        <v/>
      </c>
      <c r="I180" t="str">
        <f>IFERROR(__xludf.DUMMYFUNCTION("""COMPUTED_VALUE"""),"")</f>
        <v/>
      </c>
      <c r="J180" t="str">
        <f>IFERROR(__xludf.DUMMYFUNCTION("""COMPUTED_VALUE"""),"")</f>
        <v/>
      </c>
      <c r="K180" t="str">
        <f>IFERROR(__xludf.DUMMYFUNCTION("""COMPUTED_VALUE"""),"")</f>
        <v/>
      </c>
      <c r="L180" t="str">
        <f>IFERROR(__xludf.DUMMYFUNCTION("""COMPUTED_VALUE"""),"")</f>
        <v/>
      </c>
    </row>
    <row r="181" ht="15.75" customHeight="1">
      <c r="A181" t="str">
        <f>IFERROR(__xludf.DUMMYFUNCTION("""COMPUTED_VALUE"""),"DailyValuation")</f>
        <v>DailyValuation</v>
      </c>
      <c r="B181" t="str">
        <f>IFERROR(__xludf.DUMMYFUNCTION("""COMPUTED_VALUE"""),"UpdateForwardPoints")</f>
        <v>UpdateForwardPoints</v>
      </c>
      <c r="C181" t="str">
        <f>IFERROR(__xludf.DUMMYFUNCTION("""COMPUTED_VALUE"""),"1lDeEb2buBvWgu1OSCJh6NnjKUxlKprChfx4D9ZCsKwk")</f>
        <v>1lDeEb2buBvWgu1OSCJh6NnjKUxlKprChfx4D9ZCsKwk</v>
      </c>
      <c r="D181" t="str">
        <f>IFERROR(__xludf.DUMMYFUNCTION("""COMPUTED_VALUE"""),"")</f>
        <v/>
      </c>
      <c r="E181" t="str">
        <f>IFERROR(__xludf.DUMMYFUNCTION("""COMPUTED_VALUE"""),"")</f>
        <v/>
      </c>
      <c r="F181" t="str">
        <f>IFERROR(__xludf.DUMMYFUNCTION("""COMPUTED_VALUE"""),"")</f>
        <v/>
      </c>
      <c r="G181" t="str">
        <f>IFERROR(__xludf.DUMMYFUNCTION("""COMPUTED_VALUE"""),"")</f>
        <v/>
      </c>
      <c r="H181" t="str">
        <f>IFERROR(__xludf.DUMMYFUNCTION("""COMPUTED_VALUE"""),"")</f>
        <v/>
      </c>
      <c r="I181" t="str">
        <f>IFERROR(__xludf.DUMMYFUNCTION("""COMPUTED_VALUE"""),"")</f>
        <v/>
      </c>
      <c r="J181" t="str">
        <f>IFERROR(__xludf.DUMMYFUNCTION("""COMPUTED_VALUE"""),"")</f>
        <v/>
      </c>
      <c r="K181" t="str">
        <f>IFERROR(__xludf.DUMMYFUNCTION("""COMPUTED_VALUE"""),"")</f>
        <v/>
      </c>
      <c r="L181" t="str">
        <f>IFERROR(__xludf.DUMMYFUNCTION("""COMPUTED_VALUE"""),"")</f>
        <v/>
      </c>
    </row>
    <row r="182" ht="15.75" customHeight="1">
      <c r="A182" t="str">
        <f>IFERROR(__xludf.DUMMYFUNCTION("""COMPUTED_VALUE"""),"DailyValuation")</f>
        <v>DailyValuation</v>
      </c>
      <c r="B182" t="str">
        <f>IFERROR(__xludf.DUMMYFUNCTION("""COMPUTED_VALUE"""),"GetForexConversion")</f>
        <v>GetForexConversion</v>
      </c>
      <c r="C182" t="str">
        <f>IFERROR(__xludf.DUMMYFUNCTION("""COMPUTED_VALUE"""),"15Ez0MbQhn35K7KDtdMPxBfexxg6QOLfyORrrD3R7qI8")</f>
        <v>15Ez0MbQhn35K7KDtdMPxBfexxg6QOLfyORrrD3R7qI8</v>
      </c>
      <c r="D182" t="str">
        <f>IFERROR(__xludf.DUMMYFUNCTION("""COMPUTED_VALUE"""),"")</f>
        <v/>
      </c>
      <c r="E182" t="str">
        <f>IFERROR(__xludf.DUMMYFUNCTION("""COMPUTED_VALUE"""),"")</f>
        <v/>
      </c>
      <c r="F182" t="str">
        <f>IFERROR(__xludf.DUMMYFUNCTION("""COMPUTED_VALUE"""),"")</f>
        <v/>
      </c>
      <c r="G182" t="str">
        <f>IFERROR(__xludf.DUMMYFUNCTION("""COMPUTED_VALUE"""),"")</f>
        <v/>
      </c>
      <c r="H182" t="str">
        <f>IFERROR(__xludf.DUMMYFUNCTION("""COMPUTED_VALUE"""),"")</f>
        <v/>
      </c>
      <c r="I182" t="str">
        <f>IFERROR(__xludf.DUMMYFUNCTION("""COMPUTED_VALUE"""),"")</f>
        <v/>
      </c>
      <c r="J182" t="str">
        <f>IFERROR(__xludf.DUMMYFUNCTION("""COMPUTED_VALUE"""),"")</f>
        <v/>
      </c>
      <c r="K182" t="str">
        <f>IFERROR(__xludf.DUMMYFUNCTION("""COMPUTED_VALUE"""),"")</f>
        <v/>
      </c>
      <c r="L182" t="str">
        <f>IFERROR(__xludf.DUMMYFUNCTION("""COMPUTED_VALUE"""),"")</f>
        <v/>
      </c>
    </row>
    <row r="183" ht="15.75" customHeight="1">
      <c r="A183" t="str">
        <f>IFERROR(__xludf.DUMMYFUNCTION("""COMPUTED_VALUE"""),"DailyValuation")</f>
        <v>DailyValuation</v>
      </c>
      <c r="B183" t="str">
        <f>IFERROR(__xludf.DUMMYFUNCTION("""COMPUTED_VALUE"""),"DeleteNAV")</f>
        <v>DeleteNAV</v>
      </c>
      <c r="C183" t="str">
        <f>IFERROR(__xludf.DUMMYFUNCTION("""COMPUTED_VALUE"""),"1JF6fLvYrKC9Sn5-TyS3-I2R7LfC9n72HPAI8VLWJr_g")</f>
        <v>1JF6fLvYrKC9Sn5-TyS3-I2R7LfC9n72HPAI8VLWJr_g</v>
      </c>
      <c r="D183" t="str">
        <f>IFERROR(__xludf.DUMMYFUNCTION("""COMPUTED_VALUE"""),"")</f>
        <v/>
      </c>
      <c r="E183" t="str">
        <f>IFERROR(__xludf.DUMMYFUNCTION("""COMPUTED_VALUE"""),"")</f>
        <v/>
      </c>
      <c r="F183" t="str">
        <f>IFERROR(__xludf.DUMMYFUNCTION("""COMPUTED_VALUE"""),"")</f>
        <v/>
      </c>
      <c r="G183" t="str">
        <f>IFERROR(__xludf.DUMMYFUNCTION("""COMPUTED_VALUE"""),"")</f>
        <v/>
      </c>
      <c r="H183" t="str">
        <f>IFERROR(__xludf.DUMMYFUNCTION("""COMPUTED_VALUE"""),"")</f>
        <v/>
      </c>
      <c r="I183" t="str">
        <f>IFERROR(__xludf.DUMMYFUNCTION("""COMPUTED_VALUE"""),"")</f>
        <v/>
      </c>
      <c r="J183" t="str">
        <f>IFERROR(__xludf.DUMMYFUNCTION("""COMPUTED_VALUE"""),"")</f>
        <v/>
      </c>
      <c r="K183" t="str">
        <f>IFERROR(__xludf.DUMMYFUNCTION("""COMPUTED_VALUE"""),"")</f>
        <v/>
      </c>
      <c r="L183" t="str">
        <f>IFERROR(__xludf.DUMMYFUNCTION("""COMPUTED_VALUE"""),"")</f>
        <v/>
      </c>
    </row>
    <row r="184" ht="15.75" customHeight="1">
      <c r="A184" t="str">
        <f>IFERROR(__xludf.DUMMYFUNCTION("""COMPUTED_VALUE"""),"Allocation")</f>
        <v>Allocation</v>
      </c>
      <c r="B184" t="str">
        <f>IFERROR(__xludf.DUMMYFUNCTION("""COMPUTED_VALUE"""),"CheckUnallocatedGroups")</f>
        <v>CheckUnallocatedGroups</v>
      </c>
      <c r="C184" t="str">
        <f>IFERROR(__xludf.DUMMYFUNCTION("""COMPUTED_VALUE"""),"1uDsVwLW9b8TEVShY-j_ut_kq18E4Re5weYncy-uH1tE")</f>
        <v>1uDsVwLW9b8TEVShY-j_ut_kq18E4Re5weYncy-uH1tE</v>
      </c>
      <c r="D184" t="str">
        <f>IFERROR(__xludf.DUMMYFUNCTION("""COMPUTED_VALUE"""),"")</f>
        <v/>
      </c>
      <c r="E184" t="str">
        <f>IFERROR(__xludf.DUMMYFUNCTION("""COMPUTED_VALUE"""),"")</f>
        <v/>
      </c>
      <c r="F184" t="str">
        <f>IFERROR(__xludf.DUMMYFUNCTION("""COMPUTED_VALUE"""),"")</f>
        <v/>
      </c>
      <c r="G184" t="str">
        <f>IFERROR(__xludf.DUMMYFUNCTION("""COMPUTED_VALUE"""),"")</f>
        <v/>
      </c>
      <c r="H184" t="str">
        <f>IFERROR(__xludf.DUMMYFUNCTION("""COMPUTED_VALUE"""),"")</f>
        <v/>
      </c>
      <c r="I184" t="str">
        <f>IFERROR(__xludf.DUMMYFUNCTION("""COMPUTED_VALUE"""),"")</f>
        <v/>
      </c>
      <c r="J184" t="str">
        <f>IFERROR(__xludf.DUMMYFUNCTION("""COMPUTED_VALUE"""),"")</f>
        <v/>
      </c>
      <c r="K184" t="str">
        <f>IFERROR(__xludf.DUMMYFUNCTION("""COMPUTED_VALUE"""),"")</f>
        <v/>
      </c>
      <c r="L184" t="str">
        <f>IFERROR(__xludf.DUMMYFUNCTION("""COMPUTED_VALUE"""),"")</f>
        <v/>
      </c>
    </row>
    <row r="185" ht="15.75" customHeight="1">
      <c r="A185" t="str">
        <f>IFERROR(__xludf.DUMMYFUNCTION("""COMPUTED_VALUE"""),"DailyValuation")</f>
        <v>DailyValuation</v>
      </c>
      <c r="B185" t="str">
        <f>IFERROR(__xludf.DUMMYFUNCTION("""COMPUTED_VALUE"""),"GetDailyCash")</f>
        <v>GetDailyCash</v>
      </c>
      <c r="C185" t="str">
        <f>IFERROR(__xludf.DUMMYFUNCTION("""COMPUTED_VALUE"""),"12I6Q5d2VpAvDFSyHcGNJGG_m8QPY_Gf0bbMoiA8GE_0")</f>
        <v>12I6Q5d2VpAvDFSyHcGNJGG_m8QPY_Gf0bbMoiA8GE_0</v>
      </c>
      <c r="D185" t="str">
        <f>IFERROR(__xludf.DUMMYFUNCTION("""COMPUTED_VALUE"""),"")</f>
        <v/>
      </c>
      <c r="E185" t="str">
        <f>IFERROR(__xludf.DUMMYFUNCTION("""COMPUTED_VALUE"""),"")</f>
        <v/>
      </c>
      <c r="F185" t="str">
        <f>IFERROR(__xludf.DUMMYFUNCTION("""COMPUTED_VALUE"""),"")</f>
        <v/>
      </c>
      <c r="G185" t="str">
        <f>IFERROR(__xludf.DUMMYFUNCTION("""COMPUTED_VALUE"""),"")</f>
        <v/>
      </c>
      <c r="H185" t="str">
        <f>IFERROR(__xludf.DUMMYFUNCTION("""COMPUTED_VALUE"""),"")</f>
        <v/>
      </c>
      <c r="I185" t="str">
        <f>IFERROR(__xludf.DUMMYFUNCTION("""COMPUTED_VALUE"""),"")</f>
        <v/>
      </c>
      <c r="J185" t="str">
        <f>IFERROR(__xludf.DUMMYFUNCTION("""COMPUTED_VALUE"""),"")</f>
        <v/>
      </c>
      <c r="K185" t="str">
        <f>IFERROR(__xludf.DUMMYFUNCTION("""COMPUTED_VALUE"""),"")</f>
        <v/>
      </c>
      <c r="L185" t="str">
        <f>IFERROR(__xludf.DUMMYFUNCTION("""COMPUTED_VALUE"""),"")</f>
        <v/>
      </c>
    </row>
    <row r="186" ht="15.75" customHeight="1">
      <c r="A186" t="str">
        <f>IFERROR(__xludf.DUMMYFUNCTION("""COMPUTED_VALUE"""),"Allocation")</f>
        <v>Allocation</v>
      </c>
      <c r="B186" t="str">
        <f>IFERROR(__xludf.DUMMYFUNCTION("""COMPUTED_VALUE"""),"SetGeneralPreferences")</f>
        <v>SetGeneralPreferences</v>
      </c>
      <c r="C186" t="str">
        <f>IFERROR(__xludf.DUMMYFUNCTION("""COMPUTED_VALUE"""),"1jAzFL5XZAAfLw8yxhch5Uylta8SX4hiHfWzCcMWtmN0")</f>
        <v>1jAzFL5XZAAfLw8yxhch5Uylta8SX4hiHfWzCcMWtmN0</v>
      </c>
      <c r="D186" t="str">
        <f>IFERROR(__xludf.DUMMYFUNCTION("""COMPUTED_VALUE"""),"")</f>
        <v/>
      </c>
      <c r="E186" t="str">
        <f>IFERROR(__xludf.DUMMYFUNCTION("""COMPUTED_VALUE"""),"")</f>
        <v/>
      </c>
      <c r="F186" t="str">
        <f>IFERROR(__xludf.DUMMYFUNCTION("""COMPUTED_VALUE"""),"")</f>
        <v/>
      </c>
      <c r="G186" t="str">
        <f>IFERROR(__xludf.DUMMYFUNCTION("""COMPUTED_VALUE"""),"")</f>
        <v/>
      </c>
      <c r="H186" t="str">
        <f>IFERROR(__xludf.DUMMYFUNCTION("""COMPUTED_VALUE"""),"")</f>
        <v/>
      </c>
      <c r="I186" t="str">
        <f>IFERROR(__xludf.DUMMYFUNCTION("""COMPUTED_VALUE"""),"")</f>
        <v/>
      </c>
      <c r="J186" t="str">
        <f>IFERROR(__xludf.DUMMYFUNCTION("""COMPUTED_VALUE"""),"")</f>
        <v/>
      </c>
      <c r="K186" t="str">
        <f>IFERROR(__xludf.DUMMYFUNCTION("""COMPUTED_VALUE"""),"")</f>
        <v/>
      </c>
      <c r="L186" t="str">
        <f>IFERROR(__xludf.DUMMYFUNCTION("""COMPUTED_VALUE"""),"")</f>
        <v/>
      </c>
    </row>
    <row r="187" ht="15.75" customHeight="1">
      <c r="A187" t="str">
        <f>IFERROR(__xludf.DUMMYFUNCTION("""COMPUTED_VALUE"""),"DailyValuation")</f>
        <v>DailyValuation</v>
      </c>
      <c r="B187" t="str">
        <f>IFERROR(__xludf.DUMMYFUNCTION("""COMPUTED_VALUE"""),"GetDailyBeta")</f>
        <v>GetDailyBeta</v>
      </c>
      <c r="C187" t="str">
        <f>IFERROR(__xludf.DUMMYFUNCTION("""COMPUTED_VALUE"""),"1gG0uUz-Upr6j_nNv7o9ydqTkxVdr514WUQfLPd41Ha4")</f>
        <v>1gG0uUz-Upr6j_nNv7o9ydqTkxVdr514WUQfLPd41Ha4</v>
      </c>
      <c r="D187" t="str">
        <f>IFERROR(__xludf.DUMMYFUNCTION("""COMPUTED_VALUE"""),"")</f>
        <v/>
      </c>
      <c r="E187" t="str">
        <f>IFERROR(__xludf.DUMMYFUNCTION("""COMPUTED_VALUE"""),"")</f>
        <v/>
      </c>
      <c r="F187" t="str">
        <f>IFERROR(__xludf.DUMMYFUNCTION("""COMPUTED_VALUE"""),"")</f>
        <v/>
      </c>
      <c r="G187" t="str">
        <f>IFERROR(__xludf.DUMMYFUNCTION("""COMPUTED_VALUE"""),"")</f>
        <v/>
      </c>
      <c r="H187" t="str">
        <f>IFERROR(__xludf.DUMMYFUNCTION("""COMPUTED_VALUE"""),"")</f>
        <v/>
      </c>
      <c r="I187" t="str">
        <f>IFERROR(__xludf.DUMMYFUNCTION("""COMPUTED_VALUE"""),"")</f>
        <v/>
      </c>
      <c r="J187" t="str">
        <f>IFERROR(__xludf.DUMMYFUNCTION("""COMPUTED_VALUE"""),"")</f>
        <v/>
      </c>
      <c r="K187" t="str">
        <f>IFERROR(__xludf.DUMMYFUNCTION("""COMPUTED_VALUE"""),"")</f>
        <v/>
      </c>
      <c r="L187" t="str">
        <f>IFERROR(__xludf.DUMMYFUNCTION("""COMPUTED_VALUE"""),"")</f>
        <v/>
      </c>
    </row>
    <row r="188" ht="15.75" customHeight="1">
      <c r="A188" t="str">
        <f>IFERROR(__xludf.DUMMYFUNCTION("""COMPUTED_VALUE"""),"DailyValuation")</f>
        <v>DailyValuation</v>
      </c>
      <c r="B188" t="str">
        <f>IFERROR(__xludf.DUMMYFUNCTION("""COMPUTED_VALUE"""),"GetDailyVolatility")</f>
        <v>GetDailyVolatility</v>
      </c>
      <c r="C188" t="str">
        <f>IFERROR(__xludf.DUMMYFUNCTION("""COMPUTED_VALUE"""),"1vI4jNAUSGdUG6xvjysTCvc6awnnEgXiNdfWdNpVkdIE")</f>
        <v>1vI4jNAUSGdUG6xvjysTCvc6awnnEgXiNdfWdNpVkdIE</v>
      </c>
      <c r="D188" t="str">
        <f>IFERROR(__xludf.DUMMYFUNCTION("""COMPUTED_VALUE"""),"")</f>
        <v/>
      </c>
      <c r="E188" t="str">
        <f>IFERROR(__xludf.DUMMYFUNCTION("""COMPUTED_VALUE"""),"")</f>
        <v/>
      </c>
      <c r="F188" t="str">
        <f>IFERROR(__xludf.DUMMYFUNCTION("""COMPUTED_VALUE"""),"")</f>
        <v/>
      </c>
      <c r="G188" t="str">
        <f>IFERROR(__xludf.DUMMYFUNCTION("""COMPUTED_VALUE"""),"")</f>
        <v/>
      </c>
      <c r="H188" t="str">
        <f>IFERROR(__xludf.DUMMYFUNCTION("""COMPUTED_VALUE"""),"")</f>
        <v/>
      </c>
      <c r="I188" t="str">
        <f>IFERROR(__xludf.DUMMYFUNCTION("""COMPUTED_VALUE"""),"")</f>
        <v/>
      </c>
      <c r="J188" t="str">
        <f>IFERROR(__xludf.DUMMYFUNCTION("""COMPUTED_VALUE"""),"")</f>
        <v/>
      </c>
      <c r="K188" t="str">
        <f>IFERROR(__xludf.DUMMYFUNCTION("""COMPUTED_VALUE"""),"")</f>
        <v/>
      </c>
      <c r="L188" t="str">
        <f>IFERROR(__xludf.DUMMYFUNCTION("""COMPUTED_VALUE"""),"")</f>
        <v/>
      </c>
    </row>
    <row r="189" ht="15.75" customHeight="1">
      <c r="A189" t="str">
        <f>IFERROR(__xludf.DUMMYFUNCTION("""COMPUTED_VALUE"""),"DailyValuation")</f>
        <v>DailyValuation</v>
      </c>
      <c r="B189" t="str">
        <f>IFERROR(__xludf.DUMMYFUNCTION("""COMPUTED_VALUE"""),"GetDailyDividendYield")</f>
        <v>GetDailyDividendYield</v>
      </c>
      <c r="C189" t="str">
        <f>IFERROR(__xludf.DUMMYFUNCTION("""COMPUTED_VALUE"""),"1hEt6xnVuw25cLBsI-Ve9ddGC7eYgEF6P8njkDhI_xsQ")</f>
        <v>1hEt6xnVuw25cLBsI-Ve9ddGC7eYgEF6P8njkDhI_xsQ</v>
      </c>
      <c r="D189" t="str">
        <f>IFERROR(__xludf.DUMMYFUNCTION("""COMPUTED_VALUE"""),"")</f>
        <v/>
      </c>
      <c r="E189" t="str">
        <f>IFERROR(__xludf.DUMMYFUNCTION("""COMPUTED_VALUE"""),"")</f>
        <v/>
      </c>
      <c r="F189" t="str">
        <f>IFERROR(__xludf.DUMMYFUNCTION("""COMPUTED_VALUE"""),"")</f>
        <v/>
      </c>
      <c r="G189" t="str">
        <f>IFERROR(__xludf.DUMMYFUNCTION("""COMPUTED_VALUE"""),"")</f>
        <v/>
      </c>
      <c r="H189" t="str">
        <f>IFERROR(__xludf.DUMMYFUNCTION("""COMPUTED_VALUE"""),"")</f>
        <v/>
      </c>
      <c r="I189" t="str">
        <f>IFERROR(__xludf.DUMMYFUNCTION("""COMPUTED_VALUE"""),"")</f>
        <v/>
      </c>
      <c r="J189" t="str">
        <f>IFERROR(__xludf.DUMMYFUNCTION("""COMPUTED_VALUE"""),"")</f>
        <v/>
      </c>
      <c r="K189" t="str">
        <f>IFERROR(__xludf.DUMMYFUNCTION("""COMPUTED_VALUE"""),"")</f>
        <v/>
      </c>
      <c r="L189" t="str">
        <f>IFERROR(__xludf.DUMMYFUNCTION("""COMPUTED_VALUE"""),"")</f>
        <v/>
      </c>
    </row>
    <row r="190" ht="15.75" customHeight="1">
      <c r="A190" t="str">
        <f>IFERROR(__xludf.DUMMYFUNCTION("""COMPUTED_VALUE"""),"DailyValuation")</f>
        <v>DailyValuation</v>
      </c>
      <c r="B190" t="str">
        <f>IFERROR(__xludf.DUMMYFUNCTION("""COMPUTED_VALUE"""),"GetDailyTradingVolume")</f>
        <v>GetDailyTradingVolume</v>
      </c>
      <c r="C190" t="str">
        <f>IFERROR(__xludf.DUMMYFUNCTION("""COMPUTED_VALUE"""),"1l3UMevp9h45oN8SOXDCJMeQ1dHDluUropGW6rCZ1Ja0")</f>
        <v>1l3UMevp9h45oN8SOXDCJMeQ1dHDluUropGW6rCZ1Ja0</v>
      </c>
      <c r="D190" t="str">
        <f>IFERROR(__xludf.DUMMYFUNCTION("""COMPUTED_VALUE"""),"")</f>
        <v/>
      </c>
      <c r="E190" t="str">
        <f>IFERROR(__xludf.DUMMYFUNCTION("""COMPUTED_VALUE"""),"")</f>
        <v/>
      </c>
      <c r="F190" t="str">
        <f>IFERROR(__xludf.DUMMYFUNCTION("""COMPUTED_VALUE"""),"")</f>
        <v/>
      </c>
      <c r="G190" t="str">
        <f>IFERROR(__xludf.DUMMYFUNCTION("""COMPUTED_VALUE"""),"")</f>
        <v/>
      </c>
      <c r="H190" t="str">
        <f>IFERROR(__xludf.DUMMYFUNCTION("""COMPUTED_VALUE"""),"")</f>
        <v/>
      </c>
      <c r="I190" t="str">
        <f>IFERROR(__xludf.DUMMYFUNCTION("""COMPUTED_VALUE"""),"")</f>
        <v/>
      </c>
      <c r="J190" t="str">
        <f>IFERROR(__xludf.DUMMYFUNCTION("""COMPUTED_VALUE"""),"")</f>
        <v/>
      </c>
      <c r="K190" t="str">
        <f>IFERROR(__xludf.DUMMYFUNCTION("""COMPUTED_VALUE"""),"")</f>
        <v/>
      </c>
      <c r="L190" t="str">
        <f>IFERROR(__xludf.DUMMYFUNCTION("""COMPUTED_VALUE"""),"")</f>
        <v/>
      </c>
    </row>
    <row r="191" ht="15.75" customHeight="1">
      <c r="A191" t="str">
        <f>IFERROR(__xludf.DUMMYFUNCTION("""COMPUTED_VALUE"""),"DailyValuation")</f>
        <v>DailyValuation</v>
      </c>
      <c r="B191" t="str">
        <f>IFERROR(__xludf.DUMMYFUNCTION("""COMPUTED_VALUE"""),"GetDailyOutstandings")</f>
        <v>GetDailyOutstandings</v>
      </c>
      <c r="C191" t="str">
        <f>IFERROR(__xludf.DUMMYFUNCTION("""COMPUTED_VALUE"""),"1qMvNw9pd6SImE9vO8N9MXt8z4nrtH_Fd-BraVePtfFY")</f>
        <v>1qMvNw9pd6SImE9vO8N9MXt8z4nrtH_Fd-BraVePtfFY</v>
      </c>
      <c r="D191" t="str">
        <f>IFERROR(__xludf.DUMMYFUNCTION("""COMPUTED_VALUE"""),"")</f>
        <v/>
      </c>
      <c r="E191" t="str">
        <f>IFERROR(__xludf.DUMMYFUNCTION("""COMPUTED_VALUE"""),"")</f>
        <v/>
      </c>
      <c r="F191" t="str">
        <f>IFERROR(__xludf.DUMMYFUNCTION("""COMPUTED_VALUE"""),"")</f>
        <v/>
      </c>
      <c r="G191" t="str">
        <f>IFERROR(__xludf.DUMMYFUNCTION("""COMPUTED_VALUE"""),"")</f>
        <v/>
      </c>
      <c r="H191" t="str">
        <f>IFERROR(__xludf.DUMMYFUNCTION("""COMPUTED_VALUE"""),"")</f>
        <v/>
      </c>
      <c r="I191" t="str">
        <f>IFERROR(__xludf.DUMMYFUNCTION("""COMPUTED_VALUE"""),"")</f>
        <v/>
      </c>
      <c r="J191" t="str">
        <f>IFERROR(__xludf.DUMMYFUNCTION("""COMPUTED_VALUE"""),"")</f>
        <v/>
      </c>
      <c r="K191" t="str">
        <f>IFERROR(__xludf.DUMMYFUNCTION("""COMPUTED_VALUE"""),"")</f>
        <v/>
      </c>
      <c r="L191" t="str">
        <f>IFERROR(__xludf.DUMMYFUNCTION("""COMPUTED_VALUE"""),"")</f>
        <v/>
      </c>
    </row>
    <row r="192" ht="15.75" customHeight="1">
      <c r="A192" t="str">
        <f>IFERROR(__xludf.DUMMYFUNCTION("""COMPUTED_VALUE"""),"Allocation")</f>
        <v>Allocation</v>
      </c>
      <c r="B192" t="str">
        <f>IFERROR(__xludf.DUMMYFUNCTION("""COMPUTED_VALUE"""),"GroupTrades")</f>
        <v>GroupTrades</v>
      </c>
      <c r="C192" t="str">
        <f>IFERROR(__xludf.DUMMYFUNCTION("""COMPUTED_VALUE"""),"1jfUJOmRerGO0dVQ4dI89-flzuofAROPMO6VcDQbXwDU")</f>
        <v>1jfUJOmRerGO0dVQ4dI89-flzuofAROPMO6VcDQbXwDU</v>
      </c>
      <c r="D192" t="str">
        <f>IFERROR(__xludf.DUMMYFUNCTION("""COMPUTED_VALUE"""),"")</f>
        <v/>
      </c>
      <c r="E192" t="str">
        <f>IFERROR(__xludf.DUMMYFUNCTION("""COMPUTED_VALUE"""),"")</f>
        <v/>
      </c>
      <c r="F192" t="str">
        <f>IFERROR(__xludf.DUMMYFUNCTION("""COMPUTED_VALUE"""),"")</f>
        <v/>
      </c>
      <c r="G192" t="str">
        <f>IFERROR(__xludf.DUMMYFUNCTION("""COMPUTED_VALUE"""),"")</f>
        <v/>
      </c>
      <c r="H192" t="str">
        <f>IFERROR(__xludf.DUMMYFUNCTION("""COMPUTED_VALUE"""),"")</f>
        <v/>
      </c>
      <c r="I192" t="str">
        <f>IFERROR(__xludf.DUMMYFUNCTION("""COMPUTED_VALUE"""),"")</f>
        <v/>
      </c>
      <c r="J192" t="str">
        <f>IFERROR(__xludf.DUMMYFUNCTION("""COMPUTED_VALUE"""),"")</f>
        <v/>
      </c>
      <c r="K192" t="str">
        <f>IFERROR(__xludf.DUMMYFUNCTION("""COMPUTED_VALUE"""),"")</f>
        <v/>
      </c>
      <c r="L192" t="str">
        <f>IFERROR(__xludf.DUMMYFUNCTION("""COMPUTED_VALUE"""),"")</f>
        <v/>
      </c>
    </row>
    <row r="193" ht="15.75" customHeight="1">
      <c r="A193" t="str">
        <f>IFERROR(__xludf.DUMMYFUNCTION("""COMPUTED_VALUE"""),"Allocation")</f>
        <v>Allocation</v>
      </c>
      <c r="B193" t="str">
        <f>IFERROR(__xludf.DUMMYFUNCTION("""COMPUTED_VALUE"""),"UngroupTrades")</f>
        <v>UngroupTrades</v>
      </c>
      <c r="C193" t="str">
        <f>IFERROR(__xludf.DUMMYFUNCTION("""COMPUTED_VALUE"""),"18HP9fc6jV5UlsSwvfXYnWOMHexpMe80JdMrYKFZYaDs")</f>
        <v>18HP9fc6jV5UlsSwvfXYnWOMHexpMe80JdMrYKFZYaDs</v>
      </c>
      <c r="D193" t="str">
        <f>IFERROR(__xludf.DUMMYFUNCTION("""COMPUTED_VALUE"""),"")</f>
        <v/>
      </c>
      <c r="E193" t="str">
        <f>IFERROR(__xludf.DUMMYFUNCTION("""COMPUTED_VALUE"""),"")</f>
        <v/>
      </c>
      <c r="F193" t="str">
        <f>IFERROR(__xludf.DUMMYFUNCTION("""COMPUTED_VALUE"""),"")</f>
        <v/>
      </c>
      <c r="G193" t="str">
        <f>IFERROR(__xludf.DUMMYFUNCTION("""COMPUTED_VALUE"""),"")</f>
        <v/>
      </c>
      <c r="H193" t="str">
        <f>IFERROR(__xludf.DUMMYFUNCTION("""COMPUTED_VALUE"""),"")</f>
        <v/>
      </c>
      <c r="I193" t="str">
        <f>IFERROR(__xludf.DUMMYFUNCTION("""COMPUTED_VALUE"""),"")</f>
        <v/>
      </c>
      <c r="J193" t="str">
        <f>IFERROR(__xludf.DUMMYFUNCTION("""COMPUTED_VALUE"""),"")</f>
        <v/>
      </c>
      <c r="K193" t="str">
        <f>IFERROR(__xludf.DUMMYFUNCTION("""COMPUTED_VALUE"""),"")</f>
        <v/>
      </c>
      <c r="L193" t="str">
        <f>IFERROR(__xludf.DUMMYFUNCTION("""COMPUTED_VALUE"""),"")</f>
        <v/>
      </c>
    </row>
    <row r="194" ht="15.75" customHeight="1">
      <c r="A194" t="str">
        <f>IFERROR(__xludf.DUMMYFUNCTION("""COMPUTED_VALUE"""),"Allocation")</f>
        <v>Allocation</v>
      </c>
      <c r="B194" t="str">
        <f>IFERROR(__xludf.DUMMYFUNCTION("""COMPUTED_VALUE"""),"DeleteGroup")</f>
        <v>DeleteGroup</v>
      </c>
      <c r="C194" t="str">
        <f>IFERROR(__xludf.DUMMYFUNCTION("""COMPUTED_VALUE"""),"1g15gYgbNgiqhhlIWBSRtatFTjPRMBBC6SrmmBNM1Pkc")</f>
        <v>1g15gYgbNgiqhhlIWBSRtatFTjPRMBBC6SrmmBNM1Pkc</v>
      </c>
      <c r="D194" t="str">
        <f>IFERROR(__xludf.DUMMYFUNCTION("""COMPUTED_VALUE"""),"")</f>
        <v/>
      </c>
      <c r="E194" t="str">
        <f>IFERROR(__xludf.DUMMYFUNCTION("""COMPUTED_VALUE"""),"")</f>
        <v/>
      </c>
      <c r="F194" t="str">
        <f>IFERROR(__xludf.DUMMYFUNCTION("""COMPUTED_VALUE"""),"")</f>
        <v/>
      </c>
      <c r="G194" t="str">
        <f>IFERROR(__xludf.DUMMYFUNCTION("""COMPUTED_VALUE"""),"")</f>
        <v/>
      </c>
      <c r="H194" t="str">
        <f>IFERROR(__xludf.DUMMYFUNCTION("""COMPUTED_VALUE"""),"")</f>
        <v/>
      </c>
      <c r="I194" t="str">
        <f>IFERROR(__xludf.DUMMYFUNCTION("""COMPUTED_VALUE"""),"")</f>
        <v/>
      </c>
      <c r="J194" t="str">
        <f>IFERROR(__xludf.DUMMYFUNCTION("""COMPUTED_VALUE"""),"")</f>
        <v/>
      </c>
      <c r="K194" t="str">
        <f>IFERROR(__xludf.DUMMYFUNCTION("""COMPUTED_VALUE"""),"")</f>
        <v/>
      </c>
      <c r="L194" t="str">
        <f>IFERROR(__xludf.DUMMYFUNCTION("""COMPUTED_VALUE"""),"")</f>
        <v/>
      </c>
    </row>
    <row r="195" ht="15.75" customHeight="1">
      <c r="A195" t="str">
        <f>IFERROR(__xludf.DUMMYFUNCTION("""COMPUTED_VALUE"""),"Allocation")</f>
        <v>Allocation</v>
      </c>
      <c r="B195" t="str">
        <f>IFERROR(__xludf.DUMMYFUNCTION("""COMPUTED_VALUE"""),"CloseOrder")</f>
        <v>CloseOrder</v>
      </c>
      <c r="C195" t="str">
        <f>IFERROR(__xludf.DUMMYFUNCTION("""COMPUTED_VALUE"""),"1PjPKM0VaZH7pOb0yKIqHZbera4HKMSx4-yaxj2MfMqM")</f>
        <v>1PjPKM0VaZH7pOb0yKIqHZbera4HKMSx4-yaxj2MfMqM</v>
      </c>
      <c r="D195" t="str">
        <f>IFERROR(__xludf.DUMMYFUNCTION("""COMPUTED_VALUE"""),"")</f>
        <v/>
      </c>
      <c r="E195" t="str">
        <f>IFERROR(__xludf.DUMMYFUNCTION("""COMPUTED_VALUE"""),"")</f>
        <v/>
      </c>
      <c r="F195" t="str">
        <f>IFERROR(__xludf.DUMMYFUNCTION("""COMPUTED_VALUE"""),"")</f>
        <v/>
      </c>
      <c r="G195" t="str">
        <f>IFERROR(__xludf.DUMMYFUNCTION("""COMPUTED_VALUE"""),"")</f>
        <v/>
      </c>
      <c r="H195" t="str">
        <f>IFERROR(__xludf.DUMMYFUNCTION("""COMPUTED_VALUE"""),"")</f>
        <v/>
      </c>
      <c r="I195" t="str">
        <f>IFERROR(__xludf.DUMMYFUNCTION("""COMPUTED_VALUE"""),"")</f>
        <v/>
      </c>
      <c r="J195" t="str">
        <f>IFERROR(__xludf.DUMMYFUNCTION("""COMPUTED_VALUE"""),"")</f>
        <v/>
      </c>
      <c r="K195" t="str">
        <f>IFERROR(__xludf.DUMMYFUNCTION("""COMPUTED_VALUE"""),"")</f>
        <v/>
      </c>
      <c r="L195" t="str">
        <f>IFERROR(__xludf.DUMMYFUNCTION("""COMPUTED_VALUE"""),"")</f>
        <v/>
      </c>
    </row>
    <row r="196" ht="15.75" customHeight="1">
      <c r="A196" t="str">
        <f>IFERROR(__xludf.DUMMYFUNCTION("""COMPUTED_VALUE"""),"Allocation")</f>
        <v>Allocation</v>
      </c>
      <c r="B196" t="str">
        <f>IFERROR(__xludf.DUMMYFUNCTION("""COMPUTED_VALUE"""),"Unallocate")</f>
        <v>Unallocate</v>
      </c>
      <c r="C196" t="str">
        <f>IFERROR(__xludf.DUMMYFUNCTION("""COMPUTED_VALUE"""),"153rAtnJuNh4UK26GjSOxUSjAHcOxzWv7CRGvmhrIJRs")</f>
        <v>153rAtnJuNh4UK26GjSOxUSjAHcOxzWv7CRGvmhrIJRs</v>
      </c>
      <c r="D196" t="str">
        <f>IFERROR(__xludf.DUMMYFUNCTION("""COMPUTED_VALUE"""),"")</f>
        <v/>
      </c>
      <c r="E196" t="str">
        <f>IFERROR(__xludf.DUMMYFUNCTION("""COMPUTED_VALUE"""),"")</f>
        <v/>
      </c>
      <c r="F196" t="str">
        <f>IFERROR(__xludf.DUMMYFUNCTION("""COMPUTED_VALUE"""),"")</f>
        <v/>
      </c>
      <c r="G196" t="str">
        <f>IFERROR(__xludf.DUMMYFUNCTION("""COMPUTED_VALUE"""),"")</f>
        <v/>
      </c>
      <c r="H196" t="str">
        <f>IFERROR(__xludf.DUMMYFUNCTION("""COMPUTED_VALUE"""),"")</f>
        <v/>
      </c>
      <c r="I196" t="str">
        <f>IFERROR(__xludf.DUMMYFUNCTION("""COMPUTED_VALUE"""),"")</f>
        <v/>
      </c>
      <c r="J196" t="str">
        <f>IFERROR(__xludf.DUMMYFUNCTION("""COMPUTED_VALUE"""),"")</f>
        <v/>
      </c>
      <c r="K196" t="str">
        <f>IFERROR(__xludf.DUMMYFUNCTION("""COMPUTED_VALUE"""),"")</f>
        <v/>
      </c>
      <c r="L196" t="str">
        <f>IFERROR(__xludf.DUMMYFUNCTION("""COMPUTED_VALUE"""),"")</f>
        <v/>
      </c>
    </row>
    <row r="197" ht="15.75" customHeight="1">
      <c r="A197" t="str">
        <f>IFERROR(__xludf.DUMMYFUNCTION("""COMPUTED_VALUE"""),"DailyValuation")</f>
        <v>DailyValuation</v>
      </c>
      <c r="B197" t="str">
        <f>IFERROR(__xludf.DUMMYFUNCTION("""COMPUTED_VALUE"""),"GetDailyDelta")</f>
        <v>GetDailyDelta</v>
      </c>
      <c r="C197" t="str">
        <f>IFERROR(__xludf.DUMMYFUNCTION("""COMPUTED_VALUE"""),"1QtaQDH7V1c0A0yDQl2SL67HhtdpeojzJDU2qg7qKQY8")</f>
        <v>1QtaQDH7V1c0A0yDQl2SL67HhtdpeojzJDU2qg7qKQY8</v>
      </c>
      <c r="D197" t="str">
        <f>IFERROR(__xludf.DUMMYFUNCTION("""COMPUTED_VALUE"""),"")</f>
        <v/>
      </c>
      <c r="E197" t="str">
        <f>IFERROR(__xludf.DUMMYFUNCTION("""COMPUTED_VALUE"""),"")</f>
        <v/>
      </c>
      <c r="F197" t="str">
        <f>IFERROR(__xludf.DUMMYFUNCTION("""COMPUTED_VALUE"""),"")</f>
        <v/>
      </c>
      <c r="G197" t="str">
        <f>IFERROR(__xludf.DUMMYFUNCTION("""COMPUTED_VALUE"""),"")</f>
        <v/>
      </c>
      <c r="H197" t="str">
        <f>IFERROR(__xludf.DUMMYFUNCTION("""COMPUTED_VALUE"""),"")</f>
        <v/>
      </c>
      <c r="I197" t="str">
        <f>IFERROR(__xludf.DUMMYFUNCTION("""COMPUTED_VALUE"""),"")</f>
        <v/>
      </c>
      <c r="J197" t="str">
        <f>IFERROR(__xludf.DUMMYFUNCTION("""COMPUTED_VALUE"""),"")</f>
        <v/>
      </c>
      <c r="K197" t="str">
        <f>IFERROR(__xludf.DUMMYFUNCTION("""COMPUTED_VALUE"""),"")</f>
        <v/>
      </c>
      <c r="L197" t="str">
        <f>IFERROR(__xludf.DUMMYFUNCTION("""COMPUTED_VALUE"""),"")</f>
        <v/>
      </c>
    </row>
    <row r="198" ht="15.75" customHeight="1">
      <c r="A198" t="str">
        <f>IFERROR(__xludf.DUMMYFUNCTION("""COMPUTED_VALUE"""),"DailyValuation")</f>
        <v>DailyValuation</v>
      </c>
      <c r="B198" t="str">
        <f>IFERROR(__xludf.DUMMYFUNCTION("""COMPUTED_VALUE"""),"UpdateDailyVolatility")</f>
        <v>UpdateDailyVolatility</v>
      </c>
      <c r="C198" t="str">
        <f>IFERROR(__xludf.DUMMYFUNCTION("""COMPUTED_VALUE"""),"1qsRn4zz2i07D4vPzDnBLUzrnXu2IpG24XdBPkRDRrZI")</f>
        <v>1qsRn4zz2i07D4vPzDnBLUzrnXu2IpG24XdBPkRDRrZI</v>
      </c>
      <c r="D198" t="str">
        <f>IFERROR(__xludf.DUMMYFUNCTION("""COMPUTED_VALUE"""),"")</f>
        <v/>
      </c>
      <c r="E198" t="str">
        <f>IFERROR(__xludf.DUMMYFUNCTION("""COMPUTED_VALUE"""),"")</f>
        <v/>
      </c>
      <c r="F198" t="str">
        <f>IFERROR(__xludf.DUMMYFUNCTION("""COMPUTED_VALUE"""),"")</f>
        <v/>
      </c>
      <c r="G198" t="str">
        <f>IFERROR(__xludf.DUMMYFUNCTION("""COMPUTED_VALUE"""),"")</f>
        <v/>
      </c>
      <c r="H198" t="str">
        <f>IFERROR(__xludf.DUMMYFUNCTION("""COMPUTED_VALUE"""),"")</f>
        <v/>
      </c>
      <c r="I198" t="str">
        <f>IFERROR(__xludf.DUMMYFUNCTION("""COMPUTED_VALUE"""),"")</f>
        <v/>
      </c>
      <c r="J198" t="str">
        <f>IFERROR(__xludf.DUMMYFUNCTION("""COMPUTED_VALUE"""),"")</f>
        <v/>
      </c>
      <c r="K198" t="str">
        <f>IFERROR(__xludf.DUMMYFUNCTION("""COMPUTED_VALUE"""),"")</f>
        <v/>
      </c>
      <c r="L198" t="str">
        <f>IFERROR(__xludf.DUMMYFUNCTION("""COMPUTED_VALUE"""),"")</f>
        <v/>
      </c>
    </row>
    <row r="199" ht="15.75" customHeight="1">
      <c r="A199" t="str">
        <f>IFERROR(__xludf.DUMMYFUNCTION("""COMPUTED_VALUE"""),"GeneralLedger")</f>
        <v>GeneralLedger</v>
      </c>
      <c r="B199" t="str">
        <f>IFERROR(__xludf.DUMMYFUNCTION("""COMPUTED_VALUE"""),"AddOpeningBalanceTransaction")</f>
        <v>AddOpeningBalanceTransaction</v>
      </c>
      <c r="C199" t="str">
        <f>IFERROR(__xludf.DUMMYFUNCTION("""COMPUTED_VALUE"""),"1y0ieooAoYit1YHy7MDlHCV6ujc-NITlV_gw1AK9Hnho")</f>
        <v>1y0ieooAoYit1YHy7MDlHCV6ujc-NITlV_gw1AK9Hnho</v>
      </c>
      <c r="D199" t="str">
        <f>IFERROR(__xludf.DUMMYFUNCTION("""COMPUTED_VALUE"""),"")</f>
        <v/>
      </c>
      <c r="E199" t="str">
        <f>IFERROR(__xludf.DUMMYFUNCTION("""COMPUTED_VALUE"""),"")</f>
        <v/>
      </c>
      <c r="F199" t="str">
        <f>IFERROR(__xludf.DUMMYFUNCTION("""COMPUTED_VALUE"""),"")</f>
        <v/>
      </c>
      <c r="G199" t="str">
        <f>IFERROR(__xludf.DUMMYFUNCTION("""COMPUTED_VALUE"""),"")</f>
        <v/>
      </c>
      <c r="H199" t="str">
        <f>IFERROR(__xludf.DUMMYFUNCTION("""COMPUTED_VALUE"""),"")</f>
        <v/>
      </c>
      <c r="I199" t="str">
        <f>IFERROR(__xludf.DUMMYFUNCTION("""COMPUTED_VALUE"""),"")</f>
        <v/>
      </c>
      <c r="J199" t="str">
        <f>IFERROR(__xludf.DUMMYFUNCTION("""COMPUTED_VALUE"""),"")</f>
        <v/>
      </c>
      <c r="K199" t="str">
        <f>IFERROR(__xludf.DUMMYFUNCTION("""COMPUTED_VALUE"""),"")</f>
        <v/>
      </c>
      <c r="L199" t="str">
        <f>IFERROR(__xludf.DUMMYFUNCTION("""COMPUTED_VALUE"""),"")</f>
        <v/>
      </c>
    </row>
    <row r="200" ht="15.75" customHeight="1">
      <c r="A200" t="str">
        <f>IFERROR(__xludf.DUMMYFUNCTION("""COMPUTED_VALUE"""),"GeneralLedger")</f>
        <v>GeneralLedger</v>
      </c>
      <c r="B200" t="str">
        <f>IFERROR(__xludf.DUMMYFUNCTION("""COMPUTED_VALUE"""),"AddOpeningBalanceTranItem")</f>
        <v>AddOpeningBalanceTranItem</v>
      </c>
      <c r="C200" t="str">
        <f>IFERROR(__xludf.DUMMYFUNCTION("""COMPUTED_VALUE"""),"1x47skVggGiWEn0Ej2HvW5XTsrFsGYBWpjn6bJabdm_k")</f>
        <v>1x47skVggGiWEn0Ej2HvW5XTsrFsGYBWpjn6bJabdm_k</v>
      </c>
      <c r="D200" t="str">
        <f>IFERROR(__xludf.DUMMYFUNCTION("""COMPUTED_VALUE"""),"")</f>
        <v/>
      </c>
      <c r="E200" t="str">
        <f>IFERROR(__xludf.DUMMYFUNCTION("""COMPUTED_VALUE"""),"")</f>
        <v/>
      </c>
      <c r="F200" t="str">
        <f>IFERROR(__xludf.DUMMYFUNCTION("""COMPUTED_VALUE"""),"")</f>
        <v/>
      </c>
      <c r="G200" t="str">
        <f>IFERROR(__xludf.DUMMYFUNCTION("""COMPUTED_VALUE"""),"")</f>
        <v/>
      </c>
      <c r="H200" t="str">
        <f>IFERROR(__xludf.DUMMYFUNCTION("""COMPUTED_VALUE"""),"")</f>
        <v/>
      </c>
      <c r="I200" t="str">
        <f>IFERROR(__xludf.DUMMYFUNCTION("""COMPUTED_VALUE"""),"")</f>
        <v/>
      </c>
      <c r="J200" t="str">
        <f>IFERROR(__xludf.DUMMYFUNCTION("""COMPUTED_VALUE"""),"")</f>
        <v/>
      </c>
      <c r="K200" t="str">
        <f>IFERROR(__xludf.DUMMYFUNCTION("""COMPUTED_VALUE"""),"")</f>
        <v/>
      </c>
      <c r="L200" t="str">
        <f>IFERROR(__xludf.DUMMYFUNCTION("""COMPUTED_VALUE"""),"")</f>
        <v/>
      </c>
    </row>
    <row r="201" ht="15.75" customHeight="1">
      <c r="A201" t="str">
        <f>IFERROR(__xludf.DUMMYFUNCTION("""COMPUTED_VALUE"""),"Blotter")</f>
        <v>Blotter</v>
      </c>
      <c r="B201" t="str">
        <f>IFERROR(__xludf.DUMMYFUNCTION("""COMPUTED_VALUE"""),"CancelAllSubs")</f>
        <v>CancelAllSubs</v>
      </c>
      <c r="C201" t="str">
        <f>IFERROR(__xludf.DUMMYFUNCTION("""COMPUTED_VALUE"""),"1P_HAvqQfrY1Kj7nUD4l96kTKHqe0nICLlE1H8EpReTo")</f>
        <v>1P_HAvqQfrY1Kj7nUD4l96kTKHqe0nICLlE1H8EpReTo</v>
      </c>
      <c r="D201" t="str">
        <f>IFERROR(__xludf.DUMMYFUNCTION("""COMPUTED_VALUE"""),"")</f>
        <v/>
      </c>
      <c r="E201" t="str">
        <f>IFERROR(__xludf.DUMMYFUNCTION("""COMPUTED_VALUE"""),"")</f>
        <v/>
      </c>
      <c r="F201" t="str">
        <f>IFERROR(__xludf.DUMMYFUNCTION("""COMPUTED_VALUE"""),"")</f>
        <v/>
      </c>
      <c r="G201" t="str">
        <f>IFERROR(__xludf.DUMMYFUNCTION("""COMPUTED_VALUE"""),"")</f>
        <v/>
      </c>
      <c r="H201" t="str">
        <f>IFERROR(__xludf.DUMMYFUNCTION("""COMPUTED_VALUE"""),"")</f>
        <v/>
      </c>
      <c r="I201" t="str">
        <f>IFERROR(__xludf.DUMMYFUNCTION("""COMPUTED_VALUE"""),"")</f>
        <v/>
      </c>
      <c r="J201" t="str">
        <f>IFERROR(__xludf.DUMMYFUNCTION("""COMPUTED_VALUE"""),"")</f>
        <v/>
      </c>
      <c r="K201" t="str">
        <f>IFERROR(__xludf.DUMMYFUNCTION("""COMPUTED_VALUE"""),"")</f>
        <v/>
      </c>
      <c r="L201" t="str">
        <f>IFERROR(__xludf.DUMMYFUNCTION("""COMPUTED_VALUE"""),"")</f>
        <v/>
      </c>
    </row>
    <row r="202" ht="15.75" customHeight="1">
      <c r="A202" t="str">
        <f>IFERROR(__xludf.DUMMYFUNCTION("""COMPUTED_VALUE"""),"Blotter")</f>
        <v>Blotter</v>
      </c>
      <c r="B202" t="str">
        <f>IFERROR(__xludf.DUMMYFUNCTION("""COMPUTED_VALUE"""),"CancelSubOrder")</f>
        <v>CancelSubOrder</v>
      </c>
      <c r="C202" t="str">
        <f>IFERROR(__xludf.DUMMYFUNCTION("""COMPUTED_VALUE"""),"1ttxKH48_5usZGjc6vBfBVpbTCg7pDZ3FvWN6Dd43Fh4")</f>
        <v>1ttxKH48_5usZGjc6vBfBVpbTCg7pDZ3FvWN6Dd43Fh4</v>
      </c>
      <c r="D202" t="str">
        <f>IFERROR(__xludf.DUMMYFUNCTION("""COMPUTED_VALUE"""),"")</f>
        <v/>
      </c>
      <c r="E202" t="str">
        <f>IFERROR(__xludf.DUMMYFUNCTION("""COMPUTED_VALUE"""),"")</f>
        <v/>
      </c>
      <c r="F202" t="str">
        <f>IFERROR(__xludf.DUMMYFUNCTION("""COMPUTED_VALUE"""),"")</f>
        <v/>
      </c>
      <c r="G202" t="str">
        <f>IFERROR(__xludf.DUMMYFUNCTION("""COMPUTED_VALUE"""),"")</f>
        <v/>
      </c>
      <c r="H202" t="str">
        <f>IFERROR(__xludf.DUMMYFUNCTION("""COMPUTED_VALUE"""),"")</f>
        <v/>
      </c>
      <c r="I202" t="str">
        <f>IFERROR(__xludf.DUMMYFUNCTION("""COMPUTED_VALUE"""),"")</f>
        <v/>
      </c>
      <c r="J202" t="str">
        <f>IFERROR(__xludf.DUMMYFUNCTION("""COMPUTED_VALUE"""),"")</f>
        <v/>
      </c>
      <c r="K202" t="str">
        <f>IFERROR(__xludf.DUMMYFUNCTION("""COMPUTED_VALUE"""),"")</f>
        <v/>
      </c>
      <c r="L202" t="str">
        <f>IFERROR(__xludf.DUMMYFUNCTION("""COMPUTED_VALUE"""),"")</f>
        <v/>
      </c>
    </row>
    <row r="203" ht="15.75" customHeight="1">
      <c r="A203" t="str">
        <f>IFERROR(__xludf.DUMMYFUNCTION("""COMPUTED_VALUE"""),"Blotter")</f>
        <v>Blotter</v>
      </c>
      <c r="B203" t="str">
        <f>IFERROR(__xludf.DUMMYFUNCTION("""COMPUTED_VALUE"""),"EditStageOrder")</f>
        <v>EditStageOrder</v>
      </c>
      <c r="C203" t="str">
        <f>IFERROR(__xludf.DUMMYFUNCTION("""COMPUTED_VALUE"""),"16ygoYxfK_5kj8wWwCsAwyneuMnBr5H-DDZv1wWSe5ug")</f>
        <v>16ygoYxfK_5kj8wWwCsAwyneuMnBr5H-DDZv1wWSe5ug</v>
      </c>
      <c r="D203" t="str">
        <f>IFERROR(__xludf.DUMMYFUNCTION("""COMPUTED_VALUE"""),"")</f>
        <v/>
      </c>
      <c r="E203" t="str">
        <f>IFERROR(__xludf.DUMMYFUNCTION("""COMPUTED_VALUE"""),"")</f>
        <v/>
      </c>
      <c r="F203" t="str">
        <f>IFERROR(__xludf.DUMMYFUNCTION("""COMPUTED_VALUE"""),"")</f>
        <v/>
      </c>
      <c r="G203" t="str">
        <f>IFERROR(__xludf.DUMMYFUNCTION("""COMPUTED_VALUE"""),"")</f>
        <v/>
      </c>
      <c r="H203" t="str">
        <f>IFERROR(__xludf.DUMMYFUNCTION("""COMPUTED_VALUE"""),"")</f>
        <v/>
      </c>
      <c r="I203" t="str">
        <f>IFERROR(__xludf.DUMMYFUNCTION("""COMPUTED_VALUE"""),"")</f>
        <v/>
      </c>
      <c r="J203" t="str">
        <f>IFERROR(__xludf.DUMMYFUNCTION("""COMPUTED_VALUE"""),"")</f>
        <v/>
      </c>
      <c r="K203" t="str">
        <f>IFERROR(__xludf.DUMMYFUNCTION("""COMPUTED_VALUE"""),"")</f>
        <v/>
      </c>
      <c r="L203" t="str">
        <f>IFERROR(__xludf.DUMMYFUNCTION("""COMPUTED_VALUE"""),"")</f>
        <v/>
      </c>
    </row>
    <row r="204" ht="15.75" customHeight="1">
      <c r="A204" t="str">
        <f>IFERROR(__xludf.DUMMYFUNCTION("""COMPUTED_VALUE"""),"Blotter")</f>
        <v>Blotter</v>
      </c>
      <c r="B204" t="str">
        <f>IFERROR(__xludf.DUMMYFUNCTION("""COMPUTED_VALUE"""),"ReplaceSubOrder")</f>
        <v>ReplaceSubOrder</v>
      </c>
      <c r="C204" t="str">
        <f>IFERROR(__xludf.DUMMYFUNCTION("""COMPUTED_VALUE"""),"1E8BvTzoXMl0QoiRs2x6Gz61Ynt6Y4ijLw19dlE3IbWg")</f>
        <v>1E8BvTzoXMl0QoiRs2x6Gz61Ynt6Y4ijLw19dlE3IbWg</v>
      </c>
      <c r="D204" t="str">
        <f>IFERROR(__xludf.DUMMYFUNCTION("""COMPUTED_VALUE"""),"")</f>
        <v/>
      </c>
      <c r="E204" t="str">
        <f>IFERROR(__xludf.DUMMYFUNCTION("""COMPUTED_VALUE"""),"")</f>
        <v/>
      </c>
      <c r="F204" t="str">
        <f>IFERROR(__xludf.DUMMYFUNCTION("""COMPUTED_VALUE"""),"")</f>
        <v/>
      </c>
      <c r="G204" t="str">
        <f>IFERROR(__xludf.DUMMYFUNCTION("""COMPUTED_VALUE"""),"")</f>
        <v/>
      </c>
      <c r="H204" t="str">
        <f>IFERROR(__xludf.DUMMYFUNCTION("""COMPUTED_VALUE"""),"")</f>
        <v/>
      </c>
      <c r="I204" t="str">
        <f>IFERROR(__xludf.DUMMYFUNCTION("""COMPUTED_VALUE"""),"")</f>
        <v/>
      </c>
      <c r="J204" t="str">
        <f>IFERROR(__xludf.DUMMYFUNCTION("""COMPUTED_VALUE"""),"")</f>
        <v/>
      </c>
      <c r="K204" t="str">
        <f>IFERROR(__xludf.DUMMYFUNCTION("""COMPUTED_VALUE"""),"")</f>
        <v/>
      </c>
      <c r="L204" t="str">
        <f>IFERROR(__xludf.DUMMYFUNCTION("""COMPUTED_VALUE"""),"")</f>
        <v/>
      </c>
    </row>
    <row r="205" ht="15.75" customHeight="1">
      <c r="A205" t="str">
        <f>IFERROR(__xludf.DUMMYFUNCTION("""COMPUTED_VALUE"""),"Blotter")</f>
        <v>Blotter</v>
      </c>
      <c r="B205" t="str">
        <f>IFERROR(__xludf.DUMMYFUNCTION("""COMPUTED_VALUE"""),"SelectTradeWorkingSubsBlotter")</f>
        <v>SelectTradeWorkingSubsBlotter</v>
      </c>
      <c r="C205" t="str">
        <f>IFERROR(__xludf.DUMMYFUNCTION("""COMPUTED_VALUE"""),"1fim-H9q-wv0Hni06pvPKZap2wNcdOz7Hs9EN4cYHWwM")</f>
        <v>1fim-H9q-wv0Hni06pvPKZap2wNcdOz7Hs9EN4cYHWwM</v>
      </c>
      <c r="D205" t="str">
        <f>IFERROR(__xludf.DUMMYFUNCTION("""COMPUTED_VALUE"""),"")</f>
        <v/>
      </c>
      <c r="E205" t="str">
        <f>IFERROR(__xludf.DUMMYFUNCTION("""COMPUTED_VALUE"""),"")</f>
        <v/>
      </c>
      <c r="F205" t="str">
        <f>IFERROR(__xludf.DUMMYFUNCTION("""COMPUTED_VALUE"""),"")</f>
        <v/>
      </c>
      <c r="G205" t="str">
        <f>IFERROR(__xludf.DUMMYFUNCTION("""COMPUTED_VALUE"""),"")</f>
        <v/>
      </c>
      <c r="H205" t="str">
        <f>IFERROR(__xludf.DUMMYFUNCTION("""COMPUTED_VALUE"""),"")</f>
        <v/>
      </c>
      <c r="I205" t="str">
        <f>IFERROR(__xludf.DUMMYFUNCTION("""COMPUTED_VALUE"""),"")</f>
        <v/>
      </c>
      <c r="J205" t="str">
        <f>IFERROR(__xludf.DUMMYFUNCTION("""COMPUTED_VALUE"""),"")</f>
        <v/>
      </c>
      <c r="K205" t="str">
        <f>IFERROR(__xludf.DUMMYFUNCTION("""COMPUTED_VALUE"""),"")</f>
        <v/>
      </c>
      <c r="L205" t="str">
        <f>IFERROR(__xludf.DUMMYFUNCTION("""COMPUTED_VALUE"""),"")</f>
        <v/>
      </c>
    </row>
    <row r="206" ht="15.75" customHeight="1">
      <c r="A206" t="str">
        <f>IFERROR(__xludf.DUMMYFUNCTION("""COMPUTED_VALUE"""),"Blotter")</f>
        <v>Blotter</v>
      </c>
      <c r="B206" t="str">
        <f>IFERROR(__xludf.DUMMYFUNCTION("""COMPUTED_VALUE"""),"VerifyAlgoDetails")</f>
        <v>VerifyAlgoDetails</v>
      </c>
      <c r="C206" t="str">
        <f>IFERROR(__xludf.DUMMYFUNCTION("""COMPUTED_VALUE"""),"1j2eu6YCZ2WOBVwUMcD_7yyVlu9KxfaD0WhOfCo1ndAY")</f>
        <v>1j2eu6YCZ2WOBVwUMcD_7yyVlu9KxfaD0WhOfCo1ndAY</v>
      </c>
      <c r="D206" t="str">
        <f>IFERROR(__xludf.DUMMYFUNCTION("""COMPUTED_VALUE"""),"")</f>
        <v/>
      </c>
      <c r="E206" t="str">
        <f>IFERROR(__xludf.DUMMYFUNCTION("""COMPUTED_VALUE"""),"")</f>
        <v/>
      </c>
      <c r="F206" t="str">
        <f>IFERROR(__xludf.DUMMYFUNCTION("""COMPUTED_VALUE"""),"")</f>
        <v/>
      </c>
      <c r="G206" t="str">
        <f>IFERROR(__xludf.DUMMYFUNCTION("""COMPUTED_VALUE"""),"")</f>
        <v/>
      </c>
      <c r="H206" t="str">
        <f>IFERROR(__xludf.DUMMYFUNCTION("""COMPUTED_VALUE"""),"")</f>
        <v/>
      </c>
      <c r="I206" t="str">
        <f>IFERROR(__xludf.DUMMYFUNCTION("""COMPUTED_VALUE"""),"")</f>
        <v/>
      </c>
      <c r="J206" t="str">
        <f>IFERROR(__xludf.DUMMYFUNCTION("""COMPUTED_VALUE"""),"")</f>
        <v/>
      </c>
      <c r="K206" t="str">
        <f>IFERROR(__xludf.DUMMYFUNCTION("""COMPUTED_VALUE"""),"")</f>
        <v/>
      </c>
      <c r="L206" t="str">
        <f>IFERROR(__xludf.DUMMYFUNCTION("""COMPUTED_VALUE"""),"")</f>
        <v/>
      </c>
    </row>
    <row r="207" ht="15.75" customHeight="1">
      <c r="A207" t="str">
        <f>IFERROR(__xludf.DUMMYFUNCTION("""COMPUTED_VALUE"""),"Blotter")</f>
        <v>Blotter</v>
      </c>
      <c r="B207" t="str">
        <f>IFERROR(__xludf.DUMMYFUNCTION("""COMPUTED_VALUE"""),"VerifyTransferToUserOrder")</f>
        <v>VerifyTransferToUserOrder</v>
      </c>
      <c r="C207" t="str">
        <f>IFERROR(__xludf.DUMMYFUNCTION("""COMPUTED_VALUE"""),"1YBOZeqciRB-s8sGsmX1jzi4T2plSgOckQ1QnndFu_rg")</f>
        <v>1YBOZeqciRB-s8sGsmX1jzi4T2plSgOckQ1QnndFu_rg</v>
      </c>
      <c r="D207" t="str">
        <f>IFERROR(__xludf.DUMMYFUNCTION("""COMPUTED_VALUE"""),"")</f>
        <v/>
      </c>
      <c r="E207" t="str">
        <f>IFERROR(__xludf.DUMMYFUNCTION("""COMPUTED_VALUE"""),"")</f>
        <v/>
      </c>
      <c r="F207" t="str">
        <f>IFERROR(__xludf.DUMMYFUNCTION("""COMPUTED_VALUE"""),"")</f>
        <v/>
      </c>
      <c r="G207" t="str">
        <f>IFERROR(__xludf.DUMMYFUNCTION("""COMPUTED_VALUE"""),"")</f>
        <v/>
      </c>
      <c r="H207" t="str">
        <f>IFERROR(__xludf.DUMMYFUNCTION("""COMPUTED_VALUE"""),"")</f>
        <v/>
      </c>
      <c r="I207" t="str">
        <f>IFERROR(__xludf.DUMMYFUNCTION("""COMPUTED_VALUE"""),"")</f>
        <v/>
      </c>
      <c r="J207" t="str">
        <f>IFERROR(__xludf.DUMMYFUNCTION("""COMPUTED_VALUE"""),"")</f>
        <v/>
      </c>
      <c r="K207" t="str">
        <f>IFERROR(__xludf.DUMMYFUNCTION("""COMPUTED_VALUE"""),"")</f>
        <v/>
      </c>
      <c r="L207" t="str">
        <f>IFERROR(__xludf.DUMMYFUNCTION("""COMPUTED_VALUE"""),"")</f>
        <v/>
      </c>
    </row>
    <row r="208" ht="15.75" customHeight="1">
      <c r="A208" t="str">
        <f>IFERROR(__xludf.DUMMYFUNCTION("""COMPUTED_VALUE"""),"Blotter")</f>
        <v>Blotter</v>
      </c>
      <c r="B208" t="str">
        <f>IFERROR(__xludf.DUMMYFUNCTION("""COMPUTED_VALUE"""),"VerifyTransferToUserSubOdr")</f>
        <v>VerifyTransferToUserSubOdr</v>
      </c>
      <c r="C208" t="str">
        <f>IFERROR(__xludf.DUMMYFUNCTION("""COMPUTED_VALUE"""),"1VSjObHwe6mgJ3zELOc8KCLuelTWUdoRO9KGqeIZZgOw")</f>
        <v>1VSjObHwe6mgJ3zELOc8KCLuelTWUdoRO9KGqeIZZgOw</v>
      </c>
      <c r="D208" t="str">
        <f>IFERROR(__xludf.DUMMYFUNCTION("""COMPUTED_VALUE"""),"")</f>
        <v/>
      </c>
      <c r="E208" t="str">
        <f>IFERROR(__xludf.DUMMYFUNCTION("""COMPUTED_VALUE"""),"")</f>
        <v/>
      </c>
      <c r="F208" t="str">
        <f>IFERROR(__xludf.DUMMYFUNCTION("""COMPUTED_VALUE"""),"")</f>
        <v/>
      </c>
      <c r="G208" t="str">
        <f>IFERROR(__xludf.DUMMYFUNCTION("""COMPUTED_VALUE"""),"")</f>
        <v/>
      </c>
      <c r="H208" t="str">
        <f>IFERROR(__xludf.DUMMYFUNCTION("""COMPUTED_VALUE"""),"")</f>
        <v/>
      </c>
      <c r="I208" t="str">
        <f>IFERROR(__xludf.DUMMYFUNCTION("""COMPUTED_VALUE"""),"")</f>
        <v/>
      </c>
      <c r="J208" t="str">
        <f>IFERROR(__xludf.DUMMYFUNCTION("""COMPUTED_VALUE"""),"")</f>
        <v/>
      </c>
      <c r="K208" t="str">
        <f>IFERROR(__xludf.DUMMYFUNCTION("""COMPUTED_VALUE"""),"")</f>
        <v/>
      </c>
      <c r="L208" t="str">
        <f>IFERROR(__xludf.DUMMYFUNCTION("""COMPUTED_VALUE"""),"")</f>
        <v/>
      </c>
    </row>
    <row r="209" ht="15.75" customHeight="1">
      <c r="A209" t="str">
        <f>IFERROR(__xludf.DUMMYFUNCTION("""COMPUTED_VALUE"""),"Blotter")</f>
        <v>Blotter</v>
      </c>
      <c r="B209" t="str">
        <f>IFERROR(__xludf.DUMMYFUNCTION("""COMPUTED_VALUE"""),"VerifyTransferToUserWorkSub")</f>
        <v>VerifyTransferToUserWorkSub</v>
      </c>
      <c r="C209" t="str">
        <f>IFERROR(__xludf.DUMMYFUNCTION("""COMPUTED_VALUE"""),"13yqh3ZoHWLFsBRwQRuMCxyOHJa_oZY6nfTgr6vbII_Y")</f>
        <v>13yqh3ZoHWLFsBRwQRuMCxyOHJa_oZY6nfTgr6vbII_Y</v>
      </c>
      <c r="D209" t="str">
        <f>IFERROR(__xludf.DUMMYFUNCTION("""COMPUTED_VALUE"""),"")</f>
        <v/>
      </c>
      <c r="E209" t="str">
        <f>IFERROR(__xludf.DUMMYFUNCTION("""COMPUTED_VALUE"""),"")</f>
        <v/>
      </c>
      <c r="F209" t="str">
        <f>IFERROR(__xludf.DUMMYFUNCTION("""COMPUTED_VALUE"""),"")</f>
        <v/>
      </c>
      <c r="G209" t="str">
        <f>IFERROR(__xludf.DUMMYFUNCTION("""COMPUTED_VALUE"""),"")</f>
        <v/>
      </c>
      <c r="H209" t="str">
        <f>IFERROR(__xludf.DUMMYFUNCTION("""COMPUTED_VALUE"""),"")</f>
        <v/>
      </c>
      <c r="I209" t="str">
        <f>IFERROR(__xludf.DUMMYFUNCTION("""COMPUTED_VALUE"""),"")</f>
        <v/>
      </c>
      <c r="J209" t="str">
        <f>IFERROR(__xludf.DUMMYFUNCTION("""COMPUTED_VALUE"""),"")</f>
        <v/>
      </c>
      <c r="K209" t="str">
        <f>IFERROR(__xludf.DUMMYFUNCTION("""COMPUTED_VALUE"""),"")</f>
        <v/>
      </c>
      <c r="L209" t="str">
        <f>IFERROR(__xludf.DUMMYFUNCTION("""COMPUTED_VALUE"""),"")</f>
        <v/>
      </c>
    </row>
    <row r="210" ht="15.75" customHeight="1">
      <c r="A210" t="str">
        <f>IFERROR(__xludf.DUMMYFUNCTION("""COMPUTED_VALUE"""),"Blotter")</f>
        <v>Blotter</v>
      </c>
      <c r="B210" t="str">
        <f>IFERROR(__xludf.DUMMYFUNCTION("""COMPUTED_VALUE"""),"SaveLayoutOrderGrid")</f>
        <v>SaveLayoutOrderGrid</v>
      </c>
      <c r="C210" t="str">
        <f>IFERROR(__xludf.DUMMYFUNCTION("""COMPUTED_VALUE"""),"1CPi0o2X-sAUdoxlDON_2KUNJKoQm5pGF1uDEwVBvNXE")</f>
        <v>1CPi0o2X-sAUdoxlDON_2KUNJKoQm5pGF1uDEwVBvNXE</v>
      </c>
      <c r="D210" t="str">
        <f>IFERROR(__xludf.DUMMYFUNCTION("""COMPUTED_VALUE"""),"")</f>
        <v/>
      </c>
      <c r="E210" t="str">
        <f>IFERROR(__xludf.DUMMYFUNCTION("""COMPUTED_VALUE"""),"")</f>
        <v/>
      </c>
      <c r="F210" t="str">
        <f>IFERROR(__xludf.DUMMYFUNCTION("""COMPUTED_VALUE"""),"")</f>
        <v/>
      </c>
      <c r="G210" t="str">
        <f>IFERROR(__xludf.DUMMYFUNCTION("""COMPUTED_VALUE"""),"")</f>
        <v/>
      </c>
      <c r="H210" t="str">
        <f>IFERROR(__xludf.DUMMYFUNCTION("""COMPUTED_VALUE"""),"")</f>
        <v/>
      </c>
      <c r="I210" t="str">
        <f>IFERROR(__xludf.DUMMYFUNCTION("""COMPUTED_VALUE"""),"")</f>
        <v/>
      </c>
      <c r="J210" t="str">
        <f>IFERROR(__xludf.DUMMYFUNCTION("""COMPUTED_VALUE"""),"")</f>
        <v/>
      </c>
      <c r="K210" t="str">
        <f>IFERROR(__xludf.DUMMYFUNCTION("""COMPUTED_VALUE"""),"")</f>
        <v/>
      </c>
      <c r="L210" t="str">
        <f>IFERROR(__xludf.DUMMYFUNCTION("""COMPUTED_VALUE"""),"")</f>
        <v/>
      </c>
    </row>
    <row r="211" ht="15.75" customHeight="1">
      <c r="A211" t="str">
        <f>IFERROR(__xludf.DUMMYFUNCTION("""COMPUTED_VALUE"""),"DailyValuation")</f>
        <v>DailyValuation</v>
      </c>
      <c r="B211" t="str">
        <f>IFERROR(__xludf.DUMMYFUNCTION("""COMPUTED_VALUE"""),"UpdateDividendYield")</f>
        <v>UpdateDividendYield</v>
      </c>
      <c r="C211" t="str">
        <f>IFERROR(__xludf.DUMMYFUNCTION("""COMPUTED_VALUE"""),"1dbzZB_M22nY4Q6uxT_PTlyy6HTeUDBHiE60g8TkZxVw")</f>
        <v>1dbzZB_M22nY4Q6uxT_PTlyy6HTeUDBHiE60g8TkZxVw</v>
      </c>
      <c r="D211" t="str">
        <f>IFERROR(__xludf.DUMMYFUNCTION("""COMPUTED_VALUE"""),"")</f>
        <v/>
      </c>
      <c r="E211" t="str">
        <f>IFERROR(__xludf.DUMMYFUNCTION("""COMPUTED_VALUE"""),"")</f>
        <v/>
      </c>
      <c r="F211" t="str">
        <f>IFERROR(__xludf.DUMMYFUNCTION("""COMPUTED_VALUE"""),"")</f>
        <v/>
      </c>
      <c r="G211" t="str">
        <f>IFERROR(__xludf.DUMMYFUNCTION("""COMPUTED_VALUE"""),"")</f>
        <v/>
      </c>
      <c r="H211" t="str">
        <f>IFERROR(__xludf.DUMMYFUNCTION("""COMPUTED_VALUE"""),"")</f>
        <v/>
      </c>
      <c r="I211" t="str">
        <f>IFERROR(__xludf.DUMMYFUNCTION("""COMPUTED_VALUE"""),"")</f>
        <v/>
      </c>
      <c r="J211" t="str">
        <f>IFERROR(__xludf.DUMMYFUNCTION("""COMPUTED_VALUE"""),"")</f>
        <v/>
      </c>
      <c r="K211" t="str">
        <f>IFERROR(__xludf.DUMMYFUNCTION("""COMPUTED_VALUE"""),"")</f>
        <v/>
      </c>
      <c r="L211" t="str">
        <f>IFERROR(__xludf.DUMMYFUNCTION("""COMPUTED_VALUE"""),"")</f>
        <v/>
      </c>
    </row>
    <row r="212" ht="15.75" customHeight="1">
      <c r="A212" t="str">
        <f>IFERROR(__xludf.DUMMYFUNCTION("""COMPUTED_VALUE"""),"DailyValuation")</f>
        <v>DailyValuation</v>
      </c>
      <c r="B212" t="str">
        <f>IFERROR(__xludf.DUMMYFUNCTION("""COMPUTED_VALUE"""),"UpdateTradingVolume")</f>
        <v>UpdateTradingVolume</v>
      </c>
      <c r="C212" t="str">
        <f>IFERROR(__xludf.DUMMYFUNCTION("""COMPUTED_VALUE"""),"1w4D3GtBtxTz5FW7dP-vBOd6eYGFVsOKKKXxwOjyKpug")</f>
        <v>1w4D3GtBtxTz5FW7dP-vBOd6eYGFVsOKKKXxwOjyKpug</v>
      </c>
      <c r="D212" t="str">
        <f>IFERROR(__xludf.DUMMYFUNCTION("""COMPUTED_VALUE"""),"")</f>
        <v/>
      </c>
      <c r="E212" t="str">
        <f>IFERROR(__xludf.DUMMYFUNCTION("""COMPUTED_VALUE"""),"")</f>
        <v/>
      </c>
      <c r="F212" t="str">
        <f>IFERROR(__xludf.DUMMYFUNCTION("""COMPUTED_VALUE"""),"")</f>
        <v/>
      </c>
      <c r="G212" t="str">
        <f>IFERROR(__xludf.DUMMYFUNCTION("""COMPUTED_VALUE"""),"")</f>
        <v/>
      </c>
      <c r="H212" t="str">
        <f>IFERROR(__xludf.DUMMYFUNCTION("""COMPUTED_VALUE"""),"")</f>
        <v/>
      </c>
      <c r="I212" t="str">
        <f>IFERROR(__xludf.DUMMYFUNCTION("""COMPUTED_VALUE"""),"")</f>
        <v/>
      </c>
      <c r="J212" t="str">
        <f>IFERROR(__xludf.DUMMYFUNCTION("""COMPUTED_VALUE"""),"")</f>
        <v/>
      </c>
      <c r="K212" t="str">
        <f>IFERROR(__xludf.DUMMYFUNCTION("""COMPUTED_VALUE"""),"")</f>
        <v/>
      </c>
      <c r="L212" t="str">
        <f>IFERROR(__xludf.DUMMYFUNCTION("""COMPUTED_VALUE"""),"")</f>
        <v/>
      </c>
    </row>
    <row r="213" ht="15.75" customHeight="1">
      <c r="A213" t="str">
        <f>IFERROR(__xludf.DUMMYFUNCTION("""COMPUTED_VALUE"""),"DailyValuation")</f>
        <v>DailyValuation</v>
      </c>
      <c r="B213" t="str">
        <f>IFERROR(__xludf.DUMMYFUNCTION("""COMPUTED_VALUE"""),"UpdateDailyDelta")</f>
        <v>UpdateDailyDelta</v>
      </c>
      <c r="C213" t="str">
        <f>IFERROR(__xludf.DUMMYFUNCTION("""COMPUTED_VALUE"""),"1sA8b75vpmPdPw2bPLjZruUUSBlMVYpJOjVu5SY3E7tg")</f>
        <v>1sA8b75vpmPdPw2bPLjZruUUSBlMVYpJOjVu5SY3E7tg</v>
      </c>
      <c r="D213" t="str">
        <f>IFERROR(__xludf.DUMMYFUNCTION("""COMPUTED_VALUE"""),"")</f>
        <v/>
      </c>
      <c r="E213" t="str">
        <f>IFERROR(__xludf.DUMMYFUNCTION("""COMPUTED_VALUE"""),"")</f>
        <v/>
      </c>
      <c r="F213" t="str">
        <f>IFERROR(__xludf.DUMMYFUNCTION("""COMPUTED_VALUE"""),"")</f>
        <v/>
      </c>
      <c r="G213" t="str">
        <f>IFERROR(__xludf.DUMMYFUNCTION("""COMPUTED_VALUE"""),"")</f>
        <v/>
      </c>
      <c r="H213" t="str">
        <f>IFERROR(__xludf.DUMMYFUNCTION("""COMPUTED_VALUE"""),"")</f>
        <v/>
      </c>
      <c r="I213" t="str">
        <f>IFERROR(__xludf.DUMMYFUNCTION("""COMPUTED_VALUE"""),"")</f>
        <v/>
      </c>
      <c r="J213" t="str">
        <f>IFERROR(__xludf.DUMMYFUNCTION("""COMPUTED_VALUE"""),"")</f>
        <v/>
      </c>
      <c r="K213" t="str">
        <f>IFERROR(__xludf.DUMMYFUNCTION("""COMPUTED_VALUE"""),"")</f>
        <v/>
      </c>
      <c r="L213" t="str">
        <f>IFERROR(__xludf.DUMMYFUNCTION("""COMPUTED_VALUE"""),"")</f>
        <v/>
      </c>
    </row>
    <row r="214" ht="15.75" customHeight="1">
      <c r="A214" t="str">
        <f>IFERROR(__xludf.DUMMYFUNCTION("""COMPUTED_VALUE"""),"DailyValuation")</f>
        <v>DailyValuation</v>
      </c>
      <c r="B214" t="str">
        <f>IFERROR(__xludf.DUMMYFUNCTION("""COMPUTED_VALUE"""),"UpdateDailyOutstandings")</f>
        <v>UpdateDailyOutstandings</v>
      </c>
      <c r="C214" t="str">
        <f>IFERROR(__xludf.DUMMYFUNCTION("""COMPUTED_VALUE"""),"1S3CAftFFzsr3ACCdLXl02NTqNvu6g598xECpXbVEv94")</f>
        <v>1S3CAftFFzsr3ACCdLXl02NTqNvu6g598xECpXbVEv94</v>
      </c>
      <c r="D214" t="str">
        <f>IFERROR(__xludf.DUMMYFUNCTION("""COMPUTED_VALUE"""),"")</f>
        <v/>
      </c>
      <c r="E214" t="str">
        <f>IFERROR(__xludf.DUMMYFUNCTION("""COMPUTED_VALUE"""),"")</f>
        <v/>
      </c>
      <c r="F214" t="str">
        <f>IFERROR(__xludf.DUMMYFUNCTION("""COMPUTED_VALUE"""),"")</f>
        <v/>
      </c>
      <c r="G214" t="str">
        <f>IFERROR(__xludf.DUMMYFUNCTION("""COMPUTED_VALUE"""),"")</f>
        <v/>
      </c>
      <c r="H214" t="str">
        <f>IFERROR(__xludf.DUMMYFUNCTION("""COMPUTED_VALUE"""),"")</f>
        <v/>
      </c>
      <c r="I214" t="str">
        <f>IFERROR(__xludf.DUMMYFUNCTION("""COMPUTED_VALUE"""),"")</f>
        <v/>
      </c>
      <c r="J214" t="str">
        <f>IFERROR(__xludf.DUMMYFUNCTION("""COMPUTED_VALUE"""),"")</f>
        <v/>
      </c>
      <c r="K214" t="str">
        <f>IFERROR(__xludf.DUMMYFUNCTION("""COMPUTED_VALUE"""),"")</f>
        <v/>
      </c>
      <c r="L214" t="str">
        <f>IFERROR(__xludf.DUMMYFUNCTION("""COMPUTED_VALUE"""),"")</f>
        <v/>
      </c>
    </row>
    <row r="215" ht="15.75" customHeight="1">
      <c r="A215" t="str">
        <f>IFERROR(__xludf.DUMMYFUNCTION("""COMPUTED_VALUE"""),"Closing")</f>
        <v>Closing</v>
      </c>
      <c r="B215" t="str">
        <f>IFERROR(__xludf.DUMMYFUNCTION("""COMPUTED_VALUE"""),"GetDataClosing")</f>
        <v>GetDataClosing</v>
      </c>
      <c r="C215" t="str">
        <f>IFERROR(__xludf.DUMMYFUNCTION("""COMPUTED_VALUE"""),"13nVXBpc9DMalp1qBDH8UYT5HdbFAJyU5j_aDzs3JK7M")</f>
        <v>13nVXBpc9DMalp1qBDH8UYT5HdbFAJyU5j_aDzs3JK7M</v>
      </c>
      <c r="D215" t="str">
        <f>IFERROR(__xludf.DUMMYFUNCTION("""COMPUTED_VALUE"""),"")</f>
        <v/>
      </c>
      <c r="E215" t="str">
        <f>IFERROR(__xludf.DUMMYFUNCTION("""COMPUTED_VALUE"""),"")</f>
        <v/>
      </c>
      <c r="F215" t="str">
        <f>IFERROR(__xludf.DUMMYFUNCTION("""COMPUTED_VALUE"""),"")</f>
        <v/>
      </c>
      <c r="G215" t="str">
        <f>IFERROR(__xludf.DUMMYFUNCTION("""COMPUTED_VALUE"""),"")</f>
        <v/>
      </c>
      <c r="H215" t="str">
        <f>IFERROR(__xludf.DUMMYFUNCTION("""COMPUTED_VALUE"""),"")</f>
        <v/>
      </c>
      <c r="I215" t="str">
        <f>IFERROR(__xludf.DUMMYFUNCTION("""COMPUTED_VALUE"""),"")</f>
        <v/>
      </c>
      <c r="J215" t="str">
        <f>IFERROR(__xludf.DUMMYFUNCTION("""COMPUTED_VALUE"""),"")</f>
        <v/>
      </c>
      <c r="K215" t="str">
        <f>IFERROR(__xludf.DUMMYFUNCTION("""COMPUTED_VALUE"""),"")</f>
        <v/>
      </c>
      <c r="L215" t="str">
        <f>IFERROR(__xludf.DUMMYFUNCTION("""COMPUTED_VALUE"""),"")</f>
        <v/>
      </c>
    </row>
    <row r="216" ht="15.75" customHeight="1">
      <c r="A216" t="str">
        <f>IFERROR(__xludf.DUMMYFUNCTION("""COMPUTED_VALUE"""),"Closing")</f>
        <v>Closing</v>
      </c>
      <c r="B216" t="str">
        <f>IFERROR(__xludf.DUMMYFUNCTION("""COMPUTED_VALUE"""),"ManualClosing")</f>
        <v>ManualClosing</v>
      </c>
      <c r="C216" t="str">
        <f>IFERROR(__xludf.DUMMYFUNCTION("""COMPUTED_VALUE"""),"1Qe8hBDL_TdcyzXT9vcPE3yUA7h1pLlvAdzJdX6CRE98")</f>
        <v>1Qe8hBDL_TdcyzXT9vcPE3yUA7h1pLlvAdzJdX6CRE98</v>
      </c>
      <c r="D216" t="str">
        <f>IFERROR(__xludf.DUMMYFUNCTION("""COMPUTED_VALUE"""),"")</f>
        <v/>
      </c>
      <c r="E216" t="str">
        <f>IFERROR(__xludf.DUMMYFUNCTION("""COMPUTED_VALUE"""),"")</f>
        <v/>
      </c>
      <c r="F216" t="str">
        <f>IFERROR(__xludf.DUMMYFUNCTION("""COMPUTED_VALUE"""),"")</f>
        <v/>
      </c>
      <c r="G216" t="str">
        <f>IFERROR(__xludf.DUMMYFUNCTION("""COMPUTED_VALUE"""),"")</f>
        <v/>
      </c>
      <c r="H216" t="str">
        <f>IFERROR(__xludf.DUMMYFUNCTION("""COMPUTED_VALUE"""),"")</f>
        <v/>
      </c>
      <c r="I216" t="str">
        <f>IFERROR(__xludf.DUMMYFUNCTION("""COMPUTED_VALUE"""),"")</f>
        <v/>
      </c>
      <c r="J216" t="str">
        <f>IFERROR(__xludf.DUMMYFUNCTION("""COMPUTED_VALUE"""),"")</f>
        <v/>
      </c>
      <c r="K216" t="str">
        <f>IFERROR(__xludf.DUMMYFUNCTION("""COMPUTED_VALUE"""),"")</f>
        <v/>
      </c>
      <c r="L216" t="str">
        <f>IFERROR(__xludf.DUMMYFUNCTION("""COMPUTED_VALUE"""),"")</f>
        <v/>
      </c>
    </row>
    <row r="217" ht="15.75" customHeight="1">
      <c r="A217" t="str">
        <f>IFERROR(__xludf.DUMMYFUNCTION("""COMPUTED_VALUE"""),"Closing")</f>
        <v>Closing</v>
      </c>
      <c r="B217" t="str">
        <f>IFERROR(__xludf.DUMMYFUNCTION("""COMPUTED_VALUE"""),"AutomaticClosing")</f>
        <v>AutomaticClosing</v>
      </c>
      <c r="C217" t="str">
        <f>IFERROR(__xludf.DUMMYFUNCTION("""COMPUTED_VALUE"""),"1FhF1znnJ_1uUh3yd5Xs8Tk6jb04yOpcBvnaS4YnDeJg")</f>
        <v>1FhF1znnJ_1uUh3yd5Xs8Tk6jb04yOpcBvnaS4YnDeJg</v>
      </c>
      <c r="D217" t="str">
        <f>IFERROR(__xludf.DUMMYFUNCTION("""COMPUTED_VALUE"""),"")</f>
        <v/>
      </c>
      <c r="E217" t="str">
        <f>IFERROR(__xludf.DUMMYFUNCTION("""COMPUTED_VALUE"""),"")</f>
        <v/>
      </c>
      <c r="F217" t="str">
        <f>IFERROR(__xludf.DUMMYFUNCTION("""COMPUTED_VALUE"""),"")</f>
        <v/>
      </c>
      <c r="G217" t="str">
        <f>IFERROR(__xludf.DUMMYFUNCTION("""COMPUTED_VALUE"""),"")</f>
        <v/>
      </c>
      <c r="H217" t="str">
        <f>IFERROR(__xludf.DUMMYFUNCTION("""COMPUTED_VALUE"""),"")</f>
        <v/>
      </c>
      <c r="I217" t="str">
        <f>IFERROR(__xludf.DUMMYFUNCTION("""COMPUTED_VALUE"""),"")</f>
        <v/>
      </c>
      <c r="J217" t="str">
        <f>IFERROR(__xludf.DUMMYFUNCTION("""COMPUTED_VALUE"""),"")</f>
        <v/>
      </c>
      <c r="K217" t="str">
        <f>IFERROR(__xludf.DUMMYFUNCTION("""COMPUTED_VALUE"""),"")</f>
        <v/>
      </c>
      <c r="L217" t="str">
        <f>IFERROR(__xludf.DUMMYFUNCTION("""COMPUTED_VALUE"""),"")</f>
        <v/>
      </c>
    </row>
    <row r="218" ht="15.75" customHeight="1">
      <c r="A218" t="str">
        <f>IFERROR(__xludf.DUMMYFUNCTION("""COMPUTED_VALUE"""),"Closing")</f>
        <v>Closing</v>
      </c>
      <c r="B218" t="str">
        <f>IFERROR(__xludf.DUMMYFUNCTION("""COMPUTED_VALUE"""),"UnwindClosing")</f>
        <v>UnwindClosing</v>
      </c>
      <c r="C218" t="str">
        <f>IFERROR(__xludf.DUMMYFUNCTION("""COMPUTED_VALUE"""),"1CsC40UOdI8I-E666zLwCVq5rtrH4HNQYTZPq01A3DVc")</f>
        <v>1CsC40UOdI8I-E666zLwCVq5rtrH4HNQYTZPq01A3DVc</v>
      </c>
      <c r="D218" t="str">
        <f>IFERROR(__xludf.DUMMYFUNCTION("""COMPUTED_VALUE"""),"")</f>
        <v/>
      </c>
      <c r="E218" t="str">
        <f>IFERROR(__xludf.DUMMYFUNCTION("""COMPUTED_VALUE"""),"")</f>
        <v/>
      </c>
      <c r="F218" t="str">
        <f>IFERROR(__xludf.DUMMYFUNCTION("""COMPUTED_VALUE"""),"")</f>
        <v/>
      </c>
      <c r="G218" t="str">
        <f>IFERROR(__xludf.DUMMYFUNCTION("""COMPUTED_VALUE"""),"")</f>
        <v/>
      </c>
      <c r="H218" t="str">
        <f>IFERROR(__xludf.DUMMYFUNCTION("""COMPUTED_VALUE"""),"")</f>
        <v/>
      </c>
      <c r="I218" t="str">
        <f>IFERROR(__xludf.DUMMYFUNCTION("""COMPUTED_VALUE"""),"")</f>
        <v/>
      </c>
      <c r="J218" t="str">
        <f>IFERROR(__xludf.DUMMYFUNCTION("""COMPUTED_VALUE"""),"")</f>
        <v/>
      </c>
      <c r="K218" t="str">
        <f>IFERROR(__xludf.DUMMYFUNCTION("""COMPUTED_VALUE"""),"")</f>
        <v/>
      </c>
      <c r="L218" t="str">
        <f>IFERROR(__xludf.DUMMYFUNCTION("""COMPUTED_VALUE"""),"")</f>
        <v/>
      </c>
    </row>
    <row r="219" ht="15.75" customHeight="1">
      <c r="A219" t="str">
        <f>IFERROR(__xludf.DUMMYFUNCTION("""COMPUTED_VALUE"""),"Closing")</f>
        <v>Closing</v>
      </c>
      <c r="B219" t="str">
        <f>IFERROR(__xludf.DUMMYFUNCTION("""COMPUTED_VALUE"""),"VerifyClosedTrades")</f>
        <v>VerifyClosedTrades</v>
      </c>
      <c r="C219" t="str">
        <f>IFERROR(__xludf.DUMMYFUNCTION("""COMPUTED_VALUE"""),"1Pu_mcZRAmT4Bb3jPpD1pwwWTEA3wf1lc9SGqgzy200I")</f>
        <v>1Pu_mcZRAmT4Bb3jPpD1pwwWTEA3wf1lc9SGqgzy200I</v>
      </c>
      <c r="D219" t="str">
        <f>IFERROR(__xludf.DUMMYFUNCTION("""COMPUTED_VALUE"""),"")</f>
        <v/>
      </c>
      <c r="E219" t="str">
        <f>IFERROR(__xludf.DUMMYFUNCTION("""COMPUTED_VALUE"""),"")</f>
        <v/>
      </c>
      <c r="F219" t="str">
        <f>IFERROR(__xludf.DUMMYFUNCTION("""COMPUTED_VALUE"""),"")</f>
        <v/>
      </c>
      <c r="G219" t="str">
        <f>IFERROR(__xludf.DUMMYFUNCTION("""COMPUTED_VALUE"""),"")</f>
        <v/>
      </c>
      <c r="H219" t="str">
        <f>IFERROR(__xludf.DUMMYFUNCTION("""COMPUTED_VALUE"""),"")</f>
        <v/>
      </c>
      <c r="I219" t="str">
        <f>IFERROR(__xludf.DUMMYFUNCTION("""COMPUTED_VALUE"""),"")</f>
        <v/>
      </c>
      <c r="J219" t="str">
        <f>IFERROR(__xludf.DUMMYFUNCTION("""COMPUTED_VALUE"""),"")</f>
        <v/>
      </c>
      <c r="K219" t="str">
        <f>IFERROR(__xludf.DUMMYFUNCTION("""COMPUTED_VALUE"""),"")</f>
        <v/>
      </c>
      <c r="L219" t="str">
        <f>IFERROR(__xludf.DUMMYFUNCTION("""COMPUTED_VALUE"""),"")</f>
        <v/>
      </c>
    </row>
    <row r="220" ht="15.75" customHeight="1">
      <c r="A220" t="str">
        <f>IFERROR(__xludf.DUMMYFUNCTION("""COMPUTED_VALUE"""),"Closing")</f>
        <v>Closing</v>
      </c>
      <c r="B220" t="str">
        <f>IFERROR(__xludf.DUMMYFUNCTION("""COMPUTED_VALUE"""),"VerifyLongPositionsGrid")</f>
        <v>VerifyLongPositionsGrid</v>
      </c>
      <c r="C220" t="str">
        <f>IFERROR(__xludf.DUMMYFUNCTION("""COMPUTED_VALUE"""),"1yLdJG1OS5ujReV9E5G-DEulfc2VNjGyDyb9HltPKoWs")</f>
        <v>1yLdJG1OS5ujReV9E5G-DEulfc2VNjGyDyb9HltPKoWs</v>
      </c>
      <c r="D220" t="str">
        <f>IFERROR(__xludf.DUMMYFUNCTION("""COMPUTED_VALUE"""),"")</f>
        <v/>
      </c>
      <c r="E220" t="str">
        <f>IFERROR(__xludf.DUMMYFUNCTION("""COMPUTED_VALUE"""),"")</f>
        <v/>
      </c>
      <c r="F220" t="str">
        <f>IFERROR(__xludf.DUMMYFUNCTION("""COMPUTED_VALUE"""),"")</f>
        <v/>
      </c>
      <c r="G220" t="str">
        <f>IFERROR(__xludf.DUMMYFUNCTION("""COMPUTED_VALUE"""),"")</f>
        <v/>
      </c>
      <c r="H220" t="str">
        <f>IFERROR(__xludf.DUMMYFUNCTION("""COMPUTED_VALUE"""),"")</f>
        <v/>
      </c>
      <c r="I220" t="str">
        <f>IFERROR(__xludf.DUMMYFUNCTION("""COMPUTED_VALUE"""),"")</f>
        <v/>
      </c>
      <c r="J220" t="str">
        <f>IFERROR(__xludf.DUMMYFUNCTION("""COMPUTED_VALUE"""),"")</f>
        <v/>
      </c>
      <c r="K220" t="str">
        <f>IFERROR(__xludf.DUMMYFUNCTION("""COMPUTED_VALUE"""),"")</f>
        <v/>
      </c>
      <c r="L220" t="str">
        <f>IFERROR(__xludf.DUMMYFUNCTION("""COMPUTED_VALUE"""),"")</f>
        <v/>
      </c>
    </row>
    <row r="221" ht="15.75" customHeight="1">
      <c r="A221" t="str">
        <f>IFERROR(__xludf.DUMMYFUNCTION("""COMPUTED_VALUE"""),"Closing")</f>
        <v>Closing</v>
      </c>
      <c r="B221" t="str">
        <f>IFERROR(__xludf.DUMMYFUNCTION("""COMPUTED_VALUE"""),"VerifyShortPositionsGrid")</f>
        <v>VerifyShortPositionsGrid</v>
      </c>
      <c r="C221" t="str">
        <f>IFERROR(__xludf.DUMMYFUNCTION("""COMPUTED_VALUE"""),"1_G71Dy-pXPO-6F-oumOUwExAhdly4GU5sJ16gp2yCpU")</f>
        <v>1_G71Dy-pXPO-6F-oumOUwExAhdly4GU5sJ16gp2yCpU</v>
      </c>
      <c r="D221" t="str">
        <f>IFERROR(__xludf.DUMMYFUNCTION("""COMPUTED_VALUE"""),"")</f>
        <v/>
      </c>
      <c r="E221" t="str">
        <f>IFERROR(__xludf.DUMMYFUNCTION("""COMPUTED_VALUE"""),"")</f>
        <v/>
      </c>
      <c r="F221" t="str">
        <f>IFERROR(__xludf.DUMMYFUNCTION("""COMPUTED_VALUE"""),"")</f>
        <v/>
      </c>
      <c r="G221" t="str">
        <f>IFERROR(__xludf.DUMMYFUNCTION("""COMPUTED_VALUE"""),"")</f>
        <v/>
      </c>
      <c r="H221" t="str">
        <f>IFERROR(__xludf.DUMMYFUNCTION("""COMPUTED_VALUE"""),"")</f>
        <v/>
      </c>
      <c r="I221" t="str">
        <f>IFERROR(__xludf.DUMMYFUNCTION("""COMPUTED_VALUE"""),"")</f>
        <v/>
      </c>
      <c r="J221" t="str">
        <f>IFERROR(__xludf.DUMMYFUNCTION("""COMPUTED_VALUE"""),"")</f>
        <v/>
      </c>
      <c r="K221" t="str">
        <f>IFERROR(__xludf.DUMMYFUNCTION("""COMPUTED_VALUE"""),"")</f>
        <v/>
      </c>
      <c r="L221" t="str">
        <f>IFERROR(__xludf.DUMMYFUNCTION("""COMPUTED_VALUE"""),"")</f>
        <v/>
      </c>
    </row>
    <row r="222" ht="15.75" customHeight="1">
      <c r="A222" t="str">
        <f>IFERROR(__xludf.DUMMYFUNCTION("""COMPUTED_VALUE"""),"Closing")</f>
        <v>Closing</v>
      </c>
      <c r="B222" t="str">
        <f>IFERROR(__xludf.DUMMYFUNCTION("""COMPUTED_VALUE"""),"SelectTradeUnexpiredUnsettled")</f>
        <v>SelectTradeUnexpiredUnsettled</v>
      </c>
      <c r="C222" t="str">
        <f>IFERROR(__xludf.DUMMYFUNCTION("""COMPUTED_VALUE"""),"1UXf78dHpFfYsQr7rlXLtuA2F2RFUrDn0dJBxlZ3I5nM")</f>
        <v>1UXf78dHpFfYsQr7rlXLtuA2F2RFUrDn0dJBxlZ3I5nM</v>
      </c>
      <c r="D222" t="str">
        <f>IFERROR(__xludf.DUMMYFUNCTION("""COMPUTED_VALUE"""),"")</f>
        <v/>
      </c>
      <c r="E222" t="str">
        <f>IFERROR(__xludf.DUMMYFUNCTION("""COMPUTED_VALUE"""),"")</f>
        <v/>
      </c>
      <c r="F222" t="str">
        <f>IFERROR(__xludf.DUMMYFUNCTION("""COMPUTED_VALUE"""),"")</f>
        <v/>
      </c>
      <c r="G222" t="str">
        <f>IFERROR(__xludf.DUMMYFUNCTION("""COMPUTED_VALUE"""),"")</f>
        <v/>
      </c>
      <c r="H222" t="str">
        <f>IFERROR(__xludf.DUMMYFUNCTION("""COMPUTED_VALUE"""),"")</f>
        <v/>
      </c>
      <c r="I222" t="str">
        <f>IFERROR(__xludf.DUMMYFUNCTION("""COMPUTED_VALUE"""),"")</f>
        <v/>
      </c>
      <c r="J222" t="str">
        <f>IFERROR(__xludf.DUMMYFUNCTION("""COMPUTED_VALUE"""),"")</f>
        <v/>
      </c>
      <c r="K222" t="str">
        <f>IFERROR(__xludf.DUMMYFUNCTION("""COMPUTED_VALUE"""),"")</f>
        <v/>
      </c>
      <c r="L222" t="str">
        <f>IFERROR(__xludf.DUMMYFUNCTION("""COMPUTED_VALUE"""),"")</f>
        <v/>
      </c>
    </row>
    <row r="223" ht="15.75" customHeight="1">
      <c r="A223" t="str">
        <f>IFERROR(__xludf.DUMMYFUNCTION("""COMPUTED_VALUE"""),"Closing")</f>
        <v>Closing</v>
      </c>
      <c r="B223" t="str">
        <f>IFERROR(__xludf.DUMMYFUNCTION("""COMPUTED_VALUE"""),"CashSettlementAtCost")</f>
        <v>CashSettlementAtCost</v>
      </c>
      <c r="C223" t="str">
        <f>IFERROR(__xludf.DUMMYFUNCTION("""COMPUTED_VALUE"""),"1tsACmLQx1Qq98vNFJPUJgY8srkxz2bj4Mmz5EV3xZZA")</f>
        <v>1tsACmLQx1Qq98vNFJPUJgY8srkxz2bj4Mmz5EV3xZZA</v>
      </c>
      <c r="D223" t="str">
        <f>IFERROR(__xludf.DUMMYFUNCTION("""COMPUTED_VALUE"""),"")</f>
        <v/>
      </c>
      <c r="E223" t="str">
        <f>IFERROR(__xludf.DUMMYFUNCTION("""COMPUTED_VALUE"""),"")</f>
        <v/>
      </c>
      <c r="F223" t="str">
        <f>IFERROR(__xludf.DUMMYFUNCTION("""COMPUTED_VALUE"""),"")</f>
        <v/>
      </c>
      <c r="G223" t="str">
        <f>IFERROR(__xludf.DUMMYFUNCTION("""COMPUTED_VALUE"""),"")</f>
        <v/>
      </c>
      <c r="H223" t="str">
        <f>IFERROR(__xludf.DUMMYFUNCTION("""COMPUTED_VALUE"""),"")</f>
        <v/>
      </c>
      <c r="I223" t="str">
        <f>IFERROR(__xludf.DUMMYFUNCTION("""COMPUTED_VALUE"""),"")</f>
        <v/>
      </c>
      <c r="J223" t="str">
        <f>IFERROR(__xludf.DUMMYFUNCTION("""COMPUTED_VALUE"""),"")</f>
        <v/>
      </c>
      <c r="K223" t="str">
        <f>IFERROR(__xludf.DUMMYFUNCTION("""COMPUTED_VALUE"""),"")</f>
        <v/>
      </c>
      <c r="L223" t="str">
        <f>IFERROR(__xludf.DUMMYFUNCTION("""COMPUTED_VALUE"""),"")</f>
        <v/>
      </c>
    </row>
    <row r="224" ht="15.75" customHeight="1">
      <c r="A224" t="str">
        <f>IFERROR(__xludf.DUMMYFUNCTION("""COMPUTED_VALUE"""),"Closing")</f>
        <v>Closing</v>
      </c>
      <c r="B224" t="str">
        <f>IFERROR(__xludf.DUMMYFUNCTION("""COMPUTED_VALUE"""),"CashSettlementAtZeroPrice")</f>
        <v>CashSettlementAtZeroPrice</v>
      </c>
      <c r="C224" t="str">
        <f>IFERROR(__xludf.DUMMYFUNCTION("""COMPUTED_VALUE"""),"1UxO9-Nc4VoA-xQC2zVS-zQzPcb6Y5e5ttyYuOlVizvQ")</f>
        <v>1UxO9-Nc4VoA-xQC2zVS-zQzPcb6Y5e5ttyYuOlVizvQ</v>
      </c>
      <c r="D224" t="str">
        <f>IFERROR(__xludf.DUMMYFUNCTION("""COMPUTED_VALUE"""),"")</f>
        <v/>
      </c>
      <c r="E224" t="str">
        <f>IFERROR(__xludf.DUMMYFUNCTION("""COMPUTED_VALUE"""),"")</f>
        <v/>
      </c>
      <c r="F224" t="str">
        <f>IFERROR(__xludf.DUMMYFUNCTION("""COMPUTED_VALUE"""),"")</f>
        <v/>
      </c>
      <c r="G224" t="str">
        <f>IFERROR(__xludf.DUMMYFUNCTION("""COMPUTED_VALUE"""),"")</f>
        <v/>
      </c>
      <c r="H224" t="str">
        <f>IFERROR(__xludf.DUMMYFUNCTION("""COMPUTED_VALUE"""),"")</f>
        <v/>
      </c>
      <c r="I224" t="str">
        <f>IFERROR(__xludf.DUMMYFUNCTION("""COMPUTED_VALUE"""),"")</f>
        <v/>
      </c>
      <c r="J224" t="str">
        <f>IFERROR(__xludf.DUMMYFUNCTION("""COMPUTED_VALUE"""),"")</f>
        <v/>
      </c>
      <c r="K224" t="str">
        <f>IFERROR(__xludf.DUMMYFUNCTION("""COMPUTED_VALUE"""),"")</f>
        <v/>
      </c>
      <c r="L224" t="str">
        <f>IFERROR(__xludf.DUMMYFUNCTION("""COMPUTED_VALUE"""),"")</f>
        <v/>
      </c>
    </row>
    <row r="225" ht="15.75" customHeight="1">
      <c r="A225" t="str">
        <f>IFERROR(__xludf.DUMMYFUNCTION("""COMPUTED_VALUE"""),"Closing")</f>
        <v>Closing</v>
      </c>
      <c r="B225" t="str">
        <f>IFERROR(__xludf.DUMMYFUNCTION("""COMPUTED_VALUE"""),"CashSettlementAtClosingDtSpotPx")</f>
        <v>CashSettlementAtClosingDtSpotPx</v>
      </c>
      <c r="C225" t="str">
        <f>IFERROR(__xludf.DUMMYFUNCTION("""COMPUTED_VALUE"""),"1T0TxnlQEM8i13IlSzu5RudR8jwYo2Ae0qGYjWTB63QA")</f>
        <v>1T0TxnlQEM8i13IlSzu5RudR8jwYo2Ae0qGYjWTB63QA</v>
      </c>
      <c r="D225" t="str">
        <f>IFERROR(__xludf.DUMMYFUNCTION("""COMPUTED_VALUE"""),"")</f>
        <v/>
      </c>
      <c r="E225" t="str">
        <f>IFERROR(__xludf.DUMMYFUNCTION("""COMPUTED_VALUE"""),"")</f>
        <v/>
      </c>
      <c r="F225" t="str">
        <f>IFERROR(__xludf.DUMMYFUNCTION("""COMPUTED_VALUE"""),"")</f>
        <v/>
      </c>
      <c r="G225" t="str">
        <f>IFERROR(__xludf.DUMMYFUNCTION("""COMPUTED_VALUE"""),"")</f>
        <v/>
      </c>
      <c r="H225" t="str">
        <f>IFERROR(__xludf.DUMMYFUNCTION("""COMPUTED_VALUE"""),"")</f>
        <v/>
      </c>
      <c r="I225" t="str">
        <f>IFERROR(__xludf.DUMMYFUNCTION("""COMPUTED_VALUE"""),"")</f>
        <v/>
      </c>
      <c r="J225" t="str">
        <f>IFERROR(__xludf.DUMMYFUNCTION("""COMPUTED_VALUE"""),"")</f>
        <v/>
      </c>
      <c r="K225" t="str">
        <f>IFERROR(__xludf.DUMMYFUNCTION("""COMPUTED_VALUE"""),"")</f>
        <v/>
      </c>
      <c r="L225" t="str">
        <f>IFERROR(__xludf.DUMMYFUNCTION("""COMPUTED_VALUE"""),"")</f>
        <v/>
      </c>
    </row>
    <row r="226" ht="15.75" customHeight="1">
      <c r="A226" t="str">
        <f>IFERROR(__xludf.DUMMYFUNCTION("""COMPUTED_VALUE"""),"Closing")</f>
        <v>Closing</v>
      </c>
      <c r="B226" t="str">
        <f>IFERROR(__xludf.DUMMYFUNCTION("""COMPUTED_VALUE"""),"PhysicalSettlement")</f>
        <v>PhysicalSettlement</v>
      </c>
      <c r="C226" t="str">
        <f>IFERROR(__xludf.DUMMYFUNCTION("""COMPUTED_VALUE"""),"1GWFw2LTCW-0KTvHPqk-SAKaGDGCWMshMmobGnhoD2IM")</f>
        <v>1GWFw2LTCW-0KTvHPqk-SAKaGDGCWMshMmobGnhoD2IM</v>
      </c>
      <c r="D226" t="str">
        <f>IFERROR(__xludf.DUMMYFUNCTION("""COMPUTED_VALUE"""),"")</f>
        <v/>
      </c>
      <c r="E226" t="str">
        <f>IFERROR(__xludf.DUMMYFUNCTION("""COMPUTED_VALUE"""),"")</f>
        <v/>
      </c>
      <c r="F226" t="str">
        <f>IFERROR(__xludf.DUMMYFUNCTION("""COMPUTED_VALUE"""),"")</f>
        <v/>
      </c>
      <c r="G226" t="str">
        <f>IFERROR(__xludf.DUMMYFUNCTION("""COMPUTED_VALUE"""),"")</f>
        <v/>
      </c>
      <c r="H226" t="str">
        <f>IFERROR(__xludf.DUMMYFUNCTION("""COMPUTED_VALUE"""),"")</f>
        <v/>
      </c>
      <c r="I226" t="str">
        <f>IFERROR(__xludf.DUMMYFUNCTION("""COMPUTED_VALUE"""),"")</f>
        <v/>
      </c>
      <c r="J226" t="str">
        <f>IFERROR(__xludf.DUMMYFUNCTION("""COMPUTED_VALUE"""),"")</f>
        <v/>
      </c>
      <c r="K226" t="str">
        <f>IFERROR(__xludf.DUMMYFUNCTION("""COMPUTED_VALUE"""),"")</f>
        <v/>
      </c>
      <c r="L226" t="str">
        <f>IFERROR(__xludf.DUMMYFUNCTION("""COMPUTED_VALUE"""),"")</f>
        <v/>
      </c>
    </row>
    <row r="227" ht="15.75" customHeight="1">
      <c r="A227" t="str">
        <f>IFERROR(__xludf.DUMMYFUNCTION("""COMPUTED_VALUE"""),"Closing")</f>
        <v>Closing</v>
      </c>
      <c r="B227" t="str">
        <f>IFERROR(__xludf.DUMMYFUNCTION("""COMPUTED_VALUE"""),"Expire")</f>
        <v>Expire</v>
      </c>
      <c r="C227" t="str">
        <f>IFERROR(__xludf.DUMMYFUNCTION("""COMPUTED_VALUE"""),"1QbdwdFznukIx11sIy-9N7A1fl9nhXKIB31gJR7mmKd4")</f>
        <v>1QbdwdFznukIx11sIy-9N7A1fl9nhXKIB31gJR7mmKd4</v>
      </c>
      <c r="D227" t="str">
        <f>IFERROR(__xludf.DUMMYFUNCTION("""COMPUTED_VALUE"""),"")</f>
        <v/>
      </c>
      <c r="E227" t="str">
        <f>IFERROR(__xludf.DUMMYFUNCTION("""COMPUTED_VALUE"""),"")</f>
        <v/>
      </c>
      <c r="F227" t="str">
        <f>IFERROR(__xludf.DUMMYFUNCTION("""COMPUTED_VALUE"""),"")</f>
        <v/>
      </c>
      <c r="G227" t="str">
        <f>IFERROR(__xludf.DUMMYFUNCTION("""COMPUTED_VALUE"""),"")</f>
        <v/>
      </c>
      <c r="H227" t="str">
        <f>IFERROR(__xludf.DUMMYFUNCTION("""COMPUTED_VALUE"""),"")</f>
        <v/>
      </c>
      <c r="I227" t="str">
        <f>IFERROR(__xludf.DUMMYFUNCTION("""COMPUTED_VALUE"""),"")</f>
        <v/>
      </c>
      <c r="J227" t="str">
        <f>IFERROR(__xludf.DUMMYFUNCTION("""COMPUTED_VALUE"""),"")</f>
        <v/>
      </c>
      <c r="K227" t="str">
        <f>IFERROR(__xludf.DUMMYFUNCTION("""COMPUTED_VALUE"""),"")</f>
        <v/>
      </c>
      <c r="L227" t="str">
        <f>IFERROR(__xludf.DUMMYFUNCTION("""COMPUTED_VALUE"""),"")</f>
        <v/>
      </c>
    </row>
    <row r="228" ht="15.75" customHeight="1">
      <c r="A228" t="str">
        <f>IFERROR(__xludf.DUMMYFUNCTION("""COMPUTED_VALUE"""),"Closing")</f>
        <v>Closing</v>
      </c>
      <c r="B228" t="str">
        <f>IFERROR(__xludf.DUMMYFUNCTION("""COMPUTED_VALUE"""),"ExerciseAssignment")</f>
        <v>ExerciseAssignment</v>
      </c>
      <c r="C228" t="str">
        <f>IFERROR(__xludf.DUMMYFUNCTION("""COMPUTED_VALUE"""),"1dZTZT5QW_lQQAeKE30XPkTaaKYBdbBURgIShMzGMLyY")</f>
        <v>1dZTZT5QW_lQQAeKE30XPkTaaKYBdbBURgIShMzGMLyY</v>
      </c>
      <c r="D228" t="str">
        <f>IFERROR(__xludf.DUMMYFUNCTION("""COMPUTED_VALUE"""),"")</f>
        <v/>
      </c>
      <c r="E228" t="str">
        <f>IFERROR(__xludf.DUMMYFUNCTION("""COMPUTED_VALUE"""),"")</f>
        <v/>
      </c>
      <c r="F228" t="str">
        <f>IFERROR(__xludf.DUMMYFUNCTION("""COMPUTED_VALUE"""),"")</f>
        <v/>
      </c>
      <c r="G228" t="str">
        <f>IFERROR(__xludf.DUMMYFUNCTION("""COMPUTED_VALUE"""),"")</f>
        <v/>
      </c>
      <c r="H228" t="str">
        <f>IFERROR(__xludf.DUMMYFUNCTION("""COMPUTED_VALUE"""),"")</f>
        <v/>
      </c>
      <c r="I228" t="str">
        <f>IFERROR(__xludf.DUMMYFUNCTION("""COMPUTED_VALUE"""),"")</f>
        <v/>
      </c>
      <c r="J228" t="str">
        <f>IFERROR(__xludf.DUMMYFUNCTION("""COMPUTED_VALUE"""),"")</f>
        <v/>
      </c>
      <c r="K228" t="str">
        <f>IFERROR(__xludf.DUMMYFUNCTION("""COMPUTED_VALUE"""),"")</f>
        <v/>
      </c>
      <c r="L228" t="str">
        <f>IFERROR(__xludf.DUMMYFUNCTION("""COMPUTED_VALUE"""),"")</f>
        <v/>
      </c>
    </row>
    <row r="229" ht="15.75" customHeight="1">
      <c r="A229" t="str">
        <f>IFERROR(__xludf.DUMMYFUNCTION("""COMPUTED_VALUE"""),"Closing")</f>
        <v>Closing</v>
      </c>
      <c r="B229" t="str">
        <f>IFERROR(__xludf.DUMMYFUNCTION("""COMPUTED_VALUE"""),"ExerciseAssignmentAtZero")</f>
        <v>ExerciseAssignmentAtZero</v>
      </c>
      <c r="C229" t="str">
        <f>IFERROR(__xludf.DUMMYFUNCTION("""COMPUTED_VALUE"""),"15MGMFMBhtgI1KWFEwdBBX7GuLF102gf47roRKsHL6H4")</f>
        <v>15MGMFMBhtgI1KWFEwdBBX7GuLF102gf47roRKsHL6H4</v>
      </c>
      <c r="D229" t="str">
        <f>IFERROR(__xludf.DUMMYFUNCTION("""COMPUTED_VALUE"""),"")</f>
        <v/>
      </c>
      <c r="E229" t="str">
        <f>IFERROR(__xludf.DUMMYFUNCTION("""COMPUTED_VALUE"""),"")</f>
        <v/>
      </c>
      <c r="F229" t="str">
        <f>IFERROR(__xludf.DUMMYFUNCTION("""COMPUTED_VALUE"""),"")</f>
        <v/>
      </c>
      <c r="G229" t="str">
        <f>IFERROR(__xludf.DUMMYFUNCTION("""COMPUTED_VALUE"""),"")</f>
        <v/>
      </c>
      <c r="H229" t="str">
        <f>IFERROR(__xludf.DUMMYFUNCTION("""COMPUTED_VALUE"""),"")</f>
        <v/>
      </c>
      <c r="I229" t="str">
        <f>IFERROR(__xludf.DUMMYFUNCTION("""COMPUTED_VALUE"""),"")</f>
        <v/>
      </c>
      <c r="J229" t="str">
        <f>IFERROR(__xludf.DUMMYFUNCTION("""COMPUTED_VALUE"""),"")</f>
        <v/>
      </c>
      <c r="K229" t="str">
        <f>IFERROR(__xludf.DUMMYFUNCTION("""COMPUTED_VALUE"""),"")</f>
        <v/>
      </c>
      <c r="L229" t="str">
        <f>IFERROR(__xludf.DUMMYFUNCTION("""COMPUTED_VALUE"""),"")</f>
        <v/>
      </c>
    </row>
    <row r="230" ht="15.75" customHeight="1">
      <c r="A230" t="str">
        <f>IFERROR(__xludf.DUMMYFUNCTION("""COMPUTED_VALUE"""),"Closing")</f>
        <v>Closing</v>
      </c>
      <c r="B230" t="str">
        <f>IFERROR(__xludf.DUMMYFUNCTION("""COMPUTED_VALUE"""),"SwapExpireAndRollover")</f>
        <v>SwapExpireAndRollover</v>
      </c>
      <c r="C230" t="str">
        <f>IFERROR(__xludf.DUMMYFUNCTION("""COMPUTED_VALUE"""),"1L-87XqJTaTF45GScp5sjdRWHx58ypZKZQMDK8AEsSm8")</f>
        <v>1L-87XqJTaTF45GScp5sjdRWHx58ypZKZQMDK8AEsSm8</v>
      </c>
      <c r="D230" t="str">
        <f>IFERROR(__xludf.DUMMYFUNCTION("""COMPUTED_VALUE"""),"")</f>
        <v/>
      </c>
      <c r="E230" t="str">
        <f>IFERROR(__xludf.DUMMYFUNCTION("""COMPUTED_VALUE"""),"")</f>
        <v/>
      </c>
      <c r="F230" t="str">
        <f>IFERROR(__xludf.DUMMYFUNCTION("""COMPUTED_VALUE"""),"")</f>
        <v/>
      </c>
      <c r="G230" t="str">
        <f>IFERROR(__xludf.DUMMYFUNCTION("""COMPUTED_VALUE"""),"")</f>
        <v/>
      </c>
      <c r="H230" t="str">
        <f>IFERROR(__xludf.DUMMYFUNCTION("""COMPUTED_VALUE"""),"")</f>
        <v/>
      </c>
      <c r="I230" t="str">
        <f>IFERROR(__xludf.DUMMYFUNCTION("""COMPUTED_VALUE"""),"")</f>
        <v/>
      </c>
      <c r="J230" t="str">
        <f>IFERROR(__xludf.DUMMYFUNCTION("""COMPUTED_VALUE"""),"")</f>
        <v/>
      </c>
      <c r="K230" t="str">
        <f>IFERROR(__xludf.DUMMYFUNCTION("""COMPUTED_VALUE"""),"")</f>
        <v/>
      </c>
      <c r="L230" t="str">
        <f>IFERROR(__xludf.DUMMYFUNCTION("""COMPUTED_VALUE"""),"")</f>
        <v/>
      </c>
    </row>
    <row r="231" ht="15.75" customHeight="1">
      <c r="A231" t="str">
        <f>IFERROR(__xludf.DUMMYFUNCTION("""COMPUTED_VALUE"""),"Closing")</f>
        <v>Closing</v>
      </c>
      <c r="B231" t="str">
        <f>IFERROR(__xludf.DUMMYFUNCTION("""COMPUTED_VALUE"""),"SwapExpire")</f>
        <v>SwapExpire</v>
      </c>
      <c r="C231" t="str">
        <f>IFERROR(__xludf.DUMMYFUNCTION("""COMPUTED_VALUE"""),"1jUV7qVgqGBaaceWSNh0-cSAYDYEL78u2ObuRdiWFjFM")</f>
        <v>1jUV7qVgqGBaaceWSNh0-cSAYDYEL78u2ObuRdiWFjFM</v>
      </c>
      <c r="D231" t="str">
        <f>IFERROR(__xludf.DUMMYFUNCTION("""COMPUTED_VALUE"""),"")</f>
        <v/>
      </c>
      <c r="E231" t="str">
        <f>IFERROR(__xludf.DUMMYFUNCTION("""COMPUTED_VALUE"""),"")</f>
        <v/>
      </c>
      <c r="F231" t="str">
        <f>IFERROR(__xludf.DUMMYFUNCTION("""COMPUTED_VALUE"""),"")</f>
        <v/>
      </c>
      <c r="G231" t="str">
        <f>IFERROR(__xludf.DUMMYFUNCTION("""COMPUTED_VALUE"""),"")</f>
        <v/>
      </c>
      <c r="H231" t="str">
        <f>IFERROR(__xludf.DUMMYFUNCTION("""COMPUTED_VALUE"""),"")</f>
        <v/>
      </c>
      <c r="I231" t="str">
        <f>IFERROR(__xludf.DUMMYFUNCTION("""COMPUTED_VALUE"""),"")</f>
        <v/>
      </c>
      <c r="J231" t="str">
        <f>IFERROR(__xludf.DUMMYFUNCTION("""COMPUTED_VALUE"""),"")</f>
        <v/>
      </c>
      <c r="K231" t="str">
        <f>IFERROR(__xludf.DUMMYFUNCTION("""COMPUTED_VALUE"""),"")</f>
        <v/>
      </c>
      <c r="L231" t="str">
        <f>IFERROR(__xludf.DUMMYFUNCTION("""COMPUTED_VALUE"""),"")</f>
        <v/>
      </c>
    </row>
    <row r="232" ht="15.75" customHeight="1">
      <c r="A232" t="str">
        <f>IFERROR(__xludf.DUMMYFUNCTION("""COMPUTED_VALUE"""),"Closing")</f>
        <v>Closing</v>
      </c>
      <c r="B232" t="str">
        <f>IFERROR(__xludf.DUMMYFUNCTION("""COMPUTED_VALUE"""),"VerifyExpiredSettledGrid")</f>
        <v>VerifyExpiredSettledGrid</v>
      </c>
      <c r="C232" t="str">
        <f>IFERROR(__xludf.DUMMYFUNCTION("""COMPUTED_VALUE"""),"14S9-0WztJC4brFwd_sntJdqg7oYUAd1uHpvzCdasPbo")</f>
        <v>14S9-0WztJC4brFwd_sntJdqg7oYUAd1uHpvzCdasPbo</v>
      </c>
      <c r="D232" t="str">
        <f>IFERROR(__xludf.DUMMYFUNCTION("""COMPUTED_VALUE"""),"")</f>
        <v/>
      </c>
      <c r="E232" t="str">
        <f>IFERROR(__xludf.DUMMYFUNCTION("""COMPUTED_VALUE"""),"")</f>
        <v/>
      </c>
      <c r="F232" t="str">
        <f>IFERROR(__xludf.DUMMYFUNCTION("""COMPUTED_VALUE"""),"")</f>
        <v/>
      </c>
      <c r="G232" t="str">
        <f>IFERROR(__xludf.DUMMYFUNCTION("""COMPUTED_VALUE"""),"")</f>
        <v/>
      </c>
      <c r="H232" t="str">
        <f>IFERROR(__xludf.DUMMYFUNCTION("""COMPUTED_VALUE"""),"")</f>
        <v/>
      </c>
      <c r="I232" t="str">
        <f>IFERROR(__xludf.DUMMYFUNCTION("""COMPUTED_VALUE"""),"")</f>
        <v/>
      </c>
      <c r="J232" t="str">
        <f>IFERROR(__xludf.DUMMYFUNCTION("""COMPUTED_VALUE"""),"")</f>
        <v/>
      </c>
      <c r="K232" t="str">
        <f>IFERROR(__xludf.DUMMYFUNCTION("""COMPUTED_VALUE"""),"")</f>
        <v/>
      </c>
      <c r="L232" t="str">
        <f>IFERROR(__xludf.DUMMYFUNCTION("""COMPUTED_VALUE"""),"")</f>
        <v/>
      </c>
    </row>
    <row r="233" ht="15.75" customHeight="1">
      <c r="A233" t="str">
        <f>IFERROR(__xludf.DUMMYFUNCTION("""COMPUTED_VALUE"""),"Closing")</f>
        <v>Closing</v>
      </c>
      <c r="B233" t="str">
        <f>IFERROR(__xludf.DUMMYFUNCTION("""COMPUTED_VALUE"""),"VerifyUnExpiredUnSettledGrid")</f>
        <v>VerifyUnExpiredUnSettledGrid</v>
      </c>
      <c r="C233" t="str">
        <f>IFERROR(__xludf.DUMMYFUNCTION("""COMPUTED_VALUE"""),"1de4udoQU07lam9vm95A4d1A6RqvJbiE5i2kofHeQU1k")</f>
        <v>1de4udoQU07lam9vm95A4d1A6RqvJbiE5i2kofHeQU1k</v>
      </c>
      <c r="D233" t="str">
        <f>IFERROR(__xludf.DUMMYFUNCTION("""COMPUTED_VALUE"""),"")</f>
        <v/>
      </c>
      <c r="E233" t="str">
        <f>IFERROR(__xludf.DUMMYFUNCTION("""COMPUTED_VALUE"""),"")</f>
        <v/>
      </c>
      <c r="F233" t="str">
        <f>IFERROR(__xludf.DUMMYFUNCTION("""COMPUTED_VALUE"""),"")</f>
        <v/>
      </c>
      <c r="G233" t="str">
        <f>IFERROR(__xludf.DUMMYFUNCTION("""COMPUTED_VALUE"""),"")</f>
        <v/>
      </c>
      <c r="H233" t="str">
        <f>IFERROR(__xludf.DUMMYFUNCTION("""COMPUTED_VALUE"""),"")</f>
        <v/>
      </c>
      <c r="I233" t="str">
        <f>IFERROR(__xludf.DUMMYFUNCTION("""COMPUTED_VALUE"""),"")</f>
        <v/>
      </c>
      <c r="J233" t="str">
        <f>IFERROR(__xludf.DUMMYFUNCTION("""COMPUTED_VALUE"""),"")</f>
        <v/>
      </c>
      <c r="K233" t="str">
        <f>IFERROR(__xludf.DUMMYFUNCTION("""COMPUTED_VALUE"""),"")</f>
        <v/>
      </c>
      <c r="L233" t="str">
        <f>IFERROR(__xludf.DUMMYFUNCTION("""COMPUTED_VALUE"""),"")</f>
        <v/>
      </c>
    </row>
    <row r="234" ht="15.75" customHeight="1">
      <c r="A234" t="str">
        <f>IFERROR(__xludf.DUMMYFUNCTION("""COMPUTED_VALUE"""),"Closing")</f>
        <v>Closing</v>
      </c>
      <c r="B234" t="str">
        <f>IFERROR(__xludf.DUMMYFUNCTION("""COMPUTED_VALUE"""),"UnWindTradeSettlement")</f>
        <v>UnWindTradeSettlement</v>
      </c>
      <c r="C234" t="str">
        <f>IFERROR(__xludf.DUMMYFUNCTION("""COMPUTED_VALUE"""),"1jnqQvqsYi6sMHiXLJ5WkhQHKVqji9WtS9IX5IquumYc")</f>
        <v>1jnqQvqsYi6sMHiXLJ5WkhQHKVqji9WtS9IX5IquumYc</v>
      </c>
      <c r="D234" t="str">
        <f>IFERROR(__xludf.DUMMYFUNCTION("""COMPUTED_VALUE"""),"")</f>
        <v/>
      </c>
      <c r="E234" t="str">
        <f>IFERROR(__xludf.DUMMYFUNCTION("""COMPUTED_VALUE"""),"")</f>
        <v/>
      </c>
      <c r="F234" t="str">
        <f>IFERROR(__xludf.DUMMYFUNCTION("""COMPUTED_VALUE"""),"")</f>
        <v/>
      </c>
      <c r="G234" t="str">
        <f>IFERROR(__xludf.DUMMYFUNCTION("""COMPUTED_VALUE"""),"")</f>
        <v/>
      </c>
      <c r="H234" t="str">
        <f>IFERROR(__xludf.DUMMYFUNCTION("""COMPUTED_VALUE"""),"")</f>
        <v/>
      </c>
      <c r="I234" t="str">
        <f>IFERROR(__xludf.DUMMYFUNCTION("""COMPUTED_VALUE"""),"")</f>
        <v/>
      </c>
      <c r="J234" t="str">
        <f>IFERROR(__xludf.DUMMYFUNCTION("""COMPUTED_VALUE"""),"")</f>
        <v/>
      </c>
      <c r="K234" t="str">
        <f>IFERROR(__xludf.DUMMYFUNCTION("""COMPUTED_VALUE"""),"")</f>
        <v/>
      </c>
      <c r="L234" t="str">
        <f>IFERROR(__xludf.DUMMYFUNCTION("""COMPUTED_VALUE"""),"")</f>
        <v/>
      </c>
    </row>
    <row r="235" ht="15.75" customHeight="1">
      <c r="A235" t="str">
        <f>IFERROR(__xludf.DUMMYFUNCTION("""COMPUTED_VALUE"""),"Closing")</f>
        <v>Closing</v>
      </c>
      <c r="B235" t="str">
        <f>IFERROR(__xludf.DUMMYFUNCTION("""COMPUTED_VALUE"""),"CloseOrder")</f>
        <v>CloseOrder</v>
      </c>
      <c r="C235" t="str">
        <f>IFERROR(__xludf.DUMMYFUNCTION("""COMPUTED_VALUE"""),"1bj4LymBZ8XfE61pCMOJflz-ChaAoZMZ8KHMwAXy6xKs")</f>
        <v>1bj4LymBZ8XfE61pCMOJflz-ChaAoZMZ8KHMwAXy6xKs</v>
      </c>
      <c r="D235" t="str">
        <f>IFERROR(__xludf.DUMMYFUNCTION("""COMPUTED_VALUE"""),"")</f>
        <v/>
      </c>
      <c r="E235" t="str">
        <f>IFERROR(__xludf.DUMMYFUNCTION("""COMPUTED_VALUE"""),"")</f>
        <v/>
      </c>
      <c r="F235" t="str">
        <f>IFERROR(__xludf.DUMMYFUNCTION("""COMPUTED_VALUE"""),"")</f>
        <v/>
      </c>
      <c r="G235" t="str">
        <f>IFERROR(__xludf.DUMMYFUNCTION("""COMPUTED_VALUE"""),"")</f>
        <v/>
      </c>
      <c r="H235" t="str">
        <f>IFERROR(__xludf.DUMMYFUNCTION("""COMPUTED_VALUE"""),"")</f>
        <v/>
      </c>
      <c r="I235" t="str">
        <f>IFERROR(__xludf.DUMMYFUNCTION("""COMPUTED_VALUE"""),"")</f>
        <v/>
      </c>
      <c r="J235" t="str">
        <f>IFERROR(__xludf.DUMMYFUNCTION("""COMPUTED_VALUE"""),"")</f>
        <v/>
      </c>
      <c r="K235" t="str">
        <f>IFERROR(__xludf.DUMMYFUNCTION("""COMPUTED_VALUE"""),"")</f>
        <v/>
      </c>
      <c r="L235" t="str">
        <f>IFERROR(__xludf.DUMMYFUNCTION("""COMPUTED_VALUE"""),"")</f>
        <v/>
      </c>
    </row>
    <row r="236" ht="15.75" customHeight="1">
      <c r="A236" t="str">
        <f>IFERROR(__xludf.DUMMYFUNCTION("""COMPUTED_VALUE"""),"Closing")</f>
        <v>Closing</v>
      </c>
      <c r="B236" t="str">
        <f>IFERROR(__xludf.DUMMYFUNCTION("""COMPUTED_VALUE"""),"VerifyCloseOrder")</f>
        <v>VerifyCloseOrder</v>
      </c>
      <c r="C236" t="str">
        <f>IFERROR(__xludf.DUMMYFUNCTION("""COMPUTED_VALUE"""),"10U7ywXXW22666-yhPjmEDMvmcIq-s1Gx2M4WuGeY2F8")</f>
        <v>10U7ywXXW22666-yhPjmEDMvmcIq-s1Gx2M4WuGeY2F8</v>
      </c>
      <c r="D236" t="str">
        <f>IFERROR(__xludf.DUMMYFUNCTION("""COMPUTED_VALUE"""),"")</f>
        <v/>
      </c>
      <c r="E236" t="str">
        <f>IFERROR(__xludf.DUMMYFUNCTION("""COMPUTED_VALUE"""),"")</f>
        <v/>
      </c>
      <c r="F236" t="str">
        <f>IFERROR(__xludf.DUMMYFUNCTION("""COMPUTED_VALUE"""),"")</f>
        <v/>
      </c>
      <c r="G236" t="str">
        <f>IFERROR(__xludf.DUMMYFUNCTION("""COMPUTED_VALUE"""),"")</f>
        <v/>
      </c>
      <c r="H236" t="str">
        <f>IFERROR(__xludf.DUMMYFUNCTION("""COMPUTED_VALUE"""),"")</f>
        <v/>
      </c>
      <c r="I236" t="str">
        <f>IFERROR(__xludf.DUMMYFUNCTION("""COMPUTED_VALUE"""),"")</f>
        <v/>
      </c>
      <c r="J236" t="str">
        <f>IFERROR(__xludf.DUMMYFUNCTION("""COMPUTED_VALUE"""),"")</f>
        <v/>
      </c>
      <c r="K236" t="str">
        <f>IFERROR(__xludf.DUMMYFUNCTION("""COMPUTED_VALUE"""),"")</f>
        <v/>
      </c>
      <c r="L236" t="str">
        <f>IFERROR(__xludf.DUMMYFUNCTION("""COMPUTED_VALUE"""),"")</f>
        <v/>
      </c>
    </row>
    <row r="237" ht="15.75" customHeight="1">
      <c r="A237" t="str">
        <f>IFERROR(__xludf.DUMMYFUNCTION("""COMPUTED_VALUE"""),"Closing")</f>
        <v>Closing</v>
      </c>
      <c r="B237" t="str">
        <f>IFERROR(__xludf.DUMMYFUNCTION("""COMPUTED_VALUE"""),"UnWindCloseOrder")</f>
        <v>UnWindCloseOrder</v>
      </c>
      <c r="C237" t="str">
        <f>IFERROR(__xludf.DUMMYFUNCTION("""COMPUTED_VALUE"""),"1ndiYwjgnh7VPji0iUN6yLkOVL80yi26iaXjkHTLPTjQ")</f>
        <v>1ndiYwjgnh7VPji0iUN6yLkOVL80yi26iaXjkHTLPTjQ</v>
      </c>
      <c r="D237" t="str">
        <f>IFERROR(__xludf.DUMMYFUNCTION("""COMPUTED_VALUE"""),"")</f>
        <v/>
      </c>
      <c r="E237" t="str">
        <f>IFERROR(__xludf.DUMMYFUNCTION("""COMPUTED_VALUE"""),"")</f>
        <v/>
      </c>
      <c r="F237" t="str">
        <f>IFERROR(__xludf.DUMMYFUNCTION("""COMPUTED_VALUE"""),"")</f>
        <v/>
      </c>
      <c r="G237" t="str">
        <f>IFERROR(__xludf.DUMMYFUNCTION("""COMPUTED_VALUE"""),"")</f>
        <v/>
      </c>
      <c r="H237" t="str">
        <f>IFERROR(__xludf.DUMMYFUNCTION("""COMPUTED_VALUE"""),"")</f>
        <v/>
      </c>
      <c r="I237" t="str">
        <f>IFERROR(__xludf.DUMMYFUNCTION("""COMPUTED_VALUE"""),"")</f>
        <v/>
      </c>
      <c r="J237" t="str">
        <f>IFERROR(__xludf.DUMMYFUNCTION("""COMPUTED_VALUE"""),"")</f>
        <v/>
      </c>
      <c r="K237" t="str">
        <f>IFERROR(__xludf.DUMMYFUNCTION("""COMPUTED_VALUE"""),"")</f>
        <v/>
      </c>
      <c r="L237" t="str">
        <f>IFERROR(__xludf.DUMMYFUNCTION("""COMPUTED_VALUE"""),"")</f>
        <v/>
      </c>
    </row>
    <row r="238" ht="15.75" customHeight="1">
      <c r="A238" t="str">
        <f>IFERROR(__xludf.DUMMYFUNCTION("""COMPUTED_VALUE"""),"Closing")</f>
        <v>Closing</v>
      </c>
      <c r="B238" t="str">
        <f>IFERROR(__xludf.DUMMYFUNCTION("""COMPUTED_VALUE"""),"ClosingCleanUp")</f>
        <v>ClosingCleanUp</v>
      </c>
      <c r="C238" t="str">
        <f>IFERROR(__xludf.DUMMYFUNCTION("""COMPUTED_VALUE"""),"1CBMTDHHaM3Vrk9VBgqqO929riAtN9XT67VXMtLxCZdY")</f>
        <v>1CBMTDHHaM3Vrk9VBgqqO929riAtN9XT67VXMtLxCZdY</v>
      </c>
      <c r="D238" t="str">
        <f>IFERROR(__xludf.DUMMYFUNCTION("""COMPUTED_VALUE"""),"")</f>
        <v/>
      </c>
      <c r="E238" t="str">
        <f>IFERROR(__xludf.DUMMYFUNCTION("""COMPUTED_VALUE"""),"")</f>
        <v/>
      </c>
      <c r="F238" t="str">
        <f>IFERROR(__xludf.DUMMYFUNCTION("""COMPUTED_VALUE"""),"")</f>
        <v/>
      </c>
      <c r="G238" t="str">
        <f>IFERROR(__xludf.DUMMYFUNCTION("""COMPUTED_VALUE"""),"")</f>
        <v/>
      </c>
      <c r="H238" t="str">
        <f>IFERROR(__xludf.DUMMYFUNCTION("""COMPUTED_VALUE"""),"")</f>
        <v/>
      </c>
      <c r="I238" t="str">
        <f>IFERROR(__xludf.DUMMYFUNCTION("""COMPUTED_VALUE"""),"")</f>
        <v/>
      </c>
      <c r="J238" t="str">
        <f>IFERROR(__xludf.DUMMYFUNCTION("""COMPUTED_VALUE"""),"")</f>
        <v/>
      </c>
      <c r="K238" t="str">
        <f>IFERROR(__xludf.DUMMYFUNCTION("""COMPUTED_VALUE"""),"")</f>
        <v/>
      </c>
      <c r="L238" t="str">
        <f>IFERROR(__xludf.DUMMYFUNCTION("""COMPUTED_VALUE"""),"")</f>
        <v/>
      </c>
    </row>
    <row r="239" ht="15.75" customHeight="1">
      <c r="A239" t="str">
        <f>IFERROR(__xludf.DUMMYFUNCTION("""COMPUTED_VALUE"""),"Closing")</f>
        <v>Closing</v>
      </c>
      <c r="B239" t="str">
        <f>IFERROR(__xludf.DUMMYFUNCTION("""COMPUTED_VALUE"""),"CloseClosingUI")</f>
        <v>CloseClosingUI</v>
      </c>
      <c r="C239" t="str">
        <f>IFERROR(__xludf.DUMMYFUNCTION("""COMPUTED_VALUE"""),"15BORdA3XCoeP0mqq47_6CZChNlRCEaFkcjD-78tQaYI")</f>
        <v>15BORdA3XCoeP0mqq47_6CZChNlRCEaFkcjD-78tQaYI</v>
      </c>
      <c r="D239" t="str">
        <f>IFERROR(__xludf.DUMMYFUNCTION("""COMPUTED_VALUE"""),"")</f>
        <v/>
      </c>
      <c r="E239" t="str">
        <f>IFERROR(__xludf.DUMMYFUNCTION("""COMPUTED_VALUE"""),"")</f>
        <v/>
      </c>
      <c r="F239" t="str">
        <f>IFERROR(__xludf.DUMMYFUNCTION("""COMPUTED_VALUE"""),"")</f>
        <v/>
      </c>
      <c r="G239" t="str">
        <f>IFERROR(__xludf.DUMMYFUNCTION("""COMPUTED_VALUE"""),"")</f>
        <v/>
      </c>
      <c r="H239" t="str">
        <f>IFERROR(__xludf.DUMMYFUNCTION("""COMPUTED_VALUE"""),"")</f>
        <v/>
      </c>
      <c r="I239" t="str">
        <f>IFERROR(__xludf.DUMMYFUNCTION("""COMPUTED_VALUE"""),"")</f>
        <v/>
      </c>
      <c r="J239" t="str">
        <f>IFERROR(__xludf.DUMMYFUNCTION("""COMPUTED_VALUE"""),"")</f>
        <v/>
      </c>
      <c r="K239" t="str">
        <f>IFERROR(__xludf.DUMMYFUNCTION("""COMPUTED_VALUE"""),"")</f>
        <v/>
      </c>
      <c r="L239" t="str">
        <f>IFERROR(__xludf.DUMMYFUNCTION("""COMPUTED_VALUE"""),"")</f>
        <v/>
      </c>
    </row>
    <row r="240" ht="15.75" customHeight="1">
      <c r="A240" t="str">
        <f>IFERROR(__xludf.DUMMYFUNCTION("""COMPUTED_VALUE"""),"GeneralLedger")</f>
        <v>GeneralLedger</v>
      </c>
      <c r="B240" t="str">
        <f>IFERROR(__xludf.DUMMYFUNCTION("""COMPUTED_VALUE"""),"GetDailyCalculationsData")</f>
        <v>GetDailyCalculationsData</v>
      </c>
      <c r="C240" t="str">
        <f>IFERROR(__xludf.DUMMYFUNCTION("""COMPUTED_VALUE"""),"1_CaVb4-xzusJdLbMAV8WXTZnHlyEkOh01iD5JBLlYgM")</f>
        <v>1_CaVb4-xzusJdLbMAV8WXTZnHlyEkOh01iD5JBLlYgM</v>
      </c>
      <c r="D240" t="str">
        <f>IFERROR(__xludf.DUMMYFUNCTION("""COMPUTED_VALUE"""),"")</f>
        <v/>
      </c>
      <c r="E240" t="str">
        <f>IFERROR(__xludf.DUMMYFUNCTION("""COMPUTED_VALUE"""),"")</f>
        <v/>
      </c>
      <c r="F240" t="str">
        <f>IFERROR(__xludf.DUMMYFUNCTION("""COMPUTED_VALUE"""),"")</f>
        <v/>
      </c>
      <c r="G240" t="str">
        <f>IFERROR(__xludf.DUMMYFUNCTION("""COMPUTED_VALUE"""),"")</f>
        <v/>
      </c>
      <c r="H240" t="str">
        <f>IFERROR(__xludf.DUMMYFUNCTION("""COMPUTED_VALUE"""),"")</f>
        <v/>
      </c>
      <c r="I240" t="str">
        <f>IFERROR(__xludf.DUMMYFUNCTION("""COMPUTED_VALUE"""),"")</f>
        <v/>
      </c>
      <c r="J240" t="str">
        <f>IFERROR(__xludf.DUMMYFUNCTION("""COMPUTED_VALUE"""),"")</f>
        <v/>
      </c>
      <c r="K240" t="str">
        <f>IFERROR(__xludf.DUMMYFUNCTION("""COMPUTED_VALUE"""),"")</f>
        <v/>
      </c>
      <c r="L240" t="str">
        <f>IFERROR(__xludf.DUMMYFUNCTION("""COMPUTED_VALUE"""),"")</f>
        <v/>
      </c>
    </row>
    <row r="241" ht="15.75" customHeight="1">
      <c r="A241" t="str">
        <f>IFERROR(__xludf.DUMMYFUNCTION("""COMPUTED_VALUE"""),"GeneralLedger")</f>
        <v>GeneralLedger</v>
      </c>
      <c r="B241" t="str">
        <f>IFERROR(__xludf.DUMMYFUNCTION("""COMPUTED_VALUE"""),"CalculateDailyCalculations")</f>
        <v>CalculateDailyCalculations</v>
      </c>
      <c r="C241" t="str">
        <f>IFERROR(__xludf.DUMMYFUNCTION("""COMPUTED_VALUE"""),"Undefined")</f>
        <v>Undefined</v>
      </c>
      <c r="D241" t="str">
        <f>IFERROR(__xludf.DUMMYFUNCTION("""COMPUTED_VALUE"""),"")</f>
        <v/>
      </c>
      <c r="E241" t="str">
        <f>IFERROR(__xludf.DUMMYFUNCTION("""COMPUTED_VALUE"""),"")</f>
        <v/>
      </c>
      <c r="F241" t="str">
        <f>IFERROR(__xludf.DUMMYFUNCTION("""COMPUTED_VALUE"""),"")</f>
        <v/>
      </c>
      <c r="G241" t="str">
        <f>IFERROR(__xludf.DUMMYFUNCTION("""COMPUTED_VALUE"""),"")</f>
        <v/>
      </c>
      <c r="H241" t="str">
        <f>IFERROR(__xludf.DUMMYFUNCTION("""COMPUTED_VALUE"""),"")</f>
        <v/>
      </c>
      <c r="I241" t="str">
        <f>IFERROR(__xludf.DUMMYFUNCTION("""COMPUTED_VALUE"""),"")</f>
        <v/>
      </c>
      <c r="J241" t="str">
        <f>IFERROR(__xludf.DUMMYFUNCTION("""COMPUTED_VALUE"""),"")</f>
        <v/>
      </c>
      <c r="K241" t="str">
        <f>IFERROR(__xludf.DUMMYFUNCTION("""COMPUTED_VALUE"""),"")</f>
        <v/>
      </c>
      <c r="L241" t="str">
        <f>IFERROR(__xludf.DUMMYFUNCTION("""COMPUTED_VALUE"""),"")</f>
        <v/>
      </c>
    </row>
    <row r="242" ht="15.75" customHeight="1">
      <c r="A242" t="str">
        <f>IFERROR(__xludf.DUMMYFUNCTION("""COMPUTED_VALUE"""),"GeneralLedger")</f>
        <v>GeneralLedger</v>
      </c>
      <c r="B242" t="str">
        <f>IFERROR(__xludf.DUMMYFUNCTION("""COMPUTED_VALUE"""),"EditOpeningBalanceTransaction")</f>
        <v>EditOpeningBalanceTransaction</v>
      </c>
      <c r="C242" t="str">
        <f>IFERROR(__xludf.DUMMYFUNCTION("""COMPUTED_VALUE"""),"1reG3EA1CyAISEzdlLJ5ERpoY_I-JZ0KuTqR0-GzNP7c")</f>
        <v>1reG3EA1CyAISEzdlLJ5ERpoY_I-JZ0KuTqR0-GzNP7c</v>
      </c>
      <c r="D242" t="str">
        <f>IFERROR(__xludf.DUMMYFUNCTION("""COMPUTED_VALUE"""),"")</f>
        <v/>
      </c>
      <c r="E242" t="str">
        <f>IFERROR(__xludf.DUMMYFUNCTION("""COMPUTED_VALUE"""),"")</f>
        <v/>
      </c>
      <c r="F242" t="str">
        <f>IFERROR(__xludf.DUMMYFUNCTION("""COMPUTED_VALUE"""),"")</f>
        <v/>
      </c>
      <c r="G242" t="str">
        <f>IFERROR(__xludf.DUMMYFUNCTION("""COMPUTED_VALUE"""),"")</f>
        <v/>
      </c>
      <c r="H242" t="str">
        <f>IFERROR(__xludf.DUMMYFUNCTION("""COMPUTED_VALUE"""),"")</f>
        <v/>
      </c>
      <c r="I242" t="str">
        <f>IFERROR(__xludf.DUMMYFUNCTION("""COMPUTED_VALUE"""),"")</f>
        <v/>
      </c>
      <c r="J242" t="str">
        <f>IFERROR(__xludf.DUMMYFUNCTION("""COMPUTED_VALUE"""),"")</f>
        <v/>
      </c>
      <c r="K242" t="str">
        <f>IFERROR(__xludf.DUMMYFUNCTION("""COMPUTED_VALUE"""),"")</f>
        <v/>
      </c>
      <c r="L242" t="str">
        <f>IFERROR(__xludf.DUMMYFUNCTION("""COMPUTED_VALUE"""),"")</f>
        <v/>
      </c>
    </row>
    <row r="243" ht="15.75" customHeight="1">
      <c r="A243" t="str">
        <f>IFERROR(__xludf.DUMMYFUNCTION("""COMPUTED_VALUE"""),"GeneralLedger")</f>
        <v>GeneralLedger</v>
      </c>
      <c r="B243" t="str">
        <f>IFERROR(__xludf.DUMMYFUNCTION("""COMPUTED_VALUE"""),"EditOpeningBalanceTranItem")</f>
        <v>EditOpeningBalanceTranItem</v>
      </c>
      <c r="C243" t="str">
        <f>IFERROR(__xludf.DUMMYFUNCTION("""COMPUTED_VALUE"""),"1njeJPFKEjXjWbNPXNBWuLdM4A4Hrt1xzLevPTOnFd48")</f>
        <v>1njeJPFKEjXjWbNPXNBWuLdM4A4Hrt1xzLevPTOnFd48</v>
      </c>
      <c r="D243" t="str">
        <f>IFERROR(__xludf.DUMMYFUNCTION("""COMPUTED_VALUE"""),"")</f>
        <v/>
      </c>
      <c r="E243" t="str">
        <f>IFERROR(__xludf.DUMMYFUNCTION("""COMPUTED_VALUE"""),"")</f>
        <v/>
      </c>
      <c r="F243" t="str">
        <f>IFERROR(__xludf.DUMMYFUNCTION("""COMPUTED_VALUE"""),"")</f>
        <v/>
      </c>
      <c r="G243" t="str">
        <f>IFERROR(__xludf.DUMMYFUNCTION("""COMPUTED_VALUE"""),"")</f>
        <v/>
      </c>
      <c r="H243" t="str">
        <f>IFERROR(__xludf.DUMMYFUNCTION("""COMPUTED_VALUE"""),"")</f>
        <v/>
      </c>
      <c r="I243" t="str">
        <f>IFERROR(__xludf.DUMMYFUNCTION("""COMPUTED_VALUE"""),"")</f>
        <v/>
      </c>
      <c r="J243" t="str">
        <f>IFERROR(__xludf.DUMMYFUNCTION("""COMPUTED_VALUE"""),"")</f>
        <v/>
      </c>
      <c r="K243" t="str">
        <f>IFERROR(__xludf.DUMMYFUNCTION("""COMPUTED_VALUE"""),"")</f>
        <v/>
      </c>
      <c r="L243" t="str">
        <f>IFERROR(__xludf.DUMMYFUNCTION("""COMPUTED_VALUE"""),"")</f>
        <v/>
      </c>
    </row>
    <row r="244" ht="15.75" customHeight="1">
      <c r="A244" t="str">
        <f>IFERROR(__xludf.DUMMYFUNCTION("""COMPUTED_VALUE"""),"DailyValuation")</f>
        <v>DailyValuation</v>
      </c>
      <c r="B244" t="str">
        <f>IFERROR(__xludf.DUMMYFUNCTION("""COMPUTED_VALUE"""),"UpdateBeta")</f>
        <v>UpdateBeta</v>
      </c>
      <c r="C244" t="str">
        <f>IFERROR(__xludf.DUMMYFUNCTION("""COMPUTED_VALUE"""),"1x5iUjYB72ZJ35IOvQ_JQkWHV-d1FlgKY3bIxxTpk-f0")</f>
        <v>1x5iUjYB72ZJ35IOvQ_JQkWHV-d1FlgKY3bIxxTpk-f0</v>
      </c>
      <c r="D244" t="str">
        <f>IFERROR(__xludf.DUMMYFUNCTION("""COMPUTED_VALUE"""),"")</f>
        <v/>
      </c>
      <c r="E244" t="str">
        <f>IFERROR(__xludf.DUMMYFUNCTION("""COMPUTED_VALUE"""),"")</f>
        <v/>
      </c>
      <c r="F244" t="str">
        <f>IFERROR(__xludf.DUMMYFUNCTION("""COMPUTED_VALUE"""),"")</f>
        <v/>
      </c>
      <c r="G244" t="str">
        <f>IFERROR(__xludf.DUMMYFUNCTION("""COMPUTED_VALUE"""),"")</f>
        <v/>
      </c>
      <c r="H244" t="str">
        <f>IFERROR(__xludf.DUMMYFUNCTION("""COMPUTED_VALUE"""),"")</f>
        <v/>
      </c>
      <c r="I244" t="str">
        <f>IFERROR(__xludf.DUMMYFUNCTION("""COMPUTED_VALUE"""),"")</f>
        <v/>
      </c>
      <c r="J244" t="str">
        <f>IFERROR(__xludf.DUMMYFUNCTION("""COMPUTED_VALUE"""),"")</f>
        <v/>
      </c>
      <c r="K244" t="str">
        <f>IFERROR(__xludf.DUMMYFUNCTION("""COMPUTED_VALUE"""),"")</f>
        <v/>
      </c>
      <c r="L244" t="str">
        <f>IFERROR(__xludf.DUMMYFUNCTION("""COMPUTED_VALUE"""),"")</f>
        <v/>
      </c>
    </row>
    <row r="245" ht="15.75" customHeight="1">
      <c r="A245" t="str">
        <f>IFERROR(__xludf.DUMMYFUNCTION("""COMPUTED_VALUE"""),"DailyValuation")</f>
        <v>DailyValuation</v>
      </c>
      <c r="B245" t="str">
        <f>IFERROR(__xludf.DUMMYFUNCTION("""COMPUTED_VALUE"""),"UpdateNAV")</f>
        <v>UpdateNAV</v>
      </c>
      <c r="C245" t="str">
        <f>IFERROR(__xludf.DUMMYFUNCTION("""COMPUTED_VALUE"""),"176KL7gj6FjCSMsvH7P2baGR-AF725MRypsOXPr43n0g")</f>
        <v>176KL7gj6FjCSMsvH7P2baGR-AF725MRypsOXPr43n0g</v>
      </c>
      <c r="D245" t="str">
        <f>IFERROR(__xludf.DUMMYFUNCTION("""COMPUTED_VALUE"""),"")</f>
        <v/>
      </c>
      <c r="E245" t="str">
        <f>IFERROR(__xludf.DUMMYFUNCTION("""COMPUTED_VALUE"""),"")</f>
        <v/>
      </c>
      <c r="F245" t="str">
        <f>IFERROR(__xludf.DUMMYFUNCTION("""COMPUTED_VALUE"""),"")</f>
        <v/>
      </c>
      <c r="G245" t="str">
        <f>IFERROR(__xludf.DUMMYFUNCTION("""COMPUTED_VALUE"""),"")</f>
        <v/>
      </c>
      <c r="H245" t="str">
        <f>IFERROR(__xludf.DUMMYFUNCTION("""COMPUTED_VALUE"""),"")</f>
        <v/>
      </c>
      <c r="I245" t="str">
        <f>IFERROR(__xludf.DUMMYFUNCTION("""COMPUTED_VALUE"""),"")</f>
        <v/>
      </c>
      <c r="J245" t="str">
        <f>IFERROR(__xludf.DUMMYFUNCTION("""COMPUTED_VALUE"""),"")</f>
        <v/>
      </c>
      <c r="K245" t="str">
        <f>IFERROR(__xludf.DUMMYFUNCTION("""COMPUTED_VALUE"""),"")</f>
        <v/>
      </c>
      <c r="L245" t="str">
        <f>IFERROR(__xludf.DUMMYFUNCTION("""COMPUTED_VALUE"""),"")</f>
        <v/>
      </c>
    </row>
    <row r="246" ht="15.75" customHeight="1">
      <c r="A246" t="str">
        <f>IFERROR(__xludf.DUMMYFUNCTION("""COMPUTED_VALUE"""),"DailyValuation")</f>
        <v>DailyValuation</v>
      </c>
      <c r="B246" t="str">
        <f>IFERROR(__xludf.DUMMYFUNCTION("""COMPUTED_VALUE"""),"UpdateDailyCash")</f>
        <v>UpdateDailyCash</v>
      </c>
      <c r="C246" t="str">
        <f>IFERROR(__xludf.DUMMYFUNCTION("""COMPUTED_VALUE"""),"1Li5RKULV7Lc2MLczTkVbzq0oDYcFGfTlBUO9__NoODc")</f>
        <v>1Li5RKULV7Lc2MLczTkVbzq0oDYcFGfTlBUO9__NoODc</v>
      </c>
      <c r="D246" t="str">
        <f>IFERROR(__xludf.DUMMYFUNCTION("""COMPUTED_VALUE"""),"")</f>
        <v/>
      </c>
      <c r="E246" t="str">
        <f>IFERROR(__xludf.DUMMYFUNCTION("""COMPUTED_VALUE"""),"")</f>
        <v/>
      </c>
      <c r="F246" t="str">
        <f>IFERROR(__xludf.DUMMYFUNCTION("""COMPUTED_VALUE"""),"")</f>
        <v/>
      </c>
      <c r="G246" t="str">
        <f>IFERROR(__xludf.DUMMYFUNCTION("""COMPUTED_VALUE"""),"")</f>
        <v/>
      </c>
      <c r="H246" t="str">
        <f>IFERROR(__xludf.DUMMYFUNCTION("""COMPUTED_VALUE"""),"")</f>
        <v/>
      </c>
      <c r="I246" t="str">
        <f>IFERROR(__xludf.DUMMYFUNCTION("""COMPUTED_VALUE"""),"")</f>
        <v/>
      </c>
      <c r="J246" t="str">
        <f>IFERROR(__xludf.DUMMYFUNCTION("""COMPUTED_VALUE"""),"")</f>
        <v/>
      </c>
      <c r="K246" t="str">
        <f>IFERROR(__xludf.DUMMYFUNCTION("""COMPUTED_VALUE"""),"")</f>
        <v/>
      </c>
      <c r="L246" t="str">
        <f>IFERROR(__xludf.DUMMYFUNCTION("""COMPUTED_VALUE"""),"")</f>
        <v/>
      </c>
    </row>
    <row r="247" ht="15.75" customHeight="1">
      <c r="A247" t="str">
        <f>IFERROR(__xludf.DUMMYFUNCTION("""COMPUTED_VALUE"""),"GeneralLedger")</f>
        <v>GeneralLedger</v>
      </c>
      <c r="B247" t="str">
        <f>IFERROR(__xludf.DUMMYFUNCTION("""COMPUTED_VALUE"""),"VerifyDailyCalTransactions")</f>
        <v>VerifyDailyCalTransactions</v>
      </c>
      <c r="C247" t="str">
        <f>IFERROR(__xludf.DUMMYFUNCTION("""COMPUTED_VALUE"""),"1Hggu8OCyZ4MPErwQA19VtwwJflpzOtAaPAe9t3cT6pk")</f>
        <v>1Hggu8OCyZ4MPErwQA19VtwwJflpzOtAaPAe9t3cT6pk</v>
      </c>
      <c r="D247" t="str">
        <f>IFERROR(__xludf.DUMMYFUNCTION("""COMPUTED_VALUE"""),"")</f>
        <v/>
      </c>
      <c r="E247" t="str">
        <f>IFERROR(__xludf.DUMMYFUNCTION("""COMPUTED_VALUE"""),"")</f>
        <v/>
      </c>
      <c r="F247" t="str">
        <f>IFERROR(__xludf.DUMMYFUNCTION("""COMPUTED_VALUE"""),"")</f>
        <v/>
      </c>
      <c r="G247" t="str">
        <f>IFERROR(__xludf.DUMMYFUNCTION("""COMPUTED_VALUE"""),"")</f>
        <v/>
      </c>
      <c r="H247" t="str">
        <f>IFERROR(__xludf.DUMMYFUNCTION("""COMPUTED_VALUE"""),"")</f>
        <v/>
      </c>
      <c r="I247" t="str">
        <f>IFERROR(__xludf.DUMMYFUNCTION("""COMPUTED_VALUE"""),"")</f>
        <v/>
      </c>
      <c r="J247" t="str">
        <f>IFERROR(__xludf.DUMMYFUNCTION("""COMPUTED_VALUE"""),"")</f>
        <v/>
      </c>
      <c r="K247" t="str">
        <f>IFERROR(__xludf.DUMMYFUNCTION("""COMPUTED_VALUE"""),"")</f>
        <v/>
      </c>
      <c r="L247" t="str">
        <f>IFERROR(__xludf.DUMMYFUNCTION("""COMPUTED_VALUE"""),"")</f>
        <v/>
      </c>
    </row>
    <row r="248" ht="15.75" customHeight="1">
      <c r="A248" t="str">
        <f>IFERROR(__xludf.DUMMYFUNCTION("""COMPUTED_VALUE"""),"DailyValuation")</f>
        <v>DailyValuation</v>
      </c>
      <c r="B248" t="str">
        <f>IFERROR(__xludf.DUMMYFUNCTION("""COMPUTED_VALUE"""),"UpdateDailyCreditLimt")</f>
        <v>UpdateDailyCreditLimt</v>
      </c>
      <c r="C248" t="str">
        <f>IFERROR(__xludf.DUMMYFUNCTION("""COMPUTED_VALUE"""),"1LRmptpZEe1O6Iz3Ffw8MBJYO5YL7PyDMHChcY1EdCZw")</f>
        <v>1LRmptpZEe1O6Iz3Ffw8MBJYO5YL7PyDMHChcY1EdCZw</v>
      </c>
      <c r="D248" t="str">
        <f>IFERROR(__xludf.DUMMYFUNCTION("""COMPUTED_VALUE"""),"")</f>
        <v/>
      </c>
      <c r="E248" t="str">
        <f>IFERROR(__xludf.DUMMYFUNCTION("""COMPUTED_VALUE"""),"")</f>
        <v/>
      </c>
      <c r="F248" t="str">
        <f>IFERROR(__xludf.DUMMYFUNCTION("""COMPUTED_VALUE"""),"")</f>
        <v/>
      </c>
      <c r="G248" t="str">
        <f>IFERROR(__xludf.DUMMYFUNCTION("""COMPUTED_VALUE"""),"")</f>
        <v/>
      </c>
      <c r="H248" t="str">
        <f>IFERROR(__xludf.DUMMYFUNCTION("""COMPUTED_VALUE"""),"")</f>
        <v/>
      </c>
      <c r="I248" t="str">
        <f>IFERROR(__xludf.DUMMYFUNCTION("""COMPUTED_VALUE"""),"")</f>
        <v/>
      </c>
      <c r="J248" t="str">
        <f>IFERROR(__xludf.DUMMYFUNCTION("""COMPUTED_VALUE"""),"")</f>
        <v/>
      </c>
      <c r="K248" t="str">
        <f>IFERROR(__xludf.DUMMYFUNCTION("""COMPUTED_VALUE"""),"")</f>
        <v/>
      </c>
      <c r="L248" t="str">
        <f>IFERROR(__xludf.DUMMYFUNCTION("""COMPUTED_VALUE"""),"")</f>
        <v/>
      </c>
    </row>
    <row r="249" ht="15.75" customHeight="1">
      <c r="A249" t="str">
        <f>IFERROR(__xludf.DUMMYFUNCTION("""COMPUTED_VALUE"""),"DailyValuation")</f>
        <v>DailyValuation</v>
      </c>
      <c r="B249" t="str">
        <f>IFERROR(__xludf.DUMMYFUNCTION("""COMPUTED_VALUE"""),"RemoveDailyCreditLimit")</f>
        <v>RemoveDailyCreditLimit</v>
      </c>
      <c r="C249" t="str">
        <f>IFERROR(__xludf.DUMMYFUNCTION("""COMPUTED_VALUE"""),"1ULQHy38ZnYFvbEI9sm_tNzDsMUyBXbiKYdpGxChGiPs")</f>
        <v>1ULQHy38ZnYFvbEI9sm_tNzDsMUyBXbiKYdpGxChGiPs</v>
      </c>
      <c r="D249" t="str">
        <f>IFERROR(__xludf.DUMMYFUNCTION("""COMPUTED_VALUE"""),"")</f>
        <v/>
      </c>
      <c r="E249" t="str">
        <f>IFERROR(__xludf.DUMMYFUNCTION("""COMPUTED_VALUE"""),"")</f>
        <v/>
      </c>
      <c r="F249" t="str">
        <f>IFERROR(__xludf.DUMMYFUNCTION("""COMPUTED_VALUE"""),"")</f>
        <v/>
      </c>
      <c r="G249" t="str">
        <f>IFERROR(__xludf.DUMMYFUNCTION("""COMPUTED_VALUE"""),"")</f>
        <v/>
      </c>
      <c r="H249" t="str">
        <f>IFERROR(__xludf.DUMMYFUNCTION("""COMPUTED_VALUE"""),"")</f>
        <v/>
      </c>
      <c r="I249" t="str">
        <f>IFERROR(__xludf.DUMMYFUNCTION("""COMPUTED_VALUE"""),"")</f>
        <v/>
      </c>
      <c r="J249" t="str">
        <f>IFERROR(__xludf.DUMMYFUNCTION("""COMPUTED_VALUE"""),"")</f>
        <v/>
      </c>
      <c r="K249" t="str">
        <f>IFERROR(__xludf.DUMMYFUNCTION("""COMPUTED_VALUE"""),"")</f>
        <v/>
      </c>
      <c r="L249" t="str">
        <f>IFERROR(__xludf.DUMMYFUNCTION("""COMPUTED_VALUE"""),"")</f>
        <v/>
      </c>
    </row>
    <row r="250" ht="15.75" customHeight="1">
      <c r="A250" t="str">
        <f>IFERROR(__xludf.DUMMYFUNCTION("""COMPUTED_VALUE"""),"DailyValuation")</f>
        <v>DailyValuation</v>
      </c>
      <c r="B250" t="str">
        <f>IFERROR(__xludf.DUMMYFUNCTION("""COMPUTED_VALUE"""),"RemoveDailyCash")</f>
        <v>RemoveDailyCash</v>
      </c>
      <c r="C250" t="str">
        <f>IFERROR(__xludf.DUMMYFUNCTION("""COMPUTED_VALUE"""),"1gHuqOKbEFaF-FX6M9JRGAEvCfjDZityjkbkB-2tDTN8")</f>
        <v>1gHuqOKbEFaF-FX6M9JRGAEvCfjDZityjkbkB-2tDTN8</v>
      </c>
      <c r="D250" t="str">
        <f>IFERROR(__xludf.DUMMYFUNCTION("""COMPUTED_VALUE"""),"")</f>
        <v/>
      </c>
      <c r="E250" t="str">
        <f>IFERROR(__xludf.DUMMYFUNCTION("""COMPUTED_VALUE"""),"")</f>
        <v/>
      </c>
      <c r="F250" t="str">
        <f>IFERROR(__xludf.DUMMYFUNCTION("""COMPUTED_VALUE"""),"")</f>
        <v/>
      </c>
      <c r="G250" t="str">
        <f>IFERROR(__xludf.DUMMYFUNCTION("""COMPUTED_VALUE"""),"")</f>
        <v/>
      </c>
      <c r="H250" t="str">
        <f>IFERROR(__xludf.DUMMYFUNCTION("""COMPUTED_VALUE"""),"")</f>
        <v/>
      </c>
      <c r="I250" t="str">
        <f>IFERROR(__xludf.DUMMYFUNCTION("""COMPUTED_VALUE"""),"")</f>
        <v/>
      </c>
      <c r="J250" t="str">
        <f>IFERROR(__xludf.DUMMYFUNCTION("""COMPUTED_VALUE"""),"")</f>
        <v/>
      </c>
      <c r="K250" t="str">
        <f>IFERROR(__xludf.DUMMYFUNCTION("""COMPUTED_VALUE"""),"")</f>
        <v/>
      </c>
      <c r="L250" t="str">
        <f>IFERROR(__xludf.DUMMYFUNCTION("""COMPUTED_VALUE"""),"")</f>
        <v/>
      </c>
    </row>
    <row r="251" ht="15.75" customHeight="1">
      <c r="A251" t="str">
        <f>IFERROR(__xludf.DUMMYFUNCTION("""COMPUTED_VALUE"""),"DailyValuation")</f>
        <v>DailyValuation</v>
      </c>
      <c r="B251" t="str">
        <f>IFERROR(__xludf.DUMMYFUNCTION("""COMPUTED_VALUE"""),"RemoveNAV")</f>
        <v>RemoveNAV</v>
      </c>
      <c r="C251" t="str">
        <f>IFERROR(__xludf.DUMMYFUNCTION("""COMPUTED_VALUE"""),"1-90taYQR0ReB1LeWlhD8eXqV-TAgtuWRoC_rfmSUR0E")</f>
        <v>1-90taYQR0ReB1LeWlhD8eXqV-TAgtuWRoC_rfmSUR0E</v>
      </c>
      <c r="D251" t="str">
        <f>IFERROR(__xludf.DUMMYFUNCTION("""COMPUTED_VALUE"""),"")</f>
        <v/>
      </c>
      <c r="E251" t="str">
        <f>IFERROR(__xludf.DUMMYFUNCTION("""COMPUTED_VALUE"""),"")</f>
        <v/>
      </c>
      <c r="F251" t="str">
        <f>IFERROR(__xludf.DUMMYFUNCTION("""COMPUTED_VALUE"""),"")</f>
        <v/>
      </c>
      <c r="G251" t="str">
        <f>IFERROR(__xludf.DUMMYFUNCTION("""COMPUTED_VALUE"""),"")</f>
        <v/>
      </c>
      <c r="H251" t="str">
        <f>IFERROR(__xludf.DUMMYFUNCTION("""COMPUTED_VALUE"""),"")</f>
        <v/>
      </c>
      <c r="I251" t="str">
        <f>IFERROR(__xludf.DUMMYFUNCTION("""COMPUTED_VALUE"""),"")</f>
        <v/>
      </c>
      <c r="J251" t="str">
        <f>IFERROR(__xludf.DUMMYFUNCTION("""COMPUTED_VALUE"""),"")</f>
        <v/>
      </c>
      <c r="K251" t="str">
        <f>IFERROR(__xludf.DUMMYFUNCTION("""COMPUTED_VALUE"""),"")</f>
        <v/>
      </c>
      <c r="L251" t="str">
        <f>IFERROR(__xludf.DUMMYFUNCTION("""COMPUTED_VALUE"""),"")</f>
        <v/>
      </c>
    </row>
    <row r="252" ht="15.75" customHeight="1">
      <c r="A252" t="str">
        <f>IFERROR(__xludf.DUMMYFUNCTION("""COMPUTED_VALUE"""),"PortfolioManagement")</f>
        <v>PortfolioManagement</v>
      </c>
      <c r="B252" t="str">
        <f>IFERROR(__xludf.DUMMYFUNCTION("""COMPUTED_VALUE"""),"FilterPM")</f>
        <v>FilterPM</v>
      </c>
      <c r="C252" t="str">
        <f>IFERROR(__xludf.DUMMYFUNCTION("""COMPUTED_VALUE"""),"1Yyicgon40_tYgdmKCkOwwU3pK7CjbU1YFofcQWMeUzY")</f>
        <v>1Yyicgon40_tYgdmKCkOwwU3pK7CjbU1YFofcQWMeUzY</v>
      </c>
      <c r="D252" t="str">
        <f>IFERROR(__xludf.DUMMYFUNCTION("""COMPUTED_VALUE"""),"")</f>
        <v/>
      </c>
      <c r="E252" t="str">
        <f>IFERROR(__xludf.DUMMYFUNCTION("""COMPUTED_VALUE"""),"")</f>
        <v/>
      </c>
      <c r="F252" t="str">
        <f>IFERROR(__xludf.DUMMYFUNCTION("""COMPUTED_VALUE"""),"")</f>
        <v/>
      </c>
      <c r="G252" t="str">
        <f>IFERROR(__xludf.DUMMYFUNCTION("""COMPUTED_VALUE"""),"")</f>
        <v/>
      </c>
      <c r="H252" t="str">
        <f>IFERROR(__xludf.DUMMYFUNCTION("""COMPUTED_VALUE"""),"")</f>
        <v/>
      </c>
      <c r="I252" t="str">
        <f>IFERROR(__xludf.DUMMYFUNCTION("""COMPUTED_VALUE"""),"")</f>
        <v/>
      </c>
      <c r="J252" t="str">
        <f>IFERROR(__xludf.DUMMYFUNCTION("""COMPUTED_VALUE"""),"")</f>
        <v/>
      </c>
      <c r="K252" t="str">
        <f>IFERROR(__xludf.DUMMYFUNCTION("""COMPUTED_VALUE"""),"")</f>
        <v/>
      </c>
      <c r="L252" t="str">
        <f>IFERROR(__xludf.DUMMYFUNCTION("""COMPUTED_VALUE"""),"")</f>
        <v/>
      </c>
    </row>
    <row r="253" ht="15.75" customHeight="1">
      <c r="A253" t="str">
        <f>IFERROR(__xludf.DUMMYFUNCTION("""COMPUTED_VALUE"""),"PortfolioManagement")</f>
        <v>PortfolioManagement</v>
      </c>
      <c r="B253" t="str">
        <f>IFERROR(__xludf.DUMMYFUNCTION("""COMPUTED_VALUE"""),"GroupRowPM")</f>
        <v>GroupRowPM</v>
      </c>
      <c r="C253" t="str">
        <f>IFERROR(__xludf.DUMMYFUNCTION("""COMPUTED_VALUE"""),"1f9-1p-_wPNSAH6MBN_WolwNrBbcb5vGR4maJeT6ASzk")</f>
        <v>1f9-1p-_wPNSAH6MBN_WolwNrBbcb5vGR4maJeT6ASzk</v>
      </c>
      <c r="D253" t="str">
        <f>IFERROR(__xludf.DUMMYFUNCTION("""COMPUTED_VALUE"""),"")</f>
        <v/>
      </c>
      <c r="E253" t="str">
        <f>IFERROR(__xludf.DUMMYFUNCTION("""COMPUTED_VALUE"""),"")</f>
        <v/>
      </c>
      <c r="F253" t="str">
        <f>IFERROR(__xludf.DUMMYFUNCTION("""COMPUTED_VALUE"""),"")</f>
        <v/>
      </c>
      <c r="G253" t="str">
        <f>IFERROR(__xludf.DUMMYFUNCTION("""COMPUTED_VALUE"""),"")</f>
        <v/>
      </c>
      <c r="H253" t="str">
        <f>IFERROR(__xludf.DUMMYFUNCTION("""COMPUTED_VALUE"""),"")</f>
        <v/>
      </c>
      <c r="I253" t="str">
        <f>IFERROR(__xludf.DUMMYFUNCTION("""COMPUTED_VALUE"""),"")</f>
        <v/>
      </c>
      <c r="J253" t="str">
        <f>IFERROR(__xludf.DUMMYFUNCTION("""COMPUTED_VALUE"""),"")</f>
        <v/>
      </c>
      <c r="K253" t="str">
        <f>IFERROR(__xludf.DUMMYFUNCTION("""COMPUTED_VALUE"""),"")</f>
        <v/>
      </c>
      <c r="L253" t="str">
        <f>IFERROR(__xludf.DUMMYFUNCTION("""COMPUTED_VALUE"""),"")</f>
        <v/>
      </c>
    </row>
    <row r="254" ht="15.75" customHeight="1">
      <c r="A254" t="str">
        <f>IFERROR(__xludf.DUMMYFUNCTION("""COMPUTED_VALUE"""),"Allocation")</f>
        <v>Allocation</v>
      </c>
      <c r="B254" t="str">
        <f>IFERROR(__xludf.DUMMYFUNCTION("""COMPUTED_VALUE"""),"CloseAllocation")</f>
        <v>CloseAllocation</v>
      </c>
      <c r="C254" t="str">
        <f>IFERROR(__xludf.DUMMYFUNCTION("""COMPUTED_VALUE"""),"Undefined")</f>
        <v>Undefined</v>
      </c>
      <c r="D254" t="str">
        <f>IFERROR(__xludf.DUMMYFUNCTION("""COMPUTED_VALUE"""),"")</f>
        <v/>
      </c>
      <c r="E254" t="str">
        <f>IFERROR(__xludf.DUMMYFUNCTION("""COMPUTED_VALUE"""),"")</f>
        <v/>
      </c>
      <c r="F254" t="str">
        <f>IFERROR(__xludf.DUMMYFUNCTION("""COMPUTED_VALUE"""),"")</f>
        <v/>
      </c>
      <c r="G254" t="str">
        <f>IFERROR(__xludf.DUMMYFUNCTION("""COMPUTED_VALUE"""),"")</f>
        <v/>
      </c>
      <c r="H254" t="str">
        <f>IFERROR(__xludf.DUMMYFUNCTION("""COMPUTED_VALUE"""),"")</f>
        <v/>
      </c>
      <c r="I254" t="str">
        <f>IFERROR(__xludf.DUMMYFUNCTION("""COMPUTED_VALUE"""),"")</f>
        <v/>
      </c>
      <c r="J254" t="str">
        <f>IFERROR(__xludf.DUMMYFUNCTION("""COMPUTED_VALUE"""),"")</f>
        <v/>
      </c>
      <c r="K254" t="str">
        <f>IFERROR(__xludf.DUMMYFUNCTION("""COMPUTED_VALUE"""),"")</f>
        <v/>
      </c>
      <c r="L254" t="str">
        <f>IFERROR(__xludf.DUMMYFUNCTION("""COMPUTED_VALUE"""),"")</f>
        <v/>
      </c>
    </row>
    <row r="255" ht="15.75" customHeight="1">
      <c r="A255" t="str">
        <f>IFERROR(__xludf.DUMMYFUNCTION("""COMPUTED_VALUE"""),"PortfolioManagement")</f>
        <v>PortfolioManagement</v>
      </c>
      <c r="B255" t="str">
        <f>IFERROR(__xludf.DUMMYFUNCTION("""COMPUTED_VALUE"""),"CheckDashboardWithPM")</f>
        <v>CheckDashboardWithPM</v>
      </c>
      <c r="C255" t="str">
        <f>IFERROR(__xludf.DUMMYFUNCTION("""COMPUTED_VALUE"""),"Undefined")</f>
        <v>Undefined</v>
      </c>
      <c r="D255" t="str">
        <f>IFERROR(__xludf.DUMMYFUNCTION("""COMPUTED_VALUE"""),"")</f>
        <v/>
      </c>
      <c r="E255" t="str">
        <f>IFERROR(__xludf.DUMMYFUNCTION("""COMPUTED_VALUE"""),"")</f>
        <v/>
      </c>
      <c r="F255" t="str">
        <f>IFERROR(__xludf.DUMMYFUNCTION("""COMPUTED_VALUE"""),"")</f>
        <v/>
      </c>
      <c r="G255" t="str">
        <f>IFERROR(__xludf.DUMMYFUNCTION("""COMPUTED_VALUE"""),"")</f>
        <v/>
      </c>
      <c r="H255" t="str">
        <f>IFERROR(__xludf.DUMMYFUNCTION("""COMPUTED_VALUE"""),"")</f>
        <v/>
      </c>
      <c r="I255" t="str">
        <f>IFERROR(__xludf.DUMMYFUNCTION("""COMPUTED_VALUE"""),"")</f>
        <v/>
      </c>
      <c r="J255" t="str">
        <f>IFERROR(__xludf.DUMMYFUNCTION("""COMPUTED_VALUE"""),"")</f>
        <v/>
      </c>
      <c r="K255" t="str">
        <f>IFERROR(__xludf.DUMMYFUNCTION("""COMPUTED_VALUE"""),"")</f>
        <v/>
      </c>
      <c r="L255" t="str">
        <f>IFERROR(__xludf.DUMMYFUNCTION("""COMPUTED_VALUE"""),"")</f>
        <v/>
      </c>
    </row>
    <row r="256" ht="15.75" customHeight="1">
      <c r="A256" t="str">
        <f>IFERROR(__xludf.DUMMYFUNCTION("""COMPUTED_VALUE"""),"PortfolioManagement")</f>
        <v>PortfolioManagement</v>
      </c>
      <c r="B256" t="str">
        <f>IFERROR(__xludf.DUMMYFUNCTION("""COMPUTED_VALUE"""),"RemoveFilterPM")</f>
        <v>RemoveFilterPM</v>
      </c>
      <c r="C256" t="str">
        <f>IFERROR(__xludf.DUMMYFUNCTION("""COMPUTED_VALUE"""),"Undefined")</f>
        <v>Undefined</v>
      </c>
      <c r="D256" t="str">
        <f>IFERROR(__xludf.DUMMYFUNCTION("""COMPUTED_VALUE"""),"")</f>
        <v/>
      </c>
      <c r="E256" t="str">
        <f>IFERROR(__xludf.DUMMYFUNCTION("""COMPUTED_VALUE"""),"")</f>
        <v/>
      </c>
      <c r="F256" t="str">
        <f>IFERROR(__xludf.DUMMYFUNCTION("""COMPUTED_VALUE"""),"")</f>
        <v/>
      </c>
      <c r="G256" t="str">
        <f>IFERROR(__xludf.DUMMYFUNCTION("""COMPUTED_VALUE"""),"")</f>
        <v/>
      </c>
      <c r="H256" t="str">
        <f>IFERROR(__xludf.DUMMYFUNCTION("""COMPUTED_VALUE"""),"")</f>
        <v/>
      </c>
      <c r="I256" t="str">
        <f>IFERROR(__xludf.DUMMYFUNCTION("""COMPUTED_VALUE"""),"")</f>
        <v/>
      </c>
      <c r="J256" t="str">
        <f>IFERROR(__xludf.DUMMYFUNCTION("""COMPUTED_VALUE"""),"")</f>
        <v/>
      </c>
      <c r="K256" t="str">
        <f>IFERROR(__xludf.DUMMYFUNCTION("""COMPUTED_VALUE"""),"")</f>
        <v/>
      </c>
      <c r="L256" t="str">
        <f>IFERROR(__xludf.DUMMYFUNCTION("""COMPUTED_VALUE"""),"")</f>
        <v/>
      </c>
    </row>
    <row r="257" ht="15.75" customHeight="1">
      <c r="A257" t="str">
        <f>IFERROR(__xludf.DUMMYFUNCTION("""COMPUTED_VALUE"""),"PortfolioManagement")</f>
        <v>PortfolioManagement</v>
      </c>
      <c r="B257" t="str">
        <f>IFERROR(__xludf.DUMMYFUNCTION("""COMPUTED_VALUE"""),"CheckSummaryRowsPM")</f>
        <v>CheckSummaryRowsPM</v>
      </c>
      <c r="C257" t="str">
        <f>IFERROR(__xludf.DUMMYFUNCTION("""COMPUTED_VALUE"""),"1FWp2_v19fmVoPIsw_BJhrsAqUEhebfJYo5T1vCK-yMQ")</f>
        <v>1FWp2_v19fmVoPIsw_BJhrsAqUEhebfJYo5T1vCK-yMQ</v>
      </c>
      <c r="D257" t="str">
        <f>IFERROR(__xludf.DUMMYFUNCTION("""COMPUTED_VALUE"""),"")</f>
        <v/>
      </c>
      <c r="E257" t="str">
        <f>IFERROR(__xludf.DUMMYFUNCTION("""COMPUTED_VALUE"""),"")</f>
        <v/>
      </c>
      <c r="F257" t="str">
        <f>IFERROR(__xludf.DUMMYFUNCTION("""COMPUTED_VALUE"""),"")</f>
        <v/>
      </c>
      <c r="G257" t="str">
        <f>IFERROR(__xludf.DUMMYFUNCTION("""COMPUTED_VALUE"""),"")</f>
        <v/>
      </c>
      <c r="H257" t="str">
        <f>IFERROR(__xludf.DUMMYFUNCTION("""COMPUTED_VALUE"""),"")</f>
        <v/>
      </c>
      <c r="I257" t="str">
        <f>IFERROR(__xludf.DUMMYFUNCTION("""COMPUTED_VALUE"""),"")</f>
        <v/>
      </c>
      <c r="J257" t="str">
        <f>IFERROR(__xludf.DUMMYFUNCTION("""COMPUTED_VALUE"""),"")</f>
        <v/>
      </c>
      <c r="K257" t="str">
        <f>IFERROR(__xludf.DUMMYFUNCTION("""COMPUTED_VALUE"""),"")</f>
        <v/>
      </c>
      <c r="L257" t="str">
        <f>IFERROR(__xludf.DUMMYFUNCTION("""COMPUTED_VALUE"""),"")</f>
        <v/>
      </c>
    </row>
    <row r="258" ht="15.75" customHeight="1">
      <c r="A258" t="str">
        <f>IFERROR(__xludf.DUMMYFUNCTION("""COMPUTED_VALUE"""),"GeneralLedger")</f>
        <v>GeneralLedger</v>
      </c>
      <c r="B258" t="str">
        <f>IFERROR(__xludf.DUMMYFUNCTION("""COMPUTED_VALUE"""),"CloseGeneralLedger")</f>
        <v>CloseGeneralLedger</v>
      </c>
      <c r="C258" t="str">
        <f>IFERROR(__xludf.DUMMYFUNCTION("""COMPUTED_VALUE"""),"Undefined")</f>
        <v>Undefined</v>
      </c>
      <c r="D258" t="str">
        <f>IFERROR(__xludf.DUMMYFUNCTION("""COMPUTED_VALUE"""),"")</f>
        <v/>
      </c>
      <c r="E258" t="str">
        <f>IFERROR(__xludf.DUMMYFUNCTION("""COMPUTED_VALUE"""),"")</f>
        <v/>
      </c>
      <c r="F258" t="str">
        <f>IFERROR(__xludf.DUMMYFUNCTION("""COMPUTED_VALUE"""),"")</f>
        <v/>
      </c>
      <c r="G258" t="str">
        <f>IFERROR(__xludf.DUMMYFUNCTION("""COMPUTED_VALUE"""),"")</f>
        <v/>
      </c>
      <c r="H258" t="str">
        <f>IFERROR(__xludf.DUMMYFUNCTION("""COMPUTED_VALUE"""),"")</f>
        <v/>
      </c>
      <c r="I258" t="str">
        <f>IFERROR(__xludf.DUMMYFUNCTION("""COMPUTED_VALUE"""),"")</f>
        <v/>
      </c>
      <c r="J258" t="str">
        <f>IFERROR(__xludf.DUMMYFUNCTION("""COMPUTED_VALUE"""),"")</f>
        <v/>
      </c>
      <c r="K258" t="str">
        <f>IFERROR(__xludf.DUMMYFUNCTION("""COMPUTED_VALUE"""),"")</f>
        <v/>
      </c>
      <c r="L258" t="str">
        <f>IFERROR(__xludf.DUMMYFUNCTION("""COMPUTED_VALUE"""),"")</f>
        <v/>
      </c>
    </row>
    <row r="259" ht="15.75" customHeight="1">
      <c r="A259" t="str">
        <f>IFERROR(__xludf.DUMMYFUNCTION("""COMPUTED_VALUE"""),"Blotter")</f>
        <v>Blotter</v>
      </c>
      <c r="B259" t="str">
        <f>IFERROR(__xludf.DUMMYFUNCTION("""COMPUTED_VALUE"""),"ReplaceStageOrder")</f>
        <v>ReplaceStageOrder</v>
      </c>
      <c r="C259" t="str">
        <f>IFERROR(__xludf.DUMMYFUNCTION("""COMPUTED_VALUE"""),"1chm8mWXPg3RUjpQhkqqLfInlWIGOSnhfKIzNfBTnK_o")</f>
        <v>1chm8mWXPg3RUjpQhkqqLfInlWIGOSnhfKIzNfBTnK_o</v>
      </c>
      <c r="D259" t="str">
        <f>IFERROR(__xludf.DUMMYFUNCTION("""COMPUTED_VALUE"""),"")</f>
        <v/>
      </c>
      <c r="E259" t="str">
        <f>IFERROR(__xludf.DUMMYFUNCTION("""COMPUTED_VALUE"""),"")</f>
        <v/>
      </c>
      <c r="F259" t="str">
        <f>IFERROR(__xludf.DUMMYFUNCTION("""COMPUTED_VALUE"""),"")</f>
        <v/>
      </c>
      <c r="G259" t="str">
        <f>IFERROR(__xludf.DUMMYFUNCTION("""COMPUTED_VALUE"""),"")</f>
        <v/>
      </c>
      <c r="H259" t="str">
        <f>IFERROR(__xludf.DUMMYFUNCTION("""COMPUTED_VALUE"""),"")</f>
        <v/>
      </c>
      <c r="I259" t="str">
        <f>IFERROR(__xludf.DUMMYFUNCTION("""COMPUTED_VALUE"""),"")</f>
        <v/>
      </c>
      <c r="J259" t="str">
        <f>IFERROR(__xludf.DUMMYFUNCTION("""COMPUTED_VALUE"""),"")</f>
        <v/>
      </c>
      <c r="K259" t="str">
        <f>IFERROR(__xludf.DUMMYFUNCTION("""COMPUTED_VALUE"""),"")</f>
        <v/>
      </c>
      <c r="L259" t="str">
        <f>IFERROR(__xludf.DUMMYFUNCTION("""COMPUTED_VALUE"""),"")</f>
        <v/>
      </c>
    </row>
    <row r="260" ht="15.75" customHeight="1">
      <c r="A260" t="str">
        <f>IFERROR(__xludf.DUMMYFUNCTION("""COMPUTED_VALUE"""),"GeneralLedger")</f>
        <v>GeneralLedger</v>
      </c>
      <c r="B260" t="str">
        <f>IFERROR(__xludf.DUMMYFUNCTION("""COMPUTED_VALUE"""),"VerifyAccountDetails")</f>
        <v>VerifyAccountDetails</v>
      </c>
      <c r="C260" t="str">
        <f>IFERROR(__xludf.DUMMYFUNCTION("""COMPUTED_VALUE"""),"18wq9EBdTjVM_o2NWnHC8C4fw2rRgWfb_MPvfaAm-mJ8")</f>
        <v>18wq9EBdTjVM_o2NWnHC8C4fw2rRgWfb_MPvfaAm-mJ8</v>
      </c>
      <c r="D260" t="str">
        <f>IFERROR(__xludf.DUMMYFUNCTION("""COMPUTED_VALUE"""),"")</f>
        <v/>
      </c>
      <c r="E260" t="str">
        <f>IFERROR(__xludf.DUMMYFUNCTION("""COMPUTED_VALUE"""),"")</f>
        <v/>
      </c>
      <c r="F260" t="str">
        <f>IFERROR(__xludf.DUMMYFUNCTION("""COMPUTED_VALUE"""),"")</f>
        <v/>
      </c>
      <c r="G260" t="str">
        <f>IFERROR(__xludf.DUMMYFUNCTION("""COMPUTED_VALUE"""),"")</f>
        <v/>
      </c>
      <c r="H260" t="str">
        <f>IFERROR(__xludf.DUMMYFUNCTION("""COMPUTED_VALUE"""),"")</f>
        <v/>
      </c>
      <c r="I260" t="str">
        <f>IFERROR(__xludf.DUMMYFUNCTION("""COMPUTED_VALUE"""),"")</f>
        <v/>
      </c>
      <c r="J260" t="str">
        <f>IFERROR(__xludf.DUMMYFUNCTION("""COMPUTED_VALUE"""),"")</f>
        <v/>
      </c>
      <c r="K260" t="str">
        <f>IFERROR(__xludf.DUMMYFUNCTION("""COMPUTED_VALUE"""),"")</f>
        <v/>
      </c>
      <c r="L260" t="str">
        <f>IFERROR(__xludf.DUMMYFUNCTION("""COMPUTED_VALUE"""),"")</f>
        <v/>
      </c>
    </row>
    <row r="261" ht="15.75" customHeight="1">
      <c r="A261" t="str">
        <f>IFERROR(__xludf.DUMMYFUNCTION("""COMPUTED_VALUE"""),"TradingTicket")</f>
        <v>TradingTicket</v>
      </c>
      <c r="B261" t="str">
        <f>IFERROR(__xludf.DUMMYFUNCTION("""COMPUTED_VALUE"""),"CreateNewSubOrder")</f>
        <v>CreateNewSubOrder</v>
      </c>
      <c r="C261" t="str">
        <f>IFERROR(__xludf.DUMMYFUNCTION("""COMPUTED_VALUE"""),"1h3kE6mxfRt8AAMF3tzHC-scSdChXooOOld42-4Gv8HA")</f>
        <v>1h3kE6mxfRt8AAMF3tzHC-scSdChXooOOld42-4Gv8HA</v>
      </c>
      <c r="D261" t="str">
        <f>IFERROR(__xludf.DUMMYFUNCTION("""COMPUTED_VALUE"""),"")</f>
        <v/>
      </c>
      <c r="E261" t="str">
        <f>IFERROR(__xludf.DUMMYFUNCTION("""COMPUTED_VALUE"""),"")</f>
        <v/>
      </c>
      <c r="F261" t="str">
        <f>IFERROR(__xludf.DUMMYFUNCTION("""COMPUTED_VALUE"""),"")</f>
        <v/>
      </c>
      <c r="G261" t="str">
        <f>IFERROR(__xludf.DUMMYFUNCTION("""COMPUTED_VALUE"""),"")</f>
        <v/>
      </c>
      <c r="H261" t="str">
        <f>IFERROR(__xludf.DUMMYFUNCTION("""COMPUTED_VALUE"""),"")</f>
        <v/>
      </c>
      <c r="I261" t="str">
        <f>IFERROR(__xludf.DUMMYFUNCTION("""COMPUTED_VALUE"""),"")</f>
        <v/>
      </c>
      <c r="J261" t="str">
        <f>IFERROR(__xludf.DUMMYFUNCTION("""COMPUTED_VALUE"""),"")</f>
        <v/>
      </c>
      <c r="K261" t="str">
        <f>IFERROR(__xludf.DUMMYFUNCTION("""COMPUTED_VALUE"""),"")</f>
        <v/>
      </c>
      <c r="L261" t="str">
        <f>IFERROR(__xludf.DUMMYFUNCTION("""COMPUTED_VALUE"""),"")</f>
        <v/>
      </c>
    </row>
    <row r="262" ht="15.75" customHeight="1">
      <c r="A262" t="str">
        <f>IFERROR(__xludf.DUMMYFUNCTION("""COMPUTED_VALUE"""),"CreateTransaction")</f>
        <v>CreateTransaction</v>
      </c>
      <c r="B262" t="str">
        <f>IFERROR(__xludf.DUMMYFUNCTION("""COMPUTED_VALUE"""),"AddNewTransaction")</f>
        <v>AddNewTransaction</v>
      </c>
      <c r="C262" t="str">
        <f>IFERROR(__xludf.DUMMYFUNCTION("""COMPUTED_VALUE"""),"1qGWLtOINiaVtZohaEupJcqLbeUhwVu1Neg32z7LzAwE")</f>
        <v>1qGWLtOINiaVtZohaEupJcqLbeUhwVu1Neg32z7LzAwE</v>
      </c>
      <c r="D262" t="str">
        <f>IFERROR(__xludf.DUMMYFUNCTION("""COMPUTED_VALUE"""),"")</f>
        <v/>
      </c>
      <c r="E262" t="str">
        <f>IFERROR(__xludf.DUMMYFUNCTION("""COMPUTED_VALUE"""),"")</f>
        <v/>
      </c>
      <c r="F262" t="str">
        <f>IFERROR(__xludf.DUMMYFUNCTION("""COMPUTED_VALUE"""),"")</f>
        <v/>
      </c>
      <c r="G262" t="str">
        <f>IFERROR(__xludf.DUMMYFUNCTION("""COMPUTED_VALUE"""),"")</f>
        <v/>
      </c>
      <c r="H262" t="str">
        <f>IFERROR(__xludf.DUMMYFUNCTION("""COMPUTED_VALUE"""),"")</f>
        <v/>
      </c>
      <c r="I262" t="str">
        <f>IFERROR(__xludf.DUMMYFUNCTION("""COMPUTED_VALUE"""),"")</f>
        <v/>
      </c>
      <c r="J262" t="str">
        <f>IFERROR(__xludf.DUMMYFUNCTION("""COMPUTED_VALUE"""),"")</f>
        <v/>
      </c>
      <c r="K262" t="str">
        <f>IFERROR(__xludf.DUMMYFUNCTION("""COMPUTED_VALUE"""),"")</f>
        <v/>
      </c>
      <c r="L262" t="str">
        <f>IFERROR(__xludf.DUMMYFUNCTION("""COMPUTED_VALUE"""),"")</f>
        <v/>
      </c>
    </row>
    <row r="263" ht="15.75" customHeight="1">
      <c r="A263" t="str">
        <f>IFERROR(__xludf.DUMMYFUNCTION("""COMPUTED_VALUE"""),"TradingTicket")</f>
        <v>TradingTicket</v>
      </c>
      <c r="B263" t="str">
        <f>IFERROR(__xludf.DUMMYFUNCTION("""COMPUTED_VALUE"""),"TradeBloomberg")</f>
        <v>TradeBloomberg</v>
      </c>
      <c r="C263" t="str">
        <f>IFERROR(__xludf.DUMMYFUNCTION("""COMPUTED_VALUE"""),"1ggc3C-AgCuq5bg0nI16D-lmZU--83aV_rjtKKrb-K7g")</f>
        <v>1ggc3C-AgCuq5bg0nI16D-lmZU--83aV_rjtKKrb-K7g</v>
      </c>
      <c r="D263" t="str">
        <f>IFERROR(__xludf.DUMMYFUNCTION("""COMPUTED_VALUE"""),"")</f>
        <v/>
      </c>
      <c r="E263" t="str">
        <f>IFERROR(__xludf.DUMMYFUNCTION("""COMPUTED_VALUE"""),"")</f>
        <v/>
      </c>
      <c r="F263" t="str">
        <f>IFERROR(__xludf.DUMMYFUNCTION("""COMPUTED_VALUE"""),"")</f>
        <v/>
      </c>
      <c r="G263" t="str">
        <f>IFERROR(__xludf.DUMMYFUNCTION("""COMPUTED_VALUE"""),"")</f>
        <v/>
      </c>
      <c r="H263" t="str">
        <f>IFERROR(__xludf.DUMMYFUNCTION("""COMPUTED_VALUE"""),"")</f>
        <v/>
      </c>
      <c r="I263" t="str">
        <f>IFERROR(__xludf.DUMMYFUNCTION("""COMPUTED_VALUE"""),"")</f>
        <v/>
      </c>
      <c r="J263" t="str">
        <f>IFERROR(__xludf.DUMMYFUNCTION("""COMPUTED_VALUE"""),"")</f>
        <v/>
      </c>
      <c r="K263" t="str">
        <f>IFERROR(__xludf.DUMMYFUNCTION("""COMPUTED_VALUE"""),"")</f>
        <v/>
      </c>
      <c r="L263" t="str">
        <f>IFERROR(__xludf.DUMMYFUNCTION("""COMPUTED_VALUE"""),"")</f>
        <v/>
      </c>
    </row>
    <row r="264" ht="15.75" customHeight="1">
      <c r="A264" t="str">
        <f>IFERROR(__xludf.DUMMYFUNCTION("""COMPUTED_VALUE"""),"TradingTicket")</f>
        <v>TradingTicket</v>
      </c>
      <c r="B264" t="str">
        <f>IFERROR(__xludf.DUMMYFUNCTION("""COMPUTED_VALUE"""),"ClickSymbolLookup")</f>
        <v>ClickSymbolLookup</v>
      </c>
      <c r="C264" t="str">
        <f>IFERROR(__xludf.DUMMYFUNCTION("""COMPUTED_VALUE"""),"10yCku8yOnXCUARqi5iHNxNAMwOoAgJ1OX-mHsxrlJxc")</f>
        <v>10yCku8yOnXCUARqi5iHNxNAMwOoAgJ1OX-mHsxrlJxc</v>
      </c>
      <c r="D264" t="str">
        <f>IFERROR(__xludf.DUMMYFUNCTION("""COMPUTED_VALUE"""),"")</f>
        <v/>
      </c>
      <c r="E264" t="str">
        <f>IFERROR(__xludf.DUMMYFUNCTION("""COMPUTED_VALUE"""),"")</f>
        <v/>
      </c>
      <c r="F264" t="str">
        <f>IFERROR(__xludf.DUMMYFUNCTION("""COMPUTED_VALUE"""),"")</f>
        <v/>
      </c>
      <c r="G264" t="str">
        <f>IFERROR(__xludf.DUMMYFUNCTION("""COMPUTED_VALUE"""),"")</f>
        <v/>
      </c>
      <c r="H264" t="str">
        <f>IFERROR(__xludf.DUMMYFUNCTION("""COMPUTED_VALUE"""),"")</f>
        <v/>
      </c>
      <c r="I264" t="str">
        <f>IFERROR(__xludf.DUMMYFUNCTION("""COMPUTED_VALUE"""),"")</f>
        <v/>
      </c>
      <c r="J264" t="str">
        <f>IFERROR(__xludf.DUMMYFUNCTION("""COMPUTED_VALUE"""),"")</f>
        <v/>
      </c>
      <c r="K264" t="str">
        <f>IFERROR(__xludf.DUMMYFUNCTION("""COMPUTED_VALUE"""),"")</f>
        <v/>
      </c>
      <c r="L264" t="str">
        <f>IFERROR(__xludf.DUMMYFUNCTION("""COMPUTED_VALUE"""),"")</f>
        <v/>
      </c>
    </row>
    <row r="265" ht="15.75" customHeight="1">
      <c r="A265" t="str">
        <f>IFERROR(__xludf.DUMMYFUNCTION("""COMPUTED_VALUE"""),"PricingServer")</f>
        <v>PricingServer</v>
      </c>
      <c r="B265" t="str">
        <f>IFERROR(__xludf.DUMMYFUNCTION("""COMPUTED_VALUE"""),"RestartPricingServer")</f>
        <v>RestartPricingServer</v>
      </c>
      <c r="C265" t="str">
        <f>IFERROR(__xludf.DUMMYFUNCTION("""COMPUTED_VALUE"""),"14XPNoKflHWgrJhazDvDpyN_v9J_0zTxyB_0TyM3b104")</f>
        <v>14XPNoKflHWgrJhazDvDpyN_v9J_0zTxyB_0TyM3b104</v>
      </c>
      <c r="D265" t="str">
        <f>IFERROR(__xludf.DUMMYFUNCTION("""COMPUTED_VALUE"""),"")</f>
        <v/>
      </c>
      <c r="E265" t="str">
        <f>IFERROR(__xludf.DUMMYFUNCTION("""COMPUTED_VALUE"""),"")</f>
        <v/>
      </c>
      <c r="F265" t="str">
        <f>IFERROR(__xludf.DUMMYFUNCTION("""COMPUTED_VALUE"""),"")</f>
        <v/>
      </c>
      <c r="G265" t="str">
        <f>IFERROR(__xludf.DUMMYFUNCTION("""COMPUTED_VALUE"""),"")</f>
        <v/>
      </c>
      <c r="H265" t="str">
        <f>IFERROR(__xludf.DUMMYFUNCTION("""COMPUTED_VALUE"""),"")</f>
        <v/>
      </c>
      <c r="I265" t="str">
        <f>IFERROR(__xludf.DUMMYFUNCTION("""COMPUTED_VALUE"""),"")</f>
        <v/>
      </c>
      <c r="J265" t="str">
        <f>IFERROR(__xludf.DUMMYFUNCTION("""COMPUTED_VALUE"""),"")</f>
        <v/>
      </c>
      <c r="K265" t="str">
        <f>IFERROR(__xludf.DUMMYFUNCTION("""COMPUTED_VALUE"""),"")</f>
        <v/>
      </c>
      <c r="L265" t="str">
        <f>IFERROR(__xludf.DUMMYFUNCTION("""COMPUTED_VALUE"""),"")</f>
        <v/>
      </c>
    </row>
    <row r="266" ht="15.75" customHeight="1">
      <c r="A266" t="str">
        <f>IFERROR(__xludf.DUMMYFUNCTION("""COMPUTED_VALUE"""),"TradeServer")</f>
        <v>TradeServer</v>
      </c>
      <c r="B266" t="str">
        <f>IFERROR(__xludf.DUMMYFUNCTION("""COMPUTED_VALUE"""),"RestartServer")</f>
        <v>RestartServer</v>
      </c>
      <c r="C266" t="str">
        <f>IFERROR(__xludf.DUMMYFUNCTION("""COMPUTED_VALUE"""),"16l6QdcvhT88EvBSovIsD4-TLFFSBt3xR3q6U11f9nZw")</f>
        <v>16l6QdcvhT88EvBSovIsD4-TLFFSBt3xR3q6U11f9nZw</v>
      </c>
      <c r="D266" t="str">
        <f>IFERROR(__xludf.DUMMYFUNCTION("""COMPUTED_VALUE"""),"")</f>
        <v/>
      </c>
      <c r="E266" t="str">
        <f>IFERROR(__xludf.DUMMYFUNCTION("""COMPUTED_VALUE"""),"")</f>
        <v/>
      </c>
      <c r="F266" t="str">
        <f>IFERROR(__xludf.DUMMYFUNCTION("""COMPUTED_VALUE"""),"")</f>
        <v/>
      </c>
      <c r="G266" t="str">
        <f>IFERROR(__xludf.DUMMYFUNCTION("""COMPUTED_VALUE"""),"")</f>
        <v/>
      </c>
      <c r="H266" t="str">
        <f>IFERROR(__xludf.DUMMYFUNCTION("""COMPUTED_VALUE"""),"")</f>
        <v/>
      </c>
      <c r="I266" t="str">
        <f>IFERROR(__xludf.DUMMYFUNCTION("""COMPUTED_VALUE"""),"")</f>
        <v/>
      </c>
      <c r="J266" t="str">
        <f>IFERROR(__xludf.DUMMYFUNCTION("""COMPUTED_VALUE"""),"")</f>
        <v/>
      </c>
      <c r="K266" t="str">
        <f>IFERROR(__xludf.DUMMYFUNCTION("""COMPUTED_VALUE"""),"")</f>
        <v/>
      </c>
      <c r="L266" t="str">
        <f>IFERROR(__xludf.DUMMYFUNCTION("""COMPUTED_VALUE"""),"")</f>
        <v/>
      </c>
    </row>
    <row r="267" ht="15.75" customHeight="1">
      <c r="A267" t="str">
        <f>IFERROR(__xludf.DUMMYFUNCTION("""COMPUTED_VALUE"""),"PTT")</f>
        <v>PTT</v>
      </c>
      <c r="B267" t="str">
        <f>IFERROR(__xludf.DUMMYFUNCTION("""COMPUTED_VALUE"""),"CalculatePTT")</f>
        <v>CalculatePTT</v>
      </c>
      <c r="C267" t="str">
        <f>IFERROR(__xludf.DUMMYFUNCTION("""COMPUTED_VALUE"""),"1lKTIY25KFKUdpe6XoZciVb0-8L9erXZZRMEZ8RqdFuk")</f>
        <v>1lKTIY25KFKUdpe6XoZciVb0-8L9erXZZRMEZ8RqdFuk</v>
      </c>
      <c r="D267" t="str">
        <f>IFERROR(__xludf.DUMMYFUNCTION("""COMPUTED_VALUE"""),"")</f>
        <v/>
      </c>
      <c r="E267" t="str">
        <f>IFERROR(__xludf.DUMMYFUNCTION("""COMPUTED_VALUE"""),"")</f>
        <v/>
      </c>
      <c r="F267" t="str">
        <f>IFERROR(__xludf.DUMMYFUNCTION("""COMPUTED_VALUE"""),"")</f>
        <v/>
      </c>
      <c r="G267" t="str">
        <f>IFERROR(__xludf.DUMMYFUNCTION("""COMPUTED_VALUE"""),"")</f>
        <v/>
      </c>
      <c r="H267" t="str">
        <f>IFERROR(__xludf.DUMMYFUNCTION("""COMPUTED_VALUE"""),"")</f>
        <v/>
      </c>
      <c r="I267" t="str">
        <f>IFERROR(__xludf.DUMMYFUNCTION("""COMPUTED_VALUE"""),"")</f>
        <v/>
      </c>
      <c r="J267" t="str">
        <f>IFERROR(__xludf.DUMMYFUNCTION("""COMPUTED_VALUE"""),"")</f>
        <v/>
      </c>
      <c r="K267" t="str">
        <f>IFERROR(__xludf.DUMMYFUNCTION("""COMPUTED_VALUE"""),"")</f>
        <v/>
      </c>
      <c r="L267" t="str">
        <f>IFERROR(__xludf.DUMMYFUNCTION("""COMPUTED_VALUE"""),"")</f>
        <v/>
      </c>
    </row>
    <row r="268" ht="15.75" customHeight="1">
      <c r="A268" t="str">
        <f>IFERROR(__xludf.DUMMYFUNCTION("""COMPUTED_VALUE"""),"PTT")</f>
        <v>PTT</v>
      </c>
      <c r="B268" t="str">
        <f>IFERROR(__xludf.DUMMYFUNCTION("""COMPUTED_VALUE"""),"TradeUsingPTT")</f>
        <v>TradeUsingPTT</v>
      </c>
      <c r="C268" t="str">
        <f>IFERROR(__xludf.DUMMYFUNCTION("""COMPUTED_VALUE"""),"1Y_osOCfGaPjTXREAr1CRTQXuy2-Bq6Aj1Wq4Vr7xLB0")</f>
        <v>1Y_osOCfGaPjTXREAr1CRTQXuy2-Bq6Aj1Wq4Vr7xLB0</v>
      </c>
      <c r="D268" t="str">
        <f>IFERROR(__xludf.DUMMYFUNCTION("""COMPUTED_VALUE"""),"")</f>
        <v/>
      </c>
      <c r="E268" t="str">
        <f>IFERROR(__xludf.DUMMYFUNCTION("""COMPUTED_VALUE"""),"")</f>
        <v/>
      </c>
      <c r="F268" t="str">
        <f>IFERROR(__xludf.DUMMYFUNCTION("""COMPUTED_VALUE"""),"")</f>
        <v/>
      </c>
      <c r="G268" t="str">
        <f>IFERROR(__xludf.DUMMYFUNCTION("""COMPUTED_VALUE"""),"")</f>
        <v/>
      </c>
      <c r="H268" t="str">
        <f>IFERROR(__xludf.DUMMYFUNCTION("""COMPUTED_VALUE"""),"")</f>
        <v/>
      </c>
      <c r="I268" t="str">
        <f>IFERROR(__xludf.DUMMYFUNCTION("""COMPUTED_VALUE"""),"")</f>
        <v/>
      </c>
      <c r="J268" t="str">
        <f>IFERROR(__xludf.DUMMYFUNCTION("""COMPUTED_VALUE"""),"")</f>
        <v/>
      </c>
      <c r="K268" t="str">
        <f>IFERROR(__xludf.DUMMYFUNCTION("""COMPUTED_VALUE"""),"")</f>
        <v/>
      </c>
      <c r="L268" t="str">
        <f>IFERROR(__xludf.DUMMYFUNCTION("""COMPUTED_VALUE"""),"")</f>
        <v/>
      </c>
    </row>
    <row r="269" ht="15.75" customHeight="1">
      <c r="A269" t="str">
        <f>IFERROR(__xludf.DUMMYFUNCTION("""COMPUTED_VALUE"""),"PTT")</f>
        <v>PTT</v>
      </c>
      <c r="B269" t="str">
        <f>IFERROR(__xludf.DUMMYFUNCTION("""COMPUTED_VALUE"""),"StageOrderUsingPTT")</f>
        <v>StageOrderUsingPTT</v>
      </c>
      <c r="C269" t="str">
        <f>IFERROR(__xludf.DUMMYFUNCTION("""COMPUTED_VALUE"""),"1KJoqGwoGAbW-k0cws1grduypgTSNep_spZkLm2mnXIY")</f>
        <v>1KJoqGwoGAbW-k0cws1grduypgTSNep_spZkLm2mnXIY</v>
      </c>
      <c r="D269" t="str">
        <f>IFERROR(__xludf.DUMMYFUNCTION("""COMPUTED_VALUE"""),"")</f>
        <v/>
      </c>
      <c r="E269" t="str">
        <f>IFERROR(__xludf.DUMMYFUNCTION("""COMPUTED_VALUE"""),"")</f>
        <v/>
      </c>
      <c r="F269" t="str">
        <f>IFERROR(__xludf.DUMMYFUNCTION("""COMPUTED_VALUE"""),"")</f>
        <v/>
      </c>
      <c r="G269" t="str">
        <f>IFERROR(__xludf.DUMMYFUNCTION("""COMPUTED_VALUE"""),"")</f>
        <v/>
      </c>
      <c r="H269" t="str">
        <f>IFERROR(__xludf.DUMMYFUNCTION("""COMPUTED_VALUE"""),"")</f>
        <v/>
      </c>
      <c r="I269" t="str">
        <f>IFERROR(__xludf.DUMMYFUNCTION("""COMPUTED_VALUE"""),"")</f>
        <v/>
      </c>
      <c r="J269" t="str">
        <f>IFERROR(__xludf.DUMMYFUNCTION("""COMPUTED_VALUE"""),"")</f>
        <v/>
      </c>
      <c r="K269" t="str">
        <f>IFERROR(__xludf.DUMMYFUNCTION("""COMPUTED_VALUE"""),"")</f>
        <v/>
      </c>
      <c r="L269" t="str">
        <f>IFERROR(__xludf.DUMMYFUNCTION("""COMPUTED_VALUE"""),"")</f>
        <v/>
      </c>
    </row>
    <row r="270" ht="15.75" customHeight="1">
      <c r="A270" t="str">
        <f>IFERROR(__xludf.DUMMYFUNCTION("""COMPUTED_VALUE"""),"PTT")</f>
        <v>PTT</v>
      </c>
      <c r="B270" t="str">
        <f>IFERROR(__xludf.DUMMYFUNCTION("""COMPUTED_VALUE"""),"CreateOrderPTT")</f>
        <v>CreateOrderPTT</v>
      </c>
      <c r="C270" t="str">
        <f>IFERROR(__xludf.DUMMYFUNCTION("""COMPUTED_VALUE"""),"1rKKuHwia87Iph96Yr0B2xwHIwU4r2nE-kwzrWqfsFO0")</f>
        <v>1rKKuHwia87Iph96Yr0B2xwHIwU4r2nE-kwzrWqfsFO0</v>
      </c>
      <c r="D270" t="str">
        <f>IFERROR(__xludf.DUMMYFUNCTION("""COMPUTED_VALUE"""),"")</f>
        <v/>
      </c>
      <c r="E270" t="str">
        <f>IFERROR(__xludf.DUMMYFUNCTION("""COMPUTED_VALUE"""),"")</f>
        <v/>
      </c>
      <c r="F270" t="str">
        <f>IFERROR(__xludf.DUMMYFUNCTION("""COMPUTED_VALUE"""),"")</f>
        <v/>
      </c>
      <c r="G270" t="str">
        <f>IFERROR(__xludf.DUMMYFUNCTION("""COMPUTED_VALUE"""),"")</f>
        <v/>
      </c>
      <c r="H270" t="str">
        <f>IFERROR(__xludf.DUMMYFUNCTION("""COMPUTED_VALUE"""),"")</f>
        <v/>
      </c>
      <c r="I270" t="str">
        <f>IFERROR(__xludf.DUMMYFUNCTION("""COMPUTED_VALUE"""),"")</f>
        <v/>
      </c>
      <c r="J270" t="str">
        <f>IFERROR(__xludf.DUMMYFUNCTION("""COMPUTED_VALUE"""),"")</f>
        <v/>
      </c>
      <c r="K270" t="str">
        <f>IFERROR(__xludf.DUMMYFUNCTION("""COMPUTED_VALUE"""),"")</f>
        <v/>
      </c>
      <c r="L270" t="str">
        <f>IFERROR(__xludf.DUMMYFUNCTION("""COMPUTED_VALUE"""),"")</f>
        <v/>
      </c>
    </row>
    <row r="271" ht="15.75" customHeight="1">
      <c r="A271" t="str">
        <f>IFERROR(__xludf.DUMMYFUNCTION("""COMPUTED_VALUE"""),"PTT")</f>
        <v>PTT</v>
      </c>
      <c r="B271" t="str">
        <f>IFERROR(__xludf.DUMMYFUNCTION("""COMPUTED_VALUE"""),"TradePTT")</f>
        <v>TradePTT</v>
      </c>
      <c r="C271" t="str">
        <f>IFERROR(__xludf.DUMMYFUNCTION("""COMPUTED_VALUE"""),"1kvM2eaDgA1XPZr4DgAR7VdeO81ykGM2ClEe0AueBLtI")</f>
        <v>1kvM2eaDgA1XPZr4DgAR7VdeO81ykGM2ClEe0AueBLtI</v>
      </c>
      <c r="D271" t="str">
        <f>IFERROR(__xludf.DUMMYFUNCTION("""COMPUTED_VALUE"""),"")</f>
        <v/>
      </c>
      <c r="E271" t="str">
        <f>IFERROR(__xludf.DUMMYFUNCTION("""COMPUTED_VALUE"""),"")</f>
        <v/>
      </c>
      <c r="F271" t="str">
        <f>IFERROR(__xludf.DUMMYFUNCTION("""COMPUTED_VALUE"""),"")</f>
        <v/>
      </c>
      <c r="G271" t="str">
        <f>IFERROR(__xludf.DUMMYFUNCTION("""COMPUTED_VALUE"""),"")</f>
        <v/>
      </c>
      <c r="H271" t="str">
        <f>IFERROR(__xludf.DUMMYFUNCTION("""COMPUTED_VALUE"""),"")</f>
        <v/>
      </c>
      <c r="I271" t="str">
        <f>IFERROR(__xludf.DUMMYFUNCTION("""COMPUTED_VALUE"""),"")</f>
        <v/>
      </c>
      <c r="J271" t="str">
        <f>IFERROR(__xludf.DUMMYFUNCTION("""COMPUTED_VALUE"""),"")</f>
        <v/>
      </c>
      <c r="K271" t="str">
        <f>IFERROR(__xludf.DUMMYFUNCTION("""COMPUTED_VALUE"""),"")</f>
        <v/>
      </c>
      <c r="L271" t="str">
        <f>IFERROR(__xludf.DUMMYFUNCTION("""COMPUTED_VALUE"""),"")</f>
        <v/>
      </c>
    </row>
    <row r="272" ht="15.75" customHeight="1">
      <c r="A272" t="str">
        <f>IFERROR(__xludf.DUMMYFUNCTION("""COMPUTED_VALUE"""),"PTT")</f>
        <v>PTT</v>
      </c>
      <c r="B272" t="str">
        <f>IFERROR(__xludf.DUMMYFUNCTION("""COMPUTED_VALUE"""),"VerifyPTT")</f>
        <v>VerifyPTT</v>
      </c>
      <c r="C272" t="str">
        <f>IFERROR(__xludf.DUMMYFUNCTION("""COMPUTED_VALUE"""),"1zobR6S1l9oHcDvoWFwMx7noG6NNOhCMh6AHfjyl5ouM")</f>
        <v>1zobR6S1l9oHcDvoWFwMx7noG6NNOhCMh6AHfjyl5ouM</v>
      </c>
      <c r="D272" t="str">
        <f>IFERROR(__xludf.DUMMYFUNCTION("""COMPUTED_VALUE"""),"")</f>
        <v/>
      </c>
      <c r="E272" t="str">
        <f>IFERROR(__xludf.DUMMYFUNCTION("""COMPUTED_VALUE"""),"")</f>
        <v/>
      </c>
      <c r="F272" t="str">
        <f>IFERROR(__xludf.DUMMYFUNCTION("""COMPUTED_VALUE"""),"")</f>
        <v/>
      </c>
      <c r="G272" t="str">
        <f>IFERROR(__xludf.DUMMYFUNCTION("""COMPUTED_VALUE"""),"")</f>
        <v/>
      </c>
      <c r="H272" t="str">
        <f>IFERROR(__xludf.DUMMYFUNCTION("""COMPUTED_VALUE"""),"")</f>
        <v/>
      </c>
      <c r="I272" t="str">
        <f>IFERROR(__xludf.DUMMYFUNCTION("""COMPUTED_VALUE"""),"")</f>
        <v/>
      </c>
      <c r="J272" t="str">
        <f>IFERROR(__xludf.DUMMYFUNCTION("""COMPUTED_VALUE"""),"")</f>
        <v/>
      </c>
      <c r="K272" t="str">
        <f>IFERROR(__xludf.DUMMYFUNCTION("""COMPUTED_VALUE"""),"")</f>
        <v/>
      </c>
      <c r="L272" t="str">
        <f>IFERROR(__xludf.DUMMYFUNCTION("""COMPUTED_VALUE"""),"")</f>
        <v/>
      </c>
    </row>
    <row r="273" ht="15.75" customHeight="1">
      <c r="A273" t="str">
        <f>IFERROR(__xludf.DUMMYFUNCTION("""COMPUTED_VALUE"""),"PortfolioManagement")</f>
        <v>PortfolioManagement</v>
      </c>
      <c r="B273" t="str">
        <f>IFERROR(__xludf.DUMMYFUNCTION("""COMPUTED_VALUE"""),"OpenPTTFromPM")</f>
        <v>OpenPTTFromPM</v>
      </c>
      <c r="C273" t="str">
        <f>IFERROR(__xludf.DUMMYFUNCTION("""COMPUTED_VALUE"""),"1lroslTGp1-X34JkAjgjr_qgu9aTB7y01mA3IPcyUxe8")</f>
        <v>1lroslTGp1-X34JkAjgjr_qgu9aTB7y01mA3IPcyUxe8</v>
      </c>
      <c r="D273" t="str">
        <f>IFERROR(__xludf.DUMMYFUNCTION("""COMPUTED_VALUE"""),"")</f>
        <v/>
      </c>
      <c r="E273" t="str">
        <f>IFERROR(__xludf.DUMMYFUNCTION("""COMPUTED_VALUE"""),"")</f>
        <v/>
      </c>
      <c r="F273" t="str">
        <f>IFERROR(__xludf.DUMMYFUNCTION("""COMPUTED_VALUE"""),"")</f>
        <v/>
      </c>
      <c r="G273" t="str">
        <f>IFERROR(__xludf.DUMMYFUNCTION("""COMPUTED_VALUE"""),"")</f>
        <v/>
      </c>
      <c r="H273" t="str">
        <f>IFERROR(__xludf.DUMMYFUNCTION("""COMPUTED_VALUE"""),"")</f>
        <v/>
      </c>
      <c r="I273" t="str">
        <f>IFERROR(__xludf.DUMMYFUNCTION("""COMPUTED_VALUE"""),"")</f>
        <v/>
      </c>
      <c r="J273" t="str">
        <f>IFERROR(__xludf.DUMMYFUNCTION("""COMPUTED_VALUE"""),"")</f>
        <v/>
      </c>
      <c r="K273" t="str">
        <f>IFERROR(__xludf.DUMMYFUNCTION("""COMPUTED_VALUE"""),"")</f>
        <v/>
      </c>
      <c r="L273" t="str">
        <f>IFERROR(__xludf.DUMMYFUNCTION("""COMPUTED_VALUE"""),"")</f>
        <v/>
      </c>
    </row>
    <row r="274" ht="15.75" customHeight="1">
      <c r="A274" t="str">
        <f>IFERROR(__xludf.DUMMYFUNCTION("""COMPUTED_VALUE"""),"PTT")</f>
        <v>PTT</v>
      </c>
      <c r="B274" t="str">
        <f>IFERROR(__xludf.DUMMYFUNCTION("""COMPUTED_VALUE"""),"OpenMultiTTFromPTT")</f>
        <v>OpenMultiTTFromPTT</v>
      </c>
      <c r="C274" t="str">
        <f>IFERROR(__xludf.DUMMYFUNCTION("""COMPUTED_VALUE"""),"18n9jM99QvAs2Zd7W22CLAHTJnjnP7zY9Zd3jkfNyBdA")</f>
        <v>18n9jM99QvAs2Zd7W22CLAHTJnjnP7zY9Zd3jkfNyBdA</v>
      </c>
      <c r="D274" t="str">
        <f>IFERROR(__xludf.DUMMYFUNCTION("""COMPUTED_VALUE"""),"")</f>
        <v/>
      </c>
      <c r="E274" t="str">
        <f>IFERROR(__xludf.DUMMYFUNCTION("""COMPUTED_VALUE"""),"")</f>
        <v/>
      </c>
      <c r="F274" t="str">
        <f>IFERROR(__xludf.DUMMYFUNCTION("""COMPUTED_VALUE"""),"")</f>
        <v/>
      </c>
      <c r="G274" t="str">
        <f>IFERROR(__xludf.DUMMYFUNCTION("""COMPUTED_VALUE"""),"")</f>
        <v/>
      </c>
      <c r="H274" t="str">
        <f>IFERROR(__xludf.DUMMYFUNCTION("""COMPUTED_VALUE"""),"")</f>
        <v/>
      </c>
      <c r="I274" t="str">
        <f>IFERROR(__xludf.DUMMYFUNCTION("""COMPUTED_VALUE"""),"")</f>
        <v/>
      </c>
      <c r="J274" t="str">
        <f>IFERROR(__xludf.DUMMYFUNCTION("""COMPUTED_VALUE"""),"")</f>
        <v/>
      </c>
      <c r="K274" t="str">
        <f>IFERROR(__xludf.DUMMYFUNCTION("""COMPUTED_VALUE"""),"")</f>
        <v/>
      </c>
      <c r="L274" t="str">
        <f>IFERROR(__xludf.DUMMYFUNCTION("""COMPUTED_VALUE"""),"")</f>
        <v/>
      </c>
    </row>
    <row r="275" ht="15.75" customHeight="1">
      <c r="A275" t="str">
        <f>IFERROR(__xludf.DUMMYFUNCTION("""COMPUTED_VALUE"""),"PTT")</f>
        <v>PTT</v>
      </c>
      <c r="B275" t="str">
        <f>IFERROR(__xludf.DUMMYFUNCTION("""COMPUTED_VALUE"""),"SelectMultiTT")</f>
        <v>SelectMultiTT</v>
      </c>
      <c r="C275" t="str">
        <f>IFERROR(__xludf.DUMMYFUNCTION("""COMPUTED_VALUE"""),"1KePLyYIHyMPa4vAGK8j2lktW3nYqSRgJoBOwwl8Mrcg")</f>
        <v>1KePLyYIHyMPa4vAGK8j2lktW3nYqSRgJoBOwwl8Mrcg</v>
      </c>
      <c r="D275" t="str">
        <f>IFERROR(__xludf.DUMMYFUNCTION("""COMPUTED_VALUE"""),"")</f>
        <v/>
      </c>
      <c r="E275" t="str">
        <f>IFERROR(__xludf.DUMMYFUNCTION("""COMPUTED_VALUE"""),"")</f>
        <v/>
      </c>
      <c r="F275" t="str">
        <f>IFERROR(__xludf.DUMMYFUNCTION("""COMPUTED_VALUE"""),"")</f>
        <v/>
      </c>
      <c r="G275" t="str">
        <f>IFERROR(__xludf.DUMMYFUNCTION("""COMPUTED_VALUE"""),"")</f>
        <v/>
      </c>
      <c r="H275" t="str">
        <f>IFERROR(__xludf.DUMMYFUNCTION("""COMPUTED_VALUE"""),"")</f>
        <v/>
      </c>
      <c r="I275" t="str">
        <f>IFERROR(__xludf.DUMMYFUNCTION("""COMPUTED_VALUE"""),"")</f>
        <v/>
      </c>
      <c r="J275" t="str">
        <f>IFERROR(__xludf.DUMMYFUNCTION("""COMPUTED_VALUE"""),"")</f>
        <v/>
      </c>
      <c r="K275" t="str">
        <f>IFERROR(__xludf.DUMMYFUNCTION("""COMPUTED_VALUE"""),"")</f>
        <v/>
      </c>
      <c r="L275" t="str">
        <f>IFERROR(__xludf.DUMMYFUNCTION("""COMPUTED_VALUE"""),"")</f>
        <v/>
      </c>
    </row>
    <row r="276" ht="15.75" customHeight="1">
      <c r="A276" t="str">
        <f>IFERROR(__xludf.DUMMYFUNCTION("""COMPUTED_VALUE"""),"PTT")</f>
        <v>PTT</v>
      </c>
      <c r="B276" t="str">
        <f>IFERROR(__xludf.DUMMYFUNCTION("""COMPUTED_VALUE"""),"EditMultiTT")</f>
        <v>EditMultiTT</v>
      </c>
      <c r="C276" t="str">
        <f>IFERROR(__xludf.DUMMYFUNCTION("""COMPUTED_VALUE"""),"1ylEeWzbM5-H-f9HQ0hqVcYZETYY7A6yTazfTtjL4Hbg")</f>
        <v>1ylEeWzbM5-H-f9HQ0hqVcYZETYY7A6yTazfTtjL4Hbg</v>
      </c>
      <c r="D276" t="str">
        <f>IFERROR(__xludf.DUMMYFUNCTION("""COMPUTED_VALUE"""),"")</f>
        <v/>
      </c>
      <c r="E276" t="str">
        <f>IFERROR(__xludf.DUMMYFUNCTION("""COMPUTED_VALUE"""),"")</f>
        <v/>
      </c>
      <c r="F276" t="str">
        <f>IFERROR(__xludf.DUMMYFUNCTION("""COMPUTED_VALUE"""),"")</f>
        <v/>
      </c>
      <c r="G276" t="str">
        <f>IFERROR(__xludf.DUMMYFUNCTION("""COMPUTED_VALUE"""),"")</f>
        <v/>
      </c>
      <c r="H276" t="str">
        <f>IFERROR(__xludf.DUMMYFUNCTION("""COMPUTED_VALUE"""),"")</f>
        <v/>
      </c>
      <c r="I276" t="str">
        <f>IFERROR(__xludf.DUMMYFUNCTION("""COMPUTED_VALUE"""),"")</f>
        <v/>
      </c>
      <c r="J276" t="str">
        <f>IFERROR(__xludf.DUMMYFUNCTION("""COMPUTED_VALUE"""),"")</f>
        <v/>
      </c>
      <c r="K276" t="str">
        <f>IFERROR(__xludf.DUMMYFUNCTION("""COMPUTED_VALUE"""),"")</f>
        <v/>
      </c>
      <c r="L276" t="str">
        <f>IFERROR(__xludf.DUMMYFUNCTION("""COMPUTED_VALUE"""),"")</f>
        <v/>
      </c>
    </row>
    <row r="277" ht="15.75" customHeight="1">
      <c r="A277" t="str">
        <f>IFERROR(__xludf.DUMMYFUNCTION("""COMPUTED_VALUE"""),"MultiTradingTicket")</f>
        <v>MultiTradingTicket</v>
      </c>
      <c r="B277" t="str">
        <f>IFERROR(__xludf.DUMMYFUNCTION("""COMPUTED_VALUE"""),"EditTradeUsingMTT")</f>
        <v>EditTradeUsingMTT</v>
      </c>
      <c r="C277" t="str">
        <f>IFERROR(__xludf.DUMMYFUNCTION("""COMPUTED_VALUE"""),"1oclpANwYA5vyF0G5v4OwaiuA7mu0oFb6MtNLmKeJRxg")</f>
        <v>1oclpANwYA5vyF0G5v4OwaiuA7mu0oFb6MtNLmKeJRxg</v>
      </c>
      <c r="D277" t="str">
        <f>IFERROR(__xludf.DUMMYFUNCTION("""COMPUTED_VALUE"""),"")</f>
        <v/>
      </c>
      <c r="E277" t="str">
        <f>IFERROR(__xludf.DUMMYFUNCTION("""COMPUTED_VALUE"""),"")</f>
        <v/>
      </c>
      <c r="F277" t="str">
        <f>IFERROR(__xludf.DUMMYFUNCTION("""COMPUTED_VALUE"""),"")</f>
        <v/>
      </c>
      <c r="G277" t="str">
        <f>IFERROR(__xludf.DUMMYFUNCTION("""COMPUTED_VALUE"""),"")</f>
        <v/>
      </c>
      <c r="H277" t="str">
        <f>IFERROR(__xludf.DUMMYFUNCTION("""COMPUTED_VALUE"""),"")</f>
        <v/>
      </c>
      <c r="I277" t="str">
        <f>IFERROR(__xludf.DUMMYFUNCTION("""COMPUTED_VALUE"""),"")</f>
        <v/>
      </c>
      <c r="J277" t="str">
        <f>IFERROR(__xludf.DUMMYFUNCTION("""COMPUTED_VALUE"""),"")</f>
        <v/>
      </c>
      <c r="K277" t="str">
        <f>IFERROR(__xludf.DUMMYFUNCTION("""COMPUTED_VALUE"""),"")</f>
        <v/>
      </c>
      <c r="L277" t="str">
        <f>IFERROR(__xludf.DUMMYFUNCTION("""COMPUTED_VALUE"""),"")</f>
        <v/>
      </c>
    </row>
    <row r="278" ht="15.75" customHeight="1">
      <c r="A278" t="str">
        <f>IFERROR(__xludf.DUMMYFUNCTION("""COMPUTED_VALUE"""),"MultiTradingTicket")</f>
        <v>MultiTradingTicket</v>
      </c>
      <c r="B278" t="str">
        <f>IFERROR(__xludf.DUMMYFUNCTION("""COMPUTED_VALUE"""),"SelectTradeUsingMTT")</f>
        <v>SelectTradeUsingMTT</v>
      </c>
      <c r="C278" t="str">
        <f>IFERROR(__xludf.DUMMYFUNCTION("""COMPUTED_VALUE"""),"1KP7yPihDZOgWG3Z2G-4AYFr4Zz7JxlZq-euRNvEeEBo")</f>
        <v>1KP7yPihDZOgWG3Z2G-4AYFr4Zz7JxlZq-euRNvEeEBo</v>
      </c>
      <c r="D278" t="str">
        <f>IFERROR(__xludf.DUMMYFUNCTION("""COMPUTED_VALUE"""),"")</f>
        <v/>
      </c>
      <c r="E278" t="str">
        <f>IFERROR(__xludf.DUMMYFUNCTION("""COMPUTED_VALUE"""),"")</f>
        <v/>
      </c>
      <c r="F278" t="str">
        <f>IFERROR(__xludf.DUMMYFUNCTION("""COMPUTED_VALUE"""),"")</f>
        <v/>
      </c>
      <c r="G278" t="str">
        <f>IFERROR(__xludf.DUMMYFUNCTION("""COMPUTED_VALUE"""),"")</f>
        <v/>
      </c>
      <c r="H278" t="str">
        <f>IFERROR(__xludf.DUMMYFUNCTION("""COMPUTED_VALUE"""),"")</f>
        <v/>
      </c>
      <c r="I278" t="str">
        <f>IFERROR(__xludf.DUMMYFUNCTION("""COMPUTED_VALUE"""),"")</f>
        <v/>
      </c>
      <c r="J278" t="str">
        <f>IFERROR(__xludf.DUMMYFUNCTION("""COMPUTED_VALUE"""),"")</f>
        <v/>
      </c>
      <c r="K278" t="str">
        <f>IFERROR(__xludf.DUMMYFUNCTION("""COMPUTED_VALUE"""),"")</f>
        <v/>
      </c>
      <c r="L278" t="str">
        <f>IFERROR(__xludf.DUMMYFUNCTION("""COMPUTED_VALUE"""),"")</f>
        <v/>
      </c>
    </row>
    <row r="279" ht="15.75" customHeight="1">
      <c r="A279" t="str">
        <f>IFERROR(__xludf.DUMMYFUNCTION("""COMPUTED_VALUE"""),"MultiTradingTicket")</f>
        <v>MultiTradingTicket</v>
      </c>
      <c r="B279" t="str">
        <f>IFERROR(__xludf.DUMMYFUNCTION("""COMPUTED_VALUE"""),"GetPriceUsingMTT")</f>
        <v>GetPriceUsingMTT</v>
      </c>
      <c r="C279" t="str">
        <f>IFERROR(__xludf.DUMMYFUNCTION("""COMPUTED_VALUE"""),"1w1_t3dujSKMzyrGYdqX8iDQHLU7PoIaB1FNC_R3c5lE")</f>
        <v>1w1_t3dujSKMzyrGYdqX8iDQHLU7PoIaB1FNC_R3c5lE</v>
      </c>
      <c r="D279" t="str">
        <f>IFERROR(__xludf.DUMMYFUNCTION("""COMPUTED_VALUE"""),"")</f>
        <v/>
      </c>
      <c r="E279" t="str">
        <f>IFERROR(__xludf.DUMMYFUNCTION("""COMPUTED_VALUE"""),"")</f>
        <v/>
      </c>
      <c r="F279" t="str">
        <f>IFERROR(__xludf.DUMMYFUNCTION("""COMPUTED_VALUE"""),"")</f>
        <v/>
      </c>
      <c r="G279" t="str">
        <f>IFERROR(__xludf.DUMMYFUNCTION("""COMPUTED_VALUE"""),"")</f>
        <v/>
      </c>
      <c r="H279" t="str">
        <f>IFERROR(__xludf.DUMMYFUNCTION("""COMPUTED_VALUE"""),"")</f>
        <v/>
      </c>
      <c r="I279" t="str">
        <f>IFERROR(__xludf.DUMMYFUNCTION("""COMPUTED_VALUE"""),"")</f>
        <v/>
      </c>
      <c r="J279" t="str">
        <f>IFERROR(__xludf.DUMMYFUNCTION("""COMPUTED_VALUE"""),"")</f>
        <v/>
      </c>
      <c r="K279" t="str">
        <f>IFERROR(__xludf.DUMMYFUNCTION("""COMPUTED_VALUE"""),"")</f>
        <v/>
      </c>
      <c r="L279" t="str">
        <f>IFERROR(__xludf.DUMMYFUNCTION("""COMPUTED_VALUE"""),"")</f>
        <v/>
      </c>
    </row>
    <row r="280" ht="15.75" customHeight="1">
      <c r="A280" t="str">
        <f>IFERROR(__xludf.DUMMYFUNCTION("""COMPUTED_VALUE"""),"MultiTradingTicket")</f>
        <v>MultiTradingTicket</v>
      </c>
      <c r="B280" t="str">
        <f>IFERROR(__xludf.DUMMYFUNCTION("""COMPUTED_VALUE"""),"DoneAwayUsingMTT")</f>
        <v>DoneAwayUsingMTT</v>
      </c>
      <c r="C280" t="str">
        <f>IFERROR(__xludf.DUMMYFUNCTION("""COMPUTED_VALUE"""),"1_ufv_nXKd3ZNaDbziIFtTWVO12weR3P5utLmJsphE1Q")</f>
        <v>1_ufv_nXKd3ZNaDbziIFtTWVO12weR3P5utLmJsphE1Q</v>
      </c>
      <c r="D280" t="str">
        <f>IFERROR(__xludf.DUMMYFUNCTION("""COMPUTED_VALUE"""),"")</f>
        <v/>
      </c>
      <c r="E280" t="str">
        <f>IFERROR(__xludf.DUMMYFUNCTION("""COMPUTED_VALUE"""),"")</f>
        <v/>
      </c>
      <c r="F280" t="str">
        <f>IFERROR(__xludf.DUMMYFUNCTION("""COMPUTED_VALUE"""),"")</f>
        <v/>
      </c>
      <c r="G280" t="str">
        <f>IFERROR(__xludf.DUMMYFUNCTION("""COMPUTED_VALUE"""),"")</f>
        <v/>
      </c>
      <c r="H280" t="str">
        <f>IFERROR(__xludf.DUMMYFUNCTION("""COMPUTED_VALUE"""),"")</f>
        <v/>
      </c>
      <c r="I280" t="str">
        <f>IFERROR(__xludf.DUMMYFUNCTION("""COMPUTED_VALUE"""),"")</f>
        <v/>
      </c>
      <c r="J280" t="str">
        <f>IFERROR(__xludf.DUMMYFUNCTION("""COMPUTED_VALUE"""),"")</f>
        <v/>
      </c>
      <c r="K280" t="str">
        <f>IFERROR(__xludf.DUMMYFUNCTION("""COMPUTED_VALUE"""),"")</f>
        <v/>
      </c>
      <c r="L280" t="str">
        <f>IFERROR(__xludf.DUMMYFUNCTION("""COMPUTED_VALUE"""),"")</f>
        <v/>
      </c>
    </row>
    <row r="281" ht="15.75" customHeight="1">
      <c r="A281" t="str">
        <f>IFERROR(__xludf.DUMMYFUNCTION("""COMPUTED_VALUE"""),"MultiTradingTicket")</f>
        <v>MultiTradingTicket</v>
      </c>
      <c r="B281" t="str">
        <f>IFERROR(__xludf.DUMMYFUNCTION("""COMPUTED_VALUE"""),"SendOrderUsingMTT")</f>
        <v>SendOrderUsingMTT</v>
      </c>
      <c r="C281" t="str">
        <f>IFERROR(__xludf.DUMMYFUNCTION("""COMPUTED_VALUE"""),"1gjYHBk2Re526Plkd-9T2Fcp82W2M_xS30ry2LdO1Mak")</f>
        <v>1gjYHBk2Re526Plkd-9T2Fcp82W2M_xS30ry2LdO1Mak</v>
      </c>
      <c r="D281" t="str">
        <f>IFERROR(__xludf.DUMMYFUNCTION("""COMPUTED_VALUE"""),"")</f>
        <v/>
      </c>
      <c r="E281" t="str">
        <f>IFERROR(__xludf.DUMMYFUNCTION("""COMPUTED_VALUE"""),"")</f>
        <v/>
      </c>
      <c r="F281" t="str">
        <f>IFERROR(__xludf.DUMMYFUNCTION("""COMPUTED_VALUE"""),"")</f>
        <v/>
      </c>
      <c r="G281" t="str">
        <f>IFERROR(__xludf.DUMMYFUNCTION("""COMPUTED_VALUE"""),"")</f>
        <v/>
      </c>
      <c r="H281" t="str">
        <f>IFERROR(__xludf.DUMMYFUNCTION("""COMPUTED_VALUE"""),"")</f>
        <v/>
      </c>
      <c r="I281" t="str">
        <f>IFERROR(__xludf.DUMMYFUNCTION("""COMPUTED_VALUE"""),"")</f>
        <v/>
      </c>
      <c r="J281" t="str">
        <f>IFERROR(__xludf.DUMMYFUNCTION("""COMPUTED_VALUE"""),"")</f>
        <v/>
      </c>
      <c r="K281" t="str">
        <f>IFERROR(__xludf.DUMMYFUNCTION("""COMPUTED_VALUE"""),"")</f>
        <v/>
      </c>
      <c r="L281" t="str">
        <f>IFERROR(__xludf.DUMMYFUNCTION("""COMPUTED_VALUE"""),"")</f>
        <v/>
      </c>
    </row>
    <row r="282" ht="15.75" customHeight="1">
      <c r="A282" t="str">
        <f>IFERROR(__xludf.DUMMYFUNCTION("""COMPUTED_VALUE"""),"Allocation")</f>
        <v>Allocation</v>
      </c>
      <c r="B282" t="str">
        <f>IFERROR(__xludf.DUMMYFUNCTION("""COMPUTED_VALUE"""),"UpdateGRAccountValue")</f>
        <v>UpdateGRAccountValue</v>
      </c>
      <c r="C282" t="str">
        <f>IFERROR(__xludf.DUMMYFUNCTION("""COMPUTED_VALUE"""),"1IYiRc1wyd9LDqwhFYa5t6wU_7GkLccIcXcey1uFWQcs")</f>
        <v>1IYiRc1wyd9LDqwhFYa5t6wU_7GkLccIcXcey1uFWQcs</v>
      </c>
      <c r="D282" t="str">
        <f>IFERROR(__xludf.DUMMYFUNCTION("""COMPUTED_VALUE"""),"")</f>
        <v/>
      </c>
      <c r="E282" t="str">
        <f>IFERROR(__xludf.DUMMYFUNCTION("""COMPUTED_VALUE"""),"")</f>
        <v/>
      </c>
      <c r="F282" t="str">
        <f>IFERROR(__xludf.DUMMYFUNCTION("""COMPUTED_VALUE"""),"")</f>
        <v/>
      </c>
      <c r="G282" t="str">
        <f>IFERROR(__xludf.DUMMYFUNCTION("""COMPUTED_VALUE"""),"")</f>
        <v/>
      </c>
      <c r="H282" t="str">
        <f>IFERROR(__xludf.DUMMYFUNCTION("""COMPUTED_VALUE"""),"")</f>
        <v/>
      </c>
      <c r="I282" t="str">
        <f>IFERROR(__xludf.DUMMYFUNCTION("""COMPUTED_VALUE"""),"")</f>
        <v/>
      </c>
      <c r="J282" t="str">
        <f>IFERROR(__xludf.DUMMYFUNCTION("""COMPUTED_VALUE"""),"")</f>
        <v/>
      </c>
      <c r="K282" t="str">
        <f>IFERROR(__xludf.DUMMYFUNCTION("""COMPUTED_VALUE"""),"")</f>
        <v/>
      </c>
      <c r="L282" t="str">
        <f>IFERROR(__xludf.DUMMYFUNCTION("""COMPUTED_VALUE"""),"")</f>
        <v/>
      </c>
    </row>
    <row r="283" ht="15.75" customHeight="1">
      <c r="A283" t="str">
        <f>IFERROR(__xludf.DUMMYFUNCTION("""COMPUTED_VALUE"""),"MultiTradingTicket")</f>
        <v>MultiTradingTicket</v>
      </c>
      <c r="B283" t="str">
        <f>IFERROR(__xludf.DUMMYFUNCTION("""COMPUTED_VALUE"""),"BulkChangeTradeDoneAway")</f>
        <v>BulkChangeTradeDoneAway</v>
      </c>
      <c r="C283" t="str">
        <f>IFERROR(__xludf.DUMMYFUNCTION("""COMPUTED_VALUE"""),"1URgx1zFx0u42-s4fzLq7KJ4ZFAiaLFy6--zd2Ixf-3I")</f>
        <v>1URgx1zFx0u42-s4fzLq7KJ4ZFAiaLFy6--zd2Ixf-3I</v>
      </c>
      <c r="D283" t="str">
        <f>IFERROR(__xludf.DUMMYFUNCTION("""COMPUTED_VALUE"""),"")</f>
        <v/>
      </c>
      <c r="E283" t="str">
        <f>IFERROR(__xludf.DUMMYFUNCTION("""COMPUTED_VALUE"""),"")</f>
        <v/>
      </c>
      <c r="F283" t="str">
        <f>IFERROR(__xludf.DUMMYFUNCTION("""COMPUTED_VALUE"""),"")</f>
        <v/>
      </c>
      <c r="G283" t="str">
        <f>IFERROR(__xludf.DUMMYFUNCTION("""COMPUTED_VALUE"""),"")</f>
        <v/>
      </c>
      <c r="H283" t="str">
        <f>IFERROR(__xludf.DUMMYFUNCTION("""COMPUTED_VALUE"""),"")</f>
        <v/>
      </c>
      <c r="I283" t="str">
        <f>IFERROR(__xludf.DUMMYFUNCTION("""COMPUTED_VALUE"""),"")</f>
        <v/>
      </c>
      <c r="J283" t="str">
        <f>IFERROR(__xludf.DUMMYFUNCTION("""COMPUTED_VALUE"""),"")</f>
        <v/>
      </c>
      <c r="K283" t="str">
        <f>IFERROR(__xludf.DUMMYFUNCTION("""COMPUTED_VALUE"""),"")</f>
        <v/>
      </c>
      <c r="L283" t="str">
        <f>IFERROR(__xludf.DUMMYFUNCTION("""COMPUTED_VALUE"""),"")</f>
        <v/>
      </c>
    </row>
    <row r="284" ht="15.75" customHeight="1">
      <c r="A284" t="str">
        <f>IFERROR(__xludf.DUMMYFUNCTION("""COMPUTED_VALUE"""),"Allocation")</f>
        <v>Allocation</v>
      </c>
      <c r="B284" t="str">
        <f>IFERROR(__xludf.DUMMYFUNCTION("""COMPUTED_VALUE"""),"UpdateGRStrategyValue")</f>
        <v>UpdateGRStrategyValue</v>
      </c>
      <c r="C284" t="str">
        <f>IFERROR(__xludf.DUMMYFUNCTION("""COMPUTED_VALUE"""),"1cB211gXXr66rCjnYXDxwr00xlzTWQnE6ktfSHSP3imU")</f>
        <v>1cB211gXXr66rCjnYXDxwr00xlzTWQnE6ktfSHSP3imU</v>
      </c>
      <c r="D284" t="str">
        <f>IFERROR(__xludf.DUMMYFUNCTION("""COMPUTED_VALUE"""),"")</f>
        <v/>
      </c>
      <c r="E284" t="str">
        <f>IFERROR(__xludf.DUMMYFUNCTION("""COMPUTED_VALUE"""),"")</f>
        <v/>
      </c>
      <c r="F284" t="str">
        <f>IFERROR(__xludf.DUMMYFUNCTION("""COMPUTED_VALUE"""),"")</f>
        <v/>
      </c>
      <c r="G284" t="str">
        <f>IFERROR(__xludf.DUMMYFUNCTION("""COMPUTED_VALUE"""),"")</f>
        <v/>
      </c>
      <c r="H284" t="str">
        <f>IFERROR(__xludf.DUMMYFUNCTION("""COMPUTED_VALUE"""),"")</f>
        <v/>
      </c>
      <c r="I284" t="str">
        <f>IFERROR(__xludf.DUMMYFUNCTION("""COMPUTED_VALUE"""),"")</f>
        <v/>
      </c>
      <c r="J284" t="str">
        <f>IFERROR(__xludf.DUMMYFUNCTION("""COMPUTED_VALUE"""),"")</f>
        <v/>
      </c>
      <c r="K284" t="str">
        <f>IFERROR(__xludf.DUMMYFUNCTION("""COMPUTED_VALUE"""),"")</f>
        <v/>
      </c>
      <c r="L284" t="str">
        <f>IFERROR(__xludf.DUMMYFUNCTION("""COMPUTED_VALUE"""),"")</f>
        <v/>
      </c>
    </row>
    <row r="285" ht="15.75" customHeight="1">
      <c r="A285" t="str">
        <f>IFERROR(__xludf.DUMMYFUNCTION("""COMPUTED_VALUE"""),"Allocation")</f>
        <v>Allocation</v>
      </c>
      <c r="B285" t="str">
        <f>IFERROR(__xludf.DUMMYFUNCTION("""COMPUTED_VALUE"""),"UpdateGRDefaultRule")</f>
        <v>UpdateGRDefaultRule</v>
      </c>
      <c r="C285" t="str">
        <f>IFERROR(__xludf.DUMMYFUNCTION("""COMPUTED_VALUE"""),"1Z2A-X9HWO-7HYvpOHR7lr-bHADqfo3GllKZXWPHIYYE")</f>
        <v>1Z2A-X9HWO-7HYvpOHR7lr-bHADqfo3GllKZXWPHIYYE</v>
      </c>
      <c r="D285" t="str">
        <f>IFERROR(__xludf.DUMMYFUNCTION("""COMPUTED_VALUE"""),"")</f>
        <v/>
      </c>
      <c r="E285" t="str">
        <f>IFERROR(__xludf.DUMMYFUNCTION("""COMPUTED_VALUE"""),"")</f>
        <v/>
      </c>
      <c r="F285" t="str">
        <f>IFERROR(__xludf.DUMMYFUNCTION("""COMPUTED_VALUE"""),"")</f>
        <v/>
      </c>
      <c r="G285" t="str">
        <f>IFERROR(__xludf.DUMMYFUNCTION("""COMPUTED_VALUE"""),"")</f>
        <v/>
      </c>
      <c r="H285" t="str">
        <f>IFERROR(__xludf.DUMMYFUNCTION("""COMPUTED_VALUE"""),"")</f>
        <v/>
      </c>
      <c r="I285" t="str">
        <f>IFERROR(__xludf.DUMMYFUNCTION("""COMPUTED_VALUE"""),"")</f>
        <v/>
      </c>
      <c r="J285" t="str">
        <f>IFERROR(__xludf.DUMMYFUNCTION("""COMPUTED_VALUE"""),"")</f>
        <v/>
      </c>
      <c r="K285" t="str">
        <f>IFERROR(__xludf.DUMMYFUNCTION("""COMPUTED_VALUE"""),"")</f>
        <v/>
      </c>
      <c r="L285" t="str">
        <f>IFERROR(__xludf.DUMMYFUNCTION("""COMPUTED_VALUE"""),"")</f>
        <v/>
      </c>
    </row>
    <row r="286" ht="15.75" customHeight="1">
      <c r="A286" t="str">
        <f>IFERROR(__xludf.DUMMYFUNCTION("""COMPUTED_VALUE"""),"Allocation")</f>
        <v>Allocation</v>
      </c>
      <c r="B286" t="str">
        <f>IFERROR(__xludf.DUMMYFUNCTION("""COMPUTED_VALUE"""),"UpdateGeneralRulePref")</f>
        <v>UpdateGeneralRulePref</v>
      </c>
      <c r="C286" t="str">
        <f>IFERROR(__xludf.DUMMYFUNCTION("""COMPUTED_VALUE"""),"Undefined")</f>
        <v>Undefined</v>
      </c>
      <c r="D286" t="str">
        <f>IFERROR(__xludf.DUMMYFUNCTION("""COMPUTED_VALUE"""),"")</f>
        <v/>
      </c>
      <c r="E286" t="str">
        <f>IFERROR(__xludf.DUMMYFUNCTION("""COMPUTED_VALUE"""),"")</f>
        <v/>
      </c>
      <c r="F286" t="str">
        <f>IFERROR(__xludf.DUMMYFUNCTION("""COMPUTED_VALUE"""),"")</f>
        <v/>
      </c>
      <c r="G286" t="str">
        <f>IFERROR(__xludf.DUMMYFUNCTION("""COMPUTED_VALUE"""),"")</f>
        <v/>
      </c>
      <c r="H286" t="str">
        <f>IFERROR(__xludf.DUMMYFUNCTION("""COMPUTED_VALUE"""),"")</f>
        <v/>
      </c>
      <c r="I286" t="str">
        <f>IFERROR(__xludf.DUMMYFUNCTION("""COMPUTED_VALUE"""),"")</f>
        <v/>
      </c>
      <c r="J286" t="str">
        <f>IFERROR(__xludf.DUMMYFUNCTION("""COMPUTED_VALUE"""),"")</f>
        <v/>
      </c>
      <c r="K286" t="str">
        <f>IFERROR(__xludf.DUMMYFUNCTION("""COMPUTED_VALUE"""),"")</f>
        <v/>
      </c>
      <c r="L286" t="str">
        <f>IFERROR(__xludf.DUMMYFUNCTION("""COMPUTED_VALUE"""),"")</f>
        <v/>
      </c>
    </row>
    <row r="287" ht="15.75" customHeight="1">
      <c r="A287" t="str">
        <f>IFERROR(__xludf.DUMMYFUNCTION("""COMPUTED_VALUE"""),"Blotter")</f>
        <v>Blotter</v>
      </c>
      <c r="B287" t="str">
        <f>IFERROR(__xludf.DUMMYFUNCTION("""COMPUTED_VALUE"""),"MultiTradingTicketFromBlotter")</f>
        <v>MultiTradingTicketFromBlotter</v>
      </c>
      <c r="C287" t="str">
        <f>IFERROR(__xludf.DUMMYFUNCTION("""COMPUTED_VALUE"""),"1NHtfDRa6f4QyIWIBvHICcov2a9oblvqOkKtUi021afg")</f>
        <v>1NHtfDRa6f4QyIWIBvHICcov2a9oblvqOkKtUi021afg</v>
      </c>
      <c r="D287" t="str">
        <f>IFERROR(__xludf.DUMMYFUNCTION("""COMPUTED_VALUE"""),"")</f>
        <v/>
      </c>
      <c r="E287" t="str">
        <f>IFERROR(__xludf.DUMMYFUNCTION("""COMPUTED_VALUE"""),"")</f>
        <v/>
      </c>
      <c r="F287" t="str">
        <f>IFERROR(__xludf.DUMMYFUNCTION("""COMPUTED_VALUE"""),"")</f>
        <v/>
      </c>
      <c r="G287" t="str">
        <f>IFERROR(__xludf.DUMMYFUNCTION("""COMPUTED_VALUE"""),"")</f>
        <v/>
      </c>
      <c r="H287" t="str">
        <f>IFERROR(__xludf.DUMMYFUNCTION("""COMPUTED_VALUE"""),"")</f>
        <v/>
      </c>
      <c r="I287" t="str">
        <f>IFERROR(__xludf.DUMMYFUNCTION("""COMPUTED_VALUE"""),"")</f>
        <v/>
      </c>
      <c r="J287" t="str">
        <f>IFERROR(__xludf.DUMMYFUNCTION("""COMPUTED_VALUE"""),"")</f>
        <v/>
      </c>
      <c r="K287" t="str">
        <f>IFERROR(__xludf.DUMMYFUNCTION("""COMPUTED_VALUE"""),"")</f>
        <v/>
      </c>
      <c r="L287" t="str">
        <f>IFERROR(__xludf.DUMMYFUNCTION("""COMPUTED_VALUE"""),"")</f>
        <v/>
      </c>
    </row>
    <row r="288" ht="15.75" customHeight="1">
      <c r="A288" t="str">
        <f>IFERROR(__xludf.DUMMYFUNCTION("""COMPUTED_VALUE"""),"CleanUp")</f>
        <v>CleanUp</v>
      </c>
      <c r="B288" t="str">
        <f>IFERROR(__xludf.DUMMYFUNCTION("""COMPUTED_VALUE"""),"DeleteClientData")</f>
        <v>DeleteClientData</v>
      </c>
      <c r="C288" t="str">
        <f>IFERROR(__xludf.DUMMYFUNCTION("""COMPUTED_VALUE"""),"18NzJZgPH05B2t6ue8bOkcdhhyiudlegCZmkV-VWizvk")</f>
        <v>18NzJZgPH05B2t6ue8bOkcdhhyiudlegCZmkV-VWizvk</v>
      </c>
      <c r="D288" t="str">
        <f>IFERROR(__xludf.DUMMYFUNCTION("""COMPUTED_VALUE"""),"")</f>
        <v/>
      </c>
      <c r="E288" t="str">
        <f>IFERROR(__xludf.DUMMYFUNCTION("""COMPUTED_VALUE"""),"")</f>
        <v/>
      </c>
      <c r="F288" t="str">
        <f>IFERROR(__xludf.DUMMYFUNCTION("""COMPUTED_VALUE"""),"")</f>
        <v/>
      </c>
      <c r="G288" t="str">
        <f>IFERROR(__xludf.DUMMYFUNCTION("""COMPUTED_VALUE"""),"")</f>
        <v/>
      </c>
      <c r="H288" t="str">
        <f>IFERROR(__xludf.DUMMYFUNCTION("""COMPUTED_VALUE"""),"")</f>
        <v/>
      </c>
      <c r="I288" t="str">
        <f>IFERROR(__xludf.DUMMYFUNCTION("""COMPUTED_VALUE"""),"")</f>
        <v/>
      </c>
      <c r="J288" t="str">
        <f>IFERROR(__xludf.DUMMYFUNCTION("""COMPUTED_VALUE"""),"")</f>
        <v/>
      </c>
      <c r="K288" t="str">
        <f>IFERROR(__xludf.DUMMYFUNCTION("""COMPUTED_VALUE"""),"")</f>
        <v/>
      </c>
      <c r="L288" t="str">
        <f>IFERROR(__xludf.DUMMYFUNCTION("""COMPUTED_VALUE"""),"")</f>
        <v/>
      </c>
    </row>
    <row r="289" ht="15.75" customHeight="1">
      <c r="A289" t="str">
        <f>IFERROR(__xludf.DUMMYFUNCTION("""COMPUTED_VALUE"""),"Allocation")</f>
        <v>Allocation</v>
      </c>
      <c r="B289" t="str">
        <f>IFERROR(__xludf.DUMMYFUNCTION("""COMPUTED_VALUE"""),"ModifyGRPreferenceValues")</f>
        <v>ModifyGRPreferenceValues</v>
      </c>
      <c r="C289" t="str">
        <f>IFERROR(__xludf.DUMMYFUNCTION("""COMPUTED_VALUE"""),"Undefined")</f>
        <v>Undefined</v>
      </c>
      <c r="D289" t="str">
        <f>IFERROR(__xludf.DUMMYFUNCTION("""COMPUTED_VALUE"""),"")</f>
        <v/>
      </c>
      <c r="E289" t="str">
        <f>IFERROR(__xludf.DUMMYFUNCTION("""COMPUTED_VALUE"""),"")</f>
        <v/>
      </c>
      <c r="F289" t="str">
        <f>IFERROR(__xludf.DUMMYFUNCTION("""COMPUTED_VALUE"""),"")</f>
        <v/>
      </c>
      <c r="G289" t="str">
        <f>IFERROR(__xludf.DUMMYFUNCTION("""COMPUTED_VALUE"""),"")</f>
        <v/>
      </c>
      <c r="H289" t="str">
        <f>IFERROR(__xludf.DUMMYFUNCTION("""COMPUTED_VALUE"""),"")</f>
        <v/>
      </c>
      <c r="I289" t="str">
        <f>IFERROR(__xludf.DUMMYFUNCTION("""COMPUTED_VALUE"""),"")</f>
        <v/>
      </c>
      <c r="J289" t="str">
        <f>IFERROR(__xludf.DUMMYFUNCTION("""COMPUTED_VALUE"""),"")</f>
        <v/>
      </c>
      <c r="K289" t="str">
        <f>IFERROR(__xludf.DUMMYFUNCTION("""COMPUTED_VALUE"""),"")</f>
        <v/>
      </c>
      <c r="L289" t="str">
        <f>IFERROR(__xludf.DUMMYFUNCTION("""COMPUTED_VALUE"""),"")</f>
        <v/>
      </c>
    </row>
    <row r="290" ht="15.75" customHeight="1">
      <c r="A290" t="str">
        <f>IFERROR(__xludf.DUMMYFUNCTION("""COMPUTED_VALUE"""),"Allocation")</f>
        <v>Allocation</v>
      </c>
      <c r="B290" t="str">
        <f>IFERROR(__xludf.DUMMYFUNCTION("""COMPUTED_VALUE"""),"AddMFPreferences")</f>
        <v>AddMFPreferences</v>
      </c>
      <c r="C290" t="str">
        <f>IFERROR(__xludf.DUMMYFUNCTION("""COMPUTED_VALUE"""),"1va6752DENAYeVhS50lUAkhwGSYev0Xktjtar45RqPkk")</f>
        <v>1va6752DENAYeVhS50lUAkhwGSYev0Xktjtar45RqPkk</v>
      </c>
      <c r="D290" t="str">
        <f>IFERROR(__xludf.DUMMYFUNCTION("""COMPUTED_VALUE"""),"")</f>
        <v/>
      </c>
      <c r="E290" t="str">
        <f>IFERROR(__xludf.DUMMYFUNCTION("""COMPUTED_VALUE"""),"")</f>
        <v/>
      </c>
      <c r="F290" t="str">
        <f>IFERROR(__xludf.DUMMYFUNCTION("""COMPUTED_VALUE"""),"")</f>
        <v/>
      </c>
      <c r="G290" t="str">
        <f>IFERROR(__xludf.DUMMYFUNCTION("""COMPUTED_VALUE"""),"")</f>
        <v/>
      </c>
      <c r="H290" t="str">
        <f>IFERROR(__xludf.DUMMYFUNCTION("""COMPUTED_VALUE"""),"")</f>
        <v/>
      </c>
      <c r="I290" t="str">
        <f>IFERROR(__xludf.DUMMYFUNCTION("""COMPUTED_VALUE"""),"")</f>
        <v/>
      </c>
      <c r="J290" t="str">
        <f>IFERROR(__xludf.DUMMYFUNCTION("""COMPUTED_VALUE"""),"")</f>
        <v/>
      </c>
      <c r="K290" t="str">
        <f>IFERROR(__xludf.DUMMYFUNCTION("""COMPUTED_VALUE"""),"")</f>
        <v/>
      </c>
      <c r="L290" t="str">
        <f>IFERROR(__xludf.DUMMYFUNCTION("""COMPUTED_VALUE"""),"")</f>
        <v/>
      </c>
    </row>
    <row r="291" ht="15.75" customHeight="1">
      <c r="A291" t="str">
        <f>IFERROR(__xludf.DUMMYFUNCTION("""COMPUTED_VALUE"""),"Allocation")</f>
        <v>Allocation</v>
      </c>
      <c r="B291" t="str">
        <f>IFERROR(__xludf.DUMMYFUNCTION("""COMPUTED_VALUE"""),"AddMFPreferenceToolbar")</f>
        <v>AddMFPreferenceToolbar</v>
      </c>
      <c r="C291" t="str">
        <f>IFERROR(__xludf.DUMMYFUNCTION("""COMPUTED_VALUE"""),"1Ry0ZELbqu1Mwmjv4apaY0huRg4RzMnHcrAL-FcEW65w")</f>
        <v>1Ry0ZELbqu1Mwmjv4apaY0huRg4RzMnHcrAL-FcEW65w</v>
      </c>
      <c r="D291" t="str">
        <f>IFERROR(__xludf.DUMMYFUNCTION("""COMPUTED_VALUE"""),"")</f>
        <v/>
      </c>
      <c r="E291" t="str">
        <f>IFERROR(__xludf.DUMMYFUNCTION("""COMPUTED_VALUE"""),"")</f>
        <v/>
      </c>
      <c r="F291" t="str">
        <f>IFERROR(__xludf.DUMMYFUNCTION("""COMPUTED_VALUE"""),"")</f>
        <v/>
      </c>
      <c r="G291" t="str">
        <f>IFERROR(__xludf.DUMMYFUNCTION("""COMPUTED_VALUE"""),"")</f>
        <v/>
      </c>
      <c r="H291" t="str">
        <f>IFERROR(__xludf.DUMMYFUNCTION("""COMPUTED_VALUE"""),"")</f>
        <v/>
      </c>
      <c r="I291" t="str">
        <f>IFERROR(__xludf.DUMMYFUNCTION("""COMPUTED_VALUE"""),"")</f>
        <v/>
      </c>
      <c r="J291" t="str">
        <f>IFERROR(__xludf.DUMMYFUNCTION("""COMPUTED_VALUE"""),"")</f>
        <v/>
      </c>
      <c r="K291" t="str">
        <f>IFERROR(__xludf.DUMMYFUNCTION("""COMPUTED_VALUE"""),"")</f>
        <v/>
      </c>
      <c r="L291" t="str">
        <f>IFERROR(__xludf.DUMMYFUNCTION("""COMPUTED_VALUE"""),"")</f>
        <v/>
      </c>
    </row>
    <row r="292" ht="15.75" customHeight="1">
      <c r="A292" t="str">
        <f>IFERROR(__xludf.DUMMYFUNCTION("""COMPUTED_VALUE"""),"Allocation")</f>
        <v>Allocation</v>
      </c>
      <c r="B292" t="str">
        <f>IFERROR(__xludf.DUMMYFUNCTION("""COMPUTED_VALUE"""),"DeleteMFPreferences")</f>
        <v>DeleteMFPreferences</v>
      </c>
      <c r="C292" t="str">
        <f>IFERROR(__xludf.DUMMYFUNCTION("""COMPUTED_VALUE"""),"1mCRD3EmDUNhyzjpvHK_KjUJHB78N4X4a3VHjm7KfAxk")</f>
        <v>1mCRD3EmDUNhyzjpvHK_KjUJHB78N4X4a3VHjm7KfAxk</v>
      </c>
      <c r="D292" t="str">
        <f>IFERROR(__xludf.DUMMYFUNCTION("""COMPUTED_VALUE"""),"")</f>
        <v/>
      </c>
      <c r="E292" t="str">
        <f>IFERROR(__xludf.DUMMYFUNCTION("""COMPUTED_VALUE"""),"")</f>
        <v/>
      </c>
      <c r="F292" t="str">
        <f>IFERROR(__xludf.DUMMYFUNCTION("""COMPUTED_VALUE"""),"")</f>
        <v/>
      </c>
      <c r="G292" t="str">
        <f>IFERROR(__xludf.DUMMYFUNCTION("""COMPUTED_VALUE"""),"")</f>
        <v/>
      </c>
      <c r="H292" t="str">
        <f>IFERROR(__xludf.DUMMYFUNCTION("""COMPUTED_VALUE"""),"")</f>
        <v/>
      </c>
      <c r="I292" t="str">
        <f>IFERROR(__xludf.DUMMYFUNCTION("""COMPUTED_VALUE"""),"")</f>
        <v/>
      </c>
      <c r="J292" t="str">
        <f>IFERROR(__xludf.DUMMYFUNCTION("""COMPUTED_VALUE"""),"")</f>
        <v/>
      </c>
      <c r="K292" t="str">
        <f>IFERROR(__xludf.DUMMYFUNCTION("""COMPUTED_VALUE"""),"")</f>
        <v/>
      </c>
      <c r="L292" t="str">
        <f>IFERROR(__xludf.DUMMYFUNCTION("""COMPUTED_VALUE"""),"")</f>
        <v/>
      </c>
    </row>
    <row r="293" ht="15.75" customHeight="1">
      <c r="A293" t="str">
        <f>IFERROR(__xludf.DUMMYFUNCTION("""COMPUTED_VALUE"""),"Allocation")</f>
        <v>Allocation</v>
      </c>
      <c r="B293" t="str">
        <f>IFERROR(__xludf.DUMMYFUNCTION("""COMPUTED_VALUE"""),"DeleteMFPreferenceToolbar")</f>
        <v>DeleteMFPreferenceToolbar</v>
      </c>
      <c r="C293" t="str">
        <f>IFERROR(__xludf.DUMMYFUNCTION("""COMPUTED_VALUE"""),"1bQnvNaxzPwb6m0rx94FNm85vCLF4YgQkqftXa453b-w")</f>
        <v>1bQnvNaxzPwb6m0rx94FNm85vCLF4YgQkqftXa453b-w</v>
      </c>
      <c r="D293" t="str">
        <f>IFERROR(__xludf.DUMMYFUNCTION("""COMPUTED_VALUE"""),"")</f>
        <v/>
      </c>
      <c r="E293" t="str">
        <f>IFERROR(__xludf.DUMMYFUNCTION("""COMPUTED_VALUE"""),"")</f>
        <v/>
      </c>
      <c r="F293" t="str">
        <f>IFERROR(__xludf.DUMMYFUNCTION("""COMPUTED_VALUE"""),"")</f>
        <v/>
      </c>
      <c r="G293" t="str">
        <f>IFERROR(__xludf.DUMMYFUNCTION("""COMPUTED_VALUE"""),"")</f>
        <v/>
      </c>
      <c r="H293" t="str">
        <f>IFERROR(__xludf.DUMMYFUNCTION("""COMPUTED_VALUE"""),"")</f>
        <v/>
      </c>
      <c r="I293" t="str">
        <f>IFERROR(__xludf.DUMMYFUNCTION("""COMPUTED_VALUE"""),"")</f>
        <v/>
      </c>
      <c r="J293" t="str">
        <f>IFERROR(__xludf.DUMMYFUNCTION("""COMPUTED_VALUE"""),"")</f>
        <v/>
      </c>
      <c r="K293" t="str">
        <f>IFERROR(__xludf.DUMMYFUNCTION("""COMPUTED_VALUE"""),"")</f>
        <v/>
      </c>
      <c r="L293" t="str">
        <f>IFERROR(__xludf.DUMMYFUNCTION("""COMPUTED_VALUE"""),"")</f>
        <v/>
      </c>
    </row>
    <row r="294" ht="15.75" customHeight="1">
      <c r="A294" t="str">
        <f>IFERROR(__xludf.DUMMYFUNCTION("""COMPUTED_VALUE"""),"Allocation")</f>
        <v>Allocation</v>
      </c>
      <c r="B294" t="str">
        <f>IFERROR(__xludf.DUMMYFUNCTION("""COMPUTED_VALUE"""),"RenameMFPreferences")</f>
        <v>RenameMFPreferences</v>
      </c>
      <c r="C294" t="str">
        <f>IFERROR(__xludf.DUMMYFUNCTION("""COMPUTED_VALUE"""),"1qEjbJ2hmw-Bv7YoPCV0P4aY4X_s5Rd9B3cJaWt50vOc")</f>
        <v>1qEjbJ2hmw-Bv7YoPCV0P4aY4X_s5Rd9B3cJaWt50vOc</v>
      </c>
      <c r="D294" t="str">
        <f>IFERROR(__xludf.DUMMYFUNCTION("""COMPUTED_VALUE"""),"")</f>
        <v/>
      </c>
      <c r="E294" t="str">
        <f>IFERROR(__xludf.DUMMYFUNCTION("""COMPUTED_VALUE"""),"")</f>
        <v/>
      </c>
      <c r="F294" t="str">
        <f>IFERROR(__xludf.DUMMYFUNCTION("""COMPUTED_VALUE"""),"")</f>
        <v/>
      </c>
      <c r="G294" t="str">
        <f>IFERROR(__xludf.DUMMYFUNCTION("""COMPUTED_VALUE"""),"")</f>
        <v/>
      </c>
      <c r="H294" t="str">
        <f>IFERROR(__xludf.DUMMYFUNCTION("""COMPUTED_VALUE"""),"")</f>
        <v/>
      </c>
      <c r="I294" t="str">
        <f>IFERROR(__xludf.DUMMYFUNCTION("""COMPUTED_VALUE"""),"")</f>
        <v/>
      </c>
      <c r="J294" t="str">
        <f>IFERROR(__xludf.DUMMYFUNCTION("""COMPUTED_VALUE"""),"")</f>
        <v/>
      </c>
      <c r="K294" t="str">
        <f>IFERROR(__xludf.DUMMYFUNCTION("""COMPUTED_VALUE"""),"")</f>
        <v/>
      </c>
      <c r="L294" t="str">
        <f>IFERROR(__xludf.DUMMYFUNCTION("""COMPUTED_VALUE"""),"")</f>
        <v/>
      </c>
    </row>
    <row r="295" ht="15.75" customHeight="1">
      <c r="A295" t="str">
        <f>IFERROR(__xludf.DUMMYFUNCTION("""COMPUTED_VALUE"""),"Allocation")</f>
        <v>Allocation</v>
      </c>
      <c r="B295" t="str">
        <f>IFERROR(__xludf.DUMMYFUNCTION("""COMPUTED_VALUE"""),"SaveCloseMFPreference")</f>
        <v>SaveCloseMFPreference</v>
      </c>
      <c r="C295" t="str">
        <f>IFERROR(__xludf.DUMMYFUNCTION("""COMPUTED_VALUE"""),"Undefined")</f>
        <v>Undefined</v>
      </c>
      <c r="D295" t="str">
        <f>IFERROR(__xludf.DUMMYFUNCTION("""COMPUTED_VALUE"""),"")</f>
        <v/>
      </c>
      <c r="E295" t="str">
        <f>IFERROR(__xludf.DUMMYFUNCTION("""COMPUTED_VALUE"""),"")</f>
        <v/>
      </c>
      <c r="F295" t="str">
        <f>IFERROR(__xludf.DUMMYFUNCTION("""COMPUTED_VALUE"""),"")</f>
        <v/>
      </c>
      <c r="G295" t="str">
        <f>IFERROR(__xludf.DUMMYFUNCTION("""COMPUTED_VALUE"""),"")</f>
        <v/>
      </c>
      <c r="H295" t="str">
        <f>IFERROR(__xludf.DUMMYFUNCTION("""COMPUTED_VALUE"""),"")</f>
        <v/>
      </c>
      <c r="I295" t="str">
        <f>IFERROR(__xludf.DUMMYFUNCTION("""COMPUTED_VALUE"""),"")</f>
        <v/>
      </c>
      <c r="J295" t="str">
        <f>IFERROR(__xludf.DUMMYFUNCTION("""COMPUTED_VALUE"""),"")</f>
        <v/>
      </c>
      <c r="K295" t="str">
        <f>IFERROR(__xludf.DUMMYFUNCTION("""COMPUTED_VALUE"""),"")</f>
        <v/>
      </c>
      <c r="L295" t="str">
        <f>IFERROR(__xludf.DUMMYFUNCTION("""COMPUTED_VALUE"""),"")</f>
        <v/>
      </c>
    </row>
    <row r="296" ht="15.75" customHeight="1">
      <c r="A296" t="str">
        <f>IFERROR(__xludf.DUMMYFUNCTION("""COMPUTED_VALUE"""),"Allocation")</f>
        <v>Allocation</v>
      </c>
      <c r="B296" t="str">
        <f>IFERROR(__xludf.DUMMYFUNCTION("""COMPUTED_VALUE"""),"SetMFPrefAccountValues")</f>
        <v>SetMFPrefAccountValues</v>
      </c>
      <c r="C296" t="str">
        <f>IFERROR(__xludf.DUMMYFUNCTION("""COMPUTED_VALUE"""),"14arkgkANgSlPx3msdbjJS_BCNAV0D0bj0ilVQGyyV48")</f>
        <v>14arkgkANgSlPx3msdbjJS_BCNAV0D0bj0ilVQGyyV48</v>
      </c>
      <c r="D296" t="str">
        <f>IFERROR(__xludf.DUMMYFUNCTION("""COMPUTED_VALUE"""),"")</f>
        <v/>
      </c>
      <c r="E296" t="str">
        <f>IFERROR(__xludf.DUMMYFUNCTION("""COMPUTED_VALUE"""),"")</f>
        <v/>
      </c>
      <c r="F296" t="str">
        <f>IFERROR(__xludf.DUMMYFUNCTION("""COMPUTED_VALUE"""),"")</f>
        <v/>
      </c>
      <c r="G296" t="str">
        <f>IFERROR(__xludf.DUMMYFUNCTION("""COMPUTED_VALUE"""),"")</f>
        <v/>
      </c>
      <c r="H296" t="str">
        <f>IFERROR(__xludf.DUMMYFUNCTION("""COMPUTED_VALUE"""),"")</f>
        <v/>
      </c>
      <c r="I296" t="str">
        <f>IFERROR(__xludf.DUMMYFUNCTION("""COMPUTED_VALUE"""),"")</f>
        <v/>
      </c>
      <c r="J296" t="str">
        <f>IFERROR(__xludf.DUMMYFUNCTION("""COMPUTED_VALUE"""),"")</f>
        <v/>
      </c>
      <c r="K296" t="str">
        <f>IFERROR(__xludf.DUMMYFUNCTION("""COMPUTED_VALUE"""),"")</f>
        <v/>
      </c>
      <c r="L296" t="str">
        <f>IFERROR(__xludf.DUMMYFUNCTION("""COMPUTED_VALUE"""),"")</f>
        <v/>
      </c>
    </row>
    <row r="297" ht="15.75" customHeight="1">
      <c r="A297" t="str">
        <f>IFERROR(__xludf.DUMMYFUNCTION("""COMPUTED_VALUE"""),"Allocation")</f>
        <v>Allocation</v>
      </c>
      <c r="B297" t="str">
        <f>IFERROR(__xludf.DUMMYFUNCTION("""COMPUTED_VALUE"""),"ModifyMFPrefGeneralRuleValues")</f>
        <v>ModifyMFPrefGeneralRuleValues</v>
      </c>
      <c r="C297" t="str">
        <f>IFERROR(__xludf.DUMMYFUNCTION("""COMPUTED_VALUE"""),"Undefined")</f>
        <v>Undefined</v>
      </c>
      <c r="D297" t="str">
        <f>IFERROR(__xludf.DUMMYFUNCTION("""COMPUTED_VALUE"""),"")</f>
        <v/>
      </c>
      <c r="E297" t="str">
        <f>IFERROR(__xludf.DUMMYFUNCTION("""COMPUTED_VALUE"""),"")</f>
        <v/>
      </c>
      <c r="F297" t="str">
        <f>IFERROR(__xludf.DUMMYFUNCTION("""COMPUTED_VALUE"""),"")</f>
        <v/>
      </c>
      <c r="G297" t="str">
        <f>IFERROR(__xludf.DUMMYFUNCTION("""COMPUTED_VALUE"""),"")</f>
        <v/>
      </c>
      <c r="H297" t="str">
        <f>IFERROR(__xludf.DUMMYFUNCTION("""COMPUTED_VALUE"""),"")</f>
        <v/>
      </c>
      <c r="I297" t="str">
        <f>IFERROR(__xludf.DUMMYFUNCTION("""COMPUTED_VALUE"""),"")</f>
        <v/>
      </c>
      <c r="J297" t="str">
        <f>IFERROR(__xludf.DUMMYFUNCTION("""COMPUTED_VALUE"""),"")</f>
        <v/>
      </c>
      <c r="K297" t="str">
        <f>IFERROR(__xludf.DUMMYFUNCTION("""COMPUTED_VALUE"""),"")</f>
        <v/>
      </c>
      <c r="L297" t="str">
        <f>IFERROR(__xludf.DUMMYFUNCTION("""COMPUTED_VALUE"""),"")</f>
        <v/>
      </c>
    </row>
    <row r="298" ht="15.75" customHeight="1">
      <c r="A298" t="str">
        <f>IFERROR(__xludf.DUMMYFUNCTION("""COMPUTED_VALUE"""),"Allocation")</f>
        <v>Allocation</v>
      </c>
      <c r="B298" t="str">
        <f>IFERROR(__xludf.DUMMYFUNCTION("""COMPUTED_VALUE"""),"SetMFPrefStrategyValues")</f>
        <v>SetMFPrefStrategyValues</v>
      </c>
      <c r="C298" t="str">
        <f>IFERROR(__xludf.DUMMYFUNCTION("""COMPUTED_VALUE"""),"1yFCtsHtjse7L-TUP_xVh4TQ6B7h2cpfVQedPGV6Hltk")</f>
        <v>1yFCtsHtjse7L-TUP_xVh4TQ6B7h2cpfVQedPGV6Hltk</v>
      </c>
      <c r="D298" t="str">
        <f>IFERROR(__xludf.DUMMYFUNCTION("""COMPUTED_VALUE"""),"")</f>
        <v/>
      </c>
      <c r="E298" t="str">
        <f>IFERROR(__xludf.DUMMYFUNCTION("""COMPUTED_VALUE"""),"")</f>
        <v/>
      </c>
      <c r="F298" t="str">
        <f>IFERROR(__xludf.DUMMYFUNCTION("""COMPUTED_VALUE"""),"")</f>
        <v/>
      </c>
      <c r="G298" t="str">
        <f>IFERROR(__xludf.DUMMYFUNCTION("""COMPUTED_VALUE"""),"")</f>
        <v/>
      </c>
      <c r="H298" t="str">
        <f>IFERROR(__xludf.DUMMYFUNCTION("""COMPUTED_VALUE"""),"")</f>
        <v/>
      </c>
      <c r="I298" t="str">
        <f>IFERROR(__xludf.DUMMYFUNCTION("""COMPUTED_VALUE"""),"")</f>
        <v/>
      </c>
      <c r="J298" t="str">
        <f>IFERROR(__xludf.DUMMYFUNCTION("""COMPUTED_VALUE"""),"")</f>
        <v/>
      </c>
      <c r="K298" t="str">
        <f>IFERROR(__xludf.DUMMYFUNCTION("""COMPUTED_VALUE"""),"")</f>
        <v/>
      </c>
      <c r="L298" t="str">
        <f>IFERROR(__xludf.DUMMYFUNCTION("""COMPUTED_VALUE"""),"")</f>
        <v/>
      </c>
    </row>
    <row r="299" ht="15.75" customHeight="1">
      <c r="A299" t="str">
        <f>IFERROR(__xludf.DUMMYFUNCTION("""COMPUTED_VALUE"""),"Allocation")</f>
        <v>Allocation</v>
      </c>
      <c r="B299" t="str">
        <f>IFERROR(__xludf.DUMMYFUNCTION("""COMPUTED_VALUE"""),"SetMFPrefGeneralRule")</f>
        <v>SetMFPrefGeneralRule</v>
      </c>
      <c r="C299" t="str">
        <f>IFERROR(__xludf.DUMMYFUNCTION("""COMPUTED_VALUE"""),"1fQ4P6Q-mjxDj3SOLhADw90TKMmoQO5xAkvHFQA50RWM")</f>
        <v>1fQ4P6Q-mjxDj3SOLhADw90TKMmoQO5xAkvHFQA50RWM</v>
      </c>
      <c r="D299" t="str">
        <f>IFERROR(__xludf.DUMMYFUNCTION("""COMPUTED_VALUE"""),"")</f>
        <v/>
      </c>
      <c r="E299" t="str">
        <f>IFERROR(__xludf.DUMMYFUNCTION("""COMPUTED_VALUE"""),"")</f>
        <v/>
      </c>
      <c r="F299" t="str">
        <f>IFERROR(__xludf.DUMMYFUNCTION("""COMPUTED_VALUE"""),"")</f>
        <v/>
      </c>
      <c r="G299" t="str">
        <f>IFERROR(__xludf.DUMMYFUNCTION("""COMPUTED_VALUE"""),"")</f>
        <v/>
      </c>
      <c r="H299" t="str">
        <f>IFERROR(__xludf.DUMMYFUNCTION("""COMPUTED_VALUE"""),"")</f>
        <v/>
      </c>
      <c r="I299" t="str">
        <f>IFERROR(__xludf.DUMMYFUNCTION("""COMPUTED_VALUE"""),"")</f>
        <v/>
      </c>
      <c r="J299" t="str">
        <f>IFERROR(__xludf.DUMMYFUNCTION("""COMPUTED_VALUE"""),"")</f>
        <v/>
      </c>
      <c r="K299" t="str">
        <f>IFERROR(__xludf.DUMMYFUNCTION("""COMPUTED_VALUE"""),"")</f>
        <v/>
      </c>
      <c r="L299" t="str">
        <f>IFERROR(__xludf.DUMMYFUNCTION("""COMPUTED_VALUE"""),"")</f>
        <v/>
      </c>
    </row>
    <row r="300" ht="15.75" customHeight="1">
      <c r="A300" t="str">
        <f>IFERROR(__xludf.DUMMYFUNCTION("""COMPUTED_VALUE"""),"Allocation")</f>
        <v>Allocation</v>
      </c>
      <c r="B300" t="str">
        <f>IFERROR(__xludf.DUMMYFUNCTION("""COMPUTED_VALUE"""),"SetMFPrefFundDistribution")</f>
        <v>SetMFPrefFundDistribution</v>
      </c>
      <c r="C300" t="str">
        <f>IFERROR(__xludf.DUMMYFUNCTION("""COMPUTED_VALUE"""),"1FxEmWS_WxFMiePuiEZ3_Fkd4eRckfCHzv-PzlXxgFEA")</f>
        <v>1FxEmWS_WxFMiePuiEZ3_Fkd4eRckfCHzv-PzlXxgFEA</v>
      </c>
      <c r="D300" t="str">
        <f>IFERROR(__xludf.DUMMYFUNCTION("""COMPUTED_VALUE"""),"")</f>
        <v/>
      </c>
      <c r="E300" t="str">
        <f>IFERROR(__xludf.DUMMYFUNCTION("""COMPUTED_VALUE"""),"")</f>
        <v/>
      </c>
      <c r="F300" t="str">
        <f>IFERROR(__xludf.DUMMYFUNCTION("""COMPUTED_VALUE"""),"")</f>
        <v/>
      </c>
      <c r="G300" t="str">
        <f>IFERROR(__xludf.DUMMYFUNCTION("""COMPUTED_VALUE"""),"")</f>
        <v/>
      </c>
      <c r="H300" t="str">
        <f>IFERROR(__xludf.DUMMYFUNCTION("""COMPUTED_VALUE"""),"")</f>
        <v/>
      </c>
      <c r="I300" t="str">
        <f>IFERROR(__xludf.DUMMYFUNCTION("""COMPUTED_VALUE"""),"")</f>
        <v/>
      </c>
      <c r="J300" t="str">
        <f>IFERROR(__xludf.DUMMYFUNCTION("""COMPUTED_VALUE"""),"")</f>
        <v/>
      </c>
      <c r="K300" t="str">
        <f>IFERROR(__xludf.DUMMYFUNCTION("""COMPUTED_VALUE"""),"")</f>
        <v/>
      </c>
      <c r="L300" t="str">
        <f>IFERROR(__xludf.DUMMYFUNCTION("""COMPUTED_VALUE"""),"")</f>
        <v/>
      </c>
    </row>
    <row r="301" ht="15.75" customHeight="1">
      <c r="A301" t="str">
        <f>IFERROR(__xludf.DUMMYFUNCTION("""COMPUTED_VALUE"""),"Allocation")</f>
        <v>Allocation</v>
      </c>
      <c r="B301" t="str">
        <f>IFERROR(__xludf.DUMMYFUNCTION("""COMPUTED_VALUE"""),"SetMFPreferencesDefaultRule")</f>
        <v>SetMFPreferencesDefaultRule</v>
      </c>
      <c r="C301" t="str">
        <f>IFERROR(__xludf.DUMMYFUNCTION("""COMPUTED_VALUE"""),"10NYzauTdFcKUdkzKWlheqOMWeWEnOr2oMx2iDpeXXTg")</f>
        <v>10NYzauTdFcKUdkzKWlheqOMWeWEnOr2oMx2iDpeXXTg</v>
      </c>
      <c r="D301" t="str">
        <f>IFERROR(__xludf.DUMMYFUNCTION("""COMPUTED_VALUE"""),"")</f>
        <v/>
      </c>
      <c r="E301" t="str">
        <f>IFERROR(__xludf.DUMMYFUNCTION("""COMPUTED_VALUE"""),"")</f>
        <v/>
      </c>
      <c r="F301" t="str">
        <f>IFERROR(__xludf.DUMMYFUNCTION("""COMPUTED_VALUE"""),"")</f>
        <v/>
      </c>
      <c r="G301" t="str">
        <f>IFERROR(__xludf.DUMMYFUNCTION("""COMPUTED_VALUE"""),"")</f>
        <v/>
      </c>
      <c r="H301" t="str">
        <f>IFERROR(__xludf.DUMMYFUNCTION("""COMPUTED_VALUE"""),"")</f>
        <v/>
      </c>
      <c r="I301" t="str">
        <f>IFERROR(__xludf.DUMMYFUNCTION("""COMPUTED_VALUE"""),"")</f>
        <v/>
      </c>
      <c r="J301" t="str">
        <f>IFERROR(__xludf.DUMMYFUNCTION("""COMPUTED_VALUE"""),"")</f>
        <v/>
      </c>
      <c r="K301" t="str">
        <f>IFERROR(__xludf.DUMMYFUNCTION("""COMPUTED_VALUE"""),"")</f>
        <v/>
      </c>
      <c r="L301" t="str">
        <f>IFERROR(__xludf.DUMMYFUNCTION("""COMPUTED_VALUE"""),"")</f>
        <v/>
      </c>
    </row>
    <row r="302" ht="15.75" customHeight="1">
      <c r="A302" t="str">
        <f>IFERROR(__xludf.DUMMYFUNCTION("""COMPUTED_VALUE"""),"Allocation")</f>
        <v>Allocation</v>
      </c>
      <c r="B302" t="str">
        <f>IFERROR(__xludf.DUMMYFUNCTION("""COMPUTED_VALUE"""),"SetMFPrefFundDefaultRule")</f>
        <v>SetMFPrefFundDefaultRule</v>
      </c>
      <c r="C302" t="str">
        <f>IFERROR(__xludf.DUMMYFUNCTION("""COMPUTED_VALUE"""),"1tqkyJbl0bkgE0Xw_h7KPwQVanQUCDA6ZpILYHOywock")</f>
        <v>1tqkyJbl0bkgE0Xw_h7KPwQVanQUCDA6ZpILYHOywock</v>
      </c>
      <c r="D302" t="str">
        <f>IFERROR(__xludf.DUMMYFUNCTION("""COMPUTED_VALUE"""),"")</f>
        <v/>
      </c>
      <c r="E302" t="str">
        <f>IFERROR(__xludf.DUMMYFUNCTION("""COMPUTED_VALUE"""),"")</f>
        <v/>
      </c>
      <c r="F302" t="str">
        <f>IFERROR(__xludf.DUMMYFUNCTION("""COMPUTED_VALUE"""),"")</f>
        <v/>
      </c>
      <c r="G302" t="str">
        <f>IFERROR(__xludf.DUMMYFUNCTION("""COMPUTED_VALUE"""),"")</f>
        <v/>
      </c>
      <c r="H302" t="str">
        <f>IFERROR(__xludf.DUMMYFUNCTION("""COMPUTED_VALUE"""),"")</f>
        <v/>
      </c>
      <c r="I302" t="str">
        <f>IFERROR(__xludf.DUMMYFUNCTION("""COMPUTED_VALUE"""),"")</f>
        <v/>
      </c>
      <c r="J302" t="str">
        <f>IFERROR(__xludf.DUMMYFUNCTION("""COMPUTED_VALUE"""),"")</f>
        <v/>
      </c>
      <c r="K302" t="str">
        <f>IFERROR(__xludf.DUMMYFUNCTION("""COMPUTED_VALUE"""),"")</f>
        <v/>
      </c>
      <c r="L302" t="str">
        <f>IFERROR(__xludf.DUMMYFUNCTION("""COMPUTED_VALUE"""),"")</f>
        <v/>
      </c>
    </row>
    <row r="303" ht="15.75" customHeight="1">
      <c r="A303" t="str">
        <f>IFERROR(__xludf.DUMMYFUNCTION("""COMPUTED_VALUE"""),"PTT")</f>
        <v>PTT</v>
      </c>
      <c r="B303" t="str">
        <f>IFERROR(__xludf.DUMMYFUNCTION("""COMPUTED_VALUE"""),"SetAccountFactor")</f>
        <v>SetAccountFactor</v>
      </c>
      <c r="C303" t="str">
        <f>IFERROR(__xludf.DUMMYFUNCTION("""COMPUTED_VALUE"""),"1cODN6ucPYWbxoLsX1rQvJGCGAV6TOEenIeykDlOND3A")</f>
        <v>1cODN6ucPYWbxoLsX1rQvJGCGAV6TOEenIeykDlOND3A</v>
      </c>
      <c r="D303" t="str">
        <f>IFERROR(__xludf.DUMMYFUNCTION("""COMPUTED_VALUE"""),"")</f>
        <v/>
      </c>
      <c r="E303" t="str">
        <f>IFERROR(__xludf.DUMMYFUNCTION("""COMPUTED_VALUE"""),"")</f>
        <v/>
      </c>
      <c r="F303" t="str">
        <f>IFERROR(__xludf.DUMMYFUNCTION("""COMPUTED_VALUE"""),"")</f>
        <v/>
      </c>
      <c r="G303" t="str">
        <f>IFERROR(__xludf.DUMMYFUNCTION("""COMPUTED_VALUE"""),"")</f>
        <v/>
      </c>
      <c r="H303" t="str">
        <f>IFERROR(__xludf.DUMMYFUNCTION("""COMPUTED_VALUE"""),"")</f>
        <v/>
      </c>
      <c r="I303" t="str">
        <f>IFERROR(__xludf.DUMMYFUNCTION("""COMPUTED_VALUE"""),"")</f>
        <v/>
      </c>
      <c r="J303" t="str">
        <f>IFERROR(__xludf.DUMMYFUNCTION("""COMPUTED_VALUE"""),"")</f>
        <v/>
      </c>
      <c r="K303" t="str">
        <f>IFERROR(__xludf.DUMMYFUNCTION("""COMPUTED_VALUE"""),"")</f>
        <v/>
      </c>
      <c r="L303" t="str">
        <f>IFERROR(__xludf.DUMMYFUNCTION("""COMPUTED_VALUE"""),"")</f>
        <v/>
      </c>
    </row>
    <row r="304" ht="15.75" customHeight="1">
      <c r="A304" t="str">
        <f>IFERROR(__xludf.DUMMYFUNCTION("""COMPUTED_VALUE"""),"Allocation")</f>
        <v>Allocation</v>
      </c>
      <c r="B304" t="str">
        <f>IFERROR(__xludf.DUMMYFUNCTION("""COMPUTED_VALUE"""),"ClearPrefetchFilters")</f>
        <v>ClearPrefetchFilters</v>
      </c>
      <c r="C304" t="str">
        <f>IFERROR(__xludf.DUMMYFUNCTION("""COMPUTED_VALUE"""),"Undefined")</f>
        <v>Undefined</v>
      </c>
      <c r="D304" t="str">
        <f>IFERROR(__xludf.DUMMYFUNCTION("""COMPUTED_VALUE"""),"")</f>
        <v/>
      </c>
      <c r="E304" t="str">
        <f>IFERROR(__xludf.DUMMYFUNCTION("""COMPUTED_VALUE"""),"")</f>
        <v/>
      </c>
      <c r="F304" t="str">
        <f>IFERROR(__xludf.DUMMYFUNCTION("""COMPUTED_VALUE"""),"")</f>
        <v/>
      </c>
      <c r="G304" t="str">
        <f>IFERROR(__xludf.DUMMYFUNCTION("""COMPUTED_VALUE"""),"")</f>
        <v/>
      </c>
      <c r="H304" t="str">
        <f>IFERROR(__xludf.DUMMYFUNCTION("""COMPUTED_VALUE"""),"")</f>
        <v/>
      </c>
      <c r="I304" t="str">
        <f>IFERROR(__xludf.DUMMYFUNCTION("""COMPUTED_VALUE"""),"")</f>
        <v/>
      </c>
      <c r="J304" t="str">
        <f>IFERROR(__xludf.DUMMYFUNCTION("""COMPUTED_VALUE"""),"")</f>
        <v/>
      </c>
      <c r="K304" t="str">
        <f>IFERROR(__xludf.DUMMYFUNCTION("""COMPUTED_VALUE"""),"")</f>
        <v/>
      </c>
      <c r="L304" t="str">
        <f>IFERROR(__xludf.DUMMYFUNCTION("""COMPUTED_VALUE"""),"")</f>
        <v/>
      </c>
    </row>
    <row r="305" ht="15.75" customHeight="1">
      <c r="A305" t="str">
        <f>IFERROR(__xludf.DUMMYFUNCTION("""COMPUTED_VALUE"""),"Allocation")</f>
        <v>Allocation</v>
      </c>
      <c r="B305" t="str">
        <f>IFERROR(__xludf.DUMMYFUNCTION("""COMPUTED_VALUE"""),"ExpandCollapseAllUnallocated")</f>
        <v>ExpandCollapseAllUnallocated</v>
      </c>
      <c r="C305" t="str">
        <f>IFERROR(__xludf.DUMMYFUNCTION("""COMPUTED_VALUE"""),"13vYOn1vp7ZLlp6ZEZA8Kn_yTUR7Q5ZSQfYP4k2NK3Mc")</f>
        <v>13vYOn1vp7ZLlp6ZEZA8Kn_yTUR7Q5ZSQfYP4k2NK3Mc</v>
      </c>
      <c r="D305" t="str">
        <f>IFERROR(__xludf.DUMMYFUNCTION("""COMPUTED_VALUE"""),"")</f>
        <v/>
      </c>
      <c r="E305" t="str">
        <f>IFERROR(__xludf.DUMMYFUNCTION("""COMPUTED_VALUE"""),"")</f>
        <v/>
      </c>
      <c r="F305" t="str">
        <f>IFERROR(__xludf.DUMMYFUNCTION("""COMPUTED_VALUE"""),"")</f>
        <v/>
      </c>
      <c r="G305" t="str">
        <f>IFERROR(__xludf.DUMMYFUNCTION("""COMPUTED_VALUE"""),"")</f>
        <v/>
      </c>
      <c r="H305" t="str">
        <f>IFERROR(__xludf.DUMMYFUNCTION("""COMPUTED_VALUE"""),"")</f>
        <v/>
      </c>
      <c r="I305" t="str">
        <f>IFERROR(__xludf.DUMMYFUNCTION("""COMPUTED_VALUE"""),"")</f>
        <v/>
      </c>
      <c r="J305" t="str">
        <f>IFERROR(__xludf.DUMMYFUNCTION("""COMPUTED_VALUE"""),"")</f>
        <v/>
      </c>
      <c r="K305" t="str">
        <f>IFERROR(__xludf.DUMMYFUNCTION("""COMPUTED_VALUE"""),"")</f>
        <v/>
      </c>
      <c r="L305" t="str">
        <f>IFERROR(__xludf.DUMMYFUNCTION("""COMPUTED_VALUE"""),"")</f>
        <v/>
      </c>
    </row>
    <row r="306" ht="15.75" customHeight="1">
      <c r="A306" t="str">
        <f>IFERROR(__xludf.DUMMYFUNCTION("""COMPUTED_VALUE"""),"Allocation")</f>
        <v>Allocation</v>
      </c>
      <c r="B306" t="str">
        <f>IFERROR(__xludf.DUMMYFUNCTION("""COMPUTED_VALUE"""),"ExpandCollapseAllAllocated")</f>
        <v>ExpandCollapseAllAllocated</v>
      </c>
      <c r="C306" t="str">
        <f>IFERROR(__xludf.DUMMYFUNCTION("""COMPUTED_VALUE"""),"1Yf-1PQsF8BXP-8l51qBj-t3VUktFVDtpeBc9m2usM_0")</f>
        <v>1Yf-1PQsF8BXP-8l51qBj-t3VUktFVDtpeBc9m2usM_0</v>
      </c>
      <c r="D306" t="str">
        <f>IFERROR(__xludf.DUMMYFUNCTION("""COMPUTED_VALUE"""),"")</f>
        <v/>
      </c>
      <c r="E306" t="str">
        <f>IFERROR(__xludf.DUMMYFUNCTION("""COMPUTED_VALUE"""),"")</f>
        <v/>
      </c>
      <c r="F306" t="str">
        <f>IFERROR(__xludf.DUMMYFUNCTION("""COMPUTED_VALUE"""),"")</f>
        <v/>
      </c>
      <c r="G306" t="str">
        <f>IFERROR(__xludf.DUMMYFUNCTION("""COMPUTED_VALUE"""),"")</f>
        <v/>
      </c>
      <c r="H306" t="str">
        <f>IFERROR(__xludf.DUMMYFUNCTION("""COMPUTED_VALUE"""),"")</f>
        <v/>
      </c>
      <c r="I306" t="str">
        <f>IFERROR(__xludf.DUMMYFUNCTION("""COMPUTED_VALUE"""),"")</f>
        <v/>
      </c>
      <c r="J306" t="str">
        <f>IFERROR(__xludf.DUMMYFUNCTION("""COMPUTED_VALUE"""),"")</f>
        <v/>
      </c>
      <c r="K306" t="str">
        <f>IFERROR(__xludf.DUMMYFUNCTION("""COMPUTED_VALUE"""),"")</f>
        <v/>
      </c>
      <c r="L306" t="str">
        <f>IFERROR(__xludf.DUMMYFUNCTION("""COMPUTED_VALUE"""),"")</f>
        <v/>
      </c>
    </row>
    <row r="307" ht="15.75" customHeight="1">
      <c r="A307" t="str">
        <f>IFERROR(__xludf.DUMMYFUNCTION("""COMPUTED_VALUE"""),"Allocation")</f>
        <v>Allocation</v>
      </c>
      <c r="B307" t="str">
        <f>IFERROR(__xludf.DUMMYFUNCTION("""COMPUTED_VALUE"""),"GenerateCashTransaction")</f>
        <v>GenerateCashTransaction</v>
      </c>
      <c r="C307" t="str">
        <f>IFERROR(__xludf.DUMMYFUNCTION("""COMPUTED_VALUE"""),"1KOvj3Mc_p9Dobx8L9x1S-2V0RfTN9eoQyG_29ny5eMA")</f>
        <v>1KOvj3Mc_p9Dobx8L9x1S-2V0RfTN9eoQyG_29ny5eMA</v>
      </c>
      <c r="D307" t="str">
        <f>IFERROR(__xludf.DUMMYFUNCTION("""COMPUTED_VALUE"""),"")</f>
        <v/>
      </c>
      <c r="E307" t="str">
        <f>IFERROR(__xludf.DUMMYFUNCTION("""COMPUTED_VALUE"""),"")</f>
        <v/>
      </c>
      <c r="F307" t="str">
        <f>IFERROR(__xludf.DUMMYFUNCTION("""COMPUTED_VALUE"""),"")</f>
        <v/>
      </c>
      <c r="G307" t="str">
        <f>IFERROR(__xludf.DUMMYFUNCTION("""COMPUTED_VALUE"""),"")</f>
        <v/>
      </c>
      <c r="H307" t="str">
        <f>IFERROR(__xludf.DUMMYFUNCTION("""COMPUTED_VALUE"""),"")</f>
        <v/>
      </c>
      <c r="I307" t="str">
        <f>IFERROR(__xludf.DUMMYFUNCTION("""COMPUTED_VALUE"""),"")</f>
        <v/>
      </c>
      <c r="J307" t="str">
        <f>IFERROR(__xludf.DUMMYFUNCTION("""COMPUTED_VALUE"""),"")</f>
        <v/>
      </c>
      <c r="K307" t="str">
        <f>IFERROR(__xludf.DUMMYFUNCTION("""COMPUTED_VALUE"""),"")</f>
        <v/>
      </c>
      <c r="L307" t="str">
        <f>IFERROR(__xludf.DUMMYFUNCTION("""COMPUTED_VALUE"""),"")</f>
        <v/>
      </c>
    </row>
    <row r="308" ht="15.75" customHeight="1">
      <c r="A308" t="str">
        <f>IFERROR(__xludf.DUMMYFUNCTION("""COMPUTED_VALUE"""),"Allocation")</f>
        <v>Allocation</v>
      </c>
      <c r="B308" t="str">
        <f>IFERROR(__xludf.DUMMYFUNCTION("""COMPUTED_VALUE"""),"SaveAllocation")</f>
        <v>SaveAllocation</v>
      </c>
      <c r="C308" t="str">
        <f>IFERROR(__xludf.DUMMYFUNCTION("""COMPUTED_VALUE"""),"Undefined")</f>
        <v>Undefined</v>
      </c>
      <c r="D308" t="str">
        <f>IFERROR(__xludf.DUMMYFUNCTION("""COMPUTED_VALUE"""),"")</f>
        <v/>
      </c>
      <c r="E308" t="str">
        <f>IFERROR(__xludf.DUMMYFUNCTION("""COMPUTED_VALUE"""),"")</f>
        <v/>
      </c>
      <c r="F308" t="str">
        <f>IFERROR(__xludf.DUMMYFUNCTION("""COMPUTED_VALUE"""),"")</f>
        <v/>
      </c>
      <c r="G308" t="str">
        <f>IFERROR(__xludf.DUMMYFUNCTION("""COMPUTED_VALUE"""),"")</f>
        <v/>
      </c>
      <c r="H308" t="str">
        <f>IFERROR(__xludf.DUMMYFUNCTION("""COMPUTED_VALUE"""),"")</f>
        <v/>
      </c>
      <c r="I308" t="str">
        <f>IFERROR(__xludf.DUMMYFUNCTION("""COMPUTED_VALUE"""),"")</f>
        <v/>
      </c>
      <c r="J308" t="str">
        <f>IFERROR(__xludf.DUMMYFUNCTION("""COMPUTED_VALUE"""),"")</f>
        <v/>
      </c>
      <c r="K308" t="str">
        <f>IFERROR(__xludf.DUMMYFUNCTION("""COMPUTED_VALUE"""),"")</f>
        <v/>
      </c>
      <c r="L308" t="str">
        <f>IFERROR(__xludf.DUMMYFUNCTION("""COMPUTED_VALUE"""),"")</f>
        <v/>
      </c>
    </row>
    <row r="309" ht="15.75" customHeight="1">
      <c r="A309" t="str">
        <f>IFERROR(__xludf.DUMMYFUNCTION("""COMPUTED_VALUE"""),"Allocation")</f>
        <v>Allocation</v>
      </c>
      <c r="B309" t="str">
        <f>IFERROR(__xludf.DUMMYFUNCTION("""COMPUTED_VALUE"""),"UnallocateWithOutSave")</f>
        <v>UnallocateWithOutSave</v>
      </c>
      <c r="C309" t="str">
        <f>IFERROR(__xludf.DUMMYFUNCTION("""COMPUTED_VALUE"""),"19cVarbOuQNlg9tbxHuhn3wzrl0Dl0aQ74q1jmyomP4g")</f>
        <v>19cVarbOuQNlg9tbxHuhn3wzrl0Dl0aQ74q1jmyomP4g</v>
      </c>
      <c r="D309" t="str">
        <f>IFERROR(__xludf.DUMMYFUNCTION("""COMPUTED_VALUE"""),"")</f>
        <v/>
      </c>
      <c r="E309" t="str">
        <f>IFERROR(__xludf.DUMMYFUNCTION("""COMPUTED_VALUE"""),"")</f>
        <v/>
      </c>
      <c r="F309" t="str">
        <f>IFERROR(__xludf.DUMMYFUNCTION("""COMPUTED_VALUE"""),"")</f>
        <v/>
      </c>
      <c r="G309" t="str">
        <f>IFERROR(__xludf.DUMMYFUNCTION("""COMPUTED_VALUE"""),"")</f>
        <v/>
      </c>
      <c r="H309" t="str">
        <f>IFERROR(__xludf.DUMMYFUNCTION("""COMPUTED_VALUE"""),"")</f>
        <v/>
      </c>
      <c r="I309" t="str">
        <f>IFERROR(__xludf.DUMMYFUNCTION("""COMPUTED_VALUE"""),"")</f>
        <v/>
      </c>
      <c r="J309" t="str">
        <f>IFERROR(__xludf.DUMMYFUNCTION("""COMPUTED_VALUE"""),"")</f>
        <v/>
      </c>
      <c r="K309" t="str">
        <f>IFERROR(__xludf.DUMMYFUNCTION("""COMPUTED_VALUE"""),"")</f>
        <v/>
      </c>
      <c r="L309" t="str">
        <f>IFERROR(__xludf.DUMMYFUNCTION("""COMPUTED_VALUE"""),"")</f>
        <v/>
      </c>
    </row>
    <row r="310" ht="15.75" customHeight="1">
      <c r="A310" t="str">
        <f>IFERROR(__xludf.DUMMYFUNCTION("""COMPUTED_VALUE"""),"TradeServer")</f>
        <v>TradeServer</v>
      </c>
      <c r="B310" t="str">
        <f>IFERROR(__xludf.DUMMYFUNCTION("""COMPUTED_VALUE"""),"UpdateServerConfig")</f>
        <v>UpdateServerConfig</v>
      </c>
      <c r="C310" t="str">
        <f>IFERROR(__xludf.DUMMYFUNCTION("""COMPUTED_VALUE"""),"1ntguYqi1K2vWfsTRW2CtSm4KINPmjFS_eOvtKxY85ZQ")</f>
        <v>1ntguYqi1K2vWfsTRW2CtSm4KINPmjFS_eOvtKxY85ZQ</v>
      </c>
      <c r="D310" t="str">
        <f>IFERROR(__xludf.DUMMYFUNCTION("""COMPUTED_VALUE"""),"")</f>
        <v/>
      </c>
      <c r="E310" t="str">
        <f>IFERROR(__xludf.DUMMYFUNCTION("""COMPUTED_VALUE"""),"")</f>
        <v/>
      </c>
      <c r="F310" t="str">
        <f>IFERROR(__xludf.DUMMYFUNCTION("""COMPUTED_VALUE"""),"")</f>
        <v/>
      </c>
      <c r="G310" t="str">
        <f>IFERROR(__xludf.DUMMYFUNCTION("""COMPUTED_VALUE"""),"")</f>
        <v/>
      </c>
      <c r="H310" t="str">
        <f>IFERROR(__xludf.DUMMYFUNCTION("""COMPUTED_VALUE"""),"")</f>
        <v/>
      </c>
      <c r="I310" t="str">
        <f>IFERROR(__xludf.DUMMYFUNCTION("""COMPUTED_VALUE"""),"")</f>
        <v/>
      </c>
      <c r="J310" t="str">
        <f>IFERROR(__xludf.DUMMYFUNCTION("""COMPUTED_VALUE"""),"")</f>
        <v/>
      </c>
      <c r="K310" t="str">
        <f>IFERROR(__xludf.DUMMYFUNCTION("""COMPUTED_VALUE"""),"")</f>
        <v/>
      </c>
      <c r="L310" t="str">
        <f>IFERROR(__xludf.DUMMYFUNCTION("""COMPUTED_VALUE"""),"")</f>
        <v/>
      </c>
    </row>
    <row r="311" ht="15.75" customHeight="1">
      <c r="A311" t="str">
        <f>IFERROR(__xludf.DUMMYFUNCTION("""COMPUTED_VALUE"""),"PricingServer")</f>
        <v>PricingServer</v>
      </c>
      <c r="B311" t="str">
        <f>IFERROR(__xludf.DUMMYFUNCTION("""COMPUTED_VALUE"""),"UpdatePricingConfig")</f>
        <v>UpdatePricingConfig</v>
      </c>
      <c r="C311" t="str">
        <f>IFERROR(__xludf.DUMMYFUNCTION("""COMPUTED_VALUE"""),"1-2O1thHoOe8Jm1Wv3Fb4tCm4pWcUbZihcfSvem_Boyg")</f>
        <v>1-2O1thHoOe8Jm1Wv3Fb4tCm4pWcUbZihcfSvem_Boyg</v>
      </c>
      <c r="D311" t="str">
        <f>IFERROR(__xludf.DUMMYFUNCTION("""COMPUTED_VALUE"""),"")</f>
        <v/>
      </c>
      <c r="E311" t="str">
        <f>IFERROR(__xludf.DUMMYFUNCTION("""COMPUTED_VALUE"""),"")</f>
        <v/>
      </c>
      <c r="F311" t="str">
        <f>IFERROR(__xludf.DUMMYFUNCTION("""COMPUTED_VALUE"""),"")</f>
        <v/>
      </c>
      <c r="G311" t="str">
        <f>IFERROR(__xludf.DUMMYFUNCTION("""COMPUTED_VALUE"""),"")</f>
        <v/>
      </c>
      <c r="H311" t="str">
        <f>IFERROR(__xludf.DUMMYFUNCTION("""COMPUTED_VALUE"""),"")</f>
        <v/>
      </c>
      <c r="I311" t="str">
        <f>IFERROR(__xludf.DUMMYFUNCTION("""COMPUTED_VALUE"""),"")</f>
        <v/>
      </c>
      <c r="J311" t="str">
        <f>IFERROR(__xludf.DUMMYFUNCTION("""COMPUTED_VALUE"""),"")</f>
        <v/>
      </c>
      <c r="K311" t="str">
        <f>IFERROR(__xludf.DUMMYFUNCTION("""COMPUTED_VALUE"""),"")</f>
        <v/>
      </c>
      <c r="L311" t="str">
        <f>IFERROR(__xludf.DUMMYFUNCTION("""COMPUTED_VALUE"""),"")</f>
        <v/>
      </c>
    </row>
    <row r="312" ht="15.75" customHeight="1">
      <c r="A312" t="str">
        <f>IFERROR(__xludf.DUMMYFUNCTION("""COMPUTED_VALUE"""),"Expnl")</f>
        <v>Expnl</v>
      </c>
      <c r="B312" t="str">
        <f>IFERROR(__xludf.DUMMYFUNCTION("""COMPUTED_VALUE"""),"UpdateExpnlConfig")</f>
        <v>UpdateExpnlConfig</v>
      </c>
      <c r="C312" t="str">
        <f>IFERROR(__xludf.DUMMYFUNCTION("""COMPUTED_VALUE"""),"1ZV-NcVGXqPhAJDn1HEBrg0nS-ePPBIhT2PqF_bzjjbI")</f>
        <v>1ZV-NcVGXqPhAJDn1HEBrg0nS-ePPBIhT2PqF_bzjjbI</v>
      </c>
      <c r="D312" t="str">
        <f>IFERROR(__xludf.DUMMYFUNCTION("""COMPUTED_VALUE"""),"")</f>
        <v/>
      </c>
      <c r="E312" t="str">
        <f>IFERROR(__xludf.DUMMYFUNCTION("""COMPUTED_VALUE"""),"")</f>
        <v/>
      </c>
      <c r="F312" t="str">
        <f>IFERROR(__xludf.DUMMYFUNCTION("""COMPUTED_VALUE"""),"")</f>
        <v/>
      </c>
      <c r="G312" t="str">
        <f>IFERROR(__xludf.DUMMYFUNCTION("""COMPUTED_VALUE"""),"")</f>
        <v/>
      </c>
      <c r="H312" t="str">
        <f>IFERROR(__xludf.DUMMYFUNCTION("""COMPUTED_VALUE"""),"")</f>
        <v/>
      </c>
      <c r="I312" t="str">
        <f>IFERROR(__xludf.DUMMYFUNCTION("""COMPUTED_VALUE"""),"")</f>
        <v/>
      </c>
      <c r="J312" t="str">
        <f>IFERROR(__xludf.DUMMYFUNCTION("""COMPUTED_VALUE"""),"")</f>
        <v/>
      </c>
      <c r="K312" t="str">
        <f>IFERROR(__xludf.DUMMYFUNCTION("""COMPUTED_VALUE"""),"")</f>
        <v/>
      </c>
      <c r="L312" t="str">
        <f>IFERROR(__xludf.DUMMYFUNCTION("""COMPUTED_VALUE"""),"")</f>
        <v/>
      </c>
    </row>
    <row r="313" ht="15.75" customHeight="1">
      <c r="A313" t="str">
        <f>IFERROR(__xludf.DUMMYFUNCTION("""COMPUTED_VALUE"""),"PranaClient")</f>
        <v>PranaClient</v>
      </c>
      <c r="B313" t="str">
        <f>IFERROR(__xludf.DUMMYFUNCTION("""COMPUTED_VALUE"""),"UpdateClientConfig")</f>
        <v>UpdateClientConfig</v>
      </c>
      <c r="C313" t="str">
        <f>IFERROR(__xludf.DUMMYFUNCTION("""COMPUTED_VALUE"""),"1frY1LhLHMBPkCYhsVVAsBHFT2rlJyiEXFkSkzxH1Gds")</f>
        <v>1frY1LhLHMBPkCYhsVVAsBHFT2rlJyiEXFkSkzxH1Gds</v>
      </c>
      <c r="D313" t="str">
        <f>IFERROR(__xludf.DUMMYFUNCTION("""COMPUTED_VALUE"""),"")</f>
        <v/>
      </c>
      <c r="E313" t="str">
        <f>IFERROR(__xludf.DUMMYFUNCTION("""COMPUTED_VALUE"""),"")</f>
        <v/>
      </c>
      <c r="F313" t="str">
        <f>IFERROR(__xludf.DUMMYFUNCTION("""COMPUTED_VALUE"""),"")</f>
        <v/>
      </c>
      <c r="G313" t="str">
        <f>IFERROR(__xludf.DUMMYFUNCTION("""COMPUTED_VALUE"""),"")</f>
        <v/>
      </c>
      <c r="H313" t="str">
        <f>IFERROR(__xludf.DUMMYFUNCTION("""COMPUTED_VALUE"""),"")</f>
        <v/>
      </c>
      <c r="I313" t="str">
        <f>IFERROR(__xludf.DUMMYFUNCTION("""COMPUTED_VALUE"""),"")</f>
        <v/>
      </c>
      <c r="J313" t="str">
        <f>IFERROR(__xludf.DUMMYFUNCTION("""COMPUTED_VALUE"""),"")</f>
        <v/>
      </c>
      <c r="K313" t="str">
        <f>IFERROR(__xludf.DUMMYFUNCTION("""COMPUTED_VALUE"""),"")</f>
        <v/>
      </c>
      <c r="L313" t="str">
        <f>IFERROR(__xludf.DUMMYFUNCTION("""COMPUTED_VALUE"""),"")</f>
        <v/>
      </c>
    </row>
    <row r="314" ht="15.75" customHeight="1">
      <c r="A314" t="str">
        <f>IFERROR(__xludf.DUMMYFUNCTION("""COMPUTED_VALUE"""),"PortfolioManagement")</f>
        <v>PortfolioManagement</v>
      </c>
      <c r="B314" t="str">
        <f>IFERROR(__xludf.DUMMYFUNCTION("""COMPUTED_VALUE"""),"OpenCreateTransactionFromPM")</f>
        <v>OpenCreateTransactionFromPM</v>
      </c>
      <c r="C314" t="str">
        <f>IFERROR(__xludf.DUMMYFUNCTION("""COMPUTED_VALUE"""),"Undefined")</f>
        <v>Undefined</v>
      </c>
      <c r="D314" t="str">
        <f>IFERROR(__xludf.DUMMYFUNCTION("""COMPUTED_VALUE"""),"")</f>
        <v/>
      </c>
      <c r="E314" t="str">
        <f>IFERROR(__xludf.DUMMYFUNCTION("""COMPUTED_VALUE"""),"")</f>
        <v/>
      </c>
      <c r="F314" t="str">
        <f>IFERROR(__xludf.DUMMYFUNCTION("""COMPUTED_VALUE"""),"")</f>
        <v/>
      </c>
      <c r="G314" t="str">
        <f>IFERROR(__xludf.DUMMYFUNCTION("""COMPUTED_VALUE"""),"")</f>
        <v/>
      </c>
      <c r="H314" t="str">
        <f>IFERROR(__xludf.DUMMYFUNCTION("""COMPUTED_VALUE"""),"")</f>
        <v/>
      </c>
      <c r="I314" t="str">
        <f>IFERROR(__xludf.DUMMYFUNCTION("""COMPUTED_VALUE"""),"")</f>
        <v/>
      </c>
      <c r="J314" t="str">
        <f>IFERROR(__xludf.DUMMYFUNCTION("""COMPUTED_VALUE"""),"")</f>
        <v/>
      </c>
      <c r="K314" t="str">
        <f>IFERROR(__xludf.DUMMYFUNCTION("""COMPUTED_VALUE"""),"")</f>
        <v/>
      </c>
      <c r="L314" t="str">
        <f>IFERROR(__xludf.DUMMYFUNCTION("""COMPUTED_VALUE"""),"")</f>
        <v/>
      </c>
    </row>
    <row r="315" ht="15.75" customHeight="1">
      <c r="A315" t="str">
        <f>IFERROR(__xludf.DUMMYFUNCTION("""COMPUTED_VALUE"""),"PortfolioManagement")</f>
        <v>PortfolioManagement</v>
      </c>
      <c r="B315" t="str">
        <f>IFERROR(__xludf.DUMMYFUNCTION("""COMPUTED_VALUE"""),"OpenClosingFromPM")</f>
        <v>OpenClosingFromPM</v>
      </c>
      <c r="C315" t="str">
        <f>IFERROR(__xludf.DUMMYFUNCTION("""COMPUTED_VALUE"""),"Undefined")</f>
        <v>Undefined</v>
      </c>
      <c r="D315" t="str">
        <f>IFERROR(__xludf.DUMMYFUNCTION("""COMPUTED_VALUE"""),"")</f>
        <v/>
      </c>
      <c r="E315" t="str">
        <f>IFERROR(__xludf.DUMMYFUNCTION("""COMPUTED_VALUE"""),"")</f>
        <v/>
      </c>
      <c r="F315" t="str">
        <f>IFERROR(__xludf.DUMMYFUNCTION("""COMPUTED_VALUE"""),"")</f>
        <v/>
      </c>
      <c r="G315" t="str">
        <f>IFERROR(__xludf.DUMMYFUNCTION("""COMPUTED_VALUE"""),"")</f>
        <v/>
      </c>
      <c r="H315" t="str">
        <f>IFERROR(__xludf.DUMMYFUNCTION("""COMPUTED_VALUE"""),"")</f>
        <v/>
      </c>
      <c r="I315" t="str">
        <f>IFERROR(__xludf.DUMMYFUNCTION("""COMPUTED_VALUE"""),"")</f>
        <v/>
      </c>
      <c r="J315" t="str">
        <f>IFERROR(__xludf.DUMMYFUNCTION("""COMPUTED_VALUE"""),"")</f>
        <v/>
      </c>
      <c r="K315" t="str">
        <f>IFERROR(__xludf.DUMMYFUNCTION("""COMPUTED_VALUE"""),"")</f>
        <v/>
      </c>
      <c r="L315" t="str">
        <f>IFERROR(__xludf.DUMMYFUNCTION("""COMPUTED_VALUE"""),"")</f>
        <v/>
      </c>
    </row>
    <row r="316" ht="15.75" customHeight="1">
      <c r="A316" t="str">
        <f>IFERROR(__xludf.DUMMYFUNCTION("""COMPUTED_VALUE"""),"PortfolioManagement")</f>
        <v>PortfolioManagement</v>
      </c>
      <c r="B316" t="str">
        <f>IFERROR(__xludf.DUMMYFUNCTION("""COMPUTED_VALUE"""),"OpenCorporateActionFromPM")</f>
        <v>OpenCorporateActionFromPM</v>
      </c>
      <c r="C316" t="str">
        <f>IFERROR(__xludf.DUMMYFUNCTION("""COMPUTED_VALUE"""),"Undefined")</f>
        <v>Undefined</v>
      </c>
      <c r="D316" t="str">
        <f>IFERROR(__xludf.DUMMYFUNCTION("""COMPUTED_VALUE"""),"")</f>
        <v/>
      </c>
      <c r="E316" t="str">
        <f>IFERROR(__xludf.DUMMYFUNCTION("""COMPUTED_VALUE"""),"")</f>
        <v/>
      </c>
      <c r="F316" t="str">
        <f>IFERROR(__xludf.DUMMYFUNCTION("""COMPUTED_VALUE"""),"")</f>
        <v/>
      </c>
      <c r="G316" t="str">
        <f>IFERROR(__xludf.DUMMYFUNCTION("""COMPUTED_VALUE"""),"")</f>
        <v/>
      </c>
      <c r="H316" t="str">
        <f>IFERROR(__xludf.DUMMYFUNCTION("""COMPUTED_VALUE"""),"")</f>
        <v/>
      </c>
      <c r="I316" t="str">
        <f>IFERROR(__xludf.DUMMYFUNCTION("""COMPUTED_VALUE"""),"")</f>
        <v/>
      </c>
      <c r="J316" t="str">
        <f>IFERROR(__xludf.DUMMYFUNCTION("""COMPUTED_VALUE"""),"")</f>
        <v/>
      </c>
      <c r="K316" t="str">
        <f>IFERROR(__xludf.DUMMYFUNCTION("""COMPUTED_VALUE"""),"")</f>
        <v/>
      </c>
      <c r="L316" t="str">
        <f>IFERROR(__xludf.DUMMYFUNCTION("""COMPUTED_VALUE"""),"")</f>
        <v/>
      </c>
    </row>
    <row r="317" ht="15.75" customHeight="1">
      <c r="A317" t="str">
        <f>IFERROR(__xludf.DUMMYFUNCTION("""COMPUTED_VALUE"""),"PortfolioManagement")</f>
        <v>PortfolioManagement</v>
      </c>
      <c r="B317" t="str">
        <f>IFERROR(__xludf.DUMMYFUNCTION("""COMPUTED_VALUE"""),"OpenDailyValuationFromPM")</f>
        <v>OpenDailyValuationFromPM</v>
      </c>
      <c r="C317" t="str">
        <f>IFERROR(__xludf.DUMMYFUNCTION("""COMPUTED_VALUE"""),"Undefined")</f>
        <v>Undefined</v>
      </c>
      <c r="D317" t="str">
        <f>IFERROR(__xludf.DUMMYFUNCTION("""COMPUTED_VALUE"""),"")</f>
        <v/>
      </c>
      <c r="E317" t="str">
        <f>IFERROR(__xludf.DUMMYFUNCTION("""COMPUTED_VALUE"""),"")</f>
        <v/>
      </c>
      <c r="F317" t="str">
        <f>IFERROR(__xludf.DUMMYFUNCTION("""COMPUTED_VALUE"""),"")</f>
        <v/>
      </c>
      <c r="G317" t="str">
        <f>IFERROR(__xludf.DUMMYFUNCTION("""COMPUTED_VALUE"""),"")</f>
        <v/>
      </c>
      <c r="H317" t="str">
        <f>IFERROR(__xludf.DUMMYFUNCTION("""COMPUTED_VALUE"""),"")</f>
        <v/>
      </c>
      <c r="I317" t="str">
        <f>IFERROR(__xludf.DUMMYFUNCTION("""COMPUTED_VALUE"""),"")</f>
        <v/>
      </c>
      <c r="J317" t="str">
        <f>IFERROR(__xludf.DUMMYFUNCTION("""COMPUTED_VALUE"""),"")</f>
        <v/>
      </c>
      <c r="K317" t="str">
        <f>IFERROR(__xludf.DUMMYFUNCTION("""COMPUTED_VALUE"""),"")</f>
        <v/>
      </c>
      <c r="L317" t="str">
        <f>IFERROR(__xludf.DUMMYFUNCTION("""COMPUTED_VALUE"""),"")</f>
        <v/>
      </c>
    </row>
    <row r="318" ht="15.75" customHeight="1">
      <c r="A318" t="str">
        <f>IFERROR(__xludf.DUMMYFUNCTION("""COMPUTED_VALUE"""),"PortfolioManagement")</f>
        <v>PortfolioManagement</v>
      </c>
      <c r="B318" t="str">
        <f>IFERROR(__xludf.DUMMYFUNCTION("""COMPUTED_VALUE"""),"ClosePositionFromPM")</f>
        <v>ClosePositionFromPM</v>
      </c>
      <c r="C318" t="str">
        <f>IFERROR(__xludf.DUMMYFUNCTION("""COMPUTED_VALUE"""),"1hwn8YF0CJ2vMWiEWuMugnRzYhgCmVscoVCcOJ02qeec")</f>
        <v>1hwn8YF0CJ2vMWiEWuMugnRzYhgCmVscoVCcOJ02qeec</v>
      </c>
      <c r="D318" t="str">
        <f>IFERROR(__xludf.DUMMYFUNCTION("""COMPUTED_VALUE"""),"")</f>
        <v/>
      </c>
      <c r="E318" t="str">
        <f>IFERROR(__xludf.DUMMYFUNCTION("""COMPUTED_VALUE"""),"")</f>
        <v/>
      </c>
      <c r="F318" t="str">
        <f>IFERROR(__xludf.DUMMYFUNCTION("""COMPUTED_VALUE"""),"")</f>
        <v/>
      </c>
      <c r="G318" t="str">
        <f>IFERROR(__xludf.DUMMYFUNCTION("""COMPUTED_VALUE"""),"")</f>
        <v/>
      </c>
      <c r="H318" t="str">
        <f>IFERROR(__xludf.DUMMYFUNCTION("""COMPUTED_VALUE"""),"")</f>
        <v/>
      </c>
      <c r="I318" t="str">
        <f>IFERROR(__xludf.DUMMYFUNCTION("""COMPUTED_VALUE"""),"")</f>
        <v/>
      </c>
      <c r="J318" t="str">
        <f>IFERROR(__xludf.DUMMYFUNCTION("""COMPUTED_VALUE"""),"")</f>
        <v/>
      </c>
      <c r="K318" t="str">
        <f>IFERROR(__xludf.DUMMYFUNCTION("""COMPUTED_VALUE"""),"")</f>
        <v/>
      </c>
      <c r="L318" t="str">
        <f>IFERROR(__xludf.DUMMYFUNCTION("""COMPUTED_VALUE"""),"")</f>
        <v/>
      </c>
    </row>
    <row r="319" ht="15.75" customHeight="1">
      <c r="A319" t="str">
        <f>IFERROR(__xludf.DUMMYFUNCTION("""COMPUTED_VALUE"""),"PortfolioManagement")</f>
        <v>PortfolioManagement</v>
      </c>
      <c r="B319" t="str">
        <f>IFERROR(__xludf.DUMMYFUNCTION("""COMPUTED_VALUE"""),"ShowSummaryToolFromPM")</f>
        <v>ShowSummaryToolFromPM</v>
      </c>
      <c r="C319" t="str">
        <f>IFERROR(__xludf.DUMMYFUNCTION("""COMPUTED_VALUE"""),"Undefined")</f>
        <v>Undefined</v>
      </c>
      <c r="D319" t="str">
        <f>IFERROR(__xludf.DUMMYFUNCTION("""COMPUTED_VALUE"""),"")</f>
        <v/>
      </c>
      <c r="E319" t="str">
        <f>IFERROR(__xludf.DUMMYFUNCTION("""COMPUTED_VALUE"""),"")</f>
        <v/>
      </c>
      <c r="F319" t="str">
        <f>IFERROR(__xludf.DUMMYFUNCTION("""COMPUTED_VALUE"""),"")</f>
        <v/>
      </c>
      <c r="G319" t="str">
        <f>IFERROR(__xludf.DUMMYFUNCTION("""COMPUTED_VALUE"""),"")</f>
        <v/>
      </c>
      <c r="H319" t="str">
        <f>IFERROR(__xludf.DUMMYFUNCTION("""COMPUTED_VALUE"""),"")</f>
        <v/>
      </c>
      <c r="I319" t="str">
        <f>IFERROR(__xludf.DUMMYFUNCTION("""COMPUTED_VALUE"""),"")</f>
        <v/>
      </c>
      <c r="J319" t="str">
        <f>IFERROR(__xludf.DUMMYFUNCTION("""COMPUTED_VALUE"""),"")</f>
        <v/>
      </c>
      <c r="K319" t="str">
        <f>IFERROR(__xludf.DUMMYFUNCTION("""COMPUTED_VALUE"""),"")</f>
        <v/>
      </c>
      <c r="L319" t="str">
        <f>IFERROR(__xludf.DUMMYFUNCTION("""COMPUTED_VALUE"""),"")</f>
        <v/>
      </c>
    </row>
    <row r="320" ht="15.75" customHeight="1">
      <c r="A320" t="str">
        <f>IFERROR(__xludf.DUMMYFUNCTION("""COMPUTED_VALUE"""),"PortfolioManagement")</f>
        <v>PortfolioManagement</v>
      </c>
      <c r="B320" t="str">
        <f>IFERROR(__xludf.DUMMYFUNCTION("""COMPUTED_VALUE"""),"HideSummaryToolFromPM")</f>
        <v>HideSummaryToolFromPM</v>
      </c>
      <c r="C320" t="str">
        <f>IFERROR(__xludf.DUMMYFUNCTION("""COMPUTED_VALUE"""),"Undefined")</f>
        <v>Undefined</v>
      </c>
      <c r="D320" t="str">
        <f>IFERROR(__xludf.DUMMYFUNCTION("""COMPUTED_VALUE"""),"")</f>
        <v/>
      </c>
      <c r="E320" t="str">
        <f>IFERROR(__xludf.DUMMYFUNCTION("""COMPUTED_VALUE"""),"")</f>
        <v/>
      </c>
      <c r="F320" t="str">
        <f>IFERROR(__xludf.DUMMYFUNCTION("""COMPUTED_VALUE"""),"")</f>
        <v/>
      </c>
      <c r="G320" t="str">
        <f>IFERROR(__xludf.DUMMYFUNCTION("""COMPUTED_VALUE"""),"")</f>
        <v/>
      </c>
      <c r="H320" t="str">
        <f>IFERROR(__xludf.DUMMYFUNCTION("""COMPUTED_VALUE"""),"")</f>
        <v/>
      </c>
      <c r="I320" t="str">
        <f>IFERROR(__xludf.DUMMYFUNCTION("""COMPUTED_VALUE"""),"")</f>
        <v/>
      </c>
      <c r="J320" t="str">
        <f>IFERROR(__xludf.DUMMYFUNCTION("""COMPUTED_VALUE"""),"")</f>
        <v/>
      </c>
      <c r="K320" t="str">
        <f>IFERROR(__xludf.DUMMYFUNCTION("""COMPUTED_VALUE"""),"")</f>
        <v/>
      </c>
      <c r="L320" t="str">
        <f>IFERROR(__xludf.DUMMYFUNCTION("""COMPUTED_VALUE"""),"")</f>
        <v/>
      </c>
    </row>
    <row r="321" ht="15.75" customHeight="1">
      <c r="A321" t="str">
        <f>IFERROR(__xludf.DUMMYFUNCTION("""COMPUTED_VALUE"""),"PortfolioManagement")</f>
        <v>PortfolioManagement</v>
      </c>
      <c r="B321" t="str">
        <f>IFERROR(__xludf.DUMMYFUNCTION("""COMPUTED_VALUE"""),"CloseAccountPositionFromPM")</f>
        <v>CloseAccountPositionFromPM</v>
      </c>
      <c r="C321" t="str">
        <f>IFERROR(__xludf.DUMMYFUNCTION("""COMPUTED_VALUE"""),"16e4g-RAoYjoWitnDJ9y3fFYf3SAe4_CsF6ky1sSABkc")</f>
        <v>16e4g-RAoYjoWitnDJ9y3fFYf3SAe4_CsF6ky1sSABkc</v>
      </c>
      <c r="D321" t="str">
        <f>IFERROR(__xludf.DUMMYFUNCTION("""COMPUTED_VALUE"""),"")</f>
        <v/>
      </c>
      <c r="E321" t="str">
        <f>IFERROR(__xludf.DUMMYFUNCTION("""COMPUTED_VALUE"""),"")</f>
        <v/>
      </c>
      <c r="F321" t="str">
        <f>IFERROR(__xludf.DUMMYFUNCTION("""COMPUTED_VALUE"""),"")</f>
        <v/>
      </c>
      <c r="G321" t="str">
        <f>IFERROR(__xludf.DUMMYFUNCTION("""COMPUTED_VALUE"""),"")</f>
        <v/>
      </c>
      <c r="H321" t="str">
        <f>IFERROR(__xludf.DUMMYFUNCTION("""COMPUTED_VALUE"""),"")</f>
        <v/>
      </c>
      <c r="I321" t="str">
        <f>IFERROR(__xludf.DUMMYFUNCTION("""COMPUTED_VALUE"""),"")</f>
        <v/>
      </c>
      <c r="J321" t="str">
        <f>IFERROR(__xludf.DUMMYFUNCTION("""COMPUTED_VALUE"""),"")</f>
        <v/>
      </c>
      <c r="K321" t="str">
        <f>IFERROR(__xludf.DUMMYFUNCTION("""COMPUTED_VALUE"""),"")</f>
        <v/>
      </c>
      <c r="L321" t="str">
        <f>IFERROR(__xludf.DUMMYFUNCTION("""COMPUTED_VALUE"""),"")</f>
        <v/>
      </c>
    </row>
    <row r="322" ht="15.75" customHeight="1">
      <c r="A322" t="str">
        <f>IFERROR(__xludf.DUMMYFUNCTION("""COMPUTED_VALUE"""),"PortfolioManagement")</f>
        <v>PortfolioManagement</v>
      </c>
      <c r="B322" t="str">
        <f>IFERROR(__xludf.DUMMYFUNCTION("""COMPUTED_VALUE"""),"CloseSelectedTaxlotsFromPM")</f>
        <v>CloseSelectedTaxlotsFromPM</v>
      </c>
      <c r="C322" t="str">
        <f>IFERROR(__xludf.DUMMYFUNCTION("""COMPUTED_VALUE"""),"1hAoKGRhAfXB8jHJT_UcDFw8-xg_dAOnRuzX6lewOyc4")</f>
        <v>1hAoKGRhAfXB8jHJT_UcDFw8-xg_dAOnRuzX6lewOyc4</v>
      </c>
      <c r="D322" t="str">
        <f>IFERROR(__xludf.DUMMYFUNCTION("""COMPUTED_VALUE"""),"")</f>
        <v/>
      </c>
      <c r="E322" t="str">
        <f>IFERROR(__xludf.DUMMYFUNCTION("""COMPUTED_VALUE"""),"")</f>
        <v/>
      </c>
      <c r="F322" t="str">
        <f>IFERROR(__xludf.DUMMYFUNCTION("""COMPUTED_VALUE"""),"")</f>
        <v/>
      </c>
      <c r="G322" t="str">
        <f>IFERROR(__xludf.DUMMYFUNCTION("""COMPUTED_VALUE"""),"")</f>
        <v/>
      </c>
      <c r="H322" t="str">
        <f>IFERROR(__xludf.DUMMYFUNCTION("""COMPUTED_VALUE"""),"")</f>
        <v/>
      </c>
      <c r="I322" t="str">
        <f>IFERROR(__xludf.DUMMYFUNCTION("""COMPUTED_VALUE"""),"")</f>
        <v/>
      </c>
      <c r="J322" t="str">
        <f>IFERROR(__xludf.DUMMYFUNCTION("""COMPUTED_VALUE"""),"")</f>
        <v/>
      </c>
      <c r="K322" t="str">
        <f>IFERROR(__xludf.DUMMYFUNCTION("""COMPUTED_VALUE"""),"")</f>
        <v/>
      </c>
      <c r="L322" t="str">
        <f>IFERROR(__xludf.DUMMYFUNCTION("""COMPUTED_VALUE"""),"")</f>
        <v/>
      </c>
    </row>
    <row r="323" ht="15.75" customHeight="1">
      <c r="A323" t="str">
        <f>IFERROR(__xludf.DUMMYFUNCTION("""COMPUTED_VALUE"""),"PortfolioManagement")</f>
        <v>PortfolioManagement</v>
      </c>
      <c r="B323" t="str">
        <f>IFERROR(__xludf.DUMMYFUNCTION("""COMPUTED_VALUE"""),"ExpandCollapsePM")</f>
        <v>ExpandCollapsePM</v>
      </c>
      <c r="C323" t="str">
        <f>IFERROR(__xludf.DUMMYFUNCTION("""COMPUTED_VALUE"""),"Undefined")</f>
        <v>Undefined</v>
      </c>
      <c r="D323" t="str">
        <f>IFERROR(__xludf.DUMMYFUNCTION("""COMPUTED_VALUE"""),"")</f>
        <v/>
      </c>
      <c r="E323" t="str">
        <f>IFERROR(__xludf.DUMMYFUNCTION("""COMPUTED_VALUE"""),"")</f>
        <v/>
      </c>
      <c r="F323" t="str">
        <f>IFERROR(__xludf.DUMMYFUNCTION("""COMPUTED_VALUE"""),"")</f>
        <v/>
      </c>
      <c r="G323" t="str">
        <f>IFERROR(__xludf.DUMMYFUNCTION("""COMPUTED_VALUE"""),"")</f>
        <v/>
      </c>
      <c r="H323" t="str">
        <f>IFERROR(__xludf.DUMMYFUNCTION("""COMPUTED_VALUE"""),"")</f>
        <v/>
      </c>
      <c r="I323" t="str">
        <f>IFERROR(__xludf.DUMMYFUNCTION("""COMPUTED_VALUE"""),"")</f>
        <v/>
      </c>
      <c r="J323" t="str">
        <f>IFERROR(__xludf.DUMMYFUNCTION("""COMPUTED_VALUE"""),"")</f>
        <v/>
      </c>
      <c r="K323" t="str">
        <f>IFERROR(__xludf.DUMMYFUNCTION("""COMPUTED_VALUE"""),"")</f>
        <v/>
      </c>
      <c r="L323" t="str">
        <f>IFERROR(__xludf.DUMMYFUNCTION("""COMPUTED_VALUE"""),"")</f>
        <v/>
      </c>
    </row>
    <row r="324" ht="15.75" customHeight="1">
      <c r="A324" t="str">
        <f>IFERROR(__xludf.DUMMYFUNCTION("""COMPUTED_VALUE"""),"PortfolioManagement")</f>
        <v>PortfolioManagement</v>
      </c>
      <c r="B324" t="str">
        <f>IFERROR(__xludf.DUMMYFUNCTION("""COMPUTED_VALUE"""),"AddCustomViewPM")</f>
        <v>AddCustomViewPM</v>
      </c>
      <c r="C324" t="str">
        <f>IFERROR(__xludf.DUMMYFUNCTION("""COMPUTED_VALUE"""),"1gSE_3bNggHmnsbG6fS9t4pXwl5etTuSELL1JWFBMCMo")</f>
        <v>1gSE_3bNggHmnsbG6fS9t4pXwl5etTuSELL1JWFBMCMo</v>
      </c>
      <c r="D324" t="str">
        <f>IFERROR(__xludf.DUMMYFUNCTION("""COMPUTED_VALUE"""),"")</f>
        <v/>
      </c>
      <c r="E324" t="str">
        <f>IFERROR(__xludf.DUMMYFUNCTION("""COMPUTED_VALUE"""),"")</f>
        <v/>
      </c>
      <c r="F324" t="str">
        <f>IFERROR(__xludf.DUMMYFUNCTION("""COMPUTED_VALUE"""),"")</f>
        <v/>
      </c>
      <c r="G324" t="str">
        <f>IFERROR(__xludf.DUMMYFUNCTION("""COMPUTED_VALUE"""),"")</f>
        <v/>
      </c>
      <c r="H324" t="str">
        <f>IFERROR(__xludf.DUMMYFUNCTION("""COMPUTED_VALUE"""),"")</f>
        <v/>
      </c>
      <c r="I324" t="str">
        <f>IFERROR(__xludf.DUMMYFUNCTION("""COMPUTED_VALUE"""),"")</f>
        <v/>
      </c>
      <c r="J324" t="str">
        <f>IFERROR(__xludf.DUMMYFUNCTION("""COMPUTED_VALUE"""),"")</f>
        <v/>
      </c>
      <c r="K324" t="str">
        <f>IFERROR(__xludf.DUMMYFUNCTION("""COMPUTED_VALUE"""),"")</f>
        <v/>
      </c>
      <c r="L324" t="str">
        <f>IFERROR(__xludf.DUMMYFUNCTION("""COMPUTED_VALUE"""),"")</f>
        <v/>
      </c>
    </row>
    <row r="325" ht="15.75" customHeight="1">
      <c r="A325" t="str">
        <f>IFERROR(__xludf.DUMMYFUNCTION("""COMPUTED_VALUE"""),"PortfolioManagement")</f>
        <v>PortfolioManagement</v>
      </c>
      <c r="B325" t="str">
        <f>IFERROR(__xludf.DUMMYFUNCTION("""COMPUTED_VALUE"""),"AddCustomViewRightClickPM")</f>
        <v>AddCustomViewRightClickPM</v>
      </c>
      <c r="C325" t="str">
        <f>IFERROR(__xludf.DUMMYFUNCTION("""COMPUTED_VALUE"""),"1mVIjr7WiCUI_8T1Nu9kLLd9RyRky8B0dpiVPi39wPsQ")</f>
        <v>1mVIjr7WiCUI_8T1Nu9kLLd9RyRky8B0dpiVPi39wPsQ</v>
      </c>
      <c r="D325" t="str">
        <f>IFERROR(__xludf.DUMMYFUNCTION("""COMPUTED_VALUE"""),"")</f>
        <v/>
      </c>
      <c r="E325" t="str">
        <f>IFERROR(__xludf.DUMMYFUNCTION("""COMPUTED_VALUE"""),"")</f>
        <v/>
      </c>
      <c r="F325" t="str">
        <f>IFERROR(__xludf.DUMMYFUNCTION("""COMPUTED_VALUE"""),"")</f>
        <v/>
      </c>
      <c r="G325" t="str">
        <f>IFERROR(__xludf.DUMMYFUNCTION("""COMPUTED_VALUE"""),"")</f>
        <v/>
      </c>
      <c r="H325" t="str">
        <f>IFERROR(__xludf.DUMMYFUNCTION("""COMPUTED_VALUE"""),"")</f>
        <v/>
      </c>
      <c r="I325" t="str">
        <f>IFERROR(__xludf.DUMMYFUNCTION("""COMPUTED_VALUE"""),"")</f>
        <v/>
      </c>
      <c r="J325" t="str">
        <f>IFERROR(__xludf.DUMMYFUNCTION("""COMPUTED_VALUE"""),"")</f>
        <v/>
      </c>
      <c r="K325" t="str">
        <f>IFERROR(__xludf.DUMMYFUNCTION("""COMPUTED_VALUE"""),"")</f>
        <v/>
      </c>
      <c r="L325" t="str">
        <f>IFERROR(__xludf.DUMMYFUNCTION("""COMPUTED_VALUE"""),"")</f>
        <v/>
      </c>
    </row>
    <row r="326" ht="15.75" customHeight="1">
      <c r="A326" t="str">
        <f>IFERROR(__xludf.DUMMYFUNCTION("""COMPUTED_VALUE"""),"PortfolioManagement")</f>
        <v>PortfolioManagement</v>
      </c>
      <c r="B326" t="str">
        <f>IFERROR(__xludf.DUMMYFUNCTION("""COMPUTED_VALUE"""),"RenameCustomViewPM")</f>
        <v>RenameCustomViewPM</v>
      </c>
      <c r="C326" t="str">
        <f>IFERROR(__xludf.DUMMYFUNCTION("""COMPUTED_VALUE"""),"1SPVn3fs4LD-sB1fNGx0hjylZj_EPXAuPw12tQSsykLE")</f>
        <v>1SPVn3fs4LD-sB1fNGx0hjylZj_EPXAuPw12tQSsykLE</v>
      </c>
      <c r="D326" t="str">
        <f>IFERROR(__xludf.DUMMYFUNCTION("""COMPUTED_VALUE"""),"")</f>
        <v/>
      </c>
      <c r="E326" t="str">
        <f>IFERROR(__xludf.DUMMYFUNCTION("""COMPUTED_VALUE"""),"")</f>
        <v/>
      </c>
      <c r="F326" t="str">
        <f>IFERROR(__xludf.DUMMYFUNCTION("""COMPUTED_VALUE"""),"")</f>
        <v/>
      </c>
      <c r="G326" t="str">
        <f>IFERROR(__xludf.DUMMYFUNCTION("""COMPUTED_VALUE"""),"")</f>
        <v/>
      </c>
      <c r="H326" t="str">
        <f>IFERROR(__xludf.DUMMYFUNCTION("""COMPUTED_VALUE"""),"")</f>
        <v/>
      </c>
      <c r="I326" t="str">
        <f>IFERROR(__xludf.DUMMYFUNCTION("""COMPUTED_VALUE"""),"")</f>
        <v/>
      </c>
      <c r="J326" t="str">
        <f>IFERROR(__xludf.DUMMYFUNCTION("""COMPUTED_VALUE"""),"")</f>
        <v/>
      </c>
      <c r="K326" t="str">
        <f>IFERROR(__xludf.DUMMYFUNCTION("""COMPUTED_VALUE"""),"")</f>
        <v/>
      </c>
      <c r="L326" t="str">
        <f>IFERROR(__xludf.DUMMYFUNCTION("""COMPUTED_VALUE"""),"")</f>
        <v/>
      </c>
    </row>
    <row r="327" ht="15.75" customHeight="1">
      <c r="A327" t="str">
        <f>IFERROR(__xludf.DUMMYFUNCTION("""COMPUTED_VALUE"""),"PortfolioManagement")</f>
        <v>PortfolioManagement</v>
      </c>
      <c r="B327" t="str">
        <f>IFERROR(__xludf.DUMMYFUNCTION("""COMPUTED_VALUE"""),"DeleteCustomViewPM")</f>
        <v>DeleteCustomViewPM</v>
      </c>
      <c r="C327" t="str">
        <f>IFERROR(__xludf.DUMMYFUNCTION("""COMPUTED_VALUE"""),"1EvRy_aXh9WrXyZvrkdk38cDpdJw5quK_eZf3ga9Uq-0")</f>
        <v>1EvRy_aXh9WrXyZvrkdk38cDpdJw5quK_eZf3ga9Uq-0</v>
      </c>
      <c r="D327" t="str">
        <f>IFERROR(__xludf.DUMMYFUNCTION("""COMPUTED_VALUE"""),"")</f>
        <v/>
      </c>
      <c r="E327" t="str">
        <f>IFERROR(__xludf.DUMMYFUNCTION("""COMPUTED_VALUE"""),"")</f>
        <v/>
      </c>
      <c r="F327" t="str">
        <f>IFERROR(__xludf.DUMMYFUNCTION("""COMPUTED_VALUE"""),"")</f>
        <v/>
      </c>
      <c r="G327" t="str">
        <f>IFERROR(__xludf.DUMMYFUNCTION("""COMPUTED_VALUE"""),"")</f>
        <v/>
      </c>
      <c r="H327" t="str">
        <f>IFERROR(__xludf.DUMMYFUNCTION("""COMPUTED_VALUE"""),"")</f>
        <v/>
      </c>
      <c r="I327" t="str">
        <f>IFERROR(__xludf.DUMMYFUNCTION("""COMPUTED_VALUE"""),"")</f>
        <v/>
      </c>
      <c r="J327" t="str">
        <f>IFERROR(__xludf.DUMMYFUNCTION("""COMPUTED_VALUE"""),"")</f>
        <v/>
      </c>
      <c r="K327" t="str">
        <f>IFERROR(__xludf.DUMMYFUNCTION("""COMPUTED_VALUE"""),"")</f>
        <v/>
      </c>
      <c r="L327" t="str">
        <f>IFERROR(__xludf.DUMMYFUNCTION("""COMPUTED_VALUE"""),"")</f>
        <v/>
      </c>
    </row>
    <row r="328" ht="15.75" customHeight="1">
      <c r="A328" t="str">
        <f>IFERROR(__xludf.DUMMYFUNCTION("""COMPUTED_VALUE"""),"Closing")</f>
        <v>Closing</v>
      </c>
      <c r="B328" t="str">
        <f>IFERROR(__xludf.DUMMYFUNCTION("""COMPUTED_VALUE"""),"SetClosingPreference")</f>
        <v>SetClosingPreference</v>
      </c>
      <c r="C328" t="str">
        <f>IFERROR(__xludf.DUMMYFUNCTION("""COMPUTED_VALUE"""),"1pC4k61XEpSu9UFhSg1vDsoE5sNKd6oFM8IQAnmCT3IA")</f>
        <v>1pC4k61XEpSu9UFhSg1vDsoE5sNKd6oFM8IQAnmCT3IA</v>
      </c>
      <c r="D328" t="str">
        <f>IFERROR(__xludf.DUMMYFUNCTION("""COMPUTED_VALUE"""),"")</f>
        <v/>
      </c>
      <c r="E328" t="str">
        <f>IFERROR(__xludf.DUMMYFUNCTION("""COMPUTED_VALUE"""),"")</f>
        <v/>
      </c>
      <c r="F328" t="str">
        <f>IFERROR(__xludf.DUMMYFUNCTION("""COMPUTED_VALUE"""),"")</f>
        <v/>
      </c>
      <c r="G328" t="str">
        <f>IFERROR(__xludf.DUMMYFUNCTION("""COMPUTED_VALUE"""),"")</f>
        <v/>
      </c>
      <c r="H328" t="str">
        <f>IFERROR(__xludf.DUMMYFUNCTION("""COMPUTED_VALUE"""),"")</f>
        <v/>
      </c>
      <c r="I328" t="str">
        <f>IFERROR(__xludf.DUMMYFUNCTION("""COMPUTED_VALUE"""),"")</f>
        <v/>
      </c>
      <c r="J328" t="str">
        <f>IFERROR(__xludf.DUMMYFUNCTION("""COMPUTED_VALUE"""),"")</f>
        <v/>
      </c>
      <c r="K328" t="str">
        <f>IFERROR(__xludf.DUMMYFUNCTION("""COMPUTED_VALUE"""),"")</f>
        <v/>
      </c>
      <c r="L328" t="str">
        <f>IFERROR(__xludf.DUMMYFUNCTION("""COMPUTED_VALUE"""),"")</f>
        <v/>
      </c>
    </row>
    <row r="329" ht="15.75" customHeight="1">
      <c r="A329" t="str">
        <f>IFERROR(__xludf.DUMMYFUNCTION("""COMPUTED_VALUE"""),"CreateTransaction")</f>
        <v>CreateTransaction</v>
      </c>
      <c r="B329" t="str">
        <f>IFERROR(__xludf.DUMMYFUNCTION("""COMPUTED_VALUE"""),"SaveTransaction")</f>
        <v>SaveTransaction</v>
      </c>
      <c r="C329" t="str">
        <f>IFERROR(__xludf.DUMMYFUNCTION("""COMPUTED_VALUE"""),"Undefined")</f>
        <v>Undefined</v>
      </c>
      <c r="D329" t="str">
        <f>IFERROR(__xludf.DUMMYFUNCTION("""COMPUTED_VALUE"""),"")</f>
        <v/>
      </c>
      <c r="E329" t="str">
        <f>IFERROR(__xludf.DUMMYFUNCTION("""COMPUTED_VALUE"""),"")</f>
        <v/>
      </c>
      <c r="F329" t="str">
        <f>IFERROR(__xludf.DUMMYFUNCTION("""COMPUTED_VALUE"""),"")</f>
        <v/>
      </c>
      <c r="G329" t="str">
        <f>IFERROR(__xludf.DUMMYFUNCTION("""COMPUTED_VALUE"""),"")</f>
        <v/>
      </c>
      <c r="H329" t="str">
        <f>IFERROR(__xludf.DUMMYFUNCTION("""COMPUTED_VALUE"""),"")</f>
        <v/>
      </c>
      <c r="I329" t="str">
        <f>IFERROR(__xludf.DUMMYFUNCTION("""COMPUTED_VALUE"""),"")</f>
        <v/>
      </c>
      <c r="J329" t="str">
        <f>IFERROR(__xludf.DUMMYFUNCTION("""COMPUTED_VALUE"""),"")</f>
        <v/>
      </c>
      <c r="K329" t="str">
        <f>IFERROR(__xludf.DUMMYFUNCTION("""COMPUTED_VALUE"""),"")</f>
        <v/>
      </c>
      <c r="L329" t="str">
        <f>IFERROR(__xludf.DUMMYFUNCTION("""COMPUTED_VALUE"""),"")</f>
        <v/>
      </c>
    </row>
    <row r="330" ht="15.75" customHeight="1">
      <c r="A330" t="str">
        <f>IFERROR(__xludf.DUMMYFUNCTION("""COMPUTED_VALUE"""),"Allocation")</f>
        <v>Allocation</v>
      </c>
      <c r="B330" t="str">
        <f>IFERROR(__xludf.DUMMYFUNCTION("""COMPUTED_VALUE"""),"EditUnallocatedGrid")</f>
        <v>EditUnallocatedGrid</v>
      </c>
      <c r="C330" t="str">
        <f>IFERROR(__xludf.DUMMYFUNCTION("""COMPUTED_VALUE"""),"1r-jMuudozlz8r2zrwJ2PjOPCk616iGWZcBg4_ad6oSg")</f>
        <v>1r-jMuudozlz8r2zrwJ2PjOPCk616iGWZcBg4_ad6oSg</v>
      </c>
      <c r="D330" t="str">
        <f>IFERROR(__xludf.DUMMYFUNCTION("""COMPUTED_VALUE"""),"")</f>
        <v/>
      </c>
      <c r="E330" t="str">
        <f>IFERROR(__xludf.DUMMYFUNCTION("""COMPUTED_VALUE"""),"")</f>
        <v/>
      </c>
      <c r="F330" t="str">
        <f>IFERROR(__xludf.DUMMYFUNCTION("""COMPUTED_VALUE"""),"")</f>
        <v/>
      </c>
      <c r="G330" t="str">
        <f>IFERROR(__xludf.DUMMYFUNCTION("""COMPUTED_VALUE"""),"")</f>
        <v/>
      </c>
      <c r="H330" t="str">
        <f>IFERROR(__xludf.DUMMYFUNCTION("""COMPUTED_VALUE"""),"")</f>
        <v/>
      </c>
      <c r="I330" t="str">
        <f>IFERROR(__xludf.DUMMYFUNCTION("""COMPUTED_VALUE"""),"")</f>
        <v/>
      </c>
      <c r="J330" t="str">
        <f>IFERROR(__xludf.DUMMYFUNCTION("""COMPUTED_VALUE"""),"")</f>
        <v/>
      </c>
      <c r="K330" t="str">
        <f>IFERROR(__xludf.DUMMYFUNCTION("""COMPUTED_VALUE"""),"")</f>
        <v/>
      </c>
      <c r="L330" t="str">
        <f>IFERROR(__xludf.DUMMYFUNCTION("""COMPUTED_VALUE"""),"")</f>
        <v/>
      </c>
    </row>
    <row r="331" ht="15.75" customHeight="1">
      <c r="A331" t="str">
        <f>IFERROR(__xludf.DUMMYFUNCTION("""COMPUTED_VALUE"""),"Allocation")</f>
        <v>Allocation</v>
      </c>
      <c r="B331" t="str">
        <f>IFERROR(__xludf.DUMMYFUNCTION("""COMPUTED_VALUE"""),"EditAllocatedGrid")</f>
        <v>EditAllocatedGrid</v>
      </c>
      <c r="C331" t="str">
        <f>IFERROR(__xludf.DUMMYFUNCTION("""COMPUTED_VALUE"""),"1jrQw598shWWXw6ZjU8Px2JuS2qONwaexZdAGHbU5sdM")</f>
        <v>1jrQw598shWWXw6ZjU8Px2JuS2qONwaexZdAGHbU5sdM</v>
      </c>
      <c r="D331" t="str">
        <f>IFERROR(__xludf.DUMMYFUNCTION("""COMPUTED_VALUE"""),"")</f>
        <v/>
      </c>
      <c r="E331" t="str">
        <f>IFERROR(__xludf.DUMMYFUNCTION("""COMPUTED_VALUE"""),"")</f>
        <v/>
      </c>
      <c r="F331" t="str">
        <f>IFERROR(__xludf.DUMMYFUNCTION("""COMPUTED_VALUE"""),"")</f>
        <v/>
      </c>
      <c r="G331" t="str">
        <f>IFERROR(__xludf.DUMMYFUNCTION("""COMPUTED_VALUE"""),"")</f>
        <v/>
      </c>
      <c r="H331" t="str">
        <f>IFERROR(__xludf.DUMMYFUNCTION("""COMPUTED_VALUE"""),"")</f>
        <v/>
      </c>
      <c r="I331" t="str">
        <f>IFERROR(__xludf.DUMMYFUNCTION("""COMPUTED_VALUE"""),"")</f>
        <v/>
      </c>
      <c r="J331" t="str">
        <f>IFERROR(__xludf.DUMMYFUNCTION("""COMPUTED_VALUE"""),"")</f>
        <v/>
      </c>
      <c r="K331" t="str">
        <f>IFERROR(__xludf.DUMMYFUNCTION("""COMPUTED_VALUE"""),"")</f>
        <v/>
      </c>
      <c r="L331" t="str">
        <f>IFERROR(__xludf.DUMMYFUNCTION("""COMPUTED_VALUE"""),"")</f>
        <v/>
      </c>
    </row>
    <row r="332" ht="15.75" customHeight="1">
      <c r="A332" t="str">
        <f>IFERROR(__xludf.DUMMYFUNCTION("""COMPUTED_VALUE"""),"PTT")</f>
        <v>PTT</v>
      </c>
      <c r="B332" t="str">
        <f>IFERROR(__xludf.DUMMYFUNCTION("""COMPUTED_VALUE"""),"SetPTTPreference")</f>
        <v>SetPTTPreference</v>
      </c>
      <c r="C332" t="str">
        <f>IFERROR(__xludf.DUMMYFUNCTION("""COMPUTED_VALUE"""),"1EDJvzKHMHo1Dv3IYf4bbQ2XiEIL8o1Wsf4PwuQirIEM")</f>
        <v>1EDJvzKHMHo1Dv3IYf4bbQ2XiEIL8o1Wsf4PwuQirIEM</v>
      </c>
      <c r="D332" t="str">
        <f>IFERROR(__xludf.DUMMYFUNCTION("""COMPUTED_VALUE"""),"")</f>
        <v/>
      </c>
      <c r="E332" t="str">
        <f>IFERROR(__xludf.DUMMYFUNCTION("""COMPUTED_VALUE"""),"")</f>
        <v/>
      </c>
      <c r="F332" t="str">
        <f>IFERROR(__xludf.DUMMYFUNCTION("""COMPUTED_VALUE"""),"")</f>
        <v/>
      </c>
      <c r="G332" t="str">
        <f>IFERROR(__xludf.DUMMYFUNCTION("""COMPUTED_VALUE"""),"")</f>
        <v/>
      </c>
      <c r="H332" t="str">
        <f>IFERROR(__xludf.DUMMYFUNCTION("""COMPUTED_VALUE"""),"")</f>
        <v/>
      </c>
      <c r="I332" t="str">
        <f>IFERROR(__xludf.DUMMYFUNCTION("""COMPUTED_VALUE"""),"")</f>
        <v/>
      </c>
      <c r="J332" t="str">
        <f>IFERROR(__xludf.DUMMYFUNCTION("""COMPUTED_VALUE"""),"")</f>
        <v/>
      </c>
      <c r="K332" t="str">
        <f>IFERROR(__xludf.DUMMYFUNCTION("""COMPUTED_VALUE"""),"")</f>
        <v/>
      </c>
      <c r="L332" t="str">
        <f>IFERROR(__xludf.DUMMYFUNCTION("""COMPUTED_VALUE"""),"")</f>
        <v/>
      </c>
    </row>
    <row r="333" ht="15.75" customHeight="1">
      <c r="A333" t="str">
        <f>IFERROR(__xludf.DUMMYFUNCTION("""COMPUTED_VALUE"""),"PTT")</f>
        <v>PTT</v>
      </c>
      <c r="B333" t="str">
        <f>IFERROR(__xludf.DUMMYFUNCTION("""COMPUTED_VALUE"""),"SetLongShortPTTPreference")</f>
        <v>SetLongShortPTTPreference</v>
      </c>
      <c r="C333" t="str">
        <f>IFERROR(__xludf.DUMMYFUNCTION("""COMPUTED_VALUE"""),"1VRK3w9-AlLx6tene3e2MfXjazMUBDHk-xx5pfFTsprs")</f>
        <v>1VRK3w9-AlLx6tene3e2MfXjazMUBDHk-xx5pfFTsprs</v>
      </c>
      <c r="D333" t="str">
        <f>IFERROR(__xludf.DUMMYFUNCTION("""COMPUTED_VALUE"""),"")</f>
        <v/>
      </c>
      <c r="E333" t="str">
        <f>IFERROR(__xludf.DUMMYFUNCTION("""COMPUTED_VALUE"""),"")</f>
        <v/>
      </c>
      <c r="F333" t="str">
        <f>IFERROR(__xludf.DUMMYFUNCTION("""COMPUTED_VALUE"""),"")</f>
        <v/>
      </c>
      <c r="G333" t="str">
        <f>IFERROR(__xludf.DUMMYFUNCTION("""COMPUTED_VALUE"""),"")</f>
        <v/>
      </c>
      <c r="H333" t="str">
        <f>IFERROR(__xludf.DUMMYFUNCTION("""COMPUTED_VALUE"""),"")</f>
        <v/>
      </c>
      <c r="I333" t="str">
        <f>IFERROR(__xludf.DUMMYFUNCTION("""COMPUTED_VALUE"""),"")</f>
        <v/>
      </c>
      <c r="J333" t="str">
        <f>IFERROR(__xludf.DUMMYFUNCTION("""COMPUTED_VALUE"""),"")</f>
        <v/>
      </c>
      <c r="K333" t="str">
        <f>IFERROR(__xludf.DUMMYFUNCTION("""COMPUTED_VALUE"""),"")</f>
        <v/>
      </c>
      <c r="L333" t="str">
        <f>IFERROR(__xludf.DUMMYFUNCTION("""COMPUTED_VALUE"""),"")</f>
        <v/>
      </c>
    </row>
    <row r="334" ht="15.75" customHeight="1">
      <c r="A334" t="str">
        <f>IFERROR(__xludf.DUMMYFUNCTION("""COMPUTED_VALUE"""),"TradingTicket")</f>
        <v>TradingTicket</v>
      </c>
      <c r="B334" t="str">
        <f>IFERROR(__xludf.DUMMYFUNCTION("""COMPUTED_VALUE"""),"VerifyTT")</f>
        <v>VerifyTT</v>
      </c>
      <c r="C334" t="str">
        <f>IFERROR(__xludf.DUMMYFUNCTION("""COMPUTED_VALUE"""),"1Y-B9aR4y4vzlZUqWLoxW-jKdnha_AYEBG-4WGQ_19hk")</f>
        <v>1Y-B9aR4y4vzlZUqWLoxW-jKdnha_AYEBG-4WGQ_19hk</v>
      </c>
      <c r="D334" t="str">
        <f>IFERROR(__xludf.DUMMYFUNCTION("""COMPUTED_VALUE"""),"")</f>
        <v/>
      </c>
      <c r="E334" t="str">
        <f>IFERROR(__xludf.DUMMYFUNCTION("""COMPUTED_VALUE"""),"")</f>
        <v/>
      </c>
      <c r="F334" t="str">
        <f>IFERROR(__xludf.DUMMYFUNCTION("""COMPUTED_VALUE"""),"")</f>
        <v/>
      </c>
      <c r="G334" t="str">
        <f>IFERROR(__xludf.DUMMYFUNCTION("""COMPUTED_VALUE"""),"")</f>
        <v/>
      </c>
      <c r="H334" t="str">
        <f>IFERROR(__xludf.DUMMYFUNCTION("""COMPUTED_VALUE"""),"")</f>
        <v/>
      </c>
      <c r="I334" t="str">
        <f>IFERROR(__xludf.DUMMYFUNCTION("""COMPUTED_VALUE"""),"")</f>
        <v/>
      </c>
      <c r="J334" t="str">
        <f>IFERROR(__xludf.DUMMYFUNCTION("""COMPUTED_VALUE"""),"")</f>
        <v/>
      </c>
      <c r="K334" t="str">
        <f>IFERROR(__xludf.DUMMYFUNCTION("""COMPUTED_VALUE"""),"")</f>
        <v/>
      </c>
      <c r="L334" t="str">
        <f>IFERROR(__xludf.DUMMYFUNCTION("""COMPUTED_VALUE"""),"")</f>
        <v/>
      </c>
    </row>
    <row r="335" ht="15.75" customHeight="1">
      <c r="A335" t="str">
        <f>IFERROR(__xludf.DUMMYFUNCTION("""COMPUTED_VALUE"""),"Allocation")</f>
        <v>Allocation</v>
      </c>
      <c r="B335" t="str">
        <f>IFERROR(__xludf.DUMMYFUNCTION("""COMPUTED_VALUE"""),"SaveLayoutAllocatedGrid")</f>
        <v>SaveLayoutAllocatedGrid</v>
      </c>
      <c r="C335" t="str">
        <f>IFERROR(__xludf.DUMMYFUNCTION("""COMPUTED_VALUE"""),"1Kwn0Qzs9hDRfphqulV-JqNQiiCzjrOEwF0oAX3LbYDc")</f>
        <v>1Kwn0Qzs9hDRfphqulV-JqNQiiCzjrOEwF0oAX3LbYDc</v>
      </c>
      <c r="D335" t="str">
        <f>IFERROR(__xludf.DUMMYFUNCTION("""COMPUTED_VALUE"""),"")</f>
        <v/>
      </c>
      <c r="E335" t="str">
        <f>IFERROR(__xludf.DUMMYFUNCTION("""COMPUTED_VALUE"""),"")</f>
        <v/>
      </c>
      <c r="F335" t="str">
        <f>IFERROR(__xludf.DUMMYFUNCTION("""COMPUTED_VALUE"""),"")</f>
        <v/>
      </c>
      <c r="G335" t="str">
        <f>IFERROR(__xludf.DUMMYFUNCTION("""COMPUTED_VALUE"""),"")</f>
        <v/>
      </c>
      <c r="H335" t="str">
        <f>IFERROR(__xludf.DUMMYFUNCTION("""COMPUTED_VALUE"""),"")</f>
        <v/>
      </c>
      <c r="I335" t="str">
        <f>IFERROR(__xludf.DUMMYFUNCTION("""COMPUTED_VALUE"""),"")</f>
        <v/>
      </c>
      <c r="J335" t="str">
        <f>IFERROR(__xludf.DUMMYFUNCTION("""COMPUTED_VALUE"""),"")</f>
        <v/>
      </c>
      <c r="K335" t="str">
        <f>IFERROR(__xludf.DUMMYFUNCTION("""COMPUTED_VALUE"""),"")</f>
        <v/>
      </c>
      <c r="L335" t="str">
        <f>IFERROR(__xludf.DUMMYFUNCTION("""COMPUTED_VALUE"""),"")</f>
        <v/>
      </c>
    </row>
    <row r="336" ht="15.75" customHeight="1">
      <c r="A336" t="str">
        <f>IFERROR(__xludf.DUMMYFUNCTION("""COMPUTED_VALUE"""),"Allocation")</f>
        <v>Allocation</v>
      </c>
      <c r="B336" t="str">
        <f>IFERROR(__xludf.DUMMYFUNCTION("""COMPUTED_VALUE"""),"SaveLayoutUnallocatedGrid")</f>
        <v>SaveLayoutUnallocatedGrid</v>
      </c>
      <c r="C336" t="str">
        <f>IFERROR(__xludf.DUMMYFUNCTION("""COMPUTED_VALUE"""),"1tRj8lXNex06fWnQVGrX5I5OPI78adr3XFcJK1h8rIHg")</f>
        <v>1tRj8lXNex06fWnQVGrX5I5OPI78adr3XFcJK1h8rIHg</v>
      </c>
      <c r="D336" t="str">
        <f>IFERROR(__xludf.DUMMYFUNCTION("""COMPUTED_VALUE"""),"")</f>
        <v/>
      </c>
      <c r="E336" t="str">
        <f>IFERROR(__xludf.DUMMYFUNCTION("""COMPUTED_VALUE"""),"")</f>
        <v/>
      </c>
      <c r="F336" t="str">
        <f>IFERROR(__xludf.DUMMYFUNCTION("""COMPUTED_VALUE"""),"")</f>
        <v/>
      </c>
      <c r="G336" t="str">
        <f>IFERROR(__xludf.DUMMYFUNCTION("""COMPUTED_VALUE"""),"")</f>
        <v/>
      </c>
      <c r="H336" t="str">
        <f>IFERROR(__xludf.DUMMYFUNCTION("""COMPUTED_VALUE"""),"")</f>
        <v/>
      </c>
      <c r="I336" t="str">
        <f>IFERROR(__xludf.DUMMYFUNCTION("""COMPUTED_VALUE"""),"")</f>
        <v/>
      </c>
      <c r="J336" t="str">
        <f>IFERROR(__xludf.DUMMYFUNCTION("""COMPUTED_VALUE"""),"")</f>
        <v/>
      </c>
      <c r="K336" t="str">
        <f>IFERROR(__xludf.DUMMYFUNCTION("""COMPUTED_VALUE"""),"")</f>
        <v/>
      </c>
      <c r="L336" t="str">
        <f>IFERROR(__xludf.DUMMYFUNCTION("""COMPUTED_VALUE"""),"")</f>
        <v/>
      </c>
    </row>
    <row r="337" ht="15.75" customHeight="1">
      <c r="A337" t="str">
        <f>IFERROR(__xludf.DUMMYFUNCTION("""COMPUTED_VALUE"""),"Allocation")</f>
        <v>Allocation</v>
      </c>
      <c r="B337" t="str">
        <f>IFERROR(__xludf.DUMMYFUNCTION("""COMPUTED_VALUE"""),"SaveLayoutAllocationUI")</f>
        <v>SaveLayoutAllocationUI</v>
      </c>
      <c r="C337" t="str">
        <f>IFERROR(__xludf.DUMMYFUNCTION("""COMPUTED_VALUE"""),"1-HJfPPk4JKRUN4RTdsb-f3wQPOfEmuaW1ze0BpTGTUo")</f>
        <v>1-HJfPPk4JKRUN4RTdsb-f3wQPOfEmuaW1ze0BpTGTUo</v>
      </c>
      <c r="D337" t="str">
        <f>IFERROR(__xludf.DUMMYFUNCTION("""COMPUTED_VALUE"""),"")</f>
        <v/>
      </c>
      <c r="E337" t="str">
        <f>IFERROR(__xludf.DUMMYFUNCTION("""COMPUTED_VALUE"""),"")</f>
        <v/>
      </c>
      <c r="F337" t="str">
        <f>IFERROR(__xludf.DUMMYFUNCTION("""COMPUTED_VALUE"""),"")</f>
        <v/>
      </c>
      <c r="G337" t="str">
        <f>IFERROR(__xludf.DUMMYFUNCTION("""COMPUTED_VALUE"""),"")</f>
        <v/>
      </c>
      <c r="H337" t="str">
        <f>IFERROR(__xludf.DUMMYFUNCTION("""COMPUTED_VALUE"""),"")</f>
        <v/>
      </c>
      <c r="I337" t="str">
        <f>IFERROR(__xludf.DUMMYFUNCTION("""COMPUTED_VALUE"""),"")</f>
        <v/>
      </c>
      <c r="J337" t="str">
        <f>IFERROR(__xludf.DUMMYFUNCTION("""COMPUTED_VALUE"""),"")</f>
        <v/>
      </c>
      <c r="K337" t="str">
        <f>IFERROR(__xludf.DUMMYFUNCTION("""COMPUTED_VALUE"""),"")</f>
        <v/>
      </c>
      <c r="L337" t="str">
        <f>IFERROR(__xludf.DUMMYFUNCTION("""COMPUTED_VALUE"""),"")</f>
        <v/>
      </c>
    </row>
    <row r="338" ht="15.75" customHeight="1">
      <c r="A338" t="str">
        <f>IFERROR(__xludf.DUMMYFUNCTION("""COMPUTED_VALUE"""),"Allocation")</f>
        <v>Allocation</v>
      </c>
      <c r="B338" t="str">
        <f>IFERROR(__xludf.DUMMYFUNCTION("""COMPUTED_VALUE"""),"ClearFiltersAllocatedGrid")</f>
        <v>ClearFiltersAllocatedGrid</v>
      </c>
      <c r="C338" t="str">
        <f>IFERROR(__xludf.DUMMYFUNCTION("""COMPUTED_VALUE"""),"Undefined")</f>
        <v>Undefined</v>
      </c>
      <c r="D338" t="str">
        <f>IFERROR(__xludf.DUMMYFUNCTION("""COMPUTED_VALUE"""),"")</f>
        <v/>
      </c>
      <c r="E338" t="str">
        <f>IFERROR(__xludf.DUMMYFUNCTION("""COMPUTED_VALUE"""),"")</f>
        <v/>
      </c>
      <c r="F338" t="str">
        <f>IFERROR(__xludf.DUMMYFUNCTION("""COMPUTED_VALUE"""),"")</f>
        <v/>
      </c>
      <c r="G338" t="str">
        <f>IFERROR(__xludf.DUMMYFUNCTION("""COMPUTED_VALUE"""),"")</f>
        <v/>
      </c>
      <c r="H338" t="str">
        <f>IFERROR(__xludf.DUMMYFUNCTION("""COMPUTED_VALUE"""),"")</f>
        <v/>
      </c>
      <c r="I338" t="str">
        <f>IFERROR(__xludf.DUMMYFUNCTION("""COMPUTED_VALUE"""),"")</f>
        <v/>
      </c>
      <c r="J338" t="str">
        <f>IFERROR(__xludf.DUMMYFUNCTION("""COMPUTED_VALUE"""),"")</f>
        <v/>
      </c>
      <c r="K338" t="str">
        <f>IFERROR(__xludf.DUMMYFUNCTION("""COMPUTED_VALUE"""),"")</f>
        <v/>
      </c>
      <c r="L338" t="str">
        <f>IFERROR(__xludf.DUMMYFUNCTION("""COMPUTED_VALUE"""),"")</f>
        <v/>
      </c>
    </row>
    <row r="339" ht="15.75" customHeight="1">
      <c r="A339" t="str">
        <f>IFERROR(__xludf.DUMMYFUNCTION("""COMPUTED_VALUE"""),"Allocation")</f>
        <v>Allocation</v>
      </c>
      <c r="B339" t="str">
        <f>IFERROR(__xludf.DUMMYFUNCTION("""COMPUTED_VALUE"""),"ClearFiltersUnallocatedGrid")</f>
        <v>ClearFiltersUnallocatedGrid</v>
      </c>
      <c r="C339" t="str">
        <f>IFERROR(__xludf.DUMMYFUNCTION("""COMPUTED_VALUE"""),"Undefined")</f>
        <v>Undefined</v>
      </c>
      <c r="D339" t="str">
        <f>IFERROR(__xludf.DUMMYFUNCTION("""COMPUTED_VALUE"""),"")</f>
        <v/>
      </c>
      <c r="E339" t="str">
        <f>IFERROR(__xludf.DUMMYFUNCTION("""COMPUTED_VALUE"""),"")</f>
        <v/>
      </c>
      <c r="F339" t="str">
        <f>IFERROR(__xludf.DUMMYFUNCTION("""COMPUTED_VALUE"""),"")</f>
        <v/>
      </c>
      <c r="G339" t="str">
        <f>IFERROR(__xludf.DUMMYFUNCTION("""COMPUTED_VALUE"""),"")</f>
        <v/>
      </c>
      <c r="H339" t="str">
        <f>IFERROR(__xludf.DUMMYFUNCTION("""COMPUTED_VALUE"""),"")</f>
        <v/>
      </c>
      <c r="I339" t="str">
        <f>IFERROR(__xludf.DUMMYFUNCTION("""COMPUTED_VALUE"""),"")</f>
        <v/>
      </c>
      <c r="J339" t="str">
        <f>IFERROR(__xludf.DUMMYFUNCTION("""COMPUTED_VALUE"""),"")</f>
        <v/>
      </c>
      <c r="K339" t="str">
        <f>IFERROR(__xludf.DUMMYFUNCTION("""COMPUTED_VALUE"""),"")</f>
        <v/>
      </c>
      <c r="L339" t="str">
        <f>IFERROR(__xludf.DUMMYFUNCTION("""COMPUTED_VALUE"""),"")</f>
        <v/>
      </c>
    </row>
    <row r="340" ht="15.75" customHeight="1">
      <c r="A340" t="str">
        <f>IFERROR(__xludf.DUMMYFUNCTION("""COMPUTED_VALUE"""),"Allocation")</f>
        <v>Allocation</v>
      </c>
      <c r="B340" t="str">
        <f>IFERROR(__xludf.DUMMYFUNCTION("""COMPUTED_VALUE"""),"VerifyLayoutAllocatedGrid")</f>
        <v>VerifyLayoutAllocatedGrid</v>
      </c>
      <c r="C340" t="str">
        <f>IFERROR(__xludf.DUMMYFUNCTION("""COMPUTED_VALUE"""),"14Tygy0EYVLe0QC_N08Tfbzy9GPatKGdeJDzdn55gASw")</f>
        <v>14Tygy0EYVLe0QC_N08Tfbzy9GPatKGdeJDzdn55gASw</v>
      </c>
      <c r="D340" t="str">
        <f>IFERROR(__xludf.DUMMYFUNCTION("""COMPUTED_VALUE"""),"")</f>
        <v/>
      </c>
      <c r="E340" t="str">
        <f>IFERROR(__xludf.DUMMYFUNCTION("""COMPUTED_VALUE"""),"")</f>
        <v/>
      </c>
      <c r="F340" t="str">
        <f>IFERROR(__xludf.DUMMYFUNCTION("""COMPUTED_VALUE"""),"")</f>
        <v/>
      </c>
      <c r="G340" t="str">
        <f>IFERROR(__xludf.DUMMYFUNCTION("""COMPUTED_VALUE"""),"")</f>
        <v/>
      </c>
      <c r="H340" t="str">
        <f>IFERROR(__xludf.DUMMYFUNCTION("""COMPUTED_VALUE"""),"")</f>
        <v/>
      </c>
      <c r="I340" t="str">
        <f>IFERROR(__xludf.DUMMYFUNCTION("""COMPUTED_VALUE"""),"")</f>
        <v/>
      </c>
      <c r="J340" t="str">
        <f>IFERROR(__xludf.DUMMYFUNCTION("""COMPUTED_VALUE"""),"")</f>
        <v/>
      </c>
      <c r="K340" t="str">
        <f>IFERROR(__xludf.DUMMYFUNCTION("""COMPUTED_VALUE"""),"")</f>
        <v/>
      </c>
      <c r="L340" t="str">
        <f>IFERROR(__xludf.DUMMYFUNCTION("""COMPUTED_VALUE"""),"")</f>
        <v/>
      </c>
    </row>
    <row r="341" ht="15.75" customHeight="1">
      <c r="A341" t="str">
        <f>IFERROR(__xludf.DUMMYFUNCTION("""COMPUTED_VALUE"""),"Allocation")</f>
        <v>Allocation</v>
      </c>
      <c r="B341" t="str">
        <f>IFERROR(__xludf.DUMMYFUNCTION("""COMPUTED_VALUE"""),"VerifyLayoutUnallocatedGrid")</f>
        <v>VerifyLayoutUnallocatedGrid</v>
      </c>
      <c r="C341" t="str">
        <f>IFERROR(__xludf.DUMMYFUNCTION("""COMPUTED_VALUE"""),"1pycFZUjkr7vdJD6eubKHogcFpDbgMUN3smIZ8Rm_yco")</f>
        <v>1pycFZUjkr7vdJD6eubKHogcFpDbgMUN3smIZ8Rm_yco</v>
      </c>
      <c r="D341" t="str">
        <f>IFERROR(__xludf.DUMMYFUNCTION("""COMPUTED_VALUE"""),"")</f>
        <v/>
      </c>
      <c r="E341" t="str">
        <f>IFERROR(__xludf.DUMMYFUNCTION("""COMPUTED_VALUE"""),"")</f>
        <v/>
      </c>
      <c r="F341" t="str">
        <f>IFERROR(__xludf.DUMMYFUNCTION("""COMPUTED_VALUE"""),"")</f>
        <v/>
      </c>
      <c r="G341" t="str">
        <f>IFERROR(__xludf.DUMMYFUNCTION("""COMPUTED_VALUE"""),"")</f>
        <v/>
      </c>
      <c r="H341" t="str">
        <f>IFERROR(__xludf.DUMMYFUNCTION("""COMPUTED_VALUE"""),"")</f>
        <v/>
      </c>
      <c r="I341" t="str">
        <f>IFERROR(__xludf.DUMMYFUNCTION("""COMPUTED_VALUE"""),"")</f>
        <v/>
      </c>
      <c r="J341" t="str">
        <f>IFERROR(__xludf.DUMMYFUNCTION("""COMPUTED_VALUE"""),"")</f>
        <v/>
      </c>
      <c r="K341" t="str">
        <f>IFERROR(__xludf.DUMMYFUNCTION("""COMPUTED_VALUE"""),"")</f>
        <v/>
      </c>
      <c r="L341" t="str">
        <f>IFERROR(__xludf.DUMMYFUNCTION("""COMPUTED_VALUE"""),"")</f>
        <v/>
      </c>
    </row>
    <row r="342" ht="15.75" customHeight="1">
      <c r="A342" t="str">
        <f>IFERROR(__xludf.DUMMYFUNCTION("""COMPUTED_VALUE"""),"DailyValuation")</f>
        <v>DailyValuation</v>
      </c>
      <c r="B342" t="str">
        <f>IFERROR(__xludf.DUMMYFUNCTION("""COMPUTED_VALUE"""),"UpdateForexConversionMonthly")</f>
        <v>UpdateForexConversionMonthly</v>
      </c>
      <c r="C342" t="str">
        <f>IFERROR(__xludf.DUMMYFUNCTION("""COMPUTED_VALUE"""),"1HpQVbf8W4GajTSIC8kGF1tH3WnFo6pK6B7uke36ir2A")</f>
        <v>1HpQVbf8W4GajTSIC8kGF1tH3WnFo6pK6B7uke36ir2A</v>
      </c>
      <c r="D342" t="str">
        <f>IFERROR(__xludf.DUMMYFUNCTION("""COMPUTED_VALUE"""),"")</f>
        <v/>
      </c>
      <c r="E342" t="str">
        <f>IFERROR(__xludf.DUMMYFUNCTION("""COMPUTED_VALUE"""),"")</f>
        <v/>
      </c>
      <c r="F342" t="str">
        <f>IFERROR(__xludf.DUMMYFUNCTION("""COMPUTED_VALUE"""),"")</f>
        <v/>
      </c>
      <c r="G342" t="str">
        <f>IFERROR(__xludf.DUMMYFUNCTION("""COMPUTED_VALUE"""),"")</f>
        <v/>
      </c>
      <c r="H342" t="str">
        <f>IFERROR(__xludf.DUMMYFUNCTION("""COMPUTED_VALUE"""),"")</f>
        <v/>
      </c>
      <c r="I342" t="str">
        <f>IFERROR(__xludf.DUMMYFUNCTION("""COMPUTED_VALUE"""),"")</f>
        <v/>
      </c>
      <c r="J342" t="str">
        <f>IFERROR(__xludf.DUMMYFUNCTION("""COMPUTED_VALUE"""),"")</f>
        <v/>
      </c>
      <c r="K342" t="str">
        <f>IFERROR(__xludf.DUMMYFUNCTION("""COMPUTED_VALUE"""),"")</f>
        <v/>
      </c>
      <c r="L342" t="str">
        <f>IFERROR(__xludf.DUMMYFUNCTION("""COMPUTED_VALUE"""),"")</f>
        <v/>
      </c>
    </row>
    <row r="343" ht="15.75" customHeight="1">
      <c r="A343" t="str">
        <f>IFERROR(__xludf.DUMMYFUNCTION("""COMPUTED_VALUE"""),"GeneralLedger")</f>
        <v>GeneralLedger</v>
      </c>
      <c r="B343" t="str">
        <f>IFERROR(__xludf.DUMMYFUNCTION("""COMPUTED_VALUE"""),"SaveTransaction")</f>
        <v>SaveTransaction</v>
      </c>
      <c r="C343" t="str">
        <f>IFERROR(__xludf.DUMMYFUNCTION("""COMPUTED_VALUE"""),"Undefined")</f>
        <v>Undefined</v>
      </c>
      <c r="D343" t="str">
        <f>IFERROR(__xludf.DUMMYFUNCTION("""COMPUTED_VALUE"""),"")</f>
        <v/>
      </c>
      <c r="E343" t="str">
        <f>IFERROR(__xludf.DUMMYFUNCTION("""COMPUTED_VALUE"""),"")</f>
        <v/>
      </c>
      <c r="F343" t="str">
        <f>IFERROR(__xludf.DUMMYFUNCTION("""COMPUTED_VALUE"""),"")</f>
        <v/>
      </c>
      <c r="G343" t="str">
        <f>IFERROR(__xludf.DUMMYFUNCTION("""COMPUTED_VALUE"""),"")</f>
        <v/>
      </c>
      <c r="H343" t="str">
        <f>IFERROR(__xludf.DUMMYFUNCTION("""COMPUTED_VALUE"""),"")</f>
        <v/>
      </c>
      <c r="I343" t="str">
        <f>IFERROR(__xludf.DUMMYFUNCTION("""COMPUTED_VALUE"""),"")</f>
        <v/>
      </c>
      <c r="J343" t="str">
        <f>IFERROR(__xludf.DUMMYFUNCTION("""COMPUTED_VALUE"""),"")</f>
        <v/>
      </c>
      <c r="K343" t="str">
        <f>IFERROR(__xludf.DUMMYFUNCTION("""COMPUTED_VALUE"""),"")</f>
        <v/>
      </c>
      <c r="L343" t="str">
        <f>IFERROR(__xludf.DUMMYFUNCTION("""COMPUTED_VALUE"""),"")</f>
        <v/>
      </c>
    </row>
    <row r="344" ht="15.75" customHeight="1">
      <c r="A344" t="str">
        <f>IFERROR(__xludf.DUMMYFUNCTION("""COMPUTED_VALUE"""),"DailyValuation")</f>
        <v>DailyValuation</v>
      </c>
      <c r="B344" t="str">
        <f>IFERROR(__xludf.DUMMYFUNCTION("""COMPUTED_VALUE"""),"UpdateMarkPriceMonthly")</f>
        <v>UpdateMarkPriceMonthly</v>
      </c>
      <c r="C344" t="str">
        <f>IFERROR(__xludf.DUMMYFUNCTION("""COMPUTED_VALUE"""),"1LZNbFC1PnuaPrnBTiS7cPn77JWS5KamtO5NC0K2w_4U")</f>
        <v>1LZNbFC1PnuaPrnBTiS7cPn77JWS5KamtO5NC0K2w_4U</v>
      </c>
      <c r="D344" t="str">
        <f>IFERROR(__xludf.DUMMYFUNCTION("""COMPUTED_VALUE"""),"")</f>
        <v/>
      </c>
      <c r="E344" t="str">
        <f>IFERROR(__xludf.DUMMYFUNCTION("""COMPUTED_VALUE"""),"")</f>
        <v/>
      </c>
      <c r="F344" t="str">
        <f>IFERROR(__xludf.DUMMYFUNCTION("""COMPUTED_VALUE"""),"")</f>
        <v/>
      </c>
      <c r="G344" t="str">
        <f>IFERROR(__xludf.DUMMYFUNCTION("""COMPUTED_VALUE"""),"")</f>
        <v/>
      </c>
      <c r="H344" t="str">
        <f>IFERROR(__xludf.DUMMYFUNCTION("""COMPUTED_VALUE"""),"")</f>
        <v/>
      </c>
      <c r="I344" t="str">
        <f>IFERROR(__xludf.DUMMYFUNCTION("""COMPUTED_VALUE"""),"")</f>
        <v/>
      </c>
      <c r="J344" t="str">
        <f>IFERROR(__xludf.DUMMYFUNCTION("""COMPUTED_VALUE"""),"")</f>
        <v/>
      </c>
      <c r="K344" t="str">
        <f>IFERROR(__xludf.DUMMYFUNCTION("""COMPUTED_VALUE"""),"")</f>
        <v/>
      </c>
      <c r="L344" t="str">
        <f>IFERROR(__xludf.DUMMYFUNCTION("""COMPUTED_VALUE"""),"")</f>
        <v/>
      </c>
    </row>
    <row r="345" ht="15.75" customHeight="1">
      <c r="A345" t="str">
        <f>IFERROR(__xludf.DUMMYFUNCTION("""COMPUTED_VALUE"""),"Allocation")</f>
        <v>Allocation</v>
      </c>
      <c r="B345" t="str">
        <f>IFERROR(__xludf.DUMMYFUNCTION("""COMPUTED_VALUE"""),"CleanUp")</f>
        <v>CleanUp</v>
      </c>
      <c r="C345" t="str">
        <f>IFERROR(__xludf.DUMMYFUNCTION("""COMPUTED_VALUE"""),"1AhEe6J2rslqa3BzEP_7UvQ7jPy4A-eMiqZrnKYFwzsA")</f>
        <v>1AhEe6J2rslqa3BzEP_7UvQ7jPy4A-eMiqZrnKYFwzsA</v>
      </c>
      <c r="D345" t="str">
        <f>IFERROR(__xludf.DUMMYFUNCTION("""COMPUTED_VALUE"""),"")</f>
        <v/>
      </c>
      <c r="E345" t="str">
        <f>IFERROR(__xludf.DUMMYFUNCTION("""COMPUTED_VALUE"""),"")</f>
        <v/>
      </c>
      <c r="F345" t="str">
        <f>IFERROR(__xludf.DUMMYFUNCTION("""COMPUTED_VALUE"""),"")</f>
        <v/>
      </c>
      <c r="G345" t="str">
        <f>IFERROR(__xludf.DUMMYFUNCTION("""COMPUTED_VALUE"""),"")</f>
        <v/>
      </c>
      <c r="H345" t="str">
        <f>IFERROR(__xludf.DUMMYFUNCTION("""COMPUTED_VALUE"""),"")</f>
        <v/>
      </c>
      <c r="I345" t="str">
        <f>IFERROR(__xludf.DUMMYFUNCTION("""COMPUTED_VALUE"""),"")</f>
        <v/>
      </c>
      <c r="J345" t="str">
        <f>IFERROR(__xludf.DUMMYFUNCTION("""COMPUTED_VALUE"""),"")</f>
        <v/>
      </c>
      <c r="K345" t="str">
        <f>IFERROR(__xludf.DUMMYFUNCTION("""COMPUTED_VALUE"""),"")</f>
        <v/>
      </c>
      <c r="L345" t="str">
        <f>IFERROR(__xludf.DUMMYFUNCTION("""COMPUTED_VALUE"""),"")</f>
        <v/>
      </c>
    </row>
    <row r="346" ht="15.75" customHeight="1">
      <c r="A346" t="str">
        <f>IFERROR(__xludf.DUMMYFUNCTION("""COMPUTED_VALUE"""),"Allocation")</f>
        <v>Allocation</v>
      </c>
      <c r="B346" t="str">
        <f>IFERROR(__xludf.DUMMYFUNCTION("""COMPUTED_VALUE"""),"CheckAllocatedTaxlots")</f>
        <v>CheckAllocatedTaxlots</v>
      </c>
      <c r="C346" t="str">
        <f>IFERROR(__xludf.DUMMYFUNCTION("""COMPUTED_VALUE"""),"10sowRLCM7YJ-Xy92okzSPlfXQ3p_gxUmmlK1pmugO1w")</f>
        <v>10sowRLCM7YJ-Xy92okzSPlfXQ3p_gxUmmlK1pmugO1w</v>
      </c>
      <c r="D346" t="str">
        <f>IFERROR(__xludf.DUMMYFUNCTION("""COMPUTED_VALUE"""),"")</f>
        <v/>
      </c>
      <c r="E346" t="str">
        <f>IFERROR(__xludf.DUMMYFUNCTION("""COMPUTED_VALUE"""),"")</f>
        <v/>
      </c>
      <c r="F346" t="str">
        <f>IFERROR(__xludf.DUMMYFUNCTION("""COMPUTED_VALUE"""),"")</f>
        <v/>
      </c>
      <c r="G346" t="str">
        <f>IFERROR(__xludf.DUMMYFUNCTION("""COMPUTED_VALUE"""),"")</f>
        <v/>
      </c>
      <c r="H346" t="str">
        <f>IFERROR(__xludf.DUMMYFUNCTION("""COMPUTED_VALUE"""),"")</f>
        <v/>
      </c>
      <c r="I346" t="str">
        <f>IFERROR(__xludf.DUMMYFUNCTION("""COMPUTED_VALUE"""),"")</f>
        <v/>
      </c>
      <c r="J346" t="str">
        <f>IFERROR(__xludf.DUMMYFUNCTION("""COMPUTED_VALUE"""),"")</f>
        <v/>
      </c>
      <c r="K346" t="str">
        <f>IFERROR(__xludf.DUMMYFUNCTION("""COMPUTED_VALUE"""),"")</f>
        <v/>
      </c>
      <c r="L346" t="str">
        <f>IFERROR(__xludf.DUMMYFUNCTION("""COMPUTED_VALUE"""),"")</f>
        <v/>
      </c>
    </row>
    <row r="347" ht="15.75" customHeight="1">
      <c r="A347" t="str">
        <f>IFERROR(__xludf.DUMMYFUNCTION("""COMPUTED_VALUE"""),"Closing")</f>
        <v>Closing</v>
      </c>
      <c r="B347" t="str">
        <f>IFERROR(__xludf.DUMMYFUNCTION("""COMPUTED_VALUE"""),"EditTradeUnexpiredUnsettled")</f>
        <v>EditTradeUnexpiredUnsettled</v>
      </c>
      <c r="C347" t="str">
        <f>IFERROR(__xludf.DUMMYFUNCTION("""COMPUTED_VALUE"""),"1LTux-Q7oooaqTo92O02j7zzAAWt68sxzlbqHEjlsOHQ")</f>
        <v>1LTux-Q7oooaqTo92O02j7zzAAWt68sxzlbqHEjlsOHQ</v>
      </c>
      <c r="D347" t="str">
        <f>IFERROR(__xludf.DUMMYFUNCTION("""COMPUTED_VALUE"""),"")</f>
        <v/>
      </c>
      <c r="E347" t="str">
        <f>IFERROR(__xludf.DUMMYFUNCTION("""COMPUTED_VALUE"""),"")</f>
        <v/>
      </c>
      <c r="F347" t="str">
        <f>IFERROR(__xludf.DUMMYFUNCTION("""COMPUTED_VALUE"""),"")</f>
        <v/>
      </c>
      <c r="G347" t="str">
        <f>IFERROR(__xludf.DUMMYFUNCTION("""COMPUTED_VALUE"""),"")</f>
        <v/>
      </c>
      <c r="H347" t="str">
        <f>IFERROR(__xludf.DUMMYFUNCTION("""COMPUTED_VALUE"""),"")</f>
        <v/>
      </c>
      <c r="I347" t="str">
        <f>IFERROR(__xludf.DUMMYFUNCTION("""COMPUTED_VALUE"""),"")</f>
        <v/>
      </c>
      <c r="J347" t="str">
        <f>IFERROR(__xludf.DUMMYFUNCTION("""COMPUTED_VALUE"""),"")</f>
        <v/>
      </c>
      <c r="K347" t="str">
        <f>IFERROR(__xludf.DUMMYFUNCTION("""COMPUTED_VALUE"""),"")</f>
        <v/>
      </c>
      <c r="L347" t="str">
        <f>IFERROR(__xludf.DUMMYFUNCTION("""COMPUTED_VALUE"""),"")</f>
        <v/>
      </c>
    </row>
    <row r="348" ht="15.75" customHeight="1">
      <c r="A348" t="str">
        <f>IFERROR(__xludf.DUMMYFUNCTION("""COMPUTED_VALUE"""),"ThirdParty")</f>
        <v>ThirdParty</v>
      </c>
      <c r="B348" t="str">
        <f>IFERROR(__xludf.DUMMYFUNCTION("""COMPUTED_VALUE"""),"ThirdPartyWork")</f>
        <v>ThirdPartyWork</v>
      </c>
      <c r="C348" t="str">
        <f>IFERROR(__xludf.DUMMYFUNCTION("""COMPUTED_VALUE"""),"Undefined")</f>
        <v>Undefined</v>
      </c>
      <c r="D348" t="str">
        <f>IFERROR(__xludf.DUMMYFUNCTION("""COMPUTED_VALUE"""),"")</f>
        <v/>
      </c>
      <c r="E348" t="str">
        <f>IFERROR(__xludf.DUMMYFUNCTION("""COMPUTED_VALUE"""),"")</f>
        <v/>
      </c>
      <c r="F348" t="str">
        <f>IFERROR(__xludf.DUMMYFUNCTION("""COMPUTED_VALUE"""),"")</f>
        <v/>
      </c>
      <c r="G348" t="str">
        <f>IFERROR(__xludf.DUMMYFUNCTION("""COMPUTED_VALUE"""),"")</f>
        <v/>
      </c>
      <c r="H348" t="str">
        <f>IFERROR(__xludf.DUMMYFUNCTION("""COMPUTED_VALUE"""),"")</f>
        <v/>
      </c>
      <c r="I348" t="str">
        <f>IFERROR(__xludf.DUMMYFUNCTION("""COMPUTED_VALUE"""),"")</f>
        <v/>
      </c>
      <c r="J348" t="str">
        <f>IFERROR(__xludf.DUMMYFUNCTION("""COMPUTED_VALUE"""),"")</f>
        <v/>
      </c>
      <c r="K348" t="str">
        <f>IFERROR(__xludf.DUMMYFUNCTION("""COMPUTED_VALUE"""),"")</f>
        <v/>
      </c>
      <c r="L348" t="str">
        <f>IFERROR(__xludf.DUMMYFUNCTION("""COMPUTED_VALUE"""),"")</f>
        <v/>
      </c>
    </row>
    <row r="349" ht="15.75" customHeight="1">
      <c r="A349" t="str">
        <f>IFERROR(__xludf.DUMMYFUNCTION("""COMPUTED_VALUE"""),"ThirdParty")</f>
        <v>ThirdParty</v>
      </c>
      <c r="B349" t="str">
        <f>IFERROR(__xludf.DUMMYFUNCTION("""COMPUTED_VALUE"""),"Automation")</f>
        <v>Automation</v>
      </c>
      <c r="C349" t="str">
        <f>IFERROR(__xludf.DUMMYFUNCTION("""COMPUTED_VALUE"""),"Undefined")</f>
        <v>Undefined</v>
      </c>
      <c r="D349" t="str">
        <f>IFERROR(__xludf.DUMMYFUNCTION("""COMPUTED_VALUE"""),"")</f>
        <v/>
      </c>
      <c r="E349" t="str">
        <f>IFERROR(__xludf.DUMMYFUNCTION("""COMPUTED_VALUE"""),"")</f>
        <v/>
      </c>
      <c r="F349" t="str">
        <f>IFERROR(__xludf.DUMMYFUNCTION("""COMPUTED_VALUE"""),"")</f>
        <v/>
      </c>
      <c r="G349" t="str">
        <f>IFERROR(__xludf.DUMMYFUNCTION("""COMPUTED_VALUE"""),"")</f>
        <v/>
      </c>
      <c r="H349" t="str">
        <f>IFERROR(__xludf.DUMMYFUNCTION("""COMPUTED_VALUE"""),"")</f>
        <v/>
      </c>
      <c r="I349" t="str">
        <f>IFERROR(__xludf.DUMMYFUNCTION("""COMPUTED_VALUE"""),"")</f>
        <v/>
      </c>
      <c r="J349" t="str">
        <f>IFERROR(__xludf.DUMMYFUNCTION("""COMPUTED_VALUE"""),"")</f>
        <v/>
      </c>
      <c r="K349" t="str">
        <f>IFERROR(__xludf.DUMMYFUNCTION("""COMPUTED_VALUE"""),"")</f>
        <v/>
      </c>
      <c r="L349" t="str">
        <f>IFERROR(__xludf.DUMMYFUNCTION("""COMPUTED_VALUE"""),"")</f>
        <v/>
      </c>
    </row>
    <row r="350" ht="15.75" customHeight="1">
      <c r="A350" t="str">
        <f>IFERROR(__xludf.DUMMYFUNCTION("""COMPUTED_VALUE"""),"ThirdParty")</f>
        <v>ThirdParty</v>
      </c>
      <c r="B350" t="str">
        <f>IFERROR(__xludf.DUMMYFUNCTION("""COMPUTED_VALUE"""),"ThirdPartyManagerFunction")</f>
        <v>ThirdPartyManagerFunction</v>
      </c>
      <c r="C350" t="str">
        <f>IFERROR(__xludf.DUMMYFUNCTION("""COMPUTED_VALUE"""),"undefined")</f>
        <v>undefined</v>
      </c>
      <c r="D350" t="str">
        <f>IFERROR(__xludf.DUMMYFUNCTION("""COMPUTED_VALUE"""),"")</f>
        <v/>
      </c>
      <c r="E350" t="str">
        <f>IFERROR(__xludf.DUMMYFUNCTION("""COMPUTED_VALUE"""),"")</f>
        <v/>
      </c>
      <c r="F350" t="str">
        <f>IFERROR(__xludf.DUMMYFUNCTION("""COMPUTED_VALUE"""),"")</f>
        <v/>
      </c>
      <c r="G350" t="str">
        <f>IFERROR(__xludf.DUMMYFUNCTION("""COMPUTED_VALUE"""),"")</f>
        <v/>
      </c>
      <c r="H350" t="str">
        <f>IFERROR(__xludf.DUMMYFUNCTION("""COMPUTED_VALUE"""),"")</f>
        <v/>
      </c>
      <c r="I350" t="str">
        <f>IFERROR(__xludf.DUMMYFUNCTION("""COMPUTED_VALUE"""),"")</f>
        <v/>
      </c>
      <c r="J350" t="str">
        <f>IFERROR(__xludf.DUMMYFUNCTION("""COMPUTED_VALUE"""),"")</f>
        <v/>
      </c>
      <c r="K350" t="str">
        <f>IFERROR(__xludf.DUMMYFUNCTION("""COMPUTED_VALUE"""),"")</f>
        <v/>
      </c>
      <c r="L350" t="str">
        <f>IFERROR(__xludf.DUMMYFUNCTION("""COMPUTED_VALUE"""),"")</f>
        <v/>
      </c>
    </row>
    <row r="351" ht="15.75" customHeight="1">
      <c r="A351" t="str">
        <f>IFERROR(__xludf.DUMMYFUNCTION("""COMPUTED_VALUE"""),"ThirdParty")</f>
        <v>ThirdParty</v>
      </c>
      <c r="B351" t="str">
        <f>IFERROR(__xludf.DUMMYFUNCTION("""COMPUTED_VALUE"""),"OpeningManager")</f>
        <v>OpeningManager</v>
      </c>
      <c r="C351" t="str">
        <f>IFERROR(__xludf.DUMMYFUNCTION("""COMPUTED_VALUE"""),"1YCm89wwcph1NRIicF83TaZHNjokNj6631tskVX_-Uqc")</f>
        <v>1YCm89wwcph1NRIicF83TaZHNjokNj6631tskVX_-Uqc</v>
      </c>
      <c r="D351" t="str">
        <f>IFERROR(__xludf.DUMMYFUNCTION("""COMPUTED_VALUE"""),"")</f>
        <v/>
      </c>
      <c r="E351" t="str">
        <f>IFERROR(__xludf.DUMMYFUNCTION("""COMPUTED_VALUE"""),"")</f>
        <v/>
      </c>
      <c r="F351" t="str">
        <f>IFERROR(__xludf.DUMMYFUNCTION("""COMPUTED_VALUE"""),"")</f>
        <v/>
      </c>
      <c r="G351" t="str">
        <f>IFERROR(__xludf.DUMMYFUNCTION("""COMPUTED_VALUE"""),"")</f>
        <v/>
      </c>
      <c r="H351" t="str">
        <f>IFERROR(__xludf.DUMMYFUNCTION("""COMPUTED_VALUE"""),"")</f>
        <v/>
      </c>
      <c r="I351" t="str">
        <f>IFERROR(__xludf.DUMMYFUNCTION("""COMPUTED_VALUE"""),"")</f>
        <v/>
      </c>
      <c r="J351" t="str">
        <f>IFERROR(__xludf.DUMMYFUNCTION("""COMPUTED_VALUE"""),"")</f>
        <v/>
      </c>
      <c r="K351" t="str">
        <f>IFERROR(__xludf.DUMMYFUNCTION("""COMPUTED_VALUE"""),"")</f>
        <v/>
      </c>
      <c r="L351" t="str">
        <f>IFERROR(__xludf.DUMMYFUNCTION("""COMPUTED_VALUE"""),"")</f>
        <v/>
      </c>
    </row>
    <row r="352" ht="15.75" customHeight="1">
      <c r="A352" t="str">
        <f>IFERROR(__xludf.DUMMYFUNCTION("""COMPUTED_VALUE"""),"ThirdParty")</f>
        <v>ThirdParty</v>
      </c>
      <c r="B352" t="str">
        <f>IFERROR(__xludf.DUMMYFUNCTION("""COMPUTED_VALUE"""),"SelectFromThirdPartyGrid")</f>
        <v>SelectFromThirdPartyGrid</v>
      </c>
      <c r="C352" t="str">
        <f>IFERROR(__xludf.DUMMYFUNCTION("""COMPUTED_VALUE"""),"1WwDby9zimBWnZSEvIx2bNZ44YUQXeG_P96xFNYays6c")</f>
        <v>1WwDby9zimBWnZSEvIx2bNZ44YUQXeG_P96xFNYays6c</v>
      </c>
      <c r="D352" t="str">
        <f>IFERROR(__xludf.DUMMYFUNCTION("""COMPUTED_VALUE"""),"")</f>
        <v/>
      </c>
      <c r="E352" t="str">
        <f>IFERROR(__xludf.DUMMYFUNCTION("""COMPUTED_VALUE"""),"")</f>
        <v/>
      </c>
      <c r="F352" t="str">
        <f>IFERROR(__xludf.DUMMYFUNCTION("""COMPUTED_VALUE"""),"")</f>
        <v/>
      </c>
      <c r="G352" t="str">
        <f>IFERROR(__xludf.DUMMYFUNCTION("""COMPUTED_VALUE"""),"")</f>
        <v/>
      </c>
      <c r="H352" t="str">
        <f>IFERROR(__xludf.DUMMYFUNCTION("""COMPUTED_VALUE"""),"")</f>
        <v/>
      </c>
      <c r="I352" t="str">
        <f>IFERROR(__xludf.DUMMYFUNCTION("""COMPUTED_VALUE"""),"")</f>
        <v/>
      </c>
      <c r="J352" t="str">
        <f>IFERROR(__xludf.DUMMYFUNCTION("""COMPUTED_VALUE"""),"")</f>
        <v/>
      </c>
      <c r="K352" t="str">
        <f>IFERROR(__xludf.DUMMYFUNCTION("""COMPUTED_VALUE"""),"")</f>
        <v/>
      </c>
      <c r="L352" t="str">
        <f>IFERROR(__xludf.DUMMYFUNCTION("""COMPUTED_VALUE"""),"")</f>
        <v/>
      </c>
    </row>
    <row r="353" ht="15.75" customHeight="1">
      <c r="A353" t="str">
        <f>IFERROR(__xludf.DUMMYFUNCTION("""COMPUTED_VALUE"""),"ThirdParty")</f>
        <v>ThirdParty</v>
      </c>
      <c r="B353" t="str">
        <f>IFERROR(__xludf.DUMMYFUNCTION("""COMPUTED_VALUE"""),"SendThirdPartyData")</f>
        <v>SendThirdPartyData</v>
      </c>
      <c r="C353" t="str">
        <f>IFERROR(__xludf.DUMMYFUNCTION("""COMPUTED_VALUE"""),"1CkawRz9O3eZDLTDD3IFjm-mQsQDTWspGsHAzTCZZmj4")</f>
        <v>1CkawRz9O3eZDLTDD3IFjm-mQsQDTWspGsHAzTCZZmj4</v>
      </c>
      <c r="D353" t="str">
        <f>IFERROR(__xludf.DUMMYFUNCTION("""COMPUTED_VALUE"""),"")</f>
        <v/>
      </c>
      <c r="E353" t="str">
        <f>IFERROR(__xludf.DUMMYFUNCTION("""COMPUTED_VALUE"""),"")</f>
        <v/>
      </c>
      <c r="F353" t="str">
        <f>IFERROR(__xludf.DUMMYFUNCTION("""COMPUTED_VALUE"""),"")</f>
        <v/>
      </c>
      <c r="G353" t="str">
        <f>IFERROR(__xludf.DUMMYFUNCTION("""COMPUTED_VALUE"""),"")</f>
        <v/>
      </c>
      <c r="H353" t="str">
        <f>IFERROR(__xludf.DUMMYFUNCTION("""COMPUTED_VALUE"""),"")</f>
        <v/>
      </c>
      <c r="I353" t="str">
        <f>IFERROR(__xludf.DUMMYFUNCTION("""COMPUTED_VALUE"""),"")</f>
        <v/>
      </c>
      <c r="J353" t="str">
        <f>IFERROR(__xludf.DUMMYFUNCTION("""COMPUTED_VALUE"""),"")</f>
        <v/>
      </c>
      <c r="K353" t="str">
        <f>IFERROR(__xludf.DUMMYFUNCTION("""COMPUTED_VALUE"""),"")</f>
        <v/>
      </c>
      <c r="L353" t="str">
        <f>IFERROR(__xludf.DUMMYFUNCTION("""COMPUTED_VALUE"""),"")</f>
        <v/>
      </c>
    </row>
    <row r="354" ht="15.75" customHeight="1">
      <c r="A354" t="str">
        <f>IFERROR(__xludf.DUMMYFUNCTION("""COMPUTED_VALUE"""),"ThirdParty")</f>
        <v>ThirdParty</v>
      </c>
      <c r="B354" t="str">
        <f>IFERROR(__xludf.DUMMYFUNCTION("""COMPUTED_VALUE"""),"VerifyThirdPartyView")</f>
        <v>VerifyThirdPartyView</v>
      </c>
      <c r="C354" t="str">
        <f>IFERROR(__xludf.DUMMYFUNCTION("""COMPUTED_VALUE"""),"1528uWSs4BLAXxKK6sUCy-XWIPP8V8Ki2KRvJs0jv9s8")</f>
        <v>1528uWSs4BLAXxKK6sUCy-XWIPP8V8Ki2KRvJs0jv9s8</v>
      </c>
      <c r="D354" t="str">
        <f>IFERROR(__xludf.DUMMYFUNCTION("""COMPUTED_VALUE"""),"")</f>
        <v/>
      </c>
      <c r="E354" t="str">
        <f>IFERROR(__xludf.DUMMYFUNCTION("""COMPUTED_VALUE"""),"")</f>
        <v/>
      </c>
      <c r="F354" t="str">
        <f>IFERROR(__xludf.DUMMYFUNCTION("""COMPUTED_VALUE"""),"")</f>
        <v/>
      </c>
      <c r="G354" t="str">
        <f>IFERROR(__xludf.DUMMYFUNCTION("""COMPUTED_VALUE"""),"")</f>
        <v/>
      </c>
      <c r="H354" t="str">
        <f>IFERROR(__xludf.DUMMYFUNCTION("""COMPUTED_VALUE"""),"")</f>
        <v/>
      </c>
      <c r="I354" t="str">
        <f>IFERROR(__xludf.DUMMYFUNCTION("""COMPUTED_VALUE"""),"")</f>
        <v/>
      </c>
      <c r="J354" t="str">
        <f>IFERROR(__xludf.DUMMYFUNCTION("""COMPUTED_VALUE"""),"")</f>
        <v/>
      </c>
      <c r="K354" t="str">
        <f>IFERROR(__xludf.DUMMYFUNCTION("""COMPUTED_VALUE"""),"")</f>
        <v/>
      </c>
      <c r="L354" t="str">
        <f>IFERROR(__xludf.DUMMYFUNCTION("""COMPUTED_VALUE"""),"")</f>
        <v/>
      </c>
    </row>
    <row r="355" ht="15.75" customHeight="1">
      <c r="A355" t="str">
        <f>IFERROR(__xludf.DUMMYFUNCTION("""COMPUTED_VALUE"""),"ThirdParty")</f>
        <v>ThirdParty</v>
      </c>
      <c r="B355" t="str">
        <f>IFERROR(__xludf.DUMMYFUNCTION("""COMPUTED_VALUE"""),"ViewAllThirdParty")</f>
        <v>ViewAllThirdParty</v>
      </c>
      <c r="C355" t="str">
        <f>IFERROR(__xludf.DUMMYFUNCTION("""COMPUTED_VALUE"""),"1DWiVq0oEQcBMo9BlB0eNB2gGWybIs_aBbbplwi52XD0")</f>
        <v>1DWiVq0oEQcBMo9BlB0eNB2gGWybIs_aBbbplwi52XD0</v>
      </c>
      <c r="D355" t="str">
        <f>IFERROR(__xludf.DUMMYFUNCTION("""COMPUTED_VALUE"""),"")</f>
        <v/>
      </c>
      <c r="E355" t="str">
        <f>IFERROR(__xludf.DUMMYFUNCTION("""COMPUTED_VALUE"""),"")</f>
        <v/>
      </c>
      <c r="F355" t="str">
        <f>IFERROR(__xludf.DUMMYFUNCTION("""COMPUTED_VALUE"""),"")</f>
        <v/>
      </c>
      <c r="G355" t="str">
        <f>IFERROR(__xludf.DUMMYFUNCTION("""COMPUTED_VALUE"""),"")</f>
        <v/>
      </c>
      <c r="H355" t="str">
        <f>IFERROR(__xludf.DUMMYFUNCTION("""COMPUTED_VALUE"""),"")</f>
        <v/>
      </c>
      <c r="I355" t="str">
        <f>IFERROR(__xludf.DUMMYFUNCTION("""COMPUTED_VALUE"""),"")</f>
        <v/>
      </c>
      <c r="J355" t="str">
        <f>IFERROR(__xludf.DUMMYFUNCTION("""COMPUTED_VALUE"""),"")</f>
        <v/>
      </c>
      <c r="K355" t="str">
        <f>IFERROR(__xludf.DUMMYFUNCTION("""COMPUTED_VALUE"""),"")</f>
        <v/>
      </c>
      <c r="L355" t="str">
        <f>IFERROR(__xludf.DUMMYFUNCTION("""COMPUTED_VALUE"""),"")</f>
        <v/>
      </c>
    </row>
    <row r="356" ht="15.75" customHeight="1">
      <c r="A356" t="str">
        <f>IFERROR(__xludf.DUMMYFUNCTION("""COMPUTED_VALUE"""),"ThirdParty")</f>
        <v>ThirdParty</v>
      </c>
      <c r="B356" t="str">
        <f>IFERROR(__xludf.DUMMYFUNCTION("""COMPUTED_VALUE"""),"VerifyThirdPartyGenerate")</f>
        <v>VerifyThirdPartyGenerate</v>
      </c>
      <c r="C356" t="str">
        <f>IFERROR(__xludf.DUMMYFUNCTION("""COMPUTED_VALUE"""),"1dtpOLGKF_e9DirGphaW178YiwcZeN2gJLTC8SOTHt_s")</f>
        <v>1dtpOLGKF_e9DirGphaW178YiwcZeN2gJLTC8SOTHt_s</v>
      </c>
      <c r="D356" t="str">
        <f>IFERROR(__xludf.DUMMYFUNCTION("""COMPUTED_VALUE"""),"")</f>
        <v/>
      </c>
      <c r="E356" t="str">
        <f>IFERROR(__xludf.DUMMYFUNCTION("""COMPUTED_VALUE"""),"")</f>
        <v/>
      </c>
      <c r="F356" t="str">
        <f>IFERROR(__xludf.DUMMYFUNCTION("""COMPUTED_VALUE"""),"")</f>
        <v/>
      </c>
      <c r="G356" t="str">
        <f>IFERROR(__xludf.DUMMYFUNCTION("""COMPUTED_VALUE"""),"")</f>
        <v/>
      </c>
      <c r="H356" t="str">
        <f>IFERROR(__xludf.DUMMYFUNCTION("""COMPUTED_VALUE"""),"")</f>
        <v/>
      </c>
      <c r="I356" t="str">
        <f>IFERROR(__xludf.DUMMYFUNCTION("""COMPUTED_VALUE"""),"")</f>
        <v/>
      </c>
      <c r="J356" t="str">
        <f>IFERROR(__xludf.DUMMYFUNCTION("""COMPUTED_VALUE"""),"")</f>
        <v/>
      </c>
      <c r="K356" t="str">
        <f>IFERROR(__xludf.DUMMYFUNCTION("""COMPUTED_VALUE"""),"")</f>
        <v/>
      </c>
      <c r="L356" t="str">
        <f>IFERROR(__xludf.DUMMYFUNCTION("""COMPUTED_VALUE"""),"")</f>
        <v/>
      </c>
    </row>
    <row r="357" ht="15.75" customHeight="1">
      <c r="A357" t="str">
        <f>IFERROR(__xludf.DUMMYFUNCTION("""COMPUTED_VALUE"""),"ThirdParty")</f>
        <v>ThirdParty</v>
      </c>
      <c r="B357" t="str">
        <f>IFERROR(__xludf.DUMMYFUNCTION("""COMPUTED_VALUE"""),"VerifyThirdPartySend")</f>
        <v>VerifyThirdPartySend</v>
      </c>
      <c r="C357" t="str">
        <f>IFERROR(__xludf.DUMMYFUNCTION("""COMPUTED_VALUE"""),"1oDj2kdyhy-C3O23_V41d-eRnBw9HwgfQ6oFUoabzrmo")</f>
        <v>1oDj2kdyhy-C3O23_V41d-eRnBw9HwgfQ6oFUoabzrmo</v>
      </c>
      <c r="D357" t="str">
        <f>IFERROR(__xludf.DUMMYFUNCTION("""COMPUTED_VALUE"""),"")</f>
        <v/>
      </c>
      <c r="E357" t="str">
        <f>IFERROR(__xludf.DUMMYFUNCTION("""COMPUTED_VALUE"""),"")</f>
        <v/>
      </c>
      <c r="F357" t="str">
        <f>IFERROR(__xludf.DUMMYFUNCTION("""COMPUTED_VALUE"""),"")</f>
        <v/>
      </c>
      <c r="G357" t="str">
        <f>IFERROR(__xludf.DUMMYFUNCTION("""COMPUTED_VALUE"""),"")</f>
        <v/>
      </c>
      <c r="H357" t="str">
        <f>IFERROR(__xludf.DUMMYFUNCTION("""COMPUTED_VALUE"""),"")</f>
        <v/>
      </c>
      <c r="I357" t="str">
        <f>IFERROR(__xludf.DUMMYFUNCTION("""COMPUTED_VALUE"""),"")</f>
        <v/>
      </c>
      <c r="J357" t="str">
        <f>IFERROR(__xludf.DUMMYFUNCTION("""COMPUTED_VALUE"""),"")</f>
        <v/>
      </c>
      <c r="K357" t="str">
        <f>IFERROR(__xludf.DUMMYFUNCTION("""COMPUTED_VALUE"""),"")</f>
        <v/>
      </c>
      <c r="L357" t="str">
        <f>IFERROR(__xludf.DUMMYFUNCTION("""COMPUTED_VALUE"""),"")</f>
        <v/>
      </c>
    </row>
    <row r="358" ht="15.75" customHeight="1">
      <c r="A358" t="str">
        <f>IFERROR(__xludf.DUMMYFUNCTION("""COMPUTED_VALUE"""),"ThirdParty")</f>
        <v>ThirdParty</v>
      </c>
      <c r="B358" t="str">
        <f>IFERROR(__xludf.DUMMYFUNCTION("""COMPUTED_VALUE"""),"SelectThirdPartyData")</f>
        <v>SelectThirdPartyData</v>
      </c>
      <c r="C358" t="str">
        <f>IFERROR(__xludf.DUMMYFUNCTION("""COMPUTED_VALUE"""),"10-k4rDTB5lEHUF88IcYPoyEagaa6DTnjiba3Tn00stU")</f>
        <v>10-k4rDTB5lEHUF88IcYPoyEagaa6DTnjiba3Tn00stU</v>
      </c>
      <c r="D358" t="str">
        <f>IFERROR(__xludf.DUMMYFUNCTION("""COMPUTED_VALUE"""),"")</f>
        <v/>
      </c>
      <c r="E358" t="str">
        <f>IFERROR(__xludf.DUMMYFUNCTION("""COMPUTED_VALUE"""),"")</f>
        <v/>
      </c>
      <c r="F358" t="str">
        <f>IFERROR(__xludf.DUMMYFUNCTION("""COMPUTED_VALUE"""),"")</f>
        <v/>
      </c>
      <c r="G358" t="str">
        <f>IFERROR(__xludf.DUMMYFUNCTION("""COMPUTED_VALUE"""),"")</f>
        <v/>
      </c>
      <c r="H358" t="str">
        <f>IFERROR(__xludf.DUMMYFUNCTION("""COMPUTED_VALUE"""),"")</f>
        <v/>
      </c>
      <c r="I358" t="str">
        <f>IFERROR(__xludf.DUMMYFUNCTION("""COMPUTED_VALUE"""),"")</f>
        <v/>
      </c>
      <c r="J358" t="str">
        <f>IFERROR(__xludf.DUMMYFUNCTION("""COMPUTED_VALUE"""),"")</f>
        <v/>
      </c>
      <c r="K358" t="str">
        <f>IFERROR(__xludf.DUMMYFUNCTION("""COMPUTED_VALUE"""),"")</f>
        <v/>
      </c>
      <c r="L358" t="str">
        <f>IFERROR(__xludf.DUMMYFUNCTION("""COMPUTED_VALUE"""),"")</f>
        <v/>
      </c>
    </row>
    <row r="359" ht="15.75" customHeight="1">
      <c r="A359" t="str">
        <f>IFERROR(__xludf.DUMMYFUNCTION("""COMPUTED_VALUE"""),"Compliance")</f>
        <v>Compliance</v>
      </c>
      <c r="B359" t="str">
        <f>IFERROR(__xludf.DUMMYFUNCTION("""COMPUTED_VALUE"""),"VerifyAccountDivisorWindow")</f>
        <v>VerifyAccountDivisorWindow</v>
      </c>
      <c r="C359" t="str">
        <f>IFERROR(__xludf.DUMMYFUNCTION("""COMPUTED_VALUE"""),"1SmEw6tAQywBZwVKCZlLwdMyj2schxBA_5VA05LxEkoM")</f>
        <v>1SmEw6tAQywBZwVKCZlLwdMyj2schxBA_5VA05LxEkoM</v>
      </c>
      <c r="D359" t="str">
        <f>IFERROR(__xludf.DUMMYFUNCTION("""COMPUTED_VALUE"""),"")</f>
        <v/>
      </c>
      <c r="E359" t="str">
        <f>IFERROR(__xludf.DUMMYFUNCTION("""COMPUTED_VALUE"""),"")</f>
        <v/>
      </c>
      <c r="F359" t="str">
        <f>IFERROR(__xludf.DUMMYFUNCTION("""COMPUTED_VALUE"""),"")</f>
        <v/>
      </c>
      <c r="G359" t="str">
        <f>IFERROR(__xludf.DUMMYFUNCTION("""COMPUTED_VALUE"""),"")</f>
        <v/>
      </c>
      <c r="H359" t="str">
        <f>IFERROR(__xludf.DUMMYFUNCTION("""COMPUTED_VALUE"""),"")</f>
        <v/>
      </c>
      <c r="I359" t="str">
        <f>IFERROR(__xludf.DUMMYFUNCTION("""COMPUTED_VALUE"""),"")</f>
        <v/>
      </c>
      <c r="J359" t="str">
        <f>IFERROR(__xludf.DUMMYFUNCTION("""COMPUTED_VALUE"""),"")</f>
        <v/>
      </c>
      <c r="K359" t="str">
        <f>IFERROR(__xludf.DUMMYFUNCTION("""COMPUTED_VALUE"""),"")</f>
        <v/>
      </c>
      <c r="L359" t="str">
        <f>IFERROR(__xludf.DUMMYFUNCTION("""COMPUTED_VALUE"""),"")</f>
        <v/>
      </c>
    </row>
    <row r="360" ht="15.75" customHeight="1">
      <c r="A360" t="str">
        <f>IFERROR(__xludf.DUMMYFUNCTION("""COMPUTED_VALUE"""),"Compliance")</f>
        <v>Compliance</v>
      </c>
      <c r="B360" t="str">
        <f>IFERROR(__xludf.DUMMYFUNCTION("""COMPUTED_VALUE"""),"VerifyAccountNavPreferenceWindow")</f>
        <v>VerifyAccountNavPreferenceWindow</v>
      </c>
      <c r="C360" t="str">
        <f>IFERROR(__xludf.DUMMYFUNCTION("""COMPUTED_VALUE"""),"")</f>
        <v/>
      </c>
      <c r="D360" t="str">
        <f>IFERROR(__xludf.DUMMYFUNCTION("""COMPUTED_VALUE"""),"")</f>
        <v/>
      </c>
      <c r="E360" t="str">
        <f>IFERROR(__xludf.DUMMYFUNCTION("""COMPUTED_VALUE"""),"")</f>
        <v/>
      </c>
      <c r="F360" t="str">
        <f>IFERROR(__xludf.DUMMYFUNCTION("""COMPUTED_VALUE"""),"")</f>
        <v/>
      </c>
      <c r="G360" t="str">
        <f>IFERROR(__xludf.DUMMYFUNCTION("""COMPUTED_VALUE"""),"")</f>
        <v/>
      </c>
      <c r="H360" t="str">
        <f>IFERROR(__xludf.DUMMYFUNCTION("""COMPUTED_VALUE"""),"")</f>
        <v/>
      </c>
      <c r="I360" t="str">
        <f>IFERROR(__xludf.DUMMYFUNCTION("""COMPUTED_VALUE"""),"")</f>
        <v/>
      </c>
      <c r="J360" t="str">
        <f>IFERROR(__xludf.DUMMYFUNCTION("""COMPUTED_VALUE"""),"")</f>
        <v/>
      </c>
      <c r="K360" t="str">
        <f>IFERROR(__xludf.DUMMYFUNCTION("""COMPUTED_VALUE"""),"")</f>
        <v/>
      </c>
      <c r="L360" t="str">
        <f>IFERROR(__xludf.DUMMYFUNCTION("""COMPUTED_VALUE"""),"")</f>
        <v/>
      </c>
    </row>
    <row r="361" ht="15.75" customHeight="1">
      <c r="A361" t="str">
        <f>IFERROR(__xludf.DUMMYFUNCTION("""COMPUTED_VALUE"""),"Compliance")</f>
        <v>Compliance</v>
      </c>
      <c r="B361" t="str">
        <f>IFERROR(__xludf.DUMMYFUNCTION("""COMPUTED_VALUE"""),"VerifyAccountDivisorWindow")</f>
        <v>VerifyAccountDivisorWindow</v>
      </c>
      <c r="C361" t="str">
        <f>IFERROR(__xludf.DUMMYFUNCTION("""COMPUTED_VALUE"""),"")</f>
        <v/>
      </c>
      <c r="D361" t="str">
        <f>IFERROR(__xludf.DUMMYFUNCTION("""COMPUTED_VALUE"""),"")</f>
        <v/>
      </c>
      <c r="E361" t="str">
        <f>IFERROR(__xludf.DUMMYFUNCTION("""COMPUTED_VALUE"""),"")</f>
        <v/>
      </c>
      <c r="F361" t="str">
        <f>IFERROR(__xludf.DUMMYFUNCTION("""COMPUTED_VALUE"""),"")</f>
        <v/>
      </c>
      <c r="G361" t="str">
        <f>IFERROR(__xludf.DUMMYFUNCTION("""COMPUTED_VALUE"""),"")</f>
        <v/>
      </c>
      <c r="H361" t="str">
        <f>IFERROR(__xludf.DUMMYFUNCTION("""COMPUTED_VALUE"""),"")</f>
        <v/>
      </c>
      <c r="I361" t="str">
        <f>IFERROR(__xludf.DUMMYFUNCTION("""COMPUTED_VALUE"""),"")</f>
        <v/>
      </c>
      <c r="J361" t="str">
        <f>IFERROR(__xludf.DUMMYFUNCTION("""COMPUTED_VALUE"""),"")</f>
        <v/>
      </c>
      <c r="K361" t="str">
        <f>IFERROR(__xludf.DUMMYFUNCTION("""COMPUTED_VALUE"""),"")</f>
        <v/>
      </c>
      <c r="L361" t="str">
        <f>IFERROR(__xludf.DUMMYFUNCTION("""COMPUTED_VALUE"""),"")</f>
        <v/>
      </c>
    </row>
    <row r="362" ht="15.75" customHeight="1">
      <c r="A362" t="str">
        <f>IFERROR(__xludf.DUMMYFUNCTION("""COMPUTED_VALUE"""),"ThirdParty")</f>
        <v>ThirdParty</v>
      </c>
      <c r="B362" t="str">
        <f>IFERROR(__xludf.DUMMYFUNCTION("""COMPUTED_VALUE"""),"SelectThirdParty")</f>
        <v>SelectThirdParty</v>
      </c>
      <c r="C362" t="str">
        <f>IFERROR(__xludf.DUMMYFUNCTION("""COMPUTED_VALUE"""),"1k4lHaJJ_9NsJZ0FSNDDU_6f4jnaGdFRgIJnbFwRLohU")</f>
        <v>1k4lHaJJ_9NsJZ0FSNDDU_6f4jnaGdFRgIJnbFwRLohU</v>
      </c>
      <c r="D362" t="str">
        <f>IFERROR(__xludf.DUMMYFUNCTION("""COMPUTED_VALUE"""),"")</f>
        <v/>
      </c>
      <c r="E362" t="str">
        <f>IFERROR(__xludf.DUMMYFUNCTION("""COMPUTED_VALUE"""),"")</f>
        <v/>
      </c>
      <c r="F362" t="str">
        <f>IFERROR(__xludf.DUMMYFUNCTION("""COMPUTED_VALUE"""),"")</f>
        <v/>
      </c>
      <c r="G362" t="str">
        <f>IFERROR(__xludf.DUMMYFUNCTION("""COMPUTED_VALUE"""),"")</f>
        <v/>
      </c>
      <c r="H362" t="str">
        <f>IFERROR(__xludf.DUMMYFUNCTION("""COMPUTED_VALUE"""),"")</f>
        <v/>
      </c>
      <c r="I362" t="str">
        <f>IFERROR(__xludf.DUMMYFUNCTION("""COMPUTED_VALUE"""),"")</f>
        <v/>
      </c>
      <c r="J362" t="str">
        <f>IFERROR(__xludf.DUMMYFUNCTION("""COMPUTED_VALUE"""),"")</f>
        <v/>
      </c>
      <c r="K362" t="str">
        <f>IFERROR(__xludf.DUMMYFUNCTION("""COMPUTED_VALUE"""),"")</f>
        <v/>
      </c>
      <c r="L362" t="str">
        <f>IFERROR(__xludf.DUMMYFUNCTION("""COMPUTED_VALUE"""),"")</f>
        <v/>
      </c>
    </row>
    <row r="363" ht="15.75" customHeight="1">
      <c r="A363" t="str">
        <f>IFERROR(__xludf.DUMMYFUNCTION("""COMPUTED_VALUE"""),"ThirdParty")</f>
        <v>ThirdParty</v>
      </c>
      <c r="B363" t="str">
        <f>IFERROR(__xludf.DUMMYFUNCTION("""COMPUTED_VALUE"""),"ViewThirdParty")</f>
        <v>ViewThirdParty</v>
      </c>
      <c r="C363" t="str">
        <f>IFERROR(__xludf.DUMMYFUNCTION("""COMPUTED_VALUE"""),"1F_BXcQL-UOYNmtCgE2FRSzTxqoMMKNIV-clJRsPLe1s")</f>
        <v>1F_BXcQL-UOYNmtCgE2FRSzTxqoMMKNIV-clJRsPLe1s</v>
      </c>
      <c r="D363" t="str">
        <f>IFERROR(__xludf.DUMMYFUNCTION("""COMPUTED_VALUE"""),"")</f>
        <v/>
      </c>
      <c r="E363" t="str">
        <f>IFERROR(__xludf.DUMMYFUNCTION("""COMPUTED_VALUE"""),"")</f>
        <v/>
      </c>
      <c r="F363" t="str">
        <f>IFERROR(__xludf.DUMMYFUNCTION("""COMPUTED_VALUE"""),"")</f>
        <v/>
      </c>
      <c r="G363" t="str">
        <f>IFERROR(__xludf.DUMMYFUNCTION("""COMPUTED_VALUE"""),"")</f>
        <v/>
      </c>
      <c r="H363" t="str">
        <f>IFERROR(__xludf.DUMMYFUNCTION("""COMPUTED_VALUE"""),"")</f>
        <v/>
      </c>
      <c r="I363" t="str">
        <f>IFERROR(__xludf.DUMMYFUNCTION("""COMPUTED_VALUE"""),"")</f>
        <v/>
      </c>
      <c r="J363" t="str">
        <f>IFERROR(__xludf.DUMMYFUNCTION("""COMPUTED_VALUE"""),"")</f>
        <v/>
      </c>
      <c r="K363" t="str">
        <f>IFERROR(__xludf.DUMMYFUNCTION("""COMPUTED_VALUE"""),"")</f>
        <v/>
      </c>
      <c r="L363" t="str">
        <f>IFERROR(__xludf.DUMMYFUNCTION("""COMPUTED_VALUE"""),"")</f>
        <v/>
      </c>
    </row>
    <row r="364" ht="15.75" customHeight="1">
      <c r="A364" t="str">
        <f>IFERROR(__xludf.DUMMYFUNCTION("""COMPUTED_VALUE"""),"ThirdParty")</f>
        <v>ThirdParty</v>
      </c>
      <c r="B364" t="str">
        <f>IFERROR(__xludf.DUMMYFUNCTION("""COMPUTED_VALUE"""),"GenerateThirdPartyData")</f>
        <v>GenerateThirdPartyData</v>
      </c>
      <c r="C364" t="str">
        <f>IFERROR(__xludf.DUMMYFUNCTION("""COMPUTED_VALUE"""),"1jO2sEi9fgfj6h9R95yhsETkryLMSfEkw-vbND7WNKY8")</f>
        <v>1jO2sEi9fgfj6h9R95yhsETkryLMSfEkw-vbND7WNKY8</v>
      </c>
      <c r="D364" t="str">
        <f>IFERROR(__xludf.DUMMYFUNCTION("""COMPUTED_VALUE"""),"")</f>
        <v/>
      </c>
      <c r="E364" t="str">
        <f>IFERROR(__xludf.DUMMYFUNCTION("""COMPUTED_VALUE"""),"")</f>
        <v/>
      </c>
      <c r="F364" t="str">
        <f>IFERROR(__xludf.DUMMYFUNCTION("""COMPUTED_VALUE"""),"")</f>
        <v/>
      </c>
      <c r="G364" t="str">
        <f>IFERROR(__xludf.DUMMYFUNCTION("""COMPUTED_VALUE"""),"")</f>
        <v/>
      </c>
      <c r="H364" t="str">
        <f>IFERROR(__xludf.DUMMYFUNCTION("""COMPUTED_VALUE"""),"")</f>
        <v/>
      </c>
      <c r="I364" t="str">
        <f>IFERROR(__xludf.DUMMYFUNCTION("""COMPUTED_VALUE"""),"")</f>
        <v/>
      </c>
      <c r="J364" t="str">
        <f>IFERROR(__xludf.DUMMYFUNCTION("""COMPUTED_VALUE"""),"")</f>
        <v/>
      </c>
      <c r="K364" t="str">
        <f>IFERROR(__xludf.DUMMYFUNCTION("""COMPUTED_VALUE"""),"")</f>
        <v/>
      </c>
      <c r="L364" t="str">
        <f>IFERROR(__xludf.DUMMYFUNCTION("""COMPUTED_VALUE"""),"")</f>
        <v/>
      </c>
    </row>
    <row r="365" ht="15.75" customHeight="1">
      <c r="A365" t="str">
        <f>IFERROR(__xludf.DUMMYFUNCTION("""COMPUTED_VALUE"""),"ThirdParty")</f>
        <v>ThirdParty</v>
      </c>
      <c r="B365" t="str">
        <f>IFERROR(__xludf.DUMMYFUNCTION("""COMPUTED_VALUE"""),"ThirdPartyGenerate")</f>
        <v>ThirdPartyGenerate</v>
      </c>
      <c r="C365" t="str">
        <f>IFERROR(__xludf.DUMMYFUNCTION("""COMPUTED_VALUE"""),"1puok3lGCTJkc7JrWkRgGfOSPIdh4ZDhQ6wjL8ymHgHE")</f>
        <v>1puok3lGCTJkc7JrWkRgGfOSPIdh4ZDhQ6wjL8ymHgHE</v>
      </c>
      <c r="D365" t="str">
        <f>IFERROR(__xludf.DUMMYFUNCTION("""COMPUTED_VALUE"""),"")</f>
        <v/>
      </c>
      <c r="E365" t="str">
        <f>IFERROR(__xludf.DUMMYFUNCTION("""COMPUTED_VALUE"""),"")</f>
        <v/>
      </c>
      <c r="F365" t="str">
        <f>IFERROR(__xludf.DUMMYFUNCTION("""COMPUTED_VALUE"""),"")</f>
        <v/>
      </c>
      <c r="G365" t="str">
        <f>IFERROR(__xludf.DUMMYFUNCTION("""COMPUTED_VALUE"""),"")</f>
        <v/>
      </c>
      <c r="H365" t="str">
        <f>IFERROR(__xludf.DUMMYFUNCTION("""COMPUTED_VALUE"""),"")</f>
        <v/>
      </c>
      <c r="I365" t="str">
        <f>IFERROR(__xludf.DUMMYFUNCTION("""COMPUTED_VALUE"""),"")</f>
        <v/>
      </c>
      <c r="J365" t="str">
        <f>IFERROR(__xludf.DUMMYFUNCTION("""COMPUTED_VALUE"""),"")</f>
        <v/>
      </c>
      <c r="K365" t="str">
        <f>IFERROR(__xludf.DUMMYFUNCTION("""COMPUTED_VALUE"""),"")</f>
        <v/>
      </c>
      <c r="L365" t="str">
        <f>IFERROR(__xludf.DUMMYFUNCTION("""COMPUTED_VALUE"""),"")</f>
        <v/>
      </c>
    </row>
    <row r="366" ht="15.75" customHeight="1">
      <c r="A366" t="str">
        <f>IFERROR(__xludf.DUMMYFUNCTION("""COMPUTED_VALUE"""),"Admin")</f>
        <v>Admin</v>
      </c>
      <c r="B366" t="str">
        <f>IFERROR(__xludf.DUMMYFUNCTION("""COMPUTED_VALUE"""),"SetRollover")</f>
        <v>SetRollover</v>
      </c>
      <c r="C366" t="str">
        <f>IFERROR(__xludf.DUMMYFUNCTION("""COMPUTED_VALUE"""),"1enrqJSoARlmScHFR8FFzCMjK0eft-_xCn0wQRtC5ZQ8")</f>
        <v>1enrqJSoARlmScHFR8FFzCMjK0eft-_xCn0wQRtC5ZQ8</v>
      </c>
      <c r="D366" t="str">
        <f>IFERROR(__xludf.DUMMYFUNCTION("""COMPUTED_VALUE"""),"")</f>
        <v/>
      </c>
      <c r="E366" t="str">
        <f>IFERROR(__xludf.DUMMYFUNCTION("""COMPUTED_VALUE"""),"")</f>
        <v/>
      </c>
      <c r="F366" t="str">
        <f>IFERROR(__xludf.DUMMYFUNCTION("""COMPUTED_VALUE"""),"")</f>
        <v/>
      </c>
      <c r="G366" t="str">
        <f>IFERROR(__xludf.DUMMYFUNCTION("""COMPUTED_VALUE"""),"")</f>
        <v/>
      </c>
      <c r="H366" t="str">
        <f>IFERROR(__xludf.DUMMYFUNCTION("""COMPUTED_VALUE"""),"")</f>
        <v/>
      </c>
      <c r="I366" t="str">
        <f>IFERROR(__xludf.DUMMYFUNCTION("""COMPUTED_VALUE"""),"")</f>
        <v/>
      </c>
      <c r="J366" t="str">
        <f>IFERROR(__xludf.DUMMYFUNCTION("""COMPUTED_VALUE"""),"")</f>
        <v/>
      </c>
      <c r="K366" t="str">
        <f>IFERROR(__xludf.DUMMYFUNCTION("""COMPUTED_VALUE"""),"")</f>
        <v/>
      </c>
      <c r="L366" t="str">
        <f>IFERROR(__xludf.DUMMYFUNCTION("""COMPUTED_VALUE"""),"")</f>
        <v/>
      </c>
    </row>
    <row r="367" ht="15.75" customHeight="1">
      <c r="A367" t="str">
        <f>IFERROR(__xludf.DUMMYFUNCTION("""COMPUTED_VALUE"""),"Blotter")</f>
        <v>Blotter</v>
      </c>
      <c r="B367" t="str">
        <f>IFERROR(__xludf.DUMMYFUNCTION("""COMPUTED_VALUE"""),"VerifyRollover")</f>
        <v>VerifyRollover</v>
      </c>
      <c r="C367" t="str">
        <f>IFERROR(__xludf.DUMMYFUNCTION("""COMPUTED_VALUE"""),"1tJyh5JL-64iQ-bl-RuMJOMs882_Zoag9NMKD3Z9YksY")</f>
        <v>1tJyh5JL-64iQ-bl-RuMJOMs882_Zoag9NMKD3Z9YksY</v>
      </c>
      <c r="D367" t="str">
        <f>IFERROR(__xludf.DUMMYFUNCTION("""COMPUTED_VALUE"""),"")</f>
        <v/>
      </c>
      <c r="E367" t="str">
        <f>IFERROR(__xludf.DUMMYFUNCTION("""COMPUTED_VALUE"""),"")</f>
        <v/>
      </c>
      <c r="F367" t="str">
        <f>IFERROR(__xludf.DUMMYFUNCTION("""COMPUTED_VALUE"""),"")</f>
        <v/>
      </c>
      <c r="G367" t="str">
        <f>IFERROR(__xludf.DUMMYFUNCTION("""COMPUTED_VALUE"""),"")</f>
        <v/>
      </c>
      <c r="H367" t="str">
        <f>IFERROR(__xludf.DUMMYFUNCTION("""COMPUTED_VALUE"""),"")</f>
        <v/>
      </c>
      <c r="I367" t="str">
        <f>IFERROR(__xludf.DUMMYFUNCTION("""COMPUTED_VALUE"""),"")</f>
        <v/>
      </c>
      <c r="J367" t="str">
        <f>IFERROR(__xludf.DUMMYFUNCTION("""COMPUTED_VALUE"""),"")</f>
        <v/>
      </c>
      <c r="K367" t="str">
        <f>IFERROR(__xludf.DUMMYFUNCTION("""COMPUTED_VALUE"""),"")</f>
        <v/>
      </c>
      <c r="L367" t="str">
        <f>IFERROR(__xludf.DUMMYFUNCTION("""COMPUTED_VALUE"""),"")</f>
        <v/>
      </c>
    </row>
    <row r="368" ht="15.75" customHeight="1">
      <c r="A368" t="str">
        <f>IFERROR(__xludf.DUMMYFUNCTION("""COMPUTED_VALUE"""),"PranaClient")</f>
        <v>PranaClient</v>
      </c>
      <c r="B368" t="str">
        <f>IFERROR(__xludf.DUMMYFUNCTION("""COMPUTED_VALUE"""),"RestartClient")</f>
        <v>RestartClient</v>
      </c>
      <c r="C368" t="str">
        <f>IFERROR(__xludf.DUMMYFUNCTION("""COMPUTED_VALUE"""),"1Bz82rxtbsfQ4tpuZ9syMjXr63Q8bfX_f24L8wLWkI_E")</f>
        <v>1Bz82rxtbsfQ4tpuZ9syMjXr63Q8bfX_f24L8wLWkI_E</v>
      </c>
      <c r="D368" t="str">
        <f>IFERROR(__xludf.DUMMYFUNCTION("""COMPUTED_VALUE"""),"")</f>
        <v/>
      </c>
      <c r="E368" t="str">
        <f>IFERROR(__xludf.DUMMYFUNCTION("""COMPUTED_VALUE"""),"")</f>
        <v/>
      </c>
      <c r="F368" t="str">
        <f>IFERROR(__xludf.DUMMYFUNCTION("""COMPUTED_VALUE"""),"")</f>
        <v/>
      </c>
      <c r="G368" t="str">
        <f>IFERROR(__xludf.DUMMYFUNCTION("""COMPUTED_VALUE"""),"")</f>
        <v/>
      </c>
      <c r="H368" t="str">
        <f>IFERROR(__xludf.DUMMYFUNCTION("""COMPUTED_VALUE"""),"")</f>
        <v/>
      </c>
      <c r="I368" t="str">
        <f>IFERROR(__xludf.DUMMYFUNCTION("""COMPUTED_VALUE"""),"")</f>
        <v/>
      </c>
      <c r="J368" t="str">
        <f>IFERROR(__xludf.DUMMYFUNCTION("""COMPUTED_VALUE"""),"")</f>
        <v/>
      </c>
      <c r="K368" t="str">
        <f>IFERROR(__xludf.DUMMYFUNCTION("""COMPUTED_VALUE"""),"")</f>
        <v/>
      </c>
      <c r="L368" t="str">
        <f>IFERROR(__xludf.DUMMYFUNCTION("""COMPUTED_VALUE"""),"")</f>
        <v/>
      </c>
    </row>
    <row r="369" ht="15.75" customHeight="1">
      <c r="A369" t="str">
        <f>IFERROR(__xludf.DUMMYFUNCTION("""COMPUTED_VALUE"""),"")</f>
        <v/>
      </c>
      <c r="B369" t="str">
        <f>IFERROR(__xludf.DUMMYFUNCTION("""COMPUTED_VALUE"""),"")</f>
        <v/>
      </c>
      <c r="C369" t="str">
        <f>IFERROR(__xludf.DUMMYFUNCTION("""COMPUTED_VALUE"""),"")</f>
        <v/>
      </c>
      <c r="D369" t="str">
        <f>IFERROR(__xludf.DUMMYFUNCTION("""COMPUTED_VALUE"""),"")</f>
        <v/>
      </c>
      <c r="E369" t="str">
        <f>IFERROR(__xludf.DUMMYFUNCTION("""COMPUTED_VALUE"""),"")</f>
        <v/>
      </c>
      <c r="F369" t="str">
        <f>IFERROR(__xludf.DUMMYFUNCTION("""COMPUTED_VALUE"""),"")</f>
        <v/>
      </c>
      <c r="G369" t="str">
        <f>IFERROR(__xludf.DUMMYFUNCTION("""COMPUTED_VALUE"""),"")</f>
        <v/>
      </c>
      <c r="H369" t="str">
        <f>IFERROR(__xludf.DUMMYFUNCTION("""COMPUTED_VALUE"""),"")</f>
        <v/>
      </c>
      <c r="I369" t="str">
        <f>IFERROR(__xludf.DUMMYFUNCTION("""COMPUTED_VALUE"""),"")</f>
        <v/>
      </c>
      <c r="J369" t="str">
        <f>IFERROR(__xludf.DUMMYFUNCTION("""COMPUTED_VALUE"""),"")</f>
        <v/>
      </c>
      <c r="K369" t="str">
        <f>IFERROR(__xludf.DUMMYFUNCTION("""COMPUTED_VALUE"""),"")</f>
        <v/>
      </c>
      <c r="L369" t="str">
        <f>IFERROR(__xludf.DUMMYFUNCTION("""COMPUTED_VALUE"""),"")</f>
        <v/>
      </c>
    </row>
    <row r="370" ht="15.75" customHeight="1">
      <c r="A370" t="str">
        <f>IFERROR(__xludf.DUMMYFUNCTION("""COMPUTED_VALUE"""),"")</f>
        <v/>
      </c>
      <c r="B370" t="str">
        <f>IFERROR(__xludf.DUMMYFUNCTION("""COMPUTED_VALUE"""),"")</f>
        <v/>
      </c>
      <c r="C370" t="str">
        <f>IFERROR(__xludf.DUMMYFUNCTION("""COMPUTED_VALUE"""),"")</f>
        <v/>
      </c>
      <c r="D370" t="str">
        <f>IFERROR(__xludf.DUMMYFUNCTION("""COMPUTED_VALUE"""),"")</f>
        <v/>
      </c>
      <c r="E370" t="str">
        <f>IFERROR(__xludf.DUMMYFUNCTION("""COMPUTED_VALUE"""),"")</f>
        <v/>
      </c>
      <c r="F370" t="str">
        <f>IFERROR(__xludf.DUMMYFUNCTION("""COMPUTED_VALUE"""),"")</f>
        <v/>
      </c>
      <c r="G370" t="str">
        <f>IFERROR(__xludf.DUMMYFUNCTION("""COMPUTED_VALUE"""),"")</f>
        <v/>
      </c>
      <c r="H370" t="str">
        <f>IFERROR(__xludf.DUMMYFUNCTION("""COMPUTED_VALUE"""),"")</f>
        <v/>
      </c>
      <c r="I370" t="str">
        <f>IFERROR(__xludf.DUMMYFUNCTION("""COMPUTED_VALUE"""),"")</f>
        <v/>
      </c>
      <c r="J370" t="str">
        <f>IFERROR(__xludf.DUMMYFUNCTION("""COMPUTED_VALUE"""),"")</f>
        <v/>
      </c>
      <c r="K370" t="str">
        <f>IFERROR(__xludf.DUMMYFUNCTION("""COMPUTED_VALUE"""),"")</f>
        <v/>
      </c>
      <c r="L370" t="str">
        <f>IFERROR(__xludf.DUMMYFUNCTION("""COMPUTED_VALUE"""),"")</f>
        <v/>
      </c>
    </row>
    <row r="371" ht="15.75" customHeight="1">
      <c r="A371" t="str">
        <f>IFERROR(__xludf.DUMMYFUNCTION("""COMPUTED_VALUE"""),"")</f>
        <v/>
      </c>
      <c r="B371" t="str">
        <f>IFERROR(__xludf.DUMMYFUNCTION("""COMPUTED_VALUE"""),"")</f>
        <v/>
      </c>
      <c r="C371" t="str">
        <f>IFERROR(__xludf.DUMMYFUNCTION("""COMPUTED_VALUE"""),"")</f>
        <v/>
      </c>
      <c r="D371" t="str">
        <f>IFERROR(__xludf.DUMMYFUNCTION("""COMPUTED_VALUE"""),"")</f>
        <v/>
      </c>
      <c r="E371" t="str">
        <f>IFERROR(__xludf.DUMMYFUNCTION("""COMPUTED_VALUE"""),"")</f>
        <v/>
      </c>
      <c r="F371" t="str">
        <f>IFERROR(__xludf.DUMMYFUNCTION("""COMPUTED_VALUE"""),"")</f>
        <v/>
      </c>
      <c r="G371" t="str">
        <f>IFERROR(__xludf.DUMMYFUNCTION("""COMPUTED_VALUE"""),"")</f>
        <v/>
      </c>
      <c r="H371" t="str">
        <f>IFERROR(__xludf.DUMMYFUNCTION("""COMPUTED_VALUE"""),"")</f>
        <v/>
      </c>
      <c r="I371" t="str">
        <f>IFERROR(__xludf.DUMMYFUNCTION("""COMPUTED_VALUE"""),"")</f>
        <v/>
      </c>
      <c r="J371" t="str">
        <f>IFERROR(__xludf.DUMMYFUNCTION("""COMPUTED_VALUE"""),"")</f>
        <v/>
      </c>
      <c r="K371" t="str">
        <f>IFERROR(__xludf.DUMMYFUNCTION("""COMPUTED_VALUE"""),"")</f>
        <v/>
      </c>
      <c r="L371" t="str">
        <f>IFERROR(__xludf.DUMMYFUNCTION("""COMPUTED_VALUE"""),"")</f>
        <v/>
      </c>
    </row>
    <row r="372" ht="15.75" customHeight="1">
      <c r="A372" t="str">
        <f>IFERROR(__xludf.DUMMYFUNCTION("""COMPUTED_VALUE"""),"")</f>
        <v/>
      </c>
      <c r="B372" t="str">
        <f>IFERROR(__xludf.DUMMYFUNCTION("""COMPUTED_VALUE"""),"")</f>
        <v/>
      </c>
      <c r="C372" t="str">
        <f>IFERROR(__xludf.DUMMYFUNCTION("""COMPUTED_VALUE"""),"")</f>
        <v/>
      </c>
      <c r="D372" t="str">
        <f>IFERROR(__xludf.DUMMYFUNCTION("""COMPUTED_VALUE"""),"")</f>
        <v/>
      </c>
      <c r="E372" t="str">
        <f>IFERROR(__xludf.DUMMYFUNCTION("""COMPUTED_VALUE"""),"")</f>
        <v/>
      </c>
      <c r="F372" t="str">
        <f>IFERROR(__xludf.DUMMYFUNCTION("""COMPUTED_VALUE"""),"")</f>
        <v/>
      </c>
      <c r="G372" t="str">
        <f>IFERROR(__xludf.DUMMYFUNCTION("""COMPUTED_VALUE"""),"")</f>
        <v/>
      </c>
      <c r="H372" t="str">
        <f>IFERROR(__xludf.DUMMYFUNCTION("""COMPUTED_VALUE"""),"")</f>
        <v/>
      </c>
      <c r="I372" t="str">
        <f>IFERROR(__xludf.DUMMYFUNCTION("""COMPUTED_VALUE"""),"")</f>
        <v/>
      </c>
      <c r="J372" t="str">
        <f>IFERROR(__xludf.DUMMYFUNCTION("""COMPUTED_VALUE"""),"")</f>
        <v/>
      </c>
      <c r="K372" t="str">
        <f>IFERROR(__xludf.DUMMYFUNCTION("""COMPUTED_VALUE"""),"")</f>
        <v/>
      </c>
      <c r="L372" t="str">
        <f>IFERROR(__xludf.DUMMYFUNCTION("""COMPUTED_VALUE"""),"")</f>
        <v/>
      </c>
    </row>
    <row r="373" ht="15.75" customHeight="1">
      <c r="A373" t="str">
        <f>IFERROR(__xludf.DUMMYFUNCTION("""COMPUTED_VALUE"""),"")</f>
        <v/>
      </c>
      <c r="B373" t="str">
        <f>IFERROR(__xludf.DUMMYFUNCTION("""COMPUTED_VALUE"""),"")</f>
        <v/>
      </c>
      <c r="C373" t="str">
        <f>IFERROR(__xludf.DUMMYFUNCTION("""COMPUTED_VALUE"""),"")</f>
        <v/>
      </c>
      <c r="D373" t="str">
        <f>IFERROR(__xludf.DUMMYFUNCTION("""COMPUTED_VALUE"""),"")</f>
        <v/>
      </c>
      <c r="E373" t="str">
        <f>IFERROR(__xludf.DUMMYFUNCTION("""COMPUTED_VALUE"""),"")</f>
        <v/>
      </c>
      <c r="F373" t="str">
        <f>IFERROR(__xludf.DUMMYFUNCTION("""COMPUTED_VALUE"""),"")</f>
        <v/>
      </c>
      <c r="G373" t="str">
        <f>IFERROR(__xludf.DUMMYFUNCTION("""COMPUTED_VALUE"""),"")</f>
        <v/>
      </c>
      <c r="H373" t="str">
        <f>IFERROR(__xludf.DUMMYFUNCTION("""COMPUTED_VALUE"""),"")</f>
        <v/>
      </c>
      <c r="I373" t="str">
        <f>IFERROR(__xludf.DUMMYFUNCTION("""COMPUTED_VALUE"""),"")</f>
        <v/>
      </c>
      <c r="J373" t="str">
        <f>IFERROR(__xludf.DUMMYFUNCTION("""COMPUTED_VALUE"""),"")</f>
        <v/>
      </c>
      <c r="K373" t="str">
        <f>IFERROR(__xludf.DUMMYFUNCTION("""COMPUTED_VALUE"""),"")</f>
        <v/>
      </c>
      <c r="L373" t="str">
        <f>IFERROR(__xludf.DUMMYFUNCTION("""COMPUTED_VALUE"""),"")</f>
        <v/>
      </c>
    </row>
    <row r="374" ht="15.75" customHeight="1">
      <c r="A374" t="str">
        <f>IFERROR(__xludf.DUMMYFUNCTION("""COMPUTED_VALUE"""),"")</f>
        <v/>
      </c>
      <c r="B374" t="str">
        <f>IFERROR(__xludf.DUMMYFUNCTION("""COMPUTED_VALUE"""),"")</f>
        <v/>
      </c>
      <c r="C374" t="str">
        <f>IFERROR(__xludf.DUMMYFUNCTION("""COMPUTED_VALUE"""),"")</f>
        <v/>
      </c>
      <c r="D374" t="str">
        <f>IFERROR(__xludf.DUMMYFUNCTION("""COMPUTED_VALUE"""),"")</f>
        <v/>
      </c>
      <c r="E374" t="str">
        <f>IFERROR(__xludf.DUMMYFUNCTION("""COMPUTED_VALUE"""),"")</f>
        <v/>
      </c>
      <c r="F374" t="str">
        <f>IFERROR(__xludf.DUMMYFUNCTION("""COMPUTED_VALUE"""),"")</f>
        <v/>
      </c>
      <c r="G374" t="str">
        <f>IFERROR(__xludf.DUMMYFUNCTION("""COMPUTED_VALUE"""),"")</f>
        <v/>
      </c>
      <c r="H374" t="str">
        <f>IFERROR(__xludf.DUMMYFUNCTION("""COMPUTED_VALUE"""),"")</f>
        <v/>
      </c>
      <c r="I374" t="str">
        <f>IFERROR(__xludf.DUMMYFUNCTION("""COMPUTED_VALUE"""),"")</f>
        <v/>
      </c>
      <c r="J374" t="str">
        <f>IFERROR(__xludf.DUMMYFUNCTION("""COMPUTED_VALUE"""),"")</f>
        <v/>
      </c>
      <c r="K374" t="str">
        <f>IFERROR(__xludf.DUMMYFUNCTION("""COMPUTED_VALUE"""),"")</f>
        <v/>
      </c>
      <c r="L374" t="str">
        <f>IFERROR(__xludf.DUMMYFUNCTION("""COMPUTED_VALUE"""),"")</f>
        <v/>
      </c>
    </row>
    <row r="375" ht="15.75" customHeight="1">
      <c r="A375" t="str">
        <f>IFERROR(__xludf.DUMMYFUNCTION("""COMPUTED_VALUE"""),"")</f>
        <v/>
      </c>
      <c r="B375" t="str">
        <f>IFERROR(__xludf.DUMMYFUNCTION("""COMPUTED_VALUE"""),"")</f>
        <v/>
      </c>
      <c r="C375" t="str">
        <f>IFERROR(__xludf.DUMMYFUNCTION("""COMPUTED_VALUE"""),"")</f>
        <v/>
      </c>
      <c r="D375" t="str">
        <f>IFERROR(__xludf.DUMMYFUNCTION("""COMPUTED_VALUE"""),"")</f>
        <v/>
      </c>
      <c r="E375" t="str">
        <f>IFERROR(__xludf.DUMMYFUNCTION("""COMPUTED_VALUE"""),"")</f>
        <v/>
      </c>
      <c r="F375" t="str">
        <f>IFERROR(__xludf.DUMMYFUNCTION("""COMPUTED_VALUE"""),"")</f>
        <v/>
      </c>
      <c r="G375" t="str">
        <f>IFERROR(__xludf.DUMMYFUNCTION("""COMPUTED_VALUE"""),"")</f>
        <v/>
      </c>
      <c r="H375" t="str">
        <f>IFERROR(__xludf.DUMMYFUNCTION("""COMPUTED_VALUE"""),"")</f>
        <v/>
      </c>
      <c r="I375" t="str">
        <f>IFERROR(__xludf.DUMMYFUNCTION("""COMPUTED_VALUE"""),"")</f>
        <v/>
      </c>
      <c r="J375" t="str">
        <f>IFERROR(__xludf.DUMMYFUNCTION("""COMPUTED_VALUE"""),"")</f>
        <v/>
      </c>
      <c r="K375" t="str">
        <f>IFERROR(__xludf.DUMMYFUNCTION("""COMPUTED_VALUE"""),"")</f>
        <v/>
      </c>
      <c r="L375" t="str">
        <f>IFERROR(__xludf.DUMMYFUNCTION("""COMPUTED_VALUE"""),"")</f>
        <v/>
      </c>
    </row>
    <row r="376" ht="15.75" customHeight="1">
      <c r="A376" t="str">
        <f>IFERROR(__xludf.DUMMYFUNCTION("""COMPUTED_VALUE"""),"")</f>
        <v/>
      </c>
      <c r="B376" t="str">
        <f>IFERROR(__xludf.DUMMYFUNCTION("""COMPUTED_VALUE"""),"")</f>
        <v/>
      </c>
      <c r="C376" t="str">
        <f>IFERROR(__xludf.DUMMYFUNCTION("""COMPUTED_VALUE"""),"")</f>
        <v/>
      </c>
      <c r="D376" t="str">
        <f>IFERROR(__xludf.DUMMYFUNCTION("""COMPUTED_VALUE"""),"")</f>
        <v/>
      </c>
      <c r="E376" t="str">
        <f>IFERROR(__xludf.DUMMYFUNCTION("""COMPUTED_VALUE"""),"")</f>
        <v/>
      </c>
      <c r="F376" t="str">
        <f>IFERROR(__xludf.DUMMYFUNCTION("""COMPUTED_VALUE"""),"")</f>
        <v/>
      </c>
      <c r="G376" t="str">
        <f>IFERROR(__xludf.DUMMYFUNCTION("""COMPUTED_VALUE"""),"")</f>
        <v/>
      </c>
      <c r="H376" t="str">
        <f>IFERROR(__xludf.DUMMYFUNCTION("""COMPUTED_VALUE"""),"")</f>
        <v/>
      </c>
      <c r="I376" t="str">
        <f>IFERROR(__xludf.DUMMYFUNCTION("""COMPUTED_VALUE"""),"")</f>
        <v/>
      </c>
      <c r="J376" t="str">
        <f>IFERROR(__xludf.DUMMYFUNCTION("""COMPUTED_VALUE"""),"")</f>
        <v/>
      </c>
      <c r="K376" t="str">
        <f>IFERROR(__xludf.DUMMYFUNCTION("""COMPUTED_VALUE"""),"")</f>
        <v/>
      </c>
      <c r="L376" t="str">
        <f>IFERROR(__xludf.DUMMYFUNCTION("""COMPUTED_VALUE"""),"")</f>
        <v/>
      </c>
    </row>
    <row r="377" ht="15.75" customHeight="1">
      <c r="A377" t="str">
        <f>IFERROR(__xludf.DUMMYFUNCTION("""COMPUTED_VALUE"""),"")</f>
        <v/>
      </c>
      <c r="B377" t="str">
        <f>IFERROR(__xludf.DUMMYFUNCTION("""COMPUTED_VALUE"""),"")</f>
        <v/>
      </c>
      <c r="C377" t="str">
        <f>IFERROR(__xludf.DUMMYFUNCTION("""COMPUTED_VALUE"""),"")</f>
        <v/>
      </c>
      <c r="D377" t="str">
        <f>IFERROR(__xludf.DUMMYFUNCTION("""COMPUTED_VALUE"""),"")</f>
        <v/>
      </c>
      <c r="E377" t="str">
        <f>IFERROR(__xludf.DUMMYFUNCTION("""COMPUTED_VALUE"""),"")</f>
        <v/>
      </c>
      <c r="F377" t="str">
        <f>IFERROR(__xludf.DUMMYFUNCTION("""COMPUTED_VALUE"""),"")</f>
        <v/>
      </c>
      <c r="G377" t="str">
        <f>IFERROR(__xludf.DUMMYFUNCTION("""COMPUTED_VALUE"""),"")</f>
        <v/>
      </c>
      <c r="H377" t="str">
        <f>IFERROR(__xludf.DUMMYFUNCTION("""COMPUTED_VALUE"""),"")</f>
        <v/>
      </c>
      <c r="I377" t="str">
        <f>IFERROR(__xludf.DUMMYFUNCTION("""COMPUTED_VALUE"""),"")</f>
        <v/>
      </c>
      <c r="J377" t="str">
        <f>IFERROR(__xludf.DUMMYFUNCTION("""COMPUTED_VALUE"""),"")</f>
        <v/>
      </c>
      <c r="K377" t="str">
        <f>IFERROR(__xludf.DUMMYFUNCTION("""COMPUTED_VALUE"""),"")</f>
        <v/>
      </c>
      <c r="L377" t="str">
        <f>IFERROR(__xludf.DUMMYFUNCTION("""COMPUTED_VALUE"""),"")</f>
        <v/>
      </c>
    </row>
    <row r="378" ht="15.75" customHeight="1">
      <c r="A378" t="str">
        <f>IFERROR(__xludf.DUMMYFUNCTION("""COMPUTED_VALUE"""),"")</f>
        <v/>
      </c>
      <c r="B378" t="str">
        <f>IFERROR(__xludf.DUMMYFUNCTION("""COMPUTED_VALUE"""),"")</f>
        <v/>
      </c>
      <c r="C378" t="str">
        <f>IFERROR(__xludf.DUMMYFUNCTION("""COMPUTED_VALUE"""),"")</f>
        <v/>
      </c>
      <c r="D378" t="str">
        <f>IFERROR(__xludf.DUMMYFUNCTION("""COMPUTED_VALUE"""),"")</f>
        <v/>
      </c>
      <c r="E378" t="str">
        <f>IFERROR(__xludf.DUMMYFUNCTION("""COMPUTED_VALUE"""),"")</f>
        <v/>
      </c>
      <c r="F378" t="str">
        <f>IFERROR(__xludf.DUMMYFUNCTION("""COMPUTED_VALUE"""),"")</f>
        <v/>
      </c>
      <c r="G378" t="str">
        <f>IFERROR(__xludf.DUMMYFUNCTION("""COMPUTED_VALUE"""),"")</f>
        <v/>
      </c>
      <c r="H378" t="str">
        <f>IFERROR(__xludf.DUMMYFUNCTION("""COMPUTED_VALUE"""),"")</f>
        <v/>
      </c>
      <c r="I378" t="str">
        <f>IFERROR(__xludf.DUMMYFUNCTION("""COMPUTED_VALUE"""),"")</f>
        <v/>
      </c>
      <c r="J378" t="str">
        <f>IFERROR(__xludf.DUMMYFUNCTION("""COMPUTED_VALUE"""),"")</f>
        <v/>
      </c>
      <c r="K378" t="str">
        <f>IFERROR(__xludf.DUMMYFUNCTION("""COMPUTED_VALUE"""),"")</f>
        <v/>
      </c>
      <c r="L378" t="str">
        <f>IFERROR(__xludf.DUMMYFUNCTION("""COMPUTED_VALUE"""),"")</f>
        <v/>
      </c>
    </row>
    <row r="379" ht="15.75" customHeight="1">
      <c r="A379" t="str">
        <f>IFERROR(__xludf.DUMMYFUNCTION("""COMPUTED_VALUE"""),"")</f>
        <v/>
      </c>
      <c r="B379" t="str">
        <f>IFERROR(__xludf.DUMMYFUNCTION("""COMPUTED_VALUE"""),"")</f>
        <v/>
      </c>
      <c r="C379" t="str">
        <f>IFERROR(__xludf.DUMMYFUNCTION("""COMPUTED_VALUE"""),"")</f>
        <v/>
      </c>
      <c r="D379" t="str">
        <f>IFERROR(__xludf.DUMMYFUNCTION("""COMPUTED_VALUE"""),"")</f>
        <v/>
      </c>
      <c r="E379" t="str">
        <f>IFERROR(__xludf.DUMMYFUNCTION("""COMPUTED_VALUE"""),"")</f>
        <v/>
      </c>
      <c r="F379" t="str">
        <f>IFERROR(__xludf.DUMMYFUNCTION("""COMPUTED_VALUE"""),"")</f>
        <v/>
      </c>
      <c r="G379" t="str">
        <f>IFERROR(__xludf.DUMMYFUNCTION("""COMPUTED_VALUE"""),"")</f>
        <v/>
      </c>
      <c r="H379" t="str">
        <f>IFERROR(__xludf.DUMMYFUNCTION("""COMPUTED_VALUE"""),"")</f>
        <v/>
      </c>
      <c r="I379" t="str">
        <f>IFERROR(__xludf.DUMMYFUNCTION("""COMPUTED_VALUE"""),"")</f>
        <v/>
      </c>
      <c r="J379" t="str">
        <f>IFERROR(__xludf.DUMMYFUNCTION("""COMPUTED_VALUE"""),"")</f>
        <v/>
      </c>
      <c r="K379" t="str">
        <f>IFERROR(__xludf.DUMMYFUNCTION("""COMPUTED_VALUE"""),"")</f>
        <v/>
      </c>
      <c r="L379" t="str">
        <f>IFERROR(__xludf.DUMMYFUNCTION("""COMPUTED_VALUE"""),"")</f>
        <v/>
      </c>
    </row>
    <row r="380" ht="15.75" customHeight="1">
      <c r="A380" t="str">
        <f>IFERROR(__xludf.DUMMYFUNCTION("""COMPUTED_VALUE"""),"")</f>
        <v/>
      </c>
      <c r="B380" t="str">
        <f>IFERROR(__xludf.DUMMYFUNCTION("""COMPUTED_VALUE"""),"")</f>
        <v/>
      </c>
      <c r="C380" t="str">
        <f>IFERROR(__xludf.DUMMYFUNCTION("""COMPUTED_VALUE"""),"")</f>
        <v/>
      </c>
      <c r="D380" t="str">
        <f>IFERROR(__xludf.DUMMYFUNCTION("""COMPUTED_VALUE"""),"")</f>
        <v/>
      </c>
      <c r="E380" t="str">
        <f>IFERROR(__xludf.DUMMYFUNCTION("""COMPUTED_VALUE"""),"")</f>
        <v/>
      </c>
      <c r="F380" t="str">
        <f>IFERROR(__xludf.DUMMYFUNCTION("""COMPUTED_VALUE"""),"")</f>
        <v/>
      </c>
      <c r="G380" t="str">
        <f>IFERROR(__xludf.DUMMYFUNCTION("""COMPUTED_VALUE"""),"")</f>
        <v/>
      </c>
      <c r="H380" t="str">
        <f>IFERROR(__xludf.DUMMYFUNCTION("""COMPUTED_VALUE"""),"")</f>
        <v/>
      </c>
      <c r="I380" t="str">
        <f>IFERROR(__xludf.DUMMYFUNCTION("""COMPUTED_VALUE"""),"")</f>
        <v/>
      </c>
      <c r="J380" t="str">
        <f>IFERROR(__xludf.DUMMYFUNCTION("""COMPUTED_VALUE"""),"")</f>
        <v/>
      </c>
      <c r="K380" t="str">
        <f>IFERROR(__xludf.DUMMYFUNCTION("""COMPUTED_VALUE"""),"")</f>
        <v/>
      </c>
      <c r="L380" t="str">
        <f>IFERROR(__xludf.DUMMYFUNCTION("""COMPUTED_VALUE"""),"")</f>
        <v/>
      </c>
    </row>
    <row r="381" ht="15.75" customHeight="1">
      <c r="A381" t="str">
        <f>IFERROR(__xludf.DUMMYFUNCTION("""COMPUTED_VALUE"""),"")</f>
        <v/>
      </c>
      <c r="B381" t="str">
        <f>IFERROR(__xludf.DUMMYFUNCTION("""COMPUTED_VALUE"""),"")</f>
        <v/>
      </c>
      <c r="C381" t="str">
        <f>IFERROR(__xludf.DUMMYFUNCTION("""COMPUTED_VALUE"""),"")</f>
        <v/>
      </c>
      <c r="D381" t="str">
        <f>IFERROR(__xludf.DUMMYFUNCTION("""COMPUTED_VALUE"""),"")</f>
        <v/>
      </c>
      <c r="E381" t="str">
        <f>IFERROR(__xludf.DUMMYFUNCTION("""COMPUTED_VALUE"""),"")</f>
        <v/>
      </c>
      <c r="F381" t="str">
        <f>IFERROR(__xludf.DUMMYFUNCTION("""COMPUTED_VALUE"""),"")</f>
        <v/>
      </c>
      <c r="G381" t="str">
        <f>IFERROR(__xludf.DUMMYFUNCTION("""COMPUTED_VALUE"""),"")</f>
        <v/>
      </c>
      <c r="H381" t="str">
        <f>IFERROR(__xludf.DUMMYFUNCTION("""COMPUTED_VALUE"""),"")</f>
        <v/>
      </c>
      <c r="I381" t="str">
        <f>IFERROR(__xludf.DUMMYFUNCTION("""COMPUTED_VALUE"""),"")</f>
        <v/>
      </c>
      <c r="J381" t="str">
        <f>IFERROR(__xludf.DUMMYFUNCTION("""COMPUTED_VALUE"""),"")</f>
        <v/>
      </c>
      <c r="K381" t="str">
        <f>IFERROR(__xludf.DUMMYFUNCTION("""COMPUTED_VALUE"""),"")</f>
        <v/>
      </c>
      <c r="L381" t="str">
        <f>IFERROR(__xludf.DUMMYFUNCTION("""COMPUTED_VALUE"""),"")</f>
        <v/>
      </c>
    </row>
    <row r="382" ht="15.75" customHeight="1">
      <c r="A382" t="str">
        <f>IFERROR(__xludf.DUMMYFUNCTION("""COMPUTED_VALUE"""),"")</f>
        <v/>
      </c>
      <c r="B382" t="str">
        <f>IFERROR(__xludf.DUMMYFUNCTION("""COMPUTED_VALUE"""),"")</f>
        <v/>
      </c>
      <c r="C382" t="str">
        <f>IFERROR(__xludf.DUMMYFUNCTION("""COMPUTED_VALUE"""),"")</f>
        <v/>
      </c>
      <c r="D382" t="str">
        <f>IFERROR(__xludf.DUMMYFUNCTION("""COMPUTED_VALUE"""),"")</f>
        <v/>
      </c>
      <c r="E382" t="str">
        <f>IFERROR(__xludf.DUMMYFUNCTION("""COMPUTED_VALUE"""),"")</f>
        <v/>
      </c>
      <c r="F382" t="str">
        <f>IFERROR(__xludf.DUMMYFUNCTION("""COMPUTED_VALUE"""),"")</f>
        <v/>
      </c>
      <c r="G382" t="str">
        <f>IFERROR(__xludf.DUMMYFUNCTION("""COMPUTED_VALUE"""),"")</f>
        <v/>
      </c>
      <c r="H382" t="str">
        <f>IFERROR(__xludf.DUMMYFUNCTION("""COMPUTED_VALUE"""),"")</f>
        <v/>
      </c>
      <c r="I382" t="str">
        <f>IFERROR(__xludf.DUMMYFUNCTION("""COMPUTED_VALUE"""),"")</f>
        <v/>
      </c>
      <c r="J382" t="str">
        <f>IFERROR(__xludf.DUMMYFUNCTION("""COMPUTED_VALUE"""),"")</f>
        <v/>
      </c>
      <c r="K382" t="str">
        <f>IFERROR(__xludf.DUMMYFUNCTION("""COMPUTED_VALUE"""),"")</f>
        <v/>
      </c>
      <c r="L382" t="str">
        <f>IFERROR(__xludf.DUMMYFUNCTION("""COMPUTED_VALUE"""),"")</f>
        <v/>
      </c>
    </row>
    <row r="383" ht="15.75" customHeight="1">
      <c r="A383" t="str">
        <f>IFERROR(__xludf.DUMMYFUNCTION("""COMPUTED_VALUE"""),"")</f>
        <v/>
      </c>
      <c r="B383" t="str">
        <f>IFERROR(__xludf.DUMMYFUNCTION("""COMPUTED_VALUE"""),"")</f>
        <v/>
      </c>
      <c r="C383" t="str">
        <f>IFERROR(__xludf.DUMMYFUNCTION("""COMPUTED_VALUE"""),"")</f>
        <v/>
      </c>
      <c r="D383" t="str">
        <f>IFERROR(__xludf.DUMMYFUNCTION("""COMPUTED_VALUE"""),"")</f>
        <v/>
      </c>
      <c r="E383" t="str">
        <f>IFERROR(__xludf.DUMMYFUNCTION("""COMPUTED_VALUE"""),"")</f>
        <v/>
      </c>
      <c r="F383" t="str">
        <f>IFERROR(__xludf.DUMMYFUNCTION("""COMPUTED_VALUE"""),"")</f>
        <v/>
      </c>
      <c r="G383" t="str">
        <f>IFERROR(__xludf.DUMMYFUNCTION("""COMPUTED_VALUE"""),"")</f>
        <v/>
      </c>
      <c r="H383" t="str">
        <f>IFERROR(__xludf.DUMMYFUNCTION("""COMPUTED_VALUE"""),"")</f>
        <v/>
      </c>
      <c r="I383" t="str">
        <f>IFERROR(__xludf.DUMMYFUNCTION("""COMPUTED_VALUE"""),"")</f>
        <v/>
      </c>
      <c r="J383" t="str">
        <f>IFERROR(__xludf.DUMMYFUNCTION("""COMPUTED_VALUE"""),"")</f>
        <v/>
      </c>
      <c r="K383" t="str">
        <f>IFERROR(__xludf.DUMMYFUNCTION("""COMPUTED_VALUE"""),"")</f>
        <v/>
      </c>
      <c r="L383" t="str">
        <f>IFERROR(__xludf.DUMMYFUNCTION("""COMPUTED_VALUE"""),"")</f>
        <v/>
      </c>
    </row>
    <row r="384" ht="15.75" customHeight="1">
      <c r="A384" t="str">
        <f>IFERROR(__xludf.DUMMYFUNCTION("""COMPUTED_VALUE"""),"")</f>
        <v/>
      </c>
      <c r="B384" t="str">
        <f>IFERROR(__xludf.DUMMYFUNCTION("""COMPUTED_VALUE"""),"")</f>
        <v/>
      </c>
      <c r="C384" t="str">
        <f>IFERROR(__xludf.DUMMYFUNCTION("""COMPUTED_VALUE"""),"")</f>
        <v/>
      </c>
      <c r="D384" t="str">
        <f>IFERROR(__xludf.DUMMYFUNCTION("""COMPUTED_VALUE"""),"")</f>
        <v/>
      </c>
      <c r="E384" t="str">
        <f>IFERROR(__xludf.DUMMYFUNCTION("""COMPUTED_VALUE"""),"")</f>
        <v/>
      </c>
      <c r="F384" t="str">
        <f>IFERROR(__xludf.DUMMYFUNCTION("""COMPUTED_VALUE"""),"")</f>
        <v/>
      </c>
      <c r="G384" t="str">
        <f>IFERROR(__xludf.DUMMYFUNCTION("""COMPUTED_VALUE"""),"")</f>
        <v/>
      </c>
      <c r="H384" t="str">
        <f>IFERROR(__xludf.DUMMYFUNCTION("""COMPUTED_VALUE"""),"")</f>
        <v/>
      </c>
      <c r="I384" t="str">
        <f>IFERROR(__xludf.DUMMYFUNCTION("""COMPUTED_VALUE"""),"")</f>
        <v/>
      </c>
      <c r="J384" t="str">
        <f>IFERROR(__xludf.DUMMYFUNCTION("""COMPUTED_VALUE"""),"")</f>
        <v/>
      </c>
      <c r="K384" t="str">
        <f>IFERROR(__xludf.DUMMYFUNCTION("""COMPUTED_VALUE"""),"")</f>
        <v/>
      </c>
      <c r="L384" t="str">
        <f>IFERROR(__xludf.DUMMYFUNCTION("""COMPUTED_VALUE"""),"")</f>
        <v/>
      </c>
    </row>
    <row r="385" ht="15.75" customHeight="1">
      <c r="A385" t="str">
        <f>IFERROR(__xludf.DUMMYFUNCTION("""COMPUTED_VALUE"""),"")</f>
        <v/>
      </c>
      <c r="B385" t="str">
        <f>IFERROR(__xludf.DUMMYFUNCTION("""COMPUTED_VALUE"""),"")</f>
        <v/>
      </c>
      <c r="C385" t="str">
        <f>IFERROR(__xludf.DUMMYFUNCTION("""COMPUTED_VALUE"""),"")</f>
        <v/>
      </c>
      <c r="D385" t="str">
        <f>IFERROR(__xludf.DUMMYFUNCTION("""COMPUTED_VALUE"""),"")</f>
        <v/>
      </c>
      <c r="E385" t="str">
        <f>IFERROR(__xludf.DUMMYFUNCTION("""COMPUTED_VALUE"""),"")</f>
        <v/>
      </c>
      <c r="F385" t="str">
        <f>IFERROR(__xludf.DUMMYFUNCTION("""COMPUTED_VALUE"""),"")</f>
        <v/>
      </c>
      <c r="G385" t="str">
        <f>IFERROR(__xludf.DUMMYFUNCTION("""COMPUTED_VALUE"""),"")</f>
        <v/>
      </c>
      <c r="H385" t="str">
        <f>IFERROR(__xludf.DUMMYFUNCTION("""COMPUTED_VALUE"""),"")</f>
        <v/>
      </c>
      <c r="I385" t="str">
        <f>IFERROR(__xludf.DUMMYFUNCTION("""COMPUTED_VALUE"""),"")</f>
        <v/>
      </c>
      <c r="J385" t="str">
        <f>IFERROR(__xludf.DUMMYFUNCTION("""COMPUTED_VALUE"""),"")</f>
        <v/>
      </c>
      <c r="K385" t="str">
        <f>IFERROR(__xludf.DUMMYFUNCTION("""COMPUTED_VALUE"""),"")</f>
        <v/>
      </c>
      <c r="L385" t="str">
        <f>IFERROR(__xludf.DUMMYFUNCTION("""COMPUTED_VALUE"""),"")</f>
        <v/>
      </c>
    </row>
    <row r="386" ht="15.75" customHeight="1">
      <c r="A386" t="str">
        <f>IFERROR(__xludf.DUMMYFUNCTION("""COMPUTED_VALUE"""),"")</f>
        <v/>
      </c>
      <c r="B386" t="str">
        <f>IFERROR(__xludf.DUMMYFUNCTION("""COMPUTED_VALUE"""),"")</f>
        <v/>
      </c>
      <c r="C386" t="str">
        <f>IFERROR(__xludf.DUMMYFUNCTION("""COMPUTED_VALUE"""),"")</f>
        <v/>
      </c>
      <c r="D386" t="str">
        <f>IFERROR(__xludf.DUMMYFUNCTION("""COMPUTED_VALUE"""),"")</f>
        <v/>
      </c>
      <c r="E386" t="str">
        <f>IFERROR(__xludf.DUMMYFUNCTION("""COMPUTED_VALUE"""),"")</f>
        <v/>
      </c>
      <c r="F386" t="str">
        <f>IFERROR(__xludf.DUMMYFUNCTION("""COMPUTED_VALUE"""),"")</f>
        <v/>
      </c>
      <c r="G386" t="str">
        <f>IFERROR(__xludf.DUMMYFUNCTION("""COMPUTED_VALUE"""),"")</f>
        <v/>
      </c>
      <c r="H386" t="str">
        <f>IFERROR(__xludf.DUMMYFUNCTION("""COMPUTED_VALUE"""),"")</f>
        <v/>
      </c>
      <c r="I386" t="str">
        <f>IFERROR(__xludf.DUMMYFUNCTION("""COMPUTED_VALUE"""),"")</f>
        <v/>
      </c>
      <c r="J386" t="str">
        <f>IFERROR(__xludf.DUMMYFUNCTION("""COMPUTED_VALUE"""),"")</f>
        <v/>
      </c>
      <c r="K386" t="str">
        <f>IFERROR(__xludf.DUMMYFUNCTION("""COMPUTED_VALUE"""),"")</f>
        <v/>
      </c>
      <c r="L386" t="str">
        <f>IFERROR(__xludf.DUMMYFUNCTION("""COMPUTED_VALUE"""),"")</f>
        <v/>
      </c>
    </row>
    <row r="387" ht="15.75" customHeight="1">
      <c r="A387" t="str">
        <f>IFERROR(__xludf.DUMMYFUNCTION("""COMPUTED_VALUE"""),"")</f>
        <v/>
      </c>
      <c r="B387" t="str">
        <f>IFERROR(__xludf.DUMMYFUNCTION("""COMPUTED_VALUE"""),"")</f>
        <v/>
      </c>
      <c r="C387" t="str">
        <f>IFERROR(__xludf.DUMMYFUNCTION("""COMPUTED_VALUE"""),"")</f>
        <v/>
      </c>
      <c r="D387" t="str">
        <f>IFERROR(__xludf.DUMMYFUNCTION("""COMPUTED_VALUE"""),"")</f>
        <v/>
      </c>
      <c r="E387" t="str">
        <f>IFERROR(__xludf.DUMMYFUNCTION("""COMPUTED_VALUE"""),"")</f>
        <v/>
      </c>
      <c r="F387" t="str">
        <f>IFERROR(__xludf.DUMMYFUNCTION("""COMPUTED_VALUE"""),"")</f>
        <v/>
      </c>
      <c r="G387" t="str">
        <f>IFERROR(__xludf.DUMMYFUNCTION("""COMPUTED_VALUE"""),"")</f>
        <v/>
      </c>
      <c r="H387" t="str">
        <f>IFERROR(__xludf.DUMMYFUNCTION("""COMPUTED_VALUE"""),"")</f>
        <v/>
      </c>
      <c r="I387" t="str">
        <f>IFERROR(__xludf.DUMMYFUNCTION("""COMPUTED_VALUE"""),"")</f>
        <v/>
      </c>
      <c r="J387" t="str">
        <f>IFERROR(__xludf.DUMMYFUNCTION("""COMPUTED_VALUE"""),"")</f>
        <v/>
      </c>
      <c r="K387" t="str">
        <f>IFERROR(__xludf.DUMMYFUNCTION("""COMPUTED_VALUE"""),"")</f>
        <v/>
      </c>
      <c r="L387" t="str">
        <f>IFERROR(__xludf.DUMMYFUNCTION("""COMPUTED_VALUE"""),"")</f>
        <v/>
      </c>
    </row>
    <row r="388" ht="15.75" customHeight="1">
      <c r="A388" t="str">
        <f>IFERROR(__xludf.DUMMYFUNCTION("""COMPUTED_VALUE"""),"")</f>
        <v/>
      </c>
      <c r="B388" t="str">
        <f>IFERROR(__xludf.DUMMYFUNCTION("""COMPUTED_VALUE"""),"")</f>
        <v/>
      </c>
      <c r="C388" t="str">
        <f>IFERROR(__xludf.DUMMYFUNCTION("""COMPUTED_VALUE"""),"")</f>
        <v/>
      </c>
      <c r="D388" t="str">
        <f>IFERROR(__xludf.DUMMYFUNCTION("""COMPUTED_VALUE"""),"")</f>
        <v/>
      </c>
      <c r="E388" t="str">
        <f>IFERROR(__xludf.DUMMYFUNCTION("""COMPUTED_VALUE"""),"")</f>
        <v/>
      </c>
      <c r="F388" t="str">
        <f>IFERROR(__xludf.DUMMYFUNCTION("""COMPUTED_VALUE"""),"")</f>
        <v/>
      </c>
      <c r="G388" t="str">
        <f>IFERROR(__xludf.DUMMYFUNCTION("""COMPUTED_VALUE"""),"")</f>
        <v/>
      </c>
      <c r="H388" t="str">
        <f>IFERROR(__xludf.DUMMYFUNCTION("""COMPUTED_VALUE"""),"")</f>
        <v/>
      </c>
      <c r="I388" t="str">
        <f>IFERROR(__xludf.DUMMYFUNCTION("""COMPUTED_VALUE"""),"")</f>
        <v/>
      </c>
      <c r="J388" t="str">
        <f>IFERROR(__xludf.DUMMYFUNCTION("""COMPUTED_VALUE"""),"")</f>
        <v/>
      </c>
      <c r="K388" t="str">
        <f>IFERROR(__xludf.DUMMYFUNCTION("""COMPUTED_VALUE"""),"")</f>
        <v/>
      </c>
      <c r="L388" t="str">
        <f>IFERROR(__xludf.DUMMYFUNCTION("""COMPUTED_VALUE"""),"")</f>
        <v/>
      </c>
    </row>
    <row r="389" ht="15.75" customHeight="1">
      <c r="A389" t="str">
        <f>IFERROR(__xludf.DUMMYFUNCTION("""COMPUTED_VALUE"""),"")</f>
        <v/>
      </c>
      <c r="B389" t="str">
        <f>IFERROR(__xludf.DUMMYFUNCTION("""COMPUTED_VALUE"""),"")</f>
        <v/>
      </c>
      <c r="C389" t="str">
        <f>IFERROR(__xludf.DUMMYFUNCTION("""COMPUTED_VALUE"""),"")</f>
        <v/>
      </c>
      <c r="D389" t="str">
        <f>IFERROR(__xludf.DUMMYFUNCTION("""COMPUTED_VALUE"""),"")</f>
        <v/>
      </c>
      <c r="E389" t="str">
        <f>IFERROR(__xludf.DUMMYFUNCTION("""COMPUTED_VALUE"""),"")</f>
        <v/>
      </c>
      <c r="F389" t="str">
        <f>IFERROR(__xludf.DUMMYFUNCTION("""COMPUTED_VALUE"""),"")</f>
        <v/>
      </c>
      <c r="G389" t="str">
        <f>IFERROR(__xludf.DUMMYFUNCTION("""COMPUTED_VALUE"""),"")</f>
        <v/>
      </c>
      <c r="H389" t="str">
        <f>IFERROR(__xludf.DUMMYFUNCTION("""COMPUTED_VALUE"""),"")</f>
        <v/>
      </c>
      <c r="I389" t="str">
        <f>IFERROR(__xludf.DUMMYFUNCTION("""COMPUTED_VALUE"""),"")</f>
        <v/>
      </c>
      <c r="J389" t="str">
        <f>IFERROR(__xludf.DUMMYFUNCTION("""COMPUTED_VALUE"""),"")</f>
        <v/>
      </c>
      <c r="K389" t="str">
        <f>IFERROR(__xludf.DUMMYFUNCTION("""COMPUTED_VALUE"""),"")</f>
        <v/>
      </c>
      <c r="L389" t="str">
        <f>IFERROR(__xludf.DUMMYFUNCTION("""COMPUTED_VALUE"""),"")</f>
        <v/>
      </c>
    </row>
    <row r="390" ht="15.75" customHeight="1">
      <c r="A390" t="str">
        <f>IFERROR(__xludf.DUMMYFUNCTION("""COMPUTED_VALUE"""),"")</f>
        <v/>
      </c>
      <c r="B390" t="str">
        <f>IFERROR(__xludf.DUMMYFUNCTION("""COMPUTED_VALUE"""),"")</f>
        <v/>
      </c>
      <c r="C390" t="str">
        <f>IFERROR(__xludf.DUMMYFUNCTION("""COMPUTED_VALUE"""),"")</f>
        <v/>
      </c>
      <c r="D390" t="str">
        <f>IFERROR(__xludf.DUMMYFUNCTION("""COMPUTED_VALUE"""),"")</f>
        <v/>
      </c>
      <c r="E390" t="str">
        <f>IFERROR(__xludf.DUMMYFUNCTION("""COMPUTED_VALUE"""),"")</f>
        <v/>
      </c>
      <c r="F390" t="str">
        <f>IFERROR(__xludf.DUMMYFUNCTION("""COMPUTED_VALUE"""),"")</f>
        <v/>
      </c>
      <c r="G390" t="str">
        <f>IFERROR(__xludf.DUMMYFUNCTION("""COMPUTED_VALUE"""),"")</f>
        <v/>
      </c>
      <c r="H390" t="str">
        <f>IFERROR(__xludf.DUMMYFUNCTION("""COMPUTED_VALUE"""),"")</f>
        <v/>
      </c>
      <c r="I390" t="str">
        <f>IFERROR(__xludf.DUMMYFUNCTION("""COMPUTED_VALUE"""),"")</f>
        <v/>
      </c>
      <c r="J390" t="str">
        <f>IFERROR(__xludf.DUMMYFUNCTION("""COMPUTED_VALUE"""),"")</f>
        <v/>
      </c>
      <c r="K390" t="str">
        <f>IFERROR(__xludf.DUMMYFUNCTION("""COMPUTED_VALUE"""),"")</f>
        <v/>
      </c>
      <c r="L390" t="str">
        <f>IFERROR(__xludf.DUMMYFUNCTION("""COMPUTED_VALUE"""),"")</f>
        <v/>
      </c>
    </row>
    <row r="391" ht="15.75" customHeight="1">
      <c r="A391" t="str">
        <f>IFERROR(__xludf.DUMMYFUNCTION("""COMPUTED_VALUE"""),"")</f>
        <v/>
      </c>
      <c r="B391" t="str">
        <f>IFERROR(__xludf.DUMMYFUNCTION("""COMPUTED_VALUE"""),"")</f>
        <v/>
      </c>
      <c r="C391" t="str">
        <f>IFERROR(__xludf.DUMMYFUNCTION("""COMPUTED_VALUE"""),"")</f>
        <v/>
      </c>
      <c r="D391" t="str">
        <f>IFERROR(__xludf.DUMMYFUNCTION("""COMPUTED_VALUE"""),"")</f>
        <v/>
      </c>
      <c r="E391" t="str">
        <f>IFERROR(__xludf.DUMMYFUNCTION("""COMPUTED_VALUE"""),"")</f>
        <v/>
      </c>
      <c r="F391" t="str">
        <f>IFERROR(__xludf.DUMMYFUNCTION("""COMPUTED_VALUE"""),"")</f>
        <v/>
      </c>
      <c r="G391" t="str">
        <f>IFERROR(__xludf.DUMMYFUNCTION("""COMPUTED_VALUE"""),"")</f>
        <v/>
      </c>
      <c r="H391" t="str">
        <f>IFERROR(__xludf.DUMMYFUNCTION("""COMPUTED_VALUE"""),"")</f>
        <v/>
      </c>
      <c r="I391" t="str">
        <f>IFERROR(__xludf.DUMMYFUNCTION("""COMPUTED_VALUE"""),"")</f>
        <v/>
      </c>
      <c r="J391" t="str">
        <f>IFERROR(__xludf.DUMMYFUNCTION("""COMPUTED_VALUE"""),"")</f>
        <v/>
      </c>
      <c r="K391" t="str">
        <f>IFERROR(__xludf.DUMMYFUNCTION("""COMPUTED_VALUE"""),"")</f>
        <v/>
      </c>
      <c r="L391" t="str">
        <f>IFERROR(__xludf.DUMMYFUNCTION("""COMPUTED_VALUE"""),"")</f>
        <v/>
      </c>
    </row>
    <row r="392" ht="15.75" customHeight="1">
      <c r="A392" t="str">
        <f>IFERROR(__xludf.DUMMYFUNCTION("""COMPUTED_VALUE"""),"")</f>
        <v/>
      </c>
      <c r="B392" t="str">
        <f>IFERROR(__xludf.DUMMYFUNCTION("""COMPUTED_VALUE"""),"")</f>
        <v/>
      </c>
      <c r="C392" t="str">
        <f>IFERROR(__xludf.DUMMYFUNCTION("""COMPUTED_VALUE"""),"")</f>
        <v/>
      </c>
      <c r="D392" t="str">
        <f>IFERROR(__xludf.DUMMYFUNCTION("""COMPUTED_VALUE"""),"")</f>
        <v/>
      </c>
      <c r="E392" t="str">
        <f>IFERROR(__xludf.DUMMYFUNCTION("""COMPUTED_VALUE"""),"")</f>
        <v/>
      </c>
      <c r="F392" t="str">
        <f>IFERROR(__xludf.DUMMYFUNCTION("""COMPUTED_VALUE"""),"")</f>
        <v/>
      </c>
      <c r="G392" t="str">
        <f>IFERROR(__xludf.DUMMYFUNCTION("""COMPUTED_VALUE"""),"")</f>
        <v/>
      </c>
      <c r="H392" t="str">
        <f>IFERROR(__xludf.DUMMYFUNCTION("""COMPUTED_VALUE"""),"")</f>
        <v/>
      </c>
      <c r="I392" t="str">
        <f>IFERROR(__xludf.DUMMYFUNCTION("""COMPUTED_VALUE"""),"")</f>
        <v/>
      </c>
      <c r="J392" t="str">
        <f>IFERROR(__xludf.DUMMYFUNCTION("""COMPUTED_VALUE"""),"")</f>
        <v/>
      </c>
      <c r="K392" t="str">
        <f>IFERROR(__xludf.DUMMYFUNCTION("""COMPUTED_VALUE"""),"")</f>
        <v/>
      </c>
      <c r="L392" t="str">
        <f>IFERROR(__xludf.DUMMYFUNCTION("""COMPUTED_VALUE"""),"")</f>
        <v/>
      </c>
    </row>
    <row r="393" ht="15.75" customHeight="1">
      <c r="A393" t="str">
        <f>IFERROR(__xludf.DUMMYFUNCTION("""COMPUTED_VALUE"""),"")</f>
        <v/>
      </c>
      <c r="B393" t="str">
        <f>IFERROR(__xludf.DUMMYFUNCTION("""COMPUTED_VALUE"""),"")</f>
        <v/>
      </c>
      <c r="C393" t="str">
        <f>IFERROR(__xludf.DUMMYFUNCTION("""COMPUTED_VALUE"""),"")</f>
        <v/>
      </c>
      <c r="D393" t="str">
        <f>IFERROR(__xludf.DUMMYFUNCTION("""COMPUTED_VALUE"""),"")</f>
        <v/>
      </c>
      <c r="E393" t="str">
        <f>IFERROR(__xludf.DUMMYFUNCTION("""COMPUTED_VALUE"""),"")</f>
        <v/>
      </c>
      <c r="F393" t="str">
        <f>IFERROR(__xludf.DUMMYFUNCTION("""COMPUTED_VALUE"""),"")</f>
        <v/>
      </c>
      <c r="G393" t="str">
        <f>IFERROR(__xludf.DUMMYFUNCTION("""COMPUTED_VALUE"""),"")</f>
        <v/>
      </c>
      <c r="H393" t="str">
        <f>IFERROR(__xludf.DUMMYFUNCTION("""COMPUTED_VALUE"""),"")</f>
        <v/>
      </c>
      <c r="I393" t="str">
        <f>IFERROR(__xludf.DUMMYFUNCTION("""COMPUTED_VALUE"""),"")</f>
        <v/>
      </c>
      <c r="J393" t="str">
        <f>IFERROR(__xludf.DUMMYFUNCTION("""COMPUTED_VALUE"""),"")</f>
        <v/>
      </c>
      <c r="K393" t="str">
        <f>IFERROR(__xludf.DUMMYFUNCTION("""COMPUTED_VALUE"""),"")</f>
        <v/>
      </c>
      <c r="L393" t="str">
        <f>IFERROR(__xludf.DUMMYFUNCTION("""COMPUTED_VALUE"""),"")</f>
        <v/>
      </c>
    </row>
    <row r="394" ht="15.75" customHeight="1">
      <c r="A394" t="str">
        <f>IFERROR(__xludf.DUMMYFUNCTION("""COMPUTED_VALUE"""),"")</f>
        <v/>
      </c>
      <c r="B394" t="str">
        <f>IFERROR(__xludf.DUMMYFUNCTION("""COMPUTED_VALUE"""),"")</f>
        <v/>
      </c>
      <c r="C394" t="str">
        <f>IFERROR(__xludf.DUMMYFUNCTION("""COMPUTED_VALUE"""),"")</f>
        <v/>
      </c>
      <c r="D394" t="str">
        <f>IFERROR(__xludf.DUMMYFUNCTION("""COMPUTED_VALUE"""),"")</f>
        <v/>
      </c>
      <c r="E394" t="str">
        <f>IFERROR(__xludf.DUMMYFUNCTION("""COMPUTED_VALUE"""),"")</f>
        <v/>
      </c>
      <c r="F394" t="str">
        <f>IFERROR(__xludf.DUMMYFUNCTION("""COMPUTED_VALUE"""),"")</f>
        <v/>
      </c>
      <c r="G394" t="str">
        <f>IFERROR(__xludf.DUMMYFUNCTION("""COMPUTED_VALUE"""),"")</f>
        <v/>
      </c>
      <c r="H394" t="str">
        <f>IFERROR(__xludf.DUMMYFUNCTION("""COMPUTED_VALUE"""),"")</f>
        <v/>
      </c>
      <c r="I394" t="str">
        <f>IFERROR(__xludf.DUMMYFUNCTION("""COMPUTED_VALUE"""),"")</f>
        <v/>
      </c>
      <c r="J394" t="str">
        <f>IFERROR(__xludf.DUMMYFUNCTION("""COMPUTED_VALUE"""),"")</f>
        <v/>
      </c>
      <c r="K394" t="str">
        <f>IFERROR(__xludf.DUMMYFUNCTION("""COMPUTED_VALUE"""),"")</f>
        <v/>
      </c>
      <c r="L394" t="str">
        <f>IFERROR(__xludf.DUMMYFUNCTION("""COMPUTED_VALUE"""),"")</f>
        <v/>
      </c>
    </row>
    <row r="395" ht="15.75" customHeight="1">
      <c r="A395" t="str">
        <f>IFERROR(__xludf.DUMMYFUNCTION("""COMPUTED_VALUE"""),"")</f>
        <v/>
      </c>
      <c r="B395" t="str">
        <f>IFERROR(__xludf.DUMMYFUNCTION("""COMPUTED_VALUE"""),"")</f>
        <v/>
      </c>
      <c r="C395" t="str">
        <f>IFERROR(__xludf.DUMMYFUNCTION("""COMPUTED_VALUE"""),"")</f>
        <v/>
      </c>
      <c r="D395" t="str">
        <f>IFERROR(__xludf.DUMMYFUNCTION("""COMPUTED_VALUE"""),"")</f>
        <v/>
      </c>
      <c r="E395" t="str">
        <f>IFERROR(__xludf.DUMMYFUNCTION("""COMPUTED_VALUE"""),"")</f>
        <v/>
      </c>
      <c r="F395" t="str">
        <f>IFERROR(__xludf.DUMMYFUNCTION("""COMPUTED_VALUE"""),"")</f>
        <v/>
      </c>
      <c r="G395" t="str">
        <f>IFERROR(__xludf.DUMMYFUNCTION("""COMPUTED_VALUE"""),"")</f>
        <v/>
      </c>
      <c r="H395" t="str">
        <f>IFERROR(__xludf.DUMMYFUNCTION("""COMPUTED_VALUE"""),"")</f>
        <v/>
      </c>
      <c r="I395" t="str">
        <f>IFERROR(__xludf.DUMMYFUNCTION("""COMPUTED_VALUE"""),"")</f>
        <v/>
      </c>
      <c r="J395" t="str">
        <f>IFERROR(__xludf.DUMMYFUNCTION("""COMPUTED_VALUE"""),"")</f>
        <v/>
      </c>
      <c r="K395" t="str">
        <f>IFERROR(__xludf.DUMMYFUNCTION("""COMPUTED_VALUE"""),"")</f>
        <v/>
      </c>
      <c r="L395" t="str">
        <f>IFERROR(__xludf.DUMMYFUNCTION("""COMPUTED_VALUE"""),"")</f>
        <v/>
      </c>
    </row>
    <row r="396" ht="15.75" customHeight="1">
      <c r="A396" t="str">
        <f>IFERROR(__xludf.DUMMYFUNCTION("""COMPUTED_VALUE"""),"")</f>
        <v/>
      </c>
      <c r="B396" t="str">
        <f>IFERROR(__xludf.DUMMYFUNCTION("""COMPUTED_VALUE"""),"")</f>
        <v/>
      </c>
      <c r="C396" t="str">
        <f>IFERROR(__xludf.DUMMYFUNCTION("""COMPUTED_VALUE"""),"")</f>
        <v/>
      </c>
      <c r="D396" t="str">
        <f>IFERROR(__xludf.DUMMYFUNCTION("""COMPUTED_VALUE"""),"")</f>
        <v/>
      </c>
      <c r="E396" t="str">
        <f>IFERROR(__xludf.DUMMYFUNCTION("""COMPUTED_VALUE"""),"")</f>
        <v/>
      </c>
      <c r="F396" t="str">
        <f>IFERROR(__xludf.DUMMYFUNCTION("""COMPUTED_VALUE"""),"")</f>
        <v/>
      </c>
      <c r="G396" t="str">
        <f>IFERROR(__xludf.DUMMYFUNCTION("""COMPUTED_VALUE"""),"")</f>
        <v/>
      </c>
      <c r="H396" t="str">
        <f>IFERROR(__xludf.DUMMYFUNCTION("""COMPUTED_VALUE"""),"")</f>
        <v/>
      </c>
      <c r="I396" t="str">
        <f>IFERROR(__xludf.DUMMYFUNCTION("""COMPUTED_VALUE"""),"")</f>
        <v/>
      </c>
      <c r="J396" t="str">
        <f>IFERROR(__xludf.DUMMYFUNCTION("""COMPUTED_VALUE"""),"")</f>
        <v/>
      </c>
      <c r="K396" t="str">
        <f>IFERROR(__xludf.DUMMYFUNCTION("""COMPUTED_VALUE"""),"")</f>
        <v/>
      </c>
      <c r="L396" t="str">
        <f>IFERROR(__xludf.DUMMYFUNCTION("""COMPUTED_VALUE"""),"")</f>
        <v/>
      </c>
    </row>
    <row r="397" ht="15.75" customHeight="1">
      <c r="A397" t="str">
        <f>IFERROR(__xludf.DUMMYFUNCTION("""COMPUTED_VALUE"""),"")</f>
        <v/>
      </c>
      <c r="B397" t="str">
        <f>IFERROR(__xludf.DUMMYFUNCTION("""COMPUTED_VALUE"""),"")</f>
        <v/>
      </c>
      <c r="C397" t="str">
        <f>IFERROR(__xludf.DUMMYFUNCTION("""COMPUTED_VALUE"""),"")</f>
        <v/>
      </c>
      <c r="D397" t="str">
        <f>IFERROR(__xludf.DUMMYFUNCTION("""COMPUTED_VALUE"""),"")</f>
        <v/>
      </c>
      <c r="E397" t="str">
        <f>IFERROR(__xludf.DUMMYFUNCTION("""COMPUTED_VALUE"""),"")</f>
        <v/>
      </c>
      <c r="F397" t="str">
        <f>IFERROR(__xludf.DUMMYFUNCTION("""COMPUTED_VALUE"""),"")</f>
        <v/>
      </c>
      <c r="G397" t="str">
        <f>IFERROR(__xludf.DUMMYFUNCTION("""COMPUTED_VALUE"""),"")</f>
        <v/>
      </c>
      <c r="H397" t="str">
        <f>IFERROR(__xludf.DUMMYFUNCTION("""COMPUTED_VALUE"""),"")</f>
        <v/>
      </c>
      <c r="I397" t="str">
        <f>IFERROR(__xludf.DUMMYFUNCTION("""COMPUTED_VALUE"""),"")</f>
        <v/>
      </c>
      <c r="J397" t="str">
        <f>IFERROR(__xludf.DUMMYFUNCTION("""COMPUTED_VALUE"""),"")</f>
        <v/>
      </c>
      <c r="K397" t="str">
        <f>IFERROR(__xludf.DUMMYFUNCTION("""COMPUTED_VALUE"""),"")</f>
        <v/>
      </c>
      <c r="L397" t="str">
        <f>IFERROR(__xludf.DUMMYFUNCTION("""COMPUTED_VALUE"""),"")</f>
        <v/>
      </c>
    </row>
    <row r="398" ht="15.75" customHeight="1">
      <c r="A398" t="str">
        <f>IFERROR(__xludf.DUMMYFUNCTION("""COMPUTED_VALUE"""),"")</f>
        <v/>
      </c>
      <c r="B398" t="str">
        <f>IFERROR(__xludf.DUMMYFUNCTION("""COMPUTED_VALUE"""),"")</f>
        <v/>
      </c>
      <c r="C398" t="str">
        <f>IFERROR(__xludf.DUMMYFUNCTION("""COMPUTED_VALUE"""),"")</f>
        <v/>
      </c>
      <c r="D398" t="str">
        <f>IFERROR(__xludf.DUMMYFUNCTION("""COMPUTED_VALUE"""),"")</f>
        <v/>
      </c>
      <c r="E398" t="str">
        <f>IFERROR(__xludf.DUMMYFUNCTION("""COMPUTED_VALUE"""),"")</f>
        <v/>
      </c>
      <c r="F398" t="str">
        <f>IFERROR(__xludf.DUMMYFUNCTION("""COMPUTED_VALUE"""),"")</f>
        <v/>
      </c>
      <c r="G398" t="str">
        <f>IFERROR(__xludf.DUMMYFUNCTION("""COMPUTED_VALUE"""),"")</f>
        <v/>
      </c>
      <c r="H398" t="str">
        <f>IFERROR(__xludf.DUMMYFUNCTION("""COMPUTED_VALUE"""),"")</f>
        <v/>
      </c>
      <c r="I398" t="str">
        <f>IFERROR(__xludf.DUMMYFUNCTION("""COMPUTED_VALUE"""),"")</f>
        <v/>
      </c>
      <c r="J398" t="str">
        <f>IFERROR(__xludf.DUMMYFUNCTION("""COMPUTED_VALUE"""),"")</f>
        <v/>
      </c>
      <c r="K398" t="str">
        <f>IFERROR(__xludf.DUMMYFUNCTION("""COMPUTED_VALUE"""),"")</f>
        <v/>
      </c>
      <c r="L398" t="str">
        <f>IFERROR(__xludf.DUMMYFUNCTION("""COMPUTED_VALUE"""),"")</f>
        <v/>
      </c>
    </row>
    <row r="399" ht="15.75" customHeight="1">
      <c r="A399" t="str">
        <f>IFERROR(__xludf.DUMMYFUNCTION("""COMPUTED_VALUE"""),"")</f>
        <v/>
      </c>
      <c r="B399" t="str">
        <f>IFERROR(__xludf.DUMMYFUNCTION("""COMPUTED_VALUE"""),"")</f>
        <v/>
      </c>
      <c r="C399" t="str">
        <f>IFERROR(__xludf.DUMMYFUNCTION("""COMPUTED_VALUE"""),"")</f>
        <v/>
      </c>
      <c r="D399" t="str">
        <f>IFERROR(__xludf.DUMMYFUNCTION("""COMPUTED_VALUE"""),"")</f>
        <v/>
      </c>
      <c r="E399" t="str">
        <f>IFERROR(__xludf.DUMMYFUNCTION("""COMPUTED_VALUE"""),"")</f>
        <v/>
      </c>
      <c r="F399" t="str">
        <f>IFERROR(__xludf.DUMMYFUNCTION("""COMPUTED_VALUE"""),"")</f>
        <v/>
      </c>
      <c r="G399" t="str">
        <f>IFERROR(__xludf.DUMMYFUNCTION("""COMPUTED_VALUE"""),"")</f>
        <v/>
      </c>
      <c r="H399" t="str">
        <f>IFERROR(__xludf.DUMMYFUNCTION("""COMPUTED_VALUE"""),"")</f>
        <v/>
      </c>
      <c r="I399" t="str">
        <f>IFERROR(__xludf.DUMMYFUNCTION("""COMPUTED_VALUE"""),"")</f>
        <v/>
      </c>
      <c r="J399" t="str">
        <f>IFERROR(__xludf.DUMMYFUNCTION("""COMPUTED_VALUE"""),"")</f>
        <v/>
      </c>
      <c r="K399" t="str">
        <f>IFERROR(__xludf.DUMMYFUNCTION("""COMPUTED_VALUE"""),"")</f>
        <v/>
      </c>
      <c r="L399" t="str">
        <f>IFERROR(__xludf.DUMMYFUNCTION("""COMPUTED_VALUE"""),"")</f>
        <v/>
      </c>
    </row>
    <row r="400" ht="15.75" customHeight="1">
      <c r="A400" t="str">
        <f>IFERROR(__xludf.DUMMYFUNCTION("""COMPUTED_VALUE"""),"")</f>
        <v/>
      </c>
      <c r="B400" t="str">
        <f>IFERROR(__xludf.DUMMYFUNCTION("""COMPUTED_VALUE"""),"")</f>
        <v/>
      </c>
      <c r="C400" t="str">
        <f>IFERROR(__xludf.DUMMYFUNCTION("""COMPUTED_VALUE"""),"")</f>
        <v/>
      </c>
      <c r="D400" t="str">
        <f>IFERROR(__xludf.DUMMYFUNCTION("""COMPUTED_VALUE"""),"")</f>
        <v/>
      </c>
      <c r="E400" t="str">
        <f>IFERROR(__xludf.DUMMYFUNCTION("""COMPUTED_VALUE"""),"")</f>
        <v/>
      </c>
      <c r="F400" t="str">
        <f>IFERROR(__xludf.DUMMYFUNCTION("""COMPUTED_VALUE"""),"")</f>
        <v/>
      </c>
      <c r="G400" t="str">
        <f>IFERROR(__xludf.DUMMYFUNCTION("""COMPUTED_VALUE"""),"")</f>
        <v/>
      </c>
      <c r="H400" t="str">
        <f>IFERROR(__xludf.DUMMYFUNCTION("""COMPUTED_VALUE"""),"")</f>
        <v/>
      </c>
      <c r="I400" t="str">
        <f>IFERROR(__xludf.DUMMYFUNCTION("""COMPUTED_VALUE"""),"")</f>
        <v/>
      </c>
      <c r="J400" t="str">
        <f>IFERROR(__xludf.DUMMYFUNCTION("""COMPUTED_VALUE"""),"")</f>
        <v/>
      </c>
      <c r="K400" t="str">
        <f>IFERROR(__xludf.DUMMYFUNCTION("""COMPUTED_VALUE"""),"")</f>
        <v/>
      </c>
      <c r="L400" t="str">
        <f>IFERROR(__xludf.DUMMYFUNCTION("""COMPUTED_VALUE"""),"")</f>
        <v/>
      </c>
    </row>
    <row r="401" ht="15.75" customHeight="1">
      <c r="A401" t="str">
        <f>IFERROR(__xludf.DUMMYFUNCTION("""COMPUTED_VALUE"""),"")</f>
        <v/>
      </c>
      <c r="B401" t="str">
        <f>IFERROR(__xludf.DUMMYFUNCTION("""COMPUTED_VALUE"""),"")</f>
        <v/>
      </c>
      <c r="C401" t="str">
        <f>IFERROR(__xludf.DUMMYFUNCTION("""COMPUTED_VALUE"""),"")</f>
        <v/>
      </c>
      <c r="D401" t="str">
        <f>IFERROR(__xludf.DUMMYFUNCTION("""COMPUTED_VALUE"""),"")</f>
        <v/>
      </c>
      <c r="E401" t="str">
        <f>IFERROR(__xludf.DUMMYFUNCTION("""COMPUTED_VALUE"""),"")</f>
        <v/>
      </c>
      <c r="F401" t="str">
        <f>IFERROR(__xludf.DUMMYFUNCTION("""COMPUTED_VALUE"""),"")</f>
        <v/>
      </c>
      <c r="G401" t="str">
        <f>IFERROR(__xludf.DUMMYFUNCTION("""COMPUTED_VALUE"""),"")</f>
        <v/>
      </c>
      <c r="H401" t="str">
        <f>IFERROR(__xludf.DUMMYFUNCTION("""COMPUTED_VALUE"""),"")</f>
        <v/>
      </c>
      <c r="I401" t="str">
        <f>IFERROR(__xludf.DUMMYFUNCTION("""COMPUTED_VALUE"""),"")</f>
        <v/>
      </c>
      <c r="J401" t="str">
        <f>IFERROR(__xludf.DUMMYFUNCTION("""COMPUTED_VALUE"""),"")</f>
        <v/>
      </c>
      <c r="K401" t="str">
        <f>IFERROR(__xludf.DUMMYFUNCTION("""COMPUTED_VALUE"""),"")</f>
        <v/>
      </c>
      <c r="L401" t="str">
        <f>IFERROR(__xludf.DUMMYFUNCTION("""COMPUTED_VALUE"""),"")</f>
        <v/>
      </c>
    </row>
    <row r="402" ht="15.75" customHeight="1">
      <c r="A402" t="str">
        <f>IFERROR(__xludf.DUMMYFUNCTION("""COMPUTED_VALUE"""),"")</f>
        <v/>
      </c>
      <c r="B402" t="str">
        <f>IFERROR(__xludf.DUMMYFUNCTION("""COMPUTED_VALUE"""),"")</f>
        <v/>
      </c>
      <c r="C402" t="str">
        <f>IFERROR(__xludf.DUMMYFUNCTION("""COMPUTED_VALUE"""),"")</f>
        <v/>
      </c>
      <c r="D402" t="str">
        <f>IFERROR(__xludf.DUMMYFUNCTION("""COMPUTED_VALUE"""),"")</f>
        <v/>
      </c>
      <c r="E402" t="str">
        <f>IFERROR(__xludf.DUMMYFUNCTION("""COMPUTED_VALUE"""),"")</f>
        <v/>
      </c>
      <c r="F402" t="str">
        <f>IFERROR(__xludf.DUMMYFUNCTION("""COMPUTED_VALUE"""),"")</f>
        <v/>
      </c>
      <c r="G402" t="str">
        <f>IFERROR(__xludf.DUMMYFUNCTION("""COMPUTED_VALUE"""),"")</f>
        <v/>
      </c>
      <c r="H402" t="str">
        <f>IFERROR(__xludf.DUMMYFUNCTION("""COMPUTED_VALUE"""),"")</f>
        <v/>
      </c>
      <c r="I402" t="str">
        <f>IFERROR(__xludf.DUMMYFUNCTION("""COMPUTED_VALUE"""),"")</f>
        <v/>
      </c>
      <c r="J402" t="str">
        <f>IFERROR(__xludf.DUMMYFUNCTION("""COMPUTED_VALUE"""),"")</f>
        <v/>
      </c>
      <c r="K402" t="str">
        <f>IFERROR(__xludf.DUMMYFUNCTION("""COMPUTED_VALUE"""),"")</f>
        <v/>
      </c>
      <c r="L402" t="str">
        <f>IFERROR(__xludf.DUMMYFUNCTION("""COMPUTED_VALUE"""),"")</f>
        <v/>
      </c>
    </row>
    <row r="403" ht="15.75" customHeight="1">
      <c r="A403" t="str">
        <f>IFERROR(__xludf.DUMMYFUNCTION("""COMPUTED_VALUE"""),"")</f>
        <v/>
      </c>
      <c r="B403" t="str">
        <f>IFERROR(__xludf.DUMMYFUNCTION("""COMPUTED_VALUE"""),"")</f>
        <v/>
      </c>
      <c r="C403" t="str">
        <f>IFERROR(__xludf.DUMMYFUNCTION("""COMPUTED_VALUE"""),"")</f>
        <v/>
      </c>
      <c r="D403" t="str">
        <f>IFERROR(__xludf.DUMMYFUNCTION("""COMPUTED_VALUE"""),"")</f>
        <v/>
      </c>
      <c r="E403" t="str">
        <f>IFERROR(__xludf.DUMMYFUNCTION("""COMPUTED_VALUE"""),"")</f>
        <v/>
      </c>
      <c r="F403" t="str">
        <f>IFERROR(__xludf.DUMMYFUNCTION("""COMPUTED_VALUE"""),"")</f>
        <v/>
      </c>
      <c r="G403" t="str">
        <f>IFERROR(__xludf.DUMMYFUNCTION("""COMPUTED_VALUE"""),"")</f>
        <v/>
      </c>
      <c r="H403" t="str">
        <f>IFERROR(__xludf.DUMMYFUNCTION("""COMPUTED_VALUE"""),"")</f>
        <v/>
      </c>
      <c r="I403" t="str">
        <f>IFERROR(__xludf.DUMMYFUNCTION("""COMPUTED_VALUE"""),"")</f>
        <v/>
      </c>
      <c r="J403" t="str">
        <f>IFERROR(__xludf.DUMMYFUNCTION("""COMPUTED_VALUE"""),"")</f>
        <v/>
      </c>
      <c r="K403" t="str">
        <f>IFERROR(__xludf.DUMMYFUNCTION("""COMPUTED_VALUE"""),"")</f>
        <v/>
      </c>
      <c r="L403" t="str">
        <f>IFERROR(__xludf.DUMMYFUNCTION("""COMPUTED_VALUE"""),"")</f>
        <v/>
      </c>
    </row>
    <row r="404" ht="15.75" customHeight="1">
      <c r="A404" t="str">
        <f>IFERROR(__xludf.DUMMYFUNCTION("""COMPUTED_VALUE"""),"")</f>
        <v/>
      </c>
      <c r="B404" t="str">
        <f>IFERROR(__xludf.DUMMYFUNCTION("""COMPUTED_VALUE"""),"")</f>
        <v/>
      </c>
      <c r="C404" t="str">
        <f>IFERROR(__xludf.DUMMYFUNCTION("""COMPUTED_VALUE"""),"")</f>
        <v/>
      </c>
      <c r="D404" t="str">
        <f>IFERROR(__xludf.DUMMYFUNCTION("""COMPUTED_VALUE"""),"")</f>
        <v/>
      </c>
      <c r="E404" t="str">
        <f>IFERROR(__xludf.DUMMYFUNCTION("""COMPUTED_VALUE"""),"")</f>
        <v/>
      </c>
      <c r="F404" t="str">
        <f>IFERROR(__xludf.DUMMYFUNCTION("""COMPUTED_VALUE"""),"")</f>
        <v/>
      </c>
      <c r="G404" t="str">
        <f>IFERROR(__xludf.DUMMYFUNCTION("""COMPUTED_VALUE"""),"")</f>
        <v/>
      </c>
      <c r="H404" t="str">
        <f>IFERROR(__xludf.DUMMYFUNCTION("""COMPUTED_VALUE"""),"")</f>
        <v/>
      </c>
      <c r="I404" t="str">
        <f>IFERROR(__xludf.DUMMYFUNCTION("""COMPUTED_VALUE"""),"")</f>
        <v/>
      </c>
      <c r="J404" t="str">
        <f>IFERROR(__xludf.DUMMYFUNCTION("""COMPUTED_VALUE"""),"")</f>
        <v/>
      </c>
      <c r="K404" t="str">
        <f>IFERROR(__xludf.DUMMYFUNCTION("""COMPUTED_VALUE"""),"")</f>
        <v/>
      </c>
      <c r="L404" t="str">
        <f>IFERROR(__xludf.DUMMYFUNCTION("""COMPUTED_VALUE"""),"")</f>
        <v/>
      </c>
    </row>
    <row r="405" ht="15.75" customHeight="1">
      <c r="A405" t="str">
        <f>IFERROR(__xludf.DUMMYFUNCTION("""COMPUTED_VALUE"""),"")</f>
        <v/>
      </c>
      <c r="B405" t="str">
        <f>IFERROR(__xludf.DUMMYFUNCTION("""COMPUTED_VALUE"""),"")</f>
        <v/>
      </c>
      <c r="C405" t="str">
        <f>IFERROR(__xludf.DUMMYFUNCTION("""COMPUTED_VALUE"""),"")</f>
        <v/>
      </c>
      <c r="D405" t="str">
        <f>IFERROR(__xludf.DUMMYFUNCTION("""COMPUTED_VALUE"""),"")</f>
        <v/>
      </c>
      <c r="E405" t="str">
        <f>IFERROR(__xludf.DUMMYFUNCTION("""COMPUTED_VALUE"""),"")</f>
        <v/>
      </c>
      <c r="F405" t="str">
        <f>IFERROR(__xludf.DUMMYFUNCTION("""COMPUTED_VALUE"""),"")</f>
        <v/>
      </c>
      <c r="G405" t="str">
        <f>IFERROR(__xludf.DUMMYFUNCTION("""COMPUTED_VALUE"""),"")</f>
        <v/>
      </c>
      <c r="H405" t="str">
        <f>IFERROR(__xludf.DUMMYFUNCTION("""COMPUTED_VALUE"""),"")</f>
        <v/>
      </c>
      <c r="I405" t="str">
        <f>IFERROR(__xludf.DUMMYFUNCTION("""COMPUTED_VALUE"""),"")</f>
        <v/>
      </c>
      <c r="J405" t="str">
        <f>IFERROR(__xludf.DUMMYFUNCTION("""COMPUTED_VALUE"""),"")</f>
        <v/>
      </c>
      <c r="K405" t="str">
        <f>IFERROR(__xludf.DUMMYFUNCTION("""COMPUTED_VALUE"""),"")</f>
        <v/>
      </c>
      <c r="L405" t="str">
        <f>IFERROR(__xludf.DUMMYFUNCTION("""COMPUTED_VALUE"""),"")</f>
        <v/>
      </c>
    </row>
    <row r="406" ht="15.75" customHeight="1">
      <c r="A406" t="str">
        <f>IFERROR(__xludf.DUMMYFUNCTION("""COMPUTED_VALUE"""),"")</f>
        <v/>
      </c>
      <c r="B406" t="str">
        <f>IFERROR(__xludf.DUMMYFUNCTION("""COMPUTED_VALUE"""),"")</f>
        <v/>
      </c>
      <c r="C406" t="str">
        <f>IFERROR(__xludf.DUMMYFUNCTION("""COMPUTED_VALUE"""),"")</f>
        <v/>
      </c>
      <c r="D406" t="str">
        <f>IFERROR(__xludf.DUMMYFUNCTION("""COMPUTED_VALUE"""),"")</f>
        <v/>
      </c>
      <c r="E406" t="str">
        <f>IFERROR(__xludf.DUMMYFUNCTION("""COMPUTED_VALUE"""),"")</f>
        <v/>
      </c>
      <c r="F406" t="str">
        <f>IFERROR(__xludf.DUMMYFUNCTION("""COMPUTED_VALUE"""),"")</f>
        <v/>
      </c>
      <c r="G406" t="str">
        <f>IFERROR(__xludf.DUMMYFUNCTION("""COMPUTED_VALUE"""),"")</f>
        <v/>
      </c>
      <c r="H406" t="str">
        <f>IFERROR(__xludf.DUMMYFUNCTION("""COMPUTED_VALUE"""),"")</f>
        <v/>
      </c>
      <c r="I406" t="str">
        <f>IFERROR(__xludf.DUMMYFUNCTION("""COMPUTED_VALUE"""),"")</f>
        <v/>
      </c>
      <c r="J406" t="str">
        <f>IFERROR(__xludf.DUMMYFUNCTION("""COMPUTED_VALUE"""),"")</f>
        <v/>
      </c>
      <c r="K406" t="str">
        <f>IFERROR(__xludf.DUMMYFUNCTION("""COMPUTED_VALUE"""),"")</f>
        <v/>
      </c>
      <c r="L406" t="str">
        <f>IFERROR(__xludf.DUMMYFUNCTION("""COMPUTED_VALUE"""),"")</f>
        <v/>
      </c>
    </row>
    <row r="407" ht="15.75" customHeight="1">
      <c r="A407" t="str">
        <f>IFERROR(__xludf.DUMMYFUNCTION("""COMPUTED_VALUE"""),"")</f>
        <v/>
      </c>
      <c r="B407" t="str">
        <f>IFERROR(__xludf.DUMMYFUNCTION("""COMPUTED_VALUE"""),"")</f>
        <v/>
      </c>
      <c r="C407" t="str">
        <f>IFERROR(__xludf.DUMMYFUNCTION("""COMPUTED_VALUE"""),"")</f>
        <v/>
      </c>
      <c r="D407" t="str">
        <f>IFERROR(__xludf.DUMMYFUNCTION("""COMPUTED_VALUE"""),"")</f>
        <v/>
      </c>
      <c r="E407" t="str">
        <f>IFERROR(__xludf.DUMMYFUNCTION("""COMPUTED_VALUE"""),"")</f>
        <v/>
      </c>
      <c r="F407" t="str">
        <f>IFERROR(__xludf.DUMMYFUNCTION("""COMPUTED_VALUE"""),"")</f>
        <v/>
      </c>
      <c r="G407" t="str">
        <f>IFERROR(__xludf.DUMMYFUNCTION("""COMPUTED_VALUE"""),"")</f>
        <v/>
      </c>
      <c r="H407" t="str">
        <f>IFERROR(__xludf.DUMMYFUNCTION("""COMPUTED_VALUE"""),"")</f>
        <v/>
      </c>
      <c r="I407" t="str">
        <f>IFERROR(__xludf.DUMMYFUNCTION("""COMPUTED_VALUE"""),"")</f>
        <v/>
      </c>
      <c r="J407" t="str">
        <f>IFERROR(__xludf.DUMMYFUNCTION("""COMPUTED_VALUE"""),"")</f>
        <v/>
      </c>
      <c r="K407" t="str">
        <f>IFERROR(__xludf.DUMMYFUNCTION("""COMPUTED_VALUE"""),"")</f>
        <v/>
      </c>
      <c r="L407" t="str">
        <f>IFERROR(__xludf.DUMMYFUNCTION("""COMPUTED_VALUE"""),"")</f>
        <v/>
      </c>
    </row>
    <row r="408" ht="15.75" customHeight="1">
      <c r="A408" t="str">
        <f>IFERROR(__xludf.DUMMYFUNCTION("""COMPUTED_VALUE"""),"")</f>
        <v/>
      </c>
      <c r="B408" t="str">
        <f>IFERROR(__xludf.DUMMYFUNCTION("""COMPUTED_VALUE"""),"")</f>
        <v/>
      </c>
      <c r="C408" t="str">
        <f>IFERROR(__xludf.DUMMYFUNCTION("""COMPUTED_VALUE"""),"")</f>
        <v/>
      </c>
      <c r="D408" t="str">
        <f>IFERROR(__xludf.DUMMYFUNCTION("""COMPUTED_VALUE"""),"")</f>
        <v/>
      </c>
      <c r="E408" t="str">
        <f>IFERROR(__xludf.DUMMYFUNCTION("""COMPUTED_VALUE"""),"")</f>
        <v/>
      </c>
      <c r="F408" t="str">
        <f>IFERROR(__xludf.DUMMYFUNCTION("""COMPUTED_VALUE"""),"")</f>
        <v/>
      </c>
      <c r="G408" t="str">
        <f>IFERROR(__xludf.DUMMYFUNCTION("""COMPUTED_VALUE"""),"")</f>
        <v/>
      </c>
      <c r="H408" t="str">
        <f>IFERROR(__xludf.DUMMYFUNCTION("""COMPUTED_VALUE"""),"")</f>
        <v/>
      </c>
      <c r="I408" t="str">
        <f>IFERROR(__xludf.DUMMYFUNCTION("""COMPUTED_VALUE"""),"")</f>
        <v/>
      </c>
      <c r="J408" t="str">
        <f>IFERROR(__xludf.DUMMYFUNCTION("""COMPUTED_VALUE"""),"")</f>
        <v/>
      </c>
      <c r="K408" t="str">
        <f>IFERROR(__xludf.DUMMYFUNCTION("""COMPUTED_VALUE"""),"")</f>
        <v/>
      </c>
      <c r="L408" t="str">
        <f>IFERROR(__xludf.DUMMYFUNCTION("""COMPUTED_VALUE"""),"")</f>
        <v/>
      </c>
    </row>
    <row r="409" ht="15.75" customHeight="1">
      <c r="A409" t="str">
        <f>IFERROR(__xludf.DUMMYFUNCTION("""COMPUTED_VALUE"""),"")</f>
        <v/>
      </c>
      <c r="B409" t="str">
        <f>IFERROR(__xludf.DUMMYFUNCTION("""COMPUTED_VALUE"""),"")</f>
        <v/>
      </c>
      <c r="C409" t="str">
        <f>IFERROR(__xludf.DUMMYFUNCTION("""COMPUTED_VALUE"""),"")</f>
        <v/>
      </c>
      <c r="D409" t="str">
        <f>IFERROR(__xludf.DUMMYFUNCTION("""COMPUTED_VALUE"""),"")</f>
        <v/>
      </c>
      <c r="E409" t="str">
        <f>IFERROR(__xludf.DUMMYFUNCTION("""COMPUTED_VALUE"""),"")</f>
        <v/>
      </c>
      <c r="F409" t="str">
        <f>IFERROR(__xludf.DUMMYFUNCTION("""COMPUTED_VALUE"""),"")</f>
        <v/>
      </c>
      <c r="G409" t="str">
        <f>IFERROR(__xludf.DUMMYFUNCTION("""COMPUTED_VALUE"""),"")</f>
        <v/>
      </c>
      <c r="H409" t="str">
        <f>IFERROR(__xludf.DUMMYFUNCTION("""COMPUTED_VALUE"""),"")</f>
        <v/>
      </c>
      <c r="I409" t="str">
        <f>IFERROR(__xludf.DUMMYFUNCTION("""COMPUTED_VALUE"""),"")</f>
        <v/>
      </c>
      <c r="J409" t="str">
        <f>IFERROR(__xludf.DUMMYFUNCTION("""COMPUTED_VALUE"""),"")</f>
        <v/>
      </c>
      <c r="K409" t="str">
        <f>IFERROR(__xludf.DUMMYFUNCTION("""COMPUTED_VALUE"""),"")</f>
        <v/>
      </c>
      <c r="L409" t="str">
        <f>IFERROR(__xludf.DUMMYFUNCTION("""COMPUTED_VALUE"""),"")</f>
        <v/>
      </c>
    </row>
    <row r="410" ht="15.75" customHeight="1">
      <c r="A410" t="str">
        <f>IFERROR(__xludf.DUMMYFUNCTION("""COMPUTED_VALUE"""),"")</f>
        <v/>
      </c>
      <c r="B410" t="str">
        <f>IFERROR(__xludf.DUMMYFUNCTION("""COMPUTED_VALUE"""),"")</f>
        <v/>
      </c>
      <c r="C410" t="str">
        <f>IFERROR(__xludf.DUMMYFUNCTION("""COMPUTED_VALUE"""),"")</f>
        <v/>
      </c>
      <c r="D410" t="str">
        <f>IFERROR(__xludf.DUMMYFUNCTION("""COMPUTED_VALUE"""),"")</f>
        <v/>
      </c>
      <c r="E410" t="str">
        <f>IFERROR(__xludf.DUMMYFUNCTION("""COMPUTED_VALUE"""),"")</f>
        <v/>
      </c>
      <c r="F410" t="str">
        <f>IFERROR(__xludf.DUMMYFUNCTION("""COMPUTED_VALUE"""),"")</f>
        <v/>
      </c>
      <c r="G410" t="str">
        <f>IFERROR(__xludf.DUMMYFUNCTION("""COMPUTED_VALUE"""),"")</f>
        <v/>
      </c>
      <c r="H410" t="str">
        <f>IFERROR(__xludf.DUMMYFUNCTION("""COMPUTED_VALUE"""),"")</f>
        <v/>
      </c>
      <c r="I410" t="str">
        <f>IFERROR(__xludf.DUMMYFUNCTION("""COMPUTED_VALUE"""),"")</f>
        <v/>
      </c>
      <c r="J410" t="str">
        <f>IFERROR(__xludf.DUMMYFUNCTION("""COMPUTED_VALUE"""),"")</f>
        <v/>
      </c>
      <c r="K410" t="str">
        <f>IFERROR(__xludf.DUMMYFUNCTION("""COMPUTED_VALUE"""),"")</f>
        <v/>
      </c>
      <c r="L410" t="str">
        <f>IFERROR(__xludf.DUMMYFUNCTION("""COMPUTED_VALUE"""),"")</f>
        <v/>
      </c>
    </row>
    <row r="411" ht="15.75" customHeight="1">
      <c r="A411" t="str">
        <f>IFERROR(__xludf.DUMMYFUNCTION("""COMPUTED_VALUE"""),"")</f>
        <v/>
      </c>
      <c r="B411" t="str">
        <f>IFERROR(__xludf.DUMMYFUNCTION("""COMPUTED_VALUE"""),"")</f>
        <v/>
      </c>
      <c r="C411" t="str">
        <f>IFERROR(__xludf.DUMMYFUNCTION("""COMPUTED_VALUE"""),"")</f>
        <v/>
      </c>
      <c r="D411" t="str">
        <f>IFERROR(__xludf.DUMMYFUNCTION("""COMPUTED_VALUE"""),"")</f>
        <v/>
      </c>
      <c r="E411" t="str">
        <f>IFERROR(__xludf.DUMMYFUNCTION("""COMPUTED_VALUE"""),"")</f>
        <v/>
      </c>
      <c r="F411" t="str">
        <f>IFERROR(__xludf.DUMMYFUNCTION("""COMPUTED_VALUE"""),"")</f>
        <v/>
      </c>
      <c r="G411" t="str">
        <f>IFERROR(__xludf.DUMMYFUNCTION("""COMPUTED_VALUE"""),"")</f>
        <v/>
      </c>
      <c r="H411" t="str">
        <f>IFERROR(__xludf.DUMMYFUNCTION("""COMPUTED_VALUE"""),"")</f>
        <v/>
      </c>
      <c r="I411" t="str">
        <f>IFERROR(__xludf.DUMMYFUNCTION("""COMPUTED_VALUE"""),"")</f>
        <v/>
      </c>
      <c r="J411" t="str">
        <f>IFERROR(__xludf.DUMMYFUNCTION("""COMPUTED_VALUE"""),"")</f>
        <v/>
      </c>
      <c r="K411" t="str">
        <f>IFERROR(__xludf.DUMMYFUNCTION("""COMPUTED_VALUE"""),"")</f>
        <v/>
      </c>
      <c r="L411" t="str">
        <f>IFERROR(__xludf.DUMMYFUNCTION("""COMPUTED_VALUE"""),"")</f>
        <v/>
      </c>
    </row>
    <row r="412" ht="15.75" customHeight="1">
      <c r="A412" t="str">
        <f>IFERROR(__xludf.DUMMYFUNCTION("""COMPUTED_VALUE"""),"")</f>
        <v/>
      </c>
      <c r="B412" t="str">
        <f>IFERROR(__xludf.DUMMYFUNCTION("""COMPUTED_VALUE"""),"")</f>
        <v/>
      </c>
      <c r="C412" t="str">
        <f>IFERROR(__xludf.DUMMYFUNCTION("""COMPUTED_VALUE"""),"")</f>
        <v/>
      </c>
      <c r="D412" t="str">
        <f>IFERROR(__xludf.DUMMYFUNCTION("""COMPUTED_VALUE"""),"")</f>
        <v/>
      </c>
      <c r="E412" t="str">
        <f>IFERROR(__xludf.DUMMYFUNCTION("""COMPUTED_VALUE"""),"")</f>
        <v/>
      </c>
      <c r="F412" t="str">
        <f>IFERROR(__xludf.DUMMYFUNCTION("""COMPUTED_VALUE"""),"")</f>
        <v/>
      </c>
      <c r="G412" t="str">
        <f>IFERROR(__xludf.DUMMYFUNCTION("""COMPUTED_VALUE"""),"")</f>
        <v/>
      </c>
      <c r="H412" t="str">
        <f>IFERROR(__xludf.DUMMYFUNCTION("""COMPUTED_VALUE"""),"")</f>
        <v/>
      </c>
      <c r="I412" t="str">
        <f>IFERROR(__xludf.DUMMYFUNCTION("""COMPUTED_VALUE"""),"")</f>
        <v/>
      </c>
      <c r="J412" t="str">
        <f>IFERROR(__xludf.DUMMYFUNCTION("""COMPUTED_VALUE"""),"")</f>
        <v/>
      </c>
      <c r="K412" t="str">
        <f>IFERROR(__xludf.DUMMYFUNCTION("""COMPUTED_VALUE"""),"")</f>
        <v/>
      </c>
      <c r="L412" t="str">
        <f>IFERROR(__xludf.DUMMYFUNCTION("""COMPUTED_VALUE"""),"")</f>
        <v/>
      </c>
    </row>
    <row r="413" ht="15.75" customHeight="1">
      <c r="A413" t="str">
        <f>IFERROR(__xludf.DUMMYFUNCTION("""COMPUTED_VALUE"""),"")</f>
        <v/>
      </c>
      <c r="B413" t="str">
        <f>IFERROR(__xludf.DUMMYFUNCTION("""COMPUTED_VALUE"""),"")</f>
        <v/>
      </c>
      <c r="C413" t="str">
        <f>IFERROR(__xludf.DUMMYFUNCTION("""COMPUTED_VALUE"""),"")</f>
        <v/>
      </c>
      <c r="D413" t="str">
        <f>IFERROR(__xludf.DUMMYFUNCTION("""COMPUTED_VALUE"""),"")</f>
        <v/>
      </c>
      <c r="E413" t="str">
        <f>IFERROR(__xludf.DUMMYFUNCTION("""COMPUTED_VALUE"""),"")</f>
        <v/>
      </c>
      <c r="F413" t="str">
        <f>IFERROR(__xludf.DUMMYFUNCTION("""COMPUTED_VALUE"""),"")</f>
        <v/>
      </c>
      <c r="G413" t="str">
        <f>IFERROR(__xludf.DUMMYFUNCTION("""COMPUTED_VALUE"""),"")</f>
        <v/>
      </c>
      <c r="H413" t="str">
        <f>IFERROR(__xludf.DUMMYFUNCTION("""COMPUTED_VALUE"""),"")</f>
        <v/>
      </c>
      <c r="I413" t="str">
        <f>IFERROR(__xludf.DUMMYFUNCTION("""COMPUTED_VALUE"""),"")</f>
        <v/>
      </c>
      <c r="J413" t="str">
        <f>IFERROR(__xludf.DUMMYFUNCTION("""COMPUTED_VALUE"""),"")</f>
        <v/>
      </c>
      <c r="K413" t="str">
        <f>IFERROR(__xludf.DUMMYFUNCTION("""COMPUTED_VALUE"""),"")</f>
        <v/>
      </c>
      <c r="L413" t="str">
        <f>IFERROR(__xludf.DUMMYFUNCTION("""COMPUTED_VALUE"""),"")</f>
        <v/>
      </c>
    </row>
    <row r="414" ht="15.75" customHeight="1">
      <c r="A414" t="str">
        <f>IFERROR(__xludf.DUMMYFUNCTION("""COMPUTED_VALUE"""),"")</f>
        <v/>
      </c>
      <c r="B414" t="str">
        <f>IFERROR(__xludf.DUMMYFUNCTION("""COMPUTED_VALUE"""),"")</f>
        <v/>
      </c>
      <c r="C414" t="str">
        <f>IFERROR(__xludf.DUMMYFUNCTION("""COMPUTED_VALUE"""),"")</f>
        <v/>
      </c>
      <c r="D414" t="str">
        <f>IFERROR(__xludf.DUMMYFUNCTION("""COMPUTED_VALUE"""),"")</f>
        <v/>
      </c>
      <c r="E414" t="str">
        <f>IFERROR(__xludf.DUMMYFUNCTION("""COMPUTED_VALUE"""),"")</f>
        <v/>
      </c>
      <c r="F414" t="str">
        <f>IFERROR(__xludf.DUMMYFUNCTION("""COMPUTED_VALUE"""),"")</f>
        <v/>
      </c>
      <c r="G414" t="str">
        <f>IFERROR(__xludf.DUMMYFUNCTION("""COMPUTED_VALUE"""),"")</f>
        <v/>
      </c>
      <c r="H414" t="str">
        <f>IFERROR(__xludf.DUMMYFUNCTION("""COMPUTED_VALUE"""),"")</f>
        <v/>
      </c>
      <c r="I414" t="str">
        <f>IFERROR(__xludf.DUMMYFUNCTION("""COMPUTED_VALUE"""),"")</f>
        <v/>
      </c>
      <c r="J414" t="str">
        <f>IFERROR(__xludf.DUMMYFUNCTION("""COMPUTED_VALUE"""),"")</f>
        <v/>
      </c>
      <c r="K414" t="str">
        <f>IFERROR(__xludf.DUMMYFUNCTION("""COMPUTED_VALUE"""),"")</f>
        <v/>
      </c>
      <c r="L414" t="str">
        <f>IFERROR(__xludf.DUMMYFUNCTION("""COMPUTED_VALUE"""),"")</f>
        <v/>
      </c>
    </row>
    <row r="415" ht="15.75" customHeight="1">
      <c r="A415" t="str">
        <f>IFERROR(__xludf.DUMMYFUNCTION("""COMPUTED_VALUE"""),"")</f>
        <v/>
      </c>
      <c r="B415" t="str">
        <f>IFERROR(__xludf.DUMMYFUNCTION("""COMPUTED_VALUE"""),"")</f>
        <v/>
      </c>
      <c r="C415" t="str">
        <f>IFERROR(__xludf.DUMMYFUNCTION("""COMPUTED_VALUE"""),"")</f>
        <v/>
      </c>
      <c r="D415" t="str">
        <f>IFERROR(__xludf.DUMMYFUNCTION("""COMPUTED_VALUE"""),"")</f>
        <v/>
      </c>
      <c r="E415" t="str">
        <f>IFERROR(__xludf.DUMMYFUNCTION("""COMPUTED_VALUE"""),"")</f>
        <v/>
      </c>
      <c r="F415" t="str">
        <f>IFERROR(__xludf.DUMMYFUNCTION("""COMPUTED_VALUE"""),"")</f>
        <v/>
      </c>
      <c r="G415" t="str">
        <f>IFERROR(__xludf.DUMMYFUNCTION("""COMPUTED_VALUE"""),"")</f>
        <v/>
      </c>
      <c r="H415" t="str">
        <f>IFERROR(__xludf.DUMMYFUNCTION("""COMPUTED_VALUE"""),"")</f>
        <v/>
      </c>
      <c r="I415" t="str">
        <f>IFERROR(__xludf.DUMMYFUNCTION("""COMPUTED_VALUE"""),"")</f>
        <v/>
      </c>
      <c r="J415" t="str">
        <f>IFERROR(__xludf.DUMMYFUNCTION("""COMPUTED_VALUE"""),"")</f>
        <v/>
      </c>
      <c r="K415" t="str">
        <f>IFERROR(__xludf.DUMMYFUNCTION("""COMPUTED_VALUE"""),"")</f>
        <v/>
      </c>
      <c r="L415" t="str">
        <f>IFERROR(__xludf.DUMMYFUNCTION("""COMPUTED_VALUE"""),"")</f>
        <v/>
      </c>
    </row>
    <row r="416" ht="15.75" customHeight="1">
      <c r="A416" t="str">
        <f>IFERROR(__xludf.DUMMYFUNCTION("""COMPUTED_VALUE"""),"")</f>
        <v/>
      </c>
      <c r="B416" t="str">
        <f>IFERROR(__xludf.DUMMYFUNCTION("""COMPUTED_VALUE"""),"")</f>
        <v/>
      </c>
      <c r="C416" t="str">
        <f>IFERROR(__xludf.DUMMYFUNCTION("""COMPUTED_VALUE"""),"")</f>
        <v/>
      </c>
      <c r="D416" t="str">
        <f>IFERROR(__xludf.DUMMYFUNCTION("""COMPUTED_VALUE"""),"")</f>
        <v/>
      </c>
      <c r="E416" t="str">
        <f>IFERROR(__xludf.DUMMYFUNCTION("""COMPUTED_VALUE"""),"")</f>
        <v/>
      </c>
      <c r="F416" t="str">
        <f>IFERROR(__xludf.DUMMYFUNCTION("""COMPUTED_VALUE"""),"")</f>
        <v/>
      </c>
      <c r="G416" t="str">
        <f>IFERROR(__xludf.DUMMYFUNCTION("""COMPUTED_VALUE"""),"")</f>
        <v/>
      </c>
      <c r="H416" t="str">
        <f>IFERROR(__xludf.DUMMYFUNCTION("""COMPUTED_VALUE"""),"")</f>
        <v/>
      </c>
      <c r="I416" t="str">
        <f>IFERROR(__xludf.DUMMYFUNCTION("""COMPUTED_VALUE"""),"")</f>
        <v/>
      </c>
      <c r="J416" t="str">
        <f>IFERROR(__xludf.DUMMYFUNCTION("""COMPUTED_VALUE"""),"")</f>
        <v/>
      </c>
      <c r="K416" t="str">
        <f>IFERROR(__xludf.DUMMYFUNCTION("""COMPUTED_VALUE"""),"")</f>
        <v/>
      </c>
      <c r="L416" t="str">
        <f>IFERROR(__xludf.DUMMYFUNCTION("""COMPUTED_VALUE"""),"")</f>
        <v/>
      </c>
    </row>
    <row r="417" ht="15.75" customHeight="1">
      <c r="A417" t="str">
        <f>IFERROR(__xludf.DUMMYFUNCTION("""COMPUTED_VALUE"""),"")</f>
        <v/>
      </c>
      <c r="B417" t="str">
        <f>IFERROR(__xludf.DUMMYFUNCTION("""COMPUTED_VALUE"""),"")</f>
        <v/>
      </c>
      <c r="C417" t="str">
        <f>IFERROR(__xludf.DUMMYFUNCTION("""COMPUTED_VALUE"""),"")</f>
        <v/>
      </c>
      <c r="D417" t="str">
        <f>IFERROR(__xludf.DUMMYFUNCTION("""COMPUTED_VALUE"""),"")</f>
        <v/>
      </c>
      <c r="E417" t="str">
        <f>IFERROR(__xludf.DUMMYFUNCTION("""COMPUTED_VALUE"""),"")</f>
        <v/>
      </c>
      <c r="F417" t="str">
        <f>IFERROR(__xludf.DUMMYFUNCTION("""COMPUTED_VALUE"""),"")</f>
        <v/>
      </c>
      <c r="G417" t="str">
        <f>IFERROR(__xludf.DUMMYFUNCTION("""COMPUTED_VALUE"""),"")</f>
        <v/>
      </c>
      <c r="H417" t="str">
        <f>IFERROR(__xludf.DUMMYFUNCTION("""COMPUTED_VALUE"""),"")</f>
        <v/>
      </c>
      <c r="I417" t="str">
        <f>IFERROR(__xludf.DUMMYFUNCTION("""COMPUTED_VALUE"""),"")</f>
        <v/>
      </c>
      <c r="J417" t="str">
        <f>IFERROR(__xludf.DUMMYFUNCTION("""COMPUTED_VALUE"""),"")</f>
        <v/>
      </c>
      <c r="K417" t="str">
        <f>IFERROR(__xludf.DUMMYFUNCTION("""COMPUTED_VALUE"""),"")</f>
        <v/>
      </c>
      <c r="L417" t="str">
        <f>IFERROR(__xludf.DUMMYFUNCTION("""COMPUTED_VALUE"""),"")</f>
        <v/>
      </c>
    </row>
    <row r="418" ht="15.75" customHeight="1">
      <c r="A418" t="str">
        <f>IFERROR(__xludf.DUMMYFUNCTION("""COMPUTED_VALUE"""),"")</f>
        <v/>
      </c>
      <c r="B418" t="str">
        <f>IFERROR(__xludf.DUMMYFUNCTION("""COMPUTED_VALUE"""),"")</f>
        <v/>
      </c>
      <c r="C418" t="str">
        <f>IFERROR(__xludf.DUMMYFUNCTION("""COMPUTED_VALUE"""),"")</f>
        <v/>
      </c>
      <c r="D418" t="str">
        <f>IFERROR(__xludf.DUMMYFUNCTION("""COMPUTED_VALUE"""),"")</f>
        <v/>
      </c>
      <c r="E418" t="str">
        <f>IFERROR(__xludf.DUMMYFUNCTION("""COMPUTED_VALUE"""),"")</f>
        <v/>
      </c>
      <c r="F418" t="str">
        <f>IFERROR(__xludf.DUMMYFUNCTION("""COMPUTED_VALUE"""),"")</f>
        <v/>
      </c>
      <c r="G418" t="str">
        <f>IFERROR(__xludf.DUMMYFUNCTION("""COMPUTED_VALUE"""),"")</f>
        <v/>
      </c>
      <c r="H418" t="str">
        <f>IFERROR(__xludf.DUMMYFUNCTION("""COMPUTED_VALUE"""),"")</f>
        <v/>
      </c>
      <c r="I418" t="str">
        <f>IFERROR(__xludf.DUMMYFUNCTION("""COMPUTED_VALUE"""),"")</f>
        <v/>
      </c>
      <c r="J418" t="str">
        <f>IFERROR(__xludf.DUMMYFUNCTION("""COMPUTED_VALUE"""),"")</f>
        <v/>
      </c>
      <c r="K418" t="str">
        <f>IFERROR(__xludf.DUMMYFUNCTION("""COMPUTED_VALUE"""),"")</f>
        <v/>
      </c>
      <c r="L418" t="str">
        <f>IFERROR(__xludf.DUMMYFUNCTION("""COMPUTED_VALUE"""),"")</f>
        <v/>
      </c>
    </row>
    <row r="419" ht="15.75" customHeight="1">
      <c r="A419" t="str">
        <f>IFERROR(__xludf.DUMMYFUNCTION("""COMPUTED_VALUE"""),"")</f>
        <v/>
      </c>
      <c r="B419" t="str">
        <f>IFERROR(__xludf.DUMMYFUNCTION("""COMPUTED_VALUE"""),"")</f>
        <v/>
      </c>
      <c r="C419" t="str">
        <f>IFERROR(__xludf.DUMMYFUNCTION("""COMPUTED_VALUE"""),"")</f>
        <v/>
      </c>
      <c r="D419" t="str">
        <f>IFERROR(__xludf.DUMMYFUNCTION("""COMPUTED_VALUE"""),"")</f>
        <v/>
      </c>
      <c r="E419" t="str">
        <f>IFERROR(__xludf.DUMMYFUNCTION("""COMPUTED_VALUE"""),"")</f>
        <v/>
      </c>
      <c r="F419" t="str">
        <f>IFERROR(__xludf.DUMMYFUNCTION("""COMPUTED_VALUE"""),"")</f>
        <v/>
      </c>
      <c r="G419" t="str">
        <f>IFERROR(__xludf.DUMMYFUNCTION("""COMPUTED_VALUE"""),"")</f>
        <v/>
      </c>
      <c r="H419" t="str">
        <f>IFERROR(__xludf.DUMMYFUNCTION("""COMPUTED_VALUE"""),"")</f>
        <v/>
      </c>
      <c r="I419" t="str">
        <f>IFERROR(__xludf.DUMMYFUNCTION("""COMPUTED_VALUE"""),"")</f>
        <v/>
      </c>
      <c r="J419" t="str">
        <f>IFERROR(__xludf.DUMMYFUNCTION("""COMPUTED_VALUE"""),"")</f>
        <v/>
      </c>
      <c r="K419" t="str">
        <f>IFERROR(__xludf.DUMMYFUNCTION("""COMPUTED_VALUE"""),"")</f>
        <v/>
      </c>
      <c r="L419" t="str">
        <f>IFERROR(__xludf.DUMMYFUNCTION("""COMPUTED_VALUE"""),"")</f>
        <v/>
      </c>
    </row>
    <row r="420" ht="15.75" customHeight="1">
      <c r="A420" t="str">
        <f>IFERROR(__xludf.DUMMYFUNCTION("""COMPUTED_VALUE"""),"")</f>
        <v/>
      </c>
      <c r="B420" t="str">
        <f>IFERROR(__xludf.DUMMYFUNCTION("""COMPUTED_VALUE"""),"")</f>
        <v/>
      </c>
      <c r="C420" t="str">
        <f>IFERROR(__xludf.DUMMYFUNCTION("""COMPUTED_VALUE"""),"")</f>
        <v/>
      </c>
      <c r="D420" t="str">
        <f>IFERROR(__xludf.DUMMYFUNCTION("""COMPUTED_VALUE"""),"")</f>
        <v/>
      </c>
      <c r="E420" t="str">
        <f>IFERROR(__xludf.DUMMYFUNCTION("""COMPUTED_VALUE"""),"")</f>
        <v/>
      </c>
      <c r="F420" t="str">
        <f>IFERROR(__xludf.DUMMYFUNCTION("""COMPUTED_VALUE"""),"")</f>
        <v/>
      </c>
      <c r="G420" t="str">
        <f>IFERROR(__xludf.DUMMYFUNCTION("""COMPUTED_VALUE"""),"")</f>
        <v/>
      </c>
      <c r="H420" t="str">
        <f>IFERROR(__xludf.DUMMYFUNCTION("""COMPUTED_VALUE"""),"")</f>
        <v/>
      </c>
      <c r="I420" t="str">
        <f>IFERROR(__xludf.DUMMYFUNCTION("""COMPUTED_VALUE"""),"")</f>
        <v/>
      </c>
      <c r="J420" t="str">
        <f>IFERROR(__xludf.DUMMYFUNCTION("""COMPUTED_VALUE"""),"")</f>
        <v/>
      </c>
      <c r="K420" t="str">
        <f>IFERROR(__xludf.DUMMYFUNCTION("""COMPUTED_VALUE"""),"")</f>
        <v/>
      </c>
      <c r="L420" t="str">
        <f>IFERROR(__xludf.DUMMYFUNCTION("""COMPUTED_VALUE"""),"")</f>
        <v/>
      </c>
    </row>
    <row r="421" ht="15.75" customHeight="1">
      <c r="A421" t="str">
        <f>IFERROR(__xludf.DUMMYFUNCTION("""COMPUTED_VALUE"""),"")</f>
        <v/>
      </c>
      <c r="B421" t="str">
        <f>IFERROR(__xludf.DUMMYFUNCTION("""COMPUTED_VALUE"""),"")</f>
        <v/>
      </c>
      <c r="C421" t="str">
        <f>IFERROR(__xludf.DUMMYFUNCTION("""COMPUTED_VALUE"""),"")</f>
        <v/>
      </c>
      <c r="D421" t="str">
        <f>IFERROR(__xludf.DUMMYFUNCTION("""COMPUTED_VALUE"""),"")</f>
        <v/>
      </c>
      <c r="E421" t="str">
        <f>IFERROR(__xludf.DUMMYFUNCTION("""COMPUTED_VALUE"""),"")</f>
        <v/>
      </c>
      <c r="F421" t="str">
        <f>IFERROR(__xludf.DUMMYFUNCTION("""COMPUTED_VALUE"""),"")</f>
        <v/>
      </c>
      <c r="G421" t="str">
        <f>IFERROR(__xludf.DUMMYFUNCTION("""COMPUTED_VALUE"""),"")</f>
        <v/>
      </c>
      <c r="H421" t="str">
        <f>IFERROR(__xludf.DUMMYFUNCTION("""COMPUTED_VALUE"""),"")</f>
        <v/>
      </c>
      <c r="I421" t="str">
        <f>IFERROR(__xludf.DUMMYFUNCTION("""COMPUTED_VALUE"""),"")</f>
        <v/>
      </c>
      <c r="J421" t="str">
        <f>IFERROR(__xludf.DUMMYFUNCTION("""COMPUTED_VALUE"""),"")</f>
        <v/>
      </c>
      <c r="K421" t="str">
        <f>IFERROR(__xludf.DUMMYFUNCTION("""COMPUTED_VALUE"""),"")</f>
        <v/>
      </c>
      <c r="L421" t="str">
        <f>IFERROR(__xludf.DUMMYFUNCTION("""COMPUTED_VALUE"""),"")</f>
        <v/>
      </c>
    </row>
    <row r="422" ht="15.75" customHeight="1">
      <c r="A422" t="str">
        <f>IFERROR(__xludf.DUMMYFUNCTION("""COMPUTED_VALUE"""),"")</f>
        <v/>
      </c>
      <c r="B422" t="str">
        <f>IFERROR(__xludf.DUMMYFUNCTION("""COMPUTED_VALUE"""),"")</f>
        <v/>
      </c>
      <c r="C422" t="str">
        <f>IFERROR(__xludf.DUMMYFUNCTION("""COMPUTED_VALUE"""),"")</f>
        <v/>
      </c>
      <c r="D422" t="str">
        <f>IFERROR(__xludf.DUMMYFUNCTION("""COMPUTED_VALUE"""),"")</f>
        <v/>
      </c>
      <c r="E422" t="str">
        <f>IFERROR(__xludf.DUMMYFUNCTION("""COMPUTED_VALUE"""),"")</f>
        <v/>
      </c>
      <c r="F422" t="str">
        <f>IFERROR(__xludf.DUMMYFUNCTION("""COMPUTED_VALUE"""),"")</f>
        <v/>
      </c>
      <c r="G422" t="str">
        <f>IFERROR(__xludf.DUMMYFUNCTION("""COMPUTED_VALUE"""),"")</f>
        <v/>
      </c>
      <c r="H422" t="str">
        <f>IFERROR(__xludf.DUMMYFUNCTION("""COMPUTED_VALUE"""),"")</f>
        <v/>
      </c>
      <c r="I422" t="str">
        <f>IFERROR(__xludf.DUMMYFUNCTION("""COMPUTED_VALUE"""),"")</f>
        <v/>
      </c>
      <c r="J422" t="str">
        <f>IFERROR(__xludf.DUMMYFUNCTION("""COMPUTED_VALUE"""),"")</f>
        <v/>
      </c>
      <c r="K422" t="str">
        <f>IFERROR(__xludf.DUMMYFUNCTION("""COMPUTED_VALUE"""),"")</f>
        <v/>
      </c>
      <c r="L422" t="str">
        <f>IFERROR(__xludf.DUMMYFUNCTION("""COMPUTED_VALUE"""),"")</f>
        <v/>
      </c>
    </row>
    <row r="423" ht="15.75" customHeight="1">
      <c r="A423" t="str">
        <f>IFERROR(__xludf.DUMMYFUNCTION("""COMPUTED_VALUE"""),"")</f>
        <v/>
      </c>
      <c r="B423" t="str">
        <f>IFERROR(__xludf.DUMMYFUNCTION("""COMPUTED_VALUE"""),"")</f>
        <v/>
      </c>
      <c r="C423" t="str">
        <f>IFERROR(__xludf.DUMMYFUNCTION("""COMPUTED_VALUE"""),"")</f>
        <v/>
      </c>
      <c r="D423" t="str">
        <f>IFERROR(__xludf.DUMMYFUNCTION("""COMPUTED_VALUE"""),"")</f>
        <v/>
      </c>
      <c r="E423" t="str">
        <f>IFERROR(__xludf.DUMMYFUNCTION("""COMPUTED_VALUE"""),"")</f>
        <v/>
      </c>
      <c r="F423" t="str">
        <f>IFERROR(__xludf.DUMMYFUNCTION("""COMPUTED_VALUE"""),"")</f>
        <v/>
      </c>
      <c r="G423" t="str">
        <f>IFERROR(__xludf.DUMMYFUNCTION("""COMPUTED_VALUE"""),"")</f>
        <v/>
      </c>
      <c r="H423" t="str">
        <f>IFERROR(__xludf.DUMMYFUNCTION("""COMPUTED_VALUE"""),"")</f>
        <v/>
      </c>
      <c r="I423" t="str">
        <f>IFERROR(__xludf.DUMMYFUNCTION("""COMPUTED_VALUE"""),"")</f>
        <v/>
      </c>
      <c r="J423" t="str">
        <f>IFERROR(__xludf.DUMMYFUNCTION("""COMPUTED_VALUE"""),"")</f>
        <v/>
      </c>
      <c r="K423" t="str">
        <f>IFERROR(__xludf.DUMMYFUNCTION("""COMPUTED_VALUE"""),"")</f>
        <v/>
      </c>
      <c r="L423" t="str">
        <f>IFERROR(__xludf.DUMMYFUNCTION("""COMPUTED_VALUE"""),"")</f>
        <v/>
      </c>
    </row>
    <row r="424" ht="15.75" customHeight="1">
      <c r="A424" t="str">
        <f>IFERROR(__xludf.DUMMYFUNCTION("""COMPUTED_VALUE"""),"")</f>
        <v/>
      </c>
      <c r="B424" t="str">
        <f>IFERROR(__xludf.DUMMYFUNCTION("""COMPUTED_VALUE"""),"")</f>
        <v/>
      </c>
      <c r="C424" t="str">
        <f>IFERROR(__xludf.DUMMYFUNCTION("""COMPUTED_VALUE"""),"")</f>
        <v/>
      </c>
      <c r="D424" t="str">
        <f>IFERROR(__xludf.DUMMYFUNCTION("""COMPUTED_VALUE"""),"")</f>
        <v/>
      </c>
      <c r="E424" t="str">
        <f>IFERROR(__xludf.DUMMYFUNCTION("""COMPUTED_VALUE"""),"")</f>
        <v/>
      </c>
      <c r="F424" t="str">
        <f>IFERROR(__xludf.DUMMYFUNCTION("""COMPUTED_VALUE"""),"")</f>
        <v/>
      </c>
      <c r="G424" t="str">
        <f>IFERROR(__xludf.DUMMYFUNCTION("""COMPUTED_VALUE"""),"")</f>
        <v/>
      </c>
      <c r="H424" t="str">
        <f>IFERROR(__xludf.DUMMYFUNCTION("""COMPUTED_VALUE"""),"")</f>
        <v/>
      </c>
      <c r="I424" t="str">
        <f>IFERROR(__xludf.DUMMYFUNCTION("""COMPUTED_VALUE"""),"")</f>
        <v/>
      </c>
      <c r="J424" t="str">
        <f>IFERROR(__xludf.DUMMYFUNCTION("""COMPUTED_VALUE"""),"")</f>
        <v/>
      </c>
      <c r="K424" t="str">
        <f>IFERROR(__xludf.DUMMYFUNCTION("""COMPUTED_VALUE"""),"")</f>
        <v/>
      </c>
      <c r="L424" t="str">
        <f>IFERROR(__xludf.DUMMYFUNCTION("""COMPUTED_VALUE"""),"")</f>
        <v/>
      </c>
    </row>
    <row r="425" ht="15.75" customHeight="1">
      <c r="A425" t="str">
        <f>IFERROR(__xludf.DUMMYFUNCTION("""COMPUTED_VALUE"""),"")</f>
        <v/>
      </c>
      <c r="B425" t="str">
        <f>IFERROR(__xludf.DUMMYFUNCTION("""COMPUTED_VALUE"""),"")</f>
        <v/>
      </c>
      <c r="C425" t="str">
        <f>IFERROR(__xludf.DUMMYFUNCTION("""COMPUTED_VALUE"""),"")</f>
        <v/>
      </c>
      <c r="D425" t="str">
        <f>IFERROR(__xludf.DUMMYFUNCTION("""COMPUTED_VALUE"""),"")</f>
        <v/>
      </c>
      <c r="E425" t="str">
        <f>IFERROR(__xludf.DUMMYFUNCTION("""COMPUTED_VALUE"""),"")</f>
        <v/>
      </c>
      <c r="F425" t="str">
        <f>IFERROR(__xludf.DUMMYFUNCTION("""COMPUTED_VALUE"""),"")</f>
        <v/>
      </c>
      <c r="G425" t="str">
        <f>IFERROR(__xludf.DUMMYFUNCTION("""COMPUTED_VALUE"""),"")</f>
        <v/>
      </c>
      <c r="H425" t="str">
        <f>IFERROR(__xludf.DUMMYFUNCTION("""COMPUTED_VALUE"""),"")</f>
        <v/>
      </c>
      <c r="I425" t="str">
        <f>IFERROR(__xludf.DUMMYFUNCTION("""COMPUTED_VALUE"""),"")</f>
        <v/>
      </c>
      <c r="J425" t="str">
        <f>IFERROR(__xludf.DUMMYFUNCTION("""COMPUTED_VALUE"""),"")</f>
        <v/>
      </c>
      <c r="K425" t="str">
        <f>IFERROR(__xludf.DUMMYFUNCTION("""COMPUTED_VALUE"""),"")</f>
        <v/>
      </c>
      <c r="L425" t="str">
        <f>IFERROR(__xludf.DUMMYFUNCTION("""COMPUTED_VALUE"""),"")</f>
        <v/>
      </c>
    </row>
    <row r="426" ht="15.75" customHeight="1">
      <c r="A426" t="str">
        <f>IFERROR(__xludf.DUMMYFUNCTION("""COMPUTED_VALUE"""),"")</f>
        <v/>
      </c>
      <c r="B426" t="str">
        <f>IFERROR(__xludf.DUMMYFUNCTION("""COMPUTED_VALUE"""),"")</f>
        <v/>
      </c>
      <c r="C426" t="str">
        <f>IFERROR(__xludf.DUMMYFUNCTION("""COMPUTED_VALUE"""),"")</f>
        <v/>
      </c>
      <c r="D426" t="str">
        <f>IFERROR(__xludf.DUMMYFUNCTION("""COMPUTED_VALUE"""),"")</f>
        <v/>
      </c>
      <c r="E426" t="str">
        <f>IFERROR(__xludf.DUMMYFUNCTION("""COMPUTED_VALUE"""),"")</f>
        <v/>
      </c>
      <c r="F426" t="str">
        <f>IFERROR(__xludf.DUMMYFUNCTION("""COMPUTED_VALUE"""),"")</f>
        <v/>
      </c>
      <c r="G426" t="str">
        <f>IFERROR(__xludf.DUMMYFUNCTION("""COMPUTED_VALUE"""),"")</f>
        <v/>
      </c>
      <c r="H426" t="str">
        <f>IFERROR(__xludf.DUMMYFUNCTION("""COMPUTED_VALUE"""),"")</f>
        <v/>
      </c>
      <c r="I426" t="str">
        <f>IFERROR(__xludf.DUMMYFUNCTION("""COMPUTED_VALUE"""),"")</f>
        <v/>
      </c>
      <c r="J426" t="str">
        <f>IFERROR(__xludf.DUMMYFUNCTION("""COMPUTED_VALUE"""),"")</f>
        <v/>
      </c>
      <c r="K426" t="str">
        <f>IFERROR(__xludf.DUMMYFUNCTION("""COMPUTED_VALUE"""),"")</f>
        <v/>
      </c>
      <c r="L426" t="str">
        <f>IFERROR(__xludf.DUMMYFUNCTION("""COMPUTED_VALUE"""),"")</f>
        <v/>
      </c>
    </row>
    <row r="427" ht="15.75" customHeight="1">
      <c r="A427" t="str">
        <f>IFERROR(__xludf.DUMMYFUNCTION("""COMPUTED_VALUE"""),"")</f>
        <v/>
      </c>
      <c r="B427" t="str">
        <f>IFERROR(__xludf.DUMMYFUNCTION("""COMPUTED_VALUE"""),"")</f>
        <v/>
      </c>
      <c r="C427" t="str">
        <f>IFERROR(__xludf.DUMMYFUNCTION("""COMPUTED_VALUE"""),"")</f>
        <v/>
      </c>
      <c r="D427" t="str">
        <f>IFERROR(__xludf.DUMMYFUNCTION("""COMPUTED_VALUE"""),"")</f>
        <v/>
      </c>
      <c r="E427" t="str">
        <f>IFERROR(__xludf.DUMMYFUNCTION("""COMPUTED_VALUE"""),"")</f>
        <v/>
      </c>
      <c r="F427" t="str">
        <f>IFERROR(__xludf.DUMMYFUNCTION("""COMPUTED_VALUE"""),"")</f>
        <v/>
      </c>
      <c r="G427" t="str">
        <f>IFERROR(__xludf.DUMMYFUNCTION("""COMPUTED_VALUE"""),"")</f>
        <v/>
      </c>
      <c r="H427" t="str">
        <f>IFERROR(__xludf.DUMMYFUNCTION("""COMPUTED_VALUE"""),"")</f>
        <v/>
      </c>
      <c r="I427" t="str">
        <f>IFERROR(__xludf.DUMMYFUNCTION("""COMPUTED_VALUE"""),"")</f>
        <v/>
      </c>
      <c r="J427" t="str">
        <f>IFERROR(__xludf.DUMMYFUNCTION("""COMPUTED_VALUE"""),"")</f>
        <v/>
      </c>
      <c r="K427" t="str">
        <f>IFERROR(__xludf.DUMMYFUNCTION("""COMPUTED_VALUE"""),"")</f>
        <v/>
      </c>
      <c r="L427" t="str">
        <f>IFERROR(__xludf.DUMMYFUNCTION("""COMPUTED_VALUE"""),"")</f>
        <v/>
      </c>
    </row>
    <row r="428" ht="15.75" customHeight="1">
      <c r="A428" t="str">
        <f>IFERROR(__xludf.DUMMYFUNCTION("""COMPUTED_VALUE"""),"")</f>
        <v/>
      </c>
      <c r="B428" t="str">
        <f>IFERROR(__xludf.DUMMYFUNCTION("""COMPUTED_VALUE"""),"")</f>
        <v/>
      </c>
      <c r="C428" t="str">
        <f>IFERROR(__xludf.DUMMYFUNCTION("""COMPUTED_VALUE"""),"")</f>
        <v/>
      </c>
      <c r="D428" t="str">
        <f>IFERROR(__xludf.DUMMYFUNCTION("""COMPUTED_VALUE"""),"")</f>
        <v/>
      </c>
      <c r="E428" t="str">
        <f>IFERROR(__xludf.DUMMYFUNCTION("""COMPUTED_VALUE"""),"")</f>
        <v/>
      </c>
      <c r="F428" t="str">
        <f>IFERROR(__xludf.DUMMYFUNCTION("""COMPUTED_VALUE"""),"")</f>
        <v/>
      </c>
      <c r="G428" t="str">
        <f>IFERROR(__xludf.DUMMYFUNCTION("""COMPUTED_VALUE"""),"")</f>
        <v/>
      </c>
      <c r="H428" t="str">
        <f>IFERROR(__xludf.DUMMYFUNCTION("""COMPUTED_VALUE"""),"")</f>
        <v/>
      </c>
      <c r="I428" t="str">
        <f>IFERROR(__xludf.DUMMYFUNCTION("""COMPUTED_VALUE"""),"")</f>
        <v/>
      </c>
      <c r="J428" t="str">
        <f>IFERROR(__xludf.DUMMYFUNCTION("""COMPUTED_VALUE"""),"")</f>
        <v/>
      </c>
      <c r="K428" t="str">
        <f>IFERROR(__xludf.DUMMYFUNCTION("""COMPUTED_VALUE"""),"")</f>
        <v/>
      </c>
      <c r="L428" t="str">
        <f>IFERROR(__xludf.DUMMYFUNCTION("""COMPUTED_VALUE"""),"")</f>
        <v/>
      </c>
    </row>
    <row r="429" ht="15.75" customHeight="1">
      <c r="A429" t="str">
        <f>IFERROR(__xludf.DUMMYFUNCTION("""COMPUTED_VALUE"""),"")</f>
        <v/>
      </c>
      <c r="B429" t="str">
        <f>IFERROR(__xludf.DUMMYFUNCTION("""COMPUTED_VALUE"""),"")</f>
        <v/>
      </c>
      <c r="C429" t="str">
        <f>IFERROR(__xludf.DUMMYFUNCTION("""COMPUTED_VALUE"""),"")</f>
        <v/>
      </c>
      <c r="D429" t="str">
        <f>IFERROR(__xludf.DUMMYFUNCTION("""COMPUTED_VALUE"""),"")</f>
        <v/>
      </c>
      <c r="E429" t="str">
        <f>IFERROR(__xludf.DUMMYFUNCTION("""COMPUTED_VALUE"""),"")</f>
        <v/>
      </c>
      <c r="F429" t="str">
        <f>IFERROR(__xludf.DUMMYFUNCTION("""COMPUTED_VALUE"""),"")</f>
        <v/>
      </c>
      <c r="G429" t="str">
        <f>IFERROR(__xludf.DUMMYFUNCTION("""COMPUTED_VALUE"""),"")</f>
        <v/>
      </c>
      <c r="H429" t="str">
        <f>IFERROR(__xludf.DUMMYFUNCTION("""COMPUTED_VALUE"""),"")</f>
        <v/>
      </c>
      <c r="I429" t="str">
        <f>IFERROR(__xludf.DUMMYFUNCTION("""COMPUTED_VALUE"""),"")</f>
        <v/>
      </c>
      <c r="J429" t="str">
        <f>IFERROR(__xludf.DUMMYFUNCTION("""COMPUTED_VALUE"""),"")</f>
        <v/>
      </c>
      <c r="K429" t="str">
        <f>IFERROR(__xludf.DUMMYFUNCTION("""COMPUTED_VALUE"""),"")</f>
        <v/>
      </c>
      <c r="L429" t="str">
        <f>IFERROR(__xludf.DUMMYFUNCTION("""COMPUTED_VALUE"""),"")</f>
        <v/>
      </c>
    </row>
    <row r="430" ht="15.75" customHeight="1">
      <c r="A430" t="str">
        <f>IFERROR(__xludf.DUMMYFUNCTION("""COMPUTED_VALUE"""),"")</f>
        <v/>
      </c>
      <c r="B430" t="str">
        <f>IFERROR(__xludf.DUMMYFUNCTION("""COMPUTED_VALUE"""),"")</f>
        <v/>
      </c>
      <c r="C430" t="str">
        <f>IFERROR(__xludf.DUMMYFUNCTION("""COMPUTED_VALUE"""),"")</f>
        <v/>
      </c>
      <c r="D430" t="str">
        <f>IFERROR(__xludf.DUMMYFUNCTION("""COMPUTED_VALUE"""),"")</f>
        <v/>
      </c>
      <c r="E430" t="str">
        <f>IFERROR(__xludf.DUMMYFUNCTION("""COMPUTED_VALUE"""),"")</f>
        <v/>
      </c>
      <c r="F430" t="str">
        <f>IFERROR(__xludf.DUMMYFUNCTION("""COMPUTED_VALUE"""),"")</f>
        <v/>
      </c>
      <c r="G430" t="str">
        <f>IFERROR(__xludf.DUMMYFUNCTION("""COMPUTED_VALUE"""),"")</f>
        <v/>
      </c>
      <c r="H430" t="str">
        <f>IFERROR(__xludf.DUMMYFUNCTION("""COMPUTED_VALUE"""),"")</f>
        <v/>
      </c>
      <c r="I430" t="str">
        <f>IFERROR(__xludf.DUMMYFUNCTION("""COMPUTED_VALUE"""),"")</f>
        <v/>
      </c>
      <c r="J430" t="str">
        <f>IFERROR(__xludf.DUMMYFUNCTION("""COMPUTED_VALUE"""),"")</f>
        <v/>
      </c>
      <c r="K430" t="str">
        <f>IFERROR(__xludf.DUMMYFUNCTION("""COMPUTED_VALUE"""),"")</f>
        <v/>
      </c>
      <c r="L430" t="str">
        <f>IFERROR(__xludf.DUMMYFUNCTION("""COMPUTED_VALUE"""),"")</f>
        <v/>
      </c>
    </row>
    <row r="431" ht="15.75" customHeight="1">
      <c r="A431" t="str">
        <f>IFERROR(__xludf.DUMMYFUNCTION("""COMPUTED_VALUE"""),"")</f>
        <v/>
      </c>
      <c r="B431" t="str">
        <f>IFERROR(__xludf.DUMMYFUNCTION("""COMPUTED_VALUE"""),"")</f>
        <v/>
      </c>
      <c r="C431" t="str">
        <f>IFERROR(__xludf.DUMMYFUNCTION("""COMPUTED_VALUE"""),"")</f>
        <v/>
      </c>
      <c r="D431" t="str">
        <f>IFERROR(__xludf.DUMMYFUNCTION("""COMPUTED_VALUE"""),"")</f>
        <v/>
      </c>
      <c r="E431" t="str">
        <f>IFERROR(__xludf.DUMMYFUNCTION("""COMPUTED_VALUE"""),"")</f>
        <v/>
      </c>
      <c r="F431" t="str">
        <f>IFERROR(__xludf.DUMMYFUNCTION("""COMPUTED_VALUE"""),"")</f>
        <v/>
      </c>
      <c r="G431" t="str">
        <f>IFERROR(__xludf.DUMMYFUNCTION("""COMPUTED_VALUE"""),"")</f>
        <v/>
      </c>
      <c r="H431" t="str">
        <f>IFERROR(__xludf.DUMMYFUNCTION("""COMPUTED_VALUE"""),"")</f>
        <v/>
      </c>
      <c r="I431" t="str">
        <f>IFERROR(__xludf.DUMMYFUNCTION("""COMPUTED_VALUE"""),"")</f>
        <v/>
      </c>
      <c r="J431" t="str">
        <f>IFERROR(__xludf.DUMMYFUNCTION("""COMPUTED_VALUE"""),"")</f>
        <v/>
      </c>
      <c r="K431" t="str">
        <f>IFERROR(__xludf.DUMMYFUNCTION("""COMPUTED_VALUE"""),"")</f>
        <v/>
      </c>
      <c r="L431" t="str">
        <f>IFERROR(__xludf.DUMMYFUNCTION("""COMPUTED_VALUE"""),"")</f>
        <v/>
      </c>
    </row>
    <row r="432" ht="15.75" customHeight="1">
      <c r="A432" t="str">
        <f>IFERROR(__xludf.DUMMYFUNCTION("""COMPUTED_VALUE"""),"")</f>
        <v/>
      </c>
      <c r="B432" t="str">
        <f>IFERROR(__xludf.DUMMYFUNCTION("""COMPUTED_VALUE"""),"")</f>
        <v/>
      </c>
      <c r="C432" t="str">
        <f>IFERROR(__xludf.DUMMYFUNCTION("""COMPUTED_VALUE"""),"")</f>
        <v/>
      </c>
      <c r="D432" t="str">
        <f>IFERROR(__xludf.DUMMYFUNCTION("""COMPUTED_VALUE"""),"")</f>
        <v/>
      </c>
      <c r="E432" t="str">
        <f>IFERROR(__xludf.DUMMYFUNCTION("""COMPUTED_VALUE"""),"")</f>
        <v/>
      </c>
      <c r="F432" t="str">
        <f>IFERROR(__xludf.DUMMYFUNCTION("""COMPUTED_VALUE"""),"")</f>
        <v/>
      </c>
      <c r="G432" t="str">
        <f>IFERROR(__xludf.DUMMYFUNCTION("""COMPUTED_VALUE"""),"")</f>
        <v/>
      </c>
      <c r="H432" t="str">
        <f>IFERROR(__xludf.DUMMYFUNCTION("""COMPUTED_VALUE"""),"")</f>
        <v/>
      </c>
      <c r="I432" t="str">
        <f>IFERROR(__xludf.DUMMYFUNCTION("""COMPUTED_VALUE"""),"")</f>
        <v/>
      </c>
      <c r="J432" t="str">
        <f>IFERROR(__xludf.DUMMYFUNCTION("""COMPUTED_VALUE"""),"")</f>
        <v/>
      </c>
      <c r="K432" t="str">
        <f>IFERROR(__xludf.DUMMYFUNCTION("""COMPUTED_VALUE"""),"")</f>
        <v/>
      </c>
      <c r="L432" t="str">
        <f>IFERROR(__xludf.DUMMYFUNCTION("""COMPUTED_VALUE"""),"")</f>
        <v/>
      </c>
    </row>
    <row r="433" ht="15.75" customHeight="1">
      <c r="A433" t="str">
        <f>IFERROR(__xludf.DUMMYFUNCTION("""COMPUTED_VALUE"""),"")</f>
        <v/>
      </c>
      <c r="B433" t="str">
        <f>IFERROR(__xludf.DUMMYFUNCTION("""COMPUTED_VALUE"""),"")</f>
        <v/>
      </c>
      <c r="C433" t="str">
        <f>IFERROR(__xludf.DUMMYFUNCTION("""COMPUTED_VALUE"""),"")</f>
        <v/>
      </c>
      <c r="D433" t="str">
        <f>IFERROR(__xludf.DUMMYFUNCTION("""COMPUTED_VALUE"""),"")</f>
        <v/>
      </c>
      <c r="E433" t="str">
        <f>IFERROR(__xludf.DUMMYFUNCTION("""COMPUTED_VALUE"""),"")</f>
        <v/>
      </c>
      <c r="F433" t="str">
        <f>IFERROR(__xludf.DUMMYFUNCTION("""COMPUTED_VALUE"""),"")</f>
        <v/>
      </c>
      <c r="G433" t="str">
        <f>IFERROR(__xludf.DUMMYFUNCTION("""COMPUTED_VALUE"""),"")</f>
        <v/>
      </c>
      <c r="H433" t="str">
        <f>IFERROR(__xludf.DUMMYFUNCTION("""COMPUTED_VALUE"""),"")</f>
        <v/>
      </c>
      <c r="I433" t="str">
        <f>IFERROR(__xludf.DUMMYFUNCTION("""COMPUTED_VALUE"""),"")</f>
        <v/>
      </c>
      <c r="J433" t="str">
        <f>IFERROR(__xludf.DUMMYFUNCTION("""COMPUTED_VALUE"""),"")</f>
        <v/>
      </c>
      <c r="K433" t="str">
        <f>IFERROR(__xludf.DUMMYFUNCTION("""COMPUTED_VALUE"""),"")</f>
        <v/>
      </c>
      <c r="L433" t="str">
        <f>IFERROR(__xludf.DUMMYFUNCTION("""COMPUTED_VALUE"""),"")</f>
        <v/>
      </c>
    </row>
    <row r="434" ht="15.75" customHeight="1">
      <c r="A434" t="str">
        <f>IFERROR(__xludf.DUMMYFUNCTION("""COMPUTED_VALUE"""),"")</f>
        <v/>
      </c>
      <c r="B434" t="str">
        <f>IFERROR(__xludf.DUMMYFUNCTION("""COMPUTED_VALUE"""),"")</f>
        <v/>
      </c>
      <c r="C434" t="str">
        <f>IFERROR(__xludf.DUMMYFUNCTION("""COMPUTED_VALUE"""),"")</f>
        <v/>
      </c>
      <c r="D434" t="str">
        <f>IFERROR(__xludf.DUMMYFUNCTION("""COMPUTED_VALUE"""),"")</f>
        <v/>
      </c>
      <c r="E434" t="str">
        <f>IFERROR(__xludf.DUMMYFUNCTION("""COMPUTED_VALUE"""),"")</f>
        <v/>
      </c>
      <c r="F434" t="str">
        <f>IFERROR(__xludf.DUMMYFUNCTION("""COMPUTED_VALUE"""),"")</f>
        <v/>
      </c>
      <c r="G434" t="str">
        <f>IFERROR(__xludf.DUMMYFUNCTION("""COMPUTED_VALUE"""),"")</f>
        <v/>
      </c>
      <c r="H434" t="str">
        <f>IFERROR(__xludf.DUMMYFUNCTION("""COMPUTED_VALUE"""),"")</f>
        <v/>
      </c>
      <c r="I434" t="str">
        <f>IFERROR(__xludf.DUMMYFUNCTION("""COMPUTED_VALUE"""),"")</f>
        <v/>
      </c>
      <c r="J434" t="str">
        <f>IFERROR(__xludf.DUMMYFUNCTION("""COMPUTED_VALUE"""),"")</f>
        <v/>
      </c>
      <c r="K434" t="str">
        <f>IFERROR(__xludf.DUMMYFUNCTION("""COMPUTED_VALUE"""),"")</f>
        <v/>
      </c>
      <c r="L434" t="str">
        <f>IFERROR(__xludf.DUMMYFUNCTION("""COMPUTED_VALUE"""),"")</f>
        <v/>
      </c>
    </row>
    <row r="435" ht="15.75" customHeight="1">
      <c r="A435" t="str">
        <f>IFERROR(__xludf.DUMMYFUNCTION("""COMPUTED_VALUE"""),"")</f>
        <v/>
      </c>
      <c r="B435" t="str">
        <f>IFERROR(__xludf.DUMMYFUNCTION("""COMPUTED_VALUE"""),"")</f>
        <v/>
      </c>
      <c r="C435" t="str">
        <f>IFERROR(__xludf.DUMMYFUNCTION("""COMPUTED_VALUE"""),"")</f>
        <v/>
      </c>
      <c r="D435" t="str">
        <f>IFERROR(__xludf.DUMMYFUNCTION("""COMPUTED_VALUE"""),"")</f>
        <v/>
      </c>
      <c r="E435" t="str">
        <f>IFERROR(__xludf.DUMMYFUNCTION("""COMPUTED_VALUE"""),"")</f>
        <v/>
      </c>
      <c r="F435" t="str">
        <f>IFERROR(__xludf.DUMMYFUNCTION("""COMPUTED_VALUE"""),"")</f>
        <v/>
      </c>
      <c r="G435" t="str">
        <f>IFERROR(__xludf.DUMMYFUNCTION("""COMPUTED_VALUE"""),"")</f>
        <v/>
      </c>
      <c r="H435" t="str">
        <f>IFERROR(__xludf.DUMMYFUNCTION("""COMPUTED_VALUE"""),"")</f>
        <v/>
      </c>
      <c r="I435" t="str">
        <f>IFERROR(__xludf.DUMMYFUNCTION("""COMPUTED_VALUE"""),"")</f>
        <v/>
      </c>
      <c r="J435" t="str">
        <f>IFERROR(__xludf.DUMMYFUNCTION("""COMPUTED_VALUE"""),"")</f>
        <v/>
      </c>
      <c r="K435" t="str">
        <f>IFERROR(__xludf.DUMMYFUNCTION("""COMPUTED_VALUE"""),"")</f>
        <v/>
      </c>
      <c r="L435" t="str">
        <f>IFERROR(__xludf.DUMMYFUNCTION("""COMPUTED_VALUE"""),"")</f>
        <v/>
      </c>
    </row>
    <row r="436" ht="15.75" customHeight="1">
      <c r="A436" t="str">
        <f>IFERROR(__xludf.DUMMYFUNCTION("""COMPUTED_VALUE"""),"")</f>
        <v/>
      </c>
      <c r="B436" t="str">
        <f>IFERROR(__xludf.DUMMYFUNCTION("""COMPUTED_VALUE"""),"")</f>
        <v/>
      </c>
      <c r="C436" t="str">
        <f>IFERROR(__xludf.DUMMYFUNCTION("""COMPUTED_VALUE"""),"")</f>
        <v/>
      </c>
      <c r="D436" t="str">
        <f>IFERROR(__xludf.DUMMYFUNCTION("""COMPUTED_VALUE"""),"")</f>
        <v/>
      </c>
      <c r="E436" t="str">
        <f>IFERROR(__xludf.DUMMYFUNCTION("""COMPUTED_VALUE"""),"")</f>
        <v/>
      </c>
      <c r="F436" t="str">
        <f>IFERROR(__xludf.DUMMYFUNCTION("""COMPUTED_VALUE"""),"")</f>
        <v/>
      </c>
      <c r="G436" t="str">
        <f>IFERROR(__xludf.DUMMYFUNCTION("""COMPUTED_VALUE"""),"")</f>
        <v/>
      </c>
      <c r="H436" t="str">
        <f>IFERROR(__xludf.DUMMYFUNCTION("""COMPUTED_VALUE"""),"")</f>
        <v/>
      </c>
      <c r="I436" t="str">
        <f>IFERROR(__xludf.DUMMYFUNCTION("""COMPUTED_VALUE"""),"")</f>
        <v/>
      </c>
      <c r="J436" t="str">
        <f>IFERROR(__xludf.DUMMYFUNCTION("""COMPUTED_VALUE"""),"")</f>
        <v/>
      </c>
      <c r="K436" t="str">
        <f>IFERROR(__xludf.DUMMYFUNCTION("""COMPUTED_VALUE"""),"")</f>
        <v/>
      </c>
      <c r="L436" t="str">
        <f>IFERROR(__xludf.DUMMYFUNCTION("""COMPUTED_VALUE"""),"")</f>
        <v/>
      </c>
    </row>
    <row r="437" ht="15.75" customHeight="1">
      <c r="A437" t="str">
        <f>IFERROR(__xludf.DUMMYFUNCTION("""COMPUTED_VALUE"""),"")</f>
        <v/>
      </c>
      <c r="B437" t="str">
        <f>IFERROR(__xludf.DUMMYFUNCTION("""COMPUTED_VALUE"""),"")</f>
        <v/>
      </c>
      <c r="C437" t="str">
        <f>IFERROR(__xludf.DUMMYFUNCTION("""COMPUTED_VALUE"""),"")</f>
        <v/>
      </c>
      <c r="D437" t="str">
        <f>IFERROR(__xludf.DUMMYFUNCTION("""COMPUTED_VALUE"""),"")</f>
        <v/>
      </c>
      <c r="E437" t="str">
        <f>IFERROR(__xludf.DUMMYFUNCTION("""COMPUTED_VALUE"""),"")</f>
        <v/>
      </c>
      <c r="F437" t="str">
        <f>IFERROR(__xludf.DUMMYFUNCTION("""COMPUTED_VALUE"""),"")</f>
        <v/>
      </c>
      <c r="G437" t="str">
        <f>IFERROR(__xludf.DUMMYFUNCTION("""COMPUTED_VALUE"""),"")</f>
        <v/>
      </c>
      <c r="H437" t="str">
        <f>IFERROR(__xludf.DUMMYFUNCTION("""COMPUTED_VALUE"""),"")</f>
        <v/>
      </c>
      <c r="I437" t="str">
        <f>IFERROR(__xludf.DUMMYFUNCTION("""COMPUTED_VALUE"""),"")</f>
        <v/>
      </c>
      <c r="J437" t="str">
        <f>IFERROR(__xludf.DUMMYFUNCTION("""COMPUTED_VALUE"""),"")</f>
        <v/>
      </c>
      <c r="K437" t="str">
        <f>IFERROR(__xludf.DUMMYFUNCTION("""COMPUTED_VALUE"""),"")</f>
        <v/>
      </c>
      <c r="L437" t="str">
        <f>IFERROR(__xludf.DUMMYFUNCTION("""COMPUTED_VALUE"""),"")</f>
        <v/>
      </c>
    </row>
    <row r="438" ht="15.75" customHeight="1">
      <c r="A438" t="str">
        <f>IFERROR(__xludf.DUMMYFUNCTION("""COMPUTED_VALUE"""),"")</f>
        <v/>
      </c>
      <c r="B438" t="str">
        <f>IFERROR(__xludf.DUMMYFUNCTION("""COMPUTED_VALUE"""),"")</f>
        <v/>
      </c>
      <c r="C438" t="str">
        <f>IFERROR(__xludf.DUMMYFUNCTION("""COMPUTED_VALUE"""),"")</f>
        <v/>
      </c>
      <c r="D438" t="str">
        <f>IFERROR(__xludf.DUMMYFUNCTION("""COMPUTED_VALUE"""),"")</f>
        <v/>
      </c>
      <c r="E438" t="str">
        <f>IFERROR(__xludf.DUMMYFUNCTION("""COMPUTED_VALUE"""),"")</f>
        <v/>
      </c>
      <c r="F438" t="str">
        <f>IFERROR(__xludf.DUMMYFUNCTION("""COMPUTED_VALUE"""),"")</f>
        <v/>
      </c>
      <c r="G438" t="str">
        <f>IFERROR(__xludf.DUMMYFUNCTION("""COMPUTED_VALUE"""),"")</f>
        <v/>
      </c>
      <c r="H438" t="str">
        <f>IFERROR(__xludf.DUMMYFUNCTION("""COMPUTED_VALUE"""),"")</f>
        <v/>
      </c>
      <c r="I438" t="str">
        <f>IFERROR(__xludf.DUMMYFUNCTION("""COMPUTED_VALUE"""),"")</f>
        <v/>
      </c>
      <c r="J438" t="str">
        <f>IFERROR(__xludf.DUMMYFUNCTION("""COMPUTED_VALUE"""),"")</f>
        <v/>
      </c>
      <c r="K438" t="str">
        <f>IFERROR(__xludf.DUMMYFUNCTION("""COMPUTED_VALUE"""),"")</f>
        <v/>
      </c>
      <c r="L438" t="str">
        <f>IFERROR(__xludf.DUMMYFUNCTION("""COMPUTED_VALUE"""),"")</f>
        <v/>
      </c>
    </row>
    <row r="439" ht="15.75" customHeight="1">
      <c r="A439" t="str">
        <f>IFERROR(__xludf.DUMMYFUNCTION("""COMPUTED_VALUE"""),"")</f>
        <v/>
      </c>
      <c r="B439" t="str">
        <f>IFERROR(__xludf.DUMMYFUNCTION("""COMPUTED_VALUE"""),"")</f>
        <v/>
      </c>
      <c r="C439" t="str">
        <f>IFERROR(__xludf.DUMMYFUNCTION("""COMPUTED_VALUE"""),"")</f>
        <v/>
      </c>
      <c r="D439" t="str">
        <f>IFERROR(__xludf.DUMMYFUNCTION("""COMPUTED_VALUE"""),"")</f>
        <v/>
      </c>
      <c r="E439" t="str">
        <f>IFERROR(__xludf.DUMMYFUNCTION("""COMPUTED_VALUE"""),"")</f>
        <v/>
      </c>
      <c r="F439" t="str">
        <f>IFERROR(__xludf.DUMMYFUNCTION("""COMPUTED_VALUE"""),"")</f>
        <v/>
      </c>
      <c r="G439" t="str">
        <f>IFERROR(__xludf.DUMMYFUNCTION("""COMPUTED_VALUE"""),"")</f>
        <v/>
      </c>
      <c r="H439" t="str">
        <f>IFERROR(__xludf.DUMMYFUNCTION("""COMPUTED_VALUE"""),"")</f>
        <v/>
      </c>
      <c r="I439" t="str">
        <f>IFERROR(__xludf.DUMMYFUNCTION("""COMPUTED_VALUE"""),"")</f>
        <v/>
      </c>
      <c r="J439" t="str">
        <f>IFERROR(__xludf.DUMMYFUNCTION("""COMPUTED_VALUE"""),"")</f>
        <v/>
      </c>
      <c r="K439" t="str">
        <f>IFERROR(__xludf.DUMMYFUNCTION("""COMPUTED_VALUE"""),"")</f>
        <v/>
      </c>
      <c r="L439" t="str">
        <f>IFERROR(__xludf.DUMMYFUNCTION("""COMPUTED_VALUE"""),"")</f>
        <v/>
      </c>
    </row>
    <row r="440" ht="15.75" customHeight="1">
      <c r="A440" t="str">
        <f>IFERROR(__xludf.DUMMYFUNCTION("""COMPUTED_VALUE"""),"")</f>
        <v/>
      </c>
      <c r="B440" t="str">
        <f>IFERROR(__xludf.DUMMYFUNCTION("""COMPUTED_VALUE"""),"")</f>
        <v/>
      </c>
      <c r="C440" t="str">
        <f>IFERROR(__xludf.DUMMYFUNCTION("""COMPUTED_VALUE"""),"")</f>
        <v/>
      </c>
      <c r="D440" t="str">
        <f>IFERROR(__xludf.DUMMYFUNCTION("""COMPUTED_VALUE"""),"")</f>
        <v/>
      </c>
      <c r="E440" t="str">
        <f>IFERROR(__xludf.DUMMYFUNCTION("""COMPUTED_VALUE"""),"")</f>
        <v/>
      </c>
      <c r="F440" t="str">
        <f>IFERROR(__xludf.DUMMYFUNCTION("""COMPUTED_VALUE"""),"")</f>
        <v/>
      </c>
      <c r="G440" t="str">
        <f>IFERROR(__xludf.DUMMYFUNCTION("""COMPUTED_VALUE"""),"")</f>
        <v/>
      </c>
      <c r="H440" t="str">
        <f>IFERROR(__xludf.DUMMYFUNCTION("""COMPUTED_VALUE"""),"")</f>
        <v/>
      </c>
      <c r="I440" t="str">
        <f>IFERROR(__xludf.DUMMYFUNCTION("""COMPUTED_VALUE"""),"")</f>
        <v/>
      </c>
      <c r="J440" t="str">
        <f>IFERROR(__xludf.DUMMYFUNCTION("""COMPUTED_VALUE"""),"")</f>
        <v/>
      </c>
      <c r="K440" t="str">
        <f>IFERROR(__xludf.DUMMYFUNCTION("""COMPUTED_VALUE"""),"")</f>
        <v/>
      </c>
      <c r="L440" t="str">
        <f>IFERROR(__xludf.DUMMYFUNCTION("""COMPUTED_VALUE"""),"")</f>
        <v/>
      </c>
    </row>
    <row r="441" ht="15.75" customHeight="1">
      <c r="A441" t="str">
        <f>IFERROR(__xludf.DUMMYFUNCTION("""COMPUTED_VALUE"""),"")</f>
        <v/>
      </c>
      <c r="B441" t="str">
        <f>IFERROR(__xludf.DUMMYFUNCTION("""COMPUTED_VALUE"""),"")</f>
        <v/>
      </c>
      <c r="C441" t="str">
        <f>IFERROR(__xludf.DUMMYFUNCTION("""COMPUTED_VALUE"""),"")</f>
        <v/>
      </c>
      <c r="D441" t="str">
        <f>IFERROR(__xludf.DUMMYFUNCTION("""COMPUTED_VALUE"""),"")</f>
        <v/>
      </c>
      <c r="E441" t="str">
        <f>IFERROR(__xludf.DUMMYFUNCTION("""COMPUTED_VALUE"""),"")</f>
        <v/>
      </c>
      <c r="F441" t="str">
        <f>IFERROR(__xludf.DUMMYFUNCTION("""COMPUTED_VALUE"""),"")</f>
        <v/>
      </c>
      <c r="G441" t="str">
        <f>IFERROR(__xludf.DUMMYFUNCTION("""COMPUTED_VALUE"""),"")</f>
        <v/>
      </c>
      <c r="H441" t="str">
        <f>IFERROR(__xludf.DUMMYFUNCTION("""COMPUTED_VALUE"""),"")</f>
        <v/>
      </c>
      <c r="I441" t="str">
        <f>IFERROR(__xludf.DUMMYFUNCTION("""COMPUTED_VALUE"""),"")</f>
        <v/>
      </c>
      <c r="J441" t="str">
        <f>IFERROR(__xludf.DUMMYFUNCTION("""COMPUTED_VALUE"""),"")</f>
        <v/>
      </c>
      <c r="K441" t="str">
        <f>IFERROR(__xludf.DUMMYFUNCTION("""COMPUTED_VALUE"""),"")</f>
        <v/>
      </c>
      <c r="L441" t="str">
        <f>IFERROR(__xludf.DUMMYFUNCTION("""COMPUTED_VALUE"""),"")</f>
        <v/>
      </c>
    </row>
    <row r="442" ht="15.75" customHeight="1">
      <c r="A442" t="str">
        <f>IFERROR(__xludf.DUMMYFUNCTION("""COMPUTED_VALUE"""),"")</f>
        <v/>
      </c>
      <c r="B442" t="str">
        <f>IFERROR(__xludf.DUMMYFUNCTION("""COMPUTED_VALUE"""),"")</f>
        <v/>
      </c>
      <c r="C442" t="str">
        <f>IFERROR(__xludf.DUMMYFUNCTION("""COMPUTED_VALUE"""),"")</f>
        <v/>
      </c>
      <c r="D442" t="str">
        <f>IFERROR(__xludf.DUMMYFUNCTION("""COMPUTED_VALUE"""),"")</f>
        <v/>
      </c>
      <c r="E442" t="str">
        <f>IFERROR(__xludf.DUMMYFUNCTION("""COMPUTED_VALUE"""),"")</f>
        <v/>
      </c>
      <c r="F442" t="str">
        <f>IFERROR(__xludf.DUMMYFUNCTION("""COMPUTED_VALUE"""),"")</f>
        <v/>
      </c>
      <c r="G442" t="str">
        <f>IFERROR(__xludf.DUMMYFUNCTION("""COMPUTED_VALUE"""),"")</f>
        <v/>
      </c>
      <c r="H442" t="str">
        <f>IFERROR(__xludf.DUMMYFUNCTION("""COMPUTED_VALUE"""),"")</f>
        <v/>
      </c>
      <c r="I442" t="str">
        <f>IFERROR(__xludf.DUMMYFUNCTION("""COMPUTED_VALUE"""),"")</f>
        <v/>
      </c>
      <c r="J442" t="str">
        <f>IFERROR(__xludf.DUMMYFUNCTION("""COMPUTED_VALUE"""),"")</f>
        <v/>
      </c>
      <c r="K442" t="str">
        <f>IFERROR(__xludf.DUMMYFUNCTION("""COMPUTED_VALUE"""),"")</f>
        <v/>
      </c>
      <c r="L442" t="str">
        <f>IFERROR(__xludf.DUMMYFUNCTION("""COMPUTED_VALUE"""),"")</f>
        <v/>
      </c>
    </row>
    <row r="443" ht="15.75" customHeight="1">
      <c r="A443" t="str">
        <f>IFERROR(__xludf.DUMMYFUNCTION("""COMPUTED_VALUE"""),"")</f>
        <v/>
      </c>
      <c r="B443" t="str">
        <f>IFERROR(__xludf.DUMMYFUNCTION("""COMPUTED_VALUE"""),"")</f>
        <v/>
      </c>
      <c r="C443" t="str">
        <f>IFERROR(__xludf.DUMMYFUNCTION("""COMPUTED_VALUE"""),"")</f>
        <v/>
      </c>
      <c r="D443" t="str">
        <f>IFERROR(__xludf.DUMMYFUNCTION("""COMPUTED_VALUE"""),"")</f>
        <v/>
      </c>
      <c r="E443" t="str">
        <f>IFERROR(__xludf.DUMMYFUNCTION("""COMPUTED_VALUE"""),"")</f>
        <v/>
      </c>
      <c r="F443" t="str">
        <f>IFERROR(__xludf.DUMMYFUNCTION("""COMPUTED_VALUE"""),"")</f>
        <v/>
      </c>
      <c r="G443" t="str">
        <f>IFERROR(__xludf.DUMMYFUNCTION("""COMPUTED_VALUE"""),"")</f>
        <v/>
      </c>
      <c r="H443" t="str">
        <f>IFERROR(__xludf.DUMMYFUNCTION("""COMPUTED_VALUE"""),"")</f>
        <v/>
      </c>
      <c r="I443" t="str">
        <f>IFERROR(__xludf.DUMMYFUNCTION("""COMPUTED_VALUE"""),"")</f>
        <v/>
      </c>
      <c r="J443" t="str">
        <f>IFERROR(__xludf.DUMMYFUNCTION("""COMPUTED_VALUE"""),"")</f>
        <v/>
      </c>
      <c r="K443" t="str">
        <f>IFERROR(__xludf.DUMMYFUNCTION("""COMPUTED_VALUE"""),"")</f>
        <v/>
      </c>
      <c r="L443" t="str">
        <f>IFERROR(__xludf.DUMMYFUNCTION("""COMPUTED_VALUE"""),"")</f>
        <v/>
      </c>
    </row>
    <row r="444" ht="15.75" customHeight="1">
      <c r="A444" t="str">
        <f>IFERROR(__xludf.DUMMYFUNCTION("""COMPUTED_VALUE"""),"")</f>
        <v/>
      </c>
      <c r="B444" t="str">
        <f>IFERROR(__xludf.DUMMYFUNCTION("""COMPUTED_VALUE"""),"")</f>
        <v/>
      </c>
      <c r="C444" t="str">
        <f>IFERROR(__xludf.DUMMYFUNCTION("""COMPUTED_VALUE"""),"")</f>
        <v/>
      </c>
      <c r="D444" t="str">
        <f>IFERROR(__xludf.DUMMYFUNCTION("""COMPUTED_VALUE"""),"")</f>
        <v/>
      </c>
      <c r="E444" t="str">
        <f>IFERROR(__xludf.DUMMYFUNCTION("""COMPUTED_VALUE"""),"")</f>
        <v/>
      </c>
      <c r="F444" t="str">
        <f>IFERROR(__xludf.DUMMYFUNCTION("""COMPUTED_VALUE"""),"")</f>
        <v/>
      </c>
      <c r="G444" t="str">
        <f>IFERROR(__xludf.DUMMYFUNCTION("""COMPUTED_VALUE"""),"")</f>
        <v/>
      </c>
      <c r="H444" t="str">
        <f>IFERROR(__xludf.DUMMYFUNCTION("""COMPUTED_VALUE"""),"")</f>
        <v/>
      </c>
      <c r="I444" t="str">
        <f>IFERROR(__xludf.DUMMYFUNCTION("""COMPUTED_VALUE"""),"")</f>
        <v/>
      </c>
      <c r="J444" t="str">
        <f>IFERROR(__xludf.DUMMYFUNCTION("""COMPUTED_VALUE"""),"")</f>
        <v/>
      </c>
      <c r="K444" t="str">
        <f>IFERROR(__xludf.DUMMYFUNCTION("""COMPUTED_VALUE"""),"")</f>
        <v/>
      </c>
      <c r="L444" t="str">
        <f>IFERROR(__xludf.DUMMYFUNCTION("""COMPUTED_VALUE"""),"")</f>
        <v/>
      </c>
    </row>
    <row r="445" ht="15.75" customHeight="1">
      <c r="A445" t="str">
        <f>IFERROR(__xludf.DUMMYFUNCTION("""COMPUTED_VALUE"""),"")</f>
        <v/>
      </c>
      <c r="B445" t="str">
        <f>IFERROR(__xludf.DUMMYFUNCTION("""COMPUTED_VALUE"""),"")</f>
        <v/>
      </c>
      <c r="C445" t="str">
        <f>IFERROR(__xludf.DUMMYFUNCTION("""COMPUTED_VALUE"""),"")</f>
        <v/>
      </c>
      <c r="D445" t="str">
        <f>IFERROR(__xludf.DUMMYFUNCTION("""COMPUTED_VALUE"""),"")</f>
        <v/>
      </c>
      <c r="E445" t="str">
        <f>IFERROR(__xludf.DUMMYFUNCTION("""COMPUTED_VALUE"""),"")</f>
        <v/>
      </c>
      <c r="F445" t="str">
        <f>IFERROR(__xludf.DUMMYFUNCTION("""COMPUTED_VALUE"""),"")</f>
        <v/>
      </c>
      <c r="G445" t="str">
        <f>IFERROR(__xludf.DUMMYFUNCTION("""COMPUTED_VALUE"""),"")</f>
        <v/>
      </c>
      <c r="H445" t="str">
        <f>IFERROR(__xludf.DUMMYFUNCTION("""COMPUTED_VALUE"""),"")</f>
        <v/>
      </c>
      <c r="I445" t="str">
        <f>IFERROR(__xludf.DUMMYFUNCTION("""COMPUTED_VALUE"""),"")</f>
        <v/>
      </c>
      <c r="J445" t="str">
        <f>IFERROR(__xludf.DUMMYFUNCTION("""COMPUTED_VALUE"""),"")</f>
        <v/>
      </c>
      <c r="K445" t="str">
        <f>IFERROR(__xludf.DUMMYFUNCTION("""COMPUTED_VALUE"""),"")</f>
        <v/>
      </c>
      <c r="L445" t="str">
        <f>IFERROR(__xludf.DUMMYFUNCTION("""COMPUTED_VALUE"""),"")</f>
        <v/>
      </c>
    </row>
    <row r="446" ht="15.75" customHeight="1">
      <c r="A446" t="str">
        <f>IFERROR(__xludf.DUMMYFUNCTION("""COMPUTED_VALUE"""),"")</f>
        <v/>
      </c>
      <c r="B446" t="str">
        <f>IFERROR(__xludf.DUMMYFUNCTION("""COMPUTED_VALUE"""),"")</f>
        <v/>
      </c>
      <c r="C446" t="str">
        <f>IFERROR(__xludf.DUMMYFUNCTION("""COMPUTED_VALUE"""),"")</f>
        <v/>
      </c>
      <c r="D446" t="str">
        <f>IFERROR(__xludf.DUMMYFUNCTION("""COMPUTED_VALUE"""),"")</f>
        <v/>
      </c>
      <c r="E446" t="str">
        <f>IFERROR(__xludf.DUMMYFUNCTION("""COMPUTED_VALUE"""),"")</f>
        <v/>
      </c>
      <c r="F446" t="str">
        <f>IFERROR(__xludf.DUMMYFUNCTION("""COMPUTED_VALUE"""),"")</f>
        <v/>
      </c>
      <c r="G446" t="str">
        <f>IFERROR(__xludf.DUMMYFUNCTION("""COMPUTED_VALUE"""),"")</f>
        <v/>
      </c>
      <c r="H446" t="str">
        <f>IFERROR(__xludf.DUMMYFUNCTION("""COMPUTED_VALUE"""),"")</f>
        <v/>
      </c>
      <c r="I446" t="str">
        <f>IFERROR(__xludf.DUMMYFUNCTION("""COMPUTED_VALUE"""),"")</f>
        <v/>
      </c>
      <c r="J446" t="str">
        <f>IFERROR(__xludf.DUMMYFUNCTION("""COMPUTED_VALUE"""),"")</f>
        <v/>
      </c>
      <c r="K446" t="str">
        <f>IFERROR(__xludf.DUMMYFUNCTION("""COMPUTED_VALUE"""),"")</f>
        <v/>
      </c>
      <c r="L446" t="str">
        <f>IFERROR(__xludf.DUMMYFUNCTION("""COMPUTED_VALUE"""),"")</f>
        <v/>
      </c>
    </row>
    <row r="447" ht="15.75" customHeight="1">
      <c r="A447" t="str">
        <f>IFERROR(__xludf.DUMMYFUNCTION("""COMPUTED_VALUE"""),"")</f>
        <v/>
      </c>
      <c r="B447" t="str">
        <f>IFERROR(__xludf.DUMMYFUNCTION("""COMPUTED_VALUE"""),"")</f>
        <v/>
      </c>
      <c r="C447" t="str">
        <f>IFERROR(__xludf.DUMMYFUNCTION("""COMPUTED_VALUE"""),"")</f>
        <v/>
      </c>
      <c r="D447" t="str">
        <f>IFERROR(__xludf.DUMMYFUNCTION("""COMPUTED_VALUE"""),"")</f>
        <v/>
      </c>
      <c r="E447" t="str">
        <f>IFERROR(__xludf.DUMMYFUNCTION("""COMPUTED_VALUE"""),"")</f>
        <v/>
      </c>
      <c r="F447" t="str">
        <f>IFERROR(__xludf.DUMMYFUNCTION("""COMPUTED_VALUE"""),"")</f>
        <v/>
      </c>
      <c r="G447" t="str">
        <f>IFERROR(__xludf.DUMMYFUNCTION("""COMPUTED_VALUE"""),"")</f>
        <v/>
      </c>
      <c r="H447" t="str">
        <f>IFERROR(__xludf.DUMMYFUNCTION("""COMPUTED_VALUE"""),"")</f>
        <v/>
      </c>
      <c r="I447" t="str">
        <f>IFERROR(__xludf.DUMMYFUNCTION("""COMPUTED_VALUE"""),"")</f>
        <v/>
      </c>
      <c r="J447" t="str">
        <f>IFERROR(__xludf.DUMMYFUNCTION("""COMPUTED_VALUE"""),"")</f>
        <v/>
      </c>
      <c r="K447" t="str">
        <f>IFERROR(__xludf.DUMMYFUNCTION("""COMPUTED_VALUE"""),"")</f>
        <v/>
      </c>
      <c r="L447" t="str">
        <f>IFERROR(__xludf.DUMMYFUNCTION("""COMPUTED_VALUE"""),"")</f>
        <v/>
      </c>
    </row>
    <row r="448" ht="15.75" customHeight="1">
      <c r="A448" t="str">
        <f>IFERROR(__xludf.DUMMYFUNCTION("""COMPUTED_VALUE"""),"")</f>
        <v/>
      </c>
      <c r="B448" t="str">
        <f>IFERROR(__xludf.DUMMYFUNCTION("""COMPUTED_VALUE"""),"")</f>
        <v/>
      </c>
      <c r="C448" t="str">
        <f>IFERROR(__xludf.DUMMYFUNCTION("""COMPUTED_VALUE"""),"")</f>
        <v/>
      </c>
      <c r="D448" t="str">
        <f>IFERROR(__xludf.DUMMYFUNCTION("""COMPUTED_VALUE"""),"")</f>
        <v/>
      </c>
      <c r="E448" t="str">
        <f>IFERROR(__xludf.DUMMYFUNCTION("""COMPUTED_VALUE"""),"")</f>
        <v/>
      </c>
      <c r="F448" t="str">
        <f>IFERROR(__xludf.DUMMYFUNCTION("""COMPUTED_VALUE"""),"")</f>
        <v/>
      </c>
      <c r="G448" t="str">
        <f>IFERROR(__xludf.DUMMYFUNCTION("""COMPUTED_VALUE"""),"")</f>
        <v/>
      </c>
      <c r="H448" t="str">
        <f>IFERROR(__xludf.DUMMYFUNCTION("""COMPUTED_VALUE"""),"")</f>
        <v/>
      </c>
      <c r="I448" t="str">
        <f>IFERROR(__xludf.DUMMYFUNCTION("""COMPUTED_VALUE"""),"")</f>
        <v/>
      </c>
      <c r="J448" t="str">
        <f>IFERROR(__xludf.DUMMYFUNCTION("""COMPUTED_VALUE"""),"")</f>
        <v/>
      </c>
      <c r="K448" t="str">
        <f>IFERROR(__xludf.DUMMYFUNCTION("""COMPUTED_VALUE"""),"")</f>
        <v/>
      </c>
      <c r="L448" t="str">
        <f>IFERROR(__xludf.DUMMYFUNCTION("""COMPUTED_VALUE"""),"")</f>
        <v/>
      </c>
    </row>
    <row r="449" ht="15.75" customHeight="1">
      <c r="A449" t="str">
        <f>IFERROR(__xludf.DUMMYFUNCTION("""COMPUTED_VALUE"""),"")</f>
        <v/>
      </c>
      <c r="B449" t="str">
        <f>IFERROR(__xludf.DUMMYFUNCTION("""COMPUTED_VALUE"""),"")</f>
        <v/>
      </c>
      <c r="C449" t="str">
        <f>IFERROR(__xludf.DUMMYFUNCTION("""COMPUTED_VALUE"""),"")</f>
        <v/>
      </c>
      <c r="D449" t="str">
        <f>IFERROR(__xludf.DUMMYFUNCTION("""COMPUTED_VALUE"""),"")</f>
        <v/>
      </c>
      <c r="E449" t="str">
        <f>IFERROR(__xludf.DUMMYFUNCTION("""COMPUTED_VALUE"""),"")</f>
        <v/>
      </c>
      <c r="F449" t="str">
        <f>IFERROR(__xludf.DUMMYFUNCTION("""COMPUTED_VALUE"""),"")</f>
        <v/>
      </c>
      <c r="G449" t="str">
        <f>IFERROR(__xludf.DUMMYFUNCTION("""COMPUTED_VALUE"""),"")</f>
        <v/>
      </c>
      <c r="H449" t="str">
        <f>IFERROR(__xludf.DUMMYFUNCTION("""COMPUTED_VALUE"""),"")</f>
        <v/>
      </c>
      <c r="I449" t="str">
        <f>IFERROR(__xludf.DUMMYFUNCTION("""COMPUTED_VALUE"""),"")</f>
        <v/>
      </c>
      <c r="J449" t="str">
        <f>IFERROR(__xludf.DUMMYFUNCTION("""COMPUTED_VALUE"""),"")</f>
        <v/>
      </c>
      <c r="K449" t="str">
        <f>IFERROR(__xludf.DUMMYFUNCTION("""COMPUTED_VALUE"""),"")</f>
        <v/>
      </c>
      <c r="L449" t="str">
        <f>IFERROR(__xludf.DUMMYFUNCTION("""COMPUTED_VALUE"""),"")</f>
        <v/>
      </c>
    </row>
    <row r="450" ht="15.75" customHeight="1">
      <c r="A450" t="str">
        <f>IFERROR(__xludf.DUMMYFUNCTION("""COMPUTED_VALUE"""),"")</f>
        <v/>
      </c>
      <c r="B450" t="str">
        <f>IFERROR(__xludf.DUMMYFUNCTION("""COMPUTED_VALUE"""),"")</f>
        <v/>
      </c>
      <c r="C450" t="str">
        <f>IFERROR(__xludf.DUMMYFUNCTION("""COMPUTED_VALUE"""),"")</f>
        <v/>
      </c>
      <c r="D450" t="str">
        <f>IFERROR(__xludf.DUMMYFUNCTION("""COMPUTED_VALUE"""),"")</f>
        <v/>
      </c>
      <c r="E450" t="str">
        <f>IFERROR(__xludf.DUMMYFUNCTION("""COMPUTED_VALUE"""),"")</f>
        <v/>
      </c>
      <c r="F450" t="str">
        <f>IFERROR(__xludf.DUMMYFUNCTION("""COMPUTED_VALUE"""),"")</f>
        <v/>
      </c>
      <c r="G450" t="str">
        <f>IFERROR(__xludf.DUMMYFUNCTION("""COMPUTED_VALUE"""),"")</f>
        <v/>
      </c>
      <c r="H450" t="str">
        <f>IFERROR(__xludf.DUMMYFUNCTION("""COMPUTED_VALUE"""),"")</f>
        <v/>
      </c>
      <c r="I450" t="str">
        <f>IFERROR(__xludf.DUMMYFUNCTION("""COMPUTED_VALUE"""),"")</f>
        <v/>
      </c>
      <c r="J450" t="str">
        <f>IFERROR(__xludf.DUMMYFUNCTION("""COMPUTED_VALUE"""),"")</f>
        <v/>
      </c>
      <c r="K450" t="str">
        <f>IFERROR(__xludf.DUMMYFUNCTION("""COMPUTED_VALUE"""),"")</f>
        <v/>
      </c>
      <c r="L450" t="str">
        <f>IFERROR(__xludf.DUMMYFUNCTION("""COMPUTED_VALUE"""),"")</f>
        <v/>
      </c>
    </row>
    <row r="451" ht="15.75" customHeight="1">
      <c r="A451" t="str">
        <f>IFERROR(__xludf.DUMMYFUNCTION("""COMPUTED_VALUE"""),"")</f>
        <v/>
      </c>
      <c r="B451" t="str">
        <f>IFERROR(__xludf.DUMMYFUNCTION("""COMPUTED_VALUE"""),"")</f>
        <v/>
      </c>
      <c r="C451" t="str">
        <f>IFERROR(__xludf.DUMMYFUNCTION("""COMPUTED_VALUE"""),"")</f>
        <v/>
      </c>
      <c r="D451" t="str">
        <f>IFERROR(__xludf.DUMMYFUNCTION("""COMPUTED_VALUE"""),"")</f>
        <v/>
      </c>
      <c r="E451" t="str">
        <f>IFERROR(__xludf.DUMMYFUNCTION("""COMPUTED_VALUE"""),"")</f>
        <v/>
      </c>
      <c r="F451" t="str">
        <f>IFERROR(__xludf.DUMMYFUNCTION("""COMPUTED_VALUE"""),"")</f>
        <v/>
      </c>
      <c r="G451" t="str">
        <f>IFERROR(__xludf.DUMMYFUNCTION("""COMPUTED_VALUE"""),"")</f>
        <v/>
      </c>
      <c r="H451" t="str">
        <f>IFERROR(__xludf.DUMMYFUNCTION("""COMPUTED_VALUE"""),"")</f>
        <v/>
      </c>
      <c r="I451" t="str">
        <f>IFERROR(__xludf.DUMMYFUNCTION("""COMPUTED_VALUE"""),"")</f>
        <v/>
      </c>
      <c r="J451" t="str">
        <f>IFERROR(__xludf.DUMMYFUNCTION("""COMPUTED_VALUE"""),"")</f>
        <v/>
      </c>
      <c r="K451" t="str">
        <f>IFERROR(__xludf.DUMMYFUNCTION("""COMPUTED_VALUE"""),"")</f>
        <v/>
      </c>
      <c r="L451" t="str">
        <f>IFERROR(__xludf.DUMMYFUNCTION("""COMPUTED_VALUE"""),"")</f>
        <v/>
      </c>
    </row>
    <row r="452" ht="15.75" customHeight="1">
      <c r="A452" t="str">
        <f>IFERROR(__xludf.DUMMYFUNCTION("""COMPUTED_VALUE"""),"")</f>
        <v/>
      </c>
      <c r="B452" t="str">
        <f>IFERROR(__xludf.DUMMYFUNCTION("""COMPUTED_VALUE"""),"")</f>
        <v/>
      </c>
      <c r="C452" t="str">
        <f>IFERROR(__xludf.DUMMYFUNCTION("""COMPUTED_VALUE"""),"")</f>
        <v/>
      </c>
      <c r="D452" t="str">
        <f>IFERROR(__xludf.DUMMYFUNCTION("""COMPUTED_VALUE"""),"")</f>
        <v/>
      </c>
      <c r="E452" t="str">
        <f>IFERROR(__xludf.DUMMYFUNCTION("""COMPUTED_VALUE"""),"")</f>
        <v/>
      </c>
      <c r="F452" t="str">
        <f>IFERROR(__xludf.DUMMYFUNCTION("""COMPUTED_VALUE"""),"")</f>
        <v/>
      </c>
      <c r="G452" t="str">
        <f>IFERROR(__xludf.DUMMYFUNCTION("""COMPUTED_VALUE"""),"")</f>
        <v/>
      </c>
      <c r="H452" t="str">
        <f>IFERROR(__xludf.DUMMYFUNCTION("""COMPUTED_VALUE"""),"")</f>
        <v/>
      </c>
      <c r="I452" t="str">
        <f>IFERROR(__xludf.DUMMYFUNCTION("""COMPUTED_VALUE"""),"")</f>
        <v/>
      </c>
      <c r="J452" t="str">
        <f>IFERROR(__xludf.DUMMYFUNCTION("""COMPUTED_VALUE"""),"")</f>
        <v/>
      </c>
      <c r="K452" t="str">
        <f>IFERROR(__xludf.DUMMYFUNCTION("""COMPUTED_VALUE"""),"")</f>
        <v/>
      </c>
      <c r="L452" t="str">
        <f>IFERROR(__xludf.DUMMYFUNCTION("""COMPUTED_VALUE"""),"")</f>
        <v/>
      </c>
    </row>
    <row r="453" ht="15.75" customHeight="1">
      <c r="A453" t="str">
        <f>IFERROR(__xludf.DUMMYFUNCTION("""COMPUTED_VALUE"""),"")</f>
        <v/>
      </c>
      <c r="B453" t="str">
        <f>IFERROR(__xludf.DUMMYFUNCTION("""COMPUTED_VALUE"""),"")</f>
        <v/>
      </c>
      <c r="C453" t="str">
        <f>IFERROR(__xludf.DUMMYFUNCTION("""COMPUTED_VALUE"""),"")</f>
        <v/>
      </c>
      <c r="D453" t="str">
        <f>IFERROR(__xludf.DUMMYFUNCTION("""COMPUTED_VALUE"""),"")</f>
        <v/>
      </c>
      <c r="E453" t="str">
        <f>IFERROR(__xludf.DUMMYFUNCTION("""COMPUTED_VALUE"""),"")</f>
        <v/>
      </c>
      <c r="F453" t="str">
        <f>IFERROR(__xludf.DUMMYFUNCTION("""COMPUTED_VALUE"""),"")</f>
        <v/>
      </c>
      <c r="G453" t="str">
        <f>IFERROR(__xludf.DUMMYFUNCTION("""COMPUTED_VALUE"""),"")</f>
        <v/>
      </c>
      <c r="H453" t="str">
        <f>IFERROR(__xludf.DUMMYFUNCTION("""COMPUTED_VALUE"""),"")</f>
        <v/>
      </c>
      <c r="I453" t="str">
        <f>IFERROR(__xludf.DUMMYFUNCTION("""COMPUTED_VALUE"""),"")</f>
        <v/>
      </c>
      <c r="J453" t="str">
        <f>IFERROR(__xludf.DUMMYFUNCTION("""COMPUTED_VALUE"""),"")</f>
        <v/>
      </c>
      <c r="K453" t="str">
        <f>IFERROR(__xludf.DUMMYFUNCTION("""COMPUTED_VALUE"""),"")</f>
        <v/>
      </c>
      <c r="L453" t="str">
        <f>IFERROR(__xludf.DUMMYFUNCTION("""COMPUTED_VALUE"""),"")</f>
        <v/>
      </c>
    </row>
    <row r="454" ht="15.75" customHeight="1">
      <c r="A454" t="str">
        <f>IFERROR(__xludf.DUMMYFUNCTION("""COMPUTED_VALUE"""),"")</f>
        <v/>
      </c>
      <c r="B454" t="str">
        <f>IFERROR(__xludf.DUMMYFUNCTION("""COMPUTED_VALUE"""),"")</f>
        <v/>
      </c>
      <c r="C454" t="str">
        <f>IFERROR(__xludf.DUMMYFUNCTION("""COMPUTED_VALUE"""),"")</f>
        <v/>
      </c>
      <c r="D454" t="str">
        <f>IFERROR(__xludf.DUMMYFUNCTION("""COMPUTED_VALUE"""),"")</f>
        <v/>
      </c>
      <c r="E454" t="str">
        <f>IFERROR(__xludf.DUMMYFUNCTION("""COMPUTED_VALUE"""),"")</f>
        <v/>
      </c>
      <c r="F454" t="str">
        <f>IFERROR(__xludf.DUMMYFUNCTION("""COMPUTED_VALUE"""),"")</f>
        <v/>
      </c>
      <c r="G454" t="str">
        <f>IFERROR(__xludf.DUMMYFUNCTION("""COMPUTED_VALUE"""),"")</f>
        <v/>
      </c>
      <c r="H454" t="str">
        <f>IFERROR(__xludf.DUMMYFUNCTION("""COMPUTED_VALUE"""),"")</f>
        <v/>
      </c>
      <c r="I454" t="str">
        <f>IFERROR(__xludf.DUMMYFUNCTION("""COMPUTED_VALUE"""),"")</f>
        <v/>
      </c>
      <c r="J454" t="str">
        <f>IFERROR(__xludf.DUMMYFUNCTION("""COMPUTED_VALUE"""),"")</f>
        <v/>
      </c>
      <c r="K454" t="str">
        <f>IFERROR(__xludf.DUMMYFUNCTION("""COMPUTED_VALUE"""),"")</f>
        <v/>
      </c>
      <c r="L454" t="str">
        <f>IFERROR(__xludf.DUMMYFUNCTION("""COMPUTED_VALUE"""),"")</f>
        <v/>
      </c>
    </row>
    <row r="455" ht="15.75" customHeight="1">
      <c r="A455" t="str">
        <f>IFERROR(__xludf.DUMMYFUNCTION("""COMPUTED_VALUE"""),"")</f>
        <v/>
      </c>
      <c r="B455" t="str">
        <f>IFERROR(__xludf.DUMMYFUNCTION("""COMPUTED_VALUE"""),"")</f>
        <v/>
      </c>
      <c r="C455" t="str">
        <f>IFERROR(__xludf.DUMMYFUNCTION("""COMPUTED_VALUE"""),"")</f>
        <v/>
      </c>
      <c r="D455" t="str">
        <f>IFERROR(__xludf.DUMMYFUNCTION("""COMPUTED_VALUE"""),"")</f>
        <v/>
      </c>
      <c r="E455" t="str">
        <f>IFERROR(__xludf.DUMMYFUNCTION("""COMPUTED_VALUE"""),"")</f>
        <v/>
      </c>
      <c r="F455" t="str">
        <f>IFERROR(__xludf.DUMMYFUNCTION("""COMPUTED_VALUE"""),"")</f>
        <v/>
      </c>
      <c r="G455" t="str">
        <f>IFERROR(__xludf.DUMMYFUNCTION("""COMPUTED_VALUE"""),"")</f>
        <v/>
      </c>
      <c r="H455" t="str">
        <f>IFERROR(__xludf.DUMMYFUNCTION("""COMPUTED_VALUE"""),"")</f>
        <v/>
      </c>
      <c r="I455" t="str">
        <f>IFERROR(__xludf.DUMMYFUNCTION("""COMPUTED_VALUE"""),"")</f>
        <v/>
      </c>
      <c r="J455" t="str">
        <f>IFERROR(__xludf.DUMMYFUNCTION("""COMPUTED_VALUE"""),"")</f>
        <v/>
      </c>
      <c r="K455" t="str">
        <f>IFERROR(__xludf.DUMMYFUNCTION("""COMPUTED_VALUE"""),"")</f>
        <v/>
      </c>
      <c r="L455" t="str">
        <f>IFERROR(__xludf.DUMMYFUNCTION("""COMPUTED_VALUE"""),"")</f>
        <v/>
      </c>
    </row>
    <row r="456" ht="15.75" customHeight="1">
      <c r="A456" t="str">
        <f>IFERROR(__xludf.DUMMYFUNCTION("""COMPUTED_VALUE"""),"")</f>
        <v/>
      </c>
      <c r="B456" t="str">
        <f>IFERROR(__xludf.DUMMYFUNCTION("""COMPUTED_VALUE"""),"")</f>
        <v/>
      </c>
      <c r="C456" t="str">
        <f>IFERROR(__xludf.DUMMYFUNCTION("""COMPUTED_VALUE"""),"")</f>
        <v/>
      </c>
      <c r="D456" t="str">
        <f>IFERROR(__xludf.DUMMYFUNCTION("""COMPUTED_VALUE"""),"")</f>
        <v/>
      </c>
      <c r="E456" t="str">
        <f>IFERROR(__xludf.DUMMYFUNCTION("""COMPUTED_VALUE"""),"")</f>
        <v/>
      </c>
      <c r="F456" t="str">
        <f>IFERROR(__xludf.DUMMYFUNCTION("""COMPUTED_VALUE"""),"")</f>
        <v/>
      </c>
      <c r="G456" t="str">
        <f>IFERROR(__xludf.DUMMYFUNCTION("""COMPUTED_VALUE"""),"")</f>
        <v/>
      </c>
      <c r="H456" t="str">
        <f>IFERROR(__xludf.DUMMYFUNCTION("""COMPUTED_VALUE"""),"")</f>
        <v/>
      </c>
      <c r="I456" t="str">
        <f>IFERROR(__xludf.DUMMYFUNCTION("""COMPUTED_VALUE"""),"")</f>
        <v/>
      </c>
      <c r="J456" t="str">
        <f>IFERROR(__xludf.DUMMYFUNCTION("""COMPUTED_VALUE"""),"")</f>
        <v/>
      </c>
      <c r="K456" t="str">
        <f>IFERROR(__xludf.DUMMYFUNCTION("""COMPUTED_VALUE"""),"")</f>
        <v/>
      </c>
      <c r="L456" t="str">
        <f>IFERROR(__xludf.DUMMYFUNCTION("""COMPUTED_VALUE"""),"")</f>
        <v/>
      </c>
    </row>
    <row r="457" ht="15.75" customHeight="1">
      <c r="A457" t="str">
        <f>IFERROR(__xludf.DUMMYFUNCTION("""COMPUTED_VALUE"""),"")</f>
        <v/>
      </c>
      <c r="B457" t="str">
        <f>IFERROR(__xludf.DUMMYFUNCTION("""COMPUTED_VALUE"""),"")</f>
        <v/>
      </c>
      <c r="C457" t="str">
        <f>IFERROR(__xludf.DUMMYFUNCTION("""COMPUTED_VALUE"""),"")</f>
        <v/>
      </c>
      <c r="D457" t="str">
        <f>IFERROR(__xludf.DUMMYFUNCTION("""COMPUTED_VALUE"""),"")</f>
        <v/>
      </c>
      <c r="E457" t="str">
        <f>IFERROR(__xludf.DUMMYFUNCTION("""COMPUTED_VALUE"""),"")</f>
        <v/>
      </c>
      <c r="F457" t="str">
        <f>IFERROR(__xludf.DUMMYFUNCTION("""COMPUTED_VALUE"""),"")</f>
        <v/>
      </c>
      <c r="G457" t="str">
        <f>IFERROR(__xludf.DUMMYFUNCTION("""COMPUTED_VALUE"""),"")</f>
        <v/>
      </c>
      <c r="H457" t="str">
        <f>IFERROR(__xludf.DUMMYFUNCTION("""COMPUTED_VALUE"""),"")</f>
        <v/>
      </c>
      <c r="I457" t="str">
        <f>IFERROR(__xludf.DUMMYFUNCTION("""COMPUTED_VALUE"""),"")</f>
        <v/>
      </c>
      <c r="J457" t="str">
        <f>IFERROR(__xludf.DUMMYFUNCTION("""COMPUTED_VALUE"""),"")</f>
        <v/>
      </c>
      <c r="K457" t="str">
        <f>IFERROR(__xludf.DUMMYFUNCTION("""COMPUTED_VALUE"""),"")</f>
        <v/>
      </c>
      <c r="L457" t="str">
        <f>IFERROR(__xludf.DUMMYFUNCTION("""COMPUTED_VALUE"""),"")</f>
        <v/>
      </c>
    </row>
    <row r="458" ht="15.75" customHeight="1">
      <c r="A458" t="str">
        <f>IFERROR(__xludf.DUMMYFUNCTION("""COMPUTED_VALUE"""),"")</f>
        <v/>
      </c>
      <c r="B458" t="str">
        <f>IFERROR(__xludf.DUMMYFUNCTION("""COMPUTED_VALUE"""),"")</f>
        <v/>
      </c>
      <c r="C458" t="str">
        <f>IFERROR(__xludf.DUMMYFUNCTION("""COMPUTED_VALUE"""),"")</f>
        <v/>
      </c>
      <c r="D458" t="str">
        <f>IFERROR(__xludf.DUMMYFUNCTION("""COMPUTED_VALUE"""),"")</f>
        <v/>
      </c>
      <c r="E458" t="str">
        <f>IFERROR(__xludf.DUMMYFUNCTION("""COMPUTED_VALUE"""),"")</f>
        <v/>
      </c>
      <c r="F458" t="str">
        <f>IFERROR(__xludf.DUMMYFUNCTION("""COMPUTED_VALUE"""),"")</f>
        <v/>
      </c>
      <c r="G458" t="str">
        <f>IFERROR(__xludf.DUMMYFUNCTION("""COMPUTED_VALUE"""),"")</f>
        <v/>
      </c>
      <c r="H458" t="str">
        <f>IFERROR(__xludf.DUMMYFUNCTION("""COMPUTED_VALUE"""),"")</f>
        <v/>
      </c>
      <c r="I458" t="str">
        <f>IFERROR(__xludf.DUMMYFUNCTION("""COMPUTED_VALUE"""),"")</f>
        <v/>
      </c>
      <c r="J458" t="str">
        <f>IFERROR(__xludf.DUMMYFUNCTION("""COMPUTED_VALUE"""),"")</f>
        <v/>
      </c>
      <c r="K458" t="str">
        <f>IFERROR(__xludf.DUMMYFUNCTION("""COMPUTED_VALUE"""),"")</f>
        <v/>
      </c>
      <c r="L458" t="str">
        <f>IFERROR(__xludf.DUMMYFUNCTION("""COMPUTED_VALUE"""),"")</f>
        <v/>
      </c>
    </row>
    <row r="459" ht="15.75" customHeight="1">
      <c r="A459" t="str">
        <f>IFERROR(__xludf.DUMMYFUNCTION("""COMPUTED_VALUE"""),"")</f>
        <v/>
      </c>
      <c r="B459" t="str">
        <f>IFERROR(__xludf.DUMMYFUNCTION("""COMPUTED_VALUE"""),"")</f>
        <v/>
      </c>
      <c r="C459" t="str">
        <f>IFERROR(__xludf.DUMMYFUNCTION("""COMPUTED_VALUE"""),"")</f>
        <v/>
      </c>
      <c r="D459" t="str">
        <f>IFERROR(__xludf.DUMMYFUNCTION("""COMPUTED_VALUE"""),"")</f>
        <v/>
      </c>
      <c r="E459" t="str">
        <f>IFERROR(__xludf.DUMMYFUNCTION("""COMPUTED_VALUE"""),"")</f>
        <v/>
      </c>
      <c r="F459" t="str">
        <f>IFERROR(__xludf.DUMMYFUNCTION("""COMPUTED_VALUE"""),"")</f>
        <v/>
      </c>
      <c r="G459" t="str">
        <f>IFERROR(__xludf.DUMMYFUNCTION("""COMPUTED_VALUE"""),"")</f>
        <v/>
      </c>
      <c r="H459" t="str">
        <f>IFERROR(__xludf.DUMMYFUNCTION("""COMPUTED_VALUE"""),"")</f>
        <v/>
      </c>
      <c r="I459" t="str">
        <f>IFERROR(__xludf.DUMMYFUNCTION("""COMPUTED_VALUE"""),"")</f>
        <v/>
      </c>
      <c r="J459" t="str">
        <f>IFERROR(__xludf.DUMMYFUNCTION("""COMPUTED_VALUE"""),"")</f>
        <v/>
      </c>
      <c r="K459" t="str">
        <f>IFERROR(__xludf.DUMMYFUNCTION("""COMPUTED_VALUE"""),"")</f>
        <v/>
      </c>
      <c r="L459" t="str">
        <f>IFERROR(__xludf.DUMMYFUNCTION("""COMPUTED_VALUE"""),"")</f>
        <v/>
      </c>
    </row>
    <row r="460" ht="15.75" customHeight="1">
      <c r="A460" t="str">
        <f>IFERROR(__xludf.DUMMYFUNCTION("""COMPUTED_VALUE"""),"")</f>
        <v/>
      </c>
      <c r="B460" t="str">
        <f>IFERROR(__xludf.DUMMYFUNCTION("""COMPUTED_VALUE"""),"")</f>
        <v/>
      </c>
      <c r="C460" t="str">
        <f>IFERROR(__xludf.DUMMYFUNCTION("""COMPUTED_VALUE"""),"")</f>
        <v/>
      </c>
      <c r="D460" t="str">
        <f>IFERROR(__xludf.DUMMYFUNCTION("""COMPUTED_VALUE"""),"")</f>
        <v/>
      </c>
      <c r="E460" t="str">
        <f>IFERROR(__xludf.DUMMYFUNCTION("""COMPUTED_VALUE"""),"")</f>
        <v/>
      </c>
      <c r="F460" t="str">
        <f>IFERROR(__xludf.DUMMYFUNCTION("""COMPUTED_VALUE"""),"")</f>
        <v/>
      </c>
      <c r="G460" t="str">
        <f>IFERROR(__xludf.DUMMYFUNCTION("""COMPUTED_VALUE"""),"")</f>
        <v/>
      </c>
      <c r="H460" t="str">
        <f>IFERROR(__xludf.DUMMYFUNCTION("""COMPUTED_VALUE"""),"")</f>
        <v/>
      </c>
      <c r="I460" t="str">
        <f>IFERROR(__xludf.DUMMYFUNCTION("""COMPUTED_VALUE"""),"")</f>
        <v/>
      </c>
      <c r="J460" t="str">
        <f>IFERROR(__xludf.DUMMYFUNCTION("""COMPUTED_VALUE"""),"")</f>
        <v/>
      </c>
      <c r="K460" t="str">
        <f>IFERROR(__xludf.DUMMYFUNCTION("""COMPUTED_VALUE"""),"")</f>
        <v/>
      </c>
      <c r="L460" t="str">
        <f>IFERROR(__xludf.DUMMYFUNCTION("""COMPUTED_VALUE"""),"")</f>
        <v/>
      </c>
    </row>
    <row r="461" ht="15.75" customHeight="1">
      <c r="A461" t="str">
        <f>IFERROR(__xludf.DUMMYFUNCTION("""COMPUTED_VALUE"""),"")</f>
        <v/>
      </c>
      <c r="B461" t="str">
        <f>IFERROR(__xludf.DUMMYFUNCTION("""COMPUTED_VALUE"""),"")</f>
        <v/>
      </c>
      <c r="C461" t="str">
        <f>IFERROR(__xludf.DUMMYFUNCTION("""COMPUTED_VALUE"""),"")</f>
        <v/>
      </c>
      <c r="D461" t="str">
        <f>IFERROR(__xludf.DUMMYFUNCTION("""COMPUTED_VALUE"""),"")</f>
        <v/>
      </c>
      <c r="E461" t="str">
        <f>IFERROR(__xludf.DUMMYFUNCTION("""COMPUTED_VALUE"""),"")</f>
        <v/>
      </c>
      <c r="F461" t="str">
        <f>IFERROR(__xludf.DUMMYFUNCTION("""COMPUTED_VALUE"""),"")</f>
        <v/>
      </c>
      <c r="G461" t="str">
        <f>IFERROR(__xludf.DUMMYFUNCTION("""COMPUTED_VALUE"""),"")</f>
        <v/>
      </c>
      <c r="H461" t="str">
        <f>IFERROR(__xludf.DUMMYFUNCTION("""COMPUTED_VALUE"""),"")</f>
        <v/>
      </c>
      <c r="I461" t="str">
        <f>IFERROR(__xludf.DUMMYFUNCTION("""COMPUTED_VALUE"""),"")</f>
        <v/>
      </c>
      <c r="J461" t="str">
        <f>IFERROR(__xludf.DUMMYFUNCTION("""COMPUTED_VALUE"""),"")</f>
        <v/>
      </c>
      <c r="K461" t="str">
        <f>IFERROR(__xludf.DUMMYFUNCTION("""COMPUTED_VALUE"""),"")</f>
        <v/>
      </c>
      <c r="L461" t="str">
        <f>IFERROR(__xludf.DUMMYFUNCTION("""COMPUTED_VALUE"""),"")</f>
        <v/>
      </c>
    </row>
    <row r="462" ht="15.75" customHeight="1">
      <c r="A462" t="str">
        <f>IFERROR(__xludf.DUMMYFUNCTION("""COMPUTED_VALUE"""),"")</f>
        <v/>
      </c>
      <c r="B462" t="str">
        <f>IFERROR(__xludf.DUMMYFUNCTION("""COMPUTED_VALUE"""),"")</f>
        <v/>
      </c>
      <c r="C462" t="str">
        <f>IFERROR(__xludf.DUMMYFUNCTION("""COMPUTED_VALUE"""),"")</f>
        <v/>
      </c>
      <c r="D462" t="str">
        <f>IFERROR(__xludf.DUMMYFUNCTION("""COMPUTED_VALUE"""),"")</f>
        <v/>
      </c>
      <c r="E462" t="str">
        <f>IFERROR(__xludf.DUMMYFUNCTION("""COMPUTED_VALUE"""),"")</f>
        <v/>
      </c>
      <c r="F462" t="str">
        <f>IFERROR(__xludf.DUMMYFUNCTION("""COMPUTED_VALUE"""),"")</f>
        <v/>
      </c>
      <c r="G462" t="str">
        <f>IFERROR(__xludf.DUMMYFUNCTION("""COMPUTED_VALUE"""),"")</f>
        <v/>
      </c>
      <c r="H462" t="str">
        <f>IFERROR(__xludf.DUMMYFUNCTION("""COMPUTED_VALUE"""),"")</f>
        <v/>
      </c>
      <c r="I462" t="str">
        <f>IFERROR(__xludf.DUMMYFUNCTION("""COMPUTED_VALUE"""),"")</f>
        <v/>
      </c>
      <c r="J462" t="str">
        <f>IFERROR(__xludf.DUMMYFUNCTION("""COMPUTED_VALUE"""),"")</f>
        <v/>
      </c>
      <c r="K462" t="str">
        <f>IFERROR(__xludf.DUMMYFUNCTION("""COMPUTED_VALUE"""),"")</f>
        <v/>
      </c>
      <c r="L462" t="str">
        <f>IFERROR(__xludf.DUMMYFUNCTION("""COMPUTED_VALUE"""),"")</f>
        <v/>
      </c>
    </row>
    <row r="463" ht="15.75" customHeight="1">
      <c r="A463" t="str">
        <f>IFERROR(__xludf.DUMMYFUNCTION("""COMPUTED_VALUE"""),"")</f>
        <v/>
      </c>
      <c r="B463" t="str">
        <f>IFERROR(__xludf.DUMMYFUNCTION("""COMPUTED_VALUE"""),"")</f>
        <v/>
      </c>
      <c r="C463" t="str">
        <f>IFERROR(__xludf.DUMMYFUNCTION("""COMPUTED_VALUE"""),"")</f>
        <v/>
      </c>
      <c r="D463" t="str">
        <f>IFERROR(__xludf.DUMMYFUNCTION("""COMPUTED_VALUE"""),"")</f>
        <v/>
      </c>
      <c r="E463" t="str">
        <f>IFERROR(__xludf.DUMMYFUNCTION("""COMPUTED_VALUE"""),"")</f>
        <v/>
      </c>
      <c r="F463" t="str">
        <f>IFERROR(__xludf.DUMMYFUNCTION("""COMPUTED_VALUE"""),"")</f>
        <v/>
      </c>
      <c r="G463" t="str">
        <f>IFERROR(__xludf.DUMMYFUNCTION("""COMPUTED_VALUE"""),"")</f>
        <v/>
      </c>
      <c r="H463" t="str">
        <f>IFERROR(__xludf.DUMMYFUNCTION("""COMPUTED_VALUE"""),"")</f>
        <v/>
      </c>
      <c r="I463" t="str">
        <f>IFERROR(__xludf.DUMMYFUNCTION("""COMPUTED_VALUE"""),"")</f>
        <v/>
      </c>
      <c r="J463" t="str">
        <f>IFERROR(__xludf.DUMMYFUNCTION("""COMPUTED_VALUE"""),"")</f>
        <v/>
      </c>
      <c r="K463" t="str">
        <f>IFERROR(__xludf.DUMMYFUNCTION("""COMPUTED_VALUE"""),"")</f>
        <v/>
      </c>
      <c r="L463" t="str">
        <f>IFERROR(__xludf.DUMMYFUNCTION("""COMPUTED_VALUE"""),"")</f>
        <v/>
      </c>
    </row>
    <row r="464" ht="15.75" customHeight="1">
      <c r="A464" t="str">
        <f>IFERROR(__xludf.DUMMYFUNCTION("""COMPUTED_VALUE"""),"")</f>
        <v/>
      </c>
      <c r="B464" t="str">
        <f>IFERROR(__xludf.DUMMYFUNCTION("""COMPUTED_VALUE"""),"")</f>
        <v/>
      </c>
      <c r="C464" t="str">
        <f>IFERROR(__xludf.DUMMYFUNCTION("""COMPUTED_VALUE"""),"")</f>
        <v/>
      </c>
      <c r="D464" t="str">
        <f>IFERROR(__xludf.DUMMYFUNCTION("""COMPUTED_VALUE"""),"")</f>
        <v/>
      </c>
      <c r="E464" t="str">
        <f>IFERROR(__xludf.DUMMYFUNCTION("""COMPUTED_VALUE"""),"")</f>
        <v/>
      </c>
      <c r="F464" t="str">
        <f>IFERROR(__xludf.DUMMYFUNCTION("""COMPUTED_VALUE"""),"")</f>
        <v/>
      </c>
      <c r="G464" t="str">
        <f>IFERROR(__xludf.DUMMYFUNCTION("""COMPUTED_VALUE"""),"")</f>
        <v/>
      </c>
      <c r="H464" t="str">
        <f>IFERROR(__xludf.DUMMYFUNCTION("""COMPUTED_VALUE"""),"")</f>
        <v/>
      </c>
      <c r="I464" t="str">
        <f>IFERROR(__xludf.DUMMYFUNCTION("""COMPUTED_VALUE"""),"")</f>
        <v/>
      </c>
      <c r="J464" t="str">
        <f>IFERROR(__xludf.DUMMYFUNCTION("""COMPUTED_VALUE"""),"")</f>
        <v/>
      </c>
      <c r="K464" t="str">
        <f>IFERROR(__xludf.DUMMYFUNCTION("""COMPUTED_VALUE"""),"")</f>
        <v/>
      </c>
      <c r="L464" t="str">
        <f>IFERROR(__xludf.DUMMYFUNCTION("""COMPUTED_VALUE"""),"")</f>
        <v/>
      </c>
    </row>
    <row r="465" ht="15.75" customHeight="1">
      <c r="A465" t="str">
        <f>IFERROR(__xludf.DUMMYFUNCTION("""COMPUTED_VALUE"""),"")</f>
        <v/>
      </c>
      <c r="B465" t="str">
        <f>IFERROR(__xludf.DUMMYFUNCTION("""COMPUTED_VALUE"""),"")</f>
        <v/>
      </c>
      <c r="C465" t="str">
        <f>IFERROR(__xludf.DUMMYFUNCTION("""COMPUTED_VALUE"""),"")</f>
        <v/>
      </c>
      <c r="D465" t="str">
        <f>IFERROR(__xludf.DUMMYFUNCTION("""COMPUTED_VALUE"""),"")</f>
        <v/>
      </c>
      <c r="E465" t="str">
        <f>IFERROR(__xludf.DUMMYFUNCTION("""COMPUTED_VALUE"""),"")</f>
        <v/>
      </c>
      <c r="F465" t="str">
        <f>IFERROR(__xludf.DUMMYFUNCTION("""COMPUTED_VALUE"""),"")</f>
        <v/>
      </c>
      <c r="G465" t="str">
        <f>IFERROR(__xludf.DUMMYFUNCTION("""COMPUTED_VALUE"""),"")</f>
        <v/>
      </c>
      <c r="H465" t="str">
        <f>IFERROR(__xludf.DUMMYFUNCTION("""COMPUTED_VALUE"""),"")</f>
        <v/>
      </c>
      <c r="I465" t="str">
        <f>IFERROR(__xludf.DUMMYFUNCTION("""COMPUTED_VALUE"""),"")</f>
        <v/>
      </c>
      <c r="J465" t="str">
        <f>IFERROR(__xludf.DUMMYFUNCTION("""COMPUTED_VALUE"""),"")</f>
        <v/>
      </c>
      <c r="K465" t="str">
        <f>IFERROR(__xludf.DUMMYFUNCTION("""COMPUTED_VALUE"""),"")</f>
        <v/>
      </c>
      <c r="L465" t="str">
        <f>IFERROR(__xludf.DUMMYFUNCTION("""COMPUTED_VALUE"""),"")</f>
        <v/>
      </c>
    </row>
    <row r="466" ht="15.75" customHeight="1">
      <c r="A466" t="str">
        <f>IFERROR(__xludf.DUMMYFUNCTION("""COMPUTED_VALUE"""),"")</f>
        <v/>
      </c>
      <c r="B466" t="str">
        <f>IFERROR(__xludf.DUMMYFUNCTION("""COMPUTED_VALUE"""),"")</f>
        <v/>
      </c>
      <c r="C466" t="str">
        <f>IFERROR(__xludf.DUMMYFUNCTION("""COMPUTED_VALUE"""),"")</f>
        <v/>
      </c>
      <c r="D466" t="str">
        <f>IFERROR(__xludf.DUMMYFUNCTION("""COMPUTED_VALUE"""),"")</f>
        <v/>
      </c>
      <c r="E466" t="str">
        <f>IFERROR(__xludf.DUMMYFUNCTION("""COMPUTED_VALUE"""),"")</f>
        <v/>
      </c>
      <c r="F466" t="str">
        <f>IFERROR(__xludf.DUMMYFUNCTION("""COMPUTED_VALUE"""),"")</f>
        <v/>
      </c>
      <c r="G466" t="str">
        <f>IFERROR(__xludf.DUMMYFUNCTION("""COMPUTED_VALUE"""),"")</f>
        <v/>
      </c>
      <c r="H466" t="str">
        <f>IFERROR(__xludf.DUMMYFUNCTION("""COMPUTED_VALUE"""),"")</f>
        <v/>
      </c>
      <c r="I466" t="str">
        <f>IFERROR(__xludf.DUMMYFUNCTION("""COMPUTED_VALUE"""),"")</f>
        <v/>
      </c>
      <c r="J466" t="str">
        <f>IFERROR(__xludf.DUMMYFUNCTION("""COMPUTED_VALUE"""),"")</f>
        <v/>
      </c>
      <c r="K466" t="str">
        <f>IFERROR(__xludf.DUMMYFUNCTION("""COMPUTED_VALUE"""),"")</f>
        <v/>
      </c>
      <c r="L466" t="str">
        <f>IFERROR(__xludf.DUMMYFUNCTION("""COMPUTED_VALUE"""),"")</f>
        <v/>
      </c>
    </row>
    <row r="467" ht="15.75" customHeight="1">
      <c r="A467" t="str">
        <f>IFERROR(__xludf.DUMMYFUNCTION("""COMPUTED_VALUE"""),"")</f>
        <v/>
      </c>
      <c r="B467" t="str">
        <f>IFERROR(__xludf.DUMMYFUNCTION("""COMPUTED_VALUE"""),"")</f>
        <v/>
      </c>
      <c r="C467" t="str">
        <f>IFERROR(__xludf.DUMMYFUNCTION("""COMPUTED_VALUE"""),"")</f>
        <v/>
      </c>
      <c r="D467" t="str">
        <f>IFERROR(__xludf.DUMMYFUNCTION("""COMPUTED_VALUE"""),"")</f>
        <v/>
      </c>
      <c r="E467" t="str">
        <f>IFERROR(__xludf.DUMMYFUNCTION("""COMPUTED_VALUE"""),"")</f>
        <v/>
      </c>
      <c r="F467" t="str">
        <f>IFERROR(__xludf.DUMMYFUNCTION("""COMPUTED_VALUE"""),"")</f>
        <v/>
      </c>
      <c r="G467" t="str">
        <f>IFERROR(__xludf.DUMMYFUNCTION("""COMPUTED_VALUE"""),"")</f>
        <v/>
      </c>
      <c r="H467" t="str">
        <f>IFERROR(__xludf.DUMMYFUNCTION("""COMPUTED_VALUE"""),"")</f>
        <v/>
      </c>
      <c r="I467" t="str">
        <f>IFERROR(__xludf.DUMMYFUNCTION("""COMPUTED_VALUE"""),"")</f>
        <v/>
      </c>
      <c r="J467" t="str">
        <f>IFERROR(__xludf.DUMMYFUNCTION("""COMPUTED_VALUE"""),"")</f>
        <v/>
      </c>
      <c r="K467" t="str">
        <f>IFERROR(__xludf.DUMMYFUNCTION("""COMPUTED_VALUE"""),"")</f>
        <v/>
      </c>
      <c r="L467" t="str">
        <f>IFERROR(__xludf.DUMMYFUNCTION("""COMPUTED_VALUE"""),"")</f>
        <v/>
      </c>
    </row>
    <row r="468" ht="15.75" customHeight="1">
      <c r="A468" t="str">
        <f>IFERROR(__xludf.DUMMYFUNCTION("""COMPUTED_VALUE"""),"")</f>
        <v/>
      </c>
      <c r="B468" t="str">
        <f>IFERROR(__xludf.DUMMYFUNCTION("""COMPUTED_VALUE"""),"")</f>
        <v/>
      </c>
      <c r="C468" t="str">
        <f>IFERROR(__xludf.DUMMYFUNCTION("""COMPUTED_VALUE"""),"")</f>
        <v/>
      </c>
      <c r="D468" t="str">
        <f>IFERROR(__xludf.DUMMYFUNCTION("""COMPUTED_VALUE"""),"")</f>
        <v/>
      </c>
      <c r="E468" t="str">
        <f>IFERROR(__xludf.DUMMYFUNCTION("""COMPUTED_VALUE"""),"")</f>
        <v/>
      </c>
      <c r="F468" t="str">
        <f>IFERROR(__xludf.DUMMYFUNCTION("""COMPUTED_VALUE"""),"")</f>
        <v/>
      </c>
      <c r="G468" t="str">
        <f>IFERROR(__xludf.DUMMYFUNCTION("""COMPUTED_VALUE"""),"")</f>
        <v/>
      </c>
      <c r="H468" t="str">
        <f>IFERROR(__xludf.DUMMYFUNCTION("""COMPUTED_VALUE"""),"")</f>
        <v/>
      </c>
      <c r="I468" t="str">
        <f>IFERROR(__xludf.DUMMYFUNCTION("""COMPUTED_VALUE"""),"")</f>
        <v/>
      </c>
      <c r="J468" t="str">
        <f>IFERROR(__xludf.DUMMYFUNCTION("""COMPUTED_VALUE"""),"")</f>
        <v/>
      </c>
      <c r="K468" t="str">
        <f>IFERROR(__xludf.DUMMYFUNCTION("""COMPUTED_VALUE"""),"")</f>
        <v/>
      </c>
      <c r="L468" t="str">
        <f>IFERROR(__xludf.DUMMYFUNCTION("""COMPUTED_VALUE"""),"")</f>
        <v/>
      </c>
    </row>
    <row r="469" ht="15.75" customHeight="1">
      <c r="A469" t="str">
        <f>IFERROR(__xludf.DUMMYFUNCTION("""COMPUTED_VALUE"""),"")</f>
        <v/>
      </c>
      <c r="B469" t="str">
        <f>IFERROR(__xludf.DUMMYFUNCTION("""COMPUTED_VALUE"""),"")</f>
        <v/>
      </c>
      <c r="C469" t="str">
        <f>IFERROR(__xludf.DUMMYFUNCTION("""COMPUTED_VALUE"""),"")</f>
        <v/>
      </c>
      <c r="D469" t="str">
        <f>IFERROR(__xludf.DUMMYFUNCTION("""COMPUTED_VALUE"""),"")</f>
        <v/>
      </c>
      <c r="E469" t="str">
        <f>IFERROR(__xludf.DUMMYFUNCTION("""COMPUTED_VALUE"""),"")</f>
        <v/>
      </c>
      <c r="F469" t="str">
        <f>IFERROR(__xludf.DUMMYFUNCTION("""COMPUTED_VALUE"""),"")</f>
        <v/>
      </c>
      <c r="G469" t="str">
        <f>IFERROR(__xludf.DUMMYFUNCTION("""COMPUTED_VALUE"""),"")</f>
        <v/>
      </c>
      <c r="H469" t="str">
        <f>IFERROR(__xludf.DUMMYFUNCTION("""COMPUTED_VALUE"""),"")</f>
        <v/>
      </c>
      <c r="I469" t="str">
        <f>IFERROR(__xludf.DUMMYFUNCTION("""COMPUTED_VALUE"""),"")</f>
        <v/>
      </c>
      <c r="J469" t="str">
        <f>IFERROR(__xludf.DUMMYFUNCTION("""COMPUTED_VALUE"""),"")</f>
        <v/>
      </c>
      <c r="K469" t="str">
        <f>IFERROR(__xludf.DUMMYFUNCTION("""COMPUTED_VALUE"""),"")</f>
        <v/>
      </c>
      <c r="L469" t="str">
        <f>IFERROR(__xludf.DUMMYFUNCTION("""COMPUTED_VALUE"""),"")</f>
        <v/>
      </c>
    </row>
    <row r="470" ht="15.75" customHeight="1">
      <c r="A470" t="str">
        <f>IFERROR(__xludf.DUMMYFUNCTION("""COMPUTED_VALUE"""),"")</f>
        <v/>
      </c>
      <c r="B470" t="str">
        <f>IFERROR(__xludf.DUMMYFUNCTION("""COMPUTED_VALUE"""),"")</f>
        <v/>
      </c>
      <c r="C470" t="str">
        <f>IFERROR(__xludf.DUMMYFUNCTION("""COMPUTED_VALUE"""),"")</f>
        <v/>
      </c>
      <c r="D470" t="str">
        <f>IFERROR(__xludf.DUMMYFUNCTION("""COMPUTED_VALUE"""),"")</f>
        <v/>
      </c>
      <c r="E470" t="str">
        <f>IFERROR(__xludf.DUMMYFUNCTION("""COMPUTED_VALUE"""),"")</f>
        <v/>
      </c>
      <c r="F470" t="str">
        <f>IFERROR(__xludf.DUMMYFUNCTION("""COMPUTED_VALUE"""),"")</f>
        <v/>
      </c>
      <c r="G470" t="str">
        <f>IFERROR(__xludf.DUMMYFUNCTION("""COMPUTED_VALUE"""),"")</f>
        <v/>
      </c>
      <c r="H470" t="str">
        <f>IFERROR(__xludf.DUMMYFUNCTION("""COMPUTED_VALUE"""),"")</f>
        <v/>
      </c>
      <c r="I470" t="str">
        <f>IFERROR(__xludf.DUMMYFUNCTION("""COMPUTED_VALUE"""),"")</f>
        <v/>
      </c>
      <c r="J470" t="str">
        <f>IFERROR(__xludf.DUMMYFUNCTION("""COMPUTED_VALUE"""),"")</f>
        <v/>
      </c>
      <c r="K470" t="str">
        <f>IFERROR(__xludf.DUMMYFUNCTION("""COMPUTED_VALUE"""),"")</f>
        <v/>
      </c>
      <c r="L470" t="str">
        <f>IFERROR(__xludf.DUMMYFUNCTION("""COMPUTED_VALUE"""),"")</f>
        <v/>
      </c>
    </row>
    <row r="471" ht="15.75" customHeight="1">
      <c r="A471" t="str">
        <f>IFERROR(__xludf.DUMMYFUNCTION("""COMPUTED_VALUE"""),"")</f>
        <v/>
      </c>
      <c r="B471" t="str">
        <f>IFERROR(__xludf.DUMMYFUNCTION("""COMPUTED_VALUE"""),"")</f>
        <v/>
      </c>
      <c r="C471" t="str">
        <f>IFERROR(__xludf.DUMMYFUNCTION("""COMPUTED_VALUE"""),"")</f>
        <v/>
      </c>
      <c r="D471" t="str">
        <f>IFERROR(__xludf.DUMMYFUNCTION("""COMPUTED_VALUE"""),"")</f>
        <v/>
      </c>
      <c r="E471" t="str">
        <f>IFERROR(__xludf.DUMMYFUNCTION("""COMPUTED_VALUE"""),"")</f>
        <v/>
      </c>
      <c r="F471" t="str">
        <f>IFERROR(__xludf.DUMMYFUNCTION("""COMPUTED_VALUE"""),"")</f>
        <v/>
      </c>
      <c r="G471" t="str">
        <f>IFERROR(__xludf.DUMMYFUNCTION("""COMPUTED_VALUE"""),"")</f>
        <v/>
      </c>
      <c r="H471" t="str">
        <f>IFERROR(__xludf.DUMMYFUNCTION("""COMPUTED_VALUE"""),"")</f>
        <v/>
      </c>
      <c r="I471" t="str">
        <f>IFERROR(__xludf.DUMMYFUNCTION("""COMPUTED_VALUE"""),"")</f>
        <v/>
      </c>
      <c r="J471" t="str">
        <f>IFERROR(__xludf.DUMMYFUNCTION("""COMPUTED_VALUE"""),"")</f>
        <v/>
      </c>
      <c r="K471" t="str">
        <f>IFERROR(__xludf.DUMMYFUNCTION("""COMPUTED_VALUE"""),"")</f>
        <v/>
      </c>
      <c r="L471" t="str">
        <f>IFERROR(__xludf.DUMMYFUNCTION("""COMPUTED_VALUE"""),"")</f>
        <v/>
      </c>
    </row>
    <row r="472" ht="15.75" customHeight="1">
      <c r="A472" t="str">
        <f>IFERROR(__xludf.DUMMYFUNCTION("""COMPUTED_VALUE"""),"")</f>
        <v/>
      </c>
      <c r="B472" t="str">
        <f>IFERROR(__xludf.DUMMYFUNCTION("""COMPUTED_VALUE"""),"")</f>
        <v/>
      </c>
      <c r="C472" t="str">
        <f>IFERROR(__xludf.DUMMYFUNCTION("""COMPUTED_VALUE"""),"")</f>
        <v/>
      </c>
      <c r="D472" t="str">
        <f>IFERROR(__xludf.DUMMYFUNCTION("""COMPUTED_VALUE"""),"")</f>
        <v/>
      </c>
      <c r="E472" t="str">
        <f>IFERROR(__xludf.DUMMYFUNCTION("""COMPUTED_VALUE"""),"")</f>
        <v/>
      </c>
      <c r="F472" t="str">
        <f>IFERROR(__xludf.DUMMYFUNCTION("""COMPUTED_VALUE"""),"")</f>
        <v/>
      </c>
      <c r="G472" t="str">
        <f>IFERROR(__xludf.DUMMYFUNCTION("""COMPUTED_VALUE"""),"")</f>
        <v/>
      </c>
      <c r="H472" t="str">
        <f>IFERROR(__xludf.DUMMYFUNCTION("""COMPUTED_VALUE"""),"")</f>
        <v/>
      </c>
      <c r="I472" t="str">
        <f>IFERROR(__xludf.DUMMYFUNCTION("""COMPUTED_VALUE"""),"")</f>
        <v/>
      </c>
      <c r="J472" t="str">
        <f>IFERROR(__xludf.DUMMYFUNCTION("""COMPUTED_VALUE"""),"")</f>
        <v/>
      </c>
      <c r="K472" t="str">
        <f>IFERROR(__xludf.DUMMYFUNCTION("""COMPUTED_VALUE"""),"")</f>
        <v/>
      </c>
      <c r="L472" t="str">
        <f>IFERROR(__xludf.DUMMYFUNCTION("""COMPUTED_VALUE"""),"")</f>
        <v/>
      </c>
    </row>
    <row r="473" ht="15.75" customHeight="1">
      <c r="A473" t="str">
        <f>IFERROR(__xludf.DUMMYFUNCTION("""COMPUTED_VALUE"""),"")</f>
        <v/>
      </c>
      <c r="B473" t="str">
        <f>IFERROR(__xludf.DUMMYFUNCTION("""COMPUTED_VALUE"""),"")</f>
        <v/>
      </c>
      <c r="C473" t="str">
        <f>IFERROR(__xludf.DUMMYFUNCTION("""COMPUTED_VALUE"""),"")</f>
        <v/>
      </c>
      <c r="D473" t="str">
        <f>IFERROR(__xludf.DUMMYFUNCTION("""COMPUTED_VALUE"""),"")</f>
        <v/>
      </c>
      <c r="E473" t="str">
        <f>IFERROR(__xludf.DUMMYFUNCTION("""COMPUTED_VALUE"""),"")</f>
        <v/>
      </c>
      <c r="F473" t="str">
        <f>IFERROR(__xludf.DUMMYFUNCTION("""COMPUTED_VALUE"""),"")</f>
        <v/>
      </c>
      <c r="G473" t="str">
        <f>IFERROR(__xludf.DUMMYFUNCTION("""COMPUTED_VALUE"""),"")</f>
        <v/>
      </c>
      <c r="H473" t="str">
        <f>IFERROR(__xludf.DUMMYFUNCTION("""COMPUTED_VALUE"""),"")</f>
        <v/>
      </c>
      <c r="I473" t="str">
        <f>IFERROR(__xludf.DUMMYFUNCTION("""COMPUTED_VALUE"""),"")</f>
        <v/>
      </c>
      <c r="J473" t="str">
        <f>IFERROR(__xludf.DUMMYFUNCTION("""COMPUTED_VALUE"""),"")</f>
        <v/>
      </c>
      <c r="K473" t="str">
        <f>IFERROR(__xludf.DUMMYFUNCTION("""COMPUTED_VALUE"""),"")</f>
        <v/>
      </c>
      <c r="L473" t="str">
        <f>IFERROR(__xludf.DUMMYFUNCTION("""COMPUTED_VALUE"""),"")</f>
        <v/>
      </c>
    </row>
    <row r="474" ht="15.75" customHeight="1">
      <c r="A474" t="str">
        <f>IFERROR(__xludf.DUMMYFUNCTION("""COMPUTED_VALUE"""),"")</f>
        <v/>
      </c>
      <c r="B474" t="str">
        <f>IFERROR(__xludf.DUMMYFUNCTION("""COMPUTED_VALUE"""),"")</f>
        <v/>
      </c>
      <c r="C474" t="str">
        <f>IFERROR(__xludf.DUMMYFUNCTION("""COMPUTED_VALUE"""),"")</f>
        <v/>
      </c>
      <c r="D474" t="str">
        <f>IFERROR(__xludf.DUMMYFUNCTION("""COMPUTED_VALUE"""),"")</f>
        <v/>
      </c>
      <c r="E474" t="str">
        <f>IFERROR(__xludf.DUMMYFUNCTION("""COMPUTED_VALUE"""),"")</f>
        <v/>
      </c>
      <c r="F474" t="str">
        <f>IFERROR(__xludf.DUMMYFUNCTION("""COMPUTED_VALUE"""),"")</f>
        <v/>
      </c>
      <c r="G474" t="str">
        <f>IFERROR(__xludf.DUMMYFUNCTION("""COMPUTED_VALUE"""),"")</f>
        <v/>
      </c>
      <c r="H474" t="str">
        <f>IFERROR(__xludf.DUMMYFUNCTION("""COMPUTED_VALUE"""),"")</f>
        <v/>
      </c>
      <c r="I474" t="str">
        <f>IFERROR(__xludf.DUMMYFUNCTION("""COMPUTED_VALUE"""),"")</f>
        <v/>
      </c>
      <c r="J474" t="str">
        <f>IFERROR(__xludf.DUMMYFUNCTION("""COMPUTED_VALUE"""),"")</f>
        <v/>
      </c>
      <c r="K474" t="str">
        <f>IFERROR(__xludf.DUMMYFUNCTION("""COMPUTED_VALUE"""),"")</f>
        <v/>
      </c>
      <c r="L474" t="str">
        <f>IFERROR(__xludf.DUMMYFUNCTION("""COMPUTED_VALUE"""),"")</f>
        <v/>
      </c>
    </row>
    <row r="475" ht="15.75" customHeight="1">
      <c r="A475" t="str">
        <f>IFERROR(__xludf.DUMMYFUNCTION("""COMPUTED_VALUE"""),"")</f>
        <v/>
      </c>
      <c r="B475" t="str">
        <f>IFERROR(__xludf.DUMMYFUNCTION("""COMPUTED_VALUE"""),"")</f>
        <v/>
      </c>
      <c r="C475" t="str">
        <f>IFERROR(__xludf.DUMMYFUNCTION("""COMPUTED_VALUE"""),"")</f>
        <v/>
      </c>
      <c r="D475" t="str">
        <f>IFERROR(__xludf.DUMMYFUNCTION("""COMPUTED_VALUE"""),"")</f>
        <v/>
      </c>
      <c r="E475" t="str">
        <f>IFERROR(__xludf.DUMMYFUNCTION("""COMPUTED_VALUE"""),"")</f>
        <v/>
      </c>
      <c r="F475" t="str">
        <f>IFERROR(__xludf.DUMMYFUNCTION("""COMPUTED_VALUE"""),"")</f>
        <v/>
      </c>
      <c r="G475" t="str">
        <f>IFERROR(__xludf.DUMMYFUNCTION("""COMPUTED_VALUE"""),"")</f>
        <v/>
      </c>
      <c r="H475" t="str">
        <f>IFERROR(__xludf.DUMMYFUNCTION("""COMPUTED_VALUE"""),"")</f>
        <v/>
      </c>
      <c r="I475" t="str">
        <f>IFERROR(__xludf.DUMMYFUNCTION("""COMPUTED_VALUE"""),"")</f>
        <v/>
      </c>
      <c r="J475" t="str">
        <f>IFERROR(__xludf.DUMMYFUNCTION("""COMPUTED_VALUE"""),"")</f>
        <v/>
      </c>
      <c r="K475" t="str">
        <f>IFERROR(__xludf.DUMMYFUNCTION("""COMPUTED_VALUE"""),"")</f>
        <v/>
      </c>
      <c r="L475" t="str">
        <f>IFERROR(__xludf.DUMMYFUNCTION("""COMPUTED_VALUE"""),"")</f>
        <v/>
      </c>
    </row>
    <row r="476" ht="15.75" customHeight="1">
      <c r="A476" t="str">
        <f>IFERROR(__xludf.DUMMYFUNCTION("""COMPUTED_VALUE"""),"")</f>
        <v/>
      </c>
      <c r="B476" t="str">
        <f>IFERROR(__xludf.DUMMYFUNCTION("""COMPUTED_VALUE"""),"")</f>
        <v/>
      </c>
      <c r="C476" t="str">
        <f>IFERROR(__xludf.DUMMYFUNCTION("""COMPUTED_VALUE"""),"")</f>
        <v/>
      </c>
      <c r="D476" t="str">
        <f>IFERROR(__xludf.DUMMYFUNCTION("""COMPUTED_VALUE"""),"")</f>
        <v/>
      </c>
      <c r="E476" t="str">
        <f>IFERROR(__xludf.DUMMYFUNCTION("""COMPUTED_VALUE"""),"")</f>
        <v/>
      </c>
      <c r="F476" t="str">
        <f>IFERROR(__xludf.DUMMYFUNCTION("""COMPUTED_VALUE"""),"")</f>
        <v/>
      </c>
      <c r="G476" t="str">
        <f>IFERROR(__xludf.DUMMYFUNCTION("""COMPUTED_VALUE"""),"")</f>
        <v/>
      </c>
      <c r="H476" t="str">
        <f>IFERROR(__xludf.DUMMYFUNCTION("""COMPUTED_VALUE"""),"")</f>
        <v/>
      </c>
      <c r="I476" t="str">
        <f>IFERROR(__xludf.DUMMYFUNCTION("""COMPUTED_VALUE"""),"")</f>
        <v/>
      </c>
      <c r="J476" t="str">
        <f>IFERROR(__xludf.DUMMYFUNCTION("""COMPUTED_VALUE"""),"")</f>
        <v/>
      </c>
      <c r="K476" t="str">
        <f>IFERROR(__xludf.DUMMYFUNCTION("""COMPUTED_VALUE"""),"")</f>
        <v/>
      </c>
      <c r="L476" t="str">
        <f>IFERROR(__xludf.DUMMYFUNCTION("""COMPUTED_VALUE"""),"")</f>
        <v/>
      </c>
    </row>
    <row r="477" ht="15.75" customHeight="1">
      <c r="A477" t="str">
        <f>IFERROR(__xludf.DUMMYFUNCTION("""COMPUTED_VALUE"""),"")</f>
        <v/>
      </c>
      <c r="B477" t="str">
        <f>IFERROR(__xludf.DUMMYFUNCTION("""COMPUTED_VALUE"""),"")</f>
        <v/>
      </c>
      <c r="C477" t="str">
        <f>IFERROR(__xludf.DUMMYFUNCTION("""COMPUTED_VALUE"""),"")</f>
        <v/>
      </c>
      <c r="D477" t="str">
        <f>IFERROR(__xludf.DUMMYFUNCTION("""COMPUTED_VALUE"""),"")</f>
        <v/>
      </c>
      <c r="E477" t="str">
        <f>IFERROR(__xludf.DUMMYFUNCTION("""COMPUTED_VALUE"""),"")</f>
        <v/>
      </c>
      <c r="F477" t="str">
        <f>IFERROR(__xludf.DUMMYFUNCTION("""COMPUTED_VALUE"""),"")</f>
        <v/>
      </c>
      <c r="G477" t="str">
        <f>IFERROR(__xludf.DUMMYFUNCTION("""COMPUTED_VALUE"""),"")</f>
        <v/>
      </c>
      <c r="H477" t="str">
        <f>IFERROR(__xludf.DUMMYFUNCTION("""COMPUTED_VALUE"""),"")</f>
        <v/>
      </c>
      <c r="I477" t="str">
        <f>IFERROR(__xludf.DUMMYFUNCTION("""COMPUTED_VALUE"""),"")</f>
        <v/>
      </c>
      <c r="J477" t="str">
        <f>IFERROR(__xludf.DUMMYFUNCTION("""COMPUTED_VALUE"""),"")</f>
        <v/>
      </c>
      <c r="K477" t="str">
        <f>IFERROR(__xludf.DUMMYFUNCTION("""COMPUTED_VALUE"""),"")</f>
        <v/>
      </c>
      <c r="L477" t="str">
        <f>IFERROR(__xludf.DUMMYFUNCTION("""COMPUTED_VALUE"""),"")</f>
        <v/>
      </c>
    </row>
    <row r="478" ht="15.75" customHeight="1">
      <c r="A478" t="str">
        <f>IFERROR(__xludf.DUMMYFUNCTION("""COMPUTED_VALUE"""),"")</f>
        <v/>
      </c>
      <c r="B478" t="str">
        <f>IFERROR(__xludf.DUMMYFUNCTION("""COMPUTED_VALUE"""),"")</f>
        <v/>
      </c>
      <c r="C478" t="str">
        <f>IFERROR(__xludf.DUMMYFUNCTION("""COMPUTED_VALUE"""),"")</f>
        <v/>
      </c>
      <c r="D478" t="str">
        <f>IFERROR(__xludf.DUMMYFUNCTION("""COMPUTED_VALUE"""),"")</f>
        <v/>
      </c>
      <c r="E478" t="str">
        <f>IFERROR(__xludf.DUMMYFUNCTION("""COMPUTED_VALUE"""),"")</f>
        <v/>
      </c>
      <c r="F478" t="str">
        <f>IFERROR(__xludf.DUMMYFUNCTION("""COMPUTED_VALUE"""),"")</f>
        <v/>
      </c>
      <c r="G478" t="str">
        <f>IFERROR(__xludf.DUMMYFUNCTION("""COMPUTED_VALUE"""),"")</f>
        <v/>
      </c>
      <c r="H478" t="str">
        <f>IFERROR(__xludf.DUMMYFUNCTION("""COMPUTED_VALUE"""),"")</f>
        <v/>
      </c>
      <c r="I478" t="str">
        <f>IFERROR(__xludf.DUMMYFUNCTION("""COMPUTED_VALUE"""),"")</f>
        <v/>
      </c>
      <c r="J478" t="str">
        <f>IFERROR(__xludf.DUMMYFUNCTION("""COMPUTED_VALUE"""),"")</f>
        <v/>
      </c>
      <c r="K478" t="str">
        <f>IFERROR(__xludf.DUMMYFUNCTION("""COMPUTED_VALUE"""),"")</f>
        <v/>
      </c>
      <c r="L478" t="str">
        <f>IFERROR(__xludf.DUMMYFUNCTION("""COMPUTED_VALUE"""),"")</f>
        <v/>
      </c>
    </row>
    <row r="479" ht="15.75" customHeight="1">
      <c r="A479" t="str">
        <f>IFERROR(__xludf.DUMMYFUNCTION("""COMPUTED_VALUE"""),"")</f>
        <v/>
      </c>
      <c r="B479" t="str">
        <f>IFERROR(__xludf.DUMMYFUNCTION("""COMPUTED_VALUE"""),"")</f>
        <v/>
      </c>
      <c r="C479" t="str">
        <f>IFERROR(__xludf.DUMMYFUNCTION("""COMPUTED_VALUE"""),"")</f>
        <v/>
      </c>
      <c r="D479" t="str">
        <f>IFERROR(__xludf.DUMMYFUNCTION("""COMPUTED_VALUE"""),"")</f>
        <v/>
      </c>
      <c r="E479" t="str">
        <f>IFERROR(__xludf.DUMMYFUNCTION("""COMPUTED_VALUE"""),"")</f>
        <v/>
      </c>
      <c r="F479" t="str">
        <f>IFERROR(__xludf.DUMMYFUNCTION("""COMPUTED_VALUE"""),"")</f>
        <v/>
      </c>
      <c r="G479" t="str">
        <f>IFERROR(__xludf.DUMMYFUNCTION("""COMPUTED_VALUE"""),"")</f>
        <v/>
      </c>
      <c r="H479" t="str">
        <f>IFERROR(__xludf.DUMMYFUNCTION("""COMPUTED_VALUE"""),"")</f>
        <v/>
      </c>
      <c r="I479" t="str">
        <f>IFERROR(__xludf.DUMMYFUNCTION("""COMPUTED_VALUE"""),"")</f>
        <v/>
      </c>
      <c r="J479" t="str">
        <f>IFERROR(__xludf.DUMMYFUNCTION("""COMPUTED_VALUE"""),"")</f>
        <v/>
      </c>
      <c r="K479" t="str">
        <f>IFERROR(__xludf.DUMMYFUNCTION("""COMPUTED_VALUE"""),"")</f>
        <v/>
      </c>
      <c r="L479" t="str">
        <f>IFERROR(__xludf.DUMMYFUNCTION("""COMPUTED_VALUE"""),"")</f>
        <v/>
      </c>
    </row>
    <row r="480" ht="15.75" customHeight="1">
      <c r="A480" t="str">
        <f>IFERROR(__xludf.DUMMYFUNCTION("""COMPUTED_VALUE"""),"")</f>
        <v/>
      </c>
      <c r="B480" t="str">
        <f>IFERROR(__xludf.DUMMYFUNCTION("""COMPUTED_VALUE"""),"")</f>
        <v/>
      </c>
      <c r="C480" t="str">
        <f>IFERROR(__xludf.DUMMYFUNCTION("""COMPUTED_VALUE"""),"")</f>
        <v/>
      </c>
      <c r="D480" t="str">
        <f>IFERROR(__xludf.DUMMYFUNCTION("""COMPUTED_VALUE"""),"")</f>
        <v/>
      </c>
      <c r="E480" t="str">
        <f>IFERROR(__xludf.DUMMYFUNCTION("""COMPUTED_VALUE"""),"")</f>
        <v/>
      </c>
      <c r="F480" t="str">
        <f>IFERROR(__xludf.DUMMYFUNCTION("""COMPUTED_VALUE"""),"")</f>
        <v/>
      </c>
      <c r="G480" t="str">
        <f>IFERROR(__xludf.DUMMYFUNCTION("""COMPUTED_VALUE"""),"")</f>
        <v/>
      </c>
      <c r="H480" t="str">
        <f>IFERROR(__xludf.DUMMYFUNCTION("""COMPUTED_VALUE"""),"")</f>
        <v/>
      </c>
      <c r="I480" t="str">
        <f>IFERROR(__xludf.DUMMYFUNCTION("""COMPUTED_VALUE"""),"")</f>
        <v/>
      </c>
      <c r="J480" t="str">
        <f>IFERROR(__xludf.DUMMYFUNCTION("""COMPUTED_VALUE"""),"")</f>
        <v/>
      </c>
      <c r="K480" t="str">
        <f>IFERROR(__xludf.DUMMYFUNCTION("""COMPUTED_VALUE"""),"")</f>
        <v/>
      </c>
      <c r="L480" t="str">
        <f>IFERROR(__xludf.DUMMYFUNCTION("""COMPUTED_VALUE"""),"")</f>
        <v/>
      </c>
    </row>
    <row r="481" ht="15.75" customHeight="1">
      <c r="A481" t="str">
        <f>IFERROR(__xludf.DUMMYFUNCTION("""COMPUTED_VALUE"""),"")</f>
        <v/>
      </c>
      <c r="B481" t="str">
        <f>IFERROR(__xludf.DUMMYFUNCTION("""COMPUTED_VALUE"""),"")</f>
        <v/>
      </c>
      <c r="C481" t="str">
        <f>IFERROR(__xludf.DUMMYFUNCTION("""COMPUTED_VALUE"""),"")</f>
        <v/>
      </c>
      <c r="D481" t="str">
        <f>IFERROR(__xludf.DUMMYFUNCTION("""COMPUTED_VALUE"""),"")</f>
        <v/>
      </c>
      <c r="E481" t="str">
        <f>IFERROR(__xludf.DUMMYFUNCTION("""COMPUTED_VALUE"""),"")</f>
        <v/>
      </c>
      <c r="F481" t="str">
        <f>IFERROR(__xludf.DUMMYFUNCTION("""COMPUTED_VALUE"""),"")</f>
        <v/>
      </c>
      <c r="G481" t="str">
        <f>IFERROR(__xludf.DUMMYFUNCTION("""COMPUTED_VALUE"""),"")</f>
        <v/>
      </c>
      <c r="H481" t="str">
        <f>IFERROR(__xludf.DUMMYFUNCTION("""COMPUTED_VALUE"""),"")</f>
        <v/>
      </c>
      <c r="I481" t="str">
        <f>IFERROR(__xludf.DUMMYFUNCTION("""COMPUTED_VALUE"""),"")</f>
        <v/>
      </c>
      <c r="J481" t="str">
        <f>IFERROR(__xludf.DUMMYFUNCTION("""COMPUTED_VALUE"""),"")</f>
        <v/>
      </c>
      <c r="K481" t="str">
        <f>IFERROR(__xludf.DUMMYFUNCTION("""COMPUTED_VALUE"""),"")</f>
        <v/>
      </c>
      <c r="L481" t="str">
        <f>IFERROR(__xludf.DUMMYFUNCTION("""COMPUTED_VALUE"""),"")</f>
        <v/>
      </c>
    </row>
    <row r="482" ht="15.75" customHeight="1">
      <c r="A482" t="str">
        <f>IFERROR(__xludf.DUMMYFUNCTION("""COMPUTED_VALUE"""),"")</f>
        <v/>
      </c>
      <c r="B482" t="str">
        <f>IFERROR(__xludf.DUMMYFUNCTION("""COMPUTED_VALUE"""),"")</f>
        <v/>
      </c>
      <c r="C482" t="str">
        <f>IFERROR(__xludf.DUMMYFUNCTION("""COMPUTED_VALUE"""),"")</f>
        <v/>
      </c>
      <c r="D482" t="str">
        <f>IFERROR(__xludf.DUMMYFUNCTION("""COMPUTED_VALUE"""),"")</f>
        <v/>
      </c>
      <c r="E482" t="str">
        <f>IFERROR(__xludf.DUMMYFUNCTION("""COMPUTED_VALUE"""),"")</f>
        <v/>
      </c>
      <c r="F482" t="str">
        <f>IFERROR(__xludf.DUMMYFUNCTION("""COMPUTED_VALUE"""),"")</f>
        <v/>
      </c>
      <c r="G482" t="str">
        <f>IFERROR(__xludf.DUMMYFUNCTION("""COMPUTED_VALUE"""),"")</f>
        <v/>
      </c>
      <c r="H482" t="str">
        <f>IFERROR(__xludf.DUMMYFUNCTION("""COMPUTED_VALUE"""),"")</f>
        <v/>
      </c>
      <c r="I482" t="str">
        <f>IFERROR(__xludf.DUMMYFUNCTION("""COMPUTED_VALUE"""),"")</f>
        <v/>
      </c>
      <c r="J482" t="str">
        <f>IFERROR(__xludf.DUMMYFUNCTION("""COMPUTED_VALUE"""),"")</f>
        <v/>
      </c>
      <c r="K482" t="str">
        <f>IFERROR(__xludf.DUMMYFUNCTION("""COMPUTED_VALUE"""),"")</f>
        <v/>
      </c>
      <c r="L482" t="str">
        <f>IFERROR(__xludf.DUMMYFUNCTION("""COMPUTED_VALUE"""),"")</f>
        <v/>
      </c>
    </row>
    <row r="483" ht="15.75" customHeight="1">
      <c r="A483" t="str">
        <f>IFERROR(__xludf.DUMMYFUNCTION("""COMPUTED_VALUE"""),"")</f>
        <v/>
      </c>
      <c r="B483" t="str">
        <f>IFERROR(__xludf.DUMMYFUNCTION("""COMPUTED_VALUE"""),"")</f>
        <v/>
      </c>
      <c r="C483" t="str">
        <f>IFERROR(__xludf.DUMMYFUNCTION("""COMPUTED_VALUE"""),"")</f>
        <v/>
      </c>
      <c r="D483" t="str">
        <f>IFERROR(__xludf.DUMMYFUNCTION("""COMPUTED_VALUE"""),"")</f>
        <v/>
      </c>
      <c r="E483" t="str">
        <f>IFERROR(__xludf.DUMMYFUNCTION("""COMPUTED_VALUE"""),"")</f>
        <v/>
      </c>
      <c r="F483" t="str">
        <f>IFERROR(__xludf.DUMMYFUNCTION("""COMPUTED_VALUE"""),"")</f>
        <v/>
      </c>
      <c r="G483" t="str">
        <f>IFERROR(__xludf.DUMMYFUNCTION("""COMPUTED_VALUE"""),"")</f>
        <v/>
      </c>
      <c r="H483" t="str">
        <f>IFERROR(__xludf.DUMMYFUNCTION("""COMPUTED_VALUE"""),"")</f>
        <v/>
      </c>
      <c r="I483" t="str">
        <f>IFERROR(__xludf.DUMMYFUNCTION("""COMPUTED_VALUE"""),"")</f>
        <v/>
      </c>
      <c r="J483" t="str">
        <f>IFERROR(__xludf.DUMMYFUNCTION("""COMPUTED_VALUE"""),"")</f>
        <v/>
      </c>
      <c r="K483" t="str">
        <f>IFERROR(__xludf.DUMMYFUNCTION("""COMPUTED_VALUE"""),"")</f>
        <v/>
      </c>
      <c r="L483" t="str">
        <f>IFERROR(__xludf.DUMMYFUNCTION("""COMPUTED_VALUE"""),"")</f>
        <v/>
      </c>
    </row>
    <row r="484" ht="15.75" customHeight="1">
      <c r="A484" t="str">
        <f>IFERROR(__xludf.DUMMYFUNCTION("""COMPUTED_VALUE"""),"")</f>
        <v/>
      </c>
      <c r="B484" t="str">
        <f>IFERROR(__xludf.DUMMYFUNCTION("""COMPUTED_VALUE"""),"")</f>
        <v/>
      </c>
      <c r="C484" t="str">
        <f>IFERROR(__xludf.DUMMYFUNCTION("""COMPUTED_VALUE"""),"")</f>
        <v/>
      </c>
      <c r="D484" t="str">
        <f>IFERROR(__xludf.DUMMYFUNCTION("""COMPUTED_VALUE"""),"")</f>
        <v/>
      </c>
      <c r="E484" t="str">
        <f>IFERROR(__xludf.DUMMYFUNCTION("""COMPUTED_VALUE"""),"")</f>
        <v/>
      </c>
      <c r="F484" t="str">
        <f>IFERROR(__xludf.DUMMYFUNCTION("""COMPUTED_VALUE"""),"")</f>
        <v/>
      </c>
      <c r="G484" t="str">
        <f>IFERROR(__xludf.DUMMYFUNCTION("""COMPUTED_VALUE"""),"")</f>
        <v/>
      </c>
      <c r="H484" t="str">
        <f>IFERROR(__xludf.DUMMYFUNCTION("""COMPUTED_VALUE"""),"")</f>
        <v/>
      </c>
      <c r="I484" t="str">
        <f>IFERROR(__xludf.DUMMYFUNCTION("""COMPUTED_VALUE"""),"")</f>
        <v/>
      </c>
      <c r="J484" t="str">
        <f>IFERROR(__xludf.DUMMYFUNCTION("""COMPUTED_VALUE"""),"")</f>
        <v/>
      </c>
      <c r="K484" t="str">
        <f>IFERROR(__xludf.DUMMYFUNCTION("""COMPUTED_VALUE"""),"")</f>
        <v/>
      </c>
      <c r="L484" t="str">
        <f>IFERROR(__xludf.DUMMYFUNCTION("""COMPUTED_VALUE"""),"")</f>
        <v/>
      </c>
    </row>
    <row r="485" ht="15.75" customHeight="1">
      <c r="A485" t="str">
        <f>IFERROR(__xludf.DUMMYFUNCTION("""COMPUTED_VALUE"""),"")</f>
        <v/>
      </c>
      <c r="B485" t="str">
        <f>IFERROR(__xludf.DUMMYFUNCTION("""COMPUTED_VALUE"""),"")</f>
        <v/>
      </c>
      <c r="C485" t="str">
        <f>IFERROR(__xludf.DUMMYFUNCTION("""COMPUTED_VALUE"""),"")</f>
        <v/>
      </c>
      <c r="D485" t="str">
        <f>IFERROR(__xludf.DUMMYFUNCTION("""COMPUTED_VALUE"""),"")</f>
        <v/>
      </c>
      <c r="E485" t="str">
        <f>IFERROR(__xludf.DUMMYFUNCTION("""COMPUTED_VALUE"""),"")</f>
        <v/>
      </c>
      <c r="F485" t="str">
        <f>IFERROR(__xludf.DUMMYFUNCTION("""COMPUTED_VALUE"""),"")</f>
        <v/>
      </c>
      <c r="G485" t="str">
        <f>IFERROR(__xludf.DUMMYFUNCTION("""COMPUTED_VALUE"""),"")</f>
        <v/>
      </c>
      <c r="H485" t="str">
        <f>IFERROR(__xludf.DUMMYFUNCTION("""COMPUTED_VALUE"""),"")</f>
        <v/>
      </c>
      <c r="I485" t="str">
        <f>IFERROR(__xludf.DUMMYFUNCTION("""COMPUTED_VALUE"""),"")</f>
        <v/>
      </c>
      <c r="J485" t="str">
        <f>IFERROR(__xludf.DUMMYFUNCTION("""COMPUTED_VALUE"""),"")</f>
        <v/>
      </c>
      <c r="K485" t="str">
        <f>IFERROR(__xludf.DUMMYFUNCTION("""COMPUTED_VALUE"""),"")</f>
        <v/>
      </c>
      <c r="L485" t="str">
        <f>IFERROR(__xludf.DUMMYFUNCTION("""COMPUTED_VALUE"""),"")</f>
        <v/>
      </c>
    </row>
    <row r="486" ht="15.75" customHeight="1">
      <c r="A486" t="str">
        <f>IFERROR(__xludf.DUMMYFUNCTION("""COMPUTED_VALUE"""),"")</f>
        <v/>
      </c>
      <c r="B486" t="str">
        <f>IFERROR(__xludf.DUMMYFUNCTION("""COMPUTED_VALUE"""),"")</f>
        <v/>
      </c>
      <c r="C486" t="str">
        <f>IFERROR(__xludf.DUMMYFUNCTION("""COMPUTED_VALUE"""),"")</f>
        <v/>
      </c>
      <c r="D486" t="str">
        <f>IFERROR(__xludf.DUMMYFUNCTION("""COMPUTED_VALUE"""),"")</f>
        <v/>
      </c>
      <c r="E486" t="str">
        <f>IFERROR(__xludf.DUMMYFUNCTION("""COMPUTED_VALUE"""),"")</f>
        <v/>
      </c>
      <c r="F486" t="str">
        <f>IFERROR(__xludf.DUMMYFUNCTION("""COMPUTED_VALUE"""),"")</f>
        <v/>
      </c>
      <c r="G486" t="str">
        <f>IFERROR(__xludf.DUMMYFUNCTION("""COMPUTED_VALUE"""),"")</f>
        <v/>
      </c>
      <c r="H486" t="str">
        <f>IFERROR(__xludf.DUMMYFUNCTION("""COMPUTED_VALUE"""),"")</f>
        <v/>
      </c>
      <c r="I486" t="str">
        <f>IFERROR(__xludf.DUMMYFUNCTION("""COMPUTED_VALUE"""),"")</f>
        <v/>
      </c>
      <c r="J486" t="str">
        <f>IFERROR(__xludf.DUMMYFUNCTION("""COMPUTED_VALUE"""),"")</f>
        <v/>
      </c>
      <c r="K486" t="str">
        <f>IFERROR(__xludf.DUMMYFUNCTION("""COMPUTED_VALUE"""),"")</f>
        <v/>
      </c>
      <c r="L486" t="str">
        <f>IFERROR(__xludf.DUMMYFUNCTION("""COMPUTED_VALUE"""),"")</f>
        <v/>
      </c>
    </row>
    <row r="487" ht="15.75" customHeight="1">
      <c r="A487" t="str">
        <f>IFERROR(__xludf.DUMMYFUNCTION("""COMPUTED_VALUE"""),"")</f>
        <v/>
      </c>
      <c r="B487" t="str">
        <f>IFERROR(__xludf.DUMMYFUNCTION("""COMPUTED_VALUE"""),"")</f>
        <v/>
      </c>
      <c r="C487" t="str">
        <f>IFERROR(__xludf.DUMMYFUNCTION("""COMPUTED_VALUE"""),"")</f>
        <v/>
      </c>
      <c r="D487" t="str">
        <f>IFERROR(__xludf.DUMMYFUNCTION("""COMPUTED_VALUE"""),"")</f>
        <v/>
      </c>
      <c r="E487" t="str">
        <f>IFERROR(__xludf.DUMMYFUNCTION("""COMPUTED_VALUE"""),"")</f>
        <v/>
      </c>
      <c r="F487" t="str">
        <f>IFERROR(__xludf.DUMMYFUNCTION("""COMPUTED_VALUE"""),"")</f>
        <v/>
      </c>
      <c r="G487" t="str">
        <f>IFERROR(__xludf.DUMMYFUNCTION("""COMPUTED_VALUE"""),"")</f>
        <v/>
      </c>
      <c r="H487" t="str">
        <f>IFERROR(__xludf.DUMMYFUNCTION("""COMPUTED_VALUE"""),"")</f>
        <v/>
      </c>
      <c r="I487" t="str">
        <f>IFERROR(__xludf.DUMMYFUNCTION("""COMPUTED_VALUE"""),"")</f>
        <v/>
      </c>
      <c r="J487" t="str">
        <f>IFERROR(__xludf.DUMMYFUNCTION("""COMPUTED_VALUE"""),"")</f>
        <v/>
      </c>
      <c r="K487" t="str">
        <f>IFERROR(__xludf.DUMMYFUNCTION("""COMPUTED_VALUE"""),"")</f>
        <v/>
      </c>
      <c r="L487" t="str">
        <f>IFERROR(__xludf.DUMMYFUNCTION("""COMPUTED_VALUE"""),"")</f>
        <v/>
      </c>
    </row>
    <row r="488" ht="15.75" customHeight="1">
      <c r="A488" t="str">
        <f>IFERROR(__xludf.DUMMYFUNCTION("""COMPUTED_VALUE"""),"")</f>
        <v/>
      </c>
      <c r="B488" t="str">
        <f>IFERROR(__xludf.DUMMYFUNCTION("""COMPUTED_VALUE"""),"")</f>
        <v/>
      </c>
      <c r="C488" t="str">
        <f>IFERROR(__xludf.DUMMYFUNCTION("""COMPUTED_VALUE"""),"")</f>
        <v/>
      </c>
      <c r="D488" t="str">
        <f>IFERROR(__xludf.DUMMYFUNCTION("""COMPUTED_VALUE"""),"")</f>
        <v/>
      </c>
      <c r="E488" t="str">
        <f>IFERROR(__xludf.DUMMYFUNCTION("""COMPUTED_VALUE"""),"")</f>
        <v/>
      </c>
      <c r="F488" t="str">
        <f>IFERROR(__xludf.DUMMYFUNCTION("""COMPUTED_VALUE"""),"")</f>
        <v/>
      </c>
      <c r="G488" t="str">
        <f>IFERROR(__xludf.DUMMYFUNCTION("""COMPUTED_VALUE"""),"")</f>
        <v/>
      </c>
      <c r="H488" t="str">
        <f>IFERROR(__xludf.DUMMYFUNCTION("""COMPUTED_VALUE"""),"")</f>
        <v/>
      </c>
      <c r="I488" t="str">
        <f>IFERROR(__xludf.DUMMYFUNCTION("""COMPUTED_VALUE"""),"")</f>
        <v/>
      </c>
      <c r="J488" t="str">
        <f>IFERROR(__xludf.DUMMYFUNCTION("""COMPUTED_VALUE"""),"")</f>
        <v/>
      </c>
      <c r="K488" t="str">
        <f>IFERROR(__xludf.DUMMYFUNCTION("""COMPUTED_VALUE"""),"")</f>
        <v/>
      </c>
      <c r="L488" t="str">
        <f>IFERROR(__xludf.DUMMYFUNCTION("""COMPUTED_VALUE"""),"")</f>
        <v/>
      </c>
    </row>
    <row r="489" ht="15.75" customHeight="1">
      <c r="A489" t="str">
        <f>IFERROR(__xludf.DUMMYFUNCTION("""COMPUTED_VALUE"""),"")</f>
        <v/>
      </c>
      <c r="B489" t="str">
        <f>IFERROR(__xludf.DUMMYFUNCTION("""COMPUTED_VALUE"""),"")</f>
        <v/>
      </c>
      <c r="C489" t="str">
        <f>IFERROR(__xludf.DUMMYFUNCTION("""COMPUTED_VALUE"""),"")</f>
        <v/>
      </c>
      <c r="D489" t="str">
        <f>IFERROR(__xludf.DUMMYFUNCTION("""COMPUTED_VALUE"""),"")</f>
        <v/>
      </c>
      <c r="E489" t="str">
        <f>IFERROR(__xludf.DUMMYFUNCTION("""COMPUTED_VALUE"""),"")</f>
        <v/>
      </c>
      <c r="F489" t="str">
        <f>IFERROR(__xludf.DUMMYFUNCTION("""COMPUTED_VALUE"""),"")</f>
        <v/>
      </c>
      <c r="G489" t="str">
        <f>IFERROR(__xludf.DUMMYFUNCTION("""COMPUTED_VALUE"""),"")</f>
        <v/>
      </c>
      <c r="H489" t="str">
        <f>IFERROR(__xludf.DUMMYFUNCTION("""COMPUTED_VALUE"""),"")</f>
        <v/>
      </c>
      <c r="I489" t="str">
        <f>IFERROR(__xludf.DUMMYFUNCTION("""COMPUTED_VALUE"""),"")</f>
        <v/>
      </c>
      <c r="J489" t="str">
        <f>IFERROR(__xludf.DUMMYFUNCTION("""COMPUTED_VALUE"""),"")</f>
        <v/>
      </c>
      <c r="K489" t="str">
        <f>IFERROR(__xludf.DUMMYFUNCTION("""COMPUTED_VALUE"""),"")</f>
        <v/>
      </c>
      <c r="L489" t="str">
        <f>IFERROR(__xludf.DUMMYFUNCTION("""COMPUTED_VALUE"""),"")</f>
        <v/>
      </c>
    </row>
    <row r="490" ht="15.75" customHeight="1">
      <c r="A490" t="str">
        <f>IFERROR(__xludf.DUMMYFUNCTION("""COMPUTED_VALUE"""),"")</f>
        <v/>
      </c>
      <c r="B490" t="str">
        <f>IFERROR(__xludf.DUMMYFUNCTION("""COMPUTED_VALUE"""),"")</f>
        <v/>
      </c>
      <c r="C490" t="str">
        <f>IFERROR(__xludf.DUMMYFUNCTION("""COMPUTED_VALUE"""),"")</f>
        <v/>
      </c>
      <c r="D490" t="str">
        <f>IFERROR(__xludf.DUMMYFUNCTION("""COMPUTED_VALUE"""),"")</f>
        <v/>
      </c>
      <c r="E490" t="str">
        <f>IFERROR(__xludf.DUMMYFUNCTION("""COMPUTED_VALUE"""),"")</f>
        <v/>
      </c>
      <c r="F490" t="str">
        <f>IFERROR(__xludf.DUMMYFUNCTION("""COMPUTED_VALUE"""),"")</f>
        <v/>
      </c>
      <c r="G490" t="str">
        <f>IFERROR(__xludf.DUMMYFUNCTION("""COMPUTED_VALUE"""),"")</f>
        <v/>
      </c>
      <c r="H490" t="str">
        <f>IFERROR(__xludf.DUMMYFUNCTION("""COMPUTED_VALUE"""),"")</f>
        <v/>
      </c>
      <c r="I490" t="str">
        <f>IFERROR(__xludf.DUMMYFUNCTION("""COMPUTED_VALUE"""),"")</f>
        <v/>
      </c>
      <c r="J490" t="str">
        <f>IFERROR(__xludf.DUMMYFUNCTION("""COMPUTED_VALUE"""),"")</f>
        <v/>
      </c>
      <c r="K490" t="str">
        <f>IFERROR(__xludf.DUMMYFUNCTION("""COMPUTED_VALUE"""),"")</f>
        <v/>
      </c>
      <c r="L490" t="str">
        <f>IFERROR(__xludf.DUMMYFUNCTION("""COMPUTED_VALUE"""),"")</f>
        <v/>
      </c>
    </row>
    <row r="491" ht="15.75" customHeight="1">
      <c r="A491" t="str">
        <f>IFERROR(__xludf.DUMMYFUNCTION("""COMPUTED_VALUE"""),"")</f>
        <v/>
      </c>
      <c r="B491" t="str">
        <f>IFERROR(__xludf.DUMMYFUNCTION("""COMPUTED_VALUE"""),"")</f>
        <v/>
      </c>
      <c r="C491" t="str">
        <f>IFERROR(__xludf.DUMMYFUNCTION("""COMPUTED_VALUE"""),"")</f>
        <v/>
      </c>
      <c r="D491" t="str">
        <f>IFERROR(__xludf.DUMMYFUNCTION("""COMPUTED_VALUE"""),"")</f>
        <v/>
      </c>
      <c r="E491" t="str">
        <f>IFERROR(__xludf.DUMMYFUNCTION("""COMPUTED_VALUE"""),"")</f>
        <v/>
      </c>
      <c r="F491" t="str">
        <f>IFERROR(__xludf.DUMMYFUNCTION("""COMPUTED_VALUE"""),"")</f>
        <v/>
      </c>
      <c r="G491" t="str">
        <f>IFERROR(__xludf.DUMMYFUNCTION("""COMPUTED_VALUE"""),"")</f>
        <v/>
      </c>
      <c r="H491" t="str">
        <f>IFERROR(__xludf.DUMMYFUNCTION("""COMPUTED_VALUE"""),"")</f>
        <v/>
      </c>
      <c r="I491" t="str">
        <f>IFERROR(__xludf.DUMMYFUNCTION("""COMPUTED_VALUE"""),"")</f>
        <v/>
      </c>
      <c r="J491" t="str">
        <f>IFERROR(__xludf.DUMMYFUNCTION("""COMPUTED_VALUE"""),"")</f>
        <v/>
      </c>
      <c r="K491" t="str">
        <f>IFERROR(__xludf.DUMMYFUNCTION("""COMPUTED_VALUE"""),"")</f>
        <v/>
      </c>
      <c r="L491" t="str">
        <f>IFERROR(__xludf.DUMMYFUNCTION("""COMPUTED_VALUE"""),"")</f>
        <v/>
      </c>
    </row>
    <row r="492" ht="15.75" customHeight="1">
      <c r="A492" t="str">
        <f>IFERROR(__xludf.DUMMYFUNCTION("""COMPUTED_VALUE"""),"")</f>
        <v/>
      </c>
      <c r="B492" t="str">
        <f>IFERROR(__xludf.DUMMYFUNCTION("""COMPUTED_VALUE"""),"")</f>
        <v/>
      </c>
      <c r="C492" t="str">
        <f>IFERROR(__xludf.DUMMYFUNCTION("""COMPUTED_VALUE"""),"")</f>
        <v/>
      </c>
      <c r="D492" t="str">
        <f>IFERROR(__xludf.DUMMYFUNCTION("""COMPUTED_VALUE"""),"")</f>
        <v/>
      </c>
      <c r="E492" t="str">
        <f>IFERROR(__xludf.DUMMYFUNCTION("""COMPUTED_VALUE"""),"")</f>
        <v/>
      </c>
      <c r="F492" t="str">
        <f>IFERROR(__xludf.DUMMYFUNCTION("""COMPUTED_VALUE"""),"")</f>
        <v/>
      </c>
      <c r="G492" t="str">
        <f>IFERROR(__xludf.DUMMYFUNCTION("""COMPUTED_VALUE"""),"")</f>
        <v/>
      </c>
      <c r="H492" t="str">
        <f>IFERROR(__xludf.DUMMYFUNCTION("""COMPUTED_VALUE"""),"")</f>
        <v/>
      </c>
      <c r="I492" t="str">
        <f>IFERROR(__xludf.DUMMYFUNCTION("""COMPUTED_VALUE"""),"")</f>
        <v/>
      </c>
      <c r="J492" t="str">
        <f>IFERROR(__xludf.DUMMYFUNCTION("""COMPUTED_VALUE"""),"")</f>
        <v/>
      </c>
      <c r="K492" t="str">
        <f>IFERROR(__xludf.DUMMYFUNCTION("""COMPUTED_VALUE"""),"")</f>
        <v/>
      </c>
      <c r="L492" t="str">
        <f>IFERROR(__xludf.DUMMYFUNCTION("""COMPUTED_VALUE"""),"")</f>
        <v/>
      </c>
    </row>
    <row r="493" ht="15.75" customHeight="1">
      <c r="A493" t="str">
        <f>IFERROR(__xludf.DUMMYFUNCTION("""COMPUTED_VALUE"""),"")</f>
        <v/>
      </c>
      <c r="B493" t="str">
        <f>IFERROR(__xludf.DUMMYFUNCTION("""COMPUTED_VALUE"""),"")</f>
        <v/>
      </c>
      <c r="C493" t="str">
        <f>IFERROR(__xludf.DUMMYFUNCTION("""COMPUTED_VALUE"""),"")</f>
        <v/>
      </c>
      <c r="D493" t="str">
        <f>IFERROR(__xludf.DUMMYFUNCTION("""COMPUTED_VALUE"""),"")</f>
        <v/>
      </c>
      <c r="E493" t="str">
        <f>IFERROR(__xludf.DUMMYFUNCTION("""COMPUTED_VALUE"""),"")</f>
        <v/>
      </c>
      <c r="F493" t="str">
        <f>IFERROR(__xludf.DUMMYFUNCTION("""COMPUTED_VALUE"""),"")</f>
        <v/>
      </c>
      <c r="G493" t="str">
        <f>IFERROR(__xludf.DUMMYFUNCTION("""COMPUTED_VALUE"""),"")</f>
        <v/>
      </c>
      <c r="H493" t="str">
        <f>IFERROR(__xludf.DUMMYFUNCTION("""COMPUTED_VALUE"""),"")</f>
        <v/>
      </c>
      <c r="I493" t="str">
        <f>IFERROR(__xludf.DUMMYFUNCTION("""COMPUTED_VALUE"""),"")</f>
        <v/>
      </c>
      <c r="J493" t="str">
        <f>IFERROR(__xludf.DUMMYFUNCTION("""COMPUTED_VALUE"""),"")</f>
        <v/>
      </c>
      <c r="K493" t="str">
        <f>IFERROR(__xludf.DUMMYFUNCTION("""COMPUTED_VALUE"""),"")</f>
        <v/>
      </c>
      <c r="L493" t="str">
        <f>IFERROR(__xludf.DUMMYFUNCTION("""COMPUTED_VALUE"""),"")</f>
        <v/>
      </c>
    </row>
    <row r="494" ht="15.75" customHeight="1">
      <c r="A494" t="str">
        <f>IFERROR(__xludf.DUMMYFUNCTION("""COMPUTED_VALUE"""),"")</f>
        <v/>
      </c>
      <c r="B494" t="str">
        <f>IFERROR(__xludf.DUMMYFUNCTION("""COMPUTED_VALUE"""),"")</f>
        <v/>
      </c>
      <c r="C494" t="str">
        <f>IFERROR(__xludf.DUMMYFUNCTION("""COMPUTED_VALUE"""),"")</f>
        <v/>
      </c>
      <c r="D494" t="str">
        <f>IFERROR(__xludf.DUMMYFUNCTION("""COMPUTED_VALUE"""),"")</f>
        <v/>
      </c>
      <c r="E494" t="str">
        <f>IFERROR(__xludf.DUMMYFUNCTION("""COMPUTED_VALUE"""),"")</f>
        <v/>
      </c>
      <c r="F494" t="str">
        <f>IFERROR(__xludf.DUMMYFUNCTION("""COMPUTED_VALUE"""),"")</f>
        <v/>
      </c>
      <c r="G494" t="str">
        <f>IFERROR(__xludf.DUMMYFUNCTION("""COMPUTED_VALUE"""),"")</f>
        <v/>
      </c>
      <c r="H494" t="str">
        <f>IFERROR(__xludf.DUMMYFUNCTION("""COMPUTED_VALUE"""),"")</f>
        <v/>
      </c>
      <c r="I494" t="str">
        <f>IFERROR(__xludf.DUMMYFUNCTION("""COMPUTED_VALUE"""),"")</f>
        <v/>
      </c>
      <c r="J494" t="str">
        <f>IFERROR(__xludf.DUMMYFUNCTION("""COMPUTED_VALUE"""),"")</f>
        <v/>
      </c>
      <c r="K494" t="str">
        <f>IFERROR(__xludf.DUMMYFUNCTION("""COMPUTED_VALUE"""),"")</f>
        <v/>
      </c>
      <c r="L494" t="str">
        <f>IFERROR(__xludf.DUMMYFUNCTION("""COMPUTED_VALUE"""),"")</f>
        <v/>
      </c>
    </row>
    <row r="495" ht="15.75" customHeight="1">
      <c r="A495" t="str">
        <f>IFERROR(__xludf.DUMMYFUNCTION("""COMPUTED_VALUE"""),"")</f>
        <v/>
      </c>
      <c r="B495" t="str">
        <f>IFERROR(__xludf.DUMMYFUNCTION("""COMPUTED_VALUE"""),"")</f>
        <v/>
      </c>
      <c r="C495" t="str">
        <f>IFERROR(__xludf.DUMMYFUNCTION("""COMPUTED_VALUE"""),"")</f>
        <v/>
      </c>
      <c r="D495" t="str">
        <f>IFERROR(__xludf.DUMMYFUNCTION("""COMPUTED_VALUE"""),"")</f>
        <v/>
      </c>
      <c r="E495" t="str">
        <f>IFERROR(__xludf.DUMMYFUNCTION("""COMPUTED_VALUE"""),"")</f>
        <v/>
      </c>
      <c r="F495" t="str">
        <f>IFERROR(__xludf.DUMMYFUNCTION("""COMPUTED_VALUE"""),"")</f>
        <v/>
      </c>
      <c r="G495" t="str">
        <f>IFERROR(__xludf.DUMMYFUNCTION("""COMPUTED_VALUE"""),"")</f>
        <v/>
      </c>
      <c r="H495" t="str">
        <f>IFERROR(__xludf.DUMMYFUNCTION("""COMPUTED_VALUE"""),"")</f>
        <v/>
      </c>
      <c r="I495" t="str">
        <f>IFERROR(__xludf.DUMMYFUNCTION("""COMPUTED_VALUE"""),"")</f>
        <v/>
      </c>
      <c r="J495" t="str">
        <f>IFERROR(__xludf.DUMMYFUNCTION("""COMPUTED_VALUE"""),"")</f>
        <v/>
      </c>
      <c r="K495" t="str">
        <f>IFERROR(__xludf.DUMMYFUNCTION("""COMPUTED_VALUE"""),"")</f>
        <v/>
      </c>
      <c r="L495" t="str">
        <f>IFERROR(__xludf.DUMMYFUNCTION("""COMPUTED_VALUE"""),"")</f>
        <v/>
      </c>
    </row>
    <row r="496" ht="15.75" customHeight="1">
      <c r="A496" t="str">
        <f>IFERROR(__xludf.DUMMYFUNCTION("""COMPUTED_VALUE"""),"")</f>
        <v/>
      </c>
      <c r="B496" t="str">
        <f>IFERROR(__xludf.DUMMYFUNCTION("""COMPUTED_VALUE"""),"")</f>
        <v/>
      </c>
      <c r="C496" t="str">
        <f>IFERROR(__xludf.DUMMYFUNCTION("""COMPUTED_VALUE"""),"")</f>
        <v/>
      </c>
      <c r="D496" t="str">
        <f>IFERROR(__xludf.DUMMYFUNCTION("""COMPUTED_VALUE"""),"")</f>
        <v/>
      </c>
      <c r="E496" t="str">
        <f>IFERROR(__xludf.DUMMYFUNCTION("""COMPUTED_VALUE"""),"")</f>
        <v/>
      </c>
      <c r="F496" t="str">
        <f>IFERROR(__xludf.DUMMYFUNCTION("""COMPUTED_VALUE"""),"")</f>
        <v/>
      </c>
      <c r="G496" t="str">
        <f>IFERROR(__xludf.DUMMYFUNCTION("""COMPUTED_VALUE"""),"")</f>
        <v/>
      </c>
      <c r="H496" t="str">
        <f>IFERROR(__xludf.DUMMYFUNCTION("""COMPUTED_VALUE"""),"")</f>
        <v/>
      </c>
      <c r="I496" t="str">
        <f>IFERROR(__xludf.DUMMYFUNCTION("""COMPUTED_VALUE"""),"")</f>
        <v/>
      </c>
      <c r="J496" t="str">
        <f>IFERROR(__xludf.DUMMYFUNCTION("""COMPUTED_VALUE"""),"")</f>
        <v/>
      </c>
      <c r="K496" t="str">
        <f>IFERROR(__xludf.DUMMYFUNCTION("""COMPUTED_VALUE"""),"")</f>
        <v/>
      </c>
      <c r="L496" t="str">
        <f>IFERROR(__xludf.DUMMYFUNCTION("""COMPUTED_VALUE"""),"")</f>
        <v/>
      </c>
    </row>
    <row r="497" ht="15.75" customHeight="1">
      <c r="A497" t="str">
        <f>IFERROR(__xludf.DUMMYFUNCTION("""COMPUTED_VALUE"""),"")</f>
        <v/>
      </c>
      <c r="B497" t="str">
        <f>IFERROR(__xludf.DUMMYFUNCTION("""COMPUTED_VALUE"""),"")</f>
        <v/>
      </c>
      <c r="C497" t="str">
        <f>IFERROR(__xludf.DUMMYFUNCTION("""COMPUTED_VALUE"""),"")</f>
        <v/>
      </c>
      <c r="D497" t="str">
        <f>IFERROR(__xludf.DUMMYFUNCTION("""COMPUTED_VALUE"""),"")</f>
        <v/>
      </c>
      <c r="E497" t="str">
        <f>IFERROR(__xludf.DUMMYFUNCTION("""COMPUTED_VALUE"""),"")</f>
        <v/>
      </c>
      <c r="F497" t="str">
        <f>IFERROR(__xludf.DUMMYFUNCTION("""COMPUTED_VALUE"""),"")</f>
        <v/>
      </c>
      <c r="G497" t="str">
        <f>IFERROR(__xludf.DUMMYFUNCTION("""COMPUTED_VALUE"""),"")</f>
        <v/>
      </c>
      <c r="H497" t="str">
        <f>IFERROR(__xludf.DUMMYFUNCTION("""COMPUTED_VALUE"""),"")</f>
        <v/>
      </c>
      <c r="I497" t="str">
        <f>IFERROR(__xludf.DUMMYFUNCTION("""COMPUTED_VALUE"""),"")</f>
        <v/>
      </c>
      <c r="J497" t="str">
        <f>IFERROR(__xludf.DUMMYFUNCTION("""COMPUTED_VALUE"""),"")</f>
        <v/>
      </c>
      <c r="K497" t="str">
        <f>IFERROR(__xludf.DUMMYFUNCTION("""COMPUTED_VALUE"""),"")</f>
        <v/>
      </c>
      <c r="L497" t="str">
        <f>IFERROR(__xludf.DUMMYFUNCTION("""COMPUTED_VALUE"""),"")</f>
        <v/>
      </c>
    </row>
    <row r="498" ht="15.75" customHeight="1">
      <c r="A498" t="str">
        <f>IFERROR(__xludf.DUMMYFUNCTION("""COMPUTED_VALUE"""),"")</f>
        <v/>
      </c>
      <c r="B498" t="str">
        <f>IFERROR(__xludf.DUMMYFUNCTION("""COMPUTED_VALUE"""),"")</f>
        <v/>
      </c>
      <c r="C498" t="str">
        <f>IFERROR(__xludf.DUMMYFUNCTION("""COMPUTED_VALUE"""),"")</f>
        <v/>
      </c>
      <c r="D498" t="str">
        <f>IFERROR(__xludf.DUMMYFUNCTION("""COMPUTED_VALUE"""),"")</f>
        <v/>
      </c>
      <c r="E498" t="str">
        <f>IFERROR(__xludf.DUMMYFUNCTION("""COMPUTED_VALUE"""),"")</f>
        <v/>
      </c>
      <c r="F498" t="str">
        <f>IFERROR(__xludf.DUMMYFUNCTION("""COMPUTED_VALUE"""),"")</f>
        <v/>
      </c>
      <c r="G498" t="str">
        <f>IFERROR(__xludf.DUMMYFUNCTION("""COMPUTED_VALUE"""),"")</f>
        <v/>
      </c>
      <c r="H498" t="str">
        <f>IFERROR(__xludf.DUMMYFUNCTION("""COMPUTED_VALUE"""),"")</f>
        <v/>
      </c>
      <c r="I498" t="str">
        <f>IFERROR(__xludf.DUMMYFUNCTION("""COMPUTED_VALUE"""),"")</f>
        <v/>
      </c>
      <c r="J498" t="str">
        <f>IFERROR(__xludf.DUMMYFUNCTION("""COMPUTED_VALUE"""),"")</f>
        <v/>
      </c>
      <c r="K498" t="str">
        <f>IFERROR(__xludf.DUMMYFUNCTION("""COMPUTED_VALUE"""),"")</f>
        <v/>
      </c>
      <c r="L498" t="str">
        <f>IFERROR(__xludf.DUMMYFUNCTION("""COMPUTED_VALUE"""),"")</f>
        <v/>
      </c>
    </row>
    <row r="499" ht="15.75" customHeight="1">
      <c r="A499" t="str">
        <f>IFERROR(__xludf.DUMMYFUNCTION("""COMPUTED_VALUE"""),"")</f>
        <v/>
      </c>
      <c r="B499" t="str">
        <f>IFERROR(__xludf.DUMMYFUNCTION("""COMPUTED_VALUE"""),"")</f>
        <v/>
      </c>
      <c r="C499" t="str">
        <f>IFERROR(__xludf.DUMMYFUNCTION("""COMPUTED_VALUE"""),"")</f>
        <v/>
      </c>
      <c r="D499" t="str">
        <f>IFERROR(__xludf.DUMMYFUNCTION("""COMPUTED_VALUE"""),"")</f>
        <v/>
      </c>
      <c r="E499" t="str">
        <f>IFERROR(__xludf.DUMMYFUNCTION("""COMPUTED_VALUE"""),"")</f>
        <v/>
      </c>
      <c r="F499" t="str">
        <f>IFERROR(__xludf.DUMMYFUNCTION("""COMPUTED_VALUE"""),"")</f>
        <v/>
      </c>
      <c r="G499" t="str">
        <f>IFERROR(__xludf.DUMMYFUNCTION("""COMPUTED_VALUE"""),"")</f>
        <v/>
      </c>
      <c r="H499" t="str">
        <f>IFERROR(__xludf.DUMMYFUNCTION("""COMPUTED_VALUE"""),"")</f>
        <v/>
      </c>
      <c r="I499" t="str">
        <f>IFERROR(__xludf.DUMMYFUNCTION("""COMPUTED_VALUE"""),"")</f>
        <v/>
      </c>
      <c r="J499" t="str">
        <f>IFERROR(__xludf.DUMMYFUNCTION("""COMPUTED_VALUE"""),"")</f>
        <v/>
      </c>
      <c r="K499" t="str">
        <f>IFERROR(__xludf.DUMMYFUNCTION("""COMPUTED_VALUE"""),"")</f>
        <v/>
      </c>
      <c r="L499" t="str">
        <f>IFERROR(__xludf.DUMMYFUNCTION("""COMPUTED_VALUE"""),"")</f>
        <v/>
      </c>
    </row>
    <row r="500" ht="15.75" customHeight="1">
      <c r="A500" t="str">
        <f>IFERROR(__xludf.DUMMYFUNCTION("""COMPUTED_VALUE"""),"")</f>
        <v/>
      </c>
      <c r="B500" t="str">
        <f>IFERROR(__xludf.DUMMYFUNCTION("""COMPUTED_VALUE"""),"")</f>
        <v/>
      </c>
      <c r="C500" t="str">
        <f>IFERROR(__xludf.DUMMYFUNCTION("""COMPUTED_VALUE"""),"")</f>
        <v/>
      </c>
      <c r="D500" t="str">
        <f>IFERROR(__xludf.DUMMYFUNCTION("""COMPUTED_VALUE"""),"")</f>
        <v/>
      </c>
      <c r="E500" t="str">
        <f>IFERROR(__xludf.DUMMYFUNCTION("""COMPUTED_VALUE"""),"")</f>
        <v/>
      </c>
      <c r="F500" t="str">
        <f>IFERROR(__xludf.DUMMYFUNCTION("""COMPUTED_VALUE"""),"")</f>
        <v/>
      </c>
      <c r="G500" t="str">
        <f>IFERROR(__xludf.DUMMYFUNCTION("""COMPUTED_VALUE"""),"")</f>
        <v/>
      </c>
      <c r="H500" t="str">
        <f>IFERROR(__xludf.DUMMYFUNCTION("""COMPUTED_VALUE"""),"")</f>
        <v/>
      </c>
      <c r="I500" t="str">
        <f>IFERROR(__xludf.DUMMYFUNCTION("""COMPUTED_VALUE"""),"")</f>
        <v/>
      </c>
      <c r="J500" t="str">
        <f>IFERROR(__xludf.DUMMYFUNCTION("""COMPUTED_VALUE"""),"")</f>
        <v/>
      </c>
      <c r="K500" t="str">
        <f>IFERROR(__xludf.DUMMYFUNCTION("""COMPUTED_VALUE"""),"")</f>
        <v/>
      </c>
      <c r="L500" t="str">
        <f>IFERROR(__xludf.DUMMYFUNCTION("""COMPUTED_VALUE"""),"")</f>
        <v/>
      </c>
    </row>
    <row r="501" ht="15.75" customHeight="1">
      <c r="A501" t="str">
        <f>IFERROR(__xludf.DUMMYFUNCTION("""COMPUTED_VALUE"""),"")</f>
        <v/>
      </c>
      <c r="B501" t="str">
        <f>IFERROR(__xludf.DUMMYFUNCTION("""COMPUTED_VALUE"""),"")</f>
        <v/>
      </c>
      <c r="C501" t="str">
        <f>IFERROR(__xludf.DUMMYFUNCTION("""COMPUTED_VALUE"""),"")</f>
        <v/>
      </c>
      <c r="D501" t="str">
        <f>IFERROR(__xludf.DUMMYFUNCTION("""COMPUTED_VALUE"""),"")</f>
        <v/>
      </c>
      <c r="E501" t="str">
        <f>IFERROR(__xludf.DUMMYFUNCTION("""COMPUTED_VALUE"""),"")</f>
        <v/>
      </c>
      <c r="F501" t="str">
        <f>IFERROR(__xludf.DUMMYFUNCTION("""COMPUTED_VALUE"""),"")</f>
        <v/>
      </c>
      <c r="G501" t="str">
        <f>IFERROR(__xludf.DUMMYFUNCTION("""COMPUTED_VALUE"""),"")</f>
        <v/>
      </c>
      <c r="H501" t="str">
        <f>IFERROR(__xludf.DUMMYFUNCTION("""COMPUTED_VALUE"""),"")</f>
        <v/>
      </c>
      <c r="I501" t="str">
        <f>IFERROR(__xludf.DUMMYFUNCTION("""COMPUTED_VALUE"""),"")</f>
        <v/>
      </c>
      <c r="J501" t="str">
        <f>IFERROR(__xludf.DUMMYFUNCTION("""COMPUTED_VALUE"""),"")</f>
        <v/>
      </c>
      <c r="K501" t="str">
        <f>IFERROR(__xludf.DUMMYFUNCTION("""COMPUTED_VALUE"""),"")</f>
        <v/>
      </c>
      <c r="L501" t="str">
        <f>IFERROR(__xludf.DUMMYFUNCTION("""COMPUTED_VALUE"""),"")</f>
        <v/>
      </c>
    </row>
    <row r="502" ht="15.75" customHeight="1">
      <c r="A502" t="str">
        <f>IFERROR(__xludf.DUMMYFUNCTION("""COMPUTED_VALUE"""),"")</f>
        <v/>
      </c>
      <c r="B502" t="str">
        <f>IFERROR(__xludf.DUMMYFUNCTION("""COMPUTED_VALUE"""),"")</f>
        <v/>
      </c>
      <c r="C502" t="str">
        <f>IFERROR(__xludf.DUMMYFUNCTION("""COMPUTED_VALUE"""),"")</f>
        <v/>
      </c>
      <c r="D502" t="str">
        <f>IFERROR(__xludf.DUMMYFUNCTION("""COMPUTED_VALUE"""),"")</f>
        <v/>
      </c>
      <c r="E502" t="str">
        <f>IFERROR(__xludf.DUMMYFUNCTION("""COMPUTED_VALUE"""),"")</f>
        <v/>
      </c>
      <c r="F502" t="str">
        <f>IFERROR(__xludf.DUMMYFUNCTION("""COMPUTED_VALUE"""),"")</f>
        <v/>
      </c>
      <c r="G502" t="str">
        <f>IFERROR(__xludf.DUMMYFUNCTION("""COMPUTED_VALUE"""),"")</f>
        <v/>
      </c>
      <c r="H502" t="str">
        <f>IFERROR(__xludf.DUMMYFUNCTION("""COMPUTED_VALUE"""),"")</f>
        <v/>
      </c>
      <c r="I502" t="str">
        <f>IFERROR(__xludf.DUMMYFUNCTION("""COMPUTED_VALUE"""),"")</f>
        <v/>
      </c>
      <c r="J502" t="str">
        <f>IFERROR(__xludf.DUMMYFUNCTION("""COMPUTED_VALUE"""),"")</f>
        <v/>
      </c>
      <c r="K502" t="str">
        <f>IFERROR(__xludf.DUMMYFUNCTION("""COMPUTED_VALUE"""),"")</f>
        <v/>
      </c>
      <c r="L502" t="str">
        <f>IFERROR(__xludf.DUMMYFUNCTION("""COMPUTED_VALUE"""),"")</f>
        <v/>
      </c>
    </row>
    <row r="503" ht="15.75" customHeight="1">
      <c r="A503" t="str">
        <f>IFERROR(__xludf.DUMMYFUNCTION("""COMPUTED_VALUE"""),"")</f>
        <v/>
      </c>
      <c r="B503" t="str">
        <f>IFERROR(__xludf.DUMMYFUNCTION("""COMPUTED_VALUE"""),"")</f>
        <v/>
      </c>
      <c r="C503" t="str">
        <f>IFERROR(__xludf.DUMMYFUNCTION("""COMPUTED_VALUE"""),"")</f>
        <v/>
      </c>
      <c r="D503" t="str">
        <f>IFERROR(__xludf.DUMMYFUNCTION("""COMPUTED_VALUE"""),"")</f>
        <v/>
      </c>
      <c r="E503" t="str">
        <f>IFERROR(__xludf.DUMMYFUNCTION("""COMPUTED_VALUE"""),"")</f>
        <v/>
      </c>
      <c r="F503" t="str">
        <f>IFERROR(__xludf.DUMMYFUNCTION("""COMPUTED_VALUE"""),"")</f>
        <v/>
      </c>
      <c r="G503" t="str">
        <f>IFERROR(__xludf.DUMMYFUNCTION("""COMPUTED_VALUE"""),"")</f>
        <v/>
      </c>
      <c r="H503" t="str">
        <f>IFERROR(__xludf.DUMMYFUNCTION("""COMPUTED_VALUE"""),"")</f>
        <v/>
      </c>
      <c r="I503" t="str">
        <f>IFERROR(__xludf.DUMMYFUNCTION("""COMPUTED_VALUE"""),"")</f>
        <v/>
      </c>
      <c r="J503" t="str">
        <f>IFERROR(__xludf.DUMMYFUNCTION("""COMPUTED_VALUE"""),"")</f>
        <v/>
      </c>
      <c r="K503" t="str">
        <f>IFERROR(__xludf.DUMMYFUNCTION("""COMPUTED_VALUE"""),"")</f>
        <v/>
      </c>
      <c r="L503" t="str">
        <f>IFERROR(__xludf.DUMMYFUNCTION("""COMPUTED_VALUE"""),"")</f>
        <v/>
      </c>
    </row>
    <row r="504" ht="15.75" customHeight="1">
      <c r="A504" t="str">
        <f>IFERROR(__xludf.DUMMYFUNCTION("""COMPUTED_VALUE"""),"")</f>
        <v/>
      </c>
      <c r="B504" t="str">
        <f>IFERROR(__xludf.DUMMYFUNCTION("""COMPUTED_VALUE"""),"")</f>
        <v/>
      </c>
      <c r="C504" t="str">
        <f>IFERROR(__xludf.DUMMYFUNCTION("""COMPUTED_VALUE"""),"")</f>
        <v/>
      </c>
      <c r="D504" t="str">
        <f>IFERROR(__xludf.DUMMYFUNCTION("""COMPUTED_VALUE"""),"")</f>
        <v/>
      </c>
      <c r="E504" t="str">
        <f>IFERROR(__xludf.DUMMYFUNCTION("""COMPUTED_VALUE"""),"")</f>
        <v/>
      </c>
      <c r="F504" t="str">
        <f>IFERROR(__xludf.DUMMYFUNCTION("""COMPUTED_VALUE"""),"")</f>
        <v/>
      </c>
      <c r="G504" t="str">
        <f>IFERROR(__xludf.DUMMYFUNCTION("""COMPUTED_VALUE"""),"")</f>
        <v/>
      </c>
      <c r="H504" t="str">
        <f>IFERROR(__xludf.DUMMYFUNCTION("""COMPUTED_VALUE"""),"")</f>
        <v/>
      </c>
      <c r="I504" t="str">
        <f>IFERROR(__xludf.DUMMYFUNCTION("""COMPUTED_VALUE"""),"")</f>
        <v/>
      </c>
      <c r="J504" t="str">
        <f>IFERROR(__xludf.DUMMYFUNCTION("""COMPUTED_VALUE"""),"")</f>
        <v/>
      </c>
      <c r="K504" t="str">
        <f>IFERROR(__xludf.DUMMYFUNCTION("""COMPUTED_VALUE"""),"")</f>
        <v/>
      </c>
      <c r="L504" t="str">
        <f>IFERROR(__xludf.DUMMYFUNCTION("""COMPUTED_VALUE"""),"")</f>
        <v/>
      </c>
    </row>
    <row r="505" ht="15.75" customHeight="1">
      <c r="A505" t="str">
        <f>IFERROR(__xludf.DUMMYFUNCTION("""COMPUTED_VALUE"""),"")</f>
        <v/>
      </c>
      <c r="B505" t="str">
        <f>IFERROR(__xludf.DUMMYFUNCTION("""COMPUTED_VALUE"""),"")</f>
        <v/>
      </c>
      <c r="C505" t="str">
        <f>IFERROR(__xludf.DUMMYFUNCTION("""COMPUTED_VALUE"""),"")</f>
        <v/>
      </c>
      <c r="D505" t="str">
        <f>IFERROR(__xludf.DUMMYFUNCTION("""COMPUTED_VALUE"""),"")</f>
        <v/>
      </c>
      <c r="E505" t="str">
        <f>IFERROR(__xludf.DUMMYFUNCTION("""COMPUTED_VALUE"""),"")</f>
        <v/>
      </c>
      <c r="F505" t="str">
        <f>IFERROR(__xludf.DUMMYFUNCTION("""COMPUTED_VALUE"""),"")</f>
        <v/>
      </c>
      <c r="G505" t="str">
        <f>IFERROR(__xludf.DUMMYFUNCTION("""COMPUTED_VALUE"""),"")</f>
        <v/>
      </c>
      <c r="H505" t="str">
        <f>IFERROR(__xludf.DUMMYFUNCTION("""COMPUTED_VALUE"""),"")</f>
        <v/>
      </c>
      <c r="I505" t="str">
        <f>IFERROR(__xludf.DUMMYFUNCTION("""COMPUTED_VALUE"""),"")</f>
        <v/>
      </c>
      <c r="J505" t="str">
        <f>IFERROR(__xludf.DUMMYFUNCTION("""COMPUTED_VALUE"""),"")</f>
        <v/>
      </c>
      <c r="K505" t="str">
        <f>IFERROR(__xludf.DUMMYFUNCTION("""COMPUTED_VALUE"""),"")</f>
        <v/>
      </c>
      <c r="L505" t="str">
        <f>IFERROR(__xludf.DUMMYFUNCTION("""COMPUTED_VALUE"""),"")</f>
        <v/>
      </c>
    </row>
    <row r="506" ht="15.75" customHeight="1">
      <c r="A506" t="str">
        <f>IFERROR(__xludf.DUMMYFUNCTION("""COMPUTED_VALUE"""),"")</f>
        <v/>
      </c>
      <c r="B506" t="str">
        <f>IFERROR(__xludf.DUMMYFUNCTION("""COMPUTED_VALUE"""),"")</f>
        <v/>
      </c>
      <c r="C506" t="str">
        <f>IFERROR(__xludf.DUMMYFUNCTION("""COMPUTED_VALUE"""),"")</f>
        <v/>
      </c>
      <c r="D506" t="str">
        <f>IFERROR(__xludf.DUMMYFUNCTION("""COMPUTED_VALUE"""),"")</f>
        <v/>
      </c>
      <c r="E506" t="str">
        <f>IFERROR(__xludf.DUMMYFUNCTION("""COMPUTED_VALUE"""),"")</f>
        <v/>
      </c>
      <c r="F506" t="str">
        <f>IFERROR(__xludf.DUMMYFUNCTION("""COMPUTED_VALUE"""),"")</f>
        <v/>
      </c>
      <c r="G506" t="str">
        <f>IFERROR(__xludf.DUMMYFUNCTION("""COMPUTED_VALUE"""),"")</f>
        <v/>
      </c>
      <c r="H506" t="str">
        <f>IFERROR(__xludf.DUMMYFUNCTION("""COMPUTED_VALUE"""),"")</f>
        <v/>
      </c>
      <c r="I506" t="str">
        <f>IFERROR(__xludf.DUMMYFUNCTION("""COMPUTED_VALUE"""),"")</f>
        <v/>
      </c>
      <c r="J506" t="str">
        <f>IFERROR(__xludf.DUMMYFUNCTION("""COMPUTED_VALUE"""),"")</f>
        <v/>
      </c>
      <c r="K506" t="str">
        <f>IFERROR(__xludf.DUMMYFUNCTION("""COMPUTED_VALUE"""),"")</f>
        <v/>
      </c>
      <c r="L506" t="str">
        <f>IFERROR(__xludf.DUMMYFUNCTION("""COMPUTED_VALUE"""),"")</f>
        <v/>
      </c>
    </row>
    <row r="507" ht="15.75" customHeight="1">
      <c r="A507" t="str">
        <f>IFERROR(__xludf.DUMMYFUNCTION("""COMPUTED_VALUE"""),"")</f>
        <v/>
      </c>
      <c r="B507" t="str">
        <f>IFERROR(__xludf.DUMMYFUNCTION("""COMPUTED_VALUE"""),"")</f>
        <v/>
      </c>
      <c r="C507" t="str">
        <f>IFERROR(__xludf.DUMMYFUNCTION("""COMPUTED_VALUE"""),"")</f>
        <v/>
      </c>
      <c r="D507" t="str">
        <f>IFERROR(__xludf.DUMMYFUNCTION("""COMPUTED_VALUE"""),"")</f>
        <v/>
      </c>
      <c r="E507" t="str">
        <f>IFERROR(__xludf.DUMMYFUNCTION("""COMPUTED_VALUE"""),"")</f>
        <v/>
      </c>
      <c r="F507" t="str">
        <f>IFERROR(__xludf.DUMMYFUNCTION("""COMPUTED_VALUE"""),"")</f>
        <v/>
      </c>
      <c r="G507" t="str">
        <f>IFERROR(__xludf.DUMMYFUNCTION("""COMPUTED_VALUE"""),"")</f>
        <v/>
      </c>
      <c r="H507" t="str">
        <f>IFERROR(__xludf.DUMMYFUNCTION("""COMPUTED_VALUE"""),"")</f>
        <v/>
      </c>
      <c r="I507" t="str">
        <f>IFERROR(__xludf.DUMMYFUNCTION("""COMPUTED_VALUE"""),"")</f>
        <v/>
      </c>
      <c r="J507" t="str">
        <f>IFERROR(__xludf.DUMMYFUNCTION("""COMPUTED_VALUE"""),"")</f>
        <v/>
      </c>
      <c r="K507" t="str">
        <f>IFERROR(__xludf.DUMMYFUNCTION("""COMPUTED_VALUE"""),"")</f>
        <v/>
      </c>
      <c r="L507" t="str">
        <f>IFERROR(__xludf.DUMMYFUNCTION("""COMPUTED_VALUE"""),"")</f>
        <v/>
      </c>
    </row>
    <row r="508" ht="15.75" customHeight="1">
      <c r="A508" t="str">
        <f>IFERROR(__xludf.DUMMYFUNCTION("""COMPUTED_VALUE"""),"")</f>
        <v/>
      </c>
      <c r="B508" t="str">
        <f>IFERROR(__xludf.DUMMYFUNCTION("""COMPUTED_VALUE"""),"")</f>
        <v/>
      </c>
      <c r="C508" t="str">
        <f>IFERROR(__xludf.DUMMYFUNCTION("""COMPUTED_VALUE"""),"")</f>
        <v/>
      </c>
      <c r="D508" t="str">
        <f>IFERROR(__xludf.DUMMYFUNCTION("""COMPUTED_VALUE"""),"")</f>
        <v/>
      </c>
      <c r="E508" t="str">
        <f>IFERROR(__xludf.DUMMYFUNCTION("""COMPUTED_VALUE"""),"")</f>
        <v/>
      </c>
      <c r="F508" t="str">
        <f>IFERROR(__xludf.DUMMYFUNCTION("""COMPUTED_VALUE"""),"")</f>
        <v/>
      </c>
      <c r="G508" t="str">
        <f>IFERROR(__xludf.DUMMYFUNCTION("""COMPUTED_VALUE"""),"")</f>
        <v/>
      </c>
      <c r="H508" t="str">
        <f>IFERROR(__xludf.DUMMYFUNCTION("""COMPUTED_VALUE"""),"")</f>
        <v/>
      </c>
      <c r="I508" t="str">
        <f>IFERROR(__xludf.DUMMYFUNCTION("""COMPUTED_VALUE"""),"")</f>
        <v/>
      </c>
      <c r="J508" t="str">
        <f>IFERROR(__xludf.DUMMYFUNCTION("""COMPUTED_VALUE"""),"")</f>
        <v/>
      </c>
      <c r="K508" t="str">
        <f>IFERROR(__xludf.DUMMYFUNCTION("""COMPUTED_VALUE"""),"")</f>
        <v/>
      </c>
      <c r="L508" t="str">
        <f>IFERROR(__xludf.DUMMYFUNCTION("""COMPUTED_VALUE"""),"")</f>
        <v/>
      </c>
    </row>
    <row r="509" ht="15.75" customHeight="1">
      <c r="A509" t="str">
        <f>IFERROR(__xludf.DUMMYFUNCTION("""COMPUTED_VALUE"""),"")</f>
        <v/>
      </c>
      <c r="B509" t="str">
        <f>IFERROR(__xludf.DUMMYFUNCTION("""COMPUTED_VALUE"""),"")</f>
        <v/>
      </c>
      <c r="C509" t="str">
        <f>IFERROR(__xludf.DUMMYFUNCTION("""COMPUTED_VALUE"""),"")</f>
        <v/>
      </c>
      <c r="D509" t="str">
        <f>IFERROR(__xludf.DUMMYFUNCTION("""COMPUTED_VALUE"""),"")</f>
        <v/>
      </c>
      <c r="E509" t="str">
        <f>IFERROR(__xludf.DUMMYFUNCTION("""COMPUTED_VALUE"""),"")</f>
        <v/>
      </c>
      <c r="F509" t="str">
        <f>IFERROR(__xludf.DUMMYFUNCTION("""COMPUTED_VALUE"""),"")</f>
        <v/>
      </c>
      <c r="G509" t="str">
        <f>IFERROR(__xludf.DUMMYFUNCTION("""COMPUTED_VALUE"""),"")</f>
        <v/>
      </c>
      <c r="H509" t="str">
        <f>IFERROR(__xludf.DUMMYFUNCTION("""COMPUTED_VALUE"""),"")</f>
        <v/>
      </c>
      <c r="I509" t="str">
        <f>IFERROR(__xludf.DUMMYFUNCTION("""COMPUTED_VALUE"""),"")</f>
        <v/>
      </c>
      <c r="J509" t="str">
        <f>IFERROR(__xludf.DUMMYFUNCTION("""COMPUTED_VALUE"""),"")</f>
        <v/>
      </c>
      <c r="K509" t="str">
        <f>IFERROR(__xludf.DUMMYFUNCTION("""COMPUTED_VALUE"""),"")</f>
        <v/>
      </c>
      <c r="L509" t="str">
        <f>IFERROR(__xludf.DUMMYFUNCTION("""COMPUTED_VALUE"""),"")</f>
        <v/>
      </c>
    </row>
    <row r="510" ht="15.75" customHeight="1">
      <c r="A510" t="str">
        <f>IFERROR(__xludf.DUMMYFUNCTION("""COMPUTED_VALUE"""),"")</f>
        <v/>
      </c>
      <c r="B510" t="str">
        <f>IFERROR(__xludf.DUMMYFUNCTION("""COMPUTED_VALUE"""),"")</f>
        <v/>
      </c>
      <c r="C510" t="str">
        <f>IFERROR(__xludf.DUMMYFUNCTION("""COMPUTED_VALUE"""),"")</f>
        <v/>
      </c>
      <c r="D510" t="str">
        <f>IFERROR(__xludf.DUMMYFUNCTION("""COMPUTED_VALUE"""),"")</f>
        <v/>
      </c>
      <c r="E510" t="str">
        <f>IFERROR(__xludf.DUMMYFUNCTION("""COMPUTED_VALUE"""),"")</f>
        <v/>
      </c>
      <c r="F510" t="str">
        <f>IFERROR(__xludf.DUMMYFUNCTION("""COMPUTED_VALUE"""),"")</f>
        <v/>
      </c>
      <c r="G510" t="str">
        <f>IFERROR(__xludf.DUMMYFUNCTION("""COMPUTED_VALUE"""),"")</f>
        <v/>
      </c>
      <c r="H510" t="str">
        <f>IFERROR(__xludf.DUMMYFUNCTION("""COMPUTED_VALUE"""),"")</f>
        <v/>
      </c>
      <c r="I510" t="str">
        <f>IFERROR(__xludf.DUMMYFUNCTION("""COMPUTED_VALUE"""),"")</f>
        <v/>
      </c>
      <c r="J510" t="str">
        <f>IFERROR(__xludf.DUMMYFUNCTION("""COMPUTED_VALUE"""),"")</f>
        <v/>
      </c>
      <c r="K510" t="str">
        <f>IFERROR(__xludf.DUMMYFUNCTION("""COMPUTED_VALUE"""),"")</f>
        <v/>
      </c>
      <c r="L510" t="str">
        <f>IFERROR(__xludf.DUMMYFUNCTION("""COMPUTED_VALUE"""),"")</f>
        <v/>
      </c>
    </row>
    <row r="511" ht="15.75" customHeight="1">
      <c r="A511" t="str">
        <f>IFERROR(__xludf.DUMMYFUNCTION("""COMPUTED_VALUE"""),"")</f>
        <v/>
      </c>
      <c r="B511" t="str">
        <f>IFERROR(__xludf.DUMMYFUNCTION("""COMPUTED_VALUE"""),"")</f>
        <v/>
      </c>
      <c r="C511" t="str">
        <f>IFERROR(__xludf.DUMMYFUNCTION("""COMPUTED_VALUE"""),"")</f>
        <v/>
      </c>
      <c r="D511" t="str">
        <f>IFERROR(__xludf.DUMMYFUNCTION("""COMPUTED_VALUE"""),"")</f>
        <v/>
      </c>
      <c r="E511" t="str">
        <f>IFERROR(__xludf.DUMMYFUNCTION("""COMPUTED_VALUE"""),"")</f>
        <v/>
      </c>
      <c r="F511" t="str">
        <f>IFERROR(__xludf.DUMMYFUNCTION("""COMPUTED_VALUE"""),"")</f>
        <v/>
      </c>
      <c r="G511" t="str">
        <f>IFERROR(__xludf.DUMMYFUNCTION("""COMPUTED_VALUE"""),"")</f>
        <v/>
      </c>
      <c r="H511" t="str">
        <f>IFERROR(__xludf.DUMMYFUNCTION("""COMPUTED_VALUE"""),"")</f>
        <v/>
      </c>
      <c r="I511" t="str">
        <f>IFERROR(__xludf.DUMMYFUNCTION("""COMPUTED_VALUE"""),"")</f>
        <v/>
      </c>
      <c r="J511" t="str">
        <f>IFERROR(__xludf.DUMMYFUNCTION("""COMPUTED_VALUE"""),"")</f>
        <v/>
      </c>
      <c r="K511" t="str">
        <f>IFERROR(__xludf.DUMMYFUNCTION("""COMPUTED_VALUE"""),"")</f>
        <v/>
      </c>
      <c r="L511" t="str">
        <f>IFERROR(__xludf.DUMMYFUNCTION("""COMPUTED_VALUE"""),"")</f>
        <v/>
      </c>
    </row>
    <row r="512" ht="15.75" customHeight="1">
      <c r="A512" t="str">
        <f>IFERROR(__xludf.DUMMYFUNCTION("""COMPUTED_VALUE"""),"")</f>
        <v/>
      </c>
      <c r="B512" t="str">
        <f>IFERROR(__xludf.DUMMYFUNCTION("""COMPUTED_VALUE"""),"")</f>
        <v/>
      </c>
      <c r="C512" t="str">
        <f>IFERROR(__xludf.DUMMYFUNCTION("""COMPUTED_VALUE"""),"")</f>
        <v/>
      </c>
      <c r="D512" t="str">
        <f>IFERROR(__xludf.DUMMYFUNCTION("""COMPUTED_VALUE"""),"")</f>
        <v/>
      </c>
      <c r="E512" t="str">
        <f>IFERROR(__xludf.DUMMYFUNCTION("""COMPUTED_VALUE"""),"")</f>
        <v/>
      </c>
      <c r="F512" t="str">
        <f>IFERROR(__xludf.DUMMYFUNCTION("""COMPUTED_VALUE"""),"")</f>
        <v/>
      </c>
      <c r="G512" t="str">
        <f>IFERROR(__xludf.DUMMYFUNCTION("""COMPUTED_VALUE"""),"")</f>
        <v/>
      </c>
      <c r="H512" t="str">
        <f>IFERROR(__xludf.DUMMYFUNCTION("""COMPUTED_VALUE"""),"")</f>
        <v/>
      </c>
      <c r="I512" t="str">
        <f>IFERROR(__xludf.DUMMYFUNCTION("""COMPUTED_VALUE"""),"")</f>
        <v/>
      </c>
      <c r="J512" t="str">
        <f>IFERROR(__xludf.DUMMYFUNCTION("""COMPUTED_VALUE"""),"")</f>
        <v/>
      </c>
      <c r="K512" t="str">
        <f>IFERROR(__xludf.DUMMYFUNCTION("""COMPUTED_VALUE"""),"")</f>
        <v/>
      </c>
      <c r="L512" t="str">
        <f>IFERROR(__xludf.DUMMYFUNCTION("""COMPUTED_VALUE"""),"")</f>
        <v/>
      </c>
    </row>
    <row r="513" ht="15.75" customHeight="1">
      <c r="A513" t="str">
        <f>IFERROR(__xludf.DUMMYFUNCTION("""COMPUTED_VALUE"""),"")</f>
        <v/>
      </c>
      <c r="B513" t="str">
        <f>IFERROR(__xludf.DUMMYFUNCTION("""COMPUTED_VALUE"""),"")</f>
        <v/>
      </c>
      <c r="C513" t="str">
        <f>IFERROR(__xludf.DUMMYFUNCTION("""COMPUTED_VALUE"""),"")</f>
        <v/>
      </c>
      <c r="D513" t="str">
        <f>IFERROR(__xludf.DUMMYFUNCTION("""COMPUTED_VALUE"""),"")</f>
        <v/>
      </c>
      <c r="E513" t="str">
        <f>IFERROR(__xludf.DUMMYFUNCTION("""COMPUTED_VALUE"""),"")</f>
        <v/>
      </c>
      <c r="F513" t="str">
        <f>IFERROR(__xludf.DUMMYFUNCTION("""COMPUTED_VALUE"""),"")</f>
        <v/>
      </c>
      <c r="G513" t="str">
        <f>IFERROR(__xludf.DUMMYFUNCTION("""COMPUTED_VALUE"""),"")</f>
        <v/>
      </c>
      <c r="H513" t="str">
        <f>IFERROR(__xludf.DUMMYFUNCTION("""COMPUTED_VALUE"""),"")</f>
        <v/>
      </c>
      <c r="I513" t="str">
        <f>IFERROR(__xludf.DUMMYFUNCTION("""COMPUTED_VALUE"""),"")</f>
        <v/>
      </c>
      <c r="J513" t="str">
        <f>IFERROR(__xludf.DUMMYFUNCTION("""COMPUTED_VALUE"""),"")</f>
        <v/>
      </c>
      <c r="K513" t="str">
        <f>IFERROR(__xludf.DUMMYFUNCTION("""COMPUTED_VALUE"""),"")</f>
        <v/>
      </c>
      <c r="L513" t="str">
        <f>IFERROR(__xludf.DUMMYFUNCTION("""COMPUTED_VALUE"""),"")</f>
        <v/>
      </c>
    </row>
    <row r="514" ht="15.75" customHeight="1">
      <c r="A514" t="str">
        <f>IFERROR(__xludf.DUMMYFUNCTION("""COMPUTED_VALUE"""),"")</f>
        <v/>
      </c>
      <c r="B514" t="str">
        <f>IFERROR(__xludf.DUMMYFUNCTION("""COMPUTED_VALUE"""),"")</f>
        <v/>
      </c>
      <c r="C514" t="str">
        <f>IFERROR(__xludf.DUMMYFUNCTION("""COMPUTED_VALUE"""),"")</f>
        <v/>
      </c>
      <c r="D514" t="str">
        <f>IFERROR(__xludf.DUMMYFUNCTION("""COMPUTED_VALUE"""),"")</f>
        <v/>
      </c>
      <c r="E514" t="str">
        <f>IFERROR(__xludf.DUMMYFUNCTION("""COMPUTED_VALUE"""),"")</f>
        <v/>
      </c>
      <c r="F514" t="str">
        <f>IFERROR(__xludf.DUMMYFUNCTION("""COMPUTED_VALUE"""),"")</f>
        <v/>
      </c>
      <c r="G514" t="str">
        <f>IFERROR(__xludf.DUMMYFUNCTION("""COMPUTED_VALUE"""),"")</f>
        <v/>
      </c>
      <c r="H514" t="str">
        <f>IFERROR(__xludf.DUMMYFUNCTION("""COMPUTED_VALUE"""),"")</f>
        <v/>
      </c>
      <c r="I514" t="str">
        <f>IFERROR(__xludf.DUMMYFUNCTION("""COMPUTED_VALUE"""),"")</f>
        <v/>
      </c>
      <c r="J514" t="str">
        <f>IFERROR(__xludf.DUMMYFUNCTION("""COMPUTED_VALUE"""),"")</f>
        <v/>
      </c>
      <c r="K514" t="str">
        <f>IFERROR(__xludf.DUMMYFUNCTION("""COMPUTED_VALUE"""),"")</f>
        <v/>
      </c>
      <c r="L514" t="str">
        <f>IFERROR(__xludf.DUMMYFUNCTION("""COMPUTED_VALUE"""),"")</f>
        <v/>
      </c>
    </row>
    <row r="515" ht="15.75" customHeight="1">
      <c r="A515" t="str">
        <f>IFERROR(__xludf.DUMMYFUNCTION("""COMPUTED_VALUE"""),"")</f>
        <v/>
      </c>
      <c r="B515" t="str">
        <f>IFERROR(__xludf.DUMMYFUNCTION("""COMPUTED_VALUE"""),"")</f>
        <v/>
      </c>
      <c r="C515" t="str">
        <f>IFERROR(__xludf.DUMMYFUNCTION("""COMPUTED_VALUE"""),"")</f>
        <v/>
      </c>
      <c r="D515" t="str">
        <f>IFERROR(__xludf.DUMMYFUNCTION("""COMPUTED_VALUE"""),"")</f>
        <v/>
      </c>
      <c r="E515" t="str">
        <f>IFERROR(__xludf.DUMMYFUNCTION("""COMPUTED_VALUE"""),"")</f>
        <v/>
      </c>
      <c r="F515" t="str">
        <f>IFERROR(__xludf.DUMMYFUNCTION("""COMPUTED_VALUE"""),"")</f>
        <v/>
      </c>
      <c r="G515" t="str">
        <f>IFERROR(__xludf.DUMMYFUNCTION("""COMPUTED_VALUE"""),"")</f>
        <v/>
      </c>
      <c r="H515" t="str">
        <f>IFERROR(__xludf.DUMMYFUNCTION("""COMPUTED_VALUE"""),"")</f>
        <v/>
      </c>
      <c r="I515" t="str">
        <f>IFERROR(__xludf.DUMMYFUNCTION("""COMPUTED_VALUE"""),"")</f>
        <v/>
      </c>
      <c r="J515" t="str">
        <f>IFERROR(__xludf.DUMMYFUNCTION("""COMPUTED_VALUE"""),"")</f>
        <v/>
      </c>
      <c r="K515" t="str">
        <f>IFERROR(__xludf.DUMMYFUNCTION("""COMPUTED_VALUE"""),"")</f>
        <v/>
      </c>
      <c r="L515" t="str">
        <f>IFERROR(__xludf.DUMMYFUNCTION("""COMPUTED_VALUE"""),"")</f>
        <v/>
      </c>
    </row>
    <row r="516" ht="15.75" customHeight="1">
      <c r="A516" t="str">
        <f>IFERROR(__xludf.DUMMYFUNCTION("""COMPUTED_VALUE"""),"")</f>
        <v/>
      </c>
      <c r="B516" t="str">
        <f>IFERROR(__xludf.DUMMYFUNCTION("""COMPUTED_VALUE"""),"")</f>
        <v/>
      </c>
      <c r="C516" t="str">
        <f>IFERROR(__xludf.DUMMYFUNCTION("""COMPUTED_VALUE"""),"")</f>
        <v/>
      </c>
      <c r="D516" t="str">
        <f>IFERROR(__xludf.DUMMYFUNCTION("""COMPUTED_VALUE"""),"")</f>
        <v/>
      </c>
      <c r="E516" t="str">
        <f>IFERROR(__xludf.DUMMYFUNCTION("""COMPUTED_VALUE"""),"")</f>
        <v/>
      </c>
      <c r="F516" t="str">
        <f>IFERROR(__xludf.DUMMYFUNCTION("""COMPUTED_VALUE"""),"")</f>
        <v/>
      </c>
      <c r="G516" t="str">
        <f>IFERROR(__xludf.DUMMYFUNCTION("""COMPUTED_VALUE"""),"")</f>
        <v/>
      </c>
      <c r="H516" t="str">
        <f>IFERROR(__xludf.DUMMYFUNCTION("""COMPUTED_VALUE"""),"")</f>
        <v/>
      </c>
      <c r="I516" t="str">
        <f>IFERROR(__xludf.DUMMYFUNCTION("""COMPUTED_VALUE"""),"")</f>
        <v/>
      </c>
      <c r="J516" t="str">
        <f>IFERROR(__xludf.DUMMYFUNCTION("""COMPUTED_VALUE"""),"")</f>
        <v/>
      </c>
      <c r="K516" t="str">
        <f>IFERROR(__xludf.DUMMYFUNCTION("""COMPUTED_VALUE"""),"")</f>
        <v/>
      </c>
      <c r="L516" t="str">
        <f>IFERROR(__xludf.DUMMYFUNCTION("""COMPUTED_VALUE"""),"")</f>
        <v/>
      </c>
    </row>
    <row r="517" ht="15.75" customHeight="1">
      <c r="A517" t="str">
        <f>IFERROR(__xludf.DUMMYFUNCTION("""COMPUTED_VALUE"""),"")</f>
        <v/>
      </c>
      <c r="B517" t="str">
        <f>IFERROR(__xludf.DUMMYFUNCTION("""COMPUTED_VALUE"""),"")</f>
        <v/>
      </c>
      <c r="C517" t="str">
        <f>IFERROR(__xludf.DUMMYFUNCTION("""COMPUTED_VALUE"""),"")</f>
        <v/>
      </c>
      <c r="D517" t="str">
        <f>IFERROR(__xludf.DUMMYFUNCTION("""COMPUTED_VALUE"""),"")</f>
        <v/>
      </c>
      <c r="E517" t="str">
        <f>IFERROR(__xludf.DUMMYFUNCTION("""COMPUTED_VALUE"""),"")</f>
        <v/>
      </c>
      <c r="F517" t="str">
        <f>IFERROR(__xludf.DUMMYFUNCTION("""COMPUTED_VALUE"""),"")</f>
        <v/>
      </c>
      <c r="G517" t="str">
        <f>IFERROR(__xludf.DUMMYFUNCTION("""COMPUTED_VALUE"""),"")</f>
        <v/>
      </c>
      <c r="H517" t="str">
        <f>IFERROR(__xludf.DUMMYFUNCTION("""COMPUTED_VALUE"""),"")</f>
        <v/>
      </c>
      <c r="I517" t="str">
        <f>IFERROR(__xludf.DUMMYFUNCTION("""COMPUTED_VALUE"""),"")</f>
        <v/>
      </c>
      <c r="J517" t="str">
        <f>IFERROR(__xludf.DUMMYFUNCTION("""COMPUTED_VALUE"""),"")</f>
        <v/>
      </c>
      <c r="K517" t="str">
        <f>IFERROR(__xludf.DUMMYFUNCTION("""COMPUTED_VALUE"""),"")</f>
        <v/>
      </c>
      <c r="L517" t="str">
        <f>IFERROR(__xludf.DUMMYFUNCTION("""COMPUTED_VALUE"""),"")</f>
        <v/>
      </c>
    </row>
    <row r="518" ht="15.75" customHeight="1">
      <c r="A518" t="str">
        <f>IFERROR(__xludf.DUMMYFUNCTION("""COMPUTED_VALUE"""),"")</f>
        <v/>
      </c>
      <c r="B518" t="str">
        <f>IFERROR(__xludf.DUMMYFUNCTION("""COMPUTED_VALUE"""),"")</f>
        <v/>
      </c>
      <c r="C518" t="str">
        <f>IFERROR(__xludf.DUMMYFUNCTION("""COMPUTED_VALUE"""),"")</f>
        <v/>
      </c>
      <c r="D518" t="str">
        <f>IFERROR(__xludf.DUMMYFUNCTION("""COMPUTED_VALUE"""),"")</f>
        <v/>
      </c>
      <c r="E518" t="str">
        <f>IFERROR(__xludf.DUMMYFUNCTION("""COMPUTED_VALUE"""),"")</f>
        <v/>
      </c>
      <c r="F518" t="str">
        <f>IFERROR(__xludf.DUMMYFUNCTION("""COMPUTED_VALUE"""),"")</f>
        <v/>
      </c>
      <c r="G518" t="str">
        <f>IFERROR(__xludf.DUMMYFUNCTION("""COMPUTED_VALUE"""),"")</f>
        <v/>
      </c>
      <c r="H518" t="str">
        <f>IFERROR(__xludf.DUMMYFUNCTION("""COMPUTED_VALUE"""),"")</f>
        <v/>
      </c>
      <c r="I518" t="str">
        <f>IFERROR(__xludf.DUMMYFUNCTION("""COMPUTED_VALUE"""),"")</f>
        <v/>
      </c>
      <c r="J518" t="str">
        <f>IFERROR(__xludf.DUMMYFUNCTION("""COMPUTED_VALUE"""),"")</f>
        <v/>
      </c>
      <c r="K518" t="str">
        <f>IFERROR(__xludf.DUMMYFUNCTION("""COMPUTED_VALUE"""),"")</f>
        <v/>
      </c>
      <c r="L518" t="str">
        <f>IFERROR(__xludf.DUMMYFUNCTION("""COMPUTED_VALUE"""),"")</f>
        <v/>
      </c>
    </row>
    <row r="519" ht="15.75" customHeight="1">
      <c r="A519" t="str">
        <f>IFERROR(__xludf.DUMMYFUNCTION("""COMPUTED_VALUE"""),"")</f>
        <v/>
      </c>
      <c r="B519" t="str">
        <f>IFERROR(__xludf.DUMMYFUNCTION("""COMPUTED_VALUE"""),"")</f>
        <v/>
      </c>
      <c r="C519" t="str">
        <f>IFERROR(__xludf.DUMMYFUNCTION("""COMPUTED_VALUE"""),"")</f>
        <v/>
      </c>
      <c r="D519" t="str">
        <f>IFERROR(__xludf.DUMMYFUNCTION("""COMPUTED_VALUE"""),"")</f>
        <v/>
      </c>
      <c r="E519" t="str">
        <f>IFERROR(__xludf.DUMMYFUNCTION("""COMPUTED_VALUE"""),"")</f>
        <v/>
      </c>
      <c r="F519" t="str">
        <f>IFERROR(__xludf.DUMMYFUNCTION("""COMPUTED_VALUE"""),"")</f>
        <v/>
      </c>
      <c r="G519" t="str">
        <f>IFERROR(__xludf.DUMMYFUNCTION("""COMPUTED_VALUE"""),"")</f>
        <v/>
      </c>
      <c r="H519" t="str">
        <f>IFERROR(__xludf.DUMMYFUNCTION("""COMPUTED_VALUE"""),"")</f>
        <v/>
      </c>
      <c r="I519" t="str">
        <f>IFERROR(__xludf.DUMMYFUNCTION("""COMPUTED_VALUE"""),"")</f>
        <v/>
      </c>
      <c r="J519" t="str">
        <f>IFERROR(__xludf.DUMMYFUNCTION("""COMPUTED_VALUE"""),"")</f>
        <v/>
      </c>
      <c r="K519" t="str">
        <f>IFERROR(__xludf.DUMMYFUNCTION("""COMPUTED_VALUE"""),"")</f>
        <v/>
      </c>
      <c r="L519" t="str">
        <f>IFERROR(__xludf.DUMMYFUNCTION("""COMPUTED_VALUE"""),"")</f>
        <v/>
      </c>
    </row>
    <row r="520" ht="15.75" customHeight="1">
      <c r="A520" t="str">
        <f>IFERROR(__xludf.DUMMYFUNCTION("""COMPUTED_VALUE"""),"")</f>
        <v/>
      </c>
      <c r="B520" t="str">
        <f>IFERROR(__xludf.DUMMYFUNCTION("""COMPUTED_VALUE"""),"")</f>
        <v/>
      </c>
      <c r="C520" t="str">
        <f>IFERROR(__xludf.DUMMYFUNCTION("""COMPUTED_VALUE"""),"")</f>
        <v/>
      </c>
      <c r="D520" t="str">
        <f>IFERROR(__xludf.DUMMYFUNCTION("""COMPUTED_VALUE"""),"")</f>
        <v/>
      </c>
      <c r="E520" t="str">
        <f>IFERROR(__xludf.DUMMYFUNCTION("""COMPUTED_VALUE"""),"")</f>
        <v/>
      </c>
      <c r="F520" t="str">
        <f>IFERROR(__xludf.DUMMYFUNCTION("""COMPUTED_VALUE"""),"")</f>
        <v/>
      </c>
      <c r="G520" t="str">
        <f>IFERROR(__xludf.DUMMYFUNCTION("""COMPUTED_VALUE"""),"")</f>
        <v/>
      </c>
      <c r="H520" t="str">
        <f>IFERROR(__xludf.DUMMYFUNCTION("""COMPUTED_VALUE"""),"")</f>
        <v/>
      </c>
      <c r="I520" t="str">
        <f>IFERROR(__xludf.DUMMYFUNCTION("""COMPUTED_VALUE"""),"")</f>
        <v/>
      </c>
      <c r="J520" t="str">
        <f>IFERROR(__xludf.DUMMYFUNCTION("""COMPUTED_VALUE"""),"")</f>
        <v/>
      </c>
      <c r="K520" t="str">
        <f>IFERROR(__xludf.DUMMYFUNCTION("""COMPUTED_VALUE"""),"")</f>
        <v/>
      </c>
      <c r="L520" t="str">
        <f>IFERROR(__xludf.DUMMYFUNCTION("""COMPUTED_VALUE"""),"")</f>
        <v/>
      </c>
    </row>
    <row r="521" ht="15.75" customHeight="1">
      <c r="A521" t="str">
        <f>IFERROR(__xludf.DUMMYFUNCTION("""COMPUTED_VALUE"""),"")</f>
        <v/>
      </c>
      <c r="B521" t="str">
        <f>IFERROR(__xludf.DUMMYFUNCTION("""COMPUTED_VALUE"""),"")</f>
        <v/>
      </c>
      <c r="C521" t="str">
        <f>IFERROR(__xludf.DUMMYFUNCTION("""COMPUTED_VALUE"""),"")</f>
        <v/>
      </c>
      <c r="D521" t="str">
        <f>IFERROR(__xludf.DUMMYFUNCTION("""COMPUTED_VALUE"""),"")</f>
        <v/>
      </c>
      <c r="E521" t="str">
        <f>IFERROR(__xludf.DUMMYFUNCTION("""COMPUTED_VALUE"""),"")</f>
        <v/>
      </c>
      <c r="F521" t="str">
        <f>IFERROR(__xludf.DUMMYFUNCTION("""COMPUTED_VALUE"""),"")</f>
        <v/>
      </c>
      <c r="G521" t="str">
        <f>IFERROR(__xludf.DUMMYFUNCTION("""COMPUTED_VALUE"""),"")</f>
        <v/>
      </c>
      <c r="H521" t="str">
        <f>IFERROR(__xludf.DUMMYFUNCTION("""COMPUTED_VALUE"""),"")</f>
        <v/>
      </c>
      <c r="I521" t="str">
        <f>IFERROR(__xludf.DUMMYFUNCTION("""COMPUTED_VALUE"""),"")</f>
        <v/>
      </c>
      <c r="J521" t="str">
        <f>IFERROR(__xludf.DUMMYFUNCTION("""COMPUTED_VALUE"""),"")</f>
        <v/>
      </c>
      <c r="K521" t="str">
        <f>IFERROR(__xludf.DUMMYFUNCTION("""COMPUTED_VALUE"""),"")</f>
        <v/>
      </c>
      <c r="L521" t="str">
        <f>IFERROR(__xludf.DUMMYFUNCTION("""COMPUTED_VALUE"""),"")</f>
        <v/>
      </c>
    </row>
    <row r="522" ht="15.75" customHeight="1">
      <c r="A522" t="str">
        <f>IFERROR(__xludf.DUMMYFUNCTION("""COMPUTED_VALUE"""),"")</f>
        <v/>
      </c>
      <c r="B522" t="str">
        <f>IFERROR(__xludf.DUMMYFUNCTION("""COMPUTED_VALUE"""),"")</f>
        <v/>
      </c>
      <c r="C522" t="str">
        <f>IFERROR(__xludf.DUMMYFUNCTION("""COMPUTED_VALUE"""),"")</f>
        <v/>
      </c>
      <c r="D522" t="str">
        <f>IFERROR(__xludf.DUMMYFUNCTION("""COMPUTED_VALUE"""),"")</f>
        <v/>
      </c>
      <c r="E522" t="str">
        <f>IFERROR(__xludf.DUMMYFUNCTION("""COMPUTED_VALUE"""),"")</f>
        <v/>
      </c>
      <c r="F522" t="str">
        <f>IFERROR(__xludf.DUMMYFUNCTION("""COMPUTED_VALUE"""),"")</f>
        <v/>
      </c>
      <c r="G522" t="str">
        <f>IFERROR(__xludf.DUMMYFUNCTION("""COMPUTED_VALUE"""),"")</f>
        <v/>
      </c>
      <c r="H522" t="str">
        <f>IFERROR(__xludf.DUMMYFUNCTION("""COMPUTED_VALUE"""),"")</f>
        <v/>
      </c>
      <c r="I522" t="str">
        <f>IFERROR(__xludf.DUMMYFUNCTION("""COMPUTED_VALUE"""),"")</f>
        <v/>
      </c>
      <c r="J522" t="str">
        <f>IFERROR(__xludf.DUMMYFUNCTION("""COMPUTED_VALUE"""),"")</f>
        <v/>
      </c>
      <c r="K522" t="str">
        <f>IFERROR(__xludf.DUMMYFUNCTION("""COMPUTED_VALUE"""),"")</f>
        <v/>
      </c>
      <c r="L522" t="str">
        <f>IFERROR(__xludf.DUMMYFUNCTION("""COMPUTED_VALUE"""),"")</f>
        <v/>
      </c>
    </row>
    <row r="523" ht="15.75" customHeight="1">
      <c r="A523" t="str">
        <f>IFERROR(__xludf.DUMMYFUNCTION("""COMPUTED_VALUE"""),"")</f>
        <v/>
      </c>
      <c r="B523" t="str">
        <f>IFERROR(__xludf.DUMMYFUNCTION("""COMPUTED_VALUE"""),"")</f>
        <v/>
      </c>
      <c r="C523" t="str">
        <f>IFERROR(__xludf.DUMMYFUNCTION("""COMPUTED_VALUE"""),"")</f>
        <v/>
      </c>
      <c r="D523" t="str">
        <f>IFERROR(__xludf.DUMMYFUNCTION("""COMPUTED_VALUE"""),"")</f>
        <v/>
      </c>
      <c r="E523" t="str">
        <f>IFERROR(__xludf.DUMMYFUNCTION("""COMPUTED_VALUE"""),"")</f>
        <v/>
      </c>
      <c r="F523" t="str">
        <f>IFERROR(__xludf.DUMMYFUNCTION("""COMPUTED_VALUE"""),"")</f>
        <v/>
      </c>
      <c r="G523" t="str">
        <f>IFERROR(__xludf.DUMMYFUNCTION("""COMPUTED_VALUE"""),"")</f>
        <v/>
      </c>
      <c r="H523" t="str">
        <f>IFERROR(__xludf.DUMMYFUNCTION("""COMPUTED_VALUE"""),"")</f>
        <v/>
      </c>
      <c r="I523" t="str">
        <f>IFERROR(__xludf.DUMMYFUNCTION("""COMPUTED_VALUE"""),"")</f>
        <v/>
      </c>
      <c r="J523" t="str">
        <f>IFERROR(__xludf.DUMMYFUNCTION("""COMPUTED_VALUE"""),"")</f>
        <v/>
      </c>
      <c r="K523" t="str">
        <f>IFERROR(__xludf.DUMMYFUNCTION("""COMPUTED_VALUE"""),"")</f>
        <v/>
      </c>
      <c r="L523" t="str">
        <f>IFERROR(__xludf.DUMMYFUNCTION("""COMPUTED_VALUE"""),"")</f>
        <v/>
      </c>
    </row>
    <row r="524" ht="15.75" customHeight="1">
      <c r="A524" t="str">
        <f>IFERROR(__xludf.DUMMYFUNCTION("""COMPUTED_VALUE"""),"")</f>
        <v/>
      </c>
      <c r="B524" t="str">
        <f>IFERROR(__xludf.DUMMYFUNCTION("""COMPUTED_VALUE"""),"")</f>
        <v/>
      </c>
      <c r="C524" t="str">
        <f>IFERROR(__xludf.DUMMYFUNCTION("""COMPUTED_VALUE"""),"")</f>
        <v/>
      </c>
      <c r="D524" t="str">
        <f>IFERROR(__xludf.DUMMYFUNCTION("""COMPUTED_VALUE"""),"")</f>
        <v/>
      </c>
      <c r="E524" t="str">
        <f>IFERROR(__xludf.DUMMYFUNCTION("""COMPUTED_VALUE"""),"")</f>
        <v/>
      </c>
      <c r="F524" t="str">
        <f>IFERROR(__xludf.DUMMYFUNCTION("""COMPUTED_VALUE"""),"")</f>
        <v/>
      </c>
      <c r="G524" t="str">
        <f>IFERROR(__xludf.DUMMYFUNCTION("""COMPUTED_VALUE"""),"")</f>
        <v/>
      </c>
      <c r="H524" t="str">
        <f>IFERROR(__xludf.DUMMYFUNCTION("""COMPUTED_VALUE"""),"")</f>
        <v/>
      </c>
      <c r="I524" t="str">
        <f>IFERROR(__xludf.DUMMYFUNCTION("""COMPUTED_VALUE"""),"")</f>
        <v/>
      </c>
      <c r="J524" t="str">
        <f>IFERROR(__xludf.DUMMYFUNCTION("""COMPUTED_VALUE"""),"")</f>
        <v/>
      </c>
      <c r="K524" t="str">
        <f>IFERROR(__xludf.DUMMYFUNCTION("""COMPUTED_VALUE"""),"")</f>
        <v/>
      </c>
      <c r="L524" t="str">
        <f>IFERROR(__xludf.DUMMYFUNCTION("""COMPUTED_VALUE"""),"")</f>
        <v/>
      </c>
    </row>
    <row r="525" ht="15.75" customHeight="1">
      <c r="A525" t="str">
        <f>IFERROR(__xludf.DUMMYFUNCTION("""COMPUTED_VALUE"""),"")</f>
        <v/>
      </c>
      <c r="B525" t="str">
        <f>IFERROR(__xludf.DUMMYFUNCTION("""COMPUTED_VALUE"""),"")</f>
        <v/>
      </c>
      <c r="C525" t="str">
        <f>IFERROR(__xludf.DUMMYFUNCTION("""COMPUTED_VALUE"""),"")</f>
        <v/>
      </c>
      <c r="D525" t="str">
        <f>IFERROR(__xludf.DUMMYFUNCTION("""COMPUTED_VALUE"""),"")</f>
        <v/>
      </c>
      <c r="E525" t="str">
        <f>IFERROR(__xludf.DUMMYFUNCTION("""COMPUTED_VALUE"""),"")</f>
        <v/>
      </c>
      <c r="F525" t="str">
        <f>IFERROR(__xludf.DUMMYFUNCTION("""COMPUTED_VALUE"""),"")</f>
        <v/>
      </c>
      <c r="G525" t="str">
        <f>IFERROR(__xludf.DUMMYFUNCTION("""COMPUTED_VALUE"""),"")</f>
        <v/>
      </c>
      <c r="H525" t="str">
        <f>IFERROR(__xludf.DUMMYFUNCTION("""COMPUTED_VALUE"""),"")</f>
        <v/>
      </c>
      <c r="I525" t="str">
        <f>IFERROR(__xludf.DUMMYFUNCTION("""COMPUTED_VALUE"""),"")</f>
        <v/>
      </c>
      <c r="J525" t="str">
        <f>IFERROR(__xludf.DUMMYFUNCTION("""COMPUTED_VALUE"""),"")</f>
        <v/>
      </c>
      <c r="K525" t="str">
        <f>IFERROR(__xludf.DUMMYFUNCTION("""COMPUTED_VALUE"""),"")</f>
        <v/>
      </c>
      <c r="L525" t="str">
        <f>IFERROR(__xludf.DUMMYFUNCTION("""COMPUTED_VALUE"""),"")</f>
        <v/>
      </c>
    </row>
    <row r="526" ht="15.75" customHeight="1">
      <c r="A526" t="str">
        <f>IFERROR(__xludf.DUMMYFUNCTION("""COMPUTED_VALUE"""),"")</f>
        <v/>
      </c>
      <c r="B526" t="str">
        <f>IFERROR(__xludf.DUMMYFUNCTION("""COMPUTED_VALUE"""),"")</f>
        <v/>
      </c>
      <c r="C526" t="str">
        <f>IFERROR(__xludf.DUMMYFUNCTION("""COMPUTED_VALUE"""),"")</f>
        <v/>
      </c>
      <c r="D526" t="str">
        <f>IFERROR(__xludf.DUMMYFUNCTION("""COMPUTED_VALUE"""),"")</f>
        <v/>
      </c>
      <c r="E526" t="str">
        <f>IFERROR(__xludf.DUMMYFUNCTION("""COMPUTED_VALUE"""),"")</f>
        <v/>
      </c>
      <c r="F526" t="str">
        <f>IFERROR(__xludf.DUMMYFUNCTION("""COMPUTED_VALUE"""),"")</f>
        <v/>
      </c>
      <c r="G526" t="str">
        <f>IFERROR(__xludf.DUMMYFUNCTION("""COMPUTED_VALUE"""),"")</f>
        <v/>
      </c>
      <c r="H526" t="str">
        <f>IFERROR(__xludf.DUMMYFUNCTION("""COMPUTED_VALUE"""),"")</f>
        <v/>
      </c>
      <c r="I526" t="str">
        <f>IFERROR(__xludf.DUMMYFUNCTION("""COMPUTED_VALUE"""),"")</f>
        <v/>
      </c>
      <c r="J526" t="str">
        <f>IFERROR(__xludf.DUMMYFUNCTION("""COMPUTED_VALUE"""),"")</f>
        <v/>
      </c>
      <c r="K526" t="str">
        <f>IFERROR(__xludf.DUMMYFUNCTION("""COMPUTED_VALUE"""),"")</f>
        <v/>
      </c>
      <c r="L526" t="str">
        <f>IFERROR(__xludf.DUMMYFUNCTION("""COMPUTED_VALUE"""),"")</f>
        <v/>
      </c>
    </row>
    <row r="527" ht="15.75" customHeight="1">
      <c r="A527" t="str">
        <f>IFERROR(__xludf.DUMMYFUNCTION("""COMPUTED_VALUE"""),"")</f>
        <v/>
      </c>
      <c r="B527" t="str">
        <f>IFERROR(__xludf.DUMMYFUNCTION("""COMPUTED_VALUE"""),"")</f>
        <v/>
      </c>
      <c r="C527" t="str">
        <f>IFERROR(__xludf.DUMMYFUNCTION("""COMPUTED_VALUE"""),"")</f>
        <v/>
      </c>
      <c r="D527" t="str">
        <f>IFERROR(__xludf.DUMMYFUNCTION("""COMPUTED_VALUE"""),"")</f>
        <v/>
      </c>
      <c r="E527" t="str">
        <f>IFERROR(__xludf.DUMMYFUNCTION("""COMPUTED_VALUE"""),"")</f>
        <v/>
      </c>
      <c r="F527" t="str">
        <f>IFERROR(__xludf.DUMMYFUNCTION("""COMPUTED_VALUE"""),"")</f>
        <v/>
      </c>
      <c r="G527" t="str">
        <f>IFERROR(__xludf.DUMMYFUNCTION("""COMPUTED_VALUE"""),"")</f>
        <v/>
      </c>
      <c r="H527" t="str">
        <f>IFERROR(__xludf.DUMMYFUNCTION("""COMPUTED_VALUE"""),"")</f>
        <v/>
      </c>
      <c r="I527" t="str">
        <f>IFERROR(__xludf.DUMMYFUNCTION("""COMPUTED_VALUE"""),"")</f>
        <v/>
      </c>
      <c r="J527" t="str">
        <f>IFERROR(__xludf.DUMMYFUNCTION("""COMPUTED_VALUE"""),"")</f>
        <v/>
      </c>
      <c r="K527" t="str">
        <f>IFERROR(__xludf.DUMMYFUNCTION("""COMPUTED_VALUE"""),"")</f>
        <v/>
      </c>
      <c r="L527" t="str">
        <f>IFERROR(__xludf.DUMMYFUNCTION("""COMPUTED_VALUE"""),"")</f>
        <v/>
      </c>
    </row>
    <row r="528" ht="15.75" customHeight="1">
      <c r="A528" t="str">
        <f>IFERROR(__xludf.DUMMYFUNCTION("""COMPUTED_VALUE"""),"")</f>
        <v/>
      </c>
      <c r="B528" t="str">
        <f>IFERROR(__xludf.DUMMYFUNCTION("""COMPUTED_VALUE"""),"")</f>
        <v/>
      </c>
      <c r="C528" t="str">
        <f>IFERROR(__xludf.DUMMYFUNCTION("""COMPUTED_VALUE"""),"")</f>
        <v/>
      </c>
      <c r="D528" t="str">
        <f>IFERROR(__xludf.DUMMYFUNCTION("""COMPUTED_VALUE"""),"")</f>
        <v/>
      </c>
      <c r="E528" t="str">
        <f>IFERROR(__xludf.DUMMYFUNCTION("""COMPUTED_VALUE"""),"")</f>
        <v/>
      </c>
      <c r="F528" t="str">
        <f>IFERROR(__xludf.DUMMYFUNCTION("""COMPUTED_VALUE"""),"")</f>
        <v/>
      </c>
      <c r="G528" t="str">
        <f>IFERROR(__xludf.DUMMYFUNCTION("""COMPUTED_VALUE"""),"")</f>
        <v/>
      </c>
      <c r="H528" t="str">
        <f>IFERROR(__xludf.DUMMYFUNCTION("""COMPUTED_VALUE"""),"")</f>
        <v/>
      </c>
      <c r="I528" t="str">
        <f>IFERROR(__xludf.DUMMYFUNCTION("""COMPUTED_VALUE"""),"")</f>
        <v/>
      </c>
      <c r="J528" t="str">
        <f>IFERROR(__xludf.DUMMYFUNCTION("""COMPUTED_VALUE"""),"")</f>
        <v/>
      </c>
      <c r="K528" t="str">
        <f>IFERROR(__xludf.DUMMYFUNCTION("""COMPUTED_VALUE"""),"")</f>
        <v/>
      </c>
      <c r="L528" t="str">
        <f>IFERROR(__xludf.DUMMYFUNCTION("""COMPUTED_VALUE"""),"")</f>
        <v/>
      </c>
    </row>
    <row r="529" ht="15.75" customHeight="1">
      <c r="A529" t="str">
        <f>IFERROR(__xludf.DUMMYFUNCTION("""COMPUTED_VALUE"""),"")</f>
        <v/>
      </c>
      <c r="B529" t="str">
        <f>IFERROR(__xludf.DUMMYFUNCTION("""COMPUTED_VALUE"""),"")</f>
        <v/>
      </c>
      <c r="C529" t="str">
        <f>IFERROR(__xludf.DUMMYFUNCTION("""COMPUTED_VALUE"""),"")</f>
        <v/>
      </c>
      <c r="D529" t="str">
        <f>IFERROR(__xludf.DUMMYFUNCTION("""COMPUTED_VALUE"""),"")</f>
        <v/>
      </c>
      <c r="E529" t="str">
        <f>IFERROR(__xludf.DUMMYFUNCTION("""COMPUTED_VALUE"""),"")</f>
        <v/>
      </c>
      <c r="F529" t="str">
        <f>IFERROR(__xludf.DUMMYFUNCTION("""COMPUTED_VALUE"""),"")</f>
        <v/>
      </c>
      <c r="G529" t="str">
        <f>IFERROR(__xludf.DUMMYFUNCTION("""COMPUTED_VALUE"""),"")</f>
        <v/>
      </c>
      <c r="H529" t="str">
        <f>IFERROR(__xludf.DUMMYFUNCTION("""COMPUTED_VALUE"""),"")</f>
        <v/>
      </c>
      <c r="I529" t="str">
        <f>IFERROR(__xludf.DUMMYFUNCTION("""COMPUTED_VALUE"""),"")</f>
        <v/>
      </c>
      <c r="J529" t="str">
        <f>IFERROR(__xludf.DUMMYFUNCTION("""COMPUTED_VALUE"""),"")</f>
        <v/>
      </c>
      <c r="K529" t="str">
        <f>IFERROR(__xludf.DUMMYFUNCTION("""COMPUTED_VALUE"""),"")</f>
        <v/>
      </c>
      <c r="L529" t="str">
        <f>IFERROR(__xludf.DUMMYFUNCTION("""COMPUTED_VALUE"""),"")</f>
        <v/>
      </c>
    </row>
    <row r="530" ht="15.75" customHeight="1">
      <c r="A530" t="str">
        <f>IFERROR(__xludf.DUMMYFUNCTION("""COMPUTED_VALUE"""),"")</f>
        <v/>
      </c>
      <c r="B530" t="str">
        <f>IFERROR(__xludf.DUMMYFUNCTION("""COMPUTED_VALUE"""),"")</f>
        <v/>
      </c>
      <c r="C530" t="str">
        <f>IFERROR(__xludf.DUMMYFUNCTION("""COMPUTED_VALUE"""),"")</f>
        <v/>
      </c>
      <c r="D530" t="str">
        <f>IFERROR(__xludf.DUMMYFUNCTION("""COMPUTED_VALUE"""),"")</f>
        <v/>
      </c>
      <c r="E530" t="str">
        <f>IFERROR(__xludf.DUMMYFUNCTION("""COMPUTED_VALUE"""),"")</f>
        <v/>
      </c>
      <c r="F530" t="str">
        <f>IFERROR(__xludf.DUMMYFUNCTION("""COMPUTED_VALUE"""),"")</f>
        <v/>
      </c>
      <c r="G530" t="str">
        <f>IFERROR(__xludf.DUMMYFUNCTION("""COMPUTED_VALUE"""),"")</f>
        <v/>
      </c>
      <c r="H530" t="str">
        <f>IFERROR(__xludf.DUMMYFUNCTION("""COMPUTED_VALUE"""),"")</f>
        <v/>
      </c>
      <c r="I530" t="str">
        <f>IFERROR(__xludf.DUMMYFUNCTION("""COMPUTED_VALUE"""),"")</f>
        <v/>
      </c>
      <c r="J530" t="str">
        <f>IFERROR(__xludf.DUMMYFUNCTION("""COMPUTED_VALUE"""),"")</f>
        <v/>
      </c>
      <c r="K530" t="str">
        <f>IFERROR(__xludf.DUMMYFUNCTION("""COMPUTED_VALUE"""),"")</f>
        <v/>
      </c>
      <c r="L530" t="str">
        <f>IFERROR(__xludf.DUMMYFUNCTION("""COMPUTED_VALUE"""),"")</f>
        <v/>
      </c>
    </row>
    <row r="531" ht="15.75" customHeight="1">
      <c r="A531" t="str">
        <f>IFERROR(__xludf.DUMMYFUNCTION("""COMPUTED_VALUE"""),"")</f>
        <v/>
      </c>
      <c r="B531" t="str">
        <f>IFERROR(__xludf.DUMMYFUNCTION("""COMPUTED_VALUE"""),"")</f>
        <v/>
      </c>
      <c r="C531" t="str">
        <f>IFERROR(__xludf.DUMMYFUNCTION("""COMPUTED_VALUE"""),"")</f>
        <v/>
      </c>
      <c r="D531" t="str">
        <f>IFERROR(__xludf.DUMMYFUNCTION("""COMPUTED_VALUE"""),"")</f>
        <v/>
      </c>
      <c r="E531" t="str">
        <f>IFERROR(__xludf.DUMMYFUNCTION("""COMPUTED_VALUE"""),"")</f>
        <v/>
      </c>
      <c r="F531" t="str">
        <f>IFERROR(__xludf.DUMMYFUNCTION("""COMPUTED_VALUE"""),"")</f>
        <v/>
      </c>
      <c r="G531" t="str">
        <f>IFERROR(__xludf.DUMMYFUNCTION("""COMPUTED_VALUE"""),"")</f>
        <v/>
      </c>
      <c r="H531" t="str">
        <f>IFERROR(__xludf.DUMMYFUNCTION("""COMPUTED_VALUE"""),"")</f>
        <v/>
      </c>
      <c r="I531" t="str">
        <f>IFERROR(__xludf.DUMMYFUNCTION("""COMPUTED_VALUE"""),"")</f>
        <v/>
      </c>
      <c r="J531" t="str">
        <f>IFERROR(__xludf.DUMMYFUNCTION("""COMPUTED_VALUE"""),"")</f>
        <v/>
      </c>
      <c r="K531" t="str">
        <f>IFERROR(__xludf.DUMMYFUNCTION("""COMPUTED_VALUE"""),"")</f>
        <v/>
      </c>
      <c r="L531" t="str">
        <f>IFERROR(__xludf.DUMMYFUNCTION("""COMPUTED_VALUE"""),"")</f>
        <v/>
      </c>
    </row>
    <row r="532" ht="15.75" customHeight="1">
      <c r="A532" t="str">
        <f>IFERROR(__xludf.DUMMYFUNCTION("""COMPUTED_VALUE"""),"")</f>
        <v/>
      </c>
      <c r="B532" t="str">
        <f>IFERROR(__xludf.DUMMYFUNCTION("""COMPUTED_VALUE"""),"")</f>
        <v/>
      </c>
      <c r="C532" t="str">
        <f>IFERROR(__xludf.DUMMYFUNCTION("""COMPUTED_VALUE"""),"")</f>
        <v/>
      </c>
      <c r="D532" t="str">
        <f>IFERROR(__xludf.DUMMYFUNCTION("""COMPUTED_VALUE"""),"")</f>
        <v/>
      </c>
      <c r="E532" t="str">
        <f>IFERROR(__xludf.DUMMYFUNCTION("""COMPUTED_VALUE"""),"")</f>
        <v/>
      </c>
      <c r="F532" t="str">
        <f>IFERROR(__xludf.DUMMYFUNCTION("""COMPUTED_VALUE"""),"")</f>
        <v/>
      </c>
      <c r="G532" t="str">
        <f>IFERROR(__xludf.DUMMYFUNCTION("""COMPUTED_VALUE"""),"")</f>
        <v/>
      </c>
      <c r="H532" t="str">
        <f>IFERROR(__xludf.DUMMYFUNCTION("""COMPUTED_VALUE"""),"")</f>
        <v/>
      </c>
      <c r="I532" t="str">
        <f>IFERROR(__xludf.DUMMYFUNCTION("""COMPUTED_VALUE"""),"")</f>
        <v/>
      </c>
      <c r="J532" t="str">
        <f>IFERROR(__xludf.DUMMYFUNCTION("""COMPUTED_VALUE"""),"")</f>
        <v/>
      </c>
      <c r="K532" t="str">
        <f>IFERROR(__xludf.DUMMYFUNCTION("""COMPUTED_VALUE"""),"")</f>
        <v/>
      </c>
      <c r="L532" t="str">
        <f>IFERROR(__xludf.DUMMYFUNCTION("""COMPUTED_VALUE"""),"")</f>
        <v/>
      </c>
    </row>
    <row r="533" ht="15.75" customHeight="1">
      <c r="A533" t="str">
        <f>IFERROR(__xludf.DUMMYFUNCTION("""COMPUTED_VALUE"""),"")</f>
        <v/>
      </c>
      <c r="B533" t="str">
        <f>IFERROR(__xludf.DUMMYFUNCTION("""COMPUTED_VALUE"""),"")</f>
        <v/>
      </c>
      <c r="C533" t="str">
        <f>IFERROR(__xludf.DUMMYFUNCTION("""COMPUTED_VALUE"""),"")</f>
        <v/>
      </c>
      <c r="D533" t="str">
        <f>IFERROR(__xludf.DUMMYFUNCTION("""COMPUTED_VALUE"""),"")</f>
        <v/>
      </c>
      <c r="E533" t="str">
        <f>IFERROR(__xludf.DUMMYFUNCTION("""COMPUTED_VALUE"""),"")</f>
        <v/>
      </c>
      <c r="F533" t="str">
        <f>IFERROR(__xludf.DUMMYFUNCTION("""COMPUTED_VALUE"""),"")</f>
        <v/>
      </c>
      <c r="G533" t="str">
        <f>IFERROR(__xludf.DUMMYFUNCTION("""COMPUTED_VALUE"""),"")</f>
        <v/>
      </c>
      <c r="H533" t="str">
        <f>IFERROR(__xludf.DUMMYFUNCTION("""COMPUTED_VALUE"""),"")</f>
        <v/>
      </c>
      <c r="I533" t="str">
        <f>IFERROR(__xludf.DUMMYFUNCTION("""COMPUTED_VALUE"""),"")</f>
        <v/>
      </c>
      <c r="J533" t="str">
        <f>IFERROR(__xludf.DUMMYFUNCTION("""COMPUTED_VALUE"""),"")</f>
        <v/>
      </c>
      <c r="K533" t="str">
        <f>IFERROR(__xludf.DUMMYFUNCTION("""COMPUTED_VALUE"""),"")</f>
        <v/>
      </c>
      <c r="L533" t="str">
        <f>IFERROR(__xludf.DUMMYFUNCTION("""COMPUTED_VALUE"""),"")</f>
        <v/>
      </c>
    </row>
    <row r="534" ht="15.75" customHeight="1">
      <c r="A534" t="str">
        <f>IFERROR(__xludf.DUMMYFUNCTION("""COMPUTED_VALUE"""),"")</f>
        <v/>
      </c>
      <c r="B534" t="str">
        <f>IFERROR(__xludf.DUMMYFUNCTION("""COMPUTED_VALUE"""),"")</f>
        <v/>
      </c>
      <c r="C534" t="str">
        <f>IFERROR(__xludf.DUMMYFUNCTION("""COMPUTED_VALUE"""),"")</f>
        <v/>
      </c>
      <c r="D534" t="str">
        <f>IFERROR(__xludf.DUMMYFUNCTION("""COMPUTED_VALUE"""),"")</f>
        <v/>
      </c>
      <c r="E534" t="str">
        <f>IFERROR(__xludf.DUMMYFUNCTION("""COMPUTED_VALUE"""),"")</f>
        <v/>
      </c>
      <c r="F534" t="str">
        <f>IFERROR(__xludf.DUMMYFUNCTION("""COMPUTED_VALUE"""),"")</f>
        <v/>
      </c>
      <c r="G534" t="str">
        <f>IFERROR(__xludf.DUMMYFUNCTION("""COMPUTED_VALUE"""),"")</f>
        <v/>
      </c>
      <c r="H534" t="str">
        <f>IFERROR(__xludf.DUMMYFUNCTION("""COMPUTED_VALUE"""),"")</f>
        <v/>
      </c>
      <c r="I534" t="str">
        <f>IFERROR(__xludf.DUMMYFUNCTION("""COMPUTED_VALUE"""),"")</f>
        <v/>
      </c>
      <c r="J534" t="str">
        <f>IFERROR(__xludf.DUMMYFUNCTION("""COMPUTED_VALUE"""),"")</f>
        <v/>
      </c>
      <c r="K534" t="str">
        <f>IFERROR(__xludf.DUMMYFUNCTION("""COMPUTED_VALUE"""),"")</f>
        <v/>
      </c>
      <c r="L534" t="str">
        <f>IFERROR(__xludf.DUMMYFUNCTION("""COMPUTED_VALUE"""),"")</f>
        <v/>
      </c>
    </row>
    <row r="535" ht="15.75" customHeight="1">
      <c r="A535" t="str">
        <f>IFERROR(__xludf.DUMMYFUNCTION("""COMPUTED_VALUE"""),"")</f>
        <v/>
      </c>
      <c r="B535" t="str">
        <f>IFERROR(__xludf.DUMMYFUNCTION("""COMPUTED_VALUE"""),"")</f>
        <v/>
      </c>
      <c r="C535" t="str">
        <f>IFERROR(__xludf.DUMMYFUNCTION("""COMPUTED_VALUE"""),"")</f>
        <v/>
      </c>
      <c r="D535" t="str">
        <f>IFERROR(__xludf.DUMMYFUNCTION("""COMPUTED_VALUE"""),"")</f>
        <v/>
      </c>
      <c r="E535" t="str">
        <f>IFERROR(__xludf.DUMMYFUNCTION("""COMPUTED_VALUE"""),"")</f>
        <v/>
      </c>
      <c r="F535" t="str">
        <f>IFERROR(__xludf.DUMMYFUNCTION("""COMPUTED_VALUE"""),"")</f>
        <v/>
      </c>
      <c r="G535" t="str">
        <f>IFERROR(__xludf.DUMMYFUNCTION("""COMPUTED_VALUE"""),"")</f>
        <v/>
      </c>
      <c r="H535" t="str">
        <f>IFERROR(__xludf.DUMMYFUNCTION("""COMPUTED_VALUE"""),"")</f>
        <v/>
      </c>
      <c r="I535" t="str">
        <f>IFERROR(__xludf.DUMMYFUNCTION("""COMPUTED_VALUE"""),"")</f>
        <v/>
      </c>
      <c r="J535" t="str">
        <f>IFERROR(__xludf.DUMMYFUNCTION("""COMPUTED_VALUE"""),"")</f>
        <v/>
      </c>
      <c r="K535" t="str">
        <f>IFERROR(__xludf.DUMMYFUNCTION("""COMPUTED_VALUE"""),"")</f>
        <v/>
      </c>
      <c r="L535" t="str">
        <f>IFERROR(__xludf.DUMMYFUNCTION("""COMPUTED_VALUE"""),"")</f>
        <v/>
      </c>
    </row>
    <row r="536" ht="15.75" customHeight="1">
      <c r="A536" t="str">
        <f>IFERROR(__xludf.DUMMYFUNCTION("""COMPUTED_VALUE"""),"")</f>
        <v/>
      </c>
      <c r="B536" t="str">
        <f>IFERROR(__xludf.DUMMYFUNCTION("""COMPUTED_VALUE"""),"")</f>
        <v/>
      </c>
      <c r="C536" t="str">
        <f>IFERROR(__xludf.DUMMYFUNCTION("""COMPUTED_VALUE"""),"")</f>
        <v/>
      </c>
      <c r="D536" t="str">
        <f>IFERROR(__xludf.DUMMYFUNCTION("""COMPUTED_VALUE"""),"")</f>
        <v/>
      </c>
      <c r="E536" t="str">
        <f>IFERROR(__xludf.DUMMYFUNCTION("""COMPUTED_VALUE"""),"")</f>
        <v/>
      </c>
      <c r="F536" t="str">
        <f>IFERROR(__xludf.DUMMYFUNCTION("""COMPUTED_VALUE"""),"")</f>
        <v/>
      </c>
      <c r="G536" t="str">
        <f>IFERROR(__xludf.DUMMYFUNCTION("""COMPUTED_VALUE"""),"")</f>
        <v/>
      </c>
      <c r="H536" t="str">
        <f>IFERROR(__xludf.DUMMYFUNCTION("""COMPUTED_VALUE"""),"")</f>
        <v/>
      </c>
      <c r="I536" t="str">
        <f>IFERROR(__xludf.DUMMYFUNCTION("""COMPUTED_VALUE"""),"")</f>
        <v/>
      </c>
      <c r="J536" t="str">
        <f>IFERROR(__xludf.DUMMYFUNCTION("""COMPUTED_VALUE"""),"")</f>
        <v/>
      </c>
      <c r="K536" t="str">
        <f>IFERROR(__xludf.DUMMYFUNCTION("""COMPUTED_VALUE"""),"")</f>
        <v/>
      </c>
      <c r="L536" t="str">
        <f>IFERROR(__xludf.DUMMYFUNCTION("""COMPUTED_VALUE"""),"")</f>
        <v/>
      </c>
    </row>
    <row r="537" ht="15.75" customHeight="1">
      <c r="A537" t="str">
        <f>IFERROR(__xludf.DUMMYFUNCTION("""COMPUTED_VALUE"""),"")</f>
        <v/>
      </c>
      <c r="B537" t="str">
        <f>IFERROR(__xludf.DUMMYFUNCTION("""COMPUTED_VALUE"""),"")</f>
        <v/>
      </c>
      <c r="C537" t="str">
        <f>IFERROR(__xludf.DUMMYFUNCTION("""COMPUTED_VALUE"""),"")</f>
        <v/>
      </c>
      <c r="D537" t="str">
        <f>IFERROR(__xludf.DUMMYFUNCTION("""COMPUTED_VALUE"""),"")</f>
        <v/>
      </c>
      <c r="E537" t="str">
        <f>IFERROR(__xludf.DUMMYFUNCTION("""COMPUTED_VALUE"""),"")</f>
        <v/>
      </c>
      <c r="F537" t="str">
        <f>IFERROR(__xludf.DUMMYFUNCTION("""COMPUTED_VALUE"""),"")</f>
        <v/>
      </c>
      <c r="G537" t="str">
        <f>IFERROR(__xludf.DUMMYFUNCTION("""COMPUTED_VALUE"""),"")</f>
        <v/>
      </c>
      <c r="H537" t="str">
        <f>IFERROR(__xludf.DUMMYFUNCTION("""COMPUTED_VALUE"""),"")</f>
        <v/>
      </c>
      <c r="I537" t="str">
        <f>IFERROR(__xludf.DUMMYFUNCTION("""COMPUTED_VALUE"""),"")</f>
        <v/>
      </c>
      <c r="J537" t="str">
        <f>IFERROR(__xludf.DUMMYFUNCTION("""COMPUTED_VALUE"""),"")</f>
        <v/>
      </c>
      <c r="K537" t="str">
        <f>IFERROR(__xludf.DUMMYFUNCTION("""COMPUTED_VALUE"""),"")</f>
        <v/>
      </c>
      <c r="L537" t="str">
        <f>IFERROR(__xludf.DUMMYFUNCTION("""COMPUTED_VALUE"""),"")</f>
        <v/>
      </c>
    </row>
    <row r="538" ht="15.75" customHeight="1">
      <c r="A538" t="str">
        <f>IFERROR(__xludf.DUMMYFUNCTION("""COMPUTED_VALUE"""),"")</f>
        <v/>
      </c>
      <c r="B538" t="str">
        <f>IFERROR(__xludf.DUMMYFUNCTION("""COMPUTED_VALUE"""),"")</f>
        <v/>
      </c>
      <c r="C538" t="str">
        <f>IFERROR(__xludf.DUMMYFUNCTION("""COMPUTED_VALUE"""),"")</f>
        <v/>
      </c>
      <c r="D538" t="str">
        <f>IFERROR(__xludf.DUMMYFUNCTION("""COMPUTED_VALUE"""),"")</f>
        <v/>
      </c>
      <c r="E538" t="str">
        <f>IFERROR(__xludf.DUMMYFUNCTION("""COMPUTED_VALUE"""),"")</f>
        <v/>
      </c>
      <c r="F538" t="str">
        <f>IFERROR(__xludf.DUMMYFUNCTION("""COMPUTED_VALUE"""),"")</f>
        <v/>
      </c>
      <c r="G538" t="str">
        <f>IFERROR(__xludf.DUMMYFUNCTION("""COMPUTED_VALUE"""),"")</f>
        <v/>
      </c>
      <c r="H538" t="str">
        <f>IFERROR(__xludf.DUMMYFUNCTION("""COMPUTED_VALUE"""),"")</f>
        <v/>
      </c>
      <c r="I538" t="str">
        <f>IFERROR(__xludf.DUMMYFUNCTION("""COMPUTED_VALUE"""),"")</f>
        <v/>
      </c>
      <c r="J538" t="str">
        <f>IFERROR(__xludf.DUMMYFUNCTION("""COMPUTED_VALUE"""),"")</f>
        <v/>
      </c>
      <c r="K538" t="str">
        <f>IFERROR(__xludf.DUMMYFUNCTION("""COMPUTED_VALUE"""),"")</f>
        <v/>
      </c>
      <c r="L538" t="str">
        <f>IFERROR(__xludf.DUMMYFUNCTION("""COMPUTED_VALUE"""),"")</f>
        <v/>
      </c>
    </row>
    <row r="539" ht="15.75" customHeight="1">
      <c r="A539" t="str">
        <f>IFERROR(__xludf.DUMMYFUNCTION("""COMPUTED_VALUE"""),"")</f>
        <v/>
      </c>
      <c r="B539" t="str">
        <f>IFERROR(__xludf.DUMMYFUNCTION("""COMPUTED_VALUE"""),"")</f>
        <v/>
      </c>
      <c r="C539" t="str">
        <f>IFERROR(__xludf.DUMMYFUNCTION("""COMPUTED_VALUE"""),"")</f>
        <v/>
      </c>
      <c r="D539" t="str">
        <f>IFERROR(__xludf.DUMMYFUNCTION("""COMPUTED_VALUE"""),"")</f>
        <v/>
      </c>
      <c r="E539" t="str">
        <f>IFERROR(__xludf.DUMMYFUNCTION("""COMPUTED_VALUE"""),"")</f>
        <v/>
      </c>
      <c r="F539" t="str">
        <f>IFERROR(__xludf.DUMMYFUNCTION("""COMPUTED_VALUE"""),"")</f>
        <v/>
      </c>
      <c r="G539" t="str">
        <f>IFERROR(__xludf.DUMMYFUNCTION("""COMPUTED_VALUE"""),"")</f>
        <v/>
      </c>
      <c r="H539" t="str">
        <f>IFERROR(__xludf.DUMMYFUNCTION("""COMPUTED_VALUE"""),"")</f>
        <v/>
      </c>
      <c r="I539" t="str">
        <f>IFERROR(__xludf.DUMMYFUNCTION("""COMPUTED_VALUE"""),"")</f>
        <v/>
      </c>
      <c r="J539" t="str">
        <f>IFERROR(__xludf.DUMMYFUNCTION("""COMPUTED_VALUE"""),"")</f>
        <v/>
      </c>
      <c r="K539" t="str">
        <f>IFERROR(__xludf.DUMMYFUNCTION("""COMPUTED_VALUE"""),"")</f>
        <v/>
      </c>
      <c r="L539" t="str">
        <f>IFERROR(__xludf.DUMMYFUNCTION("""COMPUTED_VALUE"""),"")</f>
        <v/>
      </c>
    </row>
    <row r="540" ht="15.75" customHeight="1">
      <c r="A540" t="str">
        <f>IFERROR(__xludf.DUMMYFUNCTION("""COMPUTED_VALUE"""),"")</f>
        <v/>
      </c>
      <c r="B540" t="str">
        <f>IFERROR(__xludf.DUMMYFUNCTION("""COMPUTED_VALUE"""),"")</f>
        <v/>
      </c>
      <c r="C540" t="str">
        <f>IFERROR(__xludf.DUMMYFUNCTION("""COMPUTED_VALUE"""),"")</f>
        <v/>
      </c>
      <c r="D540" t="str">
        <f>IFERROR(__xludf.DUMMYFUNCTION("""COMPUTED_VALUE"""),"")</f>
        <v/>
      </c>
      <c r="E540" t="str">
        <f>IFERROR(__xludf.DUMMYFUNCTION("""COMPUTED_VALUE"""),"")</f>
        <v/>
      </c>
      <c r="F540" t="str">
        <f>IFERROR(__xludf.DUMMYFUNCTION("""COMPUTED_VALUE"""),"")</f>
        <v/>
      </c>
      <c r="G540" t="str">
        <f>IFERROR(__xludf.DUMMYFUNCTION("""COMPUTED_VALUE"""),"")</f>
        <v/>
      </c>
      <c r="H540" t="str">
        <f>IFERROR(__xludf.DUMMYFUNCTION("""COMPUTED_VALUE"""),"")</f>
        <v/>
      </c>
      <c r="I540" t="str">
        <f>IFERROR(__xludf.DUMMYFUNCTION("""COMPUTED_VALUE"""),"")</f>
        <v/>
      </c>
      <c r="J540" t="str">
        <f>IFERROR(__xludf.DUMMYFUNCTION("""COMPUTED_VALUE"""),"")</f>
        <v/>
      </c>
      <c r="K540" t="str">
        <f>IFERROR(__xludf.DUMMYFUNCTION("""COMPUTED_VALUE"""),"")</f>
        <v/>
      </c>
      <c r="L540" t="str">
        <f>IFERROR(__xludf.DUMMYFUNCTION("""COMPUTED_VALUE"""),"")</f>
        <v/>
      </c>
    </row>
    <row r="541" ht="15.75" customHeight="1">
      <c r="A541" t="str">
        <f>IFERROR(__xludf.DUMMYFUNCTION("""COMPUTED_VALUE"""),"")</f>
        <v/>
      </c>
      <c r="B541" t="str">
        <f>IFERROR(__xludf.DUMMYFUNCTION("""COMPUTED_VALUE"""),"")</f>
        <v/>
      </c>
      <c r="C541" t="str">
        <f>IFERROR(__xludf.DUMMYFUNCTION("""COMPUTED_VALUE"""),"")</f>
        <v/>
      </c>
      <c r="D541" t="str">
        <f>IFERROR(__xludf.DUMMYFUNCTION("""COMPUTED_VALUE"""),"")</f>
        <v/>
      </c>
      <c r="E541" t="str">
        <f>IFERROR(__xludf.DUMMYFUNCTION("""COMPUTED_VALUE"""),"")</f>
        <v/>
      </c>
      <c r="F541" t="str">
        <f>IFERROR(__xludf.DUMMYFUNCTION("""COMPUTED_VALUE"""),"")</f>
        <v/>
      </c>
      <c r="G541" t="str">
        <f>IFERROR(__xludf.DUMMYFUNCTION("""COMPUTED_VALUE"""),"")</f>
        <v/>
      </c>
      <c r="H541" t="str">
        <f>IFERROR(__xludf.DUMMYFUNCTION("""COMPUTED_VALUE"""),"")</f>
        <v/>
      </c>
      <c r="I541" t="str">
        <f>IFERROR(__xludf.DUMMYFUNCTION("""COMPUTED_VALUE"""),"")</f>
        <v/>
      </c>
      <c r="J541" t="str">
        <f>IFERROR(__xludf.DUMMYFUNCTION("""COMPUTED_VALUE"""),"")</f>
        <v/>
      </c>
      <c r="K541" t="str">
        <f>IFERROR(__xludf.DUMMYFUNCTION("""COMPUTED_VALUE"""),"")</f>
        <v/>
      </c>
      <c r="L541" t="str">
        <f>IFERROR(__xludf.DUMMYFUNCTION("""COMPUTED_VALUE"""),"")</f>
        <v/>
      </c>
    </row>
    <row r="542" ht="15.75" customHeight="1">
      <c r="A542" t="str">
        <f>IFERROR(__xludf.DUMMYFUNCTION("""COMPUTED_VALUE"""),"")</f>
        <v/>
      </c>
      <c r="B542" t="str">
        <f>IFERROR(__xludf.DUMMYFUNCTION("""COMPUTED_VALUE"""),"")</f>
        <v/>
      </c>
      <c r="C542" t="str">
        <f>IFERROR(__xludf.DUMMYFUNCTION("""COMPUTED_VALUE"""),"")</f>
        <v/>
      </c>
      <c r="D542" t="str">
        <f>IFERROR(__xludf.DUMMYFUNCTION("""COMPUTED_VALUE"""),"")</f>
        <v/>
      </c>
      <c r="E542" t="str">
        <f>IFERROR(__xludf.DUMMYFUNCTION("""COMPUTED_VALUE"""),"")</f>
        <v/>
      </c>
      <c r="F542" t="str">
        <f>IFERROR(__xludf.DUMMYFUNCTION("""COMPUTED_VALUE"""),"")</f>
        <v/>
      </c>
      <c r="G542" t="str">
        <f>IFERROR(__xludf.DUMMYFUNCTION("""COMPUTED_VALUE"""),"")</f>
        <v/>
      </c>
      <c r="H542" t="str">
        <f>IFERROR(__xludf.DUMMYFUNCTION("""COMPUTED_VALUE"""),"")</f>
        <v/>
      </c>
      <c r="I542" t="str">
        <f>IFERROR(__xludf.DUMMYFUNCTION("""COMPUTED_VALUE"""),"")</f>
        <v/>
      </c>
      <c r="J542" t="str">
        <f>IFERROR(__xludf.DUMMYFUNCTION("""COMPUTED_VALUE"""),"")</f>
        <v/>
      </c>
      <c r="K542" t="str">
        <f>IFERROR(__xludf.DUMMYFUNCTION("""COMPUTED_VALUE"""),"")</f>
        <v/>
      </c>
      <c r="L542" t="str">
        <f>IFERROR(__xludf.DUMMYFUNCTION("""COMPUTED_VALUE"""),"")</f>
        <v/>
      </c>
    </row>
    <row r="543" ht="15.75" customHeight="1">
      <c r="A543" t="str">
        <f>IFERROR(__xludf.DUMMYFUNCTION("""COMPUTED_VALUE"""),"")</f>
        <v/>
      </c>
      <c r="B543" t="str">
        <f>IFERROR(__xludf.DUMMYFUNCTION("""COMPUTED_VALUE"""),"")</f>
        <v/>
      </c>
      <c r="C543" t="str">
        <f>IFERROR(__xludf.DUMMYFUNCTION("""COMPUTED_VALUE"""),"")</f>
        <v/>
      </c>
      <c r="D543" t="str">
        <f>IFERROR(__xludf.DUMMYFUNCTION("""COMPUTED_VALUE"""),"")</f>
        <v/>
      </c>
      <c r="E543" t="str">
        <f>IFERROR(__xludf.DUMMYFUNCTION("""COMPUTED_VALUE"""),"")</f>
        <v/>
      </c>
      <c r="F543" t="str">
        <f>IFERROR(__xludf.DUMMYFUNCTION("""COMPUTED_VALUE"""),"")</f>
        <v/>
      </c>
      <c r="G543" t="str">
        <f>IFERROR(__xludf.DUMMYFUNCTION("""COMPUTED_VALUE"""),"")</f>
        <v/>
      </c>
      <c r="H543" t="str">
        <f>IFERROR(__xludf.DUMMYFUNCTION("""COMPUTED_VALUE"""),"")</f>
        <v/>
      </c>
      <c r="I543" t="str">
        <f>IFERROR(__xludf.DUMMYFUNCTION("""COMPUTED_VALUE"""),"")</f>
        <v/>
      </c>
      <c r="J543" t="str">
        <f>IFERROR(__xludf.DUMMYFUNCTION("""COMPUTED_VALUE"""),"")</f>
        <v/>
      </c>
      <c r="K543" t="str">
        <f>IFERROR(__xludf.DUMMYFUNCTION("""COMPUTED_VALUE"""),"")</f>
        <v/>
      </c>
      <c r="L543" t="str">
        <f>IFERROR(__xludf.DUMMYFUNCTION("""COMPUTED_VALUE"""),"")</f>
        <v/>
      </c>
    </row>
    <row r="544" ht="15.75" customHeight="1">
      <c r="A544" t="str">
        <f>IFERROR(__xludf.DUMMYFUNCTION("""COMPUTED_VALUE"""),"")</f>
        <v/>
      </c>
      <c r="B544" t="str">
        <f>IFERROR(__xludf.DUMMYFUNCTION("""COMPUTED_VALUE"""),"")</f>
        <v/>
      </c>
      <c r="C544" t="str">
        <f>IFERROR(__xludf.DUMMYFUNCTION("""COMPUTED_VALUE"""),"")</f>
        <v/>
      </c>
      <c r="D544" t="str">
        <f>IFERROR(__xludf.DUMMYFUNCTION("""COMPUTED_VALUE"""),"")</f>
        <v/>
      </c>
      <c r="E544" t="str">
        <f>IFERROR(__xludf.DUMMYFUNCTION("""COMPUTED_VALUE"""),"")</f>
        <v/>
      </c>
      <c r="F544" t="str">
        <f>IFERROR(__xludf.DUMMYFUNCTION("""COMPUTED_VALUE"""),"")</f>
        <v/>
      </c>
      <c r="G544" t="str">
        <f>IFERROR(__xludf.DUMMYFUNCTION("""COMPUTED_VALUE"""),"")</f>
        <v/>
      </c>
      <c r="H544" t="str">
        <f>IFERROR(__xludf.DUMMYFUNCTION("""COMPUTED_VALUE"""),"")</f>
        <v/>
      </c>
      <c r="I544" t="str">
        <f>IFERROR(__xludf.DUMMYFUNCTION("""COMPUTED_VALUE"""),"")</f>
        <v/>
      </c>
      <c r="J544" t="str">
        <f>IFERROR(__xludf.DUMMYFUNCTION("""COMPUTED_VALUE"""),"")</f>
        <v/>
      </c>
      <c r="K544" t="str">
        <f>IFERROR(__xludf.DUMMYFUNCTION("""COMPUTED_VALUE"""),"")</f>
        <v/>
      </c>
      <c r="L544" t="str">
        <f>IFERROR(__xludf.DUMMYFUNCTION("""COMPUTED_VALUE"""),"")</f>
        <v/>
      </c>
    </row>
    <row r="545" ht="15.75" customHeight="1">
      <c r="A545" t="str">
        <f>IFERROR(__xludf.DUMMYFUNCTION("""COMPUTED_VALUE"""),"")</f>
        <v/>
      </c>
      <c r="B545" t="str">
        <f>IFERROR(__xludf.DUMMYFUNCTION("""COMPUTED_VALUE"""),"")</f>
        <v/>
      </c>
      <c r="C545" t="str">
        <f>IFERROR(__xludf.DUMMYFUNCTION("""COMPUTED_VALUE"""),"")</f>
        <v/>
      </c>
      <c r="D545" t="str">
        <f>IFERROR(__xludf.DUMMYFUNCTION("""COMPUTED_VALUE"""),"")</f>
        <v/>
      </c>
      <c r="E545" t="str">
        <f>IFERROR(__xludf.DUMMYFUNCTION("""COMPUTED_VALUE"""),"")</f>
        <v/>
      </c>
      <c r="F545" t="str">
        <f>IFERROR(__xludf.DUMMYFUNCTION("""COMPUTED_VALUE"""),"")</f>
        <v/>
      </c>
      <c r="G545" t="str">
        <f>IFERROR(__xludf.DUMMYFUNCTION("""COMPUTED_VALUE"""),"")</f>
        <v/>
      </c>
      <c r="H545" t="str">
        <f>IFERROR(__xludf.DUMMYFUNCTION("""COMPUTED_VALUE"""),"")</f>
        <v/>
      </c>
      <c r="I545" t="str">
        <f>IFERROR(__xludf.DUMMYFUNCTION("""COMPUTED_VALUE"""),"")</f>
        <v/>
      </c>
      <c r="J545" t="str">
        <f>IFERROR(__xludf.DUMMYFUNCTION("""COMPUTED_VALUE"""),"")</f>
        <v/>
      </c>
      <c r="K545" t="str">
        <f>IFERROR(__xludf.DUMMYFUNCTION("""COMPUTED_VALUE"""),"")</f>
        <v/>
      </c>
      <c r="L545" t="str">
        <f>IFERROR(__xludf.DUMMYFUNCTION("""COMPUTED_VALUE"""),"")</f>
        <v/>
      </c>
    </row>
    <row r="546" ht="15.75" customHeight="1">
      <c r="A546" t="str">
        <f>IFERROR(__xludf.DUMMYFUNCTION("""COMPUTED_VALUE"""),"")</f>
        <v/>
      </c>
      <c r="B546" t="str">
        <f>IFERROR(__xludf.DUMMYFUNCTION("""COMPUTED_VALUE"""),"")</f>
        <v/>
      </c>
      <c r="C546" t="str">
        <f>IFERROR(__xludf.DUMMYFUNCTION("""COMPUTED_VALUE"""),"")</f>
        <v/>
      </c>
      <c r="D546" t="str">
        <f>IFERROR(__xludf.DUMMYFUNCTION("""COMPUTED_VALUE"""),"")</f>
        <v/>
      </c>
      <c r="E546" t="str">
        <f>IFERROR(__xludf.DUMMYFUNCTION("""COMPUTED_VALUE"""),"")</f>
        <v/>
      </c>
      <c r="F546" t="str">
        <f>IFERROR(__xludf.DUMMYFUNCTION("""COMPUTED_VALUE"""),"")</f>
        <v/>
      </c>
      <c r="G546" t="str">
        <f>IFERROR(__xludf.DUMMYFUNCTION("""COMPUTED_VALUE"""),"")</f>
        <v/>
      </c>
      <c r="H546" t="str">
        <f>IFERROR(__xludf.DUMMYFUNCTION("""COMPUTED_VALUE"""),"")</f>
        <v/>
      </c>
      <c r="I546" t="str">
        <f>IFERROR(__xludf.DUMMYFUNCTION("""COMPUTED_VALUE"""),"")</f>
        <v/>
      </c>
      <c r="J546" t="str">
        <f>IFERROR(__xludf.DUMMYFUNCTION("""COMPUTED_VALUE"""),"")</f>
        <v/>
      </c>
      <c r="K546" t="str">
        <f>IFERROR(__xludf.DUMMYFUNCTION("""COMPUTED_VALUE"""),"")</f>
        <v/>
      </c>
      <c r="L546" t="str">
        <f>IFERROR(__xludf.DUMMYFUNCTION("""COMPUTED_VALUE"""),"")</f>
        <v/>
      </c>
    </row>
    <row r="547" ht="15.75" customHeight="1">
      <c r="A547" t="str">
        <f>IFERROR(__xludf.DUMMYFUNCTION("""COMPUTED_VALUE"""),"")</f>
        <v/>
      </c>
      <c r="B547" t="str">
        <f>IFERROR(__xludf.DUMMYFUNCTION("""COMPUTED_VALUE"""),"")</f>
        <v/>
      </c>
      <c r="C547" t="str">
        <f>IFERROR(__xludf.DUMMYFUNCTION("""COMPUTED_VALUE"""),"")</f>
        <v/>
      </c>
      <c r="D547" t="str">
        <f>IFERROR(__xludf.DUMMYFUNCTION("""COMPUTED_VALUE"""),"")</f>
        <v/>
      </c>
      <c r="E547" t="str">
        <f>IFERROR(__xludf.DUMMYFUNCTION("""COMPUTED_VALUE"""),"")</f>
        <v/>
      </c>
      <c r="F547" t="str">
        <f>IFERROR(__xludf.DUMMYFUNCTION("""COMPUTED_VALUE"""),"")</f>
        <v/>
      </c>
      <c r="G547" t="str">
        <f>IFERROR(__xludf.DUMMYFUNCTION("""COMPUTED_VALUE"""),"")</f>
        <v/>
      </c>
      <c r="H547" t="str">
        <f>IFERROR(__xludf.DUMMYFUNCTION("""COMPUTED_VALUE"""),"")</f>
        <v/>
      </c>
      <c r="I547" t="str">
        <f>IFERROR(__xludf.DUMMYFUNCTION("""COMPUTED_VALUE"""),"")</f>
        <v/>
      </c>
      <c r="J547" t="str">
        <f>IFERROR(__xludf.DUMMYFUNCTION("""COMPUTED_VALUE"""),"")</f>
        <v/>
      </c>
      <c r="K547" t="str">
        <f>IFERROR(__xludf.DUMMYFUNCTION("""COMPUTED_VALUE"""),"")</f>
        <v/>
      </c>
      <c r="L547" t="str">
        <f>IFERROR(__xludf.DUMMYFUNCTION("""COMPUTED_VALUE"""),"")</f>
        <v/>
      </c>
    </row>
    <row r="548" ht="15.75" customHeight="1">
      <c r="A548" t="str">
        <f>IFERROR(__xludf.DUMMYFUNCTION("""COMPUTED_VALUE"""),"")</f>
        <v/>
      </c>
      <c r="B548" t="str">
        <f>IFERROR(__xludf.DUMMYFUNCTION("""COMPUTED_VALUE"""),"")</f>
        <v/>
      </c>
      <c r="C548" t="str">
        <f>IFERROR(__xludf.DUMMYFUNCTION("""COMPUTED_VALUE"""),"")</f>
        <v/>
      </c>
      <c r="D548" t="str">
        <f>IFERROR(__xludf.DUMMYFUNCTION("""COMPUTED_VALUE"""),"")</f>
        <v/>
      </c>
      <c r="E548" t="str">
        <f>IFERROR(__xludf.DUMMYFUNCTION("""COMPUTED_VALUE"""),"")</f>
        <v/>
      </c>
      <c r="F548" t="str">
        <f>IFERROR(__xludf.DUMMYFUNCTION("""COMPUTED_VALUE"""),"")</f>
        <v/>
      </c>
      <c r="G548" t="str">
        <f>IFERROR(__xludf.DUMMYFUNCTION("""COMPUTED_VALUE"""),"")</f>
        <v/>
      </c>
      <c r="H548" t="str">
        <f>IFERROR(__xludf.DUMMYFUNCTION("""COMPUTED_VALUE"""),"")</f>
        <v/>
      </c>
      <c r="I548" t="str">
        <f>IFERROR(__xludf.DUMMYFUNCTION("""COMPUTED_VALUE"""),"")</f>
        <v/>
      </c>
      <c r="J548" t="str">
        <f>IFERROR(__xludf.DUMMYFUNCTION("""COMPUTED_VALUE"""),"")</f>
        <v/>
      </c>
      <c r="K548" t="str">
        <f>IFERROR(__xludf.DUMMYFUNCTION("""COMPUTED_VALUE"""),"")</f>
        <v/>
      </c>
      <c r="L548" t="str">
        <f>IFERROR(__xludf.DUMMYFUNCTION("""COMPUTED_VALUE"""),"")</f>
        <v/>
      </c>
    </row>
    <row r="549" ht="15.75" customHeight="1">
      <c r="A549" t="str">
        <f>IFERROR(__xludf.DUMMYFUNCTION("""COMPUTED_VALUE"""),"")</f>
        <v/>
      </c>
      <c r="B549" t="str">
        <f>IFERROR(__xludf.DUMMYFUNCTION("""COMPUTED_VALUE"""),"")</f>
        <v/>
      </c>
      <c r="C549" t="str">
        <f>IFERROR(__xludf.DUMMYFUNCTION("""COMPUTED_VALUE"""),"")</f>
        <v/>
      </c>
      <c r="D549" t="str">
        <f>IFERROR(__xludf.DUMMYFUNCTION("""COMPUTED_VALUE"""),"")</f>
        <v/>
      </c>
      <c r="E549" t="str">
        <f>IFERROR(__xludf.DUMMYFUNCTION("""COMPUTED_VALUE"""),"")</f>
        <v/>
      </c>
      <c r="F549" t="str">
        <f>IFERROR(__xludf.DUMMYFUNCTION("""COMPUTED_VALUE"""),"")</f>
        <v/>
      </c>
      <c r="G549" t="str">
        <f>IFERROR(__xludf.DUMMYFUNCTION("""COMPUTED_VALUE"""),"")</f>
        <v/>
      </c>
      <c r="H549" t="str">
        <f>IFERROR(__xludf.DUMMYFUNCTION("""COMPUTED_VALUE"""),"")</f>
        <v/>
      </c>
      <c r="I549" t="str">
        <f>IFERROR(__xludf.DUMMYFUNCTION("""COMPUTED_VALUE"""),"")</f>
        <v/>
      </c>
      <c r="J549" t="str">
        <f>IFERROR(__xludf.DUMMYFUNCTION("""COMPUTED_VALUE"""),"")</f>
        <v/>
      </c>
      <c r="K549" t="str">
        <f>IFERROR(__xludf.DUMMYFUNCTION("""COMPUTED_VALUE"""),"")</f>
        <v/>
      </c>
      <c r="L549" t="str">
        <f>IFERROR(__xludf.DUMMYFUNCTION("""COMPUTED_VALUE"""),"")</f>
        <v/>
      </c>
    </row>
    <row r="550" ht="15.75" customHeight="1">
      <c r="A550" t="str">
        <f>IFERROR(__xludf.DUMMYFUNCTION("""COMPUTED_VALUE"""),"")</f>
        <v/>
      </c>
      <c r="B550" t="str">
        <f>IFERROR(__xludf.DUMMYFUNCTION("""COMPUTED_VALUE"""),"")</f>
        <v/>
      </c>
      <c r="C550" t="str">
        <f>IFERROR(__xludf.DUMMYFUNCTION("""COMPUTED_VALUE"""),"")</f>
        <v/>
      </c>
      <c r="D550" t="str">
        <f>IFERROR(__xludf.DUMMYFUNCTION("""COMPUTED_VALUE"""),"")</f>
        <v/>
      </c>
      <c r="E550" t="str">
        <f>IFERROR(__xludf.DUMMYFUNCTION("""COMPUTED_VALUE"""),"")</f>
        <v/>
      </c>
      <c r="F550" t="str">
        <f>IFERROR(__xludf.DUMMYFUNCTION("""COMPUTED_VALUE"""),"")</f>
        <v/>
      </c>
      <c r="G550" t="str">
        <f>IFERROR(__xludf.DUMMYFUNCTION("""COMPUTED_VALUE"""),"")</f>
        <v/>
      </c>
      <c r="H550" t="str">
        <f>IFERROR(__xludf.DUMMYFUNCTION("""COMPUTED_VALUE"""),"")</f>
        <v/>
      </c>
      <c r="I550" t="str">
        <f>IFERROR(__xludf.DUMMYFUNCTION("""COMPUTED_VALUE"""),"")</f>
        <v/>
      </c>
      <c r="J550" t="str">
        <f>IFERROR(__xludf.DUMMYFUNCTION("""COMPUTED_VALUE"""),"")</f>
        <v/>
      </c>
      <c r="K550" t="str">
        <f>IFERROR(__xludf.DUMMYFUNCTION("""COMPUTED_VALUE"""),"")</f>
        <v/>
      </c>
      <c r="L550" t="str">
        <f>IFERROR(__xludf.DUMMYFUNCTION("""COMPUTED_VALUE"""),"")</f>
        <v/>
      </c>
    </row>
    <row r="551" ht="15.75" customHeight="1">
      <c r="A551" t="str">
        <f>IFERROR(__xludf.DUMMYFUNCTION("""COMPUTED_VALUE"""),"")</f>
        <v/>
      </c>
      <c r="B551" t="str">
        <f>IFERROR(__xludf.DUMMYFUNCTION("""COMPUTED_VALUE"""),"")</f>
        <v/>
      </c>
      <c r="C551" t="str">
        <f>IFERROR(__xludf.DUMMYFUNCTION("""COMPUTED_VALUE"""),"")</f>
        <v/>
      </c>
      <c r="D551" t="str">
        <f>IFERROR(__xludf.DUMMYFUNCTION("""COMPUTED_VALUE"""),"")</f>
        <v/>
      </c>
      <c r="E551" t="str">
        <f>IFERROR(__xludf.DUMMYFUNCTION("""COMPUTED_VALUE"""),"")</f>
        <v/>
      </c>
      <c r="F551" t="str">
        <f>IFERROR(__xludf.DUMMYFUNCTION("""COMPUTED_VALUE"""),"")</f>
        <v/>
      </c>
      <c r="G551" t="str">
        <f>IFERROR(__xludf.DUMMYFUNCTION("""COMPUTED_VALUE"""),"")</f>
        <v/>
      </c>
      <c r="H551" t="str">
        <f>IFERROR(__xludf.DUMMYFUNCTION("""COMPUTED_VALUE"""),"")</f>
        <v/>
      </c>
      <c r="I551" t="str">
        <f>IFERROR(__xludf.DUMMYFUNCTION("""COMPUTED_VALUE"""),"")</f>
        <v/>
      </c>
      <c r="J551" t="str">
        <f>IFERROR(__xludf.DUMMYFUNCTION("""COMPUTED_VALUE"""),"")</f>
        <v/>
      </c>
      <c r="K551" t="str">
        <f>IFERROR(__xludf.DUMMYFUNCTION("""COMPUTED_VALUE"""),"")</f>
        <v/>
      </c>
      <c r="L551" t="str">
        <f>IFERROR(__xludf.DUMMYFUNCTION("""COMPUTED_VALUE"""),"")</f>
        <v/>
      </c>
    </row>
    <row r="552" ht="15.75" customHeight="1">
      <c r="A552" t="str">
        <f>IFERROR(__xludf.DUMMYFUNCTION("""COMPUTED_VALUE"""),"")</f>
        <v/>
      </c>
      <c r="B552" t="str">
        <f>IFERROR(__xludf.DUMMYFUNCTION("""COMPUTED_VALUE"""),"")</f>
        <v/>
      </c>
      <c r="C552" t="str">
        <f>IFERROR(__xludf.DUMMYFUNCTION("""COMPUTED_VALUE"""),"")</f>
        <v/>
      </c>
      <c r="D552" t="str">
        <f>IFERROR(__xludf.DUMMYFUNCTION("""COMPUTED_VALUE"""),"")</f>
        <v/>
      </c>
      <c r="E552" t="str">
        <f>IFERROR(__xludf.DUMMYFUNCTION("""COMPUTED_VALUE"""),"")</f>
        <v/>
      </c>
      <c r="F552" t="str">
        <f>IFERROR(__xludf.DUMMYFUNCTION("""COMPUTED_VALUE"""),"")</f>
        <v/>
      </c>
      <c r="G552" t="str">
        <f>IFERROR(__xludf.DUMMYFUNCTION("""COMPUTED_VALUE"""),"")</f>
        <v/>
      </c>
      <c r="H552" t="str">
        <f>IFERROR(__xludf.DUMMYFUNCTION("""COMPUTED_VALUE"""),"")</f>
        <v/>
      </c>
      <c r="I552" t="str">
        <f>IFERROR(__xludf.DUMMYFUNCTION("""COMPUTED_VALUE"""),"")</f>
        <v/>
      </c>
      <c r="J552" t="str">
        <f>IFERROR(__xludf.DUMMYFUNCTION("""COMPUTED_VALUE"""),"")</f>
        <v/>
      </c>
      <c r="K552" t="str">
        <f>IFERROR(__xludf.DUMMYFUNCTION("""COMPUTED_VALUE"""),"")</f>
        <v/>
      </c>
      <c r="L552" t="str">
        <f>IFERROR(__xludf.DUMMYFUNCTION("""COMPUTED_VALUE"""),"")</f>
        <v/>
      </c>
    </row>
    <row r="553" ht="15.75" customHeight="1">
      <c r="A553" t="str">
        <f>IFERROR(__xludf.DUMMYFUNCTION("""COMPUTED_VALUE"""),"")</f>
        <v/>
      </c>
      <c r="B553" t="str">
        <f>IFERROR(__xludf.DUMMYFUNCTION("""COMPUTED_VALUE"""),"")</f>
        <v/>
      </c>
      <c r="C553" t="str">
        <f>IFERROR(__xludf.DUMMYFUNCTION("""COMPUTED_VALUE"""),"")</f>
        <v/>
      </c>
      <c r="D553" t="str">
        <f>IFERROR(__xludf.DUMMYFUNCTION("""COMPUTED_VALUE"""),"")</f>
        <v/>
      </c>
      <c r="E553" t="str">
        <f>IFERROR(__xludf.DUMMYFUNCTION("""COMPUTED_VALUE"""),"")</f>
        <v/>
      </c>
      <c r="F553" t="str">
        <f>IFERROR(__xludf.DUMMYFUNCTION("""COMPUTED_VALUE"""),"")</f>
        <v/>
      </c>
      <c r="G553" t="str">
        <f>IFERROR(__xludf.DUMMYFUNCTION("""COMPUTED_VALUE"""),"")</f>
        <v/>
      </c>
      <c r="H553" t="str">
        <f>IFERROR(__xludf.DUMMYFUNCTION("""COMPUTED_VALUE"""),"")</f>
        <v/>
      </c>
      <c r="I553" t="str">
        <f>IFERROR(__xludf.DUMMYFUNCTION("""COMPUTED_VALUE"""),"")</f>
        <v/>
      </c>
      <c r="J553" t="str">
        <f>IFERROR(__xludf.DUMMYFUNCTION("""COMPUTED_VALUE"""),"")</f>
        <v/>
      </c>
      <c r="K553" t="str">
        <f>IFERROR(__xludf.DUMMYFUNCTION("""COMPUTED_VALUE"""),"")</f>
        <v/>
      </c>
      <c r="L553" t="str">
        <f>IFERROR(__xludf.DUMMYFUNCTION("""COMPUTED_VALUE"""),"")</f>
        <v/>
      </c>
    </row>
    <row r="554" ht="15.75" customHeight="1">
      <c r="A554" t="str">
        <f>IFERROR(__xludf.DUMMYFUNCTION("""COMPUTED_VALUE"""),"")</f>
        <v/>
      </c>
      <c r="B554" t="str">
        <f>IFERROR(__xludf.DUMMYFUNCTION("""COMPUTED_VALUE"""),"")</f>
        <v/>
      </c>
      <c r="C554" t="str">
        <f>IFERROR(__xludf.DUMMYFUNCTION("""COMPUTED_VALUE"""),"")</f>
        <v/>
      </c>
      <c r="D554" t="str">
        <f>IFERROR(__xludf.DUMMYFUNCTION("""COMPUTED_VALUE"""),"")</f>
        <v/>
      </c>
      <c r="E554" t="str">
        <f>IFERROR(__xludf.DUMMYFUNCTION("""COMPUTED_VALUE"""),"")</f>
        <v/>
      </c>
      <c r="F554" t="str">
        <f>IFERROR(__xludf.DUMMYFUNCTION("""COMPUTED_VALUE"""),"")</f>
        <v/>
      </c>
      <c r="G554" t="str">
        <f>IFERROR(__xludf.DUMMYFUNCTION("""COMPUTED_VALUE"""),"")</f>
        <v/>
      </c>
      <c r="H554" t="str">
        <f>IFERROR(__xludf.DUMMYFUNCTION("""COMPUTED_VALUE"""),"")</f>
        <v/>
      </c>
      <c r="I554" t="str">
        <f>IFERROR(__xludf.DUMMYFUNCTION("""COMPUTED_VALUE"""),"")</f>
        <v/>
      </c>
      <c r="J554" t="str">
        <f>IFERROR(__xludf.DUMMYFUNCTION("""COMPUTED_VALUE"""),"")</f>
        <v/>
      </c>
      <c r="K554" t="str">
        <f>IFERROR(__xludf.DUMMYFUNCTION("""COMPUTED_VALUE"""),"")</f>
        <v/>
      </c>
      <c r="L554" t="str">
        <f>IFERROR(__xludf.DUMMYFUNCTION("""COMPUTED_VALUE"""),"")</f>
        <v/>
      </c>
    </row>
    <row r="555" ht="15.75" customHeight="1">
      <c r="A555" t="str">
        <f>IFERROR(__xludf.DUMMYFUNCTION("""COMPUTED_VALUE"""),"")</f>
        <v/>
      </c>
      <c r="B555" t="str">
        <f>IFERROR(__xludf.DUMMYFUNCTION("""COMPUTED_VALUE"""),"")</f>
        <v/>
      </c>
      <c r="C555" t="str">
        <f>IFERROR(__xludf.DUMMYFUNCTION("""COMPUTED_VALUE"""),"")</f>
        <v/>
      </c>
      <c r="D555" t="str">
        <f>IFERROR(__xludf.DUMMYFUNCTION("""COMPUTED_VALUE"""),"")</f>
        <v/>
      </c>
      <c r="E555" t="str">
        <f>IFERROR(__xludf.DUMMYFUNCTION("""COMPUTED_VALUE"""),"")</f>
        <v/>
      </c>
      <c r="F555" t="str">
        <f>IFERROR(__xludf.DUMMYFUNCTION("""COMPUTED_VALUE"""),"")</f>
        <v/>
      </c>
      <c r="G555" t="str">
        <f>IFERROR(__xludf.DUMMYFUNCTION("""COMPUTED_VALUE"""),"")</f>
        <v/>
      </c>
      <c r="H555" t="str">
        <f>IFERROR(__xludf.DUMMYFUNCTION("""COMPUTED_VALUE"""),"")</f>
        <v/>
      </c>
      <c r="I555" t="str">
        <f>IFERROR(__xludf.DUMMYFUNCTION("""COMPUTED_VALUE"""),"")</f>
        <v/>
      </c>
      <c r="J555" t="str">
        <f>IFERROR(__xludf.DUMMYFUNCTION("""COMPUTED_VALUE"""),"")</f>
        <v/>
      </c>
      <c r="K555" t="str">
        <f>IFERROR(__xludf.DUMMYFUNCTION("""COMPUTED_VALUE"""),"")</f>
        <v/>
      </c>
      <c r="L555" t="str">
        <f>IFERROR(__xludf.DUMMYFUNCTION("""COMPUTED_VALUE"""),"")</f>
        <v/>
      </c>
    </row>
    <row r="556" ht="15.75" customHeight="1">
      <c r="A556" t="str">
        <f>IFERROR(__xludf.DUMMYFUNCTION("""COMPUTED_VALUE"""),"")</f>
        <v/>
      </c>
      <c r="B556" t="str">
        <f>IFERROR(__xludf.DUMMYFUNCTION("""COMPUTED_VALUE"""),"")</f>
        <v/>
      </c>
      <c r="C556" t="str">
        <f>IFERROR(__xludf.DUMMYFUNCTION("""COMPUTED_VALUE"""),"")</f>
        <v/>
      </c>
      <c r="D556" t="str">
        <f>IFERROR(__xludf.DUMMYFUNCTION("""COMPUTED_VALUE"""),"")</f>
        <v/>
      </c>
      <c r="E556" t="str">
        <f>IFERROR(__xludf.DUMMYFUNCTION("""COMPUTED_VALUE"""),"")</f>
        <v/>
      </c>
      <c r="F556" t="str">
        <f>IFERROR(__xludf.DUMMYFUNCTION("""COMPUTED_VALUE"""),"")</f>
        <v/>
      </c>
      <c r="G556" t="str">
        <f>IFERROR(__xludf.DUMMYFUNCTION("""COMPUTED_VALUE"""),"")</f>
        <v/>
      </c>
      <c r="H556" t="str">
        <f>IFERROR(__xludf.DUMMYFUNCTION("""COMPUTED_VALUE"""),"")</f>
        <v/>
      </c>
      <c r="I556" t="str">
        <f>IFERROR(__xludf.DUMMYFUNCTION("""COMPUTED_VALUE"""),"")</f>
        <v/>
      </c>
      <c r="J556" t="str">
        <f>IFERROR(__xludf.DUMMYFUNCTION("""COMPUTED_VALUE"""),"")</f>
        <v/>
      </c>
      <c r="K556" t="str">
        <f>IFERROR(__xludf.DUMMYFUNCTION("""COMPUTED_VALUE"""),"")</f>
        <v/>
      </c>
      <c r="L556" t="str">
        <f>IFERROR(__xludf.DUMMYFUNCTION("""COMPUTED_VALUE"""),"")</f>
        <v/>
      </c>
    </row>
    <row r="557" ht="15.75" customHeight="1">
      <c r="A557" t="str">
        <f>IFERROR(__xludf.DUMMYFUNCTION("""COMPUTED_VALUE"""),"")</f>
        <v/>
      </c>
      <c r="B557" t="str">
        <f>IFERROR(__xludf.DUMMYFUNCTION("""COMPUTED_VALUE"""),"")</f>
        <v/>
      </c>
      <c r="C557" t="str">
        <f>IFERROR(__xludf.DUMMYFUNCTION("""COMPUTED_VALUE"""),"")</f>
        <v/>
      </c>
      <c r="D557" t="str">
        <f>IFERROR(__xludf.DUMMYFUNCTION("""COMPUTED_VALUE"""),"")</f>
        <v/>
      </c>
      <c r="E557" t="str">
        <f>IFERROR(__xludf.DUMMYFUNCTION("""COMPUTED_VALUE"""),"")</f>
        <v/>
      </c>
      <c r="F557" t="str">
        <f>IFERROR(__xludf.DUMMYFUNCTION("""COMPUTED_VALUE"""),"")</f>
        <v/>
      </c>
      <c r="G557" t="str">
        <f>IFERROR(__xludf.DUMMYFUNCTION("""COMPUTED_VALUE"""),"")</f>
        <v/>
      </c>
      <c r="H557" t="str">
        <f>IFERROR(__xludf.DUMMYFUNCTION("""COMPUTED_VALUE"""),"")</f>
        <v/>
      </c>
      <c r="I557" t="str">
        <f>IFERROR(__xludf.DUMMYFUNCTION("""COMPUTED_VALUE"""),"")</f>
        <v/>
      </c>
      <c r="J557" t="str">
        <f>IFERROR(__xludf.DUMMYFUNCTION("""COMPUTED_VALUE"""),"")</f>
        <v/>
      </c>
      <c r="K557" t="str">
        <f>IFERROR(__xludf.DUMMYFUNCTION("""COMPUTED_VALUE"""),"")</f>
        <v/>
      </c>
      <c r="L557" t="str">
        <f>IFERROR(__xludf.DUMMYFUNCTION("""COMPUTED_VALUE"""),"")</f>
        <v/>
      </c>
    </row>
    <row r="558" ht="15.75" customHeight="1">
      <c r="A558" t="str">
        <f>IFERROR(__xludf.DUMMYFUNCTION("""COMPUTED_VALUE"""),"")</f>
        <v/>
      </c>
      <c r="B558" t="str">
        <f>IFERROR(__xludf.DUMMYFUNCTION("""COMPUTED_VALUE"""),"")</f>
        <v/>
      </c>
      <c r="C558" t="str">
        <f>IFERROR(__xludf.DUMMYFUNCTION("""COMPUTED_VALUE"""),"")</f>
        <v/>
      </c>
      <c r="D558" t="str">
        <f>IFERROR(__xludf.DUMMYFUNCTION("""COMPUTED_VALUE"""),"")</f>
        <v/>
      </c>
      <c r="E558" t="str">
        <f>IFERROR(__xludf.DUMMYFUNCTION("""COMPUTED_VALUE"""),"")</f>
        <v/>
      </c>
      <c r="F558" t="str">
        <f>IFERROR(__xludf.DUMMYFUNCTION("""COMPUTED_VALUE"""),"")</f>
        <v/>
      </c>
      <c r="G558" t="str">
        <f>IFERROR(__xludf.DUMMYFUNCTION("""COMPUTED_VALUE"""),"")</f>
        <v/>
      </c>
      <c r="H558" t="str">
        <f>IFERROR(__xludf.DUMMYFUNCTION("""COMPUTED_VALUE"""),"")</f>
        <v/>
      </c>
      <c r="I558" t="str">
        <f>IFERROR(__xludf.DUMMYFUNCTION("""COMPUTED_VALUE"""),"")</f>
        <v/>
      </c>
      <c r="J558" t="str">
        <f>IFERROR(__xludf.DUMMYFUNCTION("""COMPUTED_VALUE"""),"")</f>
        <v/>
      </c>
      <c r="K558" t="str">
        <f>IFERROR(__xludf.DUMMYFUNCTION("""COMPUTED_VALUE"""),"")</f>
        <v/>
      </c>
      <c r="L558" t="str">
        <f>IFERROR(__xludf.DUMMYFUNCTION("""COMPUTED_VALUE"""),"")</f>
        <v/>
      </c>
    </row>
    <row r="559" ht="15.75" customHeight="1">
      <c r="A559" t="str">
        <f>IFERROR(__xludf.DUMMYFUNCTION("""COMPUTED_VALUE"""),"")</f>
        <v/>
      </c>
      <c r="B559" t="str">
        <f>IFERROR(__xludf.DUMMYFUNCTION("""COMPUTED_VALUE"""),"")</f>
        <v/>
      </c>
      <c r="C559" t="str">
        <f>IFERROR(__xludf.DUMMYFUNCTION("""COMPUTED_VALUE"""),"")</f>
        <v/>
      </c>
      <c r="D559" t="str">
        <f>IFERROR(__xludf.DUMMYFUNCTION("""COMPUTED_VALUE"""),"")</f>
        <v/>
      </c>
      <c r="E559" t="str">
        <f>IFERROR(__xludf.DUMMYFUNCTION("""COMPUTED_VALUE"""),"")</f>
        <v/>
      </c>
      <c r="F559" t="str">
        <f>IFERROR(__xludf.DUMMYFUNCTION("""COMPUTED_VALUE"""),"")</f>
        <v/>
      </c>
      <c r="G559" t="str">
        <f>IFERROR(__xludf.DUMMYFUNCTION("""COMPUTED_VALUE"""),"")</f>
        <v/>
      </c>
      <c r="H559" t="str">
        <f>IFERROR(__xludf.DUMMYFUNCTION("""COMPUTED_VALUE"""),"")</f>
        <v/>
      </c>
      <c r="I559" t="str">
        <f>IFERROR(__xludf.DUMMYFUNCTION("""COMPUTED_VALUE"""),"")</f>
        <v/>
      </c>
      <c r="J559" t="str">
        <f>IFERROR(__xludf.DUMMYFUNCTION("""COMPUTED_VALUE"""),"")</f>
        <v/>
      </c>
      <c r="K559" t="str">
        <f>IFERROR(__xludf.DUMMYFUNCTION("""COMPUTED_VALUE"""),"")</f>
        <v/>
      </c>
      <c r="L559" t="str">
        <f>IFERROR(__xludf.DUMMYFUNCTION("""COMPUTED_VALUE"""),"")</f>
        <v/>
      </c>
    </row>
    <row r="560" ht="15.75" customHeight="1">
      <c r="A560" t="str">
        <f>IFERROR(__xludf.DUMMYFUNCTION("""COMPUTED_VALUE"""),"")</f>
        <v/>
      </c>
      <c r="B560" t="str">
        <f>IFERROR(__xludf.DUMMYFUNCTION("""COMPUTED_VALUE"""),"")</f>
        <v/>
      </c>
      <c r="C560" t="str">
        <f>IFERROR(__xludf.DUMMYFUNCTION("""COMPUTED_VALUE"""),"")</f>
        <v/>
      </c>
      <c r="D560" t="str">
        <f>IFERROR(__xludf.DUMMYFUNCTION("""COMPUTED_VALUE"""),"")</f>
        <v/>
      </c>
      <c r="E560" t="str">
        <f>IFERROR(__xludf.DUMMYFUNCTION("""COMPUTED_VALUE"""),"")</f>
        <v/>
      </c>
      <c r="F560" t="str">
        <f>IFERROR(__xludf.DUMMYFUNCTION("""COMPUTED_VALUE"""),"")</f>
        <v/>
      </c>
      <c r="G560" t="str">
        <f>IFERROR(__xludf.DUMMYFUNCTION("""COMPUTED_VALUE"""),"")</f>
        <v/>
      </c>
      <c r="H560" t="str">
        <f>IFERROR(__xludf.DUMMYFUNCTION("""COMPUTED_VALUE"""),"")</f>
        <v/>
      </c>
      <c r="I560" t="str">
        <f>IFERROR(__xludf.DUMMYFUNCTION("""COMPUTED_VALUE"""),"")</f>
        <v/>
      </c>
      <c r="J560" t="str">
        <f>IFERROR(__xludf.DUMMYFUNCTION("""COMPUTED_VALUE"""),"")</f>
        <v/>
      </c>
      <c r="K560" t="str">
        <f>IFERROR(__xludf.DUMMYFUNCTION("""COMPUTED_VALUE"""),"")</f>
        <v/>
      </c>
      <c r="L560" t="str">
        <f>IFERROR(__xludf.DUMMYFUNCTION("""COMPUTED_VALUE"""),"")</f>
        <v/>
      </c>
    </row>
    <row r="561" ht="15.75" customHeight="1">
      <c r="A561" t="str">
        <f>IFERROR(__xludf.DUMMYFUNCTION("""COMPUTED_VALUE"""),"")</f>
        <v/>
      </c>
      <c r="B561" t="str">
        <f>IFERROR(__xludf.DUMMYFUNCTION("""COMPUTED_VALUE"""),"")</f>
        <v/>
      </c>
      <c r="C561" t="str">
        <f>IFERROR(__xludf.DUMMYFUNCTION("""COMPUTED_VALUE"""),"")</f>
        <v/>
      </c>
      <c r="D561" t="str">
        <f>IFERROR(__xludf.DUMMYFUNCTION("""COMPUTED_VALUE"""),"")</f>
        <v/>
      </c>
      <c r="E561" t="str">
        <f>IFERROR(__xludf.DUMMYFUNCTION("""COMPUTED_VALUE"""),"")</f>
        <v/>
      </c>
      <c r="F561" t="str">
        <f>IFERROR(__xludf.DUMMYFUNCTION("""COMPUTED_VALUE"""),"")</f>
        <v/>
      </c>
      <c r="G561" t="str">
        <f>IFERROR(__xludf.DUMMYFUNCTION("""COMPUTED_VALUE"""),"")</f>
        <v/>
      </c>
      <c r="H561" t="str">
        <f>IFERROR(__xludf.DUMMYFUNCTION("""COMPUTED_VALUE"""),"")</f>
        <v/>
      </c>
      <c r="I561" t="str">
        <f>IFERROR(__xludf.DUMMYFUNCTION("""COMPUTED_VALUE"""),"")</f>
        <v/>
      </c>
      <c r="J561" t="str">
        <f>IFERROR(__xludf.DUMMYFUNCTION("""COMPUTED_VALUE"""),"")</f>
        <v/>
      </c>
      <c r="K561" t="str">
        <f>IFERROR(__xludf.DUMMYFUNCTION("""COMPUTED_VALUE"""),"")</f>
        <v/>
      </c>
      <c r="L561" t="str">
        <f>IFERROR(__xludf.DUMMYFUNCTION("""COMPUTED_VALUE"""),"")</f>
        <v/>
      </c>
    </row>
    <row r="562" ht="15.75" customHeight="1">
      <c r="A562" t="str">
        <f>IFERROR(__xludf.DUMMYFUNCTION("""COMPUTED_VALUE"""),"")</f>
        <v/>
      </c>
      <c r="B562" t="str">
        <f>IFERROR(__xludf.DUMMYFUNCTION("""COMPUTED_VALUE"""),"")</f>
        <v/>
      </c>
      <c r="C562" t="str">
        <f>IFERROR(__xludf.DUMMYFUNCTION("""COMPUTED_VALUE"""),"")</f>
        <v/>
      </c>
      <c r="D562" t="str">
        <f>IFERROR(__xludf.DUMMYFUNCTION("""COMPUTED_VALUE"""),"")</f>
        <v/>
      </c>
      <c r="E562" t="str">
        <f>IFERROR(__xludf.DUMMYFUNCTION("""COMPUTED_VALUE"""),"")</f>
        <v/>
      </c>
      <c r="F562" t="str">
        <f>IFERROR(__xludf.DUMMYFUNCTION("""COMPUTED_VALUE"""),"")</f>
        <v/>
      </c>
      <c r="G562" t="str">
        <f>IFERROR(__xludf.DUMMYFUNCTION("""COMPUTED_VALUE"""),"")</f>
        <v/>
      </c>
      <c r="H562" t="str">
        <f>IFERROR(__xludf.DUMMYFUNCTION("""COMPUTED_VALUE"""),"")</f>
        <v/>
      </c>
      <c r="I562" t="str">
        <f>IFERROR(__xludf.DUMMYFUNCTION("""COMPUTED_VALUE"""),"")</f>
        <v/>
      </c>
      <c r="J562" t="str">
        <f>IFERROR(__xludf.DUMMYFUNCTION("""COMPUTED_VALUE"""),"")</f>
        <v/>
      </c>
      <c r="K562" t="str">
        <f>IFERROR(__xludf.DUMMYFUNCTION("""COMPUTED_VALUE"""),"")</f>
        <v/>
      </c>
      <c r="L562" t="str">
        <f>IFERROR(__xludf.DUMMYFUNCTION("""COMPUTED_VALUE"""),"")</f>
        <v/>
      </c>
    </row>
    <row r="563" ht="15.75" customHeight="1">
      <c r="A563" t="str">
        <f>IFERROR(__xludf.DUMMYFUNCTION("""COMPUTED_VALUE"""),"")</f>
        <v/>
      </c>
      <c r="B563" t="str">
        <f>IFERROR(__xludf.DUMMYFUNCTION("""COMPUTED_VALUE"""),"")</f>
        <v/>
      </c>
      <c r="C563" t="str">
        <f>IFERROR(__xludf.DUMMYFUNCTION("""COMPUTED_VALUE"""),"")</f>
        <v/>
      </c>
      <c r="D563" t="str">
        <f>IFERROR(__xludf.DUMMYFUNCTION("""COMPUTED_VALUE"""),"")</f>
        <v/>
      </c>
      <c r="E563" t="str">
        <f>IFERROR(__xludf.DUMMYFUNCTION("""COMPUTED_VALUE"""),"")</f>
        <v/>
      </c>
      <c r="F563" t="str">
        <f>IFERROR(__xludf.DUMMYFUNCTION("""COMPUTED_VALUE"""),"")</f>
        <v/>
      </c>
      <c r="G563" t="str">
        <f>IFERROR(__xludf.DUMMYFUNCTION("""COMPUTED_VALUE"""),"")</f>
        <v/>
      </c>
      <c r="H563" t="str">
        <f>IFERROR(__xludf.DUMMYFUNCTION("""COMPUTED_VALUE"""),"")</f>
        <v/>
      </c>
      <c r="I563" t="str">
        <f>IFERROR(__xludf.DUMMYFUNCTION("""COMPUTED_VALUE"""),"")</f>
        <v/>
      </c>
      <c r="J563" t="str">
        <f>IFERROR(__xludf.DUMMYFUNCTION("""COMPUTED_VALUE"""),"")</f>
        <v/>
      </c>
      <c r="K563" t="str">
        <f>IFERROR(__xludf.DUMMYFUNCTION("""COMPUTED_VALUE"""),"")</f>
        <v/>
      </c>
      <c r="L563" t="str">
        <f>IFERROR(__xludf.DUMMYFUNCTION("""COMPUTED_VALUE"""),"")</f>
        <v/>
      </c>
    </row>
    <row r="564" ht="15.75" customHeight="1">
      <c r="A564" t="str">
        <f>IFERROR(__xludf.DUMMYFUNCTION("""COMPUTED_VALUE"""),"")</f>
        <v/>
      </c>
      <c r="B564" t="str">
        <f>IFERROR(__xludf.DUMMYFUNCTION("""COMPUTED_VALUE"""),"")</f>
        <v/>
      </c>
      <c r="C564" t="str">
        <f>IFERROR(__xludf.DUMMYFUNCTION("""COMPUTED_VALUE"""),"")</f>
        <v/>
      </c>
      <c r="D564" t="str">
        <f>IFERROR(__xludf.DUMMYFUNCTION("""COMPUTED_VALUE"""),"")</f>
        <v/>
      </c>
      <c r="E564" t="str">
        <f>IFERROR(__xludf.DUMMYFUNCTION("""COMPUTED_VALUE"""),"")</f>
        <v/>
      </c>
      <c r="F564" t="str">
        <f>IFERROR(__xludf.DUMMYFUNCTION("""COMPUTED_VALUE"""),"")</f>
        <v/>
      </c>
      <c r="G564" t="str">
        <f>IFERROR(__xludf.DUMMYFUNCTION("""COMPUTED_VALUE"""),"")</f>
        <v/>
      </c>
      <c r="H564" t="str">
        <f>IFERROR(__xludf.DUMMYFUNCTION("""COMPUTED_VALUE"""),"")</f>
        <v/>
      </c>
      <c r="I564" t="str">
        <f>IFERROR(__xludf.DUMMYFUNCTION("""COMPUTED_VALUE"""),"")</f>
        <v/>
      </c>
      <c r="J564" t="str">
        <f>IFERROR(__xludf.DUMMYFUNCTION("""COMPUTED_VALUE"""),"")</f>
        <v/>
      </c>
      <c r="K564" t="str">
        <f>IFERROR(__xludf.DUMMYFUNCTION("""COMPUTED_VALUE"""),"")</f>
        <v/>
      </c>
      <c r="L564" t="str">
        <f>IFERROR(__xludf.DUMMYFUNCTION("""COMPUTED_VALUE"""),"")</f>
        <v/>
      </c>
    </row>
    <row r="565" ht="15.75" customHeight="1">
      <c r="A565" t="str">
        <f>IFERROR(__xludf.DUMMYFUNCTION("""COMPUTED_VALUE"""),"")</f>
        <v/>
      </c>
      <c r="B565" t="str">
        <f>IFERROR(__xludf.DUMMYFUNCTION("""COMPUTED_VALUE"""),"")</f>
        <v/>
      </c>
      <c r="C565" t="str">
        <f>IFERROR(__xludf.DUMMYFUNCTION("""COMPUTED_VALUE"""),"")</f>
        <v/>
      </c>
      <c r="D565" t="str">
        <f>IFERROR(__xludf.DUMMYFUNCTION("""COMPUTED_VALUE"""),"")</f>
        <v/>
      </c>
      <c r="E565" t="str">
        <f>IFERROR(__xludf.DUMMYFUNCTION("""COMPUTED_VALUE"""),"")</f>
        <v/>
      </c>
      <c r="F565" t="str">
        <f>IFERROR(__xludf.DUMMYFUNCTION("""COMPUTED_VALUE"""),"")</f>
        <v/>
      </c>
      <c r="G565" t="str">
        <f>IFERROR(__xludf.DUMMYFUNCTION("""COMPUTED_VALUE"""),"")</f>
        <v/>
      </c>
      <c r="H565" t="str">
        <f>IFERROR(__xludf.DUMMYFUNCTION("""COMPUTED_VALUE"""),"")</f>
        <v/>
      </c>
      <c r="I565" t="str">
        <f>IFERROR(__xludf.DUMMYFUNCTION("""COMPUTED_VALUE"""),"")</f>
        <v/>
      </c>
      <c r="J565" t="str">
        <f>IFERROR(__xludf.DUMMYFUNCTION("""COMPUTED_VALUE"""),"")</f>
        <v/>
      </c>
      <c r="K565" t="str">
        <f>IFERROR(__xludf.DUMMYFUNCTION("""COMPUTED_VALUE"""),"")</f>
        <v/>
      </c>
      <c r="L565" t="str">
        <f>IFERROR(__xludf.DUMMYFUNCTION("""COMPUTED_VALUE"""),"")</f>
        <v/>
      </c>
    </row>
    <row r="566" ht="15.75" customHeight="1">
      <c r="A566" t="str">
        <f>IFERROR(__xludf.DUMMYFUNCTION("""COMPUTED_VALUE"""),"")</f>
        <v/>
      </c>
      <c r="B566" t="str">
        <f>IFERROR(__xludf.DUMMYFUNCTION("""COMPUTED_VALUE"""),"")</f>
        <v/>
      </c>
      <c r="C566" t="str">
        <f>IFERROR(__xludf.DUMMYFUNCTION("""COMPUTED_VALUE"""),"")</f>
        <v/>
      </c>
      <c r="D566" t="str">
        <f>IFERROR(__xludf.DUMMYFUNCTION("""COMPUTED_VALUE"""),"")</f>
        <v/>
      </c>
      <c r="E566" t="str">
        <f>IFERROR(__xludf.DUMMYFUNCTION("""COMPUTED_VALUE"""),"")</f>
        <v/>
      </c>
      <c r="F566" t="str">
        <f>IFERROR(__xludf.DUMMYFUNCTION("""COMPUTED_VALUE"""),"")</f>
        <v/>
      </c>
      <c r="G566" t="str">
        <f>IFERROR(__xludf.DUMMYFUNCTION("""COMPUTED_VALUE"""),"")</f>
        <v/>
      </c>
      <c r="H566" t="str">
        <f>IFERROR(__xludf.DUMMYFUNCTION("""COMPUTED_VALUE"""),"")</f>
        <v/>
      </c>
      <c r="I566" t="str">
        <f>IFERROR(__xludf.DUMMYFUNCTION("""COMPUTED_VALUE"""),"")</f>
        <v/>
      </c>
      <c r="J566" t="str">
        <f>IFERROR(__xludf.DUMMYFUNCTION("""COMPUTED_VALUE"""),"")</f>
        <v/>
      </c>
      <c r="K566" t="str">
        <f>IFERROR(__xludf.DUMMYFUNCTION("""COMPUTED_VALUE"""),"")</f>
        <v/>
      </c>
      <c r="L566" t="str">
        <f>IFERROR(__xludf.DUMMYFUNCTION("""COMPUTED_VALUE"""),"")</f>
        <v/>
      </c>
    </row>
    <row r="567" ht="15.75" customHeight="1">
      <c r="A567" t="str">
        <f>IFERROR(__xludf.DUMMYFUNCTION("""COMPUTED_VALUE"""),"")</f>
        <v/>
      </c>
      <c r="B567" t="str">
        <f>IFERROR(__xludf.DUMMYFUNCTION("""COMPUTED_VALUE"""),"")</f>
        <v/>
      </c>
      <c r="C567" t="str">
        <f>IFERROR(__xludf.DUMMYFUNCTION("""COMPUTED_VALUE"""),"")</f>
        <v/>
      </c>
      <c r="D567" t="str">
        <f>IFERROR(__xludf.DUMMYFUNCTION("""COMPUTED_VALUE"""),"")</f>
        <v/>
      </c>
      <c r="E567" t="str">
        <f>IFERROR(__xludf.DUMMYFUNCTION("""COMPUTED_VALUE"""),"")</f>
        <v/>
      </c>
      <c r="F567" t="str">
        <f>IFERROR(__xludf.DUMMYFUNCTION("""COMPUTED_VALUE"""),"")</f>
        <v/>
      </c>
      <c r="G567" t="str">
        <f>IFERROR(__xludf.DUMMYFUNCTION("""COMPUTED_VALUE"""),"")</f>
        <v/>
      </c>
      <c r="H567" t="str">
        <f>IFERROR(__xludf.DUMMYFUNCTION("""COMPUTED_VALUE"""),"")</f>
        <v/>
      </c>
      <c r="I567" t="str">
        <f>IFERROR(__xludf.DUMMYFUNCTION("""COMPUTED_VALUE"""),"")</f>
        <v/>
      </c>
      <c r="J567" t="str">
        <f>IFERROR(__xludf.DUMMYFUNCTION("""COMPUTED_VALUE"""),"")</f>
        <v/>
      </c>
      <c r="K567" t="str">
        <f>IFERROR(__xludf.DUMMYFUNCTION("""COMPUTED_VALUE"""),"")</f>
        <v/>
      </c>
      <c r="L567" t="str">
        <f>IFERROR(__xludf.DUMMYFUNCTION("""COMPUTED_VALUE"""),"")</f>
        <v/>
      </c>
    </row>
    <row r="568" ht="15.75" customHeight="1">
      <c r="A568" t="str">
        <f>IFERROR(__xludf.DUMMYFUNCTION("""COMPUTED_VALUE"""),"")</f>
        <v/>
      </c>
      <c r="B568" t="str">
        <f>IFERROR(__xludf.DUMMYFUNCTION("""COMPUTED_VALUE"""),"")</f>
        <v/>
      </c>
      <c r="C568" t="str">
        <f>IFERROR(__xludf.DUMMYFUNCTION("""COMPUTED_VALUE"""),"")</f>
        <v/>
      </c>
      <c r="D568" t="str">
        <f>IFERROR(__xludf.DUMMYFUNCTION("""COMPUTED_VALUE"""),"")</f>
        <v/>
      </c>
      <c r="E568" t="str">
        <f>IFERROR(__xludf.DUMMYFUNCTION("""COMPUTED_VALUE"""),"")</f>
        <v/>
      </c>
      <c r="F568" t="str">
        <f>IFERROR(__xludf.DUMMYFUNCTION("""COMPUTED_VALUE"""),"")</f>
        <v/>
      </c>
      <c r="G568" t="str">
        <f>IFERROR(__xludf.DUMMYFUNCTION("""COMPUTED_VALUE"""),"")</f>
        <v/>
      </c>
      <c r="H568" t="str">
        <f>IFERROR(__xludf.DUMMYFUNCTION("""COMPUTED_VALUE"""),"")</f>
        <v/>
      </c>
      <c r="I568" t="str">
        <f>IFERROR(__xludf.DUMMYFUNCTION("""COMPUTED_VALUE"""),"")</f>
        <v/>
      </c>
      <c r="J568" t="str">
        <f>IFERROR(__xludf.DUMMYFUNCTION("""COMPUTED_VALUE"""),"")</f>
        <v/>
      </c>
      <c r="K568" t="str">
        <f>IFERROR(__xludf.DUMMYFUNCTION("""COMPUTED_VALUE"""),"")</f>
        <v/>
      </c>
      <c r="L568" t="str">
        <f>IFERROR(__xludf.DUMMYFUNCTION("""COMPUTED_VALUE"""),"")</f>
        <v/>
      </c>
    </row>
    <row r="569" ht="15.75" customHeight="1">
      <c r="A569" t="str">
        <f>IFERROR(__xludf.DUMMYFUNCTION("""COMPUTED_VALUE"""),"")</f>
        <v/>
      </c>
      <c r="B569" t="str">
        <f>IFERROR(__xludf.DUMMYFUNCTION("""COMPUTED_VALUE"""),"")</f>
        <v/>
      </c>
      <c r="C569" t="str">
        <f>IFERROR(__xludf.DUMMYFUNCTION("""COMPUTED_VALUE"""),"")</f>
        <v/>
      </c>
      <c r="D569" t="str">
        <f>IFERROR(__xludf.DUMMYFUNCTION("""COMPUTED_VALUE"""),"")</f>
        <v/>
      </c>
      <c r="E569" t="str">
        <f>IFERROR(__xludf.DUMMYFUNCTION("""COMPUTED_VALUE"""),"")</f>
        <v/>
      </c>
      <c r="F569" t="str">
        <f>IFERROR(__xludf.DUMMYFUNCTION("""COMPUTED_VALUE"""),"")</f>
        <v/>
      </c>
      <c r="G569" t="str">
        <f>IFERROR(__xludf.DUMMYFUNCTION("""COMPUTED_VALUE"""),"")</f>
        <v/>
      </c>
      <c r="H569" t="str">
        <f>IFERROR(__xludf.DUMMYFUNCTION("""COMPUTED_VALUE"""),"")</f>
        <v/>
      </c>
      <c r="I569" t="str">
        <f>IFERROR(__xludf.DUMMYFUNCTION("""COMPUTED_VALUE"""),"")</f>
        <v/>
      </c>
      <c r="J569" t="str">
        <f>IFERROR(__xludf.DUMMYFUNCTION("""COMPUTED_VALUE"""),"")</f>
        <v/>
      </c>
      <c r="K569" t="str">
        <f>IFERROR(__xludf.DUMMYFUNCTION("""COMPUTED_VALUE"""),"")</f>
        <v/>
      </c>
      <c r="L569" t="str">
        <f>IFERROR(__xludf.DUMMYFUNCTION("""COMPUTED_VALUE"""),"")</f>
        <v/>
      </c>
    </row>
    <row r="570" ht="15.75" customHeight="1">
      <c r="A570" t="str">
        <f>IFERROR(__xludf.DUMMYFUNCTION("""COMPUTED_VALUE"""),"")</f>
        <v/>
      </c>
      <c r="B570" t="str">
        <f>IFERROR(__xludf.DUMMYFUNCTION("""COMPUTED_VALUE"""),"")</f>
        <v/>
      </c>
      <c r="C570" t="str">
        <f>IFERROR(__xludf.DUMMYFUNCTION("""COMPUTED_VALUE"""),"")</f>
        <v/>
      </c>
      <c r="D570" t="str">
        <f>IFERROR(__xludf.DUMMYFUNCTION("""COMPUTED_VALUE"""),"")</f>
        <v/>
      </c>
      <c r="E570" t="str">
        <f>IFERROR(__xludf.DUMMYFUNCTION("""COMPUTED_VALUE"""),"")</f>
        <v/>
      </c>
      <c r="F570" t="str">
        <f>IFERROR(__xludf.DUMMYFUNCTION("""COMPUTED_VALUE"""),"")</f>
        <v/>
      </c>
      <c r="G570" t="str">
        <f>IFERROR(__xludf.DUMMYFUNCTION("""COMPUTED_VALUE"""),"")</f>
        <v/>
      </c>
      <c r="H570" t="str">
        <f>IFERROR(__xludf.DUMMYFUNCTION("""COMPUTED_VALUE"""),"")</f>
        <v/>
      </c>
      <c r="I570" t="str">
        <f>IFERROR(__xludf.DUMMYFUNCTION("""COMPUTED_VALUE"""),"")</f>
        <v/>
      </c>
      <c r="J570" t="str">
        <f>IFERROR(__xludf.DUMMYFUNCTION("""COMPUTED_VALUE"""),"")</f>
        <v/>
      </c>
      <c r="K570" t="str">
        <f>IFERROR(__xludf.DUMMYFUNCTION("""COMPUTED_VALUE"""),"")</f>
        <v/>
      </c>
      <c r="L570" t="str">
        <f>IFERROR(__xludf.DUMMYFUNCTION("""COMPUTED_VALUE"""),"")</f>
        <v/>
      </c>
    </row>
    <row r="571" ht="15.75" customHeight="1">
      <c r="A571" t="str">
        <f>IFERROR(__xludf.DUMMYFUNCTION("""COMPUTED_VALUE"""),"")</f>
        <v/>
      </c>
      <c r="B571" t="str">
        <f>IFERROR(__xludf.DUMMYFUNCTION("""COMPUTED_VALUE"""),"")</f>
        <v/>
      </c>
      <c r="C571" t="str">
        <f>IFERROR(__xludf.DUMMYFUNCTION("""COMPUTED_VALUE"""),"")</f>
        <v/>
      </c>
      <c r="D571" t="str">
        <f>IFERROR(__xludf.DUMMYFUNCTION("""COMPUTED_VALUE"""),"")</f>
        <v/>
      </c>
      <c r="E571" t="str">
        <f>IFERROR(__xludf.DUMMYFUNCTION("""COMPUTED_VALUE"""),"")</f>
        <v/>
      </c>
      <c r="F571" t="str">
        <f>IFERROR(__xludf.DUMMYFUNCTION("""COMPUTED_VALUE"""),"")</f>
        <v/>
      </c>
      <c r="G571" t="str">
        <f>IFERROR(__xludf.DUMMYFUNCTION("""COMPUTED_VALUE"""),"")</f>
        <v/>
      </c>
      <c r="H571" t="str">
        <f>IFERROR(__xludf.DUMMYFUNCTION("""COMPUTED_VALUE"""),"")</f>
        <v/>
      </c>
      <c r="I571" t="str">
        <f>IFERROR(__xludf.DUMMYFUNCTION("""COMPUTED_VALUE"""),"")</f>
        <v/>
      </c>
      <c r="J571" t="str">
        <f>IFERROR(__xludf.DUMMYFUNCTION("""COMPUTED_VALUE"""),"")</f>
        <v/>
      </c>
      <c r="K571" t="str">
        <f>IFERROR(__xludf.DUMMYFUNCTION("""COMPUTED_VALUE"""),"")</f>
        <v/>
      </c>
      <c r="L571" t="str">
        <f>IFERROR(__xludf.DUMMYFUNCTION("""COMPUTED_VALUE"""),"")</f>
        <v/>
      </c>
    </row>
    <row r="572" ht="15.75" customHeight="1">
      <c r="A572" t="str">
        <f>IFERROR(__xludf.DUMMYFUNCTION("""COMPUTED_VALUE"""),"")</f>
        <v/>
      </c>
      <c r="B572" t="str">
        <f>IFERROR(__xludf.DUMMYFUNCTION("""COMPUTED_VALUE"""),"")</f>
        <v/>
      </c>
      <c r="C572" t="str">
        <f>IFERROR(__xludf.DUMMYFUNCTION("""COMPUTED_VALUE"""),"")</f>
        <v/>
      </c>
      <c r="D572" t="str">
        <f>IFERROR(__xludf.DUMMYFUNCTION("""COMPUTED_VALUE"""),"")</f>
        <v/>
      </c>
      <c r="E572" t="str">
        <f>IFERROR(__xludf.DUMMYFUNCTION("""COMPUTED_VALUE"""),"")</f>
        <v/>
      </c>
      <c r="F572" t="str">
        <f>IFERROR(__xludf.DUMMYFUNCTION("""COMPUTED_VALUE"""),"")</f>
        <v/>
      </c>
      <c r="G572" t="str">
        <f>IFERROR(__xludf.DUMMYFUNCTION("""COMPUTED_VALUE"""),"")</f>
        <v/>
      </c>
      <c r="H572" t="str">
        <f>IFERROR(__xludf.DUMMYFUNCTION("""COMPUTED_VALUE"""),"")</f>
        <v/>
      </c>
      <c r="I572" t="str">
        <f>IFERROR(__xludf.DUMMYFUNCTION("""COMPUTED_VALUE"""),"")</f>
        <v/>
      </c>
      <c r="J572" t="str">
        <f>IFERROR(__xludf.DUMMYFUNCTION("""COMPUTED_VALUE"""),"")</f>
        <v/>
      </c>
      <c r="K572" t="str">
        <f>IFERROR(__xludf.DUMMYFUNCTION("""COMPUTED_VALUE"""),"")</f>
        <v/>
      </c>
      <c r="L572" t="str">
        <f>IFERROR(__xludf.DUMMYFUNCTION("""COMPUTED_VALUE"""),"")</f>
        <v/>
      </c>
    </row>
    <row r="573" ht="15.75" customHeight="1">
      <c r="A573" t="str">
        <f>IFERROR(__xludf.DUMMYFUNCTION("""COMPUTED_VALUE"""),"")</f>
        <v/>
      </c>
      <c r="B573" t="str">
        <f>IFERROR(__xludf.DUMMYFUNCTION("""COMPUTED_VALUE"""),"")</f>
        <v/>
      </c>
      <c r="C573" t="str">
        <f>IFERROR(__xludf.DUMMYFUNCTION("""COMPUTED_VALUE"""),"")</f>
        <v/>
      </c>
      <c r="D573" t="str">
        <f>IFERROR(__xludf.DUMMYFUNCTION("""COMPUTED_VALUE"""),"")</f>
        <v/>
      </c>
      <c r="E573" t="str">
        <f>IFERROR(__xludf.DUMMYFUNCTION("""COMPUTED_VALUE"""),"")</f>
        <v/>
      </c>
      <c r="F573" t="str">
        <f>IFERROR(__xludf.DUMMYFUNCTION("""COMPUTED_VALUE"""),"")</f>
        <v/>
      </c>
      <c r="G573" t="str">
        <f>IFERROR(__xludf.DUMMYFUNCTION("""COMPUTED_VALUE"""),"")</f>
        <v/>
      </c>
      <c r="H573" t="str">
        <f>IFERROR(__xludf.DUMMYFUNCTION("""COMPUTED_VALUE"""),"")</f>
        <v/>
      </c>
      <c r="I573" t="str">
        <f>IFERROR(__xludf.DUMMYFUNCTION("""COMPUTED_VALUE"""),"")</f>
        <v/>
      </c>
      <c r="J573" t="str">
        <f>IFERROR(__xludf.DUMMYFUNCTION("""COMPUTED_VALUE"""),"")</f>
        <v/>
      </c>
      <c r="K573" t="str">
        <f>IFERROR(__xludf.DUMMYFUNCTION("""COMPUTED_VALUE"""),"")</f>
        <v/>
      </c>
      <c r="L573" t="str">
        <f>IFERROR(__xludf.DUMMYFUNCTION("""COMPUTED_VALUE"""),"")</f>
        <v/>
      </c>
    </row>
    <row r="574" ht="15.75" customHeight="1">
      <c r="A574" t="str">
        <f>IFERROR(__xludf.DUMMYFUNCTION("""COMPUTED_VALUE"""),"")</f>
        <v/>
      </c>
      <c r="B574" t="str">
        <f>IFERROR(__xludf.DUMMYFUNCTION("""COMPUTED_VALUE"""),"")</f>
        <v/>
      </c>
      <c r="C574" t="str">
        <f>IFERROR(__xludf.DUMMYFUNCTION("""COMPUTED_VALUE"""),"")</f>
        <v/>
      </c>
      <c r="D574" t="str">
        <f>IFERROR(__xludf.DUMMYFUNCTION("""COMPUTED_VALUE"""),"")</f>
        <v/>
      </c>
      <c r="E574" t="str">
        <f>IFERROR(__xludf.DUMMYFUNCTION("""COMPUTED_VALUE"""),"")</f>
        <v/>
      </c>
      <c r="F574" t="str">
        <f>IFERROR(__xludf.DUMMYFUNCTION("""COMPUTED_VALUE"""),"")</f>
        <v/>
      </c>
      <c r="G574" t="str">
        <f>IFERROR(__xludf.DUMMYFUNCTION("""COMPUTED_VALUE"""),"")</f>
        <v/>
      </c>
      <c r="H574" t="str">
        <f>IFERROR(__xludf.DUMMYFUNCTION("""COMPUTED_VALUE"""),"")</f>
        <v/>
      </c>
      <c r="I574" t="str">
        <f>IFERROR(__xludf.DUMMYFUNCTION("""COMPUTED_VALUE"""),"")</f>
        <v/>
      </c>
      <c r="J574" t="str">
        <f>IFERROR(__xludf.DUMMYFUNCTION("""COMPUTED_VALUE"""),"")</f>
        <v/>
      </c>
      <c r="K574" t="str">
        <f>IFERROR(__xludf.DUMMYFUNCTION("""COMPUTED_VALUE"""),"")</f>
        <v/>
      </c>
      <c r="L574" t="str">
        <f>IFERROR(__xludf.DUMMYFUNCTION("""COMPUTED_VALUE"""),"")</f>
        <v/>
      </c>
    </row>
    <row r="575" ht="15.75" customHeight="1">
      <c r="A575" t="str">
        <f>IFERROR(__xludf.DUMMYFUNCTION("""COMPUTED_VALUE"""),"")</f>
        <v/>
      </c>
      <c r="B575" t="str">
        <f>IFERROR(__xludf.DUMMYFUNCTION("""COMPUTED_VALUE"""),"")</f>
        <v/>
      </c>
      <c r="C575" t="str">
        <f>IFERROR(__xludf.DUMMYFUNCTION("""COMPUTED_VALUE"""),"")</f>
        <v/>
      </c>
      <c r="D575" t="str">
        <f>IFERROR(__xludf.DUMMYFUNCTION("""COMPUTED_VALUE"""),"")</f>
        <v/>
      </c>
      <c r="E575" t="str">
        <f>IFERROR(__xludf.DUMMYFUNCTION("""COMPUTED_VALUE"""),"")</f>
        <v/>
      </c>
      <c r="F575" t="str">
        <f>IFERROR(__xludf.DUMMYFUNCTION("""COMPUTED_VALUE"""),"")</f>
        <v/>
      </c>
      <c r="G575" t="str">
        <f>IFERROR(__xludf.DUMMYFUNCTION("""COMPUTED_VALUE"""),"")</f>
        <v/>
      </c>
      <c r="H575" t="str">
        <f>IFERROR(__xludf.DUMMYFUNCTION("""COMPUTED_VALUE"""),"")</f>
        <v/>
      </c>
      <c r="I575" t="str">
        <f>IFERROR(__xludf.DUMMYFUNCTION("""COMPUTED_VALUE"""),"")</f>
        <v/>
      </c>
      <c r="J575" t="str">
        <f>IFERROR(__xludf.DUMMYFUNCTION("""COMPUTED_VALUE"""),"")</f>
        <v/>
      </c>
      <c r="K575" t="str">
        <f>IFERROR(__xludf.DUMMYFUNCTION("""COMPUTED_VALUE"""),"")</f>
        <v/>
      </c>
      <c r="L575" t="str">
        <f>IFERROR(__xludf.DUMMYFUNCTION("""COMPUTED_VALUE"""),"")</f>
        <v/>
      </c>
    </row>
    <row r="576" ht="15.75" customHeight="1">
      <c r="A576" t="str">
        <f>IFERROR(__xludf.DUMMYFUNCTION("""COMPUTED_VALUE"""),"")</f>
        <v/>
      </c>
      <c r="B576" t="str">
        <f>IFERROR(__xludf.DUMMYFUNCTION("""COMPUTED_VALUE"""),"")</f>
        <v/>
      </c>
      <c r="C576" t="str">
        <f>IFERROR(__xludf.DUMMYFUNCTION("""COMPUTED_VALUE"""),"")</f>
        <v/>
      </c>
      <c r="D576" t="str">
        <f>IFERROR(__xludf.DUMMYFUNCTION("""COMPUTED_VALUE"""),"")</f>
        <v/>
      </c>
      <c r="E576" t="str">
        <f>IFERROR(__xludf.DUMMYFUNCTION("""COMPUTED_VALUE"""),"")</f>
        <v/>
      </c>
      <c r="F576" t="str">
        <f>IFERROR(__xludf.DUMMYFUNCTION("""COMPUTED_VALUE"""),"")</f>
        <v/>
      </c>
      <c r="G576" t="str">
        <f>IFERROR(__xludf.DUMMYFUNCTION("""COMPUTED_VALUE"""),"")</f>
        <v/>
      </c>
      <c r="H576" t="str">
        <f>IFERROR(__xludf.DUMMYFUNCTION("""COMPUTED_VALUE"""),"")</f>
        <v/>
      </c>
      <c r="I576" t="str">
        <f>IFERROR(__xludf.DUMMYFUNCTION("""COMPUTED_VALUE"""),"")</f>
        <v/>
      </c>
      <c r="J576" t="str">
        <f>IFERROR(__xludf.DUMMYFUNCTION("""COMPUTED_VALUE"""),"")</f>
        <v/>
      </c>
      <c r="K576" t="str">
        <f>IFERROR(__xludf.DUMMYFUNCTION("""COMPUTED_VALUE"""),"")</f>
        <v/>
      </c>
      <c r="L576" t="str">
        <f>IFERROR(__xludf.DUMMYFUNCTION("""COMPUTED_VALUE"""),"")</f>
        <v/>
      </c>
    </row>
    <row r="577" ht="15.75" customHeight="1">
      <c r="A577" t="str">
        <f>IFERROR(__xludf.DUMMYFUNCTION("""COMPUTED_VALUE"""),"")</f>
        <v/>
      </c>
      <c r="B577" t="str">
        <f>IFERROR(__xludf.DUMMYFUNCTION("""COMPUTED_VALUE"""),"")</f>
        <v/>
      </c>
      <c r="C577" t="str">
        <f>IFERROR(__xludf.DUMMYFUNCTION("""COMPUTED_VALUE"""),"")</f>
        <v/>
      </c>
      <c r="D577" t="str">
        <f>IFERROR(__xludf.DUMMYFUNCTION("""COMPUTED_VALUE"""),"")</f>
        <v/>
      </c>
      <c r="E577" t="str">
        <f>IFERROR(__xludf.DUMMYFUNCTION("""COMPUTED_VALUE"""),"")</f>
        <v/>
      </c>
      <c r="F577" t="str">
        <f>IFERROR(__xludf.DUMMYFUNCTION("""COMPUTED_VALUE"""),"")</f>
        <v/>
      </c>
      <c r="G577" t="str">
        <f>IFERROR(__xludf.DUMMYFUNCTION("""COMPUTED_VALUE"""),"")</f>
        <v/>
      </c>
      <c r="H577" t="str">
        <f>IFERROR(__xludf.DUMMYFUNCTION("""COMPUTED_VALUE"""),"")</f>
        <v/>
      </c>
      <c r="I577" t="str">
        <f>IFERROR(__xludf.DUMMYFUNCTION("""COMPUTED_VALUE"""),"")</f>
        <v/>
      </c>
      <c r="J577" t="str">
        <f>IFERROR(__xludf.DUMMYFUNCTION("""COMPUTED_VALUE"""),"")</f>
        <v/>
      </c>
      <c r="K577" t="str">
        <f>IFERROR(__xludf.DUMMYFUNCTION("""COMPUTED_VALUE"""),"")</f>
        <v/>
      </c>
      <c r="L577" t="str">
        <f>IFERROR(__xludf.DUMMYFUNCTION("""COMPUTED_VALUE"""),"")</f>
        <v/>
      </c>
    </row>
    <row r="578" ht="15.75" customHeight="1">
      <c r="A578" t="str">
        <f>IFERROR(__xludf.DUMMYFUNCTION("""COMPUTED_VALUE"""),"")</f>
        <v/>
      </c>
      <c r="B578" t="str">
        <f>IFERROR(__xludf.DUMMYFUNCTION("""COMPUTED_VALUE"""),"")</f>
        <v/>
      </c>
      <c r="C578" t="str">
        <f>IFERROR(__xludf.DUMMYFUNCTION("""COMPUTED_VALUE"""),"")</f>
        <v/>
      </c>
      <c r="D578" t="str">
        <f>IFERROR(__xludf.DUMMYFUNCTION("""COMPUTED_VALUE"""),"")</f>
        <v/>
      </c>
      <c r="E578" t="str">
        <f>IFERROR(__xludf.DUMMYFUNCTION("""COMPUTED_VALUE"""),"")</f>
        <v/>
      </c>
      <c r="F578" t="str">
        <f>IFERROR(__xludf.DUMMYFUNCTION("""COMPUTED_VALUE"""),"")</f>
        <v/>
      </c>
      <c r="G578" t="str">
        <f>IFERROR(__xludf.DUMMYFUNCTION("""COMPUTED_VALUE"""),"")</f>
        <v/>
      </c>
      <c r="H578" t="str">
        <f>IFERROR(__xludf.DUMMYFUNCTION("""COMPUTED_VALUE"""),"")</f>
        <v/>
      </c>
      <c r="I578" t="str">
        <f>IFERROR(__xludf.DUMMYFUNCTION("""COMPUTED_VALUE"""),"")</f>
        <v/>
      </c>
      <c r="J578" t="str">
        <f>IFERROR(__xludf.DUMMYFUNCTION("""COMPUTED_VALUE"""),"")</f>
        <v/>
      </c>
      <c r="K578" t="str">
        <f>IFERROR(__xludf.DUMMYFUNCTION("""COMPUTED_VALUE"""),"")</f>
        <v/>
      </c>
      <c r="L578" t="str">
        <f>IFERROR(__xludf.DUMMYFUNCTION("""COMPUTED_VALUE"""),"")</f>
        <v/>
      </c>
    </row>
    <row r="579" ht="15.75" customHeight="1">
      <c r="A579" t="str">
        <f>IFERROR(__xludf.DUMMYFUNCTION("""COMPUTED_VALUE"""),"")</f>
        <v/>
      </c>
      <c r="B579" t="str">
        <f>IFERROR(__xludf.DUMMYFUNCTION("""COMPUTED_VALUE"""),"")</f>
        <v/>
      </c>
      <c r="C579" t="str">
        <f>IFERROR(__xludf.DUMMYFUNCTION("""COMPUTED_VALUE"""),"")</f>
        <v/>
      </c>
      <c r="D579" t="str">
        <f>IFERROR(__xludf.DUMMYFUNCTION("""COMPUTED_VALUE"""),"")</f>
        <v/>
      </c>
      <c r="E579" t="str">
        <f>IFERROR(__xludf.DUMMYFUNCTION("""COMPUTED_VALUE"""),"")</f>
        <v/>
      </c>
      <c r="F579" t="str">
        <f>IFERROR(__xludf.DUMMYFUNCTION("""COMPUTED_VALUE"""),"")</f>
        <v/>
      </c>
      <c r="G579" t="str">
        <f>IFERROR(__xludf.DUMMYFUNCTION("""COMPUTED_VALUE"""),"")</f>
        <v/>
      </c>
      <c r="H579" t="str">
        <f>IFERROR(__xludf.DUMMYFUNCTION("""COMPUTED_VALUE"""),"")</f>
        <v/>
      </c>
      <c r="I579" t="str">
        <f>IFERROR(__xludf.DUMMYFUNCTION("""COMPUTED_VALUE"""),"")</f>
        <v/>
      </c>
      <c r="J579" t="str">
        <f>IFERROR(__xludf.DUMMYFUNCTION("""COMPUTED_VALUE"""),"")</f>
        <v/>
      </c>
      <c r="K579" t="str">
        <f>IFERROR(__xludf.DUMMYFUNCTION("""COMPUTED_VALUE"""),"")</f>
        <v/>
      </c>
      <c r="L579" t="str">
        <f>IFERROR(__xludf.DUMMYFUNCTION("""COMPUTED_VALUE"""),"")</f>
        <v/>
      </c>
    </row>
    <row r="580" ht="15.75" customHeight="1">
      <c r="A580" t="str">
        <f>IFERROR(__xludf.DUMMYFUNCTION("""COMPUTED_VALUE"""),"")</f>
        <v/>
      </c>
      <c r="B580" t="str">
        <f>IFERROR(__xludf.DUMMYFUNCTION("""COMPUTED_VALUE"""),"")</f>
        <v/>
      </c>
      <c r="C580" t="str">
        <f>IFERROR(__xludf.DUMMYFUNCTION("""COMPUTED_VALUE"""),"")</f>
        <v/>
      </c>
      <c r="D580" t="str">
        <f>IFERROR(__xludf.DUMMYFUNCTION("""COMPUTED_VALUE"""),"")</f>
        <v/>
      </c>
      <c r="E580" t="str">
        <f>IFERROR(__xludf.DUMMYFUNCTION("""COMPUTED_VALUE"""),"")</f>
        <v/>
      </c>
      <c r="F580" t="str">
        <f>IFERROR(__xludf.DUMMYFUNCTION("""COMPUTED_VALUE"""),"")</f>
        <v/>
      </c>
      <c r="G580" t="str">
        <f>IFERROR(__xludf.DUMMYFUNCTION("""COMPUTED_VALUE"""),"")</f>
        <v/>
      </c>
      <c r="H580" t="str">
        <f>IFERROR(__xludf.DUMMYFUNCTION("""COMPUTED_VALUE"""),"")</f>
        <v/>
      </c>
      <c r="I580" t="str">
        <f>IFERROR(__xludf.DUMMYFUNCTION("""COMPUTED_VALUE"""),"")</f>
        <v/>
      </c>
      <c r="J580" t="str">
        <f>IFERROR(__xludf.DUMMYFUNCTION("""COMPUTED_VALUE"""),"")</f>
        <v/>
      </c>
      <c r="K580" t="str">
        <f>IFERROR(__xludf.DUMMYFUNCTION("""COMPUTED_VALUE"""),"")</f>
        <v/>
      </c>
      <c r="L580" t="str">
        <f>IFERROR(__xludf.DUMMYFUNCTION("""COMPUTED_VALUE"""),"")</f>
        <v/>
      </c>
    </row>
    <row r="581" ht="15.75" customHeight="1">
      <c r="A581" t="str">
        <f>IFERROR(__xludf.DUMMYFUNCTION("""COMPUTED_VALUE"""),"")</f>
        <v/>
      </c>
      <c r="B581" t="str">
        <f>IFERROR(__xludf.DUMMYFUNCTION("""COMPUTED_VALUE"""),"")</f>
        <v/>
      </c>
      <c r="C581" t="str">
        <f>IFERROR(__xludf.DUMMYFUNCTION("""COMPUTED_VALUE"""),"")</f>
        <v/>
      </c>
      <c r="D581" t="str">
        <f>IFERROR(__xludf.DUMMYFUNCTION("""COMPUTED_VALUE"""),"")</f>
        <v/>
      </c>
      <c r="E581" t="str">
        <f>IFERROR(__xludf.DUMMYFUNCTION("""COMPUTED_VALUE"""),"")</f>
        <v/>
      </c>
      <c r="F581" t="str">
        <f>IFERROR(__xludf.DUMMYFUNCTION("""COMPUTED_VALUE"""),"")</f>
        <v/>
      </c>
      <c r="G581" t="str">
        <f>IFERROR(__xludf.DUMMYFUNCTION("""COMPUTED_VALUE"""),"")</f>
        <v/>
      </c>
      <c r="H581" t="str">
        <f>IFERROR(__xludf.DUMMYFUNCTION("""COMPUTED_VALUE"""),"")</f>
        <v/>
      </c>
      <c r="I581" t="str">
        <f>IFERROR(__xludf.DUMMYFUNCTION("""COMPUTED_VALUE"""),"")</f>
        <v/>
      </c>
      <c r="J581" t="str">
        <f>IFERROR(__xludf.DUMMYFUNCTION("""COMPUTED_VALUE"""),"")</f>
        <v/>
      </c>
      <c r="K581" t="str">
        <f>IFERROR(__xludf.DUMMYFUNCTION("""COMPUTED_VALUE"""),"")</f>
        <v/>
      </c>
      <c r="L581" t="str">
        <f>IFERROR(__xludf.DUMMYFUNCTION("""COMPUTED_VALUE"""),"")</f>
        <v/>
      </c>
    </row>
    <row r="582" ht="15.75" customHeight="1">
      <c r="A582" t="str">
        <f>IFERROR(__xludf.DUMMYFUNCTION("""COMPUTED_VALUE"""),"")</f>
        <v/>
      </c>
      <c r="B582" t="str">
        <f>IFERROR(__xludf.DUMMYFUNCTION("""COMPUTED_VALUE"""),"")</f>
        <v/>
      </c>
      <c r="C582" t="str">
        <f>IFERROR(__xludf.DUMMYFUNCTION("""COMPUTED_VALUE"""),"")</f>
        <v/>
      </c>
      <c r="D582" t="str">
        <f>IFERROR(__xludf.DUMMYFUNCTION("""COMPUTED_VALUE"""),"")</f>
        <v/>
      </c>
      <c r="E582" t="str">
        <f>IFERROR(__xludf.DUMMYFUNCTION("""COMPUTED_VALUE"""),"")</f>
        <v/>
      </c>
      <c r="F582" t="str">
        <f>IFERROR(__xludf.DUMMYFUNCTION("""COMPUTED_VALUE"""),"")</f>
        <v/>
      </c>
      <c r="G582" t="str">
        <f>IFERROR(__xludf.DUMMYFUNCTION("""COMPUTED_VALUE"""),"")</f>
        <v/>
      </c>
      <c r="H582" t="str">
        <f>IFERROR(__xludf.DUMMYFUNCTION("""COMPUTED_VALUE"""),"")</f>
        <v/>
      </c>
      <c r="I582" t="str">
        <f>IFERROR(__xludf.DUMMYFUNCTION("""COMPUTED_VALUE"""),"")</f>
        <v/>
      </c>
      <c r="J582" t="str">
        <f>IFERROR(__xludf.DUMMYFUNCTION("""COMPUTED_VALUE"""),"")</f>
        <v/>
      </c>
      <c r="K582" t="str">
        <f>IFERROR(__xludf.DUMMYFUNCTION("""COMPUTED_VALUE"""),"")</f>
        <v/>
      </c>
      <c r="L582" t="str">
        <f>IFERROR(__xludf.DUMMYFUNCTION("""COMPUTED_VALUE"""),"")</f>
        <v/>
      </c>
    </row>
    <row r="583" ht="15.75" customHeight="1">
      <c r="A583" t="str">
        <f>IFERROR(__xludf.DUMMYFUNCTION("""COMPUTED_VALUE"""),"")</f>
        <v/>
      </c>
      <c r="B583" t="str">
        <f>IFERROR(__xludf.DUMMYFUNCTION("""COMPUTED_VALUE"""),"")</f>
        <v/>
      </c>
      <c r="C583" t="str">
        <f>IFERROR(__xludf.DUMMYFUNCTION("""COMPUTED_VALUE"""),"")</f>
        <v/>
      </c>
      <c r="D583" t="str">
        <f>IFERROR(__xludf.DUMMYFUNCTION("""COMPUTED_VALUE"""),"")</f>
        <v/>
      </c>
      <c r="E583" t="str">
        <f>IFERROR(__xludf.DUMMYFUNCTION("""COMPUTED_VALUE"""),"")</f>
        <v/>
      </c>
      <c r="F583" t="str">
        <f>IFERROR(__xludf.DUMMYFUNCTION("""COMPUTED_VALUE"""),"")</f>
        <v/>
      </c>
      <c r="G583" t="str">
        <f>IFERROR(__xludf.DUMMYFUNCTION("""COMPUTED_VALUE"""),"")</f>
        <v/>
      </c>
      <c r="H583" t="str">
        <f>IFERROR(__xludf.DUMMYFUNCTION("""COMPUTED_VALUE"""),"")</f>
        <v/>
      </c>
      <c r="I583" t="str">
        <f>IFERROR(__xludf.DUMMYFUNCTION("""COMPUTED_VALUE"""),"")</f>
        <v/>
      </c>
      <c r="J583" t="str">
        <f>IFERROR(__xludf.DUMMYFUNCTION("""COMPUTED_VALUE"""),"")</f>
        <v/>
      </c>
      <c r="K583" t="str">
        <f>IFERROR(__xludf.DUMMYFUNCTION("""COMPUTED_VALUE"""),"")</f>
        <v/>
      </c>
      <c r="L583" t="str">
        <f>IFERROR(__xludf.DUMMYFUNCTION("""COMPUTED_VALUE"""),"")</f>
        <v/>
      </c>
    </row>
    <row r="584" ht="15.75" customHeight="1">
      <c r="A584" t="str">
        <f>IFERROR(__xludf.DUMMYFUNCTION("""COMPUTED_VALUE"""),"")</f>
        <v/>
      </c>
      <c r="B584" t="str">
        <f>IFERROR(__xludf.DUMMYFUNCTION("""COMPUTED_VALUE"""),"")</f>
        <v/>
      </c>
      <c r="C584" t="str">
        <f>IFERROR(__xludf.DUMMYFUNCTION("""COMPUTED_VALUE"""),"")</f>
        <v/>
      </c>
      <c r="D584" t="str">
        <f>IFERROR(__xludf.DUMMYFUNCTION("""COMPUTED_VALUE"""),"")</f>
        <v/>
      </c>
      <c r="E584" t="str">
        <f>IFERROR(__xludf.DUMMYFUNCTION("""COMPUTED_VALUE"""),"")</f>
        <v/>
      </c>
      <c r="F584" t="str">
        <f>IFERROR(__xludf.DUMMYFUNCTION("""COMPUTED_VALUE"""),"")</f>
        <v/>
      </c>
      <c r="G584" t="str">
        <f>IFERROR(__xludf.DUMMYFUNCTION("""COMPUTED_VALUE"""),"")</f>
        <v/>
      </c>
      <c r="H584" t="str">
        <f>IFERROR(__xludf.DUMMYFUNCTION("""COMPUTED_VALUE"""),"")</f>
        <v/>
      </c>
      <c r="I584" t="str">
        <f>IFERROR(__xludf.DUMMYFUNCTION("""COMPUTED_VALUE"""),"")</f>
        <v/>
      </c>
      <c r="J584" t="str">
        <f>IFERROR(__xludf.DUMMYFUNCTION("""COMPUTED_VALUE"""),"")</f>
        <v/>
      </c>
      <c r="K584" t="str">
        <f>IFERROR(__xludf.DUMMYFUNCTION("""COMPUTED_VALUE"""),"")</f>
        <v/>
      </c>
      <c r="L584" t="str">
        <f>IFERROR(__xludf.DUMMYFUNCTION("""COMPUTED_VALUE"""),"")</f>
        <v/>
      </c>
    </row>
    <row r="585" ht="15.75" customHeight="1">
      <c r="A585" t="str">
        <f>IFERROR(__xludf.DUMMYFUNCTION("""COMPUTED_VALUE"""),"")</f>
        <v/>
      </c>
      <c r="B585" t="str">
        <f>IFERROR(__xludf.DUMMYFUNCTION("""COMPUTED_VALUE"""),"")</f>
        <v/>
      </c>
      <c r="C585" t="str">
        <f>IFERROR(__xludf.DUMMYFUNCTION("""COMPUTED_VALUE"""),"")</f>
        <v/>
      </c>
      <c r="D585" t="str">
        <f>IFERROR(__xludf.DUMMYFUNCTION("""COMPUTED_VALUE"""),"")</f>
        <v/>
      </c>
      <c r="E585" t="str">
        <f>IFERROR(__xludf.DUMMYFUNCTION("""COMPUTED_VALUE"""),"")</f>
        <v/>
      </c>
      <c r="F585" t="str">
        <f>IFERROR(__xludf.DUMMYFUNCTION("""COMPUTED_VALUE"""),"")</f>
        <v/>
      </c>
      <c r="G585" t="str">
        <f>IFERROR(__xludf.DUMMYFUNCTION("""COMPUTED_VALUE"""),"")</f>
        <v/>
      </c>
      <c r="H585" t="str">
        <f>IFERROR(__xludf.DUMMYFUNCTION("""COMPUTED_VALUE"""),"")</f>
        <v/>
      </c>
      <c r="I585" t="str">
        <f>IFERROR(__xludf.DUMMYFUNCTION("""COMPUTED_VALUE"""),"")</f>
        <v/>
      </c>
      <c r="J585" t="str">
        <f>IFERROR(__xludf.DUMMYFUNCTION("""COMPUTED_VALUE"""),"")</f>
        <v/>
      </c>
      <c r="K585" t="str">
        <f>IFERROR(__xludf.DUMMYFUNCTION("""COMPUTED_VALUE"""),"")</f>
        <v/>
      </c>
      <c r="L585" t="str">
        <f>IFERROR(__xludf.DUMMYFUNCTION("""COMPUTED_VALUE"""),"")</f>
        <v/>
      </c>
    </row>
    <row r="586" ht="15.75" customHeight="1">
      <c r="A586" t="str">
        <f>IFERROR(__xludf.DUMMYFUNCTION("""COMPUTED_VALUE"""),"")</f>
        <v/>
      </c>
      <c r="B586" t="str">
        <f>IFERROR(__xludf.DUMMYFUNCTION("""COMPUTED_VALUE"""),"")</f>
        <v/>
      </c>
      <c r="C586" t="str">
        <f>IFERROR(__xludf.DUMMYFUNCTION("""COMPUTED_VALUE"""),"")</f>
        <v/>
      </c>
      <c r="D586" t="str">
        <f>IFERROR(__xludf.DUMMYFUNCTION("""COMPUTED_VALUE"""),"")</f>
        <v/>
      </c>
      <c r="E586" t="str">
        <f>IFERROR(__xludf.DUMMYFUNCTION("""COMPUTED_VALUE"""),"")</f>
        <v/>
      </c>
      <c r="F586" t="str">
        <f>IFERROR(__xludf.DUMMYFUNCTION("""COMPUTED_VALUE"""),"")</f>
        <v/>
      </c>
      <c r="G586" t="str">
        <f>IFERROR(__xludf.DUMMYFUNCTION("""COMPUTED_VALUE"""),"")</f>
        <v/>
      </c>
      <c r="H586" t="str">
        <f>IFERROR(__xludf.DUMMYFUNCTION("""COMPUTED_VALUE"""),"")</f>
        <v/>
      </c>
      <c r="I586" t="str">
        <f>IFERROR(__xludf.DUMMYFUNCTION("""COMPUTED_VALUE"""),"")</f>
        <v/>
      </c>
      <c r="J586" t="str">
        <f>IFERROR(__xludf.DUMMYFUNCTION("""COMPUTED_VALUE"""),"")</f>
        <v/>
      </c>
      <c r="K586" t="str">
        <f>IFERROR(__xludf.DUMMYFUNCTION("""COMPUTED_VALUE"""),"")</f>
        <v/>
      </c>
      <c r="L586" t="str">
        <f>IFERROR(__xludf.DUMMYFUNCTION("""COMPUTED_VALUE"""),"")</f>
        <v/>
      </c>
    </row>
    <row r="587" ht="15.75" customHeight="1">
      <c r="A587" t="str">
        <f>IFERROR(__xludf.DUMMYFUNCTION("""COMPUTED_VALUE"""),"")</f>
        <v/>
      </c>
      <c r="B587" t="str">
        <f>IFERROR(__xludf.DUMMYFUNCTION("""COMPUTED_VALUE"""),"")</f>
        <v/>
      </c>
      <c r="C587" t="str">
        <f>IFERROR(__xludf.DUMMYFUNCTION("""COMPUTED_VALUE"""),"")</f>
        <v/>
      </c>
      <c r="D587" t="str">
        <f>IFERROR(__xludf.DUMMYFUNCTION("""COMPUTED_VALUE"""),"")</f>
        <v/>
      </c>
      <c r="E587" t="str">
        <f>IFERROR(__xludf.DUMMYFUNCTION("""COMPUTED_VALUE"""),"")</f>
        <v/>
      </c>
      <c r="F587" t="str">
        <f>IFERROR(__xludf.DUMMYFUNCTION("""COMPUTED_VALUE"""),"")</f>
        <v/>
      </c>
      <c r="G587" t="str">
        <f>IFERROR(__xludf.DUMMYFUNCTION("""COMPUTED_VALUE"""),"")</f>
        <v/>
      </c>
      <c r="H587" t="str">
        <f>IFERROR(__xludf.DUMMYFUNCTION("""COMPUTED_VALUE"""),"")</f>
        <v/>
      </c>
      <c r="I587" t="str">
        <f>IFERROR(__xludf.DUMMYFUNCTION("""COMPUTED_VALUE"""),"")</f>
        <v/>
      </c>
      <c r="J587" t="str">
        <f>IFERROR(__xludf.DUMMYFUNCTION("""COMPUTED_VALUE"""),"")</f>
        <v/>
      </c>
      <c r="K587" t="str">
        <f>IFERROR(__xludf.DUMMYFUNCTION("""COMPUTED_VALUE"""),"")</f>
        <v/>
      </c>
      <c r="L587" t="str">
        <f>IFERROR(__xludf.DUMMYFUNCTION("""COMPUTED_VALUE"""),"")</f>
        <v/>
      </c>
    </row>
    <row r="588" ht="15.75" customHeight="1">
      <c r="A588" t="str">
        <f>IFERROR(__xludf.DUMMYFUNCTION("""COMPUTED_VALUE"""),"")</f>
        <v/>
      </c>
      <c r="B588" t="str">
        <f>IFERROR(__xludf.DUMMYFUNCTION("""COMPUTED_VALUE"""),"")</f>
        <v/>
      </c>
      <c r="C588" t="str">
        <f>IFERROR(__xludf.DUMMYFUNCTION("""COMPUTED_VALUE"""),"")</f>
        <v/>
      </c>
      <c r="D588" t="str">
        <f>IFERROR(__xludf.DUMMYFUNCTION("""COMPUTED_VALUE"""),"")</f>
        <v/>
      </c>
      <c r="E588" t="str">
        <f>IFERROR(__xludf.DUMMYFUNCTION("""COMPUTED_VALUE"""),"")</f>
        <v/>
      </c>
      <c r="F588" t="str">
        <f>IFERROR(__xludf.DUMMYFUNCTION("""COMPUTED_VALUE"""),"")</f>
        <v/>
      </c>
      <c r="G588" t="str">
        <f>IFERROR(__xludf.DUMMYFUNCTION("""COMPUTED_VALUE"""),"")</f>
        <v/>
      </c>
      <c r="H588" t="str">
        <f>IFERROR(__xludf.DUMMYFUNCTION("""COMPUTED_VALUE"""),"")</f>
        <v/>
      </c>
      <c r="I588" t="str">
        <f>IFERROR(__xludf.DUMMYFUNCTION("""COMPUTED_VALUE"""),"")</f>
        <v/>
      </c>
      <c r="J588" t="str">
        <f>IFERROR(__xludf.DUMMYFUNCTION("""COMPUTED_VALUE"""),"")</f>
        <v/>
      </c>
      <c r="K588" t="str">
        <f>IFERROR(__xludf.DUMMYFUNCTION("""COMPUTED_VALUE"""),"")</f>
        <v/>
      </c>
      <c r="L588" t="str">
        <f>IFERROR(__xludf.DUMMYFUNCTION("""COMPUTED_VALUE"""),"")</f>
        <v/>
      </c>
    </row>
    <row r="589" ht="15.75" customHeight="1">
      <c r="A589" t="str">
        <f>IFERROR(__xludf.DUMMYFUNCTION("""COMPUTED_VALUE"""),"")</f>
        <v/>
      </c>
      <c r="B589" t="str">
        <f>IFERROR(__xludf.DUMMYFUNCTION("""COMPUTED_VALUE"""),"")</f>
        <v/>
      </c>
      <c r="C589" t="str">
        <f>IFERROR(__xludf.DUMMYFUNCTION("""COMPUTED_VALUE"""),"")</f>
        <v/>
      </c>
      <c r="D589" t="str">
        <f>IFERROR(__xludf.DUMMYFUNCTION("""COMPUTED_VALUE"""),"")</f>
        <v/>
      </c>
      <c r="E589" t="str">
        <f>IFERROR(__xludf.DUMMYFUNCTION("""COMPUTED_VALUE"""),"")</f>
        <v/>
      </c>
      <c r="F589" t="str">
        <f>IFERROR(__xludf.DUMMYFUNCTION("""COMPUTED_VALUE"""),"")</f>
        <v/>
      </c>
      <c r="G589" t="str">
        <f>IFERROR(__xludf.DUMMYFUNCTION("""COMPUTED_VALUE"""),"")</f>
        <v/>
      </c>
      <c r="H589" t="str">
        <f>IFERROR(__xludf.DUMMYFUNCTION("""COMPUTED_VALUE"""),"")</f>
        <v/>
      </c>
      <c r="I589" t="str">
        <f>IFERROR(__xludf.DUMMYFUNCTION("""COMPUTED_VALUE"""),"")</f>
        <v/>
      </c>
      <c r="J589" t="str">
        <f>IFERROR(__xludf.DUMMYFUNCTION("""COMPUTED_VALUE"""),"")</f>
        <v/>
      </c>
      <c r="K589" t="str">
        <f>IFERROR(__xludf.DUMMYFUNCTION("""COMPUTED_VALUE"""),"")</f>
        <v/>
      </c>
      <c r="L589" t="str">
        <f>IFERROR(__xludf.DUMMYFUNCTION("""COMPUTED_VALUE"""),"")</f>
        <v/>
      </c>
    </row>
    <row r="590" ht="15.75" customHeight="1">
      <c r="A590" t="str">
        <f>IFERROR(__xludf.DUMMYFUNCTION("""COMPUTED_VALUE"""),"")</f>
        <v/>
      </c>
      <c r="B590" t="str">
        <f>IFERROR(__xludf.DUMMYFUNCTION("""COMPUTED_VALUE"""),"")</f>
        <v/>
      </c>
      <c r="C590" t="str">
        <f>IFERROR(__xludf.DUMMYFUNCTION("""COMPUTED_VALUE"""),"")</f>
        <v/>
      </c>
      <c r="D590" t="str">
        <f>IFERROR(__xludf.DUMMYFUNCTION("""COMPUTED_VALUE"""),"")</f>
        <v/>
      </c>
      <c r="E590" t="str">
        <f>IFERROR(__xludf.DUMMYFUNCTION("""COMPUTED_VALUE"""),"")</f>
        <v/>
      </c>
      <c r="F590" t="str">
        <f>IFERROR(__xludf.DUMMYFUNCTION("""COMPUTED_VALUE"""),"")</f>
        <v/>
      </c>
      <c r="G590" t="str">
        <f>IFERROR(__xludf.DUMMYFUNCTION("""COMPUTED_VALUE"""),"")</f>
        <v/>
      </c>
      <c r="H590" t="str">
        <f>IFERROR(__xludf.DUMMYFUNCTION("""COMPUTED_VALUE"""),"")</f>
        <v/>
      </c>
      <c r="I590" t="str">
        <f>IFERROR(__xludf.DUMMYFUNCTION("""COMPUTED_VALUE"""),"")</f>
        <v/>
      </c>
      <c r="J590" t="str">
        <f>IFERROR(__xludf.DUMMYFUNCTION("""COMPUTED_VALUE"""),"")</f>
        <v/>
      </c>
      <c r="K590" t="str">
        <f>IFERROR(__xludf.DUMMYFUNCTION("""COMPUTED_VALUE"""),"")</f>
        <v/>
      </c>
      <c r="L590" t="str">
        <f>IFERROR(__xludf.DUMMYFUNCTION("""COMPUTED_VALUE"""),"")</f>
        <v/>
      </c>
    </row>
    <row r="591" ht="15.75" customHeight="1">
      <c r="A591" t="str">
        <f>IFERROR(__xludf.DUMMYFUNCTION("""COMPUTED_VALUE"""),"")</f>
        <v/>
      </c>
      <c r="B591" t="str">
        <f>IFERROR(__xludf.DUMMYFUNCTION("""COMPUTED_VALUE"""),"")</f>
        <v/>
      </c>
      <c r="C591" t="str">
        <f>IFERROR(__xludf.DUMMYFUNCTION("""COMPUTED_VALUE"""),"")</f>
        <v/>
      </c>
      <c r="D591" t="str">
        <f>IFERROR(__xludf.DUMMYFUNCTION("""COMPUTED_VALUE"""),"")</f>
        <v/>
      </c>
      <c r="E591" t="str">
        <f>IFERROR(__xludf.DUMMYFUNCTION("""COMPUTED_VALUE"""),"")</f>
        <v/>
      </c>
      <c r="F591" t="str">
        <f>IFERROR(__xludf.DUMMYFUNCTION("""COMPUTED_VALUE"""),"")</f>
        <v/>
      </c>
      <c r="G591" t="str">
        <f>IFERROR(__xludf.DUMMYFUNCTION("""COMPUTED_VALUE"""),"")</f>
        <v/>
      </c>
      <c r="H591" t="str">
        <f>IFERROR(__xludf.DUMMYFUNCTION("""COMPUTED_VALUE"""),"")</f>
        <v/>
      </c>
      <c r="I591" t="str">
        <f>IFERROR(__xludf.DUMMYFUNCTION("""COMPUTED_VALUE"""),"")</f>
        <v/>
      </c>
      <c r="J591" t="str">
        <f>IFERROR(__xludf.DUMMYFUNCTION("""COMPUTED_VALUE"""),"")</f>
        <v/>
      </c>
      <c r="K591" t="str">
        <f>IFERROR(__xludf.DUMMYFUNCTION("""COMPUTED_VALUE"""),"")</f>
        <v/>
      </c>
      <c r="L591" t="str">
        <f>IFERROR(__xludf.DUMMYFUNCTION("""COMPUTED_VALUE"""),"")</f>
        <v/>
      </c>
    </row>
    <row r="592" ht="15.75" customHeight="1">
      <c r="A592" t="str">
        <f>IFERROR(__xludf.DUMMYFUNCTION("""COMPUTED_VALUE"""),"")</f>
        <v/>
      </c>
      <c r="B592" t="str">
        <f>IFERROR(__xludf.DUMMYFUNCTION("""COMPUTED_VALUE"""),"")</f>
        <v/>
      </c>
      <c r="C592" t="str">
        <f>IFERROR(__xludf.DUMMYFUNCTION("""COMPUTED_VALUE"""),"")</f>
        <v/>
      </c>
      <c r="D592" t="str">
        <f>IFERROR(__xludf.DUMMYFUNCTION("""COMPUTED_VALUE"""),"")</f>
        <v/>
      </c>
      <c r="E592" t="str">
        <f>IFERROR(__xludf.DUMMYFUNCTION("""COMPUTED_VALUE"""),"")</f>
        <v/>
      </c>
      <c r="F592" t="str">
        <f>IFERROR(__xludf.DUMMYFUNCTION("""COMPUTED_VALUE"""),"")</f>
        <v/>
      </c>
      <c r="G592" t="str">
        <f>IFERROR(__xludf.DUMMYFUNCTION("""COMPUTED_VALUE"""),"")</f>
        <v/>
      </c>
      <c r="H592" t="str">
        <f>IFERROR(__xludf.DUMMYFUNCTION("""COMPUTED_VALUE"""),"")</f>
        <v/>
      </c>
      <c r="I592" t="str">
        <f>IFERROR(__xludf.DUMMYFUNCTION("""COMPUTED_VALUE"""),"")</f>
        <v/>
      </c>
      <c r="J592" t="str">
        <f>IFERROR(__xludf.DUMMYFUNCTION("""COMPUTED_VALUE"""),"")</f>
        <v/>
      </c>
      <c r="K592" t="str">
        <f>IFERROR(__xludf.DUMMYFUNCTION("""COMPUTED_VALUE"""),"")</f>
        <v/>
      </c>
      <c r="L592" t="str">
        <f>IFERROR(__xludf.DUMMYFUNCTION("""COMPUTED_VALUE"""),"")</f>
        <v/>
      </c>
    </row>
    <row r="593" ht="15.75" customHeight="1">
      <c r="A593" t="str">
        <f>IFERROR(__xludf.DUMMYFUNCTION("""COMPUTED_VALUE"""),"")</f>
        <v/>
      </c>
      <c r="B593" t="str">
        <f>IFERROR(__xludf.DUMMYFUNCTION("""COMPUTED_VALUE"""),"")</f>
        <v/>
      </c>
      <c r="C593" t="str">
        <f>IFERROR(__xludf.DUMMYFUNCTION("""COMPUTED_VALUE"""),"")</f>
        <v/>
      </c>
      <c r="D593" t="str">
        <f>IFERROR(__xludf.DUMMYFUNCTION("""COMPUTED_VALUE"""),"")</f>
        <v/>
      </c>
      <c r="E593" t="str">
        <f>IFERROR(__xludf.DUMMYFUNCTION("""COMPUTED_VALUE"""),"")</f>
        <v/>
      </c>
      <c r="F593" t="str">
        <f>IFERROR(__xludf.DUMMYFUNCTION("""COMPUTED_VALUE"""),"")</f>
        <v/>
      </c>
      <c r="G593" t="str">
        <f>IFERROR(__xludf.DUMMYFUNCTION("""COMPUTED_VALUE"""),"")</f>
        <v/>
      </c>
      <c r="H593" t="str">
        <f>IFERROR(__xludf.DUMMYFUNCTION("""COMPUTED_VALUE"""),"")</f>
        <v/>
      </c>
      <c r="I593" t="str">
        <f>IFERROR(__xludf.DUMMYFUNCTION("""COMPUTED_VALUE"""),"")</f>
        <v/>
      </c>
      <c r="J593" t="str">
        <f>IFERROR(__xludf.DUMMYFUNCTION("""COMPUTED_VALUE"""),"")</f>
        <v/>
      </c>
      <c r="K593" t="str">
        <f>IFERROR(__xludf.DUMMYFUNCTION("""COMPUTED_VALUE"""),"")</f>
        <v/>
      </c>
      <c r="L593" t="str">
        <f>IFERROR(__xludf.DUMMYFUNCTION("""COMPUTED_VALUE"""),"")</f>
        <v/>
      </c>
    </row>
    <row r="594" ht="15.75" customHeight="1">
      <c r="A594" t="str">
        <f>IFERROR(__xludf.DUMMYFUNCTION("""COMPUTED_VALUE"""),"")</f>
        <v/>
      </c>
      <c r="B594" t="str">
        <f>IFERROR(__xludf.DUMMYFUNCTION("""COMPUTED_VALUE"""),"")</f>
        <v/>
      </c>
      <c r="C594" t="str">
        <f>IFERROR(__xludf.DUMMYFUNCTION("""COMPUTED_VALUE"""),"")</f>
        <v/>
      </c>
      <c r="D594" t="str">
        <f>IFERROR(__xludf.DUMMYFUNCTION("""COMPUTED_VALUE"""),"")</f>
        <v/>
      </c>
      <c r="E594" t="str">
        <f>IFERROR(__xludf.DUMMYFUNCTION("""COMPUTED_VALUE"""),"")</f>
        <v/>
      </c>
      <c r="F594" t="str">
        <f>IFERROR(__xludf.DUMMYFUNCTION("""COMPUTED_VALUE"""),"")</f>
        <v/>
      </c>
      <c r="G594" t="str">
        <f>IFERROR(__xludf.DUMMYFUNCTION("""COMPUTED_VALUE"""),"")</f>
        <v/>
      </c>
      <c r="H594" t="str">
        <f>IFERROR(__xludf.DUMMYFUNCTION("""COMPUTED_VALUE"""),"")</f>
        <v/>
      </c>
      <c r="I594" t="str">
        <f>IFERROR(__xludf.DUMMYFUNCTION("""COMPUTED_VALUE"""),"")</f>
        <v/>
      </c>
      <c r="J594" t="str">
        <f>IFERROR(__xludf.DUMMYFUNCTION("""COMPUTED_VALUE"""),"")</f>
        <v/>
      </c>
      <c r="K594" t="str">
        <f>IFERROR(__xludf.DUMMYFUNCTION("""COMPUTED_VALUE"""),"")</f>
        <v/>
      </c>
      <c r="L594" t="str">
        <f>IFERROR(__xludf.DUMMYFUNCTION("""COMPUTED_VALUE"""),"")</f>
        <v/>
      </c>
    </row>
    <row r="595" ht="15.75" customHeight="1">
      <c r="A595" t="str">
        <f>IFERROR(__xludf.DUMMYFUNCTION("""COMPUTED_VALUE"""),"")</f>
        <v/>
      </c>
      <c r="B595" t="str">
        <f>IFERROR(__xludf.DUMMYFUNCTION("""COMPUTED_VALUE"""),"")</f>
        <v/>
      </c>
      <c r="C595" t="str">
        <f>IFERROR(__xludf.DUMMYFUNCTION("""COMPUTED_VALUE"""),"")</f>
        <v/>
      </c>
      <c r="D595" t="str">
        <f>IFERROR(__xludf.DUMMYFUNCTION("""COMPUTED_VALUE"""),"")</f>
        <v/>
      </c>
      <c r="E595" t="str">
        <f>IFERROR(__xludf.DUMMYFUNCTION("""COMPUTED_VALUE"""),"")</f>
        <v/>
      </c>
      <c r="F595" t="str">
        <f>IFERROR(__xludf.DUMMYFUNCTION("""COMPUTED_VALUE"""),"")</f>
        <v/>
      </c>
      <c r="G595" t="str">
        <f>IFERROR(__xludf.DUMMYFUNCTION("""COMPUTED_VALUE"""),"")</f>
        <v/>
      </c>
      <c r="H595" t="str">
        <f>IFERROR(__xludf.DUMMYFUNCTION("""COMPUTED_VALUE"""),"")</f>
        <v/>
      </c>
      <c r="I595" t="str">
        <f>IFERROR(__xludf.DUMMYFUNCTION("""COMPUTED_VALUE"""),"")</f>
        <v/>
      </c>
      <c r="J595" t="str">
        <f>IFERROR(__xludf.DUMMYFUNCTION("""COMPUTED_VALUE"""),"")</f>
        <v/>
      </c>
      <c r="K595" t="str">
        <f>IFERROR(__xludf.DUMMYFUNCTION("""COMPUTED_VALUE"""),"")</f>
        <v/>
      </c>
      <c r="L595" t="str">
        <f>IFERROR(__xludf.DUMMYFUNCTION("""COMPUTED_VALUE"""),"")</f>
        <v/>
      </c>
    </row>
    <row r="596" ht="15.75" customHeight="1">
      <c r="A596" t="str">
        <f>IFERROR(__xludf.DUMMYFUNCTION("""COMPUTED_VALUE"""),"")</f>
        <v/>
      </c>
      <c r="B596" t="str">
        <f>IFERROR(__xludf.DUMMYFUNCTION("""COMPUTED_VALUE"""),"")</f>
        <v/>
      </c>
      <c r="C596" t="str">
        <f>IFERROR(__xludf.DUMMYFUNCTION("""COMPUTED_VALUE"""),"")</f>
        <v/>
      </c>
      <c r="D596" t="str">
        <f>IFERROR(__xludf.DUMMYFUNCTION("""COMPUTED_VALUE"""),"")</f>
        <v/>
      </c>
      <c r="E596" t="str">
        <f>IFERROR(__xludf.DUMMYFUNCTION("""COMPUTED_VALUE"""),"")</f>
        <v/>
      </c>
      <c r="F596" t="str">
        <f>IFERROR(__xludf.DUMMYFUNCTION("""COMPUTED_VALUE"""),"")</f>
        <v/>
      </c>
      <c r="G596" t="str">
        <f>IFERROR(__xludf.DUMMYFUNCTION("""COMPUTED_VALUE"""),"")</f>
        <v/>
      </c>
      <c r="H596" t="str">
        <f>IFERROR(__xludf.DUMMYFUNCTION("""COMPUTED_VALUE"""),"")</f>
        <v/>
      </c>
      <c r="I596" t="str">
        <f>IFERROR(__xludf.DUMMYFUNCTION("""COMPUTED_VALUE"""),"")</f>
        <v/>
      </c>
      <c r="J596" t="str">
        <f>IFERROR(__xludf.DUMMYFUNCTION("""COMPUTED_VALUE"""),"")</f>
        <v/>
      </c>
      <c r="K596" t="str">
        <f>IFERROR(__xludf.DUMMYFUNCTION("""COMPUTED_VALUE"""),"")</f>
        <v/>
      </c>
      <c r="L596" t="str">
        <f>IFERROR(__xludf.DUMMYFUNCTION("""COMPUTED_VALUE"""),"")</f>
        <v/>
      </c>
    </row>
    <row r="597" ht="15.75" customHeight="1">
      <c r="A597" t="str">
        <f>IFERROR(__xludf.DUMMYFUNCTION("""COMPUTED_VALUE"""),"")</f>
        <v/>
      </c>
      <c r="B597" t="str">
        <f>IFERROR(__xludf.DUMMYFUNCTION("""COMPUTED_VALUE"""),"")</f>
        <v/>
      </c>
      <c r="C597" t="str">
        <f>IFERROR(__xludf.DUMMYFUNCTION("""COMPUTED_VALUE"""),"")</f>
        <v/>
      </c>
      <c r="D597" t="str">
        <f>IFERROR(__xludf.DUMMYFUNCTION("""COMPUTED_VALUE"""),"")</f>
        <v/>
      </c>
      <c r="E597" t="str">
        <f>IFERROR(__xludf.DUMMYFUNCTION("""COMPUTED_VALUE"""),"")</f>
        <v/>
      </c>
      <c r="F597" t="str">
        <f>IFERROR(__xludf.DUMMYFUNCTION("""COMPUTED_VALUE"""),"")</f>
        <v/>
      </c>
      <c r="G597" t="str">
        <f>IFERROR(__xludf.DUMMYFUNCTION("""COMPUTED_VALUE"""),"")</f>
        <v/>
      </c>
      <c r="H597" t="str">
        <f>IFERROR(__xludf.DUMMYFUNCTION("""COMPUTED_VALUE"""),"")</f>
        <v/>
      </c>
      <c r="I597" t="str">
        <f>IFERROR(__xludf.DUMMYFUNCTION("""COMPUTED_VALUE"""),"")</f>
        <v/>
      </c>
      <c r="J597" t="str">
        <f>IFERROR(__xludf.DUMMYFUNCTION("""COMPUTED_VALUE"""),"")</f>
        <v/>
      </c>
      <c r="K597" t="str">
        <f>IFERROR(__xludf.DUMMYFUNCTION("""COMPUTED_VALUE"""),"")</f>
        <v/>
      </c>
      <c r="L597" t="str">
        <f>IFERROR(__xludf.DUMMYFUNCTION("""COMPUTED_VALUE"""),"")</f>
        <v/>
      </c>
    </row>
    <row r="598" ht="15.75" customHeight="1">
      <c r="A598" t="str">
        <f>IFERROR(__xludf.DUMMYFUNCTION("""COMPUTED_VALUE"""),"")</f>
        <v/>
      </c>
      <c r="B598" t="str">
        <f>IFERROR(__xludf.DUMMYFUNCTION("""COMPUTED_VALUE"""),"")</f>
        <v/>
      </c>
      <c r="C598" t="str">
        <f>IFERROR(__xludf.DUMMYFUNCTION("""COMPUTED_VALUE"""),"")</f>
        <v/>
      </c>
      <c r="D598" t="str">
        <f>IFERROR(__xludf.DUMMYFUNCTION("""COMPUTED_VALUE"""),"")</f>
        <v/>
      </c>
      <c r="E598" t="str">
        <f>IFERROR(__xludf.DUMMYFUNCTION("""COMPUTED_VALUE"""),"")</f>
        <v/>
      </c>
      <c r="F598" t="str">
        <f>IFERROR(__xludf.DUMMYFUNCTION("""COMPUTED_VALUE"""),"")</f>
        <v/>
      </c>
      <c r="G598" t="str">
        <f>IFERROR(__xludf.DUMMYFUNCTION("""COMPUTED_VALUE"""),"")</f>
        <v/>
      </c>
      <c r="H598" t="str">
        <f>IFERROR(__xludf.DUMMYFUNCTION("""COMPUTED_VALUE"""),"")</f>
        <v/>
      </c>
      <c r="I598" t="str">
        <f>IFERROR(__xludf.DUMMYFUNCTION("""COMPUTED_VALUE"""),"")</f>
        <v/>
      </c>
      <c r="J598" t="str">
        <f>IFERROR(__xludf.DUMMYFUNCTION("""COMPUTED_VALUE"""),"")</f>
        <v/>
      </c>
      <c r="K598" t="str">
        <f>IFERROR(__xludf.DUMMYFUNCTION("""COMPUTED_VALUE"""),"")</f>
        <v/>
      </c>
      <c r="L598" t="str">
        <f>IFERROR(__xludf.DUMMYFUNCTION("""COMPUTED_VALUE"""),"")</f>
        <v/>
      </c>
    </row>
    <row r="599" ht="15.75" customHeight="1">
      <c r="A599" t="str">
        <f>IFERROR(__xludf.DUMMYFUNCTION("""COMPUTED_VALUE"""),"")</f>
        <v/>
      </c>
      <c r="B599" t="str">
        <f>IFERROR(__xludf.DUMMYFUNCTION("""COMPUTED_VALUE"""),"")</f>
        <v/>
      </c>
      <c r="C599" t="str">
        <f>IFERROR(__xludf.DUMMYFUNCTION("""COMPUTED_VALUE"""),"")</f>
        <v/>
      </c>
      <c r="D599" t="str">
        <f>IFERROR(__xludf.DUMMYFUNCTION("""COMPUTED_VALUE"""),"")</f>
        <v/>
      </c>
      <c r="E599" t="str">
        <f>IFERROR(__xludf.DUMMYFUNCTION("""COMPUTED_VALUE"""),"")</f>
        <v/>
      </c>
      <c r="F599" t="str">
        <f>IFERROR(__xludf.DUMMYFUNCTION("""COMPUTED_VALUE"""),"")</f>
        <v/>
      </c>
      <c r="G599" t="str">
        <f>IFERROR(__xludf.DUMMYFUNCTION("""COMPUTED_VALUE"""),"")</f>
        <v/>
      </c>
      <c r="H599" t="str">
        <f>IFERROR(__xludf.DUMMYFUNCTION("""COMPUTED_VALUE"""),"")</f>
        <v/>
      </c>
      <c r="I599" t="str">
        <f>IFERROR(__xludf.DUMMYFUNCTION("""COMPUTED_VALUE"""),"")</f>
        <v/>
      </c>
      <c r="J599" t="str">
        <f>IFERROR(__xludf.DUMMYFUNCTION("""COMPUTED_VALUE"""),"")</f>
        <v/>
      </c>
      <c r="K599" t="str">
        <f>IFERROR(__xludf.DUMMYFUNCTION("""COMPUTED_VALUE"""),"")</f>
        <v/>
      </c>
      <c r="L599" t="str">
        <f>IFERROR(__xludf.DUMMYFUNCTION("""COMPUTED_VALUE"""),"")</f>
        <v/>
      </c>
    </row>
    <row r="600" ht="15.75" customHeight="1">
      <c r="A600" t="str">
        <f>IFERROR(__xludf.DUMMYFUNCTION("""COMPUTED_VALUE"""),"")</f>
        <v/>
      </c>
      <c r="B600" t="str">
        <f>IFERROR(__xludf.DUMMYFUNCTION("""COMPUTED_VALUE"""),"")</f>
        <v/>
      </c>
      <c r="C600" t="str">
        <f>IFERROR(__xludf.DUMMYFUNCTION("""COMPUTED_VALUE"""),"")</f>
        <v/>
      </c>
      <c r="D600" t="str">
        <f>IFERROR(__xludf.DUMMYFUNCTION("""COMPUTED_VALUE"""),"")</f>
        <v/>
      </c>
      <c r="E600" t="str">
        <f>IFERROR(__xludf.DUMMYFUNCTION("""COMPUTED_VALUE"""),"")</f>
        <v/>
      </c>
      <c r="F600" t="str">
        <f>IFERROR(__xludf.DUMMYFUNCTION("""COMPUTED_VALUE"""),"")</f>
        <v/>
      </c>
      <c r="G600" t="str">
        <f>IFERROR(__xludf.DUMMYFUNCTION("""COMPUTED_VALUE"""),"")</f>
        <v/>
      </c>
      <c r="H600" t="str">
        <f>IFERROR(__xludf.DUMMYFUNCTION("""COMPUTED_VALUE"""),"")</f>
        <v/>
      </c>
      <c r="I600" t="str">
        <f>IFERROR(__xludf.DUMMYFUNCTION("""COMPUTED_VALUE"""),"")</f>
        <v/>
      </c>
      <c r="J600" t="str">
        <f>IFERROR(__xludf.DUMMYFUNCTION("""COMPUTED_VALUE"""),"")</f>
        <v/>
      </c>
      <c r="K600" t="str">
        <f>IFERROR(__xludf.DUMMYFUNCTION("""COMPUTED_VALUE"""),"")</f>
        <v/>
      </c>
      <c r="L600" t="str">
        <f>IFERROR(__xludf.DUMMYFUNCTION("""COMPUTED_VALUE"""),"")</f>
        <v/>
      </c>
    </row>
    <row r="601" ht="15.75" customHeight="1">
      <c r="A601" t="str">
        <f>IFERROR(__xludf.DUMMYFUNCTION("""COMPUTED_VALUE"""),"")</f>
        <v/>
      </c>
      <c r="B601" t="str">
        <f>IFERROR(__xludf.DUMMYFUNCTION("""COMPUTED_VALUE"""),"")</f>
        <v/>
      </c>
      <c r="C601" t="str">
        <f>IFERROR(__xludf.DUMMYFUNCTION("""COMPUTED_VALUE"""),"")</f>
        <v/>
      </c>
      <c r="D601" t="str">
        <f>IFERROR(__xludf.DUMMYFUNCTION("""COMPUTED_VALUE"""),"")</f>
        <v/>
      </c>
      <c r="E601" t="str">
        <f>IFERROR(__xludf.DUMMYFUNCTION("""COMPUTED_VALUE"""),"")</f>
        <v/>
      </c>
      <c r="F601" t="str">
        <f>IFERROR(__xludf.DUMMYFUNCTION("""COMPUTED_VALUE"""),"")</f>
        <v/>
      </c>
      <c r="G601" t="str">
        <f>IFERROR(__xludf.DUMMYFUNCTION("""COMPUTED_VALUE"""),"")</f>
        <v/>
      </c>
      <c r="H601" t="str">
        <f>IFERROR(__xludf.DUMMYFUNCTION("""COMPUTED_VALUE"""),"")</f>
        <v/>
      </c>
      <c r="I601" t="str">
        <f>IFERROR(__xludf.DUMMYFUNCTION("""COMPUTED_VALUE"""),"")</f>
        <v/>
      </c>
      <c r="J601" t="str">
        <f>IFERROR(__xludf.DUMMYFUNCTION("""COMPUTED_VALUE"""),"")</f>
        <v/>
      </c>
      <c r="K601" t="str">
        <f>IFERROR(__xludf.DUMMYFUNCTION("""COMPUTED_VALUE"""),"")</f>
        <v/>
      </c>
      <c r="L601" t="str">
        <f>IFERROR(__xludf.DUMMYFUNCTION("""COMPUTED_VALUE"""),"")</f>
        <v/>
      </c>
    </row>
    <row r="602" ht="15.75" customHeight="1">
      <c r="A602" t="str">
        <f>IFERROR(__xludf.DUMMYFUNCTION("""COMPUTED_VALUE"""),"")</f>
        <v/>
      </c>
      <c r="B602" t="str">
        <f>IFERROR(__xludf.DUMMYFUNCTION("""COMPUTED_VALUE"""),"")</f>
        <v/>
      </c>
      <c r="C602" t="str">
        <f>IFERROR(__xludf.DUMMYFUNCTION("""COMPUTED_VALUE"""),"")</f>
        <v/>
      </c>
      <c r="D602" t="str">
        <f>IFERROR(__xludf.DUMMYFUNCTION("""COMPUTED_VALUE"""),"")</f>
        <v/>
      </c>
      <c r="E602" t="str">
        <f>IFERROR(__xludf.DUMMYFUNCTION("""COMPUTED_VALUE"""),"")</f>
        <v/>
      </c>
      <c r="F602" t="str">
        <f>IFERROR(__xludf.DUMMYFUNCTION("""COMPUTED_VALUE"""),"")</f>
        <v/>
      </c>
      <c r="G602" t="str">
        <f>IFERROR(__xludf.DUMMYFUNCTION("""COMPUTED_VALUE"""),"")</f>
        <v/>
      </c>
      <c r="H602" t="str">
        <f>IFERROR(__xludf.DUMMYFUNCTION("""COMPUTED_VALUE"""),"")</f>
        <v/>
      </c>
      <c r="I602" t="str">
        <f>IFERROR(__xludf.DUMMYFUNCTION("""COMPUTED_VALUE"""),"")</f>
        <v/>
      </c>
      <c r="J602" t="str">
        <f>IFERROR(__xludf.DUMMYFUNCTION("""COMPUTED_VALUE"""),"")</f>
        <v/>
      </c>
      <c r="K602" t="str">
        <f>IFERROR(__xludf.DUMMYFUNCTION("""COMPUTED_VALUE"""),"")</f>
        <v/>
      </c>
      <c r="L602" t="str">
        <f>IFERROR(__xludf.DUMMYFUNCTION("""COMPUTED_VALUE"""),"")</f>
        <v/>
      </c>
    </row>
    <row r="603" ht="15.75" customHeight="1">
      <c r="A603" t="str">
        <f>IFERROR(__xludf.DUMMYFUNCTION("""COMPUTED_VALUE"""),"")</f>
        <v/>
      </c>
      <c r="B603" t="str">
        <f>IFERROR(__xludf.DUMMYFUNCTION("""COMPUTED_VALUE"""),"")</f>
        <v/>
      </c>
      <c r="C603" t="str">
        <f>IFERROR(__xludf.DUMMYFUNCTION("""COMPUTED_VALUE"""),"")</f>
        <v/>
      </c>
      <c r="D603" t="str">
        <f>IFERROR(__xludf.DUMMYFUNCTION("""COMPUTED_VALUE"""),"")</f>
        <v/>
      </c>
      <c r="E603" t="str">
        <f>IFERROR(__xludf.DUMMYFUNCTION("""COMPUTED_VALUE"""),"")</f>
        <v/>
      </c>
      <c r="F603" t="str">
        <f>IFERROR(__xludf.DUMMYFUNCTION("""COMPUTED_VALUE"""),"")</f>
        <v/>
      </c>
      <c r="G603" t="str">
        <f>IFERROR(__xludf.DUMMYFUNCTION("""COMPUTED_VALUE"""),"")</f>
        <v/>
      </c>
      <c r="H603" t="str">
        <f>IFERROR(__xludf.DUMMYFUNCTION("""COMPUTED_VALUE"""),"")</f>
        <v/>
      </c>
      <c r="I603" t="str">
        <f>IFERROR(__xludf.DUMMYFUNCTION("""COMPUTED_VALUE"""),"")</f>
        <v/>
      </c>
      <c r="J603" t="str">
        <f>IFERROR(__xludf.DUMMYFUNCTION("""COMPUTED_VALUE"""),"")</f>
        <v/>
      </c>
      <c r="K603" t="str">
        <f>IFERROR(__xludf.DUMMYFUNCTION("""COMPUTED_VALUE"""),"")</f>
        <v/>
      </c>
      <c r="L603" t="str">
        <f>IFERROR(__xludf.DUMMYFUNCTION("""COMPUTED_VALUE"""),"")</f>
        <v/>
      </c>
    </row>
    <row r="604" ht="15.75" customHeight="1">
      <c r="A604" t="str">
        <f>IFERROR(__xludf.DUMMYFUNCTION("""COMPUTED_VALUE"""),"")</f>
        <v/>
      </c>
      <c r="B604" t="str">
        <f>IFERROR(__xludf.DUMMYFUNCTION("""COMPUTED_VALUE"""),"")</f>
        <v/>
      </c>
      <c r="C604" t="str">
        <f>IFERROR(__xludf.DUMMYFUNCTION("""COMPUTED_VALUE"""),"")</f>
        <v/>
      </c>
      <c r="D604" t="str">
        <f>IFERROR(__xludf.DUMMYFUNCTION("""COMPUTED_VALUE"""),"")</f>
        <v/>
      </c>
      <c r="E604" t="str">
        <f>IFERROR(__xludf.DUMMYFUNCTION("""COMPUTED_VALUE"""),"")</f>
        <v/>
      </c>
      <c r="F604" t="str">
        <f>IFERROR(__xludf.DUMMYFUNCTION("""COMPUTED_VALUE"""),"")</f>
        <v/>
      </c>
      <c r="G604" t="str">
        <f>IFERROR(__xludf.DUMMYFUNCTION("""COMPUTED_VALUE"""),"")</f>
        <v/>
      </c>
      <c r="H604" t="str">
        <f>IFERROR(__xludf.DUMMYFUNCTION("""COMPUTED_VALUE"""),"")</f>
        <v/>
      </c>
      <c r="I604" t="str">
        <f>IFERROR(__xludf.DUMMYFUNCTION("""COMPUTED_VALUE"""),"")</f>
        <v/>
      </c>
      <c r="J604" t="str">
        <f>IFERROR(__xludf.DUMMYFUNCTION("""COMPUTED_VALUE"""),"")</f>
        <v/>
      </c>
      <c r="K604" t="str">
        <f>IFERROR(__xludf.DUMMYFUNCTION("""COMPUTED_VALUE"""),"")</f>
        <v/>
      </c>
      <c r="L604" t="str">
        <f>IFERROR(__xludf.DUMMYFUNCTION("""COMPUTED_VALUE"""),"")</f>
        <v/>
      </c>
    </row>
    <row r="605" ht="15.75" customHeight="1">
      <c r="A605" t="str">
        <f>IFERROR(__xludf.DUMMYFUNCTION("""COMPUTED_VALUE"""),"")</f>
        <v/>
      </c>
      <c r="B605" t="str">
        <f>IFERROR(__xludf.DUMMYFUNCTION("""COMPUTED_VALUE"""),"")</f>
        <v/>
      </c>
      <c r="C605" t="str">
        <f>IFERROR(__xludf.DUMMYFUNCTION("""COMPUTED_VALUE"""),"")</f>
        <v/>
      </c>
      <c r="D605" t="str">
        <f>IFERROR(__xludf.DUMMYFUNCTION("""COMPUTED_VALUE"""),"")</f>
        <v/>
      </c>
      <c r="E605" t="str">
        <f>IFERROR(__xludf.DUMMYFUNCTION("""COMPUTED_VALUE"""),"")</f>
        <v/>
      </c>
      <c r="F605" t="str">
        <f>IFERROR(__xludf.DUMMYFUNCTION("""COMPUTED_VALUE"""),"")</f>
        <v/>
      </c>
      <c r="G605" t="str">
        <f>IFERROR(__xludf.DUMMYFUNCTION("""COMPUTED_VALUE"""),"")</f>
        <v/>
      </c>
      <c r="H605" t="str">
        <f>IFERROR(__xludf.DUMMYFUNCTION("""COMPUTED_VALUE"""),"")</f>
        <v/>
      </c>
      <c r="I605" t="str">
        <f>IFERROR(__xludf.DUMMYFUNCTION("""COMPUTED_VALUE"""),"")</f>
        <v/>
      </c>
      <c r="J605" t="str">
        <f>IFERROR(__xludf.DUMMYFUNCTION("""COMPUTED_VALUE"""),"")</f>
        <v/>
      </c>
      <c r="K605" t="str">
        <f>IFERROR(__xludf.DUMMYFUNCTION("""COMPUTED_VALUE"""),"")</f>
        <v/>
      </c>
      <c r="L605" t="str">
        <f>IFERROR(__xludf.DUMMYFUNCTION("""COMPUTED_VALUE"""),"")</f>
        <v/>
      </c>
    </row>
    <row r="606" ht="15.75" customHeight="1">
      <c r="A606" t="str">
        <f>IFERROR(__xludf.DUMMYFUNCTION("""COMPUTED_VALUE"""),"")</f>
        <v/>
      </c>
      <c r="B606" t="str">
        <f>IFERROR(__xludf.DUMMYFUNCTION("""COMPUTED_VALUE"""),"")</f>
        <v/>
      </c>
      <c r="C606" t="str">
        <f>IFERROR(__xludf.DUMMYFUNCTION("""COMPUTED_VALUE"""),"")</f>
        <v/>
      </c>
      <c r="D606" t="str">
        <f>IFERROR(__xludf.DUMMYFUNCTION("""COMPUTED_VALUE"""),"")</f>
        <v/>
      </c>
      <c r="E606" t="str">
        <f>IFERROR(__xludf.DUMMYFUNCTION("""COMPUTED_VALUE"""),"")</f>
        <v/>
      </c>
      <c r="F606" t="str">
        <f>IFERROR(__xludf.DUMMYFUNCTION("""COMPUTED_VALUE"""),"")</f>
        <v/>
      </c>
      <c r="G606" t="str">
        <f>IFERROR(__xludf.DUMMYFUNCTION("""COMPUTED_VALUE"""),"")</f>
        <v/>
      </c>
      <c r="H606" t="str">
        <f>IFERROR(__xludf.DUMMYFUNCTION("""COMPUTED_VALUE"""),"")</f>
        <v/>
      </c>
      <c r="I606" t="str">
        <f>IFERROR(__xludf.DUMMYFUNCTION("""COMPUTED_VALUE"""),"")</f>
        <v/>
      </c>
      <c r="J606" t="str">
        <f>IFERROR(__xludf.DUMMYFUNCTION("""COMPUTED_VALUE"""),"")</f>
        <v/>
      </c>
      <c r="K606" t="str">
        <f>IFERROR(__xludf.DUMMYFUNCTION("""COMPUTED_VALUE"""),"")</f>
        <v/>
      </c>
      <c r="L606" t="str">
        <f>IFERROR(__xludf.DUMMYFUNCTION("""COMPUTED_VALUE"""),"")</f>
        <v/>
      </c>
    </row>
    <row r="607" ht="15.75" customHeight="1">
      <c r="A607" t="str">
        <f>IFERROR(__xludf.DUMMYFUNCTION("""COMPUTED_VALUE"""),"")</f>
        <v/>
      </c>
      <c r="B607" t="str">
        <f>IFERROR(__xludf.DUMMYFUNCTION("""COMPUTED_VALUE"""),"")</f>
        <v/>
      </c>
      <c r="C607" t="str">
        <f>IFERROR(__xludf.DUMMYFUNCTION("""COMPUTED_VALUE"""),"")</f>
        <v/>
      </c>
      <c r="D607" t="str">
        <f>IFERROR(__xludf.DUMMYFUNCTION("""COMPUTED_VALUE"""),"")</f>
        <v/>
      </c>
      <c r="E607" t="str">
        <f>IFERROR(__xludf.DUMMYFUNCTION("""COMPUTED_VALUE"""),"")</f>
        <v/>
      </c>
      <c r="F607" t="str">
        <f>IFERROR(__xludf.DUMMYFUNCTION("""COMPUTED_VALUE"""),"")</f>
        <v/>
      </c>
      <c r="G607" t="str">
        <f>IFERROR(__xludf.DUMMYFUNCTION("""COMPUTED_VALUE"""),"")</f>
        <v/>
      </c>
      <c r="H607" t="str">
        <f>IFERROR(__xludf.DUMMYFUNCTION("""COMPUTED_VALUE"""),"")</f>
        <v/>
      </c>
      <c r="I607" t="str">
        <f>IFERROR(__xludf.DUMMYFUNCTION("""COMPUTED_VALUE"""),"")</f>
        <v/>
      </c>
      <c r="J607" t="str">
        <f>IFERROR(__xludf.DUMMYFUNCTION("""COMPUTED_VALUE"""),"")</f>
        <v/>
      </c>
      <c r="K607" t="str">
        <f>IFERROR(__xludf.DUMMYFUNCTION("""COMPUTED_VALUE"""),"")</f>
        <v/>
      </c>
      <c r="L607" t="str">
        <f>IFERROR(__xludf.DUMMYFUNCTION("""COMPUTED_VALUE"""),"")</f>
        <v/>
      </c>
    </row>
    <row r="608" ht="15.75" customHeight="1">
      <c r="A608" t="str">
        <f>IFERROR(__xludf.DUMMYFUNCTION("""COMPUTED_VALUE"""),"")</f>
        <v/>
      </c>
      <c r="B608" t="str">
        <f>IFERROR(__xludf.DUMMYFUNCTION("""COMPUTED_VALUE"""),"")</f>
        <v/>
      </c>
      <c r="C608" t="str">
        <f>IFERROR(__xludf.DUMMYFUNCTION("""COMPUTED_VALUE"""),"")</f>
        <v/>
      </c>
      <c r="D608" t="str">
        <f>IFERROR(__xludf.DUMMYFUNCTION("""COMPUTED_VALUE"""),"")</f>
        <v/>
      </c>
      <c r="E608" t="str">
        <f>IFERROR(__xludf.DUMMYFUNCTION("""COMPUTED_VALUE"""),"")</f>
        <v/>
      </c>
      <c r="F608" t="str">
        <f>IFERROR(__xludf.DUMMYFUNCTION("""COMPUTED_VALUE"""),"")</f>
        <v/>
      </c>
      <c r="G608" t="str">
        <f>IFERROR(__xludf.DUMMYFUNCTION("""COMPUTED_VALUE"""),"")</f>
        <v/>
      </c>
      <c r="H608" t="str">
        <f>IFERROR(__xludf.DUMMYFUNCTION("""COMPUTED_VALUE"""),"")</f>
        <v/>
      </c>
      <c r="I608" t="str">
        <f>IFERROR(__xludf.DUMMYFUNCTION("""COMPUTED_VALUE"""),"")</f>
        <v/>
      </c>
      <c r="J608" t="str">
        <f>IFERROR(__xludf.DUMMYFUNCTION("""COMPUTED_VALUE"""),"")</f>
        <v/>
      </c>
      <c r="K608" t="str">
        <f>IFERROR(__xludf.DUMMYFUNCTION("""COMPUTED_VALUE"""),"")</f>
        <v/>
      </c>
      <c r="L608" t="str">
        <f>IFERROR(__xludf.DUMMYFUNCTION("""COMPUTED_VALUE"""),"")</f>
        <v/>
      </c>
    </row>
    <row r="609" ht="15.75" customHeight="1">
      <c r="A609" t="str">
        <f>IFERROR(__xludf.DUMMYFUNCTION("""COMPUTED_VALUE"""),"")</f>
        <v/>
      </c>
      <c r="B609" t="str">
        <f>IFERROR(__xludf.DUMMYFUNCTION("""COMPUTED_VALUE"""),"")</f>
        <v/>
      </c>
      <c r="C609" t="str">
        <f>IFERROR(__xludf.DUMMYFUNCTION("""COMPUTED_VALUE"""),"")</f>
        <v/>
      </c>
      <c r="D609" t="str">
        <f>IFERROR(__xludf.DUMMYFUNCTION("""COMPUTED_VALUE"""),"")</f>
        <v/>
      </c>
      <c r="E609" t="str">
        <f>IFERROR(__xludf.DUMMYFUNCTION("""COMPUTED_VALUE"""),"")</f>
        <v/>
      </c>
      <c r="F609" t="str">
        <f>IFERROR(__xludf.DUMMYFUNCTION("""COMPUTED_VALUE"""),"")</f>
        <v/>
      </c>
      <c r="G609" t="str">
        <f>IFERROR(__xludf.DUMMYFUNCTION("""COMPUTED_VALUE"""),"")</f>
        <v/>
      </c>
      <c r="H609" t="str">
        <f>IFERROR(__xludf.DUMMYFUNCTION("""COMPUTED_VALUE"""),"")</f>
        <v/>
      </c>
      <c r="I609" t="str">
        <f>IFERROR(__xludf.DUMMYFUNCTION("""COMPUTED_VALUE"""),"")</f>
        <v/>
      </c>
      <c r="J609" t="str">
        <f>IFERROR(__xludf.DUMMYFUNCTION("""COMPUTED_VALUE"""),"")</f>
        <v/>
      </c>
      <c r="K609" t="str">
        <f>IFERROR(__xludf.DUMMYFUNCTION("""COMPUTED_VALUE"""),"")</f>
        <v/>
      </c>
      <c r="L609" t="str">
        <f>IFERROR(__xludf.DUMMYFUNCTION("""COMPUTED_VALUE"""),"")</f>
        <v/>
      </c>
    </row>
    <row r="610" ht="15.75" customHeight="1">
      <c r="A610" t="str">
        <f>IFERROR(__xludf.DUMMYFUNCTION("""COMPUTED_VALUE"""),"")</f>
        <v/>
      </c>
      <c r="B610" t="str">
        <f>IFERROR(__xludf.DUMMYFUNCTION("""COMPUTED_VALUE"""),"")</f>
        <v/>
      </c>
      <c r="C610" t="str">
        <f>IFERROR(__xludf.DUMMYFUNCTION("""COMPUTED_VALUE"""),"")</f>
        <v/>
      </c>
      <c r="D610" t="str">
        <f>IFERROR(__xludf.DUMMYFUNCTION("""COMPUTED_VALUE"""),"")</f>
        <v/>
      </c>
      <c r="E610" t="str">
        <f>IFERROR(__xludf.DUMMYFUNCTION("""COMPUTED_VALUE"""),"")</f>
        <v/>
      </c>
      <c r="F610" t="str">
        <f>IFERROR(__xludf.DUMMYFUNCTION("""COMPUTED_VALUE"""),"")</f>
        <v/>
      </c>
      <c r="G610" t="str">
        <f>IFERROR(__xludf.DUMMYFUNCTION("""COMPUTED_VALUE"""),"")</f>
        <v/>
      </c>
      <c r="H610" t="str">
        <f>IFERROR(__xludf.DUMMYFUNCTION("""COMPUTED_VALUE"""),"")</f>
        <v/>
      </c>
      <c r="I610" t="str">
        <f>IFERROR(__xludf.DUMMYFUNCTION("""COMPUTED_VALUE"""),"")</f>
        <v/>
      </c>
      <c r="J610" t="str">
        <f>IFERROR(__xludf.DUMMYFUNCTION("""COMPUTED_VALUE"""),"")</f>
        <v/>
      </c>
      <c r="K610" t="str">
        <f>IFERROR(__xludf.DUMMYFUNCTION("""COMPUTED_VALUE"""),"")</f>
        <v/>
      </c>
      <c r="L610" t="str">
        <f>IFERROR(__xludf.DUMMYFUNCTION("""COMPUTED_VALUE"""),"")</f>
        <v/>
      </c>
    </row>
    <row r="611" ht="15.75" customHeight="1">
      <c r="A611" t="str">
        <f>IFERROR(__xludf.DUMMYFUNCTION("""COMPUTED_VALUE"""),"")</f>
        <v/>
      </c>
      <c r="B611" t="str">
        <f>IFERROR(__xludf.DUMMYFUNCTION("""COMPUTED_VALUE"""),"")</f>
        <v/>
      </c>
      <c r="C611" t="str">
        <f>IFERROR(__xludf.DUMMYFUNCTION("""COMPUTED_VALUE"""),"")</f>
        <v/>
      </c>
      <c r="D611" t="str">
        <f>IFERROR(__xludf.DUMMYFUNCTION("""COMPUTED_VALUE"""),"")</f>
        <v/>
      </c>
      <c r="E611" t="str">
        <f>IFERROR(__xludf.DUMMYFUNCTION("""COMPUTED_VALUE"""),"")</f>
        <v/>
      </c>
      <c r="F611" t="str">
        <f>IFERROR(__xludf.DUMMYFUNCTION("""COMPUTED_VALUE"""),"")</f>
        <v/>
      </c>
      <c r="G611" t="str">
        <f>IFERROR(__xludf.DUMMYFUNCTION("""COMPUTED_VALUE"""),"")</f>
        <v/>
      </c>
      <c r="H611" t="str">
        <f>IFERROR(__xludf.DUMMYFUNCTION("""COMPUTED_VALUE"""),"")</f>
        <v/>
      </c>
      <c r="I611" t="str">
        <f>IFERROR(__xludf.DUMMYFUNCTION("""COMPUTED_VALUE"""),"")</f>
        <v/>
      </c>
      <c r="J611" t="str">
        <f>IFERROR(__xludf.DUMMYFUNCTION("""COMPUTED_VALUE"""),"")</f>
        <v/>
      </c>
      <c r="K611" t="str">
        <f>IFERROR(__xludf.DUMMYFUNCTION("""COMPUTED_VALUE"""),"")</f>
        <v/>
      </c>
      <c r="L611" t="str">
        <f>IFERROR(__xludf.DUMMYFUNCTION("""COMPUTED_VALUE"""),"")</f>
        <v/>
      </c>
    </row>
    <row r="612" ht="15.75" customHeight="1">
      <c r="A612" t="str">
        <f>IFERROR(__xludf.DUMMYFUNCTION("""COMPUTED_VALUE"""),"")</f>
        <v/>
      </c>
      <c r="B612" t="str">
        <f>IFERROR(__xludf.DUMMYFUNCTION("""COMPUTED_VALUE"""),"")</f>
        <v/>
      </c>
      <c r="C612" t="str">
        <f>IFERROR(__xludf.DUMMYFUNCTION("""COMPUTED_VALUE"""),"")</f>
        <v/>
      </c>
      <c r="D612" t="str">
        <f>IFERROR(__xludf.DUMMYFUNCTION("""COMPUTED_VALUE"""),"")</f>
        <v/>
      </c>
      <c r="E612" t="str">
        <f>IFERROR(__xludf.DUMMYFUNCTION("""COMPUTED_VALUE"""),"")</f>
        <v/>
      </c>
      <c r="F612" t="str">
        <f>IFERROR(__xludf.DUMMYFUNCTION("""COMPUTED_VALUE"""),"")</f>
        <v/>
      </c>
      <c r="G612" t="str">
        <f>IFERROR(__xludf.DUMMYFUNCTION("""COMPUTED_VALUE"""),"")</f>
        <v/>
      </c>
      <c r="H612" t="str">
        <f>IFERROR(__xludf.DUMMYFUNCTION("""COMPUTED_VALUE"""),"")</f>
        <v/>
      </c>
      <c r="I612" t="str">
        <f>IFERROR(__xludf.DUMMYFUNCTION("""COMPUTED_VALUE"""),"")</f>
        <v/>
      </c>
      <c r="J612" t="str">
        <f>IFERROR(__xludf.DUMMYFUNCTION("""COMPUTED_VALUE"""),"")</f>
        <v/>
      </c>
      <c r="K612" t="str">
        <f>IFERROR(__xludf.DUMMYFUNCTION("""COMPUTED_VALUE"""),"")</f>
        <v/>
      </c>
      <c r="L612" t="str">
        <f>IFERROR(__xludf.DUMMYFUNCTION("""COMPUTED_VALUE"""),"")</f>
        <v/>
      </c>
    </row>
    <row r="613" ht="15.75" customHeight="1">
      <c r="A613" t="str">
        <f>IFERROR(__xludf.DUMMYFUNCTION("""COMPUTED_VALUE"""),"")</f>
        <v/>
      </c>
      <c r="B613" t="str">
        <f>IFERROR(__xludf.DUMMYFUNCTION("""COMPUTED_VALUE"""),"")</f>
        <v/>
      </c>
      <c r="C613" t="str">
        <f>IFERROR(__xludf.DUMMYFUNCTION("""COMPUTED_VALUE"""),"")</f>
        <v/>
      </c>
      <c r="D613" t="str">
        <f>IFERROR(__xludf.DUMMYFUNCTION("""COMPUTED_VALUE"""),"")</f>
        <v/>
      </c>
      <c r="E613" t="str">
        <f>IFERROR(__xludf.DUMMYFUNCTION("""COMPUTED_VALUE"""),"")</f>
        <v/>
      </c>
      <c r="F613" t="str">
        <f>IFERROR(__xludf.DUMMYFUNCTION("""COMPUTED_VALUE"""),"")</f>
        <v/>
      </c>
      <c r="G613" t="str">
        <f>IFERROR(__xludf.DUMMYFUNCTION("""COMPUTED_VALUE"""),"")</f>
        <v/>
      </c>
      <c r="H613" t="str">
        <f>IFERROR(__xludf.DUMMYFUNCTION("""COMPUTED_VALUE"""),"")</f>
        <v/>
      </c>
      <c r="I613" t="str">
        <f>IFERROR(__xludf.DUMMYFUNCTION("""COMPUTED_VALUE"""),"")</f>
        <v/>
      </c>
      <c r="J613" t="str">
        <f>IFERROR(__xludf.DUMMYFUNCTION("""COMPUTED_VALUE"""),"")</f>
        <v/>
      </c>
      <c r="K613" t="str">
        <f>IFERROR(__xludf.DUMMYFUNCTION("""COMPUTED_VALUE"""),"")</f>
        <v/>
      </c>
      <c r="L613" t="str">
        <f>IFERROR(__xludf.DUMMYFUNCTION("""COMPUTED_VALUE"""),"")</f>
        <v/>
      </c>
    </row>
    <row r="614" ht="15.75" customHeight="1">
      <c r="A614" t="str">
        <f>IFERROR(__xludf.DUMMYFUNCTION("""COMPUTED_VALUE"""),"")</f>
        <v/>
      </c>
      <c r="B614" t="str">
        <f>IFERROR(__xludf.DUMMYFUNCTION("""COMPUTED_VALUE"""),"")</f>
        <v/>
      </c>
      <c r="C614" t="str">
        <f>IFERROR(__xludf.DUMMYFUNCTION("""COMPUTED_VALUE"""),"")</f>
        <v/>
      </c>
      <c r="D614" t="str">
        <f>IFERROR(__xludf.DUMMYFUNCTION("""COMPUTED_VALUE"""),"")</f>
        <v/>
      </c>
      <c r="E614" t="str">
        <f>IFERROR(__xludf.DUMMYFUNCTION("""COMPUTED_VALUE"""),"")</f>
        <v/>
      </c>
      <c r="F614" t="str">
        <f>IFERROR(__xludf.DUMMYFUNCTION("""COMPUTED_VALUE"""),"")</f>
        <v/>
      </c>
      <c r="G614" t="str">
        <f>IFERROR(__xludf.DUMMYFUNCTION("""COMPUTED_VALUE"""),"")</f>
        <v/>
      </c>
      <c r="H614" t="str">
        <f>IFERROR(__xludf.DUMMYFUNCTION("""COMPUTED_VALUE"""),"")</f>
        <v/>
      </c>
      <c r="I614" t="str">
        <f>IFERROR(__xludf.DUMMYFUNCTION("""COMPUTED_VALUE"""),"")</f>
        <v/>
      </c>
      <c r="J614" t="str">
        <f>IFERROR(__xludf.DUMMYFUNCTION("""COMPUTED_VALUE"""),"")</f>
        <v/>
      </c>
      <c r="K614" t="str">
        <f>IFERROR(__xludf.DUMMYFUNCTION("""COMPUTED_VALUE"""),"")</f>
        <v/>
      </c>
      <c r="L614" t="str">
        <f>IFERROR(__xludf.DUMMYFUNCTION("""COMPUTED_VALUE"""),"")</f>
        <v/>
      </c>
    </row>
    <row r="615" ht="15.75" customHeight="1">
      <c r="A615" t="str">
        <f>IFERROR(__xludf.DUMMYFUNCTION("""COMPUTED_VALUE"""),"")</f>
        <v/>
      </c>
      <c r="B615" t="str">
        <f>IFERROR(__xludf.DUMMYFUNCTION("""COMPUTED_VALUE"""),"")</f>
        <v/>
      </c>
      <c r="C615" t="str">
        <f>IFERROR(__xludf.DUMMYFUNCTION("""COMPUTED_VALUE"""),"")</f>
        <v/>
      </c>
      <c r="D615" t="str">
        <f>IFERROR(__xludf.DUMMYFUNCTION("""COMPUTED_VALUE"""),"")</f>
        <v/>
      </c>
      <c r="E615" t="str">
        <f>IFERROR(__xludf.DUMMYFUNCTION("""COMPUTED_VALUE"""),"")</f>
        <v/>
      </c>
      <c r="F615" t="str">
        <f>IFERROR(__xludf.DUMMYFUNCTION("""COMPUTED_VALUE"""),"")</f>
        <v/>
      </c>
      <c r="G615" t="str">
        <f>IFERROR(__xludf.DUMMYFUNCTION("""COMPUTED_VALUE"""),"")</f>
        <v/>
      </c>
      <c r="H615" t="str">
        <f>IFERROR(__xludf.DUMMYFUNCTION("""COMPUTED_VALUE"""),"")</f>
        <v/>
      </c>
      <c r="I615" t="str">
        <f>IFERROR(__xludf.DUMMYFUNCTION("""COMPUTED_VALUE"""),"")</f>
        <v/>
      </c>
      <c r="J615" t="str">
        <f>IFERROR(__xludf.DUMMYFUNCTION("""COMPUTED_VALUE"""),"")</f>
        <v/>
      </c>
      <c r="K615" t="str">
        <f>IFERROR(__xludf.DUMMYFUNCTION("""COMPUTED_VALUE"""),"")</f>
        <v/>
      </c>
      <c r="L615" t="str">
        <f>IFERROR(__xludf.DUMMYFUNCTION("""COMPUTED_VALUE"""),"")</f>
        <v/>
      </c>
    </row>
    <row r="616" ht="15.75" customHeight="1">
      <c r="A616" t="str">
        <f>IFERROR(__xludf.DUMMYFUNCTION("""COMPUTED_VALUE"""),"")</f>
        <v/>
      </c>
      <c r="B616" t="str">
        <f>IFERROR(__xludf.DUMMYFUNCTION("""COMPUTED_VALUE"""),"")</f>
        <v/>
      </c>
      <c r="C616" t="str">
        <f>IFERROR(__xludf.DUMMYFUNCTION("""COMPUTED_VALUE"""),"")</f>
        <v/>
      </c>
      <c r="D616" t="str">
        <f>IFERROR(__xludf.DUMMYFUNCTION("""COMPUTED_VALUE"""),"")</f>
        <v/>
      </c>
      <c r="E616" t="str">
        <f>IFERROR(__xludf.DUMMYFUNCTION("""COMPUTED_VALUE"""),"")</f>
        <v/>
      </c>
      <c r="F616" t="str">
        <f>IFERROR(__xludf.DUMMYFUNCTION("""COMPUTED_VALUE"""),"")</f>
        <v/>
      </c>
      <c r="G616" t="str">
        <f>IFERROR(__xludf.DUMMYFUNCTION("""COMPUTED_VALUE"""),"")</f>
        <v/>
      </c>
      <c r="H616" t="str">
        <f>IFERROR(__xludf.DUMMYFUNCTION("""COMPUTED_VALUE"""),"")</f>
        <v/>
      </c>
      <c r="I616" t="str">
        <f>IFERROR(__xludf.DUMMYFUNCTION("""COMPUTED_VALUE"""),"")</f>
        <v/>
      </c>
      <c r="J616" t="str">
        <f>IFERROR(__xludf.DUMMYFUNCTION("""COMPUTED_VALUE"""),"")</f>
        <v/>
      </c>
      <c r="K616" t="str">
        <f>IFERROR(__xludf.DUMMYFUNCTION("""COMPUTED_VALUE"""),"")</f>
        <v/>
      </c>
      <c r="L616" t="str">
        <f>IFERROR(__xludf.DUMMYFUNCTION("""COMPUTED_VALUE"""),"")</f>
        <v/>
      </c>
    </row>
    <row r="617" ht="15.75" customHeight="1">
      <c r="A617" t="str">
        <f>IFERROR(__xludf.DUMMYFUNCTION("""COMPUTED_VALUE"""),"")</f>
        <v/>
      </c>
      <c r="B617" t="str">
        <f>IFERROR(__xludf.DUMMYFUNCTION("""COMPUTED_VALUE"""),"")</f>
        <v/>
      </c>
      <c r="C617" t="str">
        <f>IFERROR(__xludf.DUMMYFUNCTION("""COMPUTED_VALUE"""),"")</f>
        <v/>
      </c>
      <c r="D617" t="str">
        <f>IFERROR(__xludf.DUMMYFUNCTION("""COMPUTED_VALUE"""),"")</f>
        <v/>
      </c>
      <c r="E617" t="str">
        <f>IFERROR(__xludf.DUMMYFUNCTION("""COMPUTED_VALUE"""),"")</f>
        <v/>
      </c>
      <c r="F617" t="str">
        <f>IFERROR(__xludf.DUMMYFUNCTION("""COMPUTED_VALUE"""),"")</f>
        <v/>
      </c>
      <c r="G617" t="str">
        <f>IFERROR(__xludf.DUMMYFUNCTION("""COMPUTED_VALUE"""),"")</f>
        <v/>
      </c>
      <c r="H617" t="str">
        <f>IFERROR(__xludf.DUMMYFUNCTION("""COMPUTED_VALUE"""),"")</f>
        <v/>
      </c>
      <c r="I617" t="str">
        <f>IFERROR(__xludf.DUMMYFUNCTION("""COMPUTED_VALUE"""),"")</f>
        <v/>
      </c>
      <c r="J617" t="str">
        <f>IFERROR(__xludf.DUMMYFUNCTION("""COMPUTED_VALUE"""),"")</f>
        <v/>
      </c>
      <c r="K617" t="str">
        <f>IFERROR(__xludf.DUMMYFUNCTION("""COMPUTED_VALUE"""),"")</f>
        <v/>
      </c>
      <c r="L617" t="str">
        <f>IFERROR(__xludf.DUMMYFUNCTION("""COMPUTED_VALUE"""),"")</f>
        <v/>
      </c>
    </row>
    <row r="618" ht="15.75" customHeight="1">
      <c r="A618" t="str">
        <f>IFERROR(__xludf.DUMMYFUNCTION("""COMPUTED_VALUE"""),"")</f>
        <v/>
      </c>
      <c r="B618" t="str">
        <f>IFERROR(__xludf.DUMMYFUNCTION("""COMPUTED_VALUE"""),"")</f>
        <v/>
      </c>
      <c r="C618" t="str">
        <f>IFERROR(__xludf.DUMMYFUNCTION("""COMPUTED_VALUE"""),"")</f>
        <v/>
      </c>
      <c r="D618" t="str">
        <f>IFERROR(__xludf.DUMMYFUNCTION("""COMPUTED_VALUE"""),"")</f>
        <v/>
      </c>
      <c r="E618" t="str">
        <f>IFERROR(__xludf.DUMMYFUNCTION("""COMPUTED_VALUE"""),"")</f>
        <v/>
      </c>
      <c r="F618" t="str">
        <f>IFERROR(__xludf.DUMMYFUNCTION("""COMPUTED_VALUE"""),"")</f>
        <v/>
      </c>
      <c r="G618" t="str">
        <f>IFERROR(__xludf.DUMMYFUNCTION("""COMPUTED_VALUE"""),"")</f>
        <v/>
      </c>
      <c r="H618" t="str">
        <f>IFERROR(__xludf.DUMMYFUNCTION("""COMPUTED_VALUE"""),"")</f>
        <v/>
      </c>
      <c r="I618" t="str">
        <f>IFERROR(__xludf.DUMMYFUNCTION("""COMPUTED_VALUE"""),"")</f>
        <v/>
      </c>
      <c r="J618" t="str">
        <f>IFERROR(__xludf.DUMMYFUNCTION("""COMPUTED_VALUE"""),"")</f>
        <v/>
      </c>
      <c r="K618" t="str">
        <f>IFERROR(__xludf.DUMMYFUNCTION("""COMPUTED_VALUE"""),"")</f>
        <v/>
      </c>
      <c r="L618" t="str">
        <f>IFERROR(__xludf.DUMMYFUNCTION("""COMPUTED_VALUE"""),"")</f>
        <v/>
      </c>
    </row>
    <row r="619" ht="15.75" customHeight="1">
      <c r="A619" t="str">
        <f>IFERROR(__xludf.DUMMYFUNCTION("""COMPUTED_VALUE"""),"")</f>
        <v/>
      </c>
      <c r="B619" t="str">
        <f>IFERROR(__xludf.DUMMYFUNCTION("""COMPUTED_VALUE"""),"")</f>
        <v/>
      </c>
      <c r="C619" t="str">
        <f>IFERROR(__xludf.DUMMYFUNCTION("""COMPUTED_VALUE"""),"")</f>
        <v/>
      </c>
      <c r="D619" t="str">
        <f>IFERROR(__xludf.DUMMYFUNCTION("""COMPUTED_VALUE"""),"")</f>
        <v/>
      </c>
      <c r="E619" t="str">
        <f>IFERROR(__xludf.DUMMYFUNCTION("""COMPUTED_VALUE"""),"")</f>
        <v/>
      </c>
      <c r="F619" t="str">
        <f>IFERROR(__xludf.DUMMYFUNCTION("""COMPUTED_VALUE"""),"")</f>
        <v/>
      </c>
      <c r="G619" t="str">
        <f>IFERROR(__xludf.DUMMYFUNCTION("""COMPUTED_VALUE"""),"")</f>
        <v/>
      </c>
      <c r="H619" t="str">
        <f>IFERROR(__xludf.DUMMYFUNCTION("""COMPUTED_VALUE"""),"")</f>
        <v/>
      </c>
      <c r="I619" t="str">
        <f>IFERROR(__xludf.DUMMYFUNCTION("""COMPUTED_VALUE"""),"")</f>
        <v/>
      </c>
      <c r="J619" t="str">
        <f>IFERROR(__xludf.DUMMYFUNCTION("""COMPUTED_VALUE"""),"")</f>
        <v/>
      </c>
      <c r="K619" t="str">
        <f>IFERROR(__xludf.DUMMYFUNCTION("""COMPUTED_VALUE"""),"")</f>
        <v/>
      </c>
      <c r="L619" t="str">
        <f>IFERROR(__xludf.DUMMYFUNCTION("""COMPUTED_VALUE"""),"")</f>
        <v/>
      </c>
    </row>
    <row r="620" ht="15.75" customHeight="1">
      <c r="A620" t="str">
        <f>IFERROR(__xludf.DUMMYFUNCTION("""COMPUTED_VALUE"""),"")</f>
        <v/>
      </c>
      <c r="B620" t="str">
        <f>IFERROR(__xludf.DUMMYFUNCTION("""COMPUTED_VALUE"""),"")</f>
        <v/>
      </c>
      <c r="C620" t="str">
        <f>IFERROR(__xludf.DUMMYFUNCTION("""COMPUTED_VALUE"""),"")</f>
        <v/>
      </c>
      <c r="D620" t="str">
        <f>IFERROR(__xludf.DUMMYFUNCTION("""COMPUTED_VALUE"""),"")</f>
        <v/>
      </c>
      <c r="E620" t="str">
        <f>IFERROR(__xludf.DUMMYFUNCTION("""COMPUTED_VALUE"""),"")</f>
        <v/>
      </c>
      <c r="F620" t="str">
        <f>IFERROR(__xludf.DUMMYFUNCTION("""COMPUTED_VALUE"""),"")</f>
        <v/>
      </c>
      <c r="G620" t="str">
        <f>IFERROR(__xludf.DUMMYFUNCTION("""COMPUTED_VALUE"""),"")</f>
        <v/>
      </c>
      <c r="H620" t="str">
        <f>IFERROR(__xludf.DUMMYFUNCTION("""COMPUTED_VALUE"""),"")</f>
        <v/>
      </c>
      <c r="I620" t="str">
        <f>IFERROR(__xludf.DUMMYFUNCTION("""COMPUTED_VALUE"""),"")</f>
        <v/>
      </c>
      <c r="J620" t="str">
        <f>IFERROR(__xludf.DUMMYFUNCTION("""COMPUTED_VALUE"""),"")</f>
        <v/>
      </c>
      <c r="K620" t="str">
        <f>IFERROR(__xludf.DUMMYFUNCTION("""COMPUTED_VALUE"""),"")</f>
        <v/>
      </c>
      <c r="L620" t="str">
        <f>IFERROR(__xludf.DUMMYFUNCTION("""COMPUTED_VALUE"""),"")</f>
        <v/>
      </c>
    </row>
    <row r="621" ht="15.75" customHeight="1">
      <c r="A621" t="str">
        <f>IFERROR(__xludf.DUMMYFUNCTION("""COMPUTED_VALUE"""),"")</f>
        <v/>
      </c>
      <c r="B621" t="str">
        <f>IFERROR(__xludf.DUMMYFUNCTION("""COMPUTED_VALUE"""),"")</f>
        <v/>
      </c>
      <c r="C621" t="str">
        <f>IFERROR(__xludf.DUMMYFUNCTION("""COMPUTED_VALUE"""),"")</f>
        <v/>
      </c>
      <c r="D621" t="str">
        <f>IFERROR(__xludf.DUMMYFUNCTION("""COMPUTED_VALUE"""),"")</f>
        <v/>
      </c>
      <c r="E621" t="str">
        <f>IFERROR(__xludf.DUMMYFUNCTION("""COMPUTED_VALUE"""),"")</f>
        <v/>
      </c>
      <c r="F621" t="str">
        <f>IFERROR(__xludf.DUMMYFUNCTION("""COMPUTED_VALUE"""),"")</f>
        <v/>
      </c>
      <c r="G621" t="str">
        <f>IFERROR(__xludf.DUMMYFUNCTION("""COMPUTED_VALUE"""),"")</f>
        <v/>
      </c>
      <c r="H621" t="str">
        <f>IFERROR(__xludf.DUMMYFUNCTION("""COMPUTED_VALUE"""),"")</f>
        <v/>
      </c>
      <c r="I621" t="str">
        <f>IFERROR(__xludf.DUMMYFUNCTION("""COMPUTED_VALUE"""),"")</f>
        <v/>
      </c>
      <c r="J621" t="str">
        <f>IFERROR(__xludf.DUMMYFUNCTION("""COMPUTED_VALUE"""),"")</f>
        <v/>
      </c>
      <c r="K621" t="str">
        <f>IFERROR(__xludf.DUMMYFUNCTION("""COMPUTED_VALUE"""),"")</f>
        <v/>
      </c>
      <c r="L621" t="str">
        <f>IFERROR(__xludf.DUMMYFUNCTION("""COMPUTED_VALUE"""),"")</f>
        <v/>
      </c>
    </row>
    <row r="622" ht="15.75" customHeight="1">
      <c r="A622" t="str">
        <f>IFERROR(__xludf.DUMMYFUNCTION("""COMPUTED_VALUE"""),"")</f>
        <v/>
      </c>
      <c r="B622" t="str">
        <f>IFERROR(__xludf.DUMMYFUNCTION("""COMPUTED_VALUE"""),"")</f>
        <v/>
      </c>
      <c r="C622" t="str">
        <f>IFERROR(__xludf.DUMMYFUNCTION("""COMPUTED_VALUE"""),"")</f>
        <v/>
      </c>
      <c r="D622" t="str">
        <f>IFERROR(__xludf.DUMMYFUNCTION("""COMPUTED_VALUE"""),"")</f>
        <v/>
      </c>
      <c r="E622" t="str">
        <f>IFERROR(__xludf.DUMMYFUNCTION("""COMPUTED_VALUE"""),"")</f>
        <v/>
      </c>
      <c r="F622" t="str">
        <f>IFERROR(__xludf.DUMMYFUNCTION("""COMPUTED_VALUE"""),"")</f>
        <v/>
      </c>
      <c r="G622" t="str">
        <f>IFERROR(__xludf.DUMMYFUNCTION("""COMPUTED_VALUE"""),"")</f>
        <v/>
      </c>
      <c r="H622" t="str">
        <f>IFERROR(__xludf.DUMMYFUNCTION("""COMPUTED_VALUE"""),"")</f>
        <v/>
      </c>
      <c r="I622" t="str">
        <f>IFERROR(__xludf.DUMMYFUNCTION("""COMPUTED_VALUE"""),"")</f>
        <v/>
      </c>
      <c r="J622" t="str">
        <f>IFERROR(__xludf.DUMMYFUNCTION("""COMPUTED_VALUE"""),"")</f>
        <v/>
      </c>
      <c r="K622" t="str">
        <f>IFERROR(__xludf.DUMMYFUNCTION("""COMPUTED_VALUE"""),"")</f>
        <v/>
      </c>
      <c r="L622" t="str">
        <f>IFERROR(__xludf.DUMMYFUNCTION("""COMPUTED_VALUE"""),"")</f>
        <v/>
      </c>
    </row>
    <row r="623" ht="15.75" customHeight="1">
      <c r="A623" t="str">
        <f>IFERROR(__xludf.DUMMYFUNCTION("""COMPUTED_VALUE"""),"")</f>
        <v/>
      </c>
      <c r="B623" t="str">
        <f>IFERROR(__xludf.DUMMYFUNCTION("""COMPUTED_VALUE"""),"")</f>
        <v/>
      </c>
      <c r="C623" t="str">
        <f>IFERROR(__xludf.DUMMYFUNCTION("""COMPUTED_VALUE"""),"")</f>
        <v/>
      </c>
      <c r="D623" t="str">
        <f>IFERROR(__xludf.DUMMYFUNCTION("""COMPUTED_VALUE"""),"")</f>
        <v/>
      </c>
      <c r="E623" t="str">
        <f>IFERROR(__xludf.DUMMYFUNCTION("""COMPUTED_VALUE"""),"")</f>
        <v/>
      </c>
      <c r="F623" t="str">
        <f>IFERROR(__xludf.DUMMYFUNCTION("""COMPUTED_VALUE"""),"")</f>
        <v/>
      </c>
      <c r="G623" t="str">
        <f>IFERROR(__xludf.DUMMYFUNCTION("""COMPUTED_VALUE"""),"")</f>
        <v/>
      </c>
      <c r="H623" t="str">
        <f>IFERROR(__xludf.DUMMYFUNCTION("""COMPUTED_VALUE"""),"")</f>
        <v/>
      </c>
      <c r="I623" t="str">
        <f>IFERROR(__xludf.DUMMYFUNCTION("""COMPUTED_VALUE"""),"")</f>
        <v/>
      </c>
      <c r="J623" t="str">
        <f>IFERROR(__xludf.DUMMYFUNCTION("""COMPUTED_VALUE"""),"")</f>
        <v/>
      </c>
      <c r="K623" t="str">
        <f>IFERROR(__xludf.DUMMYFUNCTION("""COMPUTED_VALUE"""),"")</f>
        <v/>
      </c>
      <c r="L623" t="str">
        <f>IFERROR(__xludf.DUMMYFUNCTION("""COMPUTED_VALUE"""),"")</f>
        <v/>
      </c>
    </row>
    <row r="624" ht="15.75" customHeight="1">
      <c r="A624" t="str">
        <f>IFERROR(__xludf.DUMMYFUNCTION("""COMPUTED_VALUE"""),"")</f>
        <v/>
      </c>
      <c r="B624" t="str">
        <f>IFERROR(__xludf.DUMMYFUNCTION("""COMPUTED_VALUE"""),"")</f>
        <v/>
      </c>
      <c r="C624" t="str">
        <f>IFERROR(__xludf.DUMMYFUNCTION("""COMPUTED_VALUE"""),"")</f>
        <v/>
      </c>
      <c r="D624" t="str">
        <f>IFERROR(__xludf.DUMMYFUNCTION("""COMPUTED_VALUE"""),"")</f>
        <v/>
      </c>
      <c r="E624" t="str">
        <f>IFERROR(__xludf.DUMMYFUNCTION("""COMPUTED_VALUE"""),"")</f>
        <v/>
      </c>
      <c r="F624" t="str">
        <f>IFERROR(__xludf.DUMMYFUNCTION("""COMPUTED_VALUE"""),"")</f>
        <v/>
      </c>
      <c r="G624" t="str">
        <f>IFERROR(__xludf.DUMMYFUNCTION("""COMPUTED_VALUE"""),"")</f>
        <v/>
      </c>
      <c r="H624" t="str">
        <f>IFERROR(__xludf.DUMMYFUNCTION("""COMPUTED_VALUE"""),"")</f>
        <v/>
      </c>
      <c r="I624" t="str">
        <f>IFERROR(__xludf.DUMMYFUNCTION("""COMPUTED_VALUE"""),"")</f>
        <v/>
      </c>
      <c r="J624" t="str">
        <f>IFERROR(__xludf.DUMMYFUNCTION("""COMPUTED_VALUE"""),"")</f>
        <v/>
      </c>
      <c r="K624" t="str">
        <f>IFERROR(__xludf.DUMMYFUNCTION("""COMPUTED_VALUE"""),"")</f>
        <v/>
      </c>
      <c r="L624" t="str">
        <f>IFERROR(__xludf.DUMMYFUNCTION("""COMPUTED_VALUE"""),"")</f>
        <v/>
      </c>
    </row>
    <row r="625" ht="15.75" customHeight="1">
      <c r="A625" t="str">
        <f>IFERROR(__xludf.DUMMYFUNCTION("""COMPUTED_VALUE"""),"")</f>
        <v/>
      </c>
      <c r="B625" t="str">
        <f>IFERROR(__xludf.DUMMYFUNCTION("""COMPUTED_VALUE"""),"")</f>
        <v/>
      </c>
      <c r="C625" t="str">
        <f>IFERROR(__xludf.DUMMYFUNCTION("""COMPUTED_VALUE"""),"")</f>
        <v/>
      </c>
      <c r="D625" t="str">
        <f>IFERROR(__xludf.DUMMYFUNCTION("""COMPUTED_VALUE"""),"")</f>
        <v/>
      </c>
      <c r="E625" t="str">
        <f>IFERROR(__xludf.DUMMYFUNCTION("""COMPUTED_VALUE"""),"")</f>
        <v/>
      </c>
      <c r="F625" t="str">
        <f>IFERROR(__xludf.DUMMYFUNCTION("""COMPUTED_VALUE"""),"")</f>
        <v/>
      </c>
      <c r="G625" t="str">
        <f>IFERROR(__xludf.DUMMYFUNCTION("""COMPUTED_VALUE"""),"")</f>
        <v/>
      </c>
      <c r="H625" t="str">
        <f>IFERROR(__xludf.DUMMYFUNCTION("""COMPUTED_VALUE"""),"")</f>
        <v/>
      </c>
      <c r="I625" t="str">
        <f>IFERROR(__xludf.DUMMYFUNCTION("""COMPUTED_VALUE"""),"")</f>
        <v/>
      </c>
      <c r="J625" t="str">
        <f>IFERROR(__xludf.DUMMYFUNCTION("""COMPUTED_VALUE"""),"")</f>
        <v/>
      </c>
      <c r="K625" t="str">
        <f>IFERROR(__xludf.DUMMYFUNCTION("""COMPUTED_VALUE"""),"")</f>
        <v/>
      </c>
      <c r="L625" t="str">
        <f>IFERROR(__xludf.DUMMYFUNCTION("""COMPUTED_VALUE"""),"")</f>
        <v/>
      </c>
    </row>
    <row r="626" ht="15.75" customHeight="1">
      <c r="A626" t="str">
        <f>IFERROR(__xludf.DUMMYFUNCTION("""COMPUTED_VALUE"""),"")</f>
        <v/>
      </c>
      <c r="B626" t="str">
        <f>IFERROR(__xludf.DUMMYFUNCTION("""COMPUTED_VALUE"""),"")</f>
        <v/>
      </c>
      <c r="C626" t="str">
        <f>IFERROR(__xludf.DUMMYFUNCTION("""COMPUTED_VALUE"""),"")</f>
        <v/>
      </c>
      <c r="D626" t="str">
        <f>IFERROR(__xludf.DUMMYFUNCTION("""COMPUTED_VALUE"""),"")</f>
        <v/>
      </c>
      <c r="E626" t="str">
        <f>IFERROR(__xludf.DUMMYFUNCTION("""COMPUTED_VALUE"""),"")</f>
        <v/>
      </c>
      <c r="F626" t="str">
        <f>IFERROR(__xludf.DUMMYFUNCTION("""COMPUTED_VALUE"""),"")</f>
        <v/>
      </c>
      <c r="G626" t="str">
        <f>IFERROR(__xludf.DUMMYFUNCTION("""COMPUTED_VALUE"""),"")</f>
        <v/>
      </c>
      <c r="H626" t="str">
        <f>IFERROR(__xludf.DUMMYFUNCTION("""COMPUTED_VALUE"""),"")</f>
        <v/>
      </c>
      <c r="I626" t="str">
        <f>IFERROR(__xludf.DUMMYFUNCTION("""COMPUTED_VALUE"""),"")</f>
        <v/>
      </c>
      <c r="J626" t="str">
        <f>IFERROR(__xludf.DUMMYFUNCTION("""COMPUTED_VALUE"""),"")</f>
        <v/>
      </c>
      <c r="K626" t="str">
        <f>IFERROR(__xludf.DUMMYFUNCTION("""COMPUTED_VALUE"""),"")</f>
        <v/>
      </c>
      <c r="L626" t="str">
        <f>IFERROR(__xludf.DUMMYFUNCTION("""COMPUTED_VALUE"""),"")</f>
        <v/>
      </c>
    </row>
    <row r="627" ht="15.75" customHeight="1">
      <c r="A627" t="str">
        <f>IFERROR(__xludf.DUMMYFUNCTION("""COMPUTED_VALUE"""),"")</f>
        <v/>
      </c>
      <c r="B627" t="str">
        <f>IFERROR(__xludf.DUMMYFUNCTION("""COMPUTED_VALUE"""),"")</f>
        <v/>
      </c>
      <c r="C627" t="str">
        <f>IFERROR(__xludf.DUMMYFUNCTION("""COMPUTED_VALUE"""),"")</f>
        <v/>
      </c>
      <c r="D627" t="str">
        <f>IFERROR(__xludf.DUMMYFUNCTION("""COMPUTED_VALUE"""),"")</f>
        <v/>
      </c>
      <c r="E627" t="str">
        <f>IFERROR(__xludf.DUMMYFUNCTION("""COMPUTED_VALUE"""),"")</f>
        <v/>
      </c>
      <c r="F627" t="str">
        <f>IFERROR(__xludf.DUMMYFUNCTION("""COMPUTED_VALUE"""),"")</f>
        <v/>
      </c>
      <c r="G627" t="str">
        <f>IFERROR(__xludf.DUMMYFUNCTION("""COMPUTED_VALUE"""),"")</f>
        <v/>
      </c>
      <c r="H627" t="str">
        <f>IFERROR(__xludf.DUMMYFUNCTION("""COMPUTED_VALUE"""),"")</f>
        <v/>
      </c>
      <c r="I627" t="str">
        <f>IFERROR(__xludf.DUMMYFUNCTION("""COMPUTED_VALUE"""),"")</f>
        <v/>
      </c>
      <c r="J627" t="str">
        <f>IFERROR(__xludf.DUMMYFUNCTION("""COMPUTED_VALUE"""),"")</f>
        <v/>
      </c>
      <c r="K627" t="str">
        <f>IFERROR(__xludf.DUMMYFUNCTION("""COMPUTED_VALUE"""),"")</f>
        <v/>
      </c>
      <c r="L627" t="str">
        <f>IFERROR(__xludf.DUMMYFUNCTION("""COMPUTED_VALUE"""),"")</f>
        <v/>
      </c>
    </row>
    <row r="628" ht="15.75" customHeight="1">
      <c r="A628" t="str">
        <f>IFERROR(__xludf.DUMMYFUNCTION("""COMPUTED_VALUE"""),"")</f>
        <v/>
      </c>
      <c r="B628" t="str">
        <f>IFERROR(__xludf.DUMMYFUNCTION("""COMPUTED_VALUE"""),"")</f>
        <v/>
      </c>
      <c r="C628" t="str">
        <f>IFERROR(__xludf.DUMMYFUNCTION("""COMPUTED_VALUE"""),"")</f>
        <v/>
      </c>
      <c r="D628" t="str">
        <f>IFERROR(__xludf.DUMMYFUNCTION("""COMPUTED_VALUE"""),"")</f>
        <v/>
      </c>
      <c r="E628" t="str">
        <f>IFERROR(__xludf.DUMMYFUNCTION("""COMPUTED_VALUE"""),"")</f>
        <v/>
      </c>
      <c r="F628" t="str">
        <f>IFERROR(__xludf.DUMMYFUNCTION("""COMPUTED_VALUE"""),"")</f>
        <v/>
      </c>
      <c r="G628" t="str">
        <f>IFERROR(__xludf.DUMMYFUNCTION("""COMPUTED_VALUE"""),"")</f>
        <v/>
      </c>
      <c r="H628" t="str">
        <f>IFERROR(__xludf.DUMMYFUNCTION("""COMPUTED_VALUE"""),"")</f>
        <v/>
      </c>
      <c r="I628" t="str">
        <f>IFERROR(__xludf.DUMMYFUNCTION("""COMPUTED_VALUE"""),"")</f>
        <v/>
      </c>
      <c r="J628" t="str">
        <f>IFERROR(__xludf.DUMMYFUNCTION("""COMPUTED_VALUE"""),"")</f>
        <v/>
      </c>
      <c r="K628" t="str">
        <f>IFERROR(__xludf.DUMMYFUNCTION("""COMPUTED_VALUE"""),"")</f>
        <v/>
      </c>
      <c r="L628" t="str">
        <f>IFERROR(__xludf.DUMMYFUNCTION("""COMPUTED_VALUE"""),"")</f>
        <v/>
      </c>
    </row>
    <row r="629" ht="15.75" customHeight="1">
      <c r="A629" t="str">
        <f>IFERROR(__xludf.DUMMYFUNCTION("""COMPUTED_VALUE"""),"")</f>
        <v/>
      </c>
      <c r="B629" t="str">
        <f>IFERROR(__xludf.DUMMYFUNCTION("""COMPUTED_VALUE"""),"")</f>
        <v/>
      </c>
      <c r="C629" t="str">
        <f>IFERROR(__xludf.DUMMYFUNCTION("""COMPUTED_VALUE"""),"")</f>
        <v/>
      </c>
      <c r="D629" t="str">
        <f>IFERROR(__xludf.DUMMYFUNCTION("""COMPUTED_VALUE"""),"")</f>
        <v/>
      </c>
      <c r="E629" t="str">
        <f>IFERROR(__xludf.DUMMYFUNCTION("""COMPUTED_VALUE"""),"")</f>
        <v/>
      </c>
      <c r="F629" t="str">
        <f>IFERROR(__xludf.DUMMYFUNCTION("""COMPUTED_VALUE"""),"")</f>
        <v/>
      </c>
      <c r="G629" t="str">
        <f>IFERROR(__xludf.DUMMYFUNCTION("""COMPUTED_VALUE"""),"")</f>
        <v/>
      </c>
      <c r="H629" t="str">
        <f>IFERROR(__xludf.DUMMYFUNCTION("""COMPUTED_VALUE"""),"")</f>
        <v/>
      </c>
      <c r="I629" t="str">
        <f>IFERROR(__xludf.DUMMYFUNCTION("""COMPUTED_VALUE"""),"")</f>
        <v/>
      </c>
      <c r="J629" t="str">
        <f>IFERROR(__xludf.DUMMYFUNCTION("""COMPUTED_VALUE"""),"")</f>
        <v/>
      </c>
      <c r="K629" t="str">
        <f>IFERROR(__xludf.DUMMYFUNCTION("""COMPUTED_VALUE"""),"")</f>
        <v/>
      </c>
      <c r="L629" t="str">
        <f>IFERROR(__xludf.DUMMYFUNCTION("""COMPUTED_VALUE"""),"")</f>
        <v/>
      </c>
    </row>
    <row r="630" ht="15.75" customHeight="1">
      <c r="A630" t="str">
        <f>IFERROR(__xludf.DUMMYFUNCTION("""COMPUTED_VALUE"""),"")</f>
        <v/>
      </c>
      <c r="B630" t="str">
        <f>IFERROR(__xludf.DUMMYFUNCTION("""COMPUTED_VALUE"""),"")</f>
        <v/>
      </c>
      <c r="C630" t="str">
        <f>IFERROR(__xludf.DUMMYFUNCTION("""COMPUTED_VALUE"""),"")</f>
        <v/>
      </c>
      <c r="D630" t="str">
        <f>IFERROR(__xludf.DUMMYFUNCTION("""COMPUTED_VALUE"""),"")</f>
        <v/>
      </c>
      <c r="E630" t="str">
        <f>IFERROR(__xludf.DUMMYFUNCTION("""COMPUTED_VALUE"""),"")</f>
        <v/>
      </c>
      <c r="F630" t="str">
        <f>IFERROR(__xludf.DUMMYFUNCTION("""COMPUTED_VALUE"""),"")</f>
        <v/>
      </c>
      <c r="G630" t="str">
        <f>IFERROR(__xludf.DUMMYFUNCTION("""COMPUTED_VALUE"""),"")</f>
        <v/>
      </c>
      <c r="H630" t="str">
        <f>IFERROR(__xludf.DUMMYFUNCTION("""COMPUTED_VALUE"""),"")</f>
        <v/>
      </c>
      <c r="I630" t="str">
        <f>IFERROR(__xludf.DUMMYFUNCTION("""COMPUTED_VALUE"""),"")</f>
        <v/>
      </c>
      <c r="J630" t="str">
        <f>IFERROR(__xludf.DUMMYFUNCTION("""COMPUTED_VALUE"""),"")</f>
        <v/>
      </c>
      <c r="K630" t="str">
        <f>IFERROR(__xludf.DUMMYFUNCTION("""COMPUTED_VALUE"""),"")</f>
        <v/>
      </c>
      <c r="L630" t="str">
        <f>IFERROR(__xludf.DUMMYFUNCTION("""COMPUTED_VALUE"""),"")</f>
        <v/>
      </c>
    </row>
    <row r="631" ht="15.75" customHeight="1">
      <c r="A631" t="str">
        <f>IFERROR(__xludf.DUMMYFUNCTION("""COMPUTED_VALUE"""),"")</f>
        <v/>
      </c>
      <c r="B631" t="str">
        <f>IFERROR(__xludf.DUMMYFUNCTION("""COMPUTED_VALUE"""),"")</f>
        <v/>
      </c>
      <c r="C631" t="str">
        <f>IFERROR(__xludf.DUMMYFUNCTION("""COMPUTED_VALUE"""),"")</f>
        <v/>
      </c>
      <c r="D631" t="str">
        <f>IFERROR(__xludf.DUMMYFUNCTION("""COMPUTED_VALUE"""),"")</f>
        <v/>
      </c>
      <c r="E631" t="str">
        <f>IFERROR(__xludf.DUMMYFUNCTION("""COMPUTED_VALUE"""),"")</f>
        <v/>
      </c>
      <c r="F631" t="str">
        <f>IFERROR(__xludf.DUMMYFUNCTION("""COMPUTED_VALUE"""),"")</f>
        <v/>
      </c>
      <c r="G631" t="str">
        <f>IFERROR(__xludf.DUMMYFUNCTION("""COMPUTED_VALUE"""),"")</f>
        <v/>
      </c>
      <c r="H631" t="str">
        <f>IFERROR(__xludf.DUMMYFUNCTION("""COMPUTED_VALUE"""),"")</f>
        <v/>
      </c>
      <c r="I631" t="str">
        <f>IFERROR(__xludf.DUMMYFUNCTION("""COMPUTED_VALUE"""),"")</f>
        <v/>
      </c>
      <c r="J631" t="str">
        <f>IFERROR(__xludf.DUMMYFUNCTION("""COMPUTED_VALUE"""),"")</f>
        <v/>
      </c>
      <c r="K631" t="str">
        <f>IFERROR(__xludf.DUMMYFUNCTION("""COMPUTED_VALUE"""),"")</f>
        <v/>
      </c>
      <c r="L631" t="str">
        <f>IFERROR(__xludf.DUMMYFUNCTION("""COMPUTED_VALUE"""),"")</f>
        <v/>
      </c>
    </row>
    <row r="632" ht="15.75" customHeight="1">
      <c r="A632" t="str">
        <f>IFERROR(__xludf.DUMMYFUNCTION("""COMPUTED_VALUE"""),"")</f>
        <v/>
      </c>
      <c r="B632" t="str">
        <f>IFERROR(__xludf.DUMMYFUNCTION("""COMPUTED_VALUE"""),"")</f>
        <v/>
      </c>
      <c r="C632" t="str">
        <f>IFERROR(__xludf.DUMMYFUNCTION("""COMPUTED_VALUE"""),"")</f>
        <v/>
      </c>
      <c r="D632" t="str">
        <f>IFERROR(__xludf.DUMMYFUNCTION("""COMPUTED_VALUE"""),"")</f>
        <v/>
      </c>
      <c r="E632" t="str">
        <f>IFERROR(__xludf.DUMMYFUNCTION("""COMPUTED_VALUE"""),"")</f>
        <v/>
      </c>
      <c r="F632" t="str">
        <f>IFERROR(__xludf.DUMMYFUNCTION("""COMPUTED_VALUE"""),"")</f>
        <v/>
      </c>
      <c r="G632" t="str">
        <f>IFERROR(__xludf.DUMMYFUNCTION("""COMPUTED_VALUE"""),"")</f>
        <v/>
      </c>
      <c r="H632" t="str">
        <f>IFERROR(__xludf.DUMMYFUNCTION("""COMPUTED_VALUE"""),"")</f>
        <v/>
      </c>
      <c r="I632" t="str">
        <f>IFERROR(__xludf.DUMMYFUNCTION("""COMPUTED_VALUE"""),"")</f>
        <v/>
      </c>
      <c r="J632" t="str">
        <f>IFERROR(__xludf.DUMMYFUNCTION("""COMPUTED_VALUE"""),"")</f>
        <v/>
      </c>
      <c r="K632" t="str">
        <f>IFERROR(__xludf.DUMMYFUNCTION("""COMPUTED_VALUE"""),"")</f>
        <v/>
      </c>
      <c r="L632" t="str">
        <f>IFERROR(__xludf.DUMMYFUNCTION("""COMPUTED_VALUE"""),"")</f>
        <v/>
      </c>
    </row>
    <row r="633" ht="15.75" customHeight="1">
      <c r="A633" t="str">
        <f>IFERROR(__xludf.DUMMYFUNCTION("""COMPUTED_VALUE"""),"")</f>
        <v/>
      </c>
      <c r="B633" t="str">
        <f>IFERROR(__xludf.DUMMYFUNCTION("""COMPUTED_VALUE"""),"")</f>
        <v/>
      </c>
      <c r="C633" t="str">
        <f>IFERROR(__xludf.DUMMYFUNCTION("""COMPUTED_VALUE"""),"")</f>
        <v/>
      </c>
      <c r="D633" t="str">
        <f>IFERROR(__xludf.DUMMYFUNCTION("""COMPUTED_VALUE"""),"")</f>
        <v/>
      </c>
      <c r="E633" t="str">
        <f>IFERROR(__xludf.DUMMYFUNCTION("""COMPUTED_VALUE"""),"")</f>
        <v/>
      </c>
      <c r="F633" t="str">
        <f>IFERROR(__xludf.DUMMYFUNCTION("""COMPUTED_VALUE"""),"")</f>
        <v/>
      </c>
      <c r="G633" t="str">
        <f>IFERROR(__xludf.DUMMYFUNCTION("""COMPUTED_VALUE"""),"")</f>
        <v/>
      </c>
      <c r="H633" t="str">
        <f>IFERROR(__xludf.DUMMYFUNCTION("""COMPUTED_VALUE"""),"")</f>
        <v/>
      </c>
      <c r="I633" t="str">
        <f>IFERROR(__xludf.DUMMYFUNCTION("""COMPUTED_VALUE"""),"")</f>
        <v/>
      </c>
      <c r="J633" t="str">
        <f>IFERROR(__xludf.DUMMYFUNCTION("""COMPUTED_VALUE"""),"")</f>
        <v/>
      </c>
      <c r="K633" t="str">
        <f>IFERROR(__xludf.DUMMYFUNCTION("""COMPUTED_VALUE"""),"")</f>
        <v/>
      </c>
      <c r="L633" t="str">
        <f>IFERROR(__xludf.DUMMYFUNCTION("""COMPUTED_VALUE"""),"")</f>
        <v/>
      </c>
    </row>
    <row r="634" ht="15.75" customHeight="1">
      <c r="A634" t="str">
        <f>IFERROR(__xludf.DUMMYFUNCTION("""COMPUTED_VALUE"""),"")</f>
        <v/>
      </c>
      <c r="B634" t="str">
        <f>IFERROR(__xludf.DUMMYFUNCTION("""COMPUTED_VALUE"""),"")</f>
        <v/>
      </c>
      <c r="C634" t="str">
        <f>IFERROR(__xludf.DUMMYFUNCTION("""COMPUTED_VALUE"""),"")</f>
        <v/>
      </c>
      <c r="D634" t="str">
        <f>IFERROR(__xludf.DUMMYFUNCTION("""COMPUTED_VALUE"""),"")</f>
        <v/>
      </c>
      <c r="E634" t="str">
        <f>IFERROR(__xludf.DUMMYFUNCTION("""COMPUTED_VALUE"""),"")</f>
        <v/>
      </c>
      <c r="F634" t="str">
        <f>IFERROR(__xludf.DUMMYFUNCTION("""COMPUTED_VALUE"""),"")</f>
        <v/>
      </c>
      <c r="G634" t="str">
        <f>IFERROR(__xludf.DUMMYFUNCTION("""COMPUTED_VALUE"""),"")</f>
        <v/>
      </c>
      <c r="H634" t="str">
        <f>IFERROR(__xludf.DUMMYFUNCTION("""COMPUTED_VALUE"""),"")</f>
        <v/>
      </c>
      <c r="I634" t="str">
        <f>IFERROR(__xludf.DUMMYFUNCTION("""COMPUTED_VALUE"""),"")</f>
        <v/>
      </c>
      <c r="J634" t="str">
        <f>IFERROR(__xludf.DUMMYFUNCTION("""COMPUTED_VALUE"""),"")</f>
        <v/>
      </c>
      <c r="K634" t="str">
        <f>IFERROR(__xludf.DUMMYFUNCTION("""COMPUTED_VALUE"""),"")</f>
        <v/>
      </c>
      <c r="L634" t="str">
        <f>IFERROR(__xludf.DUMMYFUNCTION("""COMPUTED_VALUE"""),"")</f>
        <v/>
      </c>
    </row>
    <row r="635" ht="15.75" customHeight="1">
      <c r="A635" t="str">
        <f>IFERROR(__xludf.DUMMYFUNCTION("""COMPUTED_VALUE"""),"")</f>
        <v/>
      </c>
      <c r="B635" t="str">
        <f>IFERROR(__xludf.DUMMYFUNCTION("""COMPUTED_VALUE"""),"")</f>
        <v/>
      </c>
      <c r="C635" t="str">
        <f>IFERROR(__xludf.DUMMYFUNCTION("""COMPUTED_VALUE"""),"")</f>
        <v/>
      </c>
      <c r="D635" t="str">
        <f>IFERROR(__xludf.DUMMYFUNCTION("""COMPUTED_VALUE"""),"")</f>
        <v/>
      </c>
      <c r="E635" t="str">
        <f>IFERROR(__xludf.DUMMYFUNCTION("""COMPUTED_VALUE"""),"")</f>
        <v/>
      </c>
      <c r="F635" t="str">
        <f>IFERROR(__xludf.DUMMYFUNCTION("""COMPUTED_VALUE"""),"")</f>
        <v/>
      </c>
      <c r="G635" t="str">
        <f>IFERROR(__xludf.DUMMYFUNCTION("""COMPUTED_VALUE"""),"")</f>
        <v/>
      </c>
      <c r="H635" t="str">
        <f>IFERROR(__xludf.DUMMYFUNCTION("""COMPUTED_VALUE"""),"")</f>
        <v/>
      </c>
      <c r="I635" t="str">
        <f>IFERROR(__xludf.DUMMYFUNCTION("""COMPUTED_VALUE"""),"")</f>
        <v/>
      </c>
      <c r="J635" t="str">
        <f>IFERROR(__xludf.DUMMYFUNCTION("""COMPUTED_VALUE"""),"")</f>
        <v/>
      </c>
      <c r="K635" t="str">
        <f>IFERROR(__xludf.DUMMYFUNCTION("""COMPUTED_VALUE"""),"")</f>
        <v/>
      </c>
      <c r="L635" t="str">
        <f>IFERROR(__xludf.DUMMYFUNCTION("""COMPUTED_VALUE"""),"")</f>
        <v/>
      </c>
    </row>
    <row r="636" ht="15.75" customHeight="1">
      <c r="A636" t="str">
        <f>IFERROR(__xludf.DUMMYFUNCTION("""COMPUTED_VALUE"""),"")</f>
        <v/>
      </c>
      <c r="B636" t="str">
        <f>IFERROR(__xludf.DUMMYFUNCTION("""COMPUTED_VALUE"""),"")</f>
        <v/>
      </c>
      <c r="C636" t="str">
        <f>IFERROR(__xludf.DUMMYFUNCTION("""COMPUTED_VALUE"""),"")</f>
        <v/>
      </c>
      <c r="D636" t="str">
        <f>IFERROR(__xludf.DUMMYFUNCTION("""COMPUTED_VALUE"""),"")</f>
        <v/>
      </c>
      <c r="E636" t="str">
        <f>IFERROR(__xludf.DUMMYFUNCTION("""COMPUTED_VALUE"""),"")</f>
        <v/>
      </c>
      <c r="F636" t="str">
        <f>IFERROR(__xludf.DUMMYFUNCTION("""COMPUTED_VALUE"""),"")</f>
        <v/>
      </c>
      <c r="G636" t="str">
        <f>IFERROR(__xludf.DUMMYFUNCTION("""COMPUTED_VALUE"""),"")</f>
        <v/>
      </c>
      <c r="H636" t="str">
        <f>IFERROR(__xludf.DUMMYFUNCTION("""COMPUTED_VALUE"""),"")</f>
        <v/>
      </c>
      <c r="I636" t="str">
        <f>IFERROR(__xludf.DUMMYFUNCTION("""COMPUTED_VALUE"""),"")</f>
        <v/>
      </c>
      <c r="J636" t="str">
        <f>IFERROR(__xludf.DUMMYFUNCTION("""COMPUTED_VALUE"""),"")</f>
        <v/>
      </c>
      <c r="K636" t="str">
        <f>IFERROR(__xludf.DUMMYFUNCTION("""COMPUTED_VALUE"""),"")</f>
        <v/>
      </c>
      <c r="L636" t="str">
        <f>IFERROR(__xludf.DUMMYFUNCTION("""COMPUTED_VALUE"""),"")</f>
        <v/>
      </c>
    </row>
    <row r="637" ht="15.75" customHeight="1">
      <c r="A637" t="str">
        <f>IFERROR(__xludf.DUMMYFUNCTION("""COMPUTED_VALUE"""),"")</f>
        <v/>
      </c>
      <c r="B637" t="str">
        <f>IFERROR(__xludf.DUMMYFUNCTION("""COMPUTED_VALUE"""),"")</f>
        <v/>
      </c>
      <c r="C637" t="str">
        <f>IFERROR(__xludf.DUMMYFUNCTION("""COMPUTED_VALUE"""),"")</f>
        <v/>
      </c>
      <c r="D637" t="str">
        <f>IFERROR(__xludf.DUMMYFUNCTION("""COMPUTED_VALUE"""),"")</f>
        <v/>
      </c>
      <c r="E637" t="str">
        <f>IFERROR(__xludf.DUMMYFUNCTION("""COMPUTED_VALUE"""),"")</f>
        <v/>
      </c>
      <c r="F637" t="str">
        <f>IFERROR(__xludf.DUMMYFUNCTION("""COMPUTED_VALUE"""),"")</f>
        <v/>
      </c>
      <c r="G637" t="str">
        <f>IFERROR(__xludf.DUMMYFUNCTION("""COMPUTED_VALUE"""),"")</f>
        <v/>
      </c>
      <c r="H637" t="str">
        <f>IFERROR(__xludf.DUMMYFUNCTION("""COMPUTED_VALUE"""),"")</f>
        <v/>
      </c>
      <c r="I637" t="str">
        <f>IFERROR(__xludf.DUMMYFUNCTION("""COMPUTED_VALUE"""),"")</f>
        <v/>
      </c>
      <c r="J637" t="str">
        <f>IFERROR(__xludf.DUMMYFUNCTION("""COMPUTED_VALUE"""),"")</f>
        <v/>
      </c>
      <c r="K637" t="str">
        <f>IFERROR(__xludf.DUMMYFUNCTION("""COMPUTED_VALUE"""),"")</f>
        <v/>
      </c>
      <c r="L637" t="str">
        <f>IFERROR(__xludf.DUMMYFUNCTION("""COMPUTED_VALUE"""),"")</f>
        <v/>
      </c>
    </row>
    <row r="638" ht="15.75" customHeight="1">
      <c r="A638" t="str">
        <f>IFERROR(__xludf.DUMMYFUNCTION("""COMPUTED_VALUE"""),"")</f>
        <v/>
      </c>
      <c r="B638" t="str">
        <f>IFERROR(__xludf.DUMMYFUNCTION("""COMPUTED_VALUE"""),"")</f>
        <v/>
      </c>
      <c r="C638" t="str">
        <f>IFERROR(__xludf.DUMMYFUNCTION("""COMPUTED_VALUE"""),"")</f>
        <v/>
      </c>
      <c r="D638" t="str">
        <f>IFERROR(__xludf.DUMMYFUNCTION("""COMPUTED_VALUE"""),"")</f>
        <v/>
      </c>
      <c r="E638" t="str">
        <f>IFERROR(__xludf.DUMMYFUNCTION("""COMPUTED_VALUE"""),"")</f>
        <v/>
      </c>
      <c r="F638" t="str">
        <f>IFERROR(__xludf.DUMMYFUNCTION("""COMPUTED_VALUE"""),"")</f>
        <v/>
      </c>
      <c r="G638" t="str">
        <f>IFERROR(__xludf.DUMMYFUNCTION("""COMPUTED_VALUE"""),"")</f>
        <v/>
      </c>
      <c r="H638" t="str">
        <f>IFERROR(__xludf.DUMMYFUNCTION("""COMPUTED_VALUE"""),"")</f>
        <v/>
      </c>
      <c r="I638" t="str">
        <f>IFERROR(__xludf.DUMMYFUNCTION("""COMPUTED_VALUE"""),"")</f>
        <v/>
      </c>
      <c r="J638" t="str">
        <f>IFERROR(__xludf.DUMMYFUNCTION("""COMPUTED_VALUE"""),"")</f>
        <v/>
      </c>
      <c r="K638" t="str">
        <f>IFERROR(__xludf.DUMMYFUNCTION("""COMPUTED_VALUE"""),"")</f>
        <v/>
      </c>
      <c r="L638" t="str">
        <f>IFERROR(__xludf.DUMMYFUNCTION("""COMPUTED_VALUE"""),"")</f>
        <v/>
      </c>
    </row>
    <row r="639" ht="15.75" customHeight="1">
      <c r="A639" t="str">
        <f>IFERROR(__xludf.DUMMYFUNCTION("""COMPUTED_VALUE"""),"")</f>
        <v/>
      </c>
      <c r="B639" t="str">
        <f>IFERROR(__xludf.DUMMYFUNCTION("""COMPUTED_VALUE"""),"")</f>
        <v/>
      </c>
      <c r="C639" t="str">
        <f>IFERROR(__xludf.DUMMYFUNCTION("""COMPUTED_VALUE"""),"")</f>
        <v/>
      </c>
      <c r="D639" t="str">
        <f>IFERROR(__xludf.DUMMYFUNCTION("""COMPUTED_VALUE"""),"")</f>
        <v/>
      </c>
      <c r="E639" t="str">
        <f>IFERROR(__xludf.DUMMYFUNCTION("""COMPUTED_VALUE"""),"")</f>
        <v/>
      </c>
      <c r="F639" t="str">
        <f>IFERROR(__xludf.DUMMYFUNCTION("""COMPUTED_VALUE"""),"")</f>
        <v/>
      </c>
      <c r="G639" t="str">
        <f>IFERROR(__xludf.DUMMYFUNCTION("""COMPUTED_VALUE"""),"")</f>
        <v/>
      </c>
      <c r="H639" t="str">
        <f>IFERROR(__xludf.DUMMYFUNCTION("""COMPUTED_VALUE"""),"")</f>
        <v/>
      </c>
      <c r="I639" t="str">
        <f>IFERROR(__xludf.DUMMYFUNCTION("""COMPUTED_VALUE"""),"")</f>
        <v/>
      </c>
      <c r="J639" t="str">
        <f>IFERROR(__xludf.DUMMYFUNCTION("""COMPUTED_VALUE"""),"")</f>
        <v/>
      </c>
      <c r="K639" t="str">
        <f>IFERROR(__xludf.DUMMYFUNCTION("""COMPUTED_VALUE"""),"")</f>
        <v/>
      </c>
      <c r="L639" t="str">
        <f>IFERROR(__xludf.DUMMYFUNCTION("""COMPUTED_VALUE"""),"")</f>
        <v/>
      </c>
    </row>
    <row r="640" ht="15.75" customHeight="1">
      <c r="A640" t="str">
        <f>IFERROR(__xludf.DUMMYFUNCTION("""COMPUTED_VALUE"""),"")</f>
        <v/>
      </c>
      <c r="B640" t="str">
        <f>IFERROR(__xludf.DUMMYFUNCTION("""COMPUTED_VALUE"""),"")</f>
        <v/>
      </c>
      <c r="C640" t="str">
        <f>IFERROR(__xludf.DUMMYFUNCTION("""COMPUTED_VALUE"""),"")</f>
        <v/>
      </c>
      <c r="D640" t="str">
        <f>IFERROR(__xludf.DUMMYFUNCTION("""COMPUTED_VALUE"""),"")</f>
        <v/>
      </c>
      <c r="E640" t="str">
        <f>IFERROR(__xludf.DUMMYFUNCTION("""COMPUTED_VALUE"""),"")</f>
        <v/>
      </c>
      <c r="F640" t="str">
        <f>IFERROR(__xludf.DUMMYFUNCTION("""COMPUTED_VALUE"""),"")</f>
        <v/>
      </c>
      <c r="G640" t="str">
        <f>IFERROR(__xludf.DUMMYFUNCTION("""COMPUTED_VALUE"""),"")</f>
        <v/>
      </c>
      <c r="H640" t="str">
        <f>IFERROR(__xludf.DUMMYFUNCTION("""COMPUTED_VALUE"""),"")</f>
        <v/>
      </c>
      <c r="I640" t="str">
        <f>IFERROR(__xludf.DUMMYFUNCTION("""COMPUTED_VALUE"""),"")</f>
        <v/>
      </c>
      <c r="J640" t="str">
        <f>IFERROR(__xludf.DUMMYFUNCTION("""COMPUTED_VALUE"""),"")</f>
        <v/>
      </c>
      <c r="K640" t="str">
        <f>IFERROR(__xludf.DUMMYFUNCTION("""COMPUTED_VALUE"""),"")</f>
        <v/>
      </c>
      <c r="L640" t="str">
        <f>IFERROR(__xludf.DUMMYFUNCTION("""COMPUTED_VALUE"""),"")</f>
        <v/>
      </c>
    </row>
    <row r="641" ht="15.75" customHeight="1">
      <c r="A641" t="str">
        <f>IFERROR(__xludf.DUMMYFUNCTION("""COMPUTED_VALUE"""),"")</f>
        <v/>
      </c>
      <c r="B641" t="str">
        <f>IFERROR(__xludf.DUMMYFUNCTION("""COMPUTED_VALUE"""),"")</f>
        <v/>
      </c>
      <c r="C641" t="str">
        <f>IFERROR(__xludf.DUMMYFUNCTION("""COMPUTED_VALUE"""),"")</f>
        <v/>
      </c>
      <c r="D641" t="str">
        <f>IFERROR(__xludf.DUMMYFUNCTION("""COMPUTED_VALUE"""),"")</f>
        <v/>
      </c>
      <c r="E641" t="str">
        <f>IFERROR(__xludf.DUMMYFUNCTION("""COMPUTED_VALUE"""),"")</f>
        <v/>
      </c>
      <c r="F641" t="str">
        <f>IFERROR(__xludf.DUMMYFUNCTION("""COMPUTED_VALUE"""),"")</f>
        <v/>
      </c>
      <c r="G641" t="str">
        <f>IFERROR(__xludf.DUMMYFUNCTION("""COMPUTED_VALUE"""),"")</f>
        <v/>
      </c>
      <c r="H641" t="str">
        <f>IFERROR(__xludf.DUMMYFUNCTION("""COMPUTED_VALUE"""),"")</f>
        <v/>
      </c>
      <c r="I641" t="str">
        <f>IFERROR(__xludf.DUMMYFUNCTION("""COMPUTED_VALUE"""),"")</f>
        <v/>
      </c>
      <c r="J641" t="str">
        <f>IFERROR(__xludf.DUMMYFUNCTION("""COMPUTED_VALUE"""),"")</f>
        <v/>
      </c>
      <c r="K641" t="str">
        <f>IFERROR(__xludf.DUMMYFUNCTION("""COMPUTED_VALUE"""),"")</f>
        <v/>
      </c>
      <c r="L641" t="str">
        <f>IFERROR(__xludf.DUMMYFUNCTION("""COMPUTED_VALUE"""),"")</f>
        <v/>
      </c>
    </row>
    <row r="642" ht="15.75" customHeight="1">
      <c r="A642" t="str">
        <f>IFERROR(__xludf.DUMMYFUNCTION("""COMPUTED_VALUE"""),"")</f>
        <v/>
      </c>
      <c r="B642" t="str">
        <f>IFERROR(__xludf.DUMMYFUNCTION("""COMPUTED_VALUE"""),"")</f>
        <v/>
      </c>
      <c r="C642" t="str">
        <f>IFERROR(__xludf.DUMMYFUNCTION("""COMPUTED_VALUE"""),"")</f>
        <v/>
      </c>
      <c r="D642" t="str">
        <f>IFERROR(__xludf.DUMMYFUNCTION("""COMPUTED_VALUE"""),"")</f>
        <v/>
      </c>
      <c r="E642" t="str">
        <f>IFERROR(__xludf.DUMMYFUNCTION("""COMPUTED_VALUE"""),"")</f>
        <v/>
      </c>
      <c r="F642" t="str">
        <f>IFERROR(__xludf.DUMMYFUNCTION("""COMPUTED_VALUE"""),"")</f>
        <v/>
      </c>
      <c r="G642" t="str">
        <f>IFERROR(__xludf.DUMMYFUNCTION("""COMPUTED_VALUE"""),"")</f>
        <v/>
      </c>
      <c r="H642" t="str">
        <f>IFERROR(__xludf.DUMMYFUNCTION("""COMPUTED_VALUE"""),"")</f>
        <v/>
      </c>
      <c r="I642" t="str">
        <f>IFERROR(__xludf.DUMMYFUNCTION("""COMPUTED_VALUE"""),"")</f>
        <v/>
      </c>
      <c r="J642" t="str">
        <f>IFERROR(__xludf.DUMMYFUNCTION("""COMPUTED_VALUE"""),"")</f>
        <v/>
      </c>
      <c r="K642" t="str">
        <f>IFERROR(__xludf.DUMMYFUNCTION("""COMPUTED_VALUE"""),"")</f>
        <v/>
      </c>
      <c r="L642" t="str">
        <f>IFERROR(__xludf.DUMMYFUNCTION("""COMPUTED_VALUE"""),"")</f>
        <v/>
      </c>
    </row>
    <row r="643" ht="15.75" customHeight="1">
      <c r="A643" t="str">
        <f>IFERROR(__xludf.DUMMYFUNCTION("""COMPUTED_VALUE"""),"")</f>
        <v/>
      </c>
      <c r="B643" t="str">
        <f>IFERROR(__xludf.DUMMYFUNCTION("""COMPUTED_VALUE"""),"")</f>
        <v/>
      </c>
      <c r="C643" t="str">
        <f>IFERROR(__xludf.DUMMYFUNCTION("""COMPUTED_VALUE"""),"")</f>
        <v/>
      </c>
      <c r="D643" t="str">
        <f>IFERROR(__xludf.DUMMYFUNCTION("""COMPUTED_VALUE"""),"")</f>
        <v/>
      </c>
      <c r="E643" t="str">
        <f>IFERROR(__xludf.DUMMYFUNCTION("""COMPUTED_VALUE"""),"")</f>
        <v/>
      </c>
      <c r="F643" t="str">
        <f>IFERROR(__xludf.DUMMYFUNCTION("""COMPUTED_VALUE"""),"")</f>
        <v/>
      </c>
      <c r="G643" t="str">
        <f>IFERROR(__xludf.DUMMYFUNCTION("""COMPUTED_VALUE"""),"")</f>
        <v/>
      </c>
      <c r="H643" t="str">
        <f>IFERROR(__xludf.DUMMYFUNCTION("""COMPUTED_VALUE"""),"")</f>
        <v/>
      </c>
      <c r="I643" t="str">
        <f>IFERROR(__xludf.DUMMYFUNCTION("""COMPUTED_VALUE"""),"")</f>
        <v/>
      </c>
      <c r="J643" t="str">
        <f>IFERROR(__xludf.DUMMYFUNCTION("""COMPUTED_VALUE"""),"")</f>
        <v/>
      </c>
      <c r="K643" t="str">
        <f>IFERROR(__xludf.DUMMYFUNCTION("""COMPUTED_VALUE"""),"")</f>
        <v/>
      </c>
      <c r="L643" t="str">
        <f>IFERROR(__xludf.DUMMYFUNCTION("""COMPUTED_VALUE"""),"")</f>
        <v/>
      </c>
    </row>
    <row r="644" ht="15.75" customHeight="1">
      <c r="A644" t="str">
        <f>IFERROR(__xludf.DUMMYFUNCTION("""COMPUTED_VALUE"""),"")</f>
        <v/>
      </c>
      <c r="B644" t="str">
        <f>IFERROR(__xludf.DUMMYFUNCTION("""COMPUTED_VALUE"""),"")</f>
        <v/>
      </c>
      <c r="C644" t="str">
        <f>IFERROR(__xludf.DUMMYFUNCTION("""COMPUTED_VALUE"""),"")</f>
        <v/>
      </c>
      <c r="D644" t="str">
        <f>IFERROR(__xludf.DUMMYFUNCTION("""COMPUTED_VALUE"""),"")</f>
        <v/>
      </c>
      <c r="E644" t="str">
        <f>IFERROR(__xludf.DUMMYFUNCTION("""COMPUTED_VALUE"""),"")</f>
        <v/>
      </c>
      <c r="F644" t="str">
        <f>IFERROR(__xludf.DUMMYFUNCTION("""COMPUTED_VALUE"""),"")</f>
        <v/>
      </c>
      <c r="G644" t="str">
        <f>IFERROR(__xludf.DUMMYFUNCTION("""COMPUTED_VALUE"""),"")</f>
        <v/>
      </c>
      <c r="H644" t="str">
        <f>IFERROR(__xludf.DUMMYFUNCTION("""COMPUTED_VALUE"""),"")</f>
        <v/>
      </c>
      <c r="I644" t="str">
        <f>IFERROR(__xludf.DUMMYFUNCTION("""COMPUTED_VALUE"""),"")</f>
        <v/>
      </c>
      <c r="J644" t="str">
        <f>IFERROR(__xludf.DUMMYFUNCTION("""COMPUTED_VALUE"""),"")</f>
        <v/>
      </c>
      <c r="K644" t="str">
        <f>IFERROR(__xludf.DUMMYFUNCTION("""COMPUTED_VALUE"""),"")</f>
        <v/>
      </c>
      <c r="L644" t="str">
        <f>IFERROR(__xludf.DUMMYFUNCTION("""COMPUTED_VALUE"""),"")</f>
        <v/>
      </c>
    </row>
    <row r="645" ht="15.75" customHeight="1">
      <c r="A645" t="str">
        <f>IFERROR(__xludf.DUMMYFUNCTION("""COMPUTED_VALUE"""),"")</f>
        <v/>
      </c>
      <c r="B645" t="str">
        <f>IFERROR(__xludf.DUMMYFUNCTION("""COMPUTED_VALUE"""),"")</f>
        <v/>
      </c>
      <c r="C645" t="str">
        <f>IFERROR(__xludf.DUMMYFUNCTION("""COMPUTED_VALUE"""),"")</f>
        <v/>
      </c>
      <c r="D645" t="str">
        <f>IFERROR(__xludf.DUMMYFUNCTION("""COMPUTED_VALUE"""),"")</f>
        <v/>
      </c>
      <c r="E645" t="str">
        <f>IFERROR(__xludf.DUMMYFUNCTION("""COMPUTED_VALUE"""),"")</f>
        <v/>
      </c>
      <c r="F645" t="str">
        <f>IFERROR(__xludf.DUMMYFUNCTION("""COMPUTED_VALUE"""),"")</f>
        <v/>
      </c>
      <c r="G645" t="str">
        <f>IFERROR(__xludf.DUMMYFUNCTION("""COMPUTED_VALUE"""),"")</f>
        <v/>
      </c>
      <c r="H645" t="str">
        <f>IFERROR(__xludf.DUMMYFUNCTION("""COMPUTED_VALUE"""),"")</f>
        <v/>
      </c>
      <c r="I645" t="str">
        <f>IFERROR(__xludf.DUMMYFUNCTION("""COMPUTED_VALUE"""),"")</f>
        <v/>
      </c>
      <c r="J645" t="str">
        <f>IFERROR(__xludf.DUMMYFUNCTION("""COMPUTED_VALUE"""),"")</f>
        <v/>
      </c>
      <c r="K645" t="str">
        <f>IFERROR(__xludf.DUMMYFUNCTION("""COMPUTED_VALUE"""),"")</f>
        <v/>
      </c>
      <c r="L645" t="str">
        <f>IFERROR(__xludf.DUMMYFUNCTION("""COMPUTED_VALUE"""),"")</f>
        <v/>
      </c>
    </row>
    <row r="646" ht="15.75" customHeight="1">
      <c r="A646" t="str">
        <f>IFERROR(__xludf.DUMMYFUNCTION("""COMPUTED_VALUE"""),"")</f>
        <v/>
      </c>
      <c r="B646" t="str">
        <f>IFERROR(__xludf.DUMMYFUNCTION("""COMPUTED_VALUE"""),"")</f>
        <v/>
      </c>
      <c r="C646" t="str">
        <f>IFERROR(__xludf.DUMMYFUNCTION("""COMPUTED_VALUE"""),"")</f>
        <v/>
      </c>
      <c r="D646" t="str">
        <f>IFERROR(__xludf.DUMMYFUNCTION("""COMPUTED_VALUE"""),"")</f>
        <v/>
      </c>
      <c r="E646" t="str">
        <f>IFERROR(__xludf.DUMMYFUNCTION("""COMPUTED_VALUE"""),"")</f>
        <v/>
      </c>
      <c r="F646" t="str">
        <f>IFERROR(__xludf.DUMMYFUNCTION("""COMPUTED_VALUE"""),"")</f>
        <v/>
      </c>
      <c r="G646" t="str">
        <f>IFERROR(__xludf.DUMMYFUNCTION("""COMPUTED_VALUE"""),"")</f>
        <v/>
      </c>
      <c r="H646" t="str">
        <f>IFERROR(__xludf.DUMMYFUNCTION("""COMPUTED_VALUE"""),"")</f>
        <v/>
      </c>
      <c r="I646" t="str">
        <f>IFERROR(__xludf.DUMMYFUNCTION("""COMPUTED_VALUE"""),"")</f>
        <v/>
      </c>
      <c r="J646" t="str">
        <f>IFERROR(__xludf.DUMMYFUNCTION("""COMPUTED_VALUE"""),"")</f>
        <v/>
      </c>
      <c r="K646" t="str">
        <f>IFERROR(__xludf.DUMMYFUNCTION("""COMPUTED_VALUE"""),"")</f>
        <v/>
      </c>
      <c r="L646" t="str">
        <f>IFERROR(__xludf.DUMMYFUNCTION("""COMPUTED_VALUE"""),"")</f>
        <v/>
      </c>
    </row>
    <row r="647" ht="15.75" customHeight="1">
      <c r="A647" t="str">
        <f>IFERROR(__xludf.DUMMYFUNCTION("""COMPUTED_VALUE"""),"")</f>
        <v/>
      </c>
      <c r="B647" t="str">
        <f>IFERROR(__xludf.DUMMYFUNCTION("""COMPUTED_VALUE"""),"")</f>
        <v/>
      </c>
      <c r="C647" t="str">
        <f>IFERROR(__xludf.DUMMYFUNCTION("""COMPUTED_VALUE"""),"")</f>
        <v/>
      </c>
      <c r="D647" t="str">
        <f>IFERROR(__xludf.DUMMYFUNCTION("""COMPUTED_VALUE"""),"")</f>
        <v/>
      </c>
      <c r="E647" t="str">
        <f>IFERROR(__xludf.DUMMYFUNCTION("""COMPUTED_VALUE"""),"")</f>
        <v/>
      </c>
      <c r="F647" t="str">
        <f>IFERROR(__xludf.DUMMYFUNCTION("""COMPUTED_VALUE"""),"")</f>
        <v/>
      </c>
      <c r="G647" t="str">
        <f>IFERROR(__xludf.DUMMYFUNCTION("""COMPUTED_VALUE"""),"")</f>
        <v/>
      </c>
      <c r="H647" t="str">
        <f>IFERROR(__xludf.DUMMYFUNCTION("""COMPUTED_VALUE"""),"")</f>
        <v/>
      </c>
      <c r="I647" t="str">
        <f>IFERROR(__xludf.DUMMYFUNCTION("""COMPUTED_VALUE"""),"")</f>
        <v/>
      </c>
      <c r="J647" t="str">
        <f>IFERROR(__xludf.DUMMYFUNCTION("""COMPUTED_VALUE"""),"")</f>
        <v/>
      </c>
      <c r="K647" t="str">
        <f>IFERROR(__xludf.DUMMYFUNCTION("""COMPUTED_VALUE"""),"")</f>
        <v/>
      </c>
      <c r="L647" t="str">
        <f>IFERROR(__xludf.DUMMYFUNCTION("""COMPUTED_VALUE"""),"")</f>
        <v/>
      </c>
    </row>
    <row r="648" ht="15.75" customHeight="1">
      <c r="A648" t="str">
        <f>IFERROR(__xludf.DUMMYFUNCTION("""COMPUTED_VALUE"""),"")</f>
        <v/>
      </c>
      <c r="B648" t="str">
        <f>IFERROR(__xludf.DUMMYFUNCTION("""COMPUTED_VALUE"""),"")</f>
        <v/>
      </c>
      <c r="C648" t="str">
        <f>IFERROR(__xludf.DUMMYFUNCTION("""COMPUTED_VALUE"""),"")</f>
        <v/>
      </c>
      <c r="D648" t="str">
        <f>IFERROR(__xludf.DUMMYFUNCTION("""COMPUTED_VALUE"""),"")</f>
        <v/>
      </c>
      <c r="E648" t="str">
        <f>IFERROR(__xludf.DUMMYFUNCTION("""COMPUTED_VALUE"""),"")</f>
        <v/>
      </c>
      <c r="F648" t="str">
        <f>IFERROR(__xludf.DUMMYFUNCTION("""COMPUTED_VALUE"""),"")</f>
        <v/>
      </c>
      <c r="G648" t="str">
        <f>IFERROR(__xludf.DUMMYFUNCTION("""COMPUTED_VALUE"""),"")</f>
        <v/>
      </c>
      <c r="H648" t="str">
        <f>IFERROR(__xludf.DUMMYFUNCTION("""COMPUTED_VALUE"""),"")</f>
        <v/>
      </c>
      <c r="I648" t="str">
        <f>IFERROR(__xludf.DUMMYFUNCTION("""COMPUTED_VALUE"""),"")</f>
        <v/>
      </c>
      <c r="J648" t="str">
        <f>IFERROR(__xludf.DUMMYFUNCTION("""COMPUTED_VALUE"""),"")</f>
        <v/>
      </c>
      <c r="K648" t="str">
        <f>IFERROR(__xludf.DUMMYFUNCTION("""COMPUTED_VALUE"""),"")</f>
        <v/>
      </c>
      <c r="L648" t="str">
        <f>IFERROR(__xludf.DUMMYFUNCTION("""COMPUTED_VALUE"""),"")</f>
        <v/>
      </c>
    </row>
    <row r="649" ht="15.75" customHeight="1">
      <c r="A649" t="str">
        <f>IFERROR(__xludf.DUMMYFUNCTION("""COMPUTED_VALUE"""),"")</f>
        <v/>
      </c>
      <c r="B649" t="str">
        <f>IFERROR(__xludf.DUMMYFUNCTION("""COMPUTED_VALUE"""),"")</f>
        <v/>
      </c>
      <c r="C649" t="str">
        <f>IFERROR(__xludf.DUMMYFUNCTION("""COMPUTED_VALUE"""),"")</f>
        <v/>
      </c>
      <c r="D649" t="str">
        <f>IFERROR(__xludf.DUMMYFUNCTION("""COMPUTED_VALUE"""),"")</f>
        <v/>
      </c>
      <c r="E649" t="str">
        <f>IFERROR(__xludf.DUMMYFUNCTION("""COMPUTED_VALUE"""),"")</f>
        <v/>
      </c>
      <c r="F649" t="str">
        <f>IFERROR(__xludf.DUMMYFUNCTION("""COMPUTED_VALUE"""),"")</f>
        <v/>
      </c>
      <c r="G649" t="str">
        <f>IFERROR(__xludf.DUMMYFUNCTION("""COMPUTED_VALUE"""),"")</f>
        <v/>
      </c>
      <c r="H649" t="str">
        <f>IFERROR(__xludf.DUMMYFUNCTION("""COMPUTED_VALUE"""),"")</f>
        <v/>
      </c>
      <c r="I649" t="str">
        <f>IFERROR(__xludf.DUMMYFUNCTION("""COMPUTED_VALUE"""),"")</f>
        <v/>
      </c>
      <c r="J649" t="str">
        <f>IFERROR(__xludf.DUMMYFUNCTION("""COMPUTED_VALUE"""),"")</f>
        <v/>
      </c>
      <c r="K649" t="str">
        <f>IFERROR(__xludf.DUMMYFUNCTION("""COMPUTED_VALUE"""),"")</f>
        <v/>
      </c>
      <c r="L649" t="str">
        <f>IFERROR(__xludf.DUMMYFUNCTION("""COMPUTED_VALUE"""),"")</f>
        <v/>
      </c>
    </row>
    <row r="650" ht="15.75" customHeight="1">
      <c r="A650" t="str">
        <f>IFERROR(__xludf.DUMMYFUNCTION("""COMPUTED_VALUE"""),"")</f>
        <v/>
      </c>
      <c r="B650" t="str">
        <f>IFERROR(__xludf.DUMMYFUNCTION("""COMPUTED_VALUE"""),"")</f>
        <v/>
      </c>
      <c r="C650" t="str">
        <f>IFERROR(__xludf.DUMMYFUNCTION("""COMPUTED_VALUE"""),"")</f>
        <v/>
      </c>
      <c r="D650" t="str">
        <f>IFERROR(__xludf.DUMMYFUNCTION("""COMPUTED_VALUE"""),"")</f>
        <v/>
      </c>
      <c r="E650" t="str">
        <f>IFERROR(__xludf.DUMMYFUNCTION("""COMPUTED_VALUE"""),"")</f>
        <v/>
      </c>
      <c r="F650" t="str">
        <f>IFERROR(__xludf.DUMMYFUNCTION("""COMPUTED_VALUE"""),"")</f>
        <v/>
      </c>
      <c r="G650" t="str">
        <f>IFERROR(__xludf.DUMMYFUNCTION("""COMPUTED_VALUE"""),"")</f>
        <v/>
      </c>
      <c r="H650" t="str">
        <f>IFERROR(__xludf.DUMMYFUNCTION("""COMPUTED_VALUE"""),"")</f>
        <v/>
      </c>
      <c r="I650" t="str">
        <f>IFERROR(__xludf.DUMMYFUNCTION("""COMPUTED_VALUE"""),"")</f>
        <v/>
      </c>
      <c r="J650" t="str">
        <f>IFERROR(__xludf.DUMMYFUNCTION("""COMPUTED_VALUE"""),"")</f>
        <v/>
      </c>
      <c r="K650" t="str">
        <f>IFERROR(__xludf.DUMMYFUNCTION("""COMPUTED_VALUE"""),"")</f>
        <v/>
      </c>
      <c r="L650" t="str">
        <f>IFERROR(__xludf.DUMMYFUNCTION("""COMPUTED_VALUE"""),"")</f>
        <v/>
      </c>
    </row>
    <row r="651" ht="15.75" customHeight="1">
      <c r="A651" t="str">
        <f>IFERROR(__xludf.DUMMYFUNCTION("""COMPUTED_VALUE"""),"")</f>
        <v/>
      </c>
      <c r="B651" t="str">
        <f>IFERROR(__xludf.DUMMYFUNCTION("""COMPUTED_VALUE"""),"")</f>
        <v/>
      </c>
      <c r="C651" t="str">
        <f>IFERROR(__xludf.DUMMYFUNCTION("""COMPUTED_VALUE"""),"")</f>
        <v/>
      </c>
      <c r="D651" t="str">
        <f>IFERROR(__xludf.DUMMYFUNCTION("""COMPUTED_VALUE"""),"")</f>
        <v/>
      </c>
      <c r="E651" t="str">
        <f>IFERROR(__xludf.DUMMYFUNCTION("""COMPUTED_VALUE"""),"")</f>
        <v/>
      </c>
      <c r="F651" t="str">
        <f>IFERROR(__xludf.DUMMYFUNCTION("""COMPUTED_VALUE"""),"")</f>
        <v/>
      </c>
      <c r="G651" t="str">
        <f>IFERROR(__xludf.DUMMYFUNCTION("""COMPUTED_VALUE"""),"")</f>
        <v/>
      </c>
      <c r="H651" t="str">
        <f>IFERROR(__xludf.DUMMYFUNCTION("""COMPUTED_VALUE"""),"")</f>
        <v/>
      </c>
      <c r="I651" t="str">
        <f>IFERROR(__xludf.DUMMYFUNCTION("""COMPUTED_VALUE"""),"")</f>
        <v/>
      </c>
      <c r="J651" t="str">
        <f>IFERROR(__xludf.DUMMYFUNCTION("""COMPUTED_VALUE"""),"")</f>
        <v/>
      </c>
      <c r="K651" t="str">
        <f>IFERROR(__xludf.DUMMYFUNCTION("""COMPUTED_VALUE"""),"")</f>
        <v/>
      </c>
      <c r="L651" t="str">
        <f>IFERROR(__xludf.DUMMYFUNCTION("""COMPUTED_VALUE"""),"")</f>
        <v/>
      </c>
    </row>
    <row r="652" ht="15.75" customHeight="1">
      <c r="A652" t="str">
        <f>IFERROR(__xludf.DUMMYFUNCTION("""COMPUTED_VALUE"""),"")</f>
        <v/>
      </c>
      <c r="B652" t="str">
        <f>IFERROR(__xludf.DUMMYFUNCTION("""COMPUTED_VALUE"""),"")</f>
        <v/>
      </c>
      <c r="C652" t="str">
        <f>IFERROR(__xludf.DUMMYFUNCTION("""COMPUTED_VALUE"""),"")</f>
        <v/>
      </c>
      <c r="D652" t="str">
        <f>IFERROR(__xludf.DUMMYFUNCTION("""COMPUTED_VALUE"""),"")</f>
        <v/>
      </c>
      <c r="E652" t="str">
        <f>IFERROR(__xludf.DUMMYFUNCTION("""COMPUTED_VALUE"""),"")</f>
        <v/>
      </c>
      <c r="F652" t="str">
        <f>IFERROR(__xludf.DUMMYFUNCTION("""COMPUTED_VALUE"""),"")</f>
        <v/>
      </c>
      <c r="G652" t="str">
        <f>IFERROR(__xludf.DUMMYFUNCTION("""COMPUTED_VALUE"""),"")</f>
        <v/>
      </c>
      <c r="H652" t="str">
        <f>IFERROR(__xludf.DUMMYFUNCTION("""COMPUTED_VALUE"""),"")</f>
        <v/>
      </c>
      <c r="I652" t="str">
        <f>IFERROR(__xludf.DUMMYFUNCTION("""COMPUTED_VALUE"""),"")</f>
        <v/>
      </c>
      <c r="J652" t="str">
        <f>IFERROR(__xludf.DUMMYFUNCTION("""COMPUTED_VALUE"""),"")</f>
        <v/>
      </c>
      <c r="K652" t="str">
        <f>IFERROR(__xludf.DUMMYFUNCTION("""COMPUTED_VALUE"""),"")</f>
        <v/>
      </c>
      <c r="L652" t="str">
        <f>IFERROR(__xludf.DUMMYFUNCTION("""COMPUTED_VALUE"""),"")</f>
        <v/>
      </c>
    </row>
    <row r="653" ht="15.75" customHeight="1">
      <c r="A653" t="str">
        <f>IFERROR(__xludf.DUMMYFUNCTION("""COMPUTED_VALUE"""),"")</f>
        <v/>
      </c>
      <c r="B653" t="str">
        <f>IFERROR(__xludf.DUMMYFUNCTION("""COMPUTED_VALUE"""),"")</f>
        <v/>
      </c>
      <c r="C653" t="str">
        <f>IFERROR(__xludf.DUMMYFUNCTION("""COMPUTED_VALUE"""),"")</f>
        <v/>
      </c>
      <c r="D653" t="str">
        <f>IFERROR(__xludf.DUMMYFUNCTION("""COMPUTED_VALUE"""),"")</f>
        <v/>
      </c>
      <c r="E653" t="str">
        <f>IFERROR(__xludf.DUMMYFUNCTION("""COMPUTED_VALUE"""),"")</f>
        <v/>
      </c>
      <c r="F653" t="str">
        <f>IFERROR(__xludf.DUMMYFUNCTION("""COMPUTED_VALUE"""),"")</f>
        <v/>
      </c>
      <c r="G653" t="str">
        <f>IFERROR(__xludf.DUMMYFUNCTION("""COMPUTED_VALUE"""),"")</f>
        <v/>
      </c>
      <c r="H653" t="str">
        <f>IFERROR(__xludf.DUMMYFUNCTION("""COMPUTED_VALUE"""),"")</f>
        <v/>
      </c>
      <c r="I653" t="str">
        <f>IFERROR(__xludf.DUMMYFUNCTION("""COMPUTED_VALUE"""),"")</f>
        <v/>
      </c>
      <c r="J653" t="str">
        <f>IFERROR(__xludf.DUMMYFUNCTION("""COMPUTED_VALUE"""),"")</f>
        <v/>
      </c>
      <c r="K653" t="str">
        <f>IFERROR(__xludf.DUMMYFUNCTION("""COMPUTED_VALUE"""),"")</f>
        <v/>
      </c>
      <c r="L653" t="str">
        <f>IFERROR(__xludf.DUMMYFUNCTION("""COMPUTED_VALUE"""),"")</f>
        <v/>
      </c>
    </row>
    <row r="654" ht="15.75" customHeight="1">
      <c r="A654" t="str">
        <f>IFERROR(__xludf.DUMMYFUNCTION("""COMPUTED_VALUE"""),"")</f>
        <v/>
      </c>
      <c r="B654" t="str">
        <f>IFERROR(__xludf.DUMMYFUNCTION("""COMPUTED_VALUE"""),"")</f>
        <v/>
      </c>
      <c r="C654" t="str">
        <f>IFERROR(__xludf.DUMMYFUNCTION("""COMPUTED_VALUE"""),"")</f>
        <v/>
      </c>
      <c r="D654" t="str">
        <f>IFERROR(__xludf.DUMMYFUNCTION("""COMPUTED_VALUE"""),"")</f>
        <v/>
      </c>
      <c r="E654" t="str">
        <f>IFERROR(__xludf.DUMMYFUNCTION("""COMPUTED_VALUE"""),"")</f>
        <v/>
      </c>
      <c r="F654" t="str">
        <f>IFERROR(__xludf.DUMMYFUNCTION("""COMPUTED_VALUE"""),"")</f>
        <v/>
      </c>
      <c r="G654" t="str">
        <f>IFERROR(__xludf.DUMMYFUNCTION("""COMPUTED_VALUE"""),"")</f>
        <v/>
      </c>
      <c r="H654" t="str">
        <f>IFERROR(__xludf.DUMMYFUNCTION("""COMPUTED_VALUE"""),"")</f>
        <v/>
      </c>
      <c r="I654" t="str">
        <f>IFERROR(__xludf.DUMMYFUNCTION("""COMPUTED_VALUE"""),"")</f>
        <v/>
      </c>
      <c r="J654" t="str">
        <f>IFERROR(__xludf.DUMMYFUNCTION("""COMPUTED_VALUE"""),"")</f>
        <v/>
      </c>
      <c r="K654" t="str">
        <f>IFERROR(__xludf.DUMMYFUNCTION("""COMPUTED_VALUE"""),"")</f>
        <v/>
      </c>
      <c r="L654" t="str">
        <f>IFERROR(__xludf.DUMMYFUNCTION("""COMPUTED_VALUE"""),"")</f>
        <v/>
      </c>
    </row>
    <row r="655" ht="15.75" customHeight="1">
      <c r="A655" t="str">
        <f>IFERROR(__xludf.DUMMYFUNCTION("""COMPUTED_VALUE"""),"")</f>
        <v/>
      </c>
      <c r="B655" t="str">
        <f>IFERROR(__xludf.DUMMYFUNCTION("""COMPUTED_VALUE"""),"")</f>
        <v/>
      </c>
      <c r="C655" t="str">
        <f>IFERROR(__xludf.DUMMYFUNCTION("""COMPUTED_VALUE"""),"")</f>
        <v/>
      </c>
      <c r="D655" t="str">
        <f>IFERROR(__xludf.DUMMYFUNCTION("""COMPUTED_VALUE"""),"")</f>
        <v/>
      </c>
      <c r="E655" t="str">
        <f>IFERROR(__xludf.DUMMYFUNCTION("""COMPUTED_VALUE"""),"")</f>
        <v/>
      </c>
      <c r="F655" t="str">
        <f>IFERROR(__xludf.DUMMYFUNCTION("""COMPUTED_VALUE"""),"")</f>
        <v/>
      </c>
      <c r="G655" t="str">
        <f>IFERROR(__xludf.DUMMYFUNCTION("""COMPUTED_VALUE"""),"")</f>
        <v/>
      </c>
      <c r="H655" t="str">
        <f>IFERROR(__xludf.DUMMYFUNCTION("""COMPUTED_VALUE"""),"")</f>
        <v/>
      </c>
      <c r="I655" t="str">
        <f>IFERROR(__xludf.DUMMYFUNCTION("""COMPUTED_VALUE"""),"")</f>
        <v/>
      </c>
      <c r="J655" t="str">
        <f>IFERROR(__xludf.DUMMYFUNCTION("""COMPUTED_VALUE"""),"")</f>
        <v/>
      </c>
      <c r="K655" t="str">
        <f>IFERROR(__xludf.DUMMYFUNCTION("""COMPUTED_VALUE"""),"")</f>
        <v/>
      </c>
      <c r="L655" t="str">
        <f>IFERROR(__xludf.DUMMYFUNCTION("""COMPUTED_VALUE"""),"")</f>
        <v/>
      </c>
    </row>
    <row r="656" ht="15.75" customHeight="1">
      <c r="A656" t="str">
        <f>IFERROR(__xludf.DUMMYFUNCTION("""COMPUTED_VALUE"""),"")</f>
        <v/>
      </c>
      <c r="B656" t="str">
        <f>IFERROR(__xludf.DUMMYFUNCTION("""COMPUTED_VALUE"""),"")</f>
        <v/>
      </c>
      <c r="C656" t="str">
        <f>IFERROR(__xludf.DUMMYFUNCTION("""COMPUTED_VALUE"""),"")</f>
        <v/>
      </c>
      <c r="D656" t="str">
        <f>IFERROR(__xludf.DUMMYFUNCTION("""COMPUTED_VALUE"""),"")</f>
        <v/>
      </c>
      <c r="E656" t="str">
        <f>IFERROR(__xludf.DUMMYFUNCTION("""COMPUTED_VALUE"""),"")</f>
        <v/>
      </c>
      <c r="F656" t="str">
        <f>IFERROR(__xludf.DUMMYFUNCTION("""COMPUTED_VALUE"""),"")</f>
        <v/>
      </c>
      <c r="G656" t="str">
        <f>IFERROR(__xludf.DUMMYFUNCTION("""COMPUTED_VALUE"""),"")</f>
        <v/>
      </c>
      <c r="H656" t="str">
        <f>IFERROR(__xludf.DUMMYFUNCTION("""COMPUTED_VALUE"""),"")</f>
        <v/>
      </c>
      <c r="I656" t="str">
        <f>IFERROR(__xludf.DUMMYFUNCTION("""COMPUTED_VALUE"""),"")</f>
        <v/>
      </c>
      <c r="J656" t="str">
        <f>IFERROR(__xludf.DUMMYFUNCTION("""COMPUTED_VALUE"""),"")</f>
        <v/>
      </c>
      <c r="K656" t="str">
        <f>IFERROR(__xludf.DUMMYFUNCTION("""COMPUTED_VALUE"""),"")</f>
        <v/>
      </c>
      <c r="L656" t="str">
        <f>IFERROR(__xludf.DUMMYFUNCTION("""COMPUTED_VALUE"""),"")</f>
        <v/>
      </c>
    </row>
    <row r="657" ht="15.75" customHeight="1">
      <c r="A657" t="str">
        <f>IFERROR(__xludf.DUMMYFUNCTION("""COMPUTED_VALUE"""),"")</f>
        <v/>
      </c>
      <c r="B657" t="str">
        <f>IFERROR(__xludf.DUMMYFUNCTION("""COMPUTED_VALUE"""),"")</f>
        <v/>
      </c>
      <c r="C657" t="str">
        <f>IFERROR(__xludf.DUMMYFUNCTION("""COMPUTED_VALUE"""),"")</f>
        <v/>
      </c>
      <c r="D657" t="str">
        <f>IFERROR(__xludf.DUMMYFUNCTION("""COMPUTED_VALUE"""),"")</f>
        <v/>
      </c>
      <c r="E657" t="str">
        <f>IFERROR(__xludf.DUMMYFUNCTION("""COMPUTED_VALUE"""),"")</f>
        <v/>
      </c>
      <c r="F657" t="str">
        <f>IFERROR(__xludf.DUMMYFUNCTION("""COMPUTED_VALUE"""),"")</f>
        <v/>
      </c>
      <c r="G657" t="str">
        <f>IFERROR(__xludf.DUMMYFUNCTION("""COMPUTED_VALUE"""),"")</f>
        <v/>
      </c>
      <c r="H657" t="str">
        <f>IFERROR(__xludf.DUMMYFUNCTION("""COMPUTED_VALUE"""),"")</f>
        <v/>
      </c>
      <c r="I657" t="str">
        <f>IFERROR(__xludf.DUMMYFUNCTION("""COMPUTED_VALUE"""),"")</f>
        <v/>
      </c>
      <c r="J657" t="str">
        <f>IFERROR(__xludf.DUMMYFUNCTION("""COMPUTED_VALUE"""),"")</f>
        <v/>
      </c>
      <c r="K657" t="str">
        <f>IFERROR(__xludf.DUMMYFUNCTION("""COMPUTED_VALUE"""),"")</f>
        <v/>
      </c>
      <c r="L657" t="str">
        <f>IFERROR(__xludf.DUMMYFUNCTION("""COMPUTED_VALUE"""),"")</f>
        <v/>
      </c>
    </row>
    <row r="658" ht="15.75" customHeight="1">
      <c r="A658" t="str">
        <f>IFERROR(__xludf.DUMMYFUNCTION("""COMPUTED_VALUE"""),"")</f>
        <v/>
      </c>
      <c r="B658" t="str">
        <f>IFERROR(__xludf.DUMMYFUNCTION("""COMPUTED_VALUE"""),"")</f>
        <v/>
      </c>
      <c r="C658" t="str">
        <f>IFERROR(__xludf.DUMMYFUNCTION("""COMPUTED_VALUE"""),"")</f>
        <v/>
      </c>
      <c r="D658" t="str">
        <f>IFERROR(__xludf.DUMMYFUNCTION("""COMPUTED_VALUE"""),"")</f>
        <v/>
      </c>
      <c r="E658" t="str">
        <f>IFERROR(__xludf.DUMMYFUNCTION("""COMPUTED_VALUE"""),"")</f>
        <v/>
      </c>
      <c r="F658" t="str">
        <f>IFERROR(__xludf.DUMMYFUNCTION("""COMPUTED_VALUE"""),"")</f>
        <v/>
      </c>
      <c r="G658" t="str">
        <f>IFERROR(__xludf.DUMMYFUNCTION("""COMPUTED_VALUE"""),"")</f>
        <v/>
      </c>
      <c r="H658" t="str">
        <f>IFERROR(__xludf.DUMMYFUNCTION("""COMPUTED_VALUE"""),"")</f>
        <v/>
      </c>
      <c r="I658" t="str">
        <f>IFERROR(__xludf.DUMMYFUNCTION("""COMPUTED_VALUE"""),"")</f>
        <v/>
      </c>
      <c r="J658" t="str">
        <f>IFERROR(__xludf.DUMMYFUNCTION("""COMPUTED_VALUE"""),"")</f>
        <v/>
      </c>
      <c r="K658" t="str">
        <f>IFERROR(__xludf.DUMMYFUNCTION("""COMPUTED_VALUE"""),"")</f>
        <v/>
      </c>
      <c r="L658" t="str">
        <f>IFERROR(__xludf.DUMMYFUNCTION("""COMPUTED_VALUE"""),"")</f>
        <v/>
      </c>
    </row>
    <row r="659" ht="15.75" customHeight="1">
      <c r="A659" t="str">
        <f>IFERROR(__xludf.DUMMYFUNCTION("""COMPUTED_VALUE"""),"")</f>
        <v/>
      </c>
      <c r="B659" t="str">
        <f>IFERROR(__xludf.DUMMYFUNCTION("""COMPUTED_VALUE"""),"")</f>
        <v/>
      </c>
      <c r="C659" t="str">
        <f>IFERROR(__xludf.DUMMYFUNCTION("""COMPUTED_VALUE"""),"")</f>
        <v/>
      </c>
      <c r="D659" t="str">
        <f>IFERROR(__xludf.DUMMYFUNCTION("""COMPUTED_VALUE"""),"")</f>
        <v/>
      </c>
      <c r="E659" t="str">
        <f>IFERROR(__xludf.DUMMYFUNCTION("""COMPUTED_VALUE"""),"")</f>
        <v/>
      </c>
      <c r="F659" t="str">
        <f>IFERROR(__xludf.DUMMYFUNCTION("""COMPUTED_VALUE"""),"")</f>
        <v/>
      </c>
      <c r="G659" t="str">
        <f>IFERROR(__xludf.DUMMYFUNCTION("""COMPUTED_VALUE"""),"")</f>
        <v/>
      </c>
      <c r="H659" t="str">
        <f>IFERROR(__xludf.DUMMYFUNCTION("""COMPUTED_VALUE"""),"")</f>
        <v/>
      </c>
      <c r="I659" t="str">
        <f>IFERROR(__xludf.DUMMYFUNCTION("""COMPUTED_VALUE"""),"")</f>
        <v/>
      </c>
      <c r="J659" t="str">
        <f>IFERROR(__xludf.DUMMYFUNCTION("""COMPUTED_VALUE"""),"")</f>
        <v/>
      </c>
      <c r="K659" t="str">
        <f>IFERROR(__xludf.DUMMYFUNCTION("""COMPUTED_VALUE"""),"")</f>
        <v/>
      </c>
      <c r="L659" t="str">
        <f>IFERROR(__xludf.DUMMYFUNCTION("""COMPUTED_VALUE"""),"")</f>
        <v/>
      </c>
    </row>
    <row r="660" ht="15.75" customHeight="1">
      <c r="A660" t="str">
        <f>IFERROR(__xludf.DUMMYFUNCTION("""COMPUTED_VALUE"""),"")</f>
        <v/>
      </c>
      <c r="B660" t="str">
        <f>IFERROR(__xludf.DUMMYFUNCTION("""COMPUTED_VALUE"""),"")</f>
        <v/>
      </c>
      <c r="C660" t="str">
        <f>IFERROR(__xludf.DUMMYFUNCTION("""COMPUTED_VALUE"""),"")</f>
        <v/>
      </c>
      <c r="D660" t="str">
        <f>IFERROR(__xludf.DUMMYFUNCTION("""COMPUTED_VALUE"""),"")</f>
        <v/>
      </c>
      <c r="E660" t="str">
        <f>IFERROR(__xludf.DUMMYFUNCTION("""COMPUTED_VALUE"""),"")</f>
        <v/>
      </c>
      <c r="F660" t="str">
        <f>IFERROR(__xludf.DUMMYFUNCTION("""COMPUTED_VALUE"""),"")</f>
        <v/>
      </c>
      <c r="G660" t="str">
        <f>IFERROR(__xludf.DUMMYFUNCTION("""COMPUTED_VALUE"""),"")</f>
        <v/>
      </c>
      <c r="H660" t="str">
        <f>IFERROR(__xludf.DUMMYFUNCTION("""COMPUTED_VALUE"""),"")</f>
        <v/>
      </c>
      <c r="I660" t="str">
        <f>IFERROR(__xludf.DUMMYFUNCTION("""COMPUTED_VALUE"""),"")</f>
        <v/>
      </c>
      <c r="J660" t="str">
        <f>IFERROR(__xludf.DUMMYFUNCTION("""COMPUTED_VALUE"""),"")</f>
        <v/>
      </c>
      <c r="K660" t="str">
        <f>IFERROR(__xludf.DUMMYFUNCTION("""COMPUTED_VALUE"""),"")</f>
        <v/>
      </c>
      <c r="L660" t="str">
        <f>IFERROR(__xludf.DUMMYFUNCTION("""COMPUTED_VALUE"""),"")</f>
        <v/>
      </c>
    </row>
    <row r="661" ht="15.75" customHeight="1">
      <c r="A661" t="str">
        <f>IFERROR(__xludf.DUMMYFUNCTION("""COMPUTED_VALUE"""),"")</f>
        <v/>
      </c>
      <c r="B661" t="str">
        <f>IFERROR(__xludf.DUMMYFUNCTION("""COMPUTED_VALUE"""),"")</f>
        <v/>
      </c>
      <c r="C661" t="str">
        <f>IFERROR(__xludf.DUMMYFUNCTION("""COMPUTED_VALUE"""),"")</f>
        <v/>
      </c>
      <c r="D661" t="str">
        <f>IFERROR(__xludf.DUMMYFUNCTION("""COMPUTED_VALUE"""),"")</f>
        <v/>
      </c>
      <c r="E661" t="str">
        <f>IFERROR(__xludf.DUMMYFUNCTION("""COMPUTED_VALUE"""),"")</f>
        <v/>
      </c>
      <c r="F661" t="str">
        <f>IFERROR(__xludf.DUMMYFUNCTION("""COMPUTED_VALUE"""),"")</f>
        <v/>
      </c>
      <c r="G661" t="str">
        <f>IFERROR(__xludf.DUMMYFUNCTION("""COMPUTED_VALUE"""),"")</f>
        <v/>
      </c>
      <c r="H661" t="str">
        <f>IFERROR(__xludf.DUMMYFUNCTION("""COMPUTED_VALUE"""),"")</f>
        <v/>
      </c>
      <c r="I661" t="str">
        <f>IFERROR(__xludf.DUMMYFUNCTION("""COMPUTED_VALUE"""),"")</f>
        <v/>
      </c>
      <c r="J661" t="str">
        <f>IFERROR(__xludf.DUMMYFUNCTION("""COMPUTED_VALUE"""),"")</f>
        <v/>
      </c>
      <c r="K661" t="str">
        <f>IFERROR(__xludf.DUMMYFUNCTION("""COMPUTED_VALUE"""),"")</f>
        <v/>
      </c>
      <c r="L661" t="str">
        <f>IFERROR(__xludf.DUMMYFUNCTION("""COMPUTED_VALUE"""),"")</f>
        <v/>
      </c>
    </row>
    <row r="662" ht="15.75" customHeight="1">
      <c r="A662" t="str">
        <f>IFERROR(__xludf.DUMMYFUNCTION("""COMPUTED_VALUE"""),"")</f>
        <v/>
      </c>
      <c r="B662" t="str">
        <f>IFERROR(__xludf.DUMMYFUNCTION("""COMPUTED_VALUE"""),"")</f>
        <v/>
      </c>
      <c r="C662" t="str">
        <f>IFERROR(__xludf.DUMMYFUNCTION("""COMPUTED_VALUE"""),"")</f>
        <v/>
      </c>
      <c r="D662" t="str">
        <f>IFERROR(__xludf.DUMMYFUNCTION("""COMPUTED_VALUE"""),"")</f>
        <v/>
      </c>
      <c r="E662" t="str">
        <f>IFERROR(__xludf.DUMMYFUNCTION("""COMPUTED_VALUE"""),"")</f>
        <v/>
      </c>
      <c r="F662" t="str">
        <f>IFERROR(__xludf.DUMMYFUNCTION("""COMPUTED_VALUE"""),"")</f>
        <v/>
      </c>
      <c r="G662" t="str">
        <f>IFERROR(__xludf.DUMMYFUNCTION("""COMPUTED_VALUE"""),"")</f>
        <v/>
      </c>
      <c r="H662" t="str">
        <f>IFERROR(__xludf.DUMMYFUNCTION("""COMPUTED_VALUE"""),"")</f>
        <v/>
      </c>
      <c r="I662" t="str">
        <f>IFERROR(__xludf.DUMMYFUNCTION("""COMPUTED_VALUE"""),"")</f>
        <v/>
      </c>
      <c r="J662" t="str">
        <f>IFERROR(__xludf.DUMMYFUNCTION("""COMPUTED_VALUE"""),"")</f>
        <v/>
      </c>
      <c r="K662" t="str">
        <f>IFERROR(__xludf.DUMMYFUNCTION("""COMPUTED_VALUE"""),"")</f>
        <v/>
      </c>
      <c r="L662" t="str">
        <f>IFERROR(__xludf.DUMMYFUNCTION("""COMPUTED_VALUE"""),"")</f>
        <v/>
      </c>
    </row>
    <row r="663" ht="15.75" customHeight="1">
      <c r="A663" t="str">
        <f>IFERROR(__xludf.DUMMYFUNCTION("""COMPUTED_VALUE"""),"")</f>
        <v/>
      </c>
      <c r="B663" t="str">
        <f>IFERROR(__xludf.DUMMYFUNCTION("""COMPUTED_VALUE"""),"")</f>
        <v/>
      </c>
      <c r="C663" t="str">
        <f>IFERROR(__xludf.DUMMYFUNCTION("""COMPUTED_VALUE"""),"")</f>
        <v/>
      </c>
      <c r="D663" t="str">
        <f>IFERROR(__xludf.DUMMYFUNCTION("""COMPUTED_VALUE"""),"")</f>
        <v/>
      </c>
      <c r="E663" t="str">
        <f>IFERROR(__xludf.DUMMYFUNCTION("""COMPUTED_VALUE"""),"")</f>
        <v/>
      </c>
      <c r="F663" t="str">
        <f>IFERROR(__xludf.DUMMYFUNCTION("""COMPUTED_VALUE"""),"")</f>
        <v/>
      </c>
      <c r="G663" t="str">
        <f>IFERROR(__xludf.DUMMYFUNCTION("""COMPUTED_VALUE"""),"")</f>
        <v/>
      </c>
      <c r="H663" t="str">
        <f>IFERROR(__xludf.DUMMYFUNCTION("""COMPUTED_VALUE"""),"")</f>
        <v/>
      </c>
      <c r="I663" t="str">
        <f>IFERROR(__xludf.DUMMYFUNCTION("""COMPUTED_VALUE"""),"")</f>
        <v/>
      </c>
      <c r="J663" t="str">
        <f>IFERROR(__xludf.DUMMYFUNCTION("""COMPUTED_VALUE"""),"")</f>
        <v/>
      </c>
      <c r="K663" t="str">
        <f>IFERROR(__xludf.DUMMYFUNCTION("""COMPUTED_VALUE"""),"")</f>
        <v/>
      </c>
      <c r="L663" t="str">
        <f>IFERROR(__xludf.DUMMYFUNCTION("""COMPUTED_VALUE"""),"")</f>
        <v/>
      </c>
    </row>
    <row r="664" ht="15.75" customHeight="1">
      <c r="A664" t="str">
        <f>IFERROR(__xludf.DUMMYFUNCTION("""COMPUTED_VALUE"""),"")</f>
        <v/>
      </c>
      <c r="B664" t="str">
        <f>IFERROR(__xludf.DUMMYFUNCTION("""COMPUTED_VALUE"""),"")</f>
        <v/>
      </c>
      <c r="C664" t="str">
        <f>IFERROR(__xludf.DUMMYFUNCTION("""COMPUTED_VALUE"""),"")</f>
        <v/>
      </c>
      <c r="D664" t="str">
        <f>IFERROR(__xludf.DUMMYFUNCTION("""COMPUTED_VALUE"""),"")</f>
        <v/>
      </c>
      <c r="E664" t="str">
        <f>IFERROR(__xludf.DUMMYFUNCTION("""COMPUTED_VALUE"""),"")</f>
        <v/>
      </c>
      <c r="F664" t="str">
        <f>IFERROR(__xludf.DUMMYFUNCTION("""COMPUTED_VALUE"""),"")</f>
        <v/>
      </c>
      <c r="G664" t="str">
        <f>IFERROR(__xludf.DUMMYFUNCTION("""COMPUTED_VALUE"""),"")</f>
        <v/>
      </c>
      <c r="H664" t="str">
        <f>IFERROR(__xludf.DUMMYFUNCTION("""COMPUTED_VALUE"""),"")</f>
        <v/>
      </c>
      <c r="I664" t="str">
        <f>IFERROR(__xludf.DUMMYFUNCTION("""COMPUTED_VALUE"""),"")</f>
        <v/>
      </c>
      <c r="J664" t="str">
        <f>IFERROR(__xludf.DUMMYFUNCTION("""COMPUTED_VALUE"""),"")</f>
        <v/>
      </c>
      <c r="K664" t="str">
        <f>IFERROR(__xludf.DUMMYFUNCTION("""COMPUTED_VALUE"""),"")</f>
        <v/>
      </c>
      <c r="L664" t="str">
        <f>IFERROR(__xludf.DUMMYFUNCTION("""COMPUTED_VALUE"""),"")</f>
        <v/>
      </c>
    </row>
    <row r="665" ht="15.75" customHeight="1">
      <c r="A665" t="str">
        <f>IFERROR(__xludf.DUMMYFUNCTION("""COMPUTED_VALUE"""),"")</f>
        <v/>
      </c>
      <c r="B665" t="str">
        <f>IFERROR(__xludf.DUMMYFUNCTION("""COMPUTED_VALUE"""),"")</f>
        <v/>
      </c>
      <c r="C665" t="str">
        <f>IFERROR(__xludf.DUMMYFUNCTION("""COMPUTED_VALUE"""),"")</f>
        <v/>
      </c>
      <c r="D665" t="str">
        <f>IFERROR(__xludf.DUMMYFUNCTION("""COMPUTED_VALUE"""),"")</f>
        <v/>
      </c>
      <c r="E665" t="str">
        <f>IFERROR(__xludf.DUMMYFUNCTION("""COMPUTED_VALUE"""),"")</f>
        <v/>
      </c>
      <c r="F665" t="str">
        <f>IFERROR(__xludf.DUMMYFUNCTION("""COMPUTED_VALUE"""),"")</f>
        <v/>
      </c>
      <c r="G665" t="str">
        <f>IFERROR(__xludf.DUMMYFUNCTION("""COMPUTED_VALUE"""),"")</f>
        <v/>
      </c>
      <c r="H665" t="str">
        <f>IFERROR(__xludf.DUMMYFUNCTION("""COMPUTED_VALUE"""),"")</f>
        <v/>
      </c>
      <c r="I665" t="str">
        <f>IFERROR(__xludf.DUMMYFUNCTION("""COMPUTED_VALUE"""),"")</f>
        <v/>
      </c>
      <c r="J665" t="str">
        <f>IFERROR(__xludf.DUMMYFUNCTION("""COMPUTED_VALUE"""),"")</f>
        <v/>
      </c>
      <c r="K665" t="str">
        <f>IFERROR(__xludf.DUMMYFUNCTION("""COMPUTED_VALUE"""),"")</f>
        <v/>
      </c>
      <c r="L665" t="str">
        <f>IFERROR(__xludf.DUMMYFUNCTION("""COMPUTED_VALUE"""),"")</f>
        <v/>
      </c>
    </row>
    <row r="666" ht="15.75" customHeight="1">
      <c r="A666" t="str">
        <f>IFERROR(__xludf.DUMMYFUNCTION("""COMPUTED_VALUE"""),"")</f>
        <v/>
      </c>
      <c r="B666" t="str">
        <f>IFERROR(__xludf.DUMMYFUNCTION("""COMPUTED_VALUE"""),"")</f>
        <v/>
      </c>
      <c r="C666" t="str">
        <f>IFERROR(__xludf.DUMMYFUNCTION("""COMPUTED_VALUE"""),"")</f>
        <v/>
      </c>
      <c r="D666" t="str">
        <f>IFERROR(__xludf.DUMMYFUNCTION("""COMPUTED_VALUE"""),"")</f>
        <v/>
      </c>
      <c r="E666" t="str">
        <f>IFERROR(__xludf.DUMMYFUNCTION("""COMPUTED_VALUE"""),"")</f>
        <v/>
      </c>
      <c r="F666" t="str">
        <f>IFERROR(__xludf.DUMMYFUNCTION("""COMPUTED_VALUE"""),"")</f>
        <v/>
      </c>
      <c r="G666" t="str">
        <f>IFERROR(__xludf.DUMMYFUNCTION("""COMPUTED_VALUE"""),"")</f>
        <v/>
      </c>
      <c r="H666" t="str">
        <f>IFERROR(__xludf.DUMMYFUNCTION("""COMPUTED_VALUE"""),"")</f>
        <v/>
      </c>
      <c r="I666" t="str">
        <f>IFERROR(__xludf.DUMMYFUNCTION("""COMPUTED_VALUE"""),"")</f>
        <v/>
      </c>
      <c r="J666" t="str">
        <f>IFERROR(__xludf.DUMMYFUNCTION("""COMPUTED_VALUE"""),"")</f>
        <v/>
      </c>
      <c r="K666" t="str">
        <f>IFERROR(__xludf.DUMMYFUNCTION("""COMPUTED_VALUE"""),"")</f>
        <v/>
      </c>
      <c r="L666" t="str">
        <f>IFERROR(__xludf.DUMMYFUNCTION("""COMPUTED_VALUE"""),"")</f>
        <v/>
      </c>
    </row>
    <row r="667" ht="15.75" customHeight="1">
      <c r="A667" t="str">
        <f>IFERROR(__xludf.DUMMYFUNCTION("""COMPUTED_VALUE"""),"")</f>
        <v/>
      </c>
      <c r="B667" t="str">
        <f>IFERROR(__xludf.DUMMYFUNCTION("""COMPUTED_VALUE"""),"")</f>
        <v/>
      </c>
      <c r="C667" t="str">
        <f>IFERROR(__xludf.DUMMYFUNCTION("""COMPUTED_VALUE"""),"")</f>
        <v/>
      </c>
      <c r="D667" t="str">
        <f>IFERROR(__xludf.DUMMYFUNCTION("""COMPUTED_VALUE"""),"")</f>
        <v/>
      </c>
      <c r="E667" t="str">
        <f>IFERROR(__xludf.DUMMYFUNCTION("""COMPUTED_VALUE"""),"")</f>
        <v/>
      </c>
      <c r="F667" t="str">
        <f>IFERROR(__xludf.DUMMYFUNCTION("""COMPUTED_VALUE"""),"")</f>
        <v/>
      </c>
      <c r="G667" t="str">
        <f>IFERROR(__xludf.DUMMYFUNCTION("""COMPUTED_VALUE"""),"")</f>
        <v/>
      </c>
      <c r="H667" t="str">
        <f>IFERROR(__xludf.DUMMYFUNCTION("""COMPUTED_VALUE"""),"")</f>
        <v/>
      </c>
      <c r="I667" t="str">
        <f>IFERROR(__xludf.DUMMYFUNCTION("""COMPUTED_VALUE"""),"")</f>
        <v/>
      </c>
      <c r="J667" t="str">
        <f>IFERROR(__xludf.DUMMYFUNCTION("""COMPUTED_VALUE"""),"")</f>
        <v/>
      </c>
      <c r="K667" t="str">
        <f>IFERROR(__xludf.DUMMYFUNCTION("""COMPUTED_VALUE"""),"")</f>
        <v/>
      </c>
      <c r="L667" t="str">
        <f>IFERROR(__xludf.DUMMYFUNCTION("""COMPUTED_VALUE"""),"")</f>
        <v/>
      </c>
    </row>
    <row r="668" ht="15.75" customHeight="1">
      <c r="A668" t="str">
        <f>IFERROR(__xludf.DUMMYFUNCTION("""COMPUTED_VALUE"""),"")</f>
        <v/>
      </c>
      <c r="B668" t="str">
        <f>IFERROR(__xludf.DUMMYFUNCTION("""COMPUTED_VALUE"""),"")</f>
        <v/>
      </c>
      <c r="C668" t="str">
        <f>IFERROR(__xludf.DUMMYFUNCTION("""COMPUTED_VALUE"""),"")</f>
        <v/>
      </c>
      <c r="D668" t="str">
        <f>IFERROR(__xludf.DUMMYFUNCTION("""COMPUTED_VALUE"""),"")</f>
        <v/>
      </c>
      <c r="E668" t="str">
        <f>IFERROR(__xludf.DUMMYFUNCTION("""COMPUTED_VALUE"""),"")</f>
        <v/>
      </c>
      <c r="F668" t="str">
        <f>IFERROR(__xludf.DUMMYFUNCTION("""COMPUTED_VALUE"""),"")</f>
        <v/>
      </c>
      <c r="G668" t="str">
        <f>IFERROR(__xludf.DUMMYFUNCTION("""COMPUTED_VALUE"""),"")</f>
        <v/>
      </c>
      <c r="H668" t="str">
        <f>IFERROR(__xludf.DUMMYFUNCTION("""COMPUTED_VALUE"""),"")</f>
        <v/>
      </c>
      <c r="I668" t="str">
        <f>IFERROR(__xludf.DUMMYFUNCTION("""COMPUTED_VALUE"""),"")</f>
        <v/>
      </c>
      <c r="J668" t="str">
        <f>IFERROR(__xludf.DUMMYFUNCTION("""COMPUTED_VALUE"""),"")</f>
        <v/>
      </c>
      <c r="K668" t="str">
        <f>IFERROR(__xludf.DUMMYFUNCTION("""COMPUTED_VALUE"""),"")</f>
        <v/>
      </c>
      <c r="L668" t="str">
        <f>IFERROR(__xludf.DUMMYFUNCTION("""COMPUTED_VALUE"""),"")</f>
        <v/>
      </c>
    </row>
    <row r="669" ht="15.75" customHeight="1">
      <c r="A669" t="str">
        <f>IFERROR(__xludf.DUMMYFUNCTION("""COMPUTED_VALUE"""),"")</f>
        <v/>
      </c>
      <c r="B669" t="str">
        <f>IFERROR(__xludf.DUMMYFUNCTION("""COMPUTED_VALUE"""),"")</f>
        <v/>
      </c>
      <c r="C669" t="str">
        <f>IFERROR(__xludf.DUMMYFUNCTION("""COMPUTED_VALUE"""),"")</f>
        <v/>
      </c>
      <c r="D669" t="str">
        <f>IFERROR(__xludf.DUMMYFUNCTION("""COMPUTED_VALUE"""),"")</f>
        <v/>
      </c>
      <c r="E669" t="str">
        <f>IFERROR(__xludf.DUMMYFUNCTION("""COMPUTED_VALUE"""),"")</f>
        <v/>
      </c>
      <c r="F669" t="str">
        <f>IFERROR(__xludf.DUMMYFUNCTION("""COMPUTED_VALUE"""),"")</f>
        <v/>
      </c>
      <c r="G669" t="str">
        <f>IFERROR(__xludf.DUMMYFUNCTION("""COMPUTED_VALUE"""),"")</f>
        <v/>
      </c>
      <c r="H669" t="str">
        <f>IFERROR(__xludf.DUMMYFUNCTION("""COMPUTED_VALUE"""),"")</f>
        <v/>
      </c>
      <c r="I669" t="str">
        <f>IFERROR(__xludf.DUMMYFUNCTION("""COMPUTED_VALUE"""),"")</f>
        <v/>
      </c>
      <c r="J669" t="str">
        <f>IFERROR(__xludf.DUMMYFUNCTION("""COMPUTED_VALUE"""),"")</f>
        <v/>
      </c>
      <c r="K669" t="str">
        <f>IFERROR(__xludf.DUMMYFUNCTION("""COMPUTED_VALUE"""),"")</f>
        <v/>
      </c>
      <c r="L669" t="str">
        <f>IFERROR(__xludf.DUMMYFUNCTION("""COMPUTED_VALUE"""),"")</f>
        <v/>
      </c>
    </row>
    <row r="670" ht="15.75" customHeight="1">
      <c r="A670" t="str">
        <f>IFERROR(__xludf.DUMMYFUNCTION("""COMPUTED_VALUE"""),"")</f>
        <v/>
      </c>
      <c r="B670" t="str">
        <f>IFERROR(__xludf.DUMMYFUNCTION("""COMPUTED_VALUE"""),"")</f>
        <v/>
      </c>
      <c r="C670" t="str">
        <f>IFERROR(__xludf.DUMMYFUNCTION("""COMPUTED_VALUE"""),"")</f>
        <v/>
      </c>
      <c r="D670" t="str">
        <f>IFERROR(__xludf.DUMMYFUNCTION("""COMPUTED_VALUE"""),"")</f>
        <v/>
      </c>
      <c r="E670" t="str">
        <f>IFERROR(__xludf.DUMMYFUNCTION("""COMPUTED_VALUE"""),"")</f>
        <v/>
      </c>
      <c r="F670" t="str">
        <f>IFERROR(__xludf.DUMMYFUNCTION("""COMPUTED_VALUE"""),"")</f>
        <v/>
      </c>
      <c r="G670" t="str">
        <f>IFERROR(__xludf.DUMMYFUNCTION("""COMPUTED_VALUE"""),"")</f>
        <v/>
      </c>
      <c r="H670" t="str">
        <f>IFERROR(__xludf.DUMMYFUNCTION("""COMPUTED_VALUE"""),"")</f>
        <v/>
      </c>
      <c r="I670" t="str">
        <f>IFERROR(__xludf.DUMMYFUNCTION("""COMPUTED_VALUE"""),"")</f>
        <v/>
      </c>
      <c r="J670" t="str">
        <f>IFERROR(__xludf.DUMMYFUNCTION("""COMPUTED_VALUE"""),"")</f>
        <v/>
      </c>
      <c r="K670" t="str">
        <f>IFERROR(__xludf.DUMMYFUNCTION("""COMPUTED_VALUE"""),"")</f>
        <v/>
      </c>
      <c r="L670" t="str">
        <f>IFERROR(__xludf.DUMMYFUNCTION("""COMPUTED_VALUE"""),"")</f>
        <v/>
      </c>
    </row>
    <row r="671" ht="15.75" customHeight="1">
      <c r="A671" t="str">
        <f>IFERROR(__xludf.DUMMYFUNCTION("""COMPUTED_VALUE"""),"")</f>
        <v/>
      </c>
      <c r="B671" t="str">
        <f>IFERROR(__xludf.DUMMYFUNCTION("""COMPUTED_VALUE"""),"")</f>
        <v/>
      </c>
      <c r="C671" t="str">
        <f>IFERROR(__xludf.DUMMYFUNCTION("""COMPUTED_VALUE"""),"")</f>
        <v/>
      </c>
      <c r="D671" t="str">
        <f>IFERROR(__xludf.DUMMYFUNCTION("""COMPUTED_VALUE"""),"")</f>
        <v/>
      </c>
      <c r="E671" t="str">
        <f>IFERROR(__xludf.DUMMYFUNCTION("""COMPUTED_VALUE"""),"")</f>
        <v/>
      </c>
      <c r="F671" t="str">
        <f>IFERROR(__xludf.DUMMYFUNCTION("""COMPUTED_VALUE"""),"")</f>
        <v/>
      </c>
      <c r="G671" t="str">
        <f>IFERROR(__xludf.DUMMYFUNCTION("""COMPUTED_VALUE"""),"")</f>
        <v/>
      </c>
      <c r="H671" t="str">
        <f>IFERROR(__xludf.DUMMYFUNCTION("""COMPUTED_VALUE"""),"")</f>
        <v/>
      </c>
      <c r="I671" t="str">
        <f>IFERROR(__xludf.DUMMYFUNCTION("""COMPUTED_VALUE"""),"")</f>
        <v/>
      </c>
      <c r="J671" t="str">
        <f>IFERROR(__xludf.DUMMYFUNCTION("""COMPUTED_VALUE"""),"")</f>
        <v/>
      </c>
      <c r="K671" t="str">
        <f>IFERROR(__xludf.DUMMYFUNCTION("""COMPUTED_VALUE"""),"")</f>
        <v/>
      </c>
      <c r="L671" t="str">
        <f>IFERROR(__xludf.DUMMYFUNCTION("""COMPUTED_VALUE"""),"")</f>
        <v/>
      </c>
    </row>
    <row r="672" ht="15.75" customHeight="1">
      <c r="A672" t="str">
        <f>IFERROR(__xludf.DUMMYFUNCTION("""COMPUTED_VALUE"""),"")</f>
        <v/>
      </c>
      <c r="B672" t="str">
        <f>IFERROR(__xludf.DUMMYFUNCTION("""COMPUTED_VALUE"""),"")</f>
        <v/>
      </c>
      <c r="C672" t="str">
        <f>IFERROR(__xludf.DUMMYFUNCTION("""COMPUTED_VALUE"""),"")</f>
        <v/>
      </c>
      <c r="D672" t="str">
        <f>IFERROR(__xludf.DUMMYFUNCTION("""COMPUTED_VALUE"""),"")</f>
        <v/>
      </c>
      <c r="E672" t="str">
        <f>IFERROR(__xludf.DUMMYFUNCTION("""COMPUTED_VALUE"""),"")</f>
        <v/>
      </c>
      <c r="F672" t="str">
        <f>IFERROR(__xludf.DUMMYFUNCTION("""COMPUTED_VALUE"""),"")</f>
        <v/>
      </c>
      <c r="G672" t="str">
        <f>IFERROR(__xludf.DUMMYFUNCTION("""COMPUTED_VALUE"""),"")</f>
        <v/>
      </c>
      <c r="H672" t="str">
        <f>IFERROR(__xludf.DUMMYFUNCTION("""COMPUTED_VALUE"""),"")</f>
        <v/>
      </c>
      <c r="I672" t="str">
        <f>IFERROR(__xludf.DUMMYFUNCTION("""COMPUTED_VALUE"""),"")</f>
        <v/>
      </c>
      <c r="J672" t="str">
        <f>IFERROR(__xludf.DUMMYFUNCTION("""COMPUTED_VALUE"""),"")</f>
        <v/>
      </c>
      <c r="K672" t="str">
        <f>IFERROR(__xludf.DUMMYFUNCTION("""COMPUTED_VALUE"""),"")</f>
        <v/>
      </c>
      <c r="L672" t="str">
        <f>IFERROR(__xludf.DUMMYFUNCTION("""COMPUTED_VALUE"""),"")</f>
        <v/>
      </c>
    </row>
    <row r="673" ht="15.75" customHeight="1">
      <c r="A673" t="str">
        <f>IFERROR(__xludf.DUMMYFUNCTION("""COMPUTED_VALUE"""),"")</f>
        <v/>
      </c>
      <c r="B673" t="str">
        <f>IFERROR(__xludf.DUMMYFUNCTION("""COMPUTED_VALUE"""),"")</f>
        <v/>
      </c>
      <c r="C673" t="str">
        <f>IFERROR(__xludf.DUMMYFUNCTION("""COMPUTED_VALUE"""),"")</f>
        <v/>
      </c>
      <c r="D673" t="str">
        <f>IFERROR(__xludf.DUMMYFUNCTION("""COMPUTED_VALUE"""),"")</f>
        <v/>
      </c>
      <c r="E673" t="str">
        <f>IFERROR(__xludf.DUMMYFUNCTION("""COMPUTED_VALUE"""),"")</f>
        <v/>
      </c>
      <c r="F673" t="str">
        <f>IFERROR(__xludf.DUMMYFUNCTION("""COMPUTED_VALUE"""),"")</f>
        <v/>
      </c>
      <c r="G673" t="str">
        <f>IFERROR(__xludf.DUMMYFUNCTION("""COMPUTED_VALUE"""),"")</f>
        <v/>
      </c>
      <c r="H673" t="str">
        <f>IFERROR(__xludf.DUMMYFUNCTION("""COMPUTED_VALUE"""),"")</f>
        <v/>
      </c>
      <c r="I673" t="str">
        <f>IFERROR(__xludf.DUMMYFUNCTION("""COMPUTED_VALUE"""),"")</f>
        <v/>
      </c>
      <c r="J673" t="str">
        <f>IFERROR(__xludf.DUMMYFUNCTION("""COMPUTED_VALUE"""),"")</f>
        <v/>
      </c>
      <c r="K673" t="str">
        <f>IFERROR(__xludf.DUMMYFUNCTION("""COMPUTED_VALUE"""),"")</f>
        <v/>
      </c>
      <c r="L673" t="str">
        <f>IFERROR(__xludf.DUMMYFUNCTION("""COMPUTED_VALUE"""),"")</f>
        <v/>
      </c>
    </row>
    <row r="674" ht="15.75" customHeight="1">
      <c r="A674" t="str">
        <f>IFERROR(__xludf.DUMMYFUNCTION("""COMPUTED_VALUE"""),"")</f>
        <v/>
      </c>
      <c r="B674" t="str">
        <f>IFERROR(__xludf.DUMMYFUNCTION("""COMPUTED_VALUE"""),"")</f>
        <v/>
      </c>
      <c r="C674" t="str">
        <f>IFERROR(__xludf.DUMMYFUNCTION("""COMPUTED_VALUE"""),"")</f>
        <v/>
      </c>
      <c r="D674" t="str">
        <f>IFERROR(__xludf.DUMMYFUNCTION("""COMPUTED_VALUE"""),"")</f>
        <v/>
      </c>
      <c r="E674" t="str">
        <f>IFERROR(__xludf.DUMMYFUNCTION("""COMPUTED_VALUE"""),"")</f>
        <v/>
      </c>
      <c r="F674" t="str">
        <f>IFERROR(__xludf.DUMMYFUNCTION("""COMPUTED_VALUE"""),"")</f>
        <v/>
      </c>
      <c r="G674" t="str">
        <f>IFERROR(__xludf.DUMMYFUNCTION("""COMPUTED_VALUE"""),"")</f>
        <v/>
      </c>
      <c r="H674" t="str">
        <f>IFERROR(__xludf.DUMMYFUNCTION("""COMPUTED_VALUE"""),"")</f>
        <v/>
      </c>
      <c r="I674" t="str">
        <f>IFERROR(__xludf.DUMMYFUNCTION("""COMPUTED_VALUE"""),"")</f>
        <v/>
      </c>
      <c r="J674" t="str">
        <f>IFERROR(__xludf.DUMMYFUNCTION("""COMPUTED_VALUE"""),"")</f>
        <v/>
      </c>
      <c r="K674" t="str">
        <f>IFERROR(__xludf.DUMMYFUNCTION("""COMPUTED_VALUE"""),"")</f>
        <v/>
      </c>
      <c r="L674" t="str">
        <f>IFERROR(__xludf.DUMMYFUNCTION("""COMPUTED_VALUE"""),"")</f>
        <v/>
      </c>
    </row>
    <row r="675" ht="15.75" customHeight="1">
      <c r="A675" t="str">
        <f>IFERROR(__xludf.DUMMYFUNCTION("""COMPUTED_VALUE"""),"")</f>
        <v/>
      </c>
      <c r="B675" t="str">
        <f>IFERROR(__xludf.DUMMYFUNCTION("""COMPUTED_VALUE"""),"")</f>
        <v/>
      </c>
      <c r="C675" t="str">
        <f>IFERROR(__xludf.DUMMYFUNCTION("""COMPUTED_VALUE"""),"")</f>
        <v/>
      </c>
      <c r="D675" t="str">
        <f>IFERROR(__xludf.DUMMYFUNCTION("""COMPUTED_VALUE"""),"")</f>
        <v/>
      </c>
      <c r="E675" t="str">
        <f>IFERROR(__xludf.DUMMYFUNCTION("""COMPUTED_VALUE"""),"")</f>
        <v/>
      </c>
      <c r="F675" t="str">
        <f>IFERROR(__xludf.DUMMYFUNCTION("""COMPUTED_VALUE"""),"")</f>
        <v/>
      </c>
      <c r="G675" t="str">
        <f>IFERROR(__xludf.DUMMYFUNCTION("""COMPUTED_VALUE"""),"")</f>
        <v/>
      </c>
      <c r="H675" t="str">
        <f>IFERROR(__xludf.DUMMYFUNCTION("""COMPUTED_VALUE"""),"")</f>
        <v/>
      </c>
      <c r="I675" t="str">
        <f>IFERROR(__xludf.DUMMYFUNCTION("""COMPUTED_VALUE"""),"")</f>
        <v/>
      </c>
      <c r="J675" t="str">
        <f>IFERROR(__xludf.DUMMYFUNCTION("""COMPUTED_VALUE"""),"")</f>
        <v/>
      </c>
      <c r="K675" t="str">
        <f>IFERROR(__xludf.DUMMYFUNCTION("""COMPUTED_VALUE"""),"")</f>
        <v/>
      </c>
      <c r="L675" t="str">
        <f>IFERROR(__xludf.DUMMYFUNCTION("""COMPUTED_VALUE"""),"")</f>
        <v/>
      </c>
    </row>
    <row r="676" ht="15.75" customHeight="1">
      <c r="A676" t="str">
        <f>IFERROR(__xludf.DUMMYFUNCTION("""COMPUTED_VALUE"""),"")</f>
        <v/>
      </c>
      <c r="B676" t="str">
        <f>IFERROR(__xludf.DUMMYFUNCTION("""COMPUTED_VALUE"""),"")</f>
        <v/>
      </c>
      <c r="C676" t="str">
        <f>IFERROR(__xludf.DUMMYFUNCTION("""COMPUTED_VALUE"""),"")</f>
        <v/>
      </c>
      <c r="D676" t="str">
        <f>IFERROR(__xludf.DUMMYFUNCTION("""COMPUTED_VALUE"""),"")</f>
        <v/>
      </c>
      <c r="E676" t="str">
        <f>IFERROR(__xludf.DUMMYFUNCTION("""COMPUTED_VALUE"""),"")</f>
        <v/>
      </c>
      <c r="F676" t="str">
        <f>IFERROR(__xludf.DUMMYFUNCTION("""COMPUTED_VALUE"""),"")</f>
        <v/>
      </c>
      <c r="G676" t="str">
        <f>IFERROR(__xludf.DUMMYFUNCTION("""COMPUTED_VALUE"""),"")</f>
        <v/>
      </c>
      <c r="H676" t="str">
        <f>IFERROR(__xludf.DUMMYFUNCTION("""COMPUTED_VALUE"""),"")</f>
        <v/>
      </c>
      <c r="I676" t="str">
        <f>IFERROR(__xludf.DUMMYFUNCTION("""COMPUTED_VALUE"""),"")</f>
        <v/>
      </c>
      <c r="J676" t="str">
        <f>IFERROR(__xludf.DUMMYFUNCTION("""COMPUTED_VALUE"""),"")</f>
        <v/>
      </c>
      <c r="K676" t="str">
        <f>IFERROR(__xludf.DUMMYFUNCTION("""COMPUTED_VALUE"""),"")</f>
        <v/>
      </c>
      <c r="L676" t="str">
        <f>IFERROR(__xludf.DUMMYFUNCTION("""COMPUTED_VALUE"""),"")</f>
        <v/>
      </c>
    </row>
    <row r="677" ht="15.75" customHeight="1">
      <c r="A677" t="str">
        <f>IFERROR(__xludf.DUMMYFUNCTION("""COMPUTED_VALUE"""),"")</f>
        <v/>
      </c>
      <c r="B677" t="str">
        <f>IFERROR(__xludf.DUMMYFUNCTION("""COMPUTED_VALUE"""),"")</f>
        <v/>
      </c>
      <c r="C677" t="str">
        <f>IFERROR(__xludf.DUMMYFUNCTION("""COMPUTED_VALUE"""),"")</f>
        <v/>
      </c>
      <c r="D677" t="str">
        <f>IFERROR(__xludf.DUMMYFUNCTION("""COMPUTED_VALUE"""),"")</f>
        <v/>
      </c>
      <c r="E677" t="str">
        <f>IFERROR(__xludf.DUMMYFUNCTION("""COMPUTED_VALUE"""),"")</f>
        <v/>
      </c>
      <c r="F677" t="str">
        <f>IFERROR(__xludf.DUMMYFUNCTION("""COMPUTED_VALUE"""),"")</f>
        <v/>
      </c>
      <c r="G677" t="str">
        <f>IFERROR(__xludf.DUMMYFUNCTION("""COMPUTED_VALUE"""),"")</f>
        <v/>
      </c>
      <c r="H677" t="str">
        <f>IFERROR(__xludf.DUMMYFUNCTION("""COMPUTED_VALUE"""),"")</f>
        <v/>
      </c>
      <c r="I677" t="str">
        <f>IFERROR(__xludf.DUMMYFUNCTION("""COMPUTED_VALUE"""),"")</f>
        <v/>
      </c>
      <c r="J677" t="str">
        <f>IFERROR(__xludf.DUMMYFUNCTION("""COMPUTED_VALUE"""),"")</f>
        <v/>
      </c>
      <c r="K677" t="str">
        <f>IFERROR(__xludf.DUMMYFUNCTION("""COMPUTED_VALUE"""),"")</f>
        <v/>
      </c>
      <c r="L677" t="str">
        <f>IFERROR(__xludf.DUMMYFUNCTION("""COMPUTED_VALUE"""),"")</f>
        <v/>
      </c>
    </row>
    <row r="678" ht="15.75" customHeight="1">
      <c r="A678" t="str">
        <f>IFERROR(__xludf.DUMMYFUNCTION("""COMPUTED_VALUE"""),"")</f>
        <v/>
      </c>
      <c r="B678" t="str">
        <f>IFERROR(__xludf.DUMMYFUNCTION("""COMPUTED_VALUE"""),"")</f>
        <v/>
      </c>
      <c r="C678" t="str">
        <f>IFERROR(__xludf.DUMMYFUNCTION("""COMPUTED_VALUE"""),"")</f>
        <v/>
      </c>
      <c r="D678" t="str">
        <f>IFERROR(__xludf.DUMMYFUNCTION("""COMPUTED_VALUE"""),"")</f>
        <v/>
      </c>
      <c r="E678" t="str">
        <f>IFERROR(__xludf.DUMMYFUNCTION("""COMPUTED_VALUE"""),"")</f>
        <v/>
      </c>
      <c r="F678" t="str">
        <f>IFERROR(__xludf.DUMMYFUNCTION("""COMPUTED_VALUE"""),"")</f>
        <v/>
      </c>
      <c r="G678" t="str">
        <f>IFERROR(__xludf.DUMMYFUNCTION("""COMPUTED_VALUE"""),"")</f>
        <v/>
      </c>
      <c r="H678" t="str">
        <f>IFERROR(__xludf.DUMMYFUNCTION("""COMPUTED_VALUE"""),"")</f>
        <v/>
      </c>
      <c r="I678" t="str">
        <f>IFERROR(__xludf.DUMMYFUNCTION("""COMPUTED_VALUE"""),"")</f>
        <v/>
      </c>
      <c r="J678" t="str">
        <f>IFERROR(__xludf.DUMMYFUNCTION("""COMPUTED_VALUE"""),"")</f>
        <v/>
      </c>
      <c r="K678" t="str">
        <f>IFERROR(__xludf.DUMMYFUNCTION("""COMPUTED_VALUE"""),"")</f>
        <v/>
      </c>
      <c r="L678" t="str">
        <f>IFERROR(__xludf.DUMMYFUNCTION("""COMPUTED_VALUE"""),"")</f>
        <v/>
      </c>
    </row>
    <row r="679" ht="15.75" customHeight="1">
      <c r="A679" t="str">
        <f>IFERROR(__xludf.DUMMYFUNCTION("""COMPUTED_VALUE"""),"")</f>
        <v/>
      </c>
      <c r="B679" t="str">
        <f>IFERROR(__xludf.DUMMYFUNCTION("""COMPUTED_VALUE"""),"")</f>
        <v/>
      </c>
      <c r="C679" t="str">
        <f>IFERROR(__xludf.DUMMYFUNCTION("""COMPUTED_VALUE"""),"")</f>
        <v/>
      </c>
      <c r="D679" t="str">
        <f>IFERROR(__xludf.DUMMYFUNCTION("""COMPUTED_VALUE"""),"")</f>
        <v/>
      </c>
      <c r="E679" t="str">
        <f>IFERROR(__xludf.DUMMYFUNCTION("""COMPUTED_VALUE"""),"")</f>
        <v/>
      </c>
      <c r="F679" t="str">
        <f>IFERROR(__xludf.DUMMYFUNCTION("""COMPUTED_VALUE"""),"")</f>
        <v/>
      </c>
      <c r="G679" t="str">
        <f>IFERROR(__xludf.DUMMYFUNCTION("""COMPUTED_VALUE"""),"")</f>
        <v/>
      </c>
      <c r="H679" t="str">
        <f>IFERROR(__xludf.DUMMYFUNCTION("""COMPUTED_VALUE"""),"")</f>
        <v/>
      </c>
      <c r="I679" t="str">
        <f>IFERROR(__xludf.DUMMYFUNCTION("""COMPUTED_VALUE"""),"")</f>
        <v/>
      </c>
      <c r="J679" t="str">
        <f>IFERROR(__xludf.DUMMYFUNCTION("""COMPUTED_VALUE"""),"")</f>
        <v/>
      </c>
      <c r="K679" t="str">
        <f>IFERROR(__xludf.DUMMYFUNCTION("""COMPUTED_VALUE"""),"")</f>
        <v/>
      </c>
      <c r="L679" t="str">
        <f>IFERROR(__xludf.DUMMYFUNCTION("""COMPUTED_VALUE"""),"")</f>
        <v/>
      </c>
    </row>
    <row r="680" ht="15.75" customHeight="1">
      <c r="A680" t="str">
        <f>IFERROR(__xludf.DUMMYFUNCTION("""COMPUTED_VALUE"""),"")</f>
        <v/>
      </c>
      <c r="B680" t="str">
        <f>IFERROR(__xludf.DUMMYFUNCTION("""COMPUTED_VALUE"""),"")</f>
        <v/>
      </c>
      <c r="C680" t="str">
        <f>IFERROR(__xludf.DUMMYFUNCTION("""COMPUTED_VALUE"""),"")</f>
        <v/>
      </c>
      <c r="D680" t="str">
        <f>IFERROR(__xludf.DUMMYFUNCTION("""COMPUTED_VALUE"""),"")</f>
        <v/>
      </c>
      <c r="E680" t="str">
        <f>IFERROR(__xludf.DUMMYFUNCTION("""COMPUTED_VALUE"""),"")</f>
        <v/>
      </c>
      <c r="F680" t="str">
        <f>IFERROR(__xludf.DUMMYFUNCTION("""COMPUTED_VALUE"""),"")</f>
        <v/>
      </c>
      <c r="G680" t="str">
        <f>IFERROR(__xludf.DUMMYFUNCTION("""COMPUTED_VALUE"""),"")</f>
        <v/>
      </c>
      <c r="H680" t="str">
        <f>IFERROR(__xludf.DUMMYFUNCTION("""COMPUTED_VALUE"""),"")</f>
        <v/>
      </c>
      <c r="I680" t="str">
        <f>IFERROR(__xludf.DUMMYFUNCTION("""COMPUTED_VALUE"""),"")</f>
        <v/>
      </c>
      <c r="J680" t="str">
        <f>IFERROR(__xludf.DUMMYFUNCTION("""COMPUTED_VALUE"""),"")</f>
        <v/>
      </c>
      <c r="K680" t="str">
        <f>IFERROR(__xludf.DUMMYFUNCTION("""COMPUTED_VALUE"""),"")</f>
        <v/>
      </c>
      <c r="L680" t="str">
        <f>IFERROR(__xludf.DUMMYFUNCTION("""COMPUTED_VALUE"""),"")</f>
        <v/>
      </c>
    </row>
    <row r="681" ht="15.75" customHeight="1">
      <c r="A681" t="str">
        <f>IFERROR(__xludf.DUMMYFUNCTION("""COMPUTED_VALUE"""),"")</f>
        <v/>
      </c>
      <c r="B681" t="str">
        <f>IFERROR(__xludf.DUMMYFUNCTION("""COMPUTED_VALUE"""),"")</f>
        <v/>
      </c>
      <c r="C681" t="str">
        <f>IFERROR(__xludf.DUMMYFUNCTION("""COMPUTED_VALUE"""),"")</f>
        <v/>
      </c>
      <c r="D681" t="str">
        <f>IFERROR(__xludf.DUMMYFUNCTION("""COMPUTED_VALUE"""),"")</f>
        <v/>
      </c>
      <c r="E681" t="str">
        <f>IFERROR(__xludf.DUMMYFUNCTION("""COMPUTED_VALUE"""),"")</f>
        <v/>
      </c>
      <c r="F681" t="str">
        <f>IFERROR(__xludf.DUMMYFUNCTION("""COMPUTED_VALUE"""),"")</f>
        <v/>
      </c>
      <c r="G681" t="str">
        <f>IFERROR(__xludf.DUMMYFUNCTION("""COMPUTED_VALUE"""),"")</f>
        <v/>
      </c>
      <c r="H681" t="str">
        <f>IFERROR(__xludf.DUMMYFUNCTION("""COMPUTED_VALUE"""),"")</f>
        <v/>
      </c>
      <c r="I681" t="str">
        <f>IFERROR(__xludf.DUMMYFUNCTION("""COMPUTED_VALUE"""),"")</f>
        <v/>
      </c>
      <c r="J681" t="str">
        <f>IFERROR(__xludf.DUMMYFUNCTION("""COMPUTED_VALUE"""),"")</f>
        <v/>
      </c>
      <c r="K681" t="str">
        <f>IFERROR(__xludf.DUMMYFUNCTION("""COMPUTED_VALUE"""),"")</f>
        <v/>
      </c>
      <c r="L681" t="str">
        <f>IFERROR(__xludf.DUMMYFUNCTION("""COMPUTED_VALUE"""),"")</f>
        <v/>
      </c>
    </row>
    <row r="682" ht="15.75" customHeight="1">
      <c r="A682" t="str">
        <f>IFERROR(__xludf.DUMMYFUNCTION("""COMPUTED_VALUE"""),"")</f>
        <v/>
      </c>
      <c r="B682" t="str">
        <f>IFERROR(__xludf.DUMMYFUNCTION("""COMPUTED_VALUE"""),"")</f>
        <v/>
      </c>
      <c r="C682" t="str">
        <f>IFERROR(__xludf.DUMMYFUNCTION("""COMPUTED_VALUE"""),"")</f>
        <v/>
      </c>
      <c r="D682" t="str">
        <f>IFERROR(__xludf.DUMMYFUNCTION("""COMPUTED_VALUE"""),"")</f>
        <v/>
      </c>
      <c r="E682" t="str">
        <f>IFERROR(__xludf.DUMMYFUNCTION("""COMPUTED_VALUE"""),"")</f>
        <v/>
      </c>
      <c r="F682" t="str">
        <f>IFERROR(__xludf.DUMMYFUNCTION("""COMPUTED_VALUE"""),"")</f>
        <v/>
      </c>
      <c r="G682" t="str">
        <f>IFERROR(__xludf.DUMMYFUNCTION("""COMPUTED_VALUE"""),"")</f>
        <v/>
      </c>
      <c r="H682" t="str">
        <f>IFERROR(__xludf.DUMMYFUNCTION("""COMPUTED_VALUE"""),"")</f>
        <v/>
      </c>
      <c r="I682" t="str">
        <f>IFERROR(__xludf.DUMMYFUNCTION("""COMPUTED_VALUE"""),"")</f>
        <v/>
      </c>
      <c r="J682" t="str">
        <f>IFERROR(__xludf.DUMMYFUNCTION("""COMPUTED_VALUE"""),"")</f>
        <v/>
      </c>
      <c r="K682" t="str">
        <f>IFERROR(__xludf.DUMMYFUNCTION("""COMPUTED_VALUE"""),"")</f>
        <v/>
      </c>
      <c r="L682" t="str">
        <f>IFERROR(__xludf.DUMMYFUNCTION("""COMPUTED_VALUE"""),"")</f>
        <v/>
      </c>
    </row>
    <row r="683" ht="15.75" customHeight="1">
      <c r="A683" t="str">
        <f>IFERROR(__xludf.DUMMYFUNCTION("""COMPUTED_VALUE"""),"")</f>
        <v/>
      </c>
      <c r="B683" t="str">
        <f>IFERROR(__xludf.DUMMYFUNCTION("""COMPUTED_VALUE"""),"")</f>
        <v/>
      </c>
      <c r="C683" t="str">
        <f>IFERROR(__xludf.DUMMYFUNCTION("""COMPUTED_VALUE"""),"")</f>
        <v/>
      </c>
      <c r="D683" t="str">
        <f>IFERROR(__xludf.DUMMYFUNCTION("""COMPUTED_VALUE"""),"")</f>
        <v/>
      </c>
      <c r="E683" t="str">
        <f>IFERROR(__xludf.DUMMYFUNCTION("""COMPUTED_VALUE"""),"")</f>
        <v/>
      </c>
      <c r="F683" t="str">
        <f>IFERROR(__xludf.DUMMYFUNCTION("""COMPUTED_VALUE"""),"")</f>
        <v/>
      </c>
      <c r="G683" t="str">
        <f>IFERROR(__xludf.DUMMYFUNCTION("""COMPUTED_VALUE"""),"")</f>
        <v/>
      </c>
      <c r="H683" t="str">
        <f>IFERROR(__xludf.DUMMYFUNCTION("""COMPUTED_VALUE"""),"")</f>
        <v/>
      </c>
      <c r="I683" t="str">
        <f>IFERROR(__xludf.DUMMYFUNCTION("""COMPUTED_VALUE"""),"")</f>
        <v/>
      </c>
      <c r="J683" t="str">
        <f>IFERROR(__xludf.DUMMYFUNCTION("""COMPUTED_VALUE"""),"")</f>
        <v/>
      </c>
      <c r="K683" t="str">
        <f>IFERROR(__xludf.DUMMYFUNCTION("""COMPUTED_VALUE"""),"")</f>
        <v/>
      </c>
      <c r="L683" t="str">
        <f>IFERROR(__xludf.DUMMYFUNCTION("""COMPUTED_VALUE"""),"")</f>
        <v/>
      </c>
    </row>
    <row r="684" ht="15.75" customHeight="1">
      <c r="A684" t="str">
        <f>IFERROR(__xludf.DUMMYFUNCTION("""COMPUTED_VALUE"""),"")</f>
        <v/>
      </c>
      <c r="B684" t="str">
        <f>IFERROR(__xludf.DUMMYFUNCTION("""COMPUTED_VALUE"""),"")</f>
        <v/>
      </c>
      <c r="C684" t="str">
        <f>IFERROR(__xludf.DUMMYFUNCTION("""COMPUTED_VALUE"""),"")</f>
        <v/>
      </c>
      <c r="D684" t="str">
        <f>IFERROR(__xludf.DUMMYFUNCTION("""COMPUTED_VALUE"""),"")</f>
        <v/>
      </c>
      <c r="E684" t="str">
        <f>IFERROR(__xludf.DUMMYFUNCTION("""COMPUTED_VALUE"""),"")</f>
        <v/>
      </c>
      <c r="F684" t="str">
        <f>IFERROR(__xludf.DUMMYFUNCTION("""COMPUTED_VALUE"""),"")</f>
        <v/>
      </c>
      <c r="G684" t="str">
        <f>IFERROR(__xludf.DUMMYFUNCTION("""COMPUTED_VALUE"""),"")</f>
        <v/>
      </c>
      <c r="H684" t="str">
        <f>IFERROR(__xludf.DUMMYFUNCTION("""COMPUTED_VALUE"""),"")</f>
        <v/>
      </c>
      <c r="I684" t="str">
        <f>IFERROR(__xludf.DUMMYFUNCTION("""COMPUTED_VALUE"""),"")</f>
        <v/>
      </c>
      <c r="J684" t="str">
        <f>IFERROR(__xludf.DUMMYFUNCTION("""COMPUTED_VALUE"""),"")</f>
        <v/>
      </c>
      <c r="K684" t="str">
        <f>IFERROR(__xludf.DUMMYFUNCTION("""COMPUTED_VALUE"""),"")</f>
        <v/>
      </c>
      <c r="L684" t="str">
        <f>IFERROR(__xludf.DUMMYFUNCTION("""COMPUTED_VALUE"""),"")</f>
        <v/>
      </c>
    </row>
    <row r="685" ht="15.75" customHeight="1">
      <c r="A685" t="str">
        <f>IFERROR(__xludf.DUMMYFUNCTION("""COMPUTED_VALUE"""),"")</f>
        <v/>
      </c>
      <c r="B685" t="str">
        <f>IFERROR(__xludf.DUMMYFUNCTION("""COMPUTED_VALUE"""),"")</f>
        <v/>
      </c>
      <c r="C685" t="str">
        <f>IFERROR(__xludf.DUMMYFUNCTION("""COMPUTED_VALUE"""),"")</f>
        <v/>
      </c>
      <c r="D685" t="str">
        <f>IFERROR(__xludf.DUMMYFUNCTION("""COMPUTED_VALUE"""),"")</f>
        <v/>
      </c>
      <c r="E685" t="str">
        <f>IFERROR(__xludf.DUMMYFUNCTION("""COMPUTED_VALUE"""),"")</f>
        <v/>
      </c>
      <c r="F685" t="str">
        <f>IFERROR(__xludf.DUMMYFUNCTION("""COMPUTED_VALUE"""),"")</f>
        <v/>
      </c>
      <c r="G685" t="str">
        <f>IFERROR(__xludf.DUMMYFUNCTION("""COMPUTED_VALUE"""),"")</f>
        <v/>
      </c>
      <c r="H685" t="str">
        <f>IFERROR(__xludf.DUMMYFUNCTION("""COMPUTED_VALUE"""),"")</f>
        <v/>
      </c>
      <c r="I685" t="str">
        <f>IFERROR(__xludf.DUMMYFUNCTION("""COMPUTED_VALUE"""),"")</f>
        <v/>
      </c>
      <c r="J685" t="str">
        <f>IFERROR(__xludf.DUMMYFUNCTION("""COMPUTED_VALUE"""),"")</f>
        <v/>
      </c>
      <c r="K685" t="str">
        <f>IFERROR(__xludf.DUMMYFUNCTION("""COMPUTED_VALUE"""),"")</f>
        <v/>
      </c>
      <c r="L685" t="str">
        <f>IFERROR(__xludf.DUMMYFUNCTION("""COMPUTED_VALUE"""),"")</f>
        <v/>
      </c>
    </row>
    <row r="686" ht="15.75" customHeight="1">
      <c r="A686" t="str">
        <f>IFERROR(__xludf.DUMMYFUNCTION("""COMPUTED_VALUE"""),"")</f>
        <v/>
      </c>
      <c r="B686" t="str">
        <f>IFERROR(__xludf.DUMMYFUNCTION("""COMPUTED_VALUE"""),"")</f>
        <v/>
      </c>
      <c r="C686" t="str">
        <f>IFERROR(__xludf.DUMMYFUNCTION("""COMPUTED_VALUE"""),"")</f>
        <v/>
      </c>
      <c r="D686" t="str">
        <f>IFERROR(__xludf.DUMMYFUNCTION("""COMPUTED_VALUE"""),"")</f>
        <v/>
      </c>
      <c r="E686" t="str">
        <f>IFERROR(__xludf.DUMMYFUNCTION("""COMPUTED_VALUE"""),"")</f>
        <v/>
      </c>
      <c r="F686" t="str">
        <f>IFERROR(__xludf.DUMMYFUNCTION("""COMPUTED_VALUE"""),"")</f>
        <v/>
      </c>
      <c r="G686" t="str">
        <f>IFERROR(__xludf.DUMMYFUNCTION("""COMPUTED_VALUE"""),"")</f>
        <v/>
      </c>
      <c r="H686" t="str">
        <f>IFERROR(__xludf.DUMMYFUNCTION("""COMPUTED_VALUE"""),"")</f>
        <v/>
      </c>
      <c r="I686" t="str">
        <f>IFERROR(__xludf.DUMMYFUNCTION("""COMPUTED_VALUE"""),"")</f>
        <v/>
      </c>
      <c r="J686" t="str">
        <f>IFERROR(__xludf.DUMMYFUNCTION("""COMPUTED_VALUE"""),"")</f>
        <v/>
      </c>
      <c r="K686" t="str">
        <f>IFERROR(__xludf.DUMMYFUNCTION("""COMPUTED_VALUE"""),"")</f>
        <v/>
      </c>
      <c r="L686" t="str">
        <f>IFERROR(__xludf.DUMMYFUNCTION("""COMPUTED_VALUE"""),"")</f>
        <v/>
      </c>
    </row>
    <row r="687" ht="15.75" customHeight="1">
      <c r="A687" t="str">
        <f>IFERROR(__xludf.DUMMYFUNCTION("""COMPUTED_VALUE"""),"")</f>
        <v/>
      </c>
      <c r="B687" t="str">
        <f>IFERROR(__xludf.DUMMYFUNCTION("""COMPUTED_VALUE"""),"")</f>
        <v/>
      </c>
      <c r="C687" t="str">
        <f>IFERROR(__xludf.DUMMYFUNCTION("""COMPUTED_VALUE"""),"")</f>
        <v/>
      </c>
      <c r="D687" t="str">
        <f>IFERROR(__xludf.DUMMYFUNCTION("""COMPUTED_VALUE"""),"")</f>
        <v/>
      </c>
      <c r="E687" t="str">
        <f>IFERROR(__xludf.DUMMYFUNCTION("""COMPUTED_VALUE"""),"")</f>
        <v/>
      </c>
      <c r="F687" t="str">
        <f>IFERROR(__xludf.DUMMYFUNCTION("""COMPUTED_VALUE"""),"")</f>
        <v/>
      </c>
      <c r="G687" t="str">
        <f>IFERROR(__xludf.DUMMYFUNCTION("""COMPUTED_VALUE"""),"")</f>
        <v/>
      </c>
      <c r="H687" t="str">
        <f>IFERROR(__xludf.DUMMYFUNCTION("""COMPUTED_VALUE"""),"")</f>
        <v/>
      </c>
      <c r="I687" t="str">
        <f>IFERROR(__xludf.DUMMYFUNCTION("""COMPUTED_VALUE"""),"")</f>
        <v/>
      </c>
      <c r="J687" t="str">
        <f>IFERROR(__xludf.DUMMYFUNCTION("""COMPUTED_VALUE"""),"")</f>
        <v/>
      </c>
      <c r="K687" t="str">
        <f>IFERROR(__xludf.DUMMYFUNCTION("""COMPUTED_VALUE"""),"")</f>
        <v/>
      </c>
      <c r="L687" t="str">
        <f>IFERROR(__xludf.DUMMYFUNCTION("""COMPUTED_VALUE"""),"")</f>
        <v/>
      </c>
    </row>
    <row r="688" ht="15.75" customHeight="1">
      <c r="A688" t="str">
        <f>IFERROR(__xludf.DUMMYFUNCTION("""COMPUTED_VALUE"""),"")</f>
        <v/>
      </c>
      <c r="B688" t="str">
        <f>IFERROR(__xludf.DUMMYFUNCTION("""COMPUTED_VALUE"""),"")</f>
        <v/>
      </c>
      <c r="C688" t="str">
        <f>IFERROR(__xludf.DUMMYFUNCTION("""COMPUTED_VALUE"""),"")</f>
        <v/>
      </c>
      <c r="D688" t="str">
        <f>IFERROR(__xludf.DUMMYFUNCTION("""COMPUTED_VALUE"""),"")</f>
        <v/>
      </c>
      <c r="E688" t="str">
        <f>IFERROR(__xludf.DUMMYFUNCTION("""COMPUTED_VALUE"""),"")</f>
        <v/>
      </c>
      <c r="F688" t="str">
        <f>IFERROR(__xludf.DUMMYFUNCTION("""COMPUTED_VALUE"""),"")</f>
        <v/>
      </c>
      <c r="G688" t="str">
        <f>IFERROR(__xludf.DUMMYFUNCTION("""COMPUTED_VALUE"""),"")</f>
        <v/>
      </c>
      <c r="H688" t="str">
        <f>IFERROR(__xludf.DUMMYFUNCTION("""COMPUTED_VALUE"""),"")</f>
        <v/>
      </c>
      <c r="I688" t="str">
        <f>IFERROR(__xludf.DUMMYFUNCTION("""COMPUTED_VALUE"""),"")</f>
        <v/>
      </c>
      <c r="J688" t="str">
        <f>IFERROR(__xludf.DUMMYFUNCTION("""COMPUTED_VALUE"""),"")</f>
        <v/>
      </c>
      <c r="K688" t="str">
        <f>IFERROR(__xludf.DUMMYFUNCTION("""COMPUTED_VALUE"""),"")</f>
        <v/>
      </c>
      <c r="L688" t="str">
        <f>IFERROR(__xludf.DUMMYFUNCTION("""COMPUTED_VALUE"""),"")</f>
        <v/>
      </c>
    </row>
    <row r="689" ht="15.75" customHeight="1">
      <c r="A689" t="str">
        <f>IFERROR(__xludf.DUMMYFUNCTION("""COMPUTED_VALUE"""),"")</f>
        <v/>
      </c>
      <c r="B689" t="str">
        <f>IFERROR(__xludf.DUMMYFUNCTION("""COMPUTED_VALUE"""),"")</f>
        <v/>
      </c>
      <c r="C689" t="str">
        <f>IFERROR(__xludf.DUMMYFUNCTION("""COMPUTED_VALUE"""),"")</f>
        <v/>
      </c>
      <c r="D689" t="str">
        <f>IFERROR(__xludf.DUMMYFUNCTION("""COMPUTED_VALUE"""),"")</f>
        <v/>
      </c>
      <c r="E689" t="str">
        <f>IFERROR(__xludf.DUMMYFUNCTION("""COMPUTED_VALUE"""),"")</f>
        <v/>
      </c>
      <c r="F689" t="str">
        <f>IFERROR(__xludf.DUMMYFUNCTION("""COMPUTED_VALUE"""),"")</f>
        <v/>
      </c>
      <c r="G689" t="str">
        <f>IFERROR(__xludf.DUMMYFUNCTION("""COMPUTED_VALUE"""),"")</f>
        <v/>
      </c>
      <c r="H689" t="str">
        <f>IFERROR(__xludf.DUMMYFUNCTION("""COMPUTED_VALUE"""),"")</f>
        <v/>
      </c>
      <c r="I689" t="str">
        <f>IFERROR(__xludf.DUMMYFUNCTION("""COMPUTED_VALUE"""),"")</f>
        <v/>
      </c>
      <c r="J689" t="str">
        <f>IFERROR(__xludf.DUMMYFUNCTION("""COMPUTED_VALUE"""),"")</f>
        <v/>
      </c>
      <c r="K689" t="str">
        <f>IFERROR(__xludf.DUMMYFUNCTION("""COMPUTED_VALUE"""),"")</f>
        <v/>
      </c>
      <c r="L689" t="str">
        <f>IFERROR(__xludf.DUMMYFUNCTION("""COMPUTED_VALUE"""),"")</f>
        <v/>
      </c>
    </row>
    <row r="690" ht="15.75" customHeight="1">
      <c r="A690" t="str">
        <f>IFERROR(__xludf.DUMMYFUNCTION("""COMPUTED_VALUE"""),"")</f>
        <v/>
      </c>
      <c r="B690" t="str">
        <f>IFERROR(__xludf.DUMMYFUNCTION("""COMPUTED_VALUE"""),"")</f>
        <v/>
      </c>
      <c r="C690" t="str">
        <f>IFERROR(__xludf.DUMMYFUNCTION("""COMPUTED_VALUE"""),"")</f>
        <v/>
      </c>
      <c r="D690" t="str">
        <f>IFERROR(__xludf.DUMMYFUNCTION("""COMPUTED_VALUE"""),"")</f>
        <v/>
      </c>
      <c r="E690" t="str">
        <f>IFERROR(__xludf.DUMMYFUNCTION("""COMPUTED_VALUE"""),"")</f>
        <v/>
      </c>
      <c r="F690" t="str">
        <f>IFERROR(__xludf.DUMMYFUNCTION("""COMPUTED_VALUE"""),"")</f>
        <v/>
      </c>
      <c r="G690" t="str">
        <f>IFERROR(__xludf.DUMMYFUNCTION("""COMPUTED_VALUE"""),"")</f>
        <v/>
      </c>
      <c r="H690" t="str">
        <f>IFERROR(__xludf.DUMMYFUNCTION("""COMPUTED_VALUE"""),"")</f>
        <v/>
      </c>
      <c r="I690" t="str">
        <f>IFERROR(__xludf.DUMMYFUNCTION("""COMPUTED_VALUE"""),"")</f>
        <v/>
      </c>
      <c r="J690" t="str">
        <f>IFERROR(__xludf.DUMMYFUNCTION("""COMPUTED_VALUE"""),"")</f>
        <v/>
      </c>
      <c r="K690" t="str">
        <f>IFERROR(__xludf.DUMMYFUNCTION("""COMPUTED_VALUE"""),"")</f>
        <v/>
      </c>
      <c r="L690" t="str">
        <f>IFERROR(__xludf.DUMMYFUNCTION("""COMPUTED_VALUE"""),"")</f>
        <v/>
      </c>
    </row>
    <row r="691" ht="15.75" customHeight="1">
      <c r="A691" t="str">
        <f>IFERROR(__xludf.DUMMYFUNCTION("""COMPUTED_VALUE"""),"")</f>
        <v/>
      </c>
      <c r="B691" t="str">
        <f>IFERROR(__xludf.DUMMYFUNCTION("""COMPUTED_VALUE"""),"")</f>
        <v/>
      </c>
      <c r="C691" t="str">
        <f>IFERROR(__xludf.DUMMYFUNCTION("""COMPUTED_VALUE"""),"")</f>
        <v/>
      </c>
      <c r="D691" t="str">
        <f>IFERROR(__xludf.DUMMYFUNCTION("""COMPUTED_VALUE"""),"")</f>
        <v/>
      </c>
      <c r="E691" t="str">
        <f>IFERROR(__xludf.DUMMYFUNCTION("""COMPUTED_VALUE"""),"")</f>
        <v/>
      </c>
      <c r="F691" t="str">
        <f>IFERROR(__xludf.DUMMYFUNCTION("""COMPUTED_VALUE"""),"")</f>
        <v/>
      </c>
      <c r="G691" t="str">
        <f>IFERROR(__xludf.DUMMYFUNCTION("""COMPUTED_VALUE"""),"")</f>
        <v/>
      </c>
      <c r="H691" t="str">
        <f>IFERROR(__xludf.DUMMYFUNCTION("""COMPUTED_VALUE"""),"")</f>
        <v/>
      </c>
      <c r="I691" t="str">
        <f>IFERROR(__xludf.DUMMYFUNCTION("""COMPUTED_VALUE"""),"")</f>
        <v/>
      </c>
      <c r="J691" t="str">
        <f>IFERROR(__xludf.DUMMYFUNCTION("""COMPUTED_VALUE"""),"")</f>
        <v/>
      </c>
      <c r="K691" t="str">
        <f>IFERROR(__xludf.DUMMYFUNCTION("""COMPUTED_VALUE"""),"")</f>
        <v/>
      </c>
      <c r="L691" t="str">
        <f>IFERROR(__xludf.DUMMYFUNCTION("""COMPUTED_VALUE"""),"")</f>
        <v/>
      </c>
    </row>
    <row r="692" ht="15.75" customHeight="1">
      <c r="A692" t="str">
        <f>IFERROR(__xludf.DUMMYFUNCTION("""COMPUTED_VALUE"""),"")</f>
        <v/>
      </c>
      <c r="B692" t="str">
        <f>IFERROR(__xludf.DUMMYFUNCTION("""COMPUTED_VALUE"""),"")</f>
        <v/>
      </c>
      <c r="C692" t="str">
        <f>IFERROR(__xludf.DUMMYFUNCTION("""COMPUTED_VALUE"""),"")</f>
        <v/>
      </c>
      <c r="D692" t="str">
        <f>IFERROR(__xludf.DUMMYFUNCTION("""COMPUTED_VALUE"""),"")</f>
        <v/>
      </c>
      <c r="E692" t="str">
        <f>IFERROR(__xludf.DUMMYFUNCTION("""COMPUTED_VALUE"""),"")</f>
        <v/>
      </c>
      <c r="F692" t="str">
        <f>IFERROR(__xludf.DUMMYFUNCTION("""COMPUTED_VALUE"""),"")</f>
        <v/>
      </c>
      <c r="G692" t="str">
        <f>IFERROR(__xludf.DUMMYFUNCTION("""COMPUTED_VALUE"""),"")</f>
        <v/>
      </c>
      <c r="H692" t="str">
        <f>IFERROR(__xludf.DUMMYFUNCTION("""COMPUTED_VALUE"""),"")</f>
        <v/>
      </c>
      <c r="I692" t="str">
        <f>IFERROR(__xludf.DUMMYFUNCTION("""COMPUTED_VALUE"""),"")</f>
        <v/>
      </c>
      <c r="J692" t="str">
        <f>IFERROR(__xludf.DUMMYFUNCTION("""COMPUTED_VALUE"""),"")</f>
        <v/>
      </c>
      <c r="K692" t="str">
        <f>IFERROR(__xludf.DUMMYFUNCTION("""COMPUTED_VALUE"""),"")</f>
        <v/>
      </c>
      <c r="L692" t="str">
        <f>IFERROR(__xludf.DUMMYFUNCTION("""COMPUTED_VALUE"""),"")</f>
        <v/>
      </c>
    </row>
    <row r="693" ht="15.75" customHeight="1">
      <c r="A693" t="str">
        <f>IFERROR(__xludf.DUMMYFUNCTION("""COMPUTED_VALUE"""),"")</f>
        <v/>
      </c>
      <c r="B693" t="str">
        <f>IFERROR(__xludf.DUMMYFUNCTION("""COMPUTED_VALUE"""),"")</f>
        <v/>
      </c>
      <c r="C693" t="str">
        <f>IFERROR(__xludf.DUMMYFUNCTION("""COMPUTED_VALUE"""),"")</f>
        <v/>
      </c>
      <c r="D693" t="str">
        <f>IFERROR(__xludf.DUMMYFUNCTION("""COMPUTED_VALUE"""),"")</f>
        <v/>
      </c>
      <c r="E693" t="str">
        <f>IFERROR(__xludf.DUMMYFUNCTION("""COMPUTED_VALUE"""),"")</f>
        <v/>
      </c>
      <c r="F693" t="str">
        <f>IFERROR(__xludf.DUMMYFUNCTION("""COMPUTED_VALUE"""),"")</f>
        <v/>
      </c>
      <c r="G693" t="str">
        <f>IFERROR(__xludf.DUMMYFUNCTION("""COMPUTED_VALUE"""),"")</f>
        <v/>
      </c>
      <c r="H693" t="str">
        <f>IFERROR(__xludf.DUMMYFUNCTION("""COMPUTED_VALUE"""),"")</f>
        <v/>
      </c>
      <c r="I693" t="str">
        <f>IFERROR(__xludf.DUMMYFUNCTION("""COMPUTED_VALUE"""),"")</f>
        <v/>
      </c>
      <c r="J693" t="str">
        <f>IFERROR(__xludf.DUMMYFUNCTION("""COMPUTED_VALUE"""),"")</f>
        <v/>
      </c>
      <c r="K693" t="str">
        <f>IFERROR(__xludf.DUMMYFUNCTION("""COMPUTED_VALUE"""),"")</f>
        <v/>
      </c>
      <c r="L693" t="str">
        <f>IFERROR(__xludf.DUMMYFUNCTION("""COMPUTED_VALUE"""),"")</f>
        <v/>
      </c>
    </row>
    <row r="694" ht="15.75" customHeight="1">
      <c r="A694" t="str">
        <f>IFERROR(__xludf.DUMMYFUNCTION("""COMPUTED_VALUE"""),"")</f>
        <v/>
      </c>
      <c r="B694" t="str">
        <f>IFERROR(__xludf.DUMMYFUNCTION("""COMPUTED_VALUE"""),"")</f>
        <v/>
      </c>
      <c r="C694" t="str">
        <f>IFERROR(__xludf.DUMMYFUNCTION("""COMPUTED_VALUE"""),"")</f>
        <v/>
      </c>
      <c r="D694" t="str">
        <f>IFERROR(__xludf.DUMMYFUNCTION("""COMPUTED_VALUE"""),"")</f>
        <v/>
      </c>
      <c r="E694" t="str">
        <f>IFERROR(__xludf.DUMMYFUNCTION("""COMPUTED_VALUE"""),"")</f>
        <v/>
      </c>
      <c r="F694" t="str">
        <f>IFERROR(__xludf.DUMMYFUNCTION("""COMPUTED_VALUE"""),"")</f>
        <v/>
      </c>
      <c r="G694" t="str">
        <f>IFERROR(__xludf.DUMMYFUNCTION("""COMPUTED_VALUE"""),"")</f>
        <v/>
      </c>
      <c r="H694" t="str">
        <f>IFERROR(__xludf.DUMMYFUNCTION("""COMPUTED_VALUE"""),"")</f>
        <v/>
      </c>
      <c r="I694" t="str">
        <f>IFERROR(__xludf.DUMMYFUNCTION("""COMPUTED_VALUE"""),"")</f>
        <v/>
      </c>
      <c r="J694" t="str">
        <f>IFERROR(__xludf.DUMMYFUNCTION("""COMPUTED_VALUE"""),"")</f>
        <v/>
      </c>
      <c r="K694" t="str">
        <f>IFERROR(__xludf.DUMMYFUNCTION("""COMPUTED_VALUE"""),"")</f>
        <v/>
      </c>
      <c r="L694" t="str">
        <f>IFERROR(__xludf.DUMMYFUNCTION("""COMPUTED_VALUE"""),"")</f>
        <v/>
      </c>
    </row>
    <row r="695" ht="15.75" customHeight="1">
      <c r="A695" t="str">
        <f>IFERROR(__xludf.DUMMYFUNCTION("""COMPUTED_VALUE"""),"")</f>
        <v/>
      </c>
      <c r="B695" t="str">
        <f>IFERROR(__xludf.DUMMYFUNCTION("""COMPUTED_VALUE"""),"")</f>
        <v/>
      </c>
      <c r="C695" t="str">
        <f>IFERROR(__xludf.DUMMYFUNCTION("""COMPUTED_VALUE"""),"")</f>
        <v/>
      </c>
      <c r="D695" t="str">
        <f>IFERROR(__xludf.DUMMYFUNCTION("""COMPUTED_VALUE"""),"")</f>
        <v/>
      </c>
      <c r="E695" t="str">
        <f>IFERROR(__xludf.DUMMYFUNCTION("""COMPUTED_VALUE"""),"")</f>
        <v/>
      </c>
      <c r="F695" t="str">
        <f>IFERROR(__xludf.DUMMYFUNCTION("""COMPUTED_VALUE"""),"")</f>
        <v/>
      </c>
      <c r="G695" t="str">
        <f>IFERROR(__xludf.DUMMYFUNCTION("""COMPUTED_VALUE"""),"")</f>
        <v/>
      </c>
      <c r="H695" t="str">
        <f>IFERROR(__xludf.DUMMYFUNCTION("""COMPUTED_VALUE"""),"")</f>
        <v/>
      </c>
      <c r="I695" t="str">
        <f>IFERROR(__xludf.DUMMYFUNCTION("""COMPUTED_VALUE"""),"")</f>
        <v/>
      </c>
      <c r="J695" t="str">
        <f>IFERROR(__xludf.DUMMYFUNCTION("""COMPUTED_VALUE"""),"")</f>
        <v/>
      </c>
      <c r="K695" t="str">
        <f>IFERROR(__xludf.DUMMYFUNCTION("""COMPUTED_VALUE"""),"")</f>
        <v/>
      </c>
      <c r="L695" t="str">
        <f>IFERROR(__xludf.DUMMYFUNCTION("""COMPUTED_VALUE"""),"")</f>
        <v/>
      </c>
    </row>
    <row r="696" ht="15.75" customHeight="1">
      <c r="A696" t="str">
        <f>IFERROR(__xludf.DUMMYFUNCTION("""COMPUTED_VALUE"""),"")</f>
        <v/>
      </c>
      <c r="B696" t="str">
        <f>IFERROR(__xludf.DUMMYFUNCTION("""COMPUTED_VALUE"""),"")</f>
        <v/>
      </c>
      <c r="C696" t="str">
        <f>IFERROR(__xludf.DUMMYFUNCTION("""COMPUTED_VALUE"""),"")</f>
        <v/>
      </c>
      <c r="D696" t="str">
        <f>IFERROR(__xludf.DUMMYFUNCTION("""COMPUTED_VALUE"""),"")</f>
        <v/>
      </c>
      <c r="E696" t="str">
        <f>IFERROR(__xludf.DUMMYFUNCTION("""COMPUTED_VALUE"""),"")</f>
        <v/>
      </c>
      <c r="F696" t="str">
        <f>IFERROR(__xludf.DUMMYFUNCTION("""COMPUTED_VALUE"""),"")</f>
        <v/>
      </c>
      <c r="G696" t="str">
        <f>IFERROR(__xludf.DUMMYFUNCTION("""COMPUTED_VALUE"""),"")</f>
        <v/>
      </c>
      <c r="H696" t="str">
        <f>IFERROR(__xludf.DUMMYFUNCTION("""COMPUTED_VALUE"""),"")</f>
        <v/>
      </c>
      <c r="I696" t="str">
        <f>IFERROR(__xludf.DUMMYFUNCTION("""COMPUTED_VALUE"""),"")</f>
        <v/>
      </c>
      <c r="J696" t="str">
        <f>IFERROR(__xludf.DUMMYFUNCTION("""COMPUTED_VALUE"""),"")</f>
        <v/>
      </c>
      <c r="K696" t="str">
        <f>IFERROR(__xludf.DUMMYFUNCTION("""COMPUTED_VALUE"""),"")</f>
        <v/>
      </c>
      <c r="L696" t="str">
        <f>IFERROR(__xludf.DUMMYFUNCTION("""COMPUTED_VALUE"""),"")</f>
        <v/>
      </c>
    </row>
    <row r="697" ht="15.75" customHeight="1">
      <c r="A697" t="str">
        <f>IFERROR(__xludf.DUMMYFUNCTION("""COMPUTED_VALUE"""),"")</f>
        <v/>
      </c>
      <c r="B697" t="str">
        <f>IFERROR(__xludf.DUMMYFUNCTION("""COMPUTED_VALUE"""),"")</f>
        <v/>
      </c>
      <c r="C697" t="str">
        <f>IFERROR(__xludf.DUMMYFUNCTION("""COMPUTED_VALUE"""),"")</f>
        <v/>
      </c>
      <c r="D697" t="str">
        <f>IFERROR(__xludf.DUMMYFUNCTION("""COMPUTED_VALUE"""),"")</f>
        <v/>
      </c>
      <c r="E697" t="str">
        <f>IFERROR(__xludf.DUMMYFUNCTION("""COMPUTED_VALUE"""),"")</f>
        <v/>
      </c>
      <c r="F697" t="str">
        <f>IFERROR(__xludf.DUMMYFUNCTION("""COMPUTED_VALUE"""),"")</f>
        <v/>
      </c>
      <c r="G697" t="str">
        <f>IFERROR(__xludf.DUMMYFUNCTION("""COMPUTED_VALUE"""),"")</f>
        <v/>
      </c>
      <c r="H697" t="str">
        <f>IFERROR(__xludf.DUMMYFUNCTION("""COMPUTED_VALUE"""),"")</f>
        <v/>
      </c>
      <c r="I697" t="str">
        <f>IFERROR(__xludf.DUMMYFUNCTION("""COMPUTED_VALUE"""),"")</f>
        <v/>
      </c>
      <c r="J697" t="str">
        <f>IFERROR(__xludf.DUMMYFUNCTION("""COMPUTED_VALUE"""),"")</f>
        <v/>
      </c>
      <c r="K697" t="str">
        <f>IFERROR(__xludf.DUMMYFUNCTION("""COMPUTED_VALUE"""),"")</f>
        <v/>
      </c>
      <c r="L697" t="str">
        <f>IFERROR(__xludf.DUMMYFUNCTION("""COMPUTED_VALUE"""),"")</f>
        <v/>
      </c>
    </row>
    <row r="698" ht="15.75" customHeight="1">
      <c r="A698" t="str">
        <f>IFERROR(__xludf.DUMMYFUNCTION("""COMPUTED_VALUE"""),"")</f>
        <v/>
      </c>
      <c r="B698" t="str">
        <f>IFERROR(__xludf.DUMMYFUNCTION("""COMPUTED_VALUE"""),"")</f>
        <v/>
      </c>
      <c r="C698" t="str">
        <f>IFERROR(__xludf.DUMMYFUNCTION("""COMPUTED_VALUE"""),"")</f>
        <v/>
      </c>
      <c r="D698" t="str">
        <f>IFERROR(__xludf.DUMMYFUNCTION("""COMPUTED_VALUE"""),"")</f>
        <v/>
      </c>
      <c r="E698" t="str">
        <f>IFERROR(__xludf.DUMMYFUNCTION("""COMPUTED_VALUE"""),"")</f>
        <v/>
      </c>
      <c r="F698" t="str">
        <f>IFERROR(__xludf.DUMMYFUNCTION("""COMPUTED_VALUE"""),"")</f>
        <v/>
      </c>
      <c r="G698" t="str">
        <f>IFERROR(__xludf.DUMMYFUNCTION("""COMPUTED_VALUE"""),"")</f>
        <v/>
      </c>
      <c r="H698" t="str">
        <f>IFERROR(__xludf.DUMMYFUNCTION("""COMPUTED_VALUE"""),"")</f>
        <v/>
      </c>
      <c r="I698" t="str">
        <f>IFERROR(__xludf.DUMMYFUNCTION("""COMPUTED_VALUE"""),"")</f>
        <v/>
      </c>
      <c r="J698" t="str">
        <f>IFERROR(__xludf.DUMMYFUNCTION("""COMPUTED_VALUE"""),"")</f>
        <v/>
      </c>
      <c r="K698" t="str">
        <f>IFERROR(__xludf.DUMMYFUNCTION("""COMPUTED_VALUE"""),"")</f>
        <v/>
      </c>
      <c r="L698" t="str">
        <f>IFERROR(__xludf.DUMMYFUNCTION("""COMPUTED_VALUE"""),"")</f>
        <v/>
      </c>
    </row>
    <row r="699" ht="15.75" customHeight="1">
      <c r="A699" t="str">
        <f>IFERROR(__xludf.DUMMYFUNCTION("""COMPUTED_VALUE"""),"")</f>
        <v/>
      </c>
      <c r="B699" t="str">
        <f>IFERROR(__xludf.DUMMYFUNCTION("""COMPUTED_VALUE"""),"")</f>
        <v/>
      </c>
      <c r="C699" t="str">
        <f>IFERROR(__xludf.DUMMYFUNCTION("""COMPUTED_VALUE"""),"")</f>
        <v/>
      </c>
      <c r="D699" t="str">
        <f>IFERROR(__xludf.DUMMYFUNCTION("""COMPUTED_VALUE"""),"")</f>
        <v/>
      </c>
      <c r="E699" t="str">
        <f>IFERROR(__xludf.DUMMYFUNCTION("""COMPUTED_VALUE"""),"")</f>
        <v/>
      </c>
      <c r="F699" t="str">
        <f>IFERROR(__xludf.DUMMYFUNCTION("""COMPUTED_VALUE"""),"")</f>
        <v/>
      </c>
      <c r="G699" t="str">
        <f>IFERROR(__xludf.DUMMYFUNCTION("""COMPUTED_VALUE"""),"")</f>
        <v/>
      </c>
      <c r="H699" t="str">
        <f>IFERROR(__xludf.DUMMYFUNCTION("""COMPUTED_VALUE"""),"")</f>
        <v/>
      </c>
      <c r="I699" t="str">
        <f>IFERROR(__xludf.DUMMYFUNCTION("""COMPUTED_VALUE"""),"")</f>
        <v/>
      </c>
      <c r="J699" t="str">
        <f>IFERROR(__xludf.DUMMYFUNCTION("""COMPUTED_VALUE"""),"")</f>
        <v/>
      </c>
      <c r="K699" t="str">
        <f>IFERROR(__xludf.DUMMYFUNCTION("""COMPUTED_VALUE"""),"")</f>
        <v/>
      </c>
      <c r="L699" t="str">
        <f>IFERROR(__xludf.DUMMYFUNCTION("""COMPUTED_VALUE"""),"")</f>
        <v/>
      </c>
    </row>
    <row r="700" ht="15.75" customHeight="1">
      <c r="A700" t="str">
        <f>IFERROR(__xludf.DUMMYFUNCTION("""COMPUTED_VALUE"""),"")</f>
        <v/>
      </c>
      <c r="B700" t="str">
        <f>IFERROR(__xludf.DUMMYFUNCTION("""COMPUTED_VALUE"""),"")</f>
        <v/>
      </c>
      <c r="C700" t="str">
        <f>IFERROR(__xludf.DUMMYFUNCTION("""COMPUTED_VALUE"""),"")</f>
        <v/>
      </c>
      <c r="D700" t="str">
        <f>IFERROR(__xludf.DUMMYFUNCTION("""COMPUTED_VALUE"""),"")</f>
        <v/>
      </c>
      <c r="E700" t="str">
        <f>IFERROR(__xludf.DUMMYFUNCTION("""COMPUTED_VALUE"""),"")</f>
        <v/>
      </c>
      <c r="F700" t="str">
        <f>IFERROR(__xludf.DUMMYFUNCTION("""COMPUTED_VALUE"""),"")</f>
        <v/>
      </c>
      <c r="G700" t="str">
        <f>IFERROR(__xludf.DUMMYFUNCTION("""COMPUTED_VALUE"""),"")</f>
        <v/>
      </c>
      <c r="H700" t="str">
        <f>IFERROR(__xludf.DUMMYFUNCTION("""COMPUTED_VALUE"""),"")</f>
        <v/>
      </c>
      <c r="I700" t="str">
        <f>IFERROR(__xludf.DUMMYFUNCTION("""COMPUTED_VALUE"""),"")</f>
        <v/>
      </c>
      <c r="J700" t="str">
        <f>IFERROR(__xludf.DUMMYFUNCTION("""COMPUTED_VALUE"""),"")</f>
        <v/>
      </c>
      <c r="K700" t="str">
        <f>IFERROR(__xludf.DUMMYFUNCTION("""COMPUTED_VALUE"""),"")</f>
        <v/>
      </c>
      <c r="L700" t="str">
        <f>IFERROR(__xludf.DUMMYFUNCTION("""COMPUTED_VALUE"""),"")</f>
        <v/>
      </c>
    </row>
    <row r="701" ht="15.75" customHeight="1">
      <c r="A701" t="str">
        <f>IFERROR(__xludf.DUMMYFUNCTION("""COMPUTED_VALUE"""),"")</f>
        <v/>
      </c>
      <c r="B701" t="str">
        <f>IFERROR(__xludf.DUMMYFUNCTION("""COMPUTED_VALUE"""),"")</f>
        <v/>
      </c>
      <c r="C701" t="str">
        <f>IFERROR(__xludf.DUMMYFUNCTION("""COMPUTED_VALUE"""),"")</f>
        <v/>
      </c>
      <c r="D701" t="str">
        <f>IFERROR(__xludf.DUMMYFUNCTION("""COMPUTED_VALUE"""),"")</f>
        <v/>
      </c>
      <c r="E701" t="str">
        <f>IFERROR(__xludf.DUMMYFUNCTION("""COMPUTED_VALUE"""),"")</f>
        <v/>
      </c>
      <c r="F701" t="str">
        <f>IFERROR(__xludf.DUMMYFUNCTION("""COMPUTED_VALUE"""),"")</f>
        <v/>
      </c>
      <c r="G701" t="str">
        <f>IFERROR(__xludf.DUMMYFUNCTION("""COMPUTED_VALUE"""),"")</f>
        <v/>
      </c>
      <c r="H701" t="str">
        <f>IFERROR(__xludf.DUMMYFUNCTION("""COMPUTED_VALUE"""),"")</f>
        <v/>
      </c>
      <c r="I701" t="str">
        <f>IFERROR(__xludf.DUMMYFUNCTION("""COMPUTED_VALUE"""),"")</f>
        <v/>
      </c>
      <c r="J701" t="str">
        <f>IFERROR(__xludf.DUMMYFUNCTION("""COMPUTED_VALUE"""),"")</f>
        <v/>
      </c>
      <c r="K701" t="str">
        <f>IFERROR(__xludf.DUMMYFUNCTION("""COMPUTED_VALUE"""),"")</f>
        <v/>
      </c>
      <c r="L701" t="str">
        <f>IFERROR(__xludf.DUMMYFUNCTION("""COMPUTED_VALUE"""),"")</f>
        <v/>
      </c>
    </row>
    <row r="702" ht="15.75" customHeight="1">
      <c r="A702" t="str">
        <f>IFERROR(__xludf.DUMMYFUNCTION("""COMPUTED_VALUE"""),"")</f>
        <v/>
      </c>
      <c r="B702" t="str">
        <f>IFERROR(__xludf.DUMMYFUNCTION("""COMPUTED_VALUE"""),"")</f>
        <v/>
      </c>
      <c r="C702" t="str">
        <f>IFERROR(__xludf.DUMMYFUNCTION("""COMPUTED_VALUE"""),"")</f>
        <v/>
      </c>
      <c r="D702" t="str">
        <f>IFERROR(__xludf.DUMMYFUNCTION("""COMPUTED_VALUE"""),"")</f>
        <v/>
      </c>
      <c r="E702" t="str">
        <f>IFERROR(__xludf.DUMMYFUNCTION("""COMPUTED_VALUE"""),"")</f>
        <v/>
      </c>
      <c r="F702" t="str">
        <f>IFERROR(__xludf.DUMMYFUNCTION("""COMPUTED_VALUE"""),"")</f>
        <v/>
      </c>
      <c r="G702" t="str">
        <f>IFERROR(__xludf.DUMMYFUNCTION("""COMPUTED_VALUE"""),"")</f>
        <v/>
      </c>
      <c r="H702" t="str">
        <f>IFERROR(__xludf.DUMMYFUNCTION("""COMPUTED_VALUE"""),"")</f>
        <v/>
      </c>
      <c r="I702" t="str">
        <f>IFERROR(__xludf.DUMMYFUNCTION("""COMPUTED_VALUE"""),"")</f>
        <v/>
      </c>
      <c r="J702" t="str">
        <f>IFERROR(__xludf.DUMMYFUNCTION("""COMPUTED_VALUE"""),"")</f>
        <v/>
      </c>
      <c r="K702" t="str">
        <f>IFERROR(__xludf.DUMMYFUNCTION("""COMPUTED_VALUE"""),"")</f>
        <v/>
      </c>
      <c r="L702" t="str">
        <f>IFERROR(__xludf.DUMMYFUNCTION("""COMPUTED_VALUE"""),"")</f>
        <v/>
      </c>
    </row>
    <row r="703" ht="15.75" customHeight="1">
      <c r="A703" t="str">
        <f>IFERROR(__xludf.DUMMYFUNCTION("""COMPUTED_VALUE"""),"")</f>
        <v/>
      </c>
      <c r="B703" t="str">
        <f>IFERROR(__xludf.DUMMYFUNCTION("""COMPUTED_VALUE"""),"")</f>
        <v/>
      </c>
      <c r="C703" t="str">
        <f>IFERROR(__xludf.DUMMYFUNCTION("""COMPUTED_VALUE"""),"")</f>
        <v/>
      </c>
      <c r="D703" t="str">
        <f>IFERROR(__xludf.DUMMYFUNCTION("""COMPUTED_VALUE"""),"")</f>
        <v/>
      </c>
      <c r="E703" t="str">
        <f>IFERROR(__xludf.DUMMYFUNCTION("""COMPUTED_VALUE"""),"")</f>
        <v/>
      </c>
      <c r="F703" t="str">
        <f>IFERROR(__xludf.DUMMYFUNCTION("""COMPUTED_VALUE"""),"")</f>
        <v/>
      </c>
      <c r="G703" t="str">
        <f>IFERROR(__xludf.DUMMYFUNCTION("""COMPUTED_VALUE"""),"")</f>
        <v/>
      </c>
      <c r="H703" t="str">
        <f>IFERROR(__xludf.DUMMYFUNCTION("""COMPUTED_VALUE"""),"")</f>
        <v/>
      </c>
      <c r="I703" t="str">
        <f>IFERROR(__xludf.DUMMYFUNCTION("""COMPUTED_VALUE"""),"")</f>
        <v/>
      </c>
      <c r="J703" t="str">
        <f>IFERROR(__xludf.DUMMYFUNCTION("""COMPUTED_VALUE"""),"")</f>
        <v/>
      </c>
      <c r="K703" t="str">
        <f>IFERROR(__xludf.DUMMYFUNCTION("""COMPUTED_VALUE"""),"")</f>
        <v/>
      </c>
      <c r="L703" t="str">
        <f>IFERROR(__xludf.DUMMYFUNCTION("""COMPUTED_VALUE"""),"")</f>
        <v/>
      </c>
    </row>
    <row r="704" ht="15.75" customHeight="1">
      <c r="A704" t="str">
        <f>IFERROR(__xludf.DUMMYFUNCTION("""COMPUTED_VALUE"""),"")</f>
        <v/>
      </c>
      <c r="B704" t="str">
        <f>IFERROR(__xludf.DUMMYFUNCTION("""COMPUTED_VALUE"""),"")</f>
        <v/>
      </c>
      <c r="C704" t="str">
        <f>IFERROR(__xludf.DUMMYFUNCTION("""COMPUTED_VALUE"""),"")</f>
        <v/>
      </c>
      <c r="D704" t="str">
        <f>IFERROR(__xludf.DUMMYFUNCTION("""COMPUTED_VALUE"""),"")</f>
        <v/>
      </c>
      <c r="E704" t="str">
        <f>IFERROR(__xludf.DUMMYFUNCTION("""COMPUTED_VALUE"""),"")</f>
        <v/>
      </c>
      <c r="F704" t="str">
        <f>IFERROR(__xludf.DUMMYFUNCTION("""COMPUTED_VALUE"""),"")</f>
        <v/>
      </c>
      <c r="G704" t="str">
        <f>IFERROR(__xludf.DUMMYFUNCTION("""COMPUTED_VALUE"""),"")</f>
        <v/>
      </c>
      <c r="H704" t="str">
        <f>IFERROR(__xludf.DUMMYFUNCTION("""COMPUTED_VALUE"""),"")</f>
        <v/>
      </c>
      <c r="I704" t="str">
        <f>IFERROR(__xludf.DUMMYFUNCTION("""COMPUTED_VALUE"""),"")</f>
        <v/>
      </c>
      <c r="J704" t="str">
        <f>IFERROR(__xludf.DUMMYFUNCTION("""COMPUTED_VALUE"""),"")</f>
        <v/>
      </c>
      <c r="K704" t="str">
        <f>IFERROR(__xludf.DUMMYFUNCTION("""COMPUTED_VALUE"""),"")</f>
        <v/>
      </c>
      <c r="L704" t="str">
        <f>IFERROR(__xludf.DUMMYFUNCTION("""COMPUTED_VALUE"""),"")</f>
        <v/>
      </c>
    </row>
    <row r="705" ht="15.75" customHeight="1">
      <c r="A705" t="str">
        <f>IFERROR(__xludf.DUMMYFUNCTION("""COMPUTED_VALUE"""),"")</f>
        <v/>
      </c>
      <c r="B705" t="str">
        <f>IFERROR(__xludf.DUMMYFUNCTION("""COMPUTED_VALUE"""),"")</f>
        <v/>
      </c>
      <c r="C705" t="str">
        <f>IFERROR(__xludf.DUMMYFUNCTION("""COMPUTED_VALUE"""),"")</f>
        <v/>
      </c>
      <c r="D705" t="str">
        <f>IFERROR(__xludf.DUMMYFUNCTION("""COMPUTED_VALUE"""),"")</f>
        <v/>
      </c>
      <c r="E705" t="str">
        <f>IFERROR(__xludf.DUMMYFUNCTION("""COMPUTED_VALUE"""),"")</f>
        <v/>
      </c>
      <c r="F705" t="str">
        <f>IFERROR(__xludf.DUMMYFUNCTION("""COMPUTED_VALUE"""),"")</f>
        <v/>
      </c>
      <c r="G705" t="str">
        <f>IFERROR(__xludf.DUMMYFUNCTION("""COMPUTED_VALUE"""),"")</f>
        <v/>
      </c>
      <c r="H705" t="str">
        <f>IFERROR(__xludf.DUMMYFUNCTION("""COMPUTED_VALUE"""),"")</f>
        <v/>
      </c>
      <c r="I705" t="str">
        <f>IFERROR(__xludf.DUMMYFUNCTION("""COMPUTED_VALUE"""),"")</f>
        <v/>
      </c>
      <c r="J705" t="str">
        <f>IFERROR(__xludf.DUMMYFUNCTION("""COMPUTED_VALUE"""),"")</f>
        <v/>
      </c>
      <c r="K705" t="str">
        <f>IFERROR(__xludf.DUMMYFUNCTION("""COMPUTED_VALUE"""),"")</f>
        <v/>
      </c>
      <c r="L705" t="str">
        <f>IFERROR(__xludf.DUMMYFUNCTION("""COMPUTED_VALUE"""),"")</f>
        <v/>
      </c>
    </row>
    <row r="706" ht="15.75" customHeight="1">
      <c r="A706" t="str">
        <f>IFERROR(__xludf.DUMMYFUNCTION("""COMPUTED_VALUE"""),"")</f>
        <v/>
      </c>
      <c r="B706" t="str">
        <f>IFERROR(__xludf.DUMMYFUNCTION("""COMPUTED_VALUE"""),"")</f>
        <v/>
      </c>
      <c r="C706" t="str">
        <f>IFERROR(__xludf.DUMMYFUNCTION("""COMPUTED_VALUE"""),"")</f>
        <v/>
      </c>
      <c r="D706" t="str">
        <f>IFERROR(__xludf.DUMMYFUNCTION("""COMPUTED_VALUE"""),"")</f>
        <v/>
      </c>
      <c r="E706" t="str">
        <f>IFERROR(__xludf.DUMMYFUNCTION("""COMPUTED_VALUE"""),"")</f>
        <v/>
      </c>
      <c r="F706" t="str">
        <f>IFERROR(__xludf.DUMMYFUNCTION("""COMPUTED_VALUE"""),"")</f>
        <v/>
      </c>
      <c r="G706" t="str">
        <f>IFERROR(__xludf.DUMMYFUNCTION("""COMPUTED_VALUE"""),"")</f>
        <v/>
      </c>
      <c r="H706" t="str">
        <f>IFERROR(__xludf.DUMMYFUNCTION("""COMPUTED_VALUE"""),"")</f>
        <v/>
      </c>
      <c r="I706" t="str">
        <f>IFERROR(__xludf.DUMMYFUNCTION("""COMPUTED_VALUE"""),"")</f>
        <v/>
      </c>
      <c r="J706" t="str">
        <f>IFERROR(__xludf.DUMMYFUNCTION("""COMPUTED_VALUE"""),"")</f>
        <v/>
      </c>
      <c r="K706" t="str">
        <f>IFERROR(__xludf.DUMMYFUNCTION("""COMPUTED_VALUE"""),"")</f>
        <v/>
      </c>
      <c r="L706" t="str">
        <f>IFERROR(__xludf.DUMMYFUNCTION("""COMPUTED_VALUE"""),"")</f>
        <v/>
      </c>
    </row>
    <row r="707" ht="15.75" customHeight="1">
      <c r="A707" t="str">
        <f>IFERROR(__xludf.DUMMYFUNCTION("""COMPUTED_VALUE"""),"")</f>
        <v/>
      </c>
      <c r="B707" t="str">
        <f>IFERROR(__xludf.DUMMYFUNCTION("""COMPUTED_VALUE"""),"")</f>
        <v/>
      </c>
      <c r="C707" t="str">
        <f>IFERROR(__xludf.DUMMYFUNCTION("""COMPUTED_VALUE"""),"")</f>
        <v/>
      </c>
      <c r="D707" t="str">
        <f>IFERROR(__xludf.DUMMYFUNCTION("""COMPUTED_VALUE"""),"")</f>
        <v/>
      </c>
      <c r="E707" t="str">
        <f>IFERROR(__xludf.DUMMYFUNCTION("""COMPUTED_VALUE"""),"")</f>
        <v/>
      </c>
      <c r="F707" t="str">
        <f>IFERROR(__xludf.DUMMYFUNCTION("""COMPUTED_VALUE"""),"")</f>
        <v/>
      </c>
      <c r="G707" t="str">
        <f>IFERROR(__xludf.DUMMYFUNCTION("""COMPUTED_VALUE"""),"")</f>
        <v/>
      </c>
      <c r="H707" t="str">
        <f>IFERROR(__xludf.DUMMYFUNCTION("""COMPUTED_VALUE"""),"")</f>
        <v/>
      </c>
      <c r="I707" t="str">
        <f>IFERROR(__xludf.DUMMYFUNCTION("""COMPUTED_VALUE"""),"")</f>
        <v/>
      </c>
      <c r="J707" t="str">
        <f>IFERROR(__xludf.DUMMYFUNCTION("""COMPUTED_VALUE"""),"")</f>
        <v/>
      </c>
      <c r="K707" t="str">
        <f>IFERROR(__xludf.DUMMYFUNCTION("""COMPUTED_VALUE"""),"")</f>
        <v/>
      </c>
      <c r="L707" t="str">
        <f>IFERROR(__xludf.DUMMYFUNCTION("""COMPUTED_VALUE"""),"")</f>
        <v/>
      </c>
    </row>
    <row r="708" ht="15.75" customHeight="1">
      <c r="A708" t="str">
        <f>IFERROR(__xludf.DUMMYFUNCTION("""COMPUTED_VALUE"""),"")</f>
        <v/>
      </c>
      <c r="B708" t="str">
        <f>IFERROR(__xludf.DUMMYFUNCTION("""COMPUTED_VALUE"""),"")</f>
        <v/>
      </c>
      <c r="C708" t="str">
        <f>IFERROR(__xludf.DUMMYFUNCTION("""COMPUTED_VALUE"""),"")</f>
        <v/>
      </c>
      <c r="D708" t="str">
        <f>IFERROR(__xludf.DUMMYFUNCTION("""COMPUTED_VALUE"""),"")</f>
        <v/>
      </c>
      <c r="E708" t="str">
        <f>IFERROR(__xludf.DUMMYFUNCTION("""COMPUTED_VALUE"""),"")</f>
        <v/>
      </c>
      <c r="F708" t="str">
        <f>IFERROR(__xludf.DUMMYFUNCTION("""COMPUTED_VALUE"""),"")</f>
        <v/>
      </c>
      <c r="G708" t="str">
        <f>IFERROR(__xludf.DUMMYFUNCTION("""COMPUTED_VALUE"""),"")</f>
        <v/>
      </c>
      <c r="H708" t="str">
        <f>IFERROR(__xludf.DUMMYFUNCTION("""COMPUTED_VALUE"""),"")</f>
        <v/>
      </c>
      <c r="I708" t="str">
        <f>IFERROR(__xludf.DUMMYFUNCTION("""COMPUTED_VALUE"""),"")</f>
        <v/>
      </c>
      <c r="J708" t="str">
        <f>IFERROR(__xludf.DUMMYFUNCTION("""COMPUTED_VALUE"""),"")</f>
        <v/>
      </c>
      <c r="K708" t="str">
        <f>IFERROR(__xludf.DUMMYFUNCTION("""COMPUTED_VALUE"""),"")</f>
        <v/>
      </c>
      <c r="L708" t="str">
        <f>IFERROR(__xludf.DUMMYFUNCTION("""COMPUTED_VALUE"""),"")</f>
        <v/>
      </c>
    </row>
    <row r="709" ht="15.75" customHeight="1">
      <c r="A709" t="str">
        <f>IFERROR(__xludf.DUMMYFUNCTION("""COMPUTED_VALUE"""),"")</f>
        <v/>
      </c>
      <c r="B709" t="str">
        <f>IFERROR(__xludf.DUMMYFUNCTION("""COMPUTED_VALUE"""),"")</f>
        <v/>
      </c>
      <c r="C709" t="str">
        <f>IFERROR(__xludf.DUMMYFUNCTION("""COMPUTED_VALUE"""),"")</f>
        <v/>
      </c>
      <c r="D709" t="str">
        <f>IFERROR(__xludf.DUMMYFUNCTION("""COMPUTED_VALUE"""),"")</f>
        <v/>
      </c>
      <c r="E709" t="str">
        <f>IFERROR(__xludf.DUMMYFUNCTION("""COMPUTED_VALUE"""),"")</f>
        <v/>
      </c>
      <c r="F709" t="str">
        <f>IFERROR(__xludf.DUMMYFUNCTION("""COMPUTED_VALUE"""),"")</f>
        <v/>
      </c>
      <c r="G709" t="str">
        <f>IFERROR(__xludf.DUMMYFUNCTION("""COMPUTED_VALUE"""),"")</f>
        <v/>
      </c>
      <c r="H709" t="str">
        <f>IFERROR(__xludf.DUMMYFUNCTION("""COMPUTED_VALUE"""),"")</f>
        <v/>
      </c>
      <c r="I709" t="str">
        <f>IFERROR(__xludf.DUMMYFUNCTION("""COMPUTED_VALUE"""),"")</f>
        <v/>
      </c>
      <c r="J709" t="str">
        <f>IFERROR(__xludf.DUMMYFUNCTION("""COMPUTED_VALUE"""),"")</f>
        <v/>
      </c>
      <c r="K709" t="str">
        <f>IFERROR(__xludf.DUMMYFUNCTION("""COMPUTED_VALUE"""),"")</f>
        <v/>
      </c>
      <c r="L709" t="str">
        <f>IFERROR(__xludf.DUMMYFUNCTION("""COMPUTED_VALUE"""),"")</f>
        <v/>
      </c>
    </row>
    <row r="710" ht="15.75" customHeight="1">
      <c r="A710" t="str">
        <f>IFERROR(__xludf.DUMMYFUNCTION("""COMPUTED_VALUE"""),"")</f>
        <v/>
      </c>
      <c r="B710" t="str">
        <f>IFERROR(__xludf.DUMMYFUNCTION("""COMPUTED_VALUE"""),"")</f>
        <v/>
      </c>
      <c r="C710" t="str">
        <f>IFERROR(__xludf.DUMMYFUNCTION("""COMPUTED_VALUE"""),"")</f>
        <v/>
      </c>
      <c r="D710" t="str">
        <f>IFERROR(__xludf.DUMMYFUNCTION("""COMPUTED_VALUE"""),"")</f>
        <v/>
      </c>
      <c r="E710" t="str">
        <f>IFERROR(__xludf.DUMMYFUNCTION("""COMPUTED_VALUE"""),"")</f>
        <v/>
      </c>
      <c r="F710" t="str">
        <f>IFERROR(__xludf.DUMMYFUNCTION("""COMPUTED_VALUE"""),"")</f>
        <v/>
      </c>
      <c r="G710" t="str">
        <f>IFERROR(__xludf.DUMMYFUNCTION("""COMPUTED_VALUE"""),"")</f>
        <v/>
      </c>
      <c r="H710" t="str">
        <f>IFERROR(__xludf.DUMMYFUNCTION("""COMPUTED_VALUE"""),"")</f>
        <v/>
      </c>
      <c r="I710" t="str">
        <f>IFERROR(__xludf.DUMMYFUNCTION("""COMPUTED_VALUE"""),"")</f>
        <v/>
      </c>
      <c r="J710" t="str">
        <f>IFERROR(__xludf.DUMMYFUNCTION("""COMPUTED_VALUE"""),"")</f>
        <v/>
      </c>
      <c r="K710" t="str">
        <f>IFERROR(__xludf.DUMMYFUNCTION("""COMPUTED_VALUE"""),"")</f>
        <v/>
      </c>
      <c r="L710" t="str">
        <f>IFERROR(__xludf.DUMMYFUNCTION("""COMPUTED_VALUE"""),"")</f>
        <v/>
      </c>
    </row>
    <row r="711" ht="15.75" customHeight="1">
      <c r="A711" t="str">
        <f>IFERROR(__xludf.DUMMYFUNCTION("""COMPUTED_VALUE"""),"")</f>
        <v/>
      </c>
      <c r="B711" t="str">
        <f>IFERROR(__xludf.DUMMYFUNCTION("""COMPUTED_VALUE"""),"")</f>
        <v/>
      </c>
      <c r="C711" t="str">
        <f>IFERROR(__xludf.DUMMYFUNCTION("""COMPUTED_VALUE"""),"")</f>
        <v/>
      </c>
      <c r="D711" t="str">
        <f>IFERROR(__xludf.DUMMYFUNCTION("""COMPUTED_VALUE"""),"")</f>
        <v/>
      </c>
      <c r="E711" t="str">
        <f>IFERROR(__xludf.DUMMYFUNCTION("""COMPUTED_VALUE"""),"")</f>
        <v/>
      </c>
      <c r="F711" t="str">
        <f>IFERROR(__xludf.DUMMYFUNCTION("""COMPUTED_VALUE"""),"")</f>
        <v/>
      </c>
      <c r="G711" t="str">
        <f>IFERROR(__xludf.DUMMYFUNCTION("""COMPUTED_VALUE"""),"")</f>
        <v/>
      </c>
      <c r="H711" t="str">
        <f>IFERROR(__xludf.DUMMYFUNCTION("""COMPUTED_VALUE"""),"")</f>
        <v/>
      </c>
      <c r="I711" t="str">
        <f>IFERROR(__xludf.DUMMYFUNCTION("""COMPUTED_VALUE"""),"")</f>
        <v/>
      </c>
      <c r="J711" t="str">
        <f>IFERROR(__xludf.DUMMYFUNCTION("""COMPUTED_VALUE"""),"")</f>
        <v/>
      </c>
      <c r="K711" t="str">
        <f>IFERROR(__xludf.DUMMYFUNCTION("""COMPUTED_VALUE"""),"")</f>
        <v/>
      </c>
      <c r="L711" t="str">
        <f>IFERROR(__xludf.DUMMYFUNCTION("""COMPUTED_VALUE"""),"")</f>
        <v/>
      </c>
    </row>
    <row r="712" ht="15.75" customHeight="1">
      <c r="A712" t="str">
        <f>IFERROR(__xludf.DUMMYFUNCTION("""COMPUTED_VALUE"""),"")</f>
        <v/>
      </c>
      <c r="B712" t="str">
        <f>IFERROR(__xludf.DUMMYFUNCTION("""COMPUTED_VALUE"""),"")</f>
        <v/>
      </c>
      <c r="C712" t="str">
        <f>IFERROR(__xludf.DUMMYFUNCTION("""COMPUTED_VALUE"""),"")</f>
        <v/>
      </c>
      <c r="D712" t="str">
        <f>IFERROR(__xludf.DUMMYFUNCTION("""COMPUTED_VALUE"""),"")</f>
        <v/>
      </c>
      <c r="E712" t="str">
        <f>IFERROR(__xludf.DUMMYFUNCTION("""COMPUTED_VALUE"""),"")</f>
        <v/>
      </c>
      <c r="F712" t="str">
        <f>IFERROR(__xludf.DUMMYFUNCTION("""COMPUTED_VALUE"""),"")</f>
        <v/>
      </c>
      <c r="G712" t="str">
        <f>IFERROR(__xludf.DUMMYFUNCTION("""COMPUTED_VALUE"""),"")</f>
        <v/>
      </c>
      <c r="H712" t="str">
        <f>IFERROR(__xludf.DUMMYFUNCTION("""COMPUTED_VALUE"""),"")</f>
        <v/>
      </c>
      <c r="I712" t="str">
        <f>IFERROR(__xludf.DUMMYFUNCTION("""COMPUTED_VALUE"""),"")</f>
        <v/>
      </c>
      <c r="J712" t="str">
        <f>IFERROR(__xludf.DUMMYFUNCTION("""COMPUTED_VALUE"""),"")</f>
        <v/>
      </c>
      <c r="K712" t="str">
        <f>IFERROR(__xludf.DUMMYFUNCTION("""COMPUTED_VALUE"""),"")</f>
        <v/>
      </c>
      <c r="L712" t="str">
        <f>IFERROR(__xludf.DUMMYFUNCTION("""COMPUTED_VALUE"""),"")</f>
        <v/>
      </c>
    </row>
    <row r="713" ht="15.75" customHeight="1">
      <c r="A713" t="str">
        <f>IFERROR(__xludf.DUMMYFUNCTION("""COMPUTED_VALUE"""),"")</f>
        <v/>
      </c>
      <c r="B713" t="str">
        <f>IFERROR(__xludf.DUMMYFUNCTION("""COMPUTED_VALUE"""),"")</f>
        <v/>
      </c>
      <c r="C713" t="str">
        <f>IFERROR(__xludf.DUMMYFUNCTION("""COMPUTED_VALUE"""),"")</f>
        <v/>
      </c>
      <c r="D713" t="str">
        <f>IFERROR(__xludf.DUMMYFUNCTION("""COMPUTED_VALUE"""),"")</f>
        <v/>
      </c>
      <c r="E713" t="str">
        <f>IFERROR(__xludf.DUMMYFUNCTION("""COMPUTED_VALUE"""),"")</f>
        <v/>
      </c>
      <c r="F713" t="str">
        <f>IFERROR(__xludf.DUMMYFUNCTION("""COMPUTED_VALUE"""),"")</f>
        <v/>
      </c>
      <c r="G713" t="str">
        <f>IFERROR(__xludf.DUMMYFUNCTION("""COMPUTED_VALUE"""),"")</f>
        <v/>
      </c>
      <c r="H713" t="str">
        <f>IFERROR(__xludf.DUMMYFUNCTION("""COMPUTED_VALUE"""),"")</f>
        <v/>
      </c>
      <c r="I713" t="str">
        <f>IFERROR(__xludf.DUMMYFUNCTION("""COMPUTED_VALUE"""),"")</f>
        <v/>
      </c>
      <c r="J713" t="str">
        <f>IFERROR(__xludf.DUMMYFUNCTION("""COMPUTED_VALUE"""),"")</f>
        <v/>
      </c>
      <c r="K713" t="str">
        <f>IFERROR(__xludf.DUMMYFUNCTION("""COMPUTED_VALUE"""),"")</f>
        <v/>
      </c>
      <c r="L713" t="str">
        <f>IFERROR(__xludf.DUMMYFUNCTION("""COMPUTED_VALUE"""),"")</f>
        <v/>
      </c>
    </row>
    <row r="714" ht="15.75" customHeight="1">
      <c r="A714" t="str">
        <f>IFERROR(__xludf.DUMMYFUNCTION("""COMPUTED_VALUE"""),"")</f>
        <v/>
      </c>
      <c r="B714" t="str">
        <f>IFERROR(__xludf.DUMMYFUNCTION("""COMPUTED_VALUE"""),"")</f>
        <v/>
      </c>
      <c r="C714" t="str">
        <f>IFERROR(__xludf.DUMMYFUNCTION("""COMPUTED_VALUE"""),"")</f>
        <v/>
      </c>
      <c r="D714" t="str">
        <f>IFERROR(__xludf.DUMMYFUNCTION("""COMPUTED_VALUE"""),"")</f>
        <v/>
      </c>
      <c r="E714" t="str">
        <f>IFERROR(__xludf.DUMMYFUNCTION("""COMPUTED_VALUE"""),"")</f>
        <v/>
      </c>
      <c r="F714" t="str">
        <f>IFERROR(__xludf.DUMMYFUNCTION("""COMPUTED_VALUE"""),"")</f>
        <v/>
      </c>
      <c r="G714" t="str">
        <f>IFERROR(__xludf.DUMMYFUNCTION("""COMPUTED_VALUE"""),"")</f>
        <v/>
      </c>
      <c r="H714" t="str">
        <f>IFERROR(__xludf.DUMMYFUNCTION("""COMPUTED_VALUE"""),"")</f>
        <v/>
      </c>
      <c r="I714" t="str">
        <f>IFERROR(__xludf.DUMMYFUNCTION("""COMPUTED_VALUE"""),"")</f>
        <v/>
      </c>
      <c r="J714" t="str">
        <f>IFERROR(__xludf.DUMMYFUNCTION("""COMPUTED_VALUE"""),"")</f>
        <v/>
      </c>
      <c r="K714" t="str">
        <f>IFERROR(__xludf.DUMMYFUNCTION("""COMPUTED_VALUE"""),"")</f>
        <v/>
      </c>
      <c r="L714" t="str">
        <f>IFERROR(__xludf.DUMMYFUNCTION("""COMPUTED_VALUE"""),"")</f>
        <v/>
      </c>
    </row>
    <row r="715" ht="15.75" customHeight="1">
      <c r="A715" t="str">
        <f>IFERROR(__xludf.DUMMYFUNCTION("""COMPUTED_VALUE"""),"")</f>
        <v/>
      </c>
      <c r="B715" t="str">
        <f>IFERROR(__xludf.DUMMYFUNCTION("""COMPUTED_VALUE"""),"")</f>
        <v/>
      </c>
      <c r="C715" t="str">
        <f>IFERROR(__xludf.DUMMYFUNCTION("""COMPUTED_VALUE"""),"")</f>
        <v/>
      </c>
      <c r="D715" t="str">
        <f>IFERROR(__xludf.DUMMYFUNCTION("""COMPUTED_VALUE"""),"")</f>
        <v/>
      </c>
      <c r="E715" t="str">
        <f>IFERROR(__xludf.DUMMYFUNCTION("""COMPUTED_VALUE"""),"")</f>
        <v/>
      </c>
      <c r="F715" t="str">
        <f>IFERROR(__xludf.DUMMYFUNCTION("""COMPUTED_VALUE"""),"")</f>
        <v/>
      </c>
      <c r="G715" t="str">
        <f>IFERROR(__xludf.DUMMYFUNCTION("""COMPUTED_VALUE"""),"")</f>
        <v/>
      </c>
      <c r="H715" t="str">
        <f>IFERROR(__xludf.DUMMYFUNCTION("""COMPUTED_VALUE"""),"")</f>
        <v/>
      </c>
      <c r="I715" t="str">
        <f>IFERROR(__xludf.DUMMYFUNCTION("""COMPUTED_VALUE"""),"")</f>
        <v/>
      </c>
      <c r="J715" t="str">
        <f>IFERROR(__xludf.DUMMYFUNCTION("""COMPUTED_VALUE"""),"")</f>
        <v/>
      </c>
      <c r="K715" t="str">
        <f>IFERROR(__xludf.DUMMYFUNCTION("""COMPUTED_VALUE"""),"")</f>
        <v/>
      </c>
      <c r="L715" t="str">
        <f>IFERROR(__xludf.DUMMYFUNCTION("""COMPUTED_VALUE"""),"")</f>
        <v/>
      </c>
    </row>
    <row r="716" ht="15.75" customHeight="1">
      <c r="A716" t="str">
        <f>IFERROR(__xludf.DUMMYFUNCTION("""COMPUTED_VALUE"""),"")</f>
        <v/>
      </c>
      <c r="B716" t="str">
        <f>IFERROR(__xludf.DUMMYFUNCTION("""COMPUTED_VALUE"""),"")</f>
        <v/>
      </c>
      <c r="C716" t="str">
        <f>IFERROR(__xludf.DUMMYFUNCTION("""COMPUTED_VALUE"""),"")</f>
        <v/>
      </c>
      <c r="D716" t="str">
        <f>IFERROR(__xludf.DUMMYFUNCTION("""COMPUTED_VALUE"""),"")</f>
        <v/>
      </c>
      <c r="E716" t="str">
        <f>IFERROR(__xludf.DUMMYFUNCTION("""COMPUTED_VALUE"""),"")</f>
        <v/>
      </c>
      <c r="F716" t="str">
        <f>IFERROR(__xludf.DUMMYFUNCTION("""COMPUTED_VALUE"""),"")</f>
        <v/>
      </c>
      <c r="G716" t="str">
        <f>IFERROR(__xludf.DUMMYFUNCTION("""COMPUTED_VALUE"""),"")</f>
        <v/>
      </c>
      <c r="H716" t="str">
        <f>IFERROR(__xludf.DUMMYFUNCTION("""COMPUTED_VALUE"""),"")</f>
        <v/>
      </c>
      <c r="I716" t="str">
        <f>IFERROR(__xludf.DUMMYFUNCTION("""COMPUTED_VALUE"""),"")</f>
        <v/>
      </c>
      <c r="J716" t="str">
        <f>IFERROR(__xludf.DUMMYFUNCTION("""COMPUTED_VALUE"""),"")</f>
        <v/>
      </c>
      <c r="K716" t="str">
        <f>IFERROR(__xludf.DUMMYFUNCTION("""COMPUTED_VALUE"""),"")</f>
        <v/>
      </c>
      <c r="L716" t="str">
        <f>IFERROR(__xludf.DUMMYFUNCTION("""COMPUTED_VALUE"""),"")</f>
        <v/>
      </c>
    </row>
    <row r="717" ht="15.75" customHeight="1">
      <c r="A717" t="str">
        <f>IFERROR(__xludf.DUMMYFUNCTION("""COMPUTED_VALUE"""),"")</f>
        <v/>
      </c>
      <c r="B717" t="str">
        <f>IFERROR(__xludf.DUMMYFUNCTION("""COMPUTED_VALUE"""),"")</f>
        <v/>
      </c>
      <c r="C717" t="str">
        <f>IFERROR(__xludf.DUMMYFUNCTION("""COMPUTED_VALUE"""),"")</f>
        <v/>
      </c>
      <c r="D717" t="str">
        <f>IFERROR(__xludf.DUMMYFUNCTION("""COMPUTED_VALUE"""),"")</f>
        <v/>
      </c>
      <c r="E717" t="str">
        <f>IFERROR(__xludf.DUMMYFUNCTION("""COMPUTED_VALUE"""),"")</f>
        <v/>
      </c>
      <c r="F717" t="str">
        <f>IFERROR(__xludf.DUMMYFUNCTION("""COMPUTED_VALUE"""),"")</f>
        <v/>
      </c>
      <c r="G717" t="str">
        <f>IFERROR(__xludf.DUMMYFUNCTION("""COMPUTED_VALUE"""),"")</f>
        <v/>
      </c>
      <c r="H717" t="str">
        <f>IFERROR(__xludf.DUMMYFUNCTION("""COMPUTED_VALUE"""),"")</f>
        <v/>
      </c>
      <c r="I717" t="str">
        <f>IFERROR(__xludf.DUMMYFUNCTION("""COMPUTED_VALUE"""),"")</f>
        <v/>
      </c>
      <c r="J717" t="str">
        <f>IFERROR(__xludf.DUMMYFUNCTION("""COMPUTED_VALUE"""),"")</f>
        <v/>
      </c>
      <c r="K717" t="str">
        <f>IFERROR(__xludf.DUMMYFUNCTION("""COMPUTED_VALUE"""),"")</f>
        <v/>
      </c>
      <c r="L717" t="str">
        <f>IFERROR(__xludf.DUMMYFUNCTION("""COMPUTED_VALUE"""),"")</f>
        <v/>
      </c>
    </row>
    <row r="718" ht="15.75" customHeight="1">
      <c r="A718" t="str">
        <f>IFERROR(__xludf.DUMMYFUNCTION("""COMPUTED_VALUE"""),"")</f>
        <v/>
      </c>
      <c r="B718" t="str">
        <f>IFERROR(__xludf.DUMMYFUNCTION("""COMPUTED_VALUE"""),"")</f>
        <v/>
      </c>
      <c r="C718" t="str">
        <f>IFERROR(__xludf.DUMMYFUNCTION("""COMPUTED_VALUE"""),"")</f>
        <v/>
      </c>
      <c r="D718" t="str">
        <f>IFERROR(__xludf.DUMMYFUNCTION("""COMPUTED_VALUE"""),"")</f>
        <v/>
      </c>
      <c r="E718" t="str">
        <f>IFERROR(__xludf.DUMMYFUNCTION("""COMPUTED_VALUE"""),"")</f>
        <v/>
      </c>
      <c r="F718" t="str">
        <f>IFERROR(__xludf.DUMMYFUNCTION("""COMPUTED_VALUE"""),"")</f>
        <v/>
      </c>
      <c r="G718" t="str">
        <f>IFERROR(__xludf.DUMMYFUNCTION("""COMPUTED_VALUE"""),"")</f>
        <v/>
      </c>
      <c r="H718" t="str">
        <f>IFERROR(__xludf.DUMMYFUNCTION("""COMPUTED_VALUE"""),"")</f>
        <v/>
      </c>
      <c r="I718" t="str">
        <f>IFERROR(__xludf.DUMMYFUNCTION("""COMPUTED_VALUE"""),"")</f>
        <v/>
      </c>
      <c r="J718" t="str">
        <f>IFERROR(__xludf.DUMMYFUNCTION("""COMPUTED_VALUE"""),"")</f>
        <v/>
      </c>
      <c r="K718" t="str">
        <f>IFERROR(__xludf.DUMMYFUNCTION("""COMPUTED_VALUE"""),"")</f>
        <v/>
      </c>
      <c r="L718" t="str">
        <f>IFERROR(__xludf.DUMMYFUNCTION("""COMPUTED_VALUE"""),"")</f>
        <v/>
      </c>
    </row>
    <row r="719" ht="15.75" customHeight="1">
      <c r="A719" t="str">
        <f>IFERROR(__xludf.DUMMYFUNCTION("""COMPUTED_VALUE"""),"")</f>
        <v/>
      </c>
      <c r="B719" t="str">
        <f>IFERROR(__xludf.DUMMYFUNCTION("""COMPUTED_VALUE"""),"")</f>
        <v/>
      </c>
      <c r="C719" t="str">
        <f>IFERROR(__xludf.DUMMYFUNCTION("""COMPUTED_VALUE"""),"")</f>
        <v/>
      </c>
      <c r="D719" t="str">
        <f>IFERROR(__xludf.DUMMYFUNCTION("""COMPUTED_VALUE"""),"")</f>
        <v/>
      </c>
      <c r="E719" t="str">
        <f>IFERROR(__xludf.DUMMYFUNCTION("""COMPUTED_VALUE"""),"")</f>
        <v/>
      </c>
      <c r="F719" t="str">
        <f>IFERROR(__xludf.DUMMYFUNCTION("""COMPUTED_VALUE"""),"")</f>
        <v/>
      </c>
      <c r="G719" t="str">
        <f>IFERROR(__xludf.DUMMYFUNCTION("""COMPUTED_VALUE"""),"")</f>
        <v/>
      </c>
      <c r="H719" t="str">
        <f>IFERROR(__xludf.DUMMYFUNCTION("""COMPUTED_VALUE"""),"")</f>
        <v/>
      </c>
      <c r="I719" t="str">
        <f>IFERROR(__xludf.DUMMYFUNCTION("""COMPUTED_VALUE"""),"")</f>
        <v/>
      </c>
      <c r="J719" t="str">
        <f>IFERROR(__xludf.DUMMYFUNCTION("""COMPUTED_VALUE"""),"")</f>
        <v/>
      </c>
      <c r="K719" t="str">
        <f>IFERROR(__xludf.DUMMYFUNCTION("""COMPUTED_VALUE"""),"")</f>
        <v/>
      </c>
      <c r="L719" t="str">
        <f>IFERROR(__xludf.DUMMYFUNCTION("""COMPUTED_VALUE"""),"")</f>
        <v/>
      </c>
    </row>
    <row r="720" ht="15.75" customHeight="1">
      <c r="A720" t="str">
        <f>IFERROR(__xludf.DUMMYFUNCTION("""COMPUTED_VALUE"""),"")</f>
        <v/>
      </c>
      <c r="B720" t="str">
        <f>IFERROR(__xludf.DUMMYFUNCTION("""COMPUTED_VALUE"""),"")</f>
        <v/>
      </c>
      <c r="C720" t="str">
        <f>IFERROR(__xludf.DUMMYFUNCTION("""COMPUTED_VALUE"""),"")</f>
        <v/>
      </c>
      <c r="D720" t="str">
        <f>IFERROR(__xludf.DUMMYFUNCTION("""COMPUTED_VALUE"""),"")</f>
        <v/>
      </c>
      <c r="E720" t="str">
        <f>IFERROR(__xludf.DUMMYFUNCTION("""COMPUTED_VALUE"""),"")</f>
        <v/>
      </c>
      <c r="F720" t="str">
        <f>IFERROR(__xludf.DUMMYFUNCTION("""COMPUTED_VALUE"""),"")</f>
        <v/>
      </c>
      <c r="G720" t="str">
        <f>IFERROR(__xludf.DUMMYFUNCTION("""COMPUTED_VALUE"""),"")</f>
        <v/>
      </c>
      <c r="H720" t="str">
        <f>IFERROR(__xludf.DUMMYFUNCTION("""COMPUTED_VALUE"""),"")</f>
        <v/>
      </c>
      <c r="I720" t="str">
        <f>IFERROR(__xludf.DUMMYFUNCTION("""COMPUTED_VALUE"""),"")</f>
        <v/>
      </c>
      <c r="J720" t="str">
        <f>IFERROR(__xludf.DUMMYFUNCTION("""COMPUTED_VALUE"""),"")</f>
        <v/>
      </c>
      <c r="K720" t="str">
        <f>IFERROR(__xludf.DUMMYFUNCTION("""COMPUTED_VALUE"""),"")</f>
        <v/>
      </c>
      <c r="L720" t="str">
        <f>IFERROR(__xludf.DUMMYFUNCTION("""COMPUTED_VALUE"""),"")</f>
        <v/>
      </c>
    </row>
    <row r="721" ht="15.75" customHeight="1">
      <c r="A721" t="str">
        <f>IFERROR(__xludf.DUMMYFUNCTION("""COMPUTED_VALUE"""),"")</f>
        <v/>
      </c>
      <c r="B721" t="str">
        <f>IFERROR(__xludf.DUMMYFUNCTION("""COMPUTED_VALUE"""),"")</f>
        <v/>
      </c>
      <c r="C721" t="str">
        <f>IFERROR(__xludf.DUMMYFUNCTION("""COMPUTED_VALUE"""),"")</f>
        <v/>
      </c>
      <c r="D721" t="str">
        <f>IFERROR(__xludf.DUMMYFUNCTION("""COMPUTED_VALUE"""),"")</f>
        <v/>
      </c>
      <c r="E721" t="str">
        <f>IFERROR(__xludf.DUMMYFUNCTION("""COMPUTED_VALUE"""),"")</f>
        <v/>
      </c>
      <c r="F721" t="str">
        <f>IFERROR(__xludf.DUMMYFUNCTION("""COMPUTED_VALUE"""),"")</f>
        <v/>
      </c>
      <c r="G721" t="str">
        <f>IFERROR(__xludf.DUMMYFUNCTION("""COMPUTED_VALUE"""),"")</f>
        <v/>
      </c>
      <c r="H721" t="str">
        <f>IFERROR(__xludf.DUMMYFUNCTION("""COMPUTED_VALUE"""),"")</f>
        <v/>
      </c>
      <c r="I721" t="str">
        <f>IFERROR(__xludf.DUMMYFUNCTION("""COMPUTED_VALUE"""),"")</f>
        <v/>
      </c>
      <c r="J721" t="str">
        <f>IFERROR(__xludf.DUMMYFUNCTION("""COMPUTED_VALUE"""),"")</f>
        <v/>
      </c>
      <c r="K721" t="str">
        <f>IFERROR(__xludf.DUMMYFUNCTION("""COMPUTED_VALUE"""),"")</f>
        <v/>
      </c>
      <c r="L721" t="str">
        <f>IFERROR(__xludf.DUMMYFUNCTION("""COMPUTED_VALUE"""),"")</f>
        <v/>
      </c>
    </row>
    <row r="722" ht="15.75" customHeight="1">
      <c r="A722" t="str">
        <f>IFERROR(__xludf.DUMMYFUNCTION("""COMPUTED_VALUE"""),"")</f>
        <v/>
      </c>
      <c r="B722" t="str">
        <f>IFERROR(__xludf.DUMMYFUNCTION("""COMPUTED_VALUE"""),"")</f>
        <v/>
      </c>
      <c r="C722" t="str">
        <f>IFERROR(__xludf.DUMMYFUNCTION("""COMPUTED_VALUE"""),"")</f>
        <v/>
      </c>
      <c r="D722" t="str">
        <f>IFERROR(__xludf.DUMMYFUNCTION("""COMPUTED_VALUE"""),"")</f>
        <v/>
      </c>
      <c r="E722" t="str">
        <f>IFERROR(__xludf.DUMMYFUNCTION("""COMPUTED_VALUE"""),"")</f>
        <v/>
      </c>
      <c r="F722" t="str">
        <f>IFERROR(__xludf.DUMMYFUNCTION("""COMPUTED_VALUE"""),"")</f>
        <v/>
      </c>
      <c r="G722" t="str">
        <f>IFERROR(__xludf.DUMMYFUNCTION("""COMPUTED_VALUE"""),"")</f>
        <v/>
      </c>
      <c r="H722" t="str">
        <f>IFERROR(__xludf.DUMMYFUNCTION("""COMPUTED_VALUE"""),"")</f>
        <v/>
      </c>
      <c r="I722" t="str">
        <f>IFERROR(__xludf.DUMMYFUNCTION("""COMPUTED_VALUE"""),"")</f>
        <v/>
      </c>
      <c r="J722" t="str">
        <f>IFERROR(__xludf.DUMMYFUNCTION("""COMPUTED_VALUE"""),"")</f>
        <v/>
      </c>
      <c r="K722" t="str">
        <f>IFERROR(__xludf.DUMMYFUNCTION("""COMPUTED_VALUE"""),"")</f>
        <v/>
      </c>
      <c r="L722" t="str">
        <f>IFERROR(__xludf.DUMMYFUNCTION("""COMPUTED_VALUE"""),"")</f>
        <v/>
      </c>
    </row>
    <row r="723" ht="15.75" customHeight="1">
      <c r="A723" t="str">
        <f>IFERROR(__xludf.DUMMYFUNCTION("""COMPUTED_VALUE"""),"")</f>
        <v/>
      </c>
      <c r="B723" t="str">
        <f>IFERROR(__xludf.DUMMYFUNCTION("""COMPUTED_VALUE"""),"")</f>
        <v/>
      </c>
      <c r="C723" t="str">
        <f>IFERROR(__xludf.DUMMYFUNCTION("""COMPUTED_VALUE"""),"")</f>
        <v/>
      </c>
      <c r="D723" t="str">
        <f>IFERROR(__xludf.DUMMYFUNCTION("""COMPUTED_VALUE"""),"")</f>
        <v/>
      </c>
      <c r="E723" t="str">
        <f>IFERROR(__xludf.DUMMYFUNCTION("""COMPUTED_VALUE"""),"")</f>
        <v/>
      </c>
      <c r="F723" t="str">
        <f>IFERROR(__xludf.DUMMYFUNCTION("""COMPUTED_VALUE"""),"")</f>
        <v/>
      </c>
      <c r="G723" t="str">
        <f>IFERROR(__xludf.DUMMYFUNCTION("""COMPUTED_VALUE"""),"")</f>
        <v/>
      </c>
      <c r="H723" t="str">
        <f>IFERROR(__xludf.DUMMYFUNCTION("""COMPUTED_VALUE"""),"")</f>
        <v/>
      </c>
      <c r="I723" t="str">
        <f>IFERROR(__xludf.DUMMYFUNCTION("""COMPUTED_VALUE"""),"")</f>
        <v/>
      </c>
      <c r="J723" t="str">
        <f>IFERROR(__xludf.DUMMYFUNCTION("""COMPUTED_VALUE"""),"")</f>
        <v/>
      </c>
      <c r="K723" t="str">
        <f>IFERROR(__xludf.DUMMYFUNCTION("""COMPUTED_VALUE"""),"")</f>
        <v/>
      </c>
      <c r="L723" t="str">
        <f>IFERROR(__xludf.DUMMYFUNCTION("""COMPUTED_VALUE"""),"")</f>
        <v/>
      </c>
    </row>
    <row r="724" ht="15.75" customHeight="1">
      <c r="A724" t="str">
        <f>IFERROR(__xludf.DUMMYFUNCTION("""COMPUTED_VALUE"""),"")</f>
        <v/>
      </c>
      <c r="B724" t="str">
        <f>IFERROR(__xludf.DUMMYFUNCTION("""COMPUTED_VALUE"""),"")</f>
        <v/>
      </c>
      <c r="C724" t="str">
        <f>IFERROR(__xludf.DUMMYFUNCTION("""COMPUTED_VALUE"""),"")</f>
        <v/>
      </c>
      <c r="D724" t="str">
        <f>IFERROR(__xludf.DUMMYFUNCTION("""COMPUTED_VALUE"""),"")</f>
        <v/>
      </c>
      <c r="E724" t="str">
        <f>IFERROR(__xludf.DUMMYFUNCTION("""COMPUTED_VALUE"""),"")</f>
        <v/>
      </c>
      <c r="F724" t="str">
        <f>IFERROR(__xludf.DUMMYFUNCTION("""COMPUTED_VALUE"""),"")</f>
        <v/>
      </c>
      <c r="G724" t="str">
        <f>IFERROR(__xludf.DUMMYFUNCTION("""COMPUTED_VALUE"""),"")</f>
        <v/>
      </c>
      <c r="H724" t="str">
        <f>IFERROR(__xludf.DUMMYFUNCTION("""COMPUTED_VALUE"""),"")</f>
        <v/>
      </c>
      <c r="I724" t="str">
        <f>IFERROR(__xludf.DUMMYFUNCTION("""COMPUTED_VALUE"""),"")</f>
        <v/>
      </c>
      <c r="J724" t="str">
        <f>IFERROR(__xludf.DUMMYFUNCTION("""COMPUTED_VALUE"""),"")</f>
        <v/>
      </c>
      <c r="K724" t="str">
        <f>IFERROR(__xludf.DUMMYFUNCTION("""COMPUTED_VALUE"""),"")</f>
        <v/>
      </c>
      <c r="L724" t="str">
        <f>IFERROR(__xludf.DUMMYFUNCTION("""COMPUTED_VALUE"""),"")</f>
        <v/>
      </c>
    </row>
    <row r="725" ht="15.75" customHeight="1">
      <c r="A725" t="str">
        <f>IFERROR(__xludf.DUMMYFUNCTION("""COMPUTED_VALUE"""),"")</f>
        <v/>
      </c>
      <c r="B725" t="str">
        <f>IFERROR(__xludf.DUMMYFUNCTION("""COMPUTED_VALUE"""),"")</f>
        <v/>
      </c>
      <c r="C725" t="str">
        <f>IFERROR(__xludf.DUMMYFUNCTION("""COMPUTED_VALUE"""),"")</f>
        <v/>
      </c>
      <c r="D725" t="str">
        <f>IFERROR(__xludf.DUMMYFUNCTION("""COMPUTED_VALUE"""),"")</f>
        <v/>
      </c>
      <c r="E725" t="str">
        <f>IFERROR(__xludf.DUMMYFUNCTION("""COMPUTED_VALUE"""),"")</f>
        <v/>
      </c>
      <c r="F725" t="str">
        <f>IFERROR(__xludf.DUMMYFUNCTION("""COMPUTED_VALUE"""),"")</f>
        <v/>
      </c>
      <c r="G725" t="str">
        <f>IFERROR(__xludf.DUMMYFUNCTION("""COMPUTED_VALUE"""),"")</f>
        <v/>
      </c>
      <c r="H725" t="str">
        <f>IFERROR(__xludf.DUMMYFUNCTION("""COMPUTED_VALUE"""),"")</f>
        <v/>
      </c>
      <c r="I725" t="str">
        <f>IFERROR(__xludf.DUMMYFUNCTION("""COMPUTED_VALUE"""),"")</f>
        <v/>
      </c>
      <c r="J725" t="str">
        <f>IFERROR(__xludf.DUMMYFUNCTION("""COMPUTED_VALUE"""),"")</f>
        <v/>
      </c>
      <c r="K725" t="str">
        <f>IFERROR(__xludf.DUMMYFUNCTION("""COMPUTED_VALUE"""),"")</f>
        <v/>
      </c>
      <c r="L725" t="str">
        <f>IFERROR(__xludf.DUMMYFUNCTION("""COMPUTED_VALUE"""),"")</f>
        <v/>
      </c>
    </row>
    <row r="726" ht="15.75" customHeight="1">
      <c r="A726" t="str">
        <f>IFERROR(__xludf.DUMMYFUNCTION("""COMPUTED_VALUE"""),"")</f>
        <v/>
      </c>
      <c r="B726" t="str">
        <f>IFERROR(__xludf.DUMMYFUNCTION("""COMPUTED_VALUE"""),"")</f>
        <v/>
      </c>
      <c r="C726" t="str">
        <f>IFERROR(__xludf.DUMMYFUNCTION("""COMPUTED_VALUE"""),"")</f>
        <v/>
      </c>
      <c r="D726" t="str">
        <f>IFERROR(__xludf.DUMMYFUNCTION("""COMPUTED_VALUE"""),"")</f>
        <v/>
      </c>
      <c r="E726" t="str">
        <f>IFERROR(__xludf.DUMMYFUNCTION("""COMPUTED_VALUE"""),"")</f>
        <v/>
      </c>
      <c r="F726" t="str">
        <f>IFERROR(__xludf.DUMMYFUNCTION("""COMPUTED_VALUE"""),"")</f>
        <v/>
      </c>
      <c r="G726" t="str">
        <f>IFERROR(__xludf.DUMMYFUNCTION("""COMPUTED_VALUE"""),"")</f>
        <v/>
      </c>
      <c r="H726" t="str">
        <f>IFERROR(__xludf.DUMMYFUNCTION("""COMPUTED_VALUE"""),"")</f>
        <v/>
      </c>
      <c r="I726" t="str">
        <f>IFERROR(__xludf.DUMMYFUNCTION("""COMPUTED_VALUE"""),"")</f>
        <v/>
      </c>
      <c r="J726" t="str">
        <f>IFERROR(__xludf.DUMMYFUNCTION("""COMPUTED_VALUE"""),"")</f>
        <v/>
      </c>
      <c r="K726" t="str">
        <f>IFERROR(__xludf.DUMMYFUNCTION("""COMPUTED_VALUE"""),"")</f>
        <v/>
      </c>
      <c r="L726" t="str">
        <f>IFERROR(__xludf.DUMMYFUNCTION("""COMPUTED_VALUE"""),"")</f>
        <v/>
      </c>
    </row>
    <row r="727" ht="15.75" customHeight="1">
      <c r="A727" t="str">
        <f>IFERROR(__xludf.DUMMYFUNCTION("""COMPUTED_VALUE"""),"")</f>
        <v/>
      </c>
      <c r="B727" t="str">
        <f>IFERROR(__xludf.DUMMYFUNCTION("""COMPUTED_VALUE"""),"")</f>
        <v/>
      </c>
      <c r="C727" t="str">
        <f>IFERROR(__xludf.DUMMYFUNCTION("""COMPUTED_VALUE"""),"")</f>
        <v/>
      </c>
      <c r="D727" t="str">
        <f>IFERROR(__xludf.DUMMYFUNCTION("""COMPUTED_VALUE"""),"")</f>
        <v/>
      </c>
      <c r="E727" t="str">
        <f>IFERROR(__xludf.DUMMYFUNCTION("""COMPUTED_VALUE"""),"")</f>
        <v/>
      </c>
      <c r="F727" t="str">
        <f>IFERROR(__xludf.DUMMYFUNCTION("""COMPUTED_VALUE"""),"")</f>
        <v/>
      </c>
      <c r="G727" t="str">
        <f>IFERROR(__xludf.DUMMYFUNCTION("""COMPUTED_VALUE"""),"")</f>
        <v/>
      </c>
      <c r="H727" t="str">
        <f>IFERROR(__xludf.DUMMYFUNCTION("""COMPUTED_VALUE"""),"")</f>
        <v/>
      </c>
      <c r="I727" t="str">
        <f>IFERROR(__xludf.DUMMYFUNCTION("""COMPUTED_VALUE"""),"")</f>
        <v/>
      </c>
      <c r="J727" t="str">
        <f>IFERROR(__xludf.DUMMYFUNCTION("""COMPUTED_VALUE"""),"")</f>
        <v/>
      </c>
      <c r="K727" t="str">
        <f>IFERROR(__xludf.DUMMYFUNCTION("""COMPUTED_VALUE"""),"")</f>
        <v/>
      </c>
      <c r="L727" t="str">
        <f>IFERROR(__xludf.DUMMYFUNCTION("""COMPUTED_VALUE"""),"")</f>
        <v/>
      </c>
    </row>
    <row r="728" ht="15.75" customHeight="1">
      <c r="A728" t="str">
        <f>IFERROR(__xludf.DUMMYFUNCTION("""COMPUTED_VALUE"""),"")</f>
        <v/>
      </c>
      <c r="B728" t="str">
        <f>IFERROR(__xludf.DUMMYFUNCTION("""COMPUTED_VALUE"""),"")</f>
        <v/>
      </c>
      <c r="C728" t="str">
        <f>IFERROR(__xludf.DUMMYFUNCTION("""COMPUTED_VALUE"""),"")</f>
        <v/>
      </c>
      <c r="D728" t="str">
        <f>IFERROR(__xludf.DUMMYFUNCTION("""COMPUTED_VALUE"""),"")</f>
        <v/>
      </c>
      <c r="E728" t="str">
        <f>IFERROR(__xludf.DUMMYFUNCTION("""COMPUTED_VALUE"""),"")</f>
        <v/>
      </c>
      <c r="F728" t="str">
        <f>IFERROR(__xludf.DUMMYFUNCTION("""COMPUTED_VALUE"""),"")</f>
        <v/>
      </c>
      <c r="G728" t="str">
        <f>IFERROR(__xludf.DUMMYFUNCTION("""COMPUTED_VALUE"""),"")</f>
        <v/>
      </c>
      <c r="H728" t="str">
        <f>IFERROR(__xludf.DUMMYFUNCTION("""COMPUTED_VALUE"""),"")</f>
        <v/>
      </c>
      <c r="I728" t="str">
        <f>IFERROR(__xludf.DUMMYFUNCTION("""COMPUTED_VALUE"""),"")</f>
        <v/>
      </c>
      <c r="J728" t="str">
        <f>IFERROR(__xludf.DUMMYFUNCTION("""COMPUTED_VALUE"""),"")</f>
        <v/>
      </c>
      <c r="K728" t="str">
        <f>IFERROR(__xludf.DUMMYFUNCTION("""COMPUTED_VALUE"""),"")</f>
        <v/>
      </c>
      <c r="L728" t="str">
        <f>IFERROR(__xludf.DUMMYFUNCTION("""COMPUTED_VALUE"""),"")</f>
        <v/>
      </c>
    </row>
    <row r="729" ht="15.75" customHeight="1">
      <c r="A729" t="str">
        <f>IFERROR(__xludf.DUMMYFUNCTION("""COMPUTED_VALUE"""),"")</f>
        <v/>
      </c>
      <c r="B729" t="str">
        <f>IFERROR(__xludf.DUMMYFUNCTION("""COMPUTED_VALUE"""),"")</f>
        <v/>
      </c>
      <c r="C729" t="str">
        <f>IFERROR(__xludf.DUMMYFUNCTION("""COMPUTED_VALUE"""),"")</f>
        <v/>
      </c>
      <c r="D729" t="str">
        <f>IFERROR(__xludf.DUMMYFUNCTION("""COMPUTED_VALUE"""),"")</f>
        <v/>
      </c>
      <c r="E729" t="str">
        <f>IFERROR(__xludf.DUMMYFUNCTION("""COMPUTED_VALUE"""),"")</f>
        <v/>
      </c>
      <c r="F729" t="str">
        <f>IFERROR(__xludf.DUMMYFUNCTION("""COMPUTED_VALUE"""),"")</f>
        <v/>
      </c>
      <c r="G729" t="str">
        <f>IFERROR(__xludf.DUMMYFUNCTION("""COMPUTED_VALUE"""),"")</f>
        <v/>
      </c>
      <c r="H729" t="str">
        <f>IFERROR(__xludf.DUMMYFUNCTION("""COMPUTED_VALUE"""),"")</f>
        <v/>
      </c>
      <c r="I729" t="str">
        <f>IFERROR(__xludf.DUMMYFUNCTION("""COMPUTED_VALUE"""),"")</f>
        <v/>
      </c>
      <c r="J729" t="str">
        <f>IFERROR(__xludf.DUMMYFUNCTION("""COMPUTED_VALUE"""),"")</f>
        <v/>
      </c>
      <c r="K729" t="str">
        <f>IFERROR(__xludf.DUMMYFUNCTION("""COMPUTED_VALUE"""),"")</f>
        <v/>
      </c>
      <c r="L729" t="str">
        <f>IFERROR(__xludf.DUMMYFUNCTION("""COMPUTED_VALUE"""),"")</f>
        <v/>
      </c>
    </row>
    <row r="730" ht="15.75" customHeight="1">
      <c r="A730" t="str">
        <f>IFERROR(__xludf.DUMMYFUNCTION("""COMPUTED_VALUE"""),"")</f>
        <v/>
      </c>
      <c r="B730" t="str">
        <f>IFERROR(__xludf.DUMMYFUNCTION("""COMPUTED_VALUE"""),"")</f>
        <v/>
      </c>
      <c r="C730" t="str">
        <f>IFERROR(__xludf.DUMMYFUNCTION("""COMPUTED_VALUE"""),"")</f>
        <v/>
      </c>
      <c r="D730" t="str">
        <f>IFERROR(__xludf.DUMMYFUNCTION("""COMPUTED_VALUE"""),"")</f>
        <v/>
      </c>
      <c r="E730" t="str">
        <f>IFERROR(__xludf.DUMMYFUNCTION("""COMPUTED_VALUE"""),"")</f>
        <v/>
      </c>
      <c r="F730" t="str">
        <f>IFERROR(__xludf.DUMMYFUNCTION("""COMPUTED_VALUE"""),"")</f>
        <v/>
      </c>
      <c r="G730" t="str">
        <f>IFERROR(__xludf.DUMMYFUNCTION("""COMPUTED_VALUE"""),"")</f>
        <v/>
      </c>
      <c r="H730" t="str">
        <f>IFERROR(__xludf.DUMMYFUNCTION("""COMPUTED_VALUE"""),"")</f>
        <v/>
      </c>
      <c r="I730" t="str">
        <f>IFERROR(__xludf.DUMMYFUNCTION("""COMPUTED_VALUE"""),"")</f>
        <v/>
      </c>
      <c r="J730" t="str">
        <f>IFERROR(__xludf.DUMMYFUNCTION("""COMPUTED_VALUE"""),"")</f>
        <v/>
      </c>
      <c r="K730" t="str">
        <f>IFERROR(__xludf.DUMMYFUNCTION("""COMPUTED_VALUE"""),"")</f>
        <v/>
      </c>
      <c r="L730" t="str">
        <f>IFERROR(__xludf.DUMMYFUNCTION("""COMPUTED_VALUE"""),"")</f>
        <v/>
      </c>
    </row>
    <row r="731" ht="15.75" customHeight="1">
      <c r="A731" t="str">
        <f>IFERROR(__xludf.DUMMYFUNCTION("""COMPUTED_VALUE"""),"")</f>
        <v/>
      </c>
      <c r="B731" t="str">
        <f>IFERROR(__xludf.DUMMYFUNCTION("""COMPUTED_VALUE"""),"")</f>
        <v/>
      </c>
      <c r="C731" t="str">
        <f>IFERROR(__xludf.DUMMYFUNCTION("""COMPUTED_VALUE"""),"")</f>
        <v/>
      </c>
      <c r="D731" t="str">
        <f>IFERROR(__xludf.DUMMYFUNCTION("""COMPUTED_VALUE"""),"")</f>
        <v/>
      </c>
      <c r="E731" t="str">
        <f>IFERROR(__xludf.DUMMYFUNCTION("""COMPUTED_VALUE"""),"")</f>
        <v/>
      </c>
      <c r="F731" t="str">
        <f>IFERROR(__xludf.DUMMYFUNCTION("""COMPUTED_VALUE"""),"")</f>
        <v/>
      </c>
      <c r="G731" t="str">
        <f>IFERROR(__xludf.DUMMYFUNCTION("""COMPUTED_VALUE"""),"")</f>
        <v/>
      </c>
      <c r="H731" t="str">
        <f>IFERROR(__xludf.DUMMYFUNCTION("""COMPUTED_VALUE"""),"")</f>
        <v/>
      </c>
      <c r="I731" t="str">
        <f>IFERROR(__xludf.DUMMYFUNCTION("""COMPUTED_VALUE"""),"")</f>
        <v/>
      </c>
      <c r="J731" t="str">
        <f>IFERROR(__xludf.DUMMYFUNCTION("""COMPUTED_VALUE"""),"")</f>
        <v/>
      </c>
      <c r="K731" t="str">
        <f>IFERROR(__xludf.DUMMYFUNCTION("""COMPUTED_VALUE"""),"")</f>
        <v/>
      </c>
      <c r="L731" t="str">
        <f>IFERROR(__xludf.DUMMYFUNCTION("""COMPUTED_VALUE"""),"")</f>
        <v/>
      </c>
    </row>
    <row r="732" ht="15.75" customHeight="1">
      <c r="A732" t="str">
        <f>IFERROR(__xludf.DUMMYFUNCTION("""COMPUTED_VALUE"""),"")</f>
        <v/>
      </c>
      <c r="B732" t="str">
        <f>IFERROR(__xludf.DUMMYFUNCTION("""COMPUTED_VALUE"""),"")</f>
        <v/>
      </c>
      <c r="C732" t="str">
        <f>IFERROR(__xludf.DUMMYFUNCTION("""COMPUTED_VALUE"""),"")</f>
        <v/>
      </c>
      <c r="D732" t="str">
        <f>IFERROR(__xludf.DUMMYFUNCTION("""COMPUTED_VALUE"""),"")</f>
        <v/>
      </c>
      <c r="E732" t="str">
        <f>IFERROR(__xludf.DUMMYFUNCTION("""COMPUTED_VALUE"""),"")</f>
        <v/>
      </c>
      <c r="F732" t="str">
        <f>IFERROR(__xludf.DUMMYFUNCTION("""COMPUTED_VALUE"""),"")</f>
        <v/>
      </c>
      <c r="G732" t="str">
        <f>IFERROR(__xludf.DUMMYFUNCTION("""COMPUTED_VALUE"""),"")</f>
        <v/>
      </c>
      <c r="H732" t="str">
        <f>IFERROR(__xludf.DUMMYFUNCTION("""COMPUTED_VALUE"""),"")</f>
        <v/>
      </c>
      <c r="I732" t="str">
        <f>IFERROR(__xludf.DUMMYFUNCTION("""COMPUTED_VALUE"""),"")</f>
        <v/>
      </c>
      <c r="J732" t="str">
        <f>IFERROR(__xludf.DUMMYFUNCTION("""COMPUTED_VALUE"""),"")</f>
        <v/>
      </c>
      <c r="K732" t="str">
        <f>IFERROR(__xludf.DUMMYFUNCTION("""COMPUTED_VALUE"""),"")</f>
        <v/>
      </c>
      <c r="L732" t="str">
        <f>IFERROR(__xludf.DUMMYFUNCTION("""COMPUTED_VALUE"""),"")</f>
        <v/>
      </c>
    </row>
    <row r="733" ht="15.75" customHeight="1">
      <c r="A733" t="str">
        <f>IFERROR(__xludf.DUMMYFUNCTION("""COMPUTED_VALUE"""),"")</f>
        <v/>
      </c>
      <c r="B733" t="str">
        <f>IFERROR(__xludf.DUMMYFUNCTION("""COMPUTED_VALUE"""),"")</f>
        <v/>
      </c>
      <c r="C733" t="str">
        <f>IFERROR(__xludf.DUMMYFUNCTION("""COMPUTED_VALUE"""),"")</f>
        <v/>
      </c>
      <c r="D733" t="str">
        <f>IFERROR(__xludf.DUMMYFUNCTION("""COMPUTED_VALUE"""),"")</f>
        <v/>
      </c>
      <c r="E733" t="str">
        <f>IFERROR(__xludf.DUMMYFUNCTION("""COMPUTED_VALUE"""),"")</f>
        <v/>
      </c>
      <c r="F733" t="str">
        <f>IFERROR(__xludf.DUMMYFUNCTION("""COMPUTED_VALUE"""),"")</f>
        <v/>
      </c>
      <c r="G733" t="str">
        <f>IFERROR(__xludf.DUMMYFUNCTION("""COMPUTED_VALUE"""),"")</f>
        <v/>
      </c>
      <c r="H733" t="str">
        <f>IFERROR(__xludf.DUMMYFUNCTION("""COMPUTED_VALUE"""),"")</f>
        <v/>
      </c>
      <c r="I733" t="str">
        <f>IFERROR(__xludf.DUMMYFUNCTION("""COMPUTED_VALUE"""),"")</f>
        <v/>
      </c>
      <c r="J733" t="str">
        <f>IFERROR(__xludf.DUMMYFUNCTION("""COMPUTED_VALUE"""),"")</f>
        <v/>
      </c>
      <c r="K733" t="str">
        <f>IFERROR(__xludf.DUMMYFUNCTION("""COMPUTED_VALUE"""),"")</f>
        <v/>
      </c>
      <c r="L733" t="str">
        <f>IFERROR(__xludf.DUMMYFUNCTION("""COMPUTED_VALUE"""),"")</f>
        <v/>
      </c>
    </row>
    <row r="734" ht="15.75" customHeight="1">
      <c r="A734" t="str">
        <f>IFERROR(__xludf.DUMMYFUNCTION("""COMPUTED_VALUE"""),"")</f>
        <v/>
      </c>
      <c r="B734" t="str">
        <f>IFERROR(__xludf.DUMMYFUNCTION("""COMPUTED_VALUE"""),"")</f>
        <v/>
      </c>
      <c r="C734" t="str">
        <f>IFERROR(__xludf.DUMMYFUNCTION("""COMPUTED_VALUE"""),"")</f>
        <v/>
      </c>
      <c r="D734" t="str">
        <f>IFERROR(__xludf.DUMMYFUNCTION("""COMPUTED_VALUE"""),"")</f>
        <v/>
      </c>
      <c r="E734" t="str">
        <f>IFERROR(__xludf.DUMMYFUNCTION("""COMPUTED_VALUE"""),"")</f>
        <v/>
      </c>
      <c r="F734" t="str">
        <f>IFERROR(__xludf.DUMMYFUNCTION("""COMPUTED_VALUE"""),"")</f>
        <v/>
      </c>
      <c r="G734" t="str">
        <f>IFERROR(__xludf.DUMMYFUNCTION("""COMPUTED_VALUE"""),"")</f>
        <v/>
      </c>
      <c r="H734" t="str">
        <f>IFERROR(__xludf.DUMMYFUNCTION("""COMPUTED_VALUE"""),"")</f>
        <v/>
      </c>
      <c r="I734" t="str">
        <f>IFERROR(__xludf.DUMMYFUNCTION("""COMPUTED_VALUE"""),"")</f>
        <v/>
      </c>
      <c r="J734" t="str">
        <f>IFERROR(__xludf.DUMMYFUNCTION("""COMPUTED_VALUE"""),"")</f>
        <v/>
      </c>
      <c r="K734" t="str">
        <f>IFERROR(__xludf.DUMMYFUNCTION("""COMPUTED_VALUE"""),"")</f>
        <v/>
      </c>
      <c r="L734" t="str">
        <f>IFERROR(__xludf.DUMMYFUNCTION("""COMPUTED_VALUE"""),"")</f>
        <v/>
      </c>
    </row>
    <row r="735" ht="15.75" customHeight="1">
      <c r="A735" t="str">
        <f>IFERROR(__xludf.DUMMYFUNCTION("""COMPUTED_VALUE"""),"")</f>
        <v/>
      </c>
      <c r="B735" t="str">
        <f>IFERROR(__xludf.DUMMYFUNCTION("""COMPUTED_VALUE"""),"")</f>
        <v/>
      </c>
      <c r="C735" t="str">
        <f>IFERROR(__xludf.DUMMYFUNCTION("""COMPUTED_VALUE"""),"")</f>
        <v/>
      </c>
      <c r="D735" t="str">
        <f>IFERROR(__xludf.DUMMYFUNCTION("""COMPUTED_VALUE"""),"")</f>
        <v/>
      </c>
      <c r="E735" t="str">
        <f>IFERROR(__xludf.DUMMYFUNCTION("""COMPUTED_VALUE"""),"")</f>
        <v/>
      </c>
      <c r="F735" t="str">
        <f>IFERROR(__xludf.DUMMYFUNCTION("""COMPUTED_VALUE"""),"")</f>
        <v/>
      </c>
      <c r="G735" t="str">
        <f>IFERROR(__xludf.DUMMYFUNCTION("""COMPUTED_VALUE"""),"")</f>
        <v/>
      </c>
      <c r="H735" t="str">
        <f>IFERROR(__xludf.DUMMYFUNCTION("""COMPUTED_VALUE"""),"")</f>
        <v/>
      </c>
      <c r="I735" t="str">
        <f>IFERROR(__xludf.DUMMYFUNCTION("""COMPUTED_VALUE"""),"")</f>
        <v/>
      </c>
      <c r="J735" t="str">
        <f>IFERROR(__xludf.DUMMYFUNCTION("""COMPUTED_VALUE"""),"")</f>
        <v/>
      </c>
      <c r="K735" t="str">
        <f>IFERROR(__xludf.DUMMYFUNCTION("""COMPUTED_VALUE"""),"")</f>
        <v/>
      </c>
      <c r="L735" t="str">
        <f>IFERROR(__xludf.DUMMYFUNCTION("""COMPUTED_VALUE"""),"")</f>
        <v/>
      </c>
    </row>
    <row r="736" ht="15.75" customHeight="1">
      <c r="A736" t="str">
        <f>IFERROR(__xludf.DUMMYFUNCTION("""COMPUTED_VALUE"""),"")</f>
        <v/>
      </c>
      <c r="B736" t="str">
        <f>IFERROR(__xludf.DUMMYFUNCTION("""COMPUTED_VALUE"""),"")</f>
        <v/>
      </c>
      <c r="C736" t="str">
        <f>IFERROR(__xludf.DUMMYFUNCTION("""COMPUTED_VALUE"""),"")</f>
        <v/>
      </c>
      <c r="D736" t="str">
        <f>IFERROR(__xludf.DUMMYFUNCTION("""COMPUTED_VALUE"""),"")</f>
        <v/>
      </c>
      <c r="E736" t="str">
        <f>IFERROR(__xludf.DUMMYFUNCTION("""COMPUTED_VALUE"""),"")</f>
        <v/>
      </c>
      <c r="F736" t="str">
        <f>IFERROR(__xludf.DUMMYFUNCTION("""COMPUTED_VALUE"""),"")</f>
        <v/>
      </c>
      <c r="G736" t="str">
        <f>IFERROR(__xludf.DUMMYFUNCTION("""COMPUTED_VALUE"""),"")</f>
        <v/>
      </c>
      <c r="H736" t="str">
        <f>IFERROR(__xludf.DUMMYFUNCTION("""COMPUTED_VALUE"""),"")</f>
        <v/>
      </c>
      <c r="I736" t="str">
        <f>IFERROR(__xludf.DUMMYFUNCTION("""COMPUTED_VALUE"""),"")</f>
        <v/>
      </c>
      <c r="J736" t="str">
        <f>IFERROR(__xludf.DUMMYFUNCTION("""COMPUTED_VALUE"""),"")</f>
        <v/>
      </c>
      <c r="K736" t="str">
        <f>IFERROR(__xludf.DUMMYFUNCTION("""COMPUTED_VALUE"""),"")</f>
        <v/>
      </c>
      <c r="L736" t="str">
        <f>IFERROR(__xludf.DUMMYFUNCTION("""COMPUTED_VALUE"""),"")</f>
        <v/>
      </c>
    </row>
    <row r="737" ht="15.75" customHeight="1">
      <c r="A737" t="str">
        <f>IFERROR(__xludf.DUMMYFUNCTION("""COMPUTED_VALUE"""),"")</f>
        <v/>
      </c>
      <c r="B737" t="str">
        <f>IFERROR(__xludf.DUMMYFUNCTION("""COMPUTED_VALUE"""),"")</f>
        <v/>
      </c>
      <c r="C737" t="str">
        <f>IFERROR(__xludf.DUMMYFUNCTION("""COMPUTED_VALUE"""),"")</f>
        <v/>
      </c>
      <c r="D737" t="str">
        <f>IFERROR(__xludf.DUMMYFUNCTION("""COMPUTED_VALUE"""),"")</f>
        <v/>
      </c>
      <c r="E737" t="str">
        <f>IFERROR(__xludf.DUMMYFUNCTION("""COMPUTED_VALUE"""),"")</f>
        <v/>
      </c>
      <c r="F737" t="str">
        <f>IFERROR(__xludf.DUMMYFUNCTION("""COMPUTED_VALUE"""),"")</f>
        <v/>
      </c>
      <c r="G737" t="str">
        <f>IFERROR(__xludf.DUMMYFUNCTION("""COMPUTED_VALUE"""),"")</f>
        <v/>
      </c>
      <c r="H737" t="str">
        <f>IFERROR(__xludf.DUMMYFUNCTION("""COMPUTED_VALUE"""),"")</f>
        <v/>
      </c>
      <c r="I737" t="str">
        <f>IFERROR(__xludf.DUMMYFUNCTION("""COMPUTED_VALUE"""),"")</f>
        <v/>
      </c>
      <c r="J737" t="str">
        <f>IFERROR(__xludf.DUMMYFUNCTION("""COMPUTED_VALUE"""),"")</f>
        <v/>
      </c>
      <c r="K737" t="str">
        <f>IFERROR(__xludf.DUMMYFUNCTION("""COMPUTED_VALUE"""),"")</f>
        <v/>
      </c>
      <c r="L737" t="str">
        <f>IFERROR(__xludf.DUMMYFUNCTION("""COMPUTED_VALUE"""),"")</f>
        <v/>
      </c>
    </row>
    <row r="738" ht="15.75" customHeight="1">
      <c r="A738" t="str">
        <f>IFERROR(__xludf.DUMMYFUNCTION("""COMPUTED_VALUE"""),"")</f>
        <v/>
      </c>
      <c r="B738" t="str">
        <f>IFERROR(__xludf.DUMMYFUNCTION("""COMPUTED_VALUE"""),"")</f>
        <v/>
      </c>
      <c r="C738" t="str">
        <f>IFERROR(__xludf.DUMMYFUNCTION("""COMPUTED_VALUE"""),"")</f>
        <v/>
      </c>
      <c r="D738" t="str">
        <f>IFERROR(__xludf.DUMMYFUNCTION("""COMPUTED_VALUE"""),"")</f>
        <v/>
      </c>
      <c r="E738" t="str">
        <f>IFERROR(__xludf.DUMMYFUNCTION("""COMPUTED_VALUE"""),"")</f>
        <v/>
      </c>
      <c r="F738" t="str">
        <f>IFERROR(__xludf.DUMMYFUNCTION("""COMPUTED_VALUE"""),"")</f>
        <v/>
      </c>
      <c r="G738" t="str">
        <f>IFERROR(__xludf.DUMMYFUNCTION("""COMPUTED_VALUE"""),"")</f>
        <v/>
      </c>
      <c r="H738" t="str">
        <f>IFERROR(__xludf.DUMMYFUNCTION("""COMPUTED_VALUE"""),"")</f>
        <v/>
      </c>
      <c r="I738" t="str">
        <f>IFERROR(__xludf.DUMMYFUNCTION("""COMPUTED_VALUE"""),"")</f>
        <v/>
      </c>
      <c r="J738" t="str">
        <f>IFERROR(__xludf.DUMMYFUNCTION("""COMPUTED_VALUE"""),"")</f>
        <v/>
      </c>
      <c r="K738" t="str">
        <f>IFERROR(__xludf.DUMMYFUNCTION("""COMPUTED_VALUE"""),"")</f>
        <v/>
      </c>
      <c r="L738" t="str">
        <f>IFERROR(__xludf.DUMMYFUNCTION("""COMPUTED_VALUE"""),"")</f>
        <v/>
      </c>
    </row>
    <row r="739" ht="15.75" customHeight="1">
      <c r="A739" t="str">
        <f>IFERROR(__xludf.DUMMYFUNCTION("""COMPUTED_VALUE"""),"")</f>
        <v/>
      </c>
      <c r="B739" t="str">
        <f>IFERROR(__xludf.DUMMYFUNCTION("""COMPUTED_VALUE"""),"")</f>
        <v/>
      </c>
      <c r="C739" t="str">
        <f>IFERROR(__xludf.DUMMYFUNCTION("""COMPUTED_VALUE"""),"")</f>
        <v/>
      </c>
      <c r="D739" t="str">
        <f>IFERROR(__xludf.DUMMYFUNCTION("""COMPUTED_VALUE"""),"")</f>
        <v/>
      </c>
      <c r="E739" t="str">
        <f>IFERROR(__xludf.DUMMYFUNCTION("""COMPUTED_VALUE"""),"")</f>
        <v/>
      </c>
      <c r="F739" t="str">
        <f>IFERROR(__xludf.DUMMYFUNCTION("""COMPUTED_VALUE"""),"")</f>
        <v/>
      </c>
      <c r="G739" t="str">
        <f>IFERROR(__xludf.DUMMYFUNCTION("""COMPUTED_VALUE"""),"")</f>
        <v/>
      </c>
      <c r="H739" t="str">
        <f>IFERROR(__xludf.DUMMYFUNCTION("""COMPUTED_VALUE"""),"")</f>
        <v/>
      </c>
      <c r="I739" t="str">
        <f>IFERROR(__xludf.DUMMYFUNCTION("""COMPUTED_VALUE"""),"")</f>
        <v/>
      </c>
      <c r="J739" t="str">
        <f>IFERROR(__xludf.DUMMYFUNCTION("""COMPUTED_VALUE"""),"")</f>
        <v/>
      </c>
      <c r="K739" t="str">
        <f>IFERROR(__xludf.DUMMYFUNCTION("""COMPUTED_VALUE"""),"")</f>
        <v/>
      </c>
      <c r="L739" t="str">
        <f>IFERROR(__xludf.DUMMYFUNCTION("""COMPUTED_VALUE"""),"")</f>
        <v/>
      </c>
    </row>
    <row r="740" ht="15.75" customHeight="1">
      <c r="A740" t="str">
        <f>IFERROR(__xludf.DUMMYFUNCTION("""COMPUTED_VALUE"""),"")</f>
        <v/>
      </c>
      <c r="B740" t="str">
        <f>IFERROR(__xludf.DUMMYFUNCTION("""COMPUTED_VALUE"""),"")</f>
        <v/>
      </c>
      <c r="C740" t="str">
        <f>IFERROR(__xludf.DUMMYFUNCTION("""COMPUTED_VALUE"""),"")</f>
        <v/>
      </c>
      <c r="D740" t="str">
        <f>IFERROR(__xludf.DUMMYFUNCTION("""COMPUTED_VALUE"""),"")</f>
        <v/>
      </c>
      <c r="E740" t="str">
        <f>IFERROR(__xludf.DUMMYFUNCTION("""COMPUTED_VALUE"""),"")</f>
        <v/>
      </c>
      <c r="F740" t="str">
        <f>IFERROR(__xludf.DUMMYFUNCTION("""COMPUTED_VALUE"""),"")</f>
        <v/>
      </c>
      <c r="G740" t="str">
        <f>IFERROR(__xludf.DUMMYFUNCTION("""COMPUTED_VALUE"""),"")</f>
        <v/>
      </c>
      <c r="H740" t="str">
        <f>IFERROR(__xludf.DUMMYFUNCTION("""COMPUTED_VALUE"""),"")</f>
        <v/>
      </c>
      <c r="I740" t="str">
        <f>IFERROR(__xludf.DUMMYFUNCTION("""COMPUTED_VALUE"""),"")</f>
        <v/>
      </c>
      <c r="J740" t="str">
        <f>IFERROR(__xludf.DUMMYFUNCTION("""COMPUTED_VALUE"""),"")</f>
        <v/>
      </c>
      <c r="K740" t="str">
        <f>IFERROR(__xludf.DUMMYFUNCTION("""COMPUTED_VALUE"""),"")</f>
        <v/>
      </c>
      <c r="L740" t="str">
        <f>IFERROR(__xludf.DUMMYFUNCTION("""COMPUTED_VALUE"""),"")</f>
        <v/>
      </c>
    </row>
    <row r="741" ht="15.75" customHeight="1">
      <c r="A741" t="str">
        <f>IFERROR(__xludf.DUMMYFUNCTION("""COMPUTED_VALUE"""),"")</f>
        <v/>
      </c>
      <c r="B741" t="str">
        <f>IFERROR(__xludf.DUMMYFUNCTION("""COMPUTED_VALUE"""),"")</f>
        <v/>
      </c>
      <c r="C741" t="str">
        <f>IFERROR(__xludf.DUMMYFUNCTION("""COMPUTED_VALUE"""),"")</f>
        <v/>
      </c>
      <c r="D741" t="str">
        <f>IFERROR(__xludf.DUMMYFUNCTION("""COMPUTED_VALUE"""),"")</f>
        <v/>
      </c>
      <c r="E741" t="str">
        <f>IFERROR(__xludf.DUMMYFUNCTION("""COMPUTED_VALUE"""),"")</f>
        <v/>
      </c>
      <c r="F741" t="str">
        <f>IFERROR(__xludf.DUMMYFUNCTION("""COMPUTED_VALUE"""),"")</f>
        <v/>
      </c>
      <c r="G741" t="str">
        <f>IFERROR(__xludf.DUMMYFUNCTION("""COMPUTED_VALUE"""),"")</f>
        <v/>
      </c>
      <c r="H741" t="str">
        <f>IFERROR(__xludf.DUMMYFUNCTION("""COMPUTED_VALUE"""),"")</f>
        <v/>
      </c>
      <c r="I741" t="str">
        <f>IFERROR(__xludf.DUMMYFUNCTION("""COMPUTED_VALUE"""),"")</f>
        <v/>
      </c>
      <c r="J741" t="str">
        <f>IFERROR(__xludf.DUMMYFUNCTION("""COMPUTED_VALUE"""),"")</f>
        <v/>
      </c>
      <c r="K741" t="str">
        <f>IFERROR(__xludf.DUMMYFUNCTION("""COMPUTED_VALUE"""),"")</f>
        <v/>
      </c>
      <c r="L741" t="str">
        <f>IFERROR(__xludf.DUMMYFUNCTION("""COMPUTED_VALUE"""),"")</f>
        <v/>
      </c>
    </row>
    <row r="742" ht="15.75" customHeight="1">
      <c r="A742" t="str">
        <f>IFERROR(__xludf.DUMMYFUNCTION("""COMPUTED_VALUE"""),"")</f>
        <v/>
      </c>
      <c r="B742" t="str">
        <f>IFERROR(__xludf.DUMMYFUNCTION("""COMPUTED_VALUE"""),"")</f>
        <v/>
      </c>
      <c r="C742" t="str">
        <f>IFERROR(__xludf.DUMMYFUNCTION("""COMPUTED_VALUE"""),"")</f>
        <v/>
      </c>
      <c r="D742" t="str">
        <f>IFERROR(__xludf.DUMMYFUNCTION("""COMPUTED_VALUE"""),"")</f>
        <v/>
      </c>
      <c r="E742" t="str">
        <f>IFERROR(__xludf.DUMMYFUNCTION("""COMPUTED_VALUE"""),"")</f>
        <v/>
      </c>
      <c r="F742" t="str">
        <f>IFERROR(__xludf.DUMMYFUNCTION("""COMPUTED_VALUE"""),"")</f>
        <v/>
      </c>
      <c r="G742" t="str">
        <f>IFERROR(__xludf.DUMMYFUNCTION("""COMPUTED_VALUE"""),"")</f>
        <v/>
      </c>
      <c r="H742" t="str">
        <f>IFERROR(__xludf.DUMMYFUNCTION("""COMPUTED_VALUE"""),"")</f>
        <v/>
      </c>
      <c r="I742" t="str">
        <f>IFERROR(__xludf.DUMMYFUNCTION("""COMPUTED_VALUE"""),"")</f>
        <v/>
      </c>
      <c r="J742" t="str">
        <f>IFERROR(__xludf.DUMMYFUNCTION("""COMPUTED_VALUE"""),"")</f>
        <v/>
      </c>
      <c r="K742" t="str">
        <f>IFERROR(__xludf.DUMMYFUNCTION("""COMPUTED_VALUE"""),"")</f>
        <v/>
      </c>
      <c r="L742" t="str">
        <f>IFERROR(__xludf.DUMMYFUNCTION("""COMPUTED_VALUE"""),"")</f>
        <v/>
      </c>
    </row>
    <row r="743" ht="15.75" customHeight="1">
      <c r="A743" t="str">
        <f>IFERROR(__xludf.DUMMYFUNCTION("""COMPUTED_VALUE"""),"")</f>
        <v/>
      </c>
      <c r="B743" t="str">
        <f>IFERROR(__xludf.DUMMYFUNCTION("""COMPUTED_VALUE"""),"")</f>
        <v/>
      </c>
      <c r="C743" t="str">
        <f>IFERROR(__xludf.DUMMYFUNCTION("""COMPUTED_VALUE"""),"")</f>
        <v/>
      </c>
      <c r="D743" t="str">
        <f>IFERROR(__xludf.DUMMYFUNCTION("""COMPUTED_VALUE"""),"")</f>
        <v/>
      </c>
      <c r="E743" t="str">
        <f>IFERROR(__xludf.DUMMYFUNCTION("""COMPUTED_VALUE"""),"")</f>
        <v/>
      </c>
      <c r="F743" t="str">
        <f>IFERROR(__xludf.DUMMYFUNCTION("""COMPUTED_VALUE"""),"")</f>
        <v/>
      </c>
      <c r="G743" t="str">
        <f>IFERROR(__xludf.DUMMYFUNCTION("""COMPUTED_VALUE"""),"")</f>
        <v/>
      </c>
      <c r="H743" t="str">
        <f>IFERROR(__xludf.DUMMYFUNCTION("""COMPUTED_VALUE"""),"")</f>
        <v/>
      </c>
      <c r="I743" t="str">
        <f>IFERROR(__xludf.DUMMYFUNCTION("""COMPUTED_VALUE"""),"")</f>
        <v/>
      </c>
      <c r="J743" t="str">
        <f>IFERROR(__xludf.DUMMYFUNCTION("""COMPUTED_VALUE"""),"")</f>
        <v/>
      </c>
      <c r="K743" t="str">
        <f>IFERROR(__xludf.DUMMYFUNCTION("""COMPUTED_VALUE"""),"")</f>
        <v/>
      </c>
      <c r="L743" t="str">
        <f>IFERROR(__xludf.DUMMYFUNCTION("""COMPUTED_VALUE"""),"")</f>
        <v/>
      </c>
    </row>
    <row r="744" ht="15.75" customHeight="1">
      <c r="A744" t="str">
        <f>IFERROR(__xludf.DUMMYFUNCTION("""COMPUTED_VALUE"""),"")</f>
        <v/>
      </c>
      <c r="B744" t="str">
        <f>IFERROR(__xludf.DUMMYFUNCTION("""COMPUTED_VALUE"""),"")</f>
        <v/>
      </c>
      <c r="C744" t="str">
        <f>IFERROR(__xludf.DUMMYFUNCTION("""COMPUTED_VALUE"""),"")</f>
        <v/>
      </c>
      <c r="D744" t="str">
        <f>IFERROR(__xludf.DUMMYFUNCTION("""COMPUTED_VALUE"""),"")</f>
        <v/>
      </c>
      <c r="E744" t="str">
        <f>IFERROR(__xludf.DUMMYFUNCTION("""COMPUTED_VALUE"""),"")</f>
        <v/>
      </c>
      <c r="F744" t="str">
        <f>IFERROR(__xludf.DUMMYFUNCTION("""COMPUTED_VALUE"""),"")</f>
        <v/>
      </c>
      <c r="G744" t="str">
        <f>IFERROR(__xludf.DUMMYFUNCTION("""COMPUTED_VALUE"""),"")</f>
        <v/>
      </c>
      <c r="H744" t="str">
        <f>IFERROR(__xludf.DUMMYFUNCTION("""COMPUTED_VALUE"""),"")</f>
        <v/>
      </c>
      <c r="I744" t="str">
        <f>IFERROR(__xludf.DUMMYFUNCTION("""COMPUTED_VALUE"""),"")</f>
        <v/>
      </c>
      <c r="J744" t="str">
        <f>IFERROR(__xludf.DUMMYFUNCTION("""COMPUTED_VALUE"""),"")</f>
        <v/>
      </c>
      <c r="K744" t="str">
        <f>IFERROR(__xludf.DUMMYFUNCTION("""COMPUTED_VALUE"""),"")</f>
        <v/>
      </c>
      <c r="L744" t="str">
        <f>IFERROR(__xludf.DUMMYFUNCTION("""COMPUTED_VALUE"""),"")</f>
        <v/>
      </c>
    </row>
    <row r="745" ht="15.75" customHeight="1">
      <c r="A745" t="str">
        <f>IFERROR(__xludf.DUMMYFUNCTION("""COMPUTED_VALUE"""),"")</f>
        <v/>
      </c>
      <c r="B745" t="str">
        <f>IFERROR(__xludf.DUMMYFUNCTION("""COMPUTED_VALUE"""),"")</f>
        <v/>
      </c>
      <c r="C745" t="str">
        <f>IFERROR(__xludf.DUMMYFUNCTION("""COMPUTED_VALUE"""),"")</f>
        <v/>
      </c>
      <c r="D745" t="str">
        <f>IFERROR(__xludf.DUMMYFUNCTION("""COMPUTED_VALUE"""),"")</f>
        <v/>
      </c>
      <c r="E745" t="str">
        <f>IFERROR(__xludf.DUMMYFUNCTION("""COMPUTED_VALUE"""),"")</f>
        <v/>
      </c>
      <c r="F745" t="str">
        <f>IFERROR(__xludf.DUMMYFUNCTION("""COMPUTED_VALUE"""),"")</f>
        <v/>
      </c>
      <c r="G745" t="str">
        <f>IFERROR(__xludf.DUMMYFUNCTION("""COMPUTED_VALUE"""),"")</f>
        <v/>
      </c>
      <c r="H745" t="str">
        <f>IFERROR(__xludf.DUMMYFUNCTION("""COMPUTED_VALUE"""),"")</f>
        <v/>
      </c>
      <c r="I745" t="str">
        <f>IFERROR(__xludf.DUMMYFUNCTION("""COMPUTED_VALUE"""),"")</f>
        <v/>
      </c>
      <c r="J745" t="str">
        <f>IFERROR(__xludf.DUMMYFUNCTION("""COMPUTED_VALUE"""),"")</f>
        <v/>
      </c>
      <c r="K745" t="str">
        <f>IFERROR(__xludf.DUMMYFUNCTION("""COMPUTED_VALUE"""),"")</f>
        <v/>
      </c>
      <c r="L745" t="str">
        <f>IFERROR(__xludf.DUMMYFUNCTION("""COMPUTED_VALUE"""),"")</f>
        <v/>
      </c>
    </row>
    <row r="746" ht="15.75" customHeight="1">
      <c r="A746" t="str">
        <f>IFERROR(__xludf.DUMMYFUNCTION("""COMPUTED_VALUE"""),"")</f>
        <v/>
      </c>
      <c r="B746" t="str">
        <f>IFERROR(__xludf.DUMMYFUNCTION("""COMPUTED_VALUE"""),"")</f>
        <v/>
      </c>
      <c r="C746" t="str">
        <f>IFERROR(__xludf.DUMMYFUNCTION("""COMPUTED_VALUE"""),"")</f>
        <v/>
      </c>
      <c r="D746" t="str">
        <f>IFERROR(__xludf.DUMMYFUNCTION("""COMPUTED_VALUE"""),"")</f>
        <v/>
      </c>
      <c r="E746" t="str">
        <f>IFERROR(__xludf.DUMMYFUNCTION("""COMPUTED_VALUE"""),"")</f>
        <v/>
      </c>
      <c r="F746" t="str">
        <f>IFERROR(__xludf.DUMMYFUNCTION("""COMPUTED_VALUE"""),"")</f>
        <v/>
      </c>
      <c r="G746" t="str">
        <f>IFERROR(__xludf.DUMMYFUNCTION("""COMPUTED_VALUE"""),"")</f>
        <v/>
      </c>
      <c r="H746" t="str">
        <f>IFERROR(__xludf.DUMMYFUNCTION("""COMPUTED_VALUE"""),"")</f>
        <v/>
      </c>
      <c r="I746" t="str">
        <f>IFERROR(__xludf.DUMMYFUNCTION("""COMPUTED_VALUE"""),"")</f>
        <v/>
      </c>
      <c r="J746" t="str">
        <f>IFERROR(__xludf.DUMMYFUNCTION("""COMPUTED_VALUE"""),"")</f>
        <v/>
      </c>
      <c r="K746" t="str">
        <f>IFERROR(__xludf.DUMMYFUNCTION("""COMPUTED_VALUE"""),"")</f>
        <v/>
      </c>
      <c r="L746" t="str">
        <f>IFERROR(__xludf.DUMMYFUNCTION("""COMPUTED_VALUE"""),"")</f>
        <v/>
      </c>
    </row>
    <row r="747" ht="15.75" customHeight="1">
      <c r="A747" t="str">
        <f>IFERROR(__xludf.DUMMYFUNCTION("""COMPUTED_VALUE"""),"")</f>
        <v/>
      </c>
      <c r="B747" t="str">
        <f>IFERROR(__xludf.DUMMYFUNCTION("""COMPUTED_VALUE"""),"")</f>
        <v/>
      </c>
      <c r="C747" t="str">
        <f>IFERROR(__xludf.DUMMYFUNCTION("""COMPUTED_VALUE"""),"")</f>
        <v/>
      </c>
      <c r="D747" t="str">
        <f>IFERROR(__xludf.DUMMYFUNCTION("""COMPUTED_VALUE"""),"")</f>
        <v/>
      </c>
      <c r="E747" t="str">
        <f>IFERROR(__xludf.DUMMYFUNCTION("""COMPUTED_VALUE"""),"")</f>
        <v/>
      </c>
      <c r="F747" t="str">
        <f>IFERROR(__xludf.DUMMYFUNCTION("""COMPUTED_VALUE"""),"")</f>
        <v/>
      </c>
      <c r="G747" t="str">
        <f>IFERROR(__xludf.DUMMYFUNCTION("""COMPUTED_VALUE"""),"")</f>
        <v/>
      </c>
      <c r="H747" t="str">
        <f>IFERROR(__xludf.DUMMYFUNCTION("""COMPUTED_VALUE"""),"")</f>
        <v/>
      </c>
      <c r="I747" t="str">
        <f>IFERROR(__xludf.DUMMYFUNCTION("""COMPUTED_VALUE"""),"")</f>
        <v/>
      </c>
      <c r="J747" t="str">
        <f>IFERROR(__xludf.DUMMYFUNCTION("""COMPUTED_VALUE"""),"")</f>
        <v/>
      </c>
      <c r="K747" t="str">
        <f>IFERROR(__xludf.DUMMYFUNCTION("""COMPUTED_VALUE"""),"")</f>
        <v/>
      </c>
      <c r="L747" t="str">
        <f>IFERROR(__xludf.DUMMYFUNCTION("""COMPUTED_VALUE"""),"")</f>
        <v/>
      </c>
    </row>
    <row r="748" ht="15.75" customHeight="1">
      <c r="A748" t="str">
        <f>IFERROR(__xludf.DUMMYFUNCTION("""COMPUTED_VALUE"""),"")</f>
        <v/>
      </c>
      <c r="B748" t="str">
        <f>IFERROR(__xludf.DUMMYFUNCTION("""COMPUTED_VALUE"""),"")</f>
        <v/>
      </c>
      <c r="C748" t="str">
        <f>IFERROR(__xludf.DUMMYFUNCTION("""COMPUTED_VALUE"""),"")</f>
        <v/>
      </c>
      <c r="D748" t="str">
        <f>IFERROR(__xludf.DUMMYFUNCTION("""COMPUTED_VALUE"""),"")</f>
        <v/>
      </c>
      <c r="E748" t="str">
        <f>IFERROR(__xludf.DUMMYFUNCTION("""COMPUTED_VALUE"""),"")</f>
        <v/>
      </c>
      <c r="F748" t="str">
        <f>IFERROR(__xludf.DUMMYFUNCTION("""COMPUTED_VALUE"""),"")</f>
        <v/>
      </c>
      <c r="G748" t="str">
        <f>IFERROR(__xludf.DUMMYFUNCTION("""COMPUTED_VALUE"""),"")</f>
        <v/>
      </c>
      <c r="H748" t="str">
        <f>IFERROR(__xludf.DUMMYFUNCTION("""COMPUTED_VALUE"""),"")</f>
        <v/>
      </c>
      <c r="I748" t="str">
        <f>IFERROR(__xludf.DUMMYFUNCTION("""COMPUTED_VALUE"""),"")</f>
        <v/>
      </c>
      <c r="J748" t="str">
        <f>IFERROR(__xludf.DUMMYFUNCTION("""COMPUTED_VALUE"""),"")</f>
        <v/>
      </c>
      <c r="K748" t="str">
        <f>IFERROR(__xludf.DUMMYFUNCTION("""COMPUTED_VALUE"""),"")</f>
        <v/>
      </c>
      <c r="L748" t="str">
        <f>IFERROR(__xludf.DUMMYFUNCTION("""COMPUTED_VALUE"""),"")</f>
        <v/>
      </c>
    </row>
    <row r="749" ht="15.75" customHeight="1">
      <c r="A749" t="str">
        <f>IFERROR(__xludf.DUMMYFUNCTION("""COMPUTED_VALUE"""),"")</f>
        <v/>
      </c>
      <c r="B749" t="str">
        <f>IFERROR(__xludf.DUMMYFUNCTION("""COMPUTED_VALUE"""),"")</f>
        <v/>
      </c>
      <c r="C749" t="str">
        <f>IFERROR(__xludf.DUMMYFUNCTION("""COMPUTED_VALUE"""),"")</f>
        <v/>
      </c>
      <c r="D749" t="str">
        <f>IFERROR(__xludf.DUMMYFUNCTION("""COMPUTED_VALUE"""),"")</f>
        <v/>
      </c>
      <c r="E749" t="str">
        <f>IFERROR(__xludf.DUMMYFUNCTION("""COMPUTED_VALUE"""),"")</f>
        <v/>
      </c>
      <c r="F749" t="str">
        <f>IFERROR(__xludf.DUMMYFUNCTION("""COMPUTED_VALUE"""),"")</f>
        <v/>
      </c>
      <c r="G749" t="str">
        <f>IFERROR(__xludf.DUMMYFUNCTION("""COMPUTED_VALUE"""),"")</f>
        <v/>
      </c>
      <c r="H749" t="str">
        <f>IFERROR(__xludf.DUMMYFUNCTION("""COMPUTED_VALUE"""),"")</f>
        <v/>
      </c>
      <c r="I749" t="str">
        <f>IFERROR(__xludf.DUMMYFUNCTION("""COMPUTED_VALUE"""),"")</f>
        <v/>
      </c>
      <c r="J749" t="str">
        <f>IFERROR(__xludf.DUMMYFUNCTION("""COMPUTED_VALUE"""),"")</f>
        <v/>
      </c>
      <c r="K749" t="str">
        <f>IFERROR(__xludf.DUMMYFUNCTION("""COMPUTED_VALUE"""),"")</f>
        <v/>
      </c>
      <c r="L749" t="str">
        <f>IFERROR(__xludf.DUMMYFUNCTION("""COMPUTED_VALUE"""),"")</f>
        <v/>
      </c>
    </row>
    <row r="750" ht="15.75" customHeight="1">
      <c r="A750" t="str">
        <f>IFERROR(__xludf.DUMMYFUNCTION("""COMPUTED_VALUE"""),"")</f>
        <v/>
      </c>
      <c r="B750" t="str">
        <f>IFERROR(__xludf.DUMMYFUNCTION("""COMPUTED_VALUE"""),"")</f>
        <v/>
      </c>
      <c r="C750" t="str">
        <f>IFERROR(__xludf.DUMMYFUNCTION("""COMPUTED_VALUE"""),"")</f>
        <v/>
      </c>
      <c r="D750" t="str">
        <f>IFERROR(__xludf.DUMMYFUNCTION("""COMPUTED_VALUE"""),"")</f>
        <v/>
      </c>
      <c r="E750" t="str">
        <f>IFERROR(__xludf.DUMMYFUNCTION("""COMPUTED_VALUE"""),"")</f>
        <v/>
      </c>
      <c r="F750" t="str">
        <f>IFERROR(__xludf.DUMMYFUNCTION("""COMPUTED_VALUE"""),"")</f>
        <v/>
      </c>
      <c r="G750" t="str">
        <f>IFERROR(__xludf.DUMMYFUNCTION("""COMPUTED_VALUE"""),"")</f>
        <v/>
      </c>
      <c r="H750" t="str">
        <f>IFERROR(__xludf.DUMMYFUNCTION("""COMPUTED_VALUE"""),"")</f>
        <v/>
      </c>
      <c r="I750" t="str">
        <f>IFERROR(__xludf.DUMMYFUNCTION("""COMPUTED_VALUE"""),"")</f>
        <v/>
      </c>
      <c r="J750" t="str">
        <f>IFERROR(__xludf.DUMMYFUNCTION("""COMPUTED_VALUE"""),"")</f>
        <v/>
      </c>
      <c r="K750" t="str">
        <f>IFERROR(__xludf.DUMMYFUNCTION("""COMPUTED_VALUE"""),"")</f>
        <v/>
      </c>
      <c r="L750" t="str">
        <f>IFERROR(__xludf.DUMMYFUNCTION("""COMPUTED_VALUE"""),"")</f>
        <v/>
      </c>
    </row>
    <row r="751" ht="15.75" customHeight="1">
      <c r="A751" t="str">
        <f>IFERROR(__xludf.DUMMYFUNCTION("""COMPUTED_VALUE"""),"")</f>
        <v/>
      </c>
      <c r="B751" t="str">
        <f>IFERROR(__xludf.DUMMYFUNCTION("""COMPUTED_VALUE"""),"")</f>
        <v/>
      </c>
      <c r="C751" t="str">
        <f>IFERROR(__xludf.DUMMYFUNCTION("""COMPUTED_VALUE"""),"")</f>
        <v/>
      </c>
      <c r="D751" t="str">
        <f>IFERROR(__xludf.DUMMYFUNCTION("""COMPUTED_VALUE"""),"")</f>
        <v/>
      </c>
      <c r="E751" t="str">
        <f>IFERROR(__xludf.DUMMYFUNCTION("""COMPUTED_VALUE"""),"")</f>
        <v/>
      </c>
      <c r="F751" t="str">
        <f>IFERROR(__xludf.DUMMYFUNCTION("""COMPUTED_VALUE"""),"")</f>
        <v/>
      </c>
      <c r="G751" t="str">
        <f>IFERROR(__xludf.DUMMYFUNCTION("""COMPUTED_VALUE"""),"")</f>
        <v/>
      </c>
      <c r="H751" t="str">
        <f>IFERROR(__xludf.DUMMYFUNCTION("""COMPUTED_VALUE"""),"")</f>
        <v/>
      </c>
      <c r="I751" t="str">
        <f>IFERROR(__xludf.DUMMYFUNCTION("""COMPUTED_VALUE"""),"")</f>
        <v/>
      </c>
      <c r="J751" t="str">
        <f>IFERROR(__xludf.DUMMYFUNCTION("""COMPUTED_VALUE"""),"")</f>
        <v/>
      </c>
      <c r="K751" t="str">
        <f>IFERROR(__xludf.DUMMYFUNCTION("""COMPUTED_VALUE"""),"")</f>
        <v/>
      </c>
      <c r="L751" t="str">
        <f>IFERROR(__xludf.DUMMYFUNCTION("""COMPUTED_VALUE"""),"")</f>
        <v/>
      </c>
    </row>
    <row r="752" ht="15.75" customHeight="1">
      <c r="A752" t="str">
        <f>IFERROR(__xludf.DUMMYFUNCTION("""COMPUTED_VALUE"""),"")</f>
        <v/>
      </c>
      <c r="B752" t="str">
        <f>IFERROR(__xludf.DUMMYFUNCTION("""COMPUTED_VALUE"""),"")</f>
        <v/>
      </c>
      <c r="C752" t="str">
        <f>IFERROR(__xludf.DUMMYFUNCTION("""COMPUTED_VALUE"""),"")</f>
        <v/>
      </c>
      <c r="D752" t="str">
        <f>IFERROR(__xludf.DUMMYFUNCTION("""COMPUTED_VALUE"""),"")</f>
        <v/>
      </c>
      <c r="E752" t="str">
        <f>IFERROR(__xludf.DUMMYFUNCTION("""COMPUTED_VALUE"""),"")</f>
        <v/>
      </c>
      <c r="F752" t="str">
        <f>IFERROR(__xludf.DUMMYFUNCTION("""COMPUTED_VALUE"""),"")</f>
        <v/>
      </c>
      <c r="G752" t="str">
        <f>IFERROR(__xludf.DUMMYFUNCTION("""COMPUTED_VALUE"""),"")</f>
        <v/>
      </c>
      <c r="H752" t="str">
        <f>IFERROR(__xludf.DUMMYFUNCTION("""COMPUTED_VALUE"""),"")</f>
        <v/>
      </c>
      <c r="I752" t="str">
        <f>IFERROR(__xludf.DUMMYFUNCTION("""COMPUTED_VALUE"""),"")</f>
        <v/>
      </c>
      <c r="J752" t="str">
        <f>IFERROR(__xludf.DUMMYFUNCTION("""COMPUTED_VALUE"""),"")</f>
        <v/>
      </c>
      <c r="K752" t="str">
        <f>IFERROR(__xludf.DUMMYFUNCTION("""COMPUTED_VALUE"""),"")</f>
        <v/>
      </c>
      <c r="L752" t="str">
        <f>IFERROR(__xludf.DUMMYFUNCTION("""COMPUTED_VALUE"""),"")</f>
        <v/>
      </c>
    </row>
    <row r="753" ht="15.75" customHeight="1">
      <c r="A753" t="str">
        <f>IFERROR(__xludf.DUMMYFUNCTION("""COMPUTED_VALUE"""),"")</f>
        <v/>
      </c>
      <c r="B753" t="str">
        <f>IFERROR(__xludf.DUMMYFUNCTION("""COMPUTED_VALUE"""),"")</f>
        <v/>
      </c>
      <c r="C753" t="str">
        <f>IFERROR(__xludf.DUMMYFUNCTION("""COMPUTED_VALUE"""),"")</f>
        <v/>
      </c>
      <c r="D753" t="str">
        <f>IFERROR(__xludf.DUMMYFUNCTION("""COMPUTED_VALUE"""),"")</f>
        <v/>
      </c>
      <c r="E753" t="str">
        <f>IFERROR(__xludf.DUMMYFUNCTION("""COMPUTED_VALUE"""),"")</f>
        <v/>
      </c>
      <c r="F753" t="str">
        <f>IFERROR(__xludf.DUMMYFUNCTION("""COMPUTED_VALUE"""),"")</f>
        <v/>
      </c>
      <c r="G753" t="str">
        <f>IFERROR(__xludf.DUMMYFUNCTION("""COMPUTED_VALUE"""),"")</f>
        <v/>
      </c>
      <c r="H753" t="str">
        <f>IFERROR(__xludf.DUMMYFUNCTION("""COMPUTED_VALUE"""),"")</f>
        <v/>
      </c>
      <c r="I753" t="str">
        <f>IFERROR(__xludf.DUMMYFUNCTION("""COMPUTED_VALUE"""),"")</f>
        <v/>
      </c>
      <c r="J753" t="str">
        <f>IFERROR(__xludf.DUMMYFUNCTION("""COMPUTED_VALUE"""),"")</f>
        <v/>
      </c>
      <c r="K753" t="str">
        <f>IFERROR(__xludf.DUMMYFUNCTION("""COMPUTED_VALUE"""),"")</f>
        <v/>
      </c>
      <c r="L753" t="str">
        <f>IFERROR(__xludf.DUMMYFUNCTION("""COMPUTED_VALUE"""),"")</f>
        <v/>
      </c>
    </row>
    <row r="754" ht="15.75" customHeight="1">
      <c r="A754" t="str">
        <f>IFERROR(__xludf.DUMMYFUNCTION("""COMPUTED_VALUE"""),"")</f>
        <v/>
      </c>
      <c r="B754" t="str">
        <f>IFERROR(__xludf.DUMMYFUNCTION("""COMPUTED_VALUE"""),"")</f>
        <v/>
      </c>
      <c r="C754" t="str">
        <f>IFERROR(__xludf.DUMMYFUNCTION("""COMPUTED_VALUE"""),"")</f>
        <v/>
      </c>
      <c r="D754" t="str">
        <f>IFERROR(__xludf.DUMMYFUNCTION("""COMPUTED_VALUE"""),"")</f>
        <v/>
      </c>
      <c r="E754" t="str">
        <f>IFERROR(__xludf.DUMMYFUNCTION("""COMPUTED_VALUE"""),"")</f>
        <v/>
      </c>
      <c r="F754" t="str">
        <f>IFERROR(__xludf.DUMMYFUNCTION("""COMPUTED_VALUE"""),"")</f>
        <v/>
      </c>
      <c r="G754" t="str">
        <f>IFERROR(__xludf.DUMMYFUNCTION("""COMPUTED_VALUE"""),"")</f>
        <v/>
      </c>
      <c r="H754" t="str">
        <f>IFERROR(__xludf.DUMMYFUNCTION("""COMPUTED_VALUE"""),"")</f>
        <v/>
      </c>
      <c r="I754" t="str">
        <f>IFERROR(__xludf.DUMMYFUNCTION("""COMPUTED_VALUE"""),"")</f>
        <v/>
      </c>
      <c r="J754" t="str">
        <f>IFERROR(__xludf.DUMMYFUNCTION("""COMPUTED_VALUE"""),"")</f>
        <v/>
      </c>
      <c r="K754" t="str">
        <f>IFERROR(__xludf.DUMMYFUNCTION("""COMPUTED_VALUE"""),"")</f>
        <v/>
      </c>
      <c r="L754" t="str">
        <f>IFERROR(__xludf.DUMMYFUNCTION("""COMPUTED_VALUE"""),"")</f>
        <v/>
      </c>
    </row>
    <row r="755" ht="15.75" customHeight="1">
      <c r="A755" t="str">
        <f>IFERROR(__xludf.DUMMYFUNCTION("""COMPUTED_VALUE"""),"")</f>
        <v/>
      </c>
      <c r="B755" t="str">
        <f>IFERROR(__xludf.DUMMYFUNCTION("""COMPUTED_VALUE"""),"")</f>
        <v/>
      </c>
      <c r="C755" t="str">
        <f>IFERROR(__xludf.DUMMYFUNCTION("""COMPUTED_VALUE"""),"")</f>
        <v/>
      </c>
      <c r="D755" t="str">
        <f>IFERROR(__xludf.DUMMYFUNCTION("""COMPUTED_VALUE"""),"")</f>
        <v/>
      </c>
      <c r="E755" t="str">
        <f>IFERROR(__xludf.DUMMYFUNCTION("""COMPUTED_VALUE"""),"")</f>
        <v/>
      </c>
      <c r="F755" t="str">
        <f>IFERROR(__xludf.DUMMYFUNCTION("""COMPUTED_VALUE"""),"")</f>
        <v/>
      </c>
      <c r="G755" t="str">
        <f>IFERROR(__xludf.DUMMYFUNCTION("""COMPUTED_VALUE"""),"")</f>
        <v/>
      </c>
      <c r="H755" t="str">
        <f>IFERROR(__xludf.DUMMYFUNCTION("""COMPUTED_VALUE"""),"")</f>
        <v/>
      </c>
      <c r="I755" t="str">
        <f>IFERROR(__xludf.DUMMYFUNCTION("""COMPUTED_VALUE"""),"")</f>
        <v/>
      </c>
      <c r="J755" t="str">
        <f>IFERROR(__xludf.DUMMYFUNCTION("""COMPUTED_VALUE"""),"")</f>
        <v/>
      </c>
      <c r="K755" t="str">
        <f>IFERROR(__xludf.DUMMYFUNCTION("""COMPUTED_VALUE"""),"")</f>
        <v/>
      </c>
      <c r="L755" t="str">
        <f>IFERROR(__xludf.DUMMYFUNCTION("""COMPUTED_VALUE"""),"")</f>
        <v/>
      </c>
    </row>
    <row r="756" ht="15.75" customHeight="1">
      <c r="A756" t="str">
        <f>IFERROR(__xludf.DUMMYFUNCTION("""COMPUTED_VALUE"""),"")</f>
        <v/>
      </c>
      <c r="B756" t="str">
        <f>IFERROR(__xludf.DUMMYFUNCTION("""COMPUTED_VALUE"""),"")</f>
        <v/>
      </c>
      <c r="C756" t="str">
        <f>IFERROR(__xludf.DUMMYFUNCTION("""COMPUTED_VALUE"""),"")</f>
        <v/>
      </c>
      <c r="D756" t="str">
        <f>IFERROR(__xludf.DUMMYFUNCTION("""COMPUTED_VALUE"""),"")</f>
        <v/>
      </c>
      <c r="E756" t="str">
        <f>IFERROR(__xludf.DUMMYFUNCTION("""COMPUTED_VALUE"""),"")</f>
        <v/>
      </c>
      <c r="F756" t="str">
        <f>IFERROR(__xludf.DUMMYFUNCTION("""COMPUTED_VALUE"""),"")</f>
        <v/>
      </c>
      <c r="G756" t="str">
        <f>IFERROR(__xludf.DUMMYFUNCTION("""COMPUTED_VALUE"""),"")</f>
        <v/>
      </c>
      <c r="H756" t="str">
        <f>IFERROR(__xludf.DUMMYFUNCTION("""COMPUTED_VALUE"""),"")</f>
        <v/>
      </c>
      <c r="I756" t="str">
        <f>IFERROR(__xludf.DUMMYFUNCTION("""COMPUTED_VALUE"""),"")</f>
        <v/>
      </c>
      <c r="J756" t="str">
        <f>IFERROR(__xludf.DUMMYFUNCTION("""COMPUTED_VALUE"""),"")</f>
        <v/>
      </c>
      <c r="K756" t="str">
        <f>IFERROR(__xludf.DUMMYFUNCTION("""COMPUTED_VALUE"""),"")</f>
        <v/>
      </c>
      <c r="L756" t="str">
        <f>IFERROR(__xludf.DUMMYFUNCTION("""COMPUTED_VALUE"""),"")</f>
        <v/>
      </c>
    </row>
    <row r="757" ht="15.75" customHeight="1">
      <c r="A757" t="str">
        <f>IFERROR(__xludf.DUMMYFUNCTION("""COMPUTED_VALUE"""),"")</f>
        <v/>
      </c>
      <c r="B757" t="str">
        <f>IFERROR(__xludf.DUMMYFUNCTION("""COMPUTED_VALUE"""),"")</f>
        <v/>
      </c>
      <c r="C757" t="str">
        <f>IFERROR(__xludf.DUMMYFUNCTION("""COMPUTED_VALUE"""),"")</f>
        <v/>
      </c>
      <c r="D757" t="str">
        <f>IFERROR(__xludf.DUMMYFUNCTION("""COMPUTED_VALUE"""),"")</f>
        <v/>
      </c>
      <c r="E757" t="str">
        <f>IFERROR(__xludf.DUMMYFUNCTION("""COMPUTED_VALUE"""),"")</f>
        <v/>
      </c>
      <c r="F757" t="str">
        <f>IFERROR(__xludf.DUMMYFUNCTION("""COMPUTED_VALUE"""),"")</f>
        <v/>
      </c>
      <c r="G757" t="str">
        <f>IFERROR(__xludf.DUMMYFUNCTION("""COMPUTED_VALUE"""),"")</f>
        <v/>
      </c>
      <c r="H757" t="str">
        <f>IFERROR(__xludf.DUMMYFUNCTION("""COMPUTED_VALUE"""),"")</f>
        <v/>
      </c>
      <c r="I757" t="str">
        <f>IFERROR(__xludf.DUMMYFUNCTION("""COMPUTED_VALUE"""),"")</f>
        <v/>
      </c>
      <c r="J757" t="str">
        <f>IFERROR(__xludf.DUMMYFUNCTION("""COMPUTED_VALUE"""),"")</f>
        <v/>
      </c>
      <c r="K757" t="str">
        <f>IFERROR(__xludf.DUMMYFUNCTION("""COMPUTED_VALUE"""),"")</f>
        <v/>
      </c>
      <c r="L757" t="str">
        <f>IFERROR(__xludf.DUMMYFUNCTION("""COMPUTED_VALUE"""),"")</f>
        <v/>
      </c>
    </row>
    <row r="758" ht="15.75" customHeight="1">
      <c r="A758" t="str">
        <f>IFERROR(__xludf.DUMMYFUNCTION("""COMPUTED_VALUE"""),"")</f>
        <v/>
      </c>
      <c r="B758" t="str">
        <f>IFERROR(__xludf.DUMMYFUNCTION("""COMPUTED_VALUE"""),"")</f>
        <v/>
      </c>
      <c r="C758" t="str">
        <f>IFERROR(__xludf.DUMMYFUNCTION("""COMPUTED_VALUE"""),"")</f>
        <v/>
      </c>
      <c r="D758" t="str">
        <f>IFERROR(__xludf.DUMMYFUNCTION("""COMPUTED_VALUE"""),"")</f>
        <v/>
      </c>
      <c r="E758" t="str">
        <f>IFERROR(__xludf.DUMMYFUNCTION("""COMPUTED_VALUE"""),"")</f>
        <v/>
      </c>
      <c r="F758" t="str">
        <f>IFERROR(__xludf.DUMMYFUNCTION("""COMPUTED_VALUE"""),"")</f>
        <v/>
      </c>
      <c r="G758" t="str">
        <f>IFERROR(__xludf.DUMMYFUNCTION("""COMPUTED_VALUE"""),"")</f>
        <v/>
      </c>
      <c r="H758" t="str">
        <f>IFERROR(__xludf.DUMMYFUNCTION("""COMPUTED_VALUE"""),"")</f>
        <v/>
      </c>
      <c r="I758" t="str">
        <f>IFERROR(__xludf.DUMMYFUNCTION("""COMPUTED_VALUE"""),"")</f>
        <v/>
      </c>
      <c r="J758" t="str">
        <f>IFERROR(__xludf.DUMMYFUNCTION("""COMPUTED_VALUE"""),"")</f>
        <v/>
      </c>
      <c r="K758" t="str">
        <f>IFERROR(__xludf.DUMMYFUNCTION("""COMPUTED_VALUE"""),"")</f>
        <v/>
      </c>
      <c r="L758" t="str">
        <f>IFERROR(__xludf.DUMMYFUNCTION("""COMPUTED_VALUE"""),"")</f>
        <v/>
      </c>
    </row>
    <row r="759" ht="15.75" customHeight="1">
      <c r="A759" t="str">
        <f>IFERROR(__xludf.DUMMYFUNCTION("""COMPUTED_VALUE"""),"")</f>
        <v/>
      </c>
      <c r="B759" t="str">
        <f>IFERROR(__xludf.DUMMYFUNCTION("""COMPUTED_VALUE"""),"")</f>
        <v/>
      </c>
      <c r="C759" t="str">
        <f>IFERROR(__xludf.DUMMYFUNCTION("""COMPUTED_VALUE"""),"")</f>
        <v/>
      </c>
      <c r="D759" t="str">
        <f>IFERROR(__xludf.DUMMYFUNCTION("""COMPUTED_VALUE"""),"")</f>
        <v/>
      </c>
      <c r="E759" t="str">
        <f>IFERROR(__xludf.DUMMYFUNCTION("""COMPUTED_VALUE"""),"")</f>
        <v/>
      </c>
      <c r="F759" t="str">
        <f>IFERROR(__xludf.DUMMYFUNCTION("""COMPUTED_VALUE"""),"")</f>
        <v/>
      </c>
      <c r="G759" t="str">
        <f>IFERROR(__xludf.DUMMYFUNCTION("""COMPUTED_VALUE"""),"")</f>
        <v/>
      </c>
      <c r="H759" t="str">
        <f>IFERROR(__xludf.DUMMYFUNCTION("""COMPUTED_VALUE"""),"")</f>
        <v/>
      </c>
      <c r="I759" t="str">
        <f>IFERROR(__xludf.DUMMYFUNCTION("""COMPUTED_VALUE"""),"")</f>
        <v/>
      </c>
      <c r="J759" t="str">
        <f>IFERROR(__xludf.DUMMYFUNCTION("""COMPUTED_VALUE"""),"")</f>
        <v/>
      </c>
      <c r="K759" t="str">
        <f>IFERROR(__xludf.DUMMYFUNCTION("""COMPUTED_VALUE"""),"")</f>
        <v/>
      </c>
      <c r="L759" t="str">
        <f>IFERROR(__xludf.DUMMYFUNCTION("""COMPUTED_VALUE"""),"")</f>
        <v/>
      </c>
    </row>
    <row r="760" ht="15.75" customHeight="1">
      <c r="A760" t="str">
        <f>IFERROR(__xludf.DUMMYFUNCTION("""COMPUTED_VALUE"""),"")</f>
        <v/>
      </c>
      <c r="B760" t="str">
        <f>IFERROR(__xludf.DUMMYFUNCTION("""COMPUTED_VALUE"""),"")</f>
        <v/>
      </c>
      <c r="C760" t="str">
        <f>IFERROR(__xludf.DUMMYFUNCTION("""COMPUTED_VALUE"""),"")</f>
        <v/>
      </c>
      <c r="D760" t="str">
        <f>IFERROR(__xludf.DUMMYFUNCTION("""COMPUTED_VALUE"""),"")</f>
        <v/>
      </c>
      <c r="E760" t="str">
        <f>IFERROR(__xludf.DUMMYFUNCTION("""COMPUTED_VALUE"""),"")</f>
        <v/>
      </c>
      <c r="F760" t="str">
        <f>IFERROR(__xludf.DUMMYFUNCTION("""COMPUTED_VALUE"""),"")</f>
        <v/>
      </c>
      <c r="G760" t="str">
        <f>IFERROR(__xludf.DUMMYFUNCTION("""COMPUTED_VALUE"""),"")</f>
        <v/>
      </c>
      <c r="H760" t="str">
        <f>IFERROR(__xludf.DUMMYFUNCTION("""COMPUTED_VALUE"""),"")</f>
        <v/>
      </c>
      <c r="I760" t="str">
        <f>IFERROR(__xludf.DUMMYFUNCTION("""COMPUTED_VALUE"""),"")</f>
        <v/>
      </c>
      <c r="J760" t="str">
        <f>IFERROR(__xludf.DUMMYFUNCTION("""COMPUTED_VALUE"""),"")</f>
        <v/>
      </c>
      <c r="K760" t="str">
        <f>IFERROR(__xludf.DUMMYFUNCTION("""COMPUTED_VALUE"""),"")</f>
        <v/>
      </c>
      <c r="L760" t="str">
        <f>IFERROR(__xludf.DUMMYFUNCTION("""COMPUTED_VALUE"""),"")</f>
        <v/>
      </c>
    </row>
    <row r="761" ht="15.75" customHeight="1">
      <c r="A761" t="str">
        <f>IFERROR(__xludf.DUMMYFUNCTION("""COMPUTED_VALUE"""),"")</f>
        <v/>
      </c>
      <c r="B761" t="str">
        <f>IFERROR(__xludf.DUMMYFUNCTION("""COMPUTED_VALUE"""),"")</f>
        <v/>
      </c>
      <c r="C761" t="str">
        <f>IFERROR(__xludf.DUMMYFUNCTION("""COMPUTED_VALUE"""),"")</f>
        <v/>
      </c>
      <c r="D761" t="str">
        <f>IFERROR(__xludf.DUMMYFUNCTION("""COMPUTED_VALUE"""),"")</f>
        <v/>
      </c>
      <c r="E761" t="str">
        <f>IFERROR(__xludf.DUMMYFUNCTION("""COMPUTED_VALUE"""),"")</f>
        <v/>
      </c>
      <c r="F761" t="str">
        <f>IFERROR(__xludf.DUMMYFUNCTION("""COMPUTED_VALUE"""),"")</f>
        <v/>
      </c>
      <c r="G761" t="str">
        <f>IFERROR(__xludf.DUMMYFUNCTION("""COMPUTED_VALUE"""),"")</f>
        <v/>
      </c>
      <c r="H761" t="str">
        <f>IFERROR(__xludf.DUMMYFUNCTION("""COMPUTED_VALUE"""),"")</f>
        <v/>
      </c>
      <c r="I761" t="str">
        <f>IFERROR(__xludf.DUMMYFUNCTION("""COMPUTED_VALUE"""),"")</f>
        <v/>
      </c>
      <c r="J761" t="str">
        <f>IFERROR(__xludf.DUMMYFUNCTION("""COMPUTED_VALUE"""),"")</f>
        <v/>
      </c>
      <c r="K761" t="str">
        <f>IFERROR(__xludf.DUMMYFUNCTION("""COMPUTED_VALUE"""),"")</f>
        <v/>
      </c>
      <c r="L761" t="str">
        <f>IFERROR(__xludf.DUMMYFUNCTION("""COMPUTED_VALUE"""),"")</f>
        <v/>
      </c>
    </row>
    <row r="762" ht="15.75" customHeight="1">
      <c r="A762" t="str">
        <f>IFERROR(__xludf.DUMMYFUNCTION("""COMPUTED_VALUE"""),"")</f>
        <v/>
      </c>
      <c r="B762" t="str">
        <f>IFERROR(__xludf.DUMMYFUNCTION("""COMPUTED_VALUE"""),"")</f>
        <v/>
      </c>
      <c r="C762" t="str">
        <f>IFERROR(__xludf.DUMMYFUNCTION("""COMPUTED_VALUE"""),"")</f>
        <v/>
      </c>
      <c r="D762" t="str">
        <f>IFERROR(__xludf.DUMMYFUNCTION("""COMPUTED_VALUE"""),"")</f>
        <v/>
      </c>
      <c r="E762" t="str">
        <f>IFERROR(__xludf.DUMMYFUNCTION("""COMPUTED_VALUE"""),"")</f>
        <v/>
      </c>
      <c r="F762" t="str">
        <f>IFERROR(__xludf.DUMMYFUNCTION("""COMPUTED_VALUE"""),"")</f>
        <v/>
      </c>
      <c r="G762" t="str">
        <f>IFERROR(__xludf.DUMMYFUNCTION("""COMPUTED_VALUE"""),"")</f>
        <v/>
      </c>
      <c r="H762" t="str">
        <f>IFERROR(__xludf.DUMMYFUNCTION("""COMPUTED_VALUE"""),"")</f>
        <v/>
      </c>
      <c r="I762" t="str">
        <f>IFERROR(__xludf.DUMMYFUNCTION("""COMPUTED_VALUE"""),"")</f>
        <v/>
      </c>
      <c r="J762" t="str">
        <f>IFERROR(__xludf.DUMMYFUNCTION("""COMPUTED_VALUE"""),"")</f>
        <v/>
      </c>
      <c r="K762" t="str">
        <f>IFERROR(__xludf.DUMMYFUNCTION("""COMPUTED_VALUE"""),"")</f>
        <v/>
      </c>
      <c r="L762" t="str">
        <f>IFERROR(__xludf.DUMMYFUNCTION("""COMPUTED_VALUE"""),"")</f>
        <v/>
      </c>
    </row>
    <row r="763" ht="15.75" customHeight="1">
      <c r="A763" t="str">
        <f>IFERROR(__xludf.DUMMYFUNCTION("""COMPUTED_VALUE"""),"")</f>
        <v/>
      </c>
      <c r="B763" t="str">
        <f>IFERROR(__xludf.DUMMYFUNCTION("""COMPUTED_VALUE"""),"")</f>
        <v/>
      </c>
      <c r="C763" t="str">
        <f>IFERROR(__xludf.DUMMYFUNCTION("""COMPUTED_VALUE"""),"")</f>
        <v/>
      </c>
      <c r="D763" t="str">
        <f>IFERROR(__xludf.DUMMYFUNCTION("""COMPUTED_VALUE"""),"")</f>
        <v/>
      </c>
      <c r="E763" t="str">
        <f>IFERROR(__xludf.DUMMYFUNCTION("""COMPUTED_VALUE"""),"")</f>
        <v/>
      </c>
      <c r="F763" t="str">
        <f>IFERROR(__xludf.DUMMYFUNCTION("""COMPUTED_VALUE"""),"")</f>
        <v/>
      </c>
      <c r="G763" t="str">
        <f>IFERROR(__xludf.DUMMYFUNCTION("""COMPUTED_VALUE"""),"")</f>
        <v/>
      </c>
      <c r="H763" t="str">
        <f>IFERROR(__xludf.DUMMYFUNCTION("""COMPUTED_VALUE"""),"")</f>
        <v/>
      </c>
      <c r="I763" t="str">
        <f>IFERROR(__xludf.DUMMYFUNCTION("""COMPUTED_VALUE"""),"")</f>
        <v/>
      </c>
      <c r="J763" t="str">
        <f>IFERROR(__xludf.DUMMYFUNCTION("""COMPUTED_VALUE"""),"")</f>
        <v/>
      </c>
      <c r="K763" t="str">
        <f>IFERROR(__xludf.DUMMYFUNCTION("""COMPUTED_VALUE"""),"")</f>
        <v/>
      </c>
      <c r="L763" t="str">
        <f>IFERROR(__xludf.DUMMYFUNCTION("""COMPUTED_VALUE"""),"")</f>
        <v/>
      </c>
    </row>
    <row r="764" ht="15.75" customHeight="1">
      <c r="A764" t="str">
        <f>IFERROR(__xludf.DUMMYFUNCTION("""COMPUTED_VALUE"""),"")</f>
        <v/>
      </c>
      <c r="B764" t="str">
        <f>IFERROR(__xludf.DUMMYFUNCTION("""COMPUTED_VALUE"""),"")</f>
        <v/>
      </c>
      <c r="C764" t="str">
        <f>IFERROR(__xludf.DUMMYFUNCTION("""COMPUTED_VALUE"""),"")</f>
        <v/>
      </c>
      <c r="D764" t="str">
        <f>IFERROR(__xludf.DUMMYFUNCTION("""COMPUTED_VALUE"""),"")</f>
        <v/>
      </c>
      <c r="E764" t="str">
        <f>IFERROR(__xludf.DUMMYFUNCTION("""COMPUTED_VALUE"""),"")</f>
        <v/>
      </c>
      <c r="F764" t="str">
        <f>IFERROR(__xludf.DUMMYFUNCTION("""COMPUTED_VALUE"""),"")</f>
        <v/>
      </c>
      <c r="G764" t="str">
        <f>IFERROR(__xludf.DUMMYFUNCTION("""COMPUTED_VALUE"""),"")</f>
        <v/>
      </c>
      <c r="H764" t="str">
        <f>IFERROR(__xludf.DUMMYFUNCTION("""COMPUTED_VALUE"""),"")</f>
        <v/>
      </c>
      <c r="I764" t="str">
        <f>IFERROR(__xludf.DUMMYFUNCTION("""COMPUTED_VALUE"""),"")</f>
        <v/>
      </c>
      <c r="J764" t="str">
        <f>IFERROR(__xludf.DUMMYFUNCTION("""COMPUTED_VALUE"""),"")</f>
        <v/>
      </c>
      <c r="K764" t="str">
        <f>IFERROR(__xludf.DUMMYFUNCTION("""COMPUTED_VALUE"""),"")</f>
        <v/>
      </c>
      <c r="L764" t="str">
        <f>IFERROR(__xludf.DUMMYFUNCTION("""COMPUTED_VALUE"""),"")</f>
        <v/>
      </c>
    </row>
    <row r="765" ht="15.75" customHeight="1">
      <c r="A765" t="str">
        <f>IFERROR(__xludf.DUMMYFUNCTION("""COMPUTED_VALUE"""),"")</f>
        <v/>
      </c>
      <c r="B765" t="str">
        <f>IFERROR(__xludf.DUMMYFUNCTION("""COMPUTED_VALUE"""),"")</f>
        <v/>
      </c>
      <c r="C765" t="str">
        <f>IFERROR(__xludf.DUMMYFUNCTION("""COMPUTED_VALUE"""),"")</f>
        <v/>
      </c>
      <c r="D765" t="str">
        <f>IFERROR(__xludf.DUMMYFUNCTION("""COMPUTED_VALUE"""),"")</f>
        <v/>
      </c>
      <c r="E765" t="str">
        <f>IFERROR(__xludf.DUMMYFUNCTION("""COMPUTED_VALUE"""),"")</f>
        <v/>
      </c>
      <c r="F765" t="str">
        <f>IFERROR(__xludf.DUMMYFUNCTION("""COMPUTED_VALUE"""),"")</f>
        <v/>
      </c>
      <c r="G765" t="str">
        <f>IFERROR(__xludf.DUMMYFUNCTION("""COMPUTED_VALUE"""),"")</f>
        <v/>
      </c>
      <c r="H765" t="str">
        <f>IFERROR(__xludf.DUMMYFUNCTION("""COMPUTED_VALUE"""),"")</f>
        <v/>
      </c>
      <c r="I765" t="str">
        <f>IFERROR(__xludf.DUMMYFUNCTION("""COMPUTED_VALUE"""),"")</f>
        <v/>
      </c>
      <c r="J765" t="str">
        <f>IFERROR(__xludf.DUMMYFUNCTION("""COMPUTED_VALUE"""),"")</f>
        <v/>
      </c>
      <c r="K765" t="str">
        <f>IFERROR(__xludf.DUMMYFUNCTION("""COMPUTED_VALUE"""),"")</f>
        <v/>
      </c>
      <c r="L765" t="str">
        <f>IFERROR(__xludf.DUMMYFUNCTION("""COMPUTED_VALUE"""),"")</f>
        <v/>
      </c>
    </row>
    <row r="766" ht="15.75" customHeight="1">
      <c r="A766" t="str">
        <f>IFERROR(__xludf.DUMMYFUNCTION("""COMPUTED_VALUE"""),"")</f>
        <v/>
      </c>
      <c r="B766" t="str">
        <f>IFERROR(__xludf.DUMMYFUNCTION("""COMPUTED_VALUE"""),"")</f>
        <v/>
      </c>
      <c r="C766" t="str">
        <f>IFERROR(__xludf.DUMMYFUNCTION("""COMPUTED_VALUE"""),"")</f>
        <v/>
      </c>
      <c r="D766" t="str">
        <f>IFERROR(__xludf.DUMMYFUNCTION("""COMPUTED_VALUE"""),"")</f>
        <v/>
      </c>
      <c r="E766" t="str">
        <f>IFERROR(__xludf.DUMMYFUNCTION("""COMPUTED_VALUE"""),"")</f>
        <v/>
      </c>
      <c r="F766" t="str">
        <f>IFERROR(__xludf.DUMMYFUNCTION("""COMPUTED_VALUE"""),"")</f>
        <v/>
      </c>
      <c r="G766" t="str">
        <f>IFERROR(__xludf.DUMMYFUNCTION("""COMPUTED_VALUE"""),"")</f>
        <v/>
      </c>
      <c r="H766" t="str">
        <f>IFERROR(__xludf.DUMMYFUNCTION("""COMPUTED_VALUE"""),"")</f>
        <v/>
      </c>
      <c r="I766" t="str">
        <f>IFERROR(__xludf.DUMMYFUNCTION("""COMPUTED_VALUE"""),"")</f>
        <v/>
      </c>
      <c r="J766" t="str">
        <f>IFERROR(__xludf.DUMMYFUNCTION("""COMPUTED_VALUE"""),"")</f>
        <v/>
      </c>
      <c r="K766" t="str">
        <f>IFERROR(__xludf.DUMMYFUNCTION("""COMPUTED_VALUE"""),"")</f>
        <v/>
      </c>
      <c r="L766" t="str">
        <f>IFERROR(__xludf.DUMMYFUNCTION("""COMPUTED_VALUE"""),"")</f>
        <v/>
      </c>
    </row>
    <row r="767" ht="15.75" customHeight="1">
      <c r="A767" t="str">
        <f>IFERROR(__xludf.DUMMYFUNCTION("""COMPUTED_VALUE"""),"")</f>
        <v/>
      </c>
      <c r="B767" t="str">
        <f>IFERROR(__xludf.DUMMYFUNCTION("""COMPUTED_VALUE"""),"")</f>
        <v/>
      </c>
      <c r="C767" t="str">
        <f>IFERROR(__xludf.DUMMYFUNCTION("""COMPUTED_VALUE"""),"")</f>
        <v/>
      </c>
      <c r="D767" t="str">
        <f>IFERROR(__xludf.DUMMYFUNCTION("""COMPUTED_VALUE"""),"")</f>
        <v/>
      </c>
      <c r="E767" t="str">
        <f>IFERROR(__xludf.DUMMYFUNCTION("""COMPUTED_VALUE"""),"")</f>
        <v/>
      </c>
      <c r="F767" t="str">
        <f>IFERROR(__xludf.DUMMYFUNCTION("""COMPUTED_VALUE"""),"")</f>
        <v/>
      </c>
      <c r="G767" t="str">
        <f>IFERROR(__xludf.DUMMYFUNCTION("""COMPUTED_VALUE"""),"")</f>
        <v/>
      </c>
      <c r="H767" t="str">
        <f>IFERROR(__xludf.DUMMYFUNCTION("""COMPUTED_VALUE"""),"")</f>
        <v/>
      </c>
      <c r="I767" t="str">
        <f>IFERROR(__xludf.DUMMYFUNCTION("""COMPUTED_VALUE"""),"")</f>
        <v/>
      </c>
      <c r="J767" t="str">
        <f>IFERROR(__xludf.DUMMYFUNCTION("""COMPUTED_VALUE"""),"")</f>
        <v/>
      </c>
      <c r="K767" t="str">
        <f>IFERROR(__xludf.DUMMYFUNCTION("""COMPUTED_VALUE"""),"")</f>
        <v/>
      </c>
      <c r="L767" t="str">
        <f>IFERROR(__xludf.DUMMYFUNCTION("""COMPUTED_VALUE"""),"")</f>
        <v/>
      </c>
    </row>
    <row r="768" ht="15.75" customHeight="1">
      <c r="A768" t="str">
        <f>IFERROR(__xludf.DUMMYFUNCTION("""COMPUTED_VALUE"""),"")</f>
        <v/>
      </c>
      <c r="B768" t="str">
        <f>IFERROR(__xludf.DUMMYFUNCTION("""COMPUTED_VALUE"""),"")</f>
        <v/>
      </c>
      <c r="C768" t="str">
        <f>IFERROR(__xludf.DUMMYFUNCTION("""COMPUTED_VALUE"""),"")</f>
        <v/>
      </c>
      <c r="D768" t="str">
        <f>IFERROR(__xludf.DUMMYFUNCTION("""COMPUTED_VALUE"""),"")</f>
        <v/>
      </c>
      <c r="E768" t="str">
        <f>IFERROR(__xludf.DUMMYFUNCTION("""COMPUTED_VALUE"""),"")</f>
        <v/>
      </c>
      <c r="F768" t="str">
        <f>IFERROR(__xludf.DUMMYFUNCTION("""COMPUTED_VALUE"""),"")</f>
        <v/>
      </c>
      <c r="G768" t="str">
        <f>IFERROR(__xludf.DUMMYFUNCTION("""COMPUTED_VALUE"""),"")</f>
        <v/>
      </c>
      <c r="H768" t="str">
        <f>IFERROR(__xludf.DUMMYFUNCTION("""COMPUTED_VALUE"""),"")</f>
        <v/>
      </c>
      <c r="I768" t="str">
        <f>IFERROR(__xludf.DUMMYFUNCTION("""COMPUTED_VALUE"""),"")</f>
        <v/>
      </c>
      <c r="J768" t="str">
        <f>IFERROR(__xludf.DUMMYFUNCTION("""COMPUTED_VALUE"""),"")</f>
        <v/>
      </c>
      <c r="K768" t="str">
        <f>IFERROR(__xludf.DUMMYFUNCTION("""COMPUTED_VALUE"""),"")</f>
        <v/>
      </c>
      <c r="L768" t="str">
        <f>IFERROR(__xludf.DUMMYFUNCTION("""COMPUTED_VALUE"""),"")</f>
        <v/>
      </c>
    </row>
    <row r="769" ht="15.75" customHeight="1">
      <c r="A769" t="str">
        <f>IFERROR(__xludf.DUMMYFUNCTION("""COMPUTED_VALUE"""),"")</f>
        <v/>
      </c>
      <c r="B769" t="str">
        <f>IFERROR(__xludf.DUMMYFUNCTION("""COMPUTED_VALUE"""),"")</f>
        <v/>
      </c>
      <c r="C769" t="str">
        <f>IFERROR(__xludf.DUMMYFUNCTION("""COMPUTED_VALUE"""),"")</f>
        <v/>
      </c>
      <c r="D769" t="str">
        <f>IFERROR(__xludf.DUMMYFUNCTION("""COMPUTED_VALUE"""),"")</f>
        <v/>
      </c>
      <c r="E769" t="str">
        <f>IFERROR(__xludf.DUMMYFUNCTION("""COMPUTED_VALUE"""),"")</f>
        <v/>
      </c>
      <c r="F769" t="str">
        <f>IFERROR(__xludf.DUMMYFUNCTION("""COMPUTED_VALUE"""),"")</f>
        <v/>
      </c>
      <c r="G769" t="str">
        <f>IFERROR(__xludf.DUMMYFUNCTION("""COMPUTED_VALUE"""),"")</f>
        <v/>
      </c>
      <c r="H769" t="str">
        <f>IFERROR(__xludf.DUMMYFUNCTION("""COMPUTED_VALUE"""),"")</f>
        <v/>
      </c>
      <c r="I769" t="str">
        <f>IFERROR(__xludf.DUMMYFUNCTION("""COMPUTED_VALUE"""),"")</f>
        <v/>
      </c>
      <c r="J769" t="str">
        <f>IFERROR(__xludf.DUMMYFUNCTION("""COMPUTED_VALUE"""),"")</f>
        <v/>
      </c>
      <c r="K769" t="str">
        <f>IFERROR(__xludf.DUMMYFUNCTION("""COMPUTED_VALUE"""),"")</f>
        <v/>
      </c>
      <c r="L769" t="str">
        <f>IFERROR(__xludf.DUMMYFUNCTION("""COMPUTED_VALUE"""),"")</f>
        <v/>
      </c>
    </row>
    <row r="770" ht="15.75" customHeight="1">
      <c r="A770" t="str">
        <f>IFERROR(__xludf.DUMMYFUNCTION("""COMPUTED_VALUE"""),"")</f>
        <v/>
      </c>
      <c r="B770" t="str">
        <f>IFERROR(__xludf.DUMMYFUNCTION("""COMPUTED_VALUE"""),"")</f>
        <v/>
      </c>
      <c r="C770" t="str">
        <f>IFERROR(__xludf.DUMMYFUNCTION("""COMPUTED_VALUE"""),"")</f>
        <v/>
      </c>
      <c r="D770" t="str">
        <f>IFERROR(__xludf.DUMMYFUNCTION("""COMPUTED_VALUE"""),"")</f>
        <v/>
      </c>
      <c r="E770" t="str">
        <f>IFERROR(__xludf.DUMMYFUNCTION("""COMPUTED_VALUE"""),"")</f>
        <v/>
      </c>
      <c r="F770" t="str">
        <f>IFERROR(__xludf.DUMMYFUNCTION("""COMPUTED_VALUE"""),"")</f>
        <v/>
      </c>
      <c r="G770" t="str">
        <f>IFERROR(__xludf.DUMMYFUNCTION("""COMPUTED_VALUE"""),"")</f>
        <v/>
      </c>
      <c r="H770" t="str">
        <f>IFERROR(__xludf.DUMMYFUNCTION("""COMPUTED_VALUE"""),"")</f>
        <v/>
      </c>
      <c r="I770" t="str">
        <f>IFERROR(__xludf.DUMMYFUNCTION("""COMPUTED_VALUE"""),"")</f>
        <v/>
      </c>
      <c r="J770" t="str">
        <f>IFERROR(__xludf.DUMMYFUNCTION("""COMPUTED_VALUE"""),"")</f>
        <v/>
      </c>
      <c r="K770" t="str">
        <f>IFERROR(__xludf.DUMMYFUNCTION("""COMPUTED_VALUE"""),"")</f>
        <v/>
      </c>
      <c r="L770" t="str">
        <f>IFERROR(__xludf.DUMMYFUNCTION("""COMPUTED_VALUE"""),"")</f>
        <v/>
      </c>
    </row>
    <row r="771" ht="15.75" customHeight="1">
      <c r="A771" t="str">
        <f>IFERROR(__xludf.DUMMYFUNCTION("""COMPUTED_VALUE"""),"")</f>
        <v/>
      </c>
      <c r="B771" t="str">
        <f>IFERROR(__xludf.DUMMYFUNCTION("""COMPUTED_VALUE"""),"")</f>
        <v/>
      </c>
      <c r="C771" t="str">
        <f>IFERROR(__xludf.DUMMYFUNCTION("""COMPUTED_VALUE"""),"")</f>
        <v/>
      </c>
      <c r="D771" t="str">
        <f>IFERROR(__xludf.DUMMYFUNCTION("""COMPUTED_VALUE"""),"")</f>
        <v/>
      </c>
      <c r="E771" t="str">
        <f>IFERROR(__xludf.DUMMYFUNCTION("""COMPUTED_VALUE"""),"")</f>
        <v/>
      </c>
      <c r="F771" t="str">
        <f>IFERROR(__xludf.DUMMYFUNCTION("""COMPUTED_VALUE"""),"")</f>
        <v/>
      </c>
      <c r="G771" t="str">
        <f>IFERROR(__xludf.DUMMYFUNCTION("""COMPUTED_VALUE"""),"")</f>
        <v/>
      </c>
      <c r="H771" t="str">
        <f>IFERROR(__xludf.DUMMYFUNCTION("""COMPUTED_VALUE"""),"")</f>
        <v/>
      </c>
      <c r="I771" t="str">
        <f>IFERROR(__xludf.DUMMYFUNCTION("""COMPUTED_VALUE"""),"")</f>
        <v/>
      </c>
      <c r="J771" t="str">
        <f>IFERROR(__xludf.DUMMYFUNCTION("""COMPUTED_VALUE"""),"")</f>
        <v/>
      </c>
      <c r="K771" t="str">
        <f>IFERROR(__xludf.DUMMYFUNCTION("""COMPUTED_VALUE"""),"")</f>
        <v/>
      </c>
      <c r="L771" t="str">
        <f>IFERROR(__xludf.DUMMYFUNCTION("""COMPUTED_VALUE"""),"")</f>
        <v/>
      </c>
    </row>
    <row r="772" ht="15.75" customHeight="1">
      <c r="A772" t="str">
        <f>IFERROR(__xludf.DUMMYFUNCTION("""COMPUTED_VALUE"""),"")</f>
        <v/>
      </c>
      <c r="B772" t="str">
        <f>IFERROR(__xludf.DUMMYFUNCTION("""COMPUTED_VALUE"""),"")</f>
        <v/>
      </c>
      <c r="C772" t="str">
        <f>IFERROR(__xludf.DUMMYFUNCTION("""COMPUTED_VALUE"""),"")</f>
        <v/>
      </c>
      <c r="D772" t="str">
        <f>IFERROR(__xludf.DUMMYFUNCTION("""COMPUTED_VALUE"""),"")</f>
        <v/>
      </c>
      <c r="E772" t="str">
        <f>IFERROR(__xludf.DUMMYFUNCTION("""COMPUTED_VALUE"""),"")</f>
        <v/>
      </c>
      <c r="F772" t="str">
        <f>IFERROR(__xludf.DUMMYFUNCTION("""COMPUTED_VALUE"""),"")</f>
        <v/>
      </c>
      <c r="G772" t="str">
        <f>IFERROR(__xludf.DUMMYFUNCTION("""COMPUTED_VALUE"""),"")</f>
        <v/>
      </c>
      <c r="H772" t="str">
        <f>IFERROR(__xludf.DUMMYFUNCTION("""COMPUTED_VALUE"""),"")</f>
        <v/>
      </c>
      <c r="I772" t="str">
        <f>IFERROR(__xludf.DUMMYFUNCTION("""COMPUTED_VALUE"""),"")</f>
        <v/>
      </c>
      <c r="J772" t="str">
        <f>IFERROR(__xludf.DUMMYFUNCTION("""COMPUTED_VALUE"""),"")</f>
        <v/>
      </c>
      <c r="K772" t="str">
        <f>IFERROR(__xludf.DUMMYFUNCTION("""COMPUTED_VALUE"""),"")</f>
        <v/>
      </c>
      <c r="L772" t="str">
        <f>IFERROR(__xludf.DUMMYFUNCTION("""COMPUTED_VALUE"""),"")</f>
        <v/>
      </c>
    </row>
    <row r="773" ht="15.75" customHeight="1">
      <c r="A773" t="str">
        <f>IFERROR(__xludf.DUMMYFUNCTION("""COMPUTED_VALUE"""),"")</f>
        <v/>
      </c>
      <c r="B773" t="str">
        <f>IFERROR(__xludf.DUMMYFUNCTION("""COMPUTED_VALUE"""),"")</f>
        <v/>
      </c>
      <c r="C773" t="str">
        <f>IFERROR(__xludf.DUMMYFUNCTION("""COMPUTED_VALUE"""),"")</f>
        <v/>
      </c>
      <c r="D773" t="str">
        <f>IFERROR(__xludf.DUMMYFUNCTION("""COMPUTED_VALUE"""),"")</f>
        <v/>
      </c>
      <c r="E773" t="str">
        <f>IFERROR(__xludf.DUMMYFUNCTION("""COMPUTED_VALUE"""),"")</f>
        <v/>
      </c>
      <c r="F773" t="str">
        <f>IFERROR(__xludf.DUMMYFUNCTION("""COMPUTED_VALUE"""),"")</f>
        <v/>
      </c>
      <c r="G773" t="str">
        <f>IFERROR(__xludf.DUMMYFUNCTION("""COMPUTED_VALUE"""),"")</f>
        <v/>
      </c>
      <c r="H773" t="str">
        <f>IFERROR(__xludf.DUMMYFUNCTION("""COMPUTED_VALUE"""),"")</f>
        <v/>
      </c>
      <c r="I773" t="str">
        <f>IFERROR(__xludf.DUMMYFUNCTION("""COMPUTED_VALUE"""),"")</f>
        <v/>
      </c>
      <c r="J773" t="str">
        <f>IFERROR(__xludf.DUMMYFUNCTION("""COMPUTED_VALUE"""),"")</f>
        <v/>
      </c>
      <c r="K773" t="str">
        <f>IFERROR(__xludf.DUMMYFUNCTION("""COMPUTED_VALUE"""),"")</f>
        <v/>
      </c>
      <c r="L773" t="str">
        <f>IFERROR(__xludf.DUMMYFUNCTION("""COMPUTED_VALUE"""),"")</f>
        <v/>
      </c>
    </row>
    <row r="774" ht="15.75" customHeight="1">
      <c r="A774" t="str">
        <f>IFERROR(__xludf.DUMMYFUNCTION("""COMPUTED_VALUE"""),"")</f>
        <v/>
      </c>
      <c r="B774" t="str">
        <f>IFERROR(__xludf.DUMMYFUNCTION("""COMPUTED_VALUE"""),"")</f>
        <v/>
      </c>
      <c r="C774" t="str">
        <f>IFERROR(__xludf.DUMMYFUNCTION("""COMPUTED_VALUE"""),"")</f>
        <v/>
      </c>
      <c r="D774" t="str">
        <f>IFERROR(__xludf.DUMMYFUNCTION("""COMPUTED_VALUE"""),"")</f>
        <v/>
      </c>
      <c r="E774" t="str">
        <f>IFERROR(__xludf.DUMMYFUNCTION("""COMPUTED_VALUE"""),"")</f>
        <v/>
      </c>
      <c r="F774" t="str">
        <f>IFERROR(__xludf.DUMMYFUNCTION("""COMPUTED_VALUE"""),"")</f>
        <v/>
      </c>
      <c r="G774" t="str">
        <f>IFERROR(__xludf.DUMMYFUNCTION("""COMPUTED_VALUE"""),"")</f>
        <v/>
      </c>
      <c r="H774" t="str">
        <f>IFERROR(__xludf.DUMMYFUNCTION("""COMPUTED_VALUE"""),"")</f>
        <v/>
      </c>
      <c r="I774" t="str">
        <f>IFERROR(__xludf.DUMMYFUNCTION("""COMPUTED_VALUE"""),"")</f>
        <v/>
      </c>
      <c r="J774" t="str">
        <f>IFERROR(__xludf.DUMMYFUNCTION("""COMPUTED_VALUE"""),"")</f>
        <v/>
      </c>
      <c r="K774" t="str">
        <f>IFERROR(__xludf.DUMMYFUNCTION("""COMPUTED_VALUE"""),"")</f>
        <v/>
      </c>
      <c r="L774" t="str">
        <f>IFERROR(__xludf.DUMMYFUNCTION("""COMPUTED_VALUE"""),"")</f>
        <v/>
      </c>
    </row>
    <row r="775" ht="15.75" customHeight="1">
      <c r="A775" t="str">
        <f>IFERROR(__xludf.DUMMYFUNCTION("""COMPUTED_VALUE"""),"")</f>
        <v/>
      </c>
      <c r="B775" t="str">
        <f>IFERROR(__xludf.DUMMYFUNCTION("""COMPUTED_VALUE"""),"")</f>
        <v/>
      </c>
      <c r="C775" t="str">
        <f>IFERROR(__xludf.DUMMYFUNCTION("""COMPUTED_VALUE"""),"")</f>
        <v/>
      </c>
      <c r="D775" t="str">
        <f>IFERROR(__xludf.DUMMYFUNCTION("""COMPUTED_VALUE"""),"")</f>
        <v/>
      </c>
      <c r="E775" t="str">
        <f>IFERROR(__xludf.DUMMYFUNCTION("""COMPUTED_VALUE"""),"")</f>
        <v/>
      </c>
      <c r="F775" t="str">
        <f>IFERROR(__xludf.DUMMYFUNCTION("""COMPUTED_VALUE"""),"")</f>
        <v/>
      </c>
      <c r="G775" t="str">
        <f>IFERROR(__xludf.DUMMYFUNCTION("""COMPUTED_VALUE"""),"")</f>
        <v/>
      </c>
      <c r="H775" t="str">
        <f>IFERROR(__xludf.DUMMYFUNCTION("""COMPUTED_VALUE"""),"")</f>
        <v/>
      </c>
      <c r="I775" t="str">
        <f>IFERROR(__xludf.DUMMYFUNCTION("""COMPUTED_VALUE"""),"")</f>
        <v/>
      </c>
      <c r="J775" t="str">
        <f>IFERROR(__xludf.DUMMYFUNCTION("""COMPUTED_VALUE"""),"")</f>
        <v/>
      </c>
      <c r="K775" t="str">
        <f>IFERROR(__xludf.DUMMYFUNCTION("""COMPUTED_VALUE"""),"")</f>
        <v/>
      </c>
      <c r="L775" t="str">
        <f>IFERROR(__xludf.DUMMYFUNCTION("""COMPUTED_VALUE"""),"")</f>
        <v/>
      </c>
    </row>
    <row r="776" ht="15.75" customHeight="1">
      <c r="A776" t="str">
        <f>IFERROR(__xludf.DUMMYFUNCTION("""COMPUTED_VALUE"""),"")</f>
        <v/>
      </c>
      <c r="B776" t="str">
        <f>IFERROR(__xludf.DUMMYFUNCTION("""COMPUTED_VALUE"""),"")</f>
        <v/>
      </c>
      <c r="C776" t="str">
        <f>IFERROR(__xludf.DUMMYFUNCTION("""COMPUTED_VALUE"""),"")</f>
        <v/>
      </c>
      <c r="D776" t="str">
        <f>IFERROR(__xludf.DUMMYFUNCTION("""COMPUTED_VALUE"""),"")</f>
        <v/>
      </c>
      <c r="E776" t="str">
        <f>IFERROR(__xludf.DUMMYFUNCTION("""COMPUTED_VALUE"""),"")</f>
        <v/>
      </c>
      <c r="F776" t="str">
        <f>IFERROR(__xludf.DUMMYFUNCTION("""COMPUTED_VALUE"""),"")</f>
        <v/>
      </c>
      <c r="G776" t="str">
        <f>IFERROR(__xludf.DUMMYFUNCTION("""COMPUTED_VALUE"""),"")</f>
        <v/>
      </c>
      <c r="H776" t="str">
        <f>IFERROR(__xludf.DUMMYFUNCTION("""COMPUTED_VALUE"""),"")</f>
        <v/>
      </c>
      <c r="I776" t="str">
        <f>IFERROR(__xludf.DUMMYFUNCTION("""COMPUTED_VALUE"""),"")</f>
        <v/>
      </c>
      <c r="J776" t="str">
        <f>IFERROR(__xludf.DUMMYFUNCTION("""COMPUTED_VALUE"""),"")</f>
        <v/>
      </c>
      <c r="K776" t="str">
        <f>IFERROR(__xludf.DUMMYFUNCTION("""COMPUTED_VALUE"""),"")</f>
        <v/>
      </c>
      <c r="L776" t="str">
        <f>IFERROR(__xludf.DUMMYFUNCTION("""COMPUTED_VALUE"""),"")</f>
        <v/>
      </c>
    </row>
    <row r="777" ht="15.75" customHeight="1">
      <c r="A777" t="str">
        <f>IFERROR(__xludf.DUMMYFUNCTION("""COMPUTED_VALUE"""),"")</f>
        <v/>
      </c>
      <c r="B777" t="str">
        <f>IFERROR(__xludf.DUMMYFUNCTION("""COMPUTED_VALUE"""),"")</f>
        <v/>
      </c>
      <c r="C777" t="str">
        <f>IFERROR(__xludf.DUMMYFUNCTION("""COMPUTED_VALUE"""),"")</f>
        <v/>
      </c>
      <c r="D777" t="str">
        <f>IFERROR(__xludf.DUMMYFUNCTION("""COMPUTED_VALUE"""),"")</f>
        <v/>
      </c>
      <c r="E777" t="str">
        <f>IFERROR(__xludf.DUMMYFUNCTION("""COMPUTED_VALUE"""),"")</f>
        <v/>
      </c>
      <c r="F777" t="str">
        <f>IFERROR(__xludf.DUMMYFUNCTION("""COMPUTED_VALUE"""),"")</f>
        <v/>
      </c>
      <c r="G777" t="str">
        <f>IFERROR(__xludf.DUMMYFUNCTION("""COMPUTED_VALUE"""),"")</f>
        <v/>
      </c>
      <c r="H777" t="str">
        <f>IFERROR(__xludf.DUMMYFUNCTION("""COMPUTED_VALUE"""),"")</f>
        <v/>
      </c>
      <c r="I777" t="str">
        <f>IFERROR(__xludf.DUMMYFUNCTION("""COMPUTED_VALUE"""),"")</f>
        <v/>
      </c>
      <c r="J777" t="str">
        <f>IFERROR(__xludf.DUMMYFUNCTION("""COMPUTED_VALUE"""),"")</f>
        <v/>
      </c>
      <c r="K777" t="str">
        <f>IFERROR(__xludf.DUMMYFUNCTION("""COMPUTED_VALUE"""),"")</f>
        <v/>
      </c>
      <c r="L777" t="str">
        <f>IFERROR(__xludf.DUMMYFUNCTION("""COMPUTED_VALUE"""),"")</f>
        <v/>
      </c>
    </row>
    <row r="778" ht="15.75" customHeight="1">
      <c r="A778" t="str">
        <f>IFERROR(__xludf.DUMMYFUNCTION("""COMPUTED_VALUE"""),"")</f>
        <v/>
      </c>
      <c r="B778" t="str">
        <f>IFERROR(__xludf.DUMMYFUNCTION("""COMPUTED_VALUE"""),"")</f>
        <v/>
      </c>
      <c r="C778" t="str">
        <f>IFERROR(__xludf.DUMMYFUNCTION("""COMPUTED_VALUE"""),"")</f>
        <v/>
      </c>
      <c r="D778" t="str">
        <f>IFERROR(__xludf.DUMMYFUNCTION("""COMPUTED_VALUE"""),"")</f>
        <v/>
      </c>
      <c r="E778" t="str">
        <f>IFERROR(__xludf.DUMMYFUNCTION("""COMPUTED_VALUE"""),"")</f>
        <v/>
      </c>
      <c r="F778" t="str">
        <f>IFERROR(__xludf.DUMMYFUNCTION("""COMPUTED_VALUE"""),"")</f>
        <v/>
      </c>
      <c r="G778" t="str">
        <f>IFERROR(__xludf.DUMMYFUNCTION("""COMPUTED_VALUE"""),"")</f>
        <v/>
      </c>
      <c r="H778" t="str">
        <f>IFERROR(__xludf.DUMMYFUNCTION("""COMPUTED_VALUE"""),"")</f>
        <v/>
      </c>
      <c r="I778" t="str">
        <f>IFERROR(__xludf.DUMMYFUNCTION("""COMPUTED_VALUE"""),"")</f>
        <v/>
      </c>
      <c r="J778" t="str">
        <f>IFERROR(__xludf.DUMMYFUNCTION("""COMPUTED_VALUE"""),"")</f>
        <v/>
      </c>
      <c r="K778" t="str">
        <f>IFERROR(__xludf.DUMMYFUNCTION("""COMPUTED_VALUE"""),"")</f>
        <v/>
      </c>
      <c r="L778" t="str">
        <f>IFERROR(__xludf.DUMMYFUNCTION("""COMPUTED_VALUE"""),"")</f>
        <v/>
      </c>
    </row>
    <row r="779" ht="15.75" customHeight="1">
      <c r="A779" t="str">
        <f>IFERROR(__xludf.DUMMYFUNCTION("""COMPUTED_VALUE"""),"")</f>
        <v/>
      </c>
      <c r="B779" t="str">
        <f>IFERROR(__xludf.DUMMYFUNCTION("""COMPUTED_VALUE"""),"")</f>
        <v/>
      </c>
      <c r="C779" t="str">
        <f>IFERROR(__xludf.DUMMYFUNCTION("""COMPUTED_VALUE"""),"")</f>
        <v/>
      </c>
      <c r="D779" t="str">
        <f>IFERROR(__xludf.DUMMYFUNCTION("""COMPUTED_VALUE"""),"")</f>
        <v/>
      </c>
      <c r="E779" t="str">
        <f>IFERROR(__xludf.DUMMYFUNCTION("""COMPUTED_VALUE"""),"")</f>
        <v/>
      </c>
      <c r="F779" t="str">
        <f>IFERROR(__xludf.DUMMYFUNCTION("""COMPUTED_VALUE"""),"")</f>
        <v/>
      </c>
      <c r="G779" t="str">
        <f>IFERROR(__xludf.DUMMYFUNCTION("""COMPUTED_VALUE"""),"")</f>
        <v/>
      </c>
      <c r="H779" t="str">
        <f>IFERROR(__xludf.DUMMYFUNCTION("""COMPUTED_VALUE"""),"")</f>
        <v/>
      </c>
      <c r="I779" t="str">
        <f>IFERROR(__xludf.DUMMYFUNCTION("""COMPUTED_VALUE"""),"")</f>
        <v/>
      </c>
      <c r="J779" t="str">
        <f>IFERROR(__xludf.DUMMYFUNCTION("""COMPUTED_VALUE"""),"")</f>
        <v/>
      </c>
      <c r="K779" t="str">
        <f>IFERROR(__xludf.DUMMYFUNCTION("""COMPUTED_VALUE"""),"")</f>
        <v/>
      </c>
      <c r="L779" t="str">
        <f>IFERROR(__xludf.DUMMYFUNCTION("""COMPUTED_VALUE"""),"")</f>
        <v/>
      </c>
    </row>
    <row r="780" ht="15.75" customHeight="1">
      <c r="A780" t="str">
        <f>IFERROR(__xludf.DUMMYFUNCTION("""COMPUTED_VALUE"""),"")</f>
        <v/>
      </c>
      <c r="B780" t="str">
        <f>IFERROR(__xludf.DUMMYFUNCTION("""COMPUTED_VALUE"""),"")</f>
        <v/>
      </c>
      <c r="C780" t="str">
        <f>IFERROR(__xludf.DUMMYFUNCTION("""COMPUTED_VALUE"""),"")</f>
        <v/>
      </c>
      <c r="D780" t="str">
        <f>IFERROR(__xludf.DUMMYFUNCTION("""COMPUTED_VALUE"""),"")</f>
        <v/>
      </c>
      <c r="E780" t="str">
        <f>IFERROR(__xludf.DUMMYFUNCTION("""COMPUTED_VALUE"""),"")</f>
        <v/>
      </c>
      <c r="F780" t="str">
        <f>IFERROR(__xludf.DUMMYFUNCTION("""COMPUTED_VALUE"""),"")</f>
        <v/>
      </c>
      <c r="G780" t="str">
        <f>IFERROR(__xludf.DUMMYFUNCTION("""COMPUTED_VALUE"""),"")</f>
        <v/>
      </c>
      <c r="H780" t="str">
        <f>IFERROR(__xludf.DUMMYFUNCTION("""COMPUTED_VALUE"""),"")</f>
        <v/>
      </c>
      <c r="I780" t="str">
        <f>IFERROR(__xludf.DUMMYFUNCTION("""COMPUTED_VALUE"""),"")</f>
        <v/>
      </c>
      <c r="J780" t="str">
        <f>IFERROR(__xludf.DUMMYFUNCTION("""COMPUTED_VALUE"""),"")</f>
        <v/>
      </c>
      <c r="K780" t="str">
        <f>IFERROR(__xludf.DUMMYFUNCTION("""COMPUTED_VALUE"""),"")</f>
        <v/>
      </c>
      <c r="L780" t="str">
        <f>IFERROR(__xludf.DUMMYFUNCTION("""COMPUTED_VALUE"""),"")</f>
        <v/>
      </c>
    </row>
    <row r="781" ht="15.75" customHeight="1">
      <c r="A781" t="str">
        <f>IFERROR(__xludf.DUMMYFUNCTION("""COMPUTED_VALUE"""),"")</f>
        <v/>
      </c>
      <c r="B781" t="str">
        <f>IFERROR(__xludf.DUMMYFUNCTION("""COMPUTED_VALUE"""),"")</f>
        <v/>
      </c>
      <c r="C781" t="str">
        <f>IFERROR(__xludf.DUMMYFUNCTION("""COMPUTED_VALUE"""),"")</f>
        <v/>
      </c>
      <c r="D781" t="str">
        <f>IFERROR(__xludf.DUMMYFUNCTION("""COMPUTED_VALUE"""),"")</f>
        <v/>
      </c>
      <c r="E781" t="str">
        <f>IFERROR(__xludf.DUMMYFUNCTION("""COMPUTED_VALUE"""),"")</f>
        <v/>
      </c>
      <c r="F781" t="str">
        <f>IFERROR(__xludf.DUMMYFUNCTION("""COMPUTED_VALUE"""),"")</f>
        <v/>
      </c>
      <c r="G781" t="str">
        <f>IFERROR(__xludf.DUMMYFUNCTION("""COMPUTED_VALUE"""),"")</f>
        <v/>
      </c>
      <c r="H781" t="str">
        <f>IFERROR(__xludf.DUMMYFUNCTION("""COMPUTED_VALUE"""),"")</f>
        <v/>
      </c>
      <c r="I781" t="str">
        <f>IFERROR(__xludf.DUMMYFUNCTION("""COMPUTED_VALUE"""),"")</f>
        <v/>
      </c>
      <c r="J781" t="str">
        <f>IFERROR(__xludf.DUMMYFUNCTION("""COMPUTED_VALUE"""),"")</f>
        <v/>
      </c>
      <c r="K781" t="str">
        <f>IFERROR(__xludf.DUMMYFUNCTION("""COMPUTED_VALUE"""),"")</f>
        <v/>
      </c>
      <c r="L781" t="str">
        <f>IFERROR(__xludf.DUMMYFUNCTION("""COMPUTED_VALUE"""),"")</f>
        <v/>
      </c>
    </row>
    <row r="782" ht="15.75" customHeight="1">
      <c r="A782" t="str">
        <f>IFERROR(__xludf.DUMMYFUNCTION("""COMPUTED_VALUE"""),"")</f>
        <v/>
      </c>
      <c r="B782" t="str">
        <f>IFERROR(__xludf.DUMMYFUNCTION("""COMPUTED_VALUE"""),"")</f>
        <v/>
      </c>
      <c r="C782" t="str">
        <f>IFERROR(__xludf.DUMMYFUNCTION("""COMPUTED_VALUE"""),"")</f>
        <v/>
      </c>
      <c r="D782" t="str">
        <f>IFERROR(__xludf.DUMMYFUNCTION("""COMPUTED_VALUE"""),"")</f>
        <v/>
      </c>
      <c r="E782" t="str">
        <f>IFERROR(__xludf.DUMMYFUNCTION("""COMPUTED_VALUE"""),"")</f>
        <v/>
      </c>
      <c r="F782" t="str">
        <f>IFERROR(__xludf.DUMMYFUNCTION("""COMPUTED_VALUE"""),"")</f>
        <v/>
      </c>
      <c r="G782" t="str">
        <f>IFERROR(__xludf.DUMMYFUNCTION("""COMPUTED_VALUE"""),"")</f>
        <v/>
      </c>
      <c r="H782" t="str">
        <f>IFERROR(__xludf.DUMMYFUNCTION("""COMPUTED_VALUE"""),"")</f>
        <v/>
      </c>
      <c r="I782" t="str">
        <f>IFERROR(__xludf.DUMMYFUNCTION("""COMPUTED_VALUE"""),"")</f>
        <v/>
      </c>
      <c r="J782" t="str">
        <f>IFERROR(__xludf.DUMMYFUNCTION("""COMPUTED_VALUE"""),"")</f>
        <v/>
      </c>
      <c r="K782" t="str">
        <f>IFERROR(__xludf.DUMMYFUNCTION("""COMPUTED_VALUE"""),"")</f>
        <v/>
      </c>
      <c r="L782" t="str">
        <f>IFERROR(__xludf.DUMMYFUNCTION("""COMPUTED_VALUE"""),"")</f>
        <v/>
      </c>
    </row>
    <row r="783" ht="15.75" customHeight="1">
      <c r="A783" t="str">
        <f>IFERROR(__xludf.DUMMYFUNCTION("""COMPUTED_VALUE"""),"")</f>
        <v/>
      </c>
      <c r="B783" t="str">
        <f>IFERROR(__xludf.DUMMYFUNCTION("""COMPUTED_VALUE"""),"")</f>
        <v/>
      </c>
      <c r="C783" t="str">
        <f>IFERROR(__xludf.DUMMYFUNCTION("""COMPUTED_VALUE"""),"")</f>
        <v/>
      </c>
      <c r="D783" t="str">
        <f>IFERROR(__xludf.DUMMYFUNCTION("""COMPUTED_VALUE"""),"")</f>
        <v/>
      </c>
      <c r="E783" t="str">
        <f>IFERROR(__xludf.DUMMYFUNCTION("""COMPUTED_VALUE"""),"")</f>
        <v/>
      </c>
      <c r="F783" t="str">
        <f>IFERROR(__xludf.DUMMYFUNCTION("""COMPUTED_VALUE"""),"")</f>
        <v/>
      </c>
      <c r="G783" t="str">
        <f>IFERROR(__xludf.DUMMYFUNCTION("""COMPUTED_VALUE"""),"")</f>
        <v/>
      </c>
      <c r="H783" t="str">
        <f>IFERROR(__xludf.DUMMYFUNCTION("""COMPUTED_VALUE"""),"")</f>
        <v/>
      </c>
      <c r="I783" t="str">
        <f>IFERROR(__xludf.DUMMYFUNCTION("""COMPUTED_VALUE"""),"")</f>
        <v/>
      </c>
      <c r="J783" t="str">
        <f>IFERROR(__xludf.DUMMYFUNCTION("""COMPUTED_VALUE"""),"")</f>
        <v/>
      </c>
      <c r="K783" t="str">
        <f>IFERROR(__xludf.DUMMYFUNCTION("""COMPUTED_VALUE"""),"")</f>
        <v/>
      </c>
      <c r="L783" t="str">
        <f>IFERROR(__xludf.DUMMYFUNCTION("""COMPUTED_VALUE"""),"")</f>
        <v/>
      </c>
    </row>
    <row r="784" ht="15.75" customHeight="1">
      <c r="A784" t="str">
        <f>IFERROR(__xludf.DUMMYFUNCTION("""COMPUTED_VALUE"""),"")</f>
        <v/>
      </c>
      <c r="B784" t="str">
        <f>IFERROR(__xludf.DUMMYFUNCTION("""COMPUTED_VALUE"""),"")</f>
        <v/>
      </c>
      <c r="C784" t="str">
        <f>IFERROR(__xludf.DUMMYFUNCTION("""COMPUTED_VALUE"""),"")</f>
        <v/>
      </c>
      <c r="D784" t="str">
        <f>IFERROR(__xludf.DUMMYFUNCTION("""COMPUTED_VALUE"""),"")</f>
        <v/>
      </c>
      <c r="E784" t="str">
        <f>IFERROR(__xludf.DUMMYFUNCTION("""COMPUTED_VALUE"""),"")</f>
        <v/>
      </c>
      <c r="F784" t="str">
        <f>IFERROR(__xludf.DUMMYFUNCTION("""COMPUTED_VALUE"""),"")</f>
        <v/>
      </c>
      <c r="G784" t="str">
        <f>IFERROR(__xludf.DUMMYFUNCTION("""COMPUTED_VALUE"""),"")</f>
        <v/>
      </c>
      <c r="H784" t="str">
        <f>IFERROR(__xludf.DUMMYFUNCTION("""COMPUTED_VALUE"""),"")</f>
        <v/>
      </c>
      <c r="I784" t="str">
        <f>IFERROR(__xludf.DUMMYFUNCTION("""COMPUTED_VALUE"""),"")</f>
        <v/>
      </c>
      <c r="J784" t="str">
        <f>IFERROR(__xludf.DUMMYFUNCTION("""COMPUTED_VALUE"""),"")</f>
        <v/>
      </c>
      <c r="K784" t="str">
        <f>IFERROR(__xludf.DUMMYFUNCTION("""COMPUTED_VALUE"""),"")</f>
        <v/>
      </c>
      <c r="L784" t="str">
        <f>IFERROR(__xludf.DUMMYFUNCTION("""COMPUTED_VALUE"""),"")</f>
        <v/>
      </c>
    </row>
    <row r="785" ht="15.75" customHeight="1">
      <c r="A785" t="str">
        <f>IFERROR(__xludf.DUMMYFUNCTION("""COMPUTED_VALUE"""),"")</f>
        <v/>
      </c>
      <c r="B785" t="str">
        <f>IFERROR(__xludf.DUMMYFUNCTION("""COMPUTED_VALUE"""),"")</f>
        <v/>
      </c>
      <c r="C785" t="str">
        <f>IFERROR(__xludf.DUMMYFUNCTION("""COMPUTED_VALUE"""),"")</f>
        <v/>
      </c>
      <c r="D785" t="str">
        <f>IFERROR(__xludf.DUMMYFUNCTION("""COMPUTED_VALUE"""),"")</f>
        <v/>
      </c>
      <c r="E785" t="str">
        <f>IFERROR(__xludf.DUMMYFUNCTION("""COMPUTED_VALUE"""),"")</f>
        <v/>
      </c>
      <c r="F785" t="str">
        <f>IFERROR(__xludf.DUMMYFUNCTION("""COMPUTED_VALUE"""),"")</f>
        <v/>
      </c>
      <c r="G785" t="str">
        <f>IFERROR(__xludf.DUMMYFUNCTION("""COMPUTED_VALUE"""),"")</f>
        <v/>
      </c>
      <c r="H785" t="str">
        <f>IFERROR(__xludf.DUMMYFUNCTION("""COMPUTED_VALUE"""),"")</f>
        <v/>
      </c>
      <c r="I785" t="str">
        <f>IFERROR(__xludf.DUMMYFUNCTION("""COMPUTED_VALUE"""),"")</f>
        <v/>
      </c>
      <c r="J785" t="str">
        <f>IFERROR(__xludf.DUMMYFUNCTION("""COMPUTED_VALUE"""),"")</f>
        <v/>
      </c>
      <c r="K785" t="str">
        <f>IFERROR(__xludf.DUMMYFUNCTION("""COMPUTED_VALUE"""),"")</f>
        <v/>
      </c>
      <c r="L785" t="str">
        <f>IFERROR(__xludf.DUMMYFUNCTION("""COMPUTED_VALUE"""),"")</f>
        <v/>
      </c>
    </row>
    <row r="786" ht="15.75" customHeight="1">
      <c r="A786" t="str">
        <f>IFERROR(__xludf.DUMMYFUNCTION("""COMPUTED_VALUE"""),"")</f>
        <v/>
      </c>
      <c r="B786" t="str">
        <f>IFERROR(__xludf.DUMMYFUNCTION("""COMPUTED_VALUE"""),"")</f>
        <v/>
      </c>
      <c r="C786" t="str">
        <f>IFERROR(__xludf.DUMMYFUNCTION("""COMPUTED_VALUE"""),"")</f>
        <v/>
      </c>
      <c r="D786" t="str">
        <f>IFERROR(__xludf.DUMMYFUNCTION("""COMPUTED_VALUE"""),"")</f>
        <v/>
      </c>
      <c r="E786" t="str">
        <f>IFERROR(__xludf.DUMMYFUNCTION("""COMPUTED_VALUE"""),"")</f>
        <v/>
      </c>
      <c r="F786" t="str">
        <f>IFERROR(__xludf.DUMMYFUNCTION("""COMPUTED_VALUE"""),"")</f>
        <v/>
      </c>
      <c r="G786" t="str">
        <f>IFERROR(__xludf.DUMMYFUNCTION("""COMPUTED_VALUE"""),"")</f>
        <v/>
      </c>
      <c r="H786" t="str">
        <f>IFERROR(__xludf.DUMMYFUNCTION("""COMPUTED_VALUE"""),"")</f>
        <v/>
      </c>
      <c r="I786" t="str">
        <f>IFERROR(__xludf.DUMMYFUNCTION("""COMPUTED_VALUE"""),"")</f>
        <v/>
      </c>
      <c r="J786" t="str">
        <f>IFERROR(__xludf.DUMMYFUNCTION("""COMPUTED_VALUE"""),"")</f>
        <v/>
      </c>
      <c r="K786" t="str">
        <f>IFERROR(__xludf.DUMMYFUNCTION("""COMPUTED_VALUE"""),"")</f>
        <v/>
      </c>
      <c r="L786" t="str">
        <f>IFERROR(__xludf.DUMMYFUNCTION("""COMPUTED_VALUE"""),"")</f>
        <v/>
      </c>
    </row>
    <row r="787" ht="15.75" customHeight="1">
      <c r="A787" t="str">
        <f>IFERROR(__xludf.DUMMYFUNCTION("""COMPUTED_VALUE"""),"")</f>
        <v/>
      </c>
      <c r="B787" t="str">
        <f>IFERROR(__xludf.DUMMYFUNCTION("""COMPUTED_VALUE"""),"")</f>
        <v/>
      </c>
      <c r="C787" t="str">
        <f>IFERROR(__xludf.DUMMYFUNCTION("""COMPUTED_VALUE"""),"")</f>
        <v/>
      </c>
      <c r="D787" t="str">
        <f>IFERROR(__xludf.DUMMYFUNCTION("""COMPUTED_VALUE"""),"")</f>
        <v/>
      </c>
      <c r="E787" t="str">
        <f>IFERROR(__xludf.DUMMYFUNCTION("""COMPUTED_VALUE"""),"")</f>
        <v/>
      </c>
      <c r="F787" t="str">
        <f>IFERROR(__xludf.DUMMYFUNCTION("""COMPUTED_VALUE"""),"")</f>
        <v/>
      </c>
      <c r="G787" t="str">
        <f>IFERROR(__xludf.DUMMYFUNCTION("""COMPUTED_VALUE"""),"")</f>
        <v/>
      </c>
      <c r="H787" t="str">
        <f>IFERROR(__xludf.DUMMYFUNCTION("""COMPUTED_VALUE"""),"")</f>
        <v/>
      </c>
      <c r="I787" t="str">
        <f>IFERROR(__xludf.DUMMYFUNCTION("""COMPUTED_VALUE"""),"")</f>
        <v/>
      </c>
      <c r="J787" t="str">
        <f>IFERROR(__xludf.DUMMYFUNCTION("""COMPUTED_VALUE"""),"")</f>
        <v/>
      </c>
      <c r="K787" t="str">
        <f>IFERROR(__xludf.DUMMYFUNCTION("""COMPUTED_VALUE"""),"")</f>
        <v/>
      </c>
      <c r="L787" t="str">
        <f>IFERROR(__xludf.DUMMYFUNCTION("""COMPUTED_VALUE"""),"")</f>
        <v/>
      </c>
    </row>
    <row r="788" ht="15.75" customHeight="1">
      <c r="A788" t="str">
        <f>IFERROR(__xludf.DUMMYFUNCTION("""COMPUTED_VALUE"""),"")</f>
        <v/>
      </c>
      <c r="B788" t="str">
        <f>IFERROR(__xludf.DUMMYFUNCTION("""COMPUTED_VALUE"""),"")</f>
        <v/>
      </c>
      <c r="C788" t="str">
        <f>IFERROR(__xludf.DUMMYFUNCTION("""COMPUTED_VALUE"""),"")</f>
        <v/>
      </c>
      <c r="D788" t="str">
        <f>IFERROR(__xludf.DUMMYFUNCTION("""COMPUTED_VALUE"""),"")</f>
        <v/>
      </c>
      <c r="E788" t="str">
        <f>IFERROR(__xludf.DUMMYFUNCTION("""COMPUTED_VALUE"""),"")</f>
        <v/>
      </c>
      <c r="F788" t="str">
        <f>IFERROR(__xludf.DUMMYFUNCTION("""COMPUTED_VALUE"""),"")</f>
        <v/>
      </c>
      <c r="G788" t="str">
        <f>IFERROR(__xludf.DUMMYFUNCTION("""COMPUTED_VALUE"""),"")</f>
        <v/>
      </c>
      <c r="H788" t="str">
        <f>IFERROR(__xludf.DUMMYFUNCTION("""COMPUTED_VALUE"""),"")</f>
        <v/>
      </c>
      <c r="I788" t="str">
        <f>IFERROR(__xludf.DUMMYFUNCTION("""COMPUTED_VALUE"""),"")</f>
        <v/>
      </c>
      <c r="J788" t="str">
        <f>IFERROR(__xludf.DUMMYFUNCTION("""COMPUTED_VALUE"""),"")</f>
        <v/>
      </c>
      <c r="K788" t="str">
        <f>IFERROR(__xludf.DUMMYFUNCTION("""COMPUTED_VALUE"""),"")</f>
        <v/>
      </c>
      <c r="L788" t="str">
        <f>IFERROR(__xludf.DUMMYFUNCTION("""COMPUTED_VALUE"""),"")</f>
        <v/>
      </c>
    </row>
    <row r="789" ht="15.75" customHeight="1">
      <c r="A789" t="str">
        <f>IFERROR(__xludf.DUMMYFUNCTION("""COMPUTED_VALUE"""),"")</f>
        <v/>
      </c>
      <c r="B789" t="str">
        <f>IFERROR(__xludf.DUMMYFUNCTION("""COMPUTED_VALUE"""),"")</f>
        <v/>
      </c>
      <c r="C789" t="str">
        <f>IFERROR(__xludf.DUMMYFUNCTION("""COMPUTED_VALUE"""),"")</f>
        <v/>
      </c>
      <c r="D789" t="str">
        <f>IFERROR(__xludf.DUMMYFUNCTION("""COMPUTED_VALUE"""),"")</f>
        <v/>
      </c>
      <c r="E789" t="str">
        <f>IFERROR(__xludf.DUMMYFUNCTION("""COMPUTED_VALUE"""),"")</f>
        <v/>
      </c>
      <c r="F789" t="str">
        <f>IFERROR(__xludf.DUMMYFUNCTION("""COMPUTED_VALUE"""),"")</f>
        <v/>
      </c>
      <c r="G789" t="str">
        <f>IFERROR(__xludf.DUMMYFUNCTION("""COMPUTED_VALUE"""),"")</f>
        <v/>
      </c>
      <c r="H789" t="str">
        <f>IFERROR(__xludf.DUMMYFUNCTION("""COMPUTED_VALUE"""),"")</f>
        <v/>
      </c>
      <c r="I789" t="str">
        <f>IFERROR(__xludf.DUMMYFUNCTION("""COMPUTED_VALUE"""),"")</f>
        <v/>
      </c>
      <c r="J789" t="str">
        <f>IFERROR(__xludf.DUMMYFUNCTION("""COMPUTED_VALUE"""),"")</f>
        <v/>
      </c>
      <c r="K789" t="str">
        <f>IFERROR(__xludf.DUMMYFUNCTION("""COMPUTED_VALUE"""),"")</f>
        <v/>
      </c>
      <c r="L789" t="str">
        <f>IFERROR(__xludf.DUMMYFUNCTION("""COMPUTED_VALUE"""),"")</f>
        <v/>
      </c>
    </row>
    <row r="790" ht="15.75" customHeight="1">
      <c r="A790" t="str">
        <f>IFERROR(__xludf.DUMMYFUNCTION("""COMPUTED_VALUE"""),"")</f>
        <v/>
      </c>
      <c r="B790" t="str">
        <f>IFERROR(__xludf.DUMMYFUNCTION("""COMPUTED_VALUE"""),"")</f>
        <v/>
      </c>
      <c r="C790" t="str">
        <f>IFERROR(__xludf.DUMMYFUNCTION("""COMPUTED_VALUE"""),"")</f>
        <v/>
      </c>
      <c r="D790" t="str">
        <f>IFERROR(__xludf.DUMMYFUNCTION("""COMPUTED_VALUE"""),"")</f>
        <v/>
      </c>
      <c r="E790" t="str">
        <f>IFERROR(__xludf.DUMMYFUNCTION("""COMPUTED_VALUE"""),"")</f>
        <v/>
      </c>
      <c r="F790" t="str">
        <f>IFERROR(__xludf.DUMMYFUNCTION("""COMPUTED_VALUE"""),"")</f>
        <v/>
      </c>
      <c r="G790" t="str">
        <f>IFERROR(__xludf.DUMMYFUNCTION("""COMPUTED_VALUE"""),"")</f>
        <v/>
      </c>
      <c r="H790" t="str">
        <f>IFERROR(__xludf.DUMMYFUNCTION("""COMPUTED_VALUE"""),"")</f>
        <v/>
      </c>
      <c r="I790" t="str">
        <f>IFERROR(__xludf.DUMMYFUNCTION("""COMPUTED_VALUE"""),"")</f>
        <v/>
      </c>
      <c r="J790" t="str">
        <f>IFERROR(__xludf.DUMMYFUNCTION("""COMPUTED_VALUE"""),"")</f>
        <v/>
      </c>
      <c r="K790" t="str">
        <f>IFERROR(__xludf.DUMMYFUNCTION("""COMPUTED_VALUE"""),"")</f>
        <v/>
      </c>
      <c r="L790" t="str">
        <f>IFERROR(__xludf.DUMMYFUNCTION("""COMPUTED_VALUE"""),"")</f>
        <v/>
      </c>
    </row>
    <row r="791" ht="15.75" customHeight="1">
      <c r="A791" t="str">
        <f>IFERROR(__xludf.DUMMYFUNCTION("""COMPUTED_VALUE"""),"")</f>
        <v/>
      </c>
      <c r="B791" t="str">
        <f>IFERROR(__xludf.DUMMYFUNCTION("""COMPUTED_VALUE"""),"")</f>
        <v/>
      </c>
      <c r="C791" t="str">
        <f>IFERROR(__xludf.DUMMYFUNCTION("""COMPUTED_VALUE"""),"")</f>
        <v/>
      </c>
      <c r="D791" t="str">
        <f>IFERROR(__xludf.DUMMYFUNCTION("""COMPUTED_VALUE"""),"")</f>
        <v/>
      </c>
      <c r="E791" t="str">
        <f>IFERROR(__xludf.DUMMYFUNCTION("""COMPUTED_VALUE"""),"")</f>
        <v/>
      </c>
      <c r="F791" t="str">
        <f>IFERROR(__xludf.DUMMYFUNCTION("""COMPUTED_VALUE"""),"")</f>
        <v/>
      </c>
      <c r="G791" t="str">
        <f>IFERROR(__xludf.DUMMYFUNCTION("""COMPUTED_VALUE"""),"")</f>
        <v/>
      </c>
      <c r="H791" t="str">
        <f>IFERROR(__xludf.DUMMYFUNCTION("""COMPUTED_VALUE"""),"")</f>
        <v/>
      </c>
      <c r="I791" t="str">
        <f>IFERROR(__xludf.DUMMYFUNCTION("""COMPUTED_VALUE"""),"")</f>
        <v/>
      </c>
      <c r="J791" t="str">
        <f>IFERROR(__xludf.DUMMYFUNCTION("""COMPUTED_VALUE"""),"")</f>
        <v/>
      </c>
      <c r="K791" t="str">
        <f>IFERROR(__xludf.DUMMYFUNCTION("""COMPUTED_VALUE"""),"")</f>
        <v/>
      </c>
      <c r="L791" t="str">
        <f>IFERROR(__xludf.DUMMYFUNCTION("""COMPUTED_VALUE"""),"")</f>
        <v/>
      </c>
    </row>
    <row r="792" ht="15.75" customHeight="1">
      <c r="A792" t="str">
        <f>IFERROR(__xludf.DUMMYFUNCTION("""COMPUTED_VALUE"""),"")</f>
        <v/>
      </c>
      <c r="B792" t="str">
        <f>IFERROR(__xludf.DUMMYFUNCTION("""COMPUTED_VALUE"""),"")</f>
        <v/>
      </c>
      <c r="C792" t="str">
        <f>IFERROR(__xludf.DUMMYFUNCTION("""COMPUTED_VALUE"""),"")</f>
        <v/>
      </c>
      <c r="D792" t="str">
        <f>IFERROR(__xludf.DUMMYFUNCTION("""COMPUTED_VALUE"""),"")</f>
        <v/>
      </c>
      <c r="E792" t="str">
        <f>IFERROR(__xludf.DUMMYFUNCTION("""COMPUTED_VALUE"""),"")</f>
        <v/>
      </c>
      <c r="F792" t="str">
        <f>IFERROR(__xludf.DUMMYFUNCTION("""COMPUTED_VALUE"""),"")</f>
        <v/>
      </c>
      <c r="G792" t="str">
        <f>IFERROR(__xludf.DUMMYFUNCTION("""COMPUTED_VALUE"""),"")</f>
        <v/>
      </c>
      <c r="H792" t="str">
        <f>IFERROR(__xludf.DUMMYFUNCTION("""COMPUTED_VALUE"""),"")</f>
        <v/>
      </c>
      <c r="I792" t="str">
        <f>IFERROR(__xludf.DUMMYFUNCTION("""COMPUTED_VALUE"""),"")</f>
        <v/>
      </c>
      <c r="J792" t="str">
        <f>IFERROR(__xludf.DUMMYFUNCTION("""COMPUTED_VALUE"""),"")</f>
        <v/>
      </c>
      <c r="K792" t="str">
        <f>IFERROR(__xludf.DUMMYFUNCTION("""COMPUTED_VALUE"""),"")</f>
        <v/>
      </c>
      <c r="L792" t="str">
        <f>IFERROR(__xludf.DUMMYFUNCTION("""COMPUTED_VALUE"""),"")</f>
        <v/>
      </c>
    </row>
    <row r="793" ht="15.75" customHeight="1">
      <c r="A793" t="str">
        <f>IFERROR(__xludf.DUMMYFUNCTION("""COMPUTED_VALUE"""),"")</f>
        <v/>
      </c>
      <c r="B793" t="str">
        <f>IFERROR(__xludf.DUMMYFUNCTION("""COMPUTED_VALUE"""),"")</f>
        <v/>
      </c>
      <c r="C793" t="str">
        <f>IFERROR(__xludf.DUMMYFUNCTION("""COMPUTED_VALUE"""),"")</f>
        <v/>
      </c>
      <c r="D793" t="str">
        <f>IFERROR(__xludf.DUMMYFUNCTION("""COMPUTED_VALUE"""),"")</f>
        <v/>
      </c>
      <c r="E793" t="str">
        <f>IFERROR(__xludf.DUMMYFUNCTION("""COMPUTED_VALUE"""),"")</f>
        <v/>
      </c>
      <c r="F793" t="str">
        <f>IFERROR(__xludf.DUMMYFUNCTION("""COMPUTED_VALUE"""),"")</f>
        <v/>
      </c>
      <c r="G793" t="str">
        <f>IFERROR(__xludf.DUMMYFUNCTION("""COMPUTED_VALUE"""),"")</f>
        <v/>
      </c>
      <c r="H793" t="str">
        <f>IFERROR(__xludf.DUMMYFUNCTION("""COMPUTED_VALUE"""),"")</f>
        <v/>
      </c>
      <c r="I793" t="str">
        <f>IFERROR(__xludf.DUMMYFUNCTION("""COMPUTED_VALUE"""),"")</f>
        <v/>
      </c>
      <c r="J793" t="str">
        <f>IFERROR(__xludf.DUMMYFUNCTION("""COMPUTED_VALUE"""),"")</f>
        <v/>
      </c>
      <c r="K793" t="str">
        <f>IFERROR(__xludf.DUMMYFUNCTION("""COMPUTED_VALUE"""),"")</f>
        <v/>
      </c>
      <c r="L793" t="str">
        <f>IFERROR(__xludf.DUMMYFUNCTION("""COMPUTED_VALUE"""),"")</f>
        <v/>
      </c>
    </row>
    <row r="794" ht="15.75" customHeight="1">
      <c r="A794" t="str">
        <f>IFERROR(__xludf.DUMMYFUNCTION("""COMPUTED_VALUE"""),"")</f>
        <v/>
      </c>
      <c r="B794" t="str">
        <f>IFERROR(__xludf.DUMMYFUNCTION("""COMPUTED_VALUE"""),"")</f>
        <v/>
      </c>
      <c r="C794" t="str">
        <f>IFERROR(__xludf.DUMMYFUNCTION("""COMPUTED_VALUE"""),"")</f>
        <v/>
      </c>
      <c r="D794" t="str">
        <f>IFERROR(__xludf.DUMMYFUNCTION("""COMPUTED_VALUE"""),"")</f>
        <v/>
      </c>
      <c r="E794" t="str">
        <f>IFERROR(__xludf.DUMMYFUNCTION("""COMPUTED_VALUE"""),"")</f>
        <v/>
      </c>
      <c r="F794" t="str">
        <f>IFERROR(__xludf.DUMMYFUNCTION("""COMPUTED_VALUE"""),"")</f>
        <v/>
      </c>
      <c r="G794" t="str">
        <f>IFERROR(__xludf.DUMMYFUNCTION("""COMPUTED_VALUE"""),"")</f>
        <v/>
      </c>
      <c r="H794" t="str">
        <f>IFERROR(__xludf.DUMMYFUNCTION("""COMPUTED_VALUE"""),"")</f>
        <v/>
      </c>
      <c r="I794" t="str">
        <f>IFERROR(__xludf.DUMMYFUNCTION("""COMPUTED_VALUE"""),"")</f>
        <v/>
      </c>
      <c r="J794" t="str">
        <f>IFERROR(__xludf.DUMMYFUNCTION("""COMPUTED_VALUE"""),"")</f>
        <v/>
      </c>
      <c r="K794" t="str">
        <f>IFERROR(__xludf.DUMMYFUNCTION("""COMPUTED_VALUE"""),"")</f>
        <v/>
      </c>
      <c r="L794" t="str">
        <f>IFERROR(__xludf.DUMMYFUNCTION("""COMPUTED_VALUE"""),"")</f>
        <v/>
      </c>
    </row>
    <row r="795" ht="15.75" customHeight="1">
      <c r="A795" t="str">
        <f>IFERROR(__xludf.DUMMYFUNCTION("""COMPUTED_VALUE"""),"")</f>
        <v/>
      </c>
      <c r="B795" t="str">
        <f>IFERROR(__xludf.DUMMYFUNCTION("""COMPUTED_VALUE"""),"")</f>
        <v/>
      </c>
      <c r="C795" t="str">
        <f>IFERROR(__xludf.DUMMYFUNCTION("""COMPUTED_VALUE"""),"")</f>
        <v/>
      </c>
      <c r="D795" t="str">
        <f>IFERROR(__xludf.DUMMYFUNCTION("""COMPUTED_VALUE"""),"")</f>
        <v/>
      </c>
      <c r="E795" t="str">
        <f>IFERROR(__xludf.DUMMYFUNCTION("""COMPUTED_VALUE"""),"")</f>
        <v/>
      </c>
      <c r="F795" t="str">
        <f>IFERROR(__xludf.DUMMYFUNCTION("""COMPUTED_VALUE"""),"")</f>
        <v/>
      </c>
      <c r="G795" t="str">
        <f>IFERROR(__xludf.DUMMYFUNCTION("""COMPUTED_VALUE"""),"")</f>
        <v/>
      </c>
      <c r="H795" t="str">
        <f>IFERROR(__xludf.DUMMYFUNCTION("""COMPUTED_VALUE"""),"")</f>
        <v/>
      </c>
      <c r="I795" t="str">
        <f>IFERROR(__xludf.DUMMYFUNCTION("""COMPUTED_VALUE"""),"")</f>
        <v/>
      </c>
      <c r="J795" t="str">
        <f>IFERROR(__xludf.DUMMYFUNCTION("""COMPUTED_VALUE"""),"")</f>
        <v/>
      </c>
      <c r="K795" t="str">
        <f>IFERROR(__xludf.DUMMYFUNCTION("""COMPUTED_VALUE"""),"")</f>
        <v/>
      </c>
      <c r="L795" t="str">
        <f>IFERROR(__xludf.DUMMYFUNCTION("""COMPUTED_VALUE"""),"")</f>
        <v/>
      </c>
    </row>
    <row r="796" ht="15.75" customHeight="1">
      <c r="A796" t="str">
        <f>IFERROR(__xludf.DUMMYFUNCTION("""COMPUTED_VALUE"""),"")</f>
        <v/>
      </c>
      <c r="B796" t="str">
        <f>IFERROR(__xludf.DUMMYFUNCTION("""COMPUTED_VALUE"""),"")</f>
        <v/>
      </c>
      <c r="C796" t="str">
        <f>IFERROR(__xludf.DUMMYFUNCTION("""COMPUTED_VALUE"""),"")</f>
        <v/>
      </c>
      <c r="D796" t="str">
        <f>IFERROR(__xludf.DUMMYFUNCTION("""COMPUTED_VALUE"""),"")</f>
        <v/>
      </c>
      <c r="E796" t="str">
        <f>IFERROR(__xludf.DUMMYFUNCTION("""COMPUTED_VALUE"""),"")</f>
        <v/>
      </c>
      <c r="F796" t="str">
        <f>IFERROR(__xludf.DUMMYFUNCTION("""COMPUTED_VALUE"""),"")</f>
        <v/>
      </c>
      <c r="G796" t="str">
        <f>IFERROR(__xludf.DUMMYFUNCTION("""COMPUTED_VALUE"""),"")</f>
        <v/>
      </c>
      <c r="H796" t="str">
        <f>IFERROR(__xludf.DUMMYFUNCTION("""COMPUTED_VALUE"""),"")</f>
        <v/>
      </c>
      <c r="I796" t="str">
        <f>IFERROR(__xludf.DUMMYFUNCTION("""COMPUTED_VALUE"""),"")</f>
        <v/>
      </c>
      <c r="J796" t="str">
        <f>IFERROR(__xludf.DUMMYFUNCTION("""COMPUTED_VALUE"""),"")</f>
        <v/>
      </c>
      <c r="K796" t="str">
        <f>IFERROR(__xludf.DUMMYFUNCTION("""COMPUTED_VALUE"""),"")</f>
        <v/>
      </c>
      <c r="L796" t="str">
        <f>IFERROR(__xludf.DUMMYFUNCTION("""COMPUTED_VALUE"""),"")</f>
        <v/>
      </c>
    </row>
    <row r="797" ht="15.75" customHeight="1">
      <c r="A797" t="str">
        <f>IFERROR(__xludf.DUMMYFUNCTION("""COMPUTED_VALUE"""),"")</f>
        <v/>
      </c>
      <c r="B797" t="str">
        <f>IFERROR(__xludf.DUMMYFUNCTION("""COMPUTED_VALUE"""),"")</f>
        <v/>
      </c>
      <c r="C797" t="str">
        <f>IFERROR(__xludf.DUMMYFUNCTION("""COMPUTED_VALUE"""),"")</f>
        <v/>
      </c>
      <c r="D797" t="str">
        <f>IFERROR(__xludf.DUMMYFUNCTION("""COMPUTED_VALUE"""),"")</f>
        <v/>
      </c>
      <c r="E797" t="str">
        <f>IFERROR(__xludf.DUMMYFUNCTION("""COMPUTED_VALUE"""),"")</f>
        <v/>
      </c>
      <c r="F797" t="str">
        <f>IFERROR(__xludf.DUMMYFUNCTION("""COMPUTED_VALUE"""),"")</f>
        <v/>
      </c>
      <c r="G797" t="str">
        <f>IFERROR(__xludf.DUMMYFUNCTION("""COMPUTED_VALUE"""),"")</f>
        <v/>
      </c>
      <c r="H797" t="str">
        <f>IFERROR(__xludf.DUMMYFUNCTION("""COMPUTED_VALUE"""),"")</f>
        <v/>
      </c>
      <c r="I797" t="str">
        <f>IFERROR(__xludf.DUMMYFUNCTION("""COMPUTED_VALUE"""),"")</f>
        <v/>
      </c>
      <c r="J797" t="str">
        <f>IFERROR(__xludf.DUMMYFUNCTION("""COMPUTED_VALUE"""),"")</f>
        <v/>
      </c>
      <c r="K797" t="str">
        <f>IFERROR(__xludf.DUMMYFUNCTION("""COMPUTED_VALUE"""),"")</f>
        <v/>
      </c>
      <c r="L797" t="str">
        <f>IFERROR(__xludf.DUMMYFUNCTION("""COMPUTED_VALUE"""),"")</f>
        <v/>
      </c>
    </row>
    <row r="798" ht="15.75" customHeight="1">
      <c r="A798" t="str">
        <f>IFERROR(__xludf.DUMMYFUNCTION("""COMPUTED_VALUE"""),"")</f>
        <v/>
      </c>
      <c r="B798" t="str">
        <f>IFERROR(__xludf.DUMMYFUNCTION("""COMPUTED_VALUE"""),"")</f>
        <v/>
      </c>
      <c r="C798" t="str">
        <f>IFERROR(__xludf.DUMMYFUNCTION("""COMPUTED_VALUE"""),"")</f>
        <v/>
      </c>
      <c r="D798" t="str">
        <f>IFERROR(__xludf.DUMMYFUNCTION("""COMPUTED_VALUE"""),"")</f>
        <v/>
      </c>
      <c r="E798" t="str">
        <f>IFERROR(__xludf.DUMMYFUNCTION("""COMPUTED_VALUE"""),"")</f>
        <v/>
      </c>
      <c r="F798" t="str">
        <f>IFERROR(__xludf.DUMMYFUNCTION("""COMPUTED_VALUE"""),"")</f>
        <v/>
      </c>
      <c r="G798" t="str">
        <f>IFERROR(__xludf.DUMMYFUNCTION("""COMPUTED_VALUE"""),"")</f>
        <v/>
      </c>
      <c r="H798" t="str">
        <f>IFERROR(__xludf.DUMMYFUNCTION("""COMPUTED_VALUE"""),"")</f>
        <v/>
      </c>
      <c r="I798" t="str">
        <f>IFERROR(__xludf.DUMMYFUNCTION("""COMPUTED_VALUE"""),"")</f>
        <v/>
      </c>
      <c r="J798" t="str">
        <f>IFERROR(__xludf.DUMMYFUNCTION("""COMPUTED_VALUE"""),"")</f>
        <v/>
      </c>
      <c r="K798" t="str">
        <f>IFERROR(__xludf.DUMMYFUNCTION("""COMPUTED_VALUE"""),"")</f>
        <v/>
      </c>
      <c r="L798" t="str">
        <f>IFERROR(__xludf.DUMMYFUNCTION("""COMPUTED_VALUE"""),"")</f>
        <v/>
      </c>
    </row>
    <row r="799" ht="15.75" customHeight="1">
      <c r="A799" t="str">
        <f>IFERROR(__xludf.DUMMYFUNCTION("""COMPUTED_VALUE"""),"")</f>
        <v/>
      </c>
      <c r="B799" t="str">
        <f>IFERROR(__xludf.DUMMYFUNCTION("""COMPUTED_VALUE"""),"")</f>
        <v/>
      </c>
      <c r="C799" t="str">
        <f>IFERROR(__xludf.DUMMYFUNCTION("""COMPUTED_VALUE"""),"")</f>
        <v/>
      </c>
      <c r="D799" t="str">
        <f>IFERROR(__xludf.DUMMYFUNCTION("""COMPUTED_VALUE"""),"")</f>
        <v/>
      </c>
      <c r="E799" t="str">
        <f>IFERROR(__xludf.DUMMYFUNCTION("""COMPUTED_VALUE"""),"")</f>
        <v/>
      </c>
      <c r="F799" t="str">
        <f>IFERROR(__xludf.DUMMYFUNCTION("""COMPUTED_VALUE"""),"")</f>
        <v/>
      </c>
      <c r="G799" t="str">
        <f>IFERROR(__xludf.DUMMYFUNCTION("""COMPUTED_VALUE"""),"")</f>
        <v/>
      </c>
      <c r="H799" t="str">
        <f>IFERROR(__xludf.DUMMYFUNCTION("""COMPUTED_VALUE"""),"")</f>
        <v/>
      </c>
      <c r="I799" t="str">
        <f>IFERROR(__xludf.DUMMYFUNCTION("""COMPUTED_VALUE"""),"")</f>
        <v/>
      </c>
      <c r="J799" t="str">
        <f>IFERROR(__xludf.DUMMYFUNCTION("""COMPUTED_VALUE"""),"")</f>
        <v/>
      </c>
      <c r="K799" t="str">
        <f>IFERROR(__xludf.DUMMYFUNCTION("""COMPUTED_VALUE"""),"")</f>
        <v/>
      </c>
      <c r="L799" t="str">
        <f>IFERROR(__xludf.DUMMYFUNCTION("""COMPUTED_VALUE"""),"")</f>
        <v/>
      </c>
    </row>
    <row r="800" ht="15.75" customHeight="1">
      <c r="A800" t="str">
        <f>IFERROR(__xludf.DUMMYFUNCTION("""COMPUTED_VALUE"""),"")</f>
        <v/>
      </c>
      <c r="B800" t="str">
        <f>IFERROR(__xludf.DUMMYFUNCTION("""COMPUTED_VALUE"""),"")</f>
        <v/>
      </c>
      <c r="C800" t="str">
        <f>IFERROR(__xludf.DUMMYFUNCTION("""COMPUTED_VALUE"""),"")</f>
        <v/>
      </c>
      <c r="D800" t="str">
        <f>IFERROR(__xludf.DUMMYFUNCTION("""COMPUTED_VALUE"""),"")</f>
        <v/>
      </c>
      <c r="E800" t="str">
        <f>IFERROR(__xludf.DUMMYFUNCTION("""COMPUTED_VALUE"""),"")</f>
        <v/>
      </c>
      <c r="F800" t="str">
        <f>IFERROR(__xludf.DUMMYFUNCTION("""COMPUTED_VALUE"""),"")</f>
        <v/>
      </c>
      <c r="G800" t="str">
        <f>IFERROR(__xludf.DUMMYFUNCTION("""COMPUTED_VALUE"""),"")</f>
        <v/>
      </c>
      <c r="H800" t="str">
        <f>IFERROR(__xludf.DUMMYFUNCTION("""COMPUTED_VALUE"""),"")</f>
        <v/>
      </c>
      <c r="I800" t="str">
        <f>IFERROR(__xludf.DUMMYFUNCTION("""COMPUTED_VALUE"""),"")</f>
        <v/>
      </c>
      <c r="J800" t="str">
        <f>IFERROR(__xludf.DUMMYFUNCTION("""COMPUTED_VALUE"""),"")</f>
        <v/>
      </c>
      <c r="K800" t="str">
        <f>IFERROR(__xludf.DUMMYFUNCTION("""COMPUTED_VALUE"""),"")</f>
        <v/>
      </c>
      <c r="L800" t="str">
        <f>IFERROR(__xludf.DUMMYFUNCTION("""COMPUTED_VALUE"""),"")</f>
        <v/>
      </c>
    </row>
    <row r="801" ht="15.75" customHeight="1">
      <c r="A801" t="str">
        <f>IFERROR(__xludf.DUMMYFUNCTION("""COMPUTED_VALUE"""),"")</f>
        <v/>
      </c>
      <c r="B801" t="str">
        <f>IFERROR(__xludf.DUMMYFUNCTION("""COMPUTED_VALUE"""),"")</f>
        <v/>
      </c>
      <c r="C801" t="str">
        <f>IFERROR(__xludf.DUMMYFUNCTION("""COMPUTED_VALUE"""),"")</f>
        <v/>
      </c>
      <c r="D801" t="str">
        <f>IFERROR(__xludf.DUMMYFUNCTION("""COMPUTED_VALUE"""),"")</f>
        <v/>
      </c>
      <c r="E801" t="str">
        <f>IFERROR(__xludf.DUMMYFUNCTION("""COMPUTED_VALUE"""),"")</f>
        <v/>
      </c>
      <c r="F801" t="str">
        <f>IFERROR(__xludf.DUMMYFUNCTION("""COMPUTED_VALUE"""),"")</f>
        <v/>
      </c>
      <c r="G801" t="str">
        <f>IFERROR(__xludf.DUMMYFUNCTION("""COMPUTED_VALUE"""),"")</f>
        <v/>
      </c>
      <c r="H801" t="str">
        <f>IFERROR(__xludf.DUMMYFUNCTION("""COMPUTED_VALUE"""),"")</f>
        <v/>
      </c>
      <c r="I801" t="str">
        <f>IFERROR(__xludf.DUMMYFUNCTION("""COMPUTED_VALUE"""),"")</f>
        <v/>
      </c>
      <c r="J801" t="str">
        <f>IFERROR(__xludf.DUMMYFUNCTION("""COMPUTED_VALUE"""),"")</f>
        <v/>
      </c>
      <c r="K801" t="str">
        <f>IFERROR(__xludf.DUMMYFUNCTION("""COMPUTED_VALUE"""),"")</f>
        <v/>
      </c>
      <c r="L801" t="str">
        <f>IFERROR(__xludf.DUMMYFUNCTION("""COMPUTED_VALUE"""),"")</f>
        <v/>
      </c>
    </row>
    <row r="802" ht="15.75" customHeight="1">
      <c r="A802" t="str">
        <f>IFERROR(__xludf.DUMMYFUNCTION("""COMPUTED_VALUE"""),"")</f>
        <v/>
      </c>
      <c r="B802" t="str">
        <f>IFERROR(__xludf.DUMMYFUNCTION("""COMPUTED_VALUE"""),"")</f>
        <v/>
      </c>
      <c r="C802" t="str">
        <f>IFERROR(__xludf.DUMMYFUNCTION("""COMPUTED_VALUE"""),"")</f>
        <v/>
      </c>
      <c r="D802" t="str">
        <f>IFERROR(__xludf.DUMMYFUNCTION("""COMPUTED_VALUE"""),"")</f>
        <v/>
      </c>
      <c r="E802" t="str">
        <f>IFERROR(__xludf.DUMMYFUNCTION("""COMPUTED_VALUE"""),"")</f>
        <v/>
      </c>
      <c r="F802" t="str">
        <f>IFERROR(__xludf.DUMMYFUNCTION("""COMPUTED_VALUE"""),"")</f>
        <v/>
      </c>
      <c r="G802" t="str">
        <f>IFERROR(__xludf.DUMMYFUNCTION("""COMPUTED_VALUE"""),"")</f>
        <v/>
      </c>
      <c r="H802" t="str">
        <f>IFERROR(__xludf.DUMMYFUNCTION("""COMPUTED_VALUE"""),"")</f>
        <v/>
      </c>
      <c r="I802" t="str">
        <f>IFERROR(__xludf.DUMMYFUNCTION("""COMPUTED_VALUE"""),"")</f>
        <v/>
      </c>
      <c r="J802" t="str">
        <f>IFERROR(__xludf.DUMMYFUNCTION("""COMPUTED_VALUE"""),"")</f>
        <v/>
      </c>
      <c r="K802" t="str">
        <f>IFERROR(__xludf.DUMMYFUNCTION("""COMPUTED_VALUE"""),"")</f>
        <v/>
      </c>
      <c r="L802" t="str">
        <f>IFERROR(__xludf.DUMMYFUNCTION("""COMPUTED_VALUE"""),"")</f>
        <v/>
      </c>
    </row>
    <row r="803" ht="15.75" customHeight="1">
      <c r="A803" t="str">
        <f>IFERROR(__xludf.DUMMYFUNCTION("""COMPUTED_VALUE"""),"")</f>
        <v/>
      </c>
      <c r="B803" t="str">
        <f>IFERROR(__xludf.DUMMYFUNCTION("""COMPUTED_VALUE"""),"")</f>
        <v/>
      </c>
      <c r="C803" t="str">
        <f>IFERROR(__xludf.DUMMYFUNCTION("""COMPUTED_VALUE"""),"")</f>
        <v/>
      </c>
      <c r="D803" t="str">
        <f>IFERROR(__xludf.DUMMYFUNCTION("""COMPUTED_VALUE"""),"")</f>
        <v/>
      </c>
      <c r="E803" t="str">
        <f>IFERROR(__xludf.DUMMYFUNCTION("""COMPUTED_VALUE"""),"")</f>
        <v/>
      </c>
      <c r="F803" t="str">
        <f>IFERROR(__xludf.DUMMYFUNCTION("""COMPUTED_VALUE"""),"")</f>
        <v/>
      </c>
      <c r="G803" t="str">
        <f>IFERROR(__xludf.DUMMYFUNCTION("""COMPUTED_VALUE"""),"")</f>
        <v/>
      </c>
      <c r="H803" t="str">
        <f>IFERROR(__xludf.DUMMYFUNCTION("""COMPUTED_VALUE"""),"")</f>
        <v/>
      </c>
      <c r="I803" t="str">
        <f>IFERROR(__xludf.DUMMYFUNCTION("""COMPUTED_VALUE"""),"")</f>
        <v/>
      </c>
      <c r="J803" t="str">
        <f>IFERROR(__xludf.DUMMYFUNCTION("""COMPUTED_VALUE"""),"")</f>
        <v/>
      </c>
      <c r="K803" t="str">
        <f>IFERROR(__xludf.DUMMYFUNCTION("""COMPUTED_VALUE"""),"")</f>
        <v/>
      </c>
      <c r="L803" t="str">
        <f>IFERROR(__xludf.DUMMYFUNCTION("""COMPUTED_VALUE"""),"")</f>
        <v/>
      </c>
    </row>
    <row r="804" ht="15.75" customHeight="1">
      <c r="A804" t="str">
        <f>IFERROR(__xludf.DUMMYFUNCTION("""COMPUTED_VALUE"""),"")</f>
        <v/>
      </c>
      <c r="B804" t="str">
        <f>IFERROR(__xludf.DUMMYFUNCTION("""COMPUTED_VALUE"""),"")</f>
        <v/>
      </c>
      <c r="C804" t="str">
        <f>IFERROR(__xludf.DUMMYFUNCTION("""COMPUTED_VALUE"""),"")</f>
        <v/>
      </c>
      <c r="D804" t="str">
        <f>IFERROR(__xludf.DUMMYFUNCTION("""COMPUTED_VALUE"""),"")</f>
        <v/>
      </c>
      <c r="E804" t="str">
        <f>IFERROR(__xludf.DUMMYFUNCTION("""COMPUTED_VALUE"""),"")</f>
        <v/>
      </c>
      <c r="F804" t="str">
        <f>IFERROR(__xludf.DUMMYFUNCTION("""COMPUTED_VALUE"""),"")</f>
        <v/>
      </c>
      <c r="G804" t="str">
        <f>IFERROR(__xludf.DUMMYFUNCTION("""COMPUTED_VALUE"""),"")</f>
        <v/>
      </c>
      <c r="H804" t="str">
        <f>IFERROR(__xludf.DUMMYFUNCTION("""COMPUTED_VALUE"""),"")</f>
        <v/>
      </c>
      <c r="I804" t="str">
        <f>IFERROR(__xludf.DUMMYFUNCTION("""COMPUTED_VALUE"""),"")</f>
        <v/>
      </c>
      <c r="J804" t="str">
        <f>IFERROR(__xludf.DUMMYFUNCTION("""COMPUTED_VALUE"""),"")</f>
        <v/>
      </c>
      <c r="K804" t="str">
        <f>IFERROR(__xludf.DUMMYFUNCTION("""COMPUTED_VALUE"""),"")</f>
        <v/>
      </c>
      <c r="L804" t="str">
        <f>IFERROR(__xludf.DUMMYFUNCTION("""COMPUTED_VALUE"""),"")</f>
        <v/>
      </c>
    </row>
    <row r="805" ht="15.75" customHeight="1">
      <c r="A805" t="str">
        <f>IFERROR(__xludf.DUMMYFUNCTION("""COMPUTED_VALUE"""),"")</f>
        <v/>
      </c>
      <c r="B805" t="str">
        <f>IFERROR(__xludf.DUMMYFUNCTION("""COMPUTED_VALUE"""),"")</f>
        <v/>
      </c>
      <c r="C805" t="str">
        <f>IFERROR(__xludf.DUMMYFUNCTION("""COMPUTED_VALUE"""),"")</f>
        <v/>
      </c>
      <c r="D805" t="str">
        <f>IFERROR(__xludf.DUMMYFUNCTION("""COMPUTED_VALUE"""),"")</f>
        <v/>
      </c>
      <c r="E805" t="str">
        <f>IFERROR(__xludf.DUMMYFUNCTION("""COMPUTED_VALUE"""),"")</f>
        <v/>
      </c>
      <c r="F805" t="str">
        <f>IFERROR(__xludf.DUMMYFUNCTION("""COMPUTED_VALUE"""),"")</f>
        <v/>
      </c>
      <c r="G805" t="str">
        <f>IFERROR(__xludf.DUMMYFUNCTION("""COMPUTED_VALUE"""),"")</f>
        <v/>
      </c>
      <c r="H805" t="str">
        <f>IFERROR(__xludf.DUMMYFUNCTION("""COMPUTED_VALUE"""),"")</f>
        <v/>
      </c>
      <c r="I805" t="str">
        <f>IFERROR(__xludf.DUMMYFUNCTION("""COMPUTED_VALUE"""),"")</f>
        <v/>
      </c>
      <c r="J805" t="str">
        <f>IFERROR(__xludf.DUMMYFUNCTION("""COMPUTED_VALUE"""),"")</f>
        <v/>
      </c>
      <c r="K805" t="str">
        <f>IFERROR(__xludf.DUMMYFUNCTION("""COMPUTED_VALUE"""),"")</f>
        <v/>
      </c>
      <c r="L805" t="str">
        <f>IFERROR(__xludf.DUMMYFUNCTION("""COMPUTED_VALUE"""),"")</f>
        <v/>
      </c>
    </row>
    <row r="806" ht="15.75" customHeight="1">
      <c r="A806" t="str">
        <f>IFERROR(__xludf.DUMMYFUNCTION("""COMPUTED_VALUE"""),"")</f>
        <v/>
      </c>
      <c r="B806" t="str">
        <f>IFERROR(__xludf.DUMMYFUNCTION("""COMPUTED_VALUE"""),"")</f>
        <v/>
      </c>
      <c r="C806" t="str">
        <f>IFERROR(__xludf.DUMMYFUNCTION("""COMPUTED_VALUE"""),"")</f>
        <v/>
      </c>
      <c r="D806" t="str">
        <f>IFERROR(__xludf.DUMMYFUNCTION("""COMPUTED_VALUE"""),"")</f>
        <v/>
      </c>
      <c r="E806" t="str">
        <f>IFERROR(__xludf.DUMMYFUNCTION("""COMPUTED_VALUE"""),"")</f>
        <v/>
      </c>
      <c r="F806" t="str">
        <f>IFERROR(__xludf.DUMMYFUNCTION("""COMPUTED_VALUE"""),"")</f>
        <v/>
      </c>
      <c r="G806" t="str">
        <f>IFERROR(__xludf.DUMMYFUNCTION("""COMPUTED_VALUE"""),"")</f>
        <v/>
      </c>
      <c r="H806" t="str">
        <f>IFERROR(__xludf.DUMMYFUNCTION("""COMPUTED_VALUE"""),"")</f>
        <v/>
      </c>
      <c r="I806" t="str">
        <f>IFERROR(__xludf.DUMMYFUNCTION("""COMPUTED_VALUE"""),"")</f>
        <v/>
      </c>
      <c r="J806" t="str">
        <f>IFERROR(__xludf.DUMMYFUNCTION("""COMPUTED_VALUE"""),"")</f>
        <v/>
      </c>
      <c r="K806" t="str">
        <f>IFERROR(__xludf.DUMMYFUNCTION("""COMPUTED_VALUE"""),"")</f>
        <v/>
      </c>
      <c r="L806" t="str">
        <f>IFERROR(__xludf.DUMMYFUNCTION("""COMPUTED_VALUE"""),"")</f>
        <v/>
      </c>
    </row>
    <row r="807" ht="15.75" customHeight="1">
      <c r="A807" t="str">
        <f>IFERROR(__xludf.DUMMYFUNCTION("""COMPUTED_VALUE"""),"")</f>
        <v/>
      </c>
      <c r="B807" t="str">
        <f>IFERROR(__xludf.DUMMYFUNCTION("""COMPUTED_VALUE"""),"")</f>
        <v/>
      </c>
      <c r="C807" t="str">
        <f>IFERROR(__xludf.DUMMYFUNCTION("""COMPUTED_VALUE"""),"")</f>
        <v/>
      </c>
      <c r="D807" t="str">
        <f>IFERROR(__xludf.DUMMYFUNCTION("""COMPUTED_VALUE"""),"")</f>
        <v/>
      </c>
      <c r="E807" t="str">
        <f>IFERROR(__xludf.DUMMYFUNCTION("""COMPUTED_VALUE"""),"")</f>
        <v/>
      </c>
      <c r="F807" t="str">
        <f>IFERROR(__xludf.DUMMYFUNCTION("""COMPUTED_VALUE"""),"")</f>
        <v/>
      </c>
      <c r="G807" t="str">
        <f>IFERROR(__xludf.DUMMYFUNCTION("""COMPUTED_VALUE"""),"")</f>
        <v/>
      </c>
      <c r="H807" t="str">
        <f>IFERROR(__xludf.DUMMYFUNCTION("""COMPUTED_VALUE"""),"")</f>
        <v/>
      </c>
      <c r="I807" t="str">
        <f>IFERROR(__xludf.DUMMYFUNCTION("""COMPUTED_VALUE"""),"")</f>
        <v/>
      </c>
      <c r="J807" t="str">
        <f>IFERROR(__xludf.DUMMYFUNCTION("""COMPUTED_VALUE"""),"")</f>
        <v/>
      </c>
      <c r="K807" t="str">
        <f>IFERROR(__xludf.DUMMYFUNCTION("""COMPUTED_VALUE"""),"")</f>
        <v/>
      </c>
      <c r="L807" t="str">
        <f>IFERROR(__xludf.DUMMYFUNCTION("""COMPUTED_VALUE"""),"")</f>
        <v/>
      </c>
    </row>
    <row r="808" ht="15.75" customHeight="1">
      <c r="A808" t="str">
        <f>IFERROR(__xludf.DUMMYFUNCTION("""COMPUTED_VALUE"""),"")</f>
        <v/>
      </c>
      <c r="B808" t="str">
        <f>IFERROR(__xludf.DUMMYFUNCTION("""COMPUTED_VALUE"""),"")</f>
        <v/>
      </c>
      <c r="C808" t="str">
        <f>IFERROR(__xludf.DUMMYFUNCTION("""COMPUTED_VALUE"""),"")</f>
        <v/>
      </c>
      <c r="D808" t="str">
        <f>IFERROR(__xludf.DUMMYFUNCTION("""COMPUTED_VALUE"""),"")</f>
        <v/>
      </c>
      <c r="E808" t="str">
        <f>IFERROR(__xludf.DUMMYFUNCTION("""COMPUTED_VALUE"""),"")</f>
        <v/>
      </c>
      <c r="F808" t="str">
        <f>IFERROR(__xludf.DUMMYFUNCTION("""COMPUTED_VALUE"""),"")</f>
        <v/>
      </c>
      <c r="G808" t="str">
        <f>IFERROR(__xludf.DUMMYFUNCTION("""COMPUTED_VALUE"""),"")</f>
        <v/>
      </c>
      <c r="H808" t="str">
        <f>IFERROR(__xludf.DUMMYFUNCTION("""COMPUTED_VALUE"""),"")</f>
        <v/>
      </c>
      <c r="I808" t="str">
        <f>IFERROR(__xludf.DUMMYFUNCTION("""COMPUTED_VALUE"""),"")</f>
        <v/>
      </c>
      <c r="J808" t="str">
        <f>IFERROR(__xludf.DUMMYFUNCTION("""COMPUTED_VALUE"""),"")</f>
        <v/>
      </c>
      <c r="K808" t="str">
        <f>IFERROR(__xludf.DUMMYFUNCTION("""COMPUTED_VALUE"""),"")</f>
        <v/>
      </c>
      <c r="L808" t="str">
        <f>IFERROR(__xludf.DUMMYFUNCTION("""COMPUTED_VALUE"""),"")</f>
        <v/>
      </c>
    </row>
    <row r="809" ht="15.75" customHeight="1">
      <c r="A809" t="str">
        <f>IFERROR(__xludf.DUMMYFUNCTION("""COMPUTED_VALUE"""),"")</f>
        <v/>
      </c>
      <c r="B809" t="str">
        <f>IFERROR(__xludf.DUMMYFUNCTION("""COMPUTED_VALUE"""),"")</f>
        <v/>
      </c>
      <c r="C809" t="str">
        <f>IFERROR(__xludf.DUMMYFUNCTION("""COMPUTED_VALUE"""),"")</f>
        <v/>
      </c>
      <c r="D809" t="str">
        <f>IFERROR(__xludf.DUMMYFUNCTION("""COMPUTED_VALUE"""),"")</f>
        <v/>
      </c>
      <c r="E809" t="str">
        <f>IFERROR(__xludf.DUMMYFUNCTION("""COMPUTED_VALUE"""),"")</f>
        <v/>
      </c>
      <c r="F809" t="str">
        <f>IFERROR(__xludf.DUMMYFUNCTION("""COMPUTED_VALUE"""),"")</f>
        <v/>
      </c>
      <c r="G809" t="str">
        <f>IFERROR(__xludf.DUMMYFUNCTION("""COMPUTED_VALUE"""),"")</f>
        <v/>
      </c>
      <c r="H809" t="str">
        <f>IFERROR(__xludf.DUMMYFUNCTION("""COMPUTED_VALUE"""),"")</f>
        <v/>
      </c>
      <c r="I809" t="str">
        <f>IFERROR(__xludf.DUMMYFUNCTION("""COMPUTED_VALUE"""),"")</f>
        <v/>
      </c>
      <c r="J809" t="str">
        <f>IFERROR(__xludf.DUMMYFUNCTION("""COMPUTED_VALUE"""),"")</f>
        <v/>
      </c>
      <c r="K809" t="str">
        <f>IFERROR(__xludf.DUMMYFUNCTION("""COMPUTED_VALUE"""),"")</f>
        <v/>
      </c>
      <c r="L809" t="str">
        <f>IFERROR(__xludf.DUMMYFUNCTION("""COMPUTED_VALUE"""),"")</f>
        <v/>
      </c>
    </row>
    <row r="810" ht="15.75" customHeight="1">
      <c r="A810" t="str">
        <f>IFERROR(__xludf.DUMMYFUNCTION("""COMPUTED_VALUE"""),"")</f>
        <v/>
      </c>
      <c r="B810" t="str">
        <f>IFERROR(__xludf.DUMMYFUNCTION("""COMPUTED_VALUE"""),"")</f>
        <v/>
      </c>
      <c r="C810" t="str">
        <f>IFERROR(__xludf.DUMMYFUNCTION("""COMPUTED_VALUE"""),"")</f>
        <v/>
      </c>
      <c r="D810" t="str">
        <f>IFERROR(__xludf.DUMMYFUNCTION("""COMPUTED_VALUE"""),"")</f>
        <v/>
      </c>
      <c r="E810" t="str">
        <f>IFERROR(__xludf.DUMMYFUNCTION("""COMPUTED_VALUE"""),"")</f>
        <v/>
      </c>
      <c r="F810" t="str">
        <f>IFERROR(__xludf.DUMMYFUNCTION("""COMPUTED_VALUE"""),"")</f>
        <v/>
      </c>
      <c r="G810" t="str">
        <f>IFERROR(__xludf.DUMMYFUNCTION("""COMPUTED_VALUE"""),"")</f>
        <v/>
      </c>
      <c r="H810" t="str">
        <f>IFERROR(__xludf.DUMMYFUNCTION("""COMPUTED_VALUE"""),"")</f>
        <v/>
      </c>
      <c r="I810" t="str">
        <f>IFERROR(__xludf.DUMMYFUNCTION("""COMPUTED_VALUE"""),"")</f>
        <v/>
      </c>
      <c r="J810" t="str">
        <f>IFERROR(__xludf.DUMMYFUNCTION("""COMPUTED_VALUE"""),"")</f>
        <v/>
      </c>
      <c r="K810" t="str">
        <f>IFERROR(__xludf.DUMMYFUNCTION("""COMPUTED_VALUE"""),"")</f>
        <v/>
      </c>
      <c r="L810" t="str">
        <f>IFERROR(__xludf.DUMMYFUNCTION("""COMPUTED_VALUE"""),"")</f>
        <v/>
      </c>
    </row>
    <row r="811" ht="15.75" customHeight="1">
      <c r="A811" t="str">
        <f>IFERROR(__xludf.DUMMYFUNCTION("""COMPUTED_VALUE"""),"")</f>
        <v/>
      </c>
      <c r="B811" t="str">
        <f>IFERROR(__xludf.DUMMYFUNCTION("""COMPUTED_VALUE"""),"")</f>
        <v/>
      </c>
      <c r="C811" t="str">
        <f>IFERROR(__xludf.DUMMYFUNCTION("""COMPUTED_VALUE"""),"")</f>
        <v/>
      </c>
      <c r="D811" t="str">
        <f>IFERROR(__xludf.DUMMYFUNCTION("""COMPUTED_VALUE"""),"")</f>
        <v/>
      </c>
      <c r="E811" t="str">
        <f>IFERROR(__xludf.DUMMYFUNCTION("""COMPUTED_VALUE"""),"")</f>
        <v/>
      </c>
      <c r="F811" t="str">
        <f>IFERROR(__xludf.DUMMYFUNCTION("""COMPUTED_VALUE"""),"")</f>
        <v/>
      </c>
      <c r="G811" t="str">
        <f>IFERROR(__xludf.DUMMYFUNCTION("""COMPUTED_VALUE"""),"")</f>
        <v/>
      </c>
      <c r="H811" t="str">
        <f>IFERROR(__xludf.DUMMYFUNCTION("""COMPUTED_VALUE"""),"")</f>
        <v/>
      </c>
      <c r="I811" t="str">
        <f>IFERROR(__xludf.DUMMYFUNCTION("""COMPUTED_VALUE"""),"")</f>
        <v/>
      </c>
      <c r="J811" t="str">
        <f>IFERROR(__xludf.DUMMYFUNCTION("""COMPUTED_VALUE"""),"")</f>
        <v/>
      </c>
      <c r="K811" t="str">
        <f>IFERROR(__xludf.DUMMYFUNCTION("""COMPUTED_VALUE"""),"")</f>
        <v/>
      </c>
      <c r="L811" t="str">
        <f>IFERROR(__xludf.DUMMYFUNCTION("""COMPUTED_VALUE"""),"")</f>
        <v/>
      </c>
    </row>
    <row r="812" ht="15.75" customHeight="1">
      <c r="A812" t="str">
        <f>IFERROR(__xludf.DUMMYFUNCTION("""COMPUTED_VALUE"""),"")</f>
        <v/>
      </c>
      <c r="B812" t="str">
        <f>IFERROR(__xludf.DUMMYFUNCTION("""COMPUTED_VALUE"""),"")</f>
        <v/>
      </c>
      <c r="C812" t="str">
        <f>IFERROR(__xludf.DUMMYFUNCTION("""COMPUTED_VALUE"""),"")</f>
        <v/>
      </c>
      <c r="D812" t="str">
        <f>IFERROR(__xludf.DUMMYFUNCTION("""COMPUTED_VALUE"""),"")</f>
        <v/>
      </c>
      <c r="E812" t="str">
        <f>IFERROR(__xludf.DUMMYFUNCTION("""COMPUTED_VALUE"""),"")</f>
        <v/>
      </c>
      <c r="F812" t="str">
        <f>IFERROR(__xludf.DUMMYFUNCTION("""COMPUTED_VALUE"""),"")</f>
        <v/>
      </c>
      <c r="G812" t="str">
        <f>IFERROR(__xludf.DUMMYFUNCTION("""COMPUTED_VALUE"""),"")</f>
        <v/>
      </c>
      <c r="H812" t="str">
        <f>IFERROR(__xludf.DUMMYFUNCTION("""COMPUTED_VALUE"""),"")</f>
        <v/>
      </c>
      <c r="I812" t="str">
        <f>IFERROR(__xludf.DUMMYFUNCTION("""COMPUTED_VALUE"""),"")</f>
        <v/>
      </c>
      <c r="J812" t="str">
        <f>IFERROR(__xludf.DUMMYFUNCTION("""COMPUTED_VALUE"""),"")</f>
        <v/>
      </c>
      <c r="K812" t="str">
        <f>IFERROR(__xludf.DUMMYFUNCTION("""COMPUTED_VALUE"""),"")</f>
        <v/>
      </c>
      <c r="L812" t="str">
        <f>IFERROR(__xludf.DUMMYFUNCTION("""COMPUTED_VALUE"""),"")</f>
        <v/>
      </c>
    </row>
    <row r="813" ht="15.75" customHeight="1">
      <c r="A813" t="str">
        <f>IFERROR(__xludf.DUMMYFUNCTION("""COMPUTED_VALUE"""),"")</f>
        <v/>
      </c>
      <c r="B813" t="str">
        <f>IFERROR(__xludf.DUMMYFUNCTION("""COMPUTED_VALUE"""),"")</f>
        <v/>
      </c>
      <c r="C813" t="str">
        <f>IFERROR(__xludf.DUMMYFUNCTION("""COMPUTED_VALUE"""),"")</f>
        <v/>
      </c>
      <c r="D813" t="str">
        <f>IFERROR(__xludf.DUMMYFUNCTION("""COMPUTED_VALUE"""),"")</f>
        <v/>
      </c>
      <c r="E813" t="str">
        <f>IFERROR(__xludf.DUMMYFUNCTION("""COMPUTED_VALUE"""),"")</f>
        <v/>
      </c>
      <c r="F813" t="str">
        <f>IFERROR(__xludf.DUMMYFUNCTION("""COMPUTED_VALUE"""),"")</f>
        <v/>
      </c>
      <c r="G813" t="str">
        <f>IFERROR(__xludf.DUMMYFUNCTION("""COMPUTED_VALUE"""),"")</f>
        <v/>
      </c>
      <c r="H813" t="str">
        <f>IFERROR(__xludf.DUMMYFUNCTION("""COMPUTED_VALUE"""),"")</f>
        <v/>
      </c>
      <c r="I813" t="str">
        <f>IFERROR(__xludf.DUMMYFUNCTION("""COMPUTED_VALUE"""),"")</f>
        <v/>
      </c>
      <c r="J813" t="str">
        <f>IFERROR(__xludf.DUMMYFUNCTION("""COMPUTED_VALUE"""),"")</f>
        <v/>
      </c>
      <c r="K813" t="str">
        <f>IFERROR(__xludf.DUMMYFUNCTION("""COMPUTED_VALUE"""),"")</f>
        <v/>
      </c>
      <c r="L813" t="str">
        <f>IFERROR(__xludf.DUMMYFUNCTION("""COMPUTED_VALUE"""),"")</f>
        <v/>
      </c>
    </row>
    <row r="814" ht="15.75" customHeight="1">
      <c r="A814" t="str">
        <f>IFERROR(__xludf.DUMMYFUNCTION("""COMPUTED_VALUE"""),"")</f>
        <v/>
      </c>
      <c r="B814" t="str">
        <f>IFERROR(__xludf.DUMMYFUNCTION("""COMPUTED_VALUE"""),"")</f>
        <v/>
      </c>
      <c r="C814" t="str">
        <f>IFERROR(__xludf.DUMMYFUNCTION("""COMPUTED_VALUE"""),"")</f>
        <v/>
      </c>
      <c r="D814" t="str">
        <f>IFERROR(__xludf.DUMMYFUNCTION("""COMPUTED_VALUE"""),"")</f>
        <v/>
      </c>
      <c r="E814" t="str">
        <f>IFERROR(__xludf.DUMMYFUNCTION("""COMPUTED_VALUE"""),"")</f>
        <v/>
      </c>
      <c r="F814" t="str">
        <f>IFERROR(__xludf.DUMMYFUNCTION("""COMPUTED_VALUE"""),"")</f>
        <v/>
      </c>
      <c r="G814" t="str">
        <f>IFERROR(__xludf.DUMMYFUNCTION("""COMPUTED_VALUE"""),"")</f>
        <v/>
      </c>
      <c r="H814" t="str">
        <f>IFERROR(__xludf.DUMMYFUNCTION("""COMPUTED_VALUE"""),"")</f>
        <v/>
      </c>
      <c r="I814" t="str">
        <f>IFERROR(__xludf.DUMMYFUNCTION("""COMPUTED_VALUE"""),"")</f>
        <v/>
      </c>
      <c r="J814" t="str">
        <f>IFERROR(__xludf.DUMMYFUNCTION("""COMPUTED_VALUE"""),"")</f>
        <v/>
      </c>
      <c r="K814" t="str">
        <f>IFERROR(__xludf.DUMMYFUNCTION("""COMPUTED_VALUE"""),"")</f>
        <v/>
      </c>
      <c r="L814" t="str">
        <f>IFERROR(__xludf.DUMMYFUNCTION("""COMPUTED_VALUE"""),"")</f>
        <v/>
      </c>
    </row>
    <row r="815" ht="15.75" customHeight="1">
      <c r="A815" t="str">
        <f>IFERROR(__xludf.DUMMYFUNCTION("""COMPUTED_VALUE"""),"")</f>
        <v/>
      </c>
      <c r="B815" t="str">
        <f>IFERROR(__xludf.DUMMYFUNCTION("""COMPUTED_VALUE"""),"")</f>
        <v/>
      </c>
      <c r="C815" t="str">
        <f>IFERROR(__xludf.DUMMYFUNCTION("""COMPUTED_VALUE"""),"")</f>
        <v/>
      </c>
      <c r="D815" t="str">
        <f>IFERROR(__xludf.DUMMYFUNCTION("""COMPUTED_VALUE"""),"")</f>
        <v/>
      </c>
      <c r="E815" t="str">
        <f>IFERROR(__xludf.DUMMYFUNCTION("""COMPUTED_VALUE"""),"")</f>
        <v/>
      </c>
      <c r="F815" t="str">
        <f>IFERROR(__xludf.DUMMYFUNCTION("""COMPUTED_VALUE"""),"")</f>
        <v/>
      </c>
      <c r="G815" t="str">
        <f>IFERROR(__xludf.DUMMYFUNCTION("""COMPUTED_VALUE"""),"")</f>
        <v/>
      </c>
      <c r="H815" t="str">
        <f>IFERROR(__xludf.DUMMYFUNCTION("""COMPUTED_VALUE"""),"")</f>
        <v/>
      </c>
      <c r="I815" t="str">
        <f>IFERROR(__xludf.DUMMYFUNCTION("""COMPUTED_VALUE"""),"")</f>
        <v/>
      </c>
      <c r="J815" t="str">
        <f>IFERROR(__xludf.DUMMYFUNCTION("""COMPUTED_VALUE"""),"")</f>
        <v/>
      </c>
      <c r="K815" t="str">
        <f>IFERROR(__xludf.DUMMYFUNCTION("""COMPUTED_VALUE"""),"")</f>
        <v/>
      </c>
      <c r="L815" t="str">
        <f>IFERROR(__xludf.DUMMYFUNCTION("""COMPUTED_VALUE"""),"")</f>
        <v/>
      </c>
    </row>
    <row r="816" ht="15.75" customHeight="1">
      <c r="A816" t="str">
        <f>IFERROR(__xludf.DUMMYFUNCTION("""COMPUTED_VALUE"""),"")</f>
        <v/>
      </c>
      <c r="B816" t="str">
        <f>IFERROR(__xludf.DUMMYFUNCTION("""COMPUTED_VALUE"""),"")</f>
        <v/>
      </c>
      <c r="C816" t="str">
        <f>IFERROR(__xludf.DUMMYFUNCTION("""COMPUTED_VALUE"""),"")</f>
        <v/>
      </c>
      <c r="D816" t="str">
        <f>IFERROR(__xludf.DUMMYFUNCTION("""COMPUTED_VALUE"""),"")</f>
        <v/>
      </c>
      <c r="E816" t="str">
        <f>IFERROR(__xludf.DUMMYFUNCTION("""COMPUTED_VALUE"""),"")</f>
        <v/>
      </c>
      <c r="F816" t="str">
        <f>IFERROR(__xludf.DUMMYFUNCTION("""COMPUTED_VALUE"""),"")</f>
        <v/>
      </c>
      <c r="G816" t="str">
        <f>IFERROR(__xludf.DUMMYFUNCTION("""COMPUTED_VALUE"""),"")</f>
        <v/>
      </c>
      <c r="H816" t="str">
        <f>IFERROR(__xludf.DUMMYFUNCTION("""COMPUTED_VALUE"""),"")</f>
        <v/>
      </c>
      <c r="I816" t="str">
        <f>IFERROR(__xludf.DUMMYFUNCTION("""COMPUTED_VALUE"""),"")</f>
        <v/>
      </c>
      <c r="J816" t="str">
        <f>IFERROR(__xludf.DUMMYFUNCTION("""COMPUTED_VALUE"""),"")</f>
        <v/>
      </c>
      <c r="K816" t="str">
        <f>IFERROR(__xludf.DUMMYFUNCTION("""COMPUTED_VALUE"""),"")</f>
        <v/>
      </c>
      <c r="L816" t="str">
        <f>IFERROR(__xludf.DUMMYFUNCTION("""COMPUTED_VALUE"""),"")</f>
        <v/>
      </c>
    </row>
    <row r="817" ht="15.75" customHeight="1">
      <c r="A817" t="str">
        <f>IFERROR(__xludf.DUMMYFUNCTION("""COMPUTED_VALUE"""),"")</f>
        <v/>
      </c>
      <c r="B817" t="str">
        <f>IFERROR(__xludf.DUMMYFUNCTION("""COMPUTED_VALUE"""),"")</f>
        <v/>
      </c>
      <c r="C817" t="str">
        <f>IFERROR(__xludf.DUMMYFUNCTION("""COMPUTED_VALUE"""),"")</f>
        <v/>
      </c>
      <c r="D817" t="str">
        <f>IFERROR(__xludf.DUMMYFUNCTION("""COMPUTED_VALUE"""),"")</f>
        <v/>
      </c>
      <c r="E817" t="str">
        <f>IFERROR(__xludf.DUMMYFUNCTION("""COMPUTED_VALUE"""),"")</f>
        <v/>
      </c>
      <c r="F817" t="str">
        <f>IFERROR(__xludf.DUMMYFUNCTION("""COMPUTED_VALUE"""),"")</f>
        <v/>
      </c>
      <c r="G817" t="str">
        <f>IFERROR(__xludf.DUMMYFUNCTION("""COMPUTED_VALUE"""),"")</f>
        <v/>
      </c>
      <c r="H817" t="str">
        <f>IFERROR(__xludf.DUMMYFUNCTION("""COMPUTED_VALUE"""),"")</f>
        <v/>
      </c>
      <c r="I817" t="str">
        <f>IFERROR(__xludf.DUMMYFUNCTION("""COMPUTED_VALUE"""),"")</f>
        <v/>
      </c>
      <c r="J817" t="str">
        <f>IFERROR(__xludf.DUMMYFUNCTION("""COMPUTED_VALUE"""),"")</f>
        <v/>
      </c>
      <c r="K817" t="str">
        <f>IFERROR(__xludf.DUMMYFUNCTION("""COMPUTED_VALUE"""),"")</f>
        <v/>
      </c>
      <c r="L817" t="str">
        <f>IFERROR(__xludf.DUMMYFUNCTION("""COMPUTED_VALUE"""),"")</f>
        <v/>
      </c>
    </row>
    <row r="818" ht="15.75" customHeight="1">
      <c r="A818" t="str">
        <f>IFERROR(__xludf.DUMMYFUNCTION("""COMPUTED_VALUE"""),"")</f>
        <v/>
      </c>
      <c r="B818" t="str">
        <f>IFERROR(__xludf.DUMMYFUNCTION("""COMPUTED_VALUE"""),"")</f>
        <v/>
      </c>
      <c r="C818" t="str">
        <f>IFERROR(__xludf.DUMMYFUNCTION("""COMPUTED_VALUE"""),"")</f>
        <v/>
      </c>
      <c r="D818" t="str">
        <f>IFERROR(__xludf.DUMMYFUNCTION("""COMPUTED_VALUE"""),"")</f>
        <v/>
      </c>
      <c r="E818" t="str">
        <f>IFERROR(__xludf.DUMMYFUNCTION("""COMPUTED_VALUE"""),"")</f>
        <v/>
      </c>
      <c r="F818" t="str">
        <f>IFERROR(__xludf.DUMMYFUNCTION("""COMPUTED_VALUE"""),"")</f>
        <v/>
      </c>
      <c r="G818" t="str">
        <f>IFERROR(__xludf.DUMMYFUNCTION("""COMPUTED_VALUE"""),"")</f>
        <v/>
      </c>
      <c r="H818" t="str">
        <f>IFERROR(__xludf.DUMMYFUNCTION("""COMPUTED_VALUE"""),"")</f>
        <v/>
      </c>
      <c r="I818" t="str">
        <f>IFERROR(__xludf.DUMMYFUNCTION("""COMPUTED_VALUE"""),"")</f>
        <v/>
      </c>
      <c r="J818" t="str">
        <f>IFERROR(__xludf.DUMMYFUNCTION("""COMPUTED_VALUE"""),"")</f>
        <v/>
      </c>
      <c r="K818" t="str">
        <f>IFERROR(__xludf.DUMMYFUNCTION("""COMPUTED_VALUE"""),"")</f>
        <v/>
      </c>
      <c r="L818" t="str">
        <f>IFERROR(__xludf.DUMMYFUNCTION("""COMPUTED_VALUE"""),"")</f>
        <v/>
      </c>
    </row>
    <row r="819" ht="15.75" customHeight="1">
      <c r="A819" t="str">
        <f>IFERROR(__xludf.DUMMYFUNCTION("""COMPUTED_VALUE"""),"")</f>
        <v/>
      </c>
      <c r="B819" t="str">
        <f>IFERROR(__xludf.DUMMYFUNCTION("""COMPUTED_VALUE"""),"")</f>
        <v/>
      </c>
      <c r="C819" t="str">
        <f>IFERROR(__xludf.DUMMYFUNCTION("""COMPUTED_VALUE"""),"")</f>
        <v/>
      </c>
      <c r="D819" t="str">
        <f>IFERROR(__xludf.DUMMYFUNCTION("""COMPUTED_VALUE"""),"")</f>
        <v/>
      </c>
      <c r="E819" t="str">
        <f>IFERROR(__xludf.DUMMYFUNCTION("""COMPUTED_VALUE"""),"")</f>
        <v/>
      </c>
      <c r="F819" t="str">
        <f>IFERROR(__xludf.DUMMYFUNCTION("""COMPUTED_VALUE"""),"")</f>
        <v/>
      </c>
      <c r="G819" t="str">
        <f>IFERROR(__xludf.DUMMYFUNCTION("""COMPUTED_VALUE"""),"")</f>
        <v/>
      </c>
      <c r="H819" t="str">
        <f>IFERROR(__xludf.DUMMYFUNCTION("""COMPUTED_VALUE"""),"")</f>
        <v/>
      </c>
      <c r="I819" t="str">
        <f>IFERROR(__xludf.DUMMYFUNCTION("""COMPUTED_VALUE"""),"")</f>
        <v/>
      </c>
      <c r="J819" t="str">
        <f>IFERROR(__xludf.DUMMYFUNCTION("""COMPUTED_VALUE"""),"")</f>
        <v/>
      </c>
      <c r="K819" t="str">
        <f>IFERROR(__xludf.DUMMYFUNCTION("""COMPUTED_VALUE"""),"")</f>
        <v/>
      </c>
      <c r="L819" t="str">
        <f>IFERROR(__xludf.DUMMYFUNCTION("""COMPUTED_VALUE"""),"")</f>
        <v/>
      </c>
    </row>
    <row r="820" ht="15.75" customHeight="1">
      <c r="A820" t="str">
        <f>IFERROR(__xludf.DUMMYFUNCTION("""COMPUTED_VALUE"""),"")</f>
        <v/>
      </c>
      <c r="B820" t="str">
        <f>IFERROR(__xludf.DUMMYFUNCTION("""COMPUTED_VALUE"""),"")</f>
        <v/>
      </c>
      <c r="C820" t="str">
        <f>IFERROR(__xludf.DUMMYFUNCTION("""COMPUTED_VALUE"""),"")</f>
        <v/>
      </c>
      <c r="D820" t="str">
        <f>IFERROR(__xludf.DUMMYFUNCTION("""COMPUTED_VALUE"""),"")</f>
        <v/>
      </c>
      <c r="E820" t="str">
        <f>IFERROR(__xludf.DUMMYFUNCTION("""COMPUTED_VALUE"""),"")</f>
        <v/>
      </c>
      <c r="F820" t="str">
        <f>IFERROR(__xludf.DUMMYFUNCTION("""COMPUTED_VALUE"""),"")</f>
        <v/>
      </c>
      <c r="G820" t="str">
        <f>IFERROR(__xludf.DUMMYFUNCTION("""COMPUTED_VALUE"""),"")</f>
        <v/>
      </c>
      <c r="H820" t="str">
        <f>IFERROR(__xludf.DUMMYFUNCTION("""COMPUTED_VALUE"""),"")</f>
        <v/>
      </c>
      <c r="I820" t="str">
        <f>IFERROR(__xludf.DUMMYFUNCTION("""COMPUTED_VALUE"""),"")</f>
        <v/>
      </c>
      <c r="J820" t="str">
        <f>IFERROR(__xludf.DUMMYFUNCTION("""COMPUTED_VALUE"""),"")</f>
        <v/>
      </c>
      <c r="K820" t="str">
        <f>IFERROR(__xludf.DUMMYFUNCTION("""COMPUTED_VALUE"""),"")</f>
        <v/>
      </c>
      <c r="L820" t="str">
        <f>IFERROR(__xludf.DUMMYFUNCTION("""COMPUTED_VALUE"""),"")</f>
        <v/>
      </c>
    </row>
    <row r="821" ht="15.75" customHeight="1">
      <c r="A821" t="str">
        <f>IFERROR(__xludf.DUMMYFUNCTION("""COMPUTED_VALUE"""),"")</f>
        <v/>
      </c>
      <c r="B821" t="str">
        <f>IFERROR(__xludf.DUMMYFUNCTION("""COMPUTED_VALUE"""),"")</f>
        <v/>
      </c>
      <c r="C821" t="str">
        <f>IFERROR(__xludf.DUMMYFUNCTION("""COMPUTED_VALUE"""),"")</f>
        <v/>
      </c>
      <c r="D821" t="str">
        <f>IFERROR(__xludf.DUMMYFUNCTION("""COMPUTED_VALUE"""),"")</f>
        <v/>
      </c>
      <c r="E821" t="str">
        <f>IFERROR(__xludf.DUMMYFUNCTION("""COMPUTED_VALUE"""),"")</f>
        <v/>
      </c>
      <c r="F821" t="str">
        <f>IFERROR(__xludf.DUMMYFUNCTION("""COMPUTED_VALUE"""),"")</f>
        <v/>
      </c>
      <c r="G821" t="str">
        <f>IFERROR(__xludf.DUMMYFUNCTION("""COMPUTED_VALUE"""),"")</f>
        <v/>
      </c>
      <c r="H821" t="str">
        <f>IFERROR(__xludf.DUMMYFUNCTION("""COMPUTED_VALUE"""),"")</f>
        <v/>
      </c>
      <c r="I821" t="str">
        <f>IFERROR(__xludf.DUMMYFUNCTION("""COMPUTED_VALUE"""),"")</f>
        <v/>
      </c>
      <c r="J821" t="str">
        <f>IFERROR(__xludf.DUMMYFUNCTION("""COMPUTED_VALUE"""),"")</f>
        <v/>
      </c>
      <c r="K821" t="str">
        <f>IFERROR(__xludf.DUMMYFUNCTION("""COMPUTED_VALUE"""),"")</f>
        <v/>
      </c>
      <c r="L821" t="str">
        <f>IFERROR(__xludf.DUMMYFUNCTION("""COMPUTED_VALUE"""),"")</f>
        <v/>
      </c>
    </row>
    <row r="822" ht="15.75" customHeight="1">
      <c r="A822" t="str">
        <f>IFERROR(__xludf.DUMMYFUNCTION("""COMPUTED_VALUE"""),"")</f>
        <v/>
      </c>
      <c r="B822" t="str">
        <f>IFERROR(__xludf.DUMMYFUNCTION("""COMPUTED_VALUE"""),"")</f>
        <v/>
      </c>
      <c r="C822" t="str">
        <f>IFERROR(__xludf.DUMMYFUNCTION("""COMPUTED_VALUE"""),"")</f>
        <v/>
      </c>
      <c r="D822" t="str">
        <f>IFERROR(__xludf.DUMMYFUNCTION("""COMPUTED_VALUE"""),"")</f>
        <v/>
      </c>
      <c r="E822" t="str">
        <f>IFERROR(__xludf.DUMMYFUNCTION("""COMPUTED_VALUE"""),"")</f>
        <v/>
      </c>
      <c r="F822" t="str">
        <f>IFERROR(__xludf.DUMMYFUNCTION("""COMPUTED_VALUE"""),"")</f>
        <v/>
      </c>
      <c r="G822" t="str">
        <f>IFERROR(__xludf.DUMMYFUNCTION("""COMPUTED_VALUE"""),"")</f>
        <v/>
      </c>
      <c r="H822" t="str">
        <f>IFERROR(__xludf.DUMMYFUNCTION("""COMPUTED_VALUE"""),"")</f>
        <v/>
      </c>
      <c r="I822" t="str">
        <f>IFERROR(__xludf.DUMMYFUNCTION("""COMPUTED_VALUE"""),"")</f>
        <v/>
      </c>
      <c r="J822" t="str">
        <f>IFERROR(__xludf.DUMMYFUNCTION("""COMPUTED_VALUE"""),"")</f>
        <v/>
      </c>
      <c r="K822" t="str">
        <f>IFERROR(__xludf.DUMMYFUNCTION("""COMPUTED_VALUE"""),"")</f>
        <v/>
      </c>
      <c r="L822" t="str">
        <f>IFERROR(__xludf.DUMMYFUNCTION("""COMPUTED_VALUE"""),"")</f>
        <v/>
      </c>
    </row>
    <row r="823" ht="15.75" customHeight="1">
      <c r="A823" t="str">
        <f>IFERROR(__xludf.DUMMYFUNCTION("""COMPUTED_VALUE"""),"")</f>
        <v/>
      </c>
      <c r="B823" t="str">
        <f>IFERROR(__xludf.DUMMYFUNCTION("""COMPUTED_VALUE"""),"")</f>
        <v/>
      </c>
      <c r="C823" t="str">
        <f>IFERROR(__xludf.DUMMYFUNCTION("""COMPUTED_VALUE"""),"")</f>
        <v/>
      </c>
      <c r="D823" t="str">
        <f>IFERROR(__xludf.DUMMYFUNCTION("""COMPUTED_VALUE"""),"")</f>
        <v/>
      </c>
      <c r="E823" t="str">
        <f>IFERROR(__xludf.DUMMYFUNCTION("""COMPUTED_VALUE"""),"")</f>
        <v/>
      </c>
      <c r="F823" t="str">
        <f>IFERROR(__xludf.DUMMYFUNCTION("""COMPUTED_VALUE"""),"")</f>
        <v/>
      </c>
      <c r="G823" t="str">
        <f>IFERROR(__xludf.DUMMYFUNCTION("""COMPUTED_VALUE"""),"")</f>
        <v/>
      </c>
      <c r="H823" t="str">
        <f>IFERROR(__xludf.DUMMYFUNCTION("""COMPUTED_VALUE"""),"")</f>
        <v/>
      </c>
      <c r="I823" t="str">
        <f>IFERROR(__xludf.DUMMYFUNCTION("""COMPUTED_VALUE"""),"")</f>
        <v/>
      </c>
      <c r="J823" t="str">
        <f>IFERROR(__xludf.DUMMYFUNCTION("""COMPUTED_VALUE"""),"")</f>
        <v/>
      </c>
      <c r="K823" t="str">
        <f>IFERROR(__xludf.DUMMYFUNCTION("""COMPUTED_VALUE"""),"")</f>
        <v/>
      </c>
      <c r="L823" t="str">
        <f>IFERROR(__xludf.DUMMYFUNCTION("""COMPUTED_VALUE"""),"")</f>
        <v/>
      </c>
    </row>
    <row r="824" ht="15.75" customHeight="1">
      <c r="A824" t="str">
        <f>IFERROR(__xludf.DUMMYFUNCTION("""COMPUTED_VALUE"""),"")</f>
        <v/>
      </c>
      <c r="B824" t="str">
        <f>IFERROR(__xludf.DUMMYFUNCTION("""COMPUTED_VALUE"""),"")</f>
        <v/>
      </c>
      <c r="C824" t="str">
        <f>IFERROR(__xludf.DUMMYFUNCTION("""COMPUTED_VALUE"""),"")</f>
        <v/>
      </c>
      <c r="D824" t="str">
        <f>IFERROR(__xludf.DUMMYFUNCTION("""COMPUTED_VALUE"""),"")</f>
        <v/>
      </c>
      <c r="E824" t="str">
        <f>IFERROR(__xludf.DUMMYFUNCTION("""COMPUTED_VALUE"""),"")</f>
        <v/>
      </c>
      <c r="F824" t="str">
        <f>IFERROR(__xludf.DUMMYFUNCTION("""COMPUTED_VALUE"""),"")</f>
        <v/>
      </c>
      <c r="G824" t="str">
        <f>IFERROR(__xludf.DUMMYFUNCTION("""COMPUTED_VALUE"""),"")</f>
        <v/>
      </c>
      <c r="H824" t="str">
        <f>IFERROR(__xludf.DUMMYFUNCTION("""COMPUTED_VALUE"""),"")</f>
        <v/>
      </c>
      <c r="I824" t="str">
        <f>IFERROR(__xludf.DUMMYFUNCTION("""COMPUTED_VALUE"""),"")</f>
        <v/>
      </c>
      <c r="J824" t="str">
        <f>IFERROR(__xludf.DUMMYFUNCTION("""COMPUTED_VALUE"""),"")</f>
        <v/>
      </c>
      <c r="K824" t="str">
        <f>IFERROR(__xludf.DUMMYFUNCTION("""COMPUTED_VALUE"""),"")</f>
        <v/>
      </c>
      <c r="L824" t="str">
        <f>IFERROR(__xludf.DUMMYFUNCTION("""COMPUTED_VALUE"""),"")</f>
        <v/>
      </c>
    </row>
    <row r="825" ht="15.75" customHeight="1">
      <c r="A825" t="str">
        <f>IFERROR(__xludf.DUMMYFUNCTION("""COMPUTED_VALUE"""),"")</f>
        <v/>
      </c>
      <c r="B825" t="str">
        <f>IFERROR(__xludf.DUMMYFUNCTION("""COMPUTED_VALUE"""),"")</f>
        <v/>
      </c>
      <c r="C825" t="str">
        <f>IFERROR(__xludf.DUMMYFUNCTION("""COMPUTED_VALUE"""),"")</f>
        <v/>
      </c>
      <c r="D825" t="str">
        <f>IFERROR(__xludf.DUMMYFUNCTION("""COMPUTED_VALUE"""),"")</f>
        <v/>
      </c>
      <c r="E825" t="str">
        <f>IFERROR(__xludf.DUMMYFUNCTION("""COMPUTED_VALUE"""),"")</f>
        <v/>
      </c>
      <c r="F825" t="str">
        <f>IFERROR(__xludf.DUMMYFUNCTION("""COMPUTED_VALUE"""),"")</f>
        <v/>
      </c>
      <c r="G825" t="str">
        <f>IFERROR(__xludf.DUMMYFUNCTION("""COMPUTED_VALUE"""),"")</f>
        <v/>
      </c>
      <c r="H825" t="str">
        <f>IFERROR(__xludf.DUMMYFUNCTION("""COMPUTED_VALUE"""),"")</f>
        <v/>
      </c>
      <c r="I825" t="str">
        <f>IFERROR(__xludf.DUMMYFUNCTION("""COMPUTED_VALUE"""),"")</f>
        <v/>
      </c>
      <c r="J825" t="str">
        <f>IFERROR(__xludf.DUMMYFUNCTION("""COMPUTED_VALUE"""),"")</f>
        <v/>
      </c>
      <c r="K825" t="str">
        <f>IFERROR(__xludf.DUMMYFUNCTION("""COMPUTED_VALUE"""),"")</f>
        <v/>
      </c>
      <c r="L825" t="str">
        <f>IFERROR(__xludf.DUMMYFUNCTION("""COMPUTED_VALUE"""),"")</f>
        <v/>
      </c>
    </row>
    <row r="826" ht="15.75" customHeight="1">
      <c r="A826" t="str">
        <f>IFERROR(__xludf.DUMMYFUNCTION("""COMPUTED_VALUE"""),"")</f>
        <v/>
      </c>
      <c r="B826" t="str">
        <f>IFERROR(__xludf.DUMMYFUNCTION("""COMPUTED_VALUE"""),"")</f>
        <v/>
      </c>
      <c r="C826" t="str">
        <f>IFERROR(__xludf.DUMMYFUNCTION("""COMPUTED_VALUE"""),"")</f>
        <v/>
      </c>
      <c r="D826" t="str">
        <f>IFERROR(__xludf.DUMMYFUNCTION("""COMPUTED_VALUE"""),"")</f>
        <v/>
      </c>
      <c r="E826" t="str">
        <f>IFERROR(__xludf.DUMMYFUNCTION("""COMPUTED_VALUE"""),"")</f>
        <v/>
      </c>
      <c r="F826" t="str">
        <f>IFERROR(__xludf.DUMMYFUNCTION("""COMPUTED_VALUE"""),"")</f>
        <v/>
      </c>
      <c r="G826" t="str">
        <f>IFERROR(__xludf.DUMMYFUNCTION("""COMPUTED_VALUE"""),"")</f>
        <v/>
      </c>
      <c r="H826" t="str">
        <f>IFERROR(__xludf.DUMMYFUNCTION("""COMPUTED_VALUE"""),"")</f>
        <v/>
      </c>
      <c r="I826" t="str">
        <f>IFERROR(__xludf.DUMMYFUNCTION("""COMPUTED_VALUE"""),"")</f>
        <v/>
      </c>
      <c r="J826" t="str">
        <f>IFERROR(__xludf.DUMMYFUNCTION("""COMPUTED_VALUE"""),"")</f>
        <v/>
      </c>
      <c r="K826" t="str">
        <f>IFERROR(__xludf.DUMMYFUNCTION("""COMPUTED_VALUE"""),"")</f>
        <v/>
      </c>
      <c r="L826" t="str">
        <f>IFERROR(__xludf.DUMMYFUNCTION("""COMPUTED_VALUE"""),"")</f>
        <v/>
      </c>
    </row>
    <row r="827" ht="15.75" customHeight="1">
      <c r="A827" t="str">
        <f>IFERROR(__xludf.DUMMYFUNCTION("""COMPUTED_VALUE"""),"")</f>
        <v/>
      </c>
      <c r="B827" t="str">
        <f>IFERROR(__xludf.DUMMYFUNCTION("""COMPUTED_VALUE"""),"")</f>
        <v/>
      </c>
      <c r="C827" t="str">
        <f>IFERROR(__xludf.DUMMYFUNCTION("""COMPUTED_VALUE"""),"")</f>
        <v/>
      </c>
      <c r="D827" t="str">
        <f>IFERROR(__xludf.DUMMYFUNCTION("""COMPUTED_VALUE"""),"")</f>
        <v/>
      </c>
      <c r="E827" t="str">
        <f>IFERROR(__xludf.DUMMYFUNCTION("""COMPUTED_VALUE"""),"")</f>
        <v/>
      </c>
      <c r="F827" t="str">
        <f>IFERROR(__xludf.DUMMYFUNCTION("""COMPUTED_VALUE"""),"")</f>
        <v/>
      </c>
      <c r="G827" t="str">
        <f>IFERROR(__xludf.DUMMYFUNCTION("""COMPUTED_VALUE"""),"")</f>
        <v/>
      </c>
      <c r="H827" t="str">
        <f>IFERROR(__xludf.DUMMYFUNCTION("""COMPUTED_VALUE"""),"")</f>
        <v/>
      </c>
      <c r="I827" t="str">
        <f>IFERROR(__xludf.DUMMYFUNCTION("""COMPUTED_VALUE"""),"")</f>
        <v/>
      </c>
      <c r="J827" t="str">
        <f>IFERROR(__xludf.DUMMYFUNCTION("""COMPUTED_VALUE"""),"")</f>
        <v/>
      </c>
      <c r="K827" t="str">
        <f>IFERROR(__xludf.DUMMYFUNCTION("""COMPUTED_VALUE"""),"")</f>
        <v/>
      </c>
      <c r="L827" t="str">
        <f>IFERROR(__xludf.DUMMYFUNCTION("""COMPUTED_VALUE"""),"")</f>
        <v/>
      </c>
    </row>
    <row r="828" ht="15.75" customHeight="1">
      <c r="A828" t="str">
        <f>IFERROR(__xludf.DUMMYFUNCTION("""COMPUTED_VALUE"""),"")</f>
        <v/>
      </c>
      <c r="B828" t="str">
        <f>IFERROR(__xludf.DUMMYFUNCTION("""COMPUTED_VALUE"""),"")</f>
        <v/>
      </c>
      <c r="C828" t="str">
        <f>IFERROR(__xludf.DUMMYFUNCTION("""COMPUTED_VALUE"""),"")</f>
        <v/>
      </c>
      <c r="D828" t="str">
        <f>IFERROR(__xludf.DUMMYFUNCTION("""COMPUTED_VALUE"""),"")</f>
        <v/>
      </c>
      <c r="E828" t="str">
        <f>IFERROR(__xludf.DUMMYFUNCTION("""COMPUTED_VALUE"""),"")</f>
        <v/>
      </c>
      <c r="F828" t="str">
        <f>IFERROR(__xludf.DUMMYFUNCTION("""COMPUTED_VALUE"""),"")</f>
        <v/>
      </c>
      <c r="G828" t="str">
        <f>IFERROR(__xludf.DUMMYFUNCTION("""COMPUTED_VALUE"""),"")</f>
        <v/>
      </c>
      <c r="H828" t="str">
        <f>IFERROR(__xludf.DUMMYFUNCTION("""COMPUTED_VALUE"""),"")</f>
        <v/>
      </c>
      <c r="I828" t="str">
        <f>IFERROR(__xludf.DUMMYFUNCTION("""COMPUTED_VALUE"""),"")</f>
        <v/>
      </c>
      <c r="J828" t="str">
        <f>IFERROR(__xludf.DUMMYFUNCTION("""COMPUTED_VALUE"""),"")</f>
        <v/>
      </c>
      <c r="K828" t="str">
        <f>IFERROR(__xludf.DUMMYFUNCTION("""COMPUTED_VALUE"""),"")</f>
        <v/>
      </c>
      <c r="L828" t="str">
        <f>IFERROR(__xludf.DUMMYFUNCTION("""COMPUTED_VALUE"""),"")</f>
        <v/>
      </c>
    </row>
    <row r="829" ht="15.75" customHeight="1">
      <c r="A829" t="str">
        <f>IFERROR(__xludf.DUMMYFUNCTION("""COMPUTED_VALUE"""),"")</f>
        <v/>
      </c>
      <c r="B829" t="str">
        <f>IFERROR(__xludf.DUMMYFUNCTION("""COMPUTED_VALUE"""),"")</f>
        <v/>
      </c>
      <c r="C829" t="str">
        <f>IFERROR(__xludf.DUMMYFUNCTION("""COMPUTED_VALUE"""),"")</f>
        <v/>
      </c>
      <c r="D829" t="str">
        <f>IFERROR(__xludf.DUMMYFUNCTION("""COMPUTED_VALUE"""),"")</f>
        <v/>
      </c>
      <c r="E829" t="str">
        <f>IFERROR(__xludf.DUMMYFUNCTION("""COMPUTED_VALUE"""),"")</f>
        <v/>
      </c>
      <c r="F829" t="str">
        <f>IFERROR(__xludf.DUMMYFUNCTION("""COMPUTED_VALUE"""),"")</f>
        <v/>
      </c>
      <c r="G829" t="str">
        <f>IFERROR(__xludf.DUMMYFUNCTION("""COMPUTED_VALUE"""),"")</f>
        <v/>
      </c>
      <c r="H829" t="str">
        <f>IFERROR(__xludf.DUMMYFUNCTION("""COMPUTED_VALUE"""),"")</f>
        <v/>
      </c>
      <c r="I829" t="str">
        <f>IFERROR(__xludf.DUMMYFUNCTION("""COMPUTED_VALUE"""),"")</f>
        <v/>
      </c>
      <c r="J829" t="str">
        <f>IFERROR(__xludf.DUMMYFUNCTION("""COMPUTED_VALUE"""),"")</f>
        <v/>
      </c>
      <c r="K829" t="str">
        <f>IFERROR(__xludf.DUMMYFUNCTION("""COMPUTED_VALUE"""),"")</f>
        <v/>
      </c>
      <c r="L829" t="str">
        <f>IFERROR(__xludf.DUMMYFUNCTION("""COMPUTED_VALUE"""),"")</f>
        <v/>
      </c>
    </row>
    <row r="830" ht="15.75" customHeight="1">
      <c r="A830" t="str">
        <f>IFERROR(__xludf.DUMMYFUNCTION("""COMPUTED_VALUE"""),"")</f>
        <v/>
      </c>
      <c r="B830" t="str">
        <f>IFERROR(__xludf.DUMMYFUNCTION("""COMPUTED_VALUE"""),"")</f>
        <v/>
      </c>
      <c r="C830" t="str">
        <f>IFERROR(__xludf.DUMMYFUNCTION("""COMPUTED_VALUE"""),"")</f>
        <v/>
      </c>
      <c r="D830" t="str">
        <f>IFERROR(__xludf.DUMMYFUNCTION("""COMPUTED_VALUE"""),"")</f>
        <v/>
      </c>
      <c r="E830" t="str">
        <f>IFERROR(__xludf.DUMMYFUNCTION("""COMPUTED_VALUE"""),"")</f>
        <v/>
      </c>
      <c r="F830" t="str">
        <f>IFERROR(__xludf.DUMMYFUNCTION("""COMPUTED_VALUE"""),"")</f>
        <v/>
      </c>
      <c r="G830" t="str">
        <f>IFERROR(__xludf.DUMMYFUNCTION("""COMPUTED_VALUE"""),"")</f>
        <v/>
      </c>
      <c r="H830" t="str">
        <f>IFERROR(__xludf.DUMMYFUNCTION("""COMPUTED_VALUE"""),"")</f>
        <v/>
      </c>
      <c r="I830" t="str">
        <f>IFERROR(__xludf.DUMMYFUNCTION("""COMPUTED_VALUE"""),"")</f>
        <v/>
      </c>
      <c r="J830" t="str">
        <f>IFERROR(__xludf.DUMMYFUNCTION("""COMPUTED_VALUE"""),"")</f>
        <v/>
      </c>
      <c r="K830" t="str">
        <f>IFERROR(__xludf.DUMMYFUNCTION("""COMPUTED_VALUE"""),"")</f>
        <v/>
      </c>
      <c r="L830" t="str">
        <f>IFERROR(__xludf.DUMMYFUNCTION("""COMPUTED_VALUE"""),"")</f>
        <v/>
      </c>
    </row>
    <row r="831" ht="15.75" customHeight="1">
      <c r="A831" t="str">
        <f>IFERROR(__xludf.DUMMYFUNCTION("""COMPUTED_VALUE"""),"")</f>
        <v/>
      </c>
      <c r="B831" t="str">
        <f>IFERROR(__xludf.DUMMYFUNCTION("""COMPUTED_VALUE"""),"")</f>
        <v/>
      </c>
      <c r="C831" t="str">
        <f>IFERROR(__xludf.DUMMYFUNCTION("""COMPUTED_VALUE"""),"")</f>
        <v/>
      </c>
      <c r="D831" t="str">
        <f>IFERROR(__xludf.DUMMYFUNCTION("""COMPUTED_VALUE"""),"")</f>
        <v/>
      </c>
      <c r="E831" t="str">
        <f>IFERROR(__xludf.DUMMYFUNCTION("""COMPUTED_VALUE"""),"")</f>
        <v/>
      </c>
      <c r="F831" t="str">
        <f>IFERROR(__xludf.DUMMYFUNCTION("""COMPUTED_VALUE"""),"")</f>
        <v/>
      </c>
      <c r="G831" t="str">
        <f>IFERROR(__xludf.DUMMYFUNCTION("""COMPUTED_VALUE"""),"")</f>
        <v/>
      </c>
      <c r="H831" t="str">
        <f>IFERROR(__xludf.DUMMYFUNCTION("""COMPUTED_VALUE"""),"")</f>
        <v/>
      </c>
      <c r="I831" t="str">
        <f>IFERROR(__xludf.DUMMYFUNCTION("""COMPUTED_VALUE"""),"")</f>
        <v/>
      </c>
      <c r="J831" t="str">
        <f>IFERROR(__xludf.DUMMYFUNCTION("""COMPUTED_VALUE"""),"")</f>
        <v/>
      </c>
      <c r="K831" t="str">
        <f>IFERROR(__xludf.DUMMYFUNCTION("""COMPUTED_VALUE"""),"")</f>
        <v/>
      </c>
      <c r="L831" t="str">
        <f>IFERROR(__xludf.DUMMYFUNCTION("""COMPUTED_VALUE"""),"")</f>
        <v/>
      </c>
    </row>
    <row r="832" ht="15.75" customHeight="1">
      <c r="A832" t="str">
        <f>IFERROR(__xludf.DUMMYFUNCTION("""COMPUTED_VALUE"""),"")</f>
        <v/>
      </c>
      <c r="B832" t="str">
        <f>IFERROR(__xludf.DUMMYFUNCTION("""COMPUTED_VALUE"""),"")</f>
        <v/>
      </c>
      <c r="C832" t="str">
        <f>IFERROR(__xludf.DUMMYFUNCTION("""COMPUTED_VALUE"""),"")</f>
        <v/>
      </c>
      <c r="D832" t="str">
        <f>IFERROR(__xludf.DUMMYFUNCTION("""COMPUTED_VALUE"""),"")</f>
        <v/>
      </c>
      <c r="E832" t="str">
        <f>IFERROR(__xludf.DUMMYFUNCTION("""COMPUTED_VALUE"""),"")</f>
        <v/>
      </c>
      <c r="F832" t="str">
        <f>IFERROR(__xludf.DUMMYFUNCTION("""COMPUTED_VALUE"""),"")</f>
        <v/>
      </c>
      <c r="G832" t="str">
        <f>IFERROR(__xludf.DUMMYFUNCTION("""COMPUTED_VALUE"""),"")</f>
        <v/>
      </c>
      <c r="H832" t="str">
        <f>IFERROR(__xludf.DUMMYFUNCTION("""COMPUTED_VALUE"""),"")</f>
        <v/>
      </c>
      <c r="I832" t="str">
        <f>IFERROR(__xludf.DUMMYFUNCTION("""COMPUTED_VALUE"""),"")</f>
        <v/>
      </c>
      <c r="J832" t="str">
        <f>IFERROR(__xludf.DUMMYFUNCTION("""COMPUTED_VALUE"""),"")</f>
        <v/>
      </c>
      <c r="K832" t="str">
        <f>IFERROR(__xludf.DUMMYFUNCTION("""COMPUTED_VALUE"""),"")</f>
        <v/>
      </c>
      <c r="L832" t="str">
        <f>IFERROR(__xludf.DUMMYFUNCTION("""COMPUTED_VALUE"""),"")</f>
        <v/>
      </c>
    </row>
    <row r="833" ht="15.75" customHeight="1">
      <c r="A833" t="str">
        <f>IFERROR(__xludf.DUMMYFUNCTION("""COMPUTED_VALUE"""),"")</f>
        <v/>
      </c>
      <c r="B833" t="str">
        <f>IFERROR(__xludf.DUMMYFUNCTION("""COMPUTED_VALUE"""),"")</f>
        <v/>
      </c>
      <c r="C833" t="str">
        <f>IFERROR(__xludf.DUMMYFUNCTION("""COMPUTED_VALUE"""),"")</f>
        <v/>
      </c>
      <c r="D833" t="str">
        <f>IFERROR(__xludf.DUMMYFUNCTION("""COMPUTED_VALUE"""),"")</f>
        <v/>
      </c>
      <c r="E833" t="str">
        <f>IFERROR(__xludf.DUMMYFUNCTION("""COMPUTED_VALUE"""),"")</f>
        <v/>
      </c>
      <c r="F833" t="str">
        <f>IFERROR(__xludf.DUMMYFUNCTION("""COMPUTED_VALUE"""),"")</f>
        <v/>
      </c>
      <c r="G833" t="str">
        <f>IFERROR(__xludf.DUMMYFUNCTION("""COMPUTED_VALUE"""),"")</f>
        <v/>
      </c>
      <c r="H833" t="str">
        <f>IFERROR(__xludf.DUMMYFUNCTION("""COMPUTED_VALUE"""),"")</f>
        <v/>
      </c>
      <c r="I833" t="str">
        <f>IFERROR(__xludf.DUMMYFUNCTION("""COMPUTED_VALUE"""),"")</f>
        <v/>
      </c>
      <c r="J833" t="str">
        <f>IFERROR(__xludf.DUMMYFUNCTION("""COMPUTED_VALUE"""),"")</f>
        <v/>
      </c>
      <c r="K833" t="str">
        <f>IFERROR(__xludf.DUMMYFUNCTION("""COMPUTED_VALUE"""),"")</f>
        <v/>
      </c>
      <c r="L833" t="str">
        <f>IFERROR(__xludf.DUMMYFUNCTION("""COMPUTED_VALUE"""),"")</f>
        <v/>
      </c>
    </row>
    <row r="834" ht="15.75" customHeight="1">
      <c r="A834" t="str">
        <f>IFERROR(__xludf.DUMMYFUNCTION("""COMPUTED_VALUE"""),"")</f>
        <v/>
      </c>
      <c r="B834" t="str">
        <f>IFERROR(__xludf.DUMMYFUNCTION("""COMPUTED_VALUE"""),"")</f>
        <v/>
      </c>
      <c r="C834" t="str">
        <f>IFERROR(__xludf.DUMMYFUNCTION("""COMPUTED_VALUE"""),"")</f>
        <v/>
      </c>
      <c r="D834" t="str">
        <f>IFERROR(__xludf.DUMMYFUNCTION("""COMPUTED_VALUE"""),"")</f>
        <v/>
      </c>
      <c r="E834" t="str">
        <f>IFERROR(__xludf.DUMMYFUNCTION("""COMPUTED_VALUE"""),"")</f>
        <v/>
      </c>
      <c r="F834" t="str">
        <f>IFERROR(__xludf.DUMMYFUNCTION("""COMPUTED_VALUE"""),"")</f>
        <v/>
      </c>
      <c r="G834" t="str">
        <f>IFERROR(__xludf.DUMMYFUNCTION("""COMPUTED_VALUE"""),"")</f>
        <v/>
      </c>
      <c r="H834" t="str">
        <f>IFERROR(__xludf.DUMMYFUNCTION("""COMPUTED_VALUE"""),"")</f>
        <v/>
      </c>
      <c r="I834" t="str">
        <f>IFERROR(__xludf.DUMMYFUNCTION("""COMPUTED_VALUE"""),"")</f>
        <v/>
      </c>
      <c r="J834" t="str">
        <f>IFERROR(__xludf.DUMMYFUNCTION("""COMPUTED_VALUE"""),"")</f>
        <v/>
      </c>
      <c r="K834" t="str">
        <f>IFERROR(__xludf.DUMMYFUNCTION("""COMPUTED_VALUE"""),"")</f>
        <v/>
      </c>
      <c r="L834" t="str">
        <f>IFERROR(__xludf.DUMMYFUNCTION("""COMPUTED_VALUE"""),"")</f>
        <v/>
      </c>
    </row>
    <row r="835" ht="15.75" customHeight="1">
      <c r="A835" t="str">
        <f>IFERROR(__xludf.DUMMYFUNCTION("""COMPUTED_VALUE"""),"")</f>
        <v/>
      </c>
      <c r="B835" t="str">
        <f>IFERROR(__xludf.DUMMYFUNCTION("""COMPUTED_VALUE"""),"")</f>
        <v/>
      </c>
      <c r="C835" t="str">
        <f>IFERROR(__xludf.DUMMYFUNCTION("""COMPUTED_VALUE"""),"")</f>
        <v/>
      </c>
      <c r="D835" t="str">
        <f>IFERROR(__xludf.DUMMYFUNCTION("""COMPUTED_VALUE"""),"")</f>
        <v/>
      </c>
      <c r="E835" t="str">
        <f>IFERROR(__xludf.DUMMYFUNCTION("""COMPUTED_VALUE"""),"")</f>
        <v/>
      </c>
      <c r="F835" t="str">
        <f>IFERROR(__xludf.DUMMYFUNCTION("""COMPUTED_VALUE"""),"")</f>
        <v/>
      </c>
      <c r="G835" t="str">
        <f>IFERROR(__xludf.DUMMYFUNCTION("""COMPUTED_VALUE"""),"")</f>
        <v/>
      </c>
      <c r="H835" t="str">
        <f>IFERROR(__xludf.DUMMYFUNCTION("""COMPUTED_VALUE"""),"")</f>
        <v/>
      </c>
      <c r="I835" t="str">
        <f>IFERROR(__xludf.DUMMYFUNCTION("""COMPUTED_VALUE"""),"")</f>
        <v/>
      </c>
      <c r="J835" t="str">
        <f>IFERROR(__xludf.DUMMYFUNCTION("""COMPUTED_VALUE"""),"")</f>
        <v/>
      </c>
      <c r="K835" t="str">
        <f>IFERROR(__xludf.DUMMYFUNCTION("""COMPUTED_VALUE"""),"")</f>
        <v/>
      </c>
      <c r="L835" t="str">
        <f>IFERROR(__xludf.DUMMYFUNCTION("""COMPUTED_VALUE"""),"")</f>
        <v/>
      </c>
    </row>
    <row r="836" ht="15.75" customHeight="1">
      <c r="A836" t="str">
        <f>IFERROR(__xludf.DUMMYFUNCTION("""COMPUTED_VALUE"""),"")</f>
        <v/>
      </c>
      <c r="B836" t="str">
        <f>IFERROR(__xludf.DUMMYFUNCTION("""COMPUTED_VALUE"""),"")</f>
        <v/>
      </c>
      <c r="C836" t="str">
        <f>IFERROR(__xludf.DUMMYFUNCTION("""COMPUTED_VALUE"""),"")</f>
        <v/>
      </c>
      <c r="D836" t="str">
        <f>IFERROR(__xludf.DUMMYFUNCTION("""COMPUTED_VALUE"""),"")</f>
        <v/>
      </c>
      <c r="E836" t="str">
        <f>IFERROR(__xludf.DUMMYFUNCTION("""COMPUTED_VALUE"""),"")</f>
        <v/>
      </c>
      <c r="F836" t="str">
        <f>IFERROR(__xludf.DUMMYFUNCTION("""COMPUTED_VALUE"""),"")</f>
        <v/>
      </c>
      <c r="G836" t="str">
        <f>IFERROR(__xludf.DUMMYFUNCTION("""COMPUTED_VALUE"""),"")</f>
        <v/>
      </c>
      <c r="H836" t="str">
        <f>IFERROR(__xludf.DUMMYFUNCTION("""COMPUTED_VALUE"""),"")</f>
        <v/>
      </c>
      <c r="I836" t="str">
        <f>IFERROR(__xludf.DUMMYFUNCTION("""COMPUTED_VALUE"""),"")</f>
        <v/>
      </c>
      <c r="J836" t="str">
        <f>IFERROR(__xludf.DUMMYFUNCTION("""COMPUTED_VALUE"""),"")</f>
        <v/>
      </c>
      <c r="K836" t="str">
        <f>IFERROR(__xludf.DUMMYFUNCTION("""COMPUTED_VALUE"""),"")</f>
        <v/>
      </c>
      <c r="L836" t="str">
        <f>IFERROR(__xludf.DUMMYFUNCTION("""COMPUTED_VALUE"""),"")</f>
        <v/>
      </c>
    </row>
    <row r="837" ht="15.75" customHeight="1">
      <c r="A837" t="str">
        <f>IFERROR(__xludf.DUMMYFUNCTION("""COMPUTED_VALUE"""),"")</f>
        <v/>
      </c>
      <c r="B837" t="str">
        <f>IFERROR(__xludf.DUMMYFUNCTION("""COMPUTED_VALUE"""),"")</f>
        <v/>
      </c>
      <c r="C837" t="str">
        <f>IFERROR(__xludf.DUMMYFUNCTION("""COMPUTED_VALUE"""),"")</f>
        <v/>
      </c>
      <c r="D837" t="str">
        <f>IFERROR(__xludf.DUMMYFUNCTION("""COMPUTED_VALUE"""),"")</f>
        <v/>
      </c>
      <c r="E837" t="str">
        <f>IFERROR(__xludf.DUMMYFUNCTION("""COMPUTED_VALUE"""),"")</f>
        <v/>
      </c>
      <c r="F837" t="str">
        <f>IFERROR(__xludf.DUMMYFUNCTION("""COMPUTED_VALUE"""),"")</f>
        <v/>
      </c>
      <c r="G837" t="str">
        <f>IFERROR(__xludf.DUMMYFUNCTION("""COMPUTED_VALUE"""),"")</f>
        <v/>
      </c>
      <c r="H837" t="str">
        <f>IFERROR(__xludf.DUMMYFUNCTION("""COMPUTED_VALUE"""),"")</f>
        <v/>
      </c>
      <c r="I837" t="str">
        <f>IFERROR(__xludf.DUMMYFUNCTION("""COMPUTED_VALUE"""),"")</f>
        <v/>
      </c>
      <c r="J837" t="str">
        <f>IFERROR(__xludf.DUMMYFUNCTION("""COMPUTED_VALUE"""),"")</f>
        <v/>
      </c>
      <c r="K837" t="str">
        <f>IFERROR(__xludf.DUMMYFUNCTION("""COMPUTED_VALUE"""),"")</f>
        <v/>
      </c>
      <c r="L837" t="str">
        <f>IFERROR(__xludf.DUMMYFUNCTION("""COMPUTED_VALUE"""),"")</f>
        <v/>
      </c>
    </row>
    <row r="838" ht="15.75" customHeight="1">
      <c r="A838" t="str">
        <f>IFERROR(__xludf.DUMMYFUNCTION("""COMPUTED_VALUE"""),"")</f>
        <v/>
      </c>
      <c r="B838" t="str">
        <f>IFERROR(__xludf.DUMMYFUNCTION("""COMPUTED_VALUE"""),"")</f>
        <v/>
      </c>
      <c r="C838" t="str">
        <f>IFERROR(__xludf.DUMMYFUNCTION("""COMPUTED_VALUE"""),"")</f>
        <v/>
      </c>
      <c r="D838" t="str">
        <f>IFERROR(__xludf.DUMMYFUNCTION("""COMPUTED_VALUE"""),"")</f>
        <v/>
      </c>
      <c r="E838" t="str">
        <f>IFERROR(__xludf.DUMMYFUNCTION("""COMPUTED_VALUE"""),"")</f>
        <v/>
      </c>
      <c r="F838" t="str">
        <f>IFERROR(__xludf.DUMMYFUNCTION("""COMPUTED_VALUE"""),"")</f>
        <v/>
      </c>
      <c r="G838" t="str">
        <f>IFERROR(__xludf.DUMMYFUNCTION("""COMPUTED_VALUE"""),"")</f>
        <v/>
      </c>
      <c r="H838" t="str">
        <f>IFERROR(__xludf.DUMMYFUNCTION("""COMPUTED_VALUE"""),"")</f>
        <v/>
      </c>
      <c r="I838" t="str">
        <f>IFERROR(__xludf.DUMMYFUNCTION("""COMPUTED_VALUE"""),"")</f>
        <v/>
      </c>
      <c r="J838" t="str">
        <f>IFERROR(__xludf.DUMMYFUNCTION("""COMPUTED_VALUE"""),"")</f>
        <v/>
      </c>
      <c r="K838" t="str">
        <f>IFERROR(__xludf.DUMMYFUNCTION("""COMPUTED_VALUE"""),"")</f>
        <v/>
      </c>
      <c r="L838" t="str">
        <f>IFERROR(__xludf.DUMMYFUNCTION("""COMPUTED_VALUE"""),"")</f>
        <v/>
      </c>
    </row>
    <row r="839" ht="15.75" customHeight="1">
      <c r="A839" t="str">
        <f>IFERROR(__xludf.DUMMYFUNCTION("""COMPUTED_VALUE"""),"")</f>
        <v/>
      </c>
      <c r="B839" t="str">
        <f>IFERROR(__xludf.DUMMYFUNCTION("""COMPUTED_VALUE"""),"")</f>
        <v/>
      </c>
      <c r="C839" t="str">
        <f>IFERROR(__xludf.DUMMYFUNCTION("""COMPUTED_VALUE"""),"")</f>
        <v/>
      </c>
      <c r="D839" t="str">
        <f>IFERROR(__xludf.DUMMYFUNCTION("""COMPUTED_VALUE"""),"")</f>
        <v/>
      </c>
      <c r="E839" t="str">
        <f>IFERROR(__xludf.DUMMYFUNCTION("""COMPUTED_VALUE"""),"")</f>
        <v/>
      </c>
      <c r="F839" t="str">
        <f>IFERROR(__xludf.DUMMYFUNCTION("""COMPUTED_VALUE"""),"")</f>
        <v/>
      </c>
      <c r="G839" t="str">
        <f>IFERROR(__xludf.DUMMYFUNCTION("""COMPUTED_VALUE"""),"")</f>
        <v/>
      </c>
      <c r="H839" t="str">
        <f>IFERROR(__xludf.DUMMYFUNCTION("""COMPUTED_VALUE"""),"")</f>
        <v/>
      </c>
      <c r="I839" t="str">
        <f>IFERROR(__xludf.DUMMYFUNCTION("""COMPUTED_VALUE"""),"")</f>
        <v/>
      </c>
      <c r="J839" t="str">
        <f>IFERROR(__xludf.DUMMYFUNCTION("""COMPUTED_VALUE"""),"")</f>
        <v/>
      </c>
      <c r="K839" t="str">
        <f>IFERROR(__xludf.DUMMYFUNCTION("""COMPUTED_VALUE"""),"")</f>
        <v/>
      </c>
      <c r="L839" t="str">
        <f>IFERROR(__xludf.DUMMYFUNCTION("""COMPUTED_VALUE"""),"")</f>
        <v/>
      </c>
    </row>
    <row r="840" ht="15.75" customHeight="1">
      <c r="A840" t="str">
        <f>IFERROR(__xludf.DUMMYFUNCTION("""COMPUTED_VALUE"""),"")</f>
        <v/>
      </c>
      <c r="B840" t="str">
        <f>IFERROR(__xludf.DUMMYFUNCTION("""COMPUTED_VALUE"""),"")</f>
        <v/>
      </c>
      <c r="C840" t="str">
        <f>IFERROR(__xludf.DUMMYFUNCTION("""COMPUTED_VALUE"""),"")</f>
        <v/>
      </c>
      <c r="D840" t="str">
        <f>IFERROR(__xludf.DUMMYFUNCTION("""COMPUTED_VALUE"""),"")</f>
        <v/>
      </c>
      <c r="E840" t="str">
        <f>IFERROR(__xludf.DUMMYFUNCTION("""COMPUTED_VALUE"""),"")</f>
        <v/>
      </c>
      <c r="F840" t="str">
        <f>IFERROR(__xludf.DUMMYFUNCTION("""COMPUTED_VALUE"""),"")</f>
        <v/>
      </c>
      <c r="G840" t="str">
        <f>IFERROR(__xludf.DUMMYFUNCTION("""COMPUTED_VALUE"""),"")</f>
        <v/>
      </c>
      <c r="H840" t="str">
        <f>IFERROR(__xludf.DUMMYFUNCTION("""COMPUTED_VALUE"""),"")</f>
        <v/>
      </c>
      <c r="I840" t="str">
        <f>IFERROR(__xludf.DUMMYFUNCTION("""COMPUTED_VALUE"""),"")</f>
        <v/>
      </c>
      <c r="J840" t="str">
        <f>IFERROR(__xludf.DUMMYFUNCTION("""COMPUTED_VALUE"""),"")</f>
        <v/>
      </c>
      <c r="K840" t="str">
        <f>IFERROR(__xludf.DUMMYFUNCTION("""COMPUTED_VALUE"""),"")</f>
        <v/>
      </c>
      <c r="L840" t="str">
        <f>IFERROR(__xludf.DUMMYFUNCTION("""COMPUTED_VALUE"""),"")</f>
        <v/>
      </c>
    </row>
    <row r="841" ht="15.75" customHeight="1">
      <c r="A841" t="str">
        <f>IFERROR(__xludf.DUMMYFUNCTION("""COMPUTED_VALUE"""),"")</f>
        <v/>
      </c>
      <c r="B841" t="str">
        <f>IFERROR(__xludf.DUMMYFUNCTION("""COMPUTED_VALUE"""),"")</f>
        <v/>
      </c>
      <c r="C841" t="str">
        <f>IFERROR(__xludf.DUMMYFUNCTION("""COMPUTED_VALUE"""),"")</f>
        <v/>
      </c>
      <c r="D841" t="str">
        <f>IFERROR(__xludf.DUMMYFUNCTION("""COMPUTED_VALUE"""),"")</f>
        <v/>
      </c>
      <c r="E841" t="str">
        <f>IFERROR(__xludf.DUMMYFUNCTION("""COMPUTED_VALUE"""),"")</f>
        <v/>
      </c>
      <c r="F841" t="str">
        <f>IFERROR(__xludf.DUMMYFUNCTION("""COMPUTED_VALUE"""),"")</f>
        <v/>
      </c>
      <c r="G841" t="str">
        <f>IFERROR(__xludf.DUMMYFUNCTION("""COMPUTED_VALUE"""),"")</f>
        <v/>
      </c>
      <c r="H841" t="str">
        <f>IFERROR(__xludf.DUMMYFUNCTION("""COMPUTED_VALUE"""),"")</f>
        <v/>
      </c>
      <c r="I841" t="str">
        <f>IFERROR(__xludf.DUMMYFUNCTION("""COMPUTED_VALUE"""),"")</f>
        <v/>
      </c>
      <c r="J841" t="str">
        <f>IFERROR(__xludf.DUMMYFUNCTION("""COMPUTED_VALUE"""),"")</f>
        <v/>
      </c>
      <c r="K841" t="str">
        <f>IFERROR(__xludf.DUMMYFUNCTION("""COMPUTED_VALUE"""),"")</f>
        <v/>
      </c>
      <c r="L841" t="str">
        <f>IFERROR(__xludf.DUMMYFUNCTION("""COMPUTED_VALUE"""),"")</f>
        <v/>
      </c>
    </row>
    <row r="842" ht="15.75" customHeight="1">
      <c r="A842" t="str">
        <f>IFERROR(__xludf.DUMMYFUNCTION("""COMPUTED_VALUE"""),"")</f>
        <v/>
      </c>
      <c r="B842" t="str">
        <f>IFERROR(__xludf.DUMMYFUNCTION("""COMPUTED_VALUE"""),"")</f>
        <v/>
      </c>
      <c r="C842" t="str">
        <f>IFERROR(__xludf.DUMMYFUNCTION("""COMPUTED_VALUE"""),"")</f>
        <v/>
      </c>
      <c r="D842" t="str">
        <f>IFERROR(__xludf.DUMMYFUNCTION("""COMPUTED_VALUE"""),"")</f>
        <v/>
      </c>
      <c r="E842" t="str">
        <f>IFERROR(__xludf.DUMMYFUNCTION("""COMPUTED_VALUE"""),"")</f>
        <v/>
      </c>
      <c r="F842" t="str">
        <f>IFERROR(__xludf.DUMMYFUNCTION("""COMPUTED_VALUE"""),"")</f>
        <v/>
      </c>
      <c r="G842" t="str">
        <f>IFERROR(__xludf.DUMMYFUNCTION("""COMPUTED_VALUE"""),"")</f>
        <v/>
      </c>
      <c r="H842" t="str">
        <f>IFERROR(__xludf.DUMMYFUNCTION("""COMPUTED_VALUE"""),"")</f>
        <v/>
      </c>
      <c r="I842" t="str">
        <f>IFERROR(__xludf.DUMMYFUNCTION("""COMPUTED_VALUE"""),"")</f>
        <v/>
      </c>
      <c r="J842" t="str">
        <f>IFERROR(__xludf.DUMMYFUNCTION("""COMPUTED_VALUE"""),"")</f>
        <v/>
      </c>
      <c r="K842" t="str">
        <f>IFERROR(__xludf.DUMMYFUNCTION("""COMPUTED_VALUE"""),"")</f>
        <v/>
      </c>
      <c r="L842" t="str">
        <f>IFERROR(__xludf.DUMMYFUNCTION("""COMPUTED_VALUE"""),"")</f>
        <v/>
      </c>
    </row>
    <row r="843" ht="15.75" customHeight="1">
      <c r="A843" t="str">
        <f>IFERROR(__xludf.DUMMYFUNCTION("""COMPUTED_VALUE"""),"")</f>
        <v/>
      </c>
      <c r="B843" t="str">
        <f>IFERROR(__xludf.DUMMYFUNCTION("""COMPUTED_VALUE"""),"")</f>
        <v/>
      </c>
      <c r="C843" t="str">
        <f>IFERROR(__xludf.DUMMYFUNCTION("""COMPUTED_VALUE"""),"")</f>
        <v/>
      </c>
      <c r="D843" t="str">
        <f>IFERROR(__xludf.DUMMYFUNCTION("""COMPUTED_VALUE"""),"")</f>
        <v/>
      </c>
      <c r="E843" t="str">
        <f>IFERROR(__xludf.DUMMYFUNCTION("""COMPUTED_VALUE"""),"")</f>
        <v/>
      </c>
      <c r="F843" t="str">
        <f>IFERROR(__xludf.DUMMYFUNCTION("""COMPUTED_VALUE"""),"")</f>
        <v/>
      </c>
      <c r="G843" t="str">
        <f>IFERROR(__xludf.DUMMYFUNCTION("""COMPUTED_VALUE"""),"")</f>
        <v/>
      </c>
      <c r="H843" t="str">
        <f>IFERROR(__xludf.DUMMYFUNCTION("""COMPUTED_VALUE"""),"")</f>
        <v/>
      </c>
      <c r="I843" t="str">
        <f>IFERROR(__xludf.DUMMYFUNCTION("""COMPUTED_VALUE"""),"")</f>
        <v/>
      </c>
      <c r="J843" t="str">
        <f>IFERROR(__xludf.DUMMYFUNCTION("""COMPUTED_VALUE"""),"")</f>
        <v/>
      </c>
      <c r="K843" t="str">
        <f>IFERROR(__xludf.DUMMYFUNCTION("""COMPUTED_VALUE"""),"")</f>
        <v/>
      </c>
      <c r="L843" t="str">
        <f>IFERROR(__xludf.DUMMYFUNCTION("""COMPUTED_VALUE"""),"")</f>
        <v/>
      </c>
    </row>
    <row r="844" ht="15.75" customHeight="1">
      <c r="A844" t="str">
        <f>IFERROR(__xludf.DUMMYFUNCTION("""COMPUTED_VALUE"""),"")</f>
        <v/>
      </c>
      <c r="B844" t="str">
        <f>IFERROR(__xludf.DUMMYFUNCTION("""COMPUTED_VALUE"""),"")</f>
        <v/>
      </c>
      <c r="C844" t="str">
        <f>IFERROR(__xludf.DUMMYFUNCTION("""COMPUTED_VALUE"""),"")</f>
        <v/>
      </c>
      <c r="D844" t="str">
        <f>IFERROR(__xludf.DUMMYFUNCTION("""COMPUTED_VALUE"""),"")</f>
        <v/>
      </c>
      <c r="E844" t="str">
        <f>IFERROR(__xludf.DUMMYFUNCTION("""COMPUTED_VALUE"""),"")</f>
        <v/>
      </c>
      <c r="F844" t="str">
        <f>IFERROR(__xludf.DUMMYFUNCTION("""COMPUTED_VALUE"""),"")</f>
        <v/>
      </c>
      <c r="G844" t="str">
        <f>IFERROR(__xludf.DUMMYFUNCTION("""COMPUTED_VALUE"""),"")</f>
        <v/>
      </c>
      <c r="H844" t="str">
        <f>IFERROR(__xludf.DUMMYFUNCTION("""COMPUTED_VALUE"""),"")</f>
        <v/>
      </c>
      <c r="I844" t="str">
        <f>IFERROR(__xludf.DUMMYFUNCTION("""COMPUTED_VALUE"""),"")</f>
        <v/>
      </c>
      <c r="J844" t="str">
        <f>IFERROR(__xludf.DUMMYFUNCTION("""COMPUTED_VALUE"""),"")</f>
        <v/>
      </c>
      <c r="K844" t="str">
        <f>IFERROR(__xludf.DUMMYFUNCTION("""COMPUTED_VALUE"""),"")</f>
        <v/>
      </c>
      <c r="L844" t="str">
        <f>IFERROR(__xludf.DUMMYFUNCTION("""COMPUTED_VALUE"""),"")</f>
        <v/>
      </c>
    </row>
    <row r="845" ht="15.75" customHeight="1">
      <c r="A845" t="str">
        <f>IFERROR(__xludf.DUMMYFUNCTION("""COMPUTED_VALUE"""),"")</f>
        <v/>
      </c>
      <c r="B845" t="str">
        <f>IFERROR(__xludf.DUMMYFUNCTION("""COMPUTED_VALUE"""),"")</f>
        <v/>
      </c>
      <c r="C845" t="str">
        <f>IFERROR(__xludf.DUMMYFUNCTION("""COMPUTED_VALUE"""),"")</f>
        <v/>
      </c>
      <c r="D845" t="str">
        <f>IFERROR(__xludf.DUMMYFUNCTION("""COMPUTED_VALUE"""),"")</f>
        <v/>
      </c>
      <c r="E845" t="str">
        <f>IFERROR(__xludf.DUMMYFUNCTION("""COMPUTED_VALUE"""),"")</f>
        <v/>
      </c>
      <c r="F845" t="str">
        <f>IFERROR(__xludf.DUMMYFUNCTION("""COMPUTED_VALUE"""),"")</f>
        <v/>
      </c>
      <c r="G845" t="str">
        <f>IFERROR(__xludf.DUMMYFUNCTION("""COMPUTED_VALUE"""),"")</f>
        <v/>
      </c>
      <c r="H845" t="str">
        <f>IFERROR(__xludf.DUMMYFUNCTION("""COMPUTED_VALUE"""),"")</f>
        <v/>
      </c>
      <c r="I845" t="str">
        <f>IFERROR(__xludf.DUMMYFUNCTION("""COMPUTED_VALUE"""),"")</f>
        <v/>
      </c>
      <c r="J845" t="str">
        <f>IFERROR(__xludf.DUMMYFUNCTION("""COMPUTED_VALUE"""),"")</f>
        <v/>
      </c>
      <c r="K845" t="str">
        <f>IFERROR(__xludf.DUMMYFUNCTION("""COMPUTED_VALUE"""),"")</f>
        <v/>
      </c>
      <c r="L845" t="str">
        <f>IFERROR(__xludf.DUMMYFUNCTION("""COMPUTED_VALUE"""),"")</f>
        <v/>
      </c>
    </row>
    <row r="846" ht="15.75" customHeight="1">
      <c r="A846" t="str">
        <f>IFERROR(__xludf.DUMMYFUNCTION("""COMPUTED_VALUE"""),"")</f>
        <v/>
      </c>
      <c r="B846" t="str">
        <f>IFERROR(__xludf.DUMMYFUNCTION("""COMPUTED_VALUE"""),"")</f>
        <v/>
      </c>
      <c r="C846" t="str">
        <f>IFERROR(__xludf.DUMMYFUNCTION("""COMPUTED_VALUE"""),"")</f>
        <v/>
      </c>
      <c r="D846" t="str">
        <f>IFERROR(__xludf.DUMMYFUNCTION("""COMPUTED_VALUE"""),"")</f>
        <v/>
      </c>
      <c r="E846" t="str">
        <f>IFERROR(__xludf.DUMMYFUNCTION("""COMPUTED_VALUE"""),"")</f>
        <v/>
      </c>
      <c r="F846" t="str">
        <f>IFERROR(__xludf.DUMMYFUNCTION("""COMPUTED_VALUE"""),"")</f>
        <v/>
      </c>
      <c r="G846" t="str">
        <f>IFERROR(__xludf.DUMMYFUNCTION("""COMPUTED_VALUE"""),"")</f>
        <v/>
      </c>
      <c r="H846" t="str">
        <f>IFERROR(__xludf.DUMMYFUNCTION("""COMPUTED_VALUE"""),"")</f>
        <v/>
      </c>
      <c r="I846" t="str">
        <f>IFERROR(__xludf.DUMMYFUNCTION("""COMPUTED_VALUE"""),"")</f>
        <v/>
      </c>
      <c r="J846" t="str">
        <f>IFERROR(__xludf.DUMMYFUNCTION("""COMPUTED_VALUE"""),"")</f>
        <v/>
      </c>
      <c r="K846" t="str">
        <f>IFERROR(__xludf.DUMMYFUNCTION("""COMPUTED_VALUE"""),"")</f>
        <v/>
      </c>
      <c r="L846" t="str">
        <f>IFERROR(__xludf.DUMMYFUNCTION("""COMPUTED_VALUE"""),"")</f>
        <v/>
      </c>
    </row>
    <row r="847" ht="15.75" customHeight="1">
      <c r="A847" t="str">
        <f>IFERROR(__xludf.DUMMYFUNCTION("""COMPUTED_VALUE"""),"")</f>
        <v/>
      </c>
      <c r="B847" t="str">
        <f>IFERROR(__xludf.DUMMYFUNCTION("""COMPUTED_VALUE"""),"")</f>
        <v/>
      </c>
      <c r="C847" t="str">
        <f>IFERROR(__xludf.DUMMYFUNCTION("""COMPUTED_VALUE"""),"")</f>
        <v/>
      </c>
      <c r="D847" t="str">
        <f>IFERROR(__xludf.DUMMYFUNCTION("""COMPUTED_VALUE"""),"")</f>
        <v/>
      </c>
      <c r="E847" t="str">
        <f>IFERROR(__xludf.DUMMYFUNCTION("""COMPUTED_VALUE"""),"")</f>
        <v/>
      </c>
      <c r="F847" t="str">
        <f>IFERROR(__xludf.DUMMYFUNCTION("""COMPUTED_VALUE"""),"")</f>
        <v/>
      </c>
      <c r="G847" t="str">
        <f>IFERROR(__xludf.DUMMYFUNCTION("""COMPUTED_VALUE"""),"")</f>
        <v/>
      </c>
      <c r="H847" t="str">
        <f>IFERROR(__xludf.DUMMYFUNCTION("""COMPUTED_VALUE"""),"")</f>
        <v/>
      </c>
      <c r="I847" t="str">
        <f>IFERROR(__xludf.DUMMYFUNCTION("""COMPUTED_VALUE"""),"")</f>
        <v/>
      </c>
      <c r="J847" t="str">
        <f>IFERROR(__xludf.DUMMYFUNCTION("""COMPUTED_VALUE"""),"")</f>
        <v/>
      </c>
      <c r="K847" t="str">
        <f>IFERROR(__xludf.DUMMYFUNCTION("""COMPUTED_VALUE"""),"")</f>
        <v/>
      </c>
      <c r="L847" t="str">
        <f>IFERROR(__xludf.DUMMYFUNCTION("""COMPUTED_VALUE"""),"")</f>
        <v/>
      </c>
    </row>
    <row r="848" ht="15.75" customHeight="1">
      <c r="A848" t="str">
        <f>IFERROR(__xludf.DUMMYFUNCTION("""COMPUTED_VALUE"""),"")</f>
        <v/>
      </c>
      <c r="B848" t="str">
        <f>IFERROR(__xludf.DUMMYFUNCTION("""COMPUTED_VALUE"""),"")</f>
        <v/>
      </c>
      <c r="C848" t="str">
        <f>IFERROR(__xludf.DUMMYFUNCTION("""COMPUTED_VALUE"""),"")</f>
        <v/>
      </c>
      <c r="D848" t="str">
        <f>IFERROR(__xludf.DUMMYFUNCTION("""COMPUTED_VALUE"""),"")</f>
        <v/>
      </c>
      <c r="E848" t="str">
        <f>IFERROR(__xludf.DUMMYFUNCTION("""COMPUTED_VALUE"""),"")</f>
        <v/>
      </c>
      <c r="F848" t="str">
        <f>IFERROR(__xludf.DUMMYFUNCTION("""COMPUTED_VALUE"""),"")</f>
        <v/>
      </c>
      <c r="G848" t="str">
        <f>IFERROR(__xludf.DUMMYFUNCTION("""COMPUTED_VALUE"""),"")</f>
        <v/>
      </c>
      <c r="H848" t="str">
        <f>IFERROR(__xludf.DUMMYFUNCTION("""COMPUTED_VALUE"""),"")</f>
        <v/>
      </c>
      <c r="I848" t="str">
        <f>IFERROR(__xludf.DUMMYFUNCTION("""COMPUTED_VALUE"""),"")</f>
        <v/>
      </c>
      <c r="J848" t="str">
        <f>IFERROR(__xludf.DUMMYFUNCTION("""COMPUTED_VALUE"""),"")</f>
        <v/>
      </c>
      <c r="K848" t="str">
        <f>IFERROR(__xludf.DUMMYFUNCTION("""COMPUTED_VALUE"""),"")</f>
        <v/>
      </c>
      <c r="L848" t="str">
        <f>IFERROR(__xludf.DUMMYFUNCTION("""COMPUTED_VALUE"""),"")</f>
        <v/>
      </c>
    </row>
    <row r="849" ht="15.75" customHeight="1">
      <c r="A849" t="str">
        <f>IFERROR(__xludf.DUMMYFUNCTION("""COMPUTED_VALUE"""),"")</f>
        <v/>
      </c>
      <c r="B849" t="str">
        <f>IFERROR(__xludf.DUMMYFUNCTION("""COMPUTED_VALUE"""),"")</f>
        <v/>
      </c>
      <c r="C849" t="str">
        <f>IFERROR(__xludf.DUMMYFUNCTION("""COMPUTED_VALUE"""),"")</f>
        <v/>
      </c>
      <c r="D849" t="str">
        <f>IFERROR(__xludf.DUMMYFUNCTION("""COMPUTED_VALUE"""),"")</f>
        <v/>
      </c>
      <c r="E849" t="str">
        <f>IFERROR(__xludf.DUMMYFUNCTION("""COMPUTED_VALUE"""),"")</f>
        <v/>
      </c>
      <c r="F849" t="str">
        <f>IFERROR(__xludf.DUMMYFUNCTION("""COMPUTED_VALUE"""),"")</f>
        <v/>
      </c>
      <c r="G849" t="str">
        <f>IFERROR(__xludf.DUMMYFUNCTION("""COMPUTED_VALUE"""),"")</f>
        <v/>
      </c>
      <c r="H849" t="str">
        <f>IFERROR(__xludf.DUMMYFUNCTION("""COMPUTED_VALUE"""),"")</f>
        <v/>
      </c>
      <c r="I849" t="str">
        <f>IFERROR(__xludf.DUMMYFUNCTION("""COMPUTED_VALUE"""),"")</f>
        <v/>
      </c>
      <c r="J849" t="str">
        <f>IFERROR(__xludf.DUMMYFUNCTION("""COMPUTED_VALUE"""),"")</f>
        <v/>
      </c>
      <c r="K849" t="str">
        <f>IFERROR(__xludf.DUMMYFUNCTION("""COMPUTED_VALUE"""),"")</f>
        <v/>
      </c>
      <c r="L849" t="str">
        <f>IFERROR(__xludf.DUMMYFUNCTION("""COMPUTED_VALUE"""),"")</f>
        <v/>
      </c>
    </row>
    <row r="850" ht="15.75" customHeight="1">
      <c r="A850" t="str">
        <f>IFERROR(__xludf.DUMMYFUNCTION("""COMPUTED_VALUE"""),"")</f>
        <v/>
      </c>
      <c r="B850" t="str">
        <f>IFERROR(__xludf.DUMMYFUNCTION("""COMPUTED_VALUE"""),"")</f>
        <v/>
      </c>
      <c r="C850" t="str">
        <f>IFERROR(__xludf.DUMMYFUNCTION("""COMPUTED_VALUE"""),"")</f>
        <v/>
      </c>
      <c r="D850" t="str">
        <f>IFERROR(__xludf.DUMMYFUNCTION("""COMPUTED_VALUE"""),"")</f>
        <v/>
      </c>
      <c r="E850" t="str">
        <f>IFERROR(__xludf.DUMMYFUNCTION("""COMPUTED_VALUE"""),"")</f>
        <v/>
      </c>
      <c r="F850" t="str">
        <f>IFERROR(__xludf.DUMMYFUNCTION("""COMPUTED_VALUE"""),"")</f>
        <v/>
      </c>
      <c r="G850" t="str">
        <f>IFERROR(__xludf.DUMMYFUNCTION("""COMPUTED_VALUE"""),"")</f>
        <v/>
      </c>
      <c r="H850" t="str">
        <f>IFERROR(__xludf.DUMMYFUNCTION("""COMPUTED_VALUE"""),"")</f>
        <v/>
      </c>
      <c r="I850" t="str">
        <f>IFERROR(__xludf.DUMMYFUNCTION("""COMPUTED_VALUE"""),"")</f>
        <v/>
      </c>
      <c r="J850" t="str">
        <f>IFERROR(__xludf.DUMMYFUNCTION("""COMPUTED_VALUE"""),"")</f>
        <v/>
      </c>
      <c r="K850" t="str">
        <f>IFERROR(__xludf.DUMMYFUNCTION("""COMPUTED_VALUE"""),"")</f>
        <v/>
      </c>
      <c r="L850" t="str">
        <f>IFERROR(__xludf.DUMMYFUNCTION("""COMPUTED_VALUE"""),"")</f>
        <v/>
      </c>
    </row>
    <row r="851" ht="15.75" customHeight="1">
      <c r="A851" t="str">
        <f>IFERROR(__xludf.DUMMYFUNCTION("""COMPUTED_VALUE"""),"")</f>
        <v/>
      </c>
      <c r="B851" t="str">
        <f>IFERROR(__xludf.DUMMYFUNCTION("""COMPUTED_VALUE"""),"")</f>
        <v/>
      </c>
      <c r="C851" t="str">
        <f>IFERROR(__xludf.DUMMYFUNCTION("""COMPUTED_VALUE"""),"")</f>
        <v/>
      </c>
      <c r="D851" t="str">
        <f>IFERROR(__xludf.DUMMYFUNCTION("""COMPUTED_VALUE"""),"")</f>
        <v/>
      </c>
      <c r="E851" t="str">
        <f>IFERROR(__xludf.DUMMYFUNCTION("""COMPUTED_VALUE"""),"")</f>
        <v/>
      </c>
      <c r="F851" t="str">
        <f>IFERROR(__xludf.DUMMYFUNCTION("""COMPUTED_VALUE"""),"")</f>
        <v/>
      </c>
      <c r="G851" t="str">
        <f>IFERROR(__xludf.DUMMYFUNCTION("""COMPUTED_VALUE"""),"")</f>
        <v/>
      </c>
      <c r="H851" t="str">
        <f>IFERROR(__xludf.DUMMYFUNCTION("""COMPUTED_VALUE"""),"")</f>
        <v/>
      </c>
      <c r="I851" t="str">
        <f>IFERROR(__xludf.DUMMYFUNCTION("""COMPUTED_VALUE"""),"")</f>
        <v/>
      </c>
      <c r="J851" t="str">
        <f>IFERROR(__xludf.DUMMYFUNCTION("""COMPUTED_VALUE"""),"")</f>
        <v/>
      </c>
      <c r="K851" t="str">
        <f>IFERROR(__xludf.DUMMYFUNCTION("""COMPUTED_VALUE"""),"")</f>
        <v/>
      </c>
      <c r="L851" t="str">
        <f>IFERROR(__xludf.DUMMYFUNCTION("""COMPUTED_VALUE"""),"")</f>
        <v/>
      </c>
    </row>
    <row r="852" ht="15.75" customHeight="1">
      <c r="A852" t="str">
        <f>IFERROR(__xludf.DUMMYFUNCTION("""COMPUTED_VALUE"""),"")</f>
        <v/>
      </c>
      <c r="B852" t="str">
        <f>IFERROR(__xludf.DUMMYFUNCTION("""COMPUTED_VALUE"""),"")</f>
        <v/>
      </c>
      <c r="C852" t="str">
        <f>IFERROR(__xludf.DUMMYFUNCTION("""COMPUTED_VALUE"""),"")</f>
        <v/>
      </c>
      <c r="D852" t="str">
        <f>IFERROR(__xludf.DUMMYFUNCTION("""COMPUTED_VALUE"""),"")</f>
        <v/>
      </c>
      <c r="E852" t="str">
        <f>IFERROR(__xludf.DUMMYFUNCTION("""COMPUTED_VALUE"""),"")</f>
        <v/>
      </c>
      <c r="F852" t="str">
        <f>IFERROR(__xludf.DUMMYFUNCTION("""COMPUTED_VALUE"""),"")</f>
        <v/>
      </c>
      <c r="G852" t="str">
        <f>IFERROR(__xludf.DUMMYFUNCTION("""COMPUTED_VALUE"""),"")</f>
        <v/>
      </c>
      <c r="H852" t="str">
        <f>IFERROR(__xludf.DUMMYFUNCTION("""COMPUTED_VALUE"""),"")</f>
        <v/>
      </c>
      <c r="I852" t="str">
        <f>IFERROR(__xludf.DUMMYFUNCTION("""COMPUTED_VALUE"""),"")</f>
        <v/>
      </c>
      <c r="J852" t="str">
        <f>IFERROR(__xludf.DUMMYFUNCTION("""COMPUTED_VALUE"""),"")</f>
        <v/>
      </c>
      <c r="K852" t="str">
        <f>IFERROR(__xludf.DUMMYFUNCTION("""COMPUTED_VALUE"""),"")</f>
        <v/>
      </c>
      <c r="L852" t="str">
        <f>IFERROR(__xludf.DUMMYFUNCTION("""COMPUTED_VALUE"""),"")</f>
        <v/>
      </c>
    </row>
    <row r="853" ht="15.75" customHeight="1">
      <c r="A853" t="str">
        <f>IFERROR(__xludf.DUMMYFUNCTION("""COMPUTED_VALUE"""),"")</f>
        <v/>
      </c>
      <c r="B853" t="str">
        <f>IFERROR(__xludf.DUMMYFUNCTION("""COMPUTED_VALUE"""),"")</f>
        <v/>
      </c>
      <c r="C853" t="str">
        <f>IFERROR(__xludf.DUMMYFUNCTION("""COMPUTED_VALUE"""),"")</f>
        <v/>
      </c>
      <c r="D853" t="str">
        <f>IFERROR(__xludf.DUMMYFUNCTION("""COMPUTED_VALUE"""),"")</f>
        <v/>
      </c>
      <c r="E853" t="str">
        <f>IFERROR(__xludf.DUMMYFUNCTION("""COMPUTED_VALUE"""),"")</f>
        <v/>
      </c>
      <c r="F853" t="str">
        <f>IFERROR(__xludf.DUMMYFUNCTION("""COMPUTED_VALUE"""),"")</f>
        <v/>
      </c>
      <c r="G853" t="str">
        <f>IFERROR(__xludf.DUMMYFUNCTION("""COMPUTED_VALUE"""),"")</f>
        <v/>
      </c>
      <c r="H853" t="str">
        <f>IFERROR(__xludf.DUMMYFUNCTION("""COMPUTED_VALUE"""),"")</f>
        <v/>
      </c>
      <c r="I853" t="str">
        <f>IFERROR(__xludf.DUMMYFUNCTION("""COMPUTED_VALUE"""),"")</f>
        <v/>
      </c>
      <c r="J853" t="str">
        <f>IFERROR(__xludf.DUMMYFUNCTION("""COMPUTED_VALUE"""),"")</f>
        <v/>
      </c>
      <c r="K853" t="str">
        <f>IFERROR(__xludf.DUMMYFUNCTION("""COMPUTED_VALUE"""),"")</f>
        <v/>
      </c>
      <c r="L853" t="str">
        <f>IFERROR(__xludf.DUMMYFUNCTION("""COMPUTED_VALUE"""),"")</f>
        <v/>
      </c>
    </row>
    <row r="854" ht="15.75" customHeight="1">
      <c r="A854" t="str">
        <f>IFERROR(__xludf.DUMMYFUNCTION("""COMPUTED_VALUE"""),"")</f>
        <v/>
      </c>
      <c r="B854" t="str">
        <f>IFERROR(__xludf.DUMMYFUNCTION("""COMPUTED_VALUE"""),"")</f>
        <v/>
      </c>
      <c r="C854" t="str">
        <f>IFERROR(__xludf.DUMMYFUNCTION("""COMPUTED_VALUE"""),"")</f>
        <v/>
      </c>
      <c r="D854" t="str">
        <f>IFERROR(__xludf.DUMMYFUNCTION("""COMPUTED_VALUE"""),"")</f>
        <v/>
      </c>
      <c r="E854" t="str">
        <f>IFERROR(__xludf.DUMMYFUNCTION("""COMPUTED_VALUE"""),"")</f>
        <v/>
      </c>
      <c r="F854" t="str">
        <f>IFERROR(__xludf.DUMMYFUNCTION("""COMPUTED_VALUE"""),"")</f>
        <v/>
      </c>
      <c r="G854" t="str">
        <f>IFERROR(__xludf.DUMMYFUNCTION("""COMPUTED_VALUE"""),"")</f>
        <v/>
      </c>
      <c r="H854" t="str">
        <f>IFERROR(__xludf.DUMMYFUNCTION("""COMPUTED_VALUE"""),"")</f>
        <v/>
      </c>
      <c r="I854" t="str">
        <f>IFERROR(__xludf.DUMMYFUNCTION("""COMPUTED_VALUE"""),"")</f>
        <v/>
      </c>
      <c r="J854" t="str">
        <f>IFERROR(__xludf.DUMMYFUNCTION("""COMPUTED_VALUE"""),"")</f>
        <v/>
      </c>
      <c r="K854" t="str">
        <f>IFERROR(__xludf.DUMMYFUNCTION("""COMPUTED_VALUE"""),"")</f>
        <v/>
      </c>
      <c r="L854" t="str">
        <f>IFERROR(__xludf.DUMMYFUNCTION("""COMPUTED_VALUE"""),"")</f>
        <v/>
      </c>
    </row>
    <row r="855" ht="15.75" customHeight="1">
      <c r="A855" t="str">
        <f>IFERROR(__xludf.DUMMYFUNCTION("""COMPUTED_VALUE"""),"")</f>
        <v/>
      </c>
      <c r="B855" t="str">
        <f>IFERROR(__xludf.DUMMYFUNCTION("""COMPUTED_VALUE"""),"")</f>
        <v/>
      </c>
      <c r="C855" t="str">
        <f>IFERROR(__xludf.DUMMYFUNCTION("""COMPUTED_VALUE"""),"")</f>
        <v/>
      </c>
      <c r="D855" t="str">
        <f>IFERROR(__xludf.DUMMYFUNCTION("""COMPUTED_VALUE"""),"")</f>
        <v/>
      </c>
      <c r="E855" t="str">
        <f>IFERROR(__xludf.DUMMYFUNCTION("""COMPUTED_VALUE"""),"")</f>
        <v/>
      </c>
      <c r="F855" t="str">
        <f>IFERROR(__xludf.DUMMYFUNCTION("""COMPUTED_VALUE"""),"")</f>
        <v/>
      </c>
      <c r="G855" t="str">
        <f>IFERROR(__xludf.DUMMYFUNCTION("""COMPUTED_VALUE"""),"")</f>
        <v/>
      </c>
      <c r="H855" t="str">
        <f>IFERROR(__xludf.DUMMYFUNCTION("""COMPUTED_VALUE"""),"")</f>
        <v/>
      </c>
      <c r="I855" t="str">
        <f>IFERROR(__xludf.DUMMYFUNCTION("""COMPUTED_VALUE"""),"")</f>
        <v/>
      </c>
      <c r="J855" t="str">
        <f>IFERROR(__xludf.DUMMYFUNCTION("""COMPUTED_VALUE"""),"")</f>
        <v/>
      </c>
      <c r="K855" t="str">
        <f>IFERROR(__xludf.DUMMYFUNCTION("""COMPUTED_VALUE"""),"")</f>
        <v/>
      </c>
      <c r="L855" t="str">
        <f>IFERROR(__xludf.DUMMYFUNCTION("""COMPUTED_VALUE"""),"")</f>
        <v/>
      </c>
    </row>
    <row r="856" ht="15.75" customHeight="1">
      <c r="A856" t="str">
        <f>IFERROR(__xludf.DUMMYFUNCTION("""COMPUTED_VALUE"""),"")</f>
        <v/>
      </c>
      <c r="B856" t="str">
        <f>IFERROR(__xludf.DUMMYFUNCTION("""COMPUTED_VALUE"""),"")</f>
        <v/>
      </c>
      <c r="C856" t="str">
        <f>IFERROR(__xludf.DUMMYFUNCTION("""COMPUTED_VALUE"""),"")</f>
        <v/>
      </c>
      <c r="D856" t="str">
        <f>IFERROR(__xludf.DUMMYFUNCTION("""COMPUTED_VALUE"""),"")</f>
        <v/>
      </c>
      <c r="E856" t="str">
        <f>IFERROR(__xludf.DUMMYFUNCTION("""COMPUTED_VALUE"""),"")</f>
        <v/>
      </c>
      <c r="F856" t="str">
        <f>IFERROR(__xludf.DUMMYFUNCTION("""COMPUTED_VALUE"""),"")</f>
        <v/>
      </c>
      <c r="G856" t="str">
        <f>IFERROR(__xludf.DUMMYFUNCTION("""COMPUTED_VALUE"""),"")</f>
        <v/>
      </c>
      <c r="H856" t="str">
        <f>IFERROR(__xludf.DUMMYFUNCTION("""COMPUTED_VALUE"""),"")</f>
        <v/>
      </c>
      <c r="I856" t="str">
        <f>IFERROR(__xludf.DUMMYFUNCTION("""COMPUTED_VALUE"""),"")</f>
        <v/>
      </c>
      <c r="J856" t="str">
        <f>IFERROR(__xludf.DUMMYFUNCTION("""COMPUTED_VALUE"""),"")</f>
        <v/>
      </c>
      <c r="K856" t="str">
        <f>IFERROR(__xludf.DUMMYFUNCTION("""COMPUTED_VALUE"""),"")</f>
        <v/>
      </c>
      <c r="L856" t="str">
        <f>IFERROR(__xludf.DUMMYFUNCTION("""COMPUTED_VALUE"""),"")</f>
        <v/>
      </c>
    </row>
    <row r="857" ht="15.75" customHeight="1">
      <c r="A857" t="str">
        <f>IFERROR(__xludf.DUMMYFUNCTION("""COMPUTED_VALUE"""),"")</f>
        <v/>
      </c>
      <c r="B857" t="str">
        <f>IFERROR(__xludf.DUMMYFUNCTION("""COMPUTED_VALUE"""),"")</f>
        <v/>
      </c>
      <c r="C857" t="str">
        <f>IFERROR(__xludf.DUMMYFUNCTION("""COMPUTED_VALUE"""),"")</f>
        <v/>
      </c>
      <c r="D857" t="str">
        <f>IFERROR(__xludf.DUMMYFUNCTION("""COMPUTED_VALUE"""),"")</f>
        <v/>
      </c>
      <c r="E857" t="str">
        <f>IFERROR(__xludf.DUMMYFUNCTION("""COMPUTED_VALUE"""),"")</f>
        <v/>
      </c>
      <c r="F857" t="str">
        <f>IFERROR(__xludf.DUMMYFUNCTION("""COMPUTED_VALUE"""),"")</f>
        <v/>
      </c>
      <c r="G857" t="str">
        <f>IFERROR(__xludf.DUMMYFUNCTION("""COMPUTED_VALUE"""),"")</f>
        <v/>
      </c>
      <c r="H857" t="str">
        <f>IFERROR(__xludf.DUMMYFUNCTION("""COMPUTED_VALUE"""),"")</f>
        <v/>
      </c>
      <c r="I857" t="str">
        <f>IFERROR(__xludf.DUMMYFUNCTION("""COMPUTED_VALUE"""),"")</f>
        <v/>
      </c>
      <c r="J857" t="str">
        <f>IFERROR(__xludf.DUMMYFUNCTION("""COMPUTED_VALUE"""),"")</f>
        <v/>
      </c>
      <c r="K857" t="str">
        <f>IFERROR(__xludf.DUMMYFUNCTION("""COMPUTED_VALUE"""),"")</f>
        <v/>
      </c>
      <c r="L857" t="str">
        <f>IFERROR(__xludf.DUMMYFUNCTION("""COMPUTED_VALUE"""),"")</f>
        <v/>
      </c>
    </row>
    <row r="858" ht="15.75" customHeight="1">
      <c r="A858" t="str">
        <f>IFERROR(__xludf.DUMMYFUNCTION("""COMPUTED_VALUE"""),"")</f>
        <v/>
      </c>
      <c r="B858" t="str">
        <f>IFERROR(__xludf.DUMMYFUNCTION("""COMPUTED_VALUE"""),"")</f>
        <v/>
      </c>
      <c r="C858" t="str">
        <f>IFERROR(__xludf.DUMMYFUNCTION("""COMPUTED_VALUE"""),"")</f>
        <v/>
      </c>
      <c r="D858" t="str">
        <f>IFERROR(__xludf.DUMMYFUNCTION("""COMPUTED_VALUE"""),"")</f>
        <v/>
      </c>
      <c r="E858" t="str">
        <f>IFERROR(__xludf.DUMMYFUNCTION("""COMPUTED_VALUE"""),"")</f>
        <v/>
      </c>
      <c r="F858" t="str">
        <f>IFERROR(__xludf.DUMMYFUNCTION("""COMPUTED_VALUE"""),"")</f>
        <v/>
      </c>
      <c r="G858" t="str">
        <f>IFERROR(__xludf.DUMMYFUNCTION("""COMPUTED_VALUE"""),"")</f>
        <v/>
      </c>
      <c r="H858" t="str">
        <f>IFERROR(__xludf.DUMMYFUNCTION("""COMPUTED_VALUE"""),"")</f>
        <v/>
      </c>
      <c r="I858" t="str">
        <f>IFERROR(__xludf.DUMMYFUNCTION("""COMPUTED_VALUE"""),"")</f>
        <v/>
      </c>
      <c r="J858" t="str">
        <f>IFERROR(__xludf.DUMMYFUNCTION("""COMPUTED_VALUE"""),"")</f>
        <v/>
      </c>
      <c r="K858" t="str">
        <f>IFERROR(__xludf.DUMMYFUNCTION("""COMPUTED_VALUE"""),"")</f>
        <v/>
      </c>
      <c r="L858" t="str">
        <f>IFERROR(__xludf.DUMMYFUNCTION("""COMPUTED_VALUE"""),"")</f>
        <v/>
      </c>
    </row>
    <row r="859" ht="15.75" customHeight="1">
      <c r="A859" t="str">
        <f>IFERROR(__xludf.DUMMYFUNCTION("""COMPUTED_VALUE"""),"")</f>
        <v/>
      </c>
      <c r="B859" t="str">
        <f>IFERROR(__xludf.DUMMYFUNCTION("""COMPUTED_VALUE"""),"")</f>
        <v/>
      </c>
      <c r="C859" t="str">
        <f>IFERROR(__xludf.DUMMYFUNCTION("""COMPUTED_VALUE"""),"")</f>
        <v/>
      </c>
      <c r="D859" t="str">
        <f>IFERROR(__xludf.DUMMYFUNCTION("""COMPUTED_VALUE"""),"")</f>
        <v/>
      </c>
      <c r="E859" t="str">
        <f>IFERROR(__xludf.DUMMYFUNCTION("""COMPUTED_VALUE"""),"")</f>
        <v/>
      </c>
      <c r="F859" t="str">
        <f>IFERROR(__xludf.DUMMYFUNCTION("""COMPUTED_VALUE"""),"")</f>
        <v/>
      </c>
      <c r="G859" t="str">
        <f>IFERROR(__xludf.DUMMYFUNCTION("""COMPUTED_VALUE"""),"")</f>
        <v/>
      </c>
      <c r="H859" t="str">
        <f>IFERROR(__xludf.DUMMYFUNCTION("""COMPUTED_VALUE"""),"")</f>
        <v/>
      </c>
      <c r="I859" t="str">
        <f>IFERROR(__xludf.DUMMYFUNCTION("""COMPUTED_VALUE"""),"")</f>
        <v/>
      </c>
      <c r="J859" t="str">
        <f>IFERROR(__xludf.DUMMYFUNCTION("""COMPUTED_VALUE"""),"")</f>
        <v/>
      </c>
      <c r="K859" t="str">
        <f>IFERROR(__xludf.DUMMYFUNCTION("""COMPUTED_VALUE"""),"")</f>
        <v/>
      </c>
      <c r="L859" t="str">
        <f>IFERROR(__xludf.DUMMYFUNCTION("""COMPUTED_VALUE"""),"")</f>
        <v/>
      </c>
    </row>
    <row r="860" ht="15.75" customHeight="1">
      <c r="A860" t="str">
        <f>IFERROR(__xludf.DUMMYFUNCTION("""COMPUTED_VALUE"""),"")</f>
        <v/>
      </c>
      <c r="B860" t="str">
        <f>IFERROR(__xludf.DUMMYFUNCTION("""COMPUTED_VALUE"""),"")</f>
        <v/>
      </c>
      <c r="C860" t="str">
        <f>IFERROR(__xludf.DUMMYFUNCTION("""COMPUTED_VALUE"""),"")</f>
        <v/>
      </c>
      <c r="D860" t="str">
        <f>IFERROR(__xludf.DUMMYFUNCTION("""COMPUTED_VALUE"""),"")</f>
        <v/>
      </c>
      <c r="E860" t="str">
        <f>IFERROR(__xludf.DUMMYFUNCTION("""COMPUTED_VALUE"""),"")</f>
        <v/>
      </c>
      <c r="F860" t="str">
        <f>IFERROR(__xludf.DUMMYFUNCTION("""COMPUTED_VALUE"""),"")</f>
        <v/>
      </c>
      <c r="G860" t="str">
        <f>IFERROR(__xludf.DUMMYFUNCTION("""COMPUTED_VALUE"""),"")</f>
        <v/>
      </c>
      <c r="H860" t="str">
        <f>IFERROR(__xludf.DUMMYFUNCTION("""COMPUTED_VALUE"""),"")</f>
        <v/>
      </c>
      <c r="I860" t="str">
        <f>IFERROR(__xludf.DUMMYFUNCTION("""COMPUTED_VALUE"""),"")</f>
        <v/>
      </c>
      <c r="J860" t="str">
        <f>IFERROR(__xludf.DUMMYFUNCTION("""COMPUTED_VALUE"""),"")</f>
        <v/>
      </c>
      <c r="K860" t="str">
        <f>IFERROR(__xludf.DUMMYFUNCTION("""COMPUTED_VALUE"""),"")</f>
        <v/>
      </c>
      <c r="L860" t="str">
        <f>IFERROR(__xludf.DUMMYFUNCTION("""COMPUTED_VALUE"""),"")</f>
        <v/>
      </c>
    </row>
    <row r="861" ht="15.75" customHeight="1">
      <c r="A861" t="str">
        <f>IFERROR(__xludf.DUMMYFUNCTION("""COMPUTED_VALUE"""),"")</f>
        <v/>
      </c>
      <c r="B861" t="str">
        <f>IFERROR(__xludf.DUMMYFUNCTION("""COMPUTED_VALUE"""),"")</f>
        <v/>
      </c>
      <c r="C861" t="str">
        <f>IFERROR(__xludf.DUMMYFUNCTION("""COMPUTED_VALUE"""),"")</f>
        <v/>
      </c>
      <c r="D861" t="str">
        <f>IFERROR(__xludf.DUMMYFUNCTION("""COMPUTED_VALUE"""),"")</f>
        <v/>
      </c>
      <c r="E861" t="str">
        <f>IFERROR(__xludf.DUMMYFUNCTION("""COMPUTED_VALUE"""),"")</f>
        <v/>
      </c>
      <c r="F861" t="str">
        <f>IFERROR(__xludf.DUMMYFUNCTION("""COMPUTED_VALUE"""),"")</f>
        <v/>
      </c>
      <c r="G861" t="str">
        <f>IFERROR(__xludf.DUMMYFUNCTION("""COMPUTED_VALUE"""),"")</f>
        <v/>
      </c>
      <c r="H861" t="str">
        <f>IFERROR(__xludf.DUMMYFUNCTION("""COMPUTED_VALUE"""),"")</f>
        <v/>
      </c>
      <c r="I861" t="str">
        <f>IFERROR(__xludf.DUMMYFUNCTION("""COMPUTED_VALUE"""),"")</f>
        <v/>
      </c>
      <c r="J861" t="str">
        <f>IFERROR(__xludf.DUMMYFUNCTION("""COMPUTED_VALUE"""),"")</f>
        <v/>
      </c>
      <c r="K861" t="str">
        <f>IFERROR(__xludf.DUMMYFUNCTION("""COMPUTED_VALUE"""),"")</f>
        <v/>
      </c>
      <c r="L861" t="str">
        <f>IFERROR(__xludf.DUMMYFUNCTION("""COMPUTED_VALUE"""),"")</f>
        <v/>
      </c>
    </row>
    <row r="862" ht="15.75" customHeight="1">
      <c r="A862" t="str">
        <f>IFERROR(__xludf.DUMMYFUNCTION("""COMPUTED_VALUE"""),"")</f>
        <v/>
      </c>
      <c r="B862" t="str">
        <f>IFERROR(__xludf.DUMMYFUNCTION("""COMPUTED_VALUE"""),"")</f>
        <v/>
      </c>
      <c r="C862" t="str">
        <f>IFERROR(__xludf.DUMMYFUNCTION("""COMPUTED_VALUE"""),"")</f>
        <v/>
      </c>
      <c r="D862" t="str">
        <f>IFERROR(__xludf.DUMMYFUNCTION("""COMPUTED_VALUE"""),"")</f>
        <v/>
      </c>
      <c r="E862" t="str">
        <f>IFERROR(__xludf.DUMMYFUNCTION("""COMPUTED_VALUE"""),"")</f>
        <v/>
      </c>
      <c r="F862" t="str">
        <f>IFERROR(__xludf.DUMMYFUNCTION("""COMPUTED_VALUE"""),"")</f>
        <v/>
      </c>
      <c r="G862" t="str">
        <f>IFERROR(__xludf.DUMMYFUNCTION("""COMPUTED_VALUE"""),"")</f>
        <v/>
      </c>
      <c r="H862" t="str">
        <f>IFERROR(__xludf.DUMMYFUNCTION("""COMPUTED_VALUE"""),"")</f>
        <v/>
      </c>
      <c r="I862" t="str">
        <f>IFERROR(__xludf.DUMMYFUNCTION("""COMPUTED_VALUE"""),"")</f>
        <v/>
      </c>
      <c r="J862" t="str">
        <f>IFERROR(__xludf.DUMMYFUNCTION("""COMPUTED_VALUE"""),"")</f>
        <v/>
      </c>
      <c r="K862" t="str">
        <f>IFERROR(__xludf.DUMMYFUNCTION("""COMPUTED_VALUE"""),"")</f>
        <v/>
      </c>
      <c r="L862" t="str">
        <f>IFERROR(__xludf.DUMMYFUNCTION("""COMPUTED_VALUE"""),"")</f>
        <v/>
      </c>
    </row>
    <row r="863" ht="15.75" customHeight="1">
      <c r="A863" t="str">
        <f>IFERROR(__xludf.DUMMYFUNCTION("""COMPUTED_VALUE"""),"")</f>
        <v/>
      </c>
      <c r="B863" t="str">
        <f>IFERROR(__xludf.DUMMYFUNCTION("""COMPUTED_VALUE"""),"")</f>
        <v/>
      </c>
      <c r="C863" t="str">
        <f>IFERROR(__xludf.DUMMYFUNCTION("""COMPUTED_VALUE"""),"")</f>
        <v/>
      </c>
      <c r="D863" t="str">
        <f>IFERROR(__xludf.DUMMYFUNCTION("""COMPUTED_VALUE"""),"")</f>
        <v/>
      </c>
      <c r="E863" t="str">
        <f>IFERROR(__xludf.DUMMYFUNCTION("""COMPUTED_VALUE"""),"")</f>
        <v/>
      </c>
      <c r="F863" t="str">
        <f>IFERROR(__xludf.DUMMYFUNCTION("""COMPUTED_VALUE"""),"")</f>
        <v/>
      </c>
      <c r="G863" t="str">
        <f>IFERROR(__xludf.DUMMYFUNCTION("""COMPUTED_VALUE"""),"")</f>
        <v/>
      </c>
      <c r="H863" t="str">
        <f>IFERROR(__xludf.DUMMYFUNCTION("""COMPUTED_VALUE"""),"")</f>
        <v/>
      </c>
      <c r="I863" t="str">
        <f>IFERROR(__xludf.DUMMYFUNCTION("""COMPUTED_VALUE"""),"")</f>
        <v/>
      </c>
      <c r="J863" t="str">
        <f>IFERROR(__xludf.DUMMYFUNCTION("""COMPUTED_VALUE"""),"")</f>
        <v/>
      </c>
      <c r="K863" t="str">
        <f>IFERROR(__xludf.DUMMYFUNCTION("""COMPUTED_VALUE"""),"")</f>
        <v/>
      </c>
      <c r="L863" t="str">
        <f>IFERROR(__xludf.DUMMYFUNCTION("""COMPUTED_VALUE"""),"")</f>
        <v/>
      </c>
    </row>
    <row r="864" ht="15.75" customHeight="1">
      <c r="A864" t="str">
        <f>IFERROR(__xludf.DUMMYFUNCTION("""COMPUTED_VALUE"""),"")</f>
        <v/>
      </c>
      <c r="B864" t="str">
        <f>IFERROR(__xludf.DUMMYFUNCTION("""COMPUTED_VALUE"""),"")</f>
        <v/>
      </c>
      <c r="C864" t="str">
        <f>IFERROR(__xludf.DUMMYFUNCTION("""COMPUTED_VALUE"""),"")</f>
        <v/>
      </c>
      <c r="D864" t="str">
        <f>IFERROR(__xludf.DUMMYFUNCTION("""COMPUTED_VALUE"""),"")</f>
        <v/>
      </c>
      <c r="E864" t="str">
        <f>IFERROR(__xludf.DUMMYFUNCTION("""COMPUTED_VALUE"""),"")</f>
        <v/>
      </c>
      <c r="F864" t="str">
        <f>IFERROR(__xludf.DUMMYFUNCTION("""COMPUTED_VALUE"""),"")</f>
        <v/>
      </c>
      <c r="G864" t="str">
        <f>IFERROR(__xludf.DUMMYFUNCTION("""COMPUTED_VALUE"""),"")</f>
        <v/>
      </c>
      <c r="H864" t="str">
        <f>IFERROR(__xludf.DUMMYFUNCTION("""COMPUTED_VALUE"""),"")</f>
        <v/>
      </c>
      <c r="I864" t="str">
        <f>IFERROR(__xludf.DUMMYFUNCTION("""COMPUTED_VALUE"""),"")</f>
        <v/>
      </c>
      <c r="J864" t="str">
        <f>IFERROR(__xludf.DUMMYFUNCTION("""COMPUTED_VALUE"""),"")</f>
        <v/>
      </c>
      <c r="K864" t="str">
        <f>IFERROR(__xludf.DUMMYFUNCTION("""COMPUTED_VALUE"""),"")</f>
        <v/>
      </c>
      <c r="L864" t="str">
        <f>IFERROR(__xludf.DUMMYFUNCTION("""COMPUTED_VALUE"""),"")</f>
        <v/>
      </c>
    </row>
    <row r="865" ht="15.75" customHeight="1">
      <c r="A865" t="str">
        <f>IFERROR(__xludf.DUMMYFUNCTION("""COMPUTED_VALUE"""),"")</f>
        <v/>
      </c>
      <c r="B865" t="str">
        <f>IFERROR(__xludf.DUMMYFUNCTION("""COMPUTED_VALUE"""),"")</f>
        <v/>
      </c>
      <c r="C865" t="str">
        <f>IFERROR(__xludf.DUMMYFUNCTION("""COMPUTED_VALUE"""),"")</f>
        <v/>
      </c>
      <c r="D865" t="str">
        <f>IFERROR(__xludf.DUMMYFUNCTION("""COMPUTED_VALUE"""),"")</f>
        <v/>
      </c>
      <c r="E865" t="str">
        <f>IFERROR(__xludf.DUMMYFUNCTION("""COMPUTED_VALUE"""),"")</f>
        <v/>
      </c>
      <c r="F865" t="str">
        <f>IFERROR(__xludf.DUMMYFUNCTION("""COMPUTED_VALUE"""),"")</f>
        <v/>
      </c>
      <c r="G865" t="str">
        <f>IFERROR(__xludf.DUMMYFUNCTION("""COMPUTED_VALUE"""),"")</f>
        <v/>
      </c>
      <c r="H865" t="str">
        <f>IFERROR(__xludf.DUMMYFUNCTION("""COMPUTED_VALUE"""),"")</f>
        <v/>
      </c>
      <c r="I865" t="str">
        <f>IFERROR(__xludf.DUMMYFUNCTION("""COMPUTED_VALUE"""),"")</f>
        <v/>
      </c>
      <c r="J865" t="str">
        <f>IFERROR(__xludf.DUMMYFUNCTION("""COMPUTED_VALUE"""),"")</f>
        <v/>
      </c>
      <c r="K865" t="str">
        <f>IFERROR(__xludf.DUMMYFUNCTION("""COMPUTED_VALUE"""),"")</f>
        <v/>
      </c>
      <c r="L865" t="str">
        <f>IFERROR(__xludf.DUMMYFUNCTION("""COMPUTED_VALUE"""),"")</f>
        <v/>
      </c>
    </row>
    <row r="866" ht="15.75" customHeight="1">
      <c r="A866" t="str">
        <f>IFERROR(__xludf.DUMMYFUNCTION("""COMPUTED_VALUE"""),"")</f>
        <v/>
      </c>
      <c r="B866" t="str">
        <f>IFERROR(__xludf.DUMMYFUNCTION("""COMPUTED_VALUE"""),"")</f>
        <v/>
      </c>
      <c r="C866" t="str">
        <f>IFERROR(__xludf.DUMMYFUNCTION("""COMPUTED_VALUE"""),"")</f>
        <v/>
      </c>
      <c r="D866" t="str">
        <f>IFERROR(__xludf.DUMMYFUNCTION("""COMPUTED_VALUE"""),"")</f>
        <v/>
      </c>
      <c r="E866" t="str">
        <f>IFERROR(__xludf.DUMMYFUNCTION("""COMPUTED_VALUE"""),"")</f>
        <v/>
      </c>
      <c r="F866" t="str">
        <f>IFERROR(__xludf.DUMMYFUNCTION("""COMPUTED_VALUE"""),"")</f>
        <v/>
      </c>
      <c r="G866" t="str">
        <f>IFERROR(__xludf.DUMMYFUNCTION("""COMPUTED_VALUE"""),"")</f>
        <v/>
      </c>
      <c r="H866" t="str">
        <f>IFERROR(__xludf.DUMMYFUNCTION("""COMPUTED_VALUE"""),"")</f>
        <v/>
      </c>
      <c r="I866" t="str">
        <f>IFERROR(__xludf.DUMMYFUNCTION("""COMPUTED_VALUE"""),"")</f>
        <v/>
      </c>
      <c r="J866" t="str">
        <f>IFERROR(__xludf.DUMMYFUNCTION("""COMPUTED_VALUE"""),"")</f>
        <v/>
      </c>
      <c r="K866" t="str">
        <f>IFERROR(__xludf.DUMMYFUNCTION("""COMPUTED_VALUE"""),"")</f>
        <v/>
      </c>
      <c r="L866" t="str">
        <f>IFERROR(__xludf.DUMMYFUNCTION("""COMPUTED_VALUE"""),"")</f>
        <v/>
      </c>
    </row>
    <row r="867" ht="15.75" customHeight="1">
      <c r="A867" t="str">
        <f>IFERROR(__xludf.DUMMYFUNCTION("""COMPUTED_VALUE"""),"")</f>
        <v/>
      </c>
      <c r="B867" t="str">
        <f>IFERROR(__xludf.DUMMYFUNCTION("""COMPUTED_VALUE"""),"")</f>
        <v/>
      </c>
      <c r="C867" t="str">
        <f>IFERROR(__xludf.DUMMYFUNCTION("""COMPUTED_VALUE"""),"")</f>
        <v/>
      </c>
      <c r="D867" t="str">
        <f>IFERROR(__xludf.DUMMYFUNCTION("""COMPUTED_VALUE"""),"")</f>
        <v/>
      </c>
      <c r="E867" t="str">
        <f>IFERROR(__xludf.DUMMYFUNCTION("""COMPUTED_VALUE"""),"")</f>
        <v/>
      </c>
      <c r="F867" t="str">
        <f>IFERROR(__xludf.DUMMYFUNCTION("""COMPUTED_VALUE"""),"")</f>
        <v/>
      </c>
      <c r="G867" t="str">
        <f>IFERROR(__xludf.DUMMYFUNCTION("""COMPUTED_VALUE"""),"")</f>
        <v/>
      </c>
      <c r="H867" t="str">
        <f>IFERROR(__xludf.DUMMYFUNCTION("""COMPUTED_VALUE"""),"")</f>
        <v/>
      </c>
      <c r="I867" t="str">
        <f>IFERROR(__xludf.DUMMYFUNCTION("""COMPUTED_VALUE"""),"")</f>
        <v/>
      </c>
      <c r="J867" t="str">
        <f>IFERROR(__xludf.DUMMYFUNCTION("""COMPUTED_VALUE"""),"")</f>
        <v/>
      </c>
      <c r="K867" t="str">
        <f>IFERROR(__xludf.DUMMYFUNCTION("""COMPUTED_VALUE"""),"")</f>
        <v/>
      </c>
      <c r="L867" t="str">
        <f>IFERROR(__xludf.DUMMYFUNCTION("""COMPUTED_VALUE"""),"")</f>
        <v/>
      </c>
    </row>
    <row r="868" ht="15.75" customHeight="1">
      <c r="A868" t="str">
        <f>IFERROR(__xludf.DUMMYFUNCTION("""COMPUTED_VALUE"""),"")</f>
        <v/>
      </c>
      <c r="B868" t="str">
        <f>IFERROR(__xludf.DUMMYFUNCTION("""COMPUTED_VALUE"""),"")</f>
        <v/>
      </c>
      <c r="C868" t="str">
        <f>IFERROR(__xludf.DUMMYFUNCTION("""COMPUTED_VALUE"""),"")</f>
        <v/>
      </c>
      <c r="D868" t="str">
        <f>IFERROR(__xludf.DUMMYFUNCTION("""COMPUTED_VALUE"""),"")</f>
        <v/>
      </c>
      <c r="E868" t="str">
        <f>IFERROR(__xludf.DUMMYFUNCTION("""COMPUTED_VALUE"""),"")</f>
        <v/>
      </c>
      <c r="F868" t="str">
        <f>IFERROR(__xludf.DUMMYFUNCTION("""COMPUTED_VALUE"""),"")</f>
        <v/>
      </c>
      <c r="G868" t="str">
        <f>IFERROR(__xludf.DUMMYFUNCTION("""COMPUTED_VALUE"""),"")</f>
        <v/>
      </c>
      <c r="H868" t="str">
        <f>IFERROR(__xludf.DUMMYFUNCTION("""COMPUTED_VALUE"""),"")</f>
        <v/>
      </c>
      <c r="I868" t="str">
        <f>IFERROR(__xludf.DUMMYFUNCTION("""COMPUTED_VALUE"""),"")</f>
        <v/>
      </c>
      <c r="J868" t="str">
        <f>IFERROR(__xludf.DUMMYFUNCTION("""COMPUTED_VALUE"""),"")</f>
        <v/>
      </c>
      <c r="K868" t="str">
        <f>IFERROR(__xludf.DUMMYFUNCTION("""COMPUTED_VALUE"""),"")</f>
        <v/>
      </c>
      <c r="L868" t="str">
        <f>IFERROR(__xludf.DUMMYFUNCTION("""COMPUTED_VALUE"""),"")</f>
        <v/>
      </c>
    </row>
    <row r="869" ht="15.75" customHeight="1">
      <c r="A869" t="str">
        <f>IFERROR(__xludf.DUMMYFUNCTION("""COMPUTED_VALUE"""),"")</f>
        <v/>
      </c>
      <c r="B869" t="str">
        <f>IFERROR(__xludf.DUMMYFUNCTION("""COMPUTED_VALUE"""),"")</f>
        <v/>
      </c>
      <c r="C869" t="str">
        <f>IFERROR(__xludf.DUMMYFUNCTION("""COMPUTED_VALUE"""),"")</f>
        <v/>
      </c>
      <c r="D869" t="str">
        <f>IFERROR(__xludf.DUMMYFUNCTION("""COMPUTED_VALUE"""),"")</f>
        <v/>
      </c>
      <c r="E869" t="str">
        <f>IFERROR(__xludf.DUMMYFUNCTION("""COMPUTED_VALUE"""),"")</f>
        <v/>
      </c>
      <c r="F869" t="str">
        <f>IFERROR(__xludf.DUMMYFUNCTION("""COMPUTED_VALUE"""),"")</f>
        <v/>
      </c>
      <c r="G869" t="str">
        <f>IFERROR(__xludf.DUMMYFUNCTION("""COMPUTED_VALUE"""),"")</f>
        <v/>
      </c>
      <c r="H869" t="str">
        <f>IFERROR(__xludf.DUMMYFUNCTION("""COMPUTED_VALUE"""),"")</f>
        <v/>
      </c>
      <c r="I869" t="str">
        <f>IFERROR(__xludf.DUMMYFUNCTION("""COMPUTED_VALUE"""),"")</f>
        <v/>
      </c>
      <c r="J869" t="str">
        <f>IFERROR(__xludf.DUMMYFUNCTION("""COMPUTED_VALUE"""),"")</f>
        <v/>
      </c>
      <c r="K869" t="str">
        <f>IFERROR(__xludf.DUMMYFUNCTION("""COMPUTED_VALUE"""),"")</f>
        <v/>
      </c>
      <c r="L869" t="str">
        <f>IFERROR(__xludf.DUMMYFUNCTION("""COMPUTED_VALUE"""),"")</f>
        <v/>
      </c>
    </row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F1"/>
  </mergeCell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24.29"/>
    <col customWidth="1" min="2" max="2" width="48.71"/>
    <col customWidth="1" min="3" max="23" width="14.43"/>
  </cols>
  <sheetData>
    <row r="1" ht="15.75" customHeight="1">
      <c r="A1" s="4" t="s">
        <v>2</v>
      </c>
      <c r="B1" s="3"/>
      <c r="C1" s="5"/>
    </row>
    <row r="2" ht="15.75" customHeight="1">
      <c r="A2" s="7"/>
      <c r="B2" s="7"/>
      <c r="C2" s="7"/>
    </row>
    <row r="3" ht="15.75" customHeight="1">
      <c r="A3" s="9" t="s">
        <v>5</v>
      </c>
      <c r="B3" s="15" t="s">
        <v>7</v>
      </c>
      <c r="C3" s="7"/>
    </row>
    <row r="4" ht="15.75" customHeight="1">
      <c r="A4" s="8" t="s">
        <v>9</v>
      </c>
      <c r="B4" s="15" t="s">
        <v>10</v>
      </c>
      <c r="C4" s="7"/>
    </row>
    <row r="5" ht="15.75" customHeight="1">
      <c r="A5" s="16"/>
      <c r="B5" s="7"/>
      <c r="C5" s="7"/>
    </row>
    <row r="6" ht="15.75" customHeight="1">
      <c r="A6" s="16"/>
      <c r="B6" s="7"/>
      <c r="C6" s="7"/>
    </row>
    <row r="7" ht="15.75" customHeight="1">
      <c r="A7" s="16"/>
      <c r="B7" s="7"/>
      <c r="C7" s="7"/>
    </row>
    <row r="8" ht="15.75" customHeight="1">
      <c r="A8" s="16"/>
      <c r="B8" s="7"/>
      <c r="C8" s="7"/>
    </row>
    <row r="9" ht="15.75" customHeight="1">
      <c r="A9" s="16"/>
      <c r="B9" s="7"/>
      <c r="C9" s="7"/>
    </row>
    <row r="10" ht="15.75" customHeight="1">
      <c r="A10" s="16"/>
      <c r="B10" s="7"/>
      <c r="C10" s="7"/>
    </row>
    <row r="11" ht="15.75" customHeight="1">
      <c r="A11" s="16"/>
      <c r="B11" s="7"/>
      <c r="C11" s="7"/>
    </row>
    <row r="12" ht="15.75" customHeight="1">
      <c r="A12" s="16"/>
      <c r="B12" s="7"/>
      <c r="C12" s="7"/>
    </row>
    <row r="13" ht="15.75" customHeight="1">
      <c r="A13" s="16"/>
      <c r="B13" s="7"/>
      <c r="C13" s="7"/>
    </row>
    <row r="14" ht="15.75" customHeight="1">
      <c r="A14" s="16"/>
      <c r="B14" s="7"/>
      <c r="C14" s="7"/>
    </row>
    <row r="15" ht="15.75" customHeight="1">
      <c r="A15" s="16"/>
      <c r="B15" s="7"/>
      <c r="C15" s="7"/>
    </row>
    <row r="16" ht="15.75" customHeight="1">
      <c r="A16" s="16"/>
      <c r="B16" s="7"/>
      <c r="C16" s="7"/>
    </row>
    <row r="17" ht="15.75" customHeight="1">
      <c r="A17" s="16"/>
      <c r="B17" s="7"/>
      <c r="C17" s="7"/>
    </row>
    <row r="18" ht="15.75" customHeight="1">
      <c r="A18" s="16"/>
      <c r="B18" s="7"/>
      <c r="C18" s="7"/>
    </row>
    <row r="19" ht="15.75" customHeight="1">
      <c r="A19" s="16"/>
      <c r="B19" s="7"/>
      <c r="C19" s="7"/>
    </row>
    <row r="20" ht="15.75" customHeight="1">
      <c r="A20" s="16"/>
      <c r="B20" s="7"/>
      <c r="C20" s="7"/>
    </row>
    <row r="21" ht="15.75" customHeight="1">
      <c r="A21" s="16"/>
      <c r="B21" s="7"/>
      <c r="C21" s="7"/>
    </row>
    <row r="22" ht="15.75" customHeight="1">
      <c r="A22" s="16"/>
      <c r="B22" s="7"/>
      <c r="C22" s="7"/>
    </row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C1"/>
  </mergeCells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4" max="4" width="38.43"/>
  </cols>
  <sheetData>
    <row r="1">
      <c r="A1" s="1" t="s">
        <v>0</v>
      </c>
      <c r="B1" s="3"/>
      <c r="C1" s="3"/>
      <c r="D1" s="3"/>
      <c r="E1" s="3"/>
      <c r="F1" s="5"/>
    </row>
    <row r="2">
      <c r="A2" s="6"/>
      <c r="B2" s="6"/>
      <c r="C2" s="6"/>
      <c r="D2" s="6"/>
      <c r="E2" s="6"/>
      <c r="F2" s="6"/>
    </row>
    <row r="3">
      <c r="A3" s="8" t="s">
        <v>3</v>
      </c>
      <c r="B3" s="10" t="s">
        <v>6</v>
      </c>
      <c r="C3" s="10" t="s">
        <v>8</v>
      </c>
      <c r="D3" s="11"/>
      <c r="E3" s="11"/>
      <c r="F3" s="11"/>
      <c r="G3" s="13"/>
      <c r="H3" s="13"/>
      <c r="I3" s="13"/>
      <c r="J3" s="13"/>
      <c r="K3" s="13"/>
      <c r="L3" s="13"/>
      <c r="M3" s="13"/>
      <c r="N3" s="13"/>
      <c r="O3" s="13"/>
      <c r="P3" s="13"/>
      <c r="Q3" s="13"/>
      <c r="R3" s="13"/>
      <c r="S3" s="13"/>
      <c r="T3" s="13"/>
      <c r="U3" s="13"/>
      <c r="V3" s="13"/>
      <c r="W3" s="13"/>
      <c r="X3" s="13"/>
      <c r="Y3" s="13"/>
      <c r="Z3" s="13"/>
    </row>
    <row r="4">
      <c r="A4" t="str">
        <f>IFERROR(__xludf.DUMMYFUNCTION("IMPORTRANGE('_Settings'!B4,""Master Data!A4:L1000"")"),"#REF!")</f>
        <v>#REF!</v>
      </c>
    </row>
  </sheetData>
  <mergeCells count="1">
    <mergeCell ref="A1:F1"/>
  </mergeCells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7"/>
      <c r="B1" s="2" t="s">
        <v>11</v>
      </c>
      <c r="C1" s="3"/>
      <c r="D1" s="3"/>
      <c r="E1" s="3"/>
      <c r="F1" s="3"/>
      <c r="G1" s="3"/>
      <c r="H1" s="5"/>
      <c r="I1" s="17"/>
      <c r="J1" s="17"/>
      <c r="K1" s="17"/>
      <c r="L1" s="17"/>
      <c r="M1" s="17"/>
      <c r="N1" s="17"/>
      <c r="O1" s="17"/>
      <c r="P1" s="18"/>
      <c r="Q1" s="18"/>
      <c r="R1" s="18"/>
      <c r="S1" s="18"/>
      <c r="T1" s="18"/>
      <c r="U1" s="18"/>
      <c r="V1" s="18"/>
      <c r="W1" s="18"/>
      <c r="X1" s="18"/>
      <c r="Y1" s="18"/>
      <c r="Z1" s="18"/>
      <c r="AA1" s="18"/>
      <c r="AB1" s="18"/>
      <c r="AC1" s="18"/>
      <c r="AD1" s="18"/>
      <c r="AE1" s="18"/>
      <c r="AF1" s="18"/>
      <c r="AG1" s="18"/>
      <c r="AH1" s="18"/>
      <c r="AI1" s="18"/>
      <c r="AJ1" s="18"/>
      <c r="AK1" s="18"/>
      <c r="AL1" s="18"/>
      <c r="AM1" s="18"/>
      <c r="AN1" s="18"/>
      <c r="AO1" s="18"/>
      <c r="AP1" s="18"/>
      <c r="AQ1" s="18"/>
      <c r="AR1" s="18"/>
      <c r="AS1" s="18"/>
      <c r="AT1" s="18"/>
      <c r="AU1" s="18"/>
      <c r="AV1" s="18"/>
      <c r="AW1" s="18"/>
      <c r="AX1" s="18"/>
      <c r="AY1" s="18"/>
      <c r="AZ1" s="18"/>
      <c r="BA1" s="18"/>
      <c r="BB1" s="18"/>
      <c r="BC1" s="18"/>
      <c r="BD1" s="18"/>
      <c r="BE1" s="18"/>
      <c r="BF1" s="18"/>
      <c r="BG1" s="18"/>
      <c r="BH1" s="18"/>
      <c r="BI1" s="18"/>
      <c r="BJ1" s="18"/>
      <c r="BK1" s="18"/>
      <c r="BL1" s="18"/>
      <c r="BM1" s="18"/>
      <c r="BN1" s="18"/>
      <c r="BO1" s="18"/>
      <c r="BP1" s="18"/>
      <c r="BQ1" s="18"/>
      <c r="BR1" s="18"/>
      <c r="BS1" s="18"/>
      <c r="BT1" s="18"/>
      <c r="BU1" s="18"/>
      <c r="BV1" s="18"/>
      <c r="BW1" s="18"/>
      <c r="BX1" s="18"/>
      <c r="BY1" s="18"/>
      <c r="BZ1" s="18"/>
      <c r="CA1" s="18"/>
      <c r="CB1" s="18"/>
      <c r="CC1" s="18"/>
      <c r="CD1" s="18"/>
      <c r="CE1" s="18"/>
      <c r="CF1" s="18"/>
      <c r="CG1" s="18"/>
      <c r="CH1" s="18"/>
      <c r="CI1" s="18"/>
      <c r="CJ1" s="18"/>
      <c r="CK1" s="18"/>
      <c r="CL1" s="18"/>
      <c r="CM1" s="18"/>
      <c r="CN1" s="18"/>
      <c r="CO1" s="18"/>
      <c r="CP1" s="18"/>
      <c r="CQ1" s="18"/>
      <c r="CR1" s="18"/>
      <c r="CS1" s="18"/>
      <c r="CT1" s="18"/>
      <c r="CU1" s="18"/>
      <c r="CV1" s="18"/>
      <c r="CW1" s="18"/>
      <c r="CX1" s="18"/>
      <c r="CY1" s="18"/>
      <c r="CZ1" s="18"/>
      <c r="DA1" s="18"/>
      <c r="DB1" s="18"/>
      <c r="DC1" s="18"/>
      <c r="DD1" s="18"/>
      <c r="DE1" s="18"/>
      <c r="DF1" s="18"/>
      <c r="DG1" s="18"/>
      <c r="DH1" s="18"/>
      <c r="DI1" s="18"/>
      <c r="DJ1" s="18"/>
      <c r="DK1" s="18"/>
      <c r="DL1" s="18"/>
      <c r="DM1" s="18"/>
      <c r="DN1" s="18"/>
      <c r="DO1" s="18"/>
      <c r="DP1" s="18"/>
      <c r="DQ1" s="18"/>
      <c r="DR1" s="18"/>
      <c r="DS1" s="18"/>
      <c r="DT1" s="18"/>
      <c r="DU1" s="18"/>
      <c r="DV1" s="18"/>
      <c r="DW1" s="18"/>
      <c r="DX1" s="18"/>
      <c r="DY1" s="18"/>
      <c r="DZ1" s="18"/>
      <c r="EA1" s="18"/>
      <c r="EB1" s="18"/>
      <c r="EC1" s="18"/>
      <c r="ED1" s="18"/>
      <c r="EE1" s="18"/>
      <c r="EF1" s="18"/>
      <c r="EG1" s="18"/>
      <c r="EH1" s="18"/>
      <c r="EI1" s="18"/>
      <c r="EJ1" s="18"/>
      <c r="EK1" s="18"/>
      <c r="EL1" s="18"/>
      <c r="EM1" s="18"/>
      <c r="EN1" s="18"/>
      <c r="EO1" s="18"/>
      <c r="EP1" s="18"/>
      <c r="EQ1" s="18"/>
      <c r="ER1" s="18"/>
      <c r="ES1" s="18"/>
      <c r="ET1" s="18"/>
      <c r="EU1" s="18"/>
      <c r="EV1" s="18"/>
      <c r="EW1" s="18"/>
      <c r="EX1" s="18"/>
    </row>
    <row r="2" ht="15.75" customHeight="1">
      <c r="A2" s="7"/>
      <c r="B2" s="7"/>
      <c r="C2" s="7"/>
      <c r="D2" s="7"/>
      <c r="E2" s="7"/>
      <c r="F2" s="7"/>
      <c r="G2" s="7"/>
      <c r="H2" s="7"/>
      <c r="I2" s="7"/>
      <c r="J2" s="19" t="str">
        <f> VLOOKUP($E$3,'_MasterData'!B4:D1000,3,FALSE)</f>
        <v>#N/A</v>
      </c>
      <c r="K2" s="19"/>
      <c r="L2" s="7"/>
      <c r="M2" s="7"/>
      <c r="N2" s="7"/>
      <c r="O2" s="7"/>
    </row>
    <row r="3" ht="15.75" customHeight="1">
      <c r="A3" s="20"/>
      <c r="B3" s="9" t="s">
        <v>3</v>
      </c>
      <c r="C3" s="21" t="s">
        <v>13</v>
      </c>
      <c r="D3" s="9" t="s">
        <v>6</v>
      </c>
      <c r="E3" s="21" t="s">
        <v>16</v>
      </c>
      <c r="F3" s="9" t="s">
        <v>15</v>
      </c>
      <c r="G3" s="16" t="s">
        <v>17</v>
      </c>
      <c r="H3" s="9"/>
      <c r="I3" s="20"/>
      <c r="J3" s="20"/>
      <c r="K3" s="20"/>
      <c r="L3" s="20"/>
      <c r="M3" s="20"/>
      <c r="N3" s="20"/>
      <c r="O3" s="20"/>
      <c r="P3" s="22"/>
      <c r="Q3" s="22"/>
      <c r="R3" s="22"/>
      <c r="S3" s="22"/>
      <c r="T3" s="22"/>
      <c r="U3" s="22"/>
      <c r="V3" s="22"/>
      <c r="W3" s="22"/>
      <c r="X3" s="22"/>
      <c r="Y3" s="22"/>
      <c r="Z3" s="22"/>
      <c r="AA3" s="22"/>
      <c r="AB3" s="22"/>
      <c r="AC3" s="22"/>
      <c r="AD3" s="22"/>
      <c r="AE3" s="22"/>
      <c r="AF3" s="22"/>
      <c r="AG3" s="22"/>
      <c r="AH3" s="22"/>
      <c r="AI3" s="22"/>
      <c r="AJ3" s="22"/>
      <c r="AK3" s="22"/>
      <c r="AL3" s="22"/>
      <c r="AM3" s="22"/>
      <c r="AN3" s="22"/>
      <c r="AO3" s="22"/>
      <c r="AP3" s="22"/>
      <c r="AQ3" s="22"/>
      <c r="AR3" s="22"/>
      <c r="AS3" s="22"/>
      <c r="AT3" s="22"/>
      <c r="AU3" s="22"/>
      <c r="AV3" s="22"/>
      <c r="AW3" s="22"/>
      <c r="AX3" s="22"/>
      <c r="AY3" s="22"/>
      <c r="AZ3" s="22"/>
      <c r="BA3" s="22"/>
      <c r="BB3" s="22"/>
      <c r="BC3" s="22"/>
      <c r="BD3" s="22"/>
      <c r="BE3" s="22"/>
      <c r="BF3" s="22"/>
      <c r="BG3" s="22"/>
      <c r="BH3" s="22"/>
      <c r="BI3" s="22"/>
      <c r="BJ3" s="22"/>
      <c r="BK3" s="22"/>
      <c r="BL3" s="22"/>
      <c r="BM3" s="22"/>
      <c r="BN3" s="22"/>
      <c r="BO3" s="22"/>
      <c r="BP3" s="22"/>
      <c r="BQ3" s="22"/>
      <c r="BR3" s="22"/>
      <c r="BS3" s="22"/>
      <c r="BT3" s="22"/>
      <c r="BU3" s="22"/>
      <c r="BV3" s="22"/>
      <c r="BW3" s="22"/>
      <c r="BX3" s="22"/>
      <c r="BY3" s="22"/>
      <c r="BZ3" s="22"/>
      <c r="CA3" s="22"/>
      <c r="CB3" s="22"/>
      <c r="CC3" s="22"/>
      <c r="CD3" s="22"/>
      <c r="CE3" s="22"/>
      <c r="CF3" s="22"/>
      <c r="CG3" s="22"/>
      <c r="CH3" s="22"/>
      <c r="CI3" s="22"/>
      <c r="CJ3" s="22"/>
      <c r="CK3" s="22"/>
      <c r="CL3" s="22"/>
      <c r="CM3" s="22"/>
      <c r="CN3" s="22"/>
      <c r="CO3" s="22"/>
      <c r="CP3" s="22"/>
      <c r="CQ3" s="22"/>
      <c r="CR3" s="22"/>
      <c r="CS3" s="22"/>
      <c r="CT3" s="22"/>
      <c r="CU3" s="22"/>
      <c r="CV3" s="22"/>
      <c r="CW3" s="22"/>
      <c r="CX3" s="22"/>
      <c r="CY3" s="22"/>
      <c r="CZ3" s="22"/>
      <c r="DA3" s="22"/>
      <c r="DB3" s="22"/>
      <c r="DC3" s="22"/>
      <c r="DD3" s="22"/>
      <c r="DE3" s="22"/>
      <c r="DF3" s="22"/>
      <c r="DG3" s="22"/>
      <c r="DH3" s="22"/>
      <c r="DI3" s="22"/>
      <c r="DJ3" s="22"/>
      <c r="DK3" s="22"/>
      <c r="DL3" s="22"/>
      <c r="DM3" s="22"/>
      <c r="DN3" s="22"/>
      <c r="DO3" s="22"/>
      <c r="DP3" s="22"/>
      <c r="DQ3" s="22"/>
      <c r="DR3" s="22"/>
      <c r="DS3" s="22"/>
      <c r="DT3" s="22"/>
      <c r="DU3" s="22"/>
      <c r="DV3" s="22"/>
      <c r="DW3" s="22"/>
      <c r="DX3" s="22"/>
      <c r="DY3" s="22"/>
      <c r="DZ3" s="22"/>
      <c r="EA3" s="22"/>
      <c r="EB3" s="22"/>
      <c r="EC3" s="22"/>
      <c r="ED3" s="22"/>
      <c r="EE3" s="22"/>
      <c r="EF3" s="22"/>
      <c r="EG3" s="22"/>
      <c r="EH3" s="22"/>
      <c r="EI3" s="22"/>
      <c r="EJ3" s="22"/>
      <c r="EK3" s="22"/>
      <c r="EL3" s="22"/>
      <c r="EM3" s="22"/>
      <c r="EN3" s="22"/>
      <c r="EO3" s="22"/>
      <c r="EP3" s="22"/>
      <c r="EQ3" s="22"/>
      <c r="ER3" s="22"/>
      <c r="ES3" s="22"/>
      <c r="ET3" s="22"/>
      <c r="EU3" s="22"/>
      <c r="EV3" s="22"/>
      <c r="EW3" s="22"/>
      <c r="EX3" s="22"/>
    </row>
    <row r="4" ht="15.75" customHeight="1">
      <c r="A4" s="23"/>
      <c r="B4" s="23" t="str">
        <f>IFERROR(__xludf.DUMMYFUNCTION("IF(C3="""","""",Transpose(IMPORTRANGE('_Settings'!$B$3,C3&amp;""!A4:A1000"")))"),"OpenTTFromPST")</f>
        <v>OpenTTFromPST</v>
      </c>
      <c r="C4" s="23" t="str">
        <f>IFERROR(__xludf.DUMMYFUNCTION("""COMPUTED_VALUE"""),"EnterDetailsOnTT")</f>
        <v>EnterDetailsOnTT</v>
      </c>
      <c r="D4" s="23" t="str">
        <f>IFERROR(__xludf.DUMMYFUNCTION("""COMPUTED_VALUE"""),"ValidateSymbolTT")</f>
        <v>ValidateSymbolTT</v>
      </c>
      <c r="E4" s="23" t="str">
        <f>IFERROR(__xludf.DUMMYFUNCTION("""COMPUTED_VALUE"""),"VerifyDataTT")</f>
        <v>VerifyDataTT</v>
      </c>
      <c r="F4" s="23" t="str">
        <f>IFERROR(__xludf.DUMMYFUNCTION("""COMPUTED_VALUE"""),"SetUIPreferencesTT")</f>
        <v>SetUIPreferencesTT</v>
      </c>
      <c r="G4" s="23" t="str">
        <f>IFERROR(__xludf.DUMMYFUNCTION("""COMPUTED_VALUE"""),"SetBrokerWisePreferencesTT")</f>
        <v>SetBrokerWisePreferencesTT</v>
      </c>
      <c r="H4" s="23" t="str">
        <f>IFERROR(__xludf.DUMMYFUNCTION("""COMPUTED_VALUE"""),"TradeNewSub")</f>
        <v>TradeNewSub</v>
      </c>
      <c r="I4" s="23" t="str">
        <f>IFERROR(__xludf.DUMMYFUNCTION("""COMPUTED_VALUE"""),"CreateStageOrder")</f>
        <v>CreateStageOrder</v>
      </c>
      <c r="J4" s="23" t="str">
        <f>IFERROR(__xludf.DUMMYFUNCTION("""COMPUTED_VALUE"""),"CreateReplaceOrder")</f>
        <v>CreateReplaceOrder</v>
      </c>
      <c r="K4" s="23" t="str">
        <f>IFERROR(__xludf.DUMMYFUNCTION("""COMPUTED_VALUE"""),"SetGeneralPreference")</f>
        <v>SetGeneralPreference</v>
      </c>
      <c r="L4" s="23" t="str">
        <f>IFERROR(__xludf.DUMMYFUNCTION("""COMPUTED_VALUE"""),"CreateDoneAwayOrder")</f>
        <v>CreateDoneAwayOrder</v>
      </c>
      <c r="M4" s="23" t="str">
        <f>IFERROR(__xludf.DUMMYFUNCTION("""COMPUTED_VALUE"""),"CreateNewSubOrder")</f>
        <v>CreateNewSubOrder</v>
      </c>
      <c r="N4" s="23" t="str">
        <f>IFERROR(__xludf.DUMMYFUNCTION("""COMPUTED_VALUE"""),"TradeBloomberg")</f>
        <v>TradeBloomberg</v>
      </c>
      <c r="O4" s="23" t="str">
        <f>IFERROR(__xludf.DUMMYFUNCTION("""COMPUTED_VALUE"""),"ClickSymbolLookup")</f>
        <v>ClickSymbolLookup</v>
      </c>
      <c r="P4" s="24" t="str">
        <f>IFERROR(__xludf.DUMMYFUNCTION("""COMPUTED_VALUE"""),"VerifyTT")</f>
        <v>VerifyTT</v>
      </c>
      <c r="Q4" s="24" t="str">
        <f>IFERROR(__xludf.DUMMYFUNCTION("""COMPUTED_VALUE"""),"")</f>
        <v/>
      </c>
      <c r="R4" s="24" t="str">
        <f>IFERROR(__xludf.DUMMYFUNCTION("""COMPUTED_VALUE"""),"")</f>
        <v/>
      </c>
      <c r="S4" s="24" t="str">
        <f>IFERROR(__xludf.DUMMYFUNCTION("""COMPUTED_VALUE"""),"")</f>
        <v/>
      </c>
      <c r="T4" s="24" t="str">
        <f>IFERROR(__xludf.DUMMYFUNCTION("""COMPUTED_VALUE"""),"")</f>
        <v/>
      </c>
      <c r="U4" s="24" t="str">
        <f>IFERROR(__xludf.DUMMYFUNCTION("""COMPUTED_VALUE"""),"")</f>
        <v/>
      </c>
      <c r="V4" s="24" t="str">
        <f>IFERROR(__xludf.DUMMYFUNCTION("""COMPUTED_VALUE"""),"")</f>
        <v/>
      </c>
      <c r="W4" s="24" t="str">
        <f>IFERROR(__xludf.DUMMYFUNCTION("""COMPUTED_VALUE"""),"")</f>
        <v/>
      </c>
      <c r="X4" s="24" t="str">
        <f>IFERROR(__xludf.DUMMYFUNCTION("""COMPUTED_VALUE"""),"")</f>
        <v/>
      </c>
      <c r="Y4" s="24" t="str">
        <f>IFERROR(__xludf.DUMMYFUNCTION("""COMPUTED_VALUE"""),"")</f>
        <v/>
      </c>
      <c r="Z4" s="24" t="str">
        <f>IFERROR(__xludf.DUMMYFUNCTION("""COMPUTED_VALUE"""),"")</f>
        <v/>
      </c>
      <c r="AA4" s="24" t="str">
        <f>IFERROR(__xludf.DUMMYFUNCTION("""COMPUTED_VALUE"""),"")</f>
        <v/>
      </c>
      <c r="AB4" s="24" t="str">
        <f>IFERROR(__xludf.DUMMYFUNCTION("""COMPUTED_VALUE"""),"")</f>
        <v/>
      </c>
      <c r="AC4" s="24" t="str">
        <f>IFERROR(__xludf.DUMMYFUNCTION("""COMPUTED_VALUE"""),"")</f>
        <v/>
      </c>
      <c r="AD4" s="24" t="str">
        <f>IFERROR(__xludf.DUMMYFUNCTION("""COMPUTED_VALUE"""),"")</f>
        <v/>
      </c>
      <c r="AE4" s="24" t="str">
        <f>IFERROR(__xludf.DUMMYFUNCTION("""COMPUTED_VALUE"""),"")</f>
        <v/>
      </c>
      <c r="AF4" s="24" t="str">
        <f>IFERROR(__xludf.DUMMYFUNCTION("""COMPUTED_VALUE"""),"")</f>
        <v/>
      </c>
      <c r="AG4" s="24" t="str">
        <f>IFERROR(__xludf.DUMMYFUNCTION("""COMPUTED_VALUE"""),"")</f>
        <v/>
      </c>
      <c r="AH4" s="24" t="str">
        <f>IFERROR(__xludf.DUMMYFUNCTION("""COMPUTED_VALUE"""),"")</f>
        <v/>
      </c>
      <c r="AI4" s="24" t="str">
        <f>IFERROR(__xludf.DUMMYFUNCTION("""COMPUTED_VALUE"""),"")</f>
        <v/>
      </c>
      <c r="AJ4" s="24" t="str">
        <f>IFERROR(__xludf.DUMMYFUNCTION("""COMPUTED_VALUE"""),"")</f>
        <v/>
      </c>
      <c r="AK4" s="24" t="str">
        <f>IFERROR(__xludf.DUMMYFUNCTION("""COMPUTED_VALUE"""),"")</f>
        <v/>
      </c>
      <c r="AL4" s="24" t="str">
        <f>IFERROR(__xludf.DUMMYFUNCTION("""COMPUTED_VALUE"""),"")</f>
        <v/>
      </c>
      <c r="AM4" s="24" t="str">
        <f>IFERROR(__xludf.DUMMYFUNCTION("""COMPUTED_VALUE"""),"")</f>
        <v/>
      </c>
      <c r="AN4" s="24" t="str">
        <f>IFERROR(__xludf.DUMMYFUNCTION("""COMPUTED_VALUE"""),"")</f>
        <v/>
      </c>
      <c r="AO4" s="24" t="str">
        <f>IFERROR(__xludf.DUMMYFUNCTION("""COMPUTED_VALUE"""),"")</f>
        <v/>
      </c>
      <c r="AP4" s="24" t="str">
        <f>IFERROR(__xludf.DUMMYFUNCTION("""COMPUTED_VALUE"""),"")</f>
        <v/>
      </c>
      <c r="AQ4" s="24" t="str">
        <f>IFERROR(__xludf.DUMMYFUNCTION("""COMPUTED_VALUE"""),"")</f>
        <v/>
      </c>
      <c r="AR4" s="24" t="str">
        <f>IFERROR(__xludf.DUMMYFUNCTION("""COMPUTED_VALUE"""),"")</f>
        <v/>
      </c>
      <c r="AS4" s="24" t="str">
        <f>IFERROR(__xludf.DUMMYFUNCTION("""COMPUTED_VALUE"""),"")</f>
        <v/>
      </c>
      <c r="AT4" s="24" t="str">
        <f>IFERROR(__xludf.DUMMYFUNCTION("""COMPUTED_VALUE"""),"")</f>
        <v/>
      </c>
      <c r="AU4" s="24" t="str">
        <f>IFERROR(__xludf.DUMMYFUNCTION("""COMPUTED_VALUE"""),"")</f>
        <v/>
      </c>
      <c r="AV4" s="24" t="str">
        <f>IFERROR(__xludf.DUMMYFUNCTION("""COMPUTED_VALUE"""),"")</f>
        <v/>
      </c>
      <c r="AW4" s="24" t="str">
        <f>IFERROR(__xludf.DUMMYFUNCTION("""COMPUTED_VALUE"""),"")</f>
        <v/>
      </c>
      <c r="AX4" s="24" t="str">
        <f>IFERROR(__xludf.DUMMYFUNCTION("""COMPUTED_VALUE"""),"")</f>
        <v/>
      </c>
      <c r="AY4" s="24" t="str">
        <f>IFERROR(__xludf.DUMMYFUNCTION("""COMPUTED_VALUE"""),"")</f>
        <v/>
      </c>
      <c r="AZ4" s="24" t="str">
        <f>IFERROR(__xludf.DUMMYFUNCTION("""COMPUTED_VALUE"""),"")</f>
        <v/>
      </c>
      <c r="BA4" s="24" t="str">
        <f>IFERROR(__xludf.DUMMYFUNCTION("""COMPUTED_VALUE"""),"")</f>
        <v/>
      </c>
      <c r="BB4" s="24" t="str">
        <f>IFERROR(__xludf.DUMMYFUNCTION("""COMPUTED_VALUE"""),"")</f>
        <v/>
      </c>
      <c r="BC4" s="24" t="str">
        <f>IFERROR(__xludf.DUMMYFUNCTION("""COMPUTED_VALUE"""),"")</f>
        <v/>
      </c>
      <c r="BD4" s="24" t="str">
        <f>IFERROR(__xludf.DUMMYFUNCTION("""COMPUTED_VALUE"""),"")</f>
        <v/>
      </c>
      <c r="BE4" s="24" t="str">
        <f>IFERROR(__xludf.DUMMYFUNCTION("""COMPUTED_VALUE"""),"")</f>
        <v/>
      </c>
      <c r="BF4" s="24" t="str">
        <f>IFERROR(__xludf.DUMMYFUNCTION("""COMPUTED_VALUE"""),"")</f>
        <v/>
      </c>
      <c r="BG4" s="24" t="str">
        <f>IFERROR(__xludf.DUMMYFUNCTION("""COMPUTED_VALUE"""),"")</f>
        <v/>
      </c>
      <c r="BH4" s="24" t="str">
        <f>IFERROR(__xludf.DUMMYFUNCTION("""COMPUTED_VALUE"""),"")</f>
        <v/>
      </c>
      <c r="BI4" s="24" t="str">
        <f>IFERROR(__xludf.DUMMYFUNCTION("""COMPUTED_VALUE"""),"")</f>
        <v/>
      </c>
      <c r="BJ4" s="24" t="str">
        <f>IFERROR(__xludf.DUMMYFUNCTION("""COMPUTED_VALUE"""),"")</f>
        <v/>
      </c>
      <c r="BK4" s="24" t="str">
        <f>IFERROR(__xludf.DUMMYFUNCTION("""COMPUTED_VALUE"""),"")</f>
        <v/>
      </c>
      <c r="BL4" s="24" t="str">
        <f>IFERROR(__xludf.DUMMYFUNCTION("""COMPUTED_VALUE"""),"")</f>
        <v/>
      </c>
      <c r="BM4" s="24" t="str">
        <f>IFERROR(__xludf.DUMMYFUNCTION("""COMPUTED_VALUE"""),"")</f>
        <v/>
      </c>
      <c r="BN4" s="24" t="str">
        <f>IFERROR(__xludf.DUMMYFUNCTION("""COMPUTED_VALUE"""),"")</f>
        <v/>
      </c>
      <c r="BO4" s="24" t="str">
        <f>IFERROR(__xludf.DUMMYFUNCTION("""COMPUTED_VALUE"""),"")</f>
        <v/>
      </c>
      <c r="BP4" s="24" t="str">
        <f>IFERROR(__xludf.DUMMYFUNCTION("""COMPUTED_VALUE"""),"")</f>
        <v/>
      </c>
      <c r="BQ4" s="24" t="str">
        <f>IFERROR(__xludf.DUMMYFUNCTION("""COMPUTED_VALUE"""),"")</f>
        <v/>
      </c>
      <c r="BR4" s="24" t="str">
        <f>IFERROR(__xludf.DUMMYFUNCTION("""COMPUTED_VALUE"""),"")</f>
        <v/>
      </c>
      <c r="BS4" s="24" t="str">
        <f>IFERROR(__xludf.DUMMYFUNCTION("""COMPUTED_VALUE"""),"")</f>
        <v/>
      </c>
      <c r="BT4" s="24" t="str">
        <f>IFERROR(__xludf.DUMMYFUNCTION("""COMPUTED_VALUE"""),"")</f>
        <v/>
      </c>
      <c r="BU4" s="24" t="str">
        <f>IFERROR(__xludf.DUMMYFUNCTION("""COMPUTED_VALUE"""),"")</f>
        <v/>
      </c>
      <c r="BV4" s="24" t="str">
        <f>IFERROR(__xludf.DUMMYFUNCTION("""COMPUTED_VALUE"""),"")</f>
        <v/>
      </c>
      <c r="BW4" s="24" t="str">
        <f>IFERROR(__xludf.DUMMYFUNCTION("""COMPUTED_VALUE"""),"")</f>
        <v/>
      </c>
      <c r="BX4" s="24" t="str">
        <f>IFERROR(__xludf.DUMMYFUNCTION("""COMPUTED_VALUE"""),"")</f>
        <v/>
      </c>
      <c r="BY4" s="24" t="str">
        <f>IFERROR(__xludf.DUMMYFUNCTION("""COMPUTED_VALUE"""),"")</f>
        <v/>
      </c>
      <c r="BZ4" s="24" t="str">
        <f>IFERROR(__xludf.DUMMYFUNCTION("""COMPUTED_VALUE"""),"")</f>
        <v/>
      </c>
      <c r="CA4" s="24" t="str">
        <f>IFERROR(__xludf.DUMMYFUNCTION("""COMPUTED_VALUE"""),"")</f>
        <v/>
      </c>
      <c r="CB4" s="24" t="str">
        <f>IFERROR(__xludf.DUMMYFUNCTION("""COMPUTED_VALUE"""),"")</f>
        <v/>
      </c>
      <c r="CC4" s="24" t="str">
        <f>IFERROR(__xludf.DUMMYFUNCTION("""COMPUTED_VALUE"""),"")</f>
        <v/>
      </c>
      <c r="CD4" s="24" t="str">
        <f>IFERROR(__xludf.DUMMYFUNCTION("""COMPUTED_VALUE"""),"")</f>
        <v/>
      </c>
      <c r="CE4" s="24" t="str">
        <f>IFERROR(__xludf.DUMMYFUNCTION("""COMPUTED_VALUE"""),"")</f>
        <v/>
      </c>
      <c r="CF4" s="24" t="str">
        <f>IFERROR(__xludf.DUMMYFUNCTION("""COMPUTED_VALUE"""),"")</f>
        <v/>
      </c>
      <c r="CG4" s="24" t="str">
        <f>IFERROR(__xludf.DUMMYFUNCTION("""COMPUTED_VALUE"""),"")</f>
        <v/>
      </c>
      <c r="CH4" s="24" t="str">
        <f>IFERROR(__xludf.DUMMYFUNCTION("""COMPUTED_VALUE"""),"")</f>
        <v/>
      </c>
      <c r="CI4" s="24" t="str">
        <f>IFERROR(__xludf.DUMMYFUNCTION("""COMPUTED_VALUE"""),"")</f>
        <v/>
      </c>
      <c r="CJ4" s="24" t="str">
        <f>IFERROR(__xludf.DUMMYFUNCTION("""COMPUTED_VALUE"""),"")</f>
        <v/>
      </c>
      <c r="CK4" s="24" t="str">
        <f>IFERROR(__xludf.DUMMYFUNCTION("""COMPUTED_VALUE"""),"")</f>
        <v/>
      </c>
      <c r="CL4" s="24" t="str">
        <f>IFERROR(__xludf.DUMMYFUNCTION("""COMPUTED_VALUE"""),"")</f>
        <v/>
      </c>
      <c r="CM4" s="24" t="str">
        <f>IFERROR(__xludf.DUMMYFUNCTION("""COMPUTED_VALUE"""),"")</f>
        <v/>
      </c>
      <c r="CN4" s="24" t="str">
        <f>IFERROR(__xludf.DUMMYFUNCTION("""COMPUTED_VALUE"""),"")</f>
        <v/>
      </c>
      <c r="CO4" s="24" t="str">
        <f>IFERROR(__xludf.DUMMYFUNCTION("""COMPUTED_VALUE"""),"")</f>
        <v/>
      </c>
      <c r="CP4" s="24" t="str">
        <f>IFERROR(__xludf.DUMMYFUNCTION("""COMPUTED_VALUE"""),"")</f>
        <v/>
      </c>
      <c r="CQ4" s="24" t="str">
        <f>IFERROR(__xludf.DUMMYFUNCTION("""COMPUTED_VALUE"""),"")</f>
        <v/>
      </c>
      <c r="CR4" s="24" t="str">
        <f>IFERROR(__xludf.DUMMYFUNCTION("""COMPUTED_VALUE"""),"")</f>
        <v/>
      </c>
      <c r="CS4" s="24" t="str">
        <f>IFERROR(__xludf.DUMMYFUNCTION("""COMPUTED_VALUE"""),"")</f>
        <v/>
      </c>
      <c r="CT4" s="24" t="str">
        <f>IFERROR(__xludf.DUMMYFUNCTION("""COMPUTED_VALUE"""),"")</f>
        <v/>
      </c>
      <c r="CU4" s="24" t="str">
        <f>IFERROR(__xludf.DUMMYFUNCTION("""COMPUTED_VALUE"""),"")</f>
        <v/>
      </c>
      <c r="CV4" s="24" t="str">
        <f>IFERROR(__xludf.DUMMYFUNCTION("""COMPUTED_VALUE"""),"")</f>
        <v/>
      </c>
      <c r="CW4" s="24" t="str">
        <f>IFERROR(__xludf.DUMMYFUNCTION("""COMPUTED_VALUE"""),"")</f>
        <v/>
      </c>
      <c r="CX4" s="24" t="str">
        <f>IFERROR(__xludf.DUMMYFUNCTION("""COMPUTED_VALUE"""),"")</f>
        <v/>
      </c>
      <c r="CY4" s="24" t="str">
        <f>IFERROR(__xludf.DUMMYFUNCTION("""COMPUTED_VALUE"""),"")</f>
        <v/>
      </c>
      <c r="CZ4" s="24" t="str">
        <f>IFERROR(__xludf.DUMMYFUNCTION("""COMPUTED_VALUE"""),"")</f>
        <v/>
      </c>
      <c r="DA4" s="24" t="str">
        <f>IFERROR(__xludf.DUMMYFUNCTION("""COMPUTED_VALUE"""),"")</f>
        <v/>
      </c>
      <c r="DB4" s="24" t="str">
        <f>IFERROR(__xludf.DUMMYFUNCTION("""COMPUTED_VALUE"""),"")</f>
        <v/>
      </c>
      <c r="DC4" s="24" t="str">
        <f>IFERROR(__xludf.DUMMYFUNCTION("""COMPUTED_VALUE"""),"")</f>
        <v/>
      </c>
      <c r="DD4" s="24" t="str">
        <f>IFERROR(__xludf.DUMMYFUNCTION("""COMPUTED_VALUE"""),"")</f>
        <v/>
      </c>
      <c r="DE4" s="24" t="str">
        <f>IFERROR(__xludf.DUMMYFUNCTION("""COMPUTED_VALUE"""),"")</f>
        <v/>
      </c>
      <c r="DF4" s="24" t="str">
        <f>IFERROR(__xludf.DUMMYFUNCTION("""COMPUTED_VALUE"""),"")</f>
        <v/>
      </c>
      <c r="DG4" s="24" t="str">
        <f>IFERROR(__xludf.DUMMYFUNCTION("""COMPUTED_VALUE"""),"")</f>
        <v/>
      </c>
      <c r="DH4" s="24" t="str">
        <f>IFERROR(__xludf.DUMMYFUNCTION("""COMPUTED_VALUE"""),"")</f>
        <v/>
      </c>
      <c r="DI4" s="24" t="str">
        <f>IFERROR(__xludf.DUMMYFUNCTION("""COMPUTED_VALUE"""),"")</f>
        <v/>
      </c>
      <c r="DJ4" s="24" t="str">
        <f>IFERROR(__xludf.DUMMYFUNCTION("""COMPUTED_VALUE"""),"")</f>
        <v/>
      </c>
      <c r="DK4" s="24" t="str">
        <f>IFERROR(__xludf.DUMMYFUNCTION("""COMPUTED_VALUE"""),"")</f>
        <v/>
      </c>
      <c r="DL4" s="24" t="str">
        <f>IFERROR(__xludf.DUMMYFUNCTION("""COMPUTED_VALUE"""),"")</f>
        <v/>
      </c>
      <c r="DM4" s="24" t="str">
        <f>IFERROR(__xludf.DUMMYFUNCTION("""COMPUTED_VALUE"""),"")</f>
        <v/>
      </c>
      <c r="DN4" s="24" t="str">
        <f>IFERROR(__xludf.DUMMYFUNCTION("""COMPUTED_VALUE"""),"")</f>
        <v/>
      </c>
      <c r="DO4" s="24" t="str">
        <f>IFERROR(__xludf.DUMMYFUNCTION("""COMPUTED_VALUE"""),"")</f>
        <v/>
      </c>
      <c r="DP4" s="24" t="str">
        <f>IFERROR(__xludf.DUMMYFUNCTION("""COMPUTED_VALUE"""),"")</f>
        <v/>
      </c>
      <c r="DQ4" s="24" t="str">
        <f>IFERROR(__xludf.DUMMYFUNCTION("""COMPUTED_VALUE"""),"")</f>
        <v/>
      </c>
      <c r="DR4" s="24" t="str">
        <f>IFERROR(__xludf.DUMMYFUNCTION("""COMPUTED_VALUE"""),"")</f>
        <v/>
      </c>
      <c r="DS4" s="24" t="str">
        <f>IFERROR(__xludf.DUMMYFUNCTION("""COMPUTED_VALUE"""),"")</f>
        <v/>
      </c>
      <c r="DT4" s="24" t="str">
        <f>IFERROR(__xludf.DUMMYFUNCTION("""COMPUTED_VALUE"""),"")</f>
        <v/>
      </c>
      <c r="DU4" s="24" t="str">
        <f>IFERROR(__xludf.DUMMYFUNCTION("""COMPUTED_VALUE"""),"")</f>
        <v/>
      </c>
      <c r="DV4" s="24" t="str">
        <f>IFERROR(__xludf.DUMMYFUNCTION("""COMPUTED_VALUE"""),"")</f>
        <v/>
      </c>
      <c r="DW4" s="24" t="str">
        <f>IFERROR(__xludf.DUMMYFUNCTION("""COMPUTED_VALUE"""),"")</f>
        <v/>
      </c>
      <c r="DX4" s="24" t="str">
        <f>IFERROR(__xludf.DUMMYFUNCTION("""COMPUTED_VALUE"""),"")</f>
        <v/>
      </c>
      <c r="DY4" s="24" t="str">
        <f>IFERROR(__xludf.DUMMYFUNCTION("""COMPUTED_VALUE"""),"")</f>
        <v/>
      </c>
      <c r="DZ4" s="24" t="str">
        <f>IFERROR(__xludf.DUMMYFUNCTION("""COMPUTED_VALUE"""),"")</f>
        <v/>
      </c>
      <c r="EA4" s="24" t="str">
        <f>IFERROR(__xludf.DUMMYFUNCTION("""COMPUTED_VALUE"""),"")</f>
        <v/>
      </c>
      <c r="EB4" s="24" t="str">
        <f>IFERROR(__xludf.DUMMYFUNCTION("""COMPUTED_VALUE"""),"")</f>
        <v/>
      </c>
      <c r="EC4" s="24" t="str">
        <f>IFERROR(__xludf.DUMMYFUNCTION("""COMPUTED_VALUE"""),"")</f>
        <v/>
      </c>
      <c r="ED4" s="24" t="str">
        <f>IFERROR(__xludf.DUMMYFUNCTION("""COMPUTED_VALUE"""),"")</f>
        <v/>
      </c>
      <c r="EE4" s="24" t="str">
        <f>IFERROR(__xludf.DUMMYFUNCTION("""COMPUTED_VALUE"""),"")</f>
        <v/>
      </c>
      <c r="EF4" s="24" t="str">
        <f>IFERROR(__xludf.DUMMYFUNCTION("""COMPUTED_VALUE"""),"")</f>
        <v/>
      </c>
      <c r="EG4" s="24" t="str">
        <f>IFERROR(__xludf.DUMMYFUNCTION("""COMPUTED_VALUE"""),"")</f>
        <v/>
      </c>
      <c r="EH4" s="24" t="str">
        <f>IFERROR(__xludf.DUMMYFUNCTION("""COMPUTED_VALUE"""),"")</f>
        <v/>
      </c>
      <c r="EI4" s="24" t="str">
        <f>IFERROR(__xludf.DUMMYFUNCTION("""COMPUTED_VALUE"""),"")</f>
        <v/>
      </c>
      <c r="EJ4" s="24" t="str">
        <f>IFERROR(__xludf.DUMMYFUNCTION("""COMPUTED_VALUE"""),"")</f>
        <v/>
      </c>
      <c r="EK4" s="24" t="str">
        <f>IFERROR(__xludf.DUMMYFUNCTION("""COMPUTED_VALUE"""),"")</f>
        <v/>
      </c>
      <c r="EL4" s="24" t="str">
        <f>IFERROR(__xludf.DUMMYFUNCTION("""COMPUTED_VALUE"""),"")</f>
        <v/>
      </c>
      <c r="EM4" s="24" t="str">
        <f>IFERROR(__xludf.DUMMYFUNCTION("""COMPUTED_VALUE"""),"")</f>
        <v/>
      </c>
      <c r="EN4" s="24" t="str">
        <f>IFERROR(__xludf.DUMMYFUNCTION("""COMPUTED_VALUE"""),"")</f>
        <v/>
      </c>
      <c r="EO4" s="24" t="str">
        <f>IFERROR(__xludf.DUMMYFUNCTION("""COMPUTED_VALUE"""),"")</f>
        <v/>
      </c>
      <c r="EP4" s="24" t="str">
        <f>IFERROR(__xludf.DUMMYFUNCTION("""COMPUTED_VALUE"""),"")</f>
        <v/>
      </c>
      <c r="EQ4" s="24" t="str">
        <f>IFERROR(__xludf.DUMMYFUNCTION("""COMPUTED_VALUE"""),"")</f>
        <v/>
      </c>
      <c r="ER4" s="24" t="str">
        <f>IFERROR(__xludf.DUMMYFUNCTION("""COMPUTED_VALUE"""),"")</f>
        <v/>
      </c>
      <c r="ES4" s="24" t="str">
        <f>IFERROR(__xludf.DUMMYFUNCTION("""COMPUTED_VALUE"""),"")</f>
        <v/>
      </c>
      <c r="ET4" s="24" t="str">
        <f>IFERROR(__xludf.DUMMYFUNCTION("""COMPUTED_VALUE"""),"")</f>
        <v/>
      </c>
      <c r="EU4" s="24" t="str">
        <f>IFERROR(__xludf.DUMMYFUNCTION("""COMPUTED_VALUE"""),"")</f>
        <v/>
      </c>
      <c r="EV4" s="24" t="str">
        <f>IFERROR(__xludf.DUMMYFUNCTION("""COMPUTED_VALUE"""),"")</f>
        <v/>
      </c>
      <c r="EW4" s="24" t="str">
        <f>IFERROR(__xludf.DUMMYFUNCTION("""COMPUTED_VALUE"""),"")</f>
        <v/>
      </c>
      <c r="EX4" s="24" t="str">
        <f>IFERROR(__xludf.DUMMYFUNCTION("""COMPUTED_VALUE"""),"")</f>
        <v/>
      </c>
    </row>
    <row r="5" ht="15.75" customHeight="1">
      <c r="A5" s="25" t="str">
        <f>IFERROR(__xludf.DUMMYFUNCTION("TRANSPOSE(IMPORTRANGE(VLOOKUP($E$3,IMPORTRANGE('_Settings'!$B$3,$C$3&amp;""!A4:B1000""),2,FALSE),$G$3&amp;""!A4:A1000""))"),"")</f>
        <v/>
      </c>
      <c r="B5" s="26" t="str">
        <f>IFERROR(__xludf.DUMMYFUNCTION("""COMPUTED_VALUE"""),"Symbol")</f>
        <v>Symbol</v>
      </c>
      <c r="C5" s="26" t="str">
        <f>IFERROR(__xludf.DUMMYFUNCTION("""COMPUTED_VALUE"""),"Order Side")</f>
        <v>Order Side</v>
      </c>
      <c r="D5" s="26" t="str">
        <f>IFERROR(__xludf.DUMMYFUNCTION("""COMPUTED_VALUE"""),"Quantity")</f>
        <v>Quantity</v>
      </c>
      <c r="E5" s="26" t="str">
        <f>IFERROR(__xludf.DUMMYFUNCTION("""COMPUTED_VALUE"""),"TargetQuantityIn")</f>
        <v>TargetQuantityIn</v>
      </c>
      <c r="F5" s="27" t="str">
        <f>IFERROR(__xludf.DUMMYFUNCTION("""COMPUTED_VALUE"""),"AllocationMethod")</f>
        <v>AllocationMethod</v>
      </c>
      <c r="G5" s="26" t="str">
        <f>IFERROR(__xludf.DUMMYFUNCTION("""COMPUTED_VALUE"""),"Broker")</f>
        <v>Broker</v>
      </c>
      <c r="H5" s="26" t="str">
        <f>IFERROR(__xludf.DUMMYFUNCTION("""COMPUTED_VALUE"""),"TIF")</f>
        <v>TIF</v>
      </c>
      <c r="I5" s="26" t="str">
        <f>IFERROR(__xludf.DUMMYFUNCTION("""COMPUTED_VALUE"""),"Order Type")</f>
        <v>Order Type</v>
      </c>
      <c r="J5" s="26" t="str">
        <f>IFERROR(__xludf.DUMMYFUNCTION("""COMPUTED_VALUE"""),"Price")</f>
        <v>Price</v>
      </c>
      <c r="K5" s="26" t="str">
        <f>IFERROR(__xludf.DUMMYFUNCTION("""COMPUTED_VALUE"""),"Stop")</f>
        <v>Stop</v>
      </c>
      <c r="L5" s="26" t="str">
        <f>IFERROR(__xludf.DUMMYFUNCTION("""COMPUTED_VALUE"""),"Limit")</f>
        <v>Limit</v>
      </c>
      <c r="M5" s="26" t="str">
        <f>IFERROR(__xludf.DUMMYFUNCTION("""COMPUTED_VALUE"""),"Strategy")</f>
        <v>Strategy</v>
      </c>
      <c r="N5" s="26" t="str">
        <f>IFERROR(__xludf.DUMMYFUNCTION("""COMPUTED_VALUE"""),"Trade Date")</f>
        <v>Trade Date</v>
      </c>
      <c r="O5" s="26" t="str">
        <f>IFERROR(__xludf.DUMMYFUNCTION("""COMPUTED_VALUE"""),"FxRate")</f>
        <v>FxRate</v>
      </c>
      <c r="P5" s="26" t="str">
        <f>IFERROR(__xludf.DUMMYFUNCTION("""COMPUTED_VALUE"""),"Notes")</f>
        <v>Notes</v>
      </c>
      <c r="Q5" s="26" t="str">
        <f>IFERROR(__xludf.DUMMYFUNCTION("""COMPUTED_VALUE"""),"Broker Notes")</f>
        <v>Broker Notes</v>
      </c>
      <c r="R5" s="26" t="str">
        <f>IFERROR(__xludf.DUMMYFUNCTION("""COMPUTED_VALUE"""),"CommissionBasis")</f>
        <v>CommissionBasis</v>
      </c>
      <c r="S5" s="26" t="str">
        <f>IFERROR(__xludf.DUMMYFUNCTION("""COMPUTED_VALUE"""),"CommissionRate")</f>
        <v>CommissionRate</v>
      </c>
      <c r="T5" s="28" t="str">
        <f>IFERROR(__xludf.DUMMYFUNCTION("""COMPUTED_VALUE"""),"SoftBasis")</f>
        <v>SoftBasis</v>
      </c>
      <c r="U5" s="28" t="str">
        <f>IFERROR(__xludf.DUMMYFUNCTION("""COMPUTED_VALUE"""),"SoftRate")</f>
        <v>SoftRate</v>
      </c>
      <c r="V5" s="28" t="str">
        <f>IFERROR(__xludf.DUMMYFUNCTION("""COMPUTED_VALUE"""),"TradeAttribute1")</f>
        <v>TradeAttribute1</v>
      </c>
      <c r="W5" s="28" t="str">
        <f>IFERROR(__xludf.DUMMYFUNCTION("""COMPUTED_VALUE"""),"TradeAttribute2")</f>
        <v>TradeAttribute2</v>
      </c>
      <c r="X5" s="28" t="str">
        <f>IFERROR(__xludf.DUMMYFUNCTION("""COMPUTED_VALUE"""),"TradeAttribute3")</f>
        <v>TradeAttribute3</v>
      </c>
      <c r="Y5" s="28" t="str">
        <f>IFERROR(__xludf.DUMMYFUNCTION("""COMPUTED_VALUE"""),"TradeAttribute4")</f>
        <v>TradeAttribute4</v>
      </c>
      <c r="Z5" s="28" t="str">
        <f>IFERROR(__xludf.DUMMYFUNCTION("""COMPUTED_VALUE"""),"TradeAttribute5")</f>
        <v>TradeAttribute5</v>
      </c>
      <c r="AA5" s="28" t="str">
        <f>IFERROR(__xludf.DUMMYFUNCTION("""COMPUTED_VALUE"""),"TradeAttribute6")</f>
        <v>TradeAttribute6</v>
      </c>
      <c r="AB5" s="28" t="str">
        <f>IFERROR(__xludf.DUMMYFUNCTION("""COMPUTED_VALUE"""),"Venue")</f>
        <v>Venue</v>
      </c>
      <c r="AC5" s="28" t="str">
        <f>IFERROR(__xludf.DUMMYFUNCTION("""COMPUTED_VALUE"""),"ExecutionInstructions")</f>
        <v>ExecutionInstructions</v>
      </c>
      <c r="AD5" s="28" t="str">
        <f>IFERROR(__xludf.DUMMYFUNCTION("""COMPUTED_VALUE"""),"HandlingInstructions")</f>
        <v>HandlingInstructions</v>
      </c>
      <c r="AE5" s="28" t="str">
        <f>IFERROR(__xludf.DUMMYFUNCTION("""COMPUTED_VALUE"""),"Trader")</f>
        <v>Trader</v>
      </c>
      <c r="AF5" s="28" t="str">
        <f>IFERROR(__xludf.DUMMYFUNCTION("""COMPUTED_VALUE"""),"SettlementCurrency")</f>
        <v>SettlementCurrency</v>
      </c>
      <c r="AG5" s="28" t="str">
        <f>IFERROR(__xludf.DUMMYFUNCTION("""COMPUTED_VALUE"""),"SettlementFXRate")</f>
        <v>SettlementFXRate</v>
      </c>
      <c r="AH5" s="28" t="str">
        <f>IFERROR(__xludf.DUMMYFUNCTION("""COMPUTED_VALUE"""),"SettlementAmount")</f>
        <v>SettlementAmount</v>
      </c>
      <c r="AI5" s="28" t="str">
        <f>IFERROR(__xludf.DUMMYFUNCTION("""COMPUTED_VALUE"""),"SettlementFXOperator")</f>
        <v>SettlementFXOperator</v>
      </c>
      <c r="AJ5" s="28" t="str">
        <f>IFERROR(__xludf.DUMMYFUNCTION("""COMPUTED_VALUE"""),"SettleByBroker")</f>
        <v>SettleByBroker</v>
      </c>
      <c r="AK5" s="28" t="str">
        <f>IFERROR(__xludf.DUMMYFUNCTION("""COMPUTED_VALUE"""),"Account")</f>
        <v>Account</v>
      </c>
      <c r="AL5" s="28" t="str">
        <f>IFERROR(__xludf.DUMMYFUNCTION("""COMPUTED_VALUE"""),"Account %")</f>
        <v>Account %</v>
      </c>
      <c r="AM5" s="28" t="str">
        <f>IFERROR(__xludf.DUMMYFUNCTION("""COMPUTED_VALUE"""),"Deal In")</f>
        <v>Deal In</v>
      </c>
      <c r="AN5" s="28" t="str">
        <f>IFERROR(__xludf.DUMMYFUNCTION("""COMPUTED_VALUE"""),"ChkBoxBookAsSwap")</f>
        <v>ChkBoxBookAsSwap</v>
      </c>
      <c r="AO5" s="28" t="str">
        <f>IFERROR(__xludf.DUMMYFUNCTION("""COMPUTED_VALUE"""),"")</f>
        <v/>
      </c>
      <c r="AP5" s="28" t="str">
        <f>IFERROR(__xludf.DUMMYFUNCTION("""COMPUTED_VALUE"""),"")</f>
        <v/>
      </c>
      <c r="AQ5" s="28" t="str">
        <f>IFERROR(__xludf.DUMMYFUNCTION("""COMPUTED_VALUE"""),"")</f>
        <v/>
      </c>
      <c r="AR5" s="28" t="str">
        <f>IFERROR(__xludf.DUMMYFUNCTION("""COMPUTED_VALUE"""),"")</f>
        <v/>
      </c>
      <c r="AS5" s="28" t="str">
        <f>IFERROR(__xludf.DUMMYFUNCTION("""COMPUTED_VALUE"""),"")</f>
        <v/>
      </c>
      <c r="AT5" s="28" t="str">
        <f>IFERROR(__xludf.DUMMYFUNCTION("""COMPUTED_VALUE"""),"")</f>
        <v/>
      </c>
      <c r="AU5" s="28" t="str">
        <f>IFERROR(__xludf.DUMMYFUNCTION("""COMPUTED_VALUE"""),"")</f>
        <v/>
      </c>
      <c r="AV5" s="28" t="str">
        <f>IFERROR(__xludf.DUMMYFUNCTION("""COMPUTED_VALUE"""),"")</f>
        <v/>
      </c>
      <c r="AW5" s="28" t="str">
        <f>IFERROR(__xludf.DUMMYFUNCTION("""COMPUTED_VALUE"""),"")</f>
        <v/>
      </c>
      <c r="AX5" s="28" t="str">
        <f>IFERROR(__xludf.DUMMYFUNCTION("""COMPUTED_VALUE"""),"")</f>
        <v/>
      </c>
      <c r="AY5" s="28" t="str">
        <f>IFERROR(__xludf.DUMMYFUNCTION("""COMPUTED_VALUE"""),"")</f>
        <v/>
      </c>
      <c r="AZ5" s="28" t="str">
        <f>IFERROR(__xludf.DUMMYFUNCTION("""COMPUTED_VALUE"""),"")</f>
        <v/>
      </c>
      <c r="BA5" s="28" t="str">
        <f>IFERROR(__xludf.DUMMYFUNCTION("""COMPUTED_VALUE"""),"")</f>
        <v/>
      </c>
      <c r="BB5" s="28" t="str">
        <f>IFERROR(__xludf.DUMMYFUNCTION("""COMPUTED_VALUE"""),"")</f>
        <v/>
      </c>
      <c r="BC5" s="28" t="str">
        <f>IFERROR(__xludf.DUMMYFUNCTION("""COMPUTED_VALUE"""),"")</f>
        <v/>
      </c>
      <c r="BD5" s="28" t="str">
        <f>IFERROR(__xludf.DUMMYFUNCTION("""COMPUTED_VALUE"""),"")</f>
        <v/>
      </c>
      <c r="BE5" s="28" t="str">
        <f>IFERROR(__xludf.DUMMYFUNCTION("""COMPUTED_VALUE"""),"")</f>
        <v/>
      </c>
      <c r="BF5" s="28" t="str">
        <f>IFERROR(__xludf.DUMMYFUNCTION("""COMPUTED_VALUE"""),"")</f>
        <v/>
      </c>
      <c r="BG5" s="28" t="str">
        <f>IFERROR(__xludf.DUMMYFUNCTION("""COMPUTED_VALUE"""),"")</f>
        <v/>
      </c>
      <c r="BH5" s="28" t="str">
        <f>IFERROR(__xludf.DUMMYFUNCTION("""COMPUTED_VALUE"""),"")</f>
        <v/>
      </c>
      <c r="BI5" s="28" t="str">
        <f>IFERROR(__xludf.DUMMYFUNCTION("""COMPUTED_VALUE"""),"")</f>
        <v/>
      </c>
      <c r="BJ5" s="28" t="str">
        <f>IFERROR(__xludf.DUMMYFUNCTION("""COMPUTED_VALUE"""),"")</f>
        <v/>
      </c>
      <c r="BK5" s="28" t="str">
        <f>IFERROR(__xludf.DUMMYFUNCTION("""COMPUTED_VALUE"""),"")</f>
        <v/>
      </c>
      <c r="BL5" s="28" t="str">
        <f>IFERROR(__xludf.DUMMYFUNCTION("""COMPUTED_VALUE"""),"")</f>
        <v/>
      </c>
      <c r="BM5" s="28" t="str">
        <f>IFERROR(__xludf.DUMMYFUNCTION("""COMPUTED_VALUE"""),"")</f>
        <v/>
      </c>
      <c r="BN5" s="28" t="str">
        <f>IFERROR(__xludf.DUMMYFUNCTION("""COMPUTED_VALUE"""),"")</f>
        <v/>
      </c>
      <c r="BO5" s="28" t="str">
        <f>IFERROR(__xludf.DUMMYFUNCTION("""COMPUTED_VALUE"""),"")</f>
        <v/>
      </c>
      <c r="BP5" s="28" t="str">
        <f>IFERROR(__xludf.DUMMYFUNCTION("""COMPUTED_VALUE"""),"")</f>
        <v/>
      </c>
      <c r="BQ5" s="28" t="str">
        <f>IFERROR(__xludf.DUMMYFUNCTION("""COMPUTED_VALUE"""),"")</f>
        <v/>
      </c>
      <c r="BR5" s="28" t="str">
        <f>IFERROR(__xludf.DUMMYFUNCTION("""COMPUTED_VALUE"""),"")</f>
        <v/>
      </c>
      <c r="BS5" s="28" t="str">
        <f>IFERROR(__xludf.DUMMYFUNCTION("""COMPUTED_VALUE"""),"")</f>
        <v/>
      </c>
      <c r="BT5" s="28" t="str">
        <f>IFERROR(__xludf.DUMMYFUNCTION("""COMPUTED_VALUE"""),"")</f>
        <v/>
      </c>
      <c r="BU5" s="28" t="str">
        <f>IFERROR(__xludf.DUMMYFUNCTION("""COMPUTED_VALUE"""),"")</f>
        <v/>
      </c>
      <c r="BV5" s="28" t="str">
        <f>IFERROR(__xludf.DUMMYFUNCTION("""COMPUTED_VALUE"""),"")</f>
        <v/>
      </c>
      <c r="BW5" s="28" t="str">
        <f>IFERROR(__xludf.DUMMYFUNCTION("""COMPUTED_VALUE"""),"")</f>
        <v/>
      </c>
      <c r="BX5" s="28" t="str">
        <f>IFERROR(__xludf.DUMMYFUNCTION("""COMPUTED_VALUE"""),"")</f>
        <v/>
      </c>
      <c r="BY5" s="28" t="str">
        <f>IFERROR(__xludf.DUMMYFUNCTION("""COMPUTED_VALUE"""),"")</f>
        <v/>
      </c>
      <c r="BZ5" s="28" t="str">
        <f>IFERROR(__xludf.DUMMYFUNCTION("""COMPUTED_VALUE"""),"")</f>
        <v/>
      </c>
      <c r="CA5" s="28" t="str">
        <f>IFERROR(__xludf.DUMMYFUNCTION("""COMPUTED_VALUE"""),"")</f>
        <v/>
      </c>
      <c r="CB5" s="28" t="str">
        <f>IFERROR(__xludf.DUMMYFUNCTION("""COMPUTED_VALUE"""),"")</f>
        <v/>
      </c>
      <c r="CC5" s="28" t="str">
        <f>IFERROR(__xludf.DUMMYFUNCTION("""COMPUTED_VALUE"""),"")</f>
        <v/>
      </c>
      <c r="CD5" s="28" t="str">
        <f>IFERROR(__xludf.DUMMYFUNCTION("""COMPUTED_VALUE"""),"")</f>
        <v/>
      </c>
      <c r="CE5" s="28" t="str">
        <f>IFERROR(__xludf.DUMMYFUNCTION("""COMPUTED_VALUE"""),"")</f>
        <v/>
      </c>
      <c r="CF5" s="28" t="str">
        <f>IFERROR(__xludf.DUMMYFUNCTION("""COMPUTED_VALUE"""),"")</f>
        <v/>
      </c>
      <c r="CG5" s="28" t="str">
        <f>IFERROR(__xludf.DUMMYFUNCTION("""COMPUTED_VALUE"""),"")</f>
        <v/>
      </c>
      <c r="CH5" s="28" t="str">
        <f>IFERROR(__xludf.DUMMYFUNCTION("""COMPUTED_VALUE"""),"")</f>
        <v/>
      </c>
      <c r="CI5" s="28" t="str">
        <f>IFERROR(__xludf.DUMMYFUNCTION("""COMPUTED_VALUE"""),"")</f>
        <v/>
      </c>
      <c r="CJ5" s="28" t="str">
        <f>IFERROR(__xludf.DUMMYFUNCTION("""COMPUTED_VALUE"""),"")</f>
        <v/>
      </c>
      <c r="CK5" s="28" t="str">
        <f>IFERROR(__xludf.DUMMYFUNCTION("""COMPUTED_VALUE"""),"")</f>
        <v/>
      </c>
      <c r="CL5" s="28" t="str">
        <f>IFERROR(__xludf.DUMMYFUNCTION("""COMPUTED_VALUE"""),"")</f>
        <v/>
      </c>
      <c r="CM5" s="28" t="str">
        <f>IFERROR(__xludf.DUMMYFUNCTION("""COMPUTED_VALUE"""),"")</f>
        <v/>
      </c>
      <c r="CN5" s="28" t="str">
        <f>IFERROR(__xludf.DUMMYFUNCTION("""COMPUTED_VALUE"""),"")</f>
        <v/>
      </c>
      <c r="CO5" s="28" t="str">
        <f>IFERROR(__xludf.DUMMYFUNCTION("""COMPUTED_VALUE"""),"")</f>
        <v/>
      </c>
      <c r="CP5" s="28" t="str">
        <f>IFERROR(__xludf.DUMMYFUNCTION("""COMPUTED_VALUE"""),"")</f>
        <v/>
      </c>
      <c r="CQ5" s="28" t="str">
        <f>IFERROR(__xludf.DUMMYFUNCTION("""COMPUTED_VALUE"""),"")</f>
        <v/>
      </c>
      <c r="CR5" s="28" t="str">
        <f>IFERROR(__xludf.DUMMYFUNCTION("""COMPUTED_VALUE"""),"")</f>
        <v/>
      </c>
      <c r="CS5" s="28" t="str">
        <f>IFERROR(__xludf.DUMMYFUNCTION("""COMPUTED_VALUE"""),"")</f>
        <v/>
      </c>
      <c r="CT5" s="28" t="str">
        <f>IFERROR(__xludf.DUMMYFUNCTION("""COMPUTED_VALUE"""),"")</f>
        <v/>
      </c>
      <c r="CU5" s="28" t="str">
        <f>IFERROR(__xludf.DUMMYFUNCTION("""COMPUTED_VALUE"""),"")</f>
        <v/>
      </c>
      <c r="CV5" s="28" t="str">
        <f>IFERROR(__xludf.DUMMYFUNCTION("""COMPUTED_VALUE"""),"")</f>
        <v/>
      </c>
      <c r="CW5" s="28" t="str">
        <f>IFERROR(__xludf.DUMMYFUNCTION("""COMPUTED_VALUE"""),"")</f>
        <v/>
      </c>
      <c r="CX5" s="28" t="str">
        <f>IFERROR(__xludf.DUMMYFUNCTION("""COMPUTED_VALUE"""),"")</f>
        <v/>
      </c>
      <c r="CY5" s="28" t="str">
        <f>IFERROR(__xludf.DUMMYFUNCTION("""COMPUTED_VALUE"""),"")</f>
        <v/>
      </c>
      <c r="CZ5" s="28" t="str">
        <f>IFERROR(__xludf.DUMMYFUNCTION("""COMPUTED_VALUE"""),"")</f>
        <v/>
      </c>
      <c r="DA5" s="28" t="str">
        <f>IFERROR(__xludf.DUMMYFUNCTION("""COMPUTED_VALUE"""),"")</f>
        <v/>
      </c>
      <c r="DB5" s="28" t="str">
        <f>IFERROR(__xludf.DUMMYFUNCTION("""COMPUTED_VALUE"""),"")</f>
        <v/>
      </c>
      <c r="DC5" s="28" t="str">
        <f>IFERROR(__xludf.DUMMYFUNCTION("""COMPUTED_VALUE"""),"")</f>
        <v/>
      </c>
      <c r="DD5" s="28" t="str">
        <f>IFERROR(__xludf.DUMMYFUNCTION("""COMPUTED_VALUE"""),"")</f>
        <v/>
      </c>
      <c r="DE5" s="28" t="str">
        <f>IFERROR(__xludf.DUMMYFUNCTION("""COMPUTED_VALUE"""),"")</f>
        <v/>
      </c>
      <c r="DF5" s="28" t="str">
        <f>IFERROR(__xludf.DUMMYFUNCTION("""COMPUTED_VALUE"""),"")</f>
        <v/>
      </c>
      <c r="DG5" s="28" t="str">
        <f>IFERROR(__xludf.DUMMYFUNCTION("""COMPUTED_VALUE"""),"")</f>
        <v/>
      </c>
      <c r="DH5" s="28" t="str">
        <f>IFERROR(__xludf.DUMMYFUNCTION("""COMPUTED_VALUE"""),"")</f>
        <v/>
      </c>
      <c r="DI5" s="28" t="str">
        <f>IFERROR(__xludf.DUMMYFUNCTION("""COMPUTED_VALUE"""),"")</f>
        <v/>
      </c>
      <c r="DJ5" s="28" t="str">
        <f>IFERROR(__xludf.DUMMYFUNCTION("""COMPUTED_VALUE"""),"")</f>
        <v/>
      </c>
      <c r="DK5" s="28" t="str">
        <f>IFERROR(__xludf.DUMMYFUNCTION("""COMPUTED_VALUE"""),"")</f>
        <v/>
      </c>
      <c r="DL5" s="28" t="str">
        <f>IFERROR(__xludf.DUMMYFUNCTION("""COMPUTED_VALUE"""),"")</f>
        <v/>
      </c>
      <c r="DM5" s="28" t="str">
        <f>IFERROR(__xludf.DUMMYFUNCTION("""COMPUTED_VALUE"""),"")</f>
        <v/>
      </c>
      <c r="DN5" s="28" t="str">
        <f>IFERROR(__xludf.DUMMYFUNCTION("""COMPUTED_VALUE"""),"")</f>
        <v/>
      </c>
      <c r="DO5" s="28" t="str">
        <f>IFERROR(__xludf.DUMMYFUNCTION("""COMPUTED_VALUE"""),"")</f>
        <v/>
      </c>
      <c r="DP5" s="28" t="str">
        <f>IFERROR(__xludf.DUMMYFUNCTION("""COMPUTED_VALUE"""),"")</f>
        <v/>
      </c>
      <c r="DQ5" s="28" t="str">
        <f>IFERROR(__xludf.DUMMYFUNCTION("""COMPUTED_VALUE"""),"")</f>
        <v/>
      </c>
      <c r="DR5" s="28" t="str">
        <f>IFERROR(__xludf.DUMMYFUNCTION("""COMPUTED_VALUE"""),"")</f>
        <v/>
      </c>
      <c r="DS5" s="28" t="str">
        <f>IFERROR(__xludf.DUMMYFUNCTION("""COMPUTED_VALUE"""),"")</f>
        <v/>
      </c>
      <c r="DT5" s="28" t="str">
        <f>IFERROR(__xludf.DUMMYFUNCTION("""COMPUTED_VALUE"""),"")</f>
        <v/>
      </c>
      <c r="DU5" s="28" t="str">
        <f>IFERROR(__xludf.DUMMYFUNCTION("""COMPUTED_VALUE"""),"")</f>
        <v/>
      </c>
      <c r="DV5" s="28" t="str">
        <f>IFERROR(__xludf.DUMMYFUNCTION("""COMPUTED_VALUE"""),"")</f>
        <v/>
      </c>
      <c r="DW5" s="28" t="str">
        <f>IFERROR(__xludf.DUMMYFUNCTION("""COMPUTED_VALUE"""),"")</f>
        <v/>
      </c>
      <c r="DX5" s="28" t="str">
        <f>IFERROR(__xludf.DUMMYFUNCTION("""COMPUTED_VALUE"""),"")</f>
        <v/>
      </c>
      <c r="DY5" s="28" t="str">
        <f>IFERROR(__xludf.DUMMYFUNCTION("""COMPUTED_VALUE"""),"")</f>
        <v/>
      </c>
      <c r="DZ5" s="28" t="str">
        <f>IFERROR(__xludf.DUMMYFUNCTION("""COMPUTED_VALUE"""),"")</f>
        <v/>
      </c>
      <c r="EA5" s="28" t="str">
        <f>IFERROR(__xludf.DUMMYFUNCTION("""COMPUTED_VALUE"""),"")</f>
        <v/>
      </c>
      <c r="EB5" s="28" t="str">
        <f>IFERROR(__xludf.DUMMYFUNCTION("""COMPUTED_VALUE"""),"")</f>
        <v/>
      </c>
      <c r="EC5" s="28" t="str">
        <f>IFERROR(__xludf.DUMMYFUNCTION("""COMPUTED_VALUE"""),"")</f>
        <v/>
      </c>
      <c r="ED5" s="28" t="str">
        <f>IFERROR(__xludf.DUMMYFUNCTION("""COMPUTED_VALUE"""),"")</f>
        <v/>
      </c>
      <c r="EE5" s="28" t="str">
        <f>IFERROR(__xludf.DUMMYFUNCTION("""COMPUTED_VALUE"""),"")</f>
        <v/>
      </c>
      <c r="EF5" s="28" t="str">
        <f>IFERROR(__xludf.DUMMYFUNCTION("""COMPUTED_VALUE"""),"")</f>
        <v/>
      </c>
      <c r="EG5" s="28" t="str">
        <f>IFERROR(__xludf.DUMMYFUNCTION("""COMPUTED_VALUE"""),"")</f>
        <v/>
      </c>
      <c r="EH5" s="28" t="str">
        <f>IFERROR(__xludf.DUMMYFUNCTION("""COMPUTED_VALUE"""),"")</f>
        <v/>
      </c>
      <c r="EI5" s="28" t="str">
        <f>IFERROR(__xludf.DUMMYFUNCTION("""COMPUTED_VALUE"""),"")</f>
        <v/>
      </c>
      <c r="EJ5" s="28" t="str">
        <f>IFERROR(__xludf.DUMMYFUNCTION("""COMPUTED_VALUE"""),"")</f>
        <v/>
      </c>
      <c r="EK5" s="28" t="str">
        <f>IFERROR(__xludf.DUMMYFUNCTION("""COMPUTED_VALUE"""),"")</f>
        <v/>
      </c>
      <c r="EL5" s="28" t="str">
        <f>IFERROR(__xludf.DUMMYFUNCTION("""COMPUTED_VALUE"""),"")</f>
        <v/>
      </c>
      <c r="EM5" s="28" t="str">
        <f>IFERROR(__xludf.DUMMYFUNCTION("""COMPUTED_VALUE"""),"")</f>
        <v/>
      </c>
      <c r="EN5" s="28" t="str">
        <f>IFERROR(__xludf.DUMMYFUNCTION("""COMPUTED_VALUE"""),"")</f>
        <v/>
      </c>
      <c r="EO5" s="28" t="str">
        <f>IFERROR(__xludf.DUMMYFUNCTION("""COMPUTED_VALUE"""),"")</f>
        <v/>
      </c>
      <c r="EP5" s="28" t="str">
        <f>IFERROR(__xludf.DUMMYFUNCTION("""COMPUTED_VALUE"""),"")</f>
        <v/>
      </c>
      <c r="EQ5" s="28" t="str">
        <f>IFERROR(__xludf.DUMMYFUNCTION("""COMPUTED_VALUE"""),"")</f>
        <v/>
      </c>
      <c r="ER5" s="28" t="str">
        <f>IFERROR(__xludf.DUMMYFUNCTION("""COMPUTED_VALUE"""),"")</f>
        <v/>
      </c>
      <c r="ES5" s="28" t="str">
        <f>IFERROR(__xludf.DUMMYFUNCTION("""COMPUTED_VALUE"""),"")</f>
        <v/>
      </c>
      <c r="ET5" s="28" t="str">
        <f>IFERROR(__xludf.DUMMYFUNCTION("""COMPUTED_VALUE"""),"")</f>
        <v/>
      </c>
      <c r="EU5" s="28" t="str">
        <f>IFERROR(__xludf.DUMMYFUNCTION("""COMPUTED_VALUE"""),"")</f>
        <v/>
      </c>
      <c r="EV5" s="28" t="str">
        <f>IFERROR(__xludf.DUMMYFUNCTION("""COMPUTED_VALUE"""),"")</f>
        <v/>
      </c>
      <c r="EW5" s="28" t="str">
        <f>IFERROR(__xludf.DUMMYFUNCTION("""COMPUTED_VALUE"""),"")</f>
        <v/>
      </c>
      <c r="EX5" s="28" t="str">
        <f>IFERROR(__xludf.DUMMYFUNCTION("""COMPUTED_VALUE"""),"")</f>
        <v/>
      </c>
    </row>
    <row r="6" ht="15.75" customHeight="1">
      <c r="A6" s="15"/>
      <c r="B6" s="32" t="s">
        <v>18</v>
      </c>
      <c r="C6" s="33" t="s">
        <v>19</v>
      </c>
      <c r="D6" s="34">
        <v>100.0</v>
      </c>
      <c r="E6" s="31"/>
      <c r="F6" s="33" t="s">
        <v>20</v>
      </c>
      <c r="G6" s="7"/>
      <c r="H6" s="7"/>
      <c r="I6" s="7"/>
      <c r="J6" s="35">
        <v>6.0</v>
      </c>
      <c r="K6" s="7"/>
      <c r="L6" s="7"/>
      <c r="M6" s="7"/>
      <c r="N6" s="36">
        <f t="shared" ref="N6:N8" si="1">Today()-2</f>
        <v>43661</v>
      </c>
      <c r="O6" s="35">
        <v>7.85</v>
      </c>
      <c r="R6" s="37" t="s">
        <v>21</v>
      </c>
      <c r="S6" s="35">
        <v>12.0</v>
      </c>
    </row>
    <row r="7" ht="15.75" customHeight="1">
      <c r="A7" s="7"/>
      <c r="B7" s="33" t="s">
        <v>22</v>
      </c>
      <c r="C7" s="33" t="s">
        <v>23</v>
      </c>
      <c r="D7" s="35">
        <v>100.0</v>
      </c>
      <c r="E7" s="7"/>
      <c r="F7" s="33" t="s">
        <v>24</v>
      </c>
      <c r="G7" s="7"/>
      <c r="H7" s="7"/>
      <c r="I7" s="7"/>
      <c r="J7" s="35">
        <v>30.0</v>
      </c>
      <c r="K7" s="7"/>
      <c r="L7" s="7"/>
      <c r="M7" s="7"/>
      <c r="N7" s="38">
        <f t="shared" si="1"/>
        <v>43661</v>
      </c>
      <c r="O7" s="33"/>
      <c r="R7" s="37" t="s">
        <v>21</v>
      </c>
      <c r="S7" s="35">
        <v>50.0</v>
      </c>
    </row>
    <row r="8" ht="15.75" customHeight="1">
      <c r="A8" s="7"/>
      <c r="B8" s="33" t="s">
        <v>18</v>
      </c>
      <c r="C8" s="33" t="s">
        <v>19</v>
      </c>
      <c r="D8" s="35">
        <v>50.0</v>
      </c>
      <c r="E8" s="7"/>
      <c r="F8" s="33" t="s">
        <v>20</v>
      </c>
      <c r="G8" s="7"/>
      <c r="H8" s="7"/>
      <c r="I8" s="7"/>
      <c r="J8" s="35">
        <v>6.5</v>
      </c>
      <c r="K8" s="7"/>
      <c r="L8" s="7"/>
      <c r="M8" s="7"/>
      <c r="N8" s="36">
        <f t="shared" si="1"/>
        <v>43661</v>
      </c>
      <c r="O8" s="35">
        <v>7.85</v>
      </c>
      <c r="R8" s="37" t="s">
        <v>21</v>
      </c>
      <c r="S8" s="35">
        <v>10.0</v>
      </c>
    </row>
    <row r="9" ht="15.75" customHeight="1">
      <c r="A9" s="7"/>
      <c r="B9" s="33" t="s">
        <v>18</v>
      </c>
      <c r="C9" s="33" t="s">
        <v>25</v>
      </c>
      <c r="D9" s="35">
        <v>100.0</v>
      </c>
      <c r="E9" s="7"/>
      <c r="F9" s="33" t="s">
        <v>20</v>
      </c>
      <c r="G9" s="7"/>
      <c r="H9" s="7"/>
      <c r="I9" s="7"/>
      <c r="J9" s="35">
        <v>7.0</v>
      </c>
      <c r="K9" s="7"/>
      <c r="L9" s="7"/>
      <c r="M9" s="7"/>
      <c r="N9" s="36">
        <f t="shared" ref="N9:N10" si="2">Today()-1</f>
        <v>43662</v>
      </c>
      <c r="O9" s="35">
        <v>7.85</v>
      </c>
      <c r="R9" s="37" t="s">
        <v>21</v>
      </c>
      <c r="S9" s="35">
        <v>23.0</v>
      </c>
    </row>
    <row r="10" ht="15.75" customHeight="1">
      <c r="A10" s="7"/>
      <c r="B10" s="33" t="s">
        <v>22</v>
      </c>
      <c r="C10" s="33" t="s">
        <v>25</v>
      </c>
      <c r="D10" s="35">
        <v>100.0</v>
      </c>
      <c r="E10" s="7"/>
      <c r="F10" s="39" t="s">
        <v>24</v>
      </c>
      <c r="G10" s="7"/>
      <c r="H10" s="7"/>
      <c r="I10" s="7"/>
      <c r="J10" s="35">
        <v>31.0</v>
      </c>
      <c r="K10" s="7"/>
      <c r="L10" s="7"/>
      <c r="M10" s="7"/>
      <c r="N10" s="38">
        <f t="shared" si="2"/>
        <v>43662</v>
      </c>
      <c r="O10" s="33"/>
      <c r="R10" s="37" t="s">
        <v>21</v>
      </c>
      <c r="S10" s="35">
        <v>15.0</v>
      </c>
    </row>
    <row r="11" ht="15.75" customHeight="1">
      <c r="A11" s="7"/>
      <c r="B11" s="7"/>
      <c r="C11" s="7"/>
      <c r="D11" s="7"/>
      <c r="E11" s="7"/>
      <c r="F11" s="7"/>
      <c r="G11" s="7"/>
      <c r="H11" s="7"/>
      <c r="I11" s="7"/>
      <c r="J11" s="7"/>
      <c r="K11" s="7"/>
      <c r="L11" s="7"/>
      <c r="M11" s="7"/>
      <c r="N11" s="7"/>
      <c r="O11" s="7"/>
    </row>
    <row r="12" ht="15.75" customHeight="1">
      <c r="A12" s="7"/>
      <c r="B12" s="7"/>
      <c r="C12" s="7"/>
      <c r="D12" s="7"/>
      <c r="E12" s="7"/>
      <c r="F12" s="7"/>
      <c r="G12" s="7"/>
      <c r="H12" s="7"/>
      <c r="I12" s="7"/>
      <c r="J12" s="7"/>
      <c r="K12" s="7"/>
      <c r="L12" s="7"/>
      <c r="M12" s="7"/>
      <c r="N12" s="7"/>
      <c r="O12" s="7"/>
    </row>
    <row r="13" ht="15.75" customHeight="1">
      <c r="A13" s="7"/>
      <c r="B13" s="7"/>
      <c r="C13" s="7"/>
      <c r="D13" s="7"/>
      <c r="E13" s="7"/>
      <c r="F13" s="7"/>
      <c r="G13" s="7"/>
      <c r="H13" s="7"/>
      <c r="I13" s="7"/>
      <c r="J13" s="7"/>
      <c r="K13" s="7"/>
      <c r="L13" s="7"/>
      <c r="M13" s="7"/>
      <c r="N13" s="7"/>
      <c r="O13" s="7"/>
    </row>
    <row r="14" ht="15.75" customHeight="1">
      <c r="A14" s="7"/>
      <c r="B14" s="7"/>
      <c r="C14" s="7"/>
      <c r="D14" s="7"/>
      <c r="E14" s="7"/>
      <c r="F14" s="7"/>
      <c r="G14" s="7"/>
      <c r="H14" s="7"/>
      <c r="I14" s="7"/>
      <c r="J14" s="7"/>
      <c r="K14" s="7"/>
      <c r="L14" s="7"/>
      <c r="M14" s="7"/>
      <c r="N14" s="7"/>
      <c r="O14" s="7"/>
    </row>
    <row r="15" ht="15.75" customHeight="1">
      <c r="A15" s="7"/>
      <c r="B15" s="7"/>
      <c r="C15" s="7"/>
      <c r="D15" s="7"/>
      <c r="E15" s="7"/>
      <c r="F15" s="7"/>
      <c r="G15" s="7"/>
      <c r="H15" s="7"/>
      <c r="I15" s="7"/>
      <c r="J15" s="7"/>
      <c r="K15" s="7"/>
      <c r="L15" s="7"/>
      <c r="M15" s="7"/>
      <c r="N15" s="7"/>
      <c r="O15" s="7"/>
    </row>
    <row r="16" ht="15.75" customHeight="1">
      <c r="A16" s="7"/>
      <c r="B16" s="7"/>
      <c r="C16" s="7"/>
      <c r="D16" s="7"/>
      <c r="E16" s="7"/>
      <c r="F16" s="7"/>
      <c r="G16" s="7"/>
      <c r="H16" s="7"/>
      <c r="I16" s="7"/>
      <c r="J16" s="7"/>
      <c r="K16" s="7"/>
      <c r="L16" s="7"/>
      <c r="M16" s="7"/>
      <c r="N16" s="7"/>
      <c r="O16" s="7"/>
    </row>
    <row r="17" ht="15.75" customHeight="1">
      <c r="A17" s="7"/>
      <c r="B17" s="7"/>
      <c r="C17" s="7"/>
      <c r="D17" s="7"/>
      <c r="E17" s="7"/>
      <c r="F17" s="7"/>
      <c r="G17" s="7"/>
      <c r="H17" s="7"/>
      <c r="I17" s="7"/>
      <c r="J17" s="7"/>
      <c r="K17" s="7"/>
      <c r="L17" s="7"/>
      <c r="M17" s="7"/>
      <c r="N17" s="7"/>
      <c r="O17" s="7"/>
    </row>
    <row r="18" ht="15.75" customHeight="1">
      <c r="A18" s="7"/>
      <c r="B18" s="7"/>
      <c r="C18" s="7"/>
      <c r="D18" s="7"/>
      <c r="E18" s="7"/>
      <c r="F18" s="7"/>
      <c r="G18" s="7"/>
      <c r="H18" s="7"/>
      <c r="I18" s="7"/>
      <c r="J18" s="7"/>
      <c r="K18" s="7"/>
      <c r="L18" s="7"/>
      <c r="M18" s="7"/>
      <c r="N18" s="7"/>
      <c r="O18" s="7"/>
    </row>
    <row r="19" ht="15.75" customHeight="1">
      <c r="A19" s="7"/>
      <c r="B19" s="7"/>
      <c r="C19" s="7"/>
      <c r="D19" s="7"/>
      <c r="E19" s="7"/>
      <c r="F19" s="7"/>
      <c r="G19" s="7"/>
      <c r="H19" s="7"/>
      <c r="I19" s="7"/>
      <c r="J19" s="7"/>
      <c r="K19" s="7"/>
      <c r="L19" s="7"/>
      <c r="M19" s="7"/>
      <c r="N19" s="7"/>
      <c r="O19" s="7"/>
    </row>
    <row r="20" ht="15.75" customHeight="1">
      <c r="A20" s="7"/>
      <c r="B20" s="7"/>
      <c r="C20" s="7"/>
      <c r="D20" s="7"/>
      <c r="E20" s="7"/>
      <c r="F20" s="7"/>
      <c r="G20" s="7"/>
      <c r="H20" s="7"/>
      <c r="I20" s="7"/>
      <c r="J20" s="7"/>
      <c r="K20" s="7"/>
      <c r="L20" s="7"/>
      <c r="M20" s="7"/>
      <c r="N20" s="7"/>
      <c r="O20" s="7"/>
    </row>
    <row r="21" ht="15.75" customHeight="1">
      <c r="A21" s="7"/>
      <c r="B21" s="7"/>
      <c r="C21" s="7"/>
      <c r="D21" s="7"/>
      <c r="E21" s="7"/>
      <c r="F21" s="7"/>
      <c r="G21" s="7"/>
      <c r="H21" s="7"/>
      <c r="I21" s="7"/>
      <c r="J21" s="7"/>
      <c r="K21" s="7"/>
      <c r="L21" s="7"/>
      <c r="M21" s="7"/>
      <c r="N21" s="7"/>
      <c r="O21" s="7"/>
    </row>
    <row r="22" ht="15.75" customHeight="1">
      <c r="A22" s="7"/>
      <c r="B22" s="7"/>
      <c r="C22" s="7"/>
      <c r="D22" s="7"/>
      <c r="E22" s="7"/>
      <c r="F22" s="7"/>
      <c r="G22" s="7"/>
      <c r="H22" s="7"/>
      <c r="I22" s="7"/>
      <c r="J22" s="7"/>
      <c r="K22" s="7"/>
      <c r="L22" s="7"/>
      <c r="M22" s="7"/>
      <c r="N22" s="7"/>
      <c r="O22" s="7"/>
    </row>
    <row r="23" ht="15.75" customHeight="1">
      <c r="A23" s="7"/>
      <c r="B23" s="7"/>
      <c r="C23" s="7"/>
      <c r="D23" s="7"/>
      <c r="E23" s="7"/>
      <c r="F23" s="7"/>
      <c r="G23" s="7"/>
      <c r="H23" s="7"/>
      <c r="I23" s="7"/>
      <c r="J23" s="7"/>
      <c r="K23" s="7"/>
      <c r="L23" s="7"/>
      <c r="M23" s="7"/>
      <c r="N23" s="7"/>
      <c r="O23" s="7"/>
    </row>
    <row r="24" ht="15.75" customHeight="1">
      <c r="A24" s="7"/>
      <c r="B24" s="7"/>
      <c r="C24" s="7"/>
      <c r="D24" s="7"/>
      <c r="E24" s="7"/>
      <c r="F24" s="7"/>
      <c r="G24" s="7"/>
      <c r="H24" s="7"/>
      <c r="I24" s="7"/>
      <c r="J24" s="7"/>
      <c r="K24" s="7"/>
      <c r="L24" s="7"/>
      <c r="M24" s="7"/>
      <c r="N24" s="7"/>
      <c r="O24" s="7"/>
    </row>
    <row r="25" ht="15.75" customHeight="1">
      <c r="A25" s="7"/>
      <c r="B25" s="7"/>
      <c r="C25" s="7"/>
      <c r="D25" s="7"/>
      <c r="E25" s="7"/>
      <c r="F25" s="7"/>
      <c r="G25" s="7"/>
      <c r="H25" s="7"/>
      <c r="I25" s="7"/>
      <c r="J25" s="7"/>
      <c r="K25" s="7"/>
      <c r="L25" s="7"/>
      <c r="M25" s="7"/>
      <c r="N25" s="7"/>
      <c r="O25" s="7"/>
    </row>
    <row r="26" ht="15.75" customHeight="1">
      <c r="A26" s="7"/>
      <c r="B26" s="7"/>
      <c r="C26" s="7"/>
      <c r="D26" s="7"/>
      <c r="E26" s="7"/>
      <c r="F26" s="7"/>
      <c r="G26" s="7"/>
      <c r="H26" s="7"/>
      <c r="I26" s="7"/>
      <c r="J26" s="7"/>
      <c r="K26" s="7"/>
      <c r="L26" s="7"/>
      <c r="M26" s="7"/>
      <c r="N26" s="7"/>
      <c r="O26" s="7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CreateDoneAwayOrder!$4:$4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 format for current sheet" sqref="G3">
      <formula1>"Input Format,Output Format"</formula1>
    </dataValidation>
  </dataValidations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7"/>
      <c r="B1" s="2" t="s">
        <v>11</v>
      </c>
      <c r="C1" s="3"/>
      <c r="D1" s="3"/>
      <c r="E1" s="3"/>
      <c r="F1" s="3"/>
      <c r="G1" s="3"/>
      <c r="H1" s="5"/>
      <c r="I1" s="17"/>
      <c r="J1" s="17"/>
      <c r="K1" s="17"/>
      <c r="L1" s="17"/>
      <c r="M1" s="17"/>
      <c r="N1" s="17"/>
      <c r="O1" s="17"/>
      <c r="P1" s="18"/>
      <c r="Q1" s="18"/>
      <c r="R1" s="18"/>
      <c r="S1" s="18"/>
      <c r="T1" s="18"/>
      <c r="U1" s="18"/>
      <c r="V1" s="18"/>
      <c r="W1" s="18"/>
      <c r="X1" s="18"/>
      <c r="Y1" s="18"/>
      <c r="Z1" s="18"/>
      <c r="AA1" s="18"/>
      <c r="AB1" s="18"/>
      <c r="AC1" s="18"/>
      <c r="AD1" s="18"/>
      <c r="AE1" s="18"/>
      <c r="AF1" s="18"/>
      <c r="AG1" s="18"/>
      <c r="AH1" s="18"/>
      <c r="AI1" s="18"/>
      <c r="AJ1" s="18"/>
      <c r="AK1" s="18"/>
      <c r="AL1" s="18"/>
      <c r="AM1" s="18"/>
      <c r="AN1" s="18"/>
      <c r="AO1" s="18"/>
      <c r="AP1" s="18"/>
      <c r="AQ1" s="18"/>
      <c r="AR1" s="18"/>
      <c r="AS1" s="18"/>
      <c r="AT1" s="18"/>
      <c r="AU1" s="18"/>
      <c r="AV1" s="18"/>
      <c r="AW1" s="18"/>
      <c r="AX1" s="18"/>
      <c r="AY1" s="18"/>
      <c r="AZ1" s="18"/>
      <c r="BA1" s="18"/>
      <c r="BB1" s="18"/>
      <c r="BC1" s="18"/>
      <c r="BD1" s="18"/>
      <c r="BE1" s="18"/>
      <c r="BF1" s="18"/>
      <c r="BG1" s="18"/>
      <c r="BH1" s="18"/>
      <c r="BI1" s="18"/>
      <c r="BJ1" s="18"/>
      <c r="BK1" s="18"/>
      <c r="BL1" s="18"/>
      <c r="BM1" s="18"/>
      <c r="BN1" s="18"/>
      <c r="BO1" s="18"/>
      <c r="BP1" s="18"/>
      <c r="BQ1" s="18"/>
      <c r="BR1" s="18"/>
      <c r="BS1" s="18"/>
      <c r="BT1" s="18"/>
      <c r="BU1" s="18"/>
      <c r="BV1" s="18"/>
      <c r="BW1" s="18"/>
      <c r="BX1" s="18"/>
      <c r="BY1" s="18"/>
      <c r="BZ1" s="18"/>
      <c r="CA1" s="18"/>
      <c r="CB1" s="18"/>
      <c r="CC1" s="18"/>
      <c r="CD1" s="18"/>
      <c r="CE1" s="18"/>
      <c r="CF1" s="18"/>
      <c r="CG1" s="18"/>
      <c r="CH1" s="18"/>
      <c r="CI1" s="18"/>
      <c r="CJ1" s="18"/>
      <c r="CK1" s="18"/>
      <c r="CL1" s="18"/>
      <c r="CM1" s="18"/>
      <c r="CN1" s="18"/>
      <c r="CO1" s="18"/>
      <c r="CP1" s="18"/>
      <c r="CQ1" s="18"/>
      <c r="CR1" s="18"/>
      <c r="CS1" s="18"/>
      <c r="CT1" s="18"/>
      <c r="CU1" s="18"/>
      <c r="CV1" s="18"/>
      <c r="CW1" s="18"/>
      <c r="CX1" s="18"/>
      <c r="CY1" s="18"/>
      <c r="CZ1" s="18"/>
      <c r="DA1" s="18"/>
      <c r="DB1" s="18"/>
      <c r="DC1" s="18"/>
      <c r="DD1" s="18"/>
      <c r="DE1" s="18"/>
      <c r="DF1" s="18"/>
      <c r="DG1" s="18"/>
      <c r="DH1" s="18"/>
      <c r="DI1" s="18"/>
      <c r="DJ1" s="18"/>
      <c r="DK1" s="18"/>
      <c r="DL1" s="18"/>
      <c r="DM1" s="18"/>
      <c r="DN1" s="18"/>
      <c r="DO1" s="18"/>
      <c r="DP1" s="18"/>
      <c r="DQ1" s="18"/>
      <c r="DR1" s="18"/>
      <c r="DS1" s="18"/>
      <c r="DT1" s="18"/>
      <c r="DU1" s="18"/>
      <c r="DV1" s="18"/>
      <c r="DW1" s="18"/>
      <c r="DX1" s="18"/>
      <c r="DY1" s="18"/>
      <c r="DZ1" s="18"/>
      <c r="EA1" s="18"/>
      <c r="EB1" s="18"/>
      <c r="EC1" s="18"/>
      <c r="ED1" s="18"/>
      <c r="EE1" s="18"/>
      <c r="EF1" s="18"/>
      <c r="EG1" s="18"/>
      <c r="EH1" s="18"/>
      <c r="EI1" s="18"/>
      <c r="EJ1" s="18"/>
      <c r="EK1" s="18"/>
      <c r="EL1" s="18"/>
      <c r="EM1" s="18"/>
      <c r="EN1" s="18"/>
      <c r="EO1" s="18"/>
      <c r="EP1" s="18"/>
      <c r="EQ1" s="18"/>
      <c r="ER1" s="18"/>
      <c r="ES1" s="18"/>
      <c r="ET1" s="18"/>
      <c r="EU1" s="18"/>
      <c r="EV1" s="18"/>
      <c r="EW1" s="18"/>
      <c r="EX1" s="18"/>
    </row>
    <row r="2" ht="15.75" customHeight="1">
      <c r="A2" s="7"/>
      <c r="B2" s="7"/>
      <c r="C2" s="7"/>
      <c r="D2" s="7"/>
      <c r="E2" s="7"/>
      <c r="F2" s="7"/>
      <c r="G2" s="7"/>
      <c r="H2" s="7"/>
      <c r="I2" s="7"/>
      <c r="J2" s="19" t="str">
        <f> VLOOKUP($E$3,'_MasterData'!B4:D1000,3,FALSE)</f>
        <v>#N/A</v>
      </c>
      <c r="K2" s="19"/>
      <c r="L2" s="7"/>
      <c r="M2" s="7"/>
      <c r="N2" s="7"/>
      <c r="O2" s="7"/>
    </row>
    <row r="3" ht="15.75" customHeight="1">
      <c r="A3" s="20"/>
      <c r="B3" s="9" t="s">
        <v>3</v>
      </c>
      <c r="C3" s="21" t="s">
        <v>12</v>
      </c>
      <c r="D3" s="9" t="s">
        <v>6</v>
      </c>
      <c r="E3" s="21" t="s">
        <v>14</v>
      </c>
      <c r="F3" s="9" t="s">
        <v>15</v>
      </c>
      <c r="G3" s="16" t="s">
        <v>17</v>
      </c>
      <c r="H3" s="9"/>
      <c r="I3" s="20"/>
      <c r="J3" s="20"/>
      <c r="K3" s="20"/>
      <c r="L3" s="20"/>
      <c r="M3" s="20"/>
      <c r="N3" s="20"/>
      <c r="O3" s="20"/>
      <c r="P3" s="22"/>
      <c r="Q3" s="22"/>
      <c r="R3" s="22"/>
      <c r="S3" s="22"/>
      <c r="T3" s="22"/>
      <c r="U3" s="22"/>
      <c r="V3" s="22"/>
      <c r="W3" s="22"/>
      <c r="X3" s="22"/>
      <c r="Y3" s="22"/>
      <c r="Z3" s="22"/>
      <c r="AA3" s="22"/>
      <c r="AB3" s="22"/>
      <c r="AC3" s="22"/>
      <c r="AD3" s="22"/>
      <c r="AE3" s="22"/>
      <c r="AF3" s="22"/>
      <c r="AG3" s="22"/>
      <c r="AH3" s="22"/>
      <c r="AI3" s="22"/>
      <c r="AJ3" s="22"/>
      <c r="AK3" s="22"/>
      <c r="AL3" s="22"/>
      <c r="AM3" s="22"/>
      <c r="AN3" s="22"/>
      <c r="AO3" s="22"/>
      <c r="AP3" s="22"/>
      <c r="AQ3" s="22"/>
      <c r="AR3" s="22"/>
      <c r="AS3" s="22"/>
      <c r="AT3" s="22"/>
      <c r="AU3" s="22"/>
      <c r="AV3" s="22"/>
      <c r="AW3" s="22"/>
      <c r="AX3" s="22"/>
      <c r="AY3" s="22"/>
      <c r="AZ3" s="22"/>
      <c r="BA3" s="22"/>
      <c r="BB3" s="22"/>
      <c r="BC3" s="22"/>
      <c r="BD3" s="22"/>
      <c r="BE3" s="22"/>
      <c r="BF3" s="22"/>
      <c r="BG3" s="22"/>
      <c r="BH3" s="22"/>
      <c r="BI3" s="22"/>
      <c r="BJ3" s="22"/>
      <c r="BK3" s="22"/>
      <c r="BL3" s="22"/>
      <c r="BM3" s="22"/>
      <c r="BN3" s="22"/>
      <c r="BO3" s="22"/>
      <c r="BP3" s="22"/>
      <c r="BQ3" s="22"/>
      <c r="BR3" s="22"/>
      <c r="BS3" s="22"/>
      <c r="BT3" s="22"/>
      <c r="BU3" s="22"/>
      <c r="BV3" s="22"/>
      <c r="BW3" s="22"/>
      <c r="BX3" s="22"/>
      <c r="BY3" s="22"/>
      <c r="BZ3" s="22"/>
      <c r="CA3" s="22"/>
      <c r="CB3" s="22"/>
      <c r="CC3" s="22"/>
      <c r="CD3" s="22"/>
      <c r="CE3" s="22"/>
      <c r="CF3" s="22"/>
      <c r="CG3" s="22"/>
      <c r="CH3" s="22"/>
      <c r="CI3" s="22"/>
      <c r="CJ3" s="22"/>
      <c r="CK3" s="22"/>
      <c r="CL3" s="22"/>
      <c r="CM3" s="22"/>
      <c r="CN3" s="22"/>
      <c r="CO3" s="22"/>
      <c r="CP3" s="22"/>
      <c r="CQ3" s="22"/>
      <c r="CR3" s="22"/>
      <c r="CS3" s="22"/>
      <c r="CT3" s="22"/>
      <c r="CU3" s="22"/>
      <c r="CV3" s="22"/>
      <c r="CW3" s="22"/>
      <c r="CX3" s="22"/>
      <c r="CY3" s="22"/>
      <c r="CZ3" s="22"/>
      <c r="DA3" s="22"/>
      <c r="DB3" s="22"/>
      <c r="DC3" s="22"/>
      <c r="DD3" s="22"/>
      <c r="DE3" s="22"/>
      <c r="DF3" s="22"/>
      <c r="DG3" s="22"/>
      <c r="DH3" s="22"/>
      <c r="DI3" s="22"/>
      <c r="DJ3" s="22"/>
      <c r="DK3" s="22"/>
      <c r="DL3" s="22"/>
      <c r="DM3" s="22"/>
      <c r="DN3" s="22"/>
      <c r="DO3" s="22"/>
      <c r="DP3" s="22"/>
      <c r="DQ3" s="22"/>
      <c r="DR3" s="22"/>
      <c r="DS3" s="22"/>
      <c r="DT3" s="22"/>
      <c r="DU3" s="22"/>
      <c r="DV3" s="22"/>
      <c r="DW3" s="22"/>
      <c r="DX3" s="22"/>
      <c r="DY3" s="22"/>
      <c r="DZ3" s="22"/>
      <c r="EA3" s="22"/>
      <c r="EB3" s="22"/>
      <c r="EC3" s="22"/>
      <c r="ED3" s="22"/>
      <c r="EE3" s="22"/>
      <c r="EF3" s="22"/>
      <c r="EG3" s="22"/>
      <c r="EH3" s="22"/>
      <c r="EI3" s="22"/>
      <c r="EJ3" s="22"/>
      <c r="EK3" s="22"/>
      <c r="EL3" s="22"/>
      <c r="EM3" s="22"/>
      <c r="EN3" s="22"/>
      <c r="EO3" s="22"/>
      <c r="EP3" s="22"/>
      <c r="EQ3" s="22"/>
      <c r="ER3" s="22"/>
      <c r="ES3" s="22"/>
      <c r="ET3" s="22"/>
      <c r="EU3" s="22"/>
      <c r="EV3" s="22"/>
      <c r="EW3" s="22"/>
      <c r="EX3" s="22"/>
    </row>
    <row r="4" ht="15.75" customHeight="1">
      <c r="A4" s="23"/>
      <c r="B4" s="23" t="str">
        <f>IFERROR(__xludf.DUMMYFUNCTION("IF(C3="""","""",Transpose(IMPORTRANGE('_Settings'!$B$3,C3&amp;""!A4:A1000"")))"),"UpdateBeta")</f>
        <v>UpdateBeta</v>
      </c>
      <c r="C4" s="23" t="str">
        <f>IFERROR(__xludf.DUMMYFUNCTION("""COMPUTED_VALUE"""),"UpdateDailyCash")</f>
        <v>UpdateDailyCash</v>
      </c>
      <c r="D4" s="23" t="str">
        <f>IFERROR(__xludf.DUMMYFUNCTION("""COMPUTED_VALUE"""),"UpdateForexConversion")</f>
        <v>UpdateForexConversion</v>
      </c>
      <c r="E4" s="23" t="str">
        <f>IFERROR(__xludf.DUMMYFUNCTION("""COMPUTED_VALUE"""),"UpdateMarkPrice")</f>
        <v>UpdateMarkPrice</v>
      </c>
      <c r="F4" s="23" t="str">
        <f>IFERROR(__xludf.DUMMYFUNCTION("""COMPUTED_VALUE"""),"CleanUp")</f>
        <v>CleanUp</v>
      </c>
      <c r="G4" s="23" t="str">
        <f>IFERROR(__xludf.DUMMYFUNCTION("""COMPUTED_VALUE"""),"GetMarkPriceData")</f>
        <v>GetMarkPriceData</v>
      </c>
      <c r="H4" s="23" t="str">
        <f>IFERROR(__xludf.DUMMYFUNCTION("""COMPUTED_VALUE"""),"GetForwardPoints")</f>
        <v>GetForwardPoints</v>
      </c>
      <c r="I4" s="23" t="str">
        <f>IFERROR(__xludf.DUMMYFUNCTION("""COMPUTED_VALUE"""),"UpdateForwardPoints")</f>
        <v>UpdateForwardPoints</v>
      </c>
      <c r="J4" s="23" t="str">
        <f>IFERROR(__xludf.DUMMYFUNCTION("""COMPUTED_VALUE"""),"GetForexConversion")</f>
        <v>GetForexConversion</v>
      </c>
      <c r="K4" s="23" t="str">
        <f>IFERROR(__xludf.DUMMYFUNCTION("""COMPUTED_VALUE"""),"DeleteNAV")</f>
        <v>DeleteNAV</v>
      </c>
      <c r="L4" s="23" t="str">
        <f>IFERROR(__xludf.DUMMYFUNCTION("""COMPUTED_VALUE"""),"GetDailyCash")</f>
        <v>GetDailyCash</v>
      </c>
      <c r="M4" s="23" t="str">
        <f>IFERROR(__xludf.DUMMYFUNCTION("""COMPUTED_VALUE"""),"GetDailyBeta")</f>
        <v>GetDailyBeta</v>
      </c>
      <c r="N4" s="23" t="str">
        <f>IFERROR(__xludf.DUMMYFUNCTION("""COMPUTED_VALUE"""),"GetDailyVolatility")</f>
        <v>GetDailyVolatility</v>
      </c>
      <c r="O4" s="23" t="str">
        <f>IFERROR(__xludf.DUMMYFUNCTION("""COMPUTED_VALUE"""),"GetDailyDividendYield")</f>
        <v>GetDailyDividendYield</v>
      </c>
      <c r="P4" s="24" t="str">
        <f>IFERROR(__xludf.DUMMYFUNCTION("""COMPUTED_VALUE"""),"GetDailyTradingVolume")</f>
        <v>GetDailyTradingVolume</v>
      </c>
      <c r="Q4" s="24" t="str">
        <f>IFERROR(__xludf.DUMMYFUNCTION("""COMPUTED_VALUE"""),"GetDailyOutstandings")</f>
        <v>GetDailyOutstandings</v>
      </c>
      <c r="R4" s="24" t="str">
        <f>IFERROR(__xludf.DUMMYFUNCTION("""COMPUTED_VALUE"""),"GetDailyDelta")</f>
        <v>GetDailyDelta</v>
      </c>
      <c r="S4" s="24" t="str">
        <f>IFERROR(__xludf.DUMMYFUNCTION("""COMPUTED_VALUE"""),"UpdateDailyVolatility")</f>
        <v>UpdateDailyVolatility</v>
      </c>
      <c r="T4" s="24" t="str">
        <f>IFERROR(__xludf.DUMMYFUNCTION("""COMPUTED_VALUE"""),"UpdateDividendYield")</f>
        <v>UpdateDividendYield</v>
      </c>
      <c r="U4" s="24" t="str">
        <f>IFERROR(__xludf.DUMMYFUNCTION("""COMPUTED_VALUE"""),"UpdateTradingVolume")</f>
        <v>UpdateTradingVolume</v>
      </c>
      <c r="V4" s="24" t="str">
        <f>IFERROR(__xludf.DUMMYFUNCTION("""COMPUTED_VALUE"""),"UpdateDailyDelta")</f>
        <v>UpdateDailyDelta</v>
      </c>
      <c r="W4" s="24" t="str">
        <f>IFERROR(__xludf.DUMMYFUNCTION("""COMPUTED_VALUE"""),"UpdateDailyOutstandings")</f>
        <v>UpdateDailyOutstandings</v>
      </c>
      <c r="X4" s="24" t="str">
        <f>IFERROR(__xludf.DUMMYFUNCTION("""COMPUTED_VALUE"""),"UpdateBeta")</f>
        <v>UpdateBeta</v>
      </c>
      <c r="Y4" s="24" t="str">
        <f>IFERROR(__xludf.DUMMYFUNCTION("""COMPUTED_VALUE"""),"UpdateNAV")</f>
        <v>UpdateNAV</v>
      </c>
      <c r="Z4" s="24" t="str">
        <f>IFERROR(__xludf.DUMMYFUNCTION("""COMPUTED_VALUE"""),"UpdateDailyCash")</f>
        <v>UpdateDailyCash</v>
      </c>
      <c r="AA4" s="24" t="str">
        <f>IFERROR(__xludf.DUMMYFUNCTION("""COMPUTED_VALUE"""),"UpdateDailyCreditLimt")</f>
        <v>UpdateDailyCreditLimt</v>
      </c>
      <c r="AB4" s="24" t="str">
        <f>IFERROR(__xludf.DUMMYFUNCTION("""COMPUTED_VALUE"""),"RemoveDailyCreditLimit")</f>
        <v>RemoveDailyCreditLimit</v>
      </c>
      <c r="AC4" s="24" t="str">
        <f>IFERROR(__xludf.DUMMYFUNCTION("""COMPUTED_VALUE"""),"RemoveDailyCash")</f>
        <v>RemoveDailyCash</v>
      </c>
      <c r="AD4" s="24" t="str">
        <f>IFERROR(__xludf.DUMMYFUNCTION("""COMPUTED_VALUE"""),"RemoveNAV")</f>
        <v>RemoveNAV</v>
      </c>
      <c r="AE4" s="24" t="str">
        <f>IFERROR(__xludf.DUMMYFUNCTION("""COMPUTED_VALUE"""),"UpdateForexConversionMonthly")</f>
        <v>UpdateForexConversionMonthly</v>
      </c>
      <c r="AF4" s="24" t="str">
        <f>IFERROR(__xludf.DUMMYFUNCTION("""COMPUTED_VALUE"""),"UpdateMarkPriceMonthly")</f>
        <v>UpdateMarkPriceMonthly</v>
      </c>
      <c r="AG4" s="24" t="str">
        <f>IFERROR(__xludf.DUMMYFUNCTION("""COMPUTED_VALUE"""),"")</f>
        <v/>
      </c>
      <c r="AH4" s="24" t="str">
        <f>IFERROR(__xludf.DUMMYFUNCTION("""COMPUTED_VALUE"""),"")</f>
        <v/>
      </c>
      <c r="AI4" s="24" t="str">
        <f>IFERROR(__xludf.DUMMYFUNCTION("""COMPUTED_VALUE"""),"")</f>
        <v/>
      </c>
      <c r="AJ4" s="24" t="str">
        <f>IFERROR(__xludf.DUMMYFUNCTION("""COMPUTED_VALUE"""),"")</f>
        <v/>
      </c>
      <c r="AK4" s="24" t="str">
        <f>IFERROR(__xludf.DUMMYFUNCTION("""COMPUTED_VALUE"""),"")</f>
        <v/>
      </c>
      <c r="AL4" s="24" t="str">
        <f>IFERROR(__xludf.DUMMYFUNCTION("""COMPUTED_VALUE"""),"")</f>
        <v/>
      </c>
      <c r="AM4" s="24" t="str">
        <f>IFERROR(__xludf.DUMMYFUNCTION("""COMPUTED_VALUE"""),"")</f>
        <v/>
      </c>
      <c r="AN4" s="24" t="str">
        <f>IFERROR(__xludf.DUMMYFUNCTION("""COMPUTED_VALUE"""),"")</f>
        <v/>
      </c>
      <c r="AO4" s="24" t="str">
        <f>IFERROR(__xludf.DUMMYFUNCTION("""COMPUTED_VALUE"""),"")</f>
        <v/>
      </c>
      <c r="AP4" s="24" t="str">
        <f>IFERROR(__xludf.DUMMYFUNCTION("""COMPUTED_VALUE"""),"")</f>
        <v/>
      </c>
      <c r="AQ4" s="24" t="str">
        <f>IFERROR(__xludf.DUMMYFUNCTION("""COMPUTED_VALUE"""),"")</f>
        <v/>
      </c>
      <c r="AR4" s="24" t="str">
        <f>IFERROR(__xludf.DUMMYFUNCTION("""COMPUTED_VALUE"""),"")</f>
        <v/>
      </c>
      <c r="AS4" s="24" t="str">
        <f>IFERROR(__xludf.DUMMYFUNCTION("""COMPUTED_VALUE"""),"")</f>
        <v/>
      </c>
      <c r="AT4" s="24" t="str">
        <f>IFERROR(__xludf.DUMMYFUNCTION("""COMPUTED_VALUE"""),"")</f>
        <v/>
      </c>
      <c r="AU4" s="24" t="str">
        <f>IFERROR(__xludf.DUMMYFUNCTION("""COMPUTED_VALUE"""),"")</f>
        <v/>
      </c>
      <c r="AV4" s="24" t="str">
        <f>IFERROR(__xludf.DUMMYFUNCTION("""COMPUTED_VALUE"""),"")</f>
        <v/>
      </c>
      <c r="AW4" s="24" t="str">
        <f>IFERROR(__xludf.DUMMYFUNCTION("""COMPUTED_VALUE"""),"")</f>
        <v/>
      </c>
      <c r="AX4" s="24" t="str">
        <f>IFERROR(__xludf.DUMMYFUNCTION("""COMPUTED_VALUE"""),"")</f>
        <v/>
      </c>
      <c r="AY4" s="24" t="str">
        <f>IFERROR(__xludf.DUMMYFUNCTION("""COMPUTED_VALUE"""),"")</f>
        <v/>
      </c>
      <c r="AZ4" s="24" t="str">
        <f>IFERROR(__xludf.DUMMYFUNCTION("""COMPUTED_VALUE"""),"")</f>
        <v/>
      </c>
      <c r="BA4" s="24" t="str">
        <f>IFERROR(__xludf.DUMMYFUNCTION("""COMPUTED_VALUE"""),"")</f>
        <v/>
      </c>
      <c r="BB4" s="24" t="str">
        <f>IFERROR(__xludf.DUMMYFUNCTION("""COMPUTED_VALUE"""),"")</f>
        <v/>
      </c>
      <c r="BC4" s="24" t="str">
        <f>IFERROR(__xludf.DUMMYFUNCTION("""COMPUTED_VALUE"""),"")</f>
        <v/>
      </c>
      <c r="BD4" s="24" t="str">
        <f>IFERROR(__xludf.DUMMYFUNCTION("""COMPUTED_VALUE"""),"")</f>
        <v/>
      </c>
      <c r="BE4" s="24" t="str">
        <f>IFERROR(__xludf.DUMMYFUNCTION("""COMPUTED_VALUE"""),"")</f>
        <v/>
      </c>
      <c r="BF4" s="24" t="str">
        <f>IFERROR(__xludf.DUMMYFUNCTION("""COMPUTED_VALUE"""),"")</f>
        <v/>
      </c>
      <c r="BG4" s="24" t="str">
        <f>IFERROR(__xludf.DUMMYFUNCTION("""COMPUTED_VALUE"""),"")</f>
        <v/>
      </c>
      <c r="BH4" s="24" t="str">
        <f>IFERROR(__xludf.DUMMYFUNCTION("""COMPUTED_VALUE"""),"")</f>
        <v/>
      </c>
      <c r="BI4" s="24" t="str">
        <f>IFERROR(__xludf.DUMMYFUNCTION("""COMPUTED_VALUE"""),"")</f>
        <v/>
      </c>
      <c r="BJ4" s="24" t="str">
        <f>IFERROR(__xludf.DUMMYFUNCTION("""COMPUTED_VALUE"""),"")</f>
        <v/>
      </c>
      <c r="BK4" s="24" t="str">
        <f>IFERROR(__xludf.DUMMYFUNCTION("""COMPUTED_VALUE"""),"")</f>
        <v/>
      </c>
      <c r="BL4" s="24" t="str">
        <f>IFERROR(__xludf.DUMMYFUNCTION("""COMPUTED_VALUE"""),"")</f>
        <v/>
      </c>
      <c r="BM4" s="24" t="str">
        <f>IFERROR(__xludf.DUMMYFUNCTION("""COMPUTED_VALUE"""),"")</f>
        <v/>
      </c>
      <c r="BN4" s="24" t="str">
        <f>IFERROR(__xludf.DUMMYFUNCTION("""COMPUTED_VALUE"""),"")</f>
        <v/>
      </c>
      <c r="BO4" s="24" t="str">
        <f>IFERROR(__xludf.DUMMYFUNCTION("""COMPUTED_VALUE"""),"")</f>
        <v/>
      </c>
      <c r="BP4" s="24" t="str">
        <f>IFERROR(__xludf.DUMMYFUNCTION("""COMPUTED_VALUE"""),"")</f>
        <v/>
      </c>
      <c r="BQ4" s="24" t="str">
        <f>IFERROR(__xludf.DUMMYFUNCTION("""COMPUTED_VALUE"""),"")</f>
        <v/>
      </c>
      <c r="BR4" s="24" t="str">
        <f>IFERROR(__xludf.DUMMYFUNCTION("""COMPUTED_VALUE"""),"")</f>
        <v/>
      </c>
      <c r="BS4" s="24" t="str">
        <f>IFERROR(__xludf.DUMMYFUNCTION("""COMPUTED_VALUE"""),"")</f>
        <v/>
      </c>
      <c r="BT4" s="24" t="str">
        <f>IFERROR(__xludf.DUMMYFUNCTION("""COMPUTED_VALUE"""),"")</f>
        <v/>
      </c>
      <c r="BU4" s="24" t="str">
        <f>IFERROR(__xludf.DUMMYFUNCTION("""COMPUTED_VALUE"""),"")</f>
        <v/>
      </c>
      <c r="BV4" s="24" t="str">
        <f>IFERROR(__xludf.DUMMYFUNCTION("""COMPUTED_VALUE"""),"")</f>
        <v/>
      </c>
      <c r="BW4" s="24" t="str">
        <f>IFERROR(__xludf.DUMMYFUNCTION("""COMPUTED_VALUE"""),"")</f>
        <v/>
      </c>
      <c r="BX4" s="24" t="str">
        <f>IFERROR(__xludf.DUMMYFUNCTION("""COMPUTED_VALUE"""),"")</f>
        <v/>
      </c>
      <c r="BY4" s="24" t="str">
        <f>IFERROR(__xludf.DUMMYFUNCTION("""COMPUTED_VALUE"""),"")</f>
        <v/>
      </c>
      <c r="BZ4" s="24" t="str">
        <f>IFERROR(__xludf.DUMMYFUNCTION("""COMPUTED_VALUE"""),"")</f>
        <v/>
      </c>
      <c r="CA4" s="24" t="str">
        <f>IFERROR(__xludf.DUMMYFUNCTION("""COMPUTED_VALUE"""),"")</f>
        <v/>
      </c>
      <c r="CB4" s="24" t="str">
        <f>IFERROR(__xludf.DUMMYFUNCTION("""COMPUTED_VALUE"""),"")</f>
        <v/>
      </c>
      <c r="CC4" s="24" t="str">
        <f>IFERROR(__xludf.DUMMYFUNCTION("""COMPUTED_VALUE"""),"")</f>
        <v/>
      </c>
      <c r="CD4" s="24" t="str">
        <f>IFERROR(__xludf.DUMMYFUNCTION("""COMPUTED_VALUE"""),"")</f>
        <v/>
      </c>
      <c r="CE4" s="24" t="str">
        <f>IFERROR(__xludf.DUMMYFUNCTION("""COMPUTED_VALUE"""),"")</f>
        <v/>
      </c>
      <c r="CF4" s="24" t="str">
        <f>IFERROR(__xludf.DUMMYFUNCTION("""COMPUTED_VALUE"""),"")</f>
        <v/>
      </c>
      <c r="CG4" s="24" t="str">
        <f>IFERROR(__xludf.DUMMYFUNCTION("""COMPUTED_VALUE"""),"")</f>
        <v/>
      </c>
      <c r="CH4" s="24" t="str">
        <f>IFERROR(__xludf.DUMMYFUNCTION("""COMPUTED_VALUE"""),"")</f>
        <v/>
      </c>
      <c r="CI4" s="24" t="str">
        <f>IFERROR(__xludf.DUMMYFUNCTION("""COMPUTED_VALUE"""),"")</f>
        <v/>
      </c>
      <c r="CJ4" s="24" t="str">
        <f>IFERROR(__xludf.DUMMYFUNCTION("""COMPUTED_VALUE"""),"")</f>
        <v/>
      </c>
      <c r="CK4" s="24" t="str">
        <f>IFERROR(__xludf.DUMMYFUNCTION("""COMPUTED_VALUE"""),"")</f>
        <v/>
      </c>
      <c r="CL4" s="24" t="str">
        <f>IFERROR(__xludf.DUMMYFUNCTION("""COMPUTED_VALUE"""),"")</f>
        <v/>
      </c>
      <c r="CM4" s="24" t="str">
        <f>IFERROR(__xludf.DUMMYFUNCTION("""COMPUTED_VALUE"""),"")</f>
        <v/>
      </c>
      <c r="CN4" s="24" t="str">
        <f>IFERROR(__xludf.DUMMYFUNCTION("""COMPUTED_VALUE"""),"")</f>
        <v/>
      </c>
      <c r="CO4" s="24" t="str">
        <f>IFERROR(__xludf.DUMMYFUNCTION("""COMPUTED_VALUE"""),"")</f>
        <v/>
      </c>
      <c r="CP4" s="24" t="str">
        <f>IFERROR(__xludf.DUMMYFUNCTION("""COMPUTED_VALUE"""),"")</f>
        <v/>
      </c>
      <c r="CQ4" s="24" t="str">
        <f>IFERROR(__xludf.DUMMYFUNCTION("""COMPUTED_VALUE"""),"")</f>
        <v/>
      </c>
      <c r="CR4" s="24" t="str">
        <f>IFERROR(__xludf.DUMMYFUNCTION("""COMPUTED_VALUE"""),"")</f>
        <v/>
      </c>
      <c r="CS4" s="24" t="str">
        <f>IFERROR(__xludf.DUMMYFUNCTION("""COMPUTED_VALUE"""),"")</f>
        <v/>
      </c>
      <c r="CT4" s="24" t="str">
        <f>IFERROR(__xludf.DUMMYFUNCTION("""COMPUTED_VALUE"""),"")</f>
        <v/>
      </c>
      <c r="CU4" s="24" t="str">
        <f>IFERROR(__xludf.DUMMYFUNCTION("""COMPUTED_VALUE"""),"")</f>
        <v/>
      </c>
      <c r="CV4" s="24" t="str">
        <f>IFERROR(__xludf.DUMMYFUNCTION("""COMPUTED_VALUE"""),"")</f>
        <v/>
      </c>
      <c r="CW4" s="24" t="str">
        <f>IFERROR(__xludf.DUMMYFUNCTION("""COMPUTED_VALUE"""),"")</f>
        <v/>
      </c>
      <c r="CX4" s="24" t="str">
        <f>IFERROR(__xludf.DUMMYFUNCTION("""COMPUTED_VALUE"""),"")</f>
        <v/>
      </c>
      <c r="CY4" s="24" t="str">
        <f>IFERROR(__xludf.DUMMYFUNCTION("""COMPUTED_VALUE"""),"")</f>
        <v/>
      </c>
      <c r="CZ4" s="24" t="str">
        <f>IFERROR(__xludf.DUMMYFUNCTION("""COMPUTED_VALUE"""),"")</f>
        <v/>
      </c>
      <c r="DA4" s="24" t="str">
        <f>IFERROR(__xludf.DUMMYFUNCTION("""COMPUTED_VALUE"""),"")</f>
        <v/>
      </c>
      <c r="DB4" s="24" t="str">
        <f>IFERROR(__xludf.DUMMYFUNCTION("""COMPUTED_VALUE"""),"")</f>
        <v/>
      </c>
      <c r="DC4" s="24" t="str">
        <f>IFERROR(__xludf.DUMMYFUNCTION("""COMPUTED_VALUE"""),"")</f>
        <v/>
      </c>
      <c r="DD4" s="24" t="str">
        <f>IFERROR(__xludf.DUMMYFUNCTION("""COMPUTED_VALUE"""),"")</f>
        <v/>
      </c>
      <c r="DE4" s="24" t="str">
        <f>IFERROR(__xludf.DUMMYFUNCTION("""COMPUTED_VALUE"""),"")</f>
        <v/>
      </c>
      <c r="DF4" s="24" t="str">
        <f>IFERROR(__xludf.DUMMYFUNCTION("""COMPUTED_VALUE"""),"")</f>
        <v/>
      </c>
      <c r="DG4" s="24" t="str">
        <f>IFERROR(__xludf.DUMMYFUNCTION("""COMPUTED_VALUE"""),"")</f>
        <v/>
      </c>
      <c r="DH4" s="24" t="str">
        <f>IFERROR(__xludf.DUMMYFUNCTION("""COMPUTED_VALUE"""),"")</f>
        <v/>
      </c>
      <c r="DI4" s="24" t="str">
        <f>IFERROR(__xludf.DUMMYFUNCTION("""COMPUTED_VALUE"""),"")</f>
        <v/>
      </c>
      <c r="DJ4" s="24" t="str">
        <f>IFERROR(__xludf.DUMMYFUNCTION("""COMPUTED_VALUE"""),"")</f>
        <v/>
      </c>
      <c r="DK4" s="24" t="str">
        <f>IFERROR(__xludf.DUMMYFUNCTION("""COMPUTED_VALUE"""),"")</f>
        <v/>
      </c>
      <c r="DL4" s="24" t="str">
        <f>IFERROR(__xludf.DUMMYFUNCTION("""COMPUTED_VALUE"""),"")</f>
        <v/>
      </c>
      <c r="DM4" s="24" t="str">
        <f>IFERROR(__xludf.DUMMYFUNCTION("""COMPUTED_VALUE"""),"")</f>
        <v/>
      </c>
      <c r="DN4" s="24" t="str">
        <f>IFERROR(__xludf.DUMMYFUNCTION("""COMPUTED_VALUE"""),"")</f>
        <v/>
      </c>
      <c r="DO4" s="24" t="str">
        <f>IFERROR(__xludf.DUMMYFUNCTION("""COMPUTED_VALUE"""),"")</f>
        <v/>
      </c>
      <c r="DP4" s="24" t="str">
        <f>IFERROR(__xludf.DUMMYFUNCTION("""COMPUTED_VALUE"""),"")</f>
        <v/>
      </c>
      <c r="DQ4" s="24" t="str">
        <f>IFERROR(__xludf.DUMMYFUNCTION("""COMPUTED_VALUE"""),"")</f>
        <v/>
      </c>
      <c r="DR4" s="24" t="str">
        <f>IFERROR(__xludf.DUMMYFUNCTION("""COMPUTED_VALUE"""),"")</f>
        <v/>
      </c>
      <c r="DS4" s="24" t="str">
        <f>IFERROR(__xludf.DUMMYFUNCTION("""COMPUTED_VALUE"""),"")</f>
        <v/>
      </c>
      <c r="DT4" s="24" t="str">
        <f>IFERROR(__xludf.DUMMYFUNCTION("""COMPUTED_VALUE"""),"")</f>
        <v/>
      </c>
      <c r="DU4" s="24" t="str">
        <f>IFERROR(__xludf.DUMMYFUNCTION("""COMPUTED_VALUE"""),"")</f>
        <v/>
      </c>
      <c r="DV4" s="24" t="str">
        <f>IFERROR(__xludf.DUMMYFUNCTION("""COMPUTED_VALUE"""),"")</f>
        <v/>
      </c>
      <c r="DW4" s="24" t="str">
        <f>IFERROR(__xludf.DUMMYFUNCTION("""COMPUTED_VALUE"""),"")</f>
        <v/>
      </c>
      <c r="DX4" s="24" t="str">
        <f>IFERROR(__xludf.DUMMYFUNCTION("""COMPUTED_VALUE"""),"")</f>
        <v/>
      </c>
      <c r="DY4" s="24" t="str">
        <f>IFERROR(__xludf.DUMMYFUNCTION("""COMPUTED_VALUE"""),"")</f>
        <v/>
      </c>
      <c r="DZ4" s="24" t="str">
        <f>IFERROR(__xludf.DUMMYFUNCTION("""COMPUTED_VALUE"""),"")</f>
        <v/>
      </c>
      <c r="EA4" s="24" t="str">
        <f>IFERROR(__xludf.DUMMYFUNCTION("""COMPUTED_VALUE"""),"")</f>
        <v/>
      </c>
      <c r="EB4" s="24" t="str">
        <f>IFERROR(__xludf.DUMMYFUNCTION("""COMPUTED_VALUE"""),"")</f>
        <v/>
      </c>
      <c r="EC4" s="24" t="str">
        <f>IFERROR(__xludf.DUMMYFUNCTION("""COMPUTED_VALUE"""),"")</f>
        <v/>
      </c>
      <c r="ED4" s="24" t="str">
        <f>IFERROR(__xludf.DUMMYFUNCTION("""COMPUTED_VALUE"""),"")</f>
        <v/>
      </c>
      <c r="EE4" s="24" t="str">
        <f>IFERROR(__xludf.DUMMYFUNCTION("""COMPUTED_VALUE"""),"")</f>
        <v/>
      </c>
      <c r="EF4" s="24" t="str">
        <f>IFERROR(__xludf.DUMMYFUNCTION("""COMPUTED_VALUE"""),"")</f>
        <v/>
      </c>
      <c r="EG4" s="24" t="str">
        <f>IFERROR(__xludf.DUMMYFUNCTION("""COMPUTED_VALUE"""),"")</f>
        <v/>
      </c>
      <c r="EH4" s="24" t="str">
        <f>IFERROR(__xludf.DUMMYFUNCTION("""COMPUTED_VALUE"""),"")</f>
        <v/>
      </c>
      <c r="EI4" s="24" t="str">
        <f>IFERROR(__xludf.DUMMYFUNCTION("""COMPUTED_VALUE"""),"")</f>
        <v/>
      </c>
      <c r="EJ4" s="24" t="str">
        <f>IFERROR(__xludf.DUMMYFUNCTION("""COMPUTED_VALUE"""),"")</f>
        <v/>
      </c>
      <c r="EK4" s="24" t="str">
        <f>IFERROR(__xludf.DUMMYFUNCTION("""COMPUTED_VALUE"""),"")</f>
        <v/>
      </c>
      <c r="EL4" s="24" t="str">
        <f>IFERROR(__xludf.DUMMYFUNCTION("""COMPUTED_VALUE"""),"")</f>
        <v/>
      </c>
      <c r="EM4" s="24" t="str">
        <f>IFERROR(__xludf.DUMMYFUNCTION("""COMPUTED_VALUE"""),"")</f>
        <v/>
      </c>
      <c r="EN4" s="24" t="str">
        <f>IFERROR(__xludf.DUMMYFUNCTION("""COMPUTED_VALUE"""),"")</f>
        <v/>
      </c>
      <c r="EO4" s="24" t="str">
        <f>IFERROR(__xludf.DUMMYFUNCTION("""COMPUTED_VALUE"""),"")</f>
        <v/>
      </c>
      <c r="EP4" s="24" t="str">
        <f>IFERROR(__xludf.DUMMYFUNCTION("""COMPUTED_VALUE"""),"")</f>
        <v/>
      </c>
      <c r="EQ4" s="24" t="str">
        <f>IFERROR(__xludf.DUMMYFUNCTION("""COMPUTED_VALUE"""),"")</f>
        <v/>
      </c>
      <c r="ER4" s="24" t="str">
        <f>IFERROR(__xludf.DUMMYFUNCTION("""COMPUTED_VALUE"""),"")</f>
        <v/>
      </c>
      <c r="ES4" s="24" t="str">
        <f>IFERROR(__xludf.DUMMYFUNCTION("""COMPUTED_VALUE"""),"")</f>
        <v/>
      </c>
      <c r="ET4" s="24" t="str">
        <f>IFERROR(__xludf.DUMMYFUNCTION("""COMPUTED_VALUE"""),"")</f>
        <v/>
      </c>
      <c r="EU4" s="24" t="str">
        <f>IFERROR(__xludf.DUMMYFUNCTION("""COMPUTED_VALUE"""),"")</f>
        <v/>
      </c>
      <c r="EV4" s="24" t="str">
        <f>IFERROR(__xludf.DUMMYFUNCTION("""COMPUTED_VALUE"""),"")</f>
        <v/>
      </c>
      <c r="EW4" s="24" t="str">
        <f>IFERROR(__xludf.DUMMYFUNCTION("""COMPUTED_VALUE"""),"")</f>
        <v/>
      </c>
      <c r="EX4" s="24" t="str">
        <f>IFERROR(__xludf.DUMMYFUNCTION("""COMPUTED_VALUE"""),"")</f>
        <v/>
      </c>
    </row>
    <row r="5" ht="15.75" customHeight="1">
      <c r="A5" s="25" t="str">
        <f>IFERROR(__xludf.DUMMYFUNCTION("TRANSPOSE(IMPORTRANGE(VLOOKUP($E$3,IMPORTRANGE('_Settings'!$B$3,$C$3&amp;""!A4:B1000""),2,FALSE),$G$3&amp;""!A4:A1000""))"),"")</f>
        <v/>
      </c>
      <c r="B5" s="26" t="str">
        <f>IFERROR(__xludf.DUMMYFUNCTION("""COMPUTED_VALUE"""),"Select Date")</f>
        <v>Select Date</v>
      </c>
      <c r="C5" s="26" t="str">
        <f>IFERROR(__xludf.DUMMYFUNCTION("""COMPUTED_VALUE"""),"Copy Date ")</f>
        <v>Copy Date </v>
      </c>
      <c r="D5" s="26" t="str">
        <f>IFERROR(__xludf.DUMMYFUNCTION("""COMPUTED_VALUE"""),"")</f>
        <v/>
      </c>
      <c r="E5" s="26" t="str">
        <f>IFERROR(__xludf.DUMMYFUNCTION("""COMPUTED_VALUE"""),"")</f>
        <v/>
      </c>
      <c r="F5" s="27" t="str">
        <f>IFERROR(__xludf.DUMMYFUNCTION("""COMPUTED_VALUE"""),"")</f>
        <v/>
      </c>
      <c r="G5" s="26" t="str">
        <f>IFERROR(__xludf.DUMMYFUNCTION("""COMPUTED_VALUE"""),"")</f>
        <v/>
      </c>
      <c r="H5" s="26" t="str">
        <f>IFERROR(__xludf.DUMMYFUNCTION("""COMPUTED_VALUE"""),"")</f>
        <v/>
      </c>
      <c r="I5" s="26" t="str">
        <f>IFERROR(__xludf.DUMMYFUNCTION("""COMPUTED_VALUE"""),"")</f>
        <v/>
      </c>
      <c r="J5" s="26" t="str">
        <f>IFERROR(__xludf.DUMMYFUNCTION("""COMPUTED_VALUE"""),"")</f>
        <v/>
      </c>
      <c r="K5" s="26" t="str">
        <f>IFERROR(__xludf.DUMMYFUNCTION("""COMPUTED_VALUE"""),"")</f>
        <v/>
      </c>
      <c r="L5" s="26" t="str">
        <f>IFERROR(__xludf.DUMMYFUNCTION("""COMPUTED_VALUE"""),"")</f>
        <v/>
      </c>
      <c r="M5" s="26" t="str">
        <f>IFERROR(__xludf.DUMMYFUNCTION("""COMPUTED_VALUE"""),"")</f>
        <v/>
      </c>
      <c r="N5" s="26" t="str">
        <f>IFERROR(__xludf.DUMMYFUNCTION("""COMPUTED_VALUE"""),"")</f>
        <v/>
      </c>
      <c r="O5" s="26" t="str">
        <f>IFERROR(__xludf.DUMMYFUNCTION("""COMPUTED_VALUE"""),"")</f>
        <v/>
      </c>
      <c r="P5" s="26" t="str">
        <f>IFERROR(__xludf.DUMMYFUNCTION("""COMPUTED_VALUE"""),"")</f>
        <v/>
      </c>
      <c r="Q5" s="26" t="str">
        <f>IFERROR(__xludf.DUMMYFUNCTION("""COMPUTED_VALUE"""),"")</f>
        <v/>
      </c>
      <c r="R5" s="26" t="str">
        <f>IFERROR(__xludf.DUMMYFUNCTION("""COMPUTED_VALUE"""),"")</f>
        <v/>
      </c>
      <c r="S5" s="26" t="str">
        <f>IFERROR(__xludf.DUMMYFUNCTION("""COMPUTED_VALUE"""),"")</f>
        <v/>
      </c>
      <c r="T5" s="28" t="str">
        <f>IFERROR(__xludf.DUMMYFUNCTION("""COMPUTED_VALUE"""),"")</f>
        <v/>
      </c>
      <c r="U5" s="28" t="str">
        <f>IFERROR(__xludf.DUMMYFUNCTION("""COMPUTED_VALUE"""),"")</f>
        <v/>
      </c>
      <c r="V5" s="28" t="str">
        <f>IFERROR(__xludf.DUMMYFUNCTION("""COMPUTED_VALUE"""),"")</f>
        <v/>
      </c>
      <c r="W5" s="28" t="str">
        <f>IFERROR(__xludf.DUMMYFUNCTION("""COMPUTED_VALUE"""),"")</f>
        <v/>
      </c>
      <c r="X5" s="28" t="str">
        <f>IFERROR(__xludf.DUMMYFUNCTION("""COMPUTED_VALUE"""),"")</f>
        <v/>
      </c>
      <c r="Y5" s="28" t="str">
        <f>IFERROR(__xludf.DUMMYFUNCTION("""COMPUTED_VALUE"""),"")</f>
        <v/>
      </c>
      <c r="Z5" s="28" t="str">
        <f>IFERROR(__xludf.DUMMYFUNCTION("""COMPUTED_VALUE"""),"")</f>
        <v/>
      </c>
      <c r="AA5" s="28" t="str">
        <f>IFERROR(__xludf.DUMMYFUNCTION("""COMPUTED_VALUE"""),"")</f>
        <v/>
      </c>
      <c r="AB5" s="28" t="str">
        <f>IFERROR(__xludf.DUMMYFUNCTION("""COMPUTED_VALUE"""),"")</f>
        <v/>
      </c>
      <c r="AC5" s="28" t="str">
        <f>IFERROR(__xludf.DUMMYFUNCTION("""COMPUTED_VALUE"""),"")</f>
        <v/>
      </c>
      <c r="AD5" s="28" t="str">
        <f>IFERROR(__xludf.DUMMYFUNCTION("""COMPUTED_VALUE"""),"")</f>
        <v/>
      </c>
      <c r="AE5" s="28" t="str">
        <f>IFERROR(__xludf.DUMMYFUNCTION("""COMPUTED_VALUE"""),"")</f>
        <v/>
      </c>
      <c r="AF5" s="28" t="str">
        <f>IFERROR(__xludf.DUMMYFUNCTION("""COMPUTED_VALUE"""),"")</f>
        <v/>
      </c>
      <c r="AG5" s="28" t="str">
        <f>IFERROR(__xludf.DUMMYFUNCTION("""COMPUTED_VALUE"""),"")</f>
        <v/>
      </c>
      <c r="AH5" s="28" t="str">
        <f>IFERROR(__xludf.DUMMYFUNCTION("""COMPUTED_VALUE"""),"")</f>
        <v/>
      </c>
      <c r="AI5" s="28" t="str">
        <f>IFERROR(__xludf.DUMMYFUNCTION("""COMPUTED_VALUE"""),"")</f>
        <v/>
      </c>
      <c r="AJ5" s="28" t="str">
        <f>IFERROR(__xludf.DUMMYFUNCTION("""COMPUTED_VALUE"""),"")</f>
        <v/>
      </c>
      <c r="AK5" s="28" t="str">
        <f>IFERROR(__xludf.DUMMYFUNCTION("""COMPUTED_VALUE"""),"")</f>
        <v/>
      </c>
      <c r="AL5" s="28" t="str">
        <f>IFERROR(__xludf.DUMMYFUNCTION("""COMPUTED_VALUE"""),"")</f>
        <v/>
      </c>
      <c r="AM5" s="28" t="str">
        <f>IFERROR(__xludf.DUMMYFUNCTION("""COMPUTED_VALUE"""),"")</f>
        <v/>
      </c>
      <c r="AN5" s="28" t="str">
        <f>IFERROR(__xludf.DUMMYFUNCTION("""COMPUTED_VALUE"""),"")</f>
        <v/>
      </c>
      <c r="AO5" s="28" t="str">
        <f>IFERROR(__xludf.DUMMYFUNCTION("""COMPUTED_VALUE"""),"")</f>
        <v/>
      </c>
      <c r="AP5" s="28" t="str">
        <f>IFERROR(__xludf.DUMMYFUNCTION("""COMPUTED_VALUE"""),"")</f>
        <v/>
      </c>
      <c r="AQ5" s="28" t="str">
        <f>IFERROR(__xludf.DUMMYFUNCTION("""COMPUTED_VALUE"""),"")</f>
        <v/>
      </c>
      <c r="AR5" s="28" t="str">
        <f>IFERROR(__xludf.DUMMYFUNCTION("""COMPUTED_VALUE"""),"")</f>
        <v/>
      </c>
      <c r="AS5" s="28" t="str">
        <f>IFERROR(__xludf.DUMMYFUNCTION("""COMPUTED_VALUE"""),"")</f>
        <v/>
      </c>
      <c r="AT5" s="28" t="str">
        <f>IFERROR(__xludf.DUMMYFUNCTION("""COMPUTED_VALUE"""),"")</f>
        <v/>
      </c>
      <c r="AU5" s="28" t="str">
        <f>IFERROR(__xludf.DUMMYFUNCTION("""COMPUTED_VALUE"""),"")</f>
        <v/>
      </c>
      <c r="AV5" s="28" t="str">
        <f>IFERROR(__xludf.DUMMYFUNCTION("""COMPUTED_VALUE"""),"")</f>
        <v/>
      </c>
      <c r="AW5" s="28" t="str">
        <f>IFERROR(__xludf.DUMMYFUNCTION("""COMPUTED_VALUE"""),"")</f>
        <v/>
      </c>
      <c r="AX5" s="28" t="str">
        <f>IFERROR(__xludf.DUMMYFUNCTION("""COMPUTED_VALUE"""),"")</f>
        <v/>
      </c>
      <c r="AY5" s="28" t="str">
        <f>IFERROR(__xludf.DUMMYFUNCTION("""COMPUTED_VALUE"""),"")</f>
        <v/>
      </c>
      <c r="AZ5" s="28" t="str">
        <f>IFERROR(__xludf.DUMMYFUNCTION("""COMPUTED_VALUE"""),"")</f>
        <v/>
      </c>
      <c r="BA5" s="28" t="str">
        <f>IFERROR(__xludf.DUMMYFUNCTION("""COMPUTED_VALUE"""),"")</f>
        <v/>
      </c>
      <c r="BB5" s="28" t="str">
        <f>IFERROR(__xludf.DUMMYFUNCTION("""COMPUTED_VALUE"""),"")</f>
        <v/>
      </c>
      <c r="BC5" s="28" t="str">
        <f>IFERROR(__xludf.DUMMYFUNCTION("""COMPUTED_VALUE"""),"")</f>
        <v/>
      </c>
      <c r="BD5" s="28" t="str">
        <f>IFERROR(__xludf.DUMMYFUNCTION("""COMPUTED_VALUE"""),"")</f>
        <v/>
      </c>
      <c r="BE5" s="28" t="str">
        <f>IFERROR(__xludf.DUMMYFUNCTION("""COMPUTED_VALUE"""),"")</f>
        <v/>
      </c>
      <c r="BF5" s="28" t="str">
        <f>IFERROR(__xludf.DUMMYFUNCTION("""COMPUTED_VALUE"""),"")</f>
        <v/>
      </c>
      <c r="BG5" s="28" t="str">
        <f>IFERROR(__xludf.DUMMYFUNCTION("""COMPUTED_VALUE"""),"")</f>
        <v/>
      </c>
      <c r="BH5" s="28" t="str">
        <f>IFERROR(__xludf.DUMMYFUNCTION("""COMPUTED_VALUE"""),"")</f>
        <v/>
      </c>
      <c r="BI5" s="28" t="str">
        <f>IFERROR(__xludf.DUMMYFUNCTION("""COMPUTED_VALUE"""),"")</f>
        <v/>
      </c>
      <c r="BJ5" s="28" t="str">
        <f>IFERROR(__xludf.DUMMYFUNCTION("""COMPUTED_VALUE"""),"")</f>
        <v/>
      </c>
      <c r="BK5" s="28" t="str">
        <f>IFERROR(__xludf.DUMMYFUNCTION("""COMPUTED_VALUE"""),"")</f>
        <v/>
      </c>
      <c r="BL5" s="28" t="str">
        <f>IFERROR(__xludf.DUMMYFUNCTION("""COMPUTED_VALUE"""),"")</f>
        <v/>
      </c>
      <c r="BM5" s="28" t="str">
        <f>IFERROR(__xludf.DUMMYFUNCTION("""COMPUTED_VALUE"""),"")</f>
        <v/>
      </c>
      <c r="BN5" s="28" t="str">
        <f>IFERROR(__xludf.DUMMYFUNCTION("""COMPUTED_VALUE"""),"")</f>
        <v/>
      </c>
      <c r="BO5" s="28" t="str">
        <f>IFERROR(__xludf.DUMMYFUNCTION("""COMPUTED_VALUE"""),"")</f>
        <v/>
      </c>
      <c r="BP5" s="28" t="str">
        <f>IFERROR(__xludf.DUMMYFUNCTION("""COMPUTED_VALUE"""),"")</f>
        <v/>
      </c>
      <c r="BQ5" s="28" t="str">
        <f>IFERROR(__xludf.DUMMYFUNCTION("""COMPUTED_VALUE"""),"")</f>
        <v/>
      </c>
      <c r="BR5" s="28" t="str">
        <f>IFERROR(__xludf.DUMMYFUNCTION("""COMPUTED_VALUE"""),"")</f>
        <v/>
      </c>
      <c r="BS5" s="28" t="str">
        <f>IFERROR(__xludf.DUMMYFUNCTION("""COMPUTED_VALUE"""),"")</f>
        <v/>
      </c>
      <c r="BT5" s="28" t="str">
        <f>IFERROR(__xludf.DUMMYFUNCTION("""COMPUTED_VALUE"""),"")</f>
        <v/>
      </c>
      <c r="BU5" s="28" t="str">
        <f>IFERROR(__xludf.DUMMYFUNCTION("""COMPUTED_VALUE"""),"")</f>
        <v/>
      </c>
      <c r="BV5" s="28" t="str">
        <f>IFERROR(__xludf.DUMMYFUNCTION("""COMPUTED_VALUE"""),"")</f>
        <v/>
      </c>
      <c r="BW5" s="28" t="str">
        <f>IFERROR(__xludf.DUMMYFUNCTION("""COMPUTED_VALUE"""),"")</f>
        <v/>
      </c>
      <c r="BX5" s="28" t="str">
        <f>IFERROR(__xludf.DUMMYFUNCTION("""COMPUTED_VALUE"""),"")</f>
        <v/>
      </c>
      <c r="BY5" s="28" t="str">
        <f>IFERROR(__xludf.DUMMYFUNCTION("""COMPUTED_VALUE"""),"")</f>
        <v/>
      </c>
      <c r="BZ5" s="28" t="str">
        <f>IFERROR(__xludf.DUMMYFUNCTION("""COMPUTED_VALUE"""),"")</f>
        <v/>
      </c>
      <c r="CA5" s="28" t="str">
        <f>IFERROR(__xludf.DUMMYFUNCTION("""COMPUTED_VALUE"""),"")</f>
        <v/>
      </c>
      <c r="CB5" s="28" t="str">
        <f>IFERROR(__xludf.DUMMYFUNCTION("""COMPUTED_VALUE"""),"")</f>
        <v/>
      </c>
      <c r="CC5" s="28" t="str">
        <f>IFERROR(__xludf.DUMMYFUNCTION("""COMPUTED_VALUE"""),"")</f>
        <v/>
      </c>
      <c r="CD5" s="28" t="str">
        <f>IFERROR(__xludf.DUMMYFUNCTION("""COMPUTED_VALUE"""),"")</f>
        <v/>
      </c>
      <c r="CE5" s="28" t="str">
        <f>IFERROR(__xludf.DUMMYFUNCTION("""COMPUTED_VALUE"""),"")</f>
        <v/>
      </c>
      <c r="CF5" s="28" t="str">
        <f>IFERROR(__xludf.DUMMYFUNCTION("""COMPUTED_VALUE"""),"")</f>
        <v/>
      </c>
      <c r="CG5" s="28" t="str">
        <f>IFERROR(__xludf.DUMMYFUNCTION("""COMPUTED_VALUE"""),"")</f>
        <v/>
      </c>
      <c r="CH5" s="28" t="str">
        <f>IFERROR(__xludf.DUMMYFUNCTION("""COMPUTED_VALUE"""),"")</f>
        <v/>
      </c>
      <c r="CI5" s="28" t="str">
        <f>IFERROR(__xludf.DUMMYFUNCTION("""COMPUTED_VALUE"""),"")</f>
        <v/>
      </c>
      <c r="CJ5" s="28" t="str">
        <f>IFERROR(__xludf.DUMMYFUNCTION("""COMPUTED_VALUE"""),"")</f>
        <v/>
      </c>
      <c r="CK5" s="28" t="str">
        <f>IFERROR(__xludf.DUMMYFUNCTION("""COMPUTED_VALUE"""),"")</f>
        <v/>
      </c>
      <c r="CL5" s="28" t="str">
        <f>IFERROR(__xludf.DUMMYFUNCTION("""COMPUTED_VALUE"""),"")</f>
        <v/>
      </c>
      <c r="CM5" s="28" t="str">
        <f>IFERROR(__xludf.DUMMYFUNCTION("""COMPUTED_VALUE"""),"")</f>
        <v/>
      </c>
      <c r="CN5" s="28" t="str">
        <f>IFERROR(__xludf.DUMMYFUNCTION("""COMPUTED_VALUE"""),"")</f>
        <v/>
      </c>
      <c r="CO5" s="28" t="str">
        <f>IFERROR(__xludf.DUMMYFUNCTION("""COMPUTED_VALUE"""),"")</f>
        <v/>
      </c>
      <c r="CP5" s="28" t="str">
        <f>IFERROR(__xludf.DUMMYFUNCTION("""COMPUTED_VALUE"""),"")</f>
        <v/>
      </c>
      <c r="CQ5" s="28" t="str">
        <f>IFERROR(__xludf.DUMMYFUNCTION("""COMPUTED_VALUE"""),"")</f>
        <v/>
      </c>
      <c r="CR5" s="28" t="str">
        <f>IFERROR(__xludf.DUMMYFUNCTION("""COMPUTED_VALUE"""),"")</f>
        <v/>
      </c>
      <c r="CS5" s="28" t="str">
        <f>IFERROR(__xludf.DUMMYFUNCTION("""COMPUTED_VALUE"""),"")</f>
        <v/>
      </c>
      <c r="CT5" s="28" t="str">
        <f>IFERROR(__xludf.DUMMYFUNCTION("""COMPUTED_VALUE"""),"")</f>
        <v/>
      </c>
      <c r="CU5" s="28" t="str">
        <f>IFERROR(__xludf.DUMMYFUNCTION("""COMPUTED_VALUE"""),"")</f>
        <v/>
      </c>
      <c r="CV5" s="28" t="str">
        <f>IFERROR(__xludf.DUMMYFUNCTION("""COMPUTED_VALUE"""),"")</f>
        <v/>
      </c>
      <c r="CW5" s="28" t="str">
        <f>IFERROR(__xludf.DUMMYFUNCTION("""COMPUTED_VALUE"""),"")</f>
        <v/>
      </c>
      <c r="CX5" s="28" t="str">
        <f>IFERROR(__xludf.DUMMYFUNCTION("""COMPUTED_VALUE"""),"")</f>
        <v/>
      </c>
      <c r="CY5" s="28" t="str">
        <f>IFERROR(__xludf.DUMMYFUNCTION("""COMPUTED_VALUE"""),"")</f>
        <v/>
      </c>
      <c r="CZ5" s="28" t="str">
        <f>IFERROR(__xludf.DUMMYFUNCTION("""COMPUTED_VALUE"""),"")</f>
        <v/>
      </c>
      <c r="DA5" s="28" t="str">
        <f>IFERROR(__xludf.DUMMYFUNCTION("""COMPUTED_VALUE"""),"")</f>
        <v/>
      </c>
      <c r="DB5" s="28" t="str">
        <f>IFERROR(__xludf.DUMMYFUNCTION("""COMPUTED_VALUE"""),"")</f>
        <v/>
      </c>
      <c r="DC5" s="28" t="str">
        <f>IFERROR(__xludf.DUMMYFUNCTION("""COMPUTED_VALUE"""),"")</f>
        <v/>
      </c>
      <c r="DD5" s="28" t="str">
        <f>IFERROR(__xludf.DUMMYFUNCTION("""COMPUTED_VALUE"""),"")</f>
        <v/>
      </c>
      <c r="DE5" s="28" t="str">
        <f>IFERROR(__xludf.DUMMYFUNCTION("""COMPUTED_VALUE"""),"")</f>
        <v/>
      </c>
      <c r="DF5" s="28" t="str">
        <f>IFERROR(__xludf.DUMMYFUNCTION("""COMPUTED_VALUE"""),"")</f>
        <v/>
      </c>
      <c r="DG5" s="28" t="str">
        <f>IFERROR(__xludf.DUMMYFUNCTION("""COMPUTED_VALUE"""),"")</f>
        <v/>
      </c>
      <c r="DH5" s="28" t="str">
        <f>IFERROR(__xludf.DUMMYFUNCTION("""COMPUTED_VALUE"""),"")</f>
        <v/>
      </c>
      <c r="DI5" s="28" t="str">
        <f>IFERROR(__xludf.DUMMYFUNCTION("""COMPUTED_VALUE"""),"")</f>
        <v/>
      </c>
      <c r="DJ5" s="28" t="str">
        <f>IFERROR(__xludf.DUMMYFUNCTION("""COMPUTED_VALUE"""),"")</f>
        <v/>
      </c>
      <c r="DK5" s="28" t="str">
        <f>IFERROR(__xludf.DUMMYFUNCTION("""COMPUTED_VALUE"""),"")</f>
        <v/>
      </c>
      <c r="DL5" s="28" t="str">
        <f>IFERROR(__xludf.DUMMYFUNCTION("""COMPUTED_VALUE"""),"")</f>
        <v/>
      </c>
      <c r="DM5" s="28" t="str">
        <f>IFERROR(__xludf.DUMMYFUNCTION("""COMPUTED_VALUE"""),"")</f>
        <v/>
      </c>
      <c r="DN5" s="28" t="str">
        <f>IFERROR(__xludf.DUMMYFUNCTION("""COMPUTED_VALUE"""),"")</f>
        <v/>
      </c>
      <c r="DO5" s="28" t="str">
        <f>IFERROR(__xludf.DUMMYFUNCTION("""COMPUTED_VALUE"""),"")</f>
        <v/>
      </c>
      <c r="DP5" s="28" t="str">
        <f>IFERROR(__xludf.DUMMYFUNCTION("""COMPUTED_VALUE"""),"")</f>
        <v/>
      </c>
      <c r="DQ5" s="28" t="str">
        <f>IFERROR(__xludf.DUMMYFUNCTION("""COMPUTED_VALUE"""),"")</f>
        <v/>
      </c>
      <c r="DR5" s="28" t="str">
        <f>IFERROR(__xludf.DUMMYFUNCTION("""COMPUTED_VALUE"""),"")</f>
        <v/>
      </c>
      <c r="DS5" s="28" t="str">
        <f>IFERROR(__xludf.DUMMYFUNCTION("""COMPUTED_VALUE"""),"")</f>
        <v/>
      </c>
      <c r="DT5" s="28" t="str">
        <f>IFERROR(__xludf.DUMMYFUNCTION("""COMPUTED_VALUE"""),"")</f>
        <v/>
      </c>
      <c r="DU5" s="28" t="str">
        <f>IFERROR(__xludf.DUMMYFUNCTION("""COMPUTED_VALUE"""),"")</f>
        <v/>
      </c>
      <c r="DV5" s="28" t="str">
        <f>IFERROR(__xludf.DUMMYFUNCTION("""COMPUTED_VALUE"""),"")</f>
        <v/>
      </c>
      <c r="DW5" s="28" t="str">
        <f>IFERROR(__xludf.DUMMYFUNCTION("""COMPUTED_VALUE"""),"")</f>
        <v/>
      </c>
      <c r="DX5" s="28" t="str">
        <f>IFERROR(__xludf.DUMMYFUNCTION("""COMPUTED_VALUE"""),"")</f>
        <v/>
      </c>
      <c r="DY5" s="28" t="str">
        <f>IFERROR(__xludf.DUMMYFUNCTION("""COMPUTED_VALUE"""),"")</f>
        <v/>
      </c>
      <c r="DZ5" s="28" t="str">
        <f>IFERROR(__xludf.DUMMYFUNCTION("""COMPUTED_VALUE"""),"")</f>
        <v/>
      </c>
      <c r="EA5" s="28" t="str">
        <f>IFERROR(__xludf.DUMMYFUNCTION("""COMPUTED_VALUE"""),"")</f>
        <v/>
      </c>
      <c r="EB5" s="28" t="str">
        <f>IFERROR(__xludf.DUMMYFUNCTION("""COMPUTED_VALUE"""),"")</f>
        <v/>
      </c>
      <c r="EC5" s="28" t="str">
        <f>IFERROR(__xludf.DUMMYFUNCTION("""COMPUTED_VALUE"""),"")</f>
        <v/>
      </c>
      <c r="ED5" s="28" t="str">
        <f>IFERROR(__xludf.DUMMYFUNCTION("""COMPUTED_VALUE"""),"")</f>
        <v/>
      </c>
      <c r="EE5" s="28" t="str">
        <f>IFERROR(__xludf.DUMMYFUNCTION("""COMPUTED_VALUE"""),"")</f>
        <v/>
      </c>
      <c r="EF5" s="28" t="str">
        <f>IFERROR(__xludf.DUMMYFUNCTION("""COMPUTED_VALUE"""),"")</f>
        <v/>
      </c>
      <c r="EG5" s="28" t="str">
        <f>IFERROR(__xludf.DUMMYFUNCTION("""COMPUTED_VALUE"""),"")</f>
        <v/>
      </c>
      <c r="EH5" s="28" t="str">
        <f>IFERROR(__xludf.DUMMYFUNCTION("""COMPUTED_VALUE"""),"")</f>
        <v/>
      </c>
      <c r="EI5" s="28" t="str">
        <f>IFERROR(__xludf.DUMMYFUNCTION("""COMPUTED_VALUE"""),"")</f>
        <v/>
      </c>
      <c r="EJ5" s="28" t="str">
        <f>IFERROR(__xludf.DUMMYFUNCTION("""COMPUTED_VALUE"""),"")</f>
        <v/>
      </c>
      <c r="EK5" s="28" t="str">
        <f>IFERROR(__xludf.DUMMYFUNCTION("""COMPUTED_VALUE"""),"")</f>
        <v/>
      </c>
      <c r="EL5" s="28" t="str">
        <f>IFERROR(__xludf.DUMMYFUNCTION("""COMPUTED_VALUE"""),"")</f>
        <v/>
      </c>
      <c r="EM5" s="28" t="str">
        <f>IFERROR(__xludf.DUMMYFUNCTION("""COMPUTED_VALUE"""),"")</f>
        <v/>
      </c>
      <c r="EN5" s="28" t="str">
        <f>IFERROR(__xludf.DUMMYFUNCTION("""COMPUTED_VALUE"""),"")</f>
        <v/>
      </c>
      <c r="EO5" s="28" t="str">
        <f>IFERROR(__xludf.DUMMYFUNCTION("""COMPUTED_VALUE"""),"")</f>
        <v/>
      </c>
      <c r="EP5" s="28" t="str">
        <f>IFERROR(__xludf.DUMMYFUNCTION("""COMPUTED_VALUE"""),"")</f>
        <v/>
      </c>
      <c r="EQ5" s="28" t="str">
        <f>IFERROR(__xludf.DUMMYFUNCTION("""COMPUTED_VALUE"""),"")</f>
        <v/>
      </c>
      <c r="ER5" s="28" t="str">
        <f>IFERROR(__xludf.DUMMYFUNCTION("""COMPUTED_VALUE"""),"")</f>
        <v/>
      </c>
      <c r="ES5" s="28" t="str">
        <f>IFERROR(__xludf.DUMMYFUNCTION("""COMPUTED_VALUE"""),"")</f>
        <v/>
      </c>
      <c r="ET5" s="28" t="str">
        <f>IFERROR(__xludf.DUMMYFUNCTION("""COMPUTED_VALUE"""),"")</f>
        <v/>
      </c>
      <c r="EU5" s="28" t="str">
        <f>IFERROR(__xludf.DUMMYFUNCTION("""COMPUTED_VALUE"""),"")</f>
        <v/>
      </c>
      <c r="EV5" s="28" t="str">
        <f>IFERROR(__xludf.DUMMYFUNCTION("""COMPUTED_VALUE"""),"")</f>
        <v/>
      </c>
      <c r="EW5" s="28" t="str">
        <f>IFERROR(__xludf.DUMMYFUNCTION("""COMPUTED_VALUE"""),"")</f>
        <v/>
      </c>
      <c r="EX5" s="28" t="str">
        <f>IFERROR(__xludf.DUMMYFUNCTION("""COMPUTED_VALUE"""),"")</f>
        <v/>
      </c>
    </row>
    <row r="6" ht="15.75" customHeight="1">
      <c r="A6" s="15"/>
      <c r="B6" s="29">
        <f>today()-2</f>
        <v>43661</v>
      </c>
      <c r="C6" s="30">
        <f>today()-1</f>
        <v>43662</v>
      </c>
      <c r="D6" s="15"/>
      <c r="E6" s="31"/>
      <c r="F6" s="7"/>
      <c r="G6" s="7"/>
      <c r="H6" s="7"/>
      <c r="I6" s="7"/>
      <c r="J6" s="7"/>
      <c r="K6" s="7"/>
      <c r="L6" s="7"/>
      <c r="M6" s="7"/>
      <c r="N6" s="7"/>
      <c r="O6" s="7"/>
    </row>
    <row r="7" ht="15.75" customHeight="1">
      <c r="A7" s="7"/>
      <c r="B7" s="7"/>
      <c r="C7" s="7"/>
      <c r="D7" s="7"/>
      <c r="E7" s="7"/>
      <c r="F7" s="7"/>
      <c r="G7" s="7"/>
      <c r="H7" s="7"/>
      <c r="I7" s="7"/>
      <c r="J7" s="7"/>
      <c r="K7" s="7"/>
      <c r="L7" s="7"/>
      <c r="M7" s="7"/>
      <c r="N7" s="7"/>
      <c r="O7" s="7"/>
    </row>
    <row r="8" ht="15.75" customHeight="1">
      <c r="A8" s="7"/>
      <c r="B8" s="7"/>
      <c r="C8" s="7"/>
      <c r="D8" s="7"/>
      <c r="E8" s="7"/>
      <c r="F8" s="7"/>
      <c r="G8" s="7"/>
      <c r="H8" s="7"/>
      <c r="I8" s="7"/>
      <c r="J8" s="7"/>
      <c r="K8" s="7"/>
      <c r="L8" s="7"/>
      <c r="M8" s="7"/>
      <c r="N8" s="7"/>
      <c r="O8" s="7"/>
    </row>
    <row r="9" ht="15.75" customHeight="1">
      <c r="A9" s="7"/>
      <c r="B9" s="7"/>
      <c r="C9" s="7"/>
      <c r="D9" s="7"/>
      <c r="E9" s="7"/>
      <c r="F9" s="7"/>
      <c r="G9" s="7"/>
      <c r="H9" s="7"/>
      <c r="I9" s="7"/>
      <c r="J9" s="7"/>
      <c r="K9" s="7"/>
      <c r="L9" s="7"/>
      <c r="M9" s="7"/>
      <c r="N9" s="7"/>
      <c r="O9" s="7"/>
    </row>
    <row r="10" ht="15.75" customHeight="1">
      <c r="A10" s="7"/>
      <c r="B10" s="7"/>
      <c r="C10" s="7"/>
      <c r="D10" s="7"/>
      <c r="E10" s="7"/>
      <c r="F10" s="7"/>
      <c r="G10" s="7"/>
      <c r="H10" s="7"/>
      <c r="I10" s="7"/>
      <c r="J10" s="7"/>
      <c r="K10" s="7"/>
      <c r="L10" s="7"/>
      <c r="M10" s="7"/>
      <c r="N10" s="7"/>
      <c r="O10" s="7"/>
    </row>
    <row r="11" ht="15.75" customHeight="1">
      <c r="A11" s="7"/>
      <c r="B11" s="7"/>
      <c r="C11" s="7"/>
      <c r="D11" s="7"/>
      <c r="E11" s="7"/>
      <c r="F11" s="7"/>
      <c r="G11" s="7"/>
      <c r="H11" s="7"/>
      <c r="I11" s="7"/>
      <c r="J11" s="7"/>
      <c r="K11" s="7"/>
      <c r="L11" s="7"/>
      <c r="M11" s="7"/>
      <c r="N11" s="7"/>
      <c r="O11" s="7"/>
    </row>
    <row r="12" ht="15.75" customHeight="1">
      <c r="A12" s="7"/>
      <c r="B12" s="7"/>
      <c r="C12" s="7"/>
      <c r="D12" s="7"/>
      <c r="E12" s="7"/>
      <c r="F12" s="7"/>
      <c r="G12" s="7"/>
      <c r="H12" s="7"/>
      <c r="I12" s="7"/>
      <c r="J12" s="7"/>
      <c r="K12" s="7"/>
      <c r="L12" s="7"/>
      <c r="M12" s="7"/>
      <c r="N12" s="7"/>
      <c r="O12" s="7"/>
    </row>
    <row r="13" ht="15.75" customHeight="1">
      <c r="A13" s="7"/>
      <c r="B13" s="7"/>
      <c r="C13" s="7"/>
      <c r="D13" s="7"/>
      <c r="E13" s="7"/>
      <c r="F13" s="7"/>
      <c r="G13" s="7"/>
      <c r="H13" s="7"/>
      <c r="I13" s="7"/>
      <c r="J13" s="7"/>
      <c r="K13" s="7"/>
      <c r="L13" s="7"/>
      <c r="M13" s="7"/>
      <c r="N13" s="7"/>
      <c r="O13" s="7"/>
    </row>
    <row r="14" ht="15.75" customHeight="1">
      <c r="A14" s="7"/>
      <c r="B14" s="7"/>
      <c r="C14" s="7"/>
      <c r="D14" s="7"/>
      <c r="E14" s="7"/>
      <c r="F14" s="7"/>
      <c r="G14" s="7"/>
      <c r="H14" s="7"/>
      <c r="I14" s="7"/>
      <c r="J14" s="7"/>
      <c r="K14" s="7"/>
      <c r="L14" s="7"/>
      <c r="M14" s="7"/>
      <c r="N14" s="7"/>
      <c r="O14" s="7"/>
    </row>
    <row r="15" ht="15.75" customHeight="1">
      <c r="A15" s="7"/>
      <c r="B15" s="7"/>
      <c r="C15" s="7"/>
      <c r="D15" s="7"/>
      <c r="E15" s="7"/>
      <c r="F15" s="7"/>
      <c r="G15" s="7"/>
      <c r="H15" s="7"/>
      <c r="I15" s="7"/>
      <c r="J15" s="7"/>
      <c r="K15" s="7"/>
      <c r="L15" s="7"/>
      <c r="M15" s="7"/>
      <c r="N15" s="7"/>
      <c r="O15" s="7"/>
    </row>
    <row r="16" ht="15.75" customHeight="1">
      <c r="A16" s="7"/>
      <c r="B16" s="7"/>
      <c r="C16" s="7"/>
      <c r="D16" s="7"/>
      <c r="E16" s="7"/>
      <c r="F16" s="7"/>
      <c r="G16" s="7"/>
      <c r="H16" s="7"/>
      <c r="I16" s="7"/>
      <c r="J16" s="7"/>
      <c r="K16" s="7"/>
      <c r="L16" s="7"/>
      <c r="M16" s="7"/>
      <c r="N16" s="7"/>
      <c r="O16" s="7"/>
    </row>
    <row r="17" ht="15.75" customHeight="1">
      <c r="A17" s="7"/>
      <c r="B17" s="7"/>
      <c r="C17" s="7"/>
      <c r="D17" s="7"/>
      <c r="E17" s="7"/>
      <c r="F17" s="7"/>
      <c r="G17" s="7"/>
      <c r="H17" s="7"/>
      <c r="I17" s="7"/>
      <c r="J17" s="7"/>
      <c r="K17" s="7"/>
      <c r="L17" s="7"/>
      <c r="M17" s="7"/>
      <c r="N17" s="7"/>
      <c r="O17" s="7"/>
    </row>
    <row r="18" ht="15.75" customHeight="1">
      <c r="A18" s="7"/>
      <c r="B18" s="7"/>
      <c r="C18" s="7"/>
      <c r="D18" s="7"/>
      <c r="E18" s="7"/>
      <c r="F18" s="7"/>
      <c r="G18" s="7"/>
      <c r="H18" s="7"/>
      <c r="I18" s="7"/>
      <c r="J18" s="7"/>
      <c r="K18" s="7"/>
      <c r="L18" s="7"/>
      <c r="M18" s="7"/>
      <c r="N18" s="7"/>
      <c r="O18" s="7"/>
    </row>
    <row r="19" ht="15.75" customHeight="1">
      <c r="A19" s="7"/>
      <c r="B19" s="7"/>
      <c r="C19" s="7"/>
      <c r="D19" s="7"/>
      <c r="E19" s="7"/>
      <c r="F19" s="7"/>
      <c r="G19" s="7"/>
      <c r="H19" s="7"/>
      <c r="I19" s="7"/>
      <c r="J19" s="7"/>
      <c r="K19" s="7"/>
      <c r="L19" s="7"/>
      <c r="M19" s="7"/>
      <c r="N19" s="7"/>
      <c r="O19" s="7"/>
    </row>
    <row r="20" ht="15.75" customHeight="1">
      <c r="A20" s="7"/>
      <c r="B20" s="7"/>
      <c r="C20" s="7"/>
      <c r="D20" s="7"/>
      <c r="E20" s="7"/>
      <c r="F20" s="7"/>
      <c r="G20" s="7"/>
      <c r="H20" s="7"/>
      <c r="I20" s="7"/>
      <c r="J20" s="7"/>
      <c r="K20" s="7"/>
      <c r="L20" s="7"/>
      <c r="M20" s="7"/>
      <c r="N20" s="7"/>
      <c r="O20" s="7"/>
    </row>
    <row r="21" ht="15.75" customHeight="1">
      <c r="A21" s="7"/>
      <c r="B21" s="7"/>
      <c r="C21" s="7"/>
      <c r="D21" s="7"/>
      <c r="E21" s="7"/>
      <c r="F21" s="7"/>
      <c r="G21" s="7"/>
      <c r="H21" s="7"/>
      <c r="I21" s="7"/>
      <c r="J21" s="7"/>
      <c r="K21" s="7"/>
      <c r="L21" s="7"/>
      <c r="M21" s="7"/>
      <c r="N21" s="7"/>
      <c r="O21" s="7"/>
    </row>
    <row r="22" ht="15.75" customHeight="1">
      <c r="A22" s="7"/>
      <c r="B22" s="7"/>
      <c r="C22" s="7"/>
      <c r="D22" s="7"/>
      <c r="E22" s="7"/>
      <c r="F22" s="7"/>
      <c r="G22" s="7"/>
      <c r="H22" s="7"/>
      <c r="I22" s="7"/>
      <c r="J22" s="7"/>
      <c r="K22" s="7"/>
      <c r="L22" s="7"/>
      <c r="M22" s="7"/>
      <c r="N22" s="7"/>
      <c r="O22" s="7"/>
    </row>
    <row r="23" ht="15.75" customHeight="1">
      <c r="A23" s="7"/>
      <c r="B23" s="7"/>
      <c r="C23" s="7"/>
      <c r="D23" s="7"/>
      <c r="E23" s="7"/>
      <c r="F23" s="7"/>
      <c r="G23" s="7"/>
      <c r="H23" s="7"/>
      <c r="I23" s="7"/>
      <c r="J23" s="7"/>
      <c r="K23" s="7"/>
      <c r="L23" s="7"/>
      <c r="M23" s="7"/>
      <c r="N23" s="7"/>
      <c r="O23" s="7"/>
    </row>
    <row r="24" ht="15.75" customHeight="1">
      <c r="A24" s="7"/>
      <c r="B24" s="7"/>
      <c r="C24" s="7"/>
      <c r="D24" s="7"/>
      <c r="E24" s="7"/>
      <c r="F24" s="7"/>
      <c r="G24" s="7"/>
      <c r="H24" s="7"/>
      <c r="I24" s="7"/>
      <c r="J24" s="7"/>
      <c r="K24" s="7"/>
      <c r="L24" s="7"/>
      <c r="M24" s="7"/>
      <c r="N24" s="7"/>
      <c r="O24" s="7"/>
    </row>
    <row r="25" ht="15.75" customHeight="1">
      <c r="A25" s="7"/>
      <c r="B25" s="7"/>
      <c r="C25" s="7"/>
      <c r="D25" s="7"/>
      <c r="E25" s="7"/>
      <c r="F25" s="7"/>
      <c r="G25" s="7"/>
      <c r="H25" s="7"/>
      <c r="I25" s="7"/>
      <c r="J25" s="7"/>
      <c r="K25" s="7"/>
      <c r="L25" s="7"/>
      <c r="M25" s="7"/>
      <c r="N25" s="7"/>
      <c r="O25" s="7"/>
    </row>
    <row r="26" ht="15.75" customHeight="1">
      <c r="A26" s="7"/>
      <c r="B26" s="7"/>
      <c r="C26" s="7"/>
      <c r="D26" s="7"/>
      <c r="E26" s="7"/>
      <c r="F26" s="7"/>
      <c r="G26" s="7"/>
      <c r="H26" s="7"/>
      <c r="I26" s="7"/>
      <c r="J26" s="7"/>
      <c r="K26" s="7"/>
      <c r="L26" s="7"/>
      <c r="M26" s="7"/>
      <c r="N26" s="7"/>
      <c r="O26" s="7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GetMarkPriceData!$4:$4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 format for current sheet" sqref="G3">
      <formula1>"Input Format,Output Format"</formula1>
    </dataValidation>
  </dataValidations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7"/>
      <c r="B1" s="2" t="s">
        <v>11</v>
      </c>
      <c r="C1" s="3"/>
      <c r="D1" s="3"/>
      <c r="E1" s="3"/>
      <c r="F1" s="3"/>
      <c r="G1" s="3"/>
      <c r="H1" s="5"/>
      <c r="I1" s="17"/>
      <c r="J1" s="17"/>
      <c r="K1" s="17"/>
      <c r="L1" s="17"/>
      <c r="M1" s="17"/>
      <c r="N1" s="17"/>
      <c r="O1" s="17"/>
      <c r="P1" s="18"/>
      <c r="Q1" s="18"/>
      <c r="R1" s="18"/>
      <c r="S1" s="18"/>
      <c r="T1" s="18"/>
      <c r="U1" s="18"/>
      <c r="V1" s="18"/>
      <c r="W1" s="18"/>
      <c r="X1" s="18"/>
      <c r="Y1" s="18"/>
      <c r="Z1" s="18"/>
      <c r="AA1" s="18"/>
      <c r="AB1" s="18"/>
      <c r="AC1" s="18"/>
      <c r="AD1" s="18"/>
      <c r="AE1" s="18"/>
      <c r="AF1" s="18"/>
      <c r="AG1" s="18"/>
      <c r="AH1" s="18"/>
      <c r="AI1" s="18"/>
      <c r="AJ1" s="18"/>
      <c r="AK1" s="18"/>
      <c r="AL1" s="18"/>
      <c r="AM1" s="18"/>
      <c r="AN1" s="18"/>
      <c r="AO1" s="18"/>
      <c r="AP1" s="18"/>
      <c r="AQ1" s="18"/>
      <c r="AR1" s="18"/>
      <c r="AS1" s="18"/>
      <c r="AT1" s="18"/>
      <c r="AU1" s="18"/>
      <c r="AV1" s="18"/>
      <c r="AW1" s="18"/>
      <c r="AX1" s="18"/>
      <c r="AY1" s="18"/>
      <c r="AZ1" s="18"/>
      <c r="BA1" s="18"/>
      <c r="BB1" s="18"/>
      <c r="BC1" s="18"/>
      <c r="BD1" s="18"/>
      <c r="BE1" s="18"/>
      <c r="BF1" s="18"/>
      <c r="BG1" s="18"/>
      <c r="BH1" s="18"/>
      <c r="BI1" s="18"/>
      <c r="BJ1" s="18"/>
      <c r="BK1" s="18"/>
      <c r="BL1" s="18"/>
      <c r="BM1" s="18"/>
      <c r="BN1" s="18"/>
      <c r="BO1" s="18"/>
      <c r="BP1" s="18"/>
      <c r="BQ1" s="18"/>
      <c r="BR1" s="18"/>
      <c r="BS1" s="18"/>
      <c r="BT1" s="18"/>
      <c r="BU1" s="18"/>
      <c r="BV1" s="18"/>
      <c r="BW1" s="18"/>
      <c r="BX1" s="18"/>
      <c r="BY1" s="18"/>
      <c r="BZ1" s="18"/>
      <c r="CA1" s="18"/>
      <c r="CB1" s="18"/>
      <c r="CC1" s="18"/>
      <c r="CD1" s="18"/>
      <c r="CE1" s="18"/>
      <c r="CF1" s="18"/>
      <c r="CG1" s="18"/>
      <c r="CH1" s="18"/>
      <c r="CI1" s="18"/>
      <c r="CJ1" s="18"/>
      <c r="CK1" s="18"/>
      <c r="CL1" s="18"/>
      <c r="CM1" s="18"/>
      <c r="CN1" s="18"/>
      <c r="CO1" s="18"/>
      <c r="CP1" s="18"/>
      <c r="CQ1" s="18"/>
      <c r="CR1" s="18"/>
      <c r="CS1" s="18"/>
      <c r="CT1" s="18"/>
      <c r="CU1" s="18"/>
      <c r="CV1" s="18"/>
      <c r="CW1" s="18"/>
      <c r="CX1" s="18"/>
      <c r="CY1" s="18"/>
      <c r="CZ1" s="18"/>
      <c r="DA1" s="18"/>
      <c r="DB1" s="18"/>
      <c r="DC1" s="18"/>
      <c r="DD1" s="18"/>
      <c r="DE1" s="18"/>
      <c r="DF1" s="18"/>
      <c r="DG1" s="18"/>
      <c r="DH1" s="18"/>
      <c r="DI1" s="18"/>
      <c r="DJ1" s="18"/>
      <c r="DK1" s="18"/>
      <c r="DL1" s="18"/>
      <c r="DM1" s="18"/>
      <c r="DN1" s="18"/>
      <c r="DO1" s="18"/>
      <c r="DP1" s="18"/>
      <c r="DQ1" s="18"/>
      <c r="DR1" s="18"/>
      <c r="DS1" s="18"/>
      <c r="DT1" s="18"/>
      <c r="DU1" s="18"/>
      <c r="DV1" s="18"/>
      <c r="DW1" s="18"/>
      <c r="DX1" s="18"/>
      <c r="DY1" s="18"/>
      <c r="DZ1" s="18"/>
      <c r="EA1" s="18"/>
      <c r="EB1" s="18"/>
      <c r="EC1" s="18"/>
      <c r="ED1" s="18"/>
      <c r="EE1" s="18"/>
      <c r="EF1" s="18"/>
      <c r="EG1" s="18"/>
      <c r="EH1" s="18"/>
      <c r="EI1" s="18"/>
      <c r="EJ1" s="18"/>
      <c r="EK1" s="18"/>
      <c r="EL1" s="18"/>
      <c r="EM1" s="18"/>
      <c r="EN1" s="18"/>
      <c r="EO1" s="18"/>
      <c r="EP1" s="18"/>
      <c r="EQ1" s="18"/>
      <c r="ER1" s="18"/>
      <c r="ES1" s="18"/>
      <c r="ET1" s="18"/>
      <c r="EU1" s="18"/>
      <c r="EV1" s="18"/>
      <c r="EW1" s="18"/>
      <c r="EX1" s="18"/>
    </row>
    <row r="2" ht="15.75" customHeight="1">
      <c r="A2" s="7"/>
      <c r="B2" s="7"/>
      <c r="C2" s="7"/>
      <c r="D2" s="7"/>
      <c r="E2" s="7"/>
      <c r="F2" s="7"/>
      <c r="G2" s="7"/>
      <c r="H2" s="7"/>
      <c r="I2" s="7"/>
      <c r="J2" s="19" t="str">
        <f> VLOOKUP($E$3,'_MasterData'!B4:D1000,3,FALSE)</f>
        <v>#N/A</v>
      </c>
      <c r="K2" s="19"/>
      <c r="L2" s="7"/>
      <c r="M2" s="7"/>
      <c r="N2" s="7"/>
      <c r="O2" s="7"/>
    </row>
    <row r="3" ht="15.75" customHeight="1">
      <c r="A3" s="20"/>
      <c r="B3" s="9" t="s">
        <v>3</v>
      </c>
      <c r="C3" s="21" t="s">
        <v>12</v>
      </c>
      <c r="D3" s="9" t="s">
        <v>6</v>
      </c>
      <c r="E3" s="21" t="s">
        <v>26</v>
      </c>
      <c r="F3" s="9" t="s">
        <v>15</v>
      </c>
      <c r="G3" s="16" t="s">
        <v>17</v>
      </c>
      <c r="H3" s="9"/>
      <c r="I3" s="20"/>
      <c r="J3" s="20"/>
      <c r="K3" s="20"/>
      <c r="L3" s="20"/>
      <c r="M3" s="20"/>
      <c r="N3" s="20"/>
      <c r="O3" s="20"/>
      <c r="P3" s="22"/>
      <c r="Q3" s="22"/>
      <c r="R3" s="22"/>
      <c r="S3" s="22"/>
      <c r="T3" s="22"/>
      <c r="U3" s="22"/>
      <c r="V3" s="22"/>
      <c r="W3" s="22"/>
      <c r="X3" s="22"/>
      <c r="Y3" s="22"/>
      <c r="Z3" s="22"/>
      <c r="AA3" s="22"/>
      <c r="AB3" s="22"/>
      <c r="AC3" s="22"/>
      <c r="AD3" s="22"/>
      <c r="AE3" s="22"/>
      <c r="AF3" s="22"/>
      <c r="AG3" s="22"/>
      <c r="AH3" s="22"/>
      <c r="AI3" s="22"/>
      <c r="AJ3" s="22"/>
      <c r="AK3" s="22"/>
      <c r="AL3" s="22"/>
      <c r="AM3" s="22"/>
      <c r="AN3" s="22"/>
      <c r="AO3" s="22"/>
      <c r="AP3" s="22"/>
      <c r="AQ3" s="22"/>
      <c r="AR3" s="22"/>
      <c r="AS3" s="22"/>
      <c r="AT3" s="22"/>
      <c r="AU3" s="22"/>
      <c r="AV3" s="22"/>
      <c r="AW3" s="22"/>
      <c r="AX3" s="22"/>
      <c r="AY3" s="22"/>
      <c r="AZ3" s="22"/>
      <c r="BA3" s="22"/>
      <c r="BB3" s="22"/>
      <c r="BC3" s="22"/>
      <c r="BD3" s="22"/>
      <c r="BE3" s="22"/>
      <c r="BF3" s="22"/>
      <c r="BG3" s="22"/>
      <c r="BH3" s="22"/>
      <c r="BI3" s="22"/>
      <c r="BJ3" s="22"/>
      <c r="BK3" s="22"/>
      <c r="BL3" s="22"/>
      <c r="BM3" s="22"/>
      <c r="BN3" s="22"/>
      <c r="BO3" s="22"/>
      <c r="BP3" s="22"/>
      <c r="BQ3" s="22"/>
      <c r="BR3" s="22"/>
      <c r="BS3" s="22"/>
      <c r="BT3" s="22"/>
      <c r="BU3" s="22"/>
      <c r="BV3" s="22"/>
      <c r="BW3" s="22"/>
      <c r="BX3" s="22"/>
      <c r="BY3" s="22"/>
      <c r="BZ3" s="22"/>
      <c r="CA3" s="22"/>
      <c r="CB3" s="22"/>
      <c r="CC3" s="22"/>
      <c r="CD3" s="22"/>
      <c r="CE3" s="22"/>
      <c r="CF3" s="22"/>
      <c r="CG3" s="22"/>
      <c r="CH3" s="22"/>
      <c r="CI3" s="22"/>
      <c r="CJ3" s="22"/>
      <c r="CK3" s="22"/>
      <c r="CL3" s="22"/>
      <c r="CM3" s="22"/>
      <c r="CN3" s="22"/>
      <c r="CO3" s="22"/>
      <c r="CP3" s="22"/>
      <c r="CQ3" s="22"/>
      <c r="CR3" s="22"/>
      <c r="CS3" s="22"/>
      <c r="CT3" s="22"/>
      <c r="CU3" s="22"/>
      <c r="CV3" s="22"/>
      <c r="CW3" s="22"/>
      <c r="CX3" s="22"/>
      <c r="CY3" s="22"/>
      <c r="CZ3" s="22"/>
      <c r="DA3" s="22"/>
      <c r="DB3" s="22"/>
      <c r="DC3" s="22"/>
      <c r="DD3" s="22"/>
      <c r="DE3" s="22"/>
      <c r="DF3" s="22"/>
      <c r="DG3" s="22"/>
      <c r="DH3" s="22"/>
      <c r="DI3" s="22"/>
      <c r="DJ3" s="22"/>
      <c r="DK3" s="22"/>
      <c r="DL3" s="22"/>
      <c r="DM3" s="22"/>
      <c r="DN3" s="22"/>
      <c r="DO3" s="22"/>
      <c r="DP3" s="22"/>
      <c r="DQ3" s="22"/>
      <c r="DR3" s="22"/>
      <c r="DS3" s="22"/>
      <c r="DT3" s="22"/>
      <c r="DU3" s="22"/>
      <c r="DV3" s="22"/>
      <c r="DW3" s="22"/>
      <c r="DX3" s="22"/>
      <c r="DY3" s="22"/>
      <c r="DZ3" s="22"/>
      <c r="EA3" s="22"/>
      <c r="EB3" s="22"/>
      <c r="EC3" s="22"/>
      <c r="ED3" s="22"/>
      <c r="EE3" s="22"/>
      <c r="EF3" s="22"/>
      <c r="EG3" s="22"/>
      <c r="EH3" s="22"/>
      <c r="EI3" s="22"/>
      <c r="EJ3" s="22"/>
      <c r="EK3" s="22"/>
      <c r="EL3" s="22"/>
      <c r="EM3" s="22"/>
      <c r="EN3" s="22"/>
      <c r="EO3" s="22"/>
      <c r="EP3" s="22"/>
      <c r="EQ3" s="22"/>
      <c r="ER3" s="22"/>
      <c r="ES3" s="22"/>
      <c r="ET3" s="22"/>
      <c r="EU3" s="22"/>
      <c r="EV3" s="22"/>
      <c r="EW3" s="22"/>
      <c r="EX3" s="22"/>
    </row>
    <row r="4" ht="15.75" customHeight="1">
      <c r="A4" s="23"/>
      <c r="B4" s="23" t="str">
        <f>IFERROR(__xludf.DUMMYFUNCTION("IF(C3="""","""",Transpose(IMPORTRANGE('_Settings'!$B$3,C3&amp;""!A4:A1000"")))"),"UpdateBeta")</f>
        <v>UpdateBeta</v>
      </c>
      <c r="C4" s="23" t="str">
        <f>IFERROR(__xludf.DUMMYFUNCTION("""COMPUTED_VALUE"""),"UpdateDailyCash")</f>
        <v>UpdateDailyCash</v>
      </c>
      <c r="D4" s="23" t="str">
        <f>IFERROR(__xludf.DUMMYFUNCTION("""COMPUTED_VALUE"""),"UpdateForexConversion")</f>
        <v>UpdateForexConversion</v>
      </c>
      <c r="E4" s="23" t="str">
        <f>IFERROR(__xludf.DUMMYFUNCTION("""COMPUTED_VALUE"""),"UpdateMarkPrice")</f>
        <v>UpdateMarkPrice</v>
      </c>
      <c r="F4" s="23" t="str">
        <f>IFERROR(__xludf.DUMMYFUNCTION("""COMPUTED_VALUE"""),"CleanUp")</f>
        <v>CleanUp</v>
      </c>
      <c r="G4" s="23" t="str">
        <f>IFERROR(__xludf.DUMMYFUNCTION("""COMPUTED_VALUE"""),"GetMarkPriceData")</f>
        <v>GetMarkPriceData</v>
      </c>
      <c r="H4" s="23" t="str">
        <f>IFERROR(__xludf.DUMMYFUNCTION("""COMPUTED_VALUE"""),"GetForwardPoints")</f>
        <v>GetForwardPoints</v>
      </c>
      <c r="I4" s="23" t="str">
        <f>IFERROR(__xludf.DUMMYFUNCTION("""COMPUTED_VALUE"""),"UpdateForwardPoints")</f>
        <v>UpdateForwardPoints</v>
      </c>
      <c r="J4" s="23" t="str">
        <f>IFERROR(__xludf.DUMMYFUNCTION("""COMPUTED_VALUE"""),"GetForexConversion")</f>
        <v>GetForexConversion</v>
      </c>
      <c r="K4" s="23" t="str">
        <f>IFERROR(__xludf.DUMMYFUNCTION("""COMPUTED_VALUE"""),"DeleteNAV")</f>
        <v>DeleteNAV</v>
      </c>
      <c r="L4" s="23" t="str">
        <f>IFERROR(__xludf.DUMMYFUNCTION("""COMPUTED_VALUE"""),"GetDailyCash")</f>
        <v>GetDailyCash</v>
      </c>
      <c r="M4" s="23" t="str">
        <f>IFERROR(__xludf.DUMMYFUNCTION("""COMPUTED_VALUE"""),"GetDailyBeta")</f>
        <v>GetDailyBeta</v>
      </c>
      <c r="N4" s="23" t="str">
        <f>IFERROR(__xludf.DUMMYFUNCTION("""COMPUTED_VALUE"""),"GetDailyVolatility")</f>
        <v>GetDailyVolatility</v>
      </c>
      <c r="O4" s="23" t="str">
        <f>IFERROR(__xludf.DUMMYFUNCTION("""COMPUTED_VALUE"""),"GetDailyDividendYield")</f>
        <v>GetDailyDividendYield</v>
      </c>
      <c r="P4" s="24" t="str">
        <f>IFERROR(__xludf.DUMMYFUNCTION("""COMPUTED_VALUE"""),"GetDailyTradingVolume")</f>
        <v>GetDailyTradingVolume</v>
      </c>
      <c r="Q4" s="24" t="str">
        <f>IFERROR(__xludf.DUMMYFUNCTION("""COMPUTED_VALUE"""),"GetDailyOutstandings")</f>
        <v>GetDailyOutstandings</v>
      </c>
      <c r="R4" s="24" t="str">
        <f>IFERROR(__xludf.DUMMYFUNCTION("""COMPUTED_VALUE"""),"GetDailyDelta")</f>
        <v>GetDailyDelta</v>
      </c>
      <c r="S4" s="24" t="str">
        <f>IFERROR(__xludf.DUMMYFUNCTION("""COMPUTED_VALUE"""),"UpdateDailyVolatility")</f>
        <v>UpdateDailyVolatility</v>
      </c>
      <c r="T4" s="24" t="str">
        <f>IFERROR(__xludf.DUMMYFUNCTION("""COMPUTED_VALUE"""),"UpdateDividendYield")</f>
        <v>UpdateDividendYield</v>
      </c>
      <c r="U4" s="24" t="str">
        <f>IFERROR(__xludf.DUMMYFUNCTION("""COMPUTED_VALUE"""),"UpdateTradingVolume")</f>
        <v>UpdateTradingVolume</v>
      </c>
      <c r="V4" s="24" t="str">
        <f>IFERROR(__xludf.DUMMYFUNCTION("""COMPUTED_VALUE"""),"UpdateDailyDelta")</f>
        <v>UpdateDailyDelta</v>
      </c>
      <c r="W4" s="24" t="str">
        <f>IFERROR(__xludf.DUMMYFUNCTION("""COMPUTED_VALUE"""),"UpdateDailyOutstandings")</f>
        <v>UpdateDailyOutstandings</v>
      </c>
      <c r="X4" s="24" t="str">
        <f>IFERROR(__xludf.DUMMYFUNCTION("""COMPUTED_VALUE"""),"UpdateBeta")</f>
        <v>UpdateBeta</v>
      </c>
      <c r="Y4" s="24" t="str">
        <f>IFERROR(__xludf.DUMMYFUNCTION("""COMPUTED_VALUE"""),"UpdateNAV")</f>
        <v>UpdateNAV</v>
      </c>
      <c r="Z4" s="24" t="str">
        <f>IFERROR(__xludf.DUMMYFUNCTION("""COMPUTED_VALUE"""),"UpdateDailyCash")</f>
        <v>UpdateDailyCash</v>
      </c>
      <c r="AA4" s="24" t="str">
        <f>IFERROR(__xludf.DUMMYFUNCTION("""COMPUTED_VALUE"""),"UpdateDailyCreditLimt")</f>
        <v>UpdateDailyCreditLimt</v>
      </c>
      <c r="AB4" s="24" t="str">
        <f>IFERROR(__xludf.DUMMYFUNCTION("""COMPUTED_VALUE"""),"RemoveDailyCreditLimit")</f>
        <v>RemoveDailyCreditLimit</v>
      </c>
      <c r="AC4" s="24" t="str">
        <f>IFERROR(__xludf.DUMMYFUNCTION("""COMPUTED_VALUE"""),"RemoveDailyCash")</f>
        <v>RemoveDailyCash</v>
      </c>
      <c r="AD4" s="24" t="str">
        <f>IFERROR(__xludf.DUMMYFUNCTION("""COMPUTED_VALUE"""),"RemoveNAV")</f>
        <v>RemoveNAV</v>
      </c>
      <c r="AE4" s="24" t="str">
        <f>IFERROR(__xludf.DUMMYFUNCTION("""COMPUTED_VALUE"""),"UpdateForexConversionMonthly")</f>
        <v>UpdateForexConversionMonthly</v>
      </c>
      <c r="AF4" s="24" t="str">
        <f>IFERROR(__xludf.DUMMYFUNCTION("""COMPUTED_VALUE"""),"UpdateMarkPriceMonthly")</f>
        <v>UpdateMarkPriceMonthly</v>
      </c>
      <c r="AG4" s="24" t="str">
        <f>IFERROR(__xludf.DUMMYFUNCTION("""COMPUTED_VALUE"""),"")</f>
        <v/>
      </c>
      <c r="AH4" s="24" t="str">
        <f>IFERROR(__xludf.DUMMYFUNCTION("""COMPUTED_VALUE"""),"")</f>
        <v/>
      </c>
      <c r="AI4" s="24" t="str">
        <f>IFERROR(__xludf.DUMMYFUNCTION("""COMPUTED_VALUE"""),"")</f>
        <v/>
      </c>
      <c r="AJ4" s="24" t="str">
        <f>IFERROR(__xludf.DUMMYFUNCTION("""COMPUTED_VALUE"""),"")</f>
        <v/>
      </c>
      <c r="AK4" s="24" t="str">
        <f>IFERROR(__xludf.DUMMYFUNCTION("""COMPUTED_VALUE"""),"")</f>
        <v/>
      </c>
      <c r="AL4" s="24" t="str">
        <f>IFERROR(__xludf.DUMMYFUNCTION("""COMPUTED_VALUE"""),"")</f>
        <v/>
      </c>
      <c r="AM4" s="24" t="str">
        <f>IFERROR(__xludf.DUMMYFUNCTION("""COMPUTED_VALUE"""),"")</f>
        <v/>
      </c>
      <c r="AN4" s="24" t="str">
        <f>IFERROR(__xludf.DUMMYFUNCTION("""COMPUTED_VALUE"""),"")</f>
        <v/>
      </c>
      <c r="AO4" s="24" t="str">
        <f>IFERROR(__xludf.DUMMYFUNCTION("""COMPUTED_VALUE"""),"")</f>
        <v/>
      </c>
      <c r="AP4" s="24" t="str">
        <f>IFERROR(__xludf.DUMMYFUNCTION("""COMPUTED_VALUE"""),"")</f>
        <v/>
      </c>
      <c r="AQ4" s="24" t="str">
        <f>IFERROR(__xludf.DUMMYFUNCTION("""COMPUTED_VALUE"""),"")</f>
        <v/>
      </c>
      <c r="AR4" s="24" t="str">
        <f>IFERROR(__xludf.DUMMYFUNCTION("""COMPUTED_VALUE"""),"")</f>
        <v/>
      </c>
      <c r="AS4" s="24" t="str">
        <f>IFERROR(__xludf.DUMMYFUNCTION("""COMPUTED_VALUE"""),"")</f>
        <v/>
      </c>
      <c r="AT4" s="24" t="str">
        <f>IFERROR(__xludf.DUMMYFUNCTION("""COMPUTED_VALUE"""),"")</f>
        <v/>
      </c>
      <c r="AU4" s="24" t="str">
        <f>IFERROR(__xludf.DUMMYFUNCTION("""COMPUTED_VALUE"""),"")</f>
        <v/>
      </c>
      <c r="AV4" s="24" t="str">
        <f>IFERROR(__xludf.DUMMYFUNCTION("""COMPUTED_VALUE"""),"")</f>
        <v/>
      </c>
      <c r="AW4" s="24" t="str">
        <f>IFERROR(__xludf.DUMMYFUNCTION("""COMPUTED_VALUE"""),"")</f>
        <v/>
      </c>
      <c r="AX4" s="24" t="str">
        <f>IFERROR(__xludf.DUMMYFUNCTION("""COMPUTED_VALUE"""),"")</f>
        <v/>
      </c>
      <c r="AY4" s="24" t="str">
        <f>IFERROR(__xludf.DUMMYFUNCTION("""COMPUTED_VALUE"""),"")</f>
        <v/>
      </c>
      <c r="AZ4" s="24" t="str">
        <f>IFERROR(__xludf.DUMMYFUNCTION("""COMPUTED_VALUE"""),"")</f>
        <v/>
      </c>
      <c r="BA4" s="24" t="str">
        <f>IFERROR(__xludf.DUMMYFUNCTION("""COMPUTED_VALUE"""),"")</f>
        <v/>
      </c>
      <c r="BB4" s="24" t="str">
        <f>IFERROR(__xludf.DUMMYFUNCTION("""COMPUTED_VALUE"""),"")</f>
        <v/>
      </c>
      <c r="BC4" s="24" t="str">
        <f>IFERROR(__xludf.DUMMYFUNCTION("""COMPUTED_VALUE"""),"")</f>
        <v/>
      </c>
      <c r="BD4" s="24" t="str">
        <f>IFERROR(__xludf.DUMMYFUNCTION("""COMPUTED_VALUE"""),"")</f>
        <v/>
      </c>
      <c r="BE4" s="24" t="str">
        <f>IFERROR(__xludf.DUMMYFUNCTION("""COMPUTED_VALUE"""),"")</f>
        <v/>
      </c>
      <c r="BF4" s="24" t="str">
        <f>IFERROR(__xludf.DUMMYFUNCTION("""COMPUTED_VALUE"""),"")</f>
        <v/>
      </c>
      <c r="BG4" s="24" t="str">
        <f>IFERROR(__xludf.DUMMYFUNCTION("""COMPUTED_VALUE"""),"")</f>
        <v/>
      </c>
      <c r="BH4" s="24" t="str">
        <f>IFERROR(__xludf.DUMMYFUNCTION("""COMPUTED_VALUE"""),"")</f>
        <v/>
      </c>
      <c r="BI4" s="24" t="str">
        <f>IFERROR(__xludf.DUMMYFUNCTION("""COMPUTED_VALUE"""),"")</f>
        <v/>
      </c>
      <c r="BJ4" s="24" t="str">
        <f>IFERROR(__xludf.DUMMYFUNCTION("""COMPUTED_VALUE"""),"")</f>
        <v/>
      </c>
      <c r="BK4" s="24" t="str">
        <f>IFERROR(__xludf.DUMMYFUNCTION("""COMPUTED_VALUE"""),"")</f>
        <v/>
      </c>
      <c r="BL4" s="24" t="str">
        <f>IFERROR(__xludf.DUMMYFUNCTION("""COMPUTED_VALUE"""),"")</f>
        <v/>
      </c>
      <c r="BM4" s="24" t="str">
        <f>IFERROR(__xludf.DUMMYFUNCTION("""COMPUTED_VALUE"""),"")</f>
        <v/>
      </c>
      <c r="BN4" s="24" t="str">
        <f>IFERROR(__xludf.DUMMYFUNCTION("""COMPUTED_VALUE"""),"")</f>
        <v/>
      </c>
      <c r="BO4" s="24" t="str">
        <f>IFERROR(__xludf.DUMMYFUNCTION("""COMPUTED_VALUE"""),"")</f>
        <v/>
      </c>
      <c r="BP4" s="24" t="str">
        <f>IFERROR(__xludf.DUMMYFUNCTION("""COMPUTED_VALUE"""),"")</f>
        <v/>
      </c>
      <c r="BQ4" s="24" t="str">
        <f>IFERROR(__xludf.DUMMYFUNCTION("""COMPUTED_VALUE"""),"")</f>
        <v/>
      </c>
      <c r="BR4" s="24" t="str">
        <f>IFERROR(__xludf.DUMMYFUNCTION("""COMPUTED_VALUE"""),"")</f>
        <v/>
      </c>
      <c r="BS4" s="24" t="str">
        <f>IFERROR(__xludf.DUMMYFUNCTION("""COMPUTED_VALUE"""),"")</f>
        <v/>
      </c>
      <c r="BT4" s="24" t="str">
        <f>IFERROR(__xludf.DUMMYFUNCTION("""COMPUTED_VALUE"""),"")</f>
        <v/>
      </c>
      <c r="BU4" s="24" t="str">
        <f>IFERROR(__xludf.DUMMYFUNCTION("""COMPUTED_VALUE"""),"")</f>
        <v/>
      </c>
      <c r="BV4" s="24" t="str">
        <f>IFERROR(__xludf.DUMMYFUNCTION("""COMPUTED_VALUE"""),"")</f>
        <v/>
      </c>
      <c r="BW4" s="24" t="str">
        <f>IFERROR(__xludf.DUMMYFUNCTION("""COMPUTED_VALUE"""),"")</f>
        <v/>
      </c>
      <c r="BX4" s="24" t="str">
        <f>IFERROR(__xludf.DUMMYFUNCTION("""COMPUTED_VALUE"""),"")</f>
        <v/>
      </c>
      <c r="BY4" s="24" t="str">
        <f>IFERROR(__xludf.DUMMYFUNCTION("""COMPUTED_VALUE"""),"")</f>
        <v/>
      </c>
      <c r="BZ4" s="24" t="str">
        <f>IFERROR(__xludf.DUMMYFUNCTION("""COMPUTED_VALUE"""),"")</f>
        <v/>
      </c>
      <c r="CA4" s="24" t="str">
        <f>IFERROR(__xludf.DUMMYFUNCTION("""COMPUTED_VALUE"""),"")</f>
        <v/>
      </c>
      <c r="CB4" s="24" t="str">
        <f>IFERROR(__xludf.DUMMYFUNCTION("""COMPUTED_VALUE"""),"")</f>
        <v/>
      </c>
      <c r="CC4" s="24" t="str">
        <f>IFERROR(__xludf.DUMMYFUNCTION("""COMPUTED_VALUE"""),"")</f>
        <v/>
      </c>
      <c r="CD4" s="24" t="str">
        <f>IFERROR(__xludf.DUMMYFUNCTION("""COMPUTED_VALUE"""),"")</f>
        <v/>
      </c>
      <c r="CE4" s="24" t="str">
        <f>IFERROR(__xludf.DUMMYFUNCTION("""COMPUTED_VALUE"""),"")</f>
        <v/>
      </c>
      <c r="CF4" s="24" t="str">
        <f>IFERROR(__xludf.DUMMYFUNCTION("""COMPUTED_VALUE"""),"")</f>
        <v/>
      </c>
      <c r="CG4" s="24" t="str">
        <f>IFERROR(__xludf.DUMMYFUNCTION("""COMPUTED_VALUE"""),"")</f>
        <v/>
      </c>
      <c r="CH4" s="24" t="str">
        <f>IFERROR(__xludf.DUMMYFUNCTION("""COMPUTED_VALUE"""),"")</f>
        <v/>
      </c>
      <c r="CI4" s="24" t="str">
        <f>IFERROR(__xludf.DUMMYFUNCTION("""COMPUTED_VALUE"""),"")</f>
        <v/>
      </c>
      <c r="CJ4" s="24" t="str">
        <f>IFERROR(__xludf.DUMMYFUNCTION("""COMPUTED_VALUE"""),"")</f>
        <v/>
      </c>
      <c r="CK4" s="24" t="str">
        <f>IFERROR(__xludf.DUMMYFUNCTION("""COMPUTED_VALUE"""),"")</f>
        <v/>
      </c>
      <c r="CL4" s="24" t="str">
        <f>IFERROR(__xludf.DUMMYFUNCTION("""COMPUTED_VALUE"""),"")</f>
        <v/>
      </c>
      <c r="CM4" s="24" t="str">
        <f>IFERROR(__xludf.DUMMYFUNCTION("""COMPUTED_VALUE"""),"")</f>
        <v/>
      </c>
      <c r="CN4" s="24" t="str">
        <f>IFERROR(__xludf.DUMMYFUNCTION("""COMPUTED_VALUE"""),"")</f>
        <v/>
      </c>
      <c r="CO4" s="24" t="str">
        <f>IFERROR(__xludf.DUMMYFUNCTION("""COMPUTED_VALUE"""),"")</f>
        <v/>
      </c>
      <c r="CP4" s="24" t="str">
        <f>IFERROR(__xludf.DUMMYFUNCTION("""COMPUTED_VALUE"""),"")</f>
        <v/>
      </c>
      <c r="CQ4" s="24" t="str">
        <f>IFERROR(__xludf.DUMMYFUNCTION("""COMPUTED_VALUE"""),"")</f>
        <v/>
      </c>
      <c r="CR4" s="24" t="str">
        <f>IFERROR(__xludf.DUMMYFUNCTION("""COMPUTED_VALUE"""),"")</f>
        <v/>
      </c>
      <c r="CS4" s="24" t="str">
        <f>IFERROR(__xludf.DUMMYFUNCTION("""COMPUTED_VALUE"""),"")</f>
        <v/>
      </c>
      <c r="CT4" s="24" t="str">
        <f>IFERROR(__xludf.DUMMYFUNCTION("""COMPUTED_VALUE"""),"")</f>
        <v/>
      </c>
      <c r="CU4" s="24" t="str">
        <f>IFERROR(__xludf.DUMMYFUNCTION("""COMPUTED_VALUE"""),"")</f>
        <v/>
      </c>
      <c r="CV4" s="24" t="str">
        <f>IFERROR(__xludf.DUMMYFUNCTION("""COMPUTED_VALUE"""),"")</f>
        <v/>
      </c>
      <c r="CW4" s="24" t="str">
        <f>IFERROR(__xludf.DUMMYFUNCTION("""COMPUTED_VALUE"""),"")</f>
        <v/>
      </c>
      <c r="CX4" s="24" t="str">
        <f>IFERROR(__xludf.DUMMYFUNCTION("""COMPUTED_VALUE"""),"")</f>
        <v/>
      </c>
      <c r="CY4" s="24" t="str">
        <f>IFERROR(__xludf.DUMMYFUNCTION("""COMPUTED_VALUE"""),"")</f>
        <v/>
      </c>
      <c r="CZ4" s="24" t="str">
        <f>IFERROR(__xludf.DUMMYFUNCTION("""COMPUTED_VALUE"""),"")</f>
        <v/>
      </c>
      <c r="DA4" s="24" t="str">
        <f>IFERROR(__xludf.DUMMYFUNCTION("""COMPUTED_VALUE"""),"")</f>
        <v/>
      </c>
      <c r="DB4" s="24" t="str">
        <f>IFERROR(__xludf.DUMMYFUNCTION("""COMPUTED_VALUE"""),"")</f>
        <v/>
      </c>
      <c r="DC4" s="24" t="str">
        <f>IFERROR(__xludf.DUMMYFUNCTION("""COMPUTED_VALUE"""),"")</f>
        <v/>
      </c>
      <c r="DD4" s="24" t="str">
        <f>IFERROR(__xludf.DUMMYFUNCTION("""COMPUTED_VALUE"""),"")</f>
        <v/>
      </c>
      <c r="DE4" s="24" t="str">
        <f>IFERROR(__xludf.DUMMYFUNCTION("""COMPUTED_VALUE"""),"")</f>
        <v/>
      </c>
      <c r="DF4" s="24" t="str">
        <f>IFERROR(__xludf.DUMMYFUNCTION("""COMPUTED_VALUE"""),"")</f>
        <v/>
      </c>
      <c r="DG4" s="24" t="str">
        <f>IFERROR(__xludf.DUMMYFUNCTION("""COMPUTED_VALUE"""),"")</f>
        <v/>
      </c>
      <c r="DH4" s="24" t="str">
        <f>IFERROR(__xludf.DUMMYFUNCTION("""COMPUTED_VALUE"""),"")</f>
        <v/>
      </c>
      <c r="DI4" s="24" t="str">
        <f>IFERROR(__xludf.DUMMYFUNCTION("""COMPUTED_VALUE"""),"")</f>
        <v/>
      </c>
      <c r="DJ4" s="24" t="str">
        <f>IFERROR(__xludf.DUMMYFUNCTION("""COMPUTED_VALUE"""),"")</f>
        <v/>
      </c>
      <c r="DK4" s="24" t="str">
        <f>IFERROR(__xludf.DUMMYFUNCTION("""COMPUTED_VALUE"""),"")</f>
        <v/>
      </c>
      <c r="DL4" s="24" t="str">
        <f>IFERROR(__xludf.DUMMYFUNCTION("""COMPUTED_VALUE"""),"")</f>
        <v/>
      </c>
      <c r="DM4" s="24" t="str">
        <f>IFERROR(__xludf.DUMMYFUNCTION("""COMPUTED_VALUE"""),"")</f>
        <v/>
      </c>
      <c r="DN4" s="24" t="str">
        <f>IFERROR(__xludf.DUMMYFUNCTION("""COMPUTED_VALUE"""),"")</f>
        <v/>
      </c>
      <c r="DO4" s="24" t="str">
        <f>IFERROR(__xludf.DUMMYFUNCTION("""COMPUTED_VALUE"""),"")</f>
        <v/>
      </c>
      <c r="DP4" s="24" t="str">
        <f>IFERROR(__xludf.DUMMYFUNCTION("""COMPUTED_VALUE"""),"")</f>
        <v/>
      </c>
      <c r="DQ4" s="24" t="str">
        <f>IFERROR(__xludf.DUMMYFUNCTION("""COMPUTED_VALUE"""),"")</f>
        <v/>
      </c>
      <c r="DR4" s="24" t="str">
        <f>IFERROR(__xludf.DUMMYFUNCTION("""COMPUTED_VALUE"""),"")</f>
        <v/>
      </c>
      <c r="DS4" s="24" t="str">
        <f>IFERROR(__xludf.DUMMYFUNCTION("""COMPUTED_VALUE"""),"")</f>
        <v/>
      </c>
      <c r="DT4" s="24" t="str">
        <f>IFERROR(__xludf.DUMMYFUNCTION("""COMPUTED_VALUE"""),"")</f>
        <v/>
      </c>
      <c r="DU4" s="24" t="str">
        <f>IFERROR(__xludf.DUMMYFUNCTION("""COMPUTED_VALUE"""),"")</f>
        <v/>
      </c>
      <c r="DV4" s="24" t="str">
        <f>IFERROR(__xludf.DUMMYFUNCTION("""COMPUTED_VALUE"""),"")</f>
        <v/>
      </c>
      <c r="DW4" s="24" t="str">
        <f>IFERROR(__xludf.DUMMYFUNCTION("""COMPUTED_VALUE"""),"")</f>
        <v/>
      </c>
      <c r="DX4" s="24" t="str">
        <f>IFERROR(__xludf.DUMMYFUNCTION("""COMPUTED_VALUE"""),"")</f>
        <v/>
      </c>
      <c r="DY4" s="24" t="str">
        <f>IFERROR(__xludf.DUMMYFUNCTION("""COMPUTED_VALUE"""),"")</f>
        <v/>
      </c>
      <c r="DZ4" s="24" t="str">
        <f>IFERROR(__xludf.DUMMYFUNCTION("""COMPUTED_VALUE"""),"")</f>
        <v/>
      </c>
      <c r="EA4" s="24" t="str">
        <f>IFERROR(__xludf.DUMMYFUNCTION("""COMPUTED_VALUE"""),"")</f>
        <v/>
      </c>
      <c r="EB4" s="24" t="str">
        <f>IFERROR(__xludf.DUMMYFUNCTION("""COMPUTED_VALUE"""),"")</f>
        <v/>
      </c>
      <c r="EC4" s="24" t="str">
        <f>IFERROR(__xludf.DUMMYFUNCTION("""COMPUTED_VALUE"""),"")</f>
        <v/>
      </c>
      <c r="ED4" s="24" t="str">
        <f>IFERROR(__xludf.DUMMYFUNCTION("""COMPUTED_VALUE"""),"")</f>
        <v/>
      </c>
      <c r="EE4" s="24" t="str">
        <f>IFERROR(__xludf.DUMMYFUNCTION("""COMPUTED_VALUE"""),"")</f>
        <v/>
      </c>
      <c r="EF4" s="24" t="str">
        <f>IFERROR(__xludf.DUMMYFUNCTION("""COMPUTED_VALUE"""),"")</f>
        <v/>
      </c>
      <c r="EG4" s="24" t="str">
        <f>IFERROR(__xludf.DUMMYFUNCTION("""COMPUTED_VALUE"""),"")</f>
        <v/>
      </c>
      <c r="EH4" s="24" t="str">
        <f>IFERROR(__xludf.DUMMYFUNCTION("""COMPUTED_VALUE"""),"")</f>
        <v/>
      </c>
      <c r="EI4" s="24" t="str">
        <f>IFERROR(__xludf.DUMMYFUNCTION("""COMPUTED_VALUE"""),"")</f>
        <v/>
      </c>
      <c r="EJ4" s="24" t="str">
        <f>IFERROR(__xludf.DUMMYFUNCTION("""COMPUTED_VALUE"""),"")</f>
        <v/>
      </c>
      <c r="EK4" s="24" t="str">
        <f>IFERROR(__xludf.DUMMYFUNCTION("""COMPUTED_VALUE"""),"")</f>
        <v/>
      </c>
      <c r="EL4" s="24" t="str">
        <f>IFERROR(__xludf.DUMMYFUNCTION("""COMPUTED_VALUE"""),"")</f>
        <v/>
      </c>
      <c r="EM4" s="24" t="str">
        <f>IFERROR(__xludf.DUMMYFUNCTION("""COMPUTED_VALUE"""),"")</f>
        <v/>
      </c>
      <c r="EN4" s="24" t="str">
        <f>IFERROR(__xludf.DUMMYFUNCTION("""COMPUTED_VALUE"""),"")</f>
        <v/>
      </c>
      <c r="EO4" s="24" t="str">
        <f>IFERROR(__xludf.DUMMYFUNCTION("""COMPUTED_VALUE"""),"")</f>
        <v/>
      </c>
      <c r="EP4" s="24" t="str">
        <f>IFERROR(__xludf.DUMMYFUNCTION("""COMPUTED_VALUE"""),"")</f>
        <v/>
      </c>
      <c r="EQ4" s="24" t="str">
        <f>IFERROR(__xludf.DUMMYFUNCTION("""COMPUTED_VALUE"""),"")</f>
        <v/>
      </c>
      <c r="ER4" s="24" t="str">
        <f>IFERROR(__xludf.DUMMYFUNCTION("""COMPUTED_VALUE"""),"")</f>
        <v/>
      </c>
      <c r="ES4" s="24" t="str">
        <f>IFERROR(__xludf.DUMMYFUNCTION("""COMPUTED_VALUE"""),"")</f>
        <v/>
      </c>
      <c r="ET4" s="24" t="str">
        <f>IFERROR(__xludf.DUMMYFUNCTION("""COMPUTED_VALUE"""),"")</f>
        <v/>
      </c>
      <c r="EU4" s="24" t="str">
        <f>IFERROR(__xludf.DUMMYFUNCTION("""COMPUTED_VALUE"""),"")</f>
        <v/>
      </c>
      <c r="EV4" s="24" t="str">
        <f>IFERROR(__xludf.DUMMYFUNCTION("""COMPUTED_VALUE"""),"")</f>
        <v/>
      </c>
      <c r="EW4" s="24" t="str">
        <f>IFERROR(__xludf.DUMMYFUNCTION("""COMPUTED_VALUE"""),"")</f>
        <v/>
      </c>
      <c r="EX4" s="24" t="str">
        <f>IFERROR(__xludf.DUMMYFUNCTION("""COMPUTED_VALUE"""),"")</f>
        <v/>
      </c>
    </row>
    <row r="5" ht="15.75" customHeight="1">
      <c r="A5" s="25" t="str">
        <f>IFERROR(__xludf.DUMMYFUNCTION("TRANSPOSE(IMPORTRANGE(VLOOKUP($E$3,IMPORTRANGE('_Settings'!$B$3,$C$3&amp;""!A4:B1000""),2,FALSE),$G$3&amp;""!A4:A1000""))"),"")</f>
        <v/>
      </c>
      <c r="B5" s="26" t="str">
        <f>IFERROR(__xludf.DUMMYFUNCTION("""COMPUTED_VALUE"""),"Symbol")</f>
        <v>Symbol</v>
      </c>
      <c r="C5" s="26" t="str">
        <f>IFERROR(__xludf.DUMMYFUNCTION("""COMPUTED_VALUE"""),"Price")</f>
        <v>Price</v>
      </c>
      <c r="D5" s="26" t="str">
        <f>IFERROR(__xludf.DUMMYFUNCTION("""COMPUTED_VALUE"""),"")</f>
        <v/>
      </c>
      <c r="E5" s="26" t="str">
        <f>IFERROR(__xludf.DUMMYFUNCTION("""COMPUTED_VALUE"""),"")</f>
        <v/>
      </c>
      <c r="F5" s="27" t="str">
        <f>IFERROR(__xludf.DUMMYFUNCTION("""COMPUTED_VALUE"""),"")</f>
        <v/>
      </c>
      <c r="G5" s="26" t="str">
        <f>IFERROR(__xludf.DUMMYFUNCTION("""COMPUTED_VALUE"""),"")</f>
        <v/>
      </c>
      <c r="H5" s="26" t="str">
        <f>IFERROR(__xludf.DUMMYFUNCTION("""COMPUTED_VALUE"""),"")</f>
        <v/>
      </c>
      <c r="I5" s="26" t="str">
        <f>IFERROR(__xludf.DUMMYFUNCTION("""COMPUTED_VALUE"""),"")</f>
        <v/>
      </c>
      <c r="J5" s="26" t="str">
        <f>IFERROR(__xludf.DUMMYFUNCTION("""COMPUTED_VALUE"""),"")</f>
        <v/>
      </c>
      <c r="K5" s="26" t="str">
        <f>IFERROR(__xludf.DUMMYFUNCTION("""COMPUTED_VALUE"""),"")</f>
        <v/>
      </c>
      <c r="L5" s="26" t="str">
        <f>IFERROR(__xludf.DUMMYFUNCTION("""COMPUTED_VALUE"""),"")</f>
        <v/>
      </c>
      <c r="M5" s="26" t="str">
        <f>IFERROR(__xludf.DUMMYFUNCTION("""COMPUTED_VALUE"""),"")</f>
        <v/>
      </c>
      <c r="N5" s="26" t="str">
        <f>IFERROR(__xludf.DUMMYFUNCTION("""COMPUTED_VALUE"""),"")</f>
        <v/>
      </c>
      <c r="O5" s="26" t="str">
        <f>IFERROR(__xludf.DUMMYFUNCTION("""COMPUTED_VALUE"""),"")</f>
        <v/>
      </c>
      <c r="P5" s="26" t="str">
        <f>IFERROR(__xludf.DUMMYFUNCTION("""COMPUTED_VALUE"""),"")</f>
        <v/>
      </c>
      <c r="Q5" s="26" t="str">
        <f>IFERROR(__xludf.DUMMYFUNCTION("""COMPUTED_VALUE"""),"")</f>
        <v/>
      </c>
      <c r="R5" s="26" t="str">
        <f>IFERROR(__xludf.DUMMYFUNCTION("""COMPUTED_VALUE"""),"")</f>
        <v/>
      </c>
      <c r="S5" s="26" t="str">
        <f>IFERROR(__xludf.DUMMYFUNCTION("""COMPUTED_VALUE"""),"")</f>
        <v/>
      </c>
      <c r="T5" s="28" t="str">
        <f>IFERROR(__xludf.DUMMYFUNCTION("""COMPUTED_VALUE"""),"")</f>
        <v/>
      </c>
      <c r="U5" s="28" t="str">
        <f>IFERROR(__xludf.DUMMYFUNCTION("""COMPUTED_VALUE"""),"")</f>
        <v/>
      </c>
      <c r="V5" s="28" t="str">
        <f>IFERROR(__xludf.DUMMYFUNCTION("""COMPUTED_VALUE"""),"")</f>
        <v/>
      </c>
      <c r="W5" s="28" t="str">
        <f>IFERROR(__xludf.DUMMYFUNCTION("""COMPUTED_VALUE"""),"")</f>
        <v/>
      </c>
      <c r="X5" s="28" t="str">
        <f>IFERROR(__xludf.DUMMYFUNCTION("""COMPUTED_VALUE"""),"")</f>
        <v/>
      </c>
      <c r="Y5" s="28" t="str">
        <f>IFERROR(__xludf.DUMMYFUNCTION("""COMPUTED_VALUE"""),"")</f>
        <v/>
      </c>
      <c r="Z5" s="28" t="str">
        <f>IFERROR(__xludf.DUMMYFUNCTION("""COMPUTED_VALUE"""),"")</f>
        <v/>
      </c>
      <c r="AA5" s="28" t="str">
        <f>IFERROR(__xludf.DUMMYFUNCTION("""COMPUTED_VALUE"""),"")</f>
        <v/>
      </c>
      <c r="AB5" s="28" t="str">
        <f>IFERROR(__xludf.DUMMYFUNCTION("""COMPUTED_VALUE"""),"")</f>
        <v/>
      </c>
      <c r="AC5" s="28" t="str">
        <f>IFERROR(__xludf.DUMMYFUNCTION("""COMPUTED_VALUE"""),"")</f>
        <v/>
      </c>
      <c r="AD5" s="28" t="str">
        <f>IFERROR(__xludf.DUMMYFUNCTION("""COMPUTED_VALUE"""),"")</f>
        <v/>
      </c>
      <c r="AE5" s="28" t="str">
        <f>IFERROR(__xludf.DUMMYFUNCTION("""COMPUTED_VALUE"""),"")</f>
        <v/>
      </c>
      <c r="AF5" s="28" t="str">
        <f>IFERROR(__xludf.DUMMYFUNCTION("""COMPUTED_VALUE"""),"")</f>
        <v/>
      </c>
      <c r="AG5" s="28" t="str">
        <f>IFERROR(__xludf.DUMMYFUNCTION("""COMPUTED_VALUE"""),"")</f>
        <v/>
      </c>
      <c r="AH5" s="28" t="str">
        <f>IFERROR(__xludf.DUMMYFUNCTION("""COMPUTED_VALUE"""),"")</f>
        <v/>
      </c>
      <c r="AI5" s="28" t="str">
        <f>IFERROR(__xludf.DUMMYFUNCTION("""COMPUTED_VALUE"""),"")</f>
        <v/>
      </c>
      <c r="AJ5" s="28" t="str">
        <f>IFERROR(__xludf.DUMMYFUNCTION("""COMPUTED_VALUE"""),"")</f>
        <v/>
      </c>
      <c r="AK5" s="28" t="str">
        <f>IFERROR(__xludf.DUMMYFUNCTION("""COMPUTED_VALUE"""),"")</f>
        <v/>
      </c>
      <c r="AL5" s="28" t="str">
        <f>IFERROR(__xludf.DUMMYFUNCTION("""COMPUTED_VALUE"""),"")</f>
        <v/>
      </c>
      <c r="AM5" s="28" t="str">
        <f>IFERROR(__xludf.DUMMYFUNCTION("""COMPUTED_VALUE"""),"")</f>
        <v/>
      </c>
      <c r="AN5" s="28" t="str">
        <f>IFERROR(__xludf.DUMMYFUNCTION("""COMPUTED_VALUE"""),"")</f>
        <v/>
      </c>
      <c r="AO5" s="28" t="str">
        <f>IFERROR(__xludf.DUMMYFUNCTION("""COMPUTED_VALUE"""),"")</f>
        <v/>
      </c>
      <c r="AP5" s="28" t="str">
        <f>IFERROR(__xludf.DUMMYFUNCTION("""COMPUTED_VALUE"""),"")</f>
        <v/>
      </c>
      <c r="AQ5" s="28" t="str">
        <f>IFERROR(__xludf.DUMMYFUNCTION("""COMPUTED_VALUE"""),"")</f>
        <v/>
      </c>
      <c r="AR5" s="28" t="str">
        <f>IFERROR(__xludf.DUMMYFUNCTION("""COMPUTED_VALUE"""),"")</f>
        <v/>
      </c>
      <c r="AS5" s="28" t="str">
        <f>IFERROR(__xludf.DUMMYFUNCTION("""COMPUTED_VALUE"""),"")</f>
        <v/>
      </c>
      <c r="AT5" s="28" t="str">
        <f>IFERROR(__xludf.DUMMYFUNCTION("""COMPUTED_VALUE"""),"")</f>
        <v/>
      </c>
      <c r="AU5" s="28" t="str">
        <f>IFERROR(__xludf.DUMMYFUNCTION("""COMPUTED_VALUE"""),"")</f>
        <v/>
      </c>
      <c r="AV5" s="28" t="str">
        <f>IFERROR(__xludf.DUMMYFUNCTION("""COMPUTED_VALUE"""),"")</f>
        <v/>
      </c>
      <c r="AW5" s="28" t="str">
        <f>IFERROR(__xludf.DUMMYFUNCTION("""COMPUTED_VALUE"""),"")</f>
        <v/>
      </c>
      <c r="AX5" s="28" t="str">
        <f>IFERROR(__xludf.DUMMYFUNCTION("""COMPUTED_VALUE"""),"")</f>
        <v/>
      </c>
      <c r="AY5" s="28" t="str">
        <f>IFERROR(__xludf.DUMMYFUNCTION("""COMPUTED_VALUE"""),"")</f>
        <v/>
      </c>
      <c r="AZ5" s="28" t="str">
        <f>IFERROR(__xludf.DUMMYFUNCTION("""COMPUTED_VALUE"""),"")</f>
        <v/>
      </c>
      <c r="BA5" s="28" t="str">
        <f>IFERROR(__xludf.DUMMYFUNCTION("""COMPUTED_VALUE"""),"")</f>
        <v/>
      </c>
      <c r="BB5" s="28" t="str">
        <f>IFERROR(__xludf.DUMMYFUNCTION("""COMPUTED_VALUE"""),"")</f>
        <v/>
      </c>
      <c r="BC5" s="28" t="str">
        <f>IFERROR(__xludf.DUMMYFUNCTION("""COMPUTED_VALUE"""),"")</f>
        <v/>
      </c>
      <c r="BD5" s="28" t="str">
        <f>IFERROR(__xludf.DUMMYFUNCTION("""COMPUTED_VALUE"""),"")</f>
        <v/>
      </c>
      <c r="BE5" s="28" t="str">
        <f>IFERROR(__xludf.DUMMYFUNCTION("""COMPUTED_VALUE"""),"")</f>
        <v/>
      </c>
      <c r="BF5" s="28" t="str">
        <f>IFERROR(__xludf.DUMMYFUNCTION("""COMPUTED_VALUE"""),"")</f>
        <v/>
      </c>
      <c r="BG5" s="28" t="str">
        <f>IFERROR(__xludf.DUMMYFUNCTION("""COMPUTED_VALUE"""),"")</f>
        <v/>
      </c>
      <c r="BH5" s="28" t="str">
        <f>IFERROR(__xludf.DUMMYFUNCTION("""COMPUTED_VALUE"""),"")</f>
        <v/>
      </c>
      <c r="BI5" s="28" t="str">
        <f>IFERROR(__xludf.DUMMYFUNCTION("""COMPUTED_VALUE"""),"")</f>
        <v/>
      </c>
      <c r="BJ5" s="28" t="str">
        <f>IFERROR(__xludf.DUMMYFUNCTION("""COMPUTED_VALUE"""),"")</f>
        <v/>
      </c>
      <c r="BK5" s="28" t="str">
        <f>IFERROR(__xludf.DUMMYFUNCTION("""COMPUTED_VALUE"""),"")</f>
        <v/>
      </c>
      <c r="BL5" s="28" t="str">
        <f>IFERROR(__xludf.DUMMYFUNCTION("""COMPUTED_VALUE"""),"")</f>
        <v/>
      </c>
      <c r="BM5" s="28" t="str">
        <f>IFERROR(__xludf.DUMMYFUNCTION("""COMPUTED_VALUE"""),"")</f>
        <v/>
      </c>
      <c r="BN5" s="28" t="str">
        <f>IFERROR(__xludf.DUMMYFUNCTION("""COMPUTED_VALUE"""),"")</f>
        <v/>
      </c>
      <c r="BO5" s="28" t="str">
        <f>IFERROR(__xludf.DUMMYFUNCTION("""COMPUTED_VALUE"""),"")</f>
        <v/>
      </c>
      <c r="BP5" s="28" t="str">
        <f>IFERROR(__xludf.DUMMYFUNCTION("""COMPUTED_VALUE"""),"")</f>
        <v/>
      </c>
      <c r="BQ5" s="28" t="str">
        <f>IFERROR(__xludf.DUMMYFUNCTION("""COMPUTED_VALUE"""),"")</f>
        <v/>
      </c>
      <c r="BR5" s="28" t="str">
        <f>IFERROR(__xludf.DUMMYFUNCTION("""COMPUTED_VALUE"""),"")</f>
        <v/>
      </c>
      <c r="BS5" s="28" t="str">
        <f>IFERROR(__xludf.DUMMYFUNCTION("""COMPUTED_VALUE"""),"")</f>
        <v/>
      </c>
      <c r="BT5" s="28" t="str">
        <f>IFERROR(__xludf.DUMMYFUNCTION("""COMPUTED_VALUE"""),"")</f>
        <v/>
      </c>
      <c r="BU5" s="28" t="str">
        <f>IFERROR(__xludf.DUMMYFUNCTION("""COMPUTED_VALUE"""),"")</f>
        <v/>
      </c>
      <c r="BV5" s="28" t="str">
        <f>IFERROR(__xludf.DUMMYFUNCTION("""COMPUTED_VALUE"""),"")</f>
        <v/>
      </c>
      <c r="BW5" s="28" t="str">
        <f>IFERROR(__xludf.DUMMYFUNCTION("""COMPUTED_VALUE"""),"")</f>
        <v/>
      </c>
      <c r="BX5" s="28" t="str">
        <f>IFERROR(__xludf.DUMMYFUNCTION("""COMPUTED_VALUE"""),"")</f>
        <v/>
      </c>
      <c r="BY5" s="28" t="str">
        <f>IFERROR(__xludf.DUMMYFUNCTION("""COMPUTED_VALUE"""),"")</f>
        <v/>
      </c>
      <c r="BZ5" s="28" t="str">
        <f>IFERROR(__xludf.DUMMYFUNCTION("""COMPUTED_VALUE"""),"")</f>
        <v/>
      </c>
      <c r="CA5" s="28" t="str">
        <f>IFERROR(__xludf.DUMMYFUNCTION("""COMPUTED_VALUE"""),"")</f>
        <v/>
      </c>
      <c r="CB5" s="28" t="str">
        <f>IFERROR(__xludf.DUMMYFUNCTION("""COMPUTED_VALUE"""),"")</f>
        <v/>
      </c>
      <c r="CC5" s="28" t="str">
        <f>IFERROR(__xludf.DUMMYFUNCTION("""COMPUTED_VALUE"""),"")</f>
        <v/>
      </c>
      <c r="CD5" s="28" t="str">
        <f>IFERROR(__xludf.DUMMYFUNCTION("""COMPUTED_VALUE"""),"")</f>
        <v/>
      </c>
      <c r="CE5" s="28" t="str">
        <f>IFERROR(__xludf.DUMMYFUNCTION("""COMPUTED_VALUE"""),"")</f>
        <v/>
      </c>
      <c r="CF5" s="28" t="str">
        <f>IFERROR(__xludf.DUMMYFUNCTION("""COMPUTED_VALUE"""),"")</f>
        <v/>
      </c>
      <c r="CG5" s="28" t="str">
        <f>IFERROR(__xludf.DUMMYFUNCTION("""COMPUTED_VALUE"""),"")</f>
        <v/>
      </c>
      <c r="CH5" s="28" t="str">
        <f>IFERROR(__xludf.DUMMYFUNCTION("""COMPUTED_VALUE"""),"")</f>
        <v/>
      </c>
      <c r="CI5" s="28" t="str">
        <f>IFERROR(__xludf.DUMMYFUNCTION("""COMPUTED_VALUE"""),"")</f>
        <v/>
      </c>
      <c r="CJ5" s="28" t="str">
        <f>IFERROR(__xludf.DUMMYFUNCTION("""COMPUTED_VALUE"""),"")</f>
        <v/>
      </c>
      <c r="CK5" s="28" t="str">
        <f>IFERROR(__xludf.DUMMYFUNCTION("""COMPUTED_VALUE"""),"")</f>
        <v/>
      </c>
      <c r="CL5" s="28" t="str">
        <f>IFERROR(__xludf.DUMMYFUNCTION("""COMPUTED_VALUE"""),"")</f>
        <v/>
      </c>
      <c r="CM5" s="28" t="str">
        <f>IFERROR(__xludf.DUMMYFUNCTION("""COMPUTED_VALUE"""),"")</f>
        <v/>
      </c>
      <c r="CN5" s="28" t="str">
        <f>IFERROR(__xludf.DUMMYFUNCTION("""COMPUTED_VALUE"""),"")</f>
        <v/>
      </c>
      <c r="CO5" s="28" t="str">
        <f>IFERROR(__xludf.DUMMYFUNCTION("""COMPUTED_VALUE"""),"")</f>
        <v/>
      </c>
      <c r="CP5" s="28" t="str">
        <f>IFERROR(__xludf.DUMMYFUNCTION("""COMPUTED_VALUE"""),"")</f>
        <v/>
      </c>
      <c r="CQ5" s="28" t="str">
        <f>IFERROR(__xludf.DUMMYFUNCTION("""COMPUTED_VALUE"""),"")</f>
        <v/>
      </c>
      <c r="CR5" s="28" t="str">
        <f>IFERROR(__xludf.DUMMYFUNCTION("""COMPUTED_VALUE"""),"")</f>
        <v/>
      </c>
      <c r="CS5" s="28" t="str">
        <f>IFERROR(__xludf.DUMMYFUNCTION("""COMPUTED_VALUE"""),"")</f>
        <v/>
      </c>
      <c r="CT5" s="28" t="str">
        <f>IFERROR(__xludf.DUMMYFUNCTION("""COMPUTED_VALUE"""),"")</f>
        <v/>
      </c>
      <c r="CU5" s="28" t="str">
        <f>IFERROR(__xludf.DUMMYFUNCTION("""COMPUTED_VALUE"""),"")</f>
        <v/>
      </c>
      <c r="CV5" s="28" t="str">
        <f>IFERROR(__xludf.DUMMYFUNCTION("""COMPUTED_VALUE"""),"")</f>
        <v/>
      </c>
      <c r="CW5" s="28" t="str">
        <f>IFERROR(__xludf.DUMMYFUNCTION("""COMPUTED_VALUE"""),"")</f>
        <v/>
      </c>
      <c r="CX5" s="28" t="str">
        <f>IFERROR(__xludf.DUMMYFUNCTION("""COMPUTED_VALUE"""),"")</f>
        <v/>
      </c>
      <c r="CY5" s="28" t="str">
        <f>IFERROR(__xludf.DUMMYFUNCTION("""COMPUTED_VALUE"""),"")</f>
        <v/>
      </c>
      <c r="CZ5" s="28" t="str">
        <f>IFERROR(__xludf.DUMMYFUNCTION("""COMPUTED_VALUE"""),"")</f>
        <v/>
      </c>
      <c r="DA5" s="28" t="str">
        <f>IFERROR(__xludf.DUMMYFUNCTION("""COMPUTED_VALUE"""),"")</f>
        <v/>
      </c>
      <c r="DB5" s="28" t="str">
        <f>IFERROR(__xludf.DUMMYFUNCTION("""COMPUTED_VALUE"""),"")</f>
        <v/>
      </c>
      <c r="DC5" s="28" t="str">
        <f>IFERROR(__xludf.DUMMYFUNCTION("""COMPUTED_VALUE"""),"")</f>
        <v/>
      </c>
      <c r="DD5" s="28" t="str">
        <f>IFERROR(__xludf.DUMMYFUNCTION("""COMPUTED_VALUE"""),"")</f>
        <v/>
      </c>
      <c r="DE5" s="28" t="str">
        <f>IFERROR(__xludf.DUMMYFUNCTION("""COMPUTED_VALUE"""),"")</f>
        <v/>
      </c>
      <c r="DF5" s="28" t="str">
        <f>IFERROR(__xludf.DUMMYFUNCTION("""COMPUTED_VALUE"""),"")</f>
        <v/>
      </c>
      <c r="DG5" s="28" t="str">
        <f>IFERROR(__xludf.DUMMYFUNCTION("""COMPUTED_VALUE"""),"")</f>
        <v/>
      </c>
      <c r="DH5" s="28" t="str">
        <f>IFERROR(__xludf.DUMMYFUNCTION("""COMPUTED_VALUE"""),"")</f>
        <v/>
      </c>
      <c r="DI5" s="28" t="str">
        <f>IFERROR(__xludf.DUMMYFUNCTION("""COMPUTED_VALUE"""),"")</f>
        <v/>
      </c>
      <c r="DJ5" s="28" t="str">
        <f>IFERROR(__xludf.DUMMYFUNCTION("""COMPUTED_VALUE"""),"")</f>
        <v/>
      </c>
      <c r="DK5" s="28" t="str">
        <f>IFERROR(__xludf.DUMMYFUNCTION("""COMPUTED_VALUE"""),"")</f>
        <v/>
      </c>
      <c r="DL5" s="28" t="str">
        <f>IFERROR(__xludf.DUMMYFUNCTION("""COMPUTED_VALUE"""),"")</f>
        <v/>
      </c>
      <c r="DM5" s="28" t="str">
        <f>IFERROR(__xludf.DUMMYFUNCTION("""COMPUTED_VALUE"""),"")</f>
        <v/>
      </c>
      <c r="DN5" s="28" t="str">
        <f>IFERROR(__xludf.DUMMYFUNCTION("""COMPUTED_VALUE"""),"")</f>
        <v/>
      </c>
      <c r="DO5" s="28" t="str">
        <f>IFERROR(__xludf.DUMMYFUNCTION("""COMPUTED_VALUE"""),"")</f>
        <v/>
      </c>
      <c r="DP5" s="28" t="str">
        <f>IFERROR(__xludf.DUMMYFUNCTION("""COMPUTED_VALUE"""),"")</f>
        <v/>
      </c>
      <c r="DQ5" s="28" t="str">
        <f>IFERROR(__xludf.DUMMYFUNCTION("""COMPUTED_VALUE"""),"")</f>
        <v/>
      </c>
      <c r="DR5" s="28" t="str">
        <f>IFERROR(__xludf.DUMMYFUNCTION("""COMPUTED_VALUE"""),"")</f>
        <v/>
      </c>
      <c r="DS5" s="28" t="str">
        <f>IFERROR(__xludf.DUMMYFUNCTION("""COMPUTED_VALUE"""),"")</f>
        <v/>
      </c>
      <c r="DT5" s="28" t="str">
        <f>IFERROR(__xludf.DUMMYFUNCTION("""COMPUTED_VALUE"""),"")</f>
        <v/>
      </c>
      <c r="DU5" s="28" t="str">
        <f>IFERROR(__xludf.DUMMYFUNCTION("""COMPUTED_VALUE"""),"")</f>
        <v/>
      </c>
      <c r="DV5" s="28" t="str">
        <f>IFERROR(__xludf.DUMMYFUNCTION("""COMPUTED_VALUE"""),"")</f>
        <v/>
      </c>
      <c r="DW5" s="28" t="str">
        <f>IFERROR(__xludf.DUMMYFUNCTION("""COMPUTED_VALUE"""),"")</f>
        <v/>
      </c>
      <c r="DX5" s="28" t="str">
        <f>IFERROR(__xludf.DUMMYFUNCTION("""COMPUTED_VALUE"""),"")</f>
        <v/>
      </c>
      <c r="DY5" s="28" t="str">
        <f>IFERROR(__xludf.DUMMYFUNCTION("""COMPUTED_VALUE"""),"")</f>
        <v/>
      </c>
      <c r="DZ5" s="28" t="str">
        <f>IFERROR(__xludf.DUMMYFUNCTION("""COMPUTED_VALUE"""),"")</f>
        <v/>
      </c>
      <c r="EA5" s="28" t="str">
        <f>IFERROR(__xludf.DUMMYFUNCTION("""COMPUTED_VALUE"""),"")</f>
        <v/>
      </c>
      <c r="EB5" s="28" t="str">
        <f>IFERROR(__xludf.DUMMYFUNCTION("""COMPUTED_VALUE"""),"")</f>
        <v/>
      </c>
      <c r="EC5" s="28" t="str">
        <f>IFERROR(__xludf.DUMMYFUNCTION("""COMPUTED_VALUE"""),"")</f>
        <v/>
      </c>
      <c r="ED5" s="28" t="str">
        <f>IFERROR(__xludf.DUMMYFUNCTION("""COMPUTED_VALUE"""),"")</f>
        <v/>
      </c>
      <c r="EE5" s="28" t="str">
        <f>IFERROR(__xludf.DUMMYFUNCTION("""COMPUTED_VALUE"""),"")</f>
        <v/>
      </c>
      <c r="EF5" s="28" t="str">
        <f>IFERROR(__xludf.DUMMYFUNCTION("""COMPUTED_VALUE"""),"")</f>
        <v/>
      </c>
      <c r="EG5" s="28" t="str">
        <f>IFERROR(__xludf.DUMMYFUNCTION("""COMPUTED_VALUE"""),"")</f>
        <v/>
      </c>
      <c r="EH5" s="28" t="str">
        <f>IFERROR(__xludf.DUMMYFUNCTION("""COMPUTED_VALUE"""),"")</f>
        <v/>
      </c>
      <c r="EI5" s="28" t="str">
        <f>IFERROR(__xludf.DUMMYFUNCTION("""COMPUTED_VALUE"""),"")</f>
        <v/>
      </c>
      <c r="EJ5" s="28" t="str">
        <f>IFERROR(__xludf.DUMMYFUNCTION("""COMPUTED_VALUE"""),"")</f>
        <v/>
      </c>
      <c r="EK5" s="28" t="str">
        <f>IFERROR(__xludf.DUMMYFUNCTION("""COMPUTED_VALUE"""),"")</f>
        <v/>
      </c>
      <c r="EL5" s="28" t="str">
        <f>IFERROR(__xludf.DUMMYFUNCTION("""COMPUTED_VALUE"""),"")</f>
        <v/>
      </c>
      <c r="EM5" s="28" t="str">
        <f>IFERROR(__xludf.DUMMYFUNCTION("""COMPUTED_VALUE"""),"")</f>
        <v/>
      </c>
      <c r="EN5" s="28" t="str">
        <f>IFERROR(__xludf.DUMMYFUNCTION("""COMPUTED_VALUE"""),"")</f>
        <v/>
      </c>
      <c r="EO5" s="28" t="str">
        <f>IFERROR(__xludf.DUMMYFUNCTION("""COMPUTED_VALUE"""),"")</f>
        <v/>
      </c>
      <c r="EP5" s="28" t="str">
        <f>IFERROR(__xludf.DUMMYFUNCTION("""COMPUTED_VALUE"""),"")</f>
        <v/>
      </c>
      <c r="EQ5" s="28" t="str">
        <f>IFERROR(__xludf.DUMMYFUNCTION("""COMPUTED_VALUE"""),"")</f>
        <v/>
      </c>
      <c r="ER5" s="28" t="str">
        <f>IFERROR(__xludf.DUMMYFUNCTION("""COMPUTED_VALUE"""),"")</f>
        <v/>
      </c>
      <c r="ES5" s="28" t="str">
        <f>IFERROR(__xludf.DUMMYFUNCTION("""COMPUTED_VALUE"""),"")</f>
        <v/>
      </c>
      <c r="ET5" s="28" t="str">
        <f>IFERROR(__xludf.DUMMYFUNCTION("""COMPUTED_VALUE"""),"")</f>
        <v/>
      </c>
      <c r="EU5" s="28" t="str">
        <f>IFERROR(__xludf.DUMMYFUNCTION("""COMPUTED_VALUE"""),"")</f>
        <v/>
      </c>
      <c r="EV5" s="28" t="str">
        <f>IFERROR(__xludf.DUMMYFUNCTION("""COMPUTED_VALUE"""),"")</f>
        <v/>
      </c>
      <c r="EW5" s="28" t="str">
        <f>IFERROR(__xludf.DUMMYFUNCTION("""COMPUTED_VALUE"""),"")</f>
        <v/>
      </c>
      <c r="EX5" s="28" t="str">
        <f>IFERROR(__xludf.DUMMYFUNCTION("""COMPUTED_VALUE"""),"")</f>
        <v/>
      </c>
    </row>
    <row r="6" ht="15.75" customHeight="1">
      <c r="A6" s="15"/>
      <c r="B6" s="40" t="s">
        <v>18</v>
      </c>
      <c r="C6" s="35">
        <v>7.0</v>
      </c>
      <c r="D6" s="15"/>
      <c r="E6" s="31"/>
      <c r="F6" s="7"/>
      <c r="G6" s="7"/>
      <c r="H6" s="7"/>
      <c r="I6" s="7"/>
      <c r="J6" s="7"/>
      <c r="K6" s="7"/>
      <c r="L6" s="7"/>
      <c r="M6" s="7"/>
      <c r="N6" s="7"/>
      <c r="O6" s="7"/>
    </row>
    <row r="7" ht="15.75" customHeight="1">
      <c r="A7" s="7"/>
      <c r="B7" s="33" t="s">
        <v>22</v>
      </c>
      <c r="C7" s="35">
        <v>31.0</v>
      </c>
      <c r="D7" s="7"/>
      <c r="E7" s="7"/>
      <c r="F7" s="7"/>
      <c r="G7" s="7"/>
      <c r="H7" s="7"/>
      <c r="I7" s="7"/>
      <c r="J7" s="7"/>
      <c r="K7" s="7"/>
      <c r="L7" s="7"/>
      <c r="M7" s="7"/>
      <c r="N7" s="7"/>
      <c r="O7" s="7"/>
    </row>
    <row r="8" ht="15.75" customHeight="1">
      <c r="A8" s="7"/>
      <c r="B8" s="7"/>
      <c r="C8" s="7"/>
      <c r="D8" s="7"/>
      <c r="E8" s="7"/>
      <c r="F8" s="7"/>
      <c r="G8" s="7"/>
      <c r="H8" s="7"/>
      <c r="I8" s="7"/>
      <c r="J8" s="7"/>
      <c r="K8" s="7"/>
      <c r="L8" s="7"/>
      <c r="M8" s="7"/>
      <c r="N8" s="7"/>
      <c r="O8" s="7"/>
    </row>
    <row r="9" ht="15.75" customHeight="1">
      <c r="A9" s="7"/>
      <c r="B9" s="7"/>
      <c r="C9" s="7"/>
      <c r="D9" s="7"/>
      <c r="E9" s="7"/>
      <c r="F9" s="7"/>
      <c r="G9" s="7"/>
      <c r="H9" s="7"/>
      <c r="I9" s="7"/>
      <c r="J9" s="7"/>
      <c r="K9" s="7"/>
      <c r="L9" s="7"/>
      <c r="M9" s="7"/>
      <c r="N9" s="7"/>
      <c r="O9" s="7"/>
    </row>
    <row r="10" ht="15.75" customHeight="1">
      <c r="A10" s="7"/>
      <c r="B10" s="7"/>
      <c r="C10" s="7"/>
      <c r="D10" s="7"/>
      <c r="E10" s="7"/>
      <c r="F10" s="7"/>
      <c r="G10" s="7"/>
      <c r="H10" s="7"/>
      <c r="I10" s="7"/>
      <c r="J10" s="7"/>
      <c r="K10" s="7"/>
      <c r="L10" s="7"/>
      <c r="M10" s="7"/>
      <c r="N10" s="7"/>
      <c r="O10" s="7"/>
    </row>
    <row r="11" ht="15.75" customHeight="1">
      <c r="A11" s="7"/>
      <c r="B11" s="7"/>
      <c r="C11" s="7"/>
      <c r="D11" s="7"/>
      <c r="E11" s="7"/>
      <c r="F11" s="7"/>
      <c r="G11" s="7"/>
      <c r="H11" s="7"/>
      <c r="I11" s="7"/>
      <c r="J11" s="7"/>
      <c r="K11" s="7"/>
      <c r="L11" s="7"/>
      <c r="M11" s="7"/>
      <c r="N11" s="7"/>
      <c r="O11" s="7"/>
    </row>
    <row r="12" ht="15.75" customHeight="1">
      <c r="A12" s="7"/>
      <c r="B12" s="7"/>
      <c r="C12" s="7"/>
      <c r="D12" s="7"/>
      <c r="E12" s="7"/>
      <c r="F12" s="7"/>
      <c r="G12" s="7"/>
      <c r="H12" s="7"/>
      <c r="I12" s="7"/>
      <c r="J12" s="7"/>
      <c r="K12" s="7"/>
      <c r="L12" s="7"/>
      <c r="M12" s="7"/>
      <c r="N12" s="7"/>
      <c r="O12" s="7"/>
    </row>
    <row r="13" ht="15.75" customHeight="1">
      <c r="A13" s="7"/>
      <c r="B13" s="7"/>
      <c r="C13" s="7"/>
      <c r="D13" s="7"/>
      <c r="E13" s="7"/>
      <c r="F13" s="7"/>
      <c r="G13" s="7"/>
      <c r="H13" s="7"/>
      <c r="I13" s="7"/>
      <c r="J13" s="7"/>
      <c r="K13" s="7"/>
      <c r="L13" s="7"/>
      <c r="M13" s="7"/>
      <c r="N13" s="7"/>
      <c r="O13" s="7"/>
    </row>
    <row r="14" ht="15.75" customHeight="1">
      <c r="A14" s="7"/>
      <c r="B14" s="7"/>
      <c r="C14" s="7"/>
      <c r="D14" s="7"/>
      <c r="E14" s="7"/>
      <c r="F14" s="7"/>
      <c r="G14" s="7"/>
      <c r="H14" s="7"/>
      <c r="I14" s="7"/>
      <c r="J14" s="7"/>
      <c r="K14" s="7"/>
      <c r="L14" s="7"/>
      <c r="M14" s="7"/>
      <c r="N14" s="7"/>
      <c r="O14" s="7"/>
    </row>
    <row r="15" ht="15.75" customHeight="1">
      <c r="A15" s="7"/>
      <c r="B15" s="7"/>
      <c r="C15" s="7"/>
      <c r="D15" s="7"/>
      <c r="E15" s="7"/>
      <c r="F15" s="7"/>
      <c r="G15" s="7"/>
      <c r="H15" s="7"/>
      <c r="I15" s="7"/>
      <c r="J15" s="7"/>
      <c r="K15" s="7"/>
      <c r="L15" s="7"/>
      <c r="M15" s="7"/>
      <c r="N15" s="7"/>
      <c r="O15" s="7"/>
    </row>
    <row r="16" ht="15.75" customHeight="1">
      <c r="A16" s="7"/>
      <c r="B16" s="7"/>
      <c r="C16" s="7"/>
      <c r="D16" s="7"/>
      <c r="E16" s="7"/>
      <c r="F16" s="7"/>
      <c r="G16" s="7"/>
      <c r="H16" s="7"/>
      <c r="I16" s="7"/>
      <c r="J16" s="7"/>
      <c r="K16" s="7"/>
      <c r="L16" s="7"/>
      <c r="M16" s="7"/>
      <c r="N16" s="7"/>
      <c r="O16" s="7"/>
    </row>
    <row r="17" ht="15.75" customHeight="1">
      <c r="A17" s="7"/>
      <c r="B17" s="7"/>
      <c r="C17" s="7"/>
      <c r="D17" s="7"/>
      <c r="E17" s="7"/>
      <c r="F17" s="7"/>
      <c r="G17" s="7"/>
      <c r="H17" s="7"/>
      <c r="I17" s="7"/>
      <c r="J17" s="7"/>
      <c r="K17" s="7"/>
      <c r="L17" s="7"/>
      <c r="M17" s="7"/>
      <c r="N17" s="7"/>
      <c r="O17" s="7"/>
    </row>
    <row r="18" ht="15.75" customHeight="1">
      <c r="A18" s="7"/>
      <c r="B18" s="7"/>
      <c r="C18" s="7"/>
      <c r="D18" s="7"/>
      <c r="E18" s="7"/>
      <c r="F18" s="7"/>
      <c r="G18" s="7"/>
      <c r="H18" s="7"/>
      <c r="I18" s="7"/>
      <c r="J18" s="7"/>
      <c r="K18" s="7"/>
      <c r="L18" s="7"/>
      <c r="M18" s="7"/>
      <c r="N18" s="7"/>
      <c r="O18" s="7"/>
    </row>
    <row r="19" ht="15.75" customHeight="1">
      <c r="A19" s="7"/>
      <c r="B19" s="7"/>
      <c r="C19" s="7"/>
      <c r="D19" s="7"/>
      <c r="E19" s="7"/>
      <c r="F19" s="7"/>
      <c r="G19" s="7"/>
      <c r="H19" s="7"/>
      <c r="I19" s="7"/>
      <c r="J19" s="7"/>
      <c r="K19" s="7"/>
      <c r="L19" s="7"/>
      <c r="M19" s="7"/>
      <c r="N19" s="7"/>
      <c r="O19" s="7"/>
    </row>
    <row r="20" ht="15.75" customHeight="1">
      <c r="A20" s="7"/>
      <c r="B20" s="7"/>
      <c r="C20" s="7"/>
      <c r="D20" s="7"/>
      <c r="E20" s="7"/>
      <c r="F20" s="7"/>
      <c r="G20" s="7"/>
      <c r="H20" s="7"/>
      <c r="I20" s="7"/>
      <c r="J20" s="7"/>
      <c r="K20" s="7"/>
      <c r="L20" s="7"/>
      <c r="M20" s="7"/>
      <c r="N20" s="7"/>
      <c r="O20" s="7"/>
    </row>
    <row r="21" ht="15.75" customHeight="1">
      <c r="A21" s="7"/>
      <c r="B21" s="7"/>
      <c r="C21" s="7"/>
      <c r="D21" s="7"/>
      <c r="E21" s="7"/>
      <c r="F21" s="7"/>
      <c r="G21" s="7"/>
      <c r="H21" s="7"/>
      <c r="I21" s="7"/>
      <c r="J21" s="7"/>
      <c r="K21" s="7"/>
      <c r="L21" s="7"/>
      <c r="M21" s="7"/>
      <c r="N21" s="7"/>
      <c r="O21" s="7"/>
    </row>
    <row r="22" ht="15.75" customHeight="1">
      <c r="A22" s="7"/>
      <c r="B22" s="7"/>
      <c r="C22" s="7"/>
      <c r="D22" s="7"/>
      <c r="E22" s="7"/>
      <c r="F22" s="7"/>
      <c r="G22" s="7"/>
      <c r="H22" s="7"/>
      <c r="I22" s="7"/>
      <c r="J22" s="7"/>
      <c r="K22" s="7"/>
      <c r="L22" s="7"/>
      <c r="M22" s="7"/>
      <c r="N22" s="7"/>
      <c r="O22" s="7"/>
    </row>
    <row r="23" ht="15.75" customHeight="1">
      <c r="A23" s="7"/>
      <c r="B23" s="7"/>
      <c r="C23" s="7"/>
      <c r="D23" s="7"/>
      <c r="E23" s="7"/>
      <c r="F23" s="7"/>
      <c r="G23" s="7"/>
      <c r="H23" s="7"/>
      <c r="I23" s="7"/>
      <c r="J23" s="7"/>
      <c r="K23" s="7"/>
      <c r="L23" s="7"/>
      <c r="M23" s="7"/>
      <c r="N23" s="7"/>
      <c r="O23" s="7"/>
    </row>
    <row r="24" ht="15.75" customHeight="1">
      <c r="A24" s="7"/>
      <c r="B24" s="7"/>
      <c r="C24" s="7"/>
      <c r="D24" s="7"/>
      <c r="E24" s="7"/>
      <c r="F24" s="7"/>
      <c r="G24" s="7"/>
      <c r="H24" s="7"/>
      <c r="I24" s="7"/>
      <c r="J24" s="7"/>
      <c r="K24" s="7"/>
      <c r="L24" s="7"/>
      <c r="M24" s="7"/>
      <c r="N24" s="7"/>
      <c r="O24" s="7"/>
    </row>
    <row r="25" ht="15.75" customHeight="1">
      <c r="A25" s="7"/>
      <c r="B25" s="7"/>
      <c r="C25" s="7"/>
      <c r="D25" s="7"/>
      <c r="E25" s="7"/>
      <c r="F25" s="7"/>
      <c r="G25" s="7"/>
      <c r="H25" s="7"/>
      <c r="I25" s="7"/>
      <c r="J25" s="7"/>
      <c r="K25" s="7"/>
      <c r="L25" s="7"/>
      <c r="M25" s="7"/>
      <c r="N25" s="7"/>
      <c r="O25" s="7"/>
    </row>
    <row r="26" ht="15.75" customHeight="1">
      <c r="A26" s="7"/>
      <c r="B26" s="7"/>
      <c r="C26" s="7"/>
      <c r="D26" s="7"/>
      <c r="E26" s="7"/>
      <c r="F26" s="7"/>
      <c r="G26" s="7"/>
      <c r="H26" s="7"/>
      <c r="I26" s="7"/>
      <c r="J26" s="7"/>
      <c r="K26" s="7"/>
      <c r="L26" s="7"/>
      <c r="M26" s="7"/>
      <c r="N26" s="7"/>
      <c r="O26" s="7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UpdateMarkPrice!$4:$4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 format for current sheet" sqref="G3">
      <formula1>"Input Format,Output Format"</formula1>
    </dataValidation>
  </dataValidations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7"/>
      <c r="B1" s="2" t="s">
        <v>11</v>
      </c>
      <c r="C1" s="3"/>
      <c r="D1" s="3"/>
      <c r="E1" s="3"/>
      <c r="F1" s="3"/>
      <c r="G1" s="3"/>
      <c r="H1" s="5"/>
      <c r="I1" s="17"/>
      <c r="J1" s="17"/>
      <c r="K1" s="17"/>
      <c r="L1" s="17"/>
      <c r="M1" s="17"/>
      <c r="N1" s="17"/>
      <c r="O1" s="17"/>
      <c r="P1" s="18"/>
      <c r="Q1" s="18"/>
      <c r="R1" s="18"/>
      <c r="S1" s="18"/>
      <c r="T1" s="18"/>
      <c r="U1" s="18"/>
      <c r="V1" s="18"/>
      <c r="W1" s="18"/>
      <c r="X1" s="18"/>
      <c r="Y1" s="18"/>
      <c r="Z1" s="18"/>
      <c r="AA1" s="18"/>
      <c r="AB1" s="18"/>
      <c r="AC1" s="18"/>
      <c r="AD1" s="18"/>
      <c r="AE1" s="18"/>
      <c r="AF1" s="18"/>
      <c r="AG1" s="18"/>
      <c r="AH1" s="18"/>
      <c r="AI1" s="18"/>
      <c r="AJ1" s="18"/>
      <c r="AK1" s="18"/>
      <c r="AL1" s="18"/>
      <c r="AM1" s="18"/>
      <c r="AN1" s="18"/>
      <c r="AO1" s="18"/>
      <c r="AP1" s="18"/>
      <c r="AQ1" s="18"/>
      <c r="AR1" s="18"/>
      <c r="AS1" s="18"/>
      <c r="AT1" s="18"/>
      <c r="AU1" s="18"/>
      <c r="AV1" s="18"/>
      <c r="AW1" s="18"/>
      <c r="AX1" s="18"/>
      <c r="AY1" s="18"/>
      <c r="AZ1" s="18"/>
      <c r="BA1" s="18"/>
      <c r="BB1" s="18"/>
      <c r="BC1" s="18"/>
      <c r="BD1" s="18"/>
      <c r="BE1" s="18"/>
      <c r="BF1" s="18"/>
      <c r="BG1" s="18"/>
      <c r="BH1" s="18"/>
      <c r="BI1" s="18"/>
      <c r="BJ1" s="18"/>
      <c r="BK1" s="18"/>
      <c r="BL1" s="18"/>
      <c r="BM1" s="18"/>
      <c r="BN1" s="18"/>
      <c r="BO1" s="18"/>
      <c r="BP1" s="18"/>
      <c r="BQ1" s="18"/>
      <c r="BR1" s="18"/>
      <c r="BS1" s="18"/>
      <c r="BT1" s="18"/>
      <c r="BU1" s="18"/>
      <c r="BV1" s="18"/>
      <c r="BW1" s="18"/>
      <c r="BX1" s="18"/>
      <c r="BY1" s="18"/>
      <c r="BZ1" s="18"/>
      <c r="CA1" s="18"/>
      <c r="CB1" s="18"/>
      <c r="CC1" s="18"/>
      <c r="CD1" s="18"/>
      <c r="CE1" s="18"/>
      <c r="CF1" s="18"/>
      <c r="CG1" s="18"/>
      <c r="CH1" s="18"/>
      <c r="CI1" s="18"/>
      <c r="CJ1" s="18"/>
      <c r="CK1" s="18"/>
      <c r="CL1" s="18"/>
      <c r="CM1" s="18"/>
      <c r="CN1" s="18"/>
      <c r="CO1" s="18"/>
      <c r="CP1" s="18"/>
      <c r="CQ1" s="18"/>
      <c r="CR1" s="18"/>
      <c r="CS1" s="18"/>
      <c r="CT1" s="18"/>
      <c r="CU1" s="18"/>
      <c r="CV1" s="18"/>
      <c r="CW1" s="18"/>
      <c r="CX1" s="18"/>
      <c r="CY1" s="18"/>
      <c r="CZ1" s="18"/>
      <c r="DA1" s="18"/>
      <c r="DB1" s="18"/>
      <c r="DC1" s="18"/>
      <c r="DD1" s="18"/>
      <c r="DE1" s="18"/>
      <c r="DF1" s="18"/>
      <c r="DG1" s="18"/>
      <c r="DH1" s="18"/>
      <c r="DI1" s="18"/>
      <c r="DJ1" s="18"/>
      <c r="DK1" s="18"/>
      <c r="DL1" s="18"/>
      <c r="DM1" s="18"/>
      <c r="DN1" s="18"/>
      <c r="DO1" s="18"/>
      <c r="DP1" s="18"/>
      <c r="DQ1" s="18"/>
      <c r="DR1" s="18"/>
      <c r="DS1" s="18"/>
      <c r="DT1" s="18"/>
      <c r="DU1" s="18"/>
      <c r="DV1" s="18"/>
      <c r="DW1" s="18"/>
      <c r="DX1" s="18"/>
      <c r="DY1" s="18"/>
      <c r="DZ1" s="18"/>
      <c r="EA1" s="18"/>
      <c r="EB1" s="18"/>
      <c r="EC1" s="18"/>
      <c r="ED1" s="18"/>
      <c r="EE1" s="18"/>
      <c r="EF1" s="18"/>
      <c r="EG1" s="18"/>
      <c r="EH1" s="18"/>
      <c r="EI1" s="18"/>
      <c r="EJ1" s="18"/>
      <c r="EK1" s="18"/>
      <c r="EL1" s="18"/>
      <c r="EM1" s="18"/>
      <c r="EN1" s="18"/>
      <c r="EO1" s="18"/>
      <c r="EP1" s="18"/>
      <c r="EQ1" s="18"/>
      <c r="ER1" s="18"/>
      <c r="ES1" s="18"/>
      <c r="ET1" s="18"/>
      <c r="EU1" s="18"/>
      <c r="EV1" s="18"/>
      <c r="EW1" s="18"/>
      <c r="EX1" s="18"/>
    </row>
    <row r="2" ht="15.75" customHeight="1">
      <c r="A2" s="7"/>
      <c r="B2" s="7"/>
      <c r="C2" s="7"/>
      <c r="D2" s="7"/>
      <c r="E2" s="7"/>
      <c r="F2" s="7"/>
      <c r="G2" s="7"/>
      <c r="H2" s="7"/>
      <c r="I2" s="7"/>
      <c r="J2" s="19" t="str">
        <f> VLOOKUP($E$3,'_MasterData'!B4:D1000,3,FALSE)</f>
        <v>#N/A</v>
      </c>
      <c r="K2" s="19"/>
      <c r="L2" s="7"/>
      <c r="M2" s="7"/>
      <c r="N2" s="7"/>
      <c r="O2" s="7"/>
    </row>
    <row r="3" ht="15.75" customHeight="1">
      <c r="A3" s="20"/>
      <c r="B3" s="9" t="s">
        <v>3</v>
      </c>
      <c r="C3" s="21" t="s">
        <v>12</v>
      </c>
      <c r="D3" s="9" t="s">
        <v>6</v>
      </c>
      <c r="E3" s="21" t="s">
        <v>14</v>
      </c>
      <c r="F3" s="9" t="s">
        <v>15</v>
      </c>
      <c r="G3" s="16" t="s">
        <v>17</v>
      </c>
      <c r="H3" s="9"/>
      <c r="I3" s="20"/>
      <c r="J3" s="20"/>
      <c r="K3" s="20"/>
      <c r="L3" s="20"/>
      <c r="M3" s="20"/>
      <c r="N3" s="20"/>
      <c r="O3" s="20"/>
      <c r="P3" s="22"/>
      <c r="Q3" s="22"/>
      <c r="R3" s="22"/>
      <c r="S3" s="22"/>
      <c r="T3" s="22"/>
      <c r="U3" s="22"/>
      <c r="V3" s="22"/>
      <c r="W3" s="22"/>
      <c r="X3" s="22"/>
      <c r="Y3" s="22"/>
      <c r="Z3" s="22"/>
      <c r="AA3" s="22"/>
      <c r="AB3" s="22"/>
      <c r="AC3" s="22"/>
      <c r="AD3" s="22"/>
      <c r="AE3" s="22"/>
      <c r="AF3" s="22"/>
      <c r="AG3" s="22"/>
      <c r="AH3" s="22"/>
      <c r="AI3" s="22"/>
      <c r="AJ3" s="22"/>
      <c r="AK3" s="22"/>
      <c r="AL3" s="22"/>
      <c r="AM3" s="22"/>
      <c r="AN3" s="22"/>
      <c r="AO3" s="22"/>
      <c r="AP3" s="22"/>
      <c r="AQ3" s="22"/>
      <c r="AR3" s="22"/>
      <c r="AS3" s="22"/>
      <c r="AT3" s="22"/>
      <c r="AU3" s="22"/>
      <c r="AV3" s="22"/>
      <c r="AW3" s="22"/>
      <c r="AX3" s="22"/>
      <c r="AY3" s="22"/>
      <c r="AZ3" s="22"/>
      <c r="BA3" s="22"/>
      <c r="BB3" s="22"/>
      <c r="BC3" s="22"/>
      <c r="BD3" s="22"/>
      <c r="BE3" s="22"/>
      <c r="BF3" s="22"/>
      <c r="BG3" s="22"/>
      <c r="BH3" s="22"/>
      <c r="BI3" s="22"/>
      <c r="BJ3" s="22"/>
      <c r="BK3" s="22"/>
      <c r="BL3" s="22"/>
      <c r="BM3" s="22"/>
      <c r="BN3" s="22"/>
      <c r="BO3" s="22"/>
      <c r="BP3" s="22"/>
      <c r="BQ3" s="22"/>
      <c r="BR3" s="22"/>
      <c r="BS3" s="22"/>
      <c r="BT3" s="22"/>
      <c r="BU3" s="22"/>
      <c r="BV3" s="22"/>
      <c r="BW3" s="22"/>
      <c r="BX3" s="22"/>
      <c r="BY3" s="22"/>
      <c r="BZ3" s="22"/>
      <c r="CA3" s="22"/>
      <c r="CB3" s="22"/>
      <c r="CC3" s="22"/>
      <c r="CD3" s="22"/>
      <c r="CE3" s="22"/>
      <c r="CF3" s="22"/>
      <c r="CG3" s="22"/>
      <c r="CH3" s="22"/>
      <c r="CI3" s="22"/>
      <c r="CJ3" s="22"/>
      <c r="CK3" s="22"/>
      <c r="CL3" s="22"/>
      <c r="CM3" s="22"/>
      <c r="CN3" s="22"/>
      <c r="CO3" s="22"/>
      <c r="CP3" s="22"/>
      <c r="CQ3" s="22"/>
      <c r="CR3" s="22"/>
      <c r="CS3" s="22"/>
      <c r="CT3" s="22"/>
      <c r="CU3" s="22"/>
      <c r="CV3" s="22"/>
      <c r="CW3" s="22"/>
      <c r="CX3" s="22"/>
      <c r="CY3" s="22"/>
      <c r="CZ3" s="22"/>
      <c r="DA3" s="22"/>
      <c r="DB3" s="22"/>
      <c r="DC3" s="22"/>
      <c r="DD3" s="22"/>
      <c r="DE3" s="22"/>
      <c r="DF3" s="22"/>
      <c r="DG3" s="22"/>
      <c r="DH3" s="22"/>
      <c r="DI3" s="22"/>
      <c r="DJ3" s="22"/>
      <c r="DK3" s="22"/>
      <c r="DL3" s="22"/>
      <c r="DM3" s="22"/>
      <c r="DN3" s="22"/>
      <c r="DO3" s="22"/>
      <c r="DP3" s="22"/>
      <c r="DQ3" s="22"/>
      <c r="DR3" s="22"/>
      <c r="DS3" s="22"/>
      <c r="DT3" s="22"/>
      <c r="DU3" s="22"/>
      <c r="DV3" s="22"/>
      <c r="DW3" s="22"/>
      <c r="DX3" s="22"/>
      <c r="DY3" s="22"/>
      <c r="DZ3" s="22"/>
      <c r="EA3" s="22"/>
      <c r="EB3" s="22"/>
      <c r="EC3" s="22"/>
      <c r="ED3" s="22"/>
      <c r="EE3" s="22"/>
      <c r="EF3" s="22"/>
      <c r="EG3" s="22"/>
      <c r="EH3" s="22"/>
      <c r="EI3" s="22"/>
      <c r="EJ3" s="22"/>
      <c r="EK3" s="22"/>
      <c r="EL3" s="22"/>
      <c r="EM3" s="22"/>
      <c r="EN3" s="22"/>
      <c r="EO3" s="22"/>
      <c r="EP3" s="22"/>
      <c r="EQ3" s="22"/>
      <c r="ER3" s="22"/>
      <c r="ES3" s="22"/>
      <c r="ET3" s="22"/>
      <c r="EU3" s="22"/>
      <c r="EV3" s="22"/>
      <c r="EW3" s="22"/>
      <c r="EX3" s="22"/>
    </row>
    <row r="4" ht="15.75" customHeight="1">
      <c r="A4" s="23"/>
      <c r="B4" s="23" t="str">
        <f>IFERROR(__xludf.DUMMYFUNCTION("IF(C3="""","""",Transpose(IMPORTRANGE('_Settings'!$B$3,C3&amp;""!A4:A1000"")))"),"UpdateBeta")</f>
        <v>UpdateBeta</v>
      </c>
      <c r="C4" s="23" t="str">
        <f>IFERROR(__xludf.DUMMYFUNCTION("""COMPUTED_VALUE"""),"UpdateDailyCash")</f>
        <v>UpdateDailyCash</v>
      </c>
      <c r="D4" s="23" t="str">
        <f>IFERROR(__xludf.DUMMYFUNCTION("""COMPUTED_VALUE"""),"UpdateForexConversion")</f>
        <v>UpdateForexConversion</v>
      </c>
      <c r="E4" s="23" t="str">
        <f>IFERROR(__xludf.DUMMYFUNCTION("""COMPUTED_VALUE"""),"UpdateMarkPrice")</f>
        <v>UpdateMarkPrice</v>
      </c>
      <c r="F4" s="23" t="str">
        <f>IFERROR(__xludf.DUMMYFUNCTION("""COMPUTED_VALUE"""),"CleanUp")</f>
        <v>CleanUp</v>
      </c>
      <c r="G4" s="23" t="str">
        <f>IFERROR(__xludf.DUMMYFUNCTION("""COMPUTED_VALUE"""),"GetMarkPriceData")</f>
        <v>GetMarkPriceData</v>
      </c>
      <c r="H4" s="23" t="str">
        <f>IFERROR(__xludf.DUMMYFUNCTION("""COMPUTED_VALUE"""),"GetForwardPoints")</f>
        <v>GetForwardPoints</v>
      </c>
      <c r="I4" s="23" t="str">
        <f>IFERROR(__xludf.DUMMYFUNCTION("""COMPUTED_VALUE"""),"UpdateForwardPoints")</f>
        <v>UpdateForwardPoints</v>
      </c>
      <c r="J4" s="23" t="str">
        <f>IFERROR(__xludf.DUMMYFUNCTION("""COMPUTED_VALUE"""),"GetForexConversion")</f>
        <v>GetForexConversion</v>
      </c>
      <c r="K4" s="23" t="str">
        <f>IFERROR(__xludf.DUMMYFUNCTION("""COMPUTED_VALUE"""),"DeleteNAV")</f>
        <v>DeleteNAV</v>
      </c>
      <c r="L4" s="23" t="str">
        <f>IFERROR(__xludf.DUMMYFUNCTION("""COMPUTED_VALUE"""),"GetDailyCash")</f>
        <v>GetDailyCash</v>
      </c>
      <c r="M4" s="23" t="str">
        <f>IFERROR(__xludf.DUMMYFUNCTION("""COMPUTED_VALUE"""),"GetDailyBeta")</f>
        <v>GetDailyBeta</v>
      </c>
      <c r="N4" s="23" t="str">
        <f>IFERROR(__xludf.DUMMYFUNCTION("""COMPUTED_VALUE"""),"GetDailyVolatility")</f>
        <v>GetDailyVolatility</v>
      </c>
      <c r="O4" s="23" t="str">
        <f>IFERROR(__xludf.DUMMYFUNCTION("""COMPUTED_VALUE"""),"GetDailyDividendYield")</f>
        <v>GetDailyDividendYield</v>
      </c>
      <c r="P4" s="24" t="str">
        <f>IFERROR(__xludf.DUMMYFUNCTION("""COMPUTED_VALUE"""),"GetDailyTradingVolume")</f>
        <v>GetDailyTradingVolume</v>
      </c>
      <c r="Q4" s="24" t="str">
        <f>IFERROR(__xludf.DUMMYFUNCTION("""COMPUTED_VALUE"""),"GetDailyOutstandings")</f>
        <v>GetDailyOutstandings</v>
      </c>
      <c r="R4" s="24" t="str">
        <f>IFERROR(__xludf.DUMMYFUNCTION("""COMPUTED_VALUE"""),"GetDailyDelta")</f>
        <v>GetDailyDelta</v>
      </c>
      <c r="S4" s="24" t="str">
        <f>IFERROR(__xludf.DUMMYFUNCTION("""COMPUTED_VALUE"""),"UpdateDailyVolatility")</f>
        <v>UpdateDailyVolatility</v>
      </c>
      <c r="T4" s="24" t="str">
        <f>IFERROR(__xludf.DUMMYFUNCTION("""COMPUTED_VALUE"""),"UpdateDividendYield")</f>
        <v>UpdateDividendYield</v>
      </c>
      <c r="U4" s="24" t="str">
        <f>IFERROR(__xludf.DUMMYFUNCTION("""COMPUTED_VALUE"""),"UpdateTradingVolume")</f>
        <v>UpdateTradingVolume</v>
      </c>
      <c r="V4" s="24" t="str">
        <f>IFERROR(__xludf.DUMMYFUNCTION("""COMPUTED_VALUE"""),"UpdateDailyDelta")</f>
        <v>UpdateDailyDelta</v>
      </c>
      <c r="W4" s="24" t="str">
        <f>IFERROR(__xludf.DUMMYFUNCTION("""COMPUTED_VALUE"""),"UpdateDailyOutstandings")</f>
        <v>UpdateDailyOutstandings</v>
      </c>
      <c r="X4" s="24" t="str">
        <f>IFERROR(__xludf.DUMMYFUNCTION("""COMPUTED_VALUE"""),"UpdateBeta")</f>
        <v>UpdateBeta</v>
      </c>
      <c r="Y4" s="24" t="str">
        <f>IFERROR(__xludf.DUMMYFUNCTION("""COMPUTED_VALUE"""),"UpdateNAV")</f>
        <v>UpdateNAV</v>
      </c>
      <c r="Z4" s="24" t="str">
        <f>IFERROR(__xludf.DUMMYFUNCTION("""COMPUTED_VALUE"""),"UpdateDailyCash")</f>
        <v>UpdateDailyCash</v>
      </c>
      <c r="AA4" s="24" t="str">
        <f>IFERROR(__xludf.DUMMYFUNCTION("""COMPUTED_VALUE"""),"UpdateDailyCreditLimt")</f>
        <v>UpdateDailyCreditLimt</v>
      </c>
      <c r="AB4" s="24" t="str">
        <f>IFERROR(__xludf.DUMMYFUNCTION("""COMPUTED_VALUE"""),"RemoveDailyCreditLimit")</f>
        <v>RemoveDailyCreditLimit</v>
      </c>
      <c r="AC4" s="24" t="str">
        <f>IFERROR(__xludf.DUMMYFUNCTION("""COMPUTED_VALUE"""),"RemoveDailyCash")</f>
        <v>RemoveDailyCash</v>
      </c>
      <c r="AD4" s="24" t="str">
        <f>IFERROR(__xludf.DUMMYFUNCTION("""COMPUTED_VALUE"""),"RemoveNAV")</f>
        <v>RemoveNAV</v>
      </c>
      <c r="AE4" s="24" t="str">
        <f>IFERROR(__xludf.DUMMYFUNCTION("""COMPUTED_VALUE"""),"UpdateForexConversionMonthly")</f>
        <v>UpdateForexConversionMonthly</v>
      </c>
      <c r="AF4" s="24" t="str">
        <f>IFERROR(__xludf.DUMMYFUNCTION("""COMPUTED_VALUE"""),"UpdateMarkPriceMonthly")</f>
        <v>UpdateMarkPriceMonthly</v>
      </c>
      <c r="AG4" s="24" t="str">
        <f>IFERROR(__xludf.DUMMYFUNCTION("""COMPUTED_VALUE"""),"")</f>
        <v/>
      </c>
      <c r="AH4" s="24" t="str">
        <f>IFERROR(__xludf.DUMMYFUNCTION("""COMPUTED_VALUE"""),"")</f>
        <v/>
      </c>
      <c r="AI4" s="24" t="str">
        <f>IFERROR(__xludf.DUMMYFUNCTION("""COMPUTED_VALUE"""),"")</f>
        <v/>
      </c>
      <c r="AJ4" s="24" t="str">
        <f>IFERROR(__xludf.DUMMYFUNCTION("""COMPUTED_VALUE"""),"")</f>
        <v/>
      </c>
      <c r="AK4" s="24" t="str">
        <f>IFERROR(__xludf.DUMMYFUNCTION("""COMPUTED_VALUE"""),"")</f>
        <v/>
      </c>
      <c r="AL4" s="24" t="str">
        <f>IFERROR(__xludf.DUMMYFUNCTION("""COMPUTED_VALUE"""),"")</f>
        <v/>
      </c>
      <c r="AM4" s="24" t="str">
        <f>IFERROR(__xludf.DUMMYFUNCTION("""COMPUTED_VALUE"""),"")</f>
        <v/>
      </c>
      <c r="AN4" s="24" t="str">
        <f>IFERROR(__xludf.DUMMYFUNCTION("""COMPUTED_VALUE"""),"")</f>
        <v/>
      </c>
      <c r="AO4" s="24" t="str">
        <f>IFERROR(__xludf.DUMMYFUNCTION("""COMPUTED_VALUE"""),"")</f>
        <v/>
      </c>
      <c r="AP4" s="24" t="str">
        <f>IFERROR(__xludf.DUMMYFUNCTION("""COMPUTED_VALUE"""),"")</f>
        <v/>
      </c>
      <c r="AQ4" s="24" t="str">
        <f>IFERROR(__xludf.DUMMYFUNCTION("""COMPUTED_VALUE"""),"")</f>
        <v/>
      </c>
      <c r="AR4" s="24" t="str">
        <f>IFERROR(__xludf.DUMMYFUNCTION("""COMPUTED_VALUE"""),"")</f>
        <v/>
      </c>
      <c r="AS4" s="24" t="str">
        <f>IFERROR(__xludf.DUMMYFUNCTION("""COMPUTED_VALUE"""),"")</f>
        <v/>
      </c>
      <c r="AT4" s="24" t="str">
        <f>IFERROR(__xludf.DUMMYFUNCTION("""COMPUTED_VALUE"""),"")</f>
        <v/>
      </c>
      <c r="AU4" s="24" t="str">
        <f>IFERROR(__xludf.DUMMYFUNCTION("""COMPUTED_VALUE"""),"")</f>
        <v/>
      </c>
      <c r="AV4" s="24" t="str">
        <f>IFERROR(__xludf.DUMMYFUNCTION("""COMPUTED_VALUE"""),"")</f>
        <v/>
      </c>
      <c r="AW4" s="24" t="str">
        <f>IFERROR(__xludf.DUMMYFUNCTION("""COMPUTED_VALUE"""),"")</f>
        <v/>
      </c>
      <c r="AX4" s="24" t="str">
        <f>IFERROR(__xludf.DUMMYFUNCTION("""COMPUTED_VALUE"""),"")</f>
        <v/>
      </c>
      <c r="AY4" s="24" t="str">
        <f>IFERROR(__xludf.DUMMYFUNCTION("""COMPUTED_VALUE"""),"")</f>
        <v/>
      </c>
      <c r="AZ4" s="24" t="str">
        <f>IFERROR(__xludf.DUMMYFUNCTION("""COMPUTED_VALUE"""),"")</f>
        <v/>
      </c>
      <c r="BA4" s="24" t="str">
        <f>IFERROR(__xludf.DUMMYFUNCTION("""COMPUTED_VALUE"""),"")</f>
        <v/>
      </c>
      <c r="BB4" s="24" t="str">
        <f>IFERROR(__xludf.DUMMYFUNCTION("""COMPUTED_VALUE"""),"")</f>
        <v/>
      </c>
      <c r="BC4" s="24" t="str">
        <f>IFERROR(__xludf.DUMMYFUNCTION("""COMPUTED_VALUE"""),"")</f>
        <v/>
      </c>
      <c r="BD4" s="24" t="str">
        <f>IFERROR(__xludf.DUMMYFUNCTION("""COMPUTED_VALUE"""),"")</f>
        <v/>
      </c>
      <c r="BE4" s="24" t="str">
        <f>IFERROR(__xludf.DUMMYFUNCTION("""COMPUTED_VALUE"""),"")</f>
        <v/>
      </c>
      <c r="BF4" s="24" t="str">
        <f>IFERROR(__xludf.DUMMYFUNCTION("""COMPUTED_VALUE"""),"")</f>
        <v/>
      </c>
      <c r="BG4" s="24" t="str">
        <f>IFERROR(__xludf.DUMMYFUNCTION("""COMPUTED_VALUE"""),"")</f>
        <v/>
      </c>
      <c r="BH4" s="24" t="str">
        <f>IFERROR(__xludf.DUMMYFUNCTION("""COMPUTED_VALUE"""),"")</f>
        <v/>
      </c>
      <c r="BI4" s="24" t="str">
        <f>IFERROR(__xludf.DUMMYFUNCTION("""COMPUTED_VALUE"""),"")</f>
        <v/>
      </c>
      <c r="BJ4" s="24" t="str">
        <f>IFERROR(__xludf.DUMMYFUNCTION("""COMPUTED_VALUE"""),"")</f>
        <v/>
      </c>
      <c r="BK4" s="24" t="str">
        <f>IFERROR(__xludf.DUMMYFUNCTION("""COMPUTED_VALUE"""),"")</f>
        <v/>
      </c>
      <c r="BL4" s="24" t="str">
        <f>IFERROR(__xludf.DUMMYFUNCTION("""COMPUTED_VALUE"""),"")</f>
        <v/>
      </c>
      <c r="BM4" s="24" t="str">
        <f>IFERROR(__xludf.DUMMYFUNCTION("""COMPUTED_VALUE"""),"")</f>
        <v/>
      </c>
      <c r="BN4" s="24" t="str">
        <f>IFERROR(__xludf.DUMMYFUNCTION("""COMPUTED_VALUE"""),"")</f>
        <v/>
      </c>
      <c r="BO4" s="24" t="str">
        <f>IFERROR(__xludf.DUMMYFUNCTION("""COMPUTED_VALUE"""),"")</f>
        <v/>
      </c>
      <c r="BP4" s="24" t="str">
        <f>IFERROR(__xludf.DUMMYFUNCTION("""COMPUTED_VALUE"""),"")</f>
        <v/>
      </c>
      <c r="BQ4" s="24" t="str">
        <f>IFERROR(__xludf.DUMMYFUNCTION("""COMPUTED_VALUE"""),"")</f>
        <v/>
      </c>
      <c r="BR4" s="24" t="str">
        <f>IFERROR(__xludf.DUMMYFUNCTION("""COMPUTED_VALUE"""),"")</f>
        <v/>
      </c>
      <c r="BS4" s="24" t="str">
        <f>IFERROR(__xludf.DUMMYFUNCTION("""COMPUTED_VALUE"""),"")</f>
        <v/>
      </c>
      <c r="BT4" s="24" t="str">
        <f>IFERROR(__xludf.DUMMYFUNCTION("""COMPUTED_VALUE"""),"")</f>
        <v/>
      </c>
      <c r="BU4" s="24" t="str">
        <f>IFERROR(__xludf.DUMMYFUNCTION("""COMPUTED_VALUE"""),"")</f>
        <v/>
      </c>
      <c r="BV4" s="24" t="str">
        <f>IFERROR(__xludf.DUMMYFUNCTION("""COMPUTED_VALUE"""),"")</f>
        <v/>
      </c>
      <c r="BW4" s="24" t="str">
        <f>IFERROR(__xludf.DUMMYFUNCTION("""COMPUTED_VALUE"""),"")</f>
        <v/>
      </c>
      <c r="BX4" s="24" t="str">
        <f>IFERROR(__xludf.DUMMYFUNCTION("""COMPUTED_VALUE"""),"")</f>
        <v/>
      </c>
      <c r="BY4" s="24" t="str">
        <f>IFERROR(__xludf.DUMMYFUNCTION("""COMPUTED_VALUE"""),"")</f>
        <v/>
      </c>
      <c r="BZ4" s="24" t="str">
        <f>IFERROR(__xludf.DUMMYFUNCTION("""COMPUTED_VALUE"""),"")</f>
        <v/>
      </c>
      <c r="CA4" s="24" t="str">
        <f>IFERROR(__xludf.DUMMYFUNCTION("""COMPUTED_VALUE"""),"")</f>
        <v/>
      </c>
      <c r="CB4" s="24" t="str">
        <f>IFERROR(__xludf.DUMMYFUNCTION("""COMPUTED_VALUE"""),"")</f>
        <v/>
      </c>
      <c r="CC4" s="24" t="str">
        <f>IFERROR(__xludf.DUMMYFUNCTION("""COMPUTED_VALUE"""),"")</f>
        <v/>
      </c>
      <c r="CD4" s="24" t="str">
        <f>IFERROR(__xludf.DUMMYFUNCTION("""COMPUTED_VALUE"""),"")</f>
        <v/>
      </c>
      <c r="CE4" s="24" t="str">
        <f>IFERROR(__xludf.DUMMYFUNCTION("""COMPUTED_VALUE"""),"")</f>
        <v/>
      </c>
      <c r="CF4" s="24" t="str">
        <f>IFERROR(__xludf.DUMMYFUNCTION("""COMPUTED_VALUE"""),"")</f>
        <v/>
      </c>
      <c r="CG4" s="24" t="str">
        <f>IFERROR(__xludf.DUMMYFUNCTION("""COMPUTED_VALUE"""),"")</f>
        <v/>
      </c>
      <c r="CH4" s="24" t="str">
        <f>IFERROR(__xludf.DUMMYFUNCTION("""COMPUTED_VALUE"""),"")</f>
        <v/>
      </c>
      <c r="CI4" s="24" t="str">
        <f>IFERROR(__xludf.DUMMYFUNCTION("""COMPUTED_VALUE"""),"")</f>
        <v/>
      </c>
      <c r="CJ4" s="24" t="str">
        <f>IFERROR(__xludf.DUMMYFUNCTION("""COMPUTED_VALUE"""),"")</f>
        <v/>
      </c>
      <c r="CK4" s="24" t="str">
        <f>IFERROR(__xludf.DUMMYFUNCTION("""COMPUTED_VALUE"""),"")</f>
        <v/>
      </c>
      <c r="CL4" s="24" t="str">
        <f>IFERROR(__xludf.DUMMYFUNCTION("""COMPUTED_VALUE"""),"")</f>
        <v/>
      </c>
      <c r="CM4" s="24" t="str">
        <f>IFERROR(__xludf.DUMMYFUNCTION("""COMPUTED_VALUE"""),"")</f>
        <v/>
      </c>
      <c r="CN4" s="24" t="str">
        <f>IFERROR(__xludf.DUMMYFUNCTION("""COMPUTED_VALUE"""),"")</f>
        <v/>
      </c>
      <c r="CO4" s="24" t="str">
        <f>IFERROR(__xludf.DUMMYFUNCTION("""COMPUTED_VALUE"""),"")</f>
        <v/>
      </c>
      <c r="CP4" s="24" t="str">
        <f>IFERROR(__xludf.DUMMYFUNCTION("""COMPUTED_VALUE"""),"")</f>
        <v/>
      </c>
      <c r="CQ4" s="24" t="str">
        <f>IFERROR(__xludf.DUMMYFUNCTION("""COMPUTED_VALUE"""),"")</f>
        <v/>
      </c>
      <c r="CR4" s="24" t="str">
        <f>IFERROR(__xludf.DUMMYFUNCTION("""COMPUTED_VALUE"""),"")</f>
        <v/>
      </c>
      <c r="CS4" s="24" t="str">
        <f>IFERROR(__xludf.DUMMYFUNCTION("""COMPUTED_VALUE"""),"")</f>
        <v/>
      </c>
      <c r="CT4" s="24" t="str">
        <f>IFERROR(__xludf.DUMMYFUNCTION("""COMPUTED_VALUE"""),"")</f>
        <v/>
      </c>
      <c r="CU4" s="24" t="str">
        <f>IFERROR(__xludf.DUMMYFUNCTION("""COMPUTED_VALUE"""),"")</f>
        <v/>
      </c>
      <c r="CV4" s="24" t="str">
        <f>IFERROR(__xludf.DUMMYFUNCTION("""COMPUTED_VALUE"""),"")</f>
        <v/>
      </c>
      <c r="CW4" s="24" t="str">
        <f>IFERROR(__xludf.DUMMYFUNCTION("""COMPUTED_VALUE"""),"")</f>
        <v/>
      </c>
      <c r="CX4" s="24" t="str">
        <f>IFERROR(__xludf.DUMMYFUNCTION("""COMPUTED_VALUE"""),"")</f>
        <v/>
      </c>
      <c r="CY4" s="24" t="str">
        <f>IFERROR(__xludf.DUMMYFUNCTION("""COMPUTED_VALUE"""),"")</f>
        <v/>
      </c>
      <c r="CZ4" s="24" t="str">
        <f>IFERROR(__xludf.DUMMYFUNCTION("""COMPUTED_VALUE"""),"")</f>
        <v/>
      </c>
      <c r="DA4" s="24" t="str">
        <f>IFERROR(__xludf.DUMMYFUNCTION("""COMPUTED_VALUE"""),"")</f>
        <v/>
      </c>
      <c r="DB4" s="24" t="str">
        <f>IFERROR(__xludf.DUMMYFUNCTION("""COMPUTED_VALUE"""),"")</f>
        <v/>
      </c>
      <c r="DC4" s="24" t="str">
        <f>IFERROR(__xludf.DUMMYFUNCTION("""COMPUTED_VALUE"""),"")</f>
        <v/>
      </c>
      <c r="DD4" s="24" t="str">
        <f>IFERROR(__xludf.DUMMYFUNCTION("""COMPUTED_VALUE"""),"")</f>
        <v/>
      </c>
      <c r="DE4" s="24" t="str">
        <f>IFERROR(__xludf.DUMMYFUNCTION("""COMPUTED_VALUE"""),"")</f>
        <v/>
      </c>
      <c r="DF4" s="24" t="str">
        <f>IFERROR(__xludf.DUMMYFUNCTION("""COMPUTED_VALUE"""),"")</f>
        <v/>
      </c>
      <c r="DG4" s="24" t="str">
        <f>IFERROR(__xludf.DUMMYFUNCTION("""COMPUTED_VALUE"""),"")</f>
        <v/>
      </c>
      <c r="DH4" s="24" t="str">
        <f>IFERROR(__xludf.DUMMYFUNCTION("""COMPUTED_VALUE"""),"")</f>
        <v/>
      </c>
      <c r="DI4" s="24" t="str">
        <f>IFERROR(__xludf.DUMMYFUNCTION("""COMPUTED_VALUE"""),"")</f>
        <v/>
      </c>
      <c r="DJ4" s="24" t="str">
        <f>IFERROR(__xludf.DUMMYFUNCTION("""COMPUTED_VALUE"""),"")</f>
        <v/>
      </c>
      <c r="DK4" s="24" t="str">
        <f>IFERROR(__xludf.DUMMYFUNCTION("""COMPUTED_VALUE"""),"")</f>
        <v/>
      </c>
      <c r="DL4" s="24" t="str">
        <f>IFERROR(__xludf.DUMMYFUNCTION("""COMPUTED_VALUE"""),"")</f>
        <v/>
      </c>
      <c r="DM4" s="24" t="str">
        <f>IFERROR(__xludf.DUMMYFUNCTION("""COMPUTED_VALUE"""),"")</f>
        <v/>
      </c>
      <c r="DN4" s="24" t="str">
        <f>IFERROR(__xludf.DUMMYFUNCTION("""COMPUTED_VALUE"""),"")</f>
        <v/>
      </c>
      <c r="DO4" s="24" t="str">
        <f>IFERROR(__xludf.DUMMYFUNCTION("""COMPUTED_VALUE"""),"")</f>
        <v/>
      </c>
      <c r="DP4" s="24" t="str">
        <f>IFERROR(__xludf.DUMMYFUNCTION("""COMPUTED_VALUE"""),"")</f>
        <v/>
      </c>
      <c r="DQ4" s="24" t="str">
        <f>IFERROR(__xludf.DUMMYFUNCTION("""COMPUTED_VALUE"""),"")</f>
        <v/>
      </c>
      <c r="DR4" s="24" t="str">
        <f>IFERROR(__xludf.DUMMYFUNCTION("""COMPUTED_VALUE"""),"")</f>
        <v/>
      </c>
      <c r="DS4" s="24" t="str">
        <f>IFERROR(__xludf.DUMMYFUNCTION("""COMPUTED_VALUE"""),"")</f>
        <v/>
      </c>
      <c r="DT4" s="24" t="str">
        <f>IFERROR(__xludf.DUMMYFUNCTION("""COMPUTED_VALUE"""),"")</f>
        <v/>
      </c>
      <c r="DU4" s="24" t="str">
        <f>IFERROR(__xludf.DUMMYFUNCTION("""COMPUTED_VALUE"""),"")</f>
        <v/>
      </c>
      <c r="DV4" s="24" t="str">
        <f>IFERROR(__xludf.DUMMYFUNCTION("""COMPUTED_VALUE"""),"")</f>
        <v/>
      </c>
      <c r="DW4" s="24" t="str">
        <f>IFERROR(__xludf.DUMMYFUNCTION("""COMPUTED_VALUE"""),"")</f>
        <v/>
      </c>
      <c r="DX4" s="24" t="str">
        <f>IFERROR(__xludf.DUMMYFUNCTION("""COMPUTED_VALUE"""),"")</f>
        <v/>
      </c>
      <c r="DY4" s="24" t="str">
        <f>IFERROR(__xludf.DUMMYFUNCTION("""COMPUTED_VALUE"""),"")</f>
        <v/>
      </c>
      <c r="DZ4" s="24" t="str">
        <f>IFERROR(__xludf.DUMMYFUNCTION("""COMPUTED_VALUE"""),"")</f>
        <v/>
      </c>
      <c r="EA4" s="24" t="str">
        <f>IFERROR(__xludf.DUMMYFUNCTION("""COMPUTED_VALUE"""),"")</f>
        <v/>
      </c>
      <c r="EB4" s="24" t="str">
        <f>IFERROR(__xludf.DUMMYFUNCTION("""COMPUTED_VALUE"""),"")</f>
        <v/>
      </c>
      <c r="EC4" s="24" t="str">
        <f>IFERROR(__xludf.DUMMYFUNCTION("""COMPUTED_VALUE"""),"")</f>
        <v/>
      </c>
      <c r="ED4" s="24" t="str">
        <f>IFERROR(__xludf.DUMMYFUNCTION("""COMPUTED_VALUE"""),"")</f>
        <v/>
      </c>
      <c r="EE4" s="24" t="str">
        <f>IFERROR(__xludf.DUMMYFUNCTION("""COMPUTED_VALUE"""),"")</f>
        <v/>
      </c>
      <c r="EF4" s="24" t="str">
        <f>IFERROR(__xludf.DUMMYFUNCTION("""COMPUTED_VALUE"""),"")</f>
        <v/>
      </c>
      <c r="EG4" s="24" t="str">
        <f>IFERROR(__xludf.DUMMYFUNCTION("""COMPUTED_VALUE"""),"")</f>
        <v/>
      </c>
      <c r="EH4" s="24" t="str">
        <f>IFERROR(__xludf.DUMMYFUNCTION("""COMPUTED_VALUE"""),"")</f>
        <v/>
      </c>
      <c r="EI4" s="24" t="str">
        <f>IFERROR(__xludf.DUMMYFUNCTION("""COMPUTED_VALUE"""),"")</f>
        <v/>
      </c>
      <c r="EJ4" s="24" t="str">
        <f>IFERROR(__xludf.DUMMYFUNCTION("""COMPUTED_VALUE"""),"")</f>
        <v/>
      </c>
      <c r="EK4" s="24" t="str">
        <f>IFERROR(__xludf.DUMMYFUNCTION("""COMPUTED_VALUE"""),"")</f>
        <v/>
      </c>
      <c r="EL4" s="24" t="str">
        <f>IFERROR(__xludf.DUMMYFUNCTION("""COMPUTED_VALUE"""),"")</f>
        <v/>
      </c>
      <c r="EM4" s="24" t="str">
        <f>IFERROR(__xludf.DUMMYFUNCTION("""COMPUTED_VALUE"""),"")</f>
        <v/>
      </c>
      <c r="EN4" s="24" t="str">
        <f>IFERROR(__xludf.DUMMYFUNCTION("""COMPUTED_VALUE"""),"")</f>
        <v/>
      </c>
      <c r="EO4" s="24" t="str">
        <f>IFERROR(__xludf.DUMMYFUNCTION("""COMPUTED_VALUE"""),"")</f>
        <v/>
      </c>
      <c r="EP4" s="24" t="str">
        <f>IFERROR(__xludf.DUMMYFUNCTION("""COMPUTED_VALUE"""),"")</f>
        <v/>
      </c>
      <c r="EQ4" s="24" t="str">
        <f>IFERROR(__xludf.DUMMYFUNCTION("""COMPUTED_VALUE"""),"")</f>
        <v/>
      </c>
      <c r="ER4" s="24" t="str">
        <f>IFERROR(__xludf.DUMMYFUNCTION("""COMPUTED_VALUE"""),"")</f>
        <v/>
      </c>
      <c r="ES4" s="24" t="str">
        <f>IFERROR(__xludf.DUMMYFUNCTION("""COMPUTED_VALUE"""),"")</f>
        <v/>
      </c>
      <c r="ET4" s="24" t="str">
        <f>IFERROR(__xludf.DUMMYFUNCTION("""COMPUTED_VALUE"""),"")</f>
        <v/>
      </c>
      <c r="EU4" s="24" t="str">
        <f>IFERROR(__xludf.DUMMYFUNCTION("""COMPUTED_VALUE"""),"")</f>
        <v/>
      </c>
      <c r="EV4" s="24" t="str">
        <f>IFERROR(__xludf.DUMMYFUNCTION("""COMPUTED_VALUE"""),"")</f>
        <v/>
      </c>
      <c r="EW4" s="24" t="str">
        <f>IFERROR(__xludf.DUMMYFUNCTION("""COMPUTED_VALUE"""),"")</f>
        <v/>
      </c>
      <c r="EX4" s="24" t="str">
        <f>IFERROR(__xludf.DUMMYFUNCTION("""COMPUTED_VALUE"""),"")</f>
        <v/>
      </c>
    </row>
    <row r="5" ht="15.75" customHeight="1">
      <c r="A5" s="25" t="str">
        <f>IFERROR(__xludf.DUMMYFUNCTION("TRANSPOSE(IMPORTRANGE(VLOOKUP($E$3,IMPORTRANGE('_Settings'!$B$3,$C$3&amp;""!A4:B1000""),2,FALSE),$G$3&amp;""!A4:A1000""))"),"")</f>
        <v/>
      </c>
      <c r="B5" s="26" t="str">
        <f>IFERROR(__xludf.DUMMYFUNCTION("""COMPUTED_VALUE"""),"Select Date")</f>
        <v>Select Date</v>
      </c>
      <c r="C5" s="26" t="str">
        <f>IFERROR(__xludf.DUMMYFUNCTION("""COMPUTED_VALUE"""),"Copy Date ")</f>
        <v>Copy Date </v>
      </c>
      <c r="D5" s="26" t="str">
        <f>IFERROR(__xludf.DUMMYFUNCTION("""COMPUTED_VALUE"""),"")</f>
        <v/>
      </c>
      <c r="E5" s="26" t="str">
        <f>IFERROR(__xludf.DUMMYFUNCTION("""COMPUTED_VALUE"""),"")</f>
        <v/>
      </c>
      <c r="F5" s="27" t="str">
        <f>IFERROR(__xludf.DUMMYFUNCTION("""COMPUTED_VALUE"""),"")</f>
        <v/>
      </c>
      <c r="G5" s="26" t="str">
        <f>IFERROR(__xludf.DUMMYFUNCTION("""COMPUTED_VALUE"""),"")</f>
        <v/>
      </c>
      <c r="H5" s="26" t="str">
        <f>IFERROR(__xludf.DUMMYFUNCTION("""COMPUTED_VALUE"""),"")</f>
        <v/>
      </c>
      <c r="I5" s="26" t="str">
        <f>IFERROR(__xludf.DUMMYFUNCTION("""COMPUTED_VALUE"""),"")</f>
        <v/>
      </c>
      <c r="J5" s="26" t="str">
        <f>IFERROR(__xludf.DUMMYFUNCTION("""COMPUTED_VALUE"""),"")</f>
        <v/>
      </c>
      <c r="K5" s="26" t="str">
        <f>IFERROR(__xludf.DUMMYFUNCTION("""COMPUTED_VALUE"""),"")</f>
        <v/>
      </c>
      <c r="L5" s="26" t="str">
        <f>IFERROR(__xludf.DUMMYFUNCTION("""COMPUTED_VALUE"""),"")</f>
        <v/>
      </c>
      <c r="M5" s="26" t="str">
        <f>IFERROR(__xludf.DUMMYFUNCTION("""COMPUTED_VALUE"""),"")</f>
        <v/>
      </c>
      <c r="N5" s="26" t="str">
        <f>IFERROR(__xludf.DUMMYFUNCTION("""COMPUTED_VALUE"""),"")</f>
        <v/>
      </c>
      <c r="O5" s="26" t="str">
        <f>IFERROR(__xludf.DUMMYFUNCTION("""COMPUTED_VALUE"""),"")</f>
        <v/>
      </c>
      <c r="P5" s="26" t="str">
        <f>IFERROR(__xludf.DUMMYFUNCTION("""COMPUTED_VALUE"""),"")</f>
        <v/>
      </c>
      <c r="Q5" s="26" t="str">
        <f>IFERROR(__xludf.DUMMYFUNCTION("""COMPUTED_VALUE"""),"")</f>
        <v/>
      </c>
      <c r="R5" s="26" t="str">
        <f>IFERROR(__xludf.DUMMYFUNCTION("""COMPUTED_VALUE"""),"")</f>
        <v/>
      </c>
      <c r="S5" s="26" t="str">
        <f>IFERROR(__xludf.DUMMYFUNCTION("""COMPUTED_VALUE"""),"")</f>
        <v/>
      </c>
      <c r="T5" s="28" t="str">
        <f>IFERROR(__xludf.DUMMYFUNCTION("""COMPUTED_VALUE"""),"")</f>
        <v/>
      </c>
      <c r="U5" s="28" t="str">
        <f>IFERROR(__xludf.DUMMYFUNCTION("""COMPUTED_VALUE"""),"")</f>
        <v/>
      </c>
      <c r="V5" s="28" t="str">
        <f>IFERROR(__xludf.DUMMYFUNCTION("""COMPUTED_VALUE"""),"")</f>
        <v/>
      </c>
      <c r="W5" s="28" t="str">
        <f>IFERROR(__xludf.DUMMYFUNCTION("""COMPUTED_VALUE"""),"")</f>
        <v/>
      </c>
      <c r="X5" s="28" t="str">
        <f>IFERROR(__xludf.DUMMYFUNCTION("""COMPUTED_VALUE"""),"")</f>
        <v/>
      </c>
      <c r="Y5" s="28" t="str">
        <f>IFERROR(__xludf.DUMMYFUNCTION("""COMPUTED_VALUE"""),"")</f>
        <v/>
      </c>
      <c r="Z5" s="28" t="str">
        <f>IFERROR(__xludf.DUMMYFUNCTION("""COMPUTED_VALUE"""),"")</f>
        <v/>
      </c>
      <c r="AA5" s="28" t="str">
        <f>IFERROR(__xludf.DUMMYFUNCTION("""COMPUTED_VALUE"""),"")</f>
        <v/>
      </c>
      <c r="AB5" s="28" t="str">
        <f>IFERROR(__xludf.DUMMYFUNCTION("""COMPUTED_VALUE"""),"")</f>
        <v/>
      </c>
      <c r="AC5" s="28" t="str">
        <f>IFERROR(__xludf.DUMMYFUNCTION("""COMPUTED_VALUE"""),"")</f>
        <v/>
      </c>
      <c r="AD5" s="28" t="str">
        <f>IFERROR(__xludf.DUMMYFUNCTION("""COMPUTED_VALUE"""),"")</f>
        <v/>
      </c>
      <c r="AE5" s="28" t="str">
        <f>IFERROR(__xludf.DUMMYFUNCTION("""COMPUTED_VALUE"""),"")</f>
        <v/>
      </c>
      <c r="AF5" s="28" t="str">
        <f>IFERROR(__xludf.DUMMYFUNCTION("""COMPUTED_VALUE"""),"")</f>
        <v/>
      </c>
      <c r="AG5" s="28" t="str">
        <f>IFERROR(__xludf.DUMMYFUNCTION("""COMPUTED_VALUE"""),"")</f>
        <v/>
      </c>
      <c r="AH5" s="28" t="str">
        <f>IFERROR(__xludf.DUMMYFUNCTION("""COMPUTED_VALUE"""),"")</f>
        <v/>
      </c>
      <c r="AI5" s="28" t="str">
        <f>IFERROR(__xludf.DUMMYFUNCTION("""COMPUTED_VALUE"""),"")</f>
        <v/>
      </c>
      <c r="AJ5" s="28" t="str">
        <f>IFERROR(__xludf.DUMMYFUNCTION("""COMPUTED_VALUE"""),"")</f>
        <v/>
      </c>
      <c r="AK5" s="28" t="str">
        <f>IFERROR(__xludf.DUMMYFUNCTION("""COMPUTED_VALUE"""),"")</f>
        <v/>
      </c>
      <c r="AL5" s="28" t="str">
        <f>IFERROR(__xludf.DUMMYFUNCTION("""COMPUTED_VALUE"""),"")</f>
        <v/>
      </c>
      <c r="AM5" s="28" t="str">
        <f>IFERROR(__xludf.DUMMYFUNCTION("""COMPUTED_VALUE"""),"")</f>
        <v/>
      </c>
      <c r="AN5" s="28" t="str">
        <f>IFERROR(__xludf.DUMMYFUNCTION("""COMPUTED_VALUE"""),"")</f>
        <v/>
      </c>
      <c r="AO5" s="28" t="str">
        <f>IFERROR(__xludf.DUMMYFUNCTION("""COMPUTED_VALUE"""),"")</f>
        <v/>
      </c>
      <c r="AP5" s="28" t="str">
        <f>IFERROR(__xludf.DUMMYFUNCTION("""COMPUTED_VALUE"""),"")</f>
        <v/>
      </c>
      <c r="AQ5" s="28" t="str">
        <f>IFERROR(__xludf.DUMMYFUNCTION("""COMPUTED_VALUE"""),"")</f>
        <v/>
      </c>
      <c r="AR5" s="28" t="str">
        <f>IFERROR(__xludf.DUMMYFUNCTION("""COMPUTED_VALUE"""),"")</f>
        <v/>
      </c>
      <c r="AS5" s="28" t="str">
        <f>IFERROR(__xludf.DUMMYFUNCTION("""COMPUTED_VALUE"""),"")</f>
        <v/>
      </c>
      <c r="AT5" s="28" t="str">
        <f>IFERROR(__xludf.DUMMYFUNCTION("""COMPUTED_VALUE"""),"")</f>
        <v/>
      </c>
      <c r="AU5" s="28" t="str">
        <f>IFERROR(__xludf.DUMMYFUNCTION("""COMPUTED_VALUE"""),"")</f>
        <v/>
      </c>
      <c r="AV5" s="28" t="str">
        <f>IFERROR(__xludf.DUMMYFUNCTION("""COMPUTED_VALUE"""),"")</f>
        <v/>
      </c>
      <c r="AW5" s="28" t="str">
        <f>IFERROR(__xludf.DUMMYFUNCTION("""COMPUTED_VALUE"""),"")</f>
        <v/>
      </c>
      <c r="AX5" s="28" t="str">
        <f>IFERROR(__xludf.DUMMYFUNCTION("""COMPUTED_VALUE"""),"")</f>
        <v/>
      </c>
      <c r="AY5" s="28" t="str">
        <f>IFERROR(__xludf.DUMMYFUNCTION("""COMPUTED_VALUE"""),"")</f>
        <v/>
      </c>
      <c r="AZ5" s="28" t="str">
        <f>IFERROR(__xludf.DUMMYFUNCTION("""COMPUTED_VALUE"""),"")</f>
        <v/>
      </c>
      <c r="BA5" s="28" t="str">
        <f>IFERROR(__xludf.DUMMYFUNCTION("""COMPUTED_VALUE"""),"")</f>
        <v/>
      </c>
      <c r="BB5" s="28" t="str">
        <f>IFERROR(__xludf.DUMMYFUNCTION("""COMPUTED_VALUE"""),"")</f>
        <v/>
      </c>
      <c r="BC5" s="28" t="str">
        <f>IFERROR(__xludf.DUMMYFUNCTION("""COMPUTED_VALUE"""),"")</f>
        <v/>
      </c>
      <c r="BD5" s="28" t="str">
        <f>IFERROR(__xludf.DUMMYFUNCTION("""COMPUTED_VALUE"""),"")</f>
        <v/>
      </c>
      <c r="BE5" s="28" t="str">
        <f>IFERROR(__xludf.DUMMYFUNCTION("""COMPUTED_VALUE"""),"")</f>
        <v/>
      </c>
      <c r="BF5" s="28" t="str">
        <f>IFERROR(__xludf.DUMMYFUNCTION("""COMPUTED_VALUE"""),"")</f>
        <v/>
      </c>
      <c r="BG5" s="28" t="str">
        <f>IFERROR(__xludf.DUMMYFUNCTION("""COMPUTED_VALUE"""),"")</f>
        <v/>
      </c>
      <c r="BH5" s="28" t="str">
        <f>IFERROR(__xludf.DUMMYFUNCTION("""COMPUTED_VALUE"""),"")</f>
        <v/>
      </c>
      <c r="BI5" s="28" t="str">
        <f>IFERROR(__xludf.DUMMYFUNCTION("""COMPUTED_VALUE"""),"")</f>
        <v/>
      </c>
      <c r="BJ5" s="28" t="str">
        <f>IFERROR(__xludf.DUMMYFUNCTION("""COMPUTED_VALUE"""),"")</f>
        <v/>
      </c>
      <c r="BK5" s="28" t="str">
        <f>IFERROR(__xludf.DUMMYFUNCTION("""COMPUTED_VALUE"""),"")</f>
        <v/>
      </c>
      <c r="BL5" s="28" t="str">
        <f>IFERROR(__xludf.DUMMYFUNCTION("""COMPUTED_VALUE"""),"")</f>
        <v/>
      </c>
      <c r="BM5" s="28" t="str">
        <f>IFERROR(__xludf.DUMMYFUNCTION("""COMPUTED_VALUE"""),"")</f>
        <v/>
      </c>
      <c r="BN5" s="28" t="str">
        <f>IFERROR(__xludf.DUMMYFUNCTION("""COMPUTED_VALUE"""),"")</f>
        <v/>
      </c>
      <c r="BO5" s="28" t="str">
        <f>IFERROR(__xludf.DUMMYFUNCTION("""COMPUTED_VALUE"""),"")</f>
        <v/>
      </c>
      <c r="BP5" s="28" t="str">
        <f>IFERROR(__xludf.DUMMYFUNCTION("""COMPUTED_VALUE"""),"")</f>
        <v/>
      </c>
      <c r="BQ5" s="28" t="str">
        <f>IFERROR(__xludf.DUMMYFUNCTION("""COMPUTED_VALUE"""),"")</f>
        <v/>
      </c>
      <c r="BR5" s="28" t="str">
        <f>IFERROR(__xludf.DUMMYFUNCTION("""COMPUTED_VALUE"""),"")</f>
        <v/>
      </c>
      <c r="BS5" s="28" t="str">
        <f>IFERROR(__xludf.DUMMYFUNCTION("""COMPUTED_VALUE"""),"")</f>
        <v/>
      </c>
      <c r="BT5" s="28" t="str">
        <f>IFERROR(__xludf.DUMMYFUNCTION("""COMPUTED_VALUE"""),"")</f>
        <v/>
      </c>
      <c r="BU5" s="28" t="str">
        <f>IFERROR(__xludf.DUMMYFUNCTION("""COMPUTED_VALUE"""),"")</f>
        <v/>
      </c>
      <c r="BV5" s="28" t="str">
        <f>IFERROR(__xludf.DUMMYFUNCTION("""COMPUTED_VALUE"""),"")</f>
        <v/>
      </c>
      <c r="BW5" s="28" t="str">
        <f>IFERROR(__xludf.DUMMYFUNCTION("""COMPUTED_VALUE"""),"")</f>
        <v/>
      </c>
      <c r="BX5" s="28" t="str">
        <f>IFERROR(__xludf.DUMMYFUNCTION("""COMPUTED_VALUE"""),"")</f>
        <v/>
      </c>
      <c r="BY5" s="28" t="str">
        <f>IFERROR(__xludf.DUMMYFUNCTION("""COMPUTED_VALUE"""),"")</f>
        <v/>
      </c>
      <c r="BZ5" s="28" t="str">
        <f>IFERROR(__xludf.DUMMYFUNCTION("""COMPUTED_VALUE"""),"")</f>
        <v/>
      </c>
      <c r="CA5" s="28" t="str">
        <f>IFERROR(__xludf.DUMMYFUNCTION("""COMPUTED_VALUE"""),"")</f>
        <v/>
      </c>
      <c r="CB5" s="28" t="str">
        <f>IFERROR(__xludf.DUMMYFUNCTION("""COMPUTED_VALUE"""),"")</f>
        <v/>
      </c>
      <c r="CC5" s="28" t="str">
        <f>IFERROR(__xludf.DUMMYFUNCTION("""COMPUTED_VALUE"""),"")</f>
        <v/>
      </c>
      <c r="CD5" s="28" t="str">
        <f>IFERROR(__xludf.DUMMYFUNCTION("""COMPUTED_VALUE"""),"")</f>
        <v/>
      </c>
      <c r="CE5" s="28" t="str">
        <f>IFERROR(__xludf.DUMMYFUNCTION("""COMPUTED_VALUE"""),"")</f>
        <v/>
      </c>
      <c r="CF5" s="28" t="str">
        <f>IFERROR(__xludf.DUMMYFUNCTION("""COMPUTED_VALUE"""),"")</f>
        <v/>
      </c>
      <c r="CG5" s="28" t="str">
        <f>IFERROR(__xludf.DUMMYFUNCTION("""COMPUTED_VALUE"""),"")</f>
        <v/>
      </c>
      <c r="CH5" s="28" t="str">
        <f>IFERROR(__xludf.DUMMYFUNCTION("""COMPUTED_VALUE"""),"")</f>
        <v/>
      </c>
      <c r="CI5" s="28" t="str">
        <f>IFERROR(__xludf.DUMMYFUNCTION("""COMPUTED_VALUE"""),"")</f>
        <v/>
      </c>
      <c r="CJ5" s="28" t="str">
        <f>IFERROR(__xludf.DUMMYFUNCTION("""COMPUTED_VALUE"""),"")</f>
        <v/>
      </c>
      <c r="CK5" s="28" t="str">
        <f>IFERROR(__xludf.DUMMYFUNCTION("""COMPUTED_VALUE"""),"")</f>
        <v/>
      </c>
      <c r="CL5" s="28" t="str">
        <f>IFERROR(__xludf.DUMMYFUNCTION("""COMPUTED_VALUE"""),"")</f>
        <v/>
      </c>
      <c r="CM5" s="28" t="str">
        <f>IFERROR(__xludf.DUMMYFUNCTION("""COMPUTED_VALUE"""),"")</f>
        <v/>
      </c>
      <c r="CN5" s="28" t="str">
        <f>IFERROR(__xludf.DUMMYFUNCTION("""COMPUTED_VALUE"""),"")</f>
        <v/>
      </c>
      <c r="CO5" s="28" t="str">
        <f>IFERROR(__xludf.DUMMYFUNCTION("""COMPUTED_VALUE"""),"")</f>
        <v/>
      </c>
      <c r="CP5" s="28" t="str">
        <f>IFERROR(__xludf.DUMMYFUNCTION("""COMPUTED_VALUE"""),"")</f>
        <v/>
      </c>
      <c r="CQ5" s="28" t="str">
        <f>IFERROR(__xludf.DUMMYFUNCTION("""COMPUTED_VALUE"""),"")</f>
        <v/>
      </c>
      <c r="CR5" s="28" t="str">
        <f>IFERROR(__xludf.DUMMYFUNCTION("""COMPUTED_VALUE"""),"")</f>
        <v/>
      </c>
      <c r="CS5" s="28" t="str">
        <f>IFERROR(__xludf.DUMMYFUNCTION("""COMPUTED_VALUE"""),"")</f>
        <v/>
      </c>
      <c r="CT5" s="28" t="str">
        <f>IFERROR(__xludf.DUMMYFUNCTION("""COMPUTED_VALUE"""),"")</f>
        <v/>
      </c>
      <c r="CU5" s="28" t="str">
        <f>IFERROR(__xludf.DUMMYFUNCTION("""COMPUTED_VALUE"""),"")</f>
        <v/>
      </c>
      <c r="CV5" s="28" t="str">
        <f>IFERROR(__xludf.DUMMYFUNCTION("""COMPUTED_VALUE"""),"")</f>
        <v/>
      </c>
      <c r="CW5" s="28" t="str">
        <f>IFERROR(__xludf.DUMMYFUNCTION("""COMPUTED_VALUE"""),"")</f>
        <v/>
      </c>
      <c r="CX5" s="28" t="str">
        <f>IFERROR(__xludf.DUMMYFUNCTION("""COMPUTED_VALUE"""),"")</f>
        <v/>
      </c>
      <c r="CY5" s="28" t="str">
        <f>IFERROR(__xludf.DUMMYFUNCTION("""COMPUTED_VALUE"""),"")</f>
        <v/>
      </c>
      <c r="CZ5" s="28" t="str">
        <f>IFERROR(__xludf.DUMMYFUNCTION("""COMPUTED_VALUE"""),"")</f>
        <v/>
      </c>
      <c r="DA5" s="28" t="str">
        <f>IFERROR(__xludf.DUMMYFUNCTION("""COMPUTED_VALUE"""),"")</f>
        <v/>
      </c>
      <c r="DB5" s="28" t="str">
        <f>IFERROR(__xludf.DUMMYFUNCTION("""COMPUTED_VALUE"""),"")</f>
        <v/>
      </c>
      <c r="DC5" s="28" t="str">
        <f>IFERROR(__xludf.DUMMYFUNCTION("""COMPUTED_VALUE"""),"")</f>
        <v/>
      </c>
      <c r="DD5" s="28" t="str">
        <f>IFERROR(__xludf.DUMMYFUNCTION("""COMPUTED_VALUE"""),"")</f>
        <v/>
      </c>
      <c r="DE5" s="28" t="str">
        <f>IFERROR(__xludf.DUMMYFUNCTION("""COMPUTED_VALUE"""),"")</f>
        <v/>
      </c>
      <c r="DF5" s="28" t="str">
        <f>IFERROR(__xludf.DUMMYFUNCTION("""COMPUTED_VALUE"""),"")</f>
        <v/>
      </c>
      <c r="DG5" s="28" t="str">
        <f>IFERROR(__xludf.DUMMYFUNCTION("""COMPUTED_VALUE"""),"")</f>
        <v/>
      </c>
      <c r="DH5" s="28" t="str">
        <f>IFERROR(__xludf.DUMMYFUNCTION("""COMPUTED_VALUE"""),"")</f>
        <v/>
      </c>
      <c r="DI5" s="28" t="str">
        <f>IFERROR(__xludf.DUMMYFUNCTION("""COMPUTED_VALUE"""),"")</f>
        <v/>
      </c>
      <c r="DJ5" s="28" t="str">
        <f>IFERROR(__xludf.DUMMYFUNCTION("""COMPUTED_VALUE"""),"")</f>
        <v/>
      </c>
      <c r="DK5" s="28" t="str">
        <f>IFERROR(__xludf.DUMMYFUNCTION("""COMPUTED_VALUE"""),"")</f>
        <v/>
      </c>
      <c r="DL5" s="28" t="str">
        <f>IFERROR(__xludf.DUMMYFUNCTION("""COMPUTED_VALUE"""),"")</f>
        <v/>
      </c>
      <c r="DM5" s="28" t="str">
        <f>IFERROR(__xludf.DUMMYFUNCTION("""COMPUTED_VALUE"""),"")</f>
        <v/>
      </c>
      <c r="DN5" s="28" t="str">
        <f>IFERROR(__xludf.DUMMYFUNCTION("""COMPUTED_VALUE"""),"")</f>
        <v/>
      </c>
      <c r="DO5" s="28" t="str">
        <f>IFERROR(__xludf.DUMMYFUNCTION("""COMPUTED_VALUE"""),"")</f>
        <v/>
      </c>
      <c r="DP5" s="28" t="str">
        <f>IFERROR(__xludf.DUMMYFUNCTION("""COMPUTED_VALUE"""),"")</f>
        <v/>
      </c>
      <c r="DQ5" s="28" t="str">
        <f>IFERROR(__xludf.DUMMYFUNCTION("""COMPUTED_VALUE"""),"")</f>
        <v/>
      </c>
      <c r="DR5" s="28" t="str">
        <f>IFERROR(__xludf.DUMMYFUNCTION("""COMPUTED_VALUE"""),"")</f>
        <v/>
      </c>
      <c r="DS5" s="28" t="str">
        <f>IFERROR(__xludf.DUMMYFUNCTION("""COMPUTED_VALUE"""),"")</f>
        <v/>
      </c>
      <c r="DT5" s="28" t="str">
        <f>IFERROR(__xludf.DUMMYFUNCTION("""COMPUTED_VALUE"""),"")</f>
        <v/>
      </c>
      <c r="DU5" s="28" t="str">
        <f>IFERROR(__xludf.DUMMYFUNCTION("""COMPUTED_VALUE"""),"")</f>
        <v/>
      </c>
      <c r="DV5" s="28" t="str">
        <f>IFERROR(__xludf.DUMMYFUNCTION("""COMPUTED_VALUE"""),"")</f>
        <v/>
      </c>
      <c r="DW5" s="28" t="str">
        <f>IFERROR(__xludf.DUMMYFUNCTION("""COMPUTED_VALUE"""),"")</f>
        <v/>
      </c>
      <c r="DX5" s="28" t="str">
        <f>IFERROR(__xludf.DUMMYFUNCTION("""COMPUTED_VALUE"""),"")</f>
        <v/>
      </c>
      <c r="DY5" s="28" t="str">
        <f>IFERROR(__xludf.DUMMYFUNCTION("""COMPUTED_VALUE"""),"")</f>
        <v/>
      </c>
      <c r="DZ5" s="28" t="str">
        <f>IFERROR(__xludf.DUMMYFUNCTION("""COMPUTED_VALUE"""),"")</f>
        <v/>
      </c>
      <c r="EA5" s="28" t="str">
        <f>IFERROR(__xludf.DUMMYFUNCTION("""COMPUTED_VALUE"""),"")</f>
        <v/>
      </c>
      <c r="EB5" s="28" t="str">
        <f>IFERROR(__xludf.DUMMYFUNCTION("""COMPUTED_VALUE"""),"")</f>
        <v/>
      </c>
      <c r="EC5" s="28" t="str">
        <f>IFERROR(__xludf.DUMMYFUNCTION("""COMPUTED_VALUE"""),"")</f>
        <v/>
      </c>
      <c r="ED5" s="28" t="str">
        <f>IFERROR(__xludf.DUMMYFUNCTION("""COMPUTED_VALUE"""),"")</f>
        <v/>
      </c>
      <c r="EE5" s="28" t="str">
        <f>IFERROR(__xludf.DUMMYFUNCTION("""COMPUTED_VALUE"""),"")</f>
        <v/>
      </c>
      <c r="EF5" s="28" t="str">
        <f>IFERROR(__xludf.DUMMYFUNCTION("""COMPUTED_VALUE"""),"")</f>
        <v/>
      </c>
      <c r="EG5" s="28" t="str">
        <f>IFERROR(__xludf.DUMMYFUNCTION("""COMPUTED_VALUE"""),"")</f>
        <v/>
      </c>
      <c r="EH5" s="28" t="str">
        <f>IFERROR(__xludf.DUMMYFUNCTION("""COMPUTED_VALUE"""),"")</f>
        <v/>
      </c>
      <c r="EI5" s="28" t="str">
        <f>IFERROR(__xludf.DUMMYFUNCTION("""COMPUTED_VALUE"""),"")</f>
        <v/>
      </c>
      <c r="EJ5" s="28" t="str">
        <f>IFERROR(__xludf.DUMMYFUNCTION("""COMPUTED_VALUE"""),"")</f>
        <v/>
      </c>
      <c r="EK5" s="28" t="str">
        <f>IFERROR(__xludf.DUMMYFUNCTION("""COMPUTED_VALUE"""),"")</f>
        <v/>
      </c>
      <c r="EL5" s="28" t="str">
        <f>IFERROR(__xludf.DUMMYFUNCTION("""COMPUTED_VALUE"""),"")</f>
        <v/>
      </c>
      <c r="EM5" s="28" t="str">
        <f>IFERROR(__xludf.DUMMYFUNCTION("""COMPUTED_VALUE"""),"")</f>
        <v/>
      </c>
      <c r="EN5" s="28" t="str">
        <f>IFERROR(__xludf.DUMMYFUNCTION("""COMPUTED_VALUE"""),"")</f>
        <v/>
      </c>
      <c r="EO5" s="28" t="str">
        <f>IFERROR(__xludf.DUMMYFUNCTION("""COMPUTED_VALUE"""),"")</f>
        <v/>
      </c>
      <c r="EP5" s="28" t="str">
        <f>IFERROR(__xludf.DUMMYFUNCTION("""COMPUTED_VALUE"""),"")</f>
        <v/>
      </c>
      <c r="EQ5" s="28" t="str">
        <f>IFERROR(__xludf.DUMMYFUNCTION("""COMPUTED_VALUE"""),"")</f>
        <v/>
      </c>
      <c r="ER5" s="28" t="str">
        <f>IFERROR(__xludf.DUMMYFUNCTION("""COMPUTED_VALUE"""),"")</f>
        <v/>
      </c>
      <c r="ES5" s="28" t="str">
        <f>IFERROR(__xludf.DUMMYFUNCTION("""COMPUTED_VALUE"""),"")</f>
        <v/>
      </c>
      <c r="ET5" s="28" t="str">
        <f>IFERROR(__xludf.DUMMYFUNCTION("""COMPUTED_VALUE"""),"")</f>
        <v/>
      </c>
      <c r="EU5" s="28" t="str">
        <f>IFERROR(__xludf.DUMMYFUNCTION("""COMPUTED_VALUE"""),"")</f>
        <v/>
      </c>
      <c r="EV5" s="28" t="str">
        <f>IFERROR(__xludf.DUMMYFUNCTION("""COMPUTED_VALUE"""),"")</f>
        <v/>
      </c>
      <c r="EW5" s="28" t="str">
        <f>IFERROR(__xludf.DUMMYFUNCTION("""COMPUTED_VALUE"""),"")</f>
        <v/>
      </c>
      <c r="EX5" s="28" t="str">
        <f>IFERROR(__xludf.DUMMYFUNCTION("""COMPUTED_VALUE"""),"")</f>
        <v/>
      </c>
    </row>
    <row r="6" ht="15.75" customHeight="1">
      <c r="A6" s="15"/>
      <c r="B6" s="29">
        <f>today()-1</f>
        <v>43662</v>
      </c>
      <c r="C6" s="30">
        <f>today()</f>
        <v>43663</v>
      </c>
      <c r="D6" s="15"/>
      <c r="E6" s="31"/>
      <c r="F6" s="7"/>
      <c r="G6" s="7"/>
      <c r="H6" s="7"/>
      <c r="I6" s="7"/>
      <c r="J6" s="7"/>
      <c r="K6" s="7"/>
      <c r="L6" s="7"/>
      <c r="M6" s="7"/>
      <c r="N6" s="7"/>
      <c r="O6" s="7"/>
    </row>
    <row r="7" ht="15.75" customHeight="1">
      <c r="A7" s="7"/>
      <c r="B7" s="7"/>
      <c r="C7" s="7"/>
      <c r="D7" s="7"/>
      <c r="E7" s="7"/>
      <c r="F7" s="7"/>
      <c r="G7" s="7"/>
      <c r="H7" s="7"/>
      <c r="I7" s="7"/>
      <c r="J7" s="7"/>
      <c r="K7" s="7"/>
      <c r="L7" s="7"/>
      <c r="M7" s="7"/>
      <c r="N7" s="7"/>
      <c r="O7" s="7"/>
    </row>
    <row r="8" ht="15.75" customHeight="1">
      <c r="A8" s="7"/>
      <c r="B8" s="7"/>
      <c r="C8" s="7"/>
      <c r="D8" s="7"/>
      <c r="E8" s="7"/>
      <c r="F8" s="7"/>
      <c r="G8" s="7"/>
      <c r="H8" s="7"/>
      <c r="I8" s="7"/>
      <c r="J8" s="7"/>
      <c r="K8" s="7"/>
      <c r="L8" s="7"/>
      <c r="M8" s="7"/>
      <c r="N8" s="7"/>
      <c r="O8" s="7"/>
    </row>
    <row r="9" ht="15.75" customHeight="1">
      <c r="A9" s="7"/>
      <c r="B9" s="7"/>
      <c r="C9" s="7"/>
      <c r="D9" s="7"/>
      <c r="E9" s="7"/>
      <c r="F9" s="7"/>
      <c r="G9" s="7"/>
      <c r="H9" s="7"/>
      <c r="I9" s="7"/>
      <c r="J9" s="7"/>
      <c r="K9" s="7"/>
      <c r="L9" s="7"/>
      <c r="M9" s="7"/>
      <c r="N9" s="7"/>
      <c r="O9" s="7"/>
    </row>
    <row r="10" ht="15.75" customHeight="1">
      <c r="A10" s="7"/>
      <c r="B10" s="7"/>
      <c r="C10" s="7"/>
      <c r="D10" s="7"/>
      <c r="E10" s="7"/>
      <c r="F10" s="7"/>
      <c r="G10" s="7"/>
      <c r="H10" s="7"/>
      <c r="I10" s="7"/>
      <c r="J10" s="7"/>
      <c r="K10" s="7"/>
      <c r="L10" s="7"/>
      <c r="M10" s="7"/>
      <c r="N10" s="7"/>
      <c r="O10" s="7"/>
    </row>
    <row r="11" ht="15.75" customHeight="1">
      <c r="A11" s="7"/>
      <c r="B11" s="7"/>
      <c r="C11" s="7"/>
      <c r="D11" s="7"/>
      <c r="E11" s="7"/>
      <c r="F11" s="7"/>
      <c r="G11" s="7"/>
      <c r="H11" s="7"/>
      <c r="I11" s="7"/>
      <c r="J11" s="7"/>
      <c r="K11" s="7"/>
      <c r="L11" s="7"/>
      <c r="M11" s="7"/>
      <c r="N11" s="7"/>
      <c r="O11" s="7"/>
    </row>
    <row r="12" ht="15.75" customHeight="1">
      <c r="A12" s="7"/>
      <c r="B12" s="7"/>
      <c r="C12" s="7"/>
      <c r="D12" s="7"/>
      <c r="E12" s="7"/>
      <c r="F12" s="7"/>
      <c r="G12" s="7"/>
      <c r="H12" s="7"/>
      <c r="I12" s="7"/>
      <c r="J12" s="7"/>
      <c r="K12" s="7"/>
      <c r="L12" s="7"/>
      <c r="M12" s="7"/>
      <c r="N12" s="7"/>
      <c r="O12" s="7"/>
    </row>
    <row r="13" ht="15.75" customHeight="1">
      <c r="A13" s="7"/>
      <c r="B13" s="7"/>
      <c r="C13" s="7"/>
      <c r="D13" s="7"/>
      <c r="E13" s="7"/>
      <c r="F13" s="7"/>
      <c r="G13" s="7"/>
      <c r="H13" s="7"/>
      <c r="I13" s="7"/>
      <c r="J13" s="7"/>
      <c r="K13" s="7"/>
      <c r="L13" s="7"/>
      <c r="M13" s="7"/>
      <c r="N13" s="7"/>
      <c r="O13" s="7"/>
    </row>
    <row r="14" ht="15.75" customHeight="1">
      <c r="A14" s="7"/>
      <c r="B14" s="7"/>
      <c r="C14" s="7"/>
      <c r="D14" s="7"/>
      <c r="E14" s="7"/>
      <c r="F14" s="7"/>
      <c r="G14" s="7"/>
      <c r="H14" s="7"/>
      <c r="I14" s="7"/>
      <c r="J14" s="7"/>
      <c r="K14" s="7"/>
      <c r="L14" s="7"/>
      <c r="M14" s="7"/>
      <c r="N14" s="7"/>
      <c r="O14" s="7"/>
    </row>
    <row r="15" ht="15.75" customHeight="1">
      <c r="A15" s="7"/>
      <c r="B15" s="7"/>
      <c r="C15" s="7"/>
      <c r="D15" s="7"/>
      <c r="E15" s="7"/>
      <c r="F15" s="7"/>
      <c r="G15" s="7"/>
      <c r="H15" s="7"/>
      <c r="I15" s="7"/>
      <c r="J15" s="7"/>
      <c r="K15" s="7"/>
      <c r="L15" s="7"/>
      <c r="M15" s="7"/>
      <c r="N15" s="7"/>
      <c r="O15" s="7"/>
    </row>
    <row r="16" ht="15.75" customHeight="1">
      <c r="A16" s="7"/>
      <c r="B16" s="7"/>
      <c r="C16" s="7"/>
      <c r="D16" s="7"/>
      <c r="E16" s="7"/>
      <c r="F16" s="7"/>
      <c r="G16" s="7"/>
      <c r="H16" s="7"/>
      <c r="I16" s="7"/>
      <c r="J16" s="7"/>
      <c r="K16" s="7"/>
      <c r="L16" s="7"/>
      <c r="M16" s="7"/>
      <c r="N16" s="7"/>
      <c r="O16" s="7"/>
    </row>
    <row r="17" ht="15.75" customHeight="1">
      <c r="A17" s="7"/>
      <c r="B17" s="7"/>
      <c r="C17" s="7"/>
      <c r="D17" s="7"/>
      <c r="E17" s="7"/>
      <c r="F17" s="7"/>
      <c r="G17" s="7"/>
      <c r="H17" s="7"/>
      <c r="I17" s="7"/>
      <c r="J17" s="7"/>
      <c r="K17" s="7"/>
      <c r="L17" s="7"/>
      <c r="M17" s="7"/>
      <c r="N17" s="7"/>
      <c r="O17" s="7"/>
    </row>
    <row r="18" ht="15.75" customHeight="1">
      <c r="A18" s="7"/>
      <c r="B18" s="7"/>
      <c r="C18" s="7"/>
      <c r="D18" s="7"/>
      <c r="E18" s="7"/>
      <c r="F18" s="7"/>
      <c r="G18" s="7"/>
      <c r="H18" s="7"/>
      <c r="I18" s="7"/>
      <c r="J18" s="7"/>
      <c r="K18" s="7"/>
      <c r="L18" s="7"/>
      <c r="M18" s="7"/>
      <c r="N18" s="7"/>
      <c r="O18" s="7"/>
    </row>
    <row r="19" ht="15.75" customHeight="1">
      <c r="A19" s="7"/>
      <c r="B19" s="7"/>
      <c r="C19" s="7"/>
      <c r="D19" s="7"/>
      <c r="E19" s="7"/>
      <c r="F19" s="7"/>
      <c r="G19" s="7"/>
      <c r="H19" s="7"/>
      <c r="I19" s="7"/>
      <c r="J19" s="7"/>
      <c r="K19" s="7"/>
      <c r="L19" s="7"/>
      <c r="M19" s="7"/>
      <c r="N19" s="7"/>
      <c r="O19" s="7"/>
    </row>
    <row r="20" ht="15.75" customHeight="1">
      <c r="A20" s="7"/>
      <c r="B20" s="7"/>
      <c r="C20" s="7"/>
      <c r="D20" s="7"/>
      <c r="E20" s="7"/>
      <c r="F20" s="7"/>
      <c r="G20" s="7"/>
      <c r="H20" s="7"/>
      <c r="I20" s="7"/>
      <c r="J20" s="7"/>
      <c r="K20" s="7"/>
      <c r="L20" s="7"/>
      <c r="M20" s="7"/>
      <c r="N20" s="7"/>
      <c r="O20" s="7"/>
    </row>
    <row r="21" ht="15.75" customHeight="1">
      <c r="A21" s="7"/>
      <c r="B21" s="7"/>
      <c r="C21" s="7"/>
      <c r="D21" s="7"/>
      <c r="E21" s="7"/>
      <c r="F21" s="7"/>
      <c r="G21" s="7"/>
      <c r="H21" s="7"/>
      <c r="I21" s="7"/>
      <c r="J21" s="7"/>
      <c r="K21" s="7"/>
      <c r="L21" s="7"/>
      <c r="M21" s="7"/>
      <c r="N21" s="7"/>
      <c r="O21" s="7"/>
    </row>
    <row r="22" ht="15.75" customHeight="1">
      <c r="A22" s="7"/>
      <c r="B22" s="7"/>
      <c r="C22" s="7"/>
      <c r="D22" s="7"/>
      <c r="E22" s="7"/>
      <c r="F22" s="7"/>
      <c r="G22" s="7"/>
      <c r="H22" s="7"/>
      <c r="I22" s="7"/>
      <c r="J22" s="7"/>
      <c r="K22" s="7"/>
      <c r="L22" s="7"/>
      <c r="M22" s="7"/>
      <c r="N22" s="7"/>
      <c r="O22" s="7"/>
    </row>
    <row r="23" ht="15.75" customHeight="1">
      <c r="A23" s="7"/>
      <c r="B23" s="7"/>
      <c r="C23" s="7"/>
      <c r="D23" s="7"/>
      <c r="E23" s="7"/>
      <c r="F23" s="7"/>
      <c r="G23" s="7"/>
      <c r="H23" s="7"/>
      <c r="I23" s="7"/>
      <c r="J23" s="7"/>
      <c r="K23" s="7"/>
      <c r="L23" s="7"/>
      <c r="M23" s="7"/>
      <c r="N23" s="7"/>
      <c r="O23" s="7"/>
    </row>
    <row r="24" ht="15.75" customHeight="1">
      <c r="A24" s="7"/>
      <c r="B24" s="7"/>
      <c r="C24" s="7"/>
      <c r="D24" s="7"/>
      <c r="E24" s="7"/>
      <c r="F24" s="7"/>
      <c r="G24" s="7"/>
      <c r="H24" s="7"/>
      <c r="I24" s="7"/>
      <c r="J24" s="7"/>
      <c r="K24" s="7"/>
      <c r="L24" s="7"/>
      <c r="M24" s="7"/>
      <c r="N24" s="7"/>
      <c r="O24" s="7"/>
    </row>
    <row r="25" ht="15.75" customHeight="1">
      <c r="A25" s="7"/>
      <c r="B25" s="7"/>
      <c r="C25" s="7"/>
      <c r="D25" s="7"/>
      <c r="E25" s="7"/>
      <c r="F25" s="7"/>
      <c r="G25" s="7"/>
      <c r="H25" s="7"/>
      <c r="I25" s="7"/>
      <c r="J25" s="7"/>
      <c r="K25" s="7"/>
      <c r="L25" s="7"/>
      <c r="M25" s="7"/>
      <c r="N25" s="7"/>
      <c r="O25" s="7"/>
    </row>
    <row r="26" ht="15.75" customHeight="1">
      <c r="A26" s="7"/>
      <c r="B26" s="7"/>
      <c r="C26" s="7"/>
      <c r="D26" s="7"/>
      <c r="E26" s="7"/>
      <c r="F26" s="7"/>
      <c r="G26" s="7"/>
      <c r="H26" s="7"/>
      <c r="I26" s="7"/>
      <c r="J26" s="7"/>
      <c r="K26" s="7"/>
      <c r="L26" s="7"/>
      <c r="M26" s="7"/>
      <c r="N26" s="7"/>
      <c r="O26" s="7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GetMarkPriceData1!$4:$4</formula1>
    </dataValidation>
    <dataValidation type="list" allowBlank="1" showInputMessage="1" showErrorMessage="1" prompt="Choose a format for current sheet" sqref="G3">
      <formula1>"Input Format,Output Format"</formula1>
    </dataValidation>
  </dataValidations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7"/>
      <c r="B1" s="2" t="s">
        <v>11</v>
      </c>
      <c r="C1" s="3"/>
      <c r="D1" s="3"/>
      <c r="E1" s="3"/>
      <c r="F1" s="3"/>
      <c r="G1" s="3"/>
      <c r="H1" s="5"/>
      <c r="I1" s="17"/>
      <c r="J1" s="17"/>
      <c r="K1" s="17"/>
      <c r="L1" s="17"/>
      <c r="M1" s="17"/>
      <c r="N1" s="17"/>
      <c r="O1" s="17"/>
      <c r="P1" s="18"/>
      <c r="Q1" s="18"/>
      <c r="R1" s="18"/>
      <c r="S1" s="18"/>
      <c r="T1" s="18"/>
      <c r="U1" s="18"/>
      <c r="V1" s="18"/>
      <c r="W1" s="18"/>
      <c r="X1" s="18"/>
      <c r="Y1" s="18"/>
      <c r="Z1" s="18"/>
      <c r="AA1" s="18"/>
      <c r="AB1" s="18"/>
      <c r="AC1" s="18"/>
      <c r="AD1" s="18"/>
      <c r="AE1" s="18"/>
      <c r="AF1" s="18"/>
      <c r="AG1" s="18"/>
      <c r="AH1" s="18"/>
      <c r="AI1" s="18"/>
      <c r="AJ1" s="18"/>
      <c r="AK1" s="18"/>
      <c r="AL1" s="18"/>
      <c r="AM1" s="18"/>
      <c r="AN1" s="18"/>
      <c r="AO1" s="18"/>
      <c r="AP1" s="18"/>
      <c r="AQ1" s="18"/>
      <c r="AR1" s="18"/>
      <c r="AS1" s="18"/>
      <c r="AT1" s="18"/>
      <c r="AU1" s="18"/>
      <c r="AV1" s="18"/>
      <c r="AW1" s="18"/>
      <c r="AX1" s="18"/>
      <c r="AY1" s="18"/>
      <c r="AZ1" s="18"/>
      <c r="BA1" s="18"/>
      <c r="BB1" s="18"/>
      <c r="BC1" s="18"/>
      <c r="BD1" s="18"/>
      <c r="BE1" s="18"/>
      <c r="BF1" s="18"/>
      <c r="BG1" s="18"/>
      <c r="BH1" s="18"/>
      <c r="BI1" s="18"/>
      <c r="BJ1" s="18"/>
      <c r="BK1" s="18"/>
      <c r="BL1" s="18"/>
      <c r="BM1" s="18"/>
      <c r="BN1" s="18"/>
      <c r="BO1" s="18"/>
      <c r="BP1" s="18"/>
      <c r="BQ1" s="18"/>
      <c r="BR1" s="18"/>
      <c r="BS1" s="18"/>
      <c r="BT1" s="18"/>
      <c r="BU1" s="18"/>
      <c r="BV1" s="18"/>
      <c r="BW1" s="18"/>
      <c r="BX1" s="18"/>
      <c r="BY1" s="18"/>
      <c r="BZ1" s="18"/>
      <c r="CA1" s="18"/>
      <c r="CB1" s="18"/>
      <c r="CC1" s="18"/>
      <c r="CD1" s="18"/>
      <c r="CE1" s="18"/>
      <c r="CF1" s="18"/>
      <c r="CG1" s="18"/>
      <c r="CH1" s="18"/>
      <c r="CI1" s="18"/>
      <c r="CJ1" s="18"/>
      <c r="CK1" s="18"/>
      <c r="CL1" s="18"/>
      <c r="CM1" s="18"/>
      <c r="CN1" s="18"/>
      <c r="CO1" s="18"/>
      <c r="CP1" s="18"/>
      <c r="CQ1" s="18"/>
      <c r="CR1" s="18"/>
      <c r="CS1" s="18"/>
      <c r="CT1" s="18"/>
      <c r="CU1" s="18"/>
      <c r="CV1" s="18"/>
      <c r="CW1" s="18"/>
      <c r="CX1" s="18"/>
      <c r="CY1" s="18"/>
      <c r="CZ1" s="18"/>
      <c r="DA1" s="18"/>
      <c r="DB1" s="18"/>
      <c r="DC1" s="18"/>
      <c r="DD1" s="18"/>
      <c r="DE1" s="18"/>
      <c r="DF1" s="18"/>
      <c r="DG1" s="18"/>
      <c r="DH1" s="18"/>
      <c r="DI1" s="18"/>
      <c r="DJ1" s="18"/>
      <c r="DK1" s="18"/>
      <c r="DL1" s="18"/>
      <c r="DM1" s="18"/>
      <c r="DN1" s="18"/>
      <c r="DO1" s="18"/>
      <c r="DP1" s="18"/>
      <c r="DQ1" s="18"/>
      <c r="DR1" s="18"/>
      <c r="DS1" s="18"/>
      <c r="DT1" s="18"/>
      <c r="DU1" s="18"/>
      <c r="DV1" s="18"/>
      <c r="DW1" s="18"/>
      <c r="DX1" s="18"/>
      <c r="DY1" s="18"/>
      <c r="DZ1" s="18"/>
      <c r="EA1" s="18"/>
      <c r="EB1" s="18"/>
      <c r="EC1" s="18"/>
      <c r="ED1" s="18"/>
      <c r="EE1" s="18"/>
      <c r="EF1" s="18"/>
      <c r="EG1" s="18"/>
      <c r="EH1" s="18"/>
      <c r="EI1" s="18"/>
      <c r="EJ1" s="18"/>
      <c r="EK1" s="18"/>
      <c r="EL1" s="18"/>
      <c r="EM1" s="18"/>
      <c r="EN1" s="18"/>
      <c r="EO1" s="18"/>
      <c r="EP1" s="18"/>
      <c r="EQ1" s="18"/>
      <c r="ER1" s="18"/>
      <c r="ES1" s="18"/>
      <c r="ET1" s="18"/>
      <c r="EU1" s="18"/>
      <c r="EV1" s="18"/>
      <c r="EW1" s="18"/>
      <c r="EX1" s="18"/>
    </row>
    <row r="2" ht="15.75" customHeight="1">
      <c r="A2" s="7"/>
      <c r="B2" s="7"/>
      <c r="C2" s="7"/>
      <c r="D2" s="7"/>
      <c r="E2" s="7"/>
      <c r="F2" s="7"/>
      <c r="G2" s="7"/>
      <c r="H2" s="7"/>
      <c r="I2" s="7"/>
      <c r="J2" s="19" t="str">
        <f> VLOOKUP($E$3,'_MasterData'!B4:D1000,3,FALSE)</f>
        <v>#N/A</v>
      </c>
      <c r="K2" s="19"/>
      <c r="L2" s="7"/>
      <c r="M2" s="7"/>
      <c r="N2" s="7"/>
      <c r="O2" s="7"/>
    </row>
    <row r="3" ht="15.75" customHeight="1">
      <c r="A3" s="20"/>
      <c r="B3" s="9" t="s">
        <v>3</v>
      </c>
      <c r="C3" s="21" t="s">
        <v>12</v>
      </c>
      <c r="D3" s="9" t="s">
        <v>6</v>
      </c>
      <c r="E3" s="21" t="s">
        <v>26</v>
      </c>
      <c r="F3" s="9" t="s">
        <v>15</v>
      </c>
      <c r="G3" s="16" t="s">
        <v>17</v>
      </c>
      <c r="H3" s="9"/>
      <c r="I3" s="20"/>
      <c r="J3" s="20"/>
      <c r="K3" s="20"/>
      <c r="L3" s="20"/>
      <c r="M3" s="20"/>
      <c r="N3" s="20"/>
      <c r="O3" s="20"/>
      <c r="P3" s="22"/>
      <c r="Q3" s="22"/>
      <c r="R3" s="22"/>
      <c r="S3" s="22"/>
      <c r="T3" s="22"/>
      <c r="U3" s="22"/>
      <c r="V3" s="22"/>
      <c r="W3" s="22"/>
      <c r="X3" s="22"/>
      <c r="Y3" s="22"/>
      <c r="Z3" s="22"/>
      <c r="AA3" s="22"/>
      <c r="AB3" s="22"/>
      <c r="AC3" s="22"/>
      <c r="AD3" s="22"/>
      <c r="AE3" s="22"/>
      <c r="AF3" s="22"/>
      <c r="AG3" s="22"/>
      <c r="AH3" s="22"/>
      <c r="AI3" s="22"/>
      <c r="AJ3" s="22"/>
      <c r="AK3" s="22"/>
      <c r="AL3" s="22"/>
      <c r="AM3" s="22"/>
      <c r="AN3" s="22"/>
      <c r="AO3" s="22"/>
      <c r="AP3" s="22"/>
      <c r="AQ3" s="22"/>
      <c r="AR3" s="22"/>
      <c r="AS3" s="22"/>
      <c r="AT3" s="22"/>
      <c r="AU3" s="22"/>
      <c r="AV3" s="22"/>
      <c r="AW3" s="22"/>
      <c r="AX3" s="22"/>
      <c r="AY3" s="22"/>
      <c r="AZ3" s="22"/>
      <c r="BA3" s="22"/>
      <c r="BB3" s="22"/>
      <c r="BC3" s="22"/>
      <c r="BD3" s="22"/>
      <c r="BE3" s="22"/>
      <c r="BF3" s="22"/>
      <c r="BG3" s="22"/>
      <c r="BH3" s="22"/>
      <c r="BI3" s="22"/>
      <c r="BJ3" s="22"/>
      <c r="BK3" s="22"/>
      <c r="BL3" s="22"/>
      <c r="BM3" s="22"/>
      <c r="BN3" s="22"/>
      <c r="BO3" s="22"/>
      <c r="BP3" s="22"/>
      <c r="BQ3" s="22"/>
      <c r="BR3" s="22"/>
      <c r="BS3" s="22"/>
      <c r="BT3" s="22"/>
      <c r="BU3" s="22"/>
      <c r="BV3" s="22"/>
      <c r="BW3" s="22"/>
      <c r="BX3" s="22"/>
      <c r="BY3" s="22"/>
      <c r="BZ3" s="22"/>
      <c r="CA3" s="22"/>
      <c r="CB3" s="22"/>
      <c r="CC3" s="22"/>
      <c r="CD3" s="22"/>
      <c r="CE3" s="22"/>
      <c r="CF3" s="22"/>
      <c r="CG3" s="22"/>
      <c r="CH3" s="22"/>
      <c r="CI3" s="22"/>
      <c r="CJ3" s="22"/>
      <c r="CK3" s="22"/>
      <c r="CL3" s="22"/>
      <c r="CM3" s="22"/>
      <c r="CN3" s="22"/>
      <c r="CO3" s="22"/>
      <c r="CP3" s="22"/>
      <c r="CQ3" s="22"/>
      <c r="CR3" s="22"/>
      <c r="CS3" s="22"/>
      <c r="CT3" s="22"/>
      <c r="CU3" s="22"/>
      <c r="CV3" s="22"/>
      <c r="CW3" s="22"/>
      <c r="CX3" s="22"/>
      <c r="CY3" s="22"/>
      <c r="CZ3" s="22"/>
      <c r="DA3" s="22"/>
      <c r="DB3" s="22"/>
      <c r="DC3" s="22"/>
      <c r="DD3" s="22"/>
      <c r="DE3" s="22"/>
      <c r="DF3" s="22"/>
      <c r="DG3" s="22"/>
      <c r="DH3" s="22"/>
      <c r="DI3" s="22"/>
      <c r="DJ3" s="22"/>
      <c r="DK3" s="22"/>
      <c r="DL3" s="22"/>
      <c r="DM3" s="22"/>
      <c r="DN3" s="22"/>
      <c r="DO3" s="22"/>
      <c r="DP3" s="22"/>
      <c r="DQ3" s="22"/>
      <c r="DR3" s="22"/>
      <c r="DS3" s="22"/>
      <c r="DT3" s="22"/>
      <c r="DU3" s="22"/>
      <c r="DV3" s="22"/>
      <c r="DW3" s="22"/>
      <c r="DX3" s="22"/>
      <c r="DY3" s="22"/>
      <c r="DZ3" s="22"/>
      <c r="EA3" s="22"/>
      <c r="EB3" s="22"/>
      <c r="EC3" s="22"/>
      <c r="ED3" s="22"/>
      <c r="EE3" s="22"/>
      <c r="EF3" s="22"/>
      <c r="EG3" s="22"/>
      <c r="EH3" s="22"/>
      <c r="EI3" s="22"/>
      <c r="EJ3" s="22"/>
      <c r="EK3" s="22"/>
      <c r="EL3" s="22"/>
      <c r="EM3" s="22"/>
      <c r="EN3" s="22"/>
      <c r="EO3" s="22"/>
      <c r="EP3" s="22"/>
      <c r="EQ3" s="22"/>
      <c r="ER3" s="22"/>
      <c r="ES3" s="22"/>
      <c r="ET3" s="22"/>
      <c r="EU3" s="22"/>
      <c r="EV3" s="22"/>
      <c r="EW3" s="22"/>
      <c r="EX3" s="22"/>
    </row>
    <row r="4" ht="15.75" customHeight="1">
      <c r="A4" s="23"/>
      <c r="B4" s="23" t="str">
        <f>IFERROR(__xludf.DUMMYFUNCTION("IF(C3="""","""",Transpose(IMPORTRANGE('_Settings'!$B$3,C3&amp;""!A4:A1000"")))"),"UpdateBeta")</f>
        <v>UpdateBeta</v>
      </c>
      <c r="C4" s="23" t="str">
        <f>IFERROR(__xludf.DUMMYFUNCTION("""COMPUTED_VALUE"""),"UpdateDailyCash")</f>
        <v>UpdateDailyCash</v>
      </c>
      <c r="D4" s="23" t="str">
        <f>IFERROR(__xludf.DUMMYFUNCTION("""COMPUTED_VALUE"""),"UpdateForexConversion")</f>
        <v>UpdateForexConversion</v>
      </c>
      <c r="E4" s="23" t="str">
        <f>IFERROR(__xludf.DUMMYFUNCTION("""COMPUTED_VALUE"""),"UpdateMarkPrice")</f>
        <v>UpdateMarkPrice</v>
      </c>
      <c r="F4" s="23" t="str">
        <f>IFERROR(__xludf.DUMMYFUNCTION("""COMPUTED_VALUE"""),"CleanUp")</f>
        <v>CleanUp</v>
      </c>
      <c r="G4" s="23" t="str">
        <f>IFERROR(__xludf.DUMMYFUNCTION("""COMPUTED_VALUE"""),"GetMarkPriceData")</f>
        <v>GetMarkPriceData</v>
      </c>
      <c r="H4" s="23" t="str">
        <f>IFERROR(__xludf.DUMMYFUNCTION("""COMPUTED_VALUE"""),"GetForwardPoints")</f>
        <v>GetForwardPoints</v>
      </c>
      <c r="I4" s="23" t="str">
        <f>IFERROR(__xludf.DUMMYFUNCTION("""COMPUTED_VALUE"""),"UpdateForwardPoints")</f>
        <v>UpdateForwardPoints</v>
      </c>
      <c r="J4" s="23" t="str">
        <f>IFERROR(__xludf.DUMMYFUNCTION("""COMPUTED_VALUE"""),"GetForexConversion")</f>
        <v>GetForexConversion</v>
      </c>
      <c r="K4" s="23" t="str">
        <f>IFERROR(__xludf.DUMMYFUNCTION("""COMPUTED_VALUE"""),"DeleteNAV")</f>
        <v>DeleteNAV</v>
      </c>
      <c r="L4" s="23" t="str">
        <f>IFERROR(__xludf.DUMMYFUNCTION("""COMPUTED_VALUE"""),"GetDailyCash")</f>
        <v>GetDailyCash</v>
      </c>
      <c r="M4" s="23" t="str">
        <f>IFERROR(__xludf.DUMMYFUNCTION("""COMPUTED_VALUE"""),"GetDailyBeta")</f>
        <v>GetDailyBeta</v>
      </c>
      <c r="N4" s="23" t="str">
        <f>IFERROR(__xludf.DUMMYFUNCTION("""COMPUTED_VALUE"""),"GetDailyVolatility")</f>
        <v>GetDailyVolatility</v>
      </c>
      <c r="O4" s="23" t="str">
        <f>IFERROR(__xludf.DUMMYFUNCTION("""COMPUTED_VALUE"""),"GetDailyDividendYield")</f>
        <v>GetDailyDividendYield</v>
      </c>
      <c r="P4" s="24" t="str">
        <f>IFERROR(__xludf.DUMMYFUNCTION("""COMPUTED_VALUE"""),"GetDailyTradingVolume")</f>
        <v>GetDailyTradingVolume</v>
      </c>
      <c r="Q4" s="24" t="str">
        <f>IFERROR(__xludf.DUMMYFUNCTION("""COMPUTED_VALUE"""),"GetDailyOutstandings")</f>
        <v>GetDailyOutstandings</v>
      </c>
      <c r="R4" s="24" t="str">
        <f>IFERROR(__xludf.DUMMYFUNCTION("""COMPUTED_VALUE"""),"GetDailyDelta")</f>
        <v>GetDailyDelta</v>
      </c>
      <c r="S4" s="24" t="str">
        <f>IFERROR(__xludf.DUMMYFUNCTION("""COMPUTED_VALUE"""),"UpdateDailyVolatility")</f>
        <v>UpdateDailyVolatility</v>
      </c>
      <c r="T4" s="24" t="str">
        <f>IFERROR(__xludf.DUMMYFUNCTION("""COMPUTED_VALUE"""),"UpdateDividendYield")</f>
        <v>UpdateDividendYield</v>
      </c>
      <c r="U4" s="24" t="str">
        <f>IFERROR(__xludf.DUMMYFUNCTION("""COMPUTED_VALUE"""),"UpdateTradingVolume")</f>
        <v>UpdateTradingVolume</v>
      </c>
      <c r="V4" s="24" t="str">
        <f>IFERROR(__xludf.DUMMYFUNCTION("""COMPUTED_VALUE"""),"UpdateDailyDelta")</f>
        <v>UpdateDailyDelta</v>
      </c>
      <c r="W4" s="24" t="str">
        <f>IFERROR(__xludf.DUMMYFUNCTION("""COMPUTED_VALUE"""),"UpdateDailyOutstandings")</f>
        <v>UpdateDailyOutstandings</v>
      </c>
      <c r="X4" s="24" t="str">
        <f>IFERROR(__xludf.DUMMYFUNCTION("""COMPUTED_VALUE"""),"UpdateBeta")</f>
        <v>UpdateBeta</v>
      </c>
      <c r="Y4" s="24" t="str">
        <f>IFERROR(__xludf.DUMMYFUNCTION("""COMPUTED_VALUE"""),"UpdateNAV")</f>
        <v>UpdateNAV</v>
      </c>
      <c r="Z4" s="24" t="str">
        <f>IFERROR(__xludf.DUMMYFUNCTION("""COMPUTED_VALUE"""),"UpdateDailyCash")</f>
        <v>UpdateDailyCash</v>
      </c>
      <c r="AA4" s="24" t="str">
        <f>IFERROR(__xludf.DUMMYFUNCTION("""COMPUTED_VALUE"""),"UpdateDailyCreditLimt")</f>
        <v>UpdateDailyCreditLimt</v>
      </c>
      <c r="AB4" s="24" t="str">
        <f>IFERROR(__xludf.DUMMYFUNCTION("""COMPUTED_VALUE"""),"RemoveDailyCreditLimit")</f>
        <v>RemoveDailyCreditLimit</v>
      </c>
      <c r="AC4" s="24" t="str">
        <f>IFERROR(__xludf.DUMMYFUNCTION("""COMPUTED_VALUE"""),"RemoveDailyCash")</f>
        <v>RemoveDailyCash</v>
      </c>
      <c r="AD4" s="24" t="str">
        <f>IFERROR(__xludf.DUMMYFUNCTION("""COMPUTED_VALUE"""),"RemoveNAV")</f>
        <v>RemoveNAV</v>
      </c>
      <c r="AE4" s="24" t="str">
        <f>IFERROR(__xludf.DUMMYFUNCTION("""COMPUTED_VALUE"""),"UpdateForexConversionMonthly")</f>
        <v>UpdateForexConversionMonthly</v>
      </c>
      <c r="AF4" s="24" t="str">
        <f>IFERROR(__xludf.DUMMYFUNCTION("""COMPUTED_VALUE"""),"UpdateMarkPriceMonthly")</f>
        <v>UpdateMarkPriceMonthly</v>
      </c>
      <c r="AG4" s="24" t="str">
        <f>IFERROR(__xludf.DUMMYFUNCTION("""COMPUTED_VALUE"""),"")</f>
        <v/>
      </c>
      <c r="AH4" s="24" t="str">
        <f>IFERROR(__xludf.DUMMYFUNCTION("""COMPUTED_VALUE"""),"")</f>
        <v/>
      </c>
      <c r="AI4" s="24" t="str">
        <f>IFERROR(__xludf.DUMMYFUNCTION("""COMPUTED_VALUE"""),"")</f>
        <v/>
      </c>
      <c r="AJ4" s="24" t="str">
        <f>IFERROR(__xludf.DUMMYFUNCTION("""COMPUTED_VALUE"""),"")</f>
        <v/>
      </c>
      <c r="AK4" s="24" t="str">
        <f>IFERROR(__xludf.DUMMYFUNCTION("""COMPUTED_VALUE"""),"")</f>
        <v/>
      </c>
      <c r="AL4" s="24" t="str">
        <f>IFERROR(__xludf.DUMMYFUNCTION("""COMPUTED_VALUE"""),"")</f>
        <v/>
      </c>
      <c r="AM4" s="24" t="str">
        <f>IFERROR(__xludf.DUMMYFUNCTION("""COMPUTED_VALUE"""),"")</f>
        <v/>
      </c>
      <c r="AN4" s="24" t="str">
        <f>IFERROR(__xludf.DUMMYFUNCTION("""COMPUTED_VALUE"""),"")</f>
        <v/>
      </c>
      <c r="AO4" s="24" t="str">
        <f>IFERROR(__xludf.DUMMYFUNCTION("""COMPUTED_VALUE"""),"")</f>
        <v/>
      </c>
      <c r="AP4" s="24" t="str">
        <f>IFERROR(__xludf.DUMMYFUNCTION("""COMPUTED_VALUE"""),"")</f>
        <v/>
      </c>
      <c r="AQ4" s="24" t="str">
        <f>IFERROR(__xludf.DUMMYFUNCTION("""COMPUTED_VALUE"""),"")</f>
        <v/>
      </c>
      <c r="AR4" s="24" t="str">
        <f>IFERROR(__xludf.DUMMYFUNCTION("""COMPUTED_VALUE"""),"")</f>
        <v/>
      </c>
      <c r="AS4" s="24" t="str">
        <f>IFERROR(__xludf.DUMMYFUNCTION("""COMPUTED_VALUE"""),"")</f>
        <v/>
      </c>
      <c r="AT4" s="24" t="str">
        <f>IFERROR(__xludf.DUMMYFUNCTION("""COMPUTED_VALUE"""),"")</f>
        <v/>
      </c>
      <c r="AU4" s="24" t="str">
        <f>IFERROR(__xludf.DUMMYFUNCTION("""COMPUTED_VALUE"""),"")</f>
        <v/>
      </c>
      <c r="AV4" s="24" t="str">
        <f>IFERROR(__xludf.DUMMYFUNCTION("""COMPUTED_VALUE"""),"")</f>
        <v/>
      </c>
      <c r="AW4" s="24" t="str">
        <f>IFERROR(__xludf.DUMMYFUNCTION("""COMPUTED_VALUE"""),"")</f>
        <v/>
      </c>
      <c r="AX4" s="24" t="str">
        <f>IFERROR(__xludf.DUMMYFUNCTION("""COMPUTED_VALUE"""),"")</f>
        <v/>
      </c>
      <c r="AY4" s="24" t="str">
        <f>IFERROR(__xludf.DUMMYFUNCTION("""COMPUTED_VALUE"""),"")</f>
        <v/>
      </c>
      <c r="AZ4" s="24" t="str">
        <f>IFERROR(__xludf.DUMMYFUNCTION("""COMPUTED_VALUE"""),"")</f>
        <v/>
      </c>
      <c r="BA4" s="24" t="str">
        <f>IFERROR(__xludf.DUMMYFUNCTION("""COMPUTED_VALUE"""),"")</f>
        <v/>
      </c>
      <c r="BB4" s="24" t="str">
        <f>IFERROR(__xludf.DUMMYFUNCTION("""COMPUTED_VALUE"""),"")</f>
        <v/>
      </c>
      <c r="BC4" s="24" t="str">
        <f>IFERROR(__xludf.DUMMYFUNCTION("""COMPUTED_VALUE"""),"")</f>
        <v/>
      </c>
      <c r="BD4" s="24" t="str">
        <f>IFERROR(__xludf.DUMMYFUNCTION("""COMPUTED_VALUE"""),"")</f>
        <v/>
      </c>
      <c r="BE4" s="24" t="str">
        <f>IFERROR(__xludf.DUMMYFUNCTION("""COMPUTED_VALUE"""),"")</f>
        <v/>
      </c>
      <c r="BF4" s="24" t="str">
        <f>IFERROR(__xludf.DUMMYFUNCTION("""COMPUTED_VALUE"""),"")</f>
        <v/>
      </c>
      <c r="BG4" s="24" t="str">
        <f>IFERROR(__xludf.DUMMYFUNCTION("""COMPUTED_VALUE"""),"")</f>
        <v/>
      </c>
      <c r="BH4" s="24" t="str">
        <f>IFERROR(__xludf.DUMMYFUNCTION("""COMPUTED_VALUE"""),"")</f>
        <v/>
      </c>
      <c r="BI4" s="24" t="str">
        <f>IFERROR(__xludf.DUMMYFUNCTION("""COMPUTED_VALUE"""),"")</f>
        <v/>
      </c>
      <c r="BJ4" s="24" t="str">
        <f>IFERROR(__xludf.DUMMYFUNCTION("""COMPUTED_VALUE"""),"")</f>
        <v/>
      </c>
      <c r="BK4" s="24" t="str">
        <f>IFERROR(__xludf.DUMMYFUNCTION("""COMPUTED_VALUE"""),"")</f>
        <v/>
      </c>
      <c r="BL4" s="24" t="str">
        <f>IFERROR(__xludf.DUMMYFUNCTION("""COMPUTED_VALUE"""),"")</f>
        <v/>
      </c>
      <c r="BM4" s="24" t="str">
        <f>IFERROR(__xludf.DUMMYFUNCTION("""COMPUTED_VALUE"""),"")</f>
        <v/>
      </c>
      <c r="BN4" s="24" t="str">
        <f>IFERROR(__xludf.DUMMYFUNCTION("""COMPUTED_VALUE"""),"")</f>
        <v/>
      </c>
      <c r="BO4" s="24" t="str">
        <f>IFERROR(__xludf.DUMMYFUNCTION("""COMPUTED_VALUE"""),"")</f>
        <v/>
      </c>
      <c r="BP4" s="24" t="str">
        <f>IFERROR(__xludf.DUMMYFUNCTION("""COMPUTED_VALUE"""),"")</f>
        <v/>
      </c>
      <c r="BQ4" s="24" t="str">
        <f>IFERROR(__xludf.DUMMYFUNCTION("""COMPUTED_VALUE"""),"")</f>
        <v/>
      </c>
      <c r="BR4" s="24" t="str">
        <f>IFERROR(__xludf.DUMMYFUNCTION("""COMPUTED_VALUE"""),"")</f>
        <v/>
      </c>
      <c r="BS4" s="24" t="str">
        <f>IFERROR(__xludf.DUMMYFUNCTION("""COMPUTED_VALUE"""),"")</f>
        <v/>
      </c>
      <c r="BT4" s="24" t="str">
        <f>IFERROR(__xludf.DUMMYFUNCTION("""COMPUTED_VALUE"""),"")</f>
        <v/>
      </c>
      <c r="BU4" s="24" t="str">
        <f>IFERROR(__xludf.DUMMYFUNCTION("""COMPUTED_VALUE"""),"")</f>
        <v/>
      </c>
      <c r="BV4" s="24" t="str">
        <f>IFERROR(__xludf.DUMMYFUNCTION("""COMPUTED_VALUE"""),"")</f>
        <v/>
      </c>
      <c r="BW4" s="24" t="str">
        <f>IFERROR(__xludf.DUMMYFUNCTION("""COMPUTED_VALUE"""),"")</f>
        <v/>
      </c>
      <c r="BX4" s="24" t="str">
        <f>IFERROR(__xludf.DUMMYFUNCTION("""COMPUTED_VALUE"""),"")</f>
        <v/>
      </c>
      <c r="BY4" s="24" t="str">
        <f>IFERROR(__xludf.DUMMYFUNCTION("""COMPUTED_VALUE"""),"")</f>
        <v/>
      </c>
      <c r="BZ4" s="24" t="str">
        <f>IFERROR(__xludf.DUMMYFUNCTION("""COMPUTED_VALUE"""),"")</f>
        <v/>
      </c>
      <c r="CA4" s="24" t="str">
        <f>IFERROR(__xludf.DUMMYFUNCTION("""COMPUTED_VALUE"""),"")</f>
        <v/>
      </c>
      <c r="CB4" s="24" t="str">
        <f>IFERROR(__xludf.DUMMYFUNCTION("""COMPUTED_VALUE"""),"")</f>
        <v/>
      </c>
      <c r="CC4" s="24" t="str">
        <f>IFERROR(__xludf.DUMMYFUNCTION("""COMPUTED_VALUE"""),"")</f>
        <v/>
      </c>
      <c r="CD4" s="24" t="str">
        <f>IFERROR(__xludf.DUMMYFUNCTION("""COMPUTED_VALUE"""),"")</f>
        <v/>
      </c>
      <c r="CE4" s="24" t="str">
        <f>IFERROR(__xludf.DUMMYFUNCTION("""COMPUTED_VALUE"""),"")</f>
        <v/>
      </c>
      <c r="CF4" s="24" t="str">
        <f>IFERROR(__xludf.DUMMYFUNCTION("""COMPUTED_VALUE"""),"")</f>
        <v/>
      </c>
      <c r="CG4" s="24" t="str">
        <f>IFERROR(__xludf.DUMMYFUNCTION("""COMPUTED_VALUE"""),"")</f>
        <v/>
      </c>
      <c r="CH4" s="24" t="str">
        <f>IFERROR(__xludf.DUMMYFUNCTION("""COMPUTED_VALUE"""),"")</f>
        <v/>
      </c>
      <c r="CI4" s="24" t="str">
        <f>IFERROR(__xludf.DUMMYFUNCTION("""COMPUTED_VALUE"""),"")</f>
        <v/>
      </c>
      <c r="CJ4" s="24" t="str">
        <f>IFERROR(__xludf.DUMMYFUNCTION("""COMPUTED_VALUE"""),"")</f>
        <v/>
      </c>
      <c r="CK4" s="24" t="str">
        <f>IFERROR(__xludf.DUMMYFUNCTION("""COMPUTED_VALUE"""),"")</f>
        <v/>
      </c>
      <c r="CL4" s="24" t="str">
        <f>IFERROR(__xludf.DUMMYFUNCTION("""COMPUTED_VALUE"""),"")</f>
        <v/>
      </c>
      <c r="CM4" s="24" t="str">
        <f>IFERROR(__xludf.DUMMYFUNCTION("""COMPUTED_VALUE"""),"")</f>
        <v/>
      </c>
      <c r="CN4" s="24" t="str">
        <f>IFERROR(__xludf.DUMMYFUNCTION("""COMPUTED_VALUE"""),"")</f>
        <v/>
      </c>
      <c r="CO4" s="24" t="str">
        <f>IFERROR(__xludf.DUMMYFUNCTION("""COMPUTED_VALUE"""),"")</f>
        <v/>
      </c>
      <c r="CP4" s="24" t="str">
        <f>IFERROR(__xludf.DUMMYFUNCTION("""COMPUTED_VALUE"""),"")</f>
        <v/>
      </c>
      <c r="CQ4" s="24" t="str">
        <f>IFERROR(__xludf.DUMMYFUNCTION("""COMPUTED_VALUE"""),"")</f>
        <v/>
      </c>
      <c r="CR4" s="24" t="str">
        <f>IFERROR(__xludf.DUMMYFUNCTION("""COMPUTED_VALUE"""),"")</f>
        <v/>
      </c>
      <c r="CS4" s="24" t="str">
        <f>IFERROR(__xludf.DUMMYFUNCTION("""COMPUTED_VALUE"""),"")</f>
        <v/>
      </c>
      <c r="CT4" s="24" t="str">
        <f>IFERROR(__xludf.DUMMYFUNCTION("""COMPUTED_VALUE"""),"")</f>
        <v/>
      </c>
      <c r="CU4" s="24" t="str">
        <f>IFERROR(__xludf.DUMMYFUNCTION("""COMPUTED_VALUE"""),"")</f>
        <v/>
      </c>
      <c r="CV4" s="24" t="str">
        <f>IFERROR(__xludf.DUMMYFUNCTION("""COMPUTED_VALUE"""),"")</f>
        <v/>
      </c>
      <c r="CW4" s="24" t="str">
        <f>IFERROR(__xludf.DUMMYFUNCTION("""COMPUTED_VALUE"""),"")</f>
        <v/>
      </c>
      <c r="CX4" s="24" t="str">
        <f>IFERROR(__xludf.DUMMYFUNCTION("""COMPUTED_VALUE"""),"")</f>
        <v/>
      </c>
      <c r="CY4" s="24" t="str">
        <f>IFERROR(__xludf.DUMMYFUNCTION("""COMPUTED_VALUE"""),"")</f>
        <v/>
      </c>
      <c r="CZ4" s="24" t="str">
        <f>IFERROR(__xludf.DUMMYFUNCTION("""COMPUTED_VALUE"""),"")</f>
        <v/>
      </c>
      <c r="DA4" s="24" t="str">
        <f>IFERROR(__xludf.DUMMYFUNCTION("""COMPUTED_VALUE"""),"")</f>
        <v/>
      </c>
      <c r="DB4" s="24" t="str">
        <f>IFERROR(__xludf.DUMMYFUNCTION("""COMPUTED_VALUE"""),"")</f>
        <v/>
      </c>
      <c r="DC4" s="24" t="str">
        <f>IFERROR(__xludf.DUMMYFUNCTION("""COMPUTED_VALUE"""),"")</f>
        <v/>
      </c>
      <c r="DD4" s="24" t="str">
        <f>IFERROR(__xludf.DUMMYFUNCTION("""COMPUTED_VALUE"""),"")</f>
        <v/>
      </c>
      <c r="DE4" s="24" t="str">
        <f>IFERROR(__xludf.DUMMYFUNCTION("""COMPUTED_VALUE"""),"")</f>
        <v/>
      </c>
      <c r="DF4" s="24" t="str">
        <f>IFERROR(__xludf.DUMMYFUNCTION("""COMPUTED_VALUE"""),"")</f>
        <v/>
      </c>
      <c r="DG4" s="24" t="str">
        <f>IFERROR(__xludf.DUMMYFUNCTION("""COMPUTED_VALUE"""),"")</f>
        <v/>
      </c>
      <c r="DH4" s="24" t="str">
        <f>IFERROR(__xludf.DUMMYFUNCTION("""COMPUTED_VALUE"""),"")</f>
        <v/>
      </c>
      <c r="DI4" s="24" t="str">
        <f>IFERROR(__xludf.DUMMYFUNCTION("""COMPUTED_VALUE"""),"")</f>
        <v/>
      </c>
      <c r="DJ4" s="24" t="str">
        <f>IFERROR(__xludf.DUMMYFUNCTION("""COMPUTED_VALUE"""),"")</f>
        <v/>
      </c>
      <c r="DK4" s="24" t="str">
        <f>IFERROR(__xludf.DUMMYFUNCTION("""COMPUTED_VALUE"""),"")</f>
        <v/>
      </c>
      <c r="DL4" s="24" t="str">
        <f>IFERROR(__xludf.DUMMYFUNCTION("""COMPUTED_VALUE"""),"")</f>
        <v/>
      </c>
      <c r="DM4" s="24" t="str">
        <f>IFERROR(__xludf.DUMMYFUNCTION("""COMPUTED_VALUE"""),"")</f>
        <v/>
      </c>
      <c r="DN4" s="24" t="str">
        <f>IFERROR(__xludf.DUMMYFUNCTION("""COMPUTED_VALUE"""),"")</f>
        <v/>
      </c>
      <c r="DO4" s="24" t="str">
        <f>IFERROR(__xludf.DUMMYFUNCTION("""COMPUTED_VALUE"""),"")</f>
        <v/>
      </c>
      <c r="DP4" s="24" t="str">
        <f>IFERROR(__xludf.DUMMYFUNCTION("""COMPUTED_VALUE"""),"")</f>
        <v/>
      </c>
      <c r="DQ4" s="24" t="str">
        <f>IFERROR(__xludf.DUMMYFUNCTION("""COMPUTED_VALUE"""),"")</f>
        <v/>
      </c>
      <c r="DR4" s="24" t="str">
        <f>IFERROR(__xludf.DUMMYFUNCTION("""COMPUTED_VALUE"""),"")</f>
        <v/>
      </c>
      <c r="DS4" s="24" t="str">
        <f>IFERROR(__xludf.DUMMYFUNCTION("""COMPUTED_VALUE"""),"")</f>
        <v/>
      </c>
      <c r="DT4" s="24" t="str">
        <f>IFERROR(__xludf.DUMMYFUNCTION("""COMPUTED_VALUE"""),"")</f>
        <v/>
      </c>
      <c r="DU4" s="24" t="str">
        <f>IFERROR(__xludf.DUMMYFUNCTION("""COMPUTED_VALUE"""),"")</f>
        <v/>
      </c>
      <c r="DV4" s="24" t="str">
        <f>IFERROR(__xludf.DUMMYFUNCTION("""COMPUTED_VALUE"""),"")</f>
        <v/>
      </c>
      <c r="DW4" s="24" t="str">
        <f>IFERROR(__xludf.DUMMYFUNCTION("""COMPUTED_VALUE"""),"")</f>
        <v/>
      </c>
      <c r="DX4" s="24" t="str">
        <f>IFERROR(__xludf.DUMMYFUNCTION("""COMPUTED_VALUE"""),"")</f>
        <v/>
      </c>
      <c r="DY4" s="24" t="str">
        <f>IFERROR(__xludf.DUMMYFUNCTION("""COMPUTED_VALUE"""),"")</f>
        <v/>
      </c>
      <c r="DZ4" s="24" t="str">
        <f>IFERROR(__xludf.DUMMYFUNCTION("""COMPUTED_VALUE"""),"")</f>
        <v/>
      </c>
      <c r="EA4" s="24" t="str">
        <f>IFERROR(__xludf.DUMMYFUNCTION("""COMPUTED_VALUE"""),"")</f>
        <v/>
      </c>
      <c r="EB4" s="24" t="str">
        <f>IFERROR(__xludf.DUMMYFUNCTION("""COMPUTED_VALUE"""),"")</f>
        <v/>
      </c>
      <c r="EC4" s="24" t="str">
        <f>IFERROR(__xludf.DUMMYFUNCTION("""COMPUTED_VALUE"""),"")</f>
        <v/>
      </c>
      <c r="ED4" s="24" t="str">
        <f>IFERROR(__xludf.DUMMYFUNCTION("""COMPUTED_VALUE"""),"")</f>
        <v/>
      </c>
      <c r="EE4" s="24" t="str">
        <f>IFERROR(__xludf.DUMMYFUNCTION("""COMPUTED_VALUE"""),"")</f>
        <v/>
      </c>
      <c r="EF4" s="24" t="str">
        <f>IFERROR(__xludf.DUMMYFUNCTION("""COMPUTED_VALUE"""),"")</f>
        <v/>
      </c>
      <c r="EG4" s="24" t="str">
        <f>IFERROR(__xludf.DUMMYFUNCTION("""COMPUTED_VALUE"""),"")</f>
        <v/>
      </c>
      <c r="EH4" s="24" t="str">
        <f>IFERROR(__xludf.DUMMYFUNCTION("""COMPUTED_VALUE"""),"")</f>
        <v/>
      </c>
      <c r="EI4" s="24" t="str">
        <f>IFERROR(__xludf.DUMMYFUNCTION("""COMPUTED_VALUE"""),"")</f>
        <v/>
      </c>
      <c r="EJ4" s="24" t="str">
        <f>IFERROR(__xludf.DUMMYFUNCTION("""COMPUTED_VALUE"""),"")</f>
        <v/>
      </c>
      <c r="EK4" s="24" t="str">
        <f>IFERROR(__xludf.DUMMYFUNCTION("""COMPUTED_VALUE"""),"")</f>
        <v/>
      </c>
      <c r="EL4" s="24" t="str">
        <f>IFERROR(__xludf.DUMMYFUNCTION("""COMPUTED_VALUE"""),"")</f>
        <v/>
      </c>
      <c r="EM4" s="24" t="str">
        <f>IFERROR(__xludf.DUMMYFUNCTION("""COMPUTED_VALUE"""),"")</f>
        <v/>
      </c>
      <c r="EN4" s="24" t="str">
        <f>IFERROR(__xludf.DUMMYFUNCTION("""COMPUTED_VALUE"""),"")</f>
        <v/>
      </c>
      <c r="EO4" s="24" t="str">
        <f>IFERROR(__xludf.DUMMYFUNCTION("""COMPUTED_VALUE"""),"")</f>
        <v/>
      </c>
      <c r="EP4" s="24" t="str">
        <f>IFERROR(__xludf.DUMMYFUNCTION("""COMPUTED_VALUE"""),"")</f>
        <v/>
      </c>
      <c r="EQ4" s="24" t="str">
        <f>IFERROR(__xludf.DUMMYFUNCTION("""COMPUTED_VALUE"""),"")</f>
        <v/>
      </c>
      <c r="ER4" s="24" t="str">
        <f>IFERROR(__xludf.DUMMYFUNCTION("""COMPUTED_VALUE"""),"")</f>
        <v/>
      </c>
      <c r="ES4" s="24" t="str">
        <f>IFERROR(__xludf.DUMMYFUNCTION("""COMPUTED_VALUE"""),"")</f>
        <v/>
      </c>
      <c r="ET4" s="24" t="str">
        <f>IFERROR(__xludf.DUMMYFUNCTION("""COMPUTED_VALUE"""),"")</f>
        <v/>
      </c>
      <c r="EU4" s="24" t="str">
        <f>IFERROR(__xludf.DUMMYFUNCTION("""COMPUTED_VALUE"""),"")</f>
        <v/>
      </c>
      <c r="EV4" s="24" t="str">
        <f>IFERROR(__xludf.DUMMYFUNCTION("""COMPUTED_VALUE"""),"")</f>
        <v/>
      </c>
      <c r="EW4" s="24" t="str">
        <f>IFERROR(__xludf.DUMMYFUNCTION("""COMPUTED_VALUE"""),"")</f>
        <v/>
      </c>
      <c r="EX4" s="24" t="str">
        <f>IFERROR(__xludf.DUMMYFUNCTION("""COMPUTED_VALUE"""),"")</f>
        <v/>
      </c>
    </row>
    <row r="5" ht="15.75" customHeight="1">
      <c r="A5" s="25" t="str">
        <f>IFERROR(__xludf.DUMMYFUNCTION("TRANSPOSE(IMPORTRANGE(VLOOKUP($E$3,IMPORTRANGE('_Settings'!$B$3,$C$3&amp;""!A4:B1000""),2,FALSE),$G$3&amp;""!A4:A1000""))"),"")</f>
        <v/>
      </c>
      <c r="B5" s="26" t="str">
        <f>IFERROR(__xludf.DUMMYFUNCTION("""COMPUTED_VALUE"""),"Symbol")</f>
        <v>Symbol</v>
      </c>
      <c r="C5" s="26" t="str">
        <f>IFERROR(__xludf.DUMMYFUNCTION("""COMPUTED_VALUE"""),"Price")</f>
        <v>Price</v>
      </c>
      <c r="D5" s="26" t="str">
        <f>IFERROR(__xludf.DUMMYFUNCTION("""COMPUTED_VALUE"""),"")</f>
        <v/>
      </c>
      <c r="E5" s="26" t="str">
        <f>IFERROR(__xludf.DUMMYFUNCTION("""COMPUTED_VALUE"""),"")</f>
        <v/>
      </c>
      <c r="F5" s="27" t="str">
        <f>IFERROR(__xludf.DUMMYFUNCTION("""COMPUTED_VALUE"""),"")</f>
        <v/>
      </c>
      <c r="G5" s="26" t="str">
        <f>IFERROR(__xludf.DUMMYFUNCTION("""COMPUTED_VALUE"""),"")</f>
        <v/>
      </c>
      <c r="H5" s="26" t="str">
        <f>IFERROR(__xludf.DUMMYFUNCTION("""COMPUTED_VALUE"""),"")</f>
        <v/>
      </c>
      <c r="I5" s="26" t="str">
        <f>IFERROR(__xludf.DUMMYFUNCTION("""COMPUTED_VALUE"""),"")</f>
        <v/>
      </c>
      <c r="J5" s="26" t="str">
        <f>IFERROR(__xludf.DUMMYFUNCTION("""COMPUTED_VALUE"""),"")</f>
        <v/>
      </c>
      <c r="K5" s="26" t="str">
        <f>IFERROR(__xludf.DUMMYFUNCTION("""COMPUTED_VALUE"""),"")</f>
        <v/>
      </c>
      <c r="L5" s="26" t="str">
        <f>IFERROR(__xludf.DUMMYFUNCTION("""COMPUTED_VALUE"""),"")</f>
        <v/>
      </c>
      <c r="M5" s="26" t="str">
        <f>IFERROR(__xludf.DUMMYFUNCTION("""COMPUTED_VALUE"""),"")</f>
        <v/>
      </c>
      <c r="N5" s="26" t="str">
        <f>IFERROR(__xludf.DUMMYFUNCTION("""COMPUTED_VALUE"""),"")</f>
        <v/>
      </c>
      <c r="O5" s="26" t="str">
        <f>IFERROR(__xludf.DUMMYFUNCTION("""COMPUTED_VALUE"""),"")</f>
        <v/>
      </c>
      <c r="P5" s="26" t="str">
        <f>IFERROR(__xludf.DUMMYFUNCTION("""COMPUTED_VALUE"""),"")</f>
        <v/>
      </c>
      <c r="Q5" s="26" t="str">
        <f>IFERROR(__xludf.DUMMYFUNCTION("""COMPUTED_VALUE"""),"")</f>
        <v/>
      </c>
      <c r="R5" s="26" t="str">
        <f>IFERROR(__xludf.DUMMYFUNCTION("""COMPUTED_VALUE"""),"")</f>
        <v/>
      </c>
      <c r="S5" s="26" t="str">
        <f>IFERROR(__xludf.DUMMYFUNCTION("""COMPUTED_VALUE"""),"")</f>
        <v/>
      </c>
      <c r="T5" s="28" t="str">
        <f>IFERROR(__xludf.DUMMYFUNCTION("""COMPUTED_VALUE"""),"")</f>
        <v/>
      </c>
      <c r="U5" s="28" t="str">
        <f>IFERROR(__xludf.DUMMYFUNCTION("""COMPUTED_VALUE"""),"")</f>
        <v/>
      </c>
      <c r="V5" s="28" t="str">
        <f>IFERROR(__xludf.DUMMYFUNCTION("""COMPUTED_VALUE"""),"")</f>
        <v/>
      </c>
      <c r="W5" s="28" t="str">
        <f>IFERROR(__xludf.DUMMYFUNCTION("""COMPUTED_VALUE"""),"")</f>
        <v/>
      </c>
      <c r="X5" s="28" t="str">
        <f>IFERROR(__xludf.DUMMYFUNCTION("""COMPUTED_VALUE"""),"")</f>
        <v/>
      </c>
      <c r="Y5" s="28" t="str">
        <f>IFERROR(__xludf.DUMMYFUNCTION("""COMPUTED_VALUE"""),"")</f>
        <v/>
      </c>
      <c r="Z5" s="28" t="str">
        <f>IFERROR(__xludf.DUMMYFUNCTION("""COMPUTED_VALUE"""),"")</f>
        <v/>
      </c>
      <c r="AA5" s="28" t="str">
        <f>IFERROR(__xludf.DUMMYFUNCTION("""COMPUTED_VALUE"""),"")</f>
        <v/>
      </c>
      <c r="AB5" s="28" t="str">
        <f>IFERROR(__xludf.DUMMYFUNCTION("""COMPUTED_VALUE"""),"")</f>
        <v/>
      </c>
      <c r="AC5" s="28" t="str">
        <f>IFERROR(__xludf.DUMMYFUNCTION("""COMPUTED_VALUE"""),"")</f>
        <v/>
      </c>
      <c r="AD5" s="28" t="str">
        <f>IFERROR(__xludf.DUMMYFUNCTION("""COMPUTED_VALUE"""),"")</f>
        <v/>
      </c>
      <c r="AE5" s="28" t="str">
        <f>IFERROR(__xludf.DUMMYFUNCTION("""COMPUTED_VALUE"""),"")</f>
        <v/>
      </c>
      <c r="AF5" s="28" t="str">
        <f>IFERROR(__xludf.DUMMYFUNCTION("""COMPUTED_VALUE"""),"")</f>
        <v/>
      </c>
      <c r="AG5" s="28" t="str">
        <f>IFERROR(__xludf.DUMMYFUNCTION("""COMPUTED_VALUE"""),"")</f>
        <v/>
      </c>
      <c r="AH5" s="28" t="str">
        <f>IFERROR(__xludf.DUMMYFUNCTION("""COMPUTED_VALUE"""),"")</f>
        <v/>
      </c>
      <c r="AI5" s="28" t="str">
        <f>IFERROR(__xludf.DUMMYFUNCTION("""COMPUTED_VALUE"""),"")</f>
        <v/>
      </c>
      <c r="AJ5" s="28" t="str">
        <f>IFERROR(__xludf.DUMMYFUNCTION("""COMPUTED_VALUE"""),"")</f>
        <v/>
      </c>
      <c r="AK5" s="28" t="str">
        <f>IFERROR(__xludf.DUMMYFUNCTION("""COMPUTED_VALUE"""),"")</f>
        <v/>
      </c>
      <c r="AL5" s="28" t="str">
        <f>IFERROR(__xludf.DUMMYFUNCTION("""COMPUTED_VALUE"""),"")</f>
        <v/>
      </c>
      <c r="AM5" s="28" t="str">
        <f>IFERROR(__xludf.DUMMYFUNCTION("""COMPUTED_VALUE"""),"")</f>
        <v/>
      </c>
      <c r="AN5" s="28" t="str">
        <f>IFERROR(__xludf.DUMMYFUNCTION("""COMPUTED_VALUE"""),"")</f>
        <v/>
      </c>
      <c r="AO5" s="28" t="str">
        <f>IFERROR(__xludf.DUMMYFUNCTION("""COMPUTED_VALUE"""),"")</f>
        <v/>
      </c>
      <c r="AP5" s="28" t="str">
        <f>IFERROR(__xludf.DUMMYFUNCTION("""COMPUTED_VALUE"""),"")</f>
        <v/>
      </c>
      <c r="AQ5" s="28" t="str">
        <f>IFERROR(__xludf.DUMMYFUNCTION("""COMPUTED_VALUE"""),"")</f>
        <v/>
      </c>
      <c r="AR5" s="28" t="str">
        <f>IFERROR(__xludf.DUMMYFUNCTION("""COMPUTED_VALUE"""),"")</f>
        <v/>
      </c>
      <c r="AS5" s="28" t="str">
        <f>IFERROR(__xludf.DUMMYFUNCTION("""COMPUTED_VALUE"""),"")</f>
        <v/>
      </c>
      <c r="AT5" s="28" t="str">
        <f>IFERROR(__xludf.DUMMYFUNCTION("""COMPUTED_VALUE"""),"")</f>
        <v/>
      </c>
      <c r="AU5" s="28" t="str">
        <f>IFERROR(__xludf.DUMMYFUNCTION("""COMPUTED_VALUE"""),"")</f>
        <v/>
      </c>
      <c r="AV5" s="28" t="str">
        <f>IFERROR(__xludf.DUMMYFUNCTION("""COMPUTED_VALUE"""),"")</f>
        <v/>
      </c>
      <c r="AW5" s="28" t="str">
        <f>IFERROR(__xludf.DUMMYFUNCTION("""COMPUTED_VALUE"""),"")</f>
        <v/>
      </c>
      <c r="AX5" s="28" t="str">
        <f>IFERROR(__xludf.DUMMYFUNCTION("""COMPUTED_VALUE"""),"")</f>
        <v/>
      </c>
      <c r="AY5" s="28" t="str">
        <f>IFERROR(__xludf.DUMMYFUNCTION("""COMPUTED_VALUE"""),"")</f>
        <v/>
      </c>
      <c r="AZ5" s="28" t="str">
        <f>IFERROR(__xludf.DUMMYFUNCTION("""COMPUTED_VALUE"""),"")</f>
        <v/>
      </c>
      <c r="BA5" s="28" t="str">
        <f>IFERROR(__xludf.DUMMYFUNCTION("""COMPUTED_VALUE"""),"")</f>
        <v/>
      </c>
      <c r="BB5" s="28" t="str">
        <f>IFERROR(__xludf.DUMMYFUNCTION("""COMPUTED_VALUE"""),"")</f>
        <v/>
      </c>
      <c r="BC5" s="28" t="str">
        <f>IFERROR(__xludf.DUMMYFUNCTION("""COMPUTED_VALUE"""),"")</f>
        <v/>
      </c>
      <c r="BD5" s="28" t="str">
        <f>IFERROR(__xludf.DUMMYFUNCTION("""COMPUTED_VALUE"""),"")</f>
        <v/>
      </c>
      <c r="BE5" s="28" t="str">
        <f>IFERROR(__xludf.DUMMYFUNCTION("""COMPUTED_VALUE"""),"")</f>
        <v/>
      </c>
      <c r="BF5" s="28" t="str">
        <f>IFERROR(__xludf.DUMMYFUNCTION("""COMPUTED_VALUE"""),"")</f>
        <v/>
      </c>
      <c r="BG5" s="28" t="str">
        <f>IFERROR(__xludf.DUMMYFUNCTION("""COMPUTED_VALUE"""),"")</f>
        <v/>
      </c>
      <c r="BH5" s="28" t="str">
        <f>IFERROR(__xludf.DUMMYFUNCTION("""COMPUTED_VALUE"""),"")</f>
        <v/>
      </c>
      <c r="BI5" s="28" t="str">
        <f>IFERROR(__xludf.DUMMYFUNCTION("""COMPUTED_VALUE"""),"")</f>
        <v/>
      </c>
      <c r="BJ5" s="28" t="str">
        <f>IFERROR(__xludf.DUMMYFUNCTION("""COMPUTED_VALUE"""),"")</f>
        <v/>
      </c>
      <c r="BK5" s="28" t="str">
        <f>IFERROR(__xludf.DUMMYFUNCTION("""COMPUTED_VALUE"""),"")</f>
        <v/>
      </c>
      <c r="BL5" s="28" t="str">
        <f>IFERROR(__xludf.DUMMYFUNCTION("""COMPUTED_VALUE"""),"")</f>
        <v/>
      </c>
      <c r="BM5" s="28" t="str">
        <f>IFERROR(__xludf.DUMMYFUNCTION("""COMPUTED_VALUE"""),"")</f>
        <v/>
      </c>
      <c r="BN5" s="28" t="str">
        <f>IFERROR(__xludf.DUMMYFUNCTION("""COMPUTED_VALUE"""),"")</f>
        <v/>
      </c>
      <c r="BO5" s="28" t="str">
        <f>IFERROR(__xludf.DUMMYFUNCTION("""COMPUTED_VALUE"""),"")</f>
        <v/>
      </c>
      <c r="BP5" s="28" t="str">
        <f>IFERROR(__xludf.DUMMYFUNCTION("""COMPUTED_VALUE"""),"")</f>
        <v/>
      </c>
      <c r="BQ5" s="28" t="str">
        <f>IFERROR(__xludf.DUMMYFUNCTION("""COMPUTED_VALUE"""),"")</f>
        <v/>
      </c>
      <c r="BR5" s="28" t="str">
        <f>IFERROR(__xludf.DUMMYFUNCTION("""COMPUTED_VALUE"""),"")</f>
        <v/>
      </c>
      <c r="BS5" s="28" t="str">
        <f>IFERROR(__xludf.DUMMYFUNCTION("""COMPUTED_VALUE"""),"")</f>
        <v/>
      </c>
      <c r="BT5" s="28" t="str">
        <f>IFERROR(__xludf.DUMMYFUNCTION("""COMPUTED_VALUE"""),"")</f>
        <v/>
      </c>
      <c r="BU5" s="28" t="str">
        <f>IFERROR(__xludf.DUMMYFUNCTION("""COMPUTED_VALUE"""),"")</f>
        <v/>
      </c>
      <c r="BV5" s="28" t="str">
        <f>IFERROR(__xludf.DUMMYFUNCTION("""COMPUTED_VALUE"""),"")</f>
        <v/>
      </c>
      <c r="BW5" s="28" t="str">
        <f>IFERROR(__xludf.DUMMYFUNCTION("""COMPUTED_VALUE"""),"")</f>
        <v/>
      </c>
      <c r="BX5" s="28" t="str">
        <f>IFERROR(__xludf.DUMMYFUNCTION("""COMPUTED_VALUE"""),"")</f>
        <v/>
      </c>
      <c r="BY5" s="28" t="str">
        <f>IFERROR(__xludf.DUMMYFUNCTION("""COMPUTED_VALUE"""),"")</f>
        <v/>
      </c>
      <c r="BZ5" s="28" t="str">
        <f>IFERROR(__xludf.DUMMYFUNCTION("""COMPUTED_VALUE"""),"")</f>
        <v/>
      </c>
      <c r="CA5" s="28" t="str">
        <f>IFERROR(__xludf.DUMMYFUNCTION("""COMPUTED_VALUE"""),"")</f>
        <v/>
      </c>
      <c r="CB5" s="28" t="str">
        <f>IFERROR(__xludf.DUMMYFUNCTION("""COMPUTED_VALUE"""),"")</f>
        <v/>
      </c>
      <c r="CC5" s="28" t="str">
        <f>IFERROR(__xludf.DUMMYFUNCTION("""COMPUTED_VALUE"""),"")</f>
        <v/>
      </c>
      <c r="CD5" s="28" t="str">
        <f>IFERROR(__xludf.DUMMYFUNCTION("""COMPUTED_VALUE"""),"")</f>
        <v/>
      </c>
      <c r="CE5" s="28" t="str">
        <f>IFERROR(__xludf.DUMMYFUNCTION("""COMPUTED_VALUE"""),"")</f>
        <v/>
      </c>
      <c r="CF5" s="28" t="str">
        <f>IFERROR(__xludf.DUMMYFUNCTION("""COMPUTED_VALUE"""),"")</f>
        <v/>
      </c>
      <c r="CG5" s="28" t="str">
        <f>IFERROR(__xludf.DUMMYFUNCTION("""COMPUTED_VALUE"""),"")</f>
        <v/>
      </c>
      <c r="CH5" s="28" t="str">
        <f>IFERROR(__xludf.DUMMYFUNCTION("""COMPUTED_VALUE"""),"")</f>
        <v/>
      </c>
      <c r="CI5" s="28" t="str">
        <f>IFERROR(__xludf.DUMMYFUNCTION("""COMPUTED_VALUE"""),"")</f>
        <v/>
      </c>
      <c r="CJ5" s="28" t="str">
        <f>IFERROR(__xludf.DUMMYFUNCTION("""COMPUTED_VALUE"""),"")</f>
        <v/>
      </c>
      <c r="CK5" s="28" t="str">
        <f>IFERROR(__xludf.DUMMYFUNCTION("""COMPUTED_VALUE"""),"")</f>
        <v/>
      </c>
      <c r="CL5" s="28" t="str">
        <f>IFERROR(__xludf.DUMMYFUNCTION("""COMPUTED_VALUE"""),"")</f>
        <v/>
      </c>
      <c r="CM5" s="28" t="str">
        <f>IFERROR(__xludf.DUMMYFUNCTION("""COMPUTED_VALUE"""),"")</f>
        <v/>
      </c>
      <c r="CN5" s="28" t="str">
        <f>IFERROR(__xludf.DUMMYFUNCTION("""COMPUTED_VALUE"""),"")</f>
        <v/>
      </c>
      <c r="CO5" s="28" t="str">
        <f>IFERROR(__xludf.DUMMYFUNCTION("""COMPUTED_VALUE"""),"")</f>
        <v/>
      </c>
      <c r="CP5" s="28" t="str">
        <f>IFERROR(__xludf.DUMMYFUNCTION("""COMPUTED_VALUE"""),"")</f>
        <v/>
      </c>
      <c r="CQ5" s="28" t="str">
        <f>IFERROR(__xludf.DUMMYFUNCTION("""COMPUTED_VALUE"""),"")</f>
        <v/>
      </c>
      <c r="CR5" s="28" t="str">
        <f>IFERROR(__xludf.DUMMYFUNCTION("""COMPUTED_VALUE"""),"")</f>
        <v/>
      </c>
      <c r="CS5" s="28" t="str">
        <f>IFERROR(__xludf.DUMMYFUNCTION("""COMPUTED_VALUE"""),"")</f>
        <v/>
      </c>
      <c r="CT5" s="28" t="str">
        <f>IFERROR(__xludf.DUMMYFUNCTION("""COMPUTED_VALUE"""),"")</f>
        <v/>
      </c>
      <c r="CU5" s="28" t="str">
        <f>IFERROR(__xludf.DUMMYFUNCTION("""COMPUTED_VALUE"""),"")</f>
        <v/>
      </c>
      <c r="CV5" s="28" t="str">
        <f>IFERROR(__xludf.DUMMYFUNCTION("""COMPUTED_VALUE"""),"")</f>
        <v/>
      </c>
      <c r="CW5" s="28" t="str">
        <f>IFERROR(__xludf.DUMMYFUNCTION("""COMPUTED_VALUE"""),"")</f>
        <v/>
      </c>
      <c r="CX5" s="28" t="str">
        <f>IFERROR(__xludf.DUMMYFUNCTION("""COMPUTED_VALUE"""),"")</f>
        <v/>
      </c>
      <c r="CY5" s="28" t="str">
        <f>IFERROR(__xludf.DUMMYFUNCTION("""COMPUTED_VALUE"""),"")</f>
        <v/>
      </c>
      <c r="CZ5" s="28" t="str">
        <f>IFERROR(__xludf.DUMMYFUNCTION("""COMPUTED_VALUE"""),"")</f>
        <v/>
      </c>
      <c r="DA5" s="28" t="str">
        <f>IFERROR(__xludf.DUMMYFUNCTION("""COMPUTED_VALUE"""),"")</f>
        <v/>
      </c>
      <c r="DB5" s="28" t="str">
        <f>IFERROR(__xludf.DUMMYFUNCTION("""COMPUTED_VALUE"""),"")</f>
        <v/>
      </c>
      <c r="DC5" s="28" t="str">
        <f>IFERROR(__xludf.DUMMYFUNCTION("""COMPUTED_VALUE"""),"")</f>
        <v/>
      </c>
      <c r="DD5" s="28" t="str">
        <f>IFERROR(__xludf.DUMMYFUNCTION("""COMPUTED_VALUE"""),"")</f>
        <v/>
      </c>
      <c r="DE5" s="28" t="str">
        <f>IFERROR(__xludf.DUMMYFUNCTION("""COMPUTED_VALUE"""),"")</f>
        <v/>
      </c>
      <c r="DF5" s="28" t="str">
        <f>IFERROR(__xludf.DUMMYFUNCTION("""COMPUTED_VALUE"""),"")</f>
        <v/>
      </c>
      <c r="DG5" s="28" t="str">
        <f>IFERROR(__xludf.DUMMYFUNCTION("""COMPUTED_VALUE"""),"")</f>
        <v/>
      </c>
      <c r="DH5" s="28" t="str">
        <f>IFERROR(__xludf.DUMMYFUNCTION("""COMPUTED_VALUE"""),"")</f>
        <v/>
      </c>
      <c r="DI5" s="28" t="str">
        <f>IFERROR(__xludf.DUMMYFUNCTION("""COMPUTED_VALUE"""),"")</f>
        <v/>
      </c>
      <c r="DJ5" s="28" t="str">
        <f>IFERROR(__xludf.DUMMYFUNCTION("""COMPUTED_VALUE"""),"")</f>
        <v/>
      </c>
      <c r="DK5" s="28" t="str">
        <f>IFERROR(__xludf.DUMMYFUNCTION("""COMPUTED_VALUE"""),"")</f>
        <v/>
      </c>
      <c r="DL5" s="28" t="str">
        <f>IFERROR(__xludf.DUMMYFUNCTION("""COMPUTED_VALUE"""),"")</f>
        <v/>
      </c>
      <c r="DM5" s="28" t="str">
        <f>IFERROR(__xludf.DUMMYFUNCTION("""COMPUTED_VALUE"""),"")</f>
        <v/>
      </c>
      <c r="DN5" s="28" t="str">
        <f>IFERROR(__xludf.DUMMYFUNCTION("""COMPUTED_VALUE"""),"")</f>
        <v/>
      </c>
      <c r="DO5" s="28" t="str">
        <f>IFERROR(__xludf.DUMMYFUNCTION("""COMPUTED_VALUE"""),"")</f>
        <v/>
      </c>
      <c r="DP5" s="28" t="str">
        <f>IFERROR(__xludf.DUMMYFUNCTION("""COMPUTED_VALUE"""),"")</f>
        <v/>
      </c>
      <c r="DQ5" s="28" t="str">
        <f>IFERROR(__xludf.DUMMYFUNCTION("""COMPUTED_VALUE"""),"")</f>
        <v/>
      </c>
      <c r="DR5" s="28" t="str">
        <f>IFERROR(__xludf.DUMMYFUNCTION("""COMPUTED_VALUE"""),"")</f>
        <v/>
      </c>
      <c r="DS5" s="28" t="str">
        <f>IFERROR(__xludf.DUMMYFUNCTION("""COMPUTED_VALUE"""),"")</f>
        <v/>
      </c>
      <c r="DT5" s="28" t="str">
        <f>IFERROR(__xludf.DUMMYFUNCTION("""COMPUTED_VALUE"""),"")</f>
        <v/>
      </c>
      <c r="DU5" s="28" t="str">
        <f>IFERROR(__xludf.DUMMYFUNCTION("""COMPUTED_VALUE"""),"")</f>
        <v/>
      </c>
      <c r="DV5" s="28" t="str">
        <f>IFERROR(__xludf.DUMMYFUNCTION("""COMPUTED_VALUE"""),"")</f>
        <v/>
      </c>
      <c r="DW5" s="28" t="str">
        <f>IFERROR(__xludf.DUMMYFUNCTION("""COMPUTED_VALUE"""),"")</f>
        <v/>
      </c>
      <c r="DX5" s="28" t="str">
        <f>IFERROR(__xludf.DUMMYFUNCTION("""COMPUTED_VALUE"""),"")</f>
        <v/>
      </c>
      <c r="DY5" s="28" t="str">
        <f>IFERROR(__xludf.DUMMYFUNCTION("""COMPUTED_VALUE"""),"")</f>
        <v/>
      </c>
      <c r="DZ5" s="28" t="str">
        <f>IFERROR(__xludf.DUMMYFUNCTION("""COMPUTED_VALUE"""),"")</f>
        <v/>
      </c>
      <c r="EA5" s="28" t="str">
        <f>IFERROR(__xludf.DUMMYFUNCTION("""COMPUTED_VALUE"""),"")</f>
        <v/>
      </c>
      <c r="EB5" s="28" t="str">
        <f>IFERROR(__xludf.DUMMYFUNCTION("""COMPUTED_VALUE"""),"")</f>
        <v/>
      </c>
      <c r="EC5" s="28" t="str">
        <f>IFERROR(__xludf.DUMMYFUNCTION("""COMPUTED_VALUE"""),"")</f>
        <v/>
      </c>
      <c r="ED5" s="28" t="str">
        <f>IFERROR(__xludf.DUMMYFUNCTION("""COMPUTED_VALUE"""),"")</f>
        <v/>
      </c>
      <c r="EE5" s="28" t="str">
        <f>IFERROR(__xludf.DUMMYFUNCTION("""COMPUTED_VALUE"""),"")</f>
        <v/>
      </c>
      <c r="EF5" s="28" t="str">
        <f>IFERROR(__xludf.DUMMYFUNCTION("""COMPUTED_VALUE"""),"")</f>
        <v/>
      </c>
      <c r="EG5" s="28" t="str">
        <f>IFERROR(__xludf.DUMMYFUNCTION("""COMPUTED_VALUE"""),"")</f>
        <v/>
      </c>
      <c r="EH5" s="28" t="str">
        <f>IFERROR(__xludf.DUMMYFUNCTION("""COMPUTED_VALUE"""),"")</f>
        <v/>
      </c>
      <c r="EI5" s="28" t="str">
        <f>IFERROR(__xludf.DUMMYFUNCTION("""COMPUTED_VALUE"""),"")</f>
        <v/>
      </c>
      <c r="EJ5" s="28" t="str">
        <f>IFERROR(__xludf.DUMMYFUNCTION("""COMPUTED_VALUE"""),"")</f>
        <v/>
      </c>
      <c r="EK5" s="28" t="str">
        <f>IFERROR(__xludf.DUMMYFUNCTION("""COMPUTED_VALUE"""),"")</f>
        <v/>
      </c>
      <c r="EL5" s="28" t="str">
        <f>IFERROR(__xludf.DUMMYFUNCTION("""COMPUTED_VALUE"""),"")</f>
        <v/>
      </c>
      <c r="EM5" s="28" t="str">
        <f>IFERROR(__xludf.DUMMYFUNCTION("""COMPUTED_VALUE"""),"")</f>
        <v/>
      </c>
      <c r="EN5" s="28" t="str">
        <f>IFERROR(__xludf.DUMMYFUNCTION("""COMPUTED_VALUE"""),"")</f>
        <v/>
      </c>
      <c r="EO5" s="28" t="str">
        <f>IFERROR(__xludf.DUMMYFUNCTION("""COMPUTED_VALUE"""),"")</f>
        <v/>
      </c>
      <c r="EP5" s="28" t="str">
        <f>IFERROR(__xludf.DUMMYFUNCTION("""COMPUTED_VALUE"""),"")</f>
        <v/>
      </c>
      <c r="EQ5" s="28" t="str">
        <f>IFERROR(__xludf.DUMMYFUNCTION("""COMPUTED_VALUE"""),"")</f>
        <v/>
      </c>
      <c r="ER5" s="28" t="str">
        <f>IFERROR(__xludf.DUMMYFUNCTION("""COMPUTED_VALUE"""),"")</f>
        <v/>
      </c>
      <c r="ES5" s="28" t="str">
        <f>IFERROR(__xludf.DUMMYFUNCTION("""COMPUTED_VALUE"""),"")</f>
        <v/>
      </c>
      <c r="ET5" s="28" t="str">
        <f>IFERROR(__xludf.DUMMYFUNCTION("""COMPUTED_VALUE"""),"")</f>
        <v/>
      </c>
      <c r="EU5" s="28" t="str">
        <f>IFERROR(__xludf.DUMMYFUNCTION("""COMPUTED_VALUE"""),"")</f>
        <v/>
      </c>
      <c r="EV5" s="28" t="str">
        <f>IFERROR(__xludf.DUMMYFUNCTION("""COMPUTED_VALUE"""),"")</f>
        <v/>
      </c>
      <c r="EW5" s="28" t="str">
        <f>IFERROR(__xludf.DUMMYFUNCTION("""COMPUTED_VALUE"""),"")</f>
        <v/>
      </c>
      <c r="EX5" s="28" t="str">
        <f>IFERROR(__xludf.DUMMYFUNCTION("""COMPUTED_VALUE"""),"")</f>
        <v/>
      </c>
    </row>
    <row r="6" ht="15.75" customHeight="1">
      <c r="A6" s="15"/>
      <c r="B6" s="40" t="s">
        <v>18</v>
      </c>
      <c r="C6" s="35">
        <v>6.0</v>
      </c>
      <c r="D6" s="15"/>
      <c r="E6" s="31"/>
      <c r="F6" s="7"/>
      <c r="G6" s="7"/>
      <c r="H6" s="7"/>
      <c r="I6" s="7"/>
      <c r="J6" s="7"/>
      <c r="K6" s="7"/>
      <c r="L6" s="7"/>
      <c r="M6" s="7"/>
      <c r="N6" s="7"/>
      <c r="O6" s="7"/>
    </row>
    <row r="7" ht="15.75" customHeight="1">
      <c r="A7" s="7"/>
      <c r="B7" s="33" t="s">
        <v>22</v>
      </c>
      <c r="C7" s="35">
        <v>30.0</v>
      </c>
      <c r="D7" s="7"/>
      <c r="E7" s="7"/>
      <c r="F7" s="7"/>
      <c r="G7" s="7"/>
      <c r="H7" s="7"/>
      <c r="I7" s="7"/>
      <c r="J7" s="7"/>
      <c r="K7" s="7"/>
      <c r="L7" s="7"/>
      <c r="M7" s="7"/>
      <c r="N7" s="7"/>
      <c r="O7" s="7"/>
    </row>
    <row r="8" ht="15.75" customHeight="1">
      <c r="A8" s="7"/>
      <c r="B8" s="7"/>
      <c r="C8" s="7"/>
      <c r="D8" s="7"/>
      <c r="E8" s="7"/>
      <c r="F8" s="7"/>
      <c r="G8" s="7"/>
      <c r="H8" s="7"/>
      <c r="I8" s="7"/>
      <c r="J8" s="7"/>
      <c r="K8" s="7"/>
      <c r="L8" s="7"/>
      <c r="M8" s="7"/>
      <c r="N8" s="7"/>
      <c r="O8" s="7"/>
    </row>
    <row r="9" ht="15.75" customHeight="1">
      <c r="A9" s="7"/>
      <c r="B9" s="7"/>
      <c r="C9" s="7"/>
      <c r="D9" s="7"/>
      <c r="E9" s="7"/>
      <c r="F9" s="7"/>
      <c r="G9" s="7"/>
      <c r="H9" s="7"/>
      <c r="I9" s="7"/>
      <c r="J9" s="7"/>
      <c r="K9" s="7"/>
      <c r="L9" s="7"/>
      <c r="M9" s="7"/>
      <c r="N9" s="7"/>
      <c r="O9" s="7"/>
    </row>
    <row r="10" ht="15.75" customHeight="1">
      <c r="A10" s="7"/>
      <c r="B10" s="7"/>
      <c r="C10" s="7"/>
      <c r="D10" s="7"/>
      <c r="E10" s="7"/>
      <c r="F10" s="7"/>
      <c r="G10" s="7"/>
      <c r="H10" s="7"/>
      <c r="I10" s="7"/>
      <c r="J10" s="7"/>
      <c r="K10" s="7"/>
      <c r="L10" s="7"/>
      <c r="M10" s="7"/>
      <c r="N10" s="7"/>
      <c r="O10" s="7"/>
    </row>
    <row r="11" ht="15.75" customHeight="1">
      <c r="A11" s="7"/>
      <c r="B11" s="7"/>
      <c r="C11" s="7"/>
      <c r="D11" s="7"/>
      <c r="E11" s="7"/>
      <c r="F11" s="7"/>
      <c r="G11" s="7"/>
      <c r="H11" s="7"/>
      <c r="I11" s="7"/>
      <c r="J11" s="7"/>
      <c r="K11" s="7"/>
      <c r="L11" s="7"/>
      <c r="M11" s="7"/>
      <c r="N11" s="7"/>
      <c r="O11" s="7"/>
    </row>
    <row r="12" ht="15.75" customHeight="1">
      <c r="A12" s="7"/>
      <c r="B12" s="7"/>
      <c r="C12" s="7"/>
      <c r="D12" s="7"/>
      <c r="E12" s="7"/>
      <c r="F12" s="7"/>
      <c r="G12" s="7"/>
      <c r="H12" s="7"/>
      <c r="I12" s="7"/>
      <c r="J12" s="7"/>
      <c r="K12" s="7"/>
      <c r="L12" s="7"/>
      <c r="M12" s="7"/>
      <c r="N12" s="7"/>
      <c r="O12" s="7"/>
    </row>
    <row r="13" ht="15.75" customHeight="1">
      <c r="A13" s="7"/>
      <c r="B13" s="7"/>
      <c r="C13" s="7"/>
      <c r="D13" s="7"/>
      <c r="E13" s="7"/>
      <c r="F13" s="7"/>
      <c r="G13" s="7"/>
      <c r="H13" s="7"/>
      <c r="I13" s="7"/>
      <c r="J13" s="7"/>
      <c r="K13" s="7"/>
      <c r="L13" s="7"/>
      <c r="M13" s="7"/>
      <c r="N13" s="7"/>
      <c r="O13" s="7"/>
    </row>
    <row r="14" ht="15.75" customHeight="1">
      <c r="A14" s="7"/>
      <c r="B14" s="7"/>
      <c r="C14" s="7"/>
      <c r="D14" s="7"/>
      <c r="E14" s="7"/>
      <c r="F14" s="7"/>
      <c r="G14" s="7"/>
      <c r="H14" s="7"/>
      <c r="I14" s="7"/>
      <c r="J14" s="7"/>
      <c r="K14" s="7"/>
      <c r="L14" s="7"/>
      <c r="M14" s="7"/>
      <c r="N14" s="7"/>
      <c r="O14" s="7"/>
    </row>
    <row r="15" ht="15.75" customHeight="1">
      <c r="A15" s="7"/>
      <c r="B15" s="7"/>
      <c r="C15" s="7"/>
      <c r="D15" s="7"/>
      <c r="E15" s="7"/>
      <c r="F15" s="7"/>
      <c r="G15" s="7"/>
      <c r="H15" s="7"/>
      <c r="I15" s="7"/>
      <c r="J15" s="7"/>
      <c r="K15" s="7"/>
      <c r="L15" s="7"/>
      <c r="M15" s="7"/>
      <c r="N15" s="7"/>
      <c r="O15" s="7"/>
    </row>
    <row r="16" ht="15.75" customHeight="1">
      <c r="A16" s="7"/>
      <c r="B16" s="7"/>
      <c r="C16" s="7"/>
      <c r="D16" s="7"/>
      <c r="E16" s="7"/>
      <c r="F16" s="7"/>
      <c r="G16" s="7"/>
      <c r="H16" s="7"/>
      <c r="I16" s="7"/>
      <c r="J16" s="7"/>
      <c r="K16" s="7"/>
      <c r="L16" s="7"/>
      <c r="M16" s="7"/>
      <c r="N16" s="7"/>
      <c r="O16" s="7"/>
    </row>
    <row r="17" ht="15.75" customHeight="1">
      <c r="A17" s="7"/>
      <c r="B17" s="7"/>
      <c r="C17" s="7"/>
      <c r="D17" s="7"/>
      <c r="E17" s="7"/>
      <c r="F17" s="7"/>
      <c r="G17" s="7"/>
      <c r="H17" s="7"/>
      <c r="I17" s="7"/>
      <c r="J17" s="7"/>
      <c r="K17" s="7"/>
      <c r="L17" s="7"/>
      <c r="M17" s="7"/>
      <c r="N17" s="7"/>
      <c r="O17" s="7"/>
    </row>
    <row r="18" ht="15.75" customHeight="1">
      <c r="A18" s="7"/>
      <c r="B18" s="7"/>
      <c r="C18" s="7"/>
      <c r="D18" s="7"/>
      <c r="E18" s="7"/>
      <c r="F18" s="7"/>
      <c r="G18" s="7"/>
      <c r="H18" s="7"/>
      <c r="I18" s="7"/>
      <c r="J18" s="7"/>
      <c r="K18" s="7"/>
      <c r="L18" s="7"/>
      <c r="M18" s="7"/>
      <c r="N18" s="7"/>
      <c r="O18" s="7"/>
    </row>
    <row r="19" ht="15.75" customHeight="1">
      <c r="A19" s="7"/>
      <c r="B19" s="7"/>
      <c r="C19" s="7"/>
      <c r="D19" s="7"/>
      <c r="E19" s="7"/>
      <c r="F19" s="7"/>
      <c r="G19" s="7"/>
      <c r="H19" s="7"/>
      <c r="I19" s="7"/>
      <c r="J19" s="7"/>
      <c r="K19" s="7"/>
      <c r="L19" s="7"/>
      <c r="M19" s="7"/>
      <c r="N19" s="7"/>
      <c r="O19" s="7"/>
    </row>
    <row r="20" ht="15.75" customHeight="1">
      <c r="A20" s="7"/>
      <c r="B20" s="7"/>
      <c r="C20" s="7"/>
      <c r="D20" s="7"/>
      <c r="E20" s="7"/>
      <c r="F20" s="7"/>
      <c r="G20" s="7"/>
      <c r="H20" s="7"/>
      <c r="I20" s="7"/>
      <c r="J20" s="7"/>
      <c r="K20" s="7"/>
      <c r="L20" s="7"/>
      <c r="M20" s="7"/>
      <c r="N20" s="7"/>
      <c r="O20" s="7"/>
    </row>
    <row r="21" ht="15.75" customHeight="1">
      <c r="A21" s="7"/>
      <c r="B21" s="7"/>
      <c r="C21" s="7"/>
      <c r="D21" s="7"/>
      <c r="E21" s="7"/>
      <c r="F21" s="7"/>
      <c r="G21" s="7"/>
      <c r="H21" s="7"/>
      <c r="I21" s="7"/>
      <c r="J21" s="7"/>
      <c r="K21" s="7"/>
      <c r="L21" s="7"/>
      <c r="M21" s="7"/>
      <c r="N21" s="7"/>
      <c r="O21" s="7"/>
    </row>
    <row r="22" ht="15.75" customHeight="1">
      <c r="A22" s="7"/>
      <c r="B22" s="7"/>
      <c r="C22" s="7"/>
      <c r="D22" s="7"/>
      <c r="E22" s="7"/>
      <c r="F22" s="7"/>
      <c r="G22" s="7"/>
      <c r="H22" s="7"/>
      <c r="I22" s="7"/>
      <c r="J22" s="7"/>
      <c r="K22" s="7"/>
      <c r="L22" s="7"/>
      <c r="M22" s="7"/>
      <c r="N22" s="7"/>
      <c r="O22" s="7"/>
    </row>
    <row r="23" ht="15.75" customHeight="1">
      <c r="A23" s="7"/>
      <c r="B23" s="7"/>
      <c r="C23" s="7"/>
      <c r="D23" s="7"/>
      <c r="E23" s="7"/>
      <c r="F23" s="7"/>
      <c r="G23" s="7"/>
      <c r="H23" s="7"/>
      <c r="I23" s="7"/>
      <c r="J23" s="7"/>
      <c r="K23" s="7"/>
      <c r="L23" s="7"/>
      <c r="M23" s="7"/>
      <c r="N23" s="7"/>
      <c r="O23" s="7"/>
    </row>
    <row r="24" ht="15.75" customHeight="1">
      <c r="A24" s="7"/>
      <c r="B24" s="7"/>
      <c r="C24" s="7"/>
      <c r="D24" s="7"/>
      <c r="E24" s="7"/>
      <c r="F24" s="7"/>
      <c r="G24" s="7"/>
      <c r="H24" s="7"/>
      <c r="I24" s="7"/>
      <c r="J24" s="7"/>
      <c r="K24" s="7"/>
      <c r="L24" s="7"/>
      <c r="M24" s="7"/>
      <c r="N24" s="7"/>
      <c r="O24" s="7"/>
    </row>
    <row r="25" ht="15.75" customHeight="1">
      <c r="A25" s="7"/>
      <c r="B25" s="7"/>
      <c r="C25" s="7"/>
      <c r="D25" s="7"/>
      <c r="E25" s="7"/>
      <c r="F25" s="7"/>
      <c r="G25" s="7"/>
      <c r="H25" s="7"/>
      <c r="I25" s="7"/>
      <c r="J25" s="7"/>
      <c r="K25" s="7"/>
      <c r="L25" s="7"/>
      <c r="M25" s="7"/>
      <c r="N25" s="7"/>
      <c r="O25" s="7"/>
    </row>
    <row r="26" ht="15.75" customHeight="1">
      <c r="A26" s="7"/>
      <c r="B26" s="7"/>
      <c r="C26" s="7"/>
      <c r="D26" s="7"/>
      <c r="E26" s="7"/>
      <c r="F26" s="7"/>
      <c r="G26" s="7"/>
      <c r="H26" s="7"/>
      <c r="I26" s="7"/>
      <c r="J26" s="7"/>
      <c r="K26" s="7"/>
      <c r="L26" s="7"/>
      <c r="M26" s="7"/>
      <c r="N26" s="7"/>
      <c r="O26" s="7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UpdateMarkPrice1!$4:$4</formula1>
    </dataValidation>
    <dataValidation type="list" allowBlank="1" showInputMessage="1" showErrorMessage="1" prompt="Choose a format for current sheet" sqref="G3">
      <formula1>"Input Format,Output Format"</formula1>
    </dataValidation>
  </dataValidations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7"/>
      <c r="B1" s="2" t="s">
        <v>11</v>
      </c>
      <c r="C1" s="3"/>
      <c r="D1" s="3"/>
      <c r="E1" s="3"/>
      <c r="F1" s="3"/>
      <c r="G1" s="3"/>
      <c r="H1" s="5"/>
      <c r="I1" s="17"/>
      <c r="J1" s="17"/>
      <c r="K1" s="17"/>
      <c r="L1" s="17"/>
      <c r="M1" s="17"/>
      <c r="N1" s="17"/>
      <c r="O1" s="17"/>
      <c r="P1" s="18"/>
      <c r="Q1" s="18"/>
      <c r="R1" s="18"/>
      <c r="S1" s="18"/>
      <c r="T1" s="18"/>
      <c r="U1" s="18"/>
      <c r="V1" s="18"/>
      <c r="W1" s="18"/>
      <c r="X1" s="18"/>
      <c r="Y1" s="18"/>
      <c r="Z1" s="18"/>
      <c r="AA1" s="18"/>
      <c r="AB1" s="18"/>
      <c r="AC1" s="18"/>
      <c r="AD1" s="18"/>
      <c r="AE1" s="18"/>
      <c r="AF1" s="18"/>
      <c r="AG1" s="18"/>
      <c r="AH1" s="18"/>
      <c r="AI1" s="18"/>
      <c r="AJ1" s="18"/>
      <c r="AK1" s="18"/>
      <c r="AL1" s="18"/>
      <c r="AM1" s="18"/>
      <c r="AN1" s="18"/>
      <c r="AO1" s="18"/>
      <c r="AP1" s="18"/>
      <c r="AQ1" s="18"/>
      <c r="AR1" s="18"/>
      <c r="AS1" s="18"/>
      <c r="AT1" s="18"/>
      <c r="AU1" s="18"/>
      <c r="AV1" s="18"/>
      <c r="AW1" s="18"/>
      <c r="AX1" s="18"/>
      <c r="AY1" s="18"/>
      <c r="AZ1" s="18"/>
      <c r="BA1" s="18"/>
      <c r="BB1" s="18"/>
      <c r="BC1" s="18"/>
      <c r="BD1" s="18"/>
      <c r="BE1" s="18"/>
      <c r="BF1" s="18"/>
      <c r="BG1" s="18"/>
      <c r="BH1" s="18"/>
      <c r="BI1" s="18"/>
      <c r="BJ1" s="18"/>
      <c r="BK1" s="18"/>
      <c r="BL1" s="18"/>
      <c r="BM1" s="18"/>
      <c r="BN1" s="18"/>
      <c r="BO1" s="18"/>
      <c r="BP1" s="18"/>
      <c r="BQ1" s="18"/>
      <c r="BR1" s="18"/>
      <c r="BS1" s="18"/>
      <c r="BT1" s="18"/>
      <c r="BU1" s="18"/>
      <c r="BV1" s="18"/>
      <c r="BW1" s="18"/>
      <c r="BX1" s="18"/>
      <c r="BY1" s="18"/>
      <c r="BZ1" s="18"/>
      <c r="CA1" s="18"/>
      <c r="CB1" s="18"/>
      <c r="CC1" s="18"/>
      <c r="CD1" s="18"/>
      <c r="CE1" s="18"/>
      <c r="CF1" s="18"/>
      <c r="CG1" s="18"/>
      <c r="CH1" s="18"/>
      <c r="CI1" s="18"/>
      <c r="CJ1" s="18"/>
      <c r="CK1" s="18"/>
      <c r="CL1" s="18"/>
      <c r="CM1" s="18"/>
      <c r="CN1" s="18"/>
      <c r="CO1" s="18"/>
      <c r="CP1" s="18"/>
      <c r="CQ1" s="18"/>
      <c r="CR1" s="18"/>
      <c r="CS1" s="18"/>
      <c r="CT1" s="18"/>
      <c r="CU1" s="18"/>
      <c r="CV1" s="18"/>
      <c r="CW1" s="18"/>
      <c r="CX1" s="18"/>
      <c r="CY1" s="18"/>
      <c r="CZ1" s="18"/>
      <c r="DA1" s="18"/>
      <c r="DB1" s="18"/>
      <c r="DC1" s="18"/>
      <c r="DD1" s="18"/>
      <c r="DE1" s="18"/>
      <c r="DF1" s="18"/>
      <c r="DG1" s="18"/>
      <c r="DH1" s="18"/>
      <c r="DI1" s="18"/>
      <c r="DJ1" s="18"/>
      <c r="DK1" s="18"/>
      <c r="DL1" s="18"/>
      <c r="DM1" s="18"/>
      <c r="DN1" s="18"/>
      <c r="DO1" s="18"/>
      <c r="DP1" s="18"/>
      <c r="DQ1" s="18"/>
      <c r="DR1" s="18"/>
      <c r="DS1" s="18"/>
      <c r="DT1" s="18"/>
      <c r="DU1" s="18"/>
      <c r="DV1" s="18"/>
      <c r="DW1" s="18"/>
      <c r="DX1" s="18"/>
      <c r="DY1" s="18"/>
      <c r="DZ1" s="18"/>
      <c r="EA1" s="18"/>
      <c r="EB1" s="18"/>
      <c r="EC1" s="18"/>
      <c r="ED1" s="18"/>
      <c r="EE1" s="18"/>
      <c r="EF1" s="18"/>
      <c r="EG1" s="18"/>
      <c r="EH1" s="18"/>
      <c r="EI1" s="18"/>
      <c r="EJ1" s="18"/>
      <c r="EK1" s="18"/>
      <c r="EL1" s="18"/>
      <c r="EM1" s="18"/>
      <c r="EN1" s="18"/>
      <c r="EO1" s="18"/>
      <c r="EP1" s="18"/>
      <c r="EQ1" s="18"/>
      <c r="ER1" s="18"/>
      <c r="ES1" s="18"/>
      <c r="ET1" s="18"/>
      <c r="EU1" s="18"/>
      <c r="EV1" s="18"/>
      <c r="EW1" s="18"/>
      <c r="EX1" s="18"/>
    </row>
    <row r="2" ht="15.75" customHeight="1">
      <c r="A2" s="7"/>
      <c r="B2" s="7"/>
      <c r="C2" s="7"/>
      <c r="D2" s="7"/>
      <c r="E2" s="7"/>
      <c r="F2" s="7"/>
      <c r="G2" s="7"/>
      <c r="H2" s="7"/>
      <c r="I2" s="7"/>
      <c r="J2" s="19" t="str">
        <f> VLOOKUP($E$3,'_MasterData'!B4:D1000,3,FALSE)</f>
        <v>#N/A</v>
      </c>
      <c r="K2" s="19"/>
      <c r="L2" s="7"/>
      <c r="M2" s="7"/>
      <c r="N2" s="7"/>
      <c r="O2" s="7"/>
    </row>
    <row r="3" ht="15.75" customHeight="1">
      <c r="A3" s="20"/>
      <c r="B3" s="9" t="s">
        <v>3</v>
      </c>
      <c r="C3" s="21" t="s">
        <v>12</v>
      </c>
      <c r="D3" s="9" t="s">
        <v>6</v>
      </c>
      <c r="E3" s="21" t="s">
        <v>27</v>
      </c>
      <c r="F3" s="9" t="s">
        <v>15</v>
      </c>
      <c r="G3" s="16" t="s">
        <v>17</v>
      </c>
      <c r="H3" s="9"/>
      <c r="I3" s="20"/>
      <c r="J3" s="20"/>
      <c r="K3" s="20"/>
      <c r="L3" s="20"/>
      <c r="M3" s="20"/>
      <c r="N3" s="20"/>
      <c r="O3" s="20"/>
      <c r="P3" s="22"/>
      <c r="Q3" s="22"/>
      <c r="R3" s="22"/>
      <c r="S3" s="22"/>
      <c r="T3" s="22"/>
      <c r="U3" s="22"/>
      <c r="V3" s="22"/>
      <c r="W3" s="22"/>
      <c r="X3" s="22"/>
      <c r="Y3" s="22"/>
      <c r="Z3" s="22"/>
      <c r="AA3" s="22"/>
      <c r="AB3" s="22"/>
      <c r="AC3" s="22"/>
      <c r="AD3" s="22"/>
      <c r="AE3" s="22"/>
      <c r="AF3" s="22"/>
      <c r="AG3" s="22"/>
      <c r="AH3" s="22"/>
      <c r="AI3" s="22"/>
      <c r="AJ3" s="22"/>
      <c r="AK3" s="22"/>
      <c r="AL3" s="22"/>
      <c r="AM3" s="22"/>
      <c r="AN3" s="22"/>
      <c r="AO3" s="22"/>
      <c r="AP3" s="22"/>
      <c r="AQ3" s="22"/>
      <c r="AR3" s="22"/>
      <c r="AS3" s="22"/>
      <c r="AT3" s="22"/>
      <c r="AU3" s="22"/>
      <c r="AV3" s="22"/>
      <c r="AW3" s="22"/>
      <c r="AX3" s="22"/>
      <c r="AY3" s="22"/>
      <c r="AZ3" s="22"/>
      <c r="BA3" s="22"/>
      <c r="BB3" s="22"/>
      <c r="BC3" s="22"/>
      <c r="BD3" s="22"/>
      <c r="BE3" s="22"/>
      <c r="BF3" s="22"/>
      <c r="BG3" s="22"/>
      <c r="BH3" s="22"/>
      <c r="BI3" s="22"/>
      <c r="BJ3" s="22"/>
      <c r="BK3" s="22"/>
      <c r="BL3" s="22"/>
      <c r="BM3" s="22"/>
      <c r="BN3" s="22"/>
      <c r="BO3" s="22"/>
      <c r="BP3" s="22"/>
      <c r="BQ3" s="22"/>
      <c r="BR3" s="22"/>
      <c r="BS3" s="22"/>
      <c r="BT3" s="22"/>
      <c r="BU3" s="22"/>
      <c r="BV3" s="22"/>
      <c r="BW3" s="22"/>
      <c r="BX3" s="22"/>
      <c r="BY3" s="22"/>
      <c r="BZ3" s="22"/>
      <c r="CA3" s="22"/>
      <c r="CB3" s="22"/>
      <c r="CC3" s="22"/>
      <c r="CD3" s="22"/>
      <c r="CE3" s="22"/>
      <c r="CF3" s="22"/>
      <c r="CG3" s="22"/>
      <c r="CH3" s="22"/>
      <c r="CI3" s="22"/>
      <c r="CJ3" s="22"/>
      <c r="CK3" s="22"/>
      <c r="CL3" s="22"/>
      <c r="CM3" s="22"/>
      <c r="CN3" s="22"/>
      <c r="CO3" s="22"/>
      <c r="CP3" s="22"/>
      <c r="CQ3" s="22"/>
      <c r="CR3" s="22"/>
      <c r="CS3" s="22"/>
      <c r="CT3" s="22"/>
      <c r="CU3" s="22"/>
      <c r="CV3" s="22"/>
      <c r="CW3" s="22"/>
      <c r="CX3" s="22"/>
      <c r="CY3" s="22"/>
      <c r="CZ3" s="22"/>
      <c r="DA3" s="22"/>
      <c r="DB3" s="22"/>
      <c r="DC3" s="22"/>
      <c r="DD3" s="22"/>
      <c r="DE3" s="22"/>
      <c r="DF3" s="22"/>
      <c r="DG3" s="22"/>
      <c r="DH3" s="22"/>
      <c r="DI3" s="22"/>
      <c r="DJ3" s="22"/>
      <c r="DK3" s="22"/>
      <c r="DL3" s="22"/>
      <c r="DM3" s="22"/>
      <c r="DN3" s="22"/>
      <c r="DO3" s="22"/>
      <c r="DP3" s="22"/>
      <c r="DQ3" s="22"/>
      <c r="DR3" s="22"/>
      <c r="DS3" s="22"/>
      <c r="DT3" s="22"/>
      <c r="DU3" s="22"/>
      <c r="DV3" s="22"/>
      <c r="DW3" s="22"/>
      <c r="DX3" s="22"/>
      <c r="DY3" s="22"/>
      <c r="DZ3" s="22"/>
      <c r="EA3" s="22"/>
      <c r="EB3" s="22"/>
      <c r="EC3" s="22"/>
      <c r="ED3" s="22"/>
      <c r="EE3" s="22"/>
      <c r="EF3" s="22"/>
      <c r="EG3" s="22"/>
      <c r="EH3" s="22"/>
      <c r="EI3" s="22"/>
      <c r="EJ3" s="22"/>
      <c r="EK3" s="22"/>
      <c r="EL3" s="22"/>
      <c r="EM3" s="22"/>
      <c r="EN3" s="22"/>
      <c r="EO3" s="22"/>
      <c r="EP3" s="22"/>
      <c r="EQ3" s="22"/>
      <c r="ER3" s="22"/>
      <c r="ES3" s="22"/>
      <c r="ET3" s="22"/>
      <c r="EU3" s="22"/>
      <c r="EV3" s="22"/>
      <c r="EW3" s="22"/>
      <c r="EX3" s="22"/>
    </row>
    <row r="4" ht="15.75" customHeight="1">
      <c r="A4" s="23"/>
      <c r="B4" s="23" t="str">
        <f>IFERROR(__xludf.DUMMYFUNCTION("IF(C3="""","""",Transpose(IMPORTRANGE('_Settings'!$B$3,C3&amp;""!A4:A1000"")))"),"UpdateBeta")</f>
        <v>UpdateBeta</v>
      </c>
      <c r="C4" s="23" t="str">
        <f>IFERROR(__xludf.DUMMYFUNCTION("""COMPUTED_VALUE"""),"UpdateDailyCash")</f>
        <v>UpdateDailyCash</v>
      </c>
      <c r="D4" s="23" t="str">
        <f>IFERROR(__xludf.DUMMYFUNCTION("""COMPUTED_VALUE"""),"UpdateForexConversion")</f>
        <v>UpdateForexConversion</v>
      </c>
      <c r="E4" s="23" t="str">
        <f>IFERROR(__xludf.DUMMYFUNCTION("""COMPUTED_VALUE"""),"UpdateMarkPrice")</f>
        <v>UpdateMarkPrice</v>
      </c>
      <c r="F4" s="23" t="str">
        <f>IFERROR(__xludf.DUMMYFUNCTION("""COMPUTED_VALUE"""),"CleanUp")</f>
        <v>CleanUp</v>
      </c>
      <c r="G4" s="23" t="str">
        <f>IFERROR(__xludf.DUMMYFUNCTION("""COMPUTED_VALUE"""),"GetMarkPriceData")</f>
        <v>GetMarkPriceData</v>
      </c>
      <c r="H4" s="23" t="str">
        <f>IFERROR(__xludf.DUMMYFUNCTION("""COMPUTED_VALUE"""),"GetForwardPoints")</f>
        <v>GetForwardPoints</v>
      </c>
      <c r="I4" s="23" t="str">
        <f>IFERROR(__xludf.DUMMYFUNCTION("""COMPUTED_VALUE"""),"UpdateForwardPoints")</f>
        <v>UpdateForwardPoints</v>
      </c>
      <c r="J4" s="23" t="str">
        <f>IFERROR(__xludf.DUMMYFUNCTION("""COMPUTED_VALUE"""),"GetForexConversion")</f>
        <v>GetForexConversion</v>
      </c>
      <c r="K4" s="23" t="str">
        <f>IFERROR(__xludf.DUMMYFUNCTION("""COMPUTED_VALUE"""),"DeleteNAV")</f>
        <v>DeleteNAV</v>
      </c>
      <c r="L4" s="23" t="str">
        <f>IFERROR(__xludf.DUMMYFUNCTION("""COMPUTED_VALUE"""),"GetDailyCash")</f>
        <v>GetDailyCash</v>
      </c>
      <c r="M4" s="23" t="str">
        <f>IFERROR(__xludf.DUMMYFUNCTION("""COMPUTED_VALUE"""),"GetDailyBeta")</f>
        <v>GetDailyBeta</v>
      </c>
      <c r="N4" s="23" t="str">
        <f>IFERROR(__xludf.DUMMYFUNCTION("""COMPUTED_VALUE"""),"GetDailyVolatility")</f>
        <v>GetDailyVolatility</v>
      </c>
      <c r="O4" s="23" t="str">
        <f>IFERROR(__xludf.DUMMYFUNCTION("""COMPUTED_VALUE"""),"GetDailyDividendYield")</f>
        <v>GetDailyDividendYield</v>
      </c>
      <c r="P4" s="24" t="str">
        <f>IFERROR(__xludf.DUMMYFUNCTION("""COMPUTED_VALUE"""),"GetDailyTradingVolume")</f>
        <v>GetDailyTradingVolume</v>
      </c>
      <c r="Q4" s="24" t="str">
        <f>IFERROR(__xludf.DUMMYFUNCTION("""COMPUTED_VALUE"""),"GetDailyOutstandings")</f>
        <v>GetDailyOutstandings</v>
      </c>
      <c r="R4" s="24" t="str">
        <f>IFERROR(__xludf.DUMMYFUNCTION("""COMPUTED_VALUE"""),"GetDailyDelta")</f>
        <v>GetDailyDelta</v>
      </c>
      <c r="S4" s="24" t="str">
        <f>IFERROR(__xludf.DUMMYFUNCTION("""COMPUTED_VALUE"""),"UpdateDailyVolatility")</f>
        <v>UpdateDailyVolatility</v>
      </c>
      <c r="T4" s="24" t="str">
        <f>IFERROR(__xludf.DUMMYFUNCTION("""COMPUTED_VALUE"""),"UpdateDividendYield")</f>
        <v>UpdateDividendYield</v>
      </c>
      <c r="U4" s="24" t="str">
        <f>IFERROR(__xludf.DUMMYFUNCTION("""COMPUTED_VALUE"""),"UpdateTradingVolume")</f>
        <v>UpdateTradingVolume</v>
      </c>
      <c r="V4" s="24" t="str">
        <f>IFERROR(__xludf.DUMMYFUNCTION("""COMPUTED_VALUE"""),"UpdateDailyDelta")</f>
        <v>UpdateDailyDelta</v>
      </c>
      <c r="W4" s="24" t="str">
        <f>IFERROR(__xludf.DUMMYFUNCTION("""COMPUTED_VALUE"""),"UpdateDailyOutstandings")</f>
        <v>UpdateDailyOutstandings</v>
      </c>
      <c r="X4" s="24" t="str">
        <f>IFERROR(__xludf.DUMMYFUNCTION("""COMPUTED_VALUE"""),"UpdateBeta")</f>
        <v>UpdateBeta</v>
      </c>
      <c r="Y4" s="24" t="str">
        <f>IFERROR(__xludf.DUMMYFUNCTION("""COMPUTED_VALUE"""),"UpdateNAV")</f>
        <v>UpdateNAV</v>
      </c>
      <c r="Z4" s="24" t="str">
        <f>IFERROR(__xludf.DUMMYFUNCTION("""COMPUTED_VALUE"""),"UpdateDailyCash")</f>
        <v>UpdateDailyCash</v>
      </c>
      <c r="AA4" s="24" t="str">
        <f>IFERROR(__xludf.DUMMYFUNCTION("""COMPUTED_VALUE"""),"UpdateDailyCreditLimt")</f>
        <v>UpdateDailyCreditLimt</v>
      </c>
      <c r="AB4" s="24" t="str">
        <f>IFERROR(__xludf.DUMMYFUNCTION("""COMPUTED_VALUE"""),"RemoveDailyCreditLimit")</f>
        <v>RemoveDailyCreditLimit</v>
      </c>
      <c r="AC4" s="24" t="str">
        <f>IFERROR(__xludf.DUMMYFUNCTION("""COMPUTED_VALUE"""),"RemoveDailyCash")</f>
        <v>RemoveDailyCash</v>
      </c>
      <c r="AD4" s="24" t="str">
        <f>IFERROR(__xludf.DUMMYFUNCTION("""COMPUTED_VALUE"""),"RemoveNAV")</f>
        <v>RemoveNAV</v>
      </c>
      <c r="AE4" s="24" t="str">
        <f>IFERROR(__xludf.DUMMYFUNCTION("""COMPUTED_VALUE"""),"UpdateForexConversionMonthly")</f>
        <v>UpdateForexConversionMonthly</v>
      </c>
      <c r="AF4" s="24" t="str">
        <f>IFERROR(__xludf.DUMMYFUNCTION("""COMPUTED_VALUE"""),"UpdateMarkPriceMonthly")</f>
        <v>UpdateMarkPriceMonthly</v>
      </c>
      <c r="AG4" s="24" t="str">
        <f>IFERROR(__xludf.DUMMYFUNCTION("""COMPUTED_VALUE"""),"")</f>
        <v/>
      </c>
      <c r="AH4" s="24" t="str">
        <f>IFERROR(__xludf.DUMMYFUNCTION("""COMPUTED_VALUE"""),"")</f>
        <v/>
      </c>
      <c r="AI4" s="24" t="str">
        <f>IFERROR(__xludf.DUMMYFUNCTION("""COMPUTED_VALUE"""),"")</f>
        <v/>
      </c>
      <c r="AJ4" s="24" t="str">
        <f>IFERROR(__xludf.DUMMYFUNCTION("""COMPUTED_VALUE"""),"")</f>
        <v/>
      </c>
      <c r="AK4" s="24" t="str">
        <f>IFERROR(__xludf.DUMMYFUNCTION("""COMPUTED_VALUE"""),"")</f>
        <v/>
      </c>
      <c r="AL4" s="24" t="str">
        <f>IFERROR(__xludf.DUMMYFUNCTION("""COMPUTED_VALUE"""),"")</f>
        <v/>
      </c>
      <c r="AM4" s="24" t="str">
        <f>IFERROR(__xludf.DUMMYFUNCTION("""COMPUTED_VALUE"""),"")</f>
        <v/>
      </c>
      <c r="AN4" s="24" t="str">
        <f>IFERROR(__xludf.DUMMYFUNCTION("""COMPUTED_VALUE"""),"")</f>
        <v/>
      </c>
      <c r="AO4" s="24" t="str">
        <f>IFERROR(__xludf.DUMMYFUNCTION("""COMPUTED_VALUE"""),"")</f>
        <v/>
      </c>
      <c r="AP4" s="24" t="str">
        <f>IFERROR(__xludf.DUMMYFUNCTION("""COMPUTED_VALUE"""),"")</f>
        <v/>
      </c>
      <c r="AQ4" s="24" t="str">
        <f>IFERROR(__xludf.DUMMYFUNCTION("""COMPUTED_VALUE"""),"")</f>
        <v/>
      </c>
      <c r="AR4" s="24" t="str">
        <f>IFERROR(__xludf.DUMMYFUNCTION("""COMPUTED_VALUE"""),"")</f>
        <v/>
      </c>
      <c r="AS4" s="24" t="str">
        <f>IFERROR(__xludf.DUMMYFUNCTION("""COMPUTED_VALUE"""),"")</f>
        <v/>
      </c>
      <c r="AT4" s="24" t="str">
        <f>IFERROR(__xludf.DUMMYFUNCTION("""COMPUTED_VALUE"""),"")</f>
        <v/>
      </c>
      <c r="AU4" s="24" t="str">
        <f>IFERROR(__xludf.DUMMYFUNCTION("""COMPUTED_VALUE"""),"")</f>
        <v/>
      </c>
      <c r="AV4" s="24" t="str">
        <f>IFERROR(__xludf.DUMMYFUNCTION("""COMPUTED_VALUE"""),"")</f>
        <v/>
      </c>
      <c r="AW4" s="24" t="str">
        <f>IFERROR(__xludf.DUMMYFUNCTION("""COMPUTED_VALUE"""),"")</f>
        <v/>
      </c>
      <c r="AX4" s="24" t="str">
        <f>IFERROR(__xludf.DUMMYFUNCTION("""COMPUTED_VALUE"""),"")</f>
        <v/>
      </c>
      <c r="AY4" s="24" t="str">
        <f>IFERROR(__xludf.DUMMYFUNCTION("""COMPUTED_VALUE"""),"")</f>
        <v/>
      </c>
      <c r="AZ4" s="24" t="str">
        <f>IFERROR(__xludf.DUMMYFUNCTION("""COMPUTED_VALUE"""),"")</f>
        <v/>
      </c>
      <c r="BA4" s="24" t="str">
        <f>IFERROR(__xludf.DUMMYFUNCTION("""COMPUTED_VALUE"""),"")</f>
        <v/>
      </c>
      <c r="BB4" s="24" t="str">
        <f>IFERROR(__xludf.DUMMYFUNCTION("""COMPUTED_VALUE"""),"")</f>
        <v/>
      </c>
      <c r="BC4" s="24" t="str">
        <f>IFERROR(__xludf.DUMMYFUNCTION("""COMPUTED_VALUE"""),"")</f>
        <v/>
      </c>
      <c r="BD4" s="24" t="str">
        <f>IFERROR(__xludf.DUMMYFUNCTION("""COMPUTED_VALUE"""),"")</f>
        <v/>
      </c>
      <c r="BE4" s="24" t="str">
        <f>IFERROR(__xludf.DUMMYFUNCTION("""COMPUTED_VALUE"""),"")</f>
        <v/>
      </c>
      <c r="BF4" s="24" t="str">
        <f>IFERROR(__xludf.DUMMYFUNCTION("""COMPUTED_VALUE"""),"")</f>
        <v/>
      </c>
      <c r="BG4" s="24" t="str">
        <f>IFERROR(__xludf.DUMMYFUNCTION("""COMPUTED_VALUE"""),"")</f>
        <v/>
      </c>
      <c r="BH4" s="24" t="str">
        <f>IFERROR(__xludf.DUMMYFUNCTION("""COMPUTED_VALUE"""),"")</f>
        <v/>
      </c>
      <c r="BI4" s="24" t="str">
        <f>IFERROR(__xludf.DUMMYFUNCTION("""COMPUTED_VALUE"""),"")</f>
        <v/>
      </c>
      <c r="BJ4" s="24" t="str">
        <f>IFERROR(__xludf.DUMMYFUNCTION("""COMPUTED_VALUE"""),"")</f>
        <v/>
      </c>
      <c r="BK4" s="24" t="str">
        <f>IFERROR(__xludf.DUMMYFUNCTION("""COMPUTED_VALUE"""),"")</f>
        <v/>
      </c>
      <c r="BL4" s="24" t="str">
        <f>IFERROR(__xludf.DUMMYFUNCTION("""COMPUTED_VALUE"""),"")</f>
        <v/>
      </c>
      <c r="BM4" s="24" t="str">
        <f>IFERROR(__xludf.DUMMYFUNCTION("""COMPUTED_VALUE"""),"")</f>
        <v/>
      </c>
      <c r="BN4" s="24" t="str">
        <f>IFERROR(__xludf.DUMMYFUNCTION("""COMPUTED_VALUE"""),"")</f>
        <v/>
      </c>
      <c r="BO4" s="24" t="str">
        <f>IFERROR(__xludf.DUMMYFUNCTION("""COMPUTED_VALUE"""),"")</f>
        <v/>
      </c>
      <c r="BP4" s="24" t="str">
        <f>IFERROR(__xludf.DUMMYFUNCTION("""COMPUTED_VALUE"""),"")</f>
        <v/>
      </c>
      <c r="BQ4" s="24" t="str">
        <f>IFERROR(__xludf.DUMMYFUNCTION("""COMPUTED_VALUE"""),"")</f>
        <v/>
      </c>
      <c r="BR4" s="24" t="str">
        <f>IFERROR(__xludf.DUMMYFUNCTION("""COMPUTED_VALUE"""),"")</f>
        <v/>
      </c>
      <c r="BS4" s="24" t="str">
        <f>IFERROR(__xludf.DUMMYFUNCTION("""COMPUTED_VALUE"""),"")</f>
        <v/>
      </c>
      <c r="BT4" s="24" t="str">
        <f>IFERROR(__xludf.DUMMYFUNCTION("""COMPUTED_VALUE"""),"")</f>
        <v/>
      </c>
      <c r="BU4" s="24" t="str">
        <f>IFERROR(__xludf.DUMMYFUNCTION("""COMPUTED_VALUE"""),"")</f>
        <v/>
      </c>
      <c r="BV4" s="24" t="str">
        <f>IFERROR(__xludf.DUMMYFUNCTION("""COMPUTED_VALUE"""),"")</f>
        <v/>
      </c>
      <c r="BW4" s="24" t="str">
        <f>IFERROR(__xludf.DUMMYFUNCTION("""COMPUTED_VALUE"""),"")</f>
        <v/>
      </c>
      <c r="BX4" s="24" t="str">
        <f>IFERROR(__xludf.DUMMYFUNCTION("""COMPUTED_VALUE"""),"")</f>
        <v/>
      </c>
      <c r="BY4" s="24" t="str">
        <f>IFERROR(__xludf.DUMMYFUNCTION("""COMPUTED_VALUE"""),"")</f>
        <v/>
      </c>
      <c r="BZ4" s="24" t="str">
        <f>IFERROR(__xludf.DUMMYFUNCTION("""COMPUTED_VALUE"""),"")</f>
        <v/>
      </c>
      <c r="CA4" s="24" t="str">
        <f>IFERROR(__xludf.DUMMYFUNCTION("""COMPUTED_VALUE"""),"")</f>
        <v/>
      </c>
      <c r="CB4" s="24" t="str">
        <f>IFERROR(__xludf.DUMMYFUNCTION("""COMPUTED_VALUE"""),"")</f>
        <v/>
      </c>
      <c r="CC4" s="24" t="str">
        <f>IFERROR(__xludf.DUMMYFUNCTION("""COMPUTED_VALUE"""),"")</f>
        <v/>
      </c>
      <c r="CD4" s="24" t="str">
        <f>IFERROR(__xludf.DUMMYFUNCTION("""COMPUTED_VALUE"""),"")</f>
        <v/>
      </c>
      <c r="CE4" s="24" t="str">
        <f>IFERROR(__xludf.DUMMYFUNCTION("""COMPUTED_VALUE"""),"")</f>
        <v/>
      </c>
      <c r="CF4" s="24" t="str">
        <f>IFERROR(__xludf.DUMMYFUNCTION("""COMPUTED_VALUE"""),"")</f>
        <v/>
      </c>
      <c r="CG4" s="24" t="str">
        <f>IFERROR(__xludf.DUMMYFUNCTION("""COMPUTED_VALUE"""),"")</f>
        <v/>
      </c>
      <c r="CH4" s="24" t="str">
        <f>IFERROR(__xludf.DUMMYFUNCTION("""COMPUTED_VALUE"""),"")</f>
        <v/>
      </c>
      <c r="CI4" s="24" t="str">
        <f>IFERROR(__xludf.DUMMYFUNCTION("""COMPUTED_VALUE"""),"")</f>
        <v/>
      </c>
      <c r="CJ4" s="24" t="str">
        <f>IFERROR(__xludf.DUMMYFUNCTION("""COMPUTED_VALUE"""),"")</f>
        <v/>
      </c>
      <c r="CK4" s="24" t="str">
        <f>IFERROR(__xludf.DUMMYFUNCTION("""COMPUTED_VALUE"""),"")</f>
        <v/>
      </c>
      <c r="CL4" s="24" t="str">
        <f>IFERROR(__xludf.DUMMYFUNCTION("""COMPUTED_VALUE"""),"")</f>
        <v/>
      </c>
      <c r="CM4" s="24" t="str">
        <f>IFERROR(__xludf.DUMMYFUNCTION("""COMPUTED_VALUE"""),"")</f>
        <v/>
      </c>
      <c r="CN4" s="24" t="str">
        <f>IFERROR(__xludf.DUMMYFUNCTION("""COMPUTED_VALUE"""),"")</f>
        <v/>
      </c>
      <c r="CO4" s="24" t="str">
        <f>IFERROR(__xludf.DUMMYFUNCTION("""COMPUTED_VALUE"""),"")</f>
        <v/>
      </c>
      <c r="CP4" s="24" t="str">
        <f>IFERROR(__xludf.DUMMYFUNCTION("""COMPUTED_VALUE"""),"")</f>
        <v/>
      </c>
      <c r="CQ4" s="24" t="str">
        <f>IFERROR(__xludf.DUMMYFUNCTION("""COMPUTED_VALUE"""),"")</f>
        <v/>
      </c>
      <c r="CR4" s="24" t="str">
        <f>IFERROR(__xludf.DUMMYFUNCTION("""COMPUTED_VALUE"""),"")</f>
        <v/>
      </c>
      <c r="CS4" s="24" t="str">
        <f>IFERROR(__xludf.DUMMYFUNCTION("""COMPUTED_VALUE"""),"")</f>
        <v/>
      </c>
      <c r="CT4" s="24" t="str">
        <f>IFERROR(__xludf.DUMMYFUNCTION("""COMPUTED_VALUE"""),"")</f>
        <v/>
      </c>
      <c r="CU4" s="24" t="str">
        <f>IFERROR(__xludf.DUMMYFUNCTION("""COMPUTED_VALUE"""),"")</f>
        <v/>
      </c>
      <c r="CV4" s="24" t="str">
        <f>IFERROR(__xludf.DUMMYFUNCTION("""COMPUTED_VALUE"""),"")</f>
        <v/>
      </c>
      <c r="CW4" s="24" t="str">
        <f>IFERROR(__xludf.DUMMYFUNCTION("""COMPUTED_VALUE"""),"")</f>
        <v/>
      </c>
      <c r="CX4" s="24" t="str">
        <f>IFERROR(__xludf.DUMMYFUNCTION("""COMPUTED_VALUE"""),"")</f>
        <v/>
      </c>
      <c r="CY4" s="24" t="str">
        <f>IFERROR(__xludf.DUMMYFUNCTION("""COMPUTED_VALUE"""),"")</f>
        <v/>
      </c>
      <c r="CZ4" s="24" t="str">
        <f>IFERROR(__xludf.DUMMYFUNCTION("""COMPUTED_VALUE"""),"")</f>
        <v/>
      </c>
      <c r="DA4" s="24" t="str">
        <f>IFERROR(__xludf.DUMMYFUNCTION("""COMPUTED_VALUE"""),"")</f>
        <v/>
      </c>
      <c r="DB4" s="24" t="str">
        <f>IFERROR(__xludf.DUMMYFUNCTION("""COMPUTED_VALUE"""),"")</f>
        <v/>
      </c>
      <c r="DC4" s="24" t="str">
        <f>IFERROR(__xludf.DUMMYFUNCTION("""COMPUTED_VALUE"""),"")</f>
        <v/>
      </c>
      <c r="DD4" s="24" t="str">
        <f>IFERROR(__xludf.DUMMYFUNCTION("""COMPUTED_VALUE"""),"")</f>
        <v/>
      </c>
      <c r="DE4" s="24" t="str">
        <f>IFERROR(__xludf.DUMMYFUNCTION("""COMPUTED_VALUE"""),"")</f>
        <v/>
      </c>
      <c r="DF4" s="24" t="str">
        <f>IFERROR(__xludf.DUMMYFUNCTION("""COMPUTED_VALUE"""),"")</f>
        <v/>
      </c>
      <c r="DG4" s="24" t="str">
        <f>IFERROR(__xludf.DUMMYFUNCTION("""COMPUTED_VALUE"""),"")</f>
        <v/>
      </c>
      <c r="DH4" s="24" t="str">
        <f>IFERROR(__xludf.DUMMYFUNCTION("""COMPUTED_VALUE"""),"")</f>
        <v/>
      </c>
      <c r="DI4" s="24" t="str">
        <f>IFERROR(__xludf.DUMMYFUNCTION("""COMPUTED_VALUE"""),"")</f>
        <v/>
      </c>
      <c r="DJ4" s="24" t="str">
        <f>IFERROR(__xludf.DUMMYFUNCTION("""COMPUTED_VALUE"""),"")</f>
        <v/>
      </c>
      <c r="DK4" s="24" t="str">
        <f>IFERROR(__xludf.DUMMYFUNCTION("""COMPUTED_VALUE"""),"")</f>
        <v/>
      </c>
      <c r="DL4" s="24" t="str">
        <f>IFERROR(__xludf.DUMMYFUNCTION("""COMPUTED_VALUE"""),"")</f>
        <v/>
      </c>
      <c r="DM4" s="24" t="str">
        <f>IFERROR(__xludf.DUMMYFUNCTION("""COMPUTED_VALUE"""),"")</f>
        <v/>
      </c>
      <c r="DN4" s="24" t="str">
        <f>IFERROR(__xludf.DUMMYFUNCTION("""COMPUTED_VALUE"""),"")</f>
        <v/>
      </c>
      <c r="DO4" s="24" t="str">
        <f>IFERROR(__xludf.DUMMYFUNCTION("""COMPUTED_VALUE"""),"")</f>
        <v/>
      </c>
      <c r="DP4" s="24" t="str">
        <f>IFERROR(__xludf.DUMMYFUNCTION("""COMPUTED_VALUE"""),"")</f>
        <v/>
      </c>
      <c r="DQ4" s="24" t="str">
        <f>IFERROR(__xludf.DUMMYFUNCTION("""COMPUTED_VALUE"""),"")</f>
        <v/>
      </c>
      <c r="DR4" s="24" t="str">
        <f>IFERROR(__xludf.DUMMYFUNCTION("""COMPUTED_VALUE"""),"")</f>
        <v/>
      </c>
      <c r="DS4" s="24" t="str">
        <f>IFERROR(__xludf.DUMMYFUNCTION("""COMPUTED_VALUE"""),"")</f>
        <v/>
      </c>
      <c r="DT4" s="24" t="str">
        <f>IFERROR(__xludf.DUMMYFUNCTION("""COMPUTED_VALUE"""),"")</f>
        <v/>
      </c>
      <c r="DU4" s="24" t="str">
        <f>IFERROR(__xludf.DUMMYFUNCTION("""COMPUTED_VALUE"""),"")</f>
        <v/>
      </c>
      <c r="DV4" s="24" t="str">
        <f>IFERROR(__xludf.DUMMYFUNCTION("""COMPUTED_VALUE"""),"")</f>
        <v/>
      </c>
      <c r="DW4" s="24" t="str">
        <f>IFERROR(__xludf.DUMMYFUNCTION("""COMPUTED_VALUE"""),"")</f>
        <v/>
      </c>
      <c r="DX4" s="24" t="str">
        <f>IFERROR(__xludf.DUMMYFUNCTION("""COMPUTED_VALUE"""),"")</f>
        <v/>
      </c>
      <c r="DY4" s="24" t="str">
        <f>IFERROR(__xludf.DUMMYFUNCTION("""COMPUTED_VALUE"""),"")</f>
        <v/>
      </c>
      <c r="DZ4" s="24" t="str">
        <f>IFERROR(__xludf.DUMMYFUNCTION("""COMPUTED_VALUE"""),"")</f>
        <v/>
      </c>
      <c r="EA4" s="24" t="str">
        <f>IFERROR(__xludf.DUMMYFUNCTION("""COMPUTED_VALUE"""),"")</f>
        <v/>
      </c>
      <c r="EB4" s="24" t="str">
        <f>IFERROR(__xludf.DUMMYFUNCTION("""COMPUTED_VALUE"""),"")</f>
        <v/>
      </c>
      <c r="EC4" s="24" t="str">
        <f>IFERROR(__xludf.DUMMYFUNCTION("""COMPUTED_VALUE"""),"")</f>
        <v/>
      </c>
      <c r="ED4" s="24" t="str">
        <f>IFERROR(__xludf.DUMMYFUNCTION("""COMPUTED_VALUE"""),"")</f>
        <v/>
      </c>
      <c r="EE4" s="24" t="str">
        <f>IFERROR(__xludf.DUMMYFUNCTION("""COMPUTED_VALUE"""),"")</f>
        <v/>
      </c>
      <c r="EF4" s="24" t="str">
        <f>IFERROR(__xludf.DUMMYFUNCTION("""COMPUTED_VALUE"""),"")</f>
        <v/>
      </c>
      <c r="EG4" s="24" t="str">
        <f>IFERROR(__xludf.DUMMYFUNCTION("""COMPUTED_VALUE"""),"")</f>
        <v/>
      </c>
      <c r="EH4" s="24" t="str">
        <f>IFERROR(__xludf.DUMMYFUNCTION("""COMPUTED_VALUE"""),"")</f>
        <v/>
      </c>
      <c r="EI4" s="24" t="str">
        <f>IFERROR(__xludf.DUMMYFUNCTION("""COMPUTED_VALUE"""),"")</f>
        <v/>
      </c>
      <c r="EJ4" s="24" t="str">
        <f>IFERROR(__xludf.DUMMYFUNCTION("""COMPUTED_VALUE"""),"")</f>
        <v/>
      </c>
      <c r="EK4" s="24" t="str">
        <f>IFERROR(__xludf.DUMMYFUNCTION("""COMPUTED_VALUE"""),"")</f>
        <v/>
      </c>
      <c r="EL4" s="24" t="str">
        <f>IFERROR(__xludf.DUMMYFUNCTION("""COMPUTED_VALUE"""),"")</f>
        <v/>
      </c>
      <c r="EM4" s="24" t="str">
        <f>IFERROR(__xludf.DUMMYFUNCTION("""COMPUTED_VALUE"""),"")</f>
        <v/>
      </c>
      <c r="EN4" s="24" t="str">
        <f>IFERROR(__xludf.DUMMYFUNCTION("""COMPUTED_VALUE"""),"")</f>
        <v/>
      </c>
      <c r="EO4" s="24" t="str">
        <f>IFERROR(__xludf.DUMMYFUNCTION("""COMPUTED_VALUE"""),"")</f>
        <v/>
      </c>
      <c r="EP4" s="24" t="str">
        <f>IFERROR(__xludf.DUMMYFUNCTION("""COMPUTED_VALUE"""),"")</f>
        <v/>
      </c>
      <c r="EQ4" s="24" t="str">
        <f>IFERROR(__xludf.DUMMYFUNCTION("""COMPUTED_VALUE"""),"")</f>
        <v/>
      </c>
      <c r="ER4" s="24" t="str">
        <f>IFERROR(__xludf.DUMMYFUNCTION("""COMPUTED_VALUE"""),"")</f>
        <v/>
      </c>
      <c r="ES4" s="24" t="str">
        <f>IFERROR(__xludf.DUMMYFUNCTION("""COMPUTED_VALUE"""),"")</f>
        <v/>
      </c>
      <c r="ET4" s="24" t="str">
        <f>IFERROR(__xludf.DUMMYFUNCTION("""COMPUTED_VALUE"""),"")</f>
        <v/>
      </c>
      <c r="EU4" s="24" t="str">
        <f>IFERROR(__xludf.DUMMYFUNCTION("""COMPUTED_VALUE"""),"")</f>
        <v/>
      </c>
      <c r="EV4" s="24" t="str">
        <f>IFERROR(__xludf.DUMMYFUNCTION("""COMPUTED_VALUE"""),"")</f>
        <v/>
      </c>
      <c r="EW4" s="24" t="str">
        <f>IFERROR(__xludf.DUMMYFUNCTION("""COMPUTED_VALUE"""),"")</f>
        <v/>
      </c>
      <c r="EX4" s="24" t="str">
        <f>IFERROR(__xludf.DUMMYFUNCTION("""COMPUTED_VALUE"""),"")</f>
        <v/>
      </c>
    </row>
    <row r="5" ht="15.75" customHeight="1">
      <c r="A5" s="25" t="str">
        <f>IFERROR(__xludf.DUMMYFUNCTION("TRANSPOSE(IMPORTRANGE(VLOOKUP($E$3,IMPORTRANGE('_Settings'!$B$3,$C$3&amp;""!A4:B1000""),2,FALSE),$G$3&amp;""!A4:A1000""))"),"")</f>
        <v/>
      </c>
      <c r="B5" s="26" t="str">
        <f>IFERROR(__xludf.DUMMYFUNCTION("""COMPUTED_VALUE"""),"Select Date")</f>
        <v>Select Date</v>
      </c>
      <c r="C5" s="26" t="str">
        <f>IFERROR(__xludf.DUMMYFUNCTION("""COMPUTED_VALUE"""),"Copy Date")</f>
        <v>Copy Date</v>
      </c>
      <c r="D5" s="26" t="str">
        <f>IFERROR(__xludf.DUMMYFUNCTION("""COMPUTED_VALUE"""),"")</f>
        <v/>
      </c>
      <c r="E5" s="26" t="str">
        <f>IFERROR(__xludf.DUMMYFUNCTION("""COMPUTED_VALUE"""),"")</f>
        <v/>
      </c>
      <c r="F5" s="27" t="str">
        <f>IFERROR(__xludf.DUMMYFUNCTION("""COMPUTED_VALUE"""),"")</f>
        <v/>
      </c>
      <c r="G5" s="26" t="str">
        <f>IFERROR(__xludf.DUMMYFUNCTION("""COMPUTED_VALUE"""),"")</f>
        <v/>
      </c>
      <c r="H5" s="26" t="str">
        <f>IFERROR(__xludf.DUMMYFUNCTION("""COMPUTED_VALUE"""),"")</f>
        <v/>
      </c>
      <c r="I5" s="26" t="str">
        <f>IFERROR(__xludf.DUMMYFUNCTION("""COMPUTED_VALUE"""),"")</f>
        <v/>
      </c>
      <c r="J5" s="26" t="str">
        <f>IFERROR(__xludf.DUMMYFUNCTION("""COMPUTED_VALUE"""),"")</f>
        <v/>
      </c>
      <c r="K5" s="26" t="str">
        <f>IFERROR(__xludf.DUMMYFUNCTION("""COMPUTED_VALUE"""),"")</f>
        <v/>
      </c>
      <c r="L5" s="26" t="str">
        <f>IFERROR(__xludf.DUMMYFUNCTION("""COMPUTED_VALUE"""),"")</f>
        <v/>
      </c>
      <c r="M5" s="26" t="str">
        <f>IFERROR(__xludf.DUMMYFUNCTION("""COMPUTED_VALUE"""),"")</f>
        <v/>
      </c>
      <c r="N5" s="26" t="str">
        <f>IFERROR(__xludf.DUMMYFUNCTION("""COMPUTED_VALUE"""),"")</f>
        <v/>
      </c>
      <c r="O5" s="26" t="str">
        <f>IFERROR(__xludf.DUMMYFUNCTION("""COMPUTED_VALUE"""),"")</f>
        <v/>
      </c>
      <c r="P5" s="26" t="str">
        <f>IFERROR(__xludf.DUMMYFUNCTION("""COMPUTED_VALUE"""),"")</f>
        <v/>
      </c>
      <c r="Q5" s="26" t="str">
        <f>IFERROR(__xludf.DUMMYFUNCTION("""COMPUTED_VALUE"""),"")</f>
        <v/>
      </c>
      <c r="R5" s="26" t="str">
        <f>IFERROR(__xludf.DUMMYFUNCTION("""COMPUTED_VALUE"""),"")</f>
        <v/>
      </c>
      <c r="S5" s="26" t="str">
        <f>IFERROR(__xludf.DUMMYFUNCTION("""COMPUTED_VALUE"""),"")</f>
        <v/>
      </c>
      <c r="T5" s="28" t="str">
        <f>IFERROR(__xludf.DUMMYFUNCTION("""COMPUTED_VALUE"""),"")</f>
        <v/>
      </c>
      <c r="U5" s="28" t="str">
        <f>IFERROR(__xludf.DUMMYFUNCTION("""COMPUTED_VALUE"""),"")</f>
        <v/>
      </c>
      <c r="V5" s="28" t="str">
        <f>IFERROR(__xludf.DUMMYFUNCTION("""COMPUTED_VALUE"""),"")</f>
        <v/>
      </c>
      <c r="W5" s="28" t="str">
        <f>IFERROR(__xludf.DUMMYFUNCTION("""COMPUTED_VALUE"""),"")</f>
        <v/>
      </c>
      <c r="X5" s="28" t="str">
        <f>IFERROR(__xludf.DUMMYFUNCTION("""COMPUTED_VALUE"""),"")</f>
        <v/>
      </c>
      <c r="Y5" s="28" t="str">
        <f>IFERROR(__xludf.DUMMYFUNCTION("""COMPUTED_VALUE"""),"")</f>
        <v/>
      </c>
      <c r="Z5" s="28" t="str">
        <f>IFERROR(__xludf.DUMMYFUNCTION("""COMPUTED_VALUE"""),"")</f>
        <v/>
      </c>
      <c r="AA5" s="28" t="str">
        <f>IFERROR(__xludf.DUMMYFUNCTION("""COMPUTED_VALUE"""),"")</f>
        <v/>
      </c>
      <c r="AB5" s="28" t="str">
        <f>IFERROR(__xludf.DUMMYFUNCTION("""COMPUTED_VALUE"""),"")</f>
        <v/>
      </c>
      <c r="AC5" s="28" t="str">
        <f>IFERROR(__xludf.DUMMYFUNCTION("""COMPUTED_VALUE"""),"")</f>
        <v/>
      </c>
      <c r="AD5" s="28" t="str">
        <f>IFERROR(__xludf.DUMMYFUNCTION("""COMPUTED_VALUE"""),"")</f>
        <v/>
      </c>
      <c r="AE5" s="28" t="str">
        <f>IFERROR(__xludf.DUMMYFUNCTION("""COMPUTED_VALUE"""),"")</f>
        <v/>
      </c>
      <c r="AF5" s="28" t="str">
        <f>IFERROR(__xludf.DUMMYFUNCTION("""COMPUTED_VALUE"""),"")</f>
        <v/>
      </c>
      <c r="AG5" s="28" t="str">
        <f>IFERROR(__xludf.DUMMYFUNCTION("""COMPUTED_VALUE"""),"")</f>
        <v/>
      </c>
      <c r="AH5" s="28" t="str">
        <f>IFERROR(__xludf.DUMMYFUNCTION("""COMPUTED_VALUE"""),"")</f>
        <v/>
      </c>
      <c r="AI5" s="28" t="str">
        <f>IFERROR(__xludf.DUMMYFUNCTION("""COMPUTED_VALUE"""),"")</f>
        <v/>
      </c>
      <c r="AJ5" s="28" t="str">
        <f>IFERROR(__xludf.DUMMYFUNCTION("""COMPUTED_VALUE"""),"")</f>
        <v/>
      </c>
      <c r="AK5" s="28" t="str">
        <f>IFERROR(__xludf.DUMMYFUNCTION("""COMPUTED_VALUE"""),"")</f>
        <v/>
      </c>
      <c r="AL5" s="28" t="str">
        <f>IFERROR(__xludf.DUMMYFUNCTION("""COMPUTED_VALUE"""),"")</f>
        <v/>
      </c>
      <c r="AM5" s="28" t="str">
        <f>IFERROR(__xludf.DUMMYFUNCTION("""COMPUTED_VALUE"""),"")</f>
        <v/>
      </c>
      <c r="AN5" s="28" t="str">
        <f>IFERROR(__xludf.DUMMYFUNCTION("""COMPUTED_VALUE"""),"")</f>
        <v/>
      </c>
      <c r="AO5" s="28" t="str">
        <f>IFERROR(__xludf.DUMMYFUNCTION("""COMPUTED_VALUE"""),"")</f>
        <v/>
      </c>
      <c r="AP5" s="28" t="str">
        <f>IFERROR(__xludf.DUMMYFUNCTION("""COMPUTED_VALUE"""),"")</f>
        <v/>
      </c>
      <c r="AQ5" s="28" t="str">
        <f>IFERROR(__xludf.DUMMYFUNCTION("""COMPUTED_VALUE"""),"")</f>
        <v/>
      </c>
      <c r="AR5" s="28" t="str">
        <f>IFERROR(__xludf.DUMMYFUNCTION("""COMPUTED_VALUE"""),"")</f>
        <v/>
      </c>
      <c r="AS5" s="28" t="str">
        <f>IFERROR(__xludf.DUMMYFUNCTION("""COMPUTED_VALUE"""),"")</f>
        <v/>
      </c>
      <c r="AT5" s="28" t="str">
        <f>IFERROR(__xludf.DUMMYFUNCTION("""COMPUTED_VALUE"""),"")</f>
        <v/>
      </c>
      <c r="AU5" s="28" t="str">
        <f>IFERROR(__xludf.DUMMYFUNCTION("""COMPUTED_VALUE"""),"")</f>
        <v/>
      </c>
      <c r="AV5" s="28" t="str">
        <f>IFERROR(__xludf.DUMMYFUNCTION("""COMPUTED_VALUE"""),"")</f>
        <v/>
      </c>
      <c r="AW5" s="28" t="str">
        <f>IFERROR(__xludf.DUMMYFUNCTION("""COMPUTED_VALUE"""),"")</f>
        <v/>
      </c>
      <c r="AX5" s="28" t="str">
        <f>IFERROR(__xludf.DUMMYFUNCTION("""COMPUTED_VALUE"""),"")</f>
        <v/>
      </c>
      <c r="AY5" s="28" t="str">
        <f>IFERROR(__xludf.DUMMYFUNCTION("""COMPUTED_VALUE"""),"")</f>
        <v/>
      </c>
      <c r="AZ5" s="28" t="str">
        <f>IFERROR(__xludf.DUMMYFUNCTION("""COMPUTED_VALUE"""),"")</f>
        <v/>
      </c>
      <c r="BA5" s="28" t="str">
        <f>IFERROR(__xludf.DUMMYFUNCTION("""COMPUTED_VALUE"""),"")</f>
        <v/>
      </c>
      <c r="BB5" s="28" t="str">
        <f>IFERROR(__xludf.DUMMYFUNCTION("""COMPUTED_VALUE"""),"")</f>
        <v/>
      </c>
      <c r="BC5" s="28" t="str">
        <f>IFERROR(__xludf.DUMMYFUNCTION("""COMPUTED_VALUE"""),"")</f>
        <v/>
      </c>
      <c r="BD5" s="28" t="str">
        <f>IFERROR(__xludf.DUMMYFUNCTION("""COMPUTED_VALUE"""),"")</f>
        <v/>
      </c>
      <c r="BE5" s="28" t="str">
        <f>IFERROR(__xludf.DUMMYFUNCTION("""COMPUTED_VALUE"""),"")</f>
        <v/>
      </c>
      <c r="BF5" s="28" t="str">
        <f>IFERROR(__xludf.DUMMYFUNCTION("""COMPUTED_VALUE"""),"")</f>
        <v/>
      </c>
      <c r="BG5" s="28" t="str">
        <f>IFERROR(__xludf.DUMMYFUNCTION("""COMPUTED_VALUE"""),"")</f>
        <v/>
      </c>
      <c r="BH5" s="28" t="str">
        <f>IFERROR(__xludf.DUMMYFUNCTION("""COMPUTED_VALUE"""),"")</f>
        <v/>
      </c>
      <c r="BI5" s="28" t="str">
        <f>IFERROR(__xludf.DUMMYFUNCTION("""COMPUTED_VALUE"""),"")</f>
        <v/>
      </c>
      <c r="BJ5" s="28" t="str">
        <f>IFERROR(__xludf.DUMMYFUNCTION("""COMPUTED_VALUE"""),"")</f>
        <v/>
      </c>
      <c r="BK5" s="28" t="str">
        <f>IFERROR(__xludf.DUMMYFUNCTION("""COMPUTED_VALUE"""),"")</f>
        <v/>
      </c>
      <c r="BL5" s="28" t="str">
        <f>IFERROR(__xludf.DUMMYFUNCTION("""COMPUTED_VALUE"""),"")</f>
        <v/>
      </c>
      <c r="BM5" s="28" t="str">
        <f>IFERROR(__xludf.DUMMYFUNCTION("""COMPUTED_VALUE"""),"")</f>
        <v/>
      </c>
      <c r="BN5" s="28" t="str">
        <f>IFERROR(__xludf.DUMMYFUNCTION("""COMPUTED_VALUE"""),"")</f>
        <v/>
      </c>
      <c r="BO5" s="28" t="str">
        <f>IFERROR(__xludf.DUMMYFUNCTION("""COMPUTED_VALUE"""),"")</f>
        <v/>
      </c>
      <c r="BP5" s="28" t="str">
        <f>IFERROR(__xludf.DUMMYFUNCTION("""COMPUTED_VALUE"""),"")</f>
        <v/>
      </c>
      <c r="BQ5" s="28" t="str">
        <f>IFERROR(__xludf.DUMMYFUNCTION("""COMPUTED_VALUE"""),"")</f>
        <v/>
      </c>
      <c r="BR5" s="28" t="str">
        <f>IFERROR(__xludf.DUMMYFUNCTION("""COMPUTED_VALUE"""),"")</f>
        <v/>
      </c>
      <c r="BS5" s="28" t="str">
        <f>IFERROR(__xludf.DUMMYFUNCTION("""COMPUTED_VALUE"""),"")</f>
        <v/>
      </c>
      <c r="BT5" s="28" t="str">
        <f>IFERROR(__xludf.DUMMYFUNCTION("""COMPUTED_VALUE"""),"")</f>
        <v/>
      </c>
      <c r="BU5" s="28" t="str">
        <f>IFERROR(__xludf.DUMMYFUNCTION("""COMPUTED_VALUE"""),"")</f>
        <v/>
      </c>
      <c r="BV5" s="28" t="str">
        <f>IFERROR(__xludf.DUMMYFUNCTION("""COMPUTED_VALUE"""),"")</f>
        <v/>
      </c>
      <c r="BW5" s="28" t="str">
        <f>IFERROR(__xludf.DUMMYFUNCTION("""COMPUTED_VALUE"""),"")</f>
        <v/>
      </c>
      <c r="BX5" s="28" t="str">
        <f>IFERROR(__xludf.DUMMYFUNCTION("""COMPUTED_VALUE"""),"")</f>
        <v/>
      </c>
      <c r="BY5" s="28" t="str">
        <f>IFERROR(__xludf.DUMMYFUNCTION("""COMPUTED_VALUE"""),"")</f>
        <v/>
      </c>
      <c r="BZ5" s="28" t="str">
        <f>IFERROR(__xludf.DUMMYFUNCTION("""COMPUTED_VALUE"""),"")</f>
        <v/>
      </c>
      <c r="CA5" s="28" t="str">
        <f>IFERROR(__xludf.DUMMYFUNCTION("""COMPUTED_VALUE"""),"")</f>
        <v/>
      </c>
      <c r="CB5" s="28" t="str">
        <f>IFERROR(__xludf.DUMMYFUNCTION("""COMPUTED_VALUE"""),"")</f>
        <v/>
      </c>
      <c r="CC5" s="28" t="str">
        <f>IFERROR(__xludf.DUMMYFUNCTION("""COMPUTED_VALUE"""),"")</f>
        <v/>
      </c>
      <c r="CD5" s="28" t="str">
        <f>IFERROR(__xludf.DUMMYFUNCTION("""COMPUTED_VALUE"""),"")</f>
        <v/>
      </c>
      <c r="CE5" s="28" t="str">
        <f>IFERROR(__xludf.DUMMYFUNCTION("""COMPUTED_VALUE"""),"")</f>
        <v/>
      </c>
      <c r="CF5" s="28" t="str">
        <f>IFERROR(__xludf.DUMMYFUNCTION("""COMPUTED_VALUE"""),"")</f>
        <v/>
      </c>
      <c r="CG5" s="28" t="str">
        <f>IFERROR(__xludf.DUMMYFUNCTION("""COMPUTED_VALUE"""),"")</f>
        <v/>
      </c>
      <c r="CH5" s="28" t="str">
        <f>IFERROR(__xludf.DUMMYFUNCTION("""COMPUTED_VALUE"""),"")</f>
        <v/>
      </c>
      <c r="CI5" s="28" t="str">
        <f>IFERROR(__xludf.DUMMYFUNCTION("""COMPUTED_VALUE"""),"")</f>
        <v/>
      </c>
      <c r="CJ5" s="28" t="str">
        <f>IFERROR(__xludf.DUMMYFUNCTION("""COMPUTED_VALUE"""),"")</f>
        <v/>
      </c>
      <c r="CK5" s="28" t="str">
        <f>IFERROR(__xludf.DUMMYFUNCTION("""COMPUTED_VALUE"""),"")</f>
        <v/>
      </c>
      <c r="CL5" s="28" t="str">
        <f>IFERROR(__xludf.DUMMYFUNCTION("""COMPUTED_VALUE"""),"")</f>
        <v/>
      </c>
      <c r="CM5" s="28" t="str">
        <f>IFERROR(__xludf.DUMMYFUNCTION("""COMPUTED_VALUE"""),"")</f>
        <v/>
      </c>
      <c r="CN5" s="28" t="str">
        <f>IFERROR(__xludf.DUMMYFUNCTION("""COMPUTED_VALUE"""),"")</f>
        <v/>
      </c>
      <c r="CO5" s="28" t="str">
        <f>IFERROR(__xludf.DUMMYFUNCTION("""COMPUTED_VALUE"""),"")</f>
        <v/>
      </c>
      <c r="CP5" s="28" t="str">
        <f>IFERROR(__xludf.DUMMYFUNCTION("""COMPUTED_VALUE"""),"")</f>
        <v/>
      </c>
      <c r="CQ5" s="28" t="str">
        <f>IFERROR(__xludf.DUMMYFUNCTION("""COMPUTED_VALUE"""),"")</f>
        <v/>
      </c>
      <c r="CR5" s="28" t="str">
        <f>IFERROR(__xludf.DUMMYFUNCTION("""COMPUTED_VALUE"""),"")</f>
        <v/>
      </c>
      <c r="CS5" s="28" t="str">
        <f>IFERROR(__xludf.DUMMYFUNCTION("""COMPUTED_VALUE"""),"")</f>
        <v/>
      </c>
      <c r="CT5" s="28" t="str">
        <f>IFERROR(__xludf.DUMMYFUNCTION("""COMPUTED_VALUE"""),"")</f>
        <v/>
      </c>
      <c r="CU5" s="28" t="str">
        <f>IFERROR(__xludf.DUMMYFUNCTION("""COMPUTED_VALUE"""),"")</f>
        <v/>
      </c>
      <c r="CV5" s="28" t="str">
        <f>IFERROR(__xludf.DUMMYFUNCTION("""COMPUTED_VALUE"""),"")</f>
        <v/>
      </c>
      <c r="CW5" s="28" t="str">
        <f>IFERROR(__xludf.DUMMYFUNCTION("""COMPUTED_VALUE"""),"")</f>
        <v/>
      </c>
      <c r="CX5" s="28" t="str">
        <f>IFERROR(__xludf.DUMMYFUNCTION("""COMPUTED_VALUE"""),"")</f>
        <v/>
      </c>
      <c r="CY5" s="28" t="str">
        <f>IFERROR(__xludf.DUMMYFUNCTION("""COMPUTED_VALUE"""),"")</f>
        <v/>
      </c>
      <c r="CZ5" s="28" t="str">
        <f>IFERROR(__xludf.DUMMYFUNCTION("""COMPUTED_VALUE"""),"")</f>
        <v/>
      </c>
      <c r="DA5" s="28" t="str">
        <f>IFERROR(__xludf.DUMMYFUNCTION("""COMPUTED_VALUE"""),"")</f>
        <v/>
      </c>
      <c r="DB5" s="28" t="str">
        <f>IFERROR(__xludf.DUMMYFUNCTION("""COMPUTED_VALUE"""),"")</f>
        <v/>
      </c>
      <c r="DC5" s="28" t="str">
        <f>IFERROR(__xludf.DUMMYFUNCTION("""COMPUTED_VALUE"""),"")</f>
        <v/>
      </c>
      <c r="DD5" s="28" t="str">
        <f>IFERROR(__xludf.DUMMYFUNCTION("""COMPUTED_VALUE"""),"")</f>
        <v/>
      </c>
      <c r="DE5" s="28" t="str">
        <f>IFERROR(__xludf.DUMMYFUNCTION("""COMPUTED_VALUE"""),"")</f>
        <v/>
      </c>
      <c r="DF5" s="28" t="str">
        <f>IFERROR(__xludf.DUMMYFUNCTION("""COMPUTED_VALUE"""),"")</f>
        <v/>
      </c>
      <c r="DG5" s="28" t="str">
        <f>IFERROR(__xludf.DUMMYFUNCTION("""COMPUTED_VALUE"""),"")</f>
        <v/>
      </c>
      <c r="DH5" s="28" t="str">
        <f>IFERROR(__xludf.DUMMYFUNCTION("""COMPUTED_VALUE"""),"")</f>
        <v/>
      </c>
      <c r="DI5" s="28" t="str">
        <f>IFERROR(__xludf.DUMMYFUNCTION("""COMPUTED_VALUE"""),"")</f>
        <v/>
      </c>
      <c r="DJ5" s="28" t="str">
        <f>IFERROR(__xludf.DUMMYFUNCTION("""COMPUTED_VALUE"""),"")</f>
        <v/>
      </c>
      <c r="DK5" s="28" t="str">
        <f>IFERROR(__xludf.DUMMYFUNCTION("""COMPUTED_VALUE"""),"")</f>
        <v/>
      </c>
      <c r="DL5" s="28" t="str">
        <f>IFERROR(__xludf.DUMMYFUNCTION("""COMPUTED_VALUE"""),"")</f>
        <v/>
      </c>
      <c r="DM5" s="28" t="str">
        <f>IFERROR(__xludf.DUMMYFUNCTION("""COMPUTED_VALUE"""),"")</f>
        <v/>
      </c>
      <c r="DN5" s="28" t="str">
        <f>IFERROR(__xludf.DUMMYFUNCTION("""COMPUTED_VALUE"""),"")</f>
        <v/>
      </c>
      <c r="DO5" s="28" t="str">
        <f>IFERROR(__xludf.DUMMYFUNCTION("""COMPUTED_VALUE"""),"")</f>
        <v/>
      </c>
      <c r="DP5" s="28" t="str">
        <f>IFERROR(__xludf.DUMMYFUNCTION("""COMPUTED_VALUE"""),"")</f>
        <v/>
      </c>
      <c r="DQ5" s="28" t="str">
        <f>IFERROR(__xludf.DUMMYFUNCTION("""COMPUTED_VALUE"""),"")</f>
        <v/>
      </c>
      <c r="DR5" s="28" t="str">
        <f>IFERROR(__xludf.DUMMYFUNCTION("""COMPUTED_VALUE"""),"")</f>
        <v/>
      </c>
      <c r="DS5" s="28" t="str">
        <f>IFERROR(__xludf.DUMMYFUNCTION("""COMPUTED_VALUE"""),"")</f>
        <v/>
      </c>
      <c r="DT5" s="28" t="str">
        <f>IFERROR(__xludf.DUMMYFUNCTION("""COMPUTED_VALUE"""),"")</f>
        <v/>
      </c>
      <c r="DU5" s="28" t="str">
        <f>IFERROR(__xludf.DUMMYFUNCTION("""COMPUTED_VALUE"""),"")</f>
        <v/>
      </c>
      <c r="DV5" s="28" t="str">
        <f>IFERROR(__xludf.DUMMYFUNCTION("""COMPUTED_VALUE"""),"")</f>
        <v/>
      </c>
      <c r="DW5" s="28" t="str">
        <f>IFERROR(__xludf.DUMMYFUNCTION("""COMPUTED_VALUE"""),"")</f>
        <v/>
      </c>
      <c r="DX5" s="28" t="str">
        <f>IFERROR(__xludf.DUMMYFUNCTION("""COMPUTED_VALUE"""),"")</f>
        <v/>
      </c>
      <c r="DY5" s="28" t="str">
        <f>IFERROR(__xludf.DUMMYFUNCTION("""COMPUTED_VALUE"""),"")</f>
        <v/>
      </c>
      <c r="DZ5" s="28" t="str">
        <f>IFERROR(__xludf.DUMMYFUNCTION("""COMPUTED_VALUE"""),"")</f>
        <v/>
      </c>
      <c r="EA5" s="28" t="str">
        <f>IFERROR(__xludf.DUMMYFUNCTION("""COMPUTED_VALUE"""),"")</f>
        <v/>
      </c>
      <c r="EB5" s="28" t="str">
        <f>IFERROR(__xludf.DUMMYFUNCTION("""COMPUTED_VALUE"""),"")</f>
        <v/>
      </c>
      <c r="EC5" s="28" t="str">
        <f>IFERROR(__xludf.DUMMYFUNCTION("""COMPUTED_VALUE"""),"")</f>
        <v/>
      </c>
      <c r="ED5" s="28" t="str">
        <f>IFERROR(__xludf.DUMMYFUNCTION("""COMPUTED_VALUE"""),"")</f>
        <v/>
      </c>
      <c r="EE5" s="28" t="str">
        <f>IFERROR(__xludf.DUMMYFUNCTION("""COMPUTED_VALUE"""),"")</f>
        <v/>
      </c>
      <c r="EF5" s="28" t="str">
        <f>IFERROR(__xludf.DUMMYFUNCTION("""COMPUTED_VALUE"""),"")</f>
        <v/>
      </c>
      <c r="EG5" s="28" t="str">
        <f>IFERROR(__xludf.DUMMYFUNCTION("""COMPUTED_VALUE"""),"")</f>
        <v/>
      </c>
      <c r="EH5" s="28" t="str">
        <f>IFERROR(__xludf.DUMMYFUNCTION("""COMPUTED_VALUE"""),"")</f>
        <v/>
      </c>
      <c r="EI5" s="28" t="str">
        <f>IFERROR(__xludf.DUMMYFUNCTION("""COMPUTED_VALUE"""),"")</f>
        <v/>
      </c>
      <c r="EJ5" s="28" t="str">
        <f>IFERROR(__xludf.DUMMYFUNCTION("""COMPUTED_VALUE"""),"")</f>
        <v/>
      </c>
      <c r="EK5" s="28" t="str">
        <f>IFERROR(__xludf.DUMMYFUNCTION("""COMPUTED_VALUE"""),"")</f>
        <v/>
      </c>
      <c r="EL5" s="28" t="str">
        <f>IFERROR(__xludf.DUMMYFUNCTION("""COMPUTED_VALUE"""),"")</f>
        <v/>
      </c>
      <c r="EM5" s="28" t="str">
        <f>IFERROR(__xludf.DUMMYFUNCTION("""COMPUTED_VALUE"""),"")</f>
        <v/>
      </c>
      <c r="EN5" s="28" t="str">
        <f>IFERROR(__xludf.DUMMYFUNCTION("""COMPUTED_VALUE"""),"")</f>
        <v/>
      </c>
      <c r="EO5" s="28" t="str">
        <f>IFERROR(__xludf.DUMMYFUNCTION("""COMPUTED_VALUE"""),"")</f>
        <v/>
      </c>
      <c r="EP5" s="28" t="str">
        <f>IFERROR(__xludf.DUMMYFUNCTION("""COMPUTED_VALUE"""),"")</f>
        <v/>
      </c>
      <c r="EQ5" s="28" t="str">
        <f>IFERROR(__xludf.DUMMYFUNCTION("""COMPUTED_VALUE"""),"")</f>
        <v/>
      </c>
      <c r="ER5" s="28" t="str">
        <f>IFERROR(__xludf.DUMMYFUNCTION("""COMPUTED_VALUE"""),"")</f>
        <v/>
      </c>
      <c r="ES5" s="28" t="str">
        <f>IFERROR(__xludf.DUMMYFUNCTION("""COMPUTED_VALUE"""),"")</f>
        <v/>
      </c>
      <c r="ET5" s="28" t="str">
        <f>IFERROR(__xludf.DUMMYFUNCTION("""COMPUTED_VALUE"""),"")</f>
        <v/>
      </c>
      <c r="EU5" s="28" t="str">
        <f>IFERROR(__xludf.DUMMYFUNCTION("""COMPUTED_VALUE"""),"")</f>
        <v/>
      </c>
      <c r="EV5" s="28" t="str">
        <f>IFERROR(__xludf.DUMMYFUNCTION("""COMPUTED_VALUE"""),"")</f>
        <v/>
      </c>
      <c r="EW5" s="28" t="str">
        <f>IFERROR(__xludf.DUMMYFUNCTION("""COMPUTED_VALUE"""),"")</f>
        <v/>
      </c>
      <c r="EX5" s="28" t="str">
        <f>IFERROR(__xludf.DUMMYFUNCTION("""COMPUTED_VALUE"""),"")</f>
        <v/>
      </c>
    </row>
    <row r="6" ht="15.75" customHeight="1">
      <c r="A6" s="15"/>
      <c r="B6" s="29">
        <f t="shared" ref="B6:C6" si="1">today()-2</f>
        <v>43661</v>
      </c>
      <c r="C6" s="30">
        <f t="shared" si="1"/>
        <v>43661</v>
      </c>
      <c r="D6" s="15"/>
      <c r="E6" s="31"/>
      <c r="F6" s="7"/>
      <c r="G6" s="7"/>
      <c r="H6" s="7"/>
      <c r="I6" s="7"/>
      <c r="J6" s="7"/>
      <c r="K6" s="7"/>
      <c r="L6" s="7"/>
      <c r="M6" s="7"/>
      <c r="N6" s="7"/>
      <c r="O6" s="7"/>
    </row>
    <row r="7" ht="15.75" customHeight="1">
      <c r="A7" s="7"/>
      <c r="B7" s="7"/>
      <c r="C7" s="7"/>
      <c r="D7" s="7"/>
      <c r="E7" s="7"/>
      <c r="F7" s="7"/>
      <c r="G7" s="7"/>
      <c r="H7" s="7"/>
      <c r="I7" s="7"/>
      <c r="J7" s="7"/>
      <c r="K7" s="7"/>
      <c r="L7" s="7"/>
      <c r="M7" s="7"/>
      <c r="N7" s="7"/>
      <c r="O7" s="7"/>
    </row>
    <row r="8" ht="15.75" customHeight="1">
      <c r="A8" s="7"/>
      <c r="B8" s="7"/>
      <c r="C8" s="7"/>
      <c r="D8" s="7"/>
      <c r="E8" s="7"/>
      <c r="F8" s="7"/>
      <c r="G8" s="7"/>
      <c r="H8" s="7"/>
      <c r="I8" s="7"/>
      <c r="J8" s="7"/>
      <c r="K8" s="7"/>
      <c r="L8" s="7"/>
      <c r="M8" s="7"/>
      <c r="N8" s="7"/>
      <c r="O8" s="7"/>
    </row>
    <row r="9" ht="15.75" customHeight="1">
      <c r="A9" s="7"/>
      <c r="B9" s="7"/>
      <c r="C9" s="7"/>
      <c r="D9" s="7"/>
      <c r="E9" s="7"/>
      <c r="F9" s="7"/>
      <c r="G9" s="7"/>
      <c r="H9" s="7"/>
      <c r="I9" s="7"/>
      <c r="J9" s="7"/>
      <c r="K9" s="7"/>
      <c r="L9" s="7"/>
      <c r="M9" s="7"/>
      <c r="N9" s="7"/>
      <c r="O9" s="7"/>
    </row>
    <row r="10" ht="15.75" customHeight="1">
      <c r="A10" s="7"/>
      <c r="B10" s="7"/>
      <c r="C10" s="7"/>
      <c r="D10" s="7"/>
      <c r="E10" s="7"/>
      <c r="F10" s="7"/>
      <c r="G10" s="7"/>
      <c r="H10" s="7"/>
      <c r="I10" s="7"/>
      <c r="J10" s="7"/>
      <c r="K10" s="7"/>
      <c r="L10" s="7"/>
      <c r="M10" s="7"/>
      <c r="N10" s="7"/>
      <c r="O10" s="7"/>
    </row>
    <row r="11" ht="15.75" customHeight="1">
      <c r="A11" s="7"/>
      <c r="B11" s="7"/>
      <c r="C11" s="7"/>
      <c r="D11" s="7"/>
      <c r="E11" s="7"/>
      <c r="F11" s="7"/>
      <c r="G11" s="7"/>
      <c r="H11" s="7"/>
      <c r="I11" s="7"/>
      <c r="J11" s="7"/>
      <c r="K11" s="7"/>
      <c r="L11" s="7"/>
      <c r="M11" s="7"/>
      <c r="N11" s="7"/>
      <c r="O11" s="7"/>
    </row>
    <row r="12" ht="15.75" customHeight="1">
      <c r="A12" s="7"/>
      <c r="B12" s="7"/>
      <c r="C12" s="7"/>
      <c r="D12" s="7"/>
      <c r="E12" s="7"/>
      <c r="F12" s="7"/>
      <c r="G12" s="7"/>
      <c r="H12" s="7"/>
      <c r="I12" s="7"/>
      <c r="J12" s="7"/>
      <c r="K12" s="7"/>
      <c r="L12" s="7"/>
      <c r="M12" s="7"/>
      <c r="N12" s="7"/>
      <c r="O12" s="7"/>
    </row>
    <row r="13" ht="15.75" customHeight="1">
      <c r="A13" s="7"/>
      <c r="B13" s="7"/>
      <c r="C13" s="7"/>
      <c r="D13" s="7"/>
      <c r="E13" s="7"/>
      <c r="F13" s="7"/>
      <c r="G13" s="7"/>
      <c r="H13" s="7"/>
      <c r="I13" s="7"/>
      <c r="J13" s="7"/>
      <c r="K13" s="7"/>
      <c r="L13" s="7"/>
      <c r="M13" s="7"/>
      <c r="N13" s="7"/>
      <c r="O13" s="7"/>
    </row>
    <row r="14" ht="15.75" customHeight="1">
      <c r="A14" s="7"/>
      <c r="B14" s="7"/>
      <c r="C14" s="7"/>
      <c r="D14" s="7"/>
      <c r="E14" s="7"/>
      <c r="F14" s="7"/>
      <c r="G14" s="7"/>
      <c r="H14" s="7"/>
      <c r="I14" s="7"/>
      <c r="J14" s="7"/>
      <c r="K14" s="7"/>
      <c r="L14" s="7"/>
      <c r="M14" s="7"/>
      <c r="N14" s="7"/>
      <c r="O14" s="7"/>
    </row>
    <row r="15" ht="15.75" customHeight="1">
      <c r="A15" s="7"/>
      <c r="B15" s="7"/>
      <c r="C15" s="7"/>
      <c r="D15" s="7"/>
      <c r="E15" s="7"/>
      <c r="F15" s="7"/>
      <c r="G15" s="7"/>
      <c r="H15" s="7"/>
      <c r="I15" s="7"/>
      <c r="J15" s="7"/>
      <c r="K15" s="7"/>
      <c r="L15" s="7"/>
      <c r="M15" s="7"/>
      <c r="N15" s="7"/>
      <c r="O15" s="7"/>
    </row>
    <row r="16" ht="15.75" customHeight="1">
      <c r="A16" s="7"/>
      <c r="B16" s="7"/>
      <c r="C16" s="7"/>
      <c r="D16" s="7"/>
      <c r="E16" s="7"/>
      <c r="F16" s="7"/>
      <c r="G16" s="7"/>
      <c r="H16" s="7"/>
      <c r="I16" s="7"/>
      <c r="J16" s="7"/>
      <c r="K16" s="7"/>
      <c r="L16" s="7"/>
      <c r="M16" s="7"/>
      <c r="N16" s="7"/>
      <c r="O16" s="7"/>
    </row>
    <row r="17" ht="15.75" customHeight="1">
      <c r="A17" s="7"/>
      <c r="B17" s="7"/>
      <c r="C17" s="7"/>
      <c r="D17" s="7"/>
      <c r="E17" s="7"/>
      <c r="F17" s="7"/>
      <c r="G17" s="7"/>
      <c r="H17" s="7"/>
      <c r="I17" s="7"/>
      <c r="J17" s="7"/>
      <c r="K17" s="7"/>
      <c r="L17" s="7"/>
      <c r="M17" s="7"/>
      <c r="N17" s="7"/>
      <c r="O17" s="7"/>
    </row>
    <row r="18" ht="15.75" customHeight="1">
      <c r="A18" s="7"/>
      <c r="B18" s="7"/>
      <c r="C18" s="7"/>
      <c r="D18" s="7"/>
      <c r="E18" s="7"/>
      <c r="F18" s="7"/>
      <c r="G18" s="7"/>
      <c r="H18" s="7"/>
      <c r="I18" s="7"/>
      <c r="J18" s="7"/>
      <c r="K18" s="7"/>
      <c r="L18" s="7"/>
      <c r="M18" s="7"/>
      <c r="N18" s="7"/>
      <c r="O18" s="7"/>
    </row>
    <row r="19" ht="15.75" customHeight="1">
      <c r="A19" s="7"/>
      <c r="B19" s="7"/>
      <c r="C19" s="7"/>
      <c r="D19" s="7"/>
      <c r="E19" s="7"/>
      <c r="F19" s="7"/>
      <c r="G19" s="7"/>
      <c r="H19" s="7"/>
      <c r="I19" s="7"/>
      <c r="J19" s="7"/>
      <c r="K19" s="7"/>
      <c r="L19" s="7"/>
      <c r="M19" s="7"/>
      <c r="N19" s="7"/>
      <c r="O19" s="7"/>
    </row>
    <row r="20" ht="15.75" customHeight="1">
      <c r="A20" s="7"/>
      <c r="B20" s="7"/>
      <c r="C20" s="7"/>
      <c r="D20" s="7"/>
      <c r="E20" s="7"/>
      <c r="F20" s="7"/>
      <c r="G20" s="7"/>
      <c r="H20" s="7"/>
      <c r="I20" s="7"/>
      <c r="J20" s="7"/>
      <c r="K20" s="7"/>
      <c r="L20" s="7"/>
      <c r="M20" s="7"/>
      <c r="N20" s="7"/>
      <c r="O20" s="7"/>
    </row>
    <row r="21" ht="15.75" customHeight="1">
      <c r="A21" s="7"/>
      <c r="B21" s="7"/>
      <c r="C21" s="7"/>
      <c r="D21" s="7"/>
      <c r="E21" s="7"/>
      <c r="F21" s="7"/>
      <c r="G21" s="7"/>
      <c r="H21" s="7"/>
      <c r="I21" s="7"/>
      <c r="J21" s="7"/>
      <c r="K21" s="7"/>
      <c r="L21" s="7"/>
      <c r="M21" s="7"/>
      <c r="N21" s="7"/>
      <c r="O21" s="7"/>
    </row>
    <row r="22" ht="15.75" customHeight="1">
      <c r="A22" s="7"/>
      <c r="B22" s="7"/>
      <c r="C22" s="7"/>
      <c r="D22" s="7"/>
      <c r="E22" s="7"/>
      <c r="F22" s="7"/>
      <c r="G22" s="7"/>
      <c r="H22" s="7"/>
      <c r="I22" s="7"/>
      <c r="J22" s="7"/>
      <c r="K22" s="7"/>
      <c r="L22" s="7"/>
      <c r="M22" s="7"/>
      <c r="N22" s="7"/>
      <c r="O22" s="7"/>
    </row>
    <row r="23" ht="15.75" customHeight="1">
      <c r="A23" s="7"/>
      <c r="B23" s="7"/>
      <c r="C23" s="7"/>
      <c r="D23" s="7"/>
      <c r="E23" s="7"/>
      <c r="F23" s="7"/>
      <c r="G23" s="7"/>
      <c r="H23" s="7"/>
      <c r="I23" s="7"/>
      <c r="J23" s="7"/>
      <c r="K23" s="7"/>
      <c r="L23" s="7"/>
      <c r="M23" s="7"/>
      <c r="N23" s="7"/>
      <c r="O23" s="7"/>
    </row>
    <row r="24" ht="15.75" customHeight="1">
      <c r="A24" s="7"/>
      <c r="B24" s="7"/>
      <c r="C24" s="7"/>
      <c r="D24" s="7"/>
      <c r="E24" s="7"/>
      <c r="F24" s="7"/>
      <c r="G24" s="7"/>
      <c r="H24" s="7"/>
      <c r="I24" s="7"/>
      <c r="J24" s="7"/>
      <c r="K24" s="7"/>
      <c r="L24" s="7"/>
      <c r="M24" s="7"/>
      <c r="N24" s="7"/>
      <c r="O24" s="7"/>
    </row>
    <row r="25" ht="15.75" customHeight="1">
      <c r="A25" s="7"/>
      <c r="B25" s="7"/>
      <c r="C25" s="7"/>
      <c r="D25" s="7"/>
      <c r="E25" s="7"/>
      <c r="F25" s="7"/>
      <c r="G25" s="7"/>
      <c r="H25" s="7"/>
      <c r="I25" s="7"/>
      <c r="J25" s="7"/>
      <c r="K25" s="7"/>
      <c r="L25" s="7"/>
      <c r="M25" s="7"/>
      <c r="N25" s="7"/>
      <c r="O25" s="7"/>
    </row>
    <row r="26" ht="15.75" customHeight="1">
      <c r="A26" s="7"/>
      <c r="B26" s="7"/>
      <c r="C26" s="7"/>
      <c r="D26" s="7"/>
      <c r="E26" s="7"/>
      <c r="F26" s="7"/>
      <c r="G26" s="7"/>
      <c r="H26" s="7"/>
      <c r="I26" s="7"/>
      <c r="J26" s="7"/>
      <c r="K26" s="7"/>
      <c r="L26" s="7"/>
      <c r="M26" s="7"/>
      <c r="N26" s="7"/>
      <c r="O26" s="7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GetForexConversion!$4:$4</formula1>
    </dataValidation>
  </dataValidations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7"/>
      <c r="B1" s="2" t="s">
        <v>11</v>
      </c>
      <c r="C1" s="3"/>
      <c r="D1" s="3"/>
      <c r="E1" s="3"/>
      <c r="F1" s="3"/>
      <c r="G1" s="3"/>
      <c r="H1" s="5"/>
      <c r="I1" s="17"/>
      <c r="J1" s="17"/>
      <c r="K1" s="17"/>
      <c r="L1" s="17"/>
      <c r="M1" s="17"/>
      <c r="N1" s="17"/>
      <c r="O1" s="17"/>
      <c r="P1" s="18"/>
      <c r="Q1" s="18"/>
      <c r="R1" s="18"/>
      <c r="S1" s="18"/>
      <c r="T1" s="18"/>
      <c r="U1" s="18"/>
      <c r="V1" s="18"/>
      <c r="W1" s="18"/>
      <c r="X1" s="18"/>
      <c r="Y1" s="18"/>
      <c r="Z1" s="18"/>
      <c r="AA1" s="18"/>
      <c r="AB1" s="18"/>
      <c r="AC1" s="18"/>
      <c r="AD1" s="18"/>
      <c r="AE1" s="18"/>
      <c r="AF1" s="18"/>
      <c r="AG1" s="18"/>
      <c r="AH1" s="18"/>
      <c r="AI1" s="18"/>
      <c r="AJ1" s="18"/>
      <c r="AK1" s="18"/>
      <c r="AL1" s="18"/>
      <c r="AM1" s="18"/>
      <c r="AN1" s="18"/>
      <c r="AO1" s="18"/>
      <c r="AP1" s="18"/>
      <c r="AQ1" s="18"/>
      <c r="AR1" s="18"/>
      <c r="AS1" s="18"/>
      <c r="AT1" s="18"/>
      <c r="AU1" s="18"/>
      <c r="AV1" s="18"/>
      <c r="AW1" s="18"/>
      <c r="AX1" s="18"/>
      <c r="AY1" s="18"/>
      <c r="AZ1" s="18"/>
      <c r="BA1" s="18"/>
      <c r="BB1" s="18"/>
      <c r="BC1" s="18"/>
      <c r="BD1" s="18"/>
      <c r="BE1" s="18"/>
      <c r="BF1" s="18"/>
      <c r="BG1" s="18"/>
      <c r="BH1" s="18"/>
      <c r="BI1" s="18"/>
      <c r="BJ1" s="18"/>
      <c r="BK1" s="18"/>
      <c r="BL1" s="18"/>
      <c r="BM1" s="18"/>
      <c r="BN1" s="18"/>
      <c r="BO1" s="18"/>
      <c r="BP1" s="18"/>
      <c r="BQ1" s="18"/>
      <c r="BR1" s="18"/>
      <c r="BS1" s="18"/>
      <c r="BT1" s="18"/>
      <c r="BU1" s="18"/>
      <c r="BV1" s="18"/>
      <c r="BW1" s="18"/>
      <c r="BX1" s="18"/>
      <c r="BY1" s="18"/>
      <c r="BZ1" s="18"/>
      <c r="CA1" s="18"/>
      <c r="CB1" s="18"/>
      <c r="CC1" s="18"/>
      <c r="CD1" s="18"/>
      <c r="CE1" s="18"/>
      <c r="CF1" s="18"/>
      <c r="CG1" s="18"/>
      <c r="CH1" s="18"/>
      <c r="CI1" s="18"/>
      <c r="CJ1" s="18"/>
      <c r="CK1" s="18"/>
      <c r="CL1" s="18"/>
      <c r="CM1" s="18"/>
      <c r="CN1" s="18"/>
      <c r="CO1" s="18"/>
      <c r="CP1" s="18"/>
      <c r="CQ1" s="18"/>
      <c r="CR1" s="18"/>
      <c r="CS1" s="18"/>
      <c r="CT1" s="18"/>
      <c r="CU1" s="18"/>
      <c r="CV1" s="18"/>
      <c r="CW1" s="18"/>
      <c r="CX1" s="18"/>
      <c r="CY1" s="18"/>
      <c r="CZ1" s="18"/>
      <c r="DA1" s="18"/>
      <c r="DB1" s="18"/>
      <c r="DC1" s="18"/>
      <c r="DD1" s="18"/>
      <c r="DE1" s="18"/>
      <c r="DF1" s="18"/>
      <c r="DG1" s="18"/>
      <c r="DH1" s="18"/>
      <c r="DI1" s="18"/>
      <c r="DJ1" s="18"/>
      <c r="DK1" s="18"/>
      <c r="DL1" s="18"/>
      <c r="DM1" s="18"/>
      <c r="DN1" s="18"/>
      <c r="DO1" s="18"/>
      <c r="DP1" s="18"/>
      <c r="DQ1" s="18"/>
      <c r="DR1" s="18"/>
      <c r="DS1" s="18"/>
      <c r="DT1" s="18"/>
      <c r="DU1" s="18"/>
      <c r="DV1" s="18"/>
      <c r="DW1" s="18"/>
      <c r="DX1" s="18"/>
      <c r="DY1" s="18"/>
      <c r="DZ1" s="18"/>
      <c r="EA1" s="18"/>
      <c r="EB1" s="18"/>
      <c r="EC1" s="18"/>
      <c r="ED1" s="18"/>
      <c r="EE1" s="18"/>
      <c r="EF1" s="18"/>
      <c r="EG1" s="18"/>
      <c r="EH1" s="18"/>
      <c r="EI1" s="18"/>
      <c r="EJ1" s="18"/>
      <c r="EK1" s="18"/>
      <c r="EL1" s="18"/>
      <c r="EM1" s="18"/>
      <c r="EN1" s="18"/>
      <c r="EO1" s="18"/>
      <c r="EP1" s="18"/>
      <c r="EQ1" s="18"/>
      <c r="ER1" s="18"/>
      <c r="ES1" s="18"/>
      <c r="ET1" s="18"/>
      <c r="EU1" s="18"/>
      <c r="EV1" s="18"/>
      <c r="EW1" s="18"/>
      <c r="EX1" s="18"/>
    </row>
    <row r="2" ht="15.75" customHeight="1">
      <c r="A2" s="7"/>
      <c r="B2" s="7"/>
      <c r="C2" s="7"/>
      <c r="D2" s="7"/>
      <c r="E2" s="7"/>
      <c r="F2" s="7"/>
      <c r="G2" s="7"/>
      <c r="H2" s="7"/>
      <c r="I2" s="7"/>
      <c r="J2" s="19" t="str">
        <f> VLOOKUP($E$3,'_MasterData'!B4:D1000,3,FALSE)</f>
        <v>#N/A</v>
      </c>
      <c r="K2" s="19"/>
      <c r="L2" s="7"/>
      <c r="M2" s="7"/>
      <c r="N2" s="7"/>
      <c r="O2" s="7"/>
    </row>
    <row r="3" ht="15.75" customHeight="1">
      <c r="A3" s="20"/>
      <c r="B3" s="9" t="s">
        <v>3</v>
      </c>
      <c r="C3" s="21" t="s">
        <v>12</v>
      </c>
      <c r="D3" s="9" t="s">
        <v>6</v>
      </c>
      <c r="E3" s="21" t="s">
        <v>28</v>
      </c>
      <c r="F3" s="9" t="s">
        <v>15</v>
      </c>
      <c r="G3" s="16" t="s">
        <v>17</v>
      </c>
      <c r="H3" s="9"/>
      <c r="I3" s="20"/>
      <c r="J3" s="20"/>
      <c r="K3" s="20"/>
      <c r="L3" s="20"/>
      <c r="M3" s="20"/>
      <c r="N3" s="20"/>
      <c r="O3" s="20"/>
      <c r="P3" s="22"/>
      <c r="Q3" s="22"/>
      <c r="R3" s="22"/>
      <c r="S3" s="22"/>
      <c r="T3" s="22"/>
      <c r="U3" s="22"/>
      <c r="V3" s="22"/>
      <c r="W3" s="22"/>
      <c r="X3" s="22"/>
      <c r="Y3" s="22"/>
      <c r="Z3" s="22"/>
      <c r="AA3" s="22"/>
      <c r="AB3" s="22"/>
      <c r="AC3" s="22"/>
      <c r="AD3" s="22"/>
      <c r="AE3" s="22"/>
      <c r="AF3" s="22"/>
      <c r="AG3" s="22"/>
      <c r="AH3" s="22"/>
      <c r="AI3" s="22"/>
      <c r="AJ3" s="22"/>
      <c r="AK3" s="22"/>
      <c r="AL3" s="22"/>
      <c r="AM3" s="22"/>
      <c r="AN3" s="22"/>
      <c r="AO3" s="22"/>
      <c r="AP3" s="22"/>
      <c r="AQ3" s="22"/>
      <c r="AR3" s="22"/>
      <c r="AS3" s="22"/>
      <c r="AT3" s="22"/>
      <c r="AU3" s="22"/>
      <c r="AV3" s="22"/>
      <c r="AW3" s="22"/>
      <c r="AX3" s="22"/>
      <c r="AY3" s="22"/>
      <c r="AZ3" s="22"/>
      <c r="BA3" s="22"/>
      <c r="BB3" s="22"/>
      <c r="BC3" s="22"/>
      <c r="BD3" s="22"/>
      <c r="BE3" s="22"/>
      <c r="BF3" s="22"/>
      <c r="BG3" s="22"/>
      <c r="BH3" s="22"/>
      <c r="BI3" s="22"/>
      <c r="BJ3" s="22"/>
      <c r="BK3" s="22"/>
      <c r="BL3" s="22"/>
      <c r="BM3" s="22"/>
      <c r="BN3" s="22"/>
      <c r="BO3" s="22"/>
      <c r="BP3" s="22"/>
      <c r="BQ3" s="22"/>
      <c r="BR3" s="22"/>
      <c r="BS3" s="22"/>
      <c r="BT3" s="22"/>
      <c r="BU3" s="22"/>
      <c r="BV3" s="22"/>
      <c r="BW3" s="22"/>
      <c r="BX3" s="22"/>
      <c r="BY3" s="22"/>
      <c r="BZ3" s="22"/>
      <c r="CA3" s="22"/>
      <c r="CB3" s="22"/>
      <c r="CC3" s="22"/>
      <c r="CD3" s="22"/>
      <c r="CE3" s="22"/>
      <c r="CF3" s="22"/>
      <c r="CG3" s="22"/>
      <c r="CH3" s="22"/>
      <c r="CI3" s="22"/>
      <c r="CJ3" s="22"/>
      <c r="CK3" s="22"/>
      <c r="CL3" s="22"/>
      <c r="CM3" s="22"/>
      <c r="CN3" s="22"/>
      <c r="CO3" s="22"/>
      <c r="CP3" s="22"/>
      <c r="CQ3" s="22"/>
      <c r="CR3" s="22"/>
      <c r="CS3" s="22"/>
      <c r="CT3" s="22"/>
      <c r="CU3" s="22"/>
      <c r="CV3" s="22"/>
      <c r="CW3" s="22"/>
      <c r="CX3" s="22"/>
      <c r="CY3" s="22"/>
      <c r="CZ3" s="22"/>
      <c r="DA3" s="22"/>
      <c r="DB3" s="22"/>
      <c r="DC3" s="22"/>
      <c r="DD3" s="22"/>
      <c r="DE3" s="22"/>
      <c r="DF3" s="22"/>
      <c r="DG3" s="22"/>
      <c r="DH3" s="22"/>
      <c r="DI3" s="22"/>
      <c r="DJ3" s="22"/>
      <c r="DK3" s="22"/>
      <c r="DL3" s="22"/>
      <c r="DM3" s="22"/>
      <c r="DN3" s="22"/>
      <c r="DO3" s="22"/>
      <c r="DP3" s="22"/>
      <c r="DQ3" s="22"/>
      <c r="DR3" s="22"/>
      <c r="DS3" s="22"/>
      <c r="DT3" s="22"/>
      <c r="DU3" s="22"/>
      <c r="DV3" s="22"/>
      <c r="DW3" s="22"/>
      <c r="DX3" s="22"/>
      <c r="DY3" s="22"/>
      <c r="DZ3" s="22"/>
      <c r="EA3" s="22"/>
      <c r="EB3" s="22"/>
      <c r="EC3" s="22"/>
      <c r="ED3" s="22"/>
      <c r="EE3" s="22"/>
      <c r="EF3" s="22"/>
      <c r="EG3" s="22"/>
      <c r="EH3" s="22"/>
      <c r="EI3" s="22"/>
      <c r="EJ3" s="22"/>
      <c r="EK3" s="22"/>
      <c r="EL3" s="22"/>
      <c r="EM3" s="22"/>
      <c r="EN3" s="22"/>
      <c r="EO3" s="22"/>
      <c r="EP3" s="22"/>
      <c r="EQ3" s="22"/>
      <c r="ER3" s="22"/>
      <c r="ES3" s="22"/>
      <c r="ET3" s="22"/>
      <c r="EU3" s="22"/>
      <c r="EV3" s="22"/>
      <c r="EW3" s="22"/>
      <c r="EX3" s="22"/>
    </row>
    <row r="4" ht="15.75" customHeight="1">
      <c r="A4" s="23"/>
      <c r="B4" s="23" t="str">
        <f>IFERROR(__xludf.DUMMYFUNCTION("IF(C3="""","""",Transpose(IMPORTRANGE('_Settings'!$B$3,C3&amp;""!A4:A1000"")))"),"UpdateBeta")</f>
        <v>UpdateBeta</v>
      </c>
      <c r="C4" s="23" t="str">
        <f>IFERROR(__xludf.DUMMYFUNCTION("""COMPUTED_VALUE"""),"UpdateDailyCash")</f>
        <v>UpdateDailyCash</v>
      </c>
      <c r="D4" s="23" t="str">
        <f>IFERROR(__xludf.DUMMYFUNCTION("""COMPUTED_VALUE"""),"UpdateForexConversion")</f>
        <v>UpdateForexConversion</v>
      </c>
      <c r="E4" s="23" t="str">
        <f>IFERROR(__xludf.DUMMYFUNCTION("""COMPUTED_VALUE"""),"UpdateMarkPrice")</f>
        <v>UpdateMarkPrice</v>
      </c>
      <c r="F4" s="23" t="str">
        <f>IFERROR(__xludf.DUMMYFUNCTION("""COMPUTED_VALUE"""),"CleanUp")</f>
        <v>CleanUp</v>
      </c>
      <c r="G4" s="23" t="str">
        <f>IFERROR(__xludf.DUMMYFUNCTION("""COMPUTED_VALUE"""),"GetMarkPriceData")</f>
        <v>GetMarkPriceData</v>
      </c>
      <c r="H4" s="23" t="str">
        <f>IFERROR(__xludf.DUMMYFUNCTION("""COMPUTED_VALUE"""),"GetForwardPoints")</f>
        <v>GetForwardPoints</v>
      </c>
      <c r="I4" s="23" t="str">
        <f>IFERROR(__xludf.DUMMYFUNCTION("""COMPUTED_VALUE"""),"UpdateForwardPoints")</f>
        <v>UpdateForwardPoints</v>
      </c>
      <c r="J4" s="23" t="str">
        <f>IFERROR(__xludf.DUMMYFUNCTION("""COMPUTED_VALUE"""),"GetForexConversion")</f>
        <v>GetForexConversion</v>
      </c>
      <c r="K4" s="23" t="str">
        <f>IFERROR(__xludf.DUMMYFUNCTION("""COMPUTED_VALUE"""),"DeleteNAV")</f>
        <v>DeleteNAV</v>
      </c>
      <c r="L4" s="23" t="str">
        <f>IFERROR(__xludf.DUMMYFUNCTION("""COMPUTED_VALUE"""),"GetDailyCash")</f>
        <v>GetDailyCash</v>
      </c>
      <c r="M4" s="23" t="str">
        <f>IFERROR(__xludf.DUMMYFUNCTION("""COMPUTED_VALUE"""),"GetDailyBeta")</f>
        <v>GetDailyBeta</v>
      </c>
      <c r="N4" s="23" t="str">
        <f>IFERROR(__xludf.DUMMYFUNCTION("""COMPUTED_VALUE"""),"GetDailyVolatility")</f>
        <v>GetDailyVolatility</v>
      </c>
      <c r="O4" s="23" t="str">
        <f>IFERROR(__xludf.DUMMYFUNCTION("""COMPUTED_VALUE"""),"GetDailyDividendYield")</f>
        <v>GetDailyDividendYield</v>
      </c>
      <c r="P4" s="24" t="str">
        <f>IFERROR(__xludf.DUMMYFUNCTION("""COMPUTED_VALUE"""),"GetDailyTradingVolume")</f>
        <v>GetDailyTradingVolume</v>
      </c>
      <c r="Q4" s="24" t="str">
        <f>IFERROR(__xludf.DUMMYFUNCTION("""COMPUTED_VALUE"""),"GetDailyOutstandings")</f>
        <v>GetDailyOutstandings</v>
      </c>
      <c r="R4" s="24" t="str">
        <f>IFERROR(__xludf.DUMMYFUNCTION("""COMPUTED_VALUE"""),"GetDailyDelta")</f>
        <v>GetDailyDelta</v>
      </c>
      <c r="S4" s="24" t="str">
        <f>IFERROR(__xludf.DUMMYFUNCTION("""COMPUTED_VALUE"""),"UpdateDailyVolatility")</f>
        <v>UpdateDailyVolatility</v>
      </c>
      <c r="T4" s="24" t="str">
        <f>IFERROR(__xludf.DUMMYFUNCTION("""COMPUTED_VALUE"""),"UpdateDividendYield")</f>
        <v>UpdateDividendYield</v>
      </c>
      <c r="U4" s="24" t="str">
        <f>IFERROR(__xludf.DUMMYFUNCTION("""COMPUTED_VALUE"""),"UpdateTradingVolume")</f>
        <v>UpdateTradingVolume</v>
      </c>
      <c r="V4" s="24" t="str">
        <f>IFERROR(__xludf.DUMMYFUNCTION("""COMPUTED_VALUE"""),"UpdateDailyDelta")</f>
        <v>UpdateDailyDelta</v>
      </c>
      <c r="W4" s="24" t="str">
        <f>IFERROR(__xludf.DUMMYFUNCTION("""COMPUTED_VALUE"""),"UpdateDailyOutstandings")</f>
        <v>UpdateDailyOutstandings</v>
      </c>
      <c r="X4" s="24" t="str">
        <f>IFERROR(__xludf.DUMMYFUNCTION("""COMPUTED_VALUE"""),"UpdateBeta")</f>
        <v>UpdateBeta</v>
      </c>
      <c r="Y4" s="24" t="str">
        <f>IFERROR(__xludf.DUMMYFUNCTION("""COMPUTED_VALUE"""),"UpdateNAV")</f>
        <v>UpdateNAV</v>
      </c>
      <c r="Z4" s="24" t="str">
        <f>IFERROR(__xludf.DUMMYFUNCTION("""COMPUTED_VALUE"""),"UpdateDailyCash")</f>
        <v>UpdateDailyCash</v>
      </c>
      <c r="AA4" s="24" t="str">
        <f>IFERROR(__xludf.DUMMYFUNCTION("""COMPUTED_VALUE"""),"UpdateDailyCreditLimt")</f>
        <v>UpdateDailyCreditLimt</v>
      </c>
      <c r="AB4" s="24" t="str">
        <f>IFERROR(__xludf.DUMMYFUNCTION("""COMPUTED_VALUE"""),"RemoveDailyCreditLimit")</f>
        <v>RemoveDailyCreditLimit</v>
      </c>
      <c r="AC4" s="24" t="str">
        <f>IFERROR(__xludf.DUMMYFUNCTION("""COMPUTED_VALUE"""),"RemoveDailyCash")</f>
        <v>RemoveDailyCash</v>
      </c>
      <c r="AD4" s="24" t="str">
        <f>IFERROR(__xludf.DUMMYFUNCTION("""COMPUTED_VALUE"""),"RemoveNAV")</f>
        <v>RemoveNAV</v>
      </c>
      <c r="AE4" s="24" t="str">
        <f>IFERROR(__xludf.DUMMYFUNCTION("""COMPUTED_VALUE"""),"UpdateForexConversionMonthly")</f>
        <v>UpdateForexConversionMonthly</v>
      </c>
      <c r="AF4" s="24" t="str">
        <f>IFERROR(__xludf.DUMMYFUNCTION("""COMPUTED_VALUE"""),"UpdateMarkPriceMonthly")</f>
        <v>UpdateMarkPriceMonthly</v>
      </c>
      <c r="AG4" s="24" t="str">
        <f>IFERROR(__xludf.DUMMYFUNCTION("""COMPUTED_VALUE"""),"")</f>
        <v/>
      </c>
      <c r="AH4" s="24" t="str">
        <f>IFERROR(__xludf.DUMMYFUNCTION("""COMPUTED_VALUE"""),"")</f>
        <v/>
      </c>
      <c r="AI4" s="24" t="str">
        <f>IFERROR(__xludf.DUMMYFUNCTION("""COMPUTED_VALUE"""),"")</f>
        <v/>
      </c>
      <c r="AJ4" s="24" t="str">
        <f>IFERROR(__xludf.DUMMYFUNCTION("""COMPUTED_VALUE"""),"")</f>
        <v/>
      </c>
      <c r="AK4" s="24" t="str">
        <f>IFERROR(__xludf.DUMMYFUNCTION("""COMPUTED_VALUE"""),"")</f>
        <v/>
      </c>
      <c r="AL4" s="24" t="str">
        <f>IFERROR(__xludf.DUMMYFUNCTION("""COMPUTED_VALUE"""),"")</f>
        <v/>
      </c>
      <c r="AM4" s="24" t="str">
        <f>IFERROR(__xludf.DUMMYFUNCTION("""COMPUTED_VALUE"""),"")</f>
        <v/>
      </c>
      <c r="AN4" s="24" t="str">
        <f>IFERROR(__xludf.DUMMYFUNCTION("""COMPUTED_VALUE"""),"")</f>
        <v/>
      </c>
      <c r="AO4" s="24" t="str">
        <f>IFERROR(__xludf.DUMMYFUNCTION("""COMPUTED_VALUE"""),"")</f>
        <v/>
      </c>
      <c r="AP4" s="24" t="str">
        <f>IFERROR(__xludf.DUMMYFUNCTION("""COMPUTED_VALUE"""),"")</f>
        <v/>
      </c>
      <c r="AQ4" s="24" t="str">
        <f>IFERROR(__xludf.DUMMYFUNCTION("""COMPUTED_VALUE"""),"")</f>
        <v/>
      </c>
      <c r="AR4" s="24" t="str">
        <f>IFERROR(__xludf.DUMMYFUNCTION("""COMPUTED_VALUE"""),"")</f>
        <v/>
      </c>
      <c r="AS4" s="24" t="str">
        <f>IFERROR(__xludf.DUMMYFUNCTION("""COMPUTED_VALUE"""),"")</f>
        <v/>
      </c>
      <c r="AT4" s="24" t="str">
        <f>IFERROR(__xludf.DUMMYFUNCTION("""COMPUTED_VALUE"""),"")</f>
        <v/>
      </c>
      <c r="AU4" s="24" t="str">
        <f>IFERROR(__xludf.DUMMYFUNCTION("""COMPUTED_VALUE"""),"")</f>
        <v/>
      </c>
      <c r="AV4" s="24" t="str">
        <f>IFERROR(__xludf.DUMMYFUNCTION("""COMPUTED_VALUE"""),"")</f>
        <v/>
      </c>
      <c r="AW4" s="24" t="str">
        <f>IFERROR(__xludf.DUMMYFUNCTION("""COMPUTED_VALUE"""),"")</f>
        <v/>
      </c>
      <c r="AX4" s="24" t="str">
        <f>IFERROR(__xludf.DUMMYFUNCTION("""COMPUTED_VALUE"""),"")</f>
        <v/>
      </c>
      <c r="AY4" s="24" t="str">
        <f>IFERROR(__xludf.DUMMYFUNCTION("""COMPUTED_VALUE"""),"")</f>
        <v/>
      </c>
      <c r="AZ4" s="24" t="str">
        <f>IFERROR(__xludf.DUMMYFUNCTION("""COMPUTED_VALUE"""),"")</f>
        <v/>
      </c>
      <c r="BA4" s="24" t="str">
        <f>IFERROR(__xludf.DUMMYFUNCTION("""COMPUTED_VALUE"""),"")</f>
        <v/>
      </c>
      <c r="BB4" s="24" t="str">
        <f>IFERROR(__xludf.DUMMYFUNCTION("""COMPUTED_VALUE"""),"")</f>
        <v/>
      </c>
      <c r="BC4" s="24" t="str">
        <f>IFERROR(__xludf.DUMMYFUNCTION("""COMPUTED_VALUE"""),"")</f>
        <v/>
      </c>
      <c r="BD4" s="24" t="str">
        <f>IFERROR(__xludf.DUMMYFUNCTION("""COMPUTED_VALUE"""),"")</f>
        <v/>
      </c>
      <c r="BE4" s="24" t="str">
        <f>IFERROR(__xludf.DUMMYFUNCTION("""COMPUTED_VALUE"""),"")</f>
        <v/>
      </c>
      <c r="BF4" s="24" t="str">
        <f>IFERROR(__xludf.DUMMYFUNCTION("""COMPUTED_VALUE"""),"")</f>
        <v/>
      </c>
      <c r="BG4" s="24" t="str">
        <f>IFERROR(__xludf.DUMMYFUNCTION("""COMPUTED_VALUE"""),"")</f>
        <v/>
      </c>
      <c r="BH4" s="24" t="str">
        <f>IFERROR(__xludf.DUMMYFUNCTION("""COMPUTED_VALUE"""),"")</f>
        <v/>
      </c>
      <c r="BI4" s="24" t="str">
        <f>IFERROR(__xludf.DUMMYFUNCTION("""COMPUTED_VALUE"""),"")</f>
        <v/>
      </c>
      <c r="BJ4" s="24" t="str">
        <f>IFERROR(__xludf.DUMMYFUNCTION("""COMPUTED_VALUE"""),"")</f>
        <v/>
      </c>
      <c r="BK4" s="24" t="str">
        <f>IFERROR(__xludf.DUMMYFUNCTION("""COMPUTED_VALUE"""),"")</f>
        <v/>
      </c>
      <c r="BL4" s="24" t="str">
        <f>IFERROR(__xludf.DUMMYFUNCTION("""COMPUTED_VALUE"""),"")</f>
        <v/>
      </c>
      <c r="BM4" s="24" t="str">
        <f>IFERROR(__xludf.DUMMYFUNCTION("""COMPUTED_VALUE"""),"")</f>
        <v/>
      </c>
      <c r="BN4" s="24" t="str">
        <f>IFERROR(__xludf.DUMMYFUNCTION("""COMPUTED_VALUE"""),"")</f>
        <v/>
      </c>
      <c r="BO4" s="24" t="str">
        <f>IFERROR(__xludf.DUMMYFUNCTION("""COMPUTED_VALUE"""),"")</f>
        <v/>
      </c>
      <c r="BP4" s="24" t="str">
        <f>IFERROR(__xludf.DUMMYFUNCTION("""COMPUTED_VALUE"""),"")</f>
        <v/>
      </c>
      <c r="BQ4" s="24" t="str">
        <f>IFERROR(__xludf.DUMMYFUNCTION("""COMPUTED_VALUE"""),"")</f>
        <v/>
      </c>
      <c r="BR4" s="24" t="str">
        <f>IFERROR(__xludf.DUMMYFUNCTION("""COMPUTED_VALUE"""),"")</f>
        <v/>
      </c>
      <c r="BS4" s="24" t="str">
        <f>IFERROR(__xludf.DUMMYFUNCTION("""COMPUTED_VALUE"""),"")</f>
        <v/>
      </c>
      <c r="BT4" s="24" t="str">
        <f>IFERROR(__xludf.DUMMYFUNCTION("""COMPUTED_VALUE"""),"")</f>
        <v/>
      </c>
      <c r="BU4" s="24" t="str">
        <f>IFERROR(__xludf.DUMMYFUNCTION("""COMPUTED_VALUE"""),"")</f>
        <v/>
      </c>
      <c r="BV4" s="24" t="str">
        <f>IFERROR(__xludf.DUMMYFUNCTION("""COMPUTED_VALUE"""),"")</f>
        <v/>
      </c>
      <c r="BW4" s="24" t="str">
        <f>IFERROR(__xludf.DUMMYFUNCTION("""COMPUTED_VALUE"""),"")</f>
        <v/>
      </c>
      <c r="BX4" s="24" t="str">
        <f>IFERROR(__xludf.DUMMYFUNCTION("""COMPUTED_VALUE"""),"")</f>
        <v/>
      </c>
      <c r="BY4" s="24" t="str">
        <f>IFERROR(__xludf.DUMMYFUNCTION("""COMPUTED_VALUE"""),"")</f>
        <v/>
      </c>
      <c r="BZ4" s="24" t="str">
        <f>IFERROR(__xludf.DUMMYFUNCTION("""COMPUTED_VALUE"""),"")</f>
        <v/>
      </c>
      <c r="CA4" s="24" t="str">
        <f>IFERROR(__xludf.DUMMYFUNCTION("""COMPUTED_VALUE"""),"")</f>
        <v/>
      </c>
      <c r="CB4" s="24" t="str">
        <f>IFERROR(__xludf.DUMMYFUNCTION("""COMPUTED_VALUE"""),"")</f>
        <v/>
      </c>
      <c r="CC4" s="24" t="str">
        <f>IFERROR(__xludf.DUMMYFUNCTION("""COMPUTED_VALUE"""),"")</f>
        <v/>
      </c>
      <c r="CD4" s="24" t="str">
        <f>IFERROR(__xludf.DUMMYFUNCTION("""COMPUTED_VALUE"""),"")</f>
        <v/>
      </c>
      <c r="CE4" s="24" t="str">
        <f>IFERROR(__xludf.DUMMYFUNCTION("""COMPUTED_VALUE"""),"")</f>
        <v/>
      </c>
      <c r="CF4" s="24" t="str">
        <f>IFERROR(__xludf.DUMMYFUNCTION("""COMPUTED_VALUE"""),"")</f>
        <v/>
      </c>
      <c r="CG4" s="24" t="str">
        <f>IFERROR(__xludf.DUMMYFUNCTION("""COMPUTED_VALUE"""),"")</f>
        <v/>
      </c>
      <c r="CH4" s="24" t="str">
        <f>IFERROR(__xludf.DUMMYFUNCTION("""COMPUTED_VALUE"""),"")</f>
        <v/>
      </c>
      <c r="CI4" s="24" t="str">
        <f>IFERROR(__xludf.DUMMYFUNCTION("""COMPUTED_VALUE"""),"")</f>
        <v/>
      </c>
      <c r="CJ4" s="24" t="str">
        <f>IFERROR(__xludf.DUMMYFUNCTION("""COMPUTED_VALUE"""),"")</f>
        <v/>
      </c>
      <c r="CK4" s="24" t="str">
        <f>IFERROR(__xludf.DUMMYFUNCTION("""COMPUTED_VALUE"""),"")</f>
        <v/>
      </c>
      <c r="CL4" s="24" t="str">
        <f>IFERROR(__xludf.DUMMYFUNCTION("""COMPUTED_VALUE"""),"")</f>
        <v/>
      </c>
      <c r="CM4" s="24" t="str">
        <f>IFERROR(__xludf.DUMMYFUNCTION("""COMPUTED_VALUE"""),"")</f>
        <v/>
      </c>
      <c r="CN4" s="24" t="str">
        <f>IFERROR(__xludf.DUMMYFUNCTION("""COMPUTED_VALUE"""),"")</f>
        <v/>
      </c>
      <c r="CO4" s="24" t="str">
        <f>IFERROR(__xludf.DUMMYFUNCTION("""COMPUTED_VALUE"""),"")</f>
        <v/>
      </c>
      <c r="CP4" s="24" t="str">
        <f>IFERROR(__xludf.DUMMYFUNCTION("""COMPUTED_VALUE"""),"")</f>
        <v/>
      </c>
      <c r="CQ4" s="24" t="str">
        <f>IFERROR(__xludf.DUMMYFUNCTION("""COMPUTED_VALUE"""),"")</f>
        <v/>
      </c>
      <c r="CR4" s="24" t="str">
        <f>IFERROR(__xludf.DUMMYFUNCTION("""COMPUTED_VALUE"""),"")</f>
        <v/>
      </c>
      <c r="CS4" s="24" t="str">
        <f>IFERROR(__xludf.DUMMYFUNCTION("""COMPUTED_VALUE"""),"")</f>
        <v/>
      </c>
      <c r="CT4" s="24" t="str">
        <f>IFERROR(__xludf.DUMMYFUNCTION("""COMPUTED_VALUE"""),"")</f>
        <v/>
      </c>
      <c r="CU4" s="24" t="str">
        <f>IFERROR(__xludf.DUMMYFUNCTION("""COMPUTED_VALUE"""),"")</f>
        <v/>
      </c>
      <c r="CV4" s="24" t="str">
        <f>IFERROR(__xludf.DUMMYFUNCTION("""COMPUTED_VALUE"""),"")</f>
        <v/>
      </c>
      <c r="CW4" s="24" t="str">
        <f>IFERROR(__xludf.DUMMYFUNCTION("""COMPUTED_VALUE"""),"")</f>
        <v/>
      </c>
      <c r="CX4" s="24" t="str">
        <f>IFERROR(__xludf.DUMMYFUNCTION("""COMPUTED_VALUE"""),"")</f>
        <v/>
      </c>
      <c r="CY4" s="24" t="str">
        <f>IFERROR(__xludf.DUMMYFUNCTION("""COMPUTED_VALUE"""),"")</f>
        <v/>
      </c>
      <c r="CZ4" s="24" t="str">
        <f>IFERROR(__xludf.DUMMYFUNCTION("""COMPUTED_VALUE"""),"")</f>
        <v/>
      </c>
      <c r="DA4" s="24" t="str">
        <f>IFERROR(__xludf.DUMMYFUNCTION("""COMPUTED_VALUE"""),"")</f>
        <v/>
      </c>
      <c r="DB4" s="24" t="str">
        <f>IFERROR(__xludf.DUMMYFUNCTION("""COMPUTED_VALUE"""),"")</f>
        <v/>
      </c>
      <c r="DC4" s="24" t="str">
        <f>IFERROR(__xludf.DUMMYFUNCTION("""COMPUTED_VALUE"""),"")</f>
        <v/>
      </c>
      <c r="DD4" s="24" t="str">
        <f>IFERROR(__xludf.DUMMYFUNCTION("""COMPUTED_VALUE"""),"")</f>
        <v/>
      </c>
      <c r="DE4" s="24" t="str">
        <f>IFERROR(__xludf.DUMMYFUNCTION("""COMPUTED_VALUE"""),"")</f>
        <v/>
      </c>
      <c r="DF4" s="24" t="str">
        <f>IFERROR(__xludf.DUMMYFUNCTION("""COMPUTED_VALUE"""),"")</f>
        <v/>
      </c>
      <c r="DG4" s="24" t="str">
        <f>IFERROR(__xludf.DUMMYFUNCTION("""COMPUTED_VALUE"""),"")</f>
        <v/>
      </c>
      <c r="DH4" s="24" t="str">
        <f>IFERROR(__xludf.DUMMYFUNCTION("""COMPUTED_VALUE"""),"")</f>
        <v/>
      </c>
      <c r="DI4" s="24" t="str">
        <f>IFERROR(__xludf.DUMMYFUNCTION("""COMPUTED_VALUE"""),"")</f>
        <v/>
      </c>
      <c r="DJ4" s="24" t="str">
        <f>IFERROR(__xludf.DUMMYFUNCTION("""COMPUTED_VALUE"""),"")</f>
        <v/>
      </c>
      <c r="DK4" s="24" t="str">
        <f>IFERROR(__xludf.DUMMYFUNCTION("""COMPUTED_VALUE"""),"")</f>
        <v/>
      </c>
      <c r="DL4" s="24" t="str">
        <f>IFERROR(__xludf.DUMMYFUNCTION("""COMPUTED_VALUE"""),"")</f>
        <v/>
      </c>
      <c r="DM4" s="24" t="str">
        <f>IFERROR(__xludf.DUMMYFUNCTION("""COMPUTED_VALUE"""),"")</f>
        <v/>
      </c>
      <c r="DN4" s="24" t="str">
        <f>IFERROR(__xludf.DUMMYFUNCTION("""COMPUTED_VALUE"""),"")</f>
        <v/>
      </c>
      <c r="DO4" s="24" t="str">
        <f>IFERROR(__xludf.DUMMYFUNCTION("""COMPUTED_VALUE"""),"")</f>
        <v/>
      </c>
      <c r="DP4" s="24" t="str">
        <f>IFERROR(__xludf.DUMMYFUNCTION("""COMPUTED_VALUE"""),"")</f>
        <v/>
      </c>
      <c r="DQ4" s="24" t="str">
        <f>IFERROR(__xludf.DUMMYFUNCTION("""COMPUTED_VALUE"""),"")</f>
        <v/>
      </c>
      <c r="DR4" s="24" t="str">
        <f>IFERROR(__xludf.DUMMYFUNCTION("""COMPUTED_VALUE"""),"")</f>
        <v/>
      </c>
      <c r="DS4" s="24" t="str">
        <f>IFERROR(__xludf.DUMMYFUNCTION("""COMPUTED_VALUE"""),"")</f>
        <v/>
      </c>
      <c r="DT4" s="24" t="str">
        <f>IFERROR(__xludf.DUMMYFUNCTION("""COMPUTED_VALUE"""),"")</f>
        <v/>
      </c>
      <c r="DU4" s="24" t="str">
        <f>IFERROR(__xludf.DUMMYFUNCTION("""COMPUTED_VALUE"""),"")</f>
        <v/>
      </c>
      <c r="DV4" s="24" t="str">
        <f>IFERROR(__xludf.DUMMYFUNCTION("""COMPUTED_VALUE"""),"")</f>
        <v/>
      </c>
      <c r="DW4" s="24" t="str">
        <f>IFERROR(__xludf.DUMMYFUNCTION("""COMPUTED_VALUE"""),"")</f>
        <v/>
      </c>
      <c r="DX4" s="24" t="str">
        <f>IFERROR(__xludf.DUMMYFUNCTION("""COMPUTED_VALUE"""),"")</f>
        <v/>
      </c>
      <c r="DY4" s="24" t="str">
        <f>IFERROR(__xludf.DUMMYFUNCTION("""COMPUTED_VALUE"""),"")</f>
        <v/>
      </c>
      <c r="DZ4" s="24" t="str">
        <f>IFERROR(__xludf.DUMMYFUNCTION("""COMPUTED_VALUE"""),"")</f>
        <v/>
      </c>
      <c r="EA4" s="24" t="str">
        <f>IFERROR(__xludf.DUMMYFUNCTION("""COMPUTED_VALUE"""),"")</f>
        <v/>
      </c>
      <c r="EB4" s="24" t="str">
        <f>IFERROR(__xludf.DUMMYFUNCTION("""COMPUTED_VALUE"""),"")</f>
        <v/>
      </c>
      <c r="EC4" s="24" t="str">
        <f>IFERROR(__xludf.DUMMYFUNCTION("""COMPUTED_VALUE"""),"")</f>
        <v/>
      </c>
      <c r="ED4" s="24" t="str">
        <f>IFERROR(__xludf.DUMMYFUNCTION("""COMPUTED_VALUE"""),"")</f>
        <v/>
      </c>
      <c r="EE4" s="24" t="str">
        <f>IFERROR(__xludf.DUMMYFUNCTION("""COMPUTED_VALUE"""),"")</f>
        <v/>
      </c>
      <c r="EF4" s="24" t="str">
        <f>IFERROR(__xludf.DUMMYFUNCTION("""COMPUTED_VALUE"""),"")</f>
        <v/>
      </c>
      <c r="EG4" s="24" t="str">
        <f>IFERROR(__xludf.DUMMYFUNCTION("""COMPUTED_VALUE"""),"")</f>
        <v/>
      </c>
      <c r="EH4" s="24" t="str">
        <f>IFERROR(__xludf.DUMMYFUNCTION("""COMPUTED_VALUE"""),"")</f>
        <v/>
      </c>
      <c r="EI4" s="24" t="str">
        <f>IFERROR(__xludf.DUMMYFUNCTION("""COMPUTED_VALUE"""),"")</f>
        <v/>
      </c>
      <c r="EJ4" s="24" t="str">
        <f>IFERROR(__xludf.DUMMYFUNCTION("""COMPUTED_VALUE"""),"")</f>
        <v/>
      </c>
      <c r="EK4" s="24" t="str">
        <f>IFERROR(__xludf.DUMMYFUNCTION("""COMPUTED_VALUE"""),"")</f>
        <v/>
      </c>
      <c r="EL4" s="24" t="str">
        <f>IFERROR(__xludf.DUMMYFUNCTION("""COMPUTED_VALUE"""),"")</f>
        <v/>
      </c>
      <c r="EM4" s="24" t="str">
        <f>IFERROR(__xludf.DUMMYFUNCTION("""COMPUTED_VALUE"""),"")</f>
        <v/>
      </c>
      <c r="EN4" s="24" t="str">
        <f>IFERROR(__xludf.DUMMYFUNCTION("""COMPUTED_VALUE"""),"")</f>
        <v/>
      </c>
      <c r="EO4" s="24" t="str">
        <f>IFERROR(__xludf.DUMMYFUNCTION("""COMPUTED_VALUE"""),"")</f>
        <v/>
      </c>
      <c r="EP4" s="24" t="str">
        <f>IFERROR(__xludf.DUMMYFUNCTION("""COMPUTED_VALUE"""),"")</f>
        <v/>
      </c>
      <c r="EQ4" s="24" t="str">
        <f>IFERROR(__xludf.DUMMYFUNCTION("""COMPUTED_VALUE"""),"")</f>
        <v/>
      </c>
      <c r="ER4" s="24" t="str">
        <f>IFERROR(__xludf.DUMMYFUNCTION("""COMPUTED_VALUE"""),"")</f>
        <v/>
      </c>
      <c r="ES4" s="24" t="str">
        <f>IFERROR(__xludf.DUMMYFUNCTION("""COMPUTED_VALUE"""),"")</f>
        <v/>
      </c>
      <c r="ET4" s="24" t="str">
        <f>IFERROR(__xludf.DUMMYFUNCTION("""COMPUTED_VALUE"""),"")</f>
        <v/>
      </c>
      <c r="EU4" s="24" t="str">
        <f>IFERROR(__xludf.DUMMYFUNCTION("""COMPUTED_VALUE"""),"")</f>
        <v/>
      </c>
      <c r="EV4" s="24" t="str">
        <f>IFERROR(__xludf.DUMMYFUNCTION("""COMPUTED_VALUE"""),"")</f>
        <v/>
      </c>
      <c r="EW4" s="24" t="str">
        <f>IFERROR(__xludf.DUMMYFUNCTION("""COMPUTED_VALUE"""),"")</f>
        <v/>
      </c>
      <c r="EX4" s="24" t="str">
        <f>IFERROR(__xludf.DUMMYFUNCTION("""COMPUTED_VALUE"""),"")</f>
        <v/>
      </c>
    </row>
    <row r="5" ht="15.75" customHeight="1">
      <c r="A5" s="25" t="str">
        <f>IFERROR(__xludf.DUMMYFUNCTION("TRANSPOSE(IMPORTRANGE(VLOOKUP($E$3,IMPORTRANGE('_Settings'!$B$3,$C$3&amp;""!A4:B1000""),2,FALSE),$G$3&amp;""!A4:A1000""))"),"")</f>
        <v/>
      </c>
      <c r="B5" s="26" t="str">
        <f>IFERROR(__xludf.DUMMYFUNCTION("""COMPUTED_VALUE"""),"From Currency")</f>
        <v>From Currency</v>
      </c>
      <c r="C5" s="26" t="str">
        <f>IFERROR(__xludf.DUMMYFUNCTION("""COMPUTED_VALUE"""),"To Currency")</f>
        <v>To Currency</v>
      </c>
      <c r="D5" s="26" t="str">
        <f>IFERROR(__xludf.DUMMYFUNCTION("""COMPUTED_VALUE"""),"Symbol")</f>
        <v>Symbol</v>
      </c>
      <c r="E5" s="26" t="str">
        <f>IFERROR(__xludf.DUMMYFUNCTION("""COMPUTED_VALUE"""),"Price")</f>
        <v>Price</v>
      </c>
      <c r="F5" s="27" t="str">
        <f>IFERROR(__xludf.DUMMYFUNCTION("""COMPUTED_VALUE"""),"")</f>
        <v/>
      </c>
      <c r="G5" s="26" t="str">
        <f>IFERROR(__xludf.DUMMYFUNCTION("""COMPUTED_VALUE"""),"")</f>
        <v/>
      </c>
      <c r="H5" s="26" t="str">
        <f>IFERROR(__xludf.DUMMYFUNCTION("""COMPUTED_VALUE"""),"")</f>
        <v/>
      </c>
      <c r="I5" s="26" t="str">
        <f>IFERROR(__xludf.DUMMYFUNCTION("""COMPUTED_VALUE"""),"")</f>
        <v/>
      </c>
      <c r="J5" s="26" t="str">
        <f>IFERROR(__xludf.DUMMYFUNCTION("""COMPUTED_VALUE"""),"")</f>
        <v/>
      </c>
      <c r="K5" s="26" t="str">
        <f>IFERROR(__xludf.DUMMYFUNCTION("""COMPUTED_VALUE"""),"")</f>
        <v/>
      </c>
      <c r="L5" s="26" t="str">
        <f>IFERROR(__xludf.DUMMYFUNCTION("""COMPUTED_VALUE"""),"")</f>
        <v/>
      </c>
      <c r="M5" s="26" t="str">
        <f>IFERROR(__xludf.DUMMYFUNCTION("""COMPUTED_VALUE"""),"")</f>
        <v/>
      </c>
      <c r="N5" s="26" t="str">
        <f>IFERROR(__xludf.DUMMYFUNCTION("""COMPUTED_VALUE"""),"")</f>
        <v/>
      </c>
      <c r="O5" s="26" t="str">
        <f>IFERROR(__xludf.DUMMYFUNCTION("""COMPUTED_VALUE"""),"")</f>
        <v/>
      </c>
      <c r="P5" s="26" t="str">
        <f>IFERROR(__xludf.DUMMYFUNCTION("""COMPUTED_VALUE"""),"")</f>
        <v/>
      </c>
      <c r="Q5" s="26" t="str">
        <f>IFERROR(__xludf.DUMMYFUNCTION("""COMPUTED_VALUE"""),"")</f>
        <v/>
      </c>
      <c r="R5" s="26" t="str">
        <f>IFERROR(__xludf.DUMMYFUNCTION("""COMPUTED_VALUE"""),"")</f>
        <v/>
      </c>
      <c r="S5" s="26" t="str">
        <f>IFERROR(__xludf.DUMMYFUNCTION("""COMPUTED_VALUE"""),"")</f>
        <v/>
      </c>
      <c r="T5" s="28" t="str">
        <f>IFERROR(__xludf.DUMMYFUNCTION("""COMPUTED_VALUE"""),"")</f>
        <v/>
      </c>
      <c r="U5" s="28" t="str">
        <f>IFERROR(__xludf.DUMMYFUNCTION("""COMPUTED_VALUE"""),"")</f>
        <v/>
      </c>
      <c r="V5" s="28" t="str">
        <f>IFERROR(__xludf.DUMMYFUNCTION("""COMPUTED_VALUE"""),"")</f>
        <v/>
      </c>
      <c r="W5" s="28" t="str">
        <f>IFERROR(__xludf.DUMMYFUNCTION("""COMPUTED_VALUE"""),"")</f>
        <v/>
      </c>
      <c r="X5" s="28" t="str">
        <f>IFERROR(__xludf.DUMMYFUNCTION("""COMPUTED_VALUE"""),"")</f>
        <v/>
      </c>
      <c r="Y5" s="28" t="str">
        <f>IFERROR(__xludf.DUMMYFUNCTION("""COMPUTED_VALUE"""),"")</f>
        <v/>
      </c>
      <c r="Z5" s="28" t="str">
        <f>IFERROR(__xludf.DUMMYFUNCTION("""COMPUTED_VALUE"""),"")</f>
        <v/>
      </c>
      <c r="AA5" s="28" t="str">
        <f>IFERROR(__xludf.DUMMYFUNCTION("""COMPUTED_VALUE"""),"")</f>
        <v/>
      </c>
      <c r="AB5" s="28" t="str">
        <f>IFERROR(__xludf.DUMMYFUNCTION("""COMPUTED_VALUE"""),"")</f>
        <v/>
      </c>
      <c r="AC5" s="28" t="str">
        <f>IFERROR(__xludf.DUMMYFUNCTION("""COMPUTED_VALUE"""),"")</f>
        <v/>
      </c>
      <c r="AD5" s="28" t="str">
        <f>IFERROR(__xludf.DUMMYFUNCTION("""COMPUTED_VALUE"""),"")</f>
        <v/>
      </c>
      <c r="AE5" s="28" t="str">
        <f>IFERROR(__xludf.DUMMYFUNCTION("""COMPUTED_VALUE"""),"")</f>
        <v/>
      </c>
      <c r="AF5" s="28" t="str">
        <f>IFERROR(__xludf.DUMMYFUNCTION("""COMPUTED_VALUE"""),"")</f>
        <v/>
      </c>
      <c r="AG5" s="28" t="str">
        <f>IFERROR(__xludf.DUMMYFUNCTION("""COMPUTED_VALUE"""),"")</f>
        <v/>
      </c>
      <c r="AH5" s="28" t="str">
        <f>IFERROR(__xludf.DUMMYFUNCTION("""COMPUTED_VALUE"""),"")</f>
        <v/>
      </c>
      <c r="AI5" s="28" t="str">
        <f>IFERROR(__xludf.DUMMYFUNCTION("""COMPUTED_VALUE"""),"")</f>
        <v/>
      </c>
      <c r="AJ5" s="28" t="str">
        <f>IFERROR(__xludf.DUMMYFUNCTION("""COMPUTED_VALUE"""),"")</f>
        <v/>
      </c>
      <c r="AK5" s="28" t="str">
        <f>IFERROR(__xludf.DUMMYFUNCTION("""COMPUTED_VALUE"""),"")</f>
        <v/>
      </c>
      <c r="AL5" s="28" t="str">
        <f>IFERROR(__xludf.DUMMYFUNCTION("""COMPUTED_VALUE"""),"")</f>
        <v/>
      </c>
      <c r="AM5" s="28" t="str">
        <f>IFERROR(__xludf.DUMMYFUNCTION("""COMPUTED_VALUE"""),"")</f>
        <v/>
      </c>
      <c r="AN5" s="28" t="str">
        <f>IFERROR(__xludf.DUMMYFUNCTION("""COMPUTED_VALUE"""),"")</f>
        <v/>
      </c>
      <c r="AO5" s="28" t="str">
        <f>IFERROR(__xludf.DUMMYFUNCTION("""COMPUTED_VALUE"""),"")</f>
        <v/>
      </c>
      <c r="AP5" s="28" t="str">
        <f>IFERROR(__xludf.DUMMYFUNCTION("""COMPUTED_VALUE"""),"")</f>
        <v/>
      </c>
      <c r="AQ5" s="28" t="str">
        <f>IFERROR(__xludf.DUMMYFUNCTION("""COMPUTED_VALUE"""),"")</f>
        <v/>
      </c>
      <c r="AR5" s="28" t="str">
        <f>IFERROR(__xludf.DUMMYFUNCTION("""COMPUTED_VALUE"""),"")</f>
        <v/>
      </c>
      <c r="AS5" s="28" t="str">
        <f>IFERROR(__xludf.DUMMYFUNCTION("""COMPUTED_VALUE"""),"")</f>
        <v/>
      </c>
      <c r="AT5" s="28" t="str">
        <f>IFERROR(__xludf.DUMMYFUNCTION("""COMPUTED_VALUE"""),"")</f>
        <v/>
      </c>
      <c r="AU5" s="28" t="str">
        <f>IFERROR(__xludf.DUMMYFUNCTION("""COMPUTED_VALUE"""),"")</f>
        <v/>
      </c>
      <c r="AV5" s="28" t="str">
        <f>IFERROR(__xludf.DUMMYFUNCTION("""COMPUTED_VALUE"""),"")</f>
        <v/>
      </c>
      <c r="AW5" s="28" t="str">
        <f>IFERROR(__xludf.DUMMYFUNCTION("""COMPUTED_VALUE"""),"")</f>
        <v/>
      </c>
      <c r="AX5" s="28" t="str">
        <f>IFERROR(__xludf.DUMMYFUNCTION("""COMPUTED_VALUE"""),"")</f>
        <v/>
      </c>
      <c r="AY5" s="28" t="str">
        <f>IFERROR(__xludf.DUMMYFUNCTION("""COMPUTED_VALUE"""),"")</f>
        <v/>
      </c>
      <c r="AZ5" s="28" t="str">
        <f>IFERROR(__xludf.DUMMYFUNCTION("""COMPUTED_VALUE"""),"")</f>
        <v/>
      </c>
      <c r="BA5" s="28" t="str">
        <f>IFERROR(__xludf.DUMMYFUNCTION("""COMPUTED_VALUE"""),"")</f>
        <v/>
      </c>
      <c r="BB5" s="28" t="str">
        <f>IFERROR(__xludf.DUMMYFUNCTION("""COMPUTED_VALUE"""),"")</f>
        <v/>
      </c>
      <c r="BC5" s="28" t="str">
        <f>IFERROR(__xludf.DUMMYFUNCTION("""COMPUTED_VALUE"""),"")</f>
        <v/>
      </c>
      <c r="BD5" s="28" t="str">
        <f>IFERROR(__xludf.DUMMYFUNCTION("""COMPUTED_VALUE"""),"")</f>
        <v/>
      </c>
      <c r="BE5" s="28" t="str">
        <f>IFERROR(__xludf.DUMMYFUNCTION("""COMPUTED_VALUE"""),"")</f>
        <v/>
      </c>
      <c r="BF5" s="28" t="str">
        <f>IFERROR(__xludf.DUMMYFUNCTION("""COMPUTED_VALUE"""),"")</f>
        <v/>
      </c>
      <c r="BG5" s="28" t="str">
        <f>IFERROR(__xludf.DUMMYFUNCTION("""COMPUTED_VALUE"""),"")</f>
        <v/>
      </c>
      <c r="BH5" s="28" t="str">
        <f>IFERROR(__xludf.DUMMYFUNCTION("""COMPUTED_VALUE"""),"")</f>
        <v/>
      </c>
      <c r="BI5" s="28" t="str">
        <f>IFERROR(__xludf.DUMMYFUNCTION("""COMPUTED_VALUE"""),"")</f>
        <v/>
      </c>
      <c r="BJ5" s="28" t="str">
        <f>IFERROR(__xludf.DUMMYFUNCTION("""COMPUTED_VALUE"""),"")</f>
        <v/>
      </c>
      <c r="BK5" s="28" t="str">
        <f>IFERROR(__xludf.DUMMYFUNCTION("""COMPUTED_VALUE"""),"")</f>
        <v/>
      </c>
      <c r="BL5" s="28" t="str">
        <f>IFERROR(__xludf.DUMMYFUNCTION("""COMPUTED_VALUE"""),"")</f>
        <v/>
      </c>
      <c r="BM5" s="28" t="str">
        <f>IFERROR(__xludf.DUMMYFUNCTION("""COMPUTED_VALUE"""),"")</f>
        <v/>
      </c>
      <c r="BN5" s="28" t="str">
        <f>IFERROR(__xludf.DUMMYFUNCTION("""COMPUTED_VALUE"""),"")</f>
        <v/>
      </c>
      <c r="BO5" s="28" t="str">
        <f>IFERROR(__xludf.DUMMYFUNCTION("""COMPUTED_VALUE"""),"")</f>
        <v/>
      </c>
      <c r="BP5" s="28" t="str">
        <f>IFERROR(__xludf.DUMMYFUNCTION("""COMPUTED_VALUE"""),"")</f>
        <v/>
      </c>
      <c r="BQ5" s="28" t="str">
        <f>IFERROR(__xludf.DUMMYFUNCTION("""COMPUTED_VALUE"""),"")</f>
        <v/>
      </c>
      <c r="BR5" s="28" t="str">
        <f>IFERROR(__xludf.DUMMYFUNCTION("""COMPUTED_VALUE"""),"")</f>
        <v/>
      </c>
      <c r="BS5" s="28" t="str">
        <f>IFERROR(__xludf.DUMMYFUNCTION("""COMPUTED_VALUE"""),"")</f>
        <v/>
      </c>
      <c r="BT5" s="28" t="str">
        <f>IFERROR(__xludf.DUMMYFUNCTION("""COMPUTED_VALUE"""),"")</f>
        <v/>
      </c>
      <c r="BU5" s="28" t="str">
        <f>IFERROR(__xludf.DUMMYFUNCTION("""COMPUTED_VALUE"""),"")</f>
        <v/>
      </c>
      <c r="BV5" s="28" t="str">
        <f>IFERROR(__xludf.DUMMYFUNCTION("""COMPUTED_VALUE"""),"")</f>
        <v/>
      </c>
      <c r="BW5" s="28" t="str">
        <f>IFERROR(__xludf.DUMMYFUNCTION("""COMPUTED_VALUE"""),"")</f>
        <v/>
      </c>
      <c r="BX5" s="28" t="str">
        <f>IFERROR(__xludf.DUMMYFUNCTION("""COMPUTED_VALUE"""),"")</f>
        <v/>
      </c>
      <c r="BY5" s="28" t="str">
        <f>IFERROR(__xludf.DUMMYFUNCTION("""COMPUTED_VALUE"""),"")</f>
        <v/>
      </c>
      <c r="BZ5" s="28" t="str">
        <f>IFERROR(__xludf.DUMMYFUNCTION("""COMPUTED_VALUE"""),"")</f>
        <v/>
      </c>
      <c r="CA5" s="28" t="str">
        <f>IFERROR(__xludf.DUMMYFUNCTION("""COMPUTED_VALUE"""),"")</f>
        <v/>
      </c>
      <c r="CB5" s="28" t="str">
        <f>IFERROR(__xludf.DUMMYFUNCTION("""COMPUTED_VALUE"""),"")</f>
        <v/>
      </c>
      <c r="CC5" s="28" t="str">
        <f>IFERROR(__xludf.DUMMYFUNCTION("""COMPUTED_VALUE"""),"")</f>
        <v/>
      </c>
      <c r="CD5" s="28" t="str">
        <f>IFERROR(__xludf.DUMMYFUNCTION("""COMPUTED_VALUE"""),"")</f>
        <v/>
      </c>
      <c r="CE5" s="28" t="str">
        <f>IFERROR(__xludf.DUMMYFUNCTION("""COMPUTED_VALUE"""),"")</f>
        <v/>
      </c>
      <c r="CF5" s="28" t="str">
        <f>IFERROR(__xludf.DUMMYFUNCTION("""COMPUTED_VALUE"""),"")</f>
        <v/>
      </c>
      <c r="CG5" s="28" t="str">
        <f>IFERROR(__xludf.DUMMYFUNCTION("""COMPUTED_VALUE"""),"")</f>
        <v/>
      </c>
      <c r="CH5" s="28" t="str">
        <f>IFERROR(__xludf.DUMMYFUNCTION("""COMPUTED_VALUE"""),"")</f>
        <v/>
      </c>
      <c r="CI5" s="28" t="str">
        <f>IFERROR(__xludf.DUMMYFUNCTION("""COMPUTED_VALUE"""),"")</f>
        <v/>
      </c>
      <c r="CJ5" s="28" t="str">
        <f>IFERROR(__xludf.DUMMYFUNCTION("""COMPUTED_VALUE"""),"")</f>
        <v/>
      </c>
      <c r="CK5" s="28" t="str">
        <f>IFERROR(__xludf.DUMMYFUNCTION("""COMPUTED_VALUE"""),"")</f>
        <v/>
      </c>
      <c r="CL5" s="28" t="str">
        <f>IFERROR(__xludf.DUMMYFUNCTION("""COMPUTED_VALUE"""),"")</f>
        <v/>
      </c>
      <c r="CM5" s="28" t="str">
        <f>IFERROR(__xludf.DUMMYFUNCTION("""COMPUTED_VALUE"""),"")</f>
        <v/>
      </c>
      <c r="CN5" s="28" t="str">
        <f>IFERROR(__xludf.DUMMYFUNCTION("""COMPUTED_VALUE"""),"")</f>
        <v/>
      </c>
      <c r="CO5" s="28" t="str">
        <f>IFERROR(__xludf.DUMMYFUNCTION("""COMPUTED_VALUE"""),"")</f>
        <v/>
      </c>
      <c r="CP5" s="28" t="str">
        <f>IFERROR(__xludf.DUMMYFUNCTION("""COMPUTED_VALUE"""),"")</f>
        <v/>
      </c>
      <c r="CQ5" s="28" t="str">
        <f>IFERROR(__xludf.DUMMYFUNCTION("""COMPUTED_VALUE"""),"")</f>
        <v/>
      </c>
      <c r="CR5" s="28" t="str">
        <f>IFERROR(__xludf.DUMMYFUNCTION("""COMPUTED_VALUE"""),"")</f>
        <v/>
      </c>
      <c r="CS5" s="28" t="str">
        <f>IFERROR(__xludf.DUMMYFUNCTION("""COMPUTED_VALUE"""),"")</f>
        <v/>
      </c>
      <c r="CT5" s="28" t="str">
        <f>IFERROR(__xludf.DUMMYFUNCTION("""COMPUTED_VALUE"""),"")</f>
        <v/>
      </c>
      <c r="CU5" s="28" t="str">
        <f>IFERROR(__xludf.DUMMYFUNCTION("""COMPUTED_VALUE"""),"")</f>
        <v/>
      </c>
      <c r="CV5" s="28" t="str">
        <f>IFERROR(__xludf.DUMMYFUNCTION("""COMPUTED_VALUE"""),"")</f>
        <v/>
      </c>
      <c r="CW5" s="28" t="str">
        <f>IFERROR(__xludf.DUMMYFUNCTION("""COMPUTED_VALUE"""),"")</f>
        <v/>
      </c>
      <c r="CX5" s="28" t="str">
        <f>IFERROR(__xludf.DUMMYFUNCTION("""COMPUTED_VALUE"""),"")</f>
        <v/>
      </c>
      <c r="CY5" s="28" t="str">
        <f>IFERROR(__xludf.DUMMYFUNCTION("""COMPUTED_VALUE"""),"")</f>
        <v/>
      </c>
      <c r="CZ5" s="28" t="str">
        <f>IFERROR(__xludf.DUMMYFUNCTION("""COMPUTED_VALUE"""),"")</f>
        <v/>
      </c>
      <c r="DA5" s="28" t="str">
        <f>IFERROR(__xludf.DUMMYFUNCTION("""COMPUTED_VALUE"""),"")</f>
        <v/>
      </c>
      <c r="DB5" s="28" t="str">
        <f>IFERROR(__xludf.DUMMYFUNCTION("""COMPUTED_VALUE"""),"")</f>
        <v/>
      </c>
      <c r="DC5" s="28" t="str">
        <f>IFERROR(__xludf.DUMMYFUNCTION("""COMPUTED_VALUE"""),"")</f>
        <v/>
      </c>
      <c r="DD5" s="28" t="str">
        <f>IFERROR(__xludf.DUMMYFUNCTION("""COMPUTED_VALUE"""),"")</f>
        <v/>
      </c>
      <c r="DE5" s="28" t="str">
        <f>IFERROR(__xludf.DUMMYFUNCTION("""COMPUTED_VALUE"""),"")</f>
        <v/>
      </c>
      <c r="DF5" s="28" t="str">
        <f>IFERROR(__xludf.DUMMYFUNCTION("""COMPUTED_VALUE"""),"")</f>
        <v/>
      </c>
      <c r="DG5" s="28" t="str">
        <f>IFERROR(__xludf.DUMMYFUNCTION("""COMPUTED_VALUE"""),"")</f>
        <v/>
      </c>
      <c r="DH5" s="28" t="str">
        <f>IFERROR(__xludf.DUMMYFUNCTION("""COMPUTED_VALUE"""),"")</f>
        <v/>
      </c>
      <c r="DI5" s="28" t="str">
        <f>IFERROR(__xludf.DUMMYFUNCTION("""COMPUTED_VALUE"""),"")</f>
        <v/>
      </c>
      <c r="DJ5" s="28" t="str">
        <f>IFERROR(__xludf.DUMMYFUNCTION("""COMPUTED_VALUE"""),"")</f>
        <v/>
      </c>
      <c r="DK5" s="28" t="str">
        <f>IFERROR(__xludf.DUMMYFUNCTION("""COMPUTED_VALUE"""),"")</f>
        <v/>
      </c>
      <c r="DL5" s="28" t="str">
        <f>IFERROR(__xludf.DUMMYFUNCTION("""COMPUTED_VALUE"""),"")</f>
        <v/>
      </c>
      <c r="DM5" s="28" t="str">
        <f>IFERROR(__xludf.DUMMYFUNCTION("""COMPUTED_VALUE"""),"")</f>
        <v/>
      </c>
      <c r="DN5" s="28" t="str">
        <f>IFERROR(__xludf.DUMMYFUNCTION("""COMPUTED_VALUE"""),"")</f>
        <v/>
      </c>
      <c r="DO5" s="28" t="str">
        <f>IFERROR(__xludf.DUMMYFUNCTION("""COMPUTED_VALUE"""),"")</f>
        <v/>
      </c>
      <c r="DP5" s="28" t="str">
        <f>IFERROR(__xludf.DUMMYFUNCTION("""COMPUTED_VALUE"""),"")</f>
        <v/>
      </c>
      <c r="DQ5" s="28" t="str">
        <f>IFERROR(__xludf.DUMMYFUNCTION("""COMPUTED_VALUE"""),"")</f>
        <v/>
      </c>
      <c r="DR5" s="28" t="str">
        <f>IFERROR(__xludf.DUMMYFUNCTION("""COMPUTED_VALUE"""),"")</f>
        <v/>
      </c>
      <c r="DS5" s="28" t="str">
        <f>IFERROR(__xludf.DUMMYFUNCTION("""COMPUTED_VALUE"""),"")</f>
        <v/>
      </c>
      <c r="DT5" s="28" t="str">
        <f>IFERROR(__xludf.DUMMYFUNCTION("""COMPUTED_VALUE"""),"")</f>
        <v/>
      </c>
      <c r="DU5" s="28" t="str">
        <f>IFERROR(__xludf.DUMMYFUNCTION("""COMPUTED_VALUE"""),"")</f>
        <v/>
      </c>
      <c r="DV5" s="28" t="str">
        <f>IFERROR(__xludf.DUMMYFUNCTION("""COMPUTED_VALUE"""),"")</f>
        <v/>
      </c>
      <c r="DW5" s="28" t="str">
        <f>IFERROR(__xludf.DUMMYFUNCTION("""COMPUTED_VALUE"""),"")</f>
        <v/>
      </c>
      <c r="DX5" s="28" t="str">
        <f>IFERROR(__xludf.DUMMYFUNCTION("""COMPUTED_VALUE"""),"")</f>
        <v/>
      </c>
      <c r="DY5" s="28" t="str">
        <f>IFERROR(__xludf.DUMMYFUNCTION("""COMPUTED_VALUE"""),"")</f>
        <v/>
      </c>
      <c r="DZ5" s="28" t="str">
        <f>IFERROR(__xludf.DUMMYFUNCTION("""COMPUTED_VALUE"""),"")</f>
        <v/>
      </c>
      <c r="EA5" s="28" t="str">
        <f>IFERROR(__xludf.DUMMYFUNCTION("""COMPUTED_VALUE"""),"")</f>
        <v/>
      </c>
      <c r="EB5" s="28" t="str">
        <f>IFERROR(__xludf.DUMMYFUNCTION("""COMPUTED_VALUE"""),"")</f>
        <v/>
      </c>
      <c r="EC5" s="28" t="str">
        <f>IFERROR(__xludf.DUMMYFUNCTION("""COMPUTED_VALUE"""),"")</f>
        <v/>
      </c>
      <c r="ED5" s="28" t="str">
        <f>IFERROR(__xludf.DUMMYFUNCTION("""COMPUTED_VALUE"""),"")</f>
        <v/>
      </c>
      <c r="EE5" s="28" t="str">
        <f>IFERROR(__xludf.DUMMYFUNCTION("""COMPUTED_VALUE"""),"")</f>
        <v/>
      </c>
      <c r="EF5" s="28" t="str">
        <f>IFERROR(__xludf.DUMMYFUNCTION("""COMPUTED_VALUE"""),"")</f>
        <v/>
      </c>
      <c r="EG5" s="28" t="str">
        <f>IFERROR(__xludf.DUMMYFUNCTION("""COMPUTED_VALUE"""),"")</f>
        <v/>
      </c>
      <c r="EH5" s="28" t="str">
        <f>IFERROR(__xludf.DUMMYFUNCTION("""COMPUTED_VALUE"""),"")</f>
        <v/>
      </c>
      <c r="EI5" s="28" t="str">
        <f>IFERROR(__xludf.DUMMYFUNCTION("""COMPUTED_VALUE"""),"")</f>
        <v/>
      </c>
      <c r="EJ5" s="28" t="str">
        <f>IFERROR(__xludf.DUMMYFUNCTION("""COMPUTED_VALUE"""),"")</f>
        <v/>
      </c>
      <c r="EK5" s="28" t="str">
        <f>IFERROR(__xludf.DUMMYFUNCTION("""COMPUTED_VALUE"""),"")</f>
        <v/>
      </c>
      <c r="EL5" s="28" t="str">
        <f>IFERROR(__xludf.DUMMYFUNCTION("""COMPUTED_VALUE"""),"")</f>
        <v/>
      </c>
      <c r="EM5" s="28" t="str">
        <f>IFERROR(__xludf.DUMMYFUNCTION("""COMPUTED_VALUE"""),"")</f>
        <v/>
      </c>
      <c r="EN5" s="28" t="str">
        <f>IFERROR(__xludf.DUMMYFUNCTION("""COMPUTED_VALUE"""),"")</f>
        <v/>
      </c>
      <c r="EO5" s="28" t="str">
        <f>IFERROR(__xludf.DUMMYFUNCTION("""COMPUTED_VALUE"""),"")</f>
        <v/>
      </c>
      <c r="EP5" s="28" t="str">
        <f>IFERROR(__xludf.DUMMYFUNCTION("""COMPUTED_VALUE"""),"")</f>
        <v/>
      </c>
      <c r="EQ5" s="28" t="str">
        <f>IFERROR(__xludf.DUMMYFUNCTION("""COMPUTED_VALUE"""),"")</f>
        <v/>
      </c>
      <c r="ER5" s="28" t="str">
        <f>IFERROR(__xludf.DUMMYFUNCTION("""COMPUTED_VALUE"""),"")</f>
        <v/>
      </c>
      <c r="ES5" s="28" t="str">
        <f>IFERROR(__xludf.DUMMYFUNCTION("""COMPUTED_VALUE"""),"")</f>
        <v/>
      </c>
      <c r="ET5" s="28" t="str">
        <f>IFERROR(__xludf.DUMMYFUNCTION("""COMPUTED_VALUE"""),"")</f>
        <v/>
      </c>
      <c r="EU5" s="28" t="str">
        <f>IFERROR(__xludf.DUMMYFUNCTION("""COMPUTED_VALUE"""),"")</f>
        <v/>
      </c>
      <c r="EV5" s="28" t="str">
        <f>IFERROR(__xludf.DUMMYFUNCTION("""COMPUTED_VALUE"""),"")</f>
        <v/>
      </c>
      <c r="EW5" s="28" t="str">
        <f>IFERROR(__xludf.DUMMYFUNCTION("""COMPUTED_VALUE"""),"")</f>
        <v/>
      </c>
      <c r="EX5" s="28" t="str">
        <f>IFERROR(__xludf.DUMMYFUNCTION("""COMPUTED_VALUE"""),"")</f>
        <v/>
      </c>
    </row>
    <row r="6" ht="15.75" customHeight="1">
      <c r="A6" s="41"/>
      <c r="B6" s="42" t="s">
        <v>29</v>
      </c>
      <c r="C6" s="43" t="s">
        <v>30</v>
      </c>
      <c r="D6" s="44" t="s">
        <v>31</v>
      </c>
      <c r="E6" s="45">
        <v>0.8</v>
      </c>
      <c r="F6" s="43"/>
      <c r="G6" s="43"/>
      <c r="H6" s="43"/>
      <c r="I6" s="43"/>
      <c r="J6" s="43"/>
      <c r="K6" s="43"/>
      <c r="L6" s="43"/>
      <c r="M6" s="43"/>
      <c r="N6" s="43"/>
      <c r="O6" s="43"/>
      <c r="P6" s="43"/>
      <c r="Q6" s="43"/>
      <c r="R6" s="43"/>
      <c r="S6" s="43"/>
      <c r="T6" s="46"/>
      <c r="U6" s="46"/>
      <c r="V6" s="46"/>
      <c r="W6" s="46"/>
      <c r="X6" s="46"/>
      <c r="Y6" s="46"/>
      <c r="Z6" s="46"/>
      <c r="AA6" s="46"/>
      <c r="AB6" s="46"/>
      <c r="AC6" s="46"/>
      <c r="AD6" s="46"/>
      <c r="AE6" s="46"/>
      <c r="AF6" s="46"/>
      <c r="AG6" s="46"/>
      <c r="AH6" s="46"/>
      <c r="AI6" s="46"/>
      <c r="AJ6" s="46"/>
      <c r="AK6" s="46"/>
      <c r="AL6" s="46"/>
      <c r="AM6" s="46"/>
      <c r="AN6" s="46"/>
      <c r="AO6" s="46"/>
      <c r="AP6" s="46"/>
      <c r="AQ6" s="46"/>
      <c r="AR6" s="46"/>
      <c r="AS6" s="46"/>
      <c r="AT6" s="46"/>
      <c r="AU6" s="46"/>
      <c r="AV6" s="46"/>
      <c r="AW6" s="46"/>
      <c r="AX6" s="46"/>
      <c r="AY6" s="46"/>
      <c r="AZ6" s="46"/>
      <c r="BA6" s="46"/>
      <c r="BB6" s="46"/>
      <c r="BC6" s="46"/>
      <c r="BD6" s="46"/>
      <c r="BE6" s="46"/>
      <c r="BF6" s="46"/>
      <c r="BG6" s="46"/>
      <c r="BH6" s="46"/>
      <c r="BI6" s="46"/>
      <c r="BJ6" s="46"/>
      <c r="BK6" s="46"/>
      <c r="BL6" s="46"/>
      <c r="BM6" s="46"/>
      <c r="BN6" s="46"/>
      <c r="BO6" s="46"/>
      <c r="BP6" s="46"/>
      <c r="BQ6" s="46"/>
      <c r="BR6" s="46"/>
      <c r="BS6" s="46"/>
      <c r="BT6" s="46"/>
      <c r="BU6" s="46"/>
      <c r="BV6" s="46"/>
      <c r="BW6" s="46"/>
      <c r="BX6" s="46"/>
      <c r="BY6" s="46"/>
      <c r="BZ6" s="46"/>
      <c r="CA6" s="46"/>
      <c r="CB6" s="46"/>
      <c r="CC6" s="46"/>
      <c r="CD6" s="46"/>
      <c r="CE6" s="46"/>
      <c r="CF6" s="46"/>
      <c r="CG6" s="46"/>
      <c r="CH6" s="46"/>
      <c r="CI6" s="46"/>
      <c r="CJ6" s="46"/>
      <c r="CK6" s="46"/>
      <c r="CL6" s="46"/>
      <c r="CM6" s="46"/>
      <c r="CN6" s="46"/>
      <c r="CO6" s="46"/>
      <c r="CP6" s="46"/>
      <c r="CQ6" s="46"/>
      <c r="CR6" s="46"/>
      <c r="CS6" s="46"/>
      <c r="CT6" s="46"/>
      <c r="CU6" s="46"/>
      <c r="CV6" s="46"/>
      <c r="CW6" s="46"/>
      <c r="CX6" s="46"/>
      <c r="CY6" s="46"/>
      <c r="CZ6" s="46"/>
      <c r="DA6" s="46"/>
      <c r="DB6" s="46"/>
      <c r="DC6" s="46"/>
      <c r="DD6" s="46"/>
      <c r="DE6" s="46"/>
      <c r="DF6" s="46"/>
      <c r="DG6" s="46"/>
      <c r="DH6" s="46"/>
      <c r="DI6" s="46"/>
      <c r="DJ6" s="46"/>
      <c r="DK6" s="46"/>
      <c r="DL6" s="46"/>
      <c r="DM6" s="46"/>
      <c r="DN6" s="46"/>
      <c r="DO6" s="46"/>
      <c r="DP6" s="46"/>
      <c r="DQ6" s="46"/>
      <c r="DR6" s="46"/>
      <c r="DS6" s="46"/>
      <c r="DT6" s="46"/>
      <c r="DU6" s="46"/>
      <c r="DV6" s="46"/>
      <c r="DW6" s="46"/>
      <c r="DX6" s="46"/>
      <c r="DY6" s="46"/>
      <c r="DZ6" s="46"/>
      <c r="EA6" s="46"/>
      <c r="EB6" s="46"/>
      <c r="EC6" s="46"/>
      <c r="ED6" s="46"/>
      <c r="EE6" s="46"/>
      <c r="EF6" s="46"/>
      <c r="EG6" s="46"/>
      <c r="EH6" s="46"/>
      <c r="EI6" s="46"/>
      <c r="EJ6" s="46"/>
      <c r="EK6" s="46"/>
      <c r="EL6" s="46"/>
      <c r="EM6" s="46"/>
      <c r="EN6" s="46"/>
      <c r="EO6" s="46"/>
      <c r="EP6" s="46"/>
      <c r="EQ6" s="46"/>
      <c r="ER6" s="46"/>
      <c r="ES6" s="46"/>
      <c r="ET6" s="46"/>
      <c r="EU6" s="46"/>
      <c r="EV6" s="46"/>
      <c r="EW6" s="46"/>
      <c r="EX6" s="46"/>
    </row>
    <row r="7" ht="15.75" customHeight="1">
      <c r="A7" s="7"/>
      <c r="B7" s="7"/>
      <c r="C7" s="7"/>
      <c r="D7" s="7"/>
      <c r="E7" s="7"/>
      <c r="F7" s="7"/>
      <c r="G7" s="7"/>
      <c r="H7" s="7"/>
      <c r="I7" s="7"/>
      <c r="J7" s="7"/>
      <c r="K7" s="7"/>
      <c r="L7" s="7"/>
      <c r="M7" s="7"/>
      <c r="N7" s="7"/>
      <c r="O7" s="7"/>
    </row>
    <row r="8" ht="15.75" customHeight="1">
      <c r="A8" s="7"/>
      <c r="B8" s="7"/>
      <c r="C8" s="7"/>
      <c r="D8" s="7"/>
      <c r="E8" s="7"/>
      <c r="F8" s="7"/>
      <c r="G8" s="7"/>
      <c r="H8" s="7"/>
      <c r="I8" s="7"/>
      <c r="J8" s="7"/>
      <c r="K8" s="7"/>
      <c r="L8" s="7"/>
      <c r="M8" s="7"/>
      <c r="N8" s="7"/>
      <c r="O8" s="7"/>
    </row>
    <row r="9" ht="15.75" customHeight="1">
      <c r="A9" s="7"/>
      <c r="B9" s="7"/>
      <c r="C9" s="7"/>
      <c r="D9" s="7"/>
      <c r="E9" s="7"/>
      <c r="F9" s="7"/>
      <c r="G9" s="7"/>
      <c r="H9" s="7"/>
      <c r="I9" s="7"/>
      <c r="J9" s="7"/>
      <c r="K9" s="7"/>
      <c r="L9" s="7"/>
      <c r="M9" s="7"/>
      <c r="N9" s="7"/>
      <c r="O9" s="7"/>
    </row>
    <row r="10" ht="15.75" customHeight="1">
      <c r="A10" s="7"/>
      <c r="B10" s="7"/>
      <c r="C10" s="7"/>
      <c r="D10" s="7"/>
      <c r="E10" s="7"/>
      <c r="F10" s="7"/>
      <c r="G10" s="7"/>
      <c r="H10" s="7"/>
      <c r="I10" s="7"/>
      <c r="J10" s="7"/>
      <c r="K10" s="7"/>
      <c r="L10" s="7"/>
      <c r="M10" s="7"/>
      <c r="N10" s="7"/>
      <c r="O10" s="7"/>
    </row>
    <row r="11" ht="15.75" customHeight="1">
      <c r="A11" s="7"/>
      <c r="B11" s="7"/>
      <c r="C11" s="7"/>
      <c r="D11" s="7"/>
      <c r="E11" s="7"/>
      <c r="F11" s="7"/>
      <c r="G11" s="7"/>
      <c r="H11" s="7"/>
      <c r="I11" s="7"/>
      <c r="J11" s="7"/>
      <c r="K11" s="7"/>
      <c r="L11" s="7"/>
      <c r="M11" s="7"/>
      <c r="N11" s="7"/>
      <c r="O11" s="7"/>
    </row>
    <row r="12" ht="15.75" customHeight="1">
      <c r="A12" s="7"/>
      <c r="B12" s="7"/>
      <c r="C12" s="7"/>
      <c r="D12" s="7"/>
      <c r="E12" s="7"/>
      <c r="F12" s="7"/>
      <c r="G12" s="7"/>
      <c r="H12" s="7"/>
      <c r="I12" s="7"/>
      <c r="J12" s="7"/>
      <c r="K12" s="7"/>
      <c r="L12" s="7"/>
      <c r="M12" s="7"/>
      <c r="N12" s="7"/>
      <c r="O12" s="7"/>
    </row>
    <row r="13" ht="15.75" customHeight="1">
      <c r="A13" s="7"/>
      <c r="B13" s="7"/>
      <c r="C13" s="7"/>
      <c r="D13" s="7"/>
      <c r="E13" s="7"/>
      <c r="F13" s="7"/>
      <c r="G13" s="7"/>
      <c r="H13" s="7"/>
      <c r="I13" s="7"/>
      <c r="J13" s="7"/>
      <c r="K13" s="7"/>
      <c r="L13" s="7"/>
      <c r="M13" s="7"/>
      <c r="N13" s="7"/>
      <c r="O13" s="7"/>
    </row>
    <row r="14" ht="15.75" customHeight="1">
      <c r="A14" s="7"/>
      <c r="B14" s="7"/>
      <c r="C14" s="7"/>
      <c r="D14" s="7"/>
      <c r="E14" s="7"/>
      <c r="F14" s="7"/>
      <c r="G14" s="7"/>
      <c r="H14" s="7"/>
      <c r="I14" s="7"/>
      <c r="J14" s="7"/>
      <c r="K14" s="7"/>
      <c r="L14" s="7"/>
      <c r="M14" s="7"/>
      <c r="N14" s="7"/>
      <c r="O14" s="7"/>
    </row>
    <row r="15" ht="15.75" customHeight="1">
      <c r="A15" s="7"/>
      <c r="B15" s="7"/>
      <c r="C15" s="7"/>
      <c r="D15" s="7"/>
      <c r="E15" s="7"/>
      <c r="F15" s="7"/>
      <c r="G15" s="7"/>
      <c r="H15" s="7"/>
      <c r="I15" s="7"/>
      <c r="J15" s="7"/>
      <c r="K15" s="7"/>
      <c r="L15" s="7"/>
      <c r="M15" s="7"/>
      <c r="N15" s="7"/>
      <c r="O15" s="7"/>
    </row>
    <row r="16" ht="15.75" customHeight="1">
      <c r="A16" s="7"/>
      <c r="B16" s="7"/>
      <c r="C16" s="7"/>
      <c r="D16" s="7"/>
      <c r="E16" s="7"/>
      <c r="F16" s="7"/>
      <c r="G16" s="7"/>
      <c r="H16" s="7"/>
      <c r="I16" s="7"/>
      <c r="J16" s="7"/>
      <c r="K16" s="7"/>
      <c r="L16" s="7"/>
      <c r="M16" s="7"/>
      <c r="N16" s="7"/>
      <c r="O16" s="7"/>
    </row>
    <row r="17" ht="15.75" customHeight="1">
      <c r="A17" s="7"/>
      <c r="B17" s="7"/>
      <c r="C17" s="7"/>
      <c r="D17" s="7"/>
      <c r="E17" s="7"/>
      <c r="F17" s="7"/>
      <c r="G17" s="7"/>
      <c r="H17" s="7"/>
      <c r="I17" s="7"/>
      <c r="J17" s="7"/>
      <c r="K17" s="7"/>
      <c r="L17" s="7"/>
      <c r="M17" s="7"/>
      <c r="N17" s="7"/>
      <c r="O17" s="7"/>
    </row>
    <row r="18" ht="15.75" customHeight="1">
      <c r="A18" s="7"/>
      <c r="B18" s="7"/>
      <c r="C18" s="7"/>
      <c r="D18" s="7"/>
      <c r="E18" s="7"/>
      <c r="F18" s="7"/>
      <c r="G18" s="7"/>
      <c r="H18" s="7"/>
      <c r="I18" s="7"/>
      <c r="J18" s="7"/>
      <c r="K18" s="7"/>
      <c r="L18" s="7"/>
      <c r="M18" s="7"/>
      <c r="N18" s="7"/>
      <c r="O18" s="7"/>
    </row>
    <row r="19" ht="15.75" customHeight="1">
      <c r="A19" s="7"/>
      <c r="B19" s="7"/>
      <c r="C19" s="7"/>
      <c r="D19" s="7"/>
      <c r="E19" s="7"/>
      <c r="F19" s="7"/>
      <c r="G19" s="7"/>
      <c r="H19" s="7"/>
      <c r="I19" s="7"/>
      <c r="J19" s="7"/>
      <c r="K19" s="7"/>
      <c r="L19" s="7"/>
      <c r="M19" s="7"/>
      <c r="N19" s="7"/>
      <c r="O19" s="7"/>
    </row>
    <row r="20" ht="15.75" customHeight="1">
      <c r="A20" s="7"/>
      <c r="B20" s="7"/>
      <c r="C20" s="7"/>
      <c r="D20" s="7"/>
      <c r="E20" s="7"/>
      <c r="F20" s="7"/>
      <c r="G20" s="7"/>
      <c r="H20" s="7"/>
      <c r="I20" s="7"/>
      <c r="J20" s="7"/>
      <c r="K20" s="7"/>
      <c r="L20" s="7"/>
      <c r="M20" s="7"/>
      <c r="N20" s="7"/>
      <c r="O20" s="7"/>
    </row>
    <row r="21" ht="15.75" customHeight="1">
      <c r="A21" s="7"/>
      <c r="B21" s="7"/>
      <c r="C21" s="7"/>
      <c r="D21" s="7"/>
      <c r="E21" s="7"/>
      <c r="F21" s="7"/>
      <c r="G21" s="7"/>
      <c r="H21" s="7"/>
      <c r="I21" s="7"/>
      <c r="J21" s="7"/>
      <c r="K21" s="7"/>
      <c r="L21" s="7"/>
      <c r="M21" s="7"/>
      <c r="N21" s="7"/>
      <c r="O21" s="7"/>
    </row>
    <row r="22" ht="15.75" customHeight="1">
      <c r="A22" s="7"/>
      <c r="B22" s="7"/>
      <c r="C22" s="7"/>
      <c r="D22" s="7"/>
      <c r="E22" s="7"/>
      <c r="F22" s="7"/>
      <c r="G22" s="7"/>
      <c r="H22" s="7"/>
      <c r="I22" s="7"/>
      <c r="J22" s="7"/>
      <c r="K22" s="7"/>
      <c r="L22" s="7"/>
      <c r="M22" s="7"/>
      <c r="N22" s="7"/>
      <c r="O22" s="7"/>
    </row>
    <row r="23" ht="15.75" customHeight="1">
      <c r="A23" s="7"/>
      <c r="B23" s="7"/>
      <c r="C23" s="7"/>
      <c r="D23" s="7"/>
      <c r="E23" s="7"/>
      <c r="F23" s="7"/>
      <c r="G23" s="7"/>
      <c r="H23" s="7"/>
      <c r="I23" s="7"/>
      <c r="J23" s="7"/>
      <c r="K23" s="7"/>
      <c r="L23" s="7"/>
      <c r="M23" s="7"/>
      <c r="N23" s="7"/>
      <c r="O23" s="7"/>
    </row>
    <row r="24" ht="15.75" customHeight="1">
      <c r="A24" s="7"/>
      <c r="B24" s="7"/>
      <c r="C24" s="7"/>
      <c r="D24" s="7"/>
      <c r="E24" s="7"/>
      <c r="F24" s="7"/>
      <c r="G24" s="7"/>
      <c r="H24" s="7"/>
      <c r="I24" s="7"/>
      <c r="J24" s="7"/>
      <c r="K24" s="7"/>
      <c r="L24" s="7"/>
      <c r="M24" s="7"/>
      <c r="N24" s="7"/>
      <c r="O24" s="7"/>
    </row>
    <row r="25" ht="15.75" customHeight="1">
      <c r="A25" s="7"/>
      <c r="B25" s="7"/>
      <c r="C25" s="7"/>
      <c r="D25" s="7"/>
      <c r="E25" s="7"/>
      <c r="F25" s="7"/>
      <c r="G25" s="7"/>
      <c r="H25" s="7"/>
      <c r="I25" s="7"/>
      <c r="J25" s="7"/>
      <c r="K25" s="7"/>
      <c r="L25" s="7"/>
      <c r="M25" s="7"/>
      <c r="N25" s="7"/>
      <c r="O25" s="7"/>
    </row>
    <row r="26" ht="15.75" customHeight="1">
      <c r="A26" s="7"/>
      <c r="B26" s="7"/>
      <c r="C26" s="7"/>
      <c r="D26" s="7"/>
      <c r="E26" s="7"/>
      <c r="F26" s="7"/>
      <c r="G26" s="7"/>
      <c r="H26" s="7"/>
      <c r="I26" s="7"/>
      <c r="J26" s="7"/>
      <c r="K26" s="7"/>
      <c r="L26" s="7"/>
      <c r="M26" s="7"/>
      <c r="N26" s="7"/>
      <c r="O26" s="7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UpdateForexConversion!$4:$4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 format for current sheet" sqref="G3">
      <formula1>"Input Format,Output Format"</formula1>
    </dataValidation>
  </dataValidations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7"/>
      <c r="B1" s="2" t="s">
        <v>11</v>
      </c>
      <c r="C1" s="3"/>
      <c r="D1" s="3"/>
      <c r="E1" s="3"/>
      <c r="F1" s="3"/>
      <c r="G1" s="3"/>
      <c r="H1" s="5"/>
      <c r="I1" s="17"/>
      <c r="J1" s="17"/>
      <c r="K1" s="17"/>
      <c r="L1" s="17"/>
      <c r="M1" s="17"/>
      <c r="N1" s="17"/>
      <c r="O1" s="17"/>
      <c r="P1" s="18"/>
      <c r="Q1" s="18"/>
      <c r="R1" s="18"/>
      <c r="S1" s="18"/>
      <c r="T1" s="18"/>
      <c r="U1" s="18"/>
      <c r="V1" s="18"/>
      <c r="W1" s="18"/>
      <c r="X1" s="18"/>
      <c r="Y1" s="18"/>
      <c r="Z1" s="18"/>
      <c r="AA1" s="18"/>
      <c r="AB1" s="18"/>
      <c r="AC1" s="18"/>
      <c r="AD1" s="18"/>
      <c r="AE1" s="18"/>
      <c r="AF1" s="18"/>
      <c r="AG1" s="18"/>
      <c r="AH1" s="18"/>
      <c r="AI1" s="18"/>
      <c r="AJ1" s="18"/>
      <c r="AK1" s="18"/>
      <c r="AL1" s="18"/>
      <c r="AM1" s="18"/>
      <c r="AN1" s="18"/>
      <c r="AO1" s="18"/>
      <c r="AP1" s="18"/>
      <c r="AQ1" s="18"/>
      <c r="AR1" s="18"/>
      <c r="AS1" s="18"/>
      <c r="AT1" s="18"/>
      <c r="AU1" s="18"/>
      <c r="AV1" s="18"/>
      <c r="AW1" s="18"/>
      <c r="AX1" s="18"/>
      <c r="AY1" s="18"/>
      <c r="AZ1" s="18"/>
      <c r="BA1" s="18"/>
      <c r="BB1" s="18"/>
      <c r="BC1" s="18"/>
      <c r="BD1" s="18"/>
      <c r="BE1" s="18"/>
      <c r="BF1" s="18"/>
      <c r="BG1" s="18"/>
      <c r="BH1" s="18"/>
      <c r="BI1" s="18"/>
      <c r="BJ1" s="18"/>
      <c r="BK1" s="18"/>
      <c r="BL1" s="18"/>
      <c r="BM1" s="18"/>
      <c r="BN1" s="18"/>
      <c r="BO1" s="18"/>
      <c r="BP1" s="18"/>
      <c r="BQ1" s="18"/>
      <c r="BR1" s="18"/>
      <c r="BS1" s="18"/>
      <c r="BT1" s="18"/>
      <c r="BU1" s="18"/>
      <c r="BV1" s="18"/>
      <c r="BW1" s="18"/>
      <c r="BX1" s="18"/>
      <c r="BY1" s="18"/>
      <c r="BZ1" s="18"/>
      <c r="CA1" s="18"/>
      <c r="CB1" s="18"/>
      <c r="CC1" s="18"/>
      <c r="CD1" s="18"/>
      <c r="CE1" s="18"/>
      <c r="CF1" s="18"/>
      <c r="CG1" s="18"/>
      <c r="CH1" s="18"/>
      <c r="CI1" s="18"/>
      <c r="CJ1" s="18"/>
      <c r="CK1" s="18"/>
      <c r="CL1" s="18"/>
      <c r="CM1" s="18"/>
      <c r="CN1" s="18"/>
      <c r="CO1" s="18"/>
      <c r="CP1" s="18"/>
      <c r="CQ1" s="18"/>
      <c r="CR1" s="18"/>
      <c r="CS1" s="18"/>
      <c r="CT1" s="18"/>
      <c r="CU1" s="18"/>
      <c r="CV1" s="18"/>
      <c r="CW1" s="18"/>
      <c r="CX1" s="18"/>
      <c r="CY1" s="18"/>
      <c r="CZ1" s="18"/>
      <c r="DA1" s="18"/>
      <c r="DB1" s="18"/>
      <c r="DC1" s="18"/>
      <c r="DD1" s="18"/>
      <c r="DE1" s="18"/>
      <c r="DF1" s="18"/>
      <c r="DG1" s="18"/>
      <c r="DH1" s="18"/>
      <c r="DI1" s="18"/>
      <c r="DJ1" s="18"/>
      <c r="DK1" s="18"/>
      <c r="DL1" s="18"/>
      <c r="DM1" s="18"/>
      <c r="DN1" s="18"/>
      <c r="DO1" s="18"/>
      <c r="DP1" s="18"/>
      <c r="DQ1" s="18"/>
      <c r="DR1" s="18"/>
      <c r="DS1" s="18"/>
      <c r="DT1" s="18"/>
      <c r="DU1" s="18"/>
      <c r="DV1" s="18"/>
      <c r="DW1" s="18"/>
      <c r="DX1" s="18"/>
      <c r="DY1" s="18"/>
      <c r="DZ1" s="18"/>
      <c r="EA1" s="18"/>
      <c r="EB1" s="18"/>
      <c r="EC1" s="18"/>
      <c r="ED1" s="18"/>
      <c r="EE1" s="18"/>
      <c r="EF1" s="18"/>
      <c r="EG1" s="18"/>
      <c r="EH1" s="18"/>
      <c r="EI1" s="18"/>
      <c r="EJ1" s="18"/>
      <c r="EK1" s="18"/>
      <c r="EL1" s="18"/>
      <c r="EM1" s="18"/>
      <c r="EN1" s="18"/>
      <c r="EO1" s="18"/>
      <c r="EP1" s="18"/>
      <c r="EQ1" s="18"/>
      <c r="ER1" s="18"/>
      <c r="ES1" s="18"/>
      <c r="ET1" s="18"/>
      <c r="EU1" s="18"/>
      <c r="EV1" s="18"/>
      <c r="EW1" s="18"/>
      <c r="EX1" s="18"/>
    </row>
    <row r="2" ht="15.75" customHeight="1">
      <c r="A2" s="7"/>
      <c r="B2" s="7"/>
      <c r="C2" s="7"/>
      <c r="D2" s="7"/>
      <c r="E2" s="7"/>
      <c r="F2" s="7"/>
      <c r="G2" s="7"/>
      <c r="H2" s="7"/>
      <c r="I2" s="7"/>
      <c r="J2" s="19" t="str">
        <f> VLOOKUP($E$3,'_MasterData'!B4:D1000,3,FALSE)</f>
        <v>#N/A</v>
      </c>
      <c r="K2" s="19"/>
      <c r="L2" s="7"/>
      <c r="M2" s="7"/>
      <c r="N2" s="7"/>
      <c r="O2" s="7"/>
    </row>
    <row r="3" ht="15.75" customHeight="1">
      <c r="A3" s="20"/>
      <c r="B3" s="9" t="s">
        <v>3</v>
      </c>
      <c r="C3" s="21" t="s">
        <v>12</v>
      </c>
      <c r="D3" s="9" t="s">
        <v>6</v>
      </c>
      <c r="E3" s="21" t="s">
        <v>27</v>
      </c>
      <c r="F3" s="9" t="s">
        <v>15</v>
      </c>
      <c r="G3" s="16" t="s">
        <v>17</v>
      </c>
      <c r="H3" s="9"/>
      <c r="I3" s="20"/>
      <c r="J3" s="20"/>
      <c r="K3" s="20"/>
      <c r="L3" s="20"/>
      <c r="M3" s="20"/>
      <c r="N3" s="20"/>
      <c r="O3" s="20"/>
      <c r="P3" s="22"/>
      <c r="Q3" s="22"/>
      <c r="R3" s="22"/>
      <c r="S3" s="22"/>
      <c r="T3" s="22"/>
      <c r="U3" s="22"/>
      <c r="V3" s="22"/>
      <c r="W3" s="22"/>
      <c r="X3" s="22"/>
      <c r="Y3" s="22"/>
      <c r="Z3" s="22"/>
      <c r="AA3" s="22"/>
      <c r="AB3" s="22"/>
      <c r="AC3" s="22"/>
      <c r="AD3" s="22"/>
      <c r="AE3" s="22"/>
      <c r="AF3" s="22"/>
      <c r="AG3" s="22"/>
      <c r="AH3" s="22"/>
      <c r="AI3" s="22"/>
      <c r="AJ3" s="22"/>
      <c r="AK3" s="22"/>
      <c r="AL3" s="22"/>
      <c r="AM3" s="22"/>
      <c r="AN3" s="22"/>
      <c r="AO3" s="22"/>
      <c r="AP3" s="22"/>
      <c r="AQ3" s="22"/>
      <c r="AR3" s="22"/>
      <c r="AS3" s="22"/>
      <c r="AT3" s="22"/>
      <c r="AU3" s="22"/>
      <c r="AV3" s="22"/>
      <c r="AW3" s="22"/>
      <c r="AX3" s="22"/>
      <c r="AY3" s="22"/>
      <c r="AZ3" s="22"/>
      <c r="BA3" s="22"/>
      <c r="BB3" s="22"/>
      <c r="BC3" s="22"/>
      <c r="BD3" s="22"/>
      <c r="BE3" s="22"/>
      <c r="BF3" s="22"/>
      <c r="BG3" s="22"/>
      <c r="BH3" s="22"/>
      <c r="BI3" s="22"/>
      <c r="BJ3" s="22"/>
      <c r="BK3" s="22"/>
      <c r="BL3" s="22"/>
      <c r="BM3" s="22"/>
      <c r="BN3" s="22"/>
      <c r="BO3" s="22"/>
      <c r="BP3" s="22"/>
      <c r="BQ3" s="22"/>
      <c r="BR3" s="22"/>
      <c r="BS3" s="22"/>
      <c r="BT3" s="22"/>
      <c r="BU3" s="22"/>
      <c r="BV3" s="22"/>
      <c r="BW3" s="22"/>
      <c r="BX3" s="22"/>
      <c r="BY3" s="22"/>
      <c r="BZ3" s="22"/>
      <c r="CA3" s="22"/>
      <c r="CB3" s="22"/>
      <c r="CC3" s="22"/>
      <c r="CD3" s="22"/>
      <c r="CE3" s="22"/>
      <c r="CF3" s="22"/>
      <c r="CG3" s="22"/>
      <c r="CH3" s="22"/>
      <c r="CI3" s="22"/>
      <c r="CJ3" s="22"/>
      <c r="CK3" s="22"/>
      <c r="CL3" s="22"/>
      <c r="CM3" s="22"/>
      <c r="CN3" s="22"/>
      <c r="CO3" s="22"/>
      <c r="CP3" s="22"/>
      <c r="CQ3" s="22"/>
      <c r="CR3" s="22"/>
      <c r="CS3" s="22"/>
      <c r="CT3" s="22"/>
      <c r="CU3" s="22"/>
      <c r="CV3" s="22"/>
      <c r="CW3" s="22"/>
      <c r="CX3" s="22"/>
      <c r="CY3" s="22"/>
      <c r="CZ3" s="22"/>
      <c r="DA3" s="22"/>
      <c r="DB3" s="22"/>
      <c r="DC3" s="22"/>
      <c r="DD3" s="22"/>
      <c r="DE3" s="22"/>
      <c r="DF3" s="22"/>
      <c r="DG3" s="22"/>
      <c r="DH3" s="22"/>
      <c r="DI3" s="22"/>
      <c r="DJ3" s="22"/>
      <c r="DK3" s="22"/>
      <c r="DL3" s="22"/>
      <c r="DM3" s="22"/>
      <c r="DN3" s="22"/>
      <c r="DO3" s="22"/>
      <c r="DP3" s="22"/>
      <c r="DQ3" s="22"/>
      <c r="DR3" s="22"/>
      <c r="DS3" s="22"/>
      <c r="DT3" s="22"/>
      <c r="DU3" s="22"/>
      <c r="DV3" s="22"/>
      <c r="DW3" s="22"/>
      <c r="DX3" s="22"/>
      <c r="DY3" s="22"/>
      <c r="DZ3" s="22"/>
      <c r="EA3" s="22"/>
      <c r="EB3" s="22"/>
      <c r="EC3" s="22"/>
      <c r="ED3" s="22"/>
      <c r="EE3" s="22"/>
      <c r="EF3" s="22"/>
      <c r="EG3" s="22"/>
      <c r="EH3" s="22"/>
      <c r="EI3" s="22"/>
      <c r="EJ3" s="22"/>
      <c r="EK3" s="22"/>
      <c r="EL3" s="22"/>
      <c r="EM3" s="22"/>
      <c r="EN3" s="22"/>
      <c r="EO3" s="22"/>
      <c r="EP3" s="22"/>
      <c r="EQ3" s="22"/>
      <c r="ER3" s="22"/>
      <c r="ES3" s="22"/>
      <c r="ET3" s="22"/>
      <c r="EU3" s="22"/>
      <c r="EV3" s="22"/>
      <c r="EW3" s="22"/>
      <c r="EX3" s="22"/>
    </row>
    <row r="4" ht="15.75" customHeight="1">
      <c r="A4" s="23"/>
      <c r="B4" s="23" t="str">
        <f>IFERROR(__xludf.DUMMYFUNCTION("IF(C3="""","""",Transpose(IMPORTRANGE('_Settings'!$B$3,C3&amp;""!A4:A1000"")))"),"UpdateBeta")</f>
        <v>UpdateBeta</v>
      </c>
      <c r="C4" s="23" t="str">
        <f>IFERROR(__xludf.DUMMYFUNCTION("""COMPUTED_VALUE"""),"UpdateDailyCash")</f>
        <v>UpdateDailyCash</v>
      </c>
      <c r="D4" s="23" t="str">
        <f>IFERROR(__xludf.DUMMYFUNCTION("""COMPUTED_VALUE"""),"UpdateForexConversion")</f>
        <v>UpdateForexConversion</v>
      </c>
      <c r="E4" s="23" t="str">
        <f>IFERROR(__xludf.DUMMYFUNCTION("""COMPUTED_VALUE"""),"UpdateMarkPrice")</f>
        <v>UpdateMarkPrice</v>
      </c>
      <c r="F4" s="23" t="str">
        <f>IFERROR(__xludf.DUMMYFUNCTION("""COMPUTED_VALUE"""),"CleanUp")</f>
        <v>CleanUp</v>
      </c>
      <c r="G4" s="23" t="str">
        <f>IFERROR(__xludf.DUMMYFUNCTION("""COMPUTED_VALUE"""),"GetMarkPriceData")</f>
        <v>GetMarkPriceData</v>
      </c>
      <c r="H4" s="23" t="str">
        <f>IFERROR(__xludf.DUMMYFUNCTION("""COMPUTED_VALUE"""),"GetForwardPoints")</f>
        <v>GetForwardPoints</v>
      </c>
      <c r="I4" s="23" t="str">
        <f>IFERROR(__xludf.DUMMYFUNCTION("""COMPUTED_VALUE"""),"UpdateForwardPoints")</f>
        <v>UpdateForwardPoints</v>
      </c>
      <c r="J4" s="23" t="str">
        <f>IFERROR(__xludf.DUMMYFUNCTION("""COMPUTED_VALUE"""),"GetForexConversion")</f>
        <v>GetForexConversion</v>
      </c>
      <c r="K4" s="23" t="str">
        <f>IFERROR(__xludf.DUMMYFUNCTION("""COMPUTED_VALUE"""),"DeleteNAV")</f>
        <v>DeleteNAV</v>
      </c>
      <c r="L4" s="23" t="str">
        <f>IFERROR(__xludf.DUMMYFUNCTION("""COMPUTED_VALUE"""),"GetDailyCash")</f>
        <v>GetDailyCash</v>
      </c>
      <c r="M4" s="23" t="str">
        <f>IFERROR(__xludf.DUMMYFUNCTION("""COMPUTED_VALUE"""),"GetDailyBeta")</f>
        <v>GetDailyBeta</v>
      </c>
      <c r="N4" s="23" t="str">
        <f>IFERROR(__xludf.DUMMYFUNCTION("""COMPUTED_VALUE"""),"GetDailyVolatility")</f>
        <v>GetDailyVolatility</v>
      </c>
      <c r="O4" s="23" t="str">
        <f>IFERROR(__xludf.DUMMYFUNCTION("""COMPUTED_VALUE"""),"GetDailyDividendYield")</f>
        <v>GetDailyDividendYield</v>
      </c>
      <c r="P4" s="24" t="str">
        <f>IFERROR(__xludf.DUMMYFUNCTION("""COMPUTED_VALUE"""),"GetDailyTradingVolume")</f>
        <v>GetDailyTradingVolume</v>
      </c>
      <c r="Q4" s="24" t="str">
        <f>IFERROR(__xludf.DUMMYFUNCTION("""COMPUTED_VALUE"""),"GetDailyOutstandings")</f>
        <v>GetDailyOutstandings</v>
      </c>
      <c r="R4" s="24" t="str">
        <f>IFERROR(__xludf.DUMMYFUNCTION("""COMPUTED_VALUE"""),"GetDailyDelta")</f>
        <v>GetDailyDelta</v>
      </c>
      <c r="S4" s="24" t="str">
        <f>IFERROR(__xludf.DUMMYFUNCTION("""COMPUTED_VALUE"""),"UpdateDailyVolatility")</f>
        <v>UpdateDailyVolatility</v>
      </c>
      <c r="T4" s="24" t="str">
        <f>IFERROR(__xludf.DUMMYFUNCTION("""COMPUTED_VALUE"""),"UpdateDividendYield")</f>
        <v>UpdateDividendYield</v>
      </c>
      <c r="U4" s="24" t="str">
        <f>IFERROR(__xludf.DUMMYFUNCTION("""COMPUTED_VALUE"""),"UpdateTradingVolume")</f>
        <v>UpdateTradingVolume</v>
      </c>
      <c r="V4" s="24" t="str">
        <f>IFERROR(__xludf.DUMMYFUNCTION("""COMPUTED_VALUE"""),"UpdateDailyDelta")</f>
        <v>UpdateDailyDelta</v>
      </c>
      <c r="W4" s="24" t="str">
        <f>IFERROR(__xludf.DUMMYFUNCTION("""COMPUTED_VALUE"""),"UpdateDailyOutstandings")</f>
        <v>UpdateDailyOutstandings</v>
      </c>
      <c r="X4" s="24" t="str">
        <f>IFERROR(__xludf.DUMMYFUNCTION("""COMPUTED_VALUE"""),"UpdateBeta")</f>
        <v>UpdateBeta</v>
      </c>
      <c r="Y4" s="24" t="str">
        <f>IFERROR(__xludf.DUMMYFUNCTION("""COMPUTED_VALUE"""),"UpdateNAV")</f>
        <v>UpdateNAV</v>
      </c>
      <c r="Z4" s="24" t="str">
        <f>IFERROR(__xludf.DUMMYFUNCTION("""COMPUTED_VALUE"""),"UpdateDailyCash")</f>
        <v>UpdateDailyCash</v>
      </c>
      <c r="AA4" s="24" t="str">
        <f>IFERROR(__xludf.DUMMYFUNCTION("""COMPUTED_VALUE"""),"UpdateDailyCreditLimt")</f>
        <v>UpdateDailyCreditLimt</v>
      </c>
      <c r="AB4" s="24" t="str">
        <f>IFERROR(__xludf.DUMMYFUNCTION("""COMPUTED_VALUE"""),"RemoveDailyCreditLimit")</f>
        <v>RemoveDailyCreditLimit</v>
      </c>
      <c r="AC4" s="24" t="str">
        <f>IFERROR(__xludf.DUMMYFUNCTION("""COMPUTED_VALUE"""),"RemoveDailyCash")</f>
        <v>RemoveDailyCash</v>
      </c>
      <c r="AD4" s="24" t="str">
        <f>IFERROR(__xludf.DUMMYFUNCTION("""COMPUTED_VALUE"""),"RemoveNAV")</f>
        <v>RemoveNAV</v>
      </c>
      <c r="AE4" s="24" t="str">
        <f>IFERROR(__xludf.DUMMYFUNCTION("""COMPUTED_VALUE"""),"UpdateForexConversionMonthly")</f>
        <v>UpdateForexConversionMonthly</v>
      </c>
      <c r="AF4" s="24" t="str">
        <f>IFERROR(__xludf.DUMMYFUNCTION("""COMPUTED_VALUE"""),"UpdateMarkPriceMonthly")</f>
        <v>UpdateMarkPriceMonthly</v>
      </c>
      <c r="AG4" s="24" t="str">
        <f>IFERROR(__xludf.DUMMYFUNCTION("""COMPUTED_VALUE"""),"")</f>
        <v/>
      </c>
      <c r="AH4" s="24" t="str">
        <f>IFERROR(__xludf.DUMMYFUNCTION("""COMPUTED_VALUE"""),"")</f>
        <v/>
      </c>
      <c r="AI4" s="24" t="str">
        <f>IFERROR(__xludf.DUMMYFUNCTION("""COMPUTED_VALUE"""),"")</f>
        <v/>
      </c>
      <c r="AJ4" s="24" t="str">
        <f>IFERROR(__xludf.DUMMYFUNCTION("""COMPUTED_VALUE"""),"")</f>
        <v/>
      </c>
      <c r="AK4" s="24" t="str">
        <f>IFERROR(__xludf.DUMMYFUNCTION("""COMPUTED_VALUE"""),"")</f>
        <v/>
      </c>
      <c r="AL4" s="24" t="str">
        <f>IFERROR(__xludf.DUMMYFUNCTION("""COMPUTED_VALUE"""),"")</f>
        <v/>
      </c>
      <c r="AM4" s="24" t="str">
        <f>IFERROR(__xludf.DUMMYFUNCTION("""COMPUTED_VALUE"""),"")</f>
        <v/>
      </c>
      <c r="AN4" s="24" t="str">
        <f>IFERROR(__xludf.DUMMYFUNCTION("""COMPUTED_VALUE"""),"")</f>
        <v/>
      </c>
      <c r="AO4" s="24" t="str">
        <f>IFERROR(__xludf.DUMMYFUNCTION("""COMPUTED_VALUE"""),"")</f>
        <v/>
      </c>
      <c r="AP4" s="24" t="str">
        <f>IFERROR(__xludf.DUMMYFUNCTION("""COMPUTED_VALUE"""),"")</f>
        <v/>
      </c>
      <c r="AQ4" s="24" t="str">
        <f>IFERROR(__xludf.DUMMYFUNCTION("""COMPUTED_VALUE"""),"")</f>
        <v/>
      </c>
      <c r="AR4" s="24" t="str">
        <f>IFERROR(__xludf.DUMMYFUNCTION("""COMPUTED_VALUE"""),"")</f>
        <v/>
      </c>
      <c r="AS4" s="24" t="str">
        <f>IFERROR(__xludf.DUMMYFUNCTION("""COMPUTED_VALUE"""),"")</f>
        <v/>
      </c>
      <c r="AT4" s="24" t="str">
        <f>IFERROR(__xludf.DUMMYFUNCTION("""COMPUTED_VALUE"""),"")</f>
        <v/>
      </c>
      <c r="AU4" s="24" t="str">
        <f>IFERROR(__xludf.DUMMYFUNCTION("""COMPUTED_VALUE"""),"")</f>
        <v/>
      </c>
      <c r="AV4" s="24" t="str">
        <f>IFERROR(__xludf.DUMMYFUNCTION("""COMPUTED_VALUE"""),"")</f>
        <v/>
      </c>
      <c r="AW4" s="24" t="str">
        <f>IFERROR(__xludf.DUMMYFUNCTION("""COMPUTED_VALUE"""),"")</f>
        <v/>
      </c>
      <c r="AX4" s="24" t="str">
        <f>IFERROR(__xludf.DUMMYFUNCTION("""COMPUTED_VALUE"""),"")</f>
        <v/>
      </c>
      <c r="AY4" s="24" t="str">
        <f>IFERROR(__xludf.DUMMYFUNCTION("""COMPUTED_VALUE"""),"")</f>
        <v/>
      </c>
      <c r="AZ4" s="24" t="str">
        <f>IFERROR(__xludf.DUMMYFUNCTION("""COMPUTED_VALUE"""),"")</f>
        <v/>
      </c>
      <c r="BA4" s="24" t="str">
        <f>IFERROR(__xludf.DUMMYFUNCTION("""COMPUTED_VALUE"""),"")</f>
        <v/>
      </c>
      <c r="BB4" s="24" t="str">
        <f>IFERROR(__xludf.DUMMYFUNCTION("""COMPUTED_VALUE"""),"")</f>
        <v/>
      </c>
      <c r="BC4" s="24" t="str">
        <f>IFERROR(__xludf.DUMMYFUNCTION("""COMPUTED_VALUE"""),"")</f>
        <v/>
      </c>
      <c r="BD4" s="24" t="str">
        <f>IFERROR(__xludf.DUMMYFUNCTION("""COMPUTED_VALUE"""),"")</f>
        <v/>
      </c>
      <c r="BE4" s="24" t="str">
        <f>IFERROR(__xludf.DUMMYFUNCTION("""COMPUTED_VALUE"""),"")</f>
        <v/>
      </c>
      <c r="BF4" s="24" t="str">
        <f>IFERROR(__xludf.DUMMYFUNCTION("""COMPUTED_VALUE"""),"")</f>
        <v/>
      </c>
      <c r="BG4" s="24" t="str">
        <f>IFERROR(__xludf.DUMMYFUNCTION("""COMPUTED_VALUE"""),"")</f>
        <v/>
      </c>
      <c r="BH4" s="24" t="str">
        <f>IFERROR(__xludf.DUMMYFUNCTION("""COMPUTED_VALUE"""),"")</f>
        <v/>
      </c>
      <c r="BI4" s="24" t="str">
        <f>IFERROR(__xludf.DUMMYFUNCTION("""COMPUTED_VALUE"""),"")</f>
        <v/>
      </c>
      <c r="BJ4" s="24" t="str">
        <f>IFERROR(__xludf.DUMMYFUNCTION("""COMPUTED_VALUE"""),"")</f>
        <v/>
      </c>
      <c r="BK4" s="24" t="str">
        <f>IFERROR(__xludf.DUMMYFUNCTION("""COMPUTED_VALUE"""),"")</f>
        <v/>
      </c>
      <c r="BL4" s="24" t="str">
        <f>IFERROR(__xludf.DUMMYFUNCTION("""COMPUTED_VALUE"""),"")</f>
        <v/>
      </c>
      <c r="BM4" s="24" t="str">
        <f>IFERROR(__xludf.DUMMYFUNCTION("""COMPUTED_VALUE"""),"")</f>
        <v/>
      </c>
      <c r="BN4" s="24" t="str">
        <f>IFERROR(__xludf.DUMMYFUNCTION("""COMPUTED_VALUE"""),"")</f>
        <v/>
      </c>
      <c r="BO4" s="24" t="str">
        <f>IFERROR(__xludf.DUMMYFUNCTION("""COMPUTED_VALUE"""),"")</f>
        <v/>
      </c>
      <c r="BP4" s="24" t="str">
        <f>IFERROR(__xludf.DUMMYFUNCTION("""COMPUTED_VALUE"""),"")</f>
        <v/>
      </c>
      <c r="BQ4" s="24" t="str">
        <f>IFERROR(__xludf.DUMMYFUNCTION("""COMPUTED_VALUE"""),"")</f>
        <v/>
      </c>
      <c r="BR4" s="24" t="str">
        <f>IFERROR(__xludf.DUMMYFUNCTION("""COMPUTED_VALUE"""),"")</f>
        <v/>
      </c>
      <c r="BS4" s="24" t="str">
        <f>IFERROR(__xludf.DUMMYFUNCTION("""COMPUTED_VALUE"""),"")</f>
        <v/>
      </c>
      <c r="BT4" s="24" t="str">
        <f>IFERROR(__xludf.DUMMYFUNCTION("""COMPUTED_VALUE"""),"")</f>
        <v/>
      </c>
      <c r="BU4" s="24" t="str">
        <f>IFERROR(__xludf.DUMMYFUNCTION("""COMPUTED_VALUE"""),"")</f>
        <v/>
      </c>
      <c r="BV4" s="24" t="str">
        <f>IFERROR(__xludf.DUMMYFUNCTION("""COMPUTED_VALUE"""),"")</f>
        <v/>
      </c>
      <c r="BW4" s="24" t="str">
        <f>IFERROR(__xludf.DUMMYFUNCTION("""COMPUTED_VALUE"""),"")</f>
        <v/>
      </c>
      <c r="BX4" s="24" t="str">
        <f>IFERROR(__xludf.DUMMYFUNCTION("""COMPUTED_VALUE"""),"")</f>
        <v/>
      </c>
      <c r="BY4" s="24" t="str">
        <f>IFERROR(__xludf.DUMMYFUNCTION("""COMPUTED_VALUE"""),"")</f>
        <v/>
      </c>
      <c r="BZ4" s="24" t="str">
        <f>IFERROR(__xludf.DUMMYFUNCTION("""COMPUTED_VALUE"""),"")</f>
        <v/>
      </c>
      <c r="CA4" s="24" t="str">
        <f>IFERROR(__xludf.DUMMYFUNCTION("""COMPUTED_VALUE"""),"")</f>
        <v/>
      </c>
      <c r="CB4" s="24" t="str">
        <f>IFERROR(__xludf.DUMMYFUNCTION("""COMPUTED_VALUE"""),"")</f>
        <v/>
      </c>
      <c r="CC4" s="24" t="str">
        <f>IFERROR(__xludf.DUMMYFUNCTION("""COMPUTED_VALUE"""),"")</f>
        <v/>
      </c>
      <c r="CD4" s="24" t="str">
        <f>IFERROR(__xludf.DUMMYFUNCTION("""COMPUTED_VALUE"""),"")</f>
        <v/>
      </c>
      <c r="CE4" s="24" t="str">
        <f>IFERROR(__xludf.DUMMYFUNCTION("""COMPUTED_VALUE"""),"")</f>
        <v/>
      </c>
      <c r="CF4" s="24" t="str">
        <f>IFERROR(__xludf.DUMMYFUNCTION("""COMPUTED_VALUE"""),"")</f>
        <v/>
      </c>
      <c r="CG4" s="24" t="str">
        <f>IFERROR(__xludf.DUMMYFUNCTION("""COMPUTED_VALUE"""),"")</f>
        <v/>
      </c>
      <c r="CH4" s="24" t="str">
        <f>IFERROR(__xludf.DUMMYFUNCTION("""COMPUTED_VALUE"""),"")</f>
        <v/>
      </c>
      <c r="CI4" s="24" t="str">
        <f>IFERROR(__xludf.DUMMYFUNCTION("""COMPUTED_VALUE"""),"")</f>
        <v/>
      </c>
      <c r="CJ4" s="24" t="str">
        <f>IFERROR(__xludf.DUMMYFUNCTION("""COMPUTED_VALUE"""),"")</f>
        <v/>
      </c>
      <c r="CK4" s="24" t="str">
        <f>IFERROR(__xludf.DUMMYFUNCTION("""COMPUTED_VALUE"""),"")</f>
        <v/>
      </c>
      <c r="CL4" s="24" t="str">
        <f>IFERROR(__xludf.DUMMYFUNCTION("""COMPUTED_VALUE"""),"")</f>
        <v/>
      </c>
      <c r="CM4" s="24" t="str">
        <f>IFERROR(__xludf.DUMMYFUNCTION("""COMPUTED_VALUE"""),"")</f>
        <v/>
      </c>
      <c r="CN4" s="24" t="str">
        <f>IFERROR(__xludf.DUMMYFUNCTION("""COMPUTED_VALUE"""),"")</f>
        <v/>
      </c>
      <c r="CO4" s="24" t="str">
        <f>IFERROR(__xludf.DUMMYFUNCTION("""COMPUTED_VALUE"""),"")</f>
        <v/>
      </c>
      <c r="CP4" s="24" t="str">
        <f>IFERROR(__xludf.DUMMYFUNCTION("""COMPUTED_VALUE"""),"")</f>
        <v/>
      </c>
      <c r="CQ4" s="24" t="str">
        <f>IFERROR(__xludf.DUMMYFUNCTION("""COMPUTED_VALUE"""),"")</f>
        <v/>
      </c>
      <c r="CR4" s="24" t="str">
        <f>IFERROR(__xludf.DUMMYFUNCTION("""COMPUTED_VALUE"""),"")</f>
        <v/>
      </c>
      <c r="CS4" s="24" t="str">
        <f>IFERROR(__xludf.DUMMYFUNCTION("""COMPUTED_VALUE"""),"")</f>
        <v/>
      </c>
      <c r="CT4" s="24" t="str">
        <f>IFERROR(__xludf.DUMMYFUNCTION("""COMPUTED_VALUE"""),"")</f>
        <v/>
      </c>
      <c r="CU4" s="24" t="str">
        <f>IFERROR(__xludf.DUMMYFUNCTION("""COMPUTED_VALUE"""),"")</f>
        <v/>
      </c>
      <c r="CV4" s="24" t="str">
        <f>IFERROR(__xludf.DUMMYFUNCTION("""COMPUTED_VALUE"""),"")</f>
        <v/>
      </c>
      <c r="CW4" s="24" t="str">
        <f>IFERROR(__xludf.DUMMYFUNCTION("""COMPUTED_VALUE"""),"")</f>
        <v/>
      </c>
      <c r="CX4" s="24" t="str">
        <f>IFERROR(__xludf.DUMMYFUNCTION("""COMPUTED_VALUE"""),"")</f>
        <v/>
      </c>
      <c r="CY4" s="24" t="str">
        <f>IFERROR(__xludf.DUMMYFUNCTION("""COMPUTED_VALUE"""),"")</f>
        <v/>
      </c>
      <c r="CZ4" s="24" t="str">
        <f>IFERROR(__xludf.DUMMYFUNCTION("""COMPUTED_VALUE"""),"")</f>
        <v/>
      </c>
      <c r="DA4" s="24" t="str">
        <f>IFERROR(__xludf.DUMMYFUNCTION("""COMPUTED_VALUE"""),"")</f>
        <v/>
      </c>
      <c r="DB4" s="24" t="str">
        <f>IFERROR(__xludf.DUMMYFUNCTION("""COMPUTED_VALUE"""),"")</f>
        <v/>
      </c>
      <c r="DC4" s="24" t="str">
        <f>IFERROR(__xludf.DUMMYFUNCTION("""COMPUTED_VALUE"""),"")</f>
        <v/>
      </c>
      <c r="DD4" s="24" t="str">
        <f>IFERROR(__xludf.DUMMYFUNCTION("""COMPUTED_VALUE"""),"")</f>
        <v/>
      </c>
      <c r="DE4" s="24" t="str">
        <f>IFERROR(__xludf.DUMMYFUNCTION("""COMPUTED_VALUE"""),"")</f>
        <v/>
      </c>
      <c r="DF4" s="24" t="str">
        <f>IFERROR(__xludf.DUMMYFUNCTION("""COMPUTED_VALUE"""),"")</f>
        <v/>
      </c>
      <c r="DG4" s="24" t="str">
        <f>IFERROR(__xludf.DUMMYFUNCTION("""COMPUTED_VALUE"""),"")</f>
        <v/>
      </c>
      <c r="DH4" s="24" t="str">
        <f>IFERROR(__xludf.DUMMYFUNCTION("""COMPUTED_VALUE"""),"")</f>
        <v/>
      </c>
      <c r="DI4" s="24" t="str">
        <f>IFERROR(__xludf.DUMMYFUNCTION("""COMPUTED_VALUE"""),"")</f>
        <v/>
      </c>
      <c r="DJ4" s="24" t="str">
        <f>IFERROR(__xludf.DUMMYFUNCTION("""COMPUTED_VALUE"""),"")</f>
        <v/>
      </c>
      <c r="DK4" s="24" t="str">
        <f>IFERROR(__xludf.DUMMYFUNCTION("""COMPUTED_VALUE"""),"")</f>
        <v/>
      </c>
      <c r="DL4" s="24" t="str">
        <f>IFERROR(__xludf.DUMMYFUNCTION("""COMPUTED_VALUE"""),"")</f>
        <v/>
      </c>
      <c r="DM4" s="24" t="str">
        <f>IFERROR(__xludf.DUMMYFUNCTION("""COMPUTED_VALUE"""),"")</f>
        <v/>
      </c>
      <c r="DN4" s="24" t="str">
        <f>IFERROR(__xludf.DUMMYFUNCTION("""COMPUTED_VALUE"""),"")</f>
        <v/>
      </c>
      <c r="DO4" s="24" t="str">
        <f>IFERROR(__xludf.DUMMYFUNCTION("""COMPUTED_VALUE"""),"")</f>
        <v/>
      </c>
      <c r="DP4" s="24" t="str">
        <f>IFERROR(__xludf.DUMMYFUNCTION("""COMPUTED_VALUE"""),"")</f>
        <v/>
      </c>
      <c r="DQ4" s="24" t="str">
        <f>IFERROR(__xludf.DUMMYFUNCTION("""COMPUTED_VALUE"""),"")</f>
        <v/>
      </c>
      <c r="DR4" s="24" t="str">
        <f>IFERROR(__xludf.DUMMYFUNCTION("""COMPUTED_VALUE"""),"")</f>
        <v/>
      </c>
      <c r="DS4" s="24" t="str">
        <f>IFERROR(__xludf.DUMMYFUNCTION("""COMPUTED_VALUE"""),"")</f>
        <v/>
      </c>
      <c r="DT4" s="24" t="str">
        <f>IFERROR(__xludf.DUMMYFUNCTION("""COMPUTED_VALUE"""),"")</f>
        <v/>
      </c>
      <c r="DU4" s="24" t="str">
        <f>IFERROR(__xludf.DUMMYFUNCTION("""COMPUTED_VALUE"""),"")</f>
        <v/>
      </c>
      <c r="DV4" s="24" t="str">
        <f>IFERROR(__xludf.DUMMYFUNCTION("""COMPUTED_VALUE"""),"")</f>
        <v/>
      </c>
      <c r="DW4" s="24" t="str">
        <f>IFERROR(__xludf.DUMMYFUNCTION("""COMPUTED_VALUE"""),"")</f>
        <v/>
      </c>
      <c r="DX4" s="24" t="str">
        <f>IFERROR(__xludf.DUMMYFUNCTION("""COMPUTED_VALUE"""),"")</f>
        <v/>
      </c>
      <c r="DY4" s="24" t="str">
        <f>IFERROR(__xludf.DUMMYFUNCTION("""COMPUTED_VALUE"""),"")</f>
        <v/>
      </c>
      <c r="DZ4" s="24" t="str">
        <f>IFERROR(__xludf.DUMMYFUNCTION("""COMPUTED_VALUE"""),"")</f>
        <v/>
      </c>
      <c r="EA4" s="24" t="str">
        <f>IFERROR(__xludf.DUMMYFUNCTION("""COMPUTED_VALUE"""),"")</f>
        <v/>
      </c>
      <c r="EB4" s="24" t="str">
        <f>IFERROR(__xludf.DUMMYFUNCTION("""COMPUTED_VALUE"""),"")</f>
        <v/>
      </c>
      <c r="EC4" s="24" t="str">
        <f>IFERROR(__xludf.DUMMYFUNCTION("""COMPUTED_VALUE"""),"")</f>
        <v/>
      </c>
      <c r="ED4" s="24" t="str">
        <f>IFERROR(__xludf.DUMMYFUNCTION("""COMPUTED_VALUE"""),"")</f>
        <v/>
      </c>
      <c r="EE4" s="24" t="str">
        <f>IFERROR(__xludf.DUMMYFUNCTION("""COMPUTED_VALUE"""),"")</f>
        <v/>
      </c>
      <c r="EF4" s="24" t="str">
        <f>IFERROR(__xludf.DUMMYFUNCTION("""COMPUTED_VALUE"""),"")</f>
        <v/>
      </c>
      <c r="EG4" s="24" t="str">
        <f>IFERROR(__xludf.DUMMYFUNCTION("""COMPUTED_VALUE"""),"")</f>
        <v/>
      </c>
      <c r="EH4" s="24" t="str">
        <f>IFERROR(__xludf.DUMMYFUNCTION("""COMPUTED_VALUE"""),"")</f>
        <v/>
      </c>
      <c r="EI4" s="24" t="str">
        <f>IFERROR(__xludf.DUMMYFUNCTION("""COMPUTED_VALUE"""),"")</f>
        <v/>
      </c>
      <c r="EJ4" s="24" t="str">
        <f>IFERROR(__xludf.DUMMYFUNCTION("""COMPUTED_VALUE"""),"")</f>
        <v/>
      </c>
      <c r="EK4" s="24" t="str">
        <f>IFERROR(__xludf.DUMMYFUNCTION("""COMPUTED_VALUE"""),"")</f>
        <v/>
      </c>
      <c r="EL4" s="24" t="str">
        <f>IFERROR(__xludf.DUMMYFUNCTION("""COMPUTED_VALUE"""),"")</f>
        <v/>
      </c>
      <c r="EM4" s="24" t="str">
        <f>IFERROR(__xludf.DUMMYFUNCTION("""COMPUTED_VALUE"""),"")</f>
        <v/>
      </c>
      <c r="EN4" s="24" t="str">
        <f>IFERROR(__xludf.DUMMYFUNCTION("""COMPUTED_VALUE"""),"")</f>
        <v/>
      </c>
      <c r="EO4" s="24" t="str">
        <f>IFERROR(__xludf.DUMMYFUNCTION("""COMPUTED_VALUE"""),"")</f>
        <v/>
      </c>
      <c r="EP4" s="24" t="str">
        <f>IFERROR(__xludf.DUMMYFUNCTION("""COMPUTED_VALUE"""),"")</f>
        <v/>
      </c>
      <c r="EQ4" s="24" t="str">
        <f>IFERROR(__xludf.DUMMYFUNCTION("""COMPUTED_VALUE"""),"")</f>
        <v/>
      </c>
      <c r="ER4" s="24" t="str">
        <f>IFERROR(__xludf.DUMMYFUNCTION("""COMPUTED_VALUE"""),"")</f>
        <v/>
      </c>
      <c r="ES4" s="24" t="str">
        <f>IFERROR(__xludf.DUMMYFUNCTION("""COMPUTED_VALUE"""),"")</f>
        <v/>
      </c>
      <c r="ET4" s="24" t="str">
        <f>IFERROR(__xludf.DUMMYFUNCTION("""COMPUTED_VALUE"""),"")</f>
        <v/>
      </c>
      <c r="EU4" s="24" t="str">
        <f>IFERROR(__xludf.DUMMYFUNCTION("""COMPUTED_VALUE"""),"")</f>
        <v/>
      </c>
      <c r="EV4" s="24" t="str">
        <f>IFERROR(__xludf.DUMMYFUNCTION("""COMPUTED_VALUE"""),"")</f>
        <v/>
      </c>
      <c r="EW4" s="24" t="str">
        <f>IFERROR(__xludf.DUMMYFUNCTION("""COMPUTED_VALUE"""),"")</f>
        <v/>
      </c>
      <c r="EX4" s="24" t="str">
        <f>IFERROR(__xludf.DUMMYFUNCTION("""COMPUTED_VALUE"""),"")</f>
        <v/>
      </c>
    </row>
    <row r="5" ht="15.75" customHeight="1">
      <c r="A5" s="25" t="str">
        <f>IFERROR(__xludf.DUMMYFUNCTION("TRANSPOSE(IMPORTRANGE(VLOOKUP($E$3,IMPORTRANGE('_Settings'!$B$3,$C$3&amp;""!A4:B1000""),2,FALSE),$G$3&amp;""!A4:A1000""))"),"")</f>
        <v/>
      </c>
      <c r="B5" s="26" t="str">
        <f>IFERROR(__xludf.DUMMYFUNCTION("""COMPUTED_VALUE"""),"Select Date")</f>
        <v>Select Date</v>
      </c>
      <c r="C5" s="26" t="str">
        <f>IFERROR(__xludf.DUMMYFUNCTION("""COMPUTED_VALUE"""),"Copy Date")</f>
        <v>Copy Date</v>
      </c>
      <c r="D5" s="26" t="str">
        <f>IFERROR(__xludf.DUMMYFUNCTION("""COMPUTED_VALUE"""),"")</f>
        <v/>
      </c>
      <c r="E5" s="26" t="str">
        <f>IFERROR(__xludf.DUMMYFUNCTION("""COMPUTED_VALUE"""),"")</f>
        <v/>
      </c>
      <c r="F5" s="27" t="str">
        <f>IFERROR(__xludf.DUMMYFUNCTION("""COMPUTED_VALUE"""),"")</f>
        <v/>
      </c>
      <c r="G5" s="26" t="str">
        <f>IFERROR(__xludf.DUMMYFUNCTION("""COMPUTED_VALUE"""),"")</f>
        <v/>
      </c>
      <c r="H5" s="26" t="str">
        <f>IFERROR(__xludf.DUMMYFUNCTION("""COMPUTED_VALUE"""),"")</f>
        <v/>
      </c>
      <c r="I5" s="26" t="str">
        <f>IFERROR(__xludf.DUMMYFUNCTION("""COMPUTED_VALUE"""),"")</f>
        <v/>
      </c>
      <c r="J5" s="26" t="str">
        <f>IFERROR(__xludf.DUMMYFUNCTION("""COMPUTED_VALUE"""),"")</f>
        <v/>
      </c>
      <c r="K5" s="26" t="str">
        <f>IFERROR(__xludf.DUMMYFUNCTION("""COMPUTED_VALUE"""),"")</f>
        <v/>
      </c>
      <c r="L5" s="26" t="str">
        <f>IFERROR(__xludf.DUMMYFUNCTION("""COMPUTED_VALUE"""),"")</f>
        <v/>
      </c>
      <c r="M5" s="26" t="str">
        <f>IFERROR(__xludf.DUMMYFUNCTION("""COMPUTED_VALUE"""),"")</f>
        <v/>
      </c>
      <c r="N5" s="26" t="str">
        <f>IFERROR(__xludf.DUMMYFUNCTION("""COMPUTED_VALUE"""),"")</f>
        <v/>
      </c>
      <c r="O5" s="26" t="str">
        <f>IFERROR(__xludf.DUMMYFUNCTION("""COMPUTED_VALUE"""),"")</f>
        <v/>
      </c>
      <c r="P5" s="26" t="str">
        <f>IFERROR(__xludf.DUMMYFUNCTION("""COMPUTED_VALUE"""),"")</f>
        <v/>
      </c>
      <c r="Q5" s="26" t="str">
        <f>IFERROR(__xludf.DUMMYFUNCTION("""COMPUTED_VALUE"""),"")</f>
        <v/>
      </c>
      <c r="R5" s="26" t="str">
        <f>IFERROR(__xludf.DUMMYFUNCTION("""COMPUTED_VALUE"""),"")</f>
        <v/>
      </c>
      <c r="S5" s="26" t="str">
        <f>IFERROR(__xludf.DUMMYFUNCTION("""COMPUTED_VALUE"""),"")</f>
        <v/>
      </c>
      <c r="T5" s="28" t="str">
        <f>IFERROR(__xludf.DUMMYFUNCTION("""COMPUTED_VALUE"""),"")</f>
        <v/>
      </c>
      <c r="U5" s="28" t="str">
        <f>IFERROR(__xludf.DUMMYFUNCTION("""COMPUTED_VALUE"""),"")</f>
        <v/>
      </c>
      <c r="V5" s="28" t="str">
        <f>IFERROR(__xludf.DUMMYFUNCTION("""COMPUTED_VALUE"""),"")</f>
        <v/>
      </c>
      <c r="W5" s="28" t="str">
        <f>IFERROR(__xludf.DUMMYFUNCTION("""COMPUTED_VALUE"""),"")</f>
        <v/>
      </c>
      <c r="X5" s="28" t="str">
        <f>IFERROR(__xludf.DUMMYFUNCTION("""COMPUTED_VALUE"""),"")</f>
        <v/>
      </c>
      <c r="Y5" s="28" t="str">
        <f>IFERROR(__xludf.DUMMYFUNCTION("""COMPUTED_VALUE"""),"")</f>
        <v/>
      </c>
      <c r="Z5" s="28" t="str">
        <f>IFERROR(__xludf.DUMMYFUNCTION("""COMPUTED_VALUE"""),"")</f>
        <v/>
      </c>
      <c r="AA5" s="28" t="str">
        <f>IFERROR(__xludf.DUMMYFUNCTION("""COMPUTED_VALUE"""),"")</f>
        <v/>
      </c>
      <c r="AB5" s="28" t="str">
        <f>IFERROR(__xludf.DUMMYFUNCTION("""COMPUTED_VALUE"""),"")</f>
        <v/>
      </c>
      <c r="AC5" s="28" t="str">
        <f>IFERROR(__xludf.DUMMYFUNCTION("""COMPUTED_VALUE"""),"")</f>
        <v/>
      </c>
      <c r="AD5" s="28" t="str">
        <f>IFERROR(__xludf.DUMMYFUNCTION("""COMPUTED_VALUE"""),"")</f>
        <v/>
      </c>
      <c r="AE5" s="28" t="str">
        <f>IFERROR(__xludf.DUMMYFUNCTION("""COMPUTED_VALUE"""),"")</f>
        <v/>
      </c>
      <c r="AF5" s="28" t="str">
        <f>IFERROR(__xludf.DUMMYFUNCTION("""COMPUTED_VALUE"""),"")</f>
        <v/>
      </c>
      <c r="AG5" s="28" t="str">
        <f>IFERROR(__xludf.DUMMYFUNCTION("""COMPUTED_VALUE"""),"")</f>
        <v/>
      </c>
      <c r="AH5" s="28" t="str">
        <f>IFERROR(__xludf.DUMMYFUNCTION("""COMPUTED_VALUE"""),"")</f>
        <v/>
      </c>
      <c r="AI5" s="28" t="str">
        <f>IFERROR(__xludf.DUMMYFUNCTION("""COMPUTED_VALUE"""),"")</f>
        <v/>
      </c>
      <c r="AJ5" s="28" t="str">
        <f>IFERROR(__xludf.DUMMYFUNCTION("""COMPUTED_VALUE"""),"")</f>
        <v/>
      </c>
      <c r="AK5" s="28" t="str">
        <f>IFERROR(__xludf.DUMMYFUNCTION("""COMPUTED_VALUE"""),"")</f>
        <v/>
      </c>
      <c r="AL5" s="28" t="str">
        <f>IFERROR(__xludf.DUMMYFUNCTION("""COMPUTED_VALUE"""),"")</f>
        <v/>
      </c>
      <c r="AM5" s="28" t="str">
        <f>IFERROR(__xludf.DUMMYFUNCTION("""COMPUTED_VALUE"""),"")</f>
        <v/>
      </c>
      <c r="AN5" s="28" t="str">
        <f>IFERROR(__xludf.DUMMYFUNCTION("""COMPUTED_VALUE"""),"")</f>
        <v/>
      </c>
      <c r="AO5" s="28" t="str">
        <f>IFERROR(__xludf.DUMMYFUNCTION("""COMPUTED_VALUE"""),"")</f>
        <v/>
      </c>
      <c r="AP5" s="28" t="str">
        <f>IFERROR(__xludf.DUMMYFUNCTION("""COMPUTED_VALUE"""),"")</f>
        <v/>
      </c>
      <c r="AQ5" s="28" t="str">
        <f>IFERROR(__xludf.DUMMYFUNCTION("""COMPUTED_VALUE"""),"")</f>
        <v/>
      </c>
      <c r="AR5" s="28" t="str">
        <f>IFERROR(__xludf.DUMMYFUNCTION("""COMPUTED_VALUE"""),"")</f>
        <v/>
      </c>
      <c r="AS5" s="28" t="str">
        <f>IFERROR(__xludf.DUMMYFUNCTION("""COMPUTED_VALUE"""),"")</f>
        <v/>
      </c>
      <c r="AT5" s="28" t="str">
        <f>IFERROR(__xludf.DUMMYFUNCTION("""COMPUTED_VALUE"""),"")</f>
        <v/>
      </c>
      <c r="AU5" s="28" t="str">
        <f>IFERROR(__xludf.DUMMYFUNCTION("""COMPUTED_VALUE"""),"")</f>
        <v/>
      </c>
      <c r="AV5" s="28" t="str">
        <f>IFERROR(__xludf.DUMMYFUNCTION("""COMPUTED_VALUE"""),"")</f>
        <v/>
      </c>
      <c r="AW5" s="28" t="str">
        <f>IFERROR(__xludf.DUMMYFUNCTION("""COMPUTED_VALUE"""),"")</f>
        <v/>
      </c>
      <c r="AX5" s="28" t="str">
        <f>IFERROR(__xludf.DUMMYFUNCTION("""COMPUTED_VALUE"""),"")</f>
        <v/>
      </c>
      <c r="AY5" s="28" t="str">
        <f>IFERROR(__xludf.DUMMYFUNCTION("""COMPUTED_VALUE"""),"")</f>
        <v/>
      </c>
      <c r="AZ5" s="28" t="str">
        <f>IFERROR(__xludf.DUMMYFUNCTION("""COMPUTED_VALUE"""),"")</f>
        <v/>
      </c>
      <c r="BA5" s="28" t="str">
        <f>IFERROR(__xludf.DUMMYFUNCTION("""COMPUTED_VALUE"""),"")</f>
        <v/>
      </c>
      <c r="BB5" s="28" t="str">
        <f>IFERROR(__xludf.DUMMYFUNCTION("""COMPUTED_VALUE"""),"")</f>
        <v/>
      </c>
      <c r="BC5" s="28" t="str">
        <f>IFERROR(__xludf.DUMMYFUNCTION("""COMPUTED_VALUE"""),"")</f>
        <v/>
      </c>
      <c r="BD5" s="28" t="str">
        <f>IFERROR(__xludf.DUMMYFUNCTION("""COMPUTED_VALUE"""),"")</f>
        <v/>
      </c>
      <c r="BE5" s="28" t="str">
        <f>IFERROR(__xludf.DUMMYFUNCTION("""COMPUTED_VALUE"""),"")</f>
        <v/>
      </c>
      <c r="BF5" s="28" t="str">
        <f>IFERROR(__xludf.DUMMYFUNCTION("""COMPUTED_VALUE"""),"")</f>
        <v/>
      </c>
      <c r="BG5" s="28" t="str">
        <f>IFERROR(__xludf.DUMMYFUNCTION("""COMPUTED_VALUE"""),"")</f>
        <v/>
      </c>
      <c r="BH5" s="28" t="str">
        <f>IFERROR(__xludf.DUMMYFUNCTION("""COMPUTED_VALUE"""),"")</f>
        <v/>
      </c>
      <c r="BI5" s="28" t="str">
        <f>IFERROR(__xludf.DUMMYFUNCTION("""COMPUTED_VALUE"""),"")</f>
        <v/>
      </c>
      <c r="BJ5" s="28" t="str">
        <f>IFERROR(__xludf.DUMMYFUNCTION("""COMPUTED_VALUE"""),"")</f>
        <v/>
      </c>
      <c r="BK5" s="28" t="str">
        <f>IFERROR(__xludf.DUMMYFUNCTION("""COMPUTED_VALUE"""),"")</f>
        <v/>
      </c>
      <c r="BL5" s="28" t="str">
        <f>IFERROR(__xludf.DUMMYFUNCTION("""COMPUTED_VALUE"""),"")</f>
        <v/>
      </c>
      <c r="BM5" s="28" t="str">
        <f>IFERROR(__xludf.DUMMYFUNCTION("""COMPUTED_VALUE"""),"")</f>
        <v/>
      </c>
      <c r="BN5" s="28" t="str">
        <f>IFERROR(__xludf.DUMMYFUNCTION("""COMPUTED_VALUE"""),"")</f>
        <v/>
      </c>
      <c r="BO5" s="28" t="str">
        <f>IFERROR(__xludf.DUMMYFUNCTION("""COMPUTED_VALUE"""),"")</f>
        <v/>
      </c>
      <c r="BP5" s="28" t="str">
        <f>IFERROR(__xludf.DUMMYFUNCTION("""COMPUTED_VALUE"""),"")</f>
        <v/>
      </c>
      <c r="BQ5" s="28" t="str">
        <f>IFERROR(__xludf.DUMMYFUNCTION("""COMPUTED_VALUE"""),"")</f>
        <v/>
      </c>
      <c r="BR5" s="28" t="str">
        <f>IFERROR(__xludf.DUMMYFUNCTION("""COMPUTED_VALUE"""),"")</f>
        <v/>
      </c>
      <c r="BS5" s="28" t="str">
        <f>IFERROR(__xludf.DUMMYFUNCTION("""COMPUTED_VALUE"""),"")</f>
        <v/>
      </c>
      <c r="BT5" s="28" t="str">
        <f>IFERROR(__xludf.DUMMYFUNCTION("""COMPUTED_VALUE"""),"")</f>
        <v/>
      </c>
      <c r="BU5" s="28" t="str">
        <f>IFERROR(__xludf.DUMMYFUNCTION("""COMPUTED_VALUE"""),"")</f>
        <v/>
      </c>
      <c r="BV5" s="28" t="str">
        <f>IFERROR(__xludf.DUMMYFUNCTION("""COMPUTED_VALUE"""),"")</f>
        <v/>
      </c>
      <c r="BW5" s="28" t="str">
        <f>IFERROR(__xludf.DUMMYFUNCTION("""COMPUTED_VALUE"""),"")</f>
        <v/>
      </c>
      <c r="BX5" s="28" t="str">
        <f>IFERROR(__xludf.DUMMYFUNCTION("""COMPUTED_VALUE"""),"")</f>
        <v/>
      </c>
      <c r="BY5" s="28" t="str">
        <f>IFERROR(__xludf.DUMMYFUNCTION("""COMPUTED_VALUE"""),"")</f>
        <v/>
      </c>
      <c r="BZ5" s="28" t="str">
        <f>IFERROR(__xludf.DUMMYFUNCTION("""COMPUTED_VALUE"""),"")</f>
        <v/>
      </c>
      <c r="CA5" s="28" t="str">
        <f>IFERROR(__xludf.DUMMYFUNCTION("""COMPUTED_VALUE"""),"")</f>
        <v/>
      </c>
      <c r="CB5" s="28" t="str">
        <f>IFERROR(__xludf.DUMMYFUNCTION("""COMPUTED_VALUE"""),"")</f>
        <v/>
      </c>
      <c r="CC5" s="28" t="str">
        <f>IFERROR(__xludf.DUMMYFUNCTION("""COMPUTED_VALUE"""),"")</f>
        <v/>
      </c>
      <c r="CD5" s="28" t="str">
        <f>IFERROR(__xludf.DUMMYFUNCTION("""COMPUTED_VALUE"""),"")</f>
        <v/>
      </c>
      <c r="CE5" s="28" t="str">
        <f>IFERROR(__xludf.DUMMYFUNCTION("""COMPUTED_VALUE"""),"")</f>
        <v/>
      </c>
      <c r="CF5" s="28" t="str">
        <f>IFERROR(__xludf.DUMMYFUNCTION("""COMPUTED_VALUE"""),"")</f>
        <v/>
      </c>
      <c r="CG5" s="28" t="str">
        <f>IFERROR(__xludf.DUMMYFUNCTION("""COMPUTED_VALUE"""),"")</f>
        <v/>
      </c>
      <c r="CH5" s="28" t="str">
        <f>IFERROR(__xludf.DUMMYFUNCTION("""COMPUTED_VALUE"""),"")</f>
        <v/>
      </c>
      <c r="CI5" s="28" t="str">
        <f>IFERROR(__xludf.DUMMYFUNCTION("""COMPUTED_VALUE"""),"")</f>
        <v/>
      </c>
      <c r="CJ5" s="28" t="str">
        <f>IFERROR(__xludf.DUMMYFUNCTION("""COMPUTED_VALUE"""),"")</f>
        <v/>
      </c>
      <c r="CK5" s="28" t="str">
        <f>IFERROR(__xludf.DUMMYFUNCTION("""COMPUTED_VALUE"""),"")</f>
        <v/>
      </c>
      <c r="CL5" s="28" t="str">
        <f>IFERROR(__xludf.DUMMYFUNCTION("""COMPUTED_VALUE"""),"")</f>
        <v/>
      </c>
      <c r="CM5" s="28" t="str">
        <f>IFERROR(__xludf.DUMMYFUNCTION("""COMPUTED_VALUE"""),"")</f>
        <v/>
      </c>
      <c r="CN5" s="28" t="str">
        <f>IFERROR(__xludf.DUMMYFUNCTION("""COMPUTED_VALUE"""),"")</f>
        <v/>
      </c>
      <c r="CO5" s="28" t="str">
        <f>IFERROR(__xludf.DUMMYFUNCTION("""COMPUTED_VALUE"""),"")</f>
        <v/>
      </c>
      <c r="CP5" s="28" t="str">
        <f>IFERROR(__xludf.DUMMYFUNCTION("""COMPUTED_VALUE"""),"")</f>
        <v/>
      </c>
      <c r="CQ5" s="28" t="str">
        <f>IFERROR(__xludf.DUMMYFUNCTION("""COMPUTED_VALUE"""),"")</f>
        <v/>
      </c>
      <c r="CR5" s="28" t="str">
        <f>IFERROR(__xludf.DUMMYFUNCTION("""COMPUTED_VALUE"""),"")</f>
        <v/>
      </c>
      <c r="CS5" s="28" t="str">
        <f>IFERROR(__xludf.DUMMYFUNCTION("""COMPUTED_VALUE"""),"")</f>
        <v/>
      </c>
      <c r="CT5" s="28" t="str">
        <f>IFERROR(__xludf.DUMMYFUNCTION("""COMPUTED_VALUE"""),"")</f>
        <v/>
      </c>
      <c r="CU5" s="28" t="str">
        <f>IFERROR(__xludf.DUMMYFUNCTION("""COMPUTED_VALUE"""),"")</f>
        <v/>
      </c>
      <c r="CV5" s="28" t="str">
        <f>IFERROR(__xludf.DUMMYFUNCTION("""COMPUTED_VALUE"""),"")</f>
        <v/>
      </c>
      <c r="CW5" s="28" t="str">
        <f>IFERROR(__xludf.DUMMYFUNCTION("""COMPUTED_VALUE"""),"")</f>
        <v/>
      </c>
      <c r="CX5" s="28" t="str">
        <f>IFERROR(__xludf.DUMMYFUNCTION("""COMPUTED_VALUE"""),"")</f>
        <v/>
      </c>
      <c r="CY5" s="28" t="str">
        <f>IFERROR(__xludf.DUMMYFUNCTION("""COMPUTED_VALUE"""),"")</f>
        <v/>
      </c>
      <c r="CZ5" s="28" t="str">
        <f>IFERROR(__xludf.DUMMYFUNCTION("""COMPUTED_VALUE"""),"")</f>
        <v/>
      </c>
      <c r="DA5" s="28" t="str">
        <f>IFERROR(__xludf.DUMMYFUNCTION("""COMPUTED_VALUE"""),"")</f>
        <v/>
      </c>
      <c r="DB5" s="28" t="str">
        <f>IFERROR(__xludf.DUMMYFUNCTION("""COMPUTED_VALUE"""),"")</f>
        <v/>
      </c>
      <c r="DC5" s="28" t="str">
        <f>IFERROR(__xludf.DUMMYFUNCTION("""COMPUTED_VALUE"""),"")</f>
        <v/>
      </c>
      <c r="DD5" s="28" t="str">
        <f>IFERROR(__xludf.DUMMYFUNCTION("""COMPUTED_VALUE"""),"")</f>
        <v/>
      </c>
      <c r="DE5" s="28" t="str">
        <f>IFERROR(__xludf.DUMMYFUNCTION("""COMPUTED_VALUE"""),"")</f>
        <v/>
      </c>
      <c r="DF5" s="28" t="str">
        <f>IFERROR(__xludf.DUMMYFUNCTION("""COMPUTED_VALUE"""),"")</f>
        <v/>
      </c>
      <c r="DG5" s="28" t="str">
        <f>IFERROR(__xludf.DUMMYFUNCTION("""COMPUTED_VALUE"""),"")</f>
        <v/>
      </c>
      <c r="DH5" s="28" t="str">
        <f>IFERROR(__xludf.DUMMYFUNCTION("""COMPUTED_VALUE"""),"")</f>
        <v/>
      </c>
      <c r="DI5" s="28" t="str">
        <f>IFERROR(__xludf.DUMMYFUNCTION("""COMPUTED_VALUE"""),"")</f>
        <v/>
      </c>
      <c r="DJ5" s="28" t="str">
        <f>IFERROR(__xludf.DUMMYFUNCTION("""COMPUTED_VALUE"""),"")</f>
        <v/>
      </c>
      <c r="DK5" s="28" t="str">
        <f>IFERROR(__xludf.DUMMYFUNCTION("""COMPUTED_VALUE"""),"")</f>
        <v/>
      </c>
      <c r="DL5" s="28" t="str">
        <f>IFERROR(__xludf.DUMMYFUNCTION("""COMPUTED_VALUE"""),"")</f>
        <v/>
      </c>
      <c r="DM5" s="28" t="str">
        <f>IFERROR(__xludf.DUMMYFUNCTION("""COMPUTED_VALUE"""),"")</f>
        <v/>
      </c>
      <c r="DN5" s="28" t="str">
        <f>IFERROR(__xludf.DUMMYFUNCTION("""COMPUTED_VALUE"""),"")</f>
        <v/>
      </c>
      <c r="DO5" s="28" t="str">
        <f>IFERROR(__xludf.DUMMYFUNCTION("""COMPUTED_VALUE"""),"")</f>
        <v/>
      </c>
      <c r="DP5" s="28" t="str">
        <f>IFERROR(__xludf.DUMMYFUNCTION("""COMPUTED_VALUE"""),"")</f>
        <v/>
      </c>
      <c r="DQ5" s="28" t="str">
        <f>IFERROR(__xludf.DUMMYFUNCTION("""COMPUTED_VALUE"""),"")</f>
        <v/>
      </c>
      <c r="DR5" s="28" t="str">
        <f>IFERROR(__xludf.DUMMYFUNCTION("""COMPUTED_VALUE"""),"")</f>
        <v/>
      </c>
      <c r="DS5" s="28" t="str">
        <f>IFERROR(__xludf.DUMMYFUNCTION("""COMPUTED_VALUE"""),"")</f>
        <v/>
      </c>
      <c r="DT5" s="28" t="str">
        <f>IFERROR(__xludf.DUMMYFUNCTION("""COMPUTED_VALUE"""),"")</f>
        <v/>
      </c>
      <c r="DU5" s="28" t="str">
        <f>IFERROR(__xludf.DUMMYFUNCTION("""COMPUTED_VALUE"""),"")</f>
        <v/>
      </c>
      <c r="DV5" s="28" t="str">
        <f>IFERROR(__xludf.DUMMYFUNCTION("""COMPUTED_VALUE"""),"")</f>
        <v/>
      </c>
      <c r="DW5" s="28" t="str">
        <f>IFERROR(__xludf.DUMMYFUNCTION("""COMPUTED_VALUE"""),"")</f>
        <v/>
      </c>
      <c r="DX5" s="28" t="str">
        <f>IFERROR(__xludf.DUMMYFUNCTION("""COMPUTED_VALUE"""),"")</f>
        <v/>
      </c>
      <c r="DY5" s="28" t="str">
        <f>IFERROR(__xludf.DUMMYFUNCTION("""COMPUTED_VALUE"""),"")</f>
        <v/>
      </c>
      <c r="DZ5" s="28" t="str">
        <f>IFERROR(__xludf.DUMMYFUNCTION("""COMPUTED_VALUE"""),"")</f>
        <v/>
      </c>
      <c r="EA5" s="28" t="str">
        <f>IFERROR(__xludf.DUMMYFUNCTION("""COMPUTED_VALUE"""),"")</f>
        <v/>
      </c>
      <c r="EB5" s="28" t="str">
        <f>IFERROR(__xludf.DUMMYFUNCTION("""COMPUTED_VALUE"""),"")</f>
        <v/>
      </c>
      <c r="EC5" s="28" t="str">
        <f>IFERROR(__xludf.DUMMYFUNCTION("""COMPUTED_VALUE"""),"")</f>
        <v/>
      </c>
      <c r="ED5" s="28" t="str">
        <f>IFERROR(__xludf.DUMMYFUNCTION("""COMPUTED_VALUE"""),"")</f>
        <v/>
      </c>
      <c r="EE5" s="28" t="str">
        <f>IFERROR(__xludf.DUMMYFUNCTION("""COMPUTED_VALUE"""),"")</f>
        <v/>
      </c>
      <c r="EF5" s="28" t="str">
        <f>IFERROR(__xludf.DUMMYFUNCTION("""COMPUTED_VALUE"""),"")</f>
        <v/>
      </c>
      <c r="EG5" s="28" t="str">
        <f>IFERROR(__xludf.DUMMYFUNCTION("""COMPUTED_VALUE"""),"")</f>
        <v/>
      </c>
      <c r="EH5" s="28" t="str">
        <f>IFERROR(__xludf.DUMMYFUNCTION("""COMPUTED_VALUE"""),"")</f>
        <v/>
      </c>
      <c r="EI5" s="28" t="str">
        <f>IFERROR(__xludf.DUMMYFUNCTION("""COMPUTED_VALUE"""),"")</f>
        <v/>
      </c>
      <c r="EJ5" s="28" t="str">
        <f>IFERROR(__xludf.DUMMYFUNCTION("""COMPUTED_VALUE"""),"")</f>
        <v/>
      </c>
      <c r="EK5" s="28" t="str">
        <f>IFERROR(__xludf.DUMMYFUNCTION("""COMPUTED_VALUE"""),"")</f>
        <v/>
      </c>
      <c r="EL5" s="28" t="str">
        <f>IFERROR(__xludf.DUMMYFUNCTION("""COMPUTED_VALUE"""),"")</f>
        <v/>
      </c>
      <c r="EM5" s="28" t="str">
        <f>IFERROR(__xludf.DUMMYFUNCTION("""COMPUTED_VALUE"""),"")</f>
        <v/>
      </c>
      <c r="EN5" s="28" t="str">
        <f>IFERROR(__xludf.DUMMYFUNCTION("""COMPUTED_VALUE"""),"")</f>
        <v/>
      </c>
      <c r="EO5" s="28" t="str">
        <f>IFERROR(__xludf.DUMMYFUNCTION("""COMPUTED_VALUE"""),"")</f>
        <v/>
      </c>
      <c r="EP5" s="28" t="str">
        <f>IFERROR(__xludf.DUMMYFUNCTION("""COMPUTED_VALUE"""),"")</f>
        <v/>
      </c>
      <c r="EQ5" s="28" t="str">
        <f>IFERROR(__xludf.DUMMYFUNCTION("""COMPUTED_VALUE"""),"")</f>
        <v/>
      </c>
      <c r="ER5" s="28" t="str">
        <f>IFERROR(__xludf.DUMMYFUNCTION("""COMPUTED_VALUE"""),"")</f>
        <v/>
      </c>
      <c r="ES5" s="28" t="str">
        <f>IFERROR(__xludf.DUMMYFUNCTION("""COMPUTED_VALUE"""),"")</f>
        <v/>
      </c>
      <c r="ET5" s="28" t="str">
        <f>IFERROR(__xludf.DUMMYFUNCTION("""COMPUTED_VALUE"""),"")</f>
        <v/>
      </c>
      <c r="EU5" s="28" t="str">
        <f>IFERROR(__xludf.DUMMYFUNCTION("""COMPUTED_VALUE"""),"")</f>
        <v/>
      </c>
      <c r="EV5" s="28" t="str">
        <f>IFERROR(__xludf.DUMMYFUNCTION("""COMPUTED_VALUE"""),"")</f>
        <v/>
      </c>
      <c r="EW5" s="28" t="str">
        <f>IFERROR(__xludf.DUMMYFUNCTION("""COMPUTED_VALUE"""),"")</f>
        <v/>
      </c>
      <c r="EX5" s="28" t="str">
        <f>IFERROR(__xludf.DUMMYFUNCTION("""COMPUTED_VALUE"""),"")</f>
        <v/>
      </c>
    </row>
    <row r="6" ht="15.75" customHeight="1">
      <c r="A6" s="15"/>
      <c r="B6" s="29">
        <f t="shared" ref="B6:C6" si="1">today()-1</f>
        <v>43662</v>
      </c>
      <c r="C6" s="30">
        <f t="shared" si="1"/>
        <v>43662</v>
      </c>
      <c r="D6" s="15"/>
      <c r="E6" s="31"/>
      <c r="F6" s="7"/>
      <c r="G6" s="7"/>
      <c r="H6" s="7"/>
      <c r="I6" s="7"/>
      <c r="J6" s="7"/>
      <c r="K6" s="7"/>
      <c r="L6" s="7"/>
      <c r="M6" s="7"/>
      <c r="N6" s="7"/>
      <c r="O6" s="7"/>
    </row>
    <row r="7" ht="15.75" customHeight="1">
      <c r="A7" s="7"/>
      <c r="B7" s="7"/>
      <c r="C7" s="7"/>
      <c r="D7" s="7"/>
      <c r="E7" s="7"/>
      <c r="F7" s="7"/>
      <c r="G7" s="7"/>
      <c r="H7" s="7"/>
      <c r="I7" s="7"/>
      <c r="J7" s="7"/>
      <c r="K7" s="7"/>
      <c r="L7" s="7"/>
      <c r="M7" s="7"/>
      <c r="N7" s="7"/>
      <c r="O7" s="7"/>
    </row>
    <row r="8" ht="15.75" customHeight="1">
      <c r="A8" s="7"/>
      <c r="B8" s="7"/>
      <c r="C8" s="7"/>
      <c r="D8" s="7"/>
      <c r="E8" s="7"/>
      <c r="F8" s="7"/>
      <c r="G8" s="7"/>
      <c r="H8" s="7"/>
      <c r="I8" s="7"/>
      <c r="J8" s="7"/>
      <c r="K8" s="7"/>
      <c r="L8" s="7"/>
      <c r="M8" s="7"/>
      <c r="N8" s="7"/>
      <c r="O8" s="7"/>
    </row>
    <row r="9" ht="15.75" customHeight="1">
      <c r="A9" s="7"/>
      <c r="B9" s="7"/>
      <c r="C9" s="7"/>
      <c r="D9" s="7"/>
      <c r="E9" s="7"/>
      <c r="F9" s="7"/>
      <c r="G9" s="7"/>
      <c r="H9" s="7"/>
      <c r="I9" s="7"/>
      <c r="J9" s="7"/>
      <c r="K9" s="7"/>
      <c r="L9" s="7"/>
      <c r="M9" s="7"/>
      <c r="N9" s="7"/>
      <c r="O9" s="7"/>
    </row>
    <row r="10" ht="15.75" customHeight="1">
      <c r="A10" s="7"/>
      <c r="B10" s="7"/>
      <c r="C10" s="7"/>
      <c r="D10" s="7"/>
      <c r="E10" s="7"/>
      <c r="F10" s="7"/>
      <c r="G10" s="7"/>
      <c r="H10" s="7"/>
      <c r="I10" s="7"/>
      <c r="J10" s="7"/>
      <c r="K10" s="7"/>
      <c r="L10" s="7"/>
      <c r="M10" s="7"/>
      <c r="N10" s="7"/>
      <c r="O10" s="7"/>
    </row>
    <row r="11" ht="15.75" customHeight="1">
      <c r="A11" s="7"/>
      <c r="B11" s="7"/>
      <c r="C11" s="7"/>
      <c r="D11" s="7"/>
      <c r="E11" s="7"/>
      <c r="F11" s="7"/>
      <c r="G11" s="7"/>
      <c r="H11" s="7"/>
      <c r="I11" s="7"/>
      <c r="J11" s="7"/>
      <c r="K11" s="7"/>
      <c r="L11" s="7"/>
      <c r="M11" s="7"/>
      <c r="N11" s="7"/>
      <c r="O11" s="7"/>
    </row>
    <row r="12" ht="15.75" customHeight="1">
      <c r="A12" s="7"/>
      <c r="B12" s="7"/>
      <c r="C12" s="7"/>
      <c r="D12" s="7"/>
      <c r="E12" s="7"/>
      <c r="F12" s="7"/>
      <c r="G12" s="7"/>
      <c r="H12" s="7"/>
      <c r="I12" s="7"/>
      <c r="J12" s="7"/>
      <c r="K12" s="7"/>
      <c r="L12" s="7"/>
      <c r="M12" s="7"/>
      <c r="N12" s="7"/>
      <c r="O12" s="7"/>
    </row>
    <row r="13" ht="15.75" customHeight="1">
      <c r="A13" s="7"/>
      <c r="B13" s="7"/>
      <c r="C13" s="7"/>
      <c r="D13" s="7"/>
      <c r="E13" s="7"/>
      <c r="F13" s="7"/>
      <c r="G13" s="7"/>
      <c r="H13" s="7"/>
      <c r="I13" s="7"/>
      <c r="J13" s="7"/>
      <c r="K13" s="7"/>
      <c r="L13" s="7"/>
      <c r="M13" s="7"/>
      <c r="N13" s="7"/>
      <c r="O13" s="7"/>
    </row>
    <row r="14" ht="15.75" customHeight="1">
      <c r="A14" s="7"/>
      <c r="B14" s="7"/>
      <c r="C14" s="7"/>
      <c r="D14" s="7"/>
      <c r="E14" s="7"/>
      <c r="F14" s="7"/>
      <c r="G14" s="7"/>
      <c r="H14" s="7"/>
      <c r="I14" s="7"/>
      <c r="J14" s="7"/>
      <c r="K14" s="7"/>
      <c r="L14" s="7"/>
      <c r="M14" s="7"/>
      <c r="N14" s="7"/>
      <c r="O14" s="7"/>
    </row>
    <row r="15" ht="15.75" customHeight="1">
      <c r="A15" s="7"/>
      <c r="B15" s="7"/>
      <c r="C15" s="7"/>
      <c r="D15" s="7"/>
      <c r="E15" s="7"/>
      <c r="F15" s="7"/>
      <c r="G15" s="7"/>
      <c r="H15" s="7"/>
      <c r="I15" s="7"/>
      <c r="J15" s="7"/>
      <c r="K15" s="7"/>
      <c r="L15" s="7"/>
      <c r="M15" s="7"/>
      <c r="N15" s="7"/>
      <c r="O15" s="7"/>
    </row>
    <row r="16" ht="15.75" customHeight="1">
      <c r="A16" s="7"/>
      <c r="B16" s="7"/>
      <c r="C16" s="7"/>
      <c r="D16" s="7"/>
      <c r="E16" s="7"/>
      <c r="F16" s="7"/>
      <c r="G16" s="7"/>
      <c r="H16" s="7"/>
      <c r="I16" s="7"/>
      <c r="J16" s="7"/>
      <c r="K16" s="7"/>
      <c r="L16" s="7"/>
      <c r="M16" s="7"/>
      <c r="N16" s="7"/>
      <c r="O16" s="7"/>
    </row>
    <row r="17" ht="15.75" customHeight="1">
      <c r="A17" s="7"/>
      <c r="B17" s="7"/>
      <c r="C17" s="7"/>
      <c r="D17" s="7"/>
      <c r="E17" s="7"/>
      <c r="F17" s="7"/>
      <c r="G17" s="7"/>
      <c r="H17" s="7"/>
      <c r="I17" s="7"/>
      <c r="J17" s="7"/>
      <c r="K17" s="7"/>
      <c r="L17" s="7"/>
      <c r="M17" s="7"/>
      <c r="N17" s="7"/>
      <c r="O17" s="7"/>
    </row>
    <row r="18" ht="15.75" customHeight="1">
      <c r="A18" s="7"/>
      <c r="B18" s="7"/>
      <c r="C18" s="7"/>
      <c r="D18" s="7"/>
      <c r="E18" s="7"/>
      <c r="F18" s="7"/>
      <c r="G18" s="7"/>
      <c r="H18" s="7"/>
      <c r="I18" s="7"/>
      <c r="J18" s="7"/>
      <c r="K18" s="7"/>
      <c r="L18" s="7"/>
      <c r="M18" s="7"/>
      <c r="N18" s="7"/>
      <c r="O18" s="7"/>
    </row>
    <row r="19" ht="15.75" customHeight="1">
      <c r="A19" s="7"/>
      <c r="B19" s="7"/>
      <c r="C19" s="7"/>
      <c r="D19" s="7"/>
      <c r="E19" s="7"/>
      <c r="F19" s="7"/>
      <c r="G19" s="7"/>
      <c r="H19" s="7"/>
      <c r="I19" s="7"/>
      <c r="J19" s="7"/>
      <c r="K19" s="7"/>
      <c r="L19" s="7"/>
      <c r="M19" s="7"/>
      <c r="N19" s="7"/>
      <c r="O19" s="7"/>
    </row>
    <row r="20" ht="15.75" customHeight="1">
      <c r="A20" s="7"/>
      <c r="B20" s="7"/>
      <c r="C20" s="7"/>
      <c r="D20" s="7"/>
      <c r="E20" s="7"/>
      <c r="F20" s="7"/>
      <c r="G20" s="7"/>
      <c r="H20" s="7"/>
      <c r="I20" s="7"/>
      <c r="J20" s="7"/>
      <c r="K20" s="7"/>
      <c r="L20" s="7"/>
      <c r="M20" s="7"/>
      <c r="N20" s="7"/>
      <c r="O20" s="7"/>
    </row>
    <row r="21" ht="15.75" customHeight="1">
      <c r="A21" s="7"/>
      <c r="B21" s="7"/>
      <c r="C21" s="7"/>
      <c r="D21" s="7"/>
      <c r="E21" s="7"/>
      <c r="F21" s="7"/>
      <c r="G21" s="7"/>
      <c r="H21" s="7"/>
      <c r="I21" s="7"/>
      <c r="J21" s="7"/>
      <c r="K21" s="7"/>
      <c r="L21" s="7"/>
      <c r="M21" s="7"/>
      <c r="N21" s="7"/>
      <c r="O21" s="7"/>
    </row>
    <row r="22" ht="15.75" customHeight="1">
      <c r="A22" s="7"/>
      <c r="B22" s="7"/>
      <c r="C22" s="7"/>
      <c r="D22" s="7"/>
      <c r="E22" s="7"/>
      <c r="F22" s="7"/>
      <c r="G22" s="7"/>
      <c r="H22" s="7"/>
      <c r="I22" s="7"/>
      <c r="J22" s="7"/>
      <c r="K22" s="7"/>
      <c r="L22" s="7"/>
      <c r="M22" s="7"/>
      <c r="N22" s="7"/>
      <c r="O22" s="7"/>
    </row>
    <row r="23" ht="15.75" customHeight="1">
      <c r="A23" s="7"/>
      <c r="B23" s="7"/>
      <c r="C23" s="7"/>
      <c r="D23" s="7"/>
      <c r="E23" s="7"/>
      <c r="F23" s="7"/>
      <c r="G23" s="7"/>
      <c r="H23" s="7"/>
      <c r="I23" s="7"/>
      <c r="J23" s="7"/>
      <c r="K23" s="7"/>
      <c r="L23" s="7"/>
      <c r="M23" s="7"/>
      <c r="N23" s="7"/>
      <c r="O23" s="7"/>
    </row>
    <row r="24" ht="15.75" customHeight="1">
      <c r="A24" s="7"/>
      <c r="B24" s="7"/>
      <c r="C24" s="7"/>
      <c r="D24" s="7"/>
      <c r="E24" s="7"/>
      <c r="F24" s="7"/>
      <c r="G24" s="7"/>
      <c r="H24" s="7"/>
      <c r="I24" s="7"/>
      <c r="J24" s="7"/>
      <c r="K24" s="7"/>
      <c r="L24" s="7"/>
      <c r="M24" s="7"/>
      <c r="N24" s="7"/>
      <c r="O24" s="7"/>
    </row>
    <row r="25" ht="15.75" customHeight="1">
      <c r="A25" s="7"/>
      <c r="B25" s="7"/>
      <c r="C25" s="7"/>
      <c r="D25" s="7"/>
      <c r="E25" s="7"/>
      <c r="F25" s="7"/>
      <c r="G25" s="7"/>
      <c r="H25" s="7"/>
      <c r="I25" s="7"/>
      <c r="J25" s="7"/>
      <c r="K25" s="7"/>
      <c r="L25" s="7"/>
      <c r="M25" s="7"/>
      <c r="N25" s="7"/>
      <c r="O25" s="7"/>
    </row>
    <row r="26" ht="15.75" customHeight="1">
      <c r="A26" s="7"/>
      <c r="B26" s="7"/>
      <c r="C26" s="7"/>
      <c r="D26" s="7"/>
      <c r="E26" s="7"/>
      <c r="F26" s="7"/>
      <c r="G26" s="7"/>
      <c r="H26" s="7"/>
      <c r="I26" s="7"/>
      <c r="J26" s="7"/>
      <c r="K26" s="7"/>
      <c r="L26" s="7"/>
      <c r="M26" s="7"/>
      <c r="N26" s="7"/>
      <c r="O26" s="7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GetForexConversion1!$4:$4</formula1>
    </dataValidation>
    <dataValidation type="list" allowBlank="1" showInputMessage="1" showErrorMessage="1" prompt="Choose a format for current sheet" sqref="G3">
      <formula1>"Input Format,Output Format"</formula1>
    </dataValidation>
  </dataValidations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7"/>
      <c r="B1" s="2" t="s">
        <v>11</v>
      </c>
      <c r="C1" s="3"/>
      <c r="D1" s="3"/>
      <c r="E1" s="3"/>
      <c r="F1" s="3"/>
      <c r="G1" s="3"/>
      <c r="H1" s="5"/>
      <c r="I1" s="17"/>
      <c r="J1" s="17"/>
      <c r="K1" s="17"/>
      <c r="L1" s="17"/>
      <c r="M1" s="17"/>
      <c r="N1" s="17"/>
      <c r="O1" s="17"/>
      <c r="P1" s="18"/>
      <c r="Q1" s="18"/>
      <c r="R1" s="18"/>
      <c r="S1" s="18"/>
      <c r="T1" s="18"/>
      <c r="U1" s="18"/>
      <c r="V1" s="18"/>
      <c r="W1" s="18"/>
      <c r="X1" s="18"/>
      <c r="Y1" s="18"/>
      <c r="Z1" s="18"/>
      <c r="AA1" s="18"/>
      <c r="AB1" s="18"/>
      <c r="AC1" s="18"/>
      <c r="AD1" s="18"/>
      <c r="AE1" s="18"/>
      <c r="AF1" s="18"/>
      <c r="AG1" s="18"/>
      <c r="AH1" s="18"/>
      <c r="AI1" s="18"/>
      <c r="AJ1" s="18"/>
      <c r="AK1" s="18"/>
      <c r="AL1" s="18"/>
      <c r="AM1" s="18"/>
      <c r="AN1" s="18"/>
      <c r="AO1" s="18"/>
      <c r="AP1" s="18"/>
      <c r="AQ1" s="18"/>
      <c r="AR1" s="18"/>
      <c r="AS1" s="18"/>
      <c r="AT1" s="18"/>
      <c r="AU1" s="18"/>
      <c r="AV1" s="18"/>
      <c r="AW1" s="18"/>
      <c r="AX1" s="18"/>
      <c r="AY1" s="18"/>
      <c r="AZ1" s="18"/>
      <c r="BA1" s="18"/>
      <c r="BB1" s="18"/>
      <c r="BC1" s="18"/>
      <c r="BD1" s="18"/>
      <c r="BE1" s="18"/>
      <c r="BF1" s="18"/>
      <c r="BG1" s="18"/>
      <c r="BH1" s="18"/>
      <c r="BI1" s="18"/>
      <c r="BJ1" s="18"/>
      <c r="BK1" s="18"/>
      <c r="BL1" s="18"/>
      <c r="BM1" s="18"/>
      <c r="BN1" s="18"/>
      <c r="BO1" s="18"/>
      <c r="BP1" s="18"/>
      <c r="BQ1" s="18"/>
      <c r="BR1" s="18"/>
      <c r="BS1" s="18"/>
      <c r="BT1" s="18"/>
      <c r="BU1" s="18"/>
      <c r="BV1" s="18"/>
      <c r="BW1" s="18"/>
      <c r="BX1" s="18"/>
      <c r="BY1" s="18"/>
      <c r="BZ1" s="18"/>
      <c r="CA1" s="18"/>
      <c r="CB1" s="18"/>
      <c r="CC1" s="18"/>
      <c r="CD1" s="18"/>
      <c r="CE1" s="18"/>
      <c r="CF1" s="18"/>
      <c r="CG1" s="18"/>
      <c r="CH1" s="18"/>
      <c r="CI1" s="18"/>
      <c r="CJ1" s="18"/>
      <c r="CK1" s="18"/>
      <c r="CL1" s="18"/>
      <c r="CM1" s="18"/>
      <c r="CN1" s="18"/>
      <c r="CO1" s="18"/>
      <c r="CP1" s="18"/>
      <c r="CQ1" s="18"/>
      <c r="CR1" s="18"/>
      <c r="CS1" s="18"/>
      <c r="CT1" s="18"/>
      <c r="CU1" s="18"/>
      <c r="CV1" s="18"/>
      <c r="CW1" s="18"/>
      <c r="CX1" s="18"/>
      <c r="CY1" s="18"/>
      <c r="CZ1" s="18"/>
      <c r="DA1" s="18"/>
      <c r="DB1" s="18"/>
      <c r="DC1" s="18"/>
      <c r="DD1" s="18"/>
      <c r="DE1" s="18"/>
      <c r="DF1" s="18"/>
      <c r="DG1" s="18"/>
      <c r="DH1" s="18"/>
      <c r="DI1" s="18"/>
      <c r="DJ1" s="18"/>
      <c r="DK1" s="18"/>
      <c r="DL1" s="18"/>
      <c r="DM1" s="18"/>
      <c r="DN1" s="18"/>
      <c r="DO1" s="18"/>
      <c r="DP1" s="18"/>
      <c r="DQ1" s="18"/>
      <c r="DR1" s="18"/>
      <c r="DS1" s="18"/>
      <c r="DT1" s="18"/>
      <c r="DU1" s="18"/>
      <c r="DV1" s="18"/>
      <c r="DW1" s="18"/>
      <c r="DX1" s="18"/>
      <c r="DY1" s="18"/>
      <c r="DZ1" s="18"/>
      <c r="EA1" s="18"/>
      <c r="EB1" s="18"/>
      <c r="EC1" s="18"/>
      <c r="ED1" s="18"/>
      <c r="EE1" s="18"/>
      <c r="EF1" s="18"/>
      <c r="EG1" s="18"/>
      <c r="EH1" s="18"/>
      <c r="EI1" s="18"/>
      <c r="EJ1" s="18"/>
      <c r="EK1" s="18"/>
      <c r="EL1" s="18"/>
      <c r="EM1" s="18"/>
      <c r="EN1" s="18"/>
      <c r="EO1" s="18"/>
      <c r="EP1" s="18"/>
      <c r="EQ1" s="18"/>
      <c r="ER1" s="18"/>
      <c r="ES1" s="18"/>
      <c r="ET1" s="18"/>
      <c r="EU1" s="18"/>
      <c r="EV1" s="18"/>
      <c r="EW1" s="18"/>
      <c r="EX1" s="18"/>
    </row>
    <row r="2" ht="15.75" customHeight="1">
      <c r="A2" s="7"/>
      <c r="B2" s="7"/>
      <c r="C2" s="7"/>
      <c r="D2" s="7"/>
      <c r="E2" s="7"/>
      <c r="F2" s="7"/>
      <c r="G2" s="7"/>
      <c r="H2" s="7"/>
      <c r="I2" s="7"/>
      <c r="J2" s="19" t="str">
        <f> VLOOKUP($E$3,'_MasterData'!B4:D1000,3,FALSE)</f>
        <v>#N/A</v>
      </c>
      <c r="K2" s="19"/>
      <c r="L2" s="7"/>
      <c r="M2" s="7"/>
      <c r="N2" s="7"/>
      <c r="O2" s="7"/>
    </row>
    <row r="3" ht="15.75" customHeight="1">
      <c r="A3" s="20"/>
      <c r="B3" s="9" t="s">
        <v>3</v>
      </c>
      <c r="C3" s="21" t="s">
        <v>12</v>
      </c>
      <c r="D3" s="9" t="s">
        <v>6</v>
      </c>
      <c r="E3" s="21" t="s">
        <v>28</v>
      </c>
      <c r="F3" s="9" t="s">
        <v>15</v>
      </c>
      <c r="G3" s="16" t="s">
        <v>17</v>
      </c>
      <c r="H3" s="9"/>
      <c r="I3" s="20"/>
      <c r="J3" s="20"/>
      <c r="K3" s="20"/>
      <c r="L3" s="20"/>
      <c r="M3" s="20"/>
      <c r="N3" s="20"/>
      <c r="O3" s="20"/>
      <c r="P3" s="22"/>
      <c r="Q3" s="22"/>
      <c r="R3" s="22"/>
      <c r="S3" s="22"/>
      <c r="T3" s="22"/>
      <c r="U3" s="22"/>
      <c r="V3" s="22"/>
      <c r="W3" s="22"/>
      <c r="X3" s="22"/>
      <c r="Y3" s="22"/>
      <c r="Z3" s="22"/>
      <c r="AA3" s="22"/>
      <c r="AB3" s="22"/>
      <c r="AC3" s="22"/>
      <c r="AD3" s="22"/>
      <c r="AE3" s="22"/>
      <c r="AF3" s="22"/>
      <c r="AG3" s="22"/>
      <c r="AH3" s="22"/>
      <c r="AI3" s="22"/>
      <c r="AJ3" s="22"/>
      <c r="AK3" s="22"/>
      <c r="AL3" s="22"/>
      <c r="AM3" s="22"/>
      <c r="AN3" s="22"/>
      <c r="AO3" s="22"/>
      <c r="AP3" s="22"/>
      <c r="AQ3" s="22"/>
      <c r="AR3" s="22"/>
      <c r="AS3" s="22"/>
      <c r="AT3" s="22"/>
      <c r="AU3" s="22"/>
      <c r="AV3" s="22"/>
      <c r="AW3" s="22"/>
      <c r="AX3" s="22"/>
      <c r="AY3" s="22"/>
      <c r="AZ3" s="22"/>
      <c r="BA3" s="22"/>
      <c r="BB3" s="22"/>
      <c r="BC3" s="22"/>
      <c r="BD3" s="22"/>
      <c r="BE3" s="22"/>
      <c r="BF3" s="22"/>
      <c r="BG3" s="22"/>
      <c r="BH3" s="22"/>
      <c r="BI3" s="22"/>
      <c r="BJ3" s="22"/>
      <c r="BK3" s="22"/>
      <c r="BL3" s="22"/>
      <c r="BM3" s="22"/>
      <c r="BN3" s="22"/>
      <c r="BO3" s="22"/>
      <c r="BP3" s="22"/>
      <c r="BQ3" s="22"/>
      <c r="BR3" s="22"/>
      <c r="BS3" s="22"/>
      <c r="BT3" s="22"/>
      <c r="BU3" s="22"/>
      <c r="BV3" s="22"/>
      <c r="BW3" s="22"/>
      <c r="BX3" s="22"/>
      <c r="BY3" s="22"/>
      <c r="BZ3" s="22"/>
      <c r="CA3" s="22"/>
      <c r="CB3" s="22"/>
      <c r="CC3" s="22"/>
      <c r="CD3" s="22"/>
      <c r="CE3" s="22"/>
      <c r="CF3" s="22"/>
      <c r="CG3" s="22"/>
      <c r="CH3" s="22"/>
      <c r="CI3" s="22"/>
      <c r="CJ3" s="22"/>
      <c r="CK3" s="22"/>
      <c r="CL3" s="22"/>
      <c r="CM3" s="22"/>
      <c r="CN3" s="22"/>
      <c r="CO3" s="22"/>
      <c r="CP3" s="22"/>
      <c r="CQ3" s="22"/>
      <c r="CR3" s="22"/>
      <c r="CS3" s="22"/>
      <c r="CT3" s="22"/>
      <c r="CU3" s="22"/>
      <c r="CV3" s="22"/>
      <c r="CW3" s="22"/>
      <c r="CX3" s="22"/>
      <c r="CY3" s="22"/>
      <c r="CZ3" s="22"/>
      <c r="DA3" s="22"/>
      <c r="DB3" s="22"/>
      <c r="DC3" s="22"/>
      <c r="DD3" s="22"/>
      <c r="DE3" s="22"/>
      <c r="DF3" s="22"/>
      <c r="DG3" s="22"/>
      <c r="DH3" s="22"/>
      <c r="DI3" s="22"/>
      <c r="DJ3" s="22"/>
      <c r="DK3" s="22"/>
      <c r="DL3" s="22"/>
      <c r="DM3" s="22"/>
      <c r="DN3" s="22"/>
      <c r="DO3" s="22"/>
      <c r="DP3" s="22"/>
      <c r="DQ3" s="22"/>
      <c r="DR3" s="22"/>
      <c r="DS3" s="22"/>
      <c r="DT3" s="22"/>
      <c r="DU3" s="22"/>
      <c r="DV3" s="22"/>
      <c r="DW3" s="22"/>
      <c r="DX3" s="22"/>
      <c r="DY3" s="22"/>
      <c r="DZ3" s="22"/>
      <c r="EA3" s="22"/>
      <c r="EB3" s="22"/>
      <c r="EC3" s="22"/>
      <c r="ED3" s="22"/>
      <c r="EE3" s="22"/>
      <c r="EF3" s="22"/>
      <c r="EG3" s="22"/>
      <c r="EH3" s="22"/>
      <c r="EI3" s="22"/>
      <c r="EJ3" s="22"/>
      <c r="EK3" s="22"/>
      <c r="EL3" s="22"/>
      <c r="EM3" s="22"/>
      <c r="EN3" s="22"/>
      <c r="EO3" s="22"/>
      <c r="EP3" s="22"/>
      <c r="EQ3" s="22"/>
      <c r="ER3" s="22"/>
      <c r="ES3" s="22"/>
      <c r="ET3" s="22"/>
      <c r="EU3" s="22"/>
      <c r="EV3" s="22"/>
      <c r="EW3" s="22"/>
      <c r="EX3" s="22"/>
    </row>
    <row r="4" ht="15.75" customHeight="1">
      <c r="A4" s="23"/>
      <c r="B4" s="23" t="str">
        <f>IFERROR(__xludf.DUMMYFUNCTION("IF(C3="""","""",Transpose(IMPORTRANGE('_Settings'!$B$3,C3&amp;""!A4:A1000"")))"),"UpdateBeta")</f>
        <v>UpdateBeta</v>
      </c>
      <c r="C4" s="23" t="str">
        <f>IFERROR(__xludf.DUMMYFUNCTION("""COMPUTED_VALUE"""),"UpdateDailyCash")</f>
        <v>UpdateDailyCash</v>
      </c>
      <c r="D4" s="23" t="str">
        <f>IFERROR(__xludf.DUMMYFUNCTION("""COMPUTED_VALUE"""),"UpdateForexConversion")</f>
        <v>UpdateForexConversion</v>
      </c>
      <c r="E4" s="23" t="str">
        <f>IFERROR(__xludf.DUMMYFUNCTION("""COMPUTED_VALUE"""),"UpdateMarkPrice")</f>
        <v>UpdateMarkPrice</v>
      </c>
      <c r="F4" s="23" t="str">
        <f>IFERROR(__xludf.DUMMYFUNCTION("""COMPUTED_VALUE"""),"CleanUp")</f>
        <v>CleanUp</v>
      </c>
      <c r="G4" s="23" t="str">
        <f>IFERROR(__xludf.DUMMYFUNCTION("""COMPUTED_VALUE"""),"GetMarkPriceData")</f>
        <v>GetMarkPriceData</v>
      </c>
      <c r="H4" s="23" t="str">
        <f>IFERROR(__xludf.DUMMYFUNCTION("""COMPUTED_VALUE"""),"GetForwardPoints")</f>
        <v>GetForwardPoints</v>
      </c>
      <c r="I4" s="23" t="str">
        <f>IFERROR(__xludf.DUMMYFUNCTION("""COMPUTED_VALUE"""),"UpdateForwardPoints")</f>
        <v>UpdateForwardPoints</v>
      </c>
      <c r="J4" s="23" t="str">
        <f>IFERROR(__xludf.DUMMYFUNCTION("""COMPUTED_VALUE"""),"GetForexConversion")</f>
        <v>GetForexConversion</v>
      </c>
      <c r="K4" s="23" t="str">
        <f>IFERROR(__xludf.DUMMYFUNCTION("""COMPUTED_VALUE"""),"DeleteNAV")</f>
        <v>DeleteNAV</v>
      </c>
      <c r="L4" s="23" t="str">
        <f>IFERROR(__xludf.DUMMYFUNCTION("""COMPUTED_VALUE"""),"GetDailyCash")</f>
        <v>GetDailyCash</v>
      </c>
      <c r="M4" s="23" t="str">
        <f>IFERROR(__xludf.DUMMYFUNCTION("""COMPUTED_VALUE"""),"GetDailyBeta")</f>
        <v>GetDailyBeta</v>
      </c>
      <c r="N4" s="23" t="str">
        <f>IFERROR(__xludf.DUMMYFUNCTION("""COMPUTED_VALUE"""),"GetDailyVolatility")</f>
        <v>GetDailyVolatility</v>
      </c>
      <c r="O4" s="23" t="str">
        <f>IFERROR(__xludf.DUMMYFUNCTION("""COMPUTED_VALUE"""),"GetDailyDividendYield")</f>
        <v>GetDailyDividendYield</v>
      </c>
      <c r="P4" s="24" t="str">
        <f>IFERROR(__xludf.DUMMYFUNCTION("""COMPUTED_VALUE"""),"GetDailyTradingVolume")</f>
        <v>GetDailyTradingVolume</v>
      </c>
      <c r="Q4" s="24" t="str">
        <f>IFERROR(__xludf.DUMMYFUNCTION("""COMPUTED_VALUE"""),"GetDailyOutstandings")</f>
        <v>GetDailyOutstandings</v>
      </c>
      <c r="R4" s="24" t="str">
        <f>IFERROR(__xludf.DUMMYFUNCTION("""COMPUTED_VALUE"""),"GetDailyDelta")</f>
        <v>GetDailyDelta</v>
      </c>
      <c r="S4" s="24" t="str">
        <f>IFERROR(__xludf.DUMMYFUNCTION("""COMPUTED_VALUE"""),"UpdateDailyVolatility")</f>
        <v>UpdateDailyVolatility</v>
      </c>
      <c r="T4" s="24" t="str">
        <f>IFERROR(__xludf.DUMMYFUNCTION("""COMPUTED_VALUE"""),"UpdateDividendYield")</f>
        <v>UpdateDividendYield</v>
      </c>
      <c r="U4" s="24" t="str">
        <f>IFERROR(__xludf.DUMMYFUNCTION("""COMPUTED_VALUE"""),"UpdateTradingVolume")</f>
        <v>UpdateTradingVolume</v>
      </c>
      <c r="V4" s="24" t="str">
        <f>IFERROR(__xludf.DUMMYFUNCTION("""COMPUTED_VALUE"""),"UpdateDailyDelta")</f>
        <v>UpdateDailyDelta</v>
      </c>
      <c r="W4" s="24" t="str">
        <f>IFERROR(__xludf.DUMMYFUNCTION("""COMPUTED_VALUE"""),"UpdateDailyOutstandings")</f>
        <v>UpdateDailyOutstandings</v>
      </c>
      <c r="X4" s="24" t="str">
        <f>IFERROR(__xludf.DUMMYFUNCTION("""COMPUTED_VALUE"""),"UpdateBeta")</f>
        <v>UpdateBeta</v>
      </c>
      <c r="Y4" s="24" t="str">
        <f>IFERROR(__xludf.DUMMYFUNCTION("""COMPUTED_VALUE"""),"UpdateNAV")</f>
        <v>UpdateNAV</v>
      </c>
      <c r="Z4" s="24" t="str">
        <f>IFERROR(__xludf.DUMMYFUNCTION("""COMPUTED_VALUE"""),"UpdateDailyCash")</f>
        <v>UpdateDailyCash</v>
      </c>
      <c r="AA4" s="24" t="str">
        <f>IFERROR(__xludf.DUMMYFUNCTION("""COMPUTED_VALUE"""),"UpdateDailyCreditLimt")</f>
        <v>UpdateDailyCreditLimt</v>
      </c>
      <c r="AB4" s="24" t="str">
        <f>IFERROR(__xludf.DUMMYFUNCTION("""COMPUTED_VALUE"""),"RemoveDailyCreditLimit")</f>
        <v>RemoveDailyCreditLimit</v>
      </c>
      <c r="AC4" s="24" t="str">
        <f>IFERROR(__xludf.DUMMYFUNCTION("""COMPUTED_VALUE"""),"RemoveDailyCash")</f>
        <v>RemoveDailyCash</v>
      </c>
      <c r="AD4" s="24" t="str">
        <f>IFERROR(__xludf.DUMMYFUNCTION("""COMPUTED_VALUE"""),"RemoveNAV")</f>
        <v>RemoveNAV</v>
      </c>
      <c r="AE4" s="24" t="str">
        <f>IFERROR(__xludf.DUMMYFUNCTION("""COMPUTED_VALUE"""),"UpdateForexConversionMonthly")</f>
        <v>UpdateForexConversionMonthly</v>
      </c>
      <c r="AF4" s="24" t="str">
        <f>IFERROR(__xludf.DUMMYFUNCTION("""COMPUTED_VALUE"""),"UpdateMarkPriceMonthly")</f>
        <v>UpdateMarkPriceMonthly</v>
      </c>
      <c r="AG4" s="24" t="str">
        <f>IFERROR(__xludf.DUMMYFUNCTION("""COMPUTED_VALUE"""),"")</f>
        <v/>
      </c>
      <c r="AH4" s="24" t="str">
        <f>IFERROR(__xludf.DUMMYFUNCTION("""COMPUTED_VALUE"""),"")</f>
        <v/>
      </c>
      <c r="AI4" s="24" t="str">
        <f>IFERROR(__xludf.DUMMYFUNCTION("""COMPUTED_VALUE"""),"")</f>
        <v/>
      </c>
      <c r="AJ4" s="24" t="str">
        <f>IFERROR(__xludf.DUMMYFUNCTION("""COMPUTED_VALUE"""),"")</f>
        <v/>
      </c>
      <c r="AK4" s="24" t="str">
        <f>IFERROR(__xludf.DUMMYFUNCTION("""COMPUTED_VALUE"""),"")</f>
        <v/>
      </c>
      <c r="AL4" s="24" t="str">
        <f>IFERROR(__xludf.DUMMYFUNCTION("""COMPUTED_VALUE"""),"")</f>
        <v/>
      </c>
      <c r="AM4" s="24" t="str">
        <f>IFERROR(__xludf.DUMMYFUNCTION("""COMPUTED_VALUE"""),"")</f>
        <v/>
      </c>
      <c r="AN4" s="24" t="str">
        <f>IFERROR(__xludf.DUMMYFUNCTION("""COMPUTED_VALUE"""),"")</f>
        <v/>
      </c>
      <c r="AO4" s="24" t="str">
        <f>IFERROR(__xludf.DUMMYFUNCTION("""COMPUTED_VALUE"""),"")</f>
        <v/>
      </c>
      <c r="AP4" s="24" t="str">
        <f>IFERROR(__xludf.DUMMYFUNCTION("""COMPUTED_VALUE"""),"")</f>
        <v/>
      </c>
      <c r="AQ4" s="24" t="str">
        <f>IFERROR(__xludf.DUMMYFUNCTION("""COMPUTED_VALUE"""),"")</f>
        <v/>
      </c>
      <c r="AR4" s="24" t="str">
        <f>IFERROR(__xludf.DUMMYFUNCTION("""COMPUTED_VALUE"""),"")</f>
        <v/>
      </c>
      <c r="AS4" s="24" t="str">
        <f>IFERROR(__xludf.DUMMYFUNCTION("""COMPUTED_VALUE"""),"")</f>
        <v/>
      </c>
      <c r="AT4" s="24" t="str">
        <f>IFERROR(__xludf.DUMMYFUNCTION("""COMPUTED_VALUE"""),"")</f>
        <v/>
      </c>
      <c r="AU4" s="24" t="str">
        <f>IFERROR(__xludf.DUMMYFUNCTION("""COMPUTED_VALUE"""),"")</f>
        <v/>
      </c>
      <c r="AV4" s="24" t="str">
        <f>IFERROR(__xludf.DUMMYFUNCTION("""COMPUTED_VALUE"""),"")</f>
        <v/>
      </c>
      <c r="AW4" s="24" t="str">
        <f>IFERROR(__xludf.DUMMYFUNCTION("""COMPUTED_VALUE"""),"")</f>
        <v/>
      </c>
      <c r="AX4" s="24" t="str">
        <f>IFERROR(__xludf.DUMMYFUNCTION("""COMPUTED_VALUE"""),"")</f>
        <v/>
      </c>
      <c r="AY4" s="24" t="str">
        <f>IFERROR(__xludf.DUMMYFUNCTION("""COMPUTED_VALUE"""),"")</f>
        <v/>
      </c>
      <c r="AZ4" s="24" t="str">
        <f>IFERROR(__xludf.DUMMYFUNCTION("""COMPUTED_VALUE"""),"")</f>
        <v/>
      </c>
      <c r="BA4" s="24" t="str">
        <f>IFERROR(__xludf.DUMMYFUNCTION("""COMPUTED_VALUE"""),"")</f>
        <v/>
      </c>
      <c r="BB4" s="24" t="str">
        <f>IFERROR(__xludf.DUMMYFUNCTION("""COMPUTED_VALUE"""),"")</f>
        <v/>
      </c>
      <c r="BC4" s="24" t="str">
        <f>IFERROR(__xludf.DUMMYFUNCTION("""COMPUTED_VALUE"""),"")</f>
        <v/>
      </c>
      <c r="BD4" s="24" t="str">
        <f>IFERROR(__xludf.DUMMYFUNCTION("""COMPUTED_VALUE"""),"")</f>
        <v/>
      </c>
      <c r="BE4" s="24" t="str">
        <f>IFERROR(__xludf.DUMMYFUNCTION("""COMPUTED_VALUE"""),"")</f>
        <v/>
      </c>
      <c r="BF4" s="24" t="str">
        <f>IFERROR(__xludf.DUMMYFUNCTION("""COMPUTED_VALUE"""),"")</f>
        <v/>
      </c>
      <c r="BG4" s="24" t="str">
        <f>IFERROR(__xludf.DUMMYFUNCTION("""COMPUTED_VALUE"""),"")</f>
        <v/>
      </c>
      <c r="BH4" s="24" t="str">
        <f>IFERROR(__xludf.DUMMYFUNCTION("""COMPUTED_VALUE"""),"")</f>
        <v/>
      </c>
      <c r="BI4" s="24" t="str">
        <f>IFERROR(__xludf.DUMMYFUNCTION("""COMPUTED_VALUE"""),"")</f>
        <v/>
      </c>
      <c r="BJ4" s="24" t="str">
        <f>IFERROR(__xludf.DUMMYFUNCTION("""COMPUTED_VALUE"""),"")</f>
        <v/>
      </c>
      <c r="BK4" s="24" t="str">
        <f>IFERROR(__xludf.DUMMYFUNCTION("""COMPUTED_VALUE"""),"")</f>
        <v/>
      </c>
      <c r="BL4" s="24" t="str">
        <f>IFERROR(__xludf.DUMMYFUNCTION("""COMPUTED_VALUE"""),"")</f>
        <v/>
      </c>
      <c r="BM4" s="24" t="str">
        <f>IFERROR(__xludf.DUMMYFUNCTION("""COMPUTED_VALUE"""),"")</f>
        <v/>
      </c>
      <c r="BN4" s="24" t="str">
        <f>IFERROR(__xludf.DUMMYFUNCTION("""COMPUTED_VALUE"""),"")</f>
        <v/>
      </c>
      <c r="BO4" s="24" t="str">
        <f>IFERROR(__xludf.DUMMYFUNCTION("""COMPUTED_VALUE"""),"")</f>
        <v/>
      </c>
      <c r="BP4" s="24" t="str">
        <f>IFERROR(__xludf.DUMMYFUNCTION("""COMPUTED_VALUE"""),"")</f>
        <v/>
      </c>
      <c r="BQ4" s="24" t="str">
        <f>IFERROR(__xludf.DUMMYFUNCTION("""COMPUTED_VALUE"""),"")</f>
        <v/>
      </c>
      <c r="BR4" s="24" t="str">
        <f>IFERROR(__xludf.DUMMYFUNCTION("""COMPUTED_VALUE"""),"")</f>
        <v/>
      </c>
      <c r="BS4" s="24" t="str">
        <f>IFERROR(__xludf.DUMMYFUNCTION("""COMPUTED_VALUE"""),"")</f>
        <v/>
      </c>
      <c r="BT4" s="24" t="str">
        <f>IFERROR(__xludf.DUMMYFUNCTION("""COMPUTED_VALUE"""),"")</f>
        <v/>
      </c>
      <c r="BU4" s="24" t="str">
        <f>IFERROR(__xludf.DUMMYFUNCTION("""COMPUTED_VALUE"""),"")</f>
        <v/>
      </c>
      <c r="BV4" s="24" t="str">
        <f>IFERROR(__xludf.DUMMYFUNCTION("""COMPUTED_VALUE"""),"")</f>
        <v/>
      </c>
      <c r="BW4" s="24" t="str">
        <f>IFERROR(__xludf.DUMMYFUNCTION("""COMPUTED_VALUE"""),"")</f>
        <v/>
      </c>
      <c r="BX4" s="24" t="str">
        <f>IFERROR(__xludf.DUMMYFUNCTION("""COMPUTED_VALUE"""),"")</f>
        <v/>
      </c>
      <c r="BY4" s="24" t="str">
        <f>IFERROR(__xludf.DUMMYFUNCTION("""COMPUTED_VALUE"""),"")</f>
        <v/>
      </c>
      <c r="BZ4" s="24" t="str">
        <f>IFERROR(__xludf.DUMMYFUNCTION("""COMPUTED_VALUE"""),"")</f>
        <v/>
      </c>
      <c r="CA4" s="24" t="str">
        <f>IFERROR(__xludf.DUMMYFUNCTION("""COMPUTED_VALUE"""),"")</f>
        <v/>
      </c>
      <c r="CB4" s="24" t="str">
        <f>IFERROR(__xludf.DUMMYFUNCTION("""COMPUTED_VALUE"""),"")</f>
        <v/>
      </c>
      <c r="CC4" s="24" t="str">
        <f>IFERROR(__xludf.DUMMYFUNCTION("""COMPUTED_VALUE"""),"")</f>
        <v/>
      </c>
      <c r="CD4" s="24" t="str">
        <f>IFERROR(__xludf.DUMMYFUNCTION("""COMPUTED_VALUE"""),"")</f>
        <v/>
      </c>
      <c r="CE4" s="24" t="str">
        <f>IFERROR(__xludf.DUMMYFUNCTION("""COMPUTED_VALUE"""),"")</f>
        <v/>
      </c>
      <c r="CF4" s="24" t="str">
        <f>IFERROR(__xludf.DUMMYFUNCTION("""COMPUTED_VALUE"""),"")</f>
        <v/>
      </c>
      <c r="CG4" s="24" t="str">
        <f>IFERROR(__xludf.DUMMYFUNCTION("""COMPUTED_VALUE"""),"")</f>
        <v/>
      </c>
      <c r="CH4" s="24" t="str">
        <f>IFERROR(__xludf.DUMMYFUNCTION("""COMPUTED_VALUE"""),"")</f>
        <v/>
      </c>
      <c r="CI4" s="24" t="str">
        <f>IFERROR(__xludf.DUMMYFUNCTION("""COMPUTED_VALUE"""),"")</f>
        <v/>
      </c>
      <c r="CJ4" s="24" t="str">
        <f>IFERROR(__xludf.DUMMYFUNCTION("""COMPUTED_VALUE"""),"")</f>
        <v/>
      </c>
      <c r="CK4" s="24" t="str">
        <f>IFERROR(__xludf.DUMMYFUNCTION("""COMPUTED_VALUE"""),"")</f>
        <v/>
      </c>
      <c r="CL4" s="24" t="str">
        <f>IFERROR(__xludf.DUMMYFUNCTION("""COMPUTED_VALUE"""),"")</f>
        <v/>
      </c>
      <c r="CM4" s="24" t="str">
        <f>IFERROR(__xludf.DUMMYFUNCTION("""COMPUTED_VALUE"""),"")</f>
        <v/>
      </c>
      <c r="CN4" s="24" t="str">
        <f>IFERROR(__xludf.DUMMYFUNCTION("""COMPUTED_VALUE"""),"")</f>
        <v/>
      </c>
      <c r="CO4" s="24" t="str">
        <f>IFERROR(__xludf.DUMMYFUNCTION("""COMPUTED_VALUE"""),"")</f>
        <v/>
      </c>
      <c r="CP4" s="24" t="str">
        <f>IFERROR(__xludf.DUMMYFUNCTION("""COMPUTED_VALUE"""),"")</f>
        <v/>
      </c>
      <c r="CQ4" s="24" t="str">
        <f>IFERROR(__xludf.DUMMYFUNCTION("""COMPUTED_VALUE"""),"")</f>
        <v/>
      </c>
      <c r="CR4" s="24" t="str">
        <f>IFERROR(__xludf.DUMMYFUNCTION("""COMPUTED_VALUE"""),"")</f>
        <v/>
      </c>
      <c r="CS4" s="24" t="str">
        <f>IFERROR(__xludf.DUMMYFUNCTION("""COMPUTED_VALUE"""),"")</f>
        <v/>
      </c>
      <c r="CT4" s="24" t="str">
        <f>IFERROR(__xludf.DUMMYFUNCTION("""COMPUTED_VALUE"""),"")</f>
        <v/>
      </c>
      <c r="CU4" s="24" t="str">
        <f>IFERROR(__xludf.DUMMYFUNCTION("""COMPUTED_VALUE"""),"")</f>
        <v/>
      </c>
      <c r="CV4" s="24" t="str">
        <f>IFERROR(__xludf.DUMMYFUNCTION("""COMPUTED_VALUE"""),"")</f>
        <v/>
      </c>
      <c r="CW4" s="24" t="str">
        <f>IFERROR(__xludf.DUMMYFUNCTION("""COMPUTED_VALUE"""),"")</f>
        <v/>
      </c>
      <c r="CX4" s="24" t="str">
        <f>IFERROR(__xludf.DUMMYFUNCTION("""COMPUTED_VALUE"""),"")</f>
        <v/>
      </c>
      <c r="CY4" s="24" t="str">
        <f>IFERROR(__xludf.DUMMYFUNCTION("""COMPUTED_VALUE"""),"")</f>
        <v/>
      </c>
      <c r="CZ4" s="24" t="str">
        <f>IFERROR(__xludf.DUMMYFUNCTION("""COMPUTED_VALUE"""),"")</f>
        <v/>
      </c>
      <c r="DA4" s="24" t="str">
        <f>IFERROR(__xludf.DUMMYFUNCTION("""COMPUTED_VALUE"""),"")</f>
        <v/>
      </c>
      <c r="DB4" s="24" t="str">
        <f>IFERROR(__xludf.DUMMYFUNCTION("""COMPUTED_VALUE"""),"")</f>
        <v/>
      </c>
      <c r="DC4" s="24" t="str">
        <f>IFERROR(__xludf.DUMMYFUNCTION("""COMPUTED_VALUE"""),"")</f>
        <v/>
      </c>
      <c r="DD4" s="24" t="str">
        <f>IFERROR(__xludf.DUMMYFUNCTION("""COMPUTED_VALUE"""),"")</f>
        <v/>
      </c>
      <c r="DE4" s="24" t="str">
        <f>IFERROR(__xludf.DUMMYFUNCTION("""COMPUTED_VALUE"""),"")</f>
        <v/>
      </c>
      <c r="DF4" s="24" t="str">
        <f>IFERROR(__xludf.DUMMYFUNCTION("""COMPUTED_VALUE"""),"")</f>
        <v/>
      </c>
      <c r="DG4" s="24" t="str">
        <f>IFERROR(__xludf.DUMMYFUNCTION("""COMPUTED_VALUE"""),"")</f>
        <v/>
      </c>
      <c r="DH4" s="24" t="str">
        <f>IFERROR(__xludf.DUMMYFUNCTION("""COMPUTED_VALUE"""),"")</f>
        <v/>
      </c>
      <c r="DI4" s="24" t="str">
        <f>IFERROR(__xludf.DUMMYFUNCTION("""COMPUTED_VALUE"""),"")</f>
        <v/>
      </c>
      <c r="DJ4" s="24" t="str">
        <f>IFERROR(__xludf.DUMMYFUNCTION("""COMPUTED_VALUE"""),"")</f>
        <v/>
      </c>
      <c r="DK4" s="24" t="str">
        <f>IFERROR(__xludf.DUMMYFUNCTION("""COMPUTED_VALUE"""),"")</f>
        <v/>
      </c>
      <c r="DL4" s="24" t="str">
        <f>IFERROR(__xludf.DUMMYFUNCTION("""COMPUTED_VALUE"""),"")</f>
        <v/>
      </c>
      <c r="DM4" s="24" t="str">
        <f>IFERROR(__xludf.DUMMYFUNCTION("""COMPUTED_VALUE"""),"")</f>
        <v/>
      </c>
      <c r="DN4" s="24" t="str">
        <f>IFERROR(__xludf.DUMMYFUNCTION("""COMPUTED_VALUE"""),"")</f>
        <v/>
      </c>
      <c r="DO4" s="24" t="str">
        <f>IFERROR(__xludf.DUMMYFUNCTION("""COMPUTED_VALUE"""),"")</f>
        <v/>
      </c>
      <c r="DP4" s="24" t="str">
        <f>IFERROR(__xludf.DUMMYFUNCTION("""COMPUTED_VALUE"""),"")</f>
        <v/>
      </c>
      <c r="DQ4" s="24" t="str">
        <f>IFERROR(__xludf.DUMMYFUNCTION("""COMPUTED_VALUE"""),"")</f>
        <v/>
      </c>
      <c r="DR4" s="24" t="str">
        <f>IFERROR(__xludf.DUMMYFUNCTION("""COMPUTED_VALUE"""),"")</f>
        <v/>
      </c>
      <c r="DS4" s="24" t="str">
        <f>IFERROR(__xludf.DUMMYFUNCTION("""COMPUTED_VALUE"""),"")</f>
        <v/>
      </c>
      <c r="DT4" s="24" t="str">
        <f>IFERROR(__xludf.DUMMYFUNCTION("""COMPUTED_VALUE"""),"")</f>
        <v/>
      </c>
      <c r="DU4" s="24" t="str">
        <f>IFERROR(__xludf.DUMMYFUNCTION("""COMPUTED_VALUE"""),"")</f>
        <v/>
      </c>
      <c r="DV4" s="24" t="str">
        <f>IFERROR(__xludf.DUMMYFUNCTION("""COMPUTED_VALUE"""),"")</f>
        <v/>
      </c>
      <c r="DW4" s="24" t="str">
        <f>IFERROR(__xludf.DUMMYFUNCTION("""COMPUTED_VALUE"""),"")</f>
        <v/>
      </c>
      <c r="DX4" s="24" t="str">
        <f>IFERROR(__xludf.DUMMYFUNCTION("""COMPUTED_VALUE"""),"")</f>
        <v/>
      </c>
      <c r="DY4" s="24" t="str">
        <f>IFERROR(__xludf.DUMMYFUNCTION("""COMPUTED_VALUE"""),"")</f>
        <v/>
      </c>
      <c r="DZ4" s="24" t="str">
        <f>IFERROR(__xludf.DUMMYFUNCTION("""COMPUTED_VALUE"""),"")</f>
        <v/>
      </c>
      <c r="EA4" s="24" t="str">
        <f>IFERROR(__xludf.DUMMYFUNCTION("""COMPUTED_VALUE"""),"")</f>
        <v/>
      </c>
      <c r="EB4" s="24" t="str">
        <f>IFERROR(__xludf.DUMMYFUNCTION("""COMPUTED_VALUE"""),"")</f>
        <v/>
      </c>
      <c r="EC4" s="24" t="str">
        <f>IFERROR(__xludf.DUMMYFUNCTION("""COMPUTED_VALUE"""),"")</f>
        <v/>
      </c>
      <c r="ED4" s="24" t="str">
        <f>IFERROR(__xludf.DUMMYFUNCTION("""COMPUTED_VALUE"""),"")</f>
        <v/>
      </c>
      <c r="EE4" s="24" t="str">
        <f>IFERROR(__xludf.DUMMYFUNCTION("""COMPUTED_VALUE"""),"")</f>
        <v/>
      </c>
      <c r="EF4" s="24" t="str">
        <f>IFERROR(__xludf.DUMMYFUNCTION("""COMPUTED_VALUE"""),"")</f>
        <v/>
      </c>
      <c r="EG4" s="24" t="str">
        <f>IFERROR(__xludf.DUMMYFUNCTION("""COMPUTED_VALUE"""),"")</f>
        <v/>
      </c>
      <c r="EH4" s="24" t="str">
        <f>IFERROR(__xludf.DUMMYFUNCTION("""COMPUTED_VALUE"""),"")</f>
        <v/>
      </c>
      <c r="EI4" s="24" t="str">
        <f>IFERROR(__xludf.DUMMYFUNCTION("""COMPUTED_VALUE"""),"")</f>
        <v/>
      </c>
      <c r="EJ4" s="24" t="str">
        <f>IFERROR(__xludf.DUMMYFUNCTION("""COMPUTED_VALUE"""),"")</f>
        <v/>
      </c>
      <c r="EK4" s="24" t="str">
        <f>IFERROR(__xludf.DUMMYFUNCTION("""COMPUTED_VALUE"""),"")</f>
        <v/>
      </c>
      <c r="EL4" s="24" t="str">
        <f>IFERROR(__xludf.DUMMYFUNCTION("""COMPUTED_VALUE"""),"")</f>
        <v/>
      </c>
      <c r="EM4" s="24" t="str">
        <f>IFERROR(__xludf.DUMMYFUNCTION("""COMPUTED_VALUE"""),"")</f>
        <v/>
      </c>
      <c r="EN4" s="24" t="str">
        <f>IFERROR(__xludf.DUMMYFUNCTION("""COMPUTED_VALUE"""),"")</f>
        <v/>
      </c>
      <c r="EO4" s="24" t="str">
        <f>IFERROR(__xludf.DUMMYFUNCTION("""COMPUTED_VALUE"""),"")</f>
        <v/>
      </c>
      <c r="EP4" s="24" t="str">
        <f>IFERROR(__xludf.DUMMYFUNCTION("""COMPUTED_VALUE"""),"")</f>
        <v/>
      </c>
      <c r="EQ4" s="24" t="str">
        <f>IFERROR(__xludf.DUMMYFUNCTION("""COMPUTED_VALUE"""),"")</f>
        <v/>
      </c>
      <c r="ER4" s="24" t="str">
        <f>IFERROR(__xludf.DUMMYFUNCTION("""COMPUTED_VALUE"""),"")</f>
        <v/>
      </c>
      <c r="ES4" s="24" t="str">
        <f>IFERROR(__xludf.DUMMYFUNCTION("""COMPUTED_VALUE"""),"")</f>
        <v/>
      </c>
      <c r="ET4" s="24" t="str">
        <f>IFERROR(__xludf.DUMMYFUNCTION("""COMPUTED_VALUE"""),"")</f>
        <v/>
      </c>
      <c r="EU4" s="24" t="str">
        <f>IFERROR(__xludf.DUMMYFUNCTION("""COMPUTED_VALUE"""),"")</f>
        <v/>
      </c>
      <c r="EV4" s="24" t="str">
        <f>IFERROR(__xludf.DUMMYFUNCTION("""COMPUTED_VALUE"""),"")</f>
        <v/>
      </c>
      <c r="EW4" s="24" t="str">
        <f>IFERROR(__xludf.DUMMYFUNCTION("""COMPUTED_VALUE"""),"")</f>
        <v/>
      </c>
      <c r="EX4" s="24" t="str">
        <f>IFERROR(__xludf.DUMMYFUNCTION("""COMPUTED_VALUE"""),"")</f>
        <v/>
      </c>
    </row>
    <row r="5" ht="15.75" customHeight="1">
      <c r="A5" s="25" t="str">
        <f>IFERROR(__xludf.DUMMYFUNCTION("TRANSPOSE(IMPORTRANGE(VLOOKUP($E$3,IMPORTRANGE('_Settings'!$B$3,$C$3&amp;""!A4:B1000""),2,FALSE),$G$3&amp;""!A4:A1000""))"),"")</f>
        <v/>
      </c>
      <c r="B5" s="26" t="str">
        <f>IFERROR(__xludf.DUMMYFUNCTION("""COMPUTED_VALUE"""),"From Currency")</f>
        <v>From Currency</v>
      </c>
      <c r="C5" s="26" t="str">
        <f>IFERROR(__xludf.DUMMYFUNCTION("""COMPUTED_VALUE"""),"To Currency")</f>
        <v>To Currency</v>
      </c>
      <c r="D5" s="26" t="str">
        <f>IFERROR(__xludf.DUMMYFUNCTION("""COMPUTED_VALUE"""),"Symbol")</f>
        <v>Symbol</v>
      </c>
      <c r="E5" s="26" t="str">
        <f>IFERROR(__xludf.DUMMYFUNCTION("""COMPUTED_VALUE"""),"Price")</f>
        <v>Price</v>
      </c>
      <c r="F5" s="27" t="str">
        <f>IFERROR(__xludf.DUMMYFUNCTION("""COMPUTED_VALUE"""),"")</f>
        <v/>
      </c>
      <c r="G5" s="26" t="str">
        <f>IFERROR(__xludf.DUMMYFUNCTION("""COMPUTED_VALUE"""),"")</f>
        <v/>
      </c>
      <c r="H5" s="26" t="str">
        <f>IFERROR(__xludf.DUMMYFUNCTION("""COMPUTED_VALUE"""),"")</f>
        <v/>
      </c>
      <c r="I5" s="26" t="str">
        <f>IFERROR(__xludf.DUMMYFUNCTION("""COMPUTED_VALUE"""),"")</f>
        <v/>
      </c>
      <c r="J5" s="26" t="str">
        <f>IFERROR(__xludf.DUMMYFUNCTION("""COMPUTED_VALUE"""),"")</f>
        <v/>
      </c>
      <c r="K5" s="26" t="str">
        <f>IFERROR(__xludf.DUMMYFUNCTION("""COMPUTED_VALUE"""),"")</f>
        <v/>
      </c>
      <c r="L5" s="26" t="str">
        <f>IFERROR(__xludf.DUMMYFUNCTION("""COMPUTED_VALUE"""),"")</f>
        <v/>
      </c>
      <c r="M5" s="26" t="str">
        <f>IFERROR(__xludf.DUMMYFUNCTION("""COMPUTED_VALUE"""),"")</f>
        <v/>
      </c>
      <c r="N5" s="26" t="str">
        <f>IFERROR(__xludf.DUMMYFUNCTION("""COMPUTED_VALUE"""),"")</f>
        <v/>
      </c>
      <c r="O5" s="26" t="str">
        <f>IFERROR(__xludf.DUMMYFUNCTION("""COMPUTED_VALUE"""),"")</f>
        <v/>
      </c>
      <c r="P5" s="26" t="str">
        <f>IFERROR(__xludf.DUMMYFUNCTION("""COMPUTED_VALUE"""),"")</f>
        <v/>
      </c>
      <c r="Q5" s="26" t="str">
        <f>IFERROR(__xludf.DUMMYFUNCTION("""COMPUTED_VALUE"""),"")</f>
        <v/>
      </c>
      <c r="R5" s="26" t="str">
        <f>IFERROR(__xludf.DUMMYFUNCTION("""COMPUTED_VALUE"""),"")</f>
        <v/>
      </c>
      <c r="S5" s="26" t="str">
        <f>IFERROR(__xludf.DUMMYFUNCTION("""COMPUTED_VALUE"""),"")</f>
        <v/>
      </c>
      <c r="T5" s="28" t="str">
        <f>IFERROR(__xludf.DUMMYFUNCTION("""COMPUTED_VALUE"""),"")</f>
        <v/>
      </c>
      <c r="U5" s="28" t="str">
        <f>IFERROR(__xludf.DUMMYFUNCTION("""COMPUTED_VALUE"""),"")</f>
        <v/>
      </c>
      <c r="V5" s="28" t="str">
        <f>IFERROR(__xludf.DUMMYFUNCTION("""COMPUTED_VALUE"""),"")</f>
        <v/>
      </c>
      <c r="W5" s="28" t="str">
        <f>IFERROR(__xludf.DUMMYFUNCTION("""COMPUTED_VALUE"""),"")</f>
        <v/>
      </c>
      <c r="X5" s="28" t="str">
        <f>IFERROR(__xludf.DUMMYFUNCTION("""COMPUTED_VALUE"""),"")</f>
        <v/>
      </c>
      <c r="Y5" s="28" t="str">
        <f>IFERROR(__xludf.DUMMYFUNCTION("""COMPUTED_VALUE"""),"")</f>
        <v/>
      </c>
      <c r="Z5" s="28" t="str">
        <f>IFERROR(__xludf.DUMMYFUNCTION("""COMPUTED_VALUE"""),"")</f>
        <v/>
      </c>
      <c r="AA5" s="28" t="str">
        <f>IFERROR(__xludf.DUMMYFUNCTION("""COMPUTED_VALUE"""),"")</f>
        <v/>
      </c>
      <c r="AB5" s="28" t="str">
        <f>IFERROR(__xludf.DUMMYFUNCTION("""COMPUTED_VALUE"""),"")</f>
        <v/>
      </c>
      <c r="AC5" s="28" t="str">
        <f>IFERROR(__xludf.DUMMYFUNCTION("""COMPUTED_VALUE"""),"")</f>
        <v/>
      </c>
      <c r="AD5" s="28" t="str">
        <f>IFERROR(__xludf.DUMMYFUNCTION("""COMPUTED_VALUE"""),"")</f>
        <v/>
      </c>
      <c r="AE5" s="28" t="str">
        <f>IFERROR(__xludf.DUMMYFUNCTION("""COMPUTED_VALUE"""),"")</f>
        <v/>
      </c>
      <c r="AF5" s="28" t="str">
        <f>IFERROR(__xludf.DUMMYFUNCTION("""COMPUTED_VALUE"""),"")</f>
        <v/>
      </c>
      <c r="AG5" s="28" t="str">
        <f>IFERROR(__xludf.DUMMYFUNCTION("""COMPUTED_VALUE"""),"")</f>
        <v/>
      </c>
      <c r="AH5" s="28" t="str">
        <f>IFERROR(__xludf.DUMMYFUNCTION("""COMPUTED_VALUE"""),"")</f>
        <v/>
      </c>
      <c r="AI5" s="28" t="str">
        <f>IFERROR(__xludf.DUMMYFUNCTION("""COMPUTED_VALUE"""),"")</f>
        <v/>
      </c>
      <c r="AJ5" s="28" t="str">
        <f>IFERROR(__xludf.DUMMYFUNCTION("""COMPUTED_VALUE"""),"")</f>
        <v/>
      </c>
      <c r="AK5" s="28" t="str">
        <f>IFERROR(__xludf.DUMMYFUNCTION("""COMPUTED_VALUE"""),"")</f>
        <v/>
      </c>
      <c r="AL5" s="28" t="str">
        <f>IFERROR(__xludf.DUMMYFUNCTION("""COMPUTED_VALUE"""),"")</f>
        <v/>
      </c>
      <c r="AM5" s="28" t="str">
        <f>IFERROR(__xludf.DUMMYFUNCTION("""COMPUTED_VALUE"""),"")</f>
        <v/>
      </c>
      <c r="AN5" s="28" t="str">
        <f>IFERROR(__xludf.DUMMYFUNCTION("""COMPUTED_VALUE"""),"")</f>
        <v/>
      </c>
      <c r="AO5" s="28" t="str">
        <f>IFERROR(__xludf.DUMMYFUNCTION("""COMPUTED_VALUE"""),"")</f>
        <v/>
      </c>
      <c r="AP5" s="28" t="str">
        <f>IFERROR(__xludf.DUMMYFUNCTION("""COMPUTED_VALUE"""),"")</f>
        <v/>
      </c>
      <c r="AQ5" s="28" t="str">
        <f>IFERROR(__xludf.DUMMYFUNCTION("""COMPUTED_VALUE"""),"")</f>
        <v/>
      </c>
      <c r="AR5" s="28" t="str">
        <f>IFERROR(__xludf.DUMMYFUNCTION("""COMPUTED_VALUE"""),"")</f>
        <v/>
      </c>
      <c r="AS5" s="28" t="str">
        <f>IFERROR(__xludf.DUMMYFUNCTION("""COMPUTED_VALUE"""),"")</f>
        <v/>
      </c>
      <c r="AT5" s="28" t="str">
        <f>IFERROR(__xludf.DUMMYFUNCTION("""COMPUTED_VALUE"""),"")</f>
        <v/>
      </c>
      <c r="AU5" s="28" t="str">
        <f>IFERROR(__xludf.DUMMYFUNCTION("""COMPUTED_VALUE"""),"")</f>
        <v/>
      </c>
      <c r="AV5" s="28" t="str">
        <f>IFERROR(__xludf.DUMMYFUNCTION("""COMPUTED_VALUE"""),"")</f>
        <v/>
      </c>
      <c r="AW5" s="28" t="str">
        <f>IFERROR(__xludf.DUMMYFUNCTION("""COMPUTED_VALUE"""),"")</f>
        <v/>
      </c>
      <c r="AX5" s="28" t="str">
        <f>IFERROR(__xludf.DUMMYFUNCTION("""COMPUTED_VALUE"""),"")</f>
        <v/>
      </c>
      <c r="AY5" s="28" t="str">
        <f>IFERROR(__xludf.DUMMYFUNCTION("""COMPUTED_VALUE"""),"")</f>
        <v/>
      </c>
      <c r="AZ5" s="28" t="str">
        <f>IFERROR(__xludf.DUMMYFUNCTION("""COMPUTED_VALUE"""),"")</f>
        <v/>
      </c>
      <c r="BA5" s="28" t="str">
        <f>IFERROR(__xludf.DUMMYFUNCTION("""COMPUTED_VALUE"""),"")</f>
        <v/>
      </c>
      <c r="BB5" s="28" t="str">
        <f>IFERROR(__xludf.DUMMYFUNCTION("""COMPUTED_VALUE"""),"")</f>
        <v/>
      </c>
      <c r="BC5" s="28" t="str">
        <f>IFERROR(__xludf.DUMMYFUNCTION("""COMPUTED_VALUE"""),"")</f>
        <v/>
      </c>
      <c r="BD5" s="28" t="str">
        <f>IFERROR(__xludf.DUMMYFUNCTION("""COMPUTED_VALUE"""),"")</f>
        <v/>
      </c>
      <c r="BE5" s="28" t="str">
        <f>IFERROR(__xludf.DUMMYFUNCTION("""COMPUTED_VALUE"""),"")</f>
        <v/>
      </c>
      <c r="BF5" s="28" t="str">
        <f>IFERROR(__xludf.DUMMYFUNCTION("""COMPUTED_VALUE"""),"")</f>
        <v/>
      </c>
      <c r="BG5" s="28" t="str">
        <f>IFERROR(__xludf.DUMMYFUNCTION("""COMPUTED_VALUE"""),"")</f>
        <v/>
      </c>
      <c r="BH5" s="28" t="str">
        <f>IFERROR(__xludf.DUMMYFUNCTION("""COMPUTED_VALUE"""),"")</f>
        <v/>
      </c>
      <c r="BI5" s="28" t="str">
        <f>IFERROR(__xludf.DUMMYFUNCTION("""COMPUTED_VALUE"""),"")</f>
        <v/>
      </c>
      <c r="BJ5" s="28" t="str">
        <f>IFERROR(__xludf.DUMMYFUNCTION("""COMPUTED_VALUE"""),"")</f>
        <v/>
      </c>
      <c r="BK5" s="28" t="str">
        <f>IFERROR(__xludf.DUMMYFUNCTION("""COMPUTED_VALUE"""),"")</f>
        <v/>
      </c>
      <c r="BL5" s="28" t="str">
        <f>IFERROR(__xludf.DUMMYFUNCTION("""COMPUTED_VALUE"""),"")</f>
        <v/>
      </c>
      <c r="BM5" s="28" t="str">
        <f>IFERROR(__xludf.DUMMYFUNCTION("""COMPUTED_VALUE"""),"")</f>
        <v/>
      </c>
      <c r="BN5" s="28" t="str">
        <f>IFERROR(__xludf.DUMMYFUNCTION("""COMPUTED_VALUE"""),"")</f>
        <v/>
      </c>
      <c r="BO5" s="28" t="str">
        <f>IFERROR(__xludf.DUMMYFUNCTION("""COMPUTED_VALUE"""),"")</f>
        <v/>
      </c>
      <c r="BP5" s="28" t="str">
        <f>IFERROR(__xludf.DUMMYFUNCTION("""COMPUTED_VALUE"""),"")</f>
        <v/>
      </c>
      <c r="BQ5" s="28" t="str">
        <f>IFERROR(__xludf.DUMMYFUNCTION("""COMPUTED_VALUE"""),"")</f>
        <v/>
      </c>
      <c r="BR5" s="28" t="str">
        <f>IFERROR(__xludf.DUMMYFUNCTION("""COMPUTED_VALUE"""),"")</f>
        <v/>
      </c>
      <c r="BS5" s="28" t="str">
        <f>IFERROR(__xludf.DUMMYFUNCTION("""COMPUTED_VALUE"""),"")</f>
        <v/>
      </c>
      <c r="BT5" s="28" t="str">
        <f>IFERROR(__xludf.DUMMYFUNCTION("""COMPUTED_VALUE"""),"")</f>
        <v/>
      </c>
      <c r="BU5" s="28" t="str">
        <f>IFERROR(__xludf.DUMMYFUNCTION("""COMPUTED_VALUE"""),"")</f>
        <v/>
      </c>
      <c r="BV5" s="28" t="str">
        <f>IFERROR(__xludf.DUMMYFUNCTION("""COMPUTED_VALUE"""),"")</f>
        <v/>
      </c>
      <c r="BW5" s="28" t="str">
        <f>IFERROR(__xludf.DUMMYFUNCTION("""COMPUTED_VALUE"""),"")</f>
        <v/>
      </c>
      <c r="BX5" s="28" t="str">
        <f>IFERROR(__xludf.DUMMYFUNCTION("""COMPUTED_VALUE"""),"")</f>
        <v/>
      </c>
      <c r="BY5" s="28" t="str">
        <f>IFERROR(__xludf.DUMMYFUNCTION("""COMPUTED_VALUE"""),"")</f>
        <v/>
      </c>
      <c r="BZ5" s="28" t="str">
        <f>IFERROR(__xludf.DUMMYFUNCTION("""COMPUTED_VALUE"""),"")</f>
        <v/>
      </c>
      <c r="CA5" s="28" t="str">
        <f>IFERROR(__xludf.DUMMYFUNCTION("""COMPUTED_VALUE"""),"")</f>
        <v/>
      </c>
      <c r="CB5" s="28" t="str">
        <f>IFERROR(__xludf.DUMMYFUNCTION("""COMPUTED_VALUE"""),"")</f>
        <v/>
      </c>
      <c r="CC5" s="28" t="str">
        <f>IFERROR(__xludf.DUMMYFUNCTION("""COMPUTED_VALUE"""),"")</f>
        <v/>
      </c>
      <c r="CD5" s="28" t="str">
        <f>IFERROR(__xludf.DUMMYFUNCTION("""COMPUTED_VALUE"""),"")</f>
        <v/>
      </c>
      <c r="CE5" s="28" t="str">
        <f>IFERROR(__xludf.DUMMYFUNCTION("""COMPUTED_VALUE"""),"")</f>
        <v/>
      </c>
      <c r="CF5" s="28" t="str">
        <f>IFERROR(__xludf.DUMMYFUNCTION("""COMPUTED_VALUE"""),"")</f>
        <v/>
      </c>
      <c r="CG5" s="28" t="str">
        <f>IFERROR(__xludf.DUMMYFUNCTION("""COMPUTED_VALUE"""),"")</f>
        <v/>
      </c>
      <c r="CH5" s="28" t="str">
        <f>IFERROR(__xludf.DUMMYFUNCTION("""COMPUTED_VALUE"""),"")</f>
        <v/>
      </c>
      <c r="CI5" s="28" t="str">
        <f>IFERROR(__xludf.DUMMYFUNCTION("""COMPUTED_VALUE"""),"")</f>
        <v/>
      </c>
      <c r="CJ5" s="28" t="str">
        <f>IFERROR(__xludf.DUMMYFUNCTION("""COMPUTED_VALUE"""),"")</f>
        <v/>
      </c>
      <c r="CK5" s="28" t="str">
        <f>IFERROR(__xludf.DUMMYFUNCTION("""COMPUTED_VALUE"""),"")</f>
        <v/>
      </c>
      <c r="CL5" s="28" t="str">
        <f>IFERROR(__xludf.DUMMYFUNCTION("""COMPUTED_VALUE"""),"")</f>
        <v/>
      </c>
      <c r="CM5" s="28" t="str">
        <f>IFERROR(__xludf.DUMMYFUNCTION("""COMPUTED_VALUE"""),"")</f>
        <v/>
      </c>
      <c r="CN5" s="28" t="str">
        <f>IFERROR(__xludf.DUMMYFUNCTION("""COMPUTED_VALUE"""),"")</f>
        <v/>
      </c>
      <c r="CO5" s="28" t="str">
        <f>IFERROR(__xludf.DUMMYFUNCTION("""COMPUTED_VALUE"""),"")</f>
        <v/>
      </c>
      <c r="CP5" s="28" t="str">
        <f>IFERROR(__xludf.DUMMYFUNCTION("""COMPUTED_VALUE"""),"")</f>
        <v/>
      </c>
      <c r="CQ5" s="28" t="str">
        <f>IFERROR(__xludf.DUMMYFUNCTION("""COMPUTED_VALUE"""),"")</f>
        <v/>
      </c>
      <c r="CR5" s="28" t="str">
        <f>IFERROR(__xludf.DUMMYFUNCTION("""COMPUTED_VALUE"""),"")</f>
        <v/>
      </c>
      <c r="CS5" s="28" t="str">
        <f>IFERROR(__xludf.DUMMYFUNCTION("""COMPUTED_VALUE"""),"")</f>
        <v/>
      </c>
      <c r="CT5" s="28" t="str">
        <f>IFERROR(__xludf.DUMMYFUNCTION("""COMPUTED_VALUE"""),"")</f>
        <v/>
      </c>
      <c r="CU5" s="28" t="str">
        <f>IFERROR(__xludf.DUMMYFUNCTION("""COMPUTED_VALUE"""),"")</f>
        <v/>
      </c>
      <c r="CV5" s="28" t="str">
        <f>IFERROR(__xludf.DUMMYFUNCTION("""COMPUTED_VALUE"""),"")</f>
        <v/>
      </c>
      <c r="CW5" s="28" t="str">
        <f>IFERROR(__xludf.DUMMYFUNCTION("""COMPUTED_VALUE"""),"")</f>
        <v/>
      </c>
      <c r="CX5" s="28" t="str">
        <f>IFERROR(__xludf.DUMMYFUNCTION("""COMPUTED_VALUE"""),"")</f>
        <v/>
      </c>
      <c r="CY5" s="28" t="str">
        <f>IFERROR(__xludf.DUMMYFUNCTION("""COMPUTED_VALUE"""),"")</f>
        <v/>
      </c>
      <c r="CZ5" s="28" t="str">
        <f>IFERROR(__xludf.DUMMYFUNCTION("""COMPUTED_VALUE"""),"")</f>
        <v/>
      </c>
      <c r="DA5" s="28" t="str">
        <f>IFERROR(__xludf.DUMMYFUNCTION("""COMPUTED_VALUE"""),"")</f>
        <v/>
      </c>
      <c r="DB5" s="28" t="str">
        <f>IFERROR(__xludf.DUMMYFUNCTION("""COMPUTED_VALUE"""),"")</f>
        <v/>
      </c>
      <c r="DC5" s="28" t="str">
        <f>IFERROR(__xludf.DUMMYFUNCTION("""COMPUTED_VALUE"""),"")</f>
        <v/>
      </c>
      <c r="DD5" s="28" t="str">
        <f>IFERROR(__xludf.DUMMYFUNCTION("""COMPUTED_VALUE"""),"")</f>
        <v/>
      </c>
      <c r="DE5" s="28" t="str">
        <f>IFERROR(__xludf.DUMMYFUNCTION("""COMPUTED_VALUE"""),"")</f>
        <v/>
      </c>
      <c r="DF5" s="28" t="str">
        <f>IFERROR(__xludf.DUMMYFUNCTION("""COMPUTED_VALUE"""),"")</f>
        <v/>
      </c>
      <c r="DG5" s="28" t="str">
        <f>IFERROR(__xludf.DUMMYFUNCTION("""COMPUTED_VALUE"""),"")</f>
        <v/>
      </c>
      <c r="DH5" s="28" t="str">
        <f>IFERROR(__xludf.DUMMYFUNCTION("""COMPUTED_VALUE"""),"")</f>
        <v/>
      </c>
      <c r="DI5" s="28" t="str">
        <f>IFERROR(__xludf.DUMMYFUNCTION("""COMPUTED_VALUE"""),"")</f>
        <v/>
      </c>
      <c r="DJ5" s="28" t="str">
        <f>IFERROR(__xludf.DUMMYFUNCTION("""COMPUTED_VALUE"""),"")</f>
        <v/>
      </c>
      <c r="DK5" s="28" t="str">
        <f>IFERROR(__xludf.DUMMYFUNCTION("""COMPUTED_VALUE"""),"")</f>
        <v/>
      </c>
      <c r="DL5" s="28" t="str">
        <f>IFERROR(__xludf.DUMMYFUNCTION("""COMPUTED_VALUE"""),"")</f>
        <v/>
      </c>
      <c r="DM5" s="28" t="str">
        <f>IFERROR(__xludf.DUMMYFUNCTION("""COMPUTED_VALUE"""),"")</f>
        <v/>
      </c>
      <c r="DN5" s="28" t="str">
        <f>IFERROR(__xludf.DUMMYFUNCTION("""COMPUTED_VALUE"""),"")</f>
        <v/>
      </c>
      <c r="DO5" s="28" t="str">
        <f>IFERROR(__xludf.DUMMYFUNCTION("""COMPUTED_VALUE"""),"")</f>
        <v/>
      </c>
      <c r="DP5" s="28" t="str">
        <f>IFERROR(__xludf.DUMMYFUNCTION("""COMPUTED_VALUE"""),"")</f>
        <v/>
      </c>
      <c r="DQ5" s="28" t="str">
        <f>IFERROR(__xludf.DUMMYFUNCTION("""COMPUTED_VALUE"""),"")</f>
        <v/>
      </c>
      <c r="DR5" s="28" t="str">
        <f>IFERROR(__xludf.DUMMYFUNCTION("""COMPUTED_VALUE"""),"")</f>
        <v/>
      </c>
      <c r="DS5" s="28" t="str">
        <f>IFERROR(__xludf.DUMMYFUNCTION("""COMPUTED_VALUE"""),"")</f>
        <v/>
      </c>
      <c r="DT5" s="28" t="str">
        <f>IFERROR(__xludf.DUMMYFUNCTION("""COMPUTED_VALUE"""),"")</f>
        <v/>
      </c>
      <c r="DU5" s="28" t="str">
        <f>IFERROR(__xludf.DUMMYFUNCTION("""COMPUTED_VALUE"""),"")</f>
        <v/>
      </c>
      <c r="DV5" s="28" t="str">
        <f>IFERROR(__xludf.DUMMYFUNCTION("""COMPUTED_VALUE"""),"")</f>
        <v/>
      </c>
      <c r="DW5" s="28" t="str">
        <f>IFERROR(__xludf.DUMMYFUNCTION("""COMPUTED_VALUE"""),"")</f>
        <v/>
      </c>
      <c r="DX5" s="28" t="str">
        <f>IFERROR(__xludf.DUMMYFUNCTION("""COMPUTED_VALUE"""),"")</f>
        <v/>
      </c>
      <c r="DY5" s="28" t="str">
        <f>IFERROR(__xludf.DUMMYFUNCTION("""COMPUTED_VALUE"""),"")</f>
        <v/>
      </c>
      <c r="DZ5" s="28" t="str">
        <f>IFERROR(__xludf.DUMMYFUNCTION("""COMPUTED_VALUE"""),"")</f>
        <v/>
      </c>
      <c r="EA5" s="28" t="str">
        <f>IFERROR(__xludf.DUMMYFUNCTION("""COMPUTED_VALUE"""),"")</f>
        <v/>
      </c>
      <c r="EB5" s="28" t="str">
        <f>IFERROR(__xludf.DUMMYFUNCTION("""COMPUTED_VALUE"""),"")</f>
        <v/>
      </c>
      <c r="EC5" s="28" t="str">
        <f>IFERROR(__xludf.DUMMYFUNCTION("""COMPUTED_VALUE"""),"")</f>
        <v/>
      </c>
      <c r="ED5" s="28" t="str">
        <f>IFERROR(__xludf.DUMMYFUNCTION("""COMPUTED_VALUE"""),"")</f>
        <v/>
      </c>
      <c r="EE5" s="28" t="str">
        <f>IFERROR(__xludf.DUMMYFUNCTION("""COMPUTED_VALUE"""),"")</f>
        <v/>
      </c>
      <c r="EF5" s="28" t="str">
        <f>IFERROR(__xludf.DUMMYFUNCTION("""COMPUTED_VALUE"""),"")</f>
        <v/>
      </c>
      <c r="EG5" s="28" t="str">
        <f>IFERROR(__xludf.DUMMYFUNCTION("""COMPUTED_VALUE"""),"")</f>
        <v/>
      </c>
      <c r="EH5" s="28" t="str">
        <f>IFERROR(__xludf.DUMMYFUNCTION("""COMPUTED_VALUE"""),"")</f>
        <v/>
      </c>
      <c r="EI5" s="28" t="str">
        <f>IFERROR(__xludf.DUMMYFUNCTION("""COMPUTED_VALUE"""),"")</f>
        <v/>
      </c>
      <c r="EJ5" s="28" t="str">
        <f>IFERROR(__xludf.DUMMYFUNCTION("""COMPUTED_VALUE"""),"")</f>
        <v/>
      </c>
      <c r="EK5" s="28" t="str">
        <f>IFERROR(__xludf.DUMMYFUNCTION("""COMPUTED_VALUE"""),"")</f>
        <v/>
      </c>
      <c r="EL5" s="28" t="str">
        <f>IFERROR(__xludf.DUMMYFUNCTION("""COMPUTED_VALUE"""),"")</f>
        <v/>
      </c>
      <c r="EM5" s="28" t="str">
        <f>IFERROR(__xludf.DUMMYFUNCTION("""COMPUTED_VALUE"""),"")</f>
        <v/>
      </c>
      <c r="EN5" s="28" t="str">
        <f>IFERROR(__xludf.DUMMYFUNCTION("""COMPUTED_VALUE"""),"")</f>
        <v/>
      </c>
      <c r="EO5" s="28" t="str">
        <f>IFERROR(__xludf.DUMMYFUNCTION("""COMPUTED_VALUE"""),"")</f>
        <v/>
      </c>
      <c r="EP5" s="28" t="str">
        <f>IFERROR(__xludf.DUMMYFUNCTION("""COMPUTED_VALUE"""),"")</f>
        <v/>
      </c>
      <c r="EQ5" s="28" t="str">
        <f>IFERROR(__xludf.DUMMYFUNCTION("""COMPUTED_VALUE"""),"")</f>
        <v/>
      </c>
      <c r="ER5" s="28" t="str">
        <f>IFERROR(__xludf.DUMMYFUNCTION("""COMPUTED_VALUE"""),"")</f>
        <v/>
      </c>
      <c r="ES5" s="28" t="str">
        <f>IFERROR(__xludf.DUMMYFUNCTION("""COMPUTED_VALUE"""),"")</f>
        <v/>
      </c>
      <c r="ET5" s="28" t="str">
        <f>IFERROR(__xludf.DUMMYFUNCTION("""COMPUTED_VALUE"""),"")</f>
        <v/>
      </c>
      <c r="EU5" s="28" t="str">
        <f>IFERROR(__xludf.DUMMYFUNCTION("""COMPUTED_VALUE"""),"")</f>
        <v/>
      </c>
      <c r="EV5" s="28" t="str">
        <f>IFERROR(__xludf.DUMMYFUNCTION("""COMPUTED_VALUE"""),"")</f>
        <v/>
      </c>
      <c r="EW5" s="28" t="str">
        <f>IFERROR(__xludf.DUMMYFUNCTION("""COMPUTED_VALUE"""),"")</f>
        <v/>
      </c>
      <c r="EX5" s="28" t="str">
        <f>IFERROR(__xludf.DUMMYFUNCTION("""COMPUTED_VALUE"""),"")</f>
        <v/>
      </c>
    </row>
    <row r="6" ht="15.75" customHeight="1">
      <c r="A6" s="41"/>
      <c r="B6" s="42" t="s">
        <v>29</v>
      </c>
      <c r="C6" s="43" t="s">
        <v>30</v>
      </c>
      <c r="D6" s="44" t="s">
        <v>31</v>
      </c>
      <c r="E6" s="45">
        <v>0.766</v>
      </c>
      <c r="F6" s="43"/>
      <c r="G6" s="43"/>
      <c r="H6" s="43"/>
      <c r="I6" s="43"/>
      <c r="J6" s="43"/>
      <c r="K6" s="43"/>
      <c r="L6" s="43"/>
      <c r="M6" s="43"/>
      <c r="N6" s="43"/>
      <c r="O6" s="43"/>
      <c r="P6" s="43"/>
      <c r="Q6" s="43"/>
      <c r="R6" s="43"/>
      <c r="S6" s="43"/>
      <c r="T6" s="46"/>
      <c r="U6" s="46"/>
      <c r="V6" s="46"/>
      <c r="W6" s="46"/>
      <c r="X6" s="46"/>
      <c r="Y6" s="46"/>
      <c r="Z6" s="46"/>
      <c r="AA6" s="46"/>
      <c r="AB6" s="46"/>
      <c r="AC6" s="46"/>
      <c r="AD6" s="46"/>
      <c r="AE6" s="46"/>
      <c r="AF6" s="46"/>
      <c r="AG6" s="46"/>
      <c r="AH6" s="46"/>
      <c r="AI6" s="46"/>
      <c r="AJ6" s="46"/>
      <c r="AK6" s="46"/>
      <c r="AL6" s="46"/>
      <c r="AM6" s="46"/>
      <c r="AN6" s="46"/>
      <c r="AO6" s="46"/>
      <c r="AP6" s="46"/>
      <c r="AQ6" s="46"/>
      <c r="AR6" s="46"/>
      <c r="AS6" s="46"/>
      <c r="AT6" s="46"/>
      <c r="AU6" s="46"/>
      <c r="AV6" s="46"/>
      <c r="AW6" s="46"/>
      <c r="AX6" s="46"/>
      <c r="AY6" s="46"/>
      <c r="AZ6" s="46"/>
      <c r="BA6" s="46"/>
      <c r="BB6" s="46"/>
      <c r="BC6" s="46"/>
      <c r="BD6" s="46"/>
      <c r="BE6" s="46"/>
      <c r="BF6" s="46"/>
      <c r="BG6" s="46"/>
      <c r="BH6" s="46"/>
      <c r="BI6" s="46"/>
      <c r="BJ6" s="46"/>
      <c r="BK6" s="46"/>
      <c r="BL6" s="46"/>
      <c r="BM6" s="46"/>
      <c r="BN6" s="46"/>
      <c r="BO6" s="46"/>
      <c r="BP6" s="46"/>
      <c r="BQ6" s="46"/>
      <c r="BR6" s="46"/>
      <c r="BS6" s="46"/>
      <c r="BT6" s="46"/>
      <c r="BU6" s="46"/>
      <c r="BV6" s="46"/>
      <c r="BW6" s="46"/>
      <c r="BX6" s="46"/>
      <c r="BY6" s="46"/>
      <c r="BZ6" s="46"/>
      <c r="CA6" s="46"/>
      <c r="CB6" s="46"/>
      <c r="CC6" s="46"/>
      <c r="CD6" s="46"/>
      <c r="CE6" s="46"/>
      <c r="CF6" s="46"/>
      <c r="CG6" s="46"/>
      <c r="CH6" s="46"/>
      <c r="CI6" s="46"/>
      <c r="CJ6" s="46"/>
      <c r="CK6" s="46"/>
      <c r="CL6" s="46"/>
      <c r="CM6" s="46"/>
      <c r="CN6" s="46"/>
      <c r="CO6" s="46"/>
      <c r="CP6" s="46"/>
      <c r="CQ6" s="46"/>
      <c r="CR6" s="46"/>
      <c r="CS6" s="46"/>
      <c r="CT6" s="46"/>
      <c r="CU6" s="46"/>
      <c r="CV6" s="46"/>
      <c r="CW6" s="46"/>
      <c r="CX6" s="46"/>
      <c r="CY6" s="46"/>
      <c r="CZ6" s="46"/>
      <c r="DA6" s="46"/>
      <c r="DB6" s="46"/>
      <c r="DC6" s="46"/>
      <c r="DD6" s="46"/>
      <c r="DE6" s="46"/>
      <c r="DF6" s="46"/>
      <c r="DG6" s="46"/>
      <c r="DH6" s="46"/>
      <c r="DI6" s="46"/>
      <c r="DJ6" s="46"/>
      <c r="DK6" s="46"/>
      <c r="DL6" s="46"/>
      <c r="DM6" s="46"/>
      <c r="DN6" s="46"/>
      <c r="DO6" s="46"/>
      <c r="DP6" s="46"/>
      <c r="DQ6" s="46"/>
      <c r="DR6" s="46"/>
      <c r="DS6" s="46"/>
      <c r="DT6" s="46"/>
      <c r="DU6" s="46"/>
      <c r="DV6" s="46"/>
      <c r="DW6" s="46"/>
      <c r="DX6" s="46"/>
      <c r="DY6" s="46"/>
      <c r="DZ6" s="46"/>
      <c r="EA6" s="46"/>
      <c r="EB6" s="46"/>
      <c r="EC6" s="46"/>
      <c r="ED6" s="46"/>
      <c r="EE6" s="46"/>
      <c r="EF6" s="46"/>
      <c r="EG6" s="46"/>
      <c r="EH6" s="46"/>
      <c r="EI6" s="46"/>
      <c r="EJ6" s="46"/>
      <c r="EK6" s="46"/>
      <c r="EL6" s="46"/>
      <c r="EM6" s="46"/>
      <c r="EN6" s="46"/>
      <c r="EO6" s="46"/>
      <c r="EP6" s="46"/>
      <c r="EQ6" s="46"/>
      <c r="ER6" s="46"/>
      <c r="ES6" s="46"/>
      <c r="ET6" s="46"/>
      <c r="EU6" s="46"/>
      <c r="EV6" s="46"/>
      <c r="EW6" s="46"/>
      <c r="EX6" s="46"/>
    </row>
    <row r="7" ht="15.75" customHeight="1">
      <c r="A7" s="7"/>
      <c r="B7" s="7"/>
      <c r="C7" s="7"/>
      <c r="D7" s="7"/>
      <c r="E7" s="7"/>
      <c r="F7" s="7"/>
      <c r="G7" s="7"/>
      <c r="H7" s="7"/>
      <c r="I7" s="7"/>
      <c r="J7" s="7"/>
      <c r="K7" s="7"/>
      <c r="L7" s="7"/>
      <c r="M7" s="7"/>
      <c r="N7" s="7"/>
      <c r="O7" s="7"/>
    </row>
    <row r="8" ht="15.75" customHeight="1">
      <c r="A8" s="7"/>
      <c r="B8" s="7"/>
      <c r="C8" s="7"/>
      <c r="D8" s="7"/>
      <c r="E8" s="7"/>
      <c r="F8" s="7"/>
      <c r="G8" s="7"/>
      <c r="H8" s="7"/>
      <c r="I8" s="7"/>
      <c r="J8" s="7"/>
      <c r="K8" s="7"/>
      <c r="L8" s="7"/>
      <c r="M8" s="7"/>
      <c r="N8" s="7"/>
      <c r="O8" s="7"/>
    </row>
    <row r="9" ht="15.75" customHeight="1">
      <c r="A9" s="7"/>
      <c r="B9" s="7"/>
      <c r="C9" s="7"/>
      <c r="D9" s="7"/>
      <c r="E9" s="7"/>
      <c r="F9" s="7"/>
      <c r="G9" s="7"/>
      <c r="H9" s="7"/>
      <c r="I9" s="7"/>
      <c r="J9" s="7"/>
      <c r="K9" s="7"/>
      <c r="L9" s="7"/>
      <c r="M9" s="7"/>
      <c r="N9" s="7"/>
      <c r="O9" s="7"/>
    </row>
    <row r="10" ht="15.75" customHeight="1">
      <c r="A10" s="7"/>
      <c r="B10" s="7"/>
      <c r="C10" s="7"/>
      <c r="D10" s="7"/>
      <c r="E10" s="7"/>
      <c r="F10" s="7"/>
      <c r="G10" s="7"/>
      <c r="H10" s="7"/>
      <c r="I10" s="7"/>
      <c r="J10" s="7"/>
      <c r="K10" s="7"/>
      <c r="L10" s="7"/>
      <c r="M10" s="7"/>
      <c r="N10" s="7"/>
      <c r="O10" s="7"/>
    </row>
    <row r="11" ht="15.75" customHeight="1">
      <c r="A11" s="7"/>
      <c r="B11" s="7"/>
      <c r="C11" s="7"/>
      <c r="D11" s="7"/>
      <c r="E11" s="7"/>
      <c r="F11" s="7"/>
      <c r="G11" s="7"/>
      <c r="H11" s="7"/>
      <c r="I11" s="7"/>
      <c r="J11" s="7"/>
      <c r="K11" s="7"/>
      <c r="L11" s="7"/>
      <c r="M11" s="7"/>
      <c r="N11" s="7"/>
      <c r="O11" s="7"/>
    </row>
    <row r="12" ht="15.75" customHeight="1">
      <c r="A12" s="7"/>
      <c r="B12" s="7"/>
      <c r="C12" s="7"/>
      <c r="D12" s="7"/>
      <c r="E12" s="7"/>
      <c r="F12" s="7"/>
      <c r="G12" s="7"/>
      <c r="H12" s="7"/>
      <c r="I12" s="7"/>
      <c r="J12" s="7"/>
      <c r="K12" s="7"/>
      <c r="L12" s="7"/>
      <c r="M12" s="7"/>
      <c r="N12" s="7"/>
      <c r="O12" s="7"/>
    </row>
    <row r="13" ht="15.75" customHeight="1">
      <c r="A13" s="7"/>
      <c r="B13" s="7"/>
      <c r="C13" s="7"/>
      <c r="D13" s="7"/>
      <c r="E13" s="7"/>
      <c r="F13" s="7"/>
      <c r="G13" s="7"/>
      <c r="H13" s="7"/>
      <c r="I13" s="7"/>
      <c r="J13" s="7"/>
      <c r="K13" s="7"/>
      <c r="L13" s="7"/>
      <c r="M13" s="7"/>
      <c r="N13" s="7"/>
      <c r="O13" s="7"/>
    </row>
    <row r="14" ht="15.75" customHeight="1">
      <c r="A14" s="7"/>
      <c r="B14" s="7"/>
      <c r="C14" s="7"/>
      <c r="D14" s="7"/>
      <c r="E14" s="7"/>
      <c r="F14" s="7"/>
      <c r="G14" s="7"/>
      <c r="H14" s="7"/>
      <c r="I14" s="7"/>
      <c r="J14" s="7"/>
      <c r="K14" s="7"/>
      <c r="L14" s="7"/>
      <c r="M14" s="7"/>
      <c r="N14" s="7"/>
      <c r="O14" s="7"/>
    </row>
    <row r="15" ht="15.75" customHeight="1">
      <c r="A15" s="7"/>
      <c r="B15" s="7"/>
      <c r="C15" s="7"/>
      <c r="D15" s="7"/>
      <c r="E15" s="7"/>
      <c r="F15" s="7"/>
      <c r="G15" s="7"/>
      <c r="H15" s="7"/>
      <c r="I15" s="7"/>
      <c r="J15" s="7"/>
      <c r="K15" s="7"/>
      <c r="L15" s="7"/>
      <c r="M15" s="7"/>
      <c r="N15" s="7"/>
      <c r="O15" s="7"/>
    </row>
    <row r="16" ht="15.75" customHeight="1">
      <c r="A16" s="7"/>
      <c r="B16" s="7"/>
      <c r="C16" s="7"/>
      <c r="D16" s="7"/>
      <c r="E16" s="7"/>
      <c r="F16" s="7"/>
      <c r="G16" s="7"/>
      <c r="H16" s="7"/>
      <c r="I16" s="7"/>
      <c r="J16" s="7"/>
      <c r="K16" s="7"/>
      <c r="L16" s="7"/>
      <c r="M16" s="7"/>
      <c r="N16" s="7"/>
      <c r="O16" s="7"/>
    </row>
    <row r="17" ht="15.75" customHeight="1">
      <c r="A17" s="7"/>
      <c r="B17" s="7"/>
      <c r="C17" s="7"/>
      <c r="D17" s="7"/>
      <c r="E17" s="7"/>
      <c r="F17" s="7"/>
      <c r="G17" s="7"/>
      <c r="H17" s="7"/>
      <c r="I17" s="7"/>
      <c r="J17" s="7"/>
      <c r="K17" s="7"/>
      <c r="L17" s="7"/>
      <c r="M17" s="7"/>
      <c r="N17" s="7"/>
      <c r="O17" s="7"/>
    </row>
    <row r="18" ht="15.75" customHeight="1">
      <c r="A18" s="7"/>
      <c r="B18" s="7"/>
      <c r="C18" s="7"/>
      <c r="D18" s="7"/>
      <c r="E18" s="7"/>
      <c r="F18" s="7"/>
      <c r="G18" s="7"/>
      <c r="H18" s="7"/>
      <c r="I18" s="7"/>
      <c r="J18" s="7"/>
      <c r="K18" s="7"/>
      <c r="L18" s="7"/>
      <c r="M18" s="7"/>
      <c r="N18" s="7"/>
      <c r="O18" s="7"/>
    </row>
    <row r="19" ht="15.75" customHeight="1">
      <c r="A19" s="7"/>
      <c r="B19" s="7"/>
      <c r="C19" s="7"/>
      <c r="D19" s="7"/>
      <c r="E19" s="7"/>
      <c r="F19" s="7"/>
      <c r="G19" s="7"/>
      <c r="H19" s="7"/>
      <c r="I19" s="7"/>
      <c r="J19" s="7"/>
      <c r="K19" s="7"/>
      <c r="L19" s="7"/>
      <c r="M19" s="7"/>
      <c r="N19" s="7"/>
      <c r="O19" s="7"/>
    </row>
    <row r="20" ht="15.75" customHeight="1">
      <c r="A20" s="7"/>
      <c r="B20" s="7"/>
      <c r="C20" s="7"/>
      <c r="D20" s="7"/>
      <c r="E20" s="7"/>
      <c r="F20" s="7"/>
      <c r="G20" s="7"/>
      <c r="H20" s="7"/>
      <c r="I20" s="7"/>
      <c r="J20" s="7"/>
      <c r="K20" s="7"/>
      <c r="L20" s="7"/>
      <c r="M20" s="7"/>
      <c r="N20" s="7"/>
      <c r="O20" s="7"/>
    </row>
    <row r="21" ht="15.75" customHeight="1">
      <c r="A21" s="7"/>
      <c r="B21" s="7"/>
      <c r="C21" s="7"/>
      <c r="D21" s="7"/>
      <c r="E21" s="7"/>
      <c r="F21" s="7"/>
      <c r="G21" s="7"/>
      <c r="H21" s="7"/>
      <c r="I21" s="7"/>
      <c r="J21" s="7"/>
      <c r="K21" s="7"/>
      <c r="L21" s="7"/>
      <c r="M21" s="7"/>
      <c r="N21" s="7"/>
      <c r="O21" s="7"/>
    </row>
    <row r="22" ht="15.75" customHeight="1">
      <c r="A22" s="7"/>
      <c r="B22" s="7"/>
      <c r="C22" s="7"/>
      <c r="D22" s="7"/>
      <c r="E22" s="7"/>
      <c r="F22" s="7"/>
      <c r="G22" s="7"/>
      <c r="H22" s="7"/>
      <c r="I22" s="7"/>
      <c r="J22" s="7"/>
      <c r="K22" s="7"/>
      <c r="L22" s="7"/>
      <c r="M22" s="7"/>
      <c r="N22" s="7"/>
      <c r="O22" s="7"/>
    </row>
    <row r="23" ht="15.75" customHeight="1">
      <c r="A23" s="7"/>
      <c r="B23" s="7"/>
      <c r="C23" s="7"/>
      <c r="D23" s="7"/>
      <c r="E23" s="7"/>
      <c r="F23" s="7"/>
      <c r="G23" s="7"/>
      <c r="H23" s="7"/>
      <c r="I23" s="7"/>
      <c r="J23" s="7"/>
      <c r="K23" s="7"/>
      <c r="L23" s="7"/>
      <c r="M23" s="7"/>
      <c r="N23" s="7"/>
      <c r="O23" s="7"/>
    </row>
    <row r="24" ht="15.75" customHeight="1">
      <c r="A24" s="7"/>
      <c r="B24" s="7"/>
      <c r="C24" s="7"/>
      <c r="D24" s="7"/>
      <c r="E24" s="7"/>
      <c r="F24" s="7"/>
      <c r="G24" s="7"/>
      <c r="H24" s="7"/>
      <c r="I24" s="7"/>
      <c r="J24" s="7"/>
      <c r="K24" s="7"/>
      <c r="L24" s="7"/>
      <c r="M24" s="7"/>
      <c r="N24" s="7"/>
      <c r="O24" s="7"/>
    </row>
    <row r="25" ht="15.75" customHeight="1">
      <c r="A25" s="7"/>
      <c r="B25" s="7"/>
      <c r="C25" s="7"/>
      <c r="D25" s="7"/>
      <c r="E25" s="7"/>
      <c r="F25" s="7"/>
      <c r="G25" s="7"/>
      <c r="H25" s="7"/>
      <c r="I25" s="7"/>
      <c r="J25" s="7"/>
      <c r="K25" s="7"/>
      <c r="L25" s="7"/>
      <c r="M25" s="7"/>
      <c r="N25" s="7"/>
      <c r="O25" s="7"/>
    </row>
    <row r="26" ht="15.75" customHeight="1">
      <c r="A26" s="7"/>
      <c r="B26" s="7"/>
      <c r="C26" s="7"/>
      <c r="D26" s="7"/>
      <c r="E26" s="7"/>
      <c r="F26" s="7"/>
      <c r="G26" s="7"/>
      <c r="H26" s="7"/>
      <c r="I26" s="7"/>
      <c r="J26" s="7"/>
      <c r="K26" s="7"/>
      <c r="L26" s="7"/>
      <c r="M26" s="7"/>
      <c r="N26" s="7"/>
      <c r="O26" s="7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UpdateForexConversion1!$4:$4</formula1>
    </dataValidation>
    <dataValidation type="list" allowBlank="1" showInputMessage="1" showErrorMessage="1" prompt="Choose a format for current sheet" sqref="G3">
      <formula1>"Input Format,Output Format"</formula1>
    </dataValidation>
  </dataValidations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7"/>
      <c r="B1" s="2" t="s">
        <v>11</v>
      </c>
      <c r="C1" s="3"/>
      <c r="D1" s="3"/>
      <c r="E1" s="3"/>
      <c r="F1" s="3"/>
      <c r="G1" s="3"/>
      <c r="H1" s="5"/>
      <c r="I1" s="17"/>
      <c r="J1" s="17"/>
      <c r="K1" s="17"/>
      <c r="L1" s="17"/>
      <c r="M1" s="17"/>
      <c r="N1" s="17"/>
      <c r="O1" s="17"/>
      <c r="P1" s="18"/>
      <c r="Q1" s="18"/>
      <c r="R1" s="18"/>
      <c r="S1" s="18"/>
      <c r="T1" s="18"/>
      <c r="U1" s="18"/>
      <c r="V1" s="18"/>
      <c r="W1" s="18"/>
      <c r="X1" s="18"/>
      <c r="Y1" s="18"/>
      <c r="Z1" s="18"/>
      <c r="AA1" s="18"/>
      <c r="AB1" s="18"/>
      <c r="AC1" s="18"/>
      <c r="AD1" s="18"/>
      <c r="AE1" s="18"/>
      <c r="AF1" s="18"/>
      <c r="AG1" s="18"/>
      <c r="AH1" s="18"/>
      <c r="AI1" s="18"/>
      <c r="AJ1" s="18"/>
      <c r="AK1" s="18"/>
      <c r="AL1" s="18"/>
      <c r="AM1" s="18"/>
      <c r="AN1" s="18"/>
      <c r="AO1" s="18"/>
      <c r="AP1" s="18"/>
      <c r="AQ1" s="18"/>
      <c r="AR1" s="18"/>
      <c r="AS1" s="18"/>
      <c r="AT1" s="18"/>
      <c r="AU1" s="18"/>
      <c r="AV1" s="18"/>
      <c r="AW1" s="18"/>
      <c r="AX1" s="18"/>
      <c r="AY1" s="18"/>
      <c r="AZ1" s="18"/>
      <c r="BA1" s="18"/>
      <c r="BB1" s="18"/>
      <c r="BC1" s="18"/>
      <c r="BD1" s="18"/>
      <c r="BE1" s="18"/>
      <c r="BF1" s="18"/>
      <c r="BG1" s="18"/>
      <c r="BH1" s="18"/>
      <c r="BI1" s="18"/>
      <c r="BJ1" s="18"/>
      <c r="BK1" s="18"/>
      <c r="BL1" s="18"/>
      <c r="BM1" s="18"/>
      <c r="BN1" s="18"/>
      <c r="BO1" s="18"/>
      <c r="BP1" s="18"/>
      <c r="BQ1" s="18"/>
      <c r="BR1" s="18"/>
      <c r="BS1" s="18"/>
      <c r="BT1" s="18"/>
      <c r="BU1" s="18"/>
      <c r="BV1" s="18"/>
      <c r="BW1" s="18"/>
      <c r="BX1" s="18"/>
      <c r="BY1" s="18"/>
      <c r="BZ1" s="18"/>
      <c r="CA1" s="18"/>
      <c r="CB1" s="18"/>
      <c r="CC1" s="18"/>
      <c r="CD1" s="18"/>
      <c r="CE1" s="18"/>
      <c r="CF1" s="18"/>
      <c r="CG1" s="18"/>
      <c r="CH1" s="18"/>
      <c r="CI1" s="18"/>
      <c r="CJ1" s="18"/>
      <c r="CK1" s="18"/>
      <c r="CL1" s="18"/>
      <c r="CM1" s="18"/>
      <c r="CN1" s="18"/>
      <c r="CO1" s="18"/>
      <c r="CP1" s="18"/>
      <c r="CQ1" s="18"/>
      <c r="CR1" s="18"/>
      <c r="CS1" s="18"/>
      <c r="CT1" s="18"/>
      <c r="CU1" s="18"/>
      <c r="CV1" s="18"/>
      <c r="CW1" s="18"/>
      <c r="CX1" s="18"/>
      <c r="CY1" s="18"/>
      <c r="CZ1" s="18"/>
      <c r="DA1" s="18"/>
      <c r="DB1" s="18"/>
      <c r="DC1" s="18"/>
      <c r="DD1" s="18"/>
      <c r="DE1" s="18"/>
      <c r="DF1" s="18"/>
      <c r="DG1" s="18"/>
      <c r="DH1" s="18"/>
      <c r="DI1" s="18"/>
      <c r="DJ1" s="18"/>
      <c r="DK1" s="18"/>
      <c r="DL1" s="18"/>
      <c r="DM1" s="18"/>
      <c r="DN1" s="18"/>
      <c r="DO1" s="18"/>
      <c r="DP1" s="18"/>
      <c r="DQ1" s="18"/>
      <c r="DR1" s="18"/>
      <c r="DS1" s="18"/>
      <c r="DT1" s="18"/>
      <c r="DU1" s="18"/>
      <c r="DV1" s="18"/>
      <c r="DW1" s="18"/>
      <c r="DX1" s="18"/>
      <c r="DY1" s="18"/>
      <c r="DZ1" s="18"/>
      <c r="EA1" s="18"/>
      <c r="EB1" s="18"/>
      <c r="EC1" s="18"/>
      <c r="ED1" s="18"/>
      <c r="EE1" s="18"/>
      <c r="EF1" s="18"/>
      <c r="EG1" s="18"/>
      <c r="EH1" s="18"/>
      <c r="EI1" s="18"/>
      <c r="EJ1" s="18"/>
      <c r="EK1" s="18"/>
      <c r="EL1" s="18"/>
      <c r="EM1" s="18"/>
      <c r="EN1" s="18"/>
      <c r="EO1" s="18"/>
      <c r="EP1" s="18"/>
      <c r="EQ1" s="18"/>
      <c r="ER1" s="18"/>
      <c r="ES1" s="18"/>
      <c r="ET1" s="18"/>
      <c r="EU1" s="18"/>
      <c r="EV1" s="18"/>
      <c r="EW1" s="18"/>
      <c r="EX1" s="18"/>
    </row>
    <row r="2" ht="15.75" customHeight="1">
      <c r="A2" s="7"/>
      <c r="B2" s="7"/>
      <c r="C2" s="7"/>
      <c r="D2" s="7"/>
      <c r="E2" s="7"/>
      <c r="F2" s="7"/>
      <c r="G2" s="7"/>
      <c r="H2" s="7"/>
      <c r="I2" s="7"/>
      <c r="J2" s="19" t="str">
        <f> VLOOKUP($E$3,'_MasterData'!B4:D1000,3,FALSE)</f>
        <v>#N/A</v>
      </c>
      <c r="K2" s="19"/>
      <c r="L2" s="7"/>
      <c r="M2" s="7"/>
      <c r="N2" s="7"/>
      <c r="O2" s="7"/>
    </row>
    <row r="3" ht="15.75" customHeight="1">
      <c r="A3" s="20"/>
      <c r="B3" s="9" t="s">
        <v>3</v>
      </c>
      <c r="C3" s="21" t="s">
        <v>32</v>
      </c>
      <c r="D3" s="9" t="s">
        <v>6</v>
      </c>
      <c r="E3" s="21" t="s">
        <v>32</v>
      </c>
      <c r="F3" s="9" t="s">
        <v>15</v>
      </c>
      <c r="G3" s="16" t="s">
        <v>17</v>
      </c>
      <c r="H3" s="9"/>
      <c r="I3" s="20"/>
      <c r="J3" s="20"/>
      <c r="K3" s="20"/>
      <c r="L3" s="20"/>
      <c r="M3" s="20"/>
      <c r="N3" s="20"/>
      <c r="O3" s="20"/>
      <c r="P3" s="22"/>
      <c r="Q3" s="22"/>
      <c r="R3" s="22"/>
      <c r="S3" s="22"/>
      <c r="T3" s="22"/>
      <c r="U3" s="22"/>
      <c r="V3" s="22"/>
      <c r="W3" s="22"/>
      <c r="X3" s="22"/>
      <c r="Y3" s="22"/>
      <c r="Z3" s="22"/>
      <c r="AA3" s="22"/>
      <c r="AB3" s="22"/>
      <c r="AC3" s="22"/>
      <c r="AD3" s="22"/>
      <c r="AE3" s="22"/>
      <c r="AF3" s="22"/>
      <c r="AG3" s="22"/>
      <c r="AH3" s="22"/>
      <c r="AI3" s="22"/>
      <c r="AJ3" s="22"/>
      <c r="AK3" s="22"/>
      <c r="AL3" s="22"/>
      <c r="AM3" s="22"/>
      <c r="AN3" s="22"/>
      <c r="AO3" s="22"/>
      <c r="AP3" s="22"/>
      <c r="AQ3" s="22"/>
      <c r="AR3" s="22"/>
      <c r="AS3" s="22"/>
      <c r="AT3" s="22"/>
      <c r="AU3" s="22"/>
      <c r="AV3" s="22"/>
      <c r="AW3" s="22"/>
      <c r="AX3" s="22"/>
      <c r="AY3" s="22"/>
      <c r="AZ3" s="22"/>
      <c r="BA3" s="22"/>
      <c r="BB3" s="22"/>
      <c r="BC3" s="22"/>
      <c r="BD3" s="22"/>
      <c r="BE3" s="22"/>
      <c r="BF3" s="22"/>
      <c r="BG3" s="22"/>
      <c r="BH3" s="22"/>
      <c r="BI3" s="22"/>
      <c r="BJ3" s="22"/>
      <c r="BK3" s="22"/>
      <c r="BL3" s="22"/>
      <c r="BM3" s="22"/>
      <c r="BN3" s="22"/>
      <c r="BO3" s="22"/>
      <c r="BP3" s="22"/>
      <c r="BQ3" s="22"/>
      <c r="BR3" s="22"/>
      <c r="BS3" s="22"/>
      <c r="BT3" s="22"/>
      <c r="BU3" s="22"/>
      <c r="BV3" s="22"/>
      <c r="BW3" s="22"/>
      <c r="BX3" s="22"/>
      <c r="BY3" s="22"/>
      <c r="BZ3" s="22"/>
      <c r="CA3" s="22"/>
      <c r="CB3" s="22"/>
      <c r="CC3" s="22"/>
      <c r="CD3" s="22"/>
      <c r="CE3" s="22"/>
      <c r="CF3" s="22"/>
      <c r="CG3" s="22"/>
      <c r="CH3" s="22"/>
      <c r="CI3" s="22"/>
      <c r="CJ3" s="22"/>
      <c r="CK3" s="22"/>
      <c r="CL3" s="22"/>
      <c r="CM3" s="22"/>
      <c r="CN3" s="22"/>
      <c r="CO3" s="22"/>
      <c r="CP3" s="22"/>
      <c r="CQ3" s="22"/>
      <c r="CR3" s="22"/>
      <c r="CS3" s="22"/>
      <c r="CT3" s="22"/>
      <c r="CU3" s="22"/>
      <c r="CV3" s="22"/>
      <c r="CW3" s="22"/>
      <c r="CX3" s="22"/>
      <c r="CY3" s="22"/>
      <c r="CZ3" s="22"/>
      <c r="DA3" s="22"/>
      <c r="DB3" s="22"/>
      <c r="DC3" s="22"/>
      <c r="DD3" s="22"/>
      <c r="DE3" s="22"/>
      <c r="DF3" s="22"/>
      <c r="DG3" s="22"/>
      <c r="DH3" s="22"/>
      <c r="DI3" s="22"/>
      <c r="DJ3" s="22"/>
      <c r="DK3" s="22"/>
      <c r="DL3" s="22"/>
      <c r="DM3" s="22"/>
      <c r="DN3" s="22"/>
      <c r="DO3" s="22"/>
      <c r="DP3" s="22"/>
      <c r="DQ3" s="22"/>
      <c r="DR3" s="22"/>
      <c r="DS3" s="22"/>
      <c r="DT3" s="22"/>
      <c r="DU3" s="22"/>
      <c r="DV3" s="22"/>
      <c r="DW3" s="22"/>
      <c r="DX3" s="22"/>
      <c r="DY3" s="22"/>
      <c r="DZ3" s="22"/>
      <c r="EA3" s="22"/>
      <c r="EB3" s="22"/>
      <c r="EC3" s="22"/>
      <c r="ED3" s="22"/>
      <c r="EE3" s="22"/>
      <c r="EF3" s="22"/>
      <c r="EG3" s="22"/>
      <c r="EH3" s="22"/>
      <c r="EI3" s="22"/>
      <c r="EJ3" s="22"/>
      <c r="EK3" s="22"/>
      <c r="EL3" s="22"/>
      <c r="EM3" s="22"/>
      <c r="EN3" s="22"/>
      <c r="EO3" s="22"/>
      <c r="EP3" s="22"/>
      <c r="EQ3" s="22"/>
      <c r="ER3" s="22"/>
      <c r="ES3" s="22"/>
      <c r="ET3" s="22"/>
      <c r="EU3" s="22"/>
      <c r="EV3" s="22"/>
      <c r="EW3" s="22"/>
      <c r="EX3" s="22"/>
    </row>
    <row r="4" ht="15.75" customHeight="1">
      <c r="A4" s="23"/>
      <c r="B4" s="23" t="str">
        <f>IFERROR(__xludf.DUMMYFUNCTION("IF(C3="""","""",Transpose(IMPORTRANGE('_Settings'!$B$3,C3&amp;""!A4:A1000"")))"),"PricingInput")</f>
        <v>PricingInput</v>
      </c>
      <c r="C4" s="23" t="str">
        <f>IFERROR(__xludf.DUMMYFUNCTION("""COMPUTED_VALUE"""),"UpdateSharesOutstanding")</f>
        <v>UpdateSharesOutstanding</v>
      </c>
      <c r="D4" s="23" t="str">
        <f>IFERROR(__xludf.DUMMYFUNCTION("""COMPUTED_VALUE"""),"EODTPreferences")</f>
        <v>EODTPreferences</v>
      </c>
      <c r="E4" s="23" t="str">
        <f>IFERROR(__xludf.DUMMYFUNCTION("""COMPUTED_VALUE"""),"LiveData")</f>
        <v>LiveData</v>
      </c>
      <c r="F4" s="23" t="str">
        <f>IFERROR(__xludf.DUMMYFUNCTION("""COMPUTED_VALUE"""),"")</f>
        <v/>
      </c>
      <c r="G4" s="23" t="str">
        <f>IFERROR(__xludf.DUMMYFUNCTION("""COMPUTED_VALUE"""),"")</f>
        <v/>
      </c>
      <c r="H4" s="23" t="str">
        <f>IFERROR(__xludf.DUMMYFUNCTION("""COMPUTED_VALUE"""),"")</f>
        <v/>
      </c>
      <c r="I4" s="23" t="str">
        <f>IFERROR(__xludf.DUMMYFUNCTION("""COMPUTED_VALUE"""),"")</f>
        <v/>
      </c>
      <c r="J4" s="23" t="str">
        <f>IFERROR(__xludf.DUMMYFUNCTION("""COMPUTED_VALUE"""),"")</f>
        <v/>
      </c>
      <c r="K4" s="23" t="str">
        <f>IFERROR(__xludf.DUMMYFUNCTION("""COMPUTED_VALUE"""),"")</f>
        <v/>
      </c>
      <c r="L4" s="23" t="str">
        <f>IFERROR(__xludf.DUMMYFUNCTION("""COMPUTED_VALUE"""),"")</f>
        <v/>
      </c>
      <c r="M4" s="23" t="str">
        <f>IFERROR(__xludf.DUMMYFUNCTION("""COMPUTED_VALUE"""),"")</f>
        <v/>
      </c>
      <c r="N4" s="23" t="str">
        <f>IFERROR(__xludf.DUMMYFUNCTION("""COMPUTED_VALUE"""),"")</f>
        <v/>
      </c>
      <c r="O4" s="23" t="str">
        <f>IFERROR(__xludf.DUMMYFUNCTION("""COMPUTED_VALUE"""),"")</f>
        <v/>
      </c>
      <c r="P4" s="24" t="str">
        <f>IFERROR(__xludf.DUMMYFUNCTION("""COMPUTED_VALUE"""),"")</f>
        <v/>
      </c>
      <c r="Q4" s="24" t="str">
        <f>IFERROR(__xludf.DUMMYFUNCTION("""COMPUTED_VALUE"""),"")</f>
        <v/>
      </c>
      <c r="R4" s="24" t="str">
        <f>IFERROR(__xludf.DUMMYFUNCTION("""COMPUTED_VALUE"""),"")</f>
        <v/>
      </c>
      <c r="S4" s="24" t="str">
        <f>IFERROR(__xludf.DUMMYFUNCTION("""COMPUTED_VALUE"""),"")</f>
        <v/>
      </c>
      <c r="T4" s="24" t="str">
        <f>IFERROR(__xludf.DUMMYFUNCTION("""COMPUTED_VALUE"""),"")</f>
        <v/>
      </c>
      <c r="U4" s="24" t="str">
        <f>IFERROR(__xludf.DUMMYFUNCTION("""COMPUTED_VALUE"""),"")</f>
        <v/>
      </c>
      <c r="V4" s="24" t="str">
        <f>IFERROR(__xludf.DUMMYFUNCTION("""COMPUTED_VALUE"""),"")</f>
        <v/>
      </c>
      <c r="W4" s="24" t="str">
        <f>IFERROR(__xludf.DUMMYFUNCTION("""COMPUTED_VALUE"""),"")</f>
        <v/>
      </c>
      <c r="X4" s="24" t="str">
        <f>IFERROR(__xludf.DUMMYFUNCTION("""COMPUTED_VALUE"""),"")</f>
        <v/>
      </c>
      <c r="Y4" s="24" t="str">
        <f>IFERROR(__xludf.DUMMYFUNCTION("""COMPUTED_VALUE"""),"")</f>
        <v/>
      </c>
      <c r="Z4" s="24" t="str">
        <f>IFERROR(__xludf.DUMMYFUNCTION("""COMPUTED_VALUE"""),"")</f>
        <v/>
      </c>
      <c r="AA4" s="24" t="str">
        <f>IFERROR(__xludf.DUMMYFUNCTION("""COMPUTED_VALUE"""),"")</f>
        <v/>
      </c>
      <c r="AB4" s="24" t="str">
        <f>IFERROR(__xludf.DUMMYFUNCTION("""COMPUTED_VALUE"""),"")</f>
        <v/>
      </c>
      <c r="AC4" s="24" t="str">
        <f>IFERROR(__xludf.DUMMYFUNCTION("""COMPUTED_VALUE"""),"")</f>
        <v/>
      </c>
      <c r="AD4" s="24" t="str">
        <f>IFERROR(__xludf.DUMMYFUNCTION("""COMPUTED_VALUE"""),"")</f>
        <v/>
      </c>
      <c r="AE4" s="24" t="str">
        <f>IFERROR(__xludf.DUMMYFUNCTION("""COMPUTED_VALUE"""),"")</f>
        <v/>
      </c>
      <c r="AF4" s="24" t="str">
        <f>IFERROR(__xludf.DUMMYFUNCTION("""COMPUTED_VALUE"""),"")</f>
        <v/>
      </c>
      <c r="AG4" s="24" t="str">
        <f>IFERROR(__xludf.DUMMYFUNCTION("""COMPUTED_VALUE"""),"")</f>
        <v/>
      </c>
      <c r="AH4" s="24" t="str">
        <f>IFERROR(__xludf.DUMMYFUNCTION("""COMPUTED_VALUE"""),"")</f>
        <v/>
      </c>
      <c r="AI4" s="24" t="str">
        <f>IFERROR(__xludf.DUMMYFUNCTION("""COMPUTED_VALUE"""),"")</f>
        <v/>
      </c>
      <c r="AJ4" s="24" t="str">
        <f>IFERROR(__xludf.DUMMYFUNCTION("""COMPUTED_VALUE"""),"")</f>
        <v/>
      </c>
      <c r="AK4" s="24" t="str">
        <f>IFERROR(__xludf.DUMMYFUNCTION("""COMPUTED_VALUE"""),"")</f>
        <v/>
      </c>
      <c r="AL4" s="24" t="str">
        <f>IFERROR(__xludf.DUMMYFUNCTION("""COMPUTED_VALUE"""),"")</f>
        <v/>
      </c>
      <c r="AM4" s="24" t="str">
        <f>IFERROR(__xludf.DUMMYFUNCTION("""COMPUTED_VALUE"""),"")</f>
        <v/>
      </c>
      <c r="AN4" s="24" t="str">
        <f>IFERROR(__xludf.DUMMYFUNCTION("""COMPUTED_VALUE"""),"")</f>
        <v/>
      </c>
      <c r="AO4" s="24" t="str">
        <f>IFERROR(__xludf.DUMMYFUNCTION("""COMPUTED_VALUE"""),"")</f>
        <v/>
      </c>
      <c r="AP4" s="24" t="str">
        <f>IFERROR(__xludf.DUMMYFUNCTION("""COMPUTED_VALUE"""),"")</f>
        <v/>
      </c>
      <c r="AQ4" s="24" t="str">
        <f>IFERROR(__xludf.DUMMYFUNCTION("""COMPUTED_VALUE"""),"")</f>
        <v/>
      </c>
      <c r="AR4" s="24" t="str">
        <f>IFERROR(__xludf.DUMMYFUNCTION("""COMPUTED_VALUE"""),"")</f>
        <v/>
      </c>
      <c r="AS4" s="24" t="str">
        <f>IFERROR(__xludf.DUMMYFUNCTION("""COMPUTED_VALUE"""),"")</f>
        <v/>
      </c>
      <c r="AT4" s="24" t="str">
        <f>IFERROR(__xludf.DUMMYFUNCTION("""COMPUTED_VALUE"""),"")</f>
        <v/>
      </c>
      <c r="AU4" s="24" t="str">
        <f>IFERROR(__xludf.DUMMYFUNCTION("""COMPUTED_VALUE"""),"")</f>
        <v/>
      </c>
      <c r="AV4" s="24" t="str">
        <f>IFERROR(__xludf.DUMMYFUNCTION("""COMPUTED_VALUE"""),"")</f>
        <v/>
      </c>
      <c r="AW4" s="24" t="str">
        <f>IFERROR(__xludf.DUMMYFUNCTION("""COMPUTED_VALUE"""),"")</f>
        <v/>
      </c>
      <c r="AX4" s="24" t="str">
        <f>IFERROR(__xludf.DUMMYFUNCTION("""COMPUTED_VALUE"""),"")</f>
        <v/>
      </c>
      <c r="AY4" s="24" t="str">
        <f>IFERROR(__xludf.DUMMYFUNCTION("""COMPUTED_VALUE"""),"")</f>
        <v/>
      </c>
      <c r="AZ4" s="24" t="str">
        <f>IFERROR(__xludf.DUMMYFUNCTION("""COMPUTED_VALUE"""),"")</f>
        <v/>
      </c>
      <c r="BA4" s="24" t="str">
        <f>IFERROR(__xludf.DUMMYFUNCTION("""COMPUTED_VALUE"""),"")</f>
        <v/>
      </c>
      <c r="BB4" s="24" t="str">
        <f>IFERROR(__xludf.DUMMYFUNCTION("""COMPUTED_VALUE"""),"")</f>
        <v/>
      </c>
      <c r="BC4" s="24" t="str">
        <f>IFERROR(__xludf.DUMMYFUNCTION("""COMPUTED_VALUE"""),"")</f>
        <v/>
      </c>
      <c r="BD4" s="24" t="str">
        <f>IFERROR(__xludf.DUMMYFUNCTION("""COMPUTED_VALUE"""),"")</f>
        <v/>
      </c>
      <c r="BE4" s="24" t="str">
        <f>IFERROR(__xludf.DUMMYFUNCTION("""COMPUTED_VALUE"""),"")</f>
        <v/>
      </c>
      <c r="BF4" s="24" t="str">
        <f>IFERROR(__xludf.DUMMYFUNCTION("""COMPUTED_VALUE"""),"")</f>
        <v/>
      </c>
      <c r="BG4" s="24" t="str">
        <f>IFERROR(__xludf.DUMMYFUNCTION("""COMPUTED_VALUE"""),"")</f>
        <v/>
      </c>
      <c r="BH4" s="24" t="str">
        <f>IFERROR(__xludf.DUMMYFUNCTION("""COMPUTED_VALUE"""),"")</f>
        <v/>
      </c>
      <c r="BI4" s="24" t="str">
        <f>IFERROR(__xludf.DUMMYFUNCTION("""COMPUTED_VALUE"""),"")</f>
        <v/>
      </c>
      <c r="BJ4" s="24" t="str">
        <f>IFERROR(__xludf.DUMMYFUNCTION("""COMPUTED_VALUE"""),"")</f>
        <v/>
      </c>
      <c r="BK4" s="24" t="str">
        <f>IFERROR(__xludf.DUMMYFUNCTION("""COMPUTED_VALUE"""),"")</f>
        <v/>
      </c>
      <c r="BL4" s="24" t="str">
        <f>IFERROR(__xludf.DUMMYFUNCTION("""COMPUTED_VALUE"""),"")</f>
        <v/>
      </c>
      <c r="BM4" s="24" t="str">
        <f>IFERROR(__xludf.DUMMYFUNCTION("""COMPUTED_VALUE"""),"")</f>
        <v/>
      </c>
      <c r="BN4" s="24" t="str">
        <f>IFERROR(__xludf.DUMMYFUNCTION("""COMPUTED_VALUE"""),"")</f>
        <v/>
      </c>
      <c r="BO4" s="24" t="str">
        <f>IFERROR(__xludf.DUMMYFUNCTION("""COMPUTED_VALUE"""),"")</f>
        <v/>
      </c>
      <c r="BP4" s="24" t="str">
        <f>IFERROR(__xludf.DUMMYFUNCTION("""COMPUTED_VALUE"""),"")</f>
        <v/>
      </c>
      <c r="BQ4" s="24" t="str">
        <f>IFERROR(__xludf.DUMMYFUNCTION("""COMPUTED_VALUE"""),"")</f>
        <v/>
      </c>
      <c r="BR4" s="24" t="str">
        <f>IFERROR(__xludf.DUMMYFUNCTION("""COMPUTED_VALUE"""),"")</f>
        <v/>
      </c>
      <c r="BS4" s="24" t="str">
        <f>IFERROR(__xludf.DUMMYFUNCTION("""COMPUTED_VALUE"""),"")</f>
        <v/>
      </c>
      <c r="BT4" s="24" t="str">
        <f>IFERROR(__xludf.DUMMYFUNCTION("""COMPUTED_VALUE"""),"")</f>
        <v/>
      </c>
      <c r="BU4" s="24" t="str">
        <f>IFERROR(__xludf.DUMMYFUNCTION("""COMPUTED_VALUE"""),"")</f>
        <v/>
      </c>
      <c r="BV4" s="24" t="str">
        <f>IFERROR(__xludf.DUMMYFUNCTION("""COMPUTED_VALUE"""),"")</f>
        <v/>
      </c>
      <c r="BW4" s="24" t="str">
        <f>IFERROR(__xludf.DUMMYFUNCTION("""COMPUTED_VALUE"""),"")</f>
        <v/>
      </c>
      <c r="BX4" s="24" t="str">
        <f>IFERROR(__xludf.DUMMYFUNCTION("""COMPUTED_VALUE"""),"")</f>
        <v/>
      </c>
      <c r="BY4" s="24" t="str">
        <f>IFERROR(__xludf.DUMMYFUNCTION("""COMPUTED_VALUE"""),"")</f>
        <v/>
      </c>
      <c r="BZ4" s="24" t="str">
        <f>IFERROR(__xludf.DUMMYFUNCTION("""COMPUTED_VALUE"""),"")</f>
        <v/>
      </c>
      <c r="CA4" s="24" t="str">
        <f>IFERROR(__xludf.DUMMYFUNCTION("""COMPUTED_VALUE"""),"")</f>
        <v/>
      </c>
      <c r="CB4" s="24" t="str">
        <f>IFERROR(__xludf.DUMMYFUNCTION("""COMPUTED_VALUE"""),"")</f>
        <v/>
      </c>
      <c r="CC4" s="24" t="str">
        <f>IFERROR(__xludf.DUMMYFUNCTION("""COMPUTED_VALUE"""),"")</f>
        <v/>
      </c>
      <c r="CD4" s="24" t="str">
        <f>IFERROR(__xludf.DUMMYFUNCTION("""COMPUTED_VALUE"""),"")</f>
        <v/>
      </c>
      <c r="CE4" s="24" t="str">
        <f>IFERROR(__xludf.DUMMYFUNCTION("""COMPUTED_VALUE"""),"")</f>
        <v/>
      </c>
      <c r="CF4" s="24" t="str">
        <f>IFERROR(__xludf.DUMMYFUNCTION("""COMPUTED_VALUE"""),"")</f>
        <v/>
      </c>
      <c r="CG4" s="24" t="str">
        <f>IFERROR(__xludf.DUMMYFUNCTION("""COMPUTED_VALUE"""),"")</f>
        <v/>
      </c>
      <c r="CH4" s="24" t="str">
        <f>IFERROR(__xludf.DUMMYFUNCTION("""COMPUTED_VALUE"""),"")</f>
        <v/>
      </c>
      <c r="CI4" s="24" t="str">
        <f>IFERROR(__xludf.DUMMYFUNCTION("""COMPUTED_VALUE"""),"")</f>
        <v/>
      </c>
      <c r="CJ4" s="24" t="str">
        <f>IFERROR(__xludf.DUMMYFUNCTION("""COMPUTED_VALUE"""),"")</f>
        <v/>
      </c>
      <c r="CK4" s="24" t="str">
        <f>IFERROR(__xludf.DUMMYFUNCTION("""COMPUTED_VALUE"""),"")</f>
        <v/>
      </c>
      <c r="CL4" s="24" t="str">
        <f>IFERROR(__xludf.DUMMYFUNCTION("""COMPUTED_VALUE"""),"")</f>
        <v/>
      </c>
      <c r="CM4" s="24" t="str">
        <f>IFERROR(__xludf.DUMMYFUNCTION("""COMPUTED_VALUE"""),"")</f>
        <v/>
      </c>
      <c r="CN4" s="24" t="str">
        <f>IFERROR(__xludf.DUMMYFUNCTION("""COMPUTED_VALUE"""),"")</f>
        <v/>
      </c>
      <c r="CO4" s="24" t="str">
        <f>IFERROR(__xludf.DUMMYFUNCTION("""COMPUTED_VALUE"""),"")</f>
        <v/>
      </c>
      <c r="CP4" s="24" t="str">
        <f>IFERROR(__xludf.DUMMYFUNCTION("""COMPUTED_VALUE"""),"")</f>
        <v/>
      </c>
      <c r="CQ4" s="24" t="str">
        <f>IFERROR(__xludf.DUMMYFUNCTION("""COMPUTED_VALUE"""),"")</f>
        <v/>
      </c>
      <c r="CR4" s="24" t="str">
        <f>IFERROR(__xludf.DUMMYFUNCTION("""COMPUTED_VALUE"""),"")</f>
        <v/>
      </c>
      <c r="CS4" s="24" t="str">
        <f>IFERROR(__xludf.DUMMYFUNCTION("""COMPUTED_VALUE"""),"")</f>
        <v/>
      </c>
      <c r="CT4" s="24" t="str">
        <f>IFERROR(__xludf.DUMMYFUNCTION("""COMPUTED_VALUE"""),"")</f>
        <v/>
      </c>
      <c r="CU4" s="24" t="str">
        <f>IFERROR(__xludf.DUMMYFUNCTION("""COMPUTED_VALUE"""),"")</f>
        <v/>
      </c>
      <c r="CV4" s="24" t="str">
        <f>IFERROR(__xludf.DUMMYFUNCTION("""COMPUTED_VALUE"""),"")</f>
        <v/>
      </c>
      <c r="CW4" s="24" t="str">
        <f>IFERROR(__xludf.DUMMYFUNCTION("""COMPUTED_VALUE"""),"")</f>
        <v/>
      </c>
      <c r="CX4" s="24" t="str">
        <f>IFERROR(__xludf.DUMMYFUNCTION("""COMPUTED_VALUE"""),"")</f>
        <v/>
      </c>
      <c r="CY4" s="24" t="str">
        <f>IFERROR(__xludf.DUMMYFUNCTION("""COMPUTED_VALUE"""),"")</f>
        <v/>
      </c>
      <c r="CZ4" s="24" t="str">
        <f>IFERROR(__xludf.DUMMYFUNCTION("""COMPUTED_VALUE"""),"")</f>
        <v/>
      </c>
      <c r="DA4" s="24" t="str">
        <f>IFERROR(__xludf.DUMMYFUNCTION("""COMPUTED_VALUE"""),"")</f>
        <v/>
      </c>
      <c r="DB4" s="24" t="str">
        <f>IFERROR(__xludf.DUMMYFUNCTION("""COMPUTED_VALUE"""),"")</f>
        <v/>
      </c>
      <c r="DC4" s="24" t="str">
        <f>IFERROR(__xludf.DUMMYFUNCTION("""COMPUTED_VALUE"""),"")</f>
        <v/>
      </c>
      <c r="DD4" s="24" t="str">
        <f>IFERROR(__xludf.DUMMYFUNCTION("""COMPUTED_VALUE"""),"")</f>
        <v/>
      </c>
      <c r="DE4" s="24" t="str">
        <f>IFERROR(__xludf.DUMMYFUNCTION("""COMPUTED_VALUE"""),"")</f>
        <v/>
      </c>
      <c r="DF4" s="24" t="str">
        <f>IFERROR(__xludf.DUMMYFUNCTION("""COMPUTED_VALUE"""),"")</f>
        <v/>
      </c>
      <c r="DG4" s="24" t="str">
        <f>IFERROR(__xludf.DUMMYFUNCTION("""COMPUTED_VALUE"""),"")</f>
        <v/>
      </c>
      <c r="DH4" s="24" t="str">
        <f>IFERROR(__xludf.DUMMYFUNCTION("""COMPUTED_VALUE"""),"")</f>
        <v/>
      </c>
      <c r="DI4" s="24" t="str">
        <f>IFERROR(__xludf.DUMMYFUNCTION("""COMPUTED_VALUE"""),"")</f>
        <v/>
      </c>
      <c r="DJ4" s="24" t="str">
        <f>IFERROR(__xludf.DUMMYFUNCTION("""COMPUTED_VALUE"""),"")</f>
        <v/>
      </c>
      <c r="DK4" s="24" t="str">
        <f>IFERROR(__xludf.DUMMYFUNCTION("""COMPUTED_VALUE"""),"")</f>
        <v/>
      </c>
      <c r="DL4" s="24" t="str">
        <f>IFERROR(__xludf.DUMMYFUNCTION("""COMPUTED_VALUE"""),"")</f>
        <v/>
      </c>
      <c r="DM4" s="24" t="str">
        <f>IFERROR(__xludf.DUMMYFUNCTION("""COMPUTED_VALUE"""),"")</f>
        <v/>
      </c>
      <c r="DN4" s="24" t="str">
        <f>IFERROR(__xludf.DUMMYFUNCTION("""COMPUTED_VALUE"""),"")</f>
        <v/>
      </c>
      <c r="DO4" s="24" t="str">
        <f>IFERROR(__xludf.DUMMYFUNCTION("""COMPUTED_VALUE"""),"")</f>
        <v/>
      </c>
      <c r="DP4" s="24" t="str">
        <f>IFERROR(__xludf.DUMMYFUNCTION("""COMPUTED_VALUE"""),"")</f>
        <v/>
      </c>
      <c r="DQ4" s="24" t="str">
        <f>IFERROR(__xludf.DUMMYFUNCTION("""COMPUTED_VALUE"""),"")</f>
        <v/>
      </c>
      <c r="DR4" s="24" t="str">
        <f>IFERROR(__xludf.DUMMYFUNCTION("""COMPUTED_VALUE"""),"")</f>
        <v/>
      </c>
      <c r="DS4" s="24" t="str">
        <f>IFERROR(__xludf.DUMMYFUNCTION("""COMPUTED_VALUE"""),"")</f>
        <v/>
      </c>
      <c r="DT4" s="24" t="str">
        <f>IFERROR(__xludf.DUMMYFUNCTION("""COMPUTED_VALUE"""),"")</f>
        <v/>
      </c>
      <c r="DU4" s="24" t="str">
        <f>IFERROR(__xludf.DUMMYFUNCTION("""COMPUTED_VALUE"""),"")</f>
        <v/>
      </c>
      <c r="DV4" s="24" t="str">
        <f>IFERROR(__xludf.DUMMYFUNCTION("""COMPUTED_VALUE"""),"")</f>
        <v/>
      </c>
      <c r="DW4" s="24" t="str">
        <f>IFERROR(__xludf.DUMMYFUNCTION("""COMPUTED_VALUE"""),"")</f>
        <v/>
      </c>
      <c r="DX4" s="24" t="str">
        <f>IFERROR(__xludf.DUMMYFUNCTION("""COMPUTED_VALUE"""),"")</f>
        <v/>
      </c>
      <c r="DY4" s="24" t="str">
        <f>IFERROR(__xludf.DUMMYFUNCTION("""COMPUTED_VALUE"""),"")</f>
        <v/>
      </c>
      <c r="DZ4" s="24" t="str">
        <f>IFERROR(__xludf.DUMMYFUNCTION("""COMPUTED_VALUE"""),"")</f>
        <v/>
      </c>
      <c r="EA4" s="24" t="str">
        <f>IFERROR(__xludf.DUMMYFUNCTION("""COMPUTED_VALUE"""),"")</f>
        <v/>
      </c>
      <c r="EB4" s="24" t="str">
        <f>IFERROR(__xludf.DUMMYFUNCTION("""COMPUTED_VALUE"""),"")</f>
        <v/>
      </c>
      <c r="EC4" s="24" t="str">
        <f>IFERROR(__xludf.DUMMYFUNCTION("""COMPUTED_VALUE"""),"")</f>
        <v/>
      </c>
      <c r="ED4" s="24" t="str">
        <f>IFERROR(__xludf.DUMMYFUNCTION("""COMPUTED_VALUE"""),"")</f>
        <v/>
      </c>
      <c r="EE4" s="24" t="str">
        <f>IFERROR(__xludf.DUMMYFUNCTION("""COMPUTED_VALUE"""),"")</f>
        <v/>
      </c>
      <c r="EF4" s="24" t="str">
        <f>IFERROR(__xludf.DUMMYFUNCTION("""COMPUTED_VALUE"""),"")</f>
        <v/>
      </c>
      <c r="EG4" s="24" t="str">
        <f>IFERROR(__xludf.DUMMYFUNCTION("""COMPUTED_VALUE"""),"")</f>
        <v/>
      </c>
      <c r="EH4" s="24" t="str">
        <f>IFERROR(__xludf.DUMMYFUNCTION("""COMPUTED_VALUE"""),"")</f>
        <v/>
      </c>
      <c r="EI4" s="24" t="str">
        <f>IFERROR(__xludf.DUMMYFUNCTION("""COMPUTED_VALUE"""),"")</f>
        <v/>
      </c>
      <c r="EJ4" s="24" t="str">
        <f>IFERROR(__xludf.DUMMYFUNCTION("""COMPUTED_VALUE"""),"")</f>
        <v/>
      </c>
      <c r="EK4" s="24" t="str">
        <f>IFERROR(__xludf.DUMMYFUNCTION("""COMPUTED_VALUE"""),"")</f>
        <v/>
      </c>
      <c r="EL4" s="24" t="str">
        <f>IFERROR(__xludf.DUMMYFUNCTION("""COMPUTED_VALUE"""),"")</f>
        <v/>
      </c>
      <c r="EM4" s="24" t="str">
        <f>IFERROR(__xludf.DUMMYFUNCTION("""COMPUTED_VALUE"""),"")</f>
        <v/>
      </c>
      <c r="EN4" s="24" t="str">
        <f>IFERROR(__xludf.DUMMYFUNCTION("""COMPUTED_VALUE"""),"")</f>
        <v/>
      </c>
      <c r="EO4" s="24" t="str">
        <f>IFERROR(__xludf.DUMMYFUNCTION("""COMPUTED_VALUE"""),"")</f>
        <v/>
      </c>
      <c r="EP4" s="24" t="str">
        <f>IFERROR(__xludf.DUMMYFUNCTION("""COMPUTED_VALUE"""),"")</f>
        <v/>
      </c>
      <c r="EQ4" s="24" t="str">
        <f>IFERROR(__xludf.DUMMYFUNCTION("""COMPUTED_VALUE"""),"")</f>
        <v/>
      </c>
      <c r="ER4" s="24" t="str">
        <f>IFERROR(__xludf.DUMMYFUNCTION("""COMPUTED_VALUE"""),"")</f>
        <v/>
      </c>
      <c r="ES4" s="24" t="str">
        <f>IFERROR(__xludf.DUMMYFUNCTION("""COMPUTED_VALUE"""),"")</f>
        <v/>
      </c>
      <c r="ET4" s="24" t="str">
        <f>IFERROR(__xludf.DUMMYFUNCTION("""COMPUTED_VALUE"""),"")</f>
        <v/>
      </c>
      <c r="EU4" s="24" t="str">
        <f>IFERROR(__xludf.DUMMYFUNCTION("""COMPUTED_VALUE"""),"")</f>
        <v/>
      </c>
      <c r="EV4" s="24" t="str">
        <f>IFERROR(__xludf.DUMMYFUNCTION("""COMPUTED_VALUE"""),"")</f>
        <v/>
      </c>
      <c r="EW4" s="24" t="str">
        <f>IFERROR(__xludf.DUMMYFUNCTION("""COMPUTED_VALUE"""),"")</f>
        <v/>
      </c>
      <c r="EX4" s="24" t="str">
        <f>IFERROR(__xludf.DUMMYFUNCTION("""COMPUTED_VALUE"""),"")</f>
        <v/>
      </c>
    </row>
    <row r="5" ht="15.75" customHeight="1">
      <c r="A5" s="25" t="str">
        <f>IFERROR(__xludf.DUMMYFUNCTION("TRANSPOSE(IMPORTRANGE(VLOOKUP($E$3,IMPORTRANGE('_Settings'!$B$3,$C$3&amp;""!A4:B1000""),2,FALSE),$G$3&amp;""!A4:A1000""))"),"")</f>
        <v/>
      </c>
      <c r="B5" s="26" t="str">
        <f>IFERROR(__xludf.DUMMYFUNCTION("""COMPUTED_VALUE"""),"Symbol")</f>
        <v>Symbol</v>
      </c>
      <c r="C5" s="26" t="str">
        <f>IFERROR(__xludf.DUMMYFUNCTION("""COMPUTED_VALUE"""),"User Px")</f>
        <v>User Px</v>
      </c>
      <c r="D5" s="26" t="str">
        <f>IFERROR(__xludf.DUMMYFUNCTION("""COMPUTED_VALUE"""),"Asset Class")</f>
        <v>Asset Class</v>
      </c>
      <c r="E5" s="26" t="str">
        <f>IFERROR(__xludf.DUMMYFUNCTION("""COMPUTED_VALUE"""),"Volatility(%)")</f>
        <v>Volatility(%)</v>
      </c>
      <c r="F5" s="27" t="str">
        <f>IFERROR(__xludf.DUMMYFUNCTION("""COMPUTED_VALUE"""),"Historical Volatility")</f>
        <v>Historical Volatility</v>
      </c>
      <c r="G5" s="26" t="str">
        <f>IFERROR(__xludf.DUMMYFUNCTION("""COMPUTED_VALUE"""),"User Volatility")</f>
        <v>User Volatility</v>
      </c>
      <c r="H5" s="26" t="str">
        <f>IFERROR(__xludf.DUMMYFUNCTION("""COMPUTED_VALUE"""),"Interest Rate")</f>
        <v>Interest Rate</v>
      </c>
      <c r="I5" s="26" t="str">
        <f>IFERROR(__xludf.DUMMYFUNCTION("""COMPUTED_VALUE"""),"User Interest Rate")</f>
        <v>User Interest Rate</v>
      </c>
      <c r="J5" s="26" t="str">
        <f>IFERROR(__xludf.DUMMYFUNCTION("""COMPUTED_VALUE"""),"Dividend Yield")</f>
        <v>Dividend Yield</v>
      </c>
      <c r="K5" s="26" t="str">
        <f>IFERROR(__xludf.DUMMYFUNCTION("""COMPUTED_VALUE"""),"User Dividend Yield")</f>
        <v>User Dividend Yield</v>
      </c>
      <c r="L5" s="26" t="str">
        <f>IFERROR(__xludf.DUMMYFUNCTION("""COMPUTED_VALUE"""),"Actual Delta")</f>
        <v>Actual Delta</v>
      </c>
      <c r="M5" s="26" t="str">
        <f>IFERROR(__xludf.DUMMYFUNCTION("""COMPUTED_VALUE"""),"User Delta")</f>
        <v>User Delta</v>
      </c>
      <c r="N5" s="26" t="str">
        <f>IFERROR(__xludf.DUMMYFUNCTION("""COMPUTED_VALUE"""),"Selected Px")</f>
        <v>Selected Px</v>
      </c>
      <c r="O5" s="26" t="str">
        <f>IFERROR(__xludf.DUMMYFUNCTION("""COMPUTED_VALUE"""),"Forward Points")</f>
        <v>Forward Points</v>
      </c>
      <c r="P5" s="26" t="str">
        <f>IFERROR(__xludf.DUMMYFUNCTION("""COMPUTED_VALUE"""),"Shares Outstanding")</f>
        <v>Shares Outstanding</v>
      </c>
      <c r="Q5" s="26" t="str">
        <f>IFERROR(__xludf.DUMMYFUNCTION("""COMPUTED_VALUE"""),"User Shares Outstanding")</f>
        <v>User Shares Outstanding</v>
      </c>
      <c r="R5" s="26" t="str">
        <f>IFERROR(__xludf.DUMMYFUNCTION("""COMPUTED_VALUE"""),"LastPriceUsed")</f>
        <v>LastPriceUsed</v>
      </c>
      <c r="S5" s="26" t="str">
        <f>IFERROR(__xludf.DUMMYFUNCTION("""COMPUTED_VALUE"""),"VolatilityUsed")</f>
        <v>VolatilityUsed</v>
      </c>
      <c r="T5" s="28" t="str">
        <f>IFERROR(__xludf.DUMMYFUNCTION("""COMPUTED_VALUE"""),"IntRateUsed")</f>
        <v>IntRateUsed</v>
      </c>
      <c r="U5" s="28" t="str">
        <f>IFERROR(__xludf.DUMMYFUNCTION("""COMPUTED_VALUE"""),"")</f>
        <v/>
      </c>
      <c r="V5" s="28" t="str">
        <f>IFERROR(__xludf.DUMMYFUNCTION("""COMPUTED_VALUE"""),"")</f>
        <v/>
      </c>
      <c r="W5" s="28" t="str">
        <f>IFERROR(__xludf.DUMMYFUNCTION("""COMPUTED_VALUE"""),"")</f>
        <v/>
      </c>
      <c r="X5" s="28" t="str">
        <f>IFERROR(__xludf.DUMMYFUNCTION("""COMPUTED_VALUE"""),"")</f>
        <v/>
      </c>
      <c r="Y5" s="28" t="str">
        <f>IFERROR(__xludf.DUMMYFUNCTION("""COMPUTED_VALUE"""),"")</f>
        <v/>
      </c>
      <c r="Z5" s="28" t="str">
        <f>IFERROR(__xludf.DUMMYFUNCTION("""COMPUTED_VALUE"""),"")</f>
        <v/>
      </c>
      <c r="AA5" s="28" t="str">
        <f>IFERROR(__xludf.DUMMYFUNCTION("""COMPUTED_VALUE"""),"")</f>
        <v/>
      </c>
      <c r="AB5" s="28" t="str">
        <f>IFERROR(__xludf.DUMMYFUNCTION("""COMPUTED_VALUE"""),"")</f>
        <v/>
      </c>
      <c r="AC5" s="28" t="str">
        <f>IFERROR(__xludf.DUMMYFUNCTION("""COMPUTED_VALUE"""),"")</f>
        <v/>
      </c>
      <c r="AD5" s="28" t="str">
        <f>IFERROR(__xludf.DUMMYFUNCTION("""COMPUTED_VALUE"""),"")</f>
        <v/>
      </c>
      <c r="AE5" s="28" t="str">
        <f>IFERROR(__xludf.DUMMYFUNCTION("""COMPUTED_VALUE"""),"")</f>
        <v/>
      </c>
      <c r="AF5" s="28" t="str">
        <f>IFERROR(__xludf.DUMMYFUNCTION("""COMPUTED_VALUE"""),"")</f>
        <v/>
      </c>
      <c r="AG5" s="28" t="str">
        <f>IFERROR(__xludf.DUMMYFUNCTION("""COMPUTED_VALUE"""),"")</f>
        <v/>
      </c>
      <c r="AH5" s="28" t="str">
        <f>IFERROR(__xludf.DUMMYFUNCTION("""COMPUTED_VALUE"""),"")</f>
        <v/>
      </c>
      <c r="AI5" s="28" t="str">
        <f>IFERROR(__xludf.DUMMYFUNCTION("""COMPUTED_VALUE"""),"")</f>
        <v/>
      </c>
      <c r="AJ5" s="28" t="str">
        <f>IFERROR(__xludf.DUMMYFUNCTION("""COMPUTED_VALUE"""),"")</f>
        <v/>
      </c>
      <c r="AK5" s="28" t="str">
        <f>IFERROR(__xludf.DUMMYFUNCTION("""COMPUTED_VALUE"""),"")</f>
        <v/>
      </c>
      <c r="AL5" s="28" t="str">
        <f>IFERROR(__xludf.DUMMYFUNCTION("""COMPUTED_VALUE"""),"")</f>
        <v/>
      </c>
      <c r="AM5" s="28" t="str">
        <f>IFERROR(__xludf.DUMMYFUNCTION("""COMPUTED_VALUE"""),"")</f>
        <v/>
      </c>
      <c r="AN5" s="28" t="str">
        <f>IFERROR(__xludf.DUMMYFUNCTION("""COMPUTED_VALUE"""),"")</f>
        <v/>
      </c>
      <c r="AO5" s="28" t="str">
        <f>IFERROR(__xludf.DUMMYFUNCTION("""COMPUTED_VALUE"""),"")</f>
        <v/>
      </c>
      <c r="AP5" s="28" t="str">
        <f>IFERROR(__xludf.DUMMYFUNCTION("""COMPUTED_VALUE"""),"")</f>
        <v/>
      </c>
      <c r="AQ5" s="28" t="str">
        <f>IFERROR(__xludf.DUMMYFUNCTION("""COMPUTED_VALUE"""),"")</f>
        <v/>
      </c>
      <c r="AR5" s="28" t="str">
        <f>IFERROR(__xludf.DUMMYFUNCTION("""COMPUTED_VALUE"""),"")</f>
        <v/>
      </c>
      <c r="AS5" s="28" t="str">
        <f>IFERROR(__xludf.DUMMYFUNCTION("""COMPUTED_VALUE"""),"")</f>
        <v/>
      </c>
      <c r="AT5" s="28" t="str">
        <f>IFERROR(__xludf.DUMMYFUNCTION("""COMPUTED_VALUE"""),"")</f>
        <v/>
      </c>
      <c r="AU5" s="28" t="str">
        <f>IFERROR(__xludf.DUMMYFUNCTION("""COMPUTED_VALUE"""),"")</f>
        <v/>
      </c>
      <c r="AV5" s="28" t="str">
        <f>IFERROR(__xludf.DUMMYFUNCTION("""COMPUTED_VALUE"""),"")</f>
        <v/>
      </c>
      <c r="AW5" s="28" t="str">
        <f>IFERROR(__xludf.DUMMYFUNCTION("""COMPUTED_VALUE"""),"")</f>
        <v/>
      </c>
      <c r="AX5" s="28" t="str">
        <f>IFERROR(__xludf.DUMMYFUNCTION("""COMPUTED_VALUE"""),"")</f>
        <v/>
      </c>
      <c r="AY5" s="28" t="str">
        <f>IFERROR(__xludf.DUMMYFUNCTION("""COMPUTED_VALUE"""),"")</f>
        <v/>
      </c>
      <c r="AZ5" s="28" t="str">
        <f>IFERROR(__xludf.DUMMYFUNCTION("""COMPUTED_VALUE"""),"")</f>
        <v/>
      </c>
      <c r="BA5" s="28" t="str">
        <f>IFERROR(__xludf.DUMMYFUNCTION("""COMPUTED_VALUE"""),"")</f>
        <v/>
      </c>
      <c r="BB5" s="28" t="str">
        <f>IFERROR(__xludf.DUMMYFUNCTION("""COMPUTED_VALUE"""),"")</f>
        <v/>
      </c>
      <c r="BC5" s="28" t="str">
        <f>IFERROR(__xludf.DUMMYFUNCTION("""COMPUTED_VALUE"""),"")</f>
        <v/>
      </c>
      <c r="BD5" s="28" t="str">
        <f>IFERROR(__xludf.DUMMYFUNCTION("""COMPUTED_VALUE"""),"")</f>
        <v/>
      </c>
      <c r="BE5" s="28" t="str">
        <f>IFERROR(__xludf.DUMMYFUNCTION("""COMPUTED_VALUE"""),"")</f>
        <v/>
      </c>
      <c r="BF5" s="28" t="str">
        <f>IFERROR(__xludf.DUMMYFUNCTION("""COMPUTED_VALUE"""),"")</f>
        <v/>
      </c>
      <c r="BG5" s="28" t="str">
        <f>IFERROR(__xludf.DUMMYFUNCTION("""COMPUTED_VALUE"""),"")</f>
        <v/>
      </c>
      <c r="BH5" s="28" t="str">
        <f>IFERROR(__xludf.DUMMYFUNCTION("""COMPUTED_VALUE"""),"")</f>
        <v/>
      </c>
      <c r="BI5" s="28" t="str">
        <f>IFERROR(__xludf.DUMMYFUNCTION("""COMPUTED_VALUE"""),"")</f>
        <v/>
      </c>
      <c r="BJ5" s="28" t="str">
        <f>IFERROR(__xludf.DUMMYFUNCTION("""COMPUTED_VALUE"""),"")</f>
        <v/>
      </c>
      <c r="BK5" s="28" t="str">
        <f>IFERROR(__xludf.DUMMYFUNCTION("""COMPUTED_VALUE"""),"")</f>
        <v/>
      </c>
      <c r="BL5" s="28" t="str">
        <f>IFERROR(__xludf.DUMMYFUNCTION("""COMPUTED_VALUE"""),"")</f>
        <v/>
      </c>
      <c r="BM5" s="28" t="str">
        <f>IFERROR(__xludf.DUMMYFUNCTION("""COMPUTED_VALUE"""),"")</f>
        <v/>
      </c>
      <c r="BN5" s="28" t="str">
        <f>IFERROR(__xludf.DUMMYFUNCTION("""COMPUTED_VALUE"""),"")</f>
        <v/>
      </c>
      <c r="BO5" s="28" t="str">
        <f>IFERROR(__xludf.DUMMYFUNCTION("""COMPUTED_VALUE"""),"")</f>
        <v/>
      </c>
      <c r="BP5" s="28" t="str">
        <f>IFERROR(__xludf.DUMMYFUNCTION("""COMPUTED_VALUE"""),"")</f>
        <v/>
      </c>
      <c r="BQ5" s="28" t="str">
        <f>IFERROR(__xludf.DUMMYFUNCTION("""COMPUTED_VALUE"""),"")</f>
        <v/>
      </c>
      <c r="BR5" s="28" t="str">
        <f>IFERROR(__xludf.DUMMYFUNCTION("""COMPUTED_VALUE"""),"")</f>
        <v/>
      </c>
      <c r="BS5" s="28" t="str">
        <f>IFERROR(__xludf.DUMMYFUNCTION("""COMPUTED_VALUE"""),"")</f>
        <v/>
      </c>
      <c r="BT5" s="28" t="str">
        <f>IFERROR(__xludf.DUMMYFUNCTION("""COMPUTED_VALUE"""),"")</f>
        <v/>
      </c>
      <c r="BU5" s="28" t="str">
        <f>IFERROR(__xludf.DUMMYFUNCTION("""COMPUTED_VALUE"""),"")</f>
        <v/>
      </c>
      <c r="BV5" s="28" t="str">
        <f>IFERROR(__xludf.DUMMYFUNCTION("""COMPUTED_VALUE"""),"")</f>
        <v/>
      </c>
      <c r="BW5" s="28" t="str">
        <f>IFERROR(__xludf.DUMMYFUNCTION("""COMPUTED_VALUE"""),"")</f>
        <v/>
      </c>
      <c r="BX5" s="28" t="str">
        <f>IFERROR(__xludf.DUMMYFUNCTION("""COMPUTED_VALUE"""),"")</f>
        <v/>
      </c>
      <c r="BY5" s="28" t="str">
        <f>IFERROR(__xludf.DUMMYFUNCTION("""COMPUTED_VALUE"""),"")</f>
        <v/>
      </c>
      <c r="BZ5" s="28" t="str">
        <f>IFERROR(__xludf.DUMMYFUNCTION("""COMPUTED_VALUE"""),"")</f>
        <v/>
      </c>
      <c r="CA5" s="28" t="str">
        <f>IFERROR(__xludf.DUMMYFUNCTION("""COMPUTED_VALUE"""),"")</f>
        <v/>
      </c>
      <c r="CB5" s="28" t="str">
        <f>IFERROR(__xludf.DUMMYFUNCTION("""COMPUTED_VALUE"""),"")</f>
        <v/>
      </c>
      <c r="CC5" s="28" t="str">
        <f>IFERROR(__xludf.DUMMYFUNCTION("""COMPUTED_VALUE"""),"")</f>
        <v/>
      </c>
      <c r="CD5" s="28" t="str">
        <f>IFERROR(__xludf.DUMMYFUNCTION("""COMPUTED_VALUE"""),"")</f>
        <v/>
      </c>
      <c r="CE5" s="28" t="str">
        <f>IFERROR(__xludf.DUMMYFUNCTION("""COMPUTED_VALUE"""),"")</f>
        <v/>
      </c>
      <c r="CF5" s="28" t="str">
        <f>IFERROR(__xludf.DUMMYFUNCTION("""COMPUTED_VALUE"""),"")</f>
        <v/>
      </c>
      <c r="CG5" s="28" t="str">
        <f>IFERROR(__xludf.DUMMYFUNCTION("""COMPUTED_VALUE"""),"")</f>
        <v/>
      </c>
      <c r="CH5" s="28" t="str">
        <f>IFERROR(__xludf.DUMMYFUNCTION("""COMPUTED_VALUE"""),"")</f>
        <v/>
      </c>
      <c r="CI5" s="28" t="str">
        <f>IFERROR(__xludf.DUMMYFUNCTION("""COMPUTED_VALUE"""),"")</f>
        <v/>
      </c>
      <c r="CJ5" s="28" t="str">
        <f>IFERROR(__xludf.DUMMYFUNCTION("""COMPUTED_VALUE"""),"")</f>
        <v/>
      </c>
      <c r="CK5" s="28" t="str">
        <f>IFERROR(__xludf.DUMMYFUNCTION("""COMPUTED_VALUE"""),"")</f>
        <v/>
      </c>
      <c r="CL5" s="28" t="str">
        <f>IFERROR(__xludf.DUMMYFUNCTION("""COMPUTED_VALUE"""),"")</f>
        <v/>
      </c>
      <c r="CM5" s="28" t="str">
        <f>IFERROR(__xludf.DUMMYFUNCTION("""COMPUTED_VALUE"""),"")</f>
        <v/>
      </c>
      <c r="CN5" s="28" t="str">
        <f>IFERROR(__xludf.DUMMYFUNCTION("""COMPUTED_VALUE"""),"")</f>
        <v/>
      </c>
      <c r="CO5" s="28" t="str">
        <f>IFERROR(__xludf.DUMMYFUNCTION("""COMPUTED_VALUE"""),"")</f>
        <v/>
      </c>
      <c r="CP5" s="28" t="str">
        <f>IFERROR(__xludf.DUMMYFUNCTION("""COMPUTED_VALUE"""),"")</f>
        <v/>
      </c>
      <c r="CQ5" s="28" t="str">
        <f>IFERROR(__xludf.DUMMYFUNCTION("""COMPUTED_VALUE"""),"")</f>
        <v/>
      </c>
      <c r="CR5" s="28" t="str">
        <f>IFERROR(__xludf.DUMMYFUNCTION("""COMPUTED_VALUE"""),"")</f>
        <v/>
      </c>
      <c r="CS5" s="28" t="str">
        <f>IFERROR(__xludf.DUMMYFUNCTION("""COMPUTED_VALUE"""),"")</f>
        <v/>
      </c>
      <c r="CT5" s="28" t="str">
        <f>IFERROR(__xludf.DUMMYFUNCTION("""COMPUTED_VALUE"""),"")</f>
        <v/>
      </c>
      <c r="CU5" s="28" t="str">
        <f>IFERROR(__xludf.DUMMYFUNCTION("""COMPUTED_VALUE"""),"")</f>
        <v/>
      </c>
      <c r="CV5" s="28" t="str">
        <f>IFERROR(__xludf.DUMMYFUNCTION("""COMPUTED_VALUE"""),"")</f>
        <v/>
      </c>
      <c r="CW5" s="28" t="str">
        <f>IFERROR(__xludf.DUMMYFUNCTION("""COMPUTED_VALUE"""),"")</f>
        <v/>
      </c>
      <c r="CX5" s="28" t="str">
        <f>IFERROR(__xludf.DUMMYFUNCTION("""COMPUTED_VALUE"""),"")</f>
        <v/>
      </c>
      <c r="CY5" s="28" t="str">
        <f>IFERROR(__xludf.DUMMYFUNCTION("""COMPUTED_VALUE"""),"")</f>
        <v/>
      </c>
      <c r="CZ5" s="28" t="str">
        <f>IFERROR(__xludf.DUMMYFUNCTION("""COMPUTED_VALUE"""),"")</f>
        <v/>
      </c>
      <c r="DA5" s="28" t="str">
        <f>IFERROR(__xludf.DUMMYFUNCTION("""COMPUTED_VALUE"""),"")</f>
        <v/>
      </c>
      <c r="DB5" s="28" t="str">
        <f>IFERROR(__xludf.DUMMYFUNCTION("""COMPUTED_VALUE"""),"")</f>
        <v/>
      </c>
      <c r="DC5" s="28" t="str">
        <f>IFERROR(__xludf.DUMMYFUNCTION("""COMPUTED_VALUE"""),"")</f>
        <v/>
      </c>
      <c r="DD5" s="28" t="str">
        <f>IFERROR(__xludf.DUMMYFUNCTION("""COMPUTED_VALUE"""),"")</f>
        <v/>
      </c>
      <c r="DE5" s="28" t="str">
        <f>IFERROR(__xludf.DUMMYFUNCTION("""COMPUTED_VALUE"""),"")</f>
        <v/>
      </c>
      <c r="DF5" s="28" t="str">
        <f>IFERROR(__xludf.DUMMYFUNCTION("""COMPUTED_VALUE"""),"")</f>
        <v/>
      </c>
      <c r="DG5" s="28" t="str">
        <f>IFERROR(__xludf.DUMMYFUNCTION("""COMPUTED_VALUE"""),"")</f>
        <v/>
      </c>
      <c r="DH5" s="28" t="str">
        <f>IFERROR(__xludf.DUMMYFUNCTION("""COMPUTED_VALUE"""),"")</f>
        <v/>
      </c>
      <c r="DI5" s="28" t="str">
        <f>IFERROR(__xludf.DUMMYFUNCTION("""COMPUTED_VALUE"""),"")</f>
        <v/>
      </c>
      <c r="DJ5" s="28" t="str">
        <f>IFERROR(__xludf.DUMMYFUNCTION("""COMPUTED_VALUE"""),"")</f>
        <v/>
      </c>
      <c r="DK5" s="28" t="str">
        <f>IFERROR(__xludf.DUMMYFUNCTION("""COMPUTED_VALUE"""),"")</f>
        <v/>
      </c>
      <c r="DL5" s="28" t="str">
        <f>IFERROR(__xludf.DUMMYFUNCTION("""COMPUTED_VALUE"""),"")</f>
        <v/>
      </c>
      <c r="DM5" s="28" t="str">
        <f>IFERROR(__xludf.DUMMYFUNCTION("""COMPUTED_VALUE"""),"")</f>
        <v/>
      </c>
      <c r="DN5" s="28" t="str">
        <f>IFERROR(__xludf.DUMMYFUNCTION("""COMPUTED_VALUE"""),"")</f>
        <v/>
      </c>
      <c r="DO5" s="28" t="str">
        <f>IFERROR(__xludf.DUMMYFUNCTION("""COMPUTED_VALUE"""),"")</f>
        <v/>
      </c>
      <c r="DP5" s="28" t="str">
        <f>IFERROR(__xludf.DUMMYFUNCTION("""COMPUTED_VALUE"""),"")</f>
        <v/>
      </c>
      <c r="DQ5" s="28" t="str">
        <f>IFERROR(__xludf.DUMMYFUNCTION("""COMPUTED_VALUE"""),"")</f>
        <v/>
      </c>
      <c r="DR5" s="28" t="str">
        <f>IFERROR(__xludf.DUMMYFUNCTION("""COMPUTED_VALUE"""),"")</f>
        <v/>
      </c>
      <c r="DS5" s="28" t="str">
        <f>IFERROR(__xludf.DUMMYFUNCTION("""COMPUTED_VALUE"""),"")</f>
        <v/>
      </c>
      <c r="DT5" s="28" t="str">
        <f>IFERROR(__xludf.DUMMYFUNCTION("""COMPUTED_VALUE"""),"")</f>
        <v/>
      </c>
      <c r="DU5" s="28" t="str">
        <f>IFERROR(__xludf.DUMMYFUNCTION("""COMPUTED_VALUE"""),"")</f>
        <v/>
      </c>
      <c r="DV5" s="28" t="str">
        <f>IFERROR(__xludf.DUMMYFUNCTION("""COMPUTED_VALUE"""),"")</f>
        <v/>
      </c>
      <c r="DW5" s="28" t="str">
        <f>IFERROR(__xludf.DUMMYFUNCTION("""COMPUTED_VALUE"""),"")</f>
        <v/>
      </c>
      <c r="DX5" s="28" t="str">
        <f>IFERROR(__xludf.DUMMYFUNCTION("""COMPUTED_VALUE"""),"")</f>
        <v/>
      </c>
      <c r="DY5" s="28" t="str">
        <f>IFERROR(__xludf.DUMMYFUNCTION("""COMPUTED_VALUE"""),"")</f>
        <v/>
      </c>
      <c r="DZ5" s="28" t="str">
        <f>IFERROR(__xludf.DUMMYFUNCTION("""COMPUTED_VALUE"""),"")</f>
        <v/>
      </c>
      <c r="EA5" s="28" t="str">
        <f>IFERROR(__xludf.DUMMYFUNCTION("""COMPUTED_VALUE"""),"")</f>
        <v/>
      </c>
      <c r="EB5" s="28" t="str">
        <f>IFERROR(__xludf.DUMMYFUNCTION("""COMPUTED_VALUE"""),"")</f>
        <v/>
      </c>
      <c r="EC5" s="28" t="str">
        <f>IFERROR(__xludf.DUMMYFUNCTION("""COMPUTED_VALUE"""),"")</f>
        <v/>
      </c>
      <c r="ED5" s="28" t="str">
        <f>IFERROR(__xludf.DUMMYFUNCTION("""COMPUTED_VALUE"""),"")</f>
        <v/>
      </c>
      <c r="EE5" s="28" t="str">
        <f>IFERROR(__xludf.DUMMYFUNCTION("""COMPUTED_VALUE"""),"")</f>
        <v/>
      </c>
      <c r="EF5" s="28" t="str">
        <f>IFERROR(__xludf.DUMMYFUNCTION("""COMPUTED_VALUE"""),"")</f>
        <v/>
      </c>
      <c r="EG5" s="28" t="str">
        <f>IFERROR(__xludf.DUMMYFUNCTION("""COMPUTED_VALUE"""),"")</f>
        <v/>
      </c>
      <c r="EH5" s="28" t="str">
        <f>IFERROR(__xludf.DUMMYFUNCTION("""COMPUTED_VALUE"""),"")</f>
        <v/>
      </c>
      <c r="EI5" s="28" t="str">
        <f>IFERROR(__xludf.DUMMYFUNCTION("""COMPUTED_VALUE"""),"")</f>
        <v/>
      </c>
      <c r="EJ5" s="28" t="str">
        <f>IFERROR(__xludf.DUMMYFUNCTION("""COMPUTED_VALUE"""),"")</f>
        <v/>
      </c>
      <c r="EK5" s="28" t="str">
        <f>IFERROR(__xludf.DUMMYFUNCTION("""COMPUTED_VALUE"""),"")</f>
        <v/>
      </c>
      <c r="EL5" s="28" t="str">
        <f>IFERROR(__xludf.DUMMYFUNCTION("""COMPUTED_VALUE"""),"")</f>
        <v/>
      </c>
      <c r="EM5" s="28" t="str">
        <f>IFERROR(__xludf.DUMMYFUNCTION("""COMPUTED_VALUE"""),"")</f>
        <v/>
      </c>
      <c r="EN5" s="28" t="str">
        <f>IFERROR(__xludf.DUMMYFUNCTION("""COMPUTED_VALUE"""),"")</f>
        <v/>
      </c>
      <c r="EO5" s="28" t="str">
        <f>IFERROR(__xludf.DUMMYFUNCTION("""COMPUTED_VALUE"""),"")</f>
        <v/>
      </c>
      <c r="EP5" s="28" t="str">
        <f>IFERROR(__xludf.DUMMYFUNCTION("""COMPUTED_VALUE"""),"")</f>
        <v/>
      </c>
      <c r="EQ5" s="28" t="str">
        <f>IFERROR(__xludf.DUMMYFUNCTION("""COMPUTED_VALUE"""),"")</f>
        <v/>
      </c>
      <c r="ER5" s="28" t="str">
        <f>IFERROR(__xludf.DUMMYFUNCTION("""COMPUTED_VALUE"""),"")</f>
        <v/>
      </c>
      <c r="ES5" s="28" t="str">
        <f>IFERROR(__xludf.DUMMYFUNCTION("""COMPUTED_VALUE"""),"")</f>
        <v/>
      </c>
      <c r="ET5" s="28" t="str">
        <f>IFERROR(__xludf.DUMMYFUNCTION("""COMPUTED_VALUE"""),"")</f>
        <v/>
      </c>
      <c r="EU5" s="28" t="str">
        <f>IFERROR(__xludf.DUMMYFUNCTION("""COMPUTED_VALUE"""),"")</f>
        <v/>
      </c>
      <c r="EV5" s="28" t="str">
        <f>IFERROR(__xludf.DUMMYFUNCTION("""COMPUTED_VALUE"""),"")</f>
        <v/>
      </c>
      <c r="EW5" s="28" t="str">
        <f>IFERROR(__xludf.DUMMYFUNCTION("""COMPUTED_VALUE"""),"")</f>
        <v/>
      </c>
      <c r="EX5" s="28" t="str">
        <f>IFERROR(__xludf.DUMMYFUNCTION("""COMPUTED_VALUE"""),"")</f>
        <v/>
      </c>
    </row>
    <row r="6" ht="15.75" customHeight="1">
      <c r="A6" s="15"/>
      <c r="B6" s="40" t="s">
        <v>18</v>
      </c>
      <c r="C6" s="35">
        <v>8.0</v>
      </c>
      <c r="D6" s="15"/>
      <c r="E6" s="31"/>
      <c r="F6" s="7"/>
      <c r="G6" s="7"/>
      <c r="H6" s="7"/>
      <c r="I6" s="7"/>
      <c r="J6" s="7"/>
      <c r="K6" s="7"/>
      <c r="L6" s="7"/>
      <c r="M6" s="7"/>
      <c r="N6" s="7"/>
      <c r="O6" s="7"/>
    </row>
    <row r="7" ht="15.75" customHeight="1">
      <c r="A7" s="7"/>
      <c r="B7" s="33" t="s">
        <v>22</v>
      </c>
      <c r="C7" s="35">
        <v>31.0</v>
      </c>
      <c r="D7" s="7"/>
      <c r="E7" s="7"/>
      <c r="F7" s="7"/>
      <c r="G7" s="7"/>
      <c r="H7" s="7"/>
      <c r="I7" s="7"/>
      <c r="J7" s="7"/>
      <c r="K7" s="7"/>
      <c r="L7" s="7"/>
      <c r="M7" s="7"/>
      <c r="N7" s="7"/>
      <c r="O7" s="7"/>
    </row>
    <row r="8" ht="15.75" customHeight="1">
      <c r="A8" s="7"/>
      <c r="B8" s="7"/>
      <c r="C8" s="7"/>
      <c r="D8" s="7"/>
      <c r="E8" s="7"/>
      <c r="F8" s="7"/>
      <c r="G8" s="7"/>
      <c r="H8" s="7"/>
      <c r="I8" s="7"/>
      <c r="J8" s="7"/>
      <c r="K8" s="7"/>
      <c r="L8" s="7"/>
      <c r="M8" s="7"/>
      <c r="N8" s="7"/>
      <c r="O8" s="7"/>
    </row>
    <row r="9" ht="15.75" customHeight="1">
      <c r="A9" s="7"/>
      <c r="B9" s="7"/>
      <c r="C9" s="7"/>
      <c r="D9" s="7"/>
      <c r="E9" s="7"/>
      <c r="F9" s="7"/>
      <c r="G9" s="7"/>
      <c r="H9" s="7"/>
      <c r="I9" s="7"/>
      <c r="J9" s="7"/>
      <c r="K9" s="7"/>
      <c r="L9" s="7"/>
      <c r="M9" s="7"/>
      <c r="N9" s="7"/>
      <c r="O9" s="7"/>
    </row>
    <row r="10" ht="15.75" customHeight="1">
      <c r="A10" s="7"/>
      <c r="B10" s="7"/>
      <c r="C10" s="7"/>
      <c r="D10" s="7"/>
      <c r="E10" s="7"/>
      <c r="F10" s="7"/>
      <c r="G10" s="7"/>
      <c r="H10" s="7"/>
      <c r="I10" s="7"/>
      <c r="J10" s="7"/>
      <c r="K10" s="7"/>
      <c r="L10" s="7"/>
      <c r="M10" s="7"/>
      <c r="N10" s="7"/>
      <c r="O10" s="7"/>
    </row>
    <row r="11" ht="15.75" customHeight="1">
      <c r="A11" s="7"/>
      <c r="B11" s="7"/>
      <c r="C11" s="7"/>
      <c r="D11" s="7"/>
      <c r="E11" s="7"/>
      <c r="F11" s="7"/>
      <c r="G11" s="7"/>
      <c r="H11" s="7"/>
      <c r="I11" s="7"/>
      <c r="J11" s="7"/>
      <c r="K11" s="7"/>
      <c r="L11" s="7"/>
      <c r="M11" s="7"/>
      <c r="N11" s="7"/>
      <c r="O11" s="7"/>
    </row>
    <row r="12" ht="15.75" customHeight="1">
      <c r="A12" s="7"/>
      <c r="B12" s="7"/>
      <c r="C12" s="7"/>
      <c r="D12" s="7"/>
      <c r="E12" s="7"/>
      <c r="F12" s="7"/>
      <c r="G12" s="7"/>
      <c r="H12" s="7"/>
      <c r="I12" s="7"/>
      <c r="J12" s="7"/>
      <c r="K12" s="7"/>
      <c r="L12" s="7"/>
      <c r="M12" s="7"/>
      <c r="N12" s="7"/>
      <c r="O12" s="7"/>
    </row>
    <row r="13" ht="15.75" customHeight="1">
      <c r="A13" s="7"/>
      <c r="B13" s="7"/>
      <c r="C13" s="7"/>
      <c r="D13" s="7"/>
      <c r="E13" s="7"/>
      <c r="F13" s="7"/>
      <c r="G13" s="7"/>
      <c r="H13" s="7"/>
      <c r="I13" s="7"/>
      <c r="J13" s="7"/>
      <c r="K13" s="7"/>
      <c r="L13" s="7"/>
      <c r="M13" s="7"/>
      <c r="N13" s="7"/>
      <c r="O13" s="7"/>
    </row>
    <row r="14" ht="15.75" customHeight="1">
      <c r="A14" s="7"/>
      <c r="B14" s="7"/>
      <c r="C14" s="7"/>
      <c r="D14" s="7"/>
      <c r="E14" s="7"/>
      <c r="F14" s="7"/>
      <c r="G14" s="7"/>
      <c r="H14" s="7"/>
      <c r="I14" s="7"/>
      <c r="J14" s="7"/>
      <c r="K14" s="7"/>
      <c r="L14" s="7"/>
      <c r="M14" s="7"/>
      <c r="N14" s="7"/>
      <c r="O14" s="7"/>
    </row>
    <row r="15" ht="15.75" customHeight="1">
      <c r="A15" s="7"/>
      <c r="B15" s="7"/>
      <c r="C15" s="7"/>
      <c r="D15" s="7"/>
      <c r="E15" s="7"/>
      <c r="F15" s="7"/>
      <c r="G15" s="7"/>
      <c r="H15" s="7"/>
      <c r="I15" s="7"/>
      <c r="J15" s="7"/>
      <c r="K15" s="7"/>
      <c r="L15" s="7"/>
      <c r="M15" s="7"/>
      <c r="N15" s="7"/>
      <c r="O15" s="7"/>
    </row>
    <row r="16" ht="15.75" customHeight="1">
      <c r="A16" s="7"/>
      <c r="B16" s="7"/>
      <c r="C16" s="7"/>
      <c r="D16" s="7"/>
      <c r="E16" s="7"/>
      <c r="F16" s="7"/>
      <c r="G16" s="7"/>
      <c r="H16" s="7"/>
      <c r="I16" s="7"/>
      <c r="J16" s="7"/>
      <c r="K16" s="7"/>
      <c r="L16" s="7"/>
      <c r="M16" s="7"/>
      <c r="N16" s="7"/>
      <c r="O16" s="7"/>
    </row>
    <row r="17" ht="15.75" customHeight="1">
      <c r="A17" s="7"/>
      <c r="B17" s="7"/>
      <c r="C17" s="7"/>
      <c r="D17" s="7"/>
      <c r="E17" s="7"/>
      <c r="F17" s="7"/>
      <c r="G17" s="7"/>
      <c r="H17" s="7"/>
      <c r="I17" s="7"/>
      <c r="J17" s="7"/>
      <c r="K17" s="7"/>
      <c r="L17" s="7"/>
      <c r="M17" s="7"/>
      <c r="N17" s="7"/>
      <c r="O17" s="7"/>
    </row>
    <row r="18" ht="15.75" customHeight="1">
      <c r="A18" s="7"/>
      <c r="B18" s="7"/>
      <c r="C18" s="7"/>
      <c r="D18" s="7"/>
      <c r="E18" s="7"/>
      <c r="F18" s="7"/>
      <c r="G18" s="7"/>
      <c r="H18" s="7"/>
      <c r="I18" s="7"/>
      <c r="J18" s="7"/>
      <c r="K18" s="7"/>
      <c r="L18" s="7"/>
      <c r="M18" s="7"/>
      <c r="N18" s="7"/>
      <c r="O18" s="7"/>
    </row>
    <row r="19" ht="15.75" customHeight="1">
      <c r="A19" s="7"/>
      <c r="B19" s="7"/>
      <c r="C19" s="7"/>
      <c r="D19" s="7"/>
      <c r="E19" s="7"/>
      <c r="F19" s="7"/>
      <c r="G19" s="7"/>
      <c r="H19" s="7"/>
      <c r="I19" s="7"/>
      <c r="J19" s="7"/>
      <c r="K19" s="7"/>
      <c r="L19" s="7"/>
      <c r="M19" s="7"/>
      <c r="N19" s="7"/>
      <c r="O19" s="7"/>
    </row>
    <row r="20" ht="15.75" customHeight="1">
      <c r="A20" s="7"/>
      <c r="B20" s="7"/>
      <c r="C20" s="7"/>
      <c r="D20" s="7"/>
      <c r="E20" s="7"/>
      <c r="F20" s="7"/>
      <c r="G20" s="7"/>
      <c r="H20" s="7"/>
      <c r="I20" s="7"/>
      <c r="J20" s="7"/>
      <c r="K20" s="7"/>
      <c r="L20" s="7"/>
      <c r="M20" s="7"/>
      <c r="N20" s="7"/>
      <c r="O20" s="7"/>
    </row>
    <row r="21" ht="15.75" customHeight="1">
      <c r="A21" s="7"/>
      <c r="B21" s="7"/>
      <c r="C21" s="7"/>
      <c r="D21" s="7"/>
      <c r="E21" s="7"/>
      <c r="F21" s="7"/>
      <c r="G21" s="7"/>
      <c r="H21" s="7"/>
      <c r="I21" s="7"/>
      <c r="J21" s="7"/>
      <c r="K21" s="7"/>
      <c r="L21" s="7"/>
      <c r="M21" s="7"/>
      <c r="N21" s="7"/>
      <c r="O21" s="7"/>
    </row>
    <row r="22" ht="15.75" customHeight="1">
      <c r="A22" s="7"/>
      <c r="B22" s="7"/>
      <c r="C22" s="7"/>
      <c r="D22" s="7"/>
      <c r="E22" s="7"/>
      <c r="F22" s="7"/>
      <c r="G22" s="7"/>
      <c r="H22" s="7"/>
      <c r="I22" s="7"/>
      <c r="J22" s="7"/>
      <c r="K22" s="7"/>
      <c r="L22" s="7"/>
      <c r="M22" s="7"/>
      <c r="N22" s="7"/>
      <c r="O22" s="7"/>
    </row>
    <row r="23" ht="15.75" customHeight="1">
      <c r="A23" s="7"/>
      <c r="B23" s="7"/>
      <c r="C23" s="7"/>
      <c r="D23" s="7"/>
      <c r="E23" s="7"/>
      <c r="F23" s="7"/>
      <c r="G23" s="7"/>
      <c r="H23" s="7"/>
      <c r="I23" s="7"/>
      <c r="J23" s="7"/>
      <c r="K23" s="7"/>
      <c r="L23" s="7"/>
      <c r="M23" s="7"/>
      <c r="N23" s="7"/>
      <c r="O23" s="7"/>
    </row>
    <row r="24" ht="15.75" customHeight="1">
      <c r="A24" s="7"/>
      <c r="B24" s="7"/>
      <c r="C24" s="7"/>
      <c r="D24" s="7"/>
      <c r="E24" s="7"/>
      <c r="F24" s="7"/>
      <c r="G24" s="7"/>
      <c r="H24" s="7"/>
      <c r="I24" s="7"/>
      <c r="J24" s="7"/>
      <c r="K24" s="7"/>
      <c r="L24" s="7"/>
      <c r="M24" s="7"/>
      <c r="N24" s="7"/>
      <c r="O24" s="7"/>
    </row>
    <row r="25" ht="15.75" customHeight="1">
      <c r="A25" s="7"/>
      <c r="B25" s="7"/>
      <c r="C25" s="7"/>
      <c r="D25" s="7"/>
      <c r="E25" s="7"/>
      <c r="F25" s="7"/>
      <c r="G25" s="7"/>
      <c r="H25" s="7"/>
      <c r="I25" s="7"/>
      <c r="J25" s="7"/>
      <c r="K25" s="7"/>
      <c r="L25" s="7"/>
      <c r="M25" s="7"/>
      <c r="N25" s="7"/>
      <c r="O25" s="7"/>
    </row>
    <row r="26" ht="15.75" customHeight="1">
      <c r="A26" s="7"/>
      <c r="B26" s="7"/>
      <c r="C26" s="7"/>
      <c r="D26" s="7"/>
      <c r="E26" s="7"/>
      <c r="F26" s="7"/>
      <c r="G26" s="7"/>
      <c r="H26" s="7"/>
      <c r="I26" s="7"/>
      <c r="J26" s="7"/>
      <c r="K26" s="7"/>
      <c r="L26" s="7"/>
      <c r="M26" s="7"/>
      <c r="N26" s="7"/>
      <c r="O26" s="7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PricingInput!$4:$4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 format for current sheet" sqref="G3">
      <formula1>"Input Format,Output Format"</formula1>
    </dataValidation>
  </dataValidations>
  <drawing r:id="rId1"/>
</worksheet>
</file>

<file path=xl/worksheets/sheet1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7"/>
      <c r="B1" s="2" t="s">
        <v>11</v>
      </c>
      <c r="C1" s="3"/>
      <c r="D1" s="3"/>
      <c r="E1" s="3"/>
      <c r="F1" s="3"/>
      <c r="G1" s="3"/>
      <c r="H1" s="5"/>
      <c r="I1" s="17"/>
      <c r="J1" s="17"/>
      <c r="K1" s="17"/>
      <c r="L1" s="17"/>
      <c r="M1" s="17"/>
      <c r="N1" s="17"/>
      <c r="O1" s="17"/>
      <c r="P1" s="18"/>
      <c r="Q1" s="18"/>
      <c r="R1" s="18"/>
      <c r="S1" s="18"/>
      <c r="T1" s="18"/>
      <c r="U1" s="18"/>
      <c r="V1" s="18"/>
      <c r="W1" s="18"/>
      <c r="X1" s="18"/>
      <c r="Y1" s="18"/>
      <c r="Z1" s="18"/>
      <c r="AA1" s="18"/>
      <c r="AB1" s="18"/>
      <c r="AC1" s="18"/>
      <c r="AD1" s="18"/>
      <c r="AE1" s="18"/>
      <c r="AF1" s="18"/>
      <c r="AG1" s="18"/>
      <c r="AH1" s="18"/>
      <c r="AI1" s="18"/>
      <c r="AJ1" s="18"/>
      <c r="AK1" s="18"/>
      <c r="AL1" s="18"/>
      <c r="AM1" s="18"/>
      <c r="AN1" s="18"/>
      <c r="AO1" s="18"/>
      <c r="AP1" s="18"/>
      <c r="AQ1" s="18"/>
      <c r="AR1" s="18"/>
      <c r="AS1" s="18"/>
      <c r="AT1" s="18"/>
      <c r="AU1" s="18"/>
      <c r="AV1" s="18"/>
      <c r="AW1" s="18"/>
      <c r="AX1" s="18"/>
      <c r="AY1" s="18"/>
      <c r="AZ1" s="18"/>
      <c r="BA1" s="18"/>
      <c r="BB1" s="18"/>
      <c r="BC1" s="18"/>
      <c r="BD1" s="18"/>
      <c r="BE1" s="18"/>
      <c r="BF1" s="18"/>
      <c r="BG1" s="18"/>
      <c r="BH1" s="18"/>
      <c r="BI1" s="18"/>
      <c r="BJ1" s="18"/>
      <c r="BK1" s="18"/>
      <c r="BL1" s="18"/>
      <c r="BM1" s="18"/>
      <c r="BN1" s="18"/>
      <c r="BO1" s="18"/>
      <c r="BP1" s="18"/>
      <c r="BQ1" s="18"/>
      <c r="BR1" s="18"/>
      <c r="BS1" s="18"/>
      <c r="BT1" s="18"/>
      <c r="BU1" s="18"/>
      <c r="BV1" s="18"/>
      <c r="BW1" s="18"/>
      <c r="BX1" s="18"/>
      <c r="BY1" s="18"/>
      <c r="BZ1" s="18"/>
      <c r="CA1" s="18"/>
      <c r="CB1" s="18"/>
      <c r="CC1" s="18"/>
      <c r="CD1" s="18"/>
      <c r="CE1" s="18"/>
      <c r="CF1" s="18"/>
      <c r="CG1" s="18"/>
      <c r="CH1" s="18"/>
      <c r="CI1" s="18"/>
      <c r="CJ1" s="18"/>
      <c r="CK1" s="18"/>
      <c r="CL1" s="18"/>
      <c r="CM1" s="18"/>
      <c r="CN1" s="18"/>
      <c r="CO1" s="18"/>
      <c r="CP1" s="18"/>
      <c r="CQ1" s="18"/>
      <c r="CR1" s="18"/>
      <c r="CS1" s="18"/>
      <c r="CT1" s="18"/>
      <c r="CU1" s="18"/>
      <c r="CV1" s="18"/>
      <c r="CW1" s="18"/>
      <c r="CX1" s="18"/>
      <c r="CY1" s="18"/>
      <c r="CZ1" s="18"/>
      <c r="DA1" s="18"/>
      <c r="DB1" s="18"/>
      <c r="DC1" s="18"/>
      <c r="DD1" s="18"/>
      <c r="DE1" s="18"/>
      <c r="DF1" s="18"/>
      <c r="DG1" s="18"/>
      <c r="DH1" s="18"/>
      <c r="DI1" s="18"/>
      <c r="DJ1" s="18"/>
      <c r="DK1" s="18"/>
      <c r="DL1" s="18"/>
      <c r="DM1" s="18"/>
      <c r="DN1" s="18"/>
      <c r="DO1" s="18"/>
      <c r="DP1" s="18"/>
      <c r="DQ1" s="18"/>
      <c r="DR1" s="18"/>
      <c r="DS1" s="18"/>
      <c r="DT1" s="18"/>
      <c r="DU1" s="18"/>
      <c r="DV1" s="18"/>
      <c r="DW1" s="18"/>
      <c r="DX1" s="18"/>
      <c r="DY1" s="18"/>
      <c r="DZ1" s="18"/>
      <c r="EA1" s="18"/>
      <c r="EB1" s="18"/>
      <c r="EC1" s="18"/>
      <c r="ED1" s="18"/>
      <c r="EE1" s="18"/>
      <c r="EF1" s="18"/>
      <c r="EG1" s="18"/>
      <c r="EH1" s="18"/>
      <c r="EI1" s="18"/>
      <c r="EJ1" s="18"/>
      <c r="EK1" s="18"/>
      <c r="EL1" s="18"/>
      <c r="EM1" s="18"/>
      <c r="EN1" s="18"/>
      <c r="EO1" s="18"/>
      <c r="EP1" s="18"/>
      <c r="EQ1" s="18"/>
      <c r="ER1" s="18"/>
      <c r="ES1" s="18"/>
      <c r="ET1" s="18"/>
      <c r="EU1" s="18"/>
      <c r="EV1" s="18"/>
      <c r="EW1" s="18"/>
      <c r="EX1" s="18"/>
    </row>
    <row r="2" ht="15.75" customHeight="1">
      <c r="A2" s="7"/>
      <c r="B2" s="7"/>
      <c r="C2" s="7"/>
      <c r="D2" s="7"/>
      <c r="E2" s="7"/>
      <c r="F2" s="7"/>
      <c r="G2" s="7"/>
      <c r="H2" s="7"/>
      <c r="I2" s="7"/>
      <c r="J2" s="19" t="str">
        <f> VLOOKUP($E$3,'_MasterData'!B4:D1000,3,FALSE)</f>
        <v>#N/A</v>
      </c>
      <c r="K2" s="19"/>
      <c r="L2" s="7"/>
      <c r="M2" s="7"/>
      <c r="N2" s="7"/>
      <c r="O2" s="7"/>
    </row>
    <row r="3" ht="15.75" customHeight="1">
      <c r="A3" s="20"/>
      <c r="B3" s="9" t="s">
        <v>3</v>
      </c>
      <c r="C3" s="21" t="s">
        <v>33</v>
      </c>
      <c r="D3" s="9" t="s">
        <v>6</v>
      </c>
      <c r="E3" s="21" t="s">
        <v>34</v>
      </c>
      <c r="F3" s="9" t="s">
        <v>15</v>
      </c>
      <c r="G3" s="16" t="s">
        <v>17</v>
      </c>
      <c r="H3" s="9"/>
      <c r="I3" s="20"/>
      <c r="J3" s="20"/>
      <c r="K3" s="20"/>
      <c r="L3" s="20"/>
      <c r="M3" s="20"/>
      <c r="N3" s="20"/>
      <c r="O3" s="20"/>
      <c r="P3" s="22"/>
      <c r="Q3" s="22"/>
      <c r="R3" s="22"/>
      <c r="S3" s="22"/>
      <c r="T3" s="22"/>
      <c r="U3" s="22"/>
      <c r="V3" s="22"/>
      <c r="W3" s="22"/>
      <c r="X3" s="22"/>
      <c r="Y3" s="22"/>
      <c r="Z3" s="22"/>
      <c r="AA3" s="22"/>
      <c r="AB3" s="22"/>
      <c r="AC3" s="22"/>
      <c r="AD3" s="22"/>
      <c r="AE3" s="22"/>
      <c r="AF3" s="22"/>
      <c r="AG3" s="22"/>
      <c r="AH3" s="22"/>
      <c r="AI3" s="22"/>
      <c r="AJ3" s="22"/>
      <c r="AK3" s="22"/>
      <c r="AL3" s="22"/>
      <c r="AM3" s="22"/>
      <c r="AN3" s="22"/>
      <c r="AO3" s="22"/>
      <c r="AP3" s="22"/>
      <c r="AQ3" s="22"/>
      <c r="AR3" s="22"/>
      <c r="AS3" s="22"/>
      <c r="AT3" s="22"/>
      <c r="AU3" s="22"/>
      <c r="AV3" s="22"/>
      <c r="AW3" s="22"/>
      <c r="AX3" s="22"/>
      <c r="AY3" s="22"/>
      <c r="AZ3" s="22"/>
      <c r="BA3" s="22"/>
      <c r="BB3" s="22"/>
      <c r="BC3" s="22"/>
      <c r="BD3" s="22"/>
      <c r="BE3" s="22"/>
      <c r="BF3" s="22"/>
      <c r="BG3" s="22"/>
      <c r="BH3" s="22"/>
      <c r="BI3" s="22"/>
      <c r="BJ3" s="22"/>
      <c r="BK3" s="22"/>
      <c r="BL3" s="22"/>
      <c r="BM3" s="22"/>
      <c r="BN3" s="22"/>
      <c r="BO3" s="22"/>
      <c r="BP3" s="22"/>
      <c r="BQ3" s="22"/>
      <c r="BR3" s="22"/>
      <c r="BS3" s="22"/>
      <c r="BT3" s="22"/>
      <c r="BU3" s="22"/>
      <c r="BV3" s="22"/>
      <c r="BW3" s="22"/>
      <c r="BX3" s="22"/>
      <c r="BY3" s="22"/>
      <c r="BZ3" s="22"/>
      <c r="CA3" s="22"/>
      <c r="CB3" s="22"/>
      <c r="CC3" s="22"/>
      <c r="CD3" s="22"/>
      <c r="CE3" s="22"/>
      <c r="CF3" s="22"/>
      <c r="CG3" s="22"/>
      <c r="CH3" s="22"/>
      <c r="CI3" s="22"/>
      <c r="CJ3" s="22"/>
      <c r="CK3" s="22"/>
      <c r="CL3" s="22"/>
      <c r="CM3" s="22"/>
      <c r="CN3" s="22"/>
      <c r="CO3" s="22"/>
      <c r="CP3" s="22"/>
      <c r="CQ3" s="22"/>
      <c r="CR3" s="22"/>
      <c r="CS3" s="22"/>
      <c r="CT3" s="22"/>
      <c r="CU3" s="22"/>
      <c r="CV3" s="22"/>
      <c r="CW3" s="22"/>
      <c r="CX3" s="22"/>
      <c r="CY3" s="22"/>
      <c r="CZ3" s="22"/>
      <c r="DA3" s="22"/>
      <c r="DB3" s="22"/>
      <c r="DC3" s="22"/>
      <c r="DD3" s="22"/>
      <c r="DE3" s="22"/>
      <c r="DF3" s="22"/>
      <c r="DG3" s="22"/>
      <c r="DH3" s="22"/>
      <c r="DI3" s="22"/>
      <c r="DJ3" s="22"/>
      <c r="DK3" s="22"/>
      <c r="DL3" s="22"/>
      <c r="DM3" s="22"/>
      <c r="DN3" s="22"/>
      <c r="DO3" s="22"/>
      <c r="DP3" s="22"/>
      <c r="DQ3" s="22"/>
      <c r="DR3" s="22"/>
      <c r="DS3" s="22"/>
      <c r="DT3" s="22"/>
      <c r="DU3" s="22"/>
      <c r="DV3" s="22"/>
      <c r="DW3" s="22"/>
      <c r="DX3" s="22"/>
      <c r="DY3" s="22"/>
      <c r="DZ3" s="22"/>
      <c r="EA3" s="22"/>
      <c r="EB3" s="22"/>
      <c r="EC3" s="22"/>
      <c r="ED3" s="22"/>
      <c r="EE3" s="22"/>
      <c r="EF3" s="22"/>
      <c r="EG3" s="22"/>
      <c r="EH3" s="22"/>
      <c r="EI3" s="22"/>
      <c r="EJ3" s="22"/>
      <c r="EK3" s="22"/>
      <c r="EL3" s="22"/>
      <c r="EM3" s="22"/>
      <c r="EN3" s="22"/>
      <c r="EO3" s="22"/>
      <c r="EP3" s="22"/>
      <c r="EQ3" s="22"/>
      <c r="ER3" s="22"/>
      <c r="ES3" s="22"/>
      <c r="ET3" s="22"/>
      <c r="EU3" s="22"/>
      <c r="EV3" s="22"/>
      <c r="EW3" s="22"/>
      <c r="EX3" s="22"/>
    </row>
    <row r="4" ht="15.75" customHeight="1">
      <c r="A4" s="23"/>
      <c r="B4" s="23" t="str">
        <f>IFERROR(__xludf.DUMMYFUNCTION("IF(C3="""","""",Transpose(IMPORTRANGE('_Settings'!$B$3,C3&amp;""!A4:A1000"")))"),"SwapExpire")</f>
        <v>SwapExpire</v>
      </c>
      <c r="C4" s="23" t="str">
        <f>IFERROR(__xludf.DUMMYFUNCTION("""COMPUTED_VALUE"""),"GetDataClosing")</f>
        <v>GetDataClosing</v>
      </c>
      <c r="D4" s="23" t="str">
        <f>IFERROR(__xludf.DUMMYFUNCTION("""COMPUTED_VALUE"""),"ManualClosing")</f>
        <v>ManualClosing</v>
      </c>
      <c r="E4" s="23" t="str">
        <f>IFERROR(__xludf.DUMMYFUNCTION("""COMPUTED_VALUE"""),"AutomaticClosing")</f>
        <v>AutomaticClosing</v>
      </c>
      <c r="F4" s="23" t="str">
        <f>IFERROR(__xludf.DUMMYFUNCTION("""COMPUTED_VALUE"""),"UnwindClosing")</f>
        <v>UnwindClosing</v>
      </c>
      <c r="G4" s="23" t="str">
        <f>IFERROR(__xludf.DUMMYFUNCTION("""COMPUTED_VALUE"""),"VerifyClosedTrades")</f>
        <v>VerifyClosedTrades</v>
      </c>
      <c r="H4" s="23" t="str">
        <f>IFERROR(__xludf.DUMMYFUNCTION("""COMPUTED_VALUE"""),"VerifyLongPositionsGrid")</f>
        <v>VerifyLongPositionsGrid</v>
      </c>
      <c r="I4" s="23" t="str">
        <f>IFERROR(__xludf.DUMMYFUNCTION("""COMPUTED_VALUE"""),"VerifyShortPositionsGrid")</f>
        <v>VerifyShortPositionsGrid</v>
      </c>
      <c r="J4" s="23" t="str">
        <f>IFERROR(__xludf.DUMMYFUNCTION("""COMPUTED_VALUE"""),"SelectTradeUnexpiredUnsettled")</f>
        <v>SelectTradeUnexpiredUnsettled</v>
      </c>
      <c r="K4" s="23" t="str">
        <f>IFERROR(__xludf.DUMMYFUNCTION("""COMPUTED_VALUE"""),"CashSettlementAtCost")</f>
        <v>CashSettlementAtCost</v>
      </c>
      <c r="L4" s="23" t="str">
        <f>IFERROR(__xludf.DUMMYFUNCTION("""COMPUTED_VALUE"""),"CashSettlementAtZeroPrice")</f>
        <v>CashSettlementAtZeroPrice</v>
      </c>
      <c r="M4" s="23" t="str">
        <f>IFERROR(__xludf.DUMMYFUNCTION("""COMPUTED_VALUE"""),"CashSettlementAtClosingDtSpotPx")</f>
        <v>CashSettlementAtClosingDtSpotPx</v>
      </c>
      <c r="N4" s="23" t="str">
        <f>IFERROR(__xludf.DUMMYFUNCTION("""COMPUTED_VALUE"""),"PhysicalSettlement")</f>
        <v>PhysicalSettlement</v>
      </c>
      <c r="O4" s="23" t="str">
        <f>IFERROR(__xludf.DUMMYFUNCTION("""COMPUTED_VALUE"""),"Expire")</f>
        <v>Expire</v>
      </c>
      <c r="P4" s="24" t="str">
        <f>IFERROR(__xludf.DUMMYFUNCTION("""COMPUTED_VALUE"""),"ExerciseAssignment")</f>
        <v>ExerciseAssignment</v>
      </c>
      <c r="Q4" s="24" t="str">
        <f>IFERROR(__xludf.DUMMYFUNCTION("""COMPUTED_VALUE"""),"ExerciseAssignmentAtZero")</f>
        <v>ExerciseAssignmentAtZero</v>
      </c>
      <c r="R4" s="24" t="str">
        <f>IFERROR(__xludf.DUMMYFUNCTION("""COMPUTED_VALUE"""),"SwapExpireAndRollover")</f>
        <v>SwapExpireAndRollover</v>
      </c>
      <c r="S4" s="24" t="str">
        <f>IFERROR(__xludf.DUMMYFUNCTION("""COMPUTED_VALUE"""),"SwapExpire")</f>
        <v>SwapExpire</v>
      </c>
      <c r="T4" s="24" t="str">
        <f>IFERROR(__xludf.DUMMYFUNCTION("""COMPUTED_VALUE"""),"VerifyExpiredSettledGrid")</f>
        <v>VerifyExpiredSettledGrid</v>
      </c>
      <c r="U4" s="24" t="str">
        <f>IFERROR(__xludf.DUMMYFUNCTION("""COMPUTED_VALUE"""),"VerifyUnExpiredUnSettledGrid")</f>
        <v>VerifyUnExpiredUnSettledGrid</v>
      </c>
      <c r="V4" s="24" t="str">
        <f>IFERROR(__xludf.DUMMYFUNCTION("""COMPUTED_VALUE"""),"UnWindTradeSettlement")</f>
        <v>UnWindTradeSettlement</v>
      </c>
      <c r="W4" s="24" t="str">
        <f>IFERROR(__xludf.DUMMYFUNCTION("""COMPUTED_VALUE"""),"CloseOrder")</f>
        <v>CloseOrder</v>
      </c>
      <c r="X4" s="24" t="str">
        <f>IFERROR(__xludf.DUMMYFUNCTION("""COMPUTED_VALUE"""),"VerifyCloseOrder")</f>
        <v>VerifyCloseOrder</v>
      </c>
      <c r="Y4" s="24" t="str">
        <f>IFERROR(__xludf.DUMMYFUNCTION("""COMPUTED_VALUE"""),"UnWindCloseOrder")</f>
        <v>UnWindCloseOrder</v>
      </c>
      <c r="Z4" s="24" t="str">
        <f>IFERROR(__xludf.DUMMYFUNCTION("""COMPUTED_VALUE"""),"ClosingCleanUp")</f>
        <v>ClosingCleanUp</v>
      </c>
      <c r="AA4" s="24" t="str">
        <f>IFERROR(__xludf.DUMMYFUNCTION("""COMPUTED_VALUE"""),"CloseClosingUI")</f>
        <v>CloseClosingUI</v>
      </c>
      <c r="AB4" s="24" t="str">
        <f>IFERROR(__xludf.DUMMYFUNCTION("""COMPUTED_VALUE"""),"SetClosingPreference")</f>
        <v>SetClosingPreference</v>
      </c>
      <c r="AC4" s="24" t="str">
        <f>IFERROR(__xludf.DUMMYFUNCTION("""COMPUTED_VALUE"""),"EditTradeUnexpiredUnsettled")</f>
        <v>EditTradeUnexpiredUnsettled</v>
      </c>
      <c r="AD4" s="24" t="str">
        <f>IFERROR(__xludf.DUMMYFUNCTION("""COMPUTED_VALUE"""),"")</f>
        <v/>
      </c>
      <c r="AE4" s="24" t="str">
        <f>IFERROR(__xludf.DUMMYFUNCTION("""COMPUTED_VALUE"""),"")</f>
        <v/>
      </c>
      <c r="AF4" s="24" t="str">
        <f>IFERROR(__xludf.DUMMYFUNCTION("""COMPUTED_VALUE"""),"")</f>
        <v/>
      </c>
      <c r="AG4" s="24" t="str">
        <f>IFERROR(__xludf.DUMMYFUNCTION("""COMPUTED_VALUE"""),"")</f>
        <v/>
      </c>
      <c r="AH4" s="24" t="str">
        <f>IFERROR(__xludf.DUMMYFUNCTION("""COMPUTED_VALUE"""),"")</f>
        <v/>
      </c>
      <c r="AI4" s="24" t="str">
        <f>IFERROR(__xludf.DUMMYFUNCTION("""COMPUTED_VALUE"""),"")</f>
        <v/>
      </c>
      <c r="AJ4" s="24" t="str">
        <f>IFERROR(__xludf.DUMMYFUNCTION("""COMPUTED_VALUE"""),"")</f>
        <v/>
      </c>
      <c r="AK4" s="24" t="str">
        <f>IFERROR(__xludf.DUMMYFUNCTION("""COMPUTED_VALUE"""),"")</f>
        <v/>
      </c>
      <c r="AL4" s="24" t="str">
        <f>IFERROR(__xludf.DUMMYFUNCTION("""COMPUTED_VALUE"""),"")</f>
        <v/>
      </c>
      <c r="AM4" s="24" t="str">
        <f>IFERROR(__xludf.DUMMYFUNCTION("""COMPUTED_VALUE"""),"")</f>
        <v/>
      </c>
      <c r="AN4" s="24" t="str">
        <f>IFERROR(__xludf.DUMMYFUNCTION("""COMPUTED_VALUE"""),"")</f>
        <v/>
      </c>
      <c r="AO4" s="24" t="str">
        <f>IFERROR(__xludf.DUMMYFUNCTION("""COMPUTED_VALUE"""),"")</f>
        <v/>
      </c>
      <c r="AP4" s="24" t="str">
        <f>IFERROR(__xludf.DUMMYFUNCTION("""COMPUTED_VALUE"""),"")</f>
        <v/>
      </c>
      <c r="AQ4" s="24" t="str">
        <f>IFERROR(__xludf.DUMMYFUNCTION("""COMPUTED_VALUE"""),"")</f>
        <v/>
      </c>
      <c r="AR4" s="24" t="str">
        <f>IFERROR(__xludf.DUMMYFUNCTION("""COMPUTED_VALUE"""),"")</f>
        <v/>
      </c>
      <c r="AS4" s="24" t="str">
        <f>IFERROR(__xludf.DUMMYFUNCTION("""COMPUTED_VALUE"""),"")</f>
        <v/>
      </c>
      <c r="AT4" s="24" t="str">
        <f>IFERROR(__xludf.DUMMYFUNCTION("""COMPUTED_VALUE"""),"")</f>
        <v/>
      </c>
      <c r="AU4" s="24" t="str">
        <f>IFERROR(__xludf.DUMMYFUNCTION("""COMPUTED_VALUE"""),"")</f>
        <v/>
      </c>
      <c r="AV4" s="24" t="str">
        <f>IFERROR(__xludf.DUMMYFUNCTION("""COMPUTED_VALUE"""),"")</f>
        <v/>
      </c>
      <c r="AW4" s="24" t="str">
        <f>IFERROR(__xludf.DUMMYFUNCTION("""COMPUTED_VALUE"""),"")</f>
        <v/>
      </c>
      <c r="AX4" s="24" t="str">
        <f>IFERROR(__xludf.DUMMYFUNCTION("""COMPUTED_VALUE"""),"")</f>
        <v/>
      </c>
      <c r="AY4" s="24" t="str">
        <f>IFERROR(__xludf.DUMMYFUNCTION("""COMPUTED_VALUE"""),"")</f>
        <v/>
      </c>
      <c r="AZ4" s="24" t="str">
        <f>IFERROR(__xludf.DUMMYFUNCTION("""COMPUTED_VALUE"""),"")</f>
        <v/>
      </c>
      <c r="BA4" s="24" t="str">
        <f>IFERROR(__xludf.DUMMYFUNCTION("""COMPUTED_VALUE"""),"")</f>
        <v/>
      </c>
      <c r="BB4" s="24" t="str">
        <f>IFERROR(__xludf.DUMMYFUNCTION("""COMPUTED_VALUE"""),"")</f>
        <v/>
      </c>
      <c r="BC4" s="24" t="str">
        <f>IFERROR(__xludf.DUMMYFUNCTION("""COMPUTED_VALUE"""),"")</f>
        <v/>
      </c>
      <c r="BD4" s="24" t="str">
        <f>IFERROR(__xludf.DUMMYFUNCTION("""COMPUTED_VALUE"""),"")</f>
        <v/>
      </c>
      <c r="BE4" s="24" t="str">
        <f>IFERROR(__xludf.DUMMYFUNCTION("""COMPUTED_VALUE"""),"")</f>
        <v/>
      </c>
      <c r="BF4" s="24" t="str">
        <f>IFERROR(__xludf.DUMMYFUNCTION("""COMPUTED_VALUE"""),"")</f>
        <v/>
      </c>
      <c r="BG4" s="24" t="str">
        <f>IFERROR(__xludf.DUMMYFUNCTION("""COMPUTED_VALUE"""),"")</f>
        <v/>
      </c>
      <c r="BH4" s="24" t="str">
        <f>IFERROR(__xludf.DUMMYFUNCTION("""COMPUTED_VALUE"""),"")</f>
        <v/>
      </c>
      <c r="BI4" s="24" t="str">
        <f>IFERROR(__xludf.DUMMYFUNCTION("""COMPUTED_VALUE"""),"")</f>
        <v/>
      </c>
      <c r="BJ4" s="24" t="str">
        <f>IFERROR(__xludf.DUMMYFUNCTION("""COMPUTED_VALUE"""),"")</f>
        <v/>
      </c>
      <c r="BK4" s="24" t="str">
        <f>IFERROR(__xludf.DUMMYFUNCTION("""COMPUTED_VALUE"""),"")</f>
        <v/>
      </c>
      <c r="BL4" s="24" t="str">
        <f>IFERROR(__xludf.DUMMYFUNCTION("""COMPUTED_VALUE"""),"")</f>
        <v/>
      </c>
      <c r="BM4" s="24" t="str">
        <f>IFERROR(__xludf.DUMMYFUNCTION("""COMPUTED_VALUE"""),"")</f>
        <v/>
      </c>
      <c r="BN4" s="24" t="str">
        <f>IFERROR(__xludf.DUMMYFUNCTION("""COMPUTED_VALUE"""),"")</f>
        <v/>
      </c>
      <c r="BO4" s="24" t="str">
        <f>IFERROR(__xludf.DUMMYFUNCTION("""COMPUTED_VALUE"""),"")</f>
        <v/>
      </c>
      <c r="BP4" s="24" t="str">
        <f>IFERROR(__xludf.DUMMYFUNCTION("""COMPUTED_VALUE"""),"")</f>
        <v/>
      </c>
      <c r="BQ4" s="24" t="str">
        <f>IFERROR(__xludf.DUMMYFUNCTION("""COMPUTED_VALUE"""),"")</f>
        <v/>
      </c>
      <c r="BR4" s="24" t="str">
        <f>IFERROR(__xludf.DUMMYFUNCTION("""COMPUTED_VALUE"""),"")</f>
        <v/>
      </c>
      <c r="BS4" s="24" t="str">
        <f>IFERROR(__xludf.DUMMYFUNCTION("""COMPUTED_VALUE"""),"")</f>
        <v/>
      </c>
      <c r="BT4" s="24" t="str">
        <f>IFERROR(__xludf.DUMMYFUNCTION("""COMPUTED_VALUE"""),"")</f>
        <v/>
      </c>
      <c r="BU4" s="24" t="str">
        <f>IFERROR(__xludf.DUMMYFUNCTION("""COMPUTED_VALUE"""),"")</f>
        <v/>
      </c>
      <c r="BV4" s="24" t="str">
        <f>IFERROR(__xludf.DUMMYFUNCTION("""COMPUTED_VALUE"""),"")</f>
        <v/>
      </c>
      <c r="BW4" s="24" t="str">
        <f>IFERROR(__xludf.DUMMYFUNCTION("""COMPUTED_VALUE"""),"")</f>
        <v/>
      </c>
      <c r="BX4" s="24" t="str">
        <f>IFERROR(__xludf.DUMMYFUNCTION("""COMPUTED_VALUE"""),"")</f>
        <v/>
      </c>
      <c r="BY4" s="24" t="str">
        <f>IFERROR(__xludf.DUMMYFUNCTION("""COMPUTED_VALUE"""),"")</f>
        <v/>
      </c>
      <c r="BZ4" s="24" t="str">
        <f>IFERROR(__xludf.DUMMYFUNCTION("""COMPUTED_VALUE"""),"")</f>
        <v/>
      </c>
      <c r="CA4" s="24" t="str">
        <f>IFERROR(__xludf.DUMMYFUNCTION("""COMPUTED_VALUE"""),"")</f>
        <v/>
      </c>
      <c r="CB4" s="24" t="str">
        <f>IFERROR(__xludf.DUMMYFUNCTION("""COMPUTED_VALUE"""),"")</f>
        <v/>
      </c>
      <c r="CC4" s="24" t="str">
        <f>IFERROR(__xludf.DUMMYFUNCTION("""COMPUTED_VALUE"""),"")</f>
        <v/>
      </c>
      <c r="CD4" s="24" t="str">
        <f>IFERROR(__xludf.DUMMYFUNCTION("""COMPUTED_VALUE"""),"")</f>
        <v/>
      </c>
      <c r="CE4" s="24" t="str">
        <f>IFERROR(__xludf.DUMMYFUNCTION("""COMPUTED_VALUE"""),"")</f>
        <v/>
      </c>
      <c r="CF4" s="24" t="str">
        <f>IFERROR(__xludf.DUMMYFUNCTION("""COMPUTED_VALUE"""),"")</f>
        <v/>
      </c>
      <c r="CG4" s="24" t="str">
        <f>IFERROR(__xludf.DUMMYFUNCTION("""COMPUTED_VALUE"""),"")</f>
        <v/>
      </c>
      <c r="CH4" s="24" t="str">
        <f>IFERROR(__xludf.DUMMYFUNCTION("""COMPUTED_VALUE"""),"")</f>
        <v/>
      </c>
      <c r="CI4" s="24" t="str">
        <f>IFERROR(__xludf.DUMMYFUNCTION("""COMPUTED_VALUE"""),"")</f>
        <v/>
      </c>
      <c r="CJ4" s="24" t="str">
        <f>IFERROR(__xludf.DUMMYFUNCTION("""COMPUTED_VALUE"""),"")</f>
        <v/>
      </c>
      <c r="CK4" s="24" t="str">
        <f>IFERROR(__xludf.DUMMYFUNCTION("""COMPUTED_VALUE"""),"")</f>
        <v/>
      </c>
      <c r="CL4" s="24" t="str">
        <f>IFERROR(__xludf.DUMMYFUNCTION("""COMPUTED_VALUE"""),"")</f>
        <v/>
      </c>
      <c r="CM4" s="24" t="str">
        <f>IFERROR(__xludf.DUMMYFUNCTION("""COMPUTED_VALUE"""),"")</f>
        <v/>
      </c>
      <c r="CN4" s="24" t="str">
        <f>IFERROR(__xludf.DUMMYFUNCTION("""COMPUTED_VALUE"""),"")</f>
        <v/>
      </c>
      <c r="CO4" s="24" t="str">
        <f>IFERROR(__xludf.DUMMYFUNCTION("""COMPUTED_VALUE"""),"")</f>
        <v/>
      </c>
      <c r="CP4" s="24" t="str">
        <f>IFERROR(__xludf.DUMMYFUNCTION("""COMPUTED_VALUE"""),"")</f>
        <v/>
      </c>
      <c r="CQ4" s="24" t="str">
        <f>IFERROR(__xludf.DUMMYFUNCTION("""COMPUTED_VALUE"""),"")</f>
        <v/>
      </c>
      <c r="CR4" s="24" t="str">
        <f>IFERROR(__xludf.DUMMYFUNCTION("""COMPUTED_VALUE"""),"")</f>
        <v/>
      </c>
      <c r="CS4" s="24" t="str">
        <f>IFERROR(__xludf.DUMMYFUNCTION("""COMPUTED_VALUE"""),"")</f>
        <v/>
      </c>
      <c r="CT4" s="24" t="str">
        <f>IFERROR(__xludf.DUMMYFUNCTION("""COMPUTED_VALUE"""),"")</f>
        <v/>
      </c>
      <c r="CU4" s="24" t="str">
        <f>IFERROR(__xludf.DUMMYFUNCTION("""COMPUTED_VALUE"""),"")</f>
        <v/>
      </c>
      <c r="CV4" s="24" t="str">
        <f>IFERROR(__xludf.DUMMYFUNCTION("""COMPUTED_VALUE"""),"")</f>
        <v/>
      </c>
      <c r="CW4" s="24" t="str">
        <f>IFERROR(__xludf.DUMMYFUNCTION("""COMPUTED_VALUE"""),"")</f>
        <v/>
      </c>
      <c r="CX4" s="24" t="str">
        <f>IFERROR(__xludf.DUMMYFUNCTION("""COMPUTED_VALUE"""),"")</f>
        <v/>
      </c>
      <c r="CY4" s="24" t="str">
        <f>IFERROR(__xludf.DUMMYFUNCTION("""COMPUTED_VALUE"""),"")</f>
        <v/>
      </c>
      <c r="CZ4" s="24" t="str">
        <f>IFERROR(__xludf.DUMMYFUNCTION("""COMPUTED_VALUE"""),"")</f>
        <v/>
      </c>
      <c r="DA4" s="24" t="str">
        <f>IFERROR(__xludf.DUMMYFUNCTION("""COMPUTED_VALUE"""),"")</f>
        <v/>
      </c>
      <c r="DB4" s="24" t="str">
        <f>IFERROR(__xludf.DUMMYFUNCTION("""COMPUTED_VALUE"""),"")</f>
        <v/>
      </c>
      <c r="DC4" s="24" t="str">
        <f>IFERROR(__xludf.DUMMYFUNCTION("""COMPUTED_VALUE"""),"")</f>
        <v/>
      </c>
      <c r="DD4" s="24" t="str">
        <f>IFERROR(__xludf.DUMMYFUNCTION("""COMPUTED_VALUE"""),"")</f>
        <v/>
      </c>
      <c r="DE4" s="24" t="str">
        <f>IFERROR(__xludf.DUMMYFUNCTION("""COMPUTED_VALUE"""),"")</f>
        <v/>
      </c>
      <c r="DF4" s="24" t="str">
        <f>IFERROR(__xludf.DUMMYFUNCTION("""COMPUTED_VALUE"""),"")</f>
        <v/>
      </c>
      <c r="DG4" s="24" t="str">
        <f>IFERROR(__xludf.DUMMYFUNCTION("""COMPUTED_VALUE"""),"")</f>
        <v/>
      </c>
      <c r="DH4" s="24" t="str">
        <f>IFERROR(__xludf.DUMMYFUNCTION("""COMPUTED_VALUE"""),"")</f>
        <v/>
      </c>
      <c r="DI4" s="24" t="str">
        <f>IFERROR(__xludf.DUMMYFUNCTION("""COMPUTED_VALUE"""),"")</f>
        <v/>
      </c>
      <c r="DJ4" s="24" t="str">
        <f>IFERROR(__xludf.DUMMYFUNCTION("""COMPUTED_VALUE"""),"")</f>
        <v/>
      </c>
      <c r="DK4" s="24" t="str">
        <f>IFERROR(__xludf.DUMMYFUNCTION("""COMPUTED_VALUE"""),"")</f>
        <v/>
      </c>
      <c r="DL4" s="24" t="str">
        <f>IFERROR(__xludf.DUMMYFUNCTION("""COMPUTED_VALUE"""),"")</f>
        <v/>
      </c>
      <c r="DM4" s="24" t="str">
        <f>IFERROR(__xludf.DUMMYFUNCTION("""COMPUTED_VALUE"""),"")</f>
        <v/>
      </c>
      <c r="DN4" s="24" t="str">
        <f>IFERROR(__xludf.DUMMYFUNCTION("""COMPUTED_VALUE"""),"")</f>
        <v/>
      </c>
      <c r="DO4" s="24" t="str">
        <f>IFERROR(__xludf.DUMMYFUNCTION("""COMPUTED_VALUE"""),"")</f>
        <v/>
      </c>
      <c r="DP4" s="24" t="str">
        <f>IFERROR(__xludf.DUMMYFUNCTION("""COMPUTED_VALUE"""),"")</f>
        <v/>
      </c>
      <c r="DQ4" s="24" t="str">
        <f>IFERROR(__xludf.DUMMYFUNCTION("""COMPUTED_VALUE"""),"")</f>
        <v/>
      </c>
      <c r="DR4" s="24" t="str">
        <f>IFERROR(__xludf.DUMMYFUNCTION("""COMPUTED_VALUE"""),"")</f>
        <v/>
      </c>
      <c r="DS4" s="24" t="str">
        <f>IFERROR(__xludf.DUMMYFUNCTION("""COMPUTED_VALUE"""),"")</f>
        <v/>
      </c>
      <c r="DT4" s="24" t="str">
        <f>IFERROR(__xludf.DUMMYFUNCTION("""COMPUTED_VALUE"""),"")</f>
        <v/>
      </c>
      <c r="DU4" s="24" t="str">
        <f>IFERROR(__xludf.DUMMYFUNCTION("""COMPUTED_VALUE"""),"")</f>
        <v/>
      </c>
      <c r="DV4" s="24" t="str">
        <f>IFERROR(__xludf.DUMMYFUNCTION("""COMPUTED_VALUE"""),"")</f>
        <v/>
      </c>
      <c r="DW4" s="24" t="str">
        <f>IFERROR(__xludf.DUMMYFUNCTION("""COMPUTED_VALUE"""),"")</f>
        <v/>
      </c>
      <c r="DX4" s="24" t="str">
        <f>IFERROR(__xludf.DUMMYFUNCTION("""COMPUTED_VALUE"""),"")</f>
        <v/>
      </c>
      <c r="DY4" s="24" t="str">
        <f>IFERROR(__xludf.DUMMYFUNCTION("""COMPUTED_VALUE"""),"")</f>
        <v/>
      </c>
      <c r="DZ4" s="24" t="str">
        <f>IFERROR(__xludf.DUMMYFUNCTION("""COMPUTED_VALUE"""),"")</f>
        <v/>
      </c>
      <c r="EA4" s="24" t="str">
        <f>IFERROR(__xludf.DUMMYFUNCTION("""COMPUTED_VALUE"""),"")</f>
        <v/>
      </c>
      <c r="EB4" s="24" t="str">
        <f>IFERROR(__xludf.DUMMYFUNCTION("""COMPUTED_VALUE"""),"")</f>
        <v/>
      </c>
      <c r="EC4" s="24" t="str">
        <f>IFERROR(__xludf.DUMMYFUNCTION("""COMPUTED_VALUE"""),"")</f>
        <v/>
      </c>
      <c r="ED4" s="24" t="str">
        <f>IFERROR(__xludf.DUMMYFUNCTION("""COMPUTED_VALUE"""),"")</f>
        <v/>
      </c>
      <c r="EE4" s="24" t="str">
        <f>IFERROR(__xludf.DUMMYFUNCTION("""COMPUTED_VALUE"""),"")</f>
        <v/>
      </c>
      <c r="EF4" s="24" t="str">
        <f>IFERROR(__xludf.DUMMYFUNCTION("""COMPUTED_VALUE"""),"")</f>
        <v/>
      </c>
      <c r="EG4" s="24" t="str">
        <f>IFERROR(__xludf.DUMMYFUNCTION("""COMPUTED_VALUE"""),"")</f>
        <v/>
      </c>
      <c r="EH4" s="24" t="str">
        <f>IFERROR(__xludf.DUMMYFUNCTION("""COMPUTED_VALUE"""),"")</f>
        <v/>
      </c>
      <c r="EI4" s="24" t="str">
        <f>IFERROR(__xludf.DUMMYFUNCTION("""COMPUTED_VALUE"""),"")</f>
        <v/>
      </c>
      <c r="EJ4" s="24" t="str">
        <f>IFERROR(__xludf.DUMMYFUNCTION("""COMPUTED_VALUE"""),"")</f>
        <v/>
      </c>
      <c r="EK4" s="24" t="str">
        <f>IFERROR(__xludf.DUMMYFUNCTION("""COMPUTED_VALUE"""),"")</f>
        <v/>
      </c>
      <c r="EL4" s="24" t="str">
        <f>IFERROR(__xludf.DUMMYFUNCTION("""COMPUTED_VALUE"""),"")</f>
        <v/>
      </c>
      <c r="EM4" s="24" t="str">
        <f>IFERROR(__xludf.DUMMYFUNCTION("""COMPUTED_VALUE"""),"")</f>
        <v/>
      </c>
      <c r="EN4" s="24" t="str">
        <f>IFERROR(__xludf.DUMMYFUNCTION("""COMPUTED_VALUE"""),"")</f>
        <v/>
      </c>
      <c r="EO4" s="24" t="str">
        <f>IFERROR(__xludf.DUMMYFUNCTION("""COMPUTED_VALUE"""),"")</f>
        <v/>
      </c>
      <c r="EP4" s="24" t="str">
        <f>IFERROR(__xludf.DUMMYFUNCTION("""COMPUTED_VALUE"""),"")</f>
        <v/>
      </c>
      <c r="EQ4" s="24" t="str">
        <f>IFERROR(__xludf.DUMMYFUNCTION("""COMPUTED_VALUE"""),"")</f>
        <v/>
      </c>
      <c r="ER4" s="24" t="str">
        <f>IFERROR(__xludf.DUMMYFUNCTION("""COMPUTED_VALUE"""),"")</f>
        <v/>
      </c>
      <c r="ES4" s="24" t="str">
        <f>IFERROR(__xludf.DUMMYFUNCTION("""COMPUTED_VALUE"""),"")</f>
        <v/>
      </c>
      <c r="ET4" s="24" t="str">
        <f>IFERROR(__xludf.DUMMYFUNCTION("""COMPUTED_VALUE"""),"")</f>
        <v/>
      </c>
      <c r="EU4" s="24" t="str">
        <f>IFERROR(__xludf.DUMMYFUNCTION("""COMPUTED_VALUE"""),"")</f>
        <v/>
      </c>
      <c r="EV4" s="24" t="str">
        <f>IFERROR(__xludf.DUMMYFUNCTION("""COMPUTED_VALUE"""),"")</f>
        <v/>
      </c>
      <c r="EW4" s="24" t="str">
        <f>IFERROR(__xludf.DUMMYFUNCTION("""COMPUTED_VALUE"""),"")</f>
        <v/>
      </c>
      <c r="EX4" s="24" t="str">
        <f>IFERROR(__xludf.DUMMYFUNCTION("""COMPUTED_VALUE"""),"")</f>
        <v/>
      </c>
    </row>
    <row r="5" ht="15.75" customHeight="1">
      <c r="A5" s="25" t="str">
        <f>IFERROR(__xludf.DUMMYFUNCTION("TRANSPOSE(IMPORTRANGE(VLOOKUP($E$3,IMPORTRANGE('_Settings'!$B$3,$C$3&amp;""!A4:B1000""),2,FALSE),$G$3&amp;""!A4:A1000""))"),"")</f>
        <v/>
      </c>
      <c r="B5" s="26" t="str">
        <f>IFERROR(__xludf.DUMMYFUNCTION("""COMPUTED_VALUE"""),"RangeType")</f>
        <v>RangeType</v>
      </c>
      <c r="C5" s="26" t="str">
        <f>IFERROR(__xludf.DUMMYFUNCTION("""COMPUTED_VALUE"""),"From")</f>
        <v>From</v>
      </c>
      <c r="D5" s="26" t="str">
        <f>IFERROR(__xludf.DUMMYFUNCTION("""COMPUTED_VALUE"""),"To")</f>
        <v>To</v>
      </c>
      <c r="E5" s="26" t="str">
        <f>IFERROR(__xludf.DUMMYFUNCTION("""COMPUTED_VALUE"""),"Account Filter")</f>
        <v>Account Filter</v>
      </c>
      <c r="F5" s="27" t="str">
        <f>IFERROR(__xludf.DUMMYFUNCTION("""COMPUTED_VALUE"""),"")</f>
        <v/>
      </c>
      <c r="G5" s="26" t="str">
        <f>IFERROR(__xludf.DUMMYFUNCTION("""COMPUTED_VALUE"""),"")</f>
        <v/>
      </c>
      <c r="H5" s="26" t="str">
        <f>IFERROR(__xludf.DUMMYFUNCTION("""COMPUTED_VALUE"""),"")</f>
        <v/>
      </c>
      <c r="I5" s="26" t="str">
        <f>IFERROR(__xludf.DUMMYFUNCTION("""COMPUTED_VALUE"""),"")</f>
        <v/>
      </c>
      <c r="J5" s="26" t="str">
        <f>IFERROR(__xludf.DUMMYFUNCTION("""COMPUTED_VALUE"""),"")</f>
        <v/>
      </c>
      <c r="K5" s="26" t="str">
        <f>IFERROR(__xludf.DUMMYFUNCTION("""COMPUTED_VALUE"""),"")</f>
        <v/>
      </c>
      <c r="L5" s="26" t="str">
        <f>IFERROR(__xludf.DUMMYFUNCTION("""COMPUTED_VALUE"""),"")</f>
        <v/>
      </c>
      <c r="M5" s="26" t="str">
        <f>IFERROR(__xludf.DUMMYFUNCTION("""COMPUTED_VALUE"""),"")</f>
        <v/>
      </c>
      <c r="N5" s="26" t="str">
        <f>IFERROR(__xludf.DUMMYFUNCTION("""COMPUTED_VALUE"""),"")</f>
        <v/>
      </c>
      <c r="O5" s="26" t="str">
        <f>IFERROR(__xludf.DUMMYFUNCTION("""COMPUTED_VALUE"""),"")</f>
        <v/>
      </c>
      <c r="P5" s="26" t="str">
        <f>IFERROR(__xludf.DUMMYFUNCTION("""COMPUTED_VALUE"""),"")</f>
        <v/>
      </c>
      <c r="Q5" s="26" t="str">
        <f>IFERROR(__xludf.DUMMYFUNCTION("""COMPUTED_VALUE"""),"")</f>
        <v/>
      </c>
      <c r="R5" s="26" t="str">
        <f>IFERROR(__xludf.DUMMYFUNCTION("""COMPUTED_VALUE"""),"")</f>
        <v/>
      </c>
      <c r="S5" s="26" t="str">
        <f>IFERROR(__xludf.DUMMYFUNCTION("""COMPUTED_VALUE"""),"")</f>
        <v/>
      </c>
      <c r="T5" s="28" t="str">
        <f>IFERROR(__xludf.DUMMYFUNCTION("""COMPUTED_VALUE"""),"")</f>
        <v/>
      </c>
      <c r="U5" s="28" t="str">
        <f>IFERROR(__xludf.DUMMYFUNCTION("""COMPUTED_VALUE"""),"")</f>
        <v/>
      </c>
      <c r="V5" s="28" t="str">
        <f>IFERROR(__xludf.DUMMYFUNCTION("""COMPUTED_VALUE"""),"")</f>
        <v/>
      </c>
      <c r="W5" s="28" t="str">
        <f>IFERROR(__xludf.DUMMYFUNCTION("""COMPUTED_VALUE"""),"")</f>
        <v/>
      </c>
      <c r="X5" s="28" t="str">
        <f>IFERROR(__xludf.DUMMYFUNCTION("""COMPUTED_VALUE"""),"")</f>
        <v/>
      </c>
      <c r="Y5" s="28" t="str">
        <f>IFERROR(__xludf.DUMMYFUNCTION("""COMPUTED_VALUE"""),"")</f>
        <v/>
      </c>
      <c r="Z5" s="28" t="str">
        <f>IFERROR(__xludf.DUMMYFUNCTION("""COMPUTED_VALUE"""),"")</f>
        <v/>
      </c>
      <c r="AA5" s="28" t="str">
        <f>IFERROR(__xludf.DUMMYFUNCTION("""COMPUTED_VALUE"""),"")</f>
        <v/>
      </c>
      <c r="AB5" s="28" t="str">
        <f>IFERROR(__xludf.DUMMYFUNCTION("""COMPUTED_VALUE"""),"")</f>
        <v/>
      </c>
      <c r="AC5" s="28" t="str">
        <f>IFERROR(__xludf.DUMMYFUNCTION("""COMPUTED_VALUE"""),"")</f>
        <v/>
      </c>
      <c r="AD5" s="28" t="str">
        <f>IFERROR(__xludf.DUMMYFUNCTION("""COMPUTED_VALUE"""),"")</f>
        <v/>
      </c>
      <c r="AE5" s="28" t="str">
        <f>IFERROR(__xludf.DUMMYFUNCTION("""COMPUTED_VALUE"""),"")</f>
        <v/>
      </c>
      <c r="AF5" s="28" t="str">
        <f>IFERROR(__xludf.DUMMYFUNCTION("""COMPUTED_VALUE"""),"")</f>
        <v/>
      </c>
      <c r="AG5" s="28" t="str">
        <f>IFERROR(__xludf.DUMMYFUNCTION("""COMPUTED_VALUE"""),"")</f>
        <v/>
      </c>
      <c r="AH5" s="28" t="str">
        <f>IFERROR(__xludf.DUMMYFUNCTION("""COMPUTED_VALUE"""),"")</f>
        <v/>
      </c>
      <c r="AI5" s="28" t="str">
        <f>IFERROR(__xludf.DUMMYFUNCTION("""COMPUTED_VALUE"""),"")</f>
        <v/>
      </c>
      <c r="AJ5" s="28" t="str">
        <f>IFERROR(__xludf.DUMMYFUNCTION("""COMPUTED_VALUE"""),"")</f>
        <v/>
      </c>
      <c r="AK5" s="28" t="str">
        <f>IFERROR(__xludf.DUMMYFUNCTION("""COMPUTED_VALUE"""),"")</f>
        <v/>
      </c>
      <c r="AL5" s="28" t="str">
        <f>IFERROR(__xludf.DUMMYFUNCTION("""COMPUTED_VALUE"""),"")</f>
        <v/>
      </c>
      <c r="AM5" s="28" t="str">
        <f>IFERROR(__xludf.DUMMYFUNCTION("""COMPUTED_VALUE"""),"")</f>
        <v/>
      </c>
      <c r="AN5" s="28" t="str">
        <f>IFERROR(__xludf.DUMMYFUNCTION("""COMPUTED_VALUE"""),"")</f>
        <v/>
      </c>
      <c r="AO5" s="28" t="str">
        <f>IFERROR(__xludf.DUMMYFUNCTION("""COMPUTED_VALUE"""),"")</f>
        <v/>
      </c>
      <c r="AP5" s="28" t="str">
        <f>IFERROR(__xludf.DUMMYFUNCTION("""COMPUTED_VALUE"""),"")</f>
        <v/>
      </c>
      <c r="AQ5" s="28" t="str">
        <f>IFERROR(__xludf.DUMMYFUNCTION("""COMPUTED_VALUE"""),"")</f>
        <v/>
      </c>
      <c r="AR5" s="28" t="str">
        <f>IFERROR(__xludf.DUMMYFUNCTION("""COMPUTED_VALUE"""),"")</f>
        <v/>
      </c>
      <c r="AS5" s="28" t="str">
        <f>IFERROR(__xludf.DUMMYFUNCTION("""COMPUTED_VALUE"""),"")</f>
        <v/>
      </c>
      <c r="AT5" s="28" t="str">
        <f>IFERROR(__xludf.DUMMYFUNCTION("""COMPUTED_VALUE"""),"")</f>
        <v/>
      </c>
      <c r="AU5" s="28" t="str">
        <f>IFERROR(__xludf.DUMMYFUNCTION("""COMPUTED_VALUE"""),"")</f>
        <v/>
      </c>
      <c r="AV5" s="28" t="str">
        <f>IFERROR(__xludf.DUMMYFUNCTION("""COMPUTED_VALUE"""),"")</f>
        <v/>
      </c>
      <c r="AW5" s="28" t="str">
        <f>IFERROR(__xludf.DUMMYFUNCTION("""COMPUTED_VALUE"""),"")</f>
        <v/>
      </c>
      <c r="AX5" s="28" t="str">
        <f>IFERROR(__xludf.DUMMYFUNCTION("""COMPUTED_VALUE"""),"")</f>
        <v/>
      </c>
      <c r="AY5" s="28" t="str">
        <f>IFERROR(__xludf.DUMMYFUNCTION("""COMPUTED_VALUE"""),"")</f>
        <v/>
      </c>
      <c r="AZ5" s="28" t="str">
        <f>IFERROR(__xludf.DUMMYFUNCTION("""COMPUTED_VALUE"""),"")</f>
        <v/>
      </c>
      <c r="BA5" s="28" t="str">
        <f>IFERROR(__xludf.DUMMYFUNCTION("""COMPUTED_VALUE"""),"")</f>
        <v/>
      </c>
      <c r="BB5" s="28" t="str">
        <f>IFERROR(__xludf.DUMMYFUNCTION("""COMPUTED_VALUE"""),"")</f>
        <v/>
      </c>
      <c r="BC5" s="28" t="str">
        <f>IFERROR(__xludf.DUMMYFUNCTION("""COMPUTED_VALUE"""),"")</f>
        <v/>
      </c>
      <c r="BD5" s="28" t="str">
        <f>IFERROR(__xludf.DUMMYFUNCTION("""COMPUTED_VALUE"""),"")</f>
        <v/>
      </c>
      <c r="BE5" s="28" t="str">
        <f>IFERROR(__xludf.DUMMYFUNCTION("""COMPUTED_VALUE"""),"")</f>
        <v/>
      </c>
      <c r="BF5" s="28" t="str">
        <f>IFERROR(__xludf.DUMMYFUNCTION("""COMPUTED_VALUE"""),"")</f>
        <v/>
      </c>
      <c r="BG5" s="28" t="str">
        <f>IFERROR(__xludf.DUMMYFUNCTION("""COMPUTED_VALUE"""),"")</f>
        <v/>
      </c>
      <c r="BH5" s="28" t="str">
        <f>IFERROR(__xludf.DUMMYFUNCTION("""COMPUTED_VALUE"""),"")</f>
        <v/>
      </c>
      <c r="BI5" s="28" t="str">
        <f>IFERROR(__xludf.DUMMYFUNCTION("""COMPUTED_VALUE"""),"")</f>
        <v/>
      </c>
      <c r="BJ5" s="28" t="str">
        <f>IFERROR(__xludf.DUMMYFUNCTION("""COMPUTED_VALUE"""),"")</f>
        <v/>
      </c>
      <c r="BK5" s="28" t="str">
        <f>IFERROR(__xludf.DUMMYFUNCTION("""COMPUTED_VALUE"""),"")</f>
        <v/>
      </c>
      <c r="BL5" s="28" t="str">
        <f>IFERROR(__xludf.DUMMYFUNCTION("""COMPUTED_VALUE"""),"")</f>
        <v/>
      </c>
      <c r="BM5" s="28" t="str">
        <f>IFERROR(__xludf.DUMMYFUNCTION("""COMPUTED_VALUE"""),"")</f>
        <v/>
      </c>
      <c r="BN5" s="28" t="str">
        <f>IFERROR(__xludf.DUMMYFUNCTION("""COMPUTED_VALUE"""),"")</f>
        <v/>
      </c>
      <c r="BO5" s="28" t="str">
        <f>IFERROR(__xludf.DUMMYFUNCTION("""COMPUTED_VALUE"""),"")</f>
        <v/>
      </c>
      <c r="BP5" s="28" t="str">
        <f>IFERROR(__xludf.DUMMYFUNCTION("""COMPUTED_VALUE"""),"")</f>
        <v/>
      </c>
      <c r="BQ5" s="28" t="str">
        <f>IFERROR(__xludf.DUMMYFUNCTION("""COMPUTED_VALUE"""),"")</f>
        <v/>
      </c>
      <c r="BR5" s="28" t="str">
        <f>IFERROR(__xludf.DUMMYFUNCTION("""COMPUTED_VALUE"""),"")</f>
        <v/>
      </c>
      <c r="BS5" s="28" t="str">
        <f>IFERROR(__xludf.DUMMYFUNCTION("""COMPUTED_VALUE"""),"")</f>
        <v/>
      </c>
      <c r="BT5" s="28" t="str">
        <f>IFERROR(__xludf.DUMMYFUNCTION("""COMPUTED_VALUE"""),"")</f>
        <v/>
      </c>
      <c r="BU5" s="28" t="str">
        <f>IFERROR(__xludf.DUMMYFUNCTION("""COMPUTED_VALUE"""),"")</f>
        <v/>
      </c>
      <c r="BV5" s="28" t="str">
        <f>IFERROR(__xludf.DUMMYFUNCTION("""COMPUTED_VALUE"""),"")</f>
        <v/>
      </c>
      <c r="BW5" s="28" t="str">
        <f>IFERROR(__xludf.DUMMYFUNCTION("""COMPUTED_VALUE"""),"")</f>
        <v/>
      </c>
      <c r="BX5" s="28" t="str">
        <f>IFERROR(__xludf.DUMMYFUNCTION("""COMPUTED_VALUE"""),"")</f>
        <v/>
      </c>
      <c r="BY5" s="28" t="str">
        <f>IFERROR(__xludf.DUMMYFUNCTION("""COMPUTED_VALUE"""),"")</f>
        <v/>
      </c>
      <c r="BZ5" s="28" t="str">
        <f>IFERROR(__xludf.DUMMYFUNCTION("""COMPUTED_VALUE"""),"")</f>
        <v/>
      </c>
      <c r="CA5" s="28" t="str">
        <f>IFERROR(__xludf.DUMMYFUNCTION("""COMPUTED_VALUE"""),"")</f>
        <v/>
      </c>
      <c r="CB5" s="28" t="str">
        <f>IFERROR(__xludf.DUMMYFUNCTION("""COMPUTED_VALUE"""),"")</f>
        <v/>
      </c>
      <c r="CC5" s="28" t="str">
        <f>IFERROR(__xludf.DUMMYFUNCTION("""COMPUTED_VALUE"""),"")</f>
        <v/>
      </c>
      <c r="CD5" s="28" t="str">
        <f>IFERROR(__xludf.DUMMYFUNCTION("""COMPUTED_VALUE"""),"")</f>
        <v/>
      </c>
      <c r="CE5" s="28" t="str">
        <f>IFERROR(__xludf.DUMMYFUNCTION("""COMPUTED_VALUE"""),"")</f>
        <v/>
      </c>
      <c r="CF5" s="28" t="str">
        <f>IFERROR(__xludf.DUMMYFUNCTION("""COMPUTED_VALUE"""),"")</f>
        <v/>
      </c>
      <c r="CG5" s="28" t="str">
        <f>IFERROR(__xludf.DUMMYFUNCTION("""COMPUTED_VALUE"""),"")</f>
        <v/>
      </c>
      <c r="CH5" s="28" t="str">
        <f>IFERROR(__xludf.DUMMYFUNCTION("""COMPUTED_VALUE"""),"")</f>
        <v/>
      </c>
      <c r="CI5" s="28" t="str">
        <f>IFERROR(__xludf.DUMMYFUNCTION("""COMPUTED_VALUE"""),"")</f>
        <v/>
      </c>
      <c r="CJ5" s="28" t="str">
        <f>IFERROR(__xludf.DUMMYFUNCTION("""COMPUTED_VALUE"""),"")</f>
        <v/>
      </c>
      <c r="CK5" s="28" t="str">
        <f>IFERROR(__xludf.DUMMYFUNCTION("""COMPUTED_VALUE"""),"")</f>
        <v/>
      </c>
      <c r="CL5" s="28" t="str">
        <f>IFERROR(__xludf.DUMMYFUNCTION("""COMPUTED_VALUE"""),"")</f>
        <v/>
      </c>
      <c r="CM5" s="28" t="str">
        <f>IFERROR(__xludf.DUMMYFUNCTION("""COMPUTED_VALUE"""),"")</f>
        <v/>
      </c>
      <c r="CN5" s="28" t="str">
        <f>IFERROR(__xludf.DUMMYFUNCTION("""COMPUTED_VALUE"""),"")</f>
        <v/>
      </c>
      <c r="CO5" s="28" t="str">
        <f>IFERROR(__xludf.DUMMYFUNCTION("""COMPUTED_VALUE"""),"")</f>
        <v/>
      </c>
      <c r="CP5" s="28" t="str">
        <f>IFERROR(__xludf.DUMMYFUNCTION("""COMPUTED_VALUE"""),"")</f>
        <v/>
      </c>
      <c r="CQ5" s="28" t="str">
        <f>IFERROR(__xludf.DUMMYFUNCTION("""COMPUTED_VALUE"""),"")</f>
        <v/>
      </c>
      <c r="CR5" s="28" t="str">
        <f>IFERROR(__xludf.DUMMYFUNCTION("""COMPUTED_VALUE"""),"")</f>
        <v/>
      </c>
      <c r="CS5" s="28" t="str">
        <f>IFERROR(__xludf.DUMMYFUNCTION("""COMPUTED_VALUE"""),"")</f>
        <v/>
      </c>
      <c r="CT5" s="28" t="str">
        <f>IFERROR(__xludf.DUMMYFUNCTION("""COMPUTED_VALUE"""),"")</f>
        <v/>
      </c>
      <c r="CU5" s="28" t="str">
        <f>IFERROR(__xludf.DUMMYFUNCTION("""COMPUTED_VALUE"""),"")</f>
        <v/>
      </c>
      <c r="CV5" s="28" t="str">
        <f>IFERROR(__xludf.DUMMYFUNCTION("""COMPUTED_VALUE"""),"")</f>
        <v/>
      </c>
      <c r="CW5" s="28" t="str">
        <f>IFERROR(__xludf.DUMMYFUNCTION("""COMPUTED_VALUE"""),"")</f>
        <v/>
      </c>
      <c r="CX5" s="28" t="str">
        <f>IFERROR(__xludf.DUMMYFUNCTION("""COMPUTED_VALUE"""),"")</f>
        <v/>
      </c>
      <c r="CY5" s="28" t="str">
        <f>IFERROR(__xludf.DUMMYFUNCTION("""COMPUTED_VALUE"""),"")</f>
        <v/>
      </c>
      <c r="CZ5" s="28" t="str">
        <f>IFERROR(__xludf.DUMMYFUNCTION("""COMPUTED_VALUE"""),"")</f>
        <v/>
      </c>
      <c r="DA5" s="28" t="str">
        <f>IFERROR(__xludf.DUMMYFUNCTION("""COMPUTED_VALUE"""),"")</f>
        <v/>
      </c>
      <c r="DB5" s="28" t="str">
        <f>IFERROR(__xludf.DUMMYFUNCTION("""COMPUTED_VALUE"""),"")</f>
        <v/>
      </c>
      <c r="DC5" s="28" t="str">
        <f>IFERROR(__xludf.DUMMYFUNCTION("""COMPUTED_VALUE"""),"")</f>
        <v/>
      </c>
      <c r="DD5" s="28" t="str">
        <f>IFERROR(__xludf.DUMMYFUNCTION("""COMPUTED_VALUE"""),"")</f>
        <v/>
      </c>
      <c r="DE5" s="28" t="str">
        <f>IFERROR(__xludf.DUMMYFUNCTION("""COMPUTED_VALUE"""),"")</f>
        <v/>
      </c>
      <c r="DF5" s="28" t="str">
        <f>IFERROR(__xludf.DUMMYFUNCTION("""COMPUTED_VALUE"""),"")</f>
        <v/>
      </c>
      <c r="DG5" s="28" t="str">
        <f>IFERROR(__xludf.DUMMYFUNCTION("""COMPUTED_VALUE"""),"")</f>
        <v/>
      </c>
      <c r="DH5" s="28" t="str">
        <f>IFERROR(__xludf.DUMMYFUNCTION("""COMPUTED_VALUE"""),"")</f>
        <v/>
      </c>
      <c r="DI5" s="28" t="str">
        <f>IFERROR(__xludf.DUMMYFUNCTION("""COMPUTED_VALUE"""),"")</f>
        <v/>
      </c>
      <c r="DJ5" s="28" t="str">
        <f>IFERROR(__xludf.DUMMYFUNCTION("""COMPUTED_VALUE"""),"")</f>
        <v/>
      </c>
      <c r="DK5" s="28" t="str">
        <f>IFERROR(__xludf.DUMMYFUNCTION("""COMPUTED_VALUE"""),"")</f>
        <v/>
      </c>
      <c r="DL5" s="28" t="str">
        <f>IFERROR(__xludf.DUMMYFUNCTION("""COMPUTED_VALUE"""),"")</f>
        <v/>
      </c>
      <c r="DM5" s="28" t="str">
        <f>IFERROR(__xludf.DUMMYFUNCTION("""COMPUTED_VALUE"""),"")</f>
        <v/>
      </c>
      <c r="DN5" s="28" t="str">
        <f>IFERROR(__xludf.DUMMYFUNCTION("""COMPUTED_VALUE"""),"")</f>
        <v/>
      </c>
      <c r="DO5" s="28" t="str">
        <f>IFERROR(__xludf.DUMMYFUNCTION("""COMPUTED_VALUE"""),"")</f>
        <v/>
      </c>
      <c r="DP5" s="28" t="str">
        <f>IFERROR(__xludf.DUMMYFUNCTION("""COMPUTED_VALUE"""),"")</f>
        <v/>
      </c>
      <c r="DQ5" s="28" t="str">
        <f>IFERROR(__xludf.DUMMYFUNCTION("""COMPUTED_VALUE"""),"")</f>
        <v/>
      </c>
      <c r="DR5" s="28" t="str">
        <f>IFERROR(__xludf.DUMMYFUNCTION("""COMPUTED_VALUE"""),"")</f>
        <v/>
      </c>
      <c r="DS5" s="28" t="str">
        <f>IFERROR(__xludf.DUMMYFUNCTION("""COMPUTED_VALUE"""),"")</f>
        <v/>
      </c>
      <c r="DT5" s="28" t="str">
        <f>IFERROR(__xludf.DUMMYFUNCTION("""COMPUTED_VALUE"""),"")</f>
        <v/>
      </c>
      <c r="DU5" s="28" t="str">
        <f>IFERROR(__xludf.DUMMYFUNCTION("""COMPUTED_VALUE"""),"")</f>
        <v/>
      </c>
      <c r="DV5" s="28" t="str">
        <f>IFERROR(__xludf.DUMMYFUNCTION("""COMPUTED_VALUE"""),"")</f>
        <v/>
      </c>
      <c r="DW5" s="28" t="str">
        <f>IFERROR(__xludf.DUMMYFUNCTION("""COMPUTED_VALUE"""),"")</f>
        <v/>
      </c>
      <c r="DX5" s="28" t="str">
        <f>IFERROR(__xludf.DUMMYFUNCTION("""COMPUTED_VALUE"""),"")</f>
        <v/>
      </c>
      <c r="DY5" s="28" t="str">
        <f>IFERROR(__xludf.DUMMYFUNCTION("""COMPUTED_VALUE"""),"")</f>
        <v/>
      </c>
      <c r="DZ5" s="28" t="str">
        <f>IFERROR(__xludf.DUMMYFUNCTION("""COMPUTED_VALUE"""),"")</f>
        <v/>
      </c>
      <c r="EA5" s="28" t="str">
        <f>IFERROR(__xludf.DUMMYFUNCTION("""COMPUTED_VALUE"""),"")</f>
        <v/>
      </c>
      <c r="EB5" s="28" t="str">
        <f>IFERROR(__xludf.DUMMYFUNCTION("""COMPUTED_VALUE"""),"")</f>
        <v/>
      </c>
      <c r="EC5" s="28" t="str">
        <f>IFERROR(__xludf.DUMMYFUNCTION("""COMPUTED_VALUE"""),"")</f>
        <v/>
      </c>
      <c r="ED5" s="28" t="str">
        <f>IFERROR(__xludf.DUMMYFUNCTION("""COMPUTED_VALUE"""),"")</f>
        <v/>
      </c>
      <c r="EE5" s="28" t="str">
        <f>IFERROR(__xludf.DUMMYFUNCTION("""COMPUTED_VALUE"""),"")</f>
        <v/>
      </c>
      <c r="EF5" s="28" t="str">
        <f>IFERROR(__xludf.DUMMYFUNCTION("""COMPUTED_VALUE"""),"")</f>
        <v/>
      </c>
      <c r="EG5" s="28" t="str">
        <f>IFERROR(__xludf.DUMMYFUNCTION("""COMPUTED_VALUE"""),"")</f>
        <v/>
      </c>
      <c r="EH5" s="28" t="str">
        <f>IFERROR(__xludf.DUMMYFUNCTION("""COMPUTED_VALUE"""),"")</f>
        <v/>
      </c>
      <c r="EI5" s="28" t="str">
        <f>IFERROR(__xludf.DUMMYFUNCTION("""COMPUTED_VALUE"""),"")</f>
        <v/>
      </c>
      <c r="EJ5" s="28" t="str">
        <f>IFERROR(__xludf.DUMMYFUNCTION("""COMPUTED_VALUE"""),"")</f>
        <v/>
      </c>
      <c r="EK5" s="28" t="str">
        <f>IFERROR(__xludf.DUMMYFUNCTION("""COMPUTED_VALUE"""),"")</f>
        <v/>
      </c>
      <c r="EL5" s="28" t="str">
        <f>IFERROR(__xludf.DUMMYFUNCTION("""COMPUTED_VALUE"""),"")</f>
        <v/>
      </c>
      <c r="EM5" s="28" t="str">
        <f>IFERROR(__xludf.DUMMYFUNCTION("""COMPUTED_VALUE"""),"")</f>
        <v/>
      </c>
      <c r="EN5" s="28" t="str">
        <f>IFERROR(__xludf.DUMMYFUNCTION("""COMPUTED_VALUE"""),"")</f>
        <v/>
      </c>
      <c r="EO5" s="28" t="str">
        <f>IFERROR(__xludf.DUMMYFUNCTION("""COMPUTED_VALUE"""),"")</f>
        <v/>
      </c>
      <c r="EP5" s="28" t="str">
        <f>IFERROR(__xludf.DUMMYFUNCTION("""COMPUTED_VALUE"""),"")</f>
        <v/>
      </c>
      <c r="EQ5" s="28" t="str">
        <f>IFERROR(__xludf.DUMMYFUNCTION("""COMPUTED_VALUE"""),"")</f>
        <v/>
      </c>
      <c r="ER5" s="28" t="str">
        <f>IFERROR(__xludf.DUMMYFUNCTION("""COMPUTED_VALUE"""),"")</f>
        <v/>
      </c>
      <c r="ES5" s="28" t="str">
        <f>IFERROR(__xludf.DUMMYFUNCTION("""COMPUTED_VALUE"""),"")</f>
        <v/>
      </c>
      <c r="ET5" s="28" t="str">
        <f>IFERROR(__xludf.DUMMYFUNCTION("""COMPUTED_VALUE"""),"")</f>
        <v/>
      </c>
      <c r="EU5" s="28" t="str">
        <f>IFERROR(__xludf.DUMMYFUNCTION("""COMPUTED_VALUE"""),"")</f>
        <v/>
      </c>
      <c r="EV5" s="28" t="str">
        <f>IFERROR(__xludf.DUMMYFUNCTION("""COMPUTED_VALUE"""),"")</f>
        <v/>
      </c>
      <c r="EW5" s="28" t="str">
        <f>IFERROR(__xludf.DUMMYFUNCTION("""COMPUTED_VALUE"""),"")</f>
        <v/>
      </c>
      <c r="EX5" s="28" t="str">
        <f>IFERROR(__xludf.DUMMYFUNCTION("""COMPUTED_VALUE"""),"")</f>
        <v/>
      </c>
    </row>
    <row r="6" ht="15.75" customHeight="1">
      <c r="A6" s="15"/>
      <c r="B6" s="15" t="s">
        <v>37</v>
      </c>
      <c r="C6" s="30">
        <f>today()-2</f>
        <v>43661</v>
      </c>
      <c r="D6" s="29">
        <f>today()-1</f>
        <v>43662</v>
      </c>
      <c r="E6" s="15" t="s">
        <v>38</v>
      </c>
      <c r="F6" s="7"/>
      <c r="G6" s="7"/>
      <c r="H6" s="7"/>
      <c r="I6" s="7"/>
      <c r="J6" s="7"/>
      <c r="K6" s="7"/>
      <c r="L6" s="7"/>
      <c r="M6" s="7"/>
      <c r="N6" s="7"/>
      <c r="O6" s="7"/>
    </row>
    <row r="7" ht="15.75" customHeight="1">
      <c r="A7" s="7"/>
      <c r="B7" s="7"/>
      <c r="C7" s="7"/>
      <c r="D7" s="7"/>
      <c r="E7" s="7"/>
      <c r="F7" s="7"/>
      <c r="G7" s="7"/>
      <c r="H7" s="7"/>
      <c r="I7" s="7"/>
      <c r="J7" s="7"/>
      <c r="K7" s="7"/>
      <c r="L7" s="7"/>
      <c r="M7" s="7"/>
      <c r="N7" s="7"/>
      <c r="O7" s="7"/>
    </row>
    <row r="8" ht="15.75" customHeight="1">
      <c r="A8" s="7"/>
      <c r="B8" s="7"/>
      <c r="C8" s="7"/>
      <c r="D8" s="7"/>
      <c r="E8" s="7"/>
      <c r="F8" s="7"/>
      <c r="G8" s="7"/>
      <c r="H8" s="7"/>
      <c r="I8" s="7"/>
      <c r="J8" s="7"/>
      <c r="K8" s="7"/>
      <c r="L8" s="7"/>
      <c r="M8" s="7"/>
      <c r="N8" s="7"/>
      <c r="O8" s="7"/>
    </row>
    <row r="9" ht="15.75" customHeight="1">
      <c r="A9" s="7"/>
      <c r="B9" s="7"/>
      <c r="C9" s="7"/>
      <c r="D9" s="7"/>
      <c r="E9" s="7"/>
      <c r="F9" s="7"/>
      <c r="G9" s="7"/>
      <c r="H9" s="7"/>
      <c r="I9" s="7"/>
      <c r="J9" s="7"/>
      <c r="K9" s="7"/>
      <c r="L9" s="7"/>
      <c r="M9" s="7"/>
      <c r="N9" s="7"/>
      <c r="O9" s="7"/>
    </row>
    <row r="10" ht="15.75" customHeight="1">
      <c r="A10" s="7"/>
      <c r="B10" s="7"/>
      <c r="C10" s="7"/>
      <c r="D10" s="7"/>
      <c r="E10" s="7"/>
      <c r="F10" s="7"/>
      <c r="G10" s="7"/>
      <c r="H10" s="7"/>
      <c r="I10" s="7"/>
      <c r="J10" s="7"/>
      <c r="K10" s="7"/>
      <c r="L10" s="7"/>
      <c r="M10" s="7"/>
      <c r="N10" s="7"/>
      <c r="O10" s="7"/>
    </row>
    <row r="11" ht="15.75" customHeight="1">
      <c r="A11" s="7"/>
      <c r="B11" s="7"/>
      <c r="C11" s="7"/>
      <c r="D11" s="7"/>
      <c r="E11" s="7"/>
      <c r="F11" s="7"/>
      <c r="G11" s="7"/>
      <c r="H11" s="7"/>
      <c r="I11" s="7"/>
      <c r="J11" s="7"/>
      <c r="K11" s="7"/>
      <c r="L11" s="7"/>
      <c r="M11" s="7"/>
      <c r="N11" s="7"/>
      <c r="O11" s="7"/>
    </row>
    <row r="12" ht="15.75" customHeight="1">
      <c r="A12" s="7"/>
      <c r="B12" s="7"/>
      <c r="C12" s="7"/>
      <c r="D12" s="7"/>
      <c r="E12" s="7"/>
      <c r="F12" s="7"/>
      <c r="G12" s="7"/>
      <c r="H12" s="7"/>
      <c r="I12" s="7"/>
      <c r="J12" s="7"/>
      <c r="K12" s="7"/>
      <c r="L12" s="7"/>
      <c r="M12" s="7"/>
      <c r="N12" s="7"/>
      <c r="O12" s="7"/>
    </row>
    <row r="13" ht="15.75" customHeight="1">
      <c r="A13" s="7"/>
      <c r="B13" s="7"/>
      <c r="C13" s="7"/>
      <c r="D13" s="7"/>
      <c r="E13" s="7"/>
      <c r="F13" s="7"/>
      <c r="G13" s="7"/>
      <c r="H13" s="7"/>
      <c r="I13" s="7"/>
      <c r="J13" s="7"/>
      <c r="K13" s="7"/>
      <c r="L13" s="7"/>
      <c r="M13" s="7"/>
      <c r="N13" s="7"/>
      <c r="O13" s="7"/>
    </row>
    <row r="14" ht="15.75" customHeight="1">
      <c r="A14" s="7"/>
      <c r="B14" s="7"/>
      <c r="C14" s="7"/>
      <c r="D14" s="7"/>
      <c r="E14" s="7"/>
      <c r="F14" s="7"/>
      <c r="G14" s="7"/>
      <c r="H14" s="7"/>
      <c r="I14" s="7"/>
      <c r="J14" s="7"/>
      <c r="K14" s="7"/>
      <c r="L14" s="7"/>
      <c r="M14" s="7"/>
      <c r="N14" s="7"/>
      <c r="O14" s="7"/>
    </row>
    <row r="15" ht="15.75" customHeight="1">
      <c r="A15" s="7"/>
      <c r="B15" s="7"/>
      <c r="C15" s="7"/>
      <c r="D15" s="7"/>
      <c r="E15" s="7"/>
      <c r="F15" s="7"/>
      <c r="G15" s="7"/>
      <c r="H15" s="7"/>
      <c r="I15" s="7"/>
      <c r="J15" s="7"/>
      <c r="K15" s="7"/>
      <c r="L15" s="7"/>
      <c r="M15" s="7"/>
      <c r="N15" s="7"/>
      <c r="O15" s="7"/>
    </row>
    <row r="16" ht="15.75" customHeight="1">
      <c r="A16" s="7"/>
      <c r="B16" s="7"/>
      <c r="C16" s="7"/>
      <c r="D16" s="7"/>
      <c r="E16" s="7"/>
      <c r="F16" s="7"/>
      <c r="G16" s="7"/>
      <c r="H16" s="7"/>
      <c r="I16" s="7"/>
      <c r="J16" s="7"/>
      <c r="K16" s="7"/>
      <c r="L16" s="7"/>
      <c r="M16" s="7"/>
      <c r="N16" s="7"/>
      <c r="O16" s="7"/>
    </row>
    <row r="17" ht="15.75" customHeight="1">
      <c r="A17" s="7"/>
      <c r="B17" s="7"/>
      <c r="C17" s="7"/>
      <c r="D17" s="7"/>
      <c r="E17" s="7"/>
      <c r="F17" s="7"/>
      <c r="G17" s="7"/>
      <c r="H17" s="7"/>
      <c r="I17" s="7"/>
      <c r="J17" s="7"/>
      <c r="K17" s="7"/>
      <c r="L17" s="7"/>
      <c r="M17" s="7"/>
      <c r="N17" s="7"/>
      <c r="O17" s="7"/>
    </row>
    <row r="18" ht="15.75" customHeight="1">
      <c r="A18" s="7"/>
      <c r="B18" s="7"/>
      <c r="C18" s="7"/>
      <c r="D18" s="7"/>
      <c r="E18" s="7"/>
      <c r="F18" s="7"/>
      <c r="G18" s="7"/>
      <c r="H18" s="7"/>
      <c r="I18" s="7"/>
      <c r="J18" s="7"/>
      <c r="K18" s="7"/>
      <c r="L18" s="7"/>
      <c r="M18" s="7"/>
      <c r="N18" s="7"/>
      <c r="O18" s="7"/>
    </row>
    <row r="19" ht="15.75" customHeight="1">
      <c r="A19" s="7"/>
      <c r="B19" s="7"/>
      <c r="C19" s="7"/>
      <c r="D19" s="7"/>
      <c r="E19" s="7"/>
      <c r="F19" s="7"/>
      <c r="G19" s="7"/>
      <c r="H19" s="7"/>
      <c r="I19" s="7"/>
      <c r="J19" s="7"/>
      <c r="K19" s="7"/>
      <c r="L19" s="7"/>
      <c r="M19" s="7"/>
      <c r="N19" s="7"/>
      <c r="O19" s="7"/>
    </row>
    <row r="20" ht="15.75" customHeight="1">
      <c r="A20" s="7"/>
      <c r="B20" s="7"/>
      <c r="C20" s="7"/>
      <c r="D20" s="7"/>
      <c r="E20" s="7"/>
      <c r="F20" s="7"/>
      <c r="G20" s="7"/>
      <c r="H20" s="7"/>
      <c r="I20" s="7"/>
      <c r="J20" s="7"/>
      <c r="K20" s="7"/>
      <c r="L20" s="7"/>
      <c r="M20" s="7"/>
      <c r="N20" s="7"/>
      <c r="O20" s="7"/>
    </row>
    <row r="21" ht="15.75" customHeight="1">
      <c r="A21" s="7"/>
      <c r="B21" s="7"/>
      <c r="C21" s="7"/>
      <c r="D21" s="7"/>
      <c r="E21" s="7"/>
      <c r="F21" s="7"/>
      <c r="G21" s="7"/>
      <c r="H21" s="7"/>
      <c r="I21" s="7"/>
      <c r="J21" s="7"/>
      <c r="K21" s="7"/>
      <c r="L21" s="7"/>
      <c r="M21" s="7"/>
      <c r="N21" s="7"/>
      <c r="O21" s="7"/>
    </row>
    <row r="22" ht="15.75" customHeight="1">
      <c r="A22" s="7"/>
      <c r="B22" s="7"/>
      <c r="C22" s="7"/>
      <c r="D22" s="7"/>
      <c r="E22" s="7"/>
      <c r="F22" s="7"/>
      <c r="G22" s="7"/>
      <c r="H22" s="7"/>
      <c r="I22" s="7"/>
      <c r="J22" s="7"/>
      <c r="K22" s="7"/>
      <c r="L22" s="7"/>
      <c r="M22" s="7"/>
      <c r="N22" s="7"/>
      <c r="O22" s="7"/>
    </row>
    <row r="23" ht="15.75" customHeight="1">
      <c r="A23" s="7"/>
      <c r="B23" s="7"/>
      <c r="C23" s="7"/>
      <c r="D23" s="7"/>
      <c r="E23" s="7"/>
      <c r="F23" s="7"/>
      <c r="G23" s="7"/>
      <c r="H23" s="7"/>
      <c r="I23" s="7"/>
      <c r="J23" s="7"/>
      <c r="K23" s="7"/>
      <c r="L23" s="7"/>
      <c r="M23" s="7"/>
      <c r="N23" s="7"/>
      <c r="O23" s="7"/>
    </row>
    <row r="24" ht="15.75" customHeight="1">
      <c r="A24" s="7"/>
      <c r="B24" s="7"/>
      <c r="C24" s="7"/>
      <c r="D24" s="7"/>
      <c r="E24" s="7"/>
      <c r="F24" s="7"/>
      <c r="G24" s="7"/>
      <c r="H24" s="7"/>
      <c r="I24" s="7"/>
      <c r="J24" s="7"/>
      <c r="K24" s="7"/>
      <c r="L24" s="7"/>
      <c r="M24" s="7"/>
      <c r="N24" s="7"/>
      <c r="O24" s="7"/>
    </row>
    <row r="25" ht="15.75" customHeight="1">
      <c r="A25" s="7"/>
      <c r="B25" s="7"/>
      <c r="C25" s="7"/>
      <c r="D25" s="7"/>
      <c r="E25" s="7"/>
      <c r="F25" s="7"/>
      <c r="G25" s="7"/>
      <c r="H25" s="7"/>
      <c r="I25" s="7"/>
      <c r="J25" s="7"/>
      <c r="K25" s="7"/>
      <c r="L25" s="7"/>
      <c r="M25" s="7"/>
      <c r="N25" s="7"/>
      <c r="O25" s="7"/>
    </row>
    <row r="26" ht="15.75" customHeight="1">
      <c r="A26" s="7"/>
      <c r="B26" s="7"/>
      <c r="C26" s="7"/>
      <c r="D26" s="7"/>
      <c r="E26" s="7"/>
      <c r="F26" s="7"/>
      <c r="G26" s="7"/>
      <c r="H26" s="7"/>
      <c r="I26" s="7"/>
      <c r="J26" s="7"/>
      <c r="K26" s="7"/>
      <c r="L26" s="7"/>
      <c r="M26" s="7"/>
      <c r="N26" s="7"/>
      <c r="O26" s="7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GetDataClosing!$4:$4</formula1>
    </dataValidation>
    <dataValidation type="list" allowBlank="1" showInputMessage="1" showErrorMessage="1" prompt="Choose a format for current sheet" sqref="G3">
      <formula1>"Input Format,Output Format"</formula1>
    </dataValidation>
  </dataValidations>
  <drawing r:id="rId1"/>
</worksheet>
</file>

<file path=xl/worksheets/sheet1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7"/>
      <c r="B1" s="2" t="s">
        <v>11</v>
      </c>
      <c r="C1" s="3"/>
      <c r="D1" s="3"/>
      <c r="E1" s="3"/>
      <c r="F1" s="3"/>
      <c r="G1" s="3"/>
      <c r="H1" s="5"/>
      <c r="I1" s="17"/>
      <c r="J1" s="17"/>
      <c r="K1" s="17"/>
      <c r="L1" s="17"/>
      <c r="M1" s="17"/>
      <c r="N1" s="17"/>
      <c r="O1" s="17"/>
      <c r="P1" s="18"/>
      <c r="Q1" s="18"/>
      <c r="R1" s="18"/>
      <c r="S1" s="18"/>
      <c r="T1" s="18"/>
      <c r="U1" s="18"/>
      <c r="V1" s="18"/>
      <c r="W1" s="18"/>
      <c r="X1" s="18"/>
      <c r="Y1" s="18"/>
      <c r="Z1" s="18"/>
      <c r="AA1" s="18"/>
      <c r="AB1" s="18"/>
      <c r="AC1" s="18"/>
      <c r="AD1" s="18"/>
      <c r="AE1" s="18"/>
      <c r="AF1" s="18"/>
      <c r="AG1" s="18"/>
      <c r="AH1" s="18"/>
      <c r="AI1" s="18"/>
      <c r="AJ1" s="18"/>
      <c r="AK1" s="18"/>
      <c r="AL1" s="18"/>
      <c r="AM1" s="18"/>
      <c r="AN1" s="18"/>
      <c r="AO1" s="18"/>
      <c r="AP1" s="18"/>
      <c r="AQ1" s="18"/>
      <c r="AR1" s="18"/>
      <c r="AS1" s="18"/>
      <c r="AT1" s="18"/>
      <c r="AU1" s="18"/>
      <c r="AV1" s="18"/>
      <c r="AW1" s="18"/>
      <c r="AX1" s="18"/>
      <c r="AY1" s="18"/>
      <c r="AZ1" s="18"/>
      <c r="BA1" s="18"/>
      <c r="BB1" s="18"/>
      <c r="BC1" s="18"/>
      <c r="BD1" s="18"/>
      <c r="BE1" s="18"/>
      <c r="BF1" s="18"/>
      <c r="BG1" s="18"/>
      <c r="BH1" s="18"/>
      <c r="BI1" s="18"/>
      <c r="BJ1" s="18"/>
      <c r="BK1" s="18"/>
      <c r="BL1" s="18"/>
      <c r="BM1" s="18"/>
      <c r="BN1" s="18"/>
      <c r="BO1" s="18"/>
      <c r="BP1" s="18"/>
      <c r="BQ1" s="18"/>
      <c r="BR1" s="18"/>
      <c r="BS1" s="18"/>
      <c r="BT1" s="18"/>
      <c r="BU1" s="18"/>
      <c r="BV1" s="18"/>
      <c r="BW1" s="18"/>
      <c r="BX1" s="18"/>
      <c r="BY1" s="18"/>
      <c r="BZ1" s="18"/>
      <c r="CA1" s="18"/>
      <c r="CB1" s="18"/>
      <c r="CC1" s="18"/>
      <c r="CD1" s="18"/>
      <c r="CE1" s="18"/>
      <c r="CF1" s="18"/>
      <c r="CG1" s="18"/>
      <c r="CH1" s="18"/>
      <c r="CI1" s="18"/>
      <c r="CJ1" s="18"/>
      <c r="CK1" s="18"/>
      <c r="CL1" s="18"/>
      <c r="CM1" s="18"/>
      <c r="CN1" s="18"/>
      <c r="CO1" s="18"/>
      <c r="CP1" s="18"/>
      <c r="CQ1" s="18"/>
      <c r="CR1" s="18"/>
      <c r="CS1" s="18"/>
      <c r="CT1" s="18"/>
      <c r="CU1" s="18"/>
      <c r="CV1" s="18"/>
      <c r="CW1" s="18"/>
      <c r="CX1" s="18"/>
      <c r="CY1" s="18"/>
      <c r="CZ1" s="18"/>
      <c r="DA1" s="18"/>
      <c r="DB1" s="18"/>
      <c r="DC1" s="18"/>
      <c r="DD1" s="18"/>
      <c r="DE1" s="18"/>
      <c r="DF1" s="18"/>
      <c r="DG1" s="18"/>
      <c r="DH1" s="18"/>
      <c r="DI1" s="18"/>
      <c r="DJ1" s="18"/>
      <c r="DK1" s="18"/>
      <c r="DL1" s="18"/>
      <c r="DM1" s="18"/>
      <c r="DN1" s="18"/>
      <c r="DO1" s="18"/>
      <c r="DP1" s="18"/>
      <c r="DQ1" s="18"/>
      <c r="DR1" s="18"/>
      <c r="DS1" s="18"/>
      <c r="DT1" s="18"/>
      <c r="DU1" s="18"/>
      <c r="DV1" s="18"/>
      <c r="DW1" s="18"/>
      <c r="DX1" s="18"/>
      <c r="DY1" s="18"/>
      <c r="DZ1" s="18"/>
      <c r="EA1" s="18"/>
      <c r="EB1" s="18"/>
      <c r="EC1" s="18"/>
      <c r="ED1" s="18"/>
      <c r="EE1" s="18"/>
      <c r="EF1" s="18"/>
      <c r="EG1" s="18"/>
      <c r="EH1" s="18"/>
      <c r="EI1" s="18"/>
      <c r="EJ1" s="18"/>
      <c r="EK1" s="18"/>
      <c r="EL1" s="18"/>
      <c r="EM1" s="18"/>
      <c r="EN1" s="18"/>
      <c r="EO1" s="18"/>
      <c r="EP1" s="18"/>
      <c r="EQ1" s="18"/>
      <c r="ER1" s="18"/>
      <c r="ES1" s="18"/>
      <c r="ET1" s="18"/>
      <c r="EU1" s="18"/>
      <c r="EV1" s="18"/>
      <c r="EW1" s="18"/>
      <c r="EX1" s="18"/>
    </row>
    <row r="2" ht="15.75" customHeight="1">
      <c r="A2" s="7"/>
      <c r="B2" s="7"/>
      <c r="C2" s="7"/>
      <c r="D2" s="7"/>
      <c r="E2" s="7"/>
      <c r="F2" s="7"/>
      <c r="G2" s="7"/>
      <c r="H2" s="7"/>
      <c r="I2" s="7"/>
      <c r="J2" s="19" t="str">
        <f> VLOOKUP($E$3,'_MasterData'!B4:D1000,3,FALSE)</f>
        <v>#N/A</v>
      </c>
      <c r="K2" s="19"/>
      <c r="L2" s="7"/>
      <c r="M2" s="7"/>
      <c r="N2" s="7"/>
      <c r="O2" s="7"/>
    </row>
    <row r="3" ht="15.75" customHeight="1">
      <c r="A3" s="20"/>
      <c r="B3" s="9" t="s">
        <v>3</v>
      </c>
      <c r="C3" s="21" t="s">
        <v>35</v>
      </c>
      <c r="D3" s="9" t="s">
        <v>6</v>
      </c>
      <c r="E3" s="21" t="s">
        <v>36</v>
      </c>
      <c r="F3" s="9" t="s">
        <v>15</v>
      </c>
      <c r="G3" s="16" t="s">
        <v>17</v>
      </c>
      <c r="H3" s="9"/>
      <c r="I3" s="20"/>
      <c r="J3" s="20"/>
      <c r="K3" s="20"/>
      <c r="L3" s="20"/>
      <c r="M3" s="20"/>
      <c r="N3" s="20"/>
      <c r="O3" s="20"/>
      <c r="P3" s="22"/>
      <c r="Q3" s="22"/>
      <c r="R3" s="22"/>
      <c r="S3" s="22"/>
      <c r="T3" s="22"/>
      <c r="U3" s="22"/>
      <c r="V3" s="22"/>
      <c r="W3" s="22"/>
      <c r="X3" s="22"/>
      <c r="Y3" s="22"/>
      <c r="Z3" s="22"/>
      <c r="AA3" s="22"/>
      <c r="AB3" s="22"/>
      <c r="AC3" s="22"/>
      <c r="AD3" s="22"/>
      <c r="AE3" s="22"/>
      <c r="AF3" s="22"/>
      <c r="AG3" s="22"/>
      <c r="AH3" s="22"/>
      <c r="AI3" s="22"/>
      <c r="AJ3" s="22"/>
      <c r="AK3" s="22"/>
      <c r="AL3" s="22"/>
      <c r="AM3" s="22"/>
      <c r="AN3" s="22"/>
      <c r="AO3" s="22"/>
      <c r="AP3" s="22"/>
      <c r="AQ3" s="22"/>
      <c r="AR3" s="22"/>
      <c r="AS3" s="22"/>
      <c r="AT3" s="22"/>
      <c r="AU3" s="22"/>
      <c r="AV3" s="22"/>
      <c r="AW3" s="22"/>
      <c r="AX3" s="22"/>
      <c r="AY3" s="22"/>
      <c r="AZ3" s="22"/>
      <c r="BA3" s="22"/>
      <c r="BB3" s="22"/>
      <c r="BC3" s="22"/>
      <c r="BD3" s="22"/>
      <c r="BE3" s="22"/>
      <c r="BF3" s="22"/>
      <c r="BG3" s="22"/>
      <c r="BH3" s="22"/>
      <c r="BI3" s="22"/>
      <c r="BJ3" s="22"/>
      <c r="BK3" s="22"/>
      <c r="BL3" s="22"/>
      <c r="BM3" s="22"/>
      <c r="BN3" s="22"/>
      <c r="BO3" s="22"/>
      <c r="BP3" s="22"/>
      <c r="BQ3" s="22"/>
      <c r="BR3" s="22"/>
      <c r="BS3" s="22"/>
      <c r="BT3" s="22"/>
      <c r="BU3" s="22"/>
      <c r="BV3" s="22"/>
      <c r="BW3" s="22"/>
      <c r="BX3" s="22"/>
      <c r="BY3" s="22"/>
      <c r="BZ3" s="22"/>
      <c r="CA3" s="22"/>
      <c r="CB3" s="22"/>
      <c r="CC3" s="22"/>
      <c r="CD3" s="22"/>
      <c r="CE3" s="22"/>
      <c r="CF3" s="22"/>
      <c r="CG3" s="22"/>
      <c r="CH3" s="22"/>
      <c r="CI3" s="22"/>
      <c r="CJ3" s="22"/>
      <c r="CK3" s="22"/>
      <c r="CL3" s="22"/>
      <c r="CM3" s="22"/>
      <c r="CN3" s="22"/>
      <c r="CO3" s="22"/>
      <c r="CP3" s="22"/>
      <c r="CQ3" s="22"/>
      <c r="CR3" s="22"/>
      <c r="CS3" s="22"/>
      <c r="CT3" s="22"/>
      <c r="CU3" s="22"/>
      <c r="CV3" s="22"/>
      <c r="CW3" s="22"/>
      <c r="CX3" s="22"/>
      <c r="CY3" s="22"/>
      <c r="CZ3" s="22"/>
      <c r="DA3" s="22"/>
      <c r="DB3" s="22"/>
      <c r="DC3" s="22"/>
      <c r="DD3" s="22"/>
      <c r="DE3" s="22"/>
      <c r="DF3" s="22"/>
      <c r="DG3" s="22"/>
      <c r="DH3" s="22"/>
      <c r="DI3" s="22"/>
      <c r="DJ3" s="22"/>
      <c r="DK3" s="22"/>
      <c r="DL3" s="22"/>
      <c r="DM3" s="22"/>
      <c r="DN3" s="22"/>
      <c r="DO3" s="22"/>
      <c r="DP3" s="22"/>
      <c r="DQ3" s="22"/>
      <c r="DR3" s="22"/>
      <c r="DS3" s="22"/>
      <c r="DT3" s="22"/>
      <c r="DU3" s="22"/>
      <c r="DV3" s="22"/>
      <c r="DW3" s="22"/>
      <c r="DX3" s="22"/>
      <c r="DY3" s="22"/>
      <c r="DZ3" s="22"/>
      <c r="EA3" s="22"/>
      <c r="EB3" s="22"/>
      <c r="EC3" s="22"/>
      <c r="ED3" s="22"/>
      <c r="EE3" s="22"/>
      <c r="EF3" s="22"/>
      <c r="EG3" s="22"/>
      <c r="EH3" s="22"/>
      <c r="EI3" s="22"/>
      <c r="EJ3" s="22"/>
      <c r="EK3" s="22"/>
      <c r="EL3" s="22"/>
      <c r="EM3" s="22"/>
      <c r="EN3" s="22"/>
      <c r="EO3" s="22"/>
      <c r="EP3" s="22"/>
      <c r="EQ3" s="22"/>
      <c r="ER3" s="22"/>
      <c r="ES3" s="22"/>
      <c r="ET3" s="22"/>
      <c r="EU3" s="22"/>
      <c r="EV3" s="22"/>
      <c r="EW3" s="22"/>
      <c r="EX3" s="22"/>
    </row>
    <row r="4" ht="15.75" customHeight="1">
      <c r="A4" s="23"/>
      <c r="B4" s="23" t="str">
        <f>IFERROR(__xludf.DUMMYFUNCTION("IF(C3="""","""",Transpose(IMPORTRANGE('_Settings'!$B$3,C3&amp;""!A4:A1000"")))"),"SwapExpire")</f>
        <v>SwapExpire</v>
      </c>
      <c r="C4" s="23" t="str">
        <f>IFERROR(__xludf.DUMMYFUNCTION("""COMPUTED_VALUE"""),"GetDataClosing")</f>
        <v>GetDataClosing</v>
      </c>
      <c r="D4" s="23" t="str">
        <f>IFERROR(__xludf.DUMMYFUNCTION("""COMPUTED_VALUE"""),"ManualClosing")</f>
        <v>ManualClosing</v>
      </c>
      <c r="E4" s="23" t="str">
        <f>IFERROR(__xludf.DUMMYFUNCTION("""COMPUTED_VALUE"""),"AutomaticClosing")</f>
        <v>AutomaticClosing</v>
      </c>
      <c r="F4" s="23" t="str">
        <f>IFERROR(__xludf.DUMMYFUNCTION("""COMPUTED_VALUE"""),"UnwindClosing")</f>
        <v>UnwindClosing</v>
      </c>
      <c r="G4" s="23" t="str">
        <f>IFERROR(__xludf.DUMMYFUNCTION("""COMPUTED_VALUE"""),"VerifyClosedTrades")</f>
        <v>VerifyClosedTrades</v>
      </c>
      <c r="H4" s="23" t="str">
        <f>IFERROR(__xludf.DUMMYFUNCTION("""COMPUTED_VALUE"""),"VerifyLongPositionsGrid")</f>
        <v>VerifyLongPositionsGrid</v>
      </c>
      <c r="I4" s="23" t="str">
        <f>IFERROR(__xludf.DUMMYFUNCTION("""COMPUTED_VALUE"""),"VerifyShortPositionsGrid")</f>
        <v>VerifyShortPositionsGrid</v>
      </c>
      <c r="J4" s="23" t="str">
        <f>IFERROR(__xludf.DUMMYFUNCTION("""COMPUTED_VALUE"""),"SelectTradeUnexpiredUnsettled")</f>
        <v>SelectTradeUnexpiredUnsettled</v>
      </c>
      <c r="K4" s="23" t="str">
        <f>IFERROR(__xludf.DUMMYFUNCTION("""COMPUTED_VALUE"""),"CashSettlementAtCost")</f>
        <v>CashSettlementAtCost</v>
      </c>
      <c r="L4" s="23" t="str">
        <f>IFERROR(__xludf.DUMMYFUNCTION("""COMPUTED_VALUE"""),"CashSettlementAtZeroPrice")</f>
        <v>CashSettlementAtZeroPrice</v>
      </c>
      <c r="M4" s="23" t="str">
        <f>IFERROR(__xludf.DUMMYFUNCTION("""COMPUTED_VALUE"""),"CashSettlementAtClosingDtSpotPx")</f>
        <v>CashSettlementAtClosingDtSpotPx</v>
      </c>
      <c r="N4" s="23" t="str">
        <f>IFERROR(__xludf.DUMMYFUNCTION("""COMPUTED_VALUE"""),"PhysicalSettlement")</f>
        <v>PhysicalSettlement</v>
      </c>
      <c r="O4" s="23" t="str">
        <f>IFERROR(__xludf.DUMMYFUNCTION("""COMPUTED_VALUE"""),"Expire")</f>
        <v>Expire</v>
      </c>
      <c r="P4" s="24" t="str">
        <f>IFERROR(__xludf.DUMMYFUNCTION("""COMPUTED_VALUE"""),"ExerciseAssignment")</f>
        <v>ExerciseAssignment</v>
      </c>
      <c r="Q4" s="24" t="str">
        <f>IFERROR(__xludf.DUMMYFUNCTION("""COMPUTED_VALUE"""),"ExerciseAssignmentAtZero")</f>
        <v>ExerciseAssignmentAtZero</v>
      </c>
      <c r="R4" s="24" t="str">
        <f>IFERROR(__xludf.DUMMYFUNCTION("""COMPUTED_VALUE"""),"SwapExpireAndRollover")</f>
        <v>SwapExpireAndRollover</v>
      </c>
      <c r="S4" s="24" t="str">
        <f>IFERROR(__xludf.DUMMYFUNCTION("""COMPUTED_VALUE"""),"SwapExpire")</f>
        <v>SwapExpire</v>
      </c>
      <c r="T4" s="24" t="str">
        <f>IFERROR(__xludf.DUMMYFUNCTION("""COMPUTED_VALUE"""),"VerifyExpiredSettledGrid")</f>
        <v>VerifyExpiredSettledGrid</v>
      </c>
      <c r="U4" s="24" t="str">
        <f>IFERROR(__xludf.DUMMYFUNCTION("""COMPUTED_VALUE"""),"VerifyUnExpiredUnSettledGrid")</f>
        <v>VerifyUnExpiredUnSettledGrid</v>
      </c>
      <c r="V4" s="24" t="str">
        <f>IFERROR(__xludf.DUMMYFUNCTION("""COMPUTED_VALUE"""),"UnWindTradeSettlement")</f>
        <v>UnWindTradeSettlement</v>
      </c>
      <c r="W4" s="24" t="str">
        <f>IFERROR(__xludf.DUMMYFUNCTION("""COMPUTED_VALUE"""),"CloseOrder")</f>
        <v>CloseOrder</v>
      </c>
      <c r="X4" s="24" t="str">
        <f>IFERROR(__xludf.DUMMYFUNCTION("""COMPUTED_VALUE"""),"VerifyCloseOrder")</f>
        <v>VerifyCloseOrder</v>
      </c>
      <c r="Y4" s="24" t="str">
        <f>IFERROR(__xludf.DUMMYFUNCTION("""COMPUTED_VALUE"""),"UnWindCloseOrder")</f>
        <v>UnWindCloseOrder</v>
      </c>
      <c r="Z4" s="24" t="str">
        <f>IFERROR(__xludf.DUMMYFUNCTION("""COMPUTED_VALUE"""),"ClosingCleanUp")</f>
        <v>ClosingCleanUp</v>
      </c>
      <c r="AA4" s="24" t="str">
        <f>IFERROR(__xludf.DUMMYFUNCTION("""COMPUTED_VALUE"""),"CloseClosingUI")</f>
        <v>CloseClosingUI</v>
      </c>
      <c r="AB4" s="24" t="str">
        <f>IFERROR(__xludf.DUMMYFUNCTION("""COMPUTED_VALUE"""),"SetClosingPreference")</f>
        <v>SetClosingPreference</v>
      </c>
      <c r="AC4" s="24" t="str">
        <f>IFERROR(__xludf.DUMMYFUNCTION("""COMPUTED_VALUE"""),"EditTradeUnexpiredUnsettled")</f>
        <v>EditTradeUnexpiredUnsettled</v>
      </c>
      <c r="AD4" s="24" t="str">
        <f>IFERROR(__xludf.DUMMYFUNCTION("""COMPUTED_VALUE"""),"")</f>
        <v/>
      </c>
      <c r="AE4" s="24" t="str">
        <f>IFERROR(__xludf.DUMMYFUNCTION("""COMPUTED_VALUE"""),"")</f>
        <v/>
      </c>
      <c r="AF4" s="24" t="str">
        <f>IFERROR(__xludf.DUMMYFUNCTION("""COMPUTED_VALUE"""),"")</f>
        <v/>
      </c>
      <c r="AG4" s="24" t="str">
        <f>IFERROR(__xludf.DUMMYFUNCTION("""COMPUTED_VALUE"""),"")</f>
        <v/>
      </c>
      <c r="AH4" s="24" t="str">
        <f>IFERROR(__xludf.DUMMYFUNCTION("""COMPUTED_VALUE"""),"")</f>
        <v/>
      </c>
      <c r="AI4" s="24" t="str">
        <f>IFERROR(__xludf.DUMMYFUNCTION("""COMPUTED_VALUE"""),"")</f>
        <v/>
      </c>
      <c r="AJ4" s="24" t="str">
        <f>IFERROR(__xludf.DUMMYFUNCTION("""COMPUTED_VALUE"""),"")</f>
        <v/>
      </c>
      <c r="AK4" s="24" t="str">
        <f>IFERROR(__xludf.DUMMYFUNCTION("""COMPUTED_VALUE"""),"")</f>
        <v/>
      </c>
      <c r="AL4" s="24" t="str">
        <f>IFERROR(__xludf.DUMMYFUNCTION("""COMPUTED_VALUE"""),"")</f>
        <v/>
      </c>
      <c r="AM4" s="24" t="str">
        <f>IFERROR(__xludf.DUMMYFUNCTION("""COMPUTED_VALUE"""),"")</f>
        <v/>
      </c>
      <c r="AN4" s="24" t="str">
        <f>IFERROR(__xludf.DUMMYFUNCTION("""COMPUTED_VALUE"""),"")</f>
        <v/>
      </c>
      <c r="AO4" s="24" t="str">
        <f>IFERROR(__xludf.DUMMYFUNCTION("""COMPUTED_VALUE"""),"")</f>
        <v/>
      </c>
      <c r="AP4" s="24" t="str">
        <f>IFERROR(__xludf.DUMMYFUNCTION("""COMPUTED_VALUE"""),"")</f>
        <v/>
      </c>
      <c r="AQ4" s="24" t="str">
        <f>IFERROR(__xludf.DUMMYFUNCTION("""COMPUTED_VALUE"""),"")</f>
        <v/>
      </c>
      <c r="AR4" s="24" t="str">
        <f>IFERROR(__xludf.DUMMYFUNCTION("""COMPUTED_VALUE"""),"")</f>
        <v/>
      </c>
      <c r="AS4" s="24" t="str">
        <f>IFERROR(__xludf.DUMMYFUNCTION("""COMPUTED_VALUE"""),"")</f>
        <v/>
      </c>
      <c r="AT4" s="24" t="str">
        <f>IFERROR(__xludf.DUMMYFUNCTION("""COMPUTED_VALUE"""),"")</f>
        <v/>
      </c>
      <c r="AU4" s="24" t="str">
        <f>IFERROR(__xludf.DUMMYFUNCTION("""COMPUTED_VALUE"""),"")</f>
        <v/>
      </c>
      <c r="AV4" s="24" t="str">
        <f>IFERROR(__xludf.DUMMYFUNCTION("""COMPUTED_VALUE"""),"")</f>
        <v/>
      </c>
      <c r="AW4" s="24" t="str">
        <f>IFERROR(__xludf.DUMMYFUNCTION("""COMPUTED_VALUE"""),"")</f>
        <v/>
      </c>
      <c r="AX4" s="24" t="str">
        <f>IFERROR(__xludf.DUMMYFUNCTION("""COMPUTED_VALUE"""),"")</f>
        <v/>
      </c>
      <c r="AY4" s="24" t="str">
        <f>IFERROR(__xludf.DUMMYFUNCTION("""COMPUTED_VALUE"""),"")</f>
        <v/>
      </c>
      <c r="AZ4" s="24" t="str">
        <f>IFERROR(__xludf.DUMMYFUNCTION("""COMPUTED_VALUE"""),"")</f>
        <v/>
      </c>
      <c r="BA4" s="24" t="str">
        <f>IFERROR(__xludf.DUMMYFUNCTION("""COMPUTED_VALUE"""),"")</f>
        <v/>
      </c>
      <c r="BB4" s="24" t="str">
        <f>IFERROR(__xludf.DUMMYFUNCTION("""COMPUTED_VALUE"""),"")</f>
        <v/>
      </c>
      <c r="BC4" s="24" t="str">
        <f>IFERROR(__xludf.DUMMYFUNCTION("""COMPUTED_VALUE"""),"")</f>
        <v/>
      </c>
      <c r="BD4" s="24" t="str">
        <f>IFERROR(__xludf.DUMMYFUNCTION("""COMPUTED_VALUE"""),"")</f>
        <v/>
      </c>
      <c r="BE4" s="24" t="str">
        <f>IFERROR(__xludf.DUMMYFUNCTION("""COMPUTED_VALUE"""),"")</f>
        <v/>
      </c>
      <c r="BF4" s="24" t="str">
        <f>IFERROR(__xludf.DUMMYFUNCTION("""COMPUTED_VALUE"""),"")</f>
        <v/>
      </c>
      <c r="BG4" s="24" t="str">
        <f>IFERROR(__xludf.DUMMYFUNCTION("""COMPUTED_VALUE"""),"")</f>
        <v/>
      </c>
      <c r="BH4" s="24" t="str">
        <f>IFERROR(__xludf.DUMMYFUNCTION("""COMPUTED_VALUE"""),"")</f>
        <v/>
      </c>
      <c r="BI4" s="24" t="str">
        <f>IFERROR(__xludf.DUMMYFUNCTION("""COMPUTED_VALUE"""),"")</f>
        <v/>
      </c>
      <c r="BJ4" s="24" t="str">
        <f>IFERROR(__xludf.DUMMYFUNCTION("""COMPUTED_VALUE"""),"")</f>
        <v/>
      </c>
      <c r="BK4" s="24" t="str">
        <f>IFERROR(__xludf.DUMMYFUNCTION("""COMPUTED_VALUE"""),"")</f>
        <v/>
      </c>
      <c r="BL4" s="24" t="str">
        <f>IFERROR(__xludf.DUMMYFUNCTION("""COMPUTED_VALUE"""),"")</f>
        <v/>
      </c>
      <c r="BM4" s="24" t="str">
        <f>IFERROR(__xludf.DUMMYFUNCTION("""COMPUTED_VALUE"""),"")</f>
        <v/>
      </c>
      <c r="BN4" s="24" t="str">
        <f>IFERROR(__xludf.DUMMYFUNCTION("""COMPUTED_VALUE"""),"")</f>
        <v/>
      </c>
      <c r="BO4" s="24" t="str">
        <f>IFERROR(__xludf.DUMMYFUNCTION("""COMPUTED_VALUE"""),"")</f>
        <v/>
      </c>
      <c r="BP4" s="24" t="str">
        <f>IFERROR(__xludf.DUMMYFUNCTION("""COMPUTED_VALUE"""),"")</f>
        <v/>
      </c>
      <c r="BQ4" s="24" t="str">
        <f>IFERROR(__xludf.DUMMYFUNCTION("""COMPUTED_VALUE"""),"")</f>
        <v/>
      </c>
      <c r="BR4" s="24" t="str">
        <f>IFERROR(__xludf.DUMMYFUNCTION("""COMPUTED_VALUE"""),"")</f>
        <v/>
      </c>
      <c r="BS4" s="24" t="str">
        <f>IFERROR(__xludf.DUMMYFUNCTION("""COMPUTED_VALUE"""),"")</f>
        <v/>
      </c>
      <c r="BT4" s="24" t="str">
        <f>IFERROR(__xludf.DUMMYFUNCTION("""COMPUTED_VALUE"""),"")</f>
        <v/>
      </c>
      <c r="BU4" s="24" t="str">
        <f>IFERROR(__xludf.DUMMYFUNCTION("""COMPUTED_VALUE"""),"")</f>
        <v/>
      </c>
      <c r="BV4" s="24" t="str">
        <f>IFERROR(__xludf.DUMMYFUNCTION("""COMPUTED_VALUE"""),"")</f>
        <v/>
      </c>
      <c r="BW4" s="24" t="str">
        <f>IFERROR(__xludf.DUMMYFUNCTION("""COMPUTED_VALUE"""),"")</f>
        <v/>
      </c>
      <c r="BX4" s="24" t="str">
        <f>IFERROR(__xludf.DUMMYFUNCTION("""COMPUTED_VALUE"""),"")</f>
        <v/>
      </c>
      <c r="BY4" s="24" t="str">
        <f>IFERROR(__xludf.DUMMYFUNCTION("""COMPUTED_VALUE"""),"")</f>
        <v/>
      </c>
      <c r="BZ4" s="24" t="str">
        <f>IFERROR(__xludf.DUMMYFUNCTION("""COMPUTED_VALUE"""),"")</f>
        <v/>
      </c>
      <c r="CA4" s="24" t="str">
        <f>IFERROR(__xludf.DUMMYFUNCTION("""COMPUTED_VALUE"""),"")</f>
        <v/>
      </c>
      <c r="CB4" s="24" t="str">
        <f>IFERROR(__xludf.DUMMYFUNCTION("""COMPUTED_VALUE"""),"")</f>
        <v/>
      </c>
      <c r="CC4" s="24" t="str">
        <f>IFERROR(__xludf.DUMMYFUNCTION("""COMPUTED_VALUE"""),"")</f>
        <v/>
      </c>
      <c r="CD4" s="24" t="str">
        <f>IFERROR(__xludf.DUMMYFUNCTION("""COMPUTED_VALUE"""),"")</f>
        <v/>
      </c>
      <c r="CE4" s="24" t="str">
        <f>IFERROR(__xludf.DUMMYFUNCTION("""COMPUTED_VALUE"""),"")</f>
        <v/>
      </c>
      <c r="CF4" s="24" t="str">
        <f>IFERROR(__xludf.DUMMYFUNCTION("""COMPUTED_VALUE"""),"")</f>
        <v/>
      </c>
      <c r="CG4" s="24" t="str">
        <f>IFERROR(__xludf.DUMMYFUNCTION("""COMPUTED_VALUE"""),"")</f>
        <v/>
      </c>
      <c r="CH4" s="24" t="str">
        <f>IFERROR(__xludf.DUMMYFUNCTION("""COMPUTED_VALUE"""),"")</f>
        <v/>
      </c>
      <c r="CI4" s="24" t="str">
        <f>IFERROR(__xludf.DUMMYFUNCTION("""COMPUTED_VALUE"""),"")</f>
        <v/>
      </c>
      <c r="CJ4" s="24" t="str">
        <f>IFERROR(__xludf.DUMMYFUNCTION("""COMPUTED_VALUE"""),"")</f>
        <v/>
      </c>
      <c r="CK4" s="24" t="str">
        <f>IFERROR(__xludf.DUMMYFUNCTION("""COMPUTED_VALUE"""),"")</f>
        <v/>
      </c>
      <c r="CL4" s="24" t="str">
        <f>IFERROR(__xludf.DUMMYFUNCTION("""COMPUTED_VALUE"""),"")</f>
        <v/>
      </c>
      <c r="CM4" s="24" t="str">
        <f>IFERROR(__xludf.DUMMYFUNCTION("""COMPUTED_VALUE"""),"")</f>
        <v/>
      </c>
      <c r="CN4" s="24" t="str">
        <f>IFERROR(__xludf.DUMMYFUNCTION("""COMPUTED_VALUE"""),"")</f>
        <v/>
      </c>
      <c r="CO4" s="24" t="str">
        <f>IFERROR(__xludf.DUMMYFUNCTION("""COMPUTED_VALUE"""),"")</f>
        <v/>
      </c>
      <c r="CP4" s="24" t="str">
        <f>IFERROR(__xludf.DUMMYFUNCTION("""COMPUTED_VALUE"""),"")</f>
        <v/>
      </c>
      <c r="CQ4" s="24" t="str">
        <f>IFERROR(__xludf.DUMMYFUNCTION("""COMPUTED_VALUE"""),"")</f>
        <v/>
      </c>
      <c r="CR4" s="24" t="str">
        <f>IFERROR(__xludf.DUMMYFUNCTION("""COMPUTED_VALUE"""),"")</f>
        <v/>
      </c>
      <c r="CS4" s="24" t="str">
        <f>IFERROR(__xludf.DUMMYFUNCTION("""COMPUTED_VALUE"""),"")</f>
        <v/>
      </c>
      <c r="CT4" s="24" t="str">
        <f>IFERROR(__xludf.DUMMYFUNCTION("""COMPUTED_VALUE"""),"")</f>
        <v/>
      </c>
      <c r="CU4" s="24" t="str">
        <f>IFERROR(__xludf.DUMMYFUNCTION("""COMPUTED_VALUE"""),"")</f>
        <v/>
      </c>
      <c r="CV4" s="24" t="str">
        <f>IFERROR(__xludf.DUMMYFUNCTION("""COMPUTED_VALUE"""),"")</f>
        <v/>
      </c>
      <c r="CW4" s="24" t="str">
        <f>IFERROR(__xludf.DUMMYFUNCTION("""COMPUTED_VALUE"""),"")</f>
        <v/>
      </c>
      <c r="CX4" s="24" t="str">
        <f>IFERROR(__xludf.DUMMYFUNCTION("""COMPUTED_VALUE"""),"")</f>
        <v/>
      </c>
      <c r="CY4" s="24" t="str">
        <f>IFERROR(__xludf.DUMMYFUNCTION("""COMPUTED_VALUE"""),"")</f>
        <v/>
      </c>
      <c r="CZ4" s="24" t="str">
        <f>IFERROR(__xludf.DUMMYFUNCTION("""COMPUTED_VALUE"""),"")</f>
        <v/>
      </c>
      <c r="DA4" s="24" t="str">
        <f>IFERROR(__xludf.DUMMYFUNCTION("""COMPUTED_VALUE"""),"")</f>
        <v/>
      </c>
      <c r="DB4" s="24" t="str">
        <f>IFERROR(__xludf.DUMMYFUNCTION("""COMPUTED_VALUE"""),"")</f>
        <v/>
      </c>
      <c r="DC4" s="24" t="str">
        <f>IFERROR(__xludf.DUMMYFUNCTION("""COMPUTED_VALUE"""),"")</f>
        <v/>
      </c>
      <c r="DD4" s="24" t="str">
        <f>IFERROR(__xludf.DUMMYFUNCTION("""COMPUTED_VALUE"""),"")</f>
        <v/>
      </c>
      <c r="DE4" s="24" t="str">
        <f>IFERROR(__xludf.DUMMYFUNCTION("""COMPUTED_VALUE"""),"")</f>
        <v/>
      </c>
      <c r="DF4" s="24" t="str">
        <f>IFERROR(__xludf.DUMMYFUNCTION("""COMPUTED_VALUE"""),"")</f>
        <v/>
      </c>
      <c r="DG4" s="24" t="str">
        <f>IFERROR(__xludf.DUMMYFUNCTION("""COMPUTED_VALUE"""),"")</f>
        <v/>
      </c>
      <c r="DH4" s="24" t="str">
        <f>IFERROR(__xludf.DUMMYFUNCTION("""COMPUTED_VALUE"""),"")</f>
        <v/>
      </c>
      <c r="DI4" s="24" t="str">
        <f>IFERROR(__xludf.DUMMYFUNCTION("""COMPUTED_VALUE"""),"")</f>
        <v/>
      </c>
      <c r="DJ4" s="24" t="str">
        <f>IFERROR(__xludf.DUMMYFUNCTION("""COMPUTED_VALUE"""),"")</f>
        <v/>
      </c>
      <c r="DK4" s="24" t="str">
        <f>IFERROR(__xludf.DUMMYFUNCTION("""COMPUTED_VALUE"""),"")</f>
        <v/>
      </c>
      <c r="DL4" s="24" t="str">
        <f>IFERROR(__xludf.DUMMYFUNCTION("""COMPUTED_VALUE"""),"")</f>
        <v/>
      </c>
      <c r="DM4" s="24" t="str">
        <f>IFERROR(__xludf.DUMMYFUNCTION("""COMPUTED_VALUE"""),"")</f>
        <v/>
      </c>
      <c r="DN4" s="24" t="str">
        <f>IFERROR(__xludf.DUMMYFUNCTION("""COMPUTED_VALUE"""),"")</f>
        <v/>
      </c>
      <c r="DO4" s="24" t="str">
        <f>IFERROR(__xludf.DUMMYFUNCTION("""COMPUTED_VALUE"""),"")</f>
        <v/>
      </c>
      <c r="DP4" s="24" t="str">
        <f>IFERROR(__xludf.DUMMYFUNCTION("""COMPUTED_VALUE"""),"")</f>
        <v/>
      </c>
      <c r="DQ4" s="24" t="str">
        <f>IFERROR(__xludf.DUMMYFUNCTION("""COMPUTED_VALUE"""),"")</f>
        <v/>
      </c>
      <c r="DR4" s="24" t="str">
        <f>IFERROR(__xludf.DUMMYFUNCTION("""COMPUTED_VALUE"""),"")</f>
        <v/>
      </c>
      <c r="DS4" s="24" t="str">
        <f>IFERROR(__xludf.DUMMYFUNCTION("""COMPUTED_VALUE"""),"")</f>
        <v/>
      </c>
      <c r="DT4" s="24" t="str">
        <f>IFERROR(__xludf.DUMMYFUNCTION("""COMPUTED_VALUE"""),"")</f>
        <v/>
      </c>
      <c r="DU4" s="24" t="str">
        <f>IFERROR(__xludf.DUMMYFUNCTION("""COMPUTED_VALUE"""),"")</f>
        <v/>
      </c>
      <c r="DV4" s="24" t="str">
        <f>IFERROR(__xludf.DUMMYFUNCTION("""COMPUTED_VALUE"""),"")</f>
        <v/>
      </c>
      <c r="DW4" s="24" t="str">
        <f>IFERROR(__xludf.DUMMYFUNCTION("""COMPUTED_VALUE"""),"")</f>
        <v/>
      </c>
      <c r="DX4" s="24" t="str">
        <f>IFERROR(__xludf.DUMMYFUNCTION("""COMPUTED_VALUE"""),"")</f>
        <v/>
      </c>
      <c r="DY4" s="24" t="str">
        <f>IFERROR(__xludf.DUMMYFUNCTION("""COMPUTED_VALUE"""),"")</f>
        <v/>
      </c>
      <c r="DZ4" s="24" t="str">
        <f>IFERROR(__xludf.DUMMYFUNCTION("""COMPUTED_VALUE"""),"")</f>
        <v/>
      </c>
      <c r="EA4" s="24" t="str">
        <f>IFERROR(__xludf.DUMMYFUNCTION("""COMPUTED_VALUE"""),"")</f>
        <v/>
      </c>
      <c r="EB4" s="24" t="str">
        <f>IFERROR(__xludf.DUMMYFUNCTION("""COMPUTED_VALUE"""),"")</f>
        <v/>
      </c>
      <c r="EC4" s="24" t="str">
        <f>IFERROR(__xludf.DUMMYFUNCTION("""COMPUTED_VALUE"""),"")</f>
        <v/>
      </c>
      <c r="ED4" s="24" t="str">
        <f>IFERROR(__xludf.DUMMYFUNCTION("""COMPUTED_VALUE"""),"")</f>
        <v/>
      </c>
      <c r="EE4" s="24" t="str">
        <f>IFERROR(__xludf.DUMMYFUNCTION("""COMPUTED_VALUE"""),"")</f>
        <v/>
      </c>
      <c r="EF4" s="24" t="str">
        <f>IFERROR(__xludf.DUMMYFUNCTION("""COMPUTED_VALUE"""),"")</f>
        <v/>
      </c>
      <c r="EG4" s="24" t="str">
        <f>IFERROR(__xludf.DUMMYFUNCTION("""COMPUTED_VALUE"""),"")</f>
        <v/>
      </c>
      <c r="EH4" s="24" t="str">
        <f>IFERROR(__xludf.DUMMYFUNCTION("""COMPUTED_VALUE"""),"")</f>
        <v/>
      </c>
      <c r="EI4" s="24" t="str">
        <f>IFERROR(__xludf.DUMMYFUNCTION("""COMPUTED_VALUE"""),"")</f>
        <v/>
      </c>
      <c r="EJ4" s="24" t="str">
        <f>IFERROR(__xludf.DUMMYFUNCTION("""COMPUTED_VALUE"""),"")</f>
        <v/>
      </c>
      <c r="EK4" s="24" t="str">
        <f>IFERROR(__xludf.DUMMYFUNCTION("""COMPUTED_VALUE"""),"")</f>
        <v/>
      </c>
      <c r="EL4" s="24" t="str">
        <f>IFERROR(__xludf.DUMMYFUNCTION("""COMPUTED_VALUE"""),"")</f>
        <v/>
      </c>
      <c r="EM4" s="24" t="str">
        <f>IFERROR(__xludf.DUMMYFUNCTION("""COMPUTED_VALUE"""),"")</f>
        <v/>
      </c>
      <c r="EN4" s="24" t="str">
        <f>IFERROR(__xludf.DUMMYFUNCTION("""COMPUTED_VALUE"""),"")</f>
        <v/>
      </c>
      <c r="EO4" s="24" t="str">
        <f>IFERROR(__xludf.DUMMYFUNCTION("""COMPUTED_VALUE"""),"")</f>
        <v/>
      </c>
      <c r="EP4" s="24" t="str">
        <f>IFERROR(__xludf.DUMMYFUNCTION("""COMPUTED_VALUE"""),"")</f>
        <v/>
      </c>
      <c r="EQ4" s="24" t="str">
        <f>IFERROR(__xludf.DUMMYFUNCTION("""COMPUTED_VALUE"""),"")</f>
        <v/>
      </c>
      <c r="ER4" s="24" t="str">
        <f>IFERROR(__xludf.DUMMYFUNCTION("""COMPUTED_VALUE"""),"")</f>
        <v/>
      </c>
      <c r="ES4" s="24" t="str">
        <f>IFERROR(__xludf.DUMMYFUNCTION("""COMPUTED_VALUE"""),"")</f>
        <v/>
      </c>
      <c r="ET4" s="24" t="str">
        <f>IFERROR(__xludf.DUMMYFUNCTION("""COMPUTED_VALUE"""),"")</f>
        <v/>
      </c>
      <c r="EU4" s="24" t="str">
        <f>IFERROR(__xludf.DUMMYFUNCTION("""COMPUTED_VALUE"""),"")</f>
        <v/>
      </c>
      <c r="EV4" s="24" t="str">
        <f>IFERROR(__xludf.DUMMYFUNCTION("""COMPUTED_VALUE"""),"")</f>
        <v/>
      </c>
      <c r="EW4" s="24" t="str">
        <f>IFERROR(__xludf.DUMMYFUNCTION("""COMPUTED_VALUE"""),"")</f>
        <v/>
      </c>
      <c r="EX4" s="24" t="str">
        <f>IFERROR(__xludf.DUMMYFUNCTION("""COMPUTED_VALUE"""),"")</f>
        <v/>
      </c>
    </row>
    <row r="5" ht="15.75" customHeight="1">
      <c r="A5" s="25" t="str">
        <f>IFERROR(__xludf.DUMMYFUNCTION("TRANSPOSE(IMPORTRANGE(VLOOKUP($E$3,IMPORTRANGE('_Settings'!$B$3,$C$3&amp;""!A4:B1000""),2,FALSE),$G$3&amp;""!A4:A1000""))"),"")</f>
        <v/>
      </c>
      <c r="B5" s="26" t="str">
        <f>IFERROR(__xludf.DUMMYFUNCTION("""COMPUTED_VALUE"""),"CloseSSw/BuyBTO ")</f>
        <v>CloseSSw/BuyBTO </v>
      </c>
      <c r="C5" s="26" t="str">
        <f>IFERROR(__xludf.DUMMYFUNCTION("""COMPUTED_VALUE"""),"AutoCloseStrategy")</f>
        <v>AutoCloseStrategy</v>
      </c>
      <c r="D5" s="26" t="str">
        <f>IFERROR(__xludf.DUMMYFUNCTION("""COMPUTED_VALUE"""),"Algorithm")</f>
        <v>Algorithm</v>
      </c>
      <c r="E5" s="26" t="str">
        <f>IFERROR(__xludf.DUMMYFUNCTION("""COMPUTED_VALUE"""),"SecondarySortCriteria")</f>
        <v>SecondarySortCriteria</v>
      </c>
      <c r="F5" s="27" t="str">
        <f>IFERROR(__xludf.DUMMYFUNCTION("""COMPUTED_VALUE"""),"ClosingField")</f>
        <v>ClosingField</v>
      </c>
      <c r="G5" s="26" t="str">
        <f>IFERROR(__xludf.DUMMYFUNCTION("""COMPUTED_VALUE"""),"")</f>
        <v/>
      </c>
      <c r="H5" s="26" t="str">
        <f>IFERROR(__xludf.DUMMYFUNCTION("""COMPUTED_VALUE"""),"")</f>
        <v/>
      </c>
      <c r="I5" s="26" t="str">
        <f>IFERROR(__xludf.DUMMYFUNCTION("""COMPUTED_VALUE"""),"")</f>
        <v/>
      </c>
      <c r="J5" s="26" t="str">
        <f>IFERROR(__xludf.DUMMYFUNCTION("""COMPUTED_VALUE"""),"")</f>
        <v/>
      </c>
      <c r="K5" s="26" t="str">
        <f>IFERROR(__xludf.DUMMYFUNCTION("""COMPUTED_VALUE"""),"")</f>
        <v/>
      </c>
      <c r="L5" s="26" t="str">
        <f>IFERROR(__xludf.DUMMYFUNCTION("""COMPUTED_VALUE"""),"")</f>
        <v/>
      </c>
      <c r="M5" s="26" t="str">
        <f>IFERROR(__xludf.DUMMYFUNCTION("""COMPUTED_VALUE"""),"")</f>
        <v/>
      </c>
      <c r="N5" s="26" t="str">
        <f>IFERROR(__xludf.DUMMYFUNCTION("""COMPUTED_VALUE"""),"")</f>
        <v/>
      </c>
      <c r="O5" s="26" t="str">
        <f>IFERROR(__xludf.DUMMYFUNCTION("""COMPUTED_VALUE"""),"")</f>
        <v/>
      </c>
      <c r="P5" s="26" t="str">
        <f>IFERROR(__xludf.DUMMYFUNCTION("""COMPUTED_VALUE"""),"")</f>
        <v/>
      </c>
      <c r="Q5" s="26" t="str">
        <f>IFERROR(__xludf.DUMMYFUNCTION("""COMPUTED_VALUE"""),"")</f>
        <v/>
      </c>
      <c r="R5" s="26" t="str">
        <f>IFERROR(__xludf.DUMMYFUNCTION("""COMPUTED_VALUE"""),"")</f>
        <v/>
      </c>
      <c r="S5" s="26" t="str">
        <f>IFERROR(__xludf.DUMMYFUNCTION("""COMPUTED_VALUE"""),"")</f>
        <v/>
      </c>
      <c r="T5" s="28" t="str">
        <f>IFERROR(__xludf.DUMMYFUNCTION("""COMPUTED_VALUE"""),"")</f>
        <v/>
      </c>
      <c r="U5" s="28" t="str">
        <f>IFERROR(__xludf.DUMMYFUNCTION("""COMPUTED_VALUE"""),"")</f>
        <v/>
      </c>
      <c r="V5" s="28" t="str">
        <f>IFERROR(__xludf.DUMMYFUNCTION("""COMPUTED_VALUE"""),"")</f>
        <v/>
      </c>
      <c r="W5" s="28" t="str">
        <f>IFERROR(__xludf.DUMMYFUNCTION("""COMPUTED_VALUE"""),"")</f>
        <v/>
      </c>
      <c r="X5" s="28" t="str">
        <f>IFERROR(__xludf.DUMMYFUNCTION("""COMPUTED_VALUE"""),"")</f>
        <v/>
      </c>
      <c r="Y5" s="28" t="str">
        <f>IFERROR(__xludf.DUMMYFUNCTION("""COMPUTED_VALUE"""),"")</f>
        <v/>
      </c>
      <c r="Z5" s="28" t="str">
        <f>IFERROR(__xludf.DUMMYFUNCTION("""COMPUTED_VALUE"""),"")</f>
        <v/>
      </c>
      <c r="AA5" s="28" t="str">
        <f>IFERROR(__xludf.DUMMYFUNCTION("""COMPUTED_VALUE"""),"")</f>
        <v/>
      </c>
      <c r="AB5" s="28" t="str">
        <f>IFERROR(__xludf.DUMMYFUNCTION("""COMPUTED_VALUE"""),"")</f>
        <v/>
      </c>
      <c r="AC5" s="28" t="str">
        <f>IFERROR(__xludf.DUMMYFUNCTION("""COMPUTED_VALUE"""),"")</f>
        <v/>
      </c>
      <c r="AD5" s="28" t="str">
        <f>IFERROR(__xludf.DUMMYFUNCTION("""COMPUTED_VALUE"""),"")</f>
        <v/>
      </c>
      <c r="AE5" s="28" t="str">
        <f>IFERROR(__xludf.DUMMYFUNCTION("""COMPUTED_VALUE"""),"")</f>
        <v/>
      </c>
      <c r="AF5" s="28" t="str">
        <f>IFERROR(__xludf.DUMMYFUNCTION("""COMPUTED_VALUE"""),"")</f>
        <v/>
      </c>
      <c r="AG5" s="28" t="str">
        <f>IFERROR(__xludf.DUMMYFUNCTION("""COMPUTED_VALUE"""),"")</f>
        <v/>
      </c>
      <c r="AH5" s="28" t="str">
        <f>IFERROR(__xludf.DUMMYFUNCTION("""COMPUTED_VALUE"""),"")</f>
        <v/>
      </c>
      <c r="AI5" s="28" t="str">
        <f>IFERROR(__xludf.DUMMYFUNCTION("""COMPUTED_VALUE"""),"")</f>
        <v/>
      </c>
      <c r="AJ5" s="28" t="str">
        <f>IFERROR(__xludf.DUMMYFUNCTION("""COMPUTED_VALUE"""),"")</f>
        <v/>
      </c>
      <c r="AK5" s="28" t="str">
        <f>IFERROR(__xludf.DUMMYFUNCTION("""COMPUTED_VALUE"""),"")</f>
        <v/>
      </c>
      <c r="AL5" s="28" t="str">
        <f>IFERROR(__xludf.DUMMYFUNCTION("""COMPUTED_VALUE"""),"")</f>
        <v/>
      </c>
      <c r="AM5" s="28" t="str">
        <f>IFERROR(__xludf.DUMMYFUNCTION("""COMPUTED_VALUE"""),"")</f>
        <v/>
      </c>
      <c r="AN5" s="28" t="str">
        <f>IFERROR(__xludf.DUMMYFUNCTION("""COMPUTED_VALUE"""),"")</f>
        <v/>
      </c>
      <c r="AO5" s="28" t="str">
        <f>IFERROR(__xludf.DUMMYFUNCTION("""COMPUTED_VALUE"""),"")</f>
        <v/>
      </c>
      <c r="AP5" s="28" t="str">
        <f>IFERROR(__xludf.DUMMYFUNCTION("""COMPUTED_VALUE"""),"")</f>
        <v/>
      </c>
      <c r="AQ5" s="28" t="str">
        <f>IFERROR(__xludf.DUMMYFUNCTION("""COMPUTED_VALUE"""),"")</f>
        <v/>
      </c>
      <c r="AR5" s="28" t="str">
        <f>IFERROR(__xludf.DUMMYFUNCTION("""COMPUTED_VALUE"""),"")</f>
        <v/>
      </c>
      <c r="AS5" s="28" t="str">
        <f>IFERROR(__xludf.DUMMYFUNCTION("""COMPUTED_VALUE"""),"")</f>
        <v/>
      </c>
      <c r="AT5" s="28" t="str">
        <f>IFERROR(__xludf.DUMMYFUNCTION("""COMPUTED_VALUE"""),"")</f>
        <v/>
      </c>
      <c r="AU5" s="28" t="str">
        <f>IFERROR(__xludf.DUMMYFUNCTION("""COMPUTED_VALUE"""),"")</f>
        <v/>
      </c>
      <c r="AV5" s="28" t="str">
        <f>IFERROR(__xludf.DUMMYFUNCTION("""COMPUTED_VALUE"""),"")</f>
        <v/>
      </c>
      <c r="AW5" s="28" t="str">
        <f>IFERROR(__xludf.DUMMYFUNCTION("""COMPUTED_VALUE"""),"")</f>
        <v/>
      </c>
      <c r="AX5" s="28" t="str">
        <f>IFERROR(__xludf.DUMMYFUNCTION("""COMPUTED_VALUE"""),"")</f>
        <v/>
      </c>
      <c r="AY5" s="28" t="str">
        <f>IFERROR(__xludf.DUMMYFUNCTION("""COMPUTED_VALUE"""),"")</f>
        <v/>
      </c>
      <c r="AZ5" s="28" t="str">
        <f>IFERROR(__xludf.DUMMYFUNCTION("""COMPUTED_VALUE"""),"")</f>
        <v/>
      </c>
      <c r="BA5" s="28" t="str">
        <f>IFERROR(__xludf.DUMMYFUNCTION("""COMPUTED_VALUE"""),"")</f>
        <v/>
      </c>
      <c r="BB5" s="28" t="str">
        <f>IFERROR(__xludf.DUMMYFUNCTION("""COMPUTED_VALUE"""),"")</f>
        <v/>
      </c>
      <c r="BC5" s="28" t="str">
        <f>IFERROR(__xludf.DUMMYFUNCTION("""COMPUTED_VALUE"""),"")</f>
        <v/>
      </c>
      <c r="BD5" s="28" t="str">
        <f>IFERROR(__xludf.DUMMYFUNCTION("""COMPUTED_VALUE"""),"")</f>
        <v/>
      </c>
      <c r="BE5" s="28" t="str">
        <f>IFERROR(__xludf.DUMMYFUNCTION("""COMPUTED_VALUE"""),"")</f>
        <v/>
      </c>
      <c r="BF5" s="28" t="str">
        <f>IFERROR(__xludf.DUMMYFUNCTION("""COMPUTED_VALUE"""),"")</f>
        <v/>
      </c>
      <c r="BG5" s="28" t="str">
        <f>IFERROR(__xludf.DUMMYFUNCTION("""COMPUTED_VALUE"""),"")</f>
        <v/>
      </c>
      <c r="BH5" s="28" t="str">
        <f>IFERROR(__xludf.DUMMYFUNCTION("""COMPUTED_VALUE"""),"")</f>
        <v/>
      </c>
      <c r="BI5" s="28" t="str">
        <f>IFERROR(__xludf.DUMMYFUNCTION("""COMPUTED_VALUE"""),"")</f>
        <v/>
      </c>
      <c r="BJ5" s="28" t="str">
        <f>IFERROR(__xludf.DUMMYFUNCTION("""COMPUTED_VALUE"""),"")</f>
        <v/>
      </c>
      <c r="BK5" s="28" t="str">
        <f>IFERROR(__xludf.DUMMYFUNCTION("""COMPUTED_VALUE"""),"")</f>
        <v/>
      </c>
      <c r="BL5" s="28" t="str">
        <f>IFERROR(__xludf.DUMMYFUNCTION("""COMPUTED_VALUE"""),"")</f>
        <v/>
      </c>
      <c r="BM5" s="28" t="str">
        <f>IFERROR(__xludf.DUMMYFUNCTION("""COMPUTED_VALUE"""),"")</f>
        <v/>
      </c>
      <c r="BN5" s="28" t="str">
        <f>IFERROR(__xludf.DUMMYFUNCTION("""COMPUTED_VALUE"""),"")</f>
        <v/>
      </c>
      <c r="BO5" s="28" t="str">
        <f>IFERROR(__xludf.DUMMYFUNCTION("""COMPUTED_VALUE"""),"")</f>
        <v/>
      </c>
      <c r="BP5" s="28" t="str">
        <f>IFERROR(__xludf.DUMMYFUNCTION("""COMPUTED_VALUE"""),"")</f>
        <v/>
      </c>
      <c r="BQ5" s="28" t="str">
        <f>IFERROR(__xludf.DUMMYFUNCTION("""COMPUTED_VALUE"""),"")</f>
        <v/>
      </c>
      <c r="BR5" s="28" t="str">
        <f>IFERROR(__xludf.DUMMYFUNCTION("""COMPUTED_VALUE"""),"")</f>
        <v/>
      </c>
      <c r="BS5" s="28" t="str">
        <f>IFERROR(__xludf.DUMMYFUNCTION("""COMPUTED_VALUE"""),"")</f>
        <v/>
      </c>
      <c r="BT5" s="28" t="str">
        <f>IFERROR(__xludf.DUMMYFUNCTION("""COMPUTED_VALUE"""),"")</f>
        <v/>
      </c>
      <c r="BU5" s="28" t="str">
        <f>IFERROR(__xludf.DUMMYFUNCTION("""COMPUTED_VALUE"""),"")</f>
        <v/>
      </c>
      <c r="BV5" s="28" t="str">
        <f>IFERROR(__xludf.DUMMYFUNCTION("""COMPUTED_VALUE"""),"")</f>
        <v/>
      </c>
      <c r="BW5" s="28" t="str">
        <f>IFERROR(__xludf.DUMMYFUNCTION("""COMPUTED_VALUE"""),"")</f>
        <v/>
      </c>
      <c r="BX5" s="28" t="str">
        <f>IFERROR(__xludf.DUMMYFUNCTION("""COMPUTED_VALUE"""),"")</f>
        <v/>
      </c>
      <c r="BY5" s="28" t="str">
        <f>IFERROR(__xludf.DUMMYFUNCTION("""COMPUTED_VALUE"""),"")</f>
        <v/>
      </c>
      <c r="BZ5" s="28" t="str">
        <f>IFERROR(__xludf.DUMMYFUNCTION("""COMPUTED_VALUE"""),"")</f>
        <v/>
      </c>
      <c r="CA5" s="28" t="str">
        <f>IFERROR(__xludf.DUMMYFUNCTION("""COMPUTED_VALUE"""),"")</f>
        <v/>
      </c>
      <c r="CB5" s="28" t="str">
        <f>IFERROR(__xludf.DUMMYFUNCTION("""COMPUTED_VALUE"""),"")</f>
        <v/>
      </c>
      <c r="CC5" s="28" t="str">
        <f>IFERROR(__xludf.DUMMYFUNCTION("""COMPUTED_VALUE"""),"")</f>
        <v/>
      </c>
      <c r="CD5" s="28" t="str">
        <f>IFERROR(__xludf.DUMMYFUNCTION("""COMPUTED_VALUE"""),"")</f>
        <v/>
      </c>
      <c r="CE5" s="28" t="str">
        <f>IFERROR(__xludf.DUMMYFUNCTION("""COMPUTED_VALUE"""),"")</f>
        <v/>
      </c>
      <c r="CF5" s="28" t="str">
        <f>IFERROR(__xludf.DUMMYFUNCTION("""COMPUTED_VALUE"""),"")</f>
        <v/>
      </c>
      <c r="CG5" s="28" t="str">
        <f>IFERROR(__xludf.DUMMYFUNCTION("""COMPUTED_VALUE"""),"")</f>
        <v/>
      </c>
      <c r="CH5" s="28" t="str">
        <f>IFERROR(__xludf.DUMMYFUNCTION("""COMPUTED_VALUE"""),"")</f>
        <v/>
      </c>
      <c r="CI5" s="28" t="str">
        <f>IFERROR(__xludf.DUMMYFUNCTION("""COMPUTED_VALUE"""),"")</f>
        <v/>
      </c>
      <c r="CJ5" s="28" t="str">
        <f>IFERROR(__xludf.DUMMYFUNCTION("""COMPUTED_VALUE"""),"")</f>
        <v/>
      </c>
      <c r="CK5" s="28" t="str">
        <f>IFERROR(__xludf.DUMMYFUNCTION("""COMPUTED_VALUE"""),"")</f>
        <v/>
      </c>
      <c r="CL5" s="28" t="str">
        <f>IFERROR(__xludf.DUMMYFUNCTION("""COMPUTED_VALUE"""),"")</f>
        <v/>
      </c>
      <c r="CM5" s="28" t="str">
        <f>IFERROR(__xludf.DUMMYFUNCTION("""COMPUTED_VALUE"""),"")</f>
        <v/>
      </c>
      <c r="CN5" s="28" t="str">
        <f>IFERROR(__xludf.DUMMYFUNCTION("""COMPUTED_VALUE"""),"")</f>
        <v/>
      </c>
      <c r="CO5" s="28" t="str">
        <f>IFERROR(__xludf.DUMMYFUNCTION("""COMPUTED_VALUE"""),"")</f>
        <v/>
      </c>
      <c r="CP5" s="28" t="str">
        <f>IFERROR(__xludf.DUMMYFUNCTION("""COMPUTED_VALUE"""),"")</f>
        <v/>
      </c>
      <c r="CQ5" s="28" t="str">
        <f>IFERROR(__xludf.DUMMYFUNCTION("""COMPUTED_VALUE"""),"")</f>
        <v/>
      </c>
      <c r="CR5" s="28" t="str">
        <f>IFERROR(__xludf.DUMMYFUNCTION("""COMPUTED_VALUE"""),"")</f>
        <v/>
      </c>
      <c r="CS5" s="28" t="str">
        <f>IFERROR(__xludf.DUMMYFUNCTION("""COMPUTED_VALUE"""),"")</f>
        <v/>
      </c>
      <c r="CT5" s="28" t="str">
        <f>IFERROR(__xludf.DUMMYFUNCTION("""COMPUTED_VALUE"""),"")</f>
        <v/>
      </c>
      <c r="CU5" s="28" t="str">
        <f>IFERROR(__xludf.DUMMYFUNCTION("""COMPUTED_VALUE"""),"")</f>
        <v/>
      </c>
      <c r="CV5" s="28" t="str">
        <f>IFERROR(__xludf.DUMMYFUNCTION("""COMPUTED_VALUE"""),"")</f>
        <v/>
      </c>
      <c r="CW5" s="28" t="str">
        <f>IFERROR(__xludf.DUMMYFUNCTION("""COMPUTED_VALUE"""),"")</f>
        <v/>
      </c>
      <c r="CX5" s="28" t="str">
        <f>IFERROR(__xludf.DUMMYFUNCTION("""COMPUTED_VALUE"""),"")</f>
        <v/>
      </c>
      <c r="CY5" s="28" t="str">
        <f>IFERROR(__xludf.DUMMYFUNCTION("""COMPUTED_VALUE"""),"")</f>
        <v/>
      </c>
      <c r="CZ5" s="28" t="str">
        <f>IFERROR(__xludf.DUMMYFUNCTION("""COMPUTED_VALUE"""),"")</f>
        <v/>
      </c>
      <c r="DA5" s="28" t="str">
        <f>IFERROR(__xludf.DUMMYFUNCTION("""COMPUTED_VALUE"""),"")</f>
        <v/>
      </c>
      <c r="DB5" s="28" t="str">
        <f>IFERROR(__xludf.DUMMYFUNCTION("""COMPUTED_VALUE"""),"")</f>
        <v/>
      </c>
      <c r="DC5" s="28" t="str">
        <f>IFERROR(__xludf.DUMMYFUNCTION("""COMPUTED_VALUE"""),"")</f>
        <v/>
      </c>
      <c r="DD5" s="28" t="str">
        <f>IFERROR(__xludf.DUMMYFUNCTION("""COMPUTED_VALUE"""),"")</f>
        <v/>
      </c>
      <c r="DE5" s="28" t="str">
        <f>IFERROR(__xludf.DUMMYFUNCTION("""COMPUTED_VALUE"""),"")</f>
        <v/>
      </c>
      <c r="DF5" s="28" t="str">
        <f>IFERROR(__xludf.DUMMYFUNCTION("""COMPUTED_VALUE"""),"")</f>
        <v/>
      </c>
      <c r="DG5" s="28" t="str">
        <f>IFERROR(__xludf.DUMMYFUNCTION("""COMPUTED_VALUE"""),"")</f>
        <v/>
      </c>
      <c r="DH5" s="28" t="str">
        <f>IFERROR(__xludf.DUMMYFUNCTION("""COMPUTED_VALUE"""),"")</f>
        <v/>
      </c>
      <c r="DI5" s="28" t="str">
        <f>IFERROR(__xludf.DUMMYFUNCTION("""COMPUTED_VALUE"""),"")</f>
        <v/>
      </c>
      <c r="DJ5" s="28" t="str">
        <f>IFERROR(__xludf.DUMMYFUNCTION("""COMPUTED_VALUE"""),"")</f>
        <v/>
      </c>
      <c r="DK5" s="28" t="str">
        <f>IFERROR(__xludf.DUMMYFUNCTION("""COMPUTED_VALUE"""),"")</f>
        <v/>
      </c>
      <c r="DL5" s="28" t="str">
        <f>IFERROR(__xludf.DUMMYFUNCTION("""COMPUTED_VALUE"""),"")</f>
        <v/>
      </c>
      <c r="DM5" s="28" t="str">
        <f>IFERROR(__xludf.DUMMYFUNCTION("""COMPUTED_VALUE"""),"")</f>
        <v/>
      </c>
      <c r="DN5" s="28" t="str">
        <f>IFERROR(__xludf.DUMMYFUNCTION("""COMPUTED_VALUE"""),"")</f>
        <v/>
      </c>
      <c r="DO5" s="28" t="str">
        <f>IFERROR(__xludf.DUMMYFUNCTION("""COMPUTED_VALUE"""),"")</f>
        <v/>
      </c>
      <c r="DP5" s="28" t="str">
        <f>IFERROR(__xludf.DUMMYFUNCTION("""COMPUTED_VALUE"""),"")</f>
        <v/>
      </c>
      <c r="DQ5" s="28" t="str">
        <f>IFERROR(__xludf.DUMMYFUNCTION("""COMPUTED_VALUE"""),"")</f>
        <v/>
      </c>
      <c r="DR5" s="28" t="str">
        <f>IFERROR(__xludf.DUMMYFUNCTION("""COMPUTED_VALUE"""),"")</f>
        <v/>
      </c>
      <c r="DS5" s="28" t="str">
        <f>IFERROR(__xludf.DUMMYFUNCTION("""COMPUTED_VALUE"""),"")</f>
        <v/>
      </c>
      <c r="DT5" s="28" t="str">
        <f>IFERROR(__xludf.DUMMYFUNCTION("""COMPUTED_VALUE"""),"")</f>
        <v/>
      </c>
      <c r="DU5" s="28" t="str">
        <f>IFERROR(__xludf.DUMMYFUNCTION("""COMPUTED_VALUE"""),"")</f>
        <v/>
      </c>
      <c r="DV5" s="28" t="str">
        <f>IFERROR(__xludf.DUMMYFUNCTION("""COMPUTED_VALUE"""),"")</f>
        <v/>
      </c>
      <c r="DW5" s="28" t="str">
        <f>IFERROR(__xludf.DUMMYFUNCTION("""COMPUTED_VALUE"""),"")</f>
        <v/>
      </c>
      <c r="DX5" s="28" t="str">
        <f>IFERROR(__xludf.DUMMYFUNCTION("""COMPUTED_VALUE"""),"")</f>
        <v/>
      </c>
      <c r="DY5" s="28" t="str">
        <f>IFERROR(__xludf.DUMMYFUNCTION("""COMPUTED_VALUE"""),"")</f>
        <v/>
      </c>
      <c r="DZ5" s="28" t="str">
        <f>IFERROR(__xludf.DUMMYFUNCTION("""COMPUTED_VALUE"""),"")</f>
        <v/>
      </c>
      <c r="EA5" s="28" t="str">
        <f>IFERROR(__xludf.DUMMYFUNCTION("""COMPUTED_VALUE"""),"")</f>
        <v/>
      </c>
      <c r="EB5" s="28" t="str">
        <f>IFERROR(__xludf.DUMMYFUNCTION("""COMPUTED_VALUE"""),"")</f>
        <v/>
      </c>
      <c r="EC5" s="28" t="str">
        <f>IFERROR(__xludf.DUMMYFUNCTION("""COMPUTED_VALUE"""),"")</f>
        <v/>
      </c>
      <c r="ED5" s="28" t="str">
        <f>IFERROR(__xludf.DUMMYFUNCTION("""COMPUTED_VALUE"""),"")</f>
        <v/>
      </c>
      <c r="EE5" s="28" t="str">
        <f>IFERROR(__xludf.DUMMYFUNCTION("""COMPUTED_VALUE"""),"")</f>
        <v/>
      </c>
      <c r="EF5" s="28" t="str">
        <f>IFERROR(__xludf.DUMMYFUNCTION("""COMPUTED_VALUE"""),"")</f>
        <v/>
      </c>
      <c r="EG5" s="28" t="str">
        <f>IFERROR(__xludf.DUMMYFUNCTION("""COMPUTED_VALUE"""),"")</f>
        <v/>
      </c>
      <c r="EH5" s="28" t="str">
        <f>IFERROR(__xludf.DUMMYFUNCTION("""COMPUTED_VALUE"""),"")</f>
        <v/>
      </c>
      <c r="EI5" s="28" t="str">
        <f>IFERROR(__xludf.DUMMYFUNCTION("""COMPUTED_VALUE"""),"")</f>
        <v/>
      </c>
      <c r="EJ5" s="28" t="str">
        <f>IFERROR(__xludf.DUMMYFUNCTION("""COMPUTED_VALUE"""),"")</f>
        <v/>
      </c>
      <c r="EK5" s="28" t="str">
        <f>IFERROR(__xludf.DUMMYFUNCTION("""COMPUTED_VALUE"""),"")</f>
        <v/>
      </c>
      <c r="EL5" s="28" t="str">
        <f>IFERROR(__xludf.DUMMYFUNCTION("""COMPUTED_VALUE"""),"")</f>
        <v/>
      </c>
      <c r="EM5" s="28" t="str">
        <f>IFERROR(__xludf.DUMMYFUNCTION("""COMPUTED_VALUE"""),"")</f>
        <v/>
      </c>
      <c r="EN5" s="28" t="str">
        <f>IFERROR(__xludf.DUMMYFUNCTION("""COMPUTED_VALUE"""),"")</f>
        <v/>
      </c>
      <c r="EO5" s="28" t="str">
        <f>IFERROR(__xludf.DUMMYFUNCTION("""COMPUTED_VALUE"""),"")</f>
        <v/>
      </c>
      <c r="EP5" s="28" t="str">
        <f>IFERROR(__xludf.DUMMYFUNCTION("""COMPUTED_VALUE"""),"")</f>
        <v/>
      </c>
      <c r="EQ5" s="28" t="str">
        <f>IFERROR(__xludf.DUMMYFUNCTION("""COMPUTED_VALUE"""),"")</f>
        <v/>
      </c>
      <c r="ER5" s="28" t="str">
        <f>IFERROR(__xludf.DUMMYFUNCTION("""COMPUTED_VALUE"""),"")</f>
        <v/>
      </c>
      <c r="ES5" s="28" t="str">
        <f>IFERROR(__xludf.DUMMYFUNCTION("""COMPUTED_VALUE"""),"")</f>
        <v/>
      </c>
      <c r="ET5" s="28" t="str">
        <f>IFERROR(__xludf.DUMMYFUNCTION("""COMPUTED_VALUE"""),"")</f>
        <v/>
      </c>
      <c r="EU5" s="28" t="str">
        <f>IFERROR(__xludf.DUMMYFUNCTION("""COMPUTED_VALUE"""),"")</f>
        <v/>
      </c>
      <c r="EV5" s="28" t="str">
        <f>IFERROR(__xludf.DUMMYFUNCTION("""COMPUTED_VALUE"""),"")</f>
        <v/>
      </c>
      <c r="EW5" s="28" t="str">
        <f>IFERROR(__xludf.DUMMYFUNCTION("""COMPUTED_VALUE"""),"")</f>
        <v/>
      </c>
      <c r="EX5" s="28" t="str">
        <f>IFERROR(__xludf.DUMMYFUNCTION("""COMPUTED_VALUE"""),"")</f>
        <v/>
      </c>
    </row>
    <row r="6" ht="15.75" customHeight="1">
      <c r="A6" s="41"/>
      <c r="B6" s="47" t="b">
        <v>1</v>
      </c>
      <c r="C6" s="48" t="b">
        <v>0</v>
      </c>
      <c r="D6" s="49" t="s">
        <v>39</v>
      </c>
      <c r="E6" s="50" t="s">
        <v>40</v>
      </c>
      <c r="F6" s="50" t="s">
        <v>41</v>
      </c>
      <c r="G6" s="43"/>
      <c r="H6" s="43"/>
      <c r="I6" s="43"/>
      <c r="J6" s="43"/>
      <c r="K6" s="43"/>
      <c r="L6" s="43"/>
      <c r="M6" s="43"/>
      <c r="N6" s="43"/>
      <c r="O6" s="43"/>
      <c r="P6" s="43"/>
      <c r="Q6" s="43"/>
      <c r="R6" s="43"/>
      <c r="S6" s="43"/>
      <c r="T6" s="46"/>
      <c r="U6" s="46"/>
      <c r="V6" s="46"/>
      <c r="W6" s="46"/>
      <c r="X6" s="46"/>
      <c r="Y6" s="46"/>
      <c r="Z6" s="46"/>
      <c r="AA6" s="46"/>
      <c r="AB6" s="46"/>
      <c r="AC6" s="46"/>
      <c r="AD6" s="46"/>
      <c r="AE6" s="46"/>
      <c r="AF6" s="46"/>
      <c r="AG6" s="46"/>
      <c r="AH6" s="46"/>
      <c r="AI6" s="46"/>
      <c r="AJ6" s="46"/>
      <c r="AK6" s="46"/>
      <c r="AL6" s="46"/>
      <c r="AM6" s="46"/>
      <c r="AN6" s="46"/>
      <c r="AO6" s="46"/>
      <c r="AP6" s="46"/>
      <c r="AQ6" s="46"/>
      <c r="AR6" s="46"/>
      <c r="AS6" s="46"/>
      <c r="AT6" s="46"/>
      <c r="AU6" s="46"/>
      <c r="AV6" s="46"/>
      <c r="AW6" s="46"/>
      <c r="AX6" s="46"/>
      <c r="AY6" s="46"/>
      <c r="AZ6" s="46"/>
      <c r="BA6" s="46"/>
      <c r="BB6" s="46"/>
      <c r="BC6" s="46"/>
      <c r="BD6" s="46"/>
      <c r="BE6" s="46"/>
      <c r="BF6" s="46"/>
      <c r="BG6" s="46"/>
      <c r="BH6" s="46"/>
      <c r="BI6" s="46"/>
      <c r="BJ6" s="46"/>
      <c r="BK6" s="46"/>
      <c r="BL6" s="46"/>
      <c r="BM6" s="46"/>
      <c r="BN6" s="46"/>
      <c r="BO6" s="46"/>
      <c r="BP6" s="46"/>
      <c r="BQ6" s="46"/>
      <c r="BR6" s="46"/>
      <c r="BS6" s="46"/>
      <c r="BT6" s="46"/>
      <c r="BU6" s="46"/>
      <c r="BV6" s="46"/>
      <c r="BW6" s="46"/>
      <c r="BX6" s="46"/>
      <c r="BY6" s="46"/>
      <c r="BZ6" s="46"/>
      <c r="CA6" s="46"/>
      <c r="CB6" s="46"/>
      <c r="CC6" s="46"/>
      <c r="CD6" s="46"/>
      <c r="CE6" s="46"/>
      <c r="CF6" s="46"/>
      <c r="CG6" s="46"/>
      <c r="CH6" s="46"/>
      <c r="CI6" s="46"/>
      <c r="CJ6" s="46"/>
      <c r="CK6" s="46"/>
      <c r="CL6" s="46"/>
      <c r="CM6" s="46"/>
      <c r="CN6" s="46"/>
      <c r="CO6" s="46"/>
      <c r="CP6" s="46"/>
      <c r="CQ6" s="46"/>
      <c r="CR6" s="46"/>
      <c r="CS6" s="46"/>
      <c r="CT6" s="46"/>
      <c r="CU6" s="46"/>
      <c r="CV6" s="46"/>
      <c r="CW6" s="46"/>
      <c r="CX6" s="46"/>
      <c r="CY6" s="46"/>
      <c r="CZ6" s="46"/>
      <c r="DA6" s="46"/>
      <c r="DB6" s="46"/>
      <c r="DC6" s="46"/>
      <c r="DD6" s="46"/>
      <c r="DE6" s="46"/>
      <c r="DF6" s="46"/>
      <c r="DG6" s="46"/>
      <c r="DH6" s="46"/>
      <c r="DI6" s="46"/>
      <c r="DJ6" s="46"/>
      <c r="DK6" s="46"/>
      <c r="DL6" s="46"/>
      <c r="DM6" s="46"/>
      <c r="DN6" s="46"/>
      <c r="DO6" s="46"/>
      <c r="DP6" s="46"/>
      <c r="DQ6" s="46"/>
      <c r="DR6" s="46"/>
      <c r="DS6" s="46"/>
      <c r="DT6" s="46"/>
      <c r="DU6" s="46"/>
      <c r="DV6" s="46"/>
      <c r="DW6" s="46"/>
      <c r="DX6" s="46"/>
      <c r="DY6" s="46"/>
      <c r="DZ6" s="46"/>
      <c r="EA6" s="46"/>
      <c r="EB6" s="46"/>
      <c r="EC6" s="46"/>
      <c r="ED6" s="46"/>
      <c r="EE6" s="46"/>
      <c r="EF6" s="46"/>
      <c r="EG6" s="46"/>
      <c r="EH6" s="46"/>
      <c r="EI6" s="46"/>
      <c r="EJ6" s="46"/>
      <c r="EK6" s="46"/>
      <c r="EL6" s="46"/>
      <c r="EM6" s="46"/>
      <c r="EN6" s="46"/>
      <c r="EO6" s="46"/>
      <c r="EP6" s="46"/>
      <c r="EQ6" s="46"/>
      <c r="ER6" s="46"/>
      <c r="ES6" s="46"/>
      <c r="ET6" s="46"/>
      <c r="EU6" s="46"/>
      <c r="EV6" s="46"/>
      <c r="EW6" s="46"/>
      <c r="EX6" s="46"/>
    </row>
    <row r="7" ht="15.75" customHeight="1">
      <c r="A7" s="7"/>
      <c r="B7" s="7"/>
      <c r="C7" s="7"/>
      <c r="D7" s="7"/>
      <c r="E7" s="7"/>
      <c r="F7" s="7"/>
      <c r="G7" s="7"/>
      <c r="H7" s="7"/>
      <c r="I7" s="7"/>
      <c r="J7" s="7"/>
      <c r="K7" s="7"/>
      <c r="L7" s="7"/>
      <c r="M7" s="7"/>
      <c r="N7" s="7"/>
      <c r="O7" s="7"/>
    </row>
    <row r="8" ht="15.75" customHeight="1">
      <c r="A8" s="7"/>
      <c r="B8" s="7"/>
      <c r="C8" s="7"/>
      <c r="D8" s="7"/>
      <c r="E8" s="7"/>
      <c r="F8" s="7"/>
      <c r="G8" s="7"/>
      <c r="H8" s="7"/>
      <c r="I8" s="7"/>
      <c r="J8" s="7"/>
      <c r="K8" s="7"/>
      <c r="L8" s="7"/>
      <c r="M8" s="7"/>
      <c r="N8" s="7"/>
      <c r="O8" s="7"/>
    </row>
    <row r="9" ht="15.75" customHeight="1">
      <c r="A9" s="7"/>
      <c r="B9" s="7"/>
      <c r="C9" s="7"/>
      <c r="D9" s="7"/>
      <c r="E9" s="7"/>
      <c r="F9" s="7"/>
      <c r="G9" s="7"/>
      <c r="H9" s="7"/>
      <c r="I9" s="7"/>
      <c r="J9" s="7"/>
      <c r="K9" s="7"/>
      <c r="L9" s="7"/>
      <c r="M9" s="7"/>
      <c r="N9" s="7"/>
      <c r="O9" s="7"/>
    </row>
    <row r="10" ht="15.75" customHeight="1">
      <c r="A10" s="7"/>
      <c r="B10" s="7"/>
      <c r="C10" s="7"/>
      <c r="D10" s="7"/>
      <c r="E10" s="7"/>
      <c r="F10" s="7"/>
      <c r="G10" s="7"/>
      <c r="H10" s="7"/>
      <c r="I10" s="7"/>
      <c r="J10" s="7"/>
      <c r="K10" s="7"/>
      <c r="L10" s="7"/>
      <c r="M10" s="7"/>
      <c r="N10" s="7"/>
      <c r="O10" s="7"/>
    </row>
    <row r="11" ht="15.75" customHeight="1">
      <c r="A11" s="7"/>
      <c r="B11" s="7"/>
      <c r="C11" s="7"/>
      <c r="D11" s="7"/>
      <c r="E11" s="7"/>
      <c r="F11" s="7"/>
      <c r="G11" s="7"/>
      <c r="H11" s="7"/>
      <c r="I11" s="7"/>
      <c r="J11" s="7"/>
      <c r="K11" s="7"/>
      <c r="L11" s="7"/>
      <c r="M11" s="7"/>
      <c r="N11" s="7"/>
      <c r="O11" s="7"/>
    </row>
    <row r="12" ht="15.75" customHeight="1">
      <c r="A12" s="7"/>
      <c r="B12" s="7"/>
      <c r="C12" s="7"/>
      <c r="D12" s="7"/>
      <c r="E12" s="7"/>
      <c r="F12" s="7"/>
      <c r="G12" s="7"/>
      <c r="H12" s="7"/>
      <c r="I12" s="7"/>
      <c r="J12" s="7"/>
      <c r="K12" s="7"/>
      <c r="L12" s="7"/>
      <c r="M12" s="7"/>
      <c r="N12" s="7"/>
      <c r="O12" s="7"/>
    </row>
    <row r="13" ht="15.75" customHeight="1">
      <c r="A13" s="7"/>
      <c r="B13" s="7"/>
      <c r="C13" s="7"/>
      <c r="D13" s="7"/>
      <c r="E13" s="7"/>
      <c r="F13" s="7"/>
      <c r="G13" s="7"/>
      <c r="H13" s="7"/>
      <c r="I13" s="7"/>
      <c r="J13" s="7"/>
      <c r="K13" s="7"/>
      <c r="L13" s="7"/>
      <c r="M13" s="7"/>
      <c r="N13" s="7"/>
      <c r="O13" s="7"/>
    </row>
    <row r="14" ht="15.75" customHeight="1">
      <c r="A14" s="7"/>
      <c r="B14" s="7"/>
      <c r="C14" s="7"/>
      <c r="D14" s="7"/>
      <c r="E14" s="7"/>
      <c r="F14" s="7"/>
      <c r="G14" s="7"/>
      <c r="H14" s="7"/>
      <c r="I14" s="7"/>
      <c r="J14" s="7"/>
      <c r="K14" s="7"/>
      <c r="L14" s="7"/>
      <c r="M14" s="7"/>
      <c r="N14" s="7"/>
      <c r="O14" s="7"/>
    </row>
    <row r="15" ht="15.75" customHeight="1">
      <c r="A15" s="7"/>
      <c r="B15" s="7"/>
      <c r="C15" s="7"/>
      <c r="D15" s="7"/>
      <c r="E15" s="7"/>
      <c r="F15" s="7"/>
      <c r="G15" s="7"/>
      <c r="H15" s="7"/>
      <c r="I15" s="7"/>
      <c r="J15" s="7"/>
      <c r="K15" s="7"/>
      <c r="L15" s="7"/>
      <c r="M15" s="7"/>
      <c r="N15" s="7"/>
      <c r="O15" s="7"/>
    </row>
    <row r="16" ht="15.75" customHeight="1">
      <c r="A16" s="7"/>
      <c r="B16" s="7"/>
      <c r="C16" s="7"/>
      <c r="D16" s="7"/>
      <c r="E16" s="7"/>
      <c r="F16" s="7"/>
      <c r="G16" s="7"/>
      <c r="H16" s="7"/>
      <c r="I16" s="7"/>
      <c r="J16" s="7"/>
      <c r="K16" s="7"/>
      <c r="L16" s="7"/>
      <c r="M16" s="7"/>
      <c r="N16" s="7"/>
      <c r="O16" s="7"/>
    </row>
    <row r="17" ht="15.75" customHeight="1">
      <c r="A17" s="7"/>
      <c r="B17" s="7"/>
      <c r="C17" s="7"/>
      <c r="D17" s="7"/>
      <c r="E17" s="7"/>
      <c r="F17" s="7"/>
      <c r="G17" s="7"/>
      <c r="H17" s="7"/>
      <c r="I17" s="7"/>
      <c r="J17" s="7"/>
      <c r="K17" s="7"/>
      <c r="L17" s="7"/>
      <c r="M17" s="7"/>
      <c r="N17" s="7"/>
      <c r="O17" s="7"/>
    </row>
    <row r="18" ht="15.75" customHeight="1">
      <c r="A18" s="7"/>
      <c r="B18" s="7"/>
      <c r="C18" s="7"/>
      <c r="D18" s="7"/>
      <c r="E18" s="7"/>
      <c r="F18" s="7"/>
      <c r="G18" s="7"/>
      <c r="H18" s="7"/>
      <c r="I18" s="7"/>
      <c r="J18" s="7"/>
      <c r="K18" s="7"/>
      <c r="L18" s="7"/>
      <c r="M18" s="7"/>
      <c r="N18" s="7"/>
      <c r="O18" s="7"/>
    </row>
    <row r="19" ht="15.75" customHeight="1">
      <c r="A19" s="7"/>
      <c r="B19" s="7"/>
      <c r="C19" s="7"/>
      <c r="D19" s="7"/>
      <c r="E19" s="7"/>
      <c r="F19" s="7"/>
      <c r="G19" s="7"/>
      <c r="H19" s="7"/>
      <c r="I19" s="7"/>
      <c r="J19" s="7"/>
      <c r="K19" s="7"/>
      <c r="L19" s="7"/>
      <c r="M19" s="7"/>
      <c r="N19" s="7"/>
      <c r="O19" s="7"/>
    </row>
    <row r="20" ht="15.75" customHeight="1">
      <c r="A20" s="7"/>
      <c r="B20" s="7"/>
      <c r="C20" s="7"/>
      <c r="D20" s="7"/>
      <c r="E20" s="7"/>
      <c r="F20" s="7"/>
      <c r="G20" s="7"/>
      <c r="H20" s="7"/>
      <c r="I20" s="7"/>
      <c r="J20" s="7"/>
      <c r="K20" s="7"/>
      <c r="L20" s="7"/>
      <c r="M20" s="7"/>
      <c r="N20" s="7"/>
      <c r="O20" s="7"/>
    </row>
    <row r="21" ht="15.75" customHeight="1">
      <c r="A21" s="7"/>
      <c r="B21" s="7"/>
      <c r="C21" s="7"/>
      <c r="D21" s="7"/>
      <c r="E21" s="7"/>
      <c r="F21" s="7"/>
      <c r="G21" s="7"/>
      <c r="H21" s="7"/>
      <c r="I21" s="7"/>
      <c r="J21" s="7"/>
      <c r="K21" s="7"/>
      <c r="L21" s="7"/>
      <c r="M21" s="7"/>
      <c r="N21" s="7"/>
      <c r="O21" s="7"/>
    </row>
    <row r="22" ht="15.75" customHeight="1">
      <c r="A22" s="7"/>
      <c r="B22" s="7"/>
      <c r="C22" s="7"/>
      <c r="D22" s="7"/>
      <c r="E22" s="7"/>
      <c r="F22" s="7"/>
      <c r="G22" s="7"/>
      <c r="H22" s="7"/>
      <c r="I22" s="7"/>
      <c r="J22" s="7"/>
      <c r="K22" s="7"/>
      <c r="L22" s="7"/>
      <c r="M22" s="7"/>
      <c r="N22" s="7"/>
      <c r="O22" s="7"/>
    </row>
    <row r="23" ht="15.75" customHeight="1">
      <c r="A23" s="7"/>
      <c r="B23" s="7"/>
      <c r="C23" s="7"/>
      <c r="D23" s="7"/>
      <c r="E23" s="7"/>
      <c r="F23" s="7"/>
      <c r="G23" s="7"/>
      <c r="H23" s="7"/>
      <c r="I23" s="7"/>
      <c r="J23" s="7"/>
      <c r="K23" s="7"/>
      <c r="L23" s="7"/>
      <c r="M23" s="7"/>
      <c r="N23" s="7"/>
      <c r="O23" s="7"/>
    </row>
    <row r="24" ht="15.75" customHeight="1">
      <c r="A24" s="7"/>
      <c r="B24" s="7"/>
      <c r="C24" s="7"/>
      <c r="D24" s="7"/>
      <c r="E24" s="7"/>
      <c r="F24" s="7"/>
      <c r="G24" s="7"/>
      <c r="H24" s="7"/>
      <c r="I24" s="7"/>
      <c r="J24" s="7"/>
      <c r="K24" s="7"/>
      <c r="L24" s="7"/>
      <c r="M24" s="7"/>
      <c r="N24" s="7"/>
      <c r="O24" s="7"/>
    </row>
    <row r="25" ht="15.75" customHeight="1">
      <c r="A25" s="7"/>
      <c r="B25" s="7"/>
      <c r="C25" s="7"/>
      <c r="D25" s="7"/>
      <c r="E25" s="7"/>
      <c r="F25" s="7"/>
      <c r="G25" s="7"/>
      <c r="H25" s="7"/>
      <c r="I25" s="7"/>
      <c r="J25" s="7"/>
      <c r="K25" s="7"/>
      <c r="L25" s="7"/>
      <c r="M25" s="7"/>
      <c r="N25" s="7"/>
      <c r="O25" s="7"/>
    </row>
    <row r="26" ht="15.75" customHeight="1">
      <c r="A26" s="7"/>
      <c r="B26" s="7"/>
      <c r="C26" s="7"/>
      <c r="D26" s="7"/>
      <c r="E26" s="7"/>
      <c r="F26" s="7"/>
      <c r="G26" s="7"/>
      <c r="H26" s="7"/>
      <c r="I26" s="7"/>
      <c r="J26" s="7"/>
      <c r="K26" s="7"/>
      <c r="L26" s="7"/>
      <c r="M26" s="7"/>
      <c r="N26" s="7"/>
      <c r="O26" s="7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AutomaticClosing!$4:$4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 format for current sheet" sqref="G3">
      <formula1>"Input Format,Output Format"</formula1>
    </dataValidation>
  </dataValidations>
  <drawing r:id="rId1"/>
</worksheet>
</file>

<file path=xl/worksheets/sheet1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7"/>
      <c r="B1" s="2" t="s">
        <v>11</v>
      </c>
      <c r="C1" s="3"/>
      <c r="D1" s="3"/>
      <c r="E1" s="3"/>
      <c r="F1" s="3"/>
      <c r="G1" s="3"/>
      <c r="H1" s="5"/>
      <c r="I1" s="17"/>
      <c r="J1" s="17"/>
      <c r="K1" s="17"/>
      <c r="L1" s="17"/>
      <c r="M1" s="17"/>
      <c r="N1" s="17"/>
      <c r="O1" s="17"/>
      <c r="P1" s="18"/>
      <c r="Q1" s="18"/>
      <c r="R1" s="18"/>
      <c r="S1" s="18"/>
      <c r="T1" s="18"/>
      <c r="U1" s="18"/>
      <c r="V1" s="18"/>
      <c r="W1" s="18"/>
      <c r="X1" s="18"/>
      <c r="Y1" s="18"/>
      <c r="Z1" s="18"/>
      <c r="AA1" s="18"/>
      <c r="AB1" s="18"/>
      <c r="AC1" s="18"/>
      <c r="AD1" s="18"/>
      <c r="AE1" s="18"/>
      <c r="AF1" s="18"/>
      <c r="AG1" s="18"/>
      <c r="AH1" s="18"/>
      <c r="AI1" s="18"/>
      <c r="AJ1" s="18"/>
      <c r="AK1" s="18"/>
      <c r="AL1" s="18"/>
      <c r="AM1" s="18"/>
      <c r="AN1" s="18"/>
      <c r="AO1" s="18"/>
      <c r="AP1" s="18"/>
      <c r="AQ1" s="18"/>
      <c r="AR1" s="18"/>
      <c r="AS1" s="18"/>
      <c r="AT1" s="18"/>
      <c r="AU1" s="18"/>
      <c r="AV1" s="18"/>
      <c r="AW1" s="18"/>
      <c r="AX1" s="18"/>
      <c r="AY1" s="18"/>
      <c r="AZ1" s="18"/>
      <c r="BA1" s="18"/>
      <c r="BB1" s="18"/>
      <c r="BC1" s="18"/>
      <c r="BD1" s="18"/>
      <c r="BE1" s="18"/>
      <c r="BF1" s="18"/>
      <c r="BG1" s="18"/>
      <c r="BH1" s="18"/>
      <c r="BI1" s="18"/>
      <c r="BJ1" s="18"/>
      <c r="BK1" s="18"/>
      <c r="BL1" s="18"/>
      <c r="BM1" s="18"/>
      <c r="BN1" s="18"/>
      <c r="BO1" s="18"/>
      <c r="BP1" s="18"/>
      <c r="BQ1" s="18"/>
      <c r="BR1" s="18"/>
      <c r="BS1" s="18"/>
      <c r="BT1" s="18"/>
      <c r="BU1" s="18"/>
      <c r="BV1" s="18"/>
      <c r="BW1" s="18"/>
      <c r="BX1" s="18"/>
      <c r="BY1" s="18"/>
      <c r="BZ1" s="18"/>
      <c r="CA1" s="18"/>
      <c r="CB1" s="18"/>
      <c r="CC1" s="18"/>
      <c r="CD1" s="18"/>
      <c r="CE1" s="18"/>
      <c r="CF1" s="18"/>
      <c r="CG1" s="18"/>
      <c r="CH1" s="18"/>
      <c r="CI1" s="18"/>
      <c r="CJ1" s="18"/>
      <c r="CK1" s="18"/>
      <c r="CL1" s="18"/>
      <c r="CM1" s="18"/>
      <c r="CN1" s="18"/>
      <c r="CO1" s="18"/>
      <c r="CP1" s="18"/>
      <c r="CQ1" s="18"/>
      <c r="CR1" s="18"/>
      <c r="CS1" s="18"/>
      <c r="CT1" s="18"/>
      <c r="CU1" s="18"/>
      <c r="CV1" s="18"/>
      <c r="CW1" s="18"/>
      <c r="CX1" s="18"/>
      <c r="CY1" s="18"/>
      <c r="CZ1" s="18"/>
      <c r="DA1" s="18"/>
      <c r="DB1" s="18"/>
      <c r="DC1" s="18"/>
      <c r="DD1" s="18"/>
      <c r="DE1" s="18"/>
      <c r="DF1" s="18"/>
      <c r="DG1" s="18"/>
      <c r="DH1" s="18"/>
      <c r="DI1" s="18"/>
      <c r="DJ1" s="18"/>
      <c r="DK1" s="18"/>
      <c r="DL1" s="18"/>
      <c r="DM1" s="18"/>
      <c r="DN1" s="18"/>
      <c r="DO1" s="18"/>
      <c r="DP1" s="18"/>
      <c r="DQ1" s="18"/>
      <c r="DR1" s="18"/>
      <c r="DS1" s="18"/>
      <c r="DT1" s="18"/>
      <c r="DU1" s="18"/>
      <c r="DV1" s="18"/>
      <c r="DW1" s="18"/>
      <c r="DX1" s="18"/>
      <c r="DY1" s="18"/>
      <c r="DZ1" s="18"/>
      <c r="EA1" s="18"/>
      <c r="EB1" s="18"/>
      <c r="EC1" s="18"/>
      <c r="ED1" s="18"/>
      <c r="EE1" s="18"/>
      <c r="EF1" s="18"/>
      <c r="EG1" s="18"/>
      <c r="EH1" s="18"/>
      <c r="EI1" s="18"/>
      <c r="EJ1" s="18"/>
      <c r="EK1" s="18"/>
      <c r="EL1" s="18"/>
      <c r="EM1" s="18"/>
      <c r="EN1" s="18"/>
      <c r="EO1" s="18"/>
      <c r="EP1" s="18"/>
      <c r="EQ1" s="18"/>
      <c r="ER1" s="18"/>
      <c r="ES1" s="18"/>
      <c r="ET1" s="18"/>
      <c r="EU1" s="18"/>
      <c r="EV1" s="18"/>
      <c r="EW1" s="18"/>
      <c r="EX1" s="18"/>
    </row>
    <row r="2" ht="15.75" customHeight="1">
      <c r="A2" s="7"/>
      <c r="B2" s="7"/>
      <c r="C2" s="7"/>
      <c r="D2" s="7"/>
      <c r="E2" s="7"/>
      <c r="F2" s="7"/>
      <c r="G2" s="7"/>
      <c r="H2" s="7"/>
      <c r="I2" s="7"/>
      <c r="J2" s="19" t="str">
        <f> VLOOKUP($E$3,'_MasterData'!B4:D1000,3,FALSE)</f>
        <v>#N/A</v>
      </c>
      <c r="K2" s="19"/>
      <c r="L2" s="7"/>
      <c r="M2" s="7"/>
      <c r="N2" s="7"/>
      <c r="O2" s="7"/>
    </row>
    <row r="3" ht="15.75" customHeight="1">
      <c r="A3" s="20"/>
      <c r="B3" s="9" t="s">
        <v>3</v>
      </c>
      <c r="C3" s="21" t="s">
        <v>42</v>
      </c>
      <c r="D3" s="9" t="s">
        <v>6</v>
      </c>
      <c r="E3" s="21" t="s">
        <v>43</v>
      </c>
      <c r="F3" s="9" t="s">
        <v>15</v>
      </c>
      <c r="G3" s="16" t="s">
        <v>17</v>
      </c>
      <c r="H3" s="9"/>
      <c r="I3" s="20"/>
      <c r="J3" s="20"/>
      <c r="K3" s="20"/>
      <c r="L3" s="20"/>
      <c r="M3" s="20"/>
      <c r="N3" s="20"/>
      <c r="O3" s="20"/>
      <c r="P3" s="22"/>
      <c r="Q3" s="22"/>
      <c r="R3" s="22"/>
      <c r="S3" s="22"/>
      <c r="T3" s="22"/>
      <c r="U3" s="22"/>
      <c r="V3" s="22"/>
      <c r="W3" s="22"/>
      <c r="X3" s="22"/>
      <c r="Y3" s="22"/>
      <c r="Z3" s="22"/>
      <c r="AA3" s="22"/>
      <c r="AB3" s="22"/>
      <c r="AC3" s="22"/>
      <c r="AD3" s="22"/>
      <c r="AE3" s="22"/>
      <c r="AF3" s="22"/>
      <c r="AG3" s="22"/>
      <c r="AH3" s="22"/>
      <c r="AI3" s="22"/>
      <c r="AJ3" s="22"/>
      <c r="AK3" s="22"/>
      <c r="AL3" s="22"/>
      <c r="AM3" s="22"/>
      <c r="AN3" s="22"/>
      <c r="AO3" s="22"/>
      <c r="AP3" s="22"/>
      <c r="AQ3" s="22"/>
      <c r="AR3" s="22"/>
      <c r="AS3" s="22"/>
      <c r="AT3" s="22"/>
      <c r="AU3" s="22"/>
      <c r="AV3" s="22"/>
      <c r="AW3" s="22"/>
      <c r="AX3" s="22"/>
      <c r="AY3" s="22"/>
      <c r="AZ3" s="22"/>
      <c r="BA3" s="22"/>
      <c r="BB3" s="22"/>
      <c r="BC3" s="22"/>
      <c r="BD3" s="22"/>
      <c r="BE3" s="22"/>
      <c r="BF3" s="22"/>
      <c r="BG3" s="22"/>
      <c r="BH3" s="22"/>
      <c r="BI3" s="22"/>
      <c r="BJ3" s="22"/>
      <c r="BK3" s="22"/>
      <c r="BL3" s="22"/>
      <c r="BM3" s="22"/>
      <c r="BN3" s="22"/>
      <c r="BO3" s="22"/>
      <c r="BP3" s="22"/>
      <c r="BQ3" s="22"/>
      <c r="BR3" s="22"/>
      <c r="BS3" s="22"/>
      <c r="BT3" s="22"/>
      <c r="BU3" s="22"/>
      <c r="BV3" s="22"/>
      <c r="BW3" s="22"/>
      <c r="BX3" s="22"/>
      <c r="BY3" s="22"/>
      <c r="BZ3" s="22"/>
      <c r="CA3" s="22"/>
      <c r="CB3" s="22"/>
      <c r="CC3" s="22"/>
      <c r="CD3" s="22"/>
      <c r="CE3" s="22"/>
      <c r="CF3" s="22"/>
      <c r="CG3" s="22"/>
      <c r="CH3" s="22"/>
      <c r="CI3" s="22"/>
      <c r="CJ3" s="22"/>
      <c r="CK3" s="22"/>
      <c r="CL3" s="22"/>
      <c r="CM3" s="22"/>
      <c r="CN3" s="22"/>
      <c r="CO3" s="22"/>
      <c r="CP3" s="22"/>
      <c r="CQ3" s="22"/>
      <c r="CR3" s="22"/>
      <c r="CS3" s="22"/>
      <c r="CT3" s="22"/>
      <c r="CU3" s="22"/>
      <c r="CV3" s="22"/>
      <c r="CW3" s="22"/>
      <c r="CX3" s="22"/>
      <c r="CY3" s="22"/>
      <c r="CZ3" s="22"/>
      <c r="DA3" s="22"/>
      <c r="DB3" s="22"/>
      <c r="DC3" s="22"/>
      <c r="DD3" s="22"/>
      <c r="DE3" s="22"/>
      <c r="DF3" s="22"/>
      <c r="DG3" s="22"/>
      <c r="DH3" s="22"/>
      <c r="DI3" s="22"/>
      <c r="DJ3" s="22"/>
      <c r="DK3" s="22"/>
      <c r="DL3" s="22"/>
      <c r="DM3" s="22"/>
      <c r="DN3" s="22"/>
      <c r="DO3" s="22"/>
      <c r="DP3" s="22"/>
      <c r="DQ3" s="22"/>
      <c r="DR3" s="22"/>
      <c r="DS3" s="22"/>
      <c r="DT3" s="22"/>
      <c r="DU3" s="22"/>
      <c r="DV3" s="22"/>
      <c r="DW3" s="22"/>
      <c r="DX3" s="22"/>
      <c r="DY3" s="22"/>
      <c r="DZ3" s="22"/>
      <c r="EA3" s="22"/>
      <c r="EB3" s="22"/>
      <c r="EC3" s="22"/>
      <c r="ED3" s="22"/>
      <c r="EE3" s="22"/>
      <c r="EF3" s="22"/>
      <c r="EG3" s="22"/>
      <c r="EH3" s="22"/>
      <c r="EI3" s="22"/>
      <c r="EJ3" s="22"/>
      <c r="EK3" s="22"/>
      <c r="EL3" s="22"/>
      <c r="EM3" s="22"/>
      <c r="EN3" s="22"/>
      <c r="EO3" s="22"/>
      <c r="EP3" s="22"/>
      <c r="EQ3" s="22"/>
      <c r="ER3" s="22"/>
      <c r="ES3" s="22"/>
      <c r="ET3" s="22"/>
      <c r="EU3" s="22"/>
      <c r="EV3" s="22"/>
      <c r="EW3" s="22"/>
      <c r="EX3" s="22"/>
    </row>
    <row r="4" ht="15.75" customHeight="1">
      <c r="A4" s="23"/>
      <c r="B4" s="23" t="str">
        <f>IFERROR(__xludf.DUMMYFUNCTION("IF(C3="""","""",Transpose(IMPORTRANGE('_Settings'!$B$3,C3&amp;""!A4:A1000"")))"),"GetDataCash")</f>
        <v>GetDataCash</v>
      </c>
      <c r="C4" s="23" t="str">
        <f>IFERROR(__xludf.DUMMYFUNCTION("""COMPUTED_VALUE"""),"EnterCashDividends")</f>
        <v>EnterCashDividends</v>
      </c>
      <c r="D4" s="23" t="str">
        <f>IFERROR(__xludf.DUMMYFUNCTION("""COMPUTED_VALUE"""),"EnterNonTradingTransaction")</f>
        <v>EnterNonTradingTransaction</v>
      </c>
      <c r="E4" s="23" t="str">
        <f>IFERROR(__xludf.DUMMYFUNCTION("""COMPUTED_VALUE"""),"VerifyCash")</f>
        <v>VerifyCash</v>
      </c>
      <c r="F4" s="23" t="str">
        <f>IFERROR(__xludf.DUMMYFUNCTION("""COMPUTED_VALUE"""),"VerifyActivity")</f>
        <v>VerifyActivity</v>
      </c>
      <c r="G4" s="23" t="str">
        <f>IFERROR(__xludf.DUMMYFUNCTION("""COMPUTED_VALUE"""),"VerifyTradingTransaction")</f>
        <v>VerifyTradingTransaction</v>
      </c>
      <c r="H4" s="23" t="str">
        <f>IFERROR(__xludf.DUMMYFUNCTION("""COMPUTED_VALUE"""),"VerifyRevaluationData")</f>
        <v>VerifyRevaluationData</v>
      </c>
      <c r="I4" s="23" t="str">
        <f>IFERROR(__xludf.DUMMYFUNCTION("""COMPUTED_VALUE"""),"GetTradingTransaction")</f>
        <v>GetTradingTransaction</v>
      </c>
      <c r="J4" s="23" t="str">
        <f>IFERROR(__xludf.DUMMYFUNCTION("""COMPUTED_VALUE"""),"GetActivityData")</f>
        <v>GetActivityData</v>
      </c>
      <c r="K4" s="23" t="str">
        <f>IFERROR(__xludf.DUMMYFUNCTION("""COMPUTED_VALUE"""),"GetRevaluationData")</f>
        <v>GetRevaluationData</v>
      </c>
      <c r="L4" s="23" t="str">
        <f>IFERROR(__xludf.DUMMYFUNCTION("""COMPUTED_VALUE"""),"GetAccountDetails")</f>
        <v>GetAccountDetails</v>
      </c>
      <c r="M4" s="23" t="str">
        <f>IFERROR(__xludf.DUMMYFUNCTION("""COMPUTED_VALUE"""),"GetNonTradingTransaction")</f>
        <v>GetNonTradingTransaction</v>
      </c>
      <c r="N4" s="23" t="str">
        <f>IFERROR(__xludf.DUMMYFUNCTION("""COMPUTED_VALUE"""),"GetDividendData")</f>
        <v>GetDividendData</v>
      </c>
      <c r="O4" s="23" t="str">
        <f>IFERROR(__xludf.DUMMYFUNCTION("""COMPUTED_VALUE"""),"VerifyNonTradingTransaction")</f>
        <v>VerifyNonTradingTransaction</v>
      </c>
      <c r="P4" s="24" t="str">
        <f>IFERROR(__xludf.DUMMYFUNCTION("""COMPUTED_VALUE"""),"VerifyDividend")</f>
        <v>VerifyDividend</v>
      </c>
      <c r="Q4" s="24" t="str">
        <f>IFERROR(__xludf.DUMMYFUNCTION("""COMPUTED_VALUE"""),"GetOpeningBalanceData")</f>
        <v>GetOpeningBalanceData</v>
      </c>
      <c r="R4" s="24" t="str">
        <f>IFERROR(__xludf.DUMMYFUNCTION("""COMPUTED_VALUE"""),"GetAccountBalance")</f>
        <v>GetAccountBalance</v>
      </c>
      <c r="S4" s="24" t="str">
        <f>IFERROR(__xludf.DUMMYFUNCTION("""COMPUTED_VALUE"""),"SelectNonTradingTransaction")</f>
        <v>SelectNonTradingTransaction</v>
      </c>
      <c r="T4" s="24" t="str">
        <f>IFERROR(__xludf.DUMMYFUNCTION("""COMPUTED_VALUE"""),"SelectNonTradingTranItem")</f>
        <v>SelectNonTradingTranItem</v>
      </c>
      <c r="U4" s="24" t="str">
        <f>IFERROR(__xludf.DUMMYFUNCTION("""COMPUTED_VALUE"""),"DeleteNonTradingTransaction")</f>
        <v>DeleteNonTradingTransaction</v>
      </c>
      <c r="V4" s="24" t="str">
        <f>IFERROR(__xludf.DUMMYFUNCTION("""COMPUTED_VALUE"""),"DeleteNonTradingTranItem")</f>
        <v>DeleteNonTradingTranItem</v>
      </c>
      <c r="W4" s="24" t="str">
        <f>IFERROR(__xludf.DUMMYFUNCTION("""COMPUTED_VALUE"""),"AddNonTradingTransaction")</f>
        <v>AddNonTradingTransaction</v>
      </c>
      <c r="X4" s="24" t="str">
        <f>IFERROR(__xludf.DUMMYFUNCTION("""COMPUTED_VALUE"""),"AddNonTradingTranItem")</f>
        <v>AddNonTradingTranItem</v>
      </c>
      <c r="Y4" s="24" t="str">
        <f>IFERROR(__xludf.DUMMYFUNCTION("""COMPUTED_VALUE"""),"VerifyOpeningBalanceData")</f>
        <v>VerifyOpeningBalanceData</v>
      </c>
      <c r="Z4" s="24" t="str">
        <f>IFERROR(__xludf.DUMMYFUNCTION("""COMPUTED_VALUE"""),"SelectOpeningBalanceTransaction")</f>
        <v>SelectOpeningBalanceTransaction</v>
      </c>
      <c r="AA4" s="24" t="str">
        <f>IFERROR(__xludf.DUMMYFUNCTION("""COMPUTED_VALUE"""),"SelectOpeningBalanceTranItem")</f>
        <v>SelectOpeningBalanceTranItem</v>
      </c>
      <c r="AB4" s="24" t="str">
        <f>IFERROR(__xludf.DUMMYFUNCTION("""COMPUTED_VALUE"""),"EditNonTradingTransaction")</f>
        <v>EditNonTradingTransaction</v>
      </c>
      <c r="AC4" s="24" t="str">
        <f>IFERROR(__xludf.DUMMYFUNCTION("""COMPUTED_VALUE"""),"EditNonTradingTranItem")</f>
        <v>EditNonTradingTranItem</v>
      </c>
      <c r="AD4" s="24" t="str">
        <f>IFERROR(__xludf.DUMMYFUNCTION("""COMPUTED_VALUE"""),"DeleteOpeningBalanceTransaction")</f>
        <v>DeleteOpeningBalanceTransaction</v>
      </c>
      <c r="AE4" s="24" t="str">
        <f>IFERROR(__xludf.DUMMYFUNCTION("""COMPUTED_VALUE"""),"DeleteOpeningBalanceTranItem")</f>
        <v>DeleteOpeningBalanceTranItem</v>
      </c>
      <c r="AF4" s="24" t="str">
        <f>IFERROR(__xludf.DUMMYFUNCTION("""COMPUTED_VALUE"""),"GetDayEndCash")</f>
        <v>GetDayEndCash</v>
      </c>
      <c r="AG4" s="24" t="str">
        <f>IFERROR(__xludf.DUMMYFUNCTION("""COMPUTED_VALUE"""),"VerifyDayEndCash")</f>
        <v>VerifyDayEndCash</v>
      </c>
      <c r="AH4" s="24" t="str">
        <f>IFERROR(__xludf.DUMMYFUNCTION("""COMPUTED_VALUE"""),"RunRevaluation")</f>
        <v>RunRevaluation</v>
      </c>
      <c r="AI4" s="24" t="str">
        <f>IFERROR(__xludf.DUMMYFUNCTION("""COMPUTED_VALUE"""),"CalculateDayEndCash")</f>
        <v>CalculateDayEndCash</v>
      </c>
      <c r="AJ4" s="24" t="str">
        <f>IFERROR(__xludf.DUMMYFUNCTION("""COMPUTED_VALUE"""),"GetCashTransaction")</f>
        <v>GetCashTransaction</v>
      </c>
      <c r="AK4" s="24" t="str">
        <f>IFERROR(__xludf.DUMMYFUNCTION("""COMPUTED_VALUE"""),"SelectCashTransaction")</f>
        <v>SelectCashTransaction</v>
      </c>
      <c r="AL4" s="24" t="str">
        <f>IFERROR(__xludf.DUMMYFUNCTION("""COMPUTED_VALUE"""),"DeleteCashTransaction")</f>
        <v>DeleteCashTransaction</v>
      </c>
      <c r="AM4" s="24" t="str">
        <f>IFERROR(__xludf.DUMMYFUNCTION("""COMPUTED_VALUE"""),"EditCashTransaction")</f>
        <v>EditCashTransaction</v>
      </c>
      <c r="AN4" s="24" t="str">
        <f>IFERROR(__xludf.DUMMYFUNCTION("""COMPUTED_VALUE"""),"AddCashTransaction")</f>
        <v>AddCashTransaction</v>
      </c>
      <c r="AO4" s="24" t="str">
        <f>IFERROR(__xludf.DUMMYFUNCTION("""COMPUTED_VALUE"""),"AddOpeningBalanceTransaction")</f>
        <v>AddOpeningBalanceTransaction</v>
      </c>
      <c r="AP4" s="24" t="str">
        <f>IFERROR(__xludf.DUMMYFUNCTION("""COMPUTED_VALUE"""),"AddOpeningBalanceTranItem")</f>
        <v>AddOpeningBalanceTranItem</v>
      </c>
      <c r="AQ4" s="24" t="str">
        <f>IFERROR(__xludf.DUMMYFUNCTION("""COMPUTED_VALUE"""),"GetDailyCalculationsData")</f>
        <v>GetDailyCalculationsData</v>
      </c>
      <c r="AR4" s="24" t="str">
        <f>IFERROR(__xludf.DUMMYFUNCTION("""COMPUTED_VALUE"""),"CalculateDailyCalculations")</f>
        <v>CalculateDailyCalculations</v>
      </c>
      <c r="AS4" s="24" t="str">
        <f>IFERROR(__xludf.DUMMYFUNCTION("""COMPUTED_VALUE"""),"EditOpeningBalanceTransaction")</f>
        <v>EditOpeningBalanceTransaction</v>
      </c>
      <c r="AT4" s="24" t="str">
        <f>IFERROR(__xludf.DUMMYFUNCTION("""COMPUTED_VALUE"""),"EditOpeningBalanceTranItem")</f>
        <v>EditOpeningBalanceTranItem</v>
      </c>
      <c r="AU4" s="24" t="str">
        <f>IFERROR(__xludf.DUMMYFUNCTION("""COMPUTED_VALUE"""),"VerifyDailyCalTransactions")</f>
        <v>VerifyDailyCalTransactions</v>
      </c>
      <c r="AV4" s="24" t="str">
        <f>IFERROR(__xludf.DUMMYFUNCTION("""COMPUTED_VALUE"""),"CloseGeneralLedger")</f>
        <v>CloseGeneralLedger</v>
      </c>
      <c r="AW4" s="24" t="str">
        <f>IFERROR(__xludf.DUMMYFUNCTION("""COMPUTED_VALUE"""),"VerifyAccountDetails")</f>
        <v>VerifyAccountDetails</v>
      </c>
      <c r="AX4" s="24" t="str">
        <f>IFERROR(__xludf.DUMMYFUNCTION("""COMPUTED_VALUE"""),"SaveTransaction")</f>
        <v>SaveTransaction</v>
      </c>
      <c r="AY4" s="24" t="str">
        <f>IFERROR(__xludf.DUMMYFUNCTION("""COMPUTED_VALUE"""),"")</f>
        <v/>
      </c>
      <c r="AZ4" s="24" t="str">
        <f>IFERROR(__xludf.DUMMYFUNCTION("""COMPUTED_VALUE"""),"")</f>
        <v/>
      </c>
      <c r="BA4" s="24" t="str">
        <f>IFERROR(__xludf.DUMMYFUNCTION("""COMPUTED_VALUE"""),"")</f>
        <v/>
      </c>
      <c r="BB4" s="24" t="str">
        <f>IFERROR(__xludf.DUMMYFUNCTION("""COMPUTED_VALUE"""),"")</f>
        <v/>
      </c>
      <c r="BC4" s="24" t="str">
        <f>IFERROR(__xludf.DUMMYFUNCTION("""COMPUTED_VALUE"""),"")</f>
        <v/>
      </c>
      <c r="BD4" s="24" t="str">
        <f>IFERROR(__xludf.DUMMYFUNCTION("""COMPUTED_VALUE"""),"")</f>
        <v/>
      </c>
      <c r="BE4" s="24" t="str">
        <f>IFERROR(__xludf.DUMMYFUNCTION("""COMPUTED_VALUE"""),"")</f>
        <v/>
      </c>
      <c r="BF4" s="24" t="str">
        <f>IFERROR(__xludf.DUMMYFUNCTION("""COMPUTED_VALUE"""),"")</f>
        <v/>
      </c>
      <c r="BG4" s="24" t="str">
        <f>IFERROR(__xludf.DUMMYFUNCTION("""COMPUTED_VALUE"""),"")</f>
        <v/>
      </c>
      <c r="BH4" s="24" t="str">
        <f>IFERROR(__xludf.DUMMYFUNCTION("""COMPUTED_VALUE"""),"")</f>
        <v/>
      </c>
      <c r="BI4" s="24" t="str">
        <f>IFERROR(__xludf.DUMMYFUNCTION("""COMPUTED_VALUE"""),"")</f>
        <v/>
      </c>
      <c r="BJ4" s="24" t="str">
        <f>IFERROR(__xludf.DUMMYFUNCTION("""COMPUTED_VALUE"""),"")</f>
        <v/>
      </c>
      <c r="BK4" s="24" t="str">
        <f>IFERROR(__xludf.DUMMYFUNCTION("""COMPUTED_VALUE"""),"")</f>
        <v/>
      </c>
      <c r="BL4" s="24" t="str">
        <f>IFERROR(__xludf.DUMMYFUNCTION("""COMPUTED_VALUE"""),"")</f>
        <v/>
      </c>
      <c r="BM4" s="24" t="str">
        <f>IFERROR(__xludf.DUMMYFUNCTION("""COMPUTED_VALUE"""),"")</f>
        <v/>
      </c>
      <c r="BN4" s="24" t="str">
        <f>IFERROR(__xludf.DUMMYFUNCTION("""COMPUTED_VALUE"""),"")</f>
        <v/>
      </c>
      <c r="BO4" s="24" t="str">
        <f>IFERROR(__xludf.DUMMYFUNCTION("""COMPUTED_VALUE"""),"")</f>
        <v/>
      </c>
      <c r="BP4" s="24" t="str">
        <f>IFERROR(__xludf.DUMMYFUNCTION("""COMPUTED_VALUE"""),"")</f>
        <v/>
      </c>
      <c r="BQ4" s="24" t="str">
        <f>IFERROR(__xludf.DUMMYFUNCTION("""COMPUTED_VALUE"""),"")</f>
        <v/>
      </c>
      <c r="BR4" s="24" t="str">
        <f>IFERROR(__xludf.DUMMYFUNCTION("""COMPUTED_VALUE"""),"")</f>
        <v/>
      </c>
      <c r="BS4" s="24" t="str">
        <f>IFERROR(__xludf.DUMMYFUNCTION("""COMPUTED_VALUE"""),"")</f>
        <v/>
      </c>
      <c r="BT4" s="24" t="str">
        <f>IFERROR(__xludf.DUMMYFUNCTION("""COMPUTED_VALUE"""),"")</f>
        <v/>
      </c>
      <c r="BU4" s="24" t="str">
        <f>IFERROR(__xludf.DUMMYFUNCTION("""COMPUTED_VALUE"""),"")</f>
        <v/>
      </c>
      <c r="BV4" s="24" t="str">
        <f>IFERROR(__xludf.DUMMYFUNCTION("""COMPUTED_VALUE"""),"")</f>
        <v/>
      </c>
      <c r="BW4" s="24" t="str">
        <f>IFERROR(__xludf.DUMMYFUNCTION("""COMPUTED_VALUE"""),"")</f>
        <v/>
      </c>
      <c r="BX4" s="24" t="str">
        <f>IFERROR(__xludf.DUMMYFUNCTION("""COMPUTED_VALUE"""),"")</f>
        <v/>
      </c>
      <c r="BY4" s="24" t="str">
        <f>IFERROR(__xludf.DUMMYFUNCTION("""COMPUTED_VALUE"""),"")</f>
        <v/>
      </c>
      <c r="BZ4" s="24" t="str">
        <f>IFERROR(__xludf.DUMMYFUNCTION("""COMPUTED_VALUE"""),"")</f>
        <v/>
      </c>
      <c r="CA4" s="24" t="str">
        <f>IFERROR(__xludf.DUMMYFUNCTION("""COMPUTED_VALUE"""),"")</f>
        <v/>
      </c>
      <c r="CB4" s="24" t="str">
        <f>IFERROR(__xludf.DUMMYFUNCTION("""COMPUTED_VALUE"""),"")</f>
        <v/>
      </c>
      <c r="CC4" s="24" t="str">
        <f>IFERROR(__xludf.DUMMYFUNCTION("""COMPUTED_VALUE"""),"")</f>
        <v/>
      </c>
      <c r="CD4" s="24" t="str">
        <f>IFERROR(__xludf.DUMMYFUNCTION("""COMPUTED_VALUE"""),"")</f>
        <v/>
      </c>
      <c r="CE4" s="24" t="str">
        <f>IFERROR(__xludf.DUMMYFUNCTION("""COMPUTED_VALUE"""),"")</f>
        <v/>
      </c>
      <c r="CF4" s="24" t="str">
        <f>IFERROR(__xludf.DUMMYFUNCTION("""COMPUTED_VALUE"""),"")</f>
        <v/>
      </c>
      <c r="CG4" s="24" t="str">
        <f>IFERROR(__xludf.DUMMYFUNCTION("""COMPUTED_VALUE"""),"")</f>
        <v/>
      </c>
      <c r="CH4" s="24" t="str">
        <f>IFERROR(__xludf.DUMMYFUNCTION("""COMPUTED_VALUE"""),"")</f>
        <v/>
      </c>
      <c r="CI4" s="24" t="str">
        <f>IFERROR(__xludf.DUMMYFUNCTION("""COMPUTED_VALUE"""),"")</f>
        <v/>
      </c>
      <c r="CJ4" s="24" t="str">
        <f>IFERROR(__xludf.DUMMYFUNCTION("""COMPUTED_VALUE"""),"")</f>
        <v/>
      </c>
      <c r="CK4" s="24" t="str">
        <f>IFERROR(__xludf.DUMMYFUNCTION("""COMPUTED_VALUE"""),"")</f>
        <v/>
      </c>
      <c r="CL4" s="24" t="str">
        <f>IFERROR(__xludf.DUMMYFUNCTION("""COMPUTED_VALUE"""),"")</f>
        <v/>
      </c>
      <c r="CM4" s="24" t="str">
        <f>IFERROR(__xludf.DUMMYFUNCTION("""COMPUTED_VALUE"""),"")</f>
        <v/>
      </c>
      <c r="CN4" s="24" t="str">
        <f>IFERROR(__xludf.DUMMYFUNCTION("""COMPUTED_VALUE"""),"")</f>
        <v/>
      </c>
      <c r="CO4" s="24" t="str">
        <f>IFERROR(__xludf.DUMMYFUNCTION("""COMPUTED_VALUE"""),"")</f>
        <v/>
      </c>
      <c r="CP4" s="24" t="str">
        <f>IFERROR(__xludf.DUMMYFUNCTION("""COMPUTED_VALUE"""),"")</f>
        <v/>
      </c>
      <c r="CQ4" s="24" t="str">
        <f>IFERROR(__xludf.DUMMYFUNCTION("""COMPUTED_VALUE"""),"")</f>
        <v/>
      </c>
      <c r="CR4" s="24" t="str">
        <f>IFERROR(__xludf.DUMMYFUNCTION("""COMPUTED_VALUE"""),"")</f>
        <v/>
      </c>
      <c r="CS4" s="24" t="str">
        <f>IFERROR(__xludf.DUMMYFUNCTION("""COMPUTED_VALUE"""),"")</f>
        <v/>
      </c>
      <c r="CT4" s="24" t="str">
        <f>IFERROR(__xludf.DUMMYFUNCTION("""COMPUTED_VALUE"""),"")</f>
        <v/>
      </c>
      <c r="CU4" s="24" t="str">
        <f>IFERROR(__xludf.DUMMYFUNCTION("""COMPUTED_VALUE"""),"")</f>
        <v/>
      </c>
      <c r="CV4" s="24" t="str">
        <f>IFERROR(__xludf.DUMMYFUNCTION("""COMPUTED_VALUE"""),"")</f>
        <v/>
      </c>
      <c r="CW4" s="24" t="str">
        <f>IFERROR(__xludf.DUMMYFUNCTION("""COMPUTED_VALUE"""),"")</f>
        <v/>
      </c>
      <c r="CX4" s="24" t="str">
        <f>IFERROR(__xludf.DUMMYFUNCTION("""COMPUTED_VALUE"""),"")</f>
        <v/>
      </c>
      <c r="CY4" s="24" t="str">
        <f>IFERROR(__xludf.DUMMYFUNCTION("""COMPUTED_VALUE"""),"")</f>
        <v/>
      </c>
      <c r="CZ4" s="24" t="str">
        <f>IFERROR(__xludf.DUMMYFUNCTION("""COMPUTED_VALUE"""),"")</f>
        <v/>
      </c>
      <c r="DA4" s="24" t="str">
        <f>IFERROR(__xludf.DUMMYFUNCTION("""COMPUTED_VALUE"""),"")</f>
        <v/>
      </c>
      <c r="DB4" s="24" t="str">
        <f>IFERROR(__xludf.DUMMYFUNCTION("""COMPUTED_VALUE"""),"")</f>
        <v/>
      </c>
      <c r="DC4" s="24" t="str">
        <f>IFERROR(__xludf.DUMMYFUNCTION("""COMPUTED_VALUE"""),"")</f>
        <v/>
      </c>
      <c r="DD4" s="24" t="str">
        <f>IFERROR(__xludf.DUMMYFUNCTION("""COMPUTED_VALUE"""),"")</f>
        <v/>
      </c>
      <c r="DE4" s="24" t="str">
        <f>IFERROR(__xludf.DUMMYFUNCTION("""COMPUTED_VALUE"""),"")</f>
        <v/>
      </c>
      <c r="DF4" s="24" t="str">
        <f>IFERROR(__xludf.DUMMYFUNCTION("""COMPUTED_VALUE"""),"")</f>
        <v/>
      </c>
      <c r="DG4" s="24" t="str">
        <f>IFERROR(__xludf.DUMMYFUNCTION("""COMPUTED_VALUE"""),"")</f>
        <v/>
      </c>
      <c r="DH4" s="24" t="str">
        <f>IFERROR(__xludf.DUMMYFUNCTION("""COMPUTED_VALUE"""),"")</f>
        <v/>
      </c>
      <c r="DI4" s="24" t="str">
        <f>IFERROR(__xludf.DUMMYFUNCTION("""COMPUTED_VALUE"""),"")</f>
        <v/>
      </c>
      <c r="DJ4" s="24" t="str">
        <f>IFERROR(__xludf.DUMMYFUNCTION("""COMPUTED_VALUE"""),"")</f>
        <v/>
      </c>
      <c r="DK4" s="24" t="str">
        <f>IFERROR(__xludf.DUMMYFUNCTION("""COMPUTED_VALUE"""),"")</f>
        <v/>
      </c>
      <c r="DL4" s="24" t="str">
        <f>IFERROR(__xludf.DUMMYFUNCTION("""COMPUTED_VALUE"""),"")</f>
        <v/>
      </c>
      <c r="DM4" s="24" t="str">
        <f>IFERROR(__xludf.DUMMYFUNCTION("""COMPUTED_VALUE"""),"")</f>
        <v/>
      </c>
      <c r="DN4" s="24" t="str">
        <f>IFERROR(__xludf.DUMMYFUNCTION("""COMPUTED_VALUE"""),"")</f>
        <v/>
      </c>
      <c r="DO4" s="24" t="str">
        <f>IFERROR(__xludf.DUMMYFUNCTION("""COMPUTED_VALUE"""),"")</f>
        <v/>
      </c>
      <c r="DP4" s="24" t="str">
        <f>IFERROR(__xludf.DUMMYFUNCTION("""COMPUTED_VALUE"""),"")</f>
        <v/>
      </c>
      <c r="DQ4" s="24" t="str">
        <f>IFERROR(__xludf.DUMMYFUNCTION("""COMPUTED_VALUE"""),"")</f>
        <v/>
      </c>
      <c r="DR4" s="24" t="str">
        <f>IFERROR(__xludf.DUMMYFUNCTION("""COMPUTED_VALUE"""),"")</f>
        <v/>
      </c>
      <c r="DS4" s="24" t="str">
        <f>IFERROR(__xludf.DUMMYFUNCTION("""COMPUTED_VALUE"""),"")</f>
        <v/>
      </c>
      <c r="DT4" s="24" t="str">
        <f>IFERROR(__xludf.DUMMYFUNCTION("""COMPUTED_VALUE"""),"")</f>
        <v/>
      </c>
      <c r="DU4" s="24" t="str">
        <f>IFERROR(__xludf.DUMMYFUNCTION("""COMPUTED_VALUE"""),"")</f>
        <v/>
      </c>
      <c r="DV4" s="24" t="str">
        <f>IFERROR(__xludf.DUMMYFUNCTION("""COMPUTED_VALUE"""),"")</f>
        <v/>
      </c>
      <c r="DW4" s="24" t="str">
        <f>IFERROR(__xludf.DUMMYFUNCTION("""COMPUTED_VALUE"""),"")</f>
        <v/>
      </c>
      <c r="DX4" s="24" t="str">
        <f>IFERROR(__xludf.DUMMYFUNCTION("""COMPUTED_VALUE"""),"")</f>
        <v/>
      </c>
      <c r="DY4" s="24" t="str">
        <f>IFERROR(__xludf.DUMMYFUNCTION("""COMPUTED_VALUE"""),"")</f>
        <v/>
      </c>
      <c r="DZ4" s="24" t="str">
        <f>IFERROR(__xludf.DUMMYFUNCTION("""COMPUTED_VALUE"""),"")</f>
        <v/>
      </c>
      <c r="EA4" s="24" t="str">
        <f>IFERROR(__xludf.DUMMYFUNCTION("""COMPUTED_VALUE"""),"")</f>
        <v/>
      </c>
      <c r="EB4" s="24" t="str">
        <f>IFERROR(__xludf.DUMMYFUNCTION("""COMPUTED_VALUE"""),"")</f>
        <v/>
      </c>
      <c r="EC4" s="24" t="str">
        <f>IFERROR(__xludf.DUMMYFUNCTION("""COMPUTED_VALUE"""),"")</f>
        <v/>
      </c>
      <c r="ED4" s="24" t="str">
        <f>IFERROR(__xludf.DUMMYFUNCTION("""COMPUTED_VALUE"""),"")</f>
        <v/>
      </c>
      <c r="EE4" s="24" t="str">
        <f>IFERROR(__xludf.DUMMYFUNCTION("""COMPUTED_VALUE"""),"")</f>
        <v/>
      </c>
      <c r="EF4" s="24" t="str">
        <f>IFERROR(__xludf.DUMMYFUNCTION("""COMPUTED_VALUE"""),"")</f>
        <v/>
      </c>
      <c r="EG4" s="24" t="str">
        <f>IFERROR(__xludf.DUMMYFUNCTION("""COMPUTED_VALUE"""),"")</f>
        <v/>
      </c>
      <c r="EH4" s="24" t="str">
        <f>IFERROR(__xludf.DUMMYFUNCTION("""COMPUTED_VALUE"""),"")</f>
        <v/>
      </c>
      <c r="EI4" s="24" t="str">
        <f>IFERROR(__xludf.DUMMYFUNCTION("""COMPUTED_VALUE"""),"")</f>
        <v/>
      </c>
      <c r="EJ4" s="24" t="str">
        <f>IFERROR(__xludf.DUMMYFUNCTION("""COMPUTED_VALUE"""),"")</f>
        <v/>
      </c>
      <c r="EK4" s="24" t="str">
        <f>IFERROR(__xludf.DUMMYFUNCTION("""COMPUTED_VALUE"""),"")</f>
        <v/>
      </c>
      <c r="EL4" s="24" t="str">
        <f>IFERROR(__xludf.DUMMYFUNCTION("""COMPUTED_VALUE"""),"")</f>
        <v/>
      </c>
      <c r="EM4" s="24" t="str">
        <f>IFERROR(__xludf.DUMMYFUNCTION("""COMPUTED_VALUE"""),"")</f>
        <v/>
      </c>
      <c r="EN4" s="24" t="str">
        <f>IFERROR(__xludf.DUMMYFUNCTION("""COMPUTED_VALUE"""),"")</f>
        <v/>
      </c>
      <c r="EO4" s="24" t="str">
        <f>IFERROR(__xludf.DUMMYFUNCTION("""COMPUTED_VALUE"""),"")</f>
        <v/>
      </c>
      <c r="EP4" s="24" t="str">
        <f>IFERROR(__xludf.DUMMYFUNCTION("""COMPUTED_VALUE"""),"")</f>
        <v/>
      </c>
      <c r="EQ4" s="24" t="str">
        <f>IFERROR(__xludf.DUMMYFUNCTION("""COMPUTED_VALUE"""),"")</f>
        <v/>
      </c>
      <c r="ER4" s="24" t="str">
        <f>IFERROR(__xludf.DUMMYFUNCTION("""COMPUTED_VALUE"""),"")</f>
        <v/>
      </c>
      <c r="ES4" s="24" t="str">
        <f>IFERROR(__xludf.DUMMYFUNCTION("""COMPUTED_VALUE"""),"")</f>
        <v/>
      </c>
      <c r="ET4" s="24" t="str">
        <f>IFERROR(__xludf.DUMMYFUNCTION("""COMPUTED_VALUE"""),"")</f>
        <v/>
      </c>
      <c r="EU4" s="24" t="str">
        <f>IFERROR(__xludf.DUMMYFUNCTION("""COMPUTED_VALUE"""),"")</f>
        <v/>
      </c>
      <c r="EV4" s="24" t="str">
        <f>IFERROR(__xludf.DUMMYFUNCTION("""COMPUTED_VALUE"""),"")</f>
        <v/>
      </c>
      <c r="EW4" s="24" t="str">
        <f>IFERROR(__xludf.DUMMYFUNCTION("""COMPUTED_VALUE"""),"")</f>
        <v/>
      </c>
      <c r="EX4" s="24" t="str">
        <f>IFERROR(__xludf.DUMMYFUNCTION("""COMPUTED_VALUE"""),"")</f>
        <v/>
      </c>
    </row>
    <row r="5" ht="15.75" customHeight="1">
      <c r="A5" s="25" t="str">
        <f>IFERROR(__xludf.DUMMYFUNCTION("TRANSPOSE(IMPORTRANGE(VLOOKUP($E$3,IMPORTRANGE('_Settings'!$B$3,$C$3&amp;""!A4:B1000""),2,FALSE),$G$3&amp;""!A4:A1000""))"),"")</f>
        <v/>
      </c>
      <c r="B5" s="26" t="str">
        <f>IFERROR(__xludf.DUMMYFUNCTION("""COMPUTED_VALUE"""),"MasterFund")</f>
        <v>MasterFund</v>
      </c>
      <c r="C5" s="26" t="str">
        <f>IFERROR(__xludf.DUMMYFUNCTION("""COMPUTED_VALUE"""),"Accounts")</f>
        <v>Accounts</v>
      </c>
      <c r="D5" s="26" t="str">
        <f>IFERROR(__xludf.DUMMYFUNCTION("""COMPUTED_VALUE"""),"From Date")</f>
        <v>From Date</v>
      </c>
      <c r="E5" s="26" t="str">
        <f>IFERROR(__xludf.DUMMYFUNCTION("""COMPUTED_VALUE"""),"To Date")</f>
        <v>To Date</v>
      </c>
      <c r="F5" s="27" t="str">
        <f>IFERROR(__xludf.DUMMYFUNCTION("""COMPUTED_VALUE"""),"")</f>
        <v/>
      </c>
      <c r="G5" s="26" t="str">
        <f>IFERROR(__xludf.DUMMYFUNCTION("""COMPUTED_VALUE"""),"")</f>
        <v/>
      </c>
      <c r="H5" s="26" t="str">
        <f>IFERROR(__xludf.DUMMYFUNCTION("""COMPUTED_VALUE"""),"")</f>
        <v/>
      </c>
      <c r="I5" s="26" t="str">
        <f>IFERROR(__xludf.DUMMYFUNCTION("""COMPUTED_VALUE"""),"")</f>
        <v/>
      </c>
      <c r="J5" s="26" t="str">
        <f>IFERROR(__xludf.DUMMYFUNCTION("""COMPUTED_VALUE"""),"")</f>
        <v/>
      </c>
      <c r="K5" s="26" t="str">
        <f>IFERROR(__xludf.DUMMYFUNCTION("""COMPUTED_VALUE"""),"")</f>
        <v/>
      </c>
      <c r="L5" s="26" t="str">
        <f>IFERROR(__xludf.DUMMYFUNCTION("""COMPUTED_VALUE"""),"")</f>
        <v/>
      </c>
      <c r="M5" s="26" t="str">
        <f>IFERROR(__xludf.DUMMYFUNCTION("""COMPUTED_VALUE"""),"")</f>
        <v/>
      </c>
      <c r="N5" s="26" t="str">
        <f>IFERROR(__xludf.DUMMYFUNCTION("""COMPUTED_VALUE"""),"")</f>
        <v/>
      </c>
      <c r="O5" s="26" t="str">
        <f>IFERROR(__xludf.DUMMYFUNCTION("""COMPUTED_VALUE"""),"")</f>
        <v/>
      </c>
      <c r="P5" s="26" t="str">
        <f>IFERROR(__xludf.DUMMYFUNCTION("""COMPUTED_VALUE"""),"")</f>
        <v/>
      </c>
      <c r="Q5" s="26" t="str">
        <f>IFERROR(__xludf.DUMMYFUNCTION("""COMPUTED_VALUE"""),"")</f>
        <v/>
      </c>
      <c r="R5" s="26" t="str">
        <f>IFERROR(__xludf.DUMMYFUNCTION("""COMPUTED_VALUE"""),"")</f>
        <v/>
      </c>
      <c r="S5" s="26" t="str">
        <f>IFERROR(__xludf.DUMMYFUNCTION("""COMPUTED_VALUE"""),"")</f>
        <v/>
      </c>
      <c r="T5" s="28" t="str">
        <f>IFERROR(__xludf.DUMMYFUNCTION("""COMPUTED_VALUE"""),"")</f>
        <v/>
      </c>
      <c r="U5" s="28" t="str">
        <f>IFERROR(__xludf.DUMMYFUNCTION("""COMPUTED_VALUE"""),"")</f>
        <v/>
      </c>
      <c r="V5" s="28" t="str">
        <f>IFERROR(__xludf.DUMMYFUNCTION("""COMPUTED_VALUE"""),"")</f>
        <v/>
      </c>
      <c r="W5" s="28" t="str">
        <f>IFERROR(__xludf.DUMMYFUNCTION("""COMPUTED_VALUE"""),"")</f>
        <v/>
      </c>
      <c r="X5" s="28" t="str">
        <f>IFERROR(__xludf.DUMMYFUNCTION("""COMPUTED_VALUE"""),"")</f>
        <v/>
      </c>
      <c r="Y5" s="28" t="str">
        <f>IFERROR(__xludf.DUMMYFUNCTION("""COMPUTED_VALUE"""),"")</f>
        <v/>
      </c>
      <c r="Z5" s="28" t="str">
        <f>IFERROR(__xludf.DUMMYFUNCTION("""COMPUTED_VALUE"""),"")</f>
        <v/>
      </c>
      <c r="AA5" s="28" t="str">
        <f>IFERROR(__xludf.DUMMYFUNCTION("""COMPUTED_VALUE"""),"")</f>
        <v/>
      </c>
      <c r="AB5" s="28" t="str">
        <f>IFERROR(__xludf.DUMMYFUNCTION("""COMPUTED_VALUE"""),"")</f>
        <v/>
      </c>
      <c r="AC5" s="28" t="str">
        <f>IFERROR(__xludf.DUMMYFUNCTION("""COMPUTED_VALUE"""),"")</f>
        <v/>
      </c>
      <c r="AD5" s="28" t="str">
        <f>IFERROR(__xludf.DUMMYFUNCTION("""COMPUTED_VALUE"""),"")</f>
        <v/>
      </c>
      <c r="AE5" s="28" t="str">
        <f>IFERROR(__xludf.DUMMYFUNCTION("""COMPUTED_VALUE"""),"")</f>
        <v/>
      </c>
      <c r="AF5" s="28" t="str">
        <f>IFERROR(__xludf.DUMMYFUNCTION("""COMPUTED_VALUE"""),"")</f>
        <v/>
      </c>
      <c r="AG5" s="28" t="str">
        <f>IFERROR(__xludf.DUMMYFUNCTION("""COMPUTED_VALUE"""),"")</f>
        <v/>
      </c>
      <c r="AH5" s="28" t="str">
        <f>IFERROR(__xludf.DUMMYFUNCTION("""COMPUTED_VALUE"""),"")</f>
        <v/>
      </c>
      <c r="AI5" s="28" t="str">
        <f>IFERROR(__xludf.DUMMYFUNCTION("""COMPUTED_VALUE"""),"")</f>
        <v/>
      </c>
      <c r="AJ5" s="28" t="str">
        <f>IFERROR(__xludf.DUMMYFUNCTION("""COMPUTED_VALUE"""),"")</f>
        <v/>
      </c>
      <c r="AK5" s="28" t="str">
        <f>IFERROR(__xludf.DUMMYFUNCTION("""COMPUTED_VALUE"""),"")</f>
        <v/>
      </c>
      <c r="AL5" s="28" t="str">
        <f>IFERROR(__xludf.DUMMYFUNCTION("""COMPUTED_VALUE"""),"")</f>
        <v/>
      </c>
      <c r="AM5" s="28" t="str">
        <f>IFERROR(__xludf.DUMMYFUNCTION("""COMPUTED_VALUE"""),"")</f>
        <v/>
      </c>
      <c r="AN5" s="28" t="str">
        <f>IFERROR(__xludf.DUMMYFUNCTION("""COMPUTED_VALUE"""),"")</f>
        <v/>
      </c>
      <c r="AO5" s="28" t="str">
        <f>IFERROR(__xludf.DUMMYFUNCTION("""COMPUTED_VALUE"""),"")</f>
        <v/>
      </c>
      <c r="AP5" s="28" t="str">
        <f>IFERROR(__xludf.DUMMYFUNCTION("""COMPUTED_VALUE"""),"")</f>
        <v/>
      </c>
      <c r="AQ5" s="28" t="str">
        <f>IFERROR(__xludf.DUMMYFUNCTION("""COMPUTED_VALUE"""),"")</f>
        <v/>
      </c>
      <c r="AR5" s="28" t="str">
        <f>IFERROR(__xludf.DUMMYFUNCTION("""COMPUTED_VALUE"""),"")</f>
        <v/>
      </c>
      <c r="AS5" s="28" t="str">
        <f>IFERROR(__xludf.DUMMYFUNCTION("""COMPUTED_VALUE"""),"")</f>
        <v/>
      </c>
      <c r="AT5" s="28" t="str">
        <f>IFERROR(__xludf.DUMMYFUNCTION("""COMPUTED_VALUE"""),"")</f>
        <v/>
      </c>
      <c r="AU5" s="28" t="str">
        <f>IFERROR(__xludf.DUMMYFUNCTION("""COMPUTED_VALUE"""),"")</f>
        <v/>
      </c>
      <c r="AV5" s="28" t="str">
        <f>IFERROR(__xludf.DUMMYFUNCTION("""COMPUTED_VALUE"""),"")</f>
        <v/>
      </c>
      <c r="AW5" s="28" t="str">
        <f>IFERROR(__xludf.DUMMYFUNCTION("""COMPUTED_VALUE"""),"")</f>
        <v/>
      </c>
      <c r="AX5" s="28" t="str">
        <f>IFERROR(__xludf.DUMMYFUNCTION("""COMPUTED_VALUE"""),"")</f>
        <v/>
      </c>
      <c r="AY5" s="28" t="str">
        <f>IFERROR(__xludf.DUMMYFUNCTION("""COMPUTED_VALUE"""),"")</f>
        <v/>
      </c>
      <c r="AZ5" s="28" t="str">
        <f>IFERROR(__xludf.DUMMYFUNCTION("""COMPUTED_VALUE"""),"")</f>
        <v/>
      </c>
      <c r="BA5" s="28" t="str">
        <f>IFERROR(__xludf.DUMMYFUNCTION("""COMPUTED_VALUE"""),"")</f>
        <v/>
      </c>
      <c r="BB5" s="28" t="str">
        <f>IFERROR(__xludf.DUMMYFUNCTION("""COMPUTED_VALUE"""),"")</f>
        <v/>
      </c>
      <c r="BC5" s="28" t="str">
        <f>IFERROR(__xludf.DUMMYFUNCTION("""COMPUTED_VALUE"""),"")</f>
        <v/>
      </c>
      <c r="BD5" s="28" t="str">
        <f>IFERROR(__xludf.DUMMYFUNCTION("""COMPUTED_VALUE"""),"")</f>
        <v/>
      </c>
      <c r="BE5" s="28" t="str">
        <f>IFERROR(__xludf.DUMMYFUNCTION("""COMPUTED_VALUE"""),"")</f>
        <v/>
      </c>
      <c r="BF5" s="28" t="str">
        <f>IFERROR(__xludf.DUMMYFUNCTION("""COMPUTED_VALUE"""),"")</f>
        <v/>
      </c>
      <c r="BG5" s="28" t="str">
        <f>IFERROR(__xludf.DUMMYFUNCTION("""COMPUTED_VALUE"""),"")</f>
        <v/>
      </c>
      <c r="BH5" s="28" t="str">
        <f>IFERROR(__xludf.DUMMYFUNCTION("""COMPUTED_VALUE"""),"")</f>
        <v/>
      </c>
      <c r="BI5" s="28" t="str">
        <f>IFERROR(__xludf.DUMMYFUNCTION("""COMPUTED_VALUE"""),"")</f>
        <v/>
      </c>
      <c r="BJ5" s="28" t="str">
        <f>IFERROR(__xludf.DUMMYFUNCTION("""COMPUTED_VALUE"""),"")</f>
        <v/>
      </c>
      <c r="BK5" s="28" t="str">
        <f>IFERROR(__xludf.DUMMYFUNCTION("""COMPUTED_VALUE"""),"")</f>
        <v/>
      </c>
      <c r="BL5" s="28" t="str">
        <f>IFERROR(__xludf.DUMMYFUNCTION("""COMPUTED_VALUE"""),"")</f>
        <v/>
      </c>
      <c r="BM5" s="28" t="str">
        <f>IFERROR(__xludf.DUMMYFUNCTION("""COMPUTED_VALUE"""),"")</f>
        <v/>
      </c>
      <c r="BN5" s="28" t="str">
        <f>IFERROR(__xludf.DUMMYFUNCTION("""COMPUTED_VALUE"""),"")</f>
        <v/>
      </c>
      <c r="BO5" s="28" t="str">
        <f>IFERROR(__xludf.DUMMYFUNCTION("""COMPUTED_VALUE"""),"")</f>
        <v/>
      </c>
      <c r="BP5" s="28" t="str">
        <f>IFERROR(__xludf.DUMMYFUNCTION("""COMPUTED_VALUE"""),"")</f>
        <v/>
      </c>
      <c r="BQ5" s="28" t="str">
        <f>IFERROR(__xludf.DUMMYFUNCTION("""COMPUTED_VALUE"""),"")</f>
        <v/>
      </c>
      <c r="BR5" s="28" t="str">
        <f>IFERROR(__xludf.DUMMYFUNCTION("""COMPUTED_VALUE"""),"")</f>
        <v/>
      </c>
      <c r="BS5" s="28" t="str">
        <f>IFERROR(__xludf.DUMMYFUNCTION("""COMPUTED_VALUE"""),"")</f>
        <v/>
      </c>
      <c r="BT5" s="28" t="str">
        <f>IFERROR(__xludf.DUMMYFUNCTION("""COMPUTED_VALUE"""),"")</f>
        <v/>
      </c>
      <c r="BU5" s="28" t="str">
        <f>IFERROR(__xludf.DUMMYFUNCTION("""COMPUTED_VALUE"""),"")</f>
        <v/>
      </c>
      <c r="BV5" s="28" t="str">
        <f>IFERROR(__xludf.DUMMYFUNCTION("""COMPUTED_VALUE"""),"")</f>
        <v/>
      </c>
      <c r="BW5" s="28" t="str">
        <f>IFERROR(__xludf.DUMMYFUNCTION("""COMPUTED_VALUE"""),"")</f>
        <v/>
      </c>
      <c r="BX5" s="28" t="str">
        <f>IFERROR(__xludf.DUMMYFUNCTION("""COMPUTED_VALUE"""),"")</f>
        <v/>
      </c>
      <c r="BY5" s="28" t="str">
        <f>IFERROR(__xludf.DUMMYFUNCTION("""COMPUTED_VALUE"""),"")</f>
        <v/>
      </c>
      <c r="BZ5" s="28" t="str">
        <f>IFERROR(__xludf.DUMMYFUNCTION("""COMPUTED_VALUE"""),"")</f>
        <v/>
      </c>
      <c r="CA5" s="28" t="str">
        <f>IFERROR(__xludf.DUMMYFUNCTION("""COMPUTED_VALUE"""),"")</f>
        <v/>
      </c>
      <c r="CB5" s="28" t="str">
        <f>IFERROR(__xludf.DUMMYFUNCTION("""COMPUTED_VALUE"""),"")</f>
        <v/>
      </c>
      <c r="CC5" s="28" t="str">
        <f>IFERROR(__xludf.DUMMYFUNCTION("""COMPUTED_VALUE"""),"")</f>
        <v/>
      </c>
      <c r="CD5" s="28" t="str">
        <f>IFERROR(__xludf.DUMMYFUNCTION("""COMPUTED_VALUE"""),"")</f>
        <v/>
      </c>
      <c r="CE5" s="28" t="str">
        <f>IFERROR(__xludf.DUMMYFUNCTION("""COMPUTED_VALUE"""),"")</f>
        <v/>
      </c>
      <c r="CF5" s="28" t="str">
        <f>IFERROR(__xludf.DUMMYFUNCTION("""COMPUTED_VALUE"""),"")</f>
        <v/>
      </c>
      <c r="CG5" s="28" t="str">
        <f>IFERROR(__xludf.DUMMYFUNCTION("""COMPUTED_VALUE"""),"")</f>
        <v/>
      </c>
      <c r="CH5" s="28" t="str">
        <f>IFERROR(__xludf.DUMMYFUNCTION("""COMPUTED_VALUE"""),"")</f>
        <v/>
      </c>
      <c r="CI5" s="28" t="str">
        <f>IFERROR(__xludf.DUMMYFUNCTION("""COMPUTED_VALUE"""),"")</f>
        <v/>
      </c>
      <c r="CJ5" s="28" t="str">
        <f>IFERROR(__xludf.DUMMYFUNCTION("""COMPUTED_VALUE"""),"")</f>
        <v/>
      </c>
      <c r="CK5" s="28" t="str">
        <f>IFERROR(__xludf.DUMMYFUNCTION("""COMPUTED_VALUE"""),"")</f>
        <v/>
      </c>
      <c r="CL5" s="28" t="str">
        <f>IFERROR(__xludf.DUMMYFUNCTION("""COMPUTED_VALUE"""),"")</f>
        <v/>
      </c>
      <c r="CM5" s="28" t="str">
        <f>IFERROR(__xludf.DUMMYFUNCTION("""COMPUTED_VALUE"""),"")</f>
        <v/>
      </c>
      <c r="CN5" s="28" t="str">
        <f>IFERROR(__xludf.DUMMYFUNCTION("""COMPUTED_VALUE"""),"")</f>
        <v/>
      </c>
      <c r="CO5" s="28" t="str">
        <f>IFERROR(__xludf.DUMMYFUNCTION("""COMPUTED_VALUE"""),"")</f>
        <v/>
      </c>
      <c r="CP5" s="28" t="str">
        <f>IFERROR(__xludf.DUMMYFUNCTION("""COMPUTED_VALUE"""),"")</f>
        <v/>
      </c>
      <c r="CQ5" s="28" t="str">
        <f>IFERROR(__xludf.DUMMYFUNCTION("""COMPUTED_VALUE"""),"")</f>
        <v/>
      </c>
      <c r="CR5" s="28" t="str">
        <f>IFERROR(__xludf.DUMMYFUNCTION("""COMPUTED_VALUE"""),"")</f>
        <v/>
      </c>
      <c r="CS5" s="28" t="str">
        <f>IFERROR(__xludf.DUMMYFUNCTION("""COMPUTED_VALUE"""),"")</f>
        <v/>
      </c>
      <c r="CT5" s="28" t="str">
        <f>IFERROR(__xludf.DUMMYFUNCTION("""COMPUTED_VALUE"""),"")</f>
        <v/>
      </c>
      <c r="CU5" s="28" t="str">
        <f>IFERROR(__xludf.DUMMYFUNCTION("""COMPUTED_VALUE"""),"")</f>
        <v/>
      </c>
      <c r="CV5" s="28" t="str">
        <f>IFERROR(__xludf.DUMMYFUNCTION("""COMPUTED_VALUE"""),"")</f>
        <v/>
      </c>
      <c r="CW5" s="28" t="str">
        <f>IFERROR(__xludf.DUMMYFUNCTION("""COMPUTED_VALUE"""),"")</f>
        <v/>
      </c>
      <c r="CX5" s="28" t="str">
        <f>IFERROR(__xludf.DUMMYFUNCTION("""COMPUTED_VALUE"""),"")</f>
        <v/>
      </c>
      <c r="CY5" s="28" t="str">
        <f>IFERROR(__xludf.DUMMYFUNCTION("""COMPUTED_VALUE"""),"")</f>
        <v/>
      </c>
      <c r="CZ5" s="28" t="str">
        <f>IFERROR(__xludf.DUMMYFUNCTION("""COMPUTED_VALUE"""),"")</f>
        <v/>
      </c>
      <c r="DA5" s="28" t="str">
        <f>IFERROR(__xludf.DUMMYFUNCTION("""COMPUTED_VALUE"""),"")</f>
        <v/>
      </c>
      <c r="DB5" s="28" t="str">
        <f>IFERROR(__xludf.DUMMYFUNCTION("""COMPUTED_VALUE"""),"")</f>
        <v/>
      </c>
      <c r="DC5" s="28" t="str">
        <f>IFERROR(__xludf.DUMMYFUNCTION("""COMPUTED_VALUE"""),"")</f>
        <v/>
      </c>
      <c r="DD5" s="28" t="str">
        <f>IFERROR(__xludf.DUMMYFUNCTION("""COMPUTED_VALUE"""),"")</f>
        <v/>
      </c>
      <c r="DE5" s="28" t="str">
        <f>IFERROR(__xludf.DUMMYFUNCTION("""COMPUTED_VALUE"""),"")</f>
        <v/>
      </c>
      <c r="DF5" s="28" t="str">
        <f>IFERROR(__xludf.DUMMYFUNCTION("""COMPUTED_VALUE"""),"")</f>
        <v/>
      </c>
      <c r="DG5" s="28" t="str">
        <f>IFERROR(__xludf.DUMMYFUNCTION("""COMPUTED_VALUE"""),"")</f>
        <v/>
      </c>
      <c r="DH5" s="28" t="str">
        <f>IFERROR(__xludf.DUMMYFUNCTION("""COMPUTED_VALUE"""),"")</f>
        <v/>
      </c>
      <c r="DI5" s="28" t="str">
        <f>IFERROR(__xludf.DUMMYFUNCTION("""COMPUTED_VALUE"""),"")</f>
        <v/>
      </c>
      <c r="DJ5" s="28" t="str">
        <f>IFERROR(__xludf.DUMMYFUNCTION("""COMPUTED_VALUE"""),"")</f>
        <v/>
      </c>
      <c r="DK5" s="28" t="str">
        <f>IFERROR(__xludf.DUMMYFUNCTION("""COMPUTED_VALUE"""),"")</f>
        <v/>
      </c>
      <c r="DL5" s="28" t="str">
        <f>IFERROR(__xludf.DUMMYFUNCTION("""COMPUTED_VALUE"""),"")</f>
        <v/>
      </c>
      <c r="DM5" s="28" t="str">
        <f>IFERROR(__xludf.DUMMYFUNCTION("""COMPUTED_VALUE"""),"")</f>
        <v/>
      </c>
      <c r="DN5" s="28" t="str">
        <f>IFERROR(__xludf.DUMMYFUNCTION("""COMPUTED_VALUE"""),"")</f>
        <v/>
      </c>
      <c r="DO5" s="28" t="str">
        <f>IFERROR(__xludf.DUMMYFUNCTION("""COMPUTED_VALUE"""),"")</f>
        <v/>
      </c>
      <c r="DP5" s="28" t="str">
        <f>IFERROR(__xludf.DUMMYFUNCTION("""COMPUTED_VALUE"""),"")</f>
        <v/>
      </c>
      <c r="DQ5" s="28" t="str">
        <f>IFERROR(__xludf.DUMMYFUNCTION("""COMPUTED_VALUE"""),"")</f>
        <v/>
      </c>
      <c r="DR5" s="28" t="str">
        <f>IFERROR(__xludf.DUMMYFUNCTION("""COMPUTED_VALUE"""),"")</f>
        <v/>
      </c>
      <c r="DS5" s="28" t="str">
        <f>IFERROR(__xludf.DUMMYFUNCTION("""COMPUTED_VALUE"""),"")</f>
        <v/>
      </c>
      <c r="DT5" s="28" t="str">
        <f>IFERROR(__xludf.DUMMYFUNCTION("""COMPUTED_VALUE"""),"")</f>
        <v/>
      </c>
      <c r="DU5" s="28" t="str">
        <f>IFERROR(__xludf.DUMMYFUNCTION("""COMPUTED_VALUE"""),"")</f>
        <v/>
      </c>
      <c r="DV5" s="28" t="str">
        <f>IFERROR(__xludf.DUMMYFUNCTION("""COMPUTED_VALUE"""),"")</f>
        <v/>
      </c>
      <c r="DW5" s="28" t="str">
        <f>IFERROR(__xludf.DUMMYFUNCTION("""COMPUTED_VALUE"""),"")</f>
        <v/>
      </c>
      <c r="DX5" s="28" t="str">
        <f>IFERROR(__xludf.DUMMYFUNCTION("""COMPUTED_VALUE"""),"")</f>
        <v/>
      </c>
      <c r="DY5" s="28" t="str">
        <f>IFERROR(__xludf.DUMMYFUNCTION("""COMPUTED_VALUE"""),"")</f>
        <v/>
      </c>
      <c r="DZ5" s="28" t="str">
        <f>IFERROR(__xludf.DUMMYFUNCTION("""COMPUTED_VALUE"""),"")</f>
        <v/>
      </c>
      <c r="EA5" s="28" t="str">
        <f>IFERROR(__xludf.DUMMYFUNCTION("""COMPUTED_VALUE"""),"")</f>
        <v/>
      </c>
      <c r="EB5" s="28" t="str">
        <f>IFERROR(__xludf.DUMMYFUNCTION("""COMPUTED_VALUE"""),"")</f>
        <v/>
      </c>
      <c r="EC5" s="28" t="str">
        <f>IFERROR(__xludf.DUMMYFUNCTION("""COMPUTED_VALUE"""),"")</f>
        <v/>
      </c>
      <c r="ED5" s="28" t="str">
        <f>IFERROR(__xludf.DUMMYFUNCTION("""COMPUTED_VALUE"""),"")</f>
        <v/>
      </c>
      <c r="EE5" s="28" t="str">
        <f>IFERROR(__xludf.DUMMYFUNCTION("""COMPUTED_VALUE"""),"")</f>
        <v/>
      </c>
      <c r="EF5" s="28" t="str">
        <f>IFERROR(__xludf.DUMMYFUNCTION("""COMPUTED_VALUE"""),"")</f>
        <v/>
      </c>
      <c r="EG5" s="28" t="str">
        <f>IFERROR(__xludf.DUMMYFUNCTION("""COMPUTED_VALUE"""),"")</f>
        <v/>
      </c>
      <c r="EH5" s="28" t="str">
        <f>IFERROR(__xludf.DUMMYFUNCTION("""COMPUTED_VALUE"""),"")</f>
        <v/>
      </c>
      <c r="EI5" s="28" t="str">
        <f>IFERROR(__xludf.DUMMYFUNCTION("""COMPUTED_VALUE"""),"")</f>
        <v/>
      </c>
      <c r="EJ5" s="28" t="str">
        <f>IFERROR(__xludf.DUMMYFUNCTION("""COMPUTED_VALUE"""),"")</f>
        <v/>
      </c>
      <c r="EK5" s="28" t="str">
        <f>IFERROR(__xludf.DUMMYFUNCTION("""COMPUTED_VALUE"""),"")</f>
        <v/>
      </c>
      <c r="EL5" s="28" t="str">
        <f>IFERROR(__xludf.DUMMYFUNCTION("""COMPUTED_VALUE"""),"")</f>
        <v/>
      </c>
      <c r="EM5" s="28" t="str">
        <f>IFERROR(__xludf.DUMMYFUNCTION("""COMPUTED_VALUE"""),"")</f>
        <v/>
      </c>
      <c r="EN5" s="28" t="str">
        <f>IFERROR(__xludf.DUMMYFUNCTION("""COMPUTED_VALUE"""),"")</f>
        <v/>
      </c>
      <c r="EO5" s="28" t="str">
        <f>IFERROR(__xludf.DUMMYFUNCTION("""COMPUTED_VALUE"""),"")</f>
        <v/>
      </c>
      <c r="EP5" s="28" t="str">
        <f>IFERROR(__xludf.DUMMYFUNCTION("""COMPUTED_VALUE"""),"")</f>
        <v/>
      </c>
      <c r="EQ5" s="28" t="str">
        <f>IFERROR(__xludf.DUMMYFUNCTION("""COMPUTED_VALUE"""),"")</f>
        <v/>
      </c>
      <c r="ER5" s="28" t="str">
        <f>IFERROR(__xludf.DUMMYFUNCTION("""COMPUTED_VALUE"""),"")</f>
        <v/>
      </c>
      <c r="ES5" s="28" t="str">
        <f>IFERROR(__xludf.DUMMYFUNCTION("""COMPUTED_VALUE"""),"")</f>
        <v/>
      </c>
      <c r="ET5" s="28" t="str">
        <f>IFERROR(__xludf.DUMMYFUNCTION("""COMPUTED_VALUE"""),"")</f>
        <v/>
      </c>
      <c r="EU5" s="28" t="str">
        <f>IFERROR(__xludf.DUMMYFUNCTION("""COMPUTED_VALUE"""),"")</f>
        <v/>
      </c>
      <c r="EV5" s="28" t="str">
        <f>IFERROR(__xludf.DUMMYFUNCTION("""COMPUTED_VALUE"""),"")</f>
        <v/>
      </c>
      <c r="EW5" s="28" t="str">
        <f>IFERROR(__xludf.DUMMYFUNCTION("""COMPUTED_VALUE"""),"")</f>
        <v/>
      </c>
      <c r="EX5" s="28" t="str">
        <f>IFERROR(__xludf.DUMMYFUNCTION("""COMPUTED_VALUE"""),"")</f>
        <v/>
      </c>
    </row>
    <row r="6" ht="15.75" customHeight="1">
      <c r="A6" s="41"/>
      <c r="B6" s="42" t="s">
        <v>44</v>
      </c>
      <c r="C6" s="43" t="s">
        <v>38</v>
      </c>
      <c r="D6" s="53">
        <f>today()-2</f>
        <v>43661</v>
      </c>
      <c r="E6" s="53">
        <f>today()-1</f>
        <v>43662</v>
      </c>
      <c r="F6" s="43"/>
      <c r="G6" s="43"/>
      <c r="H6" s="43"/>
      <c r="I6" s="43"/>
      <c r="J6" s="43"/>
      <c r="K6" s="43"/>
      <c r="L6" s="43"/>
      <c r="M6" s="43"/>
      <c r="N6" s="43"/>
      <c r="O6" s="43"/>
      <c r="P6" s="43"/>
      <c r="Q6" s="43"/>
      <c r="R6" s="43"/>
      <c r="S6" s="43"/>
      <c r="T6" s="46"/>
      <c r="U6" s="46"/>
      <c r="V6" s="46"/>
      <c r="W6" s="46"/>
      <c r="X6" s="46"/>
      <c r="Y6" s="46"/>
      <c r="Z6" s="46"/>
      <c r="AA6" s="46"/>
      <c r="AB6" s="46"/>
      <c r="AC6" s="46"/>
      <c r="AD6" s="46"/>
      <c r="AE6" s="46"/>
      <c r="AF6" s="46"/>
      <c r="AG6" s="46"/>
      <c r="AH6" s="46"/>
      <c r="AI6" s="46"/>
      <c r="AJ6" s="46"/>
      <c r="AK6" s="46"/>
      <c r="AL6" s="46"/>
      <c r="AM6" s="46"/>
      <c r="AN6" s="46"/>
      <c r="AO6" s="46"/>
      <c r="AP6" s="46"/>
      <c r="AQ6" s="46"/>
      <c r="AR6" s="46"/>
      <c r="AS6" s="46"/>
      <c r="AT6" s="46"/>
      <c r="AU6" s="46"/>
      <c r="AV6" s="46"/>
      <c r="AW6" s="46"/>
      <c r="AX6" s="46"/>
      <c r="AY6" s="46"/>
      <c r="AZ6" s="46"/>
      <c r="BA6" s="46"/>
      <c r="BB6" s="46"/>
      <c r="BC6" s="46"/>
      <c r="BD6" s="46"/>
      <c r="BE6" s="46"/>
      <c r="BF6" s="46"/>
      <c r="BG6" s="46"/>
      <c r="BH6" s="46"/>
      <c r="BI6" s="46"/>
      <c r="BJ6" s="46"/>
      <c r="BK6" s="46"/>
      <c r="BL6" s="46"/>
      <c r="BM6" s="46"/>
      <c r="BN6" s="46"/>
      <c r="BO6" s="46"/>
      <c r="BP6" s="46"/>
      <c r="BQ6" s="46"/>
      <c r="BR6" s="46"/>
      <c r="BS6" s="46"/>
      <c r="BT6" s="46"/>
      <c r="BU6" s="46"/>
      <c r="BV6" s="46"/>
      <c r="BW6" s="46"/>
      <c r="BX6" s="46"/>
      <c r="BY6" s="46"/>
      <c r="BZ6" s="46"/>
      <c r="CA6" s="46"/>
      <c r="CB6" s="46"/>
      <c r="CC6" s="46"/>
      <c r="CD6" s="46"/>
      <c r="CE6" s="46"/>
      <c r="CF6" s="46"/>
      <c r="CG6" s="46"/>
      <c r="CH6" s="46"/>
      <c r="CI6" s="46"/>
      <c r="CJ6" s="46"/>
      <c r="CK6" s="46"/>
      <c r="CL6" s="46"/>
      <c r="CM6" s="46"/>
      <c r="CN6" s="46"/>
      <c r="CO6" s="46"/>
      <c r="CP6" s="46"/>
      <c r="CQ6" s="46"/>
      <c r="CR6" s="46"/>
      <c r="CS6" s="46"/>
      <c r="CT6" s="46"/>
      <c r="CU6" s="46"/>
      <c r="CV6" s="46"/>
      <c r="CW6" s="46"/>
      <c r="CX6" s="46"/>
      <c r="CY6" s="46"/>
      <c r="CZ6" s="46"/>
      <c r="DA6" s="46"/>
      <c r="DB6" s="46"/>
      <c r="DC6" s="46"/>
      <c r="DD6" s="46"/>
      <c r="DE6" s="46"/>
      <c r="DF6" s="46"/>
      <c r="DG6" s="46"/>
      <c r="DH6" s="46"/>
      <c r="DI6" s="46"/>
      <c r="DJ6" s="46"/>
      <c r="DK6" s="46"/>
      <c r="DL6" s="46"/>
      <c r="DM6" s="46"/>
      <c r="DN6" s="46"/>
      <c r="DO6" s="46"/>
      <c r="DP6" s="46"/>
      <c r="DQ6" s="46"/>
      <c r="DR6" s="46"/>
      <c r="DS6" s="46"/>
      <c r="DT6" s="46"/>
      <c r="DU6" s="46"/>
      <c r="DV6" s="46"/>
      <c r="DW6" s="46"/>
      <c r="DX6" s="46"/>
      <c r="DY6" s="46"/>
      <c r="DZ6" s="46"/>
      <c r="EA6" s="46"/>
      <c r="EB6" s="46"/>
      <c r="EC6" s="46"/>
      <c r="ED6" s="46"/>
      <c r="EE6" s="46"/>
      <c r="EF6" s="46"/>
      <c r="EG6" s="46"/>
      <c r="EH6" s="46"/>
      <c r="EI6" s="46"/>
      <c r="EJ6" s="46"/>
      <c r="EK6" s="46"/>
      <c r="EL6" s="46"/>
      <c r="EM6" s="46"/>
      <c r="EN6" s="46"/>
      <c r="EO6" s="46"/>
      <c r="EP6" s="46"/>
      <c r="EQ6" s="46"/>
      <c r="ER6" s="46"/>
      <c r="ES6" s="46"/>
      <c r="ET6" s="46"/>
      <c r="EU6" s="46"/>
      <c r="EV6" s="46"/>
      <c r="EW6" s="46"/>
      <c r="EX6" s="46"/>
    </row>
    <row r="7" ht="15.75" customHeight="1">
      <c r="A7" s="7"/>
      <c r="B7" s="7"/>
      <c r="C7" s="7"/>
      <c r="D7" s="7"/>
      <c r="E7" s="7"/>
      <c r="F7" s="7"/>
      <c r="G7" s="7"/>
      <c r="H7" s="7"/>
      <c r="I7" s="7"/>
      <c r="J7" s="7"/>
      <c r="K7" s="7"/>
      <c r="L7" s="7"/>
      <c r="M7" s="7"/>
      <c r="N7" s="7"/>
      <c r="O7" s="7"/>
    </row>
    <row r="8" ht="15.75" customHeight="1">
      <c r="A8" s="7"/>
      <c r="B8" s="7"/>
      <c r="C8" s="7"/>
      <c r="D8" s="7"/>
      <c r="E8" s="7"/>
      <c r="F8" s="7"/>
      <c r="G8" s="7"/>
      <c r="H8" s="7"/>
      <c r="I8" s="7"/>
      <c r="J8" s="7"/>
      <c r="K8" s="7"/>
      <c r="L8" s="7"/>
      <c r="M8" s="7"/>
      <c r="N8" s="7"/>
      <c r="O8" s="7"/>
    </row>
    <row r="9" ht="15.75" customHeight="1">
      <c r="A9" s="7"/>
      <c r="B9" s="7"/>
      <c r="C9" s="7"/>
      <c r="D9" s="7"/>
      <c r="E9" s="7"/>
      <c r="F9" s="7"/>
      <c r="G9" s="7"/>
      <c r="H9" s="7"/>
      <c r="I9" s="7"/>
      <c r="J9" s="7"/>
      <c r="K9" s="7"/>
      <c r="L9" s="7"/>
      <c r="M9" s="7"/>
      <c r="N9" s="7"/>
      <c r="O9" s="7"/>
    </row>
    <row r="10" ht="15.75" customHeight="1">
      <c r="A10" s="7"/>
      <c r="B10" s="7"/>
      <c r="C10" s="7"/>
      <c r="D10" s="7"/>
      <c r="E10" s="7"/>
      <c r="F10" s="7"/>
      <c r="G10" s="7"/>
      <c r="H10" s="7"/>
      <c r="I10" s="7"/>
      <c r="J10" s="7"/>
      <c r="K10" s="7"/>
      <c r="L10" s="7"/>
      <c r="M10" s="7"/>
      <c r="N10" s="7"/>
      <c r="O10" s="7"/>
    </row>
    <row r="11" ht="15.75" customHeight="1">
      <c r="A11" s="7"/>
      <c r="B11" s="7"/>
      <c r="C11" s="7"/>
      <c r="D11" s="7"/>
      <c r="E11" s="7"/>
      <c r="F11" s="7"/>
      <c r="G11" s="7"/>
      <c r="H11" s="7"/>
      <c r="I11" s="7"/>
      <c r="J11" s="7"/>
      <c r="K11" s="7"/>
      <c r="L11" s="7"/>
      <c r="M11" s="7"/>
      <c r="N11" s="7"/>
      <c r="O11" s="7"/>
    </row>
    <row r="12" ht="15.75" customHeight="1">
      <c r="A12" s="7"/>
      <c r="B12" s="7"/>
      <c r="C12" s="7"/>
      <c r="D12" s="7"/>
      <c r="E12" s="7"/>
      <c r="F12" s="7"/>
      <c r="G12" s="7"/>
      <c r="H12" s="7"/>
      <c r="I12" s="7"/>
      <c r="J12" s="7"/>
      <c r="K12" s="7"/>
      <c r="L12" s="7"/>
      <c r="M12" s="7"/>
      <c r="N12" s="7"/>
      <c r="O12" s="7"/>
    </row>
    <row r="13" ht="15.75" customHeight="1">
      <c r="A13" s="7"/>
      <c r="B13" s="7"/>
      <c r="C13" s="7"/>
      <c r="D13" s="7"/>
      <c r="E13" s="7"/>
      <c r="F13" s="7"/>
      <c r="G13" s="7"/>
      <c r="H13" s="7"/>
      <c r="I13" s="7"/>
      <c r="J13" s="7"/>
      <c r="K13" s="7"/>
      <c r="L13" s="7"/>
      <c r="M13" s="7"/>
      <c r="N13" s="7"/>
      <c r="O13" s="7"/>
    </row>
    <row r="14" ht="15.75" customHeight="1">
      <c r="A14" s="7"/>
      <c r="B14" s="7"/>
      <c r="C14" s="7"/>
      <c r="D14" s="7"/>
      <c r="E14" s="7"/>
      <c r="F14" s="7"/>
      <c r="G14" s="7"/>
      <c r="H14" s="7"/>
      <c r="I14" s="7"/>
      <c r="J14" s="7"/>
      <c r="K14" s="7"/>
      <c r="L14" s="7"/>
      <c r="M14" s="7"/>
      <c r="N14" s="7"/>
      <c r="O14" s="7"/>
    </row>
    <row r="15" ht="15.75" customHeight="1">
      <c r="A15" s="7"/>
      <c r="B15" s="7"/>
      <c r="C15" s="7"/>
      <c r="D15" s="7"/>
      <c r="E15" s="7"/>
      <c r="F15" s="7"/>
      <c r="G15" s="7"/>
      <c r="H15" s="7"/>
      <c r="I15" s="7"/>
      <c r="J15" s="7"/>
      <c r="K15" s="7"/>
      <c r="L15" s="7"/>
      <c r="M15" s="7"/>
      <c r="N15" s="7"/>
      <c r="O15" s="7"/>
    </row>
    <row r="16" ht="15.75" customHeight="1">
      <c r="A16" s="7"/>
      <c r="B16" s="7"/>
      <c r="C16" s="7"/>
      <c r="D16" s="7"/>
      <c r="E16" s="7"/>
      <c r="F16" s="7"/>
      <c r="G16" s="7"/>
      <c r="H16" s="7"/>
      <c r="I16" s="7"/>
      <c r="J16" s="7"/>
      <c r="K16" s="7"/>
      <c r="L16" s="7"/>
      <c r="M16" s="7"/>
      <c r="N16" s="7"/>
      <c r="O16" s="7"/>
    </row>
    <row r="17" ht="15.75" customHeight="1">
      <c r="A17" s="7"/>
      <c r="B17" s="7"/>
      <c r="C17" s="7"/>
      <c r="D17" s="7"/>
      <c r="E17" s="7"/>
      <c r="F17" s="7"/>
      <c r="G17" s="7"/>
      <c r="H17" s="7"/>
      <c r="I17" s="7"/>
      <c r="J17" s="7"/>
      <c r="K17" s="7"/>
      <c r="L17" s="7"/>
      <c r="M17" s="7"/>
      <c r="N17" s="7"/>
      <c r="O17" s="7"/>
    </row>
    <row r="18" ht="15.75" customHeight="1">
      <c r="A18" s="7"/>
      <c r="B18" s="7"/>
      <c r="C18" s="7"/>
      <c r="D18" s="7"/>
      <c r="E18" s="7"/>
      <c r="F18" s="7"/>
      <c r="G18" s="7"/>
      <c r="H18" s="7"/>
      <c r="I18" s="7"/>
      <c r="J18" s="7"/>
      <c r="K18" s="7"/>
      <c r="L18" s="7"/>
      <c r="M18" s="7"/>
      <c r="N18" s="7"/>
      <c r="O18" s="7"/>
    </row>
    <row r="19" ht="15.75" customHeight="1">
      <c r="A19" s="7"/>
      <c r="B19" s="7"/>
      <c r="C19" s="7"/>
      <c r="D19" s="7"/>
      <c r="E19" s="7"/>
      <c r="F19" s="7"/>
      <c r="G19" s="7"/>
      <c r="H19" s="7"/>
      <c r="I19" s="7"/>
      <c r="J19" s="7"/>
      <c r="K19" s="7"/>
      <c r="L19" s="7"/>
      <c r="M19" s="7"/>
      <c r="N19" s="7"/>
      <c r="O19" s="7"/>
    </row>
    <row r="20" ht="15.75" customHeight="1">
      <c r="A20" s="7"/>
      <c r="B20" s="7"/>
      <c r="C20" s="7"/>
      <c r="D20" s="7"/>
      <c r="E20" s="7"/>
      <c r="F20" s="7"/>
      <c r="G20" s="7"/>
      <c r="H20" s="7"/>
      <c r="I20" s="7"/>
      <c r="J20" s="7"/>
      <c r="K20" s="7"/>
      <c r="L20" s="7"/>
      <c r="M20" s="7"/>
      <c r="N20" s="7"/>
      <c r="O20" s="7"/>
    </row>
    <row r="21" ht="15.75" customHeight="1">
      <c r="A21" s="7"/>
      <c r="B21" s="7"/>
      <c r="C21" s="7"/>
      <c r="D21" s="7"/>
      <c r="E21" s="7"/>
      <c r="F21" s="7"/>
      <c r="G21" s="7"/>
      <c r="H21" s="7"/>
      <c r="I21" s="7"/>
      <c r="J21" s="7"/>
      <c r="K21" s="7"/>
      <c r="L21" s="7"/>
      <c r="M21" s="7"/>
      <c r="N21" s="7"/>
      <c r="O21" s="7"/>
    </row>
    <row r="22" ht="15.75" customHeight="1">
      <c r="A22" s="7"/>
      <c r="B22" s="7"/>
      <c r="C22" s="7"/>
      <c r="D22" s="7"/>
      <c r="E22" s="7"/>
      <c r="F22" s="7"/>
      <c r="G22" s="7"/>
      <c r="H22" s="7"/>
      <c r="I22" s="7"/>
      <c r="J22" s="7"/>
      <c r="K22" s="7"/>
      <c r="L22" s="7"/>
      <c r="M22" s="7"/>
      <c r="N22" s="7"/>
      <c r="O22" s="7"/>
    </row>
    <row r="23" ht="15.75" customHeight="1">
      <c r="A23" s="7"/>
      <c r="B23" s="7"/>
      <c r="C23" s="7"/>
      <c r="D23" s="7"/>
      <c r="E23" s="7"/>
      <c r="F23" s="7"/>
      <c r="G23" s="7"/>
      <c r="H23" s="7"/>
      <c r="I23" s="7"/>
      <c r="J23" s="7"/>
      <c r="K23" s="7"/>
      <c r="L23" s="7"/>
      <c r="M23" s="7"/>
      <c r="N23" s="7"/>
      <c r="O23" s="7"/>
    </row>
    <row r="24" ht="15.75" customHeight="1">
      <c r="A24" s="7"/>
      <c r="B24" s="7"/>
      <c r="C24" s="7"/>
      <c r="D24" s="7"/>
      <c r="E24" s="7"/>
      <c r="F24" s="7"/>
      <c r="G24" s="7"/>
      <c r="H24" s="7"/>
      <c r="I24" s="7"/>
      <c r="J24" s="7"/>
      <c r="K24" s="7"/>
      <c r="L24" s="7"/>
      <c r="M24" s="7"/>
      <c r="N24" s="7"/>
      <c r="O24" s="7"/>
    </row>
    <row r="25" ht="15.75" customHeight="1">
      <c r="A25" s="7"/>
      <c r="B25" s="7"/>
      <c r="C25" s="7"/>
      <c r="D25" s="7"/>
      <c r="E25" s="7"/>
      <c r="F25" s="7"/>
      <c r="G25" s="7"/>
      <c r="H25" s="7"/>
      <c r="I25" s="7"/>
      <c r="J25" s="7"/>
      <c r="K25" s="7"/>
      <c r="L25" s="7"/>
      <c r="M25" s="7"/>
      <c r="N25" s="7"/>
      <c r="O25" s="7"/>
    </row>
    <row r="26" ht="15.75" customHeight="1">
      <c r="A26" s="7"/>
      <c r="B26" s="7"/>
      <c r="C26" s="7"/>
      <c r="D26" s="7"/>
      <c r="E26" s="7"/>
      <c r="F26" s="7"/>
      <c r="G26" s="7"/>
      <c r="H26" s="7"/>
      <c r="I26" s="7"/>
      <c r="J26" s="7"/>
      <c r="K26" s="7"/>
      <c r="L26" s="7"/>
      <c r="M26" s="7"/>
      <c r="N26" s="7"/>
      <c r="O26" s="7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GetDayEndCash!$4:$4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 format for current sheet" sqref="G3">
      <formula1>"Input Format,Output Format"</formula1>
    </dataValidation>
  </dataValidations>
  <drawing r:id="rId1"/>
</worksheet>
</file>

<file path=xl/worksheets/sheet1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66" width="14.43"/>
  </cols>
  <sheetData>
    <row r="1" ht="15.75" customHeight="1">
      <c r="A1" s="51"/>
      <c r="B1" s="52" t="s">
        <v>11</v>
      </c>
      <c r="C1" s="3"/>
      <c r="D1" s="3"/>
      <c r="E1" s="3"/>
      <c r="F1" s="3"/>
      <c r="G1" s="3"/>
      <c r="H1" s="5"/>
      <c r="I1" s="51"/>
      <c r="J1" s="51"/>
      <c r="K1" s="51"/>
      <c r="L1" s="51"/>
      <c r="M1" s="51"/>
      <c r="N1" s="51"/>
      <c r="O1" s="51"/>
      <c r="P1" s="54"/>
      <c r="Q1" s="54"/>
      <c r="R1" s="54"/>
      <c r="S1" s="54"/>
      <c r="T1" s="54"/>
      <c r="U1" s="54"/>
      <c r="V1" s="54"/>
      <c r="W1" s="54"/>
      <c r="X1" s="54"/>
      <c r="Y1" s="54"/>
      <c r="Z1" s="54"/>
      <c r="AA1" s="54"/>
      <c r="AB1" s="54"/>
      <c r="AC1" s="54"/>
      <c r="AD1" s="54"/>
      <c r="AE1" s="54"/>
      <c r="AF1" s="54"/>
      <c r="AG1" s="54"/>
      <c r="AH1" s="54"/>
      <c r="AI1" s="54"/>
      <c r="AJ1" s="54"/>
      <c r="AK1" s="54"/>
      <c r="AL1" s="54"/>
      <c r="AM1" s="54"/>
      <c r="AN1" s="54"/>
      <c r="AO1" s="54"/>
      <c r="AP1" s="54"/>
      <c r="AQ1" s="54"/>
      <c r="AR1" s="54"/>
      <c r="AS1" s="54"/>
      <c r="AT1" s="54"/>
      <c r="AU1" s="54"/>
      <c r="AV1" s="54"/>
      <c r="AW1" s="54"/>
      <c r="AX1" s="54"/>
      <c r="AY1" s="54"/>
      <c r="AZ1" s="54"/>
      <c r="BA1" s="54"/>
      <c r="BB1" s="54"/>
      <c r="BC1" s="54"/>
      <c r="BD1" s="54"/>
      <c r="BE1" s="54"/>
      <c r="BF1" s="54"/>
      <c r="BG1" s="54"/>
      <c r="BH1" s="54"/>
      <c r="BI1" s="54"/>
      <c r="BJ1" s="54"/>
      <c r="BK1" s="54"/>
      <c r="BL1" s="54"/>
      <c r="BM1" s="54"/>
      <c r="BN1" s="54"/>
      <c r="BO1" s="54"/>
      <c r="BP1" s="54"/>
      <c r="BQ1" s="54"/>
      <c r="BR1" s="54"/>
      <c r="BS1" s="54"/>
      <c r="BT1" s="54"/>
      <c r="BU1" s="54"/>
      <c r="BV1" s="54"/>
      <c r="BW1" s="54"/>
      <c r="BX1" s="54"/>
      <c r="BY1" s="54"/>
      <c r="BZ1" s="54"/>
      <c r="CA1" s="54"/>
      <c r="CB1" s="54"/>
      <c r="CC1" s="54"/>
      <c r="CD1" s="54"/>
      <c r="CE1" s="54"/>
      <c r="CF1" s="54"/>
      <c r="CG1" s="54"/>
      <c r="CH1" s="54"/>
      <c r="CI1" s="54"/>
      <c r="CJ1" s="54"/>
      <c r="CK1" s="54"/>
      <c r="CL1" s="54"/>
      <c r="CM1" s="54"/>
      <c r="CN1" s="54"/>
      <c r="CO1" s="54"/>
      <c r="CP1" s="54"/>
      <c r="CQ1" s="54"/>
      <c r="CR1" s="54"/>
      <c r="CS1" s="54"/>
      <c r="CT1" s="54"/>
      <c r="CU1" s="54"/>
      <c r="CV1" s="54"/>
      <c r="CW1" s="54"/>
      <c r="CX1" s="54"/>
      <c r="CY1" s="54"/>
      <c r="CZ1" s="54"/>
      <c r="DA1" s="54"/>
      <c r="DB1" s="54"/>
      <c r="DC1" s="54"/>
      <c r="DD1" s="54"/>
      <c r="DE1" s="54"/>
      <c r="DF1" s="54"/>
      <c r="DG1" s="54"/>
      <c r="DH1" s="54"/>
      <c r="DI1" s="54"/>
      <c r="DJ1" s="54"/>
      <c r="DK1" s="54"/>
      <c r="DL1" s="54"/>
      <c r="DM1" s="54"/>
      <c r="DN1" s="54"/>
      <c r="DO1" s="54"/>
      <c r="DP1" s="54"/>
      <c r="DQ1" s="54"/>
      <c r="DR1" s="54"/>
      <c r="DS1" s="54"/>
      <c r="DT1" s="54"/>
      <c r="DU1" s="54"/>
      <c r="DV1" s="54"/>
      <c r="DW1" s="54"/>
      <c r="DX1" s="54"/>
      <c r="DY1" s="54"/>
      <c r="DZ1" s="54"/>
      <c r="EA1" s="54"/>
      <c r="EB1" s="54"/>
      <c r="EC1" s="54"/>
      <c r="ED1" s="54"/>
      <c r="EE1" s="54"/>
      <c r="EF1" s="54"/>
      <c r="EG1" s="54"/>
      <c r="EH1" s="54"/>
      <c r="EI1" s="54"/>
      <c r="EJ1" s="54"/>
      <c r="EK1" s="54"/>
      <c r="EL1" s="54"/>
      <c r="EM1" s="54"/>
      <c r="EN1" s="54"/>
      <c r="EO1" s="54"/>
      <c r="EP1" s="54"/>
      <c r="EQ1" s="54"/>
      <c r="ER1" s="54"/>
      <c r="ES1" s="54"/>
      <c r="ET1" s="54"/>
      <c r="EU1" s="54"/>
      <c r="EV1" s="54"/>
      <c r="EW1" s="54"/>
      <c r="EX1" s="54"/>
      <c r="EY1" s="54"/>
      <c r="EZ1" s="54"/>
      <c r="FA1" s="54"/>
      <c r="FB1" s="54"/>
      <c r="FC1" s="54"/>
      <c r="FD1" s="54"/>
      <c r="FE1" s="54"/>
      <c r="FF1" s="54"/>
      <c r="FG1" s="54"/>
      <c r="FH1" s="54"/>
      <c r="FI1" s="54"/>
      <c r="FJ1" s="54"/>
    </row>
    <row r="2" ht="15.75" customHeight="1">
      <c r="A2" s="55"/>
      <c r="B2" s="55"/>
      <c r="C2" s="55"/>
      <c r="D2" s="55"/>
      <c r="E2" s="55"/>
      <c r="F2" s="55"/>
      <c r="G2" s="55"/>
      <c r="H2" s="55"/>
      <c r="I2" s="55"/>
      <c r="J2" s="56" t="str">
        <f> VLOOKUP($E$3,'_MasterData'!B4:D1000,3,FALSE)</f>
        <v>#N/A</v>
      </c>
      <c r="K2" s="56"/>
      <c r="L2" s="55"/>
      <c r="M2" s="55"/>
      <c r="N2" s="55"/>
      <c r="O2" s="55"/>
      <c r="P2" s="57"/>
      <c r="Q2" s="57"/>
      <c r="R2" s="57"/>
      <c r="S2" s="57"/>
      <c r="T2" s="57"/>
      <c r="U2" s="57"/>
      <c r="V2" s="57"/>
      <c r="W2" s="57"/>
      <c r="X2" s="57"/>
      <c r="Y2" s="57"/>
      <c r="Z2" s="57"/>
      <c r="AA2" s="57"/>
      <c r="AB2" s="57"/>
      <c r="AC2" s="57"/>
      <c r="AD2" s="57"/>
      <c r="AE2" s="57"/>
      <c r="AF2" s="57"/>
      <c r="AG2" s="57"/>
      <c r="AH2" s="57"/>
      <c r="AI2" s="57"/>
      <c r="AJ2" s="57"/>
      <c r="AK2" s="57"/>
      <c r="AL2" s="57"/>
      <c r="AM2" s="57"/>
      <c r="AN2" s="57"/>
      <c r="AO2" s="57"/>
      <c r="AP2" s="57"/>
      <c r="AQ2" s="57"/>
      <c r="AR2" s="57"/>
      <c r="AS2" s="57"/>
      <c r="AT2" s="57"/>
      <c r="AU2" s="57"/>
      <c r="AV2" s="57"/>
      <c r="AW2" s="57"/>
      <c r="AX2" s="57"/>
      <c r="AY2" s="57"/>
      <c r="AZ2" s="57"/>
      <c r="BA2" s="57"/>
      <c r="BB2" s="57"/>
      <c r="BC2" s="57"/>
      <c r="BD2" s="57"/>
      <c r="BE2" s="57"/>
      <c r="BF2" s="57"/>
      <c r="BG2" s="57"/>
      <c r="BH2" s="57"/>
      <c r="BI2" s="57"/>
      <c r="BJ2" s="57"/>
      <c r="BK2" s="57"/>
      <c r="BL2" s="57"/>
      <c r="BM2" s="57"/>
      <c r="BN2" s="57"/>
      <c r="BO2" s="57"/>
      <c r="BP2" s="57"/>
      <c r="BQ2" s="57"/>
      <c r="BR2" s="57"/>
      <c r="BS2" s="57"/>
      <c r="BT2" s="57"/>
      <c r="BU2" s="57"/>
      <c r="BV2" s="57"/>
      <c r="BW2" s="57"/>
      <c r="BX2" s="57"/>
      <c r="BY2" s="57"/>
      <c r="BZ2" s="57"/>
      <c r="CA2" s="57"/>
      <c r="CB2" s="57"/>
      <c r="CC2" s="57"/>
      <c r="CD2" s="57"/>
      <c r="CE2" s="57"/>
      <c r="CF2" s="57"/>
      <c r="CG2" s="57"/>
      <c r="CH2" s="57"/>
      <c r="CI2" s="57"/>
      <c r="CJ2" s="57"/>
      <c r="CK2" s="57"/>
      <c r="CL2" s="57"/>
      <c r="CM2" s="57"/>
      <c r="CN2" s="57"/>
      <c r="CO2" s="57"/>
      <c r="CP2" s="57"/>
      <c r="CQ2" s="57"/>
      <c r="CR2" s="57"/>
      <c r="CS2" s="57"/>
      <c r="CT2" s="57"/>
      <c r="CU2" s="57"/>
      <c r="CV2" s="57"/>
      <c r="CW2" s="57"/>
      <c r="CX2" s="57"/>
      <c r="CY2" s="57"/>
      <c r="CZ2" s="57"/>
      <c r="DA2" s="57"/>
      <c r="DB2" s="57"/>
      <c r="DC2" s="57"/>
      <c r="DD2" s="57"/>
      <c r="DE2" s="57"/>
      <c r="DF2" s="57"/>
      <c r="DG2" s="57"/>
      <c r="DH2" s="57"/>
      <c r="DI2" s="57"/>
      <c r="DJ2" s="57"/>
      <c r="DK2" s="57"/>
      <c r="DL2" s="57"/>
      <c r="DM2" s="57"/>
      <c r="DN2" s="57"/>
      <c r="DO2" s="57"/>
      <c r="DP2" s="57"/>
      <c r="DQ2" s="57"/>
      <c r="DR2" s="57"/>
      <c r="DS2" s="57"/>
      <c r="DT2" s="57"/>
      <c r="DU2" s="57"/>
      <c r="DV2" s="57"/>
      <c r="DW2" s="57"/>
      <c r="DX2" s="57"/>
      <c r="DY2" s="57"/>
      <c r="DZ2" s="57"/>
      <c r="EA2" s="57"/>
      <c r="EB2" s="57"/>
      <c r="EC2" s="57"/>
      <c r="ED2" s="57"/>
      <c r="EE2" s="57"/>
      <c r="EF2" s="57"/>
      <c r="EG2" s="57"/>
      <c r="EH2" s="57"/>
      <c r="EI2" s="57"/>
      <c r="EJ2" s="57"/>
      <c r="EK2" s="57"/>
      <c r="EL2" s="57"/>
      <c r="EM2" s="57"/>
      <c r="EN2" s="57"/>
      <c r="EO2" s="57"/>
      <c r="EP2" s="57"/>
      <c r="EQ2" s="57"/>
      <c r="ER2" s="57"/>
      <c r="ES2" s="57"/>
      <c r="ET2" s="57"/>
      <c r="EU2" s="57"/>
      <c r="EV2" s="57"/>
      <c r="EW2" s="57"/>
      <c r="EX2" s="57"/>
      <c r="EY2" s="57"/>
      <c r="EZ2" s="57"/>
      <c r="FA2" s="57"/>
      <c r="FB2" s="57"/>
      <c r="FC2" s="57"/>
      <c r="FD2" s="57"/>
      <c r="FE2" s="57"/>
      <c r="FF2" s="57"/>
      <c r="FG2" s="57"/>
      <c r="FH2" s="57"/>
      <c r="FI2" s="57"/>
      <c r="FJ2" s="57"/>
    </row>
    <row r="3" ht="15.75" customHeight="1">
      <c r="A3" s="58"/>
      <c r="B3" s="59" t="s">
        <v>3</v>
      </c>
      <c r="C3" s="60" t="s">
        <v>45</v>
      </c>
      <c r="D3" s="59" t="s">
        <v>6</v>
      </c>
      <c r="E3" s="60" t="s">
        <v>46</v>
      </c>
      <c r="F3" s="59" t="s">
        <v>15</v>
      </c>
      <c r="G3" s="61" t="s">
        <v>17</v>
      </c>
      <c r="H3" s="59"/>
      <c r="I3" s="58"/>
      <c r="J3" s="58"/>
      <c r="K3" s="58"/>
      <c r="L3" s="58"/>
      <c r="M3" s="58"/>
      <c r="N3" s="58"/>
      <c r="O3" s="58"/>
      <c r="P3" s="62"/>
      <c r="Q3" s="62"/>
      <c r="R3" s="62"/>
      <c r="S3" s="62"/>
      <c r="T3" s="62"/>
      <c r="U3" s="62"/>
      <c r="V3" s="62"/>
      <c r="W3" s="62"/>
      <c r="X3" s="62"/>
      <c r="Y3" s="62"/>
      <c r="Z3" s="62"/>
      <c r="AA3" s="62"/>
      <c r="AB3" s="62"/>
      <c r="AC3" s="62"/>
      <c r="AD3" s="62"/>
      <c r="AE3" s="62"/>
      <c r="AF3" s="62"/>
      <c r="AG3" s="62"/>
      <c r="AH3" s="62"/>
      <c r="AI3" s="62"/>
      <c r="AJ3" s="62"/>
      <c r="AK3" s="62"/>
      <c r="AL3" s="62"/>
      <c r="AM3" s="62"/>
      <c r="AN3" s="62"/>
      <c r="AO3" s="62"/>
      <c r="AP3" s="62"/>
      <c r="AQ3" s="62"/>
      <c r="AR3" s="62"/>
      <c r="AS3" s="62"/>
      <c r="AT3" s="62"/>
      <c r="AU3" s="62"/>
      <c r="AV3" s="62"/>
      <c r="AW3" s="62"/>
      <c r="AX3" s="62"/>
      <c r="AY3" s="62"/>
      <c r="AZ3" s="62"/>
      <c r="BA3" s="62"/>
      <c r="BB3" s="62"/>
      <c r="BC3" s="62"/>
      <c r="BD3" s="62"/>
      <c r="BE3" s="62"/>
      <c r="BF3" s="62"/>
      <c r="BG3" s="62"/>
      <c r="BH3" s="62"/>
      <c r="BI3" s="62"/>
      <c r="BJ3" s="62"/>
      <c r="BK3" s="62"/>
      <c r="BL3" s="62"/>
      <c r="BM3" s="62"/>
      <c r="BN3" s="62"/>
      <c r="BO3" s="62"/>
      <c r="BP3" s="62"/>
      <c r="BQ3" s="62"/>
      <c r="BR3" s="62"/>
      <c r="BS3" s="62"/>
      <c r="BT3" s="62"/>
      <c r="BU3" s="62"/>
      <c r="BV3" s="62"/>
      <c r="BW3" s="62"/>
      <c r="BX3" s="62"/>
      <c r="BY3" s="62"/>
      <c r="BZ3" s="62"/>
      <c r="CA3" s="62"/>
      <c r="CB3" s="62"/>
      <c r="CC3" s="62"/>
      <c r="CD3" s="62"/>
      <c r="CE3" s="62"/>
      <c r="CF3" s="62"/>
      <c r="CG3" s="62"/>
      <c r="CH3" s="62"/>
      <c r="CI3" s="62"/>
      <c r="CJ3" s="62"/>
      <c r="CK3" s="62"/>
      <c r="CL3" s="62"/>
      <c r="CM3" s="62"/>
      <c r="CN3" s="62"/>
      <c r="CO3" s="62"/>
      <c r="CP3" s="62"/>
      <c r="CQ3" s="62"/>
      <c r="CR3" s="62"/>
      <c r="CS3" s="62"/>
      <c r="CT3" s="62"/>
      <c r="CU3" s="62"/>
      <c r="CV3" s="62"/>
      <c r="CW3" s="62"/>
      <c r="CX3" s="62"/>
      <c r="CY3" s="62"/>
      <c r="CZ3" s="62"/>
      <c r="DA3" s="62"/>
      <c r="DB3" s="62"/>
      <c r="DC3" s="62"/>
      <c r="DD3" s="62"/>
      <c r="DE3" s="62"/>
      <c r="DF3" s="62"/>
      <c r="DG3" s="62"/>
      <c r="DH3" s="62"/>
      <c r="DI3" s="62"/>
      <c r="DJ3" s="62"/>
      <c r="DK3" s="62"/>
      <c r="DL3" s="62"/>
      <c r="DM3" s="62"/>
      <c r="DN3" s="62"/>
      <c r="DO3" s="62"/>
      <c r="DP3" s="62"/>
      <c r="DQ3" s="62"/>
      <c r="DR3" s="62"/>
      <c r="DS3" s="62"/>
      <c r="DT3" s="62"/>
      <c r="DU3" s="62"/>
      <c r="DV3" s="62"/>
      <c r="DW3" s="62"/>
      <c r="DX3" s="62"/>
      <c r="DY3" s="62"/>
      <c r="DZ3" s="62"/>
      <c r="EA3" s="62"/>
      <c r="EB3" s="62"/>
      <c r="EC3" s="62"/>
      <c r="ED3" s="62"/>
      <c r="EE3" s="62"/>
      <c r="EF3" s="62"/>
      <c r="EG3" s="62"/>
      <c r="EH3" s="62"/>
      <c r="EI3" s="62"/>
      <c r="EJ3" s="62"/>
      <c r="EK3" s="62"/>
      <c r="EL3" s="62"/>
      <c r="EM3" s="62"/>
      <c r="EN3" s="62"/>
      <c r="EO3" s="62"/>
      <c r="EP3" s="62"/>
      <c r="EQ3" s="62"/>
      <c r="ER3" s="62"/>
      <c r="ES3" s="62"/>
      <c r="ET3" s="62"/>
      <c r="EU3" s="62"/>
      <c r="EV3" s="62"/>
      <c r="EW3" s="62"/>
      <c r="EX3" s="62"/>
      <c r="EY3" s="62"/>
      <c r="EZ3" s="62"/>
      <c r="FA3" s="62"/>
      <c r="FB3" s="62"/>
      <c r="FC3" s="62"/>
      <c r="FD3" s="62"/>
      <c r="FE3" s="62"/>
      <c r="FF3" s="62"/>
      <c r="FG3" s="62"/>
      <c r="FH3" s="62"/>
      <c r="FI3" s="62"/>
      <c r="FJ3" s="62"/>
    </row>
    <row r="4" ht="15.75" customHeight="1">
      <c r="A4" s="63"/>
      <c r="B4" s="63" t="str">
        <f>IFERROR(__xludf.DUMMYFUNCTION("IF(C3="""","""",Transpose(IMPORTRANGE('_Settings'!$B$3,C3&amp;""!A4:A1000"")))"),"CheckDashboardPM")</f>
        <v>CheckDashboardPM</v>
      </c>
      <c r="C4" s="63" t="str">
        <f>IFERROR(__xludf.DUMMYFUNCTION("""COMPUTED_VALUE"""),"CheckPortfolioManagement")</f>
        <v>CheckPortfolioManagement</v>
      </c>
      <c r="D4" s="63" t="str">
        <f>IFERROR(__xludf.DUMMYFUNCTION("""COMPUTED_VALUE"""),"OpenPSTFromPM")</f>
        <v>OpenPSTFromPM</v>
      </c>
      <c r="E4" s="63" t="str">
        <f>IFERROR(__xludf.DUMMYFUNCTION("""COMPUTED_VALUE"""),"ClosePM")</f>
        <v>ClosePM</v>
      </c>
      <c r="F4" s="63" t="str">
        <f>IFERROR(__xludf.DUMMYFUNCTION("""COMPUTED_VALUE"""),"FilterPM")</f>
        <v>FilterPM</v>
      </c>
      <c r="G4" s="63" t="str">
        <f>IFERROR(__xludf.DUMMYFUNCTION("""COMPUTED_VALUE"""),"GroupRowPM")</f>
        <v>GroupRowPM</v>
      </c>
      <c r="H4" s="63" t="str">
        <f>IFERROR(__xludf.DUMMYFUNCTION("""COMPUTED_VALUE"""),"CheckDashboardWithPM")</f>
        <v>CheckDashboardWithPM</v>
      </c>
      <c r="I4" s="63" t="str">
        <f>IFERROR(__xludf.DUMMYFUNCTION("""COMPUTED_VALUE"""),"RemoveFilterPM")</f>
        <v>RemoveFilterPM</v>
      </c>
      <c r="J4" s="63" t="str">
        <f>IFERROR(__xludf.DUMMYFUNCTION("""COMPUTED_VALUE"""),"CheckSummaryRowsPM")</f>
        <v>CheckSummaryRowsPM</v>
      </c>
      <c r="K4" s="63" t="str">
        <f>IFERROR(__xludf.DUMMYFUNCTION("""COMPUTED_VALUE"""),"OpenPTTFromPM")</f>
        <v>OpenPTTFromPM</v>
      </c>
      <c r="L4" s="63" t="str">
        <f>IFERROR(__xludf.DUMMYFUNCTION("""COMPUTED_VALUE"""),"OpenCreateTransactionFromPM")</f>
        <v>OpenCreateTransactionFromPM</v>
      </c>
      <c r="M4" s="63" t="str">
        <f>IFERROR(__xludf.DUMMYFUNCTION("""COMPUTED_VALUE"""),"OpenClosingFromPM")</f>
        <v>OpenClosingFromPM</v>
      </c>
      <c r="N4" s="63" t="str">
        <f>IFERROR(__xludf.DUMMYFUNCTION("""COMPUTED_VALUE"""),"OpenCorporateActionFromPM")</f>
        <v>OpenCorporateActionFromPM</v>
      </c>
      <c r="O4" s="63" t="str">
        <f>IFERROR(__xludf.DUMMYFUNCTION("""COMPUTED_VALUE"""),"OpenDailyValuationFromPM")</f>
        <v>OpenDailyValuationFromPM</v>
      </c>
      <c r="P4" s="64" t="str">
        <f>IFERROR(__xludf.DUMMYFUNCTION("""COMPUTED_VALUE"""),"ClosePositionFromPM")</f>
        <v>ClosePositionFromPM</v>
      </c>
      <c r="Q4" s="64" t="str">
        <f>IFERROR(__xludf.DUMMYFUNCTION("""COMPUTED_VALUE"""),"ShowSummaryToolFromPM")</f>
        <v>ShowSummaryToolFromPM</v>
      </c>
      <c r="R4" s="64" t="str">
        <f>IFERROR(__xludf.DUMMYFUNCTION("""COMPUTED_VALUE"""),"HideSummaryToolFromPM")</f>
        <v>HideSummaryToolFromPM</v>
      </c>
      <c r="S4" s="64" t="str">
        <f>IFERROR(__xludf.DUMMYFUNCTION("""COMPUTED_VALUE"""),"CloseAccountPositionFromPM")</f>
        <v>CloseAccountPositionFromPM</v>
      </c>
      <c r="T4" s="64" t="str">
        <f>IFERROR(__xludf.DUMMYFUNCTION("""COMPUTED_VALUE"""),"CloseSelectedTaxlotsFromPM")</f>
        <v>CloseSelectedTaxlotsFromPM</v>
      </c>
      <c r="U4" s="64" t="str">
        <f>IFERROR(__xludf.DUMMYFUNCTION("""COMPUTED_VALUE"""),"ExpandCollapsePM")</f>
        <v>ExpandCollapsePM</v>
      </c>
      <c r="V4" s="64" t="str">
        <f>IFERROR(__xludf.DUMMYFUNCTION("""COMPUTED_VALUE"""),"AddCustomViewPM")</f>
        <v>AddCustomViewPM</v>
      </c>
      <c r="W4" s="64" t="str">
        <f>IFERROR(__xludf.DUMMYFUNCTION("""COMPUTED_VALUE"""),"AddCustomViewRightClickPM")</f>
        <v>AddCustomViewRightClickPM</v>
      </c>
      <c r="X4" s="64" t="str">
        <f>IFERROR(__xludf.DUMMYFUNCTION("""COMPUTED_VALUE"""),"RenameCustomViewPM")</f>
        <v>RenameCustomViewPM</v>
      </c>
      <c r="Y4" s="64" t="str">
        <f>IFERROR(__xludf.DUMMYFUNCTION("""COMPUTED_VALUE"""),"DeleteCustomViewPM")</f>
        <v>DeleteCustomViewPM</v>
      </c>
      <c r="Z4" s="64" t="str">
        <f>IFERROR(__xludf.DUMMYFUNCTION("""COMPUTED_VALUE"""),"")</f>
        <v/>
      </c>
      <c r="AA4" s="64" t="str">
        <f>IFERROR(__xludf.DUMMYFUNCTION("""COMPUTED_VALUE"""),"")</f>
        <v/>
      </c>
      <c r="AB4" s="64" t="str">
        <f>IFERROR(__xludf.DUMMYFUNCTION("""COMPUTED_VALUE"""),"")</f>
        <v/>
      </c>
      <c r="AC4" s="64" t="str">
        <f>IFERROR(__xludf.DUMMYFUNCTION("""COMPUTED_VALUE"""),"")</f>
        <v/>
      </c>
      <c r="AD4" s="64" t="str">
        <f>IFERROR(__xludf.DUMMYFUNCTION("""COMPUTED_VALUE"""),"")</f>
        <v/>
      </c>
      <c r="AE4" s="64" t="str">
        <f>IFERROR(__xludf.DUMMYFUNCTION("""COMPUTED_VALUE"""),"")</f>
        <v/>
      </c>
      <c r="AF4" s="64" t="str">
        <f>IFERROR(__xludf.DUMMYFUNCTION("""COMPUTED_VALUE"""),"")</f>
        <v/>
      </c>
      <c r="AG4" s="64" t="str">
        <f>IFERROR(__xludf.DUMMYFUNCTION("""COMPUTED_VALUE"""),"")</f>
        <v/>
      </c>
      <c r="AH4" s="64" t="str">
        <f>IFERROR(__xludf.DUMMYFUNCTION("""COMPUTED_VALUE"""),"")</f>
        <v/>
      </c>
      <c r="AI4" s="64" t="str">
        <f>IFERROR(__xludf.DUMMYFUNCTION("""COMPUTED_VALUE"""),"")</f>
        <v/>
      </c>
      <c r="AJ4" s="64" t="str">
        <f>IFERROR(__xludf.DUMMYFUNCTION("""COMPUTED_VALUE"""),"")</f>
        <v/>
      </c>
      <c r="AK4" s="64" t="str">
        <f>IFERROR(__xludf.DUMMYFUNCTION("""COMPUTED_VALUE"""),"")</f>
        <v/>
      </c>
      <c r="AL4" s="64" t="str">
        <f>IFERROR(__xludf.DUMMYFUNCTION("""COMPUTED_VALUE"""),"")</f>
        <v/>
      </c>
      <c r="AM4" s="64" t="str">
        <f>IFERROR(__xludf.DUMMYFUNCTION("""COMPUTED_VALUE"""),"")</f>
        <v/>
      </c>
      <c r="AN4" s="64" t="str">
        <f>IFERROR(__xludf.DUMMYFUNCTION("""COMPUTED_VALUE"""),"")</f>
        <v/>
      </c>
      <c r="AO4" s="64" t="str">
        <f>IFERROR(__xludf.DUMMYFUNCTION("""COMPUTED_VALUE"""),"")</f>
        <v/>
      </c>
      <c r="AP4" s="64" t="str">
        <f>IFERROR(__xludf.DUMMYFUNCTION("""COMPUTED_VALUE"""),"")</f>
        <v/>
      </c>
      <c r="AQ4" s="64" t="str">
        <f>IFERROR(__xludf.DUMMYFUNCTION("""COMPUTED_VALUE"""),"")</f>
        <v/>
      </c>
      <c r="AR4" s="64" t="str">
        <f>IFERROR(__xludf.DUMMYFUNCTION("""COMPUTED_VALUE"""),"")</f>
        <v/>
      </c>
      <c r="AS4" s="64" t="str">
        <f>IFERROR(__xludf.DUMMYFUNCTION("""COMPUTED_VALUE"""),"")</f>
        <v/>
      </c>
      <c r="AT4" s="64" t="str">
        <f>IFERROR(__xludf.DUMMYFUNCTION("""COMPUTED_VALUE"""),"")</f>
        <v/>
      </c>
      <c r="AU4" s="64" t="str">
        <f>IFERROR(__xludf.DUMMYFUNCTION("""COMPUTED_VALUE"""),"")</f>
        <v/>
      </c>
      <c r="AV4" s="64" t="str">
        <f>IFERROR(__xludf.DUMMYFUNCTION("""COMPUTED_VALUE"""),"")</f>
        <v/>
      </c>
      <c r="AW4" s="64" t="str">
        <f>IFERROR(__xludf.DUMMYFUNCTION("""COMPUTED_VALUE"""),"")</f>
        <v/>
      </c>
      <c r="AX4" s="64" t="str">
        <f>IFERROR(__xludf.DUMMYFUNCTION("""COMPUTED_VALUE"""),"")</f>
        <v/>
      </c>
      <c r="AY4" s="64" t="str">
        <f>IFERROR(__xludf.DUMMYFUNCTION("""COMPUTED_VALUE"""),"")</f>
        <v/>
      </c>
      <c r="AZ4" s="64" t="str">
        <f>IFERROR(__xludf.DUMMYFUNCTION("""COMPUTED_VALUE"""),"")</f>
        <v/>
      </c>
      <c r="BA4" s="64" t="str">
        <f>IFERROR(__xludf.DUMMYFUNCTION("""COMPUTED_VALUE"""),"")</f>
        <v/>
      </c>
      <c r="BB4" s="64" t="str">
        <f>IFERROR(__xludf.DUMMYFUNCTION("""COMPUTED_VALUE"""),"")</f>
        <v/>
      </c>
      <c r="BC4" s="64" t="str">
        <f>IFERROR(__xludf.DUMMYFUNCTION("""COMPUTED_VALUE"""),"")</f>
        <v/>
      </c>
      <c r="BD4" s="64" t="str">
        <f>IFERROR(__xludf.DUMMYFUNCTION("""COMPUTED_VALUE"""),"")</f>
        <v/>
      </c>
      <c r="BE4" s="64" t="str">
        <f>IFERROR(__xludf.DUMMYFUNCTION("""COMPUTED_VALUE"""),"")</f>
        <v/>
      </c>
      <c r="BF4" s="64" t="str">
        <f>IFERROR(__xludf.DUMMYFUNCTION("""COMPUTED_VALUE"""),"")</f>
        <v/>
      </c>
      <c r="BG4" s="64" t="str">
        <f>IFERROR(__xludf.DUMMYFUNCTION("""COMPUTED_VALUE"""),"")</f>
        <v/>
      </c>
      <c r="BH4" s="64" t="str">
        <f>IFERROR(__xludf.DUMMYFUNCTION("""COMPUTED_VALUE"""),"")</f>
        <v/>
      </c>
      <c r="BI4" s="64" t="str">
        <f>IFERROR(__xludf.DUMMYFUNCTION("""COMPUTED_VALUE"""),"")</f>
        <v/>
      </c>
      <c r="BJ4" s="64" t="str">
        <f>IFERROR(__xludf.DUMMYFUNCTION("""COMPUTED_VALUE"""),"")</f>
        <v/>
      </c>
      <c r="BK4" s="64" t="str">
        <f>IFERROR(__xludf.DUMMYFUNCTION("""COMPUTED_VALUE"""),"")</f>
        <v/>
      </c>
      <c r="BL4" s="64" t="str">
        <f>IFERROR(__xludf.DUMMYFUNCTION("""COMPUTED_VALUE"""),"")</f>
        <v/>
      </c>
      <c r="BM4" s="64" t="str">
        <f>IFERROR(__xludf.DUMMYFUNCTION("""COMPUTED_VALUE"""),"")</f>
        <v/>
      </c>
      <c r="BN4" s="64" t="str">
        <f>IFERROR(__xludf.DUMMYFUNCTION("""COMPUTED_VALUE"""),"")</f>
        <v/>
      </c>
      <c r="BO4" s="64" t="str">
        <f>IFERROR(__xludf.DUMMYFUNCTION("""COMPUTED_VALUE"""),"")</f>
        <v/>
      </c>
      <c r="BP4" s="64" t="str">
        <f>IFERROR(__xludf.DUMMYFUNCTION("""COMPUTED_VALUE"""),"")</f>
        <v/>
      </c>
      <c r="BQ4" s="64" t="str">
        <f>IFERROR(__xludf.DUMMYFUNCTION("""COMPUTED_VALUE"""),"")</f>
        <v/>
      </c>
      <c r="BR4" s="64" t="str">
        <f>IFERROR(__xludf.DUMMYFUNCTION("""COMPUTED_VALUE"""),"")</f>
        <v/>
      </c>
      <c r="BS4" s="64" t="str">
        <f>IFERROR(__xludf.DUMMYFUNCTION("""COMPUTED_VALUE"""),"")</f>
        <v/>
      </c>
      <c r="BT4" s="64" t="str">
        <f>IFERROR(__xludf.DUMMYFUNCTION("""COMPUTED_VALUE"""),"")</f>
        <v/>
      </c>
      <c r="BU4" s="64" t="str">
        <f>IFERROR(__xludf.DUMMYFUNCTION("""COMPUTED_VALUE"""),"")</f>
        <v/>
      </c>
      <c r="BV4" s="64" t="str">
        <f>IFERROR(__xludf.DUMMYFUNCTION("""COMPUTED_VALUE"""),"")</f>
        <v/>
      </c>
      <c r="BW4" s="64" t="str">
        <f>IFERROR(__xludf.DUMMYFUNCTION("""COMPUTED_VALUE"""),"")</f>
        <v/>
      </c>
      <c r="BX4" s="64" t="str">
        <f>IFERROR(__xludf.DUMMYFUNCTION("""COMPUTED_VALUE"""),"")</f>
        <v/>
      </c>
      <c r="BY4" s="64" t="str">
        <f>IFERROR(__xludf.DUMMYFUNCTION("""COMPUTED_VALUE"""),"")</f>
        <v/>
      </c>
      <c r="BZ4" s="64" t="str">
        <f>IFERROR(__xludf.DUMMYFUNCTION("""COMPUTED_VALUE"""),"")</f>
        <v/>
      </c>
      <c r="CA4" s="64" t="str">
        <f>IFERROR(__xludf.DUMMYFUNCTION("""COMPUTED_VALUE"""),"")</f>
        <v/>
      </c>
      <c r="CB4" s="64" t="str">
        <f>IFERROR(__xludf.DUMMYFUNCTION("""COMPUTED_VALUE"""),"")</f>
        <v/>
      </c>
      <c r="CC4" s="64" t="str">
        <f>IFERROR(__xludf.DUMMYFUNCTION("""COMPUTED_VALUE"""),"")</f>
        <v/>
      </c>
      <c r="CD4" s="64" t="str">
        <f>IFERROR(__xludf.DUMMYFUNCTION("""COMPUTED_VALUE"""),"")</f>
        <v/>
      </c>
      <c r="CE4" s="64" t="str">
        <f>IFERROR(__xludf.DUMMYFUNCTION("""COMPUTED_VALUE"""),"")</f>
        <v/>
      </c>
      <c r="CF4" s="64" t="str">
        <f>IFERROR(__xludf.DUMMYFUNCTION("""COMPUTED_VALUE"""),"")</f>
        <v/>
      </c>
      <c r="CG4" s="64" t="str">
        <f>IFERROR(__xludf.DUMMYFUNCTION("""COMPUTED_VALUE"""),"")</f>
        <v/>
      </c>
      <c r="CH4" s="64" t="str">
        <f>IFERROR(__xludf.DUMMYFUNCTION("""COMPUTED_VALUE"""),"")</f>
        <v/>
      </c>
      <c r="CI4" s="64" t="str">
        <f>IFERROR(__xludf.DUMMYFUNCTION("""COMPUTED_VALUE"""),"")</f>
        <v/>
      </c>
      <c r="CJ4" s="64" t="str">
        <f>IFERROR(__xludf.DUMMYFUNCTION("""COMPUTED_VALUE"""),"")</f>
        <v/>
      </c>
      <c r="CK4" s="64" t="str">
        <f>IFERROR(__xludf.DUMMYFUNCTION("""COMPUTED_VALUE"""),"")</f>
        <v/>
      </c>
      <c r="CL4" s="64" t="str">
        <f>IFERROR(__xludf.DUMMYFUNCTION("""COMPUTED_VALUE"""),"")</f>
        <v/>
      </c>
      <c r="CM4" s="64" t="str">
        <f>IFERROR(__xludf.DUMMYFUNCTION("""COMPUTED_VALUE"""),"")</f>
        <v/>
      </c>
      <c r="CN4" s="64" t="str">
        <f>IFERROR(__xludf.DUMMYFUNCTION("""COMPUTED_VALUE"""),"")</f>
        <v/>
      </c>
      <c r="CO4" s="64" t="str">
        <f>IFERROR(__xludf.DUMMYFUNCTION("""COMPUTED_VALUE"""),"")</f>
        <v/>
      </c>
      <c r="CP4" s="64" t="str">
        <f>IFERROR(__xludf.DUMMYFUNCTION("""COMPUTED_VALUE"""),"")</f>
        <v/>
      </c>
      <c r="CQ4" s="64" t="str">
        <f>IFERROR(__xludf.DUMMYFUNCTION("""COMPUTED_VALUE"""),"")</f>
        <v/>
      </c>
      <c r="CR4" s="64" t="str">
        <f>IFERROR(__xludf.DUMMYFUNCTION("""COMPUTED_VALUE"""),"")</f>
        <v/>
      </c>
      <c r="CS4" s="64" t="str">
        <f>IFERROR(__xludf.DUMMYFUNCTION("""COMPUTED_VALUE"""),"")</f>
        <v/>
      </c>
      <c r="CT4" s="64" t="str">
        <f>IFERROR(__xludf.DUMMYFUNCTION("""COMPUTED_VALUE"""),"")</f>
        <v/>
      </c>
      <c r="CU4" s="64" t="str">
        <f>IFERROR(__xludf.DUMMYFUNCTION("""COMPUTED_VALUE"""),"")</f>
        <v/>
      </c>
      <c r="CV4" s="64" t="str">
        <f>IFERROR(__xludf.DUMMYFUNCTION("""COMPUTED_VALUE"""),"")</f>
        <v/>
      </c>
      <c r="CW4" s="64" t="str">
        <f>IFERROR(__xludf.DUMMYFUNCTION("""COMPUTED_VALUE"""),"")</f>
        <v/>
      </c>
      <c r="CX4" s="64" t="str">
        <f>IFERROR(__xludf.DUMMYFUNCTION("""COMPUTED_VALUE"""),"")</f>
        <v/>
      </c>
      <c r="CY4" s="64" t="str">
        <f>IFERROR(__xludf.DUMMYFUNCTION("""COMPUTED_VALUE"""),"")</f>
        <v/>
      </c>
      <c r="CZ4" s="64" t="str">
        <f>IFERROR(__xludf.DUMMYFUNCTION("""COMPUTED_VALUE"""),"")</f>
        <v/>
      </c>
      <c r="DA4" s="64" t="str">
        <f>IFERROR(__xludf.DUMMYFUNCTION("""COMPUTED_VALUE"""),"")</f>
        <v/>
      </c>
      <c r="DB4" s="64" t="str">
        <f>IFERROR(__xludf.DUMMYFUNCTION("""COMPUTED_VALUE"""),"")</f>
        <v/>
      </c>
      <c r="DC4" s="64" t="str">
        <f>IFERROR(__xludf.DUMMYFUNCTION("""COMPUTED_VALUE"""),"")</f>
        <v/>
      </c>
      <c r="DD4" s="64" t="str">
        <f>IFERROR(__xludf.DUMMYFUNCTION("""COMPUTED_VALUE"""),"")</f>
        <v/>
      </c>
      <c r="DE4" s="64" t="str">
        <f>IFERROR(__xludf.DUMMYFUNCTION("""COMPUTED_VALUE"""),"")</f>
        <v/>
      </c>
      <c r="DF4" s="64" t="str">
        <f>IFERROR(__xludf.DUMMYFUNCTION("""COMPUTED_VALUE"""),"")</f>
        <v/>
      </c>
      <c r="DG4" s="64" t="str">
        <f>IFERROR(__xludf.DUMMYFUNCTION("""COMPUTED_VALUE"""),"")</f>
        <v/>
      </c>
      <c r="DH4" s="64" t="str">
        <f>IFERROR(__xludf.DUMMYFUNCTION("""COMPUTED_VALUE"""),"")</f>
        <v/>
      </c>
      <c r="DI4" s="64" t="str">
        <f>IFERROR(__xludf.DUMMYFUNCTION("""COMPUTED_VALUE"""),"")</f>
        <v/>
      </c>
      <c r="DJ4" s="64" t="str">
        <f>IFERROR(__xludf.DUMMYFUNCTION("""COMPUTED_VALUE"""),"")</f>
        <v/>
      </c>
      <c r="DK4" s="64" t="str">
        <f>IFERROR(__xludf.DUMMYFUNCTION("""COMPUTED_VALUE"""),"")</f>
        <v/>
      </c>
      <c r="DL4" s="64" t="str">
        <f>IFERROR(__xludf.DUMMYFUNCTION("""COMPUTED_VALUE"""),"")</f>
        <v/>
      </c>
      <c r="DM4" s="64" t="str">
        <f>IFERROR(__xludf.DUMMYFUNCTION("""COMPUTED_VALUE"""),"")</f>
        <v/>
      </c>
      <c r="DN4" s="64" t="str">
        <f>IFERROR(__xludf.DUMMYFUNCTION("""COMPUTED_VALUE"""),"")</f>
        <v/>
      </c>
      <c r="DO4" s="64" t="str">
        <f>IFERROR(__xludf.DUMMYFUNCTION("""COMPUTED_VALUE"""),"")</f>
        <v/>
      </c>
      <c r="DP4" s="64" t="str">
        <f>IFERROR(__xludf.DUMMYFUNCTION("""COMPUTED_VALUE"""),"")</f>
        <v/>
      </c>
      <c r="DQ4" s="64" t="str">
        <f>IFERROR(__xludf.DUMMYFUNCTION("""COMPUTED_VALUE"""),"")</f>
        <v/>
      </c>
      <c r="DR4" s="64" t="str">
        <f>IFERROR(__xludf.DUMMYFUNCTION("""COMPUTED_VALUE"""),"")</f>
        <v/>
      </c>
      <c r="DS4" s="64" t="str">
        <f>IFERROR(__xludf.DUMMYFUNCTION("""COMPUTED_VALUE"""),"")</f>
        <v/>
      </c>
      <c r="DT4" s="64" t="str">
        <f>IFERROR(__xludf.DUMMYFUNCTION("""COMPUTED_VALUE"""),"")</f>
        <v/>
      </c>
      <c r="DU4" s="64" t="str">
        <f>IFERROR(__xludf.DUMMYFUNCTION("""COMPUTED_VALUE"""),"")</f>
        <v/>
      </c>
      <c r="DV4" s="64" t="str">
        <f>IFERROR(__xludf.DUMMYFUNCTION("""COMPUTED_VALUE"""),"")</f>
        <v/>
      </c>
      <c r="DW4" s="64" t="str">
        <f>IFERROR(__xludf.DUMMYFUNCTION("""COMPUTED_VALUE"""),"")</f>
        <v/>
      </c>
      <c r="DX4" s="64" t="str">
        <f>IFERROR(__xludf.DUMMYFUNCTION("""COMPUTED_VALUE"""),"")</f>
        <v/>
      </c>
      <c r="DY4" s="64" t="str">
        <f>IFERROR(__xludf.DUMMYFUNCTION("""COMPUTED_VALUE"""),"")</f>
        <v/>
      </c>
      <c r="DZ4" s="64" t="str">
        <f>IFERROR(__xludf.DUMMYFUNCTION("""COMPUTED_VALUE"""),"")</f>
        <v/>
      </c>
      <c r="EA4" s="64" t="str">
        <f>IFERROR(__xludf.DUMMYFUNCTION("""COMPUTED_VALUE"""),"")</f>
        <v/>
      </c>
      <c r="EB4" s="64" t="str">
        <f>IFERROR(__xludf.DUMMYFUNCTION("""COMPUTED_VALUE"""),"")</f>
        <v/>
      </c>
      <c r="EC4" s="64" t="str">
        <f>IFERROR(__xludf.DUMMYFUNCTION("""COMPUTED_VALUE"""),"")</f>
        <v/>
      </c>
      <c r="ED4" s="64" t="str">
        <f>IFERROR(__xludf.DUMMYFUNCTION("""COMPUTED_VALUE"""),"")</f>
        <v/>
      </c>
      <c r="EE4" s="64" t="str">
        <f>IFERROR(__xludf.DUMMYFUNCTION("""COMPUTED_VALUE"""),"")</f>
        <v/>
      </c>
      <c r="EF4" s="64" t="str">
        <f>IFERROR(__xludf.DUMMYFUNCTION("""COMPUTED_VALUE"""),"")</f>
        <v/>
      </c>
      <c r="EG4" s="64" t="str">
        <f>IFERROR(__xludf.DUMMYFUNCTION("""COMPUTED_VALUE"""),"")</f>
        <v/>
      </c>
      <c r="EH4" s="64" t="str">
        <f>IFERROR(__xludf.DUMMYFUNCTION("""COMPUTED_VALUE"""),"")</f>
        <v/>
      </c>
      <c r="EI4" s="64" t="str">
        <f>IFERROR(__xludf.DUMMYFUNCTION("""COMPUTED_VALUE"""),"")</f>
        <v/>
      </c>
      <c r="EJ4" s="64" t="str">
        <f>IFERROR(__xludf.DUMMYFUNCTION("""COMPUTED_VALUE"""),"")</f>
        <v/>
      </c>
      <c r="EK4" s="64" t="str">
        <f>IFERROR(__xludf.DUMMYFUNCTION("""COMPUTED_VALUE"""),"")</f>
        <v/>
      </c>
      <c r="EL4" s="64" t="str">
        <f>IFERROR(__xludf.DUMMYFUNCTION("""COMPUTED_VALUE"""),"")</f>
        <v/>
      </c>
      <c r="EM4" s="64" t="str">
        <f>IFERROR(__xludf.DUMMYFUNCTION("""COMPUTED_VALUE"""),"")</f>
        <v/>
      </c>
      <c r="EN4" s="64" t="str">
        <f>IFERROR(__xludf.DUMMYFUNCTION("""COMPUTED_VALUE"""),"")</f>
        <v/>
      </c>
      <c r="EO4" s="64" t="str">
        <f>IFERROR(__xludf.DUMMYFUNCTION("""COMPUTED_VALUE"""),"")</f>
        <v/>
      </c>
      <c r="EP4" s="64" t="str">
        <f>IFERROR(__xludf.DUMMYFUNCTION("""COMPUTED_VALUE"""),"")</f>
        <v/>
      </c>
      <c r="EQ4" s="64" t="str">
        <f>IFERROR(__xludf.DUMMYFUNCTION("""COMPUTED_VALUE"""),"")</f>
        <v/>
      </c>
      <c r="ER4" s="64" t="str">
        <f>IFERROR(__xludf.DUMMYFUNCTION("""COMPUTED_VALUE"""),"")</f>
        <v/>
      </c>
      <c r="ES4" s="64" t="str">
        <f>IFERROR(__xludf.DUMMYFUNCTION("""COMPUTED_VALUE"""),"")</f>
        <v/>
      </c>
      <c r="ET4" s="64" t="str">
        <f>IFERROR(__xludf.DUMMYFUNCTION("""COMPUTED_VALUE"""),"")</f>
        <v/>
      </c>
      <c r="EU4" s="64" t="str">
        <f>IFERROR(__xludf.DUMMYFUNCTION("""COMPUTED_VALUE"""),"")</f>
        <v/>
      </c>
      <c r="EV4" s="64" t="str">
        <f>IFERROR(__xludf.DUMMYFUNCTION("""COMPUTED_VALUE"""),"")</f>
        <v/>
      </c>
      <c r="EW4" s="64" t="str">
        <f>IFERROR(__xludf.DUMMYFUNCTION("""COMPUTED_VALUE"""),"")</f>
        <v/>
      </c>
      <c r="EX4" s="64" t="str">
        <f>IFERROR(__xludf.DUMMYFUNCTION("""COMPUTED_VALUE"""),"")</f>
        <v/>
      </c>
      <c r="EY4" s="64" t="str">
        <f>IFERROR(__xludf.DUMMYFUNCTION("""COMPUTED_VALUE"""),"")</f>
        <v/>
      </c>
      <c r="EZ4" s="64" t="str">
        <f>IFERROR(__xludf.DUMMYFUNCTION("""COMPUTED_VALUE"""),"")</f>
        <v/>
      </c>
      <c r="FA4" s="64" t="str">
        <f>IFERROR(__xludf.DUMMYFUNCTION("""COMPUTED_VALUE"""),"")</f>
        <v/>
      </c>
      <c r="FB4" s="64" t="str">
        <f>IFERROR(__xludf.DUMMYFUNCTION("""COMPUTED_VALUE"""),"")</f>
        <v/>
      </c>
      <c r="FC4" s="64" t="str">
        <f>IFERROR(__xludf.DUMMYFUNCTION("""COMPUTED_VALUE"""),"")</f>
        <v/>
      </c>
      <c r="FD4" s="64" t="str">
        <f>IFERROR(__xludf.DUMMYFUNCTION("""COMPUTED_VALUE"""),"")</f>
        <v/>
      </c>
      <c r="FE4" s="64" t="str">
        <f>IFERROR(__xludf.DUMMYFUNCTION("""COMPUTED_VALUE"""),"")</f>
        <v/>
      </c>
      <c r="FF4" s="64" t="str">
        <f>IFERROR(__xludf.DUMMYFUNCTION("""COMPUTED_VALUE"""),"")</f>
        <v/>
      </c>
      <c r="FG4" s="64" t="str">
        <f>IFERROR(__xludf.DUMMYFUNCTION("""COMPUTED_VALUE"""),"")</f>
        <v/>
      </c>
      <c r="FH4" s="64" t="str">
        <f>IFERROR(__xludf.DUMMYFUNCTION("""COMPUTED_VALUE"""),"")</f>
        <v/>
      </c>
      <c r="FI4" s="64" t="str">
        <f>IFERROR(__xludf.DUMMYFUNCTION("""COMPUTED_VALUE"""),"")</f>
        <v/>
      </c>
      <c r="FJ4" s="64" t="str">
        <f>IFERROR(__xludf.DUMMYFUNCTION("""COMPUTED_VALUE"""),"")</f>
        <v/>
      </c>
    </row>
    <row r="5" ht="15.75" customHeight="1">
      <c r="A5" s="65" t="str">
        <f>IFERROR(__xludf.DUMMYFUNCTION("TRANSPOSE(IMPORTRANGE(VLOOKUP($E$3,IMPORTRANGE('_Settings'!$B$3,$C$3&amp;""!A4:B1000""),2,FALSE),$G$3&amp;""!A4:A1000""))"),"")</f>
        <v/>
      </c>
      <c r="B5" s="66" t="str">
        <f>IFERROR(__xludf.DUMMYFUNCTION("""COMPUTED_VALUE"""),"Trade Date")</f>
        <v>Trade Date</v>
      </c>
      <c r="C5" s="66" t="str">
        <f>IFERROR(__xludf.DUMMYFUNCTION("""COMPUTED_VALUE"""),"Symbol")</f>
        <v>Symbol</v>
      </c>
      <c r="D5" s="66" t="str">
        <f>IFERROR(__xludf.DUMMYFUNCTION("""COMPUTED_VALUE"""),"Position")</f>
        <v>Position</v>
      </c>
      <c r="E5" s="66" t="str">
        <f>IFERROR(__xludf.DUMMYFUNCTION("""COMPUTED_VALUE"""),"Account")</f>
        <v>Account</v>
      </c>
      <c r="F5" s="67" t="str">
        <f>IFERROR(__xludf.DUMMYFUNCTION("""COMPUTED_VALUE"""),"MasterFund")</f>
        <v>MasterFund</v>
      </c>
      <c r="G5" s="66" t="str">
        <f>IFERROR(__xludf.DUMMYFUNCTION("""COMPUTED_VALUE"""),"Cost Basis")</f>
        <v>Cost Basis</v>
      </c>
      <c r="H5" s="66" t="str">
        <f>IFERROR(__xludf.DUMMYFUNCTION("""COMPUTED_VALUE"""),"Position Side")</f>
        <v>Position Side</v>
      </c>
      <c r="I5" s="66" t="str">
        <f>IFERROR(__xludf.DUMMYFUNCTION("""COMPUTED_VALUE"""),"Market Value (Base)")</f>
        <v>Market Value (Base)</v>
      </c>
      <c r="J5" s="66" t="str">
        <f>IFERROR(__xludf.DUMMYFUNCTION("""COMPUTED_VALUE"""),"% Day P&amp;L (Gross MV)")</f>
        <v>% Day P&amp;L (Gross MV)</v>
      </c>
      <c r="K5" s="66" t="str">
        <f>IFERROR(__xludf.DUMMYFUNCTION("""COMPUTED_VALUE"""),"Net Exposure (Base)")</f>
        <v>Net Exposure (Base)</v>
      </c>
      <c r="L5" s="66" t="str">
        <f>IFERROR(__xludf.DUMMYFUNCTION("""COMPUTED_VALUE"""),"Beta Adj. Gross Exposure (Base)")</f>
        <v>Beta Adj. Gross Exposure (Base)</v>
      </c>
      <c r="M5" s="66" t="str">
        <f>IFERROR(__xludf.DUMMYFUNCTION("""COMPUTED_VALUE"""),"Beta Adj. Gross Exposure (Underlying) (Base)")</f>
        <v>Beta Adj. Gross Exposure (Underlying) (Base)</v>
      </c>
      <c r="N5" s="66" t="str">
        <f>IFERROR(__xludf.DUMMYFUNCTION("""COMPUTED_VALUE"""),"Day P&amp;L (Base)")</f>
        <v>Day P&amp;L (Base)</v>
      </c>
      <c r="O5" s="66" t="str">
        <f>IFERROR(__xludf.DUMMYFUNCTION("""COMPUTED_VALUE"""),"Security Name")</f>
        <v>Security Name</v>
      </c>
      <c r="P5" s="66" t="str">
        <f>IFERROR(__xludf.DUMMYFUNCTION("""COMPUTED_VALUE"""),"Closing Mark")</f>
        <v>Closing Mark</v>
      </c>
      <c r="Q5" s="66" t="str">
        <f>IFERROR(__xludf.DUMMYFUNCTION("""COMPUTED_VALUE"""),"Cost Basis P&amp;L (Base)")</f>
        <v>Cost Basis P&amp;L (Base)</v>
      </c>
      <c r="R5" s="66" t="str">
        <f>IFERROR(__xludf.DUMMYFUNCTION("""COMPUTED_VALUE"""),"Prime Broker")</f>
        <v>Prime Broker</v>
      </c>
      <c r="S5" s="66" t="str">
        <f>IFERROR(__xludf.DUMMYFUNCTION("""COMPUTED_VALUE"""),"Strategy")</f>
        <v>Strategy</v>
      </c>
      <c r="T5" s="68" t="str">
        <f>IFERROR(__xludf.DUMMYFUNCTION("""COMPUTED_VALUE"""),"Asset Class")</f>
        <v>Asset Class</v>
      </c>
      <c r="U5" s="68" t="str">
        <f>IFERROR(__xludf.DUMMYFUNCTION("""COMPUTED_VALUE"""),"Underlying")</f>
        <v>Underlying</v>
      </c>
      <c r="V5" s="68" t="str">
        <f>IFERROR(__xludf.DUMMYFUNCTION("""COMPUTED_VALUE"""),"Exchange")</f>
        <v>Exchange</v>
      </c>
      <c r="W5" s="68" t="str">
        <f>IFERROR(__xludf.DUMMYFUNCTION("""COMPUTED_VALUE"""),"Trade Currency")</f>
        <v>Trade Currency</v>
      </c>
      <c r="X5" s="68" t="str">
        <f>IFERROR(__xludf.DUMMYFUNCTION("""COMPUTED_VALUE"""),"Multiplier")</f>
        <v>Multiplier</v>
      </c>
      <c r="Y5" s="68" t="str">
        <f>IFERROR(__xludf.DUMMYFUNCTION("""COMPUTED_VALUE"""),"FX Rate")</f>
        <v>FX Rate</v>
      </c>
      <c r="Z5" s="68" t="str">
        <f>IFERROR(__xludf.DUMMYFUNCTION("""COMPUTED_VALUE"""),"Vs Currency")</f>
        <v>Vs Currency</v>
      </c>
      <c r="AA5" s="68" t="str">
        <f>IFERROR(__xludf.DUMMYFUNCTION("""COMPUTED_VALUE"""),"Lead Currency")</f>
        <v>Lead Currency</v>
      </c>
      <c r="AB5" s="68" t="str">
        <f>IFERROR(__xludf.DUMMYFUNCTION("""COMPUTED_VALUE"""),"Dividend Yield (%)")</f>
        <v>Dividend Yield (%)</v>
      </c>
      <c r="AC5" s="68" t="str">
        <f>IFERROR(__xludf.DUMMYFUNCTION("""COMPUTED_VALUE"""),"% Change")</f>
        <v>% Change</v>
      </c>
      <c r="AD5" s="68" t="str">
        <f>IFERROR(__xludf.DUMMYFUNCTION("""COMPUTED_VALUE"""),"Net Exposure (Local)")</f>
        <v>Net Exposure (Local)</v>
      </c>
      <c r="AE5" s="68" t="str">
        <f>IFERROR(__xludf.DUMMYFUNCTION("""COMPUTED_VALUE"""),"Exposure (Local)")</f>
        <v>Exposure (Local)</v>
      </c>
      <c r="AF5" s="68" t="str">
        <f>IFERROR(__xludf.DUMMYFUNCTION("""COMPUTED_VALUE"""),"Delta Adj. Position")</f>
        <v>Delta Adj. Position</v>
      </c>
      <c r="AG5" s="68" t="str">
        <f>IFERROR(__xludf.DUMMYFUNCTION("""COMPUTED_VALUE"""),"Exposure (Base)")</f>
        <v>Exposure (Base)</v>
      </c>
      <c r="AH5" s="68" t="str">
        <f>IFERROR(__xludf.DUMMYFUNCTION("""COMPUTED_VALUE"""),"Beta Adj. Exposure (Local)")</f>
        <v>Beta Adj. Exposure (Local)</v>
      </c>
      <c r="AI5" s="68" t="str">
        <f>IFERROR(__xludf.DUMMYFUNCTION("""COMPUTED_VALUE"""),"Beta Adj. Exposure (Base)")</f>
        <v>Beta Adj. Exposure (Base)</v>
      </c>
      <c r="AJ5" s="68" t="str">
        <f>IFERROR(__xludf.DUMMYFUNCTION("""COMPUTED_VALUE"""),"Exposure (BP)(Base)")</f>
        <v>Exposure (BP)(Base)</v>
      </c>
      <c r="AK5" s="68" t="str">
        <f>IFERROR(__xludf.DUMMYFUNCTION("""COMPUTED_VALUE"""),"Day P&amp;L (Local)")</f>
        <v>Day P&amp;L (Local)</v>
      </c>
      <c r="AL5" s="68" t="str">
        <f>IFERROR(__xludf.DUMMYFUNCTION("""COMPUTED_VALUE"""),"Delta")</f>
        <v>Delta</v>
      </c>
      <c r="AM5" s="68" t="str">
        <f>IFERROR(__xludf.DUMMYFUNCTION("""COMPUTED_VALUE"""),"Leveraged Factor")</f>
        <v>Leveraged Factor</v>
      </c>
      <c r="AN5" s="68" t="str">
        <f>IFERROR(__xludf.DUMMYFUNCTION("""COMPUTED_VALUE"""),"Order Side")</f>
        <v>Order Side</v>
      </c>
      <c r="AO5" s="68" t="str">
        <f>IFERROR(__xludf.DUMMYFUNCTION("""COMPUTED_VALUE"""),"Master Strategy")</f>
        <v>Master Strategy</v>
      </c>
      <c r="AP5" s="68" t="str">
        <f>IFERROR(__xludf.DUMMYFUNCTION("""COMPUTED_VALUE"""),"Transaction Side")</f>
        <v>Transaction Side</v>
      </c>
      <c r="AQ5" s="68" t="str">
        <f>IFERROR(__xludf.DUMMYFUNCTION("""COMPUTED_VALUE"""),"Underlying Symbol")</f>
        <v>Underlying Symbol</v>
      </c>
      <c r="AR5" s="68" t="str">
        <f>IFERROR(__xludf.DUMMYFUNCTION("""COMPUTED_VALUE"""),"Underlying Price")</f>
        <v>Underlying Price</v>
      </c>
      <c r="AS5" s="68" t="str">
        <f>IFERROR(__xludf.DUMMYFUNCTION("""COMPUTED_VALUE"""),"Side Multiplier")</f>
        <v>Side Multiplier</v>
      </c>
      <c r="AT5" s="68" t="str">
        <f>IFERROR(__xludf.DUMMYFUNCTION("""COMPUTED_VALUE"""),"Description")</f>
        <v>Description</v>
      </c>
      <c r="AU5" s="68" t="str">
        <f>IFERROR(__xludf.DUMMYFUNCTION("""COMPUTED_VALUE"""),"Internal Comments")</f>
        <v>Internal Comments</v>
      </c>
      <c r="AV5" s="68" t="str">
        <f>IFERROR(__xludf.DUMMYFUNCTION("""COMPUTED_VALUE"""),"FX Rate On Trade Date")</f>
        <v>FX Rate On Trade Date</v>
      </c>
      <c r="AW5" s="68" t="str">
        <f>IFERROR(__xludf.DUMMYFUNCTION("""COMPUTED_VALUE"""),"Cost Basis P&amp;L (Local)")</f>
        <v>Cost Basis P&amp;L (Local)</v>
      </c>
      <c r="AX5" s="68" t="str">
        <f>IFERROR(__xludf.DUMMYFUNCTION("""COMPUTED_VALUE"""),"Day Interest")</f>
        <v>Day Interest</v>
      </c>
      <c r="AY5" s="68" t="str">
        <f>IFERROR(__xludf.DUMMYFUNCTION("""COMPUTED_VALUE"""),"Total Interest")</f>
        <v>Total Interest</v>
      </c>
      <c r="AZ5" s="68" t="str">
        <f>IFERROR(__xludf.DUMMYFUNCTION("""COMPUTED_VALUE"""),"Market Value (Local)")</f>
        <v>Market Value (Local)</v>
      </c>
      <c r="BA5" s="68" t="str">
        <f>IFERROR(__xludf.DUMMYFUNCTION("""COMPUTED_VALUE"""),"% Gain/Loss Day")</f>
        <v>% Gain/Loss Day</v>
      </c>
      <c r="BB5" s="68" t="str">
        <f>IFERROR(__xludf.DUMMYFUNCTION("""COMPUTED_VALUE"""),"Update Time (Last Price)")</f>
        <v>Update Time (Last Price)</v>
      </c>
      <c r="BC5" s="68" t="str">
        <f>IFERROR(__xludf.DUMMYFUNCTION("""COMPUTED_VALUE"""),"Beta")</f>
        <v>Beta</v>
      </c>
      <c r="BD5" s="68" t="str">
        <f>IFERROR(__xludf.DUMMYFUNCTION("""COMPUTED_VALUE"""),"Cash Impact (Local)")</f>
        <v>Cash Impact (Local)</v>
      </c>
      <c r="BE5" s="68" t="str">
        <f>IFERROR(__xludf.DUMMYFUNCTION("""COMPUTED_VALUE"""),"User Asset")</f>
        <v>User Asset</v>
      </c>
      <c r="BF5" s="68" t="str">
        <f>IFERROR(__xludf.DUMMYFUNCTION("""COMPUTED_VALUE"""),"Security Type")</f>
        <v>Security Type</v>
      </c>
      <c r="BG5" s="68" t="str">
        <f>IFERROR(__xludf.DUMMYFUNCTION("""COMPUTED_VALUE"""),"Sector")</f>
        <v>Sector</v>
      </c>
      <c r="BH5" s="68" t="str">
        <f>IFERROR(__xludf.DUMMYFUNCTION("""COMPUTED_VALUE"""),"Sub Sector")</f>
        <v>Sub Sector</v>
      </c>
      <c r="BI5" s="68" t="str">
        <f>IFERROR(__xludf.DUMMYFUNCTION("""COMPUTED_VALUE"""),"Country")</f>
        <v>Country</v>
      </c>
      <c r="BJ5" s="68" t="str">
        <f>IFERROR(__xludf.DUMMYFUNCTION("""COMPUTED_VALUE"""),"Market Cap")</f>
        <v>Market Cap</v>
      </c>
      <c r="BK5" s="68" t="str">
        <f>IFERROR(__xludf.DUMMYFUNCTION("""COMPUTED_VALUE"""),"Shares Outstanding")</f>
        <v>Shares Outstanding</v>
      </c>
      <c r="BL5" s="68" t="str">
        <f>IFERROR(__xludf.DUMMYFUNCTION("""COMPUTED_VALUE"""),"Avg Volume 20 Day")</f>
        <v>Avg Volume 20 Day</v>
      </c>
      <c r="BM5" s="68" t="str">
        <f>IFERROR(__xludf.DUMMYFUNCTION("""COMPUTED_VALUE"""),"% Avg Volume (Delta Adj.)")</f>
        <v>% Avg Volume (Delta Adj.)</v>
      </c>
      <c r="BN5" s="68" t="str">
        <f>IFERROR(__xludf.DUMMYFUNCTION("""COMPUTED_VALUE"""),"Ex Dividend Date")</f>
        <v>Ex Dividend Date</v>
      </c>
      <c r="BO5" s="68" t="str">
        <f>IFERROR(__xludf.DUMMYFUNCTION("""COMPUTED_VALUE"""),"Cash Impact (Base)")</f>
        <v>Cash Impact (Base)</v>
      </c>
      <c r="BP5" s="68" t="str">
        <f>IFERROR(__xludf.DUMMYFUNCTION("""COMPUTED_VALUE"""),"Volatility (%)")</f>
        <v>Volatility (%)</v>
      </c>
      <c r="BQ5" s="68" t="str">
        <f>IFERROR(__xludf.DUMMYFUNCTION("""COMPUTED_VALUE"""),"User")</f>
        <v>User</v>
      </c>
      <c r="BR5" s="68" t="str">
        <f>IFERROR(__xludf.DUMMYFUNCTION("""COMPUTED_VALUE"""),"Broker")</f>
        <v>Broker</v>
      </c>
      <c r="BS5" s="68" t="str">
        <f>IFERROR(__xludf.DUMMYFUNCTION("""COMPUTED_VALUE"""),"Earned Dividend (Local)")</f>
        <v>Earned Dividend (Local)</v>
      </c>
      <c r="BT5" s="68" t="str">
        <f>IFERROR(__xludf.DUMMYFUNCTION("""COMPUTED_VALUE"""),"Earned Dividend (Base)")</f>
        <v>Earned Dividend (Base)</v>
      </c>
      <c r="BU5" s="68" t="str">
        <f>IFERROR(__xludf.DUMMYFUNCTION("""COMPUTED_VALUE"""),"Put/Call")</f>
        <v>Put/Call</v>
      </c>
      <c r="BV5" s="68" t="str">
        <f>IFERROR(__xludf.DUMMYFUNCTION("""COMPUTED_VALUE"""),"Expiration Date")</f>
        <v>Expiration Date</v>
      </c>
      <c r="BW5" s="68" t="str">
        <f>IFERROR(__xludf.DUMMYFUNCTION("""COMPUTED_VALUE"""),"Strike Price")</f>
        <v>Strike Price</v>
      </c>
      <c r="BX5" s="68" t="str">
        <f>IFERROR(__xludf.DUMMYFUNCTION("""COMPUTED_VALUE"""),"Gross Exposure (Base)")</f>
        <v>Gross Exposure (Base)</v>
      </c>
      <c r="BY5" s="68" t="str">
        <f>IFERROR(__xludf.DUMMYFUNCTION("""COMPUTED_VALUE"""),"Gross Market Value (Base)")</f>
        <v>Gross Market Value (Base)</v>
      </c>
      <c r="BZ5" s="68" t="str">
        <f>IFERROR(__xludf.DUMMYFUNCTION("""COMPUTED_VALUE"""),"Px Selected Feed (Local)")</f>
        <v>Px Selected Feed (Local)</v>
      </c>
      <c r="CA5" s="68" t="str">
        <f>IFERROR(__xludf.DUMMYFUNCTION("""COMPUTED_VALUE"""),"Px Selected Feed (Base)")</f>
        <v>Px Selected Feed (Base)</v>
      </c>
      <c r="CB5" s="68" t="str">
        <f>IFERROR(__xludf.DUMMYFUNCTION("""COMPUTED_VALUE"""),"Settlement Date")</f>
        <v>Settlement Date</v>
      </c>
      <c r="CC5" s="68" t="str">
        <f>IFERROR(__xludf.DUMMYFUNCTION("""COMPUTED_VALUE"""),"% Avg Volume")</f>
        <v>% Avg Volume</v>
      </c>
      <c r="CD5" s="68" t="str">
        <f>IFERROR(__xludf.DUMMYFUNCTION("""COMPUTED_VALUE"""),"Day P&amp;L (Base)(Price Gain)")</f>
        <v>Day P&amp;L (Base)(Price Gain)</v>
      </c>
      <c r="CE5" s="68" t="str">
        <f>IFERROR(__xludf.DUMMYFUNCTION("""COMPUTED_VALUE"""),"Day P&amp;L (Base)(FX Gain)")</f>
        <v>Day P&amp;L (Base)(FX Gain)</v>
      </c>
      <c r="CF5" s="68" t="str">
        <f>IFERROR(__xludf.DUMMYFUNCTION("""COMPUTED_VALUE"""),"Cost Basis P&amp;L (Base)(FX Gain)")</f>
        <v>Cost Basis P&amp;L (Base)(FX Gain)</v>
      </c>
      <c r="CG5" s="68" t="str">
        <f>IFERROR(__xludf.DUMMYFUNCTION("""COMPUTED_VALUE"""),"Cost Basis P&amp;L (Base)(Price Gain)")</f>
        <v>Cost Basis P&amp;L (Base)(Price Gain)</v>
      </c>
      <c r="CH5" s="68" t="str">
        <f>IFERROR(__xludf.DUMMYFUNCTION("""COMPUTED_VALUE"""),"% Gain/Loss Cost")</f>
        <v>% Gain/Loss Cost</v>
      </c>
      <c r="CI5" s="68" t="str">
        <f>IFERROR(__xludf.DUMMYFUNCTION("""COMPUTED_VALUE"""),"Underlying Value (Options)")</f>
        <v>Underlying Value (Options)</v>
      </c>
      <c r="CJ5" s="68" t="str">
        <f>IFERROR(__xludf.DUMMYFUNCTION("""COMPUTED_VALUE"""),"Avg Volume 20 Day (Underlying Symbol)")</f>
        <v>Avg Volume 20 Day (Underlying Symbol)</v>
      </c>
      <c r="CK5" s="68" t="str">
        <f>IFERROR(__xludf.DUMMYFUNCTION("""COMPUTED_VALUE"""),"IsStaleData")</f>
        <v>IsStaleData</v>
      </c>
      <c r="CL5" s="68" t="str">
        <f>IFERROR(__xludf.DUMMYFUNCTION("""COMPUTED_VALUE"""),"IDCO")</f>
        <v>IDCO</v>
      </c>
      <c r="CM5" s="68" t="str">
        <f>IFERROR(__xludf.DUMMYFUNCTION("""COMPUTED_VALUE"""),"OSI")</f>
        <v>OSI</v>
      </c>
      <c r="CN5" s="68" t="str">
        <f>IFERROR(__xludf.DUMMYFUNCTION("""COMPUTED_VALUE"""),"SEDOL")</f>
        <v>SEDOL</v>
      </c>
      <c r="CO5" s="68" t="str">
        <f>IFERROR(__xludf.DUMMYFUNCTION("""COMPUTED_VALUE"""),"CUSIP")</f>
        <v>CUSIP</v>
      </c>
      <c r="CP5" s="68" t="str">
        <f>IFERROR(__xludf.DUMMYFUNCTION("""COMPUTED_VALUE"""),"Bloomberg")</f>
        <v>Bloomberg</v>
      </c>
      <c r="CQ5" s="68" t="str">
        <f>IFERROR(__xludf.DUMMYFUNCTION("""COMPUTED_VALUE"""),"ISIN")</f>
        <v>ISIN</v>
      </c>
      <c r="CR5" s="68" t="str">
        <f>IFERROR(__xludf.DUMMYFUNCTION("""COMPUTED_VALUE"""),"Start Trade Date")</f>
        <v>Start Trade Date</v>
      </c>
      <c r="CS5" s="68" t="str">
        <f>IFERROR(__xludf.DUMMYFUNCTION("""COMPUTED_VALUE"""),"Cost Basis (Break Even)")</f>
        <v>Cost Basis (Break Even)</v>
      </c>
      <c r="CT5" s="68" t="str">
        <f>IFERROR(__xludf.DUMMYFUNCTION("""COMPUTED_VALUE"""),"Trade Attribute 3")</f>
        <v>Trade Attribute 3</v>
      </c>
      <c r="CU5" s="68" t="str">
        <f>IFERROR(__xludf.DUMMYFUNCTION("""COMPUTED_VALUE"""),"Trade Attribute 4")</f>
        <v>Trade Attribute 4</v>
      </c>
      <c r="CV5" s="68" t="str">
        <f>IFERROR(__xludf.DUMMYFUNCTION("""COMPUTED_VALUE"""),"Trade Attribute 5")</f>
        <v>Trade Attribute 5</v>
      </c>
      <c r="CW5" s="68" t="str">
        <f>IFERROR(__xludf.DUMMYFUNCTION("""COMPUTED_VALUE"""),"Trade Attribute 6")</f>
        <v>Trade Attribute 6</v>
      </c>
      <c r="CX5" s="68" t="str">
        <f>IFERROR(__xludf.DUMMYFUNCTION("""COMPUTED_VALUE"""),"Proxy Symbol")</f>
        <v>Proxy Symbol</v>
      </c>
      <c r="CY5" s="68" t="str">
        <f>IFERROR(__xludf.DUMMYFUNCTION("""COMPUTED_VALUE"""),"Pricing Source")</f>
        <v>Pricing Source</v>
      </c>
      <c r="CZ5" s="68" t="str">
        <f>IFERROR(__xludf.DUMMYFUNCTION("""COMPUTED_VALUE"""),"Delta Source")</f>
        <v>Delta Source</v>
      </c>
      <c r="DA5" s="68" t="str">
        <f>IFERROR(__xludf.DUMMYFUNCTION("""COMPUTED_VALUE"""),"Gross Exposure (Local)")</f>
        <v>Gross Exposure (Local)</v>
      </c>
      <c r="DB5" s="68" t="str">
        <f>IFERROR(__xludf.DUMMYFUNCTION("""COMPUTED_VALUE"""),"% Day P&amp;L (Net MV)")</f>
        <v>% Day P&amp;L (Net MV)</v>
      </c>
      <c r="DC5" s="68" t="str">
        <f>IFERROR(__xludf.DUMMYFUNCTION("""COMPUTED_VALUE"""),"Expiration Month")</f>
        <v>Expiration Month</v>
      </c>
      <c r="DD5" s="68" t="str">
        <f>IFERROR(__xludf.DUMMYFUNCTION("""COMPUTED_VALUE"""),"Delta Adj. Position (LME)")</f>
        <v>Delta Adj. Position (LME)</v>
      </c>
      <c r="DE5" s="68" t="str">
        <f>IFERROR(__xludf.DUMMYFUNCTION("""COMPUTED_VALUE"""),"Premium")</f>
        <v>Premium</v>
      </c>
      <c r="DF5" s="68" t="str">
        <f>IFERROR(__xludf.DUMMYFUNCTION("""COMPUTED_VALUE"""),"Premium $")</f>
        <v>Premium $</v>
      </c>
      <c r="DG5" s="68" t="str">
        <f>IFERROR(__xludf.DUMMYFUNCTION("""COMPUTED_VALUE"""),"Forward Points")</f>
        <v>Forward Points</v>
      </c>
      <c r="DH5" s="68" t="str">
        <f>IFERROR(__xludf.DUMMYFUNCTION("""COMPUTED_VALUE"""),"Closing Mark (Underlying)")</f>
        <v>Closing Mark (Underlying)</v>
      </c>
      <c r="DI5" s="68" t="str">
        <f>IFERROR(__xludf.DUMMYFUNCTION("""COMPUTED_VALUE"""),"% Change (Underlying Price)")</f>
        <v>% Change (Underlying Price)</v>
      </c>
      <c r="DJ5" s="68" t="str">
        <f>IFERROR(__xludf.DUMMYFUNCTION("""COMPUTED_VALUE"""),"Transaction Type")</f>
        <v>Transaction Type</v>
      </c>
      <c r="DK5" s="68" t="str">
        <f>IFERROR(__xludf.DUMMYFUNCTION("""COMPUTED_VALUE"""),"Closing Market Value (Local)")</f>
        <v>Closing Market Value (Local)</v>
      </c>
      <c r="DL5" s="68" t="str">
        <f>IFERROR(__xludf.DUMMYFUNCTION("""COMPUTED_VALUE"""),"Closing Market Value (Base)")</f>
        <v>Closing Market Value (Base)</v>
      </c>
      <c r="DM5" s="68" t="str">
        <f>IFERROR(__xludf.DUMMYFUNCTION("""COMPUTED_VALUE"""),"Closing FX Rate")</f>
        <v>Closing FX Rate</v>
      </c>
      <c r="DN5" s="68" t="str">
        <f>IFERROR(__xludf.DUMMYFUNCTION("""COMPUTED_VALUE"""),"Change In Underlying Price")</f>
        <v>Change In Underlying Price</v>
      </c>
      <c r="DO5" s="68" t="str">
        <f>IFERROR(__xludf.DUMMYFUNCTION("""COMPUTED_VALUE"""),"RIC")</f>
        <v>RIC</v>
      </c>
      <c r="DP5" s="68" t="str">
        <f>IFERROR(__xludf.DUMMYFUNCTION("""COMPUTED_VALUE"""),"Position Side Exposure (Boxed)")</f>
        <v>Position Side Exposure (Boxed)</v>
      </c>
      <c r="DQ5" s="68" t="str">
        <f>IFERROR(__xludf.DUMMYFUNCTION("""COMPUTED_VALUE"""),"Analyst")</f>
        <v>Analyst</v>
      </c>
      <c r="DR5" s="68" t="str">
        <f>IFERROR(__xludf.DUMMYFUNCTION("""COMPUTED_VALUE"""),"Country Of Risk")</f>
        <v>Country Of Risk</v>
      </c>
      <c r="DS5" s="68" t="str">
        <f>IFERROR(__xludf.DUMMYFUNCTION("""COMPUTED_VALUE"""),"Custom UDA1")</f>
        <v>Custom UDA1</v>
      </c>
      <c r="DT5" s="68" t="str">
        <f>IFERROR(__xludf.DUMMYFUNCTION("""COMPUTED_VALUE"""),"Custom UDA2")</f>
        <v>Custom UDA2</v>
      </c>
      <c r="DU5" s="68" t="str">
        <f>IFERROR(__xludf.DUMMYFUNCTION("""COMPUTED_VALUE"""),"Custom UDA3")</f>
        <v>Custom UDA3</v>
      </c>
      <c r="DV5" s="68" t="str">
        <f>IFERROR(__xludf.DUMMYFUNCTION("""COMPUTED_VALUE"""),"Custom UDA4")</f>
        <v>Custom UDA4</v>
      </c>
      <c r="DW5" s="68" t="str">
        <f>IFERROR(__xludf.DUMMYFUNCTION("""COMPUTED_VALUE"""),"Custom UDA5")</f>
        <v>Custom UDA5</v>
      </c>
      <c r="DX5" s="68" t="str">
        <f>IFERROR(__xludf.DUMMYFUNCTION("""COMPUTED_VALUE"""),"Custom UDA6")</f>
        <v>Custom UDA6</v>
      </c>
      <c r="DY5" s="68" t="str">
        <f>IFERROR(__xludf.DUMMYFUNCTION("""COMPUTED_VALUE"""),"Custom UDA7")</f>
        <v>Custom UDA7</v>
      </c>
      <c r="DZ5" s="68" t="str">
        <f>IFERROR(__xludf.DUMMYFUNCTION("""COMPUTED_VALUE"""),"Issuer")</f>
        <v>Issuer</v>
      </c>
      <c r="EA5" s="68" t="str">
        <f>IFERROR(__xludf.DUMMYFUNCTION("""COMPUTED_VALUE"""),"Liquid Tag")</f>
        <v>Liquid Tag</v>
      </c>
      <c r="EB5" s="68" t="str">
        <f>IFERROR(__xludf.DUMMYFUNCTION("""COMPUTED_VALUE"""),"Market Cap UDA")</f>
        <v>Market Cap UDA</v>
      </c>
      <c r="EC5" s="68" t="str">
        <f>IFERROR(__xludf.DUMMYFUNCTION("""COMPUTED_VALUE"""),"Region")</f>
        <v>Region</v>
      </c>
      <c r="ED5" s="68" t="str">
        <f>IFERROR(__xludf.DUMMYFUNCTION("""COMPUTED_VALUE"""),"Risk Currency")</f>
        <v>Risk Currency</v>
      </c>
      <c r="EE5" s="68" t="str">
        <f>IFERROR(__xludf.DUMMYFUNCTION("""COMPUTED_VALUE"""),"UCITS Eligible Tag")</f>
        <v>UCITS Eligible Tag</v>
      </c>
      <c r="EF5" s="68" t="str">
        <f>IFERROR(__xludf.DUMMYFUNCTION("""COMPUTED_VALUE"""),"FX Rate (Display)")</f>
        <v>FX Rate (Display)</v>
      </c>
      <c r="EG5" s="68" t="str">
        <f>IFERROR(__xludf.DUMMYFUNCTION("""COMPUTED_VALUE"""),"% Net Exposure (Base)")</f>
        <v>% Net Exposure (Base)</v>
      </c>
      <c r="EH5" s="68" t="str">
        <f>IFERROR(__xludf.DUMMYFUNCTION("""COMPUTED_VALUE"""),"% Gross Exposure (Base)")</f>
        <v>% Gross Exposure (Base)</v>
      </c>
      <c r="EI5" s="68" t="str">
        <f>IFERROR(__xludf.DUMMYFUNCTION("""COMPUTED_VALUE"""),"% Exposure (Base)")</f>
        <v>% Exposure (Base)</v>
      </c>
      <c r="EJ5" s="68" t="str">
        <f>IFERROR(__xludf.DUMMYFUNCTION("""COMPUTED_VALUE"""),"% Gross Exposure (Underlying) (Base)")</f>
        <v>% Gross Exposure (Underlying) (Base)</v>
      </c>
      <c r="EK5" s="68" t="str">
        <f>IFERROR(__xludf.DUMMYFUNCTION("""COMPUTED_VALUE"""),"% Beta Adj. Gross Exposure (Base)")</f>
        <v>% Beta Adj. Gross Exposure (Base)</v>
      </c>
      <c r="EL5" s="68" t="str">
        <f>IFERROR(__xludf.DUMMYFUNCTION("""COMPUTED_VALUE"""),"Position Side Exposure (Underlying)")</f>
        <v>Position Side Exposure (Underlying)</v>
      </c>
      <c r="EM5" s="68" t="str">
        <f>IFERROR(__xludf.DUMMYFUNCTION("""COMPUTED_VALUE"""),"Gross Exposure (Underlying) (Base)")</f>
        <v>Gross Exposure (Underlying) (Base)</v>
      </c>
      <c r="EN5" s="68" t="str">
        <f>IFERROR(__xludf.DUMMYFUNCTION("""COMPUTED_VALUE"""),"Gross Exposure (Underlying)")</f>
        <v>Gross Exposure (Underlying)</v>
      </c>
      <c r="EO5" s="68" t="str">
        <f>IFERROR(__xludf.DUMMYFUNCTION("""COMPUTED_VALUE"""),"Day Return")</f>
        <v>Day Return</v>
      </c>
      <c r="EP5" s="68" t="str">
        <f>IFERROR(__xludf.DUMMYFUNCTION("""COMPUTED_VALUE"""),"Start of Day NAV")</f>
        <v>Start of Day NAV</v>
      </c>
      <c r="EQ5" s="68" t="str">
        <f>IFERROR(__xludf.DUMMYFUNCTION("""COMPUTED_VALUE"""),"% Gross Market Value (Base)")</f>
        <v>% Gross Market Value (Base)</v>
      </c>
      <c r="ER5" s="68" t="str">
        <f>IFERROR(__xludf.DUMMYFUNCTION("""COMPUTED_VALUE"""),"Beta Adj. Gross Exposure (Underlying) (Local)")</f>
        <v>Beta Adj. Gross Exposure (Underlying) (Local)</v>
      </c>
      <c r="ES5" s="68" t="str">
        <f>IFERROR(__xludf.DUMMYFUNCTION("""COMPUTED_VALUE"""),"NAV")</f>
        <v>NAV</v>
      </c>
      <c r="ET5" s="68" t="str">
        <f>IFERROR(__xludf.DUMMYFUNCTION("""COMPUTED_VALUE"""),"% P&amp;L Contribution")</f>
        <v>% P&amp;L Contribution</v>
      </c>
      <c r="EU5" s="68" t="str">
        <f>IFERROR(__xludf.DUMMYFUNCTION("""COMPUTED_VALUE"""),"% Net Market Value (Base)")</f>
        <v>% Net Market Value (Base)</v>
      </c>
      <c r="EV5" s="68" t="str">
        <f>IFERROR(__xludf.DUMMYFUNCTION("""COMPUTED_VALUE"""),"Position Side Exposure")</f>
        <v>Position Side Exposure</v>
      </c>
      <c r="EW5" s="68" t="str">
        <f>IFERROR(__xludf.DUMMYFUNCTION("""COMPUTED_VALUE"""),"NAV (Touch)")</f>
        <v>NAV (Touch)</v>
      </c>
      <c r="EX5" s="68" t="str">
        <f>IFERROR(__xludf.DUMMYFUNCTION("""COMPUTED_VALUE"""),"IgnorePropertyChangeEvents")</f>
        <v>IgnorePropertyChangeEvents</v>
      </c>
      <c r="EY5" s="68" t="str">
        <f>IFERROR(__xludf.DUMMYFUNCTION("""COMPUTED_VALUE"""),"Trade Attribute 1")</f>
        <v>Trade Attribute 1</v>
      </c>
      <c r="EZ5" s="68" t="str">
        <f>IFERROR(__xludf.DUMMYFUNCTION("""COMPUTED_VALUE"""),"Trade Attribute 2")</f>
        <v>Trade Attribute 2</v>
      </c>
      <c r="FA5" s="68" t="str">
        <f>IFERROR(__xludf.DUMMYFUNCTION("""COMPUTED_VALUE"""),"")</f>
        <v/>
      </c>
      <c r="FB5" s="68" t="str">
        <f>IFERROR(__xludf.DUMMYFUNCTION("""COMPUTED_VALUE"""),"")</f>
        <v/>
      </c>
      <c r="FC5" s="68" t="str">
        <f>IFERROR(__xludf.DUMMYFUNCTION("""COMPUTED_VALUE"""),"")</f>
        <v/>
      </c>
      <c r="FD5" s="68" t="str">
        <f>IFERROR(__xludf.DUMMYFUNCTION("""COMPUTED_VALUE"""),"")</f>
        <v/>
      </c>
      <c r="FE5" s="68" t="str">
        <f>IFERROR(__xludf.DUMMYFUNCTION("""COMPUTED_VALUE"""),"")</f>
        <v/>
      </c>
      <c r="FF5" s="68" t="str">
        <f>IFERROR(__xludf.DUMMYFUNCTION("""COMPUTED_VALUE"""),"")</f>
        <v/>
      </c>
      <c r="FG5" s="68" t="str">
        <f>IFERROR(__xludf.DUMMYFUNCTION("""COMPUTED_VALUE"""),"")</f>
        <v/>
      </c>
      <c r="FH5" s="68" t="str">
        <f>IFERROR(__xludf.DUMMYFUNCTION("""COMPUTED_VALUE"""),"")</f>
        <v/>
      </c>
      <c r="FI5" s="68" t="str">
        <f>IFERROR(__xludf.DUMMYFUNCTION("""COMPUTED_VALUE"""),"")</f>
        <v/>
      </c>
      <c r="FJ5" s="68" t="str">
        <f>IFERROR(__xludf.DUMMYFUNCTION("""COMPUTED_VALUE"""),"")</f>
        <v/>
      </c>
    </row>
    <row r="6" ht="15.75" customHeight="1">
      <c r="A6" s="69"/>
      <c r="B6" s="69"/>
      <c r="C6" s="70" t="s">
        <v>18</v>
      </c>
      <c r="D6" s="71">
        <v>50.0</v>
      </c>
      <c r="E6" s="70" t="s">
        <v>20</v>
      </c>
      <c r="F6" s="70" t="s">
        <v>47</v>
      </c>
      <c r="G6" s="71">
        <v>6.5</v>
      </c>
      <c r="H6" s="70" t="s">
        <v>48</v>
      </c>
      <c r="I6" s="72">
        <v>509.55</v>
      </c>
      <c r="J6" s="71">
        <v>100.0</v>
      </c>
      <c r="K6" s="72">
        <v>509.55</v>
      </c>
      <c r="L6" s="72">
        <v>509.55</v>
      </c>
      <c r="M6" s="72">
        <v>509.55</v>
      </c>
      <c r="N6" s="72">
        <v>509.55</v>
      </c>
      <c r="O6" s="70" t="s">
        <v>18</v>
      </c>
      <c r="P6" s="71">
        <v>6.0</v>
      </c>
      <c r="Q6" s="72">
        <v>95.54</v>
      </c>
      <c r="R6" s="70" t="s">
        <v>49</v>
      </c>
      <c r="S6" s="70" t="s">
        <v>50</v>
      </c>
      <c r="T6" s="70" t="s">
        <v>51</v>
      </c>
      <c r="U6" s="70" t="s">
        <v>52</v>
      </c>
      <c r="V6" s="70" t="s">
        <v>53</v>
      </c>
      <c r="W6" s="70" t="s">
        <v>54</v>
      </c>
      <c r="X6" s="71">
        <v>10.0</v>
      </c>
      <c r="Y6" s="72">
        <v>0.13</v>
      </c>
      <c r="Z6" s="70" t="s">
        <v>55</v>
      </c>
      <c r="AA6" s="70" t="s">
        <v>55</v>
      </c>
      <c r="AB6" s="71">
        <v>0.0</v>
      </c>
      <c r="AC6" s="72">
        <v>33.33</v>
      </c>
      <c r="AD6" s="71">
        <v>4000.0</v>
      </c>
      <c r="AE6" s="71">
        <v>4000.0</v>
      </c>
      <c r="AF6" s="71">
        <v>50.0</v>
      </c>
      <c r="AG6" s="72">
        <v>509.55</v>
      </c>
      <c r="AH6" s="71">
        <v>4000.0</v>
      </c>
      <c r="AI6" s="72">
        <v>509.55</v>
      </c>
      <c r="AJ6" s="72">
        <v>11462.14</v>
      </c>
      <c r="AK6" s="71">
        <v>1000.0</v>
      </c>
      <c r="AL6" s="71">
        <v>1.0</v>
      </c>
      <c r="AM6" s="71">
        <v>1.0</v>
      </c>
      <c r="AN6" s="70" t="s">
        <v>19</v>
      </c>
      <c r="AO6" s="70" t="s">
        <v>55</v>
      </c>
      <c r="AP6" s="70" t="s">
        <v>48</v>
      </c>
      <c r="AQ6" s="70" t="s">
        <v>18</v>
      </c>
      <c r="AR6" s="71">
        <v>8.0</v>
      </c>
      <c r="AS6" s="71">
        <v>1.0</v>
      </c>
      <c r="AT6" s="70" t="s">
        <v>56</v>
      </c>
      <c r="AU6" s="70" t="s">
        <v>57</v>
      </c>
      <c r="AV6" s="71"/>
      <c r="AW6" s="71">
        <v>750.0</v>
      </c>
      <c r="AX6" s="71">
        <v>0.0</v>
      </c>
      <c r="AY6" s="71">
        <v>0.0</v>
      </c>
      <c r="AZ6" s="71">
        <v>1000.0</v>
      </c>
      <c r="BA6" s="72">
        <v>123.08</v>
      </c>
      <c r="BB6" s="70"/>
      <c r="BC6" s="71">
        <v>1.0</v>
      </c>
      <c r="BD6" s="71">
        <v>0.0</v>
      </c>
      <c r="BE6" s="70" t="s">
        <v>51</v>
      </c>
      <c r="BF6" s="70" t="s">
        <v>58</v>
      </c>
      <c r="BG6" s="70" t="s">
        <v>58</v>
      </c>
      <c r="BH6" s="70" t="s">
        <v>58</v>
      </c>
      <c r="BI6" s="70" t="s">
        <v>58</v>
      </c>
      <c r="BJ6" s="71">
        <v>0.0</v>
      </c>
      <c r="BK6" s="71">
        <v>0.0</v>
      </c>
      <c r="BL6" s="71">
        <v>0.0</v>
      </c>
      <c r="BM6" s="71">
        <v>0.0</v>
      </c>
      <c r="BN6" s="70"/>
      <c r="BO6" s="71">
        <v>0.0</v>
      </c>
      <c r="BP6" s="71">
        <v>0.0</v>
      </c>
      <c r="BQ6" s="70" t="s">
        <v>59</v>
      </c>
      <c r="BR6" s="70" t="s">
        <v>60</v>
      </c>
      <c r="BS6" s="71">
        <v>0.0</v>
      </c>
      <c r="BT6" s="71">
        <v>0.0</v>
      </c>
      <c r="BU6" s="70" t="s">
        <v>51</v>
      </c>
      <c r="BV6" s="70"/>
      <c r="BW6" s="71">
        <v>0.0</v>
      </c>
      <c r="BX6" s="72">
        <v>509.55</v>
      </c>
      <c r="BY6" s="72">
        <v>509.55</v>
      </c>
      <c r="BZ6" s="71">
        <v>8.0</v>
      </c>
      <c r="CA6" s="72">
        <v>1.02</v>
      </c>
      <c r="CB6" s="70"/>
      <c r="CC6" s="71">
        <v>0.0</v>
      </c>
      <c r="CD6" s="72">
        <v>127.39</v>
      </c>
      <c r="CE6" s="72">
        <v>382.17</v>
      </c>
      <c r="CF6" s="71">
        <v>0.0</v>
      </c>
      <c r="CG6" s="72">
        <v>95.54</v>
      </c>
      <c r="CH6" s="72">
        <v>23.08</v>
      </c>
      <c r="CI6" s="71">
        <v>0.0</v>
      </c>
      <c r="CJ6" s="71">
        <v>0.0</v>
      </c>
      <c r="CK6" s="73" t="b">
        <v>0</v>
      </c>
      <c r="CL6" s="70" t="s">
        <v>55</v>
      </c>
      <c r="CM6" s="70" t="s">
        <v>55</v>
      </c>
      <c r="CN6" s="70" t="s">
        <v>55</v>
      </c>
      <c r="CO6" s="70" t="s">
        <v>55</v>
      </c>
      <c r="CP6" s="70" t="s">
        <v>55</v>
      </c>
      <c r="CQ6" s="70" t="s">
        <v>55</v>
      </c>
      <c r="CR6" s="71"/>
      <c r="CS6" s="71">
        <v>6.5</v>
      </c>
      <c r="CT6" s="70" t="s">
        <v>55</v>
      </c>
      <c r="CU6" s="70" t="s">
        <v>55</v>
      </c>
      <c r="CV6" s="70" t="s">
        <v>55</v>
      </c>
      <c r="CW6" s="70" t="s">
        <v>55</v>
      </c>
      <c r="CX6" s="70" t="s">
        <v>55</v>
      </c>
      <c r="CY6" s="70" t="s">
        <v>61</v>
      </c>
      <c r="CZ6" s="70" t="s">
        <v>41</v>
      </c>
      <c r="DA6" s="71">
        <v>4000.0</v>
      </c>
      <c r="DB6" s="71">
        <v>100.0</v>
      </c>
      <c r="DC6" s="71"/>
      <c r="DD6" s="71">
        <v>50.0</v>
      </c>
      <c r="DE6" s="71">
        <v>0.0</v>
      </c>
      <c r="DF6" s="71">
        <v>0.0</v>
      </c>
      <c r="DG6" s="71">
        <v>0.0</v>
      </c>
      <c r="DH6" s="71">
        <v>6.0</v>
      </c>
      <c r="DI6" s="72">
        <v>33.33</v>
      </c>
      <c r="DJ6" s="70" t="s">
        <v>19</v>
      </c>
      <c r="DK6" s="71">
        <v>0.0</v>
      </c>
      <c r="DL6" s="71">
        <v>0.0</v>
      </c>
      <c r="DM6" s="71">
        <v>0.0</v>
      </c>
      <c r="DN6" s="71">
        <v>2.0</v>
      </c>
      <c r="DO6" s="70" t="s">
        <v>55</v>
      </c>
      <c r="DP6" s="70" t="s">
        <v>48</v>
      </c>
      <c r="DQ6" s="70" t="s">
        <v>58</v>
      </c>
      <c r="DR6" s="70" t="s">
        <v>62</v>
      </c>
      <c r="DS6" s="70" t="s">
        <v>58</v>
      </c>
      <c r="DT6" s="70" t="s">
        <v>58</v>
      </c>
      <c r="DU6" s="70" t="s">
        <v>58</v>
      </c>
      <c r="DV6" s="70" t="s">
        <v>58</v>
      </c>
      <c r="DW6" s="70" t="s">
        <v>58</v>
      </c>
      <c r="DX6" s="70" t="s">
        <v>58</v>
      </c>
      <c r="DY6" s="70" t="s">
        <v>58</v>
      </c>
      <c r="DZ6" s="70" t="s">
        <v>18</v>
      </c>
      <c r="EA6" s="70" t="s">
        <v>63</v>
      </c>
      <c r="EB6" s="70" t="s">
        <v>58</v>
      </c>
      <c r="EC6" s="70" t="s">
        <v>58</v>
      </c>
      <c r="ED6" s="70" t="s">
        <v>54</v>
      </c>
      <c r="EE6" s="70" t="s">
        <v>63</v>
      </c>
      <c r="EF6" s="71">
        <v>7.85</v>
      </c>
      <c r="EG6" s="72">
        <v>114.62</v>
      </c>
      <c r="EH6" s="72">
        <v>114.62</v>
      </c>
      <c r="EI6" s="72">
        <v>114.62</v>
      </c>
      <c r="EJ6" s="72">
        <v>114.62</v>
      </c>
      <c r="EK6" s="72">
        <v>114.62</v>
      </c>
      <c r="EL6" s="70" t="s">
        <v>48</v>
      </c>
      <c r="EM6" s="72">
        <v>509.55</v>
      </c>
      <c r="EN6" s="71">
        <v>4000.0</v>
      </c>
      <c r="EO6" s="71">
        <v>0.0</v>
      </c>
      <c r="EP6" s="71">
        <v>-65.0</v>
      </c>
      <c r="EQ6" s="72">
        <v>114.62</v>
      </c>
      <c r="ER6" s="71">
        <v>4000.0</v>
      </c>
      <c r="ES6" s="72">
        <v>444.55</v>
      </c>
      <c r="ET6" s="72">
        <v>114.62</v>
      </c>
      <c r="EU6" s="72">
        <v>114.62</v>
      </c>
      <c r="EV6" s="70" t="s">
        <v>48</v>
      </c>
      <c r="EW6" s="72">
        <v>509.55</v>
      </c>
      <c r="EX6" s="73" t="b">
        <v>0</v>
      </c>
      <c r="EY6" s="70" t="s">
        <v>55</v>
      </c>
      <c r="EZ6" s="70" t="s">
        <v>55</v>
      </c>
      <c r="FA6" s="57"/>
      <c r="FB6" s="57"/>
      <c r="FC6" s="57"/>
      <c r="FD6" s="57"/>
      <c r="FE6" s="57"/>
      <c r="FF6" s="57"/>
      <c r="FG6" s="57"/>
      <c r="FH6" s="57"/>
      <c r="FI6" s="57"/>
      <c r="FJ6" s="57"/>
    </row>
    <row r="7" ht="15.75" customHeight="1">
      <c r="A7" s="55"/>
      <c r="B7" s="55"/>
      <c r="C7" s="55"/>
      <c r="D7" s="55"/>
      <c r="E7" s="55"/>
      <c r="F7" s="55"/>
      <c r="G7" s="55"/>
      <c r="H7" s="55"/>
      <c r="I7" s="55"/>
      <c r="J7" s="55"/>
      <c r="K7" s="55"/>
      <c r="L7" s="55"/>
      <c r="M7" s="55"/>
      <c r="N7" s="55"/>
      <c r="O7" s="55"/>
      <c r="P7" s="57"/>
      <c r="Q7" s="57"/>
      <c r="R7" s="57"/>
      <c r="S7" s="57"/>
      <c r="T7" s="57"/>
      <c r="U7" s="57"/>
      <c r="V7" s="57"/>
      <c r="W7" s="57"/>
      <c r="X7" s="57"/>
      <c r="Y7" s="57"/>
      <c r="Z7" s="57"/>
      <c r="AA7" s="57"/>
      <c r="AB7" s="57"/>
      <c r="AC7" s="57"/>
      <c r="AD7" s="57"/>
      <c r="AE7" s="57"/>
      <c r="AF7" s="57"/>
      <c r="AG7" s="57"/>
      <c r="AH7" s="57"/>
      <c r="AI7" s="57"/>
      <c r="AJ7" s="57"/>
      <c r="AK7" s="57"/>
      <c r="AL7" s="57"/>
      <c r="AM7" s="57"/>
      <c r="AN7" s="57"/>
      <c r="AO7" s="57"/>
      <c r="AP7" s="57"/>
      <c r="AQ7" s="57"/>
      <c r="AR7" s="57"/>
      <c r="AS7" s="57"/>
      <c r="AT7" s="57"/>
      <c r="AU7" s="57"/>
      <c r="AV7" s="57"/>
      <c r="AW7" s="57"/>
      <c r="AX7" s="57"/>
      <c r="AY7" s="57"/>
      <c r="AZ7" s="57"/>
      <c r="BA7" s="57"/>
      <c r="BB7" s="57"/>
      <c r="BC7" s="57"/>
      <c r="BD7" s="57"/>
      <c r="BE7" s="57"/>
      <c r="BF7" s="57"/>
      <c r="BG7" s="57"/>
      <c r="BH7" s="57"/>
      <c r="BI7" s="57"/>
      <c r="BJ7" s="57"/>
      <c r="BK7" s="57"/>
      <c r="BL7" s="57"/>
      <c r="BM7" s="57"/>
      <c r="BN7" s="57"/>
      <c r="BO7" s="57"/>
      <c r="BP7" s="57"/>
      <c r="BQ7" s="57"/>
      <c r="BR7" s="57"/>
      <c r="BS7" s="57"/>
      <c r="BT7" s="57"/>
      <c r="BU7" s="57"/>
      <c r="BV7" s="57"/>
      <c r="BW7" s="57"/>
      <c r="BX7" s="57"/>
      <c r="BY7" s="57"/>
      <c r="BZ7" s="57"/>
      <c r="CA7" s="57"/>
      <c r="CB7" s="57"/>
      <c r="CC7" s="57"/>
      <c r="CD7" s="57"/>
      <c r="CE7" s="57"/>
      <c r="CF7" s="57"/>
      <c r="CG7" s="57"/>
      <c r="CH7" s="57"/>
      <c r="CI7" s="57"/>
      <c r="CJ7" s="57"/>
      <c r="CK7" s="57"/>
      <c r="CL7" s="57"/>
      <c r="CM7" s="57"/>
      <c r="CN7" s="57"/>
      <c r="CO7" s="57"/>
      <c r="CP7" s="57"/>
      <c r="CQ7" s="57"/>
      <c r="CR7" s="57"/>
      <c r="CS7" s="57"/>
      <c r="CT7" s="57"/>
      <c r="CU7" s="57"/>
      <c r="CV7" s="57"/>
      <c r="CW7" s="57"/>
      <c r="CX7" s="57"/>
      <c r="CY7" s="57"/>
      <c r="CZ7" s="57"/>
      <c r="DA7" s="57"/>
      <c r="DB7" s="57"/>
      <c r="DC7" s="57"/>
      <c r="DD7" s="57"/>
      <c r="DE7" s="57"/>
      <c r="DF7" s="57"/>
      <c r="DG7" s="57"/>
      <c r="DH7" s="57"/>
      <c r="DI7" s="57"/>
      <c r="DJ7" s="57"/>
      <c r="DK7" s="57"/>
      <c r="DL7" s="57"/>
      <c r="DM7" s="57"/>
      <c r="DN7" s="57"/>
      <c r="DO7" s="57"/>
      <c r="DP7" s="57"/>
      <c r="DQ7" s="57"/>
      <c r="DR7" s="57"/>
      <c r="DS7" s="57"/>
      <c r="DT7" s="57"/>
      <c r="DU7" s="57"/>
      <c r="DV7" s="57"/>
      <c r="DW7" s="57"/>
      <c r="DX7" s="57"/>
      <c r="DY7" s="57"/>
      <c r="DZ7" s="57"/>
      <c r="EA7" s="57"/>
      <c r="EB7" s="57"/>
      <c r="EC7" s="57"/>
      <c r="ED7" s="57"/>
      <c r="EE7" s="57"/>
      <c r="EF7" s="57"/>
      <c r="EG7" s="57"/>
      <c r="EH7" s="57"/>
      <c r="EI7" s="57"/>
      <c r="EJ7" s="57"/>
      <c r="EK7" s="57"/>
      <c r="EL7" s="57"/>
      <c r="EM7" s="57"/>
      <c r="EN7" s="57"/>
      <c r="EO7" s="57"/>
      <c r="EP7" s="57"/>
      <c r="EQ7" s="57"/>
      <c r="ER7" s="57"/>
      <c r="ES7" s="57"/>
      <c r="ET7" s="57"/>
      <c r="EU7" s="57"/>
      <c r="EV7" s="57"/>
      <c r="EW7" s="57"/>
      <c r="EX7" s="57"/>
      <c r="EY7" s="57"/>
      <c r="EZ7" s="57"/>
      <c r="FA7" s="57"/>
      <c r="FB7" s="57"/>
      <c r="FC7" s="57"/>
      <c r="FD7" s="57"/>
      <c r="FE7" s="57"/>
      <c r="FF7" s="57"/>
      <c r="FG7" s="57"/>
      <c r="FH7" s="57"/>
      <c r="FI7" s="57"/>
      <c r="FJ7" s="57"/>
    </row>
    <row r="8" ht="15.75" customHeight="1">
      <c r="A8" s="55"/>
      <c r="B8" s="55"/>
      <c r="C8" s="55"/>
      <c r="D8" s="55"/>
      <c r="E8" s="55"/>
      <c r="F8" s="55"/>
      <c r="G8" s="55"/>
      <c r="H8" s="55"/>
      <c r="I8" s="55"/>
      <c r="J8" s="55"/>
      <c r="K8" s="55"/>
      <c r="L8" s="55"/>
      <c r="M8" s="55"/>
      <c r="N8" s="55"/>
      <c r="O8" s="55"/>
      <c r="P8" s="57"/>
      <c r="Q8" s="57"/>
      <c r="R8" s="57"/>
      <c r="S8" s="57"/>
      <c r="T8" s="57"/>
      <c r="U8" s="57"/>
      <c r="V8" s="57"/>
      <c r="W8" s="57"/>
      <c r="X8" s="57"/>
      <c r="Y8" s="57"/>
      <c r="Z8" s="57"/>
      <c r="AA8" s="57"/>
      <c r="AB8" s="57"/>
      <c r="AC8" s="57"/>
      <c r="AD8" s="57"/>
      <c r="AE8" s="57"/>
      <c r="AF8" s="57"/>
      <c r="AG8" s="57"/>
      <c r="AH8" s="57"/>
      <c r="AI8" s="57"/>
      <c r="AJ8" s="57"/>
      <c r="AK8" s="57"/>
      <c r="AL8" s="57"/>
      <c r="AM8" s="57"/>
      <c r="AN8" s="57"/>
      <c r="AO8" s="57"/>
      <c r="AP8" s="57"/>
      <c r="AQ8" s="57"/>
      <c r="AR8" s="57"/>
      <c r="AS8" s="57"/>
      <c r="AT8" s="57"/>
      <c r="AU8" s="57"/>
      <c r="AV8" s="57"/>
      <c r="AW8" s="57"/>
      <c r="AX8" s="57"/>
      <c r="AY8" s="57"/>
      <c r="AZ8" s="57"/>
      <c r="BA8" s="57"/>
      <c r="BB8" s="57"/>
      <c r="BC8" s="57"/>
      <c r="BD8" s="57"/>
      <c r="BE8" s="57"/>
      <c r="BF8" s="57"/>
      <c r="BG8" s="57"/>
      <c r="BH8" s="57"/>
      <c r="BI8" s="57"/>
      <c r="BJ8" s="57"/>
      <c r="BK8" s="57"/>
      <c r="BL8" s="57"/>
      <c r="BM8" s="57"/>
      <c r="BN8" s="57"/>
      <c r="BO8" s="57"/>
      <c r="BP8" s="57"/>
      <c r="BQ8" s="57"/>
      <c r="BR8" s="57"/>
      <c r="BS8" s="57"/>
      <c r="BT8" s="57"/>
      <c r="BU8" s="57"/>
      <c r="BV8" s="57"/>
      <c r="BW8" s="57"/>
      <c r="BX8" s="57"/>
      <c r="BY8" s="57"/>
      <c r="BZ8" s="57"/>
      <c r="CA8" s="57"/>
      <c r="CB8" s="57"/>
      <c r="CC8" s="57"/>
      <c r="CD8" s="57"/>
      <c r="CE8" s="57"/>
      <c r="CF8" s="57"/>
      <c r="CG8" s="57"/>
      <c r="CH8" s="57"/>
      <c r="CI8" s="57"/>
      <c r="CJ8" s="57"/>
      <c r="CK8" s="57"/>
      <c r="CL8" s="57"/>
      <c r="CM8" s="57"/>
      <c r="CN8" s="57"/>
      <c r="CO8" s="57"/>
      <c r="CP8" s="57"/>
      <c r="CQ8" s="57"/>
      <c r="CR8" s="57"/>
      <c r="CS8" s="57"/>
      <c r="CT8" s="57"/>
      <c r="CU8" s="57"/>
      <c r="CV8" s="57"/>
      <c r="CW8" s="57"/>
      <c r="CX8" s="57"/>
      <c r="CY8" s="57"/>
      <c r="CZ8" s="57"/>
      <c r="DA8" s="57"/>
      <c r="DB8" s="57"/>
      <c r="DC8" s="57"/>
      <c r="DD8" s="57"/>
      <c r="DE8" s="57"/>
      <c r="DF8" s="57"/>
      <c r="DG8" s="57"/>
      <c r="DH8" s="57"/>
      <c r="DI8" s="57"/>
      <c r="DJ8" s="57"/>
      <c r="DK8" s="57"/>
      <c r="DL8" s="57"/>
      <c r="DM8" s="57"/>
      <c r="DN8" s="57"/>
      <c r="DO8" s="57"/>
      <c r="DP8" s="57"/>
      <c r="DQ8" s="57"/>
      <c r="DR8" s="57"/>
      <c r="DS8" s="57"/>
      <c r="DT8" s="57"/>
      <c r="DU8" s="57"/>
      <c r="DV8" s="57"/>
      <c r="DW8" s="57"/>
      <c r="DX8" s="57"/>
      <c r="DY8" s="57"/>
      <c r="DZ8" s="57"/>
      <c r="EA8" s="57"/>
      <c r="EB8" s="57"/>
      <c r="EC8" s="57"/>
      <c r="ED8" s="57"/>
      <c r="EE8" s="57"/>
      <c r="EF8" s="57"/>
      <c r="EG8" s="57"/>
      <c r="EH8" s="57"/>
      <c r="EI8" s="57"/>
      <c r="EJ8" s="57"/>
      <c r="EK8" s="57"/>
      <c r="EL8" s="57"/>
      <c r="EM8" s="57"/>
      <c r="EN8" s="57"/>
      <c r="EO8" s="57"/>
      <c r="EP8" s="57"/>
      <c r="EQ8" s="57"/>
      <c r="ER8" s="57"/>
      <c r="ES8" s="57"/>
      <c r="ET8" s="57"/>
      <c r="EU8" s="57"/>
      <c r="EV8" s="57"/>
      <c r="EW8" s="57"/>
      <c r="EX8" s="57"/>
      <c r="EY8" s="57"/>
      <c r="EZ8" s="57"/>
      <c r="FA8" s="57"/>
      <c r="FB8" s="57"/>
      <c r="FC8" s="57"/>
      <c r="FD8" s="57"/>
      <c r="FE8" s="57"/>
      <c r="FF8" s="57"/>
      <c r="FG8" s="57"/>
      <c r="FH8" s="57"/>
      <c r="FI8" s="57"/>
      <c r="FJ8" s="57"/>
    </row>
    <row r="9" ht="15.75" customHeight="1">
      <c r="A9" s="55"/>
      <c r="B9" s="55"/>
      <c r="C9" s="55"/>
      <c r="D9" s="55"/>
      <c r="E9" s="55"/>
      <c r="F9" s="55"/>
      <c r="G9" s="55"/>
      <c r="H9" s="55"/>
      <c r="I9" s="55"/>
      <c r="J9" s="55"/>
      <c r="K9" s="55"/>
      <c r="L9" s="55"/>
      <c r="M9" s="55"/>
      <c r="N9" s="55"/>
      <c r="O9" s="55"/>
      <c r="P9" s="57"/>
      <c r="Q9" s="57"/>
      <c r="R9" s="57"/>
      <c r="S9" s="57"/>
      <c r="T9" s="57"/>
      <c r="U9" s="57"/>
      <c r="V9" s="57"/>
      <c r="W9" s="57"/>
      <c r="X9" s="57"/>
      <c r="Y9" s="57"/>
      <c r="Z9" s="57"/>
      <c r="AA9" s="57"/>
      <c r="AB9" s="57"/>
      <c r="AC9" s="57"/>
      <c r="AD9" s="57"/>
      <c r="AE9" s="57"/>
      <c r="AF9" s="57"/>
      <c r="AG9" s="57"/>
      <c r="AH9" s="57"/>
      <c r="AI9" s="57"/>
      <c r="AJ9" s="57"/>
      <c r="AK9" s="57"/>
      <c r="AL9" s="57"/>
      <c r="AM9" s="57"/>
      <c r="AN9" s="57"/>
      <c r="AO9" s="57"/>
      <c r="AP9" s="57"/>
      <c r="AQ9" s="57"/>
      <c r="AR9" s="57"/>
      <c r="AS9" s="57"/>
      <c r="AT9" s="57"/>
      <c r="AU9" s="57"/>
      <c r="AV9" s="57"/>
      <c r="AW9" s="57"/>
      <c r="AX9" s="57"/>
      <c r="AY9" s="57"/>
      <c r="AZ9" s="57"/>
      <c r="BA9" s="57"/>
      <c r="BB9" s="57"/>
      <c r="BC9" s="57"/>
      <c r="BD9" s="57"/>
      <c r="BE9" s="57"/>
      <c r="BF9" s="57"/>
      <c r="BG9" s="57"/>
      <c r="BH9" s="57"/>
      <c r="BI9" s="57"/>
      <c r="BJ9" s="57"/>
      <c r="BK9" s="57"/>
      <c r="BL9" s="57"/>
      <c r="BM9" s="57"/>
      <c r="BN9" s="57"/>
      <c r="BO9" s="57"/>
      <c r="BP9" s="57"/>
      <c r="BQ9" s="57"/>
      <c r="BR9" s="57"/>
      <c r="BS9" s="57"/>
      <c r="BT9" s="57"/>
      <c r="BU9" s="57"/>
      <c r="BV9" s="57"/>
      <c r="BW9" s="57"/>
      <c r="BX9" s="57"/>
      <c r="BY9" s="57"/>
      <c r="BZ9" s="57"/>
      <c r="CA9" s="57"/>
      <c r="CB9" s="57"/>
      <c r="CC9" s="57"/>
      <c r="CD9" s="57"/>
      <c r="CE9" s="57"/>
      <c r="CF9" s="57"/>
      <c r="CG9" s="57"/>
      <c r="CH9" s="57"/>
      <c r="CI9" s="57"/>
      <c r="CJ9" s="57"/>
      <c r="CK9" s="57"/>
      <c r="CL9" s="57"/>
      <c r="CM9" s="57"/>
      <c r="CN9" s="57"/>
      <c r="CO9" s="57"/>
      <c r="CP9" s="57"/>
      <c r="CQ9" s="57"/>
      <c r="CR9" s="57"/>
      <c r="CS9" s="57"/>
      <c r="CT9" s="57"/>
      <c r="CU9" s="57"/>
      <c r="CV9" s="57"/>
      <c r="CW9" s="57"/>
      <c r="CX9" s="57"/>
      <c r="CY9" s="57"/>
      <c r="CZ9" s="57"/>
      <c r="DA9" s="57"/>
      <c r="DB9" s="57"/>
      <c r="DC9" s="57"/>
      <c r="DD9" s="57"/>
      <c r="DE9" s="57"/>
      <c r="DF9" s="57"/>
      <c r="DG9" s="57"/>
      <c r="DH9" s="57"/>
      <c r="DI9" s="57"/>
      <c r="DJ9" s="57"/>
      <c r="DK9" s="57"/>
      <c r="DL9" s="57"/>
      <c r="DM9" s="57"/>
      <c r="DN9" s="57"/>
      <c r="DO9" s="57"/>
      <c r="DP9" s="57"/>
      <c r="DQ9" s="57"/>
      <c r="DR9" s="57"/>
      <c r="DS9" s="57"/>
      <c r="DT9" s="57"/>
      <c r="DU9" s="57"/>
      <c r="DV9" s="57"/>
      <c r="DW9" s="57"/>
      <c r="DX9" s="57"/>
      <c r="DY9" s="57"/>
      <c r="DZ9" s="57"/>
      <c r="EA9" s="57"/>
      <c r="EB9" s="57"/>
      <c r="EC9" s="57"/>
      <c r="ED9" s="57"/>
      <c r="EE9" s="57"/>
      <c r="EF9" s="57"/>
      <c r="EG9" s="57"/>
      <c r="EH9" s="57"/>
      <c r="EI9" s="57"/>
      <c r="EJ9" s="57"/>
      <c r="EK9" s="57"/>
      <c r="EL9" s="57"/>
      <c r="EM9" s="57"/>
      <c r="EN9" s="57"/>
      <c r="EO9" s="57"/>
      <c r="EP9" s="57"/>
      <c r="EQ9" s="57"/>
      <c r="ER9" s="57"/>
      <c r="ES9" s="57"/>
      <c r="ET9" s="57"/>
      <c r="EU9" s="57"/>
      <c r="EV9" s="57"/>
      <c r="EW9" s="57"/>
      <c r="EX9" s="57"/>
      <c r="EY9" s="57"/>
      <c r="EZ9" s="57"/>
      <c r="FA9" s="57"/>
      <c r="FB9" s="57"/>
      <c r="FC9" s="57"/>
      <c r="FD9" s="57"/>
      <c r="FE9" s="57"/>
      <c r="FF9" s="57"/>
      <c r="FG9" s="57"/>
      <c r="FH9" s="57"/>
      <c r="FI9" s="57"/>
      <c r="FJ9" s="57"/>
    </row>
    <row r="10" ht="15.75" customHeight="1">
      <c r="A10" s="55"/>
      <c r="B10" s="55"/>
      <c r="C10" s="55"/>
      <c r="D10" s="55"/>
      <c r="E10" s="55"/>
      <c r="F10" s="55"/>
      <c r="G10" s="55"/>
      <c r="H10" s="55"/>
      <c r="I10" s="55"/>
      <c r="J10" s="55"/>
      <c r="K10" s="55"/>
      <c r="L10" s="55"/>
      <c r="M10" s="55"/>
      <c r="N10" s="55"/>
      <c r="O10" s="55"/>
      <c r="P10" s="57"/>
      <c r="Q10" s="57"/>
      <c r="R10" s="57"/>
      <c r="S10" s="57"/>
      <c r="T10" s="57"/>
      <c r="U10" s="57"/>
      <c r="V10" s="57"/>
      <c r="W10" s="57"/>
      <c r="X10" s="57"/>
      <c r="Y10" s="57"/>
      <c r="Z10" s="57"/>
      <c r="AA10" s="57"/>
      <c r="AB10" s="57"/>
      <c r="AC10" s="57"/>
      <c r="AD10" s="57"/>
      <c r="AE10" s="57"/>
      <c r="AF10" s="57"/>
      <c r="AG10" s="57"/>
      <c r="AH10" s="57"/>
      <c r="AI10" s="57"/>
      <c r="AJ10" s="57"/>
      <c r="AK10" s="57"/>
      <c r="AL10" s="57"/>
      <c r="AM10" s="57"/>
      <c r="AN10" s="57"/>
      <c r="AO10" s="57"/>
      <c r="AP10" s="57"/>
      <c r="AQ10" s="57"/>
      <c r="AR10" s="57"/>
      <c r="AS10" s="57"/>
      <c r="AT10" s="57"/>
      <c r="AU10" s="57"/>
      <c r="AV10" s="57"/>
      <c r="AW10" s="57"/>
      <c r="AX10" s="57"/>
      <c r="AY10" s="57"/>
      <c r="AZ10" s="57"/>
      <c r="BA10" s="57"/>
      <c r="BB10" s="57"/>
      <c r="BC10" s="57"/>
      <c r="BD10" s="57"/>
      <c r="BE10" s="57"/>
      <c r="BF10" s="57"/>
      <c r="BG10" s="57"/>
      <c r="BH10" s="57"/>
      <c r="BI10" s="57"/>
      <c r="BJ10" s="57"/>
      <c r="BK10" s="57"/>
      <c r="BL10" s="57"/>
      <c r="BM10" s="57"/>
      <c r="BN10" s="57"/>
      <c r="BO10" s="57"/>
      <c r="BP10" s="57"/>
      <c r="BQ10" s="57"/>
      <c r="BR10" s="57"/>
      <c r="BS10" s="57"/>
      <c r="BT10" s="57"/>
      <c r="BU10" s="57"/>
      <c r="BV10" s="57"/>
      <c r="BW10" s="57"/>
      <c r="BX10" s="57"/>
      <c r="BY10" s="57"/>
      <c r="BZ10" s="57"/>
      <c r="CA10" s="57"/>
      <c r="CB10" s="57"/>
      <c r="CC10" s="57"/>
      <c r="CD10" s="57"/>
      <c r="CE10" s="57"/>
      <c r="CF10" s="57"/>
      <c r="CG10" s="57"/>
      <c r="CH10" s="57"/>
      <c r="CI10" s="57"/>
      <c r="CJ10" s="57"/>
      <c r="CK10" s="57"/>
      <c r="CL10" s="57"/>
      <c r="CM10" s="57"/>
      <c r="CN10" s="57"/>
      <c r="CO10" s="57"/>
      <c r="CP10" s="57"/>
      <c r="CQ10" s="57"/>
      <c r="CR10" s="57"/>
      <c r="CS10" s="57"/>
      <c r="CT10" s="57"/>
      <c r="CU10" s="57"/>
      <c r="CV10" s="57"/>
      <c r="CW10" s="57"/>
      <c r="CX10" s="57"/>
      <c r="CY10" s="57"/>
      <c r="CZ10" s="57"/>
      <c r="DA10" s="57"/>
      <c r="DB10" s="57"/>
      <c r="DC10" s="57"/>
      <c r="DD10" s="57"/>
      <c r="DE10" s="57"/>
      <c r="DF10" s="57"/>
      <c r="DG10" s="57"/>
      <c r="DH10" s="57"/>
      <c r="DI10" s="57"/>
      <c r="DJ10" s="57"/>
      <c r="DK10" s="57"/>
      <c r="DL10" s="57"/>
      <c r="DM10" s="57"/>
      <c r="DN10" s="57"/>
      <c r="DO10" s="57"/>
      <c r="DP10" s="57"/>
      <c r="DQ10" s="57"/>
      <c r="DR10" s="57"/>
      <c r="DS10" s="57"/>
      <c r="DT10" s="57"/>
      <c r="DU10" s="57"/>
      <c r="DV10" s="57"/>
      <c r="DW10" s="57"/>
      <c r="DX10" s="57"/>
      <c r="DY10" s="57"/>
      <c r="DZ10" s="57"/>
      <c r="EA10" s="57"/>
      <c r="EB10" s="57"/>
      <c r="EC10" s="57"/>
      <c r="ED10" s="57"/>
      <c r="EE10" s="57"/>
      <c r="EF10" s="57"/>
      <c r="EG10" s="57"/>
      <c r="EH10" s="57"/>
      <c r="EI10" s="57"/>
      <c r="EJ10" s="57"/>
      <c r="EK10" s="57"/>
      <c r="EL10" s="57"/>
      <c r="EM10" s="57"/>
      <c r="EN10" s="57"/>
      <c r="EO10" s="57"/>
      <c r="EP10" s="57"/>
      <c r="EQ10" s="57"/>
      <c r="ER10" s="57"/>
      <c r="ES10" s="57"/>
      <c r="ET10" s="57"/>
      <c r="EU10" s="57"/>
      <c r="EV10" s="57"/>
      <c r="EW10" s="57"/>
      <c r="EX10" s="57"/>
      <c r="EY10" s="57"/>
      <c r="EZ10" s="57"/>
      <c r="FA10" s="57"/>
      <c r="FB10" s="57"/>
      <c r="FC10" s="57"/>
      <c r="FD10" s="57"/>
      <c r="FE10" s="57"/>
      <c r="FF10" s="57"/>
      <c r="FG10" s="57"/>
      <c r="FH10" s="57"/>
      <c r="FI10" s="57"/>
      <c r="FJ10" s="57"/>
    </row>
    <row r="11" ht="15.75" customHeight="1">
      <c r="A11" s="55"/>
      <c r="B11" s="55"/>
      <c r="C11" s="55"/>
      <c r="D11" s="55"/>
      <c r="E11" s="55"/>
      <c r="F11" s="55"/>
      <c r="G11" s="55"/>
      <c r="H11" s="55"/>
      <c r="I11" s="55"/>
      <c r="J11" s="55"/>
      <c r="K11" s="55"/>
      <c r="L11" s="55"/>
      <c r="M11" s="55"/>
      <c r="N11" s="55"/>
      <c r="O11" s="55"/>
      <c r="P11" s="57"/>
      <c r="Q11" s="57"/>
      <c r="R11" s="57"/>
      <c r="S11" s="57"/>
      <c r="T11" s="57"/>
      <c r="U11" s="57"/>
      <c r="V11" s="57"/>
      <c r="W11" s="57"/>
      <c r="X11" s="57"/>
      <c r="Y11" s="57"/>
      <c r="Z11" s="57"/>
      <c r="AA11" s="57"/>
      <c r="AB11" s="57"/>
      <c r="AC11" s="57"/>
      <c r="AD11" s="57"/>
      <c r="AE11" s="57"/>
      <c r="AF11" s="57"/>
      <c r="AG11" s="57"/>
      <c r="AH11" s="57"/>
      <c r="AI11" s="57"/>
      <c r="AJ11" s="57"/>
      <c r="AK11" s="57"/>
      <c r="AL11" s="57"/>
      <c r="AM11" s="57"/>
      <c r="AN11" s="57"/>
      <c r="AO11" s="57"/>
      <c r="AP11" s="57"/>
      <c r="AQ11" s="57"/>
      <c r="AR11" s="57"/>
      <c r="AS11" s="57"/>
      <c r="AT11" s="57"/>
      <c r="AU11" s="57"/>
      <c r="AV11" s="57"/>
      <c r="AW11" s="57"/>
      <c r="AX11" s="57"/>
      <c r="AY11" s="57"/>
      <c r="AZ11" s="57"/>
      <c r="BA11" s="57"/>
      <c r="BB11" s="57"/>
      <c r="BC11" s="57"/>
      <c r="BD11" s="57"/>
      <c r="BE11" s="57"/>
      <c r="BF11" s="57"/>
      <c r="BG11" s="57"/>
      <c r="BH11" s="57"/>
      <c r="BI11" s="57"/>
      <c r="BJ11" s="57"/>
      <c r="BK11" s="57"/>
      <c r="BL11" s="57"/>
      <c r="BM11" s="57"/>
      <c r="BN11" s="57"/>
      <c r="BO11" s="57"/>
      <c r="BP11" s="57"/>
      <c r="BQ11" s="57"/>
      <c r="BR11" s="57"/>
      <c r="BS11" s="57"/>
      <c r="BT11" s="57"/>
      <c r="BU11" s="57"/>
      <c r="BV11" s="57"/>
      <c r="BW11" s="57"/>
      <c r="BX11" s="57"/>
      <c r="BY11" s="57"/>
      <c r="BZ11" s="57"/>
      <c r="CA11" s="57"/>
      <c r="CB11" s="57"/>
      <c r="CC11" s="57"/>
      <c r="CD11" s="57"/>
      <c r="CE11" s="57"/>
      <c r="CF11" s="57"/>
      <c r="CG11" s="57"/>
      <c r="CH11" s="57"/>
      <c r="CI11" s="57"/>
      <c r="CJ11" s="57"/>
      <c r="CK11" s="57"/>
      <c r="CL11" s="57"/>
      <c r="CM11" s="57"/>
      <c r="CN11" s="57"/>
      <c r="CO11" s="57"/>
      <c r="CP11" s="57"/>
      <c r="CQ11" s="57"/>
      <c r="CR11" s="57"/>
      <c r="CS11" s="57"/>
      <c r="CT11" s="57"/>
      <c r="CU11" s="57"/>
      <c r="CV11" s="57"/>
      <c r="CW11" s="57"/>
      <c r="CX11" s="57"/>
      <c r="CY11" s="57"/>
      <c r="CZ11" s="57"/>
      <c r="DA11" s="57"/>
      <c r="DB11" s="57"/>
      <c r="DC11" s="57"/>
      <c r="DD11" s="57"/>
      <c r="DE11" s="57"/>
      <c r="DF11" s="57"/>
      <c r="DG11" s="57"/>
      <c r="DH11" s="57"/>
      <c r="DI11" s="57"/>
      <c r="DJ11" s="57"/>
      <c r="DK11" s="57"/>
      <c r="DL11" s="57"/>
      <c r="DM11" s="57"/>
      <c r="DN11" s="57"/>
      <c r="DO11" s="57"/>
      <c r="DP11" s="57"/>
      <c r="DQ11" s="57"/>
      <c r="DR11" s="57"/>
      <c r="DS11" s="57"/>
      <c r="DT11" s="57"/>
      <c r="DU11" s="57"/>
      <c r="DV11" s="57"/>
      <c r="DW11" s="57"/>
      <c r="DX11" s="57"/>
      <c r="DY11" s="57"/>
      <c r="DZ11" s="57"/>
      <c r="EA11" s="57"/>
      <c r="EB11" s="57"/>
      <c r="EC11" s="57"/>
      <c r="ED11" s="57"/>
      <c r="EE11" s="57"/>
      <c r="EF11" s="57"/>
      <c r="EG11" s="57"/>
      <c r="EH11" s="57"/>
      <c r="EI11" s="57"/>
      <c r="EJ11" s="57"/>
      <c r="EK11" s="57"/>
      <c r="EL11" s="57"/>
      <c r="EM11" s="57"/>
      <c r="EN11" s="57"/>
      <c r="EO11" s="57"/>
      <c r="EP11" s="57"/>
      <c r="EQ11" s="57"/>
      <c r="ER11" s="57"/>
      <c r="ES11" s="57"/>
      <c r="ET11" s="57"/>
      <c r="EU11" s="57"/>
      <c r="EV11" s="57"/>
      <c r="EW11" s="57"/>
      <c r="EX11" s="57"/>
      <c r="EY11" s="57"/>
      <c r="EZ11" s="57"/>
      <c r="FA11" s="57"/>
      <c r="FB11" s="57"/>
      <c r="FC11" s="57"/>
      <c r="FD11" s="57"/>
      <c r="FE11" s="57"/>
      <c r="FF11" s="57"/>
      <c r="FG11" s="57"/>
      <c r="FH11" s="57"/>
      <c r="FI11" s="57"/>
      <c r="FJ11" s="57"/>
    </row>
    <row r="12" ht="15.75" customHeight="1">
      <c r="A12" s="55"/>
      <c r="B12" s="55"/>
      <c r="C12" s="55"/>
      <c r="D12" s="55"/>
      <c r="E12" s="55"/>
      <c r="F12" s="55"/>
      <c r="G12" s="55"/>
      <c r="H12" s="55"/>
      <c r="I12" s="55"/>
      <c r="J12" s="55"/>
      <c r="K12" s="55"/>
      <c r="L12" s="55"/>
      <c r="M12" s="55"/>
      <c r="N12" s="55"/>
      <c r="O12" s="55"/>
      <c r="P12" s="57"/>
      <c r="Q12" s="57"/>
      <c r="R12" s="57"/>
      <c r="S12" s="57"/>
      <c r="T12" s="57"/>
      <c r="U12" s="57"/>
      <c r="V12" s="57"/>
      <c r="W12" s="57"/>
      <c r="X12" s="57"/>
      <c r="Y12" s="57"/>
      <c r="Z12" s="57"/>
      <c r="AA12" s="57"/>
      <c r="AB12" s="57"/>
      <c r="AC12" s="57"/>
      <c r="AD12" s="57"/>
      <c r="AE12" s="57"/>
      <c r="AF12" s="57"/>
      <c r="AG12" s="57"/>
      <c r="AH12" s="57"/>
      <c r="AI12" s="57"/>
      <c r="AJ12" s="57"/>
      <c r="AK12" s="57"/>
      <c r="AL12" s="57"/>
      <c r="AM12" s="57"/>
      <c r="AN12" s="57"/>
      <c r="AO12" s="57"/>
      <c r="AP12" s="57"/>
      <c r="AQ12" s="57"/>
      <c r="AR12" s="57"/>
      <c r="AS12" s="57"/>
      <c r="AT12" s="57"/>
      <c r="AU12" s="57"/>
      <c r="AV12" s="57"/>
      <c r="AW12" s="57"/>
      <c r="AX12" s="57"/>
      <c r="AY12" s="57"/>
      <c r="AZ12" s="57"/>
      <c r="BA12" s="57"/>
      <c r="BB12" s="57"/>
      <c r="BC12" s="57"/>
      <c r="BD12" s="57"/>
      <c r="BE12" s="57"/>
      <c r="BF12" s="57"/>
      <c r="BG12" s="57"/>
      <c r="BH12" s="57"/>
      <c r="BI12" s="57"/>
      <c r="BJ12" s="57"/>
      <c r="BK12" s="57"/>
      <c r="BL12" s="57"/>
      <c r="BM12" s="57"/>
      <c r="BN12" s="57"/>
      <c r="BO12" s="57"/>
      <c r="BP12" s="57"/>
      <c r="BQ12" s="57"/>
      <c r="BR12" s="57"/>
      <c r="BS12" s="57"/>
      <c r="BT12" s="57"/>
      <c r="BU12" s="57"/>
      <c r="BV12" s="57"/>
      <c r="BW12" s="57"/>
      <c r="BX12" s="57"/>
      <c r="BY12" s="57"/>
      <c r="BZ12" s="57"/>
      <c r="CA12" s="57"/>
      <c r="CB12" s="57"/>
      <c r="CC12" s="57"/>
      <c r="CD12" s="57"/>
      <c r="CE12" s="57"/>
      <c r="CF12" s="57"/>
      <c r="CG12" s="57"/>
      <c r="CH12" s="57"/>
      <c r="CI12" s="57"/>
      <c r="CJ12" s="57"/>
      <c r="CK12" s="57"/>
      <c r="CL12" s="57"/>
      <c r="CM12" s="57"/>
      <c r="CN12" s="57"/>
      <c r="CO12" s="57"/>
      <c r="CP12" s="57"/>
      <c r="CQ12" s="57"/>
      <c r="CR12" s="57"/>
      <c r="CS12" s="57"/>
      <c r="CT12" s="57"/>
      <c r="CU12" s="57"/>
      <c r="CV12" s="57"/>
      <c r="CW12" s="57"/>
      <c r="CX12" s="57"/>
      <c r="CY12" s="57"/>
      <c r="CZ12" s="57"/>
      <c r="DA12" s="57"/>
      <c r="DB12" s="57"/>
      <c r="DC12" s="57"/>
      <c r="DD12" s="57"/>
      <c r="DE12" s="57"/>
      <c r="DF12" s="57"/>
      <c r="DG12" s="57"/>
      <c r="DH12" s="57"/>
      <c r="DI12" s="57"/>
      <c r="DJ12" s="57"/>
      <c r="DK12" s="57"/>
      <c r="DL12" s="57"/>
      <c r="DM12" s="57"/>
      <c r="DN12" s="57"/>
      <c r="DO12" s="57"/>
      <c r="DP12" s="57"/>
      <c r="DQ12" s="57"/>
      <c r="DR12" s="57"/>
      <c r="DS12" s="57"/>
      <c r="DT12" s="57"/>
      <c r="DU12" s="57"/>
      <c r="DV12" s="57"/>
      <c r="DW12" s="57"/>
      <c r="DX12" s="57"/>
      <c r="DY12" s="57"/>
      <c r="DZ12" s="57"/>
      <c r="EA12" s="57"/>
      <c r="EB12" s="57"/>
      <c r="EC12" s="57"/>
      <c r="ED12" s="57"/>
      <c r="EE12" s="57"/>
      <c r="EF12" s="57"/>
      <c r="EG12" s="57"/>
      <c r="EH12" s="57"/>
      <c r="EI12" s="57"/>
      <c r="EJ12" s="57"/>
      <c r="EK12" s="57"/>
      <c r="EL12" s="57"/>
      <c r="EM12" s="57"/>
      <c r="EN12" s="57"/>
      <c r="EO12" s="57"/>
      <c r="EP12" s="57"/>
      <c r="EQ12" s="57"/>
      <c r="ER12" s="57"/>
      <c r="ES12" s="57"/>
      <c r="ET12" s="57"/>
      <c r="EU12" s="57"/>
      <c r="EV12" s="57"/>
      <c r="EW12" s="57"/>
      <c r="EX12" s="57"/>
      <c r="EY12" s="57"/>
      <c r="EZ12" s="57"/>
      <c r="FA12" s="57"/>
      <c r="FB12" s="57"/>
      <c r="FC12" s="57"/>
      <c r="FD12" s="57"/>
      <c r="FE12" s="57"/>
      <c r="FF12" s="57"/>
      <c r="FG12" s="57"/>
      <c r="FH12" s="57"/>
      <c r="FI12" s="57"/>
      <c r="FJ12" s="57"/>
    </row>
    <row r="13" ht="15.75" customHeight="1">
      <c r="A13" s="55"/>
      <c r="B13" s="55"/>
      <c r="C13" s="55"/>
      <c r="D13" s="55"/>
      <c r="E13" s="55"/>
      <c r="F13" s="55"/>
      <c r="G13" s="55"/>
      <c r="H13" s="55"/>
      <c r="I13" s="55"/>
      <c r="J13" s="55"/>
      <c r="K13" s="55"/>
      <c r="L13" s="55"/>
      <c r="M13" s="55"/>
      <c r="N13" s="55"/>
      <c r="O13" s="55"/>
      <c r="P13" s="57"/>
      <c r="Q13" s="57"/>
      <c r="R13" s="57"/>
      <c r="S13" s="57"/>
      <c r="T13" s="57"/>
      <c r="U13" s="57"/>
      <c r="V13" s="57"/>
      <c r="W13" s="57"/>
      <c r="X13" s="57"/>
      <c r="Y13" s="57"/>
      <c r="Z13" s="57"/>
      <c r="AA13" s="57"/>
      <c r="AB13" s="57"/>
      <c r="AC13" s="57"/>
      <c r="AD13" s="57"/>
      <c r="AE13" s="57"/>
      <c r="AF13" s="57"/>
      <c r="AG13" s="57"/>
      <c r="AH13" s="57"/>
      <c r="AI13" s="57"/>
      <c r="AJ13" s="57"/>
      <c r="AK13" s="57"/>
      <c r="AL13" s="57"/>
      <c r="AM13" s="57"/>
      <c r="AN13" s="57"/>
      <c r="AO13" s="57"/>
      <c r="AP13" s="57"/>
      <c r="AQ13" s="57"/>
      <c r="AR13" s="57"/>
      <c r="AS13" s="57"/>
      <c r="AT13" s="57"/>
      <c r="AU13" s="57"/>
      <c r="AV13" s="57"/>
      <c r="AW13" s="57"/>
      <c r="AX13" s="57"/>
      <c r="AY13" s="57"/>
      <c r="AZ13" s="57"/>
      <c r="BA13" s="57"/>
      <c r="BB13" s="57"/>
      <c r="BC13" s="57"/>
      <c r="BD13" s="57"/>
      <c r="BE13" s="57"/>
      <c r="BF13" s="57"/>
      <c r="BG13" s="57"/>
      <c r="BH13" s="57"/>
      <c r="BI13" s="57"/>
      <c r="BJ13" s="57"/>
      <c r="BK13" s="57"/>
      <c r="BL13" s="57"/>
      <c r="BM13" s="57"/>
      <c r="BN13" s="57"/>
      <c r="BO13" s="57"/>
      <c r="BP13" s="57"/>
      <c r="BQ13" s="57"/>
      <c r="BR13" s="57"/>
      <c r="BS13" s="57"/>
      <c r="BT13" s="57"/>
      <c r="BU13" s="57"/>
      <c r="BV13" s="57"/>
      <c r="BW13" s="57"/>
      <c r="BX13" s="57"/>
      <c r="BY13" s="57"/>
      <c r="BZ13" s="57"/>
      <c r="CA13" s="57"/>
      <c r="CB13" s="57"/>
      <c r="CC13" s="57"/>
      <c r="CD13" s="57"/>
      <c r="CE13" s="57"/>
      <c r="CF13" s="57"/>
      <c r="CG13" s="57"/>
      <c r="CH13" s="57"/>
      <c r="CI13" s="57"/>
      <c r="CJ13" s="57"/>
      <c r="CK13" s="57"/>
      <c r="CL13" s="57"/>
      <c r="CM13" s="57"/>
      <c r="CN13" s="57"/>
      <c r="CO13" s="57"/>
      <c r="CP13" s="57"/>
      <c r="CQ13" s="57"/>
      <c r="CR13" s="57"/>
      <c r="CS13" s="57"/>
      <c r="CT13" s="57"/>
      <c r="CU13" s="57"/>
      <c r="CV13" s="57"/>
      <c r="CW13" s="57"/>
      <c r="CX13" s="57"/>
      <c r="CY13" s="57"/>
      <c r="CZ13" s="57"/>
      <c r="DA13" s="57"/>
      <c r="DB13" s="57"/>
      <c r="DC13" s="57"/>
      <c r="DD13" s="57"/>
      <c r="DE13" s="57"/>
      <c r="DF13" s="57"/>
      <c r="DG13" s="57"/>
      <c r="DH13" s="57"/>
      <c r="DI13" s="57"/>
      <c r="DJ13" s="57"/>
      <c r="DK13" s="57"/>
      <c r="DL13" s="57"/>
      <c r="DM13" s="57"/>
      <c r="DN13" s="57"/>
      <c r="DO13" s="57"/>
      <c r="DP13" s="57"/>
      <c r="DQ13" s="57"/>
      <c r="DR13" s="57"/>
      <c r="DS13" s="57"/>
      <c r="DT13" s="57"/>
      <c r="DU13" s="57"/>
      <c r="DV13" s="57"/>
      <c r="DW13" s="57"/>
      <c r="DX13" s="57"/>
      <c r="DY13" s="57"/>
      <c r="DZ13" s="57"/>
      <c r="EA13" s="57"/>
      <c r="EB13" s="57"/>
      <c r="EC13" s="57"/>
      <c r="ED13" s="57"/>
      <c r="EE13" s="57"/>
      <c r="EF13" s="57"/>
      <c r="EG13" s="57"/>
      <c r="EH13" s="57"/>
      <c r="EI13" s="57"/>
      <c r="EJ13" s="57"/>
      <c r="EK13" s="57"/>
      <c r="EL13" s="57"/>
      <c r="EM13" s="57"/>
      <c r="EN13" s="57"/>
      <c r="EO13" s="57"/>
      <c r="EP13" s="57"/>
      <c r="EQ13" s="57"/>
      <c r="ER13" s="57"/>
      <c r="ES13" s="57"/>
      <c r="ET13" s="57"/>
      <c r="EU13" s="57"/>
      <c r="EV13" s="57"/>
      <c r="EW13" s="57"/>
      <c r="EX13" s="57"/>
      <c r="EY13" s="57"/>
      <c r="EZ13" s="57"/>
      <c r="FA13" s="57"/>
      <c r="FB13" s="57"/>
      <c r="FC13" s="57"/>
      <c r="FD13" s="57"/>
      <c r="FE13" s="57"/>
      <c r="FF13" s="57"/>
      <c r="FG13" s="57"/>
      <c r="FH13" s="57"/>
      <c r="FI13" s="57"/>
      <c r="FJ13" s="57"/>
    </row>
    <row r="14" ht="15.75" customHeight="1">
      <c r="A14" s="55"/>
      <c r="B14" s="55"/>
      <c r="C14" s="55"/>
      <c r="D14" s="55"/>
      <c r="E14" s="55"/>
      <c r="F14" s="55"/>
      <c r="G14" s="55"/>
      <c r="H14" s="55"/>
      <c r="I14" s="55"/>
      <c r="J14" s="55"/>
      <c r="K14" s="55"/>
      <c r="L14" s="55"/>
      <c r="M14" s="55"/>
      <c r="N14" s="55"/>
      <c r="O14" s="55"/>
      <c r="P14" s="57"/>
      <c r="Q14" s="57"/>
      <c r="R14" s="57"/>
      <c r="S14" s="57"/>
      <c r="T14" s="57"/>
      <c r="U14" s="57"/>
      <c r="V14" s="57"/>
      <c r="W14" s="57"/>
      <c r="X14" s="57"/>
      <c r="Y14" s="57"/>
      <c r="Z14" s="57"/>
      <c r="AA14" s="57"/>
      <c r="AB14" s="57"/>
      <c r="AC14" s="57"/>
      <c r="AD14" s="57"/>
      <c r="AE14" s="57"/>
      <c r="AF14" s="57"/>
      <c r="AG14" s="57"/>
      <c r="AH14" s="57"/>
      <c r="AI14" s="57"/>
      <c r="AJ14" s="57"/>
      <c r="AK14" s="57"/>
      <c r="AL14" s="57"/>
      <c r="AM14" s="57"/>
      <c r="AN14" s="57"/>
      <c r="AO14" s="57"/>
      <c r="AP14" s="57"/>
      <c r="AQ14" s="57"/>
      <c r="AR14" s="57"/>
      <c r="AS14" s="57"/>
      <c r="AT14" s="57"/>
      <c r="AU14" s="57"/>
      <c r="AV14" s="57"/>
      <c r="AW14" s="57"/>
      <c r="AX14" s="57"/>
      <c r="AY14" s="57"/>
      <c r="AZ14" s="57"/>
      <c r="BA14" s="57"/>
      <c r="BB14" s="57"/>
      <c r="BC14" s="57"/>
      <c r="BD14" s="57"/>
      <c r="BE14" s="57"/>
      <c r="BF14" s="57"/>
      <c r="BG14" s="57"/>
      <c r="BH14" s="57"/>
      <c r="BI14" s="57"/>
      <c r="BJ14" s="57"/>
      <c r="BK14" s="57"/>
      <c r="BL14" s="57"/>
      <c r="BM14" s="57"/>
      <c r="BN14" s="57"/>
      <c r="BO14" s="57"/>
      <c r="BP14" s="57"/>
      <c r="BQ14" s="57"/>
      <c r="BR14" s="57"/>
      <c r="BS14" s="57"/>
      <c r="BT14" s="57"/>
      <c r="BU14" s="57"/>
      <c r="BV14" s="57"/>
      <c r="BW14" s="57"/>
      <c r="BX14" s="57"/>
      <c r="BY14" s="57"/>
      <c r="BZ14" s="57"/>
      <c r="CA14" s="57"/>
      <c r="CB14" s="57"/>
      <c r="CC14" s="57"/>
      <c r="CD14" s="57"/>
      <c r="CE14" s="57"/>
      <c r="CF14" s="57"/>
      <c r="CG14" s="57"/>
      <c r="CH14" s="57"/>
      <c r="CI14" s="57"/>
      <c r="CJ14" s="57"/>
      <c r="CK14" s="57"/>
      <c r="CL14" s="57"/>
      <c r="CM14" s="57"/>
      <c r="CN14" s="57"/>
      <c r="CO14" s="57"/>
      <c r="CP14" s="57"/>
      <c r="CQ14" s="57"/>
      <c r="CR14" s="57"/>
      <c r="CS14" s="57"/>
      <c r="CT14" s="57"/>
      <c r="CU14" s="57"/>
      <c r="CV14" s="57"/>
      <c r="CW14" s="57"/>
      <c r="CX14" s="57"/>
      <c r="CY14" s="57"/>
      <c r="CZ14" s="57"/>
      <c r="DA14" s="57"/>
      <c r="DB14" s="57"/>
      <c r="DC14" s="57"/>
      <c r="DD14" s="57"/>
      <c r="DE14" s="57"/>
      <c r="DF14" s="57"/>
      <c r="DG14" s="57"/>
      <c r="DH14" s="57"/>
      <c r="DI14" s="57"/>
      <c r="DJ14" s="57"/>
      <c r="DK14" s="57"/>
      <c r="DL14" s="57"/>
      <c r="DM14" s="57"/>
      <c r="DN14" s="57"/>
      <c r="DO14" s="57"/>
      <c r="DP14" s="57"/>
      <c r="DQ14" s="57"/>
      <c r="DR14" s="57"/>
      <c r="DS14" s="57"/>
      <c r="DT14" s="57"/>
      <c r="DU14" s="57"/>
      <c r="DV14" s="57"/>
      <c r="DW14" s="57"/>
      <c r="DX14" s="57"/>
      <c r="DY14" s="57"/>
      <c r="DZ14" s="57"/>
      <c r="EA14" s="57"/>
      <c r="EB14" s="57"/>
      <c r="EC14" s="57"/>
      <c r="ED14" s="57"/>
      <c r="EE14" s="57"/>
      <c r="EF14" s="57"/>
      <c r="EG14" s="57"/>
      <c r="EH14" s="57"/>
      <c r="EI14" s="57"/>
      <c r="EJ14" s="57"/>
      <c r="EK14" s="57"/>
      <c r="EL14" s="57"/>
      <c r="EM14" s="57"/>
      <c r="EN14" s="57"/>
      <c r="EO14" s="57"/>
      <c r="EP14" s="57"/>
      <c r="EQ14" s="57"/>
      <c r="ER14" s="57"/>
      <c r="ES14" s="57"/>
      <c r="ET14" s="57"/>
      <c r="EU14" s="57"/>
      <c r="EV14" s="57"/>
      <c r="EW14" s="57"/>
      <c r="EX14" s="57"/>
      <c r="EY14" s="57"/>
      <c r="EZ14" s="57"/>
      <c r="FA14" s="57"/>
      <c r="FB14" s="57"/>
      <c r="FC14" s="57"/>
      <c r="FD14" s="57"/>
      <c r="FE14" s="57"/>
      <c r="FF14" s="57"/>
      <c r="FG14" s="57"/>
      <c r="FH14" s="57"/>
      <c r="FI14" s="57"/>
      <c r="FJ14" s="57"/>
    </row>
    <row r="15" ht="15.75" customHeight="1">
      <c r="A15" s="55"/>
      <c r="B15" s="55"/>
      <c r="C15" s="55"/>
      <c r="D15" s="55"/>
      <c r="E15" s="55"/>
      <c r="F15" s="55"/>
      <c r="G15" s="55"/>
      <c r="H15" s="55"/>
      <c r="I15" s="55"/>
      <c r="J15" s="55"/>
      <c r="K15" s="55"/>
      <c r="L15" s="55"/>
      <c r="M15" s="55"/>
      <c r="N15" s="55"/>
      <c r="O15" s="55"/>
      <c r="P15" s="57"/>
      <c r="Q15" s="57"/>
      <c r="R15" s="57"/>
      <c r="S15" s="57"/>
      <c r="T15" s="57"/>
      <c r="U15" s="57"/>
      <c r="V15" s="57"/>
      <c r="W15" s="57"/>
      <c r="X15" s="57"/>
      <c r="Y15" s="57"/>
      <c r="Z15" s="57"/>
      <c r="AA15" s="57"/>
      <c r="AB15" s="57"/>
      <c r="AC15" s="57"/>
      <c r="AD15" s="57"/>
      <c r="AE15" s="57"/>
      <c r="AF15" s="57"/>
      <c r="AG15" s="57"/>
      <c r="AH15" s="57"/>
      <c r="AI15" s="57"/>
      <c r="AJ15" s="57"/>
      <c r="AK15" s="57"/>
      <c r="AL15" s="57"/>
      <c r="AM15" s="57"/>
      <c r="AN15" s="57"/>
      <c r="AO15" s="57"/>
      <c r="AP15" s="57"/>
      <c r="AQ15" s="57"/>
      <c r="AR15" s="57"/>
      <c r="AS15" s="57"/>
      <c r="AT15" s="57"/>
      <c r="AU15" s="57"/>
      <c r="AV15" s="57"/>
      <c r="AW15" s="57"/>
      <c r="AX15" s="57"/>
      <c r="AY15" s="57"/>
      <c r="AZ15" s="57"/>
      <c r="BA15" s="57"/>
      <c r="BB15" s="57"/>
      <c r="BC15" s="57"/>
      <c r="BD15" s="57"/>
      <c r="BE15" s="57"/>
      <c r="BF15" s="57"/>
      <c r="BG15" s="57"/>
      <c r="BH15" s="57"/>
      <c r="BI15" s="57"/>
      <c r="BJ15" s="57"/>
      <c r="BK15" s="57"/>
      <c r="BL15" s="57"/>
      <c r="BM15" s="57"/>
      <c r="BN15" s="57"/>
      <c r="BO15" s="57"/>
      <c r="BP15" s="57"/>
      <c r="BQ15" s="57"/>
      <c r="BR15" s="57"/>
      <c r="BS15" s="57"/>
      <c r="BT15" s="57"/>
      <c r="BU15" s="57"/>
      <c r="BV15" s="57"/>
      <c r="BW15" s="57"/>
      <c r="BX15" s="57"/>
      <c r="BY15" s="57"/>
      <c r="BZ15" s="57"/>
      <c r="CA15" s="57"/>
      <c r="CB15" s="57"/>
      <c r="CC15" s="57"/>
      <c r="CD15" s="57"/>
      <c r="CE15" s="57"/>
      <c r="CF15" s="57"/>
      <c r="CG15" s="57"/>
      <c r="CH15" s="57"/>
      <c r="CI15" s="57"/>
      <c r="CJ15" s="57"/>
      <c r="CK15" s="57"/>
      <c r="CL15" s="57"/>
      <c r="CM15" s="57"/>
      <c r="CN15" s="57"/>
      <c r="CO15" s="57"/>
      <c r="CP15" s="57"/>
      <c r="CQ15" s="57"/>
      <c r="CR15" s="57"/>
      <c r="CS15" s="57"/>
      <c r="CT15" s="57"/>
      <c r="CU15" s="57"/>
      <c r="CV15" s="57"/>
      <c r="CW15" s="57"/>
      <c r="CX15" s="57"/>
      <c r="CY15" s="57"/>
      <c r="CZ15" s="57"/>
      <c r="DA15" s="57"/>
      <c r="DB15" s="57"/>
      <c r="DC15" s="57"/>
      <c r="DD15" s="57"/>
      <c r="DE15" s="57"/>
      <c r="DF15" s="57"/>
      <c r="DG15" s="57"/>
      <c r="DH15" s="57"/>
      <c r="DI15" s="57"/>
      <c r="DJ15" s="57"/>
      <c r="DK15" s="57"/>
      <c r="DL15" s="57"/>
      <c r="DM15" s="57"/>
      <c r="DN15" s="57"/>
      <c r="DO15" s="57"/>
      <c r="DP15" s="57"/>
      <c r="DQ15" s="57"/>
      <c r="DR15" s="57"/>
      <c r="DS15" s="57"/>
      <c r="DT15" s="57"/>
      <c r="DU15" s="57"/>
      <c r="DV15" s="57"/>
      <c r="DW15" s="57"/>
      <c r="DX15" s="57"/>
      <c r="DY15" s="57"/>
      <c r="DZ15" s="57"/>
      <c r="EA15" s="57"/>
      <c r="EB15" s="57"/>
      <c r="EC15" s="57"/>
      <c r="ED15" s="57"/>
      <c r="EE15" s="57"/>
      <c r="EF15" s="57"/>
      <c r="EG15" s="57"/>
      <c r="EH15" s="57"/>
      <c r="EI15" s="57"/>
      <c r="EJ15" s="57"/>
      <c r="EK15" s="57"/>
      <c r="EL15" s="57"/>
      <c r="EM15" s="57"/>
      <c r="EN15" s="57"/>
      <c r="EO15" s="57"/>
      <c r="EP15" s="57"/>
      <c r="EQ15" s="57"/>
      <c r="ER15" s="57"/>
      <c r="ES15" s="57"/>
      <c r="ET15" s="57"/>
      <c r="EU15" s="57"/>
      <c r="EV15" s="57"/>
      <c r="EW15" s="57"/>
      <c r="EX15" s="57"/>
      <c r="EY15" s="57"/>
      <c r="EZ15" s="57"/>
      <c r="FA15" s="57"/>
      <c r="FB15" s="57"/>
      <c r="FC15" s="57"/>
      <c r="FD15" s="57"/>
      <c r="FE15" s="57"/>
      <c r="FF15" s="57"/>
      <c r="FG15" s="57"/>
      <c r="FH15" s="57"/>
      <c r="FI15" s="57"/>
      <c r="FJ15" s="57"/>
    </row>
    <row r="16" ht="15.75" customHeight="1">
      <c r="A16" s="55"/>
      <c r="B16" s="55"/>
      <c r="C16" s="55"/>
      <c r="D16" s="55"/>
      <c r="E16" s="55"/>
      <c r="F16" s="55"/>
      <c r="G16" s="55"/>
      <c r="H16" s="55"/>
      <c r="I16" s="55"/>
      <c r="J16" s="55"/>
      <c r="K16" s="55"/>
      <c r="L16" s="55"/>
      <c r="M16" s="55"/>
      <c r="N16" s="55"/>
      <c r="O16" s="55"/>
      <c r="P16" s="57"/>
      <c r="Q16" s="57"/>
      <c r="R16" s="57"/>
      <c r="S16" s="57"/>
      <c r="T16" s="57"/>
      <c r="U16" s="57"/>
      <c r="V16" s="57"/>
      <c r="W16" s="57"/>
      <c r="X16" s="57"/>
      <c r="Y16" s="57"/>
      <c r="Z16" s="57"/>
      <c r="AA16" s="57"/>
      <c r="AB16" s="57"/>
      <c r="AC16" s="57"/>
      <c r="AD16" s="57"/>
      <c r="AE16" s="57"/>
      <c r="AF16" s="57"/>
      <c r="AG16" s="57"/>
      <c r="AH16" s="57"/>
      <c r="AI16" s="57"/>
      <c r="AJ16" s="57"/>
      <c r="AK16" s="57"/>
      <c r="AL16" s="57"/>
      <c r="AM16" s="57"/>
      <c r="AN16" s="57"/>
      <c r="AO16" s="57"/>
      <c r="AP16" s="57"/>
      <c r="AQ16" s="57"/>
      <c r="AR16" s="57"/>
      <c r="AS16" s="57"/>
      <c r="AT16" s="57"/>
      <c r="AU16" s="57"/>
      <c r="AV16" s="57"/>
      <c r="AW16" s="57"/>
      <c r="AX16" s="57"/>
      <c r="AY16" s="57"/>
      <c r="AZ16" s="57"/>
      <c r="BA16" s="57"/>
      <c r="BB16" s="57"/>
      <c r="BC16" s="57"/>
      <c r="BD16" s="57"/>
      <c r="BE16" s="57"/>
      <c r="BF16" s="57"/>
      <c r="BG16" s="57"/>
      <c r="BH16" s="57"/>
      <c r="BI16" s="57"/>
      <c r="BJ16" s="57"/>
      <c r="BK16" s="57"/>
      <c r="BL16" s="57"/>
      <c r="BM16" s="57"/>
      <c r="BN16" s="57"/>
      <c r="BO16" s="57"/>
      <c r="BP16" s="57"/>
      <c r="BQ16" s="57"/>
      <c r="BR16" s="57"/>
      <c r="BS16" s="57"/>
      <c r="BT16" s="57"/>
      <c r="BU16" s="57"/>
      <c r="BV16" s="57"/>
      <c r="BW16" s="57"/>
      <c r="BX16" s="57"/>
      <c r="BY16" s="57"/>
      <c r="BZ16" s="57"/>
      <c r="CA16" s="57"/>
      <c r="CB16" s="57"/>
      <c r="CC16" s="57"/>
      <c r="CD16" s="57"/>
      <c r="CE16" s="57"/>
      <c r="CF16" s="57"/>
      <c r="CG16" s="57"/>
      <c r="CH16" s="57"/>
      <c r="CI16" s="57"/>
      <c r="CJ16" s="57"/>
      <c r="CK16" s="57"/>
      <c r="CL16" s="57"/>
      <c r="CM16" s="57"/>
      <c r="CN16" s="57"/>
      <c r="CO16" s="57"/>
      <c r="CP16" s="57"/>
      <c r="CQ16" s="57"/>
      <c r="CR16" s="57"/>
      <c r="CS16" s="57"/>
      <c r="CT16" s="57"/>
      <c r="CU16" s="57"/>
      <c r="CV16" s="57"/>
      <c r="CW16" s="57"/>
      <c r="CX16" s="57"/>
      <c r="CY16" s="57"/>
      <c r="CZ16" s="57"/>
      <c r="DA16" s="57"/>
      <c r="DB16" s="57"/>
      <c r="DC16" s="57"/>
      <c r="DD16" s="57"/>
      <c r="DE16" s="57"/>
      <c r="DF16" s="57"/>
      <c r="DG16" s="57"/>
      <c r="DH16" s="57"/>
      <c r="DI16" s="57"/>
      <c r="DJ16" s="57"/>
      <c r="DK16" s="57"/>
      <c r="DL16" s="57"/>
      <c r="DM16" s="57"/>
      <c r="DN16" s="57"/>
      <c r="DO16" s="57"/>
      <c r="DP16" s="57"/>
      <c r="DQ16" s="57"/>
      <c r="DR16" s="57"/>
      <c r="DS16" s="57"/>
      <c r="DT16" s="57"/>
      <c r="DU16" s="57"/>
      <c r="DV16" s="57"/>
      <c r="DW16" s="57"/>
      <c r="DX16" s="57"/>
      <c r="DY16" s="57"/>
      <c r="DZ16" s="57"/>
      <c r="EA16" s="57"/>
      <c r="EB16" s="57"/>
      <c r="EC16" s="57"/>
      <c r="ED16" s="57"/>
      <c r="EE16" s="57"/>
      <c r="EF16" s="57"/>
      <c r="EG16" s="57"/>
      <c r="EH16" s="57"/>
      <c r="EI16" s="57"/>
      <c r="EJ16" s="57"/>
      <c r="EK16" s="57"/>
      <c r="EL16" s="57"/>
      <c r="EM16" s="57"/>
      <c r="EN16" s="57"/>
      <c r="EO16" s="57"/>
      <c r="EP16" s="57"/>
      <c r="EQ16" s="57"/>
      <c r="ER16" s="57"/>
      <c r="ES16" s="57"/>
      <c r="ET16" s="57"/>
      <c r="EU16" s="57"/>
      <c r="EV16" s="57"/>
      <c r="EW16" s="57"/>
      <c r="EX16" s="57"/>
      <c r="EY16" s="57"/>
      <c r="EZ16" s="57"/>
      <c r="FA16" s="57"/>
      <c r="FB16" s="57"/>
      <c r="FC16" s="57"/>
      <c r="FD16" s="57"/>
      <c r="FE16" s="57"/>
      <c r="FF16" s="57"/>
      <c r="FG16" s="57"/>
      <c r="FH16" s="57"/>
      <c r="FI16" s="57"/>
      <c r="FJ16" s="57"/>
    </row>
    <row r="17" ht="15.75" customHeight="1">
      <c r="A17" s="55"/>
      <c r="B17" s="55"/>
      <c r="C17" s="55"/>
      <c r="D17" s="55"/>
      <c r="E17" s="55"/>
      <c r="F17" s="55"/>
      <c r="G17" s="55"/>
      <c r="H17" s="55"/>
      <c r="I17" s="55"/>
      <c r="J17" s="55"/>
      <c r="K17" s="55"/>
      <c r="L17" s="55"/>
      <c r="M17" s="55"/>
      <c r="N17" s="55"/>
      <c r="O17" s="55"/>
      <c r="P17" s="57"/>
      <c r="Q17" s="57"/>
      <c r="R17" s="57"/>
      <c r="S17" s="57"/>
      <c r="T17" s="57"/>
      <c r="U17" s="57"/>
      <c r="V17" s="57"/>
      <c r="W17" s="57"/>
      <c r="X17" s="57"/>
      <c r="Y17" s="57"/>
      <c r="Z17" s="57"/>
      <c r="AA17" s="57"/>
      <c r="AB17" s="57"/>
      <c r="AC17" s="57"/>
      <c r="AD17" s="57"/>
      <c r="AE17" s="57"/>
      <c r="AF17" s="57"/>
      <c r="AG17" s="57"/>
      <c r="AH17" s="57"/>
      <c r="AI17" s="57"/>
      <c r="AJ17" s="57"/>
      <c r="AK17" s="57"/>
      <c r="AL17" s="57"/>
      <c r="AM17" s="57"/>
      <c r="AN17" s="57"/>
      <c r="AO17" s="57"/>
      <c r="AP17" s="57"/>
      <c r="AQ17" s="57"/>
      <c r="AR17" s="57"/>
      <c r="AS17" s="57"/>
      <c r="AT17" s="57"/>
      <c r="AU17" s="57"/>
      <c r="AV17" s="57"/>
      <c r="AW17" s="57"/>
      <c r="AX17" s="57"/>
      <c r="AY17" s="57"/>
      <c r="AZ17" s="57"/>
      <c r="BA17" s="57"/>
      <c r="BB17" s="57"/>
      <c r="BC17" s="57"/>
      <c r="BD17" s="57"/>
      <c r="BE17" s="57"/>
      <c r="BF17" s="57"/>
      <c r="BG17" s="57"/>
      <c r="BH17" s="57"/>
      <c r="BI17" s="57"/>
      <c r="BJ17" s="57"/>
      <c r="BK17" s="57"/>
      <c r="BL17" s="57"/>
      <c r="BM17" s="57"/>
      <c r="BN17" s="57"/>
      <c r="BO17" s="57"/>
      <c r="BP17" s="57"/>
      <c r="BQ17" s="57"/>
      <c r="BR17" s="57"/>
      <c r="BS17" s="57"/>
      <c r="BT17" s="57"/>
      <c r="BU17" s="57"/>
      <c r="BV17" s="57"/>
      <c r="BW17" s="57"/>
      <c r="BX17" s="57"/>
      <c r="BY17" s="57"/>
      <c r="BZ17" s="57"/>
      <c r="CA17" s="57"/>
      <c r="CB17" s="57"/>
      <c r="CC17" s="57"/>
      <c r="CD17" s="57"/>
      <c r="CE17" s="57"/>
      <c r="CF17" s="57"/>
      <c r="CG17" s="57"/>
      <c r="CH17" s="57"/>
      <c r="CI17" s="57"/>
      <c r="CJ17" s="57"/>
      <c r="CK17" s="57"/>
      <c r="CL17" s="57"/>
      <c r="CM17" s="57"/>
      <c r="CN17" s="57"/>
      <c r="CO17" s="57"/>
      <c r="CP17" s="57"/>
      <c r="CQ17" s="57"/>
      <c r="CR17" s="57"/>
      <c r="CS17" s="57"/>
      <c r="CT17" s="57"/>
      <c r="CU17" s="57"/>
      <c r="CV17" s="57"/>
      <c r="CW17" s="57"/>
      <c r="CX17" s="57"/>
      <c r="CY17" s="57"/>
      <c r="CZ17" s="57"/>
      <c r="DA17" s="57"/>
      <c r="DB17" s="57"/>
      <c r="DC17" s="57"/>
      <c r="DD17" s="57"/>
      <c r="DE17" s="57"/>
      <c r="DF17" s="57"/>
      <c r="DG17" s="57"/>
      <c r="DH17" s="57"/>
      <c r="DI17" s="57"/>
      <c r="DJ17" s="57"/>
      <c r="DK17" s="57"/>
      <c r="DL17" s="57"/>
      <c r="DM17" s="57"/>
      <c r="DN17" s="57"/>
      <c r="DO17" s="57"/>
      <c r="DP17" s="57"/>
      <c r="DQ17" s="57"/>
      <c r="DR17" s="57"/>
      <c r="DS17" s="57"/>
      <c r="DT17" s="57"/>
      <c r="DU17" s="57"/>
      <c r="DV17" s="57"/>
      <c r="DW17" s="57"/>
      <c r="DX17" s="57"/>
      <c r="DY17" s="57"/>
      <c r="DZ17" s="57"/>
      <c r="EA17" s="57"/>
      <c r="EB17" s="57"/>
      <c r="EC17" s="57"/>
      <c r="ED17" s="57"/>
      <c r="EE17" s="57"/>
      <c r="EF17" s="57"/>
      <c r="EG17" s="57"/>
      <c r="EH17" s="57"/>
      <c r="EI17" s="57"/>
      <c r="EJ17" s="57"/>
      <c r="EK17" s="57"/>
      <c r="EL17" s="57"/>
      <c r="EM17" s="57"/>
      <c r="EN17" s="57"/>
      <c r="EO17" s="57"/>
      <c r="EP17" s="57"/>
      <c r="EQ17" s="57"/>
      <c r="ER17" s="57"/>
      <c r="ES17" s="57"/>
      <c r="ET17" s="57"/>
      <c r="EU17" s="57"/>
      <c r="EV17" s="57"/>
      <c r="EW17" s="57"/>
      <c r="EX17" s="57"/>
      <c r="EY17" s="57"/>
      <c r="EZ17" s="57"/>
      <c r="FA17" s="57"/>
      <c r="FB17" s="57"/>
      <c r="FC17" s="57"/>
      <c r="FD17" s="57"/>
      <c r="FE17" s="57"/>
      <c r="FF17" s="57"/>
      <c r="FG17" s="57"/>
      <c r="FH17" s="57"/>
      <c r="FI17" s="57"/>
      <c r="FJ17" s="57"/>
    </row>
    <row r="18" ht="15.75" customHeight="1">
      <c r="A18" s="55"/>
      <c r="B18" s="55"/>
      <c r="C18" s="55"/>
      <c r="D18" s="55"/>
      <c r="E18" s="55"/>
      <c r="F18" s="55"/>
      <c r="G18" s="55"/>
      <c r="H18" s="55"/>
      <c r="I18" s="55"/>
      <c r="J18" s="55"/>
      <c r="K18" s="55"/>
      <c r="L18" s="55"/>
      <c r="M18" s="55"/>
      <c r="N18" s="55"/>
      <c r="O18" s="55"/>
      <c r="P18" s="57"/>
      <c r="Q18" s="57"/>
      <c r="R18" s="57"/>
      <c r="S18" s="57"/>
      <c r="T18" s="57"/>
      <c r="U18" s="57"/>
      <c r="V18" s="57"/>
      <c r="W18" s="57"/>
      <c r="X18" s="57"/>
      <c r="Y18" s="57"/>
      <c r="Z18" s="57"/>
      <c r="AA18" s="57"/>
      <c r="AB18" s="57"/>
      <c r="AC18" s="57"/>
      <c r="AD18" s="57"/>
      <c r="AE18" s="57"/>
      <c r="AF18" s="57"/>
      <c r="AG18" s="57"/>
      <c r="AH18" s="57"/>
      <c r="AI18" s="57"/>
      <c r="AJ18" s="57"/>
      <c r="AK18" s="57"/>
      <c r="AL18" s="57"/>
      <c r="AM18" s="57"/>
      <c r="AN18" s="57"/>
      <c r="AO18" s="57"/>
      <c r="AP18" s="57"/>
      <c r="AQ18" s="57"/>
      <c r="AR18" s="57"/>
      <c r="AS18" s="57"/>
      <c r="AT18" s="57"/>
      <c r="AU18" s="57"/>
      <c r="AV18" s="57"/>
      <c r="AW18" s="57"/>
      <c r="AX18" s="57"/>
      <c r="AY18" s="57"/>
      <c r="AZ18" s="57"/>
      <c r="BA18" s="57"/>
      <c r="BB18" s="57"/>
      <c r="BC18" s="57"/>
      <c r="BD18" s="57"/>
      <c r="BE18" s="57"/>
      <c r="BF18" s="57"/>
      <c r="BG18" s="57"/>
      <c r="BH18" s="57"/>
      <c r="BI18" s="57"/>
      <c r="BJ18" s="57"/>
      <c r="BK18" s="57"/>
      <c r="BL18" s="57"/>
      <c r="BM18" s="57"/>
      <c r="BN18" s="57"/>
      <c r="BO18" s="57"/>
      <c r="BP18" s="57"/>
      <c r="BQ18" s="57"/>
      <c r="BR18" s="57"/>
      <c r="BS18" s="57"/>
      <c r="BT18" s="57"/>
      <c r="BU18" s="57"/>
      <c r="BV18" s="57"/>
      <c r="BW18" s="57"/>
      <c r="BX18" s="57"/>
      <c r="BY18" s="57"/>
      <c r="BZ18" s="57"/>
      <c r="CA18" s="57"/>
      <c r="CB18" s="57"/>
      <c r="CC18" s="57"/>
      <c r="CD18" s="57"/>
      <c r="CE18" s="57"/>
      <c r="CF18" s="57"/>
      <c r="CG18" s="57"/>
      <c r="CH18" s="57"/>
      <c r="CI18" s="57"/>
      <c r="CJ18" s="57"/>
      <c r="CK18" s="57"/>
      <c r="CL18" s="57"/>
      <c r="CM18" s="57"/>
      <c r="CN18" s="57"/>
      <c r="CO18" s="57"/>
      <c r="CP18" s="57"/>
      <c r="CQ18" s="57"/>
      <c r="CR18" s="57"/>
      <c r="CS18" s="57"/>
      <c r="CT18" s="57"/>
      <c r="CU18" s="57"/>
      <c r="CV18" s="57"/>
      <c r="CW18" s="57"/>
      <c r="CX18" s="57"/>
      <c r="CY18" s="57"/>
      <c r="CZ18" s="57"/>
      <c r="DA18" s="57"/>
      <c r="DB18" s="57"/>
      <c r="DC18" s="57"/>
      <c r="DD18" s="57"/>
      <c r="DE18" s="57"/>
      <c r="DF18" s="57"/>
      <c r="DG18" s="57"/>
      <c r="DH18" s="57"/>
      <c r="DI18" s="57"/>
      <c r="DJ18" s="57"/>
      <c r="DK18" s="57"/>
      <c r="DL18" s="57"/>
      <c r="DM18" s="57"/>
      <c r="DN18" s="57"/>
      <c r="DO18" s="57"/>
      <c r="DP18" s="57"/>
      <c r="DQ18" s="57"/>
      <c r="DR18" s="57"/>
      <c r="DS18" s="57"/>
      <c r="DT18" s="57"/>
      <c r="DU18" s="57"/>
      <c r="DV18" s="57"/>
      <c r="DW18" s="57"/>
      <c r="DX18" s="57"/>
      <c r="DY18" s="57"/>
      <c r="DZ18" s="57"/>
      <c r="EA18" s="57"/>
      <c r="EB18" s="57"/>
      <c r="EC18" s="57"/>
      <c r="ED18" s="57"/>
      <c r="EE18" s="57"/>
      <c r="EF18" s="57"/>
      <c r="EG18" s="57"/>
      <c r="EH18" s="57"/>
      <c r="EI18" s="57"/>
      <c r="EJ18" s="57"/>
      <c r="EK18" s="57"/>
      <c r="EL18" s="57"/>
      <c r="EM18" s="57"/>
      <c r="EN18" s="57"/>
      <c r="EO18" s="57"/>
      <c r="EP18" s="57"/>
      <c r="EQ18" s="57"/>
      <c r="ER18" s="57"/>
      <c r="ES18" s="57"/>
      <c r="ET18" s="57"/>
      <c r="EU18" s="57"/>
      <c r="EV18" s="57"/>
      <c r="EW18" s="57"/>
      <c r="EX18" s="57"/>
      <c r="EY18" s="57"/>
      <c r="EZ18" s="57"/>
      <c r="FA18" s="57"/>
      <c r="FB18" s="57"/>
      <c r="FC18" s="57"/>
      <c r="FD18" s="57"/>
      <c r="FE18" s="57"/>
      <c r="FF18" s="57"/>
      <c r="FG18" s="57"/>
      <c r="FH18" s="57"/>
      <c r="FI18" s="57"/>
      <c r="FJ18" s="57"/>
    </row>
    <row r="19" ht="15.75" customHeight="1">
      <c r="A19" s="55"/>
      <c r="B19" s="55"/>
      <c r="C19" s="55"/>
      <c r="D19" s="55"/>
      <c r="E19" s="55"/>
      <c r="F19" s="55"/>
      <c r="G19" s="55"/>
      <c r="H19" s="55"/>
      <c r="I19" s="55"/>
      <c r="J19" s="55"/>
      <c r="K19" s="55"/>
      <c r="L19" s="55"/>
      <c r="M19" s="55"/>
      <c r="N19" s="55"/>
      <c r="O19" s="55"/>
      <c r="P19" s="57"/>
      <c r="Q19" s="57"/>
      <c r="R19" s="57"/>
      <c r="S19" s="57"/>
      <c r="T19" s="57"/>
      <c r="U19" s="57"/>
      <c r="V19" s="57"/>
      <c r="W19" s="57"/>
      <c r="X19" s="57"/>
      <c r="Y19" s="57"/>
      <c r="Z19" s="57"/>
      <c r="AA19" s="57"/>
      <c r="AB19" s="57"/>
      <c r="AC19" s="57"/>
      <c r="AD19" s="57"/>
      <c r="AE19" s="57"/>
      <c r="AF19" s="57"/>
      <c r="AG19" s="57"/>
      <c r="AH19" s="57"/>
      <c r="AI19" s="57"/>
      <c r="AJ19" s="57"/>
      <c r="AK19" s="57"/>
      <c r="AL19" s="57"/>
      <c r="AM19" s="57"/>
      <c r="AN19" s="57"/>
      <c r="AO19" s="57"/>
      <c r="AP19" s="57"/>
      <c r="AQ19" s="57"/>
      <c r="AR19" s="57"/>
      <c r="AS19" s="57"/>
      <c r="AT19" s="57"/>
      <c r="AU19" s="57"/>
      <c r="AV19" s="57"/>
      <c r="AW19" s="57"/>
      <c r="AX19" s="57"/>
      <c r="AY19" s="57"/>
      <c r="AZ19" s="57"/>
      <c r="BA19" s="57"/>
      <c r="BB19" s="57"/>
      <c r="BC19" s="57"/>
      <c r="BD19" s="57"/>
      <c r="BE19" s="57"/>
      <c r="BF19" s="57"/>
      <c r="BG19" s="57"/>
      <c r="BH19" s="57"/>
      <c r="BI19" s="57"/>
      <c r="BJ19" s="57"/>
      <c r="BK19" s="57"/>
      <c r="BL19" s="57"/>
      <c r="BM19" s="57"/>
      <c r="BN19" s="57"/>
      <c r="BO19" s="57"/>
      <c r="BP19" s="57"/>
      <c r="BQ19" s="57"/>
      <c r="BR19" s="57"/>
      <c r="BS19" s="57"/>
      <c r="BT19" s="57"/>
      <c r="BU19" s="57"/>
      <c r="BV19" s="57"/>
      <c r="BW19" s="57"/>
      <c r="BX19" s="57"/>
      <c r="BY19" s="57"/>
      <c r="BZ19" s="57"/>
      <c r="CA19" s="57"/>
      <c r="CB19" s="57"/>
      <c r="CC19" s="57"/>
      <c r="CD19" s="57"/>
      <c r="CE19" s="57"/>
      <c r="CF19" s="57"/>
      <c r="CG19" s="57"/>
      <c r="CH19" s="57"/>
      <c r="CI19" s="57"/>
      <c r="CJ19" s="57"/>
      <c r="CK19" s="57"/>
      <c r="CL19" s="57"/>
      <c r="CM19" s="57"/>
      <c r="CN19" s="57"/>
      <c r="CO19" s="57"/>
      <c r="CP19" s="57"/>
      <c r="CQ19" s="57"/>
      <c r="CR19" s="57"/>
      <c r="CS19" s="57"/>
      <c r="CT19" s="57"/>
      <c r="CU19" s="57"/>
      <c r="CV19" s="57"/>
      <c r="CW19" s="57"/>
      <c r="CX19" s="57"/>
      <c r="CY19" s="57"/>
      <c r="CZ19" s="57"/>
      <c r="DA19" s="57"/>
      <c r="DB19" s="57"/>
      <c r="DC19" s="57"/>
      <c r="DD19" s="57"/>
      <c r="DE19" s="57"/>
      <c r="DF19" s="57"/>
      <c r="DG19" s="57"/>
      <c r="DH19" s="57"/>
      <c r="DI19" s="57"/>
      <c r="DJ19" s="57"/>
      <c r="DK19" s="57"/>
      <c r="DL19" s="57"/>
      <c r="DM19" s="57"/>
      <c r="DN19" s="57"/>
      <c r="DO19" s="57"/>
      <c r="DP19" s="57"/>
      <c r="DQ19" s="57"/>
      <c r="DR19" s="57"/>
      <c r="DS19" s="57"/>
      <c r="DT19" s="57"/>
      <c r="DU19" s="57"/>
      <c r="DV19" s="57"/>
      <c r="DW19" s="57"/>
      <c r="DX19" s="57"/>
      <c r="DY19" s="57"/>
      <c r="DZ19" s="57"/>
      <c r="EA19" s="57"/>
      <c r="EB19" s="57"/>
      <c r="EC19" s="57"/>
      <c r="ED19" s="57"/>
      <c r="EE19" s="57"/>
      <c r="EF19" s="57"/>
      <c r="EG19" s="57"/>
      <c r="EH19" s="57"/>
      <c r="EI19" s="57"/>
      <c r="EJ19" s="57"/>
      <c r="EK19" s="57"/>
      <c r="EL19" s="57"/>
      <c r="EM19" s="57"/>
      <c r="EN19" s="57"/>
      <c r="EO19" s="57"/>
      <c r="EP19" s="57"/>
      <c r="EQ19" s="57"/>
      <c r="ER19" s="57"/>
      <c r="ES19" s="57"/>
      <c r="ET19" s="57"/>
      <c r="EU19" s="57"/>
      <c r="EV19" s="57"/>
      <c r="EW19" s="57"/>
      <c r="EX19" s="57"/>
      <c r="EY19" s="57"/>
      <c r="EZ19" s="57"/>
      <c r="FA19" s="57"/>
      <c r="FB19" s="57"/>
      <c r="FC19" s="57"/>
      <c r="FD19" s="57"/>
      <c r="FE19" s="57"/>
      <c r="FF19" s="57"/>
      <c r="FG19" s="57"/>
      <c r="FH19" s="57"/>
      <c r="FI19" s="57"/>
      <c r="FJ19" s="57"/>
    </row>
    <row r="20" ht="15.75" customHeight="1">
      <c r="A20" s="55"/>
      <c r="B20" s="55"/>
      <c r="C20" s="55"/>
      <c r="D20" s="55"/>
      <c r="E20" s="55"/>
      <c r="F20" s="55"/>
      <c r="G20" s="55"/>
      <c r="H20" s="55"/>
      <c r="I20" s="55"/>
      <c r="J20" s="55"/>
      <c r="K20" s="55"/>
      <c r="L20" s="55"/>
      <c r="M20" s="55"/>
      <c r="N20" s="55"/>
      <c r="O20" s="55"/>
      <c r="P20" s="57"/>
      <c r="Q20" s="57"/>
      <c r="R20" s="57"/>
      <c r="S20" s="57"/>
      <c r="T20" s="57"/>
      <c r="U20" s="57"/>
      <c r="V20" s="57"/>
      <c r="W20" s="57"/>
      <c r="X20" s="57"/>
      <c r="Y20" s="57"/>
      <c r="Z20" s="57"/>
      <c r="AA20" s="57"/>
      <c r="AB20" s="57"/>
      <c r="AC20" s="57"/>
      <c r="AD20" s="57"/>
      <c r="AE20" s="57"/>
      <c r="AF20" s="57"/>
      <c r="AG20" s="57"/>
      <c r="AH20" s="57"/>
      <c r="AI20" s="57"/>
      <c r="AJ20" s="57"/>
      <c r="AK20" s="57"/>
      <c r="AL20" s="57"/>
      <c r="AM20" s="57"/>
      <c r="AN20" s="57"/>
      <c r="AO20" s="57"/>
      <c r="AP20" s="57"/>
      <c r="AQ20" s="57"/>
      <c r="AR20" s="57"/>
      <c r="AS20" s="57"/>
      <c r="AT20" s="57"/>
      <c r="AU20" s="57"/>
      <c r="AV20" s="57"/>
      <c r="AW20" s="57"/>
      <c r="AX20" s="57"/>
      <c r="AY20" s="57"/>
      <c r="AZ20" s="57"/>
      <c r="BA20" s="57"/>
      <c r="BB20" s="57"/>
      <c r="BC20" s="57"/>
      <c r="BD20" s="57"/>
      <c r="BE20" s="57"/>
      <c r="BF20" s="57"/>
      <c r="BG20" s="57"/>
      <c r="BH20" s="57"/>
      <c r="BI20" s="57"/>
      <c r="BJ20" s="57"/>
      <c r="BK20" s="57"/>
      <c r="BL20" s="57"/>
      <c r="BM20" s="57"/>
      <c r="BN20" s="57"/>
      <c r="BO20" s="57"/>
      <c r="BP20" s="57"/>
      <c r="BQ20" s="57"/>
      <c r="BR20" s="57"/>
      <c r="BS20" s="57"/>
      <c r="BT20" s="57"/>
      <c r="BU20" s="57"/>
      <c r="BV20" s="57"/>
      <c r="BW20" s="57"/>
      <c r="BX20" s="57"/>
      <c r="BY20" s="57"/>
      <c r="BZ20" s="57"/>
      <c r="CA20" s="57"/>
      <c r="CB20" s="57"/>
      <c r="CC20" s="57"/>
      <c r="CD20" s="57"/>
      <c r="CE20" s="57"/>
      <c r="CF20" s="57"/>
      <c r="CG20" s="57"/>
      <c r="CH20" s="57"/>
      <c r="CI20" s="57"/>
      <c r="CJ20" s="57"/>
      <c r="CK20" s="57"/>
      <c r="CL20" s="57"/>
      <c r="CM20" s="57"/>
      <c r="CN20" s="57"/>
      <c r="CO20" s="57"/>
      <c r="CP20" s="57"/>
      <c r="CQ20" s="57"/>
      <c r="CR20" s="57"/>
      <c r="CS20" s="57"/>
      <c r="CT20" s="57"/>
      <c r="CU20" s="57"/>
      <c r="CV20" s="57"/>
      <c r="CW20" s="57"/>
      <c r="CX20" s="57"/>
      <c r="CY20" s="57"/>
      <c r="CZ20" s="57"/>
      <c r="DA20" s="57"/>
      <c r="DB20" s="57"/>
      <c r="DC20" s="57"/>
      <c r="DD20" s="57"/>
      <c r="DE20" s="57"/>
      <c r="DF20" s="57"/>
      <c r="DG20" s="57"/>
      <c r="DH20" s="57"/>
      <c r="DI20" s="57"/>
      <c r="DJ20" s="57"/>
      <c r="DK20" s="57"/>
      <c r="DL20" s="57"/>
      <c r="DM20" s="57"/>
      <c r="DN20" s="57"/>
      <c r="DO20" s="57"/>
      <c r="DP20" s="57"/>
      <c r="DQ20" s="57"/>
      <c r="DR20" s="57"/>
      <c r="DS20" s="57"/>
      <c r="DT20" s="57"/>
      <c r="DU20" s="57"/>
      <c r="DV20" s="57"/>
      <c r="DW20" s="57"/>
      <c r="DX20" s="57"/>
      <c r="DY20" s="57"/>
      <c r="DZ20" s="57"/>
      <c r="EA20" s="57"/>
      <c r="EB20" s="57"/>
      <c r="EC20" s="57"/>
      <c r="ED20" s="57"/>
      <c r="EE20" s="57"/>
      <c r="EF20" s="57"/>
      <c r="EG20" s="57"/>
      <c r="EH20" s="57"/>
      <c r="EI20" s="57"/>
      <c r="EJ20" s="57"/>
      <c r="EK20" s="57"/>
      <c r="EL20" s="57"/>
      <c r="EM20" s="57"/>
      <c r="EN20" s="57"/>
      <c r="EO20" s="57"/>
      <c r="EP20" s="57"/>
      <c r="EQ20" s="57"/>
      <c r="ER20" s="57"/>
      <c r="ES20" s="57"/>
      <c r="ET20" s="57"/>
      <c r="EU20" s="57"/>
      <c r="EV20" s="57"/>
      <c r="EW20" s="57"/>
      <c r="EX20" s="57"/>
      <c r="EY20" s="57"/>
      <c r="EZ20" s="57"/>
      <c r="FA20" s="57"/>
      <c r="FB20" s="57"/>
      <c r="FC20" s="57"/>
      <c r="FD20" s="57"/>
      <c r="FE20" s="57"/>
      <c r="FF20" s="57"/>
      <c r="FG20" s="57"/>
      <c r="FH20" s="57"/>
      <c r="FI20" s="57"/>
      <c r="FJ20" s="57"/>
    </row>
    <row r="21" ht="15.75" customHeight="1">
      <c r="A21" s="55"/>
      <c r="B21" s="55"/>
      <c r="C21" s="55"/>
      <c r="D21" s="55"/>
      <c r="E21" s="55"/>
      <c r="F21" s="55"/>
      <c r="G21" s="55"/>
      <c r="H21" s="55"/>
      <c r="I21" s="55"/>
      <c r="J21" s="55"/>
      <c r="K21" s="55"/>
      <c r="L21" s="55"/>
      <c r="M21" s="55"/>
      <c r="N21" s="55"/>
      <c r="O21" s="55"/>
      <c r="P21" s="57"/>
      <c r="Q21" s="57"/>
      <c r="R21" s="57"/>
      <c r="S21" s="57"/>
      <c r="T21" s="57"/>
      <c r="U21" s="57"/>
      <c r="V21" s="57"/>
      <c r="W21" s="57"/>
      <c r="X21" s="57"/>
      <c r="Y21" s="57"/>
      <c r="Z21" s="57"/>
      <c r="AA21" s="57"/>
      <c r="AB21" s="57"/>
      <c r="AC21" s="57"/>
      <c r="AD21" s="57"/>
      <c r="AE21" s="57"/>
      <c r="AF21" s="57"/>
      <c r="AG21" s="57"/>
      <c r="AH21" s="57"/>
      <c r="AI21" s="57"/>
      <c r="AJ21" s="57"/>
      <c r="AK21" s="57"/>
      <c r="AL21" s="57"/>
      <c r="AM21" s="57"/>
      <c r="AN21" s="57"/>
      <c r="AO21" s="57"/>
      <c r="AP21" s="57"/>
      <c r="AQ21" s="57"/>
      <c r="AR21" s="57"/>
      <c r="AS21" s="57"/>
      <c r="AT21" s="57"/>
      <c r="AU21" s="57"/>
      <c r="AV21" s="57"/>
      <c r="AW21" s="57"/>
      <c r="AX21" s="57"/>
      <c r="AY21" s="57"/>
      <c r="AZ21" s="57"/>
      <c r="BA21" s="57"/>
      <c r="BB21" s="57"/>
      <c r="BC21" s="57"/>
      <c r="BD21" s="57"/>
      <c r="BE21" s="57"/>
      <c r="BF21" s="57"/>
      <c r="BG21" s="57"/>
      <c r="BH21" s="57"/>
      <c r="BI21" s="57"/>
      <c r="BJ21" s="57"/>
      <c r="BK21" s="57"/>
      <c r="BL21" s="57"/>
      <c r="BM21" s="57"/>
      <c r="BN21" s="57"/>
      <c r="BO21" s="57"/>
      <c r="BP21" s="57"/>
      <c r="BQ21" s="57"/>
      <c r="BR21" s="57"/>
      <c r="BS21" s="57"/>
      <c r="BT21" s="57"/>
      <c r="BU21" s="57"/>
      <c r="BV21" s="57"/>
      <c r="BW21" s="57"/>
      <c r="BX21" s="57"/>
      <c r="BY21" s="57"/>
      <c r="BZ21" s="57"/>
      <c r="CA21" s="57"/>
      <c r="CB21" s="57"/>
      <c r="CC21" s="57"/>
      <c r="CD21" s="57"/>
      <c r="CE21" s="57"/>
      <c r="CF21" s="57"/>
      <c r="CG21" s="57"/>
      <c r="CH21" s="57"/>
      <c r="CI21" s="57"/>
      <c r="CJ21" s="57"/>
      <c r="CK21" s="57"/>
      <c r="CL21" s="57"/>
      <c r="CM21" s="57"/>
      <c r="CN21" s="57"/>
      <c r="CO21" s="57"/>
      <c r="CP21" s="57"/>
      <c r="CQ21" s="57"/>
      <c r="CR21" s="57"/>
      <c r="CS21" s="57"/>
      <c r="CT21" s="57"/>
      <c r="CU21" s="57"/>
      <c r="CV21" s="57"/>
      <c r="CW21" s="57"/>
      <c r="CX21" s="57"/>
      <c r="CY21" s="57"/>
      <c r="CZ21" s="57"/>
      <c r="DA21" s="57"/>
      <c r="DB21" s="57"/>
      <c r="DC21" s="57"/>
      <c r="DD21" s="57"/>
      <c r="DE21" s="57"/>
      <c r="DF21" s="57"/>
      <c r="DG21" s="57"/>
      <c r="DH21" s="57"/>
      <c r="DI21" s="57"/>
      <c r="DJ21" s="57"/>
      <c r="DK21" s="57"/>
      <c r="DL21" s="57"/>
      <c r="DM21" s="57"/>
      <c r="DN21" s="57"/>
      <c r="DO21" s="57"/>
      <c r="DP21" s="57"/>
      <c r="DQ21" s="57"/>
      <c r="DR21" s="57"/>
      <c r="DS21" s="57"/>
      <c r="DT21" s="57"/>
      <c r="DU21" s="57"/>
      <c r="DV21" s="57"/>
      <c r="DW21" s="57"/>
      <c r="DX21" s="57"/>
      <c r="DY21" s="57"/>
      <c r="DZ21" s="57"/>
      <c r="EA21" s="57"/>
      <c r="EB21" s="57"/>
      <c r="EC21" s="57"/>
      <c r="ED21" s="57"/>
      <c r="EE21" s="57"/>
      <c r="EF21" s="57"/>
      <c r="EG21" s="57"/>
      <c r="EH21" s="57"/>
      <c r="EI21" s="57"/>
      <c r="EJ21" s="57"/>
      <c r="EK21" s="57"/>
      <c r="EL21" s="57"/>
      <c r="EM21" s="57"/>
      <c r="EN21" s="57"/>
      <c r="EO21" s="57"/>
      <c r="EP21" s="57"/>
      <c r="EQ21" s="57"/>
      <c r="ER21" s="57"/>
      <c r="ES21" s="57"/>
      <c r="ET21" s="57"/>
      <c r="EU21" s="57"/>
      <c r="EV21" s="57"/>
      <c r="EW21" s="57"/>
      <c r="EX21" s="57"/>
      <c r="EY21" s="57"/>
      <c r="EZ21" s="57"/>
      <c r="FA21" s="57"/>
      <c r="FB21" s="57"/>
      <c r="FC21" s="57"/>
      <c r="FD21" s="57"/>
      <c r="FE21" s="57"/>
      <c r="FF21" s="57"/>
      <c r="FG21" s="57"/>
      <c r="FH21" s="57"/>
      <c r="FI21" s="57"/>
      <c r="FJ21" s="57"/>
    </row>
    <row r="22" ht="15.75" customHeight="1">
      <c r="A22" s="55"/>
      <c r="B22" s="55"/>
      <c r="C22" s="55"/>
      <c r="D22" s="55"/>
      <c r="E22" s="55"/>
      <c r="F22" s="55"/>
      <c r="G22" s="55"/>
      <c r="H22" s="55"/>
      <c r="I22" s="55"/>
      <c r="J22" s="55"/>
      <c r="K22" s="55"/>
      <c r="L22" s="55"/>
      <c r="M22" s="55"/>
      <c r="N22" s="55"/>
      <c r="O22" s="55"/>
      <c r="P22" s="57"/>
      <c r="Q22" s="57"/>
      <c r="R22" s="57"/>
      <c r="S22" s="57"/>
      <c r="T22" s="57"/>
      <c r="U22" s="57"/>
      <c r="V22" s="57"/>
      <c r="W22" s="57"/>
      <c r="X22" s="57"/>
      <c r="Y22" s="57"/>
      <c r="Z22" s="57"/>
      <c r="AA22" s="57"/>
      <c r="AB22" s="57"/>
      <c r="AC22" s="57"/>
      <c r="AD22" s="57"/>
      <c r="AE22" s="57"/>
      <c r="AF22" s="57"/>
      <c r="AG22" s="57"/>
      <c r="AH22" s="57"/>
      <c r="AI22" s="57"/>
      <c r="AJ22" s="57"/>
      <c r="AK22" s="57"/>
      <c r="AL22" s="57"/>
      <c r="AM22" s="57"/>
      <c r="AN22" s="57"/>
      <c r="AO22" s="57"/>
      <c r="AP22" s="57"/>
      <c r="AQ22" s="57"/>
      <c r="AR22" s="57"/>
      <c r="AS22" s="57"/>
      <c r="AT22" s="57"/>
      <c r="AU22" s="57"/>
      <c r="AV22" s="57"/>
      <c r="AW22" s="57"/>
      <c r="AX22" s="57"/>
      <c r="AY22" s="57"/>
      <c r="AZ22" s="57"/>
      <c r="BA22" s="57"/>
      <c r="BB22" s="57"/>
      <c r="BC22" s="57"/>
      <c r="BD22" s="57"/>
      <c r="BE22" s="57"/>
      <c r="BF22" s="57"/>
      <c r="BG22" s="57"/>
      <c r="BH22" s="57"/>
      <c r="BI22" s="57"/>
      <c r="BJ22" s="57"/>
      <c r="BK22" s="57"/>
      <c r="BL22" s="57"/>
      <c r="BM22" s="57"/>
      <c r="BN22" s="57"/>
      <c r="BO22" s="57"/>
      <c r="BP22" s="57"/>
      <c r="BQ22" s="57"/>
      <c r="BR22" s="57"/>
      <c r="BS22" s="57"/>
      <c r="BT22" s="57"/>
      <c r="BU22" s="57"/>
      <c r="BV22" s="57"/>
      <c r="BW22" s="57"/>
      <c r="BX22" s="57"/>
      <c r="BY22" s="57"/>
      <c r="BZ22" s="57"/>
      <c r="CA22" s="57"/>
      <c r="CB22" s="57"/>
      <c r="CC22" s="57"/>
      <c r="CD22" s="57"/>
      <c r="CE22" s="57"/>
      <c r="CF22" s="57"/>
      <c r="CG22" s="57"/>
      <c r="CH22" s="57"/>
      <c r="CI22" s="57"/>
      <c r="CJ22" s="57"/>
      <c r="CK22" s="57"/>
      <c r="CL22" s="57"/>
      <c r="CM22" s="57"/>
      <c r="CN22" s="57"/>
      <c r="CO22" s="57"/>
      <c r="CP22" s="57"/>
      <c r="CQ22" s="57"/>
      <c r="CR22" s="57"/>
      <c r="CS22" s="57"/>
      <c r="CT22" s="57"/>
      <c r="CU22" s="57"/>
      <c r="CV22" s="57"/>
      <c r="CW22" s="57"/>
      <c r="CX22" s="57"/>
      <c r="CY22" s="57"/>
      <c r="CZ22" s="57"/>
      <c r="DA22" s="57"/>
      <c r="DB22" s="57"/>
      <c r="DC22" s="57"/>
      <c r="DD22" s="57"/>
      <c r="DE22" s="57"/>
      <c r="DF22" s="57"/>
      <c r="DG22" s="57"/>
      <c r="DH22" s="57"/>
      <c r="DI22" s="57"/>
      <c r="DJ22" s="57"/>
      <c r="DK22" s="57"/>
      <c r="DL22" s="57"/>
      <c r="DM22" s="57"/>
      <c r="DN22" s="57"/>
      <c r="DO22" s="57"/>
      <c r="DP22" s="57"/>
      <c r="DQ22" s="57"/>
      <c r="DR22" s="57"/>
      <c r="DS22" s="57"/>
      <c r="DT22" s="57"/>
      <c r="DU22" s="57"/>
      <c r="DV22" s="57"/>
      <c r="DW22" s="57"/>
      <c r="DX22" s="57"/>
      <c r="DY22" s="57"/>
      <c r="DZ22" s="57"/>
      <c r="EA22" s="57"/>
      <c r="EB22" s="57"/>
      <c r="EC22" s="57"/>
      <c r="ED22" s="57"/>
      <c r="EE22" s="57"/>
      <c r="EF22" s="57"/>
      <c r="EG22" s="57"/>
      <c r="EH22" s="57"/>
      <c r="EI22" s="57"/>
      <c r="EJ22" s="57"/>
      <c r="EK22" s="57"/>
      <c r="EL22" s="57"/>
      <c r="EM22" s="57"/>
      <c r="EN22" s="57"/>
      <c r="EO22" s="57"/>
      <c r="EP22" s="57"/>
      <c r="EQ22" s="57"/>
      <c r="ER22" s="57"/>
      <c r="ES22" s="57"/>
      <c r="ET22" s="57"/>
      <c r="EU22" s="57"/>
      <c r="EV22" s="57"/>
      <c r="EW22" s="57"/>
      <c r="EX22" s="57"/>
      <c r="EY22" s="57"/>
      <c r="EZ22" s="57"/>
      <c r="FA22" s="57"/>
      <c r="FB22" s="57"/>
      <c r="FC22" s="57"/>
      <c r="FD22" s="57"/>
      <c r="FE22" s="57"/>
      <c r="FF22" s="57"/>
      <c r="FG22" s="57"/>
      <c r="FH22" s="57"/>
      <c r="FI22" s="57"/>
      <c r="FJ22" s="57"/>
    </row>
    <row r="23" ht="15.75" customHeight="1">
      <c r="A23" s="55"/>
      <c r="B23" s="55"/>
      <c r="C23" s="55"/>
      <c r="D23" s="55"/>
      <c r="E23" s="55"/>
      <c r="F23" s="55"/>
      <c r="G23" s="55"/>
      <c r="H23" s="55"/>
      <c r="I23" s="55"/>
      <c r="J23" s="55"/>
      <c r="K23" s="55"/>
      <c r="L23" s="55"/>
      <c r="M23" s="55"/>
      <c r="N23" s="55"/>
      <c r="O23" s="55"/>
      <c r="P23" s="57"/>
      <c r="Q23" s="57"/>
      <c r="R23" s="57"/>
      <c r="S23" s="57"/>
      <c r="T23" s="57"/>
      <c r="U23" s="57"/>
      <c r="V23" s="57"/>
      <c r="W23" s="57"/>
      <c r="X23" s="57"/>
      <c r="Y23" s="57"/>
      <c r="Z23" s="57"/>
      <c r="AA23" s="57"/>
      <c r="AB23" s="57"/>
      <c r="AC23" s="57"/>
      <c r="AD23" s="57"/>
      <c r="AE23" s="57"/>
      <c r="AF23" s="57"/>
      <c r="AG23" s="57"/>
      <c r="AH23" s="57"/>
      <c r="AI23" s="57"/>
      <c r="AJ23" s="57"/>
      <c r="AK23" s="57"/>
      <c r="AL23" s="57"/>
      <c r="AM23" s="57"/>
      <c r="AN23" s="57"/>
      <c r="AO23" s="57"/>
      <c r="AP23" s="57"/>
      <c r="AQ23" s="57"/>
      <c r="AR23" s="57"/>
      <c r="AS23" s="57"/>
      <c r="AT23" s="57"/>
      <c r="AU23" s="57"/>
      <c r="AV23" s="57"/>
      <c r="AW23" s="57"/>
      <c r="AX23" s="57"/>
      <c r="AY23" s="57"/>
      <c r="AZ23" s="57"/>
      <c r="BA23" s="57"/>
      <c r="BB23" s="57"/>
      <c r="BC23" s="57"/>
      <c r="BD23" s="57"/>
      <c r="BE23" s="57"/>
      <c r="BF23" s="57"/>
      <c r="BG23" s="57"/>
      <c r="BH23" s="57"/>
      <c r="BI23" s="57"/>
      <c r="BJ23" s="57"/>
      <c r="BK23" s="57"/>
      <c r="BL23" s="57"/>
      <c r="BM23" s="57"/>
      <c r="BN23" s="57"/>
      <c r="BO23" s="57"/>
      <c r="BP23" s="57"/>
      <c r="BQ23" s="57"/>
      <c r="BR23" s="57"/>
      <c r="BS23" s="57"/>
      <c r="BT23" s="57"/>
      <c r="BU23" s="57"/>
      <c r="BV23" s="57"/>
      <c r="BW23" s="57"/>
      <c r="BX23" s="57"/>
      <c r="BY23" s="57"/>
      <c r="BZ23" s="57"/>
      <c r="CA23" s="57"/>
      <c r="CB23" s="57"/>
      <c r="CC23" s="57"/>
      <c r="CD23" s="57"/>
      <c r="CE23" s="57"/>
      <c r="CF23" s="57"/>
      <c r="CG23" s="57"/>
      <c r="CH23" s="57"/>
      <c r="CI23" s="57"/>
      <c r="CJ23" s="57"/>
      <c r="CK23" s="57"/>
      <c r="CL23" s="57"/>
      <c r="CM23" s="57"/>
      <c r="CN23" s="57"/>
      <c r="CO23" s="57"/>
      <c r="CP23" s="57"/>
      <c r="CQ23" s="57"/>
      <c r="CR23" s="57"/>
      <c r="CS23" s="57"/>
      <c r="CT23" s="57"/>
      <c r="CU23" s="57"/>
      <c r="CV23" s="57"/>
      <c r="CW23" s="57"/>
      <c r="CX23" s="57"/>
      <c r="CY23" s="57"/>
      <c r="CZ23" s="57"/>
      <c r="DA23" s="57"/>
      <c r="DB23" s="57"/>
      <c r="DC23" s="57"/>
      <c r="DD23" s="57"/>
      <c r="DE23" s="57"/>
      <c r="DF23" s="57"/>
      <c r="DG23" s="57"/>
      <c r="DH23" s="57"/>
      <c r="DI23" s="57"/>
      <c r="DJ23" s="57"/>
      <c r="DK23" s="57"/>
      <c r="DL23" s="57"/>
      <c r="DM23" s="57"/>
      <c r="DN23" s="57"/>
      <c r="DO23" s="57"/>
      <c r="DP23" s="57"/>
      <c r="DQ23" s="57"/>
      <c r="DR23" s="57"/>
      <c r="DS23" s="57"/>
      <c r="DT23" s="57"/>
      <c r="DU23" s="57"/>
      <c r="DV23" s="57"/>
      <c r="DW23" s="57"/>
      <c r="DX23" s="57"/>
      <c r="DY23" s="57"/>
      <c r="DZ23" s="57"/>
      <c r="EA23" s="57"/>
      <c r="EB23" s="57"/>
      <c r="EC23" s="57"/>
      <c r="ED23" s="57"/>
      <c r="EE23" s="57"/>
      <c r="EF23" s="57"/>
      <c r="EG23" s="57"/>
      <c r="EH23" s="57"/>
      <c r="EI23" s="57"/>
      <c r="EJ23" s="57"/>
      <c r="EK23" s="57"/>
      <c r="EL23" s="57"/>
      <c r="EM23" s="57"/>
      <c r="EN23" s="57"/>
      <c r="EO23" s="57"/>
      <c r="EP23" s="57"/>
      <c r="EQ23" s="57"/>
      <c r="ER23" s="57"/>
      <c r="ES23" s="57"/>
      <c r="ET23" s="57"/>
      <c r="EU23" s="57"/>
      <c r="EV23" s="57"/>
      <c r="EW23" s="57"/>
      <c r="EX23" s="57"/>
      <c r="EY23" s="57"/>
      <c r="EZ23" s="57"/>
      <c r="FA23" s="57"/>
      <c r="FB23" s="57"/>
      <c r="FC23" s="57"/>
      <c r="FD23" s="57"/>
      <c r="FE23" s="57"/>
      <c r="FF23" s="57"/>
      <c r="FG23" s="57"/>
      <c r="FH23" s="57"/>
      <c r="FI23" s="57"/>
      <c r="FJ23" s="57"/>
    </row>
    <row r="24" ht="15.75" customHeight="1">
      <c r="A24" s="55"/>
      <c r="B24" s="55"/>
      <c r="C24" s="55"/>
      <c r="D24" s="55"/>
      <c r="E24" s="55"/>
      <c r="F24" s="55"/>
      <c r="G24" s="55"/>
      <c r="H24" s="55"/>
      <c r="I24" s="55"/>
      <c r="J24" s="55"/>
      <c r="K24" s="55"/>
      <c r="L24" s="55"/>
      <c r="M24" s="55"/>
      <c r="N24" s="55"/>
      <c r="O24" s="55"/>
      <c r="P24" s="57"/>
      <c r="Q24" s="57"/>
      <c r="R24" s="57"/>
      <c r="S24" s="57"/>
      <c r="T24" s="57"/>
      <c r="U24" s="57"/>
      <c r="V24" s="57"/>
      <c r="W24" s="57"/>
      <c r="X24" s="57"/>
      <c r="Y24" s="57"/>
      <c r="Z24" s="57"/>
      <c r="AA24" s="57"/>
      <c r="AB24" s="57"/>
      <c r="AC24" s="57"/>
      <c r="AD24" s="57"/>
      <c r="AE24" s="57"/>
      <c r="AF24" s="57"/>
      <c r="AG24" s="57"/>
      <c r="AH24" s="57"/>
      <c r="AI24" s="57"/>
      <c r="AJ24" s="57"/>
      <c r="AK24" s="57"/>
      <c r="AL24" s="57"/>
      <c r="AM24" s="57"/>
      <c r="AN24" s="57"/>
      <c r="AO24" s="57"/>
      <c r="AP24" s="57"/>
      <c r="AQ24" s="57"/>
      <c r="AR24" s="57"/>
      <c r="AS24" s="57"/>
      <c r="AT24" s="57"/>
      <c r="AU24" s="57"/>
      <c r="AV24" s="57"/>
      <c r="AW24" s="57"/>
      <c r="AX24" s="57"/>
      <c r="AY24" s="57"/>
      <c r="AZ24" s="57"/>
      <c r="BA24" s="57"/>
      <c r="BB24" s="57"/>
      <c r="BC24" s="57"/>
      <c r="BD24" s="57"/>
      <c r="BE24" s="57"/>
      <c r="BF24" s="57"/>
      <c r="BG24" s="57"/>
      <c r="BH24" s="57"/>
      <c r="BI24" s="57"/>
      <c r="BJ24" s="57"/>
      <c r="BK24" s="57"/>
      <c r="BL24" s="57"/>
      <c r="BM24" s="57"/>
      <c r="BN24" s="57"/>
      <c r="BO24" s="57"/>
      <c r="BP24" s="57"/>
      <c r="BQ24" s="57"/>
      <c r="BR24" s="57"/>
      <c r="BS24" s="57"/>
      <c r="BT24" s="57"/>
      <c r="BU24" s="57"/>
      <c r="BV24" s="57"/>
      <c r="BW24" s="57"/>
      <c r="BX24" s="57"/>
      <c r="BY24" s="57"/>
      <c r="BZ24" s="57"/>
      <c r="CA24" s="57"/>
      <c r="CB24" s="57"/>
      <c r="CC24" s="57"/>
      <c r="CD24" s="57"/>
      <c r="CE24" s="57"/>
      <c r="CF24" s="57"/>
      <c r="CG24" s="57"/>
      <c r="CH24" s="57"/>
      <c r="CI24" s="57"/>
      <c r="CJ24" s="57"/>
      <c r="CK24" s="57"/>
      <c r="CL24" s="57"/>
      <c r="CM24" s="57"/>
      <c r="CN24" s="57"/>
      <c r="CO24" s="57"/>
      <c r="CP24" s="57"/>
      <c r="CQ24" s="57"/>
      <c r="CR24" s="57"/>
      <c r="CS24" s="57"/>
      <c r="CT24" s="57"/>
      <c r="CU24" s="57"/>
      <c r="CV24" s="57"/>
      <c r="CW24" s="57"/>
      <c r="CX24" s="57"/>
      <c r="CY24" s="57"/>
      <c r="CZ24" s="57"/>
      <c r="DA24" s="57"/>
      <c r="DB24" s="57"/>
      <c r="DC24" s="57"/>
      <c r="DD24" s="57"/>
      <c r="DE24" s="57"/>
      <c r="DF24" s="57"/>
      <c r="DG24" s="57"/>
      <c r="DH24" s="57"/>
      <c r="DI24" s="57"/>
      <c r="DJ24" s="57"/>
      <c r="DK24" s="57"/>
      <c r="DL24" s="57"/>
      <c r="DM24" s="57"/>
      <c r="DN24" s="57"/>
      <c r="DO24" s="57"/>
      <c r="DP24" s="57"/>
      <c r="DQ24" s="57"/>
      <c r="DR24" s="57"/>
      <c r="DS24" s="57"/>
      <c r="DT24" s="57"/>
      <c r="DU24" s="57"/>
      <c r="DV24" s="57"/>
      <c r="DW24" s="57"/>
      <c r="DX24" s="57"/>
      <c r="DY24" s="57"/>
      <c r="DZ24" s="57"/>
      <c r="EA24" s="57"/>
      <c r="EB24" s="57"/>
      <c r="EC24" s="57"/>
      <c r="ED24" s="57"/>
      <c r="EE24" s="57"/>
      <c r="EF24" s="57"/>
      <c r="EG24" s="57"/>
      <c r="EH24" s="57"/>
      <c r="EI24" s="57"/>
      <c r="EJ24" s="57"/>
      <c r="EK24" s="57"/>
      <c r="EL24" s="57"/>
      <c r="EM24" s="57"/>
      <c r="EN24" s="57"/>
      <c r="EO24" s="57"/>
      <c r="EP24" s="57"/>
      <c r="EQ24" s="57"/>
      <c r="ER24" s="57"/>
      <c r="ES24" s="57"/>
      <c r="ET24" s="57"/>
      <c r="EU24" s="57"/>
      <c r="EV24" s="57"/>
      <c r="EW24" s="57"/>
      <c r="EX24" s="57"/>
      <c r="EY24" s="57"/>
      <c r="EZ24" s="57"/>
      <c r="FA24" s="57"/>
      <c r="FB24" s="57"/>
      <c r="FC24" s="57"/>
      <c r="FD24" s="57"/>
      <c r="FE24" s="57"/>
      <c r="FF24" s="57"/>
      <c r="FG24" s="57"/>
      <c r="FH24" s="57"/>
      <c r="FI24" s="57"/>
      <c r="FJ24" s="57"/>
    </row>
    <row r="25" ht="15.75" customHeight="1">
      <c r="A25" s="55"/>
      <c r="B25" s="55"/>
      <c r="C25" s="55"/>
      <c r="D25" s="55"/>
      <c r="E25" s="55"/>
      <c r="F25" s="55"/>
      <c r="G25" s="55"/>
      <c r="H25" s="55"/>
      <c r="I25" s="55"/>
      <c r="J25" s="55"/>
      <c r="K25" s="55"/>
      <c r="L25" s="55"/>
      <c r="M25" s="55"/>
      <c r="N25" s="55"/>
      <c r="O25" s="55"/>
      <c r="P25" s="57"/>
      <c r="Q25" s="57"/>
      <c r="R25" s="57"/>
      <c r="S25" s="57"/>
      <c r="T25" s="57"/>
      <c r="U25" s="57"/>
      <c r="V25" s="57"/>
      <c r="W25" s="57"/>
      <c r="X25" s="57"/>
      <c r="Y25" s="57"/>
      <c r="Z25" s="57"/>
      <c r="AA25" s="57"/>
      <c r="AB25" s="57"/>
      <c r="AC25" s="57"/>
      <c r="AD25" s="57"/>
      <c r="AE25" s="57"/>
      <c r="AF25" s="57"/>
      <c r="AG25" s="57"/>
      <c r="AH25" s="57"/>
      <c r="AI25" s="57"/>
      <c r="AJ25" s="57"/>
      <c r="AK25" s="57"/>
      <c r="AL25" s="57"/>
      <c r="AM25" s="57"/>
      <c r="AN25" s="57"/>
      <c r="AO25" s="57"/>
      <c r="AP25" s="57"/>
      <c r="AQ25" s="57"/>
      <c r="AR25" s="57"/>
      <c r="AS25" s="57"/>
      <c r="AT25" s="57"/>
      <c r="AU25" s="57"/>
      <c r="AV25" s="57"/>
      <c r="AW25" s="57"/>
      <c r="AX25" s="57"/>
      <c r="AY25" s="57"/>
      <c r="AZ25" s="57"/>
      <c r="BA25" s="57"/>
      <c r="BB25" s="57"/>
      <c r="BC25" s="57"/>
      <c r="BD25" s="57"/>
      <c r="BE25" s="57"/>
      <c r="BF25" s="57"/>
      <c r="BG25" s="57"/>
      <c r="BH25" s="57"/>
      <c r="BI25" s="57"/>
      <c r="BJ25" s="57"/>
      <c r="BK25" s="57"/>
      <c r="BL25" s="57"/>
      <c r="BM25" s="57"/>
      <c r="BN25" s="57"/>
      <c r="BO25" s="57"/>
      <c r="BP25" s="57"/>
      <c r="BQ25" s="57"/>
      <c r="BR25" s="57"/>
      <c r="BS25" s="57"/>
      <c r="BT25" s="57"/>
      <c r="BU25" s="57"/>
      <c r="BV25" s="57"/>
      <c r="BW25" s="57"/>
      <c r="BX25" s="57"/>
      <c r="BY25" s="57"/>
      <c r="BZ25" s="57"/>
      <c r="CA25" s="57"/>
      <c r="CB25" s="57"/>
      <c r="CC25" s="57"/>
      <c r="CD25" s="57"/>
      <c r="CE25" s="57"/>
      <c r="CF25" s="57"/>
      <c r="CG25" s="57"/>
      <c r="CH25" s="57"/>
      <c r="CI25" s="57"/>
      <c r="CJ25" s="57"/>
      <c r="CK25" s="57"/>
      <c r="CL25" s="57"/>
      <c r="CM25" s="57"/>
      <c r="CN25" s="57"/>
      <c r="CO25" s="57"/>
      <c r="CP25" s="57"/>
      <c r="CQ25" s="57"/>
      <c r="CR25" s="57"/>
      <c r="CS25" s="57"/>
      <c r="CT25" s="57"/>
      <c r="CU25" s="57"/>
      <c r="CV25" s="57"/>
      <c r="CW25" s="57"/>
      <c r="CX25" s="57"/>
      <c r="CY25" s="57"/>
      <c r="CZ25" s="57"/>
      <c r="DA25" s="57"/>
      <c r="DB25" s="57"/>
      <c r="DC25" s="57"/>
      <c r="DD25" s="57"/>
      <c r="DE25" s="57"/>
      <c r="DF25" s="57"/>
      <c r="DG25" s="57"/>
      <c r="DH25" s="57"/>
      <c r="DI25" s="57"/>
      <c r="DJ25" s="57"/>
      <c r="DK25" s="57"/>
      <c r="DL25" s="57"/>
      <c r="DM25" s="57"/>
      <c r="DN25" s="57"/>
      <c r="DO25" s="57"/>
      <c r="DP25" s="57"/>
      <c r="DQ25" s="57"/>
      <c r="DR25" s="57"/>
      <c r="DS25" s="57"/>
      <c r="DT25" s="57"/>
      <c r="DU25" s="57"/>
      <c r="DV25" s="57"/>
      <c r="DW25" s="57"/>
      <c r="DX25" s="57"/>
      <c r="DY25" s="57"/>
      <c r="DZ25" s="57"/>
      <c r="EA25" s="57"/>
      <c r="EB25" s="57"/>
      <c r="EC25" s="57"/>
      <c r="ED25" s="57"/>
      <c r="EE25" s="57"/>
      <c r="EF25" s="57"/>
      <c r="EG25" s="57"/>
      <c r="EH25" s="57"/>
      <c r="EI25" s="57"/>
      <c r="EJ25" s="57"/>
      <c r="EK25" s="57"/>
      <c r="EL25" s="57"/>
      <c r="EM25" s="57"/>
      <c r="EN25" s="57"/>
      <c r="EO25" s="57"/>
      <c r="EP25" s="57"/>
      <c r="EQ25" s="57"/>
      <c r="ER25" s="57"/>
      <c r="ES25" s="57"/>
      <c r="ET25" s="57"/>
      <c r="EU25" s="57"/>
      <c r="EV25" s="57"/>
      <c r="EW25" s="57"/>
      <c r="EX25" s="57"/>
      <c r="EY25" s="57"/>
      <c r="EZ25" s="57"/>
      <c r="FA25" s="57"/>
      <c r="FB25" s="57"/>
      <c r="FC25" s="57"/>
      <c r="FD25" s="57"/>
      <c r="FE25" s="57"/>
      <c r="FF25" s="57"/>
      <c r="FG25" s="57"/>
      <c r="FH25" s="57"/>
      <c r="FI25" s="57"/>
      <c r="FJ25" s="57"/>
    </row>
    <row r="26" ht="15.75" customHeight="1">
      <c r="A26" s="55"/>
      <c r="B26" s="55"/>
      <c r="C26" s="55"/>
      <c r="D26" s="55"/>
      <c r="E26" s="55"/>
      <c r="F26" s="55"/>
      <c r="G26" s="55"/>
      <c r="H26" s="55"/>
      <c r="I26" s="55"/>
      <c r="J26" s="55"/>
      <c r="K26" s="55"/>
      <c r="L26" s="55"/>
      <c r="M26" s="55"/>
      <c r="N26" s="55"/>
      <c r="O26" s="55"/>
      <c r="P26" s="57"/>
      <c r="Q26" s="57"/>
      <c r="R26" s="57"/>
      <c r="S26" s="57"/>
      <c r="T26" s="57"/>
      <c r="U26" s="57"/>
      <c r="V26" s="57"/>
      <c r="W26" s="57"/>
      <c r="X26" s="57"/>
      <c r="Y26" s="57"/>
      <c r="Z26" s="57"/>
      <c r="AA26" s="57"/>
      <c r="AB26" s="57"/>
      <c r="AC26" s="57"/>
      <c r="AD26" s="57"/>
      <c r="AE26" s="57"/>
      <c r="AF26" s="57"/>
      <c r="AG26" s="57"/>
      <c r="AH26" s="57"/>
      <c r="AI26" s="57"/>
      <c r="AJ26" s="57"/>
      <c r="AK26" s="57"/>
      <c r="AL26" s="57"/>
      <c r="AM26" s="57"/>
      <c r="AN26" s="57"/>
      <c r="AO26" s="57"/>
      <c r="AP26" s="57"/>
      <c r="AQ26" s="57"/>
      <c r="AR26" s="57"/>
      <c r="AS26" s="57"/>
      <c r="AT26" s="57"/>
      <c r="AU26" s="57"/>
      <c r="AV26" s="57"/>
      <c r="AW26" s="57"/>
      <c r="AX26" s="57"/>
      <c r="AY26" s="57"/>
      <c r="AZ26" s="57"/>
      <c r="BA26" s="57"/>
      <c r="BB26" s="57"/>
      <c r="BC26" s="57"/>
      <c r="BD26" s="57"/>
      <c r="BE26" s="57"/>
      <c r="BF26" s="57"/>
      <c r="BG26" s="57"/>
      <c r="BH26" s="57"/>
      <c r="BI26" s="57"/>
      <c r="BJ26" s="57"/>
      <c r="BK26" s="57"/>
      <c r="BL26" s="57"/>
      <c r="BM26" s="57"/>
      <c r="BN26" s="57"/>
      <c r="BO26" s="57"/>
      <c r="BP26" s="57"/>
      <c r="BQ26" s="57"/>
      <c r="BR26" s="57"/>
      <c r="BS26" s="57"/>
      <c r="BT26" s="57"/>
      <c r="BU26" s="57"/>
      <c r="BV26" s="57"/>
      <c r="BW26" s="57"/>
      <c r="BX26" s="57"/>
      <c r="BY26" s="57"/>
      <c r="BZ26" s="57"/>
      <c r="CA26" s="57"/>
      <c r="CB26" s="57"/>
      <c r="CC26" s="57"/>
      <c r="CD26" s="57"/>
      <c r="CE26" s="57"/>
      <c r="CF26" s="57"/>
      <c r="CG26" s="57"/>
      <c r="CH26" s="57"/>
      <c r="CI26" s="57"/>
      <c r="CJ26" s="57"/>
      <c r="CK26" s="57"/>
      <c r="CL26" s="57"/>
      <c r="CM26" s="57"/>
      <c r="CN26" s="57"/>
      <c r="CO26" s="57"/>
      <c r="CP26" s="57"/>
      <c r="CQ26" s="57"/>
      <c r="CR26" s="57"/>
      <c r="CS26" s="57"/>
      <c r="CT26" s="57"/>
      <c r="CU26" s="57"/>
      <c r="CV26" s="57"/>
      <c r="CW26" s="57"/>
      <c r="CX26" s="57"/>
      <c r="CY26" s="57"/>
      <c r="CZ26" s="57"/>
      <c r="DA26" s="57"/>
      <c r="DB26" s="57"/>
      <c r="DC26" s="57"/>
      <c r="DD26" s="57"/>
      <c r="DE26" s="57"/>
      <c r="DF26" s="57"/>
      <c r="DG26" s="57"/>
      <c r="DH26" s="57"/>
      <c r="DI26" s="57"/>
      <c r="DJ26" s="57"/>
      <c r="DK26" s="57"/>
      <c r="DL26" s="57"/>
      <c r="DM26" s="57"/>
      <c r="DN26" s="57"/>
      <c r="DO26" s="57"/>
      <c r="DP26" s="57"/>
      <c r="DQ26" s="57"/>
      <c r="DR26" s="57"/>
      <c r="DS26" s="57"/>
      <c r="DT26" s="57"/>
      <c r="DU26" s="57"/>
      <c r="DV26" s="57"/>
      <c r="DW26" s="57"/>
      <c r="DX26" s="57"/>
      <c r="DY26" s="57"/>
      <c r="DZ26" s="57"/>
      <c r="EA26" s="57"/>
      <c r="EB26" s="57"/>
      <c r="EC26" s="57"/>
      <c r="ED26" s="57"/>
      <c r="EE26" s="57"/>
      <c r="EF26" s="57"/>
      <c r="EG26" s="57"/>
      <c r="EH26" s="57"/>
      <c r="EI26" s="57"/>
      <c r="EJ26" s="57"/>
      <c r="EK26" s="57"/>
      <c r="EL26" s="57"/>
      <c r="EM26" s="57"/>
      <c r="EN26" s="57"/>
      <c r="EO26" s="57"/>
      <c r="EP26" s="57"/>
      <c r="EQ26" s="57"/>
      <c r="ER26" s="57"/>
      <c r="ES26" s="57"/>
      <c r="ET26" s="57"/>
      <c r="EU26" s="57"/>
      <c r="EV26" s="57"/>
      <c r="EW26" s="57"/>
      <c r="EX26" s="57"/>
      <c r="EY26" s="57"/>
      <c r="EZ26" s="57"/>
      <c r="FA26" s="57"/>
      <c r="FB26" s="57"/>
      <c r="FC26" s="57"/>
      <c r="FD26" s="57"/>
      <c r="FE26" s="57"/>
      <c r="FF26" s="57"/>
      <c r="FG26" s="57"/>
      <c r="FH26" s="57"/>
      <c r="FI26" s="57"/>
      <c r="FJ26" s="57"/>
    </row>
    <row r="27" ht="15.75" customHeight="1">
      <c r="A27" s="57"/>
      <c r="B27" s="57"/>
      <c r="C27" s="57"/>
      <c r="D27" s="57"/>
      <c r="E27" s="57"/>
      <c r="F27" s="57"/>
      <c r="G27" s="57"/>
      <c r="H27" s="57"/>
      <c r="I27" s="57"/>
      <c r="J27" s="57"/>
      <c r="K27" s="57"/>
      <c r="L27" s="57"/>
      <c r="M27" s="57"/>
      <c r="N27" s="57"/>
      <c r="O27" s="57"/>
      <c r="P27" s="57"/>
      <c r="Q27" s="57"/>
      <c r="R27" s="57"/>
      <c r="S27" s="57"/>
      <c r="T27" s="57"/>
      <c r="U27" s="57"/>
      <c r="V27" s="57"/>
      <c r="W27" s="57"/>
      <c r="X27" s="57"/>
      <c r="Y27" s="57"/>
      <c r="Z27" s="57"/>
      <c r="AA27" s="57"/>
      <c r="AB27" s="57"/>
      <c r="AC27" s="57"/>
      <c r="AD27" s="57"/>
      <c r="AE27" s="57"/>
      <c r="AF27" s="57"/>
      <c r="AG27" s="57"/>
      <c r="AH27" s="57"/>
      <c r="AI27" s="57"/>
      <c r="AJ27" s="57"/>
      <c r="AK27" s="57"/>
      <c r="AL27" s="57"/>
      <c r="AM27" s="57"/>
      <c r="AN27" s="57"/>
      <c r="AO27" s="57"/>
      <c r="AP27" s="57"/>
      <c r="AQ27" s="57"/>
      <c r="AR27" s="57"/>
      <c r="AS27" s="57"/>
      <c r="AT27" s="57"/>
      <c r="AU27" s="57"/>
      <c r="AV27" s="57"/>
      <c r="AW27" s="57"/>
      <c r="AX27" s="57"/>
      <c r="AY27" s="57"/>
      <c r="AZ27" s="57"/>
      <c r="BA27" s="57"/>
      <c r="BB27" s="57"/>
      <c r="BC27" s="57"/>
      <c r="BD27" s="57"/>
      <c r="BE27" s="57"/>
      <c r="BF27" s="57"/>
      <c r="BG27" s="57"/>
      <c r="BH27" s="57"/>
      <c r="BI27" s="57"/>
      <c r="BJ27" s="57"/>
      <c r="BK27" s="57"/>
      <c r="BL27" s="57"/>
      <c r="BM27" s="57"/>
      <c r="BN27" s="57"/>
      <c r="BO27" s="57"/>
      <c r="BP27" s="57"/>
      <c r="BQ27" s="57"/>
      <c r="BR27" s="57"/>
      <c r="BS27" s="57"/>
      <c r="BT27" s="57"/>
      <c r="BU27" s="57"/>
      <c r="BV27" s="57"/>
      <c r="BW27" s="57"/>
      <c r="BX27" s="57"/>
      <c r="BY27" s="57"/>
      <c r="BZ27" s="57"/>
      <c r="CA27" s="57"/>
      <c r="CB27" s="57"/>
      <c r="CC27" s="57"/>
      <c r="CD27" s="57"/>
      <c r="CE27" s="57"/>
      <c r="CF27" s="57"/>
      <c r="CG27" s="57"/>
      <c r="CH27" s="57"/>
      <c r="CI27" s="57"/>
      <c r="CJ27" s="57"/>
      <c r="CK27" s="57"/>
      <c r="CL27" s="57"/>
      <c r="CM27" s="57"/>
      <c r="CN27" s="57"/>
      <c r="CO27" s="57"/>
      <c r="CP27" s="57"/>
      <c r="CQ27" s="57"/>
      <c r="CR27" s="57"/>
      <c r="CS27" s="57"/>
      <c r="CT27" s="57"/>
      <c r="CU27" s="57"/>
      <c r="CV27" s="57"/>
      <c r="CW27" s="57"/>
      <c r="CX27" s="57"/>
      <c r="CY27" s="57"/>
      <c r="CZ27" s="57"/>
      <c r="DA27" s="57"/>
      <c r="DB27" s="57"/>
      <c r="DC27" s="57"/>
      <c r="DD27" s="57"/>
      <c r="DE27" s="57"/>
      <c r="DF27" s="57"/>
      <c r="DG27" s="57"/>
      <c r="DH27" s="57"/>
      <c r="DI27" s="57"/>
      <c r="DJ27" s="57"/>
      <c r="DK27" s="57"/>
      <c r="DL27" s="57"/>
      <c r="DM27" s="57"/>
      <c r="DN27" s="57"/>
      <c r="DO27" s="57"/>
      <c r="DP27" s="57"/>
      <c r="DQ27" s="57"/>
      <c r="DR27" s="57"/>
      <c r="DS27" s="57"/>
      <c r="DT27" s="57"/>
      <c r="DU27" s="57"/>
      <c r="DV27" s="57"/>
      <c r="DW27" s="57"/>
      <c r="DX27" s="57"/>
      <c r="DY27" s="57"/>
      <c r="DZ27" s="57"/>
      <c r="EA27" s="57"/>
      <c r="EB27" s="57"/>
      <c r="EC27" s="57"/>
      <c r="ED27" s="57"/>
      <c r="EE27" s="57"/>
      <c r="EF27" s="57"/>
      <c r="EG27" s="57"/>
      <c r="EH27" s="57"/>
      <c r="EI27" s="57"/>
      <c r="EJ27" s="57"/>
      <c r="EK27" s="57"/>
      <c r="EL27" s="57"/>
      <c r="EM27" s="57"/>
      <c r="EN27" s="57"/>
      <c r="EO27" s="57"/>
      <c r="EP27" s="57"/>
      <c r="EQ27" s="57"/>
      <c r="ER27" s="57"/>
      <c r="ES27" s="57"/>
      <c r="ET27" s="57"/>
      <c r="EU27" s="57"/>
      <c r="EV27" s="57"/>
      <c r="EW27" s="57"/>
      <c r="EX27" s="57"/>
      <c r="EY27" s="57"/>
      <c r="EZ27" s="57"/>
      <c r="FA27" s="57"/>
      <c r="FB27" s="57"/>
      <c r="FC27" s="57"/>
      <c r="FD27" s="57"/>
      <c r="FE27" s="57"/>
      <c r="FF27" s="57"/>
      <c r="FG27" s="57"/>
      <c r="FH27" s="57"/>
      <c r="FI27" s="57"/>
      <c r="FJ27" s="57"/>
    </row>
    <row r="28" ht="15.75" customHeight="1">
      <c r="A28" s="57"/>
      <c r="B28" s="57"/>
      <c r="C28" s="57"/>
      <c r="D28" s="57"/>
      <c r="E28" s="57"/>
      <c r="F28" s="57"/>
      <c r="G28" s="57"/>
      <c r="H28" s="57"/>
      <c r="I28" s="57"/>
      <c r="J28" s="57"/>
      <c r="K28" s="57"/>
      <c r="L28" s="57"/>
      <c r="M28" s="57"/>
      <c r="N28" s="57"/>
      <c r="O28" s="57"/>
      <c r="P28" s="57"/>
      <c r="Q28" s="57"/>
      <c r="R28" s="57"/>
      <c r="S28" s="57"/>
      <c r="T28" s="57"/>
      <c r="U28" s="57"/>
      <c r="V28" s="57"/>
      <c r="W28" s="57"/>
      <c r="X28" s="57"/>
      <c r="Y28" s="57"/>
      <c r="Z28" s="57"/>
      <c r="AA28" s="57"/>
      <c r="AB28" s="57"/>
      <c r="AC28" s="57"/>
      <c r="AD28" s="57"/>
      <c r="AE28" s="57"/>
      <c r="AF28" s="57"/>
      <c r="AG28" s="57"/>
      <c r="AH28" s="57"/>
      <c r="AI28" s="57"/>
      <c r="AJ28" s="57"/>
      <c r="AK28" s="57"/>
      <c r="AL28" s="57"/>
      <c r="AM28" s="57"/>
      <c r="AN28" s="57"/>
      <c r="AO28" s="57"/>
      <c r="AP28" s="57"/>
      <c r="AQ28" s="57"/>
      <c r="AR28" s="57"/>
      <c r="AS28" s="57"/>
      <c r="AT28" s="57"/>
      <c r="AU28" s="57"/>
      <c r="AV28" s="57"/>
      <c r="AW28" s="57"/>
      <c r="AX28" s="57"/>
      <c r="AY28" s="57"/>
      <c r="AZ28" s="57"/>
      <c r="BA28" s="57"/>
      <c r="BB28" s="57"/>
      <c r="BC28" s="57"/>
      <c r="BD28" s="57"/>
      <c r="BE28" s="57"/>
      <c r="BF28" s="57"/>
      <c r="BG28" s="57"/>
      <c r="BH28" s="57"/>
      <c r="BI28" s="57"/>
      <c r="BJ28" s="57"/>
      <c r="BK28" s="57"/>
      <c r="BL28" s="57"/>
      <c r="BM28" s="57"/>
      <c r="BN28" s="57"/>
      <c r="BO28" s="57"/>
      <c r="BP28" s="57"/>
      <c r="BQ28" s="57"/>
      <c r="BR28" s="57"/>
      <c r="BS28" s="57"/>
      <c r="BT28" s="57"/>
      <c r="BU28" s="57"/>
      <c r="BV28" s="57"/>
      <c r="BW28" s="57"/>
      <c r="BX28" s="57"/>
      <c r="BY28" s="57"/>
      <c r="BZ28" s="57"/>
      <c r="CA28" s="57"/>
      <c r="CB28" s="57"/>
      <c r="CC28" s="57"/>
      <c r="CD28" s="57"/>
      <c r="CE28" s="57"/>
      <c r="CF28" s="57"/>
      <c r="CG28" s="57"/>
      <c r="CH28" s="57"/>
      <c r="CI28" s="57"/>
      <c r="CJ28" s="57"/>
      <c r="CK28" s="57"/>
      <c r="CL28" s="57"/>
      <c r="CM28" s="57"/>
      <c r="CN28" s="57"/>
      <c r="CO28" s="57"/>
      <c r="CP28" s="57"/>
      <c r="CQ28" s="57"/>
      <c r="CR28" s="57"/>
      <c r="CS28" s="57"/>
      <c r="CT28" s="57"/>
      <c r="CU28" s="57"/>
      <c r="CV28" s="57"/>
      <c r="CW28" s="57"/>
      <c r="CX28" s="57"/>
      <c r="CY28" s="57"/>
      <c r="CZ28" s="57"/>
      <c r="DA28" s="57"/>
      <c r="DB28" s="57"/>
      <c r="DC28" s="57"/>
      <c r="DD28" s="57"/>
      <c r="DE28" s="57"/>
      <c r="DF28" s="57"/>
      <c r="DG28" s="57"/>
      <c r="DH28" s="57"/>
      <c r="DI28" s="57"/>
      <c r="DJ28" s="57"/>
      <c r="DK28" s="57"/>
      <c r="DL28" s="57"/>
      <c r="DM28" s="57"/>
      <c r="DN28" s="57"/>
      <c r="DO28" s="57"/>
      <c r="DP28" s="57"/>
      <c r="DQ28" s="57"/>
      <c r="DR28" s="57"/>
      <c r="DS28" s="57"/>
      <c r="DT28" s="57"/>
      <c r="DU28" s="57"/>
      <c r="DV28" s="57"/>
      <c r="DW28" s="57"/>
      <c r="DX28" s="57"/>
      <c r="DY28" s="57"/>
      <c r="DZ28" s="57"/>
      <c r="EA28" s="57"/>
      <c r="EB28" s="57"/>
      <c r="EC28" s="57"/>
      <c r="ED28" s="57"/>
      <c r="EE28" s="57"/>
      <c r="EF28" s="57"/>
      <c r="EG28" s="57"/>
      <c r="EH28" s="57"/>
      <c r="EI28" s="57"/>
      <c r="EJ28" s="57"/>
      <c r="EK28" s="57"/>
      <c r="EL28" s="57"/>
      <c r="EM28" s="57"/>
      <c r="EN28" s="57"/>
      <c r="EO28" s="57"/>
      <c r="EP28" s="57"/>
      <c r="EQ28" s="57"/>
      <c r="ER28" s="57"/>
      <c r="ES28" s="57"/>
      <c r="ET28" s="57"/>
      <c r="EU28" s="57"/>
      <c r="EV28" s="57"/>
      <c r="EW28" s="57"/>
      <c r="EX28" s="57"/>
      <c r="EY28" s="57"/>
      <c r="EZ28" s="57"/>
      <c r="FA28" s="57"/>
      <c r="FB28" s="57"/>
      <c r="FC28" s="57"/>
      <c r="FD28" s="57"/>
      <c r="FE28" s="57"/>
      <c r="FF28" s="57"/>
      <c r="FG28" s="57"/>
      <c r="FH28" s="57"/>
      <c r="FI28" s="57"/>
      <c r="FJ28" s="57"/>
    </row>
    <row r="29" ht="15.75" customHeight="1">
      <c r="A29" s="57"/>
      <c r="B29" s="57"/>
      <c r="C29" s="57"/>
      <c r="D29" s="57"/>
      <c r="E29" s="57"/>
      <c r="F29" s="57"/>
      <c r="G29" s="57"/>
      <c r="H29" s="57"/>
      <c r="I29" s="57"/>
      <c r="J29" s="57"/>
      <c r="K29" s="57"/>
      <c r="L29" s="57"/>
      <c r="M29" s="57"/>
      <c r="N29" s="57"/>
      <c r="O29" s="57"/>
      <c r="P29" s="57"/>
      <c r="Q29" s="57"/>
      <c r="R29" s="57"/>
      <c r="S29" s="57"/>
      <c r="T29" s="57"/>
      <c r="U29" s="57"/>
      <c r="V29" s="57"/>
      <c r="W29" s="57"/>
      <c r="X29" s="57"/>
      <c r="Y29" s="57"/>
      <c r="Z29" s="57"/>
      <c r="AA29" s="57"/>
      <c r="AB29" s="57"/>
      <c r="AC29" s="57"/>
      <c r="AD29" s="57"/>
      <c r="AE29" s="57"/>
      <c r="AF29" s="57"/>
      <c r="AG29" s="57"/>
      <c r="AH29" s="57"/>
      <c r="AI29" s="57"/>
      <c r="AJ29" s="57"/>
      <c r="AK29" s="57"/>
      <c r="AL29" s="57"/>
      <c r="AM29" s="57"/>
      <c r="AN29" s="57"/>
      <c r="AO29" s="57"/>
      <c r="AP29" s="57"/>
      <c r="AQ29" s="57"/>
      <c r="AR29" s="57"/>
      <c r="AS29" s="57"/>
      <c r="AT29" s="57"/>
      <c r="AU29" s="57"/>
      <c r="AV29" s="57"/>
      <c r="AW29" s="57"/>
      <c r="AX29" s="57"/>
      <c r="AY29" s="57"/>
      <c r="AZ29" s="57"/>
      <c r="BA29" s="57"/>
      <c r="BB29" s="57"/>
      <c r="BC29" s="57"/>
      <c r="BD29" s="57"/>
      <c r="BE29" s="57"/>
      <c r="BF29" s="57"/>
      <c r="BG29" s="57"/>
      <c r="BH29" s="57"/>
      <c r="BI29" s="57"/>
      <c r="BJ29" s="57"/>
      <c r="BK29" s="57"/>
      <c r="BL29" s="57"/>
      <c r="BM29" s="57"/>
      <c r="BN29" s="57"/>
      <c r="BO29" s="57"/>
      <c r="BP29" s="57"/>
      <c r="BQ29" s="57"/>
      <c r="BR29" s="57"/>
      <c r="BS29" s="57"/>
      <c r="BT29" s="57"/>
      <c r="BU29" s="57"/>
      <c r="BV29" s="57"/>
      <c r="BW29" s="57"/>
      <c r="BX29" s="57"/>
      <c r="BY29" s="57"/>
      <c r="BZ29" s="57"/>
      <c r="CA29" s="57"/>
      <c r="CB29" s="57"/>
      <c r="CC29" s="57"/>
      <c r="CD29" s="57"/>
      <c r="CE29" s="57"/>
      <c r="CF29" s="57"/>
      <c r="CG29" s="57"/>
      <c r="CH29" s="57"/>
      <c r="CI29" s="57"/>
      <c r="CJ29" s="57"/>
      <c r="CK29" s="57"/>
      <c r="CL29" s="57"/>
      <c r="CM29" s="57"/>
      <c r="CN29" s="57"/>
      <c r="CO29" s="57"/>
      <c r="CP29" s="57"/>
      <c r="CQ29" s="57"/>
      <c r="CR29" s="57"/>
      <c r="CS29" s="57"/>
      <c r="CT29" s="57"/>
      <c r="CU29" s="57"/>
      <c r="CV29" s="57"/>
      <c r="CW29" s="57"/>
      <c r="CX29" s="57"/>
      <c r="CY29" s="57"/>
      <c r="CZ29" s="57"/>
      <c r="DA29" s="57"/>
      <c r="DB29" s="57"/>
      <c r="DC29" s="57"/>
      <c r="DD29" s="57"/>
      <c r="DE29" s="57"/>
      <c r="DF29" s="57"/>
      <c r="DG29" s="57"/>
      <c r="DH29" s="57"/>
      <c r="DI29" s="57"/>
      <c r="DJ29" s="57"/>
      <c r="DK29" s="57"/>
      <c r="DL29" s="57"/>
      <c r="DM29" s="57"/>
      <c r="DN29" s="57"/>
      <c r="DO29" s="57"/>
      <c r="DP29" s="57"/>
      <c r="DQ29" s="57"/>
      <c r="DR29" s="57"/>
      <c r="DS29" s="57"/>
      <c r="DT29" s="57"/>
      <c r="DU29" s="57"/>
      <c r="DV29" s="57"/>
      <c r="DW29" s="57"/>
      <c r="DX29" s="57"/>
      <c r="DY29" s="57"/>
      <c r="DZ29" s="57"/>
      <c r="EA29" s="57"/>
      <c r="EB29" s="57"/>
      <c r="EC29" s="57"/>
      <c r="ED29" s="57"/>
      <c r="EE29" s="57"/>
      <c r="EF29" s="57"/>
      <c r="EG29" s="57"/>
      <c r="EH29" s="57"/>
      <c r="EI29" s="57"/>
      <c r="EJ29" s="57"/>
      <c r="EK29" s="57"/>
      <c r="EL29" s="57"/>
      <c r="EM29" s="57"/>
      <c r="EN29" s="57"/>
      <c r="EO29" s="57"/>
      <c r="EP29" s="57"/>
      <c r="EQ29" s="57"/>
      <c r="ER29" s="57"/>
      <c r="ES29" s="57"/>
      <c r="ET29" s="57"/>
      <c r="EU29" s="57"/>
      <c r="EV29" s="57"/>
      <c r="EW29" s="57"/>
      <c r="EX29" s="57"/>
      <c r="EY29" s="57"/>
      <c r="EZ29" s="57"/>
      <c r="FA29" s="57"/>
      <c r="FB29" s="57"/>
      <c r="FC29" s="57"/>
      <c r="FD29" s="57"/>
      <c r="FE29" s="57"/>
      <c r="FF29" s="57"/>
      <c r="FG29" s="57"/>
      <c r="FH29" s="57"/>
      <c r="FI29" s="57"/>
      <c r="FJ29" s="57"/>
    </row>
    <row r="30" ht="15.75" customHeight="1">
      <c r="A30" s="57"/>
      <c r="B30" s="57"/>
      <c r="C30" s="57"/>
      <c r="D30" s="57"/>
      <c r="E30" s="57"/>
      <c r="F30" s="57"/>
      <c r="G30" s="57"/>
      <c r="H30" s="57"/>
      <c r="I30" s="57"/>
      <c r="J30" s="57"/>
      <c r="K30" s="57"/>
      <c r="L30" s="57"/>
      <c r="M30" s="57"/>
      <c r="N30" s="57"/>
      <c r="O30" s="57"/>
      <c r="P30" s="57"/>
      <c r="Q30" s="57"/>
      <c r="R30" s="57"/>
      <c r="S30" s="57"/>
      <c r="T30" s="57"/>
      <c r="U30" s="57"/>
      <c r="V30" s="57"/>
      <c r="W30" s="57"/>
      <c r="X30" s="57"/>
      <c r="Y30" s="57"/>
      <c r="Z30" s="57"/>
      <c r="AA30" s="57"/>
      <c r="AB30" s="57"/>
      <c r="AC30" s="57"/>
      <c r="AD30" s="57"/>
      <c r="AE30" s="57"/>
      <c r="AF30" s="57"/>
      <c r="AG30" s="57"/>
      <c r="AH30" s="57"/>
      <c r="AI30" s="57"/>
      <c r="AJ30" s="57"/>
      <c r="AK30" s="57"/>
      <c r="AL30" s="57"/>
      <c r="AM30" s="57"/>
      <c r="AN30" s="57"/>
      <c r="AO30" s="57"/>
      <c r="AP30" s="57"/>
      <c r="AQ30" s="57"/>
      <c r="AR30" s="57"/>
      <c r="AS30" s="57"/>
      <c r="AT30" s="57"/>
      <c r="AU30" s="57"/>
      <c r="AV30" s="57"/>
      <c r="AW30" s="57"/>
      <c r="AX30" s="57"/>
      <c r="AY30" s="57"/>
      <c r="AZ30" s="57"/>
      <c r="BA30" s="57"/>
      <c r="BB30" s="57"/>
      <c r="BC30" s="57"/>
      <c r="BD30" s="57"/>
      <c r="BE30" s="57"/>
      <c r="BF30" s="57"/>
      <c r="BG30" s="57"/>
      <c r="BH30" s="57"/>
      <c r="BI30" s="57"/>
      <c r="BJ30" s="57"/>
      <c r="BK30" s="57"/>
      <c r="BL30" s="57"/>
      <c r="BM30" s="57"/>
      <c r="BN30" s="57"/>
      <c r="BO30" s="57"/>
      <c r="BP30" s="57"/>
      <c r="BQ30" s="57"/>
      <c r="BR30" s="57"/>
      <c r="BS30" s="57"/>
      <c r="BT30" s="57"/>
      <c r="BU30" s="57"/>
      <c r="BV30" s="57"/>
      <c r="BW30" s="57"/>
      <c r="BX30" s="57"/>
      <c r="BY30" s="57"/>
      <c r="BZ30" s="57"/>
      <c r="CA30" s="57"/>
      <c r="CB30" s="57"/>
      <c r="CC30" s="57"/>
      <c r="CD30" s="57"/>
      <c r="CE30" s="57"/>
      <c r="CF30" s="57"/>
      <c r="CG30" s="57"/>
      <c r="CH30" s="57"/>
      <c r="CI30" s="57"/>
      <c r="CJ30" s="57"/>
      <c r="CK30" s="57"/>
      <c r="CL30" s="57"/>
      <c r="CM30" s="57"/>
      <c r="CN30" s="57"/>
      <c r="CO30" s="57"/>
      <c r="CP30" s="57"/>
      <c r="CQ30" s="57"/>
      <c r="CR30" s="57"/>
      <c r="CS30" s="57"/>
      <c r="CT30" s="57"/>
      <c r="CU30" s="57"/>
      <c r="CV30" s="57"/>
      <c r="CW30" s="57"/>
      <c r="CX30" s="57"/>
      <c r="CY30" s="57"/>
      <c r="CZ30" s="57"/>
      <c r="DA30" s="57"/>
      <c r="DB30" s="57"/>
      <c r="DC30" s="57"/>
      <c r="DD30" s="57"/>
      <c r="DE30" s="57"/>
      <c r="DF30" s="57"/>
      <c r="DG30" s="57"/>
      <c r="DH30" s="57"/>
      <c r="DI30" s="57"/>
      <c r="DJ30" s="57"/>
      <c r="DK30" s="57"/>
      <c r="DL30" s="57"/>
      <c r="DM30" s="57"/>
      <c r="DN30" s="57"/>
      <c r="DO30" s="57"/>
      <c r="DP30" s="57"/>
      <c r="DQ30" s="57"/>
      <c r="DR30" s="57"/>
      <c r="DS30" s="57"/>
      <c r="DT30" s="57"/>
      <c r="DU30" s="57"/>
      <c r="DV30" s="57"/>
      <c r="DW30" s="57"/>
      <c r="DX30" s="57"/>
      <c r="DY30" s="57"/>
      <c r="DZ30" s="57"/>
      <c r="EA30" s="57"/>
      <c r="EB30" s="57"/>
      <c r="EC30" s="57"/>
      <c r="ED30" s="57"/>
      <c r="EE30" s="57"/>
      <c r="EF30" s="57"/>
      <c r="EG30" s="57"/>
      <c r="EH30" s="57"/>
      <c r="EI30" s="57"/>
      <c r="EJ30" s="57"/>
      <c r="EK30" s="57"/>
      <c r="EL30" s="57"/>
      <c r="EM30" s="57"/>
      <c r="EN30" s="57"/>
      <c r="EO30" s="57"/>
      <c r="EP30" s="57"/>
      <c r="EQ30" s="57"/>
      <c r="ER30" s="57"/>
      <c r="ES30" s="57"/>
      <c r="ET30" s="57"/>
      <c r="EU30" s="57"/>
      <c r="EV30" s="57"/>
      <c r="EW30" s="57"/>
      <c r="EX30" s="57"/>
      <c r="EY30" s="57"/>
      <c r="EZ30" s="57"/>
      <c r="FA30" s="57"/>
      <c r="FB30" s="57"/>
      <c r="FC30" s="57"/>
      <c r="FD30" s="57"/>
      <c r="FE30" s="57"/>
      <c r="FF30" s="57"/>
      <c r="FG30" s="57"/>
      <c r="FH30" s="57"/>
      <c r="FI30" s="57"/>
      <c r="FJ30" s="57"/>
    </row>
    <row r="31" ht="15.75" customHeight="1">
      <c r="A31" s="57"/>
      <c r="B31" s="57"/>
      <c r="C31" s="57"/>
      <c r="D31" s="57"/>
      <c r="E31" s="57"/>
      <c r="F31" s="57"/>
      <c r="G31" s="57"/>
      <c r="H31" s="57"/>
      <c r="I31" s="57"/>
      <c r="J31" s="57"/>
      <c r="K31" s="57"/>
      <c r="L31" s="57"/>
      <c r="M31" s="57"/>
      <c r="N31" s="57"/>
      <c r="O31" s="57"/>
      <c r="P31" s="57"/>
      <c r="Q31" s="57"/>
      <c r="R31" s="57"/>
      <c r="S31" s="57"/>
      <c r="T31" s="57"/>
      <c r="U31" s="57"/>
      <c r="V31" s="57"/>
      <c r="W31" s="57"/>
      <c r="X31" s="57"/>
      <c r="Y31" s="57"/>
      <c r="Z31" s="57"/>
      <c r="AA31" s="57"/>
      <c r="AB31" s="57"/>
      <c r="AC31" s="57"/>
      <c r="AD31" s="57"/>
      <c r="AE31" s="57"/>
      <c r="AF31" s="57"/>
      <c r="AG31" s="57"/>
      <c r="AH31" s="57"/>
      <c r="AI31" s="57"/>
      <c r="AJ31" s="57"/>
      <c r="AK31" s="57"/>
      <c r="AL31" s="57"/>
      <c r="AM31" s="57"/>
      <c r="AN31" s="57"/>
      <c r="AO31" s="57"/>
      <c r="AP31" s="57"/>
      <c r="AQ31" s="57"/>
      <c r="AR31" s="57"/>
      <c r="AS31" s="57"/>
      <c r="AT31" s="57"/>
      <c r="AU31" s="57"/>
      <c r="AV31" s="57"/>
      <c r="AW31" s="57"/>
      <c r="AX31" s="57"/>
      <c r="AY31" s="57"/>
      <c r="AZ31" s="57"/>
      <c r="BA31" s="57"/>
      <c r="BB31" s="57"/>
      <c r="BC31" s="57"/>
      <c r="BD31" s="57"/>
      <c r="BE31" s="57"/>
      <c r="BF31" s="57"/>
      <c r="BG31" s="57"/>
      <c r="BH31" s="57"/>
      <c r="BI31" s="57"/>
      <c r="BJ31" s="57"/>
      <c r="BK31" s="57"/>
      <c r="BL31" s="57"/>
      <c r="BM31" s="57"/>
      <c r="BN31" s="57"/>
      <c r="BO31" s="57"/>
      <c r="BP31" s="57"/>
      <c r="BQ31" s="57"/>
      <c r="BR31" s="57"/>
      <c r="BS31" s="57"/>
      <c r="BT31" s="57"/>
      <c r="BU31" s="57"/>
      <c r="BV31" s="57"/>
      <c r="BW31" s="57"/>
      <c r="BX31" s="57"/>
      <c r="BY31" s="57"/>
      <c r="BZ31" s="57"/>
      <c r="CA31" s="57"/>
      <c r="CB31" s="57"/>
      <c r="CC31" s="57"/>
      <c r="CD31" s="57"/>
      <c r="CE31" s="57"/>
      <c r="CF31" s="57"/>
      <c r="CG31" s="57"/>
      <c r="CH31" s="57"/>
      <c r="CI31" s="57"/>
      <c r="CJ31" s="57"/>
      <c r="CK31" s="57"/>
      <c r="CL31" s="57"/>
      <c r="CM31" s="57"/>
      <c r="CN31" s="57"/>
      <c r="CO31" s="57"/>
      <c r="CP31" s="57"/>
      <c r="CQ31" s="57"/>
      <c r="CR31" s="57"/>
      <c r="CS31" s="57"/>
      <c r="CT31" s="57"/>
      <c r="CU31" s="57"/>
      <c r="CV31" s="57"/>
      <c r="CW31" s="57"/>
      <c r="CX31" s="57"/>
      <c r="CY31" s="57"/>
      <c r="CZ31" s="57"/>
      <c r="DA31" s="57"/>
      <c r="DB31" s="57"/>
      <c r="DC31" s="57"/>
      <c r="DD31" s="57"/>
      <c r="DE31" s="57"/>
      <c r="DF31" s="57"/>
      <c r="DG31" s="57"/>
      <c r="DH31" s="57"/>
      <c r="DI31" s="57"/>
      <c r="DJ31" s="57"/>
      <c r="DK31" s="57"/>
      <c r="DL31" s="57"/>
      <c r="DM31" s="57"/>
      <c r="DN31" s="57"/>
      <c r="DO31" s="57"/>
      <c r="DP31" s="57"/>
      <c r="DQ31" s="57"/>
      <c r="DR31" s="57"/>
      <c r="DS31" s="57"/>
      <c r="DT31" s="57"/>
      <c r="DU31" s="57"/>
      <c r="DV31" s="57"/>
      <c r="DW31" s="57"/>
      <c r="DX31" s="57"/>
      <c r="DY31" s="57"/>
      <c r="DZ31" s="57"/>
      <c r="EA31" s="57"/>
      <c r="EB31" s="57"/>
      <c r="EC31" s="57"/>
      <c r="ED31" s="57"/>
      <c r="EE31" s="57"/>
      <c r="EF31" s="57"/>
      <c r="EG31" s="57"/>
      <c r="EH31" s="57"/>
      <c r="EI31" s="57"/>
      <c r="EJ31" s="57"/>
      <c r="EK31" s="57"/>
      <c r="EL31" s="57"/>
      <c r="EM31" s="57"/>
      <c r="EN31" s="57"/>
      <c r="EO31" s="57"/>
      <c r="EP31" s="57"/>
      <c r="EQ31" s="57"/>
      <c r="ER31" s="57"/>
      <c r="ES31" s="57"/>
      <c r="ET31" s="57"/>
      <c r="EU31" s="57"/>
      <c r="EV31" s="57"/>
      <c r="EW31" s="57"/>
      <c r="EX31" s="57"/>
      <c r="EY31" s="57"/>
      <c r="EZ31" s="57"/>
      <c r="FA31" s="57"/>
      <c r="FB31" s="57"/>
      <c r="FC31" s="57"/>
      <c r="FD31" s="57"/>
      <c r="FE31" s="57"/>
      <c r="FF31" s="57"/>
      <c r="FG31" s="57"/>
      <c r="FH31" s="57"/>
      <c r="FI31" s="57"/>
      <c r="FJ31" s="57"/>
    </row>
    <row r="32" ht="15.75" customHeight="1">
      <c r="A32" s="57"/>
      <c r="B32" s="57"/>
      <c r="C32" s="57"/>
      <c r="D32" s="57"/>
      <c r="E32" s="57"/>
      <c r="F32" s="57"/>
      <c r="G32" s="57"/>
      <c r="H32" s="57"/>
      <c r="I32" s="57"/>
      <c r="J32" s="57"/>
      <c r="K32" s="57"/>
      <c r="L32" s="57"/>
      <c r="M32" s="57"/>
      <c r="N32" s="57"/>
      <c r="O32" s="57"/>
      <c r="P32" s="57"/>
      <c r="Q32" s="57"/>
      <c r="R32" s="57"/>
      <c r="S32" s="57"/>
      <c r="T32" s="57"/>
      <c r="U32" s="57"/>
      <c r="V32" s="57"/>
      <c r="W32" s="57"/>
      <c r="X32" s="57"/>
      <c r="Y32" s="57"/>
      <c r="Z32" s="57"/>
      <c r="AA32" s="57"/>
      <c r="AB32" s="57"/>
      <c r="AC32" s="57"/>
      <c r="AD32" s="57"/>
      <c r="AE32" s="57"/>
      <c r="AF32" s="57"/>
      <c r="AG32" s="57"/>
      <c r="AH32" s="57"/>
      <c r="AI32" s="57"/>
      <c r="AJ32" s="57"/>
      <c r="AK32" s="57"/>
      <c r="AL32" s="57"/>
      <c r="AM32" s="57"/>
      <c r="AN32" s="57"/>
      <c r="AO32" s="57"/>
      <c r="AP32" s="57"/>
      <c r="AQ32" s="57"/>
      <c r="AR32" s="57"/>
      <c r="AS32" s="57"/>
      <c r="AT32" s="57"/>
      <c r="AU32" s="57"/>
      <c r="AV32" s="57"/>
      <c r="AW32" s="57"/>
      <c r="AX32" s="57"/>
      <c r="AY32" s="57"/>
      <c r="AZ32" s="57"/>
      <c r="BA32" s="57"/>
      <c r="BB32" s="57"/>
      <c r="BC32" s="57"/>
      <c r="BD32" s="57"/>
      <c r="BE32" s="57"/>
      <c r="BF32" s="57"/>
      <c r="BG32" s="57"/>
      <c r="BH32" s="57"/>
      <c r="BI32" s="57"/>
      <c r="BJ32" s="57"/>
      <c r="BK32" s="57"/>
      <c r="BL32" s="57"/>
      <c r="BM32" s="57"/>
      <c r="BN32" s="57"/>
      <c r="BO32" s="57"/>
      <c r="BP32" s="57"/>
      <c r="BQ32" s="57"/>
      <c r="BR32" s="57"/>
      <c r="BS32" s="57"/>
      <c r="BT32" s="57"/>
      <c r="BU32" s="57"/>
      <c r="BV32" s="57"/>
      <c r="BW32" s="57"/>
      <c r="BX32" s="57"/>
      <c r="BY32" s="57"/>
      <c r="BZ32" s="57"/>
      <c r="CA32" s="57"/>
      <c r="CB32" s="57"/>
      <c r="CC32" s="57"/>
      <c r="CD32" s="57"/>
      <c r="CE32" s="57"/>
      <c r="CF32" s="57"/>
      <c r="CG32" s="57"/>
      <c r="CH32" s="57"/>
      <c r="CI32" s="57"/>
      <c r="CJ32" s="57"/>
      <c r="CK32" s="57"/>
      <c r="CL32" s="57"/>
      <c r="CM32" s="57"/>
      <c r="CN32" s="57"/>
      <c r="CO32" s="57"/>
      <c r="CP32" s="57"/>
      <c r="CQ32" s="57"/>
      <c r="CR32" s="57"/>
      <c r="CS32" s="57"/>
      <c r="CT32" s="57"/>
      <c r="CU32" s="57"/>
      <c r="CV32" s="57"/>
      <c r="CW32" s="57"/>
      <c r="CX32" s="57"/>
      <c r="CY32" s="57"/>
      <c r="CZ32" s="57"/>
      <c r="DA32" s="57"/>
      <c r="DB32" s="57"/>
      <c r="DC32" s="57"/>
      <c r="DD32" s="57"/>
      <c r="DE32" s="57"/>
      <c r="DF32" s="57"/>
      <c r="DG32" s="57"/>
      <c r="DH32" s="57"/>
      <c r="DI32" s="57"/>
      <c r="DJ32" s="57"/>
      <c r="DK32" s="57"/>
      <c r="DL32" s="57"/>
      <c r="DM32" s="57"/>
      <c r="DN32" s="57"/>
      <c r="DO32" s="57"/>
      <c r="DP32" s="57"/>
      <c r="DQ32" s="57"/>
      <c r="DR32" s="57"/>
      <c r="DS32" s="57"/>
      <c r="DT32" s="57"/>
      <c r="DU32" s="57"/>
      <c r="DV32" s="57"/>
      <c r="DW32" s="57"/>
      <c r="DX32" s="57"/>
      <c r="DY32" s="57"/>
      <c r="DZ32" s="57"/>
      <c r="EA32" s="57"/>
      <c r="EB32" s="57"/>
      <c r="EC32" s="57"/>
      <c r="ED32" s="57"/>
      <c r="EE32" s="57"/>
      <c r="EF32" s="57"/>
      <c r="EG32" s="57"/>
      <c r="EH32" s="57"/>
      <c r="EI32" s="57"/>
      <c r="EJ32" s="57"/>
      <c r="EK32" s="57"/>
      <c r="EL32" s="57"/>
      <c r="EM32" s="57"/>
      <c r="EN32" s="57"/>
      <c r="EO32" s="57"/>
      <c r="EP32" s="57"/>
      <c r="EQ32" s="57"/>
      <c r="ER32" s="57"/>
      <c r="ES32" s="57"/>
      <c r="ET32" s="57"/>
      <c r="EU32" s="57"/>
      <c r="EV32" s="57"/>
      <c r="EW32" s="57"/>
      <c r="EX32" s="57"/>
      <c r="EY32" s="57"/>
      <c r="EZ32" s="57"/>
      <c r="FA32" s="57"/>
      <c r="FB32" s="57"/>
      <c r="FC32" s="57"/>
      <c r="FD32" s="57"/>
      <c r="FE32" s="57"/>
      <c r="FF32" s="57"/>
      <c r="FG32" s="57"/>
      <c r="FH32" s="57"/>
      <c r="FI32" s="57"/>
      <c r="FJ32" s="57"/>
    </row>
    <row r="33" ht="15.75" customHeight="1">
      <c r="A33" s="57"/>
      <c r="B33" s="57"/>
      <c r="C33" s="57"/>
      <c r="D33" s="57"/>
      <c r="E33" s="57"/>
      <c r="F33" s="57"/>
      <c r="G33" s="57"/>
      <c r="H33" s="57"/>
      <c r="I33" s="57"/>
      <c r="J33" s="57"/>
      <c r="K33" s="57"/>
      <c r="L33" s="57"/>
      <c r="M33" s="57"/>
      <c r="N33" s="57"/>
      <c r="O33" s="57"/>
      <c r="P33" s="57"/>
      <c r="Q33" s="57"/>
      <c r="R33" s="57"/>
      <c r="S33" s="57"/>
      <c r="T33" s="57"/>
      <c r="U33" s="57"/>
      <c r="V33" s="57"/>
      <c r="W33" s="57"/>
      <c r="X33" s="57"/>
      <c r="Y33" s="57"/>
      <c r="Z33" s="57"/>
      <c r="AA33" s="57"/>
      <c r="AB33" s="57"/>
      <c r="AC33" s="57"/>
      <c r="AD33" s="57"/>
      <c r="AE33" s="57"/>
      <c r="AF33" s="57"/>
      <c r="AG33" s="57"/>
      <c r="AH33" s="57"/>
      <c r="AI33" s="57"/>
      <c r="AJ33" s="57"/>
      <c r="AK33" s="57"/>
      <c r="AL33" s="57"/>
      <c r="AM33" s="57"/>
      <c r="AN33" s="57"/>
      <c r="AO33" s="57"/>
      <c r="AP33" s="57"/>
      <c r="AQ33" s="57"/>
      <c r="AR33" s="57"/>
      <c r="AS33" s="57"/>
      <c r="AT33" s="57"/>
      <c r="AU33" s="57"/>
      <c r="AV33" s="57"/>
      <c r="AW33" s="57"/>
      <c r="AX33" s="57"/>
      <c r="AY33" s="57"/>
      <c r="AZ33" s="57"/>
      <c r="BA33" s="57"/>
      <c r="BB33" s="57"/>
      <c r="BC33" s="57"/>
      <c r="BD33" s="57"/>
      <c r="BE33" s="57"/>
      <c r="BF33" s="57"/>
      <c r="BG33" s="57"/>
      <c r="BH33" s="57"/>
      <c r="BI33" s="57"/>
      <c r="BJ33" s="57"/>
      <c r="BK33" s="57"/>
      <c r="BL33" s="57"/>
      <c r="BM33" s="57"/>
      <c r="BN33" s="57"/>
      <c r="BO33" s="57"/>
      <c r="BP33" s="57"/>
      <c r="BQ33" s="57"/>
      <c r="BR33" s="57"/>
      <c r="BS33" s="57"/>
      <c r="BT33" s="57"/>
      <c r="BU33" s="57"/>
      <c r="BV33" s="57"/>
      <c r="BW33" s="57"/>
      <c r="BX33" s="57"/>
      <c r="BY33" s="57"/>
      <c r="BZ33" s="57"/>
      <c r="CA33" s="57"/>
      <c r="CB33" s="57"/>
      <c r="CC33" s="57"/>
      <c r="CD33" s="57"/>
      <c r="CE33" s="57"/>
      <c r="CF33" s="57"/>
      <c r="CG33" s="57"/>
      <c r="CH33" s="57"/>
      <c r="CI33" s="57"/>
      <c r="CJ33" s="57"/>
      <c r="CK33" s="57"/>
      <c r="CL33" s="57"/>
      <c r="CM33" s="57"/>
      <c r="CN33" s="57"/>
      <c r="CO33" s="57"/>
      <c r="CP33" s="57"/>
      <c r="CQ33" s="57"/>
      <c r="CR33" s="57"/>
      <c r="CS33" s="57"/>
      <c r="CT33" s="57"/>
      <c r="CU33" s="57"/>
      <c r="CV33" s="57"/>
      <c r="CW33" s="57"/>
      <c r="CX33" s="57"/>
      <c r="CY33" s="57"/>
      <c r="CZ33" s="57"/>
      <c r="DA33" s="57"/>
      <c r="DB33" s="57"/>
      <c r="DC33" s="57"/>
      <c r="DD33" s="57"/>
      <c r="DE33" s="57"/>
      <c r="DF33" s="57"/>
      <c r="DG33" s="57"/>
      <c r="DH33" s="57"/>
      <c r="DI33" s="57"/>
      <c r="DJ33" s="57"/>
      <c r="DK33" s="57"/>
      <c r="DL33" s="57"/>
      <c r="DM33" s="57"/>
      <c r="DN33" s="57"/>
      <c r="DO33" s="57"/>
      <c r="DP33" s="57"/>
      <c r="DQ33" s="57"/>
      <c r="DR33" s="57"/>
      <c r="DS33" s="57"/>
      <c r="DT33" s="57"/>
      <c r="DU33" s="57"/>
      <c r="DV33" s="57"/>
      <c r="DW33" s="57"/>
      <c r="DX33" s="57"/>
      <c r="DY33" s="57"/>
      <c r="DZ33" s="57"/>
      <c r="EA33" s="57"/>
      <c r="EB33" s="57"/>
      <c r="EC33" s="57"/>
      <c r="ED33" s="57"/>
      <c r="EE33" s="57"/>
      <c r="EF33" s="57"/>
      <c r="EG33" s="57"/>
      <c r="EH33" s="57"/>
      <c r="EI33" s="57"/>
      <c r="EJ33" s="57"/>
      <c r="EK33" s="57"/>
      <c r="EL33" s="57"/>
      <c r="EM33" s="57"/>
      <c r="EN33" s="57"/>
      <c r="EO33" s="57"/>
      <c r="EP33" s="57"/>
      <c r="EQ33" s="57"/>
      <c r="ER33" s="57"/>
      <c r="ES33" s="57"/>
      <c r="ET33" s="57"/>
      <c r="EU33" s="57"/>
      <c r="EV33" s="57"/>
      <c r="EW33" s="57"/>
      <c r="EX33" s="57"/>
      <c r="EY33" s="57"/>
      <c r="EZ33" s="57"/>
      <c r="FA33" s="57"/>
      <c r="FB33" s="57"/>
      <c r="FC33" s="57"/>
      <c r="FD33" s="57"/>
      <c r="FE33" s="57"/>
      <c r="FF33" s="57"/>
      <c r="FG33" s="57"/>
      <c r="FH33" s="57"/>
      <c r="FI33" s="57"/>
      <c r="FJ33" s="57"/>
    </row>
    <row r="34" ht="15.75" customHeight="1">
      <c r="A34" s="57"/>
      <c r="B34" s="57"/>
      <c r="C34" s="57"/>
      <c r="D34" s="57"/>
      <c r="E34" s="57"/>
      <c r="F34" s="57"/>
      <c r="G34" s="57"/>
      <c r="H34" s="57"/>
      <c r="I34" s="57"/>
      <c r="J34" s="57"/>
      <c r="K34" s="57"/>
      <c r="L34" s="57"/>
      <c r="M34" s="57"/>
      <c r="N34" s="57"/>
      <c r="O34" s="57"/>
      <c r="P34" s="57"/>
      <c r="Q34" s="57"/>
      <c r="R34" s="57"/>
      <c r="S34" s="57"/>
      <c r="T34" s="57"/>
      <c r="U34" s="57"/>
      <c r="V34" s="57"/>
      <c r="W34" s="57"/>
      <c r="X34" s="57"/>
      <c r="Y34" s="57"/>
      <c r="Z34" s="57"/>
      <c r="AA34" s="57"/>
      <c r="AB34" s="57"/>
      <c r="AC34" s="57"/>
      <c r="AD34" s="57"/>
      <c r="AE34" s="57"/>
      <c r="AF34" s="57"/>
      <c r="AG34" s="57"/>
      <c r="AH34" s="57"/>
      <c r="AI34" s="57"/>
      <c r="AJ34" s="57"/>
      <c r="AK34" s="57"/>
      <c r="AL34" s="57"/>
      <c r="AM34" s="57"/>
      <c r="AN34" s="57"/>
      <c r="AO34" s="57"/>
      <c r="AP34" s="57"/>
      <c r="AQ34" s="57"/>
      <c r="AR34" s="57"/>
      <c r="AS34" s="57"/>
      <c r="AT34" s="57"/>
      <c r="AU34" s="57"/>
      <c r="AV34" s="57"/>
      <c r="AW34" s="57"/>
      <c r="AX34" s="57"/>
      <c r="AY34" s="57"/>
      <c r="AZ34" s="57"/>
      <c r="BA34" s="57"/>
      <c r="BB34" s="57"/>
      <c r="BC34" s="57"/>
      <c r="BD34" s="57"/>
      <c r="BE34" s="57"/>
      <c r="BF34" s="57"/>
      <c r="BG34" s="57"/>
      <c r="BH34" s="57"/>
      <c r="BI34" s="57"/>
      <c r="BJ34" s="57"/>
      <c r="BK34" s="57"/>
      <c r="BL34" s="57"/>
      <c r="BM34" s="57"/>
      <c r="BN34" s="57"/>
      <c r="BO34" s="57"/>
      <c r="BP34" s="57"/>
      <c r="BQ34" s="57"/>
      <c r="BR34" s="57"/>
      <c r="BS34" s="57"/>
      <c r="BT34" s="57"/>
      <c r="BU34" s="57"/>
      <c r="BV34" s="57"/>
      <c r="BW34" s="57"/>
      <c r="BX34" s="57"/>
      <c r="BY34" s="57"/>
      <c r="BZ34" s="57"/>
      <c r="CA34" s="57"/>
      <c r="CB34" s="57"/>
      <c r="CC34" s="57"/>
      <c r="CD34" s="57"/>
      <c r="CE34" s="57"/>
      <c r="CF34" s="57"/>
      <c r="CG34" s="57"/>
      <c r="CH34" s="57"/>
      <c r="CI34" s="57"/>
      <c r="CJ34" s="57"/>
      <c r="CK34" s="57"/>
      <c r="CL34" s="57"/>
      <c r="CM34" s="57"/>
      <c r="CN34" s="57"/>
      <c r="CO34" s="57"/>
      <c r="CP34" s="57"/>
      <c r="CQ34" s="57"/>
      <c r="CR34" s="57"/>
      <c r="CS34" s="57"/>
      <c r="CT34" s="57"/>
      <c r="CU34" s="57"/>
      <c r="CV34" s="57"/>
      <c r="CW34" s="57"/>
      <c r="CX34" s="57"/>
      <c r="CY34" s="57"/>
      <c r="CZ34" s="57"/>
      <c r="DA34" s="57"/>
      <c r="DB34" s="57"/>
      <c r="DC34" s="57"/>
      <c r="DD34" s="57"/>
      <c r="DE34" s="57"/>
      <c r="DF34" s="57"/>
      <c r="DG34" s="57"/>
      <c r="DH34" s="57"/>
      <c r="DI34" s="57"/>
      <c r="DJ34" s="57"/>
      <c r="DK34" s="57"/>
      <c r="DL34" s="57"/>
      <c r="DM34" s="57"/>
      <c r="DN34" s="57"/>
      <c r="DO34" s="57"/>
      <c r="DP34" s="57"/>
      <c r="DQ34" s="57"/>
      <c r="DR34" s="57"/>
      <c r="DS34" s="57"/>
      <c r="DT34" s="57"/>
      <c r="DU34" s="57"/>
      <c r="DV34" s="57"/>
      <c r="DW34" s="57"/>
      <c r="DX34" s="57"/>
      <c r="DY34" s="57"/>
      <c r="DZ34" s="57"/>
      <c r="EA34" s="57"/>
      <c r="EB34" s="57"/>
      <c r="EC34" s="57"/>
      <c r="ED34" s="57"/>
      <c r="EE34" s="57"/>
      <c r="EF34" s="57"/>
      <c r="EG34" s="57"/>
      <c r="EH34" s="57"/>
      <c r="EI34" s="57"/>
      <c r="EJ34" s="57"/>
      <c r="EK34" s="57"/>
      <c r="EL34" s="57"/>
      <c r="EM34" s="57"/>
      <c r="EN34" s="57"/>
      <c r="EO34" s="57"/>
      <c r="EP34" s="57"/>
      <c r="EQ34" s="57"/>
      <c r="ER34" s="57"/>
      <c r="ES34" s="57"/>
      <c r="ET34" s="57"/>
      <c r="EU34" s="57"/>
      <c r="EV34" s="57"/>
      <c r="EW34" s="57"/>
      <c r="EX34" s="57"/>
      <c r="EY34" s="57"/>
      <c r="EZ34" s="57"/>
      <c r="FA34" s="57"/>
      <c r="FB34" s="57"/>
      <c r="FC34" s="57"/>
      <c r="FD34" s="57"/>
      <c r="FE34" s="57"/>
      <c r="FF34" s="57"/>
      <c r="FG34" s="57"/>
      <c r="FH34" s="57"/>
      <c r="FI34" s="57"/>
      <c r="FJ34" s="57"/>
    </row>
    <row r="35" ht="15.75" customHeight="1">
      <c r="A35" s="57"/>
      <c r="B35" s="57"/>
      <c r="C35" s="57"/>
      <c r="D35" s="57"/>
      <c r="E35" s="57"/>
      <c r="F35" s="57"/>
      <c r="G35" s="57"/>
      <c r="H35" s="57"/>
      <c r="I35" s="57"/>
      <c r="J35" s="57"/>
      <c r="K35" s="57"/>
      <c r="L35" s="57"/>
      <c r="M35" s="57"/>
      <c r="N35" s="57"/>
      <c r="O35" s="57"/>
      <c r="P35" s="57"/>
      <c r="Q35" s="57"/>
      <c r="R35" s="57"/>
      <c r="S35" s="57"/>
      <c r="T35" s="57"/>
      <c r="U35" s="57"/>
      <c r="V35" s="57"/>
      <c r="W35" s="57"/>
      <c r="X35" s="57"/>
      <c r="Y35" s="57"/>
      <c r="Z35" s="57"/>
      <c r="AA35" s="57"/>
      <c r="AB35" s="57"/>
      <c r="AC35" s="57"/>
      <c r="AD35" s="57"/>
      <c r="AE35" s="57"/>
      <c r="AF35" s="57"/>
      <c r="AG35" s="57"/>
      <c r="AH35" s="57"/>
      <c r="AI35" s="57"/>
      <c r="AJ35" s="57"/>
      <c r="AK35" s="57"/>
      <c r="AL35" s="57"/>
      <c r="AM35" s="57"/>
      <c r="AN35" s="57"/>
      <c r="AO35" s="57"/>
      <c r="AP35" s="57"/>
      <c r="AQ35" s="57"/>
      <c r="AR35" s="57"/>
      <c r="AS35" s="57"/>
      <c r="AT35" s="57"/>
      <c r="AU35" s="57"/>
      <c r="AV35" s="57"/>
      <c r="AW35" s="57"/>
      <c r="AX35" s="57"/>
      <c r="AY35" s="57"/>
      <c r="AZ35" s="57"/>
      <c r="BA35" s="57"/>
      <c r="BB35" s="57"/>
      <c r="BC35" s="57"/>
      <c r="BD35" s="57"/>
      <c r="BE35" s="57"/>
      <c r="BF35" s="57"/>
      <c r="BG35" s="57"/>
      <c r="BH35" s="57"/>
      <c r="BI35" s="57"/>
      <c r="BJ35" s="57"/>
      <c r="BK35" s="57"/>
      <c r="BL35" s="57"/>
      <c r="BM35" s="57"/>
      <c r="BN35" s="57"/>
      <c r="BO35" s="57"/>
      <c r="BP35" s="57"/>
      <c r="BQ35" s="57"/>
      <c r="BR35" s="57"/>
      <c r="BS35" s="57"/>
      <c r="BT35" s="57"/>
      <c r="BU35" s="57"/>
      <c r="BV35" s="57"/>
      <c r="BW35" s="57"/>
      <c r="BX35" s="57"/>
      <c r="BY35" s="57"/>
      <c r="BZ35" s="57"/>
      <c r="CA35" s="57"/>
      <c r="CB35" s="57"/>
      <c r="CC35" s="57"/>
      <c r="CD35" s="57"/>
      <c r="CE35" s="57"/>
      <c r="CF35" s="57"/>
      <c r="CG35" s="57"/>
      <c r="CH35" s="57"/>
      <c r="CI35" s="57"/>
      <c r="CJ35" s="57"/>
      <c r="CK35" s="57"/>
      <c r="CL35" s="57"/>
      <c r="CM35" s="57"/>
      <c r="CN35" s="57"/>
      <c r="CO35" s="57"/>
      <c r="CP35" s="57"/>
      <c r="CQ35" s="57"/>
      <c r="CR35" s="57"/>
      <c r="CS35" s="57"/>
      <c r="CT35" s="57"/>
      <c r="CU35" s="57"/>
      <c r="CV35" s="57"/>
      <c r="CW35" s="57"/>
      <c r="CX35" s="57"/>
      <c r="CY35" s="57"/>
      <c r="CZ35" s="57"/>
      <c r="DA35" s="57"/>
      <c r="DB35" s="57"/>
      <c r="DC35" s="57"/>
      <c r="DD35" s="57"/>
      <c r="DE35" s="57"/>
      <c r="DF35" s="57"/>
      <c r="DG35" s="57"/>
      <c r="DH35" s="57"/>
      <c r="DI35" s="57"/>
      <c r="DJ35" s="57"/>
      <c r="DK35" s="57"/>
      <c r="DL35" s="57"/>
      <c r="DM35" s="57"/>
      <c r="DN35" s="57"/>
      <c r="DO35" s="57"/>
      <c r="DP35" s="57"/>
      <c r="DQ35" s="57"/>
      <c r="DR35" s="57"/>
      <c r="DS35" s="57"/>
      <c r="DT35" s="57"/>
      <c r="DU35" s="57"/>
      <c r="DV35" s="57"/>
      <c r="DW35" s="57"/>
      <c r="DX35" s="57"/>
      <c r="DY35" s="57"/>
      <c r="DZ35" s="57"/>
      <c r="EA35" s="57"/>
      <c r="EB35" s="57"/>
      <c r="EC35" s="57"/>
      <c r="ED35" s="57"/>
      <c r="EE35" s="57"/>
      <c r="EF35" s="57"/>
      <c r="EG35" s="57"/>
      <c r="EH35" s="57"/>
      <c r="EI35" s="57"/>
      <c r="EJ35" s="57"/>
      <c r="EK35" s="57"/>
      <c r="EL35" s="57"/>
      <c r="EM35" s="57"/>
      <c r="EN35" s="57"/>
      <c r="EO35" s="57"/>
      <c r="EP35" s="57"/>
      <c r="EQ35" s="57"/>
      <c r="ER35" s="57"/>
      <c r="ES35" s="57"/>
      <c r="ET35" s="57"/>
      <c r="EU35" s="57"/>
      <c r="EV35" s="57"/>
      <c r="EW35" s="57"/>
      <c r="EX35" s="57"/>
      <c r="EY35" s="57"/>
      <c r="EZ35" s="57"/>
      <c r="FA35" s="57"/>
      <c r="FB35" s="57"/>
      <c r="FC35" s="57"/>
      <c r="FD35" s="57"/>
      <c r="FE35" s="57"/>
      <c r="FF35" s="57"/>
      <c r="FG35" s="57"/>
      <c r="FH35" s="57"/>
      <c r="FI35" s="57"/>
      <c r="FJ35" s="57"/>
    </row>
    <row r="36" ht="15.75" customHeight="1">
      <c r="A36" s="57"/>
      <c r="B36" s="57"/>
      <c r="C36" s="57"/>
      <c r="D36" s="57"/>
      <c r="E36" s="57"/>
      <c r="F36" s="57"/>
      <c r="G36" s="57"/>
      <c r="H36" s="57"/>
      <c r="I36" s="57"/>
      <c r="J36" s="57"/>
      <c r="K36" s="57"/>
      <c r="L36" s="57"/>
      <c r="M36" s="57"/>
      <c r="N36" s="57"/>
      <c r="O36" s="57"/>
      <c r="P36" s="57"/>
      <c r="Q36" s="57"/>
      <c r="R36" s="57"/>
      <c r="S36" s="57"/>
      <c r="T36" s="57"/>
      <c r="U36" s="57"/>
      <c r="V36" s="57"/>
      <c r="W36" s="57"/>
      <c r="X36" s="57"/>
      <c r="Y36" s="57"/>
      <c r="Z36" s="57"/>
      <c r="AA36" s="57"/>
      <c r="AB36" s="57"/>
      <c r="AC36" s="57"/>
      <c r="AD36" s="57"/>
      <c r="AE36" s="57"/>
      <c r="AF36" s="57"/>
      <c r="AG36" s="57"/>
      <c r="AH36" s="57"/>
      <c r="AI36" s="57"/>
      <c r="AJ36" s="57"/>
      <c r="AK36" s="57"/>
      <c r="AL36" s="57"/>
      <c r="AM36" s="57"/>
      <c r="AN36" s="57"/>
      <c r="AO36" s="57"/>
      <c r="AP36" s="57"/>
      <c r="AQ36" s="57"/>
      <c r="AR36" s="57"/>
      <c r="AS36" s="57"/>
      <c r="AT36" s="57"/>
      <c r="AU36" s="57"/>
      <c r="AV36" s="57"/>
      <c r="AW36" s="57"/>
      <c r="AX36" s="57"/>
      <c r="AY36" s="57"/>
      <c r="AZ36" s="57"/>
      <c r="BA36" s="57"/>
      <c r="BB36" s="57"/>
      <c r="BC36" s="57"/>
      <c r="BD36" s="57"/>
      <c r="BE36" s="57"/>
      <c r="BF36" s="57"/>
      <c r="BG36" s="57"/>
      <c r="BH36" s="57"/>
      <c r="BI36" s="57"/>
      <c r="BJ36" s="57"/>
      <c r="BK36" s="57"/>
      <c r="BL36" s="57"/>
      <c r="BM36" s="57"/>
      <c r="BN36" s="57"/>
      <c r="BO36" s="57"/>
      <c r="BP36" s="57"/>
      <c r="BQ36" s="57"/>
      <c r="BR36" s="57"/>
      <c r="BS36" s="57"/>
      <c r="BT36" s="57"/>
      <c r="BU36" s="57"/>
      <c r="BV36" s="57"/>
      <c r="BW36" s="57"/>
      <c r="BX36" s="57"/>
      <c r="BY36" s="57"/>
      <c r="BZ36" s="57"/>
      <c r="CA36" s="57"/>
      <c r="CB36" s="57"/>
      <c r="CC36" s="57"/>
      <c r="CD36" s="57"/>
      <c r="CE36" s="57"/>
      <c r="CF36" s="57"/>
      <c r="CG36" s="57"/>
      <c r="CH36" s="57"/>
      <c r="CI36" s="57"/>
      <c r="CJ36" s="57"/>
      <c r="CK36" s="57"/>
      <c r="CL36" s="57"/>
      <c r="CM36" s="57"/>
      <c r="CN36" s="57"/>
      <c r="CO36" s="57"/>
      <c r="CP36" s="57"/>
      <c r="CQ36" s="57"/>
      <c r="CR36" s="57"/>
      <c r="CS36" s="57"/>
      <c r="CT36" s="57"/>
      <c r="CU36" s="57"/>
      <c r="CV36" s="57"/>
      <c r="CW36" s="57"/>
      <c r="CX36" s="57"/>
      <c r="CY36" s="57"/>
      <c r="CZ36" s="57"/>
      <c r="DA36" s="57"/>
      <c r="DB36" s="57"/>
      <c r="DC36" s="57"/>
      <c r="DD36" s="57"/>
      <c r="DE36" s="57"/>
      <c r="DF36" s="57"/>
      <c r="DG36" s="57"/>
      <c r="DH36" s="57"/>
      <c r="DI36" s="57"/>
      <c r="DJ36" s="57"/>
      <c r="DK36" s="57"/>
      <c r="DL36" s="57"/>
      <c r="DM36" s="57"/>
      <c r="DN36" s="57"/>
      <c r="DO36" s="57"/>
      <c r="DP36" s="57"/>
      <c r="DQ36" s="57"/>
      <c r="DR36" s="57"/>
      <c r="DS36" s="57"/>
      <c r="DT36" s="57"/>
      <c r="DU36" s="57"/>
      <c r="DV36" s="57"/>
      <c r="DW36" s="57"/>
      <c r="DX36" s="57"/>
      <c r="DY36" s="57"/>
      <c r="DZ36" s="57"/>
      <c r="EA36" s="57"/>
      <c r="EB36" s="57"/>
      <c r="EC36" s="57"/>
      <c r="ED36" s="57"/>
      <c r="EE36" s="57"/>
      <c r="EF36" s="57"/>
      <c r="EG36" s="57"/>
      <c r="EH36" s="57"/>
      <c r="EI36" s="57"/>
      <c r="EJ36" s="57"/>
      <c r="EK36" s="57"/>
      <c r="EL36" s="57"/>
      <c r="EM36" s="57"/>
      <c r="EN36" s="57"/>
      <c r="EO36" s="57"/>
      <c r="EP36" s="57"/>
      <c r="EQ36" s="57"/>
      <c r="ER36" s="57"/>
      <c r="ES36" s="57"/>
      <c r="ET36" s="57"/>
      <c r="EU36" s="57"/>
      <c r="EV36" s="57"/>
      <c r="EW36" s="57"/>
      <c r="EX36" s="57"/>
      <c r="EY36" s="57"/>
      <c r="EZ36" s="57"/>
      <c r="FA36" s="57"/>
      <c r="FB36" s="57"/>
      <c r="FC36" s="57"/>
      <c r="FD36" s="57"/>
      <c r="FE36" s="57"/>
      <c r="FF36" s="57"/>
      <c r="FG36" s="57"/>
      <c r="FH36" s="57"/>
      <c r="FI36" s="57"/>
      <c r="FJ36" s="57"/>
    </row>
    <row r="37" ht="15.75" customHeight="1">
      <c r="A37" s="57"/>
      <c r="B37" s="57"/>
      <c r="C37" s="57"/>
      <c r="D37" s="57"/>
      <c r="E37" s="57"/>
      <c r="F37" s="57"/>
      <c r="G37" s="57"/>
      <c r="H37" s="57"/>
      <c r="I37" s="57"/>
      <c r="J37" s="57"/>
      <c r="K37" s="57"/>
      <c r="L37" s="57"/>
      <c r="M37" s="57"/>
      <c r="N37" s="57"/>
      <c r="O37" s="57"/>
      <c r="P37" s="57"/>
      <c r="Q37" s="57"/>
      <c r="R37" s="57"/>
      <c r="S37" s="57"/>
      <c r="T37" s="57"/>
      <c r="U37" s="57"/>
      <c r="V37" s="57"/>
      <c r="W37" s="57"/>
      <c r="X37" s="57"/>
      <c r="Y37" s="57"/>
      <c r="Z37" s="57"/>
      <c r="AA37" s="57"/>
      <c r="AB37" s="57"/>
      <c r="AC37" s="57"/>
      <c r="AD37" s="57"/>
      <c r="AE37" s="57"/>
      <c r="AF37" s="57"/>
      <c r="AG37" s="57"/>
      <c r="AH37" s="57"/>
      <c r="AI37" s="57"/>
      <c r="AJ37" s="57"/>
      <c r="AK37" s="57"/>
      <c r="AL37" s="57"/>
      <c r="AM37" s="57"/>
      <c r="AN37" s="57"/>
      <c r="AO37" s="57"/>
      <c r="AP37" s="57"/>
      <c r="AQ37" s="57"/>
      <c r="AR37" s="57"/>
      <c r="AS37" s="57"/>
      <c r="AT37" s="57"/>
      <c r="AU37" s="57"/>
      <c r="AV37" s="57"/>
      <c r="AW37" s="57"/>
      <c r="AX37" s="57"/>
      <c r="AY37" s="57"/>
      <c r="AZ37" s="57"/>
      <c r="BA37" s="57"/>
      <c r="BB37" s="57"/>
      <c r="BC37" s="57"/>
      <c r="BD37" s="57"/>
      <c r="BE37" s="57"/>
      <c r="BF37" s="57"/>
      <c r="BG37" s="57"/>
      <c r="BH37" s="57"/>
      <c r="BI37" s="57"/>
      <c r="BJ37" s="57"/>
      <c r="BK37" s="57"/>
      <c r="BL37" s="57"/>
      <c r="BM37" s="57"/>
      <c r="BN37" s="57"/>
      <c r="BO37" s="57"/>
      <c r="BP37" s="57"/>
      <c r="BQ37" s="57"/>
      <c r="BR37" s="57"/>
      <c r="BS37" s="57"/>
      <c r="BT37" s="57"/>
      <c r="BU37" s="57"/>
      <c r="BV37" s="57"/>
      <c r="BW37" s="57"/>
      <c r="BX37" s="57"/>
      <c r="BY37" s="57"/>
      <c r="BZ37" s="57"/>
      <c r="CA37" s="57"/>
      <c r="CB37" s="57"/>
      <c r="CC37" s="57"/>
      <c r="CD37" s="57"/>
      <c r="CE37" s="57"/>
      <c r="CF37" s="57"/>
      <c r="CG37" s="57"/>
      <c r="CH37" s="57"/>
      <c r="CI37" s="57"/>
      <c r="CJ37" s="57"/>
      <c r="CK37" s="57"/>
      <c r="CL37" s="57"/>
      <c r="CM37" s="57"/>
      <c r="CN37" s="57"/>
      <c r="CO37" s="57"/>
      <c r="CP37" s="57"/>
      <c r="CQ37" s="57"/>
      <c r="CR37" s="57"/>
      <c r="CS37" s="57"/>
      <c r="CT37" s="57"/>
      <c r="CU37" s="57"/>
      <c r="CV37" s="57"/>
      <c r="CW37" s="57"/>
      <c r="CX37" s="57"/>
      <c r="CY37" s="57"/>
      <c r="CZ37" s="57"/>
      <c r="DA37" s="57"/>
      <c r="DB37" s="57"/>
      <c r="DC37" s="57"/>
      <c r="DD37" s="57"/>
      <c r="DE37" s="57"/>
      <c r="DF37" s="57"/>
      <c r="DG37" s="57"/>
      <c r="DH37" s="57"/>
      <c r="DI37" s="57"/>
      <c r="DJ37" s="57"/>
      <c r="DK37" s="57"/>
      <c r="DL37" s="57"/>
      <c r="DM37" s="57"/>
      <c r="DN37" s="57"/>
      <c r="DO37" s="57"/>
      <c r="DP37" s="57"/>
      <c r="DQ37" s="57"/>
      <c r="DR37" s="57"/>
      <c r="DS37" s="57"/>
      <c r="DT37" s="57"/>
      <c r="DU37" s="57"/>
      <c r="DV37" s="57"/>
      <c r="DW37" s="57"/>
      <c r="DX37" s="57"/>
      <c r="DY37" s="57"/>
      <c r="DZ37" s="57"/>
      <c r="EA37" s="57"/>
      <c r="EB37" s="57"/>
      <c r="EC37" s="57"/>
      <c r="ED37" s="57"/>
      <c r="EE37" s="57"/>
      <c r="EF37" s="57"/>
      <c r="EG37" s="57"/>
      <c r="EH37" s="57"/>
      <c r="EI37" s="57"/>
      <c r="EJ37" s="57"/>
      <c r="EK37" s="57"/>
      <c r="EL37" s="57"/>
      <c r="EM37" s="57"/>
      <c r="EN37" s="57"/>
      <c r="EO37" s="57"/>
      <c r="EP37" s="57"/>
      <c r="EQ37" s="57"/>
      <c r="ER37" s="57"/>
      <c r="ES37" s="57"/>
      <c r="ET37" s="57"/>
      <c r="EU37" s="57"/>
      <c r="EV37" s="57"/>
      <c r="EW37" s="57"/>
      <c r="EX37" s="57"/>
      <c r="EY37" s="57"/>
      <c r="EZ37" s="57"/>
      <c r="FA37" s="57"/>
      <c r="FB37" s="57"/>
      <c r="FC37" s="57"/>
      <c r="FD37" s="57"/>
      <c r="FE37" s="57"/>
      <c r="FF37" s="57"/>
      <c r="FG37" s="57"/>
      <c r="FH37" s="57"/>
      <c r="FI37" s="57"/>
      <c r="FJ37" s="57"/>
    </row>
    <row r="38" ht="15.75" customHeight="1">
      <c r="A38" s="57"/>
      <c r="B38" s="57"/>
      <c r="C38" s="57"/>
      <c r="D38" s="57"/>
      <c r="E38" s="57"/>
      <c r="F38" s="57"/>
      <c r="G38" s="57"/>
      <c r="H38" s="57"/>
      <c r="I38" s="57"/>
      <c r="J38" s="57"/>
      <c r="K38" s="57"/>
      <c r="L38" s="57"/>
      <c r="M38" s="57"/>
      <c r="N38" s="57"/>
      <c r="O38" s="57"/>
      <c r="P38" s="57"/>
      <c r="Q38" s="57"/>
      <c r="R38" s="57"/>
      <c r="S38" s="57"/>
      <c r="T38" s="57"/>
      <c r="U38" s="57"/>
      <c r="V38" s="57"/>
      <c r="W38" s="57"/>
      <c r="X38" s="57"/>
      <c r="Y38" s="57"/>
      <c r="Z38" s="57"/>
      <c r="AA38" s="57"/>
      <c r="AB38" s="57"/>
      <c r="AC38" s="57"/>
      <c r="AD38" s="57"/>
      <c r="AE38" s="57"/>
      <c r="AF38" s="57"/>
      <c r="AG38" s="57"/>
      <c r="AH38" s="57"/>
      <c r="AI38" s="57"/>
      <c r="AJ38" s="57"/>
      <c r="AK38" s="57"/>
      <c r="AL38" s="57"/>
      <c r="AM38" s="57"/>
      <c r="AN38" s="57"/>
      <c r="AO38" s="57"/>
      <c r="AP38" s="57"/>
      <c r="AQ38" s="57"/>
      <c r="AR38" s="57"/>
      <c r="AS38" s="57"/>
      <c r="AT38" s="57"/>
      <c r="AU38" s="57"/>
      <c r="AV38" s="57"/>
      <c r="AW38" s="57"/>
      <c r="AX38" s="57"/>
      <c r="AY38" s="57"/>
      <c r="AZ38" s="57"/>
      <c r="BA38" s="57"/>
      <c r="BB38" s="57"/>
      <c r="BC38" s="57"/>
      <c r="BD38" s="57"/>
      <c r="BE38" s="57"/>
      <c r="BF38" s="57"/>
      <c r="BG38" s="57"/>
      <c r="BH38" s="57"/>
      <c r="BI38" s="57"/>
      <c r="BJ38" s="57"/>
      <c r="BK38" s="57"/>
      <c r="BL38" s="57"/>
      <c r="BM38" s="57"/>
      <c r="BN38" s="57"/>
      <c r="BO38" s="57"/>
      <c r="BP38" s="57"/>
      <c r="BQ38" s="57"/>
      <c r="BR38" s="57"/>
      <c r="BS38" s="57"/>
      <c r="BT38" s="57"/>
      <c r="BU38" s="57"/>
      <c r="BV38" s="57"/>
      <c r="BW38" s="57"/>
      <c r="BX38" s="57"/>
      <c r="BY38" s="57"/>
      <c r="BZ38" s="57"/>
      <c r="CA38" s="57"/>
      <c r="CB38" s="57"/>
      <c r="CC38" s="57"/>
      <c r="CD38" s="57"/>
      <c r="CE38" s="57"/>
      <c r="CF38" s="57"/>
      <c r="CG38" s="57"/>
      <c r="CH38" s="57"/>
      <c r="CI38" s="57"/>
      <c r="CJ38" s="57"/>
      <c r="CK38" s="57"/>
      <c r="CL38" s="57"/>
      <c r="CM38" s="57"/>
      <c r="CN38" s="57"/>
      <c r="CO38" s="57"/>
      <c r="CP38" s="57"/>
      <c r="CQ38" s="57"/>
      <c r="CR38" s="57"/>
      <c r="CS38" s="57"/>
      <c r="CT38" s="57"/>
      <c r="CU38" s="57"/>
      <c r="CV38" s="57"/>
      <c r="CW38" s="57"/>
      <c r="CX38" s="57"/>
      <c r="CY38" s="57"/>
      <c r="CZ38" s="57"/>
      <c r="DA38" s="57"/>
      <c r="DB38" s="57"/>
      <c r="DC38" s="57"/>
      <c r="DD38" s="57"/>
      <c r="DE38" s="57"/>
      <c r="DF38" s="57"/>
      <c r="DG38" s="57"/>
      <c r="DH38" s="57"/>
      <c r="DI38" s="57"/>
      <c r="DJ38" s="57"/>
      <c r="DK38" s="57"/>
      <c r="DL38" s="57"/>
      <c r="DM38" s="57"/>
      <c r="DN38" s="57"/>
      <c r="DO38" s="57"/>
      <c r="DP38" s="57"/>
      <c r="DQ38" s="57"/>
      <c r="DR38" s="57"/>
      <c r="DS38" s="57"/>
      <c r="DT38" s="57"/>
      <c r="DU38" s="57"/>
      <c r="DV38" s="57"/>
      <c r="DW38" s="57"/>
      <c r="DX38" s="57"/>
      <c r="DY38" s="57"/>
      <c r="DZ38" s="57"/>
      <c r="EA38" s="57"/>
      <c r="EB38" s="57"/>
      <c r="EC38" s="57"/>
      <c r="ED38" s="57"/>
      <c r="EE38" s="57"/>
      <c r="EF38" s="57"/>
      <c r="EG38" s="57"/>
      <c r="EH38" s="57"/>
      <c r="EI38" s="57"/>
      <c r="EJ38" s="57"/>
      <c r="EK38" s="57"/>
      <c r="EL38" s="57"/>
      <c r="EM38" s="57"/>
      <c r="EN38" s="57"/>
      <c r="EO38" s="57"/>
      <c r="EP38" s="57"/>
      <c r="EQ38" s="57"/>
      <c r="ER38" s="57"/>
      <c r="ES38" s="57"/>
      <c r="ET38" s="57"/>
      <c r="EU38" s="57"/>
      <c r="EV38" s="57"/>
      <c r="EW38" s="57"/>
      <c r="EX38" s="57"/>
      <c r="EY38" s="57"/>
      <c r="EZ38" s="57"/>
      <c r="FA38" s="57"/>
      <c r="FB38" s="57"/>
      <c r="FC38" s="57"/>
      <c r="FD38" s="57"/>
      <c r="FE38" s="57"/>
      <c r="FF38" s="57"/>
      <c r="FG38" s="57"/>
      <c r="FH38" s="57"/>
      <c r="FI38" s="57"/>
      <c r="FJ38" s="57"/>
    </row>
    <row r="39" ht="15.75" customHeight="1">
      <c r="A39" s="57"/>
      <c r="B39" s="57"/>
      <c r="C39" s="57"/>
      <c r="D39" s="57"/>
      <c r="E39" s="57"/>
      <c r="F39" s="57"/>
      <c r="G39" s="57"/>
      <c r="H39" s="57"/>
      <c r="I39" s="57"/>
      <c r="J39" s="57"/>
      <c r="K39" s="57"/>
      <c r="L39" s="57"/>
      <c r="M39" s="57"/>
      <c r="N39" s="57"/>
      <c r="O39" s="57"/>
      <c r="P39" s="57"/>
      <c r="Q39" s="57"/>
      <c r="R39" s="57"/>
      <c r="S39" s="57"/>
      <c r="T39" s="57"/>
      <c r="U39" s="57"/>
      <c r="V39" s="57"/>
      <c r="W39" s="57"/>
      <c r="X39" s="57"/>
      <c r="Y39" s="57"/>
      <c r="Z39" s="57"/>
      <c r="AA39" s="57"/>
      <c r="AB39" s="57"/>
      <c r="AC39" s="57"/>
      <c r="AD39" s="57"/>
      <c r="AE39" s="57"/>
      <c r="AF39" s="57"/>
      <c r="AG39" s="57"/>
      <c r="AH39" s="57"/>
      <c r="AI39" s="57"/>
      <c r="AJ39" s="57"/>
      <c r="AK39" s="57"/>
      <c r="AL39" s="57"/>
      <c r="AM39" s="57"/>
      <c r="AN39" s="57"/>
      <c r="AO39" s="57"/>
      <c r="AP39" s="57"/>
      <c r="AQ39" s="57"/>
      <c r="AR39" s="57"/>
      <c r="AS39" s="57"/>
      <c r="AT39" s="57"/>
      <c r="AU39" s="57"/>
      <c r="AV39" s="57"/>
      <c r="AW39" s="57"/>
      <c r="AX39" s="57"/>
      <c r="AY39" s="57"/>
      <c r="AZ39" s="57"/>
      <c r="BA39" s="57"/>
      <c r="BB39" s="57"/>
      <c r="BC39" s="57"/>
      <c r="BD39" s="57"/>
      <c r="BE39" s="57"/>
      <c r="BF39" s="57"/>
      <c r="BG39" s="57"/>
      <c r="BH39" s="57"/>
      <c r="BI39" s="57"/>
      <c r="BJ39" s="57"/>
      <c r="BK39" s="57"/>
      <c r="BL39" s="57"/>
      <c r="BM39" s="57"/>
      <c r="BN39" s="57"/>
      <c r="BO39" s="57"/>
      <c r="BP39" s="57"/>
      <c r="BQ39" s="57"/>
      <c r="BR39" s="57"/>
      <c r="BS39" s="57"/>
      <c r="BT39" s="57"/>
      <c r="BU39" s="57"/>
      <c r="BV39" s="57"/>
      <c r="BW39" s="57"/>
      <c r="BX39" s="57"/>
      <c r="BY39" s="57"/>
      <c r="BZ39" s="57"/>
      <c r="CA39" s="57"/>
      <c r="CB39" s="57"/>
      <c r="CC39" s="57"/>
      <c r="CD39" s="57"/>
      <c r="CE39" s="57"/>
      <c r="CF39" s="57"/>
      <c r="CG39" s="57"/>
      <c r="CH39" s="57"/>
      <c r="CI39" s="57"/>
      <c r="CJ39" s="57"/>
      <c r="CK39" s="57"/>
      <c r="CL39" s="57"/>
      <c r="CM39" s="57"/>
      <c r="CN39" s="57"/>
      <c r="CO39" s="57"/>
      <c r="CP39" s="57"/>
      <c r="CQ39" s="57"/>
      <c r="CR39" s="57"/>
      <c r="CS39" s="57"/>
      <c r="CT39" s="57"/>
      <c r="CU39" s="57"/>
      <c r="CV39" s="57"/>
      <c r="CW39" s="57"/>
      <c r="CX39" s="57"/>
      <c r="CY39" s="57"/>
      <c r="CZ39" s="57"/>
      <c r="DA39" s="57"/>
      <c r="DB39" s="57"/>
      <c r="DC39" s="57"/>
      <c r="DD39" s="57"/>
      <c r="DE39" s="57"/>
      <c r="DF39" s="57"/>
      <c r="DG39" s="57"/>
      <c r="DH39" s="57"/>
      <c r="DI39" s="57"/>
      <c r="DJ39" s="57"/>
      <c r="DK39" s="57"/>
      <c r="DL39" s="57"/>
      <c r="DM39" s="57"/>
      <c r="DN39" s="57"/>
      <c r="DO39" s="57"/>
      <c r="DP39" s="57"/>
      <c r="DQ39" s="57"/>
      <c r="DR39" s="57"/>
      <c r="DS39" s="57"/>
      <c r="DT39" s="57"/>
      <c r="DU39" s="57"/>
      <c r="DV39" s="57"/>
      <c r="DW39" s="57"/>
      <c r="DX39" s="57"/>
      <c r="DY39" s="57"/>
      <c r="DZ39" s="57"/>
      <c r="EA39" s="57"/>
      <c r="EB39" s="57"/>
      <c r="EC39" s="57"/>
      <c r="ED39" s="57"/>
      <c r="EE39" s="57"/>
      <c r="EF39" s="57"/>
      <c r="EG39" s="57"/>
      <c r="EH39" s="57"/>
      <c r="EI39" s="57"/>
      <c r="EJ39" s="57"/>
      <c r="EK39" s="57"/>
      <c r="EL39" s="57"/>
      <c r="EM39" s="57"/>
      <c r="EN39" s="57"/>
      <c r="EO39" s="57"/>
      <c r="EP39" s="57"/>
      <c r="EQ39" s="57"/>
      <c r="ER39" s="57"/>
      <c r="ES39" s="57"/>
      <c r="ET39" s="57"/>
      <c r="EU39" s="57"/>
      <c r="EV39" s="57"/>
      <c r="EW39" s="57"/>
      <c r="EX39" s="57"/>
      <c r="EY39" s="57"/>
      <c r="EZ39" s="57"/>
      <c r="FA39" s="57"/>
      <c r="FB39" s="57"/>
      <c r="FC39" s="57"/>
      <c r="FD39" s="57"/>
      <c r="FE39" s="57"/>
      <c r="FF39" s="57"/>
      <c r="FG39" s="57"/>
      <c r="FH39" s="57"/>
      <c r="FI39" s="57"/>
      <c r="FJ39" s="57"/>
    </row>
    <row r="40" ht="15.75" customHeight="1">
      <c r="A40" s="57"/>
      <c r="B40" s="57"/>
      <c r="C40" s="57"/>
      <c r="D40" s="57"/>
      <c r="E40" s="57"/>
      <c r="F40" s="57"/>
      <c r="G40" s="57"/>
      <c r="H40" s="57"/>
      <c r="I40" s="57"/>
      <c r="J40" s="57"/>
      <c r="K40" s="57"/>
      <c r="L40" s="57"/>
      <c r="M40" s="57"/>
      <c r="N40" s="57"/>
      <c r="O40" s="57"/>
      <c r="P40" s="57"/>
      <c r="Q40" s="57"/>
      <c r="R40" s="57"/>
      <c r="S40" s="57"/>
      <c r="T40" s="57"/>
      <c r="U40" s="57"/>
      <c r="V40" s="57"/>
      <c r="W40" s="57"/>
      <c r="X40" s="57"/>
      <c r="Y40" s="57"/>
      <c r="Z40" s="57"/>
      <c r="AA40" s="57"/>
      <c r="AB40" s="57"/>
      <c r="AC40" s="57"/>
      <c r="AD40" s="57"/>
      <c r="AE40" s="57"/>
      <c r="AF40" s="57"/>
      <c r="AG40" s="57"/>
      <c r="AH40" s="57"/>
      <c r="AI40" s="57"/>
      <c r="AJ40" s="57"/>
      <c r="AK40" s="57"/>
      <c r="AL40" s="57"/>
      <c r="AM40" s="57"/>
      <c r="AN40" s="57"/>
      <c r="AO40" s="57"/>
      <c r="AP40" s="57"/>
      <c r="AQ40" s="57"/>
      <c r="AR40" s="57"/>
      <c r="AS40" s="57"/>
      <c r="AT40" s="57"/>
      <c r="AU40" s="57"/>
      <c r="AV40" s="57"/>
      <c r="AW40" s="57"/>
      <c r="AX40" s="57"/>
      <c r="AY40" s="57"/>
      <c r="AZ40" s="57"/>
      <c r="BA40" s="57"/>
      <c r="BB40" s="57"/>
      <c r="BC40" s="57"/>
      <c r="BD40" s="57"/>
      <c r="BE40" s="57"/>
      <c r="BF40" s="57"/>
      <c r="BG40" s="57"/>
      <c r="BH40" s="57"/>
      <c r="BI40" s="57"/>
      <c r="BJ40" s="57"/>
      <c r="BK40" s="57"/>
      <c r="BL40" s="57"/>
      <c r="BM40" s="57"/>
      <c r="BN40" s="57"/>
      <c r="BO40" s="57"/>
      <c r="BP40" s="57"/>
      <c r="BQ40" s="57"/>
      <c r="BR40" s="57"/>
      <c r="BS40" s="57"/>
      <c r="BT40" s="57"/>
      <c r="BU40" s="57"/>
      <c r="BV40" s="57"/>
      <c r="BW40" s="57"/>
      <c r="BX40" s="57"/>
      <c r="BY40" s="57"/>
      <c r="BZ40" s="57"/>
      <c r="CA40" s="57"/>
      <c r="CB40" s="57"/>
      <c r="CC40" s="57"/>
      <c r="CD40" s="57"/>
      <c r="CE40" s="57"/>
      <c r="CF40" s="57"/>
      <c r="CG40" s="57"/>
      <c r="CH40" s="57"/>
      <c r="CI40" s="57"/>
      <c r="CJ40" s="57"/>
      <c r="CK40" s="57"/>
      <c r="CL40" s="57"/>
      <c r="CM40" s="57"/>
      <c r="CN40" s="57"/>
      <c r="CO40" s="57"/>
      <c r="CP40" s="57"/>
      <c r="CQ40" s="57"/>
      <c r="CR40" s="57"/>
      <c r="CS40" s="57"/>
      <c r="CT40" s="57"/>
      <c r="CU40" s="57"/>
      <c r="CV40" s="57"/>
      <c r="CW40" s="57"/>
      <c r="CX40" s="57"/>
      <c r="CY40" s="57"/>
      <c r="CZ40" s="57"/>
      <c r="DA40" s="57"/>
      <c r="DB40" s="57"/>
      <c r="DC40" s="57"/>
      <c r="DD40" s="57"/>
      <c r="DE40" s="57"/>
      <c r="DF40" s="57"/>
      <c r="DG40" s="57"/>
      <c r="DH40" s="57"/>
      <c r="DI40" s="57"/>
      <c r="DJ40" s="57"/>
      <c r="DK40" s="57"/>
      <c r="DL40" s="57"/>
      <c r="DM40" s="57"/>
      <c r="DN40" s="57"/>
      <c r="DO40" s="57"/>
      <c r="DP40" s="57"/>
      <c r="DQ40" s="57"/>
      <c r="DR40" s="57"/>
      <c r="DS40" s="57"/>
      <c r="DT40" s="57"/>
      <c r="DU40" s="57"/>
      <c r="DV40" s="57"/>
      <c r="DW40" s="57"/>
      <c r="DX40" s="57"/>
      <c r="DY40" s="57"/>
      <c r="DZ40" s="57"/>
      <c r="EA40" s="57"/>
      <c r="EB40" s="57"/>
      <c r="EC40" s="57"/>
      <c r="ED40" s="57"/>
      <c r="EE40" s="57"/>
      <c r="EF40" s="57"/>
      <c r="EG40" s="57"/>
      <c r="EH40" s="57"/>
      <c r="EI40" s="57"/>
      <c r="EJ40" s="57"/>
      <c r="EK40" s="57"/>
      <c r="EL40" s="57"/>
      <c r="EM40" s="57"/>
      <c r="EN40" s="57"/>
      <c r="EO40" s="57"/>
      <c r="EP40" s="57"/>
      <c r="EQ40" s="57"/>
      <c r="ER40" s="57"/>
      <c r="ES40" s="57"/>
      <c r="ET40" s="57"/>
      <c r="EU40" s="57"/>
      <c r="EV40" s="57"/>
      <c r="EW40" s="57"/>
      <c r="EX40" s="57"/>
      <c r="EY40" s="57"/>
      <c r="EZ40" s="57"/>
      <c r="FA40" s="57"/>
      <c r="FB40" s="57"/>
      <c r="FC40" s="57"/>
      <c r="FD40" s="57"/>
      <c r="FE40" s="57"/>
      <c r="FF40" s="57"/>
      <c r="FG40" s="57"/>
      <c r="FH40" s="57"/>
      <c r="FI40" s="57"/>
      <c r="FJ40" s="57"/>
    </row>
    <row r="41" ht="15.75" customHeight="1">
      <c r="A41" s="57"/>
      <c r="B41" s="57"/>
      <c r="C41" s="57"/>
      <c r="D41" s="57"/>
      <c r="E41" s="57"/>
      <c r="F41" s="57"/>
      <c r="G41" s="57"/>
      <c r="H41" s="57"/>
      <c r="I41" s="57"/>
      <c r="J41" s="57"/>
      <c r="K41" s="57"/>
      <c r="L41" s="57"/>
      <c r="M41" s="57"/>
      <c r="N41" s="57"/>
      <c r="O41" s="57"/>
      <c r="P41" s="57"/>
      <c r="Q41" s="57"/>
      <c r="R41" s="57"/>
      <c r="S41" s="57"/>
      <c r="T41" s="57"/>
      <c r="U41" s="57"/>
      <c r="V41" s="57"/>
      <c r="W41" s="57"/>
      <c r="X41" s="57"/>
      <c r="Y41" s="57"/>
      <c r="Z41" s="57"/>
      <c r="AA41" s="57"/>
      <c r="AB41" s="57"/>
      <c r="AC41" s="57"/>
      <c r="AD41" s="57"/>
      <c r="AE41" s="57"/>
      <c r="AF41" s="57"/>
      <c r="AG41" s="57"/>
      <c r="AH41" s="57"/>
      <c r="AI41" s="57"/>
      <c r="AJ41" s="57"/>
      <c r="AK41" s="57"/>
      <c r="AL41" s="57"/>
      <c r="AM41" s="57"/>
      <c r="AN41" s="57"/>
      <c r="AO41" s="57"/>
      <c r="AP41" s="57"/>
      <c r="AQ41" s="57"/>
      <c r="AR41" s="57"/>
      <c r="AS41" s="57"/>
      <c r="AT41" s="57"/>
      <c r="AU41" s="57"/>
      <c r="AV41" s="57"/>
      <c r="AW41" s="57"/>
      <c r="AX41" s="57"/>
      <c r="AY41" s="57"/>
      <c r="AZ41" s="57"/>
      <c r="BA41" s="57"/>
      <c r="BB41" s="57"/>
      <c r="BC41" s="57"/>
      <c r="BD41" s="57"/>
      <c r="BE41" s="57"/>
      <c r="BF41" s="57"/>
      <c r="BG41" s="57"/>
      <c r="BH41" s="57"/>
      <c r="BI41" s="57"/>
      <c r="BJ41" s="57"/>
      <c r="BK41" s="57"/>
      <c r="BL41" s="57"/>
      <c r="BM41" s="57"/>
      <c r="BN41" s="57"/>
      <c r="BO41" s="57"/>
      <c r="BP41" s="57"/>
      <c r="BQ41" s="57"/>
      <c r="BR41" s="57"/>
      <c r="BS41" s="57"/>
      <c r="BT41" s="57"/>
      <c r="BU41" s="57"/>
      <c r="BV41" s="57"/>
      <c r="BW41" s="57"/>
      <c r="BX41" s="57"/>
      <c r="BY41" s="57"/>
      <c r="BZ41" s="57"/>
      <c r="CA41" s="57"/>
      <c r="CB41" s="57"/>
      <c r="CC41" s="57"/>
      <c r="CD41" s="57"/>
      <c r="CE41" s="57"/>
      <c r="CF41" s="57"/>
      <c r="CG41" s="57"/>
      <c r="CH41" s="57"/>
      <c r="CI41" s="57"/>
      <c r="CJ41" s="57"/>
      <c r="CK41" s="57"/>
      <c r="CL41" s="57"/>
      <c r="CM41" s="57"/>
      <c r="CN41" s="57"/>
      <c r="CO41" s="57"/>
      <c r="CP41" s="57"/>
      <c r="CQ41" s="57"/>
      <c r="CR41" s="57"/>
      <c r="CS41" s="57"/>
      <c r="CT41" s="57"/>
      <c r="CU41" s="57"/>
      <c r="CV41" s="57"/>
      <c r="CW41" s="57"/>
      <c r="CX41" s="57"/>
      <c r="CY41" s="57"/>
      <c r="CZ41" s="57"/>
      <c r="DA41" s="57"/>
      <c r="DB41" s="57"/>
      <c r="DC41" s="57"/>
      <c r="DD41" s="57"/>
      <c r="DE41" s="57"/>
      <c r="DF41" s="57"/>
      <c r="DG41" s="57"/>
      <c r="DH41" s="57"/>
      <c r="DI41" s="57"/>
      <c r="DJ41" s="57"/>
      <c r="DK41" s="57"/>
      <c r="DL41" s="57"/>
      <c r="DM41" s="57"/>
      <c r="DN41" s="57"/>
      <c r="DO41" s="57"/>
      <c r="DP41" s="57"/>
      <c r="DQ41" s="57"/>
      <c r="DR41" s="57"/>
      <c r="DS41" s="57"/>
      <c r="DT41" s="57"/>
      <c r="DU41" s="57"/>
      <c r="DV41" s="57"/>
      <c r="DW41" s="57"/>
      <c r="DX41" s="57"/>
      <c r="DY41" s="57"/>
      <c r="DZ41" s="57"/>
      <c r="EA41" s="57"/>
      <c r="EB41" s="57"/>
      <c r="EC41" s="57"/>
      <c r="ED41" s="57"/>
      <c r="EE41" s="57"/>
      <c r="EF41" s="57"/>
      <c r="EG41" s="57"/>
      <c r="EH41" s="57"/>
      <c r="EI41" s="57"/>
      <c r="EJ41" s="57"/>
      <c r="EK41" s="57"/>
      <c r="EL41" s="57"/>
      <c r="EM41" s="57"/>
      <c r="EN41" s="57"/>
      <c r="EO41" s="57"/>
      <c r="EP41" s="57"/>
      <c r="EQ41" s="57"/>
      <c r="ER41" s="57"/>
      <c r="ES41" s="57"/>
      <c r="ET41" s="57"/>
      <c r="EU41" s="57"/>
      <c r="EV41" s="57"/>
      <c r="EW41" s="57"/>
      <c r="EX41" s="57"/>
      <c r="EY41" s="57"/>
      <c r="EZ41" s="57"/>
      <c r="FA41" s="57"/>
      <c r="FB41" s="57"/>
      <c r="FC41" s="57"/>
      <c r="FD41" s="57"/>
      <c r="FE41" s="57"/>
      <c r="FF41" s="57"/>
      <c r="FG41" s="57"/>
      <c r="FH41" s="57"/>
      <c r="FI41" s="57"/>
      <c r="FJ41" s="57"/>
    </row>
    <row r="42" ht="15.75" customHeight="1">
      <c r="A42" s="57"/>
      <c r="B42" s="57"/>
      <c r="C42" s="57"/>
      <c r="D42" s="57"/>
      <c r="E42" s="57"/>
      <c r="F42" s="57"/>
      <c r="G42" s="57"/>
      <c r="H42" s="57"/>
      <c r="I42" s="57"/>
      <c r="J42" s="57"/>
      <c r="K42" s="57"/>
      <c r="L42" s="57"/>
      <c r="M42" s="57"/>
      <c r="N42" s="57"/>
      <c r="O42" s="57"/>
      <c r="P42" s="57"/>
      <c r="Q42" s="57"/>
      <c r="R42" s="57"/>
      <c r="S42" s="57"/>
      <c r="T42" s="57"/>
      <c r="U42" s="57"/>
      <c r="V42" s="57"/>
      <c r="W42" s="57"/>
      <c r="X42" s="57"/>
      <c r="Y42" s="57"/>
      <c r="Z42" s="57"/>
      <c r="AA42" s="57"/>
      <c r="AB42" s="57"/>
      <c r="AC42" s="57"/>
      <c r="AD42" s="57"/>
      <c r="AE42" s="57"/>
      <c r="AF42" s="57"/>
      <c r="AG42" s="57"/>
      <c r="AH42" s="57"/>
      <c r="AI42" s="57"/>
      <c r="AJ42" s="57"/>
      <c r="AK42" s="57"/>
      <c r="AL42" s="57"/>
      <c r="AM42" s="57"/>
      <c r="AN42" s="57"/>
      <c r="AO42" s="57"/>
      <c r="AP42" s="57"/>
      <c r="AQ42" s="57"/>
      <c r="AR42" s="57"/>
      <c r="AS42" s="57"/>
      <c r="AT42" s="57"/>
      <c r="AU42" s="57"/>
      <c r="AV42" s="57"/>
      <c r="AW42" s="57"/>
      <c r="AX42" s="57"/>
      <c r="AY42" s="57"/>
      <c r="AZ42" s="57"/>
      <c r="BA42" s="57"/>
      <c r="BB42" s="57"/>
      <c r="BC42" s="57"/>
      <c r="BD42" s="57"/>
      <c r="BE42" s="57"/>
      <c r="BF42" s="57"/>
      <c r="BG42" s="57"/>
      <c r="BH42" s="57"/>
      <c r="BI42" s="57"/>
      <c r="BJ42" s="57"/>
      <c r="BK42" s="57"/>
      <c r="BL42" s="57"/>
      <c r="BM42" s="57"/>
      <c r="BN42" s="57"/>
      <c r="BO42" s="57"/>
      <c r="BP42" s="57"/>
      <c r="BQ42" s="57"/>
      <c r="BR42" s="57"/>
      <c r="BS42" s="57"/>
      <c r="BT42" s="57"/>
      <c r="BU42" s="57"/>
      <c r="BV42" s="57"/>
      <c r="BW42" s="57"/>
      <c r="BX42" s="57"/>
      <c r="BY42" s="57"/>
      <c r="BZ42" s="57"/>
      <c r="CA42" s="57"/>
      <c r="CB42" s="57"/>
      <c r="CC42" s="57"/>
      <c r="CD42" s="57"/>
      <c r="CE42" s="57"/>
      <c r="CF42" s="57"/>
      <c r="CG42" s="57"/>
      <c r="CH42" s="57"/>
      <c r="CI42" s="57"/>
      <c r="CJ42" s="57"/>
      <c r="CK42" s="57"/>
      <c r="CL42" s="57"/>
      <c r="CM42" s="57"/>
      <c r="CN42" s="57"/>
      <c r="CO42" s="57"/>
      <c r="CP42" s="57"/>
      <c r="CQ42" s="57"/>
      <c r="CR42" s="57"/>
      <c r="CS42" s="57"/>
      <c r="CT42" s="57"/>
      <c r="CU42" s="57"/>
      <c r="CV42" s="57"/>
      <c r="CW42" s="57"/>
      <c r="CX42" s="57"/>
      <c r="CY42" s="57"/>
      <c r="CZ42" s="57"/>
      <c r="DA42" s="57"/>
      <c r="DB42" s="57"/>
      <c r="DC42" s="57"/>
      <c r="DD42" s="57"/>
      <c r="DE42" s="57"/>
      <c r="DF42" s="57"/>
      <c r="DG42" s="57"/>
      <c r="DH42" s="57"/>
      <c r="DI42" s="57"/>
      <c r="DJ42" s="57"/>
      <c r="DK42" s="57"/>
      <c r="DL42" s="57"/>
      <c r="DM42" s="57"/>
      <c r="DN42" s="57"/>
      <c r="DO42" s="57"/>
      <c r="DP42" s="57"/>
      <c r="DQ42" s="57"/>
      <c r="DR42" s="57"/>
      <c r="DS42" s="57"/>
      <c r="DT42" s="57"/>
      <c r="DU42" s="57"/>
      <c r="DV42" s="57"/>
      <c r="DW42" s="57"/>
      <c r="DX42" s="57"/>
      <c r="DY42" s="57"/>
      <c r="DZ42" s="57"/>
      <c r="EA42" s="57"/>
      <c r="EB42" s="57"/>
      <c r="EC42" s="57"/>
      <c r="ED42" s="57"/>
      <c r="EE42" s="57"/>
      <c r="EF42" s="57"/>
      <c r="EG42" s="57"/>
      <c r="EH42" s="57"/>
      <c r="EI42" s="57"/>
      <c r="EJ42" s="57"/>
      <c r="EK42" s="57"/>
      <c r="EL42" s="57"/>
      <c r="EM42" s="57"/>
      <c r="EN42" s="57"/>
      <c r="EO42" s="57"/>
      <c r="EP42" s="57"/>
      <c r="EQ42" s="57"/>
      <c r="ER42" s="57"/>
      <c r="ES42" s="57"/>
      <c r="ET42" s="57"/>
      <c r="EU42" s="57"/>
      <c r="EV42" s="57"/>
      <c r="EW42" s="57"/>
      <c r="EX42" s="57"/>
      <c r="EY42" s="57"/>
      <c r="EZ42" s="57"/>
      <c r="FA42" s="57"/>
      <c r="FB42" s="57"/>
      <c r="FC42" s="57"/>
      <c r="FD42" s="57"/>
      <c r="FE42" s="57"/>
      <c r="FF42" s="57"/>
      <c r="FG42" s="57"/>
      <c r="FH42" s="57"/>
      <c r="FI42" s="57"/>
      <c r="FJ42" s="57"/>
    </row>
    <row r="43" ht="15.75" customHeight="1">
      <c r="A43" s="57"/>
      <c r="B43" s="57"/>
      <c r="C43" s="57"/>
      <c r="D43" s="57"/>
      <c r="E43" s="57"/>
      <c r="F43" s="57"/>
      <c r="G43" s="57"/>
      <c r="H43" s="57"/>
      <c r="I43" s="57"/>
      <c r="J43" s="57"/>
      <c r="K43" s="57"/>
      <c r="L43" s="57"/>
      <c r="M43" s="57"/>
      <c r="N43" s="57"/>
      <c r="O43" s="57"/>
      <c r="P43" s="57"/>
      <c r="Q43" s="57"/>
      <c r="R43" s="57"/>
      <c r="S43" s="57"/>
      <c r="T43" s="57"/>
      <c r="U43" s="57"/>
      <c r="V43" s="57"/>
      <c r="W43" s="57"/>
      <c r="X43" s="57"/>
      <c r="Y43" s="57"/>
      <c r="Z43" s="57"/>
      <c r="AA43" s="57"/>
      <c r="AB43" s="57"/>
      <c r="AC43" s="57"/>
      <c r="AD43" s="57"/>
      <c r="AE43" s="57"/>
      <c r="AF43" s="57"/>
      <c r="AG43" s="57"/>
      <c r="AH43" s="57"/>
      <c r="AI43" s="57"/>
      <c r="AJ43" s="57"/>
      <c r="AK43" s="57"/>
      <c r="AL43" s="57"/>
      <c r="AM43" s="57"/>
      <c r="AN43" s="57"/>
      <c r="AO43" s="57"/>
      <c r="AP43" s="57"/>
      <c r="AQ43" s="57"/>
      <c r="AR43" s="57"/>
      <c r="AS43" s="57"/>
      <c r="AT43" s="57"/>
      <c r="AU43" s="57"/>
      <c r="AV43" s="57"/>
      <c r="AW43" s="57"/>
      <c r="AX43" s="57"/>
      <c r="AY43" s="57"/>
      <c r="AZ43" s="57"/>
      <c r="BA43" s="57"/>
      <c r="BB43" s="57"/>
      <c r="BC43" s="57"/>
      <c r="BD43" s="57"/>
      <c r="BE43" s="57"/>
      <c r="BF43" s="57"/>
      <c r="BG43" s="57"/>
      <c r="BH43" s="57"/>
      <c r="BI43" s="57"/>
      <c r="BJ43" s="57"/>
      <c r="BK43" s="57"/>
      <c r="BL43" s="57"/>
      <c r="BM43" s="57"/>
      <c r="BN43" s="57"/>
      <c r="BO43" s="57"/>
      <c r="BP43" s="57"/>
      <c r="BQ43" s="57"/>
      <c r="BR43" s="57"/>
      <c r="BS43" s="57"/>
      <c r="BT43" s="57"/>
      <c r="BU43" s="57"/>
      <c r="BV43" s="57"/>
      <c r="BW43" s="57"/>
      <c r="BX43" s="57"/>
      <c r="BY43" s="57"/>
      <c r="BZ43" s="57"/>
      <c r="CA43" s="57"/>
      <c r="CB43" s="57"/>
      <c r="CC43" s="57"/>
      <c r="CD43" s="57"/>
      <c r="CE43" s="57"/>
      <c r="CF43" s="57"/>
      <c r="CG43" s="57"/>
      <c r="CH43" s="57"/>
      <c r="CI43" s="57"/>
      <c r="CJ43" s="57"/>
      <c r="CK43" s="57"/>
      <c r="CL43" s="57"/>
      <c r="CM43" s="57"/>
      <c r="CN43" s="57"/>
      <c r="CO43" s="57"/>
      <c r="CP43" s="57"/>
      <c r="CQ43" s="57"/>
      <c r="CR43" s="57"/>
      <c r="CS43" s="57"/>
      <c r="CT43" s="57"/>
      <c r="CU43" s="57"/>
      <c r="CV43" s="57"/>
      <c r="CW43" s="57"/>
      <c r="CX43" s="57"/>
      <c r="CY43" s="57"/>
      <c r="CZ43" s="57"/>
      <c r="DA43" s="57"/>
      <c r="DB43" s="57"/>
      <c r="DC43" s="57"/>
      <c r="DD43" s="57"/>
      <c r="DE43" s="57"/>
      <c r="DF43" s="57"/>
      <c r="DG43" s="57"/>
      <c r="DH43" s="57"/>
      <c r="DI43" s="57"/>
      <c r="DJ43" s="57"/>
      <c r="DK43" s="57"/>
      <c r="DL43" s="57"/>
      <c r="DM43" s="57"/>
      <c r="DN43" s="57"/>
      <c r="DO43" s="57"/>
      <c r="DP43" s="57"/>
      <c r="DQ43" s="57"/>
      <c r="DR43" s="57"/>
      <c r="DS43" s="57"/>
      <c r="DT43" s="57"/>
      <c r="DU43" s="57"/>
      <c r="DV43" s="57"/>
      <c r="DW43" s="57"/>
      <c r="DX43" s="57"/>
      <c r="DY43" s="57"/>
      <c r="DZ43" s="57"/>
      <c r="EA43" s="57"/>
      <c r="EB43" s="57"/>
      <c r="EC43" s="57"/>
      <c r="ED43" s="57"/>
      <c r="EE43" s="57"/>
      <c r="EF43" s="57"/>
      <c r="EG43" s="57"/>
      <c r="EH43" s="57"/>
      <c r="EI43" s="57"/>
      <c r="EJ43" s="57"/>
      <c r="EK43" s="57"/>
      <c r="EL43" s="57"/>
      <c r="EM43" s="57"/>
      <c r="EN43" s="57"/>
      <c r="EO43" s="57"/>
      <c r="EP43" s="57"/>
      <c r="EQ43" s="57"/>
      <c r="ER43" s="57"/>
      <c r="ES43" s="57"/>
      <c r="ET43" s="57"/>
      <c r="EU43" s="57"/>
      <c r="EV43" s="57"/>
      <c r="EW43" s="57"/>
      <c r="EX43" s="57"/>
      <c r="EY43" s="57"/>
      <c r="EZ43" s="57"/>
      <c r="FA43" s="57"/>
      <c r="FB43" s="57"/>
      <c r="FC43" s="57"/>
      <c r="FD43" s="57"/>
      <c r="FE43" s="57"/>
      <c r="FF43" s="57"/>
      <c r="FG43" s="57"/>
      <c r="FH43" s="57"/>
      <c r="FI43" s="57"/>
      <c r="FJ43" s="57"/>
    </row>
    <row r="44" ht="15.75" customHeight="1">
      <c r="A44" s="57"/>
      <c r="B44" s="57"/>
      <c r="C44" s="57"/>
      <c r="D44" s="57"/>
      <c r="E44" s="57"/>
      <c r="F44" s="57"/>
      <c r="G44" s="57"/>
      <c r="H44" s="57"/>
      <c r="I44" s="57"/>
      <c r="J44" s="57"/>
      <c r="K44" s="57"/>
      <c r="L44" s="57"/>
      <c r="M44" s="57"/>
      <c r="N44" s="57"/>
      <c r="O44" s="57"/>
      <c r="P44" s="57"/>
      <c r="Q44" s="57"/>
      <c r="R44" s="57"/>
      <c r="S44" s="57"/>
      <c r="T44" s="57"/>
      <c r="U44" s="57"/>
      <c r="V44" s="57"/>
      <c r="W44" s="57"/>
      <c r="X44" s="57"/>
      <c r="Y44" s="57"/>
      <c r="Z44" s="57"/>
      <c r="AA44" s="57"/>
      <c r="AB44" s="57"/>
      <c r="AC44" s="57"/>
      <c r="AD44" s="57"/>
      <c r="AE44" s="57"/>
      <c r="AF44" s="57"/>
      <c r="AG44" s="57"/>
      <c r="AH44" s="57"/>
      <c r="AI44" s="57"/>
      <c r="AJ44" s="57"/>
      <c r="AK44" s="57"/>
      <c r="AL44" s="57"/>
      <c r="AM44" s="57"/>
      <c r="AN44" s="57"/>
      <c r="AO44" s="57"/>
      <c r="AP44" s="57"/>
      <c r="AQ44" s="57"/>
      <c r="AR44" s="57"/>
      <c r="AS44" s="57"/>
      <c r="AT44" s="57"/>
      <c r="AU44" s="57"/>
      <c r="AV44" s="57"/>
      <c r="AW44" s="57"/>
      <c r="AX44" s="57"/>
      <c r="AY44" s="57"/>
      <c r="AZ44" s="57"/>
      <c r="BA44" s="57"/>
      <c r="BB44" s="57"/>
      <c r="BC44" s="57"/>
      <c r="BD44" s="57"/>
      <c r="BE44" s="57"/>
      <c r="BF44" s="57"/>
      <c r="BG44" s="57"/>
      <c r="BH44" s="57"/>
      <c r="BI44" s="57"/>
      <c r="BJ44" s="57"/>
      <c r="BK44" s="57"/>
      <c r="BL44" s="57"/>
      <c r="BM44" s="57"/>
      <c r="BN44" s="57"/>
      <c r="BO44" s="57"/>
      <c r="BP44" s="57"/>
      <c r="BQ44" s="57"/>
      <c r="BR44" s="57"/>
      <c r="BS44" s="57"/>
      <c r="BT44" s="57"/>
      <c r="BU44" s="57"/>
      <c r="BV44" s="57"/>
      <c r="BW44" s="57"/>
      <c r="BX44" s="57"/>
      <c r="BY44" s="57"/>
      <c r="BZ44" s="57"/>
      <c r="CA44" s="57"/>
      <c r="CB44" s="57"/>
      <c r="CC44" s="57"/>
      <c r="CD44" s="57"/>
      <c r="CE44" s="57"/>
      <c r="CF44" s="57"/>
      <c r="CG44" s="57"/>
      <c r="CH44" s="57"/>
      <c r="CI44" s="57"/>
      <c r="CJ44" s="57"/>
      <c r="CK44" s="57"/>
      <c r="CL44" s="57"/>
      <c r="CM44" s="57"/>
      <c r="CN44" s="57"/>
      <c r="CO44" s="57"/>
      <c r="CP44" s="57"/>
      <c r="CQ44" s="57"/>
      <c r="CR44" s="57"/>
      <c r="CS44" s="57"/>
      <c r="CT44" s="57"/>
      <c r="CU44" s="57"/>
      <c r="CV44" s="57"/>
      <c r="CW44" s="57"/>
      <c r="CX44" s="57"/>
      <c r="CY44" s="57"/>
      <c r="CZ44" s="57"/>
      <c r="DA44" s="57"/>
      <c r="DB44" s="57"/>
      <c r="DC44" s="57"/>
      <c r="DD44" s="57"/>
      <c r="DE44" s="57"/>
      <c r="DF44" s="57"/>
      <c r="DG44" s="57"/>
      <c r="DH44" s="57"/>
      <c r="DI44" s="57"/>
      <c r="DJ44" s="57"/>
      <c r="DK44" s="57"/>
      <c r="DL44" s="57"/>
      <c r="DM44" s="57"/>
      <c r="DN44" s="57"/>
      <c r="DO44" s="57"/>
      <c r="DP44" s="57"/>
      <c r="DQ44" s="57"/>
      <c r="DR44" s="57"/>
      <c r="DS44" s="57"/>
      <c r="DT44" s="57"/>
      <c r="DU44" s="57"/>
      <c r="DV44" s="57"/>
      <c r="DW44" s="57"/>
      <c r="DX44" s="57"/>
      <c r="DY44" s="57"/>
      <c r="DZ44" s="57"/>
      <c r="EA44" s="57"/>
      <c r="EB44" s="57"/>
      <c r="EC44" s="57"/>
      <c r="ED44" s="57"/>
      <c r="EE44" s="57"/>
      <c r="EF44" s="57"/>
      <c r="EG44" s="57"/>
      <c r="EH44" s="57"/>
      <c r="EI44" s="57"/>
      <c r="EJ44" s="57"/>
      <c r="EK44" s="57"/>
      <c r="EL44" s="57"/>
      <c r="EM44" s="57"/>
      <c r="EN44" s="57"/>
      <c r="EO44" s="57"/>
      <c r="EP44" s="57"/>
      <c r="EQ44" s="57"/>
      <c r="ER44" s="57"/>
      <c r="ES44" s="57"/>
      <c r="ET44" s="57"/>
      <c r="EU44" s="57"/>
      <c r="EV44" s="57"/>
      <c r="EW44" s="57"/>
      <c r="EX44" s="57"/>
      <c r="EY44" s="57"/>
      <c r="EZ44" s="57"/>
      <c r="FA44" s="57"/>
      <c r="FB44" s="57"/>
      <c r="FC44" s="57"/>
      <c r="FD44" s="57"/>
      <c r="FE44" s="57"/>
      <c r="FF44" s="57"/>
      <c r="FG44" s="57"/>
      <c r="FH44" s="57"/>
      <c r="FI44" s="57"/>
      <c r="FJ44" s="57"/>
    </row>
    <row r="45" ht="15.75" customHeight="1">
      <c r="A45" s="57"/>
      <c r="B45" s="57"/>
      <c r="C45" s="57"/>
      <c r="D45" s="57"/>
      <c r="E45" s="57"/>
      <c r="F45" s="57"/>
      <c r="G45" s="57"/>
      <c r="H45" s="57"/>
      <c r="I45" s="57"/>
      <c r="J45" s="57"/>
      <c r="K45" s="57"/>
      <c r="L45" s="57"/>
      <c r="M45" s="57"/>
      <c r="N45" s="57"/>
      <c r="O45" s="57"/>
      <c r="P45" s="57"/>
      <c r="Q45" s="57"/>
      <c r="R45" s="57"/>
      <c r="S45" s="57"/>
      <c r="T45" s="57"/>
      <c r="U45" s="57"/>
      <c r="V45" s="57"/>
      <c r="W45" s="57"/>
      <c r="X45" s="57"/>
      <c r="Y45" s="57"/>
      <c r="Z45" s="57"/>
      <c r="AA45" s="57"/>
      <c r="AB45" s="57"/>
      <c r="AC45" s="57"/>
      <c r="AD45" s="57"/>
      <c r="AE45" s="57"/>
      <c r="AF45" s="57"/>
      <c r="AG45" s="57"/>
      <c r="AH45" s="57"/>
      <c r="AI45" s="57"/>
      <c r="AJ45" s="57"/>
      <c r="AK45" s="57"/>
      <c r="AL45" s="57"/>
      <c r="AM45" s="57"/>
      <c r="AN45" s="57"/>
      <c r="AO45" s="57"/>
      <c r="AP45" s="57"/>
      <c r="AQ45" s="57"/>
      <c r="AR45" s="57"/>
      <c r="AS45" s="57"/>
      <c r="AT45" s="57"/>
      <c r="AU45" s="57"/>
      <c r="AV45" s="57"/>
      <c r="AW45" s="57"/>
      <c r="AX45" s="57"/>
      <c r="AY45" s="57"/>
      <c r="AZ45" s="57"/>
      <c r="BA45" s="57"/>
      <c r="BB45" s="57"/>
      <c r="BC45" s="57"/>
      <c r="BD45" s="57"/>
      <c r="BE45" s="57"/>
      <c r="BF45" s="57"/>
      <c r="BG45" s="57"/>
      <c r="BH45" s="57"/>
      <c r="BI45" s="57"/>
      <c r="BJ45" s="57"/>
      <c r="BK45" s="57"/>
      <c r="BL45" s="57"/>
      <c r="BM45" s="57"/>
      <c r="BN45" s="57"/>
      <c r="BO45" s="57"/>
      <c r="BP45" s="57"/>
      <c r="BQ45" s="57"/>
      <c r="BR45" s="57"/>
      <c r="BS45" s="57"/>
      <c r="BT45" s="57"/>
      <c r="BU45" s="57"/>
      <c r="BV45" s="57"/>
      <c r="BW45" s="57"/>
      <c r="BX45" s="57"/>
      <c r="BY45" s="57"/>
      <c r="BZ45" s="57"/>
      <c r="CA45" s="57"/>
      <c r="CB45" s="57"/>
      <c r="CC45" s="57"/>
      <c r="CD45" s="57"/>
      <c r="CE45" s="57"/>
      <c r="CF45" s="57"/>
      <c r="CG45" s="57"/>
      <c r="CH45" s="57"/>
      <c r="CI45" s="57"/>
      <c r="CJ45" s="57"/>
      <c r="CK45" s="57"/>
      <c r="CL45" s="57"/>
      <c r="CM45" s="57"/>
      <c r="CN45" s="57"/>
      <c r="CO45" s="57"/>
      <c r="CP45" s="57"/>
      <c r="CQ45" s="57"/>
      <c r="CR45" s="57"/>
      <c r="CS45" s="57"/>
      <c r="CT45" s="57"/>
      <c r="CU45" s="57"/>
      <c r="CV45" s="57"/>
      <c r="CW45" s="57"/>
      <c r="CX45" s="57"/>
      <c r="CY45" s="57"/>
      <c r="CZ45" s="57"/>
      <c r="DA45" s="57"/>
      <c r="DB45" s="57"/>
      <c r="DC45" s="57"/>
      <c r="DD45" s="57"/>
      <c r="DE45" s="57"/>
      <c r="DF45" s="57"/>
      <c r="DG45" s="57"/>
      <c r="DH45" s="57"/>
      <c r="DI45" s="57"/>
      <c r="DJ45" s="57"/>
      <c r="DK45" s="57"/>
      <c r="DL45" s="57"/>
      <c r="DM45" s="57"/>
      <c r="DN45" s="57"/>
      <c r="DO45" s="57"/>
      <c r="DP45" s="57"/>
      <c r="DQ45" s="57"/>
      <c r="DR45" s="57"/>
      <c r="DS45" s="57"/>
      <c r="DT45" s="57"/>
      <c r="DU45" s="57"/>
      <c r="DV45" s="57"/>
      <c r="DW45" s="57"/>
      <c r="DX45" s="57"/>
      <c r="DY45" s="57"/>
      <c r="DZ45" s="57"/>
      <c r="EA45" s="57"/>
      <c r="EB45" s="57"/>
      <c r="EC45" s="57"/>
      <c r="ED45" s="57"/>
      <c r="EE45" s="57"/>
      <c r="EF45" s="57"/>
      <c r="EG45" s="57"/>
      <c r="EH45" s="57"/>
      <c r="EI45" s="57"/>
      <c r="EJ45" s="57"/>
      <c r="EK45" s="57"/>
      <c r="EL45" s="57"/>
      <c r="EM45" s="57"/>
      <c r="EN45" s="57"/>
      <c r="EO45" s="57"/>
      <c r="EP45" s="57"/>
      <c r="EQ45" s="57"/>
      <c r="ER45" s="57"/>
      <c r="ES45" s="57"/>
      <c r="ET45" s="57"/>
      <c r="EU45" s="57"/>
      <c r="EV45" s="57"/>
      <c r="EW45" s="57"/>
      <c r="EX45" s="57"/>
      <c r="EY45" s="57"/>
      <c r="EZ45" s="57"/>
      <c r="FA45" s="57"/>
      <c r="FB45" s="57"/>
      <c r="FC45" s="57"/>
      <c r="FD45" s="57"/>
      <c r="FE45" s="57"/>
      <c r="FF45" s="57"/>
      <c r="FG45" s="57"/>
      <c r="FH45" s="57"/>
      <c r="FI45" s="57"/>
      <c r="FJ45" s="57"/>
    </row>
    <row r="46" ht="15.75" customHeight="1">
      <c r="A46" s="57"/>
      <c r="B46" s="57"/>
      <c r="C46" s="57"/>
      <c r="D46" s="57"/>
      <c r="E46" s="57"/>
      <c r="F46" s="57"/>
      <c r="G46" s="57"/>
      <c r="H46" s="57"/>
      <c r="I46" s="57"/>
      <c r="J46" s="57"/>
      <c r="K46" s="57"/>
      <c r="L46" s="57"/>
      <c r="M46" s="57"/>
      <c r="N46" s="57"/>
      <c r="O46" s="57"/>
      <c r="P46" s="57"/>
      <c r="Q46" s="57"/>
      <c r="R46" s="57"/>
      <c r="S46" s="57"/>
      <c r="T46" s="57"/>
      <c r="U46" s="57"/>
      <c r="V46" s="57"/>
      <c r="W46" s="57"/>
      <c r="X46" s="57"/>
      <c r="Y46" s="57"/>
      <c r="Z46" s="57"/>
      <c r="AA46" s="57"/>
      <c r="AB46" s="57"/>
      <c r="AC46" s="57"/>
      <c r="AD46" s="57"/>
      <c r="AE46" s="57"/>
      <c r="AF46" s="57"/>
      <c r="AG46" s="57"/>
      <c r="AH46" s="57"/>
      <c r="AI46" s="57"/>
      <c r="AJ46" s="57"/>
      <c r="AK46" s="57"/>
      <c r="AL46" s="57"/>
      <c r="AM46" s="57"/>
      <c r="AN46" s="57"/>
      <c r="AO46" s="57"/>
      <c r="AP46" s="57"/>
      <c r="AQ46" s="57"/>
      <c r="AR46" s="57"/>
      <c r="AS46" s="57"/>
      <c r="AT46" s="57"/>
      <c r="AU46" s="57"/>
      <c r="AV46" s="57"/>
      <c r="AW46" s="57"/>
      <c r="AX46" s="57"/>
      <c r="AY46" s="57"/>
      <c r="AZ46" s="57"/>
      <c r="BA46" s="57"/>
      <c r="BB46" s="57"/>
      <c r="BC46" s="57"/>
      <c r="BD46" s="57"/>
      <c r="BE46" s="57"/>
      <c r="BF46" s="57"/>
      <c r="BG46" s="57"/>
      <c r="BH46" s="57"/>
      <c r="BI46" s="57"/>
      <c r="BJ46" s="57"/>
      <c r="BK46" s="57"/>
      <c r="BL46" s="57"/>
      <c r="BM46" s="57"/>
      <c r="BN46" s="57"/>
      <c r="BO46" s="57"/>
      <c r="BP46" s="57"/>
      <c r="BQ46" s="57"/>
      <c r="BR46" s="57"/>
      <c r="BS46" s="57"/>
      <c r="BT46" s="57"/>
      <c r="BU46" s="57"/>
      <c r="BV46" s="57"/>
      <c r="BW46" s="57"/>
      <c r="BX46" s="57"/>
      <c r="BY46" s="57"/>
      <c r="BZ46" s="57"/>
      <c r="CA46" s="57"/>
      <c r="CB46" s="57"/>
      <c r="CC46" s="57"/>
      <c r="CD46" s="57"/>
      <c r="CE46" s="57"/>
      <c r="CF46" s="57"/>
      <c r="CG46" s="57"/>
      <c r="CH46" s="57"/>
      <c r="CI46" s="57"/>
      <c r="CJ46" s="57"/>
      <c r="CK46" s="57"/>
      <c r="CL46" s="57"/>
      <c r="CM46" s="57"/>
      <c r="CN46" s="57"/>
      <c r="CO46" s="57"/>
      <c r="CP46" s="57"/>
      <c r="CQ46" s="57"/>
      <c r="CR46" s="57"/>
      <c r="CS46" s="57"/>
      <c r="CT46" s="57"/>
      <c r="CU46" s="57"/>
      <c r="CV46" s="57"/>
      <c r="CW46" s="57"/>
      <c r="CX46" s="57"/>
      <c r="CY46" s="57"/>
      <c r="CZ46" s="57"/>
      <c r="DA46" s="57"/>
      <c r="DB46" s="57"/>
      <c r="DC46" s="57"/>
      <c r="DD46" s="57"/>
      <c r="DE46" s="57"/>
      <c r="DF46" s="57"/>
      <c r="DG46" s="57"/>
      <c r="DH46" s="57"/>
      <c r="DI46" s="57"/>
      <c r="DJ46" s="57"/>
      <c r="DK46" s="57"/>
      <c r="DL46" s="57"/>
      <c r="DM46" s="57"/>
      <c r="DN46" s="57"/>
      <c r="DO46" s="57"/>
      <c r="DP46" s="57"/>
      <c r="DQ46" s="57"/>
      <c r="DR46" s="57"/>
      <c r="DS46" s="57"/>
      <c r="DT46" s="57"/>
      <c r="DU46" s="57"/>
      <c r="DV46" s="57"/>
      <c r="DW46" s="57"/>
      <c r="DX46" s="57"/>
      <c r="DY46" s="57"/>
      <c r="DZ46" s="57"/>
      <c r="EA46" s="57"/>
      <c r="EB46" s="57"/>
      <c r="EC46" s="57"/>
      <c r="ED46" s="57"/>
      <c r="EE46" s="57"/>
      <c r="EF46" s="57"/>
      <c r="EG46" s="57"/>
      <c r="EH46" s="57"/>
      <c r="EI46" s="57"/>
      <c r="EJ46" s="57"/>
      <c r="EK46" s="57"/>
      <c r="EL46" s="57"/>
      <c r="EM46" s="57"/>
      <c r="EN46" s="57"/>
      <c r="EO46" s="57"/>
      <c r="EP46" s="57"/>
      <c r="EQ46" s="57"/>
      <c r="ER46" s="57"/>
      <c r="ES46" s="57"/>
      <c r="ET46" s="57"/>
      <c r="EU46" s="57"/>
      <c r="EV46" s="57"/>
      <c r="EW46" s="57"/>
      <c r="EX46" s="57"/>
      <c r="EY46" s="57"/>
      <c r="EZ46" s="57"/>
      <c r="FA46" s="57"/>
      <c r="FB46" s="57"/>
      <c r="FC46" s="57"/>
      <c r="FD46" s="57"/>
      <c r="FE46" s="57"/>
      <c r="FF46" s="57"/>
      <c r="FG46" s="57"/>
      <c r="FH46" s="57"/>
      <c r="FI46" s="57"/>
      <c r="FJ46" s="57"/>
    </row>
    <row r="47" ht="15.75" customHeight="1">
      <c r="A47" s="57"/>
      <c r="B47" s="57"/>
      <c r="C47" s="57"/>
      <c r="D47" s="57"/>
      <c r="E47" s="57"/>
      <c r="F47" s="57"/>
      <c r="G47" s="57"/>
      <c r="H47" s="57"/>
      <c r="I47" s="57"/>
      <c r="J47" s="57"/>
      <c r="K47" s="57"/>
      <c r="L47" s="57"/>
      <c r="M47" s="57"/>
      <c r="N47" s="57"/>
      <c r="O47" s="57"/>
      <c r="P47" s="57"/>
      <c r="Q47" s="57"/>
      <c r="R47" s="57"/>
      <c r="S47" s="57"/>
      <c r="T47" s="57"/>
      <c r="U47" s="57"/>
      <c r="V47" s="57"/>
      <c r="W47" s="57"/>
      <c r="X47" s="57"/>
      <c r="Y47" s="57"/>
      <c r="Z47" s="57"/>
      <c r="AA47" s="57"/>
      <c r="AB47" s="57"/>
      <c r="AC47" s="57"/>
      <c r="AD47" s="57"/>
      <c r="AE47" s="57"/>
      <c r="AF47" s="57"/>
      <c r="AG47" s="57"/>
      <c r="AH47" s="57"/>
      <c r="AI47" s="57"/>
      <c r="AJ47" s="57"/>
      <c r="AK47" s="57"/>
      <c r="AL47" s="57"/>
      <c r="AM47" s="57"/>
      <c r="AN47" s="57"/>
      <c r="AO47" s="57"/>
      <c r="AP47" s="57"/>
      <c r="AQ47" s="57"/>
      <c r="AR47" s="57"/>
      <c r="AS47" s="57"/>
      <c r="AT47" s="57"/>
      <c r="AU47" s="57"/>
      <c r="AV47" s="57"/>
      <c r="AW47" s="57"/>
      <c r="AX47" s="57"/>
      <c r="AY47" s="57"/>
      <c r="AZ47" s="57"/>
      <c r="BA47" s="57"/>
      <c r="BB47" s="57"/>
      <c r="BC47" s="57"/>
      <c r="BD47" s="57"/>
      <c r="BE47" s="57"/>
      <c r="BF47" s="57"/>
      <c r="BG47" s="57"/>
      <c r="BH47" s="57"/>
      <c r="BI47" s="57"/>
      <c r="BJ47" s="57"/>
      <c r="BK47" s="57"/>
      <c r="BL47" s="57"/>
      <c r="BM47" s="57"/>
      <c r="BN47" s="57"/>
      <c r="BO47" s="57"/>
      <c r="BP47" s="57"/>
      <c r="BQ47" s="57"/>
      <c r="BR47" s="57"/>
      <c r="BS47" s="57"/>
      <c r="BT47" s="57"/>
      <c r="BU47" s="57"/>
      <c r="BV47" s="57"/>
      <c r="BW47" s="57"/>
      <c r="BX47" s="57"/>
      <c r="BY47" s="57"/>
      <c r="BZ47" s="57"/>
      <c r="CA47" s="57"/>
      <c r="CB47" s="57"/>
      <c r="CC47" s="57"/>
      <c r="CD47" s="57"/>
      <c r="CE47" s="57"/>
      <c r="CF47" s="57"/>
      <c r="CG47" s="57"/>
      <c r="CH47" s="57"/>
      <c r="CI47" s="57"/>
      <c r="CJ47" s="57"/>
      <c r="CK47" s="57"/>
      <c r="CL47" s="57"/>
      <c r="CM47" s="57"/>
      <c r="CN47" s="57"/>
      <c r="CO47" s="57"/>
      <c r="CP47" s="57"/>
      <c r="CQ47" s="57"/>
      <c r="CR47" s="57"/>
      <c r="CS47" s="57"/>
      <c r="CT47" s="57"/>
      <c r="CU47" s="57"/>
      <c r="CV47" s="57"/>
      <c r="CW47" s="57"/>
      <c r="CX47" s="57"/>
      <c r="CY47" s="57"/>
      <c r="CZ47" s="57"/>
      <c r="DA47" s="57"/>
      <c r="DB47" s="57"/>
      <c r="DC47" s="57"/>
      <c r="DD47" s="57"/>
      <c r="DE47" s="57"/>
      <c r="DF47" s="57"/>
      <c r="DG47" s="57"/>
      <c r="DH47" s="57"/>
      <c r="DI47" s="57"/>
      <c r="DJ47" s="57"/>
      <c r="DK47" s="57"/>
      <c r="DL47" s="57"/>
      <c r="DM47" s="57"/>
      <c r="DN47" s="57"/>
      <c r="DO47" s="57"/>
      <c r="DP47" s="57"/>
      <c r="DQ47" s="57"/>
      <c r="DR47" s="57"/>
      <c r="DS47" s="57"/>
      <c r="DT47" s="57"/>
      <c r="DU47" s="57"/>
      <c r="DV47" s="57"/>
      <c r="DW47" s="57"/>
      <c r="DX47" s="57"/>
      <c r="DY47" s="57"/>
      <c r="DZ47" s="57"/>
      <c r="EA47" s="57"/>
      <c r="EB47" s="57"/>
      <c r="EC47" s="57"/>
      <c r="ED47" s="57"/>
      <c r="EE47" s="57"/>
      <c r="EF47" s="57"/>
      <c r="EG47" s="57"/>
      <c r="EH47" s="57"/>
      <c r="EI47" s="57"/>
      <c r="EJ47" s="57"/>
      <c r="EK47" s="57"/>
      <c r="EL47" s="57"/>
      <c r="EM47" s="57"/>
      <c r="EN47" s="57"/>
      <c r="EO47" s="57"/>
      <c r="EP47" s="57"/>
      <c r="EQ47" s="57"/>
      <c r="ER47" s="57"/>
      <c r="ES47" s="57"/>
      <c r="ET47" s="57"/>
      <c r="EU47" s="57"/>
      <c r="EV47" s="57"/>
      <c r="EW47" s="57"/>
      <c r="EX47" s="57"/>
      <c r="EY47" s="57"/>
      <c r="EZ47" s="57"/>
      <c r="FA47" s="57"/>
      <c r="FB47" s="57"/>
      <c r="FC47" s="57"/>
      <c r="FD47" s="57"/>
      <c r="FE47" s="57"/>
      <c r="FF47" s="57"/>
      <c r="FG47" s="57"/>
      <c r="FH47" s="57"/>
      <c r="FI47" s="57"/>
      <c r="FJ47" s="57"/>
    </row>
    <row r="48" ht="15.75" customHeight="1">
      <c r="A48" s="57"/>
      <c r="B48" s="57"/>
      <c r="C48" s="57"/>
      <c r="D48" s="57"/>
      <c r="E48" s="57"/>
      <c r="F48" s="57"/>
      <c r="G48" s="57"/>
      <c r="H48" s="57"/>
      <c r="I48" s="57"/>
      <c r="J48" s="57"/>
      <c r="K48" s="57"/>
      <c r="L48" s="57"/>
      <c r="M48" s="57"/>
      <c r="N48" s="57"/>
      <c r="O48" s="57"/>
      <c r="P48" s="57"/>
      <c r="Q48" s="57"/>
      <c r="R48" s="57"/>
      <c r="S48" s="57"/>
      <c r="T48" s="57"/>
      <c r="U48" s="57"/>
      <c r="V48" s="57"/>
      <c r="W48" s="57"/>
      <c r="X48" s="57"/>
      <c r="Y48" s="57"/>
      <c r="Z48" s="57"/>
      <c r="AA48" s="57"/>
      <c r="AB48" s="57"/>
      <c r="AC48" s="57"/>
      <c r="AD48" s="57"/>
      <c r="AE48" s="57"/>
      <c r="AF48" s="57"/>
      <c r="AG48" s="57"/>
      <c r="AH48" s="57"/>
      <c r="AI48" s="57"/>
      <c r="AJ48" s="57"/>
      <c r="AK48" s="57"/>
      <c r="AL48" s="57"/>
      <c r="AM48" s="57"/>
      <c r="AN48" s="57"/>
      <c r="AO48" s="57"/>
      <c r="AP48" s="57"/>
      <c r="AQ48" s="57"/>
      <c r="AR48" s="57"/>
      <c r="AS48" s="57"/>
      <c r="AT48" s="57"/>
      <c r="AU48" s="57"/>
      <c r="AV48" s="57"/>
      <c r="AW48" s="57"/>
      <c r="AX48" s="57"/>
      <c r="AY48" s="57"/>
      <c r="AZ48" s="57"/>
      <c r="BA48" s="57"/>
      <c r="BB48" s="57"/>
      <c r="BC48" s="57"/>
      <c r="BD48" s="57"/>
      <c r="BE48" s="57"/>
      <c r="BF48" s="57"/>
      <c r="BG48" s="57"/>
      <c r="BH48" s="57"/>
      <c r="BI48" s="57"/>
      <c r="BJ48" s="57"/>
      <c r="BK48" s="57"/>
      <c r="BL48" s="57"/>
      <c r="BM48" s="57"/>
      <c r="BN48" s="57"/>
      <c r="BO48" s="57"/>
      <c r="BP48" s="57"/>
      <c r="BQ48" s="57"/>
      <c r="BR48" s="57"/>
      <c r="BS48" s="57"/>
      <c r="BT48" s="57"/>
      <c r="BU48" s="57"/>
      <c r="BV48" s="57"/>
      <c r="BW48" s="57"/>
      <c r="BX48" s="57"/>
      <c r="BY48" s="57"/>
      <c r="BZ48" s="57"/>
      <c r="CA48" s="57"/>
      <c r="CB48" s="57"/>
      <c r="CC48" s="57"/>
      <c r="CD48" s="57"/>
      <c r="CE48" s="57"/>
      <c r="CF48" s="57"/>
      <c r="CG48" s="57"/>
      <c r="CH48" s="57"/>
      <c r="CI48" s="57"/>
      <c r="CJ48" s="57"/>
      <c r="CK48" s="57"/>
      <c r="CL48" s="57"/>
      <c r="CM48" s="57"/>
      <c r="CN48" s="57"/>
      <c r="CO48" s="57"/>
      <c r="CP48" s="57"/>
      <c r="CQ48" s="57"/>
      <c r="CR48" s="57"/>
      <c r="CS48" s="57"/>
      <c r="CT48" s="57"/>
      <c r="CU48" s="57"/>
      <c r="CV48" s="57"/>
      <c r="CW48" s="57"/>
      <c r="CX48" s="57"/>
      <c r="CY48" s="57"/>
      <c r="CZ48" s="57"/>
      <c r="DA48" s="57"/>
      <c r="DB48" s="57"/>
      <c r="DC48" s="57"/>
      <c r="DD48" s="57"/>
      <c r="DE48" s="57"/>
      <c r="DF48" s="57"/>
      <c r="DG48" s="57"/>
      <c r="DH48" s="57"/>
      <c r="DI48" s="57"/>
      <c r="DJ48" s="57"/>
      <c r="DK48" s="57"/>
      <c r="DL48" s="57"/>
      <c r="DM48" s="57"/>
      <c r="DN48" s="57"/>
      <c r="DO48" s="57"/>
      <c r="DP48" s="57"/>
      <c r="DQ48" s="57"/>
      <c r="DR48" s="57"/>
      <c r="DS48" s="57"/>
      <c r="DT48" s="57"/>
      <c r="DU48" s="57"/>
      <c r="DV48" s="57"/>
      <c r="DW48" s="57"/>
      <c r="DX48" s="57"/>
      <c r="DY48" s="57"/>
      <c r="DZ48" s="57"/>
      <c r="EA48" s="57"/>
      <c r="EB48" s="57"/>
      <c r="EC48" s="57"/>
      <c r="ED48" s="57"/>
      <c r="EE48" s="57"/>
      <c r="EF48" s="57"/>
      <c r="EG48" s="57"/>
      <c r="EH48" s="57"/>
      <c r="EI48" s="57"/>
      <c r="EJ48" s="57"/>
      <c r="EK48" s="57"/>
      <c r="EL48" s="57"/>
      <c r="EM48" s="57"/>
      <c r="EN48" s="57"/>
      <c r="EO48" s="57"/>
      <c r="EP48" s="57"/>
      <c r="EQ48" s="57"/>
      <c r="ER48" s="57"/>
      <c r="ES48" s="57"/>
      <c r="ET48" s="57"/>
      <c r="EU48" s="57"/>
      <c r="EV48" s="57"/>
      <c r="EW48" s="57"/>
      <c r="EX48" s="57"/>
      <c r="EY48" s="57"/>
      <c r="EZ48" s="57"/>
      <c r="FA48" s="57"/>
      <c r="FB48" s="57"/>
      <c r="FC48" s="57"/>
      <c r="FD48" s="57"/>
      <c r="FE48" s="57"/>
      <c r="FF48" s="57"/>
      <c r="FG48" s="57"/>
      <c r="FH48" s="57"/>
      <c r="FI48" s="57"/>
      <c r="FJ48" s="57"/>
    </row>
    <row r="49" ht="15.75" customHeight="1">
      <c r="A49" s="57"/>
      <c r="B49" s="57"/>
      <c r="C49" s="57"/>
      <c r="D49" s="57"/>
      <c r="E49" s="57"/>
      <c r="F49" s="57"/>
      <c r="G49" s="57"/>
      <c r="H49" s="57"/>
      <c r="I49" s="57"/>
      <c r="J49" s="57"/>
      <c r="K49" s="57"/>
      <c r="L49" s="57"/>
      <c r="M49" s="57"/>
      <c r="N49" s="57"/>
      <c r="O49" s="57"/>
      <c r="P49" s="57"/>
      <c r="Q49" s="57"/>
      <c r="R49" s="57"/>
      <c r="S49" s="57"/>
      <c r="T49" s="57"/>
      <c r="U49" s="57"/>
      <c r="V49" s="57"/>
      <c r="W49" s="57"/>
      <c r="X49" s="57"/>
      <c r="Y49" s="57"/>
      <c r="Z49" s="57"/>
      <c r="AA49" s="57"/>
      <c r="AB49" s="57"/>
      <c r="AC49" s="57"/>
      <c r="AD49" s="57"/>
      <c r="AE49" s="57"/>
      <c r="AF49" s="57"/>
      <c r="AG49" s="57"/>
      <c r="AH49" s="57"/>
      <c r="AI49" s="57"/>
      <c r="AJ49" s="57"/>
      <c r="AK49" s="57"/>
      <c r="AL49" s="57"/>
      <c r="AM49" s="57"/>
      <c r="AN49" s="57"/>
      <c r="AO49" s="57"/>
      <c r="AP49" s="57"/>
      <c r="AQ49" s="57"/>
      <c r="AR49" s="57"/>
      <c r="AS49" s="57"/>
      <c r="AT49" s="57"/>
      <c r="AU49" s="57"/>
      <c r="AV49" s="57"/>
      <c r="AW49" s="57"/>
      <c r="AX49" s="57"/>
      <c r="AY49" s="57"/>
      <c r="AZ49" s="57"/>
      <c r="BA49" s="57"/>
      <c r="BB49" s="57"/>
      <c r="BC49" s="57"/>
      <c r="BD49" s="57"/>
      <c r="BE49" s="57"/>
      <c r="BF49" s="57"/>
      <c r="BG49" s="57"/>
      <c r="BH49" s="57"/>
      <c r="BI49" s="57"/>
      <c r="BJ49" s="57"/>
      <c r="BK49" s="57"/>
      <c r="BL49" s="57"/>
      <c r="BM49" s="57"/>
      <c r="BN49" s="57"/>
      <c r="BO49" s="57"/>
      <c r="BP49" s="57"/>
      <c r="BQ49" s="57"/>
      <c r="BR49" s="57"/>
      <c r="BS49" s="57"/>
      <c r="BT49" s="57"/>
      <c r="BU49" s="57"/>
      <c r="BV49" s="57"/>
      <c r="BW49" s="57"/>
      <c r="BX49" s="57"/>
      <c r="BY49" s="57"/>
      <c r="BZ49" s="57"/>
      <c r="CA49" s="57"/>
      <c r="CB49" s="57"/>
      <c r="CC49" s="57"/>
      <c r="CD49" s="57"/>
      <c r="CE49" s="57"/>
      <c r="CF49" s="57"/>
      <c r="CG49" s="57"/>
      <c r="CH49" s="57"/>
      <c r="CI49" s="57"/>
      <c r="CJ49" s="57"/>
      <c r="CK49" s="57"/>
      <c r="CL49" s="57"/>
      <c r="CM49" s="57"/>
      <c r="CN49" s="57"/>
      <c r="CO49" s="57"/>
      <c r="CP49" s="57"/>
      <c r="CQ49" s="57"/>
      <c r="CR49" s="57"/>
      <c r="CS49" s="57"/>
      <c r="CT49" s="57"/>
      <c r="CU49" s="57"/>
      <c r="CV49" s="57"/>
      <c r="CW49" s="57"/>
      <c r="CX49" s="57"/>
      <c r="CY49" s="57"/>
      <c r="CZ49" s="57"/>
      <c r="DA49" s="57"/>
      <c r="DB49" s="57"/>
      <c r="DC49" s="57"/>
      <c r="DD49" s="57"/>
      <c r="DE49" s="57"/>
      <c r="DF49" s="57"/>
      <c r="DG49" s="57"/>
      <c r="DH49" s="57"/>
      <c r="DI49" s="57"/>
      <c r="DJ49" s="57"/>
      <c r="DK49" s="57"/>
      <c r="DL49" s="57"/>
      <c r="DM49" s="57"/>
      <c r="DN49" s="57"/>
      <c r="DO49" s="57"/>
      <c r="DP49" s="57"/>
      <c r="DQ49" s="57"/>
      <c r="DR49" s="57"/>
      <c r="DS49" s="57"/>
      <c r="DT49" s="57"/>
      <c r="DU49" s="57"/>
      <c r="DV49" s="57"/>
      <c r="DW49" s="57"/>
      <c r="DX49" s="57"/>
      <c r="DY49" s="57"/>
      <c r="DZ49" s="57"/>
      <c r="EA49" s="57"/>
      <c r="EB49" s="57"/>
      <c r="EC49" s="57"/>
      <c r="ED49" s="57"/>
      <c r="EE49" s="57"/>
      <c r="EF49" s="57"/>
      <c r="EG49" s="57"/>
      <c r="EH49" s="57"/>
      <c r="EI49" s="57"/>
      <c r="EJ49" s="57"/>
      <c r="EK49" s="57"/>
      <c r="EL49" s="57"/>
      <c r="EM49" s="57"/>
      <c r="EN49" s="57"/>
      <c r="EO49" s="57"/>
      <c r="EP49" s="57"/>
      <c r="EQ49" s="57"/>
      <c r="ER49" s="57"/>
      <c r="ES49" s="57"/>
      <c r="ET49" s="57"/>
      <c r="EU49" s="57"/>
      <c r="EV49" s="57"/>
      <c r="EW49" s="57"/>
      <c r="EX49" s="57"/>
      <c r="EY49" s="57"/>
      <c r="EZ49" s="57"/>
      <c r="FA49" s="57"/>
      <c r="FB49" s="57"/>
      <c r="FC49" s="57"/>
      <c r="FD49" s="57"/>
      <c r="FE49" s="57"/>
      <c r="FF49" s="57"/>
      <c r="FG49" s="57"/>
      <c r="FH49" s="57"/>
      <c r="FI49" s="57"/>
      <c r="FJ49" s="57"/>
    </row>
    <row r="50" ht="15.75" customHeight="1">
      <c r="A50" s="57"/>
      <c r="B50" s="57"/>
      <c r="C50" s="57"/>
      <c r="D50" s="57"/>
      <c r="E50" s="57"/>
      <c r="F50" s="57"/>
      <c r="G50" s="57"/>
      <c r="H50" s="57"/>
      <c r="I50" s="57"/>
      <c r="J50" s="57"/>
      <c r="K50" s="57"/>
      <c r="L50" s="57"/>
      <c r="M50" s="57"/>
      <c r="N50" s="57"/>
      <c r="O50" s="57"/>
      <c r="P50" s="57"/>
      <c r="Q50" s="57"/>
      <c r="R50" s="57"/>
      <c r="S50" s="57"/>
      <c r="T50" s="57"/>
      <c r="U50" s="57"/>
      <c r="V50" s="57"/>
      <c r="W50" s="57"/>
      <c r="X50" s="57"/>
      <c r="Y50" s="57"/>
      <c r="Z50" s="57"/>
      <c r="AA50" s="57"/>
      <c r="AB50" s="57"/>
      <c r="AC50" s="57"/>
      <c r="AD50" s="57"/>
      <c r="AE50" s="57"/>
      <c r="AF50" s="57"/>
      <c r="AG50" s="57"/>
      <c r="AH50" s="57"/>
      <c r="AI50" s="57"/>
      <c r="AJ50" s="57"/>
      <c r="AK50" s="57"/>
      <c r="AL50" s="57"/>
      <c r="AM50" s="57"/>
      <c r="AN50" s="57"/>
      <c r="AO50" s="57"/>
      <c r="AP50" s="57"/>
      <c r="AQ50" s="57"/>
      <c r="AR50" s="57"/>
      <c r="AS50" s="57"/>
      <c r="AT50" s="57"/>
      <c r="AU50" s="57"/>
      <c r="AV50" s="57"/>
      <c r="AW50" s="57"/>
      <c r="AX50" s="57"/>
      <c r="AY50" s="57"/>
      <c r="AZ50" s="57"/>
      <c r="BA50" s="57"/>
      <c r="BB50" s="57"/>
      <c r="BC50" s="57"/>
      <c r="BD50" s="57"/>
      <c r="BE50" s="57"/>
      <c r="BF50" s="57"/>
      <c r="BG50" s="57"/>
      <c r="BH50" s="57"/>
      <c r="BI50" s="57"/>
      <c r="BJ50" s="57"/>
      <c r="BK50" s="57"/>
      <c r="BL50" s="57"/>
      <c r="BM50" s="57"/>
      <c r="BN50" s="57"/>
      <c r="BO50" s="57"/>
      <c r="BP50" s="57"/>
      <c r="BQ50" s="57"/>
      <c r="BR50" s="57"/>
      <c r="BS50" s="57"/>
      <c r="BT50" s="57"/>
      <c r="BU50" s="57"/>
      <c r="BV50" s="57"/>
      <c r="BW50" s="57"/>
      <c r="BX50" s="57"/>
      <c r="BY50" s="57"/>
      <c r="BZ50" s="57"/>
      <c r="CA50" s="57"/>
      <c r="CB50" s="57"/>
      <c r="CC50" s="57"/>
      <c r="CD50" s="57"/>
      <c r="CE50" s="57"/>
      <c r="CF50" s="57"/>
      <c r="CG50" s="57"/>
      <c r="CH50" s="57"/>
      <c r="CI50" s="57"/>
      <c r="CJ50" s="57"/>
      <c r="CK50" s="57"/>
      <c r="CL50" s="57"/>
      <c r="CM50" s="57"/>
      <c r="CN50" s="57"/>
      <c r="CO50" s="57"/>
      <c r="CP50" s="57"/>
      <c r="CQ50" s="57"/>
      <c r="CR50" s="57"/>
      <c r="CS50" s="57"/>
      <c r="CT50" s="57"/>
      <c r="CU50" s="57"/>
      <c r="CV50" s="57"/>
      <c r="CW50" s="57"/>
      <c r="CX50" s="57"/>
      <c r="CY50" s="57"/>
      <c r="CZ50" s="57"/>
      <c r="DA50" s="57"/>
      <c r="DB50" s="57"/>
      <c r="DC50" s="57"/>
      <c r="DD50" s="57"/>
      <c r="DE50" s="57"/>
      <c r="DF50" s="57"/>
      <c r="DG50" s="57"/>
      <c r="DH50" s="57"/>
      <c r="DI50" s="57"/>
      <c r="DJ50" s="57"/>
      <c r="DK50" s="57"/>
      <c r="DL50" s="57"/>
      <c r="DM50" s="57"/>
      <c r="DN50" s="57"/>
      <c r="DO50" s="57"/>
      <c r="DP50" s="57"/>
      <c r="DQ50" s="57"/>
      <c r="DR50" s="57"/>
      <c r="DS50" s="57"/>
      <c r="DT50" s="57"/>
      <c r="DU50" s="57"/>
      <c r="DV50" s="57"/>
      <c r="DW50" s="57"/>
      <c r="DX50" s="57"/>
      <c r="DY50" s="57"/>
      <c r="DZ50" s="57"/>
      <c r="EA50" s="57"/>
      <c r="EB50" s="57"/>
      <c r="EC50" s="57"/>
      <c r="ED50" s="57"/>
      <c r="EE50" s="57"/>
      <c r="EF50" s="57"/>
      <c r="EG50" s="57"/>
      <c r="EH50" s="57"/>
      <c r="EI50" s="57"/>
      <c r="EJ50" s="57"/>
      <c r="EK50" s="57"/>
      <c r="EL50" s="57"/>
      <c r="EM50" s="57"/>
      <c r="EN50" s="57"/>
      <c r="EO50" s="57"/>
      <c r="EP50" s="57"/>
      <c r="EQ50" s="57"/>
      <c r="ER50" s="57"/>
      <c r="ES50" s="57"/>
      <c r="ET50" s="57"/>
      <c r="EU50" s="57"/>
      <c r="EV50" s="57"/>
      <c r="EW50" s="57"/>
      <c r="EX50" s="57"/>
      <c r="EY50" s="57"/>
      <c r="EZ50" s="57"/>
      <c r="FA50" s="57"/>
      <c r="FB50" s="57"/>
      <c r="FC50" s="57"/>
      <c r="FD50" s="57"/>
      <c r="FE50" s="57"/>
      <c r="FF50" s="57"/>
      <c r="FG50" s="57"/>
      <c r="FH50" s="57"/>
      <c r="FI50" s="57"/>
      <c r="FJ50" s="57"/>
    </row>
    <row r="51" ht="15.75" customHeight="1">
      <c r="A51" s="57"/>
      <c r="B51" s="57"/>
      <c r="C51" s="57"/>
      <c r="D51" s="57"/>
      <c r="E51" s="57"/>
      <c r="F51" s="57"/>
      <c r="G51" s="57"/>
      <c r="H51" s="57"/>
      <c r="I51" s="57"/>
      <c r="J51" s="57"/>
      <c r="K51" s="57"/>
      <c r="L51" s="57"/>
      <c r="M51" s="57"/>
      <c r="N51" s="57"/>
      <c r="O51" s="57"/>
      <c r="P51" s="57"/>
      <c r="Q51" s="57"/>
      <c r="R51" s="57"/>
      <c r="S51" s="57"/>
      <c r="T51" s="57"/>
      <c r="U51" s="57"/>
      <c r="V51" s="57"/>
      <c r="W51" s="57"/>
      <c r="X51" s="57"/>
      <c r="Y51" s="57"/>
      <c r="Z51" s="57"/>
      <c r="AA51" s="57"/>
      <c r="AB51" s="57"/>
      <c r="AC51" s="57"/>
      <c r="AD51" s="57"/>
      <c r="AE51" s="57"/>
      <c r="AF51" s="57"/>
      <c r="AG51" s="57"/>
      <c r="AH51" s="57"/>
      <c r="AI51" s="57"/>
      <c r="AJ51" s="57"/>
      <c r="AK51" s="57"/>
      <c r="AL51" s="57"/>
      <c r="AM51" s="57"/>
      <c r="AN51" s="57"/>
      <c r="AO51" s="57"/>
      <c r="AP51" s="57"/>
      <c r="AQ51" s="57"/>
      <c r="AR51" s="57"/>
      <c r="AS51" s="57"/>
      <c r="AT51" s="57"/>
      <c r="AU51" s="57"/>
      <c r="AV51" s="57"/>
      <c r="AW51" s="57"/>
      <c r="AX51" s="57"/>
      <c r="AY51" s="57"/>
      <c r="AZ51" s="57"/>
      <c r="BA51" s="57"/>
      <c r="BB51" s="57"/>
      <c r="BC51" s="57"/>
      <c r="BD51" s="57"/>
      <c r="BE51" s="57"/>
      <c r="BF51" s="57"/>
      <c r="BG51" s="57"/>
      <c r="BH51" s="57"/>
      <c r="BI51" s="57"/>
      <c r="BJ51" s="57"/>
      <c r="BK51" s="57"/>
      <c r="BL51" s="57"/>
      <c r="BM51" s="57"/>
      <c r="BN51" s="57"/>
      <c r="BO51" s="57"/>
      <c r="BP51" s="57"/>
      <c r="BQ51" s="57"/>
      <c r="BR51" s="57"/>
      <c r="BS51" s="57"/>
      <c r="BT51" s="57"/>
      <c r="BU51" s="57"/>
      <c r="BV51" s="57"/>
      <c r="BW51" s="57"/>
      <c r="BX51" s="57"/>
      <c r="BY51" s="57"/>
      <c r="BZ51" s="57"/>
      <c r="CA51" s="57"/>
      <c r="CB51" s="57"/>
      <c r="CC51" s="57"/>
      <c r="CD51" s="57"/>
      <c r="CE51" s="57"/>
      <c r="CF51" s="57"/>
      <c r="CG51" s="57"/>
      <c r="CH51" s="57"/>
      <c r="CI51" s="57"/>
      <c r="CJ51" s="57"/>
      <c r="CK51" s="57"/>
      <c r="CL51" s="57"/>
      <c r="CM51" s="57"/>
      <c r="CN51" s="57"/>
      <c r="CO51" s="57"/>
      <c r="CP51" s="57"/>
      <c r="CQ51" s="57"/>
      <c r="CR51" s="57"/>
      <c r="CS51" s="57"/>
      <c r="CT51" s="57"/>
      <c r="CU51" s="57"/>
      <c r="CV51" s="57"/>
      <c r="CW51" s="57"/>
      <c r="CX51" s="57"/>
      <c r="CY51" s="57"/>
      <c r="CZ51" s="57"/>
      <c r="DA51" s="57"/>
      <c r="DB51" s="57"/>
      <c r="DC51" s="57"/>
      <c r="DD51" s="57"/>
      <c r="DE51" s="57"/>
      <c r="DF51" s="57"/>
      <c r="DG51" s="57"/>
      <c r="DH51" s="57"/>
      <c r="DI51" s="57"/>
      <c r="DJ51" s="57"/>
      <c r="DK51" s="57"/>
      <c r="DL51" s="57"/>
      <c r="DM51" s="57"/>
      <c r="DN51" s="57"/>
      <c r="DO51" s="57"/>
      <c r="DP51" s="57"/>
      <c r="DQ51" s="57"/>
      <c r="DR51" s="57"/>
      <c r="DS51" s="57"/>
      <c r="DT51" s="57"/>
      <c r="DU51" s="57"/>
      <c r="DV51" s="57"/>
      <c r="DW51" s="57"/>
      <c r="DX51" s="57"/>
      <c r="DY51" s="57"/>
      <c r="DZ51" s="57"/>
      <c r="EA51" s="57"/>
      <c r="EB51" s="57"/>
      <c r="EC51" s="57"/>
      <c r="ED51" s="57"/>
      <c r="EE51" s="57"/>
      <c r="EF51" s="57"/>
      <c r="EG51" s="57"/>
      <c r="EH51" s="57"/>
      <c r="EI51" s="57"/>
      <c r="EJ51" s="57"/>
      <c r="EK51" s="57"/>
      <c r="EL51" s="57"/>
      <c r="EM51" s="57"/>
      <c r="EN51" s="57"/>
      <c r="EO51" s="57"/>
      <c r="EP51" s="57"/>
      <c r="EQ51" s="57"/>
      <c r="ER51" s="57"/>
      <c r="ES51" s="57"/>
      <c r="ET51" s="57"/>
      <c r="EU51" s="57"/>
      <c r="EV51" s="57"/>
      <c r="EW51" s="57"/>
      <c r="EX51" s="57"/>
      <c r="EY51" s="57"/>
      <c r="EZ51" s="57"/>
      <c r="FA51" s="57"/>
      <c r="FB51" s="57"/>
      <c r="FC51" s="57"/>
      <c r="FD51" s="57"/>
      <c r="FE51" s="57"/>
      <c r="FF51" s="57"/>
      <c r="FG51" s="57"/>
      <c r="FH51" s="57"/>
      <c r="FI51" s="57"/>
      <c r="FJ51" s="57"/>
    </row>
    <row r="52" ht="15.75" customHeight="1">
      <c r="A52" s="57"/>
      <c r="B52" s="57"/>
      <c r="C52" s="57"/>
      <c r="D52" s="57"/>
      <c r="E52" s="57"/>
      <c r="F52" s="57"/>
      <c r="G52" s="57"/>
      <c r="H52" s="57"/>
      <c r="I52" s="57"/>
      <c r="J52" s="57"/>
      <c r="K52" s="57"/>
      <c r="L52" s="57"/>
      <c r="M52" s="57"/>
      <c r="N52" s="57"/>
      <c r="O52" s="57"/>
      <c r="P52" s="57"/>
      <c r="Q52" s="57"/>
      <c r="R52" s="57"/>
      <c r="S52" s="57"/>
      <c r="T52" s="57"/>
      <c r="U52" s="57"/>
      <c r="V52" s="57"/>
      <c r="W52" s="57"/>
      <c r="X52" s="57"/>
      <c r="Y52" s="57"/>
      <c r="Z52" s="57"/>
      <c r="AA52" s="57"/>
      <c r="AB52" s="57"/>
      <c r="AC52" s="57"/>
      <c r="AD52" s="57"/>
      <c r="AE52" s="57"/>
      <c r="AF52" s="57"/>
      <c r="AG52" s="57"/>
      <c r="AH52" s="57"/>
      <c r="AI52" s="57"/>
      <c r="AJ52" s="57"/>
      <c r="AK52" s="57"/>
      <c r="AL52" s="57"/>
      <c r="AM52" s="57"/>
      <c r="AN52" s="57"/>
      <c r="AO52" s="57"/>
      <c r="AP52" s="57"/>
      <c r="AQ52" s="57"/>
      <c r="AR52" s="57"/>
      <c r="AS52" s="57"/>
      <c r="AT52" s="57"/>
      <c r="AU52" s="57"/>
      <c r="AV52" s="57"/>
      <c r="AW52" s="57"/>
      <c r="AX52" s="57"/>
      <c r="AY52" s="57"/>
      <c r="AZ52" s="57"/>
      <c r="BA52" s="57"/>
      <c r="BB52" s="57"/>
      <c r="BC52" s="57"/>
      <c r="BD52" s="57"/>
      <c r="BE52" s="57"/>
      <c r="BF52" s="57"/>
      <c r="BG52" s="57"/>
      <c r="BH52" s="57"/>
      <c r="BI52" s="57"/>
      <c r="BJ52" s="57"/>
      <c r="BK52" s="57"/>
      <c r="BL52" s="57"/>
      <c r="BM52" s="57"/>
      <c r="BN52" s="57"/>
      <c r="BO52" s="57"/>
      <c r="BP52" s="57"/>
      <c r="BQ52" s="57"/>
      <c r="BR52" s="57"/>
      <c r="BS52" s="57"/>
      <c r="BT52" s="57"/>
      <c r="BU52" s="57"/>
      <c r="BV52" s="57"/>
      <c r="BW52" s="57"/>
      <c r="BX52" s="57"/>
      <c r="BY52" s="57"/>
      <c r="BZ52" s="57"/>
      <c r="CA52" s="57"/>
      <c r="CB52" s="57"/>
      <c r="CC52" s="57"/>
      <c r="CD52" s="57"/>
      <c r="CE52" s="57"/>
      <c r="CF52" s="57"/>
      <c r="CG52" s="57"/>
      <c r="CH52" s="57"/>
      <c r="CI52" s="57"/>
      <c r="CJ52" s="57"/>
      <c r="CK52" s="57"/>
      <c r="CL52" s="57"/>
      <c r="CM52" s="57"/>
      <c r="CN52" s="57"/>
      <c r="CO52" s="57"/>
      <c r="CP52" s="57"/>
      <c r="CQ52" s="57"/>
      <c r="CR52" s="57"/>
      <c r="CS52" s="57"/>
      <c r="CT52" s="57"/>
      <c r="CU52" s="57"/>
      <c r="CV52" s="57"/>
      <c r="CW52" s="57"/>
      <c r="CX52" s="57"/>
      <c r="CY52" s="57"/>
      <c r="CZ52" s="57"/>
      <c r="DA52" s="57"/>
      <c r="DB52" s="57"/>
      <c r="DC52" s="57"/>
      <c r="DD52" s="57"/>
      <c r="DE52" s="57"/>
      <c r="DF52" s="57"/>
      <c r="DG52" s="57"/>
      <c r="DH52" s="57"/>
      <c r="DI52" s="57"/>
      <c r="DJ52" s="57"/>
      <c r="DK52" s="57"/>
      <c r="DL52" s="57"/>
      <c r="DM52" s="57"/>
      <c r="DN52" s="57"/>
      <c r="DO52" s="57"/>
      <c r="DP52" s="57"/>
      <c r="DQ52" s="57"/>
      <c r="DR52" s="57"/>
      <c r="DS52" s="57"/>
      <c r="DT52" s="57"/>
      <c r="DU52" s="57"/>
      <c r="DV52" s="57"/>
      <c r="DW52" s="57"/>
      <c r="DX52" s="57"/>
      <c r="DY52" s="57"/>
      <c r="DZ52" s="57"/>
      <c r="EA52" s="57"/>
      <c r="EB52" s="57"/>
      <c r="EC52" s="57"/>
      <c r="ED52" s="57"/>
      <c r="EE52" s="57"/>
      <c r="EF52" s="57"/>
      <c r="EG52" s="57"/>
      <c r="EH52" s="57"/>
      <c r="EI52" s="57"/>
      <c r="EJ52" s="57"/>
      <c r="EK52" s="57"/>
      <c r="EL52" s="57"/>
      <c r="EM52" s="57"/>
      <c r="EN52" s="57"/>
      <c r="EO52" s="57"/>
      <c r="EP52" s="57"/>
      <c r="EQ52" s="57"/>
      <c r="ER52" s="57"/>
      <c r="ES52" s="57"/>
      <c r="ET52" s="57"/>
      <c r="EU52" s="57"/>
      <c r="EV52" s="57"/>
      <c r="EW52" s="57"/>
      <c r="EX52" s="57"/>
      <c r="EY52" s="57"/>
      <c r="EZ52" s="57"/>
      <c r="FA52" s="57"/>
      <c r="FB52" s="57"/>
      <c r="FC52" s="57"/>
      <c r="FD52" s="57"/>
      <c r="FE52" s="57"/>
      <c r="FF52" s="57"/>
      <c r="FG52" s="57"/>
      <c r="FH52" s="57"/>
      <c r="FI52" s="57"/>
      <c r="FJ52" s="57"/>
    </row>
    <row r="53" ht="15.75" customHeight="1">
      <c r="A53" s="57"/>
      <c r="B53" s="57"/>
      <c r="C53" s="57"/>
      <c r="D53" s="57"/>
      <c r="E53" s="57"/>
      <c r="F53" s="57"/>
      <c r="G53" s="57"/>
      <c r="H53" s="57"/>
      <c r="I53" s="57"/>
      <c r="J53" s="57"/>
      <c r="K53" s="57"/>
      <c r="L53" s="57"/>
      <c r="M53" s="57"/>
      <c r="N53" s="57"/>
      <c r="O53" s="57"/>
      <c r="P53" s="57"/>
      <c r="Q53" s="57"/>
      <c r="R53" s="57"/>
      <c r="S53" s="57"/>
      <c r="T53" s="57"/>
      <c r="U53" s="57"/>
      <c r="V53" s="57"/>
      <c r="W53" s="57"/>
      <c r="X53" s="57"/>
      <c r="Y53" s="57"/>
      <c r="Z53" s="57"/>
      <c r="AA53" s="57"/>
      <c r="AB53" s="57"/>
      <c r="AC53" s="57"/>
      <c r="AD53" s="57"/>
      <c r="AE53" s="57"/>
      <c r="AF53" s="57"/>
      <c r="AG53" s="57"/>
      <c r="AH53" s="57"/>
      <c r="AI53" s="57"/>
      <c r="AJ53" s="57"/>
      <c r="AK53" s="57"/>
      <c r="AL53" s="57"/>
      <c r="AM53" s="57"/>
      <c r="AN53" s="57"/>
      <c r="AO53" s="57"/>
      <c r="AP53" s="57"/>
      <c r="AQ53" s="57"/>
      <c r="AR53" s="57"/>
      <c r="AS53" s="57"/>
      <c r="AT53" s="57"/>
      <c r="AU53" s="57"/>
      <c r="AV53" s="57"/>
      <c r="AW53" s="57"/>
      <c r="AX53" s="57"/>
      <c r="AY53" s="57"/>
      <c r="AZ53" s="57"/>
      <c r="BA53" s="57"/>
      <c r="BB53" s="57"/>
      <c r="BC53" s="57"/>
      <c r="BD53" s="57"/>
      <c r="BE53" s="57"/>
      <c r="BF53" s="57"/>
      <c r="BG53" s="57"/>
      <c r="BH53" s="57"/>
      <c r="BI53" s="57"/>
      <c r="BJ53" s="57"/>
      <c r="BK53" s="57"/>
      <c r="BL53" s="57"/>
      <c r="BM53" s="57"/>
      <c r="BN53" s="57"/>
      <c r="BO53" s="57"/>
      <c r="BP53" s="57"/>
      <c r="BQ53" s="57"/>
      <c r="BR53" s="57"/>
      <c r="BS53" s="57"/>
      <c r="BT53" s="57"/>
      <c r="BU53" s="57"/>
      <c r="BV53" s="57"/>
      <c r="BW53" s="57"/>
      <c r="BX53" s="57"/>
      <c r="BY53" s="57"/>
      <c r="BZ53" s="57"/>
      <c r="CA53" s="57"/>
      <c r="CB53" s="57"/>
      <c r="CC53" s="57"/>
      <c r="CD53" s="57"/>
      <c r="CE53" s="57"/>
      <c r="CF53" s="57"/>
      <c r="CG53" s="57"/>
      <c r="CH53" s="57"/>
      <c r="CI53" s="57"/>
      <c r="CJ53" s="57"/>
      <c r="CK53" s="57"/>
      <c r="CL53" s="57"/>
      <c r="CM53" s="57"/>
      <c r="CN53" s="57"/>
      <c r="CO53" s="57"/>
      <c r="CP53" s="57"/>
      <c r="CQ53" s="57"/>
      <c r="CR53" s="57"/>
      <c r="CS53" s="57"/>
      <c r="CT53" s="57"/>
      <c r="CU53" s="57"/>
      <c r="CV53" s="57"/>
      <c r="CW53" s="57"/>
      <c r="CX53" s="57"/>
      <c r="CY53" s="57"/>
      <c r="CZ53" s="57"/>
      <c r="DA53" s="57"/>
      <c r="DB53" s="57"/>
      <c r="DC53" s="57"/>
      <c r="DD53" s="57"/>
      <c r="DE53" s="57"/>
      <c r="DF53" s="57"/>
      <c r="DG53" s="57"/>
      <c r="DH53" s="57"/>
      <c r="DI53" s="57"/>
      <c r="DJ53" s="57"/>
      <c r="DK53" s="57"/>
      <c r="DL53" s="57"/>
      <c r="DM53" s="57"/>
      <c r="DN53" s="57"/>
      <c r="DO53" s="57"/>
      <c r="DP53" s="57"/>
      <c r="DQ53" s="57"/>
      <c r="DR53" s="57"/>
      <c r="DS53" s="57"/>
      <c r="DT53" s="57"/>
      <c r="DU53" s="57"/>
      <c r="DV53" s="57"/>
      <c r="DW53" s="57"/>
      <c r="DX53" s="57"/>
      <c r="DY53" s="57"/>
      <c r="DZ53" s="57"/>
      <c r="EA53" s="57"/>
      <c r="EB53" s="57"/>
      <c r="EC53" s="57"/>
      <c r="ED53" s="57"/>
      <c r="EE53" s="57"/>
      <c r="EF53" s="57"/>
      <c r="EG53" s="57"/>
      <c r="EH53" s="57"/>
      <c r="EI53" s="57"/>
      <c r="EJ53" s="57"/>
      <c r="EK53" s="57"/>
      <c r="EL53" s="57"/>
      <c r="EM53" s="57"/>
      <c r="EN53" s="57"/>
      <c r="EO53" s="57"/>
      <c r="EP53" s="57"/>
      <c r="EQ53" s="57"/>
      <c r="ER53" s="57"/>
      <c r="ES53" s="57"/>
      <c r="ET53" s="57"/>
      <c r="EU53" s="57"/>
      <c r="EV53" s="57"/>
      <c r="EW53" s="57"/>
      <c r="EX53" s="57"/>
      <c r="EY53" s="57"/>
      <c r="EZ53" s="57"/>
      <c r="FA53" s="57"/>
      <c r="FB53" s="57"/>
      <c r="FC53" s="57"/>
      <c r="FD53" s="57"/>
      <c r="FE53" s="57"/>
      <c r="FF53" s="57"/>
      <c r="FG53" s="57"/>
      <c r="FH53" s="57"/>
      <c r="FI53" s="57"/>
      <c r="FJ53" s="57"/>
    </row>
    <row r="54" ht="15.75" customHeight="1">
      <c r="A54" s="57"/>
      <c r="B54" s="57"/>
      <c r="C54" s="57"/>
      <c r="D54" s="57"/>
      <c r="E54" s="57"/>
      <c r="F54" s="57"/>
      <c r="G54" s="57"/>
      <c r="H54" s="57"/>
      <c r="I54" s="57"/>
      <c r="J54" s="57"/>
      <c r="K54" s="57"/>
      <c r="L54" s="57"/>
      <c r="M54" s="57"/>
      <c r="N54" s="57"/>
      <c r="O54" s="57"/>
      <c r="P54" s="57"/>
      <c r="Q54" s="57"/>
      <c r="R54" s="57"/>
      <c r="S54" s="57"/>
      <c r="T54" s="57"/>
      <c r="U54" s="57"/>
      <c r="V54" s="57"/>
      <c r="W54" s="57"/>
      <c r="X54" s="57"/>
      <c r="Y54" s="57"/>
      <c r="Z54" s="57"/>
      <c r="AA54" s="57"/>
      <c r="AB54" s="57"/>
      <c r="AC54" s="57"/>
      <c r="AD54" s="57"/>
      <c r="AE54" s="57"/>
      <c r="AF54" s="57"/>
      <c r="AG54" s="57"/>
      <c r="AH54" s="57"/>
      <c r="AI54" s="57"/>
      <c r="AJ54" s="57"/>
      <c r="AK54" s="57"/>
      <c r="AL54" s="57"/>
      <c r="AM54" s="57"/>
      <c r="AN54" s="57"/>
      <c r="AO54" s="57"/>
      <c r="AP54" s="57"/>
      <c r="AQ54" s="57"/>
      <c r="AR54" s="57"/>
      <c r="AS54" s="57"/>
      <c r="AT54" s="57"/>
      <c r="AU54" s="57"/>
      <c r="AV54" s="57"/>
      <c r="AW54" s="57"/>
      <c r="AX54" s="57"/>
      <c r="AY54" s="57"/>
      <c r="AZ54" s="57"/>
      <c r="BA54" s="57"/>
      <c r="BB54" s="57"/>
      <c r="BC54" s="57"/>
      <c r="BD54" s="57"/>
      <c r="BE54" s="57"/>
      <c r="BF54" s="57"/>
      <c r="BG54" s="57"/>
      <c r="BH54" s="57"/>
      <c r="BI54" s="57"/>
      <c r="BJ54" s="57"/>
      <c r="BK54" s="57"/>
      <c r="BL54" s="57"/>
      <c r="BM54" s="57"/>
      <c r="BN54" s="57"/>
      <c r="BO54" s="57"/>
      <c r="BP54" s="57"/>
      <c r="BQ54" s="57"/>
      <c r="BR54" s="57"/>
      <c r="BS54" s="57"/>
      <c r="BT54" s="57"/>
      <c r="BU54" s="57"/>
      <c r="BV54" s="57"/>
      <c r="BW54" s="57"/>
      <c r="BX54" s="57"/>
      <c r="BY54" s="57"/>
      <c r="BZ54" s="57"/>
      <c r="CA54" s="57"/>
      <c r="CB54" s="57"/>
      <c r="CC54" s="57"/>
      <c r="CD54" s="57"/>
      <c r="CE54" s="57"/>
      <c r="CF54" s="57"/>
      <c r="CG54" s="57"/>
      <c r="CH54" s="57"/>
      <c r="CI54" s="57"/>
      <c r="CJ54" s="57"/>
      <c r="CK54" s="57"/>
      <c r="CL54" s="57"/>
      <c r="CM54" s="57"/>
      <c r="CN54" s="57"/>
      <c r="CO54" s="57"/>
      <c r="CP54" s="57"/>
      <c r="CQ54" s="57"/>
      <c r="CR54" s="57"/>
      <c r="CS54" s="57"/>
      <c r="CT54" s="57"/>
      <c r="CU54" s="57"/>
      <c r="CV54" s="57"/>
      <c r="CW54" s="57"/>
      <c r="CX54" s="57"/>
      <c r="CY54" s="57"/>
      <c r="CZ54" s="57"/>
      <c r="DA54" s="57"/>
      <c r="DB54" s="57"/>
      <c r="DC54" s="57"/>
      <c r="DD54" s="57"/>
      <c r="DE54" s="57"/>
      <c r="DF54" s="57"/>
      <c r="DG54" s="57"/>
      <c r="DH54" s="57"/>
      <c r="DI54" s="57"/>
      <c r="DJ54" s="57"/>
      <c r="DK54" s="57"/>
      <c r="DL54" s="57"/>
      <c r="DM54" s="57"/>
      <c r="DN54" s="57"/>
      <c r="DO54" s="57"/>
      <c r="DP54" s="57"/>
      <c r="DQ54" s="57"/>
      <c r="DR54" s="57"/>
      <c r="DS54" s="57"/>
      <c r="DT54" s="57"/>
      <c r="DU54" s="57"/>
      <c r="DV54" s="57"/>
      <c r="DW54" s="57"/>
      <c r="DX54" s="57"/>
      <c r="DY54" s="57"/>
      <c r="DZ54" s="57"/>
      <c r="EA54" s="57"/>
      <c r="EB54" s="57"/>
      <c r="EC54" s="57"/>
      <c r="ED54" s="57"/>
      <c r="EE54" s="57"/>
      <c r="EF54" s="57"/>
      <c r="EG54" s="57"/>
      <c r="EH54" s="57"/>
      <c r="EI54" s="57"/>
      <c r="EJ54" s="57"/>
      <c r="EK54" s="57"/>
      <c r="EL54" s="57"/>
      <c r="EM54" s="57"/>
      <c r="EN54" s="57"/>
      <c r="EO54" s="57"/>
      <c r="EP54" s="57"/>
      <c r="EQ54" s="57"/>
      <c r="ER54" s="57"/>
      <c r="ES54" s="57"/>
      <c r="ET54" s="57"/>
      <c r="EU54" s="57"/>
      <c r="EV54" s="57"/>
      <c r="EW54" s="57"/>
      <c r="EX54" s="57"/>
      <c r="EY54" s="57"/>
      <c r="EZ54" s="57"/>
      <c r="FA54" s="57"/>
      <c r="FB54" s="57"/>
      <c r="FC54" s="57"/>
      <c r="FD54" s="57"/>
      <c r="FE54" s="57"/>
      <c r="FF54" s="57"/>
      <c r="FG54" s="57"/>
      <c r="FH54" s="57"/>
      <c r="FI54" s="57"/>
      <c r="FJ54" s="57"/>
    </row>
    <row r="55" ht="15.75" customHeight="1">
      <c r="A55" s="57"/>
      <c r="B55" s="57"/>
      <c r="C55" s="57"/>
      <c r="D55" s="57"/>
      <c r="E55" s="57"/>
      <c r="F55" s="57"/>
      <c r="G55" s="57"/>
      <c r="H55" s="57"/>
      <c r="I55" s="57"/>
      <c r="J55" s="57"/>
      <c r="K55" s="57"/>
      <c r="L55" s="57"/>
      <c r="M55" s="57"/>
      <c r="N55" s="57"/>
      <c r="O55" s="57"/>
      <c r="P55" s="57"/>
      <c r="Q55" s="57"/>
      <c r="R55" s="57"/>
      <c r="S55" s="57"/>
      <c r="T55" s="57"/>
      <c r="U55" s="57"/>
      <c r="V55" s="57"/>
      <c r="W55" s="57"/>
      <c r="X55" s="57"/>
      <c r="Y55" s="57"/>
      <c r="Z55" s="57"/>
      <c r="AA55" s="57"/>
      <c r="AB55" s="57"/>
      <c r="AC55" s="57"/>
      <c r="AD55" s="57"/>
      <c r="AE55" s="57"/>
      <c r="AF55" s="57"/>
      <c r="AG55" s="57"/>
      <c r="AH55" s="57"/>
      <c r="AI55" s="57"/>
      <c r="AJ55" s="57"/>
      <c r="AK55" s="57"/>
      <c r="AL55" s="57"/>
      <c r="AM55" s="57"/>
      <c r="AN55" s="57"/>
      <c r="AO55" s="57"/>
      <c r="AP55" s="57"/>
      <c r="AQ55" s="57"/>
      <c r="AR55" s="57"/>
      <c r="AS55" s="57"/>
      <c r="AT55" s="57"/>
      <c r="AU55" s="57"/>
      <c r="AV55" s="57"/>
      <c r="AW55" s="57"/>
      <c r="AX55" s="57"/>
      <c r="AY55" s="57"/>
      <c r="AZ55" s="57"/>
      <c r="BA55" s="57"/>
      <c r="BB55" s="57"/>
      <c r="BC55" s="57"/>
      <c r="BD55" s="57"/>
      <c r="BE55" s="57"/>
      <c r="BF55" s="57"/>
      <c r="BG55" s="57"/>
      <c r="BH55" s="57"/>
      <c r="BI55" s="57"/>
      <c r="BJ55" s="57"/>
      <c r="BK55" s="57"/>
      <c r="BL55" s="57"/>
      <c r="BM55" s="57"/>
      <c r="BN55" s="57"/>
      <c r="BO55" s="57"/>
      <c r="BP55" s="57"/>
      <c r="BQ55" s="57"/>
      <c r="BR55" s="57"/>
      <c r="BS55" s="57"/>
      <c r="BT55" s="57"/>
      <c r="BU55" s="57"/>
      <c r="BV55" s="57"/>
      <c r="BW55" s="57"/>
      <c r="BX55" s="57"/>
      <c r="BY55" s="57"/>
      <c r="BZ55" s="57"/>
      <c r="CA55" s="57"/>
      <c r="CB55" s="57"/>
      <c r="CC55" s="57"/>
      <c r="CD55" s="57"/>
      <c r="CE55" s="57"/>
      <c r="CF55" s="57"/>
      <c r="CG55" s="57"/>
      <c r="CH55" s="57"/>
      <c r="CI55" s="57"/>
      <c r="CJ55" s="57"/>
      <c r="CK55" s="57"/>
      <c r="CL55" s="57"/>
      <c r="CM55" s="57"/>
      <c r="CN55" s="57"/>
      <c r="CO55" s="57"/>
      <c r="CP55" s="57"/>
      <c r="CQ55" s="57"/>
      <c r="CR55" s="57"/>
      <c r="CS55" s="57"/>
      <c r="CT55" s="57"/>
      <c r="CU55" s="57"/>
      <c r="CV55" s="57"/>
      <c r="CW55" s="57"/>
      <c r="CX55" s="57"/>
      <c r="CY55" s="57"/>
      <c r="CZ55" s="57"/>
      <c r="DA55" s="57"/>
      <c r="DB55" s="57"/>
      <c r="DC55" s="57"/>
      <c r="DD55" s="57"/>
      <c r="DE55" s="57"/>
      <c r="DF55" s="57"/>
      <c r="DG55" s="57"/>
      <c r="DH55" s="57"/>
      <c r="DI55" s="57"/>
      <c r="DJ55" s="57"/>
      <c r="DK55" s="57"/>
      <c r="DL55" s="57"/>
      <c r="DM55" s="57"/>
      <c r="DN55" s="57"/>
      <c r="DO55" s="57"/>
      <c r="DP55" s="57"/>
      <c r="DQ55" s="57"/>
      <c r="DR55" s="57"/>
      <c r="DS55" s="57"/>
      <c r="DT55" s="57"/>
      <c r="DU55" s="57"/>
      <c r="DV55" s="57"/>
      <c r="DW55" s="57"/>
      <c r="DX55" s="57"/>
      <c r="DY55" s="57"/>
      <c r="DZ55" s="57"/>
      <c r="EA55" s="57"/>
      <c r="EB55" s="57"/>
      <c r="EC55" s="57"/>
      <c r="ED55" s="57"/>
      <c r="EE55" s="57"/>
      <c r="EF55" s="57"/>
      <c r="EG55" s="57"/>
      <c r="EH55" s="57"/>
      <c r="EI55" s="57"/>
      <c r="EJ55" s="57"/>
      <c r="EK55" s="57"/>
      <c r="EL55" s="57"/>
      <c r="EM55" s="57"/>
      <c r="EN55" s="57"/>
      <c r="EO55" s="57"/>
      <c r="EP55" s="57"/>
      <c r="EQ55" s="57"/>
      <c r="ER55" s="57"/>
      <c r="ES55" s="57"/>
      <c r="ET55" s="57"/>
      <c r="EU55" s="57"/>
      <c r="EV55" s="57"/>
      <c r="EW55" s="57"/>
      <c r="EX55" s="57"/>
      <c r="EY55" s="57"/>
      <c r="EZ55" s="57"/>
      <c r="FA55" s="57"/>
      <c r="FB55" s="57"/>
      <c r="FC55" s="57"/>
      <c r="FD55" s="57"/>
      <c r="FE55" s="57"/>
      <c r="FF55" s="57"/>
      <c r="FG55" s="57"/>
      <c r="FH55" s="57"/>
      <c r="FI55" s="57"/>
      <c r="FJ55" s="57"/>
    </row>
    <row r="56" ht="15.75" customHeight="1">
      <c r="A56" s="57"/>
      <c r="B56" s="57"/>
      <c r="C56" s="57"/>
      <c r="D56" s="57"/>
      <c r="E56" s="57"/>
      <c r="F56" s="57"/>
      <c r="G56" s="57"/>
      <c r="H56" s="57"/>
      <c r="I56" s="57"/>
      <c r="J56" s="57"/>
      <c r="K56" s="57"/>
      <c r="L56" s="57"/>
      <c r="M56" s="57"/>
      <c r="N56" s="57"/>
      <c r="O56" s="57"/>
      <c r="P56" s="57"/>
      <c r="Q56" s="57"/>
      <c r="R56" s="57"/>
      <c r="S56" s="57"/>
      <c r="T56" s="57"/>
      <c r="U56" s="57"/>
      <c r="V56" s="57"/>
      <c r="W56" s="57"/>
      <c r="X56" s="57"/>
      <c r="Y56" s="57"/>
      <c r="Z56" s="57"/>
      <c r="AA56" s="57"/>
      <c r="AB56" s="57"/>
      <c r="AC56" s="57"/>
      <c r="AD56" s="57"/>
      <c r="AE56" s="57"/>
      <c r="AF56" s="57"/>
      <c r="AG56" s="57"/>
      <c r="AH56" s="57"/>
      <c r="AI56" s="57"/>
      <c r="AJ56" s="57"/>
      <c r="AK56" s="57"/>
      <c r="AL56" s="57"/>
      <c r="AM56" s="57"/>
      <c r="AN56" s="57"/>
      <c r="AO56" s="57"/>
      <c r="AP56" s="57"/>
      <c r="AQ56" s="57"/>
      <c r="AR56" s="57"/>
      <c r="AS56" s="57"/>
      <c r="AT56" s="57"/>
      <c r="AU56" s="57"/>
      <c r="AV56" s="57"/>
      <c r="AW56" s="57"/>
      <c r="AX56" s="57"/>
      <c r="AY56" s="57"/>
      <c r="AZ56" s="57"/>
      <c r="BA56" s="57"/>
      <c r="BB56" s="57"/>
      <c r="BC56" s="57"/>
      <c r="BD56" s="57"/>
      <c r="BE56" s="57"/>
      <c r="BF56" s="57"/>
      <c r="BG56" s="57"/>
      <c r="BH56" s="57"/>
      <c r="BI56" s="57"/>
      <c r="BJ56" s="57"/>
      <c r="BK56" s="57"/>
      <c r="BL56" s="57"/>
      <c r="BM56" s="57"/>
      <c r="BN56" s="57"/>
      <c r="BO56" s="57"/>
      <c r="BP56" s="57"/>
      <c r="BQ56" s="57"/>
      <c r="BR56" s="57"/>
      <c r="BS56" s="57"/>
      <c r="BT56" s="57"/>
      <c r="BU56" s="57"/>
      <c r="BV56" s="57"/>
      <c r="BW56" s="57"/>
      <c r="BX56" s="57"/>
      <c r="BY56" s="57"/>
      <c r="BZ56" s="57"/>
      <c r="CA56" s="57"/>
      <c r="CB56" s="57"/>
      <c r="CC56" s="57"/>
      <c r="CD56" s="57"/>
      <c r="CE56" s="57"/>
      <c r="CF56" s="57"/>
      <c r="CG56" s="57"/>
      <c r="CH56" s="57"/>
      <c r="CI56" s="57"/>
      <c r="CJ56" s="57"/>
      <c r="CK56" s="57"/>
      <c r="CL56" s="57"/>
      <c r="CM56" s="57"/>
      <c r="CN56" s="57"/>
      <c r="CO56" s="57"/>
      <c r="CP56" s="57"/>
      <c r="CQ56" s="57"/>
      <c r="CR56" s="57"/>
      <c r="CS56" s="57"/>
      <c r="CT56" s="57"/>
      <c r="CU56" s="57"/>
      <c r="CV56" s="57"/>
      <c r="CW56" s="57"/>
      <c r="CX56" s="57"/>
      <c r="CY56" s="57"/>
      <c r="CZ56" s="57"/>
      <c r="DA56" s="57"/>
      <c r="DB56" s="57"/>
      <c r="DC56" s="57"/>
      <c r="DD56" s="57"/>
      <c r="DE56" s="57"/>
      <c r="DF56" s="57"/>
      <c r="DG56" s="57"/>
      <c r="DH56" s="57"/>
      <c r="DI56" s="57"/>
      <c r="DJ56" s="57"/>
      <c r="DK56" s="57"/>
      <c r="DL56" s="57"/>
      <c r="DM56" s="57"/>
      <c r="DN56" s="57"/>
      <c r="DO56" s="57"/>
      <c r="DP56" s="57"/>
      <c r="DQ56" s="57"/>
      <c r="DR56" s="57"/>
      <c r="DS56" s="57"/>
      <c r="DT56" s="57"/>
      <c r="DU56" s="57"/>
      <c r="DV56" s="57"/>
      <c r="DW56" s="57"/>
      <c r="DX56" s="57"/>
      <c r="DY56" s="57"/>
      <c r="DZ56" s="57"/>
      <c r="EA56" s="57"/>
      <c r="EB56" s="57"/>
      <c r="EC56" s="57"/>
      <c r="ED56" s="57"/>
      <c r="EE56" s="57"/>
      <c r="EF56" s="57"/>
      <c r="EG56" s="57"/>
      <c r="EH56" s="57"/>
      <c r="EI56" s="57"/>
      <c r="EJ56" s="57"/>
      <c r="EK56" s="57"/>
      <c r="EL56" s="57"/>
      <c r="EM56" s="57"/>
      <c r="EN56" s="57"/>
      <c r="EO56" s="57"/>
      <c r="EP56" s="57"/>
      <c r="EQ56" s="57"/>
      <c r="ER56" s="57"/>
      <c r="ES56" s="57"/>
      <c r="ET56" s="57"/>
      <c r="EU56" s="57"/>
      <c r="EV56" s="57"/>
      <c r="EW56" s="57"/>
      <c r="EX56" s="57"/>
      <c r="EY56" s="57"/>
      <c r="EZ56" s="57"/>
      <c r="FA56" s="57"/>
      <c r="FB56" s="57"/>
      <c r="FC56" s="57"/>
      <c r="FD56" s="57"/>
      <c r="FE56" s="57"/>
      <c r="FF56" s="57"/>
      <c r="FG56" s="57"/>
      <c r="FH56" s="57"/>
      <c r="FI56" s="57"/>
      <c r="FJ56" s="57"/>
    </row>
    <row r="57" ht="15.75" customHeight="1">
      <c r="A57" s="57"/>
      <c r="B57" s="57"/>
      <c r="C57" s="57"/>
      <c r="D57" s="57"/>
      <c r="E57" s="57"/>
      <c r="F57" s="57"/>
      <c r="G57" s="57"/>
      <c r="H57" s="57"/>
      <c r="I57" s="57"/>
      <c r="J57" s="57"/>
      <c r="K57" s="57"/>
      <c r="L57" s="57"/>
      <c r="M57" s="57"/>
      <c r="N57" s="57"/>
      <c r="O57" s="57"/>
      <c r="P57" s="57"/>
      <c r="Q57" s="57"/>
      <c r="R57" s="57"/>
      <c r="S57" s="57"/>
      <c r="T57" s="57"/>
      <c r="U57" s="57"/>
      <c r="V57" s="57"/>
      <c r="W57" s="57"/>
      <c r="X57" s="57"/>
      <c r="Y57" s="57"/>
      <c r="Z57" s="57"/>
      <c r="AA57" s="57"/>
      <c r="AB57" s="57"/>
      <c r="AC57" s="57"/>
      <c r="AD57" s="57"/>
      <c r="AE57" s="57"/>
      <c r="AF57" s="57"/>
      <c r="AG57" s="57"/>
      <c r="AH57" s="57"/>
      <c r="AI57" s="57"/>
      <c r="AJ57" s="57"/>
      <c r="AK57" s="57"/>
      <c r="AL57" s="57"/>
      <c r="AM57" s="57"/>
      <c r="AN57" s="57"/>
      <c r="AO57" s="57"/>
      <c r="AP57" s="57"/>
      <c r="AQ57" s="57"/>
      <c r="AR57" s="57"/>
      <c r="AS57" s="57"/>
      <c r="AT57" s="57"/>
      <c r="AU57" s="57"/>
      <c r="AV57" s="57"/>
      <c r="AW57" s="57"/>
      <c r="AX57" s="57"/>
      <c r="AY57" s="57"/>
      <c r="AZ57" s="57"/>
      <c r="BA57" s="57"/>
      <c r="BB57" s="57"/>
      <c r="BC57" s="57"/>
      <c r="BD57" s="57"/>
      <c r="BE57" s="57"/>
      <c r="BF57" s="57"/>
      <c r="BG57" s="57"/>
      <c r="BH57" s="57"/>
      <c r="BI57" s="57"/>
      <c r="BJ57" s="57"/>
      <c r="BK57" s="57"/>
      <c r="BL57" s="57"/>
      <c r="BM57" s="57"/>
      <c r="BN57" s="57"/>
      <c r="BO57" s="57"/>
      <c r="BP57" s="57"/>
      <c r="BQ57" s="57"/>
      <c r="BR57" s="57"/>
      <c r="BS57" s="57"/>
      <c r="BT57" s="57"/>
      <c r="BU57" s="57"/>
      <c r="BV57" s="57"/>
      <c r="BW57" s="57"/>
      <c r="BX57" s="57"/>
      <c r="BY57" s="57"/>
      <c r="BZ57" s="57"/>
      <c r="CA57" s="57"/>
      <c r="CB57" s="57"/>
      <c r="CC57" s="57"/>
      <c r="CD57" s="57"/>
      <c r="CE57" s="57"/>
      <c r="CF57" s="57"/>
      <c r="CG57" s="57"/>
      <c r="CH57" s="57"/>
      <c r="CI57" s="57"/>
      <c r="CJ57" s="57"/>
      <c r="CK57" s="57"/>
      <c r="CL57" s="57"/>
      <c r="CM57" s="57"/>
      <c r="CN57" s="57"/>
      <c r="CO57" s="57"/>
      <c r="CP57" s="57"/>
      <c r="CQ57" s="57"/>
      <c r="CR57" s="57"/>
      <c r="CS57" s="57"/>
      <c r="CT57" s="57"/>
      <c r="CU57" s="57"/>
      <c r="CV57" s="57"/>
      <c r="CW57" s="57"/>
      <c r="CX57" s="57"/>
      <c r="CY57" s="57"/>
      <c r="CZ57" s="57"/>
      <c r="DA57" s="57"/>
      <c r="DB57" s="57"/>
      <c r="DC57" s="57"/>
      <c r="DD57" s="57"/>
      <c r="DE57" s="57"/>
      <c r="DF57" s="57"/>
      <c r="DG57" s="57"/>
      <c r="DH57" s="57"/>
      <c r="DI57" s="57"/>
      <c r="DJ57" s="57"/>
      <c r="DK57" s="57"/>
      <c r="DL57" s="57"/>
      <c r="DM57" s="57"/>
      <c r="DN57" s="57"/>
      <c r="DO57" s="57"/>
      <c r="DP57" s="57"/>
      <c r="DQ57" s="57"/>
      <c r="DR57" s="57"/>
      <c r="DS57" s="57"/>
      <c r="DT57" s="57"/>
      <c r="DU57" s="57"/>
      <c r="DV57" s="57"/>
      <c r="DW57" s="57"/>
      <c r="DX57" s="57"/>
      <c r="DY57" s="57"/>
      <c r="DZ57" s="57"/>
      <c r="EA57" s="57"/>
      <c r="EB57" s="57"/>
      <c r="EC57" s="57"/>
      <c r="ED57" s="57"/>
      <c r="EE57" s="57"/>
      <c r="EF57" s="57"/>
      <c r="EG57" s="57"/>
      <c r="EH57" s="57"/>
      <c r="EI57" s="57"/>
      <c r="EJ57" s="57"/>
      <c r="EK57" s="57"/>
      <c r="EL57" s="57"/>
      <c r="EM57" s="57"/>
      <c r="EN57" s="57"/>
      <c r="EO57" s="57"/>
      <c r="EP57" s="57"/>
      <c r="EQ57" s="57"/>
      <c r="ER57" s="57"/>
      <c r="ES57" s="57"/>
      <c r="ET57" s="57"/>
      <c r="EU57" s="57"/>
      <c r="EV57" s="57"/>
      <c r="EW57" s="57"/>
      <c r="EX57" s="57"/>
      <c r="EY57" s="57"/>
      <c r="EZ57" s="57"/>
      <c r="FA57" s="57"/>
      <c r="FB57" s="57"/>
      <c r="FC57" s="57"/>
      <c r="FD57" s="57"/>
      <c r="FE57" s="57"/>
      <c r="FF57" s="57"/>
      <c r="FG57" s="57"/>
      <c r="FH57" s="57"/>
      <c r="FI57" s="57"/>
      <c r="FJ57" s="57"/>
    </row>
    <row r="58" ht="15.75" customHeight="1">
      <c r="A58" s="57"/>
      <c r="B58" s="57"/>
      <c r="C58" s="57"/>
      <c r="D58" s="57"/>
      <c r="E58" s="57"/>
      <c r="F58" s="57"/>
      <c r="G58" s="57"/>
      <c r="H58" s="57"/>
      <c r="I58" s="57"/>
      <c r="J58" s="57"/>
      <c r="K58" s="57"/>
      <c r="L58" s="57"/>
      <c r="M58" s="57"/>
      <c r="N58" s="57"/>
      <c r="O58" s="57"/>
      <c r="P58" s="57"/>
      <c r="Q58" s="57"/>
      <c r="R58" s="57"/>
      <c r="S58" s="57"/>
      <c r="T58" s="57"/>
      <c r="U58" s="57"/>
      <c r="V58" s="57"/>
      <c r="W58" s="57"/>
      <c r="X58" s="57"/>
      <c r="Y58" s="57"/>
      <c r="Z58" s="57"/>
      <c r="AA58" s="57"/>
      <c r="AB58" s="57"/>
      <c r="AC58" s="57"/>
      <c r="AD58" s="57"/>
      <c r="AE58" s="57"/>
      <c r="AF58" s="57"/>
      <c r="AG58" s="57"/>
      <c r="AH58" s="57"/>
      <c r="AI58" s="57"/>
      <c r="AJ58" s="57"/>
      <c r="AK58" s="57"/>
      <c r="AL58" s="57"/>
      <c r="AM58" s="57"/>
      <c r="AN58" s="57"/>
      <c r="AO58" s="57"/>
      <c r="AP58" s="57"/>
      <c r="AQ58" s="57"/>
      <c r="AR58" s="57"/>
      <c r="AS58" s="57"/>
      <c r="AT58" s="57"/>
      <c r="AU58" s="57"/>
      <c r="AV58" s="57"/>
      <c r="AW58" s="57"/>
      <c r="AX58" s="57"/>
      <c r="AY58" s="57"/>
      <c r="AZ58" s="57"/>
      <c r="BA58" s="57"/>
      <c r="BB58" s="57"/>
      <c r="BC58" s="57"/>
      <c r="BD58" s="57"/>
      <c r="BE58" s="57"/>
      <c r="BF58" s="57"/>
      <c r="BG58" s="57"/>
      <c r="BH58" s="57"/>
      <c r="BI58" s="57"/>
      <c r="BJ58" s="57"/>
      <c r="BK58" s="57"/>
      <c r="BL58" s="57"/>
      <c r="BM58" s="57"/>
      <c r="BN58" s="57"/>
      <c r="BO58" s="57"/>
      <c r="BP58" s="57"/>
      <c r="BQ58" s="57"/>
      <c r="BR58" s="57"/>
      <c r="BS58" s="57"/>
      <c r="BT58" s="57"/>
      <c r="BU58" s="57"/>
      <c r="BV58" s="57"/>
      <c r="BW58" s="57"/>
      <c r="BX58" s="57"/>
      <c r="BY58" s="57"/>
      <c r="BZ58" s="57"/>
      <c r="CA58" s="57"/>
      <c r="CB58" s="57"/>
      <c r="CC58" s="57"/>
      <c r="CD58" s="57"/>
      <c r="CE58" s="57"/>
      <c r="CF58" s="57"/>
      <c r="CG58" s="57"/>
      <c r="CH58" s="57"/>
      <c r="CI58" s="57"/>
      <c r="CJ58" s="57"/>
      <c r="CK58" s="57"/>
      <c r="CL58" s="57"/>
      <c r="CM58" s="57"/>
      <c r="CN58" s="57"/>
      <c r="CO58" s="57"/>
      <c r="CP58" s="57"/>
      <c r="CQ58" s="57"/>
      <c r="CR58" s="57"/>
      <c r="CS58" s="57"/>
      <c r="CT58" s="57"/>
      <c r="CU58" s="57"/>
      <c r="CV58" s="57"/>
      <c r="CW58" s="57"/>
      <c r="CX58" s="57"/>
      <c r="CY58" s="57"/>
      <c r="CZ58" s="57"/>
      <c r="DA58" s="57"/>
      <c r="DB58" s="57"/>
      <c r="DC58" s="57"/>
      <c r="DD58" s="57"/>
      <c r="DE58" s="57"/>
      <c r="DF58" s="57"/>
      <c r="DG58" s="57"/>
      <c r="DH58" s="57"/>
      <c r="DI58" s="57"/>
      <c r="DJ58" s="57"/>
      <c r="DK58" s="57"/>
      <c r="DL58" s="57"/>
      <c r="DM58" s="57"/>
      <c r="DN58" s="57"/>
      <c r="DO58" s="57"/>
      <c r="DP58" s="57"/>
      <c r="DQ58" s="57"/>
      <c r="DR58" s="57"/>
      <c r="DS58" s="57"/>
      <c r="DT58" s="57"/>
      <c r="DU58" s="57"/>
      <c r="DV58" s="57"/>
      <c r="DW58" s="57"/>
      <c r="DX58" s="57"/>
      <c r="DY58" s="57"/>
      <c r="DZ58" s="57"/>
      <c r="EA58" s="57"/>
      <c r="EB58" s="57"/>
      <c r="EC58" s="57"/>
      <c r="ED58" s="57"/>
      <c r="EE58" s="57"/>
      <c r="EF58" s="57"/>
      <c r="EG58" s="57"/>
      <c r="EH58" s="57"/>
      <c r="EI58" s="57"/>
      <c r="EJ58" s="57"/>
      <c r="EK58" s="57"/>
      <c r="EL58" s="57"/>
      <c r="EM58" s="57"/>
      <c r="EN58" s="57"/>
      <c r="EO58" s="57"/>
      <c r="EP58" s="57"/>
      <c r="EQ58" s="57"/>
      <c r="ER58" s="57"/>
      <c r="ES58" s="57"/>
      <c r="ET58" s="57"/>
      <c r="EU58" s="57"/>
      <c r="EV58" s="57"/>
      <c r="EW58" s="57"/>
      <c r="EX58" s="57"/>
      <c r="EY58" s="57"/>
      <c r="EZ58" s="57"/>
      <c r="FA58" s="57"/>
      <c r="FB58" s="57"/>
      <c r="FC58" s="57"/>
      <c r="FD58" s="57"/>
      <c r="FE58" s="57"/>
      <c r="FF58" s="57"/>
      <c r="FG58" s="57"/>
      <c r="FH58" s="57"/>
      <c r="FI58" s="57"/>
      <c r="FJ58" s="57"/>
    </row>
    <row r="59" ht="15.75" customHeight="1">
      <c r="A59" s="57"/>
      <c r="B59" s="57"/>
      <c r="C59" s="57"/>
      <c r="D59" s="57"/>
      <c r="E59" s="57"/>
      <c r="F59" s="57"/>
      <c r="G59" s="57"/>
      <c r="H59" s="57"/>
      <c r="I59" s="57"/>
      <c r="J59" s="57"/>
      <c r="K59" s="57"/>
      <c r="L59" s="57"/>
      <c r="M59" s="57"/>
      <c r="N59" s="57"/>
      <c r="O59" s="57"/>
      <c r="P59" s="57"/>
      <c r="Q59" s="57"/>
      <c r="R59" s="57"/>
      <c r="S59" s="57"/>
      <c r="T59" s="57"/>
      <c r="U59" s="57"/>
      <c r="V59" s="57"/>
      <c r="W59" s="57"/>
      <c r="X59" s="57"/>
      <c r="Y59" s="57"/>
      <c r="Z59" s="57"/>
      <c r="AA59" s="57"/>
      <c r="AB59" s="57"/>
      <c r="AC59" s="57"/>
      <c r="AD59" s="57"/>
      <c r="AE59" s="57"/>
      <c r="AF59" s="57"/>
      <c r="AG59" s="57"/>
      <c r="AH59" s="57"/>
      <c r="AI59" s="57"/>
      <c r="AJ59" s="57"/>
      <c r="AK59" s="57"/>
      <c r="AL59" s="57"/>
      <c r="AM59" s="57"/>
      <c r="AN59" s="57"/>
      <c r="AO59" s="57"/>
      <c r="AP59" s="57"/>
      <c r="AQ59" s="57"/>
      <c r="AR59" s="57"/>
      <c r="AS59" s="57"/>
      <c r="AT59" s="57"/>
      <c r="AU59" s="57"/>
      <c r="AV59" s="57"/>
      <c r="AW59" s="57"/>
      <c r="AX59" s="57"/>
      <c r="AY59" s="57"/>
      <c r="AZ59" s="57"/>
      <c r="BA59" s="57"/>
      <c r="BB59" s="57"/>
      <c r="BC59" s="57"/>
      <c r="BD59" s="57"/>
      <c r="BE59" s="57"/>
      <c r="BF59" s="57"/>
      <c r="BG59" s="57"/>
      <c r="BH59" s="57"/>
      <c r="BI59" s="57"/>
      <c r="BJ59" s="57"/>
      <c r="BK59" s="57"/>
      <c r="BL59" s="57"/>
      <c r="BM59" s="57"/>
      <c r="BN59" s="57"/>
      <c r="BO59" s="57"/>
      <c r="BP59" s="57"/>
      <c r="BQ59" s="57"/>
      <c r="BR59" s="57"/>
      <c r="BS59" s="57"/>
      <c r="BT59" s="57"/>
      <c r="BU59" s="57"/>
      <c r="BV59" s="57"/>
      <c r="BW59" s="57"/>
      <c r="BX59" s="57"/>
      <c r="BY59" s="57"/>
      <c r="BZ59" s="57"/>
      <c r="CA59" s="57"/>
      <c r="CB59" s="57"/>
      <c r="CC59" s="57"/>
      <c r="CD59" s="57"/>
      <c r="CE59" s="57"/>
      <c r="CF59" s="57"/>
      <c r="CG59" s="57"/>
      <c r="CH59" s="57"/>
      <c r="CI59" s="57"/>
      <c r="CJ59" s="57"/>
      <c r="CK59" s="57"/>
      <c r="CL59" s="57"/>
      <c r="CM59" s="57"/>
      <c r="CN59" s="57"/>
      <c r="CO59" s="57"/>
      <c r="CP59" s="57"/>
      <c r="CQ59" s="57"/>
      <c r="CR59" s="57"/>
      <c r="CS59" s="57"/>
      <c r="CT59" s="57"/>
      <c r="CU59" s="57"/>
      <c r="CV59" s="57"/>
      <c r="CW59" s="57"/>
      <c r="CX59" s="57"/>
      <c r="CY59" s="57"/>
      <c r="CZ59" s="57"/>
      <c r="DA59" s="57"/>
      <c r="DB59" s="57"/>
      <c r="DC59" s="57"/>
      <c r="DD59" s="57"/>
      <c r="DE59" s="57"/>
      <c r="DF59" s="57"/>
      <c r="DG59" s="57"/>
      <c r="DH59" s="57"/>
      <c r="DI59" s="57"/>
      <c r="DJ59" s="57"/>
      <c r="DK59" s="57"/>
      <c r="DL59" s="57"/>
      <c r="DM59" s="57"/>
      <c r="DN59" s="57"/>
      <c r="DO59" s="57"/>
      <c r="DP59" s="57"/>
      <c r="DQ59" s="57"/>
      <c r="DR59" s="57"/>
      <c r="DS59" s="57"/>
      <c r="DT59" s="57"/>
      <c r="DU59" s="57"/>
      <c r="DV59" s="57"/>
      <c r="DW59" s="57"/>
      <c r="DX59" s="57"/>
      <c r="DY59" s="57"/>
      <c r="DZ59" s="57"/>
      <c r="EA59" s="57"/>
      <c r="EB59" s="57"/>
      <c r="EC59" s="57"/>
      <c r="ED59" s="57"/>
      <c r="EE59" s="57"/>
      <c r="EF59" s="57"/>
      <c r="EG59" s="57"/>
      <c r="EH59" s="57"/>
      <c r="EI59" s="57"/>
      <c r="EJ59" s="57"/>
      <c r="EK59" s="57"/>
      <c r="EL59" s="57"/>
      <c r="EM59" s="57"/>
      <c r="EN59" s="57"/>
      <c r="EO59" s="57"/>
      <c r="EP59" s="57"/>
      <c r="EQ59" s="57"/>
      <c r="ER59" s="57"/>
      <c r="ES59" s="57"/>
      <c r="ET59" s="57"/>
      <c r="EU59" s="57"/>
      <c r="EV59" s="57"/>
      <c r="EW59" s="57"/>
      <c r="EX59" s="57"/>
      <c r="EY59" s="57"/>
      <c r="EZ59" s="57"/>
      <c r="FA59" s="57"/>
      <c r="FB59" s="57"/>
      <c r="FC59" s="57"/>
      <c r="FD59" s="57"/>
      <c r="FE59" s="57"/>
      <c r="FF59" s="57"/>
      <c r="FG59" s="57"/>
      <c r="FH59" s="57"/>
      <c r="FI59" s="57"/>
      <c r="FJ59" s="57"/>
    </row>
    <row r="60" ht="15.75" customHeight="1">
      <c r="A60" s="57"/>
      <c r="B60" s="57"/>
      <c r="C60" s="57"/>
      <c r="D60" s="57"/>
      <c r="E60" s="57"/>
      <c r="F60" s="57"/>
      <c r="G60" s="57"/>
      <c r="H60" s="57"/>
      <c r="I60" s="57"/>
      <c r="J60" s="57"/>
      <c r="K60" s="57"/>
      <c r="L60" s="57"/>
      <c r="M60" s="57"/>
      <c r="N60" s="57"/>
      <c r="O60" s="57"/>
      <c r="P60" s="57"/>
      <c r="Q60" s="57"/>
      <c r="R60" s="57"/>
      <c r="S60" s="57"/>
      <c r="T60" s="57"/>
      <c r="U60" s="57"/>
      <c r="V60" s="57"/>
      <c r="W60" s="57"/>
      <c r="X60" s="57"/>
      <c r="Y60" s="57"/>
      <c r="Z60" s="57"/>
      <c r="AA60" s="57"/>
      <c r="AB60" s="57"/>
      <c r="AC60" s="57"/>
      <c r="AD60" s="57"/>
      <c r="AE60" s="57"/>
      <c r="AF60" s="57"/>
      <c r="AG60" s="57"/>
      <c r="AH60" s="57"/>
      <c r="AI60" s="57"/>
      <c r="AJ60" s="57"/>
      <c r="AK60" s="57"/>
      <c r="AL60" s="57"/>
      <c r="AM60" s="57"/>
      <c r="AN60" s="57"/>
      <c r="AO60" s="57"/>
      <c r="AP60" s="57"/>
      <c r="AQ60" s="57"/>
      <c r="AR60" s="57"/>
      <c r="AS60" s="57"/>
      <c r="AT60" s="57"/>
      <c r="AU60" s="57"/>
      <c r="AV60" s="57"/>
      <c r="AW60" s="57"/>
      <c r="AX60" s="57"/>
      <c r="AY60" s="57"/>
      <c r="AZ60" s="57"/>
      <c r="BA60" s="57"/>
      <c r="BB60" s="57"/>
      <c r="BC60" s="57"/>
      <c r="BD60" s="57"/>
      <c r="BE60" s="57"/>
      <c r="BF60" s="57"/>
      <c r="BG60" s="57"/>
      <c r="BH60" s="57"/>
      <c r="BI60" s="57"/>
      <c r="BJ60" s="57"/>
      <c r="BK60" s="57"/>
      <c r="BL60" s="57"/>
      <c r="BM60" s="57"/>
      <c r="BN60" s="57"/>
      <c r="BO60" s="57"/>
      <c r="BP60" s="57"/>
      <c r="BQ60" s="57"/>
      <c r="BR60" s="57"/>
      <c r="BS60" s="57"/>
      <c r="BT60" s="57"/>
      <c r="BU60" s="57"/>
      <c r="BV60" s="57"/>
      <c r="BW60" s="57"/>
      <c r="BX60" s="57"/>
      <c r="BY60" s="57"/>
      <c r="BZ60" s="57"/>
      <c r="CA60" s="57"/>
      <c r="CB60" s="57"/>
      <c r="CC60" s="57"/>
      <c r="CD60" s="57"/>
      <c r="CE60" s="57"/>
      <c r="CF60" s="57"/>
      <c r="CG60" s="57"/>
      <c r="CH60" s="57"/>
      <c r="CI60" s="57"/>
      <c r="CJ60" s="57"/>
      <c r="CK60" s="57"/>
      <c r="CL60" s="57"/>
      <c r="CM60" s="57"/>
      <c r="CN60" s="57"/>
      <c r="CO60" s="57"/>
      <c r="CP60" s="57"/>
      <c r="CQ60" s="57"/>
      <c r="CR60" s="57"/>
      <c r="CS60" s="57"/>
      <c r="CT60" s="57"/>
      <c r="CU60" s="57"/>
      <c r="CV60" s="57"/>
      <c r="CW60" s="57"/>
      <c r="CX60" s="57"/>
      <c r="CY60" s="57"/>
      <c r="CZ60" s="57"/>
      <c r="DA60" s="57"/>
      <c r="DB60" s="57"/>
      <c r="DC60" s="57"/>
      <c r="DD60" s="57"/>
      <c r="DE60" s="57"/>
      <c r="DF60" s="57"/>
      <c r="DG60" s="57"/>
      <c r="DH60" s="57"/>
      <c r="DI60" s="57"/>
      <c r="DJ60" s="57"/>
      <c r="DK60" s="57"/>
      <c r="DL60" s="57"/>
      <c r="DM60" s="57"/>
      <c r="DN60" s="57"/>
      <c r="DO60" s="57"/>
      <c r="DP60" s="57"/>
      <c r="DQ60" s="57"/>
      <c r="DR60" s="57"/>
      <c r="DS60" s="57"/>
      <c r="DT60" s="57"/>
      <c r="DU60" s="57"/>
      <c r="DV60" s="57"/>
      <c r="DW60" s="57"/>
      <c r="DX60" s="57"/>
      <c r="DY60" s="57"/>
      <c r="DZ60" s="57"/>
      <c r="EA60" s="57"/>
      <c r="EB60" s="57"/>
      <c r="EC60" s="57"/>
      <c r="ED60" s="57"/>
      <c r="EE60" s="57"/>
      <c r="EF60" s="57"/>
      <c r="EG60" s="57"/>
      <c r="EH60" s="57"/>
      <c r="EI60" s="57"/>
      <c r="EJ60" s="57"/>
      <c r="EK60" s="57"/>
      <c r="EL60" s="57"/>
      <c r="EM60" s="57"/>
      <c r="EN60" s="57"/>
      <c r="EO60" s="57"/>
      <c r="EP60" s="57"/>
      <c r="EQ60" s="57"/>
      <c r="ER60" s="57"/>
      <c r="ES60" s="57"/>
      <c r="ET60" s="57"/>
      <c r="EU60" s="57"/>
      <c r="EV60" s="57"/>
      <c r="EW60" s="57"/>
      <c r="EX60" s="57"/>
      <c r="EY60" s="57"/>
      <c r="EZ60" s="57"/>
      <c r="FA60" s="57"/>
      <c r="FB60" s="57"/>
      <c r="FC60" s="57"/>
      <c r="FD60" s="57"/>
      <c r="FE60" s="57"/>
      <c r="FF60" s="57"/>
      <c r="FG60" s="57"/>
      <c r="FH60" s="57"/>
      <c r="FI60" s="57"/>
      <c r="FJ60" s="57"/>
    </row>
    <row r="61" ht="15.75" customHeight="1">
      <c r="A61" s="57"/>
      <c r="B61" s="57"/>
      <c r="C61" s="57"/>
      <c r="D61" s="57"/>
      <c r="E61" s="57"/>
      <c r="F61" s="57"/>
      <c r="G61" s="57"/>
      <c r="H61" s="57"/>
      <c r="I61" s="57"/>
      <c r="J61" s="57"/>
      <c r="K61" s="57"/>
      <c r="L61" s="57"/>
      <c r="M61" s="57"/>
      <c r="N61" s="57"/>
      <c r="O61" s="57"/>
      <c r="P61" s="57"/>
      <c r="Q61" s="57"/>
      <c r="R61" s="57"/>
      <c r="S61" s="57"/>
      <c r="T61" s="57"/>
      <c r="U61" s="57"/>
      <c r="V61" s="57"/>
      <c r="W61" s="57"/>
      <c r="X61" s="57"/>
      <c r="Y61" s="57"/>
      <c r="Z61" s="57"/>
      <c r="AA61" s="57"/>
      <c r="AB61" s="57"/>
      <c r="AC61" s="57"/>
      <c r="AD61" s="57"/>
      <c r="AE61" s="57"/>
      <c r="AF61" s="57"/>
      <c r="AG61" s="57"/>
      <c r="AH61" s="57"/>
      <c r="AI61" s="57"/>
      <c r="AJ61" s="57"/>
      <c r="AK61" s="57"/>
      <c r="AL61" s="57"/>
      <c r="AM61" s="57"/>
      <c r="AN61" s="57"/>
      <c r="AO61" s="57"/>
      <c r="AP61" s="57"/>
      <c r="AQ61" s="57"/>
      <c r="AR61" s="57"/>
      <c r="AS61" s="57"/>
      <c r="AT61" s="57"/>
      <c r="AU61" s="57"/>
      <c r="AV61" s="57"/>
      <c r="AW61" s="57"/>
      <c r="AX61" s="57"/>
      <c r="AY61" s="57"/>
      <c r="AZ61" s="57"/>
      <c r="BA61" s="57"/>
      <c r="BB61" s="57"/>
      <c r="BC61" s="57"/>
      <c r="BD61" s="57"/>
      <c r="BE61" s="57"/>
      <c r="BF61" s="57"/>
      <c r="BG61" s="57"/>
      <c r="BH61" s="57"/>
      <c r="BI61" s="57"/>
      <c r="BJ61" s="57"/>
      <c r="BK61" s="57"/>
      <c r="BL61" s="57"/>
      <c r="BM61" s="57"/>
      <c r="BN61" s="57"/>
      <c r="BO61" s="57"/>
      <c r="BP61" s="57"/>
      <c r="BQ61" s="57"/>
      <c r="BR61" s="57"/>
      <c r="BS61" s="57"/>
      <c r="BT61" s="57"/>
      <c r="BU61" s="57"/>
      <c r="BV61" s="57"/>
      <c r="BW61" s="57"/>
      <c r="BX61" s="57"/>
      <c r="BY61" s="57"/>
      <c r="BZ61" s="57"/>
      <c r="CA61" s="57"/>
      <c r="CB61" s="57"/>
      <c r="CC61" s="57"/>
      <c r="CD61" s="57"/>
      <c r="CE61" s="57"/>
      <c r="CF61" s="57"/>
      <c r="CG61" s="57"/>
      <c r="CH61" s="57"/>
      <c r="CI61" s="57"/>
      <c r="CJ61" s="57"/>
      <c r="CK61" s="57"/>
      <c r="CL61" s="57"/>
      <c r="CM61" s="57"/>
      <c r="CN61" s="57"/>
      <c r="CO61" s="57"/>
      <c r="CP61" s="57"/>
      <c r="CQ61" s="57"/>
      <c r="CR61" s="57"/>
      <c r="CS61" s="57"/>
      <c r="CT61" s="57"/>
      <c r="CU61" s="57"/>
      <c r="CV61" s="57"/>
      <c r="CW61" s="57"/>
      <c r="CX61" s="57"/>
      <c r="CY61" s="57"/>
      <c r="CZ61" s="57"/>
      <c r="DA61" s="57"/>
      <c r="DB61" s="57"/>
      <c r="DC61" s="57"/>
      <c r="DD61" s="57"/>
      <c r="DE61" s="57"/>
      <c r="DF61" s="57"/>
      <c r="DG61" s="57"/>
      <c r="DH61" s="57"/>
      <c r="DI61" s="57"/>
      <c r="DJ61" s="57"/>
      <c r="DK61" s="57"/>
      <c r="DL61" s="57"/>
      <c r="DM61" s="57"/>
      <c r="DN61" s="57"/>
      <c r="DO61" s="57"/>
      <c r="DP61" s="57"/>
      <c r="DQ61" s="57"/>
      <c r="DR61" s="57"/>
      <c r="DS61" s="57"/>
      <c r="DT61" s="57"/>
      <c r="DU61" s="57"/>
      <c r="DV61" s="57"/>
      <c r="DW61" s="57"/>
      <c r="DX61" s="57"/>
      <c r="DY61" s="57"/>
      <c r="DZ61" s="57"/>
      <c r="EA61" s="57"/>
      <c r="EB61" s="57"/>
      <c r="EC61" s="57"/>
      <c r="ED61" s="57"/>
      <c r="EE61" s="57"/>
      <c r="EF61" s="57"/>
      <c r="EG61" s="57"/>
      <c r="EH61" s="57"/>
      <c r="EI61" s="57"/>
      <c r="EJ61" s="57"/>
      <c r="EK61" s="57"/>
      <c r="EL61" s="57"/>
      <c r="EM61" s="57"/>
      <c r="EN61" s="57"/>
      <c r="EO61" s="57"/>
      <c r="EP61" s="57"/>
      <c r="EQ61" s="57"/>
      <c r="ER61" s="57"/>
      <c r="ES61" s="57"/>
      <c r="ET61" s="57"/>
      <c r="EU61" s="57"/>
      <c r="EV61" s="57"/>
      <c r="EW61" s="57"/>
      <c r="EX61" s="57"/>
      <c r="EY61" s="57"/>
      <c r="EZ61" s="57"/>
      <c r="FA61" s="57"/>
      <c r="FB61" s="57"/>
      <c r="FC61" s="57"/>
      <c r="FD61" s="57"/>
      <c r="FE61" s="57"/>
      <c r="FF61" s="57"/>
      <c r="FG61" s="57"/>
      <c r="FH61" s="57"/>
      <c r="FI61" s="57"/>
      <c r="FJ61" s="57"/>
    </row>
    <row r="62" ht="15.75" customHeight="1">
      <c r="A62" s="57"/>
      <c r="B62" s="57"/>
      <c r="C62" s="57"/>
      <c r="D62" s="57"/>
      <c r="E62" s="57"/>
      <c r="F62" s="57"/>
      <c r="G62" s="57"/>
      <c r="H62" s="57"/>
      <c r="I62" s="57"/>
      <c r="J62" s="57"/>
      <c r="K62" s="57"/>
      <c r="L62" s="57"/>
      <c r="M62" s="57"/>
      <c r="N62" s="57"/>
      <c r="O62" s="57"/>
      <c r="P62" s="57"/>
      <c r="Q62" s="57"/>
      <c r="R62" s="57"/>
      <c r="S62" s="57"/>
      <c r="T62" s="57"/>
      <c r="U62" s="57"/>
      <c r="V62" s="57"/>
      <c r="W62" s="57"/>
      <c r="X62" s="57"/>
      <c r="Y62" s="57"/>
      <c r="Z62" s="57"/>
      <c r="AA62" s="57"/>
      <c r="AB62" s="57"/>
      <c r="AC62" s="57"/>
      <c r="AD62" s="57"/>
      <c r="AE62" s="57"/>
      <c r="AF62" s="57"/>
      <c r="AG62" s="57"/>
      <c r="AH62" s="57"/>
      <c r="AI62" s="57"/>
      <c r="AJ62" s="57"/>
      <c r="AK62" s="57"/>
      <c r="AL62" s="57"/>
      <c r="AM62" s="57"/>
      <c r="AN62" s="57"/>
      <c r="AO62" s="57"/>
      <c r="AP62" s="57"/>
      <c r="AQ62" s="57"/>
      <c r="AR62" s="57"/>
      <c r="AS62" s="57"/>
      <c r="AT62" s="57"/>
      <c r="AU62" s="57"/>
      <c r="AV62" s="57"/>
      <c r="AW62" s="57"/>
      <c r="AX62" s="57"/>
      <c r="AY62" s="57"/>
      <c r="AZ62" s="57"/>
      <c r="BA62" s="57"/>
      <c r="BB62" s="57"/>
      <c r="BC62" s="57"/>
      <c r="BD62" s="57"/>
      <c r="BE62" s="57"/>
      <c r="BF62" s="57"/>
      <c r="BG62" s="57"/>
      <c r="BH62" s="57"/>
      <c r="BI62" s="57"/>
      <c r="BJ62" s="57"/>
      <c r="BK62" s="57"/>
      <c r="BL62" s="57"/>
      <c r="BM62" s="57"/>
      <c r="BN62" s="57"/>
      <c r="BO62" s="57"/>
      <c r="BP62" s="57"/>
      <c r="BQ62" s="57"/>
      <c r="BR62" s="57"/>
      <c r="BS62" s="57"/>
      <c r="BT62" s="57"/>
      <c r="BU62" s="57"/>
      <c r="BV62" s="57"/>
      <c r="BW62" s="57"/>
      <c r="BX62" s="57"/>
      <c r="BY62" s="57"/>
      <c r="BZ62" s="57"/>
      <c r="CA62" s="57"/>
      <c r="CB62" s="57"/>
      <c r="CC62" s="57"/>
      <c r="CD62" s="57"/>
      <c r="CE62" s="57"/>
      <c r="CF62" s="57"/>
      <c r="CG62" s="57"/>
      <c r="CH62" s="57"/>
      <c r="CI62" s="57"/>
      <c r="CJ62" s="57"/>
      <c r="CK62" s="57"/>
      <c r="CL62" s="57"/>
      <c r="CM62" s="57"/>
      <c r="CN62" s="57"/>
      <c r="CO62" s="57"/>
      <c r="CP62" s="57"/>
      <c r="CQ62" s="57"/>
      <c r="CR62" s="57"/>
      <c r="CS62" s="57"/>
      <c r="CT62" s="57"/>
      <c r="CU62" s="57"/>
      <c r="CV62" s="57"/>
      <c r="CW62" s="57"/>
      <c r="CX62" s="57"/>
      <c r="CY62" s="57"/>
      <c r="CZ62" s="57"/>
      <c r="DA62" s="57"/>
      <c r="DB62" s="57"/>
      <c r="DC62" s="57"/>
      <c r="DD62" s="57"/>
      <c r="DE62" s="57"/>
      <c r="DF62" s="57"/>
      <c r="DG62" s="57"/>
      <c r="DH62" s="57"/>
      <c r="DI62" s="57"/>
      <c r="DJ62" s="57"/>
      <c r="DK62" s="57"/>
      <c r="DL62" s="57"/>
      <c r="DM62" s="57"/>
      <c r="DN62" s="57"/>
      <c r="DO62" s="57"/>
      <c r="DP62" s="57"/>
      <c r="DQ62" s="57"/>
      <c r="DR62" s="57"/>
      <c r="DS62" s="57"/>
      <c r="DT62" s="57"/>
      <c r="DU62" s="57"/>
      <c r="DV62" s="57"/>
      <c r="DW62" s="57"/>
      <c r="DX62" s="57"/>
      <c r="DY62" s="57"/>
      <c r="DZ62" s="57"/>
      <c r="EA62" s="57"/>
      <c r="EB62" s="57"/>
      <c r="EC62" s="57"/>
      <c r="ED62" s="57"/>
      <c r="EE62" s="57"/>
      <c r="EF62" s="57"/>
      <c r="EG62" s="57"/>
      <c r="EH62" s="57"/>
      <c r="EI62" s="57"/>
      <c r="EJ62" s="57"/>
      <c r="EK62" s="57"/>
      <c r="EL62" s="57"/>
      <c r="EM62" s="57"/>
      <c r="EN62" s="57"/>
      <c r="EO62" s="57"/>
      <c r="EP62" s="57"/>
      <c r="EQ62" s="57"/>
      <c r="ER62" s="57"/>
      <c r="ES62" s="57"/>
      <c r="ET62" s="57"/>
      <c r="EU62" s="57"/>
      <c r="EV62" s="57"/>
      <c r="EW62" s="57"/>
      <c r="EX62" s="57"/>
      <c r="EY62" s="57"/>
      <c r="EZ62" s="57"/>
      <c r="FA62" s="57"/>
      <c r="FB62" s="57"/>
      <c r="FC62" s="57"/>
      <c r="FD62" s="57"/>
      <c r="FE62" s="57"/>
      <c r="FF62" s="57"/>
      <c r="FG62" s="57"/>
      <c r="FH62" s="57"/>
      <c r="FI62" s="57"/>
      <c r="FJ62" s="57"/>
    </row>
    <row r="63" ht="15.75" customHeight="1">
      <c r="A63" s="57"/>
      <c r="B63" s="57"/>
      <c r="C63" s="57"/>
      <c r="D63" s="57"/>
      <c r="E63" s="57"/>
      <c r="F63" s="57"/>
      <c r="G63" s="57"/>
      <c r="H63" s="57"/>
      <c r="I63" s="57"/>
      <c r="J63" s="57"/>
      <c r="K63" s="57"/>
      <c r="L63" s="57"/>
      <c r="M63" s="57"/>
      <c r="N63" s="57"/>
      <c r="O63" s="57"/>
      <c r="P63" s="57"/>
      <c r="Q63" s="57"/>
      <c r="R63" s="57"/>
      <c r="S63" s="57"/>
      <c r="T63" s="57"/>
      <c r="U63" s="57"/>
      <c r="V63" s="57"/>
      <c r="W63" s="57"/>
      <c r="X63" s="57"/>
      <c r="Y63" s="57"/>
      <c r="Z63" s="57"/>
      <c r="AA63" s="57"/>
      <c r="AB63" s="57"/>
      <c r="AC63" s="57"/>
      <c r="AD63" s="57"/>
      <c r="AE63" s="57"/>
      <c r="AF63" s="57"/>
      <c r="AG63" s="57"/>
      <c r="AH63" s="57"/>
      <c r="AI63" s="57"/>
      <c r="AJ63" s="57"/>
      <c r="AK63" s="57"/>
      <c r="AL63" s="57"/>
      <c r="AM63" s="57"/>
      <c r="AN63" s="57"/>
      <c r="AO63" s="57"/>
      <c r="AP63" s="57"/>
      <c r="AQ63" s="57"/>
      <c r="AR63" s="57"/>
      <c r="AS63" s="57"/>
      <c r="AT63" s="57"/>
      <c r="AU63" s="57"/>
      <c r="AV63" s="57"/>
      <c r="AW63" s="57"/>
      <c r="AX63" s="57"/>
      <c r="AY63" s="57"/>
      <c r="AZ63" s="57"/>
      <c r="BA63" s="57"/>
      <c r="BB63" s="57"/>
      <c r="BC63" s="57"/>
      <c r="BD63" s="57"/>
      <c r="BE63" s="57"/>
      <c r="BF63" s="57"/>
      <c r="BG63" s="57"/>
      <c r="BH63" s="57"/>
      <c r="BI63" s="57"/>
      <c r="BJ63" s="57"/>
      <c r="BK63" s="57"/>
      <c r="BL63" s="57"/>
      <c r="BM63" s="57"/>
      <c r="BN63" s="57"/>
      <c r="BO63" s="57"/>
      <c r="BP63" s="57"/>
      <c r="BQ63" s="57"/>
      <c r="BR63" s="57"/>
      <c r="BS63" s="57"/>
      <c r="BT63" s="57"/>
      <c r="BU63" s="57"/>
      <c r="BV63" s="57"/>
      <c r="BW63" s="57"/>
      <c r="BX63" s="57"/>
      <c r="BY63" s="57"/>
      <c r="BZ63" s="57"/>
      <c r="CA63" s="57"/>
      <c r="CB63" s="57"/>
      <c r="CC63" s="57"/>
      <c r="CD63" s="57"/>
      <c r="CE63" s="57"/>
      <c r="CF63" s="57"/>
      <c r="CG63" s="57"/>
      <c r="CH63" s="57"/>
      <c r="CI63" s="57"/>
      <c r="CJ63" s="57"/>
      <c r="CK63" s="57"/>
      <c r="CL63" s="57"/>
      <c r="CM63" s="57"/>
      <c r="CN63" s="57"/>
      <c r="CO63" s="57"/>
      <c r="CP63" s="57"/>
      <c r="CQ63" s="57"/>
      <c r="CR63" s="57"/>
      <c r="CS63" s="57"/>
      <c r="CT63" s="57"/>
      <c r="CU63" s="57"/>
      <c r="CV63" s="57"/>
      <c r="CW63" s="57"/>
      <c r="CX63" s="57"/>
      <c r="CY63" s="57"/>
      <c r="CZ63" s="57"/>
      <c r="DA63" s="57"/>
      <c r="DB63" s="57"/>
      <c r="DC63" s="57"/>
      <c r="DD63" s="57"/>
      <c r="DE63" s="57"/>
      <c r="DF63" s="57"/>
      <c r="DG63" s="57"/>
      <c r="DH63" s="57"/>
      <c r="DI63" s="57"/>
      <c r="DJ63" s="57"/>
      <c r="DK63" s="57"/>
      <c r="DL63" s="57"/>
      <c r="DM63" s="57"/>
      <c r="DN63" s="57"/>
      <c r="DO63" s="57"/>
      <c r="DP63" s="57"/>
      <c r="DQ63" s="57"/>
      <c r="DR63" s="57"/>
      <c r="DS63" s="57"/>
      <c r="DT63" s="57"/>
      <c r="DU63" s="57"/>
      <c r="DV63" s="57"/>
      <c r="DW63" s="57"/>
      <c r="DX63" s="57"/>
      <c r="DY63" s="57"/>
      <c r="DZ63" s="57"/>
      <c r="EA63" s="57"/>
      <c r="EB63" s="57"/>
      <c r="EC63" s="57"/>
      <c r="ED63" s="57"/>
      <c r="EE63" s="57"/>
      <c r="EF63" s="57"/>
      <c r="EG63" s="57"/>
      <c r="EH63" s="57"/>
      <c r="EI63" s="57"/>
      <c r="EJ63" s="57"/>
      <c r="EK63" s="57"/>
      <c r="EL63" s="57"/>
      <c r="EM63" s="57"/>
      <c r="EN63" s="57"/>
      <c r="EO63" s="57"/>
      <c r="EP63" s="57"/>
      <c r="EQ63" s="57"/>
      <c r="ER63" s="57"/>
      <c r="ES63" s="57"/>
      <c r="ET63" s="57"/>
      <c r="EU63" s="57"/>
      <c r="EV63" s="57"/>
      <c r="EW63" s="57"/>
      <c r="EX63" s="57"/>
      <c r="EY63" s="57"/>
      <c r="EZ63" s="57"/>
      <c r="FA63" s="57"/>
      <c r="FB63" s="57"/>
      <c r="FC63" s="57"/>
      <c r="FD63" s="57"/>
      <c r="FE63" s="57"/>
      <c r="FF63" s="57"/>
      <c r="FG63" s="57"/>
      <c r="FH63" s="57"/>
      <c r="FI63" s="57"/>
      <c r="FJ63" s="57"/>
    </row>
    <row r="64" ht="15.75" customHeight="1">
      <c r="A64" s="57"/>
      <c r="B64" s="57"/>
      <c r="C64" s="57"/>
      <c r="D64" s="57"/>
      <c r="E64" s="57"/>
      <c r="F64" s="57"/>
      <c r="G64" s="57"/>
      <c r="H64" s="57"/>
      <c r="I64" s="57"/>
      <c r="J64" s="57"/>
      <c r="K64" s="57"/>
      <c r="L64" s="57"/>
      <c r="M64" s="57"/>
      <c r="N64" s="57"/>
      <c r="O64" s="57"/>
      <c r="P64" s="57"/>
      <c r="Q64" s="57"/>
      <c r="R64" s="57"/>
      <c r="S64" s="57"/>
      <c r="T64" s="57"/>
      <c r="U64" s="57"/>
      <c r="V64" s="57"/>
      <c r="W64" s="57"/>
      <c r="X64" s="57"/>
      <c r="Y64" s="57"/>
      <c r="Z64" s="57"/>
      <c r="AA64" s="57"/>
      <c r="AB64" s="57"/>
      <c r="AC64" s="57"/>
      <c r="AD64" s="57"/>
      <c r="AE64" s="57"/>
      <c r="AF64" s="57"/>
      <c r="AG64" s="57"/>
      <c r="AH64" s="57"/>
      <c r="AI64" s="57"/>
      <c r="AJ64" s="57"/>
      <c r="AK64" s="57"/>
      <c r="AL64" s="57"/>
      <c r="AM64" s="57"/>
      <c r="AN64" s="57"/>
      <c r="AO64" s="57"/>
      <c r="AP64" s="57"/>
      <c r="AQ64" s="57"/>
      <c r="AR64" s="57"/>
      <c r="AS64" s="57"/>
      <c r="AT64" s="57"/>
      <c r="AU64" s="57"/>
      <c r="AV64" s="57"/>
      <c r="AW64" s="57"/>
      <c r="AX64" s="57"/>
      <c r="AY64" s="57"/>
      <c r="AZ64" s="57"/>
      <c r="BA64" s="57"/>
      <c r="BB64" s="57"/>
      <c r="BC64" s="57"/>
      <c r="BD64" s="57"/>
      <c r="BE64" s="57"/>
      <c r="BF64" s="57"/>
      <c r="BG64" s="57"/>
      <c r="BH64" s="57"/>
      <c r="BI64" s="57"/>
      <c r="BJ64" s="57"/>
      <c r="BK64" s="57"/>
      <c r="BL64" s="57"/>
      <c r="BM64" s="57"/>
      <c r="BN64" s="57"/>
      <c r="BO64" s="57"/>
      <c r="BP64" s="57"/>
      <c r="BQ64" s="57"/>
      <c r="BR64" s="57"/>
      <c r="BS64" s="57"/>
      <c r="BT64" s="57"/>
      <c r="BU64" s="57"/>
      <c r="BV64" s="57"/>
      <c r="BW64" s="57"/>
      <c r="BX64" s="57"/>
      <c r="BY64" s="57"/>
      <c r="BZ64" s="57"/>
      <c r="CA64" s="57"/>
      <c r="CB64" s="57"/>
      <c r="CC64" s="57"/>
      <c r="CD64" s="57"/>
      <c r="CE64" s="57"/>
      <c r="CF64" s="57"/>
      <c r="CG64" s="57"/>
      <c r="CH64" s="57"/>
      <c r="CI64" s="57"/>
      <c r="CJ64" s="57"/>
      <c r="CK64" s="57"/>
      <c r="CL64" s="57"/>
      <c r="CM64" s="57"/>
      <c r="CN64" s="57"/>
      <c r="CO64" s="57"/>
      <c r="CP64" s="57"/>
      <c r="CQ64" s="57"/>
      <c r="CR64" s="57"/>
      <c r="CS64" s="57"/>
      <c r="CT64" s="57"/>
      <c r="CU64" s="57"/>
      <c r="CV64" s="57"/>
      <c r="CW64" s="57"/>
      <c r="CX64" s="57"/>
      <c r="CY64" s="57"/>
      <c r="CZ64" s="57"/>
      <c r="DA64" s="57"/>
      <c r="DB64" s="57"/>
      <c r="DC64" s="57"/>
      <c r="DD64" s="57"/>
      <c r="DE64" s="57"/>
      <c r="DF64" s="57"/>
      <c r="DG64" s="57"/>
      <c r="DH64" s="57"/>
      <c r="DI64" s="57"/>
      <c r="DJ64" s="57"/>
      <c r="DK64" s="57"/>
      <c r="DL64" s="57"/>
      <c r="DM64" s="57"/>
      <c r="DN64" s="57"/>
      <c r="DO64" s="57"/>
      <c r="DP64" s="57"/>
      <c r="DQ64" s="57"/>
      <c r="DR64" s="57"/>
      <c r="DS64" s="57"/>
      <c r="DT64" s="57"/>
      <c r="DU64" s="57"/>
      <c r="DV64" s="57"/>
      <c r="DW64" s="57"/>
      <c r="DX64" s="57"/>
      <c r="DY64" s="57"/>
      <c r="DZ64" s="57"/>
      <c r="EA64" s="57"/>
      <c r="EB64" s="57"/>
      <c r="EC64" s="57"/>
      <c r="ED64" s="57"/>
      <c r="EE64" s="57"/>
      <c r="EF64" s="57"/>
      <c r="EG64" s="57"/>
      <c r="EH64" s="57"/>
      <c r="EI64" s="57"/>
      <c r="EJ64" s="57"/>
      <c r="EK64" s="57"/>
      <c r="EL64" s="57"/>
      <c r="EM64" s="57"/>
      <c r="EN64" s="57"/>
      <c r="EO64" s="57"/>
      <c r="EP64" s="57"/>
      <c r="EQ64" s="57"/>
      <c r="ER64" s="57"/>
      <c r="ES64" s="57"/>
      <c r="ET64" s="57"/>
      <c r="EU64" s="57"/>
      <c r="EV64" s="57"/>
      <c r="EW64" s="57"/>
      <c r="EX64" s="57"/>
      <c r="EY64" s="57"/>
      <c r="EZ64" s="57"/>
      <c r="FA64" s="57"/>
      <c r="FB64" s="57"/>
      <c r="FC64" s="57"/>
      <c r="FD64" s="57"/>
      <c r="FE64" s="57"/>
      <c r="FF64" s="57"/>
      <c r="FG64" s="57"/>
      <c r="FH64" s="57"/>
      <c r="FI64" s="57"/>
      <c r="FJ64" s="57"/>
    </row>
    <row r="65" ht="15.75" customHeight="1">
      <c r="A65" s="57"/>
      <c r="B65" s="57"/>
      <c r="C65" s="57"/>
      <c r="D65" s="57"/>
      <c r="E65" s="57"/>
      <c r="F65" s="57"/>
      <c r="G65" s="57"/>
      <c r="H65" s="57"/>
      <c r="I65" s="57"/>
      <c r="J65" s="57"/>
      <c r="K65" s="57"/>
      <c r="L65" s="57"/>
      <c r="M65" s="57"/>
      <c r="N65" s="57"/>
      <c r="O65" s="57"/>
      <c r="P65" s="57"/>
      <c r="Q65" s="57"/>
      <c r="R65" s="57"/>
      <c r="S65" s="57"/>
      <c r="T65" s="57"/>
      <c r="U65" s="57"/>
      <c r="V65" s="57"/>
      <c r="W65" s="57"/>
      <c r="X65" s="57"/>
      <c r="Y65" s="57"/>
      <c r="Z65" s="57"/>
      <c r="AA65" s="57"/>
      <c r="AB65" s="57"/>
      <c r="AC65" s="57"/>
      <c r="AD65" s="57"/>
      <c r="AE65" s="57"/>
      <c r="AF65" s="57"/>
      <c r="AG65" s="57"/>
      <c r="AH65" s="57"/>
      <c r="AI65" s="57"/>
      <c r="AJ65" s="57"/>
      <c r="AK65" s="57"/>
      <c r="AL65" s="57"/>
      <c r="AM65" s="57"/>
      <c r="AN65" s="57"/>
      <c r="AO65" s="57"/>
      <c r="AP65" s="57"/>
      <c r="AQ65" s="57"/>
      <c r="AR65" s="57"/>
      <c r="AS65" s="57"/>
      <c r="AT65" s="57"/>
      <c r="AU65" s="57"/>
      <c r="AV65" s="57"/>
      <c r="AW65" s="57"/>
      <c r="AX65" s="57"/>
      <c r="AY65" s="57"/>
      <c r="AZ65" s="57"/>
      <c r="BA65" s="57"/>
      <c r="BB65" s="57"/>
      <c r="BC65" s="57"/>
      <c r="BD65" s="57"/>
      <c r="BE65" s="57"/>
      <c r="BF65" s="57"/>
      <c r="BG65" s="57"/>
      <c r="BH65" s="57"/>
      <c r="BI65" s="57"/>
      <c r="BJ65" s="57"/>
      <c r="BK65" s="57"/>
      <c r="BL65" s="57"/>
      <c r="BM65" s="57"/>
      <c r="BN65" s="57"/>
      <c r="BO65" s="57"/>
      <c r="BP65" s="57"/>
      <c r="BQ65" s="57"/>
      <c r="BR65" s="57"/>
      <c r="BS65" s="57"/>
      <c r="BT65" s="57"/>
      <c r="BU65" s="57"/>
      <c r="BV65" s="57"/>
      <c r="BW65" s="57"/>
      <c r="BX65" s="57"/>
      <c r="BY65" s="57"/>
      <c r="BZ65" s="57"/>
      <c r="CA65" s="57"/>
      <c r="CB65" s="57"/>
      <c r="CC65" s="57"/>
      <c r="CD65" s="57"/>
      <c r="CE65" s="57"/>
      <c r="CF65" s="57"/>
      <c r="CG65" s="57"/>
      <c r="CH65" s="57"/>
      <c r="CI65" s="57"/>
      <c r="CJ65" s="57"/>
      <c r="CK65" s="57"/>
      <c r="CL65" s="57"/>
      <c r="CM65" s="57"/>
      <c r="CN65" s="57"/>
      <c r="CO65" s="57"/>
      <c r="CP65" s="57"/>
      <c r="CQ65" s="57"/>
      <c r="CR65" s="57"/>
      <c r="CS65" s="57"/>
      <c r="CT65" s="57"/>
      <c r="CU65" s="57"/>
      <c r="CV65" s="57"/>
      <c r="CW65" s="57"/>
      <c r="CX65" s="57"/>
      <c r="CY65" s="57"/>
      <c r="CZ65" s="57"/>
      <c r="DA65" s="57"/>
      <c r="DB65" s="57"/>
      <c r="DC65" s="57"/>
      <c r="DD65" s="57"/>
      <c r="DE65" s="57"/>
      <c r="DF65" s="57"/>
      <c r="DG65" s="57"/>
      <c r="DH65" s="57"/>
      <c r="DI65" s="57"/>
      <c r="DJ65" s="57"/>
      <c r="DK65" s="57"/>
      <c r="DL65" s="57"/>
      <c r="DM65" s="57"/>
      <c r="DN65" s="57"/>
      <c r="DO65" s="57"/>
      <c r="DP65" s="57"/>
      <c r="DQ65" s="57"/>
      <c r="DR65" s="57"/>
      <c r="DS65" s="57"/>
      <c r="DT65" s="57"/>
      <c r="DU65" s="57"/>
      <c r="DV65" s="57"/>
      <c r="DW65" s="57"/>
      <c r="DX65" s="57"/>
      <c r="DY65" s="57"/>
      <c r="DZ65" s="57"/>
      <c r="EA65" s="57"/>
      <c r="EB65" s="57"/>
      <c r="EC65" s="57"/>
      <c r="ED65" s="57"/>
      <c r="EE65" s="57"/>
      <c r="EF65" s="57"/>
      <c r="EG65" s="57"/>
      <c r="EH65" s="57"/>
      <c r="EI65" s="57"/>
      <c r="EJ65" s="57"/>
      <c r="EK65" s="57"/>
      <c r="EL65" s="57"/>
      <c r="EM65" s="57"/>
      <c r="EN65" s="57"/>
      <c r="EO65" s="57"/>
      <c r="EP65" s="57"/>
      <c r="EQ65" s="57"/>
      <c r="ER65" s="57"/>
      <c r="ES65" s="57"/>
      <c r="ET65" s="57"/>
      <c r="EU65" s="57"/>
      <c r="EV65" s="57"/>
      <c r="EW65" s="57"/>
      <c r="EX65" s="57"/>
      <c r="EY65" s="57"/>
      <c r="EZ65" s="57"/>
      <c r="FA65" s="57"/>
      <c r="FB65" s="57"/>
      <c r="FC65" s="57"/>
      <c r="FD65" s="57"/>
      <c r="FE65" s="57"/>
      <c r="FF65" s="57"/>
      <c r="FG65" s="57"/>
      <c r="FH65" s="57"/>
      <c r="FI65" s="57"/>
      <c r="FJ65" s="57"/>
    </row>
    <row r="66" ht="15.75" customHeight="1">
      <c r="A66" s="57"/>
      <c r="B66" s="57"/>
      <c r="C66" s="57"/>
      <c r="D66" s="57"/>
      <c r="E66" s="57"/>
      <c r="F66" s="57"/>
      <c r="G66" s="57"/>
      <c r="H66" s="57"/>
      <c r="I66" s="57"/>
      <c r="J66" s="57"/>
      <c r="K66" s="57"/>
      <c r="L66" s="57"/>
      <c r="M66" s="57"/>
      <c r="N66" s="57"/>
      <c r="O66" s="57"/>
      <c r="P66" s="57"/>
      <c r="Q66" s="57"/>
      <c r="R66" s="57"/>
      <c r="S66" s="57"/>
      <c r="T66" s="57"/>
      <c r="U66" s="57"/>
      <c r="V66" s="57"/>
      <c r="W66" s="57"/>
      <c r="X66" s="57"/>
      <c r="Y66" s="57"/>
      <c r="Z66" s="57"/>
      <c r="AA66" s="57"/>
      <c r="AB66" s="57"/>
      <c r="AC66" s="57"/>
      <c r="AD66" s="57"/>
      <c r="AE66" s="57"/>
      <c r="AF66" s="57"/>
      <c r="AG66" s="57"/>
      <c r="AH66" s="57"/>
      <c r="AI66" s="57"/>
      <c r="AJ66" s="57"/>
      <c r="AK66" s="57"/>
      <c r="AL66" s="57"/>
      <c r="AM66" s="57"/>
      <c r="AN66" s="57"/>
      <c r="AO66" s="57"/>
      <c r="AP66" s="57"/>
      <c r="AQ66" s="57"/>
      <c r="AR66" s="57"/>
      <c r="AS66" s="57"/>
      <c r="AT66" s="57"/>
      <c r="AU66" s="57"/>
      <c r="AV66" s="57"/>
      <c r="AW66" s="57"/>
      <c r="AX66" s="57"/>
      <c r="AY66" s="57"/>
      <c r="AZ66" s="57"/>
      <c r="BA66" s="57"/>
      <c r="BB66" s="57"/>
      <c r="BC66" s="57"/>
      <c r="BD66" s="57"/>
      <c r="BE66" s="57"/>
      <c r="BF66" s="57"/>
      <c r="BG66" s="57"/>
      <c r="BH66" s="57"/>
      <c r="BI66" s="57"/>
      <c r="BJ66" s="57"/>
      <c r="BK66" s="57"/>
      <c r="BL66" s="57"/>
      <c r="BM66" s="57"/>
      <c r="BN66" s="57"/>
      <c r="BO66" s="57"/>
      <c r="BP66" s="57"/>
      <c r="BQ66" s="57"/>
      <c r="BR66" s="57"/>
      <c r="BS66" s="57"/>
      <c r="BT66" s="57"/>
      <c r="BU66" s="57"/>
      <c r="BV66" s="57"/>
      <c r="BW66" s="57"/>
      <c r="BX66" s="57"/>
      <c r="BY66" s="57"/>
      <c r="BZ66" s="57"/>
      <c r="CA66" s="57"/>
      <c r="CB66" s="57"/>
      <c r="CC66" s="57"/>
      <c r="CD66" s="57"/>
      <c r="CE66" s="57"/>
      <c r="CF66" s="57"/>
      <c r="CG66" s="57"/>
      <c r="CH66" s="57"/>
      <c r="CI66" s="57"/>
      <c r="CJ66" s="57"/>
      <c r="CK66" s="57"/>
      <c r="CL66" s="57"/>
      <c r="CM66" s="57"/>
      <c r="CN66" s="57"/>
      <c r="CO66" s="57"/>
      <c r="CP66" s="57"/>
      <c r="CQ66" s="57"/>
      <c r="CR66" s="57"/>
      <c r="CS66" s="57"/>
      <c r="CT66" s="57"/>
      <c r="CU66" s="57"/>
      <c r="CV66" s="57"/>
      <c r="CW66" s="57"/>
      <c r="CX66" s="57"/>
      <c r="CY66" s="57"/>
      <c r="CZ66" s="57"/>
      <c r="DA66" s="57"/>
      <c r="DB66" s="57"/>
      <c r="DC66" s="57"/>
      <c r="DD66" s="57"/>
      <c r="DE66" s="57"/>
      <c r="DF66" s="57"/>
      <c r="DG66" s="57"/>
      <c r="DH66" s="57"/>
      <c r="DI66" s="57"/>
      <c r="DJ66" s="57"/>
      <c r="DK66" s="57"/>
      <c r="DL66" s="57"/>
      <c r="DM66" s="57"/>
      <c r="DN66" s="57"/>
      <c r="DO66" s="57"/>
      <c r="DP66" s="57"/>
      <c r="DQ66" s="57"/>
      <c r="DR66" s="57"/>
      <c r="DS66" s="57"/>
      <c r="DT66" s="57"/>
      <c r="DU66" s="57"/>
      <c r="DV66" s="57"/>
      <c r="DW66" s="57"/>
      <c r="DX66" s="57"/>
      <c r="DY66" s="57"/>
      <c r="DZ66" s="57"/>
      <c r="EA66" s="57"/>
      <c r="EB66" s="57"/>
      <c r="EC66" s="57"/>
      <c r="ED66" s="57"/>
      <c r="EE66" s="57"/>
      <c r="EF66" s="57"/>
      <c r="EG66" s="57"/>
      <c r="EH66" s="57"/>
      <c r="EI66" s="57"/>
      <c r="EJ66" s="57"/>
      <c r="EK66" s="57"/>
      <c r="EL66" s="57"/>
      <c r="EM66" s="57"/>
      <c r="EN66" s="57"/>
      <c r="EO66" s="57"/>
      <c r="EP66" s="57"/>
      <c r="EQ66" s="57"/>
      <c r="ER66" s="57"/>
      <c r="ES66" s="57"/>
      <c r="ET66" s="57"/>
      <c r="EU66" s="57"/>
      <c r="EV66" s="57"/>
      <c r="EW66" s="57"/>
      <c r="EX66" s="57"/>
      <c r="EY66" s="57"/>
      <c r="EZ66" s="57"/>
      <c r="FA66" s="57"/>
      <c r="FB66" s="57"/>
      <c r="FC66" s="57"/>
      <c r="FD66" s="57"/>
      <c r="FE66" s="57"/>
      <c r="FF66" s="57"/>
      <c r="FG66" s="57"/>
      <c r="FH66" s="57"/>
      <c r="FI66" s="57"/>
      <c r="FJ66" s="57"/>
    </row>
    <row r="67" ht="15.75" customHeight="1">
      <c r="A67" s="57"/>
      <c r="B67" s="57"/>
      <c r="C67" s="57"/>
      <c r="D67" s="57"/>
      <c r="E67" s="57"/>
      <c r="F67" s="57"/>
      <c r="G67" s="57"/>
      <c r="H67" s="57"/>
      <c r="I67" s="57"/>
      <c r="J67" s="57"/>
      <c r="K67" s="57"/>
      <c r="L67" s="57"/>
      <c r="M67" s="57"/>
      <c r="N67" s="57"/>
      <c r="O67" s="57"/>
      <c r="P67" s="57"/>
      <c r="Q67" s="57"/>
      <c r="R67" s="57"/>
      <c r="S67" s="57"/>
      <c r="T67" s="57"/>
      <c r="U67" s="57"/>
      <c r="V67" s="57"/>
      <c r="W67" s="57"/>
      <c r="X67" s="57"/>
      <c r="Y67" s="57"/>
      <c r="Z67" s="57"/>
      <c r="AA67" s="57"/>
      <c r="AB67" s="57"/>
      <c r="AC67" s="57"/>
      <c r="AD67" s="57"/>
      <c r="AE67" s="57"/>
      <c r="AF67" s="57"/>
      <c r="AG67" s="57"/>
      <c r="AH67" s="57"/>
      <c r="AI67" s="57"/>
      <c r="AJ67" s="57"/>
      <c r="AK67" s="57"/>
      <c r="AL67" s="57"/>
      <c r="AM67" s="57"/>
      <c r="AN67" s="57"/>
      <c r="AO67" s="57"/>
      <c r="AP67" s="57"/>
      <c r="AQ67" s="57"/>
      <c r="AR67" s="57"/>
      <c r="AS67" s="57"/>
      <c r="AT67" s="57"/>
      <c r="AU67" s="57"/>
      <c r="AV67" s="57"/>
      <c r="AW67" s="57"/>
      <c r="AX67" s="57"/>
      <c r="AY67" s="57"/>
      <c r="AZ67" s="57"/>
      <c r="BA67" s="57"/>
      <c r="BB67" s="57"/>
      <c r="BC67" s="57"/>
      <c r="BD67" s="57"/>
      <c r="BE67" s="57"/>
      <c r="BF67" s="57"/>
      <c r="BG67" s="57"/>
      <c r="BH67" s="57"/>
      <c r="BI67" s="57"/>
      <c r="BJ67" s="57"/>
      <c r="BK67" s="57"/>
      <c r="BL67" s="57"/>
      <c r="BM67" s="57"/>
      <c r="BN67" s="57"/>
      <c r="BO67" s="57"/>
      <c r="BP67" s="57"/>
      <c r="BQ67" s="57"/>
      <c r="BR67" s="57"/>
      <c r="BS67" s="57"/>
      <c r="BT67" s="57"/>
      <c r="BU67" s="57"/>
      <c r="BV67" s="57"/>
      <c r="BW67" s="57"/>
      <c r="BX67" s="57"/>
      <c r="BY67" s="57"/>
      <c r="BZ67" s="57"/>
      <c r="CA67" s="57"/>
      <c r="CB67" s="57"/>
      <c r="CC67" s="57"/>
      <c r="CD67" s="57"/>
      <c r="CE67" s="57"/>
      <c r="CF67" s="57"/>
      <c r="CG67" s="57"/>
      <c r="CH67" s="57"/>
      <c r="CI67" s="57"/>
      <c r="CJ67" s="57"/>
      <c r="CK67" s="57"/>
      <c r="CL67" s="57"/>
      <c r="CM67" s="57"/>
      <c r="CN67" s="57"/>
      <c r="CO67" s="57"/>
      <c r="CP67" s="57"/>
      <c r="CQ67" s="57"/>
      <c r="CR67" s="57"/>
      <c r="CS67" s="57"/>
      <c r="CT67" s="57"/>
      <c r="CU67" s="57"/>
      <c r="CV67" s="57"/>
      <c r="CW67" s="57"/>
      <c r="CX67" s="57"/>
      <c r="CY67" s="57"/>
      <c r="CZ67" s="57"/>
      <c r="DA67" s="57"/>
      <c r="DB67" s="57"/>
      <c r="DC67" s="57"/>
      <c r="DD67" s="57"/>
      <c r="DE67" s="57"/>
      <c r="DF67" s="57"/>
      <c r="DG67" s="57"/>
      <c r="DH67" s="57"/>
      <c r="DI67" s="57"/>
      <c r="DJ67" s="57"/>
      <c r="DK67" s="57"/>
      <c r="DL67" s="57"/>
      <c r="DM67" s="57"/>
      <c r="DN67" s="57"/>
      <c r="DO67" s="57"/>
      <c r="DP67" s="57"/>
      <c r="DQ67" s="57"/>
      <c r="DR67" s="57"/>
      <c r="DS67" s="57"/>
      <c r="DT67" s="57"/>
      <c r="DU67" s="57"/>
      <c r="DV67" s="57"/>
      <c r="DW67" s="57"/>
      <c r="DX67" s="57"/>
      <c r="DY67" s="57"/>
      <c r="DZ67" s="57"/>
      <c r="EA67" s="57"/>
      <c r="EB67" s="57"/>
      <c r="EC67" s="57"/>
      <c r="ED67" s="57"/>
      <c r="EE67" s="57"/>
      <c r="EF67" s="57"/>
      <c r="EG67" s="57"/>
      <c r="EH67" s="57"/>
      <c r="EI67" s="57"/>
      <c r="EJ67" s="57"/>
      <c r="EK67" s="57"/>
      <c r="EL67" s="57"/>
      <c r="EM67" s="57"/>
      <c r="EN67" s="57"/>
      <c r="EO67" s="57"/>
      <c r="EP67" s="57"/>
      <c r="EQ67" s="57"/>
      <c r="ER67" s="57"/>
      <c r="ES67" s="57"/>
      <c r="ET67" s="57"/>
      <c r="EU67" s="57"/>
      <c r="EV67" s="57"/>
      <c r="EW67" s="57"/>
      <c r="EX67" s="57"/>
      <c r="EY67" s="57"/>
      <c r="EZ67" s="57"/>
      <c r="FA67" s="57"/>
      <c r="FB67" s="57"/>
      <c r="FC67" s="57"/>
      <c r="FD67" s="57"/>
      <c r="FE67" s="57"/>
      <c r="FF67" s="57"/>
      <c r="FG67" s="57"/>
      <c r="FH67" s="57"/>
      <c r="FI67" s="57"/>
      <c r="FJ67" s="57"/>
    </row>
    <row r="68" ht="15.75" customHeight="1">
      <c r="A68" s="57"/>
      <c r="B68" s="57"/>
      <c r="C68" s="57"/>
      <c r="D68" s="57"/>
      <c r="E68" s="57"/>
      <c r="F68" s="57"/>
      <c r="G68" s="57"/>
      <c r="H68" s="57"/>
      <c r="I68" s="57"/>
      <c r="J68" s="57"/>
      <c r="K68" s="57"/>
      <c r="L68" s="57"/>
      <c r="M68" s="57"/>
      <c r="N68" s="57"/>
      <c r="O68" s="57"/>
      <c r="P68" s="57"/>
      <c r="Q68" s="57"/>
      <c r="R68" s="57"/>
      <c r="S68" s="57"/>
      <c r="T68" s="57"/>
      <c r="U68" s="57"/>
      <c r="V68" s="57"/>
      <c r="W68" s="57"/>
      <c r="X68" s="57"/>
      <c r="Y68" s="57"/>
      <c r="Z68" s="57"/>
      <c r="AA68" s="57"/>
      <c r="AB68" s="57"/>
      <c r="AC68" s="57"/>
      <c r="AD68" s="57"/>
      <c r="AE68" s="57"/>
      <c r="AF68" s="57"/>
      <c r="AG68" s="57"/>
      <c r="AH68" s="57"/>
      <c r="AI68" s="57"/>
      <c r="AJ68" s="57"/>
      <c r="AK68" s="57"/>
      <c r="AL68" s="57"/>
      <c r="AM68" s="57"/>
      <c r="AN68" s="57"/>
      <c r="AO68" s="57"/>
      <c r="AP68" s="57"/>
      <c r="AQ68" s="57"/>
      <c r="AR68" s="57"/>
      <c r="AS68" s="57"/>
      <c r="AT68" s="57"/>
      <c r="AU68" s="57"/>
      <c r="AV68" s="57"/>
      <c r="AW68" s="57"/>
      <c r="AX68" s="57"/>
      <c r="AY68" s="57"/>
      <c r="AZ68" s="57"/>
      <c r="BA68" s="57"/>
      <c r="BB68" s="57"/>
      <c r="BC68" s="57"/>
      <c r="BD68" s="57"/>
      <c r="BE68" s="57"/>
      <c r="BF68" s="57"/>
      <c r="BG68" s="57"/>
      <c r="BH68" s="57"/>
      <c r="BI68" s="57"/>
      <c r="BJ68" s="57"/>
      <c r="BK68" s="57"/>
      <c r="BL68" s="57"/>
      <c r="BM68" s="57"/>
      <c r="BN68" s="57"/>
      <c r="BO68" s="57"/>
      <c r="BP68" s="57"/>
      <c r="BQ68" s="57"/>
      <c r="BR68" s="57"/>
      <c r="BS68" s="57"/>
      <c r="BT68" s="57"/>
      <c r="BU68" s="57"/>
      <c r="BV68" s="57"/>
      <c r="BW68" s="57"/>
      <c r="BX68" s="57"/>
      <c r="BY68" s="57"/>
      <c r="BZ68" s="57"/>
      <c r="CA68" s="57"/>
      <c r="CB68" s="57"/>
      <c r="CC68" s="57"/>
      <c r="CD68" s="57"/>
      <c r="CE68" s="57"/>
      <c r="CF68" s="57"/>
      <c r="CG68" s="57"/>
      <c r="CH68" s="57"/>
      <c r="CI68" s="57"/>
      <c r="CJ68" s="57"/>
      <c r="CK68" s="57"/>
      <c r="CL68" s="57"/>
      <c r="CM68" s="57"/>
      <c r="CN68" s="57"/>
      <c r="CO68" s="57"/>
      <c r="CP68" s="57"/>
      <c r="CQ68" s="57"/>
      <c r="CR68" s="57"/>
      <c r="CS68" s="57"/>
      <c r="CT68" s="57"/>
      <c r="CU68" s="57"/>
      <c r="CV68" s="57"/>
      <c r="CW68" s="57"/>
      <c r="CX68" s="57"/>
      <c r="CY68" s="57"/>
      <c r="CZ68" s="57"/>
      <c r="DA68" s="57"/>
      <c r="DB68" s="57"/>
      <c r="DC68" s="57"/>
      <c r="DD68" s="57"/>
      <c r="DE68" s="57"/>
      <c r="DF68" s="57"/>
      <c r="DG68" s="57"/>
      <c r="DH68" s="57"/>
      <c r="DI68" s="57"/>
      <c r="DJ68" s="57"/>
      <c r="DK68" s="57"/>
      <c r="DL68" s="57"/>
      <c r="DM68" s="57"/>
      <c r="DN68" s="57"/>
      <c r="DO68" s="57"/>
      <c r="DP68" s="57"/>
      <c r="DQ68" s="57"/>
      <c r="DR68" s="57"/>
      <c r="DS68" s="57"/>
      <c r="DT68" s="57"/>
      <c r="DU68" s="57"/>
      <c r="DV68" s="57"/>
      <c r="DW68" s="57"/>
      <c r="DX68" s="57"/>
      <c r="DY68" s="57"/>
      <c r="DZ68" s="57"/>
      <c r="EA68" s="57"/>
      <c r="EB68" s="57"/>
      <c r="EC68" s="57"/>
      <c r="ED68" s="57"/>
      <c r="EE68" s="57"/>
      <c r="EF68" s="57"/>
      <c r="EG68" s="57"/>
      <c r="EH68" s="57"/>
      <c r="EI68" s="57"/>
      <c r="EJ68" s="57"/>
      <c r="EK68" s="57"/>
      <c r="EL68" s="57"/>
      <c r="EM68" s="57"/>
      <c r="EN68" s="57"/>
      <c r="EO68" s="57"/>
      <c r="EP68" s="57"/>
      <c r="EQ68" s="57"/>
      <c r="ER68" s="57"/>
      <c r="ES68" s="57"/>
      <c r="ET68" s="57"/>
      <c r="EU68" s="57"/>
      <c r="EV68" s="57"/>
      <c r="EW68" s="57"/>
      <c r="EX68" s="57"/>
      <c r="EY68" s="57"/>
      <c r="EZ68" s="57"/>
      <c r="FA68" s="57"/>
      <c r="FB68" s="57"/>
      <c r="FC68" s="57"/>
      <c r="FD68" s="57"/>
      <c r="FE68" s="57"/>
      <c r="FF68" s="57"/>
      <c r="FG68" s="57"/>
      <c r="FH68" s="57"/>
      <c r="FI68" s="57"/>
      <c r="FJ68" s="57"/>
    </row>
    <row r="69" ht="15.75" customHeight="1">
      <c r="A69" s="57"/>
      <c r="B69" s="57"/>
      <c r="C69" s="57"/>
      <c r="D69" s="57"/>
      <c r="E69" s="57"/>
      <c r="F69" s="57"/>
      <c r="G69" s="57"/>
      <c r="H69" s="57"/>
      <c r="I69" s="57"/>
      <c r="J69" s="57"/>
      <c r="K69" s="57"/>
      <c r="L69" s="57"/>
      <c r="M69" s="57"/>
      <c r="N69" s="57"/>
      <c r="O69" s="57"/>
      <c r="P69" s="57"/>
      <c r="Q69" s="57"/>
      <c r="R69" s="57"/>
      <c r="S69" s="57"/>
      <c r="T69" s="57"/>
      <c r="U69" s="57"/>
      <c r="V69" s="57"/>
      <c r="W69" s="57"/>
      <c r="X69" s="57"/>
      <c r="Y69" s="57"/>
      <c r="Z69" s="57"/>
      <c r="AA69" s="57"/>
      <c r="AB69" s="57"/>
      <c r="AC69" s="57"/>
      <c r="AD69" s="57"/>
      <c r="AE69" s="57"/>
      <c r="AF69" s="57"/>
      <c r="AG69" s="57"/>
      <c r="AH69" s="57"/>
      <c r="AI69" s="57"/>
      <c r="AJ69" s="57"/>
      <c r="AK69" s="57"/>
      <c r="AL69" s="57"/>
      <c r="AM69" s="57"/>
      <c r="AN69" s="57"/>
      <c r="AO69" s="57"/>
      <c r="AP69" s="57"/>
      <c r="AQ69" s="57"/>
      <c r="AR69" s="57"/>
      <c r="AS69" s="57"/>
      <c r="AT69" s="57"/>
      <c r="AU69" s="57"/>
      <c r="AV69" s="57"/>
      <c r="AW69" s="57"/>
      <c r="AX69" s="57"/>
      <c r="AY69" s="57"/>
      <c r="AZ69" s="57"/>
      <c r="BA69" s="57"/>
      <c r="BB69" s="57"/>
      <c r="BC69" s="57"/>
      <c r="BD69" s="57"/>
      <c r="BE69" s="57"/>
      <c r="BF69" s="57"/>
      <c r="BG69" s="57"/>
      <c r="BH69" s="57"/>
      <c r="BI69" s="57"/>
      <c r="BJ69" s="57"/>
      <c r="BK69" s="57"/>
      <c r="BL69" s="57"/>
      <c r="BM69" s="57"/>
      <c r="BN69" s="57"/>
      <c r="BO69" s="57"/>
      <c r="BP69" s="57"/>
      <c r="BQ69" s="57"/>
      <c r="BR69" s="57"/>
      <c r="BS69" s="57"/>
      <c r="BT69" s="57"/>
      <c r="BU69" s="57"/>
      <c r="BV69" s="57"/>
      <c r="BW69" s="57"/>
      <c r="BX69" s="57"/>
      <c r="BY69" s="57"/>
      <c r="BZ69" s="57"/>
      <c r="CA69" s="57"/>
      <c r="CB69" s="57"/>
      <c r="CC69" s="57"/>
      <c r="CD69" s="57"/>
      <c r="CE69" s="57"/>
      <c r="CF69" s="57"/>
      <c r="CG69" s="57"/>
      <c r="CH69" s="57"/>
      <c r="CI69" s="57"/>
      <c r="CJ69" s="57"/>
      <c r="CK69" s="57"/>
      <c r="CL69" s="57"/>
      <c r="CM69" s="57"/>
      <c r="CN69" s="57"/>
      <c r="CO69" s="57"/>
      <c r="CP69" s="57"/>
      <c r="CQ69" s="57"/>
      <c r="CR69" s="57"/>
      <c r="CS69" s="57"/>
      <c r="CT69" s="57"/>
      <c r="CU69" s="57"/>
      <c r="CV69" s="57"/>
      <c r="CW69" s="57"/>
      <c r="CX69" s="57"/>
      <c r="CY69" s="57"/>
      <c r="CZ69" s="57"/>
      <c r="DA69" s="57"/>
      <c r="DB69" s="57"/>
      <c r="DC69" s="57"/>
      <c r="DD69" s="57"/>
      <c r="DE69" s="57"/>
      <c r="DF69" s="57"/>
      <c r="DG69" s="57"/>
      <c r="DH69" s="57"/>
      <c r="DI69" s="57"/>
      <c r="DJ69" s="57"/>
      <c r="DK69" s="57"/>
      <c r="DL69" s="57"/>
      <c r="DM69" s="57"/>
      <c r="DN69" s="57"/>
      <c r="DO69" s="57"/>
      <c r="DP69" s="57"/>
      <c r="DQ69" s="57"/>
      <c r="DR69" s="57"/>
      <c r="DS69" s="57"/>
      <c r="DT69" s="57"/>
      <c r="DU69" s="57"/>
      <c r="DV69" s="57"/>
      <c r="DW69" s="57"/>
      <c r="DX69" s="57"/>
      <c r="DY69" s="57"/>
      <c r="DZ69" s="57"/>
      <c r="EA69" s="57"/>
      <c r="EB69" s="57"/>
      <c r="EC69" s="57"/>
      <c r="ED69" s="57"/>
      <c r="EE69" s="57"/>
      <c r="EF69" s="57"/>
      <c r="EG69" s="57"/>
      <c r="EH69" s="57"/>
      <c r="EI69" s="57"/>
      <c r="EJ69" s="57"/>
      <c r="EK69" s="57"/>
      <c r="EL69" s="57"/>
      <c r="EM69" s="57"/>
      <c r="EN69" s="57"/>
      <c r="EO69" s="57"/>
      <c r="EP69" s="57"/>
      <c r="EQ69" s="57"/>
      <c r="ER69" s="57"/>
      <c r="ES69" s="57"/>
      <c r="ET69" s="57"/>
      <c r="EU69" s="57"/>
      <c r="EV69" s="57"/>
      <c r="EW69" s="57"/>
      <c r="EX69" s="57"/>
      <c r="EY69" s="57"/>
      <c r="EZ69" s="57"/>
      <c r="FA69" s="57"/>
      <c r="FB69" s="57"/>
      <c r="FC69" s="57"/>
      <c r="FD69" s="57"/>
      <c r="FE69" s="57"/>
      <c r="FF69" s="57"/>
      <c r="FG69" s="57"/>
      <c r="FH69" s="57"/>
      <c r="FI69" s="57"/>
      <c r="FJ69" s="57"/>
    </row>
    <row r="70" ht="15.75" customHeight="1">
      <c r="A70" s="57"/>
      <c r="B70" s="57"/>
      <c r="C70" s="57"/>
      <c r="D70" s="57"/>
      <c r="E70" s="57"/>
      <c r="F70" s="57"/>
      <c r="G70" s="57"/>
      <c r="H70" s="57"/>
      <c r="I70" s="57"/>
      <c r="J70" s="57"/>
      <c r="K70" s="57"/>
      <c r="L70" s="57"/>
      <c r="M70" s="57"/>
      <c r="N70" s="57"/>
      <c r="O70" s="57"/>
      <c r="P70" s="57"/>
      <c r="Q70" s="57"/>
      <c r="R70" s="57"/>
      <c r="S70" s="57"/>
      <c r="T70" s="57"/>
      <c r="U70" s="57"/>
      <c r="V70" s="57"/>
      <c r="W70" s="57"/>
      <c r="X70" s="57"/>
      <c r="Y70" s="57"/>
      <c r="Z70" s="57"/>
      <c r="AA70" s="57"/>
      <c r="AB70" s="57"/>
      <c r="AC70" s="57"/>
      <c r="AD70" s="57"/>
      <c r="AE70" s="57"/>
      <c r="AF70" s="57"/>
      <c r="AG70" s="57"/>
      <c r="AH70" s="57"/>
      <c r="AI70" s="57"/>
      <c r="AJ70" s="57"/>
      <c r="AK70" s="57"/>
      <c r="AL70" s="57"/>
      <c r="AM70" s="57"/>
      <c r="AN70" s="57"/>
      <c r="AO70" s="57"/>
      <c r="AP70" s="57"/>
      <c r="AQ70" s="57"/>
      <c r="AR70" s="57"/>
      <c r="AS70" s="57"/>
      <c r="AT70" s="57"/>
      <c r="AU70" s="57"/>
      <c r="AV70" s="57"/>
      <c r="AW70" s="57"/>
      <c r="AX70" s="57"/>
      <c r="AY70" s="57"/>
      <c r="AZ70" s="57"/>
      <c r="BA70" s="57"/>
      <c r="BB70" s="57"/>
      <c r="BC70" s="57"/>
      <c r="BD70" s="57"/>
      <c r="BE70" s="57"/>
      <c r="BF70" s="57"/>
      <c r="BG70" s="57"/>
      <c r="BH70" s="57"/>
      <c r="BI70" s="57"/>
      <c r="BJ70" s="57"/>
      <c r="BK70" s="57"/>
      <c r="BL70" s="57"/>
      <c r="BM70" s="57"/>
      <c r="BN70" s="57"/>
      <c r="BO70" s="57"/>
      <c r="BP70" s="57"/>
      <c r="BQ70" s="57"/>
      <c r="BR70" s="57"/>
      <c r="BS70" s="57"/>
      <c r="BT70" s="57"/>
      <c r="BU70" s="57"/>
      <c r="BV70" s="57"/>
      <c r="BW70" s="57"/>
      <c r="BX70" s="57"/>
      <c r="BY70" s="57"/>
      <c r="BZ70" s="57"/>
      <c r="CA70" s="57"/>
      <c r="CB70" s="57"/>
      <c r="CC70" s="57"/>
      <c r="CD70" s="57"/>
      <c r="CE70" s="57"/>
      <c r="CF70" s="57"/>
      <c r="CG70" s="57"/>
      <c r="CH70" s="57"/>
      <c r="CI70" s="57"/>
      <c r="CJ70" s="57"/>
      <c r="CK70" s="57"/>
      <c r="CL70" s="57"/>
      <c r="CM70" s="57"/>
      <c r="CN70" s="57"/>
      <c r="CO70" s="57"/>
      <c r="CP70" s="57"/>
      <c r="CQ70" s="57"/>
      <c r="CR70" s="57"/>
      <c r="CS70" s="57"/>
      <c r="CT70" s="57"/>
      <c r="CU70" s="57"/>
      <c r="CV70" s="57"/>
      <c r="CW70" s="57"/>
      <c r="CX70" s="57"/>
      <c r="CY70" s="57"/>
      <c r="CZ70" s="57"/>
      <c r="DA70" s="57"/>
      <c r="DB70" s="57"/>
      <c r="DC70" s="57"/>
      <c r="DD70" s="57"/>
      <c r="DE70" s="57"/>
      <c r="DF70" s="57"/>
      <c r="DG70" s="57"/>
      <c r="DH70" s="57"/>
      <c r="DI70" s="57"/>
      <c r="DJ70" s="57"/>
      <c r="DK70" s="57"/>
      <c r="DL70" s="57"/>
      <c r="DM70" s="57"/>
      <c r="DN70" s="57"/>
      <c r="DO70" s="57"/>
      <c r="DP70" s="57"/>
      <c r="DQ70" s="57"/>
      <c r="DR70" s="57"/>
      <c r="DS70" s="57"/>
      <c r="DT70" s="57"/>
      <c r="DU70" s="57"/>
      <c r="DV70" s="57"/>
      <c r="DW70" s="57"/>
      <c r="DX70" s="57"/>
      <c r="DY70" s="57"/>
      <c r="DZ70" s="57"/>
      <c r="EA70" s="57"/>
      <c r="EB70" s="57"/>
      <c r="EC70" s="57"/>
      <c r="ED70" s="57"/>
      <c r="EE70" s="57"/>
      <c r="EF70" s="57"/>
      <c r="EG70" s="57"/>
      <c r="EH70" s="57"/>
      <c r="EI70" s="57"/>
      <c r="EJ70" s="57"/>
      <c r="EK70" s="57"/>
      <c r="EL70" s="57"/>
      <c r="EM70" s="57"/>
      <c r="EN70" s="57"/>
      <c r="EO70" s="57"/>
      <c r="EP70" s="57"/>
      <c r="EQ70" s="57"/>
      <c r="ER70" s="57"/>
      <c r="ES70" s="57"/>
      <c r="ET70" s="57"/>
      <c r="EU70" s="57"/>
      <c r="EV70" s="57"/>
      <c r="EW70" s="57"/>
      <c r="EX70" s="57"/>
      <c r="EY70" s="57"/>
      <c r="EZ70" s="57"/>
      <c r="FA70" s="57"/>
      <c r="FB70" s="57"/>
      <c r="FC70" s="57"/>
      <c r="FD70" s="57"/>
      <c r="FE70" s="57"/>
      <c r="FF70" s="57"/>
      <c r="FG70" s="57"/>
      <c r="FH70" s="57"/>
      <c r="FI70" s="57"/>
      <c r="FJ70" s="57"/>
    </row>
    <row r="71" ht="15.75" customHeight="1">
      <c r="A71" s="57"/>
      <c r="B71" s="57"/>
      <c r="C71" s="57"/>
      <c r="D71" s="57"/>
      <c r="E71" s="57"/>
      <c r="F71" s="57"/>
      <c r="G71" s="57"/>
      <c r="H71" s="57"/>
      <c r="I71" s="57"/>
      <c r="J71" s="57"/>
      <c r="K71" s="57"/>
      <c r="L71" s="57"/>
      <c r="M71" s="57"/>
      <c r="N71" s="57"/>
      <c r="O71" s="57"/>
      <c r="P71" s="57"/>
      <c r="Q71" s="57"/>
      <c r="R71" s="57"/>
      <c r="S71" s="57"/>
      <c r="T71" s="57"/>
      <c r="U71" s="57"/>
      <c r="V71" s="57"/>
      <c r="W71" s="57"/>
      <c r="X71" s="57"/>
      <c r="Y71" s="57"/>
      <c r="Z71" s="57"/>
      <c r="AA71" s="57"/>
      <c r="AB71" s="57"/>
      <c r="AC71" s="57"/>
      <c r="AD71" s="57"/>
      <c r="AE71" s="57"/>
      <c r="AF71" s="57"/>
      <c r="AG71" s="57"/>
      <c r="AH71" s="57"/>
      <c r="AI71" s="57"/>
      <c r="AJ71" s="57"/>
      <c r="AK71" s="57"/>
      <c r="AL71" s="57"/>
      <c r="AM71" s="57"/>
      <c r="AN71" s="57"/>
      <c r="AO71" s="57"/>
      <c r="AP71" s="57"/>
      <c r="AQ71" s="57"/>
      <c r="AR71" s="57"/>
      <c r="AS71" s="57"/>
      <c r="AT71" s="57"/>
      <c r="AU71" s="57"/>
      <c r="AV71" s="57"/>
      <c r="AW71" s="57"/>
      <c r="AX71" s="57"/>
      <c r="AY71" s="57"/>
      <c r="AZ71" s="57"/>
      <c r="BA71" s="57"/>
      <c r="BB71" s="57"/>
      <c r="BC71" s="57"/>
      <c r="BD71" s="57"/>
      <c r="BE71" s="57"/>
      <c r="BF71" s="57"/>
      <c r="BG71" s="57"/>
      <c r="BH71" s="57"/>
      <c r="BI71" s="57"/>
      <c r="BJ71" s="57"/>
      <c r="BK71" s="57"/>
      <c r="BL71" s="57"/>
      <c r="BM71" s="57"/>
      <c r="BN71" s="57"/>
      <c r="BO71" s="57"/>
      <c r="BP71" s="57"/>
      <c r="BQ71" s="57"/>
      <c r="BR71" s="57"/>
      <c r="BS71" s="57"/>
      <c r="BT71" s="57"/>
      <c r="BU71" s="57"/>
      <c r="BV71" s="57"/>
      <c r="BW71" s="57"/>
      <c r="BX71" s="57"/>
      <c r="BY71" s="57"/>
      <c r="BZ71" s="57"/>
      <c r="CA71" s="57"/>
      <c r="CB71" s="57"/>
      <c r="CC71" s="57"/>
      <c r="CD71" s="57"/>
      <c r="CE71" s="57"/>
      <c r="CF71" s="57"/>
      <c r="CG71" s="57"/>
      <c r="CH71" s="57"/>
      <c r="CI71" s="57"/>
      <c r="CJ71" s="57"/>
      <c r="CK71" s="57"/>
      <c r="CL71" s="57"/>
      <c r="CM71" s="57"/>
      <c r="CN71" s="57"/>
      <c r="CO71" s="57"/>
      <c r="CP71" s="57"/>
      <c r="CQ71" s="57"/>
      <c r="CR71" s="57"/>
      <c r="CS71" s="57"/>
      <c r="CT71" s="57"/>
      <c r="CU71" s="57"/>
      <c r="CV71" s="57"/>
      <c r="CW71" s="57"/>
      <c r="CX71" s="57"/>
      <c r="CY71" s="57"/>
      <c r="CZ71" s="57"/>
      <c r="DA71" s="57"/>
      <c r="DB71" s="57"/>
      <c r="DC71" s="57"/>
      <c r="DD71" s="57"/>
      <c r="DE71" s="57"/>
      <c r="DF71" s="57"/>
      <c r="DG71" s="57"/>
      <c r="DH71" s="57"/>
      <c r="DI71" s="57"/>
      <c r="DJ71" s="57"/>
      <c r="DK71" s="57"/>
      <c r="DL71" s="57"/>
      <c r="DM71" s="57"/>
      <c r="DN71" s="57"/>
      <c r="DO71" s="57"/>
      <c r="DP71" s="57"/>
      <c r="DQ71" s="57"/>
      <c r="DR71" s="57"/>
      <c r="DS71" s="57"/>
      <c r="DT71" s="57"/>
      <c r="DU71" s="57"/>
      <c r="DV71" s="57"/>
      <c r="DW71" s="57"/>
      <c r="DX71" s="57"/>
      <c r="DY71" s="57"/>
      <c r="DZ71" s="57"/>
      <c r="EA71" s="57"/>
      <c r="EB71" s="57"/>
      <c r="EC71" s="57"/>
      <c r="ED71" s="57"/>
      <c r="EE71" s="57"/>
      <c r="EF71" s="57"/>
      <c r="EG71" s="57"/>
      <c r="EH71" s="57"/>
      <c r="EI71" s="57"/>
      <c r="EJ71" s="57"/>
      <c r="EK71" s="57"/>
      <c r="EL71" s="57"/>
      <c r="EM71" s="57"/>
      <c r="EN71" s="57"/>
      <c r="EO71" s="57"/>
      <c r="EP71" s="57"/>
      <c r="EQ71" s="57"/>
      <c r="ER71" s="57"/>
      <c r="ES71" s="57"/>
      <c r="ET71" s="57"/>
      <c r="EU71" s="57"/>
      <c r="EV71" s="57"/>
      <c r="EW71" s="57"/>
      <c r="EX71" s="57"/>
      <c r="EY71" s="57"/>
      <c r="EZ71" s="57"/>
      <c r="FA71" s="57"/>
      <c r="FB71" s="57"/>
      <c r="FC71" s="57"/>
      <c r="FD71" s="57"/>
      <c r="FE71" s="57"/>
      <c r="FF71" s="57"/>
      <c r="FG71" s="57"/>
      <c r="FH71" s="57"/>
      <c r="FI71" s="57"/>
      <c r="FJ71" s="57"/>
    </row>
    <row r="72" ht="15.75" customHeight="1">
      <c r="A72" s="57"/>
      <c r="B72" s="57"/>
      <c r="C72" s="57"/>
      <c r="D72" s="57"/>
      <c r="E72" s="57"/>
      <c r="F72" s="57"/>
      <c r="G72" s="57"/>
      <c r="H72" s="57"/>
      <c r="I72" s="57"/>
      <c r="J72" s="57"/>
      <c r="K72" s="57"/>
      <c r="L72" s="57"/>
      <c r="M72" s="57"/>
      <c r="N72" s="57"/>
      <c r="O72" s="57"/>
      <c r="P72" s="57"/>
      <c r="Q72" s="57"/>
      <c r="R72" s="57"/>
      <c r="S72" s="57"/>
      <c r="T72" s="57"/>
      <c r="U72" s="57"/>
      <c r="V72" s="57"/>
      <c r="W72" s="57"/>
      <c r="X72" s="57"/>
      <c r="Y72" s="57"/>
      <c r="Z72" s="57"/>
      <c r="AA72" s="57"/>
      <c r="AB72" s="57"/>
      <c r="AC72" s="57"/>
      <c r="AD72" s="57"/>
      <c r="AE72" s="57"/>
      <c r="AF72" s="57"/>
      <c r="AG72" s="57"/>
      <c r="AH72" s="57"/>
      <c r="AI72" s="57"/>
      <c r="AJ72" s="57"/>
      <c r="AK72" s="57"/>
      <c r="AL72" s="57"/>
      <c r="AM72" s="57"/>
      <c r="AN72" s="57"/>
      <c r="AO72" s="57"/>
      <c r="AP72" s="57"/>
      <c r="AQ72" s="57"/>
      <c r="AR72" s="57"/>
      <c r="AS72" s="57"/>
      <c r="AT72" s="57"/>
      <c r="AU72" s="57"/>
      <c r="AV72" s="57"/>
      <c r="AW72" s="57"/>
      <c r="AX72" s="57"/>
      <c r="AY72" s="57"/>
      <c r="AZ72" s="57"/>
      <c r="BA72" s="57"/>
      <c r="BB72" s="57"/>
      <c r="BC72" s="57"/>
      <c r="BD72" s="57"/>
      <c r="BE72" s="57"/>
      <c r="BF72" s="57"/>
      <c r="BG72" s="57"/>
      <c r="BH72" s="57"/>
      <c r="BI72" s="57"/>
      <c r="BJ72" s="57"/>
      <c r="BK72" s="57"/>
      <c r="BL72" s="57"/>
      <c r="BM72" s="57"/>
      <c r="BN72" s="57"/>
      <c r="BO72" s="57"/>
      <c r="BP72" s="57"/>
      <c r="BQ72" s="57"/>
      <c r="BR72" s="57"/>
      <c r="BS72" s="57"/>
      <c r="BT72" s="57"/>
      <c r="BU72" s="57"/>
      <c r="BV72" s="57"/>
      <c r="BW72" s="57"/>
      <c r="BX72" s="57"/>
      <c r="BY72" s="57"/>
      <c r="BZ72" s="57"/>
      <c r="CA72" s="57"/>
      <c r="CB72" s="57"/>
      <c r="CC72" s="57"/>
      <c r="CD72" s="57"/>
      <c r="CE72" s="57"/>
      <c r="CF72" s="57"/>
      <c r="CG72" s="57"/>
      <c r="CH72" s="57"/>
      <c r="CI72" s="57"/>
      <c r="CJ72" s="57"/>
      <c r="CK72" s="57"/>
      <c r="CL72" s="57"/>
      <c r="CM72" s="57"/>
      <c r="CN72" s="57"/>
      <c r="CO72" s="57"/>
      <c r="CP72" s="57"/>
      <c r="CQ72" s="57"/>
      <c r="CR72" s="57"/>
      <c r="CS72" s="57"/>
      <c r="CT72" s="57"/>
      <c r="CU72" s="57"/>
      <c r="CV72" s="57"/>
      <c r="CW72" s="57"/>
      <c r="CX72" s="57"/>
      <c r="CY72" s="57"/>
      <c r="CZ72" s="57"/>
      <c r="DA72" s="57"/>
      <c r="DB72" s="57"/>
      <c r="DC72" s="57"/>
      <c r="DD72" s="57"/>
      <c r="DE72" s="57"/>
      <c r="DF72" s="57"/>
      <c r="DG72" s="57"/>
      <c r="DH72" s="57"/>
      <c r="DI72" s="57"/>
      <c r="DJ72" s="57"/>
      <c r="DK72" s="57"/>
      <c r="DL72" s="57"/>
      <c r="DM72" s="57"/>
      <c r="DN72" s="57"/>
      <c r="DO72" s="57"/>
      <c r="DP72" s="57"/>
      <c r="DQ72" s="57"/>
      <c r="DR72" s="57"/>
      <c r="DS72" s="57"/>
      <c r="DT72" s="57"/>
      <c r="DU72" s="57"/>
      <c r="DV72" s="57"/>
      <c r="DW72" s="57"/>
      <c r="DX72" s="57"/>
      <c r="DY72" s="57"/>
      <c r="DZ72" s="57"/>
      <c r="EA72" s="57"/>
      <c r="EB72" s="57"/>
      <c r="EC72" s="57"/>
      <c r="ED72" s="57"/>
      <c r="EE72" s="57"/>
      <c r="EF72" s="57"/>
      <c r="EG72" s="57"/>
      <c r="EH72" s="57"/>
      <c r="EI72" s="57"/>
      <c r="EJ72" s="57"/>
      <c r="EK72" s="57"/>
      <c r="EL72" s="57"/>
      <c r="EM72" s="57"/>
      <c r="EN72" s="57"/>
      <c r="EO72" s="57"/>
      <c r="EP72" s="57"/>
      <c r="EQ72" s="57"/>
      <c r="ER72" s="57"/>
      <c r="ES72" s="57"/>
      <c r="ET72" s="57"/>
      <c r="EU72" s="57"/>
      <c r="EV72" s="57"/>
      <c r="EW72" s="57"/>
      <c r="EX72" s="57"/>
      <c r="EY72" s="57"/>
      <c r="EZ72" s="57"/>
      <c r="FA72" s="57"/>
      <c r="FB72" s="57"/>
      <c r="FC72" s="57"/>
      <c r="FD72" s="57"/>
      <c r="FE72" s="57"/>
      <c r="FF72" s="57"/>
      <c r="FG72" s="57"/>
      <c r="FH72" s="57"/>
      <c r="FI72" s="57"/>
      <c r="FJ72" s="57"/>
    </row>
    <row r="73" ht="15.75" customHeight="1">
      <c r="A73" s="57"/>
      <c r="B73" s="57"/>
      <c r="C73" s="57"/>
      <c r="D73" s="57"/>
      <c r="E73" s="57"/>
      <c r="F73" s="57"/>
      <c r="G73" s="57"/>
      <c r="H73" s="57"/>
      <c r="I73" s="57"/>
      <c r="J73" s="57"/>
      <c r="K73" s="57"/>
      <c r="L73" s="57"/>
      <c r="M73" s="57"/>
      <c r="N73" s="57"/>
      <c r="O73" s="57"/>
      <c r="P73" s="57"/>
      <c r="Q73" s="57"/>
      <c r="R73" s="57"/>
      <c r="S73" s="57"/>
      <c r="T73" s="57"/>
      <c r="U73" s="57"/>
      <c r="V73" s="57"/>
      <c r="W73" s="57"/>
      <c r="X73" s="57"/>
      <c r="Y73" s="57"/>
      <c r="Z73" s="57"/>
      <c r="AA73" s="57"/>
      <c r="AB73" s="57"/>
      <c r="AC73" s="57"/>
      <c r="AD73" s="57"/>
      <c r="AE73" s="57"/>
      <c r="AF73" s="57"/>
      <c r="AG73" s="57"/>
      <c r="AH73" s="57"/>
      <c r="AI73" s="57"/>
      <c r="AJ73" s="57"/>
      <c r="AK73" s="57"/>
      <c r="AL73" s="57"/>
      <c r="AM73" s="57"/>
      <c r="AN73" s="57"/>
      <c r="AO73" s="57"/>
      <c r="AP73" s="57"/>
      <c r="AQ73" s="57"/>
      <c r="AR73" s="57"/>
      <c r="AS73" s="57"/>
      <c r="AT73" s="57"/>
      <c r="AU73" s="57"/>
      <c r="AV73" s="57"/>
      <c r="AW73" s="57"/>
      <c r="AX73" s="57"/>
      <c r="AY73" s="57"/>
      <c r="AZ73" s="57"/>
      <c r="BA73" s="57"/>
      <c r="BB73" s="57"/>
      <c r="BC73" s="57"/>
      <c r="BD73" s="57"/>
      <c r="BE73" s="57"/>
      <c r="BF73" s="57"/>
      <c r="BG73" s="57"/>
      <c r="BH73" s="57"/>
      <c r="BI73" s="57"/>
      <c r="BJ73" s="57"/>
      <c r="BK73" s="57"/>
      <c r="BL73" s="57"/>
      <c r="BM73" s="57"/>
      <c r="BN73" s="57"/>
      <c r="BO73" s="57"/>
      <c r="BP73" s="57"/>
      <c r="BQ73" s="57"/>
      <c r="BR73" s="57"/>
      <c r="BS73" s="57"/>
      <c r="BT73" s="57"/>
      <c r="BU73" s="57"/>
      <c r="BV73" s="57"/>
      <c r="BW73" s="57"/>
      <c r="BX73" s="57"/>
      <c r="BY73" s="57"/>
      <c r="BZ73" s="57"/>
      <c r="CA73" s="57"/>
      <c r="CB73" s="57"/>
      <c r="CC73" s="57"/>
      <c r="CD73" s="57"/>
      <c r="CE73" s="57"/>
      <c r="CF73" s="57"/>
      <c r="CG73" s="57"/>
      <c r="CH73" s="57"/>
      <c r="CI73" s="57"/>
      <c r="CJ73" s="57"/>
      <c r="CK73" s="57"/>
      <c r="CL73" s="57"/>
      <c r="CM73" s="57"/>
      <c r="CN73" s="57"/>
      <c r="CO73" s="57"/>
      <c r="CP73" s="57"/>
      <c r="CQ73" s="57"/>
      <c r="CR73" s="57"/>
      <c r="CS73" s="57"/>
      <c r="CT73" s="57"/>
      <c r="CU73" s="57"/>
      <c r="CV73" s="57"/>
      <c r="CW73" s="57"/>
      <c r="CX73" s="57"/>
      <c r="CY73" s="57"/>
      <c r="CZ73" s="57"/>
      <c r="DA73" s="57"/>
      <c r="DB73" s="57"/>
      <c r="DC73" s="57"/>
      <c r="DD73" s="57"/>
      <c r="DE73" s="57"/>
      <c r="DF73" s="57"/>
      <c r="DG73" s="57"/>
      <c r="DH73" s="57"/>
      <c r="DI73" s="57"/>
      <c r="DJ73" s="57"/>
      <c r="DK73" s="57"/>
      <c r="DL73" s="57"/>
      <c r="DM73" s="57"/>
      <c r="DN73" s="57"/>
      <c r="DO73" s="57"/>
      <c r="DP73" s="57"/>
      <c r="DQ73" s="57"/>
      <c r="DR73" s="57"/>
      <c r="DS73" s="57"/>
      <c r="DT73" s="57"/>
      <c r="DU73" s="57"/>
      <c r="DV73" s="57"/>
      <c r="DW73" s="57"/>
      <c r="DX73" s="57"/>
      <c r="DY73" s="57"/>
      <c r="DZ73" s="57"/>
      <c r="EA73" s="57"/>
      <c r="EB73" s="57"/>
      <c r="EC73" s="57"/>
      <c r="ED73" s="57"/>
      <c r="EE73" s="57"/>
      <c r="EF73" s="57"/>
      <c r="EG73" s="57"/>
      <c r="EH73" s="57"/>
      <c r="EI73" s="57"/>
      <c r="EJ73" s="57"/>
      <c r="EK73" s="57"/>
      <c r="EL73" s="57"/>
      <c r="EM73" s="57"/>
      <c r="EN73" s="57"/>
      <c r="EO73" s="57"/>
      <c r="EP73" s="57"/>
      <c r="EQ73" s="57"/>
      <c r="ER73" s="57"/>
      <c r="ES73" s="57"/>
      <c r="ET73" s="57"/>
      <c r="EU73" s="57"/>
      <c r="EV73" s="57"/>
      <c r="EW73" s="57"/>
      <c r="EX73" s="57"/>
      <c r="EY73" s="57"/>
      <c r="EZ73" s="57"/>
      <c r="FA73" s="57"/>
      <c r="FB73" s="57"/>
      <c r="FC73" s="57"/>
      <c r="FD73" s="57"/>
      <c r="FE73" s="57"/>
      <c r="FF73" s="57"/>
      <c r="FG73" s="57"/>
      <c r="FH73" s="57"/>
      <c r="FI73" s="57"/>
      <c r="FJ73" s="57"/>
    </row>
    <row r="74" ht="15.75" customHeight="1">
      <c r="A74" s="57"/>
      <c r="B74" s="57"/>
      <c r="C74" s="57"/>
      <c r="D74" s="57"/>
      <c r="E74" s="57"/>
      <c r="F74" s="57"/>
      <c r="G74" s="57"/>
      <c r="H74" s="57"/>
      <c r="I74" s="57"/>
      <c r="J74" s="57"/>
      <c r="K74" s="57"/>
      <c r="L74" s="57"/>
      <c r="M74" s="57"/>
      <c r="N74" s="57"/>
      <c r="O74" s="57"/>
      <c r="P74" s="57"/>
      <c r="Q74" s="57"/>
      <c r="R74" s="57"/>
      <c r="S74" s="57"/>
      <c r="T74" s="57"/>
      <c r="U74" s="57"/>
      <c r="V74" s="57"/>
      <c r="W74" s="57"/>
      <c r="X74" s="57"/>
      <c r="Y74" s="57"/>
      <c r="Z74" s="57"/>
      <c r="AA74" s="57"/>
      <c r="AB74" s="57"/>
      <c r="AC74" s="57"/>
      <c r="AD74" s="57"/>
      <c r="AE74" s="57"/>
      <c r="AF74" s="57"/>
      <c r="AG74" s="57"/>
      <c r="AH74" s="57"/>
      <c r="AI74" s="57"/>
      <c r="AJ74" s="57"/>
      <c r="AK74" s="57"/>
      <c r="AL74" s="57"/>
      <c r="AM74" s="57"/>
      <c r="AN74" s="57"/>
      <c r="AO74" s="57"/>
      <c r="AP74" s="57"/>
      <c r="AQ74" s="57"/>
      <c r="AR74" s="57"/>
      <c r="AS74" s="57"/>
      <c r="AT74" s="57"/>
      <c r="AU74" s="57"/>
      <c r="AV74" s="57"/>
      <c r="AW74" s="57"/>
      <c r="AX74" s="57"/>
      <c r="AY74" s="57"/>
      <c r="AZ74" s="57"/>
      <c r="BA74" s="57"/>
      <c r="BB74" s="57"/>
      <c r="BC74" s="57"/>
      <c r="BD74" s="57"/>
      <c r="BE74" s="57"/>
      <c r="BF74" s="57"/>
      <c r="BG74" s="57"/>
      <c r="BH74" s="57"/>
      <c r="BI74" s="57"/>
      <c r="BJ74" s="57"/>
      <c r="BK74" s="57"/>
      <c r="BL74" s="57"/>
      <c r="BM74" s="57"/>
      <c r="BN74" s="57"/>
      <c r="BO74" s="57"/>
      <c r="BP74" s="57"/>
      <c r="BQ74" s="57"/>
      <c r="BR74" s="57"/>
      <c r="BS74" s="57"/>
      <c r="BT74" s="57"/>
      <c r="BU74" s="57"/>
      <c r="BV74" s="57"/>
      <c r="BW74" s="57"/>
      <c r="BX74" s="57"/>
      <c r="BY74" s="57"/>
      <c r="BZ74" s="57"/>
      <c r="CA74" s="57"/>
      <c r="CB74" s="57"/>
      <c r="CC74" s="57"/>
      <c r="CD74" s="57"/>
      <c r="CE74" s="57"/>
      <c r="CF74" s="57"/>
      <c r="CG74" s="57"/>
      <c r="CH74" s="57"/>
      <c r="CI74" s="57"/>
      <c r="CJ74" s="57"/>
      <c r="CK74" s="57"/>
      <c r="CL74" s="57"/>
      <c r="CM74" s="57"/>
      <c r="CN74" s="57"/>
      <c r="CO74" s="57"/>
      <c r="CP74" s="57"/>
      <c r="CQ74" s="57"/>
      <c r="CR74" s="57"/>
      <c r="CS74" s="57"/>
      <c r="CT74" s="57"/>
      <c r="CU74" s="57"/>
      <c r="CV74" s="57"/>
      <c r="CW74" s="57"/>
      <c r="CX74" s="57"/>
      <c r="CY74" s="57"/>
      <c r="CZ74" s="57"/>
      <c r="DA74" s="57"/>
      <c r="DB74" s="57"/>
      <c r="DC74" s="57"/>
      <c r="DD74" s="57"/>
      <c r="DE74" s="57"/>
      <c r="DF74" s="57"/>
      <c r="DG74" s="57"/>
      <c r="DH74" s="57"/>
      <c r="DI74" s="57"/>
      <c r="DJ74" s="57"/>
      <c r="DK74" s="57"/>
      <c r="DL74" s="57"/>
      <c r="DM74" s="57"/>
      <c r="DN74" s="57"/>
      <c r="DO74" s="57"/>
      <c r="DP74" s="57"/>
      <c r="DQ74" s="57"/>
      <c r="DR74" s="57"/>
      <c r="DS74" s="57"/>
      <c r="DT74" s="57"/>
      <c r="DU74" s="57"/>
      <c r="DV74" s="57"/>
      <c r="DW74" s="57"/>
      <c r="DX74" s="57"/>
      <c r="DY74" s="57"/>
      <c r="DZ74" s="57"/>
      <c r="EA74" s="57"/>
      <c r="EB74" s="57"/>
      <c r="EC74" s="57"/>
      <c r="ED74" s="57"/>
      <c r="EE74" s="57"/>
      <c r="EF74" s="57"/>
      <c r="EG74" s="57"/>
      <c r="EH74" s="57"/>
      <c r="EI74" s="57"/>
      <c r="EJ74" s="57"/>
      <c r="EK74" s="57"/>
      <c r="EL74" s="57"/>
      <c r="EM74" s="57"/>
      <c r="EN74" s="57"/>
      <c r="EO74" s="57"/>
      <c r="EP74" s="57"/>
      <c r="EQ74" s="57"/>
      <c r="ER74" s="57"/>
      <c r="ES74" s="57"/>
      <c r="ET74" s="57"/>
      <c r="EU74" s="57"/>
      <c r="EV74" s="57"/>
      <c r="EW74" s="57"/>
      <c r="EX74" s="57"/>
      <c r="EY74" s="57"/>
      <c r="EZ74" s="57"/>
      <c r="FA74" s="57"/>
      <c r="FB74" s="57"/>
      <c r="FC74" s="57"/>
      <c r="FD74" s="57"/>
      <c r="FE74" s="57"/>
      <c r="FF74" s="57"/>
      <c r="FG74" s="57"/>
      <c r="FH74" s="57"/>
      <c r="FI74" s="57"/>
      <c r="FJ74" s="57"/>
    </row>
    <row r="75" ht="15.75" customHeight="1">
      <c r="A75" s="57"/>
      <c r="B75" s="57"/>
      <c r="C75" s="57"/>
      <c r="D75" s="57"/>
      <c r="E75" s="57"/>
      <c r="F75" s="57"/>
      <c r="G75" s="57"/>
      <c r="H75" s="57"/>
      <c r="I75" s="57"/>
      <c r="J75" s="57"/>
      <c r="K75" s="57"/>
      <c r="L75" s="57"/>
      <c r="M75" s="57"/>
      <c r="N75" s="57"/>
      <c r="O75" s="57"/>
      <c r="P75" s="57"/>
      <c r="Q75" s="57"/>
      <c r="R75" s="57"/>
      <c r="S75" s="57"/>
      <c r="T75" s="57"/>
      <c r="U75" s="57"/>
      <c r="V75" s="57"/>
      <c r="W75" s="57"/>
      <c r="X75" s="57"/>
      <c r="Y75" s="57"/>
      <c r="Z75" s="57"/>
      <c r="AA75" s="57"/>
      <c r="AB75" s="57"/>
      <c r="AC75" s="57"/>
      <c r="AD75" s="57"/>
      <c r="AE75" s="57"/>
      <c r="AF75" s="57"/>
      <c r="AG75" s="57"/>
      <c r="AH75" s="57"/>
      <c r="AI75" s="57"/>
      <c r="AJ75" s="57"/>
      <c r="AK75" s="57"/>
      <c r="AL75" s="57"/>
      <c r="AM75" s="57"/>
      <c r="AN75" s="57"/>
      <c r="AO75" s="57"/>
      <c r="AP75" s="57"/>
      <c r="AQ75" s="57"/>
      <c r="AR75" s="57"/>
      <c r="AS75" s="57"/>
      <c r="AT75" s="57"/>
      <c r="AU75" s="57"/>
      <c r="AV75" s="57"/>
      <c r="AW75" s="57"/>
      <c r="AX75" s="57"/>
      <c r="AY75" s="57"/>
      <c r="AZ75" s="57"/>
      <c r="BA75" s="57"/>
      <c r="BB75" s="57"/>
      <c r="BC75" s="57"/>
      <c r="BD75" s="57"/>
      <c r="BE75" s="57"/>
      <c r="BF75" s="57"/>
      <c r="BG75" s="57"/>
      <c r="BH75" s="57"/>
      <c r="BI75" s="57"/>
      <c r="BJ75" s="57"/>
      <c r="BK75" s="57"/>
      <c r="BL75" s="57"/>
      <c r="BM75" s="57"/>
      <c r="BN75" s="57"/>
      <c r="BO75" s="57"/>
      <c r="BP75" s="57"/>
      <c r="BQ75" s="57"/>
      <c r="BR75" s="57"/>
      <c r="BS75" s="57"/>
      <c r="BT75" s="57"/>
      <c r="BU75" s="57"/>
      <c r="BV75" s="57"/>
      <c r="BW75" s="57"/>
      <c r="BX75" s="57"/>
      <c r="BY75" s="57"/>
      <c r="BZ75" s="57"/>
      <c r="CA75" s="57"/>
      <c r="CB75" s="57"/>
      <c r="CC75" s="57"/>
      <c r="CD75" s="57"/>
      <c r="CE75" s="57"/>
      <c r="CF75" s="57"/>
      <c r="CG75" s="57"/>
      <c r="CH75" s="57"/>
      <c r="CI75" s="57"/>
      <c r="CJ75" s="57"/>
      <c r="CK75" s="57"/>
      <c r="CL75" s="57"/>
      <c r="CM75" s="57"/>
      <c r="CN75" s="57"/>
      <c r="CO75" s="57"/>
      <c r="CP75" s="57"/>
      <c r="CQ75" s="57"/>
      <c r="CR75" s="57"/>
      <c r="CS75" s="57"/>
      <c r="CT75" s="57"/>
      <c r="CU75" s="57"/>
      <c r="CV75" s="57"/>
      <c r="CW75" s="57"/>
      <c r="CX75" s="57"/>
      <c r="CY75" s="57"/>
      <c r="CZ75" s="57"/>
      <c r="DA75" s="57"/>
      <c r="DB75" s="57"/>
      <c r="DC75" s="57"/>
      <c r="DD75" s="57"/>
      <c r="DE75" s="57"/>
      <c r="DF75" s="57"/>
      <c r="DG75" s="57"/>
      <c r="DH75" s="57"/>
      <c r="DI75" s="57"/>
      <c r="DJ75" s="57"/>
      <c r="DK75" s="57"/>
      <c r="DL75" s="57"/>
      <c r="DM75" s="57"/>
      <c r="DN75" s="57"/>
      <c r="DO75" s="57"/>
      <c r="DP75" s="57"/>
      <c r="DQ75" s="57"/>
      <c r="DR75" s="57"/>
      <c r="DS75" s="57"/>
      <c r="DT75" s="57"/>
      <c r="DU75" s="57"/>
      <c r="DV75" s="57"/>
      <c r="DW75" s="57"/>
      <c r="DX75" s="57"/>
      <c r="DY75" s="57"/>
      <c r="DZ75" s="57"/>
      <c r="EA75" s="57"/>
      <c r="EB75" s="57"/>
      <c r="EC75" s="57"/>
      <c r="ED75" s="57"/>
      <c r="EE75" s="57"/>
      <c r="EF75" s="57"/>
      <c r="EG75" s="57"/>
      <c r="EH75" s="57"/>
      <c r="EI75" s="57"/>
      <c r="EJ75" s="57"/>
      <c r="EK75" s="57"/>
      <c r="EL75" s="57"/>
      <c r="EM75" s="57"/>
      <c r="EN75" s="57"/>
      <c r="EO75" s="57"/>
      <c r="EP75" s="57"/>
      <c r="EQ75" s="57"/>
      <c r="ER75" s="57"/>
      <c r="ES75" s="57"/>
      <c r="ET75" s="57"/>
      <c r="EU75" s="57"/>
      <c r="EV75" s="57"/>
      <c r="EW75" s="57"/>
      <c r="EX75" s="57"/>
      <c r="EY75" s="57"/>
      <c r="EZ75" s="57"/>
      <c r="FA75" s="57"/>
      <c r="FB75" s="57"/>
      <c r="FC75" s="57"/>
      <c r="FD75" s="57"/>
      <c r="FE75" s="57"/>
      <c r="FF75" s="57"/>
      <c r="FG75" s="57"/>
      <c r="FH75" s="57"/>
      <c r="FI75" s="57"/>
      <c r="FJ75" s="57"/>
    </row>
    <row r="76" ht="15.75" customHeight="1">
      <c r="A76" s="57"/>
      <c r="B76" s="57"/>
      <c r="C76" s="57"/>
      <c r="D76" s="57"/>
      <c r="E76" s="57"/>
      <c r="F76" s="57"/>
      <c r="G76" s="57"/>
      <c r="H76" s="57"/>
      <c r="I76" s="57"/>
      <c r="J76" s="57"/>
      <c r="K76" s="57"/>
      <c r="L76" s="57"/>
      <c r="M76" s="57"/>
      <c r="N76" s="57"/>
      <c r="O76" s="57"/>
      <c r="P76" s="57"/>
      <c r="Q76" s="57"/>
      <c r="R76" s="57"/>
      <c r="S76" s="57"/>
      <c r="T76" s="57"/>
      <c r="U76" s="57"/>
      <c r="V76" s="57"/>
      <c r="W76" s="57"/>
      <c r="X76" s="57"/>
      <c r="Y76" s="57"/>
      <c r="Z76" s="57"/>
      <c r="AA76" s="57"/>
      <c r="AB76" s="57"/>
      <c r="AC76" s="57"/>
      <c r="AD76" s="57"/>
      <c r="AE76" s="57"/>
      <c r="AF76" s="57"/>
      <c r="AG76" s="57"/>
      <c r="AH76" s="57"/>
      <c r="AI76" s="57"/>
      <c r="AJ76" s="57"/>
      <c r="AK76" s="57"/>
      <c r="AL76" s="57"/>
      <c r="AM76" s="57"/>
      <c r="AN76" s="57"/>
      <c r="AO76" s="57"/>
      <c r="AP76" s="57"/>
      <c r="AQ76" s="57"/>
      <c r="AR76" s="57"/>
      <c r="AS76" s="57"/>
      <c r="AT76" s="57"/>
      <c r="AU76" s="57"/>
      <c r="AV76" s="57"/>
      <c r="AW76" s="57"/>
      <c r="AX76" s="57"/>
      <c r="AY76" s="57"/>
      <c r="AZ76" s="57"/>
      <c r="BA76" s="57"/>
      <c r="BB76" s="57"/>
      <c r="BC76" s="57"/>
      <c r="BD76" s="57"/>
      <c r="BE76" s="57"/>
      <c r="BF76" s="57"/>
      <c r="BG76" s="57"/>
      <c r="BH76" s="57"/>
      <c r="BI76" s="57"/>
      <c r="BJ76" s="57"/>
      <c r="BK76" s="57"/>
      <c r="BL76" s="57"/>
      <c r="BM76" s="57"/>
      <c r="BN76" s="57"/>
      <c r="BO76" s="57"/>
      <c r="BP76" s="57"/>
      <c r="BQ76" s="57"/>
      <c r="BR76" s="57"/>
      <c r="BS76" s="57"/>
      <c r="BT76" s="57"/>
      <c r="BU76" s="57"/>
      <c r="BV76" s="57"/>
      <c r="BW76" s="57"/>
      <c r="BX76" s="57"/>
      <c r="BY76" s="57"/>
      <c r="BZ76" s="57"/>
      <c r="CA76" s="57"/>
      <c r="CB76" s="57"/>
      <c r="CC76" s="57"/>
      <c r="CD76" s="57"/>
      <c r="CE76" s="57"/>
      <c r="CF76" s="57"/>
      <c r="CG76" s="57"/>
      <c r="CH76" s="57"/>
      <c r="CI76" s="57"/>
      <c r="CJ76" s="57"/>
      <c r="CK76" s="57"/>
      <c r="CL76" s="57"/>
      <c r="CM76" s="57"/>
      <c r="CN76" s="57"/>
      <c r="CO76" s="57"/>
      <c r="CP76" s="57"/>
      <c r="CQ76" s="57"/>
      <c r="CR76" s="57"/>
      <c r="CS76" s="57"/>
      <c r="CT76" s="57"/>
      <c r="CU76" s="57"/>
      <c r="CV76" s="57"/>
      <c r="CW76" s="57"/>
      <c r="CX76" s="57"/>
      <c r="CY76" s="57"/>
      <c r="CZ76" s="57"/>
      <c r="DA76" s="57"/>
      <c r="DB76" s="57"/>
      <c r="DC76" s="57"/>
      <c r="DD76" s="57"/>
      <c r="DE76" s="57"/>
      <c r="DF76" s="57"/>
      <c r="DG76" s="57"/>
      <c r="DH76" s="57"/>
      <c r="DI76" s="57"/>
      <c r="DJ76" s="57"/>
      <c r="DK76" s="57"/>
      <c r="DL76" s="57"/>
      <c r="DM76" s="57"/>
      <c r="DN76" s="57"/>
      <c r="DO76" s="57"/>
      <c r="DP76" s="57"/>
      <c r="DQ76" s="57"/>
      <c r="DR76" s="57"/>
      <c r="DS76" s="57"/>
      <c r="DT76" s="57"/>
      <c r="DU76" s="57"/>
      <c r="DV76" s="57"/>
      <c r="DW76" s="57"/>
      <c r="DX76" s="57"/>
      <c r="DY76" s="57"/>
      <c r="DZ76" s="57"/>
      <c r="EA76" s="57"/>
      <c r="EB76" s="57"/>
      <c r="EC76" s="57"/>
      <c r="ED76" s="57"/>
      <c r="EE76" s="57"/>
      <c r="EF76" s="57"/>
      <c r="EG76" s="57"/>
      <c r="EH76" s="57"/>
      <c r="EI76" s="57"/>
      <c r="EJ76" s="57"/>
      <c r="EK76" s="57"/>
      <c r="EL76" s="57"/>
      <c r="EM76" s="57"/>
      <c r="EN76" s="57"/>
      <c r="EO76" s="57"/>
      <c r="EP76" s="57"/>
      <c r="EQ76" s="57"/>
      <c r="ER76" s="57"/>
      <c r="ES76" s="57"/>
      <c r="ET76" s="57"/>
      <c r="EU76" s="57"/>
      <c r="EV76" s="57"/>
      <c r="EW76" s="57"/>
      <c r="EX76" s="57"/>
      <c r="EY76" s="57"/>
      <c r="EZ76" s="57"/>
      <c r="FA76" s="57"/>
      <c r="FB76" s="57"/>
      <c r="FC76" s="57"/>
      <c r="FD76" s="57"/>
      <c r="FE76" s="57"/>
      <c r="FF76" s="57"/>
      <c r="FG76" s="57"/>
      <c r="FH76" s="57"/>
      <c r="FI76" s="57"/>
      <c r="FJ76" s="57"/>
    </row>
    <row r="77" ht="15.75" customHeight="1">
      <c r="A77" s="57"/>
      <c r="B77" s="57"/>
      <c r="C77" s="57"/>
      <c r="D77" s="57"/>
      <c r="E77" s="57"/>
      <c r="F77" s="57"/>
      <c r="G77" s="57"/>
      <c r="H77" s="57"/>
      <c r="I77" s="57"/>
      <c r="J77" s="57"/>
      <c r="K77" s="57"/>
      <c r="L77" s="57"/>
      <c r="M77" s="57"/>
      <c r="N77" s="57"/>
      <c r="O77" s="57"/>
      <c r="P77" s="57"/>
      <c r="Q77" s="57"/>
      <c r="R77" s="57"/>
      <c r="S77" s="57"/>
      <c r="T77" s="57"/>
      <c r="U77" s="57"/>
      <c r="V77" s="57"/>
      <c r="W77" s="57"/>
      <c r="X77" s="57"/>
      <c r="Y77" s="57"/>
      <c r="Z77" s="57"/>
      <c r="AA77" s="57"/>
      <c r="AB77" s="57"/>
      <c r="AC77" s="57"/>
      <c r="AD77" s="57"/>
      <c r="AE77" s="57"/>
      <c r="AF77" s="57"/>
      <c r="AG77" s="57"/>
      <c r="AH77" s="57"/>
      <c r="AI77" s="57"/>
      <c r="AJ77" s="57"/>
      <c r="AK77" s="57"/>
      <c r="AL77" s="57"/>
      <c r="AM77" s="57"/>
      <c r="AN77" s="57"/>
      <c r="AO77" s="57"/>
      <c r="AP77" s="57"/>
      <c r="AQ77" s="57"/>
      <c r="AR77" s="57"/>
      <c r="AS77" s="57"/>
      <c r="AT77" s="57"/>
      <c r="AU77" s="57"/>
      <c r="AV77" s="57"/>
      <c r="AW77" s="57"/>
      <c r="AX77" s="57"/>
      <c r="AY77" s="57"/>
      <c r="AZ77" s="57"/>
      <c r="BA77" s="57"/>
      <c r="BB77" s="57"/>
      <c r="BC77" s="57"/>
      <c r="BD77" s="57"/>
      <c r="BE77" s="57"/>
      <c r="BF77" s="57"/>
      <c r="BG77" s="57"/>
      <c r="BH77" s="57"/>
      <c r="BI77" s="57"/>
      <c r="BJ77" s="57"/>
      <c r="BK77" s="57"/>
      <c r="BL77" s="57"/>
      <c r="BM77" s="57"/>
      <c r="BN77" s="57"/>
      <c r="BO77" s="57"/>
      <c r="BP77" s="57"/>
      <c r="BQ77" s="57"/>
      <c r="BR77" s="57"/>
      <c r="BS77" s="57"/>
      <c r="BT77" s="57"/>
      <c r="BU77" s="57"/>
      <c r="BV77" s="57"/>
      <c r="BW77" s="57"/>
      <c r="BX77" s="57"/>
      <c r="BY77" s="57"/>
      <c r="BZ77" s="57"/>
      <c r="CA77" s="57"/>
      <c r="CB77" s="57"/>
      <c r="CC77" s="57"/>
      <c r="CD77" s="57"/>
      <c r="CE77" s="57"/>
      <c r="CF77" s="57"/>
      <c r="CG77" s="57"/>
      <c r="CH77" s="57"/>
      <c r="CI77" s="57"/>
      <c r="CJ77" s="57"/>
      <c r="CK77" s="57"/>
      <c r="CL77" s="57"/>
      <c r="CM77" s="57"/>
      <c r="CN77" s="57"/>
      <c r="CO77" s="57"/>
      <c r="CP77" s="57"/>
      <c r="CQ77" s="57"/>
      <c r="CR77" s="57"/>
      <c r="CS77" s="57"/>
      <c r="CT77" s="57"/>
      <c r="CU77" s="57"/>
      <c r="CV77" s="57"/>
      <c r="CW77" s="57"/>
      <c r="CX77" s="57"/>
      <c r="CY77" s="57"/>
      <c r="CZ77" s="57"/>
      <c r="DA77" s="57"/>
      <c r="DB77" s="57"/>
      <c r="DC77" s="57"/>
      <c r="DD77" s="57"/>
      <c r="DE77" s="57"/>
      <c r="DF77" s="57"/>
      <c r="DG77" s="57"/>
      <c r="DH77" s="57"/>
      <c r="DI77" s="57"/>
      <c r="DJ77" s="57"/>
      <c r="DK77" s="57"/>
      <c r="DL77" s="57"/>
      <c r="DM77" s="57"/>
      <c r="DN77" s="57"/>
      <c r="DO77" s="57"/>
      <c r="DP77" s="57"/>
      <c r="DQ77" s="57"/>
      <c r="DR77" s="57"/>
      <c r="DS77" s="57"/>
      <c r="DT77" s="57"/>
      <c r="DU77" s="57"/>
      <c r="DV77" s="57"/>
      <c r="DW77" s="57"/>
      <c r="DX77" s="57"/>
      <c r="DY77" s="57"/>
      <c r="DZ77" s="57"/>
      <c r="EA77" s="57"/>
      <c r="EB77" s="57"/>
      <c r="EC77" s="57"/>
      <c r="ED77" s="57"/>
      <c r="EE77" s="57"/>
      <c r="EF77" s="57"/>
      <c r="EG77" s="57"/>
      <c r="EH77" s="57"/>
      <c r="EI77" s="57"/>
      <c r="EJ77" s="57"/>
      <c r="EK77" s="57"/>
      <c r="EL77" s="57"/>
      <c r="EM77" s="57"/>
      <c r="EN77" s="57"/>
      <c r="EO77" s="57"/>
      <c r="EP77" s="57"/>
      <c r="EQ77" s="57"/>
      <c r="ER77" s="57"/>
      <c r="ES77" s="57"/>
      <c r="ET77" s="57"/>
      <c r="EU77" s="57"/>
      <c r="EV77" s="57"/>
      <c r="EW77" s="57"/>
      <c r="EX77" s="57"/>
      <c r="EY77" s="57"/>
      <c r="EZ77" s="57"/>
      <c r="FA77" s="57"/>
      <c r="FB77" s="57"/>
      <c r="FC77" s="57"/>
      <c r="FD77" s="57"/>
      <c r="FE77" s="57"/>
      <c r="FF77" s="57"/>
      <c r="FG77" s="57"/>
      <c r="FH77" s="57"/>
      <c r="FI77" s="57"/>
      <c r="FJ77" s="57"/>
    </row>
    <row r="78" ht="15.75" customHeight="1">
      <c r="A78" s="57"/>
      <c r="B78" s="57"/>
      <c r="C78" s="57"/>
      <c r="D78" s="57"/>
      <c r="E78" s="57"/>
      <c r="F78" s="57"/>
      <c r="G78" s="57"/>
      <c r="H78" s="57"/>
      <c r="I78" s="57"/>
      <c r="J78" s="57"/>
      <c r="K78" s="57"/>
      <c r="L78" s="57"/>
      <c r="M78" s="57"/>
      <c r="N78" s="57"/>
      <c r="O78" s="57"/>
      <c r="P78" s="57"/>
      <c r="Q78" s="57"/>
      <c r="R78" s="57"/>
      <c r="S78" s="57"/>
      <c r="T78" s="57"/>
      <c r="U78" s="57"/>
      <c r="V78" s="57"/>
      <c r="W78" s="57"/>
      <c r="X78" s="57"/>
      <c r="Y78" s="57"/>
      <c r="Z78" s="57"/>
      <c r="AA78" s="57"/>
      <c r="AB78" s="57"/>
      <c r="AC78" s="57"/>
      <c r="AD78" s="57"/>
      <c r="AE78" s="57"/>
      <c r="AF78" s="57"/>
      <c r="AG78" s="57"/>
      <c r="AH78" s="57"/>
      <c r="AI78" s="57"/>
      <c r="AJ78" s="57"/>
      <c r="AK78" s="57"/>
      <c r="AL78" s="57"/>
      <c r="AM78" s="57"/>
      <c r="AN78" s="57"/>
      <c r="AO78" s="57"/>
      <c r="AP78" s="57"/>
      <c r="AQ78" s="57"/>
      <c r="AR78" s="57"/>
      <c r="AS78" s="57"/>
      <c r="AT78" s="57"/>
      <c r="AU78" s="57"/>
      <c r="AV78" s="57"/>
      <c r="AW78" s="57"/>
      <c r="AX78" s="57"/>
      <c r="AY78" s="57"/>
      <c r="AZ78" s="57"/>
      <c r="BA78" s="57"/>
      <c r="BB78" s="57"/>
      <c r="BC78" s="57"/>
      <c r="BD78" s="57"/>
      <c r="BE78" s="57"/>
      <c r="BF78" s="57"/>
      <c r="BG78" s="57"/>
      <c r="BH78" s="57"/>
      <c r="BI78" s="57"/>
      <c r="BJ78" s="57"/>
      <c r="BK78" s="57"/>
      <c r="BL78" s="57"/>
      <c r="BM78" s="57"/>
      <c r="BN78" s="57"/>
      <c r="BO78" s="57"/>
      <c r="BP78" s="57"/>
      <c r="BQ78" s="57"/>
      <c r="BR78" s="57"/>
      <c r="BS78" s="57"/>
      <c r="BT78" s="57"/>
      <c r="BU78" s="57"/>
      <c r="BV78" s="57"/>
      <c r="BW78" s="57"/>
      <c r="BX78" s="57"/>
      <c r="BY78" s="57"/>
      <c r="BZ78" s="57"/>
      <c r="CA78" s="57"/>
      <c r="CB78" s="57"/>
      <c r="CC78" s="57"/>
      <c r="CD78" s="57"/>
      <c r="CE78" s="57"/>
      <c r="CF78" s="57"/>
      <c r="CG78" s="57"/>
      <c r="CH78" s="57"/>
      <c r="CI78" s="57"/>
      <c r="CJ78" s="57"/>
      <c r="CK78" s="57"/>
      <c r="CL78" s="57"/>
      <c r="CM78" s="57"/>
      <c r="CN78" s="57"/>
      <c r="CO78" s="57"/>
      <c r="CP78" s="57"/>
      <c r="CQ78" s="57"/>
      <c r="CR78" s="57"/>
      <c r="CS78" s="57"/>
      <c r="CT78" s="57"/>
      <c r="CU78" s="57"/>
      <c r="CV78" s="57"/>
      <c r="CW78" s="57"/>
      <c r="CX78" s="57"/>
      <c r="CY78" s="57"/>
      <c r="CZ78" s="57"/>
      <c r="DA78" s="57"/>
      <c r="DB78" s="57"/>
      <c r="DC78" s="57"/>
      <c r="DD78" s="57"/>
      <c r="DE78" s="57"/>
      <c r="DF78" s="57"/>
      <c r="DG78" s="57"/>
      <c r="DH78" s="57"/>
      <c r="DI78" s="57"/>
      <c r="DJ78" s="57"/>
      <c r="DK78" s="57"/>
      <c r="DL78" s="57"/>
      <c r="DM78" s="57"/>
      <c r="DN78" s="57"/>
      <c r="DO78" s="57"/>
      <c r="DP78" s="57"/>
      <c r="DQ78" s="57"/>
      <c r="DR78" s="57"/>
      <c r="DS78" s="57"/>
      <c r="DT78" s="57"/>
      <c r="DU78" s="57"/>
      <c r="DV78" s="57"/>
      <c r="DW78" s="57"/>
      <c r="DX78" s="57"/>
      <c r="DY78" s="57"/>
      <c r="DZ78" s="57"/>
      <c r="EA78" s="57"/>
      <c r="EB78" s="57"/>
      <c r="EC78" s="57"/>
      <c r="ED78" s="57"/>
      <c r="EE78" s="57"/>
      <c r="EF78" s="57"/>
      <c r="EG78" s="57"/>
      <c r="EH78" s="57"/>
      <c r="EI78" s="57"/>
      <c r="EJ78" s="57"/>
      <c r="EK78" s="57"/>
      <c r="EL78" s="57"/>
      <c r="EM78" s="57"/>
      <c r="EN78" s="57"/>
      <c r="EO78" s="57"/>
      <c r="EP78" s="57"/>
      <c r="EQ78" s="57"/>
      <c r="ER78" s="57"/>
      <c r="ES78" s="57"/>
      <c r="ET78" s="57"/>
      <c r="EU78" s="57"/>
      <c r="EV78" s="57"/>
      <c r="EW78" s="57"/>
      <c r="EX78" s="57"/>
      <c r="EY78" s="57"/>
      <c r="EZ78" s="57"/>
      <c r="FA78" s="57"/>
      <c r="FB78" s="57"/>
      <c r="FC78" s="57"/>
      <c r="FD78" s="57"/>
      <c r="FE78" s="57"/>
      <c r="FF78" s="57"/>
      <c r="FG78" s="57"/>
      <c r="FH78" s="57"/>
      <c r="FI78" s="57"/>
      <c r="FJ78" s="57"/>
    </row>
    <row r="79" ht="15.75" customHeight="1">
      <c r="A79" s="57"/>
      <c r="B79" s="57"/>
      <c r="C79" s="57"/>
      <c r="D79" s="57"/>
      <c r="E79" s="57"/>
      <c r="F79" s="57"/>
      <c r="G79" s="57"/>
      <c r="H79" s="57"/>
      <c r="I79" s="57"/>
      <c r="J79" s="57"/>
      <c r="K79" s="57"/>
      <c r="L79" s="57"/>
      <c r="M79" s="57"/>
      <c r="N79" s="57"/>
      <c r="O79" s="57"/>
      <c r="P79" s="57"/>
      <c r="Q79" s="57"/>
      <c r="R79" s="57"/>
      <c r="S79" s="57"/>
      <c r="T79" s="57"/>
      <c r="U79" s="57"/>
      <c r="V79" s="57"/>
      <c r="W79" s="57"/>
      <c r="X79" s="57"/>
      <c r="Y79" s="57"/>
      <c r="Z79" s="57"/>
      <c r="AA79" s="57"/>
      <c r="AB79" s="57"/>
      <c r="AC79" s="57"/>
      <c r="AD79" s="57"/>
      <c r="AE79" s="57"/>
      <c r="AF79" s="57"/>
      <c r="AG79" s="57"/>
      <c r="AH79" s="57"/>
      <c r="AI79" s="57"/>
      <c r="AJ79" s="57"/>
      <c r="AK79" s="57"/>
      <c r="AL79" s="57"/>
      <c r="AM79" s="57"/>
      <c r="AN79" s="57"/>
      <c r="AO79" s="57"/>
      <c r="AP79" s="57"/>
      <c r="AQ79" s="57"/>
      <c r="AR79" s="57"/>
      <c r="AS79" s="57"/>
      <c r="AT79" s="57"/>
      <c r="AU79" s="57"/>
      <c r="AV79" s="57"/>
      <c r="AW79" s="57"/>
      <c r="AX79" s="57"/>
      <c r="AY79" s="57"/>
      <c r="AZ79" s="57"/>
      <c r="BA79" s="57"/>
      <c r="BB79" s="57"/>
      <c r="BC79" s="57"/>
      <c r="BD79" s="57"/>
      <c r="BE79" s="57"/>
      <c r="BF79" s="57"/>
      <c r="BG79" s="57"/>
      <c r="BH79" s="57"/>
      <c r="BI79" s="57"/>
      <c r="BJ79" s="57"/>
      <c r="BK79" s="57"/>
      <c r="BL79" s="57"/>
      <c r="BM79" s="57"/>
      <c r="BN79" s="57"/>
      <c r="BO79" s="57"/>
      <c r="BP79" s="57"/>
      <c r="BQ79" s="57"/>
      <c r="BR79" s="57"/>
      <c r="BS79" s="57"/>
      <c r="BT79" s="57"/>
      <c r="BU79" s="57"/>
      <c r="BV79" s="57"/>
      <c r="BW79" s="57"/>
      <c r="BX79" s="57"/>
      <c r="BY79" s="57"/>
      <c r="BZ79" s="57"/>
      <c r="CA79" s="57"/>
      <c r="CB79" s="57"/>
      <c r="CC79" s="57"/>
      <c r="CD79" s="57"/>
      <c r="CE79" s="57"/>
      <c r="CF79" s="57"/>
      <c r="CG79" s="57"/>
      <c r="CH79" s="57"/>
      <c r="CI79" s="57"/>
      <c r="CJ79" s="57"/>
      <c r="CK79" s="57"/>
      <c r="CL79" s="57"/>
      <c r="CM79" s="57"/>
      <c r="CN79" s="57"/>
      <c r="CO79" s="57"/>
      <c r="CP79" s="57"/>
      <c r="CQ79" s="57"/>
      <c r="CR79" s="57"/>
      <c r="CS79" s="57"/>
      <c r="CT79" s="57"/>
      <c r="CU79" s="57"/>
      <c r="CV79" s="57"/>
      <c r="CW79" s="57"/>
      <c r="CX79" s="57"/>
      <c r="CY79" s="57"/>
      <c r="CZ79" s="57"/>
      <c r="DA79" s="57"/>
      <c r="DB79" s="57"/>
      <c r="DC79" s="57"/>
      <c r="DD79" s="57"/>
      <c r="DE79" s="57"/>
      <c r="DF79" s="57"/>
      <c r="DG79" s="57"/>
      <c r="DH79" s="57"/>
      <c r="DI79" s="57"/>
      <c r="DJ79" s="57"/>
      <c r="DK79" s="57"/>
      <c r="DL79" s="57"/>
      <c r="DM79" s="57"/>
      <c r="DN79" s="57"/>
      <c r="DO79" s="57"/>
      <c r="DP79" s="57"/>
      <c r="DQ79" s="57"/>
      <c r="DR79" s="57"/>
      <c r="DS79" s="57"/>
      <c r="DT79" s="57"/>
      <c r="DU79" s="57"/>
      <c r="DV79" s="57"/>
      <c r="DW79" s="57"/>
      <c r="DX79" s="57"/>
      <c r="DY79" s="57"/>
      <c r="DZ79" s="57"/>
      <c r="EA79" s="57"/>
      <c r="EB79" s="57"/>
      <c r="EC79" s="57"/>
      <c r="ED79" s="57"/>
      <c r="EE79" s="57"/>
      <c r="EF79" s="57"/>
      <c r="EG79" s="57"/>
      <c r="EH79" s="57"/>
      <c r="EI79" s="57"/>
      <c r="EJ79" s="57"/>
      <c r="EK79" s="57"/>
      <c r="EL79" s="57"/>
      <c r="EM79" s="57"/>
      <c r="EN79" s="57"/>
      <c r="EO79" s="57"/>
      <c r="EP79" s="57"/>
      <c r="EQ79" s="57"/>
      <c r="ER79" s="57"/>
      <c r="ES79" s="57"/>
      <c r="ET79" s="57"/>
      <c r="EU79" s="57"/>
      <c r="EV79" s="57"/>
      <c r="EW79" s="57"/>
      <c r="EX79" s="57"/>
      <c r="EY79" s="57"/>
      <c r="EZ79" s="57"/>
      <c r="FA79" s="57"/>
      <c r="FB79" s="57"/>
      <c r="FC79" s="57"/>
      <c r="FD79" s="57"/>
      <c r="FE79" s="57"/>
      <c r="FF79" s="57"/>
      <c r="FG79" s="57"/>
      <c r="FH79" s="57"/>
      <c r="FI79" s="57"/>
      <c r="FJ79" s="57"/>
    </row>
    <row r="80" ht="15.75" customHeight="1">
      <c r="A80" s="57"/>
      <c r="B80" s="57"/>
      <c r="C80" s="57"/>
      <c r="D80" s="57"/>
      <c r="E80" s="57"/>
      <c r="F80" s="57"/>
      <c r="G80" s="57"/>
      <c r="H80" s="57"/>
      <c r="I80" s="57"/>
      <c r="J80" s="57"/>
      <c r="K80" s="57"/>
      <c r="L80" s="57"/>
      <c r="M80" s="57"/>
      <c r="N80" s="57"/>
      <c r="O80" s="57"/>
      <c r="P80" s="57"/>
      <c r="Q80" s="57"/>
      <c r="R80" s="57"/>
      <c r="S80" s="57"/>
      <c r="T80" s="57"/>
      <c r="U80" s="57"/>
      <c r="V80" s="57"/>
      <c r="W80" s="57"/>
      <c r="X80" s="57"/>
      <c r="Y80" s="57"/>
      <c r="Z80" s="57"/>
      <c r="AA80" s="57"/>
      <c r="AB80" s="57"/>
      <c r="AC80" s="57"/>
      <c r="AD80" s="57"/>
      <c r="AE80" s="57"/>
      <c r="AF80" s="57"/>
      <c r="AG80" s="57"/>
      <c r="AH80" s="57"/>
      <c r="AI80" s="57"/>
      <c r="AJ80" s="57"/>
      <c r="AK80" s="57"/>
      <c r="AL80" s="57"/>
      <c r="AM80" s="57"/>
      <c r="AN80" s="57"/>
      <c r="AO80" s="57"/>
      <c r="AP80" s="57"/>
      <c r="AQ80" s="57"/>
      <c r="AR80" s="57"/>
      <c r="AS80" s="57"/>
      <c r="AT80" s="57"/>
      <c r="AU80" s="57"/>
      <c r="AV80" s="57"/>
      <c r="AW80" s="57"/>
      <c r="AX80" s="57"/>
      <c r="AY80" s="57"/>
      <c r="AZ80" s="57"/>
      <c r="BA80" s="57"/>
      <c r="BB80" s="57"/>
      <c r="BC80" s="57"/>
      <c r="BD80" s="57"/>
      <c r="BE80" s="57"/>
      <c r="BF80" s="57"/>
      <c r="BG80" s="57"/>
      <c r="BH80" s="57"/>
      <c r="BI80" s="57"/>
      <c r="BJ80" s="57"/>
      <c r="BK80" s="57"/>
      <c r="BL80" s="57"/>
      <c r="BM80" s="57"/>
      <c r="BN80" s="57"/>
      <c r="BO80" s="57"/>
      <c r="BP80" s="57"/>
      <c r="BQ80" s="57"/>
      <c r="BR80" s="57"/>
      <c r="BS80" s="57"/>
      <c r="BT80" s="57"/>
      <c r="BU80" s="57"/>
      <c r="BV80" s="57"/>
      <c r="BW80" s="57"/>
      <c r="BX80" s="57"/>
      <c r="BY80" s="57"/>
      <c r="BZ80" s="57"/>
      <c r="CA80" s="57"/>
      <c r="CB80" s="57"/>
      <c r="CC80" s="57"/>
      <c r="CD80" s="57"/>
      <c r="CE80" s="57"/>
      <c r="CF80" s="57"/>
      <c r="CG80" s="57"/>
      <c r="CH80" s="57"/>
      <c r="CI80" s="57"/>
      <c r="CJ80" s="57"/>
      <c r="CK80" s="57"/>
      <c r="CL80" s="57"/>
      <c r="CM80" s="57"/>
      <c r="CN80" s="57"/>
      <c r="CO80" s="57"/>
      <c r="CP80" s="57"/>
      <c r="CQ80" s="57"/>
      <c r="CR80" s="57"/>
      <c r="CS80" s="57"/>
      <c r="CT80" s="57"/>
      <c r="CU80" s="57"/>
      <c r="CV80" s="57"/>
      <c r="CW80" s="57"/>
      <c r="CX80" s="57"/>
      <c r="CY80" s="57"/>
      <c r="CZ80" s="57"/>
      <c r="DA80" s="57"/>
      <c r="DB80" s="57"/>
      <c r="DC80" s="57"/>
      <c r="DD80" s="57"/>
      <c r="DE80" s="57"/>
      <c r="DF80" s="57"/>
      <c r="DG80" s="57"/>
      <c r="DH80" s="57"/>
      <c r="DI80" s="57"/>
      <c r="DJ80" s="57"/>
      <c r="DK80" s="57"/>
      <c r="DL80" s="57"/>
      <c r="DM80" s="57"/>
      <c r="DN80" s="57"/>
      <c r="DO80" s="57"/>
      <c r="DP80" s="57"/>
      <c r="DQ80" s="57"/>
      <c r="DR80" s="57"/>
      <c r="DS80" s="57"/>
      <c r="DT80" s="57"/>
      <c r="DU80" s="57"/>
      <c r="DV80" s="57"/>
      <c r="DW80" s="57"/>
      <c r="DX80" s="57"/>
      <c r="DY80" s="57"/>
      <c r="DZ80" s="57"/>
      <c r="EA80" s="57"/>
      <c r="EB80" s="57"/>
      <c r="EC80" s="57"/>
      <c r="ED80" s="57"/>
      <c r="EE80" s="57"/>
      <c r="EF80" s="57"/>
      <c r="EG80" s="57"/>
      <c r="EH80" s="57"/>
      <c r="EI80" s="57"/>
      <c r="EJ80" s="57"/>
      <c r="EK80" s="57"/>
      <c r="EL80" s="57"/>
      <c r="EM80" s="57"/>
      <c r="EN80" s="57"/>
      <c r="EO80" s="57"/>
      <c r="EP80" s="57"/>
      <c r="EQ80" s="57"/>
      <c r="ER80" s="57"/>
      <c r="ES80" s="57"/>
      <c r="ET80" s="57"/>
      <c r="EU80" s="57"/>
      <c r="EV80" s="57"/>
      <c r="EW80" s="57"/>
      <c r="EX80" s="57"/>
      <c r="EY80" s="57"/>
      <c r="EZ80" s="57"/>
      <c r="FA80" s="57"/>
      <c r="FB80" s="57"/>
      <c r="FC80" s="57"/>
      <c r="FD80" s="57"/>
      <c r="FE80" s="57"/>
      <c r="FF80" s="57"/>
      <c r="FG80" s="57"/>
      <c r="FH80" s="57"/>
      <c r="FI80" s="57"/>
      <c r="FJ80" s="57"/>
    </row>
    <row r="81" ht="15.75" customHeight="1">
      <c r="A81" s="57"/>
      <c r="B81" s="57"/>
      <c r="C81" s="57"/>
      <c r="D81" s="57"/>
      <c r="E81" s="57"/>
      <c r="F81" s="57"/>
      <c r="G81" s="57"/>
      <c r="H81" s="57"/>
      <c r="I81" s="57"/>
      <c r="J81" s="57"/>
      <c r="K81" s="57"/>
      <c r="L81" s="57"/>
      <c r="M81" s="57"/>
      <c r="N81" s="57"/>
      <c r="O81" s="57"/>
      <c r="P81" s="57"/>
      <c r="Q81" s="57"/>
      <c r="R81" s="57"/>
      <c r="S81" s="57"/>
      <c r="T81" s="57"/>
      <c r="U81" s="57"/>
      <c r="V81" s="57"/>
      <c r="W81" s="57"/>
      <c r="X81" s="57"/>
      <c r="Y81" s="57"/>
      <c r="Z81" s="57"/>
      <c r="AA81" s="57"/>
      <c r="AB81" s="57"/>
      <c r="AC81" s="57"/>
      <c r="AD81" s="57"/>
      <c r="AE81" s="57"/>
      <c r="AF81" s="57"/>
      <c r="AG81" s="57"/>
      <c r="AH81" s="57"/>
      <c r="AI81" s="57"/>
      <c r="AJ81" s="57"/>
      <c r="AK81" s="57"/>
      <c r="AL81" s="57"/>
      <c r="AM81" s="57"/>
      <c r="AN81" s="57"/>
      <c r="AO81" s="57"/>
      <c r="AP81" s="57"/>
      <c r="AQ81" s="57"/>
      <c r="AR81" s="57"/>
      <c r="AS81" s="57"/>
      <c r="AT81" s="57"/>
      <c r="AU81" s="57"/>
      <c r="AV81" s="57"/>
      <c r="AW81" s="57"/>
      <c r="AX81" s="57"/>
      <c r="AY81" s="57"/>
      <c r="AZ81" s="57"/>
      <c r="BA81" s="57"/>
      <c r="BB81" s="57"/>
      <c r="BC81" s="57"/>
      <c r="BD81" s="57"/>
      <c r="BE81" s="57"/>
      <c r="BF81" s="57"/>
      <c r="BG81" s="57"/>
      <c r="BH81" s="57"/>
      <c r="BI81" s="57"/>
      <c r="BJ81" s="57"/>
      <c r="BK81" s="57"/>
      <c r="BL81" s="57"/>
      <c r="BM81" s="57"/>
      <c r="BN81" s="57"/>
      <c r="BO81" s="57"/>
      <c r="BP81" s="57"/>
      <c r="BQ81" s="57"/>
      <c r="BR81" s="57"/>
      <c r="BS81" s="57"/>
      <c r="BT81" s="57"/>
      <c r="BU81" s="57"/>
      <c r="BV81" s="57"/>
      <c r="BW81" s="57"/>
      <c r="BX81" s="57"/>
      <c r="BY81" s="57"/>
      <c r="BZ81" s="57"/>
      <c r="CA81" s="57"/>
      <c r="CB81" s="57"/>
      <c r="CC81" s="57"/>
      <c r="CD81" s="57"/>
      <c r="CE81" s="57"/>
      <c r="CF81" s="57"/>
      <c r="CG81" s="57"/>
      <c r="CH81" s="57"/>
      <c r="CI81" s="57"/>
      <c r="CJ81" s="57"/>
      <c r="CK81" s="57"/>
      <c r="CL81" s="57"/>
      <c r="CM81" s="57"/>
      <c r="CN81" s="57"/>
      <c r="CO81" s="57"/>
      <c r="CP81" s="57"/>
      <c r="CQ81" s="57"/>
      <c r="CR81" s="57"/>
      <c r="CS81" s="57"/>
      <c r="CT81" s="57"/>
      <c r="CU81" s="57"/>
      <c r="CV81" s="57"/>
      <c r="CW81" s="57"/>
      <c r="CX81" s="57"/>
      <c r="CY81" s="57"/>
      <c r="CZ81" s="57"/>
      <c r="DA81" s="57"/>
      <c r="DB81" s="57"/>
      <c r="DC81" s="57"/>
      <c r="DD81" s="57"/>
      <c r="DE81" s="57"/>
      <c r="DF81" s="57"/>
      <c r="DG81" s="57"/>
      <c r="DH81" s="57"/>
      <c r="DI81" s="57"/>
      <c r="DJ81" s="57"/>
      <c r="DK81" s="57"/>
      <c r="DL81" s="57"/>
      <c r="DM81" s="57"/>
      <c r="DN81" s="57"/>
      <c r="DO81" s="57"/>
      <c r="DP81" s="57"/>
      <c r="DQ81" s="57"/>
      <c r="DR81" s="57"/>
      <c r="DS81" s="57"/>
      <c r="DT81" s="57"/>
      <c r="DU81" s="57"/>
      <c r="DV81" s="57"/>
      <c r="DW81" s="57"/>
      <c r="DX81" s="57"/>
      <c r="DY81" s="57"/>
      <c r="DZ81" s="57"/>
      <c r="EA81" s="57"/>
      <c r="EB81" s="57"/>
      <c r="EC81" s="57"/>
      <c r="ED81" s="57"/>
      <c r="EE81" s="57"/>
      <c r="EF81" s="57"/>
      <c r="EG81" s="57"/>
      <c r="EH81" s="57"/>
      <c r="EI81" s="57"/>
      <c r="EJ81" s="57"/>
      <c r="EK81" s="57"/>
      <c r="EL81" s="57"/>
      <c r="EM81" s="57"/>
      <c r="EN81" s="57"/>
      <c r="EO81" s="57"/>
      <c r="EP81" s="57"/>
      <c r="EQ81" s="57"/>
      <c r="ER81" s="57"/>
      <c r="ES81" s="57"/>
      <c r="ET81" s="57"/>
      <c r="EU81" s="57"/>
      <c r="EV81" s="57"/>
      <c r="EW81" s="57"/>
      <c r="EX81" s="57"/>
      <c r="EY81" s="57"/>
      <c r="EZ81" s="57"/>
      <c r="FA81" s="57"/>
      <c r="FB81" s="57"/>
      <c r="FC81" s="57"/>
      <c r="FD81" s="57"/>
      <c r="FE81" s="57"/>
      <c r="FF81" s="57"/>
      <c r="FG81" s="57"/>
      <c r="FH81" s="57"/>
      <c r="FI81" s="57"/>
      <c r="FJ81" s="57"/>
    </row>
    <row r="82" ht="15.75" customHeight="1">
      <c r="A82" s="57"/>
      <c r="B82" s="57"/>
      <c r="C82" s="57"/>
      <c r="D82" s="57"/>
      <c r="E82" s="57"/>
      <c r="F82" s="57"/>
      <c r="G82" s="57"/>
      <c r="H82" s="57"/>
      <c r="I82" s="57"/>
      <c r="J82" s="57"/>
      <c r="K82" s="57"/>
      <c r="L82" s="57"/>
      <c r="M82" s="57"/>
      <c r="N82" s="57"/>
      <c r="O82" s="57"/>
      <c r="P82" s="57"/>
      <c r="Q82" s="57"/>
      <c r="R82" s="57"/>
      <c r="S82" s="57"/>
      <c r="T82" s="57"/>
      <c r="U82" s="57"/>
      <c r="V82" s="57"/>
      <c r="W82" s="57"/>
      <c r="X82" s="57"/>
      <c r="Y82" s="57"/>
      <c r="Z82" s="57"/>
      <c r="AA82" s="57"/>
      <c r="AB82" s="57"/>
      <c r="AC82" s="57"/>
      <c r="AD82" s="57"/>
      <c r="AE82" s="57"/>
      <c r="AF82" s="57"/>
      <c r="AG82" s="57"/>
      <c r="AH82" s="57"/>
      <c r="AI82" s="57"/>
      <c r="AJ82" s="57"/>
      <c r="AK82" s="57"/>
      <c r="AL82" s="57"/>
      <c r="AM82" s="57"/>
      <c r="AN82" s="57"/>
      <c r="AO82" s="57"/>
      <c r="AP82" s="57"/>
      <c r="AQ82" s="57"/>
      <c r="AR82" s="57"/>
      <c r="AS82" s="57"/>
      <c r="AT82" s="57"/>
      <c r="AU82" s="57"/>
      <c r="AV82" s="57"/>
      <c r="AW82" s="57"/>
      <c r="AX82" s="57"/>
      <c r="AY82" s="57"/>
      <c r="AZ82" s="57"/>
      <c r="BA82" s="57"/>
      <c r="BB82" s="57"/>
      <c r="BC82" s="57"/>
      <c r="BD82" s="57"/>
      <c r="BE82" s="57"/>
      <c r="BF82" s="57"/>
      <c r="BG82" s="57"/>
      <c r="BH82" s="57"/>
      <c r="BI82" s="57"/>
      <c r="BJ82" s="57"/>
      <c r="BK82" s="57"/>
      <c r="BL82" s="57"/>
      <c r="BM82" s="57"/>
      <c r="BN82" s="57"/>
      <c r="BO82" s="57"/>
      <c r="BP82" s="57"/>
      <c r="BQ82" s="57"/>
      <c r="BR82" s="57"/>
      <c r="BS82" s="57"/>
      <c r="BT82" s="57"/>
      <c r="BU82" s="57"/>
      <c r="BV82" s="57"/>
      <c r="BW82" s="57"/>
      <c r="BX82" s="57"/>
      <c r="BY82" s="57"/>
      <c r="BZ82" s="57"/>
      <c r="CA82" s="57"/>
      <c r="CB82" s="57"/>
      <c r="CC82" s="57"/>
      <c r="CD82" s="57"/>
      <c r="CE82" s="57"/>
      <c r="CF82" s="57"/>
      <c r="CG82" s="57"/>
      <c r="CH82" s="57"/>
      <c r="CI82" s="57"/>
      <c r="CJ82" s="57"/>
      <c r="CK82" s="57"/>
      <c r="CL82" s="57"/>
      <c r="CM82" s="57"/>
      <c r="CN82" s="57"/>
      <c r="CO82" s="57"/>
      <c r="CP82" s="57"/>
      <c r="CQ82" s="57"/>
      <c r="CR82" s="57"/>
      <c r="CS82" s="57"/>
      <c r="CT82" s="57"/>
      <c r="CU82" s="57"/>
      <c r="CV82" s="57"/>
      <c r="CW82" s="57"/>
      <c r="CX82" s="57"/>
      <c r="CY82" s="57"/>
      <c r="CZ82" s="57"/>
      <c r="DA82" s="57"/>
      <c r="DB82" s="57"/>
      <c r="DC82" s="57"/>
      <c r="DD82" s="57"/>
      <c r="DE82" s="57"/>
      <c r="DF82" s="57"/>
      <c r="DG82" s="57"/>
      <c r="DH82" s="57"/>
      <c r="DI82" s="57"/>
      <c r="DJ82" s="57"/>
      <c r="DK82" s="57"/>
      <c r="DL82" s="57"/>
      <c r="DM82" s="57"/>
      <c r="DN82" s="57"/>
      <c r="DO82" s="57"/>
      <c r="DP82" s="57"/>
      <c r="DQ82" s="57"/>
      <c r="DR82" s="57"/>
      <c r="DS82" s="57"/>
      <c r="DT82" s="57"/>
      <c r="DU82" s="57"/>
      <c r="DV82" s="57"/>
      <c r="DW82" s="57"/>
      <c r="DX82" s="57"/>
      <c r="DY82" s="57"/>
      <c r="DZ82" s="57"/>
      <c r="EA82" s="57"/>
      <c r="EB82" s="57"/>
      <c r="EC82" s="57"/>
      <c r="ED82" s="57"/>
      <c r="EE82" s="57"/>
      <c r="EF82" s="57"/>
      <c r="EG82" s="57"/>
      <c r="EH82" s="57"/>
      <c r="EI82" s="57"/>
      <c r="EJ82" s="57"/>
      <c r="EK82" s="57"/>
      <c r="EL82" s="57"/>
      <c r="EM82" s="57"/>
      <c r="EN82" s="57"/>
      <c r="EO82" s="57"/>
      <c r="EP82" s="57"/>
      <c r="EQ82" s="57"/>
      <c r="ER82" s="57"/>
      <c r="ES82" s="57"/>
      <c r="ET82" s="57"/>
      <c r="EU82" s="57"/>
      <c r="EV82" s="57"/>
      <c r="EW82" s="57"/>
      <c r="EX82" s="57"/>
      <c r="EY82" s="57"/>
      <c r="EZ82" s="57"/>
      <c r="FA82" s="57"/>
      <c r="FB82" s="57"/>
      <c r="FC82" s="57"/>
      <c r="FD82" s="57"/>
      <c r="FE82" s="57"/>
      <c r="FF82" s="57"/>
      <c r="FG82" s="57"/>
      <c r="FH82" s="57"/>
      <c r="FI82" s="57"/>
      <c r="FJ82" s="57"/>
    </row>
    <row r="83" ht="15.75" customHeight="1">
      <c r="A83" s="57"/>
      <c r="B83" s="57"/>
      <c r="C83" s="57"/>
      <c r="D83" s="57"/>
      <c r="E83" s="57"/>
      <c r="F83" s="57"/>
      <c r="G83" s="57"/>
      <c r="H83" s="57"/>
      <c r="I83" s="57"/>
      <c r="J83" s="57"/>
      <c r="K83" s="57"/>
      <c r="L83" s="57"/>
      <c r="M83" s="57"/>
      <c r="N83" s="57"/>
      <c r="O83" s="57"/>
      <c r="P83" s="57"/>
      <c r="Q83" s="57"/>
      <c r="R83" s="57"/>
      <c r="S83" s="57"/>
      <c r="T83" s="57"/>
      <c r="U83" s="57"/>
      <c r="V83" s="57"/>
      <c r="W83" s="57"/>
      <c r="X83" s="57"/>
      <c r="Y83" s="57"/>
      <c r="Z83" s="57"/>
      <c r="AA83" s="57"/>
      <c r="AB83" s="57"/>
      <c r="AC83" s="57"/>
      <c r="AD83" s="57"/>
      <c r="AE83" s="57"/>
      <c r="AF83" s="57"/>
      <c r="AG83" s="57"/>
      <c r="AH83" s="57"/>
      <c r="AI83" s="57"/>
      <c r="AJ83" s="57"/>
      <c r="AK83" s="57"/>
      <c r="AL83" s="57"/>
      <c r="AM83" s="57"/>
      <c r="AN83" s="57"/>
      <c r="AO83" s="57"/>
      <c r="AP83" s="57"/>
      <c r="AQ83" s="57"/>
      <c r="AR83" s="57"/>
      <c r="AS83" s="57"/>
      <c r="AT83" s="57"/>
      <c r="AU83" s="57"/>
      <c r="AV83" s="57"/>
      <c r="AW83" s="57"/>
      <c r="AX83" s="57"/>
      <c r="AY83" s="57"/>
      <c r="AZ83" s="57"/>
      <c r="BA83" s="57"/>
      <c r="BB83" s="57"/>
      <c r="BC83" s="57"/>
      <c r="BD83" s="57"/>
      <c r="BE83" s="57"/>
      <c r="BF83" s="57"/>
      <c r="BG83" s="57"/>
      <c r="BH83" s="57"/>
      <c r="BI83" s="57"/>
      <c r="BJ83" s="57"/>
      <c r="BK83" s="57"/>
      <c r="BL83" s="57"/>
      <c r="BM83" s="57"/>
      <c r="BN83" s="57"/>
      <c r="BO83" s="57"/>
      <c r="BP83" s="57"/>
      <c r="BQ83" s="57"/>
      <c r="BR83" s="57"/>
      <c r="BS83" s="57"/>
      <c r="BT83" s="57"/>
      <c r="BU83" s="57"/>
      <c r="BV83" s="57"/>
      <c r="BW83" s="57"/>
      <c r="BX83" s="57"/>
      <c r="BY83" s="57"/>
      <c r="BZ83" s="57"/>
      <c r="CA83" s="57"/>
      <c r="CB83" s="57"/>
      <c r="CC83" s="57"/>
      <c r="CD83" s="57"/>
      <c r="CE83" s="57"/>
      <c r="CF83" s="57"/>
      <c r="CG83" s="57"/>
      <c r="CH83" s="57"/>
      <c r="CI83" s="57"/>
      <c r="CJ83" s="57"/>
      <c r="CK83" s="57"/>
      <c r="CL83" s="57"/>
      <c r="CM83" s="57"/>
      <c r="CN83" s="57"/>
      <c r="CO83" s="57"/>
      <c r="CP83" s="57"/>
      <c r="CQ83" s="57"/>
      <c r="CR83" s="57"/>
      <c r="CS83" s="57"/>
      <c r="CT83" s="57"/>
      <c r="CU83" s="57"/>
      <c r="CV83" s="57"/>
      <c r="CW83" s="57"/>
      <c r="CX83" s="57"/>
      <c r="CY83" s="57"/>
      <c r="CZ83" s="57"/>
      <c r="DA83" s="57"/>
      <c r="DB83" s="57"/>
      <c r="DC83" s="57"/>
      <c r="DD83" s="57"/>
      <c r="DE83" s="57"/>
      <c r="DF83" s="57"/>
      <c r="DG83" s="57"/>
      <c r="DH83" s="57"/>
      <c r="DI83" s="57"/>
      <c r="DJ83" s="57"/>
      <c r="DK83" s="57"/>
      <c r="DL83" s="57"/>
      <c r="DM83" s="57"/>
      <c r="DN83" s="57"/>
      <c r="DO83" s="57"/>
      <c r="DP83" s="57"/>
      <c r="DQ83" s="57"/>
      <c r="DR83" s="57"/>
      <c r="DS83" s="57"/>
      <c r="DT83" s="57"/>
      <c r="DU83" s="57"/>
      <c r="DV83" s="57"/>
      <c r="DW83" s="57"/>
      <c r="DX83" s="57"/>
      <c r="DY83" s="57"/>
      <c r="DZ83" s="57"/>
      <c r="EA83" s="57"/>
      <c r="EB83" s="57"/>
      <c r="EC83" s="57"/>
      <c r="ED83" s="57"/>
      <c r="EE83" s="57"/>
      <c r="EF83" s="57"/>
      <c r="EG83" s="57"/>
      <c r="EH83" s="57"/>
      <c r="EI83" s="57"/>
      <c r="EJ83" s="57"/>
      <c r="EK83" s="57"/>
      <c r="EL83" s="57"/>
      <c r="EM83" s="57"/>
      <c r="EN83" s="57"/>
      <c r="EO83" s="57"/>
      <c r="EP83" s="57"/>
      <c r="EQ83" s="57"/>
      <c r="ER83" s="57"/>
      <c r="ES83" s="57"/>
      <c r="ET83" s="57"/>
      <c r="EU83" s="57"/>
      <c r="EV83" s="57"/>
      <c r="EW83" s="57"/>
      <c r="EX83" s="57"/>
      <c r="EY83" s="57"/>
      <c r="EZ83" s="57"/>
      <c r="FA83" s="57"/>
      <c r="FB83" s="57"/>
      <c r="FC83" s="57"/>
      <c r="FD83" s="57"/>
      <c r="FE83" s="57"/>
      <c r="FF83" s="57"/>
      <c r="FG83" s="57"/>
      <c r="FH83" s="57"/>
      <c r="FI83" s="57"/>
      <c r="FJ83" s="57"/>
    </row>
    <row r="84" ht="15.75" customHeight="1">
      <c r="A84" s="57"/>
      <c r="B84" s="57"/>
      <c r="C84" s="57"/>
      <c r="D84" s="57"/>
      <c r="E84" s="57"/>
      <c r="F84" s="57"/>
      <c r="G84" s="57"/>
      <c r="H84" s="57"/>
      <c r="I84" s="57"/>
      <c r="J84" s="57"/>
      <c r="K84" s="57"/>
      <c r="L84" s="57"/>
      <c r="M84" s="57"/>
      <c r="N84" s="57"/>
      <c r="O84" s="57"/>
      <c r="P84" s="57"/>
      <c r="Q84" s="57"/>
      <c r="R84" s="57"/>
      <c r="S84" s="57"/>
      <c r="T84" s="57"/>
      <c r="U84" s="57"/>
      <c r="V84" s="57"/>
      <c r="W84" s="57"/>
      <c r="X84" s="57"/>
      <c r="Y84" s="57"/>
      <c r="Z84" s="57"/>
      <c r="AA84" s="57"/>
      <c r="AB84" s="57"/>
      <c r="AC84" s="57"/>
      <c r="AD84" s="57"/>
      <c r="AE84" s="57"/>
      <c r="AF84" s="57"/>
      <c r="AG84" s="57"/>
      <c r="AH84" s="57"/>
      <c r="AI84" s="57"/>
      <c r="AJ84" s="57"/>
      <c r="AK84" s="57"/>
      <c r="AL84" s="57"/>
      <c r="AM84" s="57"/>
      <c r="AN84" s="57"/>
      <c r="AO84" s="57"/>
      <c r="AP84" s="57"/>
      <c r="AQ84" s="57"/>
      <c r="AR84" s="57"/>
      <c r="AS84" s="57"/>
      <c r="AT84" s="57"/>
      <c r="AU84" s="57"/>
      <c r="AV84" s="57"/>
      <c r="AW84" s="57"/>
      <c r="AX84" s="57"/>
      <c r="AY84" s="57"/>
      <c r="AZ84" s="57"/>
      <c r="BA84" s="57"/>
      <c r="BB84" s="57"/>
      <c r="BC84" s="57"/>
      <c r="BD84" s="57"/>
      <c r="BE84" s="57"/>
      <c r="BF84" s="57"/>
      <c r="BG84" s="57"/>
      <c r="BH84" s="57"/>
      <c r="BI84" s="57"/>
      <c r="BJ84" s="57"/>
      <c r="BK84" s="57"/>
      <c r="BL84" s="57"/>
      <c r="BM84" s="57"/>
      <c r="BN84" s="57"/>
      <c r="BO84" s="57"/>
      <c r="BP84" s="57"/>
      <c r="BQ84" s="57"/>
      <c r="BR84" s="57"/>
      <c r="BS84" s="57"/>
      <c r="BT84" s="57"/>
      <c r="BU84" s="57"/>
      <c r="BV84" s="57"/>
      <c r="BW84" s="57"/>
      <c r="BX84" s="57"/>
      <c r="BY84" s="57"/>
      <c r="BZ84" s="57"/>
      <c r="CA84" s="57"/>
      <c r="CB84" s="57"/>
      <c r="CC84" s="57"/>
      <c r="CD84" s="57"/>
      <c r="CE84" s="57"/>
      <c r="CF84" s="57"/>
      <c r="CG84" s="57"/>
      <c r="CH84" s="57"/>
      <c r="CI84" s="57"/>
      <c r="CJ84" s="57"/>
      <c r="CK84" s="57"/>
      <c r="CL84" s="57"/>
      <c r="CM84" s="57"/>
      <c r="CN84" s="57"/>
      <c r="CO84" s="57"/>
      <c r="CP84" s="57"/>
      <c r="CQ84" s="57"/>
      <c r="CR84" s="57"/>
      <c r="CS84" s="57"/>
      <c r="CT84" s="57"/>
      <c r="CU84" s="57"/>
      <c r="CV84" s="57"/>
      <c r="CW84" s="57"/>
      <c r="CX84" s="57"/>
      <c r="CY84" s="57"/>
      <c r="CZ84" s="57"/>
      <c r="DA84" s="57"/>
      <c r="DB84" s="57"/>
      <c r="DC84" s="57"/>
      <c r="DD84" s="57"/>
      <c r="DE84" s="57"/>
      <c r="DF84" s="57"/>
      <c r="DG84" s="57"/>
      <c r="DH84" s="57"/>
      <c r="DI84" s="57"/>
      <c r="DJ84" s="57"/>
      <c r="DK84" s="57"/>
      <c r="DL84" s="57"/>
      <c r="DM84" s="57"/>
      <c r="DN84" s="57"/>
      <c r="DO84" s="57"/>
      <c r="DP84" s="57"/>
      <c r="DQ84" s="57"/>
      <c r="DR84" s="57"/>
      <c r="DS84" s="57"/>
      <c r="DT84" s="57"/>
      <c r="DU84" s="57"/>
      <c r="DV84" s="57"/>
      <c r="DW84" s="57"/>
      <c r="DX84" s="57"/>
      <c r="DY84" s="57"/>
      <c r="DZ84" s="57"/>
      <c r="EA84" s="57"/>
      <c r="EB84" s="57"/>
      <c r="EC84" s="57"/>
      <c r="ED84" s="57"/>
      <c r="EE84" s="57"/>
      <c r="EF84" s="57"/>
      <c r="EG84" s="57"/>
      <c r="EH84" s="57"/>
      <c r="EI84" s="57"/>
      <c r="EJ84" s="57"/>
      <c r="EK84" s="57"/>
      <c r="EL84" s="57"/>
      <c r="EM84" s="57"/>
      <c r="EN84" s="57"/>
      <c r="EO84" s="57"/>
      <c r="EP84" s="57"/>
      <c r="EQ84" s="57"/>
      <c r="ER84" s="57"/>
      <c r="ES84" s="57"/>
      <c r="ET84" s="57"/>
      <c r="EU84" s="57"/>
      <c r="EV84" s="57"/>
      <c r="EW84" s="57"/>
      <c r="EX84" s="57"/>
      <c r="EY84" s="57"/>
      <c r="EZ84" s="57"/>
      <c r="FA84" s="57"/>
      <c r="FB84" s="57"/>
      <c r="FC84" s="57"/>
      <c r="FD84" s="57"/>
      <c r="FE84" s="57"/>
      <c r="FF84" s="57"/>
      <c r="FG84" s="57"/>
      <c r="FH84" s="57"/>
      <c r="FI84" s="57"/>
      <c r="FJ84" s="57"/>
    </row>
    <row r="85" ht="15.75" customHeight="1">
      <c r="A85" s="57"/>
      <c r="B85" s="57"/>
      <c r="C85" s="57"/>
      <c r="D85" s="57"/>
      <c r="E85" s="57"/>
      <c r="F85" s="57"/>
      <c r="G85" s="57"/>
      <c r="H85" s="57"/>
      <c r="I85" s="57"/>
      <c r="J85" s="57"/>
      <c r="K85" s="57"/>
      <c r="L85" s="57"/>
      <c r="M85" s="57"/>
      <c r="N85" s="57"/>
      <c r="O85" s="57"/>
      <c r="P85" s="57"/>
      <c r="Q85" s="57"/>
      <c r="R85" s="57"/>
      <c r="S85" s="57"/>
      <c r="T85" s="57"/>
      <c r="U85" s="57"/>
      <c r="V85" s="57"/>
      <c r="W85" s="57"/>
      <c r="X85" s="57"/>
      <c r="Y85" s="57"/>
      <c r="Z85" s="57"/>
      <c r="AA85" s="57"/>
      <c r="AB85" s="57"/>
      <c r="AC85" s="57"/>
      <c r="AD85" s="57"/>
      <c r="AE85" s="57"/>
      <c r="AF85" s="57"/>
      <c r="AG85" s="57"/>
      <c r="AH85" s="57"/>
      <c r="AI85" s="57"/>
      <c r="AJ85" s="57"/>
      <c r="AK85" s="57"/>
      <c r="AL85" s="57"/>
      <c r="AM85" s="57"/>
      <c r="AN85" s="57"/>
      <c r="AO85" s="57"/>
      <c r="AP85" s="57"/>
      <c r="AQ85" s="57"/>
      <c r="AR85" s="57"/>
      <c r="AS85" s="57"/>
      <c r="AT85" s="57"/>
      <c r="AU85" s="57"/>
      <c r="AV85" s="57"/>
      <c r="AW85" s="57"/>
      <c r="AX85" s="57"/>
      <c r="AY85" s="57"/>
      <c r="AZ85" s="57"/>
      <c r="BA85" s="57"/>
      <c r="BB85" s="57"/>
      <c r="BC85" s="57"/>
      <c r="BD85" s="57"/>
      <c r="BE85" s="57"/>
      <c r="BF85" s="57"/>
      <c r="BG85" s="57"/>
      <c r="BH85" s="57"/>
      <c r="BI85" s="57"/>
      <c r="BJ85" s="57"/>
      <c r="BK85" s="57"/>
      <c r="BL85" s="57"/>
      <c r="BM85" s="57"/>
      <c r="BN85" s="57"/>
      <c r="BO85" s="57"/>
      <c r="BP85" s="57"/>
      <c r="BQ85" s="57"/>
      <c r="BR85" s="57"/>
      <c r="BS85" s="57"/>
      <c r="BT85" s="57"/>
      <c r="BU85" s="57"/>
      <c r="BV85" s="57"/>
      <c r="BW85" s="57"/>
      <c r="BX85" s="57"/>
      <c r="BY85" s="57"/>
      <c r="BZ85" s="57"/>
      <c r="CA85" s="57"/>
      <c r="CB85" s="57"/>
      <c r="CC85" s="57"/>
      <c r="CD85" s="57"/>
      <c r="CE85" s="57"/>
      <c r="CF85" s="57"/>
      <c r="CG85" s="57"/>
      <c r="CH85" s="57"/>
      <c r="CI85" s="57"/>
      <c r="CJ85" s="57"/>
      <c r="CK85" s="57"/>
      <c r="CL85" s="57"/>
      <c r="CM85" s="57"/>
      <c r="CN85" s="57"/>
      <c r="CO85" s="57"/>
      <c r="CP85" s="57"/>
      <c r="CQ85" s="57"/>
      <c r="CR85" s="57"/>
      <c r="CS85" s="57"/>
      <c r="CT85" s="57"/>
      <c r="CU85" s="57"/>
      <c r="CV85" s="57"/>
      <c r="CW85" s="57"/>
      <c r="CX85" s="57"/>
      <c r="CY85" s="57"/>
      <c r="CZ85" s="57"/>
      <c r="DA85" s="57"/>
      <c r="DB85" s="57"/>
      <c r="DC85" s="57"/>
      <c r="DD85" s="57"/>
      <c r="DE85" s="57"/>
      <c r="DF85" s="57"/>
      <c r="DG85" s="57"/>
      <c r="DH85" s="57"/>
      <c r="DI85" s="57"/>
      <c r="DJ85" s="57"/>
      <c r="DK85" s="57"/>
      <c r="DL85" s="57"/>
      <c r="DM85" s="57"/>
      <c r="DN85" s="57"/>
      <c r="DO85" s="57"/>
      <c r="DP85" s="57"/>
      <c r="DQ85" s="57"/>
      <c r="DR85" s="57"/>
      <c r="DS85" s="57"/>
      <c r="DT85" s="57"/>
      <c r="DU85" s="57"/>
      <c r="DV85" s="57"/>
      <c r="DW85" s="57"/>
      <c r="DX85" s="57"/>
      <c r="DY85" s="57"/>
      <c r="DZ85" s="57"/>
      <c r="EA85" s="57"/>
      <c r="EB85" s="57"/>
      <c r="EC85" s="57"/>
      <c r="ED85" s="57"/>
      <c r="EE85" s="57"/>
      <c r="EF85" s="57"/>
      <c r="EG85" s="57"/>
      <c r="EH85" s="57"/>
      <c r="EI85" s="57"/>
      <c r="EJ85" s="57"/>
      <c r="EK85" s="57"/>
      <c r="EL85" s="57"/>
      <c r="EM85" s="57"/>
      <c r="EN85" s="57"/>
      <c r="EO85" s="57"/>
      <c r="EP85" s="57"/>
      <c r="EQ85" s="57"/>
      <c r="ER85" s="57"/>
      <c r="ES85" s="57"/>
      <c r="ET85" s="57"/>
      <c r="EU85" s="57"/>
      <c r="EV85" s="57"/>
      <c r="EW85" s="57"/>
      <c r="EX85" s="57"/>
      <c r="EY85" s="57"/>
      <c r="EZ85" s="57"/>
      <c r="FA85" s="57"/>
      <c r="FB85" s="57"/>
      <c r="FC85" s="57"/>
      <c r="FD85" s="57"/>
      <c r="FE85" s="57"/>
      <c r="FF85" s="57"/>
      <c r="FG85" s="57"/>
      <c r="FH85" s="57"/>
      <c r="FI85" s="57"/>
      <c r="FJ85" s="57"/>
    </row>
    <row r="86" ht="15.75" customHeight="1">
      <c r="A86" s="57"/>
      <c r="B86" s="57"/>
      <c r="C86" s="57"/>
      <c r="D86" s="57"/>
      <c r="E86" s="57"/>
      <c r="F86" s="57"/>
      <c r="G86" s="57"/>
      <c r="H86" s="57"/>
      <c r="I86" s="57"/>
      <c r="J86" s="57"/>
      <c r="K86" s="57"/>
      <c r="L86" s="57"/>
      <c r="M86" s="57"/>
      <c r="N86" s="57"/>
      <c r="O86" s="57"/>
      <c r="P86" s="57"/>
      <c r="Q86" s="57"/>
      <c r="R86" s="57"/>
      <c r="S86" s="57"/>
      <c r="T86" s="57"/>
      <c r="U86" s="57"/>
      <c r="V86" s="57"/>
      <c r="W86" s="57"/>
      <c r="X86" s="57"/>
      <c r="Y86" s="57"/>
      <c r="Z86" s="57"/>
      <c r="AA86" s="57"/>
      <c r="AB86" s="57"/>
      <c r="AC86" s="57"/>
      <c r="AD86" s="57"/>
      <c r="AE86" s="57"/>
      <c r="AF86" s="57"/>
      <c r="AG86" s="57"/>
      <c r="AH86" s="57"/>
      <c r="AI86" s="57"/>
      <c r="AJ86" s="57"/>
      <c r="AK86" s="57"/>
      <c r="AL86" s="57"/>
      <c r="AM86" s="57"/>
      <c r="AN86" s="57"/>
      <c r="AO86" s="57"/>
      <c r="AP86" s="57"/>
      <c r="AQ86" s="57"/>
      <c r="AR86" s="57"/>
      <c r="AS86" s="57"/>
      <c r="AT86" s="57"/>
      <c r="AU86" s="57"/>
      <c r="AV86" s="57"/>
      <c r="AW86" s="57"/>
      <c r="AX86" s="57"/>
      <c r="AY86" s="57"/>
      <c r="AZ86" s="57"/>
      <c r="BA86" s="57"/>
      <c r="BB86" s="57"/>
      <c r="BC86" s="57"/>
      <c r="BD86" s="57"/>
      <c r="BE86" s="57"/>
      <c r="BF86" s="57"/>
      <c r="BG86" s="57"/>
      <c r="BH86" s="57"/>
      <c r="BI86" s="57"/>
      <c r="BJ86" s="57"/>
      <c r="BK86" s="57"/>
      <c r="BL86" s="57"/>
      <c r="BM86" s="57"/>
      <c r="BN86" s="57"/>
      <c r="BO86" s="57"/>
      <c r="BP86" s="57"/>
      <c r="BQ86" s="57"/>
      <c r="BR86" s="57"/>
      <c r="BS86" s="57"/>
      <c r="BT86" s="57"/>
      <c r="BU86" s="57"/>
      <c r="BV86" s="57"/>
      <c r="BW86" s="57"/>
      <c r="BX86" s="57"/>
      <c r="BY86" s="57"/>
      <c r="BZ86" s="57"/>
      <c r="CA86" s="57"/>
      <c r="CB86" s="57"/>
      <c r="CC86" s="57"/>
      <c r="CD86" s="57"/>
      <c r="CE86" s="57"/>
      <c r="CF86" s="57"/>
      <c r="CG86" s="57"/>
      <c r="CH86" s="57"/>
      <c r="CI86" s="57"/>
      <c r="CJ86" s="57"/>
      <c r="CK86" s="57"/>
      <c r="CL86" s="57"/>
      <c r="CM86" s="57"/>
      <c r="CN86" s="57"/>
      <c r="CO86" s="57"/>
      <c r="CP86" s="57"/>
      <c r="CQ86" s="57"/>
      <c r="CR86" s="57"/>
      <c r="CS86" s="57"/>
      <c r="CT86" s="57"/>
      <c r="CU86" s="57"/>
      <c r="CV86" s="57"/>
      <c r="CW86" s="57"/>
      <c r="CX86" s="57"/>
      <c r="CY86" s="57"/>
      <c r="CZ86" s="57"/>
      <c r="DA86" s="57"/>
      <c r="DB86" s="57"/>
      <c r="DC86" s="57"/>
      <c r="DD86" s="57"/>
      <c r="DE86" s="57"/>
      <c r="DF86" s="57"/>
      <c r="DG86" s="57"/>
      <c r="DH86" s="57"/>
      <c r="DI86" s="57"/>
      <c r="DJ86" s="57"/>
      <c r="DK86" s="57"/>
      <c r="DL86" s="57"/>
      <c r="DM86" s="57"/>
      <c r="DN86" s="57"/>
      <c r="DO86" s="57"/>
      <c r="DP86" s="57"/>
      <c r="DQ86" s="57"/>
      <c r="DR86" s="57"/>
      <c r="DS86" s="57"/>
      <c r="DT86" s="57"/>
      <c r="DU86" s="57"/>
      <c r="DV86" s="57"/>
      <c r="DW86" s="57"/>
      <c r="DX86" s="57"/>
      <c r="DY86" s="57"/>
      <c r="DZ86" s="57"/>
      <c r="EA86" s="57"/>
      <c r="EB86" s="57"/>
      <c r="EC86" s="57"/>
      <c r="ED86" s="57"/>
      <c r="EE86" s="57"/>
      <c r="EF86" s="57"/>
      <c r="EG86" s="57"/>
      <c r="EH86" s="57"/>
      <c r="EI86" s="57"/>
      <c r="EJ86" s="57"/>
      <c r="EK86" s="57"/>
      <c r="EL86" s="57"/>
      <c r="EM86" s="57"/>
      <c r="EN86" s="57"/>
      <c r="EO86" s="57"/>
      <c r="EP86" s="57"/>
      <c r="EQ86" s="57"/>
      <c r="ER86" s="57"/>
      <c r="ES86" s="57"/>
      <c r="ET86" s="57"/>
      <c r="EU86" s="57"/>
      <c r="EV86" s="57"/>
      <c r="EW86" s="57"/>
      <c r="EX86" s="57"/>
      <c r="EY86" s="57"/>
      <c r="EZ86" s="57"/>
      <c r="FA86" s="57"/>
      <c r="FB86" s="57"/>
      <c r="FC86" s="57"/>
      <c r="FD86" s="57"/>
      <c r="FE86" s="57"/>
      <c r="FF86" s="57"/>
      <c r="FG86" s="57"/>
      <c r="FH86" s="57"/>
      <c r="FI86" s="57"/>
      <c r="FJ86" s="57"/>
    </row>
    <row r="87" ht="15.75" customHeight="1">
      <c r="A87" s="57"/>
      <c r="B87" s="57"/>
      <c r="C87" s="57"/>
      <c r="D87" s="57"/>
      <c r="E87" s="57"/>
      <c r="F87" s="57"/>
      <c r="G87" s="57"/>
      <c r="H87" s="57"/>
      <c r="I87" s="57"/>
      <c r="J87" s="57"/>
      <c r="K87" s="57"/>
      <c r="L87" s="57"/>
      <c r="M87" s="57"/>
      <c r="N87" s="57"/>
      <c r="O87" s="57"/>
      <c r="P87" s="57"/>
      <c r="Q87" s="57"/>
      <c r="R87" s="57"/>
      <c r="S87" s="57"/>
      <c r="T87" s="57"/>
      <c r="U87" s="57"/>
      <c r="V87" s="57"/>
      <c r="W87" s="57"/>
      <c r="X87" s="57"/>
      <c r="Y87" s="57"/>
      <c r="Z87" s="57"/>
      <c r="AA87" s="57"/>
      <c r="AB87" s="57"/>
      <c r="AC87" s="57"/>
      <c r="AD87" s="57"/>
      <c r="AE87" s="57"/>
      <c r="AF87" s="57"/>
      <c r="AG87" s="57"/>
      <c r="AH87" s="57"/>
      <c r="AI87" s="57"/>
      <c r="AJ87" s="57"/>
      <c r="AK87" s="57"/>
      <c r="AL87" s="57"/>
      <c r="AM87" s="57"/>
      <c r="AN87" s="57"/>
      <c r="AO87" s="57"/>
      <c r="AP87" s="57"/>
      <c r="AQ87" s="57"/>
      <c r="AR87" s="57"/>
      <c r="AS87" s="57"/>
      <c r="AT87" s="57"/>
      <c r="AU87" s="57"/>
      <c r="AV87" s="57"/>
      <c r="AW87" s="57"/>
      <c r="AX87" s="57"/>
      <c r="AY87" s="57"/>
      <c r="AZ87" s="57"/>
      <c r="BA87" s="57"/>
      <c r="BB87" s="57"/>
      <c r="BC87" s="57"/>
      <c r="BD87" s="57"/>
      <c r="BE87" s="57"/>
      <c r="BF87" s="57"/>
      <c r="BG87" s="57"/>
      <c r="BH87" s="57"/>
      <c r="BI87" s="57"/>
      <c r="BJ87" s="57"/>
      <c r="BK87" s="57"/>
      <c r="BL87" s="57"/>
      <c r="BM87" s="57"/>
      <c r="BN87" s="57"/>
      <c r="BO87" s="57"/>
      <c r="BP87" s="57"/>
      <c r="BQ87" s="57"/>
      <c r="BR87" s="57"/>
      <c r="BS87" s="57"/>
      <c r="BT87" s="57"/>
      <c r="BU87" s="57"/>
      <c r="BV87" s="57"/>
      <c r="BW87" s="57"/>
      <c r="BX87" s="57"/>
      <c r="BY87" s="57"/>
      <c r="BZ87" s="57"/>
      <c r="CA87" s="57"/>
      <c r="CB87" s="57"/>
      <c r="CC87" s="57"/>
      <c r="CD87" s="57"/>
      <c r="CE87" s="57"/>
      <c r="CF87" s="57"/>
      <c r="CG87" s="57"/>
      <c r="CH87" s="57"/>
      <c r="CI87" s="57"/>
      <c r="CJ87" s="57"/>
      <c r="CK87" s="57"/>
      <c r="CL87" s="57"/>
      <c r="CM87" s="57"/>
      <c r="CN87" s="57"/>
      <c r="CO87" s="57"/>
      <c r="CP87" s="57"/>
      <c r="CQ87" s="57"/>
      <c r="CR87" s="57"/>
      <c r="CS87" s="57"/>
      <c r="CT87" s="57"/>
      <c r="CU87" s="57"/>
      <c r="CV87" s="57"/>
      <c r="CW87" s="57"/>
      <c r="CX87" s="57"/>
      <c r="CY87" s="57"/>
      <c r="CZ87" s="57"/>
      <c r="DA87" s="57"/>
      <c r="DB87" s="57"/>
      <c r="DC87" s="57"/>
      <c r="DD87" s="57"/>
      <c r="DE87" s="57"/>
      <c r="DF87" s="57"/>
      <c r="DG87" s="57"/>
      <c r="DH87" s="57"/>
      <c r="DI87" s="57"/>
      <c r="DJ87" s="57"/>
      <c r="DK87" s="57"/>
      <c r="DL87" s="57"/>
      <c r="DM87" s="57"/>
      <c r="DN87" s="57"/>
      <c r="DO87" s="57"/>
      <c r="DP87" s="57"/>
      <c r="DQ87" s="57"/>
      <c r="DR87" s="57"/>
      <c r="DS87" s="57"/>
      <c r="DT87" s="57"/>
      <c r="DU87" s="57"/>
      <c r="DV87" s="57"/>
      <c r="DW87" s="57"/>
      <c r="DX87" s="57"/>
      <c r="DY87" s="57"/>
      <c r="DZ87" s="57"/>
      <c r="EA87" s="57"/>
      <c r="EB87" s="57"/>
      <c r="EC87" s="57"/>
      <c r="ED87" s="57"/>
      <c r="EE87" s="57"/>
      <c r="EF87" s="57"/>
      <c r="EG87" s="57"/>
      <c r="EH87" s="57"/>
      <c r="EI87" s="57"/>
      <c r="EJ87" s="57"/>
      <c r="EK87" s="57"/>
      <c r="EL87" s="57"/>
      <c r="EM87" s="57"/>
      <c r="EN87" s="57"/>
      <c r="EO87" s="57"/>
      <c r="EP87" s="57"/>
      <c r="EQ87" s="57"/>
      <c r="ER87" s="57"/>
      <c r="ES87" s="57"/>
      <c r="ET87" s="57"/>
      <c r="EU87" s="57"/>
      <c r="EV87" s="57"/>
      <c r="EW87" s="57"/>
      <c r="EX87" s="57"/>
      <c r="EY87" s="57"/>
      <c r="EZ87" s="57"/>
      <c r="FA87" s="57"/>
      <c r="FB87" s="57"/>
      <c r="FC87" s="57"/>
      <c r="FD87" s="57"/>
      <c r="FE87" s="57"/>
      <c r="FF87" s="57"/>
      <c r="FG87" s="57"/>
      <c r="FH87" s="57"/>
      <c r="FI87" s="57"/>
      <c r="FJ87" s="57"/>
    </row>
    <row r="88" ht="15.75" customHeight="1">
      <c r="A88" s="57"/>
      <c r="B88" s="57"/>
      <c r="C88" s="57"/>
      <c r="D88" s="57"/>
      <c r="E88" s="57"/>
      <c r="F88" s="57"/>
      <c r="G88" s="57"/>
      <c r="H88" s="57"/>
      <c r="I88" s="57"/>
      <c r="J88" s="57"/>
      <c r="K88" s="57"/>
      <c r="L88" s="57"/>
      <c r="M88" s="57"/>
      <c r="N88" s="57"/>
      <c r="O88" s="57"/>
      <c r="P88" s="57"/>
      <c r="Q88" s="57"/>
      <c r="R88" s="57"/>
      <c r="S88" s="57"/>
      <c r="T88" s="57"/>
      <c r="U88" s="57"/>
      <c r="V88" s="57"/>
      <c r="W88" s="57"/>
      <c r="X88" s="57"/>
      <c r="Y88" s="57"/>
      <c r="Z88" s="57"/>
      <c r="AA88" s="57"/>
      <c r="AB88" s="57"/>
      <c r="AC88" s="57"/>
      <c r="AD88" s="57"/>
      <c r="AE88" s="57"/>
      <c r="AF88" s="57"/>
      <c r="AG88" s="57"/>
      <c r="AH88" s="57"/>
      <c r="AI88" s="57"/>
      <c r="AJ88" s="57"/>
      <c r="AK88" s="57"/>
      <c r="AL88" s="57"/>
      <c r="AM88" s="57"/>
      <c r="AN88" s="57"/>
      <c r="AO88" s="57"/>
      <c r="AP88" s="57"/>
      <c r="AQ88" s="57"/>
      <c r="AR88" s="57"/>
      <c r="AS88" s="57"/>
      <c r="AT88" s="57"/>
      <c r="AU88" s="57"/>
      <c r="AV88" s="57"/>
      <c r="AW88" s="57"/>
      <c r="AX88" s="57"/>
      <c r="AY88" s="57"/>
      <c r="AZ88" s="57"/>
      <c r="BA88" s="57"/>
      <c r="BB88" s="57"/>
      <c r="BC88" s="57"/>
      <c r="BD88" s="57"/>
      <c r="BE88" s="57"/>
      <c r="BF88" s="57"/>
      <c r="BG88" s="57"/>
      <c r="BH88" s="57"/>
      <c r="BI88" s="57"/>
      <c r="BJ88" s="57"/>
      <c r="BK88" s="57"/>
      <c r="BL88" s="57"/>
      <c r="BM88" s="57"/>
      <c r="BN88" s="57"/>
      <c r="BO88" s="57"/>
      <c r="BP88" s="57"/>
      <c r="BQ88" s="57"/>
      <c r="BR88" s="57"/>
      <c r="BS88" s="57"/>
      <c r="BT88" s="57"/>
      <c r="BU88" s="57"/>
      <c r="BV88" s="57"/>
      <c r="BW88" s="57"/>
      <c r="BX88" s="57"/>
      <c r="BY88" s="57"/>
      <c r="BZ88" s="57"/>
      <c r="CA88" s="57"/>
      <c r="CB88" s="57"/>
      <c r="CC88" s="57"/>
      <c r="CD88" s="57"/>
      <c r="CE88" s="57"/>
      <c r="CF88" s="57"/>
      <c r="CG88" s="57"/>
      <c r="CH88" s="57"/>
      <c r="CI88" s="57"/>
      <c r="CJ88" s="57"/>
      <c r="CK88" s="57"/>
      <c r="CL88" s="57"/>
      <c r="CM88" s="57"/>
      <c r="CN88" s="57"/>
      <c r="CO88" s="57"/>
      <c r="CP88" s="57"/>
      <c r="CQ88" s="57"/>
      <c r="CR88" s="57"/>
      <c r="CS88" s="57"/>
      <c r="CT88" s="57"/>
      <c r="CU88" s="57"/>
      <c r="CV88" s="57"/>
      <c r="CW88" s="57"/>
      <c r="CX88" s="57"/>
      <c r="CY88" s="57"/>
      <c r="CZ88" s="57"/>
      <c r="DA88" s="57"/>
      <c r="DB88" s="57"/>
      <c r="DC88" s="57"/>
      <c r="DD88" s="57"/>
      <c r="DE88" s="57"/>
      <c r="DF88" s="57"/>
      <c r="DG88" s="57"/>
      <c r="DH88" s="57"/>
      <c r="DI88" s="57"/>
      <c r="DJ88" s="57"/>
      <c r="DK88" s="57"/>
      <c r="DL88" s="57"/>
      <c r="DM88" s="57"/>
      <c r="DN88" s="57"/>
      <c r="DO88" s="57"/>
      <c r="DP88" s="57"/>
      <c r="DQ88" s="57"/>
      <c r="DR88" s="57"/>
      <c r="DS88" s="57"/>
      <c r="DT88" s="57"/>
      <c r="DU88" s="57"/>
      <c r="DV88" s="57"/>
      <c r="DW88" s="57"/>
      <c r="DX88" s="57"/>
      <c r="DY88" s="57"/>
      <c r="DZ88" s="57"/>
      <c r="EA88" s="57"/>
      <c r="EB88" s="57"/>
      <c r="EC88" s="57"/>
      <c r="ED88" s="57"/>
      <c r="EE88" s="57"/>
      <c r="EF88" s="57"/>
      <c r="EG88" s="57"/>
      <c r="EH88" s="57"/>
      <c r="EI88" s="57"/>
      <c r="EJ88" s="57"/>
      <c r="EK88" s="57"/>
      <c r="EL88" s="57"/>
      <c r="EM88" s="57"/>
      <c r="EN88" s="57"/>
      <c r="EO88" s="57"/>
      <c r="EP88" s="57"/>
      <c r="EQ88" s="57"/>
      <c r="ER88" s="57"/>
      <c r="ES88" s="57"/>
      <c r="ET88" s="57"/>
      <c r="EU88" s="57"/>
      <c r="EV88" s="57"/>
      <c r="EW88" s="57"/>
      <c r="EX88" s="57"/>
      <c r="EY88" s="57"/>
      <c r="EZ88" s="57"/>
      <c r="FA88" s="57"/>
      <c r="FB88" s="57"/>
      <c r="FC88" s="57"/>
      <c r="FD88" s="57"/>
      <c r="FE88" s="57"/>
      <c r="FF88" s="57"/>
      <c r="FG88" s="57"/>
      <c r="FH88" s="57"/>
      <c r="FI88" s="57"/>
      <c r="FJ88" s="57"/>
    </row>
    <row r="89" ht="15.75" customHeight="1">
      <c r="A89" s="57"/>
      <c r="B89" s="57"/>
      <c r="C89" s="57"/>
      <c r="D89" s="57"/>
      <c r="E89" s="57"/>
      <c r="F89" s="57"/>
      <c r="G89" s="57"/>
      <c r="H89" s="57"/>
      <c r="I89" s="57"/>
      <c r="J89" s="57"/>
      <c r="K89" s="57"/>
      <c r="L89" s="57"/>
      <c r="M89" s="57"/>
      <c r="N89" s="57"/>
      <c r="O89" s="57"/>
      <c r="P89" s="57"/>
      <c r="Q89" s="57"/>
      <c r="R89" s="57"/>
      <c r="S89" s="57"/>
      <c r="T89" s="57"/>
      <c r="U89" s="57"/>
      <c r="V89" s="57"/>
      <c r="W89" s="57"/>
      <c r="X89" s="57"/>
      <c r="Y89" s="57"/>
      <c r="Z89" s="57"/>
      <c r="AA89" s="57"/>
      <c r="AB89" s="57"/>
      <c r="AC89" s="57"/>
      <c r="AD89" s="57"/>
      <c r="AE89" s="57"/>
      <c r="AF89" s="57"/>
      <c r="AG89" s="57"/>
      <c r="AH89" s="57"/>
      <c r="AI89" s="57"/>
      <c r="AJ89" s="57"/>
      <c r="AK89" s="57"/>
      <c r="AL89" s="57"/>
      <c r="AM89" s="57"/>
      <c r="AN89" s="57"/>
      <c r="AO89" s="57"/>
      <c r="AP89" s="57"/>
      <c r="AQ89" s="57"/>
      <c r="AR89" s="57"/>
      <c r="AS89" s="57"/>
      <c r="AT89" s="57"/>
      <c r="AU89" s="57"/>
      <c r="AV89" s="57"/>
      <c r="AW89" s="57"/>
      <c r="AX89" s="57"/>
      <c r="AY89" s="57"/>
      <c r="AZ89" s="57"/>
      <c r="BA89" s="57"/>
      <c r="BB89" s="57"/>
      <c r="BC89" s="57"/>
      <c r="BD89" s="57"/>
      <c r="BE89" s="57"/>
      <c r="BF89" s="57"/>
      <c r="BG89" s="57"/>
      <c r="BH89" s="57"/>
      <c r="BI89" s="57"/>
      <c r="BJ89" s="57"/>
      <c r="BK89" s="57"/>
      <c r="BL89" s="57"/>
      <c r="BM89" s="57"/>
      <c r="BN89" s="57"/>
      <c r="BO89" s="57"/>
      <c r="BP89" s="57"/>
      <c r="BQ89" s="57"/>
      <c r="BR89" s="57"/>
      <c r="BS89" s="57"/>
      <c r="BT89" s="57"/>
      <c r="BU89" s="57"/>
      <c r="BV89" s="57"/>
      <c r="BW89" s="57"/>
      <c r="BX89" s="57"/>
      <c r="BY89" s="57"/>
      <c r="BZ89" s="57"/>
      <c r="CA89" s="57"/>
      <c r="CB89" s="57"/>
      <c r="CC89" s="57"/>
      <c r="CD89" s="57"/>
      <c r="CE89" s="57"/>
      <c r="CF89" s="57"/>
      <c r="CG89" s="57"/>
      <c r="CH89" s="57"/>
      <c r="CI89" s="57"/>
      <c r="CJ89" s="57"/>
      <c r="CK89" s="57"/>
      <c r="CL89" s="57"/>
      <c r="CM89" s="57"/>
      <c r="CN89" s="57"/>
      <c r="CO89" s="57"/>
      <c r="CP89" s="57"/>
      <c r="CQ89" s="57"/>
      <c r="CR89" s="57"/>
      <c r="CS89" s="57"/>
      <c r="CT89" s="57"/>
      <c r="CU89" s="57"/>
      <c r="CV89" s="57"/>
      <c r="CW89" s="57"/>
      <c r="CX89" s="57"/>
      <c r="CY89" s="57"/>
      <c r="CZ89" s="57"/>
      <c r="DA89" s="57"/>
      <c r="DB89" s="57"/>
      <c r="DC89" s="57"/>
      <c r="DD89" s="57"/>
      <c r="DE89" s="57"/>
      <c r="DF89" s="57"/>
      <c r="DG89" s="57"/>
      <c r="DH89" s="57"/>
      <c r="DI89" s="57"/>
      <c r="DJ89" s="57"/>
      <c r="DK89" s="57"/>
      <c r="DL89" s="57"/>
      <c r="DM89" s="57"/>
      <c r="DN89" s="57"/>
      <c r="DO89" s="57"/>
      <c r="DP89" s="57"/>
      <c r="DQ89" s="57"/>
      <c r="DR89" s="57"/>
      <c r="DS89" s="57"/>
      <c r="DT89" s="57"/>
      <c r="DU89" s="57"/>
      <c r="DV89" s="57"/>
      <c r="DW89" s="57"/>
      <c r="DX89" s="57"/>
      <c r="DY89" s="57"/>
      <c r="DZ89" s="57"/>
      <c r="EA89" s="57"/>
      <c r="EB89" s="57"/>
      <c r="EC89" s="57"/>
      <c r="ED89" s="57"/>
      <c r="EE89" s="57"/>
      <c r="EF89" s="57"/>
      <c r="EG89" s="57"/>
      <c r="EH89" s="57"/>
      <c r="EI89" s="57"/>
      <c r="EJ89" s="57"/>
      <c r="EK89" s="57"/>
      <c r="EL89" s="57"/>
      <c r="EM89" s="57"/>
      <c r="EN89" s="57"/>
      <c r="EO89" s="57"/>
      <c r="EP89" s="57"/>
      <c r="EQ89" s="57"/>
      <c r="ER89" s="57"/>
      <c r="ES89" s="57"/>
      <c r="ET89" s="57"/>
      <c r="EU89" s="57"/>
      <c r="EV89" s="57"/>
      <c r="EW89" s="57"/>
      <c r="EX89" s="57"/>
      <c r="EY89" s="57"/>
      <c r="EZ89" s="57"/>
      <c r="FA89" s="57"/>
      <c r="FB89" s="57"/>
      <c r="FC89" s="57"/>
      <c r="FD89" s="57"/>
      <c r="FE89" s="57"/>
      <c r="FF89" s="57"/>
      <c r="FG89" s="57"/>
      <c r="FH89" s="57"/>
      <c r="FI89" s="57"/>
      <c r="FJ89" s="57"/>
    </row>
    <row r="90" ht="15.75" customHeight="1">
      <c r="A90" s="57"/>
      <c r="B90" s="57"/>
      <c r="C90" s="57"/>
      <c r="D90" s="57"/>
      <c r="E90" s="57"/>
      <c r="F90" s="57"/>
      <c r="G90" s="57"/>
      <c r="H90" s="57"/>
      <c r="I90" s="57"/>
      <c r="J90" s="57"/>
      <c r="K90" s="57"/>
      <c r="L90" s="57"/>
      <c r="M90" s="57"/>
      <c r="N90" s="57"/>
      <c r="O90" s="57"/>
      <c r="P90" s="57"/>
      <c r="Q90" s="57"/>
      <c r="R90" s="57"/>
      <c r="S90" s="57"/>
      <c r="T90" s="57"/>
      <c r="U90" s="57"/>
      <c r="V90" s="57"/>
      <c r="W90" s="57"/>
      <c r="X90" s="57"/>
      <c r="Y90" s="57"/>
      <c r="Z90" s="57"/>
      <c r="AA90" s="57"/>
      <c r="AB90" s="57"/>
      <c r="AC90" s="57"/>
      <c r="AD90" s="57"/>
      <c r="AE90" s="57"/>
      <c r="AF90" s="57"/>
      <c r="AG90" s="57"/>
      <c r="AH90" s="57"/>
      <c r="AI90" s="57"/>
      <c r="AJ90" s="57"/>
      <c r="AK90" s="57"/>
      <c r="AL90" s="57"/>
      <c r="AM90" s="57"/>
      <c r="AN90" s="57"/>
      <c r="AO90" s="57"/>
      <c r="AP90" s="57"/>
      <c r="AQ90" s="57"/>
      <c r="AR90" s="57"/>
      <c r="AS90" s="57"/>
      <c r="AT90" s="57"/>
      <c r="AU90" s="57"/>
      <c r="AV90" s="57"/>
      <c r="AW90" s="57"/>
      <c r="AX90" s="57"/>
      <c r="AY90" s="57"/>
      <c r="AZ90" s="57"/>
      <c r="BA90" s="57"/>
      <c r="BB90" s="57"/>
      <c r="BC90" s="57"/>
      <c r="BD90" s="57"/>
      <c r="BE90" s="57"/>
      <c r="BF90" s="57"/>
      <c r="BG90" s="57"/>
      <c r="BH90" s="57"/>
      <c r="BI90" s="57"/>
      <c r="BJ90" s="57"/>
      <c r="BK90" s="57"/>
      <c r="BL90" s="57"/>
      <c r="BM90" s="57"/>
      <c r="BN90" s="57"/>
      <c r="BO90" s="57"/>
      <c r="BP90" s="57"/>
      <c r="BQ90" s="57"/>
      <c r="BR90" s="57"/>
      <c r="BS90" s="57"/>
      <c r="BT90" s="57"/>
      <c r="BU90" s="57"/>
      <c r="BV90" s="57"/>
      <c r="BW90" s="57"/>
      <c r="BX90" s="57"/>
      <c r="BY90" s="57"/>
      <c r="BZ90" s="57"/>
      <c r="CA90" s="57"/>
      <c r="CB90" s="57"/>
      <c r="CC90" s="57"/>
      <c r="CD90" s="57"/>
      <c r="CE90" s="57"/>
      <c r="CF90" s="57"/>
      <c r="CG90" s="57"/>
      <c r="CH90" s="57"/>
      <c r="CI90" s="57"/>
      <c r="CJ90" s="57"/>
      <c r="CK90" s="57"/>
      <c r="CL90" s="57"/>
      <c r="CM90" s="57"/>
      <c r="CN90" s="57"/>
      <c r="CO90" s="57"/>
      <c r="CP90" s="57"/>
      <c r="CQ90" s="57"/>
      <c r="CR90" s="57"/>
      <c r="CS90" s="57"/>
      <c r="CT90" s="57"/>
      <c r="CU90" s="57"/>
      <c r="CV90" s="57"/>
      <c r="CW90" s="57"/>
      <c r="CX90" s="57"/>
      <c r="CY90" s="57"/>
      <c r="CZ90" s="57"/>
      <c r="DA90" s="57"/>
      <c r="DB90" s="57"/>
      <c r="DC90" s="57"/>
      <c r="DD90" s="57"/>
      <c r="DE90" s="57"/>
      <c r="DF90" s="57"/>
      <c r="DG90" s="57"/>
      <c r="DH90" s="57"/>
      <c r="DI90" s="57"/>
      <c r="DJ90" s="57"/>
      <c r="DK90" s="57"/>
      <c r="DL90" s="57"/>
      <c r="DM90" s="57"/>
      <c r="DN90" s="57"/>
      <c r="DO90" s="57"/>
      <c r="DP90" s="57"/>
      <c r="DQ90" s="57"/>
      <c r="DR90" s="57"/>
      <c r="DS90" s="57"/>
      <c r="DT90" s="57"/>
      <c r="DU90" s="57"/>
      <c r="DV90" s="57"/>
      <c r="DW90" s="57"/>
      <c r="DX90" s="57"/>
      <c r="DY90" s="57"/>
      <c r="DZ90" s="57"/>
      <c r="EA90" s="57"/>
      <c r="EB90" s="57"/>
      <c r="EC90" s="57"/>
      <c r="ED90" s="57"/>
      <c r="EE90" s="57"/>
      <c r="EF90" s="57"/>
      <c r="EG90" s="57"/>
      <c r="EH90" s="57"/>
      <c r="EI90" s="57"/>
      <c r="EJ90" s="57"/>
      <c r="EK90" s="57"/>
      <c r="EL90" s="57"/>
      <c r="EM90" s="57"/>
      <c r="EN90" s="57"/>
      <c r="EO90" s="57"/>
      <c r="EP90" s="57"/>
      <c r="EQ90" s="57"/>
      <c r="ER90" s="57"/>
      <c r="ES90" s="57"/>
      <c r="ET90" s="57"/>
      <c r="EU90" s="57"/>
      <c r="EV90" s="57"/>
      <c r="EW90" s="57"/>
      <c r="EX90" s="57"/>
      <c r="EY90" s="57"/>
      <c r="EZ90" s="57"/>
      <c r="FA90" s="57"/>
      <c r="FB90" s="57"/>
      <c r="FC90" s="57"/>
      <c r="FD90" s="57"/>
      <c r="FE90" s="57"/>
      <c r="FF90" s="57"/>
      <c r="FG90" s="57"/>
      <c r="FH90" s="57"/>
      <c r="FI90" s="57"/>
      <c r="FJ90" s="57"/>
    </row>
    <row r="91" ht="15.75" customHeight="1">
      <c r="A91" s="57"/>
      <c r="B91" s="57"/>
      <c r="C91" s="57"/>
      <c r="D91" s="57"/>
      <c r="E91" s="57"/>
      <c r="F91" s="57"/>
      <c r="G91" s="57"/>
      <c r="H91" s="57"/>
      <c r="I91" s="57"/>
      <c r="J91" s="57"/>
      <c r="K91" s="57"/>
      <c r="L91" s="57"/>
      <c r="M91" s="57"/>
      <c r="N91" s="57"/>
      <c r="O91" s="57"/>
      <c r="P91" s="57"/>
      <c r="Q91" s="57"/>
      <c r="R91" s="57"/>
      <c r="S91" s="57"/>
      <c r="T91" s="57"/>
      <c r="U91" s="57"/>
      <c r="V91" s="57"/>
      <c r="W91" s="57"/>
      <c r="X91" s="57"/>
      <c r="Y91" s="57"/>
      <c r="Z91" s="57"/>
      <c r="AA91" s="57"/>
      <c r="AB91" s="57"/>
      <c r="AC91" s="57"/>
      <c r="AD91" s="57"/>
      <c r="AE91" s="57"/>
      <c r="AF91" s="57"/>
      <c r="AG91" s="57"/>
      <c r="AH91" s="57"/>
      <c r="AI91" s="57"/>
      <c r="AJ91" s="57"/>
      <c r="AK91" s="57"/>
      <c r="AL91" s="57"/>
      <c r="AM91" s="57"/>
      <c r="AN91" s="57"/>
      <c r="AO91" s="57"/>
      <c r="AP91" s="57"/>
      <c r="AQ91" s="57"/>
      <c r="AR91" s="57"/>
      <c r="AS91" s="57"/>
      <c r="AT91" s="57"/>
      <c r="AU91" s="57"/>
      <c r="AV91" s="57"/>
      <c r="AW91" s="57"/>
      <c r="AX91" s="57"/>
      <c r="AY91" s="57"/>
      <c r="AZ91" s="57"/>
      <c r="BA91" s="57"/>
      <c r="BB91" s="57"/>
      <c r="BC91" s="57"/>
      <c r="BD91" s="57"/>
      <c r="BE91" s="57"/>
      <c r="BF91" s="57"/>
      <c r="BG91" s="57"/>
      <c r="BH91" s="57"/>
      <c r="BI91" s="57"/>
      <c r="BJ91" s="57"/>
      <c r="BK91" s="57"/>
      <c r="BL91" s="57"/>
      <c r="BM91" s="57"/>
      <c r="BN91" s="57"/>
      <c r="BO91" s="57"/>
      <c r="BP91" s="57"/>
      <c r="BQ91" s="57"/>
      <c r="BR91" s="57"/>
      <c r="BS91" s="57"/>
      <c r="BT91" s="57"/>
      <c r="BU91" s="57"/>
      <c r="BV91" s="57"/>
      <c r="BW91" s="57"/>
      <c r="BX91" s="57"/>
      <c r="BY91" s="57"/>
      <c r="BZ91" s="57"/>
      <c r="CA91" s="57"/>
      <c r="CB91" s="57"/>
      <c r="CC91" s="57"/>
      <c r="CD91" s="57"/>
      <c r="CE91" s="57"/>
      <c r="CF91" s="57"/>
      <c r="CG91" s="57"/>
      <c r="CH91" s="57"/>
      <c r="CI91" s="57"/>
      <c r="CJ91" s="57"/>
      <c r="CK91" s="57"/>
      <c r="CL91" s="57"/>
      <c r="CM91" s="57"/>
      <c r="CN91" s="57"/>
      <c r="CO91" s="57"/>
      <c r="CP91" s="57"/>
      <c r="CQ91" s="57"/>
      <c r="CR91" s="57"/>
      <c r="CS91" s="57"/>
      <c r="CT91" s="57"/>
      <c r="CU91" s="57"/>
      <c r="CV91" s="57"/>
      <c r="CW91" s="57"/>
      <c r="CX91" s="57"/>
      <c r="CY91" s="57"/>
      <c r="CZ91" s="57"/>
      <c r="DA91" s="57"/>
      <c r="DB91" s="57"/>
      <c r="DC91" s="57"/>
      <c r="DD91" s="57"/>
      <c r="DE91" s="57"/>
      <c r="DF91" s="57"/>
      <c r="DG91" s="57"/>
      <c r="DH91" s="57"/>
      <c r="DI91" s="57"/>
      <c r="DJ91" s="57"/>
      <c r="DK91" s="57"/>
      <c r="DL91" s="57"/>
      <c r="DM91" s="57"/>
      <c r="DN91" s="57"/>
      <c r="DO91" s="57"/>
      <c r="DP91" s="57"/>
      <c r="DQ91" s="57"/>
      <c r="DR91" s="57"/>
      <c r="DS91" s="57"/>
      <c r="DT91" s="57"/>
      <c r="DU91" s="57"/>
      <c r="DV91" s="57"/>
      <c r="DW91" s="57"/>
      <c r="DX91" s="57"/>
      <c r="DY91" s="57"/>
      <c r="DZ91" s="57"/>
      <c r="EA91" s="57"/>
      <c r="EB91" s="57"/>
      <c r="EC91" s="57"/>
      <c r="ED91" s="57"/>
      <c r="EE91" s="57"/>
      <c r="EF91" s="57"/>
      <c r="EG91" s="57"/>
      <c r="EH91" s="57"/>
      <c r="EI91" s="57"/>
      <c r="EJ91" s="57"/>
      <c r="EK91" s="57"/>
      <c r="EL91" s="57"/>
      <c r="EM91" s="57"/>
      <c r="EN91" s="57"/>
      <c r="EO91" s="57"/>
      <c r="EP91" s="57"/>
      <c r="EQ91" s="57"/>
      <c r="ER91" s="57"/>
      <c r="ES91" s="57"/>
      <c r="ET91" s="57"/>
      <c r="EU91" s="57"/>
      <c r="EV91" s="57"/>
      <c r="EW91" s="57"/>
      <c r="EX91" s="57"/>
      <c r="EY91" s="57"/>
      <c r="EZ91" s="57"/>
      <c r="FA91" s="57"/>
      <c r="FB91" s="57"/>
      <c r="FC91" s="57"/>
      <c r="FD91" s="57"/>
      <c r="FE91" s="57"/>
      <c r="FF91" s="57"/>
      <c r="FG91" s="57"/>
      <c r="FH91" s="57"/>
      <c r="FI91" s="57"/>
      <c r="FJ91" s="57"/>
    </row>
    <row r="92" ht="15.75" customHeight="1">
      <c r="A92" s="57"/>
      <c r="B92" s="57"/>
      <c r="C92" s="57"/>
      <c r="D92" s="57"/>
      <c r="E92" s="57"/>
      <c r="F92" s="57"/>
      <c r="G92" s="57"/>
      <c r="H92" s="57"/>
      <c r="I92" s="57"/>
      <c r="J92" s="57"/>
      <c r="K92" s="57"/>
      <c r="L92" s="57"/>
      <c r="M92" s="57"/>
      <c r="N92" s="57"/>
      <c r="O92" s="57"/>
      <c r="P92" s="57"/>
      <c r="Q92" s="57"/>
      <c r="R92" s="57"/>
      <c r="S92" s="57"/>
      <c r="T92" s="57"/>
      <c r="U92" s="57"/>
      <c r="V92" s="57"/>
      <c r="W92" s="57"/>
      <c r="X92" s="57"/>
      <c r="Y92" s="57"/>
      <c r="Z92" s="57"/>
      <c r="AA92" s="57"/>
      <c r="AB92" s="57"/>
      <c r="AC92" s="57"/>
      <c r="AD92" s="57"/>
      <c r="AE92" s="57"/>
      <c r="AF92" s="57"/>
      <c r="AG92" s="57"/>
      <c r="AH92" s="57"/>
      <c r="AI92" s="57"/>
      <c r="AJ92" s="57"/>
      <c r="AK92" s="57"/>
      <c r="AL92" s="57"/>
      <c r="AM92" s="57"/>
      <c r="AN92" s="57"/>
      <c r="AO92" s="57"/>
      <c r="AP92" s="57"/>
      <c r="AQ92" s="57"/>
      <c r="AR92" s="57"/>
      <c r="AS92" s="57"/>
      <c r="AT92" s="57"/>
      <c r="AU92" s="57"/>
      <c r="AV92" s="57"/>
      <c r="AW92" s="57"/>
      <c r="AX92" s="57"/>
      <c r="AY92" s="57"/>
      <c r="AZ92" s="57"/>
      <c r="BA92" s="57"/>
      <c r="BB92" s="57"/>
      <c r="BC92" s="57"/>
      <c r="BD92" s="57"/>
      <c r="BE92" s="57"/>
      <c r="BF92" s="57"/>
      <c r="BG92" s="57"/>
      <c r="BH92" s="57"/>
      <c r="BI92" s="57"/>
      <c r="BJ92" s="57"/>
      <c r="BK92" s="57"/>
      <c r="BL92" s="57"/>
      <c r="BM92" s="57"/>
      <c r="BN92" s="57"/>
      <c r="BO92" s="57"/>
      <c r="BP92" s="57"/>
      <c r="BQ92" s="57"/>
      <c r="BR92" s="57"/>
      <c r="BS92" s="57"/>
      <c r="BT92" s="57"/>
      <c r="BU92" s="57"/>
      <c r="BV92" s="57"/>
      <c r="BW92" s="57"/>
      <c r="BX92" s="57"/>
      <c r="BY92" s="57"/>
      <c r="BZ92" s="57"/>
      <c r="CA92" s="57"/>
      <c r="CB92" s="57"/>
      <c r="CC92" s="57"/>
      <c r="CD92" s="57"/>
      <c r="CE92" s="57"/>
      <c r="CF92" s="57"/>
      <c r="CG92" s="57"/>
      <c r="CH92" s="57"/>
      <c r="CI92" s="57"/>
      <c r="CJ92" s="57"/>
      <c r="CK92" s="57"/>
      <c r="CL92" s="57"/>
      <c r="CM92" s="57"/>
      <c r="CN92" s="57"/>
      <c r="CO92" s="57"/>
      <c r="CP92" s="57"/>
      <c r="CQ92" s="57"/>
      <c r="CR92" s="57"/>
      <c r="CS92" s="57"/>
      <c r="CT92" s="57"/>
      <c r="CU92" s="57"/>
      <c r="CV92" s="57"/>
      <c r="CW92" s="57"/>
      <c r="CX92" s="57"/>
      <c r="CY92" s="57"/>
      <c r="CZ92" s="57"/>
      <c r="DA92" s="57"/>
      <c r="DB92" s="57"/>
      <c r="DC92" s="57"/>
      <c r="DD92" s="57"/>
      <c r="DE92" s="57"/>
      <c r="DF92" s="57"/>
      <c r="DG92" s="57"/>
      <c r="DH92" s="57"/>
      <c r="DI92" s="57"/>
      <c r="DJ92" s="57"/>
      <c r="DK92" s="57"/>
      <c r="DL92" s="57"/>
      <c r="DM92" s="57"/>
      <c r="DN92" s="57"/>
      <c r="DO92" s="57"/>
      <c r="DP92" s="57"/>
      <c r="DQ92" s="57"/>
      <c r="DR92" s="57"/>
      <c r="DS92" s="57"/>
      <c r="DT92" s="57"/>
      <c r="DU92" s="57"/>
      <c r="DV92" s="57"/>
      <c r="DW92" s="57"/>
      <c r="DX92" s="57"/>
      <c r="DY92" s="57"/>
      <c r="DZ92" s="57"/>
      <c r="EA92" s="57"/>
      <c r="EB92" s="57"/>
      <c r="EC92" s="57"/>
      <c r="ED92" s="57"/>
      <c r="EE92" s="57"/>
      <c r="EF92" s="57"/>
      <c r="EG92" s="57"/>
      <c r="EH92" s="57"/>
      <c r="EI92" s="57"/>
      <c r="EJ92" s="57"/>
      <c r="EK92" s="57"/>
      <c r="EL92" s="57"/>
      <c r="EM92" s="57"/>
      <c r="EN92" s="57"/>
      <c r="EO92" s="57"/>
      <c r="EP92" s="57"/>
      <c r="EQ92" s="57"/>
      <c r="ER92" s="57"/>
      <c r="ES92" s="57"/>
      <c r="ET92" s="57"/>
      <c r="EU92" s="57"/>
      <c r="EV92" s="57"/>
      <c r="EW92" s="57"/>
      <c r="EX92" s="57"/>
      <c r="EY92" s="57"/>
      <c r="EZ92" s="57"/>
      <c r="FA92" s="57"/>
      <c r="FB92" s="57"/>
      <c r="FC92" s="57"/>
      <c r="FD92" s="57"/>
      <c r="FE92" s="57"/>
      <c r="FF92" s="57"/>
      <c r="FG92" s="57"/>
      <c r="FH92" s="57"/>
      <c r="FI92" s="57"/>
      <c r="FJ92" s="57"/>
    </row>
    <row r="93" ht="15.75" customHeight="1">
      <c r="A93" s="57"/>
      <c r="B93" s="57"/>
      <c r="C93" s="57"/>
      <c r="D93" s="57"/>
      <c r="E93" s="57"/>
      <c r="F93" s="57"/>
      <c r="G93" s="57"/>
      <c r="H93" s="57"/>
      <c r="I93" s="57"/>
      <c r="J93" s="57"/>
      <c r="K93" s="57"/>
      <c r="L93" s="57"/>
      <c r="M93" s="57"/>
      <c r="N93" s="57"/>
      <c r="O93" s="57"/>
      <c r="P93" s="57"/>
      <c r="Q93" s="57"/>
      <c r="R93" s="57"/>
      <c r="S93" s="57"/>
      <c r="T93" s="57"/>
      <c r="U93" s="57"/>
      <c r="V93" s="57"/>
      <c r="W93" s="57"/>
      <c r="X93" s="57"/>
      <c r="Y93" s="57"/>
      <c r="Z93" s="57"/>
      <c r="AA93" s="57"/>
      <c r="AB93" s="57"/>
      <c r="AC93" s="57"/>
      <c r="AD93" s="57"/>
      <c r="AE93" s="57"/>
      <c r="AF93" s="57"/>
      <c r="AG93" s="57"/>
      <c r="AH93" s="57"/>
      <c r="AI93" s="57"/>
      <c r="AJ93" s="57"/>
      <c r="AK93" s="57"/>
      <c r="AL93" s="57"/>
      <c r="AM93" s="57"/>
      <c r="AN93" s="57"/>
      <c r="AO93" s="57"/>
      <c r="AP93" s="57"/>
      <c r="AQ93" s="57"/>
      <c r="AR93" s="57"/>
      <c r="AS93" s="57"/>
      <c r="AT93" s="57"/>
      <c r="AU93" s="57"/>
      <c r="AV93" s="57"/>
      <c r="AW93" s="57"/>
      <c r="AX93" s="57"/>
      <c r="AY93" s="57"/>
      <c r="AZ93" s="57"/>
      <c r="BA93" s="57"/>
      <c r="BB93" s="57"/>
      <c r="BC93" s="57"/>
      <c r="BD93" s="57"/>
      <c r="BE93" s="57"/>
      <c r="BF93" s="57"/>
      <c r="BG93" s="57"/>
      <c r="BH93" s="57"/>
      <c r="BI93" s="57"/>
      <c r="BJ93" s="57"/>
      <c r="BK93" s="57"/>
      <c r="BL93" s="57"/>
      <c r="BM93" s="57"/>
      <c r="BN93" s="57"/>
      <c r="BO93" s="57"/>
      <c r="BP93" s="57"/>
      <c r="BQ93" s="57"/>
      <c r="BR93" s="57"/>
      <c r="BS93" s="57"/>
      <c r="BT93" s="57"/>
      <c r="BU93" s="57"/>
      <c r="BV93" s="57"/>
      <c r="BW93" s="57"/>
      <c r="BX93" s="57"/>
      <c r="BY93" s="57"/>
      <c r="BZ93" s="57"/>
      <c r="CA93" s="57"/>
      <c r="CB93" s="57"/>
      <c r="CC93" s="57"/>
      <c r="CD93" s="57"/>
      <c r="CE93" s="57"/>
      <c r="CF93" s="57"/>
      <c r="CG93" s="57"/>
      <c r="CH93" s="57"/>
      <c r="CI93" s="57"/>
      <c r="CJ93" s="57"/>
      <c r="CK93" s="57"/>
      <c r="CL93" s="57"/>
      <c r="CM93" s="57"/>
      <c r="CN93" s="57"/>
      <c r="CO93" s="57"/>
      <c r="CP93" s="57"/>
      <c r="CQ93" s="57"/>
      <c r="CR93" s="57"/>
      <c r="CS93" s="57"/>
      <c r="CT93" s="57"/>
      <c r="CU93" s="57"/>
      <c r="CV93" s="57"/>
      <c r="CW93" s="57"/>
      <c r="CX93" s="57"/>
      <c r="CY93" s="57"/>
      <c r="CZ93" s="57"/>
      <c r="DA93" s="57"/>
      <c r="DB93" s="57"/>
      <c r="DC93" s="57"/>
      <c r="DD93" s="57"/>
      <c r="DE93" s="57"/>
      <c r="DF93" s="57"/>
      <c r="DG93" s="57"/>
      <c r="DH93" s="57"/>
      <c r="DI93" s="57"/>
      <c r="DJ93" s="57"/>
      <c r="DK93" s="57"/>
      <c r="DL93" s="57"/>
      <c r="DM93" s="57"/>
      <c r="DN93" s="57"/>
      <c r="DO93" s="57"/>
      <c r="DP93" s="57"/>
      <c r="DQ93" s="57"/>
      <c r="DR93" s="57"/>
      <c r="DS93" s="57"/>
      <c r="DT93" s="57"/>
      <c r="DU93" s="57"/>
      <c r="DV93" s="57"/>
      <c r="DW93" s="57"/>
      <c r="DX93" s="57"/>
      <c r="DY93" s="57"/>
      <c r="DZ93" s="57"/>
      <c r="EA93" s="57"/>
      <c r="EB93" s="57"/>
      <c r="EC93" s="57"/>
      <c r="ED93" s="57"/>
      <c r="EE93" s="57"/>
      <c r="EF93" s="57"/>
      <c r="EG93" s="57"/>
      <c r="EH93" s="57"/>
      <c r="EI93" s="57"/>
      <c r="EJ93" s="57"/>
      <c r="EK93" s="57"/>
      <c r="EL93" s="57"/>
      <c r="EM93" s="57"/>
      <c r="EN93" s="57"/>
      <c r="EO93" s="57"/>
      <c r="EP93" s="57"/>
      <c r="EQ93" s="57"/>
      <c r="ER93" s="57"/>
      <c r="ES93" s="57"/>
      <c r="ET93" s="57"/>
      <c r="EU93" s="57"/>
      <c r="EV93" s="57"/>
      <c r="EW93" s="57"/>
      <c r="EX93" s="57"/>
      <c r="EY93" s="57"/>
      <c r="EZ93" s="57"/>
      <c r="FA93" s="57"/>
      <c r="FB93" s="57"/>
      <c r="FC93" s="57"/>
      <c r="FD93" s="57"/>
      <c r="FE93" s="57"/>
      <c r="FF93" s="57"/>
      <c r="FG93" s="57"/>
      <c r="FH93" s="57"/>
      <c r="FI93" s="57"/>
      <c r="FJ93" s="57"/>
    </row>
    <row r="94" ht="15.75" customHeight="1">
      <c r="A94" s="57"/>
      <c r="B94" s="57"/>
      <c r="C94" s="57"/>
      <c r="D94" s="57"/>
      <c r="E94" s="57"/>
      <c r="F94" s="57"/>
      <c r="G94" s="57"/>
      <c r="H94" s="57"/>
      <c r="I94" s="57"/>
      <c r="J94" s="57"/>
      <c r="K94" s="57"/>
      <c r="L94" s="57"/>
      <c r="M94" s="57"/>
      <c r="N94" s="57"/>
      <c r="O94" s="57"/>
      <c r="P94" s="57"/>
      <c r="Q94" s="57"/>
      <c r="R94" s="57"/>
      <c r="S94" s="57"/>
      <c r="T94" s="57"/>
      <c r="U94" s="57"/>
      <c r="V94" s="57"/>
      <c r="W94" s="57"/>
      <c r="X94" s="57"/>
      <c r="Y94" s="57"/>
      <c r="Z94" s="57"/>
      <c r="AA94" s="57"/>
      <c r="AB94" s="57"/>
      <c r="AC94" s="57"/>
      <c r="AD94" s="57"/>
      <c r="AE94" s="57"/>
      <c r="AF94" s="57"/>
      <c r="AG94" s="57"/>
      <c r="AH94" s="57"/>
      <c r="AI94" s="57"/>
      <c r="AJ94" s="57"/>
      <c r="AK94" s="57"/>
      <c r="AL94" s="57"/>
      <c r="AM94" s="57"/>
      <c r="AN94" s="57"/>
      <c r="AO94" s="57"/>
      <c r="AP94" s="57"/>
      <c r="AQ94" s="57"/>
      <c r="AR94" s="57"/>
      <c r="AS94" s="57"/>
      <c r="AT94" s="57"/>
      <c r="AU94" s="57"/>
      <c r="AV94" s="57"/>
      <c r="AW94" s="57"/>
      <c r="AX94" s="57"/>
      <c r="AY94" s="57"/>
      <c r="AZ94" s="57"/>
      <c r="BA94" s="57"/>
      <c r="BB94" s="57"/>
      <c r="BC94" s="57"/>
      <c r="BD94" s="57"/>
      <c r="BE94" s="57"/>
      <c r="BF94" s="57"/>
      <c r="BG94" s="57"/>
      <c r="BH94" s="57"/>
      <c r="BI94" s="57"/>
      <c r="BJ94" s="57"/>
      <c r="BK94" s="57"/>
      <c r="BL94" s="57"/>
      <c r="BM94" s="57"/>
      <c r="BN94" s="57"/>
      <c r="BO94" s="57"/>
      <c r="BP94" s="57"/>
      <c r="BQ94" s="57"/>
      <c r="BR94" s="57"/>
      <c r="BS94" s="57"/>
      <c r="BT94" s="57"/>
      <c r="BU94" s="57"/>
      <c r="BV94" s="57"/>
      <c r="BW94" s="57"/>
      <c r="BX94" s="57"/>
      <c r="BY94" s="57"/>
      <c r="BZ94" s="57"/>
      <c r="CA94" s="57"/>
      <c r="CB94" s="57"/>
      <c r="CC94" s="57"/>
      <c r="CD94" s="57"/>
      <c r="CE94" s="57"/>
      <c r="CF94" s="57"/>
      <c r="CG94" s="57"/>
      <c r="CH94" s="57"/>
      <c r="CI94" s="57"/>
      <c r="CJ94" s="57"/>
      <c r="CK94" s="57"/>
      <c r="CL94" s="57"/>
      <c r="CM94" s="57"/>
      <c r="CN94" s="57"/>
      <c r="CO94" s="57"/>
      <c r="CP94" s="57"/>
      <c r="CQ94" s="57"/>
      <c r="CR94" s="57"/>
      <c r="CS94" s="57"/>
      <c r="CT94" s="57"/>
      <c r="CU94" s="57"/>
      <c r="CV94" s="57"/>
      <c r="CW94" s="57"/>
      <c r="CX94" s="57"/>
      <c r="CY94" s="57"/>
      <c r="CZ94" s="57"/>
      <c r="DA94" s="57"/>
      <c r="DB94" s="57"/>
      <c r="DC94" s="57"/>
      <c r="DD94" s="57"/>
      <c r="DE94" s="57"/>
      <c r="DF94" s="57"/>
      <c r="DG94" s="57"/>
      <c r="DH94" s="57"/>
      <c r="DI94" s="57"/>
      <c r="DJ94" s="57"/>
      <c r="DK94" s="57"/>
      <c r="DL94" s="57"/>
      <c r="DM94" s="57"/>
      <c r="DN94" s="57"/>
      <c r="DO94" s="57"/>
      <c r="DP94" s="57"/>
      <c r="DQ94" s="57"/>
      <c r="DR94" s="57"/>
      <c r="DS94" s="57"/>
      <c r="DT94" s="57"/>
      <c r="DU94" s="57"/>
      <c r="DV94" s="57"/>
      <c r="DW94" s="57"/>
      <c r="DX94" s="57"/>
      <c r="DY94" s="57"/>
      <c r="DZ94" s="57"/>
      <c r="EA94" s="57"/>
      <c r="EB94" s="57"/>
      <c r="EC94" s="57"/>
      <c r="ED94" s="57"/>
      <c r="EE94" s="57"/>
      <c r="EF94" s="57"/>
      <c r="EG94" s="57"/>
      <c r="EH94" s="57"/>
      <c r="EI94" s="57"/>
      <c r="EJ94" s="57"/>
      <c r="EK94" s="57"/>
      <c r="EL94" s="57"/>
      <c r="EM94" s="57"/>
      <c r="EN94" s="57"/>
      <c r="EO94" s="57"/>
      <c r="EP94" s="57"/>
      <c r="EQ94" s="57"/>
      <c r="ER94" s="57"/>
      <c r="ES94" s="57"/>
      <c r="ET94" s="57"/>
      <c r="EU94" s="57"/>
      <c r="EV94" s="57"/>
      <c r="EW94" s="57"/>
      <c r="EX94" s="57"/>
      <c r="EY94" s="57"/>
      <c r="EZ94" s="57"/>
      <c r="FA94" s="57"/>
      <c r="FB94" s="57"/>
      <c r="FC94" s="57"/>
      <c r="FD94" s="57"/>
      <c r="FE94" s="57"/>
      <c r="FF94" s="57"/>
      <c r="FG94" s="57"/>
      <c r="FH94" s="57"/>
      <c r="FI94" s="57"/>
      <c r="FJ94" s="57"/>
    </row>
    <row r="95" ht="15.75" customHeight="1">
      <c r="A95" s="57"/>
      <c r="B95" s="57"/>
      <c r="C95" s="57"/>
      <c r="D95" s="57"/>
      <c r="E95" s="57"/>
      <c r="F95" s="57"/>
      <c r="G95" s="57"/>
      <c r="H95" s="57"/>
      <c r="I95" s="57"/>
      <c r="J95" s="57"/>
      <c r="K95" s="57"/>
      <c r="L95" s="57"/>
      <c r="M95" s="57"/>
      <c r="N95" s="57"/>
      <c r="O95" s="57"/>
      <c r="P95" s="57"/>
      <c r="Q95" s="57"/>
      <c r="R95" s="57"/>
      <c r="S95" s="57"/>
      <c r="T95" s="57"/>
      <c r="U95" s="57"/>
      <c r="V95" s="57"/>
      <c r="W95" s="57"/>
      <c r="X95" s="57"/>
      <c r="Y95" s="57"/>
      <c r="Z95" s="57"/>
      <c r="AA95" s="57"/>
      <c r="AB95" s="57"/>
      <c r="AC95" s="57"/>
      <c r="AD95" s="57"/>
      <c r="AE95" s="57"/>
      <c r="AF95" s="57"/>
      <c r="AG95" s="57"/>
      <c r="AH95" s="57"/>
      <c r="AI95" s="57"/>
      <c r="AJ95" s="57"/>
      <c r="AK95" s="57"/>
      <c r="AL95" s="57"/>
      <c r="AM95" s="57"/>
      <c r="AN95" s="57"/>
      <c r="AO95" s="57"/>
      <c r="AP95" s="57"/>
      <c r="AQ95" s="57"/>
      <c r="AR95" s="57"/>
      <c r="AS95" s="57"/>
      <c r="AT95" s="57"/>
      <c r="AU95" s="57"/>
      <c r="AV95" s="57"/>
      <c r="AW95" s="57"/>
      <c r="AX95" s="57"/>
      <c r="AY95" s="57"/>
      <c r="AZ95" s="57"/>
      <c r="BA95" s="57"/>
      <c r="BB95" s="57"/>
      <c r="BC95" s="57"/>
      <c r="BD95" s="57"/>
      <c r="BE95" s="57"/>
      <c r="BF95" s="57"/>
      <c r="BG95" s="57"/>
      <c r="BH95" s="57"/>
      <c r="BI95" s="57"/>
      <c r="BJ95" s="57"/>
      <c r="BK95" s="57"/>
      <c r="BL95" s="57"/>
      <c r="BM95" s="57"/>
      <c r="BN95" s="57"/>
      <c r="BO95" s="57"/>
      <c r="BP95" s="57"/>
      <c r="BQ95" s="57"/>
      <c r="BR95" s="57"/>
      <c r="BS95" s="57"/>
      <c r="BT95" s="57"/>
      <c r="BU95" s="57"/>
      <c r="BV95" s="57"/>
      <c r="BW95" s="57"/>
      <c r="BX95" s="57"/>
      <c r="BY95" s="57"/>
      <c r="BZ95" s="57"/>
      <c r="CA95" s="57"/>
      <c r="CB95" s="57"/>
      <c r="CC95" s="57"/>
      <c r="CD95" s="57"/>
      <c r="CE95" s="57"/>
      <c r="CF95" s="57"/>
      <c r="CG95" s="57"/>
      <c r="CH95" s="57"/>
      <c r="CI95" s="57"/>
      <c r="CJ95" s="57"/>
      <c r="CK95" s="57"/>
      <c r="CL95" s="57"/>
      <c r="CM95" s="57"/>
      <c r="CN95" s="57"/>
      <c r="CO95" s="57"/>
      <c r="CP95" s="57"/>
      <c r="CQ95" s="57"/>
      <c r="CR95" s="57"/>
      <c r="CS95" s="57"/>
      <c r="CT95" s="57"/>
      <c r="CU95" s="57"/>
      <c r="CV95" s="57"/>
      <c r="CW95" s="57"/>
      <c r="CX95" s="57"/>
      <c r="CY95" s="57"/>
      <c r="CZ95" s="57"/>
      <c r="DA95" s="57"/>
      <c r="DB95" s="57"/>
      <c r="DC95" s="57"/>
      <c r="DD95" s="57"/>
      <c r="DE95" s="57"/>
      <c r="DF95" s="57"/>
      <c r="DG95" s="57"/>
      <c r="DH95" s="57"/>
      <c r="DI95" s="57"/>
      <c r="DJ95" s="57"/>
      <c r="DK95" s="57"/>
      <c r="DL95" s="57"/>
      <c r="DM95" s="57"/>
      <c r="DN95" s="57"/>
      <c r="DO95" s="57"/>
      <c r="DP95" s="57"/>
      <c r="DQ95" s="57"/>
      <c r="DR95" s="57"/>
      <c r="DS95" s="57"/>
      <c r="DT95" s="57"/>
      <c r="DU95" s="57"/>
      <c r="DV95" s="57"/>
      <c r="DW95" s="57"/>
      <c r="DX95" s="57"/>
      <c r="DY95" s="57"/>
      <c r="DZ95" s="57"/>
      <c r="EA95" s="57"/>
      <c r="EB95" s="57"/>
      <c r="EC95" s="57"/>
      <c r="ED95" s="57"/>
      <c r="EE95" s="57"/>
      <c r="EF95" s="57"/>
      <c r="EG95" s="57"/>
      <c r="EH95" s="57"/>
      <c r="EI95" s="57"/>
      <c r="EJ95" s="57"/>
      <c r="EK95" s="57"/>
      <c r="EL95" s="57"/>
      <c r="EM95" s="57"/>
      <c r="EN95" s="57"/>
      <c r="EO95" s="57"/>
      <c r="EP95" s="57"/>
      <c r="EQ95" s="57"/>
      <c r="ER95" s="57"/>
      <c r="ES95" s="57"/>
      <c r="ET95" s="57"/>
      <c r="EU95" s="57"/>
      <c r="EV95" s="57"/>
      <c r="EW95" s="57"/>
      <c r="EX95" s="57"/>
      <c r="EY95" s="57"/>
      <c r="EZ95" s="57"/>
      <c r="FA95" s="57"/>
      <c r="FB95" s="57"/>
      <c r="FC95" s="57"/>
      <c r="FD95" s="57"/>
      <c r="FE95" s="57"/>
      <c r="FF95" s="57"/>
      <c r="FG95" s="57"/>
      <c r="FH95" s="57"/>
      <c r="FI95" s="57"/>
      <c r="FJ95" s="57"/>
    </row>
    <row r="96" ht="15.75" customHeight="1">
      <c r="A96" s="57"/>
      <c r="B96" s="57"/>
      <c r="C96" s="57"/>
      <c r="D96" s="57"/>
      <c r="E96" s="57"/>
      <c r="F96" s="57"/>
      <c r="G96" s="57"/>
      <c r="H96" s="57"/>
      <c r="I96" s="57"/>
      <c r="J96" s="57"/>
      <c r="K96" s="57"/>
      <c r="L96" s="57"/>
      <c r="M96" s="57"/>
      <c r="N96" s="57"/>
      <c r="O96" s="57"/>
      <c r="P96" s="57"/>
      <c r="Q96" s="57"/>
      <c r="R96" s="57"/>
      <c r="S96" s="57"/>
      <c r="T96" s="57"/>
      <c r="U96" s="57"/>
      <c r="V96" s="57"/>
      <c r="W96" s="57"/>
      <c r="X96" s="57"/>
      <c r="Y96" s="57"/>
      <c r="Z96" s="57"/>
      <c r="AA96" s="57"/>
      <c r="AB96" s="57"/>
      <c r="AC96" s="57"/>
      <c r="AD96" s="57"/>
      <c r="AE96" s="57"/>
      <c r="AF96" s="57"/>
      <c r="AG96" s="57"/>
      <c r="AH96" s="57"/>
      <c r="AI96" s="57"/>
      <c r="AJ96" s="57"/>
      <c r="AK96" s="57"/>
      <c r="AL96" s="57"/>
      <c r="AM96" s="57"/>
      <c r="AN96" s="57"/>
      <c r="AO96" s="57"/>
      <c r="AP96" s="57"/>
      <c r="AQ96" s="57"/>
      <c r="AR96" s="57"/>
      <c r="AS96" s="57"/>
      <c r="AT96" s="57"/>
      <c r="AU96" s="57"/>
      <c r="AV96" s="57"/>
      <c r="AW96" s="57"/>
      <c r="AX96" s="57"/>
      <c r="AY96" s="57"/>
      <c r="AZ96" s="57"/>
      <c r="BA96" s="57"/>
      <c r="BB96" s="57"/>
      <c r="BC96" s="57"/>
      <c r="BD96" s="57"/>
      <c r="BE96" s="57"/>
      <c r="BF96" s="57"/>
      <c r="BG96" s="57"/>
      <c r="BH96" s="57"/>
      <c r="BI96" s="57"/>
      <c r="BJ96" s="57"/>
      <c r="BK96" s="57"/>
      <c r="BL96" s="57"/>
      <c r="BM96" s="57"/>
      <c r="BN96" s="57"/>
      <c r="BO96" s="57"/>
      <c r="BP96" s="57"/>
      <c r="BQ96" s="57"/>
      <c r="BR96" s="57"/>
      <c r="BS96" s="57"/>
      <c r="BT96" s="57"/>
      <c r="BU96" s="57"/>
      <c r="BV96" s="57"/>
      <c r="BW96" s="57"/>
      <c r="BX96" s="57"/>
      <c r="BY96" s="57"/>
      <c r="BZ96" s="57"/>
      <c r="CA96" s="57"/>
      <c r="CB96" s="57"/>
      <c r="CC96" s="57"/>
      <c r="CD96" s="57"/>
      <c r="CE96" s="57"/>
      <c r="CF96" s="57"/>
      <c r="CG96" s="57"/>
      <c r="CH96" s="57"/>
      <c r="CI96" s="57"/>
      <c r="CJ96" s="57"/>
      <c r="CK96" s="57"/>
      <c r="CL96" s="57"/>
      <c r="CM96" s="57"/>
      <c r="CN96" s="57"/>
      <c r="CO96" s="57"/>
      <c r="CP96" s="57"/>
      <c r="CQ96" s="57"/>
      <c r="CR96" s="57"/>
      <c r="CS96" s="57"/>
      <c r="CT96" s="57"/>
      <c r="CU96" s="57"/>
      <c r="CV96" s="57"/>
      <c r="CW96" s="57"/>
      <c r="CX96" s="57"/>
      <c r="CY96" s="57"/>
      <c r="CZ96" s="57"/>
      <c r="DA96" s="57"/>
      <c r="DB96" s="57"/>
      <c r="DC96" s="57"/>
      <c r="DD96" s="57"/>
      <c r="DE96" s="57"/>
      <c r="DF96" s="57"/>
      <c r="DG96" s="57"/>
      <c r="DH96" s="57"/>
      <c r="DI96" s="57"/>
      <c r="DJ96" s="57"/>
      <c r="DK96" s="57"/>
      <c r="DL96" s="57"/>
      <c r="DM96" s="57"/>
      <c r="DN96" s="57"/>
      <c r="DO96" s="57"/>
      <c r="DP96" s="57"/>
      <c r="DQ96" s="57"/>
      <c r="DR96" s="57"/>
      <c r="DS96" s="57"/>
      <c r="DT96" s="57"/>
      <c r="DU96" s="57"/>
      <c r="DV96" s="57"/>
      <c r="DW96" s="57"/>
      <c r="DX96" s="57"/>
      <c r="DY96" s="57"/>
      <c r="DZ96" s="57"/>
      <c r="EA96" s="57"/>
      <c r="EB96" s="57"/>
      <c r="EC96" s="57"/>
      <c r="ED96" s="57"/>
      <c r="EE96" s="57"/>
      <c r="EF96" s="57"/>
      <c r="EG96" s="57"/>
      <c r="EH96" s="57"/>
      <c r="EI96" s="57"/>
      <c r="EJ96" s="57"/>
      <c r="EK96" s="57"/>
      <c r="EL96" s="57"/>
      <c r="EM96" s="57"/>
      <c r="EN96" s="57"/>
      <c r="EO96" s="57"/>
      <c r="EP96" s="57"/>
      <c r="EQ96" s="57"/>
      <c r="ER96" s="57"/>
      <c r="ES96" s="57"/>
      <c r="ET96" s="57"/>
      <c r="EU96" s="57"/>
      <c r="EV96" s="57"/>
      <c r="EW96" s="57"/>
      <c r="EX96" s="57"/>
      <c r="EY96" s="57"/>
      <c r="EZ96" s="57"/>
      <c r="FA96" s="57"/>
      <c r="FB96" s="57"/>
      <c r="FC96" s="57"/>
      <c r="FD96" s="57"/>
      <c r="FE96" s="57"/>
      <c r="FF96" s="57"/>
      <c r="FG96" s="57"/>
      <c r="FH96" s="57"/>
      <c r="FI96" s="57"/>
      <c r="FJ96" s="57"/>
    </row>
    <row r="97" ht="15.75" customHeight="1">
      <c r="A97" s="57"/>
      <c r="B97" s="57"/>
      <c r="C97" s="57"/>
      <c r="D97" s="57"/>
      <c r="E97" s="57"/>
      <c r="F97" s="57"/>
      <c r="G97" s="57"/>
      <c r="H97" s="57"/>
      <c r="I97" s="57"/>
      <c r="J97" s="57"/>
      <c r="K97" s="57"/>
      <c r="L97" s="57"/>
      <c r="M97" s="57"/>
      <c r="N97" s="57"/>
      <c r="O97" s="57"/>
      <c r="P97" s="57"/>
      <c r="Q97" s="57"/>
      <c r="R97" s="57"/>
      <c r="S97" s="57"/>
      <c r="T97" s="57"/>
      <c r="U97" s="57"/>
      <c r="V97" s="57"/>
      <c r="W97" s="57"/>
      <c r="X97" s="57"/>
      <c r="Y97" s="57"/>
      <c r="Z97" s="57"/>
      <c r="AA97" s="57"/>
      <c r="AB97" s="57"/>
      <c r="AC97" s="57"/>
      <c r="AD97" s="57"/>
      <c r="AE97" s="57"/>
      <c r="AF97" s="57"/>
      <c r="AG97" s="57"/>
      <c r="AH97" s="57"/>
      <c r="AI97" s="57"/>
      <c r="AJ97" s="57"/>
      <c r="AK97" s="57"/>
      <c r="AL97" s="57"/>
      <c r="AM97" s="57"/>
      <c r="AN97" s="57"/>
      <c r="AO97" s="57"/>
      <c r="AP97" s="57"/>
      <c r="AQ97" s="57"/>
      <c r="AR97" s="57"/>
      <c r="AS97" s="57"/>
      <c r="AT97" s="57"/>
      <c r="AU97" s="57"/>
      <c r="AV97" s="57"/>
      <c r="AW97" s="57"/>
      <c r="AX97" s="57"/>
      <c r="AY97" s="57"/>
      <c r="AZ97" s="57"/>
      <c r="BA97" s="57"/>
      <c r="BB97" s="57"/>
      <c r="BC97" s="57"/>
      <c r="BD97" s="57"/>
      <c r="BE97" s="57"/>
      <c r="BF97" s="57"/>
      <c r="BG97" s="57"/>
      <c r="BH97" s="57"/>
      <c r="BI97" s="57"/>
      <c r="BJ97" s="57"/>
      <c r="BK97" s="57"/>
      <c r="BL97" s="57"/>
      <c r="BM97" s="57"/>
      <c r="BN97" s="57"/>
      <c r="BO97" s="57"/>
      <c r="BP97" s="57"/>
      <c r="BQ97" s="57"/>
      <c r="BR97" s="57"/>
      <c r="BS97" s="57"/>
      <c r="BT97" s="57"/>
      <c r="BU97" s="57"/>
      <c r="BV97" s="57"/>
      <c r="BW97" s="57"/>
      <c r="BX97" s="57"/>
      <c r="BY97" s="57"/>
      <c r="BZ97" s="57"/>
      <c r="CA97" s="57"/>
      <c r="CB97" s="57"/>
      <c r="CC97" s="57"/>
      <c r="CD97" s="57"/>
      <c r="CE97" s="57"/>
      <c r="CF97" s="57"/>
      <c r="CG97" s="57"/>
      <c r="CH97" s="57"/>
      <c r="CI97" s="57"/>
      <c r="CJ97" s="57"/>
      <c r="CK97" s="57"/>
      <c r="CL97" s="57"/>
      <c r="CM97" s="57"/>
      <c r="CN97" s="57"/>
      <c r="CO97" s="57"/>
      <c r="CP97" s="57"/>
      <c r="CQ97" s="57"/>
      <c r="CR97" s="57"/>
      <c r="CS97" s="57"/>
      <c r="CT97" s="57"/>
      <c r="CU97" s="57"/>
      <c r="CV97" s="57"/>
      <c r="CW97" s="57"/>
      <c r="CX97" s="57"/>
      <c r="CY97" s="57"/>
      <c r="CZ97" s="57"/>
      <c r="DA97" s="57"/>
      <c r="DB97" s="57"/>
      <c r="DC97" s="57"/>
      <c r="DD97" s="57"/>
      <c r="DE97" s="57"/>
      <c r="DF97" s="57"/>
      <c r="DG97" s="57"/>
      <c r="DH97" s="57"/>
      <c r="DI97" s="57"/>
      <c r="DJ97" s="57"/>
      <c r="DK97" s="57"/>
      <c r="DL97" s="57"/>
      <c r="DM97" s="57"/>
      <c r="DN97" s="57"/>
      <c r="DO97" s="57"/>
      <c r="DP97" s="57"/>
      <c r="DQ97" s="57"/>
      <c r="DR97" s="57"/>
      <c r="DS97" s="57"/>
      <c r="DT97" s="57"/>
      <c r="DU97" s="57"/>
      <c r="DV97" s="57"/>
      <c r="DW97" s="57"/>
      <c r="DX97" s="57"/>
      <c r="DY97" s="57"/>
      <c r="DZ97" s="57"/>
      <c r="EA97" s="57"/>
      <c r="EB97" s="57"/>
      <c r="EC97" s="57"/>
      <c r="ED97" s="57"/>
      <c r="EE97" s="57"/>
      <c r="EF97" s="57"/>
      <c r="EG97" s="57"/>
      <c r="EH97" s="57"/>
      <c r="EI97" s="57"/>
      <c r="EJ97" s="57"/>
      <c r="EK97" s="57"/>
      <c r="EL97" s="57"/>
      <c r="EM97" s="57"/>
      <c r="EN97" s="57"/>
      <c r="EO97" s="57"/>
      <c r="EP97" s="57"/>
      <c r="EQ97" s="57"/>
      <c r="ER97" s="57"/>
      <c r="ES97" s="57"/>
      <c r="ET97" s="57"/>
      <c r="EU97" s="57"/>
      <c r="EV97" s="57"/>
      <c r="EW97" s="57"/>
      <c r="EX97" s="57"/>
      <c r="EY97" s="57"/>
      <c r="EZ97" s="57"/>
      <c r="FA97" s="57"/>
      <c r="FB97" s="57"/>
      <c r="FC97" s="57"/>
      <c r="FD97" s="57"/>
      <c r="FE97" s="57"/>
      <c r="FF97" s="57"/>
      <c r="FG97" s="57"/>
      <c r="FH97" s="57"/>
      <c r="FI97" s="57"/>
      <c r="FJ97" s="57"/>
    </row>
    <row r="98" ht="15.75" customHeight="1">
      <c r="A98" s="57"/>
      <c r="B98" s="57"/>
      <c r="C98" s="57"/>
      <c r="D98" s="57"/>
      <c r="E98" s="57"/>
      <c r="F98" s="57"/>
      <c r="G98" s="57"/>
      <c r="H98" s="57"/>
      <c r="I98" s="57"/>
      <c r="J98" s="57"/>
      <c r="K98" s="57"/>
      <c r="L98" s="57"/>
      <c r="M98" s="57"/>
      <c r="N98" s="57"/>
      <c r="O98" s="57"/>
      <c r="P98" s="57"/>
      <c r="Q98" s="57"/>
      <c r="R98" s="57"/>
      <c r="S98" s="57"/>
      <c r="T98" s="57"/>
      <c r="U98" s="57"/>
      <c r="V98" s="57"/>
      <c r="W98" s="57"/>
      <c r="X98" s="57"/>
      <c r="Y98" s="57"/>
      <c r="Z98" s="57"/>
      <c r="AA98" s="57"/>
      <c r="AB98" s="57"/>
      <c r="AC98" s="57"/>
      <c r="AD98" s="57"/>
      <c r="AE98" s="57"/>
      <c r="AF98" s="57"/>
      <c r="AG98" s="57"/>
      <c r="AH98" s="57"/>
      <c r="AI98" s="57"/>
      <c r="AJ98" s="57"/>
      <c r="AK98" s="57"/>
      <c r="AL98" s="57"/>
      <c r="AM98" s="57"/>
      <c r="AN98" s="57"/>
      <c r="AO98" s="57"/>
      <c r="AP98" s="57"/>
      <c r="AQ98" s="57"/>
      <c r="AR98" s="57"/>
      <c r="AS98" s="57"/>
      <c r="AT98" s="57"/>
      <c r="AU98" s="57"/>
      <c r="AV98" s="57"/>
      <c r="AW98" s="57"/>
      <c r="AX98" s="57"/>
      <c r="AY98" s="57"/>
      <c r="AZ98" s="57"/>
      <c r="BA98" s="57"/>
      <c r="BB98" s="57"/>
      <c r="BC98" s="57"/>
      <c r="BD98" s="57"/>
      <c r="BE98" s="57"/>
      <c r="BF98" s="57"/>
      <c r="BG98" s="57"/>
      <c r="BH98" s="57"/>
      <c r="BI98" s="57"/>
      <c r="BJ98" s="57"/>
      <c r="BK98" s="57"/>
      <c r="BL98" s="57"/>
      <c r="BM98" s="57"/>
      <c r="BN98" s="57"/>
      <c r="BO98" s="57"/>
      <c r="BP98" s="57"/>
      <c r="BQ98" s="57"/>
      <c r="BR98" s="57"/>
      <c r="BS98" s="57"/>
      <c r="BT98" s="57"/>
      <c r="BU98" s="57"/>
      <c r="BV98" s="57"/>
      <c r="BW98" s="57"/>
      <c r="BX98" s="57"/>
      <c r="BY98" s="57"/>
      <c r="BZ98" s="57"/>
      <c r="CA98" s="57"/>
      <c r="CB98" s="57"/>
      <c r="CC98" s="57"/>
      <c r="CD98" s="57"/>
      <c r="CE98" s="57"/>
      <c r="CF98" s="57"/>
      <c r="CG98" s="57"/>
      <c r="CH98" s="57"/>
      <c r="CI98" s="57"/>
      <c r="CJ98" s="57"/>
      <c r="CK98" s="57"/>
      <c r="CL98" s="57"/>
      <c r="CM98" s="57"/>
      <c r="CN98" s="57"/>
      <c r="CO98" s="57"/>
      <c r="CP98" s="57"/>
      <c r="CQ98" s="57"/>
      <c r="CR98" s="57"/>
      <c r="CS98" s="57"/>
      <c r="CT98" s="57"/>
      <c r="CU98" s="57"/>
      <c r="CV98" s="57"/>
      <c r="CW98" s="57"/>
      <c r="CX98" s="57"/>
      <c r="CY98" s="57"/>
      <c r="CZ98" s="57"/>
      <c r="DA98" s="57"/>
      <c r="DB98" s="57"/>
      <c r="DC98" s="57"/>
      <c r="DD98" s="57"/>
      <c r="DE98" s="57"/>
      <c r="DF98" s="57"/>
      <c r="DG98" s="57"/>
      <c r="DH98" s="57"/>
      <c r="DI98" s="57"/>
      <c r="DJ98" s="57"/>
      <c r="DK98" s="57"/>
      <c r="DL98" s="57"/>
      <c r="DM98" s="57"/>
      <c r="DN98" s="57"/>
      <c r="DO98" s="57"/>
      <c r="DP98" s="57"/>
      <c r="DQ98" s="57"/>
      <c r="DR98" s="57"/>
      <c r="DS98" s="57"/>
      <c r="DT98" s="57"/>
      <c r="DU98" s="57"/>
      <c r="DV98" s="57"/>
      <c r="DW98" s="57"/>
      <c r="DX98" s="57"/>
      <c r="DY98" s="57"/>
      <c r="DZ98" s="57"/>
      <c r="EA98" s="57"/>
      <c r="EB98" s="57"/>
      <c r="EC98" s="57"/>
      <c r="ED98" s="57"/>
      <c r="EE98" s="57"/>
      <c r="EF98" s="57"/>
      <c r="EG98" s="57"/>
      <c r="EH98" s="57"/>
      <c r="EI98" s="57"/>
      <c r="EJ98" s="57"/>
      <c r="EK98" s="57"/>
      <c r="EL98" s="57"/>
      <c r="EM98" s="57"/>
      <c r="EN98" s="57"/>
      <c r="EO98" s="57"/>
      <c r="EP98" s="57"/>
      <c r="EQ98" s="57"/>
      <c r="ER98" s="57"/>
      <c r="ES98" s="57"/>
      <c r="ET98" s="57"/>
      <c r="EU98" s="57"/>
      <c r="EV98" s="57"/>
      <c r="EW98" s="57"/>
      <c r="EX98" s="57"/>
      <c r="EY98" s="57"/>
      <c r="EZ98" s="57"/>
      <c r="FA98" s="57"/>
      <c r="FB98" s="57"/>
      <c r="FC98" s="57"/>
      <c r="FD98" s="57"/>
      <c r="FE98" s="57"/>
      <c r="FF98" s="57"/>
      <c r="FG98" s="57"/>
      <c r="FH98" s="57"/>
      <c r="FI98" s="57"/>
      <c r="FJ98" s="57"/>
    </row>
    <row r="99" ht="15.75" customHeight="1">
      <c r="A99" s="57"/>
      <c r="B99" s="57"/>
      <c r="C99" s="57"/>
      <c r="D99" s="57"/>
      <c r="E99" s="57"/>
      <c r="F99" s="57"/>
      <c r="G99" s="57"/>
      <c r="H99" s="57"/>
      <c r="I99" s="57"/>
      <c r="J99" s="57"/>
      <c r="K99" s="57"/>
      <c r="L99" s="57"/>
      <c r="M99" s="57"/>
      <c r="N99" s="57"/>
      <c r="O99" s="57"/>
      <c r="P99" s="57"/>
      <c r="Q99" s="57"/>
      <c r="R99" s="57"/>
      <c r="S99" s="57"/>
      <c r="T99" s="57"/>
      <c r="U99" s="57"/>
      <c r="V99" s="57"/>
      <c r="W99" s="57"/>
      <c r="X99" s="57"/>
      <c r="Y99" s="57"/>
      <c r="Z99" s="57"/>
      <c r="AA99" s="57"/>
      <c r="AB99" s="57"/>
      <c r="AC99" s="57"/>
      <c r="AD99" s="57"/>
      <c r="AE99" s="57"/>
      <c r="AF99" s="57"/>
      <c r="AG99" s="57"/>
      <c r="AH99" s="57"/>
      <c r="AI99" s="57"/>
      <c r="AJ99" s="57"/>
      <c r="AK99" s="57"/>
      <c r="AL99" s="57"/>
      <c r="AM99" s="57"/>
      <c r="AN99" s="57"/>
      <c r="AO99" s="57"/>
      <c r="AP99" s="57"/>
      <c r="AQ99" s="57"/>
      <c r="AR99" s="57"/>
      <c r="AS99" s="57"/>
      <c r="AT99" s="57"/>
      <c r="AU99" s="57"/>
      <c r="AV99" s="57"/>
      <c r="AW99" s="57"/>
      <c r="AX99" s="57"/>
      <c r="AY99" s="57"/>
      <c r="AZ99" s="57"/>
      <c r="BA99" s="57"/>
      <c r="BB99" s="57"/>
      <c r="BC99" s="57"/>
      <c r="BD99" s="57"/>
      <c r="BE99" s="57"/>
      <c r="BF99" s="57"/>
      <c r="BG99" s="57"/>
      <c r="BH99" s="57"/>
      <c r="BI99" s="57"/>
      <c r="BJ99" s="57"/>
      <c r="BK99" s="57"/>
      <c r="BL99" s="57"/>
      <c r="BM99" s="57"/>
      <c r="BN99" s="57"/>
      <c r="BO99" s="57"/>
      <c r="BP99" s="57"/>
      <c r="BQ99" s="57"/>
      <c r="BR99" s="57"/>
      <c r="BS99" s="57"/>
      <c r="BT99" s="57"/>
      <c r="BU99" s="57"/>
      <c r="BV99" s="57"/>
      <c r="BW99" s="57"/>
      <c r="BX99" s="57"/>
      <c r="BY99" s="57"/>
      <c r="BZ99" s="57"/>
      <c r="CA99" s="57"/>
      <c r="CB99" s="57"/>
      <c r="CC99" s="57"/>
      <c r="CD99" s="57"/>
      <c r="CE99" s="57"/>
      <c r="CF99" s="57"/>
      <c r="CG99" s="57"/>
      <c r="CH99" s="57"/>
      <c r="CI99" s="57"/>
      <c r="CJ99" s="57"/>
      <c r="CK99" s="57"/>
      <c r="CL99" s="57"/>
      <c r="CM99" s="57"/>
      <c r="CN99" s="57"/>
      <c r="CO99" s="57"/>
      <c r="CP99" s="57"/>
      <c r="CQ99" s="57"/>
      <c r="CR99" s="57"/>
      <c r="CS99" s="57"/>
      <c r="CT99" s="57"/>
      <c r="CU99" s="57"/>
      <c r="CV99" s="57"/>
      <c r="CW99" s="57"/>
      <c r="CX99" s="57"/>
      <c r="CY99" s="57"/>
      <c r="CZ99" s="57"/>
      <c r="DA99" s="57"/>
      <c r="DB99" s="57"/>
      <c r="DC99" s="57"/>
      <c r="DD99" s="57"/>
      <c r="DE99" s="57"/>
      <c r="DF99" s="57"/>
      <c r="DG99" s="57"/>
      <c r="DH99" s="57"/>
      <c r="DI99" s="57"/>
      <c r="DJ99" s="57"/>
      <c r="DK99" s="57"/>
      <c r="DL99" s="57"/>
      <c r="DM99" s="57"/>
      <c r="DN99" s="57"/>
      <c r="DO99" s="57"/>
      <c r="DP99" s="57"/>
      <c r="DQ99" s="57"/>
      <c r="DR99" s="57"/>
      <c r="DS99" s="57"/>
      <c r="DT99" s="57"/>
      <c r="DU99" s="57"/>
      <c r="DV99" s="57"/>
      <c r="DW99" s="57"/>
      <c r="DX99" s="57"/>
      <c r="DY99" s="57"/>
      <c r="DZ99" s="57"/>
      <c r="EA99" s="57"/>
      <c r="EB99" s="57"/>
      <c r="EC99" s="57"/>
      <c r="ED99" s="57"/>
      <c r="EE99" s="57"/>
      <c r="EF99" s="57"/>
      <c r="EG99" s="57"/>
      <c r="EH99" s="57"/>
      <c r="EI99" s="57"/>
      <c r="EJ99" s="57"/>
      <c r="EK99" s="57"/>
      <c r="EL99" s="57"/>
      <c r="EM99" s="57"/>
      <c r="EN99" s="57"/>
      <c r="EO99" s="57"/>
      <c r="EP99" s="57"/>
      <c r="EQ99" s="57"/>
      <c r="ER99" s="57"/>
      <c r="ES99" s="57"/>
      <c r="ET99" s="57"/>
      <c r="EU99" s="57"/>
      <c r="EV99" s="57"/>
      <c r="EW99" s="57"/>
      <c r="EX99" s="57"/>
      <c r="EY99" s="57"/>
      <c r="EZ99" s="57"/>
      <c r="FA99" s="57"/>
      <c r="FB99" s="57"/>
      <c r="FC99" s="57"/>
      <c r="FD99" s="57"/>
      <c r="FE99" s="57"/>
      <c r="FF99" s="57"/>
      <c r="FG99" s="57"/>
      <c r="FH99" s="57"/>
      <c r="FI99" s="57"/>
      <c r="FJ99" s="57"/>
    </row>
    <row r="100" ht="15.75" customHeight="1">
      <c r="A100" s="57"/>
      <c r="B100" s="57"/>
      <c r="C100" s="57"/>
      <c r="D100" s="57"/>
      <c r="E100" s="57"/>
      <c r="F100" s="57"/>
      <c r="G100" s="57"/>
      <c r="H100" s="57"/>
      <c r="I100" s="57"/>
      <c r="J100" s="57"/>
      <c r="K100" s="57"/>
      <c r="L100" s="57"/>
      <c r="M100" s="57"/>
      <c r="N100" s="57"/>
      <c r="O100" s="57"/>
      <c r="P100" s="57"/>
      <c r="Q100" s="57"/>
      <c r="R100" s="57"/>
      <c r="S100" s="57"/>
      <c r="T100" s="57"/>
      <c r="U100" s="57"/>
      <c r="V100" s="57"/>
      <c r="W100" s="57"/>
      <c r="X100" s="57"/>
      <c r="Y100" s="57"/>
      <c r="Z100" s="57"/>
      <c r="AA100" s="57"/>
      <c r="AB100" s="57"/>
      <c r="AC100" s="57"/>
      <c r="AD100" s="57"/>
      <c r="AE100" s="57"/>
      <c r="AF100" s="57"/>
      <c r="AG100" s="57"/>
      <c r="AH100" s="57"/>
      <c r="AI100" s="57"/>
      <c r="AJ100" s="57"/>
      <c r="AK100" s="57"/>
      <c r="AL100" s="57"/>
      <c r="AM100" s="57"/>
      <c r="AN100" s="57"/>
      <c r="AO100" s="57"/>
      <c r="AP100" s="57"/>
      <c r="AQ100" s="57"/>
      <c r="AR100" s="57"/>
      <c r="AS100" s="57"/>
      <c r="AT100" s="57"/>
      <c r="AU100" s="57"/>
      <c r="AV100" s="57"/>
      <c r="AW100" s="57"/>
      <c r="AX100" s="57"/>
      <c r="AY100" s="57"/>
      <c r="AZ100" s="57"/>
      <c r="BA100" s="57"/>
      <c r="BB100" s="57"/>
      <c r="BC100" s="57"/>
      <c r="BD100" s="57"/>
      <c r="BE100" s="57"/>
      <c r="BF100" s="57"/>
      <c r="BG100" s="57"/>
      <c r="BH100" s="57"/>
      <c r="BI100" s="57"/>
      <c r="BJ100" s="57"/>
      <c r="BK100" s="57"/>
      <c r="BL100" s="57"/>
      <c r="BM100" s="57"/>
      <c r="BN100" s="57"/>
      <c r="BO100" s="57"/>
      <c r="BP100" s="57"/>
      <c r="BQ100" s="57"/>
      <c r="BR100" s="57"/>
      <c r="BS100" s="57"/>
      <c r="BT100" s="57"/>
      <c r="BU100" s="57"/>
      <c r="BV100" s="57"/>
      <c r="BW100" s="57"/>
      <c r="BX100" s="57"/>
      <c r="BY100" s="57"/>
      <c r="BZ100" s="57"/>
      <c r="CA100" s="57"/>
      <c r="CB100" s="57"/>
      <c r="CC100" s="57"/>
      <c r="CD100" s="57"/>
      <c r="CE100" s="57"/>
      <c r="CF100" s="57"/>
      <c r="CG100" s="57"/>
      <c r="CH100" s="57"/>
      <c r="CI100" s="57"/>
      <c r="CJ100" s="57"/>
      <c r="CK100" s="57"/>
      <c r="CL100" s="57"/>
      <c r="CM100" s="57"/>
      <c r="CN100" s="57"/>
      <c r="CO100" s="57"/>
      <c r="CP100" s="57"/>
      <c r="CQ100" s="57"/>
      <c r="CR100" s="57"/>
      <c r="CS100" s="57"/>
      <c r="CT100" s="57"/>
      <c r="CU100" s="57"/>
      <c r="CV100" s="57"/>
      <c r="CW100" s="57"/>
      <c r="CX100" s="57"/>
      <c r="CY100" s="57"/>
      <c r="CZ100" s="57"/>
      <c r="DA100" s="57"/>
      <c r="DB100" s="57"/>
      <c r="DC100" s="57"/>
      <c r="DD100" s="57"/>
      <c r="DE100" s="57"/>
      <c r="DF100" s="57"/>
      <c r="DG100" s="57"/>
      <c r="DH100" s="57"/>
      <c r="DI100" s="57"/>
      <c r="DJ100" s="57"/>
      <c r="DK100" s="57"/>
      <c r="DL100" s="57"/>
      <c r="DM100" s="57"/>
      <c r="DN100" s="57"/>
      <c r="DO100" s="57"/>
      <c r="DP100" s="57"/>
      <c r="DQ100" s="57"/>
      <c r="DR100" s="57"/>
      <c r="DS100" s="57"/>
      <c r="DT100" s="57"/>
      <c r="DU100" s="57"/>
      <c r="DV100" s="57"/>
      <c r="DW100" s="57"/>
      <c r="DX100" s="57"/>
      <c r="DY100" s="57"/>
      <c r="DZ100" s="57"/>
      <c r="EA100" s="57"/>
      <c r="EB100" s="57"/>
      <c r="EC100" s="57"/>
      <c r="ED100" s="57"/>
      <c r="EE100" s="57"/>
      <c r="EF100" s="57"/>
      <c r="EG100" s="57"/>
      <c r="EH100" s="57"/>
      <c r="EI100" s="57"/>
      <c r="EJ100" s="57"/>
      <c r="EK100" s="57"/>
      <c r="EL100" s="57"/>
      <c r="EM100" s="57"/>
      <c r="EN100" s="57"/>
      <c r="EO100" s="57"/>
      <c r="EP100" s="57"/>
      <c r="EQ100" s="57"/>
      <c r="ER100" s="57"/>
      <c r="ES100" s="57"/>
      <c r="ET100" s="57"/>
      <c r="EU100" s="57"/>
      <c r="EV100" s="57"/>
      <c r="EW100" s="57"/>
      <c r="EX100" s="57"/>
      <c r="EY100" s="57"/>
      <c r="EZ100" s="57"/>
      <c r="FA100" s="57"/>
      <c r="FB100" s="57"/>
      <c r="FC100" s="57"/>
      <c r="FD100" s="57"/>
      <c r="FE100" s="57"/>
      <c r="FF100" s="57"/>
      <c r="FG100" s="57"/>
      <c r="FH100" s="57"/>
      <c r="FI100" s="57"/>
      <c r="FJ100" s="57"/>
    </row>
  </sheetData>
  <mergeCells count="1">
    <mergeCell ref="B1:H1"/>
  </mergeCells>
  <dataValidations>
    <dataValidation type="list" allowBlank="1" showInputMessage="1" showErrorMessage="1" prompt="Choose available step for selected module" sqref="E3">
      <formula1>CheckPortfolioManagement!$4:$4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 format for current sheet" sqref="G3">
      <formula1>"Input Format,Output Format"</formula1>
    </dataValidation>
  </dataValidations>
  <drawing r:id="rId1"/>
</worksheet>
</file>