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Cos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UpdateExpirationDate" sheetId="13" r:id="rId15"/>
  </sheets>
  <definedNames/>
  <calcPr/>
</workbook>
</file>

<file path=xl/sharedStrings.xml><?xml version="1.0" encoding="utf-8"?>
<sst xmlns="http://schemas.openxmlformats.org/spreadsheetml/2006/main" count="107" uniqueCount="37">
  <si>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</si>
  <si>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</si>
  <si>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</si>
  <si>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</si>
  <si>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</si>
  <si>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</si>
  <si>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</si>
  <si>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</si>
  <si>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</si>
  <si>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</si>
  <si>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</si>
  <si>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</si>
  <si>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</si>
  <si>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</si>
  <si>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</si>
  <si>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</si>
  <si>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BP H9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</si>
  <si>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</si>
  <si>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</si>
  <si>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</si>
  <si>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</si>
  <si>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</si>
  <si>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</si>
  <si>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</si>
  <si>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</si>
  <si>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</si>
  <si>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</si>
  <si>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CashSettlementAtCost</t>
  </si>
  <si>
    <t>VerifyExpiredSettledGrid</t>
  </si>
  <si>
    <t>Allocation</t>
  </si>
  <si>
    <t>GetDataAllocation</t>
  </si>
  <si>
    <t>CheckAllocatedGroups</t>
  </si>
  <si>
    <t>Closed</t>
  </si>
  <si>
    <t>PortfolioManagement</t>
  </si>
  <si>
    <t>CheckPortfolioManagement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</si>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</sst>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11">
        <v>15.0</v>
      </c>
      <c r="J6" s="8"/>
      <c r="K6" s="11" t="s">
        <v>24</v>
      </c>
      <c r="L6" s="8"/>
      <c r="M6" s="11">
        <v>100.0</v>
      </c>
      <c r="N6" s="8"/>
      <c r="O6" s="8"/>
      <c r="P6" s="9" t="s">
        <v>17</v>
      </c>
      <c r="R6" s="9" t="s">
        <v>16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23</v>
      </c>
      <c r="F6" s="8"/>
      <c r="G6" s="8"/>
      <c r="H6" s="8"/>
      <c r="I6" s="11">
        <v>15.0</v>
      </c>
      <c r="J6" s="8"/>
      <c r="K6" s="8"/>
      <c r="L6" s="8"/>
      <c r="M6" s="8"/>
      <c r="N6" s="8"/>
      <c r="O6" s="8"/>
      <c r="U6" s="9" t="s">
        <v>26</v>
      </c>
      <c r="AQ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11">
        <v>15.0</v>
      </c>
      <c r="K6" s="8"/>
      <c r="L6" s="8"/>
      <c r="M6" s="8"/>
      <c r="N6" s="8"/>
      <c r="O6" s="8"/>
      <c r="CS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11">
        <v>15.0</v>
      </c>
      <c r="G6" s="11">
        <v>100.0</v>
      </c>
      <c r="H6" s="8"/>
      <c r="I6" s="8"/>
      <c r="J6" s="8"/>
      <c r="K6" s="11"/>
      <c r="L6" s="11"/>
      <c r="M6" s="8"/>
      <c r="N6" s="8"/>
      <c r="O6" s="8"/>
      <c r="T6" s="9">
        <v>15.0</v>
      </c>
      <c r="V6" s="9" t="s">
        <v>24</v>
      </c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8"/>
      <c r="H6" s="8"/>
      <c r="I6" s="8"/>
      <c r="J6" s="8"/>
      <c r="K6" s="11">
        <v>15.0</v>
      </c>
      <c r="L6" s="11">
        <v>15.0</v>
      </c>
      <c r="M6" s="8"/>
      <c r="N6" s="8"/>
      <c r="O6" s="8"/>
      <c r="S6" s="9" t="s">
        <v>32</v>
      </c>
      <c r="AE6" s="9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1"/>
      <c r="C7" s="8"/>
      <c r="D7" s="8"/>
      <c r="E7" s="11"/>
      <c r="F7" s="8"/>
      <c r="G7" s="8"/>
      <c r="H7" s="8"/>
      <c r="I7" s="8"/>
      <c r="J7" s="8"/>
      <c r="K7" s="11"/>
      <c r="L7" s="11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15.0</v>
      </c>
      <c r="H6" s="11" t="s">
        <v>24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/>
      <c r="D7" s="11"/>
      <c r="E7" s="11"/>
      <c r="F7" s="8"/>
      <c r="G7" s="11"/>
      <c r="H7" s="1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 t="str">
        <f>IFERROR(__xludf.DUMMYFUNCTION("""COMPUTED_VALUE"""),"AssetClass")</f>
        <v>AssetClass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1">
        <f>Today()+2</f>
        <v>44741</v>
      </c>
      <c r="D6" s="11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