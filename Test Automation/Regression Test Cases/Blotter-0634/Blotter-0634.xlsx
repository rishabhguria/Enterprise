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AutoGroupingAllocation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reateLiveOrder" sheetId="8" r:id="rId10"/>
    <sheet state="visible" name="AllocateFromBlotter" sheetId="9" r:id="rId11"/>
    <sheet state="visible" name="SelectTradeOnOrderGrid2" sheetId="10" r:id="rId12"/>
    <sheet state="visible" name="AllocateFromBlotter2" sheetId="11" r:id="rId13"/>
    <sheet state="visible" name="SelectTradeOnOrderGrid3" sheetId="12" r:id="rId14"/>
    <sheet state="visible" name="AllocateFromBlotter3" sheetId="13" r:id="rId15"/>
    <sheet state="visible" name="GetDataFromAuditTrail" sheetId="14" r:id="rId16"/>
    <sheet state="visible" name="VerifyAuditTrail" sheetId="15" r:id="rId17"/>
    <sheet state="visible" name="SelectTradeOnOrderGrid4" sheetId="16" r:id="rId18"/>
    <sheet state="visible" name="SelectTrade" sheetId="17" r:id="rId19"/>
    <sheet state="visible" name="AcknowledgeTrade" sheetId="18" r:id="rId20"/>
    <sheet state="visible" name="ExecuteTrade" sheetId="19" r:id="rId21"/>
    <sheet state="visible" name="CreateLiveOrder1" sheetId="20" r:id="rId22"/>
    <sheet state="visible" name="SelectTrade1" sheetId="21" r:id="rId23"/>
    <sheet state="visible" name="AcknowledgeTrade1" sheetId="22" r:id="rId24"/>
    <sheet state="visible" name="ExecuteTrade1" sheetId="23" r:id="rId25"/>
    <sheet state="visible" name="CreateLiveOrder2" sheetId="24" r:id="rId26"/>
    <sheet state="visible" name="SelectTrade2" sheetId="25" r:id="rId27"/>
    <sheet state="visible" name="AcknowledgeTrade2" sheetId="26" r:id="rId28"/>
    <sheet state="visible" name="ExecuteTrade2" sheetId="27" r:id="rId29"/>
  </sheets>
  <definedNames/>
  <calcPr/>
</workbook>
</file>

<file path=xl/sharedStrings.xml><?xml version="1.0" encoding="utf-8"?>
<sst xmlns="http://schemas.openxmlformats.org/spreadsheetml/2006/main" count="270" uniqueCount="47">
  <si>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</si>
  <si>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</si>
  <si>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</si>
  <si>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</si>
  <si>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</si>
  <si>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</si>
  <si>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</si>
  <si>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</si>
  <si>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</si>
  <si>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</si>
  <si>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</si>
  <si>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</si>
  <si>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</si>
  <si>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EnableAutoGroupingAllocation</t>
  </si>
  <si>
    <t>Data Format</t>
  </si>
  <si>
    <t>Input Format</t>
  </si>
  <si>
    <t>Allocation</t>
  </si>
  <si>
    <t>AddCalculatedPreferences</t>
  </si>
  <si>
    <t>Test1</t>
  </si>
  <si>
    <t>SetAccountValueCalculatedPref</t>
  </si>
  <si>
    <t>Allocation2</t>
  </si>
  <si>
    <t>Allocation3</t>
  </si>
  <si>
    <t>SetDefaultRuleCalculatedPref</t>
  </si>
  <si>
    <t>Trade Quantity</t>
  </si>
  <si>
    <t>Current Preference</t>
  </si>
  <si>
    <t>TradingTicket</t>
  </si>
  <si>
    <t>CreateLiveOrder</t>
  </si>
  <si>
    <t>MSFT</t>
  </si>
  <si>
    <t>Buy</t>
  </si>
  <si>
    <t>Allocation1</t>
  </si>
  <si>
    <t>Blotter</t>
  </si>
  <si>
    <t>AllocateFromBlotter</t>
  </si>
  <si>
    <t>SelectTradeOnOrderGrid</t>
  </si>
  <si>
    <t>Filled</t>
  </si>
  <si>
    <t>INFY</t>
  </si>
  <si>
    <t>AuditTrail</t>
  </si>
  <si>
    <t>GetDataFromAuditTrail</t>
  </si>
  <si>
    <t>VerifyAuditTrail</t>
  </si>
  <si>
    <t>Trades Allocated/Reallocated</t>
  </si>
  <si>
    <t>Grouped order allocated from Blotter</t>
  </si>
  <si>
    <t>jpearce</t>
  </si>
  <si>
    <t>TaxlotDeleted</t>
  </si>
  <si>
    <t>FB</t>
  </si>
  <si>
    <t>Simulator</t>
  </si>
  <si>
    <t>SelectTrade</t>
  </si>
  <si>
    <t>AcknowledgeTrade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</si>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</sst>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Google Sans Mono&quot;"/>
    </font>
    <font>
      <sz val="9.0"/>
      <color rgb="FF000000"/>
      <name val="&quot;Segoe UI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6" fontId="13" numFmtId="14" xfId="0" applyAlignment="1" applyFill="1" applyFont="1" applyNumberFormat="1">
      <alignment horizontal="left"/>
    </xf>
    <xf borderId="5" fillId="5" fontId="4" numFmtId="0" xfId="0" applyAlignment="1" applyBorder="1" applyFont="1">
      <alignment shrinkToFit="0" wrapText="0"/>
    </xf>
    <xf borderId="5" fillId="5" fontId="4" numFmtId="0" xfId="0" applyAlignment="1" applyBorder="1" applyFont="1">
      <alignment readingOrder="0" shrinkToFit="0" wrapText="0"/>
    </xf>
    <xf borderId="0" fillId="6" fontId="5" numFmtId="0" xfId="0" applyAlignment="1" applyFont="1">
      <alignment readingOrder="0" shrinkToFit="0" vertical="bottom" wrapText="0"/>
    </xf>
    <xf borderId="6" fillId="6" fontId="14" numFmtId="0" xfId="0" applyAlignment="1" applyBorder="1" applyFont="1">
      <alignment horizontal="right" readingOrder="0" shrinkToFit="0" vertical="bottom" wrapText="0"/>
    </xf>
    <xf borderId="6" fillId="6" fontId="14" numFmtId="164" xfId="0" applyAlignment="1" applyBorder="1" applyFont="1" applyNumberFormat="1">
      <alignment horizontal="right" readingOrder="0" shrinkToFit="0" vertical="bottom" wrapText="0"/>
    </xf>
    <xf borderId="6" fillId="6" fontId="14" numFmtId="165" xfId="0" applyAlignment="1" applyBorder="1" applyFont="1" applyNumberFormat="1">
      <alignment horizontal="right" readingOrder="0" shrinkToFit="0" vertical="bottom" wrapText="0"/>
    </xf>
    <xf borderId="0" fillId="6" fontId="2" numFmtId="0" xfId="0" applyAlignment="1" applyFont="1">
      <alignment vertical="bottom"/>
    </xf>
    <xf borderId="0" fillId="6" fontId="5" numFmtId="0" xfId="0" applyAlignment="1" applyFont="1">
      <alignment shrinkToFit="0" vertical="bottom" wrapText="0"/>
    </xf>
    <xf borderId="0" fillId="6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IFERROR(__xludf.DUMMYFUNCTION("""COMPUTED_VALUE"""),"Enable")</f>
        <v>Enable</v>
      </c>
      <c r="C5" s="27" t="str">
        <f>IFERROR(__xludf.DUMMYFUNCTION("""COMPUTED_VALUE"""),"EnableAllFunds")</f>
        <v>EnableAllFunds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EnableAutoGroupingAllocation!$4:$4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5" t="s">
        <v>20</v>
      </c>
      <c r="D6" s="36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18</v>
      </c>
      <c r="C7" s="35" t="s">
        <v>21</v>
      </c>
      <c r="D7" s="36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/>
      <c r="D6" s="34" t="s">
        <v>24</v>
      </c>
      <c r="E6" s="33"/>
      <c r="F6" s="33"/>
      <c r="G6" s="32" t="b">
        <v>0</v>
      </c>
      <c r="H6" s="35" t="s">
        <v>18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28</v>
      </c>
      <c r="D6" s="12">
        <v>100.0</v>
      </c>
      <c r="E6" s="37"/>
      <c r="F6" s="12" t="s">
        <v>29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12"/>
      <c r="B7" s="12"/>
      <c r="C7" s="12"/>
      <c r="D7" s="12"/>
      <c r="E7" s="37"/>
      <c r="F7" s="12"/>
      <c r="G7" s="8"/>
      <c r="H7" s="8"/>
      <c r="I7" s="8"/>
      <c r="J7" s="12"/>
      <c r="K7" s="8"/>
      <c r="L7" s="8"/>
      <c r="M7" s="8"/>
      <c r="N7" s="8"/>
      <c r="O7" s="8"/>
    </row>
    <row r="8" ht="15.75" customHeight="1">
      <c r="A8" s="12"/>
      <c r="B8" s="12"/>
      <c r="C8" s="12"/>
      <c r="D8" s="12"/>
      <c r="E8" s="37"/>
      <c r="F8" s="12"/>
      <c r="G8" s="8"/>
      <c r="H8" s="8"/>
      <c r="I8" s="8"/>
      <c r="J8" s="12"/>
      <c r="K8" s="8"/>
      <c r="L8" s="8"/>
      <c r="M8" s="8"/>
      <c r="N8" s="8"/>
      <c r="O8" s="8"/>
    </row>
    <row r="9" ht="15.75" customHeight="1">
      <c r="A9" s="12"/>
      <c r="B9" s="12"/>
      <c r="C9" s="12"/>
      <c r="D9" s="12"/>
      <c r="E9" s="37"/>
      <c r="F9" s="12"/>
      <c r="G9" s="8"/>
      <c r="H9" s="8"/>
      <c r="I9" s="8"/>
      <c r="J9" s="12"/>
      <c r="K9" s="8"/>
      <c r="L9" s="8"/>
      <c r="M9" s="8"/>
      <c r="N9" s="8"/>
      <c r="O9" s="8"/>
    </row>
    <row r="10" ht="15.75" customHeight="1">
      <c r="A10" s="12"/>
      <c r="B10" s="12"/>
      <c r="C10" s="12"/>
      <c r="D10" s="12"/>
      <c r="E10" s="37"/>
      <c r="F10" s="12"/>
      <c r="G10" s="8"/>
      <c r="H10" s="8"/>
      <c r="I10" s="8"/>
      <c r="J10" s="12"/>
      <c r="K10" s="8"/>
      <c r="L10" s="8"/>
      <c r="M10" s="8"/>
      <c r="N10" s="8"/>
      <c r="O10" s="8"/>
    </row>
    <row r="11" ht="15.75" customHeight="1">
      <c r="A11" s="12"/>
      <c r="B11" s="12"/>
      <c r="C11" s="12"/>
      <c r="D11" s="12"/>
      <c r="E11" s="37"/>
      <c r="F11" s="12"/>
      <c r="G11" s="8"/>
      <c r="H11" s="8"/>
      <c r="I11" s="8"/>
      <c r="J11" s="12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29</v>
      </c>
      <c r="D6" s="12">
        <v>100.0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7"/>
      <c r="F6" s="12" t="s">
        <v>28</v>
      </c>
      <c r="G6" s="12" t="s">
        <v>33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>
        <v>100.0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34</v>
      </c>
      <c r="E6" s="37"/>
      <c r="F6" s="12" t="s">
        <v>28</v>
      </c>
      <c r="G6" s="12" t="s">
        <v>33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>
        <v>100.0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AllocateFromBlotter3!$4:$4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IFERROR(__xludf.DUMMYFUNCTION("""COMPUTED_VALUE"""),"FromDate")</f>
        <v>FromDate</v>
      </c>
      <c r="C5" s="27" t="str">
        <f>IFERROR(__xludf.DUMMYFUNCTION("""COMPUTED_VALUE"""),"ToDate")</f>
        <v>ToDate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 t="shared" ref="B6:C6" si="1">TODAY()</f>
        <v>45594</v>
      </c>
      <c r="C6" s="39">
        <f t="shared" si="1"/>
        <v>45594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0" t="str">
        <f>IFERROR(__xludf.DUMMYFUNCTION("""COMPUTED_VALUE"""),"Action Time (UTC)")</f>
        <v>Action Time (UTC)</v>
      </c>
      <c r="C5" s="40" t="str">
        <f>IFERROR(__xludf.DUMMYFUNCTION("""COMPUTED_VALUE"""),"Symbol")</f>
        <v>Symbol</v>
      </c>
      <c r="D5" s="40" t="str">
        <f>IFERROR(__xludf.DUMMYFUNCTION("""COMPUTED_VALUE"""),"Order Side")</f>
        <v>Order Side</v>
      </c>
      <c r="E5" s="40" t="str">
        <f>IFERROR(__xludf.DUMMYFUNCTION("""COMPUTED_VALUE"""),"Account Name")</f>
        <v>Account Name</v>
      </c>
      <c r="F5" s="41" t="str">
        <f>IFERROR(__xludf.DUMMYFUNCTION("""COMPUTED_VALUE"""),"Action")</f>
        <v>Action</v>
      </c>
      <c r="G5" s="40" t="str">
        <f>IFERROR(__xludf.DUMMYFUNCTION("""COMPUTED_VALUE"""),"Original Value")</f>
        <v>Original Value</v>
      </c>
      <c r="H5" s="40" t="str">
        <f>IFERROR(__xludf.DUMMYFUNCTION("""COMPUTED_VALUE"""),"New Value")</f>
        <v>New Value</v>
      </c>
      <c r="I5" s="40" t="str">
        <f>IFERROR(__xludf.DUMMYFUNCTION("""COMPUTED_VALUE"""),"Comment")</f>
        <v>Comment</v>
      </c>
      <c r="J5" s="40" t="str">
        <f>IFERROR(__xludf.DUMMYFUNCTION("""COMPUTED_VALUE"""),"Company User")</f>
        <v>Company User</v>
      </c>
      <c r="K5" s="40" t="str">
        <f>IFERROR(__xludf.DUMMYFUNCTION("""COMPUTED_VALUE"""),"TaxlotId")</f>
        <v>TaxlotId</v>
      </c>
      <c r="L5" s="40" t="str">
        <f>IFERROR(__xludf.DUMMYFUNCTION("""COMPUTED_VALUE"""),"GroupId")</f>
        <v>GroupId</v>
      </c>
      <c r="M5" s="40" t="str">
        <f>IFERROR(__xludf.DUMMYFUNCTION("""COMPUTED_VALUE"""),"Action Time")</f>
        <v>Action Time</v>
      </c>
      <c r="N5" s="40" t="str">
        <f>IFERROR(__xludf.DUMMYFUNCTION("""COMPUTED_VALUE"""),"ParentOrderId")</f>
        <v>ParentOrderId</v>
      </c>
      <c r="O5" s="40" t="str">
        <f>IFERROR(__xludf.DUMMYFUNCTION("""COMPUTED_VALUE"""),"OrderId")</f>
        <v>OrderId</v>
      </c>
      <c r="P5" s="40" t="str">
        <f>IFERROR(__xludf.DUMMYFUNCTION("""COMPUTED_VALUE"""),"Source")</f>
        <v>Source</v>
      </c>
      <c r="Q5" s="40"/>
      <c r="R5" s="40"/>
      <c r="S5" s="40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2"/>
      <c r="C6" s="43" t="s">
        <v>27</v>
      </c>
      <c r="D6" s="43" t="s">
        <v>28</v>
      </c>
      <c r="E6" s="43" t="s">
        <v>20</v>
      </c>
      <c r="F6" s="43" t="s">
        <v>38</v>
      </c>
      <c r="G6" s="43">
        <v>0.0</v>
      </c>
      <c r="H6" s="43"/>
      <c r="I6" s="43" t="s">
        <v>39</v>
      </c>
      <c r="J6" s="43" t="s">
        <v>40</v>
      </c>
      <c r="K6" s="43"/>
      <c r="L6" s="43"/>
      <c r="M6" s="44"/>
      <c r="N6" s="45"/>
      <c r="O6" s="43"/>
      <c r="P6" s="43" t="s">
        <v>30</v>
      </c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</row>
    <row r="7" ht="15.75" customHeight="1">
      <c r="A7" s="47"/>
      <c r="B7" s="47"/>
      <c r="C7" s="43" t="s">
        <v>27</v>
      </c>
      <c r="D7" s="43" t="s">
        <v>28</v>
      </c>
      <c r="E7" s="43" t="s">
        <v>21</v>
      </c>
      <c r="F7" s="43" t="s">
        <v>38</v>
      </c>
      <c r="G7" s="43">
        <v>0.0</v>
      </c>
      <c r="H7" s="43"/>
      <c r="I7" s="43" t="s">
        <v>39</v>
      </c>
      <c r="J7" s="43" t="s">
        <v>40</v>
      </c>
      <c r="K7" s="43"/>
      <c r="L7" s="43"/>
      <c r="M7" s="44"/>
      <c r="N7" s="45"/>
      <c r="O7" s="43"/>
      <c r="P7" s="43" t="s">
        <v>30</v>
      </c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  <c r="EX7" s="46"/>
    </row>
    <row r="8" ht="15.75" customHeight="1">
      <c r="A8" s="47"/>
      <c r="B8" s="47"/>
      <c r="C8" s="43" t="s">
        <v>27</v>
      </c>
      <c r="D8" s="43" t="s">
        <v>28</v>
      </c>
      <c r="E8" s="43" t="s">
        <v>29</v>
      </c>
      <c r="F8" s="43" t="s">
        <v>38</v>
      </c>
      <c r="G8" s="43">
        <v>200.0</v>
      </c>
      <c r="H8" s="43">
        <v>0.0</v>
      </c>
      <c r="I8" s="43" t="s">
        <v>41</v>
      </c>
      <c r="J8" s="43" t="s">
        <v>40</v>
      </c>
      <c r="K8" s="43"/>
      <c r="L8" s="43"/>
      <c r="M8" s="44"/>
      <c r="N8" s="45"/>
      <c r="O8" s="43"/>
      <c r="P8" s="43" t="s">
        <v>30</v>
      </c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6"/>
      <c r="DN8" s="46"/>
      <c r="DO8" s="46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46"/>
      <c r="EG8" s="46"/>
      <c r="EH8" s="46"/>
      <c r="EI8" s="46"/>
      <c r="EJ8" s="46"/>
      <c r="EK8" s="46"/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  <c r="EX8" s="46"/>
    </row>
    <row r="9" ht="15.75" customHeight="1">
      <c r="A9" s="47"/>
      <c r="B9" s="47"/>
      <c r="C9" s="43" t="s">
        <v>34</v>
      </c>
      <c r="D9" s="43" t="s">
        <v>28</v>
      </c>
      <c r="E9" s="43" t="s">
        <v>20</v>
      </c>
      <c r="F9" s="43" t="s">
        <v>38</v>
      </c>
      <c r="G9" s="43">
        <v>0.0</v>
      </c>
      <c r="H9" s="43">
        <v>200.0</v>
      </c>
      <c r="I9" s="43" t="s">
        <v>39</v>
      </c>
      <c r="J9" s="43" t="s">
        <v>40</v>
      </c>
      <c r="K9" s="43"/>
      <c r="L9" s="43"/>
      <c r="M9" s="44"/>
      <c r="N9" s="45"/>
      <c r="O9" s="43"/>
      <c r="P9" s="43" t="s">
        <v>30</v>
      </c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</row>
    <row r="10" ht="15.75" customHeight="1">
      <c r="A10" s="47"/>
      <c r="B10" s="47"/>
      <c r="C10" s="43" t="s">
        <v>34</v>
      </c>
      <c r="D10" s="43" t="s">
        <v>28</v>
      </c>
      <c r="E10" s="43" t="s">
        <v>29</v>
      </c>
      <c r="F10" s="43" t="s">
        <v>38</v>
      </c>
      <c r="G10" s="43">
        <v>200.0</v>
      </c>
      <c r="H10" s="43">
        <v>0.0</v>
      </c>
      <c r="I10" s="43" t="s">
        <v>41</v>
      </c>
      <c r="J10" s="43" t="s">
        <v>40</v>
      </c>
      <c r="K10" s="43"/>
      <c r="L10" s="43"/>
      <c r="M10" s="44"/>
      <c r="N10" s="45"/>
      <c r="O10" s="43"/>
      <c r="P10" s="43" t="s">
        <v>30</v>
      </c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46"/>
      <c r="EB10" s="46"/>
      <c r="EC10" s="46"/>
      <c r="ED10" s="46"/>
      <c r="EE10" s="46"/>
      <c r="EF10" s="46"/>
      <c r="EG10" s="46"/>
      <c r="EH10" s="46"/>
      <c r="EI10" s="46"/>
      <c r="EJ10" s="46"/>
      <c r="EK10" s="46"/>
      <c r="EL10" s="46"/>
      <c r="EM10" s="46"/>
      <c r="EN10" s="46"/>
      <c r="EO10" s="46"/>
      <c r="EP10" s="46"/>
      <c r="EQ10" s="46"/>
      <c r="ER10" s="46"/>
      <c r="ES10" s="46"/>
      <c r="ET10" s="46"/>
      <c r="EU10" s="46"/>
      <c r="EV10" s="46"/>
      <c r="EW10" s="46"/>
      <c r="EX10" s="46"/>
    </row>
    <row r="11" ht="15.75" customHeight="1">
      <c r="A11" s="8"/>
      <c r="B11" s="8"/>
      <c r="C11" s="43" t="s">
        <v>42</v>
      </c>
      <c r="D11" s="43" t="s">
        <v>28</v>
      </c>
      <c r="E11" s="43" t="s">
        <v>20</v>
      </c>
      <c r="F11" s="43" t="s">
        <v>38</v>
      </c>
      <c r="G11" s="43">
        <v>100.0</v>
      </c>
      <c r="H11" s="43">
        <v>0.0</v>
      </c>
      <c r="I11" s="43" t="s">
        <v>41</v>
      </c>
      <c r="J11" s="43" t="s">
        <v>40</v>
      </c>
      <c r="K11" s="43"/>
      <c r="L11" s="43"/>
      <c r="M11" s="44"/>
      <c r="N11" s="45"/>
      <c r="O11" s="43"/>
      <c r="P11" s="43" t="s">
        <v>30</v>
      </c>
      <c r="R11" s="48"/>
    </row>
    <row r="12" ht="15.75" customHeight="1">
      <c r="A12" s="8"/>
      <c r="B12" s="8"/>
      <c r="C12" s="43" t="s">
        <v>42</v>
      </c>
      <c r="D12" s="43" t="s">
        <v>28</v>
      </c>
      <c r="E12" s="43" t="s">
        <v>21</v>
      </c>
      <c r="F12" s="43" t="s">
        <v>38</v>
      </c>
      <c r="G12" s="43">
        <v>100.0</v>
      </c>
      <c r="H12" s="43">
        <v>0.0</v>
      </c>
      <c r="I12" s="43" t="s">
        <v>41</v>
      </c>
      <c r="J12" s="43" t="s">
        <v>40</v>
      </c>
      <c r="K12" s="43"/>
      <c r="L12" s="43"/>
      <c r="M12" s="44"/>
      <c r="N12" s="45"/>
      <c r="O12" s="43"/>
      <c r="P12" s="43" t="s">
        <v>30</v>
      </c>
    </row>
    <row r="13" ht="15.75" customHeight="1">
      <c r="A13" s="8"/>
      <c r="B13" s="8"/>
      <c r="C13" s="43" t="s">
        <v>42</v>
      </c>
      <c r="D13" s="43" t="s">
        <v>28</v>
      </c>
      <c r="E13" s="43" t="s">
        <v>29</v>
      </c>
      <c r="F13" s="43" t="s">
        <v>38</v>
      </c>
      <c r="G13" s="43">
        <v>0.0</v>
      </c>
      <c r="H13" s="43">
        <v>200.0</v>
      </c>
      <c r="I13" s="43" t="s">
        <v>39</v>
      </c>
      <c r="J13" s="43" t="s">
        <v>40</v>
      </c>
      <c r="K13" s="43"/>
      <c r="L13" s="43"/>
      <c r="M13" s="44"/>
      <c r="N13" s="45"/>
      <c r="O13" s="43"/>
      <c r="P13" s="43" t="s">
        <v>30</v>
      </c>
    </row>
    <row r="14" ht="15.75" customHeight="1">
      <c r="A14" s="8"/>
      <c r="B14" s="8"/>
    </row>
    <row r="15" ht="15.75" customHeight="1">
      <c r="A15" s="8"/>
      <c r="B15" s="8"/>
    </row>
    <row r="16" ht="15.75" customHeight="1">
      <c r="A16" s="8"/>
      <c r="B16" s="8"/>
    </row>
    <row r="17" ht="15.75" customHeight="1">
      <c r="A17" s="8"/>
      <c r="B17" s="8"/>
    </row>
    <row r="18" ht="15.75" customHeight="1">
      <c r="A18" s="8"/>
      <c r="B18" s="8"/>
    </row>
    <row r="19" ht="15.75" customHeight="1">
      <c r="A19" s="8"/>
      <c r="B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42</v>
      </c>
      <c r="E6" s="37"/>
      <c r="F6" s="12" t="s">
        <v>28</v>
      </c>
      <c r="G6" s="12" t="s">
        <v>33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37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37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28</v>
      </c>
      <c r="D6" s="12">
        <v>100.0</v>
      </c>
      <c r="E6" s="37"/>
      <c r="F6" s="12" t="s">
        <v>29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34</v>
      </c>
      <c r="D6" s="12"/>
      <c r="E6" s="37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34</v>
      </c>
      <c r="D6" s="12"/>
      <c r="E6" s="37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12" t="s">
        <v>28</v>
      </c>
      <c r="D6" s="12">
        <v>100.0</v>
      </c>
      <c r="E6" s="37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42</v>
      </c>
      <c r="D6" s="12"/>
      <c r="E6" s="37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42</v>
      </c>
      <c r="D6" s="12"/>
      <c r="E6" s="37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