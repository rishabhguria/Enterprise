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AddSymbolToWatchlist" sheetId="10" r:id="rId12"/>
    <sheet state="visible" name="TradeFromWatchlist" sheetId="11" r:id="rId13"/>
    <sheet state="visible" name="CalculatePTT" sheetId="12" r:id="rId14"/>
    <sheet state="visible" name="TradeFromWatchlist1" sheetId="13" r:id="rId15"/>
    <sheet state="visible" name="CalculatePTT1" sheetId="14" r:id="rId16"/>
  </sheets>
  <calcPr fullCalcOnLoad="1" fullPrecision="1"/>
</workbook>
</file>

<file path=xl/sharedStrings.xml><?xml version="1.0" encoding="utf-8"?>
<sst xmlns="http://schemas.openxmlformats.org/spreadsheetml/2006/main" count="103" uniqueCount="103">
  <si>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</si>
  <si>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</si>
  <si>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</si>
  <si>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</si>
  <si>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</si>
  <si>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</si>
  <si>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</si>
  <si>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</si>
  <si>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</si>
  <si>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</si>
  <si>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</si>
  <si>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</si>
  <si>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</si>
  <si>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</si>
  <si>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</si>
  <si>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</si>
  <si>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</si>
  <si>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</si>
  <si>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</si>
  <si>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</si>
  <si>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</si>
  <si>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</si>
  <si>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</si>
  <si>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</si>
  <si>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</si>
  <si>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</si>
  <si>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</si>
  <si>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</si>
  <si>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</si>
  <si>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</si>
  <si>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</si>
  <si>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</si>
  <si>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</si>
  <si>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</si>
  <si>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</si>
  <si>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</si>
  <si>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</si>
  <si>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</si>
  <si>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</si>
  <si>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</si>
  <si>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</si>
  <si>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</si>
  <si>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</si>
  <si>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</si>
  <si>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</si>
  <si>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</si>
  <si>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</si>
  <si>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</si>
  <si>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</si>
  <si>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</si>
  <si>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</si>
  <si>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</si>
  <si>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</si>
  <si>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</si>
  <si>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</si>
  <si>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</si>
  <si>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</si>
  <si>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</si>
  <si>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</si>
  <si>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</si>
  <si>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</si>
  <si>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</si>
  <si>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</si>
  <si>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</si>
  <si>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</si>
  <si>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</si>
  <si>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</si>
  <si>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</si>
  <si>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</si>
  <si>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</si>
  <si>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</si>
  <si>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</si>
  <si>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</si>
  <si>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</si>
  <si>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</si>
  <si>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</si>
  <si>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</si>
  <si>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</si>
  <si>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</si>
  <si>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</si>
  <si>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</si>
  <si>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</si>
  <si>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</si>
  <si>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</si>
  <si>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FB-US</t>
  </si>
  <si>
    <t>Buy</t>
  </si>
  <si>
    <t>IPLY-US</t>
  </si>
  <si>
    <t>Allocation2</t>
  </si>
  <si>
    <t>PricingInput</t>
  </si>
  <si>
    <t>FB</t>
  </si>
  <si>
    <t>IPLY</t>
  </si>
  <si>
    <t>DailyValuation</t>
  </si>
  <si>
    <t>GetDailyCash</t>
  </si>
  <si>
    <t>UpdateMultipleDailyCash</t>
  </si>
  <si>
    <t>Allocation1</t>
  </si>
  <si>
    <t>USD</t>
  </si>
  <si>
    <t>Watchlist</t>
  </si>
  <si>
    <t>AddSymbolToWatchlist</t>
  </si>
  <si>
    <t>TradeFromWatchlist</t>
  </si>
  <si>
    <t>Adjust</t>
  </si>
  <si>
    <t>PTT</t>
  </si>
  <si>
    <t>CalculatePTT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</si>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</sst>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9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D534BEF-33E5-4890-A9C0-D45A3EAF5B7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0A82E88-27D6-4398-B758-B2B73156DAF7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870BFA1C-016B-4FD2-AF1E-E913E4D35BAF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EBD6E4-AFED-4CA6-9F2A-6902CCC1669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9EE2E9B-1CBC-4AEB-AB84-E0BBF7A7177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001C3A4-CF8B-430B-91FA-4B75A4ADCB62}">
          <x14:formula1>
            <xm:f>SetGeneralPreference!$4:$4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32"/>
      <c r="B6" s="32" t="s">
        <v>84</v>
      </c>
      <c r="C6" s="33" t="s">
        <v>85</v>
      </c>
      <c r="D6" s="34">
        <v>1</v>
      </c>
      <c r="E6" s="33"/>
      <c r="F6" s="33"/>
      <c r="G6" s="33"/>
      <c r="H6" s="33"/>
      <c r="I6" s="33"/>
      <c r="J6" s="35">
        <v>1</v>
      </c>
      <c r="K6" s="33"/>
      <c r="L6" s="33"/>
      <c r="M6" s="33"/>
      <c r="N6" s="36">
        <f ref="N6:N7" t="shared" si="1">TODAY()-1</f>
        <v>45854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86</v>
      </c>
      <c r="C7" s="33" t="s">
        <v>85</v>
      </c>
      <c r="D7" s="35">
        <v>1</v>
      </c>
      <c r="E7" s="33"/>
      <c r="F7" s="37" t="s">
        <v>87</v>
      </c>
      <c r="G7" s="33"/>
      <c r="H7" s="33"/>
      <c r="I7" s="33"/>
      <c r="J7" s="35">
        <v>1</v>
      </c>
      <c r="K7" s="33"/>
      <c r="L7" s="33"/>
      <c r="M7" s="33"/>
      <c r="N7" s="36">
        <f t="shared" si="1"/>
        <v>45854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358909D-3480-446B-996F-271FD61E49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F88119F-FD3D-489B-8547-2FA5CED9FE32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3189A4F3-B375-41AC-9A51-192BA369A47C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88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89</v>
      </c>
      <c r="C6" s="35">
        <v>10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3" t="s">
        <v>90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19C771C-3545-40EB-A851-D0A764E6A4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3C03003-7B79-483A-960F-910B16653CBA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4EC04D65-8349-453F-982F-A08F300FFBA8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f>TODAY()-1</f>
        <v>45854</v>
      </c>
      <c r="C6" s="36">
        <f>TODAY()</f>
        <v>45855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D7749F8-ACCE-460F-A523-0118FE79AEC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4751A3C-3001-4A59-B418-5090B66F52B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84B4BE9-3811-43AE-A3D3-4FFB32375DEC}">
          <x14:formula1>
            <xm:f>GetDailyCash!$4:$4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94</v>
      </c>
      <c r="C6" s="33" t="s">
        <v>95</v>
      </c>
      <c r="D6" s="34">
        <v>10000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87</v>
      </c>
      <c r="C7" s="33" t="s">
        <v>95</v>
      </c>
      <c r="D7" s="35">
        <v>10000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B0A779B-5CA6-4170-A4E3-7C1B193045C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71C6280-3126-4A44-94FB-9DAB2F7F6A20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4668EB3E-7016-4A58-AE10-F509CACAC323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96</v>
      </c>
      <c r="D3" s="5" t="s">
        <v>9</v>
      </c>
      <c r="E3" s="23" t="s">
        <v>97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86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1B36254-2A76-42F1-9D01-1CA03253C6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225B83C-194E-45FF-A56D-AB4BA5C5FDE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DAAB840-F6CC-4088-A127-43D7A4D93049}">
          <x14:formula1>
            <xm:f>AddSymbolToWatchlist!$4:$4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96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89</v>
      </c>
      <c r="C6" s="13" t="s">
        <v>99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BAA9B78-C54F-4736-878F-7A8D4E64DEB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B2860F2-2F44-486B-9A02-2090D673F7D6}">
          <x14:formula1>
            <xm:f>TradeFromWatchlist!$4:$4</xm:f>
          </x14:formula1>
          <xm:sqref>E3</xm:sqref>
        </x14:dataValidation>
        <x14:dataValidation type="list" allowBlank="1" showInputMessage="1" showErrorMessage="1" prompt="Choose an available module" xr:uid="{BE4B4751-6A97-4109-A2A3-6497F8C7E5FA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84</v>
      </c>
      <c r="C6" s="33" t="s">
        <v>102</v>
      </c>
      <c r="D6" s="32"/>
      <c r="E6" s="38">
        <v>100</v>
      </c>
      <c r="F6" s="33"/>
      <c r="G6" s="33"/>
      <c r="H6" s="33"/>
      <c r="I6" s="33" t="s">
        <v>94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1824E21-E5F6-487D-B275-3742179DCCE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0632434-33A6-4D68-9642-283D34CF3F1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126A952-8DDF-4BAD-A7B8-2707226E26B4}">
          <x14:formula1>
            <xm:f>CalculatePTT!$4:$4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96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90</v>
      </c>
      <c r="C6" s="13" t="s">
        <v>99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FE2871B-1C59-4CEE-AD39-603FDC41A5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FBEC24A-BD8E-4D1A-9EAA-BB48599A1E3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B996CA3-F3AF-44B6-A31B-DED6B6C51F0E}">
          <x14:formula1>
            <xm:f>TradeFromWatchlist1!$4:$4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86</v>
      </c>
      <c r="C6" s="33" t="s">
        <v>102</v>
      </c>
      <c r="D6" s="32"/>
      <c r="E6" s="38">
        <v>150</v>
      </c>
      <c r="F6" s="33"/>
      <c r="G6" s="33"/>
      <c r="H6" s="33"/>
      <c r="I6" s="37" t="s">
        <v>87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5F6CF1-6EB1-42AB-9270-9F8FA5F83FB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E92D8B8-7C55-4CCB-A3DE-7612904DC736}">
          <x14:formula1>
            <xm:f>CalculatePTT1!$4:$4</xm:f>
          </x14:formula1>
          <xm:sqref>E3</xm:sqref>
        </x14:dataValidation>
        <x14:dataValidation type="list" allowBlank="1" showInputMessage="1" showErrorMessage="1" prompt="Choose an available module" xr:uid="{DD6AA8BA-DC88-4198-9FF9-A816B1C1A792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