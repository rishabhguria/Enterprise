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ctionOnToolBar" sheetId="4" r:id="rId6"/>
    <sheet state="visible" name="EditAttRenaming" sheetId="5" r:id="rId7"/>
    <sheet state="visible" name="ActiononAGP" sheetId="6" r:id="rId8"/>
    <sheet state="visible" name="CustomOrderTT" sheetId="7" r:id="rId9"/>
    <sheet state="visible" name="RestartClient" sheetId="8" r:id="rId10"/>
    <sheet state="visible" name="RestartExpnl" sheetId="9" r:id="rId11"/>
  </sheets>
  <definedNames/>
  <calcPr/>
</workbook>
</file>

<file path=xl/sharedStrings.xml><?xml version="1.0" encoding="utf-8"?>
<sst xmlns="http://schemas.openxmlformats.org/spreadsheetml/2006/main" count="618" uniqueCount="538">
  <si>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</si>
  <si>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</si>
  <si>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</si>
  <si>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</si>
  <si>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</si>
  <si>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</si>
  <si>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</si>
  <si>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</si>
  <si>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</si>
  <si>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</si>
  <si>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</si>
  <si>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</si>
  <si>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</si>
  <si>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</si>
  <si>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</si>
  <si>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</si>
  <si>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</si>
  <si>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</si>
  <si>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</si>
  <si>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</si>
  <si>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</si>
  <si>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</si>
  <si>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</si>
  <si>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</si>
  <si>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</si>
  <si>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</si>
  <si>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</si>
  <si>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</si>
  <si>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</si>
  <si>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</si>
  <si>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</si>
  <si>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</si>
  <si>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</si>
  <si>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</si>
  <si>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</si>
  <si>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</si>
  <si>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</si>
  <si>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</si>
  <si>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</si>
  <si>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</si>
  <si>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</si>
  <si>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</si>
  <si>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</si>
  <si>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</si>
  <si>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</si>
  <si>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</si>
  <si>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</si>
  <si>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</si>
  <si>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</si>
  <si>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</si>
  <si>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</si>
  <si>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</si>
  <si>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</si>
  <si>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</si>
  <si>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</si>
  <si>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</si>
  <si>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</si>
  <si>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</si>
  <si>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</si>
  <si>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</si>
  <si>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</si>
  <si>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</si>
  <si>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</si>
  <si>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</si>
  <si>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</si>
  <si>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</si>
  <si>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</si>
  <si>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</si>
  <si>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</si>
  <si>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</si>
  <si>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</si>
  <si>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</si>
  <si>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</si>
  <si>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</si>
  <si>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</si>
  <si>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</si>
  <si>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</si>
  <si>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</si>
  <si>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</si>
  <si>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</si>
  <si>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</si>
  <si>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</si>
  <si>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</si>
  <si>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</si>
  <si>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</si>
  <si>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</si>
  <si>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</si>
  <si>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</si>
  <si>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</si>
  <si>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</si>
  <si>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</si>
  <si>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</si>
  <si>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</si>
  <si>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</si>
  <si>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</si>
  <si>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</si>
  <si>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</si>
  <si>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</si>
  <si>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</si>
  <si>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</si>
  <si>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</si>
  <si>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</si>
  <si>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</si>
  <si>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</si>
  <si>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</si>
  <si>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</si>
  <si>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</si>
  <si>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</si>
  <si>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</si>
  <si>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</si>
  <si>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</si>
  <si>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</si>
  <si>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</si>
  <si>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</si>
  <si>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</si>
  <si>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</si>
  <si>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</si>
  <si>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</si>
  <si>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</si>
  <si>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</si>
  <si>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</si>
  <si>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</si>
  <si>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</si>
  <si>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</si>
  <si>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</si>
  <si>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</si>
  <si>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</si>
  <si>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</si>
  <si>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</si>
  <si>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</si>
  <si>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</si>
  <si>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</si>
  <si>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</si>
  <si>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</si>
  <si>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</si>
  <si>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</si>
  <si>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</si>
  <si>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</si>
  <si>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</si>
  <si>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</si>
  <si>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</si>
  <si>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</si>
  <si>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</si>
  <si>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</si>
  <si>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</si>
  <si>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</si>
  <si>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</si>
  <si>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</si>
  <si>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</si>
  <si>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</si>
  <si>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</si>
  <si>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</si>
  <si>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</si>
  <si>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</si>
  <si>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</si>
  <si>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</si>
  <si>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</si>
  <si>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</si>
  <si>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</si>
  <si>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</si>
  <si>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</si>
  <si>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</si>
  <si>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</si>
  <si>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</si>
  <si>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</si>
  <si>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</si>
  <si>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</si>
  <si>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</si>
  <si>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</si>
  <si>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</si>
  <si>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</si>
  <si>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</si>
  <si>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</si>
  <si>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</si>
  <si>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</si>
  <si>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</si>
  <si>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</si>
  <si>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</si>
  <si>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</si>
  <si>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</si>
  <si>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</si>
  <si>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</si>
  <si>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</si>
  <si>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</si>
  <si>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</si>
  <si>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</si>
  <si>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</si>
  <si>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</si>
  <si>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</si>
  <si>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</si>
  <si>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</si>
  <si>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</si>
  <si>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</si>
  <si>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</si>
  <si>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</si>
  <si>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</si>
  <si>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</si>
  <si>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</si>
  <si>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</si>
  <si>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</si>
  <si>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</si>
  <si>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</si>
  <si>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</si>
  <si>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</si>
  <si>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</si>
  <si>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</si>
  <si>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</si>
  <si>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</si>
  <si>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</si>
  <si>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</si>
  <si>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</si>
  <si>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</si>
  <si>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</si>
  <si>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</si>
  <si>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</si>
  <si>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</si>
  <si>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</si>
  <si>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</si>
  <si>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</si>
  <si>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</si>
  <si>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</si>
  <si>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</si>
  <si>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</si>
  <si>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</si>
  <si>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</si>
  <si>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</si>
  <si>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</si>
  <si>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</si>
  <si>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</si>
  <si>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</si>
  <si>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</si>
  <si>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</si>
  <si>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</si>
  <si>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</si>
  <si>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</si>
  <si>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</si>
  <si>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</si>
  <si>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</si>
  <si>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</si>
  <si>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>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</si>
  <si>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</si>
  <si>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</si>
  <si>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</si>
  <si>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</si>
  <si>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</si>
  <si>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</si>
  <si>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</si>
  <si>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</si>
  <si>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</si>
  <si>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</si>
  <si>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</si>
  <si>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</si>
  <si>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</si>
  <si>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</si>
  <si>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</si>
  <si>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</si>
  <si>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</si>
  <si>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</si>
  <si>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</si>
  <si>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</si>
  <si>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</si>
  <si>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</si>
  <si>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</si>
  <si>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</si>
  <si>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</si>
  <si>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</si>
  <si>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</si>
  <si>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</si>
  <si>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</si>
  <si>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</si>
  <si>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</si>
  <si>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</si>
  <si>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</si>
  <si>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</si>
  <si>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</si>
  <si>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</si>
  <si>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</si>
  <si>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</si>
  <si>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</si>
  <si>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</si>
  <si>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</si>
  <si>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</si>
  <si>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</si>
  <si>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</si>
  <si>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</si>
  <si>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</si>
  <si>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</si>
  <si>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</si>
  <si>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</si>
  <si>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</si>
  <si>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</si>
  <si>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</si>
  <si>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</si>
  <si>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</si>
  <si>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</si>
  <si>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</si>
  <si>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</si>
  <si>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</si>
  <si>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</si>
  <si>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</si>
  <si>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</si>
  <si>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</si>
  <si>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</si>
  <si>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</si>
  <si>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</si>
  <si>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</si>
  <si>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</si>
  <si>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</si>
  <si>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>TradeAttr1Combo</t>
  </si>
  <si>
    <t>TradeAttr2Combo</t>
  </si>
  <si>
    <t>TradeAttr3Combo</t>
  </si>
  <si>
    <t>TradeAttr4Combo</t>
  </si>
  <si>
    <t>TradeAttr5Combo</t>
  </si>
  <si>
    <t>TradeAttr6Combo</t>
  </si>
  <si>
    <t>TradeAttr7Combo</t>
  </si>
  <si>
    <t>TradeAttr8Combo</t>
  </si>
  <si>
    <t>TradeAttr9Combo</t>
  </si>
  <si>
    <t>TradeAttr10Combo</t>
  </si>
  <si>
    <t>TradeAttr11Combo</t>
  </si>
  <si>
    <t>TradeAttr12Combo</t>
  </si>
  <si>
    <t>TradeAttr13Combo</t>
  </si>
  <si>
    <t>TradeAttr14Combo</t>
  </si>
  <si>
    <t>TradeAttr15Combo</t>
  </si>
  <si>
    <t>TradeAttr16Combo</t>
  </si>
  <si>
    <t>TradeAttr17Combo</t>
  </si>
  <si>
    <t>TradeAttr18Combo</t>
  </si>
  <si>
    <t>TradeAttr19Combo</t>
  </si>
  <si>
    <t>TradeAttr20Combo</t>
  </si>
  <si>
    <t>TradeAttr21Combo</t>
  </si>
  <si>
    <t>TradeAttr22Combo</t>
  </si>
  <si>
    <t>TradeAttr23Combo</t>
  </si>
  <si>
    <t>TradeAttr24Combo</t>
  </si>
  <si>
    <t>TradeAttr25Combo</t>
  </si>
  <si>
    <t>TradeAttr26Combo</t>
  </si>
  <si>
    <t>TradeAttr27Combo</t>
  </si>
  <si>
    <t>TradeAttr28Combo</t>
  </si>
  <si>
    <t>TradeAttr29Combo</t>
  </si>
  <si>
    <t>TradeAttr30Combo</t>
  </si>
  <si>
    <t>TradeAttr31Combo</t>
  </si>
  <si>
    <t>TradeAttr32Combo</t>
  </si>
  <si>
    <t>TradeAttr33Combo</t>
  </si>
  <si>
    <t>TradeAttr34Combo</t>
  </si>
  <si>
    <t>TradeAttr35Combo</t>
  </si>
  <si>
    <t>TradeAttr36Combo</t>
  </si>
  <si>
    <t>TradeAttr37Combo</t>
  </si>
  <si>
    <t>TradeAttr38Combo</t>
  </si>
  <si>
    <t>TradeAttr39Combo</t>
  </si>
  <si>
    <t>TradeAttr40Combo</t>
  </si>
  <si>
    <t>TradeAttr41Combo</t>
  </si>
  <si>
    <t>TradeAttr42Combo1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</si>
  <si>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</si>
  <si>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</si>
  <si>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</si>
  <si>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</si>
  <si>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</si>
  <si>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</si>
  <si>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</si>
  <si>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Preferences</t>
  </si>
  <si>
    <t>AttributeValue</t>
  </si>
  <si>
    <t>AttributeName</t>
  </si>
  <si>
    <t>KeepRecord</t>
  </si>
  <si>
    <t>DefaultValues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</si>
  <si>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</si>
  <si>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</si>
  <si>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</si>
  <si>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</si>
  <si>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</si>
  <si>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</si>
  <si>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</si>
  <si>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</si>
  <si>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</si>
  <si>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</si>
  <si>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</si>
  <si>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</si>
  <si>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</si>
  <si>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</si>
  <si>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</si>
  <si>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</si>
  <si>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</si>
  <si>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</si>
  <si>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</si>
  <si>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</si>
  <si>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</si>
  <si>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</si>
  <si>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</si>
  <si>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</si>
  <si>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</si>
  <si>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</si>
  <si>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</si>
  <si>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</si>
  <si>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</si>
  <si>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</si>
  <si>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</si>
  <si>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</si>
  <si>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</si>
  <si>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</si>
  <si>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</si>
  <si>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</si>
  <si>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</si>
  <si>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</si>
  <si>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</si>
  <si>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</si>
  <si>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</si>
  <si>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</si>
  <si>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</si>
  <si>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</si>
  <si>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</si>
  <si>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</si>
  <si>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</si>
  <si>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</si>
  <si>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</si>
  <si>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</si>
  <si>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</si>
  <si>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</si>
  <si>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</si>
  <si>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</si>
  <si>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</si>
  <si>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</si>
  <si>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</si>
  <si>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</si>
  <si>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</si>
  <si>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</si>
  <si>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</si>
  <si>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</si>
  <si>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</si>
  <si>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</si>
  <si>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</si>
  <si>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</si>
  <si>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</si>
  <si>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</si>
  <si>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</si>
  <si>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</si>
  <si>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</si>
  <si>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</si>
  <si>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</si>
  <si>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</si>
  <si>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</si>
  <si>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</si>
  <si>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</si>
  <si>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</si>
  <si>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</si>
  <si>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</si>
  <si>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</si>
  <si>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</si>
  <si>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</si>
  <si>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</si>
  <si>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</si>
  <si>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</si>
  <si>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</si>
  <si>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</si>
  <si>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</si>
  <si>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</si>
  <si>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</si>
  <si>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</si>
  <si>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</si>
  <si>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</si>
  <si>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</si>
  <si>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</si>
  <si>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</si>
  <si>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</si>
  <si>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</si>
  <si>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</si>
  <si>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</si>
  <si>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</si>
  <si>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</si>
  <si>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</si>
  <si>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</si>
  <si>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</si>
  <si>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</si>
  <si>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</si>
  <si>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</si>
  <si>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</si>
  <si>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</si>
  <si>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</si>
  <si>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</si>
  <si>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</si>
  <si>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</si>
  <si>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</si>
  <si>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</si>
  <si>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</si>
  <si>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</si>
  <si>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</si>
  <si>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</si>
  <si>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</si>
  <si>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</si>
  <si>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</si>
  <si>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</si>
  <si>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</si>
  <si>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</si>
  <si>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</si>
  <si>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</si>
  <si>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</si>
  <si>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</si>
  <si>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</si>
  <si>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</si>
  <si>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</si>
  <si>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</si>
  <si>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</si>
  <si>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</si>
  <si>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</si>
  <si>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</si>
  <si>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</si>
  <si>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</si>
  <si>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</si>
  <si>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</si>
  <si>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</si>
  <si>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</si>
  <si>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</si>
  <si>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</si>
  <si>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</si>
  <si>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</si>
  <si>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</si>
  <si>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</si>
  <si>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</si>
  <si>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</si>
  <si>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</si>
  <si>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</si>
  <si>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</si>
  <si>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</si>
  <si>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</si>
  <si>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</si>
  <si>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</si>
  <si>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</si>
  <si>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</si>
  <si>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</si>
  <si>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</si>
  <si>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MultiTag1</t>
  </si>
  <si>
    <t>MultiTag2</t>
  </si>
  <si>
    <t>MultiTag3</t>
  </si>
  <si>
    <t>MultiTag4</t>
  </si>
  <si>
    <t>MultiTag5</t>
  </si>
  <si>
    <t>MultiTag6</t>
  </si>
  <si>
    <t>MSFT</t>
  </si>
  <si>
    <t>PranaClient</t>
  </si>
  <si>
    <t>CreateDoneAwayOrder</t>
  </si>
  <si>
    <t>msft</t>
  </si>
  <si>
    <t>buy</t>
  </si>
  <si>
    <t>Expnl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</si>
</sst>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7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</row>
    <row r="5" ht="15.75" customHeight="1">
      <c r="A5" s="27"/>
      <c r="B5" s="28" t="s">
        <v>11</v>
      </c>
      <c r="C5" s="28" t="s">
        <v>12</v>
      </c>
      <c r="D5" s="28" t="s">
        <v>13</v>
      </c>
      <c r="E5" s="28" t="s">
        <v>14</v>
      </c>
      <c r="F5" s="28" t="s">
        <v>15</v>
      </c>
      <c r="G5" s="28" t="s">
        <v>16</v>
      </c>
      <c r="H5" s="28" t="s">
        <v>17</v>
      </c>
      <c r="I5" s="28" t="s">
        <v>18</v>
      </c>
      <c r="J5" s="28" t="s">
        <v>19</v>
      </c>
      <c r="K5" s="28" t="s">
        <v>20</v>
      </c>
      <c r="L5" s="28" t="s">
        <v>21</v>
      </c>
      <c r="M5" s="28" t="s">
        <v>22</v>
      </c>
      <c r="N5" s="28" t="s">
        <v>23</v>
      </c>
      <c r="O5" s="28" t="s">
        <v>24</v>
      </c>
      <c r="P5" s="28" t="s">
        <v>25</v>
      </c>
      <c r="Q5" s="28" t="s">
        <v>26</v>
      </c>
      <c r="R5" s="28" t="s">
        <v>27</v>
      </c>
      <c r="S5" s="28" t="s">
        <v>28</v>
      </c>
      <c r="T5" s="29" t="s">
        <v>29</v>
      </c>
      <c r="U5" s="29" t="s">
        <v>30</v>
      </c>
      <c r="V5" s="29" t="s">
        <v>31</v>
      </c>
      <c r="W5" s="29" t="s">
        <v>32</v>
      </c>
      <c r="X5" s="29" t="s">
        <v>33</v>
      </c>
      <c r="Y5" s="29" t="s">
        <v>34</v>
      </c>
      <c r="Z5" s="29" t="s">
        <v>35</v>
      </c>
      <c r="AA5" s="29" t="s">
        <v>36</v>
      </c>
      <c r="AB5" s="29" t="s">
        <v>37</v>
      </c>
      <c r="AC5" s="29" t="s">
        <v>38</v>
      </c>
      <c r="AD5" s="29" t="s">
        <v>39</v>
      </c>
      <c r="AE5" s="29" t="s">
        <v>40</v>
      </c>
      <c r="AF5" s="29" t="s">
        <v>41</v>
      </c>
      <c r="AG5" s="29" t="s">
        <v>42</v>
      </c>
      <c r="AH5" s="29" t="s">
        <v>43</v>
      </c>
      <c r="AI5" s="29" t="s">
        <v>44</v>
      </c>
      <c r="AJ5" s="29" t="s">
        <v>45</v>
      </c>
      <c r="AK5" s="29" t="s">
        <v>46</v>
      </c>
      <c r="AL5" s="29" t="s">
        <v>47</v>
      </c>
      <c r="AM5" s="29" t="s">
        <v>48</v>
      </c>
      <c r="AN5" s="29" t="s">
        <v>49</v>
      </c>
      <c r="AO5" s="29" t="s">
        <v>50</v>
      </c>
      <c r="AP5" s="29" t="s">
        <v>51</v>
      </c>
      <c r="AQ5" s="29" t="s">
        <v>52</v>
      </c>
      <c r="AR5" s="29" t="s">
        <v>53</v>
      </c>
      <c r="AS5" s="29" t="s">
        <v>54</v>
      </c>
      <c r="AT5" s="29" t="s">
        <v>55</v>
      </c>
      <c r="AU5" s="29" t="s">
        <v>56</v>
      </c>
      <c r="AV5" s="29" t="s">
        <v>57</v>
      </c>
      <c r="AW5" s="29" t="s">
        <v>58</v>
      </c>
      <c r="AX5" s="29" t="s">
        <v>59</v>
      </c>
      <c r="AY5" s="29" t="s">
        <v>60</v>
      </c>
      <c r="AZ5" s="29" t="s">
        <v>61</v>
      </c>
      <c r="BA5" s="29" t="s">
        <v>62</v>
      </c>
      <c r="BB5" s="29" t="s">
        <v>63</v>
      </c>
      <c r="BC5" s="29" t="s">
        <v>64</v>
      </c>
      <c r="BD5" s="29" t="s">
        <v>65</v>
      </c>
      <c r="BE5" s="29" t="s">
        <v>66</v>
      </c>
      <c r="BF5" s="29" t="s">
        <v>67</v>
      </c>
      <c r="BG5" s="29" t="s">
        <v>68</v>
      </c>
      <c r="BH5" s="29" t="s">
        <v>69</v>
      </c>
      <c r="BI5" s="29" t="s">
        <v>70</v>
      </c>
      <c r="BJ5" s="29" t="s">
        <v>71</v>
      </c>
      <c r="BK5" s="29" t="s">
        <v>72</v>
      </c>
      <c r="BL5" s="29" t="s">
        <v>73</v>
      </c>
      <c r="BM5" s="29" t="s">
        <v>74</v>
      </c>
      <c r="BN5" s="29" t="s">
        <v>75</v>
      </c>
      <c r="BO5" s="29" t="s">
        <v>76</v>
      </c>
      <c r="BP5" s="29" t="s">
        <v>77</v>
      </c>
      <c r="BQ5" s="29" t="s">
        <v>78</v>
      </c>
      <c r="BR5" s="29" t="s">
        <v>79</v>
      </c>
      <c r="BS5" s="29" t="s">
        <v>80</v>
      </c>
      <c r="BT5" s="29" t="s">
        <v>81</v>
      </c>
      <c r="BU5" s="29" t="s">
        <v>82</v>
      </c>
      <c r="BV5" s="29" t="s">
        <v>83</v>
      </c>
      <c r="BW5" s="29" t="s">
        <v>84</v>
      </c>
      <c r="BX5" s="29" t="s">
        <v>85</v>
      </c>
      <c r="BY5" s="29" t="s">
        <v>86</v>
      </c>
      <c r="BZ5" s="29" t="s">
        <v>87</v>
      </c>
      <c r="CA5" s="29" t="s">
        <v>88</v>
      </c>
      <c r="CB5" s="29" t="s">
        <v>89</v>
      </c>
      <c r="CC5" s="29" t="s">
        <v>90</v>
      </c>
      <c r="CD5" s="29" t="s">
        <v>91</v>
      </c>
      <c r="CE5" s="29" t="s">
        <v>92</v>
      </c>
      <c r="CF5" s="29" t="s">
        <v>93</v>
      </c>
      <c r="CG5" s="29" t="s">
        <v>94</v>
      </c>
      <c r="CH5" s="29" t="s">
        <v>95</v>
      </c>
      <c r="CI5" s="29" t="s">
        <v>96</v>
      </c>
      <c r="CJ5" s="29" t="s">
        <v>97</v>
      </c>
      <c r="CK5" s="29" t="s">
        <v>98</v>
      </c>
      <c r="CL5" s="29" t="s">
        <v>99</v>
      </c>
      <c r="CM5" s="29" t="s">
        <v>100</v>
      </c>
      <c r="CN5" s="29" t="s">
        <v>101</v>
      </c>
      <c r="CO5" s="29" t="s">
        <v>102</v>
      </c>
      <c r="CP5" s="29" t="s">
        <v>103</v>
      </c>
      <c r="CQ5" s="29" t="s">
        <v>104</v>
      </c>
      <c r="CR5" s="29" t="s">
        <v>105</v>
      </c>
      <c r="CS5" s="29" t="s">
        <v>106</v>
      </c>
      <c r="CT5" s="29" t="s">
        <v>107</v>
      </c>
      <c r="CU5" s="29" t="s">
        <v>108</v>
      </c>
      <c r="CV5" s="29" t="s">
        <v>109</v>
      </c>
      <c r="CW5" s="29" t="s">
        <v>110</v>
      </c>
      <c r="CX5" s="29" t="s">
        <v>111</v>
      </c>
      <c r="CY5" s="29" t="s">
        <v>112</v>
      </c>
      <c r="CZ5" s="29" t="s">
        <v>113</v>
      </c>
      <c r="DA5" s="29" t="s">
        <v>114</v>
      </c>
      <c r="DB5" s="29" t="s">
        <v>115</v>
      </c>
      <c r="DC5" s="29" t="s">
        <v>116</v>
      </c>
      <c r="DD5" s="29" t="s">
        <v>117</v>
      </c>
      <c r="DE5" s="29" t="s">
        <v>118</v>
      </c>
      <c r="DF5" s="29" t="s">
        <v>119</v>
      </c>
      <c r="DG5" s="29" t="s">
        <v>120</v>
      </c>
      <c r="DH5" s="29" t="s">
        <v>121</v>
      </c>
      <c r="DI5" s="29" t="s">
        <v>122</v>
      </c>
      <c r="DJ5" s="29" t="s">
        <v>123</v>
      </c>
      <c r="DK5" s="29" t="s">
        <v>124</v>
      </c>
      <c r="DL5" s="29" t="s">
        <v>125</v>
      </c>
      <c r="DM5" s="29" t="s">
        <v>126</v>
      </c>
      <c r="DN5" s="29" t="s">
        <v>127</v>
      </c>
      <c r="DO5" s="29" t="s">
        <v>128</v>
      </c>
      <c r="DP5" s="29" t="s">
        <v>129</v>
      </c>
      <c r="DQ5" s="29" t="s">
        <v>130</v>
      </c>
      <c r="DR5" s="29" t="s">
        <v>131</v>
      </c>
      <c r="DS5" s="29" t="s">
        <v>132</v>
      </c>
      <c r="DT5" s="29" t="s">
        <v>133</v>
      </c>
      <c r="DU5" s="29" t="s">
        <v>134</v>
      </c>
      <c r="DV5" s="29" t="s">
        <v>135</v>
      </c>
      <c r="DW5" s="29" t="s">
        <v>136</v>
      </c>
      <c r="DX5" s="29" t="s">
        <v>137</v>
      </c>
      <c r="DY5" s="29" t="s">
        <v>138</v>
      </c>
      <c r="DZ5" s="29" t="s">
        <v>139</v>
      </c>
      <c r="EA5" s="29" t="s">
        <v>140</v>
      </c>
      <c r="EB5" s="29" t="s">
        <v>141</v>
      </c>
      <c r="EC5" s="29" t="s">
        <v>142</v>
      </c>
      <c r="ED5" s="29" t="s">
        <v>143</v>
      </c>
      <c r="EE5" s="29" t="s">
        <v>144</v>
      </c>
      <c r="EF5" s="29" t="s">
        <v>145</v>
      </c>
      <c r="EG5" s="29" t="s">
        <v>146</v>
      </c>
      <c r="EH5" s="29" t="s">
        <v>147</v>
      </c>
      <c r="EI5" s="29" t="s">
        <v>148</v>
      </c>
      <c r="EJ5" s="29" t="s">
        <v>149</v>
      </c>
      <c r="EK5" s="29" t="s">
        <v>150</v>
      </c>
      <c r="EL5" s="29" t="s">
        <v>151</v>
      </c>
      <c r="EM5" s="29" t="s">
        <v>152</v>
      </c>
      <c r="EN5" s="29" t="s">
        <v>153</v>
      </c>
      <c r="EO5" s="29" t="s">
        <v>154</v>
      </c>
      <c r="EP5" s="29" t="s">
        <v>155</v>
      </c>
      <c r="EQ5" s="29" t="s">
        <v>156</v>
      </c>
      <c r="ER5" s="29" t="s">
        <v>157</v>
      </c>
      <c r="ES5" s="29" t="s">
        <v>158</v>
      </c>
      <c r="ET5" s="29" t="s">
        <v>159</v>
      </c>
      <c r="EU5" s="29" t="s">
        <v>160</v>
      </c>
      <c r="EV5" s="29" t="s">
        <v>161</v>
      </c>
      <c r="EW5" s="29" t="s">
        <v>162</v>
      </c>
      <c r="EX5" s="29" t="s">
        <v>163</v>
      </c>
      <c r="EY5" s="29" t="s">
        <v>164</v>
      </c>
      <c r="EZ5" s="29" t="s">
        <v>165</v>
      </c>
      <c r="FA5" s="29" t="s">
        <v>166</v>
      </c>
      <c r="FB5" s="29" t="s">
        <v>167</v>
      </c>
      <c r="FC5" s="29" t="s">
        <v>168</v>
      </c>
      <c r="FD5" s="29" t="s">
        <v>169</v>
      </c>
      <c r="FE5" s="29" t="s">
        <v>170</v>
      </c>
      <c r="FF5" s="29" t="s">
        <v>171</v>
      </c>
      <c r="FG5" s="29" t="s">
        <v>172</v>
      </c>
      <c r="FH5" s="29" t="s">
        <v>173</v>
      </c>
      <c r="FI5" s="29" t="s">
        <v>174</v>
      </c>
      <c r="FJ5" s="29" t="s">
        <v>175</v>
      </c>
      <c r="FK5" s="29" t="s">
        <v>176</v>
      </c>
      <c r="FL5" s="29" t="s">
        <v>177</v>
      </c>
      <c r="FM5" s="29" t="s">
        <v>178</v>
      </c>
      <c r="FN5" s="29" t="s">
        <v>179</v>
      </c>
      <c r="FO5" s="29" t="s">
        <v>180</v>
      </c>
      <c r="FP5" s="29" t="s">
        <v>181</v>
      </c>
      <c r="FQ5" s="29" t="s">
        <v>182</v>
      </c>
      <c r="FR5" s="29" t="s">
        <v>183</v>
      </c>
      <c r="FS5" s="29" t="s">
        <v>184</v>
      </c>
      <c r="FT5" s="29" t="s">
        <v>185</v>
      </c>
      <c r="FU5" s="29" t="s">
        <v>186</v>
      </c>
      <c r="FV5" s="29" t="s">
        <v>187</v>
      </c>
      <c r="FW5" s="29" t="s">
        <v>188</v>
      </c>
      <c r="FX5" s="29" t="s">
        <v>189</v>
      </c>
      <c r="FY5" s="29" t="s">
        <v>190</v>
      </c>
      <c r="FZ5" s="29" t="s">
        <v>191</v>
      </c>
      <c r="GA5" s="29" t="s">
        <v>192</v>
      </c>
      <c r="GB5" s="29" t="s">
        <v>193</v>
      </c>
      <c r="GC5" s="29" t="s">
        <v>194</v>
      </c>
      <c r="GD5" s="29" t="s">
        <v>195</v>
      </c>
      <c r="GE5" s="29" t="s">
        <v>196</v>
      </c>
      <c r="GF5" s="29" t="s">
        <v>197</v>
      </c>
      <c r="GG5" s="29" t="s">
        <v>198</v>
      </c>
      <c r="GH5" s="29" t="s">
        <v>199</v>
      </c>
      <c r="GI5" s="29" t="s">
        <v>200</v>
      </c>
      <c r="GJ5" s="29" t="s">
        <v>201</v>
      </c>
      <c r="GK5" s="29" t="s">
        <v>202</v>
      </c>
      <c r="GL5" s="29" t="s">
        <v>203</v>
      </c>
      <c r="GM5" s="29" t="s">
        <v>204</v>
      </c>
      <c r="GN5" s="29" t="s">
        <v>205</v>
      </c>
      <c r="GO5" s="29" t="s">
        <v>206</v>
      </c>
      <c r="GP5" s="29" t="s">
        <v>207</v>
      </c>
      <c r="GQ5" s="29" t="s">
        <v>208</v>
      </c>
      <c r="GR5" s="29" t="s">
        <v>209</v>
      </c>
      <c r="GS5" s="29" t="s">
        <v>210</v>
      </c>
      <c r="GT5" s="29" t="s">
        <v>211</v>
      </c>
      <c r="GU5" s="29" t="s">
        <v>212</v>
      </c>
      <c r="GV5" s="29" t="s">
        <v>213</v>
      </c>
      <c r="GW5" s="29" t="s">
        <v>214</v>
      </c>
      <c r="GX5" s="29" t="s">
        <v>215</v>
      </c>
      <c r="GY5" s="29" t="s">
        <v>216</v>
      </c>
      <c r="GZ5" s="29" t="s">
        <v>217</v>
      </c>
      <c r="HA5" s="29" t="s">
        <v>218</v>
      </c>
      <c r="HB5" s="29" t="s">
        <v>219</v>
      </c>
      <c r="HC5" s="29" t="s">
        <v>220</v>
      </c>
      <c r="HD5" s="29" t="s">
        <v>221</v>
      </c>
      <c r="HE5" s="29" t="s">
        <v>222</v>
      </c>
      <c r="HF5" s="29" t="s">
        <v>223</v>
      </c>
      <c r="HG5" s="29" t="s">
        <v>224</v>
      </c>
      <c r="HH5" s="29" t="s">
        <v>225</v>
      </c>
      <c r="HI5" s="29" t="s">
        <v>226</v>
      </c>
      <c r="HJ5" s="29" t="s">
        <v>227</v>
      </c>
      <c r="HK5" s="29" t="s">
        <v>228</v>
      </c>
      <c r="HL5" s="29" t="s">
        <v>229</v>
      </c>
      <c r="HM5" s="29" t="s">
        <v>230</v>
      </c>
      <c r="HN5" s="29" t="s">
        <v>231</v>
      </c>
      <c r="HO5" s="29" t="s">
        <v>232</v>
      </c>
      <c r="HP5" s="29" t="s">
        <v>233</v>
      </c>
      <c r="HQ5" s="29" t="s">
        <v>234</v>
      </c>
      <c r="HR5" s="29" t="s">
        <v>235</v>
      </c>
      <c r="HS5" s="29" t="s">
        <v>236</v>
      </c>
      <c r="HT5" s="29" t="s">
        <v>237</v>
      </c>
      <c r="HU5" s="29" t="s">
        <v>238</v>
      </c>
      <c r="HV5" s="29" t="s">
        <v>239</v>
      </c>
      <c r="HW5" s="29" t="s">
        <v>240</v>
      </c>
      <c r="HX5" s="29" t="s">
        <v>241</v>
      </c>
      <c r="HY5" s="29" t="s">
        <v>242</v>
      </c>
      <c r="HZ5" s="29" t="s">
        <v>243</v>
      </c>
      <c r="IA5" s="29" t="s">
        <v>244</v>
      </c>
      <c r="IB5" s="29" t="s">
        <v>245</v>
      </c>
      <c r="IC5" s="29" t="s">
        <v>246</v>
      </c>
      <c r="ID5" s="29" t="s">
        <v>247</v>
      </c>
      <c r="IE5" s="29" t="s">
        <v>248</v>
      </c>
      <c r="IF5" s="29" t="s">
        <v>249</v>
      </c>
      <c r="IG5" s="29" t="s">
        <v>250</v>
      </c>
      <c r="IH5" s="29" t="s">
        <v>251</v>
      </c>
      <c r="II5" s="29" t="s">
        <v>252</v>
      </c>
      <c r="IJ5" s="29" t="s">
        <v>253</v>
      </c>
      <c r="IK5" s="29" t="s">
        <v>254</v>
      </c>
      <c r="IL5" s="29" t="s">
        <v>255</v>
      </c>
      <c r="IM5" s="29" t="s">
        <v>256</v>
      </c>
      <c r="IN5" s="29" t="s">
        <v>257</v>
      </c>
      <c r="IO5" s="29" t="s">
        <v>258</v>
      </c>
      <c r="IP5" s="29" t="s">
        <v>259</v>
      </c>
      <c r="IQ5" s="29" t="s">
        <v>260</v>
      </c>
      <c r="IR5" s="29" t="s">
        <v>261</v>
      </c>
      <c r="IS5" s="29" t="s">
        <v>262</v>
      </c>
      <c r="IT5" s="29" t="s">
        <v>263</v>
      </c>
      <c r="IU5" s="29" t="s">
        <v>264</v>
      </c>
      <c r="IV5" s="29" t="s">
        <v>265</v>
      </c>
      <c r="IW5" s="29" t="s">
        <v>266</v>
      </c>
      <c r="IX5" s="29" t="s">
        <v>267</v>
      </c>
      <c r="IY5" s="29" t="s">
        <v>268</v>
      </c>
      <c r="IZ5" s="29" t="s">
        <v>269</v>
      </c>
      <c r="JA5" s="29" t="s">
        <v>270</v>
      </c>
      <c r="JB5" s="29" t="s">
        <v>271</v>
      </c>
      <c r="JC5" s="29" t="s">
        <v>272</v>
      </c>
      <c r="JD5" s="29" t="s">
        <v>273</v>
      </c>
      <c r="JE5" s="29" t="s">
        <v>274</v>
      </c>
      <c r="JF5" s="29" t="s">
        <v>275</v>
      </c>
      <c r="JG5" s="29" t="s">
        <v>276</v>
      </c>
      <c r="JH5" s="29" t="s">
        <v>277</v>
      </c>
      <c r="JI5" s="29" t="s">
        <v>278</v>
      </c>
      <c r="JJ5" s="29" t="s">
        <v>279</v>
      </c>
      <c r="JK5" s="29" t="s">
        <v>280</v>
      </c>
      <c r="JL5" s="29" t="s">
        <v>281</v>
      </c>
      <c r="JM5" s="29" t="s">
        <v>282</v>
      </c>
      <c r="JN5" s="29" t="s">
        <v>283</v>
      </c>
      <c r="JO5" s="29" t="s">
        <v>284</v>
      </c>
      <c r="JP5" s="29" t="s">
        <v>285</v>
      </c>
      <c r="JQ5" s="29" t="s">
        <v>286</v>
      </c>
      <c r="JR5" s="29" t="s">
        <v>287</v>
      </c>
      <c r="JS5" s="29" t="s">
        <v>288</v>
      </c>
      <c r="JT5" s="29" t="s">
        <v>289</v>
      </c>
      <c r="JU5" s="29" t="s">
        <v>290</v>
      </c>
      <c r="JV5" s="29" t="s">
        <v>291</v>
      </c>
      <c r="JW5" s="29" t="s">
        <v>292</v>
      </c>
      <c r="JX5" s="29" t="s">
        <v>293</v>
      </c>
      <c r="JY5" s="29" t="s">
        <v>294</v>
      </c>
      <c r="JZ5" s="29" t="s">
        <v>295</v>
      </c>
      <c r="KA5" s="29" t="s">
        <v>296</v>
      </c>
      <c r="KB5" s="29" t="s">
        <v>297</v>
      </c>
      <c r="KC5" s="29" t="s">
        <v>298</v>
      </c>
      <c r="KD5" s="29" t="s">
        <v>299</v>
      </c>
      <c r="KE5" s="29" t="s">
        <v>300</v>
      </c>
      <c r="KF5" s="29" t="s">
        <v>301</v>
      </c>
      <c r="KG5" s="29" t="s">
        <v>302</v>
      </c>
      <c r="KH5" s="29" t="s">
        <v>303</v>
      </c>
      <c r="KI5" s="29" t="s">
        <v>304</v>
      </c>
      <c r="KJ5" s="29" t="s">
        <v>305</v>
      </c>
      <c r="KK5" s="29" t="s">
        <v>306</v>
      </c>
      <c r="KL5" s="29" t="s">
        <v>307</v>
      </c>
      <c r="KM5" s="29" t="s">
        <v>308</v>
      </c>
      <c r="KN5" s="29" t="s">
        <v>309</v>
      </c>
      <c r="KO5" s="29" t="s">
        <v>310</v>
      </c>
      <c r="KP5" s="29" t="s">
        <v>311</v>
      </c>
      <c r="KQ5" s="29" t="s">
        <v>312</v>
      </c>
      <c r="KR5" s="29" t="s">
        <v>313</v>
      </c>
      <c r="KS5" s="29" t="s">
        <v>314</v>
      </c>
      <c r="KT5" s="29" t="s">
        <v>315</v>
      </c>
      <c r="KU5" s="29" t="s">
        <v>316</v>
      </c>
      <c r="KV5" s="29" t="s">
        <v>317</v>
      </c>
      <c r="KW5" s="29" t="s">
        <v>318</v>
      </c>
      <c r="KX5" s="29" t="s">
        <v>319</v>
      </c>
      <c r="KY5" s="29" t="s">
        <v>320</v>
      </c>
      <c r="KZ5" s="29" t="s">
        <v>321</v>
      </c>
      <c r="LA5" s="29" t="s">
        <v>322</v>
      </c>
      <c r="LB5" s="29" t="s">
        <v>323</v>
      </c>
      <c r="LC5" s="29" t="s">
        <v>324</v>
      </c>
      <c r="LD5" s="29" t="s">
        <v>325</v>
      </c>
      <c r="LE5" s="29" t="s">
        <v>326</v>
      </c>
      <c r="LF5" s="29" t="s">
        <v>327</v>
      </c>
      <c r="LG5" s="29" t="s">
        <v>328</v>
      </c>
      <c r="LH5" s="29" t="s">
        <v>329</v>
      </c>
      <c r="LI5" s="29" t="s">
        <v>330</v>
      </c>
      <c r="LJ5" s="29" t="s">
        <v>331</v>
      </c>
      <c r="LK5" s="29" t="s">
        <v>332</v>
      </c>
      <c r="LL5" s="29" t="s">
        <v>333</v>
      </c>
      <c r="LM5" s="29" t="s">
        <v>334</v>
      </c>
      <c r="LN5" s="29" t="s">
        <v>335</v>
      </c>
      <c r="LO5" s="29" t="s">
        <v>336</v>
      </c>
      <c r="LP5" s="29" t="s">
        <v>337</v>
      </c>
      <c r="LQ5" s="29" t="s">
        <v>338</v>
      </c>
      <c r="LR5" s="29" t="s">
        <v>339</v>
      </c>
      <c r="LS5" s="29" t="s">
        <v>340</v>
      </c>
      <c r="LT5" s="29" t="s">
        <v>341</v>
      </c>
      <c r="LU5" s="29" t="s">
        <v>342</v>
      </c>
      <c r="LV5" s="29" t="s">
        <v>343</v>
      </c>
      <c r="LW5" s="29" t="s">
        <v>344</v>
      </c>
      <c r="LX5" s="29" t="s">
        <v>345</v>
      </c>
      <c r="LY5" s="29" t="s">
        <v>346</v>
      </c>
      <c r="LZ5" s="29" t="s">
        <v>347</v>
      </c>
      <c r="MA5" s="29" t="s">
        <v>348</v>
      </c>
      <c r="MB5" s="29" t="s">
        <v>349</v>
      </c>
      <c r="MC5" s="29" t="s">
        <v>350</v>
      </c>
      <c r="MD5" s="29" t="s">
        <v>351</v>
      </c>
      <c r="ME5" s="29" t="s">
        <v>352</v>
      </c>
      <c r="MF5" s="29" t="s">
        <v>353</v>
      </c>
      <c r="MG5" s="29" t="s">
        <v>354</v>
      </c>
      <c r="MH5" s="29" t="s">
        <v>355</v>
      </c>
      <c r="MI5" s="29" t="s">
        <v>356</v>
      </c>
    </row>
    <row r="6" ht="15.75" customHeight="1">
      <c r="A6" s="13"/>
      <c r="B6" s="13"/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IK6" s="9" t="s">
        <v>357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ActionOnToolBar!$4:$4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7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358</v>
      </c>
      <c r="C5" s="28" t="s">
        <v>359</v>
      </c>
      <c r="D5" s="28" t="s">
        <v>360</v>
      </c>
      <c r="E5" s="28" t="s">
        <v>361</v>
      </c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 t="s">
        <v>96</v>
      </c>
      <c r="C6" s="13" t="s">
        <v>362</v>
      </c>
      <c r="D6" s="13" t="b">
        <v>1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97</v>
      </c>
      <c r="C7" s="13" t="s">
        <v>363</v>
      </c>
      <c r="D7" s="13" t="b">
        <v>1</v>
      </c>
      <c r="E7" s="1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98</v>
      </c>
      <c r="C8" s="13" t="s">
        <v>364</v>
      </c>
      <c r="D8" s="13" t="b">
        <v>0</v>
      </c>
      <c r="E8" s="13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99</v>
      </c>
      <c r="C9" s="13" t="s">
        <v>365</v>
      </c>
      <c r="D9" s="13" t="b">
        <v>0</v>
      </c>
      <c r="E9" s="13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100</v>
      </c>
      <c r="C10" s="13" t="s">
        <v>366</v>
      </c>
      <c r="D10" s="13" t="b">
        <v>1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101</v>
      </c>
      <c r="C11" s="13" t="s">
        <v>367</v>
      </c>
      <c r="D11" s="13" t="b">
        <v>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368</v>
      </c>
      <c r="C12" s="13" t="s">
        <v>369</v>
      </c>
      <c r="D12" s="13" t="b">
        <v>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370</v>
      </c>
      <c r="C13" s="13" t="s">
        <v>371</v>
      </c>
      <c r="D13" s="13" t="b">
        <v>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372</v>
      </c>
      <c r="C14" s="13" t="s">
        <v>373</v>
      </c>
      <c r="D14" s="13" t="b">
        <v>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374</v>
      </c>
      <c r="C15" s="13" t="s">
        <v>374</v>
      </c>
      <c r="D15" s="13" t="b">
        <v>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375</v>
      </c>
      <c r="C16" s="13" t="s">
        <v>375</v>
      </c>
      <c r="D16" s="13" t="b">
        <v>1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376</v>
      </c>
      <c r="C17" s="13" t="s">
        <v>376</v>
      </c>
      <c r="D17" s="13" t="b">
        <v>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377</v>
      </c>
      <c r="C18" s="13" t="s">
        <v>377</v>
      </c>
      <c r="D18" s="13" t="b">
        <v>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378</v>
      </c>
      <c r="C19" s="13" t="s">
        <v>378</v>
      </c>
      <c r="D19" s="13" t="b">
        <v>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379</v>
      </c>
      <c r="C20" s="13" t="s">
        <v>379</v>
      </c>
      <c r="D20" s="13" t="b">
        <v>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380</v>
      </c>
      <c r="C21" s="13" t="s">
        <v>380</v>
      </c>
      <c r="D21" s="13" t="b">
        <v>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381</v>
      </c>
      <c r="C22" s="13" t="s">
        <v>381</v>
      </c>
      <c r="D22" s="13" t="b">
        <v>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382</v>
      </c>
      <c r="C23" s="13" t="s">
        <v>382</v>
      </c>
      <c r="D23" s="13" t="b">
        <v>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383</v>
      </c>
      <c r="C24" s="13" t="s">
        <v>383</v>
      </c>
      <c r="D24" s="13" t="b">
        <v>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384</v>
      </c>
      <c r="C25" s="13" t="s">
        <v>384</v>
      </c>
      <c r="D25" s="13" t="b">
        <v>1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385</v>
      </c>
      <c r="C26" s="13" t="s">
        <v>385</v>
      </c>
      <c r="D26" s="13" t="b">
        <v>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9" t="s">
        <v>386</v>
      </c>
      <c r="C27" s="9" t="s">
        <v>386</v>
      </c>
      <c r="D27" s="9" t="b">
        <v>1</v>
      </c>
    </row>
    <row r="28" ht="15.75" customHeight="1">
      <c r="B28" s="9" t="s">
        <v>387</v>
      </c>
      <c r="C28" s="9" t="s">
        <v>387</v>
      </c>
      <c r="D28" s="9" t="b">
        <v>1</v>
      </c>
    </row>
    <row r="29" ht="15.75" customHeight="1">
      <c r="B29" s="9" t="s">
        <v>388</v>
      </c>
      <c r="C29" s="9" t="s">
        <v>388</v>
      </c>
      <c r="D29" s="9" t="b">
        <v>1</v>
      </c>
    </row>
    <row r="30" ht="15.75" customHeight="1">
      <c r="B30" s="9" t="s">
        <v>389</v>
      </c>
      <c r="C30" s="9" t="s">
        <v>389</v>
      </c>
      <c r="D30" s="9" t="b">
        <v>1</v>
      </c>
    </row>
    <row r="31" ht="15.75" customHeight="1">
      <c r="B31" s="9" t="s">
        <v>390</v>
      </c>
      <c r="C31" s="9" t="s">
        <v>390</v>
      </c>
      <c r="D31" s="9" t="b">
        <v>1</v>
      </c>
    </row>
    <row r="32" ht="15.75" customHeight="1">
      <c r="B32" s="9" t="s">
        <v>391</v>
      </c>
      <c r="C32" s="9" t="s">
        <v>391</v>
      </c>
      <c r="D32" s="9" t="b">
        <v>1</v>
      </c>
    </row>
    <row r="33" ht="15.75" customHeight="1">
      <c r="B33" s="9" t="s">
        <v>392</v>
      </c>
      <c r="C33" s="9" t="s">
        <v>392</v>
      </c>
      <c r="D33" s="9" t="b">
        <v>1</v>
      </c>
    </row>
    <row r="34" ht="15.75" customHeight="1">
      <c r="B34" s="9" t="s">
        <v>393</v>
      </c>
      <c r="C34" s="9" t="s">
        <v>393</v>
      </c>
      <c r="D34" s="9" t="b">
        <v>1</v>
      </c>
    </row>
    <row r="35" ht="15.75" customHeight="1">
      <c r="B35" s="9" t="s">
        <v>394</v>
      </c>
      <c r="C35" s="9" t="s">
        <v>394</v>
      </c>
      <c r="D35" s="9" t="b">
        <v>1</v>
      </c>
    </row>
    <row r="36" ht="15.75" customHeight="1">
      <c r="B36" s="9" t="s">
        <v>395</v>
      </c>
      <c r="C36" s="9" t="s">
        <v>395</v>
      </c>
      <c r="D36" s="9" t="b">
        <v>1</v>
      </c>
    </row>
    <row r="37" ht="15.75" customHeight="1">
      <c r="B37" s="9" t="s">
        <v>396</v>
      </c>
      <c r="C37" s="9" t="s">
        <v>396</v>
      </c>
      <c r="D37" s="9" t="b">
        <v>1</v>
      </c>
    </row>
    <row r="38" ht="15.75" customHeight="1">
      <c r="B38" s="9" t="s">
        <v>397</v>
      </c>
      <c r="C38" s="9" t="s">
        <v>397</v>
      </c>
      <c r="D38" s="9" t="b">
        <v>1</v>
      </c>
    </row>
    <row r="39" ht="15.75" customHeight="1">
      <c r="B39" s="9" t="s">
        <v>398</v>
      </c>
      <c r="C39" s="9" t="s">
        <v>398</v>
      </c>
      <c r="D39" s="9" t="b">
        <v>1</v>
      </c>
    </row>
    <row r="40" ht="15.75" customHeight="1">
      <c r="B40" s="9" t="s">
        <v>399</v>
      </c>
      <c r="C40" s="9" t="s">
        <v>399</v>
      </c>
      <c r="D40" s="9" t="b">
        <v>1</v>
      </c>
    </row>
    <row r="41" ht="15.75" customHeight="1">
      <c r="B41" s="9" t="s">
        <v>400</v>
      </c>
      <c r="C41" s="9" t="s">
        <v>400</v>
      </c>
      <c r="D41" s="9" t="b">
        <v>1</v>
      </c>
    </row>
    <row r="42" ht="15.75" customHeight="1">
      <c r="B42" s="9" t="s">
        <v>401</v>
      </c>
      <c r="C42" s="9" t="s">
        <v>401</v>
      </c>
      <c r="D42" s="9" t="b">
        <v>1</v>
      </c>
    </row>
    <row r="43" ht="15.75" customHeight="1">
      <c r="B43" s="9" t="s">
        <v>402</v>
      </c>
      <c r="C43" s="9" t="s">
        <v>402</v>
      </c>
      <c r="D43" s="9" t="b">
        <v>1</v>
      </c>
    </row>
    <row r="44" ht="15.75" customHeight="1">
      <c r="B44" s="9" t="s">
        <v>403</v>
      </c>
      <c r="C44" s="9" t="s">
        <v>403</v>
      </c>
      <c r="D44" s="9" t="b">
        <v>1</v>
      </c>
    </row>
    <row r="45" ht="15.75" customHeight="1">
      <c r="B45" s="9" t="s">
        <v>404</v>
      </c>
      <c r="C45" s="9" t="s">
        <v>404</v>
      </c>
      <c r="D45" s="9" t="b">
        <v>1</v>
      </c>
    </row>
    <row r="46" ht="15.75" customHeight="1">
      <c r="B46" s="9" t="s">
        <v>405</v>
      </c>
      <c r="C46" s="9" t="s">
        <v>405</v>
      </c>
      <c r="D46" s="9" t="b">
        <v>1</v>
      </c>
    </row>
    <row r="47" ht="15.75" customHeight="1">
      <c r="B47" s="9" t="s">
        <v>406</v>
      </c>
      <c r="C47" s="9" t="s">
        <v>406</v>
      </c>
      <c r="D47" s="9" t="b">
        <v>1</v>
      </c>
    </row>
    <row r="48" ht="15.75" customHeight="1">
      <c r="B48" s="9" t="s">
        <v>407</v>
      </c>
      <c r="C48" s="9" t="s">
        <v>407</v>
      </c>
      <c r="D48" s="9" t="b">
        <v>1</v>
      </c>
    </row>
    <row r="49" ht="15.75" customHeight="1">
      <c r="B49" s="9" t="s">
        <v>408</v>
      </c>
      <c r="C49" s="9" t="s">
        <v>408</v>
      </c>
      <c r="D49" s="9" t="b">
        <v>1</v>
      </c>
    </row>
    <row r="50" ht="15.75" customHeight="1">
      <c r="B50" s="9" t="s">
        <v>409</v>
      </c>
      <c r="C50" s="9" t="s">
        <v>409</v>
      </c>
      <c r="D50" s="9" t="b">
        <v>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EditAttRenaming!$4:$4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198</v>
      </c>
      <c r="C5" s="28" t="s">
        <v>199</v>
      </c>
      <c r="D5" s="28" t="s">
        <v>200</v>
      </c>
      <c r="E5" s="28" t="s">
        <v>201</v>
      </c>
      <c r="F5" s="28" t="s">
        <v>202</v>
      </c>
      <c r="G5" s="28" t="s">
        <v>203</v>
      </c>
      <c r="H5" s="28" t="s">
        <v>204</v>
      </c>
      <c r="I5" s="28" t="s">
        <v>410</v>
      </c>
      <c r="J5" s="28" t="s">
        <v>205</v>
      </c>
      <c r="K5" s="28" t="s">
        <v>411</v>
      </c>
      <c r="L5" s="28" t="s">
        <v>192</v>
      </c>
      <c r="M5" s="28" t="s">
        <v>193</v>
      </c>
      <c r="N5" s="28" t="s">
        <v>194</v>
      </c>
      <c r="O5" s="28" t="s">
        <v>195</v>
      </c>
      <c r="P5" s="28" t="s">
        <v>196</v>
      </c>
      <c r="Q5" s="28" t="s">
        <v>197</v>
      </c>
      <c r="R5" s="28" t="s">
        <v>412</v>
      </c>
      <c r="S5" s="28" t="s">
        <v>413</v>
      </c>
      <c r="T5" s="29" t="s">
        <v>414</v>
      </c>
      <c r="U5" s="29" t="s">
        <v>415</v>
      </c>
      <c r="V5" s="29" t="s">
        <v>206</v>
      </c>
      <c r="W5" s="29" t="s">
        <v>207</v>
      </c>
      <c r="X5" s="29" t="s">
        <v>416</v>
      </c>
      <c r="Y5" s="29" t="s">
        <v>417</v>
      </c>
      <c r="Z5" s="29" t="s">
        <v>208</v>
      </c>
      <c r="AA5" s="29" t="s">
        <v>418</v>
      </c>
      <c r="AB5" s="29" t="s">
        <v>419</v>
      </c>
      <c r="AC5" s="29" t="s">
        <v>420</v>
      </c>
      <c r="AD5" s="29" t="s">
        <v>421</v>
      </c>
      <c r="AE5" s="29" t="s">
        <v>422</v>
      </c>
      <c r="AF5" s="29" t="s">
        <v>423</v>
      </c>
      <c r="AG5" s="29" t="s">
        <v>424</v>
      </c>
      <c r="AH5" s="29" t="s">
        <v>425</v>
      </c>
      <c r="AI5" s="29" t="s">
        <v>426</v>
      </c>
      <c r="AJ5" s="29" t="s">
        <v>427</v>
      </c>
      <c r="AK5" s="29" t="s">
        <v>428</v>
      </c>
      <c r="AL5" s="29" t="s">
        <v>429</v>
      </c>
      <c r="AM5" s="29" t="s">
        <v>430</v>
      </c>
      <c r="AN5" s="29" t="s">
        <v>431</v>
      </c>
      <c r="AO5" s="29" t="s">
        <v>432</v>
      </c>
      <c r="AP5" s="29" t="s">
        <v>433</v>
      </c>
      <c r="AQ5" s="29" t="s">
        <v>434</v>
      </c>
      <c r="AR5" s="29" t="s">
        <v>435</v>
      </c>
      <c r="AS5" s="29" t="s">
        <v>436</v>
      </c>
      <c r="AT5" s="29" t="s">
        <v>437</v>
      </c>
      <c r="AU5" s="29" t="s">
        <v>438</v>
      </c>
      <c r="AV5" s="29" t="s">
        <v>439</v>
      </c>
      <c r="AW5" s="29" t="s">
        <v>440</v>
      </c>
      <c r="AX5" s="29" t="s">
        <v>441</v>
      </c>
      <c r="AY5" s="29" t="s">
        <v>442</v>
      </c>
      <c r="AZ5" s="29" t="s">
        <v>443</v>
      </c>
      <c r="BA5" s="29" t="s">
        <v>444</v>
      </c>
      <c r="BB5" s="29" t="s">
        <v>445</v>
      </c>
      <c r="BC5" s="29" t="s">
        <v>446</v>
      </c>
      <c r="BD5" s="29" t="s">
        <v>447</v>
      </c>
      <c r="BE5" s="29" t="s">
        <v>448</v>
      </c>
      <c r="BF5" s="29" t="s">
        <v>449</v>
      </c>
      <c r="BG5" s="29" t="s">
        <v>450</v>
      </c>
      <c r="BH5" s="29" t="s">
        <v>451</v>
      </c>
      <c r="BI5" s="29" t="s">
        <v>452</v>
      </c>
      <c r="BJ5" s="29" t="s">
        <v>453</v>
      </c>
      <c r="BK5" s="29" t="s">
        <v>454</v>
      </c>
      <c r="BL5" s="29" t="s">
        <v>455</v>
      </c>
      <c r="BM5" s="29" t="s">
        <v>456</v>
      </c>
      <c r="BN5" s="29" t="s">
        <v>457</v>
      </c>
      <c r="BO5" s="29" t="s">
        <v>458</v>
      </c>
      <c r="BP5" s="29" t="s">
        <v>459</v>
      </c>
      <c r="BQ5" s="29" t="s">
        <v>460</v>
      </c>
      <c r="BR5" s="29" t="s">
        <v>461</v>
      </c>
      <c r="BS5" s="29" t="s">
        <v>462</v>
      </c>
      <c r="BT5" s="29" t="s">
        <v>463</v>
      </c>
      <c r="BU5" s="29" t="s">
        <v>464</v>
      </c>
      <c r="BV5" s="29" t="s">
        <v>465</v>
      </c>
      <c r="BW5" s="29" t="s">
        <v>466</v>
      </c>
      <c r="BX5" s="29" t="s">
        <v>467</v>
      </c>
      <c r="BY5" s="29" t="s">
        <v>468</v>
      </c>
      <c r="BZ5" s="29" t="s">
        <v>469</v>
      </c>
      <c r="CA5" s="29" t="s">
        <v>470</v>
      </c>
      <c r="CB5" s="29" t="s">
        <v>471</v>
      </c>
      <c r="CC5" s="29" t="s">
        <v>472</v>
      </c>
      <c r="CD5" s="29" t="s">
        <v>473</v>
      </c>
      <c r="CE5" s="29" t="s">
        <v>474</v>
      </c>
      <c r="CF5" s="29" t="s">
        <v>475</v>
      </c>
      <c r="CG5" s="29" t="s">
        <v>476</v>
      </c>
      <c r="CH5" s="29" t="s">
        <v>477</v>
      </c>
      <c r="CI5" s="29" t="s">
        <v>478</v>
      </c>
      <c r="CJ5" s="29" t="s">
        <v>479</v>
      </c>
      <c r="CK5" s="29" t="s">
        <v>480</v>
      </c>
      <c r="CL5" s="29" t="s">
        <v>481</v>
      </c>
      <c r="CM5" s="29" t="s">
        <v>482</v>
      </c>
      <c r="CN5" s="29" t="s">
        <v>483</v>
      </c>
      <c r="CO5" s="29" t="s">
        <v>484</v>
      </c>
      <c r="CP5" s="29" t="s">
        <v>485</v>
      </c>
      <c r="CQ5" s="29" t="s">
        <v>486</v>
      </c>
      <c r="CR5" s="29" t="s">
        <v>487</v>
      </c>
      <c r="CS5" s="29" t="s">
        <v>488</v>
      </c>
      <c r="CT5" s="29" t="s">
        <v>489</v>
      </c>
      <c r="CU5" s="29" t="s">
        <v>490</v>
      </c>
      <c r="CV5" s="29" t="s">
        <v>491</v>
      </c>
      <c r="CW5" s="29" t="s">
        <v>492</v>
      </c>
      <c r="CX5" s="29" t="s">
        <v>493</v>
      </c>
      <c r="CY5" s="29" t="s">
        <v>494</v>
      </c>
      <c r="CZ5" s="29" t="s">
        <v>495</v>
      </c>
      <c r="DA5" s="29" t="s">
        <v>496</v>
      </c>
      <c r="DB5" s="29" t="s">
        <v>497</v>
      </c>
      <c r="DC5" s="29" t="s">
        <v>498</v>
      </c>
      <c r="DD5" s="29" t="s">
        <v>499</v>
      </c>
      <c r="DE5" s="29" t="s">
        <v>500</v>
      </c>
      <c r="DF5" s="29" t="s">
        <v>501</v>
      </c>
      <c r="DG5" s="29" t="s">
        <v>502</v>
      </c>
      <c r="DH5" s="29" t="s">
        <v>503</v>
      </c>
      <c r="DI5" s="29" t="s">
        <v>504</v>
      </c>
      <c r="DJ5" s="29" t="s">
        <v>505</v>
      </c>
      <c r="DK5" s="29" t="s">
        <v>506</v>
      </c>
      <c r="DL5" s="29" t="s">
        <v>507</v>
      </c>
      <c r="DM5" s="29" t="s">
        <v>508</v>
      </c>
      <c r="DN5" s="29" t="s">
        <v>509</v>
      </c>
      <c r="DO5" s="29" t="s">
        <v>510</v>
      </c>
      <c r="DP5" s="29" t="s">
        <v>511</v>
      </c>
      <c r="DQ5" s="29" t="s">
        <v>512</v>
      </c>
      <c r="DR5" s="29" t="s">
        <v>513</v>
      </c>
      <c r="DS5" s="29" t="s">
        <v>514</v>
      </c>
      <c r="DT5" s="29" t="s">
        <v>515</v>
      </c>
      <c r="DU5" s="29" t="s">
        <v>516</v>
      </c>
      <c r="DV5" s="29" t="s">
        <v>517</v>
      </c>
      <c r="DW5" s="29" t="s">
        <v>518</v>
      </c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CC6" s="9" t="s">
        <v>234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CD7" s="9" t="s">
        <v>235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ActiononAGP!$4:$4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5" width="12.63"/>
    <col customWidth="1" min="46" max="46" width="14.88"/>
    <col customWidth="1" min="47" max="47" width="19.75"/>
    <col customWidth="1" min="48" max="48" width="18.25"/>
    <col customWidth="1" min="49" max="49" width="12.63"/>
    <col customWidth="1" min="50" max="50" width="22.5"/>
    <col customWidth="1" min="51" max="154" width="12.63"/>
  </cols>
  <sheetData>
    <row r="1" ht="15.75" customHeight="1">
      <c r="A1" s="19"/>
      <c r="B1" s="1" t="s">
        <v>519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520</v>
      </c>
      <c r="D3" s="5" t="s">
        <v>9</v>
      </c>
      <c r="E3" s="23" t="s">
        <v>521</v>
      </c>
      <c r="F3" s="5" t="s">
        <v>522</v>
      </c>
      <c r="G3" s="14" t="s">
        <v>523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IFERROR(__xludf.DUMMYFUNCTION("""COMPUTED_VALUE"""),"Quantity")</f>
        <v>Quantity</v>
      </c>
      <c r="D5" s="31" t="str">
        <f>IFERROR(__xludf.DUMMYFUNCTION("""COMPUTED_VALUE"""),"Price")</f>
        <v>Price</v>
      </c>
      <c r="E5" s="31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31" t="str">
        <f>IFERROR(__xludf.DUMMYFUNCTION("""COMPUTED_VALUE"""),"TT_Open")</f>
        <v>TT_Open</v>
      </c>
      <c r="H5" s="31" t="str">
        <f>IFERROR(__xludf.DUMMYFUNCTION("""COMPUTED_VALUE"""),"SharesOutstandingPopUpQty")</f>
        <v>SharesOutstandingPopUpQty</v>
      </c>
      <c r="I5" s="31" t="str">
        <f>IFERROR(__xludf.DUMMYFUNCTION("""COMPUTED_VALUE"""),"AllocationMethod")</f>
        <v>AllocationMethod</v>
      </c>
      <c r="J5" s="31" t="str">
        <f>IFERROR(__xludf.DUMMYFUNCTION("""COMPUTED_VALUE"""),"Order Side")</f>
        <v>Order Side</v>
      </c>
      <c r="K5" s="31" t="str">
        <f>IFERROR(__xludf.DUMMYFUNCTION("""COMPUTED_VALUE"""),"DB_Check")</f>
        <v>DB_Check</v>
      </c>
      <c r="L5" s="31" t="str">
        <f>IFERROR(__xludf.DUMMYFUNCTION("""COMPUTED_VALUE"""),"CommissionBasis")</f>
        <v>CommissionBasis</v>
      </c>
      <c r="M5" s="31" t="str">
        <f>IFERROR(__xludf.DUMMYFUNCTION("""COMPUTED_VALUE"""),"CommissionRate")</f>
        <v>CommissionRate</v>
      </c>
      <c r="N5" s="31" t="str">
        <f>IFERROR(__xludf.DUMMYFUNCTION("""COMPUTED_VALUE"""),"SoftBasis")</f>
        <v>SoftBasis</v>
      </c>
      <c r="O5" s="31" t="str">
        <f>IFERROR(__xludf.DUMMYFUNCTION("""COMPUTED_VALUE"""),"SoftRate")</f>
        <v>SoftRate</v>
      </c>
      <c r="P5" s="31" t="str">
        <f>IFERROR(__xludf.DUMMYFUNCTION("""COMPUTED_VALUE"""),"Account")</f>
        <v>Account</v>
      </c>
      <c r="Q5" s="31" t="str">
        <f>IFERROR(__xludf.DUMMYFUNCTION("""COMPUTED_VALUE"""),"Account %")</f>
        <v>Account %</v>
      </c>
      <c r="R5" s="31" t="str">
        <f>IFERROR(__xludf.DUMMYFUNCTION("""COMPUTED_VALUE"""),"VerifySuggestions")</f>
        <v>VerifySuggestions</v>
      </c>
      <c r="S5" s="31" t="str">
        <f>IFERROR(__xludf.DUMMYFUNCTION("""COMPUTED_VALUE"""),"SymbolToPickFromSuggesstions")</f>
        <v>SymbolToPickFromSuggesstions</v>
      </c>
      <c r="T5" s="32" t="str">
        <f>IFERROR(__xludf.DUMMYFUNCTION("""COMPUTED_VALUE"""),"TypedSymbolAvailableOnSuggestion")</f>
        <v>TypedSymbolAvailableOnSuggestion</v>
      </c>
      <c r="U5" s="32" t="str">
        <f>IFERROR(__xludf.DUMMYFUNCTION("""COMPUTED_VALUE"""),"TIF")</f>
        <v>TIF</v>
      </c>
      <c r="V5" s="32" t="str">
        <f>IFERROR(__xludf.DUMMYFUNCTION("""COMPUTED_VALUE"""),"Order Type")</f>
        <v>Order Type</v>
      </c>
      <c r="W5" s="32" t="str">
        <f>IFERROR(__xludf.DUMMYFUNCTION("""COMPUTED_VALUE"""),"Stop")</f>
        <v>Stop</v>
      </c>
      <c r="X5" s="32" t="str">
        <f>IFERROR(__xludf.DUMMYFUNCTION("""COMPUTED_VALUE"""),"Limit")</f>
        <v>Limit</v>
      </c>
      <c r="Y5" s="32" t="str">
        <f>IFERROR(__xludf.DUMMYFUNCTION("""COMPUTED_VALUE"""),"Expiration Date")</f>
        <v>Expiration Date</v>
      </c>
      <c r="Z5" s="32" t="str">
        <f>IFERROR(__xludf.DUMMYFUNCTION("""COMPUTED_VALUE"""),"Trade Date")</f>
        <v>Trade Date</v>
      </c>
      <c r="AA5" s="32" t="str">
        <f>IFERROR(__xludf.DUMMYFUNCTION("""COMPUTED_VALUE"""),"Broker")</f>
        <v>Broker</v>
      </c>
      <c r="AB5" s="32" t="str">
        <f>IFERROR(__xludf.DUMMYFUNCTION("""COMPUTED_VALUE"""),"Padlock Visiblity")</f>
        <v>Padlock Visiblity</v>
      </c>
      <c r="AC5" s="32" t="str">
        <f>IFERROR(__xludf.DUMMYFUNCTION("""COMPUTED_VALUE"""),"Padlock Unlock")</f>
        <v>Padlock Unlock</v>
      </c>
      <c r="AD5" s="32" t="str">
        <f>IFERROR(__xludf.DUMMYFUNCTION("""COMPUTED_VALUE"""),"Venue")</f>
        <v>Venue</v>
      </c>
      <c r="AE5" s="32" t="str">
        <f>IFERROR(__xludf.DUMMYFUNCTION("""COMPUTED_VALUE"""),"Fx Rate")</f>
        <v>Fx Rate</v>
      </c>
      <c r="AF5" s="32" t="str">
        <f>IFERROR(__xludf.DUMMYFUNCTION("""COMPUTED_VALUE"""),"Fx Operator")</f>
        <v>Fx Operator</v>
      </c>
      <c r="AG5" s="32" t="str">
        <f>IFERROR(__xludf.DUMMYFUNCTION("""COMPUTED_VALUE"""),"PendingApprovalPopUp")</f>
        <v>PendingApprovalPopUp</v>
      </c>
      <c r="AH5" s="32" t="str">
        <f>IFERROR(__xludf.DUMMYFUNCTION("""COMPUTED_VALUE"""),"TradeBy")</f>
        <v>TradeBy</v>
      </c>
      <c r="AI5" s="32" t="str">
        <f>IFERROR(__xludf.DUMMYFUNCTION("""COMPUTED_VALUE"""),"BookAsSwap")</f>
        <v>BookAsSwap</v>
      </c>
      <c r="AJ5" s="32" t="str">
        <f>IFERROR(__xludf.DUMMYFUNCTION("""COMPUTED_VALUE"""),"RoundLot")</f>
        <v>RoundLot</v>
      </c>
      <c r="AK5" s="32" t="str">
        <f>IFERROR(__xludf.DUMMYFUNCTION("""COMPUTED_VALUE"""),"Increment")</f>
        <v>Increment</v>
      </c>
      <c r="AL5" s="32" t="str">
        <f>IFERROR(__xludf.DUMMYFUNCTION("""COMPUTED_VALUE"""),"Decrement")</f>
        <v>Decrement</v>
      </c>
      <c r="AM5" s="32" t="str">
        <f>IFERROR(__xludf.DUMMYFUNCTION("""COMPUTED_VALUE"""),"Trade Attribute 01")</f>
        <v>Trade Attribute 01</v>
      </c>
      <c r="AN5" s="32" t="str">
        <f>IFERROR(__xludf.DUMMYFUNCTION("""COMPUTED_VALUE"""),"Trade Attribute 02")</f>
        <v>Trade Attribute 02</v>
      </c>
      <c r="AO5" s="32" t="str">
        <f>IFERROR(__xludf.DUMMYFUNCTION("""COMPUTED_VALUE"""),"Trade Attribute 03")</f>
        <v>Trade Attribute 03</v>
      </c>
      <c r="AP5" s="32" t="str">
        <f>IFERROR(__xludf.DUMMYFUNCTION("""COMPUTED_VALUE"""),"Trade Attribute 04")</f>
        <v>Trade Attribute 04</v>
      </c>
      <c r="AQ5" s="32" t="str">
        <f>IFERROR(__xludf.DUMMYFUNCTION("""COMPUTED_VALUE"""),"Trade Attribute 05")</f>
        <v>Trade Attribute 05</v>
      </c>
      <c r="AR5" s="32" t="str">
        <f>IFERROR(__xludf.DUMMYFUNCTION("""COMPUTED_VALUE"""),"Trade Attribute 06")</f>
        <v>Trade Attribute 06</v>
      </c>
      <c r="AS5" s="32" t="str">
        <f>IFERROR(__xludf.DUMMYFUNCTION("""COMPUTED_VALUE"""),"Trade Attribute 01 suggestion")</f>
        <v>Trade Attribute 01 suggestion</v>
      </c>
      <c r="AT5" s="32" t="str">
        <f>IFERROR(__xludf.DUMMYFUNCTION("""COMPUTED_VALUE"""),"Trade Attribute 02 suggestion")</f>
        <v>Trade Attribute 02 suggestion</v>
      </c>
      <c r="AU5" s="32" t="str">
        <f>IFERROR(__xludf.DUMMYFUNCTION("""COMPUTED_VALUE"""),"Trade Attribute 03 suggestion")</f>
        <v>Trade Attribute 03 suggestion</v>
      </c>
      <c r="AV5" s="32" t="str">
        <f>IFERROR(__xludf.DUMMYFUNCTION("""COMPUTED_VALUE"""),"Trade Attribute 04 suggestion")</f>
        <v>Trade Attribute 04 suggestion</v>
      </c>
      <c r="AW5" s="32" t="str">
        <f>IFERROR(__xludf.DUMMYFUNCTION("""COMPUTED_VALUE"""),"Trade Attribute 05 suggestion")</f>
        <v>Trade Attribute 05 suggestion</v>
      </c>
      <c r="AX5" s="32" t="str">
        <f>IFERROR(__xludf.DUMMYFUNCTION("""COMPUTED_VALUE"""),"Trade Attribute 06 suggestion")</f>
        <v>Trade Attribute 06 suggestion</v>
      </c>
      <c r="AY5" s="32" t="str">
        <f>IFERROR(__xludf.DUMMYFUNCTION("""COMPUTED_VALUE"""),"Strategy")</f>
        <v>Strategy</v>
      </c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 t="s">
        <v>524</v>
      </c>
      <c r="C6" s="13">
        <v>100.0</v>
      </c>
      <c r="D6" s="13">
        <v>10.0</v>
      </c>
      <c r="E6" s="13" t="s">
        <v>525</v>
      </c>
      <c r="F6" s="8"/>
      <c r="G6" s="8"/>
      <c r="H6" s="8"/>
      <c r="I6" s="8"/>
      <c r="J6" s="8"/>
      <c r="K6" s="8"/>
      <c r="L6" s="8"/>
      <c r="M6" s="8"/>
      <c r="N6" s="8"/>
      <c r="O6" s="8"/>
      <c r="AM6" s="9" t="s">
        <v>526</v>
      </c>
      <c r="AN6" s="9" t="s">
        <v>527</v>
      </c>
      <c r="AO6" s="9" t="s">
        <v>528</v>
      </c>
      <c r="AP6" s="9" t="s">
        <v>529</v>
      </c>
      <c r="AQ6" s="9" t="s">
        <v>530</v>
      </c>
      <c r="AR6" s="9" t="s">
        <v>531</v>
      </c>
    </row>
    <row r="7" ht="15.75" customHeight="1">
      <c r="A7" s="13"/>
      <c r="B7" s="13" t="s">
        <v>532</v>
      </c>
      <c r="C7" s="13">
        <v>100.0</v>
      </c>
      <c r="D7" s="13">
        <v>10.0</v>
      </c>
      <c r="E7" s="13" t="s">
        <v>525</v>
      </c>
      <c r="F7" s="8"/>
      <c r="G7" s="8"/>
      <c r="H7" s="8"/>
      <c r="I7" s="8"/>
      <c r="J7" s="8"/>
      <c r="K7" s="8"/>
      <c r="L7" s="8"/>
      <c r="M7" s="8"/>
      <c r="N7" s="8"/>
      <c r="O7" s="8"/>
      <c r="AS7" s="9" t="s">
        <v>526</v>
      </c>
      <c r="AT7" s="9" t="s">
        <v>527</v>
      </c>
      <c r="AW7" s="9" t="s">
        <v>530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519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533</v>
      </c>
      <c r="D3" s="5" t="s">
        <v>9</v>
      </c>
      <c r="E3" s="23" t="s">
        <v>534</v>
      </c>
      <c r="F3" s="5" t="s">
        <v>522</v>
      </c>
      <c r="G3" s="14" t="s">
        <v>523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31"/>
      <c r="C5" s="31"/>
      <c r="D5" s="31"/>
      <c r="E5" s="31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 t="s">
        <v>535</v>
      </c>
      <c r="C6" s="8"/>
      <c r="D6" s="13" t="s">
        <v>536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519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537</v>
      </c>
      <c r="D3" s="5" t="s">
        <v>9</v>
      </c>
      <c r="E3" s="23" t="s">
        <v>534</v>
      </c>
      <c r="F3" s="5" t="s">
        <v>522</v>
      </c>
      <c r="G3" s="14" t="s">
        <v>523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 t="str">
        <f>IFERROR(__xludf.DUMMYFUNCTION("""COMPUTED_VALUE"""),"RefreshExpnlUi")</f>
        <v>RefreshExpnlUi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31"/>
      <c r="C5" s="31"/>
      <c r="D5" s="31"/>
      <c r="E5" s="31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 t="s">
        <v>535</v>
      </c>
      <c r="C6" s="8"/>
      <c r="D6" s="13" t="s">
        <v>536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RestartExpnl!$4:$4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