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  <sheet state="visible" name="CalculatePTT2" sheetId="12" r:id="rId14"/>
    <sheet state="visible" name="VerifyPTT2" sheetId="13" r:id="rId15"/>
  </sheets>
  <definedNames/>
  <calcPr/>
</workbook>
</file>

<file path=xl/sharedStrings.xml><?xml version="1.0" encoding="utf-8"?>
<sst xmlns="http://schemas.openxmlformats.org/spreadsheetml/2006/main" count="126" uniqueCount="40">
  <si>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</si>
  <si>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</si>
  <si>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</si>
  <si>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</si>
  <si>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</si>
  <si>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</si>
  <si>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</si>
  <si>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</si>
  <si>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</si>
  <si>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</si>
  <si>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</si>
  <si>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</si>
  <si>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</si>
  <si>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</si>
  <si>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</si>
  <si>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</si>
  <si>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</si>
  <si>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</si>
  <si>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</si>
  <si>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</si>
  <si>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TSLA</t>
  </si>
  <si>
    <t>Sell short</t>
  </si>
  <si>
    <t>Allocation2</t>
  </si>
  <si>
    <t>PricingInput</t>
  </si>
  <si>
    <t>DailyValuation</t>
  </si>
  <si>
    <t>GetDailyCash</t>
  </si>
  <si>
    <t>UpdateMultipleDailyCash</t>
  </si>
  <si>
    <t>USD</t>
  </si>
  <si>
    <t>Allocation4</t>
  </si>
  <si>
    <t>PTT</t>
  </si>
  <si>
    <t>CalculatePTT</t>
  </si>
  <si>
    <t>Set</t>
  </si>
  <si>
    <t>Percentage</t>
  </si>
  <si>
    <t>No</t>
  </si>
  <si>
    <t>MasterFund</t>
  </si>
  <si>
    <t>NewMF</t>
  </si>
  <si>
    <t>VerifyPTT</t>
  </si>
  <si>
    <t>NewMF1</t>
  </si>
  <si>
    <t>Buy to Close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</si>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</sst>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31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3"/>
      <c r="H6" s="33"/>
      <c r="I6" s="33"/>
      <c r="J6" s="32">
        <v>10.0</v>
      </c>
      <c r="K6" s="33"/>
      <c r="L6" s="8"/>
      <c r="M6" s="8"/>
      <c r="N6" s="8"/>
      <c r="O6" s="8"/>
    </row>
    <row r="7" ht="15.75" customHeight="1">
      <c r="A7" s="8"/>
      <c r="B7" s="31" t="s">
        <v>16</v>
      </c>
      <c r="C7" s="31" t="s">
        <v>17</v>
      </c>
      <c r="D7" s="32">
        <v>100.0</v>
      </c>
      <c r="E7" s="32">
        <v>100.0</v>
      </c>
      <c r="F7" s="31" t="s">
        <v>19</v>
      </c>
      <c r="G7" s="33"/>
      <c r="H7" s="33"/>
      <c r="I7" s="33"/>
      <c r="J7" s="32">
        <v>10.0</v>
      </c>
      <c r="K7" s="33"/>
      <c r="L7" s="8"/>
      <c r="M7" s="8"/>
      <c r="N7" s="8"/>
      <c r="O7" s="8"/>
    </row>
    <row r="8" ht="15.75" customHeight="1">
      <c r="A8" s="34"/>
      <c r="B8" s="35" t="s">
        <v>20</v>
      </c>
      <c r="C8" s="35" t="s">
        <v>21</v>
      </c>
      <c r="D8" s="36">
        <v>100000.0</v>
      </c>
      <c r="E8" s="36">
        <v>100000.0</v>
      </c>
      <c r="F8" s="37" t="s">
        <v>22</v>
      </c>
      <c r="G8" s="34"/>
      <c r="H8" s="34"/>
      <c r="I8" s="34"/>
      <c r="J8" s="36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</row>
    <row r="9" ht="15.75" customHeight="1">
      <c r="A9" s="34"/>
      <c r="B9" s="35" t="s">
        <v>20</v>
      </c>
      <c r="C9" s="35" t="s">
        <v>17</v>
      </c>
      <c r="D9" s="36">
        <v>100.0</v>
      </c>
      <c r="E9" s="36">
        <v>100.0</v>
      </c>
      <c r="F9" s="37" t="s">
        <v>22</v>
      </c>
      <c r="G9" s="34"/>
      <c r="H9" s="34"/>
      <c r="I9" s="34"/>
      <c r="J9" s="36">
        <v>140.0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</row>
    <row r="10" ht="15.75" customHeight="1">
      <c r="A10" s="34"/>
      <c r="B10" s="34"/>
      <c r="C10" s="34"/>
      <c r="D10" s="36"/>
      <c r="E10" s="36"/>
      <c r="F10" s="34"/>
      <c r="G10" s="34"/>
      <c r="H10" s="34"/>
      <c r="I10" s="34"/>
      <c r="J10" s="36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</row>
    <row r="11" ht="15.75" customHeight="1">
      <c r="A11" s="34"/>
      <c r="B11" s="34"/>
      <c r="C11" s="34"/>
      <c r="D11" s="36"/>
      <c r="E11" s="36"/>
      <c r="F11" s="34"/>
      <c r="G11" s="34"/>
      <c r="H11" s="34"/>
      <c r="I11" s="34"/>
      <c r="J11" s="36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20</v>
      </c>
      <c r="C6" s="36">
        <v>140.0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16</v>
      </c>
      <c r="C7" s="32">
        <v>140.0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f t="shared" ref="B6:C6" si="1">today()-1</f>
        <v>45851</v>
      </c>
      <c r="C6" s="41">
        <f t="shared" si="1"/>
        <v>45851</v>
      </c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1" t="s">
        <v>27</v>
      </c>
      <c r="D6" s="32">
        <v>10000.0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19</v>
      </c>
      <c r="C7" s="31" t="s">
        <v>27</v>
      </c>
      <c r="D7" s="3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34" t="s">
        <v>27</v>
      </c>
      <c r="D8" s="36">
        <v>1.4E7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28</v>
      </c>
      <c r="C9" s="34" t="s">
        <v>27</v>
      </c>
      <c r="D9" s="36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1" t="s">
        <v>16</v>
      </c>
      <c r="C6" s="31" t="s">
        <v>31</v>
      </c>
      <c r="D6" s="31" t="s">
        <v>32</v>
      </c>
      <c r="E6" s="32">
        <v>0.0</v>
      </c>
      <c r="F6" s="33"/>
      <c r="G6" s="31" t="s">
        <v>33</v>
      </c>
      <c r="H6" s="31" t="s">
        <v>34</v>
      </c>
      <c r="I6" s="31" t="s">
        <v>35</v>
      </c>
      <c r="J6" s="44"/>
      <c r="K6" s="31" t="s">
        <v>33</v>
      </c>
      <c r="L6" s="33"/>
      <c r="M6" s="33"/>
      <c r="N6" s="33"/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5"/>
      <c r="D6" s="46">
        <v>200.0</v>
      </c>
      <c r="E6" s="46">
        <v>28000.0</v>
      </c>
      <c r="F6" s="46"/>
      <c r="G6" s="46"/>
      <c r="H6" s="46">
        <v>0.0</v>
      </c>
      <c r="I6" s="46">
        <v>200.0</v>
      </c>
      <c r="J6" s="46">
        <v>0.0</v>
      </c>
      <c r="K6" s="46">
        <v>0.0</v>
      </c>
      <c r="L6" s="46">
        <v>100.0</v>
      </c>
      <c r="M6" s="46">
        <v>1.0</v>
      </c>
      <c r="N6" s="33"/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20</v>
      </c>
      <c r="C6" s="35" t="s">
        <v>31</v>
      </c>
      <c r="D6" s="38" t="s">
        <v>32</v>
      </c>
      <c r="E6" s="36">
        <v>25.0</v>
      </c>
      <c r="F6" s="34"/>
      <c r="G6" s="34" t="s">
        <v>33</v>
      </c>
      <c r="H6" s="34" t="s">
        <v>34</v>
      </c>
      <c r="I6" s="42" t="s">
        <v>37</v>
      </c>
      <c r="J6" s="34"/>
      <c r="K6" s="34" t="s">
        <v>33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4"/>
      <c r="D6" s="47">
        <v>-99900.0</v>
      </c>
      <c r="E6" s="48">
        <v>1.3986E7</v>
      </c>
      <c r="F6" s="48">
        <v>6660.0</v>
      </c>
      <c r="G6" s="48">
        <v>-6635.0</v>
      </c>
      <c r="H6" s="48">
        <v>25.0</v>
      </c>
      <c r="I6" s="48">
        <v>99525.0</v>
      </c>
      <c r="J6" s="48">
        <v>-375.0</v>
      </c>
      <c r="K6" s="48">
        <v>52500.0</v>
      </c>
      <c r="L6" s="48">
        <v>100.0</v>
      </c>
      <c r="M6" s="48">
        <v>1.0</v>
      </c>
      <c r="N6" s="34"/>
      <c r="O6" s="34"/>
      <c r="P6" s="34"/>
      <c r="Q6" s="34"/>
      <c r="R6" s="49" t="s">
        <v>38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20</v>
      </c>
      <c r="C6" s="34" t="s">
        <v>39</v>
      </c>
      <c r="D6" s="38" t="s">
        <v>32</v>
      </c>
      <c r="E6" s="36">
        <v>25.0</v>
      </c>
      <c r="F6" s="34"/>
      <c r="G6" s="34" t="s">
        <v>33</v>
      </c>
      <c r="H6" s="34" t="s">
        <v>34</v>
      </c>
      <c r="I6" s="42" t="s">
        <v>37</v>
      </c>
      <c r="J6" s="34"/>
      <c r="K6" s="34" t="s">
        <v>33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4"/>
      <c r="D6" s="47">
        <v>-99900.0</v>
      </c>
      <c r="E6" s="48">
        <v>1.3986E7</v>
      </c>
      <c r="F6" s="48">
        <v>6660.0</v>
      </c>
      <c r="G6" s="48">
        <v>25.0</v>
      </c>
      <c r="H6" s="48">
        <v>6685.0</v>
      </c>
      <c r="I6" s="48">
        <v>375.0</v>
      </c>
      <c r="J6" s="48">
        <v>-100275.0</v>
      </c>
      <c r="K6" s="48">
        <v>1.40385E7</v>
      </c>
      <c r="L6" s="48">
        <v>100.0</v>
      </c>
      <c r="M6" s="48">
        <v>1.0</v>
      </c>
      <c r="N6" s="34"/>
      <c r="O6" s="34"/>
      <c r="P6" s="34"/>
      <c r="Q6" s="34"/>
      <c r="R6" s="49" t="s">
        <v>21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