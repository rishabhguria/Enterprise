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locationPreferences" sheetId="4" r:id="rId6"/>
    <sheet state="visible" name="SetGeneralPreferences" sheetId="5" r:id="rId7"/>
    <sheet state="visible" name="CreateDoneAwayOrder" sheetId="6" r:id="rId8"/>
    <sheet state="visible" name="GetDataClosing" sheetId="7" r:id="rId9"/>
    <sheet state="visible" name="SelectTradeUnexpiredUnsettled" sheetId="8" r:id="rId10"/>
    <sheet state="visible" name="ExerciseAssignment" sheetId="9" r:id="rId11"/>
    <sheet state="visible" name="CreateDoneAwayOrder1" sheetId="10" r:id="rId12"/>
    <sheet state="visible" name="GetDataClosing1" sheetId="11" r:id="rId13"/>
    <sheet state="visible" name="AutomaticClosing" sheetId="12" r:id="rId14"/>
    <sheet state="visible" name="SelectAllocatedGroup" sheetId="13" r:id="rId15"/>
    <sheet state="visible" name="ReviewExistingPositions" sheetId="14" r:id="rId16"/>
    <sheet state="visible" name="CheckPortfolioManagement" sheetId="15" r:id="rId17"/>
    <sheet state="visible" name="GetDataClosing2" sheetId="16" r:id="rId18"/>
    <sheet state="visible" name="UnwindClosing" sheetId="17" r:id="rId19"/>
    <sheet state="visible" name="GetDataClosing3" sheetId="18" r:id="rId20"/>
    <sheet state="visible" name="UnwindClosing1" sheetId="19" r:id="rId21"/>
    <sheet state="visible" name="SelectAllocatedGroup1" sheetId="20" r:id="rId22"/>
    <sheet state="visible" name="ReviewExistingPositions1" sheetId="21" r:id="rId23"/>
    <sheet state="visible" name="CheckPortfolioManagement1" sheetId="22" r:id="rId24"/>
  </sheets>
  <definedNames/>
  <calcPr/>
</workbook>
</file>

<file path=xl/sharedStrings.xml><?xml version="1.0" encoding="utf-8"?>
<sst xmlns="http://schemas.openxmlformats.org/spreadsheetml/2006/main" count="266" uniqueCount="52">
  <si>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</si>
  <si>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</si>
  <si>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</si>
  <si>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</si>
  <si>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</si>
  <si>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</si>
  <si>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</si>
  <si>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</si>
  <si>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</si>
  <si>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</si>
  <si>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</si>
  <si>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</si>
  <si>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</si>
  <si>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SetAllocationPreferences</t>
  </si>
  <si>
    <t>Data Format</t>
  </si>
  <si>
    <t>Input Format</t>
  </si>
  <si>
    <t>Allocation</t>
  </si>
  <si>
    <t>SetGeneralPreferences</t>
  </si>
  <si>
    <t>TradingTicket</t>
  </si>
  <si>
    <t>CreateDoneAwayOrder</t>
  </si>
  <si>
    <t>O:RIG 11S62.50</t>
  </si>
  <si>
    <t>Buy to Open</t>
  </si>
  <si>
    <t>Allocation1</t>
  </si>
  <si>
    <t>Yes</t>
  </si>
  <si>
    <t>Closing</t>
  </si>
  <si>
    <t>GetDataClosing</t>
  </si>
  <si>
    <t>Current</t>
  </si>
  <si>
    <t>SelectTradeUnexpiredUnsettled</t>
  </si>
  <si>
    <t>ExerciseAssignment</t>
  </si>
  <si>
    <t>RIG</t>
  </si>
  <si>
    <t>Sell short</t>
  </si>
  <si>
    <t>Buy to Close</t>
  </si>
  <si>
    <t>AutomaticClosing</t>
  </si>
  <si>
    <t>FIFO</t>
  </si>
  <si>
    <t>SelectAllocatedGroup</t>
  </si>
  <si>
    <t>ReviewExistingPositions</t>
  </si>
  <si>
    <t>PortfolioManagement</t>
  </si>
  <si>
    <t>CheckPortfolioManagement</t>
  </si>
  <si>
    <t>NewMF</t>
  </si>
  <si>
    <t>Long</t>
  </si>
  <si>
    <t>Strategy Unallocated</t>
  </si>
  <si>
    <t>EquityOption</t>
  </si>
  <si>
    <t>US</t>
  </si>
  <si>
    <t>OPTS</t>
  </si>
  <si>
    <t>USD</t>
  </si>
  <si>
    <t>jpearce</t>
  </si>
  <si>
    <t>MS</t>
  </si>
  <si>
    <t>Sell to Close</t>
  </si>
  <si>
    <t>Short</t>
  </si>
  <si>
    <t>Equity</t>
  </si>
  <si>
    <t>NYSE</t>
  </si>
  <si>
    <t>UnwindClosing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</si>
</sst>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IFERROR(__xludf.DUMMYFUNCTION("""COMPUTED_VALUE"""),"CompanyId")</f>
        <v>CompanyId</v>
      </c>
      <c r="C5" s="28" t="str">
        <f>IFERROR(__xludf.DUMMYFUNCTION("""COMPUTED_VALUE"""),"AutoGroup")</f>
        <v>AutoGroup</v>
      </c>
      <c r="D5" s="28" t="str">
        <f>IFERROR(__xludf.DUMMYFUNCTION("""COMPUTED_VALUE"""),"TradeAttribute1")</f>
        <v>TradeAttribute1</v>
      </c>
      <c r="E5" s="28" t="str">
        <f>IFERROR(__xludf.DUMMYFUNCTION("""COMPUTED_VALUE"""),"TradeAttribute2")</f>
        <v>TradeAttribute2</v>
      </c>
      <c r="F5" s="29" t="str">
        <f>IFERROR(__xludf.DUMMYFUNCTION("""COMPUTED_VALUE"""),"TradeAttribute3")</f>
        <v>TradeAttribute3</v>
      </c>
      <c r="G5" s="28" t="str">
        <f>IFERROR(__xludf.DUMMYFUNCTION("""COMPUTED_VALUE"""),"TradeAttribute4")</f>
        <v>TradeAttribute4</v>
      </c>
      <c r="H5" s="28" t="str">
        <f>IFERROR(__xludf.DUMMYFUNCTION("""COMPUTED_VALUE"""),"TradeAttribute5")</f>
        <v>TradeAttribute5</v>
      </c>
      <c r="I5" s="28" t="str">
        <f>IFERROR(__xludf.DUMMYFUNCTION("""COMPUTED_VALUE"""),"TradeAttribute6")</f>
        <v>TradeAttribute6</v>
      </c>
      <c r="J5" s="28" t="str">
        <f>IFERROR(__xludf.DUMMYFUNCTION("""COMPUTED_VALUE"""),"Broker")</f>
        <v>Broker</v>
      </c>
      <c r="K5" s="28" t="str">
        <f>IFERROR(__xludf.DUMMYFUNCTION("""COMPUTED_VALUE"""),"Venue")</f>
        <v>Venue</v>
      </c>
      <c r="L5" s="28" t="str">
        <f>IFERROR(__xludf.DUMMYFUNCTION("""COMPUTED_VALUE"""),"TradingAC")</f>
        <v>TradingAC</v>
      </c>
      <c r="M5" s="28" t="str">
        <f>IFERROR(__xludf.DUMMYFUNCTION("""COMPUTED_VALUE"""),"TradeDate")</f>
        <v>TradeDate</v>
      </c>
      <c r="N5" s="28" t="str">
        <f>IFERROR(__xludf.DUMMYFUNCTION("""COMPUTED_VALUE"""),"ProcessDate")</f>
        <v>ProcessDate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5.0</v>
      </c>
      <c r="C6" s="13">
        <v>1.0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SetAllocationPreferences!$4:$4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20</v>
      </c>
      <c r="C6" s="13" t="s">
        <v>21</v>
      </c>
      <c r="D6" s="13">
        <v>10.0</v>
      </c>
      <c r="E6" s="31"/>
      <c r="F6" s="13" t="s">
        <v>22</v>
      </c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30</v>
      </c>
      <c r="D6" s="13">
        <v>1000.0</v>
      </c>
      <c r="E6" s="31"/>
      <c r="F6" s="13" t="s">
        <v>22</v>
      </c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23</v>
      </c>
    </row>
    <row r="7" ht="15.75" customHeight="1">
      <c r="A7" s="8"/>
      <c r="B7" s="13" t="s">
        <v>29</v>
      </c>
      <c r="C7" s="13" t="s">
        <v>31</v>
      </c>
      <c r="D7" s="13">
        <v>500.0</v>
      </c>
      <c r="E7" s="8"/>
      <c r="F7" s="13" t="s">
        <v>22</v>
      </c>
      <c r="G7" s="8"/>
      <c r="H7" s="8"/>
      <c r="I7" s="8"/>
      <c r="J7" s="13">
        <v>1.0</v>
      </c>
      <c r="K7" s="8"/>
      <c r="L7" s="8"/>
      <c r="M7" s="8"/>
      <c r="N7" s="8"/>
      <c r="O7" s="8"/>
      <c r="AQ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b">
        <v>0</v>
      </c>
      <c r="C6" s="33" t="b">
        <v>1</v>
      </c>
      <c r="D6" s="34" t="s">
        <v>33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>
        <v>500.0</v>
      </c>
      <c r="D6" s="13"/>
      <c r="E6" s="13" t="s">
        <v>22</v>
      </c>
      <c r="F6" s="13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22</v>
      </c>
      <c r="D6" s="13">
        <v>-1500.0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35" t="s">
        <v>20</v>
      </c>
      <c r="D6" s="36">
        <v>10.0</v>
      </c>
      <c r="E6" s="35" t="s">
        <v>22</v>
      </c>
      <c r="F6" s="35" t="s">
        <v>38</v>
      </c>
      <c r="G6" s="36">
        <v>1.0</v>
      </c>
      <c r="H6" s="35" t="s">
        <v>39</v>
      </c>
      <c r="I6" s="8"/>
      <c r="J6" s="8"/>
      <c r="K6" s="8"/>
      <c r="L6" s="8"/>
      <c r="M6" s="8"/>
      <c r="N6" s="37">
        <v>-1000.0</v>
      </c>
      <c r="O6" s="8"/>
      <c r="S6" s="35" t="s">
        <v>40</v>
      </c>
      <c r="T6" s="35" t="s">
        <v>41</v>
      </c>
      <c r="U6" s="35" t="s">
        <v>42</v>
      </c>
      <c r="V6" s="35" t="s">
        <v>43</v>
      </c>
      <c r="W6" s="35" t="s">
        <v>44</v>
      </c>
      <c r="X6" s="36">
        <v>100.0</v>
      </c>
      <c r="Y6" s="36">
        <v>1.0</v>
      </c>
      <c r="AN6" s="35" t="s">
        <v>21</v>
      </c>
      <c r="BQ6" s="35" t="s">
        <v>45</v>
      </c>
      <c r="BR6" s="35" t="s">
        <v>46</v>
      </c>
    </row>
    <row r="7" ht="15.75" customHeight="1">
      <c r="A7" s="8"/>
      <c r="B7" s="8"/>
      <c r="C7" s="35" t="s">
        <v>20</v>
      </c>
      <c r="D7" s="36">
        <v>-10.0</v>
      </c>
      <c r="E7" s="35" t="s">
        <v>22</v>
      </c>
      <c r="F7" s="35" t="s">
        <v>38</v>
      </c>
      <c r="G7" s="36">
        <v>0.0</v>
      </c>
      <c r="H7" s="35" t="s">
        <v>39</v>
      </c>
      <c r="I7" s="8"/>
      <c r="J7" s="8"/>
      <c r="K7" s="8"/>
      <c r="L7" s="8"/>
      <c r="M7" s="8"/>
      <c r="N7" s="36">
        <v>0.0</v>
      </c>
      <c r="O7" s="8"/>
      <c r="S7" s="35" t="s">
        <v>40</v>
      </c>
      <c r="T7" s="35" t="s">
        <v>41</v>
      </c>
      <c r="U7" s="35" t="s">
        <v>42</v>
      </c>
      <c r="V7" s="35" t="s">
        <v>43</v>
      </c>
      <c r="W7" s="35" t="s">
        <v>44</v>
      </c>
      <c r="X7" s="36">
        <v>100.0</v>
      </c>
      <c r="Y7" s="36">
        <v>1.0</v>
      </c>
      <c r="AN7" s="35" t="s">
        <v>47</v>
      </c>
      <c r="BQ7" s="35" t="s">
        <v>45</v>
      </c>
      <c r="BR7" s="35" t="s">
        <v>46</v>
      </c>
    </row>
    <row r="8" ht="15.75" customHeight="1">
      <c r="A8" s="8"/>
      <c r="B8" s="8"/>
      <c r="C8" s="35" t="s">
        <v>29</v>
      </c>
      <c r="D8" s="37">
        <v>-1000.0</v>
      </c>
      <c r="E8" s="35" t="s">
        <v>22</v>
      </c>
      <c r="F8" s="35" t="s">
        <v>38</v>
      </c>
      <c r="G8" s="36">
        <v>100.0</v>
      </c>
      <c r="H8" s="35" t="s">
        <v>48</v>
      </c>
      <c r="I8" s="8"/>
      <c r="J8" s="8"/>
      <c r="K8" s="8"/>
      <c r="L8" s="8"/>
      <c r="M8" s="8"/>
      <c r="N8" s="37">
        <v>100000.0</v>
      </c>
      <c r="O8" s="8"/>
      <c r="S8" s="35" t="s">
        <v>40</v>
      </c>
      <c r="T8" s="35" t="s">
        <v>49</v>
      </c>
      <c r="U8" s="35" t="s">
        <v>42</v>
      </c>
      <c r="V8" s="35" t="s">
        <v>50</v>
      </c>
      <c r="W8" s="35" t="s">
        <v>44</v>
      </c>
      <c r="X8" s="36">
        <v>1.0</v>
      </c>
      <c r="Y8" s="36">
        <v>1.0</v>
      </c>
      <c r="AN8" s="35" t="s">
        <v>30</v>
      </c>
      <c r="BQ8" s="35" t="s">
        <v>45</v>
      </c>
      <c r="BR8" s="35" t="s">
        <v>46</v>
      </c>
    </row>
    <row r="9" ht="15.75" customHeight="1">
      <c r="A9" s="8"/>
      <c r="B9" s="8"/>
      <c r="C9" s="35" t="s">
        <v>29</v>
      </c>
      <c r="D9" s="37">
        <v>-1000.0</v>
      </c>
      <c r="E9" s="35" t="s">
        <v>22</v>
      </c>
      <c r="F9" s="35" t="s">
        <v>38</v>
      </c>
      <c r="G9" s="36">
        <v>1.0</v>
      </c>
      <c r="H9" s="35" t="s">
        <v>48</v>
      </c>
      <c r="I9" s="8"/>
      <c r="J9" s="8"/>
      <c r="K9" s="8"/>
      <c r="L9" s="8"/>
      <c r="M9" s="8"/>
      <c r="N9" s="37">
        <v>1000.0</v>
      </c>
      <c r="O9" s="8"/>
      <c r="S9" s="35" t="s">
        <v>40</v>
      </c>
      <c r="T9" s="35" t="s">
        <v>49</v>
      </c>
      <c r="U9" s="35" t="s">
        <v>42</v>
      </c>
      <c r="V9" s="35" t="s">
        <v>50</v>
      </c>
      <c r="W9" s="35" t="s">
        <v>44</v>
      </c>
      <c r="X9" s="36">
        <v>1.0</v>
      </c>
      <c r="Y9" s="36">
        <v>1.0</v>
      </c>
      <c r="AN9" s="35" t="s">
        <v>30</v>
      </c>
      <c r="BQ9" s="35" t="s">
        <v>45</v>
      </c>
      <c r="BR9" s="35" t="s">
        <v>46</v>
      </c>
    </row>
    <row r="10" ht="15.75" customHeight="1">
      <c r="A10" s="8"/>
      <c r="B10" s="8"/>
      <c r="C10" s="35" t="s">
        <v>29</v>
      </c>
      <c r="D10" s="36">
        <v>500.0</v>
      </c>
      <c r="E10" s="35" t="s">
        <v>22</v>
      </c>
      <c r="F10" s="35" t="s">
        <v>38</v>
      </c>
      <c r="G10" s="36">
        <v>1.0</v>
      </c>
      <c r="H10" s="35" t="s">
        <v>48</v>
      </c>
      <c r="I10" s="8"/>
      <c r="J10" s="8"/>
      <c r="K10" s="8"/>
      <c r="L10" s="8"/>
      <c r="M10" s="8"/>
      <c r="N10" s="36">
        <v>-500.0</v>
      </c>
      <c r="O10" s="8"/>
      <c r="S10" s="35" t="s">
        <v>40</v>
      </c>
      <c r="T10" s="35" t="s">
        <v>49</v>
      </c>
      <c r="U10" s="35" t="s">
        <v>42</v>
      </c>
      <c r="V10" s="35" t="s">
        <v>50</v>
      </c>
      <c r="W10" s="35" t="s">
        <v>44</v>
      </c>
      <c r="X10" s="36">
        <v>1.0</v>
      </c>
      <c r="Y10" s="36">
        <v>1.0</v>
      </c>
      <c r="AN10" s="35" t="s">
        <v>31</v>
      </c>
      <c r="BQ10" s="35" t="s">
        <v>45</v>
      </c>
      <c r="BR10" s="35" t="s">
        <v>46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1"/>
      <c r="F6" s="8"/>
      <c r="G6" s="8"/>
      <c r="H6" s="13" t="s">
        <v>29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UnwindClosing!$4:$4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1"/>
      <c r="F6" s="8"/>
      <c r="G6" s="8"/>
      <c r="H6" s="9" t="s">
        <v>20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>
        <v>500.0</v>
      </c>
      <c r="D6" s="13"/>
      <c r="E6" s="13" t="s">
        <v>22</v>
      </c>
      <c r="F6" s="13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22</v>
      </c>
      <c r="D6" s="13">
        <v>-500.0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ReviewExistingPositions1!$4:$4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0" width="19.88"/>
    <col customWidth="1" min="11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35" t="s">
        <v>20</v>
      </c>
      <c r="D6" s="36">
        <v>10.0</v>
      </c>
      <c r="E6" s="13" t="s">
        <v>22</v>
      </c>
      <c r="F6" s="35" t="s">
        <v>38</v>
      </c>
      <c r="H6" s="35" t="s">
        <v>39</v>
      </c>
      <c r="I6" s="8"/>
      <c r="J6" s="8"/>
      <c r="K6" s="8"/>
      <c r="L6" s="8"/>
      <c r="M6" s="8"/>
      <c r="N6" s="37">
        <v>-1000.0</v>
      </c>
      <c r="O6" s="8"/>
      <c r="S6" s="35" t="s">
        <v>40</v>
      </c>
      <c r="T6" s="35" t="s">
        <v>41</v>
      </c>
      <c r="U6" s="35" t="s">
        <v>42</v>
      </c>
      <c r="V6" s="35" t="s">
        <v>43</v>
      </c>
      <c r="W6" s="35" t="s">
        <v>44</v>
      </c>
      <c r="X6" s="36">
        <v>100.0</v>
      </c>
      <c r="Y6" s="36">
        <v>1.0</v>
      </c>
      <c r="AN6" s="35" t="s">
        <v>21</v>
      </c>
    </row>
    <row r="7" ht="15.75" customHeight="1">
      <c r="A7" s="8"/>
      <c r="B7" s="8"/>
      <c r="C7" s="35" t="s">
        <v>29</v>
      </c>
      <c r="D7" s="37">
        <v>-1000.0</v>
      </c>
      <c r="E7" s="13" t="s">
        <v>22</v>
      </c>
      <c r="F7" s="35" t="s">
        <v>38</v>
      </c>
      <c r="H7" s="35" t="s">
        <v>48</v>
      </c>
      <c r="I7" s="8"/>
      <c r="J7" s="8"/>
      <c r="K7" s="8"/>
      <c r="L7" s="8"/>
      <c r="M7" s="8"/>
      <c r="N7" s="37">
        <v>1000.0</v>
      </c>
      <c r="O7" s="8"/>
      <c r="S7" s="35" t="s">
        <v>40</v>
      </c>
      <c r="T7" s="35" t="s">
        <v>49</v>
      </c>
      <c r="U7" s="35" t="s">
        <v>42</v>
      </c>
      <c r="V7" s="35" t="s">
        <v>50</v>
      </c>
      <c r="W7" s="35" t="s">
        <v>44</v>
      </c>
      <c r="X7" s="36">
        <v>1.0</v>
      </c>
      <c r="Y7" s="36">
        <v>1.0</v>
      </c>
      <c r="AN7" s="35" t="s">
        <v>30</v>
      </c>
    </row>
    <row r="8" ht="15.75" customHeight="1">
      <c r="A8" s="8"/>
      <c r="B8" s="8"/>
      <c r="C8" s="35" t="s">
        <v>29</v>
      </c>
      <c r="D8" s="36">
        <v>500.0</v>
      </c>
      <c r="E8" s="13" t="s">
        <v>22</v>
      </c>
      <c r="F8" s="35" t="s">
        <v>38</v>
      </c>
      <c r="H8" s="35" t="s">
        <v>48</v>
      </c>
      <c r="I8" s="8"/>
      <c r="J8" s="8"/>
      <c r="K8" s="8"/>
      <c r="L8" s="8"/>
      <c r="M8" s="8"/>
      <c r="N8" s="36">
        <v>-500.0</v>
      </c>
      <c r="O8" s="8"/>
      <c r="S8" s="35" t="s">
        <v>40</v>
      </c>
      <c r="T8" s="35" t="s">
        <v>49</v>
      </c>
      <c r="U8" s="35" t="s">
        <v>42</v>
      </c>
      <c r="V8" s="35" t="s">
        <v>50</v>
      </c>
      <c r="W8" s="35" t="s">
        <v>44</v>
      </c>
      <c r="X8" s="36">
        <v>1.0</v>
      </c>
      <c r="Y8" s="36">
        <v>1.0</v>
      </c>
      <c r="AN8" s="35" t="s">
        <v>31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