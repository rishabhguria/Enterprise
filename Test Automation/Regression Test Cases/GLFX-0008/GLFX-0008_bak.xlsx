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ForexConversion" sheetId="4" r:id="rId6"/>
    <sheet state="visible" name="UpdateForexConversionMonthly" sheetId="5" r:id="rId7"/>
    <sheet state="visible" name="CreateDoneAwayOrder" sheetId="6" r:id="rId8"/>
    <sheet state="visible" name="GetForexConversion1" sheetId="7" r:id="rId9"/>
    <sheet state="visible" name="UpdateForexConversionMonthly1" sheetId="8" r:id="rId10"/>
    <sheet state="visible" name="GetForwardPoints" sheetId="9" r:id="rId11"/>
    <sheet state="visible" name="UpdateForwardPoints" sheetId="10" r:id="rId12"/>
    <sheet state="visible" name="GetForwardPoints1" sheetId="11" r:id="rId13"/>
    <sheet state="visible" name="UpdateForwardPoints1" sheetId="12" r:id="rId14"/>
    <sheet state="visible" name="GetForwardPoints2" sheetId="13" r:id="rId15"/>
    <sheet state="visible" name="UpdateForwardPoints2" sheetId="14" r:id="rId16"/>
    <sheet state="visible" name="GetForwardPoints3" sheetId="15" r:id="rId17"/>
    <sheet state="visible" name="UpdateForwardPoints3" sheetId="16" r:id="rId18"/>
    <sheet state="visible" name="GetForwardPoints4" sheetId="17" r:id="rId19"/>
    <sheet state="visible" name="UpdateForwardPoints4" sheetId="18" r:id="rId20"/>
    <sheet state="visible" name="GetDataClosing" sheetId="19" r:id="rId21"/>
    <sheet state="visible" name="UpdateForwardPoints6" sheetId="20" r:id="rId22"/>
    <sheet state="visible" name="CashSettlementAtClosingDtSpotPx" sheetId="21" r:id="rId23"/>
    <sheet state="visible" name="VerifyExpiredSettledGrid" sheetId="22" r:id="rId24"/>
    <sheet state="visible" name="SelectTradeUnexpiredUnsettled" sheetId="23" r:id="rId25"/>
    <sheet state="visible" name="GetDataAllocation" sheetId="24" r:id="rId26"/>
    <sheet state="visible" name="CheckAllocatedGroups" sheetId="25" r:id="rId27"/>
    <sheet state="visible" name="GetTradingTransaction" sheetId="26" r:id="rId28"/>
    <sheet state="visible" name="VerifyTradingTransaction" sheetId="27" r:id="rId29"/>
    <sheet state="visible" name="RunRevaluation" sheetId="28" r:id="rId30"/>
    <sheet state="visible" name="GetRevaluationData" sheetId="29" r:id="rId31"/>
    <sheet state="visible" name="VerifyRevaluationData" sheetId="30" r:id="rId32"/>
    <sheet state="visible" name="GetForwardPoints5" sheetId="31" r:id="rId33"/>
    <sheet state="visible" name="UpdateForwardPoints5" sheetId="32" r:id="rId34"/>
    <sheet state="visible" name="GetForwardPoints6" sheetId="33" r:id="rId35"/>
  </sheets>
  <definedNames/>
  <calcPr/>
</workbook>
</file>

<file path=xl/sharedStrings.xml><?xml version="1.0" encoding="utf-8"?>
<sst xmlns="http://schemas.openxmlformats.org/spreadsheetml/2006/main" count="530" uniqueCount="56">
  <si>
    <t>Master Data Info</t>
  </si>
  <si>
    <t>Modules Info</t>
  </si>
  <si>
    <t>Settings</t>
  </si>
  <si>
    <t>Module Step Setting File</t>
  </si>
  <si>
    <t>Modules</t>
  </si>
  <si>
    <t>1BICZ_GcMhh_S937ZinFvSYqvvKYtOYB2Bc4woEPpgPg</t>
  </si>
  <si>
    <t>Master Data Settings File</t>
  </si>
  <si>
    <t>Module</t>
  </si>
  <si>
    <t>1Nt_rf5DtgjbN9Ag4AMMlUkZYROxKZLH5m54YOl7tRT0</t>
  </si>
  <si>
    <t>Step</t>
  </si>
  <si>
    <t>Master Data Sheet</t>
  </si>
  <si>
    <t>Data</t>
  </si>
  <si>
    <t>DailyValuation</t>
  </si>
  <si>
    <t>GetForexConversion</t>
  </si>
  <si>
    <t>Data Format</t>
  </si>
  <si>
    <t>Input Format</t>
  </si>
  <si>
    <t>UpdateForexConversionMonthly</t>
  </si>
  <si>
    <t>USD</t>
  </si>
  <si>
    <t>CAD</t>
  </si>
  <si>
    <t>CAD A0-FX</t>
  </si>
  <si>
    <t>TradingTicket</t>
  </si>
  <si>
    <t>CreateDoneAwayOrder</t>
  </si>
  <si>
    <t>USD/CAD 02/06/2019</t>
  </si>
  <si>
    <t>Sell</t>
  </si>
  <si>
    <t>Allocation1</t>
  </si>
  <si>
    <t>GetForwardPoints</t>
  </si>
  <si>
    <t>UpdateForwardPoints</t>
  </si>
  <si>
    <t>Closing</t>
  </si>
  <si>
    <t>GetDataClosing</t>
  </si>
  <si>
    <t>Historical</t>
  </si>
  <si>
    <t>SelectTradeUnexpiredUnsettled</t>
  </si>
  <si>
    <t>CashSettlementAtClosingDtSpotPx</t>
  </si>
  <si>
    <t>VerifyExpiredSettledGrid</t>
  </si>
  <si>
    <t>FXForward</t>
  </si>
  <si>
    <t>CashSettleinBaseCurrency</t>
  </si>
  <si>
    <t>Allocation</t>
  </si>
  <si>
    <t>GetDataAllocation</t>
  </si>
  <si>
    <t>CheckAllocatedGroups</t>
  </si>
  <si>
    <t>GeneralLedger</t>
  </si>
  <si>
    <t>GetTradingTransaction</t>
  </si>
  <si>
    <t>VerifyTradingTransaction</t>
  </si>
  <si>
    <t>NewMF</t>
  </si>
  <si>
    <t>DR</t>
  </si>
  <si>
    <t>Cash [Cash]</t>
  </si>
  <si>
    <t>CR</t>
  </si>
  <si>
    <t>FxForward Profit and Loss [Income]</t>
  </si>
  <si>
    <t>FXForward Addition Realized Profit And Loss [Income]</t>
  </si>
  <si>
    <t>RunRevaluation</t>
  </si>
  <si>
    <t>GetRevaluationData</t>
  </si>
  <si>
    <t>Buy</t>
  </si>
  <si>
    <t>VerifyRevaluationData</t>
  </si>
  <si>
    <t>FX Forward UnRealized Profit And Loss [Income]</t>
  </si>
  <si>
    <t>Revaluation</t>
  </si>
  <si>
    <t>Contra UnRealized PNL Entry</t>
  </si>
  <si>
    <t>FX Forward Short Revaluation [Liability]</t>
  </si>
  <si>
    <t>UnRealized PNL Entry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</si>
</sst>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Roboto"/>
    </font>
    <font>
      <sz val="11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1" numFmtId="0" xfId="0" applyAlignment="1" applyBorder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0" fillId="0" fontId="4" numFmtId="0" xfId="0" applyAlignment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7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164" xfId="0" applyAlignment="1" applyFont="1" applyNumberFormat="1">
      <alignment readingOrder="0" shrinkToFit="0" wrapText="0"/>
    </xf>
    <xf borderId="0" fillId="0" fontId="4" numFmtId="0" xfId="0" applyAlignment="1" applyFont="1">
      <alignment readingOrder="0" shrinkToFit="0" wrapText="0"/>
    </xf>
    <xf borderId="0" fillId="0" fontId="3" numFmtId="0" xfId="0" applyAlignment="1" applyFont="1">
      <alignment readingOrder="0"/>
    </xf>
    <xf borderId="0" fillId="6" fontId="13" numFmtId="0" xfId="0" applyAlignment="1" applyFill="1" applyFont="1">
      <alignment readingOrder="0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5" fillId="0" fontId="4" numFmtId="164" xfId="0" applyAlignment="1" applyBorder="1" applyFont="1" applyNumberFormat="1">
      <alignment horizontal="right" vertical="bottom"/>
    </xf>
    <xf borderId="5" fillId="0" fontId="4" numFmtId="0" xfId="0" applyAlignment="1" applyBorder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5" fillId="6" fontId="13" numFmtId="0" xfId="0" applyAlignment="1" applyBorder="1" applyFont="1">
      <alignment vertical="bottom"/>
    </xf>
    <xf borderId="5" fillId="0" fontId="4" numFmtId="0" xfId="0" applyAlignment="1" applyBorder="1" applyFont="1">
      <alignment horizontal="right" readingOrder="0" vertical="bottom"/>
    </xf>
    <xf borderId="5" fillId="6" fontId="1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6" fontId="1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6" fontId="14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7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5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7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9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52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4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6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1</v>
      </c>
      <c r="B1" s="4"/>
      <c r="C1" s="4"/>
      <c r="D1" s="4"/>
      <c r="E1" s="4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4</v>
      </c>
      <c r="B3" s="12"/>
      <c r="C3" s="13"/>
      <c r="D3" s="13"/>
      <c r="E3" s="13"/>
      <c r="F3" s="13"/>
    </row>
    <row r="4" ht="15.75" customHeight="1">
      <c r="A4" s="6" t="str">
        <f>IFERROR(__xludf.DUMMYFUNCTION("IMPORTRANGE('_Settings'!B3,""Modules!A4:L1000"")"),"Allocation")</f>
        <v>Allocation</v>
      </c>
      <c r="B4" s="7" t="str">
        <f>IFERROR(__xludf.DUMMYFUNCTION("""COMPUTED_VALUE"""),"Allocate")</f>
        <v>Allocate</v>
      </c>
      <c r="C4" s="7" t="str">
        <f>IFERROR(__xludf.DUMMYFUNCTION("""COMPUTED_VALUE"""),"1g8wLprruaWRC_5pQcovqkv8ZCiMt5fspCOACibdkz7g")</f>
        <v>1g8wLprruaWRC_5pQcovqkv8ZCiMt5fspCOACibdkz7g</v>
      </c>
      <c r="D4" s="7" t="str">
        <f>IFERROR(__xludf.DUMMYFUNCTION("""COMPUTED_VALUE"""),"")</f>
        <v/>
      </c>
      <c r="E4" s="7" t="str">
        <f>IFERROR(__xludf.DUMMYFUNCTION("""COMPUTED_VALUE"""),"")</f>
        <v/>
      </c>
      <c r="F4" s="7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7" t="str">
        <f>IFERROR(__xludf.DUMMYFUNCTION("""COMPUTED_VALUE"""),"CheckAllocatedGroups")</f>
        <v>CheckAllocatedGroups</v>
      </c>
      <c r="C5" s="7" t="str">
        <f>IFERROR(__xludf.DUMMYFUNCTION("""COMPUTED_VALUE"""),"1aecq-HMDoDkIInONjPC11z5TBFHyJhv4ro66e2ZOphg")</f>
        <v>1aecq-HMDoDkIInONjPC11z5TBFHyJhv4ro66e2ZOphg</v>
      </c>
      <c r="D5" s="7" t="str">
        <f>IFERROR(__xludf.DUMMYFUNCTION("""COMPUTED_VALUE"""),"")</f>
        <v/>
      </c>
      <c r="E5" s="7" t="str">
        <f>IFERROR(__xludf.DUMMYFUNCTION("""COMPUTED_VALUE"""),"")</f>
        <v/>
      </c>
      <c r="F5" s="7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7" t="str">
        <f>IFERROR(__xludf.DUMMYFUNCTION("""COMPUTED_VALUE"""),"Allocation")</f>
        <v>Allocation</v>
      </c>
      <c r="B6" s="7" t="str">
        <f>IFERROR(__xludf.DUMMYFUNCTION("""COMPUTED_VALUE"""),"Unallocate")</f>
        <v>Unallocate</v>
      </c>
      <c r="C6" s="7" t="str">
        <f>IFERROR(__xludf.DUMMYFUNCTION("""COMPUTED_VALUE"""),"1eDZq-_vllq4jwvwpk9qGnwQUhlb-sFvyFKPBriT2dA0")</f>
        <v>1eDZq-_vllq4jwvwpk9qGnwQUhlb-sFvyFKPBriT2dA0</v>
      </c>
      <c r="D6" s="7" t="str">
        <f>IFERROR(__xludf.DUMMYFUNCTION("""COMPUTED_VALUE"""),"")</f>
        <v/>
      </c>
      <c r="E6" s="7" t="str">
        <f>IFERROR(__xludf.DUMMYFUNCTION("""COMPUTED_VALUE"""),"")</f>
        <v/>
      </c>
      <c r="F6" s="7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7" t="str">
        <f>IFERROR(__xludf.DUMMYFUNCTION("""COMPUTED_VALUE"""),"Allocation")</f>
        <v>Allocation</v>
      </c>
      <c r="B7" s="7" t="str">
        <f>IFERROR(__xludf.DUMMYFUNCTION("""COMPUTED_VALUE"""),"GetDataAllocation")</f>
        <v>GetDataAllocation</v>
      </c>
      <c r="C7" s="7" t="str">
        <f>IFERROR(__xludf.DUMMYFUNCTION("""COMPUTED_VALUE"""),"1FBTO3wCB7odq-jpQMbYHgSrAL5-rFO2_kp9Kr2iXqXE")</f>
        <v>1FBTO3wCB7odq-jpQMbYHgSrAL5-rFO2_kp9Kr2iXqXE</v>
      </c>
      <c r="D7" s="7" t="str">
        <f>IFERROR(__xludf.DUMMYFUNCTION("""COMPUTED_VALUE"""),"")</f>
        <v/>
      </c>
      <c r="E7" s="7" t="str">
        <f>IFERROR(__xludf.DUMMYFUNCTION("""COMPUTED_VALUE"""),"")</f>
        <v/>
      </c>
      <c r="F7" s="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7" t="str">
        <f>IFERROR(__xludf.DUMMYFUNCTION("""COMPUTED_VALUE"""),"Allocation")</f>
        <v>Allocation</v>
      </c>
      <c r="B8" s="7" t="str">
        <f>IFERROR(__xludf.DUMMYFUNCTION("""COMPUTED_VALUE"""),"SelectAllocatedGroup")</f>
        <v>SelectAllocatedGroup</v>
      </c>
      <c r="C8" s="7" t="str">
        <f>IFERROR(__xludf.DUMMYFUNCTION("""COMPUTED_VALUE"""),"1G0ZkXDrIDX_loGmAyLs_Shy8hExtTELtFXERbX-HdPo")</f>
        <v>1G0ZkXDrIDX_loGmAyLs_Shy8hExtTELtFXERbX-HdPo</v>
      </c>
      <c r="D8" s="7" t="str">
        <f>IFERROR(__xludf.DUMMYFUNCTION("""COMPUTED_VALUE"""),"")</f>
        <v/>
      </c>
      <c r="E8" s="7" t="str">
        <f>IFERROR(__xludf.DUMMYFUNCTION("""COMPUTED_VALUE"""),"")</f>
        <v/>
      </c>
      <c r="F8" s="7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7" t="str">
        <f>IFERROR(__xludf.DUMMYFUNCTION("""COMPUTED_VALUE"""),"Allocation")</f>
        <v>Allocation</v>
      </c>
      <c r="B9" s="7" t="str">
        <f>IFERROR(__xludf.DUMMYFUNCTION("""COMPUTED_VALUE"""),"EditTradesAllocated")</f>
        <v>EditTradesAllocated</v>
      </c>
      <c r="C9" s="7" t="str">
        <f>IFERROR(__xludf.DUMMYFUNCTION("""COMPUTED_VALUE"""),"1YgVZ1jEVgjUF1Dp8FAj_W_zLEZCyqvNMlWJIg0Tmkq4")</f>
        <v>1YgVZ1jEVgjUF1Dp8FAj_W_zLEZCyqvNMlWJIg0Tmkq4</v>
      </c>
      <c r="D9" s="7" t="str">
        <f>IFERROR(__xludf.DUMMYFUNCTION("""COMPUTED_VALUE"""),"")</f>
        <v/>
      </c>
      <c r="E9" s="7" t="str">
        <f>IFERROR(__xludf.DUMMYFUNCTION("""COMPUTED_VALUE"""),"")</f>
        <v/>
      </c>
      <c r="F9" s="7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7" t="str">
        <f>IFERROR(__xludf.DUMMYFUNCTION("""COMPUTED_VALUE"""),"Allocation")</f>
        <v>Allocation</v>
      </c>
      <c r="B10" s="7" t="str">
        <f>IFERROR(__xludf.DUMMYFUNCTION("""COMPUTED_VALUE"""),"EditTradesUnallocated")</f>
        <v>EditTradesUnallocated</v>
      </c>
      <c r="C10" s="7" t="str">
        <f>IFERROR(__xludf.DUMMYFUNCTION("""COMPUTED_VALUE"""),"1MyB61T39MDAUyQqCUJLATzUT2f5UlE8nFq4ltWy_DJ4")</f>
        <v>1MyB61T39MDAUyQqCUJLATzUT2f5UlE8nFq4ltWy_DJ4</v>
      </c>
      <c r="D10" s="7" t="str">
        <f>IFERROR(__xludf.DUMMYFUNCTION("""COMPUTED_VALUE"""),"")</f>
        <v/>
      </c>
      <c r="E10" s="7" t="str">
        <f>IFERROR(__xludf.DUMMYFUNCTION("""COMPUTED_VALUE"""),"")</f>
        <v/>
      </c>
      <c r="F10" s="7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7" t="str">
        <f>IFERROR(__xludf.DUMMYFUNCTION("""COMPUTED_VALUE"""),"Allocation")</f>
        <v>Allocation</v>
      </c>
      <c r="B11" s="7" t="str">
        <f>IFERROR(__xludf.DUMMYFUNCTION("""COMPUTED_VALUE"""),"Reallocate")</f>
        <v>Reallocate</v>
      </c>
      <c r="C11" s="7" t="str">
        <f>IFERROR(__xludf.DUMMYFUNCTION("""COMPUTED_VALUE"""),"undefined")</f>
        <v>undefined</v>
      </c>
      <c r="D11" s="7" t="str">
        <f>IFERROR(__xludf.DUMMYFUNCTION("""COMPUTED_VALUE"""),"")</f>
        <v/>
      </c>
      <c r="E11" s="7" t="str">
        <f>IFERROR(__xludf.DUMMYFUNCTION("""COMPUTED_VALUE"""),"")</f>
        <v/>
      </c>
      <c r="F11" s="7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7" t="str">
        <f>IFERROR(__xludf.DUMMYFUNCTION("""COMPUTED_VALUE"""),"Blotter")</f>
        <v>Blotter</v>
      </c>
      <c r="B12" s="7" t="str">
        <f>IFERROR(__xludf.DUMMYFUNCTION("""COMPUTED_VALUE"""),"ReplaceFillsOnBlotter")</f>
        <v>ReplaceFillsOnBlotter</v>
      </c>
      <c r="C12" s="7" t="str">
        <f>IFERROR(__xludf.DUMMYFUNCTION("""COMPUTED_VALUE"""),"undefined")</f>
        <v>undefined</v>
      </c>
      <c r="D12" s="7" t="str">
        <f>IFERROR(__xludf.DUMMYFUNCTION("""COMPUTED_VALUE"""),"")</f>
        <v/>
      </c>
      <c r="E12" s="7" t="str">
        <f>IFERROR(__xludf.DUMMYFUNCTION("""COMPUTED_VALUE"""),"")</f>
        <v/>
      </c>
      <c r="F12" s="7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7" t="str">
        <f>IFERROR(__xludf.DUMMYFUNCTION("""COMPUTED_VALUE"""),"Blotter")</f>
        <v>Blotter</v>
      </c>
      <c r="B13" s="7" t="str">
        <f>IFERROR(__xludf.DUMMYFUNCTION("""COMPUTED_VALUE"""),"CheckBlotter")</f>
        <v>CheckBlotter</v>
      </c>
      <c r="C13" s="7" t="str">
        <f>IFERROR(__xludf.DUMMYFUNCTION("""COMPUTED_VALUE"""),"16qheLbvgC92hKxalWDlpWfHBMyDDVqHERUCc7bQiO2A")</f>
        <v>16qheLbvgC92hKxalWDlpWfHBMyDDVqHERUCc7bQiO2A</v>
      </c>
      <c r="D13" s="7" t="str">
        <f>IFERROR(__xludf.DUMMYFUNCTION("""COMPUTED_VALUE"""),"")</f>
        <v/>
      </c>
      <c r="E13" s="7" t="str">
        <f>IFERROR(__xludf.DUMMYFUNCTION("""COMPUTED_VALUE"""),"")</f>
        <v/>
      </c>
      <c r="F13" s="7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7" t="str">
        <f>IFERROR(__xludf.DUMMYFUNCTION("""COMPUTED_VALUE"""),"GeneralLedger")</f>
        <v>GeneralLedger</v>
      </c>
      <c r="B14" s="7" t="str">
        <f>IFERROR(__xludf.DUMMYFUNCTION("""COMPUTED_VALUE"""),"GetDataCash")</f>
        <v>GetDataCash</v>
      </c>
      <c r="C14" s="7" t="str">
        <f>IFERROR(__xludf.DUMMYFUNCTION("""COMPUTED_VALUE"""),"1zLd3ju-mV8f6PZiQUYLU-cAgAUwLwyoIAKuu0WgG2zI")</f>
        <v>1zLd3ju-mV8f6PZiQUYLU-cAgAUwLwyoIAKuu0WgG2zI</v>
      </c>
      <c r="D14" s="7" t="str">
        <f>IFERROR(__xludf.DUMMYFUNCTION("""COMPUTED_VALUE"""),"")</f>
        <v/>
      </c>
      <c r="E14" s="7" t="str">
        <f>IFERROR(__xludf.DUMMYFUNCTION("""COMPUTED_VALUE"""),"")</f>
        <v/>
      </c>
      <c r="F14" s="7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7" t="str">
        <f>IFERROR(__xludf.DUMMYFUNCTION("""COMPUTED_VALUE"""),"GeneralLedger")</f>
        <v>GeneralLedger</v>
      </c>
      <c r="B15" s="7" t="str">
        <f>IFERROR(__xludf.DUMMYFUNCTION("""COMPUTED_VALUE"""),"EnterCashDividends")</f>
        <v>EnterCashDividends</v>
      </c>
      <c r="C15" s="7" t="str">
        <f>IFERROR(__xludf.DUMMYFUNCTION("""COMPUTED_VALUE"""),"1sjDsI5FIL_l_G6osMJQ7e8auBgYd3R3JDaKWKV_8Og0")</f>
        <v>1sjDsI5FIL_l_G6osMJQ7e8auBgYd3R3JDaKWKV_8Og0</v>
      </c>
      <c r="D15" s="7" t="str">
        <f>IFERROR(__xludf.DUMMYFUNCTION("""COMPUTED_VALUE"""),"")</f>
        <v/>
      </c>
      <c r="E15" s="7" t="str">
        <f>IFERROR(__xludf.DUMMYFUNCTION("""COMPUTED_VALUE"""),"")</f>
        <v/>
      </c>
      <c r="F15" s="7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7" t="str">
        <f>IFERROR(__xludf.DUMMYFUNCTION("""COMPUTED_VALUE"""),"GeneralLedger")</f>
        <v>GeneralLedger</v>
      </c>
      <c r="B16" s="7" t="str">
        <f>IFERROR(__xludf.DUMMYFUNCTION("""COMPUTED_VALUE"""),"EnterNonTradingTransaction")</f>
        <v>EnterNonTradingTransaction</v>
      </c>
      <c r="C16" s="7" t="str">
        <f>IFERROR(__xludf.DUMMYFUNCTION("""COMPUTED_VALUE"""),"1xn1P_Z-3N4d2BC1SUPly2HiVZazly5ZQcS18BfaTyho")</f>
        <v>1xn1P_Z-3N4d2BC1SUPly2HiVZazly5ZQcS18BfaTyho</v>
      </c>
      <c r="D16" s="7" t="str">
        <f>IFERROR(__xludf.DUMMYFUNCTION("""COMPUTED_VALUE"""),"")</f>
        <v/>
      </c>
      <c r="E16" s="7" t="str">
        <f>IFERROR(__xludf.DUMMYFUNCTION("""COMPUTED_VALUE"""),"")</f>
        <v/>
      </c>
      <c r="F16" s="7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7" t="str">
        <f>IFERROR(__xludf.DUMMYFUNCTION("""COMPUTED_VALUE"""),"GeneralLedger")</f>
        <v>GeneralLedger</v>
      </c>
      <c r="B17" s="7" t="str">
        <f>IFERROR(__xludf.DUMMYFUNCTION("""COMPUTED_VALUE"""),"VerifyCash")</f>
        <v>VerifyCash</v>
      </c>
      <c r="C17" s="7" t="str">
        <f>IFERROR(__xludf.DUMMYFUNCTION("""COMPUTED_VALUE"""),"1vlvYPsiFAWjsnFrbkGn_fAvkwF00V3e7htalalU6QN4")</f>
        <v>1vlvYPsiFAWjsnFrbkGn_fAvkwF00V3e7htalalU6QN4</v>
      </c>
      <c r="D17" s="7" t="str">
        <f>IFERROR(__xludf.DUMMYFUNCTION("""COMPUTED_VALUE"""),"")</f>
        <v/>
      </c>
      <c r="E17" s="7" t="str">
        <f>IFERROR(__xludf.DUMMYFUNCTION("""COMPUTED_VALUE"""),"")</f>
        <v/>
      </c>
      <c r="F17" s="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7" t="str">
        <f>IFERROR(__xludf.DUMMYFUNCTION("""COMPUTED_VALUE"""),"GeneralLedger")</f>
        <v>GeneralLedger</v>
      </c>
      <c r="B18" s="7" t="str">
        <f>IFERROR(__xludf.DUMMYFUNCTION("""COMPUTED_VALUE"""),"VerifyActivity")</f>
        <v>VerifyActivity</v>
      </c>
      <c r="C18" s="7" t="str">
        <f>IFERROR(__xludf.DUMMYFUNCTION("""COMPUTED_VALUE"""),"1o2rCg2FuoAOT5Pl8i4iFP_TwpPm0UB1dd49GbpkytfM")</f>
        <v>1o2rCg2FuoAOT5Pl8i4iFP_TwpPm0UB1dd49GbpkytfM</v>
      </c>
      <c r="D18" s="7" t="str">
        <f>IFERROR(__xludf.DUMMYFUNCTION("""COMPUTED_VALUE"""),"")</f>
        <v/>
      </c>
      <c r="E18" s="7" t="str">
        <f>IFERROR(__xludf.DUMMYFUNCTION("""COMPUTED_VALUE"""),"")</f>
        <v/>
      </c>
      <c r="F18" s="7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7" t="str">
        <f>IFERROR(__xludf.DUMMYFUNCTION("""COMPUTED_VALUE"""),"GeneralLedger")</f>
        <v>GeneralLedger</v>
      </c>
      <c r="B19" s="7" t="str">
        <f>IFERROR(__xludf.DUMMYFUNCTION("""COMPUTED_VALUE"""),"VerifyTradingTransaction")</f>
        <v>VerifyTradingTransaction</v>
      </c>
      <c r="C19" s="7" t="str">
        <f>IFERROR(__xludf.DUMMYFUNCTION("""COMPUTED_VALUE"""),"1_v2niCJ9VGNvgEBpvz030BFqEISSUhYRHyWcAJAn_Eg")</f>
        <v>1_v2niCJ9VGNvgEBpvz030BFqEISSUhYRHyWcAJAn_Eg</v>
      </c>
      <c r="D19" s="7" t="str">
        <f>IFERROR(__xludf.DUMMYFUNCTION("""COMPUTED_VALUE"""),"")</f>
        <v/>
      </c>
      <c r="E19" s="7" t="str">
        <f>IFERROR(__xludf.DUMMYFUNCTION("""COMPUTED_VALUE"""),"")</f>
        <v/>
      </c>
      <c r="F19" s="7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7" t="str">
        <f>IFERROR(__xludf.DUMMYFUNCTION("""COMPUTED_VALUE"""),"GeneralLedger")</f>
        <v>GeneralLedger</v>
      </c>
      <c r="B20" s="7" t="str">
        <f>IFERROR(__xludf.DUMMYFUNCTION("""COMPUTED_VALUE"""),"VerifyRevaluationData")</f>
        <v>VerifyRevaluationData</v>
      </c>
      <c r="C20" s="7" t="str">
        <f>IFERROR(__xludf.DUMMYFUNCTION("""COMPUTED_VALUE"""),"1hsRs1-LY0akTrMe91ArnbLtk6GUy_bKxVwMYCaiMs-8")</f>
        <v>1hsRs1-LY0akTrMe91ArnbLtk6GUy_bKxVwMYCaiMs-8</v>
      </c>
      <c r="D20" s="7" t="str">
        <f>IFERROR(__xludf.DUMMYFUNCTION("""COMPUTED_VALUE"""),"")</f>
        <v/>
      </c>
      <c r="E20" s="7" t="str">
        <f>IFERROR(__xludf.DUMMYFUNCTION("""COMPUTED_VALUE"""),"")</f>
        <v/>
      </c>
      <c r="F20" s="7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7" t="str">
        <f>IFERROR(__xludf.DUMMYFUNCTION("""COMPUTED_VALUE"""),"CorporateAction")</f>
        <v>CorporateAction</v>
      </c>
      <c r="B21" s="7" t="str">
        <f>IFERROR(__xludf.DUMMYFUNCTION("""COMPUTED_VALUE"""),"CorporateAction")</f>
        <v>CorporateAction</v>
      </c>
      <c r="C21" s="7" t="str">
        <f>IFERROR(__xludf.DUMMYFUNCTION("""COMPUTED_VALUE"""),"14rwUHTx4auE_hf60WN-tNOx3atNg7QGvErWNwVQIRqE")</f>
        <v>14rwUHTx4auE_hf60WN-tNOx3atNg7QGvErWNwVQIRqE</v>
      </c>
      <c r="D21" s="7" t="str">
        <f>IFERROR(__xludf.DUMMYFUNCTION("""COMPUTED_VALUE"""),"")</f>
        <v/>
      </c>
      <c r="E21" s="7" t="str">
        <f>IFERROR(__xludf.DUMMYFUNCTION("""COMPUTED_VALUE"""),"")</f>
        <v/>
      </c>
      <c r="F21" s="7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7" t="str">
        <f>IFERROR(__xludf.DUMMYFUNCTION("""COMPUTED_VALUE"""),"CreateTransaction")</f>
        <v>CreateTransaction</v>
      </c>
      <c r="B22" s="7" t="str">
        <f>IFERROR(__xludf.DUMMYFUNCTION("""COMPUTED_VALUE"""),"CreateTransaction")</f>
        <v>CreateTransaction</v>
      </c>
      <c r="C22" s="7" t="str">
        <f>IFERROR(__xludf.DUMMYFUNCTION("""COMPUTED_VALUE"""),"1amshi8Ns36lsDpccBK0y_9bL_pQ2rHdGNYypcgzceUg")</f>
        <v>1amshi8Ns36lsDpccBK0y_9bL_pQ2rHdGNYypcgzceUg</v>
      </c>
      <c r="D22" s="7" t="str">
        <f>IFERROR(__xludf.DUMMYFUNCTION("""COMPUTED_VALUE"""),"")</f>
        <v/>
      </c>
      <c r="E22" s="7" t="str">
        <f>IFERROR(__xludf.DUMMYFUNCTION("""COMPUTED_VALUE"""),"")</f>
        <v/>
      </c>
      <c r="F22" s="7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7" t="str">
        <f>IFERROR(__xludf.DUMMYFUNCTION("""COMPUTED_VALUE"""),"DailyValuation")</f>
        <v>DailyValuation</v>
      </c>
      <c r="B23" s="7" t="str">
        <f>IFERROR(__xludf.DUMMYFUNCTION("""COMPUTED_VALUE"""),"UpdateBeta")</f>
        <v>UpdateBeta</v>
      </c>
      <c r="C23" s="7" t="str">
        <f>IFERROR(__xludf.DUMMYFUNCTION("""COMPUTED_VALUE"""),"1YKttwHsdIskNDoo0Sl7HF2DWikROW-KA05qfT3GLIyI")</f>
        <v>1YKttwHsdIskNDoo0Sl7HF2DWikROW-KA05qfT3GLIyI</v>
      </c>
      <c r="D23" s="7" t="str">
        <f>IFERROR(__xludf.DUMMYFUNCTION("""COMPUTED_VALUE"""),"")</f>
        <v/>
      </c>
      <c r="E23" s="7" t="str">
        <f>IFERROR(__xludf.DUMMYFUNCTION("""COMPUTED_VALUE"""),"")</f>
        <v/>
      </c>
      <c r="F23" s="7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7" t="str">
        <f>IFERROR(__xludf.DUMMYFUNCTION("""COMPUTED_VALUE"""),"DailyValuation")</f>
        <v>DailyValuation</v>
      </c>
      <c r="B24" s="7" t="str">
        <f>IFERROR(__xludf.DUMMYFUNCTION("""COMPUTED_VALUE"""),"UpdateDailyCash")</f>
        <v>UpdateDailyCash</v>
      </c>
      <c r="C24" s="7" t="str">
        <f>IFERROR(__xludf.DUMMYFUNCTION("""COMPUTED_VALUE"""),"1YJ2rTp-OqQTGjubvs_cBC6fl0l94pyHI2eaLJzbddS4")</f>
        <v>1YJ2rTp-OqQTGjubvs_cBC6fl0l94pyHI2eaLJzbddS4</v>
      </c>
      <c r="D24" s="7" t="str">
        <f>IFERROR(__xludf.DUMMYFUNCTION("""COMPUTED_VALUE"""),"")</f>
        <v/>
      </c>
      <c r="E24" s="7" t="str">
        <f>IFERROR(__xludf.DUMMYFUNCTION("""COMPUTED_VALUE"""),"")</f>
        <v/>
      </c>
      <c r="F24" s="7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7" t="str">
        <f>IFERROR(__xludf.DUMMYFUNCTION("""COMPUTED_VALUE"""),"DailyValuation")</f>
        <v>DailyValuation</v>
      </c>
      <c r="B25" s="7" t="str">
        <f>IFERROR(__xludf.DUMMYFUNCTION("""COMPUTED_VALUE"""),"UpdateForexConversion")</f>
        <v>UpdateForexConversion</v>
      </c>
      <c r="C25" s="7" t="str">
        <f>IFERROR(__xludf.DUMMYFUNCTION("""COMPUTED_VALUE"""),"1mLyEfNTVFd65cnE6GfgCRD6TdpKg1BgqNIDjHCFzyO4")</f>
        <v>1mLyEfNTVFd65cnE6GfgCRD6TdpKg1BgqNIDjHCFzyO4</v>
      </c>
      <c r="D25" s="7" t="str">
        <f>IFERROR(__xludf.DUMMYFUNCTION("""COMPUTED_VALUE"""),"")</f>
        <v/>
      </c>
      <c r="E25" s="7" t="str">
        <f>IFERROR(__xludf.DUMMYFUNCTION("""COMPUTED_VALUE"""),"")</f>
        <v/>
      </c>
      <c r="F25" s="7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7" t="str">
        <f>IFERROR(__xludf.DUMMYFUNCTION("""COMPUTED_VALUE"""),"DailyValuation")</f>
        <v>DailyValuation</v>
      </c>
      <c r="B26" s="7" t="str">
        <f>IFERROR(__xludf.DUMMYFUNCTION("""COMPUTED_VALUE"""),"UpdateMarkPrice")</f>
        <v>UpdateMarkPrice</v>
      </c>
      <c r="C26" s="7" t="str">
        <f>IFERROR(__xludf.DUMMYFUNCTION("""COMPUTED_VALUE"""),"1M8d9TyOhMnA65NSIYvS6dR68SH5RL6oKahd6uz7yp6c")</f>
        <v>1M8d9TyOhMnA65NSIYvS6dR68SH5RL6oKahd6uz7yp6c</v>
      </c>
      <c r="D26" s="7" t="str">
        <f>IFERROR(__xludf.DUMMYFUNCTION("""COMPUTED_VALUE"""),"")</f>
        <v/>
      </c>
      <c r="E26" s="7" t="str">
        <f>IFERROR(__xludf.DUMMYFUNCTION("""COMPUTED_VALUE"""),"")</f>
        <v/>
      </c>
      <c r="F26" s="7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7" t="str">
        <f>IFERROR(__xludf.DUMMYFUNCTION("""COMPUTED_VALUE"""),"Import")</f>
        <v>Import</v>
      </c>
      <c r="B27" s="7" t="str">
        <f>IFERROR(__xludf.DUMMYFUNCTION("""COMPUTED_VALUE"""),"Import")</f>
        <v>Import</v>
      </c>
      <c r="C27" s="7" t="str">
        <f>IFERROR(__xludf.DUMMYFUNCTION("""COMPUTED_VALUE"""),"1Q5uOVYo1NMRks6hQRJuV8XWMPb6VFEAbSzpgP1dot1I")</f>
        <v>1Q5uOVYo1NMRks6hQRJuV8XWMPb6VFEAbSzpgP1dot1I</v>
      </c>
      <c r="D27" s="7" t="str">
        <f>IFERROR(__xludf.DUMMYFUNCTION("""COMPUTED_VALUE"""),"")</f>
        <v/>
      </c>
      <c r="E27" s="7" t="str">
        <f>IFERROR(__xludf.DUMMYFUNCTION("""COMPUTED_VALUE"""),"")</f>
        <v/>
      </c>
      <c r="F27" s="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7" t="str">
        <f>IFERROR(__xludf.DUMMYFUNCTION("""COMPUTED_VALUE"""),"PortfolioManagement")</f>
        <v>PortfolioManagement</v>
      </c>
      <c r="B28" s="7" t="str">
        <f>IFERROR(__xludf.DUMMYFUNCTION("""COMPUTED_VALUE"""),"CheckDashboardPM")</f>
        <v>CheckDashboardPM</v>
      </c>
      <c r="C28" s="7" t="str">
        <f>IFERROR(__xludf.DUMMYFUNCTION("""COMPUTED_VALUE"""),"1iqfUyYqyebXIeNBGljH7-T8whBcywTlkBBU3dBZV06s")</f>
        <v>1iqfUyYqyebXIeNBGljH7-T8whBcywTlkBBU3dBZV06s</v>
      </c>
      <c r="D28" s="7" t="str">
        <f>IFERROR(__xludf.DUMMYFUNCTION("""COMPUTED_VALUE"""),"")</f>
        <v/>
      </c>
      <c r="E28" s="7" t="str">
        <f>IFERROR(__xludf.DUMMYFUNCTION("""COMPUTED_VALUE"""),"")</f>
        <v/>
      </c>
      <c r="F28" s="7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7" t="str">
        <f>IFERROR(__xludf.DUMMYFUNCTION("""COMPUTED_VALUE"""),"PortfolioManagement")</f>
        <v>PortfolioManagement</v>
      </c>
      <c r="B29" s="7" t="str">
        <f>IFERROR(__xludf.DUMMYFUNCTION("""COMPUTED_VALUE"""),"CheckPortfolioManagement")</f>
        <v>CheckPortfolioManagement</v>
      </c>
      <c r="C29" s="7" t="str">
        <f>IFERROR(__xludf.DUMMYFUNCTION("""COMPUTED_VALUE"""),"1u0XMlZJy_Slp7uXMwirinW7StOOdTcWD-D8V07sO0VA")</f>
        <v>1u0XMlZJy_Slp7uXMwirinW7StOOdTcWD-D8V07sO0VA</v>
      </c>
      <c r="D29" s="7" t="str">
        <f>IFERROR(__xludf.DUMMYFUNCTION("""COMPUTED_VALUE"""),"")</f>
        <v/>
      </c>
      <c r="E29" s="7" t="str">
        <f>IFERROR(__xludf.DUMMYFUNCTION("""COMPUTED_VALUE"""),"")</f>
        <v/>
      </c>
      <c r="F29" s="7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7" t="str">
        <f>IFERROR(__xludf.DUMMYFUNCTION("""COMPUTED_VALUE"""),"PricingInput")</f>
        <v>PricingInput</v>
      </c>
      <c r="B30" s="7" t="str">
        <f>IFERROR(__xludf.DUMMYFUNCTION("""COMPUTED_VALUE"""),"PricingInput")</f>
        <v>PricingInput</v>
      </c>
      <c r="C30" s="7" t="str">
        <f>IFERROR(__xludf.DUMMYFUNCTION("""COMPUTED_VALUE"""),"1mh3Z5PifhJ3yzX8TPeoc3H3nteNiA0V2tWFse0rVChE")</f>
        <v>1mh3Z5PifhJ3yzX8TPeoc3H3nteNiA0V2tWFse0rVChE</v>
      </c>
      <c r="D30" s="7" t="str">
        <f>IFERROR(__xludf.DUMMYFUNCTION("""COMPUTED_VALUE"""),"")</f>
        <v/>
      </c>
      <c r="E30" s="7" t="str">
        <f>IFERROR(__xludf.DUMMYFUNCTION("""COMPUTED_VALUE"""),"")</f>
        <v/>
      </c>
      <c r="F30" s="7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7" t="str">
        <f>IFERROR(__xludf.DUMMYFUNCTION("""COMPUTED_VALUE"""),"PricingInput")</f>
        <v>PricingInput</v>
      </c>
      <c r="B31" s="7" t="str">
        <f>IFERROR(__xludf.DUMMYFUNCTION("""COMPUTED_VALUE"""),"UpdateSharesOutstanding")</f>
        <v>UpdateSharesOutstanding</v>
      </c>
      <c r="C31" s="7" t="str">
        <f>IFERROR(__xludf.DUMMYFUNCTION("""COMPUTED_VALUE"""),"1vmZ6v1OyZ8SSi8bqqjK3ap3KtM_yPA_SEcIQgYiRInY")</f>
        <v>1vmZ6v1OyZ8SSi8bqqjK3ap3KtM_yPA_SEcIQgYiRInY</v>
      </c>
      <c r="D31" s="7" t="str">
        <f>IFERROR(__xludf.DUMMYFUNCTION("""COMPUTED_VALUE"""),"")</f>
        <v/>
      </c>
      <c r="E31" s="7" t="str">
        <f>IFERROR(__xludf.DUMMYFUNCTION("""COMPUTED_VALUE"""),"")</f>
        <v/>
      </c>
      <c r="F31" s="7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7" t="str">
        <f>IFERROR(__xludf.DUMMYFUNCTION("""COMPUTED_VALUE"""),"SymbolLookup")</f>
        <v>SymbolLookup</v>
      </c>
      <c r="B32" s="7" t="str">
        <f>IFERROR(__xludf.DUMMYFUNCTION("""COMPUTED_VALUE"""),"VerifySymbolLookUp")</f>
        <v>VerifySymbolLookUp</v>
      </c>
      <c r="C32" s="7" t="str">
        <f>IFERROR(__xludf.DUMMYFUNCTION("""COMPUTED_VALUE"""),"1OiI1Pi_JAFOFi8ByMaD3_qqEXSv6yQMo_u6aGTozbl8")</f>
        <v>1OiI1Pi_JAFOFi8ByMaD3_qqEXSv6yQMo_u6aGTozbl8</v>
      </c>
      <c r="D32" s="7" t="str">
        <f>IFERROR(__xludf.DUMMYFUNCTION("""COMPUTED_VALUE"""),"")</f>
        <v/>
      </c>
      <c r="E32" s="7" t="str">
        <f>IFERROR(__xludf.DUMMYFUNCTION("""COMPUTED_VALUE"""),"")</f>
        <v/>
      </c>
      <c r="F32" s="7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7" t="str">
        <f>IFERROR(__xludf.DUMMYFUNCTION("""COMPUTED_VALUE"""),"SymbolLookup")</f>
        <v>SymbolLookup</v>
      </c>
      <c r="B33" s="7" t="str">
        <f>IFERROR(__xludf.DUMMYFUNCTION("""COMPUTED_VALUE"""),"SymbolLookupFromTT")</f>
        <v>SymbolLookupFromTT</v>
      </c>
      <c r="C33" s="7" t="str">
        <f>IFERROR(__xludf.DUMMYFUNCTION("""COMPUTED_VALUE"""),"1ubfvE9sHq5KpJ9NazeH96CrVMJqAuol5Ya9GPjxWrgI")</f>
        <v>1ubfvE9sHq5KpJ9NazeH96CrVMJqAuol5Ya9GPjxWrgI</v>
      </c>
      <c r="D33" s="7" t="str">
        <f>IFERROR(__xludf.DUMMYFUNCTION("""COMPUTED_VALUE"""),"")</f>
        <v/>
      </c>
      <c r="E33" s="7" t="str">
        <f>IFERROR(__xludf.DUMMYFUNCTION("""COMPUTED_VALUE"""),"")</f>
        <v/>
      </c>
      <c r="F33" s="7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1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3" t="s">
        <v>2</v>
      </c>
      <c r="B1" s="4"/>
      <c r="C1" s="5"/>
    </row>
    <row r="2" ht="15.75" customHeight="1">
      <c r="A2" s="6"/>
      <c r="B2" s="6"/>
      <c r="C2" s="6"/>
    </row>
    <row r="3" ht="15.75" customHeight="1">
      <c r="A3" s="8" t="s">
        <v>3</v>
      </c>
      <c r="B3" s="9" t="s">
        <v>5</v>
      </c>
      <c r="C3" s="6"/>
    </row>
    <row r="4" ht="15.75" customHeight="1">
      <c r="A4" s="10" t="s">
        <v>6</v>
      </c>
      <c r="B4" s="9" t="s">
        <v>8</v>
      </c>
      <c r="C4" s="6"/>
    </row>
    <row r="5" ht="15.75" customHeight="1">
      <c r="A5" s="11"/>
      <c r="B5" s="6"/>
      <c r="C5" s="6"/>
    </row>
    <row r="6" ht="15.75" customHeight="1">
      <c r="A6" s="11"/>
      <c r="B6" s="6"/>
      <c r="C6" s="6"/>
    </row>
    <row r="7" ht="15.75" customHeight="1">
      <c r="A7" s="11"/>
      <c r="B7" s="6"/>
      <c r="C7" s="6"/>
    </row>
    <row r="8" ht="15.75" customHeight="1">
      <c r="A8" s="11"/>
      <c r="B8" s="6"/>
      <c r="C8" s="6"/>
    </row>
    <row r="9" ht="15.75" customHeight="1">
      <c r="A9" s="11"/>
      <c r="B9" s="6"/>
      <c r="C9" s="6"/>
    </row>
    <row r="10" ht="15.75" customHeight="1">
      <c r="A10" s="11"/>
      <c r="B10" s="6"/>
      <c r="C10" s="6"/>
    </row>
    <row r="11" ht="15.75" customHeight="1">
      <c r="A11" s="11"/>
      <c r="B11" s="6"/>
      <c r="C11" s="6"/>
    </row>
    <row r="12" ht="15.75" customHeight="1">
      <c r="A12" s="11"/>
      <c r="B12" s="6"/>
      <c r="C12" s="6"/>
    </row>
    <row r="13" ht="15.75" customHeight="1">
      <c r="A13" s="11"/>
      <c r="B13" s="6"/>
      <c r="C13" s="6"/>
    </row>
    <row r="14" ht="15.75" customHeight="1">
      <c r="A14" s="11"/>
      <c r="B14" s="6"/>
      <c r="C14" s="6"/>
    </row>
    <row r="15" ht="15.75" customHeight="1">
      <c r="A15" s="11"/>
      <c r="B15" s="6"/>
      <c r="C15" s="6"/>
    </row>
    <row r="16" ht="15.75" customHeight="1">
      <c r="A16" s="11"/>
      <c r="B16" s="6"/>
      <c r="C16" s="6"/>
    </row>
    <row r="17" ht="15.75" customHeight="1">
      <c r="A17" s="11"/>
      <c r="B17" s="6"/>
      <c r="C17" s="6"/>
    </row>
    <row r="18" ht="15.75" customHeight="1">
      <c r="A18" s="11"/>
      <c r="B18" s="6"/>
      <c r="C18" s="6"/>
    </row>
    <row r="19" ht="15.75" customHeight="1">
      <c r="A19" s="11"/>
      <c r="B19" s="6"/>
      <c r="C19" s="6"/>
    </row>
    <row r="20" ht="15.75" customHeight="1">
      <c r="A20" s="11"/>
      <c r="B20" s="6"/>
      <c r="C20" s="6"/>
    </row>
    <row r="21" ht="15.75" customHeight="1">
      <c r="A21" s="11"/>
      <c r="B21" s="6"/>
      <c r="C21" s="6"/>
    </row>
    <row r="22" ht="15.75" customHeight="1">
      <c r="A22" s="11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4"/>
      <c r="C1" s="4"/>
      <c r="D1" s="4"/>
      <c r="E1" s="4"/>
      <c r="F1" s="5"/>
    </row>
    <row r="2">
      <c r="A2" s="7"/>
      <c r="B2" s="7"/>
      <c r="C2" s="7"/>
      <c r="D2" s="7"/>
      <c r="E2" s="7"/>
      <c r="F2" s="7"/>
    </row>
    <row r="3">
      <c r="A3" s="10" t="s">
        <v>7</v>
      </c>
      <c r="B3" s="14" t="s">
        <v>9</v>
      </c>
      <c r="C3" s="14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12</v>
      </c>
      <c r="D3" s="8" t="s">
        <v>9</v>
      </c>
      <c r="E3" s="21" t="s">
        <v>13</v>
      </c>
      <c r="F3" s="8" t="s">
        <v>14</v>
      </c>
      <c r="G3" s="11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29">
        <v>43495.0</v>
      </c>
      <c r="C6" s="6"/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12</v>
      </c>
      <c r="D3" s="8" t="s">
        <v>9</v>
      </c>
      <c r="E3" s="21" t="s">
        <v>16</v>
      </c>
      <c r="F3" s="8" t="s">
        <v>14</v>
      </c>
      <c r="G3" s="11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IFERROR(__xludf.DUMMYFUNCTION("""COMPUTED_VALUE"""),"Date")</f>
        <v>Date</v>
      </c>
      <c r="F5" s="27" t="str">
        <f>IFERROR(__xludf.DUMMYFUNCTION("""COMPUTED_VALUE"""),"Price")</f>
        <v>Price</v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 t="s">
        <v>17</v>
      </c>
      <c r="C6" s="9" t="s">
        <v>18</v>
      </c>
      <c r="D6" s="9" t="s">
        <v>19</v>
      </c>
      <c r="E6" s="29">
        <v>43495.0</v>
      </c>
      <c r="F6" s="9">
        <v>1.34</v>
      </c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9" t="s">
        <v>17</v>
      </c>
      <c r="C7" s="9" t="s">
        <v>18</v>
      </c>
      <c r="D7" s="9" t="s">
        <v>19</v>
      </c>
      <c r="E7" s="29">
        <v>43496.0</v>
      </c>
      <c r="F7" s="9">
        <v>1.344</v>
      </c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UpdateForexConversionMonthly!$4:$4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20</v>
      </c>
      <c r="D3" s="8" t="s">
        <v>9</v>
      </c>
      <c r="E3" s="21" t="s">
        <v>21</v>
      </c>
      <c r="F3" s="8" t="s">
        <v>14</v>
      </c>
      <c r="G3" s="11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32" t="s">
        <v>22</v>
      </c>
      <c r="C6" s="9" t="s">
        <v>23</v>
      </c>
      <c r="D6" s="32">
        <v>2655650.38</v>
      </c>
      <c r="E6" s="30"/>
      <c r="F6" s="6"/>
      <c r="G6" s="6"/>
      <c r="H6" s="6"/>
      <c r="I6" s="6"/>
      <c r="J6" s="9">
        <v>1.33</v>
      </c>
      <c r="K6" s="6"/>
      <c r="L6" s="6"/>
      <c r="M6" s="6"/>
      <c r="N6" s="29">
        <v>43495.0</v>
      </c>
      <c r="O6" s="6"/>
      <c r="AK6" s="31" t="s">
        <v>24</v>
      </c>
      <c r="AM6" s="31" t="s">
        <v>17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12</v>
      </c>
      <c r="D3" s="8" t="s">
        <v>9</v>
      </c>
      <c r="E3" s="21" t="s">
        <v>13</v>
      </c>
      <c r="F3" s="8" t="s">
        <v>14</v>
      </c>
      <c r="G3" s="11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29">
        <v>43497.0</v>
      </c>
      <c r="C6" s="6"/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12</v>
      </c>
      <c r="D3" s="8" t="s">
        <v>9</v>
      </c>
      <c r="E3" s="21" t="s">
        <v>16</v>
      </c>
      <c r="F3" s="8" t="s">
        <v>14</v>
      </c>
      <c r="G3" s="11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IFERROR(__xludf.DUMMYFUNCTION("""COMPUTED_VALUE"""),"Date")</f>
        <v>Date</v>
      </c>
      <c r="F5" s="27" t="str">
        <f>IFERROR(__xludf.DUMMYFUNCTION("""COMPUTED_VALUE"""),"Price")</f>
        <v>Price</v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33" t="s">
        <v>17</v>
      </c>
      <c r="C6" s="34" t="s">
        <v>18</v>
      </c>
      <c r="D6" s="33" t="s">
        <v>19</v>
      </c>
      <c r="E6" s="35">
        <v>43497.0</v>
      </c>
      <c r="F6" s="36">
        <v>1.35</v>
      </c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37" t="s">
        <v>17</v>
      </c>
      <c r="C7" s="37" t="s">
        <v>18</v>
      </c>
      <c r="D7" s="37" t="s">
        <v>19</v>
      </c>
      <c r="E7" s="38">
        <v>43498.0</v>
      </c>
      <c r="F7" s="39">
        <v>1.35</v>
      </c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37" t="s">
        <v>17</v>
      </c>
      <c r="C8" s="37" t="s">
        <v>18</v>
      </c>
      <c r="D8" s="37" t="s">
        <v>19</v>
      </c>
      <c r="E8" s="38">
        <v>43499.0</v>
      </c>
      <c r="F8" s="39">
        <v>1.35</v>
      </c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37" t="s">
        <v>17</v>
      </c>
      <c r="C9" s="37" t="s">
        <v>18</v>
      </c>
      <c r="D9" s="37" t="s">
        <v>19</v>
      </c>
      <c r="E9" s="38">
        <v>43500.0</v>
      </c>
      <c r="F9" s="39">
        <v>1.357</v>
      </c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37" t="s">
        <v>17</v>
      </c>
      <c r="C10" s="37" t="s">
        <v>18</v>
      </c>
      <c r="D10" s="37" t="s">
        <v>19</v>
      </c>
      <c r="E10" s="38">
        <v>43501.0</v>
      </c>
      <c r="F10" s="39">
        <v>1.36</v>
      </c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37" t="s">
        <v>17</v>
      </c>
      <c r="C11" s="37" t="s">
        <v>18</v>
      </c>
      <c r="D11" s="37" t="s">
        <v>19</v>
      </c>
      <c r="E11" s="38">
        <v>43502.0</v>
      </c>
      <c r="F11" s="39">
        <v>1.375</v>
      </c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UpdateForexConversionMonthly1!$4:$4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12</v>
      </c>
      <c r="D3" s="8" t="s">
        <v>9</v>
      </c>
      <c r="E3" s="21" t="s">
        <v>25</v>
      </c>
      <c r="F3" s="8" t="s">
        <v>14</v>
      </c>
      <c r="G3" s="11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29">
        <v>43495.0</v>
      </c>
      <c r="C6" s="6"/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GetForwardPoints!$4:$4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12</v>
      </c>
      <c r="D3" s="8" t="s">
        <v>9</v>
      </c>
      <c r="E3" s="21" t="s">
        <v>26</v>
      </c>
      <c r="F3" s="8" t="s">
        <v>14</v>
      </c>
      <c r="G3" s="11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IFERROR(__xludf.DUMMYFUNCTION("""COMPUTED_VALUE"""),"Forward Points")</f>
        <v>Forward Points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40" t="s">
        <v>22</v>
      </c>
      <c r="C6" s="36">
        <v>-0.004</v>
      </c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UpdateForwardPoints!$4:$4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12</v>
      </c>
      <c r="D3" s="8" t="s">
        <v>9</v>
      </c>
      <c r="E3" s="21" t="s">
        <v>25</v>
      </c>
      <c r="F3" s="8" t="s">
        <v>14</v>
      </c>
      <c r="G3" s="11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29">
        <v>43496.0</v>
      </c>
      <c r="C6" s="6"/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GetForwardPoints1!$4:$4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12</v>
      </c>
      <c r="D3" s="8" t="s">
        <v>9</v>
      </c>
      <c r="E3" s="21" t="s">
        <v>26</v>
      </c>
      <c r="F3" s="8" t="s">
        <v>14</v>
      </c>
      <c r="G3" s="11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IFERROR(__xludf.DUMMYFUNCTION("""COMPUTED_VALUE"""),"Forward Points")</f>
        <v>Forward Points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40" t="s">
        <v>22</v>
      </c>
      <c r="C6" s="36">
        <v>-0.003</v>
      </c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UpdateForwardPoints1!$4:$4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12</v>
      </c>
      <c r="D3" s="8" t="s">
        <v>9</v>
      </c>
      <c r="E3" s="21" t="s">
        <v>25</v>
      </c>
      <c r="F3" s="8" t="s">
        <v>14</v>
      </c>
      <c r="G3" s="11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29">
        <v>43497.0</v>
      </c>
      <c r="C6" s="6"/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GetForwardPoints2!$4:$4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12</v>
      </c>
      <c r="D3" s="8" t="s">
        <v>9</v>
      </c>
      <c r="E3" s="21" t="s">
        <v>26</v>
      </c>
      <c r="F3" s="8" t="s">
        <v>14</v>
      </c>
      <c r="G3" s="11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IFERROR(__xludf.DUMMYFUNCTION("""COMPUTED_VALUE"""),"Forward Points")</f>
        <v>Forward Points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40" t="s">
        <v>22</v>
      </c>
      <c r="C6" s="41">
        <v>-0.005</v>
      </c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UpdateForwardPoints2!$4:$4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12</v>
      </c>
      <c r="D3" s="8" t="s">
        <v>9</v>
      </c>
      <c r="E3" s="21" t="s">
        <v>25</v>
      </c>
      <c r="F3" s="8" t="s">
        <v>14</v>
      </c>
      <c r="G3" s="11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29">
        <v>43498.0</v>
      </c>
      <c r="C6" s="6"/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GetForwardPoints3!$4:$4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12</v>
      </c>
      <c r="D3" s="8" t="s">
        <v>9</v>
      </c>
      <c r="E3" s="21" t="s">
        <v>26</v>
      </c>
      <c r="F3" s="8" t="s">
        <v>14</v>
      </c>
      <c r="G3" s="11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IFERROR(__xludf.DUMMYFUNCTION("""COMPUTED_VALUE"""),"Forward Points")</f>
        <v>Forward Points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40" t="s">
        <v>22</v>
      </c>
      <c r="C6" s="41">
        <v>-0.005</v>
      </c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UpdateForwardPoints3!$4:$4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12</v>
      </c>
      <c r="D3" s="8" t="s">
        <v>9</v>
      </c>
      <c r="E3" s="21" t="s">
        <v>25</v>
      </c>
      <c r="F3" s="8" t="s">
        <v>14</v>
      </c>
      <c r="G3" s="11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29">
        <v>43499.0</v>
      </c>
      <c r="C6" s="6"/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GetForwardPoints4!$4:$4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12</v>
      </c>
      <c r="D3" s="8" t="s">
        <v>9</v>
      </c>
      <c r="E3" s="21" t="s">
        <v>26</v>
      </c>
      <c r="F3" s="8" t="s">
        <v>14</v>
      </c>
      <c r="G3" s="11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IFERROR(__xludf.DUMMYFUNCTION("""COMPUTED_VALUE"""),"Forward Points")</f>
        <v>Forward Points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40" t="s">
        <v>22</v>
      </c>
      <c r="C6" s="41">
        <v>-0.005</v>
      </c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UpdateForwardPoints4!$4:$4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27</v>
      </c>
      <c r="D3" s="8" t="s">
        <v>9</v>
      </c>
      <c r="E3" s="21" t="s">
        <v>28</v>
      </c>
      <c r="F3" s="8" t="s">
        <v>14</v>
      </c>
      <c r="G3" s="11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 t="s">
        <v>29</v>
      </c>
      <c r="C6" s="29">
        <v>43495.0</v>
      </c>
      <c r="D6" s="29">
        <v>43496.0</v>
      </c>
      <c r="E6" s="9" t="s">
        <v>24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12</v>
      </c>
      <c r="D3" s="8" t="s">
        <v>9</v>
      </c>
      <c r="E3" s="21" t="s">
        <v>26</v>
      </c>
      <c r="F3" s="8" t="s">
        <v>14</v>
      </c>
      <c r="G3" s="11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IFERROR(__xludf.DUMMYFUNCTION("""COMPUTED_VALUE"""),"Forward Points")</f>
        <v>Forward Points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40" t="s">
        <v>22</v>
      </c>
      <c r="C6" s="41">
        <v>-0.0025</v>
      </c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UpdateForwardPoints6!$4:$4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27</v>
      </c>
      <c r="D3" s="8" t="s">
        <v>9</v>
      </c>
      <c r="E3" s="21" t="s">
        <v>31</v>
      </c>
      <c r="F3" s="8" t="s">
        <v>14</v>
      </c>
      <c r="G3" s="11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IFERROR(__xludf.DUMMYFUNCTION("""COMPUTED_VALUE"""),"AccrudInterest")</f>
        <v>AccrudInterest</v>
      </c>
      <c r="C5" s="26" t="str">
        <f>IFERROR(__xludf.DUMMYFUNCTION("""COMPUTED_VALUE"""),"Analyst")</f>
        <v>Analyst</v>
      </c>
      <c r="D5" s="26" t="str">
        <f>IFERROR(__xludf.DUMMYFUNCTION("""COMPUTED_VALUE"""),"Asset Class")</f>
        <v>Asset Class</v>
      </c>
      <c r="E5" s="26" t="str">
        <f>IFERROR(__xludf.DUMMYFUNCTION("""COMPUTED_VALUE"""),"AUCID")</f>
        <v>AUCID</v>
      </c>
      <c r="F5" s="27" t="str">
        <f>IFERROR(__xludf.DUMMYFUNCTION("""COMPUTED_VALUE"""),"AUECModifiedDate")</f>
        <v>AUECModifiedDate</v>
      </c>
      <c r="G5" s="26" t="str">
        <f>IFERROR(__xludf.DUMMYFUNCTION("""COMPUTED_VALUE"""),"Average Price")</f>
        <v>Average Price</v>
      </c>
      <c r="H5" s="26" t="str">
        <f>IFERROR(__xludf.DUMMYFUNCTION("""COMPUTED_VALUE"""),"BloombergSymbol")</f>
        <v>BloombergSymbol</v>
      </c>
      <c r="I5" s="26" t="str">
        <f>IFERROR(__xludf.DUMMYFUNCTION("""COMPUTED_VALUE"""),"CalcBasis")</f>
        <v>CalcBasis</v>
      </c>
      <c r="J5" s="26" t="str">
        <f>IFERROR(__xludf.DUMMYFUNCTION("""COMPUTED_VALUE"""),"CashSettledPrice")</f>
        <v>CashSettledPrice</v>
      </c>
      <c r="K5" s="26" t="str">
        <f>IFERROR(__xludf.DUMMYFUNCTION("""COMPUTED_VALUE"""),"ChangeComment")</f>
        <v>ChangeComment</v>
      </c>
      <c r="L5" s="26" t="str">
        <f>IFERROR(__xludf.DUMMYFUNCTION("""COMPUTED_VALUE"""),"ChangeType")</f>
        <v>ChangeType</v>
      </c>
      <c r="M5" s="26" t="str">
        <f>IFERROR(__xludf.DUMMYFUNCTION("""COMPUTED_VALUE"""),"ChangeBrokerFee")</f>
        <v>ChangeBrokerFee</v>
      </c>
      <c r="N5" s="26" t="str">
        <f>IFERROR(__xludf.DUMMYFUNCTION("""COMPUTED_VALUE"""),"ClearingFee")</f>
        <v>ClearingFee</v>
      </c>
      <c r="O5" s="26" t="str">
        <f>IFERROR(__xludf.DUMMYFUNCTION("""COMPUTED_VALUE"""),"Close Date")</f>
        <v>Close Date</v>
      </c>
      <c r="P5" s="26" t="str">
        <f>IFERROR(__xludf.DUMMYFUNCTION("""COMPUTED_VALUE"""),"ClosedTotalCommissionandFees")</f>
        <v>ClosedTotalCommissionandFees</v>
      </c>
      <c r="Q5" s="26" t="str">
        <f>IFERROR(__xludf.DUMMYFUNCTION("""COMPUTED_VALUE"""),"ClosingAlgo")</f>
        <v>ClosingAlgo</v>
      </c>
      <c r="R5" s="26" t="str">
        <f>IFERROR(__xludf.DUMMYFUNCTION("""COMPUTED_VALUE"""),"ClosingDate")</f>
        <v>ClosingDate</v>
      </c>
      <c r="S5" s="26" t="str">
        <f>IFERROR(__xludf.DUMMYFUNCTION("""COMPUTED_VALUE"""),"ClosingMode")</f>
        <v>ClosingMode</v>
      </c>
      <c r="T5" s="28" t="str">
        <f>IFERROR(__xludf.DUMMYFUNCTION("""COMPUTED_VALUE"""),"ClosingStatus")</f>
        <v>ClosingStatus</v>
      </c>
      <c r="U5" s="28" t="str">
        <f>IFERROR(__xludf.DUMMYFUNCTION("""COMPUTED_VALUE"""),"CommissionAmt")</f>
        <v>CommissionAmt</v>
      </c>
      <c r="V5" s="28" t="str">
        <f>IFERROR(__xludf.DUMMYFUNCTION("""COMPUTED_VALUE"""),"CommissionRate")</f>
        <v>CommissionRate</v>
      </c>
      <c r="W5" s="28" t="str">
        <f>IFERROR(__xludf.DUMMYFUNCTION("""COMPUTED_VALUE"""),"CompanyName")</f>
        <v>CompanyName</v>
      </c>
      <c r="X5" s="28" t="str">
        <f>IFERROR(__xludf.DUMMYFUNCTION("""COMPUTED_VALUE"""),"CompanyuserName")</f>
        <v>CompanyuserName</v>
      </c>
      <c r="Y5" s="28" t="str">
        <f>IFERROR(__xludf.DUMMYFUNCTION("""COMPUTED_VALUE"""),"ContractMultiplier")</f>
        <v>ContractMultiplier</v>
      </c>
      <c r="Z5" s="28" t="str">
        <f>IFERROR(__xludf.DUMMYFUNCTION("""COMPUTED_VALUE"""),"CounterPartyName")</f>
        <v>CounterPartyName</v>
      </c>
      <c r="AA5" s="28" t="str">
        <f>IFERROR(__xludf.DUMMYFUNCTION("""COMPUTED_VALUE"""),"CountryName")</f>
        <v>CountryName</v>
      </c>
      <c r="AB5" s="28" t="str">
        <f>IFERROR(__xludf.DUMMYFUNCTION("""COMPUTED_VALUE"""),"CountryOfRisk")</f>
        <v>CountryOfRisk</v>
      </c>
      <c r="AC5" s="28" t="str">
        <f>IFERROR(__xludf.DUMMYFUNCTION("""COMPUTED_VALUE"""),"CumQty")</f>
        <v>CumQty</v>
      </c>
      <c r="AD5" s="28" t="str">
        <f>IFERROR(__xludf.DUMMYFUNCTION("""COMPUTED_VALUE"""),"CurrencyID")</f>
        <v>CurrencyID</v>
      </c>
      <c r="AE5" s="28" t="str">
        <f>IFERROR(__xludf.DUMMYFUNCTION("""COMPUTED_VALUE"""),"CurrencyName")</f>
        <v>CurrencyName</v>
      </c>
      <c r="AF5" s="28" t="str">
        <f>IFERROR(__xludf.DUMMYFUNCTION("""COMPUTED_VALUE"""),"CusipSymbol")</f>
        <v>CusipSymbol</v>
      </c>
      <c r="AG5" s="28" t="str">
        <f>IFERROR(__xludf.DUMMYFUNCTION("""COMPUTED_VALUE"""),"CustomUDA1")</f>
        <v>CustomUDA1</v>
      </c>
      <c r="AH5" s="28" t="str">
        <f>IFERROR(__xludf.DUMMYFUNCTION("""COMPUTED_VALUE"""),"CustomUDA2")</f>
        <v>CustomUDA2</v>
      </c>
      <c r="AI5" s="28" t="str">
        <f>IFERROR(__xludf.DUMMYFUNCTION("""COMPUTED_VALUE"""),"CustomUDA3")</f>
        <v>CustomUDA3</v>
      </c>
      <c r="AJ5" s="28" t="str">
        <f>IFERROR(__xludf.DUMMYFUNCTION("""COMPUTED_VALUE"""),"CustomUDA4")</f>
        <v>CustomUDA4</v>
      </c>
      <c r="AK5" s="28" t="str">
        <f>IFERROR(__xludf.DUMMYFUNCTION("""COMPUTED_VALUE"""),"CustomUDA5")</f>
        <v>CustomUDA5</v>
      </c>
      <c r="AL5" s="28" t="str">
        <f>IFERROR(__xludf.DUMMYFUNCTION("""COMPUTED_VALUE"""),"CustomUDA6")</f>
        <v>CustomUDA6</v>
      </c>
      <c r="AM5" s="28" t="str">
        <f>IFERROR(__xludf.DUMMYFUNCTION("""COMPUTED_VALUE"""),"CustomUDA7")</f>
        <v>CustomUDA7</v>
      </c>
      <c r="AN5" s="28" t="str">
        <f>IFERROR(__xludf.DUMMYFUNCTION("""COMPUTED_VALUE"""),"Delta")</f>
        <v>Delta</v>
      </c>
      <c r="AO5" s="28" t="str">
        <f>IFERROR(__xludf.DUMMYFUNCTION("""COMPUTED_VALUE"""),"Description")</f>
        <v>Description</v>
      </c>
      <c r="AP5" s="28" t="str">
        <f>IFERROR(__xludf.DUMMYFUNCTION("""COMPUTED_VALUE"""),"ExchangeName")</f>
        <v>ExchangeName</v>
      </c>
      <c r="AQ5" s="28" t="str">
        <f>IFERROR(__xludf.DUMMYFUNCTION("""COMPUTED_VALUE"""),"ExecutedQty")</f>
        <v>ExecutedQty</v>
      </c>
      <c r="AR5" s="28" t="str">
        <f>IFERROR(__xludf.DUMMYFUNCTION("""COMPUTED_VALUE"""),"ExternalTransId")</f>
        <v>ExternalTransId</v>
      </c>
      <c r="AS5" s="28" t="str">
        <f>IFERROR(__xludf.DUMMYFUNCTION("""COMPUTED_VALUE"""),"ForexReq")</f>
        <v>ForexReq</v>
      </c>
      <c r="AT5" s="28" t="str">
        <f>IFERROR(__xludf.DUMMYFUNCTION("""COMPUTED_VALUE"""),"FXConversionMethodOperator")</f>
        <v>FXConversionMethodOperator</v>
      </c>
      <c r="AU5" s="28" t="str">
        <f>IFERROR(__xludf.DUMMYFUNCTION("""COMPUTED_VALUE"""),"FXRate")</f>
        <v>FXRate</v>
      </c>
      <c r="AV5" s="28" t="str">
        <f>IFERROR(__xludf.DUMMYFUNCTION("""COMPUTED_VALUE"""),"GroupID")</f>
        <v>GroupID</v>
      </c>
      <c r="AW5" s="28" t="str">
        <f>IFERROR(__xludf.DUMMYFUNCTION("""COMPUTED_VALUE"""),"IDCOSymbol")</f>
        <v>IDCOSymbol</v>
      </c>
      <c r="AX5" s="28" t="str">
        <f>IFERROR(__xludf.DUMMYFUNCTION("""COMPUTED_VALUE"""),"InternalComments")</f>
        <v>InternalComments</v>
      </c>
      <c r="AY5" s="28" t="str">
        <f>IFERROR(__xludf.DUMMYFUNCTION("""COMPUTED_VALUE"""),"IsExcerciseAtZero")</f>
        <v>IsExcerciseAtZero</v>
      </c>
      <c r="AZ5" s="28" t="str">
        <f>IFERROR(__xludf.DUMMYFUNCTION("""COMPUTED_VALUE"""),"ISINSymbol")</f>
        <v>ISINSymbol</v>
      </c>
      <c r="BA5" s="28" t="str">
        <f>IFERROR(__xludf.DUMMYFUNCTION("""COMPUTED_VALUE"""),"IsNDF")</f>
        <v>IsNDF</v>
      </c>
      <c r="BB5" s="28" t="str">
        <f>IFERROR(__xludf.DUMMYFUNCTION("""COMPUTED_VALUE"""),"IsPosition")</f>
        <v>IsPosition</v>
      </c>
      <c r="BC5" s="28" t="str">
        <f>IFERROR(__xludf.DUMMYFUNCTION("""COMPUTED_VALUE"""),"IsPreAllocated")</f>
        <v>IsPreAllocated</v>
      </c>
      <c r="BD5" s="28" t="str">
        <f>IFERROR(__xludf.DUMMYFUNCTION("""COMPUTED_VALUE"""),"Issuer")</f>
        <v>Issuer</v>
      </c>
      <c r="BE5" s="28" t="str">
        <f>IFERROR(__xludf.DUMMYFUNCTION("""COMPUTED_VALUE"""),"ISSwap")</f>
        <v>ISSwap</v>
      </c>
      <c r="BF5" s="28" t="str">
        <f>IFERROR(__xludf.DUMMYFUNCTION("""COMPUTED_VALUE"""),"LeadCurrencyID")</f>
        <v>LeadCurrencyID</v>
      </c>
      <c r="BG5" s="28" t="str">
        <f>IFERROR(__xludf.DUMMYFUNCTION("""COMPUTED_VALUE"""),"Level1Name")</f>
        <v>Level1Name</v>
      </c>
      <c r="BH5" s="28" t="str">
        <f>IFERROR(__xludf.DUMMYFUNCTION("""COMPUTED_VALUE"""),"LevelName2")</f>
        <v>LevelName2</v>
      </c>
      <c r="BI5" s="28" t="str">
        <f>IFERROR(__xludf.DUMMYFUNCTION("""COMPUTED_VALUE"""),"LiquidTag")</f>
        <v>LiquidTag</v>
      </c>
      <c r="BJ5" s="28" t="str">
        <f>IFERROR(__xludf.DUMMYFUNCTION("""COMPUTED_VALUE"""),"LongOrShort")</f>
        <v>LongOrShort</v>
      </c>
      <c r="BK5" s="28" t="str">
        <f>IFERROR(__xludf.DUMMYFUNCTION("""COMPUTED_VALUE"""),"LotId")</f>
        <v>LotId</v>
      </c>
      <c r="BL5" s="28" t="str">
        <f>IFERROR(__xludf.DUMMYFUNCTION("""COMPUTED_VALUE"""),"M2MProfitLoss")</f>
        <v>M2MProfitLoss</v>
      </c>
      <c r="BM5" s="28" t="str">
        <f>IFERROR(__xludf.DUMMYFUNCTION("""COMPUTED_VALUE"""),"MarketCap")</f>
        <v>MarketCap</v>
      </c>
      <c r="BN5" s="28" t="str">
        <f>IFERROR(__xludf.DUMMYFUNCTION("""COMPUTED_VALUE"""),"MarkPrice")</f>
        <v>MarkPrice</v>
      </c>
      <c r="BO5" s="28" t="str">
        <f>IFERROR(__xludf.DUMMYFUNCTION("""COMPUTED_VALUE"""),"MasterFund")</f>
        <v>MasterFund</v>
      </c>
      <c r="BP5" s="28" t="str">
        <f>IFERROR(__xludf.DUMMYFUNCTION("""COMPUTED_VALUE"""),"MiscFees")</f>
        <v>MiscFees</v>
      </c>
      <c r="BQ5" s="28" t="str">
        <f>IFERROR(__xludf.DUMMYFUNCTION("""COMPUTED_VALUE"""),"NavLockStatus")</f>
        <v>NavLockStatus</v>
      </c>
      <c r="BR5" s="28" t="str">
        <f>IFERROR(__xludf.DUMMYFUNCTION("""COMPUTED_VALUE"""),"NetNotionalValue")</f>
        <v>NetNotionalValue</v>
      </c>
      <c r="BS5" s="28" t="str">
        <f>IFERROR(__xludf.DUMMYFUNCTION("""COMPUTED_VALUE"""),"NirvanaProcessDate")</f>
        <v>NirvanaProcessDate</v>
      </c>
      <c r="BT5" s="28" t="str">
        <f>IFERROR(__xludf.DUMMYFUNCTION("""COMPUTED_VALUE"""),"OCC Fee")</f>
        <v>OCC Fee</v>
      </c>
      <c r="BU5" s="28" t="str">
        <f>IFERROR(__xludf.DUMMYFUNCTION("""COMPUTED_VALUE"""),"OpenQty")</f>
        <v>OpenQty</v>
      </c>
      <c r="BV5" s="28" t="str">
        <f>IFERROR(__xludf.DUMMYFUNCTION("""COMPUTED_VALUE"""),"OpenTotalCommissionFees")</f>
        <v>OpenTotalCommissionFees</v>
      </c>
      <c r="BW5" s="28" t="str">
        <f>IFERROR(__xludf.DUMMYFUNCTION("""COMPUTED_VALUE"""),"OptionPremiumAdjustment")</f>
        <v>OptionPremiumAdjustment</v>
      </c>
      <c r="BX5" s="28" t="str">
        <f>IFERROR(__xludf.DUMMYFUNCTION("""COMPUTED_VALUE"""),"OrderSideTagValue")</f>
        <v>OrderSideTagValue</v>
      </c>
      <c r="BY5" s="28" t="str">
        <f>IFERROR(__xludf.DUMMYFUNCTION("""COMPUTED_VALUE"""),"orderType")</f>
        <v>orderType</v>
      </c>
      <c r="BZ5" s="28" t="str">
        <f>IFERROR(__xludf.DUMMYFUNCTION("""COMPUTED_VALUE"""),"OrfFee")</f>
        <v>OrfFee</v>
      </c>
      <c r="CA5" s="28" t="str">
        <f>IFERROR(__xludf.DUMMYFUNCTION("""COMPUTED_VALUE"""),"Original Side")</f>
        <v>Original Side</v>
      </c>
      <c r="CB5" s="28" t="str">
        <f>IFERROR(__xludf.DUMMYFUNCTION("""COMPUTED_VALUE"""),"OriginalPurchaseDate")</f>
        <v>OriginalPurchaseDate</v>
      </c>
      <c r="CC5" s="28" t="str">
        <f>IFERROR(__xludf.DUMMYFUNCTION("""COMPUTED_VALUE"""),"OSISymbol")</f>
        <v>OSISymbol</v>
      </c>
      <c r="CD5" s="28" t="str">
        <f>IFERROR(__xludf.DUMMYFUNCTION("""COMPUTED_VALUE"""),"OtherBrokerFees")</f>
        <v>OtherBrokerFees</v>
      </c>
      <c r="CE5" s="28" t="str">
        <f>IFERROR(__xludf.DUMMYFUNCTION("""COMPUTED_VALUE"""),"ParentRowPk")</f>
        <v>ParentRowPk</v>
      </c>
      <c r="CF5" s="28" t="str">
        <f>IFERROR(__xludf.DUMMYFUNCTION("""COMPUTED_VALUE"""),"Percentage")</f>
        <v>Percentage</v>
      </c>
      <c r="CG5" s="28" t="str">
        <f>IFERROR(__xludf.DUMMYFUNCTION("""COMPUTED_VALUE"""),"PositionTag")</f>
        <v>PositionTag</v>
      </c>
      <c r="CH5" s="28" t="str">
        <f>IFERROR(__xludf.DUMMYFUNCTION("""COMPUTED_VALUE"""),"PositionType")</f>
        <v>PositionType</v>
      </c>
      <c r="CI5" s="28" t="str">
        <f>IFERROR(__xludf.DUMMYFUNCTION("""COMPUTED_VALUE"""),"ProcessDate")</f>
        <v>ProcessDate</v>
      </c>
      <c r="CJ5" s="28" t="str">
        <f>IFERROR(__xludf.DUMMYFUNCTION("""COMPUTED_VALUE"""),"ProxySymbol")</f>
        <v>ProxySymbol</v>
      </c>
      <c r="CK5" s="28" t="str">
        <f>IFERROR(__xludf.DUMMYFUNCTION("""COMPUTED_VALUE"""),"SecFee")</f>
        <v>SecFee</v>
      </c>
      <c r="CL5" s="28" t="str">
        <f>IFERROR(__xludf.DUMMYFUNCTION("""COMPUTED_VALUE"""),"SectorName")</f>
        <v>SectorName</v>
      </c>
      <c r="CM5" s="28" t="str">
        <f>IFERROR(__xludf.DUMMYFUNCTION("""COMPUTED_VALUE"""),"SecurityTypeName")</f>
        <v>SecurityTypeName</v>
      </c>
      <c r="CN5" s="28" t="str">
        <f>IFERROR(__xludf.DUMMYFUNCTION("""COMPUTED_VALUE"""),"SedolSymbol")</f>
        <v>SedolSymbol</v>
      </c>
      <c r="CO5" s="28" t="str">
        <f>IFERROR(__xludf.DUMMYFUNCTION("""COMPUTED_VALUE"""),"SettlCurrAmt")</f>
        <v>SettlCurrAmt</v>
      </c>
      <c r="CP5" s="28" t="str">
        <f>IFERROR(__xludf.DUMMYFUNCTION("""COMPUTED_VALUE"""),"SettlCurrFxRate")</f>
        <v>SettlCurrFxRate</v>
      </c>
      <c r="CQ5" s="28" t="str">
        <f>IFERROR(__xludf.DUMMYFUNCTION("""COMPUTED_VALUE"""),"SettlCurrFxRateCalc")</f>
        <v>SettlCurrFxRateCalc</v>
      </c>
      <c r="CR5" s="28" t="str">
        <f>IFERROR(__xludf.DUMMYFUNCTION("""COMPUTED_VALUE"""),"SettlCurrUnitCost")</f>
        <v>SettlCurrUnitCost</v>
      </c>
      <c r="CS5" s="28" t="str">
        <f>IFERROR(__xludf.DUMMYFUNCTION("""COMPUTED_VALUE"""),"SettledQty")</f>
        <v>SettledQty</v>
      </c>
      <c r="CT5" s="28" t="str">
        <f>IFERROR(__xludf.DUMMYFUNCTION("""COMPUTED_VALUE"""),"Settlement Currency")</f>
        <v>Settlement Currency</v>
      </c>
      <c r="CU5" s="28" t="str">
        <f>IFERROR(__xludf.DUMMYFUNCTION("""COMPUTED_VALUE"""),"SettlementDate")</f>
        <v>SettlementDate</v>
      </c>
      <c r="CV5" s="28" t="str">
        <f>IFERROR(__xludf.DUMMYFUNCTION("""COMPUTED_VALUE"""),"SideMultiplier")</f>
        <v>SideMultiplier</v>
      </c>
      <c r="CW5" s="28" t="str">
        <f>IFERROR(__xludf.DUMMYFUNCTION("""COMPUTED_VALUE"""),"SoftCommission")</f>
        <v>SoftCommission</v>
      </c>
      <c r="CX5" s="28" t="str">
        <f>IFERROR(__xludf.DUMMYFUNCTION("""COMPUTED_VALUE"""),"SoftCommissionAmt")</f>
        <v>SoftCommissionAmt</v>
      </c>
      <c r="CY5" s="28" t="str">
        <f>IFERROR(__xludf.DUMMYFUNCTION("""COMPUTED_VALUE"""),"SoftCommissionCalcBasis")</f>
        <v>SoftCommissionCalcBasis</v>
      </c>
      <c r="CZ5" s="28" t="str">
        <f>IFERROR(__xludf.DUMMYFUNCTION("""COMPUTED_VALUE"""),"SoftCommissionRate")</f>
        <v>SoftCommissionRate</v>
      </c>
      <c r="DA5" s="28" t="str">
        <f>IFERROR(__xludf.DUMMYFUNCTION("""COMPUTED_VALUE"""),"StampDuty")</f>
        <v>StampDuty</v>
      </c>
      <c r="DB5" s="28" t="str">
        <f>IFERROR(__xludf.DUMMYFUNCTION("""COMPUTED_VALUE"""),"StrikePrice")</f>
        <v>StrikePrice</v>
      </c>
      <c r="DC5" s="28" t="str">
        <f>IFERROR(__xludf.DUMMYFUNCTION("""COMPUTED_VALUE"""),"SubSectorName")</f>
        <v>SubSectorName</v>
      </c>
      <c r="DD5" s="28" t="str">
        <f>IFERROR(__xludf.DUMMYFUNCTION("""COMPUTED_VALUE"""),"SwapParameters")</f>
        <v>SwapParameters</v>
      </c>
      <c r="DE5" s="28" t="str">
        <f>IFERROR(__xludf.DUMMYFUNCTION("""COMPUTED_VALUE"""),"Symbol")</f>
        <v>Symbol</v>
      </c>
      <c r="DF5" s="28" t="str">
        <f>IFERROR(__xludf.DUMMYFUNCTION("""COMPUTED_VALUE"""),"TaxlotClosingId")</f>
        <v>TaxlotClosingId</v>
      </c>
      <c r="DG5" s="28" t="str">
        <f>IFERROR(__xludf.DUMMYFUNCTION("""COMPUTED_VALUE"""),"TaxLotID")</f>
        <v>TaxLotID</v>
      </c>
      <c r="DH5" s="28" t="str">
        <f>IFERROR(__xludf.DUMMYFUNCTION("""COMPUTED_VALUE"""),"taxlotPk")</f>
        <v>taxlotPk</v>
      </c>
      <c r="DI5" s="28" t="str">
        <f>IFERROR(__xludf.DUMMYFUNCTION("""COMPUTED_VALUE"""),"TaxLotQtyToClose")</f>
        <v>TaxLotQtyToClose</v>
      </c>
      <c r="DJ5" s="28" t="str">
        <f>IFERROR(__xludf.DUMMYFUNCTION("""COMPUTED_VALUE"""),"TaxonCommissions")</f>
        <v>TaxonCommissions</v>
      </c>
      <c r="DK5" s="28" t="str">
        <f>IFERROR(__xludf.DUMMYFUNCTION("""COMPUTED_VALUE"""),"TimeOfSaveUTC")</f>
        <v>TimeOfSaveUTC</v>
      </c>
      <c r="DL5" s="28" t="str">
        <f>IFERROR(__xludf.DUMMYFUNCTION("""COMPUTED_VALUE"""),"TotalCommissionandFees")</f>
        <v>TotalCommissionandFees</v>
      </c>
      <c r="DM5" s="28" t="str">
        <f>IFERROR(__xludf.DUMMYFUNCTION("""COMPUTED_VALUE"""),"Tradedate")</f>
        <v>Tradedate</v>
      </c>
      <c r="DN5" s="28" t="str">
        <f>IFERROR(__xludf.DUMMYFUNCTION("""COMPUTED_VALUE"""),"TradeAttribute1")</f>
        <v>TradeAttribute1</v>
      </c>
      <c r="DO5" s="28" t="str">
        <f>IFERROR(__xludf.DUMMYFUNCTION("""COMPUTED_VALUE"""),"TradeAttribute2")</f>
        <v>TradeAttribute2</v>
      </c>
      <c r="DP5" s="28" t="str">
        <f>IFERROR(__xludf.DUMMYFUNCTION("""COMPUTED_VALUE"""),"TradeAttribute3")</f>
        <v>TradeAttribute3</v>
      </c>
      <c r="DQ5" s="28" t="str">
        <f>IFERROR(__xludf.DUMMYFUNCTION("""COMPUTED_VALUE"""),"TradeAttribute4")</f>
        <v>TradeAttribute4</v>
      </c>
      <c r="DR5" s="28" t="str">
        <f>IFERROR(__xludf.DUMMYFUNCTION("""COMPUTED_VALUE"""),"TradeAttribute5")</f>
        <v>TradeAttribute5</v>
      </c>
      <c r="DS5" s="28" t="str">
        <f>IFERROR(__xludf.DUMMYFUNCTION("""COMPUTED_VALUE"""),"TradeAttribute6")</f>
        <v>TradeAttribute6</v>
      </c>
      <c r="DT5" s="28" t="str">
        <f>IFERROR(__xludf.DUMMYFUNCTION("""COMPUTED_VALUE"""),"TradingAccountName")</f>
        <v>TradingAccountName</v>
      </c>
      <c r="DU5" s="28" t="str">
        <f>IFERROR(__xludf.DUMMYFUNCTION("""COMPUTED_VALUE"""),"TransactionLevy")</f>
        <v>TransactionLevy</v>
      </c>
      <c r="DV5" s="28" t="str">
        <f>IFERROR(__xludf.DUMMYFUNCTION("""COMPUTED_VALUE"""),"TransactionType")</f>
        <v>TransactionType</v>
      </c>
      <c r="DW5" s="28" t="str">
        <f>IFERROR(__xludf.DUMMYFUNCTION("""COMPUTED_VALUE"""),"UcitsEligibleTag")</f>
        <v>UcitsEligibleTag</v>
      </c>
      <c r="DX5" s="28" t="str">
        <f>IFERROR(__xludf.DUMMYFUNCTION("""COMPUTED_VALUE"""),"UDAAsset")</f>
        <v>UDAAsset</v>
      </c>
      <c r="DY5" s="28" t="str">
        <f>IFERROR(__xludf.DUMMYFUNCTION("""COMPUTED_VALUE"""),"UnderlyingDelta")</f>
        <v>UnderlyingDelta</v>
      </c>
      <c r="DZ5" s="28" t="str">
        <f>IFERROR(__xludf.DUMMYFUNCTION("""COMPUTED_VALUE"""),"UnderlyingName")</f>
        <v>UnderlyingName</v>
      </c>
      <c r="EA5" s="28" t="str">
        <f>IFERROR(__xludf.DUMMYFUNCTION("""COMPUTED_VALUE"""),"UnderlyingSymbol")</f>
        <v>UnderlyingSymbol</v>
      </c>
      <c r="EB5" s="28" t="str">
        <f>IFERROR(__xludf.DUMMYFUNCTION("""COMPUTED_VALUE"""),"UnitCost")</f>
        <v>UnitCost</v>
      </c>
      <c r="EC5" s="28" t="str">
        <f>IFERROR(__xludf.DUMMYFUNCTION("""COMPUTED_VALUE"""),"UnRealizedPNL")</f>
        <v>UnRealizedPNL</v>
      </c>
      <c r="ED5" s="28" t="str">
        <f>IFERROR(__xludf.DUMMYFUNCTION("""COMPUTED_VALUE"""),"Venue")</f>
        <v>Venue</v>
      </c>
      <c r="EE5" s="28" t="str">
        <f>IFERROR(__xludf.DUMMYFUNCTION("""COMPUTED_VALUE"""),"VsCurrencyID")</f>
        <v>VsCurrencyID</v>
      </c>
      <c r="EF5" s="28" t="str">
        <f>IFERROR(__xludf.DUMMYFUNCTION("""COMPUTED_VALUE"""),"WorkflowState")</f>
        <v>WorkflowState</v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/>
      <c r="C6" s="6"/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29">
        <v>43502.0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CashSettlementAtClosingDtSpotPx!$4:$4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27</v>
      </c>
      <c r="D3" s="8" t="s">
        <v>9</v>
      </c>
      <c r="E3" s="21" t="s">
        <v>32</v>
      </c>
      <c r="F3" s="8" t="s">
        <v>14</v>
      </c>
      <c r="G3" s="11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IFERROR(__xludf.DUMMYFUNCTION("""COMPUTED_VALUE"""),"checkBox")</f>
        <v>checkBox</v>
      </c>
      <c r="E5" s="26" t="str">
        <f>IFERROR(__xludf.DUMMYFUNCTION("""COMPUTED_VALUE"""),"Close Date")</f>
        <v>Close Date</v>
      </c>
      <c r="F5" s="27" t="str">
        <f>IFERROR(__xludf.DUMMYFUNCTION("""COMPUTED_VALUE"""),"ClosedAveragePrice")</f>
        <v>ClosedAveragePrice</v>
      </c>
      <c r="G5" s="26" t="str">
        <f>IFERROR(__xludf.DUMMYFUNCTION("""COMPUTED_VALUE"""),"ClosedQty")</f>
        <v>ClosedQty</v>
      </c>
      <c r="H5" s="26" t="str">
        <f>IFERROR(__xludf.DUMMYFUNCTION("""COMPUTED_VALUE"""),"Closing Method")</f>
        <v>Closing Method</v>
      </c>
      <c r="I5" s="26" t="str">
        <f>IFERROR(__xludf.DUMMYFUNCTION("""COMPUTED_VALUE"""),"ClosingID")</f>
        <v>ClosingID</v>
      </c>
      <c r="J5" s="26" t="str">
        <f>IFERROR(__xludf.DUMMYFUNCTION("""COMPUTED_VALUE"""),"ClosingMode")</f>
        <v>ClosingMode</v>
      </c>
      <c r="K5" s="26" t="str">
        <f>IFERROR(__xludf.DUMMYFUNCTION("""COMPUTED_VALUE"""),"ClosingPositionTag")</f>
        <v>ClosingPositionTag</v>
      </c>
      <c r="L5" s="26" t="str">
        <f>IFERROR(__xludf.DUMMYFUNCTION("""COMPUTED_VALUE"""),"ClosingSide")</f>
        <v>ClosingSide</v>
      </c>
      <c r="M5" s="26" t="str">
        <f>IFERROR(__xludf.DUMMYFUNCTION("""COMPUTED_VALUE"""),"ClosingTotalCommissionandFees")</f>
        <v>ClosingTotalCommissionandFees</v>
      </c>
      <c r="N5" s="26" t="str">
        <f>IFERROR(__xludf.DUMMYFUNCTION("""COMPUTED_VALUE"""),"Column1")</f>
        <v>Column1</v>
      </c>
      <c r="O5" s="26" t="str">
        <f>IFERROR(__xludf.DUMMYFUNCTION("""COMPUTED_VALUE"""),"CostBasisGrossPNL")</f>
        <v>CostBasisGrossPNL</v>
      </c>
      <c r="P5" s="26" t="str">
        <f>IFERROR(__xludf.DUMMYFUNCTION("""COMPUTED_VALUE"""),"Currency")</f>
        <v>Currency</v>
      </c>
      <c r="Q5" s="26" t="str">
        <f>IFERROR(__xludf.DUMMYFUNCTION("""COMPUTED_VALUE"""),"CurrencyID")</f>
        <v>CurrencyID</v>
      </c>
      <c r="R5" s="26" t="str">
        <f>IFERROR(__xludf.DUMMYFUNCTION("""COMPUTED_VALUE"""),"Exchange")</f>
        <v>Exchange</v>
      </c>
      <c r="S5" s="26" t="str">
        <f>IFERROR(__xludf.DUMMYFUNCTION("""COMPUTED_VALUE"""),"NotionalChange")</f>
        <v>NotionalChange</v>
      </c>
      <c r="T5" s="28" t="str">
        <f>IFERROR(__xludf.DUMMYFUNCTION("""COMPUTED_VALUE"""),"OpenAveragePrice")</f>
        <v>OpenAveragePrice</v>
      </c>
      <c r="U5" s="28" t="str">
        <f>IFERROR(__xludf.DUMMYFUNCTION("""COMPUTED_VALUE"""),"Original Purchase Date")</f>
        <v>Original Purchase Date</v>
      </c>
      <c r="V5" s="28" t="str">
        <f>IFERROR(__xludf.DUMMYFUNCTION("""COMPUTED_VALUE"""),"Position Type")</f>
        <v>Position Type</v>
      </c>
      <c r="W5" s="28" t="str">
        <f>IFERROR(__xludf.DUMMYFUNCTION("""COMPUTED_VALUE"""),"PositionSide")</f>
        <v>PositionSide</v>
      </c>
      <c r="X5" s="28" t="str">
        <f>IFERROR(__xludf.DUMMYFUNCTION("""COMPUTED_VALUE"""),"PositionTotalCommissionandFees")</f>
        <v>PositionTotalCommissionandFees</v>
      </c>
      <c r="Y5" s="28" t="str">
        <f>IFERROR(__xludf.DUMMYFUNCTION("""COMPUTED_VALUE"""),"Realized PNL(C.B.)")</f>
        <v>Realized PNL(C.B.)</v>
      </c>
      <c r="Z5" s="28" t="str">
        <f>IFERROR(__xludf.DUMMYFUNCTION("""COMPUTED_VALUE"""),"Side")</f>
        <v>Side</v>
      </c>
      <c r="AA5" s="28" t="str">
        <f>IFERROR(__xludf.DUMMYFUNCTION("""COMPUTED_VALUE"""),"Strategy")</f>
        <v>Strategy</v>
      </c>
      <c r="AB5" s="28" t="str">
        <f>IFERROR(__xludf.DUMMYFUNCTION("""COMPUTED_VALUE"""),"Symbol")</f>
        <v>Symbol</v>
      </c>
      <c r="AC5" s="28" t="str">
        <f>IFERROR(__xludf.DUMMYFUNCTION("""COMPUTED_VALUE"""),"Taxlot ID")</f>
        <v>Taxlot ID</v>
      </c>
      <c r="AD5" s="28" t="str">
        <f>IFERROR(__xludf.DUMMYFUNCTION("""COMPUTED_VALUE"""),"UnderlyingName")</f>
        <v>UnderlyingName</v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 t="s">
        <v>24</v>
      </c>
      <c r="C6" s="9" t="s">
        <v>33</v>
      </c>
      <c r="D6" s="9"/>
      <c r="E6" s="29">
        <v>43502.0</v>
      </c>
      <c r="F6" s="6"/>
      <c r="G6" s="9">
        <v>2655650.38</v>
      </c>
      <c r="H6" s="6"/>
      <c r="I6" s="9"/>
      <c r="J6" s="9" t="s">
        <v>34</v>
      </c>
      <c r="K6" s="6"/>
      <c r="L6" s="6"/>
      <c r="M6" s="6"/>
      <c r="N6" s="6"/>
      <c r="O6" s="6"/>
      <c r="T6" s="31">
        <v>1.33</v>
      </c>
      <c r="Y6" s="31">
        <v>-73164.8797</v>
      </c>
      <c r="Z6" s="31" t="s">
        <v>23</v>
      </c>
      <c r="AB6" s="32" t="s">
        <v>22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27</v>
      </c>
      <c r="D3" s="8" t="s">
        <v>9</v>
      </c>
      <c r="E3" s="21" t="s">
        <v>30</v>
      </c>
      <c r="F3" s="8" t="s">
        <v>14</v>
      </c>
      <c r="G3" s="11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IFERROR(__xludf.DUMMYFUNCTION("""COMPUTED_VALUE"""),"AccruedInterest")</f>
        <v>AccruedInterest</v>
      </c>
      <c r="D5" s="26" t="str">
        <f>IFERROR(__xludf.DUMMYFUNCTION("""COMPUTED_VALUE"""),"Analyst")</f>
        <v>Analyst</v>
      </c>
      <c r="E5" s="26" t="str">
        <f>IFERROR(__xludf.DUMMYFUNCTION("""COMPUTED_VALUE"""),"Asset Class")</f>
        <v>Asset Class</v>
      </c>
      <c r="F5" s="27" t="str">
        <f>IFERROR(__xludf.DUMMYFUNCTION("""COMPUTED_VALUE"""),"Asset Derivative")</f>
        <v>Asset Derivative</v>
      </c>
      <c r="G5" s="26" t="str">
        <f>IFERROR(__xludf.DUMMYFUNCTION("""COMPUTED_VALUE"""),"AUECID")</f>
        <v>AUECID</v>
      </c>
      <c r="H5" s="26" t="str">
        <f>IFERROR(__xludf.DUMMYFUNCTION("""COMPUTED_VALUE"""),"AUECModifiedDate")</f>
        <v>AUECModifiedDate</v>
      </c>
      <c r="I5" s="26" t="str">
        <f>IFERROR(__xludf.DUMMYFUNCTION("""COMPUTED_VALUE"""),"Average Price")</f>
        <v>Average Price</v>
      </c>
      <c r="J5" s="26" t="str">
        <f>IFERROR(__xludf.DUMMYFUNCTION("""COMPUTED_VALUE"""),"BloombergSymbol")</f>
        <v>BloombergSymbol</v>
      </c>
      <c r="K5" s="26" t="str">
        <f>IFERROR(__xludf.DUMMYFUNCTION("""COMPUTED_VALUE"""),"Broker")</f>
        <v>Broker</v>
      </c>
      <c r="L5" s="26" t="str">
        <f>IFERROR(__xludf.DUMMYFUNCTION("""COMPUTED_VALUE"""),"CalcBasis")</f>
        <v>CalcBasis</v>
      </c>
      <c r="M5" s="26" t="str">
        <f>IFERROR(__xludf.DUMMYFUNCTION("""COMPUTED_VALUE"""),"CashSettledPrice")</f>
        <v>CashSettledPrice</v>
      </c>
      <c r="N5" s="26" t="str">
        <f>IFERROR(__xludf.DUMMYFUNCTION("""COMPUTED_VALUE"""),"ChangeComment")</f>
        <v>ChangeComment</v>
      </c>
      <c r="O5" s="26" t="str">
        <f>IFERROR(__xludf.DUMMYFUNCTION("""COMPUTED_VALUE"""),"ChangeType")</f>
        <v>ChangeType</v>
      </c>
      <c r="P5" s="26" t="str">
        <f>IFERROR(__xludf.DUMMYFUNCTION("""COMPUTED_VALUE"""),"ClearingBrokerFee")</f>
        <v>ClearingBrokerFee</v>
      </c>
      <c r="Q5" s="26" t="str">
        <f>IFERROR(__xludf.DUMMYFUNCTION("""COMPUTED_VALUE"""),"ClearingFee")</f>
        <v>ClearingFee</v>
      </c>
      <c r="R5" s="26" t="str">
        <f>IFERROR(__xludf.DUMMYFUNCTION("""COMPUTED_VALUE"""),"ClosedTotalCommissionandFees")</f>
        <v>ClosedTotalCommissionandFees</v>
      </c>
      <c r="S5" s="26" t="str">
        <f>IFERROR(__xludf.DUMMYFUNCTION("""COMPUTED_VALUE"""),"ClosingAlgo")</f>
        <v>ClosingAlgo</v>
      </c>
      <c r="T5" s="28" t="str">
        <f>IFERROR(__xludf.DUMMYFUNCTION("""COMPUTED_VALUE"""),"ClosingDate")</f>
        <v>ClosingDate</v>
      </c>
      <c r="U5" s="28" t="str">
        <f>IFERROR(__xludf.DUMMYFUNCTION("""COMPUTED_VALUE"""),"ClosingStatus")</f>
        <v>ClosingStatus</v>
      </c>
      <c r="V5" s="28" t="str">
        <f>IFERROR(__xludf.DUMMYFUNCTION("""COMPUTED_VALUE"""),"Commission")</f>
        <v>Commission</v>
      </c>
      <c r="W5" s="28" t="str">
        <f>IFERROR(__xludf.DUMMYFUNCTION("""COMPUTED_VALUE"""),"CommissionAmt")</f>
        <v>CommissionAmt</v>
      </c>
      <c r="X5" s="28" t="str">
        <f>IFERROR(__xludf.DUMMYFUNCTION("""COMPUTED_VALUE"""),"CommissionRate")</f>
        <v>CommissionRate</v>
      </c>
      <c r="Y5" s="28" t="str">
        <f>IFERROR(__xludf.DUMMYFUNCTION("""COMPUTED_VALUE"""),"CompanyUserName")</f>
        <v>CompanyUserName</v>
      </c>
      <c r="Z5" s="28" t="str">
        <f>IFERROR(__xludf.DUMMYFUNCTION("""COMPUTED_VALUE"""),"ContractMultiplier")</f>
        <v>ContractMultiplier</v>
      </c>
      <c r="AA5" s="28" t="str">
        <f>IFERROR(__xludf.DUMMYFUNCTION("""COMPUTED_VALUE"""),"CountryName")</f>
        <v>CountryName</v>
      </c>
      <c r="AB5" s="28" t="str">
        <f>IFERROR(__xludf.DUMMYFUNCTION("""COMPUTED_VALUE"""),"CountryOfRisk")</f>
        <v>CountryOfRisk</v>
      </c>
      <c r="AC5" s="28" t="str">
        <f>IFERROR(__xludf.DUMMYFUNCTION("""COMPUTED_VALUE"""),"CumQty")</f>
        <v>CumQty</v>
      </c>
      <c r="AD5" s="28" t="str">
        <f>IFERROR(__xludf.DUMMYFUNCTION("""COMPUTED_VALUE"""),"CurrencyID")</f>
        <v>CurrencyID</v>
      </c>
      <c r="AE5" s="28" t="str">
        <f>IFERROR(__xludf.DUMMYFUNCTION("""COMPUTED_VALUE"""),"CurrencyName")</f>
        <v>CurrencyName</v>
      </c>
      <c r="AF5" s="28" t="str">
        <f>IFERROR(__xludf.DUMMYFUNCTION("""COMPUTED_VALUE"""),"CusipSymbol")</f>
        <v>CusipSymbol</v>
      </c>
      <c r="AG5" s="28" t="str">
        <f>IFERROR(__xludf.DUMMYFUNCTION("""COMPUTED_VALUE"""),"CustomUDA1")</f>
        <v>CustomUDA1</v>
      </c>
      <c r="AH5" s="28" t="str">
        <f>IFERROR(__xludf.DUMMYFUNCTION("""COMPUTED_VALUE"""),"CustomUDA2")</f>
        <v>CustomUDA2</v>
      </c>
      <c r="AI5" s="28" t="str">
        <f>IFERROR(__xludf.DUMMYFUNCTION("""COMPUTED_VALUE"""),"CustomUDA3")</f>
        <v>CustomUDA3</v>
      </c>
      <c r="AJ5" s="28" t="str">
        <f>IFERROR(__xludf.DUMMYFUNCTION("""COMPUTED_VALUE"""),"CustomUDA4")</f>
        <v>CustomUDA4</v>
      </c>
      <c r="AK5" s="28" t="str">
        <f>IFERROR(__xludf.DUMMYFUNCTION("""COMPUTED_VALUE"""),"CustomUDA5")</f>
        <v>CustomUDA5</v>
      </c>
      <c r="AL5" s="28" t="str">
        <f>IFERROR(__xludf.DUMMYFUNCTION("""COMPUTED_VALUE"""),"CustomUDA6")</f>
        <v>CustomUDA6</v>
      </c>
      <c r="AM5" s="28" t="str">
        <f>IFERROR(__xludf.DUMMYFUNCTION("""COMPUTED_VALUE"""),"CustomUDA7")</f>
        <v>CustomUDA7</v>
      </c>
      <c r="AN5" s="28" t="str">
        <f>IFERROR(__xludf.DUMMYFUNCTION("""COMPUTED_VALUE"""),"Delta")</f>
        <v>Delta</v>
      </c>
      <c r="AO5" s="28" t="str">
        <f>IFERROR(__xludf.DUMMYFUNCTION("""COMPUTED_VALUE"""),"Description")</f>
        <v>Description</v>
      </c>
      <c r="AP5" s="28" t="str">
        <f>IFERROR(__xludf.DUMMYFUNCTION("""COMPUTED_VALUE"""),"ExchangeName")</f>
        <v>ExchangeName</v>
      </c>
      <c r="AQ5" s="28" t="str">
        <f>IFERROR(__xludf.DUMMYFUNCTION("""COMPUTED_VALUE"""),"ExecutedQty")</f>
        <v>ExecutedQty</v>
      </c>
      <c r="AR5" s="28" t="str">
        <f>IFERROR(__xludf.DUMMYFUNCTION("""COMPUTED_VALUE"""),"ExpirationDate")</f>
        <v>ExpirationDate</v>
      </c>
      <c r="AS5" s="28" t="str">
        <f>IFERROR(__xludf.DUMMYFUNCTION("""COMPUTED_VALUE"""),"ExternalTransID")</f>
        <v>ExternalTransID</v>
      </c>
      <c r="AT5" s="28" t="str">
        <f>IFERROR(__xludf.DUMMYFUNCTION("""COMPUTED_VALUE"""),"FXConversionMethodOperator")</f>
        <v>FXConversionMethodOperator</v>
      </c>
      <c r="AU5" s="28" t="str">
        <f>IFERROR(__xludf.DUMMYFUNCTION("""COMPUTED_VALUE"""),"FXRate")</f>
        <v>FXRate</v>
      </c>
      <c r="AV5" s="28" t="str">
        <f>IFERROR(__xludf.DUMMYFUNCTION("""COMPUTED_VALUE"""),"GroupID")</f>
        <v>GroupID</v>
      </c>
      <c r="AW5" s="28" t="str">
        <f>IFERROR(__xludf.DUMMYFUNCTION("""COMPUTED_VALUE"""),"IDCOSymbol")</f>
        <v>IDCOSymbol</v>
      </c>
      <c r="AX5" s="28" t="str">
        <f>IFERROR(__xludf.DUMMYFUNCTION("""COMPUTED_VALUE"""),"InternalComments")</f>
        <v>InternalComments</v>
      </c>
      <c r="AY5" s="28" t="str">
        <f>IFERROR(__xludf.DUMMYFUNCTION("""COMPUTED_VALUE"""),"IsExerciseAtZero")</f>
        <v>IsExerciseAtZero</v>
      </c>
      <c r="AZ5" s="28" t="str">
        <f>IFERROR(__xludf.DUMMYFUNCTION("""COMPUTED_VALUE"""),"ISINSymbol")</f>
        <v>ISINSymbol</v>
      </c>
      <c r="BA5" s="28" t="str">
        <f>IFERROR(__xludf.DUMMYFUNCTION("""COMPUTED_VALUE"""),"IsNDF")</f>
        <v>IsNDF</v>
      </c>
      <c r="BB5" s="28" t="str">
        <f>IFERROR(__xludf.DUMMYFUNCTION("""COMPUTED_VALUE"""),"IsPosition")</f>
        <v>IsPosition</v>
      </c>
      <c r="BC5" s="28" t="str">
        <f>IFERROR(__xludf.DUMMYFUNCTION("""COMPUTED_VALUE"""),"IsPreAllocated")</f>
        <v>IsPreAllocated</v>
      </c>
      <c r="BD5" s="28" t="str">
        <f>IFERROR(__xludf.DUMMYFUNCTION("""COMPUTED_VALUE"""),"Issuer")</f>
        <v>Issuer</v>
      </c>
      <c r="BE5" s="28" t="str">
        <f>IFERROR(__xludf.DUMMYFUNCTION("""COMPUTED_VALUE"""),"IsSwapped")</f>
        <v>IsSwapped</v>
      </c>
      <c r="BF5" s="28" t="str">
        <f>IFERROR(__xludf.DUMMYFUNCTION("""COMPUTED_VALUE"""),"LeadCurrencyID")</f>
        <v>LeadCurrencyID</v>
      </c>
      <c r="BG5" s="28" t="str">
        <f>IFERROR(__xludf.DUMMYFUNCTION("""COMPUTED_VALUE"""),"LiquidTag")</f>
        <v>LiquidTag</v>
      </c>
      <c r="BH5" s="28" t="str">
        <f>IFERROR(__xludf.DUMMYFUNCTION("""COMPUTED_VALUE"""),"LongOrShort")</f>
        <v>LongOrShort</v>
      </c>
      <c r="BI5" s="28" t="str">
        <f>IFERROR(__xludf.DUMMYFUNCTION("""COMPUTED_VALUE"""),"LotId")</f>
        <v>LotId</v>
      </c>
      <c r="BJ5" s="28" t="str">
        <f>IFERROR(__xludf.DUMMYFUNCTION("""COMPUTED_VALUE"""),"M2MProfitLoss")</f>
        <v>M2MProfitLoss</v>
      </c>
      <c r="BK5" s="28" t="str">
        <f>IFERROR(__xludf.DUMMYFUNCTION("""COMPUTED_VALUE"""),"MarkPrice")</f>
        <v>MarkPrice</v>
      </c>
      <c r="BL5" s="28" t="str">
        <f>IFERROR(__xludf.DUMMYFUNCTION("""COMPUTED_VALUE"""),"MasterFund")</f>
        <v>MasterFund</v>
      </c>
      <c r="BM5" s="28" t="str">
        <f>IFERROR(__xludf.DUMMYFUNCTION("""COMPUTED_VALUE"""),"MiscFees")</f>
        <v>MiscFees</v>
      </c>
      <c r="BN5" s="28" t="str">
        <f>IFERROR(__xludf.DUMMYFUNCTION("""COMPUTED_VALUE"""),"NavLockStatus")</f>
        <v>NavLockStatus</v>
      </c>
      <c r="BO5" s="28" t="str">
        <f>IFERROR(__xludf.DUMMYFUNCTION("""COMPUTED_VALUE"""),"Net Notional")</f>
        <v>Net Notional</v>
      </c>
      <c r="BP5" s="28" t="str">
        <f>IFERROR(__xludf.DUMMYFUNCTION("""COMPUTED_VALUE"""),"NirvanaProcessDate")</f>
        <v>NirvanaProcessDate</v>
      </c>
      <c r="BQ5" s="28" t="str">
        <f>IFERROR(__xludf.DUMMYFUNCTION("""COMPUTED_VALUE"""),"OccFee")</f>
        <v>OccFee</v>
      </c>
      <c r="BR5" s="28" t="str">
        <f>IFERROR(__xludf.DUMMYFUNCTION("""COMPUTED_VALUE"""),"OptionPremiumAdjustment")</f>
        <v>OptionPremiumAdjustment</v>
      </c>
      <c r="BS5" s="28" t="str">
        <f>IFERROR(__xludf.DUMMYFUNCTION("""COMPUTED_VALUE"""),"OrderSideTagValue")</f>
        <v>OrderSideTagValue</v>
      </c>
      <c r="BT5" s="28" t="str">
        <f>IFERROR(__xludf.DUMMYFUNCTION("""COMPUTED_VALUE"""),"OrderType")</f>
        <v>OrderType</v>
      </c>
      <c r="BU5" s="28" t="str">
        <f>IFERROR(__xludf.DUMMYFUNCTION("""COMPUTED_VALUE"""),"OrfFee")</f>
        <v>OrfFee</v>
      </c>
      <c r="BV5" s="28" t="str">
        <f>IFERROR(__xludf.DUMMYFUNCTION("""COMPUTED_VALUE"""),"Original Side")</f>
        <v>Original Side</v>
      </c>
      <c r="BW5" s="28" t="str">
        <f>IFERROR(__xludf.DUMMYFUNCTION("""COMPUTED_VALUE"""),"OriginalPurchase Date")</f>
        <v>OriginalPurchase Date</v>
      </c>
      <c r="BX5" s="28" t="str">
        <f>IFERROR(__xludf.DUMMYFUNCTION("""COMPUTED_VALUE"""),"OSISymbol")</f>
        <v>OSISymbol</v>
      </c>
      <c r="BY5" s="28" t="str">
        <f>IFERROR(__xludf.DUMMYFUNCTION("""COMPUTED_VALUE"""),"OtherBrokerFees")</f>
        <v>OtherBrokerFees</v>
      </c>
      <c r="BZ5" s="28" t="str">
        <f>IFERROR(__xludf.DUMMYFUNCTION("""COMPUTED_VALUE"""),"ParentRowPK")</f>
        <v>ParentRowPK</v>
      </c>
      <c r="CA5" s="28" t="str">
        <f>IFERROR(__xludf.DUMMYFUNCTION("""COMPUTED_VALUE"""),"Percentage")</f>
        <v>Percentage</v>
      </c>
      <c r="CB5" s="28" t="str">
        <f>IFERROR(__xludf.DUMMYFUNCTION("""COMPUTED_VALUE"""),"PositionTag")</f>
        <v>PositionTag</v>
      </c>
      <c r="CC5" s="28" t="str">
        <f>IFERROR(__xludf.DUMMYFUNCTION("""COMPUTED_VALUE"""),"PositionType")</f>
        <v>PositionType</v>
      </c>
      <c r="CD5" s="28" t="str">
        <f>IFERROR(__xludf.DUMMYFUNCTION("""COMPUTED_VALUE"""),"Process Date")</f>
        <v>Process Date</v>
      </c>
      <c r="CE5" s="28" t="str">
        <f>IFERROR(__xludf.DUMMYFUNCTION("""COMPUTED_VALUE"""),"ProxySymbol")</f>
        <v>ProxySymbol</v>
      </c>
      <c r="CF5" s="28" t="str">
        <f>IFERROR(__xludf.DUMMYFUNCTION("""COMPUTED_VALUE"""),"PutOrCall")</f>
        <v>PutOrCall</v>
      </c>
      <c r="CG5" s="28" t="str">
        <f>IFERROR(__xludf.DUMMYFUNCTION("""COMPUTED_VALUE"""),"Quantity")</f>
        <v>Quantity</v>
      </c>
      <c r="CH5" s="28" t="str">
        <f>IFERROR(__xludf.DUMMYFUNCTION("""COMPUTED_VALUE"""),"Region")</f>
        <v>Region</v>
      </c>
      <c r="CI5" s="28" t="str">
        <f>IFERROR(__xludf.DUMMYFUNCTION("""COMPUTED_VALUE"""),"ReutersSymbol")</f>
        <v>ReutersSymbol</v>
      </c>
      <c r="CJ5" s="28" t="str">
        <f>IFERROR(__xludf.DUMMYFUNCTION("""COMPUTED_VALUE"""),"RiskCurrency")</f>
        <v>RiskCurrency</v>
      </c>
      <c r="CK5" s="28" t="str">
        <f>IFERROR(__xludf.DUMMYFUNCTION("""COMPUTED_VALUE"""),"SecFee")</f>
        <v>SecFee</v>
      </c>
      <c r="CL5" s="28" t="str">
        <f>IFERROR(__xludf.DUMMYFUNCTION("""COMPUTED_VALUE"""),"SectorName")</f>
        <v>SectorName</v>
      </c>
      <c r="CM5" s="28" t="str">
        <f>IFERROR(__xludf.DUMMYFUNCTION("""COMPUTED_VALUE"""),"Security Name")</f>
        <v>Security Name</v>
      </c>
      <c r="CN5" s="28" t="str">
        <f>IFERROR(__xludf.DUMMYFUNCTION("""COMPUTED_VALUE"""),"SecurityTypeName")</f>
        <v>SecurityTypeName</v>
      </c>
      <c r="CO5" s="28" t="str">
        <f>IFERROR(__xludf.DUMMYFUNCTION("""COMPUTED_VALUE"""),"SedolSymbol")</f>
        <v>SedolSymbol</v>
      </c>
      <c r="CP5" s="28" t="str">
        <f>IFERROR(__xludf.DUMMYFUNCTION("""COMPUTED_VALUE"""),"SettlCurrAmt")</f>
        <v>SettlCurrAmt</v>
      </c>
      <c r="CQ5" s="28" t="str">
        <f>IFERROR(__xludf.DUMMYFUNCTION("""COMPUTED_VALUE"""),"SettlCurrFxRate")</f>
        <v>SettlCurrFxRate</v>
      </c>
      <c r="CR5" s="28" t="str">
        <f>IFERROR(__xludf.DUMMYFUNCTION("""COMPUTED_VALUE"""),"SettlCurrFxRateCalc")</f>
        <v>SettlCurrFxRateCalc</v>
      </c>
      <c r="CS5" s="28" t="str">
        <f>IFERROR(__xludf.DUMMYFUNCTION("""COMPUTED_VALUE"""),"SettlCurrUnitCost")</f>
        <v>SettlCurrUnitCost</v>
      </c>
      <c r="CT5" s="28" t="str">
        <f>IFERROR(__xludf.DUMMYFUNCTION("""COMPUTED_VALUE"""),"Settlement Mode")</f>
        <v>Settlement Mode</v>
      </c>
      <c r="CU5" s="28" t="str">
        <f>IFERROR(__xludf.DUMMYFUNCTION("""COMPUTED_VALUE"""),"Settlement Qty")</f>
        <v>Settlement Qty</v>
      </c>
      <c r="CV5" s="28" t="str">
        <f>IFERROR(__xludf.DUMMYFUNCTION("""COMPUTED_VALUE"""),"SettlementCurrencyID")</f>
        <v>SettlementCurrencyID</v>
      </c>
      <c r="CW5" s="28" t="str">
        <f>IFERROR(__xludf.DUMMYFUNCTION("""COMPUTED_VALUE"""),"SettlementDate")</f>
        <v>SettlementDate</v>
      </c>
      <c r="CX5" s="28" t="str">
        <f>IFERROR(__xludf.DUMMYFUNCTION("""COMPUTED_VALUE"""),"SideMultiplier")</f>
        <v>SideMultiplier</v>
      </c>
      <c r="CY5" s="28" t="str">
        <f>IFERROR(__xludf.DUMMYFUNCTION("""COMPUTED_VALUE"""),"SoftCommission")</f>
        <v>SoftCommission</v>
      </c>
      <c r="CZ5" s="28" t="str">
        <f>IFERROR(__xludf.DUMMYFUNCTION("""COMPUTED_VALUE"""),"SoftCommissionAmt")</f>
        <v>SoftCommissionAmt</v>
      </c>
      <c r="DA5" s="28" t="str">
        <f>IFERROR(__xludf.DUMMYFUNCTION("""COMPUTED_VALUE"""),"SoftCommissionCalcBasis")</f>
        <v>SoftCommissionCalcBasis</v>
      </c>
      <c r="DB5" s="28" t="str">
        <f>IFERROR(__xludf.DUMMYFUNCTION("""COMPUTED_VALUE"""),"SoftCommissionRate")</f>
        <v>SoftCommissionRate</v>
      </c>
      <c r="DC5" s="28" t="str">
        <f>IFERROR(__xludf.DUMMYFUNCTION("""COMPUTED_VALUE"""),"StampDuty")</f>
        <v>StampDuty</v>
      </c>
      <c r="DD5" s="28" t="str">
        <f>IFERROR(__xludf.DUMMYFUNCTION("""COMPUTED_VALUE"""),"Strategy")</f>
        <v>Strategy</v>
      </c>
      <c r="DE5" s="28" t="str">
        <f>IFERROR(__xludf.DUMMYFUNCTION("""COMPUTED_VALUE"""),"StrikePrice")</f>
        <v>StrikePrice</v>
      </c>
      <c r="DF5" s="28" t="str">
        <f>IFERROR(__xludf.DUMMYFUNCTION("""COMPUTED_VALUE"""),"SubSectorName")</f>
        <v>SubSectorName</v>
      </c>
      <c r="DG5" s="28" t="str">
        <f>IFERROR(__xludf.DUMMYFUNCTION("""COMPUTED_VALUE"""),"SwapParameters")</f>
        <v>SwapParameters</v>
      </c>
      <c r="DH5" s="28" t="str">
        <f>IFERROR(__xludf.DUMMYFUNCTION("""COMPUTED_VALUE"""),"Symbol")</f>
        <v>Symbol</v>
      </c>
      <c r="DI5" s="28" t="str">
        <f>IFERROR(__xludf.DUMMYFUNCTION("""COMPUTED_VALUE"""),"TaxlotClosingId")</f>
        <v>TaxlotClosingId</v>
      </c>
      <c r="DJ5" s="28" t="str">
        <f>IFERROR(__xludf.DUMMYFUNCTION("""COMPUTED_VALUE"""),"TaxLotID")</f>
        <v>TaxLotID</v>
      </c>
      <c r="DK5" s="28" t="str">
        <f>IFERROR(__xludf.DUMMYFUNCTION("""COMPUTED_VALUE"""),"TaxlotPk")</f>
        <v>TaxlotPk</v>
      </c>
      <c r="DL5" s="28" t="str">
        <f>IFERROR(__xludf.DUMMYFUNCTION("""COMPUTED_VALUE"""),"TaxLotQtyToClose")</f>
        <v>TaxLotQtyToClose</v>
      </c>
      <c r="DM5" s="28" t="str">
        <f>IFERROR(__xludf.DUMMYFUNCTION("""COMPUTED_VALUE"""),"TaxonCommissions")</f>
        <v>TaxonCommissions</v>
      </c>
      <c r="DN5" s="28" t="str">
        <f>IFERROR(__xludf.DUMMYFUNCTION("""COMPUTED_VALUE"""),"TimeOfSaveUTC")</f>
        <v>TimeOfSaveUTC</v>
      </c>
      <c r="DO5" s="28" t="str">
        <f>IFERROR(__xludf.DUMMYFUNCTION("""COMPUTED_VALUE"""),"TotalCommission&amp;Fees")</f>
        <v>TotalCommission&amp;Fees</v>
      </c>
      <c r="DP5" s="28" t="str">
        <f>IFERROR(__xludf.DUMMYFUNCTION("""COMPUTED_VALUE"""),"TotalCommissionandFees")</f>
        <v>TotalCommissionandFees</v>
      </c>
      <c r="DQ5" s="28" t="str">
        <f>IFERROR(__xludf.DUMMYFUNCTION("""COMPUTED_VALUE"""),"Tradedate")</f>
        <v>Tradedate</v>
      </c>
      <c r="DR5" s="28" t="str">
        <f>IFERROR(__xludf.DUMMYFUNCTION("""COMPUTED_VALUE"""),"TradeAttribute1")</f>
        <v>TradeAttribute1</v>
      </c>
      <c r="DS5" s="28" t="str">
        <f>IFERROR(__xludf.DUMMYFUNCTION("""COMPUTED_VALUE"""),"TradeAttribute2")</f>
        <v>TradeAttribute2</v>
      </c>
      <c r="DT5" s="28" t="str">
        <f>IFERROR(__xludf.DUMMYFUNCTION("""COMPUTED_VALUE"""),"TradeAttribute3")</f>
        <v>TradeAttribute3</v>
      </c>
      <c r="DU5" s="28" t="str">
        <f>IFERROR(__xludf.DUMMYFUNCTION("""COMPUTED_VALUE"""),"TradeAttribute4")</f>
        <v>TradeAttribute4</v>
      </c>
      <c r="DV5" s="28" t="str">
        <f>IFERROR(__xludf.DUMMYFUNCTION("""COMPUTED_VALUE"""),"TradeAttribute5")</f>
        <v>TradeAttribute5</v>
      </c>
      <c r="DW5" s="28" t="str">
        <f>IFERROR(__xludf.DUMMYFUNCTION("""COMPUTED_VALUE"""),"TradeAttribute6")</f>
        <v>TradeAttribute6</v>
      </c>
      <c r="DX5" s="28" t="str">
        <f>IFERROR(__xludf.DUMMYFUNCTION("""COMPUTED_VALUE"""),"TradingAccountName")</f>
        <v>TradingAccountName</v>
      </c>
      <c r="DY5" s="28" t="str">
        <f>IFERROR(__xludf.DUMMYFUNCTION("""COMPUTED_VALUE"""),"TransactionLevy")</f>
        <v>TransactionLevy</v>
      </c>
      <c r="DZ5" s="28" t="str">
        <f>IFERROR(__xludf.DUMMYFUNCTION("""COMPUTED_VALUE"""),"TransactionType")</f>
        <v>TransactionType</v>
      </c>
      <c r="EA5" s="28" t="str">
        <f>IFERROR(__xludf.DUMMYFUNCTION("""COMPUTED_VALUE"""),"UcitsEligibleTag")</f>
        <v>UcitsEligibleTag</v>
      </c>
      <c r="EB5" s="28" t="str">
        <f>IFERROR(__xludf.DUMMYFUNCTION("""COMPUTED_VALUE"""),"UDAAsset")</f>
        <v>UDAAsset</v>
      </c>
      <c r="EC5" s="28" t="str">
        <f>IFERROR(__xludf.DUMMYFUNCTION("""COMPUTED_VALUE"""),"UnderlyingDelta")</f>
        <v>UnderlyingDelta</v>
      </c>
      <c r="ED5" s="28" t="str">
        <f>IFERROR(__xludf.DUMMYFUNCTION("""COMPUTED_VALUE"""),"UnderlyingName")</f>
        <v>UnderlyingName</v>
      </c>
      <c r="EE5" s="28" t="str">
        <f>IFERROR(__xludf.DUMMYFUNCTION("""COMPUTED_VALUE"""),"UnderlyingSymbol")</f>
        <v>UnderlyingSymbol</v>
      </c>
      <c r="EF5" s="28" t="str">
        <f>IFERROR(__xludf.DUMMYFUNCTION("""COMPUTED_VALUE"""),"UnitCost")</f>
        <v>UnitCost</v>
      </c>
      <c r="EG5" s="28" t="str">
        <f>IFERROR(__xludf.DUMMYFUNCTION("""COMPUTED_VALUE"""),"UnRealizedPNL")</f>
        <v>UnRealizedPNL</v>
      </c>
      <c r="EH5" s="28" t="str">
        <f>IFERROR(__xludf.DUMMYFUNCTION("""COMPUTED_VALUE"""),"Venue")</f>
        <v>Venue</v>
      </c>
      <c r="EI5" s="28" t="str">
        <f>IFERROR(__xludf.DUMMYFUNCTION("""COMPUTED_VALUE"""),"VsCurrencyID")</f>
        <v>VsCurrencyID</v>
      </c>
      <c r="EJ5" s="28" t="str">
        <f>IFERROR(__xludf.DUMMYFUNCTION("""COMPUTED_VALUE"""),"WorkflowState")</f>
        <v>WorkflowState</v>
      </c>
      <c r="EK5" s="28" t="str">
        <f>IFERROR(__xludf.DUMMYFUNCTION("""COMPUTED_VALUE"""),"AvgPriceBase")</f>
        <v>AvgPriceBase</v>
      </c>
      <c r="EL5" s="28" t="str">
        <f>IFERROR(__xludf.DUMMYFUNCTION("""COMPUTED_VALUE"""),"MarketCap")</f>
        <v>MarketCap</v>
      </c>
      <c r="EM5" s="28" t="str">
        <f>IFERROR(__xludf.DUMMYFUNCTION("""COMPUTED_VALUE"""),"UnitCostBase")</f>
        <v>UnitCostBase</v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 t="s">
        <v>24</v>
      </c>
      <c r="C6" s="6"/>
      <c r="D6" s="9"/>
      <c r="E6" s="9" t="s">
        <v>33</v>
      </c>
      <c r="F6" s="6"/>
      <c r="G6" s="6"/>
      <c r="H6" s="6"/>
      <c r="I6" s="9">
        <v>1.33</v>
      </c>
      <c r="J6" s="6"/>
      <c r="K6" s="6"/>
      <c r="L6" s="6"/>
      <c r="M6" s="6"/>
      <c r="N6" s="6"/>
      <c r="O6" s="6"/>
      <c r="AU6" s="31">
        <v>0.7519</v>
      </c>
      <c r="BV6" s="31" t="s">
        <v>23</v>
      </c>
      <c r="CG6" s="31">
        <v>2655650.38</v>
      </c>
      <c r="DH6" s="32" t="s">
        <v>22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35</v>
      </c>
      <c r="D3" s="8" t="s">
        <v>9</v>
      </c>
      <c r="E3" s="21" t="s">
        <v>36</v>
      </c>
      <c r="F3" s="8" t="s">
        <v>14</v>
      </c>
      <c r="G3" s="11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 t="s">
        <v>29</v>
      </c>
      <c r="C6" s="29">
        <v>43495.0</v>
      </c>
      <c r="D6" s="29">
        <v>43502.0</v>
      </c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56" width="14.43"/>
    <col customWidth="1" min="57" max="57" width="19.14"/>
    <col customWidth="1" min="58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35</v>
      </c>
      <c r="D3" s="8" t="s">
        <v>9</v>
      </c>
      <c r="E3" s="21" t="s">
        <v>37</v>
      </c>
      <c r="F3" s="8" t="s">
        <v>14</v>
      </c>
      <c r="G3" s="11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IFERROR(__xludf.DUMMYFUNCTION("""COMPUTED_VALUE"""),"Client")</f>
        <v>Client</v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 t="s">
        <v>24</v>
      </c>
      <c r="C6" s="6"/>
      <c r="D6" s="9"/>
      <c r="E6" s="9">
        <v>2655650.38</v>
      </c>
      <c r="F6" s="6"/>
      <c r="G6" s="9" t="s">
        <v>33</v>
      </c>
      <c r="H6" s="6"/>
      <c r="I6" s="6"/>
      <c r="J6" s="6"/>
      <c r="K6" s="9">
        <v>0.75187969924812</v>
      </c>
      <c r="L6" s="9">
        <v>1.33</v>
      </c>
      <c r="M6" s="6"/>
      <c r="N6" s="6"/>
      <c r="O6" s="6"/>
      <c r="AI6" s="31">
        <v>0.7519</v>
      </c>
      <c r="AT6" s="31">
        <v>2655650.38</v>
      </c>
      <c r="AU6" s="31">
        <v>3532015.0054</v>
      </c>
      <c r="BE6" s="31">
        <v>2655650.38</v>
      </c>
      <c r="BF6" s="31">
        <v>3532015.0054</v>
      </c>
      <c r="BJ6" s="31">
        <v>2655650.38</v>
      </c>
      <c r="BO6" s="31" t="s">
        <v>23</v>
      </c>
      <c r="BT6" s="32" t="s">
        <v>22</v>
      </c>
    </row>
    <row r="7" ht="15.75" customHeight="1">
      <c r="A7" s="6"/>
      <c r="B7" s="9" t="s">
        <v>24</v>
      </c>
      <c r="C7" s="6"/>
      <c r="D7" s="6"/>
      <c r="E7" s="9">
        <v>2655650.38</v>
      </c>
      <c r="F7" s="6"/>
      <c r="G7" s="9" t="s">
        <v>33</v>
      </c>
      <c r="H7" s="6"/>
      <c r="I7" s="6"/>
      <c r="J7" s="6"/>
      <c r="K7" s="32">
        <v>0.75187969924812</v>
      </c>
      <c r="L7" s="9">
        <v>1.33</v>
      </c>
      <c r="M7" s="6"/>
      <c r="N7" s="6"/>
      <c r="O7" s="6"/>
      <c r="AI7" s="31">
        <v>1.36</v>
      </c>
      <c r="AT7" s="31">
        <v>2655650.38</v>
      </c>
      <c r="AU7" s="31">
        <v>3532015.0054</v>
      </c>
      <c r="BE7" s="31">
        <v>2655650.38</v>
      </c>
      <c r="BF7" s="31">
        <v>3532015.0054</v>
      </c>
      <c r="BJ7" s="31">
        <v>2655650.38</v>
      </c>
      <c r="BO7" s="31" t="s">
        <v>49</v>
      </c>
      <c r="BT7" s="32" t="s">
        <v>22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38</v>
      </c>
      <c r="D3" s="8" t="s">
        <v>9</v>
      </c>
      <c r="E3" s="21" t="s">
        <v>39</v>
      </c>
      <c r="F3" s="8" t="s">
        <v>14</v>
      </c>
      <c r="G3" s="11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 t="s">
        <v>41</v>
      </c>
      <c r="C6" s="9" t="s">
        <v>24</v>
      </c>
      <c r="D6" s="29">
        <v>43495.0</v>
      </c>
      <c r="E6" s="29">
        <v>43502.0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GetTradingTransaction!$4:$4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38</v>
      </c>
      <c r="D3" s="8" t="s">
        <v>9</v>
      </c>
      <c r="E3" s="21" t="s">
        <v>40</v>
      </c>
      <c r="F3" s="8" t="s">
        <v>14</v>
      </c>
      <c r="G3" s="11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38">
        <v>43502.0</v>
      </c>
      <c r="C6" s="6"/>
      <c r="D6" s="9"/>
      <c r="E6" s="9">
        <v>3532015.01</v>
      </c>
      <c r="F6" s="6"/>
      <c r="G6" s="9">
        <v>0.7352941176471</v>
      </c>
      <c r="H6" s="6"/>
      <c r="I6" s="9" t="s">
        <v>42</v>
      </c>
      <c r="J6" s="6"/>
      <c r="K6" s="9" t="s">
        <v>18</v>
      </c>
      <c r="L6" s="9" t="s">
        <v>17</v>
      </c>
      <c r="M6" s="32" t="s">
        <v>22</v>
      </c>
      <c r="N6" s="6"/>
      <c r="O6" s="9">
        <v>2597069.86</v>
      </c>
      <c r="Q6" s="42" t="s">
        <v>43</v>
      </c>
      <c r="R6" s="43" t="s">
        <v>24</v>
      </c>
    </row>
    <row r="7" ht="15.75" customHeight="1">
      <c r="A7" s="6"/>
      <c r="B7" s="38">
        <v>43502.0</v>
      </c>
      <c r="C7" s="6"/>
      <c r="D7" s="6"/>
      <c r="E7" s="6"/>
      <c r="F7" s="9">
        <v>2655650.38</v>
      </c>
      <c r="G7" s="9">
        <v>1.0</v>
      </c>
      <c r="H7" s="6"/>
      <c r="I7" s="9" t="s">
        <v>44</v>
      </c>
      <c r="J7" s="6"/>
      <c r="K7" s="9" t="s">
        <v>17</v>
      </c>
      <c r="L7" s="9" t="s">
        <v>17</v>
      </c>
      <c r="M7" s="32" t="s">
        <v>22</v>
      </c>
      <c r="N7" s="6"/>
      <c r="O7" s="6"/>
      <c r="P7" s="31">
        <v>2655650.38</v>
      </c>
      <c r="Q7" s="44" t="s">
        <v>43</v>
      </c>
      <c r="R7" s="45" t="s">
        <v>24</v>
      </c>
    </row>
    <row r="8" ht="15.75" customHeight="1">
      <c r="A8" s="6"/>
      <c r="B8" s="38">
        <v>43502.0</v>
      </c>
      <c r="C8" s="6"/>
      <c r="D8" s="6"/>
      <c r="E8" s="9">
        <v>73164.88</v>
      </c>
      <c r="F8" s="6"/>
      <c r="G8" s="9">
        <v>0.7352941176471</v>
      </c>
      <c r="H8" s="6"/>
      <c r="I8" s="9" t="s">
        <v>42</v>
      </c>
      <c r="J8" s="6"/>
      <c r="K8" s="9" t="s">
        <v>18</v>
      </c>
      <c r="L8" s="9" t="s">
        <v>17</v>
      </c>
      <c r="M8" s="32" t="s">
        <v>22</v>
      </c>
      <c r="N8" s="6"/>
      <c r="O8" s="9">
        <v>53797.71</v>
      </c>
      <c r="Q8" s="46" t="s">
        <v>45</v>
      </c>
      <c r="R8" s="45" t="s">
        <v>24</v>
      </c>
    </row>
    <row r="9" ht="15.75" customHeight="1">
      <c r="A9" s="6"/>
      <c r="B9" s="38">
        <v>43502.0</v>
      </c>
      <c r="C9" s="6"/>
      <c r="D9" s="6"/>
      <c r="E9" s="9">
        <v>6504.63</v>
      </c>
      <c r="F9" s="6"/>
      <c r="G9" s="9">
        <v>0.7352941176471</v>
      </c>
      <c r="H9" s="6"/>
      <c r="I9" s="9" t="s">
        <v>42</v>
      </c>
      <c r="J9" s="6"/>
      <c r="K9" s="9" t="s">
        <v>18</v>
      </c>
      <c r="L9" s="9" t="s">
        <v>17</v>
      </c>
      <c r="M9" s="32" t="s">
        <v>22</v>
      </c>
      <c r="N9" s="6"/>
      <c r="O9" s="9">
        <v>4782.82</v>
      </c>
      <c r="Q9" s="46" t="s">
        <v>46</v>
      </c>
      <c r="R9" s="45" t="s">
        <v>24</v>
      </c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38</v>
      </c>
      <c r="D3" s="8" t="s">
        <v>9</v>
      </c>
      <c r="E3" s="21" t="s">
        <v>47</v>
      </c>
      <c r="F3" s="8" t="s">
        <v>14</v>
      </c>
      <c r="G3" s="11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 t="s">
        <v>41</v>
      </c>
      <c r="C6" s="9" t="s">
        <v>24</v>
      </c>
      <c r="D6" s="29">
        <v>43502.0</v>
      </c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RunRevaluation!$4:$4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38</v>
      </c>
      <c r="D3" s="8" t="s">
        <v>9</v>
      </c>
      <c r="E3" s="21" t="s">
        <v>48</v>
      </c>
      <c r="F3" s="8" t="s">
        <v>14</v>
      </c>
      <c r="G3" s="11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 t="s">
        <v>41</v>
      </c>
      <c r="C6" s="9" t="s">
        <v>24</v>
      </c>
      <c r="D6" s="29">
        <v>43495.0</v>
      </c>
      <c r="E6" s="29">
        <v>43502.0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3" width="14.43"/>
    <col customWidth="1" min="4" max="4" width="23.43"/>
    <col customWidth="1" min="5" max="5" width="18.57"/>
    <col customWidth="1" min="6" max="6" width="38.29"/>
    <col customWidth="1" min="7" max="8" width="14.43"/>
    <col customWidth="1" min="9" max="9" width="18.14"/>
    <col customWidth="1" min="10" max="11" width="17.43"/>
    <col customWidth="1" min="12" max="16" width="14.43"/>
    <col customWidth="1" min="17" max="17" width="27.14"/>
    <col customWidth="1" min="18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38</v>
      </c>
      <c r="D3" s="8" t="s">
        <v>9</v>
      </c>
      <c r="E3" s="21" t="s">
        <v>50</v>
      </c>
      <c r="F3" s="8" t="s">
        <v>14</v>
      </c>
      <c r="G3" s="11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35">
        <v>43502.0</v>
      </c>
      <c r="C6" s="34" t="s">
        <v>24</v>
      </c>
      <c r="D6" s="40" t="s">
        <v>22</v>
      </c>
      <c r="E6" s="9" t="s">
        <v>18</v>
      </c>
      <c r="F6" s="37" t="s">
        <v>51</v>
      </c>
      <c r="G6" s="9">
        <v>73164.87</v>
      </c>
      <c r="H6" s="6"/>
      <c r="I6" s="6"/>
      <c r="J6" s="6"/>
      <c r="K6" s="6"/>
      <c r="L6" s="9">
        <v>0.7352941</v>
      </c>
      <c r="M6" s="6"/>
      <c r="N6" s="37" t="s">
        <v>42</v>
      </c>
      <c r="O6" s="34" t="s">
        <v>52</v>
      </c>
      <c r="P6" s="43" t="s">
        <v>17</v>
      </c>
      <c r="Q6" s="42" t="s">
        <v>53</v>
      </c>
      <c r="R6" s="31">
        <v>53797.7</v>
      </c>
    </row>
    <row r="7" ht="15.75" customHeight="1">
      <c r="A7" s="6"/>
      <c r="B7" s="38">
        <v>43502.0</v>
      </c>
      <c r="C7" s="37" t="s">
        <v>24</v>
      </c>
      <c r="D7" s="44" t="s">
        <v>22</v>
      </c>
      <c r="E7" s="9" t="s">
        <v>18</v>
      </c>
      <c r="F7" s="37" t="s">
        <v>54</v>
      </c>
      <c r="G7" s="6"/>
      <c r="H7" s="9">
        <v>73164.87</v>
      </c>
      <c r="I7" s="6"/>
      <c r="J7" s="6"/>
      <c r="K7" s="6"/>
      <c r="L7" s="9">
        <v>0.7352941</v>
      </c>
      <c r="M7" s="6"/>
      <c r="N7" s="37" t="s">
        <v>44</v>
      </c>
      <c r="O7" s="37" t="s">
        <v>52</v>
      </c>
      <c r="P7" s="45" t="s">
        <v>17</v>
      </c>
      <c r="Q7" s="44" t="s">
        <v>53</v>
      </c>
      <c r="S7" s="31">
        <v>53797.7</v>
      </c>
    </row>
    <row r="8" ht="15.75" customHeight="1">
      <c r="A8" s="6"/>
      <c r="B8" s="38">
        <v>43501.0</v>
      </c>
      <c r="C8" s="37" t="s">
        <v>24</v>
      </c>
      <c r="D8" s="44" t="s">
        <v>22</v>
      </c>
      <c r="E8" s="9" t="s">
        <v>18</v>
      </c>
      <c r="F8" s="37" t="s">
        <v>51</v>
      </c>
      <c r="G8" s="9">
        <v>66489.26</v>
      </c>
      <c r="H8" s="6"/>
      <c r="I8" s="6"/>
      <c r="J8" s="6"/>
      <c r="K8" s="6"/>
      <c r="L8" s="9">
        <v>0.7369197</v>
      </c>
      <c r="M8" s="6"/>
      <c r="N8" s="37" t="s">
        <v>42</v>
      </c>
      <c r="O8" s="37" t="s">
        <v>52</v>
      </c>
      <c r="P8" s="45" t="s">
        <v>17</v>
      </c>
      <c r="Q8" s="44" t="s">
        <v>53</v>
      </c>
      <c r="R8" s="31">
        <v>48997.24</v>
      </c>
    </row>
    <row r="9" ht="15.75" customHeight="1">
      <c r="A9" s="6"/>
      <c r="B9" s="38">
        <v>43501.0</v>
      </c>
      <c r="C9" s="37" t="s">
        <v>24</v>
      </c>
      <c r="D9" s="44" t="s">
        <v>22</v>
      </c>
      <c r="E9" s="9" t="s">
        <v>18</v>
      </c>
      <c r="F9" s="37" t="s">
        <v>54</v>
      </c>
      <c r="G9" s="6"/>
      <c r="H9" s="9">
        <v>66489.26</v>
      </c>
      <c r="I9" s="6"/>
      <c r="J9" s="6"/>
      <c r="K9" s="6"/>
      <c r="L9" s="9">
        <v>0.7369197</v>
      </c>
      <c r="M9" s="6"/>
      <c r="N9" s="37" t="s">
        <v>44</v>
      </c>
      <c r="O9" s="37" t="s">
        <v>52</v>
      </c>
      <c r="P9" s="45" t="s">
        <v>17</v>
      </c>
      <c r="Q9" s="44" t="s">
        <v>53</v>
      </c>
      <c r="S9" s="31">
        <v>48997.24</v>
      </c>
    </row>
    <row r="10" ht="15.75" customHeight="1">
      <c r="A10" s="6"/>
      <c r="B10" s="38">
        <v>43501.0</v>
      </c>
      <c r="C10" s="37" t="s">
        <v>24</v>
      </c>
      <c r="D10" s="44" t="s">
        <v>22</v>
      </c>
      <c r="E10" s="9" t="s">
        <v>18</v>
      </c>
      <c r="F10" s="37" t="s">
        <v>54</v>
      </c>
      <c r="G10" s="9">
        <v>73164.88</v>
      </c>
      <c r="H10" s="6"/>
      <c r="I10" s="6"/>
      <c r="J10" s="6"/>
      <c r="K10" s="6"/>
      <c r="L10" s="9">
        <v>0.7352941</v>
      </c>
      <c r="M10" s="6"/>
      <c r="N10" s="37" t="s">
        <v>42</v>
      </c>
      <c r="O10" s="37" t="s">
        <v>52</v>
      </c>
      <c r="P10" s="45" t="s">
        <v>17</v>
      </c>
      <c r="Q10" s="44" t="s">
        <v>55</v>
      </c>
      <c r="R10" s="31">
        <v>53797.71</v>
      </c>
    </row>
    <row r="11" ht="15.75" customHeight="1">
      <c r="A11" s="6"/>
      <c r="B11" s="38">
        <v>43501.0</v>
      </c>
      <c r="C11" s="37" t="s">
        <v>24</v>
      </c>
      <c r="D11" s="44" t="s">
        <v>22</v>
      </c>
      <c r="E11" s="9" t="s">
        <v>18</v>
      </c>
      <c r="F11" s="37" t="s">
        <v>51</v>
      </c>
      <c r="G11" s="6"/>
      <c r="H11" s="9">
        <v>73164.88</v>
      </c>
      <c r="I11" s="6"/>
      <c r="J11" s="6"/>
      <c r="K11" s="6"/>
      <c r="L11" s="9">
        <v>0.7352941</v>
      </c>
      <c r="M11" s="6"/>
      <c r="N11" s="37" t="s">
        <v>44</v>
      </c>
      <c r="O11" s="37" t="s">
        <v>52</v>
      </c>
      <c r="P11" s="45" t="s">
        <v>17</v>
      </c>
      <c r="Q11" s="44" t="s">
        <v>55</v>
      </c>
      <c r="S11" s="31">
        <v>53797.71</v>
      </c>
    </row>
    <row r="12" ht="15.75" customHeight="1">
      <c r="A12" s="6"/>
      <c r="B12" s="38">
        <v>43500.0</v>
      </c>
      <c r="C12" s="37" t="s">
        <v>24</v>
      </c>
      <c r="D12" s="44" t="s">
        <v>22</v>
      </c>
      <c r="E12" s="9" t="s">
        <v>18</v>
      </c>
      <c r="F12" s="37" t="s">
        <v>51</v>
      </c>
      <c r="G12" s="9">
        <v>39982.85</v>
      </c>
      <c r="H12" s="6"/>
      <c r="I12" s="6"/>
      <c r="J12" s="6"/>
      <c r="K12" s="6"/>
      <c r="L12" s="9">
        <v>0.7407407</v>
      </c>
      <c r="M12" s="6"/>
      <c r="N12" s="37" t="s">
        <v>42</v>
      </c>
      <c r="O12" s="37" t="s">
        <v>52</v>
      </c>
      <c r="P12" s="45" t="s">
        <v>17</v>
      </c>
      <c r="Q12" s="44" t="s">
        <v>53</v>
      </c>
      <c r="R12" s="31">
        <v>29616.92</v>
      </c>
    </row>
    <row r="13" ht="15.75" customHeight="1">
      <c r="A13" s="6"/>
      <c r="B13" s="38">
        <v>43500.0</v>
      </c>
      <c r="C13" s="37" t="s">
        <v>24</v>
      </c>
      <c r="D13" s="44" t="s">
        <v>22</v>
      </c>
      <c r="E13" s="9" t="s">
        <v>18</v>
      </c>
      <c r="F13" s="37" t="s">
        <v>54</v>
      </c>
      <c r="G13" s="6"/>
      <c r="H13" s="9">
        <v>39982.85</v>
      </c>
      <c r="I13" s="6"/>
      <c r="J13" s="6"/>
      <c r="K13" s="6"/>
      <c r="L13" s="9">
        <v>0.7407407</v>
      </c>
      <c r="M13" s="6"/>
      <c r="N13" s="37" t="s">
        <v>44</v>
      </c>
      <c r="O13" s="37" t="s">
        <v>52</v>
      </c>
      <c r="P13" s="45" t="s">
        <v>17</v>
      </c>
      <c r="Q13" s="44" t="s">
        <v>53</v>
      </c>
      <c r="S13" s="31">
        <v>29616.92</v>
      </c>
    </row>
    <row r="14" ht="15.75" customHeight="1">
      <c r="A14" s="6"/>
      <c r="B14" s="38">
        <v>43500.0</v>
      </c>
      <c r="C14" s="37" t="s">
        <v>24</v>
      </c>
      <c r="D14" s="44" t="s">
        <v>22</v>
      </c>
      <c r="E14" s="9" t="s">
        <v>18</v>
      </c>
      <c r="F14" s="37" t="s">
        <v>54</v>
      </c>
      <c r="G14" s="9">
        <v>66489.26</v>
      </c>
      <c r="H14" s="6"/>
      <c r="I14" s="6"/>
      <c r="J14" s="6"/>
      <c r="K14" s="6"/>
      <c r="L14" s="9">
        <v>0.7369197</v>
      </c>
      <c r="M14" s="6"/>
      <c r="N14" s="37" t="s">
        <v>42</v>
      </c>
      <c r="O14" s="37" t="s">
        <v>52</v>
      </c>
      <c r="P14" s="45" t="s">
        <v>17</v>
      </c>
      <c r="Q14" s="44" t="s">
        <v>55</v>
      </c>
      <c r="R14" s="31">
        <v>48997.24</v>
      </c>
    </row>
    <row r="15" ht="15.75" customHeight="1">
      <c r="A15" s="6"/>
      <c r="B15" s="38">
        <v>43500.0</v>
      </c>
      <c r="C15" s="37" t="s">
        <v>24</v>
      </c>
      <c r="D15" s="44" t="s">
        <v>22</v>
      </c>
      <c r="E15" s="9" t="s">
        <v>18</v>
      </c>
      <c r="F15" s="37" t="s">
        <v>51</v>
      </c>
      <c r="G15" s="6"/>
      <c r="H15" s="9">
        <v>66489.26</v>
      </c>
      <c r="I15" s="6"/>
      <c r="J15" s="6"/>
      <c r="K15" s="6"/>
      <c r="L15" s="9">
        <v>0.7369197</v>
      </c>
      <c r="M15" s="6"/>
      <c r="N15" s="37" t="s">
        <v>44</v>
      </c>
      <c r="O15" s="37" t="s">
        <v>52</v>
      </c>
      <c r="P15" s="45" t="s">
        <v>17</v>
      </c>
      <c r="Q15" s="44" t="s">
        <v>55</v>
      </c>
      <c r="S15" s="31">
        <v>48997.24</v>
      </c>
    </row>
    <row r="16" ht="15.75" customHeight="1">
      <c r="A16" s="6"/>
      <c r="B16" s="38">
        <v>43499.0</v>
      </c>
      <c r="C16" s="37" t="s">
        <v>24</v>
      </c>
      <c r="D16" s="44" t="s">
        <v>22</v>
      </c>
      <c r="E16" s="9" t="s">
        <v>18</v>
      </c>
      <c r="F16" s="37" t="s">
        <v>51</v>
      </c>
      <c r="G16" s="9">
        <v>39982.84</v>
      </c>
      <c r="H16" s="6"/>
      <c r="I16" s="6"/>
      <c r="J16" s="6"/>
      <c r="K16" s="6"/>
      <c r="L16" s="9">
        <v>0.74074074</v>
      </c>
      <c r="M16" s="6"/>
      <c r="N16" s="37" t="s">
        <v>42</v>
      </c>
      <c r="O16" s="37" t="s">
        <v>52</v>
      </c>
      <c r="P16" s="45" t="s">
        <v>17</v>
      </c>
      <c r="Q16" s="44" t="s">
        <v>53</v>
      </c>
      <c r="R16" s="31">
        <v>29616.92</v>
      </c>
    </row>
    <row r="17" ht="15.75" customHeight="1">
      <c r="A17" s="6"/>
      <c r="B17" s="38">
        <v>43499.0</v>
      </c>
      <c r="C17" s="37" t="s">
        <v>24</v>
      </c>
      <c r="D17" s="44" t="s">
        <v>22</v>
      </c>
      <c r="E17" s="9" t="s">
        <v>18</v>
      </c>
      <c r="F17" s="37" t="s">
        <v>54</v>
      </c>
      <c r="G17" s="6"/>
      <c r="H17" s="9">
        <v>39982.84</v>
      </c>
      <c r="I17" s="6"/>
      <c r="J17" s="6"/>
      <c r="K17" s="6"/>
      <c r="L17" s="9">
        <v>0.74074074</v>
      </c>
      <c r="M17" s="6"/>
      <c r="N17" s="37" t="s">
        <v>44</v>
      </c>
      <c r="O17" s="37" t="s">
        <v>52</v>
      </c>
      <c r="P17" s="45" t="s">
        <v>17</v>
      </c>
      <c r="Q17" s="44" t="s">
        <v>53</v>
      </c>
      <c r="S17" s="31">
        <v>29616.92</v>
      </c>
    </row>
    <row r="18" ht="15.75" customHeight="1">
      <c r="A18" s="6"/>
      <c r="B18" s="38">
        <v>43499.0</v>
      </c>
      <c r="C18" s="37" t="s">
        <v>24</v>
      </c>
      <c r="D18" s="44" t="s">
        <v>22</v>
      </c>
      <c r="E18" s="9" t="s">
        <v>18</v>
      </c>
      <c r="F18" s="37" t="s">
        <v>54</v>
      </c>
      <c r="G18" s="9">
        <v>39982.84</v>
      </c>
      <c r="H18" s="6"/>
      <c r="I18" s="6"/>
      <c r="J18" s="6"/>
      <c r="K18" s="6"/>
      <c r="L18" s="9">
        <v>0.7407407</v>
      </c>
      <c r="M18" s="6"/>
      <c r="N18" s="37" t="s">
        <v>42</v>
      </c>
      <c r="O18" s="37" t="s">
        <v>52</v>
      </c>
      <c r="P18" s="45" t="s">
        <v>17</v>
      </c>
      <c r="Q18" s="44" t="s">
        <v>55</v>
      </c>
      <c r="R18" s="31">
        <v>29616.92</v>
      </c>
    </row>
    <row r="19" ht="15.75" customHeight="1">
      <c r="A19" s="6"/>
      <c r="B19" s="38">
        <v>43499.0</v>
      </c>
      <c r="C19" s="37" t="s">
        <v>24</v>
      </c>
      <c r="D19" s="44" t="s">
        <v>22</v>
      </c>
      <c r="E19" s="9" t="s">
        <v>18</v>
      </c>
      <c r="F19" s="37" t="s">
        <v>51</v>
      </c>
      <c r="G19" s="6"/>
      <c r="H19" s="9">
        <v>39982.84</v>
      </c>
      <c r="I19" s="6"/>
      <c r="J19" s="6"/>
      <c r="K19" s="6"/>
      <c r="L19" s="9">
        <v>0.7407407</v>
      </c>
      <c r="M19" s="6"/>
      <c r="N19" s="37" t="s">
        <v>44</v>
      </c>
      <c r="O19" s="37" t="s">
        <v>52</v>
      </c>
      <c r="P19" s="45" t="s">
        <v>17</v>
      </c>
      <c r="Q19" s="44" t="s">
        <v>55</v>
      </c>
      <c r="S19" s="31">
        <v>29616.92</v>
      </c>
    </row>
    <row r="20" ht="15.75" customHeight="1">
      <c r="A20" s="6"/>
      <c r="B20" s="38">
        <v>43498.0</v>
      </c>
      <c r="C20" s="37" t="s">
        <v>24</v>
      </c>
      <c r="D20" s="44" t="s">
        <v>22</v>
      </c>
      <c r="E20" s="9" t="s">
        <v>18</v>
      </c>
      <c r="F20" s="37" t="s">
        <v>51</v>
      </c>
      <c r="G20" s="9">
        <v>39982.84</v>
      </c>
      <c r="H20" s="6"/>
      <c r="I20" s="6"/>
      <c r="J20" s="6"/>
      <c r="K20" s="6"/>
      <c r="L20" s="9">
        <v>0.7407407</v>
      </c>
      <c r="M20" s="6"/>
      <c r="N20" s="37" t="s">
        <v>42</v>
      </c>
      <c r="O20" s="37" t="s">
        <v>52</v>
      </c>
      <c r="P20" s="45" t="s">
        <v>17</v>
      </c>
      <c r="Q20" s="44" t="s">
        <v>53</v>
      </c>
      <c r="R20" s="31">
        <v>29616.92</v>
      </c>
    </row>
    <row r="21" ht="15.75" customHeight="1">
      <c r="A21" s="6"/>
      <c r="B21" s="38">
        <v>43498.0</v>
      </c>
      <c r="C21" s="37" t="s">
        <v>24</v>
      </c>
      <c r="D21" s="44" t="s">
        <v>22</v>
      </c>
      <c r="E21" s="9" t="s">
        <v>18</v>
      </c>
      <c r="F21" s="37" t="s">
        <v>54</v>
      </c>
      <c r="G21" s="6"/>
      <c r="H21" s="9">
        <v>39982.84</v>
      </c>
      <c r="I21" s="6"/>
      <c r="J21" s="6"/>
      <c r="K21" s="6"/>
      <c r="L21" s="9">
        <v>0.7407407</v>
      </c>
      <c r="M21" s="6"/>
      <c r="N21" s="37" t="s">
        <v>44</v>
      </c>
      <c r="O21" s="37" t="s">
        <v>52</v>
      </c>
      <c r="P21" s="45" t="s">
        <v>17</v>
      </c>
      <c r="Q21" s="44" t="s">
        <v>53</v>
      </c>
      <c r="S21" s="31">
        <v>29616.92</v>
      </c>
    </row>
    <row r="22" ht="15.75" customHeight="1">
      <c r="A22" s="6"/>
      <c r="B22" s="38">
        <v>43498.0</v>
      </c>
      <c r="C22" s="37" t="s">
        <v>24</v>
      </c>
      <c r="D22" s="44" t="s">
        <v>22</v>
      </c>
      <c r="E22" s="9" t="s">
        <v>18</v>
      </c>
      <c r="F22" s="37" t="s">
        <v>54</v>
      </c>
      <c r="G22" s="9">
        <v>39982.84</v>
      </c>
      <c r="H22" s="6"/>
      <c r="I22" s="6"/>
      <c r="J22" s="6"/>
      <c r="K22" s="6"/>
      <c r="L22" s="9">
        <v>0.7407407</v>
      </c>
      <c r="M22" s="6"/>
      <c r="N22" s="37" t="s">
        <v>42</v>
      </c>
      <c r="O22" s="37" t="s">
        <v>52</v>
      </c>
      <c r="P22" s="45" t="s">
        <v>17</v>
      </c>
      <c r="Q22" s="44" t="s">
        <v>55</v>
      </c>
      <c r="R22" s="31">
        <v>29616.92</v>
      </c>
    </row>
    <row r="23" ht="15.75" customHeight="1">
      <c r="A23" s="6"/>
      <c r="B23" s="38">
        <v>43498.0</v>
      </c>
      <c r="C23" s="37" t="s">
        <v>24</v>
      </c>
      <c r="D23" s="44" t="s">
        <v>22</v>
      </c>
      <c r="E23" s="9" t="s">
        <v>18</v>
      </c>
      <c r="F23" s="37" t="s">
        <v>51</v>
      </c>
      <c r="G23" s="6"/>
      <c r="H23" s="9">
        <v>39982.84</v>
      </c>
      <c r="I23" s="6"/>
      <c r="J23" s="6"/>
      <c r="K23" s="6"/>
      <c r="L23" s="9">
        <v>0.7407407</v>
      </c>
      <c r="M23" s="6"/>
      <c r="N23" s="37" t="s">
        <v>44</v>
      </c>
      <c r="O23" s="37" t="s">
        <v>52</v>
      </c>
      <c r="P23" s="45" t="s">
        <v>17</v>
      </c>
      <c r="Q23" s="44" t="s">
        <v>55</v>
      </c>
      <c r="S23" s="31">
        <v>29616.92</v>
      </c>
    </row>
    <row r="24" ht="15.75" customHeight="1">
      <c r="A24" s="6"/>
      <c r="B24" s="38">
        <v>43497.0</v>
      </c>
      <c r="C24" s="37" t="s">
        <v>24</v>
      </c>
      <c r="D24" s="44" t="s">
        <v>22</v>
      </c>
      <c r="E24" s="9" t="s">
        <v>18</v>
      </c>
      <c r="F24" s="37" t="s">
        <v>51</v>
      </c>
      <c r="G24" s="9">
        <v>29277.51</v>
      </c>
      <c r="H24" s="6"/>
      <c r="I24" s="6"/>
      <c r="J24" s="6"/>
      <c r="K24" s="6"/>
      <c r="L24" s="9">
        <v>0.7440476</v>
      </c>
      <c r="M24" s="6"/>
      <c r="N24" s="37" t="s">
        <v>42</v>
      </c>
      <c r="O24" s="37" t="s">
        <v>52</v>
      </c>
      <c r="P24" s="45" t="s">
        <v>17</v>
      </c>
      <c r="Q24" s="44" t="s">
        <v>53</v>
      </c>
      <c r="R24" s="31">
        <v>21783.86</v>
      </c>
    </row>
    <row r="25" ht="15.75" customHeight="1">
      <c r="A25" s="6"/>
      <c r="B25" s="38">
        <v>43497.0</v>
      </c>
      <c r="C25" s="37" t="s">
        <v>24</v>
      </c>
      <c r="D25" s="44" t="s">
        <v>22</v>
      </c>
      <c r="E25" s="9" t="s">
        <v>18</v>
      </c>
      <c r="F25" s="37" t="s">
        <v>54</v>
      </c>
      <c r="G25" s="6"/>
      <c r="H25" s="9">
        <v>29277.51</v>
      </c>
      <c r="I25" s="6"/>
      <c r="J25" s="6"/>
      <c r="K25" s="6"/>
      <c r="L25" s="32">
        <v>0.7440476</v>
      </c>
      <c r="M25" s="6"/>
      <c r="N25" s="37" t="s">
        <v>44</v>
      </c>
      <c r="O25" s="37" t="s">
        <v>52</v>
      </c>
      <c r="P25" s="45" t="s">
        <v>17</v>
      </c>
      <c r="Q25" s="44" t="s">
        <v>53</v>
      </c>
      <c r="S25" s="31">
        <v>21783.86</v>
      </c>
    </row>
    <row r="26" ht="15.75" customHeight="1">
      <c r="A26" s="6"/>
      <c r="B26" s="38">
        <v>43497.0</v>
      </c>
      <c r="C26" s="37" t="s">
        <v>24</v>
      </c>
      <c r="D26" s="44" t="s">
        <v>22</v>
      </c>
      <c r="E26" s="9" t="s">
        <v>18</v>
      </c>
      <c r="F26" s="37" t="s">
        <v>54</v>
      </c>
      <c r="G26" s="9">
        <v>39982.84</v>
      </c>
      <c r="H26" s="6"/>
      <c r="I26" s="6"/>
      <c r="J26" s="6"/>
      <c r="K26" s="6"/>
      <c r="L26" s="9">
        <v>0.7407407</v>
      </c>
      <c r="M26" s="6"/>
      <c r="N26" s="37" t="s">
        <v>42</v>
      </c>
      <c r="O26" s="37" t="s">
        <v>52</v>
      </c>
      <c r="P26" s="45" t="s">
        <v>17</v>
      </c>
      <c r="Q26" s="44" t="s">
        <v>55</v>
      </c>
      <c r="R26" s="31">
        <v>29616.92</v>
      </c>
    </row>
    <row r="27" ht="15.75" customHeight="1">
      <c r="B27" s="38">
        <v>43497.0</v>
      </c>
      <c r="C27" s="37" t="s">
        <v>24</v>
      </c>
      <c r="D27" s="44" t="s">
        <v>22</v>
      </c>
      <c r="E27" s="9" t="s">
        <v>18</v>
      </c>
      <c r="F27" s="37" t="s">
        <v>51</v>
      </c>
      <c r="H27" s="31">
        <v>39982.84</v>
      </c>
      <c r="L27" s="9">
        <v>0.7407407</v>
      </c>
      <c r="N27" s="37" t="s">
        <v>44</v>
      </c>
      <c r="O27" s="37" t="s">
        <v>52</v>
      </c>
      <c r="P27" s="45" t="s">
        <v>17</v>
      </c>
      <c r="Q27" s="44" t="s">
        <v>55</v>
      </c>
      <c r="S27" s="31">
        <v>29616.92</v>
      </c>
    </row>
    <row r="28" ht="15.75" customHeight="1">
      <c r="B28" s="47">
        <v>43496.0</v>
      </c>
      <c r="C28" s="37" t="s">
        <v>24</v>
      </c>
      <c r="D28" s="44" t="s">
        <v>22</v>
      </c>
      <c r="E28" s="9" t="s">
        <v>18</v>
      </c>
      <c r="F28" s="37" t="s">
        <v>51</v>
      </c>
      <c r="G28" s="31">
        <v>15981.61</v>
      </c>
      <c r="L28" s="31">
        <v>0.7462687</v>
      </c>
      <c r="N28" s="37" t="s">
        <v>42</v>
      </c>
      <c r="O28" s="37" t="s">
        <v>52</v>
      </c>
      <c r="P28" s="45" t="s">
        <v>17</v>
      </c>
      <c r="Q28" s="44" t="s">
        <v>53</v>
      </c>
      <c r="R28" s="31">
        <v>11926.57</v>
      </c>
    </row>
    <row r="29" ht="15.75" customHeight="1">
      <c r="B29" s="47">
        <v>43496.0</v>
      </c>
      <c r="C29" s="37" t="s">
        <v>24</v>
      </c>
      <c r="D29" s="44" t="s">
        <v>22</v>
      </c>
      <c r="E29" s="9" t="s">
        <v>18</v>
      </c>
      <c r="F29" s="37" t="s">
        <v>54</v>
      </c>
      <c r="H29" s="31">
        <v>15981.61</v>
      </c>
      <c r="L29" s="31">
        <v>0.7462687</v>
      </c>
      <c r="N29" s="37" t="s">
        <v>44</v>
      </c>
      <c r="O29" s="37" t="s">
        <v>52</v>
      </c>
      <c r="P29" s="45" t="s">
        <v>17</v>
      </c>
      <c r="Q29" s="44" t="s">
        <v>53</v>
      </c>
      <c r="S29" s="31">
        <v>11926.57</v>
      </c>
    </row>
    <row r="30" ht="15.75" customHeight="1">
      <c r="B30" s="47">
        <v>43496.0</v>
      </c>
      <c r="C30" s="37" t="s">
        <v>24</v>
      </c>
      <c r="D30" s="44" t="s">
        <v>22</v>
      </c>
      <c r="E30" s="9" t="s">
        <v>18</v>
      </c>
      <c r="F30" s="37" t="s">
        <v>54</v>
      </c>
      <c r="G30" s="31">
        <v>29277.51</v>
      </c>
      <c r="L30" s="32">
        <v>0.7440476</v>
      </c>
      <c r="N30" s="37" t="s">
        <v>42</v>
      </c>
      <c r="O30" s="37" t="s">
        <v>52</v>
      </c>
      <c r="P30" s="45" t="s">
        <v>17</v>
      </c>
      <c r="Q30" s="44" t="s">
        <v>55</v>
      </c>
      <c r="R30" s="31">
        <v>21783.86</v>
      </c>
    </row>
    <row r="31" ht="15.75" customHeight="1">
      <c r="B31" s="47">
        <v>43496.0</v>
      </c>
      <c r="C31" s="37" t="s">
        <v>24</v>
      </c>
      <c r="D31" s="44" t="s">
        <v>22</v>
      </c>
      <c r="E31" s="9" t="s">
        <v>18</v>
      </c>
      <c r="F31" s="37" t="s">
        <v>51</v>
      </c>
      <c r="H31" s="31">
        <v>29277.51</v>
      </c>
      <c r="L31" s="32">
        <v>0.7440476</v>
      </c>
      <c r="N31" s="37" t="s">
        <v>44</v>
      </c>
      <c r="O31" s="37" t="s">
        <v>52</v>
      </c>
      <c r="P31" s="45" t="s">
        <v>17</v>
      </c>
      <c r="Q31" s="44" t="s">
        <v>55</v>
      </c>
      <c r="S31" s="31">
        <v>21783.86</v>
      </c>
    </row>
    <row r="32" ht="15.75" customHeight="1">
      <c r="B32" s="47">
        <v>43495.0</v>
      </c>
      <c r="C32" s="37" t="s">
        <v>24</v>
      </c>
      <c r="D32" s="44" t="s">
        <v>22</v>
      </c>
      <c r="E32" s="9" t="s">
        <v>18</v>
      </c>
      <c r="F32" s="37" t="s">
        <v>54</v>
      </c>
      <c r="G32" s="31">
        <v>15981.61</v>
      </c>
      <c r="L32" s="31">
        <v>0.7462687</v>
      </c>
      <c r="N32" s="37" t="s">
        <v>42</v>
      </c>
      <c r="O32" s="37" t="s">
        <v>52</v>
      </c>
      <c r="P32" s="45" t="s">
        <v>17</v>
      </c>
      <c r="Q32" s="44" t="s">
        <v>55</v>
      </c>
      <c r="R32" s="31">
        <v>11926.57</v>
      </c>
    </row>
    <row r="33" ht="15.75" customHeight="1">
      <c r="B33" s="47">
        <v>43495.0</v>
      </c>
      <c r="C33" s="37" t="s">
        <v>24</v>
      </c>
      <c r="D33" s="44" t="s">
        <v>22</v>
      </c>
      <c r="E33" s="9" t="s">
        <v>18</v>
      </c>
      <c r="F33" s="37" t="s">
        <v>51</v>
      </c>
      <c r="H33" s="31">
        <v>15981.61</v>
      </c>
      <c r="L33" s="31">
        <v>0.7462687</v>
      </c>
      <c r="N33" s="37" t="s">
        <v>44</v>
      </c>
      <c r="O33" s="37" t="s">
        <v>52</v>
      </c>
      <c r="P33" s="45" t="s">
        <v>17</v>
      </c>
      <c r="Q33" s="44" t="s">
        <v>55</v>
      </c>
      <c r="S33" s="31">
        <v>11926.57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12</v>
      </c>
      <c r="D3" s="8" t="s">
        <v>9</v>
      </c>
      <c r="E3" s="21" t="s">
        <v>25</v>
      </c>
      <c r="F3" s="8" t="s">
        <v>14</v>
      </c>
      <c r="G3" s="11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29">
        <v>43500.0</v>
      </c>
      <c r="C6" s="6"/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GetForwardPoints5!$4:$4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12</v>
      </c>
      <c r="D3" s="8" t="s">
        <v>9</v>
      </c>
      <c r="E3" s="21" t="s">
        <v>26</v>
      </c>
      <c r="F3" s="8" t="s">
        <v>14</v>
      </c>
      <c r="G3" s="11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IFERROR(__xludf.DUMMYFUNCTION("""COMPUTED_VALUE"""),"Forward Points")</f>
        <v>Forward Points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40" t="s">
        <v>22</v>
      </c>
      <c r="C6" s="41">
        <v>-0.002</v>
      </c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UpdateForwardPoints5!$4:$4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12</v>
      </c>
      <c r="D3" s="8" t="s">
        <v>9</v>
      </c>
      <c r="E3" s="21" t="s">
        <v>25</v>
      </c>
      <c r="F3" s="8" t="s">
        <v>14</v>
      </c>
      <c r="G3" s="11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29">
        <v>43501.0</v>
      </c>
      <c r="C6" s="6"/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GetForwardPoints6!$4:$4</formula1>
    </dataValidation>
  </dataValidations>
  <drawing r:id="rId1"/>
</worksheet>
</file>