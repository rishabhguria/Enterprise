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Import" sheetId="6" r:id="rId8"/>
    <sheet state="visible" name="SelectAllOnImport" sheetId="7" r:id="rId9"/>
    <sheet state="visible" name="Import1" sheetId="8" r:id="rId10"/>
    <sheet state="visible" name="SelectAllOnImport1" sheetId="9" r:id="rId11"/>
    <sheet state="visible" name="PricingInput" sheetId="10" r:id="rId12"/>
    <sheet state="visible" name="GetDailyCash" sheetId="11" r:id="rId13"/>
    <sheet state="visible" name="UpdateMultipleDailyCash" sheetId="12" r:id="rId14"/>
    <sheet state="visible" name="GetForexConversion" sheetId="13" r:id="rId15"/>
    <sheet state="visible" name="UpdateForexConversion" sheetId="14" r:id="rId16"/>
    <sheet state="visible" name="CreateDoneAwayOrder" sheetId="15" r:id="rId17"/>
    <sheet state="visible" name="FetchAccountPositions" sheetId="16" r:id="rId18"/>
    <sheet state="visible" name="AddCash" sheetId="17" r:id="rId19"/>
    <sheet state="visible" name="RunRebalance" sheetId="18" r:id="rId20"/>
    <sheet state="visible" name="CheckBasketCompliance" sheetId="19" r:id="rId21"/>
    <sheet state="visible" name="SendToStagingExport" sheetId="20" r:id="rId22"/>
    <sheet state="visible" name="SelectTradeOnOrderGrid" sheetId="21" r:id="rId23"/>
    <sheet state="visible" name="ReplaceSubOrder" sheetId="22" r:id="rId24"/>
    <sheet state="visible" name="CreateReplaceOrder" sheetId="23" r:id="rId25"/>
    <sheet state="visible" name="VerifyComplianceOrder" sheetId="24" r:id="rId26"/>
  </sheets>
  <definedNames/>
  <calcPr/>
</workbook>
</file>

<file path=xl/sharedStrings.xml><?xml version="1.0" encoding="utf-8"?>
<sst xmlns="http://schemas.openxmlformats.org/spreadsheetml/2006/main" count="231" uniqueCount="74">
  <si>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</si>
  <si>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</si>
  <si>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</si>
  <si>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</si>
  <si>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</si>
  <si>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</si>
  <si>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</si>
  <si>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</si>
  <si>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</si>
  <si>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</si>
  <si>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</si>
  <si>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</si>
  <si>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</si>
  <si>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</si>
  <si>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</si>
  <si>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</si>
  <si>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</si>
  <si>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</si>
  <si>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</si>
  <si>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Import</t>
  </si>
  <si>
    <t>\\192.168.2.108\DistributedAutomation_Master\Import Cases\Transaction_Import(BasketCompliance-0265).csv</t>
  </si>
  <si>
    <t>Cameron</t>
  </si>
  <si>
    <t>Transaction</t>
  </si>
  <si>
    <t>SelectAllOnImport</t>
  </si>
  <si>
    <t>\\192.168.2.108\DistributedAutomation_Master\Import Cases\Stage(BasketCompliance-0265).csv</t>
  </si>
  <si>
    <t>ISOX</t>
  </si>
  <si>
    <t>Staged Order</t>
  </si>
  <si>
    <t>PricingInput</t>
  </si>
  <si>
    <t>IBM</t>
  </si>
  <si>
    <t>O:AAPL 13N715.00</t>
  </si>
  <si>
    <t>ES U2</t>
  </si>
  <si>
    <t>FRU-TC</t>
  </si>
  <si>
    <t>038315EW3</t>
  </si>
  <si>
    <t>DailyValuation</t>
  </si>
  <si>
    <t>GetDailyCash</t>
  </si>
  <si>
    <t>UpdateMultipleDailyCash</t>
  </si>
  <si>
    <t>Allocation1</t>
  </si>
  <si>
    <t>USD</t>
  </si>
  <si>
    <t>GetForexConversion</t>
  </si>
  <si>
    <t>UpdateForexConversion</t>
  </si>
  <si>
    <t>CAD</t>
  </si>
  <si>
    <t>CAD AO-FX</t>
  </si>
  <si>
    <t>TradingTicket</t>
  </si>
  <si>
    <t>CreateDoneAwayOrder</t>
  </si>
  <si>
    <t>Buy</t>
  </si>
  <si>
    <t>Rebalancer</t>
  </si>
  <si>
    <t>FetchAccountPositions</t>
  </si>
  <si>
    <t>AddCash</t>
  </si>
  <si>
    <t>RunRebalance</t>
  </si>
  <si>
    <t>Nearest Round Off</t>
  </si>
  <si>
    <t>CheckBasketCompliance</t>
  </si>
  <si>
    <t>Soft</t>
  </si>
  <si>
    <t>Rule_GMV</t>
  </si>
  <si>
    <t>Enter Summary</t>
  </si>
  <si>
    <t>NewMF-123456789</t>
  </si>
  <si>
    <t>percentGrossMarketValueMasterFund: 0.0062, MasterFundName: NewMF, Symbol: 123456789</t>
  </si>
  <si>
    <t>NewMF-038315EW3</t>
  </si>
  <si>
    <t>percentGrossMarketValueMasterFund: 0.0062, MasterFundName: NewMF, Symbol: 038315EW3</t>
  </si>
  <si>
    <t>NewMF-IBM</t>
  </si>
  <si>
    <t>percentGrossMarketValueMasterFund: 0.6227, MasterFundName: NewMF, Symbol: IBM</t>
  </si>
  <si>
    <t>NewMF-FRU-TC</t>
  </si>
  <si>
    <t>percentGrossMarketValueMasterFund: 0.5189, MasterFundName: NewMF, Symbol: FRU-TC</t>
  </si>
  <si>
    <t>SendToStagingExport</t>
  </si>
  <si>
    <t>Allocation2</t>
  </si>
  <si>
    <t>Allocation3</t>
  </si>
  <si>
    <t>Allocation4</t>
  </si>
  <si>
    <t>Blotter</t>
  </si>
  <si>
    <t>SelectTradeOnOrderGrid</t>
  </si>
  <si>
    <t>New</t>
  </si>
  <si>
    <t>ReplaceSubOrder</t>
  </si>
  <si>
    <t>CreateReplaceOrder</t>
  </si>
  <si>
    <t>VerifyComplianceOrder</t>
  </si>
  <si>
    <t>percentGrossMarketValueMasterFund: 1.1162, MasterFundName: NewMF, Symbol: FRU-TC</t>
  </si>
  <si>
    <t>Replace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</si>
</sst>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center"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5" fillId="0" fontId="3" numFmtId="164" xfId="0" applyAlignment="1" applyBorder="1" applyFont="1" applyNumberForma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horizontal="right"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b">
        <v>1</v>
      </c>
      <c r="F6" s="12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 t="str">
        <f>IFERROR(__xludf.DUMMYFUNCTION("""COMPUTED_VALUE"""),"VerifyImportNavLockPopup")</f>
        <v>VerifyImportNavLockPopup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IFERROR(__xludf.DUMMYFUNCTION("""COMPUTED_VALUE"""),"Select Date")</f>
        <v>Select Date</v>
      </c>
      <c r="D5" s="27" t="str">
        <f>IFERROR(__xludf.DUMMYFUNCTION("""COMPUTED_VALUE"""),"Date")</f>
        <v>Date</v>
      </c>
      <c r="E5" s="27" t="str">
        <f>IFERROR(__xludf.DUMMYFUNCTION("""COMPUTED_VALUE"""),"Select File")</f>
        <v>Select File</v>
      </c>
      <c r="F5" s="28" t="str">
        <f>IFERROR(__xludf.DUMMYFUNCTION("""COMPUTED_VALUE"""),"Upload ThirdParty")</f>
        <v>Upload ThirdParty</v>
      </c>
      <c r="G5" s="27" t="str">
        <f>IFERROR(__xludf.DUMMYFUNCTION("""COMPUTED_VALUE"""),"Import Type")</f>
        <v>Import Type</v>
      </c>
      <c r="H5" s="27" t="str">
        <f>IFERROR(__xludf.DUMMYFUNCTION("""COMPUTED_VALUE"""),"Import Type Format Name")</f>
        <v>Import Type Format 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 t="b">
        <v>0</v>
      </c>
      <c r="D6" s="33"/>
      <c r="E6" s="34" t="s">
        <v>20</v>
      </c>
      <c r="F6" s="35" t="s">
        <v>21</v>
      </c>
      <c r="G6" s="35" t="s">
        <v>22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 t="str">
        <f>IFERROR(__xludf.DUMMYFUNCTION("""COMPUTED_VALUE"""),"VerifyImportNavLockPopup")</f>
        <v>VerifyImportNavLockPopup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 Type")</f>
        <v>Import Type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22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 t="str">
        <f>IFERROR(__xludf.DUMMYFUNCTION("""COMPUTED_VALUE"""),"VerifyImportNavLockPopup")</f>
        <v>VerifyImportNavLockPopup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IFERROR(__xludf.DUMMYFUNCTION("""COMPUTED_VALUE"""),"Select Date")</f>
        <v>Select Date</v>
      </c>
      <c r="D5" s="27" t="str">
        <f>IFERROR(__xludf.DUMMYFUNCTION("""COMPUTED_VALUE"""),"Date")</f>
        <v>Date</v>
      </c>
      <c r="E5" s="27" t="str">
        <f>IFERROR(__xludf.DUMMYFUNCTION("""COMPUTED_VALUE"""),"Select File")</f>
        <v>Select File</v>
      </c>
      <c r="F5" s="28" t="str">
        <f>IFERROR(__xludf.DUMMYFUNCTION("""COMPUTED_VALUE"""),"Upload ThirdParty")</f>
        <v>Upload ThirdParty</v>
      </c>
      <c r="G5" s="27" t="str">
        <f>IFERROR(__xludf.DUMMYFUNCTION("""COMPUTED_VALUE"""),"Import Type")</f>
        <v>Import Type</v>
      </c>
      <c r="H5" s="27" t="str">
        <f>IFERROR(__xludf.DUMMYFUNCTION("""COMPUTED_VALUE"""),"Import Type Format Name")</f>
        <v>Import Type Format 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7" t="b">
        <v>0</v>
      </c>
      <c r="D6" s="38"/>
      <c r="E6" s="34" t="s">
        <v>24</v>
      </c>
      <c r="F6" s="35" t="s">
        <v>25</v>
      </c>
      <c r="G6" s="35" t="s">
        <v>26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 t="str">
        <f>IFERROR(__xludf.DUMMYFUNCTION("""COMPUTED_VALUE"""),"VerifyImportNavLockPopup")</f>
        <v>VerifyImportNavLockPopup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 Type")</f>
        <v>Import Type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26</v>
      </c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SelectAllOnImport1!$4:$4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28</v>
      </c>
      <c r="C6" s="39">
        <v>20.0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29</v>
      </c>
      <c r="C7" s="39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30</v>
      </c>
      <c r="C8" s="39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>
        <v>1.23456789E8</v>
      </c>
      <c r="C9" s="39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31</v>
      </c>
      <c r="C10" s="39">
        <v>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32</v>
      </c>
      <c r="C11" s="39">
        <v>20.0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>
        <f t="shared" ref="B6:C6" si="1">TODAY()-1</f>
        <v>45816</v>
      </c>
      <c r="C6" s="41">
        <f t="shared" si="1"/>
        <v>45816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36</v>
      </c>
      <c r="C6" s="34" t="s">
        <v>37</v>
      </c>
      <c r="D6" s="42">
        <v>335000.0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>
        <f t="shared" ref="B6:C6" si="1">TODAY()-1</f>
        <v>45816</v>
      </c>
      <c r="C6" s="41">
        <f t="shared" si="1"/>
        <v>45816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3" t="s">
        <v>37</v>
      </c>
      <c r="C6" s="44" t="s">
        <v>40</v>
      </c>
      <c r="D6" s="45" t="s">
        <v>41</v>
      </c>
      <c r="E6" s="46">
        <v>1.2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31</v>
      </c>
      <c r="C6" s="34" t="s">
        <v>44</v>
      </c>
      <c r="D6" s="42">
        <v>100.0</v>
      </c>
      <c r="E6" s="39">
        <v>0.0</v>
      </c>
      <c r="F6" s="34" t="s">
        <v>36</v>
      </c>
      <c r="G6" s="35"/>
      <c r="H6" s="35"/>
      <c r="I6" s="35"/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18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100000.0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7" t="s">
        <v>49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8" t="s">
        <v>51</v>
      </c>
      <c r="C6" s="48" t="s">
        <v>52</v>
      </c>
      <c r="D6" s="48" t="s">
        <v>53</v>
      </c>
      <c r="E6" s="12" t="s">
        <v>54</v>
      </c>
      <c r="F6" s="12">
        <v>-10.0</v>
      </c>
      <c r="G6" s="12">
        <v>0.01</v>
      </c>
      <c r="H6" s="12" t="s">
        <v>55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51</v>
      </c>
      <c r="C7" s="12" t="s">
        <v>52</v>
      </c>
      <c r="D7" s="12" t="s">
        <v>53</v>
      </c>
      <c r="E7" s="12" t="s">
        <v>56</v>
      </c>
      <c r="F7" s="12">
        <v>-10.0</v>
      </c>
      <c r="G7" s="12">
        <v>0.01</v>
      </c>
      <c r="H7" s="12" t="s">
        <v>57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51</v>
      </c>
      <c r="C8" s="12" t="s">
        <v>52</v>
      </c>
      <c r="D8" s="12" t="s">
        <v>53</v>
      </c>
      <c r="E8" s="12" t="s">
        <v>58</v>
      </c>
      <c r="F8" s="12">
        <v>-10.0</v>
      </c>
      <c r="G8" s="12">
        <v>0.62</v>
      </c>
      <c r="H8" s="12" t="s">
        <v>59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51</v>
      </c>
      <c r="C9" s="12" t="s">
        <v>52</v>
      </c>
      <c r="D9" s="12" t="s">
        <v>53</v>
      </c>
      <c r="E9" s="12" t="s">
        <v>60</v>
      </c>
      <c r="F9" s="12">
        <v>-10.0</v>
      </c>
      <c r="G9" s="12">
        <v>0.52</v>
      </c>
      <c r="H9" s="12" t="s">
        <v>61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IFERROR(__xludf.DUMMYFUNCTION("""COMPUTED_VALUE"""),"AllowTrade")</f>
        <v>AllowTrade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36</v>
      </c>
      <c r="C6" s="34" t="s">
        <v>44</v>
      </c>
      <c r="D6" s="36" t="s">
        <v>28</v>
      </c>
      <c r="E6" s="9">
        <v>30.0</v>
      </c>
      <c r="F6" s="39">
        <v>20.0</v>
      </c>
      <c r="G6" s="35"/>
      <c r="H6" s="34"/>
      <c r="I6" s="34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34" t="s">
        <v>63</v>
      </c>
      <c r="C7" s="34" t="s">
        <v>44</v>
      </c>
      <c r="D7" s="39">
        <v>1.23456789E8</v>
      </c>
      <c r="E7" s="9">
        <v>30.0</v>
      </c>
      <c r="F7" s="39">
        <v>20.0</v>
      </c>
      <c r="G7" s="35"/>
      <c r="H7" s="34"/>
      <c r="I7" s="34" t="s">
        <v>18</v>
      </c>
      <c r="J7" s="8"/>
      <c r="K7" s="8"/>
      <c r="L7" s="8"/>
      <c r="M7" s="8"/>
      <c r="N7" s="8"/>
      <c r="O7" s="8"/>
    </row>
    <row r="8" ht="15.75" customHeight="1">
      <c r="A8" s="8"/>
      <c r="B8" s="34" t="s">
        <v>64</v>
      </c>
      <c r="C8" s="34" t="s">
        <v>44</v>
      </c>
      <c r="D8" s="34" t="s">
        <v>31</v>
      </c>
      <c r="E8" s="9">
        <v>30.0</v>
      </c>
      <c r="F8" s="39">
        <v>20.0</v>
      </c>
      <c r="G8" s="35"/>
      <c r="H8" s="34"/>
      <c r="I8" s="34" t="s">
        <v>18</v>
      </c>
      <c r="J8" s="8"/>
      <c r="K8" s="8"/>
      <c r="L8" s="8"/>
      <c r="M8" s="8"/>
      <c r="N8" s="8"/>
      <c r="O8" s="8"/>
    </row>
    <row r="9" ht="15.75" customHeight="1">
      <c r="A9" s="8"/>
      <c r="B9" s="34" t="s">
        <v>65</v>
      </c>
      <c r="C9" s="34" t="s">
        <v>44</v>
      </c>
      <c r="D9" s="34" t="s">
        <v>32</v>
      </c>
      <c r="E9" s="9">
        <v>30.0</v>
      </c>
      <c r="F9" s="39">
        <v>20.0</v>
      </c>
      <c r="G9" s="35"/>
      <c r="H9" s="34"/>
      <c r="I9" s="34" t="s">
        <v>18</v>
      </c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SendToStagingExport!$4:$4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6" t="s">
        <v>31</v>
      </c>
      <c r="E6" s="35"/>
      <c r="F6" s="34" t="s">
        <v>44</v>
      </c>
      <c r="G6" s="34" t="s">
        <v>68</v>
      </c>
      <c r="H6" s="39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34" t="s">
        <v>31</v>
      </c>
      <c r="AK6" s="34" t="s">
        <v>44</v>
      </c>
      <c r="AL6" s="34" t="s">
        <v>68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42">
        <v>200.0</v>
      </c>
      <c r="E6" s="35"/>
      <c r="F6" s="35"/>
      <c r="G6" s="35"/>
      <c r="H6" s="35"/>
      <c r="I6" s="35"/>
      <c r="J6" s="39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51</v>
      </c>
      <c r="C6" s="34" t="s">
        <v>52</v>
      </c>
      <c r="D6" s="36" t="s">
        <v>53</v>
      </c>
      <c r="E6" s="34" t="s">
        <v>60</v>
      </c>
      <c r="F6" s="39">
        <v>-10.0</v>
      </c>
      <c r="G6" s="49">
        <v>1.12</v>
      </c>
      <c r="H6" s="49" t="s">
        <v>72</v>
      </c>
      <c r="I6" s="35"/>
      <c r="J6" s="35"/>
      <c r="K6" s="34" t="s">
        <v>18</v>
      </c>
      <c r="L6" s="35"/>
      <c r="M6" s="34" t="s">
        <v>73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