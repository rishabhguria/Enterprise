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ilterPM" sheetId="8" r:id="rId10"/>
    <sheet state="visible" name="OpenPTTFromPM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DoneAwayOrder1" sheetId="13" r:id="rId15"/>
  </sheets>
  <definedNames/>
  <calcPr/>
</workbook>
</file>

<file path=xl/sharedStrings.xml><?xml version="1.0" encoding="utf-8"?>
<sst xmlns="http://schemas.openxmlformats.org/spreadsheetml/2006/main" count="108" uniqueCount="40">
  <si>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</si>
  <si>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</si>
  <si>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</si>
  <si>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</si>
  <si>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</si>
  <si>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</si>
  <si>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</si>
  <si>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</si>
  <si>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</si>
  <si>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</si>
  <si>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</si>
  <si>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</si>
  <si>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</si>
  <si>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</si>
  <si>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</si>
  <si>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</si>
  <si>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</si>
  <si>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</si>
  <si>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</si>
  <si>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</si>
  <si>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</si>
  <si>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</si>
  <si>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</si>
  <si>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</si>
  <si>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Allocation2</t>
  </si>
  <si>
    <t>IBM</t>
  </si>
  <si>
    <t>Allocation3</t>
  </si>
  <si>
    <t>PricingInput</t>
  </si>
  <si>
    <t>PortfolioManagement</t>
  </si>
  <si>
    <t>FilterPM</t>
  </si>
  <si>
    <t>MasterFund</t>
  </si>
  <si>
    <t>NewMF</t>
  </si>
  <si>
    <t>OpenPTTFromPM</t>
  </si>
  <si>
    <t>PTT</t>
  </si>
  <si>
    <t>CalculatePTT</t>
  </si>
  <si>
    <t>Increase</t>
  </si>
  <si>
    <t>Percentage</t>
  </si>
  <si>
    <t>No</t>
  </si>
  <si>
    <t>VerifyPTT</t>
  </si>
  <si>
    <t>TradePTT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</si>
</sst>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readingOrder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44077</v>
      </c>
      <c r="C6" s="31">
        <f t="shared" si="1"/>
        <v>44077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17</v>
      </c>
      <c r="C6" s="35" t="s">
        <v>18</v>
      </c>
      <c r="D6" s="36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5" t="s">
        <v>22</v>
      </c>
      <c r="D6" s="36">
        <v>1000.0</v>
      </c>
      <c r="E6" s="39">
        <v>1000.0</v>
      </c>
      <c r="F6" s="35" t="s">
        <v>17</v>
      </c>
      <c r="G6" s="37"/>
      <c r="H6" s="37"/>
      <c r="I6" s="37"/>
      <c r="J6" s="39">
        <v>10.0</v>
      </c>
      <c r="K6" s="37"/>
      <c r="L6" s="37"/>
      <c r="M6" s="37"/>
      <c r="N6" s="40">
        <f t="shared" ref="N6:N8" si="1">today()</f>
        <v>44078</v>
      </c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11" t="s">
        <v>23</v>
      </c>
      <c r="C7" s="11" t="s">
        <v>22</v>
      </c>
      <c r="D7" s="11">
        <v>1000.0</v>
      </c>
      <c r="E7" s="11">
        <v>1000.0</v>
      </c>
      <c r="F7" s="41" t="s">
        <v>24</v>
      </c>
      <c r="G7" s="8"/>
      <c r="H7" s="8"/>
      <c r="I7" s="8"/>
      <c r="J7" s="11">
        <v>10.0</v>
      </c>
      <c r="K7" s="8"/>
      <c r="L7" s="8"/>
      <c r="M7" s="8"/>
      <c r="N7" s="30">
        <f t="shared" si="1"/>
        <v>44078</v>
      </c>
      <c r="O7" s="8"/>
    </row>
    <row r="8" ht="15.75" customHeight="1">
      <c r="A8" s="8"/>
      <c r="B8" s="11" t="s">
        <v>25</v>
      </c>
      <c r="C8" s="11" t="s">
        <v>22</v>
      </c>
      <c r="D8" s="11">
        <v>1000.0</v>
      </c>
      <c r="E8" s="11">
        <v>1000.0</v>
      </c>
      <c r="F8" s="41" t="s">
        <v>26</v>
      </c>
      <c r="G8" s="8"/>
      <c r="H8" s="8"/>
      <c r="I8" s="8"/>
      <c r="J8" s="11">
        <v>10.0</v>
      </c>
      <c r="K8" s="8"/>
      <c r="L8" s="8"/>
      <c r="M8" s="8"/>
      <c r="N8" s="31">
        <f t="shared" si="1"/>
        <v>44078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9" t="s">
        <v>21</v>
      </c>
      <c r="C6" s="39">
        <v>10.0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2" t="s">
        <v>23</v>
      </c>
      <c r="C7" s="43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11" t="s">
        <v>25</v>
      </c>
      <c r="C8" s="11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30</v>
      </c>
      <c r="C6" s="44" t="s">
        <v>31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5" t="s">
        <v>21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OpenPTTFromPM!$4:$4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2"/>
      <c r="C6" s="35" t="s">
        <v>35</v>
      </c>
      <c r="D6" s="34" t="s">
        <v>36</v>
      </c>
      <c r="E6" s="46">
        <v>2.0</v>
      </c>
      <c r="F6" s="39">
        <v>10.0</v>
      </c>
      <c r="G6" s="47" t="s">
        <v>37</v>
      </c>
      <c r="H6" s="47"/>
      <c r="I6" s="45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8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2"/>
      <c r="D6" s="48">
        <v>1000.0</v>
      </c>
      <c r="E6" s="39">
        <v>10000.0</v>
      </c>
      <c r="F6" s="39">
        <v>100.0</v>
      </c>
      <c r="G6" s="43">
        <v>2.0</v>
      </c>
      <c r="H6" s="39">
        <v>102.0</v>
      </c>
      <c r="I6" s="39">
        <v>20.0</v>
      </c>
      <c r="J6" s="48">
        <v>1020.0</v>
      </c>
      <c r="K6" s="48">
        <v>10200.0</v>
      </c>
      <c r="L6" s="39">
        <v>100.0</v>
      </c>
      <c r="M6" s="39">
        <v>1.0</v>
      </c>
      <c r="N6" s="37"/>
      <c r="O6" s="37"/>
      <c r="P6" s="37"/>
      <c r="Q6" s="45"/>
      <c r="R6" s="39">
        <v>10000.0</v>
      </c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5" t="s">
        <v>21</v>
      </c>
      <c r="C6" s="35" t="s">
        <v>35</v>
      </c>
      <c r="D6" s="34" t="s">
        <v>36</v>
      </c>
      <c r="E6" s="46">
        <v>2.0</v>
      </c>
      <c r="F6" s="39">
        <v>10.0</v>
      </c>
      <c r="G6" s="47" t="s">
        <v>37</v>
      </c>
      <c r="H6" s="49" t="s">
        <v>30</v>
      </c>
      <c r="I6" s="41" t="s">
        <v>31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5" t="s">
        <v>21</v>
      </c>
      <c r="C6" s="37"/>
      <c r="D6" s="36">
        <v>50.0</v>
      </c>
      <c r="E6" s="39">
        <v>50.0</v>
      </c>
      <c r="F6" s="37"/>
      <c r="G6" s="37"/>
      <c r="H6" s="37"/>
      <c r="I6" s="37"/>
      <c r="J6" s="39">
        <v>10.0</v>
      </c>
      <c r="K6" s="37"/>
      <c r="L6" s="37"/>
      <c r="M6" s="37"/>
      <c r="N6" s="40">
        <f>TODAY()</f>
        <v>44078</v>
      </c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