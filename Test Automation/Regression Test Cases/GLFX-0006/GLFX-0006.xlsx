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CashSettlementAtClosingDtSpotPx" sheetId="7" r:id="rId9"/>
    <sheet state="visible" name="VerifyExpiredSettledGrid" sheetId="8" r:id="rId10"/>
    <sheet state="visible" name="GetForexConversion" sheetId="9" r:id="rId11"/>
    <sheet state="visible" name="UpdateForexConversionMonthly" sheetId="10" r:id="rId12"/>
    <sheet state="visible" name="GetForexConversion1" sheetId="11" r:id="rId13"/>
    <sheet state="visible" name="UpdateForexConversionMonthly1" sheetId="12" r:id="rId14"/>
    <sheet state="visible" name="GetForwardPoints" sheetId="13" r:id="rId15"/>
    <sheet state="visible" name="UpdateForwardPoints" sheetId="14" r:id="rId16"/>
    <sheet state="visible" name="GetForwardPoints1" sheetId="15" r:id="rId17"/>
    <sheet state="visible" name="UpdateForwardPoints1" sheetId="16" r:id="rId18"/>
    <sheet state="visible" name="GetForwardPoints2" sheetId="17" r:id="rId19"/>
    <sheet state="visible" name="UpdateForwardPoints3" sheetId="18" r:id="rId20"/>
    <sheet state="visible" name="UpdateForwardPoints2" sheetId="19" r:id="rId21"/>
    <sheet state="visible" name="GetForwardPoints3" sheetId="20" r:id="rId22"/>
    <sheet state="visible" name="GetForwardPoints4" sheetId="21" r:id="rId23"/>
    <sheet state="visible" name="UpdateForwardPoints4" sheetId="22" r:id="rId24"/>
    <sheet state="visible" name="GetForwardPoints5" sheetId="23" r:id="rId25"/>
    <sheet state="visible" name="UpdateForwardPoints5" sheetId="24" r:id="rId26"/>
    <sheet state="visible" name="GetForwardPoints6" sheetId="25" r:id="rId27"/>
    <sheet state="visible" name="UpdateForwardPoints6" sheetId="26" r:id="rId28"/>
    <sheet state="visible" name="VerifyTradingTransaction" sheetId="27" r:id="rId29"/>
    <sheet state="visible" name="RunRevaluation" sheetId="28" r:id="rId30"/>
    <sheet state="visible" name="VerifyRevaluationData" sheetId="29" r:id="rId31"/>
    <sheet state="visible" name="GetDataAllocation" sheetId="30" r:id="rId32"/>
    <sheet state="visible" name="CheckAllocatedGroups" sheetId="31" r:id="rId33"/>
    <sheet state="visible" name="GetTradingTransaction" sheetId="32" r:id="rId34"/>
    <sheet state="visible" name="GetRevaluationData" sheetId="33" r:id="rId35"/>
  </sheets>
  <definedNames/>
  <calcPr/>
</workbook>
</file>

<file path=xl/sharedStrings.xml><?xml version="1.0" encoding="utf-8"?>
<sst xmlns="http://schemas.openxmlformats.org/spreadsheetml/2006/main" count="527" uniqueCount="56">
  <si>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</si>
  <si>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</si>
  <si>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</si>
  <si>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</si>
  <si>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</si>
  <si>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</si>
  <si>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</si>
  <si>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</si>
  <si>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</si>
  <si>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</si>
  <si>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</si>
  <si>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</si>
  <si>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</si>
  <si>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</si>
  <si>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</si>
  <si>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</si>
  <si>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EUR/USD 02/06/2019</t>
  </si>
  <si>
    <t>Buy</t>
  </si>
  <si>
    <t>USD</t>
  </si>
  <si>
    <t>Closing</t>
  </si>
  <si>
    <t>GetDataClosing</t>
  </si>
  <si>
    <t>Historical</t>
  </si>
  <si>
    <t>SelectTradeUnexpiredUnsettled</t>
  </si>
  <si>
    <t>Allocation1</t>
  </si>
  <si>
    <t>FXForward</t>
  </si>
  <si>
    <t>CashSettlementAtClosingDtSpotPx</t>
  </si>
  <si>
    <t>VerifyExpiredSettledGrid</t>
  </si>
  <si>
    <t>CashSettleinBaseCurrency</t>
  </si>
  <si>
    <t>DailyValuation</t>
  </si>
  <si>
    <t>GetForexConversion</t>
  </si>
  <si>
    <t>UpdateForexConversionMonthly</t>
  </si>
  <si>
    <t>EUR</t>
  </si>
  <si>
    <t>USD A0-FX</t>
  </si>
  <si>
    <t>GetForwardPoints</t>
  </si>
  <si>
    <t>UpdateForwardPoints</t>
  </si>
  <si>
    <t>GeneralLedger</t>
  </si>
  <si>
    <t>VerifyTradingTransaction</t>
  </si>
  <si>
    <t>DR</t>
  </si>
  <si>
    <t>Cash [Cash]</t>
  </si>
  <si>
    <t>CR</t>
  </si>
  <si>
    <t>FX Forward Realized Profit And Loss [Income]</t>
  </si>
  <si>
    <t>FX Profit And Loss [Income]</t>
  </si>
  <si>
    <t>RunRevaluation</t>
  </si>
  <si>
    <t>NewMF</t>
  </si>
  <si>
    <t>VerifyRevaluationData</t>
  </si>
  <si>
    <t>FX Forward UnRealized Profit And Loss [Income]</t>
  </si>
  <si>
    <t>Revaluation</t>
  </si>
  <si>
    <t>UnRealized PNL Entry</t>
  </si>
  <si>
    <t>FX Forward Long Revaluation [Asset]</t>
  </si>
  <si>
    <t>Contra UnRealized PNL Entry</t>
  </si>
  <si>
    <t>Allocation</t>
  </si>
  <si>
    <t>GetDataAllocation</t>
  </si>
  <si>
    <t>CheckAllocatedGroups</t>
  </si>
  <si>
    <t>Sell</t>
  </si>
  <si>
    <t>GetTradingTransaction</t>
  </si>
  <si>
    <t>GetRevaluationData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</si>
</sst>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color rgb="FF000000"/>
      <name val="Calibri"/>
    </font>
    <font>
      <sz val="11.0"/>
      <color rgb="FF000000"/>
      <name val="Inconsolata"/>
    </font>
    <font>
      <sz val="11.0"/>
      <color rgb="FF000000"/>
      <name val="Arial"/>
    </font>
    <font>
      <sz val="9.0"/>
      <color rgb="FF000000"/>
      <name val="&quot;Quattrocento Sans&quot;"/>
    </font>
    <font>
      <sz val="9.0"/>
      <color rgb="FF808080"/>
      <name val="&quot;Quattrocento Sans&quot;"/>
    </font>
    <font>
      <sz val="9.0"/>
      <color rgb="FFFFFFFF"/>
      <name val="&quot;Quattrocento Sans&quot;"/>
    </font>
    <font>
      <sz val="11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666699"/>
        <bgColor rgb="FF66669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6" fontId="14" numFmtId="0" xfId="0" applyAlignment="1" applyFont="1">
      <alignment horizontal="right" readingOrder="0" vertical="bottom"/>
    </xf>
    <xf borderId="5" fillId="6" fontId="1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6" fontId="1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6" numFmtId="0" xfId="0" applyAlignment="1" applyFont="1">
      <alignment vertical="bottom"/>
    </xf>
    <xf borderId="0" fillId="6" fontId="16" numFmtId="0" xfId="0" applyAlignment="1" applyFont="1">
      <alignment vertical="bottom"/>
    </xf>
    <xf borderId="0" fillId="6" fontId="17" numFmtId="14" xfId="0" applyFont="1" applyNumberFormat="1"/>
    <xf borderId="5" fillId="6" fontId="17" numFmtId="0" xfId="0" applyBorder="1" applyFont="1"/>
    <xf borderId="5" fillId="6" fontId="17" numFmtId="0" xfId="0" applyBorder="1" applyFont="1"/>
    <xf borderId="5" fillId="6" fontId="18" numFmtId="0" xfId="0" applyAlignment="1" applyBorder="1" applyFont="1">
      <alignment horizontal="right"/>
    </xf>
    <xf borderId="5" fillId="6" fontId="17" numFmtId="0" xfId="0" applyAlignment="1" applyBorder="1" applyFont="1">
      <alignment horizontal="right"/>
    </xf>
    <xf borderId="0" fillId="6" fontId="17" numFmtId="0" xfId="0" applyAlignment="1" applyFont="1">
      <alignment horizontal="right"/>
    </xf>
    <xf borderId="0" fillId="6" fontId="17" numFmtId="0" xfId="0" applyFont="1"/>
    <xf borderId="0" fillId="6" fontId="2" numFmtId="0" xfId="0" applyFont="1"/>
    <xf borderId="5" fillId="6" fontId="17" numFmtId="14" xfId="0" applyBorder="1" applyFont="1" applyNumberFormat="1"/>
    <xf borderId="5" fillId="6" fontId="18" numFmtId="0" xfId="0" applyAlignment="1" applyBorder="1" applyFont="1">
      <alignment horizontal="right"/>
    </xf>
    <xf borderId="5" fillId="6" fontId="17" numFmtId="0" xfId="0" applyAlignment="1" applyBorder="1" applyFont="1">
      <alignment horizontal="right"/>
    </xf>
    <xf borderId="5" fillId="6" fontId="19" numFmtId="0" xfId="0" applyAlignment="1" applyBorder="1" applyFont="1">
      <alignment horizontal="right"/>
    </xf>
    <xf borderId="5" fillId="6" fontId="19" numFmtId="0" xfId="0" applyAlignment="1" applyBorder="1" applyFont="1">
      <alignment horizontal="right"/>
    </xf>
    <xf borderId="5" fillId="7" fontId="17" numFmtId="0" xfId="0" applyAlignment="1" applyBorder="1" applyFill="1" applyFont="1">
      <alignment horizontal="right"/>
    </xf>
    <xf borderId="5" fillId="7" fontId="17" numFmtId="0" xfId="0" applyAlignment="1" applyBorder="1" applyFont="1">
      <alignment horizontal="right"/>
    </xf>
    <xf borderId="5" fillId="8" fontId="19" numFmtId="0" xfId="0" applyBorder="1" applyFill="1" applyFont="1"/>
    <xf borderId="0" fillId="0" fontId="20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2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5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>
      <c r="A495" t="str">
        <f>IFERROR(__xludf.DUMMYFUNCTION("""COMPUTED_VALUE"""),"Dropcopy")</f>
        <v>Dropcopy</v>
      </c>
      <c r="B495" t="str">
        <f>IFERROR(__xludf.DUMMYFUNCTION("""COMPUTED_VALUE"""),"UploadDropcopyFile")</f>
        <v>UploadDropcopyFile</v>
      </c>
      <c r="C495" t="str">
        <f>IFERROR(__xludf.DUMMYFUNCTION("""COMPUTED_VALUE"""),"1W-fqHVGr66uN9zMhvO6QE-0fTnvoMIo31A_MC2VEFUY")</f>
        <v>1W-fqHVGr66uN9zMhvO6QE-0fTnvoMIo31A_MC2VEFUY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IFERROR(__xludf.DUMMYFUNCTION("""COMPUTED_VALUE"""),"StartTradeServer")</f>
        <v>StartTradeServer</v>
      </c>
      <c r="C496" t="str">
        <f>IFERROR(__xludf.DUMMYFUNCTION("""COMPUTED_VALUE"""),"1B9rnk-hL47W-7iUGju1P5wtQC8y0BGZIAhuxsistETQ")</f>
        <v>1B9rnk-hL47W-7iUGju1P5wtQC8y0BGZIAhuxsistETQ</v>
      </c>
    </row>
    <row r="497" ht="15.75" customHeight="1">
      <c r="A497" t="str">
        <f>IFERROR(__xludf.DUMMYFUNCTION("""COMPUTED_VALUE"""),"TradeServer")</f>
        <v>TradeServer</v>
      </c>
      <c r="B497" t="str">
        <f>IFERROR(__xludf.DUMMYFUNCTION("""COMPUTED_VALUE"""),"CloseTradeServer ")</f>
        <v>CloseTradeServer </v>
      </c>
      <c r="C497" t="str">
        <f>IFERROR(__xludf.DUMMYFUNCTION("""COMPUTED_VALUE"""),"174Tprzh0aMAZa-Ckuaucg-4aWwJTc-gYly9QXAbePh0")</f>
        <v>174Tprzh0aMAZa-Ckuaucg-4aWwJTc-gYly9QXAbePh0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IFERROR(__xludf.DUMMYFUNCTION("""COMPUTED_VALUE"""),"GetExecutionReportOrders")</f>
        <v>GetExecutionReportOrders</v>
      </c>
      <c r="C498" t="str">
        <f>IFERROR(__xludf.DUMMYFUNCTION("""COMPUTED_VALUE"""),"1hQPEUlOvv9Vi1KsbHsN6z0TIt4-v9Ckko9Z170M5bto")</f>
        <v>1hQPEUlOvv9Vi1KsbHsN6z0TIt4-v9Ckko9Z170M5bto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IFERROR(__xludf.DUMMYFUNCTION("""COMPUTED_VALUE"""),"GetExecutionReportDetails")</f>
        <v>GetExecutionReportDetails</v>
      </c>
      <c r="C499" t="str">
        <f>IFERROR(__xludf.DUMMYFUNCTION("""COMPUTED_VALUE"""),"1aD9Si2VBbY68g9PUfKv624K3d2PbLqScMJakPjZ8hFs")</f>
        <v>1aD9Si2VBbY68g9PUfKv624K3d2PbLqScMJakPjZ8hFs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IFERROR(__xludf.DUMMYFUNCTION("""COMPUTED_VALUE"""),"ExportExecutionReportData")</f>
        <v>ExportExecutionReportData</v>
      </c>
      <c r="C500" t="str">
        <f>IFERROR(__xludf.DUMMYFUNCTION("""COMPUTED_VALUE"""),"1a6yh6QYOXKH0UbWUlB2RKwf87hvs13OSFnVJBRYCYpM")</f>
        <v>1a6yh6QYOXKH0UbWUlB2RKwf87hvs13OSFnVJBRYCYpM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IFERROR(__xludf.DUMMYFUNCTION("""COMPUTED_VALUE"""),"VerifyExecutionReport")</f>
        <v>VerifyExecutionReport</v>
      </c>
      <c r="C501" t="str">
        <f>IFERROR(__xludf.DUMMYFUNCTION("""COMPUTED_VALUE"""),"15sKQ6yRs5rA6j70FvZOyg9HBsLCsZF-psuPGXdEFJSg")</f>
        <v>15sKQ6yRs5rA6j70FvZOyg9HBsLCsZF-psuPGXdEFJSg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IFERROR(__xludf.DUMMYFUNCTION("""COMPUTED_VALUE"""),"BlotterExecutionReportSnapshot")</f>
        <v>BlotterExecutionReportSnapshot</v>
      </c>
      <c r="C502" t="str">
        <f>IFERROR(__xludf.DUMMYFUNCTION("""COMPUTED_VALUE"""),"1O56bvbVFEtmCnv92OXcl9NqN7Zssjg6iXf_dOM4W0hs")</f>
        <v>1O56bvbVFEtmCnv92OXcl9NqN7Zssjg6iXf_dOM4W0hs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IFERROR(__xludf.DUMMYFUNCTION("""COMPUTED_VALUE"""),"SetDollarAmountPermission")</f>
        <v>SetDollarAmountPermission</v>
      </c>
      <c r="C503" t="str">
        <f>IFERROR(__xludf.DUMMYFUNCTION("""COMPUTED_VALUE"""),"19sxepfVnPP3DvqI8vW23p2yn2sob_Nn7_0R4WSGOgyc")</f>
        <v>19sxepfVnPP3DvqI8vW23p2yn2sob_Nn7_0R4WSGOgyc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IFERROR(__xludf.DUMMYFUNCTION("""COMPUTED_VALUE"""),"EnableDisableModule")</f>
        <v>EnableDisableModule</v>
      </c>
      <c r="C504" t="str">
        <f>IFERROR(__xludf.DUMMYFUNCTION("""COMPUTED_VALUE"""),"15tD_fIpFjzJbtr_OxvY-KeLg88908v4fXmpVzi9shPk")</f>
        <v>15tD_fIpFjzJbtr_OxvY-KeLg88908v4fXmpVzi9shPk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IFERROR(__xludf.DUMMYFUNCTION("""COMPUTED_VALUE"""),"MultipleTradeTransferToUserOrder")</f>
        <v>MultipleTradeTransferToUserOrder</v>
      </c>
      <c r="C505" t="str">
        <f>IFERROR(__xludf.DUMMYFUNCTION("""COMPUTED_VALUE"""),"1eTZQrT3XogDSDr8Yned5F-eab5T9uRCBh4Nq-huvYdE")</f>
        <v>1eTZQrT3XogDSDr8Yned5F-eab5T9uRCBh4Nq-huvYdE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IFERROR(__xludf.DUMMYFUNCTION("""COMPUTED_VALUE"""),"IsImportOverrideOnShortLocate")</f>
        <v>IsImportOverrideOnShortLocate</v>
      </c>
      <c r="C506" t="str">
        <f>IFERROR(__xludf.DUMMYFUNCTION("""COMPUTED_VALUE"""),"1HBroiXC_lXdWfzSFEUhcmVdGFqF-7ioRbfzMIhd-D84")</f>
        <v>1HBroiXC_lXdWfzSFEUhcmVdGFqF-7ioRbfzMIhd-D84</v>
      </c>
    </row>
    <row r="507" ht="15.75" customHeight="1">
      <c r="A507" t="str">
        <f>IFERROR(__xludf.DUMMYFUNCTION("""COMPUTED_VALUE"""),"Admin")</f>
        <v>Admin</v>
      </c>
      <c r="B507" t="str">
        <f>IFERROR(__xludf.DUMMYFUNCTION("""COMPUTED_VALUE"""),"SetShortLocateStructures")</f>
        <v>SetShortLocateStructures</v>
      </c>
      <c r="C507" t="str">
        <f>IFERROR(__xludf.DUMMYFUNCTION("""COMPUTED_VALUE"""),"1GBfDhS1Qx5z0a-XwiuVZHmjNQQNldS_oLDTK5hBKigQ")</f>
        <v>1GBfDhS1Qx5z0a-XwiuVZHmjNQQNldS_oLDTK5hBKigQ</v>
      </c>
    </row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IFERROR(__xludf.DUMMYFUNCTION("""COMPUTED_VALUE"""),"RemoveSymbolFromRAList")</f>
        <v>RemoveSymbolFromRAList</v>
      </c>
      <c r="AA4" s="25" t="str">
        <f>IFERROR(__xludf.DUMMYFUNCTION("""COMPUTED_VALUE"""),"ToggleBlombergOnRA")</f>
        <v>ToggleBlombergOnRA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4050000.0</v>
      </c>
      <c r="E6" s="30"/>
      <c r="F6" s="8"/>
      <c r="G6" s="8"/>
      <c r="H6" s="8"/>
      <c r="I6" s="8"/>
      <c r="J6" s="11">
        <v>1.14665425</v>
      </c>
      <c r="K6" s="8"/>
      <c r="L6" s="8"/>
      <c r="M6" s="8"/>
      <c r="N6" s="31">
        <v>43495.0</v>
      </c>
      <c r="O6" s="8"/>
      <c r="AM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31">
        <v>43495.0</v>
      </c>
      <c r="D6" s="31">
        <v>43496.0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11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BV6" s="9" t="s">
        <v>17</v>
      </c>
      <c r="CG6" s="9">
        <v>4050000.0</v>
      </c>
      <c r="DH6" s="3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31">
        <v>43502.0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CashSettlementAtClosingDtSpotPx!$4:$4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24</v>
      </c>
      <c r="D6" s="11"/>
      <c r="E6" s="30"/>
      <c r="F6" s="8"/>
      <c r="G6" s="11">
        <v>4050000.0</v>
      </c>
      <c r="H6" s="8"/>
      <c r="I6" s="8"/>
      <c r="J6" s="11" t="s">
        <v>27</v>
      </c>
      <c r="K6" s="8"/>
      <c r="L6" s="8"/>
      <c r="M6" s="8"/>
      <c r="N6" s="8"/>
      <c r="O6" s="8"/>
      <c r="T6" s="9">
        <v>1.1467</v>
      </c>
      <c r="Z6" s="9" t="s">
        <v>17</v>
      </c>
      <c r="AB6" s="3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43495.0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31</v>
      </c>
      <c r="C6" s="34" t="s">
        <v>18</v>
      </c>
      <c r="D6" s="35" t="s">
        <v>32</v>
      </c>
      <c r="E6" s="36">
        <v>43495.0</v>
      </c>
      <c r="F6" s="37">
        <v>1.14229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31</v>
      </c>
      <c r="C7" s="38" t="s">
        <v>18</v>
      </c>
      <c r="D7" s="38" t="s">
        <v>32</v>
      </c>
      <c r="E7" s="39">
        <v>43496.0</v>
      </c>
      <c r="F7" s="40">
        <v>1.14239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43497.0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31</v>
      </c>
      <c r="C6" s="34" t="s">
        <v>18</v>
      </c>
      <c r="D6" s="35" t="s">
        <v>32</v>
      </c>
      <c r="E6" s="36">
        <v>43497.0</v>
      </c>
      <c r="F6" s="32">
        <v>1.14249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31</v>
      </c>
      <c r="C7" s="38" t="s">
        <v>18</v>
      </c>
      <c r="D7" s="38" t="s">
        <v>32</v>
      </c>
      <c r="E7" s="39">
        <v>43498.0</v>
      </c>
      <c r="F7" s="32">
        <v>1.14259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31</v>
      </c>
      <c r="C8" s="38" t="s">
        <v>18</v>
      </c>
      <c r="D8" s="38" t="s">
        <v>32</v>
      </c>
      <c r="E8" s="39">
        <v>43499.0</v>
      </c>
      <c r="F8" s="32">
        <v>1.14269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31</v>
      </c>
      <c r="C9" s="38" t="s">
        <v>18</v>
      </c>
      <c r="D9" s="38" t="s">
        <v>32</v>
      </c>
      <c r="E9" s="39">
        <v>43500.0</v>
      </c>
      <c r="F9" s="32">
        <v>1.14299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31</v>
      </c>
      <c r="C10" s="38" t="s">
        <v>18</v>
      </c>
      <c r="D10" s="38" t="s">
        <v>32</v>
      </c>
      <c r="E10" s="39">
        <v>43501.0</v>
      </c>
      <c r="F10" s="11">
        <v>1.15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/>
      <c r="C11" s="38"/>
      <c r="D11" s="38"/>
      <c r="E11" s="39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43495.0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1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2.6E-4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43496.0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9.0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6.0E-4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43497.0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8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0.0024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9.0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0.0025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43498.0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43499.0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1.43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0.0023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UpdateForwardPoints4!$4:$4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43500.0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6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0.004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UpdateForwardPoints5!$4:$4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43501.0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0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11">
        <v>-0.00101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45.29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43502.0</v>
      </c>
      <c r="C6" s="8"/>
      <c r="D6" s="11"/>
      <c r="E6" s="11">
        <v>4050000.0</v>
      </c>
      <c r="F6" s="8"/>
      <c r="G6" s="11">
        <v>1.0</v>
      </c>
      <c r="H6" s="8"/>
      <c r="I6" s="11" t="s">
        <v>37</v>
      </c>
      <c r="J6" s="8"/>
      <c r="K6" s="11" t="s">
        <v>18</v>
      </c>
      <c r="L6" s="11" t="s">
        <v>18</v>
      </c>
      <c r="M6" s="32" t="s">
        <v>16</v>
      </c>
      <c r="N6" s="8"/>
      <c r="O6" s="11">
        <v>4050000.0</v>
      </c>
      <c r="Q6" s="41" t="s">
        <v>38</v>
      </c>
      <c r="R6" s="42" t="s">
        <v>23</v>
      </c>
    </row>
    <row r="7" ht="15.75" customHeight="1">
      <c r="A7" s="8"/>
      <c r="B7" s="31">
        <v>43502.0</v>
      </c>
      <c r="C7" s="8"/>
      <c r="D7" s="8"/>
      <c r="E7" s="8"/>
      <c r="F7" s="11">
        <v>3532014.99</v>
      </c>
      <c r="G7" s="11">
        <v>1.15</v>
      </c>
      <c r="H7" s="8"/>
      <c r="I7" s="11" t="s">
        <v>39</v>
      </c>
      <c r="J7" s="8"/>
      <c r="K7" s="11" t="s">
        <v>31</v>
      </c>
      <c r="L7" s="11" t="s">
        <v>18</v>
      </c>
      <c r="M7" s="32" t="s">
        <v>16</v>
      </c>
      <c r="N7" s="8"/>
      <c r="O7" s="8"/>
      <c r="P7" s="9">
        <v>4061817.24</v>
      </c>
      <c r="Q7" s="43" t="s">
        <v>38</v>
      </c>
      <c r="R7" s="44" t="s">
        <v>23</v>
      </c>
    </row>
    <row r="8" ht="15.75" customHeight="1">
      <c r="A8" s="8"/>
      <c r="B8" s="31">
        <v>43502.0</v>
      </c>
      <c r="C8" s="8"/>
      <c r="D8" s="8"/>
      <c r="E8" s="11">
        <v>7173.83</v>
      </c>
      <c r="F8" s="8"/>
      <c r="G8" s="11">
        <v>1.15</v>
      </c>
      <c r="H8" s="8"/>
      <c r="I8" s="11" t="s">
        <v>37</v>
      </c>
      <c r="J8" s="8"/>
      <c r="K8" s="11" t="s">
        <v>31</v>
      </c>
      <c r="L8" s="11" t="s">
        <v>18</v>
      </c>
      <c r="M8" s="32" t="s">
        <v>16</v>
      </c>
      <c r="N8" s="8"/>
      <c r="O8" s="11">
        <v>8249.9</v>
      </c>
      <c r="Q8" s="45" t="s">
        <v>40</v>
      </c>
      <c r="R8" s="44" t="s">
        <v>23</v>
      </c>
    </row>
    <row r="9" ht="15.75" customHeight="1">
      <c r="A9" s="8"/>
      <c r="B9" s="31">
        <v>43502.0</v>
      </c>
      <c r="C9" s="8"/>
      <c r="D9" s="8"/>
      <c r="E9" s="11">
        <v>3102.03</v>
      </c>
      <c r="F9" s="8"/>
      <c r="G9" s="11">
        <v>1.15</v>
      </c>
      <c r="H9" s="8"/>
      <c r="I9" s="11" t="s">
        <v>37</v>
      </c>
      <c r="J9" s="8"/>
      <c r="K9" s="11" t="s">
        <v>31</v>
      </c>
      <c r="L9" s="11" t="s">
        <v>18</v>
      </c>
      <c r="M9" s="32" t="s">
        <v>16</v>
      </c>
      <c r="N9" s="8"/>
      <c r="O9" s="11">
        <v>3567.34</v>
      </c>
      <c r="Q9" s="46" t="s">
        <v>41</v>
      </c>
      <c r="R9" s="44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43</v>
      </c>
      <c r="C6" s="11" t="s">
        <v>23</v>
      </c>
      <c r="D6" s="31">
        <v>43502.0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0.29"/>
    <col customWidth="1" min="5" max="5" width="18.57"/>
    <col customWidth="1" min="6" max="6" width="51.43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30.14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>
        <v>43495.0</v>
      </c>
      <c r="C6" s="48" t="s">
        <v>23</v>
      </c>
      <c r="D6" s="49" t="s">
        <v>16</v>
      </c>
      <c r="E6" s="49" t="s">
        <v>31</v>
      </c>
      <c r="F6" s="49" t="s">
        <v>45</v>
      </c>
      <c r="G6" s="50">
        <v>0.0</v>
      </c>
      <c r="H6" s="51">
        <v>12690.54</v>
      </c>
      <c r="I6" s="8"/>
      <c r="J6" s="8"/>
      <c r="K6" s="8"/>
      <c r="L6" s="52">
        <v>1.14229</v>
      </c>
      <c r="M6" s="8"/>
      <c r="N6" s="53" t="s">
        <v>39</v>
      </c>
      <c r="O6" s="49" t="s">
        <v>46</v>
      </c>
      <c r="P6" s="48" t="s">
        <v>18</v>
      </c>
      <c r="Q6" s="49" t="s">
        <v>47</v>
      </c>
      <c r="R6" s="51">
        <v>0.0</v>
      </c>
      <c r="S6" s="51">
        <v>14496.2769366</v>
      </c>
      <c r="T6" s="54"/>
      <c r="U6" s="54"/>
    </row>
    <row r="7" ht="15.75" customHeight="1">
      <c r="A7" s="8"/>
      <c r="B7" s="55">
        <v>43496.0</v>
      </c>
      <c r="C7" s="48" t="s">
        <v>23</v>
      </c>
      <c r="D7" s="48" t="s">
        <v>16</v>
      </c>
      <c r="E7" s="49" t="s">
        <v>31</v>
      </c>
      <c r="F7" s="49" t="s">
        <v>45</v>
      </c>
      <c r="G7" s="56">
        <v>0.0</v>
      </c>
      <c r="H7" s="57">
        <v>11329.04</v>
      </c>
      <c r="I7" s="8"/>
      <c r="J7" s="8"/>
      <c r="K7" s="8"/>
      <c r="L7" s="57">
        <v>1.14239</v>
      </c>
      <c r="M7" s="8"/>
      <c r="N7" s="49" t="s">
        <v>39</v>
      </c>
      <c r="O7" s="49" t="s">
        <v>46</v>
      </c>
      <c r="P7" s="48" t="s">
        <v>18</v>
      </c>
      <c r="Q7" s="49" t="s">
        <v>47</v>
      </c>
      <c r="R7" s="51">
        <v>0.0</v>
      </c>
      <c r="S7" s="51">
        <v>12942.1820056</v>
      </c>
      <c r="T7" s="54"/>
      <c r="U7" s="54"/>
    </row>
    <row r="8" ht="15.75" customHeight="1">
      <c r="A8" s="8"/>
      <c r="B8" s="55">
        <v>43496.0</v>
      </c>
      <c r="C8" s="48" t="s">
        <v>23</v>
      </c>
      <c r="D8" s="48" t="s">
        <v>16</v>
      </c>
      <c r="E8" s="49" t="s">
        <v>31</v>
      </c>
      <c r="F8" s="49" t="s">
        <v>48</v>
      </c>
      <c r="G8" s="50">
        <v>0.0</v>
      </c>
      <c r="H8" s="51">
        <v>12690.5389368725</v>
      </c>
      <c r="I8" s="8"/>
      <c r="J8" s="8"/>
      <c r="K8" s="8"/>
      <c r="L8" s="57">
        <v>1.14229</v>
      </c>
      <c r="M8" s="8"/>
      <c r="N8" s="49" t="s">
        <v>39</v>
      </c>
      <c r="O8" s="49" t="s">
        <v>46</v>
      </c>
      <c r="P8" s="48" t="s">
        <v>18</v>
      </c>
      <c r="Q8" s="49" t="s">
        <v>49</v>
      </c>
      <c r="R8" s="51">
        <v>0.0</v>
      </c>
      <c r="S8" s="51">
        <v>14496.27572220009</v>
      </c>
      <c r="T8" s="54"/>
      <c r="U8" s="54"/>
    </row>
    <row r="9" ht="15.75" customHeight="1">
      <c r="A9" s="8"/>
      <c r="B9" s="55">
        <v>43497.0</v>
      </c>
      <c r="C9" s="48" t="s">
        <v>23</v>
      </c>
      <c r="D9" s="48" t="s">
        <v>16</v>
      </c>
      <c r="E9" s="49" t="s">
        <v>31</v>
      </c>
      <c r="F9" s="49" t="s">
        <v>45</v>
      </c>
      <c r="G9" s="56">
        <v>0.0</v>
      </c>
      <c r="H9" s="57">
        <v>5145.04000000004</v>
      </c>
      <c r="I9" s="8"/>
      <c r="J9" s="8"/>
      <c r="K9" s="8"/>
      <c r="L9" s="57">
        <v>1.14249</v>
      </c>
      <c r="M9" s="8"/>
      <c r="N9" s="49" t="s">
        <v>39</v>
      </c>
      <c r="O9" s="49" t="s">
        <v>46</v>
      </c>
      <c r="P9" s="48" t="s">
        <v>18</v>
      </c>
      <c r="Q9" s="49" t="s">
        <v>47</v>
      </c>
      <c r="R9" s="51">
        <v>0.0</v>
      </c>
      <c r="S9" s="51">
        <v>5878.156749600045</v>
      </c>
      <c r="T9" s="54"/>
      <c r="U9" s="54"/>
    </row>
    <row r="10" ht="15.75" customHeight="1">
      <c r="A10" s="8"/>
      <c r="B10" s="55">
        <v>43497.0</v>
      </c>
      <c r="C10" s="48" t="s">
        <v>23</v>
      </c>
      <c r="D10" s="48" t="s">
        <v>16</v>
      </c>
      <c r="E10" s="49" t="s">
        <v>31</v>
      </c>
      <c r="F10" s="49" t="s">
        <v>48</v>
      </c>
      <c r="G10" s="50">
        <v>0.0</v>
      </c>
      <c r="H10" s="51">
        <v>11329.0446070079</v>
      </c>
      <c r="I10" s="8"/>
      <c r="J10" s="8"/>
      <c r="K10" s="8"/>
      <c r="L10" s="57">
        <v>1.14239</v>
      </c>
      <c r="M10" s="8"/>
      <c r="N10" s="49" t="s">
        <v>39</v>
      </c>
      <c r="O10" s="49" t="s">
        <v>46</v>
      </c>
      <c r="P10" s="48" t="s">
        <v>18</v>
      </c>
      <c r="Q10" s="49" t="s">
        <v>49</v>
      </c>
      <c r="R10" s="51">
        <v>0.0</v>
      </c>
      <c r="S10" s="51">
        <v>12942.187268599755</v>
      </c>
      <c r="T10" s="54"/>
      <c r="U10" s="54"/>
    </row>
    <row r="11" ht="15.75" customHeight="1">
      <c r="A11" s="8"/>
      <c r="B11" s="55">
        <v>43498.0</v>
      </c>
      <c r="C11" s="48" t="s">
        <v>23</v>
      </c>
      <c r="D11" s="48" t="s">
        <v>16</v>
      </c>
      <c r="E11" s="49" t="s">
        <v>31</v>
      </c>
      <c r="F11" s="49" t="s">
        <v>45</v>
      </c>
      <c r="G11" s="56">
        <v>0.0</v>
      </c>
      <c r="H11" s="57">
        <v>5144.58999999985</v>
      </c>
      <c r="I11" s="8"/>
      <c r="J11" s="8"/>
      <c r="K11" s="8"/>
      <c r="L11" s="57">
        <v>1.14259</v>
      </c>
      <c r="M11" s="8"/>
      <c r="N11" s="49" t="s">
        <v>39</v>
      </c>
      <c r="O11" s="49" t="s">
        <v>46</v>
      </c>
      <c r="P11" s="48" t="s">
        <v>18</v>
      </c>
      <c r="Q11" s="49" t="s">
        <v>47</v>
      </c>
      <c r="R11" s="51">
        <v>0.0</v>
      </c>
      <c r="S11" s="51">
        <v>5878.157088099829</v>
      </c>
      <c r="T11" s="54"/>
      <c r="U11" s="54"/>
    </row>
    <row r="12" ht="15.75" customHeight="1">
      <c r="A12" s="8"/>
      <c r="B12" s="55">
        <v>43498.0</v>
      </c>
      <c r="C12" s="48" t="s">
        <v>23</v>
      </c>
      <c r="D12" s="48" t="s">
        <v>16</v>
      </c>
      <c r="E12" s="49" t="s">
        <v>31</v>
      </c>
      <c r="F12" s="49" t="s">
        <v>48</v>
      </c>
      <c r="G12" s="50">
        <v>0.0</v>
      </c>
      <c r="H12" s="51">
        <v>5145.04029103089</v>
      </c>
      <c r="I12" s="8"/>
      <c r="J12" s="8"/>
      <c r="K12" s="8"/>
      <c r="L12" s="57">
        <v>1.14249</v>
      </c>
      <c r="M12" s="8"/>
      <c r="N12" s="49" t="s">
        <v>39</v>
      </c>
      <c r="O12" s="49" t="s">
        <v>46</v>
      </c>
      <c r="P12" s="48" t="s">
        <v>18</v>
      </c>
      <c r="Q12" s="49" t="s">
        <v>49</v>
      </c>
      <c r="R12" s="51">
        <v>0.0</v>
      </c>
      <c r="S12" s="51">
        <v>5878.157082099881</v>
      </c>
      <c r="T12" s="54"/>
      <c r="U12" s="54"/>
    </row>
    <row r="13" ht="15.75" customHeight="1">
      <c r="A13" s="8"/>
      <c r="B13" s="55">
        <v>43499.0</v>
      </c>
      <c r="C13" s="48" t="s">
        <v>23</v>
      </c>
      <c r="D13" s="48" t="s">
        <v>16</v>
      </c>
      <c r="E13" s="49" t="s">
        <v>31</v>
      </c>
      <c r="F13" s="49" t="s">
        <v>45</v>
      </c>
      <c r="G13" s="56">
        <v>0.0</v>
      </c>
      <c r="H13" s="57">
        <v>5144.14000000013</v>
      </c>
      <c r="I13" s="8"/>
      <c r="J13" s="8"/>
      <c r="K13" s="8"/>
      <c r="L13" s="57">
        <v>1.14269</v>
      </c>
      <c r="M13" s="8"/>
      <c r="N13" s="49" t="s">
        <v>39</v>
      </c>
      <c r="O13" s="49" t="s">
        <v>46</v>
      </c>
      <c r="P13" s="48" t="s">
        <v>18</v>
      </c>
      <c r="Q13" s="49" t="s">
        <v>47</v>
      </c>
      <c r="R13" s="51">
        <v>0.0</v>
      </c>
      <c r="S13" s="51">
        <v>5878.1573366001485</v>
      </c>
      <c r="T13" s="54"/>
      <c r="U13" s="54"/>
    </row>
    <row r="14" ht="15.75" customHeight="1">
      <c r="A14" s="8"/>
      <c r="B14" s="55">
        <v>43499.0</v>
      </c>
      <c r="C14" s="48" t="s">
        <v>23</v>
      </c>
      <c r="D14" s="48" t="s">
        <v>16</v>
      </c>
      <c r="E14" s="49" t="s">
        <v>31</v>
      </c>
      <c r="F14" s="49" t="s">
        <v>48</v>
      </c>
      <c r="G14" s="50">
        <v>0.0</v>
      </c>
      <c r="H14" s="51">
        <v>5144.58598893741</v>
      </c>
      <c r="I14" s="8"/>
      <c r="J14" s="8"/>
      <c r="K14" s="8"/>
      <c r="L14" s="57">
        <v>1.14259</v>
      </c>
      <c r="M14" s="8"/>
      <c r="N14" s="49" t="s">
        <v>39</v>
      </c>
      <c r="O14" s="49" t="s">
        <v>46</v>
      </c>
      <c r="P14" s="48" t="s">
        <v>18</v>
      </c>
      <c r="Q14" s="49" t="s">
        <v>49</v>
      </c>
      <c r="R14" s="51">
        <v>0.0</v>
      </c>
      <c r="S14" s="51">
        <v>5878.152505099995</v>
      </c>
      <c r="T14" s="54"/>
      <c r="U14" s="54"/>
    </row>
    <row r="15" ht="15.75" customHeight="1">
      <c r="A15" s="8"/>
      <c r="B15" s="55">
        <v>43500.0</v>
      </c>
      <c r="C15" s="48" t="s">
        <v>23</v>
      </c>
      <c r="D15" s="48" t="s">
        <v>16</v>
      </c>
      <c r="E15" s="49" t="s">
        <v>31</v>
      </c>
      <c r="F15" s="49" t="s">
        <v>48</v>
      </c>
      <c r="G15" s="56">
        <v>0.0</v>
      </c>
      <c r="H15" s="57">
        <v>1037.52000000002</v>
      </c>
      <c r="I15" s="8"/>
      <c r="J15" s="8"/>
      <c r="K15" s="8"/>
      <c r="L15" s="57">
        <v>1.14299</v>
      </c>
      <c r="M15" s="8"/>
      <c r="N15" s="49" t="s">
        <v>39</v>
      </c>
      <c r="O15" s="49" t="s">
        <v>46</v>
      </c>
      <c r="P15" s="48" t="s">
        <v>18</v>
      </c>
      <c r="Q15" s="49" t="s">
        <v>47</v>
      </c>
      <c r="R15" s="51">
        <v>0.0</v>
      </c>
      <c r="S15" s="51">
        <v>1185.874984800023</v>
      </c>
      <c r="T15" s="54"/>
      <c r="U15" s="54"/>
    </row>
    <row r="16" ht="15.75" customHeight="1">
      <c r="A16" s="8"/>
      <c r="B16" s="55">
        <v>43500.0</v>
      </c>
      <c r="C16" s="48" t="s">
        <v>23</v>
      </c>
      <c r="D16" s="48" t="s">
        <v>16</v>
      </c>
      <c r="E16" s="49" t="s">
        <v>31</v>
      </c>
      <c r="F16" s="49" t="s">
        <v>48</v>
      </c>
      <c r="G16" s="50">
        <v>0.0</v>
      </c>
      <c r="H16" s="51">
        <v>5144.14229948586</v>
      </c>
      <c r="I16" s="8"/>
      <c r="J16" s="8"/>
      <c r="K16" s="8"/>
      <c r="L16" s="57">
        <v>1.14269</v>
      </c>
      <c r="M16" s="8"/>
      <c r="N16" s="49" t="s">
        <v>39</v>
      </c>
      <c r="O16" s="49" t="s">
        <v>46</v>
      </c>
      <c r="P16" s="48" t="s">
        <v>18</v>
      </c>
      <c r="Q16" s="49" t="s">
        <v>49</v>
      </c>
      <c r="R16" s="51">
        <v>0.0</v>
      </c>
      <c r="S16" s="51">
        <v>5878.159964199498</v>
      </c>
      <c r="T16" s="54"/>
      <c r="U16" s="54"/>
    </row>
    <row r="17" ht="15.75" customHeight="1">
      <c r="A17" s="8"/>
      <c r="B17" s="55">
        <v>43501.0</v>
      </c>
      <c r="C17" s="48" t="s">
        <v>23</v>
      </c>
      <c r="D17" s="48" t="s">
        <v>16</v>
      </c>
      <c r="E17" s="49" t="s">
        <v>31</v>
      </c>
      <c r="F17" s="49" t="s">
        <v>48</v>
      </c>
      <c r="G17" s="56">
        <v>0.0</v>
      </c>
      <c r="H17" s="57">
        <v>7173.83000000008</v>
      </c>
      <c r="I17" s="8"/>
      <c r="J17" s="8"/>
      <c r="K17" s="8"/>
      <c r="L17" s="57">
        <v>1.15</v>
      </c>
      <c r="M17" s="8"/>
      <c r="N17" s="49" t="s">
        <v>39</v>
      </c>
      <c r="O17" s="49" t="s">
        <v>46</v>
      </c>
      <c r="P17" s="48" t="s">
        <v>18</v>
      </c>
      <c r="Q17" s="49" t="s">
        <v>47</v>
      </c>
      <c r="R17" s="51">
        <v>0.0</v>
      </c>
      <c r="S17" s="51">
        <v>8249.904500000093</v>
      </c>
      <c r="T17" s="54"/>
      <c r="U17" s="54"/>
    </row>
    <row r="18" ht="15.75" customHeight="1">
      <c r="A18" s="8"/>
      <c r="B18" s="55">
        <v>43501.0</v>
      </c>
      <c r="C18" s="48" t="s">
        <v>23</v>
      </c>
      <c r="D18" s="48" t="s">
        <v>16</v>
      </c>
      <c r="E18" s="49" t="s">
        <v>31</v>
      </c>
      <c r="F18" s="49" t="s">
        <v>45</v>
      </c>
      <c r="G18" s="50">
        <v>0.0</v>
      </c>
      <c r="H18" s="51">
        <v>1037.52349005686</v>
      </c>
      <c r="I18" s="8"/>
      <c r="J18" s="8"/>
      <c r="K18" s="8"/>
      <c r="L18" s="57">
        <v>1.14299</v>
      </c>
      <c r="M18" s="8"/>
      <c r="N18" s="49" t="s">
        <v>39</v>
      </c>
      <c r="O18" s="49" t="s">
        <v>46</v>
      </c>
      <c r="P18" s="48" t="s">
        <v>18</v>
      </c>
      <c r="Q18" s="49" t="s">
        <v>49</v>
      </c>
      <c r="R18" s="51">
        <v>0.0</v>
      </c>
      <c r="S18" s="51">
        <v>1185.8789739000904</v>
      </c>
      <c r="T18" s="54"/>
      <c r="U18" s="54"/>
    </row>
    <row r="19" ht="15.75" customHeight="1">
      <c r="A19" s="8"/>
      <c r="B19" s="55">
        <v>43502.0</v>
      </c>
      <c r="C19" s="48" t="s">
        <v>23</v>
      </c>
      <c r="D19" s="48" t="s">
        <v>16</v>
      </c>
      <c r="E19" s="49" t="s">
        <v>31</v>
      </c>
      <c r="F19" s="49" t="s">
        <v>45</v>
      </c>
      <c r="G19" s="56">
        <v>0.0</v>
      </c>
      <c r="H19" s="57">
        <v>7173.83000000008</v>
      </c>
      <c r="I19" s="8"/>
      <c r="J19" s="8"/>
      <c r="K19" s="8"/>
      <c r="L19" s="57">
        <v>1.15</v>
      </c>
      <c r="M19" s="8"/>
      <c r="N19" s="49" t="s">
        <v>39</v>
      </c>
      <c r="O19" s="49" t="s">
        <v>46</v>
      </c>
      <c r="P19" s="48" t="s">
        <v>18</v>
      </c>
      <c r="Q19" s="49" t="s">
        <v>49</v>
      </c>
      <c r="R19" s="51">
        <v>0.0</v>
      </c>
      <c r="S19" s="51">
        <v>8249.904500000093</v>
      </c>
      <c r="T19" s="54"/>
      <c r="U19" s="54"/>
    </row>
    <row r="20" ht="15.75" customHeight="1">
      <c r="A20" s="8"/>
      <c r="B20" s="55">
        <v>43500.0</v>
      </c>
      <c r="C20" s="48" t="s">
        <v>23</v>
      </c>
      <c r="D20" s="48" t="s">
        <v>16</v>
      </c>
      <c r="E20" s="49" t="s">
        <v>31</v>
      </c>
      <c r="F20" s="49" t="s">
        <v>45</v>
      </c>
      <c r="G20" s="57">
        <v>1037.52000000002</v>
      </c>
      <c r="H20" s="58">
        <v>0.0</v>
      </c>
      <c r="I20" s="8"/>
      <c r="J20" s="8"/>
      <c r="K20" s="8"/>
      <c r="L20" s="57">
        <v>1.14299</v>
      </c>
      <c r="M20" s="8"/>
      <c r="N20" s="49" t="s">
        <v>37</v>
      </c>
      <c r="O20" s="49" t="s">
        <v>46</v>
      </c>
      <c r="P20" s="48" t="s">
        <v>18</v>
      </c>
      <c r="Q20" s="49" t="s">
        <v>47</v>
      </c>
      <c r="R20" s="51">
        <v>1185.874984800023</v>
      </c>
      <c r="S20" s="51">
        <v>0.0</v>
      </c>
    </row>
    <row r="21" ht="15.75" customHeight="1">
      <c r="A21" s="8"/>
      <c r="B21" s="55">
        <v>43501.0</v>
      </c>
      <c r="C21" s="48" t="s">
        <v>23</v>
      </c>
      <c r="D21" s="48" t="s">
        <v>16</v>
      </c>
      <c r="E21" s="49" t="s">
        <v>31</v>
      </c>
      <c r="F21" s="49" t="s">
        <v>48</v>
      </c>
      <c r="G21" s="51">
        <v>1037.52349005686</v>
      </c>
      <c r="H21" s="59">
        <v>0.0</v>
      </c>
      <c r="I21" s="8"/>
      <c r="J21" s="8"/>
      <c r="K21" s="8"/>
      <c r="L21" s="57">
        <v>1.14299</v>
      </c>
      <c r="M21" s="8"/>
      <c r="N21" s="49" t="s">
        <v>37</v>
      </c>
      <c r="O21" s="49" t="s">
        <v>46</v>
      </c>
      <c r="P21" s="48" t="s">
        <v>18</v>
      </c>
      <c r="Q21" s="49" t="s">
        <v>49</v>
      </c>
      <c r="R21" s="51">
        <v>1185.8789739000904</v>
      </c>
      <c r="S21" s="51">
        <v>0.0</v>
      </c>
    </row>
    <row r="22" ht="15.75" customHeight="1">
      <c r="A22" s="8"/>
      <c r="B22" s="55">
        <v>43499.0</v>
      </c>
      <c r="C22" s="48" t="s">
        <v>23</v>
      </c>
      <c r="D22" s="48" t="s">
        <v>16</v>
      </c>
      <c r="E22" s="49" t="s">
        <v>31</v>
      </c>
      <c r="F22" s="49" t="s">
        <v>48</v>
      </c>
      <c r="G22" s="57">
        <v>5144.14000000013</v>
      </c>
      <c r="H22" s="58">
        <v>0.0</v>
      </c>
      <c r="I22" s="8"/>
      <c r="J22" s="8"/>
      <c r="K22" s="8"/>
      <c r="L22" s="60">
        <v>1.14269</v>
      </c>
      <c r="M22" s="8"/>
      <c r="N22" s="49" t="s">
        <v>37</v>
      </c>
      <c r="O22" s="49" t="s">
        <v>46</v>
      </c>
      <c r="P22" s="48" t="s">
        <v>18</v>
      </c>
      <c r="Q22" s="49" t="s">
        <v>47</v>
      </c>
      <c r="R22" s="51">
        <v>5878.1573366001485</v>
      </c>
      <c r="S22" s="51">
        <v>0.0</v>
      </c>
    </row>
    <row r="23" ht="15.75" customHeight="1">
      <c r="A23" s="8"/>
      <c r="B23" s="55">
        <v>43500.0</v>
      </c>
      <c r="C23" s="48" t="s">
        <v>23</v>
      </c>
      <c r="D23" s="48" t="s">
        <v>16</v>
      </c>
      <c r="E23" s="49" t="s">
        <v>31</v>
      </c>
      <c r="F23" s="49" t="s">
        <v>45</v>
      </c>
      <c r="G23" s="51">
        <v>5144.14229948586</v>
      </c>
      <c r="H23" s="59">
        <v>0.0</v>
      </c>
      <c r="I23" s="8"/>
      <c r="J23" s="8"/>
      <c r="K23" s="8"/>
      <c r="L23" s="60">
        <v>1.14269</v>
      </c>
      <c r="M23" s="8"/>
      <c r="N23" s="49" t="s">
        <v>37</v>
      </c>
      <c r="O23" s="49" t="s">
        <v>46</v>
      </c>
      <c r="P23" s="48" t="s">
        <v>18</v>
      </c>
      <c r="Q23" s="49" t="s">
        <v>49</v>
      </c>
      <c r="R23" s="51">
        <v>5878.159964199498</v>
      </c>
      <c r="S23" s="51">
        <v>0.0</v>
      </c>
    </row>
    <row r="24" ht="15.75" customHeight="1">
      <c r="A24" s="8"/>
      <c r="B24" s="55">
        <v>43499.0</v>
      </c>
      <c r="C24" s="48" t="s">
        <v>23</v>
      </c>
      <c r="D24" s="48" t="s">
        <v>16</v>
      </c>
      <c r="E24" s="49" t="s">
        <v>31</v>
      </c>
      <c r="F24" s="49" t="s">
        <v>45</v>
      </c>
      <c r="G24" s="57">
        <v>5144.58598893741</v>
      </c>
      <c r="H24" s="58">
        <v>0.0</v>
      </c>
      <c r="I24" s="8"/>
      <c r="J24" s="8"/>
      <c r="K24" s="8"/>
      <c r="L24" s="60">
        <v>1.14259</v>
      </c>
      <c r="M24" s="8"/>
      <c r="N24" s="49" t="s">
        <v>37</v>
      </c>
      <c r="O24" s="49" t="s">
        <v>46</v>
      </c>
      <c r="P24" s="48" t="s">
        <v>18</v>
      </c>
      <c r="Q24" s="49" t="s">
        <v>49</v>
      </c>
      <c r="R24" s="51">
        <v>5878.152505099995</v>
      </c>
      <c r="S24" s="51">
        <v>0.0</v>
      </c>
    </row>
    <row r="25" ht="15.75" customHeight="1">
      <c r="A25" s="8"/>
      <c r="B25" s="55">
        <v>43498.0</v>
      </c>
      <c r="C25" s="48" t="s">
        <v>23</v>
      </c>
      <c r="D25" s="48" t="s">
        <v>16</v>
      </c>
      <c r="E25" s="49" t="s">
        <v>31</v>
      </c>
      <c r="F25" s="49" t="s">
        <v>48</v>
      </c>
      <c r="G25" s="51">
        <v>5144.58999999985</v>
      </c>
      <c r="H25" s="59">
        <v>0.0</v>
      </c>
      <c r="I25" s="8"/>
      <c r="J25" s="8"/>
      <c r="K25" s="8"/>
      <c r="L25" s="60">
        <v>1.14259</v>
      </c>
      <c r="M25" s="8"/>
      <c r="N25" s="49" t="s">
        <v>37</v>
      </c>
      <c r="O25" s="49" t="s">
        <v>46</v>
      </c>
      <c r="P25" s="48" t="s">
        <v>18</v>
      </c>
      <c r="Q25" s="49" t="s">
        <v>47</v>
      </c>
      <c r="R25" s="51">
        <v>5878.157088099829</v>
      </c>
      <c r="S25" s="51">
        <v>0.0</v>
      </c>
    </row>
    <row r="26" ht="15.75" customHeight="1">
      <c r="A26" s="8"/>
      <c r="B26" s="55">
        <v>43497.0</v>
      </c>
      <c r="C26" s="48" t="s">
        <v>23</v>
      </c>
      <c r="D26" s="48" t="s">
        <v>16</v>
      </c>
      <c r="E26" s="49" t="s">
        <v>31</v>
      </c>
      <c r="F26" s="49" t="s">
        <v>48</v>
      </c>
      <c r="G26" s="57">
        <v>5145.04000000004</v>
      </c>
      <c r="H26" s="58">
        <v>0.0</v>
      </c>
      <c r="I26" s="8"/>
      <c r="J26" s="8"/>
      <c r="K26" s="8"/>
      <c r="L26" s="60">
        <v>1.14249</v>
      </c>
      <c r="M26" s="8"/>
      <c r="N26" s="49" t="s">
        <v>37</v>
      </c>
      <c r="O26" s="49" t="s">
        <v>46</v>
      </c>
      <c r="P26" s="48" t="s">
        <v>18</v>
      </c>
      <c r="Q26" s="49" t="s">
        <v>47</v>
      </c>
      <c r="R26" s="51">
        <v>5878.156749600045</v>
      </c>
      <c r="S26" s="51">
        <v>0.0</v>
      </c>
    </row>
    <row r="27" ht="15.75" customHeight="1">
      <c r="B27" s="55">
        <v>43498.0</v>
      </c>
      <c r="C27" s="48" t="s">
        <v>23</v>
      </c>
      <c r="D27" s="48" t="s">
        <v>16</v>
      </c>
      <c r="E27" s="49" t="s">
        <v>31</v>
      </c>
      <c r="F27" s="49" t="s">
        <v>45</v>
      </c>
      <c r="G27" s="51">
        <v>5145.04029103089</v>
      </c>
      <c r="H27" s="58">
        <v>0.0</v>
      </c>
      <c r="L27" s="61">
        <v>1.14249</v>
      </c>
      <c r="N27" s="49" t="s">
        <v>37</v>
      </c>
      <c r="O27" s="49" t="s">
        <v>46</v>
      </c>
      <c r="P27" s="48" t="s">
        <v>18</v>
      </c>
      <c r="Q27" s="49" t="s">
        <v>49</v>
      </c>
      <c r="R27" s="51">
        <v>5878.157082099881</v>
      </c>
      <c r="S27" s="51">
        <v>0.0</v>
      </c>
    </row>
    <row r="28" ht="15.75" customHeight="1">
      <c r="B28" s="55">
        <v>43501.0</v>
      </c>
      <c r="C28" s="48" t="s">
        <v>23</v>
      </c>
      <c r="D28" s="48" t="s">
        <v>16</v>
      </c>
      <c r="E28" s="49" t="s">
        <v>31</v>
      </c>
      <c r="F28" s="49" t="s">
        <v>45</v>
      </c>
      <c r="G28" s="51">
        <v>7173.83000000008</v>
      </c>
      <c r="H28" s="58">
        <v>0.0</v>
      </c>
      <c r="L28" s="51">
        <v>1.15</v>
      </c>
      <c r="N28" s="49" t="s">
        <v>37</v>
      </c>
      <c r="O28" s="49" t="s">
        <v>46</v>
      </c>
      <c r="P28" s="48" t="s">
        <v>18</v>
      </c>
      <c r="Q28" s="49" t="s">
        <v>47</v>
      </c>
      <c r="R28" s="51">
        <v>8249.904500000093</v>
      </c>
      <c r="S28" s="51">
        <v>0.0</v>
      </c>
    </row>
    <row r="29" ht="15.75" customHeight="1">
      <c r="B29" s="55">
        <v>43502.0</v>
      </c>
      <c r="C29" s="48" t="s">
        <v>23</v>
      </c>
      <c r="D29" s="48" t="s">
        <v>16</v>
      </c>
      <c r="E29" s="49" t="s">
        <v>31</v>
      </c>
      <c r="F29" s="49" t="s">
        <v>48</v>
      </c>
      <c r="G29" s="51">
        <v>7173.83000000008</v>
      </c>
      <c r="H29" s="58">
        <v>0.0</v>
      </c>
      <c r="L29" s="51">
        <v>1.15</v>
      </c>
      <c r="N29" s="49" t="s">
        <v>37</v>
      </c>
      <c r="O29" s="49" t="s">
        <v>46</v>
      </c>
      <c r="P29" s="48" t="s">
        <v>18</v>
      </c>
      <c r="Q29" s="49" t="s">
        <v>49</v>
      </c>
      <c r="R29" s="51">
        <v>8249.904500000093</v>
      </c>
      <c r="S29" s="51">
        <v>0.0</v>
      </c>
    </row>
    <row r="30" ht="15.75" customHeight="1">
      <c r="B30" s="55">
        <v>43496.0</v>
      </c>
      <c r="C30" s="48" t="s">
        <v>23</v>
      </c>
      <c r="D30" s="48" t="s">
        <v>16</v>
      </c>
      <c r="E30" s="49" t="s">
        <v>31</v>
      </c>
      <c r="F30" s="49" t="s">
        <v>48</v>
      </c>
      <c r="G30" s="51">
        <v>11329.04</v>
      </c>
      <c r="H30" s="58">
        <v>0.0</v>
      </c>
      <c r="L30" s="51">
        <v>1.14239</v>
      </c>
      <c r="N30" s="49" t="s">
        <v>37</v>
      </c>
      <c r="O30" s="49" t="s">
        <v>46</v>
      </c>
      <c r="P30" s="48" t="s">
        <v>18</v>
      </c>
      <c r="Q30" s="49" t="s">
        <v>47</v>
      </c>
      <c r="R30" s="51">
        <v>12942.1820056</v>
      </c>
      <c r="S30" s="51">
        <v>0.0</v>
      </c>
    </row>
    <row r="31" ht="15.75" customHeight="1">
      <c r="B31" s="55">
        <v>43497.0</v>
      </c>
      <c r="C31" s="48" t="s">
        <v>23</v>
      </c>
      <c r="D31" s="48" t="s">
        <v>16</v>
      </c>
      <c r="E31" s="49" t="s">
        <v>31</v>
      </c>
      <c r="F31" s="49" t="s">
        <v>45</v>
      </c>
      <c r="G31" s="51">
        <v>11329.0446070079</v>
      </c>
      <c r="H31" s="58">
        <v>0.0</v>
      </c>
      <c r="L31" s="51">
        <v>1.14239</v>
      </c>
      <c r="N31" s="49" t="s">
        <v>37</v>
      </c>
      <c r="O31" s="49" t="s">
        <v>46</v>
      </c>
      <c r="P31" s="48" t="s">
        <v>18</v>
      </c>
      <c r="Q31" s="49" t="s">
        <v>49</v>
      </c>
      <c r="R31" s="51">
        <v>12942.187268599755</v>
      </c>
      <c r="S31" s="51">
        <v>0.0</v>
      </c>
    </row>
    <row r="32" ht="15.75" customHeight="1">
      <c r="B32" s="55">
        <v>43496.0</v>
      </c>
      <c r="C32" s="48" t="s">
        <v>23</v>
      </c>
      <c r="D32" s="48" t="s">
        <v>16</v>
      </c>
      <c r="E32" s="49" t="s">
        <v>31</v>
      </c>
      <c r="F32" s="49" t="s">
        <v>45</v>
      </c>
      <c r="G32" s="51">
        <v>12690.5389368725</v>
      </c>
      <c r="H32" s="58">
        <v>0.0</v>
      </c>
      <c r="L32" s="51">
        <v>1.14229</v>
      </c>
      <c r="N32" s="49" t="s">
        <v>37</v>
      </c>
      <c r="O32" s="49" t="s">
        <v>46</v>
      </c>
      <c r="P32" s="48" t="s">
        <v>18</v>
      </c>
      <c r="Q32" s="49" t="s">
        <v>49</v>
      </c>
      <c r="R32" s="51">
        <v>14496.27572220009</v>
      </c>
      <c r="S32" s="51">
        <v>0.0</v>
      </c>
    </row>
    <row r="33" ht="15.75" customHeight="1">
      <c r="B33" s="55">
        <v>43495.0</v>
      </c>
      <c r="C33" s="48" t="s">
        <v>23</v>
      </c>
      <c r="D33" s="48" t="s">
        <v>16</v>
      </c>
      <c r="E33" s="49" t="s">
        <v>31</v>
      </c>
      <c r="F33" s="49" t="s">
        <v>48</v>
      </c>
      <c r="G33" s="51">
        <v>12690.54</v>
      </c>
      <c r="H33" s="58">
        <v>0.0</v>
      </c>
      <c r="L33" s="51">
        <v>1.14229</v>
      </c>
      <c r="N33" s="49" t="s">
        <v>37</v>
      </c>
      <c r="O33" s="49" t="s">
        <v>46</v>
      </c>
      <c r="P33" s="48" t="s">
        <v>18</v>
      </c>
      <c r="Q33" s="49" t="s">
        <v>47</v>
      </c>
      <c r="R33" s="51">
        <v>14496.2769366</v>
      </c>
      <c r="S33" s="51">
        <v>0.0</v>
      </c>
    </row>
    <row r="34" ht="15.75" customHeight="1">
      <c r="L34" s="62"/>
    </row>
    <row r="35" ht="15.75" customHeight="1">
      <c r="L35" s="63"/>
    </row>
    <row r="36" ht="15.75" customHeight="1">
      <c r="L36" s="63"/>
    </row>
    <row r="37" ht="15.75" customHeight="1">
      <c r="L37" s="63"/>
    </row>
    <row r="38" ht="15.75" customHeight="1">
      <c r="L38" s="63"/>
    </row>
    <row r="39" ht="15.75" customHeight="1">
      <c r="L39" s="63"/>
    </row>
    <row r="40" ht="15.75" customHeight="1">
      <c r="L40" s="63"/>
    </row>
    <row r="41" ht="15.75" customHeight="1">
      <c r="L41" s="63"/>
    </row>
    <row r="42" ht="15.75" customHeight="1">
      <c r="L42" s="63"/>
    </row>
    <row r="43" ht="15.75" customHeight="1">
      <c r="L43" s="63"/>
    </row>
    <row r="44" ht="15.75" customHeight="1">
      <c r="L44" s="63"/>
    </row>
    <row r="45" ht="15.75" customHeight="1">
      <c r="L45" s="63"/>
    </row>
    <row r="46" ht="15.75" customHeight="1">
      <c r="L46" s="6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31">
        <v>43495.0</v>
      </c>
      <c r="D6" s="31">
        <v>43502.0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23</v>
      </c>
      <c r="C6" s="42"/>
      <c r="D6" s="35"/>
      <c r="E6" s="64">
        <v>4050000.0</v>
      </c>
      <c r="F6" s="42"/>
      <c r="G6" s="34" t="s">
        <v>24</v>
      </c>
      <c r="H6" s="42"/>
      <c r="I6" s="42"/>
      <c r="J6" s="42"/>
      <c r="K6" s="37">
        <v>1.14665425</v>
      </c>
      <c r="L6" s="32">
        <v>1.14665425</v>
      </c>
      <c r="M6" s="42"/>
      <c r="N6" s="42"/>
      <c r="O6" s="42"/>
      <c r="P6" s="42"/>
      <c r="Q6" s="42"/>
      <c r="R6" s="42"/>
      <c r="S6" s="42"/>
      <c r="T6" s="44"/>
      <c r="U6" s="44"/>
      <c r="V6" s="44"/>
      <c r="W6" s="44"/>
      <c r="X6" s="44"/>
      <c r="Y6" s="44"/>
      <c r="Z6" s="44" t="s">
        <v>18</v>
      </c>
      <c r="AA6" s="44"/>
      <c r="AB6" s="44"/>
      <c r="AC6" s="44"/>
      <c r="AD6" s="44"/>
      <c r="AE6" s="44"/>
      <c r="AF6" s="44"/>
      <c r="AG6" s="44"/>
      <c r="AH6" s="44"/>
      <c r="AI6" s="32">
        <v>1.14665425</v>
      </c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65">
        <v>4050000.0</v>
      </c>
      <c r="AU6" s="66">
        <v>3532014.9905693</v>
      </c>
      <c r="AV6" s="44"/>
      <c r="AW6" s="44"/>
      <c r="AX6" s="44"/>
      <c r="AY6" s="44"/>
      <c r="AZ6" s="44"/>
      <c r="BA6" s="44"/>
      <c r="BB6" s="44"/>
      <c r="BC6" s="44"/>
      <c r="BD6" s="44"/>
      <c r="BE6" s="65">
        <v>4050000.0</v>
      </c>
      <c r="BF6" s="32">
        <v>3532014.9905693</v>
      </c>
      <c r="BG6" s="44"/>
      <c r="BH6" s="44"/>
      <c r="BI6" s="44"/>
      <c r="BJ6" s="65">
        <v>4050000.0</v>
      </c>
      <c r="BK6" s="44"/>
      <c r="BL6" s="44"/>
      <c r="BM6" s="44"/>
      <c r="BN6" s="44"/>
      <c r="BO6" s="44" t="s">
        <v>17</v>
      </c>
      <c r="BP6" s="44"/>
      <c r="BQ6" s="44"/>
      <c r="BR6" s="44"/>
      <c r="BS6" s="44"/>
      <c r="BT6" s="32" t="s">
        <v>16</v>
      </c>
      <c r="BU6" s="44"/>
      <c r="BV6" s="44"/>
      <c r="BW6" s="44"/>
    </row>
    <row r="7" ht="15.75" customHeight="1">
      <c r="A7" s="8"/>
      <c r="B7" s="38" t="s">
        <v>23</v>
      </c>
      <c r="C7" s="44"/>
      <c r="D7" s="44"/>
      <c r="E7" s="67">
        <v>4050000.0</v>
      </c>
      <c r="F7" s="44"/>
      <c r="G7" s="38" t="s">
        <v>24</v>
      </c>
      <c r="H7" s="44"/>
      <c r="I7" s="44"/>
      <c r="J7" s="44"/>
      <c r="K7" s="32">
        <v>1.14665425</v>
      </c>
      <c r="L7" s="32">
        <v>1.14665425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 t="s">
        <v>18</v>
      </c>
      <c r="AA7" s="44"/>
      <c r="AB7" s="44"/>
      <c r="AC7" s="44"/>
      <c r="AD7" s="44"/>
      <c r="AE7" s="44"/>
      <c r="AF7" s="44"/>
      <c r="AG7" s="44"/>
      <c r="AH7" s="44"/>
      <c r="AI7" s="65">
        <v>1.15</v>
      </c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65">
        <v>4050000.0</v>
      </c>
      <c r="AU7" s="32">
        <v>3532014.9905693</v>
      </c>
      <c r="AV7" s="44"/>
      <c r="AW7" s="44"/>
      <c r="AX7" s="44"/>
      <c r="AY7" s="44"/>
      <c r="AZ7" s="44"/>
      <c r="BA7" s="44"/>
      <c r="BB7" s="44"/>
      <c r="BC7" s="44"/>
      <c r="BD7" s="44"/>
      <c r="BE7" s="65">
        <v>4050000.0</v>
      </c>
      <c r="BF7" s="32">
        <v>3532014.9905693</v>
      </c>
      <c r="BG7" s="44"/>
      <c r="BH7" s="44"/>
      <c r="BI7" s="44"/>
      <c r="BJ7" s="65">
        <v>4050000.0</v>
      </c>
      <c r="BK7" s="44"/>
      <c r="BL7" s="44"/>
      <c r="BM7" s="44"/>
      <c r="BN7" s="44"/>
      <c r="BO7" s="44" t="s">
        <v>53</v>
      </c>
      <c r="BP7" s="44"/>
      <c r="BQ7" s="44"/>
      <c r="BR7" s="44"/>
      <c r="BS7" s="44"/>
      <c r="BT7" s="32" t="s">
        <v>16</v>
      </c>
      <c r="BU7" s="44"/>
      <c r="BV7" s="44"/>
      <c r="BW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43</v>
      </c>
      <c r="C6" s="11" t="s">
        <v>23</v>
      </c>
      <c r="D6" s="31">
        <v>43495.0</v>
      </c>
      <c r="E6" s="31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43</v>
      </c>
      <c r="C6" s="11" t="s">
        <v>23</v>
      </c>
      <c r="D6" s="31">
        <v>43495.0</v>
      </c>
      <c r="E6" s="31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