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AutoGroupingAllocation" sheetId="4" r:id="rId6"/>
    <sheet state="visible" name="AddCalculatedPreferences" sheetId="5" r:id="rId7"/>
    <sheet state="visible" name="SetAccountValueCalculatedPref" sheetId="6" r:id="rId8"/>
    <sheet state="visible" name="CreateLiveOrder" sheetId="7" r:id="rId9"/>
    <sheet state="visible" name="SelectTrade" sheetId="8" r:id="rId10"/>
    <sheet state="visible" name="SelectTrade1" sheetId="9" r:id="rId11"/>
    <sheet state="visible" name="SelectTrade2" sheetId="10" r:id="rId12"/>
    <sheet state="visible" name="SelectTrade3" sheetId="11" r:id="rId13"/>
    <sheet state="visible" name="SelectTrade4" sheetId="12" r:id="rId14"/>
    <sheet state="visible" name="SelectTrade5" sheetId="13" r:id="rId15"/>
    <sheet state="visible" name="SelectTrade6" sheetId="14" r:id="rId16"/>
    <sheet state="visible" name="SelectTrade7" sheetId="15" r:id="rId17"/>
    <sheet state="visible" name="AcknowledgeTrade" sheetId="16" r:id="rId18"/>
    <sheet state="visible" name="AcknowledgeTrade1" sheetId="17" r:id="rId19"/>
    <sheet state="visible" name="AcknowledgeTrade2" sheetId="18" r:id="rId20"/>
    <sheet state="visible" name="AcknowledgeTrade3" sheetId="19" r:id="rId21"/>
    <sheet state="visible" name="AcknowledgeTrade4" sheetId="20" r:id="rId22"/>
    <sheet state="visible" name="AcknowledgeTrade5" sheetId="21" r:id="rId23"/>
    <sheet state="visible" name="AcknowledgeTrade6" sheetId="22" r:id="rId24"/>
    <sheet state="visible" name="AcknowledgeTrade7" sheetId="23" r:id="rId25"/>
    <sheet state="visible" name="ExecuteTrade" sheetId="24" r:id="rId26"/>
    <sheet state="visible" name="ExecuteTrade1" sheetId="25" r:id="rId27"/>
    <sheet state="visible" name="SelectTradeOnOrderGrid" sheetId="26" r:id="rId28"/>
    <sheet state="visible" name="SelectTradeOnOrderGrid1" sheetId="27" r:id="rId29"/>
    <sheet state="visible" name="SelectTradeOnOrderGrid2" sheetId="28" r:id="rId30"/>
    <sheet state="visible" name="SelectTradeOnOrderGrid3" sheetId="29" r:id="rId31"/>
    <sheet state="visible" name="VerifyAllocationWindow" sheetId="30" r:id="rId32"/>
    <sheet state="visible" name="VerifyAllocationWindow1" sheetId="31" r:id="rId33"/>
    <sheet state="visible" name="VerifyAllocationWindow2" sheetId="32" r:id="rId34"/>
    <sheet state="visible" name="VerifyAllocationWindow3" sheetId="33" r:id="rId35"/>
  </sheets>
  <definedNames/>
  <calcPr/>
</workbook>
</file>

<file path=xl/sharedStrings.xml><?xml version="1.0" encoding="utf-8"?>
<sst xmlns="http://schemas.openxmlformats.org/spreadsheetml/2006/main" count="304" uniqueCount="40">
  <si>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</si>
  <si>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</si>
  <si>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</si>
  <si>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</si>
  <si>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</si>
  <si>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</si>
  <si>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</si>
  <si>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</si>
  <si>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</si>
  <si>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</si>
  <si>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</si>
  <si>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</si>
  <si>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</si>
  <si>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EnableAutoGroupingAllocation</t>
  </si>
  <si>
    <t>Data Format</t>
  </si>
  <si>
    <t>Input Format</t>
  </si>
  <si>
    <t>Allocation</t>
  </si>
  <si>
    <t>AddCalculatedPreferences</t>
  </si>
  <si>
    <t>Yash</t>
  </si>
  <si>
    <t>SetAccountValueCalculatedPref</t>
  </si>
  <si>
    <t>Allocation1</t>
  </si>
  <si>
    <t>Allocation2</t>
  </si>
  <si>
    <t>TradingTicket</t>
  </si>
  <si>
    <t>CreateLiveOrder</t>
  </si>
  <si>
    <t>AAPL</t>
  </si>
  <si>
    <t>Buy</t>
  </si>
  <si>
    <t>AMZN</t>
  </si>
  <si>
    <t>Unallocated</t>
  </si>
  <si>
    <t>GOOG</t>
  </si>
  <si>
    <t>NFLX</t>
  </si>
  <si>
    <t>Allocation1,Allocation2</t>
  </si>
  <si>
    <t>50,50</t>
  </si>
  <si>
    <t>Simulator</t>
  </si>
  <si>
    <t>SelectTrade</t>
  </si>
  <si>
    <t>AcknowledgeTrade</t>
  </si>
  <si>
    <t>ExecuteTrade</t>
  </si>
  <si>
    <t>Blotter</t>
  </si>
  <si>
    <t>SelectTradeOnOrderGrid</t>
  </si>
  <si>
    <t>VerifyAllocationWindow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</si>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</sst>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IFERROR(__xludf.DUMMYFUNCTION("""COMPUTED_VALUE"""),"Enable")</f>
        <v>Enable</v>
      </c>
      <c r="C5" s="27" t="str">
        <f>IFERROR(__xludf.DUMMYFUNCTION("""COMPUTED_VALUE"""),"EnableAllFunds")</f>
        <v>EnableAllFunds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EnableAutoGroupingAllocation!$4:$4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9" t="s">
        <v>18</v>
      </c>
      <c r="C6" s="12" t="s">
        <v>20</v>
      </c>
      <c r="D6" s="12">
        <v>50.0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9" t="s">
        <v>18</v>
      </c>
      <c r="C7" s="12" t="s">
        <v>21</v>
      </c>
      <c r="D7" s="12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 t="s">
        <v>25</v>
      </c>
      <c r="D6" s="12">
        <v>10.0</v>
      </c>
      <c r="E6" s="30"/>
      <c r="F6" s="12" t="s">
        <v>20</v>
      </c>
      <c r="G6" s="8"/>
      <c r="H6" s="8"/>
      <c r="I6" s="8"/>
      <c r="J6" s="12">
        <v>20.0</v>
      </c>
      <c r="K6" s="8"/>
      <c r="L6" s="8"/>
      <c r="M6" s="8"/>
      <c r="N6" s="8"/>
      <c r="O6" s="8"/>
    </row>
    <row r="7" ht="15.75" customHeight="1">
      <c r="A7" s="8"/>
      <c r="B7" s="12" t="s">
        <v>24</v>
      </c>
      <c r="C7" s="12" t="s">
        <v>25</v>
      </c>
      <c r="D7" s="12">
        <v>25.0</v>
      </c>
      <c r="E7" s="8"/>
      <c r="F7" s="12" t="s">
        <v>20</v>
      </c>
      <c r="G7" s="8"/>
      <c r="H7" s="8"/>
      <c r="I7" s="8"/>
      <c r="J7" s="12">
        <v>6.0</v>
      </c>
      <c r="K7" s="8"/>
      <c r="L7" s="8"/>
      <c r="M7" s="8"/>
      <c r="N7" s="8"/>
      <c r="O7" s="8"/>
    </row>
    <row r="8" ht="15.75" customHeight="1">
      <c r="A8" s="8"/>
      <c r="B8" s="12" t="s">
        <v>26</v>
      </c>
      <c r="C8" s="12" t="s">
        <v>25</v>
      </c>
      <c r="D8" s="12">
        <v>10.0</v>
      </c>
      <c r="E8" s="8"/>
      <c r="F8" s="12" t="s">
        <v>27</v>
      </c>
      <c r="G8" s="8"/>
      <c r="H8" s="8"/>
      <c r="I8" s="8"/>
      <c r="J8" s="31">
        <v>20.0</v>
      </c>
      <c r="K8" s="8"/>
      <c r="L8" s="8"/>
      <c r="M8" s="8"/>
      <c r="N8" s="8"/>
      <c r="O8" s="8"/>
    </row>
    <row r="9" ht="15.75" customHeight="1">
      <c r="A9" s="8"/>
      <c r="B9" s="12" t="s">
        <v>26</v>
      </c>
      <c r="C9" s="12" t="s">
        <v>25</v>
      </c>
      <c r="D9" s="12">
        <v>25.0</v>
      </c>
      <c r="E9" s="8"/>
      <c r="F9" s="12" t="s">
        <v>27</v>
      </c>
      <c r="G9" s="8"/>
      <c r="H9" s="8"/>
      <c r="I9" s="8"/>
      <c r="J9" s="31">
        <v>6.0</v>
      </c>
      <c r="K9" s="8"/>
      <c r="L9" s="8"/>
      <c r="M9" s="8"/>
      <c r="N9" s="8"/>
      <c r="O9" s="8"/>
    </row>
    <row r="10" ht="15.75" customHeight="1">
      <c r="A10" s="8"/>
      <c r="B10" s="12" t="s">
        <v>28</v>
      </c>
      <c r="C10" s="12" t="s">
        <v>25</v>
      </c>
      <c r="D10" s="12">
        <v>10.0</v>
      </c>
      <c r="E10" s="8"/>
      <c r="F10" s="12" t="s">
        <v>18</v>
      </c>
      <c r="G10" s="8"/>
      <c r="H10" s="8"/>
      <c r="I10" s="8"/>
      <c r="J10" s="31">
        <v>20.0</v>
      </c>
      <c r="K10" s="8"/>
      <c r="L10" s="8"/>
      <c r="M10" s="8"/>
      <c r="N10" s="8"/>
      <c r="O10" s="8"/>
    </row>
    <row r="11" ht="15.75" customHeight="1">
      <c r="A11" s="8"/>
      <c r="B11" s="12" t="s">
        <v>28</v>
      </c>
      <c r="C11" s="12" t="s">
        <v>25</v>
      </c>
      <c r="D11" s="12">
        <v>25.0</v>
      </c>
      <c r="E11" s="8"/>
      <c r="F11" s="12" t="s">
        <v>18</v>
      </c>
      <c r="G11" s="8"/>
      <c r="H11" s="8"/>
      <c r="I11" s="8"/>
      <c r="J11" s="31">
        <v>6.0</v>
      </c>
      <c r="K11" s="8"/>
      <c r="L11" s="8"/>
      <c r="M11" s="8"/>
      <c r="N11" s="8"/>
      <c r="O11" s="8"/>
    </row>
    <row r="12" ht="15.75" customHeight="1">
      <c r="A12" s="8"/>
      <c r="B12" s="12" t="s">
        <v>29</v>
      </c>
      <c r="C12" s="12" t="s">
        <v>25</v>
      </c>
      <c r="D12" s="12">
        <v>10.0</v>
      </c>
      <c r="E12" s="8"/>
      <c r="F12" s="8"/>
      <c r="G12" s="8"/>
      <c r="H12" s="8"/>
      <c r="I12" s="8"/>
      <c r="J12" s="12">
        <v>20.0</v>
      </c>
      <c r="K12" s="8"/>
      <c r="L12" s="8"/>
      <c r="M12" s="8"/>
      <c r="N12" s="8"/>
      <c r="O12" s="8"/>
      <c r="AK12" s="9" t="s">
        <v>30</v>
      </c>
      <c r="AL12" s="9" t="s">
        <v>31</v>
      </c>
    </row>
    <row r="13" ht="15.75" customHeight="1">
      <c r="A13" s="8"/>
      <c r="B13" s="12" t="s">
        <v>29</v>
      </c>
      <c r="C13" s="12" t="s">
        <v>25</v>
      </c>
      <c r="D13" s="12">
        <v>25.0</v>
      </c>
      <c r="E13" s="8"/>
      <c r="F13" s="8"/>
      <c r="G13" s="8"/>
      <c r="H13" s="8"/>
      <c r="I13" s="8"/>
      <c r="J13" s="12">
        <v>6.0</v>
      </c>
      <c r="K13" s="8"/>
      <c r="L13" s="8"/>
      <c r="M13" s="8"/>
      <c r="N13" s="8"/>
      <c r="O13" s="8"/>
      <c r="AK13" s="9" t="s">
        <v>30</v>
      </c>
      <c r="AL13" s="9" t="s">
        <v>31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IFERROR(__xludf.DUMMYFUNCTION("IF(C3="""","""",Transpose(IMPORTRANGE('_Settings'!$B$3,C3&amp;""!A4:A1000"")))"),"Loading...")</f>
        <v>Loading...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24</v>
      </c>
      <c r="D6" s="12"/>
      <c r="E6" s="30"/>
      <c r="F6" s="8"/>
      <c r="G6" s="12">
        <v>10.0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24</v>
      </c>
      <c r="D6" s="12"/>
      <c r="E6" s="30"/>
      <c r="F6" s="8"/>
      <c r="G6" s="12">
        <v>25.0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26</v>
      </c>
      <c r="D6" s="12"/>
      <c r="E6" s="30"/>
      <c r="F6" s="8"/>
      <c r="G6" s="12">
        <v>10.0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26</v>
      </c>
      <c r="D6" s="12"/>
      <c r="E6" s="30"/>
      <c r="F6" s="8"/>
      <c r="G6" s="12">
        <v>25.0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28</v>
      </c>
      <c r="D6" s="12"/>
      <c r="E6" s="30"/>
      <c r="F6" s="8"/>
      <c r="G6" s="12">
        <v>10.0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SelectTrade4!$4:$4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28</v>
      </c>
      <c r="D6" s="12"/>
      <c r="E6" s="30"/>
      <c r="F6" s="8"/>
      <c r="G6" s="12">
        <v>25.0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SelectTrade5!$4:$4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29</v>
      </c>
      <c r="D6" s="12"/>
      <c r="E6" s="30"/>
      <c r="F6" s="8"/>
      <c r="G6" s="12">
        <v>10.0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SelectTrade6!$4:$4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29</v>
      </c>
      <c r="D6" s="12"/>
      <c r="E6" s="30"/>
      <c r="F6" s="8"/>
      <c r="G6" s="12">
        <v>25.0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SelectTrade7!$4:$4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IFERROR(__xludf.DUMMYFUNCTION("IF(C3="""","""",Transpose(IMPORTRANGE('_Settings'!$B$3,C3&amp;""!A4:A1000"")))"),"Loading...")</f>
        <v>Loading...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24</v>
      </c>
      <c r="D6" s="12"/>
      <c r="E6" s="30"/>
      <c r="F6" s="8"/>
      <c r="G6" s="12">
        <v>10.0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24</v>
      </c>
      <c r="D6" s="12"/>
      <c r="E6" s="30"/>
      <c r="F6" s="8"/>
      <c r="G6" s="12">
        <v>25.0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26</v>
      </c>
      <c r="D6" s="12"/>
      <c r="E6" s="30"/>
      <c r="F6" s="8"/>
      <c r="G6" s="12">
        <v>10.0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AcknowledgeTrade2!$4:$4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26</v>
      </c>
      <c r="D6" s="12"/>
      <c r="E6" s="30"/>
      <c r="F6" s="8"/>
      <c r="G6" s="12">
        <v>25.0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AcknowledgeTrade3!$4:$4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28</v>
      </c>
      <c r="D6" s="12"/>
      <c r="E6" s="30"/>
      <c r="F6" s="8"/>
      <c r="G6" s="12">
        <v>10.0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28</v>
      </c>
      <c r="D6" s="12"/>
      <c r="E6" s="30"/>
      <c r="F6" s="8"/>
      <c r="G6" s="12">
        <v>25.0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AcknowledgeTrade5!$4:$4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29</v>
      </c>
      <c r="D6" s="12"/>
      <c r="E6" s="30"/>
      <c r="F6" s="8"/>
      <c r="G6" s="12">
        <v>10.0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AcknowledgeTrade6!$4:$4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29</v>
      </c>
      <c r="D6" s="12"/>
      <c r="E6" s="30"/>
      <c r="F6" s="8"/>
      <c r="G6" s="12">
        <v>25.0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AcknowledgeTrade7!$4:$4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6.0</v>
      </c>
      <c r="C6" s="12">
        <v>25.0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24</v>
      </c>
      <c r="E6" s="30"/>
      <c r="F6" s="12" t="s">
        <v>25</v>
      </c>
      <c r="G6" s="8"/>
      <c r="H6" s="12">
        <v>10.0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26</v>
      </c>
      <c r="E6" s="30"/>
      <c r="F6" s="12" t="s">
        <v>25</v>
      </c>
      <c r="G6" s="8"/>
      <c r="H6" s="12">
        <v>10.0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28</v>
      </c>
      <c r="E6" s="30"/>
      <c r="F6" s="12" t="s">
        <v>25</v>
      </c>
      <c r="G6" s="8"/>
      <c r="H6" s="12">
        <v>10.0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29</v>
      </c>
      <c r="E6" s="30"/>
      <c r="F6" s="12" t="s">
        <v>25</v>
      </c>
      <c r="G6" s="8"/>
      <c r="H6" s="12">
        <v>25.0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IFERROR(__xludf.DUMMYFUNCTION("""COMPUTED_VALUE"""),"Broker")</f>
        <v>Broker</v>
      </c>
      <c r="E5" s="27" t="str">
        <f>IFERROR(__xludf.DUMMYFUNCTION("""COMPUTED_VALUE"""),"Quantity")</f>
        <v>Quantity</v>
      </c>
      <c r="F5" s="28" t="str">
        <f>IFERROR(__xludf.DUMMYFUNCTION("""COMPUTED_VALUE"""),"Avg Price")</f>
        <v>Avg Price</v>
      </c>
      <c r="G5" s="27" t="str">
        <f>IFERROR(__xludf.DUMMYFUNCTION("""COMPUTED_VALUE"""),"% Unexecuted Qty")</f>
        <v>% Unexecuted Qty</v>
      </c>
      <c r="H5" s="27" t="str">
        <f>IFERROR(__xludf.DUMMYFUNCTION("""COMPUTED_VALUE"""),"Unexecuted Qty")</f>
        <v>Unexecuted Qty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 t="s">
        <v>25</v>
      </c>
      <c r="D6" s="12" t="s">
        <v>39</v>
      </c>
      <c r="E6" s="12">
        <v>35.0</v>
      </c>
      <c r="F6" s="12">
        <v>10.0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VerifyAllocationWindow!$4:$4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IFERROR(__xludf.DUMMYFUNCTION("""COMPUTED_VALUE"""),"Broker")</f>
        <v>Broker</v>
      </c>
      <c r="E5" s="27" t="str">
        <f>IFERROR(__xludf.DUMMYFUNCTION("""COMPUTED_VALUE"""),"Quantity")</f>
        <v>Quantity</v>
      </c>
      <c r="F5" s="28" t="str">
        <f>IFERROR(__xludf.DUMMYFUNCTION("""COMPUTED_VALUE"""),"Avg Price")</f>
        <v>Avg Price</v>
      </c>
      <c r="G5" s="27" t="str">
        <f>IFERROR(__xludf.DUMMYFUNCTION("""COMPUTED_VALUE"""),"% Unexecuted Qty")</f>
        <v>% Unexecuted Qty</v>
      </c>
      <c r="H5" s="27" t="str">
        <f>IFERROR(__xludf.DUMMYFUNCTION("""COMPUTED_VALUE"""),"Unexecuted Qty")</f>
        <v>Unexecuted Qty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25</v>
      </c>
      <c r="D6" s="12" t="s">
        <v>39</v>
      </c>
      <c r="E6" s="12">
        <v>35.0</v>
      </c>
      <c r="F6" s="12">
        <v>10.0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VerifyAllocationWindow1!$4:$4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IFERROR(__xludf.DUMMYFUNCTION("""COMPUTED_VALUE"""),"Broker")</f>
        <v>Broker</v>
      </c>
      <c r="E5" s="27" t="str">
        <f>IFERROR(__xludf.DUMMYFUNCTION("""COMPUTED_VALUE"""),"Quantity")</f>
        <v>Quantity</v>
      </c>
      <c r="F5" s="28" t="str">
        <f>IFERROR(__xludf.DUMMYFUNCTION("""COMPUTED_VALUE"""),"Avg Price")</f>
        <v>Avg Price</v>
      </c>
      <c r="G5" s="27" t="str">
        <f>IFERROR(__xludf.DUMMYFUNCTION("""COMPUTED_VALUE"""),"% Unexecuted Qty")</f>
        <v>% Unexecuted Qty</v>
      </c>
      <c r="H5" s="27" t="str">
        <f>IFERROR(__xludf.DUMMYFUNCTION("""COMPUTED_VALUE"""),"Unexecuted Qty")</f>
        <v>Unexecuted Qty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25</v>
      </c>
      <c r="D6" s="12" t="s">
        <v>39</v>
      </c>
      <c r="E6" s="12">
        <v>35.0</v>
      </c>
      <c r="F6" s="12">
        <v>10.0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VerifyAllocationWindow2!$4:$4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IFERROR(__xludf.DUMMYFUNCTION("""COMPUTED_VALUE"""),"Broker")</f>
        <v>Broker</v>
      </c>
      <c r="E5" s="27" t="str">
        <f>IFERROR(__xludf.DUMMYFUNCTION("""COMPUTED_VALUE"""),"Quantity")</f>
        <v>Quantity</v>
      </c>
      <c r="F5" s="28" t="str">
        <f>IFERROR(__xludf.DUMMYFUNCTION("""COMPUTED_VALUE"""),"Avg Price")</f>
        <v>Avg Price</v>
      </c>
      <c r="G5" s="27" t="str">
        <f>IFERROR(__xludf.DUMMYFUNCTION("""COMPUTED_VALUE"""),"% Unexecuted Qty")</f>
        <v>% Unexecuted Qty</v>
      </c>
      <c r="H5" s="27" t="str">
        <f>IFERROR(__xludf.DUMMYFUNCTION("""COMPUTED_VALUE"""),"Unexecuted Qty")</f>
        <v>Unexecuted Qty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12" t="s">
        <v>25</v>
      </c>
      <c r="D6" s="12" t="s">
        <v>39</v>
      </c>
      <c r="E6" s="12"/>
      <c r="F6" s="12">
        <v>6.0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VerifyAllocationWindow3!$4:$4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