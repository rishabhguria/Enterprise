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9" activeTab="21"/>
  </bookViews>
  <sheets>
    <sheet name="_Modules" sheetId="1" r:id="rId1"/>
    <sheet name="_Settings" sheetId="2" r:id="rId2"/>
    <sheet name="_MasterData" sheetId="3" r:id="rId3"/>
    <sheet name="CreateStageOrder" sheetId="4" r:id="rId4"/>
    <sheet name="CreateDoneAwayOrder" sheetId="5" r:id="rId5"/>
    <sheet name="TradeNewSubOrder" sheetId="6" r:id="rId6"/>
    <sheet name="CreateNewSubOrder" sheetId="7" r:id="rId7"/>
    <sheet name="TradeNewSubOrder1" sheetId="8" r:id="rId8"/>
    <sheet name="CreateNewSubOrder1" sheetId="9" r:id="rId9"/>
    <sheet name="TradeNewSubOrder2" sheetId="10" r:id="rId10"/>
    <sheet name="CreateLiveOrder" sheetId="11" r:id="rId11"/>
    <sheet name="VerifyOrder" sheetId="12" r:id="rId12"/>
    <sheet name="VerifyWorkingSubs" sheetId="13" r:id="rId13"/>
    <sheet name="SelectTradeOnOrderGrid" sheetId="14" r:id="rId14"/>
    <sheet name="RemoveManualExecution" sheetId="15" r:id="rId15"/>
    <sheet name="SelectTradeOnOrderGrid1" sheetId="16" r:id="rId16"/>
    <sheet name="RemoveManualExecution1" sheetId="17" r:id="rId17"/>
    <sheet name="VerifyOrder1" sheetId="18" r:id="rId18"/>
    <sheet name="VerifyWorkingSubs1" sheetId="19" r:id="rId19"/>
    <sheet name="GetDataAllocation" sheetId="20" r:id="rId20"/>
    <sheet name="CheckAllocatedGroups" sheetId="21" r:id="rId21"/>
    <sheet name="CheckPortfolioManagement" sheetId="22" r:id="rId22"/>
  </sheets>
  <calcPr calcId="145621"/>
</workbook>
</file>

<file path=xl/calcChain.xml><?xml version="1.0" encoding="utf-8"?>
<calcChain xmlns="http://schemas.openxmlformats.org/spreadsheetml/2006/main">
  <c r="J2" i="22" l="1"/>
  <c r="J2" i="21"/>
  <c r="J2" i="20"/>
  <c r="J2" i="19"/>
  <c r="J2" i="18"/>
  <c r="J2" i="17"/>
  <c r="J2" i="16"/>
  <c r="J2" i="15"/>
  <c r="J2" i="14"/>
  <c r="J2" i="13"/>
  <c r="J2" i="12"/>
  <c r="N6" i="11"/>
  <c r="J2" i="11"/>
  <c r="J2" i="10"/>
  <c r="N6" i="9"/>
  <c r="J2" i="9"/>
  <c r="J2" i="8"/>
  <c r="N6" i="7"/>
  <c r="J2" i="7"/>
  <c r="J2" i="6"/>
  <c r="N6" i="5"/>
  <c r="J2" i="5"/>
  <c r="N6" i="4"/>
  <c r="J2" i="4"/>
  <c r="BK5" i="22"/>
  <c r="FB5" i="22"/>
  <c r="ET5" i="22"/>
  <c r="EL5" i="22"/>
  <c r="ED5" i="22"/>
  <c r="DV5" i="22"/>
  <c r="DN5" i="22"/>
  <c r="DF5" i="22"/>
  <c r="CX5" i="22"/>
  <c r="CP5" i="22"/>
  <c r="CH5" i="22"/>
  <c r="BZ5" i="22"/>
  <c r="BR5" i="22"/>
  <c r="BJ5" i="22"/>
  <c r="BB5" i="22"/>
  <c r="AT5" i="22"/>
  <c r="AL5" i="22"/>
  <c r="AD5" i="22"/>
  <c r="V5" i="22"/>
  <c r="N5" i="22"/>
  <c r="F5" i="22"/>
  <c r="X4" i="22"/>
  <c r="P4" i="22"/>
  <c r="H4" i="22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L5" i="20"/>
  <c r="D5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AY5" i="19"/>
  <c r="AQ5" i="19"/>
  <c r="AI5" i="19"/>
  <c r="AA5" i="19"/>
  <c r="S5" i="19"/>
  <c r="K5" i="19"/>
  <c r="C5" i="19"/>
  <c r="AS4" i="19"/>
  <c r="AK4" i="19"/>
  <c r="AC4" i="19"/>
  <c r="U4" i="19"/>
  <c r="M4" i="19"/>
  <c r="E4" i="19"/>
  <c r="AX5" i="18"/>
  <c r="AP5" i="18"/>
  <c r="AH5" i="18"/>
  <c r="Z5" i="18"/>
  <c r="R5" i="18"/>
  <c r="J5" i="18"/>
  <c r="B5" i="18"/>
  <c r="AR4" i="18"/>
  <c r="AJ4" i="18"/>
  <c r="AB4" i="18"/>
  <c r="T4" i="18"/>
  <c r="L4" i="18"/>
  <c r="D4" i="18"/>
  <c r="AT5" i="17"/>
  <c r="AL5" i="17"/>
  <c r="AD5" i="17"/>
  <c r="V5" i="17"/>
  <c r="N5" i="17"/>
  <c r="F5" i="17"/>
  <c r="AV4" i="17"/>
  <c r="AN4" i="17"/>
  <c r="AF4" i="17"/>
  <c r="X4" i="17"/>
  <c r="P4" i="17"/>
  <c r="H4" i="17"/>
  <c r="AZ5" i="16"/>
  <c r="AR5" i="16"/>
  <c r="AJ5" i="16"/>
  <c r="AB5" i="16"/>
  <c r="T5" i="16"/>
  <c r="L5" i="16"/>
  <c r="D5" i="16"/>
  <c r="AT4" i="16"/>
  <c r="AL4" i="16"/>
  <c r="AD4" i="16"/>
  <c r="V4" i="16"/>
  <c r="N4" i="16"/>
  <c r="F4" i="16"/>
  <c r="AV5" i="15"/>
  <c r="AN5" i="15"/>
  <c r="AF5" i="15"/>
  <c r="X5" i="15"/>
  <c r="P5" i="15"/>
  <c r="H5" i="15"/>
  <c r="AX4" i="15"/>
  <c r="AP4" i="15"/>
  <c r="FA5" i="22"/>
  <c r="ES5" i="22"/>
  <c r="EK5" i="22"/>
  <c r="EC5" i="22"/>
  <c r="DU5" i="22"/>
  <c r="DM5" i="22"/>
  <c r="DE5" i="22"/>
  <c r="CW5" i="22"/>
  <c r="CO5" i="22"/>
  <c r="CG5" i="22"/>
  <c r="BY5" i="22"/>
  <c r="BQ5" i="22"/>
  <c r="BI5" i="22"/>
  <c r="BA5" i="22"/>
  <c r="AS5" i="22"/>
  <c r="AK5" i="22"/>
  <c r="AC5" i="22"/>
  <c r="U5" i="22"/>
  <c r="M5" i="22"/>
  <c r="E5" i="22"/>
  <c r="W4" i="22"/>
  <c r="O4" i="22"/>
  <c r="G4" i="22"/>
  <c r="CR5" i="21"/>
  <c r="CJ5" i="21"/>
  <c r="CB5" i="21"/>
  <c r="BT5" i="21"/>
  <c r="BL5" i="21"/>
  <c r="BD5" i="21"/>
  <c r="AV5" i="21"/>
  <c r="AN5" i="21"/>
  <c r="AF5" i="21"/>
  <c r="X5" i="21"/>
  <c r="P5" i="21"/>
  <c r="H5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K5" i="20"/>
  <c r="C5" i="20"/>
  <c r="DL4" i="20"/>
  <c r="DD4" i="20"/>
  <c r="CV4" i="20"/>
  <c r="CN4" i="20"/>
  <c r="CF4" i="20"/>
  <c r="BX4" i="20"/>
  <c r="BP4" i="20"/>
  <c r="BH4" i="20"/>
  <c r="AZ4" i="20"/>
  <c r="AR4" i="20"/>
  <c r="AJ4" i="20"/>
  <c r="EZ5" i="22"/>
  <c r="ER5" i="22"/>
  <c r="EJ5" i="22"/>
  <c r="EB5" i="22"/>
  <c r="DT5" i="22"/>
  <c r="DL5" i="22"/>
  <c r="DD5" i="22"/>
  <c r="CV5" i="22"/>
  <c r="CN5" i="22"/>
  <c r="CF5" i="22"/>
  <c r="BX5" i="22"/>
  <c r="BP5" i="22"/>
  <c r="BH5" i="22"/>
  <c r="AZ5" i="22"/>
  <c r="AR5" i="22"/>
  <c r="AJ5" i="22"/>
  <c r="AB5" i="22"/>
  <c r="T5" i="22"/>
  <c r="L5" i="22"/>
  <c r="D5" i="22"/>
  <c r="V4" i="22"/>
  <c r="N4" i="22"/>
  <c r="F4" i="22"/>
  <c r="CQ5" i="21"/>
  <c r="CI5" i="21"/>
  <c r="CA5" i="21"/>
  <c r="BS5" i="21"/>
  <c r="BK5" i="21"/>
  <c r="BC5" i="21"/>
  <c r="AU5" i="21"/>
  <c r="AM5" i="21"/>
  <c r="AE5" i="21"/>
  <c r="W5" i="21"/>
  <c r="O5" i="21"/>
  <c r="G5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R5" i="20"/>
  <c r="J5" i="20"/>
  <c r="B5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AW5" i="19"/>
  <c r="AO5" i="19"/>
  <c r="AG5" i="19"/>
  <c r="Y5" i="19"/>
  <c r="Q5" i="19"/>
  <c r="I5" i="19"/>
  <c r="A5" i="19"/>
  <c r="AQ4" i="19"/>
  <c r="AI4" i="19"/>
  <c r="AA4" i="19"/>
  <c r="S4" i="19"/>
  <c r="K4" i="19"/>
  <c r="C4" i="19"/>
  <c r="AV5" i="18"/>
  <c r="AN5" i="18"/>
  <c r="AF5" i="18"/>
  <c r="X5" i="18"/>
  <c r="P5" i="18"/>
  <c r="H5" i="18"/>
  <c r="AX4" i="18"/>
  <c r="AP4" i="18"/>
  <c r="AH4" i="18"/>
  <c r="Z4" i="18"/>
  <c r="R4" i="18"/>
  <c r="J4" i="18"/>
  <c r="B4" i="18"/>
  <c r="AR5" i="17"/>
  <c r="AJ5" i="17"/>
  <c r="AB5" i="17"/>
  <c r="T5" i="17"/>
  <c r="L5" i="17"/>
  <c r="D5" i="17"/>
  <c r="AT4" i="17"/>
  <c r="AL4" i="17"/>
  <c r="AD4" i="17"/>
  <c r="V4" i="17"/>
  <c r="N4" i="17"/>
  <c r="F4" i="17"/>
  <c r="AX5" i="16"/>
  <c r="AP5" i="16"/>
  <c r="AH5" i="16"/>
  <c r="Z5" i="16"/>
  <c r="R5" i="16"/>
  <c r="J5" i="16"/>
  <c r="B5" i="16"/>
  <c r="AR4" i="16"/>
  <c r="AJ4" i="16"/>
  <c r="AB4" i="16"/>
  <c r="T4" i="16"/>
  <c r="L4" i="16"/>
  <c r="D4" i="16"/>
  <c r="AT5" i="15"/>
  <c r="AL5" i="15"/>
  <c r="AD5" i="15"/>
  <c r="V5" i="15"/>
  <c r="N5" i="15"/>
  <c r="EY5" i="22"/>
  <c r="EQ5" i="22"/>
  <c r="EI5" i="22"/>
  <c r="EA5" i="22"/>
  <c r="DS5" i="22"/>
  <c r="DK5" i="22"/>
  <c r="DC5" i="22"/>
  <c r="CU5" i="22"/>
  <c r="CM5" i="22"/>
  <c r="CE5" i="22"/>
  <c r="BW5" i="22"/>
  <c r="BO5" i="22"/>
  <c r="BG5" i="22"/>
  <c r="AY5" i="22"/>
  <c r="AQ5" i="22"/>
  <c r="AI5" i="22"/>
  <c r="AA5" i="22"/>
  <c r="S5" i="22"/>
  <c r="K5" i="22"/>
  <c r="C5" i="22"/>
  <c r="U4" i="22"/>
  <c r="M4" i="22"/>
  <c r="E4" i="22"/>
  <c r="CP5" i="21"/>
  <c r="CH5" i="21"/>
  <c r="BZ5" i="21"/>
  <c r="BR5" i="21"/>
  <c r="BJ5" i="21"/>
  <c r="BB5" i="21"/>
  <c r="AT5" i="21"/>
  <c r="AL5" i="21"/>
  <c r="AD5" i="21"/>
  <c r="V5" i="21"/>
  <c r="N5" i="21"/>
  <c r="F5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Q5" i="20"/>
  <c r="I5" i="20"/>
  <c r="A5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AV5" i="19"/>
  <c r="AN5" i="19"/>
  <c r="AF5" i="19"/>
  <c r="X5" i="19"/>
  <c r="P5" i="19"/>
  <c r="H5" i="19"/>
  <c r="AX4" i="19"/>
  <c r="AP4" i="19"/>
  <c r="AH4" i="19"/>
  <c r="Z4" i="19"/>
  <c r="R4" i="19"/>
  <c r="J4" i="19"/>
  <c r="B4" i="19"/>
  <c r="AU5" i="18"/>
  <c r="AM5" i="18"/>
  <c r="AE5" i="18"/>
  <c r="W5" i="18"/>
  <c r="O5" i="18"/>
  <c r="G5" i="18"/>
  <c r="AW4" i="18"/>
  <c r="AO4" i="18"/>
  <c r="AG4" i="18"/>
  <c r="Y4" i="18"/>
  <c r="Q4" i="18"/>
  <c r="I4" i="18"/>
  <c r="EX5" i="22"/>
  <c r="EP5" i="22"/>
  <c r="EH5" i="22"/>
  <c r="DZ5" i="22"/>
  <c r="DR5" i="22"/>
  <c r="DJ5" i="22"/>
  <c r="DB5" i="22"/>
  <c r="CT5" i="22"/>
  <c r="CL5" i="22"/>
  <c r="CD5" i="22"/>
  <c r="BV5" i="22"/>
  <c r="BN5" i="22"/>
  <c r="BF5" i="22"/>
  <c r="AX5" i="22"/>
  <c r="AP5" i="22"/>
  <c r="AH5" i="22"/>
  <c r="Z5" i="22"/>
  <c r="R5" i="22"/>
  <c r="J5" i="22"/>
  <c r="B5" i="22"/>
  <c r="T4" i="22"/>
  <c r="L4" i="22"/>
  <c r="D4" i="22"/>
  <c r="CO5" i="21"/>
  <c r="CG5" i="21"/>
  <c r="BY5" i="21"/>
  <c r="BQ5" i="21"/>
  <c r="BI5" i="21"/>
  <c r="BA5" i="21"/>
  <c r="AS5" i="21"/>
  <c r="AK5" i="21"/>
  <c r="AC5" i="21"/>
  <c r="U5" i="21"/>
  <c r="M5" i="21"/>
  <c r="E5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P5" i="20"/>
  <c r="H5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AU5" i="19"/>
  <c r="AM5" i="19"/>
  <c r="AE5" i="19"/>
  <c r="W5" i="19"/>
  <c r="O5" i="19"/>
  <c r="G5" i="19"/>
  <c r="AW4" i="19"/>
  <c r="AO4" i="19"/>
  <c r="EW5" i="22"/>
  <c r="EO5" i="22"/>
  <c r="EG5" i="22"/>
  <c r="DY5" i="22"/>
  <c r="DQ5" i="22"/>
  <c r="DI5" i="22"/>
  <c r="DA5" i="22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S4" i="22"/>
  <c r="K4" i="22"/>
  <c r="C4" i="22"/>
  <c r="CN5" i="21"/>
  <c r="CF5" i="21"/>
  <c r="BX5" i="21"/>
  <c r="BP5" i="21"/>
  <c r="BH5" i="21"/>
  <c r="AZ5" i="21"/>
  <c r="AR5" i="21"/>
  <c r="AJ5" i="21"/>
  <c r="AB5" i="21"/>
  <c r="T5" i="21"/>
  <c r="L5" i="21"/>
  <c r="D5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O5" i="20"/>
  <c r="G5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BB5" i="19"/>
  <c r="AT5" i="19"/>
  <c r="AL5" i="19"/>
  <c r="AD5" i="19"/>
  <c r="V5" i="19"/>
  <c r="N5" i="19"/>
  <c r="F5" i="19"/>
  <c r="AV4" i="19"/>
  <c r="AN4" i="19"/>
  <c r="AF4" i="19"/>
  <c r="X4" i="19"/>
  <c r="P4" i="19"/>
  <c r="H4" i="19"/>
  <c r="BA5" i="18"/>
  <c r="AS5" i="18"/>
  <c r="AK5" i="18"/>
  <c r="AC5" i="18"/>
  <c r="U5" i="18"/>
  <c r="M5" i="18"/>
  <c r="E5" i="18"/>
  <c r="AU4" i="18"/>
  <c r="AM4" i="18"/>
  <c r="AE4" i="18"/>
  <c r="W4" i="18"/>
  <c r="O4" i="18"/>
  <c r="G4" i="18"/>
  <c r="AW5" i="17"/>
  <c r="AO5" i="17"/>
  <c r="AG5" i="17"/>
  <c r="Y5" i="17"/>
  <c r="Q5" i="17"/>
  <c r="I5" i="17"/>
  <c r="A5" i="17"/>
  <c r="AQ4" i="17"/>
  <c r="AI4" i="17"/>
  <c r="AA4" i="17"/>
  <c r="S4" i="17"/>
  <c r="K4" i="17"/>
  <c r="C4" i="17"/>
  <c r="AU5" i="16"/>
  <c r="AM5" i="16"/>
  <c r="AE5" i="16"/>
  <c r="W5" i="16"/>
  <c r="O5" i="16"/>
  <c r="G5" i="16"/>
  <c r="AW4" i="16"/>
  <c r="AO4" i="16"/>
  <c r="AG4" i="16"/>
  <c r="Y4" i="16"/>
  <c r="Q4" i="16"/>
  <c r="I4" i="16"/>
  <c r="EV5" i="22"/>
  <c r="EN5" i="22"/>
  <c r="EF5" i="22"/>
  <c r="DX5" i="22"/>
  <c r="DP5" i="22"/>
  <c r="DH5" i="22"/>
  <c r="CZ5" i="22"/>
  <c r="CR5" i="22"/>
  <c r="CJ5" i="22"/>
  <c r="CB5" i="22"/>
  <c r="EU5" i="22"/>
  <c r="EM5" i="22"/>
  <c r="EE5" i="22"/>
  <c r="DW5" i="22"/>
  <c r="DO5" i="22"/>
  <c r="DG5" i="22"/>
  <c r="CY5" i="22"/>
  <c r="CQ5" i="22"/>
  <c r="CI5" i="22"/>
  <c r="CA5" i="22"/>
  <c r="BS5" i="22"/>
  <c r="BC5" i="22"/>
  <c r="AU5" i="22"/>
  <c r="AM5" i="22"/>
  <c r="AE5" i="22"/>
  <c r="W5" i="22"/>
  <c r="O5" i="22"/>
  <c r="G5" i="22"/>
  <c r="Y4" i="22"/>
  <c r="Q4" i="22"/>
  <c r="I4" i="22"/>
  <c r="CL5" i="21"/>
  <c r="CD5" i="21"/>
  <c r="BV5" i="21"/>
  <c r="BN5" i="21"/>
  <c r="BF5" i="21"/>
  <c r="AX5" i="21"/>
  <c r="AP5" i="21"/>
  <c r="AH5" i="21"/>
  <c r="Z5" i="21"/>
  <c r="R5" i="21"/>
  <c r="J5" i="21"/>
  <c r="B5" i="21"/>
  <c r="BT5" i="22"/>
  <c r="H5" i="22"/>
  <c r="BW5" i="21"/>
  <c r="K5" i="21"/>
  <c r="CN4" i="21"/>
  <c r="BH4" i="21"/>
  <c r="AB4" i="21"/>
  <c r="DF4" i="20"/>
  <c r="BZ4" i="20"/>
  <c r="AT4" i="20"/>
  <c r="T4" i="20"/>
  <c r="BA5" i="19"/>
  <c r="AH5" i="19"/>
  <c r="L5" i="19"/>
  <c r="AM4" i="19"/>
  <c r="W4" i="19"/>
  <c r="G4" i="19"/>
  <c r="AR5" i="18"/>
  <c r="AB5" i="18"/>
  <c r="L5" i="18"/>
  <c r="AT4" i="18"/>
  <c r="AD4" i="18"/>
  <c r="N4" i="18"/>
  <c r="AX5" i="17"/>
  <c r="AK5" i="17"/>
  <c r="X5" i="17"/>
  <c r="K5" i="17"/>
  <c r="AW4" i="17"/>
  <c r="AJ4" i="17"/>
  <c r="W4" i="17"/>
  <c r="J4" i="17"/>
  <c r="AW5" i="16"/>
  <c r="AK5" i="16"/>
  <c r="X5" i="16"/>
  <c r="K5" i="16"/>
  <c r="AV4" i="16"/>
  <c r="AI4" i="16"/>
  <c r="W4" i="16"/>
  <c r="J4" i="16"/>
  <c r="AW5" i="15"/>
  <c r="AK5" i="15"/>
  <c r="AA5" i="15"/>
  <c r="Q5" i="15"/>
  <c r="F5" i="15"/>
  <c r="AU4" i="15"/>
  <c r="AL4" i="15"/>
  <c r="AD4" i="15"/>
  <c r="V4" i="15"/>
  <c r="N4" i="15"/>
  <c r="F4" i="15"/>
  <c r="AX5" i="14"/>
  <c r="AP5" i="14"/>
  <c r="AH5" i="14"/>
  <c r="Z5" i="14"/>
  <c r="R5" i="14"/>
  <c r="J5" i="14"/>
  <c r="B5" i="14"/>
  <c r="AR4" i="14"/>
  <c r="AJ4" i="14"/>
  <c r="AB4" i="14"/>
  <c r="T4" i="14"/>
  <c r="L4" i="14"/>
  <c r="D4" i="14"/>
  <c r="AX5" i="13"/>
  <c r="AP5" i="13"/>
  <c r="AH5" i="13"/>
  <c r="Z5" i="13"/>
  <c r="R5" i="13"/>
  <c r="J5" i="13"/>
  <c r="B5" i="13"/>
  <c r="AR4" i="13"/>
  <c r="AJ4" i="13"/>
  <c r="AB4" i="13"/>
  <c r="T4" i="13"/>
  <c r="L4" i="13"/>
  <c r="D4" i="13"/>
  <c r="AW5" i="12"/>
  <c r="AO5" i="12"/>
  <c r="AG5" i="12"/>
  <c r="Y5" i="12"/>
  <c r="Q5" i="12"/>
  <c r="I5" i="12"/>
  <c r="A5" i="12"/>
  <c r="AQ4" i="12"/>
  <c r="AI4" i="12"/>
  <c r="AA4" i="12"/>
  <c r="S4" i="12"/>
  <c r="K4" i="12"/>
  <c r="C4" i="12"/>
  <c r="AJ5" i="11"/>
  <c r="AB5" i="11"/>
  <c r="T5" i="11"/>
  <c r="L5" i="11"/>
  <c r="D5" i="11"/>
  <c r="W4" i="11"/>
  <c r="O4" i="11"/>
  <c r="G4" i="11"/>
  <c r="AZ5" i="10"/>
  <c r="AR5" i="10"/>
  <c r="AJ5" i="10"/>
  <c r="AB5" i="10"/>
  <c r="T5" i="10"/>
  <c r="L5" i="10"/>
  <c r="D5" i="10"/>
  <c r="AT4" i="10"/>
  <c r="AL4" i="10"/>
  <c r="AD4" i="10"/>
  <c r="V4" i="10"/>
  <c r="N4" i="10"/>
  <c r="F4" i="10"/>
  <c r="AN5" i="9"/>
  <c r="AF5" i="9"/>
  <c r="X5" i="9"/>
  <c r="P5" i="9"/>
  <c r="H5" i="9"/>
  <c r="AA4" i="9"/>
  <c r="S4" i="9"/>
  <c r="K4" i="9"/>
  <c r="C4" i="9"/>
  <c r="AV5" i="8"/>
  <c r="AN5" i="8"/>
  <c r="AF5" i="8"/>
  <c r="X5" i="8"/>
  <c r="P5" i="8"/>
  <c r="H5" i="8"/>
  <c r="AX4" i="8"/>
  <c r="AP4" i="8"/>
  <c r="BL5" i="22"/>
  <c r="Z4" i="22"/>
  <c r="BO5" i="21"/>
  <c r="C5" i="21"/>
  <c r="CM4" i="21"/>
  <c r="BG4" i="21"/>
  <c r="AA4" i="21"/>
  <c r="N5" i="20"/>
  <c r="CY4" i="20"/>
  <c r="BS4" i="20"/>
  <c r="AM4" i="20"/>
  <c r="O4" i="20"/>
  <c r="AZ5" i="19"/>
  <c r="AC5" i="19"/>
  <c r="J5" i="19"/>
  <c r="AL4" i="19"/>
  <c r="V4" i="19"/>
  <c r="F4" i="19"/>
  <c r="AQ5" i="18"/>
  <c r="AA5" i="18"/>
  <c r="K5" i="18"/>
  <c r="AS4" i="18"/>
  <c r="AC4" i="18"/>
  <c r="M4" i="18"/>
  <c r="AV5" i="17"/>
  <c r="AI5" i="17"/>
  <c r="W5" i="17"/>
  <c r="J5" i="17"/>
  <c r="AU4" i="17"/>
  <c r="AH4" i="17"/>
  <c r="U4" i="17"/>
  <c r="I4" i="17"/>
  <c r="AV5" i="16"/>
  <c r="AI5" i="16"/>
  <c r="V5" i="16"/>
  <c r="I5" i="16"/>
  <c r="AU4" i="16"/>
  <c r="AH4" i="16"/>
  <c r="U4" i="16"/>
  <c r="H4" i="16"/>
  <c r="AU5" i="15"/>
  <c r="AJ5" i="15"/>
  <c r="Z5" i="15"/>
  <c r="O5" i="15"/>
  <c r="E5" i="15"/>
  <c r="AT4" i="15"/>
  <c r="AK4" i="15"/>
  <c r="AC4" i="15"/>
  <c r="U4" i="15"/>
  <c r="M4" i="15"/>
  <c r="E4" i="15"/>
  <c r="AW5" i="14"/>
  <c r="AO5" i="14"/>
  <c r="AG5" i="14"/>
  <c r="Y5" i="14"/>
  <c r="Q5" i="14"/>
  <c r="I5" i="14"/>
  <c r="A5" i="14"/>
  <c r="AQ4" i="14"/>
  <c r="AI4" i="14"/>
  <c r="AA4" i="14"/>
  <c r="S4" i="14"/>
  <c r="K4" i="14"/>
  <c r="C4" i="14"/>
  <c r="AW5" i="13"/>
  <c r="AO5" i="13"/>
  <c r="AG5" i="13"/>
  <c r="Y5" i="13"/>
  <c r="Q5" i="13"/>
  <c r="I5" i="13"/>
  <c r="A5" i="13"/>
  <c r="AQ4" i="13"/>
  <c r="AI4" i="13"/>
  <c r="AA4" i="13"/>
  <c r="S4" i="13"/>
  <c r="K4" i="13"/>
  <c r="C4" i="13"/>
  <c r="AV5" i="12"/>
  <c r="AN5" i="12"/>
  <c r="AF5" i="12"/>
  <c r="X5" i="12"/>
  <c r="P5" i="12"/>
  <c r="H5" i="12"/>
  <c r="AX4" i="12"/>
  <c r="AP4" i="12"/>
  <c r="AH4" i="12"/>
  <c r="Z4" i="12"/>
  <c r="R4" i="12"/>
  <c r="J4" i="12"/>
  <c r="B4" i="12"/>
  <c r="AI5" i="11"/>
  <c r="AA5" i="11"/>
  <c r="S5" i="11"/>
  <c r="K5" i="11"/>
  <c r="C5" i="11"/>
  <c r="V4" i="11"/>
  <c r="N4" i="11"/>
  <c r="F4" i="11"/>
  <c r="AY5" i="10"/>
  <c r="AQ5" i="10"/>
  <c r="AI5" i="10"/>
  <c r="AA5" i="10"/>
  <c r="S5" i="10"/>
  <c r="K5" i="10"/>
  <c r="C5" i="10"/>
  <c r="AS4" i="10"/>
  <c r="AK4" i="10"/>
  <c r="AC4" i="10"/>
  <c r="U4" i="10"/>
  <c r="M4" i="10"/>
  <c r="E4" i="10"/>
  <c r="AM5" i="9"/>
  <c r="AE5" i="9"/>
  <c r="W5" i="9"/>
  <c r="O5" i="9"/>
  <c r="G5" i="9"/>
  <c r="Z4" i="9"/>
  <c r="R4" i="9"/>
  <c r="J4" i="9"/>
  <c r="B4" i="9"/>
  <c r="AU5" i="8"/>
  <c r="AM5" i="8"/>
  <c r="AE5" i="8"/>
  <c r="W5" i="8"/>
  <c r="O5" i="8"/>
  <c r="G5" i="8"/>
  <c r="AW4" i="8"/>
  <c r="BD5" i="22"/>
  <c r="R4" i="22"/>
  <c r="BG5" i="21"/>
  <c r="DL4" i="21"/>
  <c r="CF4" i="21"/>
  <c r="AZ4" i="21"/>
  <c r="T4" i="21"/>
  <c r="M5" i="20"/>
  <c r="CX4" i="20"/>
  <c r="BR4" i="20"/>
  <c r="AL4" i="20"/>
  <c r="N4" i="20"/>
  <c r="AX5" i="19"/>
  <c r="AB5" i="19"/>
  <c r="E5" i="19"/>
  <c r="AJ4" i="19"/>
  <c r="T4" i="19"/>
  <c r="D4" i="19"/>
  <c r="AO5" i="18"/>
  <c r="Y5" i="18"/>
  <c r="I5" i="18"/>
  <c r="AQ4" i="18"/>
  <c r="AA4" i="18"/>
  <c r="K4" i="18"/>
  <c r="AU5" i="17"/>
  <c r="AH5" i="17"/>
  <c r="U5" i="17"/>
  <c r="H5" i="17"/>
  <c r="AS4" i="17"/>
  <c r="AG4" i="17"/>
  <c r="T4" i="17"/>
  <c r="G4" i="17"/>
  <c r="AT5" i="16"/>
  <c r="AG5" i="16"/>
  <c r="U5" i="16"/>
  <c r="H5" i="16"/>
  <c r="AS4" i="16"/>
  <c r="AF4" i="16"/>
  <c r="S4" i="16"/>
  <c r="G4" i="16"/>
  <c r="AS5" i="15"/>
  <c r="AI5" i="15"/>
  <c r="Y5" i="15"/>
  <c r="M5" i="15"/>
  <c r="D5" i="15"/>
  <c r="AS4" i="15"/>
  <c r="AJ4" i="15"/>
  <c r="AB4" i="15"/>
  <c r="T4" i="15"/>
  <c r="L4" i="15"/>
  <c r="D4" i="15"/>
  <c r="AV5" i="14"/>
  <c r="AN5" i="14"/>
  <c r="AF5" i="14"/>
  <c r="X5" i="14"/>
  <c r="P5" i="14"/>
  <c r="H5" i="14"/>
  <c r="AX4" i="14"/>
  <c r="AP4" i="14"/>
  <c r="AH4" i="14"/>
  <c r="Z4" i="14"/>
  <c r="R4" i="14"/>
  <c r="J4" i="14"/>
  <c r="B4" i="14"/>
  <c r="AV5" i="13"/>
  <c r="AN5" i="13"/>
  <c r="AF5" i="13"/>
  <c r="X5" i="13"/>
  <c r="P5" i="13"/>
  <c r="H5" i="13"/>
  <c r="AX4" i="13"/>
  <c r="AP4" i="13"/>
  <c r="AH4" i="13"/>
  <c r="Z4" i="13"/>
  <c r="R4" i="13"/>
  <c r="J4" i="13"/>
  <c r="B4" i="13"/>
  <c r="AU5" i="12"/>
  <c r="AM5" i="12"/>
  <c r="AE5" i="12"/>
  <c r="W5" i="12"/>
  <c r="O5" i="12"/>
  <c r="G5" i="12"/>
  <c r="AW4" i="12"/>
  <c r="AO4" i="12"/>
  <c r="AG4" i="12"/>
  <c r="Y4" i="12"/>
  <c r="Q4" i="12"/>
  <c r="I4" i="12"/>
  <c r="AH5" i="11"/>
  <c r="Z5" i="11"/>
  <c r="R5" i="11"/>
  <c r="J5" i="11"/>
  <c r="B5" i="11"/>
  <c r="U4" i="11"/>
  <c r="M4" i="11"/>
  <c r="E4" i="11"/>
  <c r="AX5" i="10"/>
  <c r="AP5" i="10"/>
  <c r="AH5" i="10"/>
  <c r="Z5" i="10"/>
  <c r="R5" i="10"/>
  <c r="J5" i="10"/>
  <c r="B5" i="10"/>
  <c r="AR4" i="10"/>
  <c r="AJ4" i="10"/>
  <c r="AB4" i="10"/>
  <c r="T4" i="10"/>
  <c r="L4" i="10"/>
  <c r="D4" i="10"/>
  <c r="AL5" i="9"/>
  <c r="AD5" i="9"/>
  <c r="V5" i="9"/>
  <c r="N5" i="9"/>
  <c r="F5" i="9"/>
  <c r="AV5" i="22"/>
  <c r="J4" i="22"/>
  <c r="AY5" i="21"/>
  <c r="DK4" i="21"/>
  <c r="CE4" i="21"/>
  <c r="AY4" i="21"/>
  <c r="S4" i="21"/>
  <c r="F5" i="20"/>
  <c r="CQ4" i="20"/>
  <c r="BK4" i="20"/>
  <c r="AE4" i="20"/>
  <c r="L4" i="20"/>
  <c r="AS5" i="19"/>
  <c r="Z5" i="19"/>
  <c r="D5" i="19"/>
  <c r="AG4" i="19"/>
  <c r="Q4" i="19"/>
  <c r="AL5" i="18"/>
  <c r="V5" i="18"/>
  <c r="F5" i="18"/>
  <c r="AN4" i="18"/>
  <c r="X4" i="18"/>
  <c r="H4" i="18"/>
  <c r="AS5" i="17"/>
  <c r="AF5" i="17"/>
  <c r="S5" i="17"/>
  <c r="G5" i="17"/>
  <c r="AR4" i="17"/>
  <c r="AE4" i="17"/>
  <c r="R4" i="17"/>
  <c r="E4" i="17"/>
  <c r="AS5" i="16"/>
  <c r="AF5" i="16"/>
  <c r="S5" i="16"/>
  <c r="F5" i="16"/>
  <c r="AQ4" i="16"/>
  <c r="AE4" i="16"/>
  <c r="R4" i="16"/>
  <c r="E4" i="16"/>
  <c r="AR5" i="15"/>
  <c r="AH5" i="15"/>
  <c r="W5" i="15"/>
  <c r="L5" i="15"/>
  <c r="C5" i="15"/>
  <c r="AR4" i="15"/>
  <c r="AI4" i="15"/>
  <c r="AA4" i="15"/>
  <c r="S4" i="15"/>
  <c r="K4" i="15"/>
  <c r="C4" i="15"/>
  <c r="AU5" i="14"/>
  <c r="AM5" i="14"/>
  <c r="AE5" i="14"/>
  <c r="W5" i="14"/>
  <c r="O5" i="14"/>
  <c r="G5" i="14"/>
  <c r="AW4" i="14"/>
  <c r="AO4" i="14"/>
  <c r="AG4" i="14"/>
  <c r="Y4" i="14"/>
  <c r="Q4" i="14"/>
  <c r="I4" i="14"/>
  <c r="AU5" i="13"/>
  <c r="AM5" i="13"/>
  <c r="AE5" i="13"/>
  <c r="W5" i="13"/>
  <c r="O5" i="13"/>
  <c r="G5" i="13"/>
  <c r="AW4" i="13"/>
  <c r="AO4" i="13"/>
  <c r="AG4" i="13"/>
  <c r="Y4" i="13"/>
  <c r="Q4" i="13"/>
  <c r="I4" i="13"/>
  <c r="AT5" i="12"/>
  <c r="AL5" i="12"/>
  <c r="AD5" i="12"/>
  <c r="V5" i="12"/>
  <c r="N5" i="12"/>
  <c r="F5" i="12"/>
  <c r="AV4" i="12"/>
  <c r="AN4" i="12"/>
  <c r="AF4" i="12"/>
  <c r="X4" i="12"/>
  <c r="P4" i="12"/>
  <c r="H4" i="12"/>
  <c r="AN5" i="22"/>
  <c r="B4" i="22"/>
  <c r="AQ5" i="21"/>
  <c r="DD4" i="21"/>
  <c r="BX4" i="21"/>
  <c r="AR4" i="21"/>
  <c r="L4" i="21"/>
  <c r="E5" i="20"/>
  <c r="CP4" i="20"/>
  <c r="BJ4" i="20"/>
  <c r="AD4" i="20"/>
  <c r="G4" i="20"/>
  <c r="AR5" i="19"/>
  <c r="U5" i="19"/>
  <c r="B5" i="19"/>
  <c r="AE4" i="19"/>
  <c r="O4" i="19"/>
  <c r="AZ5" i="18"/>
  <c r="AJ5" i="18"/>
  <c r="T5" i="18"/>
  <c r="D5" i="18"/>
  <c r="AL4" i="18"/>
  <c r="V4" i="18"/>
  <c r="F4" i="18"/>
  <c r="AQ5" i="17"/>
  <c r="AE5" i="17"/>
  <c r="R5" i="17"/>
  <c r="E5" i="17"/>
  <c r="AP4" i="17"/>
  <c r="AC4" i="17"/>
  <c r="Q4" i="17"/>
  <c r="D4" i="17"/>
  <c r="AQ5" i="16"/>
  <c r="AD5" i="16"/>
  <c r="Q5" i="16"/>
  <c r="E5" i="16"/>
  <c r="AP4" i="16"/>
  <c r="AC4" i="16"/>
  <c r="P4" i="16"/>
  <c r="C4" i="16"/>
  <c r="AQ5" i="15"/>
  <c r="AG5" i="15"/>
  <c r="U5" i="15"/>
  <c r="K5" i="15"/>
  <c r="B5" i="15"/>
  <c r="AQ4" i="15"/>
  <c r="AH4" i="15"/>
  <c r="Z4" i="15"/>
  <c r="R4" i="15"/>
  <c r="J4" i="15"/>
  <c r="B4" i="15"/>
  <c r="AT5" i="14"/>
  <c r="AL5" i="14"/>
  <c r="AD5" i="14"/>
  <c r="V5" i="14"/>
  <c r="N5" i="14"/>
  <c r="F5" i="14"/>
  <c r="AV4" i="14"/>
  <c r="AN4" i="14"/>
  <c r="AF4" i="14"/>
  <c r="X4" i="14"/>
  <c r="P4" i="14"/>
  <c r="H4" i="14"/>
  <c r="BB5" i="13"/>
  <c r="AT5" i="13"/>
  <c r="AL5" i="13"/>
  <c r="AD5" i="13"/>
  <c r="V5" i="13"/>
  <c r="N5" i="13"/>
  <c r="F5" i="13"/>
  <c r="AV4" i="13"/>
  <c r="AN4" i="13"/>
  <c r="AF4" i="13"/>
  <c r="X4" i="13"/>
  <c r="P4" i="13"/>
  <c r="H4" i="13"/>
  <c r="BA5" i="12"/>
  <c r="AS5" i="12"/>
  <c r="AK5" i="12"/>
  <c r="AC5" i="12"/>
  <c r="U5" i="12"/>
  <c r="M5" i="12"/>
  <c r="E5" i="12"/>
  <c r="AU4" i="12"/>
  <c r="AM4" i="12"/>
  <c r="AE4" i="12"/>
  <c r="W4" i="12"/>
  <c r="O4" i="12"/>
  <c r="G4" i="12"/>
  <c r="AN5" i="11"/>
  <c r="AF5" i="11"/>
  <c r="X5" i="11"/>
  <c r="P5" i="11"/>
  <c r="H5" i="11"/>
  <c r="AA4" i="11"/>
  <c r="S4" i="11"/>
  <c r="K4" i="11"/>
  <c r="C4" i="11"/>
  <c r="AV5" i="10"/>
  <c r="AN5" i="10"/>
  <c r="AF5" i="10"/>
  <c r="X5" i="10"/>
  <c r="P5" i="10"/>
  <c r="H5" i="10"/>
  <c r="AX4" i="10"/>
  <c r="AP4" i="10"/>
  <c r="AH4" i="10"/>
  <c r="Z4" i="10"/>
  <c r="R4" i="10"/>
  <c r="J4" i="10"/>
  <c r="B4" i="10"/>
  <c r="AJ5" i="9"/>
  <c r="AB5" i="9"/>
  <c r="T5" i="9"/>
  <c r="L5" i="9"/>
  <c r="D5" i="9"/>
  <c r="W4" i="9"/>
  <c r="O4" i="9"/>
  <c r="G4" i="9"/>
  <c r="AZ5" i="8"/>
  <c r="AR5" i="8"/>
  <c r="AJ5" i="8"/>
  <c r="AB5" i="8"/>
  <c r="T5" i="8"/>
  <c r="L5" i="8"/>
  <c r="D5" i="8"/>
  <c r="AT4" i="8"/>
  <c r="AF5" i="22"/>
  <c r="AI5" i="21"/>
  <c r="DC4" i="21"/>
  <c r="BW4" i="21"/>
  <c r="AQ4" i="21"/>
  <c r="K4" i="21"/>
  <c r="DO4" i="20"/>
  <c r="CI4" i="20"/>
  <c r="BC4" i="20"/>
  <c r="AB4" i="20"/>
  <c r="F4" i="20"/>
  <c r="AP5" i="19"/>
  <c r="T5" i="19"/>
  <c r="AU4" i="19"/>
  <c r="AD4" i="19"/>
  <c r="N4" i="19"/>
  <c r="AY5" i="18"/>
  <c r="AI5" i="18"/>
  <c r="S5" i="18"/>
  <c r="C5" i="18"/>
  <c r="AK4" i="18"/>
  <c r="U4" i="18"/>
  <c r="E4" i="18"/>
  <c r="AP5" i="17"/>
  <c r="AC5" i="17"/>
  <c r="P5" i="17"/>
  <c r="C5" i="17"/>
  <c r="AO4" i="17"/>
  <c r="AB4" i="17"/>
  <c r="O4" i="17"/>
  <c r="B4" i="17"/>
  <c r="AO5" i="16"/>
  <c r="AC5" i="16"/>
  <c r="P5" i="16"/>
  <c r="C5" i="16"/>
  <c r="AN4" i="16"/>
  <c r="AA4" i="16"/>
  <c r="O4" i="16"/>
  <c r="B4" i="16"/>
  <c r="AP5" i="15"/>
  <c r="AE5" i="15"/>
  <c r="T5" i="15"/>
  <c r="J5" i="15"/>
  <c r="A5" i="15"/>
  <c r="AO4" i="15"/>
  <c r="AG4" i="15"/>
  <c r="Y4" i="15"/>
  <c r="Q4" i="15"/>
  <c r="I4" i="15"/>
  <c r="AS5" i="14"/>
  <c r="AK5" i="14"/>
  <c r="AC5" i="14"/>
  <c r="U5" i="14"/>
  <c r="M5" i="14"/>
  <c r="E5" i="14"/>
  <c r="AU4" i="14"/>
  <c r="AM4" i="14"/>
  <c r="AE4" i="14"/>
  <c r="W4" i="14"/>
  <c r="O4" i="14"/>
  <c r="G4" i="14"/>
  <c r="BA5" i="13"/>
  <c r="AS5" i="13"/>
  <c r="AK5" i="13"/>
  <c r="AC5" i="13"/>
  <c r="U5" i="13"/>
  <c r="M5" i="13"/>
  <c r="E5" i="13"/>
  <c r="AU4" i="13"/>
  <c r="AM4" i="13"/>
  <c r="AE4" i="13"/>
  <c r="W4" i="13"/>
  <c r="O4" i="13"/>
  <c r="G4" i="13"/>
  <c r="AZ5" i="12"/>
  <c r="AR5" i="12"/>
  <c r="AJ5" i="12"/>
  <c r="AB5" i="12"/>
  <c r="T5" i="12"/>
  <c r="L5" i="12"/>
  <c r="D5" i="12"/>
  <c r="AT4" i="12"/>
  <c r="AL4" i="12"/>
  <c r="AD4" i="12"/>
  <c r="V4" i="12"/>
  <c r="N4" i="12"/>
  <c r="F4" i="12"/>
  <c r="AM5" i="11"/>
  <c r="AE5" i="11"/>
  <c r="W5" i="11"/>
  <c r="O5" i="11"/>
  <c r="G5" i="11"/>
  <c r="Z4" i="11"/>
  <c r="R4" i="11"/>
  <c r="J4" i="11"/>
  <c r="B4" i="11"/>
  <c r="AU5" i="10"/>
  <c r="AM5" i="10"/>
  <c r="AE5" i="10"/>
  <c r="W5" i="10"/>
  <c r="O5" i="10"/>
  <c r="G5" i="10"/>
  <c r="AW4" i="10"/>
  <c r="AO4" i="10"/>
  <c r="AG4" i="10"/>
  <c r="Y4" i="10"/>
  <c r="Q4" i="10"/>
  <c r="I4" i="10"/>
  <c r="AI5" i="9"/>
  <c r="AA5" i="9"/>
  <c r="S5" i="9"/>
  <c r="K5" i="9"/>
  <c r="C5" i="9"/>
  <c r="V4" i="9"/>
  <c r="N4" i="9"/>
  <c r="F4" i="9"/>
  <c r="AY5" i="8"/>
  <c r="AQ5" i="8"/>
  <c r="AI5" i="8"/>
  <c r="AA5" i="8"/>
  <c r="S5" i="8"/>
  <c r="K5" i="8"/>
  <c r="X5" i="22"/>
  <c r="CM5" i="21"/>
  <c r="AA5" i="21"/>
  <c r="CV4" i="21"/>
  <c r="BP4" i="21"/>
  <c r="AJ4" i="21"/>
  <c r="D4" i="21"/>
  <c r="DN4" i="20"/>
  <c r="CH4" i="20"/>
  <c r="BB4" i="20"/>
  <c r="W4" i="20"/>
  <c r="D4" i="20"/>
  <c r="AK5" i="19"/>
  <c r="R5" i="19"/>
  <c r="AT4" i="19"/>
  <c r="AB4" i="19"/>
  <c r="L4" i="19"/>
  <c r="AW5" i="18"/>
  <c r="AG5" i="18"/>
  <c r="Q5" i="18"/>
  <c r="A5" i="18"/>
  <c r="AI4" i="18"/>
  <c r="S4" i="18"/>
  <c r="C4" i="18"/>
  <c r="AN5" i="17"/>
  <c r="AA5" i="17"/>
  <c r="O5" i="17"/>
  <c r="B5" i="17"/>
  <c r="AM4" i="17"/>
  <c r="Z4" i="17"/>
  <c r="M4" i="17"/>
  <c r="AN5" i="16"/>
  <c r="AA5" i="16"/>
  <c r="N5" i="16"/>
  <c r="A5" i="16"/>
  <c r="AM4" i="16"/>
  <c r="Z4" i="16"/>
  <c r="M4" i="16"/>
  <c r="AO5" i="15"/>
  <c r="AC5" i="15"/>
  <c r="S5" i="15"/>
  <c r="I5" i="15"/>
  <c r="AW4" i="15"/>
  <c r="AN4" i="15"/>
  <c r="AF4" i="15"/>
  <c r="X4" i="15"/>
  <c r="P4" i="15"/>
  <c r="H4" i="15"/>
  <c r="AZ5" i="14"/>
  <c r="AR5" i="14"/>
  <c r="AJ5" i="14"/>
  <c r="AB5" i="14"/>
  <c r="T5" i="14"/>
  <c r="L5" i="14"/>
  <c r="D5" i="14"/>
  <c r="AT4" i="14"/>
  <c r="AL4" i="14"/>
  <c r="AD4" i="14"/>
  <c r="V4" i="14"/>
  <c r="N4" i="14"/>
  <c r="F4" i="14"/>
  <c r="AZ5" i="13"/>
  <c r="AR5" i="13"/>
  <c r="AJ5" i="13"/>
  <c r="AB5" i="13"/>
  <c r="T5" i="13"/>
  <c r="L5" i="13"/>
  <c r="D5" i="13"/>
  <c r="AT4" i="13"/>
  <c r="AL4" i="13"/>
  <c r="AD4" i="13"/>
  <c r="V4" i="13"/>
  <c r="N4" i="13"/>
  <c r="F4" i="13"/>
  <c r="AY5" i="12"/>
  <c r="AQ5" i="12"/>
  <c r="AI5" i="12"/>
  <c r="AA5" i="12"/>
  <c r="S5" i="12"/>
  <c r="K5" i="12"/>
  <c r="C5" i="12"/>
  <c r="AS4" i="12"/>
  <c r="AK4" i="12"/>
  <c r="AC4" i="12"/>
  <c r="U4" i="12"/>
  <c r="M4" i="12"/>
  <c r="E4" i="12"/>
  <c r="AL5" i="11"/>
  <c r="AD5" i="11"/>
  <c r="V5" i="11"/>
  <c r="N5" i="11"/>
  <c r="F5" i="11"/>
  <c r="Y4" i="11"/>
  <c r="Q4" i="11"/>
  <c r="I4" i="11"/>
  <c r="AT5" i="10"/>
  <c r="AL5" i="10"/>
  <c r="AD5" i="10"/>
  <c r="V5" i="10"/>
  <c r="N5" i="10"/>
  <c r="F5" i="10"/>
  <c r="AV4" i="10"/>
  <c r="AN4" i="10"/>
  <c r="AF4" i="10"/>
  <c r="X4" i="10"/>
  <c r="P4" i="10"/>
  <c r="H4" i="10"/>
  <c r="P5" i="22"/>
  <c r="CE5" i="21"/>
  <c r="S5" i="21"/>
  <c r="CU4" i="21"/>
  <c r="BO4" i="21"/>
  <c r="AI4" i="21"/>
  <c r="C4" i="21"/>
  <c r="DG4" i="20"/>
  <c r="CA4" i="20"/>
  <c r="AU4" i="20"/>
  <c r="V4" i="20"/>
  <c r="AJ5" i="19"/>
  <c r="M5" i="19"/>
  <c r="AR4" i="19"/>
  <c r="Y4" i="19"/>
  <c r="I4" i="19"/>
  <c r="AT5" i="18"/>
  <c r="AD5" i="18"/>
  <c r="N5" i="18"/>
  <c r="AV4" i="18"/>
  <c r="AF4" i="18"/>
  <c r="P4" i="18"/>
  <c r="AM5" i="17"/>
  <c r="Z5" i="17"/>
  <c r="M5" i="17"/>
  <c r="AX4" i="17"/>
  <c r="AK4" i="17"/>
  <c r="Y4" i="17"/>
  <c r="L4" i="17"/>
  <c r="AY5" i="16"/>
  <c r="AL5" i="16"/>
  <c r="Y5" i="16"/>
  <c r="M5" i="16"/>
  <c r="AX4" i="16"/>
  <c r="AK4" i="16"/>
  <c r="X4" i="16"/>
  <c r="K4" i="16"/>
  <c r="AX5" i="15"/>
  <c r="AM5" i="15"/>
  <c r="AB5" i="15"/>
  <c r="R5" i="15"/>
  <c r="G5" i="15"/>
  <c r="AV4" i="15"/>
  <c r="AM4" i="15"/>
  <c r="AE4" i="15"/>
  <c r="W4" i="15"/>
  <c r="O4" i="15"/>
  <c r="G4" i="15"/>
  <c r="AY5" i="14"/>
  <c r="AQ5" i="14"/>
  <c r="AI5" i="14"/>
  <c r="AA5" i="14"/>
  <c r="S5" i="14"/>
  <c r="K5" i="14"/>
  <c r="C5" i="14"/>
  <c r="AS4" i="14"/>
  <c r="AK4" i="14"/>
  <c r="AC4" i="14"/>
  <c r="U4" i="14"/>
  <c r="M4" i="14"/>
  <c r="E4" i="14"/>
  <c r="AY5" i="13"/>
  <c r="AQ5" i="13"/>
  <c r="AI5" i="13"/>
  <c r="AA5" i="13"/>
  <c r="S5" i="13"/>
  <c r="K5" i="13"/>
  <c r="C5" i="13"/>
  <c r="AS4" i="13"/>
  <c r="AK4" i="13"/>
  <c r="AC4" i="13"/>
  <c r="U4" i="13"/>
  <c r="M4" i="13"/>
  <c r="E4" i="13"/>
  <c r="AX5" i="12"/>
  <c r="AP5" i="12"/>
  <c r="AH5" i="12"/>
  <c r="Z5" i="12"/>
  <c r="R5" i="12"/>
  <c r="J5" i="12"/>
  <c r="B5" i="12"/>
  <c r="AR4" i="12"/>
  <c r="AJ4" i="12"/>
  <c r="AB4" i="12"/>
  <c r="T4" i="12"/>
  <c r="L4" i="12"/>
  <c r="D4" i="12"/>
  <c r="AK5" i="11"/>
  <c r="AC5" i="11"/>
  <c r="U5" i="11"/>
  <c r="M5" i="11"/>
  <c r="E5" i="11"/>
  <c r="X4" i="11"/>
  <c r="P4" i="11"/>
  <c r="H4" i="11"/>
  <c r="BA5" i="10"/>
  <c r="AS5" i="10"/>
  <c r="AK5" i="10"/>
  <c r="AC5" i="10"/>
  <c r="U5" i="10"/>
  <c r="M5" i="10"/>
  <c r="E5" i="10"/>
  <c r="AU4" i="10"/>
  <c r="AM4" i="10"/>
  <c r="AE4" i="10"/>
  <c r="W4" i="10"/>
  <c r="O4" i="10"/>
  <c r="G4" i="10"/>
  <c r="AO5" i="9"/>
  <c r="AG5" i="9"/>
  <c r="Y5" i="9"/>
  <c r="Q5" i="9"/>
  <c r="I5" i="9"/>
  <c r="A5" i="9"/>
  <c r="T4" i="9"/>
  <c r="L4" i="9"/>
  <c r="D4" i="9"/>
  <c r="AW5" i="8"/>
  <c r="AO5" i="8"/>
  <c r="AG5" i="8"/>
  <c r="Y5" i="8"/>
  <c r="Q5" i="8"/>
  <c r="I5" i="8"/>
  <c r="A5" i="8"/>
  <c r="AQ4" i="8"/>
  <c r="AG5" i="11"/>
  <c r="AQ4" i="10"/>
  <c r="AK5" i="9"/>
  <c r="E5" i="9"/>
  <c r="I4" i="9"/>
  <c r="AP5" i="8"/>
  <c r="U5" i="8"/>
  <c r="B5" i="8"/>
  <c r="AL4" i="8"/>
  <c r="AD4" i="8"/>
  <c r="V4" i="8"/>
  <c r="N4" i="8"/>
  <c r="F4" i="8"/>
  <c r="AN5" i="7"/>
  <c r="AF5" i="7"/>
  <c r="X5" i="7"/>
  <c r="P5" i="7"/>
  <c r="H5" i="7"/>
  <c r="AA4" i="7"/>
  <c r="S4" i="7"/>
  <c r="K4" i="7"/>
  <c r="C4" i="7"/>
  <c r="AV5" i="6"/>
  <c r="AN5" i="6"/>
  <c r="AF5" i="6"/>
  <c r="X5" i="6"/>
  <c r="P5" i="6"/>
  <c r="H5" i="6"/>
  <c r="AX4" i="6"/>
  <c r="AP4" i="6"/>
  <c r="AH4" i="6"/>
  <c r="Z4" i="6"/>
  <c r="R4" i="6"/>
  <c r="J4" i="6"/>
  <c r="B4" i="6"/>
  <c r="AK5" i="5"/>
  <c r="AC5" i="5"/>
  <c r="U5" i="5"/>
  <c r="M5" i="5"/>
  <c r="E5" i="5"/>
  <c r="X4" i="5"/>
  <c r="P4" i="5"/>
  <c r="H4" i="5"/>
  <c r="AG5" i="4"/>
  <c r="Y5" i="4"/>
  <c r="Q5" i="4"/>
  <c r="I5" i="4"/>
  <c r="A5" i="4"/>
  <c r="T4" i="4"/>
  <c r="L4" i="4"/>
  <c r="D4" i="4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Y5" i="11"/>
  <c r="AW5" i="10"/>
  <c r="AI4" i="10"/>
  <c r="AH5" i="9"/>
  <c r="B5" i="9"/>
  <c r="H4" i="9"/>
  <c r="AL5" i="8"/>
  <c r="R5" i="8"/>
  <c r="AV4" i="8"/>
  <c r="AK4" i="8"/>
  <c r="AC4" i="8"/>
  <c r="U4" i="8"/>
  <c r="M4" i="8"/>
  <c r="E4" i="8"/>
  <c r="AM5" i="7"/>
  <c r="AE5" i="7"/>
  <c r="W5" i="7"/>
  <c r="O5" i="7"/>
  <c r="G5" i="7"/>
  <c r="Z4" i="7"/>
  <c r="R4" i="7"/>
  <c r="J4" i="7"/>
  <c r="B4" i="7"/>
  <c r="AU5" i="6"/>
  <c r="AM5" i="6"/>
  <c r="AE5" i="6"/>
  <c r="W5" i="6"/>
  <c r="O5" i="6"/>
  <c r="G5" i="6"/>
  <c r="AW4" i="6"/>
  <c r="AO4" i="6"/>
  <c r="AG4" i="6"/>
  <c r="Y4" i="6"/>
  <c r="Q4" i="6"/>
  <c r="I4" i="6"/>
  <c r="AJ5" i="5"/>
  <c r="AB5" i="5"/>
  <c r="T5" i="5"/>
  <c r="L5" i="5"/>
  <c r="D5" i="5"/>
  <c r="W4" i="5"/>
  <c r="O4" i="5"/>
  <c r="G4" i="5"/>
  <c r="AN5" i="4"/>
  <c r="AF5" i="4"/>
  <c r="X5" i="4"/>
  <c r="P5" i="4"/>
  <c r="H5" i="4"/>
  <c r="AA4" i="4"/>
  <c r="S4" i="4"/>
  <c r="K4" i="4"/>
  <c r="C4" i="4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Q5" i="11"/>
  <c r="AO5" i="10"/>
  <c r="AA4" i="10"/>
  <c r="AC5" i="9"/>
  <c r="Y4" i="9"/>
  <c r="E4" i="9"/>
  <c r="AK5" i="8"/>
  <c r="N5" i="8"/>
  <c r="AU4" i="8"/>
  <c r="AJ4" i="8"/>
  <c r="AB4" i="8"/>
  <c r="T4" i="8"/>
  <c r="L4" i="8"/>
  <c r="D4" i="8"/>
  <c r="AL5" i="7"/>
  <c r="AD5" i="7"/>
  <c r="V5" i="7"/>
  <c r="N5" i="7"/>
  <c r="F5" i="7"/>
  <c r="Y4" i="7"/>
  <c r="Q4" i="7"/>
  <c r="I4" i="7"/>
  <c r="AT5" i="6"/>
  <c r="AL5" i="6"/>
  <c r="AD5" i="6"/>
  <c r="V5" i="6"/>
  <c r="N5" i="6"/>
  <c r="F5" i="6"/>
  <c r="AV4" i="6"/>
  <c r="AN4" i="6"/>
  <c r="AF4" i="6"/>
  <c r="X4" i="6"/>
  <c r="P4" i="6"/>
  <c r="H4" i="6"/>
  <c r="AI5" i="5"/>
  <c r="AA5" i="5"/>
  <c r="S5" i="5"/>
  <c r="K5" i="5"/>
  <c r="C5" i="5"/>
  <c r="V4" i="5"/>
  <c r="N4" i="5"/>
  <c r="F4" i="5"/>
  <c r="AM5" i="4"/>
  <c r="AE5" i="4"/>
  <c r="W5" i="4"/>
  <c r="O5" i="4"/>
  <c r="G5" i="4"/>
  <c r="Z4" i="4"/>
  <c r="R4" i="4"/>
  <c r="J4" i="4"/>
  <c r="B4" i="4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I5" i="11"/>
  <c r="AG5" i="10"/>
  <c r="S4" i="10"/>
  <c r="Z5" i="9"/>
  <c r="X4" i="9"/>
  <c r="AH5" i="8"/>
  <c r="M5" i="8"/>
  <c r="AS4" i="8"/>
  <c r="AI4" i="8"/>
  <c r="AA4" i="8"/>
  <c r="S4" i="8"/>
  <c r="K4" i="8"/>
  <c r="C4" i="8"/>
  <c r="AK5" i="7"/>
  <c r="AC5" i="7"/>
  <c r="U5" i="7"/>
  <c r="M5" i="7"/>
  <c r="E5" i="7"/>
  <c r="X4" i="7"/>
  <c r="P4" i="7"/>
  <c r="H4" i="7"/>
  <c r="BA5" i="6"/>
  <c r="AS5" i="6"/>
  <c r="AK5" i="6"/>
  <c r="AC5" i="6"/>
  <c r="U5" i="6"/>
  <c r="M5" i="6"/>
  <c r="E5" i="6"/>
  <c r="AU4" i="6"/>
  <c r="AM4" i="6"/>
  <c r="AE4" i="6"/>
  <c r="W4" i="6"/>
  <c r="O4" i="6"/>
  <c r="G4" i="6"/>
  <c r="AP5" i="5"/>
  <c r="AH5" i="5"/>
  <c r="Z5" i="5"/>
  <c r="R5" i="5"/>
  <c r="J5" i="5"/>
  <c r="B5" i="5"/>
  <c r="U4" i="5"/>
  <c r="M4" i="5"/>
  <c r="E4" i="5"/>
  <c r="AL5" i="4"/>
  <c r="AD5" i="4"/>
  <c r="V5" i="4"/>
  <c r="N5" i="4"/>
  <c r="F5" i="4"/>
  <c r="Y4" i="4"/>
  <c r="Q4" i="4"/>
  <c r="I4" i="4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A5" i="11"/>
  <c r="Y5" i="10"/>
  <c r="K4" i="10"/>
  <c r="U5" i="9"/>
  <c r="U4" i="9"/>
  <c r="BA5" i="8"/>
  <c r="AD5" i="8"/>
  <c r="J5" i="8"/>
  <c r="AR4" i="8"/>
  <c r="AH4" i="8"/>
  <c r="Z4" i="8"/>
  <c r="R4" i="8"/>
  <c r="J4" i="8"/>
  <c r="B4" i="8"/>
  <c r="AJ5" i="7"/>
  <c r="AB5" i="7"/>
  <c r="T5" i="7"/>
  <c r="L5" i="7"/>
  <c r="D5" i="7"/>
  <c r="W4" i="7"/>
  <c r="O4" i="7"/>
  <c r="G4" i="7"/>
  <c r="AZ5" i="6"/>
  <c r="AR5" i="6"/>
  <c r="AJ5" i="6"/>
  <c r="AB5" i="6"/>
  <c r="T5" i="6"/>
  <c r="L5" i="6"/>
  <c r="D5" i="6"/>
  <c r="AT4" i="6"/>
  <c r="AL4" i="6"/>
  <c r="AD4" i="6"/>
  <c r="V4" i="6"/>
  <c r="N4" i="6"/>
  <c r="F4" i="6"/>
  <c r="AO5" i="5"/>
  <c r="AG5" i="5"/>
  <c r="Y5" i="5"/>
  <c r="Q5" i="5"/>
  <c r="I5" i="5"/>
  <c r="A5" i="5"/>
  <c r="T4" i="5"/>
  <c r="L4" i="5"/>
  <c r="D4" i="5"/>
  <c r="AK5" i="4"/>
  <c r="AC5" i="4"/>
  <c r="U5" i="4"/>
  <c r="M5" i="4"/>
  <c r="E5" i="4"/>
  <c r="X4" i="4"/>
  <c r="P4" i="4"/>
  <c r="H4" i="4"/>
  <c r="A4" i="3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T4" i="11"/>
  <c r="Q5" i="10"/>
  <c r="C4" i="10"/>
  <c r="R5" i="9"/>
  <c r="Q4" i="9"/>
  <c r="AX5" i="8"/>
  <c r="AC5" i="8"/>
  <c r="F5" i="8"/>
  <c r="AO4" i="8"/>
  <c r="AG4" i="8"/>
  <c r="Y4" i="8"/>
  <c r="Q4" i="8"/>
  <c r="I4" i="8"/>
  <c r="AI5" i="7"/>
  <c r="AA5" i="7"/>
  <c r="S5" i="7"/>
  <c r="K5" i="7"/>
  <c r="C5" i="7"/>
  <c r="V4" i="7"/>
  <c r="N4" i="7"/>
  <c r="F4" i="7"/>
  <c r="AY5" i="6"/>
  <c r="AQ5" i="6"/>
  <c r="AI5" i="6"/>
  <c r="AA5" i="6"/>
  <c r="S5" i="6"/>
  <c r="K5" i="6"/>
  <c r="C5" i="6"/>
  <c r="AS4" i="6"/>
  <c r="AK4" i="6"/>
  <c r="AC4" i="6"/>
  <c r="U4" i="6"/>
  <c r="M4" i="6"/>
  <c r="E4" i="6"/>
  <c r="AN5" i="5"/>
  <c r="AF5" i="5"/>
  <c r="X5" i="5"/>
  <c r="P5" i="5"/>
  <c r="H5" i="5"/>
  <c r="AA4" i="5"/>
  <c r="S4" i="5"/>
  <c r="K4" i="5"/>
  <c r="C4" i="5"/>
  <c r="AJ5" i="4"/>
  <c r="AB5" i="4"/>
  <c r="T5" i="4"/>
  <c r="L5" i="4"/>
  <c r="D5" i="4"/>
  <c r="W4" i="4"/>
  <c r="O4" i="4"/>
  <c r="G4" i="4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L4" i="11"/>
  <c r="I5" i="10"/>
  <c r="M5" i="9"/>
  <c r="P4" i="9"/>
  <c r="AT5" i="8"/>
  <c r="Z5" i="8"/>
  <c r="E5" i="8"/>
  <c r="AN4" i="8"/>
  <c r="AF4" i="8"/>
  <c r="X4" i="8"/>
  <c r="P4" i="8"/>
  <c r="H4" i="8"/>
  <c r="AH5" i="7"/>
  <c r="Z5" i="7"/>
  <c r="R5" i="7"/>
  <c r="J5" i="7"/>
  <c r="B5" i="7"/>
  <c r="U4" i="7"/>
  <c r="M4" i="7"/>
  <c r="E4" i="7"/>
  <c r="AX5" i="6"/>
  <c r="AP5" i="6"/>
  <c r="AH5" i="6"/>
  <c r="Z5" i="6"/>
  <c r="R5" i="6"/>
  <c r="J5" i="6"/>
  <c r="B5" i="6"/>
  <c r="AR4" i="6"/>
  <c r="AJ4" i="6"/>
  <c r="AB4" i="6"/>
  <c r="T4" i="6"/>
  <c r="L4" i="6"/>
  <c r="D4" i="6"/>
  <c r="AM5" i="5"/>
  <c r="AE5" i="5"/>
  <c r="W5" i="5"/>
  <c r="O5" i="5"/>
  <c r="G5" i="5"/>
  <c r="Z4" i="5"/>
  <c r="R4" i="5"/>
  <c r="J4" i="5"/>
  <c r="B4" i="5"/>
  <c r="AI5" i="4"/>
  <c r="AA5" i="4"/>
  <c r="S5" i="4"/>
  <c r="K5" i="4"/>
  <c r="C5" i="4"/>
  <c r="V4" i="4"/>
  <c r="N4" i="4"/>
  <c r="F4" i="4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D4" i="11"/>
  <c r="A5" i="10"/>
  <c r="J5" i="9"/>
  <c r="M4" i="9"/>
  <c r="AS5" i="8"/>
  <c r="V5" i="8"/>
  <c r="C5" i="8"/>
  <c r="AM4" i="8"/>
  <c r="AE4" i="8"/>
  <c r="W4" i="8"/>
  <c r="O4" i="8"/>
  <c r="G4" i="8"/>
  <c r="AO5" i="7"/>
  <c r="AG5" i="7"/>
  <c r="Y5" i="7"/>
  <c r="Q5" i="7"/>
  <c r="I5" i="7"/>
  <c r="A5" i="7"/>
  <c r="T4" i="7"/>
  <c r="L4" i="7"/>
  <c r="D4" i="7"/>
  <c r="AW5" i="6"/>
  <c r="AO5" i="6"/>
  <c r="AG5" i="6"/>
  <c r="Y5" i="6"/>
  <c r="Q5" i="6"/>
  <c r="I5" i="6"/>
  <c r="A5" i="6"/>
  <c r="AQ4" i="6"/>
  <c r="AI4" i="6"/>
  <c r="AA4" i="6"/>
  <c r="S4" i="6"/>
  <c r="K4" i="6"/>
  <c r="C4" i="6"/>
  <c r="AL5" i="5"/>
  <c r="AD5" i="5"/>
  <c r="V5" i="5"/>
  <c r="N5" i="5"/>
  <c r="F5" i="5"/>
  <c r="Y4" i="5"/>
  <c r="Q4" i="5"/>
  <c r="I4" i="5"/>
  <c r="AH5" i="4"/>
  <c r="Z5" i="4"/>
  <c r="R5" i="4"/>
  <c r="J5" i="4"/>
  <c r="B5" i="4"/>
  <c r="U4" i="4"/>
  <c r="M4" i="4"/>
  <c r="E4" i="4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3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292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292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291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290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</calcChain>
</file>

<file path=xl/sharedStrings.xml><?xml version="1.0" encoding="utf-8"?>
<sst xmlns="http://schemas.openxmlformats.org/spreadsheetml/2006/main" count="290" uniqueCount="53">
  <si>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</si>
  <si>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</si>
  <si>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</si>
  <si>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</si>
  <si>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</si>
  <si>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</si>
  <si>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</si>
  <si>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</si>
  <si>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</si>
  <si>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</si>
  <si>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</si>
  <si>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</si>
  <si>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</si>
  <si>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CreateReplaceOrder</t>
  </si>
  <si>
    <t>Data Format</t>
  </si>
  <si>
    <t>Input Format</t>
  </si>
  <si>
    <t>MSFT</t>
  </si>
  <si>
    <t>Buy</t>
  </si>
  <si>
    <t>Allocation1</t>
  </si>
  <si>
    <t>CreateDoneAwayOrder</t>
  </si>
  <si>
    <t>BMW-FRA</t>
  </si>
  <si>
    <t>Blotter</t>
  </si>
  <si>
    <t>TradeNewSubOrder</t>
  </si>
  <si>
    <t>New</t>
  </si>
  <si>
    <t>Market</t>
  </si>
  <si>
    <t>CreateNewSubOrder</t>
  </si>
  <si>
    <t>PartiallyFilled</t>
  </si>
  <si>
    <t>CreateLiveOrder</t>
  </si>
  <si>
    <t>VerifyOrder</t>
  </si>
  <si>
    <t>Equity</t>
  </si>
  <si>
    <t>Filled</t>
  </si>
  <si>
    <t>MS</t>
  </si>
  <si>
    <t>VerifyWorkingSubs</t>
  </si>
  <si>
    <t>PendingNew</t>
  </si>
  <si>
    <t>SelectTradeOnOrderGrid</t>
  </si>
  <si>
    <t>RemoveManualExecution</t>
  </si>
  <si>
    <t>Allocation</t>
  </si>
  <si>
    <t>GetDataAllocation</t>
  </si>
  <si>
    <t>Current</t>
  </si>
  <si>
    <t>CheckAllocatedGroups</t>
  </si>
  <si>
    <t>MSFT US EQUITY</t>
  </si>
  <si>
    <t>Open</t>
  </si>
  <si>
    <t>MICROSOFT INC</t>
  </si>
  <si>
    <t>USD</t>
  </si>
  <si>
    <t>NASDAQ</t>
  </si>
  <si>
    <t>M</t>
  </si>
  <si>
    <t>US</t>
  </si>
  <si>
    <t>PortfolioManagement</t>
  </si>
  <si>
    <t>CheckPortfolioManagement</t>
  </si>
  <si>
    <t>NewMF</t>
  </si>
  <si>
    <t xml:space="preserve">Long </t>
  </si>
  <si>
    <t>Undefined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</si>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</sst>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14" fontId="5" fillId="0" borderId="5" xfId="0" applyNumberFormat="1" applyFont="1" applyBorder="1" applyAlignment="1">
      <alignment horizontal="right"/>
    </xf>
    <xf numFmtId="14" fontId="5" fillId="0" borderId="0" xfId="0" applyNumberFormat="1" applyFont="1" applyAlignment="1"/>
    <xf numFmtId="0" fontId="3" fillId="0" borderId="0" xfId="0" applyFont="1" applyAlignment="1"/>
    <xf numFmtId="0" fontId="3" fillId="0" borderId="6" xfId="0" applyFont="1" applyBorder="1" applyAlignment="1"/>
    <xf numFmtId="0" fontId="5" fillId="0" borderId="6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5" fillId="0" borderId="6" xfId="0" applyFont="1" applyBorder="1" applyAlignment="1">
      <alignment horizontal="right"/>
    </xf>
    <xf numFmtId="3" fontId="3" fillId="0" borderId="0" xfId="0" applyNumberFormat="1" applyFont="1" applyAlignment="1"/>
    <xf numFmtId="0" fontId="3" fillId="0" borderId="6" xfId="0" applyFont="1" applyBorder="1" applyAlignment="1"/>
    <xf numFmtId="0" fontId="5" fillId="0" borderId="6" xfId="0" applyFont="1" applyBorder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6" xfId="0" applyFont="1" applyBorder="1" applyAlignment="1"/>
    <xf numFmtId="0" fontId="5" fillId="0" borderId="6" xfId="0" applyFont="1" applyBorder="1" applyAlignment="1"/>
    <xf numFmtId="0" fontId="5" fillId="0" borderId="6" xfId="0" applyFont="1" applyBorder="1" applyAlignment="1">
      <alignment horizontal="right"/>
    </xf>
    <xf numFmtId="0" fontId="3" fillId="0" borderId="7" xfId="0" applyFont="1" applyBorder="1" applyAlignment="1"/>
    <xf numFmtId="0" fontId="5" fillId="0" borderId="7" xfId="0" applyFont="1" applyBorder="1" applyAlignment="1"/>
    <xf numFmtId="0" fontId="5" fillId="0" borderId="7" xfId="0" applyFont="1" applyBorder="1" applyAlignment="1"/>
    <xf numFmtId="3" fontId="5" fillId="0" borderId="7" xfId="0" applyNumberFormat="1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7" xfId="0" applyFont="1" applyBorder="1" applyAlignment="1"/>
    <xf numFmtId="0" fontId="5" fillId="0" borderId="0" xfId="0" applyFont="1" applyAlignment="1"/>
    <xf numFmtId="3" fontId="2" fillId="0" borderId="0" xfId="0" applyNumberFormat="1" applyFont="1" applyAlignment="1"/>
    <xf numFmtId="3" fontId="5" fillId="0" borderId="6" xfId="0" applyNumberFormat="1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4" fontId="14" fillId="0" borderId="0" xfId="0" applyNumberFormat="1" applyFont="1" applyAlignment="1"/>
    <xf numFmtId="4" fontId="3" fillId="0" borderId="6" xfId="0" applyNumberFormat="1" applyFont="1" applyBorder="1" applyAlignment="1"/>
    <xf numFmtId="4" fontId="14" fillId="0" borderId="6" xfId="0" applyNumberFormat="1" applyFont="1" applyBorder="1" applyAlignment="1">
      <alignment horizontal="right"/>
    </xf>
    <xf numFmtId="4" fontId="14" fillId="0" borderId="6" xfId="0" applyNumberFormat="1" applyFont="1" applyBorder="1" applyAlignment="1"/>
    <xf numFmtId="4" fontId="14" fillId="0" borderId="6" xfId="0" applyNumberFormat="1" applyFont="1" applyBorder="1" applyAlignment="1">
      <alignment horizontal="right"/>
    </xf>
    <xf numFmtId="4" fontId="14" fillId="0" borderId="6" xfId="0" applyNumberFormat="1" applyFont="1" applyBorder="1" applyAlignme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/>
    <xf numFmtId="4" fontId="3" fillId="0" borderId="0" xfId="0" applyNumberFormat="1" applyFont="1" applyAlignment="1"/>
    <xf numFmtId="16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3" fontId="3" fillId="0" borderId="0" xfId="0" applyNumberFormat="1" applyFont="1" applyAlignment="1"/>
    <xf numFmtId="3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72" t="s">
        <v>0</v>
      </c>
      <c r="B1" s="73"/>
      <c r="C1" s="73"/>
      <c r="D1" s="73"/>
      <c r="E1" s="73"/>
      <c r="F1" s="74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 x14ac:dyDescent="0.2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 x14ac:dyDescent="0.2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 x14ac:dyDescent="0.2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 x14ac:dyDescent="0.2">
      <c r="A491" t="str">
        <f ca="1">IFERROR(__xludf.DUMMYFUNCTION("""COMPUTED_VALUE"""),"ExeExecutor")</f>
        <v>ExeExecutor</v>
      </c>
      <c r="B491" t="str">
        <f ca="1">IFERROR(__xludf.DUMMYFUNCTION("""COMPUTED_VALUE"""),"CallExeExecutor")</f>
        <v>CallExeExecutor</v>
      </c>
      <c r="C491" t="str">
        <f ca="1">IFERROR(__xludf.DUMMYFUNCTION("""COMPUTED_VALUE"""),"1hwFwcZT2KkLMWXu0X968AjDc83QETRSutmtdbAtWjRQ")</f>
        <v>1hwFwcZT2KkLMWXu0X968AjDc83QETRSutmtdbAtWjRQ</v>
      </c>
    </row>
    <row r="492" spans="1:3" ht="15.75" customHeight="1" x14ac:dyDescent="0.2">
      <c r="A492" t="str">
        <f ca="1">IFERROR(__xludf.DUMMYFUNCTION("""COMPUTED_VALUE"""),"TradingTicket")</f>
        <v>TradingTicket</v>
      </c>
      <c r="B492" t="str">
        <f ca="1">IFERROR(__xludf.DUMMYFUNCTION("""COMPUTED_VALUE"""),"ToggleBlombergOnRA")</f>
        <v>ToggleBlombergOnRA</v>
      </c>
      <c r="C492" t="str">
        <f ca="1">IFERROR(__xludf.DUMMYFUNCTION("""COMPUTED_VALUE"""),"1TNk3Ts3tA51Oj9qjpTVY3IDwk0Ro78g-6ZmRMY4-lHk")</f>
        <v>1TNk3Ts3tA51Oj9qjpTVY3IDwk0Ro78g-6ZmRMY4-lHk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IFERROR(__xludf.DUMMYFUNCTION("""COMPUTED_VALUE"""),"RemoveManualExecution")</f>
        <v>RemoveManualExecution</v>
      </c>
      <c r="C493" t="str">
        <f ca="1">IFERROR(__xludf.DUMMYFUNCTION("""COMPUTED_VALUE"""),"1jbkbbKX6sldAF_Pk73xVZ1gvRS_q8eEl9NbS6SSiFi8")</f>
        <v>1jbkbbKX6sldAF_Pk73xVZ1gvRS_q8eEl9NbS6SSiFi8</v>
      </c>
    </row>
    <row r="494" spans="1:3" ht="15.75" customHeight="1" x14ac:dyDescent="0.2">
      <c r="A494" t="str">
        <f ca="1">IFERROR(__xludf.DUMMYFUNCTION("""COMPUTED_VALUE"""),"Blotter")</f>
        <v>Blotter</v>
      </c>
      <c r="B494" t="str">
        <f ca="1">IFERROR(__xludf.DUMMYFUNCTION("""COMPUTED_VALUE"""),"RemoveExecutionWorkingSubs")</f>
        <v>RemoveExecutionWorkingSubs</v>
      </c>
      <c r="C494" t="str">
        <f ca="1">IFERROR(__xludf.DUMMYFUNCTION("""COMPUTED_VALUE"""),"1xhQkfgYxnBj3SaiVD_XZo7TN5gmMtEEUIk-KMtc-Cug")</f>
        <v>1xhQkfgYxnBj3SaiVD_XZo7TN5gmMtEEUIk-KMtc-Cug</v>
      </c>
    </row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75" t="s">
        <v>2</v>
      </c>
      <c r="B1" s="73"/>
      <c r="C1" s="74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9" t="s">
        <v>6</v>
      </c>
      <c r="C4" s="5"/>
    </row>
    <row r="5" spans="1:3" ht="15.75" customHeight="1" x14ac:dyDescent="0.2">
      <c r="A5" s="10"/>
      <c r="B5" s="5"/>
      <c r="C5" s="5"/>
    </row>
    <row r="6" spans="1:3" ht="15.75" customHeight="1" x14ac:dyDescent="0.2">
      <c r="A6" s="10"/>
      <c r="B6" s="5"/>
      <c r="C6" s="5"/>
    </row>
    <row r="7" spans="1:3" ht="15.75" customHeight="1" x14ac:dyDescent="0.2">
      <c r="A7" s="10"/>
      <c r="B7" s="5"/>
      <c r="C7" s="5"/>
    </row>
    <row r="8" spans="1:3" ht="15.75" customHeight="1" x14ac:dyDescent="0.2">
      <c r="A8" s="10"/>
      <c r="B8" s="5"/>
      <c r="C8" s="5"/>
    </row>
    <row r="9" spans="1:3" ht="15.75" customHeight="1" x14ac:dyDescent="0.2">
      <c r="A9" s="10"/>
      <c r="B9" s="5"/>
      <c r="C9" s="5"/>
    </row>
    <row r="10" spans="1:3" ht="15.75" customHeight="1" x14ac:dyDescent="0.2">
      <c r="A10" s="10"/>
      <c r="B10" s="5"/>
      <c r="C10" s="5"/>
    </row>
    <row r="11" spans="1:3" ht="15.75" customHeight="1" x14ac:dyDescent="0.2">
      <c r="A11" s="10"/>
      <c r="B11" s="5"/>
      <c r="C11" s="5"/>
    </row>
    <row r="12" spans="1:3" ht="15.75" customHeight="1" x14ac:dyDescent="0.2">
      <c r="A12" s="10"/>
      <c r="B12" s="5"/>
      <c r="C12" s="5"/>
    </row>
    <row r="13" spans="1:3" ht="15.75" customHeight="1" x14ac:dyDescent="0.2">
      <c r="A13" s="10"/>
      <c r="B13" s="5"/>
      <c r="C13" s="5"/>
    </row>
    <row r="14" spans="1:3" ht="15.75" customHeight="1" x14ac:dyDescent="0.2">
      <c r="A14" s="10"/>
      <c r="B14" s="5"/>
      <c r="C14" s="5"/>
    </row>
    <row r="15" spans="1:3" ht="15.75" customHeight="1" x14ac:dyDescent="0.2">
      <c r="A15" s="10"/>
      <c r="B15" s="5"/>
      <c r="C15" s="5"/>
    </row>
    <row r="16" spans="1:3" ht="15.75" customHeight="1" x14ac:dyDescent="0.2">
      <c r="A16" s="10"/>
      <c r="B16" s="5"/>
      <c r="C16" s="5"/>
    </row>
    <row r="17" spans="1:3" ht="15.75" customHeight="1" x14ac:dyDescent="0.2">
      <c r="A17" s="10"/>
      <c r="B17" s="5"/>
      <c r="C17" s="5"/>
    </row>
    <row r="18" spans="1:3" ht="15.75" customHeight="1" x14ac:dyDescent="0.2">
      <c r="A18" s="10"/>
      <c r="B18" s="5"/>
      <c r="C18" s="5"/>
    </row>
    <row r="19" spans="1:3" ht="15.75" customHeight="1" x14ac:dyDescent="0.2">
      <c r="A19" s="10"/>
      <c r="B19" s="5"/>
      <c r="C19" s="5"/>
    </row>
    <row r="20" spans="1:3" ht="15.75" customHeight="1" x14ac:dyDescent="0.2">
      <c r="A20" s="10"/>
      <c r="B20" s="5"/>
      <c r="C20" s="5"/>
    </row>
    <row r="21" spans="1:3" ht="15.75" customHeight="1" x14ac:dyDescent="0.2">
      <c r="A21" s="10"/>
      <c r="B21" s="5"/>
      <c r="C21" s="5"/>
    </row>
    <row r="22" spans="1:3" ht="15.75" customHeight="1" x14ac:dyDescent="0.2">
      <c r="A22" s="10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72" t="s">
        <v>7</v>
      </c>
      <c r="B1" s="73"/>
      <c r="C1" s="73"/>
      <c r="D1" s="73"/>
      <c r="E1" s="73"/>
      <c r="F1" s="74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IFERROR(__xludf.DUMMYFUNCTION("""COMPUTED_VALUE"""),"MasterFund")</f>
        <v>MasterFund</v>
      </c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6" t="s">
        <v>16</v>
      </c>
      <c r="C6" s="26" t="s">
        <v>17</v>
      </c>
      <c r="D6" s="27">
        <v>1000</v>
      </c>
      <c r="E6" s="27">
        <v>1000</v>
      </c>
      <c r="F6" s="26" t="s">
        <v>18</v>
      </c>
      <c r="G6" s="28"/>
      <c r="H6" s="28"/>
      <c r="I6" s="28"/>
      <c r="J6" s="27">
        <v>10</v>
      </c>
      <c r="K6" s="28"/>
      <c r="L6" s="28"/>
      <c r="M6" s="28"/>
      <c r="N6" s="29">
        <f ca="1">TODAY()</f>
        <v>44412</v>
      </c>
      <c r="O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20</v>
      </c>
      <c r="C6" s="9" t="s">
        <v>17</v>
      </c>
      <c r="D6" s="9">
        <v>100</v>
      </c>
      <c r="E6" s="9">
        <v>100</v>
      </c>
      <c r="F6" s="9" t="s">
        <v>18</v>
      </c>
      <c r="G6" s="5"/>
      <c r="H6" s="5"/>
      <c r="I6" s="5"/>
      <c r="J6" s="9">
        <v>10</v>
      </c>
      <c r="K6" s="5"/>
      <c r="L6" s="5"/>
      <c r="M6" s="5"/>
      <c r="N6" s="30">
        <f ca="1">TODAY()</f>
        <v>44412</v>
      </c>
      <c r="O6" s="9">
        <v>0.54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22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IFERROR(__xludf.DUMMYFUNCTION("""COMPUTED_VALUE"""),"Status (With Rollover)")</f>
        <v>Status (With Rollover)</v>
      </c>
      <c r="AZ5" s="25" t="str">
        <f ca="1">IFERROR(__xludf.DUMMYFUNCTION("""COMPUTED_VALUE"""),"Start of Day Qty")</f>
        <v>Start of Day Qty</v>
      </c>
      <c r="BA5" s="25" t="str">
        <f ca="1">IFERROR(__xludf.DUMMYFUNCTION("""COMPUTED_VALUE"""),"Leaves")</f>
        <v>Leaves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1"/>
      <c r="C6" s="32"/>
      <c r="D6" s="33">
        <v>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16</v>
      </c>
      <c r="AJ6" s="35" t="s">
        <v>17</v>
      </c>
      <c r="AK6" s="35" t="s">
        <v>23</v>
      </c>
      <c r="AL6" s="36">
        <v>1000</v>
      </c>
      <c r="AM6" s="34"/>
      <c r="AN6" s="34"/>
      <c r="AO6" s="34"/>
      <c r="AP6" s="34"/>
      <c r="AQ6" s="35">
        <v>0</v>
      </c>
      <c r="AR6" s="35">
        <v>0</v>
      </c>
      <c r="AS6" s="34"/>
      <c r="AT6" s="35" t="s">
        <v>18</v>
      </c>
      <c r="AU6" s="35" t="s">
        <v>24</v>
      </c>
      <c r="AV6" s="34"/>
      <c r="AW6" s="34"/>
      <c r="AX6" s="34"/>
      <c r="AY6" s="34"/>
      <c r="AZ6" s="34"/>
      <c r="BA6" s="34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IFERROR(__xludf.DUMMYFUNCTION("""COMPUTED_VALUE"""),"PopUpQuantity")</f>
        <v>PopUpQuantity</v>
      </c>
      <c r="AO5" s="25" t="str">
        <f ca="1">IFERROR(__xludf.DUMMYFUNCTION("""COMPUTED_VALUE"""),"ShortLocate")</f>
        <v>ShortLocate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16</v>
      </c>
      <c r="C6" s="9" t="s">
        <v>17</v>
      </c>
      <c r="D6" s="9">
        <v>200</v>
      </c>
      <c r="E6" s="9">
        <v>200</v>
      </c>
      <c r="F6" s="9" t="s">
        <v>18</v>
      </c>
      <c r="G6" s="5"/>
      <c r="H6" s="5"/>
      <c r="I6" s="5"/>
      <c r="J6" s="9">
        <v>10</v>
      </c>
      <c r="K6" s="5"/>
      <c r="L6" s="5"/>
      <c r="M6" s="5"/>
      <c r="N6" s="30">
        <f ca="1">TODAY()</f>
        <v>44412</v>
      </c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7" width="14.42578125" customWidth="1"/>
    <col min="48" max="48" width="19.42578125" customWidth="1"/>
    <col min="49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22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IFERROR(__xludf.DUMMYFUNCTION("""COMPUTED_VALUE"""),"Status (With Rollover)")</f>
        <v>Status (With Rollover)</v>
      </c>
      <c r="AZ5" s="25" t="str">
        <f ca="1">IFERROR(__xludf.DUMMYFUNCTION("""COMPUTED_VALUE"""),"Start of Day Qty")</f>
        <v>Start of Day Qty</v>
      </c>
      <c r="BA5" s="25" t="str">
        <f ca="1">IFERROR(__xludf.DUMMYFUNCTION("""COMPUTED_VALUE"""),"Leaves")</f>
        <v>Leaves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1"/>
      <c r="C6" s="32"/>
      <c r="D6" s="37">
        <v>10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16</v>
      </c>
      <c r="AJ6" s="35" t="s">
        <v>17</v>
      </c>
      <c r="AK6" s="35" t="s">
        <v>26</v>
      </c>
      <c r="AL6" s="36">
        <v>1000</v>
      </c>
      <c r="AM6" s="35">
        <v>200</v>
      </c>
      <c r="AN6" s="34"/>
      <c r="AO6" s="35"/>
      <c r="AP6" s="34"/>
      <c r="AQ6" s="35">
        <v>10</v>
      </c>
      <c r="AR6" s="35">
        <v>10</v>
      </c>
      <c r="AS6" s="34"/>
      <c r="AT6" s="35" t="s">
        <v>18</v>
      </c>
      <c r="AU6" s="35" t="s">
        <v>24</v>
      </c>
      <c r="AV6" s="38">
        <v>2000</v>
      </c>
      <c r="AW6" s="38">
        <v>2000</v>
      </c>
      <c r="AX6" s="34"/>
      <c r="AY6" s="34"/>
      <c r="AZ6" s="34"/>
      <c r="BA6" s="34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IFERROR(__xludf.DUMMYFUNCTION("""COMPUTED_VALUE"""),"PopUpQuantity")</f>
        <v>PopUpQuantity</v>
      </c>
      <c r="AO5" s="25" t="str">
        <f ca="1">IFERROR(__xludf.DUMMYFUNCTION("""COMPUTED_VALUE"""),"ShortLocate")</f>
        <v>ShortLocate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16</v>
      </c>
      <c r="C6" s="9" t="s">
        <v>17</v>
      </c>
      <c r="D6" s="9">
        <v>200</v>
      </c>
      <c r="E6" s="9">
        <v>200</v>
      </c>
      <c r="F6" s="9" t="s">
        <v>18</v>
      </c>
      <c r="G6" s="5"/>
      <c r="H6" s="5"/>
      <c r="I6" s="5"/>
      <c r="J6" s="9">
        <v>12</v>
      </c>
      <c r="K6" s="5"/>
      <c r="L6" s="5"/>
      <c r="M6" s="5"/>
      <c r="N6" s="30">
        <f ca="1">TODAY()</f>
        <v>44412</v>
      </c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22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IFERROR(__xludf.DUMMYFUNCTION("""COMPUTED_VALUE"""),"Status (With Rollover)")</f>
        <v>Status (With Rollover)</v>
      </c>
      <c r="AZ5" s="25" t="str">
        <f ca="1">IFERROR(__xludf.DUMMYFUNCTION("""COMPUTED_VALUE"""),"Start of Day Qty")</f>
        <v>Start of Day Qty</v>
      </c>
      <c r="BA5" s="25" t="str">
        <f ca="1">IFERROR(__xludf.DUMMYFUNCTION("""COMPUTED_VALUE"""),"Leaves")</f>
        <v>Leaves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1"/>
      <c r="C6" s="32"/>
      <c r="D6" s="37">
        <v>11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16</v>
      </c>
      <c r="AJ6" s="35" t="s">
        <v>17</v>
      </c>
      <c r="AK6" s="35" t="s">
        <v>26</v>
      </c>
      <c r="AL6" s="36">
        <v>1000</v>
      </c>
      <c r="AM6" s="35">
        <v>400</v>
      </c>
      <c r="AN6" s="34"/>
      <c r="AO6" s="35"/>
      <c r="AP6" s="34"/>
      <c r="AQ6" s="35">
        <v>12</v>
      </c>
      <c r="AR6" s="35">
        <v>11</v>
      </c>
      <c r="AS6" s="34"/>
      <c r="AT6" s="35" t="s">
        <v>18</v>
      </c>
      <c r="AU6" s="35" t="s">
        <v>24</v>
      </c>
      <c r="AV6" s="38">
        <v>4400</v>
      </c>
      <c r="AW6" s="38">
        <v>4400</v>
      </c>
      <c r="AX6" s="34"/>
      <c r="AY6" s="34"/>
      <c r="AZ6" s="34"/>
      <c r="BA6" s="34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16</v>
      </c>
      <c r="C6" s="9" t="s">
        <v>17</v>
      </c>
      <c r="D6" s="9">
        <v>300</v>
      </c>
      <c r="E6" s="9">
        <v>300</v>
      </c>
      <c r="F6" s="9" t="s">
        <v>18</v>
      </c>
      <c r="G6" s="5"/>
      <c r="H6" s="5"/>
      <c r="I6" s="5"/>
      <c r="J6" s="9">
        <v>12</v>
      </c>
      <c r="K6" s="5"/>
      <c r="L6" s="5"/>
      <c r="M6" s="5"/>
      <c r="N6" s="30">
        <f ca="1">TODAY()</f>
        <v>44412</v>
      </c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9"/>
      <c r="C6" s="32"/>
      <c r="D6" s="37">
        <v>5.4</v>
      </c>
      <c r="E6" s="32"/>
      <c r="F6" s="32"/>
      <c r="G6" s="32"/>
      <c r="H6" s="32"/>
      <c r="I6" s="40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41">
        <v>0.54</v>
      </c>
      <c r="AE6" s="34"/>
      <c r="AF6" s="34"/>
      <c r="AG6" s="34"/>
      <c r="AH6" s="34" t="s">
        <v>29</v>
      </c>
      <c r="AI6" s="35" t="s">
        <v>20</v>
      </c>
      <c r="AJ6" s="34" t="s">
        <v>17</v>
      </c>
      <c r="AK6" s="35" t="s">
        <v>30</v>
      </c>
      <c r="AL6" s="41">
        <v>100</v>
      </c>
      <c r="AM6" s="41">
        <v>100</v>
      </c>
      <c r="AN6" s="41">
        <v>100</v>
      </c>
      <c r="AO6" s="41">
        <v>100</v>
      </c>
      <c r="AP6" s="34"/>
      <c r="AQ6" s="41">
        <v>10</v>
      </c>
      <c r="AR6" s="42">
        <v>10</v>
      </c>
      <c r="AS6" s="34" t="s">
        <v>31</v>
      </c>
      <c r="AT6" s="34" t="s">
        <v>18</v>
      </c>
      <c r="AU6" s="34" t="s">
        <v>24</v>
      </c>
      <c r="AV6" s="36">
        <v>1000</v>
      </c>
      <c r="AW6" s="36">
        <v>540</v>
      </c>
      <c r="AX6" s="34"/>
      <c r="AY6" s="43"/>
      <c r="AZ6" s="43"/>
      <c r="BA6" s="34"/>
      <c r="BB6" s="34"/>
      <c r="BC6" s="34"/>
      <c r="BD6" s="34"/>
      <c r="BE6" s="34"/>
      <c r="BF6" s="34"/>
      <c r="BG6" s="34"/>
      <c r="BH6" s="34"/>
    </row>
    <row r="7" spans="1:154" ht="15.75" customHeight="1" x14ac:dyDescent="0.2">
      <c r="A7" s="5"/>
      <c r="B7" s="39"/>
      <c r="C7" s="32"/>
      <c r="D7" s="37">
        <v>11</v>
      </c>
      <c r="E7" s="32"/>
      <c r="F7" s="32"/>
      <c r="G7" s="44">
        <v>300</v>
      </c>
      <c r="H7" s="32"/>
      <c r="I7" s="40"/>
      <c r="J7" s="32"/>
      <c r="K7" s="32"/>
      <c r="L7" s="32"/>
      <c r="M7" s="32"/>
      <c r="N7" s="32"/>
      <c r="O7" s="32"/>
      <c r="P7" s="32"/>
      <c r="Q7" s="32"/>
      <c r="R7" s="32"/>
      <c r="S7" s="32"/>
      <c r="T7" s="34"/>
      <c r="U7" s="34"/>
      <c r="V7" s="34"/>
      <c r="W7" s="34"/>
      <c r="X7" s="34"/>
      <c r="Y7" s="34"/>
      <c r="Z7" s="34"/>
      <c r="AA7" s="34"/>
      <c r="AB7" s="34"/>
      <c r="AC7" s="34"/>
      <c r="AD7" s="41">
        <v>1</v>
      </c>
      <c r="AE7" s="34"/>
      <c r="AF7" s="34"/>
      <c r="AG7" s="34"/>
      <c r="AH7" s="34" t="s">
        <v>29</v>
      </c>
      <c r="AI7" s="35" t="s">
        <v>16</v>
      </c>
      <c r="AJ7" s="34" t="s">
        <v>17</v>
      </c>
      <c r="AK7" s="35" t="s">
        <v>26</v>
      </c>
      <c r="AL7" s="36">
        <v>1000</v>
      </c>
      <c r="AM7" s="41">
        <v>400</v>
      </c>
      <c r="AN7" s="41">
        <v>40</v>
      </c>
      <c r="AO7" s="41">
        <v>400</v>
      </c>
      <c r="AP7" s="35">
        <v>300</v>
      </c>
      <c r="AQ7" s="41">
        <v>0</v>
      </c>
      <c r="AR7" s="41">
        <v>11</v>
      </c>
      <c r="AS7" s="34" t="s">
        <v>31</v>
      </c>
      <c r="AT7" s="34" t="s">
        <v>18</v>
      </c>
      <c r="AU7" s="34" t="s">
        <v>24</v>
      </c>
      <c r="AV7" s="36">
        <v>4400</v>
      </c>
      <c r="AW7" s="36">
        <v>4400</v>
      </c>
      <c r="AX7" s="34"/>
      <c r="AY7" s="43"/>
      <c r="AZ7" s="43"/>
      <c r="BA7" s="34"/>
      <c r="BB7" s="34"/>
      <c r="BC7" s="34"/>
      <c r="BD7" s="34"/>
      <c r="BE7" s="34"/>
      <c r="BF7" s="34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IFERROR(__xludf.DUMMYFUNCTION("""COMPUTED_VALUE"""),"Side")</f>
        <v>Side</v>
      </c>
      <c r="D5" s="23" t="str">
        <f ca="1">IFERROR(__xludf.DUMMYFUNCTION("""COMPUTED_VALUE"""),"Quantity")</f>
        <v>Quantity</v>
      </c>
      <c r="E5" s="23" t="str">
        <f ca="1">IFERROR(__xludf.DUMMYFUNCTION("""COMPUTED_VALUE"""),"Executed Qty")</f>
        <v>Executed Qty</v>
      </c>
      <c r="F5" s="24" t="str">
        <f ca="1">IFERROR(__xludf.DUMMYFUNCTION("""COMPUTED_VALUE"""),"Unexecuted Qty")</f>
        <v>Unexecuted Qty</v>
      </c>
      <c r="G5" s="23" t="str">
        <f ca="1">IFERROR(__xludf.DUMMYFUNCTION("""COMPUTED_VALUE"""),"Status")</f>
        <v>Status</v>
      </c>
      <c r="H5" s="23" t="str">
        <f ca="1">IFERROR(__xludf.DUMMYFUNCTION("""COMPUTED_VALUE"""),"Last Shares")</f>
        <v>Last Shares</v>
      </c>
      <c r="I5" s="23" t="str">
        <f ca="1">IFERROR(__xludf.DUMMYFUNCTION("""COMPUTED_VALUE"""),"Last Fill Price (Local)")</f>
        <v>Last Fill Price (Local)</v>
      </c>
      <c r="J5" s="23" t="str">
        <f ca="1">IFERROR(__xludf.DUMMYFUNCTION("""COMPUTED_VALUE"""),"Avg Fill Price (Local)")</f>
        <v>Avg Fill Price (Local)</v>
      </c>
      <c r="K5" s="23" t="str">
        <f ca="1">IFERROR(__xludf.DUMMYFUNCTION("""COMPUTED_VALUE"""),"Broker")</f>
        <v>Broker</v>
      </c>
      <c r="L5" s="23" t="str">
        <f ca="1">IFERROR(__xludf.DUMMYFUNCTION("""COMPUTED_VALUE"""),"Account")</f>
        <v>Account</v>
      </c>
      <c r="M5" s="23" t="str">
        <f ca="1">IFERROR(__xludf.DUMMYFUNCTION("""COMPUTED_VALUE"""),"Order Type")</f>
        <v>Order Type</v>
      </c>
      <c r="N5" s="23" t="str">
        <f ca="1">IFERROR(__xludf.DUMMYFUNCTION("""COMPUTED_VALUE"""),"OrderStatus")</f>
        <v>OrderStatus</v>
      </c>
      <c r="O5" s="23" t="str">
        <f ca="1">IFERROR(__xludf.DUMMYFUNCTION("""COMPUTED_VALUE"""),"Avg Fill Price (Base)")</f>
        <v>Avg Fill Price (Base)</v>
      </c>
      <c r="P5" s="23" t="str">
        <f ca="1">IFERROR(__xludf.DUMMYFUNCTION("""COMPUTED_VALUE"""),"Limit Price")</f>
        <v>Limit Price</v>
      </c>
      <c r="Q5" s="23" t="str">
        <f ca="1">IFERROR(__xludf.DUMMYFUNCTION("""COMPUTED_VALUE"""),"Stop Price")</f>
        <v>Stop Price</v>
      </c>
      <c r="R5" s="23" t="str">
        <f ca="1">IFERROR(__xludf.DUMMYFUNCTION("""COMPUTED_VALUE"""),"Actual User")</f>
        <v>Actual User</v>
      </c>
      <c r="S5" s="23" t="str">
        <f ca="1">IFERROR(__xludf.DUMMYFUNCTION("""COMPUTED_VALUE"""),"Bloomberg Symbol")</f>
        <v>Bloomberg Symbol</v>
      </c>
      <c r="T5" s="25" t="str">
        <f ca="1">IFERROR(__xludf.DUMMYFUNCTION("""COMPUTED_VALUE"""),"Algo")</f>
        <v>Algo</v>
      </c>
      <c r="U5" s="25" t="str">
        <f ca="1">IFERROR(__xludf.DUMMYFUNCTION("""COMPUTED_VALUE"""),"Allocation Scheme Name")</f>
        <v>Allocation Scheme Name</v>
      </c>
      <c r="V5" s="25" t="str">
        <f ca="1">IFERROR(__xludf.DUMMYFUNCTION("""COMPUTED_VALUE"""),"Allocation Status")</f>
        <v>Allocation Status</v>
      </c>
      <c r="W5" s="25" t="str">
        <f ca="1">IFERROR(__xludf.DUMMYFUNCTION("""COMPUTED_VALUE"""),"Asset Class")</f>
        <v>Asset Class</v>
      </c>
      <c r="X5" s="25" t="str">
        <f ca="1">IFERROR(__xludf.DUMMYFUNCTION("""COMPUTED_VALUE"""),"FX Conversion Operator")</f>
        <v>FX Conversion Operator</v>
      </c>
      <c r="Y5" s="25" t="str">
        <f ca="1">IFERROR(__xludf.DUMMYFUNCTION("""COMPUTED_VALUE"""),"FX Rate")</f>
        <v>FX Rate</v>
      </c>
      <c r="Z5" s="25" t="str">
        <f ca="1">IFERROR(__xludf.DUMMYFUNCTION("""COMPUTED_VALUE"""),"Imported File Name")</f>
        <v>Imported File Name</v>
      </c>
      <c r="AA5" s="25" t="str">
        <f ca="1">IFERROR(__xludf.DUMMYFUNCTION("""COMPUTED_VALUE"""),"Internal Comments")</f>
        <v>Internal Comments</v>
      </c>
      <c r="AB5" s="25" t="str">
        <f ca="1">IFERROR(__xludf.DUMMYFUNCTION("""COMPUTED_VALUE"""),"Peg")</f>
        <v>Peg</v>
      </c>
      <c r="AC5" s="25" t="str">
        <f ca="1">IFERROR(__xludf.DUMMYFUNCTION("""COMPUTED_VALUE"""),"Principal Amount (Base)")</f>
        <v>Principal Amount (Base)</v>
      </c>
      <c r="AD5" s="25" t="str">
        <f ca="1">IFERROR(__xludf.DUMMYFUNCTION("""COMPUTED_VALUE"""),"Principal Amount (Local)")</f>
        <v>Principal Amount (Local)</v>
      </c>
      <c r="AE5" s="25" t="str">
        <f ca="1">IFERROR(__xludf.DUMMYFUNCTION("""COMPUTED_VALUE"""),"Process Date")</f>
        <v>Process Date</v>
      </c>
      <c r="AF5" s="25" t="str">
        <f ca="1">IFERROR(__xludf.DUMMYFUNCTION("""COMPUTED_VALUE"""),"Put/Call")</f>
        <v>Put/Call</v>
      </c>
      <c r="AG5" s="25" t="str">
        <f ca="1">IFERROR(__xludf.DUMMYFUNCTION("""COMPUTED_VALUE"""),"Settlement Currency")</f>
        <v>Settlement Currency</v>
      </c>
      <c r="AH5" s="25" t="str">
        <f ca="1">IFERROR(__xludf.DUMMYFUNCTION("""COMPUTED_VALUE"""),"Source")</f>
        <v>Source</v>
      </c>
      <c r="AI5" s="25" t="str">
        <f ca="1">IFERROR(__xludf.DUMMYFUNCTION("""COMPUTED_VALUE"""),"Status (With Rollover)")</f>
        <v>Status (With Rollover)</v>
      </c>
      <c r="AJ5" s="25" t="str">
        <f ca="1">IFERROR(__xludf.DUMMYFUNCTION("""COMPUTED_VALUE"""),"Strategy")</f>
        <v>Strategy</v>
      </c>
      <c r="AK5" s="25" t="str">
        <f ca="1">IFERROR(__xludf.DUMMYFUNCTION("""COMPUTED_VALUE"""),"Strike Price")</f>
        <v>Strike Price</v>
      </c>
      <c r="AL5" s="25" t="str">
        <f ca="1">IFERROR(__xludf.DUMMYFUNCTION("""COMPUTED_VALUE"""),"Trade Attribute 1")</f>
        <v>Trade Attribute 1</v>
      </c>
      <c r="AM5" s="25" t="str">
        <f ca="1">IFERROR(__xludf.DUMMYFUNCTION("""COMPUTED_VALUE"""),"Trade Attribute 2")</f>
        <v>Trade Attribute 2</v>
      </c>
      <c r="AN5" s="25" t="str">
        <f ca="1">IFERROR(__xludf.DUMMYFUNCTION("""COMPUTED_VALUE"""),"Trade Attribute 3")</f>
        <v>Trade Attribute 3</v>
      </c>
      <c r="AO5" s="25" t="str">
        <f ca="1">IFERROR(__xludf.DUMMYFUNCTION("""COMPUTED_VALUE"""),"Trade Attribute 4")</f>
        <v>Trade Attribute 4</v>
      </c>
      <c r="AP5" s="25" t="str">
        <f ca="1">IFERROR(__xludf.DUMMYFUNCTION("""COMPUTED_VALUE"""),"Trade Attribute 5")</f>
        <v>Trade Attribute 5</v>
      </c>
      <c r="AQ5" s="25" t="str">
        <f ca="1">IFERROR(__xludf.DUMMYFUNCTION("""COMPUTED_VALUE"""),"Trade Attribute 6")</f>
        <v>Trade Attribute 6</v>
      </c>
      <c r="AR5" s="25" t="str">
        <f ca="1">IFERROR(__xludf.DUMMYFUNCTION("""COMPUTED_VALUE"""),"Trader")</f>
        <v>Trader</v>
      </c>
      <c r="AS5" s="25" t="str">
        <f ca="1">IFERROR(__xludf.DUMMYFUNCTION("""COMPUTED_VALUE"""),"Transaction Time")</f>
        <v>Transaction Time</v>
      </c>
      <c r="AT5" s="25" t="str">
        <f ca="1">IFERROR(__xludf.DUMMYFUNCTION("""COMPUTED_VALUE"""),"Underlying Country")</f>
        <v>Underlying Country</v>
      </c>
      <c r="AU5" s="25" t="str">
        <f ca="1">IFERROR(__xludf.DUMMYFUNCTION("""COMPUTED_VALUE"""),"Underlying Symbol")</f>
        <v>Underlying Symbol</v>
      </c>
      <c r="AV5" s="25" t="str">
        <f ca="1">IFERROR(__xludf.DUMMYFUNCTION("""COMPUTED_VALUE"""),"Venue")</f>
        <v>Venue</v>
      </c>
      <c r="AW5" s="25" t="str">
        <f ca="1">IFERROR(__xludf.DUMMYFUNCTION("""COMPUTED_VALUE"""),"Working Qty")</f>
        <v>Working Qty</v>
      </c>
      <c r="AX5" s="25" t="str">
        <f ca="1">IFERROR(__xludf.DUMMYFUNCTION("""COMPUTED_VALUE"""),"Client")</f>
        <v>Client</v>
      </c>
      <c r="AY5" s="25" t="str">
        <f ca="1">IFERROR(__xludf.DUMMYFUNCTION("""COMPUTED_VALUE"""),"OrderID")</f>
        <v>OrderID</v>
      </c>
      <c r="AZ5" s="25" t="str">
        <f ca="1">IFERROR(__xludf.DUMMYFUNCTION("""COMPUTED_VALUE"""),"ParentClOrderID")</f>
        <v>ParentClOrderID</v>
      </c>
      <c r="BA5" s="25" t="str">
        <f ca="1">IFERROR(__xludf.DUMMYFUNCTION("""COMPUTED_VALUE"""),"Master Fund")</f>
        <v>Master Fund</v>
      </c>
      <c r="BB5" s="25" t="str">
        <f ca="1">IFERROR(__xludf.DUMMYFUNCTION("""COMPUTED_VALUE"""),"Current User")</f>
        <v>Current User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45" t="s">
        <v>20</v>
      </c>
      <c r="C6" s="40" t="s">
        <v>17</v>
      </c>
      <c r="D6" s="37">
        <v>100</v>
      </c>
      <c r="E6" s="46">
        <v>100</v>
      </c>
      <c r="F6" s="37">
        <v>0</v>
      </c>
      <c r="G6" s="45" t="s">
        <v>30</v>
      </c>
      <c r="H6" s="32"/>
      <c r="I6" s="37">
        <v>10</v>
      </c>
      <c r="J6" s="46">
        <v>10</v>
      </c>
      <c r="K6" s="40" t="s">
        <v>31</v>
      </c>
      <c r="L6" s="40" t="s">
        <v>18</v>
      </c>
      <c r="M6" s="40" t="s">
        <v>24</v>
      </c>
      <c r="N6" s="32"/>
      <c r="O6" s="37">
        <v>5.4</v>
      </c>
      <c r="P6" s="32"/>
      <c r="Q6" s="32"/>
      <c r="R6" s="32"/>
      <c r="S6" s="32"/>
      <c r="T6" s="34"/>
      <c r="U6" s="34"/>
      <c r="V6" s="34"/>
      <c r="W6" s="34"/>
      <c r="X6" s="34"/>
      <c r="Y6" s="42"/>
      <c r="Z6" s="34"/>
      <c r="AA6" s="34"/>
      <c r="AB6" s="34"/>
      <c r="AC6" s="36">
        <v>540</v>
      </c>
      <c r="AD6" s="36">
        <v>1000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</row>
    <row r="7" spans="1:154" ht="15.75" customHeight="1" x14ac:dyDescent="0.2">
      <c r="A7" s="5"/>
      <c r="B7" s="45" t="s">
        <v>16</v>
      </c>
      <c r="C7" s="40" t="s">
        <v>17</v>
      </c>
      <c r="D7" s="46">
        <v>200</v>
      </c>
      <c r="E7" s="37">
        <v>200</v>
      </c>
      <c r="F7" s="37">
        <v>0</v>
      </c>
      <c r="G7" s="45" t="s">
        <v>30</v>
      </c>
      <c r="H7" s="32"/>
      <c r="I7" s="37">
        <v>10</v>
      </c>
      <c r="J7" s="46">
        <v>10</v>
      </c>
      <c r="K7" s="40" t="s">
        <v>31</v>
      </c>
      <c r="L7" s="40" t="s">
        <v>18</v>
      </c>
      <c r="M7" s="40" t="s">
        <v>24</v>
      </c>
      <c r="N7" s="32"/>
      <c r="O7" s="46">
        <v>10</v>
      </c>
      <c r="P7" s="32"/>
      <c r="Q7" s="32"/>
      <c r="R7" s="32"/>
      <c r="S7" s="32"/>
      <c r="T7" s="34"/>
      <c r="U7" s="34"/>
      <c r="V7" s="34"/>
      <c r="W7" s="34"/>
      <c r="X7" s="34"/>
      <c r="Y7" s="42"/>
      <c r="Z7" s="34"/>
      <c r="AA7" s="34"/>
      <c r="AB7" s="34"/>
      <c r="AC7" s="36">
        <v>2000</v>
      </c>
      <c r="AD7" s="36">
        <v>2000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</row>
    <row r="8" spans="1:154" ht="15.75" customHeight="1" x14ac:dyDescent="0.2">
      <c r="A8" s="5"/>
      <c r="B8" s="45" t="s">
        <v>16</v>
      </c>
      <c r="C8" s="40" t="s">
        <v>17</v>
      </c>
      <c r="D8" s="46">
        <v>200</v>
      </c>
      <c r="E8" s="37">
        <v>200</v>
      </c>
      <c r="F8" s="37">
        <v>0</v>
      </c>
      <c r="G8" s="45" t="s">
        <v>30</v>
      </c>
      <c r="H8" s="32"/>
      <c r="I8" s="37">
        <v>12</v>
      </c>
      <c r="J8" s="37">
        <v>12</v>
      </c>
      <c r="K8" s="40" t="s">
        <v>31</v>
      </c>
      <c r="L8" s="40" t="s">
        <v>18</v>
      </c>
      <c r="M8" s="40" t="s">
        <v>24</v>
      </c>
      <c r="N8" s="32"/>
      <c r="O8" s="37">
        <v>12</v>
      </c>
      <c r="P8" s="32"/>
      <c r="Q8" s="32"/>
      <c r="R8" s="32"/>
      <c r="S8" s="32"/>
      <c r="T8" s="34"/>
      <c r="U8" s="34"/>
      <c r="V8" s="34"/>
      <c r="W8" s="34"/>
      <c r="X8" s="34"/>
      <c r="Y8" s="42"/>
      <c r="Z8" s="34"/>
      <c r="AA8" s="34"/>
      <c r="AB8" s="34"/>
      <c r="AC8" s="36">
        <v>2400</v>
      </c>
      <c r="AD8" s="36">
        <v>2400</v>
      </c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</row>
    <row r="9" spans="1:154" ht="15.75" customHeight="1" x14ac:dyDescent="0.2">
      <c r="A9" s="5"/>
      <c r="B9" s="45" t="s">
        <v>16</v>
      </c>
      <c r="C9" s="40" t="s">
        <v>17</v>
      </c>
      <c r="D9" s="37">
        <v>300</v>
      </c>
      <c r="E9" s="46"/>
      <c r="F9" s="37">
        <v>300</v>
      </c>
      <c r="G9" s="45" t="s">
        <v>33</v>
      </c>
      <c r="H9" s="32"/>
      <c r="I9" s="46">
        <v>0</v>
      </c>
      <c r="J9" s="37">
        <v>0</v>
      </c>
      <c r="K9" s="40" t="s">
        <v>31</v>
      </c>
      <c r="L9" s="40"/>
      <c r="M9" s="40" t="s">
        <v>24</v>
      </c>
      <c r="N9" s="32"/>
      <c r="O9" s="37">
        <v>0</v>
      </c>
      <c r="P9" s="32"/>
      <c r="Q9" s="32"/>
      <c r="R9" s="32"/>
      <c r="S9" s="32"/>
      <c r="T9" s="34"/>
      <c r="U9" s="34"/>
      <c r="V9" s="34"/>
      <c r="W9" s="34"/>
      <c r="X9" s="34"/>
      <c r="Y9" s="42"/>
      <c r="Z9" s="34"/>
      <c r="AA9" s="34"/>
      <c r="AB9" s="34"/>
      <c r="AC9" s="36">
        <v>0</v>
      </c>
      <c r="AD9" s="36">
        <v>0</v>
      </c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IFERROR(__xludf.DUMMYFUNCTION("""COMPUTED_VALUE"""),"Avg Fill Price (Base)")</f>
        <v>Avg Fill Price (Base)</v>
      </c>
      <c r="C5" s="23" t="str">
        <f ca="1">IFERROR(__xludf.DUMMYFUNCTION("""COMPUTED_VALUE"""),"Transaction Time")</f>
        <v>Transaction Time</v>
      </c>
      <c r="D5" s="23" t="str">
        <f ca="1">IFERROR(__xludf.DUMMYFUNCTION("""COMPUTED_VALUE"""),"Symbol")</f>
        <v>Symbol</v>
      </c>
      <c r="E5" s="23" t="str">
        <f ca="1">IFERROR(__xludf.DUMMYFUNCTION("""COMPUTED_VALUE"""),"Algo")</f>
        <v>Algo</v>
      </c>
      <c r="F5" s="24" t="str">
        <f ca="1">IFERROR(__xludf.DUMMYFUNCTION("""COMPUTED_VALUE"""),"Side")</f>
        <v>Side</v>
      </c>
      <c r="G5" s="23" t="str">
        <f ca="1">IFERROR(__xludf.DUMMYFUNCTION("""COMPUTED_VALUE"""),"Status")</f>
        <v>Status</v>
      </c>
      <c r="H5" s="23" t="str">
        <f ca="1">IFERROR(__xludf.DUMMYFUNCTION("""COMPUTED_VALUE"""),"Target Qty")</f>
        <v>Target Qty</v>
      </c>
      <c r="I5" s="23" t="str">
        <f ca="1">IFERROR(__xludf.DUMMYFUNCTION("""COMPUTED_VALUE"""),"Total Executed Qty")</f>
        <v>Total Executed Qty</v>
      </c>
      <c r="J5" s="23" t="str">
        <f ca="1">IFERROR(__xludf.DUMMYFUNCTION("""COMPUTED_VALUE"""),"% Executed")</f>
        <v>% Executed</v>
      </c>
      <c r="K5" s="23" t="str">
        <f ca="1">IFERROR(__xludf.DUMMYFUNCTION("""COMPUTED_VALUE"""),"Day Executed Qty")</f>
        <v>Day Executed Qty</v>
      </c>
      <c r="L5" s="23" t="str">
        <f ca="1">IFERROR(__xludf.DUMMYFUNCTION("""COMPUTED_VALUE"""),"Uncommitted Qty")</f>
        <v>Uncommitted Qty</v>
      </c>
      <c r="M5" s="23" t="str">
        <f ca="1">IFERROR(__xludf.DUMMYFUNCTION("""COMPUTED_VALUE"""),"Limit Price")</f>
        <v>Limit Price</v>
      </c>
      <c r="N5" s="23" t="str">
        <f ca="1">IFERROR(__xludf.DUMMYFUNCTION("""COMPUTED_VALUE"""),"Last Fill Price (Local)")</f>
        <v>Last Fill Price (Local)</v>
      </c>
      <c r="O5" s="23" t="str">
        <f ca="1">IFERROR(__xludf.DUMMYFUNCTION("""COMPUTED_VALUE"""),"Stop Price")</f>
        <v>Stop Price</v>
      </c>
      <c r="P5" s="23" t="str">
        <f ca="1">IFERROR(__xludf.DUMMYFUNCTION("""COMPUTED_VALUE"""),"Avg Fill Price (Local)")</f>
        <v>Avg Fill Price (Local)</v>
      </c>
      <c r="Q5" s="23" t="str">
        <f ca="1">IFERROR(__xludf.DUMMYFUNCTION("""COMPUTED_VALUE"""),"Broker")</f>
        <v>Broker</v>
      </c>
      <c r="R5" s="23" t="str">
        <f ca="1">IFERROR(__xludf.DUMMYFUNCTION("""COMPUTED_VALUE"""),"Account")</f>
        <v>Account</v>
      </c>
      <c r="S5" s="23" t="str">
        <f ca="1">IFERROR(__xludf.DUMMYFUNCTION("""COMPUTED_VALUE"""),"OrderID")</f>
        <v>OrderID</v>
      </c>
      <c r="T5" s="25" t="str">
        <f ca="1">IFERROR(__xludf.DUMMYFUNCTION("""COMPUTED_VALUE"""),"Order Type")</f>
        <v>Order Type</v>
      </c>
      <c r="U5" s="25" t="str">
        <f ca="1">IFERROR(__xludf.DUMMYFUNCTION("""COMPUTED_VALUE"""),"Principal Amount (Local)")</f>
        <v>Principal Amount (Local)</v>
      </c>
      <c r="V5" s="25" t="str">
        <f ca="1">IFERROR(__xludf.DUMMYFUNCTION("""COMPUTED_VALUE"""),"Principal Amount (Base)")</f>
        <v>Principal Amount (Base)</v>
      </c>
      <c r="W5" s="25" t="str">
        <f ca="1">IFERROR(__xludf.DUMMYFUNCTION("""COMPUTED_VALUE"""),"Peg")</f>
        <v>Peg</v>
      </c>
      <c r="X5" s="25" t="str">
        <f ca="1">IFERROR(__xludf.DUMMYFUNCTION("""COMPUTED_VALUE"""),"ParentClOrderID")</f>
        <v>ParentClOrderID</v>
      </c>
      <c r="Y5" s="25" t="str">
        <f ca="1">IFERROR(__xludf.DUMMYFUNCTION("""COMPUTED_VALUE"""),"Strike Price")</f>
        <v>Strike Price</v>
      </c>
      <c r="Z5" s="25" t="str">
        <f ca="1">IFERROR(__xludf.DUMMYFUNCTION("""COMPUTED_VALUE"""),"Last Shares")</f>
        <v>Last Shares</v>
      </c>
      <c r="AA5" s="25" t="str">
        <f ca="1">IFERROR(__xludf.DUMMYFUNCTION("""COMPUTED_VALUE"""),"Working Qty")</f>
        <v>Working Qty</v>
      </c>
      <c r="AB5" s="25" t="str">
        <f ca="1">IFERROR(__xludf.DUMMYFUNCTION("""COMPUTED_VALUE"""),"Bloomberg Symbol")</f>
        <v>Bloomberg Symbol</v>
      </c>
      <c r="AC5" s="25" t="str">
        <f ca="1">IFERROR(__xludf.DUMMYFUNCTION("""COMPUTED_VALUE"""),"Imported File Name")</f>
        <v>Imported File Name</v>
      </c>
      <c r="AD5" s="25" t="str">
        <f ca="1">IFERROR(__xludf.DUMMYFUNCTION("""COMPUTED_VALUE"""),"Master Fund")</f>
        <v>Master Fund</v>
      </c>
      <c r="AE5" s="25" t="str">
        <f ca="1">IFERROR(__xludf.DUMMYFUNCTION("""COMPUTED_VALUE"""),"Day Average Price")</f>
        <v>Day Average Price</v>
      </c>
      <c r="AF5" s="25" t="str">
        <f ca="1">IFERROR(__xludf.DUMMYFUNCTION("""COMPUTED_VALUE"""),"Asset Class")</f>
        <v>Asset Class</v>
      </c>
      <c r="AG5" s="25" t="str">
        <f ca="1">IFERROR(__xludf.DUMMYFUNCTION("""COMPUTED_VALUE"""),"Underlying Country")</f>
        <v>Underlying Country</v>
      </c>
      <c r="AH5" s="25" t="str">
        <f ca="1">IFERROR(__xludf.DUMMYFUNCTION("""COMPUTED_VALUE"""),"Trader")</f>
        <v>Trader</v>
      </c>
      <c r="AI5" s="25" t="str">
        <f ca="1">IFERROR(__xludf.DUMMYFUNCTION("""COMPUTED_VALUE"""),"User")</f>
        <v>User</v>
      </c>
      <c r="AJ5" s="25" t="str">
        <f ca="1">IFERROR(__xludf.DUMMYFUNCTION("""COMPUTED_VALUE"""),"Venue")</f>
        <v>Venue</v>
      </c>
      <c r="AK5" s="25" t="str">
        <f ca="1">IFERROR(__xludf.DUMMYFUNCTION("""COMPUTED_VALUE"""),"Settlement Currency")</f>
        <v>Settlement Currency</v>
      </c>
      <c r="AL5" s="25" t="str">
        <f ca="1">IFERROR(__xludf.DUMMYFUNCTION("""COMPUTED_VALUE"""),"FX Conversion Operator")</f>
        <v>FX Conversion Operator</v>
      </c>
      <c r="AM5" s="25" t="str">
        <f ca="1">IFERROR(__xludf.DUMMYFUNCTION("""COMPUTED_VALUE"""),"Process Date")</f>
        <v>Process Date</v>
      </c>
      <c r="AN5" s="25" t="str">
        <f ca="1">IFERROR(__xludf.DUMMYFUNCTION("""COMPUTED_VALUE"""),"Underlying Symbol")</f>
        <v>Underlying Symbol</v>
      </c>
      <c r="AO5" s="25" t="str">
        <f ca="1">IFERROR(__xludf.DUMMYFUNCTION("""COMPUTED_VALUE"""),"Put/Call")</f>
        <v>Put/Call</v>
      </c>
      <c r="AP5" s="25" t="str">
        <f ca="1">IFERROR(__xludf.DUMMYFUNCTION("""COMPUTED_VALUE"""),"FX Rate")</f>
        <v>FX Rate</v>
      </c>
      <c r="AQ5" s="25" t="str">
        <f ca="1">IFERROR(__xludf.DUMMYFUNCTION("""COMPUTED_VALUE"""),"Trade Attribute 1")</f>
        <v>Trade Attribute 1</v>
      </c>
      <c r="AR5" s="25" t="str">
        <f ca="1">IFERROR(__xludf.DUMMYFUNCTION("""COMPUTED_VALUE"""),"Trade Attribute 2")</f>
        <v>Trade Attribute 2</v>
      </c>
      <c r="AS5" s="25" t="str">
        <f ca="1">IFERROR(__xludf.DUMMYFUNCTION("""COMPUTED_VALUE"""),"Trade Attribute 3")</f>
        <v>Trade Attribute 3</v>
      </c>
      <c r="AT5" s="25" t="str">
        <f ca="1">IFERROR(__xludf.DUMMYFUNCTION("""COMPUTED_VALUE"""),"Trade Attribute 4")</f>
        <v>Trade Attribute 4</v>
      </c>
      <c r="AU5" s="25" t="str">
        <f ca="1">IFERROR(__xludf.DUMMYFUNCTION("""COMPUTED_VALUE"""),"Trade Attribute 5")</f>
        <v>Trade Attribute 5</v>
      </c>
      <c r="AV5" s="25" t="str">
        <f ca="1">IFERROR(__xludf.DUMMYFUNCTION("""COMPUTED_VALUE"""),"Trade Attribute 6")</f>
        <v>Trade Attribute 6</v>
      </c>
      <c r="AW5" s="25" t="str">
        <f ca="1">IFERROR(__xludf.DUMMYFUNCTION("""COMPUTED_VALUE"""),"Internal Comments")</f>
        <v>Internal Comments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3">
        <v>11</v>
      </c>
      <c r="C6" s="47"/>
      <c r="D6" s="48" t="s">
        <v>16</v>
      </c>
      <c r="E6" s="47"/>
      <c r="F6" s="48" t="s">
        <v>17</v>
      </c>
      <c r="G6" s="49" t="s">
        <v>26</v>
      </c>
      <c r="H6" s="50">
        <v>1000</v>
      </c>
      <c r="I6" s="51">
        <v>400</v>
      </c>
      <c r="J6" s="51">
        <v>40</v>
      </c>
      <c r="K6" s="47"/>
      <c r="L6" s="47"/>
      <c r="M6" s="47"/>
      <c r="N6" s="51">
        <v>0</v>
      </c>
      <c r="O6" s="47"/>
      <c r="P6" s="52">
        <v>11</v>
      </c>
      <c r="Q6" s="47"/>
      <c r="R6" s="53" t="s">
        <v>18</v>
      </c>
      <c r="S6" s="47"/>
      <c r="T6" s="34"/>
      <c r="U6" s="43">
        <v>4400</v>
      </c>
      <c r="V6" s="43">
        <v>4400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IFERROR(__xludf.DUMMYFUNCTION("""COMPUTED_VALUE"""),"Quantity")</f>
        <v>Quantity</v>
      </c>
      <c r="AM5" s="25" t="str">
        <f ca="1">IFERROR(__xludf.DUMMYFUNCTION("""COMPUTED_VALUE"""),"Executed Qty")</f>
        <v>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IFERROR(__xludf.DUMMYFUNCTION("""COMPUTED_VALUE"""),"Remaining Qty")</f>
        <v>Remaining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/>
      <c r="C6" s="5"/>
      <c r="D6" s="9">
        <v>10</v>
      </c>
      <c r="E6" s="54"/>
      <c r="F6" s="5"/>
      <c r="G6" s="5"/>
      <c r="H6" s="5"/>
      <c r="I6" s="5"/>
      <c r="J6" s="5"/>
      <c r="K6" s="5"/>
      <c r="L6" s="5"/>
      <c r="M6" s="5"/>
      <c r="N6" s="5"/>
      <c r="O6" s="5"/>
      <c r="AH6" s="6" t="s">
        <v>29</v>
      </c>
      <c r="AI6" s="6" t="s">
        <v>16</v>
      </c>
      <c r="AJ6" s="6" t="s">
        <v>17</v>
      </c>
      <c r="AK6" s="6" t="s">
        <v>30</v>
      </c>
      <c r="AL6" s="6">
        <v>200</v>
      </c>
      <c r="AM6" s="6">
        <v>200</v>
      </c>
      <c r="AQ6" s="6">
        <v>10</v>
      </c>
      <c r="AR6" s="6">
        <v>10</v>
      </c>
      <c r="AS6" s="6" t="s">
        <v>31</v>
      </c>
      <c r="AT6" s="6" t="s">
        <v>18</v>
      </c>
      <c r="AU6" s="6" t="s">
        <v>24</v>
      </c>
      <c r="AV6" s="55">
        <v>2000</v>
      </c>
      <c r="AW6" s="55">
        <v>2000</v>
      </c>
    </row>
    <row r="7" spans="1:154" ht="15.75" customHeight="1" x14ac:dyDescent="0.2">
      <c r="A7" s="5"/>
      <c r="B7" s="9"/>
      <c r="C7" s="5"/>
      <c r="D7" s="9">
        <v>0</v>
      </c>
      <c r="E7" s="54"/>
      <c r="F7" s="5"/>
      <c r="G7" s="5"/>
      <c r="H7" s="5"/>
      <c r="I7" s="5"/>
      <c r="J7" s="5"/>
      <c r="K7" s="5"/>
      <c r="L7" s="5"/>
      <c r="M7" s="5"/>
      <c r="N7" s="5"/>
      <c r="O7" s="5"/>
      <c r="AH7" s="6" t="s">
        <v>29</v>
      </c>
      <c r="AI7" s="6" t="s">
        <v>16</v>
      </c>
      <c r="AJ7" s="6" t="s">
        <v>17</v>
      </c>
      <c r="AK7" s="6" t="s">
        <v>33</v>
      </c>
      <c r="AL7" s="6">
        <v>300</v>
      </c>
      <c r="AQ7" s="6">
        <v>0</v>
      </c>
      <c r="AR7" s="6">
        <v>0</v>
      </c>
      <c r="AS7" s="6" t="s">
        <v>31</v>
      </c>
      <c r="AV7" s="55">
        <v>0</v>
      </c>
      <c r="AW7" s="55">
        <v>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IFERROR(__xludf.DUMMYFUNCTION("""COMPUTED_VALUE"""),"Avg Fill Price (Base)")</f>
        <v>Avg Fill Price (Base)</v>
      </c>
      <c r="C5" s="23" t="str">
        <f ca="1">IFERROR(__xludf.DUMMYFUNCTION("""COMPUTED_VALUE"""),"Transaction Time")</f>
        <v>Transaction Time</v>
      </c>
      <c r="D5" s="23" t="str">
        <f ca="1">IFERROR(__xludf.DUMMYFUNCTION("""COMPUTED_VALUE"""),"Symbol")</f>
        <v>Symbol</v>
      </c>
      <c r="E5" s="23" t="str">
        <f ca="1">IFERROR(__xludf.DUMMYFUNCTION("""COMPUTED_VALUE"""),"Algo")</f>
        <v>Algo</v>
      </c>
      <c r="F5" s="24" t="str">
        <f ca="1">IFERROR(__xludf.DUMMYFUNCTION("""COMPUTED_VALUE"""),"Side")</f>
        <v>Side</v>
      </c>
      <c r="G5" s="23" t="str">
        <f ca="1">IFERROR(__xludf.DUMMYFUNCTION("""COMPUTED_VALUE"""),"Status")</f>
        <v>Status</v>
      </c>
      <c r="H5" s="23" t="str">
        <f ca="1">IFERROR(__xludf.DUMMYFUNCTION("""COMPUTED_VALUE"""),"Target Qty")</f>
        <v>Target Qty</v>
      </c>
      <c r="I5" s="23" t="str">
        <f ca="1">IFERROR(__xludf.DUMMYFUNCTION("""COMPUTED_VALUE"""),"Total Executed Qty")</f>
        <v>Total Executed Qty</v>
      </c>
      <c r="J5" s="23" t="str">
        <f ca="1">IFERROR(__xludf.DUMMYFUNCTION("""COMPUTED_VALUE"""),"% Executed")</f>
        <v>% Executed</v>
      </c>
      <c r="K5" s="23" t="str">
        <f ca="1">IFERROR(__xludf.DUMMYFUNCTION("""COMPUTED_VALUE"""),"Day Executed Qty")</f>
        <v>Day Executed Qty</v>
      </c>
      <c r="L5" s="23" t="str">
        <f ca="1">IFERROR(__xludf.DUMMYFUNCTION("""COMPUTED_VALUE"""),"Uncommitted Qty")</f>
        <v>Uncommitted Qty</v>
      </c>
      <c r="M5" s="23" t="str">
        <f ca="1">IFERROR(__xludf.DUMMYFUNCTION("""COMPUTED_VALUE"""),"Limit Price")</f>
        <v>Limit Price</v>
      </c>
      <c r="N5" s="23" t="str">
        <f ca="1">IFERROR(__xludf.DUMMYFUNCTION("""COMPUTED_VALUE"""),"Last Fill Price (Local)")</f>
        <v>Last Fill Price (Local)</v>
      </c>
      <c r="O5" s="23" t="str">
        <f ca="1">IFERROR(__xludf.DUMMYFUNCTION("""COMPUTED_VALUE"""),"Stop Price")</f>
        <v>Stop Price</v>
      </c>
      <c r="P5" s="23" t="str">
        <f ca="1">IFERROR(__xludf.DUMMYFUNCTION("""COMPUTED_VALUE"""),"Avg Fill Price (Local)")</f>
        <v>Avg Fill Price (Local)</v>
      </c>
      <c r="Q5" s="23" t="str">
        <f ca="1">IFERROR(__xludf.DUMMYFUNCTION("""COMPUTED_VALUE"""),"Broker")</f>
        <v>Broker</v>
      </c>
      <c r="R5" s="23" t="str">
        <f ca="1">IFERROR(__xludf.DUMMYFUNCTION("""COMPUTED_VALUE"""),"Account")</f>
        <v>Account</v>
      </c>
      <c r="S5" s="23" t="str">
        <f ca="1">IFERROR(__xludf.DUMMYFUNCTION("""COMPUTED_VALUE"""),"OrderID")</f>
        <v>OrderID</v>
      </c>
      <c r="T5" s="25" t="str">
        <f ca="1">IFERROR(__xludf.DUMMYFUNCTION("""COMPUTED_VALUE"""),"Order Type")</f>
        <v>Order Type</v>
      </c>
      <c r="U5" s="25" t="str">
        <f ca="1">IFERROR(__xludf.DUMMYFUNCTION("""COMPUTED_VALUE"""),"Principal Amount (Local)")</f>
        <v>Principal Amount (Local)</v>
      </c>
      <c r="V5" s="25" t="str">
        <f ca="1">IFERROR(__xludf.DUMMYFUNCTION("""COMPUTED_VALUE"""),"Principal Amount (Base)")</f>
        <v>Principal Amount (Base)</v>
      </c>
      <c r="W5" s="25" t="str">
        <f ca="1">IFERROR(__xludf.DUMMYFUNCTION("""COMPUTED_VALUE"""),"Peg")</f>
        <v>Peg</v>
      </c>
      <c r="X5" s="25" t="str">
        <f ca="1">IFERROR(__xludf.DUMMYFUNCTION("""COMPUTED_VALUE"""),"ParentClOrderID")</f>
        <v>ParentClOrderID</v>
      </c>
      <c r="Y5" s="25" t="str">
        <f ca="1">IFERROR(__xludf.DUMMYFUNCTION("""COMPUTED_VALUE"""),"Strike Price")</f>
        <v>Strike Price</v>
      </c>
      <c r="Z5" s="25" t="str">
        <f ca="1">IFERROR(__xludf.DUMMYFUNCTION("""COMPUTED_VALUE"""),"Last Shares")</f>
        <v>Last Shares</v>
      </c>
      <c r="AA5" s="25" t="str">
        <f ca="1">IFERROR(__xludf.DUMMYFUNCTION("""COMPUTED_VALUE"""),"Working Qty")</f>
        <v>Working Qty</v>
      </c>
      <c r="AB5" s="25" t="str">
        <f ca="1">IFERROR(__xludf.DUMMYFUNCTION("""COMPUTED_VALUE"""),"Bloomberg Symbol")</f>
        <v>Bloomberg Symbol</v>
      </c>
      <c r="AC5" s="25" t="str">
        <f ca="1">IFERROR(__xludf.DUMMYFUNCTION("""COMPUTED_VALUE"""),"Imported File Name")</f>
        <v>Imported File Name</v>
      </c>
      <c r="AD5" s="25" t="str">
        <f ca="1">IFERROR(__xludf.DUMMYFUNCTION("""COMPUTED_VALUE"""),"Master Fund")</f>
        <v>Master Fund</v>
      </c>
      <c r="AE5" s="25" t="str">
        <f ca="1">IFERROR(__xludf.DUMMYFUNCTION("""COMPUTED_VALUE"""),"Day Average Price")</f>
        <v>Day Average Price</v>
      </c>
      <c r="AF5" s="25" t="str">
        <f ca="1">IFERROR(__xludf.DUMMYFUNCTION("""COMPUTED_VALUE"""),"Asset Class")</f>
        <v>Asset Class</v>
      </c>
      <c r="AG5" s="25" t="str">
        <f ca="1">IFERROR(__xludf.DUMMYFUNCTION("""COMPUTED_VALUE"""),"Underlying Country")</f>
        <v>Underlying Country</v>
      </c>
      <c r="AH5" s="25" t="str">
        <f ca="1">IFERROR(__xludf.DUMMYFUNCTION("""COMPUTED_VALUE"""),"Trader")</f>
        <v>Trader</v>
      </c>
      <c r="AI5" s="25" t="str">
        <f ca="1">IFERROR(__xludf.DUMMYFUNCTION("""COMPUTED_VALUE"""),"User")</f>
        <v>User</v>
      </c>
      <c r="AJ5" s="25" t="str">
        <f ca="1">IFERROR(__xludf.DUMMYFUNCTION("""COMPUTED_VALUE"""),"Venue")</f>
        <v>Venue</v>
      </c>
      <c r="AK5" s="25" t="str">
        <f ca="1">IFERROR(__xludf.DUMMYFUNCTION("""COMPUTED_VALUE"""),"Settlement Currency")</f>
        <v>Settlement Currency</v>
      </c>
      <c r="AL5" s="25" t="str">
        <f ca="1">IFERROR(__xludf.DUMMYFUNCTION("""COMPUTED_VALUE"""),"FX Conversion Operator")</f>
        <v>FX Conversion Operator</v>
      </c>
      <c r="AM5" s="25" t="str">
        <f ca="1">IFERROR(__xludf.DUMMYFUNCTION("""COMPUTED_VALUE"""),"Process Date")</f>
        <v>Process Date</v>
      </c>
      <c r="AN5" s="25" t="str">
        <f ca="1">IFERROR(__xludf.DUMMYFUNCTION("""COMPUTED_VALUE"""),"Underlying Symbol")</f>
        <v>Underlying Symbol</v>
      </c>
      <c r="AO5" s="25" t="str">
        <f ca="1">IFERROR(__xludf.DUMMYFUNCTION("""COMPUTED_VALUE"""),"Put/Call")</f>
        <v>Put/Call</v>
      </c>
      <c r="AP5" s="25" t="str">
        <f ca="1">IFERROR(__xludf.DUMMYFUNCTION("""COMPUTED_VALUE"""),"FX Rate")</f>
        <v>FX Rate</v>
      </c>
      <c r="AQ5" s="25" t="str">
        <f ca="1">IFERROR(__xludf.DUMMYFUNCTION("""COMPUTED_VALUE"""),"Trade Attribute 1")</f>
        <v>Trade Attribute 1</v>
      </c>
      <c r="AR5" s="25" t="str">
        <f ca="1">IFERROR(__xludf.DUMMYFUNCTION("""COMPUTED_VALUE"""),"Trade Attribute 2")</f>
        <v>Trade Attribute 2</v>
      </c>
      <c r="AS5" s="25" t="str">
        <f ca="1">IFERROR(__xludf.DUMMYFUNCTION("""COMPUTED_VALUE"""),"Trade Attribute 3")</f>
        <v>Trade Attribute 3</v>
      </c>
      <c r="AT5" s="25" t="str">
        <f ca="1">IFERROR(__xludf.DUMMYFUNCTION("""COMPUTED_VALUE"""),"Trade Attribute 4")</f>
        <v>Trade Attribute 4</v>
      </c>
      <c r="AU5" s="25" t="str">
        <f ca="1">IFERROR(__xludf.DUMMYFUNCTION("""COMPUTED_VALUE"""),"Trade Attribute 5")</f>
        <v>Trade Attribute 5</v>
      </c>
      <c r="AV5" s="25" t="str">
        <f ca="1">IFERROR(__xludf.DUMMYFUNCTION("""COMPUTED_VALUE"""),"Trade Attribute 6")</f>
        <v>Trade Attribute 6</v>
      </c>
      <c r="AW5" s="25" t="str">
        <f ca="1">IFERROR(__xludf.DUMMYFUNCTION("""COMPUTED_VALUE"""),"Internal Comments")</f>
        <v>Internal Comments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7">
        <v>5.4</v>
      </c>
      <c r="C6" s="32"/>
      <c r="D6" s="45" t="s">
        <v>20</v>
      </c>
      <c r="E6" s="32"/>
      <c r="F6" s="45" t="s">
        <v>17</v>
      </c>
      <c r="G6" s="45" t="s">
        <v>30</v>
      </c>
      <c r="H6" s="56">
        <v>100</v>
      </c>
      <c r="I6" s="37">
        <v>100</v>
      </c>
      <c r="J6" s="37">
        <v>100</v>
      </c>
      <c r="K6" s="46"/>
      <c r="L6" s="32"/>
      <c r="M6" s="32"/>
      <c r="N6" s="37">
        <v>10</v>
      </c>
      <c r="O6" s="32"/>
      <c r="P6" s="57">
        <v>10</v>
      </c>
      <c r="Q6" s="32"/>
      <c r="R6" s="44" t="s">
        <v>18</v>
      </c>
      <c r="S6" s="32"/>
      <c r="T6" s="34"/>
      <c r="U6" s="38">
        <v>1000</v>
      </c>
      <c r="V6" s="38">
        <v>540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9"/>
      <c r="C10" s="5"/>
      <c r="D10" s="9"/>
      <c r="E10" s="54"/>
      <c r="F10" s="5"/>
      <c r="G10" s="5"/>
      <c r="H10" s="5"/>
      <c r="I10" s="5"/>
      <c r="J10" s="5"/>
      <c r="K10" s="5"/>
      <c r="L10" s="5"/>
      <c r="M10" s="5"/>
      <c r="N10" s="5"/>
      <c r="O10" s="5"/>
      <c r="AV10" s="55"/>
      <c r="AW10" s="5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IFERROR(__xludf.DUMMYFUNCTION("""COMPUTED_VALUE"""),"Quantity")</f>
        <v>Quantity</v>
      </c>
      <c r="AM5" s="25" t="str">
        <f ca="1">IFERROR(__xludf.DUMMYFUNCTION("""COMPUTED_VALUE"""),"Executed Qty")</f>
        <v>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IFERROR(__xludf.DUMMYFUNCTION("""COMPUTED_VALUE"""),"Remaining Qty")</f>
        <v>Remaining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/>
      <c r="C6" s="5"/>
      <c r="D6" s="9">
        <v>5.4</v>
      </c>
      <c r="E6" s="54"/>
      <c r="F6" s="5"/>
      <c r="G6" s="5"/>
      <c r="H6" s="5"/>
      <c r="I6" s="5"/>
      <c r="J6" s="5"/>
      <c r="K6" s="5"/>
      <c r="L6" s="5"/>
      <c r="M6" s="5"/>
      <c r="N6" s="5"/>
      <c r="O6" s="5"/>
      <c r="AH6" s="6" t="s">
        <v>29</v>
      </c>
      <c r="AI6" s="6" t="s">
        <v>20</v>
      </c>
      <c r="AJ6" s="6" t="s">
        <v>17</v>
      </c>
      <c r="AK6" s="6" t="s">
        <v>30</v>
      </c>
      <c r="AL6" s="6">
        <v>100</v>
      </c>
      <c r="AM6" s="6">
        <v>100</v>
      </c>
      <c r="AQ6" s="6">
        <v>10</v>
      </c>
      <c r="AR6" s="6">
        <v>10</v>
      </c>
      <c r="AS6" s="6" t="s">
        <v>31</v>
      </c>
      <c r="AT6" s="6" t="s">
        <v>18</v>
      </c>
      <c r="AV6" s="55">
        <v>1000</v>
      </c>
      <c r="AW6" s="55">
        <v>540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9"/>
      <c r="C6" s="32"/>
      <c r="D6" s="37">
        <v>5.4</v>
      </c>
      <c r="E6" s="32"/>
      <c r="F6" s="32"/>
      <c r="G6" s="32"/>
      <c r="H6" s="32"/>
      <c r="I6" s="40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41">
        <v>0.54</v>
      </c>
      <c r="AE6" s="34"/>
      <c r="AF6" s="34"/>
      <c r="AG6" s="34"/>
      <c r="AH6" s="34" t="s">
        <v>29</v>
      </c>
      <c r="AI6" s="35" t="s">
        <v>20</v>
      </c>
      <c r="AJ6" s="34" t="s">
        <v>17</v>
      </c>
      <c r="AK6" s="35" t="s">
        <v>23</v>
      </c>
      <c r="AL6" s="41">
        <v>100</v>
      </c>
      <c r="AM6" s="41"/>
      <c r="AN6" s="41"/>
      <c r="AO6" s="41"/>
      <c r="AP6" s="35">
        <v>100</v>
      </c>
      <c r="AQ6" s="41">
        <v>10</v>
      </c>
      <c r="AR6" s="41">
        <v>10</v>
      </c>
      <c r="AS6" s="34" t="s">
        <v>31</v>
      </c>
      <c r="AT6" s="34" t="s">
        <v>18</v>
      </c>
      <c r="AU6" s="34" t="s">
        <v>24</v>
      </c>
      <c r="AV6" s="36">
        <v>0</v>
      </c>
      <c r="AW6" s="36">
        <v>0</v>
      </c>
      <c r="AX6" s="34"/>
      <c r="AY6" s="43"/>
      <c r="AZ6" s="43"/>
      <c r="BA6" s="34"/>
      <c r="BB6" s="34"/>
      <c r="BC6" s="34"/>
      <c r="BD6" s="34"/>
      <c r="BE6" s="34"/>
    </row>
    <row r="7" spans="1:154" ht="15.75" customHeight="1" x14ac:dyDescent="0.2">
      <c r="A7" s="5"/>
      <c r="B7" s="39"/>
      <c r="C7" s="32"/>
      <c r="D7" s="37">
        <v>12</v>
      </c>
      <c r="E7" s="32"/>
      <c r="F7" s="32"/>
      <c r="G7" s="44"/>
      <c r="H7" s="32"/>
      <c r="I7" s="40"/>
      <c r="J7" s="32"/>
      <c r="K7" s="32"/>
      <c r="L7" s="32"/>
      <c r="M7" s="32"/>
      <c r="N7" s="32"/>
      <c r="O7" s="32"/>
      <c r="P7" s="32"/>
      <c r="Q7" s="32"/>
      <c r="R7" s="32"/>
      <c r="S7" s="32"/>
      <c r="T7" s="34"/>
      <c r="U7" s="34"/>
      <c r="V7" s="34"/>
      <c r="W7" s="34"/>
      <c r="X7" s="34"/>
      <c r="Y7" s="34"/>
      <c r="Z7" s="34"/>
      <c r="AA7" s="34"/>
      <c r="AB7" s="34"/>
      <c r="AC7" s="34"/>
      <c r="AD7" s="41">
        <v>1</v>
      </c>
      <c r="AE7" s="34"/>
      <c r="AF7" s="34"/>
      <c r="AG7" s="34"/>
      <c r="AH7" s="34" t="s">
        <v>29</v>
      </c>
      <c r="AI7" s="35" t="s">
        <v>16</v>
      </c>
      <c r="AJ7" s="34" t="s">
        <v>17</v>
      </c>
      <c r="AK7" s="35" t="s">
        <v>26</v>
      </c>
      <c r="AL7" s="36">
        <v>1000</v>
      </c>
      <c r="AM7" s="41">
        <v>200</v>
      </c>
      <c r="AN7" s="41">
        <v>20</v>
      </c>
      <c r="AO7" s="41"/>
      <c r="AP7" s="35">
        <v>500</v>
      </c>
      <c r="AQ7" s="41">
        <v>0</v>
      </c>
      <c r="AR7" s="41">
        <v>12</v>
      </c>
      <c r="AS7" s="34" t="s">
        <v>31</v>
      </c>
      <c r="AT7" s="34" t="s">
        <v>18</v>
      </c>
      <c r="AU7" s="34" t="s">
        <v>24</v>
      </c>
      <c r="AV7" s="36">
        <v>2400</v>
      </c>
      <c r="AW7" s="36">
        <v>2400</v>
      </c>
      <c r="AX7" s="34"/>
      <c r="AY7" s="43"/>
      <c r="AZ7" s="43"/>
      <c r="BA7" s="34"/>
      <c r="BB7" s="34"/>
      <c r="BC7" s="34"/>
      <c r="BD7" s="34"/>
      <c r="BE7" s="34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21</v>
      </c>
      <c r="D3" s="2" t="s">
        <v>9</v>
      </c>
      <c r="E3" s="18" t="s">
        <v>32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IFERROR(__xludf.DUMMYFUNCTION("""COMPUTED_VALUE"""),"Side")</f>
        <v>Side</v>
      </c>
      <c r="D5" s="23" t="str">
        <f ca="1">IFERROR(__xludf.DUMMYFUNCTION("""COMPUTED_VALUE"""),"Quantity")</f>
        <v>Quantity</v>
      </c>
      <c r="E5" s="23" t="str">
        <f ca="1">IFERROR(__xludf.DUMMYFUNCTION("""COMPUTED_VALUE"""),"Executed Qty")</f>
        <v>Executed Qty</v>
      </c>
      <c r="F5" s="24" t="str">
        <f ca="1">IFERROR(__xludf.DUMMYFUNCTION("""COMPUTED_VALUE"""),"Unexecuted Qty")</f>
        <v>Unexecuted Qty</v>
      </c>
      <c r="G5" s="23" t="str">
        <f ca="1">IFERROR(__xludf.DUMMYFUNCTION("""COMPUTED_VALUE"""),"Status")</f>
        <v>Status</v>
      </c>
      <c r="H5" s="23" t="str">
        <f ca="1">IFERROR(__xludf.DUMMYFUNCTION("""COMPUTED_VALUE"""),"Last Shares")</f>
        <v>Last Shares</v>
      </c>
      <c r="I5" s="23" t="str">
        <f ca="1">IFERROR(__xludf.DUMMYFUNCTION("""COMPUTED_VALUE"""),"Last Fill Price (Local)")</f>
        <v>Last Fill Price (Local)</v>
      </c>
      <c r="J5" s="23" t="str">
        <f ca="1">IFERROR(__xludf.DUMMYFUNCTION("""COMPUTED_VALUE"""),"Avg Fill Price (Local)")</f>
        <v>Avg Fill Price (Local)</v>
      </c>
      <c r="K5" s="23" t="str">
        <f ca="1">IFERROR(__xludf.DUMMYFUNCTION("""COMPUTED_VALUE"""),"Broker")</f>
        <v>Broker</v>
      </c>
      <c r="L5" s="23" t="str">
        <f ca="1">IFERROR(__xludf.DUMMYFUNCTION("""COMPUTED_VALUE"""),"Account")</f>
        <v>Account</v>
      </c>
      <c r="M5" s="23" t="str">
        <f ca="1">IFERROR(__xludf.DUMMYFUNCTION("""COMPUTED_VALUE"""),"Order Type")</f>
        <v>Order Type</v>
      </c>
      <c r="N5" s="23" t="str">
        <f ca="1">IFERROR(__xludf.DUMMYFUNCTION("""COMPUTED_VALUE"""),"OrderStatus")</f>
        <v>OrderStatus</v>
      </c>
      <c r="O5" s="23" t="str">
        <f ca="1">IFERROR(__xludf.DUMMYFUNCTION("""COMPUTED_VALUE"""),"Avg Fill Price (Base)")</f>
        <v>Avg Fill Price (Base)</v>
      </c>
      <c r="P5" s="23" t="str">
        <f ca="1">IFERROR(__xludf.DUMMYFUNCTION("""COMPUTED_VALUE"""),"Limit Price")</f>
        <v>Limit Price</v>
      </c>
      <c r="Q5" s="23" t="str">
        <f ca="1">IFERROR(__xludf.DUMMYFUNCTION("""COMPUTED_VALUE"""),"Stop Price")</f>
        <v>Stop Price</v>
      </c>
      <c r="R5" s="23" t="str">
        <f ca="1">IFERROR(__xludf.DUMMYFUNCTION("""COMPUTED_VALUE"""),"Actual User")</f>
        <v>Actual User</v>
      </c>
      <c r="S5" s="23" t="str">
        <f ca="1">IFERROR(__xludf.DUMMYFUNCTION("""COMPUTED_VALUE"""),"Bloomberg Symbol")</f>
        <v>Bloomberg Symbol</v>
      </c>
      <c r="T5" s="25" t="str">
        <f ca="1">IFERROR(__xludf.DUMMYFUNCTION("""COMPUTED_VALUE"""),"Algo")</f>
        <v>Algo</v>
      </c>
      <c r="U5" s="25" t="str">
        <f ca="1">IFERROR(__xludf.DUMMYFUNCTION("""COMPUTED_VALUE"""),"Allocation Scheme Name")</f>
        <v>Allocation Scheme Name</v>
      </c>
      <c r="V5" s="25" t="str">
        <f ca="1">IFERROR(__xludf.DUMMYFUNCTION("""COMPUTED_VALUE"""),"Allocation Status")</f>
        <v>Allocation Status</v>
      </c>
      <c r="W5" s="25" t="str">
        <f ca="1">IFERROR(__xludf.DUMMYFUNCTION("""COMPUTED_VALUE"""),"Asset Class")</f>
        <v>Asset Class</v>
      </c>
      <c r="X5" s="25" t="str">
        <f ca="1">IFERROR(__xludf.DUMMYFUNCTION("""COMPUTED_VALUE"""),"FX Conversion Operator")</f>
        <v>FX Conversion Operator</v>
      </c>
      <c r="Y5" s="25" t="str">
        <f ca="1">IFERROR(__xludf.DUMMYFUNCTION("""COMPUTED_VALUE"""),"FX Rate")</f>
        <v>FX Rate</v>
      </c>
      <c r="Z5" s="25" t="str">
        <f ca="1">IFERROR(__xludf.DUMMYFUNCTION("""COMPUTED_VALUE"""),"Imported File Name")</f>
        <v>Imported File Name</v>
      </c>
      <c r="AA5" s="25" t="str">
        <f ca="1">IFERROR(__xludf.DUMMYFUNCTION("""COMPUTED_VALUE"""),"Internal Comments")</f>
        <v>Internal Comments</v>
      </c>
      <c r="AB5" s="25" t="str">
        <f ca="1">IFERROR(__xludf.DUMMYFUNCTION("""COMPUTED_VALUE"""),"Peg")</f>
        <v>Peg</v>
      </c>
      <c r="AC5" s="25" t="str">
        <f ca="1">IFERROR(__xludf.DUMMYFUNCTION("""COMPUTED_VALUE"""),"Principal Amount (Base)")</f>
        <v>Principal Amount (Base)</v>
      </c>
      <c r="AD5" s="25" t="str">
        <f ca="1">IFERROR(__xludf.DUMMYFUNCTION("""COMPUTED_VALUE"""),"Principal Amount (Local)")</f>
        <v>Principal Amount (Local)</v>
      </c>
      <c r="AE5" s="25" t="str">
        <f ca="1">IFERROR(__xludf.DUMMYFUNCTION("""COMPUTED_VALUE"""),"Process Date")</f>
        <v>Process Date</v>
      </c>
      <c r="AF5" s="25" t="str">
        <f ca="1">IFERROR(__xludf.DUMMYFUNCTION("""COMPUTED_VALUE"""),"Put/Call")</f>
        <v>Put/Call</v>
      </c>
      <c r="AG5" s="25" t="str">
        <f ca="1">IFERROR(__xludf.DUMMYFUNCTION("""COMPUTED_VALUE"""),"Settlement Currency")</f>
        <v>Settlement Currency</v>
      </c>
      <c r="AH5" s="25" t="str">
        <f ca="1">IFERROR(__xludf.DUMMYFUNCTION("""COMPUTED_VALUE"""),"Source")</f>
        <v>Source</v>
      </c>
      <c r="AI5" s="25" t="str">
        <f ca="1">IFERROR(__xludf.DUMMYFUNCTION("""COMPUTED_VALUE"""),"Status (With Rollover)")</f>
        <v>Status (With Rollover)</v>
      </c>
      <c r="AJ5" s="25" t="str">
        <f ca="1">IFERROR(__xludf.DUMMYFUNCTION("""COMPUTED_VALUE"""),"Strategy")</f>
        <v>Strategy</v>
      </c>
      <c r="AK5" s="25" t="str">
        <f ca="1">IFERROR(__xludf.DUMMYFUNCTION("""COMPUTED_VALUE"""),"Strike Price")</f>
        <v>Strike Price</v>
      </c>
      <c r="AL5" s="25" t="str">
        <f ca="1">IFERROR(__xludf.DUMMYFUNCTION("""COMPUTED_VALUE"""),"Trade Attribute 1")</f>
        <v>Trade Attribute 1</v>
      </c>
      <c r="AM5" s="25" t="str">
        <f ca="1">IFERROR(__xludf.DUMMYFUNCTION("""COMPUTED_VALUE"""),"Trade Attribute 2")</f>
        <v>Trade Attribute 2</v>
      </c>
      <c r="AN5" s="25" t="str">
        <f ca="1">IFERROR(__xludf.DUMMYFUNCTION("""COMPUTED_VALUE"""),"Trade Attribute 3")</f>
        <v>Trade Attribute 3</v>
      </c>
      <c r="AO5" s="25" t="str">
        <f ca="1">IFERROR(__xludf.DUMMYFUNCTION("""COMPUTED_VALUE"""),"Trade Attribute 4")</f>
        <v>Trade Attribute 4</v>
      </c>
      <c r="AP5" s="25" t="str">
        <f ca="1">IFERROR(__xludf.DUMMYFUNCTION("""COMPUTED_VALUE"""),"Trade Attribute 5")</f>
        <v>Trade Attribute 5</v>
      </c>
      <c r="AQ5" s="25" t="str">
        <f ca="1">IFERROR(__xludf.DUMMYFUNCTION("""COMPUTED_VALUE"""),"Trade Attribute 6")</f>
        <v>Trade Attribute 6</v>
      </c>
      <c r="AR5" s="25" t="str">
        <f ca="1">IFERROR(__xludf.DUMMYFUNCTION("""COMPUTED_VALUE"""),"Trader")</f>
        <v>Trader</v>
      </c>
      <c r="AS5" s="25" t="str">
        <f ca="1">IFERROR(__xludf.DUMMYFUNCTION("""COMPUTED_VALUE"""),"Transaction Time")</f>
        <v>Transaction Time</v>
      </c>
      <c r="AT5" s="25" t="str">
        <f ca="1">IFERROR(__xludf.DUMMYFUNCTION("""COMPUTED_VALUE"""),"Underlying Country")</f>
        <v>Underlying Country</v>
      </c>
      <c r="AU5" s="25" t="str">
        <f ca="1">IFERROR(__xludf.DUMMYFUNCTION("""COMPUTED_VALUE"""),"Underlying Symbol")</f>
        <v>Underlying Symbol</v>
      </c>
      <c r="AV5" s="25" t="str">
        <f ca="1">IFERROR(__xludf.DUMMYFUNCTION("""COMPUTED_VALUE"""),"Venue")</f>
        <v>Venue</v>
      </c>
      <c r="AW5" s="25" t="str">
        <f ca="1">IFERROR(__xludf.DUMMYFUNCTION("""COMPUTED_VALUE"""),"Working Qty")</f>
        <v>Working Qty</v>
      </c>
      <c r="AX5" s="25" t="str">
        <f ca="1">IFERROR(__xludf.DUMMYFUNCTION("""COMPUTED_VALUE"""),"Client")</f>
        <v>Client</v>
      </c>
      <c r="AY5" s="25" t="str">
        <f ca="1">IFERROR(__xludf.DUMMYFUNCTION("""COMPUTED_VALUE"""),"OrderID")</f>
        <v>OrderID</v>
      </c>
      <c r="AZ5" s="25" t="str">
        <f ca="1">IFERROR(__xludf.DUMMYFUNCTION("""COMPUTED_VALUE"""),"ParentClOrderID")</f>
        <v>ParentClOrderID</v>
      </c>
      <c r="BA5" s="25" t="str">
        <f ca="1">IFERROR(__xludf.DUMMYFUNCTION("""COMPUTED_VALUE"""),"Master Fund")</f>
        <v>Master Fund</v>
      </c>
      <c r="BB5" s="25" t="str">
        <f ca="1">IFERROR(__xludf.DUMMYFUNCTION("""COMPUTED_VALUE"""),"Current User")</f>
        <v>Current User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45" t="s">
        <v>16</v>
      </c>
      <c r="C6" s="40" t="s">
        <v>17</v>
      </c>
      <c r="D6" s="46">
        <v>200</v>
      </c>
      <c r="E6" s="37">
        <v>200</v>
      </c>
      <c r="F6" s="37">
        <v>0</v>
      </c>
      <c r="G6" s="45" t="s">
        <v>30</v>
      </c>
      <c r="H6" s="32"/>
      <c r="I6" s="37">
        <v>12</v>
      </c>
      <c r="J6" s="37">
        <v>12</v>
      </c>
      <c r="K6" s="40" t="s">
        <v>31</v>
      </c>
      <c r="L6" s="40" t="s">
        <v>18</v>
      </c>
      <c r="M6" s="40" t="s">
        <v>24</v>
      </c>
      <c r="N6" s="32"/>
      <c r="O6" s="37">
        <v>12</v>
      </c>
      <c r="P6" s="32"/>
      <c r="Q6" s="32"/>
      <c r="R6" s="32"/>
      <c r="S6" s="32"/>
      <c r="T6" s="34"/>
      <c r="U6" s="34"/>
      <c r="V6" s="34"/>
      <c r="W6" s="34"/>
      <c r="X6" s="34"/>
      <c r="Y6" s="42"/>
      <c r="Z6" s="34"/>
      <c r="AA6" s="34"/>
      <c r="AB6" s="34"/>
      <c r="AC6" s="36">
        <v>2400</v>
      </c>
      <c r="AD6" s="36">
        <v>2400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</row>
    <row r="7" spans="1:154" ht="15.75" customHeight="1" x14ac:dyDescent="0.2">
      <c r="A7" s="5"/>
      <c r="B7" s="45" t="s">
        <v>16</v>
      </c>
      <c r="C7" s="40" t="s">
        <v>17</v>
      </c>
      <c r="D7" s="37">
        <v>300</v>
      </c>
      <c r="E7" s="37"/>
      <c r="F7" s="37">
        <v>300</v>
      </c>
      <c r="G7" s="45" t="s">
        <v>33</v>
      </c>
      <c r="H7" s="32"/>
      <c r="I7" s="37">
        <v>0</v>
      </c>
      <c r="J7" s="37">
        <v>0</v>
      </c>
      <c r="K7" s="40" t="s">
        <v>31</v>
      </c>
      <c r="L7" s="40" t="s">
        <v>18</v>
      </c>
      <c r="M7" s="40" t="s">
        <v>24</v>
      </c>
      <c r="N7" s="32"/>
      <c r="O7" s="37">
        <v>0</v>
      </c>
      <c r="P7" s="32"/>
      <c r="Q7" s="32"/>
      <c r="R7" s="32"/>
      <c r="S7" s="32"/>
      <c r="T7" s="34"/>
      <c r="U7" s="34"/>
      <c r="V7" s="34"/>
      <c r="W7" s="34"/>
      <c r="X7" s="34"/>
      <c r="Y7" s="42"/>
      <c r="Z7" s="34"/>
      <c r="AA7" s="34"/>
      <c r="AB7" s="34"/>
      <c r="AC7" s="36">
        <v>0</v>
      </c>
      <c r="AD7" s="36">
        <v>0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36</v>
      </c>
      <c r="D3" s="2" t="s">
        <v>9</v>
      </c>
      <c r="E3" s="18" t="s">
        <v>37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38</v>
      </c>
      <c r="C6" s="5"/>
      <c r="D6" s="9"/>
      <c r="E6" s="5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36</v>
      </c>
      <c r="D3" s="2" t="s">
        <v>9</v>
      </c>
      <c r="E3" s="18" t="s">
        <v>39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58" t="s">
        <v>18</v>
      </c>
      <c r="C6" s="59"/>
      <c r="D6" s="60">
        <v>0</v>
      </c>
      <c r="E6" s="60">
        <v>200</v>
      </c>
      <c r="F6" s="59"/>
      <c r="G6" s="61" t="s">
        <v>29</v>
      </c>
      <c r="H6" s="62">
        <v>4</v>
      </c>
      <c r="I6" s="62">
        <v>5</v>
      </c>
      <c r="J6" s="60">
        <v>1</v>
      </c>
      <c r="K6" s="62">
        <v>12</v>
      </c>
      <c r="L6" s="62">
        <v>12</v>
      </c>
      <c r="M6" s="63" t="s">
        <v>40</v>
      </c>
      <c r="N6" s="59"/>
      <c r="O6" s="59"/>
      <c r="P6" s="59"/>
      <c r="Q6" s="59"/>
      <c r="R6" s="59"/>
      <c r="S6" s="61" t="s">
        <v>41</v>
      </c>
      <c r="T6" s="64">
        <v>0</v>
      </c>
      <c r="U6" s="64">
        <v>0</v>
      </c>
      <c r="V6" s="65" t="s">
        <v>42</v>
      </c>
      <c r="W6" s="64">
        <v>1</v>
      </c>
      <c r="X6" s="66"/>
      <c r="Y6" s="66"/>
      <c r="Z6" s="58" t="s">
        <v>43</v>
      </c>
      <c r="AA6" s="66"/>
      <c r="AB6" s="64">
        <v>1</v>
      </c>
      <c r="AC6" s="66"/>
      <c r="AD6" s="58" t="s">
        <v>44</v>
      </c>
      <c r="AE6" s="64">
        <v>200</v>
      </c>
      <c r="AF6" s="66"/>
      <c r="AG6" s="66"/>
      <c r="AH6" s="66" t="s">
        <v>45</v>
      </c>
      <c r="AI6" s="64">
        <v>1</v>
      </c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7">
        <v>2414.0010000000002</v>
      </c>
      <c r="AU6" s="67">
        <v>2414.0010000000002</v>
      </c>
      <c r="AV6" s="66"/>
      <c r="AW6" s="64">
        <v>0</v>
      </c>
      <c r="AX6" s="66"/>
      <c r="AY6" s="66"/>
      <c r="AZ6" s="64">
        <v>0</v>
      </c>
      <c r="BA6" s="66"/>
      <c r="BB6" s="66"/>
      <c r="BC6" s="66"/>
      <c r="BD6" s="66"/>
      <c r="BE6" s="68">
        <v>2400</v>
      </c>
      <c r="BF6" s="68">
        <v>2400</v>
      </c>
      <c r="BG6" s="66"/>
      <c r="BH6" s="66"/>
      <c r="BI6" s="66"/>
      <c r="BJ6" s="64">
        <v>200</v>
      </c>
      <c r="BK6" s="64">
        <v>0</v>
      </c>
      <c r="BL6" s="66"/>
      <c r="BM6" s="58" t="s">
        <v>43</v>
      </c>
      <c r="BN6" s="66"/>
      <c r="BO6" s="58" t="s">
        <v>17</v>
      </c>
      <c r="BP6" s="64">
        <v>0</v>
      </c>
      <c r="BQ6" s="64">
        <v>0</v>
      </c>
      <c r="BR6" s="66"/>
      <c r="BS6" s="66"/>
      <c r="BT6" s="65" t="s">
        <v>16</v>
      </c>
      <c r="BU6" s="68">
        <v>3</v>
      </c>
      <c r="BV6" s="64">
        <v>0</v>
      </c>
      <c r="BW6" s="64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58"/>
      <c r="CI6" s="58"/>
      <c r="CJ6" s="66"/>
      <c r="CK6" s="58" t="s">
        <v>46</v>
      </c>
      <c r="CL6" s="64">
        <v>1</v>
      </c>
      <c r="CM6" s="65" t="s">
        <v>16</v>
      </c>
      <c r="CN6" s="66"/>
      <c r="CO6" s="66"/>
      <c r="CP6" s="66"/>
      <c r="CQ6" s="66"/>
      <c r="CR6" s="66"/>
      <c r="CS6" s="66"/>
      <c r="CT6" s="66"/>
      <c r="CU6" s="66"/>
      <c r="CV6" s="66"/>
      <c r="CW6" s="6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L11" sqref="BL1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4"/>
      <c r="B1" s="72" t="s">
        <v>11</v>
      </c>
      <c r="C1" s="73"/>
      <c r="D1" s="73"/>
      <c r="E1" s="73"/>
      <c r="F1" s="73"/>
      <c r="G1" s="73"/>
      <c r="H1" s="74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 x14ac:dyDescent="0.2">
      <c r="A3" s="17"/>
      <c r="B3" s="2" t="s">
        <v>8</v>
      </c>
      <c r="C3" s="18" t="s">
        <v>47</v>
      </c>
      <c r="D3" s="2" t="s">
        <v>9</v>
      </c>
      <c r="E3" s="18" t="s">
        <v>48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 x14ac:dyDescent="0.2">
      <c r="A6" s="9"/>
      <c r="B6" s="69"/>
      <c r="C6" s="69" t="s">
        <v>16</v>
      </c>
      <c r="D6" s="70">
        <v>200</v>
      </c>
      <c r="E6" s="38" t="s">
        <v>18</v>
      </c>
      <c r="F6" s="38" t="s">
        <v>49</v>
      </c>
      <c r="G6" s="70">
        <v>12</v>
      </c>
      <c r="H6" s="69" t="s">
        <v>50</v>
      </c>
      <c r="I6" s="71">
        <v>0</v>
      </c>
      <c r="J6" s="69"/>
      <c r="K6" s="71">
        <v>0</v>
      </c>
      <c r="L6" s="69"/>
      <c r="M6" s="69"/>
      <c r="N6" s="70">
        <v>-2400</v>
      </c>
      <c r="O6" s="69"/>
      <c r="P6" s="69" t="s">
        <v>51</v>
      </c>
      <c r="Q6" s="36">
        <v>-2400</v>
      </c>
      <c r="R6" s="69"/>
      <c r="S6" s="69"/>
      <c r="T6" s="69" t="s">
        <v>29</v>
      </c>
      <c r="U6" s="69" t="s">
        <v>46</v>
      </c>
      <c r="V6" s="69" t="s">
        <v>44</v>
      </c>
      <c r="W6" s="69" t="s">
        <v>43</v>
      </c>
      <c r="X6" s="69"/>
      <c r="Y6" s="43">
        <v>1</v>
      </c>
      <c r="Z6" s="69"/>
      <c r="AA6" s="69"/>
      <c r="AB6" s="43">
        <v>0</v>
      </c>
      <c r="AC6" s="43">
        <v>0</v>
      </c>
      <c r="AD6" s="43">
        <v>0</v>
      </c>
      <c r="AE6" s="43">
        <v>0</v>
      </c>
      <c r="AF6" s="36">
        <v>200</v>
      </c>
      <c r="AG6" s="43">
        <v>0</v>
      </c>
      <c r="AH6" s="43">
        <v>0</v>
      </c>
      <c r="AI6" s="43">
        <v>0</v>
      </c>
      <c r="AJ6" s="43">
        <v>0</v>
      </c>
      <c r="AK6" s="36">
        <v>-2400</v>
      </c>
      <c r="AL6" s="43">
        <v>1</v>
      </c>
      <c r="AM6" s="43">
        <v>1</v>
      </c>
      <c r="AN6" s="69" t="s">
        <v>17</v>
      </c>
      <c r="AO6" s="69"/>
      <c r="AP6" s="69" t="s">
        <v>52</v>
      </c>
      <c r="AQ6" s="69" t="s">
        <v>16</v>
      </c>
      <c r="AR6" s="43">
        <v>0</v>
      </c>
      <c r="AS6" s="43">
        <v>1</v>
      </c>
      <c r="AT6" s="69"/>
      <c r="AU6" s="69"/>
      <c r="AV6" s="43">
        <v>1</v>
      </c>
      <c r="AW6" s="36">
        <v>-2400</v>
      </c>
      <c r="AX6" s="43">
        <v>0</v>
      </c>
      <c r="AY6" s="43">
        <v>0</v>
      </c>
      <c r="AZ6" s="43">
        <v>0</v>
      </c>
      <c r="BA6" s="43">
        <v>-100</v>
      </c>
      <c r="BB6" s="69"/>
      <c r="BC6" s="43">
        <v>1</v>
      </c>
      <c r="BD6" s="36">
        <v>-2400</v>
      </c>
      <c r="BE6" s="69"/>
      <c r="BF6" s="69"/>
      <c r="BG6" s="69"/>
      <c r="BH6" s="69"/>
      <c r="BI6" s="69"/>
      <c r="BJ6" s="43">
        <v>0</v>
      </c>
      <c r="BK6" s="43">
        <v>0</v>
      </c>
      <c r="BL6" s="43">
        <v>0</v>
      </c>
      <c r="BM6" s="43">
        <v>0</v>
      </c>
      <c r="BN6" s="69"/>
      <c r="BO6" s="36">
        <v>-2400</v>
      </c>
      <c r="BP6" s="69"/>
      <c r="BQ6" s="69"/>
      <c r="BR6" s="69"/>
      <c r="BS6" s="43">
        <v>0</v>
      </c>
      <c r="BT6" s="43">
        <v>0</v>
      </c>
      <c r="BU6" s="69" t="s">
        <v>29</v>
      </c>
      <c r="BV6" s="69"/>
      <c r="BW6" s="43">
        <v>0</v>
      </c>
      <c r="BX6" s="43">
        <v>0</v>
      </c>
      <c r="BY6" s="43">
        <v>0</v>
      </c>
      <c r="BZ6" s="43">
        <v>0</v>
      </c>
      <c r="CA6" s="43">
        <v>0</v>
      </c>
      <c r="CB6" s="69"/>
      <c r="CC6" s="43">
        <v>0</v>
      </c>
      <c r="CD6" s="36">
        <v>-2400</v>
      </c>
      <c r="CE6" s="43">
        <v>0</v>
      </c>
      <c r="CF6" s="43">
        <v>0</v>
      </c>
      <c r="CG6" s="36">
        <v>-2400</v>
      </c>
      <c r="CH6" s="43">
        <v>-100</v>
      </c>
      <c r="CI6" s="43">
        <v>0</v>
      </c>
      <c r="CJ6" s="43">
        <v>0</v>
      </c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  <c r="DA6" s="69"/>
      <c r="DB6" s="69"/>
      <c r="DC6" s="69"/>
      <c r="DD6" s="69"/>
      <c r="DE6" s="69"/>
      <c r="DF6" s="69"/>
      <c r="DG6" s="69"/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69"/>
      <c r="DS6" s="69"/>
      <c r="DT6" s="69"/>
      <c r="DU6" s="69"/>
      <c r="DV6" s="69"/>
    </row>
    <row r="7" spans="1:168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_Modules</vt:lpstr>
      <vt:lpstr>_Settings</vt:lpstr>
      <vt:lpstr>_MasterData</vt:lpstr>
      <vt:lpstr>CreateStageOrder</vt:lpstr>
      <vt:lpstr>CreateDoneAwayOrder</vt:lpstr>
      <vt:lpstr>TradeNewSubOrder</vt:lpstr>
      <vt:lpstr>CreateNewSubOrder</vt:lpstr>
      <vt:lpstr>TradeNewSubOrder1</vt:lpstr>
      <vt:lpstr>CreateNewSubOrder1</vt:lpstr>
      <vt:lpstr>TradeNewSubOrder2</vt:lpstr>
      <vt:lpstr>CreateLiveOrder</vt:lpstr>
      <vt:lpstr>VerifyOrder</vt:lpstr>
      <vt:lpstr>VerifyWorkingSubs</vt:lpstr>
      <vt:lpstr>SelectTradeOnOrderGrid</vt:lpstr>
      <vt:lpstr>RemoveManualExecution</vt:lpstr>
      <vt:lpstr>SelectTradeOnOrderGrid1</vt:lpstr>
      <vt:lpstr>RemoveManualExecution1</vt:lpstr>
      <vt:lpstr>VerifyOrder1</vt:lpstr>
      <vt:lpstr>VerifyWorkingSubs1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2021-08-04T11:43:51Z</dcterms:modified>
</cp:coreProperties>
</file>