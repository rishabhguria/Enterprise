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SelectTradeOnOrderGrid" sheetId="5" r:id="rId7"/>
    <sheet name="TradeNewSubOrder" sheetId="6" r:id="rId8"/>
    <sheet name="CreateNewSubOrder" sheetId="7" r:id="rId9"/>
    <sheet name="SelectTradeOnOrderGrid1" sheetId="9" r:id="rId11"/>
    <sheet name="RemoveSelectedOrders" sheetId="10" r:id="rId12"/>
    <sheet name="VerifyOrder1" sheetId="11" r:id="rId13"/>
    <sheet name="CreateStageOrder1" sheetId="12" r:id="rId14"/>
    <sheet name="SelectTradeOnOrderGrid2" sheetId="13" r:id="rId15"/>
    <sheet name="TradeNewSubOrder1" sheetId="14" r:id="rId16"/>
    <sheet name="CreateNewSubOrder1" sheetId="15" r:id="rId17"/>
    <sheet name="SelectTradeOnOrderGrid3" sheetId="16" r:id="rId18"/>
    <sheet name="TradeNewSubOrder2" sheetId="17" r:id="rId19"/>
    <sheet name="CreateNewSubOrder2" sheetId="18" r:id="rId20"/>
    <sheet name="SelectTradeOnOrderGrid4" sheetId="19" r:id="rId21"/>
    <sheet name="SelectTradeSubOrderBlotter" sheetId="20" r:id="rId22"/>
    <sheet name="ReplaceSubOrder" sheetId="21" r:id="rId23"/>
    <sheet name="CreateReplaceOrder" sheetId="22" r:id="rId24"/>
    <sheet name="SelectTradeOnOrderGrid5" sheetId="23" r:id="rId25"/>
    <sheet name="RemoveSelectedOrders1" sheetId="24" r:id="rId26"/>
    <sheet name="VerifyOrder2" sheetId="25" r:id="rId27"/>
  </sheets>
  <calcPr fullCalcOnLoad="1"/>
</workbook>
</file>

<file path=xl/sharedStrings.xml><?xml version="1.0" encoding="utf-8"?>
<sst xmlns="http://schemas.openxmlformats.org/spreadsheetml/2006/main" count="41" uniqueCount="41">
  <si>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</si>
  <si>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</si>
  <si>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</si>
  <si>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</si>
  <si>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</si>
  <si>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</si>
  <si>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</si>
  <si>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</si>
  <si>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</si>
  <si>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</si>
  <si>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</si>
  <si>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</si>
  <si>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</si>
  <si>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</si>
  <si>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</si>
  <si>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</si>
  <si>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</si>
  <si>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</si>
  <si>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</si>
  <si>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</si>
  <si>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</si>
  <si>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</si>
  <si>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GOOG</t>
  </si>
  <si>
    <t>Blotter</t>
  </si>
  <si>
    <t>SelectTradeOnOrderGrid</t>
  </si>
  <si>
    <t>TradeNewSubOrder</t>
  </si>
  <si>
    <t>New</t>
  </si>
  <si>
    <t>CreateNewSubOrder</t>
  </si>
  <si>
    <t>RemoveSelectedOrders</t>
  </si>
  <si>
    <t>VerifyOrder</t>
  </si>
  <si>
    <t>IBM</t>
  </si>
  <si>
    <t>MSFT</t>
  </si>
  <si>
    <t>SelectTradeSubOrderBlotter</t>
  </si>
  <si>
    <t>Filled</t>
  </si>
  <si>
    <t>ReplaceSubOrder</t>
  </si>
  <si>
    <t>CreateReplaceOrder</t>
  </si>
  <si>
    <t>Allocation2</t>
  </si>
  <si>
    <t>GS</t>
  </si>
  <si>
    <t>FOK</t>
  </si>
  <si>
    <t>Limit</t>
  </si>
  <si>
    <t>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</si>
</sst>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28" Type="http://schemas.openxmlformats.org/officeDocument/2006/relationships/sharedStrings" Target="sharedStrings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73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IFERROR(__xludf.DUMMYFUNCTION("""COMPUTED_VALUE"""),"SaveLayoutPM")</f>
        <v>SaveLayoutPM</v>
      </c>
      <c r="C663" s="0" t="str">
        <f>IFERROR(__xludf.DUMMYFUNCTION("""COMPUTED_VALUE"""),"18bINF8LvIWUr1rFpe1vpLTKdPT6dJi-B14KFcAVwyfQ")</f>
        <v>18bINF8LvIWUr1rFpe1vpLTKdPT6dJi-B14KFcAVwyfQ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IFERROR(__xludf.DUMMYFUNCTION("""COMPUTED_VALUE"""),"Rebalancer")</f>
        <v>Rebalancer</v>
      </c>
      <c r="B668" s="0" t="str">
        <f>IFERROR(__xludf.DUMMYFUNCTION("""COMPUTED_VALUE"""),"VerifyBuySellList")</f>
        <v>VerifyBuySellList</v>
      </c>
      <c r="C668" s="0" t="str">
        <f>IFERROR(__xludf.DUMMYFUNCTION("""COMPUTED_VALUE"""),"1O2u9vu9lB8RTOcsD20GdbXlSWEbt310TUvIkuLxRuBg")</f>
        <v>1O2u9vu9lB8RTOcsD20GdbXlSWEbt310TUvIkuLxRuBg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IFERROR(__xludf.DUMMYFUNCTION("""COMPUTED_VALUE"""),"Admin")</f>
        <v>Admin</v>
      </c>
      <c r="B678" s="0" t="str">
        <f>IFERROR(__xludf.DUMMYFUNCTION("""COMPUTED_VALUE"""),"SetAuecExecutingBroker")</f>
        <v>SetAuecExecutingBroker</v>
      </c>
      <c r="C678" s="0" t="str">
        <f>IFERROR(__xludf.DUMMYFUNCTION("""COMPUTED_VALUE"""),"1FOtSQ752PHH-4nayG7R-PaG921WCWKVU8Lsl4pC6Mr0")</f>
        <v>1FOtSQ752PHH-4nayG7R-PaG921WCWKVU8Lsl4pC6Mr0</v>
      </c>
    </row>
    <row r="679" ht="15.75" customHeight="1">
      <c r="A679" s="0" t="str">
        <f>IFERROR(__xludf.DUMMYFUNCTION("""COMPUTED_VALUE"""),"AuditTrail")</f>
        <v>AuditTrail</v>
      </c>
      <c r="B679" s="0" t="str">
        <f>IFERROR(__xludf.DUMMYFUNCTION("""COMPUTED_VALUE"""),"GetDataFromAuditTrail")</f>
        <v>GetDataFromAuditTrail</v>
      </c>
      <c r="C679" s="0" t="str">
        <f>IFERROR(__xludf.DUMMYFUNCTION("""COMPUTED_VALUE"""),"1tNXZNqCj-1qo8Li9Rf4t_XiY-dX6itH2UAbOSe3-Mxc")</f>
        <v>1tNXZNqCj-1qo8Li9Rf4t_XiY-dX6itH2UAbOSe3-Mxc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IFERROR(__xludf.DUMMYFUNCTION("""COMPUTED_VALUE"""),"VerifyAuditTrail")</f>
        <v>VerifyAuditTrail</v>
      </c>
      <c r="C680" s="0" t="str">
        <f>IFERROR(__xludf.DUMMYFUNCTION("""COMPUTED_VALUE"""),"1yv4ikffZOFZ-OOoWF_aNEGZA8dcvqtzobkyZjf8TDRs")</f>
        <v>1yv4ikffZOFZ-OOoWF_aNEGZA8dcvqtzobkyZjf8TDRs</v>
      </c>
    </row>
    <row r="681" ht="15.75" customHeight="1">
      <c r="A681" s="0" t="str">
        <f>IFERROR(__xludf.DUMMYFUNCTION("""COMPUTED_VALUE"""),"Simulator")</f>
        <v>Simulator</v>
      </c>
      <c r="B681" s="0" t="str">
        <f>IFERROR(__xludf.DUMMYFUNCTION("""COMPUTED_VALUE"""),"DoneForDay")</f>
        <v>DoneForDay</v>
      </c>
      <c r="C681" s="0" t="str">
        <f>IFERROR(__xludf.DUMMYFUNCTION("""COMPUTED_VALUE"""),"Undefined")</f>
        <v>Undefined</v>
      </c>
    </row>
    <row r="682" ht="15.75" customHeight="1">
      <c r="A682" s="0" t="str">
        <f>IFERROR(__xludf.DUMMYFUNCTION("""COMPUTED_VALUE"""),"Blotter")</f>
        <v>Blotter</v>
      </c>
      <c r="B682" s="0" t="str">
        <f>IFERROR(__xludf.DUMMYFUNCTION("""COMPUTED_VALUE"""),"AddOrRemoveColumnFromBlotter")</f>
        <v>AddOrRemoveColumnFromBlotter</v>
      </c>
      <c r="C682" s="0" t="str">
        <f>IFERROR(__xludf.DUMMYFUNCTION("""COMPUTED_VALUE"""),"1AImtOGYKAeR3YFeq_UoGYWtzjfmt90mMudYE0gCcfuY")</f>
        <v>1AImtOGYKAeR3YFeq_UoGYWtzjfmt90mMudYE0gCcfuY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IFERROR(__xludf.DUMMYFUNCTION("""COMPUTED_VALUE"""),"ApplyFilterOnBlotter")</f>
        <v>ApplyFilterOnBlotter</v>
      </c>
      <c r="C683" s="0" t="str">
        <f>IFERROR(__xludf.DUMMYFUNCTION("""COMPUTED_VALUE"""),"1HwDVyMvyOdl2-ZD1QqhAZuwUuRJSMW_PlBPxaE_76EI")</f>
        <v>1HwDVyMvyOdl2-ZD1QqhAZuwUuRJSMW_PlBPxaE_76EI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IFERROR(__xludf.DUMMYFUNCTION("""COMPUTED_VALUE"""),"SortGridOnBlotter")</f>
        <v>SortGridOnBlotter</v>
      </c>
      <c r="C684" s="0" t="str">
        <f>IFERROR(__xludf.DUMMYFUNCTION("""COMPUTED_VALUE"""),"1MvLrWPS7fBH0YzOrBIt5TdlPdCiRTwsVXBfvicm6qvY")</f>
        <v>1MvLrWPS7fBH0YzOrBIt5TdlPdCiRTwsVXBfvicm6qvY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IFERROR(__xludf.DUMMYFUNCTION("""COMPUTED_VALUE"""),"VerifyDataIndexWise")</f>
        <v>VerifyDataIndexWise</v>
      </c>
      <c r="C685" s="0" t="str">
        <f>IFERROR(__xludf.DUMMYFUNCTION("""COMPUTED_VALUE"""),"18hzviv5ObHcdclDM2TEFd2OQL7r5vS4oemcrzjwtOSk")</f>
        <v>18hzviv5ObHcdclDM2TEFd2OQL7r5vS4oemcrzjwtOSk</v>
      </c>
    </row>
    <row r="686" ht="15.75" customHeight="1">
      <c r="A686" s="0" t="str">
        <f>IFERROR(__xludf.DUMMYFUNCTION("""COMPUTED_VALUE"""),"RTPNL")</f>
        <v>RTPNL</v>
      </c>
      <c r="B686" s="0" t="str">
        <f>IFERROR(__xludf.DUMMYFUNCTION("""COMPUTED_VALUE"""),"SavePage")</f>
        <v>SavePage</v>
      </c>
      <c r="C686" s="0" t="str">
        <f>IFERROR(__xludf.DUMMYFUNCTION("""COMPUTED_VALUE"""),"1_uQYVoc5DS6NYv0EYGKjax2jWsfgKobFEjxJkQjLL3w")</f>
        <v>1_uQYVoc5DS6NYv0EYGKjax2jWsfgKobFEjxJkQjLL3w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IFERROR(__xludf.DUMMYFUNCTION("""COMPUTED_VALUE"""),"SaveLayoutBlotter")</f>
        <v>SaveLayoutBlotter</v>
      </c>
      <c r="C687" s="0" t="str">
        <f>IFERROR(__xludf.DUMMYFUNCTION("""COMPUTED_VALUE"""),"Undefined")</f>
        <v>Undefined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IFERROR(__xludf.DUMMYFUNCTION("""COMPUTED_VALUE"""),"ConfigureWidget")</f>
        <v>ConfigureWidget</v>
      </c>
      <c r="C688" s="0" t="str">
        <f>IFERROR(__xludf.DUMMYFUNCTION("""COMPUTED_VALUE"""),"1W6yBhMOu0wchoi8WJBVKvPLgngkTy6xSOF5JPGpCiJM")</f>
        <v>1W6yBhMOu0wchoi8WJBVKvPLgngkTy6xSOF5JPGpCiJM</v>
      </c>
    </row>
    <row r="689" ht="15.75" customHeight="1">
      <c r="A689" s="0" t="str">
        <f>IFERROR(__xludf.DUMMYFUNCTION("""COMPUTED_VALUE"""),"CreateTransaction")</f>
        <v>CreateTransaction</v>
      </c>
      <c r="B689" s="0" t="str">
        <f>IFERROR(__xludf.DUMMYFUNCTION("""COMPUTED_VALUE"""),"VerifyCTNavLockPopup")</f>
        <v>VerifyCTNavLockPopup</v>
      </c>
      <c r="C689" s="0" t="str">
        <f>IFERROR(__xludf.DUMMYFUNCTION("""COMPUTED_VALUE"""),"144sdIKvp1IYBLo1BR5xnXjJV08MEYXOtOle_BzmZysU")</f>
        <v>144sdIKvp1IYBLo1BR5xnXjJV08MEYXOtOle_BzmZysU</v>
      </c>
    </row>
    <row r="690" ht="15.75" customHeight="1">
      <c r="A690" s="0" t="str">
        <f>IFERROR(__xludf.DUMMYFUNCTION("""COMPUTED_VALUE"""),"DailyValuation")</f>
        <v>DailyValuation</v>
      </c>
      <c r="B690" s="0" t="str">
        <f>IFERROR(__xludf.DUMMYFUNCTION("""COMPUTED_VALUE"""),"VerifyDVNavLockPopup")</f>
        <v>VerifyDVNavLockPopup</v>
      </c>
      <c r="C690" s="0" t="str">
        <f>IFERROR(__xludf.DUMMYFUNCTION("""COMPUTED_VALUE"""),"1rXDKRADphBVDpGsYUs6Jq5ugHFrpJ_qRur3VkVbGwV4")</f>
        <v>1rXDKRADphBVDpGsYUs6Jq5ugHFrpJ_qRur3VkVbGwV4</v>
      </c>
    </row>
    <row r="691" ht="15.75" customHeight="1">
      <c r="A691" s="0" t="str">
        <f>IFERROR(__xludf.DUMMYFUNCTION("""COMPUTED_VALUE"""),"GeneralLedger")</f>
        <v>GeneralLedger</v>
      </c>
      <c r="B691" s="0" t="str">
        <f>IFERROR(__xludf.DUMMYFUNCTION("""COMPUTED_VALUE"""),"VerifyGLNavLockPopup")</f>
        <v>VerifyGLNavLockPopup</v>
      </c>
      <c r="C691" s="0" t="str">
        <f>IFERROR(__xludf.DUMMYFUNCTION("""COMPUTED_VALUE"""),"13qCmJnkjFZw_O4n_dVKtJg-5eOkymkypG_MjQGuuNAo")</f>
        <v>13qCmJnkjFZw_O4n_dVKtJg-5eOkymkypG_MjQGuuNAo</v>
      </c>
    </row>
    <row r="692" ht="15.75" customHeight="1">
      <c r="A692" s="0" t="str">
        <f>IFERROR(__xludf.DUMMYFUNCTION("""COMPUTED_VALUE"""),"Import")</f>
        <v>Import</v>
      </c>
      <c r="B692" s="0" t="str">
        <f>IFERROR(__xludf.DUMMYFUNCTION("""COMPUTED_VALUE"""),"VerifyImportNavLockPopup")</f>
        <v>VerifyImportNavLockPopup</v>
      </c>
      <c r="C692" s="0" t="str">
        <f>IFERROR(__xludf.DUMMYFUNCTION("""COMPUTED_VALUE"""),"1pXdTBlTEvtcQUfX_APkVY3rRe3gVlj4Sk_Jyd6F4sNM")</f>
        <v>1pXdTBlTEvtcQUfX_APkVY3rRe3gVlj4Sk_Jyd6F4sNM</v>
      </c>
    </row>
    <row r="693" ht="15.75" customHeight="1">
      <c r="A693" s="0" t="str">
        <f>IFERROR(__xludf.DUMMYFUNCTION("""COMPUTED_VALUE"""),"MultiTradingTicket")</f>
        <v>MultiTradingTicket</v>
      </c>
      <c r="B693" s="0" t="str">
        <f>IFERROR(__xludf.DUMMYFUNCTION("""COMPUTED_VALUE"""),"VerifyMTTNavLockPopup")</f>
        <v>VerifyMTTNavLockPopup</v>
      </c>
      <c r="C693" s="0" t="str">
        <f>IFERROR(__xludf.DUMMYFUNCTION("""COMPUTED_VALUE"""),"1hzuWfGgMcTuN77JdNWDiNq95xYqAIxYrqdk47goXdlc")</f>
        <v>1hzuWfGgMcTuN77JdNWDiNq95xYqAIxYrqdk47goXdlc</v>
      </c>
    </row>
    <row r="694" ht="15.75" customHeight="1">
      <c r="A694" s="0" t="str">
        <f>IFERROR(__xludf.DUMMYFUNCTION("""COMPUTED_VALUE"""),"PricingInput")</f>
        <v>PricingInput</v>
      </c>
      <c r="B694" s="0" t="str">
        <f>IFERROR(__xludf.DUMMYFUNCTION("""COMPUTED_VALUE"""),"VerifyPINavLockPopup")</f>
        <v>VerifyPINavLockPopup</v>
      </c>
      <c r="C694" s="0" t="str">
        <f>IFERROR(__xludf.DUMMYFUNCTION("""COMPUTED_VALUE"""),"1MqKw1Z4nex0wIRjcW-Lhchpv8ZsSNuruz2cszeIP01M")</f>
        <v>1MqKw1Z4nex0wIRjcW-Lhchpv8ZsSNuruz2cszeIP01M</v>
      </c>
    </row>
    <row r="695" ht="15.75" customHeight="1">
      <c r="A695" s="0" t="str">
        <f>IFERROR(__xludf.DUMMYFUNCTION("""COMPUTED_VALUE"""),"ShortLocate")</f>
        <v>ShortLocate</v>
      </c>
      <c r="B695" s="0" t="str">
        <f>IFERROR(__xludf.DUMMYFUNCTION("""COMPUTED_VALUE"""),"VerifySLNavLockPopup")</f>
        <v>VerifySLNavLockPopup</v>
      </c>
      <c r="C695" s="0" t="str">
        <f>IFERROR(__xludf.DUMMYFUNCTION("""COMPUTED_VALUE"""),"1sBI9JpwaQW2KTgfDWaY7h3xdvzXzeqjaP8_Vml6QbTo")</f>
        <v>1sBI9JpwaQW2KTgfDWaY7h3xdvzXzeqjaP8_Vml6QbTo</v>
      </c>
    </row>
    <row r="696" ht="15.75" customHeight="1">
      <c r="A696" s="0" t="str">
        <f>IFERROR(__xludf.DUMMYFUNCTION("""COMPUTED_VALUE"""),"TradingTicket")</f>
        <v>TradingTicket</v>
      </c>
      <c r="B696" s="0" t="str">
        <f>IFERROR(__xludf.DUMMYFUNCTION("""COMPUTED_VALUE"""),"VerifyTTNavLockPopup")</f>
        <v>VerifyTTNavLockPopup</v>
      </c>
      <c r="C696" s="0" t="str">
        <f>IFERROR(__xludf.DUMMYFUNCTION("""COMPUTED_VALUE"""),"15lRx1SPPsy7nykR6nVYUadOnwKG80Q6OfxTDuQ_dvXI")</f>
        <v>15lRx1SPPsy7nykR6nVYUadOnwKG80Q6OfxTDuQ_dvXI</v>
      </c>
    </row>
    <row r="697" ht="15.75" customHeight="1">
      <c r="A697" s="0" t="str">
        <f>IFERROR(__xludf.DUMMYFUNCTION("""COMPUTED_VALUE"""),"Blotter")</f>
        <v>Blotter</v>
      </c>
      <c r="B697" s="0" t="str">
        <f>IFERROR(__xludf.DUMMYFUNCTION("""COMPUTED_VALUE"""),"VerifyBlotterNavLockPopup")</f>
        <v>VerifyBlotterNavLockPopup</v>
      </c>
      <c r="C697" s="0" t="str">
        <f>IFERROR(__xludf.DUMMYFUNCTION("""COMPUTED_VALUE"""),"1NXDngJ54gfiJxrqVxgbEYZ7hW3c4kquifXR6Lg7EK5Y")</f>
        <v>1NXDngJ54gfiJxrqVxgbEYZ7hW3c4kquifXR6Lg7EK5Y</v>
      </c>
    </row>
    <row r="698" ht="15.75" customHeight="1">
      <c r="A698" s="0" t="str">
        <f>IFERROR(__xludf.DUMMYFUNCTION("""COMPUTED_VALUE"""),"Closing")</f>
        <v>Closing</v>
      </c>
      <c r="B698" s="0" t="str">
        <f>IFERROR(__xludf.DUMMYFUNCTION("""COMPUTED_VALUE"""),"VerifyClosingNavLockPopup")</f>
        <v>VerifyClosingNavLockPopup</v>
      </c>
      <c r="C698" s="0" t="str">
        <f>IFERROR(__xludf.DUMMYFUNCTION("""COMPUTED_VALUE"""),"1AR0JbTGvV_W-vRVG60LJNAab-sFlfdBFwEtZpVYEMPo")</f>
        <v>1AR0JbTGvV_W-vRVG60LJNAab-sFlfdBFwEtZpVYEMPo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IFERROR(__xludf.DUMMYFUNCTION("""COMPUTED_VALUE"""),"ChangeWidgetView")</f>
        <v>ChangeWidgetView</v>
      </c>
      <c r="C699" s="0" t="str">
        <f>IFERROR(__xludf.DUMMYFUNCTION("""COMPUTED_VALUE"""),"1PKf_qqqp1j7_MkyduQmNqqaKdDFTgjuq1ApwaDumMj0")</f>
        <v>1PKf_qqqp1j7_MkyduQmNqqaKdDFTgjuq1ApwaDumMj0</v>
      </c>
    </row>
    <row r="700" ht="15.75" customHeight="1">
      <c r="A700" s="0" t="str">
        <f>IFERROR(__xludf.DUMMYFUNCTION("""COMPUTED_VALUE"""),"Blotter")</f>
        <v>Blotter</v>
      </c>
      <c r="B700" s="0" t="str">
        <f>IFERROR(__xludf.DUMMYFUNCTION("""COMPUTED_VALUE"""),"CustomTabActions")</f>
        <v>CustomTabActions</v>
      </c>
      <c r="C700" s="0" t="str">
        <f>IFERROR(__xludf.DUMMYFUNCTION("""COMPUTED_VALUE"""),"163hnSm9KTeABqdRxsfyyCsrxGVcrGd0nCGT4WqLsJ9Q")</f>
        <v>163hnSm9KTeABqdRxsfyyCsrxGVcrGd0nCGT4WqLsJ9Q</v>
      </c>
    </row>
    <row r="701" ht="15.75" customHeight="1">
      <c r="A701" s="0" t="str">
        <f>IFERROR(__xludf.DUMMYFUNCTION("""COMPUTED_VALUE"""),"Blotter")</f>
        <v>Blotter</v>
      </c>
      <c r="B701" s="0" t="str">
        <f>IFERROR(__xludf.DUMMYFUNCTION("""COMPUTED_VALUE"""),"VerifyAllocationWindow")</f>
        <v>VerifyAllocationWindow</v>
      </c>
      <c r="C701" s="0" t="str">
        <f>IFERROR(__xludf.DUMMYFUNCTION("""COMPUTED_VALUE"""),"1DUwxSUq_47EK60XmK3LOdCXa1fkWqWJE9bLuGS3ccv4")</f>
        <v>1DUwxSUq_47EK60XmK3LOdCXa1fkWqWJE9bLuGS3ccv4</v>
      </c>
    </row>
    <row r="702" ht="15.75" customHeight="1">
      <c r="A702" s="0" t="str">
        <f>IFERROR(__xludf.DUMMYFUNCTION("""COMPUTED_VALUE"""),"OpenFin")</f>
        <v>OpenFin</v>
      </c>
      <c r="B702" s="0" t="str">
        <f>IFERROR(__xludf.DUMMYFUNCTION("""COMPUTED_VALUE"""),"SavePageView")</f>
        <v>SavePageView</v>
      </c>
      <c r="C702" s="0" t="str">
        <f>IFERROR(__xludf.DUMMYFUNCTION("""COMPUTED_VALUE"""),"1wFFzsxWBm8VT5o4pz2dFosHS72pEaQuVZFVkiVeZE9w")</f>
        <v>1wFFzsxWBm8VT5o4pz2dFosHS72pEaQuVZFVkiVeZE9w</v>
      </c>
    </row>
    <row r="703" ht="15.75" customHeight="1">
      <c r="A703" s="0" t="str">
        <f>IFERROR(__xludf.DUMMYFUNCTION("""COMPUTED_VALUE"""),"OpenFin")</f>
        <v>OpenFin</v>
      </c>
      <c r="B703" s="0" t="str">
        <f>IFERROR(__xludf.DUMMYFUNCTION("""COMPUTED_VALUE"""),"ActionOnPageFromSearch")</f>
        <v>ActionOnPageFromSearch</v>
      </c>
      <c r="C703" s="0" t="str">
        <f>IFERROR(__xludf.DUMMYFUNCTION("""COMPUTED_VALUE"""),"1jCpG4ETPp9dfvh-Ymdex8Mb3Taz9sYrOR-1uBd5Ceyc")</f>
        <v>1jCpG4ETPp9dfvh-Ymdex8Mb3Taz9sYrOR-1uBd5Ceyc</v>
      </c>
    </row>
    <row r="704" ht="15.75" customHeight="1">
      <c r="A704" s="0" t="str">
        <f>IFERROR(__xludf.DUMMYFUNCTION("""COMPUTED_VALUE"""),"OpenFin")</f>
        <v>OpenFin</v>
      </c>
      <c r="B704" s="0" t="str">
        <f>IFERROR(__xludf.DUMMYFUNCTION("""COMPUTED_VALUE"""),"ChangeThemeOnModule")</f>
        <v>ChangeThemeOnModule</v>
      </c>
      <c r="C704" s="0" t="str">
        <f>IFERROR(__xludf.DUMMYFUNCTION("""COMPUTED_VALUE"""),"1KKiVG313VPgZZadw3-GZ4Cbt7wTwEPpmyGsp3MHFp9Q")</f>
        <v>1KKiVG313VPgZZadw3-GZ4Cbt7wTwEPpmyGsp3MHFp9Q</v>
      </c>
    </row>
    <row r="705" ht="15.75" customHeight="1">
      <c r="A705" s="0" t="str">
        <f>IFERROR(__xludf.DUMMYFUNCTION("""COMPUTED_VALUE"""),"OpenFin")</f>
        <v>OpenFin</v>
      </c>
      <c r="B705" s="0" t="str">
        <f>IFERROR(__xludf.DUMMYFUNCTION("""COMPUTED_VALUE"""),"CloseService")</f>
        <v>CloseService</v>
      </c>
      <c r="C705" s="0" t="str">
        <f>IFERROR(__xludf.DUMMYFUNCTION("""COMPUTED_VALUE"""),"1YXPx62dgEZ9yV5qKkFLgWipyvziAW1SJVEqhiNHEONM")</f>
        <v>1YXPx62dgEZ9yV5qKkFLgWipyvziAW1SJVEqhiNHEONM</v>
      </c>
    </row>
    <row r="706" ht="15.75" customHeight="1">
      <c r="A706" s="0" t="str">
        <f>IFERROR(__xludf.DUMMYFUNCTION("""COMPUTED_VALUE"""),"OpenFin")</f>
        <v>OpenFin</v>
      </c>
      <c r="B706" s="0" t="str">
        <f>IFERROR(__xludf.DUMMYFUNCTION("""COMPUTED_VALUE"""),"LogOutSamsara")</f>
        <v>LogOutSamsara</v>
      </c>
      <c r="C706" s="0" t="str">
        <f>IFERROR(__xludf.DUMMYFUNCTION("""COMPUTED_VALUE"""),"1AHqtQRX4cdwOByK5Ip_T2FJlZFaU23rmiDk0afFhfaY")</f>
        <v>1AHqtQRX4cdwOByK5Ip_T2FJlZFaU23rmiDk0afFhfaY</v>
      </c>
    </row>
    <row r="707" ht="15.75" customHeight="1">
      <c r="A707" s="0" t="str">
        <f>IFERROR(__xludf.DUMMYFUNCTION("""COMPUTED_VALUE"""),"QTT")</f>
        <v>QTT</v>
      </c>
      <c r="B707" s="0" t="str">
        <f>IFERROR(__xludf.DUMMYFUNCTION("""COMPUTED_VALUE"""),"TradeQTT")</f>
        <v>TradeQTT</v>
      </c>
      <c r="C707" s="0" t="str">
        <f>IFERROR(__xludf.DUMMYFUNCTION("""COMPUTED_VALUE"""),"1-5lKqkX57JBaCsmy3TeMGKEVsjNdXnqCttYvBHsfJ14")</f>
        <v>1-5lKqkX57JBaCsmy3TeMGKEVsjNdXnqCttYvBHsfJ14</v>
      </c>
    </row>
    <row r="708" ht="15.75" customHeight="1">
      <c r="A708" s="0" t="str">
        <f>IFERROR(__xludf.DUMMYFUNCTION("""COMPUTED_VALUE"""),"QTT")</f>
        <v>QTT</v>
      </c>
      <c r="B708" s="0" t="str">
        <f>IFERROR(__xludf.DUMMYFUNCTION("""COMPUTED_VALUE"""),"UseOrVerifyHotKeys")</f>
        <v>UseOrVerifyHotKeys</v>
      </c>
      <c r="C708" s="0" t="str">
        <f>IFERROR(__xludf.DUMMYFUNCTION("""COMPUTED_VALUE"""),"1ajjcbjqpEui4y62RzfJ-6ARI0W8GAhrdUmWCOsG_ovE")</f>
        <v>1ajjcbjqpEui4y62RzfJ-6ARI0W8GAhrdUmWCOsG_ovE</v>
      </c>
    </row>
    <row r="709" ht="15.75" customHeight="1">
      <c r="A709" s="0" t="str">
        <f>IFERROR(__xludf.DUMMYFUNCTION("""COMPUTED_VALUE"""),"QTT")</f>
        <v>QTT</v>
      </c>
      <c r="B709" s="0" t="str">
        <f>IFERROR(__xludf.DUMMYFUNCTION("""COMPUTED_VALUE"""),"BookmarkOrVerifyHotKeyinHamberg")</f>
        <v>BookmarkOrVerifyHotKeyinHamberg</v>
      </c>
      <c r="C709" s="0" t="str">
        <f>IFERROR(__xludf.DUMMYFUNCTION("""COMPUTED_VALUE"""),"1fqeJETrWs5bkb8u-VXsfp35T-5kIzPjT669RuSWt6gg")</f>
        <v>1fqeJETrWs5bkb8u-VXsfp35T-5kIzPjT669RuSWt6gg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IFERROR(__xludf.DUMMYFUNCTION("""COMPUTED_VALUE"""),"ShortLocateFromTT")</f>
        <v>ShortLocateFromTT</v>
      </c>
      <c r="C710" s="0" t="str">
        <f>IFERROR(__xludf.DUMMYFUNCTION("""COMPUTED_VALUE"""),"1saPgjE09_MBiqASRTSQboRMwRdUlFv6nzTocBZeFm-I")</f>
        <v>1saPgjE09_MBiqASRTSQboRMwRdUlFv6nzTocBZeFm-I</v>
      </c>
    </row>
    <row r="711" ht="15.75" customHeight="1">
      <c r="A711" s="0" t="str">
        <f>IFERROR(__xludf.DUMMYFUNCTION("""COMPUTED_VALUE"""),"TradingTicket")</f>
        <v>TradingTicket</v>
      </c>
      <c r="B711" s="0" t="str">
        <f>IFERROR(__xludf.DUMMYFUNCTION("""COMPUTED_VALUE"""),"VerifyShortLocateWindowOnTT")</f>
        <v>VerifyShortLocateWindowOnTT</v>
      </c>
      <c r="C711" s="0" t="str">
        <f>IFERROR(__xludf.DUMMYFUNCTION("""COMPUTED_VALUE"""),"1ljyVPm21FKmOvEmG0-JvPMTBuyG89a_7EGFToCoHgI4")</f>
        <v>1ljyVPm21FKmOvEmG0-JvPMTBuyG89a_7EGFToCoHgI4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IFERROR(__xludf.DUMMYFUNCTION("""COMPUTED_VALUE"""),"RenameTabs")</f>
        <v>RenameTabs</v>
      </c>
      <c r="C712" s="0" t="str">
        <f>IFERROR(__xludf.DUMMYFUNCTION("""COMPUTED_VALUE"""),"1K7LcioEl1sTwLRhqHc9go_7jNmUIRZNy9zBQLMgtBw8")</f>
        <v>1K7LcioEl1sTwLRhqHc9go_7jNmUIRZNy9zBQLMgtBw8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IFERROR(__xludf.DUMMYFUNCTION("""COMPUTED_VALUE"""),"ResizeEnsure")</f>
        <v>ResizeEnsure</v>
      </c>
      <c r="C713" s="0" t="str">
        <f>IFERROR(__xludf.DUMMYFUNCTION("""COMPUTED_VALUE"""),"1-peVyQ_nIwd8owwmtDtNW-yx12KQx2nHeYee6duB46M")</f>
        <v>1-peVyQ_nIwd8owwmtDtNW-yx12KQx2nHeYee6duB46M</v>
      </c>
    </row>
    <row r="714" ht="15.75" customHeight="1">
      <c r="A714" s="0" t="str">
        <f>IFERROR(__xludf.DUMMYFUNCTION("""COMPUTED_VALUE"""),"Admin")</f>
        <v>Admin</v>
      </c>
      <c r="B714" s="0" t="str">
        <f>IFERROR(__xludf.DUMMYFUNCTION("""COMPUTED_VALUE"""),"ClearRTPNLtabs")</f>
        <v>ClearRTPNLtabs</v>
      </c>
      <c r="C714" s="0" t="str">
        <f>IFERROR(__xludf.DUMMYFUNCTION("""COMPUTED_VALUE"""),"Undefined")</f>
        <v>Undefined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IFERROR(__xludf.DUMMYFUNCTION("""COMPUTED_VALUE"""),"AddTabRTPNL")</f>
        <v>AddTabRTPNL</v>
      </c>
      <c r="C715" s="0" t="str">
        <f>IFERROR(__xludf.DUMMYFUNCTION("""COMPUTED_VALUE"""),"18kG7vS-CfSLW8Q-ho416lyPlP36XJPPHA0cRbCk3vjU")</f>
        <v>18kG7vS-CfSLW8Q-ho416lyPlP36XJPPHA0cRbCk3vjU</v>
      </c>
    </row>
    <row r="716" ht="15.75" customHeight="1">
      <c r="A716" s="0" t="str">
        <f>IFERROR(__xludf.DUMMYFUNCTION("""COMPUTED_VALUE"""),"PortfolioManagement")</f>
        <v>PortfolioManagement</v>
      </c>
      <c r="B716" s="0" t="str">
        <f>IFERROR(__xludf.DUMMYFUNCTION("""COMPUTED_VALUE"""),"SelectTradeOnPM")</f>
        <v>SelectTradeOnPM</v>
      </c>
      <c r="C716" s="0" t="str">
        <f>IFERROR(__xludf.DUMMYFUNCTION("""COMPUTED_VALUE"""),"1_tBJjps2mULQyHra_AnC6BBvPbOko3FAY-kc11l7eTg")</f>
        <v>1_tBJjps2mULQyHra_AnC6BBvPbOko3FAY-kc11l7eTg</v>
      </c>
    </row>
    <row r="717" ht="15.75" customHeight="1">
      <c r="A717" s="0" t="str">
        <f>IFERROR(__xludf.DUMMYFUNCTION("""COMPUTED_VALUE"""),"Unknown")</f>
        <v>Unknown</v>
      </c>
      <c r="B717" s="0" t="str">
        <f>IFERROR(__xludf.DUMMYFUNCTION("""COMPUTED_VALUE"""),"RightClickOperations")</f>
        <v>RightClickOperations</v>
      </c>
      <c r="C717" s="0" t="str">
        <f>IFERROR(__xludf.DUMMYFUNCTION("""COMPUTED_VALUE"""),"17jhCujI-0V0U3n5lzlkc-azSuwCa7rf-4KwcSInm9ts")</f>
        <v>17jhCujI-0V0U3n5lzlkc-azSuwCa7rf-4KwcSInm9ts</v>
      </c>
    </row>
    <row r="718" ht="15.75" customHeight="1">
      <c r="A718" s="0" t="str">
        <f>IFERROR(__xludf.DUMMYFUNCTION("""COMPUTED_VALUE"""),"Unknown")</f>
        <v>Unknown</v>
      </c>
      <c r="B718" s="0" t="str">
        <f>IFERROR(__xludf.DUMMYFUNCTION("""COMPUTED_VALUE"""),"RightClickAndClickOperations")</f>
        <v>RightClickAndClickOperations</v>
      </c>
      <c r="C718" s="0" t="str">
        <f>IFERROR(__xludf.DUMMYFUNCTION("""COMPUTED_VALUE"""),"1e9jtl9r57SkbYm3S4wbHtvkeG2KExZEiFSIkkRSaq-8")</f>
        <v>1e9jtl9r57SkbYm3S4wbHtvkeG2KExZEiFSIkkRSaq-8</v>
      </c>
    </row>
    <row r="719" ht="15.75" customHeight="1">
      <c r="A719" s="0" t="str">
        <f>IFERROR(__xludf.DUMMYFUNCTION("""COMPUTED_VALUE"""),"Blotter")</f>
        <v>Blotter</v>
      </c>
      <c r="B719" s="0" t="str">
        <f>IFERROR(__xludf.DUMMYFUNCTION("""COMPUTED_VALUE"""),"BlotterToolBarAction")</f>
        <v>BlotterToolBarAction</v>
      </c>
      <c r="C719" s="0" t="str">
        <f>IFERROR(__xludf.DUMMYFUNCTION("""COMPUTED_VALUE"""),"1bI1kIBxH6qy8zi5tx46rN3vNgbmxbdwtAo1inrXDALs")</f>
        <v>1bI1kIBxH6qy8zi5tx46rN3vNgbmxbdwtAo1inrXDALs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IFERROR(__xludf.DUMMYFUNCTION("""COMPUTED_VALUE"""),"MergeTT")</f>
        <v>MergeTT</v>
      </c>
      <c r="C720" s="0" t="str">
        <f>IFERROR(__xludf.DUMMYFUNCTION("""COMPUTED_VALUE"""),"1BEiRPdwHXsXVZ0ioude04Me5qSQ_YU6xh1ZwMWgExVU")</f>
        <v>1BEiRPdwHXsXVZ0ioude04Me5qSQ_YU6xh1ZwMWgExVU</v>
      </c>
    </row>
    <row r="721" ht="15.75" customHeight="1">
      <c r="A721" s="0" t="str">
        <f>IFERROR(__xludf.DUMMYFUNCTION("""COMPUTED_VALUE"""),"PortfolioManagement")</f>
        <v>PortfolioManagement</v>
      </c>
      <c r="B721" s="0" t="str">
        <f>IFERROR(__xludf.DUMMYFUNCTION("""COMPUTED_VALUE"""),"OperationsonPM")</f>
        <v>OperationsonPM</v>
      </c>
      <c r="C721" s="0" t="str">
        <f>IFERROR(__xludf.DUMMYFUNCTION("""COMPUTED_VALUE"""),"13hKVogBv66c752V1EGUyqXp4dGESQOZLmMqIB56fbAs")</f>
        <v>13hKVogBv66c752V1EGUyqXp4dGESQOZLmMqIB56fbAs</v>
      </c>
    </row>
    <row r="722" ht="15.75" customHeight="1">
      <c r="A722" s="0" t="str">
        <f>IFERROR(__xludf.DUMMYFUNCTION("""COMPUTED_VALUE"""),"Rebalancer")</f>
        <v>Rebalancer</v>
      </c>
      <c r="B722" s="0" t="str">
        <f>IFERROR(__xludf.DUMMYFUNCTION("""COMPUTED_VALUE"""),"CreateOrViewModelPortfolio")</f>
        <v>CreateOrViewModelPortfolio</v>
      </c>
      <c r="C722" s="0" t="str">
        <f>IFERROR(__xludf.DUMMYFUNCTION("""COMPUTED_VALUE"""),"1vejknW_QiO0r5pMzMjOGCCsgwLVes4a3Ubx1l-0Mg1k")</f>
        <v>1vejknW_QiO0r5pMzMjOGCCsgwLVes4a3Ubx1l-0Mg1k</v>
      </c>
    </row>
    <row r="723" ht="15.75" customHeight="1">
      <c r="A723" s="0" t="str">
        <f>IFERROR(__xludf.DUMMYFUNCTION("""COMPUTED_VALUE"""),"Rebalancer")</f>
        <v>Rebalancer</v>
      </c>
      <c r="B723" s="0" t="str">
        <f>IFERROR(__xludf.DUMMYFUNCTION("""COMPUTED_VALUE"""),"VerifyModelPortfolio")</f>
        <v>VerifyModelPortfolio</v>
      </c>
      <c r="C723" s="0" t="str">
        <f>IFERROR(__xludf.DUMMYFUNCTION("""COMPUTED_VALUE"""),"1Tza5cx7NJ2J8vr_f6DC-KPhnXCzf7l1m0EERc6z_T-U")</f>
        <v>1Tza5cx7NJ2J8vr_f6DC-KPhnXCzf7l1m0EERc6z_T-U</v>
      </c>
    </row>
    <row r="724" ht="15.75" customHeight="1">
      <c r="A724" s="0" t="str">
        <f>IFERROR(__xludf.DUMMYFUNCTION("""COMPUTED_VALUE"""),"Allocation")</f>
        <v>Allocation</v>
      </c>
      <c r="B724" s="0" t="str">
        <f>IFERROR(__xludf.DUMMYFUNCTION("""COMPUTED_VALUE"""),"ReviewExistingPositions")</f>
        <v>ReviewExistingPositions</v>
      </c>
      <c r="C724" s="0" t="str">
        <f>IFERROR(__xludf.DUMMYFUNCTION("""COMPUTED_VALUE"""),"1KwYoTdpeW6LDhzloVKHp5buZqc8IjXEShjwnUx45Ql8")</f>
        <v>1KwYoTdpeW6LDhzloVKHp5buZqc8IjXEShjwnUx45Ql8</v>
      </c>
    </row>
    <row r="725" ht="15.75" customHeight="1">
      <c r="A725" s="0" t="str">
        <f>IFERROR(__xludf.DUMMYFUNCTION("""COMPUTED_VALUE"""),"PTT")</f>
        <v>PTT</v>
      </c>
      <c r="B725" s="0" t="str">
        <f>IFERROR(__xludf.DUMMYFUNCTION("""COMPUTED_VALUE"""),"OperationsonPTT")</f>
        <v>OperationsonPTT</v>
      </c>
      <c r="C725" s="0" t="str">
        <f>IFERROR(__xludf.DUMMYFUNCTION("""COMPUTED_VALUE"""),"1J40rCXEDilLEF_x0Wkeeg1lwGfejucV1VSY9UcyeSlw")</f>
        <v>1J40rCXEDilLEF_x0Wkeeg1lwGfejucV1VSY9UcyeSlw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IFERROR(__xludf.DUMMYFUNCTION("""COMPUTED_VALUE"""),"CheckSummaryDashboard")</f>
        <v>CheckSummaryDashboard</v>
      </c>
      <c r="C726" s="0" t="str">
        <f>IFERROR(__xludf.DUMMYFUNCTION("""COMPUTED_VALUE"""),"19yZ--qYnhGSO8AdhnHqcmGmViOWMDkup5wR8bA3T2Os")</f>
        <v>19yZ--qYnhGSO8AdhnHqcmGmViOWMDkup5wR8bA3T2Os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IFERROR(__xludf.DUMMYFUNCTION("""COMPUTED_VALUE"""),"CheckFundLevelAggregation")</f>
        <v>CheckFundLevelAggregation</v>
      </c>
      <c r="C727" s="0" t="str">
        <f>IFERROR(__xludf.DUMMYFUNCTION("""COMPUTED_VALUE"""),"1onoHaI0svf2S0wDmLkCePbLXTpyPt2uzhxg7tVdRMeI")</f>
        <v>1onoHaI0svf2S0wDmLkCePbLXTpyPt2uzhxg7tVdRMeI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IFERROR(__xludf.DUMMYFUNCTION("""COMPUTED_VALUE"""),"CheckAccountLevelAggregation")</f>
        <v>CheckAccountLevelAggregation</v>
      </c>
      <c r="C728" s="0" t="str">
        <f>IFERROR(__xludf.DUMMYFUNCTION("""COMPUTED_VALUE"""),"1wpk-GXi0GZ8cadXtuW18V6GfYany_8NjDMShh2aobZ4")</f>
        <v>1wpk-GXi0GZ8cadXtuW18V6GfYany_8NjDMShh2aobZ4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IFERROR(__xludf.DUMMYFUNCTION("""COMPUTED_VALUE"""),"CheckSymbolLevelAggregation")</f>
        <v>CheckSymbolLevelAggregation</v>
      </c>
      <c r="C729" s="0" t="str">
        <f>IFERROR(__xludf.DUMMYFUNCTION("""COMPUTED_VALUE"""),"1j6_k8vwocZ8wAvUMMfdx9IKldUmmqzRN2HCaaoFysqc")</f>
        <v>1j6_k8vwocZ8wAvUMMfdx9IKldUmmqzRN2HCaaoFysqc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IFERROR(__xludf.DUMMYFUNCTION("""COMPUTED_VALUE"""),"CheckRealTimeSymbolFundMonitor")</f>
        <v>CheckRealTimeSymbolFundMonitor</v>
      </c>
      <c r="C730" s="0" t="str">
        <f>IFERROR(__xludf.DUMMYFUNCTION("""COMPUTED_VALUE"""),"1YeAroYmlm8GLwEhMTsKLli9Lc6cZEoPatK76WOit8ho")</f>
        <v>1YeAroYmlm8GLwEhMTsKLli9Lc6cZEoPatK76WOit8ho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IFERROR(__xludf.DUMMYFUNCTION("""COMPUTED_VALUE"""),"CheckRealTimeSymAccountMonitor")</f>
        <v>CheckRealTimeSymAccountMonitor</v>
      </c>
      <c r="C731" s="0" t="str">
        <f>IFERROR(__xludf.DUMMYFUNCTION("""COMPUTED_VALUE"""),"1YWIN_lFXkJFac_sw0d58YkjeJOr7Xa3JotKO9BAEG3Q")</f>
        <v>1YWIN_lFXkJFac_sw0d58YkjeJOr7Xa3JotKO9BAEG3Q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IFERROR(__xludf.DUMMYFUNCTION("""COMPUTED_VALUE"""),"OpenRTPNL")</f>
        <v>OpenRTPNL</v>
      </c>
      <c r="C732" s="0" t="str">
        <f>IFERROR(__xludf.DUMMYFUNCTION("""COMPUTED_VALUE"""),"1j-FWEidBpUuPYcE4AbSAw08LdLumr0SQSFYFcyX2SkM")</f>
        <v>1j-FWEidBpUuPYcE4AbSAw08LdLumr0SQSFYFcyX2SkM</v>
      </c>
    </row>
    <row r="733" ht="15.75" customHeight="1">
      <c r="A733" s="0" t="str">
        <f>IFERROR(__xludf.DUMMYFUNCTION("""COMPUTED_VALUE"""),"PricingInput")</f>
        <v>PricingInput</v>
      </c>
      <c r="B733" s="0" t="str">
        <f>IFERROR(__xludf.DUMMYFUNCTION("""COMPUTED_VALUE"""),"UpdatePricingInput")</f>
        <v>UpdatePricingInput</v>
      </c>
      <c r="C733" s="0" t="str">
        <f>IFERROR(__xludf.DUMMYFUNCTION("""COMPUTED_VALUE"""),"1CG9iYOkRKzlGEsKh7QuEyMdGRQea_W4KDWwlnjE2BdE")</f>
        <v>1CG9iYOkRKzlGEsKh7QuEyMdGRQea_W4KDWwlnjE2BdE</v>
      </c>
    </row>
    <row r="734" ht="15.75" customHeight="1">
      <c r="A734" s="0" t="str">
        <f>IFERROR(__xludf.DUMMYFUNCTION("""COMPUTED_VALUE"""),"DailyValuation")</f>
        <v>DailyValuation</v>
      </c>
      <c r="B734" s="0" t="str">
        <f>IFERROR(__xludf.DUMMYFUNCTION("""COMPUTED_VALUE"""),"UpdateMPAndFC")</f>
        <v>UpdateMPAndFC</v>
      </c>
      <c r="C734" s="0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3000</v>
      </c>
      <c r="E6" s="30"/>
      <c r="F6" s="12" t="s">
        <v>18</v>
      </c>
      <c r="G6" s="12" t="s">
        <v>19</v>
      </c>
      <c r="H6" s="12" t="s">
        <v>20</v>
      </c>
      <c r="I6" s="12" t="s">
        <v>21</v>
      </c>
      <c r="J6" s="12">
        <v>10</v>
      </c>
      <c r="K6" s="8"/>
      <c r="L6" s="8"/>
      <c r="M6" s="8"/>
      <c r="N6" s="31">
        <f ref="N6:N7" t="shared" si="1">today()</f>
        <v>45790</v>
      </c>
      <c r="O6" s="8"/>
    </row>
    <row r="7" ht="15.75" customHeight="1">
      <c r="A7" s="12"/>
      <c r="B7" s="12" t="s">
        <v>22</v>
      </c>
      <c r="C7" s="12" t="s">
        <v>17</v>
      </c>
      <c r="D7" s="12">
        <v>3000</v>
      </c>
      <c r="E7" s="30"/>
      <c r="F7" s="12" t="s">
        <v>18</v>
      </c>
      <c r="G7" s="12" t="s">
        <v>19</v>
      </c>
      <c r="H7" s="12" t="s">
        <v>20</v>
      </c>
      <c r="I7" s="12" t="s">
        <v>21</v>
      </c>
      <c r="J7" s="12">
        <v>10</v>
      </c>
      <c r="K7" s="8"/>
      <c r="L7" s="8"/>
      <c r="M7" s="8"/>
      <c r="N7" s="31">
        <f t="shared" si="1"/>
        <v>45790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3000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</v>
      </c>
      <c r="E6" s="12">
        <v>2000</v>
      </c>
      <c r="F6" s="8"/>
      <c r="G6" s="12" t="s">
        <v>19</v>
      </c>
      <c r="H6" s="8"/>
      <c r="I6" s="8"/>
      <c r="J6" s="12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RemoveSelectedOrders!$4:$4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9" t="s">
        <v>26</v>
      </c>
      <c r="AL6" s="9">
        <v>3000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17</v>
      </c>
      <c r="D6" s="12">
        <v>3000</v>
      </c>
      <c r="E6" s="30"/>
      <c r="F6" s="12" t="s">
        <v>18</v>
      </c>
      <c r="G6" s="12" t="s">
        <v>19</v>
      </c>
      <c r="H6" s="12" t="s">
        <v>20</v>
      </c>
      <c r="I6" s="12" t="s">
        <v>21</v>
      </c>
      <c r="J6" s="12">
        <v>10</v>
      </c>
      <c r="K6" s="8"/>
      <c r="L6" s="8"/>
      <c r="M6" s="8"/>
      <c r="N6" s="31">
        <f ref="N6:N7" t="shared" si="1">today()</f>
        <v>45790</v>
      </c>
      <c r="O6" s="8"/>
    </row>
    <row r="7" ht="15.75" customHeight="1">
      <c r="A7" s="8"/>
      <c r="B7" s="12" t="s">
        <v>31</v>
      </c>
      <c r="C7" s="12" t="s">
        <v>17</v>
      </c>
      <c r="D7" s="12">
        <v>3000</v>
      </c>
      <c r="E7" s="8"/>
      <c r="F7" s="12" t="s">
        <v>18</v>
      </c>
      <c r="G7" s="12" t="s">
        <v>19</v>
      </c>
      <c r="H7" s="12" t="s">
        <v>20</v>
      </c>
      <c r="I7" s="12" t="s">
        <v>21</v>
      </c>
      <c r="J7" s="12">
        <v>10</v>
      </c>
      <c r="K7" s="8"/>
      <c r="L7" s="8"/>
      <c r="M7" s="8"/>
      <c r="N7" s="31">
        <f t="shared" si="1"/>
        <v>45790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</v>
      </c>
      <c r="E6" s="12">
        <v>2000</v>
      </c>
      <c r="F6" s="8"/>
      <c r="G6" s="8"/>
      <c r="H6" s="8"/>
      <c r="I6" s="8"/>
      <c r="J6" s="12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1000</v>
      </c>
      <c r="E6" s="12">
        <v>1000</v>
      </c>
      <c r="F6" s="8"/>
      <c r="G6" s="8"/>
      <c r="H6" s="8"/>
      <c r="I6" s="8"/>
      <c r="J6" s="12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IFERROR(__xludf.DUMMYFUNCTION("""COMPUTED_VALUE"""),"CheckBox")</f>
        <v>CheckBox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17</v>
      </c>
      <c r="AK6" s="9" t="s">
        <v>33</v>
      </c>
      <c r="AL6" s="9">
        <v>2000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30</v>
      </c>
      <c r="AK6" s="9" t="s">
        <v>17</v>
      </c>
      <c r="AL6" s="9" t="s">
        <v>33</v>
      </c>
      <c r="AM6" s="9">
        <v>2000</v>
      </c>
      <c r="AT6" s="9" t="s">
        <v>19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3000</v>
      </c>
      <c r="E6" s="30"/>
      <c r="F6" s="12" t="s">
        <v>36</v>
      </c>
      <c r="G6" s="12" t="s">
        <v>37</v>
      </c>
      <c r="H6" s="12" t="s">
        <v>38</v>
      </c>
      <c r="I6" s="12" t="s">
        <v>39</v>
      </c>
      <c r="J6" s="12">
        <v>15</v>
      </c>
      <c r="K6" s="8"/>
      <c r="L6" s="8"/>
      <c r="M6" s="12" t="s">
        <v>40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30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RemoveSelectedOrders1!$4:$4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31</v>
      </c>
      <c r="AJ6" s="9" t="s">
        <v>17</v>
      </c>
      <c r="AK6" s="9" t="s">
        <v>26</v>
      </c>
      <c r="AL6" s="9">
        <v>3000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