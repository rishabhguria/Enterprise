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AllocateFromWorkingSubsBlotter" sheetId="5" r:id="rId7"/>
    <sheet state="visible" name="CustomOrderTT" sheetId="6" r:id="rId8"/>
    <sheet state="visible" name="SelectTradeWorkingSubsBlotter" sheetId="7" r:id="rId9"/>
    <sheet state="visible" name="SetAccountValueCalculatedPref" sheetId="8" r:id="rId10"/>
    <sheet state="visible" name="SetDefaultRuleCalculatedPref" sheetId="9" r:id="rId11"/>
    <sheet state="visible" name="CheckAllocatedGroups" sheetId="10" r:id="rId12"/>
    <sheet state="visible" name="VerifyOrder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<sst xmlns="http://schemas.openxmlformats.org/spreadsheetml/2006/main" count="427" uniqueCount="68">
  <si>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</si>
  <si>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</si>
  <si>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</si>
  <si>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</si>
  <si>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</si>
  <si>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</si>
  <si>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</si>
  <si>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</si>
  <si>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</si>
  <si>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</si>
  <si>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</si>
  <si>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</si>
  <si>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</si>
  <si>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</si>
  <si>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</si>
  <si>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</si>
  <si>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</si>
  <si>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Blotter</t>
  </si>
  <si>
    <t>AllocateFromWorkingSubsBlotter</t>
  </si>
  <si>
    <t>TradingTicket</t>
  </si>
  <si>
    <t>CustomOrderTT</t>
  </si>
  <si>
    <t>AAPL</t>
  </si>
  <si>
    <t>DoneAway</t>
  </si>
  <si>
    <t>Unallocated</t>
  </si>
  <si>
    <t>Buy</t>
  </si>
  <si>
    <t>SelectTradeWorkingSubsBlotter</t>
  </si>
  <si>
    <t>SetAccountValueCalculatedPref</t>
  </si>
  <si>
    <t>Allocation1</t>
  </si>
  <si>
    <t>Allocation2</t>
  </si>
  <si>
    <t>SetDefaultRuleCalculatedPref</t>
  </si>
  <si>
    <t>Trade Quantity</t>
  </si>
  <si>
    <t>Current Preference</t>
  </si>
  <si>
    <t>CheckAllocatedGroups</t>
  </si>
  <si>
    <t/>
  </si>
  <si>
    <t>Multiple</t>
  </si>
  <si>
    <t>Actual_365</t>
  </si>
  <si>
    <t>Equity</t>
  </si>
  <si>
    <t>AAPL US EQUITY</t>
  </si>
  <si>
    <t>Treasury</t>
  </si>
  <si>
    <t>MS</t>
  </si>
  <si>
    <t>Open</t>
  </si>
  <si>
    <t>APPLE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</si>
  <si>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</si>
  <si>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</si>
  <si>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</si>
  <si>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</si>
  <si>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</si>
  <si>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</si>
  <si>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</si>
  <si>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</si>
  <si>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</si>
  <si>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</si>
  <si>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</si>
  <si>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</si>
  <si>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</si>
  <si>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VerifyOrder</t>
  </si>
  <si>
    <t>Filled</t>
  </si>
  <si>
    <t>Day</t>
  </si>
  <si>
    <t>PortfolioManagement</t>
  </si>
  <si>
    <t>CheckPortfolioManagement</t>
  </si>
  <si>
    <t>NewMF1</t>
  </si>
  <si>
    <t>Long</t>
  </si>
  <si>
    <t>New Hedge</t>
  </si>
  <si>
    <t>Small Cap</t>
  </si>
  <si>
    <t>Default</t>
  </si>
  <si>
    <t>Yes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</si>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</sst>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165" xfId="0" applyAlignment="1" applyFont="1" applyNumberFormat="1">
      <alignment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166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/>
      <c r="D6" s="12"/>
      <c r="E6" s="30"/>
      <c r="F6" s="8"/>
      <c r="G6" s="8"/>
      <c r="H6" s="12"/>
      <c r="I6" s="8"/>
      <c r="J6" s="12"/>
      <c r="K6" s="12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AllocateFromWorkingSubsBlotter!$4:$4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21</v>
      </c>
      <c r="C6" s="33">
        <v>100.0</v>
      </c>
      <c r="D6" s="34">
        <v>10.0</v>
      </c>
      <c r="E6" s="35" t="s">
        <v>22</v>
      </c>
      <c r="F6" s="36"/>
      <c r="G6" s="36"/>
      <c r="H6" s="36"/>
      <c r="I6" s="12" t="s">
        <v>23</v>
      </c>
      <c r="J6" s="35" t="s">
        <v>24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24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SelectTradeWorkingSubsBlotter!$4:$4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27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28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30</v>
      </c>
      <c r="C6" s="36"/>
      <c r="D6" s="37" t="s">
        <v>31</v>
      </c>
      <c r="E6" s="30"/>
      <c r="F6" s="8"/>
      <c r="G6" s="8"/>
      <c r="H6" s="12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8" t="s">
        <v>33</v>
      </c>
      <c r="B6" s="38" t="s">
        <v>34</v>
      </c>
      <c r="C6" s="8" t="s">
        <v>35</v>
      </c>
      <c r="D6" s="38">
        <v>0.0</v>
      </c>
      <c r="E6" s="8">
        <v>100.0</v>
      </c>
      <c r="F6" s="8" t="s">
        <v>16</v>
      </c>
      <c r="G6" s="8" t="s">
        <v>36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37</v>
      </c>
      <c r="N6" s="8" t="s">
        <v>38</v>
      </c>
      <c r="O6" s="8" t="s">
        <v>39</v>
      </c>
      <c r="Q6">
        <v>3.0</v>
      </c>
      <c r="R6">
        <v>0.0</v>
      </c>
      <c r="S6" t="s">
        <v>40</v>
      </c>
      <c r="T6">
        <v>0.0</v>
      </c>
      <c r="U6">
        <v>0.0</v>
      </c>
      <c r="V6" t="s">
        <v>41</v>
      </c>
      <c r="W6">
        <v>1.0</v>
      </c>
      <c r="X6">
        <v>0.0</v>
      </c>
      <c r="Y6" t="s">
        <v>33</v>
      </c>
      <c r="Z6" t="s">
        <v>42</v>
      </c>
      <c r="AA6" t="s">
        <v>21</v>
      </c>
      <c r="AB6">
        <v>1.0</v>
      </c>
      <c r="AC6" t="s">
        <v>43</v>
      </c>
      <c r="AD6" t="s">
        <v>44</v>
      </c>
      <c r="AE6">
        <v>100.0</v>
      </c>
      <c r="AF6" t="s">
        <v>33</v>
      </c>
      <c r="AH6" t="s">
        <v>45</v>
      </c>
      <c r="AI6">
        <v>1.0</v>
      </c>
      <c r="AJ6" t="s">
        <v>46</v>
      </c>
      <c r="AM6" t="s">
        <v>47</v>
      </c>
      <c r="AN6" t="b">
        <v>0</v>
      </c>
      <c r="AP6" t="b">
        <v>1</v>
      </c>
      <c r="AQ6" t="b">
        <v>0</v>
      </c>
      <c r="AS6">
        <v>0.0</v>
      </c>
      <c r="AT6">
        <v>1014.0006</v>
      </c>
      <c r="AU6">
        <v>1014.0006</v>
      </c>
      <c r="AW6">
        <v>0.0</v>
      </c>
      <c r="AX6">
        <v>0.0</v>
      </c>
      <c r="AY6" t="s">
        <v>48</v>
      </c>
      <c r="AZ6">
        <v>0.0</v>
      </c>
      <c r="BC6">
        <v>0.0</v>
      </c>
      <c r="BD6" t="s">
        <v>49</v>
      </c>
      <c r="BE6">
        <v>1000.0</v>
      </c>
      <c r="BF6">
        <v>1000.0</v>
      </c>
      <c r="BJ6">
        <v>100.0</v>
      </c>
      <c r="BK6">
        <v>0.0</v>
      </c>
      <c r="BL6" t="s">
        <v>33</v>
      </c>
      <c r="BM6" t="s">
        <v>42</v>
      </c>
      <c r="BO6" t="s">
        <v>24</v>
      </c>
      <c r="BP6">
        <v>0.0</v>
      </c>
      <c r="BQ6">
        <v>0.0</v>
      </c>
      <c r="BR6">
        <v>6.0E-4</v>
      </c>
      <c r="BS6" t="s">
        <v>50</v>
      </c>
      <c r="BT6" t="s">
        <v>21</v>
      </c>
      <c r="BU6">
        <v>3.0</v>
      </c>
      <c r="BV6">
        <v>0.0</v>
      </c>
      <c r="BW6">
        <v>14.0006</v>
      </c>
      <c r="BX6">
        <v>0.0</v>
      </c>
      <c r="CF6" t="s">
        <v>51</v>
      </c>
      <c r="CG6">
        <v>2.0</v>
      </c>
      <c r="CH6" t="s">
        <v>19</v>
      </c>
      <c r="CI6" t="s">
        <v>24</v>
      </c>
      <c r="CJ6">
        <v>0.0</v>
      </c>
      <c r="CK6" t="s">
        <v>52</v>
      </c>
      <c r="CL6">
        <v>1.0</v>
      </c>
      <c r="CM6" t="s">
        <v>21</v>
      </c>
      <c r="CN6" t="s">
        <v>53</v>
      </c>
      <c r="CO6" t="s">
        <v>44</v>
      </c>
      <c r="CP6" t="s">
        <v>54</v>
      </c>
      <c r="CS6" t="s">
        <v>33</v>
      </c>
      <c r="CW6">
        <v>0.0</v>
      </c>
      <c r="CX6" t="s">
        <v>34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/>
      <c r="B7" s="40"/>
      <c r="C7" s="40"/>
      <c r="D7" s="41"/>
      <c r="E7" s="42"/>
      <c r="F7" s="42"/>
      <c r="G7" s="42"/>
      <c r="H7" s="40"/>
      <c r="I7" s="40"/>
      <c r="J7" s="42"/>
      <c r="K7" s="42"/>
      <c r="L7" s="42"/>
      <c r="M7" s="42"/>
      <c r="N7" s="42"/>
      <c r="O7" s="40"/>
      <c r="P7" s="40"/>
      <c r="Q7" s="40"/>
      <c r="R7" s="41"/>
      <c r="S7" s="42"/>
      <c r="T7" s="42"/>
      <c r="U7" s="41"/>
      <c r="V7" s="40"/>
      <c r="W7" s="41"/>
      <c r="X7" s="42"/>
      <c r="Y7" s="41"/>
      <c r="Z7" s="42"/>
      <c r="AA7" s="41"/>
      <c r="AB7" s="40"/>
      <c r="AC7" s="41"/>
      <c r="AD7" s="42"/>
      <c r="AE7" s="41"/>
      <c r="AF7" s="42"/>
      <c r="AG7" s="41"/>
      <c r="AH7" s="40"/>
      <c r="AI7" s="41"/>
      <c r="AJ7" s="40"/>
      <c r="AK7" s="41"/>
      <c r="AL7" s="40"/>
      <c r="AM7" s="41"/>
      <c r="AN7" s="42"/>
      <c r="AO7" s="41"/>
      <c r="AP7" s="41"/>
      <c r="AQ7" s="41"/>
      <c r="AR7" s="40"/>
      <c r="AS7" s="41"/>
      <c r="AT7" s="42"/>
      <c r="AU7" s="41"/>
      <c r="AV7" s="43"/>
      <c r="AW7" s="41"/>
      <c r="AX7" s="43"/>
      <c r="AY7" s="41"/>
      <c r="AZ7" s="40"/>
      <c r="BA7" s="41"/>
      <c r="BB7" s="42"/>
      <c r="BC7" s="41"/>
      <c r="BD7" s="40"/>
      <c r="BE7" s="41"/>
      <c r="BF7" s="41"/>
      <c r="BG7" s="41"/>
      <c r="BH7" s="41"/>
      <c r="BI7" s="41"/>
      <c r="BJ7" s="41"/>
      <c r="BK7" s="41"/>
      <c r="BL7" s="40"/>
      <c r="BM7" s="41"/>
      <c r="BN7" s="41"/>
      <c r="BO7" s="41"/>
      <c r="BP7" s="40"/>
      <c r="BQ7" s="41"/>
      <c r="BR7" s="40"/>
      <c r="BS7" s="41"/>
      <c r="BT7" s="40"/>
      <c r="BU7" s="41"/>
      <c r="BV7" s="42"/>
      <c r="BW7" s="41"/>
      <c r="BX7" s="44"/>
      <c r="BY7" s="41"/>
      <c r="BZ7" s="44"/>
      <c r="CA7" s="41"/>
      <c r="CB7" s="45"/>
      <c r="CC7" s="41"/>
      <c r="CD7" s="42"/>
      <c r="CE7" s="41"/>
      <c r="CF7" s="42"/>
      <c r="CG7" s="41"/>
      <c r="CH7" s="40"/>
      <c r="CI7" s="41"/>
      <c r="CJ7" s="42"/>
      <c r="CK7" s="41"/>
      <c r="CL7" s="45"/>
      <c r="CM7" s="41"/>
      <c r="CN7" s="41"/>
      <c r="CO7" s="41"/>
      <c r="CP7" s="42"/>
      <c r="CQ7" s="41"/>
      <c r="CR7" s="40"/>
      <c r="CS7" s="41"/>
      <c r="CT7" s="44"/>
      <c r="CU7" s="44"/>
      <c r="CV7" s="45"/>
      <c r="CW7" s="41"/>
      <c r="CX7" s="41"/>
      <c r="CY7" s="42"/>
      <c r="CZ7" s="42"/>
      <c r="DA7" s="40"/>
      <c r="DB7" s="40"/>
      <c r="DC7" s="45"/>
      <c r="DD7" s="40"/>
      <c r="DE7" s="42"/>
      <c r="DF7" s="42"/>
      <c r="DG7" s="42"/>
      <c r="DH7" s="40"/>
      <c r="DI7" s="40"/>
      <c r="DJ7" s="42"/>
      <c r="DK7" s="42"/>
      <c r="DL7" s="42"/>
      <c r="DM7" s="42"/>
      <c r="DN7" s="41"/>
      <c r="DO7" s="41"/>
      <c r="DP7" s="41"/>
      <c r="DQ7" s="41"/>
      <c r="DR7" s="41"/>
      <c r="DS7" s="41"/>
      <c r="DT7" s="45"/>
      <c r="DU7" s="40"/>
      <c r="DV7" s="42"/>
      <c r="DW7" s="40"/>
      <c r="DX7" s="40"/>
      <c r="DY7" s="42"/>
      <c r="DZ7" s="40"/>
      <c r="EA7" s="42"/>
      <c r="EB7" s="40"/>
      <c r="EC7" s="40"/>
      <c r="ED7" s="40"/>
      <c r="EE7" s="40"/>
      <c r="EF7" s="43"/>
      <c r="EG7" s="42"/>
      <c r="EH7" s="41"/>
      <c r="EI7" s="41"/>
      <c r="EJ7" s="41"/>
      <c r="E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8" t="s">
        <v>33</v>
      </c>
      <c r="B6" s="38"/>
      <c r="C6" s="8"/>
      <c r="D6" s="38">
        <v>10.0</v>
      </c>
      <c r="E6" s="8" t="s">
        <v>37</v>
      </c>
      <c r="F6" s="8"/>
      <c r="G6" s="8"/>
      <c r="H6" s="8" t="s">
        <v>44</v>
      </c>
      <c r="I6" s="8"/>
      <c r="J6" s="8" t="s">
        <v>21</v>
      </c>
      <c r="K6" s="8" t="s">
        <v>52</v>
      </c>
      <c r="L6" s="8" t="s">
        <v>51</v>
      </c>
      <c r="M6" s="8"/>
      <c r="N6" s="8"/>
      <c r="O6" s="8"/>
      <c r="U6" t="s">
        <v>42</v>
      </c>
      <c r="V6" t="s">
        <v>54</v>
      </c>
      <c r="AC6" t="s">
        <v>47</v>
      </c>
      <c r="AD6">
        <v>1.0</v>
      </c>
      <c r="AF6" t="s">
        <v>45</v>
      </c>
      <c r="AH6" t="s">
        <v>36</v>
      </c>
      <c r="AI6" t="s">
        <v>21</v>
      </c>
      <c r="AJ6" t="s">
        <v>24</v>
      </c>
      <c r="AK6" t="s">
        <v>56</v>
      </c>
      <c r="AL6">
        <v>100.0</v>
      </c>
      <c r="AS6" t="s">
        <v>39</v>
      </c>
      <c r="AU6" t="s">
        <v>48</v>
      </c>
      <c r="AV6">
        <v>1000.0</v>
      </c>
      <c r="AW6">
        <v>1000.0</v>
      </c>
      <c r="AY6" t="s">
        <v>33</v>
      </c>
      <c r="BB6" t="s">
        <v>33</v>
      </c>
      <c r="BC6" t="s">
        <v>33</v>
      </c>
      <c r="BD6" t="s">
        <v>33</v>
      </c>
      <c r="BE6" t="s">
        <v>33</v>
      </c>
      <c r="BF6" t="s">
        <v>33</v>
      </c>
      <c r="BH6" t="s">
        <v>57</v>
      </c>
      <c r="BK6" t="s">
        <v>33</v>
      </c>
      <c r="BN6">
        <v>0.0</v>
      </c>
      <c r="BP6" t="s">
        <v>33</v>
      </c>
      <c r="BQ6" t="s">
        <v>33</v>
      </c>
      <c r="BR6" t="s">
        <v>33</v>
      </c>
      <c r="BS6" t="s">
        <v>33</v>
      </c>
      <c r="BT6" t="s">
        <v>33</v>
      </c>
      <c r="BU6" t="s">
        <v>33</v>
      </c>
      <c r="BV6" t="s">
        <v>33</v>
      </c>
      <c r="BW6" t="s">
        <v>33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H6" t="s">
        <v>33</v>
      </c>
      <c r="CI6" t="s">
        <v>33</v>
      </c>
      <c r="CJ6" t="s">
        <v>33</v>
      </c>
      <c r="CK6" t="s">
        <v>33</v>
      </c>
      <c r="CL6" t="s">
        <v>33</v>
      </c>
      <c r="CM6" t="s">
        <v>33</v>
      </c>
      <c r="CN6" t="s">
        <v>33</v>
      </c>
      <c r="CO6" t="s">
        <v>33</v>
      </c>
      <c r="CP6" t="s">
        <v>33</v>
      </c>
      <c r="CQ6" t="s">
        <v>33</v>
      </c>
      <c r="CR6" t="s">
        <v>33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IFERROR(__xludf.DUMMYFUNCTION("""COMPUTED_VALUE"""),"OpenCustomView")</f>
        <v>OpenCustomView</v>
      </c>
      <c r="AH4" s="25" t="str">
        <f>IFERROR(__xludf.DUMMYFUNCTION("""COMPUTED_VALUE"""),"CheckCustomViewRowSummary")</f>
        <v>CheckCustomViewRowSummary</v>
      </c>
      <c r="AI4" s="25" t="str">
        <f>IFERROR(__xludf.DUMMYFUNCTION("""COMPUTED_VALUE"""),"OpenTaxlotDetails")</f>
        <v>OpenTaxlotDetails</v>
      </c>
      <c r="AJ4" s="25" t="str">
        <f>IFERROR(__xludf.DUMMYFUNCTION("""COMPUTED_VALUE"""),"CheckTaxlotDetails")</f>
        <v>CheckTaxlotDetails</v>
      </c>
      <c r="AK4" s="25" t="str">
        <f>IFERROR(__xludf.DUMMYFUNCTION("""COMPUTED_VALUE"""),"SelectTradeOnPM")</f>
        <v>SelectTradeOnPM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8" t="s">
        <v>33</v>
      </c>
      <c r="B6" s="38"/>
      <c r="C6" s="8" t="s">
        <v>21</v>
      </c>
      <c r="D6" s="38">
        <v>50.0</v>
      </c>
      <c r="E6" s="8" t="s">
        <v>28</v>
      </c>
      <c r="F6" s="8" t="s">
        <v>60</v>
      </c>
      <c r="G6" s="8">
        <v>10.0</v>
      </c>
      <c r="H6" s="8" t="s">
        <v>61</v>
      </c>
      <c r="I6" s="8"/>
      <c r="J6" s="8"/>
      <c r="K6" s="8"/>
      <c r="L6" s="8"/>
      <c r="M6" s="8"/>
      <c r="N6" s="8"/>
      <c r="O6" s="8" t="s">
        <v>41</v>
      </c>
      <c r="Q6">
        <v>-500.0</v>
      </c>
      <c r="R6" t="s">
        <v>39</v>
      </c>
      <c r="T6" t="s">
        <v>36</v>
      </c>
      <c r="U6" t="s">
        <v>52</v>
      </c>
      <c r="V6" t="s">
        <v>44</v>
      </c>
      <c r="W6" t="s">
        <v>42</v>
      </c>
      <c r="X6">
        <v>1.0</v>
      </c>
      <c r="Y6">
        <v>1.0</v>
      </c>
      <c r="AN6" t="s">
        <v>24</v>
      </c>
      <c r="AP6" t="s">
        <v>61</v>
      </c>
      <c r="AQ6" t="s">
        <v>21</v>
      </c>
      <c r="AS6">
        <v>1.0</v>
      </c>
      <c r="AT6" t="s">
        <v>43</v>
      </c>
      <c r="AU6" t="s">
        <v>47</v>
      </c>
      <c r="AV6">
        <v>1.0</v>
      </c>
      <c r="BC6">
        <v>1.0</v>
      </c>
      <c r="BE6" t="s">
        <v>36</v>
      </c>
      <c r="BF6" t="s">
        <v>62</v>
      </c>
      <c r="BG6" t="s">
        <v>63</v>
      </c>
      <c r="BQ6" t="s">
        <v>53</v>
      </c>
      <c r="BR6" t="s">
        <v>39</v>
      </c>
      <c r="BU6" t="s">
        <v>36</v>
      </c>
      <c r="CN6" t="s">
        <v>21</v>
      </c>
      <c r="CO6" t="s">
        <v>21</v>
      </c>
      <c r="CP6" t="s">
        <v>37</v>
      </c>
      <c r="CS6">
        <v>10.0</v>
      </c>
      <c r="CY6" t="s">
        <v>46</v>
      </c>
      <c r="CZ6" t="s">
        <v>64</v>
      </c>
      <c r="DJ6" t="s">
        <v>24</v>
      </c>
      <c r="DM6">
        <v>1.0</v>
      </c>
      <c r="DP6" t="s">
        <v>61</v>
      </c>
      <c r="DZ6" t="s">
        <v>41</v>
      </c>
      <c r="ED6" t="s">
        <v>42</v>
      </c>
      <c r="EE6" t="s">
        <v>65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H6">
        <v>50.0</v>
      </c>
      <c r="FI6" t="s">
        <v>33</v>
      </c>
      <c r="FK6" t="s">
        <v>33</v>
      </c>
      <c r="FL6" t="s">
        <v>33</v>
      </c>
      <c r="FM6">
        <v>0.0</v>
      </c>
      <c r="FN6">
        <v>0.0</v>
      </c>
      <c r="FO6">
        <v>0.0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 t="s">
        <v>33</v>
      </c>
      <c r="B7" s="8"/>
      <c r="C7" s="8" t="s">
        <v>21</v>
      </c>
      <c r="D7" s="8">
        <v>50.0</v>
      </c>
      <c r="E7" s="8" t="s">
        <v>27</v>
      </c>
      <c r="F7" s="8" t="s">
        <v>66</v>
      </c>
      <c r="G7" s="8">
        <v>10.0</v>
      </c>
      <c r="H7" s="8" t="s">
        <v>61</v>
      </c>
      <c r="I7" s="8"/>
      <c r="J7" s="8"/>
      <c r="K7" s="8"/>
      <c r="L7" s="8"/>
      <c r="M7" s="8"/>
      <c r="N7" s="8"/>
      <c r="O7" s="8" t="s">
        <v>41</v>
      </c>
      <c r="Q7">
        <v>-500.0</v>
      </c>
      <c r="R7" t="s">
        <v>67</v>
      </c>
      <c r="T7" t="s">
        <v>36</v>
      </c>
      <c r="U7" t="s">
        <v>52</v>
      </c>
      <c r="V7" t="s">
        <v>44</v>
      </c>
      <c r="W7" t="s">
        <v>42</v>
      </c>
      <c r="X7">
        <v>1.0</v>
      </c>
      <c r="Y7">
        <v>1.0</v>
      </c>
      <c r="AN7" t="s">
        <v>24</v>
      </c>
      <c r="AP7" t="s">
        <v>61</v>
      </c>
      <c r="AQ7" t="s">
        <v>21</v>
      </c>
      <c r="AS7">
        <v>1.0</v>
      </c>
      <c r="AT7" t="s">
        <v>43</v>
      </c>
      <c r="AU7" t="s">
        <v>47</v>
      </c>
      <c r="AV7">
        <v>1.0</v>
      </c>
      <c r="BC7">
        <v>1.0</v>
      </c>
      <c r="BE7" t="s">
        <v>36</v>
      </c>
      <c r="BF7" t="s">
        <v>62</v>
      </c>
      <c r="BG7" t="s">
        <v>63</v>
      </c>
      <c r="BQ7" t="s">
        <v>53</v>
      </c>
      <c r="BR7" t="s">
        <v>39</v>
      </c>
      <c r="BU7" t="s">
        <v>36</v>
      </c>
      <c r="CN7" t="s">
        <v>21</v>
      </c>
      <c r="CO7" t="s">
        <v>21</v>
      </c>
      <c r="CP7" t="s">
        <v>37</v>
      </c>
      <c r="CS7">
        <v>10.0</v>
      </c>
      <c r="CY7" t="s">
        <v>46</v>
      </c>
      <c r="CZ7" t="s">
        <v>64</v>
      </c>
      <c r="DJ7" t="s">
        <v>24</v>
      </c>
      <c r="DM7">
        <v>1.0</v>
      </c>
      <c r="DP7" t="s">
        <v>61</v>
      </c>
      <c r="DZ7" t="s">
        <v>41</v>
      </c>
      <c r="ED7" t="s">
        <v>42</v>
      </c>
      <c r="EE7" t="s">
        <v>65</v>
      </c>
      <c r="EJ7" t="s">
        <v>33</v>
      </c>
      <c r="EK7" t="s">
        <v>33</v>
      </c>
      <c r="EL7" t="s">
        <v>33</v>
      </c>
      <c r="EM7" t="s">
        <v>33</v>
      </c>
      <c r="EN7" t="s">
        <v>33</v>
      </c>
      <c r="EO7" t="s">
        <v>33</v>
      </c>
      <c r="EP7" t="s">
        <v>33</v>
      </c>
      <c r="EQ7" t="s">
        <v>33</v>
      </c>
      <c r="ER7" t="s">
        <v>33</v>
      </c>
      <c r="ES7" t="s">
        <v>33</v>
      </c>
      <c r="ET7" t="s">
        <v>33</v>
      </c>
      <c r="EU7" t="s">
        <v>33</v>
      </c>
      <c r="EV7" t="s">
        <v>33</v>
      </c>
      <c r="EW7" t="s">
        <v>33</v>
      </c>
      <c r="EX7" t="s">
        <v>33</v>
      </c>
      <c r="EY7" t="s">
        <v>33</v>
      </c>
      <c r="EZ7" t="s">
        <v>33</v>
      </c>
      <c r="FA7" t="s">
        <v>33</v>
      </c>
      <c r="FB7" t="s">
        <v>33</v>
      </c>
      <c r="FH7">
        <v>50.0</v>
      </c>
      <c r="FI7" t="s">
        <v>33</v>
      </c>
      <c r="FK7" t="s">
        <v>33</v>
      </c>
      <c r="FL7" t="s">
        <v>33</v>
      </c>
      <c r="FM7">
        <v>0.0</v>
      </c>
      <c r="FN7">
        <v>0.0</v>
      </c>
      <c r="FO7">
        <v>0.0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