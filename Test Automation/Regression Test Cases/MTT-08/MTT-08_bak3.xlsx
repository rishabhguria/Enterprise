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MultiTradingTicketFromBlotter" sheetId="4" r:id="rId6"/>
    <sheet state="visible" name="SelectTradeUsingMTT" sheetId="5" r:id="rId7"/>
    <sheet state="visible" name="EditTradeUsingMTT" sheetId="6" r:id="rId8"/>
    <sheet state="visible" name="DoneAwayUsingMTT" sheetId="7" r:id="rId9"/>
    <sheet state="visible" name="VerifyWorkingSubs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  <sheet state="visible" name="CreateStageOrder" sheetId="12" r:id="rId14"/>
  </sheets>
  <definedNames/>
  <calcPr/>
</workbook>
</file>

<file path=xl/sharedStrings.xml><?xml version="1.0" encoding="utf-8"?>
<sst xmlns="http://schemas.openxmlformats.org/spreadsheetml/2006/main" count="119" uniqueCount="38">
  <si>
    <t>Master Data Info</t>
  </si>
  <si>
    <t>Modules Info</t>
  </si>
  <si>
    <t>Settings</t>
  </si>
  <si>
    <t>Module Step Setting File</t>
  </si>
  <si>
    <t>Modules</t>
  </si>
  <si>
    <t>1eFq-0rBBBruaRgYp8Plf3EAV1IQUFSYg9ee_wKGGGko</t>
  </si>
  <si>
    <t>Master Data Settings File</t>
  </si>
  <si>
    <t>Module</t>
  </si>
  <si>
    <t>1Nt_rf5DtgjbN9Ag4AMMlUkZYROxKZLH5m54YOl7tRT0</t>
  </si>
  <si>
    <t>Step</t>
  </si>
  <si>
    <t>Master Data Sheet</t>
  </si>
  <si>
    <t>Data</t>
  </si>
  <si>
    <t>Blotter</t>
  </si>
  <si>
    <t>MultiTradingTicket</t>
  </si>
  <si>
    <t>MultiTradingTicketFromBlotter</t>
  </si>
  <si>
    <t>Data Format</t>
  </si>
  <si>
    <t>Input Format</t>
  </si>
  <si>
    <t>SelectTradeUsingMTT</t>
  </si>
  <si>
    <t>CSCO</t>
  </si>
  <si>
    <t>Buy</t>
  </si>
  <si>
    <t>Sell</t>
  </si>
  <si>
    <t>EditTradeUsingMTT</t>
  </si>
  <si>
    <t>DoneAwayUsingMTT</t>
  </si>
  <si>
    <t>Stop</t>
  </si>
  <si>
    <t>Limit</t>
  </si>
  <si>
    <t>VerifyWorkingSubs</t>
  </si>
  <si>
    <t>Allocation</t>
  </si>
  <si>
    <t>GetDataAllocation</t>
  </si>
  <si>
    <t>Current</t>
  </si>
  <si>
    <t>PortfolioManagement</t>
  </si>
  <si>
    <t>CheckPortfolioManagement</t>
  </si>
  <si>
    <t>CheckAllocatedGroups</t>
  </si>
  <si>
    <t>Allocation1</t>
  </si>
  <si>
    <t>Allocation2</t>
  </si>
  <si>
    <t>TradingTicket</t>
  </si>
  <si>
    <t>CreateStageOrder</t>
  </si>
  <si>
    <t>MS</t>
  </si>
  <si>
    <t>HKG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</si>
</sst>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2" fontId="1" numFmtId="0" xfId="0" applyAlignment="1" applyBorder="1" applyFont="1">
      <alignment horizontal="center" shrinkToFit="0" wrapText="0"/>
    </xf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0" xfId="0" applyAlignment="1" applyFont="1">
      <alignment horizontal="left" readingOrder="0"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horizontal="left" readingOrder="0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left" vertical="bottom"/>
    </xf>
    <xf borderId="0" fillId="0" fontId="4" numFmtId="0" xfId="0" applyAlignment="1" applyFont="1">
      <alignment horizontal="right" readingOrder="0" vertical="bottom"/>
    </xf>
    <xf borderId="0" fillId="0" fontId="2" numFmtId="0" xfId="0" applyAlignment="1" applyFont="1">
      <alignment horizontal="left" vertical="bottom"/>
    </xf>
    <xf borderId="0" fillId="0" fontId="13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2"/>
      <c r="C1" s="2"/>
      <c r="D1" s="2"/>
      <c r="E1" s="2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0"/>
      <c r="C3" s="11"/>
      <c r="D3" s="11"/>
      <c r="E3" s="11"/>
      <c r="F3" s="11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2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2</v>
      </c>
      <c r="B1" s="2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2" t="s">
        <v>6</v>
      </c>
      <c r="B4" s="9" t="s">
        <v>8</v>
      </c>
      <c r="C4" s="6"/>
    </row>
    <row r="5" ht="15.75" customHeight="1">
      <c r="A5" s="14"/>
      <c r="B5" s="6"/>
      <c r="C5" s="6"/>
    </row>
    <row r="6" ht="15.75" customHeight="1">
      <c r="A6" s="14"/>
      <c r="B6" s="6"/>
      <c r="C6" s="6"/>
    </row>
    <row r="7" ht="15.75" customHeight="1">
      <c r="A7" s="14"/>
      <c r="B7" s="6"/>
      <c r="C7" s="6"/>
    </row>
    <row r="8" ht="15.75" customHeight="1">
      <c r="A8" s="14"/>
      <c r="B8" s="6"/>
      <c r="C8" s="6"/>
    </row>
    <row r="9" ht="15.75" customHeight="1">
      <c r="A9" s="14"/>
      <c r="B9" s="6"/>
      <c r="C9" s="6"/>
    </row>
    <row r="10" ht="15.75" customHeight="1">
      <c r="A10" s="14"/>
      <c r="B10" s="6"/>
      <c r="C10" s="6"/>
    </row>
    <row r="11" ht="15.75" customHeight="1">
      <c r="A11" s="14"/>
      <c r="B11" s="6"/>
      <c r="C11" s="6"/>
    </row>
    <row r="12" ht="15.75" customHeight="1">
      <c r="A12" s="14"/>
      <c r="B12" s="6"/>
      <c r="C12" s="6"/>
    </row>
    <row r="13" ht="15.75" customHeight="1">
      <c r="A13" s="14"/>
      <c r="B13" s="6"/>
      <c r="C13" s="6"/>
    </row>
    <row r="14" ht="15.75" customHeight="1">
      <c r="A14" s="14"/>
      <c r="B14" s="6"/>
      <c r="C14" s="6"/>
    </row>
    <row r="15" ht="15.75" customHeight="1">
      <c r="A15" s="14"/>
      <c r="B15" s="6"/>
      <c r="C15" s="6"/>
    </row>
    <row r="16" ht="15.75" customHeight="1">
      <c r="A16" s="14"/>
      <c r="B16" s="6"/>
      <c r="C16" s="6"/>
    </row>
    <row r="17" ht="15.75" customHeight="1">
      <c r="A17" s="14"/>
      <c r="B17" s="6"/>
      <c r="C17" s="6"/>
    </row>
    <row r="18" ht="15.75" customHeight="1">
      <c r="A18" s="14"/>
      <c r="B18" s="6"/>
      <c r="C18" s="6"/>
    </row>
    <row r="19" ht="15.75" customHeight="1">
      <c r="A19" s="14"/>
      <c r="B19" s="6"/>
      <c r="C19" s="6"/>
    </row>
    <row r="20" ht="15.75" customHeight="1">
      <c r="A20" s="14"/>
      <c r="B20" s="6"/>
      <c r="C20" s="6"/>
    </row>
    <row r="21" ht="15.75" customHeight="1">
      <c r="A21" s="14"/>
      <c r="B21" s="6"/>
      <c r="C21" s="6"/>
    </row>
    <row r="22" ht="15.75" customHeight="1">
      <c r="A22" s="14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5"/>
    </row>
    <row r="2">
      <c r="A2" s="7"/>
      <c r="B2" s="7"/>
      <c r="C2" s="7"/>
      <c r="D2" s="7"/>
      <c r="E2" s="7"/>
      <c r="F2" s="7"/>
    </row>
    <row r="3">
      <c r="A3" s="12" t="s">
        <v>7</v>
      </c>
      <c r="B3" s="13" t="s">
        <v>9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14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IFERROR(__xludf.DUMMYFUNCTION("""COMPUTED_VALUE"""),"Target Qty")</f>
        <v>Target Qty</v>
      </c>
      <c r="AM5" s="28" t="str">
        <f>IFERROR(__xludf.DUMMYFUNCTION("""COMPUTED_VALUE"""),"Total Executed Qty")</f>
        <v>Total 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IFERROR(__xludf.DUMMYFUNCTION("""COMPUTED_VALUE"""),"Uncommitted Qty")</f>
        <v>Uncommitted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/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AI6" s="29" t="s">
        <v>18</v>
      </c>
      <c r="AJ6" s="29" t="s">
        <v>19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AI7" s="29" t="s">
        <v>18</v>
      </c>
      <c r="AJ7" s="29" t="s">
        <v>20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13</v>
      </c>
      <c r="D3" s="8" t="s">
        <v>9</v>
      </c>
      <c r="E3" s="21" t="s">
        <v>17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IFERROR(__xludf.DUMMYFUNCTION("IF(C3="""","""",Transpose(IMPORTRANGE('_Settings'!$B$3,C3&amp;""!A4:A1000"")))"),"EditTradeUsingMTT")</f>
        <v>EditTradeUsingMTT</v>
      </c>
      <c r="C4" s="23" t="str">
        <f>IFERROR(__xludf.DUMMYFUNCTION("""COMPUTED_VALUE"""),"SelectTradeUsingMTT")</f>
        <v>SelectTradeUsingMTT</v>
      </c>
      <c r="D4" s="23" t="str">
        <f>IFERROR(__xludf.DUMMYFUNCTION("""COMPUTED_VALUE"""),"GetPriceUsingMTT")</f>
        <v>GetPriceUsingMTT</v>
      </c>
      <c r="E4" s="23" t="str">
        <f>IFERROR(__xludf.DUMMYFUNCTION("""COMPUTED_VALUE"""),"DoneAwayUsingMTT")</f>
        <v>DoneAwayUsingMTT</v>
      </c>
      <c r="F4" s="23" t="str">
        <f>IFERROR(__xludf.DUMMYFUNCTION("""COMPUTED_VALUE"""),"SendOrderUsingMTT")</f>
        <v>SendOrderUsingMTT</v>
      </c>
      <c r="G4" s="23" t="str">
        <f>IFERROR(__xludf.DUMMYFUNCTION("""COMPUTED_VALUE"""),"BulkChangeTradeDoneAway")</f>
        <v>BulkChangeTradeDoneAway</v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 Quantity")</f>
        <v>Target Quantity</v>
      </c>
      <c r="F5" s="27" t="str">
        <f>IFERROR(__xludf.DUMMYFUNCTION("""COMPUTED_VALUE"""),"Account")</f>
        <v>Account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 Rate")</f>
        <v>FX 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 Basis")</f>
        <v>Commission Basis</v>
      </c>
      <c r="S5" s="26" t="str">
        <f>IFERROR(__xludf.DUMMYFUNCTION("""COMPUTED_VALUE"""),"Commission Rate")</f>
        <v>Commission Rate</v>
      </c>
      <c r="T5" s="28" t="str">
        <f>IFERROR(__xludf.DUMMYFUNCTION("""COMPUTED_VALUE"""),"Soft Basis")</f>
        <v>Soft Basis</v>
      </c>
      <c r="U5" s="28" t="str">
        <f>IFERROR(__xludf.DUMMYFUNCTION("""COMPUTED_VALUE"""),"Soft Rate")</f>
        <v>Soft Rate</v>
      </c>
      <c r="V5" s="28" t="str">
        <f>IFERROR(__xludf.DUMMYFUNCTION("""COMPUTED_VALUE"""),"Trade Attribute 1")</f>
        <v>Trade Attribute 1</v>
      </c>
      <c r="W5" s="28" t="str">
        <f>IFERROR(__xludf.DUMMYFUNCTION("""COMPUTED_VALUE"""),"Trade Attribute 2")</f>
        <v>Trade Attribute 2</v>
      </c>
      <c r="X5" s="28" t="str">
        <f>IFERROR(__xludf.DUMMYFUNCTION("""COMPUTED_VALUE"""),"Trade Attribute 3")</f>
        <v>Trade Attribute 3</v>
      </c>
      <c r="Y5" s="28" t="str">
        <f>IFERROR(__xludf.DUMMYFUNCTION("""COMPUTED_VALUE"""),"Trade Attribute 4")</f>
        <v>Trade Attribute 4</v>
      </c>
      <c r="Z5" s="28" t="str">
        <f>IFERROR(__xludf.DUMMYFUNCTION("""COMPUTED_VALUE"""),"Trade Attribute 5")</f>
        <v>Trade Attribute 5</v>
      </c>
      <c r="AA5" s="28" t="str">
        <f>IFERROR(__xludf.DUMMYFUNCTION("""COMPUTED_VALUE"""),"Trade Attribute 6")</f>
        <v>Trade Attribute 6</v>
      </c>
      <c r="AB5" s="28" t="str">
        <f>IFERROR(__xludf.DUMMYFUNCTION("""COMPUTED_VALUE"""),"Venue")</f>
        <v>Venue</v>
      </c>
      <c r="AC5" s="28" t="str">
        <f>IFERROR(__xludf.DUMMYFUNCTION("""COMPUTED_VALUE"""),"Execution Instructions")</f>
        <v>Execution Instructions</v>
      </c>
      <c r="AD5" s="28" t="str">
        <f>IFERROR(__xludf.DUMMYFUNCTION("""COMPUTED_VALUE"""),"Handling Instructions")</f>
        <v>Handling Instructions</v>
      </c>
      <c r="AE5" s="28" t="str">
        <f>IFERROR(__xludf.DUMMYFUNCTION("""COMPUTED_VALUE"""),"Trader")</f>
        <v>Trader</v>
      </c>
      <c r="AF5" s="28" t="str">
        <f>IFERROR(__xludf.DUMMYFUNCTION("""COMPUTED_VALUE"""),"Settlement Currency")</f>
        <v>Settlement Currency</v>
      </c>
      <c r="AG5" s="28" t="str">
        <f>IFERROR(__xludf.DUMMYFUNCTION("""COMPUTED_VALUE"""),"Settlement Fx Rate")</f>
        <v>Settlement Fx Rate</v>
      </c>
      <c r="AH5" s="28" t="str">
        <f>IFERROR(__xludf.DUMMYFUNCTION("""COMPUTED_VALUE"""),"Settlement Amount")</f>
        <v>Settlement Amount</v>
      </c>
      <c r="AI5" s="28" t="str">
        <f>IFERROR(__xludf.DUMMYFUNCTION("""COMPUTED_VALUE"""),"Settlement Fx Operator")</f>
        <v>Settlement Fx Operator</v>
      </c>
      <c r="AJ5" s="28" t="str">
        <f>IFERROR(__xludf.DUMMYFUNCTION("""COMPUTED_VALUE"""),"ImportFileName")</f>
        <v>ImportFileName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 t="s">
        <v>18</v>
      </c>
      <c r="C6" s="29" t="s">
        <v>19</v>
      </c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1" t="s">
        <v>18</v>
      </c>
      <c r="C7" s="31" t="s">
        <v>20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13</v>
      </c>
      <c r="D3" s="8" t="s">
        <v>9</v>
      </c>
      <c r="E3" s="21" t="s">
        <v>21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IFERROR(__xludf.DUMMYFUNCTION("IF(C3="""","""",Transpose(IMPORTRANGE('_Settings'!$B$3,C3&amp;""!A4:A1000"")))"),"EditTradeUsingMTT")</f>
        <v>EditTradeUsingMTT</v>
      </c>
      <c r="C4" s="23" t="str">
        <f>IFERROR(__xludf.DUMMYFUNCTION("""COMPUTED_VALUE"""),"SelectTradeUsingMTT")</f>
        <v>SelectTradeUsingMTT</v>
      </c>
      <c r="D4" s="23" t="str">
        <f>IFERROR(__xludf.DUMMYFUNCTION("""COMPUTED_VALUE"""),"GetPriceUsingMTT")</f>
        <v>GetPriceUsingMTT</v>
      </c>
      <c r="E4" s="23" t="str">
        <f>IFERROR(__xludf.DUMMYFUNCTION("""COMPUTED_VALUE"""),"DoneAwayUsingMTT")</f>
        <v>DoneAwayUsingMTT</v>
      </c>
      <c r="F4" s="23" t="str">
        <f>IFERROR(__xludf.DUMMYFUNCTION("""COMPUTED_VALUE"""),"SendOrderUsingMTT")</f>
        <v>SendOrderUsingMTT</v>
      </c>
      <c r="G4" s="23" t="str">
        <f>IFERROR(__xludf.DUMMYFUNCTION("""COMPUTED_VALUE"""),"BulkChangeTradeDoneAway")</f>
        <v>BulkChangeTradeDoneAway</v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 Quantity")</f>
        <v>Target Quantity</v>
      </c>
      <c r="F5" s="27" t="str">
        <f>IFERROR(__xludf.DUMMYFUNCTION("""COMPUTED_VALUE"""),"Account")</f>
        <v>Account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 Rate")</f>
        <v>FX 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 Basis")</f>
        <v>Commission Basis</v>
      </c>
      <c r="S5" s="26" t="str">
        <f>IFERROR(__xludf.DUMMYFUNCTION("""COMPUTED_VALUE"""),"Commission Rate")</f>
        <v>Commission Rate</v>
      </c>
      <c r="T5" s="28" t="str">
        <f>IFERROR(__xludf.DUMMYFUNCTION("""COMPUTED_VALUE"""),"Soft Basis")</f>
        <v>Soft Basis</v>
      </c>
      <c r="U5" s="28" t="str">
        <f>IFERROR(__xludf.DUMMYFUNCTION("""COMPUTED_VALUE"""),"Soft Rate")</f>
        <v>Soft Rate</v>
      </c>
      <c r="V5" s="28" t="str">
        <f>IFERROR(__xludf.DUMMYFUNCTION("""COMPUTED_VALUE"""),"Trade Attribute 1")</f>
        <v>Trade Attribute 1</v>
      </c>
      <c r="W5" s="28" t="str">
        <f>IFERROR(__xludf.DUMMYFUNCTION("""COMPUTED_VALUE"""),"Trade Attribute 2")</f>
        <v>Trade Attribute 2</v>
      </c>
      <c r="X5" s="28" t="str">
        <f>IFERROR(__xludf.DUMMYFUNCTION("""COMPUTED_VALUE"""),"Trade Attribute 3")</f>
        <v>Trade Attribute 3</v>
      </c>
      <c r="Y5" s="28" t="str">
        <f>IFERROR(__xludf.DUMMYFUNCTION("""COMPUTED_VALUE"""),"Trade Attribute 4")</f>
        <v>Trade Attribute 4</v>
      </c>
      <c r="Z5" s="28" t="str">
        <f>IFERROR(__xludf.DUMMYFUNCTION("""COMPUTED_VALUE"""),"Trade Attribute 5")</f>
        <v>Trade Attribute 5</v>
      </c>
      <c r="AA5" s="28" t="str">
        <f>IFERROR(__xludf.DUMMYFUNCTION("""COMPUTED_VALUE"""),"Trade Attribute 6")</f>
        <v>Trade Attribute 6</v>
      </c>
      <c r="AB5" s="28" t="str">
        <f>IFERROR(__xludf.DUMMYFUNCTION("""COMPUTED_VALUE"""),"Venue")</f>
        <v>Venue</v>
      </c>
      <c r="AC5" s="28" t="str">
        <f>IFERROR(__xludf.DUMMYFUNCTION("""COMPUTED_VALUE"""),"Execution Instructions")</f>
        <v>Execution Instructions</v>
      </c>
      <c r="AD5" s="28" t="str">
        <f>IFERROR(__xludf.DUMMYFUNCTION("""COMPUTED_VALUE"""),"Handling Instructions")</f>
        <v>Handling Instructions</v>
      </c>
      <c r="AE5" s="28" t="str">
        <f>IFERROR(__xludf.DUMMYFUNCTION("""COMPUTED_VALUE"""),"Trader")</f>
        <v>Trader</v>
      </c>
      <c r="AF5" s="28" t="str">
        <f>IFERROR(__xludf.DUMMYFUNCTION("""COMPUTED_VALUE"""),"Settlement Currency")</f>
        <v>Settlement Currency</v>
      </c>
      <c r="AG5" s="28" t="str">
        <f>IFERROR(__xludf.DUMMYFUNCTION("""COMPUTED_VALUE"""),"Settlement Fx Rate")</f>
        <v>Settlement Fx Rate</v>
      </c>
      <c r="AH5" s="28" t="str">
        <f>IFERROR(__xludf.DUMMYFUNCTION("""COMPUTED_VALUE"""),"Settlement Amount")</f>
        <v>Settlement Amount</v>
      </c>
      <c r="AI5" s="28" t="str">
        <f>IFERROR(__xludf.DUMMYFUNCTION("""COMPUTED_VALUE"""),"Settlement Fx Operator")</f>
        <v>Settlement Fx Operator</v>
      </c>
      <c r="AJ5" s="28" t="str">
        <f>IFERROR(__xludf.DUMMYFUNCTION("""COMPUTED_VALUE"""),"ImportFileName")</f>
        <v>ImportFileName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 t="s">
        <v>18</v>
      </c>
      <c r="C6" s="29" t="s">
        <v>19</v>
      </c>
      <c r="D6" s="33">
        <v>1000.0</v>
      </c>
      <c r="E6" s="33">
        <v>1000.0</v>
      </c>
      <c r="F6" s="34"/>
      <c r="G6" s="34"/>
      <c r="H6" s="34"/>
      <c r="I6" s="29" t="s">
        <v>23</v>
      </c>
      <c r="J6" s="33">
        <v>140.0</v>
      </c>
      <c r="K6" s="33">
        <v>100.0</v>
      </c>
      <c r="L6" s="34"/>
      <c r="M6" s="6"/>
      <c r="N6" s="6"/>
      <c r="O6" s="6"/>
    </row>
    <row r="7" ht="15.75" customHeight="1">
      <c r="A7" s="6"/>
      <c r="B7" s="31" t="s">
        <v>18</v>
      </c>
      <c r="C7" s="31" t="s">
        <v>20</v>
      </c>
      <c r="D7" s="35">
        <v>1000.0</v>
      </c>
      <c r="E7" s="35">
        <v>1000.0</v>
      </c>
      <c r="F7" s="34"/>
      <c r="G7" s="34"/>
      <c r="H7" s="34"/>
      <c r="I7" s="31" t="s">
        <v>24</v>
      </c>
      <c r="J7" s="35">
        <v>140.0</v>
      </c>
      <c r="K7" s="34"/>
      <c r="L7" s="35">
        <v>100.0</v>
      </c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13</v>
      </c>
      <c r="D3" s="8" t="s">
        <v>9</v>
      </c>
      <c r="E3" s="21" t="s">
        <v>22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IFERROR(__xludf.DUMMYFUNCTION("IF(C3="""","""",Transpose(IMPORTRANGE('_Settings'!$B$3,C3&amp;""!A4:A1000"")))"),"EditTradeUsingMTT")</f>
        <v>EditTradeUsingMTT</v>
      </c>
      <c r="C4" s="23" t="str">
        <f>IFERROR(__xludf.DUMMYFUNCTION("""COMPUTED_VALUE"""),"SelectTradeUsingMTT")</f>
        <v>SelectTradeUsingMTT</v>
      </c>
      <c r="D4" s="23" t="str">
        <f>IFERROR(__xludf.DUMMYFUNCTION("""COMPUTED_VALUE"""),"GetPriceUsingMTT")</f>
        <v>GetPriceUsingMTT</v>
      </c>
      <c r="E4" s="23" t="str">
        <f>IFERROR(__xludf.DUMMYFUNCTION("""COMPUTED_VALUE"""),"DoneAwayUsingMTT")</f>
        <v>DoneAwayUsingMTT</v>
      </c>
      <c r="F4" s="23" t="str">
        <f>IFERROR(__xludf.DUMMYFUNCTION("""COMPUTED_VALUE"""),"SendOrderUsingMTT")</f>
        <v>SendOrderUsingMTT</v>
      </c>
      <c r="G4" s="23" t="str">
        <f>IFERROR(__xludf.DUMMYFUNCTION("""COMPUTED_VALUE"""),"BulkChangeTradeDoneAway")</f>
        <v>BulkChangeTradeDoneAway</v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 Quantity")</f>
        <v>Target Quantity</v>
      </c>
      <c r="F5" s="27" t="str">
        <f>IFERROR(__xludf.DUMMYFUNCTION("""COMPUTED_VALUE"""),"Allocation")</f>
        <v>Allocation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 Rate")</f>
        <v>FX 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 Basis")</f>
        <v>Commission Basis</v>
      </c>
      <c r="S5" s="26" t="str">
        <f>IFERROR(__xludf.DUMMYFUNCTION("""COMPUTED_VALUE"""),"Commission Rate")</f>
        <v>Commission Rate</v>
      </c>
      <c r="T5" s="28" t="str">
        <f>IFERROR(__xludf.DUMMYFUNCTION("""COMPUTED_VALUE"""),"Soft Basis")</f>
        <v>Soft Basis</v>
      </c>
      <c r="U5" s="28" t="str">
        <f>IFERROR(__xludf.DUMMYFUNCTION("""COMPUTED_VALUE"""),"Soft Rate")</f>
        <v>Soft Rate</v>
      </c>
      <c r="V5" s="28" t="str">
        <f>IFERROR(__xludf.DUMMYFUNCTION("""COMPUTED_VALUE"""),"Trade Attribute 1")</f>
        <v>Trade Attribute 1</v>
      </c>
      <c r="W5" s="28" t="str">
        <f>IFERROR(__xludf.DUMMYFUNCTION("""COMPUTED_VALUE"""),"Trade Attribute 2")</f>
        <v>Trade Attribute 2</v>
      </c>
      <c r="X5" s="28" t="str">
        <f>IFERROR(__xludf.DUMMYFUNCTION("""COMPUTED_VALUE"""),"Trade Attribute 3")</f>
        <v>Trade Attribute 3</v>
      </c>
      <c r="Y5" s="28" t="str">
        <f>IFERROR(__xludf.DUMMYFUNCTION("""COMPUTED_VALUE"""),"Trade Attribute 4")</f>
        <v>Trade Attribute 4</v>
      </c>
      <c r="Z5" s="28" t="str">
        <f>IFERROR(__xludf.DUMMYFUNCTION("""COMPUTED_VALUE"""),"Trade Attribute 5")</f>
        <v>Trade Attribute 5</v>
      </c>
      <c r="AA5" s="28" t="str">
        <f>IFERROR(__xludf.DUMMYFUNCTION("""COMPUTED_VALUE"""),"Trade Attribute 6")</f>
        <v>Trade Attribute 6</v>
      </c>
      <c r="AB5" s="28" t="str">
        <f>IFERROR(__xludf.DUMMYFUNCTION("""COMPUTED_VALUE"""),"Venue")</f>
        <v>Venue</v>
      </c>
      <c r="AC5" s="28" t="str">
        <f>IFERROR(__xludf.DUMMYFUNCTION("""COMPUTED_VALUE"""),"Execution Instructions")</f>
        <v>Execution Instructions</v>
      </c>
      <c r="AD5" s="28" t="str">
        <f>IFERROR(__xludf.DUMMYFUNCTION("""COMPUTED_VALUE"""),"Handling Instructions")</f>
        <v>Handling Instructions</v>
      </c>
      <c r="AE5" s="28" t="str">
        <f>IFERROR(__xludf.DUMMYFUNCTION("""COMPUTED_VALUE"""),"Trader")</f>
        <v>Trader</v>
      </c>
      <c r="AF5" s="28" t="str">
        <f>IFERROR(__xludf.DUMMYFUNCTION("""COMPUTED_VALUE"""),"Settlement Currency")</f>
        <v>Settlement Currency</v>
      </c>
      <c r="AG5" s="28" t="str">
        <f>IFERROR(__xludf.DUMMYFUNCTION("""COMPUTED_VALUE"""),"Settlement Fx Rate")</f>
        <v>Settlement Fx Rate</v>
      </c>
      <c r="AH5" s="28" t="str">
        <f>IFERROR(__xludf.DUMMYFUNCTION("""COMPUTED_VALUE"""),"Settlement Amount")</f>
        <v>Settlement Amount</v>
      </c>
      <c r="AI5" s="28" t="str">
        <f>IFERROR(__xludf.DUMMYFUNCTION("""COMPUTED_VALUE"""),"Settlement Fx Operator")</f>
        <v>Settlement Fx Operator</v>
      </c>
      <c r="AJ5" s="28" t="str">
        <f>IFERROR(__xludf.DUMMYFUNCTION("""COMPUTED_VALUE"""),"ImportFileName")</f>
        <v>ImportFileName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 t="s">
        <v>18</v>
      </c>
      <c r="C6" s="29" t="s">
        <v>19</v>
      </c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1" t="s">
        <v>18</v>
      </c>
      <c r="C7" s="31" t="s">
        <v>20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25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IFERROR(__xludf.DUMMYFUNCTION("""COMPUTED_VALUE"""),"Side")</f>
        <v>Side</v>
      </c>
      <c r="D5" s="26" t="str">
        <f>IFERROR(__xludf.DUMMYFUNCTION("""COMPUTED_VALUE"""),"Quantity")</f>
        <v>Quantity</v>
      </c>
      <c r="E5" s="26" t="str">
        <f>IFERROR(__xludf.DUMMYFUNCTION("""COMPUTED_VALUE"""),"Executed Qty")</f>
        <v>Executed Qty</v>
      </c>
      <c r="F5" s="27" t="str">
        <f>IFERROR(__xludf.DUMMYFUNCTION("""COMPUTED_VALUE"""),"Unexecuted Qty")</f>
        <v>Unexecuted Qty</v>
      </c>
      <c r="G5" s="26" t="str">
        <f>IFERROR(__xludf.DUMMYFUNCTION("""COMPUTED_VALUE"""),"Status")</f>
        <v>Status</v>
      </c>
      <c r="H5" s="26" t="str">
        <f>IFERROR(__xludf.DUMMYFUNCTION("""COMPUTED_VALUE"""),"Last Shares")</f>
        <v>Last Shares</v>
      </c>
      <c r="I5" s="26" t="str">
        <f>IFERROR(__xludf.DUMMYFUNCTION("""COMPUTED_VALUE"""),"Last Fill Price (Local)")</f>
        <v>Last Fill Price (Local)</v>
      </c>
      <c r="J5" s="26" t="str">
        <f>IFERROR(__xludf.DUMMYFUNCTION("""COMPUTED_VALUE"""),"Avg Fill Price (Local)")</f>
        <v>Avg Fill Price (Local)</v>
      </c>
      <c r="K5" s="26" t="str">
        <f>IFERROR(__xludf.DUMMYFUNCTION("""COMPUTED_VALUE"""),"Broker")</f>
        <v>Broker</v>
      </c>
      <c r="L5" s="26" t="str">
        <f>IFERROR(__xludf.DUMMYFUNCTION("""COMPUTED_VALUE"""),"Account")</f>
        <v>Account</v>
      </c>
      <c r="M5" s="26" t="str">
        <f>IFERROR(__xludf.DUMMYFUNCTION("""COMPUTED_VALUE"""),"Order Type")</f>
        <v>Order Type</v>
      </c>
      <c r="N5" s="26" t="str">
        <f>IFERROR(__xludf.DUMMYFUNCTION("""COMPUTED_VALUE"""),"OrderStatus")</f>
        <v>OrderStatus</v>
      </c>
      <c r="O5" s="26" t="str">
        <f>IFERROR(__xludf.DUMMYFUNCTION("""COMPUTED_VALUE"""),"Avg Fill Price (Base)")</f>
        <v>Avg Fill Price (Base)</v>
      </c>
      <c r="P5" s="26" t="str">
        <f>IFERROR(__xludf.DUMMYFUNCTION("""COMPUTED_VALUE"""),"Limit Price")</f>
        <v>Limit Price</v>
      </c>
      <c r="Q5" s="26" t="str">
        <f>IFERROR(__xludf.DUMMYFUNCTION("""COMPUTED_VALUE"""),"Stop Price")</f>
        <v>Stop Price</v>
      </c>
      <c r="R5" s="26" t="str">
        <f>IFERROR(__xludf.DUMMYFUNCTION("""COMPUTED_VALUE"""),"User")</f>
        <v>User</v>
      </c>
      <c r="S5" s="26" t="str">
        <f>IFERROR(__xludf.DUMMYFUNCTION("""COMPUTED_VALUE"""),"Bloomberg Symbol")</f>
        <v>Bloomberg Symbol</v>
      </c>
      <c r="T5" s="28" t="str">
        <f>IFERROR(__xludf.DUMMYFUNCTION("""COMPUTED_VALUE"""),"Algo")</f>
        <v>Algo</v>
      </c>
      <c r="U5" s="28" t="str">
        <f>IFERROR(__xludf.DUMMYFUNCTION("""COMPUTED_VALUE"""),"Allocation Scheme Name")</f>
        <v>Allocation Scheme Name</v>
      </c>
      <c r="V5" s="28" t="str">
        <f>IFERROR(__xludf.DUMMYFUNCTION("""COMPUTED_VALUE"""),"Allocation Status")</f>
        <v>Allocation Status</v>
      </c>
      <c r="W5" s="28" t="str">
        <f>IFERROR(__xludf.DUMMYFUNCTION("""COMPUTED_VALUE"""),"Asset Class")</f>
        <v>Asset Class</v>
      </c>
      <c r="X5" s="28" t="str">
        <f>IFERROR(__xludf.DUMMYFUNCTION("""COMPUTED_VALUE"""),"FX Conversion Operator")</f>
        <v>FX Conversion Operator</v>
      </c>
      <c r="Y5" s="28" t="str">
        <f>IFERROR(__xludf.DUMMYFUNCTION("""COMPUTED_VALUE"""),"FX Rate")</f>
        <v>FX Rate</v>
      </c>
      <c r="Z5" s="28" t="str">
        <f>IFERROR(__xludf.DUMMYFUNCTION("""COMPUTED_VALUE"""),"Imported File Name")</f>
        <v>Imported File Name</v>
      </c>
      <c r="AA5" s="28" t="str">
        <f>IFERROR(__xludf.DUMMYFUNCTION("""COMPUTED_VALUE"""),"Internal Comments")</f>
        <v>Internal Comments</v>
      </c>
      <c r="AB5" s="28" t="str">
        <f>IFERROR(__xludf.DUMMYFUNCTION("""COMPUTED_VALUE"""),"Peg")</f>
        <v>Peg</v>
      </c>
      <c r="AC5" s="28" t="str">
        <f>IFERROR(__xludf.DUMMYFUNCTION("""COMPUTED_VALUE"""),"Principal Amount (Base)")</f>
        <v>Principal Amount (Base)</v>
      </c>
      <c r="AD5" s="28" t="str">
        <f>IFERROR(__xludf.DUMMYFUNCTION("""COMPUTED_VALUE"""),"Principal Amount (Local)")</f>
        <v>Principal Amount (Local)</v>
      </c>
      <c r="AE5" s="28" t="str">
        <f>IFERROR(__xludf.DUMMYFUNCTION("""COMPUTED_VALUE"""),"Process Date")</f>
        <v>Process Date</v>
      </c>
      <c r="AF5" s="28" t="str">
        <f>IFERROR(__xludf.DUMMYFUNCTION("""COMPUTED_VALUE"""),"Put/Call")</f>
        <v>Put/Call</v>
      </c>
      <c r="AG5" s="28" t="str">
        <f>IFERROR(__xludf.DUMMYFUNCTION("""COMPUTED_VALUE"""),"Settlement Currency")</f>
        <v>Settlement Currency</v>
      </c>
      <c r="AH5" s="28" t="str">
        <f>IFERROR(__xludf.DUMMYFUNCTION("""COMPUTED_VALUE"""),"Source")</f>
        <v>Source</v>
      </c>
      <c r="AI5" s="28" t="str">
        <f>IFERROR(__xludf.DUMMYFUNCTION("""COMPUTED_VALUE"""),"Status (With Rollover)")</f>
        <v>Status (With Rollover)</v>
      </c>
      <c r="AJ5" s="28" t="str">
        <f>IFERROR(__xludf.DUMMYFUNCTION("""COMPUTED_VALUE"""),"Strategy")</f>
        <v>Strategy</v>
      </c>
      <c r="AK5" s="28" t="str">
        <f>IFERROR(__xludf.DUMMYFUNCTION("""COMPUTED_VALUE"""),"Strike Price")</f>
        <v>Strike Price</v>
      </c>
      <c r="AL5" s="28" t="str">
        <f>IFERROR(__xludf.DUMMYFUNCTION("""COMPUTED_VALUE"""),"Trade Attribute 1")</f>
        <v>Trade Attribute 1</v>
      </c>
      <c r="AM5" s="28" t="str">
        <f>IFERROR(__xludf.DUMMYFUNCTION("""COMPUTED_VALUE"""),"Trade Attribute 2")</f>
        <v>Trade Attribute 2</v>
      </c>
      <c r="AN5" s="28" t="str">
        <f>IFERROR(__xludf.DUMMYFUNCTION("""COMPUTED_VALUE"""),"Trade Attribute 3")</f>
        <v>Trade Attribute 3</v>
      </c>
      <c r="AO5" s="28" t="str">
        <f>IFERROR(__xludf.DUMMYFUNCTION("""COMPUTED_VALUE"""),"Trade Attribute 4")</f>
        <v>Trade Attribute 4</v>
      </c>
      <c r="AP5" s="28" t="str">
        <f>IFERROR(__xludf.DUMMYFUNCTION("""COMPUTED_VALUE"""),"Trade Attribute 5")</f>
        <v>Trade Attribute 5</v>
      </c>
      <c r="AQ5" s="28" t="str">
        <f>IFERROR(__xludf.DUMMYFUNCTION("""COMPUTED_VALUE"""),"Trade Attribute 6")</f>
        <v>Trade Attribute 6</v>
      </c>
      <c r="AR5" s="28" t="str">
        <f>IFERROR(__xludf.DUMMYFUNCTION("""COMPUTED_VALUE"""),"Trader")</f>
        <v>Trader</v>
      </c>
      <c r="AS5" s="28" t="str">
        <f>IFERROR(__xludf.DUMMYFUNCTION("""COMPUTED_VALUE"""),"Transaction Time")</f>
        <v>Transaction Time</v>
      </c>
      <c r="AT5" s="28" t="str">
        <f>IFERROR(__xludf.DUMMYFUNCTION("""COMPUTED_VALUE"""),"Underlying Country")</f>
        <v>Underlying Country</v>
      </c>
      <c r="AU5" s="28" t="str">
        <f>IFERROR(__xludf.DUMMYFUNCTION("""COMPUTED_VALUE"""),"Underlying Symbol")</f>
        <v>Underlying Symbol</v>
      </c>
      <c r="AV5" s="28" t="str">
        <f>IFERROR(__xludf.DUMMYFUNCTION("""COMPUTED_VALUE"""),"Venue")</f>
        <v>Venue</v>
      </c>
      <c r="AW5" s="28" t="str">
        <f>IFERROR(__xludf.DUMMYFUNCTION("""COMPUTED_VALUE"""),"Working Qty")</f>
        <v>Working Qty</v>
      </c>
      <c r="AX5" s="28" t="str">
        <f>IFERROR(__xludf.DUMMYFUNCTION("""COMPUTED_VALUE"""),"Client")</f>
        <v>Client</v>
      </c>
      <c r="AY5" s="28" t="str">
        <f>IFERROR(__xludf.DUMMYFUNCTION("""COMPUTED_VALUE"""),"OrderID")</f>
        <v>OrderID</v>
      </c>
      <c r="AZ5" s="28" t="str">
        <f>IFERROR(__xludf.DUMMYFUNCTION("""COMPUTED_VALUE"""),"ParentClOrderID")</f>
        <v>ParentClOrderID</v>
      </c>
      <c r="BA5" s="28" t="str">
        <f>IFERROR(__xludf.DUMMYFUNCTION("""COMPUTED_VALUE"""),"Master Fund")</f>
        <v>Master Fund</v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 t="s">
        <v>18</v>
      </c>
      <c r="C6" s="29" t="s">
        <v>19</v>
      </c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1" t="s">
        <v>18</v>
      </c>
      <c r="C7" s="31" t="s">
        <v>20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9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26</v>
      </c>
      <c r="D3" s="8" t="s">
        <v>9</v>
      </c>
      <c r="E3" s="21" t="s">
        <v>27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 t="s">
        <v>28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26</v>
      </c>
      <c r="D3" s="8" t="s">
        <v>9</v>
      </c>
      <c r="E3" s="21" t="s">
        <v>31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 t="s">
        <v>32</v>
      </c>
      <c r="C6" s="34"/>
      <c r="D6" s="36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29" t="s">
        <v>19</v>
      </c>
      <c r="BP6" s="34"/>
      <c r="BQ6" s="34"/>
      <c r="BR6" s="34"/>
      <c r="BS6" s="34"/>
      <c r="BT6" s="29" t="s">
        <v>18</v>
      </c>
    </row>
    <row r="7" ht="15.75" customHeight="1">
      <c r="A7" s="6"/>
      <c r="B7" s="29" t="s">
        <v>33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1" t="s">
        <v>20</v>
      </c>
      <c r="BP7" s="34"/>
      <c r="BQ7" s="34"/>
      <c r="BR7" s="34"/>
      <c r="BS7" s="34"/>
      <c r="BT7" s="29" t="s">
        <v>18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29</v>
      </c>
      <c r="D3" s="8" t="s">
        <v>9</v>
      </c>
      <c r="E3" s="21" t="s">
        <v>30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IFERROR(__xludf.DUMMYFUNCTION("""COMPUTED_VALUE"""),"Client")</f>
        <v>Client</v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</row>
    <row r="6" ht="15.75" customHeight="1">
      <c r="A6" s="9"/>
      <c r="B6" s="29"/>
      <c r="C6" s="29" t="s">
        <v>18</v>
      </c>
      <c r="D6" s="36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29" t="s">
        <v>19</v>
      </c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29"/>
      <c r="BV6" s="34"/>
      <c r="BW6" s="34"/>
      <c r="BX6" s="34"/>
      <c r="BY6" s="34"/>
      <c r="BZ6" s="29"/>
    </row>
    <row r="7" ht="15.75" customHeight="1">
      <c r="A7" s="6"/>
      <c r="B7" s="29"/>
      <c r="C7" s="29" t="s">
        <v>18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1" t="s">
        <v>20</v>
      </c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1"/>
      <c r="BV7" s="34"/>
      <c r="BW7" s="34"/>
      <c r="BX7" s="34"/>
      <c r="BY7" s="34"/>
      <c r="BZ7" s="29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34</v>
      </c>
      <c r="D3" s="8" t="s">
        <v>9</v>
      </c>
      <c r="E3" s="21" t="s">
        <v>35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 t="s">
        <v>18</v>
      </c>
      <c r="C6" s="29" t="s">
        <v>19</v>
      </c>
      <c r="D6" s="33">
        <v>12000.0</v>
      </c>
      <c r="E6" s="33">
        <v>12000.0</v>
      </c>
      <c r="F6" s="29" t="s">
        <v>32</v>
      </c>
      <c r="G6" s="29" t="s">
        <v>36</v>
      </c>
      <c r="H6" s="34"/>
      <c r="I6" s="29" t="s">
        <v>24</v>
      </c>
      <c r="J6" s="33">
        <v>120.0</v>
      </c>
      <c r="K6" s="34"/>
      <c r="L6" s="33">
        <v>100.0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7" t="s">
        <v>37</v>
      </c>
    </row>
    <row r="7" ht="15.75" customHeight="1">
      <c r="A7" s="6"/>
      <c r="B7" s="29" t="s">
        <v>18</v>
      </c>
      <c r="C7" s="31" t="s">
        <v>20</v>
      </c>
      <c r="D7" s="35">
        <v>12000.0</v>
      </c>
      <c r="E7" s="35">
        <v>12000.0</v>
      </c>
      <c r="F7" s="29" t="s">
        <v>33</v>
      </c>
      <c r="G7" s="31" t="s">
        <v>36</v>
      </c>
      <c r="H7" s="34"/>
      <c r="I7" s="31" t="s">
        <v>23</v>
      </c>
      <c r="J7" s="35">
        <v>120.0</v>
      </c>
      <c r="K7" s="35">
        <v>100.0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29" t="s">
        <v>37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