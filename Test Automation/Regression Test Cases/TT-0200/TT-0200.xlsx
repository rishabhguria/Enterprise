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PricingInput" sheetId="8" r:id="rId10"/>
    <sheet state="visible" name="CheckPortfolioManagement" sheetId="9" r:id="rId11"/>
    <sheet state="visible" name="CheckPortfolioManagement1" sheetId="10" r:id="rId12"/>
    <sheet state="visible" name="CreateDoneAwayOrder1" sheetId="11" r:id="rId13"/>
    <sheet state="visible" name="VerifyOrder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<sst xmlns="http://schemas.openxmlformats.org/spreadsheetml/2006/main" count="126" uniqueCount="37">
  <si>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</si>
  <si>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</si>
  <si>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</si>
  <si>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</si>
  <si>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</si>
  <si>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</si>
  <si>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</si>
  <si>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</si>
  <si>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</si>
  <si>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</si>
  <si>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</si>
  <si>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</si>
  <si>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</si>
  <si>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</si>
  <si>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</si>
  <si>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</si>
  <si>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</si>
  <si>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</si>
  <si>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</si>
  <si>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</si>
  <si>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</si>
  <si>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Allocation2</t>
  </si>
  <si>
    <t>Allocation3</t>
  </si>
  <si>
    <t>TradingTicket</t>
  </si>
  <si>
    <t>CreateDoneAwayOrder</t>
  </si>
  <si>
    <t>AAPL</t>
  </si>
  <si>
    <t>Buy</t>
  </si>
  <si>
    <t>MS</t>
  </si>
  <si>
    <t>PricingInput</t>
  </si>
  <si>
    <t>PortfolioManagement</t>
  </si>
  <si>
    <t>CheckPortfolioManagement</t>
  </si>
  <si>
    <t>Long</t>
  </si>
  <si>
    <t>Market</t>
  </si>
  <si>
    <t>Blotter</t>
  </si>
  <si>
    <t>VerifyOrder</t>
  </si>
  <si>
    <t>Filled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</si>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</sst>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5" fillId="5" fontId="4" numFmtId="0" xfId="0" applyAlignment="1" applyBorder="1" applyFont="1">
      <alignment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30" t="str">
        <f>IFERROR(__xludf.DUMMYFUNCTION("""COMPUTED_VALUE"""),"IsSharesOutstandingRule")</f>
        <v>IsSharesOutstandingRule</v>
      </c>
      <c r="O5" s="30" t="str">
        <f>IFERROR(__xludf.DUMMYFUNCTION("""COMPUTED_VALUE"""),"SharesOutstandingPercent")</f>
        <v>SharesOutstandingPercent</v>
      </c>
      <c r="P5" s="30" t="str">
        <f>IFERROR(__xludf.DUMMYFUNCTION("""COMPUTED_VALUE"""),"SharesOutstandingAccountOrMF")</f>
        <v>SharesOutstandingAccountOrMF</v>
      </c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13" t="b">
        <v>1</v>
      </c>
      <c r="N6" t="b">
        <v>1</v>
      </c>
      <c r="O6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19</v>
      </c>
      <c r="C6" s="13" t="s">
        <v>21</v>
      </c>
      <c r="D6" s="13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25</v>
      </c>
      <c r="C6" s="13" t="s">
        <v>26</v>
      </c>
      <c r="D6" s="13">
        <v>1000.0</v>
      </c>
      <c r="E6" s="32"/>
      <c r="F6" s="13" t="s">
        <v>22</v>
      </c>
      <c r="G6" s="13" t="s">
        <v>27</v>
      </c>
      <c r="H6" s="8"/>
      <c r="I6" s="8"/>
      <c r="J6" s="13">
        <v>10.0</v>
      </c>
      <c r="K6" s="8"/>
      <c r="L6" s="8"/>
      <c r="M6" s="8"/>
      <c r="N6" s="8"/>
      <c r="O6" s="8"/>
      <c r="AR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Q6" s="33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 t="str">
        <f>IFERROR(__xludf.DUMMYFUNCTION("""COMPUTED_VALUE"""),"ACTIV Symbol")</f>
        <v>ACTIV Symbol</v>
      </c>
      <c r="FK5" s="31"/>
      <c r="FL5" s="31"/>
      <c r="FM5" s="31"/>
      <c r="FN5" s="31"/>
      <c r="FO5" s="31"/>
      <c r="FP5" s="31"/>
      <c r="FQ5" s="31"/>
      <c r="FR5" s="31"/>
      <c r="FS5" s="31"/>
      <c r="FT5" s="31"/>
    </row>
    <row r="6" ht="15.75" customHeight="1">
      <c r="A6" s="13"/>
      <c r="B6" s="13"/>
      <c r="C6" s="13" t="s">
        <v>25</v>
      </c>
      <c r="D6" s="13">
        <v>1000.0</v>
      </c>
      <c r="E6" s="13" t="s">
        <v>22</v>
      </c>
      <c r="F6" s="8"/>
      <c r="G6" s="8"/>
      <c r="H6" s="13" t="s">
        <v>31</v>
      </c>
      <c r="I6" s="8"/>
      <c r="J6" s="8"/>
      <c r="K6" s="8"/>
      <c r="L6" s="8"/>
      <c r="M6" s="8"/>
      <c r="N6" s="8"/>
      <c r="O6" s="8"/>
      <c r="R6" s="9" t="s">
        <v>27</v>
      </c>
      <c r="Y6" s="9">
        <v>1.0</v>
      </c>
      <c r="AN6" s="9" t="s">
        <v>26</v>
      </c>
      <c r="BK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 t="str">
        <f>IFERROR(__xludf.DUMMYFUNCTION("""COMPUTED_VALUE"""),"ACTIV Symbol")</f>
        <v>ACTIV Symbol</v>
      </c>
      <c r="FK5" s="31"/>
      <c r="FL5" s="31"/>
      <c r="FM5" s="31"/>
      <c r="FN5" s="31"/>
      <c r="FO5" s="31"/>
      <c r="FP5" s="31"/>
      <c r="FQ5" s="31"/>
      <c r="FR5" s="31"/>
      <c r="FS5" s="31"/>
      <c r="FT5" s="31"/>
    </row>
    <row r="6" ht="15.75" customHeight="1">
      <c r="A6" s="13"/>
      <c r="B6" s="13"/>
      <c r="C6" s="13" t="s">
        <v>25</v>
      </c>
      <c r="D6" s="13">
        <v>1000.0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  <c r="Y6" s="9">
        <v>1.0</v>
      </c>
      <c r="AN6" s="9" t="s">
        <v>26</v>
      </c>
      <c r="BK6" s="9">
        <v>1.0</v>
      </c>
      <c r="BR6" s="9" t="s">
        <v>27</v>
      </c>
    </row>
    <row r="7" ht="15.75" customHeight="1">
      <c r="A7" s="8"/>
      <c r="B7" s="8"/>
      <c r="C7" s="13" t="s">
        <v>25</v>
      </c>
      <c r="D7" s="13">
        <v>14000.0</v>
      </c>
      <c r="E7" s="13"/>
      <c r="F7" s="8"/>
      <c r="G7" s="8"/>
      <c r="H7" s="8"/>
      <c r="I7" s="8"/>
      <c r="J7" s="8"/>
      <c r="K7" s="8"/>
      <c r="L7" s="8"/>
      <c r="M7" s="8"/>
      <c r="N7" s="8"/>
      <c r="O7" s="8"/>
      <c r="Y7" s="9">
        <v>1.0</v>
      </c>
      <c r="AN7" s="9" t="s">
        <v>26</v>
      </c>
      <c r="BK7" s="9">
        <v>1.0</v>
      </c>
      <c r="BR7" s="9" t="s">
        <v>27</v>
      </c>
    </row>
    <row r="8" ht="15.75" customHeight="1">
      <c r="A8" s="8"/>
      <c r="B8" s="8"/>
      <c r="C8" s="13" t="s">
        <v>25</v>
      </c>
      <c r="D8" s="13">
        <v>24000.0</v>
      </c>
      <c r="E8" s="13"/>
      <c r="F8" s="8"/>
      <c r="G8" s="8"/>
      <c r="H8" s="8"/>
      <c r="I8" s="8"/>
      <c r="J8" s="8"/>
      <c r="K8" s="8"/>
      <c r="L8" s="8"/>
      <c r="M8" s="8"/>
      <c r="N8" s="8"/>
      <c r="O8" s="8"/>
      <c r="Y8" s="9">
        <v>1.0</v>
      </c>
      <c r="AN8" s="9" t="s">
        <v>26</v>
      </c>
      <c r="BK8" s="9">
        <v>1.0</v>
      </c>
      <c r="BR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25</v>
      </c>
      <c r="C6" s="13" t="s">
        <v>26</v>
      </c>
      <c r="D6" s="13">
        <v>38000.0</v>
      </c>
      <c r="E6" s="32"/>
      <c r="F6" s="13" t="s">
        <v>19</v>
      </c>
      <c r="G6" s="13" t="s">
        <v>27</v>
      </c>
      <c r="H6" s="8"/>
      <c r="I6" s="13" t="s">
        <v>32</v>
      </c>
      <c r="J6" s="13">
        <v>1.0</v>
      </c>
      <c r="K6" s="8"/>
      <c r="L6" s="8"/>
      <c r="M6" s="8"/>
      <c r="N6" s="34">
        <f>TODAY()</f>
        <v>45855</v>
      </c>
      <c r="O6" s="8"/>
      <c r="AR6" s="9" t="b">
        <v>1</v>
      </c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17.0"/>
    <col customWidth="1" min="4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 t="str">
        <f>IFERROR(__xludf.DUMMYFUNCTION("""COMPUTED_VALUE"""),"Testing Type")</f>
        <v>Testing Type</v>
      </c>
      <c r="BC5" s="31" t="str">
        <f>IFERROR(__xludf.DUMMYFUNCTION("""COMPUTED_VALUE"""),"Testing Column")</f>
        <v>Testing Column</v>
      </c>
      <c r="BD5" s="31" t="str">
        <f>IFERROR(__xludf.DUMMYFUNCTION("""COMPUTED_VALUE"""),"Testing Col Value")</f>
        <v>Testing Col Value</v>
      </c>
      <c r="BE5" s="31" t="str">
        <f>IFERROR(__xludf.DUMMYFUNCTION("""COMPUTED_VALUE"""),"DuplicateRow")</f>
        <v>DuplicateRow</v>
      </c>
      <c r="BF5" s="31" t="str">
        <f>IFERROR(__xludf.DUMMYFUNCTION("""COMPUTED_VALUE"""),"DuplicateCountOnUI")</f>
        <v>DuplicateCountOnUI</v>
      </c>
      <c r="BG5" s="31" t="str">
        <f>IFERROR(__xludf.DUMMYFUNCTION("""COMPUTED_VALUE"""),"Transaction Source")</f>
        <v>Transaction Source</v>
      </c>
      <c r="BH5" s="31" t="str">
        <f>IFERROR(__xludf.DUMMYFUNCTION("""COMPUTED_VALUE"""),"TIF")</f>
        <v>TIF</v>
      </c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35</v>
      </c>
      <c r="AL6" s="9">
        <v>1000.0</v>
      </c>
      <c r="AM6" s="9">
        <v>1000.0</v>
      </c>
      <c r="AQ6" s="9">
        <v>10.0</v>
      </c>
      <c r="AS6" s="9" t="s">
        <v>27</v>
      </c>
      <c r="AU6" s="9" t="s">
        <v>32</v>
      </c>
      <c r="AV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26</v>
      </c>
      <c r="AK7" s="9" t="s">
        <v>35</v>
      </c>
      <c r="AL7" s="9">
        <v>38000.0</v>
      </c>
      <c r="AM7" s="9">
        <v>38000.0</v>
      </c>
      <c r="AQ7" s="9">
        <v>1.0</v>
      </c>
      <c r="AS7" s="9" t="s">
        <v>27</v>
      </c>
      <c r="AU7" s="9" t="s">
        <v>32</v>
      </c>
      <c r="AV7" s="9">
        <v>38000.0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 t="str">
        <f>IFERROR(__xludf.DUMMYFUNCTION("""COMPUTED_VALUE"""),"ACTIV Symbol")</f>
        <v>ACTIV Symbol</v>
      </c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13">
        <v>1000.0</v>
      </c>
      <c r="F6" s="13"/>
      <c r="G6" s="8"/>
      <c r="H6" s="8"/>
      <c r="I6" s="8"/>
      <c r="J6" s="8"/>
      <c r="K6" s="8"/>
      <c r="L6" s="8"/>
      <c r="M6" s="8"/>
      <c r="N6" s="8"/>
      <c r="O6" s="8"/>
      <c r="BO6" s="9" t="s">
        <v>26</v>
      </c>
      <c r="BT6" s="9" t="s">
        <v>25</v>
      </c>
    </row>
    <row r="7" ht="15.75" customHeight="1">
      <c r="A7" s="8"/>
      <c r="B7" s="13"/>
      <c r="C7" s="8"/>
      <c r="D7" s="8"/>
      <c r="E7" s="13">
        <v>38000.0</v>
      </c>
      <c r="F7" s="13" t="s">
        <v>19</v>
      </c>
      <c r="G7" s="8"/>
      <c r="H7" s="8"/>
      <c r="I7" s="8"/>
      <c r="J7" s="8"/>
      <c r="K7" s="8"/>
      <c r="L7" s="8"/>
      <c r="M7" s="8"/>
      <c r="N7" s="8"/>
      <c r="O7" s="8"/>
      <c r="BO7" s="9" t="s">
        <v>26</v>
      </c>
      <c r="BT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