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SetComplianceAlert" sheetId="5" r:id="rId7"/>
    <sheet state="visible" name="CreateLiveOrder" sheetId="6" r:id="rId8"/>
    <sheet state="visible" name="VerifyRowCalculationBaseWindow" sheetId="7" r:id="rId9"/>
    <sheet state="visible" name="SelectTrade" sheetId="8" r:id="rId10"/>
    <sheet state="visible" name="AcknowledgeTrade" sheetId="9" r:id="rId11"/>
    <sheet state="visible" name="SelectTrade1" sheetId="10" r:id="rId12"/>
    <sheet state="visible" name="AcknowledgeTrade1" sheetId="11" r:id="rId13"/>
    <sheet state="visible" name="VerifyRowCalculationBaseWindow1" sheetId="12" r:id="rId14"/>
    <sheet state="visible" name="ExecuteTrade" sheetId="13" r:id="rId15"/>
    <sheet state="visible" name="ExecuteTrade1" sheetId="14" r:id="rId16"/>
    <sheet state="visible" name="VerifyRowCalculationBaseWindow2" sheetId="15" r:id="rId17"/>
  </sheets>
  <definedNames/>
  <calcPr/>
</workbook>
</file>

<file path=xl/sharedStrings.xml><?xml version="1.0" encoding="utf-8"?>
<sst xmlns="http://schemas.openxmlformats.org/spreadsheetml/2006/main" count="196" uniqueCount="41">
  <si>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</si>
  <si>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</si>
  <si>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</si>
  <si>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</si>
  <si>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</si>
  <si>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</si>
  <si>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</si>
  <si>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</si>
  <si>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</si>
  <si>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</si>
  <si>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</si>
  <si>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</si>
  <si>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</si>
  <si>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</si>
  <si>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</si>
  <si>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</si>
  <si>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Compliance Pre Trade</t>
  </si>
  <si>
    <t>Compliance Post Trade</t>
  </si>
  <si>
    <t>Compliance Engine</t>
  </si>
  <si>
    <t>SetComplianceAlert</t>
  </si>
  <si>
    <t>TradingTicket</t>
  </si>
  <si>
    <t>CreateLiveOrder</t>
  </si>
  <si>
    <t>O:ATLS 11F46.00</t>
  </si>
  <si>
    <t>Buy to Open</t>
  </si>
  <si>
    <t>Allocation1,Allocation2</t>
  </si>
  <si>
    <t>50,50</t>
  </si>
  <si>
    <t>Yes</t>
  </si>
  <si>
    <t>Compliance</t>
  </si>
  <si>
    <t>VerifyRowCalculationBaseWindow</t>
  </si>
  <si>
    <t>InTradeStage</t>
  </si>
  <si>
    <t>NewMF</t>
  </si>
  <si>
    <t>Allocation1</t>
  </si>
  <si>
    <t>EquityOption</t>
  </si>
  <si>
    <t>NewMF1</t>
  </si>
  <si>
    <t>Allocation2</t>
  </si>
  <si>
    <t>Simulator</t>
  </si>
  <si>
    <t>SelectTrade</t>
  </si>
  <si>
    <t>AcknowledgeTrade</t>
  </si>
  <si>
    <t>InTradeMarket</t>
  </si>
  <si>
    <t>ExecuteTrade</t>
  </si>
  <si>
    <t>Post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</si>
</sst>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3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164" xfId="0" applyAlignment="1" applyBorder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5" fillId="0" fontId="5" numFmtId="0" xfId="0" applyAlignment="1" applyBorder="1" applyFont="1">
      <alignment horizontal="right" readingOrder="0" vertical="bottom"/>
    </xf>
    <xf borderId="5" fillId="0" fontId="3" numFmtId="0" xfId="0" applyAlignment="1" applyBorder="1" applyFont="1">
      <alignment readingOrder="0" vertical="bottom"/>
    </xf>
    <xf borderId="0" fillId="0" fontId="3" numFmtId="0" xfId="0" applyAlignment="1" applyFont="1">
      <alignment horizontal="right" readingOrder="0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7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>
      <c r="A522" t="str">
        <f>IFERROR(__xludf.DUMMYFUNCTION("""COMPUTED_VALUE"""),"Blotter")</f>
        <v>Blotter</v>
      </c>
      <c r="B522" t="str">
        <f>IFERROR(__xludf.DUMMYFUNCTION("""COMPUTED_VALUE"""),"AllocateFromBlotter")</f>
        <v>AllocateFromBlotter</v>
      </c>
      <c r="C522" t="str">
        <f>IFERROR(__xludf.DUMMYFUNCTION("""COMPUTED_VALUE"""),"1oly-GUleCLstbhsLqb5z_nrN6IcuRDzo7dau3mRro2g")</f>
        <v>1oly-GUleCLstbhsLqb5z_nrN6IcuRDzo7dau3mRro2g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IFERROR(__xludf.DUMMYFUNCTION("""COMPUTED_VALUE"""),"UpdateFee")</f>
        <v>UpdateFee</v>
      </c>
      <c r="C523" t="str">
        <f>IFERROR(__xludf.DUMMYFUNCTION("""COMPUTED_VALUE"""),"19Rcvs50oHXGL5FsIW3nGsIY2a3BShYxifQZnyCdj5YI")</f>
        <v>19Rcvs50oHXGL5FsIW3nGsIY2a3BShYxifQZnyCdj5YI</v>
      </c>
    </row>
    <row r="524" ht="15.75" customHeight="1">
      <c r="A524" t="str">
        <f>IFERROR(__xludf.DUMMYFUNCTION("""COMPUTED_VALUE"""),"Allocation")</f>
        <v>Allocation</v>
      </c>
      <c r="B524" t="str">
        <f>IFERROR(__xludf.DUMMYFUNCTION("""COMPUTED_VALUE"""),"CheckPreferences")</f>
        <v>CheckPreferences</v>
      </c>
      <c r="C524" t="str">
        <f>IFERROR(__xludf.DUMMYFUNCTION("""COMPUTED_VALUE"""),"19LWAFgtJK8TJic3Bigl3vokyu1yraGt63a_sVpP1MUU")</f>
        <v>19LWAFgtJK8TJic3Bigl3vokyu1yraGt63a_sVpP1MUU</v>
      </c>
    </row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IFERROR(__xludf.DUMMYFUNCTION("""COMPUTED_VALUE"""),"EnableDiableModule")</f>
        <v>EnableDiableModule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IFERROR(__xludf.DUMMYFUNCTION("""COMPUTED_VALUE"""),"UpdateSecFee")</f>
        <v>UpdateSecFee</v>
      </c>
      <c r="S4" s="26" t="str">
        <f>IFERROR(__xludf.DUMMYFUNCTION("""COMPUTED_VALUE"""),"UpdateFee")</f>
        <v>UpdateFee</v>
      </c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IFERROR(__xludf.DUMMYFUNCTION("""COMPUTED_VALUE"""),"isEnableModule")</f>
        <v>isEnableModule</v>
      </c>
      <c r="C5" s="28" t="str">
        <f>IFERROR(__xludf.DUMMYFUNCTION("""COMPUTED_VALUE"""),"moduleName")</f>
        <v>moduleName</v>
      </c>
      <c r="D5" s="28" t="str">
        <f>IFERROR(__xludf.DUMMYFUNCTION("""COMPUTED_VALUE"""),"userName")</f>
        <v>userName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3" t="s">
        <v>16</v>
      </c>
      <c r="D6" s="34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5"/>
      <c r="B7" s="37" t="b">
        <v>1</v>
      </c>
      <c r="C7" s="33" t="s">
        <v>17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5"/>
      <c r="B8" s="37" t="b">
        <v>1</v>
      </c>
      <c r="C8" s="33" t="s">
        <v>18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IFERROR(__xludf.DUMMYFUNCTION("""COMPUTED_VALUE"""),"EnableDiableModule")</f>
        <v>EnableDiableModule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IFERROR(__xludf.DUMMYFUNCTION("""COMPUTED_VALUE"""),"UpdateSecFee")</f>
        <v>UpdateSecFee</v>
      </c>
      <c r="S4" s="26" t="str">
        <f>IFERROR(__xludf.DUMMYFUNCTION("""COMPUTED_VALUE"""),"UpdateFee")</f>
        <v>UpdateFee</v>
      </c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IFERROR(__xludf.DUMMYFUNCTION("""COMPUTED_VALUE"""),"ImportExportPath")</f>
        <v>ImportExportPath</v>
      </c>
      <c r="C5" s="28" t="str">
        <f>IFERROR(__xludf.DUMMYFUNCTION("""COMPUTED_VALUE"""),"PrePostCrossImport")</f>
        <v>PrePostCrossImport</v>
      </c>
      <c r="D5" s="28" t="str">
        <f>IFERROR(__xludf.DUMMYFUNCTION("""COMPUTED_VALUE"""),"InMarket")</f>
        <v>InMarket</v>
      </c>
      <c r="E5" s="28" t="str">
        <f>IFERROR(__xludf.DUMMYFUNCTION("""COMPUTED_VALUE"""),"InStage")</f>
        <v>InStage</v>
      </c>
      <c r="F5" s="29" t="str">
        <f>IFERROR(__xludf.DUMMYFUNCTION("""COMPUTED_VALUE"""),"PostInMarket")</f>
        <v>PostInMarket</v>
      </c>
      <c r="G5" s="28" t="str">
        <f>IFERROR(__xludf.DUMMYFUNCTION("""COMPUTED_VALUE"""),"PostInStage")</f>
        <v>PostInStage</v>
      </c>
      <c r="H5" s="28" t="str">
        <f>IFERROR(__xludf.DUMMYFUNCTION("""COMPUTED_VALUE"""),"BlockTradeOnComplianceFaliure")</f>
        <v>BlockTradeOnComplianceFaliure</v>
      </c>
      <c r="I5" s="28" t="str">
        <f>IFERROR(__xludf.DUMMYFUNCTION("""COMPUTED_VALUE"""),"StageValueFromField")</f>
        <v>StageValueFromField</v>
      </c>
      <c r="J5" s="28" t="str">
        <f>IFERROR(__xludf.DUMMYFUNCTION("""COMPUTED_VALUE"""),"StageValueFromFieldString")</f>
        <v>StageValueFromFieldString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5"/>
      <c r="D6" s="32" t="b">
        <v>1</v>
      </c>
      <c r="E6" s="37" t="b">
        <v>1</v>
      </c>
      <c r="F6" s="37" t="b">
        <v>1</v>
      </c>
      <c r="G6" s="37" t="b">
        <v>1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SetComplianceAlert!$4:$4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 t="str">
        <f>IFERROR(__xludf.DUMMYFUNCTION("""COMPUTED_VALUE"""),"SendLiveBloomberg")</f>
        <v>SendLiveBloomberg</v>
      </c>
      <c r="AD4" s="26" t="str">
        <f>IFERROR(__xludf.DUMMYFUNCTION("""COMPUTED_VALUE"""),"AddOptionTrade")</f>
        <v>AddOptionTrade</v>
      </c>
      <c r="AE4" s="26" t="str">
        <f>IFERROR(__xludf.DUMMYFUNCTION("""COMPUTED_VALUE"""),"ViewAllocation")</f>
        <v>ViewAllocation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13" t="s">
        <v>22</v>
      </c>
      <c r="C6" s="38" t="s">
        <v>23</v>
      </c>
      <c r="D6" s="39">
        <v>100.0</v>
      </c>
      <c r="E6" s="39">
        <v>100.0</v>
      </c>
      <c r="F6" s="35"/>
      <c r="G6" s="35"/>
      <c r="H6" s="35"/>
      <c r="I6" s="35"/>
      <c r="J6" s="39">
        <v>20.0</v>
      </c>
      <c r="K6" s="35"/>
      <c r="L6" s="35"/>
      <c r="M6" s="35"/>
      <c r="N6" s="40">
        <f t="shared" ref="N6:N7" si="1">today()</f>
        <v>44544</v>
      </c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 t="s">
        <v>24</v>
      </c>
      <c r="AL6" s="36" t="s">
        <v>25</v>
      </c>
      <c r="AM6" s="36"/>
      <c r="AN6" s="36"/>
      <c r="AO6" s="36" t="s">
        <v>26</v>
      </c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13" t="s">
        <v>22</v>
      </c>
      <c r="C7" s="38" t="s">
        <v>23</v>
      </c>
      <c r="D7" s="39">
        <v>200.0</v>
      </c>
      <c r="E7" s="39">
        <v>200.0</v>
      </c>
      <c r="F7" s="35"/>
      <c r="G7" s="36"/>
      <c r="H7" s="36"/>
      <c r="I7" s="36"/>
      <c r="J7" s="41">
        <v>10.0</v>
      </c>
      <c r="K7" s="36"/>
      <c r="L7" s="35"/>
      <c r="M7" s="35"/>
      <c r="N7" s="40">
        <f t="shared" si="1"/>
        <v>44544</v>
      </c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 t="s">
        <v>24</v>
      </c>
      <c r="AL7" s="36" t="s">
        <v>25</v>
      </c>
      <c r="AM7" s="36"/>
      <c r="AN7" s="36"/>
      <c r="AO7" s="36" t="s">
        <v>26</v>
      </c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/>
      <c r="C6" s="35"/>
      <c r="D6" s="34"/>
      <c r="E6" s="35"/>
      <c r="F6" s="35"/>
      <c r="G6" s="35"/>
      <c r="H6" s="13" t="s">
        <v>22</v>
      </c>
      <c r="I6" s="39">
        <v>0.0</v>
      </c>
      <c r="J6" s="42">
        <v>5000.0</v>
      </c>
      <c r="K6" s="42">
        <v>5000.0</v>
      </c>
      <c r="L6" s="39">
        <v>50.0</v>
      </c>
      <c r="M6" s="43" t="s">
        <v>29</v>
      </c>
      <c r="N6" s="35"/>
      <c r="O6" s="43" t="s">
        <v>23</v>
      </c>
      <c r="P6" s="35"/>
      <c r="Q6" s="35"/>
      <c r="R6" s="35" t="s">
        <v>30</v>
      </c>
      <c r="S6" s="35"/>
      <c r="T6" s="36" t="s">
        <v>31</v>
      </c>
      <c r="U6" s="36" t="s">
        <v>31</v>
      </c>
      <c r="V6" s="36"/>
      <c r="W6" s="36"/>
      <c r="X6" s="36"/>
      <c r="Y6" s="36"/>
      <c r="Z6" s="36"/>
      <c r="AA6" s="36"/>
      <c r="AB6" s="44">
        <v>50000.0</v>
      </c>
      <c r="AC6" s="36"/>
      <c r="AD6" s="44">
        <v>50000.0</v>
      </c>
      <c r="AE6" s="45">
        <v>0.0</v>
      </c>
      <c r="AF6" s="35"/>
      <c r="AG6" s="42">
        <v>5000.0</v>
      </c>
      <c r="AH6" s="44">
        <v>50000.0</v>
      </c>
      <c r="AI6" s="36"/>
      <c r="AJ6" s="46" t="s">
        <v>32</v>
      </c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47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47"/>
      <c r="BR6" s="47"/>
      <c r="BS6" s="36"/>
      <c r="BT6" s="47"/>
      <c r="BU6" s="36"/>
      <c r="BV6" s="47">
        <v>10.0</v>
      </c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47">
        <v>0.0</v>
      </c>
      <c r="DK6" s="47">
        <v>0.0</v>
      </c>
      <c r="DL6" s="36"/>
      <c r="DM6" s="36"/>
      <c r="DN6" s="47">
        <v>0.0</v>
      </c>
      <c r="DO6" s="47">
        <v>0.0</v>
      </c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5"/>
      <c r="B7" s="35"/>
      <c r="C7" s="35"/>
      <c r="D7" s="35"/>
      <c r="E7" s="35"/>
      <c r="F7" s="35"/>
      <c r="G7" s="35"/>
      <c r="H7" s="13" t="s">
        <v>22</v>
      </c>
      <c r="I7" s="39">
        <v>0.0</v>
      </c>
      <c r="J7" s="42">
        <v>5000.0</v>
      </c>
      <c r="K7" s="42">
        <v>5000.0</v>
      </c>
      <c r="L7" s="39">
        <v>50.0</v>
      </c>
      <c r="M7" s="43" t="s">
        <v>29</v>
      </c>
      <c r="N7" s="35"/>
      <c r="O7" s="43" t="s">
        <v>23</v>
      </c>
      <c r="P7" s="35"/>
      <c r="Q7" s="35"/>
      <c r="R7" s="35" t="s">
        <v>33</v>
      </c>
      <c r="S7" s="35"/>
      <c r="T7" s="36" t="s">
        <v>34</v>
      </c>
      <c r="U7" s="36" t="s">
        <v>34</v>
      </c>
      <c r="V7" s="36"/>
      <c r="W7" s="36"/>
      <c r="X7" s="36"/>
      <c r="Y7" s="36"/>
      <c r="Z7" s="36"/>
      <c r="AA7" s="36"/>
      <c r="AB7" s="44">
        <v>50000.0</v>
      </c>
      <c r="AC7" s="36"/>
      <c r="AD7" s="44">
        <v>50000.0</v>
      </c>
      <c r="AE7" s="45">
        <v>0.0</v>
      </c>
      <c r="AF7" s="35"/>
      <c r="AG7" s="42">
        <v>5000.0</v>
      </c>
      <c r="AH7" s="44">
        <v>50000.0</v>
      </c>
      <c r="AI7" s="36"/>
      <c r="AJ7" s="46" t="s">
        <v>32</v>
      </c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47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47"/>
      <c r="BR7" s="47"/>
      <c r="BS7" s="36"/>
      <c r="BT7" s="47"/>
      <c r="BU7" s="36"/>
      <c r="BV7" s="47">
        <v>10.0</v>
      </c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47">
        <v>0.0</v>
      </c>
      <c r="DK7" s="47">
        <v>0.0</v>
      </c>
      <c r="DL7" s="36"/>
      <c r="DM7" s="36"/>
      <c r="DN7" s="47">
        <v>0.0</v>
      </c>
      <c r="DO7" s="47">
        <v>0.0</v>
      </c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5"/>
      <c r="B8" s="35"/>
      <c r="C8" s="35"/>
      <c r="D8" s="35"/>
      <c r="E8" s="35"/>
      <c r="F8" s="35"/>
      <c r="G8" s="35"/>
      <c r="H8" s="13" t="s">
        <v>22</v>
      </c>
      <c r="I8" s="39">
        <v>0.0</v>
      </c>
      <c r="J8" s="42">
        <v>10000.0</v>
      </c>
      <c r="K8" s="42">
        <v>10000.0</v>
      </c>
      <c r="L8" s="39">
        <v>100.0</v>
      </c>
      <c r="M8" s="43" t="s">
        <v>29</v>
      </c>
      <c r="N8" s="35"/>
      <c r="O8" s="43" t="s">
        <v>23</v>
      </c>
      <c r="P8" s="35"/>
      <c r="Q8" s="35"/>
      <c r="R8" s="35" t="s">
        <v>30</v>
      </c>
      <c r="S8" s="35"/>
      <c r="T8" s="36" t="s">
        <v>31</v>
      </c>
      <c r="U8" s="36" t="s">
        <v>31</v>
      </c>
      <c r="V8" s="36"/>
      <c r="W8" s="36"/>
      <c r="X8" s="36"/>
      <c r="Y8" s="36"/>
      <c r="Z8" s="36"/>
      <c r="AA8" s="36"/>
      <c r="AB8" s="44">
        <v>100000.0</v>
      </c>
      <c r="AC8" s="36"/>
      <c r="AD8" s="44">
        <v>100000.0</v>
      </c>
      <c r="AE8" s="45">
        <v>0.0</v>
      </c>
      <c r="AF8" s="35"/>
      <c r="AG8" s="42">
        <v>10000.0</v>
      </c>
      <c r="AH8" s="44">
        <v>100000.0</v>
      </c>
      <c r="AI8" s="36"/>
      <c r="AJ8" s="46" t="s">
        <v>32</v>
      </c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47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47"/>
      <c r="BR8" s="47"/>
      <c r="BS8" s="36"/>
      <c r="BT8" s="47"/>
      <c r="BU8" s="36"/>
      <c r="BV8" s="47">
        <v>10.0</v>
      </c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47">
        <v>0.0</v>
      </c>
      <c r="DK8" s="47">
        <v>0.0</v>
      </c>
      <c r="DL8" s="36"/>
      <c r="DM8" s="36"/>
      <c r="DN8" s="47">
        <v>0.0</v>
      </c>
      <c r="DO8" s="47">
        <v>0.0</v>
      </c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/>
      <c r="C9" s="36"/>
      <c r="D9" s="36"/>
      <c r="E9" s="36"/>
      <c r="F9" s="35"/>
      <c r="G9" s="35"/>
      <c r="H9" s="13" t="s">
        <v>22</v>
      </c>
      <c r="I9" s="39">
        <v>0.0</v>
      </c>
      <c r="J9" s="42">
        <v>10000.0</v>
      </c>
      <c r="K9" s="42">
        <v>10000.0</v>
      </c>
      <c r="L9" s="39">
        <v>100.0</v>
      </c>
      <c r="M9" s="43" t="s">
        <v>29</v>
      </c>
      <c r="N9" s="35"/>
      <c r="O9" s="43" t="s">
        <v>23</v>
      </c>
      <c r="P9" s="35"/>
      <c r="Q9" s="35"/>
      <c r="R9" s="35" t="s">
        <v>33</v>
      </c>
      <c r="S9" s="35"/>
      <c r="T9" s="36" t="s">
        <v>34</v>
      </c>
      <c r="U9" s="36" t="s">
        <v>34</v>
      </c>
      <c r="V9" s="36"/>
      <c r="W9" s="36"/>
      <c r="X9" s="36"/>
      <c r="Y9" s="36"/>
      <c r="Z9" s="36"/>
      <c r="AA9" s="36"/>
      <c r="AB9" s="44">
        <v>100000.0</v>
      </c>
      <c r="AC9" s="36"/>
      <c r="AD9" s="44">
        <v>100000.0</v>
      </c>
      <c r="AE9" s="45">
        <v>0.0</v>
      </c>
      <c r="AF9" s="35"/>
      <c r="AG9" s="42">
        <v>10000.0</v>
      </c>
      <c r="AH9" s="44">
        <v>100000.0</v>
      </c>
      <c r="AI9" s="36"/>
      <c r="AJ9" s="46" t="s">
        <v>32</v>
      </c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47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47"/>
      <c r="BR9" s="47"/>
      <c r="BS9" s="36"/>
      <c r="BT9" s="47"/>
      <c r="BU9" s="36"/>
      <c r="BV9" s="47">
        <v>10.0</v>
      </c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47">
        <v>0.0</v>
      </c>
      <c r="DK9" s="47">
        <v>0.0</v>
      </c>
      <c r="DL9" s="36"/>
      <c r="DM9" s="36"/>
      <c r="DN9" s="47">
        <v>0.0</v>
      </c>
      <c r="DO9" s="47">
        <v>0.0</v>
      </c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22</v>
      </c>
      <c r="D6" s="13"/>
      <c r="E6" s="48"/>
      <c r="F6" s="8"/>
      <c r="G6" s="1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22</v>
      </c>
      <c r="D6" s="13"/>
      <c r="E6" s="48"/>
      <c r="F6" s="8"/>
      <c r="G6" s="1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22</v>
      </c>
      <c r="D6" s="13"/>
      <c r="E6" s="48"/>
      <c r="F6" s="8"/>
      <c r="G6" s="13">
        <v>200.0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22</v>
      </c>
      <c r="D6" s="13"/>
      <c r="E6" s="48"/>
      <c r="F6" s="8"/>
      <c r="G6" s="13">
        <v>200.0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/>
      <c r="C6" s="35"/>
      <c r="D6" s="34"/>
      <c r="E6" s="35"/>
      <c r="F6" s="35"/>
      <c r="G6" s="35"/>
      <c r="H6" s="13" t="s">
        <v>22</v>
      </c>
      <c r="I6" s="39">
        <v>0.0</v>
      </c>
      <c r="J6" s="42">
        <v>5000.0</v>
      </c>
      <c r="K6" s="42">
        <v>5000.0</v>
      </c>
      <c r="L6" s="39">
        <v>50.0</v>
      </c>
      <c r="M6" s="43" t="s">
        <v>38</v>
      </c>
      <c r="N6" s="35"/>
      <c r="O6" s="43" t="s">
        <v>23</v>
      </c>
      <c r="P6" s="35"/>
      <c r="Q6" s="35"/>
      <c r="R6" s="35" t="s">
        <v>30</v>
      </c>
      <c r="S6" s="35"/>
      <c r="T6" s="36" t="s">
        <v>31</v>
      </c>
      <c r="U6" s="36" t="s">
        <v>31</v>
      </c>
      <c r="V6" s="36"/>
      <c r="W6" s="36"/>
      <c r="X6" s="36"/>
      <c r="Y6" s="36"/>
      <c r="Z6" s="36"/>
      <c r="AA6" s="36"/>
      <c r="AB6" s="44">
        <v>50000.0</v>
      </c>
      <c r="AC6" s="36"/>
      <c r="AD6" s="44">
        <v>50000.0</v>
      </c>
      <c r="AE6" s="45">
        <v>0.0</v>
      </c>
      <c r="AF6" s="35"/>
      <c r="AG6" s="42">
        <v>5000.0</v>
      </c>
      <c r="AH6" s="44">
        <v>50000.0</v>
      </c>
      <c r="AI6" s="36"/>
      <c r="AJ6" s="46" t="s">
        <v>32</v>
      </c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47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47"/>
      <c r="BR6" s="47"/>
      <c r="BS6" s="36"/>
      <c r="BT6" s="47"/>
      <c r="BU6" s="36"/>
      <c r="BV6" s="47">
        <v>10.0</v>
      </c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47">
        <v>0.0</v>
      </c>
      <c r="DK6" s="47">
        <v>0.0</v>
      </c>
      <c r="DL6" s="36"/>
      <c r="DM6" s="36"/>
      <c r="DN6" s="47">
        <v>0.0</v>
      </c>
      <c r="DO6" s="47">
        <v>0.0</v>
      </c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5"/>
      <c r="B7" s="35"/>
      <c r="C7" s="35"/>
      <c r="D7" s="35"/>
      <c r="E7" s="35"/>
      <c r="F7" s="35"/>
      <c r="G7" s="35"/>
      <c r="H7" s="13" t="s">
        <v>22</v>
      </c>
      <c r="I7" s="39">
        <v>0.0</v>
      </c>
      <c r="J7" s="42">
        <v>5000.0</v>
      </c>
      <c r="K7" s="42">
        <v>5000.0</v>
      </c>
      <c r="L7" s="39">
        <v>50.0</v>
      </c>
      <c r="M7" s="43" t="s">
        <v>38</v>
      </c>
      <c r="N7" s="35"/>
      <c r="O7" s="43" t="s">
        <v>23</v>
      </c>
      <c r="P7" s="35"/>
      <c r="Q7" s="35"/>
      <c r="R7" s="35" t="s">
        <v>33</v>
      </c>
      <c r="S7" s="35"/>
      <c r="T7" s="36" t="s">
        <v>34</v>
      </c>
      <c r="U7" s="36" t="s">
        <v>34</v>
      </c>
      <c r="V7" s="36"/>
      <c r="W7" s="36"/>
      <c r="X7" s="36"/>
      <c r="Y7" s="36"/>
      <c r="Z7" s="36"/>
      <c r="AA7" s="36"/>
      <c r="AB7" s="44">
        <v>50000.0</v>
      </c>
      <c r="AC7" s="36"/>
      <c r="AD7" s="44">
        <v>50000.0</v>
      </c>
      <c r="AE7" s="45">
        <v>0.0</v>
      </c>
      <c r="AF7" s="35"/>
      <c r="AG7" s="42">
        <v>5000.0</v>
      </c>
      <c r="AH7" s="44">
        <v>50000.0</v>
      </c>
      <c r="AI7" s="36"/>
      <c r="AJ7" s="46" t="s">
        <v>32</v>
      </c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47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47"/>
      <c r="BR7" s="47"/>
      <c r="BS7" s="36"/>
      <c r="BT7" s="47"/>
      <c r="BU7" s="36"/>
      <c r="BV7" s="47">
        <v>10.0</v>
      </c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47">
        <v>0.0</v>
      </c>
      <c r="DK7" s="47">
        <v>0.0</v>
      </c>
      <c r="DL7" s="36"/>
      <c r="DM7" s="36"/>
      <c r="DN7" s="47">
        <v>0.0</v>
      </c>
      <c r="DO7" s="47">
        <v>0.0</v>
      </c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5"/>
      <c r="B8" s="35"/>
      <c r="C8" s="35"/>
      <c r="D8" s="35"/>
      <c r="E8" s="35"/>
      <c r="F8" s="35"/>
      <c r="G8" s="35"/>
      <c r="H8" s="13" t="s">
        <v>22</v>
      </c>
      <c r="I8" s="39">
        <v>0.0</v>
      </c>
      <c r="J8" s="42">
        <v>10000.0</v>
      </c>
      <c r="K8" s="42">
        <v>10000.0</v>
      </c>
      <c r="L8" s="39">
        <v>100.0</v>
      </c>
      <c r="M8" s="43" t="s">
        <v>38</v>
      </c>
      <c r="N8" s="35"/>
      <c r="O8" s="43" t="s">
        <v>23</v>
      </c>
      <c r="P8" s="35"/>
      <c r="Q8" s="35"/>
      <c r="R8" s="35" t="s">
        <v>30</v>
      </c>
      <c r="S8" s="35"/>
      <c r="T8" s="36" t="s">
        <v>31</v>
      </c>
      <c r="U8" s="36" t="s">
        <v>31</v>
      </c>
      <c r="V8" s="36"/>
      <c r="W8" s="36"/>
      <c r="X8" s="36"/>
      <c r="Y8" s="36"/>
      <c r="Z8" s="36"/>
      <c r="AA8" s="36"/>
      <c r="AB8" s="44">
        <v>100000.0</v>
      </c>
      <c r="AC8" s="36"/>
      <c r="AD8" s="44">
        <v>100000.0</v>
      </c>
      <c r="AE8" s="45">
        <v>0.0</v>
      </c>
      <c r="AF8" s="35"/>
      <c r="AG8" s="42">
        <v>10000.0</v>
      </c>
      <c r="AH8" s="44">
        <v>100000.0</v>
      </c>
      <c r="AI8" s="36"/>
      <c r="AJ8" s="46" t="s">
        <v>32</v>
      </c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47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47"/>
      <c r="BR8" s="47"/>
      <c r="BS8" s="36"/>
      <c r="BT8" s="47"/>
      <c r="BU8" s="36"/>
      <c r="BV8" s="47">
        <v>10.0</v>
      </c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47">
        <v>0.0</v>
      </c>
      <c r="DK8" s="47">
        <v>0.0</v>
      </c>
      <c r="DL8" s="36"/>
      <c r="DM8" s="36"/>
      <c r="DN8" s="47">
        <v>0.0</v>
      </c>
      <c r="DO8" s="47">
        <v>0.0</v>
      </c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/>
      <c r="C9" s="36"/>
      <c r="D9" s="36"/>
      <c r="E9" s="36"/>
      <c r="F9" s="35"/>
      <c r="G9" s="35"/>
      <c r="H9" s="13" t="s">
        <v>22</v>
      </c>
      <c r="I9" s="39">
        <v>0.0</v>
      </c>
      <c r="J9" s="42">
        <v>10000.0</v>
      </c>
      <c r="K9" s="42">
        <v>10000.0</v>
      </c>
      <c r="L9" s="39">
        <v>100.0</v>
      </c>
      <c r="M9" s="43" t="s">
        <v>38</v>
      </c>
      <c r="N9" s="35"/>
      <c r="O9" s="43" t="s">
        <v>23</v>
      </c>
      <c r="P9" s="35"/>
      <c r="Q9" s="35"/>
      <c r="R9" s="35" t="s">
        <v>33</v>
      </c>
      <c r="S9" s="35"/>
      <c r="T9" s="36" t="s">
        <v>34</v>
      </c>
      <c r="U9" s="36" t="s">
        <v>34</v>
      </c>
      <c r="V9" s="36"/>
      <c r="W9" s="36"/>
      <c r="X9" s="36"/>
      <c r="Y9" s="36"/>
      <c r="Z9" s="36"/>
      <c r="AA9" s="36"/>
      <c r="AB9" s="44">
        <v>100000.0</v>
      </c>
      <c r="AC9" s="36"/>
      <c r="AD9" s="44">
        <v>100000.0</v>
      </c>
      <c r="AE9" s="45">
        <v>0.0</v>
      </c>
      <c r="AF9" s="35"/>
      <c r="AG9" s="42">
        <v>10000.0</v>
      </c>
      <c r="AH9" s="44">
        <v>100000.0</v>
      </c>
      <c r="AI9" s="36"/>
      <c r="AJ9" s="46" t="s">
        <v>32</v>
      </c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47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47"/>
      <c r="BR9" s="47"/>
      <c r="BS9" s="36"/>
      <c r="BT9" s="47"/>
      <c r="BU9" s="36"/>
      <c r="BV9" s="47">
        <v>10.0</v>
      </c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47">
        <v>0.0</v>
      </c>
      <c r="DK9" s="47">
        <v>0.0</v>
      </c>
      <c r="DL9" s="36"/>
      <c r="DM9" s="36"/>
      <c r="DN9" s="47">
        <v>0.0</v>
      </c>
      <c r="DO9" s="47">
        <v>0.0</v>
      </c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VerifyRowCalculationBaseWindow1!$4:$4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20.0</v>
      </c>
      <c r="C6" s="13">
        <v>100.0</v>
      </c>
      <c r="D6" s="13"/>
      <c r="E6" s="4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200.0</v>
      </c>
      <c r="D6" s="13"/>
      <c r="E6" s="4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/>
      <c r="C6" s="35"/>
      <c r="D6" s="34"/>
      <c r="E6" s="35"/>
      <c r="F6" s="35"/>
      <c r="G6" s="35"/>
      <c r="H6" s="13" t="s">
        <v>22</v>
      </c>
      <c r="I6" s="39">
        <v>0.0</v>
      </c>
      <c r="J6" s="42">
        <v>5000.0</v>
      </c>
      <c r="K6" s="42">
        <v>5000.0</v>
      </c>
      <c r="L6" s="39">
        <v>50.0</v>
      </c>
      <c r="M6" s="43" t="s">
        <v>40</v>
      </c>
      <c r="N6" s="35"/>
      <c r="O6" s="43" t="s">
        <v>23</v>
      </c>
      <c r="P6" s="35"/>
      <c r="Q6" s="35"/>
      <c r="R6" s="35" t="s">
        <v>30</v>
      </c>
      <c r="S6" s="35"/>
      <c r="T6" s="36" t="s">
        <v>31</v>
      </c>
      <c r="U6" s="36" t="s">
        <v>31</v>
      </c>
      <c r="V6" s="36"/>
      <c r="W6" s="36"/>
      <c r="X6" s="36"/>
      <c r="Y6" s="36"/>
      <c r="Z6" s="36"/>
      <c r="AA6" s="36"/>
      <c r="AB6" s="44">
        <v>120000.0</v>
      </c>
      <c r="AC6" s="36"/>
      <c r="AD6" s="44">
        <v>120000.0</v>
      </c>
      <c r="AE6" s="45">
        <v>0.0</v>
      </c>
      <c r="AF6" s="35"/>
      <c r="AG6" s="42">
        <v>5000.0</v>
      </c>
      <c r="AH6" s="44">
        <v>120000.0</v>
      </c>
      <c r="AI6" s="36"/>
      <c r="AJ6" s="46" t="s">
        <v>32</v>
      </c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47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47"/>
      <c r="BR6" s="47"/>
      <c r="BS6" s="36"/>
      <c r="BT6" s="47"/>
      <c r="BU6" s="36"/>
      <c r="BV6" s="44">
        <v>20.0</v>
      </c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44">
        <v>-50000.0</v>
      </c>
      <c r="DK6" s="44">
        <v>-50000.0</v>
      </c>
      <c r="DL6" s="36"/>
      <c r="DM6" s="36"/>
      <c r="DN6" s="44">
        <v>-70000.0</v>
      </c>
      <c r="DO6" s="44">
        <v>-70000.0</v>
      </c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5"/>
      <c r="B7" s="35"/>
      <c r="C7" s="35"/>
      <c r="D7" s="35"/>
      <c r="E7" s="35"/>
      <c r="F7" s="35"/>
      <c r="G7" s="35"/>
      <c r="H7" s="13" t="s">
        <v>22</v>
      </c>
      <c r="I7" s="39">
        <v>0.0</v>
      </c>
      <c r="J7" s="42">
        <v>5000.0</v>
      </c>
      <c r="K7" s="42">
        <v>5000.0</v>
      </c>
      <c r="L7" s="39">
        <v>50.0</v>
      </c>
      <c r="M7" s="43" t="s">
        <v>40</v>
      </c>
      <c r="N7" s="35"/>
      <c r="O7" s="43" t="s">
        <v>23</v>
      </c>
      <c r="P7" s="35"/>
      <c r="Q7" s="35"/>
      <c r="R7" s="35" t="s">
        <v>33</v>
      </c>
      <c r="S7" s="35"/>
      <c r="T7" s="36" t="s">
        <v>34</v>
      </c>
      <c r="U7" s="36" t="s">
        <v>34</v>
      </c>
      <c r="V7" s="36"/>
      <c r="W7" s="36"/>
      <c r="X7" s="36"/>
      <c r="Y7" s="36"/>
      <c r="Z7" s="36"/>
      <c r="AA7" s="36"/>
      <c r="AB7" s="44">
        <v>120000.0</v>
      </c>
      <c r="AC7" s="36"/>
      <c r="AD7" s="44">
        <v>120000.0</v>
      </c>
      <c r="AE7" s="45">
        <v>0.0</v>
      </c>
      <c r="AF7" s="35"/>
      <c r="AG7" s="42">
        <v>5000.0</v>
      </c>
      <c r="AH7" s="44">
        <v>120000.0</v>
      </c>
      <c r="AI7" s="36"/>
      <c r="AJ7" s="46" t="s">
        <v>32</v>
      </c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47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47"/>
      <c r="BR7" s="47"/>
      <c r="BS7" s="36"/>
      <c r="BT7" s="47"/>
      <c r="BU7" s="36"/>
      <c r="BV7" s="44">
        <v>20.0</v>
      </c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44">
        <v>-50000.0</v>
      </c>
      <c r="DK7" s="44">
        <v>-50000.0</v>
      </c>
      <c r="DL7" s="36"/>
      <c r="DM7" s="36"/>
      <c r="DN7" s="44">
        <v>-70000.0</v>
      </c>
      <c r="DO7" s="44">
        <v>-70000.0</v>
      </c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5"/>
      <c r="B8" s="35"/>
      <c r="C8" s="35"/>
      <c r="D8" s="35"/>
      <c r="E8" s="35"/>
      <c r="F8" s="35"/>
      <c r="G8" s="35"/>
      <c r="H8" s="13" t="s">
        <v>22</v>
      </c>
      <c r="I8" s="39">
        <v>0.0</v>
      </c>
      <c r="J8" s="42">
        <v>10000.0</v>
      </c>
      <c r="K8" s="42">
        <v>10000.0</v>
      </c>
      <c r="L8" s="39">
        <v>100.0</v>
      </c>
      <c r="M8" s="43" t="s">
        <v>40</v>
      </c>
      <c r="N8" s="35"/>
      <c r="O8" s="43" t="s">
        <v>23</v>
      </c>
      <c r="P8" s="35"/>
      <c r="Q8" s="35"/>
      <c r="R8" s="35" t="s">
        <v>30</v>
      </c>
      <c r="S8" s="35"/>
      <c r="T8" s="36" t="s">
        <v>31</v>
      </c>
      <c r="U8" s="36" t="s">
        <v>31</v>
      </c>
      <c r="V8" s="36"/>
      <c r="W8" s="36"/>
      <c r="X8" s="36"/>
      <c r="Y8" s="36"/>
      <c r="Z8" s="36"/>
      <c r="AA8" s="36"/>
      <c r="AB8" s="44">
        <v>120000.0</v>
      </c>
      <c r="AC8" s="36"/>
      <c r="AD8" s="44">
        <v>120000.0</v>
      </c>
      <c r="AE8" s="45">
        <v>0.0</v>
      </c>
      <c r="AF8" s="35"/>
      <c r="AG8" s="42">
        <v>10000.0</v>
      </c>
      <c r="AH8" s="44">
        <v>120000.0</v>
      </c>
      <c r="AI8" s="36"/>
      <c r="AJ8" s="46" t="s">
        <v>32</v>
      </c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47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47"/>
      <c r="BR8" s="47"/>
      <c r="BS8" s="36"/>
      <c r="BT8" s="47"/>
      <c r="BU8" s="36"/>
      <c r="BV8" s="47">
        <v>10.0</v>
      </c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47">
        <v>0.0</v>
      </c>
      <c r="DK8" s="47">
        <v>0.0</v>
      </c>
      <c r="DL8" s="36"/>
      <c r="DM8" s="36"/>
      <c r="DN8" s="44">
        <v>-20000.0</v>
      </c>
      <c r="DO8" s="44">
        <v>-20000.0</v>
      </c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/>
      <c r="C9" s="36"/>
      <c r="D9" s="36"/>
      <c r="E9" s="36"/>
      <c r="F9" s="35"/>
      <c r="G9" s="35"/>
      <c r="H9" s="13" t="s">
        <v>22</v>
      </c>
      <c r="I9" s="39">
        <v>0.0</v>
      </c>
      <c r="J9" s="42">
        <v>10000.0</v>
      </c>
      <c r="K9" s="42">
        <v>10000.0</v>
      </c>
      <c r="L9" s="39">
        <v>100.0</v>
      </c>
      <c r="M9" s="43" t="s">
        <v>40</v>
      </c>
      <c r="N9" s="35"/>
      <c r="O9" s="43" t="s">
        <v>23</v>
      </c>
      <c r="P9" s="35"/>
      <c r="Q9" s="35"/>
      <c r="R9" s="35" t="s">
        <v>33</v>
      </c>
      <c r="S9" s="35"/>
      <c r="T9" s="36" t="s">
        <v>34</v>
      </c>
      <c r="U9" s="36" t="s">
        <v>34</v>
      </c>
      <c r="V9" s="36"/>
      <c r="W9" s="36"/>
      <c r="X9" s="36"/>
      <c r="Y9" s="36"/>
      <c r="Z9" s="36"/>
      <c r="AA9" s="36"/>
      <c r="AB9" s="44">
        <v>120000.0</v>
      </c>
      <c r="AC9" s="36"/>
      <c r="AD9" s="44">
        <v>120000.0</v>
      </c>
      <c r="AE9" s="45">
        <v>0.0</v>
      </c>
      <c r="AF9" s="35"/>
      <c r="AG9" s="42">
        <v>10000.0</v>
      </c>
      <c r="AH9" s="44">
        <v>120000.0</v>
      </c>
      <c r="AI9" s="36"/>
      <c r="AJ9" s="46" t="s">
        <v>32</v>
      </c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47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47"/>
      <c r="BR9" s="47"/>
      <c r="BS9" s="36"/>
      <c r="BT9" s="47"/>
      <c r="BU9" s="36"/>
      <c r="BV9" s="47">
        <v>10.0</v>
      </c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47">
        <v>0.0</v>
      </c>
      <c r="DK9" s="47">
        <v>0.0</v>
      </c>
      <c r="DL9" s="36"/>
      <c r="DM9" s="36"/>
      <c r="DN9" s="44">
        <v>-20000.0</v>
      </c>
      <c r="DO9" s="44">
        <v>-20000.0</v>
      </c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VerifyRowCalculationBaseWindow2!$4:$4</formula1>
    </dataValidation>
  </dataValidations>
  <drawing r:id="rId1"/>
</worksheet>
</file>