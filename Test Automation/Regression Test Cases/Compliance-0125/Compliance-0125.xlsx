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CreateStageOrder" sheetId="6" r:id="rId8"/>
    <sheet state="visible" name="GetDataAllocation" sheetId="7" r:id="rId9"/>
    <sheet state="visible" name="SelectAllocatedGroup" sheetId="8" r:id="rId10"/>
    <sheet state="visible" name="BookOrUpdateSwap" sheetId="9" r:id="rId11"/>
    <sheet state="visible" name="PricingInput" sheetId="10" r:id="rId12"/>
    <sheet state="visible" name="GetMarkPriceData" sheetId="11" r:id="rId13"/>
    <sheet state="visible" name="UpdateMarkPrice" sheetId="12" r:id="rId14"/>
    <sheet state="visible" name="GetForexConversion" sheetId="13" r:id="rId15"/>
    <sheet state="visible" name="UpdateForexConversion" sheetId="14" r:id="rId16"/>
    <sheet state="visible" name="GetDailyCash" sheetId="15" r:id="rId17"/>
    <sheet state="visible" name="UpdateDailyCash" sheetId="16" r:id="rId18"/>
    <sheet state="visible" name="GetCashTransaction" sheetId="17" r:id="rId19"/>
    <sheet state="visible" name="AddCashTransaction" sheetId="18" r:id="rId20"/>
    <sheet state="visible" name="GetAccountBalance" sheetId="19" r:id="rId21"/>
    <sheet state="visible" name="FetchAccountPositions" sheetId="20" r:id="rId22"/>
    <sheet state="visible" name="AddCash" sheetId="21" r:id="rId23"/>
    <sheet state="visible" name="RunRebalance" sheetId="22" r:id="rId24"/>
    <sheet state="visible" name="CheckBasketCompliance" sheetId="23" r:id="rId25"/>
    <sheet state="visible" name="SendToStagingExport" sheetId="24" r:id="rId26"/>
    <sheet state="visible" name="FetchAccountPositions1" sheetId="25" r:id="rId27"/>
    <sheet state="visible" name="AddCash1" sheetId="26" r:id="rId28"/>
    <sheet state="visible" name="RunRebalance1" sheetId="27" r:id="rId29"/>
    <sheet state="visible" name="CheckBasketCompliance1" sheetId="28" r:id="rId30"/>
    <sheet state="visible" name="SendToStagingExport1" sheetId="29" r:id="rId31"/>
  </sheets>
  <definedNames/>
  <calcPr/>
</workbook>
</file>

<file path=xl/sharedStrings.xml><?xml version="1.0" encoding="utf-8"?>
<sst xmlns="http://schemas.openxmlformats.org/spreadsheetml/2006/main" count="647" uniqueCount="133">
  <si>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</si>
  <si>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</si>
  <si>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</si>
  <si>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</si>
  <si>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</si>
  <si>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</si>
  <si>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</si>
  <si>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</si>
  <si>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</si>
  <si>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</si>
  <si>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</si>
  <si>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</si>
  <si>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</si>
  <si>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</si>
  <si>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</si>
  <si>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</si>
  <si>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</si>
  <si>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</si>
  <si>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TradingTicket</t>
  </si>
  <si>
    <t>CreateDoneAwayOrder</t>
  </si>
  <si>
    <t>AAPL</t>
  </si>
  <si>
    <t>Buy</t>
  </si>
  <si>
    <t>Allocation1</t>
  </si>
  <si>
    <t>Yes</t>
  </si>
  <si>
    <t>FRU-TC</t>
  </si>
  <si>
    <t>MSFT</t>
  </si>
  <si>
    <t>DBLSX</t>
  </si>
  <si>
    <t>O:COP 14O62.50</t>
  </si>
  <si>
    <t>ES U2</t>
  </si>
  <si>
    <t>Allocation3</t>
  </si>
  <si>
    <t>CreateStageOrder</t>
  </si>
  <si>
    <t>Allocation</t>
  </si>
  <si>
    <t>GetDataAllocation</t>
  </si>
  <si>
    <t>Historical</t>
  </si>
  <si>
    <t>SelectAllocatedGroup</t>
  </si>
  <si>
    <t>BookOrUpdateSwap</t>
  </si>
  <si>
    <t>PricingInput</t>
  </si>
  <si>
    <t>COP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</si>
  <si>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</si>
  <si>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</si>
  <si>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</si>
  <si>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</si>
  <si>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</si>
  <si>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</si>
  <si>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</si>
  <si>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CAD AO-FX</t>
  </si>
  <si>
    <t>GetDailyCash</t>
  </si>
  <si>
    <t>UpdateDailyCash</t>
  </si>
  <si>
    <t>GeneralLedger</t>
  </si>
  <si>
    <t>GetCashTransaction</t>
  </si>
  <si>
    <t>AddCashTransaction</t>
  </si>
  <si>
    <t>DividendIncome</t>
  </si>
  <si>
    <t>GetAccountBalance</t>
  </si>
  <si>
    <t>Rebalancer</t>
  </si>
  <si>
    <t>FetchAccountPositions</t>
  </si>
  <si>
    <t>NewMF</t>
  </si>
  <si>
    <t>Previous Day's Positions</t>
  </si>
  <si>
    <t>Account</t>
  </si>
  <si>
    <t>Positions</t>
  </si>
  <si>
    <t>AddCash</t>
  </si>
  <si>
    <t>Impact NAV</t>
  </si>
  <si>
    <t>None</t>
  </si>
  <si>
    <t>Allocation1,Allocation3</t>
  </si>
  <si>
    <t>200000|100000</t>
  </si>
  <si>
    <t>RunRebalance</t>
  </si>
  <si>
    <t>Round Up</t>
  </si>
  <si>
    <t>CheckBasketCompliance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</si>
  <si>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</si>
  <si>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</si>
  <si>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</si>
  <si>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</si>
  <si>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193.00, avgPrice: 10.00, selectedFeedPrice: 10.00, netMarketValueBase: 1,930.00, netExposureLocal: 1,930.00, Symbol: DBLSX</t>
  </si>
  <si>
    <t>quantity: 193.00, avgPrice: 10.00, selectedFeedPrice: 10.00, netMarketValueBase: 1,930.00, netExposureLocal: 1,930.00, Symbol: MSFT</t>
  </si>
  <si>
    <t>quantity: 193.00, avgPrice: 10.00, selectedFeedPrice: 10.00, netMarketValueBase: 1,930.00, netExposureLocal: 1,930.00, Symbol: AAPL</t>
  </si>
  <si>
    <t>quantity: 193.00, avgPrice: 10.00, selectedFeedPrice: 10.00, netMarketValueBase: 1,608.3333, netExposureLocal: 1,930.00, Symbol: FRU-TC</t>
  </si>
  <si>
    <t>quantity: 193.00, avgPrice: 10.00, selectedFeedPrice: 10.00, netMarketValueBase: 19.30, netExposureLocal: 19.30, Symbol: 123456789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</si>
  <si>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</si>
  <si>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</si>
  <si>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Allocation1-AAPL</t>
  </si>
  <si>
    <t>quantity: 393.00, dayPnLBase: 0.00, dayPnLLocal: 0.00, netMarketValueBase: 3,930.00, netMarketValueLocal: 3,930.00, selectedFeedPrice: 10.00, accountNav: 647,486.6393, AccountShortName: Allocation1, Symbol: AAPL</t>
  </si>
  <si>
    <t>Allocation1-DBLSX</t>
  </si>
  <si>
    <t>quantity: 393.00, dayPnLBase: 0.00, dayPnLLocal: 0.00, netMarketValueBase: 3,930.00, netMarketValueLocal: 3,930.00, selectedFeedPrice: 10.00, accountNav: 647,486.6393, AccountShortName: Allocation1, Symbol: DBLSX</t>
  </si>
  <si>
    <t>Allocation1-123456789</t>
  </si>
  <si>
    <t>quantity: 393.00, dayPnLBase: 0.00, dayPnLLocal: 0.00, netMarketValueBase: 39.30, netMarketValueLocal: 39.30, selectedFeedPrice: 10.00, accountNav: 647,486.6393, AccountShortName: Allocation1, Symbol: 123456789</t>
  </si>
  <si>
    <t>Allocation1-MSFT</t>
  </si>
  <si>
    <t>quantity: 393.00, dayPnLBase: -0.0274, dayPnLLocal: -0.0274, netMarketValueBase: 3,729.9726, netMarketValueLocal: 3,729.9726, selectedFeedPrice: 10.00, accountNav: 647,486.6393, AccountShortName: Allocation1, Symbol: MSFT</t>
  </si>
  <si>
    <t>Allocation1-FRU-TC</t>
  </si>
  <si>
    <t>quantity: 393.00, dayPnLBase: -0.00, dayPnLLocal: 0.00, netMarketValueBase: 3,275.00, netMarketValueLocal: 3,930.00, selectedFeedPrice: 10.00, accountNav: 647,486.6393, AccountShortName: Allocation1, Symbol: FRU-TC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</si>
  <si>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</si>
  <si>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</si>
  <si>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NewMF-AAPL</t>
  </si>
  <si>
    <t>quantity: 393.00, dayPnLBase: 0.00, dayPnLLocal: 0.00, netMarketValueBase: 3,930.00, netMarketValueLocal: 3,930.00, selectedFeedPrice: 10.00, masterFundNav: 848,286.6393, MasterFundName: NewMF, Symbol: AAPL</t>
  </si>
  <si>
    <t>NewMF-DBLSX</t>
  </si>
  <si>
    <t>quantity: 393.00, dayPnLBase: 0.00, dayPnLLocal: 0.00, netMarketValueBase: 3,930.00, netMarketValueLocal: 3,930.00, selectedFeedPrice: 10.00, masterFundNav: 848,286.6393, MasterFundName: NewMF, Symbol: DBLSX</t>
  </si>
  <si>
    <t>NewMF-123456789</t>
  </si>
  <si>
    <t>quantity: 393.00, dayPnLBase: 0.00, dayPnLLocal: 0.00, netMarketValueBase: 39.30, netMarketValueLocal: 39.30, selectedFeedPrice: 10.00, masterFundNav: 848,286.6393, MasterFundName: NewMF, Symbol: 123456789</t>
  </si>
  <si>
    <t>NewMF-MSFT</t>
  </si>
  <si>
    <t>quantity: 393.00, dayPnLBase: -0.0274, dayPnLLocal: -0.0274, netMarketValueBase: 3,729.9726, netMarketValueLocal: 3,729.9726, selectedFeedPrice: 10.00, masterFundNav: 848,286.6393, MasterFundName: NewMF, Symbol: MSFT</t>
  </si>
  <si>
    <t>NewMF-FRU-TC</t>
  </si>
  <si>
    <t>quantity: 393.00, dayPnLBase: -0.00, dayPnLLocal: 0.00, netMarketValueBase: 3,275.00, netMarketValueLocal: 3,930.00, selectedFeedPrice: 10.00, masterFundNav: 848,286.6393, MasterFundName: NewMF, Symbol: FRU-TC</t>
  </si>
  <si>
    <t>Symbol3</t>
  </si>
  <si>
    <t>If Quantity not equals to -123, Selected Feed Price not equals to -123, Net Market Value Base not equals to -123, Net Market Value Local not equals to -123, Then block the trade.</t>
  </si>
  <si>
    <t>quantity: 393.00, selectedFeedPrice: 10.00, netMarketValueBase: 3,930.00, netMarketValueLocal: 3,930.00, Symbol: AAPL</t>
  </si>
  <si>
    <t>quantity: 393.00, selectedFeedPrice: 10.00, netMarketValueBase: 3,930.00, netMarketValueLocal: 3,930.00, Symbol: DBLSX</t>
  </si>
  <si>
    <t>quantity: 393.00, selectedFeedPrice: 10.00, netMarketValueBase: 39.30, netMarketValueLocal: 39.30, Symbol: 123456789</t>
  </si>
  <si>
    <t>quantity: 393.00, selectedFeedPrice: 10.00, netMarketValueBase: 3,729.9726, netMarketValueLocal: 3,729.9726, Symbol: MSFT</t>
  </si>
  <si>
    <t>quantity: 393.00, selectedFeedPrice: 10.00, netMarketValueBase: 3,275.00, netMarketValueLocal: 3,930.00, Symbol: FRU-TC</t>
  </si>
  <si>
    <t>SendToStagingExport</t>
  </si>
  <si>
    <t>No</t>
  </si>
  <si>
    <t>Real-Time Positions</t>
  </si>
  <si>
    <t>quantity: 186.00, avgPrice: 20.00, selectedFeedPrice: 20.00, netMarketValueBase: 3,720.00, netExposureLocal: 3,720.00, Symbol: AAPL</t>
  </si>
  <si>
    <t>quantity: 186.00, avgPrice: 20.00, selectedFeedPrice: 20.00, netMarketValueBase: 37.20, netExposureLocal: 37.20, Symbol: 123456789</t>
  </si>
  <si>
    <t>quantity: 186.00, avgPrice: 20.00, selectedFeedPrice: 20.00, netMarketValueBase: 3,100.00, netExposureLocal: 3,720.00, Symbol: FRU-TC</t>
  </si>
  <si>
    <t>quantity: 186.00, avgPrice: 20.00, selectedFeedPrice: 20.00, netMarketValueBase: 3,720.00, netExposureLocal: 3,720.00, Symbol: DBLSX</t>
  </si>
  <si>
    <t>quantity: 186.00, avgPrice: 20.00, selectedFeedPrice: 20.00, netMarketValueBase: 3,720.00, netExposureLocal: 3,720.00, Symbol: MSFT</t>
  </si>
  <si>
    <t>quantity: 99.00, avgPrice: 20.00, selectedFeedPrice: 20.00, netMarketValueBase: 1,980.00, netExposureLocal: 1,980.00, Symbol: AAPL</t>
  </si>
  <si>
    <t>quantity: 486.00, dayPnLBase: 1,000.00, dayPnLLocal: 1,000.00, netMarketValueBase: 9,720.00, netMarketValueLocal: 9,720.00, selectedFeedPrice: 20.00, accountNav: 905,173.3059, AccountShortName: Allocation1, Symbol: AAPL</t>
  </si>
  <si>
    <t>quantity: 486.00, dayPnLBase: 833.3333, dayPnLLocal: 1,000.00, netMarketValueBase: 8,100.00, netMarketValueLocal: 9,720.00, selectedFeedPrice: 20.00, accountNav: 905,173.3059, AccountShortName: Allocation1, Symbol: FRU-TC</t>
  </si>
  <si>
    <t>quantity: 486.00, dayPnLBase: 1,000.00, dayPnLLocal: 1,000.00, netMarketValueBase: 9,720.00, netMarketValueLocal: 9,720.00, selectedFeedPrice: 20.00, accountNav: 905,173.3059, AccountShortName: Allocation1, Symbol: DBLSX</t>
  </si>
  <si>
    <t>quantity: 486.00, dayPnLBase: 10.00, dayPnLLocal: 10.00, netMarketValueBase: 97.20, netMarketValueLocal: 97.20, selectedFeedPrice: 20.00, accountNav: 905,173.3059, AccountShortName: Allocation1, Symbol: 123456789</t>
  </si>
  <si>
    <t>quantity: 486.00, dayPnLBase: 999.9726, dayPnLLocal: 999.9726, netMarketValueBase: 9,519.9726, netMarketValueLocal: 9,519.9726, selectedFeedPrice: 20.00, accountNav: 905,173.3059, AccountShortName: Allocation1, Symbol: MSFT</t>
  </si>
  <si>
    <t>Allocation3-AAPL</t>
  </si>
  <si>
    <t>quantity: 199.00, dayPnLBase: 1,800.00, dayPnLLocal: 1,800.00, netMarketValueBase: 3,980.00, netMarketValueLocal: 3,980.00, selectedFeedPrice: 20.00, accountNav: 201,800.00, AccountShortName: Allocation3, Symbol: AAPL</t>
  </si>
  <si>
    <t>quantity: 486.00, dayPnLBase: 833.3333, dayPnLLocal: 1,000.00, netMarketValueBase: 8,100.00, netMarketValueLocal: 9,720.00, selectedFeedPrice: 20.00, masterFundNav: 1,106,973.3059, MasterFundName: NewMF, Symbol: FRU-TC</t>
  </si>
  <si>
    <t>quantity: 486.00, dayPnLBase: 1,000.00, dayPnLLocal: 1,000.00, netMarketValueBase: 9,720.00, netMarketValueLocal: 9,720.00, selectedFeedPrice: 20.00, masterFundNav: 1,106,973.3059, MasterFundName: NewMF, Symbol: DBLSX</t>
  </si>
  <si>
    <t>quantity: 486.00, dayPnLBase: 10.00, dayPnLLocal: 10.00, netMarketValueBase: 97.20, netMarketValueLocal: 97.20, selectedFeedPrice: 20.00, masterFundNav: 1,106,973.3059, MasterFundName: NewMF, Symbol: 123456789</t>
  </si>
  <si>
    <t>quantity: 486.00, dayPnLBase: 999.9726, dayPnLLocal: 999.9726, netMarketValueBase: 9,519.9726, netMarketValueLocal: 9,519.9726, selectedFeedPrice: 20.00, masterFundNav: 1,106,973.3059, MasterFundName: NewMF, Symbol: MSFT</t>
  </si>
  <si>
    <t>quantity: 685.00, dayPnLBase: 2,800.00, dayPnLLocal: 2,800.00, netMarketValueBase: 13,700.00, netMarketValueLocal: 13,700.00, selectedFeedPrice: 20.00, masterFundNav: 1,106,973.3059, MasterFundName: NewMF, Symbol: AAPL</t>
  </si>
  <si>
    <t>quantity: 685.00, selectedFeedPrice: 20.00, netMarketValueBase: 13,700.00, netMarketValueLocal: 13,700.00, Symbol: AAPL</t>
  </si>
  <si>
    <t>quantity: 486.00, selectedFeedPrice: 20.00, netMarketValueBase: 8,100.00, netMarketValueLocal: 9,720.00, Symbol: FRU-TC</t>
  </si>
  <si>
    <t>quantity: 486.00, selectedFeedPrice: 20.00, netMarketValueBase: 9,720.00, netMarketValueLocal: 9,720.00, Symbol: DBLSX</t>
  </si>
  <si>
    <t>quantity: 486.00, selectedFeedPrice: 20.00, netMarketValueBase: 97.20, netMarketValueLocal: 97.20, Symbol: 123456789</t>
  </si>
  <si>
    <t>quantity: 486.00, selectedFeedPrice: 20.00, netMarketValueBase: 9,519.9726, netMarketValueLocal: 9,519.9726, Symbol: 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</si>
</sst>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u/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6" fontId="13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horizontal="right" vertical="bottom"/>
    </xf>
    <xf borderId="7" fillId="0" fontId="3" numFmtId="0" xfId="0" applyAlignment="1" applyBorder="1" applyFont="1">
      <alignment horizontal="right" vertical="bottom"/>
    </xf>
    <xf borderId="6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0" fillId="4" fontId="14" numFmtId="0" xfId="0" applyFont="1"/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8" fillId="0" fontId="5" numFmtId="1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9" fillId="0" fontId="3" numFmtId="0" xfId="0" applyAlignment="1" applyBorder="1" applyFont="1">
      <alignment readingOrder="0" vertical="bottom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20</v>
      </c>
      <c r="C6" s="34" t="s">
        <v>21</v>
      </c>
      <c r="D6" s="35">
        <v>100.0</v>
      </c>
      <c r="E6" s="34"/>
      <c r="F6" s="34" t="s">
        <v>22</v>
      </c>
      <c r="G6" s="34"/>
      <c r="H6" s="34"/>
      <c r="I6" s="34"/>
      <c r="J6" s="35">
        <v>2.0</v>
      </c>
      <c r="K6" s="34"/>
      <c r="L6" s="34"/>
      <c r="M6" s="34"/>
      <c r="N6" s="36">
        <f t="shared" ref="N6:N19" si="1">TODAY()-1</f>
        <v>44840</v>
      </c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23</v>
      </c>
      <c r="AR6" s="33"/>
      <c r="AS6" s="33"/>
      <c r="AT6" s="33"/>
      <c r="AU6" s="33"/>
      <c r="AV6" s="33"/>
      <c r="AW6" s="33"/>
      <c r="AX6" s="33"/>
      <c r="AY6" s="33"/>
      <c r="AZ6" s="33"/>
    </row>
    <row r="7" ht="15.75" customHeight="1">
      <c r="A7" s="8"/>
      <c r="B7" s="37" t="s">
        <v>24</v>
      </c>
      <c r="C7" s="38" t="s">
        <v>21</v>
      </c>
      <c r="D7" s="39">
        <v>100.0</v>
      </c>
      <c r="E7" s="38"/>
      <c r="F7" s="38" t="s">
        <v>22</v>
      </c>
      <c r="G7" s="38"/>
      <c r="H7" s="38"/>
      <c r="I7" s="38"/>
      <c r="J7" s="39">
        <v>2.0</v>
      </c>
      <c r="K7" s="38"/>
      <c r="L7" s="38"/>
      <c r="M7" s="38"/>
      <c r="N7" s="40">
        <f t="shared" si="1"/>
        <v>44840</v>
      </c>
      <c r="O7" s="38"/>
      <c r="P7" s="38"/>
      <c r="Q7" s="38"/>
      <c r="R7" s="38"/>
      <c r="S7" s="38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 t="s">
        <v>23</v>
      </c>
      <c r="AR7" s="33"/>
      <c r="AS7" s="33"/>
      <c r="AT7" s="33"/>
      <c r="AU7" s="33"/>
      <c r="AV7" s="33"/>
      <c r="AW7" s="33"/>
      <c r="AX7" s="33"/>
      <c r="AY7" s="33"/>
      <c r="AZ7" s="33"/>
    </row>
    <row r="8" ht="15.75" customHeight="1">
      <c r="A8" s="8"/>
      <c r="B8" s="37" t="s">
        <v>25</v>
      </c>
      <c r="C8" s="38" t="s">
        <v>21</v>
      </c>
      <c r="D8" s="39">
        <v>100.0</v>
      </c>
      <c r="E8" s="38"/>
      <c r="F8" s="38" t="s">
        <v>22</v>
      </c>
      <c r="G8" s="38"/>
      <c r="H8" s="38"/>
      <c r="I8" s="38"/>
      <c r="J8" s="39">
        <v>2.0</v>
      </c>
      <c r="K8" s="38"/>
      <c r="L8" s="38"/>
      <c r="M8" s="38"/>
      <c r="N8" s="40">
        <f t="shared" si="1"/>
        <v>44840</v>
      </c>
      <c r="O8" s="38"/>
      <c r="P8" s="38"/>
      <c r="Q8" s="38"/>
      <c r="R8" s="38"/>
      <c r="S8" s="38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 t="s">
        <v>23</v>
      </c>
      <c r="AR8" s="33"/>
      <c r="AS8" s="33"/>
      <c r="AT8" s="33"/>
      <c r="AU8" s="33"/>
      <c r="AV8" s="33"/>
      <c r="AW8" s="33"/>
      <c r="AX8" s="33"/>
      <c r="AY8" s="33"/>
      <c r="AZ8" s="33"/>
    </row>
    <row r="9" ht="15.75" customHeight="1">
      <c r="A9" s="8"/>
      <c r="B9" s="37" t="s">
        <v>26</v>
      </c>
      <c r="C9" s="38" t="s">
        <v>21</v>
      </c>
      <c r="D9" s="39">
        <v>100.0</v>
      </c>
      <c r="E9" s="38"/>
      <c r="F9" s="38" t="s">
        <v>22</v>
      </c>
      <c r="G9" s="38"/>
      <c r="H9" s="38"/>
      <c r="I9" s="38"/>
      <c r="J9" s="39">
        <v>2.0</v>
      </c>
      <c r="K9" s="38"/>
      <c r="L9" s="38"/>
      <c r="M9" s="38"/>
      <c r="N9" s="40">
        <f t="shared" si="1"/>
        <v>44840</v>
      </c>
      <c r="O9" s="38"/>
      <c r="P9" s="38"/>
      <c r="Q9" s="38"/>
      <c r="R9" s="38"/>
      <c r="S9" s="38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 t="s">
        <v>23</v>
      </c>
      <c r="AR9" s="33"/>
      <c r="AS9" s="33"/>
      <c r="AT9" s="33"/>
      <c r="AU9" s="33"/>
      <c r="AV9" s="33"/>
      <c r="AW9" s="33"/>
      <c r="AX9" s="33"/>
      <c r="AY9" s="33"/>
      <c r="AZ9" s="33"/>
    </row>
    <row r="10" ht="15.75" customHeight="1">
      <c r="A10" s="8"/>
      <c r="B10" s="37" t="s">
        <v>27</v>
      </c>
      <c r="C10" s="38" t="s">
        <v>21</v>
      </c>
      <c r="D10" s="39">
        <v>100.0</v>
      </c>
      <c r="E10" s="38"/>
      <c r="F10" s="38" t="s">
        <v>22</v>
      </c>
      <c r="G10" s="38"/>
      <c r="H10" s="38"/>
      <c r="I10" s="38"/>
      <c r="J10" s="39">
        <v>2.0</v>
      </c>
      <c r="K10" s="38"/>
      <c r="L10" s="38"/>
      <c r="M10" s="38"/>
      <c r="N10" s="40">
        <f t="shared" si="1"/>
        <v>44840</v>
      </c>
      <c r="O10" s="38"/>
      <c r="P10" s="38"/>
      <c r="Q10" s="38"/>
      <c r="R10" s="38"/>
      <c r="S10" s="38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 t="s">
        <v>23</v>
      </c>
      <c r="AR10" s="33"/>
      <c r="AS10" s="33"/>
      <c r="AT10" s="33"/>
      <c r="AU10" s="33"/>
      <c r="AV10" s="33"/>
      <c r="AW10" s="33"/>
      <c r="AX10" s="33"/>
      <c r="AY10" s="33"/>
      <c r="AZ10" s="33"/>
    </row>
    <row r="11" ht="15.75" customHeight="1">
      <c r="A11" s="8"/>
      <c r="B11" s="37" t="s">
        <v>28</v>
      </c>
      <c r="C11" s="38" t="s">
        <v>21</v>
      </c>
      <c r="D11" s="39">
        <v>100.0</v>
      </c>
      <c r="E11" s="38"/>
      <c r="F11" s="38" t="s">
        <v>22</v>
      </c>
      <c r="G11" s="38"/>
      <c r="H11" s="38"/>
      <c r="I11" s="38"/>
      <c r="J11" s="39">
        <v>2.0</v>
      </c>
      <c r="K11" s="38"/>
      <c r="L11" s="38"/>
      <c r="M11" s="38"/>
      <c r="N11" s="40">
        <f t="shared" si="1"/>
        <v>44840</v>
      </c>
      <c r="O11" s="38"/>
      <c r="P11" s="38"/>
      <c r="Q11" s="38"/>
      <c r="R11" s="38"/>
      <c r="S11" s="38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 t="s">
        <v>23</v>
      </c>
      <c r="AR11" s="33"/>
      <c r="AS11" s="33"/>
      <c r="AT11" s="33"/>
      <c r="AU11" s="33"/>
      <c r="AV11" s="33"/>
      <c r="AW11" s="33"/>
      <c r="AX11" s="33"/>
      <c r="AY11" s="33"/>
      <c r="AZ11" s="33"/>
    </row>
    <row r="12" ht="15.75" customHeight="1">
      <c r="A12" s="8"/>
      <c r="B12" s="41">
        <v>1.23456789E8</v>
      </c>
      <c r="C12" s="38" t="s">
        <v>21</v>
      </c>
      <c r="D12" s="39">
        <v>100.0</v>
      </c>
      <c r="E12" s="38"/>
      <c r="F12" s="38" t="s">
        <v>22</v>
      </c>
      <c r="G12" s="38"/>
      <c r="H12" s="38"/>
      <c r="I12" s="38"/>
      <c r="J12" s="39">
        <v>2.0</v>
      </c>
      <c r="K12" s="38"/>
      <c r="L12" s="38"/>
      <c r="M12" s="38"/>
      <c r="N12" s="40">
        <f t="shared" si="1"/>
        <v>44840</v>
      </c>
      <c r="O12" s="38"/>
      <c r="P12" s="38"/>
      <c r="Q12" s="38"/>
      <c r="R12" s="38"/>
      <c r="S12" s="38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 t="s">
        <v>23</v>
      </c>
      <c r="AR12" s="33"/>
      <c r="AS12" s="33"/>
      <c r="AT12" s="33"/>
      <c r="AU12" s="33"/>
      <c r="AV12" s="33"/>
      <c r="AW12" s="33"/>
      <c r="AX12" s="33"/>
      <c r="AY12" s="33"/>
      <c r="AZ12" s="33"/>
    </row>
    <row r="13" ht="15.75" customHeight="1">
      <c r="A13" s="8"/>
      <c r="B13" s="37" t="s">
        <v>20</v>
      </c>
      <c r="C13" s="38" t="s">
        <v>21</v>
      </c>
      <c r="D13" s="39">
        <v>100.0</v>
      </c>
      <c r="E13" s="42">
        <v>0.0</v>
      </c>
      <c r="F13" s="38" t="s">
        <v>22</v>
      </c>
      <c r="G13" s="38"/>
      <c r="H13" s="38"/>
      <c r="I13" s="38"/>
      <c r="J13" s="39">
        <v>2.0</v>
      </c>
      <c r="K13" s="38"/>
      <c r="L13" s="38"/>
      <c r="M13" s="38"/>
      <c r="N13" s="40">
        <f t="shared" si="1"/>
        <v>44840</v>
      </c>
      <c r="O13" s="38"/>
      <c r="P13" s="38"/>
      <c r="Q13" s="38"/>
      <c r="R13" s="38"/>
      <c r="S13" s="38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 t="s">
        <v>23</v>
      </c>
      <c r="AR13" s="33"/>
      <c r="AS13" s="33"/>
      <c r="AT13" s="33"/>
      <c r="AU13" s="33"/>
      <c r="AV13" s="33"/>
      <c r="AW13" s="33"/>
      <c r="AX13" s="33"/>
      <c r="AY13" s="33"/>
      <c r="AZ13" s="33"/>
    </row>
    <row r="14" ht="15.75" customHeight="1">
      <c r="A14" s="8"/>
      <c r="B14" s="37" t="s">
        <v>24</v>
      </c>
      <c r="C14" s="38" t="s">
        <v>21</v>
      </c>
      <c r="D14" s="39">
        <v>100.0</v>
      </c>
      <c r="E14" s="42">
        <v>0.0</v>
      </c>
      <c r="F14" s="38" t="s">
        <v>22</v>
      </c>
      <c r="G14" s="38"/>
      <c r="H14" s="38"/>
      <c r="I14" s="38"/>
      <c r="J14" s="39">
        <v>2.0</v>
      </c>
      <c r="K14" s="38"/>
      <c r="L14" s="38"/>
      <c r="M14" s="38"/>
      <c r="N14" s="40">
        <f t="shared" si="1"/>
        <v>44840</v>
      </c>
      <c r="O14" s="38"/>
      <c r="P14" s="38"/>
      <c r="Q14" s="38"/>
      <c r="R14" s="38"/>
      <c r="S14" s="38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 t="s">
        <v>23</v>
      </c>
      <c r="AR14" s="33"/>
      <c r="AS14" s="33"/>
      <c r="AT14" s="33"/>
      <c r="AU14" s="33"/>
      <c r="AV14" s="33"/>
      <c r="AW14" s="33"/>
      <c r="AX14" s="33"/>
      <c r="AY14" s="33"/>
      <c r="AZ14" s="33"/>
    </row>
    <row r="15" ht="15.75" customHeight="1">
      <c r="A15" s="8"/>
      <c r="B15" s="37" t="s">
        <v>25</v>
      </c>
      <c r="C15" s="38" t="s">
        <v>21</v>
      </c>
      <c r="D15" s="39">
        <v>100.0</v>
      </c>
      <c r="E15" s="42">
        <v>0.0</v>
      </c>
      <c r="F15" s="38" t="s">
        <v>22</v>
      </c>
      <c r="G15" s="38"/>
      <c r="H15" s="38"/>
      <c r="I15" s="38"/>
      <c r="J15" s="39">
        <v>2.0</v>
      </c>
      <c r="K15" s="38"/>
      <c r="L15" s="38"/>
      <c r="M15" s="38"/>
      <c r="N15" s="40">
        <f t="shared" si="1"/>
        <v>44840</v>
      </c>
      <c r="O15" s="38"/>
      <c r="P15" s="38"/>
      <c r="Q15" s="38"/>
      <c r="R15" s="38"/>
      <c r="S15" s="38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 t="s">
        <v>23</v>
      </c>
      <c r="AR15" s="33"/>
      <c r="AS15" s="33"/>
      <c r="AT15" s="33"/>
      <c r="AU15" s="33"/>
      <c r="AV15" s="33"/>
      <c r="AW15" s="33"/>
      <c r="AX15" s="33"/>
      <c r="AY15" s="33"/>
      <c r="AZ15" s="33"/>
    </row>
    <row r="16" ht="15.75" customHeight="1">
      <c r="A16" s="8"/>
      <c r="B16" s="37" t="s">
        <v>26</v>
      </c>
      <c r="C16" s="38" t="s">
        <v>21</v>
      </c>
      <c r="D16" s="39">
        <v>100.0</v>
      </c>
      <c r="E16" s="42">
        <v>0.0</v>
      </c>
      <c r="F16" s="38" t="s">
        <v>22</v>
      </c>
      <c r="G16" s="38"/>
      <c r="H16" s="38"/>
      <c r="I16" s="38"/>
      <c r="J16" s="39">
        <v>2.0</v>
      </c>
      <c r="K16" s="38"/>
      <c r="L16" s="38"/>
      <c r="M16" s="38"/>
      <c r="N16" s="40">
        <f t="shared" si="1"/>
        <v>44840</v>
      </c>
      <c r="O16" s="38"/>
      <c r="P16" s="38"/>
      <c r="Q16" s="38"/>
      <c r="R16" s="38"/>
      <c r="S16" s="38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 t="s">
        <v>23</v>
      </c>
      <c r="AR16" s="33"/>
      <c r="AS16" s="33"/>
      <c r="AT16" s="33"/>
      <c r="AU16" s="33"/>
      <c r="AV16" s="33"/>
      <c r="AW16" s="33"/>
      <c r="AX16" s="33"/>
      <c r="AY16" s="33"/>
      <c r="AZ16" s="33"/>
    </row>
    <row r="17" ht="15.75" customHeight="1">
      <c r="A17" s="8"/>
      <c r="B17" s="37" t="s">
        <v>27</v>
      </c>
      <c r="C17" s="38" t="s">
        <v>21</v>
      </c>
      <c r="D17" s="39">
        <v>100.0</v>
      </c>
      <c r="E17" s="42">
        <v>0.0</v>
      </c>
      <c r="F17" s="38" t="s">
        <v>22</v>
      </c>
      <c r="G17" s="38"/>
      <c r="H17" s="38"/>
      <c r="I17" s="38"/>
      <c r="J17" s="39">
        <v>2.0</v>
      </c>
      <c r="K17" s="38"/>
      <c r="L17" s="38"/>
      <c r="M17" s="38"/>
      <c r="N17" s="40">
        <f t="shared" si="1"/>
        <v>44840</v>
      </c>
      <c r="O17" s="38"/>
      <c r="P17" s="38"/>
      <c r="Q17" s="38"/>
      <c r="R17" s="38"/>
      <c r="S17" s="38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 t="s">
        <v>23</v>
      </c>
      <c r="AR17" s="33"/>
      <c r="AS17" s="33"/>
      <c r="AT17" s="33"/>
      <c r="AU17" s="33"/>
      <c r="AV17" s="33"/>
      <c r="AW17" s="33"/>
      <c r="AX17" s="33"/>
      <c r="AY17" s="33"/>
      <c r="AZ17" s="33"/>
    </row>
    <row r="18" ht="15.75" customHeight="1">
      <c r="A18" s="8"/>
      <c r="B18" s="37" t="s">
        <v>28</v>
      </c>
      <c r="C18" s="38" t="s">
        <v>21</v>
      </c>
      <c r="D18" s="39">
        <v>100.0</v>
      </c>
      <c r="E18" s="42">
        <v>0.0</v>
      </c>
      <c r="F18" s="38" t="s">
        <v>22</v>
      </c>
      <c r="G18" s="38"/>
      <c r="H18" s="38"/>
      <c r="I18" s="38"/>
      <c r="J18" s="39">
        <v>2.0</v>
      </c>
      <c r="K18" s="38"/>
      <c r="L18" s="38"/>
      <c r="M18" s="38"/>
      <c r="N18" s="40">
        <f t="shared" si="1"/>
        <v>44840</v>
      </c>
      <c r="O18" s="38"/>
      <c r="P18" s="38"/>
      <c r="Q18" s="38"/>
      <c r="R18" s="38"/>
      <c r="S18" s="38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 t="s">
        <v>23</v>
      </c>
      <c r="AR18" s="33"/>
      <c r="AS18" s="33"/>
      <c r="AT18" s="33"/>
      <c r="AU18" s="33"/>
      <c r="AV18" s="33"/>
      <c r="AW18" s="33"/>
      <c r="AX18" s="33"/>
      <c r="AY18" s="33"/>
      <c r="AZ18" s="33"/>
    </row>
    <row r="19" ht="15.75" customHeight="1">
      <c r="A19" s="8"/>
      <c r="B19" s="41">
        <v>1.23456789E8</v>
      </c>
      <c r="C19" s="38" t="s">
        <v>21</v>
      </c>
      <c r="D19" s="39">
        <v>100.0</v>
      </c>
      <c r="E19" s="42">
        <v>0.0</v>
      </c>
      <c r="F19" s="38" t="s">
        <v>22</v>
      </c>
      <c r="G19" s="38"/>
      <c r="H19" s="38"/>
      <c r="I19" s="38"/>
      <c r="J19" s="39">
        <v>2.0</v>
      </c>
      <c r="K19" s="38"/>
      <c r="L19" s="38"/>
      <c r="M19" s="38"/>
      <c r="N19" s="40">
        <f t="shared" si="1"/>
        <v>44840</v>
      </c>
      <c r="O19" s="38"/>
      <c r="P19" s="38"/>
      <c r="Q19" s="38"/>
      <c r="R19" s="38"/>
      <c r="S19" s="38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 t="s">
        <v>23</v>
      </c>
      <c r="AR19" s="33"/>
      <c r="AS19" s="33"/>
      <c r="AT19" s="33"/>
      <c r="AU19" s="33"/>
      <c r="AV19" s="33"/>
      <c r="AW19" s="33"/>
      <c r="AX19" s="33"/>
      <c r="AY19" s="33"/>
      <c r="AZ19" s="33"/>
    </row>
    <row r="20" ht="15.75" customHeight="1">
      <c r="A20" s="8"/>
      <c r="B20" s="43" t="s">
        <v>20</v>
      </c>
      <c r="C20" s="44" t="s">
        <v>21</v>
      </c>
      <c r="D20" s="39">
        <v>100.0</v>
      </c>
      <c r="E20" s="38"/>
      <c r="F20" s="44" t="s">
        <v>29</v>
      </c>
      <c r="G20" s="38"/>
      <c r="H20" s="38"/>
      <c r="I20" s="38"/>
      <c r="J20" s="39">
        <v>2.0</v>
      </c>
      <c r="K20" s="38"/>
      <c r="L20" s="38"/>
      <c r="M20" s="38"/>
      <c r="N20" s="38"/>
      <c r="O20" s="38"/>
      <c r="P20" s="38"/>
      <c r="Q20" s="38"/>
      <c r="R20" s="38"/>
      <c r="S20" s="38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 t="s">
        <v>23</v>
      </c>
      <c r="AR20" s="33"/>
      <c r="AS20" s="33"/>
      <c r="AT20" s="33"/>
      <c r="AU20" s="33"/>
      <c r="AV20" s="33"/>
      <c r="AW20" s="33"/>
      <c r="AX20" s="33"/>
      <c r="AY20" s="33"/>
      <c r="AZ20" s="33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20</v>
      </c>
      <c r="C6" s="34" t="s">
        <v>21</v>
      </c>
      <c r="D6" s="35">
        <v>100.0</v>
      </c>
      <c r="E6" s="34"/>
      <c r="F6" s="34" t="s">
        <v>22</v>
      </c>
      <c r="G6" s="34"/>
      <c r="H6" s="34"/>
      <c r="I6" s="34"/>
      <c r="J6" s="35">
        <v>2.0</v>
      </c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7"/>
      <c r="B7" s="38" t="s">
        <v>24</v>
      </c>
      <c r="C7" s="38" t="s">
        <v>21</v>
      </c>
      <c r="D7" s="39">
        <v>100.0</v>
      </c>
      <c r="E7" s="38"/>
      <c r="F7" s="38" t="s">
        <v>22</v>
      </c>
      <c r="G7" s="38"/>
      <c r="H7" s="38"/>
      <c r="I7" s="38"/>
      <c r="J7" s="39">
        <v>2.0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7"/>
      <c r="B8" s="38" t="s">
        <v>25</v>
      </c>
      <c r="C8" s="38" t="s">
        <v>21</v>
      </c>
      <c r="D8" s="39">
        <v>100.0</v>
      </c>
      <c r="E8" s="38"/>
      <c r="F8" s="38" t="s">
        <v>22</v>
      </c>
      <c r="G8" s="38"/>
      <c r="H8" s="38"/>
      <c r="I8" s="38"/>
      <c r="J8" s="39">
        <v>2.0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7"/>
      <c r="B9" s="38" t="s">
        <v>26</v>
      </c>
      <c r="C9" s="38" t="s">
        <v>21</v>
      </c>
      <c r="D9" s="39">
        <v>100.0</v>
      </c>
      <c r="E9" s="38"/>
      <c r="F9" s="38" t="s">
        <v>22</v>
      </c>
      <c r="G9" s="38"/>
      <c r="H9" s="38"/>
      <c r="I9" s="38"/>
      <c r="J9" s="39">
        <v>2.0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7"/>
      <c r="B10" s="38" t="s">
        <v>27</v>
      </c>
      <c r="C10" s="38" t="s">
        <v>21</v>
      </c>
      <c r="D10" s="39">
        <v>100.0</v>
      </c>
      <c r="E10" s="38"/>
      <c r="F10" s="38" t="s">
        <v>22</v>
      </c>
      <c r="G10" s="38"/>
      <c r="H10" s="38"/>
      <c r="I10" s="38"/>
      <c r="J10" s="39">
        <v>2.0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7"/>
      <c r="B11" s="38" t="s">
        <v>28</v>
      </c>
      <c r="C11" s="38" t="s">
        <v>21</v>
      </c>
      <c r="D11" s="39">
        <v>100.0</v>
      </c>
      <c r="E11" s="38"/>
      <c r="F11" s="38" t="s">
        <v>22</v>
      </c>
      <c r="G11" s="38"/>
      <c r="H11" s="38"/>
      <c r="I11" s="38"/>
      <c r="J11" s="39">
        <v>2.0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7"/>
      <c r="B12" s="42">
        <v>1.23456789E8</v>
      </c>
      <c r="C12" s="38" t="s">
        <v>21</v>
      </c>
      <c r="D12" s="39">
        <v>100.0</v>
      </c>
      <c r="E12" s="38"/>
      <c r="F12" s="38" t="s">
        <v>22</v>
      </c>
      <c r="G12" s="38"/>
      <c r="H12" s="38"/>
      <c r="I12" s="38"/>
      <c r="J12" s="39">
        <v>2.0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33</v>
      </c>
      <c r="C6" s="46">
        <f>today()-1</f>
        <v>44840</v>
      </c>
      <c r="D6" s="46">
        <f>today()</f>
        <v>44841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3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7" t="s">
        <v>25</v>
      </c>
      <c r="C6" s="35">
        <v>100.0</v>
      </c>
      <c r="D6" s="34"/>
      <c r="E6" s="34" t="s">
        <v>22</v>
      </c>
      <c r="F6" s="34" t="s">
        <v>21</v>
      </c>
      <c r="G6" s="34"/>
      <c r="H6" s="35">
        <v>2.0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5">
        <v>5.0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20</v>
      </c>
      <c r="C6" s="35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24</v>
      </c>
      <c r="C7" s="48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25</v>
      </c>
      <c r="C8" s="48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26</v>
      </c>
      <c r="C9" s="48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27</v>
      </c>
      <c r="C10" s="48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28</v>
      </c>
      <c r="C11" s="48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>
        <v>1.23456789E8</v>
      </c>
      <c r="C12" s="48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1" t="s">
        <v>37</v>
      </c>
      <c r="C13" s="48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9">
        <f t="shared" ref="B6:C6" si="1">today()-1</f>
        <v>44840</v>
      </c>
      <c r="C6" s="46">
        <f t="shared" si="1"/>
        <v>44840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20</v>
      </c>
      <c r="C6" s="35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24</v>
      </c>
      <c r="C7" s="48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25</v>
      </c>
      <c r="C8" s="48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26</v>
      </c>
      <c r="C9" s="48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27</v>
      </c>
      <c r="C10" s="48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0" customHeight="1">
      <c r="A11" s="8"/>
      <c r="B11" s="37" t="s">
        <v>28</v>
      </c>
      <c r="C11" s="48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>
        <v>1.23456789E8</v>
      </c>
      <c r="C12" s="48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1" t="s">
        <v>37</v>
      </c>
      <c r="C13" s="48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3"/>
      <c r="C14" s="3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9">
        <f t="shared" ref="B6:C6" si="1">today()-1</f>
        <v>44840</v>
      </c>
      <c r="C6" s="46">
        <f t="shared" si="1"/>
        <v>44840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0"/>
      <c r="B6" s="47" t="s">
        <v>43</v>
      </c>
      <c r="C6" s="47" t="s">
        <v>44</v>
      </c>
      <c r="D6" s="34" t="s">
        <v>45</v>
      </c>
      <c r="E6" s="35">
        <v>1.2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9">
        <f t="shared" ref="B6:C6" si="1">today()-1</f>
        <v>44840</v>
      </c>
      <c r="C6" s="46">
        <f t="shared" si="1"/>
        <v>44840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1" t="s">
        <v>22</v>
      </c>
      <c r="C6" s="47" t="s">
        <v>43</v>
      </c>
      <c r="D6" s="35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29</v>
      </c>
      <c r="C7" s="31" t="s">
        <v>43</v>
      </c>
      <c r="D7" s="48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0"/>
      <c r="B6" s="34" t="s">
        <v>22</v>
      </c>
      <c r="C6" s="34"/>
      <c r="D6" s="46">
        <f>today()-3</f>
        <v>44838</v>
      </c>
      <c r="E6" s="46">
        <f>today()</f>
        <v>44841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4" t="s">
        <v>51</v>
      </c>
      <c r="D6" s="34" t="s">
        <v>20</v>
      </c>
      <c r="E6" s="34"/>
      <c r="F6" s="34" t="s">
        <v>22</v>
      </c>
      <c r="G6" s="34" t="s">
        <v>43</v>
      </c>
      <c r="H6" s="52">
        <v>100000.0</v>
      </c>
      <c r="I6" s="53">
        <f>today()-2</f>
        <v>44839</v>
      </c>
      <c r="J6" s="53">
        <f>today()+8</f>
        <v>44849</v>
      </c>
      <c r="K6" s="53"/>
      <c r="L6" s="53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0"/>
      <c r="B6" s="34"/>
      <c r="C6" s="34" t="s">
        <v>22</v>
      </c>
      <c r="D6" s="46">
        <f>today()</f>
        <v>44841</v>
      </c>
      <c r="E6" s="54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5" t="s">
        <v>55</v>
      </c>
      <c r="C6" s="34" t="s">
        <v>56</v>
      </c>
      <c r="D6" s="34" t="s">
        <v>57</v>
      </c>
      <c r="E6" s="34" t="s">
        <v>58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0"/>
      <c r="C6" s="34" t="s">
        <v>60</v>
      </c>
      <c r="D6" s="34" t="s">
        <v>61</v>
      </c>
      <c r="E6" s="32" t="b">
        <v>1</v>
      </c>
      <c r="F6" s="31" t="s">
        <v>55</v>
      </c>
      <c r="G6" s="31" t="s">
        <v>62</v>
      </c>
      <c r="H6" s="56" t="s">
        <v>63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7" t="s">
        <v>65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B6" s="9" t="s">
        <v>67</v>
      </c>
      <c r="C6" s="9" t="s">
        <v>68</v>
      </c>
      <c r="D6" s="9" t="s">
        <v>69</v>
      </c>
      <c r="E6" s="9" t="s">
        <v>26</v>
      </c>
      <c r="F6" s="9" t="s">
        <v>70</v>
      </c>
      <c r="G6" s="9" t="s">
        <v>70</v>
      </c>
      <c r="H6" s="9" t="s">
        <v>71</v>
      </c>
    </row>
    <row r="7" ht="15.75" customHeight="1">
      <c r="B7" s="9" t="s">
        <v>67</v>
      </c>
      <c r="C7" s="9" t="s">
        <v>68</v>
      </c>
      <c r="D7" s="9" t="s">
        <v>69</v>
      </c>
      <c r="E7" s="9" t="s">
        <v>25</v>
      </c>
      <c r="F7" s="9" t="s">
        <v>70</v>
      </c>
      <c r="G7" s="9" t="s">
        <v>70</v>
      </c>
      <c r="H7" s="9" t="s">
        <v>72</v>
      </c>
    </row>
    <row r="8" ht="15.75" customHeight="1">
      <c r="B8" s="9" t="s">
        <v>67</v>
      </c>
      <c r="C8" s="9" t="s">
        <v>68</v>
      </c>
      <c r="D8" s="9" t="s">
        <v>69</v>
      </c>
      <c r="E8" s="9" t="s">
        <v>20</v>
      </c>
      <c r="F8" s="9" t="s">
        <v>70</v>
      </c>
      <c r="G8" s="9" t="s">
        <v>70</v>
      </c>
      <c r="H8" s="9" t="s">
        <v>73</v>
      </c>
    </row>
    <row r="9" ht="15.75" customHeight="1">
      <c r="B9" s="9" t="s">
        <v>67</v>
      </c>
      <c r="C9" s="9" t="s">
        <v>68</v>
      </c>
      <c r="D9" s="9" t="s">
        <v>69</v>
      </c>
      <c r="E9" s="9" t="s">
        <v>24</v>
      </c>
      <c r="F9" s="9" t="s">
        <v>70</v>
      </c>
      <c r="G9" s="9" t="s">
        <v>70</v>
      </c>
      <c r="H9" s="9" t="s">
        <v>74</v>
      </c>
    </row>
    <row r="10" ht="15.75" customHeight="1">
      <c r="B10" s="9" t="s">
        <v>67</v>
      </c>
      <c r="C10" s="9" t="s">
        <v>68</v>
      </c>
      <c r="D10" s="9" t="s">
        <v>69</v>
      </c>
      <c r="E10" s="9">
        <v>1.23456789E8</v>
      </c>
      <c r="F10" s="9" t="s">
        <v>70</v>
      </c>
      <c r="G10" s="9" t="s">
        <v>70</v>
      </c>
      <c r="H10" s="9" t="s">
        <v>75</v>
      </c>
    </row>
    <row r="11" ht="15.75" customHeight="1">
      <c r="B11" s="9" t="s">
        <v>67</v>
      </c>
      <c r="C11" s="9" t="s">
        <v>76</v>
      </c>
      <c r="D11" s="9" t="s">
        <v>77</v>
      </c>
      <c r="E11" s="9" t="s">
        <v>78</v>
      </c>
      <c r="F11" s="9" t="s">
        <v>70</v>
      </c>
      <c r="G11" s="9" t="s">
        <v>70</v>
      </c>
      <c r="H11" s="9" t="s">
        <v>79</v>
      </c>
    </row>
    <row r="12" ht="15.75" customHeight="1">
      <c r="B12" s="9" t="s">
        <v>67</v>
      </c>
      <c r="C12" s="9" t="s">
        <v>76</v>
      </c>
      <c r="D12" s="9" t="s">
        <v>77</v>
      </c>
      <c r="E12" s="9" t="s">
        <v>80</v>
      </c>
      <c r="F12" s="9" t="s">
        <v>70</v>
      </c>
      <c r="G12" s="9" t="s">
        <v>70</v>
      </c>
      <c r="H12" s="9" t="s">
        <v>81</v>
      </c>
    </row>
    <row r="13" ht="15.75" customHeight="1">
      <c r="B13" s="9" t="s">
        <v>67</v>
      </c>
      <c r="C13" s="9" t="s">
        <v>76</v>
      </c>
      <c r="D13" s="9" t="s">
        <v>77</v>
      </c>
      <c r="E13" s="9" t="s">
        <v>82</v>
      </c>
      <c r="F13" s="9" t="s">
        <v>70</v>
      </c>
      <c r="G13" s="9" t="s">
        <v>70</v>
      </c>
      <c r="H13" s="9" t="s">
        <v>83</v>
      </c>
    </row>
    <row r="14" ht="15.75" customHeight="1">
      <c r="B14" s="9" t="s">
        <v>67</v>
      </c>
      <c r="C14" s="9" t="s">
        <v>76</v>
      </c>
      <c r="D14" s="9" t="s">
        <v>77</v>
      </c>
      <c r="E14" s="9" t="s">
        <v>84</v>
      </c>
      <c r="F14" s="9" t="s">
        <v>70</v>
      </c>
      <c r="G14" s="9" t="s">
        <v>70</v>
      </c>
      <c r="H14" s="9" t="s">
        <v>85</v>
      </c>
    </row>
    <row r="15" ht="15.75" customHeight="1">
      <c r="B15" s="9" t="s">
        <v>67</v>
      </c>
      <c r="C15" s="9" t="s">
        <v>76</v>
      </c>
      <c r="D15" s="9" t="s">
        <v>77</v>
      </c>
      <c r="E15" s="9" t="s">
        <v>86</v>
      </c>
      <c r="F15" s="9" t="s">
        <v>70</v>
      </c>
      <c r="G15" s="9" t="s">
        <v>70</v>
      </c>
      <c r="H15" s="9" t="s">
        <v>87</v>
      </c>
    </row>
    <row r="16" ht="15.75" customHeight="1">
      <c r="B16" s="9" t="s">
        <v>67</v>
      </c>
      <c r="C16" s="9" t="s">
        <v>88</v>
      </c>
      <c r="D16" s="9" t="s">
        <v>89</v>
      </c>
      <c r="E16" s="9" t="s">
        <v>90</v>
      </c>
      <c r="F16" s="9" t="s">
        <v>70</v>
      </c>
      <c r="G16" s="9" t="s">
        <v>70</v>
      </c>
      <c r="H16" s="9" t="s">
        <v>91</v>
      </c>
    </row>
    <row r="17" ht="15.75" customHeight="1">
      <c r="B17" s="9" t="s">
        <v>67</v>
      </c>
      <c r="C17" s="9" t="s">
        <v>88</v>
      </c>
      <c r="D17" s="9" t="s">
        <v>89</v>
      </c>
      <c r="E17" s="9" t="s">
        <v>92</v>
      </c>
      <c r="F17" s="9" t="s">
        <v>70</v>
      </c>
      <c r="G17" s="9" t="s">
        <v>70</v>
      </c>
      <c r="H17" s="9" t="s">
        <v>93</v>
      </c>
    </row>
    <row r="18" ht="15.75" customHeight="1">
      <c r="B18" s="9" t="s">
        <v>67</v>
      </c>
      <c r="C18" s="9" t="s">
        <v>88</v>
      </c>
      <c r="D18" s="9" t="s">
        <v>89</v>
      </c>
      <c r="E18" s="9" t="s">
        <v>94</v>
      </c>
      <c r="F18" s="9" t="s">
        <v>70</v>
      </c>
      <c r="G18" s="9" t="s">
        <v>70</v>
      </c>
      <c r="H18" s="9" t="s">
        <v>95</v>
      </c>
    </row>
    <row r="19" ht="15.75" customHeight="1">
      <c r="B19" s="9" t="s">
        <v>67</v>
      </c>
      <c r="C19" s="9" t="s">
        <v>88</v>
      </c>
      <c r="D19" s="9" t="s">
        <v>89</v>
      </c>
      <c r="E19" s="9" t="s">
        <v>96</v>
      </c>
      <c r="F19" s="9" t="s">
        <v>70</v>
      </c>
      <c r="G19" s="9" t="s">
        <v>70</v>
      </c>
      <c r="H19" s="9" t="s">
        <v>97</v>
      </c>
    </row>
    <row r="20" ht="15.75" customHeight="1">
      <c r="B20" s="9" t="s">
        <v>67</v>
      </c>
      <c r="C20" s="9" t="s">
        <v>88</v>
      </c>
      <c r="D20" s="9" t="s">
        <v>89</v>
      </c>
      <c r="E20" s="9" t="s">
        <v>98</v>
      </c>
      <c r="F20" s="9" t="s">
        <v>70</v>
      </c>
      <c r="G20" s="9" t="s">
        <v>70</v>
      </c>
      <c r="H20" s="9" t="s">
        <v>99</v>
      </c>
    </row>
    <row r="21" ht="15.75" customHeight="1">
      <c r="B21" s="9" t="s">
        <v>67</v>
      </c>
      <c r="C21" s="9" t="s">
        <v>100</v>
      </c>
      <c r="D21" s="9" t="s">
        <v>101</v>
      </c>
      <c r="E21" s="9" t="s">
        <v>20</v>
      </c>
      <c r="F21" s="9" t="s">
        <v>70</v>
      </c>
      <c r="G21" s="9" t="s">
        <v>70</v>
      </c>
      <c r="H21" s="9" t="s">
        <v>102</v>
      </c>
    </row>
    <row r="22" ht="15.75" customHeight="1">
      <c r="B22" s="9" t="s">
        <v>67</v>
      </c>
      <c r="C22" s="9" t="s">
        <v>100</v>
      </c>
      <c r="D22" s="9" t="s">
        <v>101</v>
      </c>
      <c r="E22" s="9" t="s">
        <v>26</v>
      </c>
      <c r="F22" s="9" t="s">
        <v>70</v>
      </c>
      <c r="G22" s="9" t="s">
        <v>70</v>
      </c>
      <c r="H22" s="9" t="s">
        <v>103</v>
      </c>
    </row>
    <row r="23" ht="15.75" customHeight="1">
      <c r="B23" s="9" t="s">
        <v>67</v>
      </c>
      <c r="C23" s="9" t="s">
        <v>100</v>
      </c>
      <c r="D23" s="9" t="s">
        <v>101</v>
      </c>
      <c r="E23" s="9">
        <v>1.23456789E8</v>
      </c>
      <c r="F23" s="9" t="s">
        <v>70</v>
      </c>
      <c r="G23" s="9" t="s">
        <v>70</v>
      </c>
      <c r="H23" s="9" t="s">
        <v>104</v>
      </c>
    </row>
    <row r="24" ht="15.75" customHeight="1">
      <c r="B24" s="9" t="s">
        <v>67</v>
      </c>
      <c r="C24" s="9" t="s">
        <v>100</v>
      </c>
      <c r="D24" s="9" t="s">
        <v>101</v>
      </c>
      <c r="E24" s="9" t="s">
        <v>25</v>
      </c>
      <c r="F24" s="9" t="s">
        <v>70</v>
      </c>
      <c r="G24" s="9" t="s">
        <v>70</v>
      </c>
      <c r="H24" s="9" t="s">
        <v>105</v>
      </c>
    </row>
    <row r="25" ht="15.75" customHeight="1">
      <c r="B25" s="9" t="s">
        <v>67</v>
      </c>
      <c r="C25" s="9" t="s">
        <v>100</v>
      </c>
      <c r="D25" s="9" t="s">
        <v>101</v>
      </c>
      <c r="E25" s="9" t="s">
        <v>24</v>
      </c>
      <c r="F25" s="9" t="s">
        <v>70</v>
      </c>
      <c r="G25" s="9" t="s">
        <v>70</v>
      </c>
      <c r="H25" s="9" t="s">
        <v>106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21</v>
      </c>
      <c r="D6" s="13" t="s">
        <v>20</v>
      </c>
      <c r="E6" s="13">
        <v>193.0</v>
      </c>
      <c r="F6" s="13">
        <v>10.0</v>
      </c>
      <c r="G6" s="58">
        <v>1930.0</v>
      </c>
      <c r="H6" s="8"/>
      <c r="I6" s="13" t="s">
        <v>108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21</v>
      </c>
      <c r="D7" s="13" t="s">
        <v>24</v>
      </c>
      <c r="E7" s="13">
        <v>193.0</v>
      </c>
      <c r="F7" s="13">
        <v>10.0</v>
      </c>
      <c r="G7" s="58">
        <v>1608.0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 t="s">
        <v>21</v>
      </c>
      <c r="D8" s="13" t="s">
        <v>26</v>
      </c>
      <c r="E8" s="13">
        <v>193.0</v>
      </c>
      <c r="F8" s="13">
        <v>10.0</v>
      </c>
      <c r="G8" s="58">
        <v>1930.0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 t="s">
        <v>21</v>
      </c>
      <c r="D9" s="13">
        <v>1.23456789E8</v>
      </c>
      <c r="E9" s="13">
        <v>193.0</v>
      </c>
      <c r="F9" s="13">
        <v>10.0</v>
      </c>
      <c r="G9" s="58">
        <v>1930.0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22</v>
      </c>
      <c r="C10" s="13" t="s">
        <v>21</v>
      </c>
      <c r="D10" s="13" t="s">
        <v>25</v>
      </c>
      <c r="E10" s="13">
        <v>193.0</v>
      </c>
      <c r="F10" s="13">
        <v>10.0</v>
      </c>
      <c r="G10" s="58">
        <v>1930.0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5" t="s">
        <v>55</v>
      </c>
      <c r="C6" s="34" t="s">
        <v>109</v>
      </c>
      <c r="D6" s="34" t="s">
        <v>57</v>
      </c>
      <c r="E6" s="34" t="s">
        <v>58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0"/>
      <c r="C6" s="34" t="s">
        <v>60</v>
      </c>
      <c r="D6" s="34" t="s">
        <v>61</v>
      </c>
      <c r="E6" s="32" t="b">
        <v>1</v>
      </c>
      <c r="F6" s="31" t="s">
        <v>55</v>
      </c>
      <c r="G6" s="31" t="s">
        <v>62</v>
      </c>
      <c r="H6" s="56" t="s">
        <v>63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7" t="s">
        <v>65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67</v>
      </c>
      <c r="C6" s="13" t="s">
        <v>68</v>
      </c>
      <c r="D6" s="13" t="s">
        <v>69</v>
      </c>
      <c r="E6" s="13" t="s">
        <v>20</v>
      </c>
      <c r="F6" s="13" t="s">
        <v>70</v>
      </c>
      <c r="G6" s="13" t="s">
        <v>70</v>
      </c>
      <c r="H6" s="13" t="s">
        <v>110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67</v>
      </c>
      <c r="C7" s="13" t="s">
        <v>68</v>
      </c>
      <c r="D7" s="13" t="s">
        <v>69</v>
      </c>
      <c r="E7" s="13">
        <v>1.23456789E8</v>
      </c>
      <c r="F7" s="13" t="s">
        <v>70</v>
      </c>
      <c r="G7" s="13" t="s">
        <v>70</v>
      </c>
      <c r="H7" s="13" t="s">
        <v>111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67</v>
      </c>
      <c r="C8" s="13" t="s">
        <v>68</v>
      </c>
      <c r="D8" s="13" t="s">
        <v>69</v>
      </c>
      <c r="E8" s="13" t="s">
        <v>24</v>
      </c>
      <c r="F8" s="13" t="s">
        <v>70</v>
      </c>
      <c r="G8" s="13" t="s">
        <v>70</v>
      </c>
      <c r="H8" s="13" t="s">
        <v>112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67</v>
      </c>
      <c r="C9" s="13" t="s">
        <v>68</v>
      </c>
      <c r="D9" s="13" t="s">
        <v>69</v>
      </c>
      <c r="E9" s="13" t="s">
        <v>26</v>
      </c>
      <c r="F9" s="13" t="s">
        <v>70</v>
      </c>
      <c r="G9" s="13" t="s">
        <v>70</v>
      </c>
      <c r="H9" s="13" t="s">
        <v>113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67</v>
      </c>
      <c r="C10" s="13" t="s">
        <v>68</v>
      </c>
      <c r="D10" s="13" t="s">
        <v>69</v>
      </c>
      <c r="E10" s="13" t="s">
        <v>25</v>
      </c>
      <c r="F10" s="13" t="s">
        <v>70</v>
      </c>
      <c r="G10" s="13" t="s">
        <v>70</v>
      </c>
      <c r="H10" s="13" t="s">
        <v>114</v>
      </c>
      <c r="I10" s="8"/>
      <c r="J10" s="8"/>
      <c r="K10" s="8"/>
      <c r="L10" s="8"/>
      <c r="M10" s="8"/>
      <c r="N10" s="8"/>
      <c r="O10" s="8"/>
    </row>
    <row r="11" ht="15.75" customHeight="1">
      <c r="B11" s="9" t="s">
        <v>67</v>
      </c>
      <c r="C11" s="9" t="s">
        <v>68</v>
      </c>
      <c r="D11" s="9" t="s">
        <v>69</v>
      </c>
      <c r="E11" s="9" t="s">
        <v>20</v>
      </c>
      <c r="F11" s="9" t="s">
        <v>70</v>
      </c>
      <c r="G11" s="9" t="s">
        <v>70</v>
      </c>
      <c r="H11" s="9" t="s">
        <v>115</v>
      </c>
    </row>
    <row r="12" ht="15.75" customHeight="1">
      <c r="B12" s="9" t="s">
        <v>67</v>
      </c>
      <c r="C12" s="9" t="s">
        <v>76</v>
      </c>
      <c r="D12" s="9" t="s">
        <v>77</v>
      </c>
      <c r="E12" s="9" t="s">
        <v>78</v>
      </c>
      <c r="F12" s="9" t="s">
        <v>70</v>
      </c>
      <c r="G12" s="9" t="s">
        <v>70</v>
      </c>
      <c r="H12" s="9" t="s">
        <v>116</v>
      </c>
    </row>
    <row r="13" ht="15.75" customHeight="1">
      <c r="B13" s="9" t="s">
        <v>67</v>
      </c>
      <c r="C13" s="9" t="s">
        <v>76</v>
      </c>
      <c r="D13" s="9" t="s">
        <v>77</v>
      </c>
      <c r="E13" s="9" t="s">
        <v>86</v>
      </c>
      <c r="F13" s="9" t="s">
        <v>70</v>
      </c>
      <c r="G13" s="9" t="s">
        <v>70</v>
      </c>
      <c r="H13" s="9" t="s">
        <v>117</v>
      </c>
    </row>
    <row r="14" ht="15.75" customHeight="1">
      <c r="B14" s="9" t="s">
        <v>67</v>
      </c>
      <c r="C14" s="9" t="s">
        <v>76</v>
      </c>
      <c r="D14" s="9" t="s">
        <v>77</v>
      </c>
      <c r="E14" s="9" t="s">
        <v>80</v>
      </c>
      <c r="F14" s="9" t="s">
        <v>70</v>
      </c>
      <c r="G14" s="9" t="s">
        <v>70</v>
      </c>
      <c r="H14" s="9" t="s">
        <v>118</v>
      </c>
    </row>
    <row r="15" ht="15.75" customHeight="1">
      <c r="B15" s="9" t="s">
        <v>67</v>
      </c>
      <c r="C15" s="9" t="s">
        <v>76</v>
      </c>
      <c r="D15" s="9" t="s">
        <v>77</v>
      </c>
      <c r="E15" s="9" t="s">
        <v>82</v>
      </c>
      <c r="F15" s="9" t="s">
        <v>70</v>
      </c>
      <c r="G15" s="9" t="s">
        <v>70</v>
      </c>
      <c r="H15" s="9" t="s">
        <v>119</v>
      </c>
    </row>
    <row r="16" ht="15.75" customHeight="1">
      <c r="B16" s="9" t="s">
        <v>67</v>
      </c>
      <c r="C16" s="9" t="s">
        <v>76</v>
      </c>
      <c r="D16" s="9" t="s">
        <v>77</v>
      </c>
      <c r="E16" s="9" t="s">
        <v>84</v>
      </c>
      <c r="F16" s="9" t="s">
        <v>70</v>
      </c>
      <c r="G16" s="9" t="s">
        <v>70</v>
      </c>
      <c r="H16" s="9" t="s">
        <v>120</v>
      </c>
    </row>
    <row r="17" ht="15.75" customHeight="1">
      <c r="B17" s="9" t="s">
        <v>67</v>
      </c>
      <c r="C17" s="9" t="s">
        <v>76</v>
      </c>
      <c r="D17" s="9" t="s">
        <v>77</v>
      </c>
      <c r="E17" s="9" t="s">
        <v>121</v>
      </c>
      <c r="F17" s="9" t="s">
        <v>70</v>
      </c>
      <c r="G17" s="9" t="s">
        <v>70</v>
      </c>
      <c r="H17" s="9" t="s">
        <v>122</v>
      </c>
    </row>
    <row r="18" ht="15.75" customHeight="1">
      <c r="B18" s="9" t="s">
        <v>67</v>
      </c>
      <c r="C18" s="9" t="s">
        <v>88</v>
      </c>
      <c r="D18" s="9" t="s">
        <v>89</v>
      </c>
      <c r="E18" s="9" t="s">
        <v>98</v>
      </c>
      <c r="F18" s="9" t="s">
        <v>70</v>
      </c>
      <c r="G18" s="9" t="s">
        <v>70</v>
      </c>
      <c r="H18" s="9" t="s">
        <v>123</v>
      </c>
    </row>
    <row r="19" ht="15.75" customHeight="1">
      <c r="B19" s="9" t="s">
        <v>67</v>
      </c>
      <c r="C19" s="9" t="s">
        <v>88</v>
      </c>
      <c r="D19" s="9" t="s">
        <v>89</v>
      </c>
      <c r="E19" s="9" t="s">
        <v>92</v>
      </c>
      <c r="F19" s="9" t="s">
        <v>70</v>
      </c>
      <c r="G19" s="9" t="s">
        <v>70</v>
      </c>
      <c r="H19" s="9" t="s">
        <v>124</v>
      </c>
    </row>
    <row r="20" ht="15.75" customHeight="1">
      <c r="B20" s="9" t="s">
        <v>67</v>
      </c>
      <c r="C20" s="9" t="s">
        <v>88</v>
      </c>
      <c r="D20" s="9" t="s">
        <v>89</v>
      </c>
      <c r="E20" s="9" t="s">
        <v>94</v>
      </c>
      <c r="F20" s="9" t="s">
        <v>70</v>
      </c>
      <c r="G20" s="9" t="s">
        <v>70</v>
      </c>
      <c r="H20" s="9" t="s">
        <v>125</v>
      </c>
    </row>
    <row r="21" ht="15.75" customHeight="1">
      <c r="B21" s="9" t="s">
        <v>67</v>
      </c>
      <c r="C21" s="9" t="s">
        <v>88</v>
      </c>
      <c r="D21" s="9" t="s">
        <v>89</v>
      </c>
      <c r="E21" s="9" t="s">
        <v>96</v>
      </c>
      <c r="F21" s="9" t="s">
        <v>70</v>
      </c>
      <c r="G21" s="9" t="s">
        <v>70</v>
      </c>
      <c r="H21" s="9" t="s">
        <v>126</v>
      </c>
    </row>
    <row r="22" ht="15.75" customHeight="1">
      <c r="B22" s="9" t="s">
        <v>67</v>
      </c>
      <c r="C22" s="9" t="s">
        <v>88</v>
      </c>
      <c r="D22" s="9" t="s">
        <v>89</v>
      </c>
      <c r="E22" s="9" t="s">
        <v>90</v>
      </c>
      <c r="F22" s="9" t="s">
        <v>70</v>
      </c>
      <c r="G22" s="9" t="s">
        <v>70</v>
      </c>
      <c r="H22" s="9" t="s">
        <v>127</v>
      </c>
    </row>
    <row r="23" ht="15.75" customHeight="1">
      <c r="B23" s="9" t="s">
        <v>67</v>
      </c>
      <c r="C23" s="9" t="s">
        <v>100</v>
      </c>
      <c r="D23" s="9" t="s">
        <v>101</v>
      </c>
      <c r="E23" s="9" t="s">
        <v>20</v>
      </c>
      <c r="F23" s="9" t="s">
        <v>70</v>
      </c>
      <c r="G23" s="9" t="s">
        <v>70</v>
      </c>
      <c r="H23" s="9" t="s">
        <v>128</v>
      </c>
    </row>
    <row r="24" ht="15.75" customHeight="1">
      <c r="B24" s="9" t="s">
        <v>67</v>
      </c>
      <c r="C24" s="9" t="s">
        <v>100</v>
      </c>
      <c r="D24" s="9" t="s">
        <v>101</v>
      </c>
      <c r="E24" s="9" t="s">
        <v>24</v>
      </c>
      <c r="F24" s="9" t="s">
        <v>70</v>
      </c>
      <c r="G24" s="9" t="s">
        <v>70</v>
      </c>
      <c r="H24" s="9" t="s">
        <v>129</v>
      </c>
    </row>
    <row r="25" ht="15.75" customHeight="1">
      <c r="B25" s="9" t="s">
        <v>67</v>
      </c>
      <c r="C25" s="9" t="s">
        <v>100</v>
      </c>
      <c r="D25" s="9" t="s">
        <v>101</v>
      </c>
      <c r="E25" s="9" t="s">
        <v>26</v>
      </c>
      <c r="F25" s="9" t="s">
        <v>70</v>
      </c>
      <c r="G25" s="9" t="s">
        <v>70</v>
      </c>
      <c r="H25" s="9" t="s">
        <v>130</v>
      </c>
    </row>
    <row r="26" ht="15.75" customHeight="1">
      <c r="B26" s="9" t="s">
        <v>67</v>
      </c>
      <c r="C26" s="9" t="s">
        <v>100</v>
      </c>
      <c r="D26" s="9" t="s">
        <v>101</v>
      </c>
      <c r="E26" s="9">
        <v>1.23456789E8</v>
      </c>
      <c r="F26" s="9" t="s">
        <v>70</v>
      </c>
      <c r="G26" s="9" t="s">
        <v>70</v>
      </c>
      <c r="H26" s="9" t="s">
        <v>131</v>
      </c>
    </row>
    <row r="27" ht="15.75" customHeight="1">
      <c r="B27" s="9" t="s">
        <v>67</v>
      </c>
      <c r="C27" s="9" t="s">
        <v>100</v>
      </c>
      <c r="D27" s="9" t="s">
        <v>101</v>
      </c>
      <c r="E27" s="9" t="s">
        <v>25</v>
      </c>
      <c r="F27" s="9" t="s">
        <v>70</v>
      </c>
      <c r="G27" s="9" t="s">
        <v>70</v>
      </c>
      <c r="H27" s="9" t="s">
        <v>132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CheckBasketCompliance1!$4:$4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21</v>
      </c>
      <c r="D6" s="13" t="s">
        <v>20</v>
      </c>
      <c r="E6" s="13">
        <v>186.0</v>
      </c>
      <c r="F6" s="13">
        <v>20.0</v>
      </c>
      <c r="G6" s="58">
        <v>3720.0</v>
      </c>
      <c r="H6" s="8"/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21</v>
      </c>
      <c r="D7" s="13" t="s">
        <v>24</v>
      </c>
      <c r="E7" s="13">
        <v>186.0</v>
      </c>
      <c r="F7" s="13">
        <v>20.0</v>
      </c>
      <c r="G7" s="58">
        <v>3100.0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 t="s">
        <v>21</v>
      </c>
      <c r="D8" s="13" t="s">
        <v>26</v>
      </c>
      <c r="E8" s="13">
        <v>186.0</v>
      </c>
      <c r="F8" s="13">
        <v>20.0</v>
      </c>
      <c r="G8" s="58">
        <v>3720.0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 t="s">
        <v>21</v>
      </c>
      <c r="D9" s="13">
        <v>1.23456789E8</v>
      </c>
      <c r="E9" s="13">
        <v>186.0</v>
      </c>
      <c r="F9" s="13">
        <v>20.0</v>
      </c>
      <c r="G9" s="58">
        <v>3720.0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22</v>
      </c>
      <c r="C10" s="13" t="s">
        <v>21</v>
      </c>
      <c r="D10" s="13" t="s">
        <v>25</v>
      </c>
      <c r="E10" s="13">
        <v>186.0</v>
      </c>
      <c r="F10" s="13">
        <v>20.0</v>
      </c>
      <c r="G10" s="58">
        <v>3720.0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29</v>
      </c>
      <c r="C11" s="13" t="s">
        <v>21</v>
      </c>
      <c r="D11" s="13" t="s">
        <v>20</v>
      </c>
      <c r="E11" s="13">
        <v>99.0</v>
      </c>
      <c r="F11" s="13">
        <v>20.0</v>
      </c>
      <c r="G11" s="58">
        <v>1980.0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