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DoneAwayOrder" sheetId="4" r:id="rId6"/>
    <sheet name="PricingInput" sheetId="5" r:id="rId7"/>
    <sheet name="GetDailyCash" sheetId="6" r:id="rId8"/>
    <sheet name="UpdateMultipleDailyCash" sheetId="7" r:id="rId9"/>
    <sheet name="CreateOrderPTT" sheetId="8" r:id="rId10"/>
    <sheet name="FetchAccountPositions" sheetId="9" r:id="rId11"/>
    <sheet name="AddCash" sheetId="10" r:id="rId12"/>
    <sheet name="RunRebalance" sheetId="11" r:id="rId13"/>
    <sheet name="SendtoStaging" sheetId="12" r:id="rId14"/>
    <sheet name="MergeOrder" sheetId="13" r:id="rId15"/>
    <sheet name="VerifyOrder" sheetId="14" r:id="rId16"/>
    <sheet name="CreateStageOrder" sheetId="15" r:id="rId17"/>
    <sheet name="CreateOrderPTT1" sheetId="16" r:id="rId18"/>
    <sheet name="MergeOrder1" sheetId="17" r:id="rId19"/>
    <sheet name="VerifyOrder1" sheetId="18" r:id="rId20"/>
  </sheets>
  <calcPr fullCalcOnLoad="1"/>
</workbook>
</file>

<file path=xl/sharedStrings.xml><?xml version="1.0" encoding="utf-8"?>
<sst xmlns="http://schemas.openxmlformats.org/spreadsheetml/2006/main" count="44" uniqueCount="44">
  <si>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</si>
  <si>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</si>
  <si>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</si>
  <si>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</si>
  <si>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</si>
  <si>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</si>
  <si>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</si>
  <si>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</si>
  <si>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</si>
  <si>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</si>
  <si>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</si>
  <si>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</si>
  <si>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</si>
  <si>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</si>
  <si>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</si>
  <si>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</si>
  <si>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IBM</t>
  </si>
  <si>
    <t>Buy</t>
  </si>
  <si>
    <t>Allocation1</t>
  </si>
  <si>
    <t>GCCAP1</t>
  </si>
  <si>
    <t>Allocation3</t>
  </si>
  <si>
    <t>TradingAccount-1</t>
  </si>
  <si>
    <t>PricingInput</t>
  </si>
  <si>
    <t>DailyValuation</t>
  </si>
  <si>
    <t>GetDailyCash</t>
  </si>
  <si>
    <t>UpdateMultipleDailyCash</t>
  </si>
  <si>
    <t>USD</t>
  </si>
  <si>
    <t>PTT</t>
  </si>
  <si>
    <t>CreateOrderPTT</t>
  </si>
  <si>
    <t>Increase</t>
  </si>
  <si>
    <t>Rebalancer</t>
  </si>
  <si>
    <t>FetchAccountPositions</t>
  </si>
  <si>
    <t>AddCash</t>
  </si>
  <si>
    <t>RunRebalance</t>
  </si>
  <si>
    <t>Nearest Round Off</t>
  </si>
  <si>
    <t>SendtoStaging</t>
  </si>
  <si>
    <t>Blotter</t>
  </si>
  <si>
    <t>MergeOrder</t>
  </si>
  <si>
    <t>New</t>
  </si>
  <si>
    <t>MS</t>
  </si>
  <si>
    <t>YES</t>
  </si>
  <si>
    <t>VerifyOrder</t>
  </si>
  <si>
    <t>CreateStageOrder</t>
  </si>
  <si>
    <t>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</si>
</sst>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39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5" applyFont="1" fillId="0" applyFill="1" borderId="0" applyBorder="1" xfId="0"/>
    <xf numFmtId="14" applyNumberFormat="1" fontId="5" applyFont="1" fillId="0" applyFill="1" borderId="0" applyBorder="1" xfId="0"/>
    <xf fontId="3" applyFont="1" fillId="0" applyFill="1" borderId="0" applyBorder="1" xfId="0"/>
    <xf fontId="3" applyFont="1" fillId="0" applyFill="1" borderId="0" applyBorder="1" xfId="0"/>
    <xf numFmtId="14" applyNumberFormat="1" fontId="5" applyFont="1" fillId="0" applyFill="1" borderId="0" applyBorder="1" xfId="0"/>
    <xf fontId="14" applyFont="1" fillId="6" applyFill="1" borderId="0" applyBorder="1" xfId="0">
      <alignment horizontal="left"/>
    </xf>
    <xf fontId="5" applyFont="1" fillId="0" applyFill="1" borderId="0" applyBorder="1" xfId="0"/>
    <xf fontId="5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1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59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IFERROR(__xludf.DUMMYFUNCTION("""COMPUTED_VALUE"""),"EditPTTRecordAndExecuteOrder")</f>
        <v>EditPTTRecordAndExecuteOrder</v>
      </c>
      <c r="C418" s="0" t="str">
        <f>IFERROR(__xludf.DUMMYFUNCTION("""COMPUTED_VALUE"""),"1PSIJ72QdQ-ByplSZsPtKhZm3ADB7dR-xpWzGR4Bdl_4")</f>
        <v>1PSIJ72QdQ-ByplSZsPtKhZm3ADB7dR-xpWzGR4Bdl_4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IFERROR(__xludf.DUMMYFUNCTION("""COMPUTED_VALUE"""),"1TeGYQgGxypH87IAS1MA8NIqqh4_U0q0H_IsXTnmORFw")</f>
        <v>1TeGYQgGxypH87IAS1MA8NIqqh4_U0q0H_IsXTnmORFw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  <c r="C650" s="0" t="str">
        <f>IFERROR(__xludf.DUMMYFUNCTION("""COMPUTED_VALUE"""),"11vW7fknzM8vTBH8SeRsGGkS29p8E1Xfx9205Qtc5hC4")</f>
        <v>11vW7fknzM8vTBH8SeRsGGkS29p8E1Xfx9205Qtc5hC4</v>
      </c>
    </row>
    <row r="651" ht="15.75" customHeight="1">
      <c r="A651" s="0" t="str">
        <f>IFERROR(__xludf.DUMMYFUNCTION("""COMPUTED_VALUE"""),"Admin")</f>
        <v>Admin</v>
      </c>
      <c r="B651" s="0" t="str">
        <f>IFERROR(__xludf.DUMMYFUNCTION("""COMPUTED_VALUE"""),"SetAllocationPreferences")</f>
        <v>SetAllocationPreferences</v>
      </c>
      <c r="C651" s="0" t="str">
        <f>IFERROR(__xludf.DUMMYFUNCTION("""COMPUTED_VALUE"""),"16PO4KGgITIDM3iQzFlyKHfXPBXba023pXOJQCBN_Elc")</f>
        <v>16PO4KGgITIDM3iQzFlyKHfXPBXba023pXOJQCBN_Elc</v>
      </c>
    </row>
    <row r="652" ht="15.75" customHeight="1">
      <c r="A652" s="0" t="str">
        <f>IFERROR(__xludf.DUMMYFUNCTION("""COMPUTED_VALUE"""),"TradingTicket")</f>
        <v>TradingTicket</v>
      </c>
      <c r="B652" s="0" t="str">
        <f>IFERROR(__xludf.DUMMYFUNCTION("""COMPUTED_VALUE"""),"CustomOrderTT")</f>
        <v>CustomOrderTT</v>
      </c>
      <c r="C652" s="0" t="str">
        <f>IFERROR(__xludf.DUMMYFUNCTION("""COMPUTED_VALUE"""),"1v9UMAQA-yD9UreUAgBLbyi4tqqYMESm4YnqZhD5jKvk")</f>
        <v>1v9UMAQA-yD9UreUAgBLbyi4tqqYMESm4YnqZhD5jKvk</v>
      </c>
    </row>
    <row r="653" ht="15.75" customHeight="1">
      <c r="A653" s="0" t="str">
        <f>IFERROR(__xludf.DUMMYFUNCTION("""COMPUTED_VALUE"""),"TradeServer")</f>
        <v>TradeServer</v>
      </c>
      <c r="B653" s="0" t="str">
        <f>IFERROR(__xludf.DUMMYFUNCTION("""COMPUTED_VALUE"""),"ConnectToSimAutoMan")</f>
        <v>ConnectToSimAutoMan</v>
      </c>
      <c r="C653" s="0" t="str">
        <f>IFERROR(__xludf.DUMMYFUNCTION("""COMPUTED_VALUE"""),"1kmGpZTH9xe92vT2JQhF-Njj6d_RCoVtRypLmoKTlseo")</f>
        <v>1kmGpZTH9xe92vT2JQhF-Njj6d_RCoVtRypLmoKTlseo</v>
      </c>
    </row>
    <row r="654" ht="15.75" customHeight="1">
      <c r="A654" s="0" t="str">
        <f>IFERROR(__xludf.DUMMYFUNCTION("""COMPUTED_VALUE"""),"Admin")</f>
        <v>Admin</v>
      </c>
      <c r="B654" s="0" t="str">
        <f>IFERROR(__xludf.DUMMYFUNCTION("""COMPUTED_VALUE"""),"SetRegularCompliancePermission")</f>
        <v>SetRegularCompliancePermission</v>
      </c>
      <c r="C654" s="0" t="str">
        <f>IFERROR(__xludf.DUMMYFUNCTION("""COMPUTED_VALUE"""),"1pGZ7u9bF4Lu1nJJRSpSz5TQn_FVJsrIH05yxOHHU4S4")</f>
        <v>1pGZ7u9bF4Lu1nJJRSpSz5TQn_FVJsrIH05yxOHHU4S4</v>
      </c>
    </row>
    <row r="655" ht="15.75" customHeight="1">
      <c r="A655" s="0" t="str">
        <f>IFERROR(__xludf.DUMMYFUNCTION("""COMPUTED_VALUE"""),"MultiTradingTicket")</f>
        <v>MultiTradingTicket</v>
      </c>
      <c r="B655" s="0" t="str">
        <f>IFERROR(__xludf.DUMMYFUNCTION("""COMPUTED_VALUE"""),"AddOrRemoveColumn")</f>
        <v>AddOrRemoveColumn</v>
      </c>
      <c r="C655" s="0" t="str">
        <f>IFERROR(__xludf.DUMMYFUNCTION("""COMPUTED_VALUE"""),"143kwNkqtTW1E3kVeTrESBbZbd8h3b9KHBzWYPombeFE")</f>
        <v>143kwNkqtTW1E3kVeTrESBbZbd8h3b9KHBzWYPombeFE</v>
      </c>
    </row>
    <row r="656" ht="15.75" customHeight="1">
      <c r="A656" s="0" t="str">
        <f>IFERROR(__xludf.DUMMYFUNCTION("""COMPUTED_VALUE"""),"Blotter")</f>
        <v>Blotter</v>
      </c>
      <c r="B656" s="0" t="str">
        <f>IFERROR(__xludf.DUMMYFUNCTION("""COMPUTED_VALUE"""),"RemoveOrderFromCustomTab")</f>
        <v>RemoveOrderFromCustomTab</v>
      </c>
      <c r="C656" s="0" t="str">
        <f>IFERROR(__xludf.DUMMYFUNCTION("""COMPUTED_VALUE"""),"1sfynQiLVUyAEBtlKhgJSpN7R6q9257IFweh0qT9mx20")</f>
        <v>1sfynQiLVUyAEBtlKhgJSpN7R6q9257IFweh0qT9mx20</v>
      </c>
    </row>
    <row r="657" ht="15.75" customHeight="1">
      <c r="A657" s="0" t="str">
        <f>IFERROR(__xludf.DUMMYFUNCTION("""COMPUTED_VALUE"""),"MultiTradingTicket")</f>
        <v>MultiTradingTicket</v>
      </c>
      <c r="B657" s="0" t="str">
        <f>IFERROR(__xludf.DUMMYFUNCTION("""COMPUTED_VALUE"""),"SaveLayoutUsingMTT")</f>
        <v>SaveLayoutUsingMTT</v>
      </c>
      <c r="C657" s="0" t="str">
        <f>IFERROR(__xludf.DUMMYFUNCTION("""COMPUTED_VALUE"""),"Undefined")</f>
        <v>Undefined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IFERROR(__xludf.DUMMYFUNCTION("""COMPUTED_VALUE"""),"ReloadFromSummary")</f>
        <v>ReloadFromSummary</v>
      </c>
      <c r="C658" s="0" t="str">
        <f>IFERROR(__xludf.DUMMYFUNCTION("""COMPUTED_VALUE"""),"1va9lkysxv5IoF2imeSPCpBsD6J_IgJcN5bBcjjoS3g4")</f>
        <v>1va9lkysxv5IoF2imeSPCpBsD6J_IgJcN5bBcjjoS3g4</v>
      </c>
    </row>
    <row r="659" ht="15.75" customHeight="1">
      <c r="A659" s="0" t="str">
        <f>IFERROR(__xludf.DUMMYFUNCTION("""COMPUTED_VALUE"""),"Blotter")</f>
        <v>Blotter</v>
      </c>
      <c r="B659" s="0" t="str">
        <f>IFERROR(__xludf.DUMMYFUNCTION("""COMPUTED_VALUE"""),"AllocateFromWorkingSubsBlotter")</f>
        <v>AllocateFromWorkingSubsBlotter</v>
      </c>
      <c r="C659" s="0" t="str">
        <f>IFERROR(__xludf.DUMMYFUNCTION("""COMPUTED_VALUE"""),"1y2YFZm3A-cdE2rpKOdJdC0HlrimUfKr3DluQsVb-w0E")</f>
        <v>1y2YFZm3A-cdE2rpKOdJdC0HlrimUfKr3DluQsVb-w0E</v>
      </c>
    </row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</v>
      </c>
      <c r="E6" s="31"/>
      <c r="F6" s="13" t="s">
        <v>18</v>
      </c>
      <c r="G6" s="8"/>
      <c r="H6" s="8"/>
      <c r="I6" s="8"/>
      <c r="J6" s="13">
        <v>10</v>
      </c>
      <c r="K6" s="8"/>
      <c r="L6" s="8"/>
      <c r="M6" s="8"/>
      <c r="N6" s="32">
        <f ref="N6:N7" t="shared" si="1">TODAY()-1</f>
        <v>45210</v>
      </c>
      <c r="O6" s="8"/>
      <c r="AE6" s="33" t="s">
        <v>19</v>
      </c>
    </row>
    <row r="7" ht="15.75" customHeight="1">
      <c r="A7" s="8"/>
      <c r="B7" s="13" t="s">
        <v>16</v>
      </c>
      <c r="C7" s="13" t="s">
        <v>17</v>
      </c>
      <c r="D7" s="13">
        <v>1000</v>
      </c>
      <c r="E7" s="8"/>
      <c r="F7" s="13" t="s">
        <v>20</v>
      </c>
      <c r="G7" s="8"/>
      <c r="H7" s="8"/>
      <c r="I7" s="8"/>
      <c r="J7" s="13">
        <v>10</v>
      </c>
      <c r="K7" s="8"/>
      <c r="L7" s="8"/>
      <c r="M7" s="8"/>
      <c r="N7" s="32">
        <f t="shared" si="1"/>
        <v>45210</v>
      </c>
      <c r="O7" s="8"/>
      <c r="AE7" s="34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>
        <f>TODAY()-1</f>
        <v>45210</v>
      </c>
      <c r="C6" s="32">
        <f>TODAY()</f>
        <v>45211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26</v>
      </c>
      <c r="D6" s="13">
        <v>10000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 t="s">
        <v>26</v>
      </c>
      <c r="D7" s="13">
        <v>10000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29</v>
      </c>
      <c r="D6" s="13"/>
      <c r="E6" s="13">
        <v>10</v>
      </c>
      <c r="F6" s="8"/>
      <c r="G6" s="8"/>
      <c r="H6" s="8"/>
      <c r="I6" s="13" t="s">
        <v>18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10000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17</v>
      </c>
      <c r="D6" s="13" t="s">
        <v>16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38</v>
      </c>
      <c r="H6" s="13">
        <v>200</v>
      </c>
      <c r="I6" s="8"/>
      <c r="J6" s="8"/>
      <c r="K6" s="8"/>
      <c r="L6" s="8"/>
      <c r="M6" s="8"/>
      <c r="N6" s="8"/>
      <c r="O6" s="8"/>
      <c r="Q6" s="9" t="s">
        <v>39</v>
      </c>
      <c r="R6" s="9" t="s">
        <v>18</v>
      </c>
      <c r="AH6" s="9" t="s">
        <v>21</v>
      </c>
      <c r="AK6" s="9" t="s">
        <v>26</v>
      </c>
      <c r="BA6" s="9" t="s">
        <v>40</v>
      </c>
    </row>
    <row r="7" ht="15.75" customHeight="1">
      <c r="A7" s="8"/>
      <c r="B7" s="8"/>
      <c r="C7" s="8"/>
      <c r="D7" s="13" t="s">
        <v>16</v>
      </c>
      <c r="E7" s="8"/>
      <c r="F7" s="13" t="s">
        <v>17</v>
      </c>
      <c r="G7" s="13" t="s">
        <v>38</v>
      </c>
      <c r="H7" s="13">
        <v>500</v>
      </c>
      <c r="I7" s="8"/>
      <c r="J7" s="8"/>
      <c r="K7" s="8"/>
      <c r="L7" s="8"/>
      <c r="M7" s="8"/>
      <c r="N7" s="8"/>
      <c r="O7" s="8"/>
      <c r="Q7" s="9" t="s">
        <v>39</v>
      </c>
      <c r="R7" s="9" t="s">
        <v>20</v>
      </c>
      <c r="AH7" s="9" t="s">
        <v>19</v>
      </c>
      <c r="AK7" s="9" t="s">
        <v>26</v>
      </c>
      <c r="BA7" s="9" t="s">
        <v>40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9" t="s">
        <v>21</v>
      </c>
      <c r="M6" s="8"/>
      <c r="N6" s="8"/>
      <c r="O6" s="8"/>
      <c r="U6" s="9" t="s">
        <v>26</v>
      </c>
      <c r="AI6" s="13" t="s">
        <v>16</v>
      </c>
      <c r="AJ6" s="13" t="s">
        <v>17</v>
      </c>
      <c r="AK6" s="13" t="s">
        <v>38</v>
      </c>
      <c r="AL6" s="13">
        <v>200</v>
      </c>
      <c r="AM6" s="8"/>
      <c r="AS6" s="9" t="s">
        <v>39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9" t="s">
        <v>19</v>
      </c>
      <c r="M7" s="8"/>
      <c r="N7" s="8"/>
      <c r="O7" s="8"/>
      <c r="U7" s="9" t="s">
        <v>26</v>
      </c>
      <c r="AI7" s="13" t="s">
        <v>16</v>
      </c>
      <c r="AJ7" s="13" t="s">
        <v>17</v>
      </c>
      <c r="AK7" s="13" t="s">
        <v>38</v>
      </c>
      <c r="AL7" s="13">
        <v>500</v>
      </c>
      <c r="AM7" s="8"/>
      <c r="AS7" s="9" t="s">
        <v>39</v>
      </c>
      <c r="AT7" s="36" t="s">
        <v>20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M8" s="8"/>
      <c r="N8" s="8"/>
      <c r="O8" s="8"/>
      <c r="AI8" s="8"/>
      <c r="AJ8" s="8"/>
      <c r="AK8" s="8"/>
      <c r="AL8" s="8"/>
      <c r="AM8" s="8"/>
      <c r="AN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8"/>
      <c r="AJ9" s="8"/>
      <c r="AK9" s="8"/>
      <c r="AL9" s="8"/>
      <c r="AM9" s="8"/>
      <c r="AN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</v>
      </c>
      <c r="E6" s="31"/>
      <c r="F6" s="13" t="s">
        <v>18</v>
      </c>
      <c r="G6" s="8"/>
      <c r="H6" s="8"/>
      <c r="I6" s="8"/>
      <c r="J6" s="13">
        <v>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29</v>
      </c>
      <c r="D6" s="13"/>
      <c r="E6" s="13">
        <v>10</v>
      </c>
      <c r="F6" s="8"/>
      <c r="G6" s="8"/>
      <c r="H6" s="8"/>
      <c r="I6" s="13" t="s">
        <v>20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CreateOrderPTT1!$4:$4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38</v>
      </c>
      <c r="H6" s="13">
        <v>100</v>
      </c>
      <c r="I6" s="8"/>
      <c r="J6" s="8"/>
      <c r="K6" s="8"/>
      <c r="L6" s="8"/>
      <c r="M6" s="8"/>
      <c r="N6" s="8"/>
      <c r="O6" s="8"/>
      <c r="Q6" s="9" t="s">
        <v>39</v>
      </c>
      <c r="R6" s="9" t="s">
        <v>18</v>
      </c>
      <c r="AH6" s="9" t="s">
        <v>19</v>
      </c>
      <c r="BA6" s="9" t="s">
        <v>40</v>
      </c>
    </row>
    <row r="7" ht="15.75" customHeight="1">
      <c r="A7" s="8"/>
      <c r="B7" s="8"/>
      <c r="C7" s="8"/>
      <c r="D7" s="13" t="s">
        <v>16</v>
      </c>
      <c r="E7" s="8"/>
      <c r="F7" s="13" t="s">
        <v>17</v>
      </c>
      <c r="G7" s="13" t="s">
        <v>38</v>
      </c>
      <c r="H7" s="13">
        <v>200</v>
      </c>
      <c r="I7" s="8"/>
      <c r="J7" s="8"/>
      <c r="K7" s="8"/>
      <c r="L7" s="8"/>
      <c r="M7" s="8"/>
      <c r="N7" s="8"/>
      <c r="O7" s="8"/>
      <c r="Q7" s="9" t="s">
        <v>39</v>
      </c>
      <c r="R7" s="9" t="s">
        <v>20</v>
      </c>
      <c r="AH7" s="9" t="s">
        <v>21</v>
      </c>
      <c r="BA7" s="9" t="s">
        <v>40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MergeOrder1!$4:$4</formula1>
    </dataValidation>
  </dataValidations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33" t="s">
        <v>19</v>
      </c>
      <c r="M6" s="33"/>
      <c r="N6" s="8"/>
      <c r="O6" s="8"/>
      <c r="U6" s="9" t="s">
        <v>26</v>
      </c>
      <c r="AI6" s="13" t="s">
        <v>16</v>
      </c>
      <c r="AJ6" s="37" t="s">
        <v>17</v>
      </c>
      <c r="AK6" s="37" t="s">
        <v>38</v>
      </c>
      <c r="AL6" s="38">
        <v>100</v>
      </c>
      <c r="AS6" s="33" t="s">
        <v>39</v>
      </c>
      <c r="AT6" s="33" t="s">
        <v>18</v>
      </c>
      <c r="BH6" s="9" t="s">
        <v>43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34" t="s">
        <v>21</v>
      </c>
      <c r="M7" s="33"/>
      <c r="N7" s="8"/>
      <c r="O7" s="8"/>
      <c r="U7" s="9" t="s">
        <v>26</v>
      </c>
      <c r="AI7" s="13" t="s">
        <v>16</v>
      </c>
      <c r="AJ7" s="37" t="s">
        <v>17</v>
      </c>
      <c r="AK7" s="37" t="s">
        <v>38</v>
      </c>
      <c r="AL7" s="38">
        <v>200</v>
      </c>
      <c r="AS7" s="33" t="s">
        <v>39</v>
      </c>
      <c r="AT7" s="33" t="s">
        <v>20</v>
      </c>
      <c r="BH7" s="9" t="s">
        <v>43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33"/>
      <c r="M8" s="33"/>
      <c r="N8" s="8"/>
      <c r="O8" s="8"/>
      <c r="AJ8" s="33"/>
      <c r="AK8" s="33"/>
      <c r="AL8" s="33"/>
      <c r="AS8" s="33"/>
      <c r="AT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J9" s="33"/>
      <c r="AK9" s="33"/>
      <c r="AL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J10" s="33"/>
      <c r="AK10" s="33"/>
      <c r="AL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