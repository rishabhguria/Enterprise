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14" activeTab="16"/>
  </bookViews>
  <sheets>
    <sheet name="_Modules" sheetId="1" r:id="rId1"/>
    <sheet name="_Settings" sheetId="2" r:id="rId2"/>
    <sheet name="_MasterData" sheetId="3" r:id="rId3"/>
    <sheet name="CreateTransaction" sheetId="4" r:id="rId4"/>
    <sheet name="CreateDoneAwayOrder" sheetId="5" r:id="rId5"/>
    <sheet name="CreateLiveOrder" sheetId="6" r:id="rId6"/>
    <sheet name="GetDailyCash" sheetId="7" r:id="rId7"/>
    <sheet name="UpdateDailyCash" sheetId="8" r:id="rId8"/>
    <sheet name="PricingInput" sheetId="9" r:id="rId9"/>
    <sheet name="TradePTT" sheetId="10" r:id="rId10"/>
    <sheet name="CreateDoneAwayOrder1" sheetId="11" r:id="rId11"/>
    <sheet name="SelectTrade" sheetId="12" r:id="rId12"/>
    <sheet name="AcknowledgeTrade" sheetId="13" r:id="rId13"/>
    <sheet name="ExecuteTrade" sheetId="14" r:id="rId14"/>
    <sheet name="GetDataAllocation" sheetId="15" r:id="rId15"/>
    <sheet name="CheckAllocatedGroups" sheetId="16" r:id="rId16"/>
    <sheet name="UploadDropcopyFile" sheetId="17" r:id="rId17"/>
    <sheet name="CheckUnallocatedGroups" sheetId="18" r:id="rId18"/>
    <sheet name="GetDataAllocation1" sheetId="19" r:id="rId19"/>
  </sheets>
  <calcPr calcId="145621"/>
</workbook>
</file>

<file path=xl/calcChain.xml><?xml version="1.0" encoding="utf-8"?>
<calcChain xmlns="http://schemas.openxmlformats.org/spreadsheetml/2006/main">
  <c r="J2" i="19" l="1"/>
  <c r="J2" i="18"/>
  <c r="J2" i="17"/>
  <c r="J2" i="16"/>
  <c r="D6" i="15"/>
  <c r="J2" i="15"/>
  <c r="J2" i="14"/>
  <c r="J2" i="13"/>
  <c r="J2" i="12"/>
  <c r="J2" i="11"/>
  <c r="J2" i="10"/>
  <c r="J2" i="9"/>
  <c r="J2" i="8"/>
  <c r="C6" i="7"/>
  <c r="B6" i="7"/>
  <c r="J2" i="7"/>
  <c r="N6" i="6"/>
  <c r="J2" i="6"/>
  <c r="J2" i="5"/>
  <c r="I6" i="4"/>
  <c r="J2" i="4"/>
  <c r="R5" i="19"/>
  <c r="J5" i="19"/>
  <c r="B5" i="19"/>
  <c r="DK4" i="19"/>
  <c r="DC4" i="19"/>
  <c r="CU4" i="19"/>
  <c r="CM4" i="19"/>
  <c r="CE4" i="19"/>
  <c r="BW4" i="19"/>
  <c r="BO4" i="19"/>
  <c r="BG4" i="19"/>
  <c r="AY4" i="19"/>
  <c r="AQ4" i="19"/>
  <c r="AI4" i="19"/>
  <c r="AA4" i="19"/>
  <c r="S4" i="19"/>
  <c r="K4" i="19"/>
  <c r="C4" i="19"/>
  <c r="CL5" i="18"/>
  <c r="CD5" i="18"/>
  <c r="BV5" i="18"/>
  <c r="BN5" i="18"/>
  <c r="BF5" i="18"/>
  <c r="AX5" i="18"/>
  <c r="AP5" i="18"/>
  <c r="AH5" i="18"/>
  <c r="Z5" i="18"/>
  <c r="R5" i="18"/>
  <c r="J5" i="18"/>
  <c r="B5" i="18"/>
  <c r="DK4" i="18"/>
  <c r="DC4" i="18"/>
  <c r="CU4" i="18"/>
  <c r="CM4" i="18"/>
  <c r="CE4" i="18"/>
  <c r="BW4" i="18"/>
  <c r="BO4" i="18"/>
  <c r="BG4" i="18"/>
  <c r="AY4" i="18"/>
  <c r="AQ4" i="18"/>
  <c r="AI4" i="18"/>
  <c r="AA4" i="18"/>
  <c r="S4" i="18"/>
  <c r="K4" i="18"/>
  <c r="C4" i="18"/>
  <c r="CS5" i="16"/>
  <c r="CK5" i="16"/>
  <c r="CC5" i="16"/>
  <c r="BU5" i="16"/>
  <c r="BM5" i="16"/>
  <c r="BE5" i="16"/>
  <c r="AW5" i="16"/>
  <c r="AO5" i="16"/>
  <c r="AG5" i="16"/>
  <c r="Y5" i="16"/>
  <c r="Q5" i="16"/>
  <c r="I5" i="16"/>
  <c r="A5" i="16"/>
  <c r="DJ4" i="16"/>
  <c r="DB4" i="16"/>
  <c r="CT4" i="16"/>
  <c r="CL4" i="16"/>
  <c r="CD4" i="16"/>
  <c r="BV4" i="16"/>
  <c r="BN4" i="16"/>
  <c r="BF4" i="16"/>
  <c r="AX4" i="16"/>
  <c r="AP4" i="16"/>
  <c r="AH4" i="16"/>
  <c r="Z4" i="16"/>
  <c r="R4" i="16"/>
  <c r="J4" i="16"/>
  <c r="B4" i="16"/>
  <c r="M5" i="15"/>
  <c r="E5" i="15"/>
  <c r="DN4" i="15"/>
  <c r="DF4" i="15"/>
  <c r="CX4" i="15"/>
  <c r="CP4" i="15"/>
  <c r="CH4" i="15"/>
  <c r="BZ4" i="15"/>
  <c r="BR4" i="15"/>
  <c r="BJ4" i="15"/>
  <c r="BB4" i="15"/>
  <c r="AT4" i="15"/>
  <c r="AL4" i="15"/>
  <c r="AD4" i="15"/>
  <c r="V4" i="15"/>
  <c r="N4" i="15"/>
  <c r="F4" i="15"/>
  <c r="A5" i="14"/>
  <c r="C4" i="14"/>
  <c r="B5" i="13"/>
  <c r="D4" i="13"/>
  <c r="C5" i="12"/>
  <c r="E4" i="12"/>
  <c r="AM5" i="11"/>
  <c r="AE5" i="11"/>
  <c r="W5" i="11"/>
  <c r="O5" i="11"/>
  <c r="G5" i="11"/>
  <c r="Z4" i="11"/>
  <c r="R4" i="11"/>
  <c r="J4" i="11"/>
  <c r="B4" i="11"/>
  <c r="C5" i="10"/>
  <c r="L4" i="10"/>
  <c r="D4" i="10"/>
  <c r="P5" i="9"/>
  <c r="H5" i="9"/>
  <c r="E4" i="9"/>
  <c r="A5" i="8"/>
  <c r="Z4" i="8"/>
  <c r="R4" i="8"/>
  <c r="J4" i="8"/>
  <c r="B4" i="8"/>
  <c r="AF4" i="7"/>
  <c r="X4" i="7"/>
  <c r="P4" i="7"/>
  <c r="H4" i="7"/>
  <c r="Q5" i="19"/>
  <c r="I5" i="19"/>
  <c r="A5" i="19"/>
  <c r="DJ4" i="19"/>
  <c r="DB4" i="19"/>
  <c r="CT4" i="19"/>
  <c r="CL4" i="19"/>
  <c r="CD4" i="19"/>
  <c r="BV4" i="19"/>
  <c r="BN4" i="19"/>
  <c r="BF4" i="19"/>
  <c r="AX4" i="19"/>
  <c r="AP4" i="19"/>
  <c r="AH4" i="19"/>
  <c r="Z4" i="19"/>
  <c r="R4" i="19"/>
  <c r="J4" i="19"/>
  <c r="B4" i="19"/>
  <c r="CK5" i="18"/>
  <c r="CC5" i="18"/>
  <c r="BU5" i="18"/>
  <c r="BM5" i="18"/>
  <c r="BE5" i="18"/>
  <c r="AW5" i="18"/>
  <c r="AO5" i="18"/>
  <c r="AG5" i="18"/>
  <c r="Y5" i="18"/>
  <c r="Q5" i="18"/>
  <c r="I5" i="18"/>
  <c r="A5" i="18"/>
  <c r="DJ4" i="18"/>
  <c r="DB4" i="18"/>
  <c r="CT4" i="18"/>
  <c r="CL4" i="18"/>
  <c r="CD4" i="18"/>
  <c r="BV4" i="18"/>
  <c r="BN4" i="18"/>
  <c r="BF4" i="18"/>
  <c r="AX4" i="18"/>
  <c r="AP4" i="18"/>
  <c r="AH4" i="18"/>
  <c r="Z4" i="18"/>
  <c r="R4" i="18"/>
  <c r="J4" i="18"/>
  <c r="B4" i="18"/>
  <c r="CR5" i="16"/>
  <c r="CJ5" i="16"/>
  <c r="CB5" i="16"/>
  <c r="BT5" i="16"/>
  <c r="BL5" i="16"/>
  <c r="BD5" i="16"/>
  <c r="AV5" i="16"/>
  <c r="AN5" i="16"/>
  <c r="AF5" i="16"/>
  <c r="X5" i="16"/>
  <c r="P5" i="16"/>
  <c r="H5" i="16"/>
  <c r="DQ4" i="16"/>
  <c r="DI4" i="16"/>
  <c r="DA4" i="16"/>
  <c r="CS4" i="16"/>
  <c r="CK4" i="16"/>
  <c r="CC4" i="16"/>
  <c r="BU4" i="16"/>
  <c r="BM4" i="16"/>
  <c r="BE4" i="16"/>
  <c r="AW4" i="16"/>
  <c r="AO4" i="16"/>
  <c r="AG4" i="16"/>
  <c r="Y4" i="16"/>
  <c r="Q4" i="16"/>
  <c r="I4" i="16"/>
  <c r="P5" i="19"/>
  <c r="H5" i="19"/>
  <c r="DQ4" i="19"/>
  <c r="DI4" i="19"/>
  <c r="DA4" i="19"/>
  <c r="CS4" i="19"/>
  <c r="CK4" i="19"/>
  <c r="CC4" i="19"/>
  <c r="BU4" i="19"/>
  <c r="BM4" i="19"/>
  <c r="BE4" i="19"/>
  <c r="AW4" i="19"/>
  <c r="AO4" i="19"/>
  <c r="AG4" i="19"/>
  <c r="Y4" i="19"/>
  <c r="Q4" i="19"/>
  <c r="I4" i="19"/>
  <c r="O5" i="19"/>
  <c r="G5" i="19"/>
  <c r="DP4" i="19"/>
  <c r="DH4" i="19"/>
  <c r="CZ4" i="19"/>
  <c r="CR4" i="19"/>
  <c r="CJ4" i="19"/>
  <c r="CB4" i="19"/>
  <c r="BT4" i="19"/>
  <c r="BL4" i="19"/>
  <c r="BD4" i="19"/>
  <c r="AV4" i="19"/>
  <c r="AN4" i="19"/>
  <c r="AF4" i="19"/>
  <c r="X4" i="19"/>
  <c r="P4" i="19"/>
  <c r="H4" i="19"/>
  <c r="CQ5" i="18"/>
  <c r="CI5" i="18"/>
  <c r="CA5" i="18"/>
  <c r="BS5" i="18"/>
  <c r="BK5" i="18"/>
  <c r="BC5" i="18"/>
  <c r="AU5" i="18"/>
  <c r="AM5" i="18"/>
  <c r="AE5" i="18"/>
  <c r="W5" i="18"/>
  <c r="O5" i="18"/>
  <c r="G5" i="18"/>
  <c r="DP4" i="18"/>
  <c r="DH4" i="18"/>
  <c r="CZ4" i="18"/>
  <c r="CR4" i="18"/>
  <c r="CJ4" i="18"/>
  <c r="CB4" i="18"/>
  <c r="BT4" i="18"/>
  <c r="BL4" i="18"/>
  <c r="BD4" i="18"/>
  <c r="AV4" i="18"/>
  <c r="AN4" i="18"/>
  <c r="AF4" i="18"/>
  <c r="X4" i="18"/>
  <c r="P4" i="18"/>
  <c r="H4" i="18"/>
  <c r="C5" i="17"/>
  <c r="CP5" i="16"/>
  <c r="CH5" i="16"/>
  <c r="BZ5" i="16"/>
  <c r="BR5" i="16"/>
  <c r="BJ5" i="16"/>
  <c r="BB5" i="16"/>
  <c r="AT5" i="16"/>
  <c r="AL5" i="16"/>
  <c r="AD5" i="16"/>
  <c r="V5" i="16"/>
  <c r="N5" i="16"/>
  <c r="F5" i="16"/>
  <c r="DO4" i="16"/>
  <c r="DG4" i="16"/>
  <c r="CY4" i="16"/>
  <c r="CQ4" i="16"/>
  <c r="CI4" i="16"/>
  <c r="CA4" i="16"/>
  <c r="BS4" i="16"/>
  <c r="BK4" i="16"/>
  <c r="BC4" i="16"/>
  <c r="AU4" i="16"/>
  <c r="AM4" i="16"/>
  <c r="AE4" i="16"/>
  <c r="W4" i="16"/>
  <c r="O4" i="16"/>
  <c r="G4" i="16"/>
  <c r="R5" i="15"/>
  <c r="J5" i="15"/>
  <c r="B5" i="15"/>
  <c r="DK4" i="15"/>
  <c r="DC4" i="15"/>
  <c r="CU4" i="15"/>
  <c r="CM4" i="15"/>
  <c r="CE4" i="15"/>
  <c r="BW4" i="15"/>
  <c r="BO4" i="15"/>
  <c r="BG4" i="15"/>
  <c r="AY4" i="15"/>
  <c r="AQ4" i="15"/>
  <c r="AI4" i="15"/>
  <c r="AA4" i="15"/>
  <c r="S4" i="15"/>
  <c r="K4" i="15"/>
  <c r="C4" i="15"/>
  <c r="H4" i="14"/>
  <c r="G5" i="13"/>
  <c r="I4" i="13"/>
  <c r="N5" i="19"/>
  <c r="F5" i="19"/>
  <c r="DO4" i="19"/>
  <c r="DG4" i="19"/>
  <c r="CY4" i="19"/>
  <c r="CQ4" i="19"/>
  <c r="CI4" i="19"/>
  <c r="CA4" i="19"/>
  <c r="BS4" i="19"/>
  <c r="BK4" i="19"/>
  <c r="BC4" i="19"/>
  <c r="AU4" i="19"/>
  <c r="AM4" i="19"/>
  <c r="AE4" i="19"/>
  <c r="W4" i="19"/>
  <c r="O4" i="19"/>
  <c r="G4" i="19"/>
  <c r="CP5" i="18"/>
  <c r="CH5" i="18"/>
  <c r="BZ5" i="18"/>
  <c r="BR5" i="18"/>
  <c r="BJ5" i="18"/>
  <c r="BB5" i="18"/>
  <c r="AT5" i="18"/>
  <c r="AL5" i="18"/>
  <c r="AD5" i="18"/>
  <c r="V5" i="18"/>
  <c r="N5" i="18"/>
  <c r="F5" i="18"/>
  <c r="DO4" i="18"/>
  <c r="DG4" i="18"/>
  <c r="CY4" i="18"/>
  <c r="CQ4" i="18"/>
  <c r="CI4" i="18"/>
  <c r="CA4" i="18"/>
  <c r="BS4" i="18"/>
  <c r="BK4" i="18"/>
  <c r="BC4" i="18"/>
  <c r="AU4" i="18"/>
  <c r="AM4" i="18"/>
  <c r="AE4" i="18"/>
  <c r="W4" i="18"/>
  <c r="O4" i="18"/>
  <c r="G4" i="18"/>
  <c r="B5" i="17"/>
  <c r="CO5" i="16"/>
  <c r="CG5" i="16"/>
  <c r="BY5" i="16"/>
  <c r="BQ5" i="16"/>
  <c r="BI5" i="16"/>
  <c r="BA5" i="16"/>
  <c r="AS5" i="16"/>
  <c r="AK5" i="16"/>
  <c r="AC5" i="16"/>
  <c r="U5" i="16"/>
  <c r="M5" i="16"/>
  <c r="E5" i="16"/>
  <c r="DN4" i="16"/>
  <c r="DF4" i="16"/>
  <c r="CX4" i="16"/>
  <c r="CP4" i="16"/>
  <c r="CH4" i="16"/>
  <c r="BZ4" i="16"/>
  <c r="BR4" i="16"/>
  <c r="BJ4" i="16"/>
  <c r="BB4" i="16"/>
  <c r="AT4" i="16"/>
  <c r="AL4" i="16"/>
  <c r="AD4" i="16"/>
  <c r="V4" i="16"/>
  <c r="N4" i="16"/>
  <c r="F4" i="16"/>
  <c r="Q5" i="15"/>
  <c r="I5" i="15"/>
  <c r="A5" i="15"/>
  <c r="DJ4" i="15"/>
  <c r="DB4" i="15"/>
  <c r="CT4" i="15"/>
  <c r="CL4" i="15"/>
  <c r="CD4" i="15"/>
  <c r="BV4" i="15"/>
  <c r="BN4" i="15"/>
  <c r="BF4" i="15"/>
  <c r="AX4" i="15"/>
  <c r="AP4" i="15"/>
  <c r="AH4" i="15"/>
  <c r="Z4" i="15"/>
  <c r="R4" i="15"/>
  <c r="J4" i="15"/>
  <c r="B4" i="15"/>
  <c r="G4" i="14"/>
  <c r="F5" i="13"/>
  <c r="H4" i="13"/>
  <c r="G5" i="12"/>
  <c r="I4" i="12"/>
  <c r="M5" i="19"/>
  <c r="E5" i="19"/>
  <c r="DN4" i="19"/>
  <c r="DF4" i="19"/>
  <c r="CX4" i="19"/>
  <c r="CP4" i="19"/>
  <c r="CH4" i="19"/>
  <c r="BZ4" i="19"/>
  <c r="BR4" i="19"/>
  <c r="BJ4" i="19"/>
  <c r="BB4" i="19"/>
  <c r="AT4" i="19"/>
  <c r="AL4" i="19"/>
  <c r="AD4" i="19"/>
  <c r="V4" i="19"/>
  <c r="N4" i="19"/>
  <c r="F4" i="19"/>
  <c r="CO5" i="18"/>
  <c r="CG5" i="18"/>
  <c r="BY5" i="18"/>
  <c r="BQ5" i="18"/>
  <c r="BI5" i="18"/>
  <c r="BA5" i="18"/>
  <c r="AS5" i="18"/>
  <c r="AK5" i="18"/>
  <c r="AC5" i="18"/>
  <c r="U5" i="18"/>
  <c r="M5" i="18"/>
  <c r="E5" i="18"/>
  <c r="DN4" i="18"/>
  <c r="DF4" i="18"/>
  <c r="CX4" i="18"/>
  <c r="CP4" i="18"/>
  <c r="CH4" i="18"/>
  <c r="BZ4" i="18"/>
  <c r="BR4" i="18"/>
  <c r="BJ4" i="18"/>
  <c r="BB4" i="18"/>
  <c r="AT4" i="18"/>
  <c r="AL4" i="18"/>
  <c r="AD4" i="18"/>
  <c r="V4" i="18"/>
  <c r="N4" i="18"/>
  <c r="F4" i="18"/>
  <c r="A5" i="17"/>
  <c r="CN5" i="16"/>
  <c r="CF5" i="16"/>
  <c r="BX5" i="16"/>
  <c r="BP5" i="16"/>
  <c r="BH5" i="16"/>
  <c r="AZ5" i="16"/>
  <c r="AR5" i="16"/>
  <c r="AJ5" i="16"/>
  <c r="AB5" i="16"/>
  <c r="T5" i="16"/>
  <c r="L5" i="16"/>
  <c r="D5" i="16"/>
  <c r="DM4" i="16"/>
  <c r="DE4" i="16"/>
  <c r="CW4" i="16"/>
  <c r="CO4" i="16"/>
  <c r="CG4" i="16"/>
  <c r="BY4" i="16"/>
  <c r="BQ4" i="16"/>
  <c r="BI4" i="16"/>
  <c r="BA4" i="16"/>
  <c r="AS4" i="16"/>
  <c r="AK4" i="16"/>
  <c r="AC4" i="16"/>
  <c r="U4" i="16"/>
  <c r="M4" i="16"/>
  <c r="E4" i="16"/>
  <c r="P5" i="15"/>
  <c r="H5" i="15"/>
  <c r="DQ4" i="15"/>
  <c r="DI4" i="15"/>
  <c r="DA4" i="15"/>
  <c r="CS4" i="15"/>
  <c r="CK4" i="15"/>
  <c r="CC4" i="15"/>
  <c r="BU4" i="15"/>
  <c r="BM4" i="15"/>
  <c r="BE4" i="15"/>
  <c r="AW4" i="15"/>
  <c r="AO4" i="15"/>
  <c r="AG4" i="15"/>
  <c r="Y4" i="15"/>
  <c r="Q4" i="15"/>
  <c r="I4" i="15"/>
  <c r="F4" i="14"/>
  <c r="E5" i="13"/>
  <c r="G4" i="13"/>
  <c r="F5" i="12"/>
  <c r="H4" i="12"/>
  <c r="AP5" i="11"/>
  <c r="AH5" i="11"/>
  <c r="Z5" i="11"/>
  <c r="R5" i="11"/>
  <c r="J5" i="11"/>
  <c r="B5" i="11"/>
  <c r="U4" i="11"/>
  <c r="M4" i="11"/>
  <c r="E4" i="11"/>
  <c r="F5" i="10"/>
  <c r="O4" i="10"/>
  <c r="G4" i="10"/>
  <c r="S5" i="9"/>
  <c r="K5" i="9"/>
  <c r="C5" i="9"/>
  <c r="D5" i="8"/>
  <c r="AC4" i="8"/>
  <c r="U4" i="8"/>
  <c r="M4" i="8"/>
  <c r="E4" i="8"/>
  <c r="B5" i="7"/>
  <c r="AA4" i="7"/>
  <c r="S4" i="7"/>
  <c r="K4" i="7"/>
  <c r="C4" i="7"/>
  <c r="AJ5" i="6"/>
  <c r="AB5" i="6"/>
  <c r="T5" i="6"/>
  <c r="L5" i="6"/>
  <c r="D5" i="6"/>
  <c r="W4" i="6"/>
  <c r="O4" i="6"/>
  <c r="L5" i="19"/>
  <c r="D5" i="19"/>
  <c r="DM4" i="19"/>
  <c r="DE4" i="19"/>
  <c r="CW4" i="19"/>
  <c r="CO4" i="19"/>
  <c r="CG4" i="19"/>
  <c r="BY4" i="19"/>
  <c r="BQ4" i="19"/>
  <c r="BI4" i="19"/>
  <c r="BA4" i="19"/>
  <c r="AS4" i="19"/>
  <c r="AK4" i="19"/>
  <c r="AC4" i="19"/>
  <c r="U4" i="19"/>
  <c r="M4" i="19"/>
  <c r="E4" i="19"/>
  <c r="CN5" i="18"/>
  <c r="CF5" i="18"/>
  <c r="BX5" i="18"/>
  <c r="BP5" i="18"/>
  <c r="BH5" i="18"/>
  <c r="AZ5" i="18"/>
  <c r="AR5" i="18"/>
  <c r="AJ5" i="18"/>
  <c r="AB5" i="18"/>
  <c r="T5" i="18"/>
  <c r="L5" i="18"/>
  <c r="D5" i="18"/>
  <c r="DM4" i="18"/>
  <c r="DE4" i="18"/>
  <c r="CW4" i="18"/>
  <c r="CO4" i="18"/>
  <c r="CG4" i="18"/>
  <c r="BY4" i="18"/>
  <c r="BQ4" i="18"/>
  <c r="BI4" i="18"/>
  <c r="BA4" i="18"/>
  <c r="AS4" i="18"/>
  <c r="AK4" i="18"/>
  <c r="AC4" i="18"/>
  <c r="U4" i="18"/>
  <c r="M4" i="18"/>
  <c r="E4" i="18"/>
  <c r="B4" i="17"/>
  <c r="CM5" i="16"/>
  <c r="CE5" i="16"/>
  <c r="BW5" i="16"/>
  <c r="BO5" i="16"/>
  <c r="BG5" i="16"/>
  <c r="AY5" i="16"/>
  <c r="AQ5" i="16"/>
  <c r="AI5" i="16"/>
  <c r="AA5" i="16"/>
  <c r="S5" i="16"/>
  <c r="K5" i="16"/>
  <c r="C5" i="16"/>
  <c r="DL4" i="16"/>
  <c r="DD4" i="16"/>
  <c r="CV4" i="16"/>
  <c r="CN4" i="16"/>
  <c r="CF4" i="16"/>
  <c r="BX4" i="16"/>
  <c r="BP4" i="16"/>
  <c r="BH4" i="16"/>
  <c r="AZ4" i="16"/>
  <c r="AR4" i="16"/>
  <c r="AJ4" i="16"/>
  <c r="AB4" i="16"/>
  <c r="T4" i="16"/>
  <c r="L4" i="16"/>
  <c r="D4" i="16"/>
  <c r="O5" i="15"/>
  <c r="G5" i="15"/>
  <c r="DP4" i="15"/>
  <c r="DH4" i="15"/>
  <c r="CZ4" i="15"/>
  <c r="CR4" i="15"/>
  <c r="CJ4" i="15"/>
  <c r="CB4" i="15"/>
  <c r="BT4" i="15"/>
  <c r="BL4" i="15"/>
  <c r="BD4" i="15"/>
  <c r="AV4" i="15"/>
  <c r="AN4" i="15"/>
  <c r="AF4" i="15"/>
  <c r="X4" i="15"/>
  <c r="P4" i="15"/>
  <c r="H4" i="15"/>
  <c r="C5" i="14"/>
  <c r="E4" i="14"/>
  <c r="D5" i="13"/>
  <c r="F4" i="13"/>
  <c r="E5" i="12"/>
  <c r="G4" i="12"/>
  <c r="AO5" i="11"/>
  <c r="AG5" i="11"/>
  <c r="Y5" i="11"/>
  <c r="Q5" i="11"/>
  <c r="I5" i="11"/>
  <c r="A5" i="11"/>
  <c r="T4" i="11"/>
  <c r="L4" i="11"/>
  <c r="D4" i="11"/>
  <c r="E5" i="10"/>
  <c r="N4" i="10"/>
  <c r="F4" i="10"/>
  <c r="R5" i="9"/>
  <c r="J5" i="9"/>
  <c r="B5" i="9"/>
  <c r="C5" i="8"/>
  <c r="AB4" i="8"/>
  <c r="T4" i="8"/>
  <c r="L4" i="8"/>
  <c r="D4" i="8"/>
  <c r="A5" i="7"/>
  <c r="Z4" i="7"/>
  <c r="R4" i="7"/>
  <c r="J4" i="7"/>
  <c r="B4" i="7"/>
  <c r="AI5" i="6"/>
  <c r="AA5" i="6"/>
  <c r="S5" i="6"/>
  <c r="K5" i="6"/>
  <c r="C5" i="6"/>
  <c r="V4" i="6"/>
  <c r="N4" i="6"/>
  <c r="K5" i="19"/>
  <c r="C5" i="19"/>
  <c r="DL4" i="19"/>
  <c r="DD4" i="19"/>
  <c r="CV4" i="19"/>
  <c r="CN4" i="19"/>
  <c r="CF4" i="19"/>
  <c r="BX4" i="19"/>
  <c r="BP4" i="19"/>
  <c r="BH4" i="19"/>
  <c r="AZ4" i="19"/>
  <c r="AR4" i="19"/>
  <c r="AJ4" i="19"/>
  <c r="AB4" i="19"/>
  <c r="T4" i="19"/>
  <c r="L4" i="19"/>
  <c r="D4" i="19"/>
  <c r="CM5" i="18"/>
  <c r="CE5" i="18"/>
  <c r="BW5" i="18"/>
  <c r="BO5" i="18"/>
  <c r="BG5" i="18"/>
  <c r="AY5" i="18"/>
  <c r="AQ5" i="18"/>
  <c r="AI5" i="18"/>
  <c r="AA5" i="18"/>
  <c r="S5" i="18"/>
  <c r="K5" i="18"/>
  <c r="C5" i="18"/>
  <c r="DL4" i="18"/>
  <c r="DD4" i="18"/>
  <c r="CV4" i="18"/>
  <c r="CN4" i="18"/>
  <c r="CF4" i="18"/>
  <c r="BX4" i="18"/>
  <c r="BP4" i="18"/>
  <c r="BH4" i="18"/>
  <c r="AZ4" i="18"/>
  <c r="AR4" i="18"/>
  <c r="AJ4" i="18"/>
  <c r="AB4" i="18"/>
  <c r="T4" i="18"/>
  <c r="L4" i="18"/>
  <c r="D4" i="18"/>
  <c r="CJ5" i="18"/>
  <c r="X5" i="18"/>
  <c r="CC4" i="18"/>
  <c r="Q4" i="18"/>
  <c r="CA5" i="16"/>
  <c r="AU5" i="16"/>
  <c r="O5" i="16"/>
  <c r="CZ4" i="16"/>
  <c r="BT4" i="16"/>
  <c r="AN4" i="16"/>
  <c r="H4" i="16"/>
  <c r="D5" i="15"/>
  <c r="CY4" i="15"/>
  <c r="CF4" i="15"/>
  <c r="BI4" i="15"/>
  <c r="AM4" i="15"/>
  <c r="T4" i="15"/>
  <c r="B5" i="14"/>
  <c r="J4" i="13"/>
  <c r="J4" i="12"/>
  <c r="AK5" i="11"/>
  <c r="X5" i="11"/>
  <c r="L5" i="11"/>
  <c r="Y4" i="11"/>
  <c r="N4" i="11"/>
  <c r="I5" i="10"/>
  <c r="M4" i="10"/>
  <c r="G5" i="9"/>
  <c r="X4" i="8"/>
  <c r="K4" i="8"/>
  <c r="W4" i="7"/>
  <c r="L4" i="7"/>
  <c r="AN5" i="6"/>
  <c r="AD5" i="6"/>
  <c r="R5" i="6"/>
  <c r="H5" i="6"/>
  <c r="Y4" i="6"/>
  <c r="M4" i="6"/>
  <c r="E4" i="6"/>
  <c r="AM5" i="5"/>
  <c r="AE5" i="5"/>
  <c r="W5" i="5"/>
  <c r="O5" i="5"/>
  <c r="G5" i="5"/>
  <c r="Z4" i="5"/>
  <c r="R4" i="5"/>
  <c r="J4" i="5"/>
  <c r="B4" i="5"/>
  <c r="D5" i="4"/>
  <c r="C501" i="1"/>
  <c r="A499" i="1"/>
  <c r="B496" i="1"/>
  <c r="B493" i="1"/>
  <c r="C490" i="1"/>
  <c r="A488" i="1"/>
  <c r="B485" i="1"/>
  <c r="C482" i="1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CB5" i="18"/>
  <c r="P5" i="18"/>
  <c r="BU4" i="18"/>
  <c r="I4" i="18"/>
  <c r="BV5" i="16"/>
  <c r="AP5" i="16"/>
  <c r="J5" i="16"/>
  <c r="CU4" i="16"/>
  <c r="BO4" i="16"/>
  <c r="AI4" i="16"/>
  <c r="C4" i="16"/>
  <c r="C5" i="15"/>
  <c r="CW4" i="15"/>
  <c r="CA4" i="15"/>
  <c r="BH4" i="15"/>
  <c r="AK4" i="15"/>
  <c r="O4" i="15"/>
  <c r="J4" i="14"/>
  <c r="E4" i="13"/>
  <c r="F4" i="12"/>
  <c r="AJ5" i="11"/>
  <c r="V5" i="11"/>
  <c r="K5" i="11"/>
  <c r="X4" i="11"/>
  <c r="K4" i="11"/>
  <c r="H5" i="10"/>
  <c r="K4" i="10"/>
  <c r="T5" i="9"/>
  <c r="F5" i="9"/>
  <c r="B5" i="8"/>
  <c r="W4" i="8"/>
  <c r="I4" i="8"/>
  <c r="C5" i="7"/>
  <c r="V4" i="7"/>
  <c r="I4" i="7"/>
  <c r="AM5" i="6"/>
  <c r="AC5" i="6"/>
  <c r="Q5" i="6"/>
  <c r="G5" i="6"/>
  <c r="X4" i="6"/>
  <c r="L4" i="6"/>
  <c r="D4" i="6"/>
  <c r="AL5" i="5"/>
  <c r="AD5" i="5"/>
  <c r="V5" i="5"/>
  <c r="N5" i="5"/>
  <c r="F5" i="5"/>
  <c r="Y4" i="5"/>
  <c r="Q4" i="5"/>
  <c r="I4" i="5"/>
  <c r="C5" i="4"/>
  <c r="A4" i="3"/>
  <c r="B501" i="1"/>
  <c r="C498" i="1"/>
  <c r="A496" i="1"/>
  <c r="A493" i="1"/>
  <c r="B490" i="1"/>
  <c r="C487" i="1"/>
  <c r="A485" i="1"/>
  <c r="B482" i="1"/>
  <c r="C479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BT5" i="18"/>
  <c r="H5" i="18"/>
  <c r="BM4" i="18"/>
  <c r="BS5" i="16"/>
  <c r="AM5" i="16"/>
  <c r="G5" i="16"/>
  <c r="CR4" i="16"/>
  <c r="BL4" i="16"/>
  <c r="AF4" i="16"/>
  <c r="DO4" i="15"/>
  <c r="CV4" i="15"/>
  <c r="BY4" i="15"/>
  <c r="BC4" i="15"/>
  <c r="AJ4" i="15"/>
  <c r="M4" i="15"/>
  <c r="I4" i="14"/>
  <c r="C4" i="13"/>
  <c r="D4" i="12"/>
  <c r="AI5" i="11"/>
  <c r="U5" i="11"/>
  <c r="H5" i="11"/>
  <c r="W4" i="11"/>
  <c r="I4" i="11"/>
  <c r="G5" i="10"/>
  <c r="J4" i="10"/>
  <c r="Q5" i="9"/>
  <c r="E5" i="9"/>
  <c r="AG4" i="8"/>
  <c r="V4" i="8"/>
  <c r="H4" i="8"/>
  <c r="AG4" i="7"/>
  <c r="U4" i="7"/>
  <c r="G4" i="7"/>
  <c r="AL5" i="6"/>
  <c r="Z5" i="6"/>
  <c r="P5" i="6"/>
  <c r="F5" i="6"/>
  <c r="U4" i="6"/>
  <c r="K4" i="6"/>
  <c r="C4" i="6"/>
  <c r="AK5" i="5"/>
  <c r="AC5" i="5"/>
  <c r="U5" i="5"/>
  <c r="M5" i="5"/>
  <c r="E5" i="5"/>
  <c r="X4" i="5"/>
  <c r="P4" i="5"/>
  <c r="H4" i="5"/>
  <c r="B5" i="4"/>
  <c r="C503" i="1"/>
  <c r="A501" i="1"/>
  <c r="B498" i="1"/>
  <c r="C495" i="1"/>
  <c r="C492" i="1"/>
  <c r="A490" i="1"/>
  <c r="B487" i="1"/>
  <c r="C484" i="1"/>
  <c r="A482" i="1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BL5" i="18"/>
  <c r="DQ4" i="18"/>
  <c r="BE4" i="18"/>
  <c r="BN5" i="16"/>
  <c r="AH5" i="16"/>
  <c r="B5" i="16"/>
  <c r="CM4" i="16"/>
  <c r="BG4" i="16"/>
  <c r="AA4" i="16"/>
  <c r="DM4" i="15"/>
  <c r="CQ4" i="15"/>
  <c r="BX4" i="15"/>
  <c r="BA4" i="15"/>
  <c r="AE4" i="15"/>
  <c r="L4" i="15"/>
  <c r="D4" i="14"/>
  <c r="B4" i="13"/>
  <c r="C4" i="12"/>
  <c r="AF5" i="11"/>
  <c r="T5" i="11"/>
  <c r="F5" i="11"/>
  <c r="V4" i="11"/>
  <c r="H4" i="11"/>
  <c r="D5" i="10"/>
  <c r="I4" i="10"/>
  <c r="O5" i="9"/>
  <c r="D5" i="9"/>
  <c r="AF4" i="8"/>
  <c r="S4" i="8"/>
  <c r="G4" i="8"/>
  <c r="AE4" i="7"/>
  <c r="T4" i="7"/>
  <c r="F4" i="7"/>
  <c r="AK5" i="6"/>
  <c r="Y5" i="6"/>
  <c r="O5" i="6"/>
  <c r="E5" i="6"/>
  <c r="T4" i="6"/>
  <c r="J4" i="6"/>
  <c r="B4" i="6"/>
  <c r="AJ5" i="5"/>
  <c r="AB5" i="5"/>
  <c r="T5" i="5"/>
  <c r="L5" i="5"/>
  <c r="D5" i="5"/>
  <c r="W4" i="5"/>
  <c r="O4" i="5"/>
  <c r="G4" i="5"/>
  <c r="I5" i="4"/>
  <c r="A5" i="4"/>
  <c r="B503" i="1"/>
  <c r="C500" i="1"/>
  <c r="A498" i="1"/>
  <c r="B495" i="1"/>
  <c r="B492" i="1"/>
  <c r="C489" i="1"/>
  <c r="A487" i="1"/>
  <c r="B484" i="1"/>
  <c r="C481" i="1"/>
  <c r="A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D5" i="18"/>
  <c r="DI4" i="18"/>
  <c r="AW4" i="18"/>
  <c r="CQ5" i="16"/>
  <c r="BK5" i="16"/>
  <c r="AE5" i="16"/>
  <c r="DP4" i="16"/>
  <c r="CJ4" i="16"/>
  <c r="BD4" i="16"/>
  <c r="X4" i="16"/>
  <c r="N5" i="15"/>
  <c r="DL4" i="15"/>
  <c r="CO4" i="15"/>
  <c r="BS4" i="15"/>
  <c r="AZ4" i="15"/>
  <c r="AC4" i="15"/>
  <c r="G4" i="15"/>
  <c r="B4" i="14"/>
  <c r="B4" i="12"/>
  <c r="AD5" i="11"/>
  <c r="S5" i="11"/>
  <c r="E5" i="11"/>
  <c r="S4" i="11"/>
  <c r="G4" i="11"/>
  <c r="B5" i="10"/>
  <c r="H4" i="10"/>
  <c r="N5" i="9"/>
  <c r="A5" i="9"/>
  <c r="AE4" i="8"/>
  <c r="Q4" i="8"/>
  <c r="F4" i="8"/>
  <c r="AD4" i="7"/>
  <c r="Q4" i="7"/>
  <c r="E4" i="7"/>
  <c r="AH5" i="6"/>
  <c r="X5" i="6"/>
  <c r="N5" i="6"/>
  <c r="B5" i="6"/>
  <c r="S4" i="6"/>
  <c r="I4" i="6"/>
  <c r="AI5" i="5"/>
  <c r="AA5" i="5"/>
  <c r="S5" i="5"/>
  <c r="K5" i="5"/>
  <c r="C5" i="5"/>
  <c r="V4" i="5"/>
  <c r="N4" i="5"/>
  <c r="F4" i="5"/>
  <c r="H5" i="4"/>
  <c r="E4" i="4"/>
  <c r="A503" i="1"/>
  <c r="B500" i="1"/>
  <c r="C497" i="1"/>
  <c r="A495" i="1"/>
  <c r="A492" i="1"/>
  <c r="B489" i="1"/>
  <c r="C486" i="1"/>
  <c r="A484" i="1"/>
  <c r="B481" i="1"/>
  <c r="C478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V5" i="18"/>
  <c r="DA4" i="18"/>
  <c r="AO4" i="18"/>
  <c r="CL5" i="16"/>
  <c r="BF5" i="16"/>
  <c r="Z5" i="16"/>
  <c r="DK4" i="16"/>
  <c r="CE4" i="16"/>
  <c r="AY4" i="16"/>
  <c r="S4" i="16"/>
  <c r="L5" i="15"/>
  <c r="DG4" i="15"/>
  <c r="CN4" i="15"/>
  <c r="BQ4" i="15"/>
  <c r="AU4" i="15"/>
  <c r="AB4" i="15"/>
  <c r="E4" i="15"/>
  <c r="D5" i="12"/>
  <c r="AC5" i="11"/>
  <c r="P5" i="11"/>
  <c r="D5" i="11"/>
  <c r="Q4" i="11"/>
  <c r="F4" i="11"/>
  <c r="A5" i="10"/>
  <c r="E4" i="10"/>
  <c r="M5" i="9"/>
  <c r="D4" i="9"/>
  <c r="AD4" i="8"/>
  <c r="P4" i="8"/>
  <c r="C4" i="8"/>
  <c r="AC4" i="7"/>
  <c r="O4" i="7"/>
  <c r="D4" i="7"/>
  <c r="AG5" i="6"/>
  <c r="W5" i="6"/>
  <c r="M5" i="6"/>
  <c r="A5" i="6"/>
  <c r="R4" i="6"/>
  <c r="H4" i="6"/>
  <c r="AP5" i="5"/>
  <c r="AH5" i="5"/>
  <c r="Z5" i="5"/>
  <c r="R5" i="5"/>
  <c r="J5" i="5"/>
  <c r="B5" i="5"/>
  <c r="U4" i="5"/>
  <c r="M4" i="5"/>
  <c r="E4" i="5"/>
  <c r="G5" i="4"/>
  <c r="D4" i="4"/>
  <c r="C502" i="1"/>
  <c r="A500" i="1"/>
  <c r="B497" i="1"/>
  <c r="C494" i="1"/>
  <c r="C491" i="1"/>
  <c r="A489" i="1"/>
  <c r="B486" i="1"/>
  <c r="C483" i="1"/>
  <c r="A481" i="1"/>
  <c r="B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AN5" i="18"/>
  <c r="CS4" i="18"/>
  <c r="AG4" i="18"/>
  <c r="CI5" i="16"/>
  <c r="BC5" i="16"/>
  <c r="W5" i="16"/>
  <c r="DH4" i="16"/>
  <c r="CB4" i="16"/>
  <c r="AV4" i="16"/>
  <c r="P4" i="16"/>
  <c r="K5" i="15"/>
  <c r="DE4" i="15"/>
  <c r="CI4" i="15"/>
  <c r="BP4" i="15"/>
  <c r="AS4" i="15"/>
  <c r="W4" i="15"/>
  <c r="D4" i="15"/>
  <c r="C5" i="13"/>
  <c r="B5" i="12"/>
  <c r="AN5" i="11"/>
  <c r="AB5" i="11"/>
  <c r="N5" i="11"/>
  <c r="C5" i="11"/>
  <c r="P4" i="11"/>
  <c r="C4" i="11"/>
  <c r="Q4" i="10"/>
  <c r="C4" i="10"/>
  <c r="L5" i="9"/>
  <c r="C4" i="9"/>
  <c r="AA4" i="8"/>
  <c r="O4" i="8"/>
  <c r="AB4" i="7"/>
  <c r="N4" i="7"/>
  <c r="AF5" i="6"/>
  <c r="V5" i="6"/>
  <c r="J5" i="6"/>
  <c r="AA4" i="6"/>
  <c r="Q4" i="6"/>
  <c r="G4" i="6"/>
  <c r="AO5" i="5"/>
  <c r="AG5" i="5"/>
  <c r="Y5" i="5"/>
  <c r="Q5" i="5"/>
  <c r="I5" i="5"/>
  <c r="A5" i="5"/>
  <c r="T4" i="5"/>
  <c r="L4" i="5"/>
  <c r="D4" i="5"/>
  <c r="F5" i="4"/>
  <c r="C4" i="4"/>
  <c r="B502" i="1"/>
  <c r="C499" i="1"/>
  <c r="A497" i="1"/>
  <c r="B494" i="1"/>
  <c r="B491" i="1"/>
  <c r="C488" i="1"/>
  <c r="A486" i="1"/>
  <c r="B483" i="1"/>
  <c r="C480" i="1"/>
  <c r="A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AF5" i="18"/>
  <c r="CK4" i="18"/>
  <c r="Y4" i="18"/>
  <c r="CD5" i="16"/>
  <c r="AX5" i="16"/>
  <c r="R5" i="16"/>
  <c r="DC4" i="16"/>
  <c r="BW4" i="16"/>
  <c r="AQ4" i="16"/>
  <c r="K4" i="16"/>
  <c r="F5" i="15"/>
  <c r="DD4" i="15"/>
  <c r="CG4" i="15"/>
  <c r="BK4" i="15"/>
  <c r="AR4" i="15"/>
  <c r="U4" i="15"/>
  <c r="A5" i="13"/>
  <c r="A5" i="12"/>
  <c r="AL5" i="11"/>
  <c r="AA5" i="11"/>
  <c r="M5" i="11"/>
  <c r="AA4" i="11"/>
  <c r="O4" i="11"/>
  <c r="P4" i="10"/>
  <c r="B4" i="10"/>
  <c r="I5" i="9"/>
  <c r="B4" i="9"/>
  <c r="Y4" i="8"/>
  <c r="N4" i="8"/>
  <c r="Y4" i="7"/>
  <c r="M4" i="7"/>
  <c r="AE5" i="6"/>
  <c r="U5" i="6"/>
  <c r="I5" i="6"/>
  <c r="Z4" i="6"/>
  <c r="P4" i="6"/>
  <c r="F4" i="6"/>
  <c r="AN5" i="5"/>
  <c r="AF5" i="5"/>
  <c r="X5" i="5"/>
  <c r="P5" i="5"/>
  <c r="H5" i="5"/>
  <c r="AA4" i="5"/>
  <c r="S4" i="5"/>
  <c r="K4" i="5"/>
  <c r="C4" i="5"/>
  <c r="E5" i="4"/>
  <c r="B4" i="4"/>
  <c r="A502" i="1"/>
  <c r="B499" i="1"/>
  <c r="C496" i="1"/>
  <c r="A494" i="1"/>
  <c r="A491" i="1"/>
  <c r="B488" i="1"/>
  <c r="C485" i="1"/>
  <c r="A483" i="1"/>
  <c r="B480" i="1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</calcChain>
</file>

<file path=xl/sharedStrings.xml><?xml version="1.0" encoding="utf-8"?>
<sst xmlns="http://schemas.openxmlformats.org/spreadsheetml/2006/main" count="227" uniqueCount="63">
  <si>
    <t>Modules Info</t>
  </si>
  <si>
    <t>Modules</t>
  </si>
  <si>
    <t>Settings</t>
  </si>
  <si>
    <t>Module Step Setting File</t>
  </si>
  <si>
    <t>1A4nvUA70XV7nwLLy9uCdS62_PCdbRnANw708iN7WAuw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</si>
  <si>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</si>
  <si>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</si>
  <si>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</si>
  <si>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</si>
  <si>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</si>
  <si>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</si>
  <si>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</si>
  <si>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CreateTransaction</t>
  </si>
  <si>
    <t>Data Format</t>
  </si>
  <si>
    <t>Input Format</t>
  </si>
  <si>
    <t>AAPL</t>
  </si>
  <si>
    <t>Allocation1</t>
  </si>
  <si>
    <t>Buy</t>
  </si>
  <si>
    <t>TradingTicket</t>
  </si>
  <si>
    <t>CreateDoneAwayOrder</t>
  </si>
  <si>
    <t>MSFT</t>
  </si>
  <si>
    <t>CreateLiveOrder</t>
  </si>
  <si>
    <t>DailyValuation</t>
  </si>
  <si>
    <t>GetDailyCash</t>
  </si>
  <si>
    <t>UpdateDailyCash</t>
  </si>
  <si>
    <t>USD</t>
  </si>
  <si>
    <t>Allocation2</t>
  </si>
  <si>
    <t>PricingInput</t>
  </si>
  <si>
    <t>PTT</t>
  </si>
  <si>
    <t>TradePTT</t>
  </si>
  <si>
    <t>Increase</t>
  </si>
  <si>
    <t>Percentage</t>
  </si>
  <si>
    <t>No</t>
  </si>
  <si>
    <t>Account</t>
  </si>
  <si>
    <t>Simulator</t>
  </si>
  <si>
    <t>SelectTrade</t>
  </si>
  <si>
    <t>AcknowledgeTrade</t>
  </si>
  <si>
    <t>ExecuteTrade</t>
  </si>
  <si>
    <t>Allocation</t>
  </si>
  <si>
    <t>GetDataAllocation</t>
  </si>
  <si>
    <t>Historical</t>
  </si>
  <si>
    <t>CheckAllocatedGroups</t>
  </si>
  <si>
    <t>Equity</t>
  </si>
  <si>
    <t>APPLE</t>
  </si>
  <si>
    <t>NASDAQ</t>
  </si>
  <si>
    <t>M</t>
  </si>
  <si>
    <t>GCCAP1</t>
  </si>
  <si>
    <t>CreateTransactionUI</t>
  </si>
  <si>
    <t>US</t>
  </si>
  <si>
    <t>jpearce</t>
  </si>
  <si>
    <t>MICROSOFT INC</t>
  </si>
  <si>
    <t>FIX</t>
  </si>
  <si>
    <t>Dropcopy</t>
  </si>
  <si>
    <t>UploadDropcopyFile</t>
  </si>
  <si>
    <t>CheckUnallocatedGroups</t>
  </si>
  <si>
    <t>GS</t>
  </si>
  <si>
    <t>Open</t>
  </si>
  <si>
    <t>SAP AG SP.ADR</t>
  </si>
  <si>
    <t>NYSE</t>
  </si>
  <si>
    <t>Limit</t>
  </si>
  <si>
    <t>SAP</t>
  </si>
  <si>
    <t>Current</t>
  </si>
  <si>
    <t>\\192.168.2.108\DistributedAutomation_Master\Import Cases\Perfectt file.xls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</si>
</sst>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00"/>
    <numFmt numFmtId="165" formatCode="#,###,###,###,###,##0.00#############"/>
    <numFmt numFmtId="166" formatCode="#,##0.00000"/>
  </numFmts>
  <fonts count="18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222222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  <font>
      <sz val="8"/>
      <color rgb="FF000000"/>
      <name val="Calibri"/>
    </font>
    <font>
      <sz val="11"/>
      <color rgb="FF000000"/>
      <name val="Arial"/>
    </font>
    <font>
      <u/>
      <sz val="10"/>
      <color theme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67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7" fillId="4" borderId="0" xfId="0" applyFont="1" applyFill="1" applyAlignment="1"/>
    <xf numFmtId="0" fontId="4" fillId="3" borderId="4" xfId="0" applyFont="1" applyFill="1" applyBorder="1" applyAlignment="1"/>
    <xf numFmtId="0" fontId="5" fillId="0" borderId="0" xfId="0" applyFont="1" applyAlignment="1"/>
    <xf numFmtId="0" fontId="8" fillId="3" borderId="4" xfId="0" applyFont="1" applyFill="1" applyBorder="1" applyAlignment="1"/>
    <xf numFmtId="0" fontId="9" fillId="3" borderId="4" xfId="0" applyFont="1" applyFill="1" applyBorder="1" applyAlignment="1"/>
    <xf numFmtId="0" fontId="9" fillId="3" borderId="4" xfId="0" applyFont="1" applyFill="1" applyBorder="1" applyAlignment="1"/>
    <xf numFmtId="0" fontId="10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8" fillId="0" borderId="0" xfId="0" applyFont="1" applyAlignment="1"/>
    <xf numFmtId="0" fontId="4" fillId="3" borderId="0" xfId="0" applyFont="1" applyFill="1" applyAlignment="1"/>
    <xf numFmtId="0" fontId="8" fillId="3" borderId="4" xfId="0" applyFont="1" applyFill="1" applyBorder="1" applyAlignment="1"/>
    <xf numFmtId="0" fontId="11" fillId="3" borderId="0" xfId="0" applyFont="1" applyFill="1"/>
    <xf numFmtId="0" fontId="12" fillId="5" borderId="0" xfId="0" applyFont="1" applyFill="1" applyAlignment="1"/>
    <xf numFmtId="0" fontId="13" fillId="5" borderId="0" xfId="0" applyFont="1" applyFill="1"/>
    <xf numFmtId="0" fontId="4" fillId="6" borderId="0" xfId="0" applyFont="1" applyFill="1" applyAlignment="1"/>
    <xf numFmtId="0" fontId="4" fillId="6" borderId="4" xfId="0" applyFont="1" applyFill="1" applyBorder="1" applyAlignment="1"/>
    <xf numFmtId="0" fontId="4" fillId="6" borderId="4" xfId="0" applyFont="1" applyFill="1" applyBorder="1" applyAlignment="1"/>
    <xf numFmtId="0" fontId="11" fillId="6" borderId="0" xfId="0" applyFont="1" applyFill="1"/>
    <xf numFmtId="0" fontId="5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0" fontId="3" fillId="0" borderId="0" xfId="0" applyFont="1" applyAlignment="1"/>
    <xf numFmtId="14" fontId="5" fillId="0" borderId="0" xfId="0" applyNumberFormat="1" applyFont="1" applyAlignment="1">
      <alignment horizontal="right"/>
    </xf>
    <xf numFmtId="14" fontId="5" fillId="0" borderId="0" xfId="0" applyNumberFormat="1" applyFont="1" applyAlignment="1"/>
    <xf numFmtId="14" fontId="5" fillId="0" borderId="5" xfId="0" applyNumberFormat="1" applyFont="1" applyBorder="1" applyAlignment="1">
      <alignment horizontal="right"/>
    </xf>
    <xf numFmtId="0" fontId="5" fillId="0" borderId="0" xfId="0" applyFont="1" applyAlignment="1"/>
    <xf numFmtId="0" fontId="5" fillId="0" borderId="5" xfId="0" applyFont="1" applyBorder="1" applyAlignment="1"/>
    <xf numFmtId="0" fontId="5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/>
    <xf numFmtId="0" fontId="5" fillId="0" borderId="5" xfId="0" applyFont="1" applyBorder="1" applyAlignment="1">
      <alignment horizontal="right"/>
    </xf>
    <xf numFmtId="0" fontId="3" fillId="0" borderId="5" xfId="0" applyFont="1" applyBorder="1" applyAlignment="1"/>
    <xf numFmtId="0" fontId="5" fillId="0" borderId="5" xfId="0" applyFont="1" applyBorder="1" applyAlignment="1"/>
    <xf numFmtId="14" fontId="5" fillId="0" borderId="0" xfId="0" applyNumberFormat="1" applyFont="1" applyAlignment="1"/>
    <xf numFmtId="14" fontId="5" fillId="0" borderId="0" xfId="0" applyNumberFormat="1" applyFont="1" applyAlignment="1"/>
    <xf numFmtId="4" fontId="5" fillId="0" borderId="0" xfId="0" applyNumberFormat="1" applyFont="1" applyAlignment="1"/>
    <xf numFmtId="4" fontId="5" fillId="0" borderId="0" xfId="0" applyNumberFormat="1" applyFont="1" applyAlignment="1"/>
    <xf numFmtId="4" fontId="14" fillId="0" borderId="5" xfId="0" applyNumberFormat="1" applyFont="1" applyBorder="1" applyAlignment="1">
      <alignment horizontal="right"/>
    </xf>
    <xf numFmtId="4" fontId="14" fillId="0" borderId="5" xfId="0" applyNumberFormat="1" applyFont="1" applyBorder="1" applyAlignment="1"/>
    <xf numFmtId="4" fontId="2" fillId="0" borderId="0" xfId="0" applyNumberFormat="1" applyFont="1"/>
    <xf numFmtId="4" fontId="15" fillId="0" borderId="5" xfId="0" applyNumberFormat="1" applyFont="1" applyBorder="1" applyAlignment="1">
      <alignment horizontal="right"/>
    </xf>
    <xf numFmtId="4" fontId="16" fillId="0" borderId="0" xfId="0" applyNumberFormat="1" applyFont="1" applyAlignment="1">
      <alignment horizontal="right"/>
    </xf>
    <xf numFmtId="4" fontId="2" fillId="0" borderId="0" xfId="0" applyNumberFormat="1" applyFont="1" applyAlignment="1"/>
    <xf numFmtId="4" fontId="3" fillId="0" borderId="0" xfId="0" applyNumberFormat="1" applyFont="1" applyAlignment="1">
      <alignment horizontal="right"/>
    </xf>
    <xf numFmtId="4" fontId="3" fillId="0" borderId="0" xfId="0" applyNumberFormat="1" applyFont="1" applyAlignment="1"/>
    <xf numFmtId="4" fontId="15" fillId="0" borderId="0" xfId="0" applyNumberFormat="1" applyFont="1" applyAlignment="1"/>
    <xf numFmtId="4" fontId="16" fillId="0" borderId="0" xfId="0" applyNumberFormat="1" applyFont="1" applyAlignment="1"/>
    <xf numFmtId="4" fontId="16" fillId="0" borderId="5" xfId="0" applyNumberFormat="1" applyFont="1" applyBorder="1" applyAlignment="1">
      <alignment horizontal="right"/>
    </xf>
    <xf numFmtId="4" fontId="3" fillId="0" borderId="5" xfId="0" applyNumberFormat="1" applyFont="1" applyBorder="1" applyAlignment="1">
      <alignment horizontal="right"/>
    </xf>
    <xf numFmtId="4" fontId="3" fillId="0" borderId="5" xfId="0" applyNumberFormat="1" applyFont="1" applyBorder="1" applyAlignment="1"/>
    <xf numFmtId="164" fontId="2" fillId="0" borderId="0" xfId="0" applyNumberFormat="1" applyFont="1" applyAlignment="1"/>
    <xf numFmtId="165" fontId="14" fillId="0" borderId="0" xfId="0" applyNumberFormat="1" applyFont="1" applyAlignment="1">
      <alignment horizontal="right"/>
    </xf>
    <xf numFmtId="165" fontId="14" fillId="0" borderId="5" xfId="0" applyNumberFormat="1" applyFont="1" applyBorder="1" applyAlignment="1">
      <alignment horizontal="right"/>
    </xf>
    <xf numFmtId="166" fontId="2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  <xf numFmtId="0" fontId="17" fillId="0" borderId="5" xfId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hyperlink" Target="file:///\\192.168.2.108\DistributedAutomation_Master\Import%20Cases\Perfectt%20file.xls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62" t="s">
        <v>0</v>
      </c>
      <c r="B1" s="63"/>
      <c r="C1" s="63"/>
      <c r="D1" s="63"/>
      <c r="E1" s="63"/>
      <c r="F1" s="64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spans="1:3" ht="15.75" customHeight="1">
      <c r="A481" t="str">
        <f ca="1">IFERROR(__xludf.DUMMYFUNCTION("""COMPUTED_VALUE"""),"TradingTicket")</f>
        <v>TradingTicket</v>
      </c>
      <c r="B481" t="str">
        <f ca="1">IFERROR(__xludf.DUMMYFUNCTION("""COMPUTED_VALUE"""),"ImportSymbol")</f>
        <v>ImportSymbol</v>
      </c>
      <c r="C481" t="str">
        <f ca="1">IFERROR(__xludf.DUMMYFUNCTION("""COMPUTED_VALUE"""),"1UEKelK1NMdYtsfsyMcdva6Yft_Yr9G8cWbrfel-9MJU")</f>
        <v>1UEKelK1NMdYtsfsyMcdva6Yft_Yr9G8cWbrfel-9MJU</v>
      </c>
    </row>
    <row r="482" spans="1:3" ht="15.75" customHeight="1">
      <c r="A482" t="str">
        <f ca="1">IFERROR(__xludf.DUMMYFUNCTION("""COMPUTED_VALUE"""),"TradingTicket")</f>
        <v>TradingTicket</v>
      </c>
      <c r="B482" t="str">
        <f ca="1">IFERROR(__xludf.DUMMYFUNCTION("""COMPUTED_VALUE"""),"ExportSymbolFromRAList")</f>
        <v>ExportSymbolFromRAList</v>
      </c>
      <c r="C482" t="str">
        <f ca="1">IFERROR(__xludf.DUMMYFUNCTION("""COMPUTED_VALUE"""),"1MHwX_PBm9hsA0q8FgudciwiJIAk4mZvCR42Xpxx4sKs")</f>
        <v>1MHwX_PBm9hsA0q8FgudciwiJIAk4mZvCR42Xpxx4sKs</v>
      </c>
    </row>
    <row r="483" spans="1:3" ht="15.75" customHeight="1">
      <c r="A483" t="str">
        <f ca="1">IFERROR(__xludf.DUMMYFUNCTION("""COMPUTED_VALUE"""),"TradingTicket")</f>
        <v>TradingTicket</v>
      </c>
      <c r="B483" t="str">
        <f ca="1">IFERROR(__xludf.DUMMYFUNCTION("""COMPUTED_VALUE""")," CheckPendingNewOrderAlert")</f>
        <v xml:space="preserve"> CheckPendingNewOrderAlert</v>
      </c>
      <c r="C483" t="str">
        <f ca="1">IFERROR(__xludf.DUMMYFUNCTION("""COMPUTED_VALUE"""),"1t2KWd4MXhp0cc5GddRUoU75jESYZ8rvlBGDofapbzuI")</f>
        <v>1t2KWd4MXhp0cc5GddRUoU75jESYZ8rvlBGDofapbzuI</v>
      </c>
    </row>
    <row r="484" spans="1:3" ht="15.75" customHeight="1">
      <c r="A484" t="str">
        <f ca="1">IFERROR(__xludf.DUMMYFUNCTION("""COMPUTED_VALUE"""),"TradingTicket")</f>
        <v>TradingTicket</v>
      </c>
      <c r="B484" t="str">
        <f ca="1">IFERROR(__xludf.DUMMYFUNCTION("""COMPUTED_VALUE"""),"AddSymbolOnRAList")</f>
        <v>AddSymbolOnRAList</v>
      </c>
      <c r="C484" t="str">
        <f ca="1">IFERROR(__xludf.DUMMYFUNCTION("""COMPUTED_VALUE"""),"1mAGV09viuVWEe4eHRdp4TWIABKngOqrICWdKcXQy3uo")</f>
        <v>1mAGV09viuVWEe4eHRdp4TWIABKngOqrICWdKcXQy3uo</v>
      </c>
    </row>
    <row r="485" spans="1:3" ht="15.75" customHeight="1">
      <c r="A485" t="str">
        <f ca="1">IFERROR(__xludf.DUMMYFUNCTION("""COMPUTED_VALUE"""),"TradingTicket")</f>
        <v>TradingTicket</v>
      </c>
      <c r="B485" t="str">
        <f ca="1">IFERROR(__xludf.DUMMYFUNCTION("""COMPUTED_VALUE"""),"DeleteSymbolListFromRA")</f>
        <v>DeleteSymbolListFromRA</v>
      </c>
      <c r="C485" t="str">
        <f ca="1">IFERROR(__xludf.DUMMYFUNCTION("""COMPUTED_VALUE"""),"14dSZOTqRtu1tjIclv4ory70p3_NVBD4oZ8-Z0-kfJHo")</f>
        <v>14dSZOTqRtu1tjIclv4ory70p3_NVBD4oZ8-Z0-kfJHo</v>
      </c>
    </row>
    <row r="486" spans="1:3" ht="15.75" customHeight="1">
      <c r="A486" t="str">
        <f ca="1">IFERROR(__xludf.DUMMYFUNCTION("""COMPUTED_VALUE"""),"TradingTicket")</f>
        <v>TradingTicket</v>
      </c>
      <c r="B486" t="str">
        <f ca="1">IFERROR(__xludf.DUMMYFUNCTION("""COMPUTED_VALUE"""),"RemoveSymbolFromRAList")</f>
        <v>RemoveSymbolFromRAList</v>
      </c>
      <c r="C486" t="str">
        <f ca="1">IFERROR(__xludf.DUMMYFUNCTION("""COMPUTED_VALUE"""),"1esriqspMNcbGjPDPy2u7bJyQKd05b0Y9Sin8DcUfSEE")</f>
        <v>1esriqspMNcbGjPDPy2u7bJyQKd05b0Y9Sin8DcUfSEE</v>
      </c>
    </row>
    <row r="487" spans="1:3" ht="15.75" customHeight="1">
      <c r="A487" t="str">
        <f ca="1">IFERROR(__xludf.DUMMYFUNCTION("""COMPUTED_VALUE"""),"Report")</f>
        <v>Report</v>
      </c>
      <c r="B487" t="str">
        <f ca="1">IFERROR(__xludf.DUMMYFUNCTION("""COMPUTED_VALUE"""),"ReportMatching")</f>
        <v>ReportMatching</v>
      </c>
      <c r="C487" t="str">
        <f ca="1">IFERROR(__xludf.DUMMYFUNCTION("""COMPUTED_VALUE"""),"1IURT1smTM6q7aOlSfUxXb-piLEDNEFM-Z_rxNUweXqU")</f>
        <v>1IURT1smTM6q7aOlSfUxXb-piLEDNEFM-Z_rxNUweXqU</v>
      </c>
    </row>
    <row r="488" spans="1:3" ht="15.75" customHeight="1">
      <c r="A488" t="str">
        <f ca="1">IFERROR(__xludf.DUMMYFUNCTION("""COMPUTED_VALUE"""),"Admin")</f>
        <v>Admin</v>
      </c>
      <c r="B488" t="str">
        <f ca="1">IFERROR(__xludf.DUMMYFUNCTION("""COMPUTED_VALUE"""),"EnableBreakdownRealizedPNL")</f>
        <v>EnableBreakdownRealizedPNL</v>
      </c>
      <c r="C488" t="str">
        <f ca="1">IFERROR(__xludf.DUMMYFUNCTION("""COMPUTED_VALUE"""),"1MsdAMudFZTDN6c4GJMzmiY0zvgautsPJWcDY1jxOGP0")</f>
        <v>1MsdAMudFZTDN6c4GJMzmiY0zvgautsPJWcDY1jxOGP0</v>
      </c>
    </row>
    <row r="489" spans="1:3" ht="15.75" customHeight="1">
      <c r="A489" t="str">
        <f ca="1">IFERROR(__xludf.DUMMYFUNCTION("""COMPUTED_VALUE"""),"Admin")</f>
        <v>Admin</v>
      </c>
      <c r="B489" t="str">
        <f ca="1">IFERROR(__xludf.DUMMYFUNCTION("""COMPUTED_VALUE"""),"SetTTGeneralPreferences")</f>
        <v>SetTTGeneralPreferences</v>
      </c>
      <c r="C489" t="str">
        <f ca="1">IFERROR(__xludf.DUMMYFUNCTION("""COMPUTED_VALUE"""),"1VU4CqD-ZRcRyvM1M2otqULbHS-fnUmcO_NcgQMsS9rE")</f>
        <v>1VU4CqD-ZRcRyvM1M2otqULbHS-fnUmcO_NcgQMsS9rE</v>
      </c>
    </row>
    <row r="490" spans="1:3" ht="15.75" customHeight="1">
      <c r="A490" t="str">
        <f ca="1">IFERROR(__xludf.DUMMYFUNCTION("""COMPUTED_VALUE"""),"Blotter")</f>
        <v>Blotter</v>
      </c>
      <c r="B490" t="str">
        <f ca="1">IFERROR(__xludf.DUMMYFUNCTION("""COMPUTED_VALUE"""),"OpenBlotter")</f>
        <v>OpenBlotter</v>
      </c>
      <c r="C490" t="str">
        <f ca="1">IFERROR(__xludf.DUMMYFUNCTION("""COMPUTED_VALUE"""),"12ceIzEYIShy-_njSlPPAl07iNZK9EY7UC-GDAyLFzV4")</f>
        <v>12ceIzEYIShy-_njSlPPAl07iNZK9EY7UC-GDAyLFzV4</v>
      </c>
    </row>
    <row r="491" spans="1:3" ht="15.75" customHeight="1">
      <c r="A491" t="str">
        <f ca="1">IFERROR(__xludf.DUMMYFUNCTION("""COMPUTED_VALUE"""),"Blotter")</f>
        <v>Blotter</v>
      </c>
      <c r="B491" t="str">
        <f ca="1">IFERROR(__xludf.DUMMYFUNCTION("""COMPUTED_VALUE"""),"RemoveManualExecution")</f>
        <v>RemoveManualExecution</v>
      </c>
      <c r="C491" t="str">
        <f ca="1">IFERROR(__xludf.DUMMYFUNCTION("""COMPUTED_VALUE"""),"undefined")</f>
        <v>undefined</v>
      </c>
    </row>
    <row r="492" spans="1:3" ht="15.75" customHeight="1">
      <c r="A492" t="str">
        <f ca="1">IFERROR(__xludf.DUMMYFUNCTION("""COMPUTED_VALUE"""),"ExeExecutor")</f>
        <v>ExeExecutor</v>
      </c>
      <c r="B492" t="str">
        <f ca="1">IFERROR(__xludf.DUMMYFUNCTION("""COMPUTED_VALUE"""),"CallExeExecutor")</f>
        <v>CallExeExecutor</v>
      </c>
      <c r="C492" t="str">
        <f ca="1">IFERROR(__xludf.DUMMYFUNCTION("""COMPUTED_VALUE"""),"1hwFwcZT2KkLMWXu0X968AjDc83QETRSutmtdbAtWjRQ")</f>
        <v>1hwFwcZT2KkLMWXu0X968AjDc83QETRSutmtdbAtWjRQ</v>
      </c>
    </row>
    <row r="493" spans="1:3" ht="15.75" customHeight="1">
      <c r="A493" t="str">
        <f ca="1">IFERROR(__xludf.DUMMYFUNCTION("""COMPUTED_VALUE"""),"TradingTicket")</f>
        <v>TradingTicket</v>
      </c>
      <c r="B493" t="str">
        <f ca="1">IFERROR(__xludf.DUMMYFUNCTION("""COMPUTED_VALUE"""),"ToggleBlombergOnRA")</f>
        <v>ToggleBlombergOnRA</v>
      </c>
    </row>
    <row r="494" spans="1:3" ht="15.75" customHeight="1">
      <c r="A494" t="str">
        <f ca="1">IFERROR(__xludf.DUMMYFUNCTION("""COMPUTED_VALUE"""),"Dropcopy")</f>
        <v>Dropcopy</v>
      </c>
      <c r="B494" t="str">
        <f ca="1">IFERROR(__xludf.DUMMYFUNCTION("""COMPUTED_VALUE"""),"UploadDropcopyFile")</f>
        <v>UploadDropcopyFile</v>
      </c>
      <c r="C494" t="str">
        <f ca="1">IFERROR(__xludf.DUMMYFUNCTION("""COMPUTED_VALUE"""),"1W-fqHVGr66uN9zMhvO6QE-0fTnvoMIo31A_MC2VEFUY")</f>
        <v>1W-fqHVGr66uN9zMhvO6QE-0fTnvoMIo31A_MC2VEFUY</v>
      </c>
    </row>
    <row r="495" spans="1:3" ht="15.75" customHeight="1">
      <c r="A495" t="str">
        <f ca="1">IFERROR(__xludf.DUMMYFUNCTION("""COMPUTED_VALUE"""),"Blotter")</f>
        <v>Blotter</v>
      </c>
      <c r="B495" t="str">
        <f ca="1">IFERROR(__xludf.DUMMYFUNCTION("""COMPUTED_VALUE"""),"GetExecutionReportOrders")</f>
        <v>GetExecutionReportOrders</v>
      </c>
      <c r="C495" t="str">
        <f ca="1">IFERROR(__xludf.DUMMYFUNCTION("""COMPUTED_VALUE"""),"1hQPEUlOvv9Vi1KsbHsN6z0TIt4-v9Ckko9Z170M5bto")</f>
        <v>1hQPEUlOvv9Vi1KsbHsN6z0TIt4-v9Ckko9Z170M5bto</v>
      </c>
    </row>
    <row r="496" spans="1:3" ht="15.75" customHeight="1">
      <c r="A496" t="str">
        <f ca="1">IFERROR(__xludf.DUMMYFUNCTION("""COMPUTED_VALUE"""),"Blotter")</f>
        <v>Blotter</v>
      </c>
      <c r="B496" t="str">
        <f ca="1">IFERROR(__xludf.DUMMYFUNCTION("""COMPUTED_VALUE"""),"VerifyExecutionReport")</f>
        <v>VerifyExecutionReport</v>
      </c>
      <c r="C496" t="str">
        <f ca="1">IFERROR(__xludf.DUMMYFUNCTION("""COMPUTED_VALUE"""),"15sKQ6yRs5rA6j70FvZOyg9HBsLCsZF-psuPGXdEFJSg")</f>
        <v>15sKQ6yRs5rA6j70FvZOyg9HBsLCsZF-psuPGXdEFJSg</v>
      </c>
    </row>
    <row r="497" spans="1:3" ht="15.75" customHeight="1">
      <c r="A497" t="str">
        <f ca="1">IFERROR(__xludf.DUMMYFUNCTION("""COMPUTED_VALUE"""),"Admin")</f>
        <v>Admin</v>
      </c>
      <c r="B497" t="str">
        <f ca="1">IFERROR(__xludf.DUMMYFUNCTION("""COMPUTED_VALUE"""),"EnableDisableModule")</f>
        <v>EnableDisableModule</v>
      </c>
      <c r="C497" t="str">
        <f ca="1">IFERROR(__xludf.DUMMYFUNCTION("""COMPUTED_VALUE"""),"15tD_fIpFjzJbtr_OxvY-KeLg88908v4fXmpVzi9shPk")</f>
        <v>15tD_fIpFjzJbtr_OxvY-KeLg88908v4fXmpVzi9shPk</v>
      </c>
    </row>
    <row r="498" spans="1:3" ht="15.75" customHeight="1">
      <c r="A498" t="str">
        <f ca="1">IFERROR(__xludf.DUMMYFUNCTION("""COMPUTED_VALUE"""),"Compliance")</f>
        <v>Compliance</v>
      </c>
      <c r="B498" t="str">
        <f ca="1">IFERROR(__xludf.DUMMYFUNCTION("""COMPUTED_VALUE"""),"VerifyRowCalculationBaseWindow")</f>
        <v>VerifyRowCalculationBaseWindow</v>
      </c>
      <c r="C498" t="str">
        <f ca="1">IFERROR(__xludf.DUMMYFUNCTION("""COMPUTED_VALUE"""),"16bZAwMHOfN8bD2TadtVor3HvDM0dtF51XYU1iRUEXpQ")</f>
        <v>16bZAwMHOfN8bD2TadtVor3HvDM0dtF51XYU1iRUEXpQ</v>
      </c>
    </row>
    <row r="499" spans="1:3" ht="15.75" customHeight="1">
      <c r="A499" t="str">
        <f ca="1">IFERROR(__xludf.DUMMYFUNCTION("""COMPUTED_VALUE"""),"Admin")</f>
        <v>Admin</v>
      </c>
      <c r="B499" t="str">
        <f ca="1">IFERROR(__xludf.DUMMYFUNCTION("""COMPUTED_VALUE"""),"IsImportOverrideOnShortLocate")</f>
        <v>IsImportOverrideOnShortLocate</v>
      </c>
      <c r="C499" t="str">
        <f ca="1">IFERROR(__xludf.DUMMYFUNCTION("""COMPUTED_VALUE"""),"1HBroiXC_lXdWfzSFEUhcmVdGFqF-7ioRbfzMIhd-D84")</f>
        <v>1HBroiXC_lXdWfzSFEUhcmVdGFqF-7ioRbfzMIhd-D84</v>
      </c>
    </row>
    <row r="500" spans="1:3" ht="15.75" customHeight="1">
      <c r="A500" t="str">
        <f ca="1">IFERROR(__xludf.DUMMYFUNCTION("""COMPUTED_VALUE"""),"Admin")</f>
        <v>Admin</v>
      </c>
      <c r="B500" t="str">
        <f ca="1">IFERROR(__xludf.DUMMYFUNCTION("""COMPUTED_VALUE"""),"SetShortLocateStructures")</f>
        <v>SetShortLocateStructures</v>
      </c>
      <c r="C500" t="str">
        <f ca="1">IFERROR(__xludf.DUMMYFUNCTION("""COMPUTED_VALUE"""),"1GBfDhS1Qx5z0a-XwiuVZHmjNQQNldS_oLDTK5hBKigQ")</f>
        <v>1GBfDhS1Qx5z0a-XwiuVZHmjNQQNldS_oLDTK5hBKigQ</v>
      </c>
    </row>
    <row r="501" spans="1:3" ht="15.75" customHeight="1">
      <c r="A501" t="str">
        <f ca="1">IFERROR(__xludf.DUMMYFUNCTION("""COMPUTED_VALUE"""),"ShortLocate")</f>
        <v>ShortLocate</v>
      </c>
      <c r="B501" t="str">
        <f ca="1">IFERROR(__xludf.DUMMYFUNCTION("""COMPUTED_VALUE"""),"DownloadFile")</f>
        <v>DownloadFile</v>
      </c>
      <c r="C501" t="str">
        <f ca="1">IFERROR(__xludf.DUMMYFUNCTION("""COMPUTED_VALUE"""),"1C33h6u9nbxbc0Ij8SAALe10U-bitzt_AQkClLAmfans")</f>
        <v>1C33h6u9nbxbc0Ij8SAALe10U-bitzt_AQkClLAmfans</v>
      </c>
    </row>
    <row r="502" spans="1:3" ht="15.75" customHeight="1">
      <c r="A502" t="str">
        <f ca="1">IFERROR(__xludf.DUMMYFUNCTION("""COMPUTED_VALUE"""),"ShortLocate")</f>
        <v>ShortLocate</v>
      </c>
      <c r="B502" t="str">
        <f ca="1">IFERROR(__xludf.DUMMYFUNCTION("""COMPUTED_VALUE"""),"SearchShortLocateUI")</f>
        <v>SearchShortLocateUI</v>
      </c>
      <c r="C502" t="str">
        <f ca="1">IFERROR(__xludf.DUMMYFUNCTION("""COMPUTED_VALUE"""),"1LYgsVcCeDjfFd0czp2BHUCNhrmdgLKWUrkF_leE2jjo")</f>
        <v>1LYgsVcCeDjfFd0czp2BHUCNhrmdgLKWUrkF_leE2jjo</v>
      </c>
    </row>
    <row r="503" spans="1:3" ht="15.75" customHeight="1">
      <c r="A503" t="str">
        <f ca="1">IFERROR(__xludf.DUMMYFUNCTION("""COMPUTED_VALUE"""),"ShortLocate")</f>
        <v>ShortLocate</v>
      </c>
      <c r="B503" t="str">
        <f ca="1">IFERROR(__xludf.DUMMYFUNCTION("""COMPUTED_VALUE"""),"SetShortLocatePreferences")</f>
        <v>SetShortLocatePreferences</v>
      </c>
      <c r="C503" t="str">
        <f ca="1">IFERROR(__xludf.DUMMYFUNCTION("""COMPUTED_VALUE"""),"1Bb8XumY_W8vYN4wPCQjnCEQbJs1H7qhZYGScbFljlsE")</f>
        <v>1Bb8XumY_W8vYN4wPCQjnCEQbJs1H7qhZYGScbFljlsE</v>
      </c>
    </row>
    <row r="504" spans="1:3" ht="15.75" customHeight="1"/>
    <row r="505" spans="1:3" ht="15.75" customHeight="1"/>
    <row r="506" spans="1:3" ht="15.75" customHeight="1"/>
    <row r="507" spans="1:3" ht="15.75" customHeight="1"/>
    <row r="508" spans="1:3" ht="15.75" customHeight="1"/>
    <row r="509" spans="1:3" ht="15.75" customHeight="1"/>
    <row r="510" spans="1:3" ht="15.75" customHeight="1"/>
    <row r="511" spans="1:3" ht="15.75" customHeight="1"/>
    <row r="512" spans="1:3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65" t="s">
        <v>2</v>
      </c>
      <c r="B1" s="63"/>
      <c r="C1" s="64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9" t="s">
        <v>6</v>
      </c>
      <c r="C4" s="5"/>
    </row>
    <row r="5" spans="1:3" ht="15.75" customHeight="1">
      <c r="A5" s="10"/>
      <c r="B5" s="5"/>
      <c r="C5" s="5"/>
    </row>
    <row r="6" spans="1:3" ht="15.75" customHeight="1">
      <c r="A6" s="10"/>
      <c r="B6" s="5"/>
      <c r="C6" s="5"/>
    </row>
    <row r="7" spans="1:3" ht="15.75" customHeight="1">
      <c r="A7" s="10"/>
      <c r="B7" s="5"/>
      <c r="C7" s="5"/>
    </row>
    <row r="8" spans="1:3" ht="15.75" customHeight="1">
      <c r="A8" s="10"/>
      <c r="B8" s="5"/>
      <c r="C8" s="5"/>
    </row>
    <row r="9" spans="1:3" ht="15.75" customHeight="1">
      <c r="A9" s="10"/>
      <c r="B9" s="5"/>
      <c r="C9" s="5"/>
    </row>
    <row r="10" spans="1:3" ht="15.75" customHeight="1">
      <c r="A10" s="10"/>
      <c r="B10" s="5"/>
      <c r="C10" s="5"/>
    </row>
    <row r="11" spans="1:3" ht="15.75" customHeight="1">
      <c r="A11" s="10"/>
      <c r="B11" s="5"/>
      <c r="C11" s="5"/>
    </row>
    <row r="12" spans="1:3" ht="15.75" customHeight="1">
      <c r="A12" s="10"/>
      <c r="B12" s="5"/>
      <c r="C12" s="5"/>
    </row>
    <row r="13" spans="1:3" ht="15.75" customHeight="1">
      <c r="A13" s="10"/>
      <c r="B13" s="5"/>
      <c r="C13" s="5"/>
    </row>
    <row r="14" spans="1:3" ht="15.75" customHeight="1">
      <c r="A14" s="10"/>
      <c r="B14" s="5"/>
      <c r="C14" s="5"/>
    </row>
    <row r="15" spans="1:3" ht="15.75" customHeight="1">
      <c r="A15" s="10"/>
      <c r="B15" s="5"/>
      <c r="C15" s="5"/>
    </row>
    <row r="16" spans="1:3" ht="15.75" customHeight="1">
      <c r="A16" s="10"/>
      <c r="B16" s="5"/>
      <c r="C16" s="5"/>
    </row>
    <row r="17" spans="1:3" ht="15.75" customHeight="1">
      <c r="A17" s="10"/>
      <c r="B17" s="5"/>
      <c r="C17" s="5"/>
    </row>
    <row r="18" spans="1:3" ht="15.75" customHeight="1">
      <c r="A18" s="10"/>
      <c r="B18" s="5"/>
      <c r="C18" s="5"/>
    </row>
    <row r="19" spans="1:3" ht="15.75" customHeight="1">
      <c r="A19" s="10"/>
      <c r="B19" s="5"/>
      <c r="C19" s="5"/>
    </row>
    <row r="20" spans="1:3" ht="15.75" customHeight="1">
      <c r="A20" s="10"/>
      <c r="B20" s="5"/>
      <c r="C20" s="5"/>
    </row>
    <row r="21" spans="1:3" ht="15.75" customHeight="1">
      <c r="A21" s="10"/>
      <c r="B21" s="5"/>
      <c r="C21" s="5"/>
    </row>
    <row r="22" spans="1:3" ht="15.75" customHeight="1">
      <c r="A22" s="10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62" t="s">
        <v>7</v>
      </c>
      <c r="B1" s="63"/>
      <c r="C1" s="63"/>
      <c r="D1" s="63"/>
      <c r="E1" s="63"/>
      <c r="F1" s="64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1" t="s">
        <v>9</v>
      </c>
      <c r="C3" s="11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62" t="s">
        <v>11</v>
      </c>
      <c r="C1" s="63"/>
      <c r="D1" s="63"/>
      <c r="E1" s="63"/>
      <c r="F1" s="63"/>
      <c r="G1" s="63"/>
      <c r="H1" s="6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12</v>
      </c>
      <c r="D3" s="2" t="s">
        <v>9</v>
      </c>
      <c r="E3" s="18" t="s">
        <v>12</v>
      </c>
      <c r="F3" s="2" t="s">
        <v>13</v>
      </c>
      <c r="G3" s="10" t="s">
        <v>14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IFERROR(__xludf.DUMMYFUNCTION("IF(C3="""","""",Transpose(IMPORTRANGE('_Settings'!$B$3,C3&amp;""!A4:A1000"")))"),"CreateTransaction")</f>
        <v>CreateTransaction</v>
      </c>
      <c r="C4" s="20" t="str">
        <f ca="1">IFERROR(__xludf.DUMMYFUNCTION("""COMPUTED_VALUE"""),"AddNewTransaction")</f>
        <v>AddNewTransaction</v>
      </c>
      <c r="D4" s="20" t="str">
        <f ca="1">IFERROR(__xludf.DUMMYFUNCTION("""COMPUTED_VALUE"""),"SaveTransaction")</f>
        <v>SaveTransaction</v>
      </c>
      <c r="E4" s="20" t="str">
        <f ca="1">IFERROR(__xludf.DUMMYFUNCTION("""COMPUTED_VALUE"""),"CreateTransaction")</f>
        <v>CreateTransaction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IFERROR(__xludf.DUMMYFUNCTION("""COMPUTED_VALUE"""),"Account")</f>
        <v>Account</v>
      </c>
      <c r="D5" s="23" t="str">
        <f ca="1">IFERROR(__xludf.DUMMYFUNCTION("""COMPUTED_VALUE"""),"Side")</f>
        <v>Side</v>
      </c>
      <c r="E5" s="23" t="str">
        <f ca="1">IFERROR(__xludf.DUMMYFUNCTION("""COMPUTED_VALUE"""),"Quantity")</f>
        <v>Quantity</v>
      </c>
      <c r="F5" s="24" t="str">
        <f ca="1">IFERROR(__xludf.DUMMYFUNCTION("""COMPUTED_VALUE"""),"Executed Quantity")</f>
        <v>Executed Quantity</v>
      </c>
      <c r="G5" s="23" t="str">
        <f ca="1">IFERROR(__xludf.DUMMYFUNCTION("""COMPUTED_VALUE"""),"Average Price")</f>
        <v>Average Price</v>
      </c>
      <c r="H5" s="23" t="str">
        <f ca="1">IFERROR(__xludf.DUMMYFUNCTION("""COMPUTED_VALUE"""),"Commission")</f>
        <v>Commission</v>
      </c>
      <c r="I5" s="23" t="str">
        <f ca="1">IFERROR(__xludf.DUMMYFUNCTION("""COMPUTED_VALUE"""),"Trade Date")</f>
        <v>Trade Date</v>
      </c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26" t="s">
        <v>15</v>
      </c>
      <c r="C6" s="27" t="s">
        <v>16</v>
      </c>
      <c r="D6" s="26" t="s">
        <v>17</v>
      </c>
      <c r="E6" s="28">
        <v>200</v>
      </c>
      <c r="F6" s="28"/>
      <c r="G6" s="28">
        <v>20</v>
      </c>
      <c r="H6" s="29"/>
      <c r="I6" s="30">
        <f ca="1">TODAY()</f>
        <v>44574</v>
      </c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62" t="s">
        <v>11</v>
      </c>
      <c r="C1" s="63"/>
      <c r="D1" s="63"/>
      <c r="E1" s="63"/>
      <c r="F1" s="63"/>
      <c r="G1" s="63"/>
      <c r="H1" s="6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18</v>
      </c>
      <c r="D3" s="2" t="s">
        <v>9</v>
      </c>
      <c r="E3" s="18" t="s">
        <v>19</v>
      </c>
      <c r="F3" s="2" t="s">
        <v>13</v>
      </c>
      <c r="G3" s="10" t="s">
        <v>14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IFERROR(__xludf.DUMMYFUNCTION("""COMPUTED_VALUE"""),"RemoveSymbolFromRAList")</f>
        <v>RemoveSymbolFromRAList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IFERROR(__xludf.DUMMYFUNCTION("""COMPUTED_VALUE"""),"ChkBoxBookAsSwap")</f>
        <v>ChkBoxBookAsSwap</v>
      </c>
      <c r="AO5" s="25" t="str">
        <f ca="1">IFERROR(__xludf.DUMMYFUNCTION("""COMPUTED_VALUE"""),"PopUpQuantity")</f>
        <v>PopUpQuantity</v>
      </c>
      <c r="AP5" s="25" t="str">
        <f ca="1">IFERROR(__xludf.DUMMYFUNCTION("""COMPUTED_VALUE"""),"ShortLocate")</f>
        <v>ShortLocate</v>
      </c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20</v>
      </c>
      <c r="C6" s="9" t="s">
        <v>17</v>
      </c>
      <c r="D6" s="9">
        <v>100</v>
      </c>
      <c r="E6" s="9">
        <v>100</v>
      </c>
      <c r="F6" s="9" t="s">
        <v>16</v>
      </c>
      <c r="G6" s="5"/>
      <c r="H6" s="5"/>
      <c r="I6" s="5"/>
      <c r="J6" s="9">
        <v>10</v>
      </c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62" t="s">
        <v>11</v>
      </c>
      <c r="C1" s="63"/>
      <c r="D1" s="63"/>
      <c r="E1" s="63"/>
      <c r="F1" s="63"/>
      <c r="G1" s="63"/>
      <c r="H1" s="6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18</v>
      </c>
      <c r="D3" s="2" t="s">
        <v>9</v>
      </c>
      <c r="E3" s="18" t="s">
        <v>21</v>
      </c>
      <c r="F3" s="2" t="s">
        <v>13</v>
      </c>
      <c r="G3" s="10" t="s">
        <v>14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IFERROR(__xludf.DUMMYFUNCTION("""COMPUTED_VALUE"""),"RemoveSymbolFromRAList")</f>
        <v>RemoveSymbolFromRAList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IFERROR(__xludf.DUMMYFUNCTION("""COMPUTED_VALUE"""),"EditOrder")</f>
        <v>EditOrder</v>
      </c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15</v>
      </c>
      <c r="C6" s="9" t="s">
        <v>17</v>
      </c>
      <c r="D6" s="9">
        <v>250</v>
      </c>
      <c r="E6" s="9">
        <v>250</v>
      </c>
      <c r="F6" s="9" t="s">
        <v>16</v>
      </c>
      <c r="G6" s="5"/>
      <c r="H6" s="5"/>
      <c r="I6" s="5"/>
      <c r="J6" s="9">
        <v>25</v>
      </c>
      <c r="K6" s="5"/>
      <c r="L6" s="5"/>
      <c r="M6" s="5"/>
      <c r="N6" s="31">
        <f ca="1">TODAY()</f>
        <v>44574</v>
      </c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62" t="s">
        <v>11</v>
      </c>
      <c r="C1" s="63"/>
      <c r="D1" s="63"/>
      <c r="E1" s="63"/>
      <c r="F1" s="63"/>
      <c r="G1" s="63"/>
      <c r="H1" s="6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22</v>
      </c>
      <c r="D3" s="2" t="s">
        <v>9</v>
      </c>
      <c r="E3" s="18" t="s">
        <v>23</v>
      </c>
      <c r="F3" s="2" t="s">
        <v>13</v>
      </c>
      <c r="G3" s="10" t="s">
        <v>14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IFERROR(__xludf.DUMMYFUNCTION("IF(C3="""","""",Transpose(IMPORTRANGE('_Settings'!$B$3,C3&amp;""!A4:A1000"")))"),"UpdateBeta")</f>
        <v>UpdateBeta</v>
      </c>
      <c r="C4" s="20" t="str">
        <f ca="1">IFERROR(__xludf.DUMMYFUNCTION("""COMPUTED_VALUE"""),"UpdateDailyCash")</f>
        <v>UpdateDailyCash</v>
      </c>
      <c r="D4" s="20" t="str">
        <f ca="1">IFERROR(__xludf.DUMMYFUNCTION("""COMPUTED_VALUE"""),"UpdateForexConversion")</f>
        <v>UpdateForexConversion</v>
      </c>
      <c r="E4" s="20" t="str">
        <f ca="1">IFERROR(__xludf.DUMMYFUNCTION("""COMPUTED_VALUE"""),"UpdateMarkPrice")</f>
        <v>UpdateMarkPrice</v>
      </c>
      <c r="F4" s="20" t="str">
        <f ca="1">IFERROR(__xludf.DUMMYFUNCTION("""COMPUTED_VALUE"""),"CleanUp")</f>
        <v>CleanUp</v>
      </c>
      <c r="G4" s="20" t="str">
        <f ca="1">IFERROR(__xludf.DUMMYFUNCTION("""COMPUTED_VALUE"""),"GetMarkPriceData")</f>
        <v>GetMarkPriceData</v>
      </c>
      <c r="H4" s="20" t="str">
        <f ca="1">IFERROR(__xludf.DUMMYFUNCTION("""COMPUTED_VALUE"""),"GetForwardPoints")</f>
        <v>GetForwardPoints</v>
      </c>
      <c r="I4" s="20" t="str">
        <f ca="1">IFERROR(__xludf.DUMMYFUNCTION("""COMPUTED_VALUE"""),"UpdateForwardPoints")</f>
        <v>UpdateForwardPoints</v>
      </c>
      <c r="J4" s="20" t="str">
        <f ca="1">IFERROR(__xludf.DUMMYFUNCTION("""COMPUTED_VALUE"""),"GetForexConversion")</f>
        <v>GetForexConversion</v>
      </c>
      <c r="K4" s="20" t="str">
        <f ca="1">IFERROR(__xludf.DUMMYFUNCTION("""COMPUTED_VALUE"""),"DeleteNAV")</f>
        <v>DeleteNAV</v>
      </c>
      <c r="L4" s="20" t="str">
        <f ca="1">IFERROR(__xludf.DUMMYFUNCTION("""COMPUTED_VALUE"""),"GetDailyCash")</f>
        <v>GetDailyCash</v>
      </c>
      <c r="M4" s="20" t="str">
        <f ca="1">IFERROR(__xludf.DUMMYFUNCTION("""COMPUTED_VALUE"""),"GetDailyBeta")</f>
        <v>GetDailyBeta</v>
      </c>
      <c r="N4" s="20" t="str">
        <f ca="1">IFERROR(__xludf.DUMMYFUNCTION("""COMPUTED_VALUE"""),"GetDailyVolatility")</f>
        <v>GetDailyVolatility</v>
      </c>
      <c r="O4" s="20" t="str">
        <f ca="1">IFERROR(__xludf.DUMMYFUNCTION("""COMPUTED_VALUE"""),"GetDailyDividendYield")</f>
        <v>GetDailyDividendYield</v>
      </c>
      <c r="P4" s="21" t="str">
        <f ca="1">IFERROR(__xludf.DUMMYFUNCTION("""COMPUTED_VALUE"""),"GetDailyTradingVolume")</f>
        <v>GetDailyTradingVolume</v>
      </c>
      <c r="Q4" s="21" t="str">
        <f ca="1">IFERROR(__xludf.DUMMYFUNCTION("""COMPUTED_VALUE"""),"GetDailyOutstandings")</f>
        <v>GetDailyOutstandings</v>
      </c>
      <c r="R4" s="21" t="str">
        <f ca="1">IFERROR(__xludf.DUMMYFUNCTION("""COMPUTED_VALUE"""),"GetDailyDelta")</f>
        <v>GetDailyDelta</v>
      </c>
      <c r="S4" s="21" t="str">
        <f ca="1">IFERROR(__xludf.DUMMYFUNCTION("""COMPUTED_VALUE"""),"UpdateDailyVolatility")</f>
        <v>UpdateDailyVolatility</v>
      </c>
      <c r="T4" s="21" t="str">
        <f ca="1">IFERROR(__xludf.DUMMYFUNCTION("""COMPUTED_VALUE"""),"UpdateDividendYield")</f>
        <v>UpdateDividendYield</v>
      </c>
      <c r="U4" s="21" t="str">
        <f ca="1">IFERROR(__xludf.DUMMYFUNCTION("""COMPUTED_VALUE"""),"UpdateTradingVolume")</f>
        <v>UpdateTradingVolume</v>
      </c>
      <c r="V4" s="21" t="str">
        <f ca="1">IFERROR(__xludf.DUMMYFUNCTION("""COMPUTED_VALUE"""),"UpdateDailyDelta")</f>
        <v>UpdateDailyDelta</v>
      </c>
      <c r="W4" s="21" t="str">
        <f ca="1">IFERROR(__xludf.DUMMYFUNCTION("""COMPUTED_VALUE"""),"UpdateDailyOutstandings")</f>
        <v>UpdateDailyOutstandings</v>
      </c>
      <c r="X4" s="21" t="str">
        <f ca="1">IFERROR(__xludf.DUMMYFUNCTION("""COMPUTED_VALUE"""),"UpdateBeta")</f>
        <v>UpdateBeta</v>
      </c>
      <c r="Y4" s="21" t="str">
        <f ca="1">IFERROR(__xludf.DUMMYFUNCTION("""COMPUTED_VALUE"""),"UpdateNAV")</f>
        <v>UpdateNAV</v>
      </c>
      <c r="Z4" s="21" t="str">
        <f ca="1">IFERROR(__xludf.DUMMYFUNCTION("""COMPUTED_VALUE"""),"UpdateDailyCash")</f>
        <v>UpdateDailyCash</v>
      </c>
      <c r="AA4" s="21" t="str">
        <f ca="1">IFERROR(__xludf.DUMMYFUNCTION("""COMPUTED_VALUE"""),"UpdateDailyCreditLimt")</f>
        <v>UpdateDailyCreditLimt</v>
      </c>
      <c r="AB4" s="21" t="str">
        <f ca="1">IFERROR(__xludf.DUMMYFUNCTION("""COMPUTED_VALUE"""),"RemoveDailyCreditLimit")</f>
        <v>RemoveDailyCreditLimit</v>
      </c>
      <c r="AC4" s="21" t="str">
        <f ca="1">IFERROR(__xludf.DUMMYFUNCTION("""COMPUTED_VALUE"""),"RemoveDailyCash")</f>
        <v>RemoveDailyCash</v>
      </c>
      <c r="AD4" s="21" t="str">
        <f ca="1">IFERROR(__xludf.DUMMYFUNCTION("""COMPUTED_VALUE"""),"RemoveNAV")</f>
        <v>RemoveNAV</v>
      </c>
      <c r="AE4" s="21" t="str">
        <f ca="1">IFERROR(__xludf.DUMMYFUNCTION("""COMPUTED_VALUE"""),"UpdateForexConversionMonthly")</f>
        <v>UpdateForexConversionMonthly</v>
      </c>
      <c r="AF4" s="21" t="str">
        <f ca="1">IFERROR(__xludf.DUMMYFUNCTION("""COMPUTED_VALUE"""),"UpdateMarkPriceMonthly")</f>
        <v>UpdateMarkPriceMonthly</v>
      </c>
      <c r="AG4" s="21" t="str">
        <f ca="1">IFERROR(__xludf.DUMMYFUNCTION("""COMPUTED_VALUE"""),"VerifyDailyCash")</f>
        <v>VerifyDailyCash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IFERROR(__xludf.DUMMYFUNCTION("""COMPUTED_VALUE"""),"Select Date")</f>
        <v>Select Date</v>
      </c>
      <c r="C5" s="23" t="str">
        <f ca="1">IFERROR(__xludf.DUMMYFUNCTION("""COMPUTED_VALUE"""),"Copy From")</f>
        <v>Copy From</v>
      </c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2">
        <f t="shared" ref="B6:C6" ca="1" si="0">TODAY()-1</f>
        <v>44573</v>
      </c>
      <c r="C6" s="32">
        <f t="shared" ca="1" si="0"/>
        <v>44573</v>
      </c>
      <c r="D6" s="9"/>
      <c r="E6" s="33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62" t="s">
        <v>11</v>
      </c>
      <c r="C1" s="63"/>
      <c r="D1" s="63"/>
      <c r="E1" s="63"/>
      <c r="F1" s="63"/>
      <c r="G1" s="63"/>
      <c r="H1" s="6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22</v>
      </c>
      <c r="D3" s="2" t="s">
        <v>9</v>
      </c>
      <c r="E3" s="18" t="s">
        <v>24</v>
      </c>
      <c r="F3" s="2" t="s">
        <v>13</v>
      </c>
      <c r="G3" s="10" t="s">
        <v>14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IFERROR(__xludf.DUMMYFUNCTION("IF(C3="""","""",Transpose(IMPORTRANGE('_Settings'!$B$3,C3&amp;""!A4:A1000"")))"),"UpdateBeta")</f>
        <v>UpdateBeta</v>
      </c>
      <c r="C4" s="20" t="str">
        <f ca="1">IFERROR(__xludf.DUMMYFUNCTION("""COMPUTED_VALUE"""),"UpdateDailyCash")</f>
        <v>UpdateDailyCash</v>
      </c>
      <c r="D4" s="20" t="str">
        <f ca="1">IFERROR(__xludf.DUMMYFUNCTION("""COMPUTED_VALUE"""),"UpdateForexConversion")</f>
        <v>UpdateForexConversion</v>
      </c>
      <c r="E4" s="20" t="str">
        <f ca="1">IFERROR(__xludf.DUMMYFUNCTION("""COMPUTED_VALUE"""),"UpdateMarkPrice")</f>
        <v>UpdateMarkPrice</v>
      </c>
      <c r="F4" s="20" t="str">
        <f ca="1">IFERROR(__xludf.DUMMYFUNCTION("""COMPUTED_VALUE"""),"CleanUp")</f>
        <v>CleanUp</v>
      </c>
      <c r="G4" s="20" t="str">
        <f ca="1">IFERROR(__xludf.DUMMYFUNCTION("""COMPUTED_VALUE"""),"GetMarkPriceData")</f>
        <v>GetMarkPriceData</v>
      </c>
      <c r="H4" s="20" t="str">
        <f ca="1">IFERROR(__xludf.DUMMYFUNCTION("""COMPUTED_VALUE"""),"GetForwardPoints")</f>
        <v>GetForwardPoints</v>
      </c>
      <c r="I4" s="20" t="str">
        <f ca="1">IFERROR(__xludf.DUMMYFUNCTION("""COMPUTED_VALUE"""),"UpdateForwardPoints")</f>
        <v>UpdateForwardPoints</v>
      </c>
      <c r="J4" s="20" t="str">
        <f ca="1">IFERROR(__xludf.DUMMYFUNCTION("""COMPUTED_VALUE"""),"GetForexConversion")</f>
        <v>GetForexConversion</v>
      </c>
      <c r="K4" s="20" t="str">
        <f ca="1">IFERROR(__xludf.DUMMYFUNCTION("""COMPUTED_VALUE"""),"DeleteNAV")</f>
        <v>DeleteNAV</v>
      </c>
      <c r="L4" s="20" t="str">
        <f ca="1">IFERROR(__xludf.DUMMYFUNCTION("""COMPUTED_VALUE"""),"GetDailyCash")</f>
        <v>GetDailyCash</v>
      </c>
      <c r="M4" s="20" t="str">
        <f ca="1">IFERROR(__xludf.DUMMYFUNCTION("""COMPUTED_VALUE"""),"GetDailyBeta")</f>
        <v>GetDailyBeta</v>
      </c>
      <c r="N4" s="20" t="str">
        <f ca="1">IFERROR(__xludf.DUMMYFUNCTION("""COMPUTED_VALUE"""),"GetDailyVolatility")</f>
        <v>GetDailyVolatility</v>
      </c>
      <c r="O4" s="20" t="str">
        <f ca="1">IFERROR(__xludf.DUMMYFUNCTION("""COMPUTED_VALUE"""),"GetDailyDividendYield")</f>
        <v>GetDailyDividendYield</v>
      </c>
      <c r="P4" s="21" t="str">
        <f ca="1">IFERROR(__xludf.DUMMYFUNCTION("""COMPUTED_VALUE"""),"GetDailyTradingVolume")</f>
        <v>GetDailyTradingVolume</v>
      </c>
      <c r="Q4" s="21" t="str">
        <f ca="1">IFERROR(__xludf.DUMMYFUNCTION("""COMPUTED_VALUE"""),"GetDailyOutstandings")</f>
        <v>GetDailyOutstandings</v>
      </c>
      <c r="R4" s="21" t="str">
        <f ca="1">IFERROR(__xludf.DUMMYFUNCTION("""COMPUTED_VALUE"""),"GetDailyDelta")</f>
        <v>GetDailyDelta</v>
      </c>
      <c r="S4" s="21" t="str">
        <f ca="1">IFERROR(__xludf.DUMMYFUNCTION("""COMPUTED_VALUE"""),"UpdateDailyVolatility")</f>
        <v>UpdateDailyVolatility</v>
      </c>
      <c r="T4" s="21" t="str">
        <f ca="1">IFERROR(__xludf.DUMMYFUNCTION("""COMPUTED_VALUE"""),"UpdateDividendYield")</f>
        <v>UpdateDividendYield</v>
      </c>
      <c r="U4" s="21" t="str">
        <f ca="1">IFERROR(__xludf.DUMMYFUNCTION("""COMPUTED_VALUE"""),"UpdateTradingVolume")</f>
        <v>UpdateTradingVolume</v>
      </c>
      <c r="V4" s="21" t="str">
        <f ca="1">IFERROR(__xludf.DUMMYFUNCTION("""COMPUTED_VALUE"""),"UpdateDailyDelta")</f>
        <v>UpdateDailyDelta</v>
      </c>
      <c r="W4" s="21" t="str">
        <f ca="1">IFERROR(__xludf.DUMMYFUNCTION("""COMPUTED_VALUE"""),"UpdateDailyOutstandings")</f>
        <v>UpdateDailyOutstandings</v>
      </c>
      <c r="X4" s="21" t="str">
        <f ca="1">IFERROR(__xludf.DUMMYFUNCTION("""COMPUTED_VALUE"""),"UpdateBeta")</f>
        <v>UpdateBeta</v>
      </c>
      <c r="Y4" s="21" t="str">
        <f ca="1">IFERROR(__xludf.DUMMYFUNCTION("""COMPUTED_VALUE"""),"UpdateNAV")</f>
        <v>UpdateNAV</v>
      </c>
      <c r="Z4" s="21" t="str">
        <f ca="1">IFERROR(__xludf.DUMMYFUNCTION("""COMPUTED_VALUE"""),"UpdateDailyCash")</f>
        <v>UpdateDailyCash</v>
      </c>
      <c r="AA4" s="21" t="str">
        <f ca="1">IFERROR(__xludf.DUMMYFUNCTION("""COMPUTED_VALUE"""),"UpdateDailyCreditLimt")</f>
        <v>UpdateDailyCreditLimt</v>
      </c>
      <c r="AB4" s="21" t="str">
        <f ca="1">IFERROR(__xludf.DUMMYFUNCTION("""COMPUTED_VALUE"""),"RemoveDailyCreditLimit")</f>
        <v>RemoveDailyCreditLimit</v>
      </c>
      <c r="AC4" s="21" t="str">
        <f ca="1">IFERROR(__xludf.DUMMYFUNCTION("""COMPUTED_VALUE"""),"RemoveDailyCash")</f>
        <v>RemoveDailyCash</v>
      </c>
      <c r="AD4" s="21" t="str">
        <f ca="1">IFERROR(__xludf.DUMMYFUNCTION("""COMPUTED_VALUE"""),"RemoveNAV")</f>
        <v>RemoveNAV</v>
      </c>
      <c r="AE4" s="21" t="str">
        <f ca="1">IFERROR(__xludf.DUMMYFUNCTION("""COMPUTED_VALUE"""),"UpdateForexConversionMonthly")</f>
        <v>UpdateForexConversionMonthly</v>
      </c>
      <c r="AF4" s="21" t="str">
        <f ca="1">IFERROR(__xludf.DUMMYFUNCTION("""COMPUTED_VALUE"""),"UpdateMarkPriceMonthly")</f>
        <v>UpdateMarkPriceMonthly</v>
      </c>
      <c r="AG4" s="21" t="str">
        <f ca="1">IFERROR(__xludf.DUMMYFUNCTION("""COMPUTED_VALUE"""),"VerifyDailyCash")</f>
        <v>VerifyDailyCash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IFERROR(__xludf.DUMMYFUNCTION("""COMPUTED_VALUE"""),"Account")</f>
        <v>Account</v>
      </c>
      <c r="C5" s="23" t="str">
        <f ca="1">IFERROR(__xludf.DUMMYFUNCTION("""COMPUTED_VALUE"""),"Local Currency")</f>
        <v>Local Currency</v>
      </c>
      <c r="D5" s="23" t="str">
        <f ca="1">IFERROR(__xludf.DUMMYFUNCTION("""COMPUTED_VALUE"""),"Cash Value Local")</f>
        <v>Cash Value Local</v>
      </c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4" t="s">
        <v>16</v>
      </c>
      <c r="C6" s="35" t="s">
        <v>25</v>
      </c>
      <c r="D6" s="36">
        <v>10000</v>
      </c>
      <c r="E6" s="33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27" t="s">
        <v>26</v>
      </c>
      <c r="C7" s="27" t="s">
        <v>25</v>
      </c>
      <c r="D7" s="28">
        <v>20000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62" t="s">
        <v>11</v>
      </c>
      <c r="C1" s="63"/>
      <c r="D1" s="63"/>
      <c r="E1" s="63"/>
      <c r="F1" s="63"/>
      <c r="G1" s="63"/>
      <c r="H1" s="6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27</v>
      </c>
      <c r="D3" s="2" t="s">
        <v>9</v>
      </c>
      <c r="E3" s="18" t="s">
        <v>27</v>
      </c>
      <c r="F3" s="2" t="s">
        <v>13</v>
      </c>
      <c r="G3" s="10" t="s">
        <v>14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IFERROR(__xludf.DUMMYFUNCTION("IF(C3="""","""",Transpose(IMPORTRANGE('_Settings'!$B$3,C3&amp;""!A4:A1000"")))"),"PricingInput")</f>
        <v>PricingInput</v>
      </c>
      <c r="C4" s="20" t="str">
        <f ca="1">IFERROR(__xludf.DUMMYFUNCTION("""COMPUTED_VALUE"""),"UpdateSharesOutstanding")</f>
        <v>UpdateSharesOutstanding</v>
      </c>
      <c r="D4" s="20" t="str">
        <f ca="1">IFERROR(__xludf.DUMMYFUNCTION("""COMPUTED_VALUE"""),"EODTPreferences")</f>
        <v>EODTPreferences</v>
      </c>
      <c r="E4" s="20" t="str">
        <f ca="1">IFERROR(__xludf.DUMMYFUNCTION("""COMPUTED_VALUE"""),"LiveData")</f>
        <v>LiveData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IFERROR(__xludf.DUMMYFUNCTION("""COMPUTED_VALUE"""),"User Px")</f>
        <v>User Px</v>
      </c>
      <c r="D5" s="23" t="str">
        <f ca="1">IFERROR(__xludf.DUMMYFUNCTION("""COMPUTED_VALUE"""),"Asset Class")</f>
        <v>Asset Class</v>
      </c>
      <c r="E5" s="23" t="str">
        <f ca="1">IFERROR(__xludf.DUMMYFUNCTION("""COMPUTED_VALUE"""),"Volatility(%)")</f>
        <v>Volatility(%)</v>
      </c>
      <c r="F5" s="24" t="str">
        <f ca="1">IFERROR(__xludf.DUMMYFUNCTION("""COMPUTED_VALUE"""),"Historical Volatility")</f>
        <v>Historical Volatility</v>
      </c>
      <c r="G5" s="23" t="str">
        <f ca="1">IFERROR(__xludf.DUMMYFUNCTION("""COMPUTED_VALUE"""),"User Volatility")</f>
        <v>User Volatility</v>
      </c>
      <c r="H5" s="23" t="str">
        <f ca="1">IFERROR(__xludf.DUMMYFUNCTION("""COMPUTED_VALUE"""),"Interest Rate")</f>
        <v>Interest Rate</v>
      </c>
      <c r="I5" s="23" t="str">
        <f ca="1">IFERROR(__xludf.DUMMYFUNCTION("""COMPUTED_VALUE"""),"User Interest Rate")</f>
        <v>User Interest Rate</v>
      </c>
      <c r="J5" s="23" t="str">
        <f ca="1">IFERROR(__xludf.DUMMYFUNCTION("""COMPUTED_VALUE"""),"Dividend Yield")</f>
        <v>Dividend Yield</v>
      </c>
      <c r="K5" s="23" t="str">
        <f ca="1">IFERROR(__xludf.DUMMYFUNCTION("""COMPUTED_VALUE"""),"User Dividend Yield")</f>
        <v>User Dividend Yield</v>
      </c>
      <c r="L5" s="23" t="str">
        <f ca="1">IFERROR(__xludf.DUMMYFUNCTION("""COMPUTED_VALUE"""),"Actual Delta")</f>
        <v>Actual Delta</v>
      </c>
      <c r="M5" s="23" t="str">
        <f ca="1">IFERROR(__xludf.DUMMYFUNCTION("""COMPUTED_VALUE"""),"User Delta")</f>
        <v>User Delta</v>
      </c>
      <c r="N5" s="23" t="str">
        <f ca="1">IFERROR(__xludf.DUMMYFUNCTION("""COMPUTED_VALUE"""),"Selected Px")</f>
        <v>Selected Px</v>
      </c>
      <c r="O5" s="23" t="str">
        <f ca="1">IFERROR(__xludf.DUMMYFUNCTION("""COMPUTED_VALUE"""),"Forward Points")</f>
        <v>Forward Points</v>
      </c>
      <c r="P5" s="23" t="str">
        <f ca="1">IFERROR(__xludf.DUMMYFUNCTION("""COMPUTED_VALUE"""),"Shares Outstanding")</f>
        <v>Shares Outstanding</v>
      </c>
      <c r="Q5" s="23" t="str">
        <f ca="1">IFERROR(__xludf.DUMMYFUNCTION("""COMPUTED_VALUE"""),"User Shares Outstanding")</f>
        <v>User Shares Outstanding</v>
      </c>
      <c r="R5" s="23" t="str">
        <f ca="1">IFERROR(__xludf.DUMMYFUNCTION("""COMPUTED_VALUE"""),"LastPriceUsed")</f>
        <v>LastPriceUsed</v>
      </c>
      <c r="S5" s="23" t="str">
        <f ca="1">IFERROR(__xludf.DUMMYFUNCTION("""COMPUTED_VALUE"""),"VolatilityUsed")</f>
        <v>VolatilityUsed</v>
      </c>
      <c r="T5" s="25" t="str">
        <f ca="1">IFERROR(__xludf.DUMMYFUNCTION("""COMPUTED_VALUE"""),"IntRateUsed")</f>
        <v>IntRateUsed</v>
      </c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20</v>
      </c>
      <c r="C6" s="9">
        <v>10</v>
      </c>
      <c r="D6" s="9"/>
      <c r="E6" s="33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62" t="s">
        <v>11</v>
      </c>
      <c r="C1" s="63"/>
      <c r="D1" s="63"/>
      <c r="E1" s="63"/>
      <c r="F1" s="63"/>
      <c r="G1" s="63"/>
      <c r="H1" s="6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28</v>
      </c>
      <c r="D3" s="2" t="s">
        <v>9</v>
      </c>
      <c r="E3" s="18" t="s">
        <v>29</v>
      </c>
      <c r="F3" s="2" t="s">
        <v>13</v>
      </c>
      <c r="G3" s="10" t="s">
        <v>14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IFERROR(__xludf.DUMMYFUNCTION("IF(C3="""","""",Transpose(IMPORTRANGE('_Settings'!$B$3,C3&amp;""!A4:A1000"")))"),"CalculatePTT")</f>
        <v>CalculatePTT</v>
      </c>
      <c r="C4" s="20" t="str">
        <f ca="1">IFERROR(__xludf.DUMMYFUNCTION("""COMPUTED_VALUE"""),"TradeUsingPTT")</f>
        <v>TradeUsingPTT</v>
      </c>
      <c r="D4" s="20" t="str">
        <f ca="1">IFERROR(__xludf.DUMMYFUNCTION("""COMPUTED_VALUE"""),"StageOrderUsingPTT")</f>
        <v>StageOrderUsingPTT</v>
      </c>
      <c r="E4" s="20" t="str">
        <f ca="1">IFERROR(__xludf.DUMMYFUNCTION("""COMPUTED_VALUE"""),"CreateOrderPTT")</f>
        <v>CreateOrderPTT</v>
      </c>
      <c r="F4" s="20" t="str">
        <f ca="1">IFERROR(__xludf.DUMMYFUNCTION("""COMPUTED_VALUE"""),"TradePTT")</f>
        <v>TradePTT</v>
      </c>
      <c r="G4" s="20" t="str">
        <f ca="1">IFERROR(__xludf.DUMMYFUNCTION("""COMPUTED_VALUE"""),"VerifyPTT")</f>
        <v>VerifyPTT</v>
      </c>
      <c r="H4" s="20" t="str">
        <f ca="1">IFERROR(__xludf.DUMMYFUNCTION("""COMPUTED_VALUE"""),"OpenMultiTTFromPTT")</f>
        <v>OpenMultiTTFromPTT</v>
      </c>
      <c r="I4" s="20" t="str">
        <f ca="1">IFERROR(__xludf.DUMMYFUNCTION("""COMPUTED_VALUE"""),"SelectMultiTT")</f>
        <v>SelectMultiTT</v>
      </c>
      <c r="J4" s="20" t="str">
        <f ca="1">IFERROR(__xludf.DUMMYFUNCTION("""COMPUTED_VALUE"""),"EditMultiTT")</f>
        <v>EditMultiTT</v>
      </c>
      <c r="K4" s="20" t="str">
        <f ca="1">IFERROR(__xludf.DUMMYFUNCTION("""COMPUTED_VALUE"""),"SetAccountFactor")</f>
        <v>SetAccountFactor</v>
      </c>
      <c r="L4" s="20" t="str">
        <f ca="1">IFERROR(__xludf.DUMMYFUNCTION("""COMPUTED_VALUE"""),"SetPTTPreference")</f>
        <v>SetPTTPreference</v>
      </c>
      <c r="M4" s="20" t="str">
        <f ca="1">IFERROR(__xludf.DUMMYFUNCTION("""COMPUTED_VALUE"""),"SetLongShortPTTPreference")</f>
        <v>SetLongShortPTTPreference</v>
      </c>
      <c r="N4" s="20" t="str">
        <f ca="1">IFERROR(__xludf.DUMMYFUNCTION("""COMPUTED_VALUE"""),"SelectPTTRecord")</f>
        <v>SelectPTTRecord</v>
      </c>
      <c r="O4" s="20" t="str">
        <f ca="1">IFERROR(__xludf.DUMMYFUNCTION("""COMPUTED_VALUE"""),"EditPTTRecord")</f>
        <v>EditPTTRecord</v>
      </c>
      <c r="P4" s="21" t="str">
        <f ca="1">IFERROR(__xludf.DUMMYFUNCTION("""COMPUTED_VALUE"""),"SetDefaultSymbology")</f>
        <v>SetDefaultSymbology</v>
      </c>
      <c r="Q4" s="21" t="str">
        <f ca="1">IFERROR(__xludf.DUMMYFUNCTION("""COMPUTED_VALUE"""),"EditPTTAccountLevelWPF")</f>
        <v>EditPTTAccountLevelWPF</v>
      </c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IFERROR(__xludf.DUMMYFUNCTION("""COMPUTED_VALUE"""),"Ticker")</f>
        <v>Ticker</v>
      </c>
      <c r="C5" s="23" t="str">
        <f ca="1">IFERROR(__xludf.DUMMYFUNCTION("""COMPUTED_VALUE"""),"Add/Set")</f>
        <v>Add/Set</v>
      </c>
      <c r="D5" s="23" t="str">
        <f ca="1">IFERROR(__xludf.DUMMYFUNCTION("""COMPUTED_VALUE"""),"Type")</f>
        <v>Type</v>
      </c>
      <c r="E5" s="23" t="str">
        <f ca="1">IFERROR(__xludf.DUMMYFUNCTION("""COMPUTED_VALUE"""),"Target")</f>
        <v>Target</v>
      </c>
      <c r="F5" s="24" t="str">
        <f ca="1">IFERROR(__xludf.DUMMYFUNCTION("""COMPUTED_VALUE"""),"Price")</f>
        <v>Price</v>
      </c>
      <c r="G5" s="23" t="str">
        <f ca="1">IFERROR(__xludf.DUMMYFUNCTION("""COMPUTED_VALUE"""),"Combined Account Total")</f>
        <v>Combined Account Total</v>
      </c>
      <c r="H5" s="23" t="str">
        <f ca="1">IFERROR(__xludf.DUMMYFUNCTION("""COMPUTED_VALUE"""),"MasterFund/Account")</f>
        <v>MasterFund/Account</v>
      </c>
      <c r="I5" s="23" t="str">
        <f ca="1">IFERROR(__xludf.DUMMYFUNCTION("""COMPUTED_VALUE"""),"Accounts")</f>
        <v>Accounts</v>
      </c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7" t="s">
        <v>20</v>
      </c>
      <c r="C6" s="35" t="s">
        <v>30</v>
      </c>
      <c r="D6" s="37" t="s">
        <v>31</v>
      </c>
      <c r="E6" s="38">
        <v>15</v>
      </c>
      <c r="F6" s="39">
        <v>10</v>
      </c>
      <c r="G6" s="35" t="s">
        <v>32</v>
      </c>
      <c r="H6" s="35" t="s">
        <v>33</v>
      </c>
      <c r="I6" s="40" t="s">
        <v>16</v>
      </c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62" t="s">
        <v>11</v>
      </c>
      <c r="C1" s="63"/>
      <c r="D1" s="63"/>
      <c r="E1" s="63"/>
      <c r="F1" s="63"/>
      <c r="G1" s="63"/>
      <c r="H1" s="6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18</v>
      </c>
      <c r="D3" s="2" t="s">
        <v>9</v>
      </c>
      <c r="E3" s="18" t="s">
        <v>19</v>
      </c>
      <c r="F3" s="2" t="s">
        <v>13</v>
      </c>
      <c r="G3" s="10" t="s">
        <v>14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IFERROR(__xludf.DUMMYFUNCTION("""COMPUTED_VALUE"""),"RemoveSymbolFromRAList")</f>
        <v>RemoveSymbolFromRAList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IFERROR(__xludf.DUMMYFUNCTION("""COMPUTED_VALUE"""),"ChkBoxBookAsSwap")</f>
        <v>ChkBoxBookAsSwap</v>
      </c>
      <c r="AO5" s="25" t="str">
        <f ca="1">IFERROR(__xludf.DUMMYFUNCTION("""COMPUTED_VALUE"""),"PopUpQuantity")</f>
        <v>PopUpQuantity</v>
      </c>
      <c r="AP5" s="25" t="str">
        <f ca="1">IFERROR(__xludf.DUMMYFUNCTION("""COMPUTED_VALUE"""),"ShortLocate")</f>
        <v>ShortLocate</v>
      </c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20</v>
      </c>
      <c r="C6" s="5"/>
      <c r="D6" s="9"/>
      <c r="E6" s="33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62" t="s">
        <v>11</v>
      </c>
      <c r="C1" s="63"/>
      <c r="D1" s="63"/>
      <c r="E1" s="63"/>
      <c r="F1" s="63"/>
      <c r="G1" s="63"/>
      <c r="H1" s="6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34</v>
      </c>
      <c r="D3" s="2" t="s">
        <v>9</v>
      </c>
      <c r="E3" s="18" t="s">
        <v>35</v>
      </c>
      <c r="F3" s="2" t="s">
        <v>13</v>
      </c>
      <c r="G3" s="10" t="s">
        <v>14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IFERROR(__xludf.DUMMYFUNCTION("IF(C3="""","""",Transpose(IMPORTRANGE('_Settings'!$B$3,C3&amp;""!A4:A1000"")))"),"SelectTrade")</f>
        <v>SelectTrade</v>
      </c>
      <c r="C4" s="20" t="str">
        <f ca="1">IFERROR(__xludf.DUMMYFUNCTION("""COMPUTED_VALUE"""),"AcknowledgeTrade")</f>
        <v>AcknowledgeTrade</v>
      </c>
      <c r="D4" s="20" t="str">
        <f ca="1">IFERROR(__xludf.DUMMYFUNCTION("""COMPUTED_VALUE"""),"RejectTrade")</f>
        <v>RejectTrade</v>
      </c>
      <c r="E4" s="20" t="str">
        <f ca="1">IFERROR(__xludf.DUMMYFUNCTION("""COMPUTED_VALUE"""),"ExecuteTrade")</f>
        <v>ExecuteTrade</v>
      </c>
      <c r="F4" s="20" t="str">
        <f ca="1">IFERROR(__xludf.DUMMYFUNCTION("""COMPUTED_VALUE"""),"CancelTrade")</f>
        <v>CancelTrade</v>
      </c>
      <c r="G4" s="20" t="str">
        <f ca="1">IFERROR(__xludf.DUMMYFUNCTION("""COMPUTED_VALUE"""),"OpenLiveTT")</f>
        <v>OpenLiveTT</v>
      </c>
      <c r="H4" s="20" t="str">
        <f ca="1">IFERROR(__xludf.DUMMYFUNCTION("""COMPUTED_VALUE"""),"SetManualResponse")</f>
        <v>SetManualResponse</v>
      </c>
      <c r="I4" s="20" t="str">
        <f ca="1">IFERROR(__xludf.DUMMYFUNCTION("""COMPUTED_VALUE"""),"ClearUI")</f>
        <v>ClearUI</v>
      </c>
      <c r="J4" s="20" t="str">
        <f ca="1">IFERROR(__xludf.DUMMYFUNCTION("""COMPUTED_VALUE"""),"CloseSimulator")</f>
        <v>CloseSimulator</v>
      </c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IFERROR(__xludf.DUMMYFUNCTION("""COMPUTED_VALUE"""),"Side")</f>
        <v>Side</v>
      </c>
      <c r="C5" s="23" t="str">
        <f ca="1">IFERROR(__xludf.DUMMYFUNCTION("""COMPUTED_VALUE"""),"Symbol")</f>
        <v>Symbol</v>
      </c>
      <c r="D5" s="23" t="str">
        <f ca="1">IFERROR(__xludf.DUMMYFUNCTION("""COMPUTED_VALUE"""),"Order Type")</f>
        <v>Order Type</v>
      </c>
      <c r="E5" s="23" t="str">
        <f ca="1">IFERROR(__xludf.DUMMYFUNCTION("""COMPUTED_VALUE"""),"Price")</f>
        <v>Price</v>
      </c>
      <c r="F5" s="24" t="str">
        <f ca="1">IFERROR(__xludf.DUMMYFUNCTION("""COMPUTED_VALUE"""),"AvgPrice")</f>
        <v>AvgPrice</v>
      </c>
      <c r="G5" s="23" t="str">
        <f ca="1">IFERROR(__xludf.DUMMYFUNCTION("""COMPUTED_VALUE"""),"Quantity")</f>
        <v>Quantity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17</v>
      </c>
      <c r="C6" s="9" t="s">
        <v>15</v>
      </c>
      <c r="D6" s="9"/>
      <c r="E6" s="33"/>
      <c r="F6" s="5"/>
      <c r="G6" s="9">
        <v>250</v>
      </c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62" t="s">
        <v>11</v>
      </c>
      <c r="C1" s="63"/>
      <c r="D1" s="63"/>
      <c r="E1" s="63"/>
      <c r="F1" s="63"/>
      <c r="G1" s="63"/>
      <c r="H1" s="6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34</v>
      </c>
      <c r="D3" s="2" t="s">
        <v>9</v>
      </c>
      <c r="E3" s="18" t="s">
        <v>36</v>
      </c>
      <c r="F3" s="2" t="s">
        <v>13</v>
      </c>
      <c r="G3" s="10" t="s">
        <v>14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IFERROR(__xludf.DUMMYFUNCTION("IF(C3="""","""",Transpose(IMPORTRANGE('_Settings'!$B$3,C3&amp;""!A4:A1000"")))"),"SelectTrade")</f>
        <v>SelectTrade</v>
      </c>
      <c r="C4" s="20" t="str">
        <f ca="1">IFERROR(__xludf.DUMMYFUNCTION("""COMPUTED_VALUE"""),"AcknowledgeTrade")</f>
        <v>AcknowledgeTrade</v>
      </c>
      <c r="D4" s="20" t="str">
        <f ca="1">IFERROR(__xludf.DUMMYFUNCTION("""COMPUTED_VALUE"""),"RejectTrade")</f>
        <v>RejectTrade</v>
      </c>
      <c r="E4" s="20" t="str">
        <f ca="1">IFERROR(__xludf.DUMMYFUNCTION("""COMPUTED_VALUE"""),"ExecuteTrade")</f>
        <v>ExecuteTrade</v>
      </c>
      <c r="F4" s="20" t="str">
        <f ca="1">IFERROR(__xludf.DUMMYFUNCTION("""COMPUTED_VALUE"""),"CancelTrade")</f>
        <v>CancelTrade</v>
      </c>
      <c r="G4" s="20" t="str">
        <f ca="1">IFERROR(__xludf.DUMMYFUNCTION("""COMPUTED_VALUE"""),"OpenLiveTT")</f>
        <v>OpenLiveTT</v>
      </c>
      <c r="H4" s="20" t="str">
        <f ca="1">IFERROR(__xludf.DUMMYFUNCTION("""COMPUTED_VALUE"""),"SetManualResponse")</f>
        <v>SetManualResponse</v>
      </c>
      <c r="I4" s="20" t="str">
        <f ca="1">IFERROR(__xludf.DUMMYFUNCTION("""COMPUTED_VALUE"""),"ClearUI")</f>
        <v>ClearUI</v>
      </c>
      <c r="J4" s="20" t="str">
        <f ca="1">IFERROR(__xludf.DUMMYFUNCTION("""COMPUTED_VALUE"""),"CloseSimulator")</f>
        <v>CloseSimulator</v>
      </c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IFERROR(__xludf.DUMMYFUNCTION("""COMPUTED_VALUE"""),"Side")</f>
        <v>Side</v>
      </c>
      <c r="C5" s="23" t="str">
        <f ca="1">IFERROR(__xludf.DUMMYFUNCTION("""COMPUTED_VALUE"""),"Symbol")</f>
        <v>Symbol</v>
      </c>
      <c r="D5" s="23" t="str">
        <f ca="1">IFERROR(__xludf.DUMMYFUNCTION("""COMPUTED_VALUE"""),"Order Type")</f>
        <v>Order Type</v>
      </c>
      <c r="E5" s="23" t="str">
        <f ca="1">IFERROR(__xludf.DUMMYFUNCTION("""COMPUTED_VALUE"""),"Price")</f>
        <v>Price</v>
      </c>
      <c r="F5" s="24" t="str">
        <f ca="1">IFERROR(__xludf.DUMMYFUNCTION("""COMPUTED_VALUE"""),"AvgPrice")</f>
        <v>AvgPrice</v>
      </c>
      <c r="G5" s="23" t="str">
        <f ca="1">IFERROR(__xludf.DUMMYFUNCTION("""COMPUTED_VALUE"""),"Quantity")</f>
        <v>Quantity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17</v>
      </c>
      <c r="C6" s="9" t="s">
        <v>15</v>
      </c>
      <c r="D6" s="9"/>
      <c r="E6" s="33"/>
      <c r="F6" s="5"/>
      <c r="G6" s="9">
        <v>250</v>
      </c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62" t="s">
        <v>11</v>
      </c>
      <c r="C1" s="63"/>
      <c r="D1" s="63"/>
      <c r="E1" s="63"/>
      <c r="F1" s="63"/>
      <c r="G1" s="63"/>
      <c r="H1" s="6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34</v>
      </c>
      <c r="D3" s="2" t="s">
        <v>9</v>
      </c>
      <c r="E3" s="18" t="s">
        <v>37</v>
      </c>
      <c r="F3" s="2" t="s">
        <v>13</v>
      </c>
      <c r="G3" s="10" t="s">
        <v>14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IFERROR(__xludf.DUMMYFUNCTION("IF(C3="""","""",Transpose(IMPORTRANGE('_Settings'!$B$3,C3&amp;""!A4:A1000"")))"),"SelectTrade")</f>
        <v>SelectTrade</v>
      </c>
      <c r="C4" s="20" t="str">
        <f ca="1">IFERROR(__xludf.DUMMYFUNCTION("""COMPUTED_VALUE"""),"AcknowledgeTrade")</f>
        <v>AcknowledgeTrade</v>
      </c>
      <c r="D4" s="20" t="str">
        <f ca="1">IFERROR(__xludf.DUMMYFUNCTION("""COMPUTED_VALUE"""),"RejectTrade")</f>
        <v>RejectTrade</v>
      </c>
      <c r="E4" s="20" t="str">
        <f ca="1">IFERROR(__xludf.DUMMYFUNCTION("""COMPUTED_VALUE"""),"ExecuteTrade")</f>
        <v>ExecuteTrade</v>
      </c>
      <c r="F4" s="20" t="str">
        <f ca="1">IFERROR(__xludf.DUMMYFUNCTION("""COMPUTED_VALUE"""),"CancelTrade")</f>
        <v>CancelTrade</v>
      </c>
      <c r="G4" s="20" t="str">
        <f ca="1">IFERROR(__xludf.DUMMYFUNCTION("""COMPUTED_VALUE"""),"OpenLiveTT")</f>
        <v>OpenLiveTT</v>
      </c>
      <c r="H4" s="20" t="str">
        <f ca="1">IFERROR(__xludf.DUMMYFUNCTION("""COMPUTED_VALUE"""),"SetManualResponse")</f>
        <v>SetManualResponse</v>
      </c>
      <c r="I4" s="20" t="str">
        <f ca="1">IFERROR(__xludf.DUMMYFUNCTION("""COMPUTED_VALUE"""),"ClearUI")</f>
        <v>ClearUI</v>
      </c>
      <c r="J4" s="20" t="str">
        <f ca="1">IFERROR(__xludf.DUMMYFUNCTION("""COMPUTED_VALUE"""),"CloseSimulator")</f>
        <v>CloseSimulator</v>
      </c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IFERROR(__xludf.DUMMYFUNCTION("""COMPUTED_VALUE"""),"Price")</f>
        <v>Price</v>
      </c>
      <c r="C5" s="23" t="str">
        <f ca="1">IFERROR(__xludf.DUMMYFUNCTION("""COMPUTED_VALUE"""),"Shares")</f>
        <v>Shares</v>
      </c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>
        <v>25</v>
      </c>
      <c r="C6" s="9">
        <v>250</v>
      </c>
      <c r="D6" s="9"/>
      <c r="E6" s="33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62" t="s">
        <v>11</v>
      </c>
      <c r="C1" s="63"/>
      <c r="D1" s="63"/>
      <c r="E1" s="63"/>
      <c r="F1" s="63"/>
      <c r="G1" s="63"/>
      <c r="H1" s="6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38</v>
      </c>
      <c r="D3" s="2" t="s">
        <v>9</v>
      </c>
      <c r="E3" s="18" t="s">
        <v>39</v>
      </c>
      <c r="F3" s="2" t="s">
        <v>13</v>
      </c>
      <c r="G3" s="10" t="s">
        <v>14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IFERROR(__xludf.DUMMYFUNCTION("""COMPUTED_VALUE"""),"RangeType")</f>
        <v>RangeType</v>
      </c>
      <c r="C5" s="23" t="str">
        <f ca="1">IFERROR(__xludf.DUMMYFUNCTION("""COMPUTED_VALUE"""),"From")</f>
        <v>From</v>
      </c>
      <c r="D5" s="23" t="str">
        <f ca="1">IFERROR(__xludf.DUMMYFUNCTION("""COMPUTED_VALUE"""),"To")</f>
        <v>To</v>
      </c>
      <c r="E5" s="23" t="str">
        <f ca="1">IFERROR(__xludf.DUMMYFUNCTION("""COMPUTED_VALUE"""),"FilterTabName")</f>
        <v>FilterTabName</v>
      </c>
      <c r="F5" s="24" t="str">
        <f ca="1">IFERROR(__xludf.DUMMYFUNCTION("""COMPUTED_VALUE"""),"Symbol")</f>
        <v>Symbol</v>
      </c>
      <c r="G5" s="23" t="str">
        <f ca="1">IFERROR(__xludf.DUMMYFUNCTION("""COMPUTED_VALUE"""),"Asset")</f>
        <v>Asset</v>
      </c>
      <c r="H5" s="23" t="str">
        <f ca="1">IFERROR(__xludf.DUMMYFUNCTION("""COMPUTED_VALUE"""),"Side")</f>
        <v>Side</v>
      </c>
      <c r="I5" s="23" t="str">
        <f ca="1">IFERROR(__xludf.DUMMYFUNCTION("""COMPUTED_VALUE"""),"Account")</f>
        <v>Account</v>
      </c>
      <c r="J5" s="23" t="str">
        <f ca="1">IFERROR(__xludf.DUMMYFUNCTION("""COMPUTED_VALUE"""),"Broker")</f>
        <v>Broker</v>
      </c>
      <c r="K5" s="23" t="str">
        <f ca="1">IFERROR(__xludf.DUMMYFUNCTION("""COMPUTED_VALUE"""),"Currency")</f>
        <v>Currency</v>
      </c>
      <c r="L5" s="23" t="str">
        <f ca="1">IFERROR(__xludf.DUMMYFUNCTION("""COMPUTED_VALUE"""),"Exchange")</f>
        <v>Exchange</v>
      </c>
      <c r="M5" s="23" t="str">
        <f ca="1">IFERROR(__xludf.DUMMYFUNCTION("""COMPUTED_VALUE"""),"StrategyName")</f>
        <v>StrategyName</v>
      </c>
      <c r="N5" s="23" t="str">
        <f ca="1">IFERROR(__xludf.DUMMYFUNCTION("""COMPUTED_VALUE"""),"Underlying")</f>
        <v>Underlying</v>
      </c>
      <c r="O5" s="23" t="str">
        <f ca="1">IFERROR(__xludf.DUMMYFUNCTION("""COMPUTED_VALUE"""),"Venue")</f>
        <v>Venue</v>
      </c>
      <c r="P5" s="23" t="str">
        <f ca="1">IFERROR(__xludf.DUMMYFUNCTION("""COMPUTED_VALUE"""),"TradingAccount")</f>
        <v>TradingAccount</v>
      </c>
      <c r="Q5" s="23" t="str">
        <f ca="1">IFERROR(__xludf.DUMMYFUNCTION("""COMPUTED_VALUE"""),"PreAllocated")</f>
        <v>PreAllocated</v>
      </c>
      <c r="R5" s="23" t="str">
        <f ca="1">IFERROR(__xludf.DUMMYFUNCTION("""COMPUTED_VALUE"""),"ManualGroup")</f>
        <v>ManualGroup</v>
      </c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40</v>
      </c>
      <c r="C6" s="41">
        <v>43101</v>
      </c>
      <c r="D6" s="42">
        <f ca="1">TODAY()</f>
        <v>44574</v>
      </c>
      <c r="E6" s="33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62" t="s">
        <v>11</v>
      </c>
      <c r="C1" s="63"/>
      <c r="D1" s="63"/>
      <c r="E1" s="63"/>
      <c r="F1" s="63"/>
      <c r="G1" s="63"/>
      <c r="H1" s="6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38</v>
      </c>
      <c r="D3" s="2" t="s">
        <v>9</v>
      </c>
      <c r="E3" s="18" t="s">
        <v>41</v>
      </c>
      <c r="F3" s="2" t="s">
        <v>13</v>
      </c>
      <c r="G3" s="10" t="s">
        <v>14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IFERROR(__xludf.DUMMYFUNCTION("""COMPUTED_VALUE"""),"Account Name")</f>
        <v>Account Name</v>
      </c>
      <c r="C5" s="23" t="str">
        <f ca="1">IFERROR(__xludf.DUMMYFUNCTION("""COMPUTED_VALUE"""),"Accrual Basis")</f>
        <v>Accrual Basis</v>
      </c>
      <c r="D5" s="23" t="str">
        <f ca="1">IFERROR(__xludf.DUMMYFUNCTION("""COMPUTED_VALUE"""),"Accrued Interest")</f>
        <v>Accrued Interest</v>
      </c>
      <c r="E5" s="23" t="str">
        <f ca="1">IFERROR(__xludf.DUMMYFUNCTION("""COMPUTED_VALUE"""),"Allocated Qty")</f>
        <v>Allocated Qty</v>
      </c>
      <c r="F5" s="24" t="str">
        <f ca="1">IFERROR(__xludf.DUMMYFUNCTION("""COMPUTED_VALUE"""),"Allocation Scheme Name")</f>
        <v>Allocation Scheme Name</v>
      </c>
      <c r="G5" s="23" t="str">
        <f ca="1">IFERROR(__xludf.DUMMYFUNCTION("""COMPUTED_VALUE"""),"Asset Category")</f>
        <v>Asset Category</v>
      </c>
      <c r="H5" s="23" t="str">
        <f ca="1">IFERROR(__xludf.DUMMYFUNCTION("""COMPUTED_VALUE"""),"AUEC Fee1")</f>
        <v>AUEC Fee1</v>
      </c>
      <c r="I5" s="23" t="str">
        <f ca="1">IFERROR(__xludf.DUMMYFUNCTION("""COMPUTED_VALUE"""),"AUEC Fee2")</f>
        <v>AUEC Fee2</v>
      </c>
      <c r="J5" s="23" t="str">
        <f ca="1">IFERROR(__xludf.DUMMYFUNCTION("""COMPUTED_VALUE"""),"AUECID")</f>
        <v>AUECID</v>
      </c>
      <c r="K5" s="23" t="str">
        <f ca="1">IFERROR(__xludf.DUMMYFUNCTION("""COMPUTED_VALUE"""),"Avg Price(Base)")</f>
        <v>Avg Price(Base)</v>
      </c>
      <c r="L5" s="23" t="str">
        <f ca="1">IFERROR(__xludf.DUMMYFUNCTION("""COMPUTED_VALUE"""),"Avg Price(Local)")</f>
        <v>Avg Price(Local)</v>
      </c>
      <c r="M5" s="23" t="str">
        <f ca="1">IFERROR(__xludf.DUMMYFUNCTION("""COMPUTED_VALUE"""),"Bloomberg")</f>
        <v>Bloomberg</v>
      </c>
      <c r="N5" s="23" t="str">
        <f ca="1">IFERROR(__xludf.DUMMYFUNCTION("""COMPUTED_VALUE"""),"Bond Type")</f>
        <v>Bond Type</v>
      </c>
      <c r="O5" s="23" t="str">
        <f ca="1">IFERROR(__xludf.DUMMYFUNCTION("""COMPUTED_VALUE"""),"Broker")</f>
        <v>Broker</v>
      </c>
      <c r="P5" s="23" t="str">
        <f ca="1">IFERROR(__xludf.DUMMYFUNCTION("""COMPUTED_VALUE"""),"Change Comment")</f>
        <v>Change Comment</v>
      </c>
      <c r="Q5" s="23" t="str">
        <f ca="1">IFERROR(__xludf.DUMMYFUNCTION("""COMPUTED_VALUE"""),"Change Type")</f>
        <v>Change Type</v>
      </c>
      <c r="R5" s="23" t="str">
        <f ca="1">IFERROR(__xludf.DUMMYFUNCTION("""COMPUTED_VALUE"""),"Clearing Broker Fee")</f>
        <v>Clearing Broker Fee</v>
      </c>
      <c r="S5" s="23" t="str">
        <f ca="1">IFERROR(__xludf.DUMMYFUNCTION("""COMPUTED_VALUE"""),"Closing Status")</f>
        <v>Closing Status</v>
      </c>
      <c r="T5" s="25" t="str">
        <f ca="1">IFERROR(__xludf.DUMMYFUNCTION("""COMPUTED_VALUE"""),"Commission")</f>
        <v>Commission</v>
      </c>
      <c r="U5" s="25" t="str">
        <f ca="1">IFERROR(__xludf.DUMMYFUNCTION("""COMPUTED_VALUE"""),"Commission Per Share")</f>
        <v>Commission Per Share</v>
      </c>
      <c r="V5" s="25" t="str">
        <f ca="1">IFERROR(__xludf.DUMMYFUNCTION("""COMPUTED_VALUE"""),"Company")</f>
        <v>Company</v>
      </c>
      <c r="W5" s="25" t="str">
        <f ca="1">IFERROR(__xludf.DUMMYFUNCTION("""COMPUTED_VALUE"""),"Contract Multiplier")</f>
        <v>Contract Multiplier</v>
      </c>
      <c r="X5" s="25" t="str">
        <f ca="1">IFERROR(__xludf.DUMMYFUNCTION("""COMPUTED_VALUE"""),"Coupon Rate")</f>
        <v>Coupon Rate</v>
      </c>
      <c r="Y5" s="25" t="str">
        <f ca="1">IFERROR(__xludf.DUMMYFUNCTION("""COMPUTED_VALUE"""),"Cum Qty For Sub Order")</f>
        <v>Cum Qty For Sub Order</v>
      </c>
      <c r="Z5" s="25" t="str">
        <f ca="1">IFERROR(__xludf.DUMMYFUNCTION("""COMPUTED_VALUE"""),"Currency")</f>
        <v>Currency</v>
      </c>
      <c r="AA5" s="25" t="str">
        <f ca="1">IFERROR(__xludf.DUMMYFUNCTION("""COMPUTED_VALUE"""),"Cusip Symbol")</f>
        <v>Cusip Symbol</v>
      </c>
      <c r="AB5" s="25" t="str">
        <f ca="1">IFERROR(__xludf.DUMMYFUNCTION("""COMPUTED_VALUE"""),"Delta")</f>
        <v>Delta</v>
      </c>
      <c r="AC5" s="25" t="str">
        <f ca="1">IFERROR(__xludf.DUMMYFUNCTION("""COMPUTED_VALUE"""),"Description")</f>
        <v>Description</v>
      </c>
      <c r="AD5" s="25" t="str">
        <f ca="1">IFERROR(__xludf.DUMMYFUNCTION("""COMPUTED_VALUE"""),"Exchange")</f>
        <v>Exchange</v>
      </c>
      <c r="AE5" s="25" t="str">
        <f ca="1">IFERROR(__xludf.DUMMYFUNCTION("""COMPUTED_VALUE"""),"Executed Qty")</f>
        <v>Executed Qty</v>
      </c>
      <c r="AF5" s="25" t="str">
        <f ca="1">IFERROR(__xludf.DUMMYFUNCTION("""COMPUTED_VALUE"""),"Exceution Time")</f>
        <v>Exceution Time</v>
      </c>
      <c r="AG5" s="25" t="str">
        <f ca="1">IFERROR(__xludf.DUMMYFUNCTION("""COMPUTED_VALUE"""),"Expiration Date")</f>
        <v>Expiration Date</v>
      </c>
      <c r="AH5" s="25" t="str">
        <f ca="1">IFERROR(__xludf.DUMMYFUNCTION("""COMPUTED_VALUE"""),"FX Conversion Operator")</f>
        <v>FX Conversion Operator</v>
      </c>
      <c r="AI5" s="25" t="str">
        <f ca="1">IFERROR(__xludf.DUMMYFUNCTION("""COMPUTED_VALUE"""),"FX Rate")</f>
        <v>FX Rate</v>
      </c>
      <c r="AJ5" s="25" t="str">
        <f ca="1">IFERROR(__xludf.DUMMYFUNCTION("""COMPUTED_VALUE"""),"Group Status")</f>
        <v>Group Status</v>
      </c>
      <c r="AK5" s="25" t="str">
        <f ca="1">IFERROR(__xludf.DUMMYFUNCTION("""COMPUTED_VALUE"""),"IDCOSymbol")</f>
        <v>IDCOSymbol</v>
      </c>
      <c r="AL5" s="25" t="str">
        <f ca="1">IFERROR(__xludf.DUMMYFUNCTION("""COMPUTED_VALUE"""),"Import File Name")</f>
        <v>Import File Name</v>
      </c>
      <c r="AM5" s="25" t="str">
        <f ca="1">IFERROR(__xludf.DUMMYFUNCTION("""COMPUTED_VALUE"""),"Internal Comments")</f>
        <v>Internal Comments</v>
      </c>
      <c r="AN5" s="25" t="str">
        <f ca="1">IFERROR(__xludf.DUMMYFUNCTION("""COMPUTED_VALUE"""),"IsAnotherTaxlotAttributesUpdated")</f>
        <v>IsAnotherTaxlotAttributesUpdated</v>
      </c>
      <c r="AO5" s="25" t="str">
        <f ca="1">IFERROR(__xludf.DUMMYFUNCTION("""COMPUTED_VALUE"""),"ISIN")</f>
        <v>ISIN</v>
      </c>
      <c r="AP5" s="25" t="str">
        <f ca="1">IFERROR(__xludf.DUMMYFUNCTION("""COMPUTED_VALUE"""),"IsManual Group")</f>
        <v>IsManual Group</v>
      </c>
      <c r="AQ5" s="25" t="str">
        <f ca="1">IFERROR(__xludf.DUMMYFUNCTION("""COMPUTED_VALUE"""),"ISNDF")</f>
        <v>ISNDF</v>
      </c>
      <c r="AR5" s="25" t="str">
        <f ca="1">IFERROR(__xludf.DUMMYFUNCTION("""COMPUTED_VALUE"""),"IsPreAllocated")</f>
        <v>IsPreAllocated</v>
      </c>
      <c r="AS5" s="25" t="str">
        <f ca="1">IFERROR(__xludf.DUMMYFUNCTION("""COMPUTED_VALUE"""),"M2MProfitLoss")</f>
        <v>M2MProfitLoss</v>
      </c>
      <c r="AT5" s="25" t="str">
        <f ca="1">IFERROR(__xludf.DUMMYFUNCTION("""COMPUTED_VALUE"""),"Net Amount( Base)")</f>
        <v>Net Amount( Base)</v>
      </c>
      <c r="AU5" s="25" t="str">
        <f ca="1">IFERROR(__xludf.DUMMYFUNCTION("""COMPUTED_VALUE"""),"Net Amount( Local)")</f>
        <v>Net Amount( Local)</v>
      </c>
      <c r="AV5" s="25" t="str">
        <f ca="1">IFERROR(__xludf.DUMMYFUNCTION("""COMPUTED_VALUE"""),"Nirvana Process Date")</f>
        <v>Nirvana Process Date</v>
      </c>
      <c r="AW5" s="25" t="str">
        <f ca="1">IFERROR(__xludf.DUMMYFUNCTION("""COMPUTED_VALUE"""),"OCC Fee")</f>
        <v>OCC Fee</v>
      </c>
      <c r="AX5" s="25" t="str">
        <f ca="1">IFERROR(__xludf.DUMMYFUNCTION("""COMPUTED_VALUE"""),"Option Premium Adjustment")</f>
        <v>Option Premium Adjustment</v>
      </c>
      <c r="AY5" s="25" t="str">
        <f ca="1">IFERROR(__xludf.DUMMYFUNCTION("""COMPUTED_VALUE"""),"Order Type")</f>
        <v>Order Type</v>
      </c>
      <c r="AZ5" s="25" t="str">
        <f ca="1">IFERROR(__xludf.DUMMYFUNCTION("""COMPUTED_VALUE"""),"ORF Fee")</f>
        <v>ORF Fee</v>
      </c>
      <c r="BA5" s="25" t="str">
        <f ca="1">IFERROR(__xludf.DUMMYFUNCTION("""COMPUTED_VALUE"""),"Original Purchase Date")</f>
        <v>Original Purchase Date</v>
      </c>
      <c r="BB5" s="25" t="str">
        <f ca="1">IFERROR(__xludf.DUMMYFUNCTION("""COMPUTED_VALUE"""),"OSISSymbol")</f>
        <v>OSISSymbol</v>
      </c>
      <c r="BC5" s="25" t="str">
        <f ca="1">IFERROR(__xludf.DUMMYFUNCTION("""COMPUTED_VALUE"""),"Other Broker Fees")</f>
        <v>Other Broker Fees</v>
      </c>
      <c r="BD5" s="25" t="str">
        <f ca="1">IFERROR(__xludf.DUMMYFUNCTION("""COMPUTED_VALUE"""),"Prana Msg Type")</f>
        <v>Prana Msg Type</v>
      </c>
      <c r="BE5" s="25" t="str">
        <f ca="1">IFERROR(__xludf.DUMMYFUNCTION("""COMPUTED_VALUE"""),"Principal Amount( Base)")</f>
        <v>Principal Amount( Base)</v>
      </c>
      <c r="BF5" s="25" t="str">
        <f ca="1">IFERROR(__xludf.DUMMYFUNCTION("""COMPUTED_VALUE"""),"Principal Amount( Local)")</f>
        <v>Principal Amount( Local)</v>
      </c>
      <c r="BG5" s="25" t="str">
        <f ca="1">IFERROR(__xludf.DUMMYFUNCTION("""COMPUTED_VALUE"""),"Process Date")</f>
        <v>Process Date</v>
      </c>
      <c r="BH5" s="25" t="str">
        <f ca="1">IFERROR(__xludf.DUMMYFUNCTION("""COMPUTED_VALUE"""),"Proxy Symbol")</f>
        <v>Proxy Symbol</v>
      </c>
      <c r="BI5" s="25" t="str">
        <f ca="1">IFERROR(__xludf.DUMMYFUNCTION("""COMPUTED_VALUE"""),"Put Or Call")</f>
        <v>Put Or Call</v>
      </c>
      <c r="BJ5" s="25" t="str">
        <f ca="1">IFERROR(__xludf.DUMMYFUNCTION("""COMPUTED_VALUE"""),"Quantity")</f>
        <v>Quantity</v>
      </c>
      <c r="BK5" s="25" t="str">
        <f ca="1">IFERROR(__xludf.DUMMYFUNCTION("""COMPUTED_VALUE"""),"SEC Fee")</f>
        <v>SEC Fee</v>
      </c>
      <c r="BL5" s="25" t="str">
        <f ca="1">IFERROR(__xludf.DUMMYFUNCTION("""COMPUTED_VALUE"""),"Sedol Symbol")</f>
        <v>Sedol Symbol</v>
      </c>
      <c r="BM5" s="25" t="str">
        <f ca="1">IFERROR(__xludf.DUMMYFUNCTION("""COMPUTED_VALUE"""),"Settlement Currency")</f>
        <v>Settlement Currency</v>
      </c>
      <c r="BN5" s="25" t="str">
        <f ca="1">IFERROR(__xludf.DUMMYFUNCTION("""COMPUTED_VALUE"""),"Settlement Date")</f>
        <v>Settlement Date</v>
      </c>
      <c r="BO5" s="25" t="str">
        <f ca="1">IFERROR(__xludf.DUMMYFUNCTION("""COMPUTED_VALUE"""),"Side")</f>
        <v>Side</v>
      </c>
      <c r="BP5" s="25" t="str">
        <f ca="1">IFERROR(__xludf.DUMMYFUNCTION("""COMPUTED_VALUE"""),"Soft Commission")</f>
        <v>Soft Commission</v>
      </c>
      <c r="BQ5" s="25" t="str">
        <f ca="1">IFERROR(__xludf.DUMMYFUNCTION("""COMPUTED_VALUE"""),"Soft Commission Per Share")</f>
        <v>Soft Commission Per Share</v>
      </c>
      <c r="BR5" s="25" t="str">
        <f ca="1">IFERROR(__xludf.DUMMYFUNCTION("""COMPUTED_VALUE"""),"Stamp Duty")</f>
        <v>Stamp Duty</v>
      </c>
      <c r="BS5" s="25" t="str">
        <f ca="1">IFERROR(__xludf.DUMMYFUNCTION("""COMPUTED_VALUE"""),"Strategy Name")</f>
        <v>Strategy Name</v>
      </c>
      <c r="BT5" s="25" t="str">
        <f ca="1">IFERROR(__xludf.DUMMYFUNCTION("""COMPUTED_VALUE"""),"Symbol")</f>
        <v>Symbol</v>
      </c>
      <c r="BU5" s="25" t="str">
        <f ca="1">IFERROR(__xludf.DUMMYFUNCTION("""COMPUTED_VALUE"""),"Tax On Commissions")</f>
        <v>Tax On Commissions</v>
      </c>
      <c r="BV5" s="25" t="str">
        <f ca="1">IFERROR(__xludf.DUMMYFUNCTION("""COMPUTED_VALUE"""),"Total Commission")</f>
        <v>Total Commission</v>
      </c>
      <c r="BW5" s="25" t="str">
        <f ca="1">IFERROR(__xludf.DUMMYFUNCTION("""COMPUTED_VALUE"""),"Total Commission And Fee")</f>
        <v>Total Commission And Fee</v>
      </c>
      <c r="BX5" s="25" t="str">
        <f ca="1">IFERROR(__xludf.DUMMYFUNCTION("""COMPUTED_VALUE"""),"Total Commission Per Share")</f>
        <v>Total Commission Per Share</v>
      </c>
      <c r="BY5" s="25" t="str">
        <f ca="1">IFERROR(__xludf.DUMMYFUNCTION("""COMPUTED_VALUE"""),"Trade Attribute 1")</f>
        <v>Trade Attribute 1</v>
      </c>
      <c r="BZ5" s="25" t="str">
        <f ca="1">IFERROR(__xludf.DUMMYFUNCTION("""COMPUTED_VALUE"""),"Trade Attribute 2")</f>
        <v>Trade Attribute 2</v>
      </c>
      <c r="CA5" s="25" t="str">
        <f ca="1">IFERROR(__xludf.DUMMYFUNCTION("""COMPUTED_VALUE"""),"Trade Attribute 3")</f>
        <v>Trade Attribute 3</v>
      </c>
      <c r="CB5" s="25" t="str">
        <f ca="1">IFERROR(__xludf.DUMMYFUNCTION("""COMPUTED_VALUE"""),"Trade Attribute 4")</f>
        <v>Trade Attribute 4</v>
      </c>
      <c r="CC5" s="25" t="str">
        <f ca="1">IFERROR(__xludf.DUMMYFUNCTION("""COMPUTED_VALUE"""),"Trade Attribute 5")</f>
        <v>Trade Attribute 5</v>
      </c>
      <c r="CD5" s="25" t="str">
        <f ca="1">IFERROR(__xludf.DUMMYFUNCTION("""COMPUTED_VALUE"""),"Trade Attribute 6")</f>
        <v>Trade Attribute 6</v>
      </c>
      <c r="CE5" s="25" t="str">
        <f ca="1">IFERROR(__xludf.DUMMYFUNCTION("""COMPUTED_VALUE"""),"Trade Date")</f>
        <v>Trade Date</v>
      </c>
      <c r="CF5" s="25" t="str">
        <f ca="1">IFERROR(__xludf.DUMMYFUNCTION("""COMPUTED_VALUE"""),"Trading Account")</f>
        <v>Trading Account</v>
      </c>
      <c r="CG5" s="25" t="str">
        <f ca="1">IFERROR(__xludf.DUMMYFUNCTION("""COMPUTED_VALUE"""),"Transaction Levy")</f>
        <v>Transaction Levy</v>
      </c>
      <c r="CH5" s="25" t="str">
        <f ca="1">IFERROR(__xludf.DUMMYFUNCTION("""COMPUTED_VALUE"""),"Transaction Source")</f>
        <v>Transaction Source</v>
      </c>
      <c r="CI5" s="25" t="str">
        <f ca="1">IFERROR(__xludf.DUMMYFUNCTION("""COMPUTED_VALUE"""),"Transaction Type")</f>
        <v>Transaction Type</v>
      </c>
      <c r="CJ5" s="25" t="str">
        <f ca="1">IFERROR(__xludf.DUMMYFUNCTION("""COMPUTED_VALUE"""),"UnAllocatedQty")</f>
        <v>UnAllocatedQty</v>
      </c>
      <c r="CK5" s="25" t="str">
        <f ca="1">IFERROR(__xludf.DUMMYFUNCTION("""COMPUTED_VALUE"""),"Underlying")</f>
        <v>Underlying</v>
      </c>
      <c r="CL5" s="25" t="str">
        <f ca="1">IFERROR(__xludf.DUMMYFUNCTION("""COMPUTED_VALUE"""),"Underlying Delta")</f>
        <v>Underlying Delta</v>
      </c>
      <c r="CM5" s="25" t="str">
        <f ca="1">IFERROR(__xludf.DUMMYFUNCTION("""COMPUTED_VALUE"""),"Underlying Symbol")</f>
        <v>Underlying Symbol</v>
      </c>
      <c r="CN5" s="25" t="str">
        <f ca="1">IFERROR(__xludf.DUMMYFUNCTION("""COMPUTED_VALUE"""),"User")</f>
        <v>User</v>
      </c>
      <c r="CO5" s="25" t="str">
        <f ca="1">IFERROR(__xludf.DUMMYFUNCTION("""COMPUTED_VALUE"""),"Venue")</f>
        <v>Venue</v>
      </c>
      <c r="CP5" s="25" t="str">
        <f ca="1">IFERROR(__xludf.DUMMYFUNCTION("""COMPUTED_VALUE"""),"Closing Method")</f>
        <v>Closing Method</v>
      </c>
      <c r="CQ5" s="25" t="str">
        <f ca="1">IFERROR(__xludf.DUMMYFUNCTION("""COMPUTED_VALUE"""),"Closing Date")</f>
        <v>Closing Date</v>
      </c>
      <c r="CR5" s="25" t="str">
        <f ca="1">IFERROR(__xludf.DUMMYFUNCTION("""COMPUTED_VALUE"""),"GroupID")</f>
        <v>GroupID</v>
      </c>
      <c r="CS5" s="25" t="str">
        <f ca="1">IFERROR(__xludf.DUMMYFUNCTION("""COMPUTED_VALUE"""),"Client")</f>
        <v>Client</v>
      </c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43"/>
      <c r="B6" s="43" t="s">
        <v>16</v>
      </c>
      <c r="C6" s="44"/>
      <c r="D6" s="45">
        <v>0</v>
      </c>
      <c r="E6" s="43">
        <v>200</v>
      </c>
      <c r="F6" s="44"/>
      <c r="G6" s="46" t="s">
        <v>42</v>
      </c>
      <c r="H6" s="45">
        <v>0</v>
      </c>
      <c r="I6" s="45">
        <v>0</v>
      </c>
      <c r="J6" s="44"/>
      <c r="K6" s="43">
        <v>20</v>
      </c>
      <c r="L6" s="43">
        <v>20</v>
      </c>
      <c r="M6" s="44"/>
      <c r="N6" s="44"/>
      <c r="O6" s="43"/>
      <c r="P6" s="47"/>
      <c r="Q6" s="48">
        <v>3</v>
      </c>
      <c r="R6" s="45">
        <v>0</v>
      </c>
      <c r="S6" s="47"/>
      <c r="T6" s="49">
        <v>0</v>
      </c>
      <c r="U6" s="49">
        <v>0</v>
      </c>
      <c r="V6" s="50" t="s">
        <v>43</v>
      </c>
      <c r="W6" s="51">
        <v>1</v>
      </c>
      <c r="X6" s="47"/>
      <c r="Y6" s="47"/>
      <c r="Z6" s="52" t="s">
        <v>25</v>
      </c>
      <c r="AA6" s="47"/>
      <c r="AB6" s="51">
        <v>1</v>
      </c>
      <c r="AC6" s="47"/>
      <c r="AD6" s="53" t="s">
        <v>44</v>
      </c>
      <c r="AE6" s="50">
        <v>200</v>
      </c>
      <c r="AF6" s="47"/>
      <c r="AG6" s="47"/>
      <c r="AH6" s="52" t="s">
        <v>45</v>
      </c>
      <c r="AI6" s="51">
        <v>1</v>
      </c>
      <c r="AJ6" s="47"/>
      <c r="AK6" s="47"/>
      <c r="AL6" s="47"/>
      <c r="AM6" s="47"/>
      <c r="AN6" s="53"/>
      <c r="AO6" s="47"/>
      <c r="AP6" s="47"/>
      <c r="AQ6" s="53"/>
      <c r="AR6" s="53"/>
      <c r="AS6" s="49">
        <v>0</v>
      </c>
      <c r="AT6" s="50">
        <v>4000</v>
      </c>
      <c r="AU6" s="50">
        <v>4000</v>
      </c>
      <c r="AV6" s="47"/>
      <c r="AW6" s="49">
        <v>0</v>
      </c>
      <c r="AX6" s="49">
        <v>0</v>
      </c>
      <c r="AY6" s="47"/>
      <c r="AZ6" s="49">
        <v>0</v>
      </c>
      <c r="BA6" s="47"/>
      <c r="BB6" s="47"/>
      <c r="BC6" s="49">
        <v>0</v>
      </c>
      <c r="BD6" s="47"/>
      <c r="BE6" s="50">
        <v>4000</v>
      </c>
      <c r="BF6" s="50">
        <v>4000</v>
      </c>
      <c r="BG6" s="47"/>
      <c r="BH6" s="47"/>
      <c r="BI6" s="47"/>
      <c r="BJ6" s="50">
        <v>200</v>
      </c>
      <c r="BK6" s="49">
        <v>0</v>
      </c>
      <c r="BL6" s="47"/>
      <c r="BM6" s="52" t="s">
        <v>25</v>
      </c>
      <c r="BN6" s="47"/>
      <c r="BO6" s="50" t="s">
        <v>17</v>
      </c>
      <c r="BP6" s="49">
        <v>0</v>
      </c>
      <c r="BQ6" s="47"/>
      <c r="BR6" s="50">
        <v>0</v>
      </c>
      <c r="BS6" s="47"/>
      <c r="BT6" s="50" t="s">
        <v>15</v>
      </c>
      <c r="BU6" s="50">
        <v>0</v>
      </c>
      <c r="BV6" s="49">
        <v>0</v>
      </c>
      <c r="BW6" s="49">
        <v>0</v>
      </c>
      <c r="BX6" s="49">
        <v>0</v>
      </c>
      <c r="BY6" s="47"/>
      <c r="BZ6" s="47"/>
      <c r="CA6" s="47"/>
      <c r="CB6" s="47"/>
      <c r="CC6" s="47"/>
      <c r="CD6" s="47"/>
      <c r="CE6" s="47"/>
      <c r="CF6" s="53" t="s">
        <v>46</v>
      </c>
      <c r="CG6" s="50">
        <v>0</v>
      </c>
      <c r="CH6" s="50" t="s">
        <v>47</v>
      </c>
      <c r="CI6" s="54" t="s">
        <v>17</v>
      </c>
      <c r="CJ6" s="49">
        <v>0</v>
      </c>
      <c r="CK6" s="52" t="s">
        <v>48</v>
      </c>
      <c r="CL6" s="51">
        <v>1</v>
      </c>
      <c r="CM6" s="50" t="s">
        <v>15</v>
      </c>
      <c r="CN6" s="52" t="s">
        <v>49</v>
      </c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</row>
    <row r="7" spans="1:154" ht="15.75" customHeight="1">
      <c r="A7" s="44"/>
      <c r="B7" s="43" t="s">
        <v>16</v>
      </c>
      <c r="C7" s="44"/>
      <c r="D7" s="45">
        <v>0</v>
      </c>
      <c r="E7" s="43">
        <v>100</v>
      </c>
      <c r="F7" s="44"/>
      <c r="G7" s="46" t="s">
        <v>42</v>
      </c>
      <c r="H7" s="55">
        <v>4</v>
      </c>
      <c r="I7" s="56">
        <v>5</v>
      </c>
      <c r="J7" s="44"/>
      <c r="K7" s="43">
        <v>10</v>
      </c>
      <c r="L7" s="43">
        <v>10</v>
      </c>
      <c r="M7" s="44"/>
      <c r="N7" s="44"/>
      <c r="O7" s="57"/>
      <c r="P7" s="47"/>
      <c r="Q7" s="48">
        <v>3</v>
      </c>
      <c r="R7" s="45">
        <v>0</v>
      </c>
      <c r="S7" s="47"/>
      <c r="T7" s="49">
        <v>0</v>
      </c>
      <c r="U7" s="49">
        <v>0</v>
      </c>
      <c r="V7" s="53" t="s">
        <v>50</v>
      </c>
      <c r="W7" s="51">
        <v>1</v>
      </c>
      <c r="X7" s="47"/>
      <c r="Y7" s="47"/>
      <c r="Z7" s="52" t="s">
        <v>25</v>
      </c>
      <c r="AA7" s="47"/>
      <c r="AB7" s="51">
        <v>1</v>
      </c>
      <c r="AC7" s="47"/>
      <c r="AD7" s="53" t="s">
        <v>44</v>
      </c>
      <c r="AE7" s="50">
        <v>100</v>
      </c>
      <c r="AF7" s="47"/>
      <c r="AG7" s="47"/>
      <c r="AH7" s="52" t="s">
        <v>45</v>
      </c>
      <c r="AI7" s="51">
        <v>1</v>
      </c>
      <c r="AJ7" s="47"/>
      <c r="AK7" s="47"/>
      <c r="AL7" s="47"/>
      <c r="AM7" s="47"/>
      <c r="AN7" s="53"/>
      <c r="AO7" s="47"/>
      <c r="AP7" s="47"/>
      <c r="AQ7" s="53"/>
      <c r="AR7" s="53"/>
      <c r="AS7" s="49">
        <v>0</v>
      </c>
      <c r="AT7" s="58">
        <v>1014.0006</v>
      </c>
      <c r="AU7" s="58">
        <v>1014.0006</v>
      </c>
      <c r="AV7" s="47"/>
      <c r="AW7" s="49">
        <v>0</v>
      </c>
      <c r="AX7" s="49">
        <v>0</v>
      </c>
      <c r="AY7" s="52"/>
      <c r="AZ7" s="49">
        <v>0</v>
      </c>
      <c r="BA7" s="47"/>
      <c r="BB7" s="47"/>
      <c r="BC7" s="49">
        <v>0</v>
      </c>
      <c r="BD7" s="47"/>
      <c r="BE7" s="50">
        <v>1000</v>
      </c>
      <c r="BF7" s="50">
        <v>1000</v>
      </c>
      <c r="BG7" s="47"/>
      <c r="BH7" s="47"/>
      <c r="BI7" s="47"/>
      <c r="BJ7" s="50">
        <v>100</v>
      </c>
      <c r="BK7" s="49">
        <v>0</v>
      </c>
      <c r="BL7" s="47"/>
      <c r="BM7" s="52" t="s">
        <v>25</v>
      </c>
      <c r="BN7" s="47"/>
      <c r="BO7" s="50" t="s">
        <v>17</v>
      </c>
      <c r="BP7" s="49">
        <v>0</v>
      </c>
      <c r="BQ7" s="47"/>
      <c r="BR7" s="58">
        <v>5.9999999999999995E-4</v>
      </c>
      <c r="BS7" s="47"/>
      <c r="BT7" s="50" t="s">
        <v>20</v>
      </c>
      <c r="BU7" s="59">
        <v>3</v>
      </c>
      <c r="BV7" s="49">
        <v>0</v>
      </c>
      <c r="BW7" s="58">
        <v>14.0006</v>
      </c>
      <c r="BX7" s="49">
        <v>0</v>
      </c>
      <c r="BY7" s="47"/>
      <c r="BZ7" s="47"/>
      <c r="CA7" s="47"/>
      <c r="CB7" s="47"/>
      <c r="CC7" s="47"/>
      <c r="CD7" s="47"/>
      <c r="CE7" s="47"/>
      <c r="CF7" s="53" t="s">
        <v>46</v>
      </c>
      <c r="CG7" s="51">
        <v>2</v>
      </c>
      <c r="CH7" s="50" t="s">
        <v>18</v>
      </c>
      <c r="CI7" s="54" t="s">
        <v>17</v>
      </c>
      <c r="CJ7" s="49">
        <v>0</v>
      </c>
      <c r="CK7" s="52" t="s">
        <v>48</v>
      </c>
      <c r="CL7" s="51">
        <v>1</v>
      </c>
      <c r="CM7" s="50" t="s">
        <v>20</v>
      </c>
      <c r="CN7" s="52" t="s">
        <v>49</v>
      </c>
      <c r="CO7" s="52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F7" s="47"/>
      <c r="DG7" s="47"/>
      <c r="DH7" s="47"/>
      <c r="DI7" s="47"/>
      <c r="DJ7" s="47"/>
      <c r="DK7" s="47"/>
      <c r="DL7" s="47"/>
      <c r="DM7" s="47"/>
      <c r="DN7" s="47"/>
      <c r="DO7" s="47"/>
      <c r="DP7" s="47"/>
      <c r="DQ7" s="47"/>
      <c r="DR7" s="47"/>
      <c r="DS7" s="47"/>
      <c r="DT7" s="47"/>
      <c r="DU7" s="47"/>
      <c r="DV7" s="47"/>
      <c r="DW7" s="47"/>
      <c r="DX7" s="47"/>
      <c r="DY7" s="47"/>
      <c r="DZ7" s="47"/>
      <c r="EA7" s="47"/>
      <c r="EB7" s="47"/>
      <c r="EC7" s="47"/>
      <c r="ED7" s="47"/>
      <c r="EE7" s="47"/>
      <c r="EF7" s="47"/>
      <c r="EG7" s="47"/>
      <c r="EH7" s="47"/>
      <c r="EI7" s="47"/>
      <c r="EJ7" s="47"/>
      <c r="EK7" s="47"/>
      <c r="EL7" s="47"/>
      <c r="EM7" s="47"/>
      <c r="EN7" s="47"/>
      <c r="EO7" s="47"/>
      <c r="EP7" s="47"/>
      <c r="EQ7" s="47"/>
      <c r="ER7" s="47"/>
      <c r="ES7" s="47"/>
      <c r="ET7" s="47"/>
      <c r="EU7" s="47"/>
      <c r="EV7" s="47"/>
      <c r="EW7" s="47"/>
      <c r="EX7" s="47"/>
    </row>
    <row r="8" spans="1:154" ht="15.75" customHeight="1">
      <c r="A8" s="44"/>
      <c r="B8" s="43" t="s">
        <v>16</v>
      </c>
      <c r="C8" s="44"/>
      <c r="D8" s="45">
        <v>0</v>
      </c>
      <c r="E8" s="43">
        <v>90</v>
      </c>
      <c r="F8" s="44"/>
      <c r="G8" s="46" t="s">
        <v>42</v>
      </c>
      <c r="H8" s="55">
        <v>4</v>
      </c>
      <c r="I8" s="56">
        <v>5</v>
      </c>
      <c r="J8" s="44"/>
      <c r="K8" s="43">
        <v>10</v>
      </c>
      <c r="L8" s="43">
        <v>10</v>
      </c>
      <c r="M8" s="44"/>
      <c r="N8" s="44"/>
      <c r="O8" s="57"/>
      <c r="P8" s="47"/>
      <c r="Q8" s="48">
        <v>3</v>
      </c>
      <c r="R8" s="45">
        <v>0</v>
      </c>
      <c r="S8" s="47"/>
      <c r="T8" s="49">
        <v>0</v>
      </c>
      <c r="U8" s="49">
        <v>0</v>
      </c>
      <c r="V8" s="53" t="s">
        <v>50</v>
      </c>
      <c r="W8" s="51">
        <v>1</v>
      </c>
      <c r="X8" s="47"/>
      <c r="Y8" s="47"/>
      <c r="Z8" s="52" t="s">
        <v>25</v>
      </c>
      <c r="AA8" s="47"/>
      <c r="AB8" s="51">
        <v>1</v>
      </c>
      <c r="AC8" s="47"/>
      <c r="AD8" s="53" t="s">
        <v>44</v>
      </c>
      <c r="AE8" s="50">
        <v>90</v>
      </c>
      <c r="AF8" s="47"/>
      <c r="AG8" s="47"/>
      <c r="AH8" s="52" t="s">
        <v>45</v>
      </c>
      <c r="AI8" s="51">
        <v>1</v>
      </c>
      <c r="AJ8" s="47"/>
      <c r="AK8" s="47"/>
      <c r="AL8" s="47"/>
      <c r="AM8" s="47"/>
      <c r="AN8" s="53"/>
      <c r="AO8" s="47"/>
      <c r="AP8" s="47"/>
      <c r="AQ8" s="53"/>
      <c r="AR8" s="53"/>
      <c r="AS8" s="49">
        <v>0</v>
      </c>
      <c r="AT8" s="58">
        <v>914.00049999999999</v>
      </c>
      <c r="AU8" s="58">
        <v>914.00049999999999</v>
      </c>
      <c r="AV8" s="47"/>
      <c r="AW8" s="49">
        <v>0</v>
      </c>
      <c r="AX8" s="49">
        <v>0</v>
      </c>
      <c r="AY8" s="52"/>
      <c r="AZ8" s="49">
        <v>0</v>
      </c>
      <c r="BA8" s="47"/>
      <c r="BB8" s="47"/>
      <c r="BC8" s="49">
        <v>0</v>
      </c>
      <c r="BD8" s="47"/>
      <c r="BE8" s="50">
        <v>900</v>
      </c>
      <c r="BF8" s="50">
        <v>900</v>
      </c>
      <c r="BG8" s="47"/>
      <c r="BH8" s="47"/>
      <c r="BI8" s="47"/>
      <c r="BJ8" s="50">
        <v>90</v>
      </c>
      <c r="BK8" s="49">
        <v>0</v>
      </c>
      <c r="BL8" s="47"/>
      <c r="BM8" s="52" t="s">
        <v>25</v>
      </c>
      <c r="BN8" s="47"/>
      <c r="BO8" s="50" t="s">
        <v>17</v>
      </c>
      <c r="BP8" s="49">
        <v>0</v>
      </c>
      <c r="BQ8" s="47"/>
      <c r="BR8" s="58">
        <v>5.0000000000000001E-4</v>
      </c>
      <c r="BS8" s="47"/>
      <c r="BT8" s="50" t="s">
        <v>20</v>
      </c>
      <c r="BU8" s="59">
        <v>3</v>
      </c>
      <c r="BV8" s="49">
        <v>0</v>
      </c>
      <c r="BW8" s="58">
        <v>14.000500000000001</v>
      </c>
      <c r="BX8" s="49">
        <v>0</v>
      </c>
      <c r="BY8" s="47"/>
      <c r="BZ8" s="47"/>
      <c r="CA8" s="47"/>
      <c r="CB8" s="47"/>
      <c r="CC8" s="47"/>
      <c r="CD8" s="47"/>
      <c r="CE8" s="47"/>
      <c r="CF8" s="53" t="s">
        <v>46</v>
      </c>
      <c r="CG8" s="51">
        <v>2</v>
      </c>
      <c r="CH8" s="50" t="s">
        <v>28</v>
      </c>
      <c r="CI8" s="54" t="s">
        <v>17</v>
      </c>
      <c r="CJ8" s="49">
        <v>0</v>
      </c>
      <c r="CK8" s="52" t="s">
        <v>48</v>
      </c>
      <c r="CL8" s="51">
        <v>1</v>
      </c>
      <c r="CM8" s="50" t="s">
        <v>20</v>
      </c>
      <c r="CN8" s="52" t="s">
        <v>49</v>
      </c>
      <c r="CO8" s="52"/>
      <c r="CP8" s="47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7"/>
      <c r="DE8" s="47"/>
      <c r="DF8" s="47"/>
      <c r="DG8" s="47"/>
      <c r="DH8" s="47"/>
      <c r="DI8" s="47"/>
      <c r="DJ8" s="47"/>
      <c r="DK8" s="47"/>
      <c r="DL8" s="47"/>
      <c r="DM8" s="47"/>
      <c r="DN8" s="47"/>
      <c r="DO8" s="47"/>
      <c r="DP8" s="47"/>
      <c r="DQ8" s="47"/>
      <c r="DR8" s="47"/>
      <c r="DS8" s="47"/>
      <c r="DT8" s="47"/>
      <c r="DU8" s="47"/>
      <c r="DV8" s="47"/>
      <c r="DW8" s="47"/>
      <c r="DX8" s="47"/>
      <c r="DY8" s="47"/>
      <c r="DZ8" s="47"/>
      <c r="EA8" s="47"/>
      <c r="EB8" s="47"/>
      <c r="EC8" s="47"/>
      <c r="ED8" s="47"/>
      <c r="EE8" s="47"/>
      <c r="EF8" s="47"/>
      <c r="EG8" s="47"/>
      <c r="EH8" s="47"/>
      <c r="EI8" s="47"/>
      <c r="EJ8" s="47"/>
      <c r="EK8" s="47"/>
      <c r="EL8" s="47"/>
      <c r="EM8" s="47"/>
      <c r="EN8" s="47"/>
      <c r="EO8" s="47"/>
      <c r="EP8" s="47"/>
      <c r="EQ8" s="47"/>
      <c r="ER8" s="47"/>
      <c r="ES8" s="47"/>
      <c r="ET8" s="47"/>
      <c r="EU8" s="47"/>
      <c r="EV8" s="47"/>
      <c r="EW8" s="47"/>
      <c r="EX8" s="47"/>
    </row>
    <row r="9" spans="1:154" ht="15.75" customHeight="1">
      <c r="A9" s="44"/>
      <c r="B9" s="43" t="s">
        <v>16</v>
      </c>
      <c r="C9" s="44"/>
      <c r="D9" s="45">
        <v>0</v>
      </c>
      <c r="E9" s="43">
        <v>250</v>
      </c>
      <c r="F9" s="44"/>
      <c r="G9" s="46" t="s">
        <v>42</v>
      </c>
      <c r="H9" s="55">
        <v>4</v>
      </c>
      <c r="I9" s="56">
        <v>5</v>
      </c>
      <c r="J9" s="44"/>
      <c r="K9" s="43">
        <v>25</v>
      </c>
      <c r="L9" s="43">
        <v>25</v>
      </c>
      <c r="M9" s="44"/>
      <c r="N9" s="44"/>
      <c r="O9" s="57"/>
      <c r="P9" s="47"/>
      <c r="Q9" s="48">
        <v>3</v>
      </c>
      <c r="R9" s="45">
        <v>0</v>
      </c>
      <c r="S9" s="47"/>
      <c r="T9" s="49">
        <v>0</v>
      </c>
      <c r="U9" s="49">
        <v>0</v>
      </c>
      <c r="V9" s="50" t="s">
        <v>43</v>
      </c>
      <c r="W9" s="51">
        <v>1</v>
      </c>
      <c r="X9" s="47"/>
      <c r="Y9" s="47"/>
      <c r="Z9" s="52" t="s">
        <v>25</v>
      </c>
      <c r="AA9" s="47"/>
      <c r="AB9" s="51">
        <v>1</v>
      </c>
      <c r="AC9" s="47"/>
      <c r="AD9" s="53" t="s">
        <v>44</v>
      </c>
      <c r="AE9" s="50">
        <v>250</v>
      </c>
      <c r="AF9" s="47"/>
      <c r="AG9" s="47"/>
      <c r="AH9" s="52" t="s">
        <v>45</v>
      </c>
      <c r="AI9" s="51">
        <v>1</v>
      </c>
      <c r="AJ9" s="47"/>
      <c r="AK9" s="47"/>
      <c r="AL9" s="47"/>
      <c r="AM9" s="47"/>
      <c r="AN9" s="53"/>
      <c r="AO9" s="47"/>
      <c r="AP9" s="47"/>
      <c r="AQ9" s="53"/>
      <c r="AR9" s="53"/>
      <c r="AS9" s="49">
        <v>0</v>
      </c>
      <c r="AT9" s="58">
        <v>6264.0034999999998</v>
      </c>
      <c r="AU9" s="58">
        <v>6264.0034999999998</v>
      </c>
      <c r="AV9" s="47"/>
      <c r="AW9" s="49">
        <v>0</v>
      </c>
      <c r="AX9" s="49">
        <v>0</v>
      </c>
      <c r="AY9" s="52"/>
      <c r="AZ9" s="49">
        <v>0</v>
      </c>
      <c r="BA9" s="47"/>
      <c r="BB9" s="47"/>
      <c r="BC9" s="49">
        <v>0</v>
      </c>
      <c r="BD9" s="47"/>
      <c r="BE9" s="50">
        <v>6250</v>
      </c>
      <c r="BF9" s="50">
        <v>6250</v>
      </c>
      <c r="BG9" s="47"/>
      <c r="BH9" s="47"/>
      <c r="BI9" s="47"/>
      <c r="BJ9" s="50">
        <v>250</v>
      </c>
      <c r="BK9" s="49">
        <v>0</v>
      </c>
      <c r="BL9" s="47"/>
      <c r="BM9" s="52" t="s">
        <v>25</v>
      </c>
      <c r="BN9" s="47"/>
      <c r="BO9" s="50" t="s">
        <v>17</v>
      </c>
      <c r="BP9" s="49">
        <v>0</v>
      </c>
      <c r="BQ9" s="47"/>
      <c r="BR9" s="58">
        <v>3.5000000000000001E-3</v>
      </c>
      <c r="BS9" s="47"/>
      <c r="BT9" s="50" t="s">
        <v>15</v>
      </c>
      <c r="BU9" s="59">
        <v>3</v>
      </c>
      <c r="BV9" s="49">
        <v>0</v>
      </c>
      <c r="BW9" s="58">
        <v>14.003500000000001</v>
      </c>
      <c r="BX9" s="49">
        <v>0</v>
      </c>
      <c r="BY9" s="47"/>
      <c r="BZ9" s="47"/>
      <c r="CA9" s="47"/>
      <c r="CB9" s="47"/>
      <c r="CC9" s="47"/>
      <c r="CD9" s="47"/>
      <c r="CE9" s="47"/>
      <c r="CF9" s="53" t="s">
        <v>46</v>
      </c>
      <c r="CG9" s="51">
        <v>2</v>
      </c>
      <c r="CH9" s="50" t="s">
        <v>51</v>
      </c>
      <c r="CI9" s="54" t="s">
        <v>17</v>
      </c>
      <c r="CJ9" s="49">
        <v>0</v>
      </c>
      <c r="CK9" s="52" t="s">
        <v>48</v>
      </c>
      <c r="CL9" s="51">
        <v>1</v>
      </c>
      <c r="CM9" s="50" t="s">
        <v>15</v>
      </c>
      <c r="CN9" s="52" t="s">
        <v>49</v>
      </c>
      <c r="CO9" s="52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/>
      <c r="DO9" s="47"/>
      <c r="DP9" s="47"/>
      <c r="DQ9" s="47"/>
      <c r="DR9" s="47"/>
      <c r="DS9" s="47"/>
      <c r="DT9" s="47"/>
      <c r="DU9" s="47"/>
      <c r="DV9" s="47"/>
      <c r="DW9" s="47"/>
      <c r="DX9" s="47"/>
      <c r="DY9" s="47"/>
      <c r="DZ9" s="47"/>
      <c r="EA9" s="47"/>
      <c r="EB9" s="47"/>
      <c r="EC9" s="47"/>
      <c r="ED9" s="47"/>
      <c r="EE9" s="47"/>
      <c r="EF9" s="47"/>
      <c r="EG9" s="47"/>
      <c r="EH9" s="47"/>
      <c r="EI9" s="47"/>
      <c r="EJ9" s="47"/>
      <c r="EK9" s="47"/>
      <c r="EL9" s="47"/>
      <c r="EM9" s="47"/>
      <c r="EN9" s="47"/>
      <c r="EO9" s="47"/>
      <c r="EP9" s="47"/>
      <c r="EQ9" s="47"/>
      <c r="ER9" s="47"/>
      <c r="ES9" s="47"/>
      <c r="ET9" s="47"/>
      <c r="EU9" s="47"/>
      <c r="EV9" s="47"/>
      <c r="EW9" s="47"/>
      <c r="EX9" s="47"/>
    </row>
    <row r="10" spans="1:154" ht="15.75" customHeight="1">
      <c r="A10" s="5"/>
      <c r="B10" s="5"/>
      <c r="C10" s="5"/>
      <c r="D10" s="4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abSelected="1" workbookViewId="0">
      <selection activeCell="H14" sqref="H14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62" t="s">
        <v>11</v>
      </c>
      <c r="C1" s="63"/>
      <c r="D1" s="63"/>
      <c r="E1" s="63"/>
      <c r="F1" s="63"/>
      <c r="G1" s="63"/>
      <c r="H1" s="6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52</v>
      </c>
      <c r="D3" s="2" t="s">
        <v>9</v>
      </c>
      <c r="E3" s="18" t="s">
        <v>53</v>
      </c>
      <c r="F3" s="2" t="s">
        <v>13</v>
      </c>
      <c r="G3" s="10" t="s">
        <v>14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IFERROR(__xludf.DUMMYFUNCTION("IF(C3="""","""",Transpose(IMPORTRANGE('_Settings'!$B$3,C3&amp;""!A4:A1000"")))"),"UploadDropcopyFile")</f>
        <v>UploadDropcopyFile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IFERROR(__xludf.DUMMYFUNCTION("""COMPUTED_VALUE"""),"AppendToOrderId")</f>
        <v>AppendToOrderId</v>
      </c>
      <c r="C5" s="23" t="str">
        <f ca="1">IFERROR(__xludf.DUMMYFUNCTION("""COMPUTED_VALUE"""),"UploadFile")</f>
        <v>UploadFile</v>
      </c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6">
        <v>1</v>
      </c>
      <c r="C6" s="66" t="s">
        <v>62</v>
      </c>
      <c r="D6" s="9"/>
      <c r="E6" s="33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hyperlinks>
    <hyperlink ref="C6" r:id="rId1"/>
  </hyperlinks>
  <pageMargins left="0.7" right="0.7" top="0.75" bottom="0.75" header="0.3" footer="0.3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8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62" t="s">
        <v>11</v>
      </c>
      <c r="C1" s="63"/>
      <c r="D1" s="63"/>
      <c r="E1" s="63"/>
      <c r="F1" s="63"/>
      <c r="G1" s="63"/>
      <c r="H1" s="6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38</v>
      </c>
      <c r="D3" s="2" t="s">
        <v>9</v>
      </c>
      <c r="E3" s="18" t="s">
        <v>54</v>
      </c>
      <c r="F3" s="2" t="s">
        <v>13</v>
      </c>
      <c r="G3" s="10" t="s">
        <v>14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IFERROR(__xludf.DUMMYFUNCTION("""COMPUTED_VALUE"""),"Accrual Basis")</f>
        <v>Accrual Basis</v>
      </c>
      <c r="C5" s="23" t="str">
        <f ca="1">IFERROR(__xludf.DUMMYFUNCTION("""COMPUTED_VALUE"""),"Accrued Interest")</f>
        <v>Accrued Interest</v>
      </c>
      <c r="D5" s="23" t="str">
        <f ca="1">IFERROR(__xludf.DUMMYFUNCTION("""COMPUTED_VALUE"""),"Allocated Qty")</f>
        <v>Allocated Qty</v>
      </c>
      <c r="E5" s="23" t="str">
        <f ca="1">IFERROR(__xludf.DUMMYFUNCTION("""COMPUTED_VALUE"""),"Allocation Scheme Name")</f>
        <v>Allocation Scheme Name</v>
      </c>
      <c r="F5" s="24" t="str">
        <f ca="1">IFERROR(__xludf.DUMMYFUNCTION("""COMPUTED_VALUE"""),"Asset Category")</f>
        <v>Asset Category</v>
      </c>
      <c r="G5" s="23" t="str">
        <f ca="1">IFERROR(__xludf.DUMMYFUNCTION("""COMPUTED_VALUE"""),"AUEC Fee1")</f>
        <v>AUEC Fee1</v>
      </c>
      <c r="H5" s="23" t="str">
        <f ca="1">IFERROR(__xludf.DUMMYFUNCTION("""COMPUTED_VALUE"""),"AUEC Fee2")</f>
        <v>AUEC Fee2</v>
      </c>
      <c r="I5" s="23" t="str">
        <f ca="1">IFERROR(__xludf.DUMMYFUNCTION("""COMPUTED_VALUE"""),"AUECID")</f>
        <v>AUECID</v>
      </c>
      <c r="J5" s="23" t="str">
        <f ca="1">IFERROR(__xludf.DUMMYFUNCTION("""COMPUTED_VALUE"""),"Avg Price(Base)")</f>
        <v>Avg Price(Base)</v>
      </c>
      <c r="K5" s="23" t="str">
        <f ca="1">IFERROR(__xludf.DUMMYFUNCTION("""COMPUTED_VALUE"""),"Avg Price(Local)")</f>
        <v>Avg Price(Local)</v>
      </c>
      <c r="L5" s="23" t="str">
        <f ca="1">IFERROR(__xludf.DUMMYFUNCTION("""COMPUTED_VALUE"""),"Bloomberg")</f>
        <v>Bloomberg</v>
      </c>
      <c r="M5" s="23" t="str">
        <f ca="1">IFERROR(__xludf.DUMMYFUNCTION("""COMPUTED_VALUE"""),"Bond Type")</f>
        <v>Bond Type</v>
      </c>
      <c r="N5" s="23" t="str">
        <f ca="1">IFERROR(__xludf.DUMMYFUNCTION("""COMPUTED_VALUE"""),"Broker")</f>
        <v>Broker</v>
      </c>
      <c r="O5" s="23" t="str">
        <f ca="1">IFERROR(__xludf.DUMMYFUNCTION("""COMPUTED_VALUE"""),"Change Comment")</f>
        <v>Change Comment</v>
      </c>
      <c r="P5" s="23" t="str">
        <f ca="1">IFERROR(__xludf.DUMMYFUNCTION("""COMPUTED_VALUE"""),"Change Type")</f>
        <v>Change Type</v>
      </c>
      <c r="Q5" s="23" t="str">
        <f ca="1">IFERROR(__xludf.DUMMYFUNCTION("""COMPUTED_VALUE"""),"Clearing Broker Fee")</f>
        <v>Clearing Broker Fee</v>
      </c>
      <c r="R5" s="23" t="str">
        <f ca="1">IFERROR(__xludf.DUMMYFUNCTION("""COMPUTED_VALUE"""),"Closing Method")</f>
        <v>Closing Method</v>
      </c>
      <c r="S5" s="23" t="str">
        <f ca="1">IFERROR(__xludf.DUMMYFUNCTION("""COMPUTED_VALUE"""),"Closing Status")</f>
        <v>Closing Status</v>
      </c>
      <c r="T5" s="25" t="str">
        <f ca="1">IFERROR(__xludf.DUMMYFUNCTION("""COMPUTED_VALUE"""),"Commission")</f>
        <v>Commission</v>
      </c>
      <c r="U5" s="25" t="str">
        <f ca="1">IFERROR(__xludf.DUMMYFUNCTION("""COMPUTED_VALUE"""),"Commission Per Share")</f>
        <v>Commission Per Share</v>
      </c>
      <c r="V5" s="25" t="str">
        <f ca="1">IFERROR(__xludf.DUMMYFUNCTION("""COMPUTED_VALUE"""),"Company")</f>
        <v>Company</v>
      </c>
      <c r="W5" s="25" t="str">
        <f ca="1">IFERROR(__xludf.DUMMYFUNCTION("""COMPUTED_VALUE"""),"Contract Multiplier")</f>
        <v>Contract Multiplier</v>
      </c>
      <c r="X5" s="25" t="str">
        <f ca="1">IFERROR(__xludf.DUMMYFUNCTION("""COMPUTED_VALUE"""),"Coupon Rate")</f>
        <v>Coupon Rate</v>
      </c>
      <c r="Y5" s="25" t="str">
        <f ca="1">IFERROR(__xludf.DUMMYFUNCTION("""COMPUTED_VALUE"""),"Cum Qty For Sub Order")</f>
        <v>Cum Qty For Sub Order</v>
      </c>
      <c r="Z5" s="25" t="str">
        <f ca="1">IFERROR(__xludf.DUMMYFUNCTION("""COMPUTED_VALUE"""),"Currency")</f>
        <v>Currency</v>
      </c>
      <c r="AA5" s="25" t="str">
        <f ca="1">IFERROR(__xludf.DUMMYFUNCTION("""COMPUTED_VALUE"""),"Cusip Symbol")</f>
        <v>Cusip Symbol</v>
      </c>
      <c r="AB5" s="25" t="str">
        <f ca="1">IFERROR(__xludf.DUMMYFUNCTION("""COMPUTED_VALUE"""),"Delta")</f>
        <v>Delta</v>
      </c>
      <c r="AC5" s="25" t="str">
        <f ca="1">IFERROR(__xludf.DUMMYFUNCTION("""COMPUTED_VALUE"""),"Description")</f>
        <v>Description</v>
      </c>
      <c r="AD5" s="25" t="str">
        <f ca="1">IFERROR(__xludf.DUMMYFUNCTION("""COMPUTED_VALUE"""),"Exchange")</f>
        <v>Exchange</v>
      </c>
      <c r="AE5" s="25" t="str">
        <f ca="1">IFERROR(__xludf.DUMMYFUNCTION("""COMPUTED_VALUE"""),"Executed Qty")</f>
        <v>Executed Qty</v>
      </c>
      <c r="AF5" s="25" t="str">
        <f ca="1">IFERROR(__xludf.DUMMYFUNCTION("""COMPUTED_VALUE"""),"Execution Time")</f>
        <v>Execution Time</v>
      </c>
      <c r="AG5" s="25" t="str">
        <f ca="1">IFERROR(__xludf.DUMMYFUNCTION("""COMPUTED_VALUE"""),"FX Conversion Operator")</f>
        <v>FX Conversion Operator</v>
      </c>
      <c r="AH5" s="25" t="str">
        <f ca="1">IFERROR(__xludf.DUMMYFUNCTION("""COMPUTED_VALUE"""),"FX Rate")</f>
        <v>FX Rate</v>
      </c>
      <c r="AI5" s="25" t="str">
        <f ca="1">IFERROR(__xludf.DUMMYFUNCTION("""COMPUTED_VALUE"""),"Group Status")</f>
        <v>Group Status</v>
      </c>
      <c r="AJ5" s="25" t="str">
        <f ca="1">IFERROR(__xludf.DUMMYFUNCTION("""COMPUTED_VALUE"""),"GroupID")</f>
        <v>GroupID</v>
      </c>
      <c r="AK5" s="25" t="str">
        <f ca="1">IFERROR(__xludf.DUMMYFUNCTION("""COMPUTED_VALUE"""),"IDCOSymbol")</f>
        <v>IDCOSymbol</v>
      </c>
      <c r="AL5" s="25" t="str">
        <f ca="1">IFERROR(__xludf.DUMMYFUNCTION("""COMPUTED_VALUE"""),"Import File Name")</f>
        <v>Import File Name</v>
      </c>
      <c r="AM5" s="25" t="str">
        <f ca="1">IFERROR(__xludf.DUMMYFUNCTION("""COMPUTED_VALUE"""),"Internal Comments")</f>
        <v>Internal Comments</v>
      </c>
      <c r="AN5" s="25" t="str">
        <f ca="1">IFERROR(__xludf.DUMMYFUNCTION("""COMPUTED_VALUE"""),"IsAnotherTaxlotAttributesUpdated")</f>
        <v>IsAnotherTaxlotAttributesUpdated</v>
      </c>
      <c r="AO5" s="25" t="str">
        <f ca="1">IFERROR(__xludf.DUMMYFUNCTION("""COMPUTED_VALUE"""),"ISIN")</f>
        <v>ISIN</v>
      </c>
      <c r="AP5" s="25" t="str">
        <f ca="1">IFERROR(__xludf.DUMMYFUNCTION("""COMPUTED_VALUE"""),"IsManual Group")</f>
        <v>IsManual Group</v>
      </c>
      <c r="AQ5" s="25" t="str">
        <f ca="1">IFERROR(__xludf.DUMMYFUNCTION("""COMPUTED_VALUE"""),"ISNDF")</f>
        <v>ISNDF</v>
      </c>
      <c r="AR5" s="25" t="str">
        <f ca="1">IFERROR(__xludf.DUMMYFUNCTION("""COMPUTED_VALUE"""),"IsPreAllocated")</f>
        <v>IsPreAllocated</v>
      </c>
      <c r="AS5" s="25" t="str">
        <f ca="1">IFERROR(__xludf.DUMMYFUNCTION("""COMPUTED_VALUE"""),"M2MProfitLoss")</f>
        <v>M2MProfitLoss</v>
      </c>
      <c r="AT5" s="25" t="str">
        <f ca="1">IFERROR(__xludf.DUMMYFUNCTION("""COMPUTED_VALUE"""),"Net Amount( Base)")</f>
        <v>Net Amount( Base)</v>
      </c>
      <c r="AU5" s="25" t="str">
        <f ca="1">IFERROR(__xludf.DUMMYFUNCTION("""COMPUTED_VALUE"""),"Net Amount( Local)")</f>
        <v>Net Amount( Local)</v>
      </c>
      <c r="AV5" s="25" t="str">
        <f ca="1">IFERROR(__xludf.DUMMYFUNCTION("""COMPUTED_VALUE"""),"Nirvana Process Date")</f>
        <v>Nirvana Process Date</v>
      </c>
      <c r="AW5" s="25" t="str">
        <f ca="1">IFERROR(__xludf.DUMMYFUNCTION("""COMPUTED_VALUE"""),"OCC Fee")</f>
        <v>OCC Fee</v>
      </c>
      <c r="AX5" s="25" t="str">
        <f ca="1">IFERROR(__xludf.DUMMYFUNCTION("""COMPUTED_VALUE"""),"Option Premium Adjustment")</f>
        <v>Option Premium Adjustment</v>
      </c>
      <c r="AY5" s="25" t="str">
        <f ca="1">IFERROR(__xludf.DUMMYFUNCTION("""COMPUTED_VALUE"""),"Order Type")</f>
        <v>Order Type</v>
      </c>
      <c r="AZ5" s="25" t="str">
        <f ca="1">IFERROR(__xludf.DUMMYFUNCTION("""COMPUTED_VALUE"""),"ORF Fee")</f>
        <v>ORF Fee</v>
      </c>
      <c r="BA5" s="25" t="str">
        <f ca="1">IFERROR(__xludf.DUMMYFUNCTION("""COMPUTED_VALUE"""),"Original Purchase Date")</f>
        <v>Original Purchase Date</v>
      </c>
      <c r="BB5" s="25" t="str">
        <f ca="1">IFERROR(__xludf.DUMMYFUNCTION("""COMPUTED_VALUE"""),"OSISSymbol")</f>
        <v>OSISSymbol</v>
      </c>
      <c r="BC5" s="25" t="str">
        <f ca="1">IFERROR(__xludf.DUMMYFUNCTION("""COMPUTED_VALUE"""),"Other Broker Fees")</f>
        <v>Other Broker Fees</v>
      </c>
      <c r="BD5" s="25" t="str">
        <f ca="1">IFERROR(__xludf.DUMMYFUNCTION("""COMPUTED_VALUE"""),"Prana Msg Type")</f>
        <v>Prana Msg Type</v>
      </c>
      <c r="BE5" s="25" t="str">
        <f ca="1">IFERROR(__xludf.DUMMYFUNCTION("""COMPUTED_VALUE"""),"Principal Amount( Base)")</f>
        <v>Principal Amount( Base)</v>
      </c>
      <c r="BF5" s="25" t="str">
        <f ca="1">IFERROR(__xludf.DUMMYFUNCTION("""COMPUTED_VALUE"""),"Principal Amount( Local)")</f>
        <v>Principal Amount( Local)</v>
      </c>
      <c r="BG5" s="25" t="str">
        <f ca="1">IFERROR(__xludf.DUMMYFUNCTION("""COMPUTED_VALUE"""),"Process Date")</f>
        <v>Process Date</v>
      </c>
      <c r="BH5" s="25" t="str">
        <f ca="1">IFERROR(__xludf.DUMMYFUNCTION("""COMPUTED_VALUE"""),"Proxy Symbol")</f>
        <v>Proxy Symbol</v>
      </c>
      <c r="BI5" s="25" t="str">
        <f ca="1">IFERROR(__xludf.DUMMYFUNCTION("""COMPUTED_VALUE"""),"Put Or Call")</f>
        <v>Put Or Call</v>
      </c>
      <c r="BJ5" s="25" t="str">
        <f ca="1">IFERROR(__xludf.DUMMYFUNCTION("""COMPUTED_VALUE"""),"Quantity")</f>
        <v>Quantity</v>
      </c>
      <c r="BK5" s="25" t="str">
        <f ca="1">IFERROR(__xludf.DUMMYFUNCTION("""COMPUTED_VALUE"""),"SEC Fee")</f>
        <v>SEC Fee</v>
      </c>
      <c r="BL5" s="25" t="str">
        <f ca="1">IFERROR(__xludf.DUMMYFUNCTION("""COMPUTED_VALUE"""),"Sedol Symbol")</f>
        <v>Sedol Symbol</v>
      </c>
      <c r="BM5" s="25" t="str">
        <f ca="1">IFERROR(__xludf.DUMMYFUNCTION("""COMPUTED_VALUE"""),"Settlement Currency")</f>
        <v>Settlement Currency</v>
      </c>
      <c r="BN5" s="25" t="str">
        <f ca="1">IFERROR(__xludf.DUMMYFUNCTION("""COMPUTED_VALUE"""),"Settlement Date")</f>
        <v>Settlement Date</v>
      </c>
      <c r="BO5" s="25" t="str">
        <f ca="1">IFERROR(__xludf.DUMMYFUNCTION("""COMPUTED_VALUE"""),"Side")</f>
        <v>Side</v>
      </c>
      <c r="BP5" s="25" t="str">
        <f ca="1">IFERROR(__xludf.DUMMYFUNCTION("""COMPUTED_VALUE"""),"Soft Commission")</f>
        <v>Soft Commission</v>
      </c>
      <c r="BQ5" s="25" t="str">
        <f ca="1">IFERROR(__xludf.DUMMYFUNCTION("""COMPUTED_VALUE"""),"Soft Commission Per Share")</f>
        <v>Soft Commission Per Share</v>
      </c>
      <c r="BR5" s="25" t="str">
        <f ca="1">IFERROR(__xludf.DUMMYFUNCTION("""COMPUTED_VALUE"""),"Stamp Duty")</f>
        <v>Stamp Duty</v>
      </c>
      <c r="BS5" s="25" t="str">
        <f ca="1">IFERROR(__xludf.DUMMYFUNCTION("""COMPUTED_VALUE"""),"Symbol")</f>
        <v>Symbol</v>
      </c>
      <c r="BT5" s="25" t="str">
        <f ca="1">IFERROR(__xludf.DUMMYFUNCTION("""COMPUTED_VALUE"""),"Tax On Commissions")</f>
        <v>Tax On Commissions</v>
      </c>
      <c r="BU5" s="25" t="str">
        <f ca="1">IFERROR(__xludf.DUMMYFUNCTION("""COMPUTED_VALUE"""),"Total Commission")</f>
        <v>Total Commission</v>
      </c>
      <c r="BV5" s="25" t="str">
        <f ca="1">IFERROR(__xludf.DUMMYFUNCTION("""COMPUTED_VALUE"""),"Total Commission And Fee")</f>
        <v>Total Commission And Fee</v>
      </c>
      <c r="BW5" s="25" t="str">
        <f ca="1">IFERROR(__xludf.DUMMYFUNCTION("""COMPUTED_VALUE"""),"Total Commission Per Share")</f>
        <v>Total Commission Per Share</v>
      </c>
      <c r="BX5" s="25" t="str">
        <f ca="1">IFERROR(__xludf.DUMMYFUNCTION("""COMPUTED_VALUE"""),"Trade Attribute 1")</f>
        <v>Trade Attribute 1</v>
      </c>
      <c r="BY5" s="25" t="str">
        <f ca="1">IFERROR(__xludf.DUMMYFUNCTION("""COMPUTED_VALUE"""),"Trade Attribute 2")</f>
        <v>Trade Attribute 2</v>
      </c>
      <c r="BZ5" s="25" t="str">
        <f ca="1">IFERROR(__xludf.DUMMYFUNCTION("""COMPUTED_VALUE"""),"Trade Attribute 3")</f>
        <v>Trade Attribute 3</v>
      </c>
      <c r="CA5" s="25" t="str">
        <f ca="1">IFERROR(__xludf.DUMMYFUNCTION("""COMPUTED_VALUE"""),"Trade Attribute 4")</f>
        <v>Trade Attribute 4</v>
      </c>
      <c r="CB5" s="25" t="str">
        <f ca="1">IFERROR(__xludf.DUMMYFUNCTION("""COMPUTED_VALUE"""),"Trade Attribute 5")</f>
        <v>Trade Attribute 5</v>
      </c>
      <c r="CC5" s="25" t="str">
        <f ca="1">IFERROR(__xludf.DUMMYFUNCTION("""COMPUTED_VALUE"""),"Trade Attribute 6")</f>
        <v>Trade Attribute 6</v>
      </c>
      <c r="CD5" s="25" t="str">
        <f ca="1">IFERROR(__xludf.DUMMYFUNCTION("""COMPUTED_VALUE"""),"Trade Date")</f>
        <v>Trade Date</v>
      </c>
      <c r="CE5" s="25" t="str">
        <f ca="1">IFERROR(__xludf.DUMMYFUNCTION("""COMPUTED_VALUE"""),"Trading Account")</f>
        <v>Trading Account</v>
      </c>
      <c r="CF5" s="25" t="str">
        <f ca="1">IFERROR(__xludf.DUMMYFUNCTION("""COMPUTED_VALUE"""),"Transaction Levy")</f>
        <v>Transaction Levy</v>
      </c>
      <c r="CG5" s="25" t="str">
        <f ca="1">IFERROR(__xludf.DUMMYFUNCTION("""COMPUTED_VALUE"""),"Transaction Source")</f>
        <v>Transaction Source</v>
      </c>
      <c r="CH5" s="25" t="str">
        <f ca="1">IFERROR(__xludf.DUMMYFUNCTION("""COMPUTED_VALUE"""),"Transaction Type")</f>
        <v>Transaction Type</v>
      </c>
      <c r="CI5" s="25" t="str">
        <f ca="1">IFERROR(__xludf.DUMMYFUNCTION("""COMPUTED_VALUE"""),"UnAllocatedQty")</f>
        <v>UnAllocatedQty</v>
      </c>
      <c r="CJ5" s="25" t="str">
        <f ca="1">IFERROR(__xludf.DUMMYFUNCTION("""COMPUTED_VALUE"""),"Underlying")</f>
        <v>Underlying</v>
      </c>
      <c r="CK5" s="25" t="str">
        <f ca="1">IFERROR(__xludf.DUMMYFUNCTION("""COMPUTED_VALUE"""),"Underlying Delta")</f>
        <v>Underlying Delta</v>
      </c>
      <c r="CL5" s="25" t="str">
        <f ca="1">IFERROR(__xludf.DUMMYFUNCTION("""COMPUTED_VALUE"""),"Underlying Symbol")</f>
        <v>Underlying Symbol</v>
      </c>
      <c r="CM5" s="25" t="str">
        <f ca="1">IFERROR(__xludf.DUMMYFUNCTION("""COMPUTED_VALUE"""),"User")</f>
        <v>User</v>
      </c>
      <c r="CN5" s="25" t="str">
        <f ca="1">IFERROR(__xludf.DUMMYFUNCTION("""COMPUTED_VALUE"""),"Venue")</f>
        <v>Venue</v>
      </c>
      <c r="CO5" s="25" t="str">
        <f ca="1">IFERROR(__xludf.DUMMYFUNCTION("""COMPUTED_VALUE"""),"Closing Date")</f>
        <v>Closing Date</v>
      </c>
      <c r="CP5" s="25" t="str">
        <f ca="1">IFERROR(__xludf.DUMMYFUNCTION("""COMPUTED_VALUE"""),"Expiration Date")</f>
        <v>Expiration Date</v>
      </c>
      <c r="CQ5" s="25" t="str">
        <f ca="1">IFERROR(__xludf.DUMMYFUNCTION("""COMPUTED_VALUE"""),"Master Fund")</f>
        <v>Master Fund</v>
      </c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43"/>
      <c r="B6" s="43"/>
      <c r="C6" s="45">
        <v>0</v>
      </c>
      <c r="D6" s="43">
        <v>0</v>
      </c>
      <c r="E6" s="43"/>
      <c r="F6" s="46" t="s">
        <v>42</v>
      </c>
      <c r="G6" s="43">
        <v>29</v>
      </c>
      <c r="H6" s="45">
        <v>0</v>
      </c>
      <c r="I6" s="44"/>
      <c r="J6" s="43">
        <v>10.16</v>
      </c>
      <c r="K6" s="43">
        <v>10.16</v>
      </c>
      <c r="L6" s="44"/>
      <c r="M6" s="44"/>
      <c r="N6" s="43" t="s">
        <v>55</v>
      </c>
      <c r="O6" s="44"/>
      <c r="P6" s="48">
        <v>3</v>
      </c>
      <c r="Q6" s="60">
        <v>0</v>
      </c>
      <c r="R6" s="47"/>
      <c r="S6" s="57" t="s">
        <v>56</v>
      </c>
      <c r="T6" s="49">
        <v>0</v>
      </c>
      <c r="U6" s="49">
        <v>0</v>
      </c>
      <c r="V6" s="50" t="s">
        <v>57</v>
      </c>
      <c r="W6" s="51">
        <v>1</v>
      </c>
      <c r="X6" s="47"/>
      <c r="Y6" s="47"/>
      <c r="Z6" s="52" t="s">
        <v>25</v>
      </c>
      <c r="AA6" s="47"/>
      <c r="AB6" s="51">
        <v>1</v>
      </c>
      <c r="AC6" s="47"/>
      <c r="AD6" s="50" t="s">
        <v>58</v>
      </c>
      <c r="AE6" s="50">
        <v>320</v>
      </c>
      <c r="AF6" s="47"/>
      <c r="AG6" s="52" t="s">
        <v>45</v>
      </c>
      <c r="AH6" s="51">
        <v>1</v>
      </c>
      <c r="AI6" s="47"/>
      <c r="AJ6" s="47"/>
      <c r="AK6" s="47"/>
      <c r="AL6" s="47"/>
      <c r="AM6" s="47"/>
      <c r="AN6" s="53"/>
      <c r="AO6" s="47"/>
      <c r="AP6" s="53"/>
      <c r="AQ6" s="53"/>
      <c r="AR6" s="47"/>
      <c r="AS6" s="51">
        <v>0</v>
      </c>
      <c r="AT6" s="61">
        <v>3281.7689599999999</v>
      </c>
      <c r="AU6" s="61">
        <v>3281.7689599999999</v>
      </c>
      <c r="AV6" s="47"/>
      <c r="AW6" s="51">
        <v>0</v>
      </c>
      <c r="AX6" s="47"/>
      <c r="AY6" s="50" t="s">
        <v>59</v>
      </c>
      <c r="AZ6" s="49">
        <v>0</v>
      </c>
      <c r="BA6" s="47"/>
      <c r="BB6" s="47"/>
      <c r="BC6" s="47"/>
      <c r="BD6" s="47"/>
      <c r="BE6" s="50">
        <v>3251.2</v>
      </c>
      <c r="BF6" s="50">
        <v>3251.2</v>
      </c>
      <c r="BG6" s="47"/>
      <c r="BH6" s="47"/>
      <c r="BI6" s="47"/>
      <c r="BJ6" s="50">
        <v>1000</v>
      </c>
      <c r="BK6" s="47"/>
      <c r="BL6" s="47"/>
      <c r="BM6" s="52" t="s">
        <v>25</v>
      </c>
      <c r="BN6" s="47"/>
      <c r="BO6" s="50" t="s">
        <v>17</v>
      </c>
      <c r="BP6" s="49">
        <v>0</v>
      </c>
      <c r="BQ6" s="47"/>
      <c r="BR6" s="47"/>
      <c r="BS6" s="50" t="s">
        <v>60</v>
      </c>
      <c r="BT6" s="50">
        <v>1</v>
      </c>
      <c r="BU6" s="59">
        <v>0</v>
      </c>
      <c r="BV6" s="61">
        <v>30.568960000000001</v>
      </c>
      <c r="BW6" s="59">
        <v>0</v>
      </c>
      <c r="BX6" s="47"/>
      <c r="BY6" s="47"/>
      <c r="BZ6" s="47"/>
      <c r="CA6" s="47"/>
      <c r="CB6" s="47"/>
      <c r="CC6" s="47"/>
      <c r="CD6" s="47"/>
      <c r="CE6" s="53" t="s">
        <v>46</v>
      </c>
      <c r="CF6" s="47"/>
      <c r="CG6" s="50" t="s">
        <v>51</v>
      </c>
      <c r="CH6" s="54" t="s">
        <v>17</v>
      </c>
      <c r="CI6" s="50">
        <v>320</v>
      </c>
      <c r="CJ6" s="52" t="s">
        <v>48</v>
      </c>
      <c r="CK6" s="51">
        <v>1</v>
      </c>
      <c r="CL6" s="47"/>
      <c r="CM6" s="52" t="s">
        <v>49</v>
      </c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/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62" t="s">
        <v>11</v>
      </c>
      <c r="C1" s="63"/>
      <c r="D1" s="63"/>
      <c r="E1" s="63"/>
      <c r="F1" s="63"/>
      <c r="G1" s="63"/>
      <c r="H1" s="6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38</v>
      </c>
      <c r="D3" s="2" t="s">
        <v>9</v>
      </c>
      <c r="E3" s="18" t="s">
        <v>39</v>
      </c>
      <c r="F3" s="2" t="s">
        <v>13</v>
      </c>
      <c r="G3" s="10" t="s">
        <v>14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IFERROR(__xludf.DUMMYFUNCTION("""COMPUTED_VALUE"""),"RangeType")</f>
        <v>RangeType</v>
      </c>
      <c r="C5" s="23" t="str">
        <f ca="1">IFERROR(__xludf.DUMMYFUNCTION("""COMPUTED_VALUE"""),"From")</f>
        <v>From</v>
      </c>
      <c r="D5" s="23" t="str">
        <f ca="1">IFERROR(__xludf.DUMMYFUNCTION("""COMPUTED_VALUE"""),"To")</f>
        <v>To</v>
      </c>
      <c r="E5" s="23" t="str">
        <f ca="1">IFERROR(__xludf.DUMMYFUNCTION("""COMPUTED_VALUE"""),"FilterTabName")</f>
        <v>FilterTabName</v>
      </c>
      <c r="F5" s="24" t="str">
        <f ca="1">IFERROR(__xludf.DUMMYFUNCTION("""COMPUTED_VALUE"""),"Symbol")</f>
        <v>Symbol</v>
      </c>
      <c r="G5" s="23" t="str">
        <f ca="1">IFERROR(__xludf.DUMMYFUNCTION("""COMPUTED_VALUE"""),"Asset")</f>
        <v>Asset</v>
      </c>
      <c r="H5" s="23" t="str">
        <f ca="1">IFERROR(__xludf.DUMMYFUNCTION("""COMPUTED_VALUE"""),"Side")</f>
        <v>Side</v>
      </c>
      <c r="I5" s="23" t="str">
        <f ca="1">IFERROR(__xludf.DUMMYFUNCTION("""COMPUTED_VALUE"""),"Account")</f>
        <v>Account</v>
      </c>
      <c r="J5" s="23" t="str">
        <f ca="1">IFERROR(__xludf.DUMMYFUNCTION("""COMPUTED_VALUE"""),"Broker")</f>
        <v>Broker</v>
      </c>
      <c r="K5" s="23" t="str">
        <f ca="1">IFERROR(__xludf.DUMMYFUNCTION("""COMPUTED_VALUE"""),"Currency")</f>
        <v>Currency</v>
      </c>
      <c r="L5" s="23" t="str">
        <f ca="1">IFERROR(__xludf.DUMMYFUNCTION("""COMPUTED_VALUE"""),"Exchange")</f>
        <v>Exchange</v>
      </c>
      <c r="M5" s="23" t="str">
        <f ca="1">IFERROR(__xludf.DUMMYFUNCTION("""COMPUTED_VALUE"""),"StrategyName")</f>
        <v>StrategyName</v>
      </c>
      <c r="N5" s="23" t="str">
        <f ca="1">IFERROR(__xludf.DUMMYFUNCTION("""COMPUTED_VALUE"""),"Underlying")</f>
        <v>Underlying</v>
      </c>
      <c r="O5" s="23" t="str">
        <f ca="1">IFERROR(__xludf.DUMMYFUNCTION("""COMPUTED_VALUE"""),"Venue")</f>
        <v>Venue</v>
      </c>
      <c r="P5" s="23" t="str">
        <f ca="1">IFERROR(__xludf.DUMMYFUNCTION("""COMPUTED_VALUE"""),"TradingAccount")</f>
        <v>TradingAccount</v>
      </c>
      <c r="Q5" s="23" t="str">
        <f ca="1">IFERROR(__xludf.DUMMYFUNCTION("""COMPUTED_VALUE"""),"PreAllocated")</f>
        <v>PreAllocated</v>
      </c>
      <c r="R5" s="23" t="str">
        <f ca="1">IFERROR(__xludf.DUMMYFUNCTION("""COMPUTED_VALUE"""),"ManualGroup")</f>
        <v>ManualGroup</v>
      </c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61</v>
      </c>
      <c r="C6" s="5"/>
      <c r="D6" s="9"/>
      <c r="E6" s="33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_Modules</vt:lpstr>
      <vt:lpstr>_Settings</vt:lpstr>
      <vt:lpstr>_MasterData</vt:lpstr>
      <vt:lpstr>CreateTransaction</vt:lpstr>
      <vt:lpstr>CreateDoneAwayOrder</vt:lpstr>
      <vt:lpstr>CreateLiveOrder</vt:lpstr>
      <vt:lpstr>GetDailyCash</vt:lpstr>
      <vt:lpstr>UpdateDailyCash</vt:lpstr>
      <vt:lpstr>PricingInput</vt:lpstr>
      <vt:lpstr>TradePTT</vt:lpstr>
      <vt:lpstr>CreateDoneAwayOrder1</vt:lpstr>
      <vt:lpstr>SelectTrade</vt:lpstr>
      <vt:lpstr>AcknowledgeTrade</vt:lpstr>
      <vt:lpstr>ExecuteTrade</vt:lpstr>
      <vt:lpstr>GetDataAllocation</vt:lpstr>
      <vt:lpstr>CheckAllocatedGroups</vt:lpstr>
      <vt:lpstr>UploadDropcopyFile</vt:lpstr>
      <vt:lpstr>CheckUnallocatedGroups</vt:lpstr>
      <vt:lpstr>GetDataAllocation1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2022-01-13T12:20:05Z</dcterms:modified>
</cp:coreProperties>
</file>