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MultiTradingTicketFromBlotter" sheetId="5" r:id="rId7"/>
    <sheet state="visible" name="SelectTradeUsingMTT" sheetId="6" r:id="rId8"/>
    <sheet state="visible" name="EditTradeUsingMTT" sheetId="7" r:id="rId9"/>
    <sheet state="visible" name="VerifyMTT" sheetId="8" r:id="rId10"/>
  </sheets>
  <definedNames/>
  <calcPr/>
</workbook>
</file>

<file path=xl/sharedStrings.xml><?xml version="1.0" encoding="utf-8"?>
<sst xmlns="http://schemas.openxmlformats.org/spreadsheetml/2006/main" count="71" uniqueCount="31">
  <si>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</si>
  <si>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</si>
  <si>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</si>
  <si>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</si>
  <si>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</si>
  <si>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</si>
  <si>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</si>
  <si>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</si>
  <si>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</si>
  <si>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</si>
  <si>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</si>
  <si>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</si>
  <si>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</si>
  <si>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</si>
  <si>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</si>
  <si>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</si>
  <si>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AAPL</t>
  </si>
  <si>
    <t>Buy</t>
  </si>
  <si>
    <t>IBM</t>
  </si>
  <si>
    <t>Blotter</t>
  </si>
  <si>
    <t>MultiTradingTicketFromBlotter</t>
  </si>
  <si>
    <t>New</t>
  </si>
  <si>
    <t>MultiTradingTicket</t>
  </si>
  <si>
    <t>SelectTradeUsingMTT</t>
  </si>
  <si>
    <t>EditTradeUsingMTT</t>
  </si>
  <si>
    <t>abc</t>
  </si>
  <si>
    <t>VerifyMTT</t>
  </si>
  <si>
    <t>Allocation1</t>
  </si>
  <si>
    <t>MS</t>
  </si>
  <si>
    <t>Day</t>
  </si>
  <si>
    <t>Market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</si>
</sst>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IFERROR(__xludf.DUMMYFUNCTION("""COMPUTED_VALUE"""),"Master Funds")</f>
        <v>Master Funds</v>
      </c>
      <c r="AS5" s="29" t="str">
        <f>IFERROR(__xludf.DUMMYFUNCTION("""COMPUTED_VALUE"""),"Rate(%)")</f>
        <v>Rate(%)</v>
      </c>
      <c r="AT5" s="29" t="str">
        <f>IFERROR(__xludf.DUMMYFUNCTION("""COMPUTED_VALUE"""),"BorrowerID")</f>
        <v>BorrowerID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>
        <v>100.0</v>
      </c>
      <c r="E6" s="30"/>
      <c r="F6" s="8"/>
      <c r="G6" s="8"/>
      <c r="H6" s="8"/>
      <c r="I6" s="8"/>
      <c r="J6" s="12">
        <v>10.0</v>
      </c>
      <c r="K6" s="8"/>
      <c r="L6" s="8"/>
      <c r="M6" s="8"/>
      <c r="N6" s="8"/>
      <c r="O6" s="8"/>
    </row>
    <row r="7" ht="15.75" customHeight="1">
      <c r="A7" s="8"/>
      <c r="B7" s="12" t="s">
        <v>18</v>
      </c>
      <c r="C7" s="12" t="s">
        <v>17</v>
      </c>
      <c r="D7" s="12">
        <v>100.0</v>
      </c>
      <c r="E7" s="30"/>
      <c r="F7" s="8"/>
      <c r="G7" s="8"/>
      <c r="H7" s="8"/>
      <c r="I7" s="8"/>
      <c r="J7" s="12">
        <v>10.0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CreateStageOrder!$4:$4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12" t="s">
        <v>16</v>
      </c>
      <c r="AJ6" s="12" t="s">
        <v>17</v>
      </c>
      <c r="AK6" s="9" t="s">
        <v>21</v>
      </c>
      <c r="AL6" s="12">
        <v>100.0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12" t="s">
        <v>18</v>
      </c>
      <c r="AJ7" s="12" t="s">
        <v>17</v>
      </c>
      <c r="AK7" s="9" t="s">
        <v>21</v>
      </c>
      <c r="AL7" s="12">
        <v>100.0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MultiTradingTicketFromBlotter!$4:$4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 t="str">
        <f>IFERROR(__xludf.DUMMYFUNCTION("""COMPUTED_VALUE"""),"BulkEditUpdateFromMTT")</f>
        <v>BulkEditUpdateFromMTT</v>
      </c>
      <c r="I4" s="24" t="str">
        <f>IFERROR(__xludf.DUMMYFUNCTION("""COMPUTED_VALUE"""),"BulkChangeCreateStageOrder")</f>
        <v>BulkChangeCreateStageOrder</v>
      </c>
      <c r="J4" s="24" t="str">
        <f>IFERROR(__xludf.DUMMYFUNCTION("""COMPUTED_VALUE"""),"BulkUpdateUsingMTT")</f>
        <v>BulkUpdateUsingMTT</v>
      </c>
      <c r="K4" s="24" t="str">
        <f>IFERROR(__xludf.DUMMYFUNCTION("""COMPUTED_VALUE"""),"RefreshPriceUsingMTT")</f>
        <v>RefreshPriceUsingMTT</v>
      </c>
      <c r="L4" s="24" t="str">
        <f>IFERROR(__xludf.DUMMYFUNCTION("""COMPUTED_VALUE"""),"VerifyMTT")</f>
        <v>VerifyMTT</v>
      </c>
      <c r="M4" s="24" t="str">
        <f>IFERROR(__xludf.DUMMYFUNCTION("""COMPUTED_VALUE"""),"AddOrRemoveColumn")</f>
        <v>AddOrRemoveColumn</v>
      </c>
      <c r="N4" s="24" t="str">
        <f>IFERROR(__xludf.DUMMYFUNCTION("""COMPUTED_VALUE"""),"SaveLayoutUsingMTT")</f>
        <v>SaveLayoutUsingMTT</v>
      </c>
      <c r="O4" s="24" t="str">
        <f>IFERROR(__xludf.DUMMYFUNCTION("""COMPUTED_VALUE"""),"ApplyFilterOnMTTGrid")</f>
        <v>ApplyFilterOnMTTGrid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>
        <v>100.0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SelectTradeUsingMTT!$4:$4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 t="str">
        <f>IFERROR(__xludf.DUMMYFUNCTION("""COMPUTED_VALUE"""),"BulkEditUpdateFromMTT")</f>
        <v>BulkEditUpdateFromMTT</v>
      </c>
      <c r="I4" s="24" t="str">
        <f>IFERROR(__xludf.DUMMYFUNCTION("""COMPUTED_VALUE"""),"BulkChangeCreateStageOrder")</f>
        <v>BulkChangeCreateStageOrder</v>
      </c>
      <c r="J4" s="24" t="str">
        <f>IFERROR(__xludf.DUMMYFUNCTION("""COMPUTED_VALUE"""),"BulkUpdateUsingMTT")</f>
        <v>BulkUpdateUsingMTT</v>
      </c>
      <c r="K4" s="24" t="str">
        <f>IFERROR(__xludf.DUMMYFUNCTION("""COMPUTED_VALUE"""),"RefreshPriceUsingMTT")</f>
        <v>RefreshPriceUsingMTT</v>
      </c>
      <c r="L4" s="24" t="str">
        <f>IFERROR(__xludf.DUMMYFUNCTION("""COMPUTED_VALUE"""),"VerifyMTT")</f>
        <v>VerifyMTT</v>
      </c>
      <c r="M4" s="24" t="str">
        <f>IFERROR(__xludf.DUMMYFUNCTION("""COMPUTED_VALUE"""),"AddOrRemoveColumn")</f>
        <v>AddOrRemoveColumn</v>
      </c>
      <c r="N4" s="24" t="str">
        <f>IFERROR(__xludf.DUMMYFUNCTION("""COMPUTED_VALUE"""),"SaveLayoutUsingMTT")</f>
        <v>SaveLayoutUsingMTT</v>
      </c>
      <c r="O4" s="24" t="str">
        <f>IFERROR(__xludf.DUMMYFUNCTION("""COMPUTED_VALUE"""),"ApplyFilterOnMTTGrid")</f>
        <v>ApplyFilterOnMTTGrid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 t="str">
        <f>IFERROR(__xludf.DUMMYFUNCTION("""COMPUTED_VALUE"""),"FX Operator")</f>
        <v>FX Operator</v>
      </c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12" t="s">
        <v>25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EditTradeUsingMTT!$4:$4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 t="str">
        <f>IFERROR(__xludf.DUMMYFUNCTION("""COMPUTED_VALUE"""),"BulkEditUpdateFromMTT")</f>
        <v>BulkEditUpdateFromMTT</v>
      </c>
      <c r="I4" s="24" t="str">
        <f>IFERROR(__xludf.DUMMYFUNCTION("""COMPUTED_VALUE"""),"BulkChangeCreateStageOrder")</f>
        <v>BulkChangeCreateStageOrder</v>
      </c>
      <c r="J4" s="24" t="str">
        <f>IFERROR(__xludf.DUMMYFUNCTION("""COMPUTED_VALUE"""),"BulkUpdateUsingMTT")</f>
        <v>BulkUpdateUsingMTT</v>
      </c>
      <c r="K4" s="24" t="str">
        <f>IFERROR(__xludf.DUMMYFUNCTION("""COMPUTED_VALUE"""),"RefreshPriceUsingMTT")</f>
        <v>RefreshPriceUsingMTT</v>
      </c>
      <c r="L4" s="24" t="str">
        <f>IFERROR(__xludf.DUMMYFUNCTION("""COMPUTED_VALUE"""),"VerifyMTT")</f>
        <v>VerifyMTT</v>
      </c>
      <c r="M4" s="24" t="str">
        <f>IFERROR(__xludf.DUMMYFUNCTION("""COMPUTED_VALUE"""),"AddOrRemoveColumn")</f>
        <v>AddOrRemoveColumn</v>
      </c>
      <c r="N4" s="24" t="str">
        <f>IFERROR(__xludf.DUMMYFUNCTION("""COMPUTED_VALUE"""),"SaveLayoutUsingMTT")</f>
        <v>SaveLayoutUsingMTT</v>
      </c>
      <c r="O4" s="24" t="str">
        <f>IFERROR(__xludf.DUMMYFUNCTION("""COMPUTED_VALUE"""),"ApplyFilterOnMTTGrid")</f>
        <v>ApplyFilterOnMTTGrid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IFERROR(__xludf.DUMMYFUNCTION("""COMPUTED_VALUE"""),"ImportFileName")</f>
        <v>ImportFileName</v>
      </c>
      <c r="AH5" s="29" t="str">
        <f>IFERROR(__xludf.DUMMYFUNCTION("""COMPUTED_VALUE"""),"FX Operator")</f>
        <v>FX Operator</v>
      </c>
      <c r="AI5" s="29" t="str">
        <f>IFERROR(__xludf.DUMMYFUNCTION("""COMPUTED_VALUE"""),"Algo Type")</f>
        <v>Algo Type</v>
      </c>
      <c r="AJ5" s="29" t="str">
        <f>IFERROR(__xludf.DUMMYFUNCTION("""COMPUTED_VALUE"""),"Borrow Rate(BPS)")</f>
        <v>Borrow Rate(BPS)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>
        <v>100.0</v>
      </c>
      <c r="E6" s="12">
        <v>100.0</v>
      </c>
      <c r="F6" s="12" t="s">
        <v>27</v>
      </c>
      <c r="G6" s="12" t="s">
        <v>28</v>
      </c>
      <c r="H6" s="12" t="s">
        <v>29</v>
      </c>
      <c r="I6" s="12" t="s">
        <v>30</v>
      </c>
      <c r="J6" s="12">
        <v>0.0</v>
      </c>
      <c r="K6" s="8"/>
      <c r="L6" s="8"/>
      <c r="M6" s="8"/>
      <c r="N6" s="8"/>
      <c r="O6" s="8"/>
    </row>
    <row r="7" ht="15.75" customHeight="1">
      <c r="A7" s="8"/>
      <c r="B7" s="12" t="s">
        <v>18</v>
      </c>
      <c r="C7" s="12" t="s">
        <v>17</v>
      </c>
      <c r="D7" s="12">
        <v>100.0</v>
      </c>
      <c r="E7" s="12">
        <v>100.0</v>
      </c>
      <c r="F7" s="12" t="s">
        <v>27</v>
      </c>
      <c r="G7" s="12" t="s">
        <v>28</v>
      </c>
      <c r="H7" s="12" t="s">
        <v>29</v>
      </c>
      <c r="I7" s="12" t="s">
        <v>30</v>
      </c>
      <c r="J7" s="12">
        <v>0.0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VerifyMTT!$4:$4</formula1>
    </dataValidation>
  </dataValidations>
  <drawing r:id="rId1"/>
</worksheet>
</file>