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ilyCash" sheetId="11" r:id="rId13"/>
    <sheet state="visible" name="UpdateMultipleDailyCash" sheetId="12" r:id="rId14"/>
    <sheet state="visible" name="CreateComplianceOrder" sheetId="13" r:id="rId15"/>
    <sheet state="visible" name="VerifyComplianceOrder" sheetId="14" r:id="rId16"/>
    <sheet state="visible" name="SelectTrade" sheetId="15" r:id="rId17"/>
    <sheet state="visible" name="AcknowledgeTrade" sheetId="16" r:id="rId18"/>
    <sheet state="visible" name="ExecuteTrade" sheetId="17" r:id="rId19"/>
    <sheet state="visible" name="SelectTradeOnOrderGrid" sheetId="18" r:id="rId20"/>
    <sheet state="visible" name="ReplaceSubOrder" sheetId="19" r:id="rId21"/>
    <sheet state="visible" name="CreateComplianceOrder1" sheetId="20" r:id="rId22"/>
    <sheet state="visible" name="VerifyComplianceOrder1" sheetId="21" r:id="rId23"/>
    <sheet state="visible" name="CancelSubOrder" sheetId="22" r:id="rId24"/>
    <sheet state="visible" name="VerifyComplianceOrder2" sheetId="23" r:id="rId25"/>
  </sheets>
  <definedNames/>
  <calcPr/>
</workbook>
</file>

<file path=xl/sharedStrings.xml><?xml version="1.0" encoding="utf-8"?>
<sst xmlns="http://schemas.openxmlformats.org/spreadsheetml/2006/main" count="229" uniqueCount="56">
  <si>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</si>
  <si>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</si>
  <si>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</si>
  <si>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</si>
  <si>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</si>
  <si>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</si>
  <si>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</si>
  <si>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</si>
  <si>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</si>
  <si>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</si>
  <si>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</si>
  <si>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</si>
  <si>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</si>
  <si>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</si>
  <si>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</si>
  <si>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</si>
  <si>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</si>
  <si>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</si>
  <si>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</si>
  <si>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</si>
  <si>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</si>
  <si>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</si>
  <si>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</si>
  <si>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</si>
  <si>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FRU-TC</t>
  </si>
  <si>
    <t>CreateStageOrder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</si>
  <si>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</si>
  <si>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</si>
  <si>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</si>
  <si>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</si>
  <si>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</si>
  <si>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</si>
  <si>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</si>
  <si>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GetDailyCash</t>
  </si>
  <si>
    <t>UpdateMultipleDailyCash</t>
  </si>
  <si>
    <t>Allocation3</t>
  </si>
  <si>
    <t>CreateComplianceOrder</t>
  </si>
  <si>
    <t>Send</t>
  </si>
  <si>
    <t>VerifyComplianceOrder</t>
  </si>
  <si>
    <t>Soft</t>
  </si>
  <si>
    <t>RuleSet_Global</t>
  </si>
  <si>
    <t>Enter Summary</t>
  </si>
  <si>
    <t>Global</t>
  </si>
  <si>
    <t>Multiple</t>
  </si>
  <si>
    <t>percentNetExposureGlobal: 1.5954, percentNetMarketValueGlobal: 1.5954, percentGrossExposureGlobal: 1.5954, percentGrossMarketValueGlobal: 1.5954</t>
  </si>
  <si>
    <t>Simulator</t>
  </si>
  <si>
    <t>SelectTrade</t>
  </si>
  <si>
    <t>AcknowledgeTrade</t>
  </si>
  <si>
    <t>ExecuteTrade</t>
  </si>
  <si>
    <t>Blotter</t>
  </si>
  <si>
    <t>SelectTradeOnOrderGrid</t>
  </si>
  <si>
    <t>New</t>
  </si>
  <si>
    <t>ReplaceSubOrder</t>
  </si>
  <si>
    <t>Replace</t>
  </si>
  <si>
    <t>percentNetExposureGlobal: 2.381, percentNetMarketValueGlobal: 2.381, percentGrossExposureGlobal: 2.381, percentGrossMarketValueGlobal: 2.381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</si>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</sst>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13" numFmtId="0" xfId="0" applyAlignment="1" applyFill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7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7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7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8" fillId="0" fontId="3" numFmtId="0" xfId="0" applyAlignment="1" applyBorder="1" applyFont="1">
      <alignment vertical="bottom"/>
    </xf>
    <xf borderId="9" fillId="7" fontId="14" numFmtId="0" xfId="0" applyAlignment="1" applyBorder="1" applyFill="1" applyFont="1">
      <alignment vertical="top"/>
    </xf>
    <xf borderId="9" fillId="8" fontId="15" numFmtId="0" xfId="0" applyAlignment="1" applyBorder="1" applyFill="1" applyFont="1">
      <alignment vertical="top"/>
    </xf>
    <xf borderId="9" fillId="8" fontId="15" numFmtId="0" xfId="0" applyAlignment="1" applyBorder="1" applyFont="1">
      <alignment vertical="top"/>
    </xf>
    <xf borderId="10" fillId="8" fontId="16" numFmtId="0" xfId="0" applyAlignment="1" applyBorder="1" applyFont="1">
      <alignment readingOrder="0" shrinkToFit="0" vertical="top" wrapText="0"/>
    </xf>
    <xf borderId="10" fillId="8" fontId="3" numFmtId="0" xfId="0" applyAlignment="1" applyBorder="1" applyFont="1">
      <alignment vertical="top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10" fillId="8" fontId="15" numFmtId="0" xfId="0" applyAlignment="1" applyBorder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0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6" t="s">
        <v>21</v>
      </c>
      <c r="C7" s="31" t="s">
        <v>22</v>
      </c>
      <c r="D7" s="36">
        <v>100.0</v>
      </c>
      <c r="E7" s="36">
        <v>0.0</v>
      </c>
      <c r="F7" s="37" t="s">
        <v>23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24</v>
      </c>
      <c r="C8" s="31" t="s">
        <v>22</v>
      </c>
      <c r="D8" s="36">
        <v>100.0</v>
      </c>
      <c r="E8" s="31"/>
      <c r="F8" s="37" t="s">
        <v>23</v>
      </c>
      <c r="G8" s="31"/>
      <c r="H8" s="31"/>
      <c r="I8" s="31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1" t="s">
        <v>24</v>
      </c>
      <c r="C9" s="31" t="s">
        <v>22</v>
      </c>
      <c r="D9" s="36">
        <v>100.0</v>
      </c>
      <c r="E9" s="36">
        <v>0.0</v>
      </c>
      <c r="F9" s="37" t="s">
        <v>23</v>
      </c>
      <c r="G9" s="31"/>
      <c r="H9" s="31"/>
      <c r="I9" s="31"/>
      <c r="J9" s="36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9" t="s">
        <v>21</v>
      </c>
      <c r="C6" s="40" t="s">
        <v>22</v>
      </c>
      <c r="D6" s="41">
        <v>100.0</v>
      </c>
      <c r="E6" s="40"/>
      <c r="F6" s="31" t="s">
        <v>23</v>
      </c>
      <c r="G6" s="40"/>
      <c r="H6" s="40"/>
      <c r="I6" s="40"/>
      <c r="J6" s="42">
        <v>10.0</v>
      </c>
      <c r="K6" s="43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4"/>
      <c r="B7" s="43" t="s">
        <v>24</v>
      </c>
      <c r="C7" s="43" t="s">
        <v>22</v>
      </c>
      <c r="D7" s="45">
        <v>100.0</v>
      </c>
      <c r="E7" s="43"/>
      <c r="F7" s="31" t="s">
        <v>23</v>
      </c>
      <c r="G7" s="43"/>
      <c r="H7" s="43"/>
      <c r="I7" s="43"/>
      <c r="J7" s="42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21</v>
      </c>
      <c r="C6" s="42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3" t="s">
        <v>24</v>
      </c>
      <c r="C7" s="42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>
        <f t="shared" ref="B6:C6" si="1">today()-1</f>
        <v>45910</v>
      </c>
      <c r="C6" s="47">
        <f t="shared" si="1"/>
        <v>45910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8" t="s">
        <v>30</v>
      </c>
      <c r="C6" s="48" t="s">
        <v>31</v>
      </c>
      <c r="D6" s="48" t="s">
        <v>32</v>
      </c>
      <c r="E6" s="42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>
        <f t="shared" ref="B6:C6" si="1">today()-1</f>
        <v>45910</v>
      </c>
      <c r="C6" s="47">
        <f t="shared" si="1"/>
        <v>45910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9" t="s">
        <v>23</v>
      </c>
      <c r="C6" s="50" t="s">
        <v>30</v>
      </c>
      <c r="D6" s="51">
        <v>234000.0</v>
      </c>
      <c r="E6" s="40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52" t="s">
        <v>35</v>
      </c>
      <c r="C7" s="53" t="s">
        <v>30</v>
      </c>
      <c r="D7" s="54">
        <v>100000.0</v>
      </c>
      <c r="E7" s="43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9" t="s">
        <v>24</v>
      </c>
      <c r="C6" s="40" t="s">
        <v>22</v>
      </c>
      <c r="D6" s="55">
        <v>101.0</v>
      </c>
      <c r="E6" s="40"/>
      <c r="F6" s="31" t="s">
        <v>23</v>
      </c>
      <c r="G6" s="40"/>
      <c r="H6" s="40"/>
      <c r="I6" s="40"/>
      <c r="J6" s="42">
        <v>20.0</v>
      </c>
      <c r="K6" s="43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56" t="s">
        <v>37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7"/>
      <c r="B6" s="58" t="s">
        <v>39</v>
      </c>
      <c r="C6" s="59" t="s">
        <v>40</v>
      </c>
      <c r="D6" s="60" t="s">
        <v>41</v>
      </c>
      <c r="E6" s="59" t="s">
        <v>42</v>
      </c>
      <c r="F6" s="59" t="s">
        <v>43</v>
      </c>
      <c r="G6" s="59" t="s">
        <v>43</v>
      </c>
      <c r="H6" s="61" t="s">
        <v>44</v>
      </c>
      <c r="I6" s="62"/>
      <c r="J6" s="31"/>
      <c r="K6" s="48" t="s">
        <v>18</v>
      </c>
      <c r="L6" s="31"/>
      <c r="M6" s="63" t="s">
        <v>37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24</v>
      </c>
      <c r="D6" s="12"/>
      <c r="E6" s="6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24</v>
      </c>
      <c r="D6" s="12"/>
      <c r="E6" s="6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100.0</v>
      </c>
      <c r="D6" s="12"/>
      <c r="E6" s="6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9" t="s">
        <v>24</v>
      </c>
      <c r="E6" s="31"/>
      <c r="F6" s="48" t="s">
        <v>22</v>
      </c>
      <c r="G6" s="63" t="s">
        <v>51</v>
      </c>
      <c r="H6" s="65">
        <v>101.0</v>
      </c>
      <c r="I6" s="31"/>
      <c r="J6" s="31"/>
      <c r="K6" s="31"/>
      <c r="L6" s="31"/>
      <c r="M6" s="31"/>
      <c r="N6" s="31"/>
      <c r="O6" s="31"/>
      <c r="P6" s="42">
        <v>20.0</v>
      </c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66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67" t="s">
        <v>24</v>
      </c>
      <c r="AK6" s="31" t="s">
        <v>22</v>
      </c>
      <c r="AL6" s="56" t="s">
        <v>51</v>
      </c>
      <c r="AM6" s="68">
        <v>101.0</v>
      </c>
      <c r="AN6" s="31"/>
      <c r="AO6" s="31"/>
      <c r="AP6" s="31"/>
      <c r="AQ6" s="31"/>
      <c r="AR6" s="31"/>
      <c r="AS6" s="36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66"/>
      <c r="C6" s="31"/>
      <c r="D6" s="66">
        <v>200.0</v>
      </c>
      <c r="E6" s="31"/>
      <c r="F6" s="31"/>
      <c r="G6" s="31"/>
      <c r="H6" s="31"/>
      <c r="I6" s="31"/>
      <c r="J6" s="42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53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7"/>
      <c r="B6" s="58" t="s">
        <v>39</v>
      </c>
      <c r="C6" s="59" t="s">
        <v>40</v>
      </c>
      <c r="D6" s="60" t="s">
        <v>41</v>
      </c>
      <c r="E6" s="59" t="s">
        <v>42</v>
      </c>
      <c r="F6" s="59" t="s">
        <v>43</v>
      </c>
      <c r="G6" s="59" t="s">
        <v>43</v>
      </c>
      <c r="H6" s="69" t="s">
        <v>54</v>
      </c>
      <c r="I6" s="62"/>
      <c r="J6" s="31"/>
      <c r="K6" s="48" t="s">
        <v>18</v>
      </c>
      <c r="L6" s="31"/>
      <c r="M6" s="48" t="s">
        <v>53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66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6" t="s">
        <v>24</v>
      </c>
      <c r="AJ6" s="31" t="s">
        <v>22</v>
      </c>
      <c r="AK6" s="31"/>
      <c r="AL6" s="36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7"/>
      <c r="B6" s="58" t="s">
        <v>39</v>
      </c>
      <c r="C6" s="59" t="s">
        <v>40</v>
      </c>
      <c r="D6" s="60" t="s">
        <v>41</v>
      </c>
      <c r="E6" s="59" t="s">
        <v>42</v>
      </c>
      <c r="F6" s="59" t="s">
        <v>43</v>
      </c>
      <c r="G6" s="59" t="s">
        <v>43</v>
      </c>
      <c r="H6" s="69" t="s">
        <v>54</v>
      </c>
      <c r="I6" s="62"/>
      <c r="J6" s="31"/>
      <c r="K6" s="48" t="s">
        <v>18</v>
      </c>
      <c r="L6" s="31"/>
      <c r="M6" s="63" t="s">
        <v>37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VerifyComplianceOrder2!$4:$4</formula1>
    </dataValidation>
  </dataValidations>
  <drawing r:id="rId1"/>
</worksheet>
</file>