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UpdateExpnlConfig" sheetId="5" r:id="rId7"/>
    <sheet state="visible" name="CreateStageOrder" sheetId="6" r:id="rId8"/>
    <sheet state="visible" name="SelectTradeOnOrderGrid" sheetId="7" r:id="rId9"/>
    <sheet state="visible" name="EditOrder" sheetId="8" r:id="rId10"/>
    <sheet state="visible" name="ApproveorRejectpendingapproval" sheetId="9" r:id="rId11"/>
    <sheet state="visible" name="CreateReplaceOrder" sheetId="10" r:id="rId12"/>
    <sheet state="visible" name="ApproveorRejectpendingapproval1" sheetId="11" r:id="rId13"/>
    <sheet state="visible" name="CreateReplaceOrder1" sheetId="12" r:id="rId14"/>
    <sheet state="visible" name="VerifyAlertHistory" sheetId="13" r:id="rId15"/>
    <sheet state="visible" name="GetDataFromAuditTrail" sheetId="14" r:id="rId16"/>
    <sheet state="visible" name="VerifyAuditTrail" sheetId="15" r:id="rId17"/>
    <sheet state="visible" name="GetEmail" sheetId="16" r:id="rId18"/>
    <sheet state="visible" name="SetCompliancePermission1" sheetId="17" r:id="rId19"/>
    <sheet state="visible" name="CreateDoneAwayOrder" sheetId="18" r:id="rId20"/>
    <sheet state="visible" name="SelectTradeOnOrderGrid1" sheetId="19" r:id="rId21"/>
    <sheet state="visible" name="ReplaceSubOrder" sheetId="20" r:id="rId22"/>
    <sheet state="visible" name="ApproveorRejectpendingapproval2" sheetId="21" r:id="rId23"/>
    <sheet state="visible" name="CreateReplaceOrder2" sheetId="22" r:id="rId24"/>
    <sheet state="visible" name="VerifySubOrder" sheetId="23" r:id="rId25"/>
    <sheet state="visible" name="VerifyAuditTrail1" sheetId="24" r:id="rId26"/>
    <sheet state="visible" name="GetEmail1" sheetId="25" r:id="rId27"/>
    <sheet state="visible" name="RestartServer" sheetId="26" r:id="rId28"/>
    <sheet state="visible" name="RestartClient" sheetId="27" r:id="rId29"/>
    <sheet state="visible" name="SetCompliancePermission2" sheetId="28" r:id="rId30"/>
    <sheet state="visible" name="Copy of Data" sheetId="29" r:id="rId31"/>
    <sheet state="visible" name="CreateLiveOrder" sheetId="30" r:id="rId32"/>
    <sheet state="visible" name="SelectTradeOnOrderGrid2" sheetId="31" r:id="rId33"/>
    <sheet state="visible" name="EditOrder1" sheetId="32" r:id="rId34"/>
    <sheet state="visible" name="ApproveorRejectpendingapproval3" sheetId="33" r:id="rId35"/>
  </sheets>
  <definedNames/>
  <calcPr/>
</workbook>
</file>

<file path=xl/sharedStrings.xml><?xml version="1.0" encoding="utf-8"?>
<sst xmlns="http://schemas.openxmlformats.org/spreadsheetml/2006/main" count="274" uniqueCount="46">
  <si>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</si>
  <si>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</si>
  <si>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</si>
  <si>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</si>
  <si>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</si>
  <si>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</si>
  <si>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</si>
  <si>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</si>
  <si>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</si>
  <si>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</si>
  <si>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</si>
  <si>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</si>
  <si>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</si>
  <si>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</si>
  <si>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</si>
  <si>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</si>
  <si>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Expnl</t>
  </si>
  <si>
    <t>UpdateExpnlConfig</t>
  </si>
  <si>
    <t>EnableSSL</t>
  </si>
  <si>
    <t>MailRecieverAddress</t>
  </si>
  <si>
    <t>testautomation@nirvanasolutions.com</t>
  </si>
  <si>
    <t>TradingTicket</t>
  </si>
  <si>
    <t>CreateStageOrder</t>
  </si>
  <si>
    <t>AAPL</t>
  </si>
  <si>
    <t>Buy</t>
  </si>
  <si>
    <t>MS</t>
  </si>
  <si>
    <t>Blotter</t>
  </si>
  <si>
    <t>SelectTradeOnOrderGrid</t>
  </si>
  <si>
    <t>EditOrder</t>
  </si>
  <si>
    <t>Compliance</t>
  </si>
  <si>
    <t>ApproveorRejectpendingapproval</t>
  </si>
  <si>
    <t>Approve</t>
  </si>
  <si>
    <t>CreateReplaceOrder</t>
  </si>
  <si>
    <t>Yes</t>
  </si>
  <si>
    <t>Verify</t>
  </si>
  <si>
    <t>CreateDoneAwayOrder</t>
  </si>
  <si>
    <t>msft</t>
  </si>
  <si>
    <t>buy</t>
  </si>
  <si>
    <t>VerifyAlertHistory</t>
  </si>
  <si>
    <t>AuditTrail</t>
  </si>
  <si>
    <t>GetDataFromAuditTrail</t>
  </si>
  <si>
    <t>VerifyAuditTrail</t>
  </si>
  <si>
    <t>GetEmail</t>
  </si>
  <si>
    <t>TradeServer</t>
  </si>
  <si>
    <t>PranaClient</t>
  </si>
  <si>
    <t>CreateLiveOrder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</si>
</sst>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i/>
      <sz val="11.0"/>
      <color rgb="FF3C40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6" fontId="13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18</v>
      </c>
      <c r="C6" s="3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34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24</v>
      </c>
      <c r="D6" s="12">
        <v>50.0</v>
      </c>
      <c r="E6" s="12">
        <v>50.0</v>
      </c>
      <c r="F6" s="8"/>
      <c r="G6" s="12" t="s">
        <v>25</v>
      </c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23</v>
      </c>
      <c r="E6" s="30"/>
      <c r="F6" s="12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12" t="s">
        <v>24</v>
      </c>
      <c r="P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99.0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O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12" t="s">
        <v>24</v>
      </c>
      <c r="P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IFERROR(__xludf.DUMMYFUNCTION("""COMPUTED_VALUE"""),"Name")</f>
        <v>Name</v>
      </c>
      <c r="C5" s="27" t="str">
        <f>IFERROR(__xludf.DUMMYFUNCTION("""COMPUTED_VALUE"""),"User Name")</f>
        <v>User Name</v>
      </c>
      <c r="D5" s="27" t="str">
        <f>IFERROR(__xludf.DUMMYFUNCTION("""COMPUTED_VALUE"""),"Rule Type")</f>
        <v>Rule Type</v>
      </c>
      <c r="E5" s="27" t="str">
        <f>IFERROR(__xludf.DUMMYFUNCTION("""COMPUTED_VALUE"""),"Summary")</f>
        <v>Summary</v>
      </c>
      <c r="F5" s="28" t="str">
        <f>IFERROR(__xludf.DUMMYFUNCTION("""COMPUTED_VALUE"""),"Compression Level")</f>
        <v>Compression Level</v>
      </c>
      <c r="G5" s="27" t="str">
        <f>IFERROR(__xludf.DUMMYFUNCTION("""COMPUTED_VALUE"""),"Parameters")</f>
        <v>Parameters</v>
      </c>
      <c r="H5" s="27" t="str">
        <f>IFERROR(__xludf.DUMMYFUNCTION("""COMPUTED_VALUE"""),"Validation Time")</f>
        <v>Validation Time</v>
      </c>
      <c r="I5" s="27" t="str">
        <f>IFERROR(__xludf.DUMMYFUNCTION("""COMPUTED_VALUE"""),"OrderId")</f>
        <v>OrderId</v>
      </c>
      <c r="J5" s="27" t="str">
        <f>IFERROR(__xludf.DUMMYFUNCTION("""COMPUTED_VALUE"""),"Status")</f>
        <v>Status</v>
      </c>
      <c r="K5" s="27" t="str">
        <f>IFERROR(__xludf.DUMMYFUNCTION("""COMPUTED_VALUE"""),"Description")</f>
        <v>Description</v>
      </c>
      <c r="L5" s="27" t="str">
        <f>IFERROR(__xludf.DUMMYFUNCTION("""COMPUTED_VALUE"""),"Dimension")</f>
        <v>Dimension</v>
      </c>
      <c r="M5" s="27" t="str">
        <f>IFERROR(__xludf.DUMMYFUNCTION("""COMPUTED_VALUE"""),"Rule Deleted")</f>
        <v>Rule Deleted</v>
      </c>
      <c r="N5" s="27" t="str">
        <f>IFERROR(__xludf.DUMMYFUNCTION("""COMPUTED_VALUE"""),"PreTrade Type")</f>
        <v>PreTrade Type</v>
      </c>
      <c r="O5" s="27" t="str">
        <f>IFERROR(__xludf.DUMMYFUNCTION("""COMPUTED_VALUE"""),"Compliance Officer Notes")</f>
        <v>Compliance Officer Notes</v>
      </c>
      <c r="P5" s="27" t="str">
        <f>IFERROR(__xludf.DUMMYFUNCTION("""COMPUTED_VALUE"""),"User Notes")</f>
        <v>User Notes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VerifyAlertHistory!$4:$4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IFERROR(__xludf.DUMMYFUNCTION("""COMPUTED_VALUE"""),"FromDate")</f>
        <v>FromDate</v>
      </c>
      <c r="C5" s="27" t="str">
        <f>IFERROR(__xludf.DUMMYFUNCTION("""COMPUTED_VALUE"""),"ToDate")</f>
        <v>ToDate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GetDataFromAuditTrail!$4:$4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IFERROR(__xludf.DUMMYFUNCTION("IF(C3="""","""",Transpose(IMPORTRANGE('_Settings'!$B$3,C3&amp;""!A4:A1000"")))"),"GetDataFromAuditTrail")</f>
        <v>GetDataFromAuditTrail</v>
      </c>
      <c r="C4" s="24" t="str">
        <f>IFERROR(__xludf.DUMMYFUNCTION("""COMPUTED_VALUE"""),"VerifyAuditTrail")</f>
        <v>VerifyAuditTrail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 Time (UTC)")</f>
        <v>Action Time (UTC)</v>
      </c>
      <c r="C5" s="27" t="str">
        <f>IFERROR(__xludf.DUMMYFUNCTION("""COMPUTED_VALUE"""),"Symbol")</f>
        <v>Symbol</v>
      </c>
      <c r="D5" s="27" t="str">
        <f>IFERROR(__xludf.DUMMYFUNCTION("""COMPUTED_VALUE"""),"Order Side")</f>
        <v>Order Side</v>
      </c>
      <c r="E5" s="27" t="str">
        <f>IFERROR(__xludf.DUMMYFUNCTION("""COMPUTED_VALUE"""),"Account Name")</f>
        <v>Account Name</v>
      </c>
      <c r="F5" s="28" t="str">
        <f>IFERROR(__xludf.DUMMYFUNCTION("""COMPUTED_VALUE"""),"Action")</f>
        <v>Action</v>
      </c>
      <c r="G5" s="27" t="str">
        <f>IFERROR(__xludf.DUMMYFUNCTION("""COMPUTED_VALUE"""),"Original Value")</f>
        <v>Original Value</v>
      </c>
      <c r="H5" s="27" t="str">
        <f>IFERROR(__xludf.DUMMYFUNCTION("""COMPUTED_VALUE"""),"New Value")</f>
        <v>New Value</v>
      </c>
      <c r="I5" s="27" t="str">
        <f>IFERROR(__xludf.DUMMYFUNCTION("""COMPUTED_VALUE"""),"Comment")</f>
        <v>Comment</v>
      </c>
      <c r="J5" s="27" t="str">
        <f>IFERROR(__xludf.DUMMYFUNCTION("""COMPUTED_VALUE"""),"Company User")</f>
        <v>Company User</v>
      </c>
      <c r="K5" s="27" t="str">
        <f>IFERROR(__xludf.DUMMYFUNCTION("""COMPUTED_VALUE"""),"TaxlotId")</f>
        <v>TaxlotId</v>
      </c>
      <c r="L5" s="27" t="str">
        <f>IFERROR(__xludf.DUMMYFUNCTION("""COMPUTED_VALUE"""),"GroupId")</f>
        <v>GroupId</v>
      </c>
      <c r="M5" s="27" t="str">
        <f>IFERROR(__xludf.DUMMYFUNCTION("""COMPUTED_VALUE"""),"Action Time")</f>
        <v>Action Time</v>
      </c>
      <c r="N5" s="27" t="str">
        <f>IFERROR(__xludf.DUMMYFUNCTION("""COMPUTED_VALUE"""),"ParentOrderId")</f>
        <v>ParentOrderId</v>
      </c>
      <c r="O5" s="27" t="str">
        <f>IFERROR(__xludf.DUMMYFUNCTION("""COMPUTED_VALUE"""),"OrderId")</f>
        <v>OrderId</v>
      </c>
      <c r="P5" s="27" t="str">
        <f>IFERROR(__xludf.DUMMYFUNCTION("""COMPUTED_VALUE"""),"Source")</f>
        <v>Source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IFERROR(__xludf.DUMMYFUNCTION("""COMPUTED_VALUE"""),"Path")</f>
        <v>Path</v>
      </c>
      <c r="C5" s="27" t="str">
        <f>IFERROR(__xludf.DUMMYFUNCTION("""COMPUTED_VALUE"""),"Subject")</f>
        <v>Subject</v>
      </c>
      <c r="D5" s="27" t="str">
        <f>IFERROR(__xludf.DUMMYFUNCTION("""COMPUTED_VALUE"""),"From")</f>
        <v>From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GetEmail!$4:$4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VerifyAuditTrail1!$4:$4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GetEmail1!$4:$4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RestartServer!$4:$4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RestartClient!$4:$4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EditOrder1!$4:$4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IFERROR(__xludf.DUMMYFUNCTION("TRANSPOSE(IMPORTRANGE(VLOOKUP($E$3,IMPORTRANGE('_Settings'!$B$3,$C$3&amp;""!A4:B1000""),2,FALSE),$G$3&amp;""!A4:A1000""))"),"#REF!")</f>
        <v>#REF!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36</v>
      </c>
      <c r="C6" s="8"/>
      <c r="D6" s="12" t="s">
        <v>37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