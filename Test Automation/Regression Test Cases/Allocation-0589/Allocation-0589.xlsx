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missionR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GetDataAllocation" sheetId="9" r:id="rId11"/>
    <sheet state="visible" name="CheckAllocatedGroups" sheetId="10" r:id="rId12"/>
    <sheet state="visible" name="SelectTradeOnOrderGrid" sheetId="11" r:id="rId13"/>
    <sheet state="visible" name="SelectTradeSubOrderBlotter" sheetId="12" r:id="rId14"/>
    <sheet state="visible" name="ReplaceSubOrder" sheetId="13" r:id="rId15"/>
    <sheet state="visible" name="CreateReplaceOrder" sheetId="14" r:id="rId16"/>
    <sheet state="visible" name="RejectTrade" sheetId="15" r:id="rId17"/>
    <sheet state="visible" name="RejectTrade1" sheetId="16" r:id="rId18"/>
    <sheet state="visible" name="SelectTrade1" sheetId="17" r:id="rId19"/>
    <sheet state="visible" name="AcknowledgeTrade1" sheetId="18" r:id="rId20"/>
    <sheet state="visible" name="ExecuteTrade1" sheetId="19" r:id="rId21"/>
    <sheet state="visible" name="CheckUnallocatedGroups" sheetId="20" r:id="rId22"/>
    <sheet state="visible" name="CheckUnallocatedGroups1" sheetId="21" r:id="rId23"/>
    <sheet state="visible" name="SelectTradeOnOrderGrid1" sheetId="22" r:id="rId24"/>
    <sheet state="visible" name="SelectTradeSubOrderBlotter1" sheetId="23" r:id="rId25"/>
    <sheet state="visible" name="ReplaceSubOrder1" sheetId="24" r:id="rId26"/>
    <sheet state="visible" name="CustomOrderTT" sheetId="25" r:id="rId27"/>
    <sheet state="visible" name="CustomOrderTT1" sheetId="26" r:id="rId28"/>
  </sheets>
  <definedNames/>
  <calcPr/>
</workbook>
</file>

<file path=xl/sharedStrings.xml><?xml version="1.0" encoding="utf-8"?>
<sst xmlns="http://schemas.openxmlformats.org/spreadsheetml/2006/main" count="553" uniqueCount="67">
  <si>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</si>
  <si>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</si>
  <si>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</si>
  <si>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</si>
  <si>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</si>
  <si>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</si>
  <si>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</si>
  <si>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</si>
  <si>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</si>
  <si>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</si>
  <si>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</si>
  <si>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</si>
  <si>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</si>
  <si>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SetCommissionRule</t>
  </si>
  <si>
    <t>Data Format</t>
  </si>
  <si>
    <t>Input Format</t>
  </si>
  <si>
    <t>PREALLOCATION</t>
  </si>
  <si>
    <t>TradingTicket</t>
  </si>
  <si>
    <t>CreateLiveOrder</t>
  </si>
  <si>
    <t>AAPL</t>
  </si>
  <si>
    <t>Buy</t>
  </si>
  <si>
    <t>Allocation1</t>
  </si>
  <si>
    <t>MS</t>
  </si>
  <si>
    <t>Day</t>
  </si>
  <si>
    <t>Market</t>
  </si>
  <si>
    <t>Flat Amount</t>
  </si>
  <si>
    <t>MSFT</t>
  </si>
  <si>
    <t>Unallocated</t>
  </si>
  <si>
    <t>Simulator</t>
  </si>
  <si>
    <t>SelectTrade</t>
  </si>
  <si>
    <t>AcknowledgeTrade</t>
  </si>
  <si>
    <t>ExecuteTrade</t>
  </si>
  <si>
    <t>Allocation</t>
  </si>
  <si>
    <t>GetDataAllocation</t>
  </si>
  <si>
    <t>Historical</t>
  </si>
  <si>
    <t>CheckAllocatedGroups</t>
  </si>
  <si>
    <t/>
  </si>
  <si>
    <t>Actual_365</t>
  </si>
  <si>
    <t>Manual</t>
  </si>
  <si>
    <t>Equity</t>
  </si>
  <si>
    <t>AAPL US EQUITY</t>
  </si>
  <si>
    <t>Treasury</t>
  </si>
  <si>
    <t>Open</t>
  </si>
  <si>
    <t>USD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</si>
  <si>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</si>
  <si>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</si>
  <si>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</si>
  <si>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</si>
  <si>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</si>
  <si>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</si>
  <si>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</si>
  <si>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</si>
  <si>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</si>
  <si>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</si>
  <si>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NewMF</t>
  </si>
  <si>
    <t>Blotter</t>
  </si>
  <si>
    <t>SelectTradeOnOrderGrid</t>
  </si>
  <si>
    <t>PartiallyFilled</t>
  </si>
  <si>
    <t>SelectTradeSubOrderBlotter</t>
  </si>
  <si>
    <t>ReplaceSubOrder</t>
  </si>
  <si>
    <t>CreateReplaceOrder</t>
  </si>
  <si>
    <t>RejectTrade</t>
  </si>
  <si>
    <t>CheckUnallocatedGroups</t>
  </si>
  <si>
    <t>MSFT US EQUITY</t>
  </si>
  <si>
    <t>FIX</t>
  </si>
  <si>
    <t>CustomOrderTT</t>
  </si>
  <si>
    <t>REPLACE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</si>
</sst>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333333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13" numFmtId="0" xfId="0" applyAlignment="1" applyFont="1">
      <alignment readingOrder="0" shrinkToFit="0" wrapText="1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IFERROR(__xludf.DUMMYFUNCTION("""COMPUTED_VALUE"""),"CommissionCalculation")</f>
        <v>CommissionCalculation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SetCommissionRule!$4:$4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100.0</v>
      </c>
      <c r="E6" s="12">
        <v>100.0</v>
      </c>
      <c r="F6" s="12" t="s">
        <v>21</v>
      </c>
      <c r="G6" s="12" t="s">
        <v>22</v>
      </c>
      <c r="H6" s="12" t="s">
        <v>23</v>
      </c>
      <c r="I6" s="12" t="s">
        <v>24</v>
      </c>
      <c r="J6" s="12">
        <v>10.0</v>
      </c>
      <c r="K6" s="8"/>
      <c r="L6" s="8"/>
      <c r="M6" s="8"/>
      <c r="N6" s="31">
        <f t="shared" ref="N6:N7" si="1">today()</f>
        <v>45849</v>
      </c>
      <c r="O6" s="8"/>
      <c r="R6" s="9" t="s">
        <v>25</v>
      </c>
      <c r="S6" s="9">
        <v>20.0</v>
      </c>
      <c r="T6" s="9" t="s">
        <v>25</v>
      </c>
      <c r="U6" s="9">
        <v>20.0</v>
      </c>
    </row>
    <row r="7" ht="15.75" customHeight="1">
      <c r="A7" s="8"/>
      <c r="B7" s="12" t="s">
        <v>26</v>
      </c>
      <c r="C7" s="12" t="s">
        <v>20</v>
      </c>
      <c r="D7" s="12">
        <v>100.0</v>
      </c>
      <c r="E7" s="12">
        <v>100.0</v>
      </c>
      <c r="F7" s="12" t="s">
        <v>27</v>
      </c>
      <c r="G7" s="12" t="s">
        <v>22</v>
      </c>
      <c r="H7" s="12" t="s">
        <v>23</v>
      </c>
      <c r="I7" s="12" t="s">
        <v>24</v>
      </c>
      <c r="J7" s="12">
        <v>10.0</v>
      </c>
      <c r="K7" s="8"/>
      <c r="L7" s="8"/>
      <c r="M7" s="8"/>
      <c r="N7" s="31">
        <f t="shared" si="1"/>
        <v>45849</v>
      </c>
      <c r="O7" s="8"/>
      <c r="R7" s="9" t="s">
        <v>25</v>
      </c>
      <c r="S7" s="9">
        <v>20.0</v>
      </c>
      <c r="T7" s="9" t="s">
        <v>25</v>
      </c>
      <c r="U7" s="9">
        <v>20.0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31">
        <f>today()-1</f>
        <v>45848</v>
      </c>
      <c r="D6" s="32">
        <f>today()</f>
        <v>45849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36</v>
      </c>
      <c r="B6" s="33" t="s">
        <v>21</v>
      </c>
      <c r="C6" s="8" t="s">
        <v>37</v>
      </c>
      <c r="D6" s="33">
        <v>0.0</v>
      </c>
      <c r="E6" s="8">
        <v>10.0</v>
      </c>
      <c r="F6" s="8" t="s">
        <v>38</v>
      </c>
      <c r="G6" s="8" t="s">
        <v>39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40</v>
      </c>
      <c r="N6" s="8" t="s">
        <v>41</v>
      </c>
      <c r="O6" s="8" t="s">
        <v>22</v>
      </c>
      <c r="Q6">
        <v>3.0</v>
      </c>
      <c r="R6">
        <v>0.0</v>
      </c>
      <c r="S6" t="s">
        <v>42</v>
      </c>
      <c r="T6">
        <v>20.0</v>
      </c>
      <c r="U6">
        <v>2.0</v>
      </c>
      <c r="W6">
        <v>1.0</v>
      </c>
      <c r="X6">
        <v>0.0</v>
      </c>
      <c r="Y6" t="s">
        <v>36</v>
      </c>
      <c r="Z6" t="s">
        <v>43</v>
      </c>
      <c r="AA6" t="s">
        <v>19</v>
      </c>
      <c r="AB6">
        <v>1.0</v>
      </c>
      <c r="AD6" t="s">
        <v>44</v>
      </c>
      <c r="AE6">
        <v>10.0</v>
      </c>
      <c r="AF6" t="s">
        <v>36</v>
      </c>
      <c r="AH6" t="s">
        <v>45</v>
      </c>
      <c r="AI6">
        <v>1.0</v>
      </c>
      <c r="AJ6" t="s">
        <v>46</v>
      </c>
      <c r="AM6" t="s">
        <v>47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154.0001</v>
      </c>
      <c r="AU6">
        <v>154.0001</v>
      </c>
      <c r="AW6">
        <v>0.0</v>
      </c>
      <c r="AX6">
        <v>0.0</v>
      </c>
      <c r="AY6" t="s">
        <v>24</v>
      </c>
      <c r="AZ6">
        <v>0.0</v>
      </c>
      <c r="BC6">
        <v>0.0</v>
      </c>
      <c r="BD6" t="s">
        <v>48</v>
      </c>
      <c r="BE6">
        <v>100.0</v>
      </c>
      <c r="BF6">
        <v>100.0</v>
      </c>
      <c r="BJ6">
        <v>100.0</v>
      </c>
      <c r="BK6">
        <v>0.0</v>
      </c>
      <c r="BL6" t="s">
        <v>36</v>
      </c>
      <c r="BM6" t="s">
        <v>43</v>
      </c>
      <c r="BO6" t="s">
        <v>20</v>
      </c>
      <c r="BP6">
        <v>20.0</v>
      </c>
      <c r="BQ6">
        <v>2.0</v>
      </c>
      <c r="BR6">
        <v>1.0E-4</v>
      </c>
      <c r="BS6" t="s">
        <v>49</v>
      </c>
      <c r="BT6" t="s">
        <v>19</v>
      </c>
      <c r="BU6">
        <v>3.0</v>
      </c>
      <c r="BV6">
        <v>40.0</v>
      </c>
      <c r="BW6">
        <v>54.0001</v>
      </c>
      <c r="BX6">
        <v>4.0</v>
      </c>
      <c r="CF6" t="s">
        <v>50</v>
      </c>
      <c r="CG6">
        <v>2.0</v>
      </c>
      <c r="CH6" s="9" t="s">
        <v>17</v>
      </c>
      <c r="CI6" t="s">
        <v>20</v>
      </c>
      <c r="CJ6">
        <v>0.0</v>
      </c>
      <c r="CK6" t="s">
        <v>51</v>
      </c>
      <c r="CL6">
        <v>1.0</v>
      </c>
      <c r="CM6" t="s">
        <v>19</v>
      </c>
      <c r="CN6" t="s">
        <v>52</v>
      </c>
      <c r="CO6" t="s">
        <v>44</v>
      </c>
      <c r="CP6" t="s">
        <v>53</v>
      </c>
      <c r="CS6" t="s">
        <v>36</v>
      </c>
      <c r="CW6">
        <v>0.0</v>
      </c>
      <c r="CX6" t="s">
        <v>54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J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0"/>
      <c r="F6" s="12" t="s">
        <v>20</v>
      </c>
      <c r="G6" s="12" t="s">
        <v>57</v>
      </c>
      <c r="H6" s="12">
        <v>100.0</v>
      </c>
      <c r="I6" s="8"/>
      <c r="J6" s="8"/>
      <c r="K6" s="8"/>
      <c r="L6" s="8"/>
      <c r="M6" s="8"/>
      <c r="N6" s="8"/>
      <c r="O6" s="8"/>
      <c r="Q6" s="9" t="s">
        <v>22</v>
      </c>
      <c r="R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IFERROR(__xludf.DUMMYFUNCTION("""COMPUTED_VALUE"""),"CheckBox")</f>
        <v>CheckBox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57</v>
      </c>
      <c r="AL6" s="9">
        <v>100.0</v>
      </c>
      <c r="AS6" s="9" t="s">
        <v>22</v>
      </c>
      <c r="AT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SelectTradeSubOrderBlotter!$4:$4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20</v>
      </c>
      <c r="AL6" s="9" t="s">
        <v>57</v>
      </c>
      <c r="AM6" s="9">
        <v>100.0</v>
      </c>
      <c r="AT6" s="9" t="s">
        <v>22</v>
      </c>
      <c r="AU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20</v>
      </c>
      <c r="D6" s="12">
        <v>100.0</v>
      </c>
      <c r="E6" s="30"/>
      <c r="F6" s="8"/>
      <c r="G6" s="8"/>
      <c r="H6" s="12" t="s">
        <v>23</v>
      </c>
      <c r="I6" s="12" t="s">
        <v>24</v>
      </c>
      <c r="J6" s="8"/>
      <c r="K6" s="8"/>
      <c r="L6" s="8"/>
      <c r="M6" s="8"/>
      <c r="N6" s="8"/>
      <c r="O6" s="8"/>
      <c r="R6" s="9" t="s">
        <v>25</v>
      </c>
      <c r="S6" s="9">
        <v>30.0</v>
      </c>
      <c r="T6" s="9" t="s">
        <v>25</v>
      </c>
      <c r="U6" s="9">
        <v>30.0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36</v>
      </c>
      <c r="B6" s="33" t="s">
        <v>36</v>
      </c>
      <c r="C6" s="8">
        <v>0.0</v>
      </c>
      <c r="D6" s="33">
        <v>0.0</v>
      </c>
      <c r="E6" s="8"/>
      <c r="F6" s="8" t="s">
        <v>39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63</v>
      </c>
      <c r="M6" s="8" t="s">
        <v>36</v>
      </c>
      <c r="N6" s="8" t="s">
        <v>22</v>
      </c>
      <c r="O6" s="8"/>
      <c r="P6">
        <v>3.0</v>
      </c>
      <c r="Q6">
        <v>0.0</v>
      </c>
      <c r="R6" t="s">
        <v>53</v>
      </c>
      <c r="S6" t="s">
        <v>42</v>
      </c>
      <c r="T6">
        <v>20.0</v>
      </c>
      <c r="U6">
        <v>2.0</v>
      </c>
      <c r="W6">
        <v>1.0</v>
      </c>
      <c r="X6" t="s">
        <v>36</v>
      </c>
      <c r="Y6" t="s">
        <v>36</v>
      </c>
      <c r="Z6" t="s">
        <v>43</v>
      </c>
      <c r="AB6">
        <v>1.0</v>
      </c>
      <c r="AD6" t="s">
        <v>44</v>
      </c>
      <c r="AE6">
        <v>10.0</v>
      </c>
      <c r="AG6" t="s">
        <v>45</v>
      </c>
      <c r="AH6">
        <v>1.0</v>
      </c>
      <c r="AI6" t="s">
        <v>46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T6" s="9">
        <v>154.0001</v>
      </c>
      <c r="AU6" s="9">
        <v>154.0001</v>
      </c>
      <c r="AW6">
        <v>0.0</v>
      </c>
      <c r="AX6">
        <v>0.0</v>
      </c>
      <c r="AY6" t="s">
        <v>24</v>
      </c>
      <c r="AZ6">
        <v>0.0</v>
      </c>
      <c r="BC6">
        <v>0.0</v>
      </c>
      <c r="BD6" t="s">
        <v>48</v>
      </c>
      <c r="BE6">
        <v>100.0</v>
      </c>
      <c r="BF6">
        <v>100.0</v>
      </c>
      <c r="BJ6">
        <v>100.0</v>
      </c>
      <c r="BK6">
        <v>0.0</v>
      </c>
      <c r="BL6" t="s">
        <v>36</v>
      </c>
      <c r="BM6" t="s">
        <v>43</v>
      </c>
      <c r="BO6" t="s">
        <v>20</v>
      </c>
      <c r="BP6">
        <v>20.0</v>
      </c>
      <c r="BQ6">
        <v>2.0</v>
      </c>
      <c r="BR6" s="9">
        <v>1.0E-4</v>
      </c>
      <c r="BS6" t="s">
        <v>26</v>
      </c>
      <c r="BT6">
        <v>3.0</v>
      </c>
      <c r="BU6">
        <v>40.0</v>
      </c>
      <c r="BV6" s="9">
        <v>54.0001</v>
      </c>
      <c r="BW6">
        <v>4.0</v>
      </c>
      <c r="CE6" t="s">
        <v>50</v>
      </c>
      <c r="CF6">
        <v>2.0</v>
      </c>
      <c r="CG6" s="35" t="s">
        <v>64</v>
      </c>
      <c r="CH6" t="s">
        <v>20</v>
      </c>
      <c r="CI6">
        <v>10.0</v>
      </c>
      <c r="CJ6" t="s">
        <v>51</v>
      </c>
      <c r="CK6">
        <v>1.0</v>
      </c>
      <c r="CL6" t="s">
        <v>26</v>
      </c>
      <c r="CM6" t="s">
        <v>52</v>
      </c>
      <c r="CN6" t="s">
        <v>44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J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3" t="s">
        <v>36</v>
      </c>
      <c r="B6" s="33" t="s">
        <v>36</v>
      </c>
      <c r="C6" s="8">
        <v>0.0</v>
      </c>
      <c r="D6" s="33">
        <v>0.0</v>
      </c>
      <c r="E6" s="8"/>
      <c r="F6" s="8" t="s">
        <v>39</v>
      </c>
      <c r="G6" s="8">
        <v>4.0</v>
      </c>
      <c r="H6" s="8">
        <v>5.0</v>
      </c>
      <c r="I6" s="8">
        <v>1.0</v>
      </c>
      <c r="J6" s="8">
        <v>10.0</v>
      </c>
      <c r="K6" s="8">
        <v>10.0</v>
      </c>
      <c r="L6" s="8" t="s">
        <v>63</v>
      </c>
      <c r="M6" s="8" t="s">
        <v>36</v>
      </c>
      <c r="N6" s="8" t="s">
        <v>22</v>
      </c>
      <c r="O6" s="8"/>
      <c r="P6">
        <v>3.0</v>
      </c>
      <c r="Q6">
        <v>0.0</v>
      </c>
      <c r="R6" t="s">
        <v>53</v>
      </c>
      <c r="S6" t="s">
        <v>42</v>
      </c>
      <c r="T6">
        <v>20.0</v>
      </c>
      <c r="U6">
        <v>2.0</v>
      </c>
      <c r="W6">
        <v>1.0</v>
      </c>
      <c r="X6" t="s">
        <v>36</v>
      </c>
      <c r="Y6" t="s">
        <v>36</v>
      </c>
      <c r="Z6" t="s">
        <v>43</v>
      </c>
      <c r="AB6">
        <v>1.0</v>
      </c>
      <c r="AD6" t="s">
        <v>44</v>
      </c>
      <c r="AE6">
        <v>10.0</v>
      </c>
      <c r="AG6" t="s">
        <v>45</v>
      </c>
      <c r="AH6">
        <v>1.0</v>
      </c>
      <c r="AI6" t="s">
        <v>46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T6" s="9">
        <v>154.0</v>
      </c>
      <c r="AU6" s="9">
        <v>154.0</v>
      </c>
      <c r="AW6">
        <v>0.0</v>
      </c>
      <c r="AX6">
        <v>0.0</v>
      </c>
      <c r="AY6" t="s">
        <v>24</v>
      </c>
      <c r="AZ6">
        <v>0.0</v>
      </c>
      <c r="BC6">
        <v>0.0</v>
      </c>
      <c r="BD6" t="s">
        <v>48</v>
      </c>
      <c r="BE6">
        <v>100.0</v>
      </c>
      <c r="BF6">
        <v>100.0</v>
      </c>
      <c r="BJ6">
        <v>100.0</v>
      </c>
      <c r="BK6">
        <v>0.0</v>
      </c>
      <c r="BL6" t="s">
        <v>36</v>
      </c>
      <c r="BM6" t="s">
        <v>43</v>
      </c>
      <c r="BO6" t="s">
        <v>20</v>
      </c>
      <c r="BP6">
        <v>20.0</v>
      </c>
      <c r="BQ6">
        <v>2.0</v>
      </c>
      <c r="BR6" s="36">
        <v>0.0</v>
      </c>
      <c r="BS6" t="s">
        <v>26</v>
      </c>
      <c r="BT6">
        <v>3.0</v>
      </c>
      <c r="BU6">
        <v>40.0</v>
      </c>
      <c r="BV6" s="9">
        <v>54.0</v>
      </c>
      <c r="BW6">
        <v>4.0</v>
      </c>
      <c r="CE6" t="s">
        <v>50</v>
      </c>
      <c r="CF6">
        <v>2.0</v>
      </c>
      <c r="CG6" s="35" t="s">
        <v>64</v>
      </c>
      <c r="CH6" t="s">
        <v>20</v>
      </c>
      <c r="CI6">
        <v>10.0</v>
      </c>
      <c r="CJ6" t="s">
        <v>51</v>
      </c>
      <c r="CK6">
        <v>1.0</v>
      </c>
      <c r="CL6" t="s">
        <v>26</v>
      </c>
      <c r="CM6" t="s">
        <v>52</v>
      </c>
      <c r="CN6" t="s">
        <v>44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J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0"/>
      <c r="F6" s="12" t="s">
        <v>20</v>
      </c>
      <c r="G6" s="12" t="s">
        <v>57</v>
      </c>
      <c r="H6" s="12">
        <v>100.0</v>
      </c>
      <c r="I6" s="8"/>
      <c r="J6" s="8"/>
      <c r="K6" s="8"/>
      <c r="L6" s="8"/>
      <c r="M6" s="8"/>
      <c r="N6" s="8"/>
      <c r="O6" s="8"/>
      <c r="Q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IFERROR(__xludf.DUMMYFUNCTION("""COMPUTED_VALUE"""),"CheckBox")</f>
        <v>CheckBox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26</v>
      </c>
      <c r="AJ6" s="9" t="s">
        <v>20</v>
      </c>
      <c r="AK6" s="9" t="s">
        <v>57</v>
      </c>
      <c r="AL6" s="9">
        <v>100.0</v>
      </c>
      <c r="AS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SelectTradeSubOrderBlotter1!$4:$4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IFERROR(__xludf.DUMMYFUNCTION("""COMPUTED_VALUE"""),"SaveLayoutBlotter")</f>
        <v>SaveLayoutBlotter</v>
      </c>
      <c r="CH4" s="25" t="str">
        <f>IFERROR(__xludf.DUMMYFUNCTION("""COMPUTED_VALUE"""),"CustomTabActions")</f>
        <v>CustomTabActions</v>
      </c>
      <c r="CI4" s="25" t="str">
        <f>IFERROR(__xludf.DUMMYFUNCTION("""COMPUTED_VALUE"""),"VerifyAllocationWindow")</f>
        <v>VerifyAllocationWindow</v>
      </c>
      <c r="CJ4" s="25" t="str">
        <f>IFERROR(__xludf.DUMMYFUNCTION("""COMPUTED_VALUE"""),"RightClickOperations")</f>
        <v>RightClickOperations</v>
      </c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26</v>
      </c>
      <c r="AK6" s="9" t="s">
        <v>20</v>
      </c>
      <c r="AL6" s="9" t="s">
        <v>57</v>
      </c>
      <c r="AM6" s="9">
        <v>100.0</v>
      </c>
      <c r="AT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66</v>
      </c>
      <c r="F6" s="8"/>
      <c r="G6" s="8"/>
      <c r="H6" s="8"/>
      <c r="I6" s="8"/>
      <c r="J6" s="8"/>
      <c r="K6" s="8"/>
      <c r="L6" s="9" t="s">
        <v>25</v>
      </c>
      <c r="M6" s="9">
        <v>30.0</v>
      </c>
      <c r="N6" s="9" t="s">
        <v>25</v>
      </c>
      <c r="O6" s="9">
        <v>30.0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12" t="s">
        <v>66</v>
      </c>
      <c r="F6" s="8"/>
      <c r="G6" s="8"/>
      <c r="H6" s="8"/>
      <c r="I6" s="8"/>
      <c r="J6" s="8"/>
      <c r="K6" s="8"/>
      <c r="L6" s="9" t="s">
        <v>25</v>
      </c>
      <c r="M6" s="9">
        <v>30.0</v>
      </c>
      <c r="N6" s="9" t="s">
        <v>25</v>
      </c>
      <c r="O6" s="9">
        <v>30.0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