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SetTTUIAdminPreferences" sheetId="6" r:id="rId8"/>
    <sheet state="visible" name="SetBrokerWisePreferencesTT" sheetId="7" r:id="rId9"/>
    <sheet state="visible" name="GetDailyCash" sheetId="8" r:id="rId10"/>
    <sheet state="visible" name="UpdateDailyCash" sheetId="9" r:id="rId11"/>
    <sheet state="visible" name="CreateOrderPTT" sheetId="10" r:id="rId12"/>
    <sheet state="visible" name="CreateOrderPTT1" sheetId="11" r:id="rId13"/>
    <sheet state="visible" name="MultiTradingTicketFromBlotter" sheetId="12" r:id="rId14"/>
    <sheet state="visible" name="SelectTradeUsingMTT" sheetId="13" r:id="rId15"/>
    <sheet state="visible" name="EditTradeUsingMTT" sheetId="14" r:id="rId16"/>
    <sheet state="visible" name="SelectTradeUsingMTT1" sheetId="15" r:id="rId17"/>
    <sheet state="visible" name="EditTradeUsingMTT1" sheetId="16" r:id="rId18"/>
    <sheet state="visible" name="DoneAwayUsingMTT" sheetId="17" r:id="rId19"/>
    <sheet state="visible" name="VerifyOrder" sheetId="18" r:id="rId20"/>
    <sheet state="visible" name="VerifyWorkingSubs" sheetId="19" r:id="rId21"/>
  </sheets>
  <definedNames/>
  <calcPr/>
</workbook>
</file>

<file path=xl/sharedStrings.xml><?xml version="1.0" encoding="utf-8"?>
<sst xmlns="http://schemas.openxmlformats.org/spreadsheetml/2006/main" count="213" uniqueCount="49">
  <si>
    <t>Modules Info</t>
  </si>
  <si>
    <t>Modules</t>
  </si>
  <si>
    <t>Settings</t>
  </si>
  <si>
    <t>Module Step Setting File</t>
  </si>
  <si>
    <t>1rVyxvRBVkfAUUEv3QPVVeXMz3F0nVqXIFuJne5NE3xE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</si>
  <si>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</si>
  <si>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</si>
  <si>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</si>
  <si>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</si>
  <si>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</si>
  <si>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</si>
  <si>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</si>
  <si>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</si>
  <si>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</si>
  <si>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</si>
  <si>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</si>
  <si>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</si>
  <si>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</si>
  <si>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Unallocated</t>
  </si>
  <si>
    <t>Market</t>
  </si>
  <si>
    <t>MSFT</t>
  </si>
  <si>
    <t>Pricinginput</t>
  </si>
  <si>
    <t>PricingInput</t>
  </si>
  <si>
    <t>Admin</t>
  </si>
  <si>
    <t>SetTTUIAdminPreferences</t>
  </si>
  <si>
    <t>NULL</t>
  </si>
  <si>
    <t>SetBrokerWisePreferencesTT</t>
  </si>
  <si>
    <t>MS</t>
  </si>
  <si>
    <t>NASDAQ</t>
  </si>
  <si>
    <t>DailyValuation</t>
  </si>
  <si>
    <t>GetDailyCash</t>
  </si>
  <si>
    <t>UpdateDailyCash</t>
  </si>
  <si>
    <t>Allocation1</t>
  </si>
  <si>
    <t>USD</t>
  </si>
  <si>
    <t>PTT</t>
  </si>
  <si>
    <t>CreateOrderPTT</t>
  </si>
  <si>
    <t>Basis Point</t>
  </si>
  <si>
    <t>No</t>
  </si>
  <si>
    <t>Account</t>
  </si>
  <si>
    <t>Blotter</t>
  </si>
  <si>
    <t>MultiTradingTicketFromBlotter</t>
  </si>
  <si>
    <t>New</t>
  </si>
  <si>
    <t>MultiTradingTicket</t>
  </si>
  <si>
    <t>SelectTradeUsingMTT</t>
  </si>
  <si>
    <t>EditTradeUsingMTT</t>
  </si>
  <si>
    <t>DoneAwayUsingMTT</t>
  </si>
  <si>
    <t>VerifyOrder</t>
  </si>
  <si>
    <t>Filled</t>
  </si>
  <si>
    <t>VerifyWorkingSubs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</si>
</sst>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readingOrder="0" vertical="bottom"/>
    </xf>
    <xf borderId="5" fillId="0" fontId="5" numFmtId="0" xfId="0" applyAlignment="1" applyBorder="1" applyFont="1">
      <alignment readingOrder="0" vertical="bottom"/>
    </xf>
    <xf borderId="5" fillId="0" fontId="13" numFmtId="0" xfId="0" applyAlignment="1" applyBorder="1" applyFont="1">
      <alignment horizontal="right" readingOrder="0" vertical="bottom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17</v>
      </c>
      <c r="D6" s="13">
        <v>1.0</v>
      </c>
      <c r="E6" s="8"/>
      <c r="F6" s="13" t="s">
        <v>18</v>
      </c>
      <c r="G6" s="8"/>
      <c r="H6" s="8"/>
      <c r="I6" s="13" t="s">
        <v>19</v>
      </c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20</v>
      </c>
      <c r="C7" s="13" t="s">
        <v>17</v>
      </c>
      <c r="D7" s="13">
        <v>1.0</v>
      </c>
      <c r="E7" s="8"/>
      <c r="F7" s="13" t="s">
        <v>18</v>
      </c>
      <c r="G7" s="8"/>
      <c r="H7" s="8"/>
      <c r="I7" s="13" t="s">
        <v>19</v>
      </c>
      <c r="J7" s="13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13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20</v>
      </c>
      <c r="C7" s="1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IFERROR(__xludf.DUMMYFUNCTION("""COMPUTED_VALUE"""),"TIF")</f>
        <v>TIF</v>
      </c>
      <c r="E5" s="28" t="str">
        <f>IFERROR(__xludf.DUMMYFUNCTION("""COMPUTED_VALUE"""),"Trader")</f>
        <v>Trader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25</v>
      </c>
      <c r="C6" s="33" t="s">
        <v>25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SetTTUIAdminPreferences!$4:$4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IFERROR(__xludf.DUMMYFUNCTION("""COMPUTED_VALUE"""),"Commission Basis")</f>
        <v>Commission Basis</v>
      </c>
      <c r="D5" s="28" t="str">
        <f>IFERROR(__xludf.DUMMYFUNCTION("""COMPUTED_VALUE"""),"Soft Commission Basis")</f>
        <v>Soft Commission Basis</v>
      </c>
      <c r="E5" s="28" t="str">
        <f>IFERROR(__xludf.DUMMYFUNCTION("""COMPUTED_VALUE"""),"Execution Instruction")</f>
        <v>Execution Instruction</v>
      </c>
      <c r="F5" s="29" t="str">
        <f>IFERROR(__xludf.DUMMYFUNCTION("""COMPUTED_VALUE"""),"Venue")</f>
        <v>Venue</v>
      </c>
      <c r="G5" s="28" t="str">
        <f>IFERROR(__xludf.DUMMYFUNCTION("""COMPUTED_VALUE"""),"Algo Type")</f>
        <v>Algo Type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6" t="s">
        <v>27</v>
      </c>
      <c r="C6" s="37"/>
      <c r="D6" s="36"/>
      <c r="E6" s="37"/>
      <c r="F6" s="37" t="s">
        <v>28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SetBrokerWisePreferencesTT!$4:$4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8">
        <f t="shared" ref="B6:C6" si="1">today()-1</f>
        <v>45204</v>
      </c>
      <c r="C6" s="38">
        <f t="shared" si="1"/>
        <v>45204</v>
      </c>
      <c r="D6" s="36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32</v>
      </c>
      <c r="C6" s="37" t="s">
        <v>33</v>
      </c>
      <c r="D6" s="39">
        <v>100000.0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0" t="s">
        <v>16</v>
      </c>
      <c r="C6" s="41" t="s">
        <v>17</v>
      </c>
      <c r="D6" s="42" t="s">
        <v>36</v>
      </c>
      <c r="E6" s="43">
        <v>100.0</v>
      </c>
      <c r="F6" s="43"/>
      <c r="G6" s="44" t="s">
        <v>37</v>
      </c>
      <c r="H6" s="44" t="s">
        <v>38</v>
      </c>
      <c r="I6" s="45" t="s">
        <v>32</v>
      </c>
      <c r="J6" s="37"/>
      <c r="K6" s="37"/>
      <c r="L6" s="37"/>
      <c r="M6" s="37"/>
      <c r="N6" s="37"/>
      <c r="O6" s="37"/>
      <c r="P6" s="37"/>
      <c r="Q6" s="37"/>
      <c r="R6" s="37"/>
      <c r="S6" s="37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1" t="s">
        <v>20</v>
      </c>
      <c r="C6" s="41" t="s">
        <v>17</v>
      </c>
      <c r="D6" s="42" t="s">
        <v>36</v>
      </c>
      <c r="E6" s="43">
        <v>100.0</v>
      </c>
      <c r="F6" s="43"/>
      <c r="G6" s="44" t="s">
        <v>37</v>
      </c>
      <c r="H6" s="44" t="s">
        <v>38</v>
      </c>
      <c r="I6" s="45" t="s">
        <v>32</v>
      </c>
      <c r="J6" s="37"/>
      <c r="K6" s="37"/>
      <c r="L6" s="37"/>
      <c r="M6" s="37"/>
      <c r="N6" s="37"/>
      <c r="O6" s="37"/>
      <c r="P6" s="37"/>
      <c r="Q6" s="37"/>
      <c r="R6" s="37"/>
      <c r="S6" s="37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6"/>
      <c r="C6" s="37"/>
      <c r="D6" s="36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16</v>
      </c>
      <c r="AJ6" s="31" t="s">
        <v>17</v>
      </c>
      <c r="AK6" s="31" t="s">
        <v>41</v>
      </c>
      <c r="AL6" s="46">
        <v>100.0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 t="s">
        <v>20</v>
      </c>
      <c r="AJ7" s="31" t="s">
        <v>17</v>
      </c>
      <c r="AK7" s="31" t="s">
        <v>41</v>
      </c>
      <c r="AL7" s="47">
        <v>100.0</v>
      </c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6" t="s">
        <v>16</v>
      </c>
      <c r="C6" s="37" t="s">
        <v>17</v>
      </c>
      <c r="D6" s="39">
        <v>100.0</v>
      </c>
      <c r="E6" s="37"/>
      <c r="F6" s="37" t="s">
        <v>32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4"/>
      <c r="F6" s="8"/>
      <c r="G6" s="13" t="s">
        <v>27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6" t="s">
        <v>20</v>
      </c>
      <c r="C6" s="37" t="s">
        <v>17</v>
      </c>
      <c r="D6" s="48">
        <v>100.0</v>
      </c>
      <c r="E6" s="37"/>
      <c r="F6" s="37" t="s">
        <v>32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4"/>
      <c r="F6" s="8"/>
      <c r="G6" s="13" t="s">
        <v>27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6" t="s">
        <v>16</v>
      </c>
      <c r="C6" s="37" t="s">
        <v>17</v>
      </c>
      <c r="D6" s="39">
        <v>100.0</v>
      </c>
      <c r="E6" s="37"/>
      <c r="F6" s="37" t="s">
        <v>32</v>
      </c>
      <c r="G6" s="37" t="s">
        <v>27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1"/>
      <c r="U6" s="31"/>
      <c r="V6" s="31"/>
      <c r="W6" s="31"/>
      <c r="X6" s="31"/>
      <c r="Y6" s="31"/>
      <c r="Z6" s="31"/>
      <c r="AA6" s="31"/>
      <c r="AB6" s="31" t="s">
        <v>28</v>
      </c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20</v>
      </c>
      <c r="C7" s="31" t="s">
        <v>17</v>
      </c>
      <c r="D7" s="49">
        <v>100.0</v>
      </c>
      <c r="E7" s="31"/>
      <c r="F7" s="31" t="s">
        <v>32</v>
      </c>
      <c r="G7" s="31" t="s">
        <v>27</v>
      </c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 t="s">
        <v>28</v>
      </c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6"/>
      <c r="C6" s="37"/>
      <c r="D6" s="36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16</v>
      </c>
      <c r="AJ6" s="31" t="s">
        <v>17</v>
      </c>
      <c r="AK6" s="31" t="s">
        <v>47</v>
      </c>
      <c r="AL6" s="46">
        <v>100.0</v>
      </c>
      <c r="AM6" s="46">
        <v>100.0</v>
      </c>
      <c r="AN6" s="31"/>
      <c r="AO6" s="31"/>
      <c r="AP6" s="31"/>
      <c r="AQ6" s="31"/>
      <c r="AR6" s="31"/>
      <c r="AS6" s="31" t="s">
        <v>27</v>
      </c>
      <c r="AT6" s="31" t="s">
        <v>32</v>
      </c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 t="s">
        <v>20</v>
      </c>
      <c r="AJ7" s="31" t="s">
        <v>17</v>
      </c>
      <c r="AK7" s="31" t="s">
        <v>47</v>
      </c>
      <c r="AL7" s="47">
        <v>100.0</v>
      </c>
      <c r="AM7" s="47">
        <v>100.0</v>
      </c>
      <c r="AN7" s="31"/>
      <c r="AO7" s="31"/>
      <c r="AP7" s="31"/>
      <c r="AQ7" s="31"/>
      <c r="AR7" s="31"/>
      <c r="AS7" s="31" t="s">
        <v>27</v>
      </c>
      <c r="AT7" s="31" t="s">
        <v>32</v>
      </c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31" t="s">
        <v>16</v>
      </c>
      <c r="AJ8" s="31" t="s">
        <v>17</v>
      </c>
      <c r="AK8" s="31" t="s">
        <v>47</v>
      </c>
      <c r="AL8" s="9">
        <v>1.0</v>
      </c>
      <c r="AM8" s="9">
        <v>1.0</v>
      </c>
      <c r="AS8" s="31" t="s">
        <v>27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31" t="s">
        <v>20</v>
      </c>
      <c r="AJ9" s="31" t="s">
        <v>17</v>
      </c>
      <c r="AK9" s="31" t="s">
        <v>47</v>
      </c>
      <c r="AL9" s="9">
        <v>1.0</v>
      </c>
      <c r="AM9" s="9">
        <v>1.0</v>
      </c>
      <c r="AS9" s="31" t="s">
        <v>27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50" t="s">
        <v>16</v>
      </c>
      <c r="C6" s="37" t="s">
        <v>17</v>
      </c>
      <c r="D6" s="48">
        <v>100.0</v>
      </c>
      <c r="E6" s="48">
        <v>100.0</v>
      </c>
      <c r="F6" s="37"/>
      <c r="G6" s="37" t="s">
        <v>47</v>
      </c>
      <c r="H6" s="37"/>
      <c r="I6" s="37"/>
      <c r="J6" s="37"/>
      <c r="K6" s="37" t="s">
        <v>27</v>
      </c>
      <c r="L6" s="37" t="s">
        <v>32</v>
      </c>
      <c r="M6" s="37"/>
      <c r="N6" s="37"/>
      <c r="O6" s="37"/>
      <c r="P6" s="37"/>
      <c r="Q6" s="37"/>
      <c r="R6" s="37"/>
      <c r="S6" s="37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 t="s">
        <v>28</v>
      </c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51" t="s">
        <v>20</v>
      </c>
      <c r="C7" s="31" t="s">
        <v>17</v>
      </c>
      <c r="D7" s="52">
        <v>100.0</v>
      </c>
      <c r="E7" s="52">
        <v>100.0</v>
      </c>
      <c r="F7" s="31"/>
      <c r="G7" s="31" t="s">
        <v>47</v>
      </c>
      <c r="H7" s="31"/>
      <c r="I7" s="31"/>
      <c r="J7" s="31"/>
      <c r="K7" s="31" t="s">
        <v>27</v>
      </c>
      <c r="L7" s="31" t="s">
        <v>32</v>
      </c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 t="s">
        <v>28</v>
      </c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50" t="s">
        <v>16</v>
      </c>
      <c r="C8" s="37" t="s">
        <v>17</v>
      </c>
      <c r="D8" s="48">
        <v>1.0</v>
      </c>
      <c r="E8" s="48">
        <v>1.0</v>
      </c>
      <c r="F8" s="37"/>
      <c r="G8" s="37" t="s">
        <v>47</v>
      </c>
      <c r="H8" s="8"/>
      <c r="I8" s="8"/>
      <c r="J8" s="8"/>
      <c r="K8" s="31" t="s">
        <v>27</v>
      </c>
      <c r="L8" s="13"/>
      <c r="M8" s="8"/>
      <c r="N8" s="8"/>
      <c r="O8" s="8"/>
    </row>
    <row r="9" ht="15.75" customHeight="1">
      <c r="A9" s="8"/>
      <c r="B9" s="51" t="s">
        <v>20</v>
      </c>
      <c r="C9" s="31" t="s">
        <v>17</v>
      </c>
      <c r="D9" s="49">
        <v>1.0</v>
      </c>
      <c r="E9" s="49">
        <v>1.0</v>
      </c>
      <c r="F9" s="31"/>
      <c r="G9" s="31" t="s">
        <v>47</v>
      </c>
      <c r="H9" s="8"/>
      <c r="I9" s="8"/>
      <c r="J9" s="8"/>
      <c r="K9" s="31" t="s">
        <v>27</v>
      </c>
      <c r="L9" s="13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