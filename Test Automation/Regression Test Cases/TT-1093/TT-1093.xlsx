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CreateDoneAwayOrder" sheetId="7" r:id="rId9"/>
    <sheet state="visible" name="SelectTradeOnOrderGrid" sheetId="8" r:id="rId10"/>
    <sheet state="visible" name="ReplaceSubOrder" sheetId="9" r:id="rId11"/>
    <sheet state="visible" name="UseOrVerifyHotKeys" sheetId="10" r:id="rId12"/>
    <sheet state="visible" name="VerifyToastMessage" sheetId="11" r:id="rId13"/>
  </sheets>
  <definedNames/>
  <calcPr/>
</workbook>
</file>

<file path=xl/sharedStrings.xml><?xml version="1.0" encoding="utf-8"?>
<sst xmlns="http://schemas.openxmlformats.org/spreadsheetml/2006/main" count="89" uniqueCount="40">
  <si>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</si>
  <si>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</si>
  <si>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</si>
  <si>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</si>
  <si>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</si>
  <si>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</si>
  <si>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</si>
  <si>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</si>
  <si>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</si>
  <si>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</si>
  <si>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</si>
  <si>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</si>
  <si>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</si>
  <si>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</si>
  <si>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</si>
  <si>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</si>
  <si>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</si>
  <si>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</si>
  <si>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</si>
  <si>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</si>
  <si>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</si>
  <si>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HOTB</t>
  </si>
  <si>
    <t>Allocation1</t>
  </si>
  <si>
    <t>MS</t>
  </si>
  <si>
    <t>NASDAQ</t>
  </si>
  <si>
    <t>GTC</t>
  </si>
  <si>
    <t>Limit</t>
  </si>
  <si>
    <t>Stage</t>
  </si>
  <si>
    <t>CreateDoneAwayOrder</t>
  </si>
  <si>
    <t>Buy</t>
  </si>
  <si>
    <t>Day</t>
  </si>
  <si>
    <t>Yes</t>
  </si>
  <si>
    <t>Blotter</t>
  </si>
  <si>
    <t>SelectTradeOnOrderGrid</t>
  </si>
  <si>
    <t>PartiallyFilled</t>
  </si>
  <si>
    <t>ReplaceSubOrder</t>
  </si>
  <si>
    <t>UseOrVerifyHotKeys</t>
  </si>
  <si>
    <t>OpenFin</t>
  </si>
  <si>
    <t>VerifyToastMessage</t>
  </si>
  <si>
    <t>Cannot select GTC/GTD in case of manual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</si>
</sst>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IFERROR(__xludf.DUMMYFUNCTION("""COMPUTED_VALUE"""),"Title")</f>
        <v>Title</v>
      </c>
      <c r="C5" s="28" t="str">
        <f>IFERROR(__xludf.DUMMYFUNCTION("""COMPUTED_VALUE"""),"Symbol")</f>
        <v>Symbol</v>
      </c>
      <c r="D5" s="28" t="str">
        <f>IFERROR(__xludf.DUMMYFUNCTION("""COMPUTED_VALUE"""),"Quantity")</f>
        <v>Quantity</v>
      </c>
      <c r="E5" s="28" t="str">
        <f>IFERROR(__xludf.DUMMYFUNCTION("""COMPUTED_VALUE"""),"Allocation")</f>
        <v>Allocation</v>
      </c>
      <c r="F5" s="29" t="str">
        <f>IFERROR(__xludf.DUMMYFUNCTION("""COMPUTED_VALUE"""),"Broker")</f>
        <v>Broker</v>
      </c>
      <c r="G5" s="28" t="str">
        <f>IFERROR(__xludf.DUMMYFUNCTION("""COMPUTED_VALUE"""),"Venue")</f>
        <v>Venue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IFERROR(__xludf.DUMMYFUNCTION("""COMPUTED_VALUE"""),"Execution Type")</f>
        <v>Execution Type</v>
      </c>
      <c r="K5" s="28" t="str">
        <f>IFERROR(__xludf.DUMMYFUNCTION("""COMPUTED_VALUE"""),"Select Color")</f>
        <v>Select Color</v>
      </c>
      <c r="L5" s="28" t="str">
        <f>IFERROR(__xludf.DUMMYFUNCTION("""COMPUTED_VALUE"""),"Add To Favourite")</f>
        <v>Add To Favourite</v>
      </c>
      <c r="M5" s="28" t="str">
        <f>IFERROR(__xludf.DUMMYFUNCTION("""COMPUTED_VALUE"""),"AlgoType")</f>
        <v>AlgoType</v>
      </c>
      <c r="N5" s="28" t="str">
        <f>IFERROR(__xludf.DUMMYFUNCTION("""COMPUTED_VALUE"""),"Start time")</f>
        <v>Start time</v>
      </c>
      <c r="O5" s="28" t="str">
        <f>IFERROR(__xludf.DUMMYFUNCTION("""COMPUTED_VALUE"""),"End time")</f>
        <v>End time</v>
      </c>
      <c r="P5" s="28" t="str">
        <f>IFERROR(__xludf.DUMMYFUNCTION("""COMPUTED_VALUE"""),"EndTimeCheckBox")</f>
        <v>EndTimeCheckBox</v>
      </c>
      <c r="Q5" s="28" t="str">
        <f>IFERROR(__xludf.DUMMYFUNCTION("""COMPUTED_VALUE"""),"Style")</f>
        <v>Style</v>
      </c>
      <c r="R5" s="28" t="str">
        <f>IFERROR(__xludf.DUMMYFUNCTION("""COMPUTED_VALUE"""),"Save")</f>
        <v>Save</v>
      </c>
      <c r="S5" s="28" t="str">
        <f>IFERROR(__xludf.DUMMYFUNCTION("""COMPUTED_VALUE"""),"Quick Preferences Name")</f>
        <v>Quick Preferences Name</v>
      </c>
      <c r="T5" s="30" t="str">
        <f>IFERROR(__xludf.DUMMYFUNCTION("""COMPUTED_VALUE"""),"Expiration Date")</f>
        <v>Expiration Date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4" t="s">
        <v>16</v>
      </c>
      <c r="D6" s="35">
        <v>100.0</v>
      </c>
      <c r="E6" s="36" t="s">
        <v>22</v>
      </c>
      <c r="F6" s="36" t="s">
        <v>23</v>
      </c>
      <c r="G6" s="36" t="s">
        <v>24</v>
      </c>
      <c r="H6" s="36" t="s">
        <v>25</v>
      </c>
      <c r="I6" s="36" t="s">
        <v>26</v>
      </c>
      <c r="J6" s="36" t="s">
        <v>27</v>
      </c>
      <c r="K6" s="37"/>
      <c r="L6" s="38" t="b">
        <v>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13">
        <v>100.0</v>
      </c>
      <c r="E6" s="13">
        <v>50.0</v>
      </c>
      <c r="F6" s="13" t="s">
        <v>22</v>
      </c>
      <c r="G6" s="8"/>
      <c r="H6" s="13" t="s">
        <v>30</v>
      </c>
      <c r="I6" s="8"/>
      <c r="J6" s="13">
        <v>2.0</v>
      </c>
      <c r="K6" s="8"/>
      <c r="L6" s="8"/>
      <c r="M6" s="8"/>
      <c r="N6" s="8"/>
      <c r="O6" s="8"/>
      <c r="AQ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29</v>
      </c>
      <c r="G6" s="13" t="s">
        <v>34</v>
      </c>
      <c r="H6" s="13">
        <v>100.0</v>
      </c>
      <c r="I6" s="13">
        <v>50.0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29</v>
      </c>
      <c r="AM6" s="9">
        <v>100.0</v>
      </c>
      <c r="AN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IFERROR(__xludf.DUMMYFUNCTION("""COMPUTED_VALUE"""),"UseHotKey")</f>
        <v>UseHotKey</v>
      </c>
      <c r="C5" s="28" t="str">
        <f>IFERROR(__xludf.DUMMYFUNCTION("""COMPUTED_VALUE"""),"VerifyHotKeys")</f>
        <v>VerifyHotKeys</v>
      </c>
      <c r="D5" s="28" t="str">
        <f>IFERROR(__xludf.DUMMYFUNCTION("""COMPUTED_VALUE"""),"VerifyHotKeysColor")</f>
        <v>VerifyHotKeysColor</v>
      </c>
      <c r="E5" s="28" t="str">
        <f>IFERROR(__xludf.DUMMYFUNCTION("""COMPUTED_VALUE"""),"TTStayOpen")</f>
        <v>TTStayOpen</v>
      </c>
      <c r="F5" s="29" t="str">
        <f>IFERROR(__xludf.DUMMYFUNCTION("""COMPUTED_VALUE"""),"NegativeTesting")</f>
        <v>NegativeTesting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21</v>
      </c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