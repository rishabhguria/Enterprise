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AllocateFromBlotter" sheetId="9" r:id="rId12"/>
    <sheet state="visible" name="ChangeDate" sheetId="10" r:id="rId13"/>
    <sheet state="visible" name="RestartReleasesAndServices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Z57rzvq7X8ShFOvkO4TyemovAXNoRKlo2hbqGrDgOvs="/>
    </ext>
  </extLst>
</workbook>
</file>

<file path=xl/sharedStrings.xml><?xml version="1.0" encoding="utf-8"?>
<sst xmlns="http://schemas.openxmlformats.org/spreadsheetml/2006/main" count="688" uniqueCount="77">
  <si>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</si>
  <si>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</si>
  <si>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</si>
  <si>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</si>
  <si>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</si>
  <si>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</si>
  <si>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</si>
  <si>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</si>
  <si>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</si>
  <si>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</si>
  <si>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</si>
  <si>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</si>
  <si>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</si>
  <si>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</si>
  <si>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</si>
  <si>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</si>
  <si>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</si>
  <si>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</si>
  <si>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</si>
  <si>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</si>
  <si>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</si>
  <si>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</si>
  <si>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</si>
  <si>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</si>
  <si>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</si>
  <si>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</si>
  <si>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</si>
  <si>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</si>
  <si>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</si>
  <si>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</si>
  <si>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</si>
  <si>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</si>
  <si>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</si>
  <si>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</si>
  <si>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</si>
  <si>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</si>
  <si>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Allocation3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</si>
  <si>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</si>
  <si>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</si>
  <si>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</si>
  <si>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</si>
  <si>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</si>
  <si>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</si>
  <si>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</si>
  <si>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</si>
  <si>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</si>
  <si>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</si>
  <si>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</si>
  <si>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</si>
  <si>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</si>
  <si>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</si>
  <si>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</si>
  <si>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</si>
  <si>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</si>
  <si>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</si>
  <si>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</si>
  <si>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</si>
  <si>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</si>
  <si>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</si>
  <si>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</si>
  <si>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</si>
  <si>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</si>
  <si>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</si>
  <si>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</si>
  <si>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Today()-1</t>
  </si>
  <si>
    <t>FIX</t>
  </si>
  <si>
    <t>Blotter</t>
  </si>
  <si>
    <t>SelectTradeOnOrderGrid</t>
  </si>
  <si>
    <t>VerifySubOrder</t>
  </si>
  <si>
    <t>Samsara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</si>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</sst>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4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 t="str">
        <f>IFERROR(__xludf.DUMMYFUNCTION("""COMPUTED_VALUE"""),"Allocation")</f>
        <v>Allocation</v>
      </c>
      <c r="B949" s="4" t="str">
        <f>IFERROR(__xludf.DUMMYFUNCTION("""COMPUTED_VALUE"""),"AttBulkChngTwo")</f>
        <v>AttBulkChngTwo</v>
      </c>
      <c r="C949" s="4" t="str">
        <f>IFERROR(__xludf.DUMMYFUNCTION("""COMPUTED_VALUE"""),"11EX1Ln-BQAtx9NTd9zfcaia52FGNdZENDW2kwMCJ8HQ")</f>
        <v>11EX1Ln-BQAtx9NTd9zfcaia52FGNdZENDW2kwMCJ8HQ</v>
      </c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 t="str">
        <f>IFERROR(__xludf.DUMMYFUNCTION("""COMPUTED_VALUE"""),"Login")</f>
        <v>Login</v>
      </c>
      <c r="B950" s="4" t="str">
        <f>IFERROR(__xludf.DUMMYFUNCTION("""COMPUTED_VALUE"""),"Login")</f>
        <v>Login</v>
      </c>
      <c r="C950" s="4" t="str">
        <f>IFERROR(__xludf.DUMMYFUNCTION("""COMPUTED_VALUE"""),"1uy63r2XjpUIBlAUk-lXKJTr-PpvpP6wxvLlLDzoM-Ic")</f>
        <v>1uy63r2XjpUIBlAUk-lXKJTr-PpvpP6wxvLlLDzoM-Ic</v>
      </c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 t="str">
        <f>IFERROR(__xludf.DUMMYFUNCTION("""COMPUTED_VALUE"""),"Simulator")</f>
        <v>Simulator</v>
      </c>
      <c r="B951" s="4" t="str">
        <f>IFERROR(__xludf.DUMMYFUNCTION("""COMPUTED_VALUE"""),"VerifyRowAllFixLogs")</f>
        <v>VerifyRowAllFixLogs</v>
      </c>
      <c r="C951" s="4" t="str">
        <f>IFERROR(__xludf.DUMMYFUNCTION("""COMPUTED_VALUE"""),"1_W_DB1rnbV-zXf1aqv8VkPNpTGPIckmD7s5z0ncm4ho")</f>
        <v>1_W_DB1rnbV-zXf1aqv8VkPNpTGPIckmD7s5z0ncm4ho</v>
      </c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 t="str">
        <f>IFERROR(__xludf.DUMMYFUNCTION("""COMPUTED_VALUE"""),"Blotter")</f>
        <v>Blotter</v>
      </c>
      <c r="B952" s="4" t="str">
        <f>IFERROR(__xludf.DUMMYFUNCTION("""COMPUTED_VALUE"""),"ManageHotButton")</f>
        <v>ManageHotButton</v>
      </c>
      <c r="C952" s="4" t="str">
        <f>IFERROR(__xludf.DUMMYFUNCTION("""COMPUTED_VALUE"""),"1kQpkPRi_1u4R3VazjhiilbOI8OkiiHRY2wfgByau1YY")</f>
        <v>1kQpkPRi_1u4R3VazjhiilbOI8OkiiHRY2wfgByau1YY</v>
      </c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 t="str">
        <f>IFERROR(__xludf.DUMMYFUNCTION("""COMPUTED_VALUE"""),"Simulator")</f>
        <v>Simulator</v>
      </c>
      <c r="B953" s="4" t="str">
        <f>IFERROR(__xludf.DUMMYFUNCTION("""COMPUTED_VALUE"""),"ClearAllFixLogs")</f>
        <v>ClearAllFixLogs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 t="str">
        <f>IFERROR(__xludf.DUMMYFUNCTION("""COMPUTED_VALUE"""),"PranaClient")</f>
        <v>PranaClient</v>
      </c>
      <c r="B954" s="4" t="str">
        <f>IFERROR(__xludf.DUMMYFUNCTION("""COMPUTED_VALUE"""),"UpdateLiveExcelSheetForRTPNL")</f>
        <v>UpdateLiveExcelSheetForRTPNL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 t="str">
        <f>IFERROR(__xludf.DUMMYFUNCTION("""COMPUTED_VALUE"""),"OpenFin")</f>
        <v>OpenFin</v>
      </c>
      <c r="B955" s="4" t="str">
        <f>IFERROR(__xludf.DUMMYFUNCTION("""COMPUTED_VALUE"""),"SavePageRTPNL")</f>
        <v>SavePageRTPNL</v>
      </c>
      <c r="C955" s="4" t="str">
        <f>IFERROR(__xludf.DUMMYFUNCTION("""COMPUTED_VALUE"""),"1YqhSG4yXo70SfhUq3fYD9CKf-eg44IFJ37IZh4WLI84")</f>
        <v>1YqhSG4yXo70SfhUq3fYD9CKf-eg44IFJ37IZh4WLI84</v>
      </c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 t="str">
        <f>IFERROR(__xludf.DUMMYFUNCTION("""COMPUTED_VALUE"""),"RTPNL")</f>
        <v>RTPNL</v>
      </c>
      <c r="B956" s="4" t="str">
        <f>IFERROR(__xludf.DUMMYFUNCTION("""COMPUTED_VALUE"""),"VerifyGridThroughLiveExcel")</f>
        <v>VerifyGridThroughLiveExcel</v>
      </c>
      <c r="C956" s="4" t="str">
        <f>IFERROR(__xludf.DUMMYFUNCTION("""COMPUTED_VALUE"""),"1cCUw9lchUCKgHeNcwCDXybCOZXIeN4O0zRhkTZCVDUg")</f>
        <v>1cCUw9lchUCKgHeNcwCDXybCOZXIeN4O0zRhkTZCVDUg</v>
      </c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 t="str">
        <f>IFERROR(__xludf.DUMMYFUNCTION("""COMPUTED_VALUE"""),"OpenFin")</f>
        <v>OpenFin</v>
      </c>
      <c r="B957" s="4" t="str">
        <f>IFERROR(__xludf.DUMMYFUNCTION("""COMPUTED_VALUE"""),"VerifyToastMessage")</f>
        <v>VerifyToastMessage</v>
      </c>
      <c r="C957" s="4" t="str">
        <f>IFERROR(__xludf.DUMMYFUNCTION("""COMPUTED_VALUE"""),"1DYn70fZ-UJ9bocMMWUWIW2IVfXlF5TRVuLedi7Y_LNk")</f>
        <v>1DYn70fZ-UJ9bocMMWUWIW2IVfXlF5TRVuLedi7Y_LNk</v>
      </c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 t="str">
        <f>IFERROR(__xludf.DUMMYFUNCTION("""COMPUTED_VALUE"""),"NavLock")</f>
        <v>NavLock</v>
      </c>
      <c r="B958" s="4" t="str">
        <f>IFERROR(__xludf.DUMMYFUNCTION("""COMPUTED_VALUE"""),"VerifyNavLockGrid")</f>
        <v>VerifyNavLockGrid</v>
      </c>
      <c r="C958" s="4" t="str">
        <f>IFERROR(__xludf.DUMMYFUNCTION("""COMPUTED_VALUE"""),"11EX1Ln-BQAtx9NTd9zfcaia52FGNdZENDW2kwMCJ8HQ")</f>
        <v>11EX1Ln-BQAtx9NTd9zfcaia52FGNdZENDW2kwMCJ8HQ</v>
      </c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 t="str">
        <f>IFERROR(__xludf.DUMMYFUNCTION("""COMPUTED_VALUE"""),"RTPNL")</f>
        <v>RTPNL</v>
      </c>
      <c r="B959" s="4" t="str">
        <f>IFERROR(__xludf.DUMMYFUNCTION("""COMPUTED_VALUE"""),"ApplyColumnFilter")</f>
        <v>ApplyColumnFilter</v>
      </c>
      <c r="C959" s="4" t="str">
        <f>IFERROR(__xludf.DUMMYFUNCTION("""COMPUTED_VALUE"""),"1N9Nn6t5kuoUpj5sQRZwukYuXz8skh2F7E53j1Um1W1A")</f>
        <v>1N9Nn6t5kuoUpj5sQRZwukYuXz8skh2F7E53j1Um1W1A</v>
      </c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 t="str">
        <f>IFERROR(__xludf.DUMMYFUNCTION("""COMPUTED_VALUE"""),"Closing")</f>
        <v>Closing</v>
      </c>
      <c r="B960" s="4" t="str">
        <f>IFERROR(__xludf.DUMMYFUNCTION("""COMPUTED_VALUE"""),"GetClosingData")</f>
        <v>GetClosingData</v>
      </c>
      <c r="C960" s="4" t="str">
        <f>IFERROR(__xludf.DUMMYFUNCTION("""COMPUTED_VALUE"""),"11EX1Ln-BQAtx9NTd9zfcaia52FGNdZENDW2kwMCJ9HQ")</f>
        <v>11EX1Ln-BQAtx9NTd9zfcaia52FGNdZENDW2kwMCJ9HQ</v>
      </c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 t="str">
        <f>IFERROR(__xludf.DUMMYFUNCTION("""COMPUTED_VALUE"""),"Closing")</f>
        <v>Closing</v>
      </c>
      <c r="B961" s="4" t="str">
        <f>IFERROR(__xludf.DUMMYFUNCTION("""COMPUTED_VALUE"""),"CloseAmendOprtn")</f>
        <v>CloseAmendOprtn</v>
      </c>
      <c r="C961" s="4" t="str">
        <f>IFERROR(__xludf.DUMMYFUNCTION("""COMPUTED_VALUE"""),"11EX1Ln-BQAtx9NTd9zfcaia52FGNdZENDW2kwMCJ10HQ")</f>
        <v>11EX1Ln-BQAtx9NTd9zfcaia52FGNdZENDW2kwMCJ10HQ</v>
      </c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 t="str">
        <f>IFERROR(__xludf.DUMMYFUNCTION("""COMPUTED_VALUE"""),"Closing")</f>
        <v>Closing</v>
      </c>
      <c r="B962" s="4" t="str">
        <f>IFERROR(__xludf.DUMMYFUNCTION("""COMPUTED_VALUE"""),"ExpSettlOprtn")</f>
        <v>ExpSettlOprtn</v>
      </c>
      <c r="C962" s="4" t="str">
        <f>IFERROR(__xludf.DUMMYFUNCTION("""COMPUTED_VALUE"""),"11EX1Ln-BQAtx9NTd9zfcaia52FGNdZENDW2kwMCJ11HQ")</f>
        <v>11EX1Ln-BQAtx9NTd9zfcaia52FGNdZENDW2kwMCJ11HQ</v>
      </c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 t="str">
        <f>IFERROR(__xludf.DUMMYFUNCTION("""COMPUTED_VALUE"""),"Closing")</f>
        <v>Closing</v>
      </c>
      <c r="B963" s="4" t="str">
        <f>IFERROR(__xludf.DUMMYFUNCTION("""COMPUTED_VALUE"""),"CloseOrderOprtn")</f>
        <v>CloseOrderOprtn</v>
      </c>
      <c r="C963" s="4" t="str">
        <f>IFERROR(__xludf.DUMMYFUNCTION("""COMPUTED_VALUE"""),"11EX1Ln-BQAtx9NTd9zfcaia52FGNdZENDW2kwMCJ12HQ")</f>
        <v>11EX1Ln-BQAtx9NTd9zfcaia52FGNdZENDW2kwMCJ12HQ</v>
      </c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 t="str">
        <f>IFERROR(__xludf.DUMMYFUNCTION("""COMPUTED_VALUE"""),"Closing")</f>
        <v>Closing</v>
      </c>
      <c r="B964" s="4" t="str">
        <f>IFERROR(__xludf.DUMMYFUNCTION("""COMPUTED_VALUE"""),"SelectgrdCloseTrades")</f>
        <v>SelectgrdCloseTrades</v>
      </c>
      <c r="C964" s="4" t="str">
        <f>IFERROR(__xludf.DUMMYFUNCTION("""COMPUTED_VALUE"""),"11EX1Ln-BQAtx9NTd9zfcaia52FGNdZENDW2kwMCJ13HQ")</f>
        <v>11EX1Ln-BQAtx9NTd9zfcaia52FGNdZENDW2kwMCJ13HQ</v>
      </c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 t="str">
        <f>IFERROR(__xludf.DUMMYFUNCTION("""COMPUTED_VALUE"""),"Closing")</f>
        <v>Closing</v>
      </c>
      <c r="B965" s="4" t="str">
        <f>IFERROR(__xludf.DUMMYFUNCTION("""COMPUTED_VALUE"""),"SelectgrdLongTrades")</f>
        <v>SelectgrdLongTrades</v>
      </c>
      <c r="C965" s="4" t="str">
        <f>IFERROR(__xludf.DUMMYFUNCTION("""COMPUTED_VALUE"""),"11EX1Ln-BQAtx9NTd9zfcaia52FGNdZENDW2kwMCJ14HQ")</f>
        <v>11EX1Ln-BQAtx9NTd9zfcaia52FGNdZENDW2kwMCJ14HQ</v>
      </c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 t="str">
        <f>IFERROR(__xludf.DUMMYFUNCTION("""COMPUTED_VALUE"""),"Closing")</f>
        <v>Closing</v>
      </c>
      <c r="B966" s="4" t="str">
        <f>IFERROR(__xludf.DUMMYFUNCTION("""COMPUTED_VALUE"""),"SelectgrdShortTrades")</f>
        <v>SelectgrdShortTrades</v>
      </c>
      <c r="C966" s="4" t="str">
        <f>IFERROR(__xludf.DUMMYFUNCTION("""COMPUTED_VALUE"""),"11EX1Ln-BQAtx9NTd9zfcaia52FGNdZENDW2kwMCJ15HQ")</f>
        <v>11EX1Ln-BQAtx9NTd9zfcaia52FGNdZENDW2kwMCJ15HQ</v>
      </c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 t="str">
        <f>IFERROR(__xludf.DUMMYFUNCTION("""COMPUTED_VALUE"""),"Closing")</f>
        <v>Closing</v>
      </c>
      <c r="B967" s="4" t="str">
        <f>IFERROR(__xludf.DUMMYFUNCTION("""COMPUTED_VALUE"""),"SelectgrdNetPositionTrades")</f>
        <v>SelectgrdNetPositionTrades</v>
      </c>
      <c r="C967" s="4" t="str">
        <f>IFERROR(__xludf.DUMMYFUNCTION("""COMPUTED_VALUE"""),"11EX1Ln-BQAtx9NTd9zfcaia52FGNdZENDW2kwMCJ16HQ")</f>
        <v>11EX1Ln-BQAtx9NTd9zfcaia52FGNdZENDW2kwMCJ16HQ</v>
      </c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 t="str">
        <f>IFERROR(__xludf.DUMMYFUNCTION("""COMPUTED_VALUE"""),"Closing")</f>
        <v>Closing</v>
      </c>
      <c r="B968" s="4" t="str">
        <f>IFERROR(__xludf.DUMMYFUNCTION("""COMPUTED_VALUE"""),"SelectgrdUnexpiredTrades")</f>
        <v>SelectgrdUnexpiredTrades</v>
      </c>
      <c r="C968" s="4" t="str">
        <f>IFERROR(__xludf.DUMMYFUNCTION("""COMPUTED_VALUE"""),"11EX1Ln-BQAtx9NTd9zfcaia52FGNdZENDW2kwMCJ17HQ")</f>
        <v>11EX1Ln-BQAtx9NTd9zfcaia52FGNdZENDW2kwMCJ17HQ</v>
      </c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 t="str">
        <f>IFERROR(__xludf.DUMMYFUNCTION("""COMPUTED_VALUE"""),"Closing")</f>
        <v>Closing</v>
      </c>
      <c r="B969" s="4" t="str">
        <f>IFERROR(__xludf.DUMMYFUNCTION("""COMPUTED_VALUE"""),"SelectgrdCPTrades")</f>
        <v>SelectgrdCPTrades</v>
      </c>
      <c r="C969" s="4" t="str">
        <f>IFERROR(__xludf.DUMMYFUNCTION("""COMPUTED_VALUE"""),"11EX1Ln-BQAtx9NTd9zfcaia52FGNdZENDW2kwMCJ18HQ")</f>
        <v>11EX1Ln-BQAtx9NTd9zfcaia52FGNdZENDW2kwMCJ18HQ</v>
      </c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 t="str">
        <f>IFERROR(__xludf.DUMMYFUNCTION("""COMPUTED_VALUE"""),"Closing")</f>
        <v>Closing</v>
      </c>
      <c r="B970" s="4" t="str">
        <f>IFERROR(__xludf.DUMMYFUNCTION("""COMPUTED_VALUE"""),"SelectgrdExpiredTrades")</f>
        <v>SelectgrdExpiredTrades</v>
      </c>
      <c r="C970" s="4" t="str">
        <f>IFERROR(__xludf.DUMMYFUNCTION("""COMPUTED_VALUE"""),"11EX1Ln-BQAtx9NTd9zfcaia52FGNdZENDW2kwMCJ19HQ")</f>
        <v>11EX1Ln-BQAtx9NTd9zfcaia52FGNdZENDW2kwMCJ19HQ</v>
      </c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 t="str">
        <f>IFERROR(__xludf.DUMMYFUNCTION("""COMPUTED_VALUE"""),"Closing")</f>
        <v>Closing</v>
      </c>
      <c r="B971" s="4" t="str">
        <f>IFERROR(__xludf.DUMMYFUNCTION("""COMPUTED_VALUE"""),"SelectgrdOpenTrades")</f>
        <v>SelectgrdOpenTrades</v>
      </c>
      <c r="C971" s="4" t="str">
        <f>IFERROR(__xludf.DUMMYFUNCTION("""COMPUTED_VALUE"""),"11EX1Ln-BQAtx9NTd9zfcaia52FGNdZENDW2kwMCJ20HQ")</f>
        <v>11EX1Ln-BQAtx9NTd9zfcaia52FGNdZENDW2kwMCJ20HQ</v>
      </c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 t="str">
        <f>IFERROR(__xludf.DUMMYFUNCTION("""COMPUTED_VALUE"""),"Closing")</f>
        <v>Closing</v>
      </c>
      <c r="B972" s="4" t="str">
        <f>IFERROR(__xludf.DUMMYFUNCTION("""COMPUTED_VALUE"""),"GetClosingData")</f>
        <v>GetClosingData</v>
      </c>
      <c r="C972" s="4" t="str">
        <f>IFERROR(__xludf.DUMMYFUNCTION("""COMPUTED_VALUE"""),"11EX1Ln-BQAtx9NTd9zfcaia52FGNdZENDW2kwMCJ20HQ")</f>
        <v>11EX1Ln-BQAtx9NTd9zfcaia52FGNdZENDW2kwMCJ20HQ</v>
      </c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 t="str">
        <f>IFERROR(__xludf.DUMMYFUNCTION("""COMPUTED_VALUE"""),"Closing")</f>
        <v>Closing</v>
      </c>
      <c r="B973" s="4" t="str">
        <f>IFERROR(__xludf.DUMMYFUNCTION("""COMPUTED_VALUE"""),"WizardOptions")</f>
        <v>WizardOptions</v>
      </c>
      <c r="C973" s="4" t="str">
        <f>IFERROR(__xludf.DUMMYFUNCTION("""COMPUTED_VALUE"""),"11EX1Ln-BQAtx9NTd9zfcaia52FGNdZENDW2kwMCJ21HQ")</f>
        <v>11EX1Ln-BQAtx9NTd9zfcaia52FGNdZENDW2kwMCJ21HQ</v>
      </c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 t="str">
        <f>IFERROR(__xludf.DUMMYFUNCTION("""COMPUTED_VALUE"""),"Closing")</f>
        <v>Closing</v>
      </c>
      <c r="B974" s="4" t="str">
        <f>IFERROR(__xludf.DUMMYFUNCTION("""COMPUTED_VALUE"""),"ActionOnClosingWiz")</f>
        <v>ActionOnClosingWiz</v>
      </c>
      <c r="C974" s="4" t="str">
        <f>IFERROR(__xludf.DUMMYFUNCTION("""COMPUTED_VALUE"""),"11EX1Ln-BQAtx9NTd9zfcaia52FGNdZENDW2kwMCJ21HQ")</f>
        <v>11EX1Ln-BQAtx9NTd9zfcaia52FGNdZENDW2kwMCJ21HQ</v>
      </c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 t="str">
        <f>IFERROR(__xludf.DUMMYFUNCTION("""COMPUTED_VALUE"""),"Allocation")</f>
        <v>Allocation</v>
      </c>
      <c r="B975" s="4" t="str">
        <f>IFERROR(__xludf.DUMMYFUNCTION("""COMPUTED_VALUE"""),"VerifyAttRenaming")</f>
        <v>VerifyAttRenaming</v>
      </c>
      <c r="C975" s="4" t="str">
        <f>IFERROR(__xludf.DUMMYFUNCTION("""COMPUTED_VALUE"""),"11EX1Ln-BQAtx9NTd9zfcaia52FGNdZENDW2kwMCJ21HQ")</f>
        <v>11EX1Ln-BQAtx9NTd9zfcaia52FGNdZENDW2kwMCJ21HQ</v>
      </c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 t="str">
        <f>IFERROR(__xludf.DUMMYFUNCTION("""COMPUTED_VALUE"""),"NavLock")</f>
        <v>NavLock</v>
      </c>
      <c r="B976" s="4" t="str">
        <f>IFERROR(__xludf.DUMMYFUNCTION("""COMPUTED_VALUE"""),"DeleteRowNavLock")</f>
        <v>DeleteRowNavLock</v>
      </c>
      <c r="C976" s="4" t="str">
        <f>IFERROR(__xludf.DUMMYFUNCTION("""COMPUTED_VALUE"""),"11EX1Ln-BQAtx9NTd9zfcaia52FGNdZENDW2kwMCJ21HQ")</f>
        <v>11EX1Ln-BQAtx9NTd9zfcaia52FGNdZENDW2kwMCJ21HQ</v>
      </c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>
      <c r="A977" s="8" t="str">
        <f>IFERROR(__xludf.DUMMYFUNCTION("""COMPUTED_VALUE"""),"Closing")</f>
        <v>Closing</v>
      </c>
      <c r="B977" s="8" t="str">
        <f>IFERROR(__xludf.DUMMYFUNCTION("""COMPUTED_VALUE"""),"VerifyLongPositionsGrid")</f>
        <v>VerifyLongPositionsGrid</v>
      </c>
      <c r="C977" s="8" t="str">
        <f>IFERROR(__xludf.DUMMYFUNCTION("""COMPUTED_VALUE"""),"11EX1Ln-BQAtx9NTd9zfcaia52FGNdZENDW2kwMCJ14HQ")</f>
        <v>11EX1Ln-BQAtx9NTd9zfcaia52FGNdZENDW2kwMCJ14HQ</v>
      </c>
      <c r="D977" s="8"/>
      <c r="E977" s="8"/>
      <c r="F977" s="8"/>
      <c r="G977" s="8"/>
      <c r="H977" s="8"/>
      <c r="I977" s="8"/>
      <c r="J977" s="8"/>
      <c r="K977" s="8"/>
      <c r="L977" s="8"/>
    </row>
    <row r="978" ht="15.75" customHeight="1">
      <c r="A978" s="8" t="str">
        <f>IFERROR(__xludf.DUMMYFUNCTION("""COMPUTED_VALUE"""),"Closing")</f>
        <v>Closing</v>
      </c>
      <c r="B978" s="8" t="str">
        <f>IFERROR(__xludf.DUMMYFUNCTION("""COMPUTED_VALUE"""),"VerifyShortPositionsGrid")</f>
        <v>VerifyShortPositionsGrid</v>
      </c>
      <c r="C978" s="8" t="str">
        <f>IFERROR(__xludf.DUMMYFUNCTION("""COMPUTED_VALUE"""),"11EX1Ln-BQAtx9NTd9zfcaia52FGNdZENDW2kwMCJ15HQ")</f>
        <v>11EX1Ln-BQAtx9NTd9zfcaia52FGNdZENDW2kwMCJ15HQ</v>
      </c>
      <c r="D978" s="8"/>
      <c r="E978" s="8"/>
      <c r="F978" s="8"/>
      <c r="G978" s="8"/>
      <c r="H978" s="8"/>
      <c r="I978" s="8"/>
      <c r="J978" s="8"/>
      <c r="K978" s="8"/>
      <c r="L978" s="8"/>
    </row>
    <row r="979" ht="15.75" customHeight="1">
      <c r="A979" s="8" t="str">
        <f>IFERROR(__xludf.DUMMYFUNCTION("""COMPUTED_VALUE"""),"Closing")</f>
        <v>Closing</v>
      </c>
      <c r="B979" s="8" t="str">
        <f>IFERROR(__xludf.DUMMYFUNCTION("""COMPUTED_VALUE"""),"VerifyClosedTrades")</f>
        <v>VerifyClosedTrades</v>
      </c>
      <c r="C979" s="8" t="str">
        <f>IFERROR(__xludf.DUMMYFUNCTION("""COMPUTED_VALUE"""),"11EX1Ln-BQAtx9NTd9zfcaia52FGNdZENDW2kwMCJ16HQ")</f>
        <v>11EX1Ln-BQAtx9NTd9zfcaia52FGNdZENDW2kwMCJ16HQ</v>
      </c>
      <c r="D979" s="8"/>
      <c r="E979" s="8"/>
      <c r="F979" s="8"/>
      <c r="G979" s="8"/>
      <c r="H979" s="8"/>
      <c r="I979" s="8"/>
      <c r="J979" s="8"/>
      <c r="K979" s="8"/>
      <c r="L979" s="8"/>
    </row>
    <row r="980" ht="15.75" customHeight="1">
      <c r="A980" s="8" t="str">
        <f>IFERROR(__xludf.DUMMYFUNCTION("""COMPUTED_VALUE"""),"Closing")</f>
        <v>Closing</v>
      </c>
      <c r="B980" s="8" t="str">
        <f>IFERROR(__xludf.DUMMYFUNCTION("""COMPUTED_VALUE"""),"CloseAmendOprtn")</f>
        <v>CloseAmendOprtn</v>
      </c>
      <c r="C980" s="8" t="str">
        <f>IFERROR(__xludf.DUMMYFUNCTION("""COMPUTED_VALUE"""),"11EX1Ln-BQAtx9NTd9zfcaia52FGNdZENDW2kwMCJ17HQ")</f>
        <v>11EX1Ln-BQAtx9NTd9zfcaia52FGNdZENDW2kwMCJ17HQ</v>
      </c>
      <c r="D980" s="8"/>
      <c r="E980" s="8"/>
      <c r="F980" s="8"/>
      <c r="G980" s="8"/>
      <c r="H980" s="8"/>
      <c r="I980" s="8"/>
      <c r="J980" s="8"/>
      <c r="K980" s="8"/>
      <c r="L980" s="8"/>
    </row>
    <row r="981" ht="15.75" customHeight="1">
      <c r="A981" s="8" t="str">
        <f>IFERROR(__xludf.DUMMYFUNCTION("""COMPUTED_VALUE"""),"Closing")</f>
        <v>Closing</v>
      </c>
      <c r="B981" s="8" t="str">
        <f>IFERROR(__xludf.DUMMYFUNCTION("""COMPUTED_VALUE"""),"ExpSettlOprtn")</f>
        <v>ExpSettlOprtn</v>
      </c>
      <c r="C981" s="8" t="str">
        <f>IFERROR(__xludf.DUMMYFUNCTION("""COMPUTED_VALUE"""),"11EX1Ln-BQAtx9NTd9zfcaia52FGNdZENDW2kwMCJ18HQ")</f>
        <v>11EX1Ln-BQAtx9NTd9zfcaia52FGNdZENDW2kwMCJ18HQ</v>
      </c>
      <c r="D981" s="8"/>
      <c r="E981" s="8"/>
      <c r="F981" s="8"/>
      <c r="G981" s="8"/>
      <c r="H981" s="8"/>
      <c r="I981" s="8"/>
      <c r="J981" s="8"/>
      <c r="K981" s="8"/>
      <c r="L981" s="8"/>
    </row>
    <row r="982" ht="15.75" customHeight="1">
      <c r="A982" s="8" t="str">
        <f>IFERROR(__xludf.DUMMYFUNCTION("""COMPUTED_VALUE"""),"Closing")</f>
        <v>Closing</v>
      </c>
      <c r="B982" s="8" t="str">
        <f>IFERROR(__xludf.DUMMYFUNCTION("""COMPUTED_VALUE"""),"ActionOnExpGrid")</f>
        <v>ActionOnExpGrid</v>
      </c>
      <c r="C982" s="8" t="str">
        <f>IFERROR(__xludf.DUMMYFUNCTION("""COMPUTED_VALUE"""),"11EX1Ln-BQAtx9NTd9zfcaia52FGNdZENDW2kwMCJ19HQ")</f>
        <v>11EX1Ln-BQAtx9NTd9zfcaia52FGNdZENDW2kwMCJ19HQ</v>
      </c>
      <c r="D982" s="8"/>
      <c r="E982" s="8"/>
      <c r="F982" s="8"/>
      <c r="G982" s="8"/>
      <c r="H982" s="8"/>
      <c r="I982" s="8"/>
      <c r="J982" s="8"/>
      <c r="K982" s="8"/>
      <c r="L982" s="8"/>
    </row>
    <row r="983" ht="15.75" customHeight="1">
      <c r="A983" s="8" t="str">
        <f>IFERROR(__xludf.DUMMYFUNCTION("""COMPUTED_VALUE"""),"Closing")</f>
        <v>Closing</v>
      </c>
      <c r="B983" s="8" t="str">
        <f>IFERROR(__xludf.DUMMYFUNCTION("""COMPUTED_VALUE"""),"ActiononIncorrectQty")</f>
        <v>ActiononIncorrectQty</v>
      </c>
      <c r="C983" s="8" t="str">
        <f>IFERROR(__xludf.DUMMYFUNCTION("""COMPUTED_VALUE"""),"11EX1Ln-BQAtx9NTd9zfcaia52FGNdZENDW2kwMCJ20HQ")</f>
        <v>11EX1Ln-BQAtx9NTd9zfcaia52FGNdZENDW2kwMCJ20HQ</v>
      </c>
      <c r="D983" s="8"/>
      <c r="E983" s="8"/>
      <c r="F983" s="8"/>
      <c r="G983" s="8"/>
      <c r="H983" s="8"/>
      <c r="I983" s="8"/>
      <c r="J983" s="8"/>
      <c r="K983" s="8"/>
      <c r="L983" s="8"/>
    </row>
    <row r="984" ht="15.75" customHeight="1">
      <c r="A984" s="8" t="str">
        <f>IFERROR(__xludf.DUMMYFUNCTION("""COMPUTED_VALUE"""),"Closing")</f>
        <v>Closing</v>
      </c>
      <c r="B984" s="8" t="str">
        <f>IFERROR(__xludf.DUMMYFUNCTION("""COMPUTED_VALUE"""),"VerifyIncorrectQty")</f>
        <v>VerifyIncorrectQty</v>
      </c>
      <c r="C984" s="8" t="str">
        <f>IFERROR(__xludf.DUMMYFUNCTION("""COMPUTED_VALUE"""),"11EX1Ln-BQAtx9NTd9zfcaia52FGNdZENDW2kwMCJ21HQ")</f>
        <v>11EX1Ln-BQAtx9NTd9zfcaia52FGNdZENDW2kwMCJ21HQ</v>
      </c>
      <c r="D984" s="8"/>
      <c r="E984" s="8"/>
      <c r="F984" s="8"/>
      <c r="G984" s="8"/>
      <c r="H984" s="8"/>
      <c r="I984" s="8"/>
      <c r="J984" s="8"/>
      <c r="K984" s="8"/>
      <c r="L984" s="8"/>
    </row>
    <row r="985" ht="15.75" customHeight="1">
      <c r="A985" s="8" t="str">
        <f>IFERROR(__xludf.DUMMYFUNCTION("""COMPUTED_VALUE"""),"Closing")</f>
        <v>Closing</v>
      </c>
      <c r="B985" s="8" t="str">
        <f>IFERROR(__xludf.DUMMYFUNCTION("""COMPUTED_VALUE"""),"VerifyOpenTrades")</f>
        <v>VerifyOpenTrades</v>
      </c>
      <c r="C985" s="8" t="str">
        <f>IFERROR(__xludf.DUMMYFUNCTION("""COMPUTED_VALUE"""),"11EX1Ln-BQAtx9NTd9zfcaia52FGNdZENDW2kwMCJ20HQ")</f>
        <v>11EX1Ln-BQAtx9NTd9zfcaia52FGNdZENDW2kwMCJ20HQ</v>
      </c>
      <c r="D985" s="8"/>
      <c r="E985" s="8"/>
      <c r="F985" s="8"/>
      <c r="G985" s="8"/>
      <c r="H985" s="8"/>
      <c r="I985" s="8"/>
      <c r="J985" s="8"/>
      <c r="K985" s="8"/>
      <c r="L985" s="8"/>
    </row>
    <row r="986" ht="15.75" customHeight="1">
      <c r="A986" s="8" t="str">
        <f>IFERROR(__xludf.DUMMYFUNCTION("""COMPUTED_VALUE"""),"CreateTransaction")</f>
        <v>CreateTransaction</v>
      </c>
      <c r="B986" s="8" t="str">
        <f>IFERROR(__xludf.DUMMYFUNCTION("""COMPUTED_VALUE"""),"EditCTGrid")</f>
        <v>EditCTGrid</v>
      </c>
      <c r="C986" s="8" t="str">
        <f>IFERROR(__xludf.DUMMYFUNCTION("""COMPUTED_VALUE"""),"11EX1Ln-BQAtx9NTd9zfcaia52FGNdZENDW2kwMCJ20HQ")</f>
        <v>11EX1Ln-BQAtx9NTd9zfcaia52FGNdZENDW2kwMCJ20HQ</v>
      </c>
      <c r="D986" s="8"/>
      <c r="E986" s="8"/>
      <c r="F986" s="8"/>
      <c r="G986" s="8"/>
      <c r="H986" s="8"/>
      <c r="I986" s="8"/>
      <c r="J986" s="8"/>
      <c r="K986" s="8"/>
      <c r="L986" s="8"/>
    </row>
    <row r="987" ht="15.75" customHeight="1">
      <c r="A987" s="8" t="str">
        <f>IFERROR(__xludf.DUMMYFUNCTION("""COMPUTED_VALUE"""),"CreateTransaction")</f>
        <v>CreateTransaction</v>
      </c>
      <c r="B987" s="8" t="str">
        <f>IFERROR(__xludf.DUMMYFUNCTION("""COMPUTED_VALUE"""),"ActionOnCT")</f>
        <v>ActionOnCT</v>
      </c>
      <c r="C987" s="8" t="str">
        <f>IFERROR(__xludf.DUMMYFUNCTION("""COMPUTED_VALUE"""),"11EX1Ln-BQAtx9NTd9zfcaia52FGNdZENDW2kwMCJ20HQ")</f>
        <v>11EX1Ln-BQAtx9NTd9zfcaia52FGNdZENDW2kwMCJ20HQ</v>
      </c>
      <c r="D987" s="8"/>
      <c r="E987" s="8"/>
      <c r="F987" s="8"/>
      <c r="G987" s="8"/>
      <c r="H987" s="8"/>
      <c r="I987" s="8"/>
      <c r="J987" s="8"/>
      <c r="K987" s="8"/>
      <c r="L987" s="8"/>
    </row>
    <row r="988" ht="15.75" customHeight="1">
      <c r="A988" s="8" t="str">
        <f>IFERROR(__xludf.DUMMYFUNCTION("""COMPUTED_VALUE"""),"Unknown")</f>
        <v>Unknown</v>
      </c>
      <c r="B988" s="8" t="str">
        <f>IFERROR(__xludf.DUMMYFUNCTION("""COMPUTED_VALUE"""),"OpenColumnChooser")</f>
        <v>OpenColumnChooser</v>
      </c>
      <c r="C988" s="8" t="str">
        <f>IFERROR(__xludf.DUMMYFUNCTION("""COMPUTED_VALUE"""),"11EX1Ln-BQAtx9NTd9zfcaia52FGNdZENDW2kwMCJ20HQ")</f>
        <v>11EX1Ln-BQAtx9NTd9zfcaia52FGNdZENDW2kwMCJ20HQ</v>
      </c>
      <c r="D988" s="8"/>
      <c r="E988" s="8"/>
      <c r="F988" s="8"/>
      <c r="G988" s="8"/>
      <c r="H988" s="8"/>
      <c r="I988" s="8"/>
      <c r="J988" s="8"/>
      <c r="K988" s="8"/>
      <c r="L988" s="8"/>
    </row>
    <row r="989" ht="15.75" customHeight="1">
      <c r="A989" s="8" t="str">
        <f>IFERROR(__xludf.DUMMYFUNCTION("""COMPUTED_VALUE"""),"Closing")</f>
        <v>Closing</v>
      </c>
      <c r="B989" s="8" t="str">
        <f>IFERROR(__xludf.DUMMYFUNCTION("""COMPUTED_VALUE"""),"UnExpUnsettOperation")</f>
        <v>UnExpUnsettOperation</v>
      </c>
      <c r="C989" s="8" t="str">
        <f>IFERROR(__xludf.DUMMYFUNCTION("""COMPUTED_VALUE"""),"11EX1Ln-BQAtx9NTd9zfcaia52FGNdZENDW2kwMCJ20HQ")</f>
        <v>11EX1Ln-BQAtx9NTd9zfcaia52FGNdZENDW2kwMCJ20HQ</v>
      </c>
      <c r="D989" s="8"/>
      <c r="E989" s="8"/>
      <c r="F989" s="8"/>
      <c r="G989" s="8"/>
      <c r="H989" s="8"/>
      <c r="I989" s="8"/>
      <c r="J989" s="8"/>
      <c r="K989" s="8"/>
      <c r="L989" s="8"/>
    </row>
    <row r="990" ht="15.75" customHeight="1">
      <c r="A990" s="8" t="str">
        <f>IFERROR(__xludf.DUMMYFUNCTION("""COMPUTED_VALUE"""),"NavLock")</f>
        <v>NavLock</v>
      </c>
      <c r="B990" s="8" t="str">
        <f>IFERROR(__xludf.DUMMYFUNCTION("""COMPUTED_VALUE"""),"ActiononNavLock")</f>
        <v>ActiononNavLock</v>
      </c>
      <c r="C990" s="8" t="str">
        <f>IFERROR(__xludf.DUMMYFUNCTION("""COMPUTED_VALUE"""),"11EX1Ln-BQAtx9NTd9zfcaia52FGNdZENDW2kwMCJ20HQ")</f>
        <v>11EX1Ln-BQAtx9NTd9zfcaia52FGNdZENDW2kwMCJ20HQ</v>
      </c>
      <c r="D990" s="8"/>
      <c r="E990" s="8"/>
      <c r="F990" s="8"/>
      <c r="G990" s="8"/>
      <c r="H990" s="8"/>
      <c r="I990" s="8"/>
      <c r="J990" s="8"/>
      <c r="K990" s="8"/>
      <c r="L990" s="8"/>
    </row>
    <row r="991" ht="15.75" customHeight="1">
      <c r="A991" s="8" t="str">
        <f>IFERROR(__xludf.DUMMYFUNCTION("""COMPUTED_VALUE"""),"Allocation")</f>
        <v>Allocation</v>
      </c>
      <c r="B991" s="8" t="str">
        <f>IFERROR(__xludf.DUMMYFUNCTION("""COMPUTED_VALUE"""),"ActiononFixPref")</f>
        <v>ActiononFixPref</v>
      </c>
      <c r="C991" s="8" t="str">
        <f>IFERROR(__xludf.DUMMYFUNCTION("""COMPUTED_VALUE"""),"11EX1Ln-BQAtx9NTd9zfcaia52FGNdZENDW2kwMCJ20HQ")</f>
        <v>11EX1Ln-BQAtx9NTd9zfcaia52FGNdZENDW2kwMCJ20HQ</v>
      </c>
      <c r="D991" s="8"/>
      <c r="E991" s="8"/>
      <c r="F991" s="8"/>
      <c r="G991" s="8"/>
      <c r="H991" s="8"/>
      <c r="I991" s="8"/>
      <c r="J991" s="8"/>
      <c r="K991" s="8"/>
      <c r="L991" s="8"/>
    </row>
    <row r="992" ht="15.75" customHeight="1">
      <c r="A992" s="8" t="str">
        <f>IFERROR(__xludf.DUMMYFUNCTION("""COMPUTED_VALUE"""),"Blotter")</f>
        <v>Blotter</v>
      </c>
      <c r="B992" s="8" t="str">
        <f>IFERROR(__xludf.DUMMYFUNCTION("""COMPUTED_VALUE"""),"SelectWorkSubsOnBlotter")</f>
        <v>SelectWorkSubsOnBlotter</v>
      </c>
      <c r="C992" s="8" t="str">
        <f>IFERROR(__xludf.DUMMYFUNCTION("""COMPUTED_VALUE"""),"11EX1Ln-BQAtx9NTd9zfcaia52FGNdZENDW2kwMCJ20HQ")</f>
        <v>11EX1Ln-BQAtx9NTd9zfcaia52FGNdZENDW2kwMCJ20HQ</v>
      </c>
      <c r="D992" s="8"/>
      <c r="E992" s="8"/>
      <c r="F992" s="8"/>
      <c r="G992" s="8"/>
      <c r="H992" s="8"/>
      <c r="I992" s="8"/>
      <c r="J992" s="8"/>
      <c r="K992" s="8"/>
      <c r="L992" s="8"/>
    </row>
    <row r="993" ht="15.75" customHeight="1">
      <c r="A993" s="8" t="str">
        <f>IFERROR(__xludf.DUMMYFUNCTION("""COMPUTED_VALUE"""),"Closing")</f>
        <v>Closing</v>
      </c>
      <c r="B993" s="8" t="str">
        <f>IFERROR(__xludf.DUMMYFUNCTION("""COMPUTED_VALUE"""),"VerifyAccountUnexpired")</f>
        <v>VerifyAccountUnexpired</v>
      </c>
      <c r="C993" s="8" t="str">
        <f>IFERROR(__xludf.DUMMYFUNCTION("""COMPUTED_VALUE"""),"11EX1Ln-BQAtx9NTd9zfcaia52FGNdZENDW2kwMCJ20HQ")</f>
        <v>11EX1Ln-BQAtx9NTd9zfcaia52FGNdZENDW2kwMCJ20HQ</v>
      </c>
      <c r="D993" s="8"/>
      <c r="E993" s="8"/>
      <c r="F993" s="8"/>
      <c r="G993" s="8"/>
      <c r="H993" s="8"/>
      <c r="I993" s="8"/>
      <c r="J993" s="8"/>
      <c r="K993" s="8"/>
      <c r="L993" s="8"/>
    </row>
    <row r="994" ht="15.75" customHeight="1">
      <c r="A994" s="8" t="str">
        <f>IFERROR(__xludf.DUMMYFUNCTION("""COMPUTED_VALUE"""),"PortfolioManagement")</f>
        <v>PortfolioManagement</v>
      </c>
      <c r="B994" s="8" t="str">
        <f>IFERROR(__xludf.DUMMYFUNCTION("""COMPUTED_VALUE"""),"ToolBarActiononPM")</f>
        <v>ToolBarActiononPM</v>
      </c>
      <c r="C994" s="8" t="str">
        <f>IFERROR(__xludf.DUMMYFUNCTION("""COMPUTED_VALUE"""),"11EX1Ln-BQAtx9NTd9zfcaia52FGNdZENDW2kwMCJ20HQ")</f>
        <v>11EX1Ln-BQAtx9NTd9zfcaia52FGNdZENDW2kwMCJ20HQ</v>
      </c>
      <c r="D994" s="8"/>
      <c r="E994" s="8"/>
      <c r="F994" s="8"/>
      <c r="G994" s="8"/>
      <c r="H994" s="8"/>
      <c r="I994" s="8"/>
      <c r="J994" s="8"/>
      <c r="K994" s="8"/>
      <c r="L994" s="8"/>
    </row>
    <row r="995" ht="15.75" customHeight="1">
      <c r="A995" s="8" t="str">
        <f>IFERROR(__xludf.DUMMYFUNCTION("""COMPUTED_VALUE"""),"Allocation")</f>
        <v>Allocation</v>
      </c>
      <c r="B995" s="8" t="str">
        <f>IFERROR(__xludf.DUMMYFUNCTION("""COMPUTED_VALUE"""),"EditAttRenaming")</f>
        <v>EditAttRenaming</v>
      </c>
      <c r="C995" s="8" t="str">
        <f>IFERROR(__xludf.DUMMYFUNCTION("""COMPUTED_VALUE"""),"14aTeLjmUbS-nhaQwjtZAMGxdQ5DS6UsBjE5OTWN-LQU")</f>
        <v>14aTeLjmUbS-nhaQwjtZAMGxdQ5DS6UsBjE5OTWN-LQU</v>
      </c>
      <c r="D995" s="8"/>
      <c r="E995" s="8"/>
      <c r="F995" s="8"/>
      <c r="G995" s="8"/>
      <c r="H995" s="8"/>
      <c r="I995" s="8"/>
      <c r="J995" s="8"/>
      <c r="K995" s="8"/>
      <c r="L995" s="8"/>
    </row>
    <row r="996" ht="15.75" customHeight="1">
      <c r="A996" s="8" t="str">
        <f>IFERROR(__xludf.DUMMYFUNCTION("""COMPUTED_VALUE"""),"Unknown")</f>
        <v>Unknown</v>
      </c>
      <c r="B996" s="8" t="str">
        <f>IFERROR(__xludf.DUMMYFUNCTION("""COMPUTED_VALUE"""),"ActiononColumnChooser")</f>
        <v>ActiononColumnChooser</v>
      </c>
      <c r="C996" s="8" t="str">
        <f>IFERROR(__xludf.DUMMYFUNCTION("""COMPUTED_VALUE"""),"14aTeLjmUbS-nhaQwjtZAMGxdQ5DS6UsBjE5OTWN-LQU")</f>
        <v>14aTeLjmUbS-nhaQwjtZAMGxdQ5DS6UsBjE5OTWN-LQU</v>
      </c>
      <c r="D996" s="8"/>
      <c r="E996" s="8"/>
      <c r="F996" s="8"/>
      <c r="G996" s="8"/>
      <c r="H996" s="8"/>
      <c r="I996" s="8"/>
      <c r="J996" s="8"/>
      <c r="K996" s="8"/>
      <c r="L996" s="8"/>
    </row>
    <row r="997" ht="15.75" customHeight="1">
      <c r="A997" s="8" t="str">
        <f>IFERROR(__xludf.DUMMYFUNCTION("""COMPUTED_VALUE"""),"Unknown")</f>
        <v>Unknown</v>
      </c>
      <c r="B997" s="8" t="str">
        <f>IFERROR(__xludf.DUMMYFUNCTION("""COMPUTED_VALUE"""),"VerifyColumnChooser")</f>
        <v>VerifyColumnChooser</v>
      </c>
      <c r="C997" s="8" t="str">
        <f>IFERROR(__xludf.DUMMYFUNCTION("""COMPUTED_VALUE"""),"14aTeLjmUbS-nhaQwjtZAMGxdQ5DS6UsBjE5OTWN-LQU")</f>
        <v>14aTeLjmUbS-nhaQwjtZAMGxdQ5DS6UsBjE5OTWN-LQU</v>
      </c>
      <c r="D997" s="8"/>
      <c r="E997" s="8"/>
      <c r="F997" s="8"/>
      <c r="G997" s="8"/>
      <c r="H997" s="8"/>
      <c r="I997" s="8"/>
      <c r="J997" s="8"/>
      <c r="K997" s="8"/>
      <c r="L997" s="8"/>
    </row>
    <row r="998" ht="15.75" customHeight="1">
      <c r="A998" s="8" t="str">
        <f>IFERROR(__xludf.DUMMYFUNCTION("""COMPUTED_VALUE"""),"Unknown")</f>
        <v>Unknown</v>
      </c>
      <c r="B998" s="8" t="str">
        <f>IFERROR(__xludf.DUMMYFUNCTION("""COMPUTED_VALUE"""),"EditColumnChooser")</f>
        <v>EditColumnChooser</v>
      </c>
      <c r="C998" s="8" t="str">
        <f>IFERROR(__xludf.DUMMYFUNCTION("""COMPUTED_VALUE"""),"14aTeLjmUbS-nhaQwjtZAMGxdQ5DS6UsBjE5OTWN-LQU")</f>
        <v>14aTeLjmUbS-nhaQwjtZAMGxdQ5DS6UsBjE5OTWN-LQU</v>
      </c>
      <c r="D998" s="8"/>
      <c r="E998" s="8"/>
      <c r="F998" s="8"/>
      <c r="G998" s="8"/>
      <c r="H998" s="8"/>
      <c r="I998" s="8"/>
      <c r="J998" s="8"/>
      <c r="K998" s="8"/>
      <c r="L998" s="8"/>
    </row>
    <row r="999" ht="15.75" customHeight="1">
      <c r="A999" s="8" t="str">
        <f>IFERROR(__xludf.DUMMYFUNCTION("""COMPUTED_VALUE"""),"Unknown")</f>
        <v>Unknown</v>
      </c>
      <c r="B999" s="8" t="str">
        <f>IFERROR(__xludf.DUMMYFUNCTION("""COMPUTED_VALUE"""),"OpenColumnChooser")</f>
        <v>OpenColumnChooser</v>
      </c>
      <c r="C999" s="8" t="str">
        <f>IFERROR(__xludf.DUMMYFUNCTION("""COMPUTED_VALUE"""),"14aTeLjmUbS-nhaQwjtZAMGxdQ5DS6UsBjE5OTWN-LQU")</f>
        <v>14aTeLjmUbS-nhaQwjtZAMGxdQ5DS6UsBjE5OTWN-LQU</v>
      </c>
      <c r="D999" s="8"/>
      <c r="E999" s="8"/>
      <c r="F999" s="8"/>
      <c r="G999" s="8"/>
      <c r="H999" s="8"/>
      <c r="I999" s="8"/>
      <c r="J999" s="8"/>
      <c r="K999" s="8"/>
      <c r="L999" s="8"/>
    </row>
    <row r="1000" ht="15.75" customHeight="1">
      <c r="A1000" s="8" t="str">
        <f>IFERROR(__xludf.DUMMYFUNCTION("""COMPUTED_VALUE"""),"TradingTicket")</f>
        <v>TradingTicket</v>
      </c>
      <c r="B1000" s="8" t="str">
        <f>IFERROR(__xludf.DUMMYFUNCTION("""COMPUTED_VALUE"""),"UpdateTTCA")</f>
        <v>UpdateTTCA</v>
      </c>
      <c r="C1000" s="8" t="str">
        <f>IFERROR(__xludf.DUMMYFUNCTION("""COMPUTED_VALUE"""),"14aTeLjmUbS-nhaQwjtZAMGxdQ5DS6UsBjE5OTWN-LQU")</f>
        <v>14aTeLjmUbS-nhaQwjtZAMGxdQ5DS6UsBjE5OTWN-LQU</v>
      </c>
      <c r="D1000" s="8"/>
      <c r="E1000" s="8"/>
      <c r="F1000" s="8"/>
      <c r="G1000" s="8"/>
      <c r="H1000" s="8"/>
      <c r="I1000" s="8"/>
      <c r="J1000" s="8"/>
      <c r="K1000" s="8"/>
      <c r="L1000" s="8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0"/>
      <c r="B5" s="7"/>
      <c r="C5" s="7"/>
    </row>
    <row r="6" ht="15.75" customHeight="1">
      <c r="A6" s="10"/>
      <c r="B6" s="7"/>
      <c r="C6" s="7"/>
    </row>
    <row r="7" ht="15.75" customHeight="1">
      <c r="A7" s="10"/>
      <c r="B7" s="7"/>
      <c r="C7" s="7"/>
    </row>
    <row r="8" ht="15.75" customHeight="1">
      <c r="A8" s="10"/>
      <c r="B8" s="7"/>
      <c r="C8" s="7"/>
    </row>
    <row r="9" ht="15.75" customHeight="1">
      <c r="A9" s="10"/>
      <c r="B9" s="7"/>
      <c r="C9" s="7"/>
    </row>
    <row r="10" ht="15.75" customHeight="1">
      <c r="A10" s="10"/>
      <c r="B10" s="7"/>
      <c r="C10" s="7"/>
    </row>
    <row r="11" ht="15.75" customHeight="1">
      <c r="A11" s="10"/>
      <c r="B11" s="7"/>
      <c r="C11" s="7"/>
    </row>
    <row r="12" ht="15.75" customHeight="1">
      <c r="A12" s="10"/>
      <c r="B12" s="7"/>
      <c r="C12" s="7"/>
    </row>
    <row r="13" ht="15.75" customHeight="1">
      <c r="A13" s="10"/>
      <c r="B13" s="7"/>
      <c r="C13" s="7"/>
    </row>
    <row r="14" ht="15.75" customHeight="1">
      <c r="A14" s="10"/>
      <c r="B14" s="7"/>
      <c r="C14" s="7"/>
    </row>
    <row r="15" ht="15.75" customHeight="1">
      <c r="A15" s="10"/>
      <c r="B15" s="7"/>
      <c r="C15" s="7"/>
    </row>
    <row r="16" ht="15.75" customHeight="1">
      <c r="A16" s="10"/>
      <c r="B16" s="7"/>
      <c r="C16" s="7"/>
    </row>
    <row r="17" ht="15.75" customHeight="1">
      <c r="A17" s="10"/>
      <c r="B17" s="7"/>
      <c r="C17" s="7"/>
    </row>
    <row r="18" ht="15.75" customHeight="1">
      <c r="A18" s="10"/>
      <c r="B18" s="7"/>
      <c r="C18" s="7"/>
    </row>
    <row r="19" ht="15.75" customHeight="1">
      <c r="A19" s="10"/>
      <c r="B19" s="7"/>
      <c r="C19" s="7"/>
    </row>
    <row r="20" ht="15.75" customHeight="1">
      <c r="A20" s="10"/>
      <c r="B20" s="7"/>
      <c r="C20" s="7"/>
    </row>
    <row r="21" ht="15.75" customHeight="1">
      <c r="A21" s="10"/>
      <c r="B21" s="7"/>
      <c r="C21" s="7"/>
    </row>
    <row r="22" ht="15.75" customHeight="1">
      <c r="A22" s="10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</v>
      </c>
      <c r="D3" s="5" t="s">
        <v>9</v>
      </c>
      <c r="E3" s="10" t="s">
        <v>13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ht="15.75" customHeight="1">
      <c r="A4" s="17"/>
      <c r="B4" s="17" t="str">
        <f>IFERROR(__xludf.DUMMYFUNCTION("IF(C3="""","""",Transpose(IMPORTRANGE('_Settings'!$B$3,C3&amp;""!A4:A1000"")))"),"RestartServer")</f>
        <v>RestartServer</v>
      </c>
      <c r="C4" s="17" t="str">
        <f>IFERROR(__xludf.DUMMYFUNCTION("""COMPUTED_VALUE"""),"UpdateServerConfig")</f>
        <v>UpdateServerConfig</v>
      </c>
      <c r="D4" s="17" t="str">
        <f>IFERROR(__xludf.DUMMYFUNCTION("""COMPUTED_VALUE"""),"StartTradeServer")</f>
        <v>StartTradeServer</v>
      </c>
      <c r="E4" s="17" t="str">
        <f>IFERROR(__xludf.DUMMYFUNCTION("""COMPUTED_VALUE"""),"CloseTradeServer")</f>
        <v>CloseTradeServer</v>
      </c>
      <c r="F4" s="17" t="str">
        <f>IFERROR(__xludf.DUMMYFUNCTION("""COMPUTED_VALUE"""),"ConnectToSimAutoMan")</f>
        <v>ConnectToSimAutoMan</v>
      </c>
      <c r="G4" s="17" t="str">
        <f>IFERROR(__xludf.DUMMYFUNCTION("""COMPUTED_VALUE"""),"BrokerConnectionThroughTUI")</f>
        <v>BrokerConnectionThroughTUI</v>
      </c>
      <c r="H4" s="17" t="str">
        <f>IFERROR(__xludf.DUMMYFUNCTION("""COMPUTED_VALUE"""),"RestartServerOnly")</f>
        <v>RestartServerOnly</v>
      </c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IFERROR(__xludf.DUMMYFUNCTION("""COMPUTED_VALUE"""),"AppSetting_Key")</f>
        <v>AppSetting_Key</v>
      </c>
      <c r="C5" s="19" t="str">
        <f>IFERROR(__xludf.DUMMYFUNCTION("""COMPUTED_VALUE"""),"AppSetting_Value")</f>
        <v>AppSetting_Value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5.75" customHeight="1">
      <c r="A6" s="4"/>
      <c r="B6" s="21" t="s">
        <v>16</v>
      </c>
      <c r="C6" s="22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17</v>
      </c>
      <c r="D3" s="5" t="s">
        <v>9</v>
      </c>
      <c r="E3" s="10" t="s">
        <v>18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</row>
    <row r="4" ht="15.75" customHeight="1">
      <c r="A4" s="17"/>
      <c r="B4" s="17" t="str">
        <f>IFERROR(__xludf.DUMMYFUNCTION("IF(C3="""","""",Transpose(IMPORTRANGE('_Settings'!$B$3,C3&amp;""!A4:A1000"")))"),"OpenTTFromPST")</f>
        <v>OpenTTFromPST</v>
      </c>
      <c r="C4" s="17" t="str">
        <f>IFERROR(__xludf.DUMMYFUNCTION("""COMPUTED_VALUE"""),"EnterDetailsOnTT")</f>
        <v>EnterDetailsOnTT</v>
      </c>
      <c r="D4" s="17" t="str">
        <f>IFERROR(__xludf.DUMMYFUNCTION("""COMPUTED_VALUE"""),"ValidateSymbolTT")</f>
        <v>ValidateSymbolTT</v>
      </c>
      <c r="E4" s="17" t="str">
        <f>IFERROR(__xludf.DUMMYFUNCTION("""COMPUTED_VALUE"""),"VerifyDataTT")</f>
        <v>VerifyDataTT</v>
      </c>
      <c r="F4" s="17" t="str">
        <f>IFERROR(__xludf.DUMMYFUNCTION("""COMPUTED_VALUE"""),"SetUIPreferencesTT")</f>
        <v>SetUIPreferencesTT</v>
      </c>
      <c r="G4" s="17" t="str">
        <f>IFERROR(__xludf.DUMMYFUNCTION("""COMPUTED_VALUE"""),"SetBrokerWisePreferencesTT")</f>
        <v>SetBrokerWisePreferencesTT</v>
      </c>
      <c r="H4" s="17" t="str">
        <f>IFERROR(__xludf.DUMMYFUNCTION("""COMPUTED_VALUE"""),"VerifyComplianceOrder")</f>
        <v>VerifyComplianceOrder</v>
      </c>
      <c r="I4" s="17" t="str">
        <f>IFERROR(__xludf.DUMMYFUNCTION("""COMPUTED_VALUE"""),"TradeNewSub")</f>
        <v>TradeNewSub</v>
      </c>
      <c r="J4" s="17" t="str">
        <f>IFERROR(__xludf.DUMMYFUNCTION("""COMPUTED_VALUE"""),"CreateStageOrder")</f>
        <v>CreateStageOrder</v>
      </c>
      <c r="K4" s="17" t="str">
        <f>IFERROR(__xludf.DUMMYFUNCTION("""COMPUTED_VALUE"""),"CreateReplaceOrder")</f>
        <v>CreateReplaceOrder</v>
      </c>
      <c r="L4" s="17" t="str">
        <f>IFERROR(__xludf.DUMMYFUNCTION("""COMPUTED_VALUE"""),"SetGeneralPreference")</f>
        <v>SetGeneralPreference</v>
      </c>
      <c r="M4" s="17" t="str">
        <f>IFERROR(__xludf.DUMMYFUNCTION("""COMPUTED_VALUE"""),"CreateNewSubOrder")</f>
        <v>CreateNewSubOrder</v>
      </c>
      <c r="N4" s="17" t="str">
        <f>IFERROR(__xludf.DUMMYFUNCTION("""COMPUTED_VALUE"""),"TradeBloomberg")</f>
        <v>TradeBloomberg</v>
      </c>
      <c r="O4" s="17" t="str">
        <f>IFERROR(__xludf.DUMMYFUNCTION("""COMPUTED_VALUE"""),"ClickSymbolLookup")</f>
        <v>ClickSymbolLookup</v>
      </c>
      <c r="P4" s="18" t="str">
        <f>IFERROR(__xludf.DUMMYFUNCTION("""COMPUTED_VALUE"""),"VerifyTT")</f>
        <v>VerifyTT</v>
      </c>
      <c r="Q4" s="18" t="str">
        <f>IFERROR(__xludf.DUMMYFUNCTION("""COMPUTED_VALUE"""),"CreateLiveOrder")</f>
        <v>CreateLiveOrder</v>
      </c>
      <c r="R4" s="18" t="str">
        <f>IFERROR(__xludf.DUMMYFUNCTION("""COMPUTED_VALUE"""),"UpdateMasterFundOnTT")</f>
        <v>UpdateMasterFundOnTT</v>
      </c>
      <c r="S4" s="18" t="str">
        <f>IFERROR(__xludf.DUMMYFUNCTION("""COMPUTED_VALUE"""),"SetTTCompliancePreference")</f>
        <v>SetTTCompliancePreference</v>
      </c>
      <c r="T4" s="18" t="str">
        <f>IFERROR(__xludf.DUMMYFUNCTION("""COMPUTED_VALUE"""),"ImportSymbol")</f>
        <v>ImportSymbol</v>
      </c>
      <c r="U4" s="18" t="str">
        <f>IFERROR(__xludf.DUMMYFUNCTION("""COMPUTED_VALUE"""),"ExportSymbolFromRAList")</f>
        <v>ExportSymbolFromRAList</v>
      </c>
      <c r="V4" s="18" t="str">
        <f>IFERROR(__xludf.DUMMYFUNCTION("""COMPUTED_VALUE"""),"CheckPendingNewOrderAlert")</f>
        <v>CheckPendingNewOrderAlert</v>
      </c>
      <c r="W4" s="18" t="str">
        <f>IFERROR(__xludf.DUMMYFUNCTION("""COMPUTED_VALUE"""),"AddSymbolOnRAList")</f>
        <v>AddSymbolOnRAList</v>
      </c>
      <c r="X4" s="18" t="str">
        <f>IFERROR(__xludf.DUMMYFUNCTION("""COMPUTED_VALUE"""),"DeleteSymbolListFromRA")</f>
        <v>DeleteSymbolListFromRA</v>
      </c>
      <c r="Y4" s="18" t="str">
        <f>IFERROR(__xludf.DUMMYFUNCTION("""COMPUTED_VALUE"""),"RemoveSymbolFromRAList")</f>
        <v>RemoveSymbolFromRAList</v>
      </c>
      <c r="Z4" s="18" t="str">
        <f>IFERROR(__xludf.DUMMYFUNCTION("""COMPUTED_VALUE"""),"ToggleBlombergOnRA")</f>
        <v>ToggleBlombergOnRA</v>
      </c>
      <c r="AA4" s="18" t="str">
        <f>IFERROR(__xludf.DUMMYFUNCTION("""COMPUTED_VALUE"""),"CreateDoneAwayOrder")</f>
        <v>CreateDoneAwayOrder</v>
      </c>
      <c r="AB4" s="18" t="str">
        <f>IFERROR(__xludf.DUMMYFUNCTION("""COMPUTED_VALUE"""),"CreateComplianceOrder")</f>
        <v>CreateComplianceOrder</v>
      </c>
      <c r="AC4" s="18" t="str">
        <f>IFERROR(__xludf.DUMMYFUNCTION("""COMPUTED_VALUE"""),"AddOptionTrade")</f>
        <v>AddOptionTrade</v>
      </c>
      <c r="AD4" s="18" t="str">
        <f>IFERROR(__xludf.DUMMYFUNCTION("""COMPUTED_VALUE"""),"SendLiveBloomberg")</f>
        <v>SendLiveBloomberg</v>
      </c>
      <c r="AE4" s="18" t="str">
        <f>IFERROR(__xludf.DUMMYFUNCTION("""COMPUTED_VALUE"""),"ViewAllocation")</f>
        <v>ViewAllocation</v>
      </c>
      <c r="AF4" s="18" t="str">
        <f>IFERROR(__xludf.DUMMYFUNCTION("""COMPUTED_VALUE"""),"CreateReplaceLiveOrder")</f>
        <v>CreateReplaceLiveOrder</v>
      </c>
      <c r="AG4" s="18" t="str">
        <f>IFERROR(__xludf.DUMMYFUNCTION("""COMPUTED_VALUE"""),"CreateNewSubLiveOrder")</f>
        <v>CreateNewSubLiveOrder</v>
      </c>
      <c r="AH4" s="18" t="str">
        <f>IFERROR(__xludf.DUMMYFUNCTION("""COMPUTED_VALUE"""),"VerifyBasketExport")</f>
        <v>VerifyBasketExport</v>
      </c>
      <c r="AI4" s="18" t="str">
        <f>IFERROR(__xludf.DUMMYFUNCTION("""COMPUTED_VALUE"""),"VerifyCustomAllocationonTT")</f>
        <v>VerifyCustomAllocationonTT</v>
      </c>
      <c r="AJ4" s="18" t="str">
        <f>IFERROR(__xludf.DUMMYFUNCTION("""COMPUTED_VALUE"""),"CustomOrderTT")</f>
        <v>CustomOrderTT</v>
      </c>
      <c r="AK4" s="18" t="str">
        <f>IFERROR(__xludf.DUMMYFUNCTION("""COMPUTED_VALUE"""),"CheckStepSheet")</f>
        <v>CheckStepSheet</v>
      </c>
      <c r="AL4" s="18" t="str">
        <f>IFERROR(__xludf.DUMMYFUNCTION("""COMPUTED_VALUE"""),"OptionTradingThroughSecurity")</f>
        <v>OptionTradingThroughSecurity</v>
      </c>
      <c r="AM4" s="18" t="str">
        <f>IFERROR(__xludf.DUMMYFUNCTION("""COMPUTED_VALUE"""),"CreateTradeWithAlgoBroker")</f>
        <v>CreateTradeWithAlgoBroker</v>
      </c>
      <c r="AN4" s="18" t="str">
        <f>IFERROR(__xludf.DUMMYFUNCTION("""COMPUTED_VALUE"""),"VerifyOrderSide")</f>
        <v>VerifyOrderSide</v>
      </c>
      <c r="AO4" s="18" t="str">
        <f>IFERROR(__xludf.DUMMYFUNCTION("""COMPUTED_VALUE"""),"CreateOrEditSymbolTT")</f>
        <v>CreateOrEditSymbolTT</v>
      </c>
      <c r="AP4" s="18" t="str">
        <f>IFERROR(__xludf.DUMMYFUNCTION("""COMPUTED_VALUE"""),"VerifyTTNavLockPopup")</f>
        <v>VerifyTTNavLockPopup</v>
      </c>
      <c r="AQ4" s="18" t="str">
        <f>IFERROR(__xludf.DUMMYFUNCTION("""COMPUTED_VALUE"""),"VerifyCustomAllocationSecondUI")</f>
        <v>VerifyCustomAllocationSecondUI</v>
      </c>
      <c r="AR4" s="18" t="str">
        <f>IFERROR(__xludf.DUMMYFUNCTION("""COMPUTED_VALUE"""),"ShortLocateFromTT")</f>
        <v>ShortLocateFromTT</v>
      </c>
      <c r="AS4" s="18" t="str">
        <f>IFERROR(__xludf.DUMMYFUNCTION("""COMPUTED_VALUE"""),"ShortLocateFromTT")</f>
        <v>ShortLocateFromTT</v>
      </c>
      <c r="AT4" s="18" t="str">
        <f>IFERROR(__xludf.DUMMYFUNCTION("""COMPUTED_VALUE"""),"ShortLocateFromTT")</f>
        <v>ShortLocateFromTT</v>
      </c>
      <c r="AU4" s="18" t="str">
        <f>IFERROR(__xludf.DUMMYFUNCTION("""COMPUTED_VALUE"""),"VerifyShortLocateWindowOnTT")</f>
        <v>VerifyShortLocateWindowOnTT</v>
      </c>
      <c r="AV4" s="18" t="str">
        <f>IFERROR(__xludf.DUMMYFUNCTION("""COMPUTED_VALUE"""),"AlgoUIOperations")</f>
        <v>AlgoUIOperations</v>
      </c>
      <c r="AW4" s="18" t="str">
        <f>IFERROR(__xludf.DUMMYFUNCTION("""COMPUTED_VALUE"""),"UpdateShortLocateFromTT")</f>
        <v>UpdateShortLocateFromTT</v>
      </c>
      <c r="AX4" s="18" t="str">
        <f>IFERROR(__xludf.DUMMYFUNCTION("""COMPUTED_VALUE"""),"ResetTT")</f>
        <v>ResetTT</v>
      </c>
      <c r="AY4" s="18" t="str">
        <f>IFERROR(__xludf.DUMMYFUNCTION("""COMPUTED_VALUE"""),"MergeTT")</f>
        <v>MergeTT</v>
      </c>
      <c r="AZ4" s="18" t="str">
        <f>IFERROR(__xludf.DUMMYFUNCTION("""COMPUTED_VALUE"""),"ResizeEnsureTT")</f>
        <v>ResizeEnsureTT</v>
      </c>
      <c r="BA4" s="18" t="str">
        <f>IFERROR(__xludf.DUMMYFUNCTION("""COMPUTED_VALUE"""),"VerifyExecutionType")</f>
        <v>VerifyExecutionType</v>
      </c>
      <c r="BB4" s="18" t="str">
        <f>IFERROR(__xludf.DUMMYFUNCTION("""COMPUTED_VALUE"""),"VerifyPopupAlignment")</f>
        <v>VerifyPopupAlignment</v>
      </c>
      <c r="BC4" s="18" t="str">
        <f>IFERROR(__xludf.DUMMYFUNCTION("""COMPUTED_VALUE"""),"SelectET")</f>
        <v>SelectET</v>
      </c>
      <c r="BD4" s="18" t="str">
        <f>IFERROR(__xludf.DUMMYFUNCTION("""COMPUTED_VALUE"""),"SymbolSuggestionVerify")</f>
        <v>SymbolSuggestionVerify</v>
      </c>
      <c r="BE4" s="18" t="str">
        <f>IFERROR(__xludf.DUMMYFUNCTION("""COMPUTED_VALUE"""),"EditAuecWindow")</f>
        <v>EditAuecWindow</v>
      </c>
      <c r="BF4" s="18" t="str">
        <f>IFERROR(__xludf.DUMMYFUNCTION("""COMPUTED_VALUE"""),"VerifyBrokerSummary")</f>
        <v>VerifyBrokerSummary</v>
      </c>
      <c r="BG4" s="18" t="str">
        <f>IFERROR(__xludf.DUMMYFUNCTION("""COMPUTED_VALUE"""),"QTTHamburg")</f>
        <v>QTTHamburg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IFERROR(__xludf.DUMMYFUNCTION("""COMPUTED_VALUE"""),"Quantity")</f>
        <v>Quantity</v>
      </c>
      <c r="D5" s="19" t="str">
        <f>IFERROR(__xludf.DUMMYFUNCTION("""COMPUTED_VALUE"""),"Price")</f>
        <v>Price</v>
      </c>
      <c r="E5" s="19" t="str">
        <f>IFERROR(__xludf.DUMMYFUNCTION("""COMPUTED_VALUE"""),"Order type button")</f>
        <v>Order type button</v>
      </c>
      <c r="F5" s="19" t="str">
        <f>IFERROR(__xludf.DUMMYFUNCTION("""COMPUTED_VALUE"""),"SharesOutstandingPopUp")</f>
        <v>SharesOutstandingPopUp</v>
      </c>
      <c r="G5" s="19" t="str">
        <f>IFERROR(__xludf.DUMMYFUNCTION("""COMPUTED_VALUE"""),"TT_Open")</f>
        <v>TT_Open</v>
      </c>
      <c r="H5" s="19" t="str">
        <f>IFERROR(__xludf.DUMMYFUNCTION("""COMPUTED_VALUE"""),"SharesOutstandingPopUpQty")</f>
        <v>SharesOutstandingPopUpQty</v>
      </c>
      <c r="I5" s="19" t="str">
        <f>IFERROR(__xludf.DUMMYFUNCTION("""COMPUTED_VALUE"""),"AllocationMethod")</f>
        <v>AllocationMethod</v>
      </c>
      <c r="J5" s="19" t="str">
        <f>IFERROR(__xludf.DUMMYFUNCTION("""COMPUTED_VALUE"""),"Order Side")</f>
        <v>Order Side</v>
      </c>
      <c r="K5" s="19" t="str">
        <f>IFERROR(__xludf.DUMMYFUNCTION("""COMPUTED_VALUE"""),"DB_Check")</f>
        <v>DB_Check</v>
      </c>
      <c r="L5" s="19" t="str">
        <f>IFERROR(__xludf.DUMMYFUNCTION("""COMPUTED_VALUE"""),"CommissionBasis")</f>
        <v>CommissionBasis</v>
      </c>
      <c r="M5" s="19" t="str">
        <f>IFERROR(__xludf.DUMMYFUNCTION("""COMPUTED_VALUE"""),"CommissionRate")</f>
        <v>CommissionRate</v>
      </c>
      <c r="N5" s="19" t="str">
        <f>IFERROR(__xludf.DUMMYFUNCTION("""COMPUTED_VALUE"""),"SoftBasis")</f>
        <v>SoftBasis</v>
      </c>
      <c r="O5" s="19" t="str">
        <f>IFERROR(__xludf.DUMMYFUNCTION("""COMPUTED_VALUE"""),"SoftRate")</f>
        <v>SoftRate</v>
      </c>
      <c r="P5" s="19" t="str">
        <f>IFERROR(__xludf.DUMMYFUNCTION("""COMPUTED_VALUE"""),"Account")</f>
        <v>Account</v>
      </c>
      <c r="Q5" s="19" t="str">
        <f>IFERROR(__xludf.DUMMYFUNCTION("""COMPUTED_VALUE"""),"Account %")</f>
        <v>Account %</v>
      </c>
      <c r="R5" s="19" t="str">
        <f>IFERROR(__xludf.DUMMYFUNCTION("""COMPUTED_VALUE"""),"VerifySuggestions")</f>
        <v>VerifySuggestions</v>
      </c>
      <c r="S5" s="19" t="str">
        <f>IFERROR(__xludf.DUMMYFUNCTION("""COMPUTED_VALUE"""),"SymbolToPickFromSuggesstions")</f>
        <v>SymbolToPickFromSuggesstions</v>
      </c>
      <c r="T5" s="20" t="str">
        <f>IFERROR(__xludf.DUMMYFUNCTION("""COMPUTED_VALUE"""),"TypedSymbolAvailableOnSuggestion")</f>
        <v>TypedSymbolAvailableOnSuggestion</v>
      </c>
      <c r="U5" s="20" t="str">
        <f>IFERROR(__xludf.DUMMYFUNCTION("""COMPUTED_VALUE"""),"TIF")</f>
        <v>TIF</v>
      </c>
      <c r="V5" s="20" t="str">
        <f>IFERROR(__xludf.DUMMYFUNCTION("""COMPUTED_VALUE"""),"Order Type")</f>
        <v>Order Type</v>
      </c>
      <c r="W5" s="20" t="str">
        <f>IFERROR(__xludf.DUMMYFUNCTION("""COMPUTED_VALUE"""),"Stop")</f>
        <v>Stop</v>
      </c>
      <c r="X5" s="20" t="str">
        <f>IFERROR(__xludf.DUMMYFUNCTION("""COMPUTED_VALUE"""),"Limit")</f>
        <v>Limit</v>
      </c>
      <c r="Y5" s="20" t="str">
        <f>IFERROR(__xludf.DUMMYFUNCTION("""COMPUTED_VALUE"""),"Expiration Date")</f>
        <v>Expiration Date</v>
      </c>
      <c r="Z5" s="20" t="str">
        <f>IFERROR(__xludf.DUMMYFUNCTION("""COMPUTED_VALUE"""),"Trade Date")</f>
        <v>Trade Date</v>
      </c>
      <c r="AA5" s="20" t="str">
        <f>IFERROR(__xludf.DUMMYFUNCTION("""COMPUTED_VALUE"""),"Broker")</f>
        <v>Broker</v>
      </c>
      <c r="AB5" s="20" t="str">
        <f>IFERROR(__xludf.DUMMYFUNCTION("""COMPUTED_VALUE"""),"Padlock Visiblity")</f>
        <v>Padlock Visiblity</v>
      </c>
      <c r="AC5" s="20" t="str">
        <f>IFERROR(__xludf.DUMMYFUNCTION("""COMPUTED_VALUE"""),"Padlock Unlock")</f>
        <v>Padlock Unlock</v>
      </c>
      <c r="AD5" s="20" t="str">
        <f>IFERROR(__xludf.DUMMYFUNCTION("""COMPUTED_VALUE"""),"Venue")</f>
        <v>Venue</v>
      </c>
      <c r="AE5" s="20" t="str">
        <f>IFERROR(__xludf.DUMMYFUNCTION("""COMPUTED_VALUE"""),"Fx Rate")</f>
        <v>Fx Rate</v>
      </c>
      <c r="AF5" s="20" t="str">
        <f>IFERROR(__xludf.DUMMYFUNCTION("""COMPUTED_VALUE"""),"Fx Operator")</f>
        <v>Fx Operator</v>
      </c>
      <c r="AG5" s="20" t="str">
        <f>IFERROR(__xludf.DUMMYFUNCTION("""COMPUTED_VALUE"""),"PendingApprovalPopUp")</f>
        <v>PendingApprovalPopUp</v>
      </c>
      <c r="AH5" s="20" t="str">
        <f>IFERROR(__xludf.DUMMYFUNCTION("""COMPUTED_VALUE"""),"TradeBy")</f>
        <v>TradeBy</v>
      </c>
      <c r="AI5" s="20" t="str">
        <f>IFERROR(__xludf.DUMMYFUNCTION("""COMPUTED_VALUE"""),"BookAsSwap")</f>
        <v>BookAsSwap</v>
      </c>
      <c r="AJ5" s="20" t="str">
        <f>IFERROR(__xludf.DUMMYFUNCTION("""COMPUTED_VALUE"""),"RoundLot")</f>
        <v>RoundLot</v>
      </c>
      <c r="AK5" s="20" t="str">
        <f>IFERROR(__xludf.DUMMYFUNCTION("""COMPUTED_VALUE"""),"Increment")</f>
        <v>Increment</v>
      </c>
      <c r="AL5" s="20" t="str">
        <f>IFERROR(__xludf.DUMMYFUNCTION("""COMPUTED_VALUE"""),"Decrement")</f>
        <v>Decrement</v>
      </c>
      <c r="AM5" s="20" t="str">
        <f>IFERROR(__xludf.DUMMYFUNCTION("""COMPUTED_VALUE"""),"Trade Attribute 01")</f>
        <v>Trade Attribute 01</v>
      </c>
      <c r="AN5" s="20" t="str">
        <f>IFERROR(__xludf.DUMMYFUNCTION("""COMPUTED_VALUE"""),"Trade Attribute 02")</f>
        <v>Trade Attribute 02</v>
      </c>
      <c r="AO5" s="20" t="str">
        <f>IFERROR(__xludf.DUMMYFUNCTION("""COMPUTED_VALUE"""),"Trade Attribute 03")</f>
        <v>Trade Attribute 03</v>
      </c>
      <c r="AP5" s="20" t="str">
        <f>IFERROR(__xludf.DUMMYFUNCTION("""COMPUTED_VALUE"""),"Trade Attribute 04")</f>
        <v>Trade Attribute 04</v>
      </c>
      <c r="AQ5" s="20" t="str">
        <f>IFERROR(__xludf.DUMMYFUNCTION("""COMPUTED_VALUE"""),"Trade Attribute 05")</f>
        <v>Trade Attribute 05</v>
      </c>
      <c r="AR5" s="20" t="str">
        <f>IFERROR(__xludf.DUMMYFUNCTION("""COMPUTED_VALUE"""),"Trade Attribute 06")</f>
        <v>Trade Attribute 06</v>
      </c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</row>
    <row r="6" ht="15.75" customHeight="1">
      <c r="A6" s="4"/>
      <c r="B6" s="7" t="s">
        <v>19</v>
      </c>
      <c r="C6" s="22">
        <v>10000.0</v>
      </c>
      <c r="D6" s="23">
        <v>100.0</v>
      </c>
      <c r="E6" s="7" t="s">
        <v>20</v>
      </c>
      <c r="F6" s="4"/>
      <c r="G6" s="4"/>
      <c r="H6" s="4"/>
      <c r="I6" s="24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2">
        <v>100.0</v>
      </c>
      <c r="Y6" s="25">
        <f>TODAY()+3</f>
        <v>45880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26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 t="str">
        <f>IFERROR(__xludf.DUMMYFUNCTION("""COMPUTED_VALUE"""),"VerifyRowAllFixLogs")</f>
        <v>VerifyRowAllFixLogs</v>
      </c>
      <c r="Q4" s="18" t="str">
        <f>IFERROR(__xludf.DUMMYFUNCTION("""COMPUTED_VALUE"""),"ClearAllFixLogs")</f>
        <v>ClearAllFixLogs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27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 t="str">
        <f>IFERROR(__xludf.DUMMYFUNCTION("""COMPUTED_VALUE"""),"VerifyRowAllFixLogs")</f>
        <v>VerifyRowAllFixLogs</v>
      </c>
      <c r="Q4" s="18" t="str">
        <f>IFERROR(__xludf.DUMMYFUNCTION("""COMPUTED_VALUE"""),"ClearAllFixLogs")</f>
        <v>ClearAllFixLogs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IFERROR(__xludf.DUMMYFUNCTION("""COMPUTED_VALUE"""),"Side")</f>
        <v>Side</v>
      </c>
      <c r="C5" s="19" t="str">
        <f>IFERROR(__xludf.DUMMYFUNCTION("""COMPUTED_VALUE"""),"Symbol")</f>
        <v>Symbol</v>
      </c>
      <c r="D5" s="19" t="str">
        <f>IFERROR(__xludf.DUMMYFUNCTION("""COMPUTED_VALUE"""),"Order Type")</f>
        <v>Order Type</v>
      </c>
      <c r="E5" s="19" t="str">
        <f>IFERROR(__xludf.DUMMYFUNCTION("""COMPUTED_VALUE"""),"Price")</f>
        <v>Price</v>
      </c>
      <c r="F5" s="19" t="str">
        <f>IFERROR(__xludf.DUMMYFUNCTION("""COMPUTED_VALUE"""),"AvgPrice")</f>
        <v>AvgPrice</v>
      </c>
      <c r="G5" s="19" t="str">
        <f>IFERROR(__xludf.DUMMYFUNCTION("""COMPUTED_VALUE"""),"Quantity")</f>
        <v>Quantity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 t="str">
        <f>IFERROR(__xludf.DUMMYFUNCTION("""COMPUTED_VALUE"""),"VerifyRowAllFixLogs")</f>
        <v>VerifyRowAllFixLogs</v>
      </c>
      <c r="Q4" s="18" t="str">
        <f>IFERROR(__xludf.DUMMYFUNCTION("""COMPUTED_VALUE"""),"ClearAllFixLogs")</f>
        <v>ClearAllFixLogs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</row>
    <row r="6" ht="12.75" customHeight="1">
      <c r="C6" s="4" t="s">
        <v>35</v>
      </c>
      <c r="D6" s="4">
        <v>50.0</v>
      </c>
    </row>
    <row r="7" ht="12.75" customHeight="1">
      <c r="C7" s="4" t="s">
        <v>36</v>
      </c>
      <c r="D7" s="4">
        <v>50.0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37</v>
      </c>
      <c r="D3" s="5" t="s">
        <v>9</v>
      </c>
      <c r="E3" s="10" t="s">
        <v>38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7"/>
      <c r="B6" s="7" t="s">
        <v>39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40</v>
      </c>
      <c r="D3" s="5" t="s">
        <v>9</v>
      </c>
      <c r="E3" s="10" t="s">
        <v>41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  <row r="4" ht="15.75" customHeight="1">
      <c r="A4" s="17"/>
      <c r="B4" s="17" t="str">
        <f>IFERROR(__xludf.DUMMYFUNCTION("IF(C3="""","""",Transpose(IMPORTRANGE('_Settings'!$B$3,C3&amp;""!A4:A1000"")))"),"CheckCompliance")</f>
        <v>CheckCompliance</v>
      </c>
      <c r="C4" s="17" t="str">
        <f>IFERROR(__xludf.DUMMYFUNCTION("""COMPUTED_VALUE"""),"VerifyAccountDivisorWindow")</f>
        <v>VerifyAccountDivisorWindow</v>
      </c>
      <c r="D4" s="17" t="str">
        <f>IFERROR(__xludf.DUMMYFUNCTION("""COMPUTED_VALUE"""),"VerifyAccountSymbolDivisorWindow")</f>
        <v>VerifyAccountSymbolDivisorWindow</v>
      </c>
      <c r="E4" s="17" t="str">
        <f>IFERROR(__xludf.DUMMYFUNCTION("""COMPUTED_VALUE"""),"VerifyAggregationAccountSymbolWithNav")</f>
        <v>VerifyAggregationAccountSymbolWithNav</v>
      </c>
      <c r="F4" s="17" t="str">
        <f>IFERROR(__xludf.DUMMYFUNCTION("""COMPUTED_VALUE"""),"VerifyAggregationAccountWithNav")</f>
        <v>VerifyAggregationAccountWithNav</v>
      </c>
      <c r="G4" s="17" t="str">
        <f>IFERROR(__xludf.DUMMYFUNCTION("""COMPUTED_VALUE"""),"VerifyAggregationMasterFundSymbolWithNav")</f>
        <v>VerifyAggregationMasterFundSymbolWithNav</v>
      </c>
      <c r="H4" s="17" t="str">
        <f>IFERROR(__xludf.DUMMYFUNCTION("""COMPUTED_VALUE"""),"VerifyAggregationMasterFundUnderlyingSymbolWithNav")</f>
        <v>VerifyAggregationMasterFundUnderlyingSymbolWithNav</v>
      </c>
      <c r="I4" s="17" t="str">
        <f>IFERROR(__xludf.DUMMYFUNCTION("""COMPUTED_VALUE"""),"VerifyAggregationMasterFundWithNav")</f>
        <v>VerifyAggregationMasterFundWithNav</v>
      </c>
      <c r="J4" s="17" t="str">
        <f>IFERROR(__xludf.DUMMYFUNCTION("""COMPUTED_VALUE"""),"VerifyAggregationSectorWithNav")</f>
        <v>VerifyAggregationSectorWithNav</v>
      </c>
      <c r="K4" s="17" t="str">
        <f>IFERROR(__xludf.DUMMYFUNCTION("""COMPUTED_VALUE"""),"VerifyAggregationUnderlyingSymbolWithNav")</f>
        <v>VerifyAggregationUnderlyingSymbolWithNav</v>
      </c>
      <c r="L4" s="17" t="str">
        <f>IFERROR(__xludf.DUMMYFUNCTION("""COMPUTED_VALUE"""),"VerifyAuecWindow")</f>
        <v>VerifyAuecWindow</v>
      </c>
      <c r="M4" s="17" t="str">
        <f>IFERROR(__xludf.DUMMYFUNCTION("""COMPUTED_VALUE"""),"VerifyBetaWindow")</f>
        <v>VerifyBetaWindow</v>
      </c>
      <c r="N4" s="17" t="str">
        <f>IFERROR(__xludf.DUMMYFUNCTION("""COMPUTED_VALUE"""),"VerifyCustomSymbolDataWindow")</f>
        <v>VerifyCustomSymbolDataWindow</v>
      </c>
      <c r="O4" s="17" t="str">
        <f>IFERROR(__xludf.DUMMYFUNCTION("""COMPUTED_VALUE"""),"VerifyDayEndCashAccountWindow")</f>
        <v>VerifyDayEndCashAccountWindow</v>
      </c>
      <c r="P4" s="18" t="str">
        <f>IFERROR(__xludf.DUMMYFUNCTION("""COMPUTED_VALUE"""),"VerifyDbNavWindow")</f>
        <v>VerifyDbNavWindow</v>
      </c>
      <c r="Q4" s="18" t="str">
        <f>IFERROR(__xludf.DUMMYFUNCTION("""COMPUTED_VALUE"""),"VerifyGlobalDivisorWindow")</f>
        <v>VerifyGlobalDivisorWindow</v>
      </c>
      <c r="R4" s="18" t="str">
        <f>IFERROR(__xludf.DUMMYFUNCTION("""COMPUTED_VALUE"""),"VerifyPmCalculationPreferenceWindow")</f>
        <v>VerifyPmCalculationPreferenceWindow</v>
      </c>
      <c r="S4" s="18" t="str">
        <f>IFERROR(__xludf.DUMMYFUNCTION("""COMPUTED_VALUE"""),"VerifyRowCalculationBaseWindow")</f>
        <v>VerifyRowCalculationBaseWindow</v>
      </c>
      <c r="T4" s="18" t="str">
        <f>IFERROR(__xludf.DUMMYFUNCTION("""COMPUTED_VALUE"""),"VerifySecurityWindow")</f>
        <v>VerifySecurityWindow</v>
      </c>
      <c r="U4" s="18" t="str">
        <f>IFERROR(__xludf.DUMMYFUNCTION("""COMPUTED_VALUE"""),"VerifySymbolDataWindow")</f>
        <v>VerifySymbolDataWindow</v>
      </c>
      <c r="V4" s="18" t="str">
        <f>IFERROR(__xludf.DUMMYFUNCTION("""COMPUTED_VALUE"""),"VerifySymbolDivisorWindow")</f>
        <v>VerifySymbolDivisorWindow</v>
      </c>
      <c r="W4" s="18" t="str">
        <f>IFERROR(__xludf.DUMMYFUNCTION("""COMPUTED_VALUE"""),"VerifyTaxlotWindow")</f>
        <v>VerifyTaxlotWindow</v>
      </c>
      <c r="X4" s="18" t="str">
        <f>IFERROR(__xludf.DUMMYFUNCTION("""COMPUTED_VALUE"""),"RestartEsper")</f>
        <v>RestartEsper</v>
      </c>
      <c r="Y4" s="18" t="str">
        <f>IFERROR(__xludf.DUMMYFUNCTION("""COMPUTED_VALUE"""),"VerifyAccountNavPreferenceWindow")</f>
        <v>VerifyAccountNavPreferenceWindow</v>
      </c>
      <c r="Z4" s="18" t="str">
        <f>IFERROR(__xludf.DUMMYFUNCTION("""COMPUTED_VALUE"""),"VerifyAggregationAccountUnderlyingSymbolWithNav")</f>
        <v>VerifyAggregationAccountUnderlyingSymbolWithNav</v>
      </c>
      <c r="AA4" s="18" t="str">
        <f>IFERROR(__xludf.DUMMYFUNCTION("""COMPUTED_VALUE"""),"VerifyAggregationAssetWithNav")</f>
        <v>VerifyAggregationAssetWithNav</v>
      </c>
      <c r="AB4" s="18" t="str">
        <f>IFERROR(__xludf.DUMMYFUNCTION("""COMPUTED_VALUE"""),"VerifyAggregationSymbolWithNav")</f>
        <v>VerifyAggregationSymbolWithNav</v>
      </c>
      <c r="AC4" s="18" t="str">
        <f>IFERROR(__xludf.DUMMYFUNCTION("""COMPUTED_VALUE"""),"VerifyAggregationSubSectorWithNav")</f>
        <v>VerifyAggregationSubSectorWithNav</v>
      </c>
      <c r="AD4" s="18" t="str">
        <f>IFERROR(__xludf.DUMMYFUNCTION("""COMPUTED_VALUE"""),"VerifyAggregationGlobalWithNav")</f>
        <v>VerifyAggregationGlobalWithNav</v>
      </c>
      <c r="AE4" s="18" t="str">
        <f>IFERROR(__xludf.DUMMYFUNCTION("""COMPUTED_VALUE"""),"VerifyAggregationGlobalWithNav")</f>
        <v>VerifyAggregationGlobalWithNav</v>
      </c>
      <c r="AF4" s="18" t="str">
        <f>IFERROR(__xludf.DUMMYFUNCTION("""COMPUTED_VALUE"""),"VerifyGlobalDivisorWindow")</f>
        <v>VerifyGlobalDivisorWindow</v>
      </c>
      <c r="AG4" s="18" t="str">
        <f>IFERROR(__xludf.DUMMYFUNCTION("""COMPUTED_VALUE"""),"VerifyAccrualForAccountWindow")</f>
        <v>VerifyAccrualForAccountWindow</v>
      </c>
      <c r="AH4" s="18" t="str">
        <f>IFERROR(__xludf.DUMMYFUNCTION("""COMPUTED_VALUE"""),"VerifyGlobalDivisorWindow")</f>
        <v>VerifyGlobalDivisorWindow</v>
      </c>
      <c r="AI4" s="18" t="str">
        <f>IFERROR(__xludf.DUMMYFUNCTION("""COMPUTED_VALUE"""),"VerifyMasterFundDivisorWindow")</f>
        <v>VerifyMasterFundDivisorWindow</v>
      </c>
      <c r="AJ4" s="18" t="str">
        <f>IFERROR(__xludf.DUMMYFUNCTION("""COMPUTED_VALUE"""),"VerifyMasterFundSymbolDivisorWindow")</f>
        <v>VerifyMasterFundSymbolDivisorWindow</v>
      </c>
      <c r="AK4" s="18" t="str">
        <f>IFERROR(__xludf.DUMMYFUNCTION("""COMPUTED_VALUE"""),"RestartRuleMediator")</f>
        <v>RestartRuleMediator</v>
      </c>
      <c r="AL4" s="18" t="str">
        <f>IFERROR(__xludf.DUMMYFUNCTION("""COMPUTED_VALUE"""),"VerifyAggAccountSymbolWithNav")</f>
        <v>VerifyAggAccountSymbolWithNav</v>
      </c>
      <c r="AM4" s="18" t="str">
        <f>IFERROR(__xludf.DUMMYFUNCTION("""COMPUTED_VALUE"""),"ApproveorRejectpendingapproval")</f>
        <v>ApproveorRejectpendingapproval</v>
      </c>
      <c r="AN4" s="18" t="str">
        <f>IFERROR(__xludf.DUMMYFUNCTION("""COMPUTED_VALUE"""),"VerifyAlertHistory")</f>
        <v>VerifyAlertHistory</v>
      </c>
      <c r="AO4" s="18" t="str">
        <f>IFERROR(__xludf.DUMMYFUNCTION("""COMPUTED_VALUE"""),"EditInterceptorFile")</f>
        <v>EditInterceptorFile</v>
      </c>
      <c r="AP4" s="18" t="str">
        <f>IFERROR(__xludf.DUMMYFUNCTION("""COMPUTED_VALUE"""),"ReplaceInterceptorFile")</f>
        <v>ReplaceInterceptorFile</v>
      </c>
      <c r="AQ4" s="18" t="str">
        <f>IFERROR(__xludf.DUMMYFUNCTION("""COMPUTED_VALUE"""),"RestartReleasesAndServices")</f>
        <v>RestartReleasesAndServices</v>
      </c>
      <c r="AR4" s="18" t="str">
        <f>IFERROR(__xludf.DUMMYFUNCTION("""COMPUTED_VALUE"""),"GetEmail")</f>
        <v>GetEmail</v>
      </c>
      <c r="AS4" s="18" t="str">
        <f>IFERROR(__xludf.DUMMYFUNCTION("""COMPUTED_VALUE"""),"EnableDisableRule")</f>
        <v>EnableDisableRule</v>
      </c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IFERROR(__xludf.DUMMYFUNCTION("""COMPUTED_VALUE"""),"Restart Basket")</f>
        <v>Restart Basket</v>
      </c>
      <c r="C5" s="19" t="str">
        <f>IFERROR(__xludf.DUMMYFUNCTION("""COMPUTED_VALUE"""),"DontShutSimulator")</f>
        <v>DontShutSimulator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</row>
    <row r="6" ht="15.75" customHeight="1">
      <c r="A6" s="4"/>
      <c r="B6" s="4"/>
      <c r="C6" s="26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42</v>
      </c>
      <c r="D3" s="5" t="s">
        <v>9</v>
      </c>
      <c r="E3" s="10" t="s">
        <v>43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IFERROR(__xludf.DUMMYFUNCTION("""COMPUTED_VALUE"""),"RangeType")</f>
        <v>RangeType</v>
      </c>
      <c r="C5" s="19" t="str">
        <f>IFERROR(__xludf.DUMMYFUNCTION("""COMPUTED_VALUE"""),"From")</f>
        <v>From</v>
      </c>
      <c r="D5" s="19" t="str">
        <f>IFERROR(__xludf.DUMMYFUNCTION("""COMPUTED_VALUE"""),"To")</f>
        <v>To</v>
      </c>
      <c r="E5" s="19" t="str">
        <f>IFERROR(__xludf.DUMMYFUNCTION("""COMPUTED_VALUE"""),"FilterTabName")</f>
        <v>FilterTabName</v>
      </c>
      <c r="F5" s="19" t="str">
        <f>IFERROR(__xludf.DUMMYFUNCTION("""COMPUTED_VALUE"""),"Symbol")</f>
        <v>Symbol</v>
      </c>
      <c r="G5" s="19" t="str">
        <f>IFERROR(__xludf.DUMMYFUNCTION("""COMPUTED_VALUE"""),"Asset")</f>
        <v>Asset</v>
      </c>
      <c r="H5" s="19" t="str">
        <f>IFERROR(__xludf.DUMMYFUNCTION("""COMPUTED_VALUE"""),"Side")</f>
        <v>Side</v>
      </c>
      <c r="I5" s="19" t="str">
        <f>IFERROR(__xludf.DUMMYFUNCTION("""COMPUTED_VALUE"""),"Account")</f>
        <v>Account</v>
      </c>
      <c r="J5" s="19" t="str">
        <f>IFERROR(__xludf.DUMMYFUNCTION("""COMPUTED_VALUE"""),"Broker")</f>
        <v>Broker</v>
      </c>
      <c r="K5" s="19" t="str">
        <f>IFERROR(__xludf.DUMMYFUNCTION("""COMPUTED_VALUE"""),"Currency")</f>
        <v>Currency</v>
      </c>
      <c r="L5" s="19" t="str">
        <f>IFERROR(__xludf.DUMMYFUNCTION("""COMPUTED_VALUE"""),"Exchange")</f>
        <v>Exchange</v>
      </c>
      <c r="M5" s="19" t="str">
        <f>IFERROR(__xludf.DUMMYFUNCTION("""COMPUTED_VALUE"""),"StrategyName")</f>
        <v>StrategyName</v>
      </c>
      <c r="N5" s="19" t="str">
        <f>IFERROR(__xludf.DUMMYFUNCTION("""COMPUTED_VALUE"""),"Underlying")</f>
        <v>Underlying</v>
      </c>
      <c r="O5" s="19" t="str">
        <f>IFERROR(__xludf.DUMMYFUNCTION("""COMPUTED_VALUE"""),"Venue")</f>
        <v>Venue</v>
      </c>
      <c r="P5" s="19" t="str">
        <f>IFERROR(__xludf.DUMMYFUNCTION("""COMPUTED_VALUE"""),"TradingAccount")</f>
        <v>TradingAccount</v>
      </c>
      <c r="Q5" s="19" t="str">
        <f>IFERROR(__xludf.DUMMYFUNCTION("""COMPUTED_VALUE"""),"PreAllocated")</f>
        <v>PreAllocated</v>
      </c>
      <c r="R5" s="19" t="str">
        <f>IFERROR(__xludf.DUMMYFUNCTION("""COMPUTED_VALUE"""),"ManualGroup")</f>
        <v>ManualGroup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27"/>
      <c r="B6" s="28" t="s">
        <v>44</v>
      </c>
      <c r="C6" s="29">
        <f>TODAY()-10</f>
        <v>45867</v>
      </c>
      <c r="D6" s="29">
        <f>TODAY()+8</f>
        <v>45885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42</v>
      </c>
      <c r="D3" s="5" t="s">
        <v>9</v>
      </c>
      <c r="E3" s="10" t="s">
        <v>45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4" t="s">
        <v>46</v>
      </c>
      <c r="B6" s="7" t="s">
        <v>21</v>
      </c>
      <c r="C6" s="7" t="s">
        <v>47</v>
      </c>
      <c r="D6" s="4"/>
      <c r="E6" s="22">
        <v>5000.0</v>
      </c>
      <c r="F6" s="7"/>
      <c r="G6" s="7" t="s">
        <v>48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7" t="s">
        <v>49</v>
      </c>
      <c r="N6" s="7" t="s">
        <v>50</v>
      </c>
      <c r="O6" s="7" t="s">
        <v>51</v>
      </c>
      <c r="P6" s="4"/>
      <c r="Q6" s="4"/>
      <c r="R6" s="4"/>
      <c r="S6" s="4"/>
      <c r="T6" s="4"/>
      <c r="U6" s="4"/>
      <c r="V6" s="4" t="s">
        <v>52</v>
      </c>
      <c r="W6" s="4"/>
      <c r="X6" s="4"/>
      <c r="Y6" s="4"/>
      <c r="Z6" s="4" t="s">
        <v>53</v>
      </c>
      <c r="AA6" s="4" t="s">
        <v>19</v>
      </c>
      <c r="AB6" s="23">
        <v>1.0</v>
      </c>
      <c r="AC6" s="4"/>
      <c r="AD6" s="4" t="s">
        <v>54</v>
      </c>
      <c r="AE6" s="23">
        <v>5000.0</v>
      </c>
      <c r="AF6" s="4" t="s">
        <v>46</v>
      </c>
      <c r="AG6" s="4"/>
      <c r="AH6" s="4" t="s">
        <v>55</v>
      </c>
      <c r="AI6" s="23">
        <v>1.0</v>
      </c>
      <c r="AJ6" s="4"/>
      <c r="AK6" s="4"/>
      <c r="AL6" s="4"/>
      <c r="AM6" s="4"/>
      <c r="AN6" s="4"/>
      <c r="AO6" s="4"/>
      <c r="AP6" s="4"/>
      <c r="AQ6" s="4"/>
      <c r="AR6" s="4"/>
      <c r="AS6" s="23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3">
        <v>10000.0</v>
      </c>
      <c r="BK6" s="4"/>
      <c r="BL6" s="4" t="s">
        <v>46</v>
      </c>
      <c r="BM6" s="4" t="s">
        <v>53</v>
      </c>
      <c r="BN6" s="4"/>
      <c r="BO6" s="4" t="s">
        <v>22</v>
      </c>
      <c r="BP6" s="23">
        <v>0.0</v>
      </c>
      <c r="BQ6" s="23">
        <v>0.0</v>
      </c>
      <c r="BR6" s="23"/>
      <c r="BS6" s="4" t="s">
        <v>56</v>
      </c>
      <c r="BT6" s="4" t="s">
        <v>19</v>
      </c>
      <c r="BU6" s="4"/>
      <c r="BV6" s="4"/>
      <c r="BW6" s="4"/>
      <c r="BX6" s="4"/>
      <c r="BY6" s="4" t="s">
        <v>46</v>
      </c>
      <c r="BZ6" s="4" t="s">
        <v>46</v>
      </c>
      <c r="CA6" s="4" t="s">
        <v>46</v>
      </c>
      <c r="CB6" s="4" t="s">
        <v>46</v>
      </c>
      <c r="CC6" s="4" t="s">
        <v>46</v>
      </c>
      <c r="CD6" s="4" t="s">
        <v>46</v>
      </c>
      <c r="CE6" s="4" t="s">
        <v>57</v>
      </c>
      <c r="CF6" s="4" t="s">
        <v>58</v>
      </c>
      <c r="CG6" s="23">
        <v>2.0</v>
      </c>
      <c r="CH6" s="4" t="s">
        <v>17</v>
      </c>
      <c r="CI6" s="4" t="s">
        <v>22</v>
      </c>
      <c r="CJ6" s="4"/>
      <c r="CK6" s="4" t="s">
        <v>59</v>
      </c>
      <c r="CL6" s="23">
        <v>1.0</v>
      </c>
      <c r="CM6" s="4" t="s">
        <v>19</v>
      </c>
      <c r="CN6" s="4" t="s">
        <v>60</v>
      </c>
      <c r="CO6" s="4" t="s">
        <v>54</v>
      </c>
      <c r="CP6" s="4" t="s">
        <v>61</v>
      </c>
      <c r="CQ6" s="4"/>
      <c r="CR6" s="4"/>
      <c r="CS6" s="4" t="s">
        <v>46</v>
      </c>
      <c r="CT6" s="4"/>
      <c r="CU6" s="4"/>
      <c r="CV6" s="4"/>
      <c r="CW6" s="4"/>
      <c r="CX6" s="4" t="s">
        <v>62</v>
      </c>
      <c r="CY6" s="4" t="s">
        <v>46</v>
      </c>
      <c r="CZ6" s="4" t="s">
        <v>46</v>
      </c>
      <c r="DA6" s="4" t="s">
        <v>46</v>
      </c>
      <c r="DB6" s="4" t="s">
        <v>46</v>
      </c>
      <c r="DC6" s="4" t="s">
        <v>46</v>
      </c>
      <c r="DD6" s="4" t="s">
        <v>46</v>
      </c>
      <c r="DE6" s="4" t="s">
        <v>46</v>
      </c>
      <c r="DF6" s="4" t="s">
        <v>46</v>
      </c>
      <c r="DG6" s="4" t="s">
        <v>46</v>
      </c>
      <c r="DH6" s="4" t="s">
        <v>46</v>
      </c>
      <c r="DI6" s="4" t="s">
        <v>46</v>
      </c>
      <c r="DJ6" s="4" t="s">
        <v>46</v>
      </c>
      <c r="DK6" s="4" t="s">
        <v>46</v>
      </c>
      <c r="DL6" s="4" t="s">
        <v>46</v>
      </c>
      <c r="DM6" s="4" t="s">
        <v>46</v>
      </c>
      <c r="DN6" s="4" t="s">
        <v>46</v>
      </c>
      <c r="DO6" s="4" t="s">
        <v>46</v>
      </c>
      <c r="DP6" s="4" t="s">
        <v>46</v>
      </c>
      <c r="DQ6" s="4" t="s">
        <v>46</v>
      </c>
      <c r="DR6" s="4" t="s">
        <v>46</v>
      </c>
      <c r="DS6" s="4" t="s">
        <v>46</v>
      </c>
      <c r="DT6" s="4" t="s">
        <v>46</v>
      </c>
      <c r="DU6" s="4" t="s">
        <v>46</v>
      </c>
      <c r="DV6" s="4" t="s">
        <v>46</v>
      </c>
      <c r="DW6" s="4" t="s">
        <v>46</v>
      </c>
      <c r="DX6" s="4" t="s">
        <v>46</v>
      </c>
      <c r="DY6" s="4" t="s">
        <v>46</v>
      </c>
      <c r="DZ6" s="4" t="s">
        <v>46</v>
      </c>
      <c r="EA6" s="4" t="s">
        <v>46</v>
      </c>
      <c r="EB6" s="4" t="s">
        <v>46</v>
      </c>
      <c r="EC6" s="4" t="s">
        <v>46</v>
      </c>
      <c r="ED6" s="4" t="s">
        <v>46</v>
      </c>
      <c r="EE6" s="4" t="s">
        <v>46</v>
      </c>
      <c r="EF6" s="4" t="s">
        <v>46</v>
      </c>
      <c r="EG6" s="4" t="s">
        <v>46</v>
      </c>
      <c r="EH6" s="4" t="s">
        <v>46</v>
      </c>
      <c r="EI6" s="4" t="s">
        <v>46</v>
      </c>
      <c r="EJ6" s="4" t="s">
        <v>46</v>
      </c>
      <c r="EK6" s="4" t="s">
        <v>46</v>
      </c>
      <c r="EL6" s="4" t="s">
        <v>46</v>
      </c>
      <c r="EM6" s="4" t="s">
        <v>46</v>
      </c>
      <c r="EN6" s="4" t="s">
        <v>46</v>
      </c>
      <c r="EO6" s="4" t="s">
        <v>46</v>
      </c>
      <c r="EP6" s="4" t="s">
        <v>46</v>
      </c>
      <c r="EQ6" s="4" t="s">
        <v>46</v>
      </c>
      <c r="ER6" s="4" t="s">
        <v>46</v>
      </c>
      <c r="ES6" s="4" t="s">
        <v>46</v>
      </c>
      <c r="ET6" s="4" t="s">
        <v>46</v>
      </c>
      <c r="EU6" s="4" t="s">
        <v>46</v>
      </c>
      <c r="EV6" s="4" t="s">
        <v>46</v>
      </c>
      <c r="EW6" s="4" t="s">
        <v>46</v>
      </c>
      <c r="EX6" s="4" t="s">
        <v>46</v>
      </c>
      <c r="EY6" s="4" t="s">
        <v>46</v>
      </c>
      <c r="EZ6" s="4" t="s">
        <v>46</v>
      </c>
      <c r="FA6" s="4" t="s">
        <v>46</v>
      </c>
      <c r="FB6" s="4" t="s">
        <v>46</v>
      </c>
      <c r="FC6" s="4" t="s">
        <v>46</v>
      </c>
      <c r="FD6" s="4" t="s">
        <v>46</v>
      </c>
      <c r="FE6" s="4" t="s">
        <v>46</v>
      </c>
      <c r="FF6" s="4" t="s">
        <v>46</v>
      </c>
      <c r="FG6" s="4" t="s">
        <v>46</v>
      </c>
      <c r="FH6" s="4" t="s">
        <v>46</v>
      </c>
      <c r="FI6" s="4" t="s">
        <v>46</v>
      </c>
      <c r="FJ6" s="4" t="s">
        <v>46</v>
      </c>
      <c r="FK6" s="4" t="s">
        <v>46</v>
      </c>
      <c r="FL6" s="4" t="s">
        <v>46</v>
      </c>
      <c r="FM6" s="4" t="s">
        <v>46</v>
      </c>
      <c r="FN6" s="4" t="s">
        <v>46</v>
      </c>
      <c r="FO6" s="4" t="s">
        <v>46</v>
      </c>
      <c r="FP6" s="4" t="s">
        <v>46</v>
      </c>
      <c r="FQ6" s="4" t="s">
        <v>46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46</v>
      </c>
      <c r="B7" s="7" t="s">
        <v>63</v>
      </c>
      <c r="C7" s="7" t="s">
        <v>47</v>
      </c>
      <c r="D7" s="4"/>
      <c r="E7" s="22">
        <v>2500.0</v>
      </c>
      <c r="F7" s="7"/>
      <c r="G7" s="7" t="s">
        <v>48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7" t="s">
        <v>49</v>
      </c>
      <c r="N7" s="7" t="s">
        <v>50</v>
      </c>
      <c r="O7" s="7" t="s">
        <v>51</v>
      </c>
      <c r="P7" s="4"/>
      <c r="Q7" s="4"/>
      <c r="R7" s="4"/>
      <c r="S7" s="4"/>
      <c r="T7" s="4"/>
      <c r="U7" s="4"/>
      <c r="V7" s="4" t="s">
        <v>52</v>
      </c>
      <c r="W7" s="4"/>
      <c r="X7" s="4"/>
      <c r="Y7" s="4"/>
      <c r="Z7" s="4" t="s">
        <v>53</v>
      </c>
      <c r="AA7" s="4" t="s">
        <v>19</v>
      </c>
      <c r="AB7" s="23">
        <v>1.0</v>
      </c>
      <c r="AC7" s="4"/>
      <c r="AD7" s="4" t="s">
        <v>54</v>
      </c>
      <c r="AE7" s="23">
        <v>2500.0</v>
      </c>
      <c r="AF7" s="4" t="s">
        <v>46</v>
      </c>
      <c r="AG7" s="4"/>
      <c r="AH7" s="4" t="s">
        <v>55</v>
      </c>
      <c r="AI7" s="23">
        <v>1.0</v>
      </c>
      <c r="AJ7" s="4"/>
      <c r="AK7" s="4"/>
      <c r="AL7" s="4"/>
      <c r="AM7" s="4"/>
      <c r="AN7" s="4"/>
      <c r="AO7" s="4"/>
      <c r="AP7" s="4"/>
      <c r="AQ7" s="4"/>
      <c r="AR7" s="4"/>
      <c r="AS7" s="23">
        <v>0.0</v>
      </c>
      <c r="AT7" s="4"/>
      <c r="AU7" s="4"/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23">
        <v>10000.0</v>
      </c>
      <c r="BK7" s="4"/>
      <c r="BL7" s="4" t="s">
        <v>46</v>
      </c>
      <c r="BM7" s="4" t="s">
        <v>53</v>
      </c>
      <c r="BN7" s="4"/>
      <c r="BO7" s="4" t="s">
        <v>22</v>
      </c>
      <c r="BP7" s="23">
        <v>0.0</v>
      </c>
      <c r="BQ7" s="23">
        <v>0.0</v>
      </c>
      <c r="BR7" s="23"/>
      <c r="BS7" s="4" t="s">
        <v>56</v>
      </c>
      <c r="BT7" s="4" t="s">
        <v>19</v>
      </c>
      <c r="BU7" s="4"/>
      <c r="BV7" s="4"/>
      <c r="BW7" s="4"/>
      <c r="BX7" s="4"/>
      <c r="BY7" s="4" t="s">
        <v>46</v>
      </c>
      <c r="BZ7" s="4" t="s">
        <v>46</v>
      </c>
      <c r="CA7" s="4" t="s">
        <v>46</v>
      </c>
      <c r="CB7" s="4" t="s">
        <v>46</v>
      </c>
      <c r="CC7" s="4" t="s">
        <v>46</v>
      </c>
      <c r="CD7" s="4" t="s">
        <v>46</v>
      </c>
      <c r="CE7" s="4" t="s">
        <v>64</v>
      </c>
      <c r="CF7" s="4" t="s">
        <v>58</v>
      </c>
      <c r="CG7" s="23">
        <v>2.0</v>
      </c>
      <c r="CH7" s="4" t="s">
        <v>65</v>
      </c>
      <c r="CI7" s="4" t="s">
        <v>22</v>
      </c>
      <c r="CJ7" s="4"/>
      <c r="CK7" s="4" t="s">
        <v>59</v>
      </c>
      <c r="CL7" s="23">
        <v>1.0</v>
      </c>
      <c r="CM7" s="4" t="s">
        <v>19</v>
      </c>
      <c r="CN7" s="4" t="s">
        <v>60</v>
      </c>
      <c r="CO7" s="4" t="s">
        <v>54</v>
      </c>
      <c r="CP7" s="4" t="s">
        <v>61</v>
      </c>
      <c r="CQ7" s="4"/>
      <c r="CR7" s="4"/>
      <c r="CS7" s="4" t="s">
        <v>46</v>
      </c>
      <c r="CT7" s="4"/>
      <c r="CU7" s="4"/>
      <c r="CV7" s="4"/>
      <c r="CW7" s="4"/>
      <c r="CX7" s="4" t="s">
        <v>63</v>
      </c>
      <c r="CY7" s="4" t="s">
        <v>46</v>
      </c>
      <c r="CZ7" s="4" t="s">
        <v>46</v>
      </c>
      <c r="DA7" s="4" t="s">
        <v>46</v>
      </c>
      <c r="DB7" s="4" t="s">
        <v>46</v>
      </c>
      <c r="DC7" s="4" t="s">
        <v>46</v>
      </c>
      <c r="DD7" s="4" t="s">
        <v>46</v>
      </c>
      <c r="DE7" s="4" t="s">
        <v>46</v>
      </c>
      <c r="DF7" s="4" t="s">
        <v>46</v>
      </c>
      <c r="DG7" s="4" t="s">
        <v>46</v>
      </c>
      <c r="DH7" s="4" t="s">
        <v>46</v>
      </c>
      <c r="DI7" s="4" t="s">
        <v>46</v>
      </c>
      <c r="DJ7" s="4" t="s">
        <v>46</v>
      </c>
      <c r="DK7" s="4" t="s">
        <v>46</v>
      </c>
      <c r="DL7" s="4" t="s">
        <v>46</v>
      </c>
      <c r="DM7" s="4" t="s">
        <v>46</v>
      </c>
      <c r="DN7" s="4" t="s">
        <v>46</v>
      </c>
      <c r="DO7" s="4" t="s">
        <v>46</v>
      </c>
      <c r="DP7" s="4" t="s">
        <v>46</v>
      </c>
      <c r="DQ7" s="4" t="s">
        <v>46</v>
      </c>
      <c r="DR7" s="4" t="s">
        <v>46</v>
      </c>
      <c r="DS7" s="4" t="s">
        <v>46</v>
      </c>
      <c r="DT7" s="4" t="s">
        <v>46</v>
      </c>
      <c r="DU7" s="4" t="s">
        <v>46</v>
      </c>
      <c r="DV7" s="4" t="s">
        <v>46</v>
      </c>
      <c r="DW7" s="4" t="s">
        <v>46</v>
      </c>
      <c r="DX7" s="4" t="s">
        <v>46</v>
      </c>
      <c r="DY7" s="4" t="s">
        <v>46</v>
      </c>
      <c r="DZ7" s="4" t="s">
        <v>46</v>
      </c>
      <c r="EA7" s="4" t="s">
        <v>46</v>
      </c>
      <c r="EB7" s="4" t="s">
        <v>46</v>
      </c>
      <c r="EC7" s="4" t="s">
        <v>46</v>
      </c>
      <c r="ED7" s="4" t="s">
        <v>46</v>
      </c>
      <c r="EE7" s="4" t="s">
        <v>46</v>
      </c>
      <c r="EF7" s="4" t="s">
        <v>46</v>
      </c>
      <c r="EG7" s="4" t="s">
        <v>46</v>
      </c>
      <c r="EH7" s="4" t="s">
        <v>46</v>
      </c>
      <c r="EI7" s="4" t="s">
        <v>46</v>
      </c>
      <c r="EJ7" s="4" t="s">
        <v>46</v>
      </c>
      <c r="EK7" s="4" t="s">
        <v>46</v>
      </c>
      <c r="EL7" s="4" t="s">
        <v>46</v>
      </c>
      <c r="EM7" s="4" t="s">
        <v>46</v>
      </c>
      <c r="EN7" s="4" t="s">
        <v>46</v>
      </c>
      <c r="EO7" s="4" t="s">
        <v>46</v>
      </c>
      <c r="EP7" s="4" t="s">
        <v>46</v>
      </c>
      <c r="EQ7" s="4" t="s">
        <v>46</v>
      </c>
      <c r="ER7" s="4" t="s">
        <v>46</v>
      </c>
      <c r="ES7" s="4" t="s">
        <v>46</v>
      </c>
      <c r="ET7" s="4" t="s">
        <v>46</v>
      </c>
      <c r="EU7" s="4" t="s">
        <v>46</v>
      </c>
      <c r="EV7" s="4" t="s">
        <v>46</v>
      </c>
      <c r="EW7" s="4" t="s">
        <v>46</v>
      </c>
      <c r="EX7" s="4" t="s">
        <v>46</v>
      </c>
      <c r="EY7" s="4" t="s">
        <v>46</v>
      </c>
      <c r="EZ7" s="4" t="s">
        <v>46</v>
      </c>
      <c r="FA7" s="4" t="s">
        <v>46</v>
      </c>
      <c r="FB7" s="4" t="s">
        <v>46</v>
      </c>
      <c r="FC7" s="4" t="s">
        <v>46</v>
      </c>
      <c r="FD7" s="4" t="s">
        <v>46</v>
      </c>
      <c r="FE7" s="4" t="s">
        <v>46</v>
      </c>
      <c r="FF7" s="4" t="s">
        <v>46</v>
      </c>
      <c r="FG7" s="4" t="s">
        <v>46</v>
      </c>
      <c r="FH7" s="4" t="s">
        <v>46</v>
      </c>
      <c r="FI7" s="4" t="s">
        <v>46</v>
      </c>
      <c r="FJ7" s="4" t="s">
        <v>46</v>
      </c>
      <c r="FK7" s="4" t="s">
        <v>46</v>
      </c>
      <c r="FL7" s="4" t="s">
        <v>46</v>
      </c>
      <c r="FM7" s="4" t="s">
        <v>46</v>
      </c>
      <c r="FN7" s="4" t="s">
        <v>46</v>
      </c>
      <c r="FO7" s="4" t="s">
        <v>46</v>
      </c>
      <c r="FP7" s="4" t="s">
        <v>46</v>
      </c>
      <c r="FQ7" s="4" t="s">
        <v>46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66</v>
      </c>
      <c r="D3" s="5" t="s">
        <v>9</v>
      </c>
      <c r="E3" s="10" t="s">
        <v>67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IFERROR(__xludf.DUMMYFUNCTION("""COMPUTED_VALUE"""),"Avg Fill Price (Base)")</f>
        <v>Avg Fill Price (Base)</v>
      </c>
      <c r="C5" s="19" t="str">
        <f>IFERROR(__xludf.DUMMYFUNCTION("""COMPUTED_VALUE"""),"Transaction Time")</f>
        <v>Transaction Time</v>
      </c>
      <c r="D5" s="19" t="str">
        <f>IFERROR(__xludf.DUMMYFUNCTION("""COMPUTED_VALUE"""),"Symbol")</f>
        <v>Symbol</v>
      </c>
      <c r="E5" s="19" t="str">
        <f>IFERROR(__xludf.DUMMYFUNCTION("""COMPUTED_VALUE"""),"Algo")</f>
        <v>Algo</v>
      </c>
      <c r="F5" s="19" t="str">
        <f>IFERROR(__xludf.DUMMYFUNCTION("""COMPUTED_VALUE"""),"Side")</f>
        <v>Side</v>
      </c>
      <c r="G5" s="19" t="str">
        <f>IFERROR(__xludf.DUMMYFUNCTION("""COMPUTED_VALUE"""),"Status")</f>
        <v>Status</v>
      </c>
      <c r="H5" s="19" t="str">
        <f>IFERROR(__xludf.DUMMYFUNCTION("""COMPUTED_VALUE"""),"Target Qty")</f>
        <v>Target Qty</v>
      </c>
      <c r="I5" s="19" t="str">
        <f>IFERROR(__xludf.DUMMYFUNCTION("""COMPUTED_VALUE"""),"Total Executed Qty")</f>
        <v>Total Executed Qty</v>
      </c>
      <c r="J5" s="19" t="str">
        <f>IFERROR(__xludf.DUMMYFUNCTION("""COMPUTED_VALUE"""),"% Executed")</f>
        <v>% Executed</v>
      </c>
      <c r="K5" s="19" t="str">
        <f>IFERROR(__xludf.DUMMYFUNCTION("""COMPUTED_VALUE"""),"Day Executed Qty")</f>
        <v>Day Executed Qty</v>
      </c>
      <c r="L5" s="19" t="str">
        <f>IFERROR(__xludf.DUMMYFUNCTION("""COMPUTED_VALUE"""),"Uncommitted Qty")</f>
        <v>Uncommitted Qty</v>
      </c>
      <c r="M5" s="19" t="str">
        <f>IFERROR(__xludf.DUMMYFUNCTION("""COMPUTED_VALUE"""),"Limit Price")</f>
        <v>Limit Price</v>
      </c>
      <c r="N5" s="19" t="str">
        <f>IFERROR(__xludf.DUMMYFUNCTION("""COMPUTED_VALUE"""),"Last Fill Price (Local)")</f>
        <v>Last Fill Price (Local)</v>
      </c>
      <c r="O5" s="19" t="str">
        <f>IFERROR(__xludf.DUMMYFUNCTION("""COMPUTED_VALUE"""),"Stop Price")</f>
        <v>Stop Price</v>
      </c>
      <c r="P5" s="19" t="str">
        <f>IFERROR(__xludf.DUMMYFUNCTION("""COMPUTED_VALUE"""),"Avg Fill Price (Local)")</f>
        <v>Avg Fill Price (Local)</v>
      </c>
      <c r="Q5" s="19" t="str">
        <f>IFERROR(__xludf.DUMMYFUNCTION("""COMPUTED_VALUE"""),"Broker")</f>
        <v>Broker</v>
      </c>
      <c r="R5" s="19" t="str">
        <f>IFERROR(__xludf.DUMMYFUNCTION("""COMPUTED_VALUE"""),"Account")</f>
        <v>Account</v>
      </c>
      <c r="S5" s="19" t="str">
        <f>IFERROR(__xludf.DUMMYFUNCTION("""COMPUTED_VALUE"""),"OrderID")</f>
        <v>OrderID</v>
      </c>
      <c r="T5" s="20" t="str">
        <f>IFERROR(__xludf.DUMMYFUNCTION("""COMPUTED_VALUE"""),"Order Type")</f>
        <v>Order Type</v>
      </c>
      <c r="U5" s="20" t="str">
        <f>IFERROR(__xludf.DUMMYFUNCTION("""COMPUTED_VALUE"""),"Principal Amount (Local)")</f>
        <v>Principal Amount (Local)</v>
      </c>
      <c r="V5" s="20" t="str">
        <f>IFERROR(__xludf.DUMMYFUNCTION("""COMPUTED_VALUE"""),"Principal Amount (Base)")</f>
        <v>Principal Amount (Base)</v>
      </c>
      <c r="W5" s="20" t="str">
        <f>IFERROR(__xludf.DUMMYFUNCTION("""COMPUTED_VALUE"""),"Peg")</f>
        <v>Peg</v>
      </c>
      <c r="X5" s="20" t="str">
        <f>IFERROR(__xludf.DUMMYFUNCTION("""COMPUTED_VALUE"""),"ParentClOrderID")</f>
        <v>ParentClOrderID</v>
      </c>
      <c r="Y5" s="20" t="str">
        <f>IFERROR(__xludf.DUMMYFUNCTION("""COMPUTED_VALUE"""),"Strike Price")</f>
        <v>Strike Price</v>
      </c>
      <c r="Z5" s="20" t="str">
        <f>IFERROR(__xludf.DUMMYFUNCTION("""COMPUTED_VALUE"""),"Last Shares")</f>
        <v>Last Shares</v>
      </c>
      <c r="AA5" s="20" t="str">
        <f>IFERROR(__xludf.DUMMYFUNCTION("""COMPUTED_VALUE"""),"Working Qty")</f>
        <v>Working Qty</v>
      </c>
      <c r="AB5" s="20" t="str">
        <f>IFERROR(__xludf.DUMMYFUNCTION("""COMPUTED_VALUE"""),"Bloomberg Symbol")</f>
        <v>Bloomberg Symbol</v>
      </c>
      <c r="AC5" s="20" t="str">
        <f>IFERROR(__xludf.DUMMYFUNCTION("""COMPUTED_VALUE"""),"Imported File Name")</f>
        <v>Imported File Name</v>
      </c>
      <c r="AD5" s="20" t="str">
        <f>IFERROR(__xludf.DUMMYFUNCTION("""COMPUTED_VALUE"""),"Master Fund")</f>
        <v>Master Fund</v>
      </c>
      <c r="AE5" s="20" t="str">
        <f>IFERROR(__xludf.DUMMYFUNCTION("""COMPUTED_VALUE"""),"Day Average Price")</f>
        <v>Day Average Price</v>
      </c>
      <c r="AF5" s="20" t="str">
        <f>IFERROR(__xludf.DUMMYFUNCTION("""COMPUTED_VALUE"""),"Asset Class")</f>
        <v>Asset Class</v>
      </c>
      <c r="AG5" s="20" t="str">
        <f>IFERROR(__xludf.DUMMYFUNCTION("""COMPUTED_VALUE"""),"Underlying Country")</f>
        <v>Underlying Country</v>
      </c>
      <c r="AH5" s="20" t="str">
        <f>IFERROR(__xludf.DUMMYFUNCTION("""COMPUTED_VALUE"""),"Trader")</f>
        <v>Trader</v>
      </c>
      <c r="AI5" s="20" t="str">
        <f>IFERROR(__xludf.DUMMYFUNCTION("""COMPUTED_VALUE"""),"User")</f>
        <v>User</v>
      </c>
      <c r="AJ5" s="20" t="str">
        <f>IFERROR(__xludf.DUMMYFUNCTION("""COMPUTED_VALUE"""),"Venue")</f>
        <v>Venue</v>
      </c>
      <c r="AK5" s="20" t="str">
        <f>IFERROR(__xludf.DUMMYFUNCTION("""COMPUTED_VALUE"""),"Settlement Currency")</f>
        <v>Settlement Currency</v>
      </c>
      <c r="AL5" s="20" t="str">
        <f>IFERROR(__xludf.DUMMYFUNCTION("""COMPUTED_VALUE"""),"FX Conversion Operator")</f>
        <v>FX Conversion Operator</v>
      </c>
      <c r="AM5" s="20" t="str">
        <f>IFERROR(__xludf.DUMMYFUNCTION("""COMPUTED_VALUE"""),"Process Date")</f>
        <v>Process Date</v>
      </c>
      <c r="AN5" s="20" t="str">
        <f>IFERROR(__xludf.DUMMYFUNCTION("""COMPUTED_VALUE"""),"Underlying Symbol")</f>
        <v>Underlying Symbol</v>
      </c>
      <c r="AO5" s="20" t="str">
        <f>IFERROR(__xludf.DUMMYFUNCTION("""COMPUTED_VALUE"""),"Put/Call")</f>
        <v>Put/Call</v>
      </c>
      <c r="AP5" s="20" t="str">
        <f>IFERROR(__xludf.DUMMYFUNCTION("""COMPUTED_VALUE"""),"FX Rate")</f>
        <v>FX Rate</v>
      </c>
      <c r="AQ5" s="20" t="str">
        <f>IFERROR(__xludf.DUMMYFUNCTION("""COMPUTED_VALUE"""),"Trade Attribute 1")</f>
        <v>Trade Attribute 1</v>
      </c>
      <c r="AR5" s="20" t="str">
        <f>IFERROR(__xludf.DUMMYFUNCTION("""COMPUTED_VALUE"""),"Trade Attribute 2")</f>
        <v>Trade Attribute 2</v>
      </c>
      <c r="AS5" s="20" t="str">
        <f>IFERROR(__xludf.DUMMYFUNCTION("""COMPUTED_VALUE"""),"Trade Attribute 3")</f>
        <v>Trade Attribute 3</v>
      </c>
      <c r="AT5" s="20" t="str">
        <f>IFERROR(__xludf.DUMMYFUNCTION("""COMPUTED_VALUE"""),"Trade Attribute 4")</f>
        <v>Trade Attribute 4</v>
      </c>
      <c r="AU5" s="20" t="str">
        <f>IFERROR(__xludf.DUMMYFUNCTION("""COMPUTED_VALUE"""),"Trade Attribute 5")</f>
        <v>Trade Attribute 5</v>
      </c>
      <c r="AV5" s="20" t="str">
        <f>IFERROR(__xludf.DUMMYFUNCTION("""COMPUTED_VALUE"""),"Trade Attribute 6")</f>
        <v>Trade Attribute 6</v>
      </c>
      <c r="AW5" s="20" t="str">
        <f>IFERROR(__xludf.DUMMYFUNCTION("""COMPUTED_VALUE"""),"Internal Comments")</f>
        <v>Internal Comments</v>
      </c>
      <c r="AX5" s="20" t="str">
        <f>IFERROR(__xludf.DUMMYFUNCTION("""COMPUTED_VALUE"""),"Allocation Scheme Name")</f>
        <v>Allocation Scheme Name</v>
      </c>
      <c r="AY5" s="20" t="str">
        <f>IFERROR(__xludf.DUMMYFUNCTION("""COMPUTED_VALUE"""),"Start of Day Qty")</f>
        <v>Start of Day Qty</v>
      </c>
      <c r="AZ5" s="20" t="str">
        <f>IFERROR(__xludf.DUMMYFUNCTION("""COMPUTED_VALUE"""),"Leaves")</f>
        <v>Leaves</v>
      </c>
      <c r="BA5" s="20" t="str">
        <f>IFERROR(__xludf.DUMMYFUNCTION("""COMPUTED_VALUE"""),"CheckBox")</f>
        <v>CheckBox</v>
      </c>
      <c r="BB5" s="20" t="str">
        <f>IFERROR(__xludf.DUMMYFUNCTION("""COMPUTED_VALUE"""),"Action on toolbar")</f>
        <v>Action on toolbar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66</v>
      </c>
      <c r="D3" s="5" t="s">
        <v>9</v>
      </c>
      <c r="E3" s="10" t="s">
        <v>68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IFERROR(__xludf.DUMMYFUNCTION("""COMPUTED_VALUE"""),"Transaction Time")</f>
        <v>Transaction Time</v>
      </c>
      <c r="C5" s="19" t="str">
        <f>IFERROR(__xludf.DUMMYFUNCTION("""COMPUTED_VALUE"""),"Algo")</f>
        <v>Algo</v>
      </c>
      <c r="D5" s="19" t="str">
        <f>IFERROR(__xludf.DUMMYFUNCTION("""COMPUTED_VALUE"""),"Avg Fill Price (Base)")</f>
        <v>Avg Fill Price (Base)</v>
      </c>
      <c r="E5" s="19" t="str">
        <f>IFERROR(__xludf.DUMMYFUNCTION("""COMPUTED_VALUE"""),"Bloomberg Symbol")</f>
        <v>Bloomberg Symbol</v>
      </c>
      <c r="F5" s="19" t="str">
        <f>IFERROR(__xludf.DUMMYFUNCTION("""COMPUTED_VALUE"""),"Limit Price")</f>
        <v>Limit Price</v>
      </c>
      <c r="G5" s="19" t="str">
        <f>IFERROR(__xludf.DUMMYFUNCTION("""COMPUTED_VALUE"""),"Working Qty")</f>
        <v>Working Qty</v>
      </c>
      <c r="H5" s="19" t="str">
        <f>IFERROR(__xludf.DUMMYFUNCTION("""COMPUTED_VALUE"""),"Venue")</f>
        <v>Venue</v>
      </c>
      <c r="I5" s="19" t="str">
        <f>IFERROR(__xludf.DUMMYFUNCTION("""COMPUTED_VALUE"""),"Current User")</f>
        <v>Current User</v>
      </c>
      <c r="J5" s="19" t="str">
        <f>IFERROR(__xludf.DUMMYFUNCTION("""COMPUTED_VALUE"""),"Underlying Symbol")</f>
        <v>Underlying Symbol</v>
      </c>
      <c r="K5" s="19" t="str">
        <f>IFERROR(__xludf.DUMMYFUNCTION("""COMPUTED_VALUE"""),"Underlying Country")</f>
        <v>Underlying Country</v>
      </c>
      <c r="L5" s="19" t="str">
        <f>IFERROR(__xludf.DUMMYFUNCTION("""COMPUTED_VALUE"""),"Trader")</f>
        <v>Trader</v>
      </c>
      <c r="M5" s="19" t="str">
        <f>IFERROR(__xludf.DUMMYFUNCTION("""COMPUTED_VALUE"""),"Trade Attribute 6")</f>
        <v>Trade Attribute 6</v>
      </c>
      <c r="N5" s="19" t="str">
        <f>IFERROR(__xludf.DUMMYFUNCTION("""COMPUTED_VALUE"""),"Trade Attribute 5")</f>
        <v>Trade Attribute 5</v>
      </c>
      <c r="O5" s="19" t="str">
        <f>IFERROR(__xludf.DUMMYFUNCTION("""COMPUTED_VALUE"""),"Trade Attribute 4")</f>
        <v>Trade Attribute 4</v>
      </c>
      <c r="P5" s="19" t="str">
        <f>IFERROR(__xludf.DUMMYFUNCTION("""COMPUTED_VALUE"""),"Trade Attribute 3")</f>
        <v>Trade Attribute 3</v>
      </c>
      <c r="Q5" s="19" t="str">
        <f>IFERROR(__xludf.DUMMYFUNCTION("""COMPUTED_VALUE"""),"Trade Attribute 2")</f>
        <v>Trade Attribute 2</v>
      </c>
      <c r="R5" s="19" t="str">
        <f>IFERROR(__xludf.DUMMYFUNCTION("""COMPUTED_VALUE"""),"Trade Attribute 1")</f>
        <v>Trade Attribute 1</v>
      </c>
      <c r="S5" s="19" t="str">
        <f>IFERROR(__xludf.DUMMYFUNCTION("""COMPUTED_VALUE"""),"Strike Price")</f>
        <v>Strike Price</v>
      </c>
      <c r="T5" s="20" t="str">
        <f>IFERROR(__xludf.DUMMYFUNCTION("""COMPUTED_VALUE"""),"Stop Price")</f>
        <v>Stop Price</v>
      </c>
      <c r="U5" s="20" t="str">
        <f>IFERROR(__xludf.DUMMYFUNCTION("""COMPUTED_VALUE"""),"Settlement Currency")</f>
        <v>Settlement Currency</v>
      </c>
      <c r="V5" s="20" t="str">
        <f>IFERROR(__xludf.DUMMYFUNCTION("""COMPUTED_VALUE"""),"Put/Call")</f>
        <v>Put/Call</v>
      </c>
      <c r="W5" s="20" t="str">
        <f>IFERROR(__xludf.DUMMYFUNCTION("""COMPUTED_VALUE"""),"Process Date")</f>
        <v>Process Date</v>
      </c>
      <c r="X5" s="20" t="str">
        <f>IFERROR(__xludf.DUMMYFUNCTION("""COMPUTED_VALUE"""),"Peg")</f>
        <v>Peg</v>
      </c>
      <c r="Y5" s="20" t="str">
        <f>IFERROR(__xludf.DUMMYFUNCTION("""COMPUTED_VALUE"""),"ParentClOrderID")</f>
        <v>ParentClOrderID</v>
      </c>
      <c r="Z5" s="20" t="str">
        <f>IFERROR(__xludf.DUMMYFUNCTION("""COMPUTED_VALUE"""),"OrderID")</f>
        <v>OrderID</v>
      </c>
      <c r="AA5" s="20" t="str">
        <f>IFERROR(__xludf.DUMMYFUNCTION("""COMPUTED_VALUE"""),"Master Fund")</f>
        <v>Master Fund</v>
      </c>
      <c r="AB5" s="20" t="str">
        <f>IFERROR(__xludf.DUMMYFUNCTION("""COMPUTED_VALUE"""),"Last Shares")</f>
        <v>Last Shares</v>
      </c>
      <c r="AC5" s="20" t="str">
        <f>IFERROR(__xludf.DUMMYFUNCTION("""COMPUTED_VALUE"""),"Internal Comments")</f>
        <v>Internal Comments</v>
      </c>
      <c r="AD5" s="20" t="str">
        <f>IFERROR(__xludf.DUMMYFUNCTION("""COMPUTED_VALUE"""),"FX Rate")</f>
        <v>FX Rate</v>
      </c>
      <c r="AE5" s="20" t="str">
        <f>IFERROR(__xludf.DUMMYFUNCTION("""COMPUTED_VALUE"""),"Imported File Name")</f>
        <v>Imported File Name</v>
      </c>
      <c r="AF5" s="20" t="str">
        <f>IFERROR(__xludf.DUMMYFUNCTION("""COMPUTED_VALUE"""),"FX Conversion Operator")</f>
        <v>FX Conversion Operator</v>
      </c>
      <c r="AG5" s="20" t="str">
        <f>IFERROR(__xludf.DUMMYFUNCTION("""COMPUTED_VALUE"""),"Day Average Price")</f>
        <v>Day Average Price</v>
      </c>
      <c r="AH5" s="20" t="str">
        <f>IFERROR(__xludf.DUMMYFUNCTION("""COMPUTED_VALUE"""),"Asset Class")</f>
        <v>Asset Class</v>
      </c>
      <c r="AI5" s="20" t="str">
        <f>IFERROR(__xludf.DUMMYFUNCTION("""COMPUTED_VALUE"""),"Symbol")</f>
        <v>Symbol</v>
      </c>
      <c r="AJ5" s="20" t="str">
        <f>IFERROR(__xludf.DUMMYFUNCTION("""COMPUTED_VALUE"""),"Side")</f>
        <v>Side</v>
      </c>
      <c r="AK5" s="20" t="str">
        <f>IFERROR(__xludf.DUMMYFUNCTION("""COMPUTED_VALUE"""),"Status")</f>
        <v>Status</v>
      </c>
      <c r="AL5" s="20" t="str">
        <f>IFERROR(__xludf.DUMMYFUNCTION("""COMPUTED_VALUE"""),"Quantity")</f>
        <v>Quantity</v>
      </c>
      <c r="AM5" s="20" t="str">
        <f>IFERROR(__xludf.DUMMYFUNCTION("""COMPUTED_VALUE"""),"Executed Qty")</f>
        <v>Executed Qty</v>
      </c>
      <c r="AN5" s="20" t="str">
        <f>IFERROR(__xludf.DUMMYFUNCTION("""COMPUTED_VALUE"""),"Day Executed Qty")</f>
        <v>Day Executed Qty</v>
      </c>
      <c r="AO5" s="20" t="str">
        <f>IFERROR(__xludf.DUMMYFUNCTION("""COMPUTED_VALUE"""),"Last Fill Price (Local)")</f>
        <v>Last Fill Price (Local)</v>
      </c>
      <c r="AP5" s="20" t="str">
        <f>IFERROR(__xludf.DUMMYFUNCTION("""COMPUTED_VALUE"""),"Avg Fill Price (Local)")</f>
        <v>Avg Fill Price (Local)</v>
      </c>
      <c r="AQ5" s="20" t="str">
        <f>IFERROR(__xludf.DUMMYFUNCTION("""COMPUTED_VALUE"""),"Broker")</f>
        <v>Broker</v>
      </c>
      <c r="AR5" s="20" t="str">
        <f>IFERROR(__xludf.DUMMYFUNCTION("""COMPUTED_VALUE"""),"Account")</f>
        <v>Account</v>
      </c>
      <c r="AS5" s="20" t="str">
        <f>IFERROR(__xludf.DUMMYFUNCTION("""COMPUTED_VALUE"""),"Order Type")</f>
        <v>Order Type</v>
      </c>
      <c r="AT5" s="20" t="str">
        <f>IFERROR(__xludf.DUMMYFUNCTION("""COMPUTED_VALUE"""),"Principal Amount (Local)")</f>
        <v>Principal Amount (Local)</v>
      </c>
      <c r="AU5" s="20" t="str">
        <f>IFERROR(__xludf.DUMMYFUNCTION("""COMPUTED_VALUE"""),"Principal Amount (Base)")</f>
        <v>Principal Amount (Base)</v>
      </c>
      <c r="AV5" s="20" t="str">
        <f>IFERROR(__xludf.DUMMYFUNCTION("""COMPUTED_VALUE"""),"Allocation Scheme Name")</f>
        <v>Allocation Scheme Name</v>
      </c>
      <c r="AW5" s="20" t="str">
        <f>IFERROR(__xludf.DUMMYFUNCTION("""COMPUTED_VALUE"""),"Status (With Rollover)")</f>
        <v>Status (With Rollover)</v>
      </c>
      <c r="AX5" s="20" t="str">
        <f>IFERROR(__xludf.DUMMYFUNCTION("""COMPUTED_VALUE"""),"Unexecuted Qty")</f>
        <v>Unexecuted Qty</v>
      </c>
      <c r="AY5" s="20" t="str">
        <f>IFERROR(__xludf.DUMMYFUNCTION("""COMPUTED_VALUE"""),"Strategy")</f>
        <v>Strategy</v>
      </c>
      <c r="AZ5" s="20" t="str">
        <f>IFERROR(__xludf.DUMMYFUNCTION("""COMPUTED_VALUE"""),"Actual User")</f>
        <v>Actual User</v>
      </c>
      <c r="BA5" s="20" t="str">
        <f>IFERROR(__xludf.DUMMYFUNCTION("""COMPUTED_VALUE"""),"% Completed")</f>
        <v>% Completed</v>
      </c>
      <c r="BB5" s="20" t="str">
        <f>IFERROR(__xludf.DUMMYFUNCTION("""COMPUTED_VALUE"""),"MandatoryColumn")</f>
        <v>MandatoryColumn</v>
      </c>
      <c r="BC5" s="20" t="str">
        <f>IFERROR(__xludf.DUMMYFUNCTION("""COMPUTED_VALUE"""),"Expiry Date")</f>
        <v>Expiry Date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7">
        <v>2500.0</v>
      </c>
      <c r="H6" s="7" t="s">
        <v>54</v>
      </c>
      <c r="I6" s="31" t="s">
        <v>69</v>
      </c>
      <c r="J6" s="7" t="s">
        <v>19</v>
      </c>
      <c r="K6" s="7" t="s">
        <v>59</v>
      </c>
      <c r="L6" s="7"/>
      <c r="M6" s="7"/>
      <c r="N6" s="7"/>
      <c r="O6" s="7"/>
      <c r="U6" s="4"/>
      <c r="V6" s="4" t="s">
        <v>61</v>
      </c>
      <c r="AA6" s="4" t="s">
        <v>63</v>
      </c>
      <c r="AB6" s="4">
        <v>2500.0</v>
      </c>
      <c r="AD6" s="4">
        <v>1.0</v>
      </c>
      <c r="AF6" s="4" t="s">
        <v>55</v>
      </c>
      <c r="AH6" s="4" t="s">
        <v>48</v>
      </c>
      <c r="AI6" s="4" t="s">
        <v>19</v>
      </c>
      <c r="AJ6" s="4" t="s">
        <v>22</v>
      </c>
      <c r="AK6" s="4" t="s">
        <v>70</v>
      </c>
      <c r="AL6" s="4">
        <v>10000.0</v>
      </c>
      <c r="AM6" s="4">
        <v>7500.0</v>
      </c>
      <c r="AO6" s="4">
        <v>10.0</v>
      </c>
      <c r="AP6" s="4">
        <v>10.0</v>
      </c>
      <c r="AQ6" s="4" t="s">
        <v>51</v>
      </c>
      <c r="AR6" s="4" t="s">
        <v>63</v>
      </c>
      <c r="AS6" s="4" t="s">
        <v>24</v>
      </c>
      <c r="AT6" s="4">
        <v>75000.0</v>
      </c>
      <c r="AU6" s="4">
        <v>75000.0</v>
      </c>
      <c r="AV6" s="4"/>
      <c r="AW6" s="4" t="s">
        <v>70</v>
      </c>
      <c r="AX6" s="4">
        <v>2500.0</v>
      </c>
      <c r="AZ6" s="32" t="s">
        <v>69</v>
      </c>
      <c r="BA6" s="4">
        <v>75.0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25</v>
      </c>
      <c r="D3" s="5" t="s">
        <v>9</v>
      </c>
      <c r="E3" s="10" t="s">
        <v>28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ht="15.75" customHeight="1">
      <c r="A4" s="17"/>
      <c r="B4" s="17" t="str">
        <f>IFERROR(__xludf.DUMMYFUNCTION("IF(C3="""","""",Transpose(IMPORTRANGE('_Settings'!$B$3,C3&amp;""!A4:A1000"")))"),"SelectTrade")</f>
        <v>SelectTrade</v>
      </c>
      <c r="C4" s="17" t="str">
        <f>IFERROR(__xludf.DUMMYFUNCTION("""COMPUTED_VALUE"""),"AcknowledgeTrade")</f>
        <v>AcknowledgeTrade</v>
      </c>
      <c r="D4" s="17" t="str">
        <f>IFERROR(__xludf.DUMMYFUNCTION("""COMPUTED_VALUE"""),"RejectTrade")</f>
        <v>RejectTrade</v>
      </c>
      <c r="E4" s="17" t="str">
        <f>IFERROR(__xludf.DUMMYFUNCTION("""COMPUTED_VALUE"""),"ExecuteTrade")</f>
        <v>ExecuteTrade</v>
      </c>
      <c r="F4" s="17" t="str">
        <f>IFERROR(__xludf.DUMMYFUNCTION("""COMPUTED_VALUE"""),"CancelTrade")</f>
        <v>CancelTrade</v>
      </c>
      <c r="G4" s="17" t="str">
        <f>IFERROR(__xludf.DUMMYFUNCTION("""COMPUTED_VALUE"""),"OpenLiveTT")</f>
        <v>OpenLiveTT</v>
      </c>
      <c r="H4" s="17" t="str">
        <f>IFERROR(__xludf.DUMMYFUNCTION("""COMPUTED_VALUE"""),"SetManualResponse")</f>
        <v>SetManualResponse</v>
      </c>
      <c r="I4" s="17" t="str">
        <f>IFERROR(__xludf.DUMMYFUNCTION("""COMPUTED_VALUE"""),"ClearUI")</f>
        <v>ClearUI</v>
      </c>
      <c r="J4" s="17" t="str">
        <f>IFERROR(__xludf.DUMMYFUNCTION("""COMPUTED_VALUE"""),"CloseSimulator")</f>
        <v>CloseSimulator</v>
      </c>
      <c r="K4" s="17" t="str">
        <f>IFERROR(__xludf.DUMMYFUNCTION("""COMPUTED_VALUE"""),"VerifyTrades")</f>
        <v>VerifyTrades</v>
      </c>
      <c r="L4" s="17" t="str">
        <f>IFERROR(__xludf.DUMMYFUNCTION("""COMPUTED_VALUE"""),"VerifyTagInAllFixLogs")</f>
        <v>VerifyTagInAllFixLogs</v>
      </c>
      <c r="M4" s="17" t="str">
        <f>IFERROR(__xludf.DUMMYFUNCTION("""COMPUTED_VALUE"""),"SetToAutomaticResponse")</f>
        <v>SetToAutomaticResponse</v>
      </c>
      <c r="N4" s="17" t="str">
        <f>IFERROR(__xludf.DUMMYFUNCTION("""COMPUTED_VALUE"""),"DoneForDay")</f>
        <v>DoneForDay</v>
      </c>
      <c r="O4" s="17" t="str">
        <f>IFERROR(__xludf.DUMMYFUNCTION("""COMPUTED_VALUE"""),"NewAcknowledgeTrade")</f>
        <v>NewAcknowledgeTrade</v>
      </c>
      <c r="P4" s="18" t="str">
        <f>IFERROR(__xludf.DUMMYFUNCTION("""COMPUTED_VALUE"""),"VerifyRowAllFixLogs")</f>
        <v>VerifyRowAllFixLogs</v>
      </c>
      <c r="Q4" s="18" t="str">
        <f>IFERROR(__xludf.DUMMYFUNCTION("""COMPUTED_VALUE"""),"ClearAllFixLogs")</f>
        <v>ClearAllFixLogs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IFERROR(__xludf.DUMMYFUNCTION("""COMPUTED_VALUE"""),"Price")</f>
        <v>Price</v>
      </c>
      <c r="C5" s="19" t="str">
        <f>IFERROR(__xludf.DUMMYFUNCTION("""COMPUTED_VALUE"""),"Shares")</f>
        <v>Shares</v>
      </c>
      <c r="D5" s="19" t="str">
        <f>IFERROR(__xludf.DUMMYFUNCTION("""COMPUTED_VALUE"""),"ClearAllPrice")</f>
        <v>ClearAllPrice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42</v>
      </c>
      <c r="D3" s="5" t="s">
        <v>9</v>
      </c>
      <c r="E3" s="10" t="s">
        <v>45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IFERROR(__xludf.DUMMYFUNCTION("""COMPUTED_VALUE"""),"Account Name")</f>
        <v>Account Name</v>
      </c>
      <c r="C5" s="19" t="str">
        <f>IFERROR(__xludf.DUMMYFUNCTION("""COMPUTED_VALUE"""),"Accrual Basis")</f>
        <v>Accrual Basis</v>
      </c>
      <c r="D5" s="19" t="str">
        <f>IFERROR(__xludf.DUMMYFUNCTION("""COMPUTED_VALUE"""),"Accrued Interest")</f>
        <v>Accrued Interest</v>
      </c>
      <c r="E5" s="19" t="str">
        <f>IFERROR(__xludf.DUMMYFUNCTION("""COMPUTED_VALUE"""),"Allocated Qty")</f>
        <v>Allocated Qty</v>
      </c>
      <c r="F5" s="19" t="str">
        <f>IFERROR(__xludf.DUMMYFUNCTION("""COMPUTED_VALUE"""),"Allocation Scheme Name")</f>
        <v>Allocation Scheme Name</v>
      </c>
      <c r="G5" s="19" t="str">
        <f>IFERROR(__xludf.DUMMYFUNCTION("""COMPUTED_VALUE"""),"Asset Category")</f>
        <v>Asset Category</v>
      </c>
      <c r="H5" s="19" t="str">
        <f>IFERROR(__xludf.DUMMYFUNCTION("""COMPUTED_VALUE"""),"AUEC Fee1")</f>
        <v>AUEC Fee1</v>
      </c>
      <c r="I5" s="19" t="str">
        <f>IFERROR(__xludf.DUMMYFUNCTION("""COMPUTED_VALUE"""),"AUEC Fee2")</f>
        <v>AUEC Fee2</v>
      </c>
      <c r="J5" s="19" t="str">
        <f>IFERROR(__xludf.DUMMYFUNCTION("""COMPUTED_VALUE"""),"AUECID")</f>
        <v>AUECID</v>
      </c>
      <c r="K5" s="19" t="str">
        <f>IFERROR(__xludf.DUMMYFUNCTION("""COMPUTED_VALUE"""),"Avg Price(Base)")</f>
        <v>Avg Price(Base)</v>
      </c>
      <c r="L5" s="19" t="str">
        <f>IFERROR(__xludf.DUMMYFUNCTION("""COMPUTED_VALUE"""),"Avg Price(Local)")</f>
        <v>Avg Price(Local)</v>
      </c>
      <c r="M5" s="19" t="str">
        <f>IFERROR(__xludf.DUMMYFUNCTION("""COMPUTED_VALUE"""),"Bloomberg")</f>
        <v>Bloomberg</v>
      </c>
      <c r="N5" s="19" t="str">
        <f>IFERROR(__xludf.DUMMYFUNCTION("""COMPUTED_VALUE"""),"Bond Type")</f>
        <v>Bond Type</v>
      </c>
      <c r="O5" s="19" t="str">
        <f>IFERROR(__xludf.DUMMYFUNCTION("""COMPUTED_VALUE"""),"Broker")</f>
        <v>Broker</v>
      </c>
      <c r="P5" s="19" t="str">
        <f>IFERROR(__xludf.DUMMYFUNCTION("""COMPUTED_VALUE"""),"Change Comment")</f>
        <v>Change Comment</v>
      </c>
      <c r="Q5" s="19" t="str">
        <f>IFERROR(__xludf.DUMMYFUNCTION("""COMPUTED_VALUE"""),"Change Type")</f>
        <v>Change Type</v>
      </c>
      <c r="R5" s="19" t="str">
        <f>IFERROR(__xludf.DUMMYFUNCTION("""COMPUTED_VALUE"""),"Clearing Broker Fee")</f>
        <v>Clearing Broker Fee</v>
      </c>
      <c r="S5" s="19" t="str">
        <f>IFERROR(__xludf.DUMMYFUNCTION("""COMPUTED_VALUE"""),"Closing Status")</f>
        <v>Closing Status</v>
      </c>
      <c r="T5" s="20" t="str">
        <f>IFERROR(__xludf.DUMMYFUNCTION("""COMPUTED_VALUE"""),"Commission")</f>
        <v>Commission</v>
      </c>
      <c r="U5" s="20" t="str">
        <f>IFERROR(__xludf.DUMMYFUNCTION("""COMPUTED_VALUE"""),"Commission Per Share")</f>
        <v>Commission Per Share</v>
      </c>
      <c r="V5" s="20" t="str">
        <f>IFERROR(__xludf.DUMMYFUNCTION("""COMPUTED_VALUE"""),"Company")</f>
        <v>Company</v>
      </c>
      <c r="W5" s="20" t="str">
        <f>IFERROR(__xludf.DUMMYFUNCTION("""COMPUTED_VALUE"""),"Contract Multiplier")</f>
        <v>Contract Multiplier</v>
      </c>
      <c r="X5" s="20" t="str">
        <f>IFERROR(__xludf.DUMMYFUNCTION("""COMPUTED_VALUE"""),"Coupon Rate")</f>
        <v>Coupon Rate</v>
      </c>
      <c r="Y5" s="20" t="str">
        <f>IFERROR(__xludf.DUMMYFUNCTION("""COMPUTED_VALUE"""),"Cum Qty For Sub Order")</f>
        <v>Cum Qty For Sub Order</v>
      </c>
      <c r="Z5" s="20" t="str">
        <f>IFERROR(__xludf.DUMMYFUNCTION("""COMPUTED_VALUE"""),"Currency")</f>
        <v>Currency</v>
      </c>
      <c r="AA5" s="20" t="str">
        <f>IFERROR(__xludf.DUMMYFUNCTION("""COMPUTED_VALUE"""),"Cusip Symbol")</f>
        <v>Cusip Symbol</v>
      </c>
      <c r="AB5" s="20" t="str">
        <f>IFERROR(__xludf.DUMMYFUNCTION("""COMPUTED_VALUE"""),"Delta")</f>
        <v>Delta</v>
      </c>
      <c r="AC5" s="20" t="str">
        <f>IFERROR(__xludf.DUMMYFUNCTION("""COMPUTED_VALUE"""),"Description")</f>
        <v>Description</v>
      </c>
      <c r="AD5" s="20" t="str">
        <f>IFERROR(__xludf.DUMMYFUNCTION("""COMPUTED_VALUE"""),"Exchange")</f>
        <v>Exchange</v>
      </c>
      <c r="AE5" s="20" t="str">
        <f>IFERROR(__xludf.DUMMYFUNCTION("""COMPUTED_VALUE"""),"Executed Qty")</f>
        <v>Executed Qty</v>
      </c>
      <c r="AF5" s="20" t="str">
        <f>IFERROR(__xludf.DUMMYFUNCTION("""COMPUTED_VALUE"""),"Exceution Time")</f>
        <v>Exceution Time</v>
      </c>
      <c r="AG5" s="20" t="str">
        <f>IFERROR(__xludf.DUMMYFUNCTION("""COMPUTED_VALUE"""),"Expiration Date")</f>
        <v>Expiration Date</v>
      </c>
      <c r="AH5" s="20" t="str">
        <f>IFERROR(__xludf.DUMMYFUNCTION("""COMPUTED_VALUE"""),"FX Conversion Operator")</f>
        <v>FX Conversion Operator</v>
      </c>
      <c r="AI5" s="20" t="str">
        <f>IFERROR(__xludf.DUMMYFUNCTION("""COMPUTED_VALUE"""),"FX Rate")</f>
        <v>FX Rate</v>
      </c>
      <c r="AJ5" s="20" t="str">
        <f>IFERROR(__xludf.DUMMYFUNCTION("""COMPUTED_VALUE"""),"Group Status")</f>
        <v>Group Status</v>
      </c>
      <c r="AK5" s="20" t="str">
        <f>IFERROR(__xludf.DUMMYFUNCTION("""COMPUTED_VALUE"""),"IDCOSymbol")</f>
        <v>IDCOSymbol</v>
      </c>
      <c r="AL5" s="20" t="str">
        <f>IFERROR(__xludf.DUMMYFUNCTION("""COMPUTED_VALUE"""),"Import File Name")</f>
        <v>Import File Name</v>
      </c>
      <c r="AM5" s="20" t="str">
        <f>IFERROR(__xludf.DUMMYFUNCTION("""COMPUTED_VALUE"""),"Internal Comments")</f>
        <v>Internal Comments</v>
      </c>
      <c r="AN5" s="20" t="str">
        <f>IFERROR(__xludf.DUMMYFUNCTION("""COMPUTED_VALUE"""),"IsAnotherTaxlotAttributesUpdated")</f>
        <v>IsAnotherTaxlotAttributesUpdated</v>
      </c>
      <c r="AO5" s="20" t="str">
        <f>IFERROR(__xludf.DUMMYFUNCTION("""COMPUTED_VALUE"""),"ISIN")</f>
        <v>ISIN</v>
      </c>
      <c r="AP5" s="20" t="str">
        <f>IFERROR(__xludf.DUMMYFUNCTION("""COMPUTED_VALUE"""),"IsManual Group")</f>
        <v>IsManual Group</v>
      </c>
      <c r="AQ5" s="20" t="str">
        <f>IFERROR(__xludf.DUMMYFUNCTION("""COMPUTED_VALUE"""),"ISNDF")</f>
        <v>ISNDF</v>
      </c>
      <c r="AR5" s="20" t="str">
        <f>IFERROR(__xludf.DUMMYFUNCTION("""COMPUTED_VALUE"""),"IsPreAllocated")</f>
        <v>IsPreAllocated</v>
      </c>
      <c r="AS5" s="20" t="str">
        <f>IFERROR(__xludf.DUMMYFUNCTION("""COMPUTED_VALUE"""),"M2MProfitLoss")</f>
        <v>M2MProfitLoss</v>
      </c>
      <c r="AT5" s="20" t="str">
        <f>IFERROR(__xludf.DUMMYFUNCTION("""COMPUTED_VALUE"""),"Net Amount( Base)")</f>
        <v>Net Amount( Base)</v>
      </c>
      <c r="AU5" s="20" t="str">
        <f>IFERROR(__xludf.DUMMYFUNCTION("""COMPUTED_VALUE"""),"Net Amount( Local)")</f>
        <v>Net Amount( Local)</v>
      </c>
      <c r="AV5" s="20" t="str">
        <f>IFERROR(__xludf.DUMMYFUNCTION("""COMPUTED_VALUE"""),"Nirvana Process Date")</f>
        <v>Nirvana Process Date</v>
      </c>
      <c r="AW5" s="20" t="str">
        <f>IFERROR(__xludf.DUMMYFUNCTION("""COMPUTED_VALUE"""),"OCC Fee")</f>
        <v>OCC Fee</v>
      </c>
      <c r="AX5" s="20" t="str">
        <f>IFERROR(__xludf.DUMMYFUNCTION("""COMPUTED_VALUE"""),"Option Premium Adjustment")</f>
        <v>Option Premium Adjustment</v>
      </c>
      <c r="AY5" s="20" t="str">
        <f>IFERROR(__xludf.DUMMYFUNCTION("""COMPUTED_VALUE"""),"Order Type")</f>
        <v>Order Type</v>
      </c>
      <c r="AZ5" s="20" t="str">
        <f>IFERROR(__xludf.DUMMYFUNCTION("""COMPUTED_VALUE"""),"ORF Fee")</f>
        <v>ORF Fee</v>
      </c>
      <c r="BA5" s="20" t="str">
        <f>IFERROR(__xludf.DUMMYFUNCTION("""COMPUTED_VALUE"""),"Original Purchase Date")</f>
        <v>Original Purchase Date</v>
      </c>
      <c r="BB5" s="20" t="str">
        <f>IFERROR(__xludf.DUMMYFUNCTION("""COMPUTED_VALUE"""),"OSISSymbol")</f>
        <v>OSISSymbol</v>
      </c>
      <c r="BC5" s="20" t="str">
        <f>IFERROR(__xludf.DUMMYFUNCTION("""COMPUTED_VALUE"""),"Other Broker Fees")</f>
        <v>Other Broker Fees</v>
      </c>
      <c r="BD5" s="20" t="str">
        <f>IFERROR(__xludf.DUMMYFUNCTION("""COMPUTED_VALUE"""),"Prana Msg Type")</f>
        <v>Prana Msg Type</v>
      </c>
      <c r="BE5" s="20" t="str">
        <f>IFERROR(__xludf.DUMMYFUNCTION("""COMPUTED_VALUE"""),"Principal Amount( Base)")</f>
        <v>Principal Amount( Base)</v>
      </c>
      <c r="BF5" s="20" t="str">
        <f>IFERROR(__xludf.DUMMYFUNCTION("""COMPUTED_VALUE"""),"Principal Amount( Local)")</f>
        <v>Principal Amount( Local)</v>
      </c>
      <c r="BG5" s="20" t="str">
        <f>IFERROR(__xludf.DUMMYFUNCTION("""COMPUTED_VALUE"""),"Process Date")</f>
        <v>Process Date</v>
      </c>
      <c r="BH5" s="20" t="str">
        <f>IFERROR(__xludf.DUMMYFUNCTION("""COMPUTED_VALUE"""),"Proxy Symbol")</f>
        <v>Proxy Symbol</v>
      </c>
      <c r="BI5" s="20" t="str">
        <f>IFERROR(__xludf.DUMMYFUNCTION("""COMPUTED_VALUE"""),"Put Or Call")</f>
        <v>Put Or Call</v>
      </c>
      <c r="BJ5" s="20" t="str">
        <f>IFERROR(__xludf.DUMMYFUNCTION("""COMPUTED_VALUE"""),"Quantity")</f>
        <v>Quantity</v>
      </c>
      <c r="BK5" s="20" t="str">
        <f>IFERROR(__xludf.DUMMYFUNCTION("""COMPUTED_VALUE"""),"SEC Fee")</f>
        <v>SEC Fee</v>
      </c>
      <c r="BL5" s="20" t="str">
        <f>IFERROR(__xludf.DUMMYFUNCTION("""COMPUTED_VALUE"""),"Sedol Symbol")</f>
        <v>Sedol Symbol</v>
      </c>
      <c r="BM5" s="20" t="str">
        <f>IFERROR(__xludf.DUMMYFUNCTION("""COMPUTED_VALUE"""),"Settlement Currency")</f>
        <v>Settlement Currency</v>
      </c>
      <c r="BN5" s="20" t="str">
        <f>IFERROR(__xludf.DUMMYFUNCTION("""COMPUTED_VALUE"""),"Settlement Date")</f>
        <v>Settlement Date</v>
      </c>
      <c r="BO5" s="20" t="str">
        <f>IFERROR(__xludf.DUMMYFUNCTION("""COMPUTED_VALUE"""),"Side")</f>
        <v>Side</v>
      </c>
      <c r="BP5" s="20" t="str">
        <f>IFERROR(__xludf.DUMMYFUNCTION("""COMPUTED_VALUE"""),"Soft Commission")</f>
        <v>Soft Commission</v>
      </c>
      <c r="BQ5" s="20" t="str">
        <f>IFERROR(__xludf.DUMMYFUNCTION("""COMPUTED_VALUE"""),"Soft Commission Per Share")</f>
        <v>Soft Commission Per Share</v>
      </c>
      <c r="BR5" s="20" t="str">
        <f>IFERROR(__xludf.DUMMYFUNCTION("""COMPUTED_VALUE"""),"Stamp Duty")</f>
        <v>Stamp Duty</v>
      </c>
      <c r="BS5" s="20" t="str">
        <f>IFERROR(__xludf.DUMMYFUNCTION("""COMPUTED_VALUE"""),"Strategy Name")</f>
        <v>Strategy Name</v>
      </c>
      <c r="BT5" s="20" t="str">
        <f>IFERROR(__xludf.DUMMYFUNCTION("""COMPUTED_VALUE"""),"Symbol")</f>
        <v>Symbol</v>
      </c>
      <c r="BU5" s="20" t="str">
        <f>IFERROR(__xludf.DUMMYFUNCTION("""COMPUTED_VALUE"""),"Tax On Commissions")</f>
        <v>Tax On Commissions</v>
      </c>
      <c r="BV5" s="20" t="str">
        <f>IFERROR(__xludf.DUMMYFUNCTION("""COMPUTED_VALUE"""),"Total Commission")</f>
        <v>Total Commission</v>
      </c>
      <c r="BW5" s="20" t="str">
        <f>IFERROR(__xludf.DUMMYFUNCTION("""COMPUTED_VALUE"""),"Total Commission And Fee")</f>
        <v>Total Commission And Fee</v>
      </c>
      <c r="BX5" s="20" t="str">
        <f>IFERROR(__xludf.DUMMYFUNCTION("""COMPUTED_VALUE"""),"Total Commission Per Share")</f>
        <v>Total Commission Per Share</v>
      </c>
      <c r="BY5" s="20" t="str">
        <f>IFERROR(__xludf.DUMMYFUNCTION("""COMPUTED_VALUE"""),"Trade Attribute 1")</f>
        <v>Trade Attribute 1</v>
      </c>
      <c r="BZ5" s="20" t="str">
        <f>IFERROR(__xludf.DUMMYFUNCTION("""COMPUTED_VALUE"""),"Trade Attribute 2")</f>
        <v>Trade Attribute 2</v>
      </c>
      <c r="CA5" s="20" t="str">
        <f>IFERROR(__xludf.DUMMYFUNCTION("""COMPUTED_VALUE"""),"Trade Attribute 3")</f>
        <v>Trade Attribute 3</v>
      </c>
      <c r="CB5" s="20" t="str">
        <f>IFERROR(__xludf.DUMMYFUNCTION("""COMPUTED_VALUE"""),"Trade Attribute 4")</f>
        <v>Trade Attribute 4</v>
      </c>
      <c r="CC5" s="20" t="str">
        <f>IFERROR(__xludf.DUMMYFUNCTION("""COMPUTED_VALUE"""),"Trade Attribute 5")</f>
        <v>Trade Attribute 5</v>
      </c>
      <c r="CD5" s="20" t="str">
        <f>IFERROR(__xludf.DUMMYFUNCTION("""COMPUTED_VALUE"""),"Trade Attribute 6")</f>
        <v>Trade Attribute 6</v>
      </c>
      <c r="CE5" s="20" t="str">
        <f>IFERROR(__xludf.DUMMYFUNCTION("""COMPUTED_VALUE"""),"Trade Date")</f>
        <v>Trade Date</v>
      </c>
      <c r="CF5" s="20" t="str">
        <f>IFERROR(__xludf.DUMMYFUNCTION("""COMPUTED_VALUE"""),"Trading Account")</f>
        <v>Trading Account</v>
      </c>
      <c r="CG5" s="20" t="str">
        <f>IFERROR(__xludf.DUMMYFUNCTION("""COMPUTED_VALUE"""),"Transaction Levy")</f>
        <v>Transaction Levy</v>
      </c>
      <c r="CH5" s="20" t="str">
        <f>IFERROR(__xludf.DUMMYFUNCTION("""COMPUTED_VALUE"""),"Transaction Source")</f>
        <v>Transaction Source</v>
      </c>
      <c r="CI5" s="20" t="str">
        <f>IFERROR(__xludf.DUMMYFUNCTION("""COMPUTED_VALUE"""),"Transaction Type")</f>
        <v>Transaction Type</v>
      </c>
      <c r="CJ5" s="20" t="str">
        <f>IFERROR(__xludf.DUMMYFUNCTION("""COMPUTED_VALUE"""),"UnAllocatedQty")</f>
        <v>UnAllocatedQty</v>
      </c>
      <c r="CK5" s="20" t="str">
        <f>IFERROR(__xludf.DUMMYFUNCTION("""COMPUTED_VALUE"""),"Underlying")</f>
        <v>Underlying</v>
      </c>
      <c r="CL5" s="20" t="str">
        <f>IFERROR(__xludf.DUMMYFUNCTION("""COMPUTED_VALUE"""),"Underlying Delta")</f>
        <v>Underlying Delta</v>
      </c>
      <c r="CM5" s="20" t="str">
        <f>IFERROR(__xludf.DUMMYFUNCTION("""COMPUTED_VALUE"""),"Underlying Symbol")</f>
        <v>Underlying Symbol</v>
      </c>
      <c r="CN5" s="20" t="str">
        <f>IFERROR(__xludf.DUMMYFUNCTION("""COMPUTED_VALUE"""),"User")</f>
        <v>User</v>
      </c>
      <c r="CO5" s="20" t="str">
        <f>IFERROR(__xludf.DUMMYFUNCTION("""COMPUTED_VALUE"""),"Venue")</f>
        <v>Venue</v>
      </c>
      <c r="CP5" s="20" t="str">
        <f>IFERROR(__xludf.DUMMYFUNCTION("""COMPUTED_VALUE"""),"Closing Method")</f>
        <v>Closing Method</v>
      </c>
      <c r="CQ5" s="20" t="str">
        <f>IFERROR(__xludf.DUMMYFUNCTION("""COMPUTED_VALUE"""),"Closing Date")</f>
        <v>Closing Date</v>
      </c>
      <c r="CR5" s="20" t="str">
        <f>IFERROR(__xludf.DUMMYFUNCTION("""COMPUTED_VALUE"""),"GroupID")</f>
        <v>GroupID</v>
      </c>
      <c r="CS5" s="20" t="str">
        <f>IFERROR(__xludf.DUMMYFUNCTION("""COMPUTED_VALUE"""),"Client")</f>
        <v>Client</v>
      </c>
      <c r="CT5" s="20" t="str">
        <f>IFERROR(__xludf.DUMMYFUNCTION("""COMPUTED_VALUE"""),"Borrow Broker")</f>
        <v>Borrow Broker</v>
      </c>
      <c r="CU5" s="20" t="str">
        <f>IFERROR(__xludf.DUMMYFUNCTION("""COMPUTED_VALUE"""),"ACTIV Symbol")</f>
        <v>ACTIV Symbol</v>
      </c>
      <c r="CV5" s="20" t="str">
        <f>IFERROR(__xludf.DUMMYFUNCTION("""COMPUTED_VALUE"""),"Borrower Id")</f>
        <v>Borrower Id</v>
      </c>
      <c r="CW5" s="20" t="str">
        <f>IFERROR(__xludf.DUMMYFUNCTION("""COMPUTED_VALUE"""),"Borrow Rate(%)")</f>
        <v>Borrow Rate(%)</v>
      </c>
      <c r="CX5" s="20" t="str">
        <f>IFERROR(__xludf.DUMMYFUNCTION("""COMPUTED_VALUE"""),"Master Fund")</f>
        <v>Master Fund</v>
      </c>
      <c r="CY5" s="20" t="str">
        <f>IFERROR(__xludf.DUMMYFUNCTION("""COMPUTED_VALUE"""),"MandatoryColumn")</f>
        <v>MandatoryColumn</v>
      </c>
      <c r="CZ5" s="20" t="str">
        <f>IFERROR(__xludf.DUMMYFUNCTION("""COMPUTED_VALUE"""),"Testing Type")</f>
        <v>Testing Type</v>
      </c>
      <c r="DA5" s="20" t="str">
        <f>IFERROR(__xludf.DUMMYFUNCTION("""COMPUTED_VALUE"""),"Testing Column")</f>
        <v>Testing Column</v>
      </c>
      <c r="DB5" s="20" t="str">
        <f>IFERROR(__xludf.DUMMYFUNCTION("""COMPUTED_VALUE"""),"Testing Col Value")</f>
        <v>Testing Col Value</v>
      </c>
      <c r="DC5" s="20" t="str">
        <f>IFERROR(__xludf.DUMMYFUNCTION("""COMPUTED_VALUE"""),"DuplicateRow")</f>
        <v>DuplicateRow</v>
      </c>
      <c r="DD5" s="20" t="str">
        <f>IFERROR(__xludf.DUMMYFUNCTION("""COMPUTED_VALUE"""),"DuplicateCountOnUI")</f>
        <v>DuplicateCountOnUI</v>
      </c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</row>
    <row r="6" ht="15.75" customHeight="1">
      <c r="A6" s="4" t="s">
        <v>46</v>
      </c>
      <c r="B6" s="7" t="s">
        <v>21</v>
      </c>
      <c r="C6" s="7" t="s">
        <v>47</v>
      </c>
      <c r="D6" s="4"/>
      <c r="E6" s="22">
        <v>5000.0</v>
      </c>
      <c r="F6" s="7" t="s">
        <v>71</v>
      </c>
      <c r="G6" s="7" t="s">
        <v>48</v>
      </c>
      <c r="H6" s="22">
        <v>4.0</v>
      </c>
      <c r="I6" s="22">
        <v>5.0</v>
      </c>
      <c r="J6" s="22">
        <v>1.0</v>
      </c>
      <c r="K6" s="22">
        <v>10.0</v>
      </c>
      <c r="L6" s="22">
        <v>10.0</v>
      </c>
      <c r="M6" s="7" t="s">
        <v>49</v>
      </c>
      <c r="N6" s="7" t="s">
        <v>50</v>
      </c>
      <c r="O6" s="7" t="s">
        <v>51</v>
      </c>
      <c r="P6" s="4"/>
      <c r="Q6" s="4">
        <v>3.0</v>
      </c>
      <c r="R6" s="4"/>
      <c r="S6" s="4"/>
      <c r="T6" s="4"/>
      <c r="U6" s="4"/>
      <c r="V6" s="4" t="s">
        <v>52</v>
      </c>
      <c r="W6" s="4"/>
      <c r="X6" s="4"/>
      <c r="Y6" s="4"/>
      <c r="Z6" s="4" t="s">
        <v>53</v>
      </c>
      <c r="AA6" s="4" t="s">
        <v>19</v>
      </c>
      <c r="AB6" s="23">
        <v>1.0</v>
      </c>
      <c r="AC6" s="4"/>
      <c r="AD6" s="4" t="s">
        <v>54</v>
      </c>
      <c r="AE6" s="23">
        <v>5000.0</v>
      </c>
      <c r="AF6" s="4" t="s">
        <v>46</v>
      </c>
      <c r="AG6" s="4"/>
      <c r="AH6" s="4" t="s">
        <v>55</v>
      </c>
      <c r="AI6" s="23">
        <v>1.0</v>
      </c>
      <c r="AJ6" s="4"/>
      <c r="AK6" s="4"/>
      <c r="AL6" s="4"/>
      <c r="AM6" s="4"/>
      <c r="AN6" s="4"/>
      <c r="AO6" s="4"/>
      <c r="AP6" s="4"/>
      <c r="AQ6" s="4"/>
      <c r="AR6" s="4"/>
      <c r="AS6" s="23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3">
        <v>10000.0</v>
      </c>
      <c r="BK6" s="4"/>
      <c r="BL6" s="4" t="s">
        <v>46</v>
      </c>
      <c r="BM6" s="4" t="s">
        <v>53</v>
      </c>
      <c r="BN6" s="4"/>
      <c r="BO6" s="4" t="s">
        <v>22</v>
      </c>
      <c r="BP6" s="23">
        <v>0.0</v>
      </c>
      <c r="BQ6" s="23">
        <v>0.0</v>
      </c>
      <c r="BR6" s="23"/>
      <c r="BS6" s="4" t="s">
        <v>56</v>
      </c>
      <c r="BT6" s="4" t="s">
        <v>19</v>
      </c>
      <c r="BU6" s="4"/>
      <c r="BV6" s="4"/>
      <c r="BW6" s="4">
        <v>14.03</v>
      </c>
      <c r="BX6" s="4"/>
      <c r="BY6" s="4" t="s">
        <v>46</v>
      </c>
      <c r="BZ6" s="4" t="s">
        <v>46</v>
      </c>
      <c r="CA6" s="4" t="s">
        <v>46</v>
      </c>
      <c r="CB6" s="4" t="s">
        <v>46</v>
      </c>
      <c r="CC6" s="4" t="s">
        <v>46</v>
      </c>
      <c r="CD6" s="4" t="s">
        <v>46</v>
      </c>
      <c r="CE6" s="4" t="s">
        <v>57</v>
      </c>
      <c r="CF6" s="4" t="s">
        <v>58</v>
      </c>
      <c r="CG6" s="23">
        <v>2.0</v>
      </c>
      <c r="CH6" s="4" t="s">
        <v>17</v>
      </c>
      <c r="CI6" s="4" t="s">
        <v>22</v>
      </c>
      <c r="CJ6" s="4"/>
      <c r="CK6" s="4" t="s">
        <v>59</v>
      </c>
      <c r="CL6" s="23">
        <v>1.0</v>
      </c>
      <c r="CM6" s="4" t="s">
        <v>19</v>
      </c>
      <c r="CN6" s="4" t="s">
        <v>60</v>
      </c>
      <c r="CO6" s="4" t="s">
        <v>54</v>
      </c>
      <c r="CP6" s="4" t="s">
        <v>61</v>
      </c>
      <c r="CQ6" s="4"/>
      <c r="CR6" s="4"/>
      <c r="CS6" s="4" t="s">
        <v>46</v>
      </c>
      <c r="CT6" s="4"/>
      <c r="CU6" s="4"/>
      <c r="CV6" s="4"/>
      <c r="CW6" s="4"/>
      <c r="CX6" s="4" t="s">
        <v>62</v>
      </c>
      <c r="CY6" s="4" t="s">
        <v>46</v>
      </c>
      <c r="CZ6" s="4" t="s">
        <v>46</v>
      </c>
      <c r="DA6" s="4" t="s">
        <v>46</v>
      </c>
      <c r="DB6" s="4" t="s">
        <v>46</v>
      </c>
      <c r="DC6" s="4" t="s">
        <v>46</v>
      </c>
      <c r="DD6" s="4" t="s">
        <v>46</v>
      </c>
      <c r="DE6" s="4" t="s">
        <v>46</v>
      </c>
      <c r="DF6" s="4" t="s">
        <v>46</v>
      </c>
      <c r="DG6" s="4" t="s">
        <v>46</v>
      </c>
      <c r="DH6" s="4" t="s">
        <v>46</v>
      </c>
      <c r="DI6" s="4" t="s">
        <v>46</v>
      </c>
      <c r="DJ6" s="4" t="s">
        <v>46</v>
      </c>
      <c r="DK6" s="4" t="s">
        <v>46</v>
      </c>
      <c r="DL6" s="4" t="s">
        <v>46</v>
      </c>
      <c r="DM6" s="4" t="s">
        <v>46</v>
      </c>
      <c r="DN6" s="4" t="s">
        <v>46</v>
      </c>
      <c r="DO6" s="4" t="s">
        <v>46</v>
      </c>
      <c r="DP6" s="4" t="s">
        <v>46</v>
      </c>
      <c r="DQ6" s="4" t="s">
        <v>46</v>
      </c>
      <c r="DR6" s="4" t="s">
        <v>46</v>
      </c>
      <c r="DS6" s="4" t="s">
        <v>46</v>
      </c>
      <c r="DT6" s="4" t="s">
        <v>46</v>
      </c>
      <c r="DU6" s="4" t="s">
        <v>46</v>
      </c>
      <c r="DV6" s="4" t="s">
        <v>46</v>
      </c>
      <c r="DW6" s="4" t="s">
        <v>46</v>
      </c>
      <c r="DX6" s="4" t="s">
        <v>46</v>
      </c>
      <c r="DY6" s="4" t="s">
        <v>46</v>
      </c>
      <c r="DZ6" s="4" t="s">
        <v>46</v>
      </c>
      <c r="EA6" s="4" t="s">
        <v>46</v>
      </c>
      <c r="EB6" s="4" t="s">
        <v>46</v>
      </c>
      <c r="EC6" s="4" t="s">
        <v>46</v>
      </c>
      <c r="ED6" s="4" t="s">
        <v>46</v>
      </c>
      <c r="EE6" s="4" t="s">
        <v>46</v>
      </c>
      <c r="EF6" s="4" t="s">
        <v>46</v>
      </c>
      <c r="EG6" s="4" t="s">
        <v>46</v>
      </c>
      <c r="EH6" s="4" t="s">
        <v>46</v>
      </c>
      <c r="EI6" s="4" t="s">
        <v>46</v>
      </c>
      <c r="EJ6" s="4" t="s">
        <v>46</v>
      </c>
      <c r="EK6" s="4" t="s">
        <v>46</v>
      </c>
      <c r="EL6" s="4" t="s">
        <v>46</v>
      </c>
      <c r="EM6" s="4" t="s">
        <v>46</v>
      </c>
      <c r="EN6" s="4" t="s">
        <v>46</v>
      </c>
      <c r="EO6" s="4" t="s">
        <v>46</v>
      </c>
      <c r="EP6" s="4" t="s">
        <v>46</v>
      </c>
      <c r="EQ6" s="4" t="s">
        <v>46</v>
      </c>
      <c r="ER6" s="4" t="s">
        <v>46</v>
      </c>
      <c r="ES6" s="4" t="s">
        <v>46</v>
      </c>
      <c r="ET6" s="4" t="s">
        <v>46</v>
      </c>
      <c r="EU6" s="4" t="s">
        <v>46</v>
      </c>
      <c r="EV6" s="4" t="s">
        <v>46</v>
      </c>
      <c r="EW6" s="4" t="s">
        <v>46</v>
      </c>
      <c r="EX6" s="4" t="s">
        <v>46</v>
      </c>
      <c r="EY6" s="4" t="s">
        <v>46</v>
      </c>
      <c r="EZ6" s="4" t="s">
        <v>46</v>
      </c>
      <c r="FA6" s="4" t="s">
        <v>46</v>
      </c>
      <c r="FB6" s="4" t="s">
        <v>46</v>
      </c>
      <c r="FC6" s="4" t="s">
        <v>46</v>
      </c>
      <c r="FD6" s="4" t="s">
        <v>46</v>
      </c>
      <c r="FE6" s="4" t="s">
        <v>46</v>
      </c>
      <c r="FF6" s="4" t="s">
        <v>46</v>
      </c>
      <c r="FG6" s="4" t="s">
        <v>46</v>
      </c>
      <c r="FH6" s="4" t="s">
        <v>46</v>
      </c>
      <c r="FI6" s="4" t="s">
        <v>46</v>
      </c>
      <c r="FJ6" s="4" t="s">
        <v>46</v>
      </c>
      <c r="FK6" s="4" t="s">
        <v>46</v>
      </c>
      <c r="FL6" s="4" t="s">
        <v>46</v>
      </c>
      <c r="FM6" s="4" t="s">
        <v>46</v>
      </c>
      <c r="FN6" s="4" t="s">
        <v>46</v>
      </c>
      <c r="FO6" s="4" t="s">
        <v>46</v>
      </c>
      <c r="FP6" s="4" t="s">
        <v>46</v>
      </c>
      <c r="FQ6" s="4" t="s">
        <v>46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46</v>
      </c>
      <c r="B7" s="7" t="s">
        <v>63</v>
      </c>
      <c r="C7" s="7" t="s">
        <v>47</v>
      </c>
      <c r="D7" s="4"/>
      <c r="E7" s="22">
        <v>2500.0</v>
      </c>
      <c r="F7" s="7" t="s">
        <v>71</v>
      </c>
      <c r="G7" s="7" t="s">
        <v>48</v>
      </c>
      <c r="H7" s="22">
        <v>4.0</v>
      </c>
      <c r="I7" s="22">
        <v>5.0</v>
      </c>
      <c r="J7" s="22">
        <v>1.0</v>
      </c>
      <c r="K7" s="22">
        <v>10.0</v>
      </c>
      <c r="L7" s="22">
        <v>10.0</v>
      </c>
      <c r="M7" s="7" t="s">
        <v>49</v>
      </c>
      <c r="N7" s="7" t="s">
        <v>50</v>
      </c>
      <c r="O7" s="7" t="s">
        <v>51</v>
      </c>
      <c r="P7" s="4"/>
      <c r="Q7" s="4">
        <v>3.0</v>
      </c>
      <c r="R7" s="4"/>
      <c r="S7" s="4"/>
      <c r="T7" s="4"/>
      <c r="U7" s="4"/>
      <c r="V7" s="4" t="s">
        <v>52</v>
      </c>
      <c r="W7" s="4"/>
      <c r="X7" s="4"/>
      <c r="Y7" s="4"/>
      <c r="Z7" s="4" t="s">
        <v>53</v>
      </c>
      <c r="AA7" s="4" t="s">
        <v>19</v>
      </c>
      <c r="AB7" s="23">
        <v>1.0</v>
      </c>
      <c r="AC7" s="4"/>
      <c r="AD7" s="4" t="s">
        <v>54</v>
      </c>
      <c r="AE7" s="23">
        <v>2500.0</v>
      </c>
      <c r="AF7" s="4" t="s">
        <v>46</v>
      </c>
      <c r="AG7" s="4"/>
      <c r="AH7" s="4" t="s">
        <v>55</v>
      </c>
      <c r="AI7" s="23">
        <v>1.0</v>
      </c>
      <c r="AJ7" s="4"/>
      <c r="AK7" s="4"/>
      <c r="AL7" s="4"/>
      <c r="AM7" s="4"/>
      <c r="AN7" s="4"/>
      <c r="AO7" s="4"/>
      <c r="AP7" s="4"/>
      <c r="AQ7" s="4"/>
      <c r="AR7" s="4"/>
      <c r="AS7" s="23">
        <v>0.0</v>
      </c>
      <c r="AT7" s="33">
        <v>25014.01</v>
      </c>
      <c r="AU7" s="33">
        <v>25014.01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>
        <v>25000.0</v>
      </c>
      <c r="BF7" s="4">
        <v>25000.0</v>
      </c>
      <c r="BG7" s="4"/>
      <c r="BH7" s="4"/>
      <c r="BI7" s="4"/>
      <c r="BJ7" s="23">
        <v>10000.0</v>
      </c>
      <c r="BK7" s="4"/>
      <c r="BL7" s="4" t="s">
        <v>46</v>
      </c>
      <c r="BM7" s="4" t="s">
        <v>53</v>
      </c>
      <c r="BN7" s="4"/>
      <c r="BO7" s="4" t="s">
        <v>22</v>
      </c>
      <c r="BP7" s="23">
        <v>0.0</v>
      </c>
      <c r="BQ7" s="23">
        <v>0.0</v>
      </c>
      <c r="BR7" s="23"/>
      <c r="BS7" s="4" t="s">
        <v>56</v>
      </c>
      <c r="BT7" s="4" t="s">
        <v>19</v>
      </c>
      <c r="BU7" s="4"/>
      <c r="BV7" s="4"/>
      <c r="BW7" s="33">
        <v>14.01</v>
      </c>
      <c r="BX7" s="4"/>
      <c r="BY7" s="4" t="s">
        <v>46</v>
      </c>
      <c r="BZ7" s="4" t="s">
        <v>46</v>
      </c>
      <c r="CA7" s="4" t="s">
        <v>46</v>
      </c>
      <c r="CB7" s="4" t="s">
        <v>46</v>
      </c>
      <c r="CC7" s="4" t="s">
        <v>46</v>
      </c>
      <c r="CD7" s="4" t="s">
        <v>46</v>
      </c>
      <c r="CE7" s="4" t="s">
        <v>64</v>
      </c>
      <c r="CF7" s="4" t="s">
        <v>58</v>
      </c>
      <c r="CG7" s="23">
        <v>2.0</v>
      </c>
      <c r="CH7" s="4" t="s">
        <v>65</v>
      </c>
      <c r="CI7" s="4" t="s">
        <v>22</v>
      </c>
      <c r="CJ7" s="4"/>
      <c r="CK7" s="4" t="s">
        <v>59</v>
      </c>
      <c r="CL7" s="23">
        <v>1.0</v>
      </c>
      <c r="CM7" s="4" t="s">
        <v>19</v>
      </c>
      <c r="CN7" s="4" t="s">
        <v>60</v>
      </c>
      <c r="CO7" s="4" t="s">
        <v>54</v>
      </c>
      <c r="CP7" s="4" t="s">
        <v>61</v>
      </c>
      <c r="CQ7" s="4"/>
      <c r="CR7" s="4"/>
      <c r="CS7" s="4" t="s">
        <v>46</v>
      </c>
      <c r="CT7" s="4"/>
      <c r="CU7" s="4"/>
      <c r="CV7" s="4"/>
      <c r="CW7" s="4"/>
      <c r="CX7" s="4" t="s">
        <v>63</v>
      </c>
      <c r="CY7" s="4" t="s">
        <v>46</v>
      </c>
      <c r="CZ7" s="4" t="s">
        <v>46</v>
      </c>
      <c r="DA7" s="4" t="s">
        <v>46</v>
      </c>
      <c r="DB7" s="4" t="s">
        <v>46</v>
      </c>
      <c r="DC7" s="4" t="s">
        <v>46</v>
      </c>
      <c r="DD7" s="4" t="s">
        <v>46</v>
      </c>
      <c r="DE7" s="4" t="s">
        <v>46</v>
      </c>
      <c r="DF7" s="4" t="s">
        <v>46</v>
      </c>
      <c r="DG7" s="4" t="s">
        <v>46</v>
      </c>
      <c r="DH7" s="4" t="s">
        <v>46</v>
      </c>
      <c r="DI7" s="4" t="s">
        <v>46</v>
      </c>
      <c r="DJ7" s="4" t="s">
        <v>46</v>
      </c>
      <c r="DK7" s="4" t="s">
        <v>46</v>
      </c>
      <c r="DL7" s="4" t="s">
        <v>46</v>
      </c>
      <c r="DM7" s="4" t="s">
        <v>46</v>
      </c>
      <c r="DN7" s="4" t="s">
        <v>46</v>
      </c>
      <c r="DO7" s="4" t="s">
        <v>46</v>
      </c>
      <c r="DP7" s="4" t="s">
        <v>46</v>
      </c>
      <c r="DQ7" s="4" t="s">
        <v>46</v>
      </c>
      <c r="DR7" s="4" t="s">
        <v>46</v>
      </c>
      <c r="DS7" s="4" t="s">
        <v>46</v>
      </c>
      <c r="DT7" s="4" t="s">
        <v>46</v>
      </c>
      <c r="DU7" s="4" t="s">
        <v>46</v>
      </c>
      <c r="DV7" s="4" t="s">
        <v>46</v>
      </c>
      <c r="DW7" s="4" t="s">
        <v>46</v>
      </c>
      <c r="DX7" s="4" t="s">
        <v>46</v>
      </c>
      <c r="DY7" s="4" t="s">
        <v>46</v>
      </c>
      <c r="DZ7" s="4" t="s">
        <v>46</v>
      </c>
      <c r="EA7" s="4" t="s">
        <v>46</v>
      </c>
      <c r="EB7" s="4" t="s">
        <v>46</v>
      </c>
      <c r="EC7" s="4" t="s">
        <v>46</v>
      </c>
      <c r="ED7" s="4" t="s">
        <v>46</v>
      </c>
      <c r="EE7" s="4" t="s">
        <v>46</v>
      </c>
      <c r="EF7" s="4" t="s">
        <v>46</v>
      </c>
      <c r="EG7" s="4" t="s">
        <v>46</v>
      </c>
      <c r="EH7" s="4" t="s">
        <v>46</v>
      </c>
      <c r="EI7" s="4" t="s">
        <v>46</v>
      </c>
      <c r="EJ7" s="4" t="s">
        <v>46</v>
      </c>
      <c r="EK7" s="4" t="s">
        <v>46</v>
      </c>
      <c r="EL7" s="4" t="s">
        <v>46</v>
      </c>
      <c r="EM7" s="4" t="s">
        <v>46</v>
      </c>
      <c r="EN7" s="4" t="s">
        <v>46</v>
      </c>
      <c r="EO7" s="4" t="s">
        <v>46</v>
      </c>
      <c r="EP7" s="4" t="s">
        <v>46</v>
      </c>
      <c r="EQ7" s="4" t="s">
        <v>46</v>
      </c>
      <c r="ER7" s="4" t="s">
        <v>46</v>
      </c>
      <c r="ES7" s="4" t="s">
        <v>46</v>
      </c>
      <c r="ET7" s="4" t="s">
        <v>46</v>
      </c>
      <c r="EU7" s="4" t="s">
        <v>46</v>
      </c>
      <c r="EV7" s="4" t="s">
        <v>46</v>
      </c>
      <c r="EW7" s="4" t="s">
        <v>46</v>
      </c>
      <c r="EX7" s="4" t="s">
        <v>46</v>
      </c>
      <c r="EY7" s="4" t="s">
        <v>46</v>
      </c>
      <c r="EZ7" s="4" t="s">
        <v>46</v>
      </c>
      <c r="FA7" s="4" t="s">
        <v>46</v>
      </c>
      <c r="FB7" s="4" t="s">
        <v>46</v>
      </c>
      <c r="FC7" s="4" t="s">
        <v>46</v>
      </c>
      <c r="FD7" s="4" t="s">
        <v>46</v>
      </c>
      <c r="FE7" s="4" t="s">
        <v>46</v>
      </c>
      <c r="FF7" s="4" t="s">
        <v>46</v>
      </c>
      <c r="FG7" s="4" t="s">
        <v>46</v>
      </c>
      <c r="FH7" s="4" t="s">
        <v>46</v>
      </c>
      <c r="FI7" s="4" t="s">
        <v>46</v>
      </c>
      <c r="FJ7" s="4" t="s">
        <v>46</v>
      </c>
      <c r="FK7" s="4" t="s">
        <v>46</v>
      </c>
      <c r="FL7" s="4" t="s">
        <v>46</v>
      </c>
      <c r="FM7" s="4" t="s">
        <v>46</v>
      </c>
      <c r="FN7" s="4" t="s">
        <v>46</v>
      </c>
      <c r="FO7" s="4" t="s">
        <v>46</v>
      </c>
      <c r="FP7" s="4" t="s">
        <v>46</v>
      </c>
      <c r="FQ7" s="4" t="s">
        <v>46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4" t="s">
        <v>46</v>
      </c>
      <c r="B8" s="7" t="s">
        <v>63</v>
      </c>
      <c r="C8" s="7" t="s">
        <v>47</v>
      </c>
      <c r="D8" s="4"/>
      <c r="E8" s="22">
        <v>100.0</v>
      </c>
      <c r="F8" s="7" t="s">
        <v>71</v>
      </c>
      <c r="G8" s="7" t="s">
        <v>48</v>
      </c>
      <c r="H8" s="22">
        <v>4.0</v>
      </c>
      <c r="I8" s="22">
        <v>5.0</v>
      </c>
      <c r="J8" s="22">
        <v>1.0</v>
      </c>
      <c r="K8" s="22">
        <v>10.0</v>
      </c>
      <c r="L8" s="22">
        <v>10.0</v>
      </c>
      <c r="M8" s="7" t="s">
        <v>49</v>
      </c>
      <c r="N8" s="7" t="s">
        <v>50</v>
      </c>
      <c r="O8" s="7" t="s">
        <v>51</v>
      </c>
      <c r="P8" s="4"/>
      <c r="Q8" s="4">
        <v>3.0</v>
      </c>
      <c r="R8" s="4"/>
      <c r="S8" s="4"/>
      <c r="T8" s="4"/>
      <c r="U8" s="4"/>
      <c r="V8" s="4" t="s">
        <v>52</v>
      </c>
      <c r="W8" s="4"/>
      <c r="X8" s="4"/>
      <c r="Y8" s="4"/>
      <c r="Z8" s="4" t="s">
        <v>53</v>
      </c>
      <c r="AA8" s="4" t="s">
        <v>19</v>
      </c>
      <c r="AB8" s="23">
        <v>1.0</v>
      </c>
      <c r="AC8" s="4"/>
      <c r="AD8" s="4" t="s">
        <v>54</v>
      </c>
      <c r="AE8" s="23">
        <v>100.0</v>
      </c>
      <c r="AF8" s="4" t="s">
        <v>46</v>
      </c>
      <c r="AG8" s="4"/>
      <c r="AH8" s="4" t="s">
        <v>55</v>
      </c>
      <c r="AI8" s="23">
        <v>1.0</v>
      </c>
      <c r="AJ8" s="4"/>
      <c r="AK8" s="4"/>
      <c r="AL8" s="4"/>
      <c r="AM8" s="4"/>
      <c r="AN8" s="4"/>
      <c r="AO8" s="4"/>
      <c r="AP8" s="4"/>
      <c r="AQ8" s="4"/>
      <c r="AR8" s="4"/>
      <c r="AS8" s="23">
        <v>0.0</v>
      </c>
      <c r="AT8" s="4">
        <v>1014.0</v>
      </c>
      <c r="AU8" s="4">
        <v>1014.0</v>
      </c>
      <c r="AV8" s="4"/>
      <c r="AW8" s="4"/>
      <c r="AX8" s="4"/>
      <c r="AY8" s="4" t="s">
        <v>24</v>
      </c>
      <c r="AZ8" s="4"/>
      <c r="BA8" s="4"/>
      <c r="BB8" s="4"/>
      <c r="BC8" s="4"/>
      <c r="BD8" s="4"/>
      <c r="BE8" s="4">
        <v>1000.0</v>
      </c>
      <c r="BF8" s="4">
        <v>1000.0</v>
      </c>
      <c r="BG8" s="4"/>
      <c r="BH8" s="4"/>
      <c r="BI8" s="4"/>
      <c r="BJ8" s="23">
        <v>10000.0</v>
      </c>
      <c r="BK8" s="4"/>
      <c r="BL8" s="4" t="s">
        <v>46</v>
      </c>
      <c r="BM8" s="4" t="s">
        <v>53</v>
      </c>
      <c r="BN8" s="4"/>
      <c r="BO8" s="4" t="s">
        <v>22</v>
      </c>
      <c r="BP8" s="23">
        <v>0.0</v>
      </c>
      <c r="BQ8" s="23">
        <v>0.0</v>
      </c>
      <c r="BR8" s="23"/>
      <c r="BS8" s="4" t="s">
        <v>56</v>
      </c>
      <c r="BT8" s="4" t="s">
        <v>19</v>
      </c>
      <c r="BU8" s="4"/>
      <c r="BV8" s="4"/>
      <c r="BW8" s="4">
        <v>14.0</v>
      </c>
      <c r="BX8" s="4"/>
      <c r="BY8" s="4" t="s">
        <v>46</v>
      </c>
      <c r="BZ8" s="4" t="s">
        <v>46</v>
      </c>
      <c r="CA8" s="4" t="s">
        <v>46</v>
      </c>
      <c r="CB8" s="4" t="s">
        <v>46</v>
      </c>
      <c r="CC8" s="4" t="s">
        <v>46</v>
      </c>
      <c r="CD8" s="4" t="s">
        <v>46</v>
      </c>
      <c r="CE8" s="4" t="s">
        <v>72</v>
      </c>
      <c r="CF8" s="4" t="s">
        <v>58</v>
      </c>
      <c r="CG8" s="23">
        <v>2.0</v>
      </c>
      <c r="CH8" s="4" t="s">
        <v>65</v>
      </c>
      <c r="CI8" s="4" t="s">
        <v>22</v>
      </c>
      <c r="CJ8" s="4"/>
      <c r="CK8" s="4" t="s">
        <v>59</v>
      </c>
      <c r="CL8" s="23">
        <v>1.0</v>
      </c>
      <c r="CM8" s="4" t="s">
        <v>19</v>
      </c>
      <c r="CN8" s="4" t="s">
        <v>60</v>
      </c>
      <c r="CO8" s="4" t="s">
        <v>54</v>
      </c>
      <c r="CP8" s="4" t="s">
        <v>61</v>
      </c>
      <c r="CQ8" s="4"/>
      <c r="CR8" s="4"/>
      <c r="CS8" s="4" t="s">
        <v>46</v>
      </c>
      <c r="CT8" s="4"/>
      <c r="CU8" s="4"/>
      <c r="CV8" s="4"/>
      <c r="CW8" s="4"/>
      <c r="CX8" s="4" t="s">
        <v>63</v>
      </c>
      <c r="CY8" s="4" t="s">
        <v>46</v>
      </c>
      <c r="CZ8" s="4" t="s">
        <v>46</v>
      </c>
      <c r="DA8" s="4" t="s">
        <v>46</v>
      </c>
      <c r="DB8" s="4" t="s">
        <v>46</v>
      </c>
      <c r="DC8" s="4" t="s">
        <v>46</v>
      </c>
      <c r="DD8" s="4" t="s">
        <v>46</v>
      </c>
      <c r="DE8" s="4" t="s">
        <v>46</v>
      </c>
      <c r="DF8" s="4" t="s">
        <v>46</v>
      </c>
      <c r="DG8" s="4" t="s">
        <v>46</v>
      </c>
      <c r="DH8" s="4" t="s">
        <v>46</v>
      </c>
      <c r="DI8" s="4" t="s">
        <v>46</v>
      </c>
      <c r="DJ8" s="4" t="s">
        <v>46</v>
      </c>
      <c r="DK8" s="4" t="s">
        <v>46</v>
      </c>
      <c r="DL8" s="4" t="s">
        <v>46</v>
      </c>
      <c r="DM8" s="4" t="s">
        <v>46</v>
      </c>
      <c r="DN8" s="4" t="s">
        <v>46</v>
      </c>
      <c r="DO8" s="4" t="s">
        <v>46</v>
      </c>
      <c r="DP8" s="4" t="s">
        <v>46</v>
      </c>
      <c r="DQ8" s="4" t="s">
        <v>46</v>
      </c>
      <c r="DR8" s="4" t="s">
        <v>46</v>
      </c>
      <c r="DS8" s="4" t="s">
        <v>46</v>
      </c>
      <c r="DT8" s="4" t="s">
        <v>46</v>
      </c>
      <c r="DU8" s="4" t="s">
        <v>46</v>
      </c>
      <c r="DV8" s="4" t="s">
        <v>46</v>
      </c>
      <c r="DW8" s="4" t="s">
        <v>46</v>
      </c>
      <c r="DX8" s="4" t="s">
        <v>46</v>
      </c>
      <c r="DY8" s="4" t="s">
        <v>46</v>
      </c>
      <c r="DZ8" s="4" t="s">
        <v>46</v>
      </c>
      <c r="EA8" s="4" t="s">
        <v>46</v>
      </c>
      <c r="EB8" s="4" t="s">
        <v>46</v>
      </c>
      <c r="EC8" s="4" t="s">
        <v>46</v>
      </c>
      <c r="ED8" s="4" t="s">
        <v>46</v>
      </c>
      <c r="EE8" s="4" t="s">
        <v>46</v>
      </c>
      <c r="EF8" s="4" t="s">
        <v>46</v>
      </c>
      <c r="EG8" s="4" t="s">
        <v>46</v>
      </c>
      <c r="EH8" s="4" t="s">
        <v>46</v>
      </c>
      <c r="EI8" s="4" t="s">
        <v>46</v>
      </c>
      <c r="EJ8" s="4" t="s">
        <v>46</v>
      </c>
      <c r="EK8" s="4" t="s">
        <v>46</v>
      </c>
      <c r="EL8" s="4" t="s">
        <v>46</v>
      </c>
      <c r="EM8" s="4" t="s">
        <v>46</v>
      </c>
      <c r="EN8" s="4" t="s">
        <v>46</v>
      </c>
      <c r="EO8" s="4" t="s">
        <v>46</v>
      </c>
      <c r="EP8" s="4" t="s">
        <v>46</v>
      </c>
      <c r="EQ8" s="4" t="s">
        <v>46</v>
      </c>
      <c r="ER8" s="4" t="s">
        <v>46</v>
      </c>
      <c r="ES8" s="4" t="s">
        <v>46</v>
      </c>
      <c r="ET8" s="4" t="s">
        <v>46</v>
      </c>
      <c r="EU8" s="4" t="s">
        <v>46</v>
      </c>
      <c r="EV8" s="4" t="s">
        <v>46</v>
      </c>
      <c r="EW8" s="4" t="s">
        <v>46</v>
      </c>
      <c r="EX8" s="4" t="s">
        <v>46</v>
      </c>
      <c r="EY8" s="4" t="s">
        <v>46</v>
      </c>
      <c r="EZ8" s="4" t="s">
        <v>46</v>
      </c>
      <c r="FA8" s="4" t="s">
        <v>46</v>
      </c>
      <c r="FB8" s="4" t="s">
        <v>46</v>
      </c>
      <c r="FC8" s="4" t="s">
        <v>46</v>
      </c>
      <c r="FD8" s="4" t="s">
        <v>46</v>
      </c>
      <c r="FE8" s="4" t="s">
        <v>46</v>
      </c>
      <c r="FF8" s="4" t="s">
        <v>46</v>
      </c>
      <c r="FG8" s="4" t="s">
        <v>46</v>
      </c>
      <c r="FH8" s="4" t="s">
        <v>46</v>
      </c>
      <c r="FI8" s="4" t="s">
        <v>46</v>
      </c>
      <c r="FJ8" s="4" t="s">
        <v>46</v>
      </c>
      <c r="FK8" s="4" t="s">
        <v>46</v>
      </c>
      <c r="FL8" s="4" t="s">
        <v>46</v>
      </c>
      <c r="FM8" s="4" t="s">
        <v>46</v>
      </c>
      <c r="FN8" s="4" t="s">
        <v>46</v>
      </c>
      <c r="FO8" s="4" t="s">
        <v>46</v>
      </c>
      <c r="FP8" s="4" t="s">
        <v>46</v>
      </c>
      <c r="FQ8" s="4" t="s">
        <v>46</v>
      </c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37</v>
      </c>
      <c r="D3" s="5" t="s">
        <v>9</v>
      </c>
      <c r="E3" s="10" t="s">
        <v>38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</row>
    <row r="4" ht="15.75" customHeight="1">
      <c r="A4" s="17"/>
      <c r="B4" s="17" t="str">
        <f>IFERROR(__xludf.DUMMYFUNCTION("IF(C3="""","""",Transpose(IMPORTRANGE('_Settings'!$B$3,C3&amp;""!A4:A1000"")))"),"SetTTUIPreferences")</f>
        <v>SetTTUIPreferences</v>
      </c>
      <c r="C4" s="17" t="str">
        <f>IFERROR(__xludf.DUMMYFUNCTION("""COMPUTED_VALUE"""),"TTPermissionLevel")</f>
        <v>TTPermissionLevel</v>
      </c>
      <c r="D4" s="17" t="str">
        <f>IFERROR(__xludf.DUMMYFUNCTION("""COMPUTED_VALUE"""),"SetCheckSide")</f>
        <v>SetCheckSide</v>
      </c>
      <c r="E4" s="17" t="str">
        <f>IFERROR(__xludf.DUMMYFUNCTION("""COMPUTED_VALUE"""),"SetRollover")</f>
        <v>SetRollover</v>
      </c>
      <c r="F4" s="17" t="str">
        <f>IFERROR(__xludf.DUMMYFUNCTION("""COMPUTED_VALUE"""),"SetActive")</f>
        <v>SetActive</v>
      </c>
      <c r="G4" s="17" t="str">
        <f>IFERROR(__xludf.DUMMYFUNCTION("""COMPUTED_VALUE"""),"SetThirdPartyFormat")</f>
        <v>SetThirdPartyFormat</v>
      </c>
      <c r="H4" s="17" t="str">
        <f>IFERROR(__xludf.DUMMYFUNCTION("""COMPUTED_VALUE"""),"UpdateRoundLot")</f>
        <v>UpdateRoundLot</v>
      </c>
      <c r="I4" s="17" t="str">
        <f>IFERROR(__xludf.DUMMYFUNCTION("""COMPUTED_VALUE"""),"SetTradingComplianceRules")</f>
        <v>SetTradingComplianceRules</v>
      </c>
      <c r="J4" s="17" t="str">
        <f>IFERROR(__xludf.DUMMYFUNCTION("""COMPUTED_VALUE"""),"EnableBreakdownRealizedPNL")</f>
        <v>EnableBreakdownRealizedPNL</v>
      </c>
      <c r="K4" s="17" t="str">
        <f>IFERROR(__xludf.DUMMYFUNCTION("""COMPUTED_VALUE"""),"SetTTGeneralPreferences")</f>
        <v>SetTTGeneralPreferences</v>
      </c>
      <c r="L4" s="17" t="str">
        <f>IFERROR(__xludf.DUMMYFUNCTION("""COMPUTED_VALUE"""),"SetDollarAmountPermission")</f>
        <v>SetDollarAmountPermission</v>
      </c>
      <c r="M4" s="17" t="str">
        <f>IFERROR(__xludf.DUMMYFUNCTION("""COMPUTED_VALUE"""),"EnableDisableModule")</f>
        <v>EnableDisableModule</v>
      </c>
      <c r="N4" s="17" t="str">
        <f>IFERROR(__xludf.DUMMYFUNCTION("""COMPUTED_VALUE"""),"IsImportOverrideOnShortLocate")</f>
        <v>IsImportOverrideOnShortLocate</v>
      </c>
      <c r="O4" s="17" t="str">
        <f>IFERROR(__xludf.DUMMYFUNCTION("""COMPUTED_VALUE"""),"SetShortLocateStructures")</f>
        <v>SetShortLocateStructures</v>
      </c>
      <c r="P4" s="18" t="str">
        <f>IFERROR(__xludf.DUMMYFUNCTION("""COMPUTED_VALUE"""),"SetComplianceAlert")</f>
        <v>SetComplianceAlert</v>
      </c>
      <c r="Q4" s="18" t="str">
        <f>IFERROR(__xludf.DUMMYFUNCTION("""COMPUTED_VALUE"""),"UpdateExpirationDate")</f>
        <v>UpdateExpirationDate</v>
      </c>
      <c r="R4" s="18" t="str">
        <f>IFERROR(__xludf.DUMMYFUNCTION("""COMPUTED_VALUE"""),"RenameMasterStrategy")</f>
        <v>RenameMasterStrategy</v>
      </c>
      <c r="S4" s="18" t="str">
        <f>IFERROR(__xludf.DUMMYFUNCTION("""COMPUTED_VALUE"""),"SetTTUIAdminPreferences")</f>
        <v>SetTTUIAdminPreferences</v>
      </c>
      <c r="T4" s="18" t="str">
        <f>IFERROR(__xludf.DUMMYFUNCTION("""COMPUTED_VALUE"""),"UpdateSecFee")</f>
        <v>UpdateSecFee</v>
      </c>
      <c r="U4" s="18" t="str">
        <f>IFERROR(__xludf.DUMMYFUNCTION("""COMPUTED_VALUE"""),"UpdateFee")</f>
        <v>UpdateFee</v>
      </c>
      <c r="V4" s="18" t="str">
        <f>IFERROR(__xludf.DUMMYFUNCTION("""COMPUTED_VALUE"""),"RevertingSMSharesOutValue")</f>
        <v>RevertingSMSharesOutValue</v>
      </c>
      <c r="W4" s="18" t="str">
        <f>IFERROR(__xludf.DUMMYFUNCTION("""COMPUTED_VALUE"""),"RestartSQL")</f>
        <v>RestartSQL</v>
      </c>
      <c r="X4" s="18" t="str">
        <f>IFERROR(__xludf.DUMMYFUNCTION("""COMPUTED_VALUE"""),"TradeAuditCleanUp")</f>
        <v>TradeAuditCleanUp</v>
      </c>
      <c r="Y4" s="18" t="str">
        <f>IFERROR(__xludf.DUMMYFUNCTION("""COMPUTED_VALUE"""),"DeleteSymbolFromSM")</f>
        <v>DeleteSymbolFromSM</v>
      </c>
      <c r="Z4" s="18" t="str">
        <f>IFERROR(__xludf.DUMMYFUNCTION("""COMPUTED_VALUE"""),"SetCompliancePermission")</f>
        <v>SetCompliancePermission</v>
      </c>
      <c r="AA4" s="18" t="str">
        <f>IFERROR(__xludf.DUMMYFUNCTION("""COMPUTED_VALUE"""),"SetMasterFundOnTT")</f>
        <v>SetMasterFundOnTT</v>
      </c>
      <c r="AB4" s="18" t="str">
        <f>IFERROR(__xludf.DUMMYFUNCTION("""COMPUTED_VALUE"""),"SetMarketDataProvider")</f>
        <v>SetMarketDataProvider</v>
      </c>
      <c r="AC4" s="18" t="str">
        <f>IFERROR(__xludf.DUMMYFUNCTION("""COMPUTED_VALUE"""),"SetAllocationPreferences")</f>
        <v>SetAllocationPreferences</v>
      </c>
      <c r="AD4" s="18" t="str">
        <f>IFERROR(__xludf.DUMMYFUNCTION("""COMPUTED_VALUE"""),"SetRegularCompliancePermission")</f>
        <v>SetRegularCompliancePermission</v>
      </c>
      <c r="AE4" s="18" t="str">
        <f>IFERROR(__xludf.DUMMYFUNCTION("""COMPUTED_VALUE"""),"SetCommissionRule")</f>
        <v>SetCommissionRule</v>
      </c>
      <c r="AF4" s="18" t="str">
        <f>IFERROR(__xludf.DUMMYFUNCTION("""COMPUTED_VALUE"""),"SetPreTradeCompliancePermission")</f>
        <v>SetPreTradeCompliancePermission</v>
      </c>
      <c r="AG4" s="18" t="str">
        <f>IFERROR(__xludf.DUMMYFUNCTION("""COMPUTED_VALUE"""),"SetAuecExecutingBroker")</f>
        <v>SetAuecExecutingBroker</v>
      </c>
      <c r="AH4" s="18" t="str">
        <f>IFERROR(__xludf.DUMMYFUNCTION("""COMPUTED_VALUE"""),"SetAlgoBroker")</f>
        <v>SetAlgoBroker</v>
      </c>
      <c r="AI4" s="18" t="str">
        <f>IFERROR(__xludf.DUMMYFUNCTION("""COMPUTED_VALUE"""),"EnableAutoGroupingAllocation")</f>
        <v>EnableAutoGroupingAllocation</v>
      </c>
      <c r="AJ4" s="18" t="str">
        <f>IFERROR(__xludf.DUMMYFUNCTION("""COMPUTED_VALUE"""),"ConfigUpdater")</f>
        <v>ConfigUpdater</v>
      </c>
      <c r="AK4" s="18" t="str">
        <f>IFERROR(__xludf.DUMMYFUNCTION("""COMPUTED_VALUE"""),"AccountPermission")</f>
        <v>AccountPermission</v>
      </c>
      <c r="AL4" s="18" t="str">
        <f>IFERROR(__xludf.DUMMYFUNCTION("""COMPUTED_VALUE"""),"BasketPermission")</f>
        <v>BasketPermission</v>
      </c>
      <c r="AM4" s="18" t="str">
        <f>IFERROR(__xludf.DUMMYFUNCTION("""COMPUTED_VALUE"""),"ChangeDate")</f>
        <v>ChangeDate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IFERROR(__xludf.DUMMYFUNCTION("""COMPUTED_VALUE"""),"DateOrReset")</f>
        <v>DateOrReset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7"/>
      <c r="B6" s="7" t="s">
        <v>73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A5" s="4"/>
      <c r="B5" s="4" t="s">
        <v>74</v>
      </c>
      <c r="C5" s="4" t="s">
        <v>75</v>
      </c>
      <c r="D5" s="4" t="s">
        <v>76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>
        <v>10.0</v>
      </c>
      <c r="C6" s="4">
        <v>2500.0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1033-12.2.0.21546</vt:lpwstr>
  </property>
</Properties>
</file>