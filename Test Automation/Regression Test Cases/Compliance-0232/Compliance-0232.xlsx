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tPreTradeCompliancePermission" sheetId="5" r:id="rId7"/>
    <sheet state="visible" name="RestartReleasesAndServices" sheetId="6" r:id="rId8"/>
    <sheet state="visible" name="SelectTradeOnOrderGrid" sheetId="7" r:id="rId9"/>
    <sheet state="visible" name="ReplaceSubOrder" sheetId="8" r:id="rId10"/>
    <sheet state="visible" name="EditOrder" sheetId="9" r:id="rId11"/>
    <sheet state="visible" name="CreateComplianceOrder" sheetId="10" r:id="rId12"/>
    <sheet state="visible" name="VerifyComplianceOrder" sheetId="11" r:id="rId13"/>
    <sheet state="visible" name="CreateReplaceOrder" sheetId="12" r:id="rId14"/>
    <sheet state="visible" name="SelectTrade" sheetId="13" r:id="rId15"/>
    <sheet state="visible" name="AcknowledgeTrade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SelectTradeOnOrderGrid1" sheetId="18" r:id="rId20"/>
    <sheet state="visible" name="ReplaceSubOrder1" sheetId="19" r:id="rId21"/>
    <sheet state="visible" name="CreateReplaceOrder1" sheetId="20" r:id="rId22"/>
    <sheet state="visible" name="EditOrder1" sheetId="21" r:id="rId23"/>
    <sheet state="visible" name="CreateComplianceOrder1" sheetId="22" r:id="rId24"/>
    <sheet state="visible" name="VerifyComplianceOrder1" sheetId="23" r:id="rId25"/>
    <sheet state="visible" name="CreateComplianceOrder2" sheetId="24" r:id="rId26"/>
    <sheet state="visible" name="VerifyComplianceOrder2" sheetId="25" r:id="rId27"/>
    <sheet state="visible" name="CreateComplianceOrder3" sheetId="26" r:id="rId28"/>
    <sheet state="visible" name="VerifyComplianceOrder3" sheetId="27" r:id="rId29"/>
    <sheet state="visible" name="CreateComplianceOrder4" sheetId="28" r:id="rId30"/>
    <sheet state="visible" name="VerifyComplianceOrder4" sheetId="29" r:id="rId31"/>
    <sheet state="visible" name="CreateComplianceOrder5" sheetId="30" r:id="rId32"/>
    <sheet state="visible" name="VerifyComplianceOrder5" sheetId="31" r:id="rId33"/>
  </sheets>
  <definedNames/>
  <calcPr/>
</workbook>
</file>

<file path=xl/sharedStrings.xml><?xml version="1.0" encoding="utf-8"?>
<sst xmlns="http://schemas.openxmlformats.org/spreadsheetml/2006/main" count="299" uniqueCount="47">
  <si>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</si>
  <si>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</si>
  <si>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</si>
  <si>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</si>
  <si>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</si>
  <si>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</si>
  <si>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</si>
  <si>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</si>
  <si>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</si>
  <si>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</si>
  <si>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</si>
  <si>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</si>
  <si>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</si>
  <si>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</si>
  <si>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</si>
  <si>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</si>
  <si>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</si>
  <si>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</si>
  <si>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Yes</t>
  </si>
  <si>
    <t>Admin</t>
  </si>
  <si>
    <t>SetPreTradeCompliancePermission</t>
  </si>
  <si>
    <t>Compliance</t>
  </si>
  <si>
    <t>RestartReleasesAndServices</t>
  </si>
  <si>
    <t>No</t>
  </si>
  <si>
    <t>Blotter</t>
  </si>
  <si>
    <t>SelectTradeOnOrderGrid</t>
  </si>
  <si>
    <t>ReplaceSubOrder</t>
  </si>
  <si>
    <t>EditOrder</t>
  </si>
  <si>
    <t>CreateComplianceOrder</t>
  </si>
  <si>
    <t>Replace</t>
  </si>
  <si>
    <t>VerifyComplianceOrder</t>
  </si>
  <si>
    <t>Soft</t>
  </si>
  <si>
    <t>Staging</t>
  </si>
  <si>
    <t>Enter Summary</t>
  </si>
  <si>
    <t>Allocation1-MSFT</t>
  </si>
  <si>
    <t>quantity: 3,000.00, AccountShortName: Allocation1, Symbol: MSFT</t>
  </si>
  <si>
    <t>CreateReplaceOrder</t>
  </si>
  <si>
    <t>Simulator</t>
  </si>
  <si>
    <t>SelectTrade</t>
  </si>
  <si>
    <t>AcknowledgeTrade</t>
  </si>
  <si>
    <t>AAPL</t>
  </si>
  <si>
    <t>Allocation1-AAPL</t>
  </si>
  <si>
    <t>quantity: 2,700.00, AccountShortName: Allocation1, Symbol: AAPL</t>
  </si>
  <si>
    <t>quantity: 2,800.00, AccountShortName: Allocation1, Symbol: AAPL</t>
  </si>
  <si>
    <t>quantity: 2,900.00, AccountShortName: Allocation1, Symbol: AAPL</t>
  </si>
  <si>
    <t>quantity: 4,000.00, AccountShortName: Allocation1, Symbol: MSFT</t>
  </si>
  <si>
    <t>quantity: 2,600.00, AccountShortName: Allocation1,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</si>
</sst>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vertical="top"/>
    </xf>
    <xf borderId="6" fillId="7" fontId="15" numFmtId="0" xfId="0" applyAlignment="1" applyBorder="1" applyFont="1">
      <alignment vertical="top"/>
    </xf>
    <xf borderId="6" fillId="7" fontId="14" numFmtId="0" xfId="0" applyAlignment="1" applyBorder="1" applyFont="1">
      <alignment readingOrder="0" vertical="top"/>
    </xf>
    <xf borderId="6" fillId="7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6" fontId="13" numFmtId="0" xfId="0" applyAlignment="1" applyBorder="1" applyFont="1">
      <alignment vertical="top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IFERROR(__xludf.DUMMYFUNCTION("""COMPUTED_VALUE"""),"Trading")</f>
        <v>Trading</v>
      </c>
      <c r="C5" s="27" t="str">
        <f>IFERROR(__xludf.DUMMYFUNCTION("""COMPUTED_VALUE"""),"Manual Trading")</f>
        <v>Manual Trading</v>
      </c>
      <c r="D5" s="27" t="str">
        <f>IFERROR(__xludf.DUMMYFUNCTION("""COMPUTED_VALUE"""),"Staging")</f>
        <v>Staging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SetPreTradeCompliancePermission!$4:$4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1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3000.0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31</v>
      </c>
      <c r="C6" s="32" t="s">
        <v>32</v>
      </c>
      <c r="D6" s="33" t="s">
        <v>33</v>
      </c>
      <c r="E6" s="34" t="s">
        <v>34</v>
      </c>
      <c r="F6" s="35">
        <v>2500.0</v>
      </c>
      <c r="G6" s="36">
        <v>3000.0</v>
      </c>
      <c r="H6" s="37" t="s">
        <v>35</v>
      </c>
      <c r="I6" s="38"/>
      <c r="J6" s="8"/>
      <c r="K6" s="12" t="s">
        <v>18</v>
      </c>
      <c r="L6" s="8"/>
      <c r="M6" s="9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3000.0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17</v>
      </c>
      <c r="D6" s="12">
        <v>2000.0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40</v>
      </c>
      <c r="E6" s="30"/>
      <c r="F6" s="12" t="s">
        <v>17</v>
      </c>
      <c r="G6" s="8"/>
      <c r="H6" s="1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40</v>
      </c>
      <c r="AK6" s="9" t="s">
        <v>17</v>
      </c>
      <c r="AM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17</v>
      </c>
      <c r="D6" s="12">
        <v>2600.0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40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17</v>
      </c>
      <c r="D6" s="12">
        <v>2700.0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 t="s">
        <v>31</v>
      </c>
      <c r="C6" s="32" t="s">
        <v>32</v>
      </c>
      <c r="D6" s="33" t="s">
        <v>33</v>
      </c>
      <c r="E6" s="32" t="s">
        <v>41</v>
      </c>
      <c r="F6" s="35">
        <v>2500.0</v>
      </c>
      <c r="G6" s="41">
        <v>2700.0</v>
      </c>
      <c r="H6" s="37" t="s">
        <v>42</v>
      </c>
      <c r="I6" s="38"/>
      <c r="J6" s="38"/>
      <c r="K6" s="42" t="s">
        <v>18</v>
      </c>
      <c r="L6" s="38"/>
      <c r="M6" s="9" t="s">
        <v>29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17</v>
      </c>
      <c r="D6" s="12">
        <v>2800.0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 t="s">
        <v>31</v>
      </c>
      <c r="C6" s="32" t="s">
        <v>32</v>
      </c>
      <c r="D6" s="33" t="s">
        <v>33</v>
      </c>
      <c r="E6" s="32" t="s">
        <v>41</v>
      </c>
      <c r="F6" s="35">
        <v>2500.0</v>
      </c>
      <c r="G6" s="12">
        <v>2800.0</v>
      </c>
      <c r="H6" s="37" t="s">
        <v>43</v>
      </c>
      <c r="I6" s="38"/>
      <c r="J6" s="38"/>
      <c r="K6" s="42" t="s">
        <v>18</v>
      </c>
      <c r="L6" s="38"/>
      <c r="M6" s="9" t="s">
        <v>29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17</v>
      </c>
      <c r="D6" s="12">
        <v>2900.0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 t="s">
        <v>31</v>
      </c>
      <c r="C6" s="32" t="s">
        <v>32</v>
      </c>
      <c r="D6" s="33" t="s">
        <v>33</v>
      </c>
      <c r="E6" s="32" t="s">
        <v>41</v>
      </c>
      <c r="F6" s="35">
        <v>2500.0</v>
      </c>
      <c r="G6" s="41">
        <v>2900.0</v>
      </c>
      <c r="H6" s="37" t="s">
        <v>44</v>
      </c>
      <c r="I6" s="38"/>
      <c r="J6" s="38"/>
      <c r="K6" s="42" t="s">
        <v>18</v>
      </c>
      <c r="L6" s="38"/>
      <c r="M6" s="9" t="s">
        <v>29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4000.0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31</v>
      </c>
      <c r="C6" s="32" t="s">
        <v>32</v>
      </c>
      <c r="D6" s="33" t="s">
        <v>33</v>
      </c>
      <c r="E6" s="34" t="s">
        <v>34</v>
      </c>
      <c r="F6" s="35">
        <v>2500.0</v>
      </c>
      <c r="G6" s="41">
        <v>4000.0</v>
      </c>
      <c r="H6" s="37" t="s">
        <v>45</v>
      </c>
      <c r="I6" s="38"/>
      <c r="J6" s="8"/>
      <c r="K6" s="12" t="s">
        <v>18</v>
      </c>
      <c r="L6" s="8"/>
      <c r="M6" s="9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17</v>
      </c>
      <c r="D6" s="12">
        <v>2600.0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 t="s">
        <v>31</v>
      </c>
      <c r="C6" s="32" t="s">
        <v>32</v>
      </c>
      <c r="D6" s="33" t="s">
        <v>33</v>
      </c>
      <c r="E6" s="32" t="s">
        <v>41</v>
      </c>
      <c r="F6" s="35">
        <v>2500.0</v>
      </c>
      <c r="G6" s="41">
        <v>2600.0</v>
      </c>
      <c r="H6" s="37" t="s">
        <v>46</v>
      </c>
      <c r="I6" s="38"/>
      <c r="J6" s="38"/>
      <c r="K6" s="42" t="s">
        <v>18</v>
      </c>
      <c r="L6" s="38"/>
      <c r="M6" s="9" t="s">
        <v>29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