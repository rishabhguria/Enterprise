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GetDataAllocation" sheetId="7" r:id="rId9"/>
    <sheet state="visible" name="SelectUnallocatedGroup" sheetId="8" r:id="rId10"/>
    <sheet state="visible" name="EnterAllocatePreference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<sst xmlns="http://schemas.openxmlformats.org/spreadsheetml/2006/main" count="173" uniqueCount="51">
  <si>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</si>
  <si>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</si>
  <si>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</si>
  <si>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</si>
  <si>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</si>
  <si>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</si>
  <si>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</si>
  <si>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</si>
  <si>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</si>
  <si>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</si>
  <si>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</si>
  <si>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</si>
  <si>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</si>
  <si>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</si>
  <si>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</si>
  <si>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</si>
  <si>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</si>
  <si>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</si>
  <si>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</si>
  <si>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 short</t>
  </si>
  <si>
    <t>Allocation2</t>
  </si>
  <si>
    <t>Unallocated</t>
  </si>
  <si>
    <t>Allocation</t>
  </si>
  <si>
    <t>SetGeneralPreferences</t>
  </si>
  <si>
    <t>Nirvana</t>
  </si>
  <si>
    <t>RunProrata</t>
  </si>
  <si>
    <t>GetDataAllocation</t>
  </si>
  <si>
    <t>Historical</t>
  </si>
  <si>
    <t>SelectUnallocatedGroup</t>
  </si>
  <si>
    <t>EnterAllocatePreference</t>
  </si>
  <si>
    <t>Fixed</t>
  </si>
  <si>
    <t>CheckAllocatedGroups</t>
  </si>
  <si>
    <t>Actual_365</t>
  </si>
  <si>
    <t>Manual</t>
  </si>
  <si>
    <t>Equity</t>
  </si>
  <si>
    <t>AAPL US EQUITY</t>
  </si>
  <si>
    <t>Treasury</t>
  </si>
  <si>
    <t>MS</t>
  </si>
  <si>
    <t>Open</t>
  </si>
  <si>
    <t>USD</t>
  </si>
  <si>
    <t>NASDAQ</t>
  </si>
  <si>
    <t>M</t>
  </si>
  <si>
    <t>None</t>
  </si>
  <si>
    <t>Market</t>
  </si>
  <si>
    <t>Strategy Unallocated</t>
  </si>
  <si>
    <t>US</t>
  </si>
  <si>
    <t>jpearce</t>
  </si>
  <si>
    <t>NewMF</t>
  </si>
  <si>
    <t>SellShort</t>
  </si>
  <si>
    <t>NewMF1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</si>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</sst>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32">
        <f t="shared" ref="N6:N9" si="1">TODAY()-10</f>
        <v>45871</v>
      </c>
      <c r="O6" s="8"/>
    </row>
    <row r="7" ht="15.75" customHeight="1">
      <c r="A7" s="8"/>
      <c r="B7" s="13" t="s">
        <v>16</v>
      </c>
      <c r="C7" s="9" t="s">
        <v>19</v>
      </c>
      <c r="D7" s="13">
        <v>120.0</v>
      </c>
      <c r="E7" s="8"/>
      <c r="F7" s="13" t="s">
        <v>20</v>
      </c>
      <c r="G7" s="8"/>
      <c r="H7" s="8"/>
      <c r="I7" s="8"/>
      <c r="J7" s="13">
        <v>2.0</v>
      </c>
      <c r="K7" s="8"/>
      <c r="L7" s="8"/>
      <c r="M7" s="8"/>
      <c r="N7" s="32">
        <f t="shared" si="1"/>
        <v>45871</v>
      </c>
      <c r="O7" s="8"/>
    </row>
    <row r="8" ht="15.75" customHeight="1">
      <c r="A8" s="8"/>
      <c r="B8" s="13" t="s">
        <v>16</v>
      </c>
      <c r="C8" s="13" t="s">
        <v>17</v>
      </c>
      <c r="D8" s="13">
        <v>90.0</v>
      </c>
      <c r="E8" s="8"/>
      <c r="F8" s="13" t="s">
        <v>21</v>
      </c>
      <c r="G8" s="8"/>
      <c r="H8" s="8"/>
      <c r="I8" s="8"/>
      <c r="J8" s="13">
        <v>2.0</v>
      </c>
      <c r="K8" s="8"/>
      <c r="L8" s="8"/>
      <c r="M8" s="8"/>
      <c r="N8" s="32">
        <f t="shared" si="1"/>
        <v>45871</v>
      </c>
      <c r="O8" s="8"/>
    </row>
    <row r="9" ht="15.75" customHeight="1">
      <c r="A9" s="8"/>
      <c r="B9" s="13" t="s">
        <v>16</v>
      </c>
      <c r="C9" s="13" t="s">
        <v>19</v>
      </c>
      <c r="D9" s="13">
        <v>110.0</v>
      </c>
      <c r="E9" s="8"/>
      <c r="F9" s="13" t="s">
        <v>21</v>
      </c>
      <c r="G9" s="8"/>
      <c r="H9" s="8"/>
      <c r="I9" s="8"/>
      <c r="J9" s="13">
        <v>2.0</v>
      </c>
      <c r="K9" s="8"/>
      <c r="L9" s="8"/>
      <c r="M9" s="8"/>
      <c r="N9" s="32">
        <f t="shared" si="1"/>
        <v>45871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33" t="s">
        <v>24</v>
      </c>
      <c r="Y6" s="33"/>
      <c r="Z6" s="34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X7" s="33"/>
      <c r="Y7" s="33"/>
      <c r="Z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45880</v>
      </c>
      <c r="C6" s="36" t="s">
        <v>24</v>
      </c>
      <c r="D6" s="37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32">
        <v>45630.0</v>
      </c>
      <c r="D6" s="38">
        <f>TODAY()</f>
        <v>45881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90.0</v>
      </c>
      <c r="E6" s="13">
        <v>90.0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110.0</v>
      </c>
      <c r="E7" s="13">
        <v>110.0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32</v>
      </c>
      <c r="D6" s="13"/>
      <c r="E6" s="13">
        <v>100.0</v>
      </c>
      <c r="F6" s="13" t="s">
        <v>33</v>
      </c>
      <c r="G6" s="13" t="s">
        <v>34</v>
      </c>
      <c r="H6" s="13">
        <v>4.0</v>
      </c>
      <c r="I6" s="13">
        <v>5.0</v>
      </c>
      <c r="J6" s="13">
        <v>1.0</v>
      </c>
      <c r="K6" s="13">
        <v>2.0</v>
      </c>
      <c r="L6" s="13">
        <v>2.0</v>
      </c>
      <c r="M6" s="13" t="s">
        <v>35</v>
      </c>
      <c r="N6" s="13" t="s">
        <v>36</v>
      </c>
      <c r="O6" s="13" t="s">
        <v>37</v>
      </c>
      <c r="S6" s="9" t="s">
        <v>38</v>
      </c>
      <c r="Z6" s="9" t="s">
        <v>39</v>
      </c>
      <c r="AD6" s="9" t="s">
        <v>40</v>
      </c>
      <c r="AE6" s="9">
        <v>100.0</v>
      </c>
      <c r="AH6" s="9" t="s">
        <v>41</v>
      </c>
      <c r="AI6" s="9">
        <v>1.0</v>
      </c>
      <c r="AJ6" s="9" t="s">
        <v>42</v>
      </c>
      <c r="AY6" s="9" t="s">
        <v>43</v>
      </c>
      <c r="BE6" s="9">
        <v>200.0</v>
      </c>
      <c r="BF6" s="9">
        <v>200.0</v>
      </c>
      <c r="BJ6" s="9">
        <v>100.0</v>
      </c>
      <c r="BM6" s="9" t="s">
        <v>39</v>
      </c>
      <c r="BO6" s="9" t="s">
        <v>17</v>
      </c>
      <c r="BS6" s="9" t="s">
        <v>44</v>
      </c>
      <c r="BT6" s="9" t="s">
        <v>16</v>
      </c>
      <c r="CH6" s="9" t="s">
        <v>12</v>
      </c>
      <c r="CI6" s="9" t="s">
        <v>17</v>
      </c>
      <c r="CK6" s="9" t="s">
        <v>45</v>
      </c>
      <c r="CN6" s="9" t="s">
        <v>46</v>
      </c>
      <c r="CO6" s="9" t="s">
        <v>40</v>
      </c>
      <c r="CX6" s="9" t="s">
        <v>47</v>
      </c>
    </row>
    <row r="7" ht="15.75" customHeight="1">
      <c r="A7" s="8"/>
      <c r="B7" s="13" t="s">
        <v>20</v>
      </c>
      <c r="C7" s="13" t="s">
        <v>32</v>
      </c>
      <c r="D7" s="8"/>
      <c r="E7" s="13">
        <v>120.0</v>
      </c>
      <c r="F7" s="13" t="s">
        <v>33</v>
      </c>
      <c r="G7" s="13" t="s">
        <v>34</v>
      </c>
      <c r="H7" s="13">
        <v>4.0</v>
      </c>
      <c r="I7" s="13">
        <v>5.0</v>
      </c>
      <c r="J7" s="13">
        <v>1.0</v>
      </c>
      <c r="K7" s="13">
        <v>2.0</v>
      </c>
      <c r="L7" s="13">
        <v>2.0</v>
      </c>
      <c r="M7" s="13" t="s">
        <v>35</v>
      </c>
      <c r="N7" s="13" t="s">
        <v>36</v>
      </c>
      <c r="O7" s="13" t="s">
        <v>37</v>
      </c>
      <c r="S7" s="9" t="s">
        <v>38</v>
      </c>
      <c r="Z7" s="9" t="s">
        <v>39</v>
      </c>
      <c r="AD7" s="9" t="s">
        <v>40</v>
      </c>
      <c r="AE7" s="9">
        <v>120.0</v>
      </c>
      <c r="AH7" s="9" t="s">
        <v>41</v>
      </c>
      <c r="AI7" s="9">
        <v>1.0</v>
      </c>
      <c r="AJ7" s="9" t="s">
        <v>42</v>
      </c>
      <c r="AY7" s="9" t="s">
        <v>43</v>
      </c>
      <c r="BE7" s="9">
        <v>240.0</v>
      </c>
      <c r="BF7" s="9">
        <v>240.0</v>
      </c>
      <c r="BJ7" s="9">
        <v>120.0</v>
      </c>
      <c r="BM7" s="9" t="s">
        <v>39</v>
      </c>
      <c r="BO7" s="9" t="s">
        <v>19</v>
      </c>
      <c r="BS7" s="9" t="s">
        <v>44</v>
      </c>
      <c r="BT7" s="9" t="s">
        <v>16</v>
      </c>
      <c r="CH7" s="9" t="s">
        <v>12</v>
      </c>
      <c r="CI7" s="9" t="s">
        <v>48</v>
      </c>
      <c r="CK7" s="9" t="s">
        <v>45</v>
      </c>
      <c r="CN7" s="9" t="s">
        <v>46</v>
      </c>
      <c r="CO7" s="9" t="s">
        <v>40</v>
      </c>
      <c r="CX7" s="9" t="s">
        <v>49</v>
      </c>
    </row>
    <row r="8" ht="15.75" customHeight="1">
      <c r="A8" s="8"/>
      <c r="B8" s="13" t="s">
        <v>50</v>
      </c>
      <c r="C8" s="13" t="s">
        <v>32</v>
      </c>
      <c r="D8" s="8"/>
      <c r="E8" s="13">
        <v>90.0</v>
      </c>
      <c r="F8" s="13" t="s">
        <v>24</v>
      </c>
      <c r="G8" s="13" t="s">
        <v>34</v>
      </c>
      <c r="H8" s="13">
        <v>4.0</v>
      </c>
      <c r="I8" s="13">
        <v>5.0</v>
      </c>
      <c r="J8" s="13">
        <v>1.0</v>
      </c>
      <c r="K8" s="13">
        <v>2.0</v>
      </c>
      <c r="L8" s="13">
        <v>2.0</v>
      </c>
      <c r="M8" s="13" t="s">
        <v>35</v>
      </c>
      <c r="N8" s="13" t="s">
        <v>36</v>
      </c>
      <c r="O8" s="13" t="s">
        <v>37</v>
      </c>
      <c r="S8" s="9" t="s">
        <v>38</v>
      </c>
      <c r="Z8" s="9" t="s">
        <v>39</v>
      </c>
      <c r="AD8" s="9" t="s">
        <v>40</v>
      </c>
      <c r="AE8" s="9">
        <v>90.0</v>
      </c>
      <c r="AH8" s="9" t="s">
        <v>41</v>
      </c>
      <c r="AI8" s="9">
        <v>1.0</v>
      </c>
      <c r="AJ8" s="9" t="s">
        <v>42</v>
      </c>
      <c r="AY8" s="9" t="s">
        <v>43</v>
      </c>
      <c r="BE8" s="9">
        <v>180.0</v>
      </c>
      <c r="BF8" s="9">
        <v>180.0</v>
      </c>
      <c r="BJ8" s="9">
        <v>90.0</v>
      </c>
      <c r="BM8" s="9" t="s">
        <v>39</v>
      </c>
      <c r="BO8" s="9" t="s">
        <v>17</v>
      </c>
      <c r="BS8" s="9" t="s">
        <v>44</v>
      </c>
      <c r="BT8" s="9" t="s">
        <v>16</v>
      </c>
      <c r="CH8" s="9" t="s">
        <v>12</v>
      </c>
      <c r="CI8" s="9" t="s">
        <v>17</v>
      </c>
      <c r="CK8" s="9" t="s">
        <v>45</v>
      </c>
      <c r="CN8" s="9" t="s">
        <v>46</v>
      </c>
      <c r="CO8" s="9" t="s">
        <v>40</v>
      </c>
      <c r="CX8" s="9" t="s">
        <v>50</v>
      </c>
    </row>
    <row r="9" ht="15.75" customHeight="1">
      <c r="A9" s="8"/>
      <c r="B9" s="13" t="s">
        <v>50</v>
      </c>
      <c r="C9" s="13" t="s">
        <v>32</v>
      </c>
      <c r="D9" s="8"/>
      <c r="E9" s="13">
        <v>110.0</v>
      </c>
      <c r="F9" s="13" t="s">
        <v>24</v>
      </c>
      <c r="G9" s="13" t="s">
        <v>34</v>
      </c>
      <c r="H9" s="13">
        <v>4.0</v>
      </c>
      <c r="I9" s="13">
        <v>5.0</v>
      </c>
      <c r="J9" s="13">
        <v>1.0</v>
      </c>
      <c r="K9" s="13">
        <v>2.0</v>
      </c>
      <c r="L9" s="13">
        <v>2.0</v>
      </c>
      <c r="M9" s="13" t="s">
        <v>35</v>
      </c>
      <c r="N9" s="13" t="s">
        <v>36</v>
      </c>
      <c r="O9" s="13" t="s">
        <v>37</v>
      </c>
      <c r="S9" s="9" t="s">
        <v>38</v>
      </c>
      <c r="Z9" s="9" t="s">
        <v>39</v>
      </c>
      <c r="AD9" s="9" t="s">
        <v>40</v>
      </c>
      <c r="AE9" s="9">
        <v>110.0</v>
      </c>
      <c r="AH9" s="9" t="s">
        <v>41</v>
      </c>
      <c r="AI9" s="9">
        <v>1.0</v>
      </c>
      <c r="AJ9" s="9" t="s">
        <v>42</v>
      </c>
      <c r="AY9" s="9" t="s">
        <v>43</v>
      </c>
      <c r="BE9" s="9">
        <v>220.0</v>
      </c>
      <c r="BF9" s="9">
        <v>220.0</v>
      </c>
      <c r="BJ9" s="9">
        <v>110.0</v>
      </c>
      <c r="BM9" s="9" t="s">
        <v>39</v>
      </c>
      <c r="BO9" s="9" t="s">
        <v>19</v>
      </c>
      <c r="BS9" s="9" t="s">
        <v>44</v>
      </c>
      <c r="BT9" s="9" t="s">
        <v>16</v>
      </c>
      <c r="CH9" s="9" t="s">
        <v>12</v>
      </c>
      <c r="CI9" s="9" t="s">
        <v>48</v>
      </c>
      <c r="CK9" s="9" t="s">
        <v>45</v>
      </c>
      <c r="CN9" s="9" t="s">
        <v>46</v>
      </c>
      <c r="CO9" s="9" t="s">
        <v>40</v>
      </c>
      <c r="CX9" s="9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