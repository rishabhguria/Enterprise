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UpdateRoundLot" sheetId="5" r:id="rId7"/>
    <sheet state="visible" name="CustomOrderTT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taAllocation" sheetId="10" r:id="rId12"/>
    <sheet state="visible" name="SelectAllocatedGroup" sheetId="11" r:id="rId13"/>
    <sheet state="visible" name="BookOrUpdateSwap" sheetId="12" r:id="rId14"/>
    <sheet state="visible" name="SelectAllocatedGroup1" sheetId="13" r:id="rId15"/>
    <sheet state="visible" name="BookOrUpdateSwap1" sheetId="14" r:id="rId16"/>
    <sheet state="visible" name="CreateDoneAwayOrder" sheetId="15" r:id="rId17"/>
    <sheet state="visible" name="PricingInput1" sheetId="16" r:id="rId18"/>
    <sheet state="visible" name="GetDailyCash" sheetId="17" r:id="rId19"/>
    <sheet state="visible" name="UpdateMultipleDailyCash" sheetId="18" r:id="rId20"/>
    <sheet state="visible" name="GetCashTransaction" sheetId="19" r:id="rId21"/>
    <sheet state="visible" name="AddCashTransaction" sheetId="20" r:id="rId22"/>
    <sheet state="visible" name="RunRevaluation" sheetId="21" r:id="rId23"/>
    <sheet state="visible" name="EditSMGridUi" sheetId="22" r:id="rId24"/>
  </sheets>
  <definedNames/>
  <calcPr/>
</workbook>
</file>

<file path=xl/sharedStrings.xml><?xml version="1.0" encoding="utf-8"?>
<sst xmlns="http://schemas.openxmlformats.org/spreadsheetml/2006/main" count="235" uniqueCount="77">
  <si>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</si>
  <si>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</si>
  <si>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</si>
  <si>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</si>
  <si>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</si>
  <si>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</si>
  <si>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</si>
  <si>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</si>
  <si>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</si>
  <si>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</si>
  <si>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</si>
  <si>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</si>
  <si>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</si>
  <si>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</si>
  <si>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</si>
  <si>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</si>
  <si>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</si>
  <si>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</si>
  <si>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</si>
  <si>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</si>
  <si>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</si>
  <si>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</si>
  <si>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</si>
  <si>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</si>
  <si>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</si>
  <si>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</si>
  <si>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</si>
  <si>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</si>
  <si>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</si>
  <si>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</si>
  <si>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</si>
  <si>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</si>
  <si>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</si>
  <si>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</si>
  <si>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</si>
  <si>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</si>
  <si>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0303-HKG</t>
  </si>
  <si>
    <t>Allocation2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</si>
  <si>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</si>
  <si>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</si>
  <si>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</si>
  <si>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</si>
  <si>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</si>
  <si>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</si>
  <si>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</si>
  <si>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</si>
  <si>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</si>
  <si>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HKD</t>
  </si>
  <si>
    <t>HKD A0-FX</t>
  </si>
  <si>
    <t>Allocation</t>
  </si>
  <si>
    <t>GetDataAllocation</t>
  </si>
  <si>
    <t>Historical</t>
  </si>
  <si>
    <t>SelectAllocatedGroup</t>
  </si>
  <si>
    <t>BookOrUpdateSwap</t>
  </si>
  <si>
    <t>CreateDoneAwayOrder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</si>
  <si>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</si>
  <si>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</si>
  <si>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</si>
  <si>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</si>
  <si>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</si>
  <si>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</si>
  <si>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</si>
  <si>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</si>
  <si>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</si>
  <si>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</si>
  <si>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</si>
  <si>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</si>
  <si>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</si>
  <si>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</si>
  <si>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</si>
  <si>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</si>
  <si>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</si>
  <si>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</si>
  <si>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</si>
  <si>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SymbolLookup</t>
  </si>
  <si>
    <t>EditSMGridUi</t>
  </si>
  <si>
    <t>ES H4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</si>
</sst>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4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20</v>
      </c>
      <c r="C7" s="34">
        <v>200.0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21</v>
      </c>
      <c r="C8" s="34">
        <v>400.0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22</v>
      </c>
      <c r="C9" s="34">
        <v>500.0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5" t="s">
        <v>23</v>
      </c>
      <c r="C10" s="34">
        <v>600.0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5" t="s">
        <v>24</v>
      </c>
      <c r="C11" s="34">
        <v>300.0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4">
        <v>100.0</v>
      </c>
      <c r="D6" s="36">
        <v>26.47</v>
      </c>
      <c r="E6" s="33" t="s">
        <v>27</v>
      </c>
      <c r="F6" s="33"/>
      <c r="G6" s="33"/>
      <c r="H6" s="33"/>
      <c r="I6" s="33"/>
      <c r="J6" s="35" t="s">
        <v>28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7">
        <f t="shared" ref="Z6:Z16" si="1">TODAY()-1</f>
        <v>45869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24</v>
      </c>
      <c r="C7" s="34">
        <v>100.0</v>
      </c>
      <c r="D7" s="34">
        <v>10.0</v>
      </c>
      <c r="E7" s="33" t="s">
        <v>27</v>
      </c>
      <c r="F7" s="33"/>
      <c r="G7" s="33"/>
      <c r="H7" s="33"/>
      <c r="I7" s="33"/>
      <c r="J7" s="35" t="s">
        <v>28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7">
        <f t="shared" si="1"/>
        <v>45869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>
        <v>1.23456789E8</v>
      </c>
      <c r="C8" s="34">
        <v>12000.0</v>
      </c>
      <c r="D8" s="34">
        <v>25.0</v>
      </c>
      <c r="E8" s="33" t="s">
        <v>27</v>
      </c>
      <c r="F8" s="33"/>
      <c r="G8" s="33"/>
      <c r="H8" s="33"/>
      <c r="I8" s="33"/>
      <c r="J8" s="35" t="s">
        <v>28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7">
        <f t="shared" si="1"/>
        <v>45869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23</v>
      </c>
      <c r="C9" s="34">
        <v>10.0</v>
      </c>
      <c r="D9" s="34">
        <v>20.0</v>
      </c>
      <c r="E9" s="33" t="s">
        <v>27</v>
      </c>
      <c r="F9" s="33"/>
      <c r="G9" s="33"/>
      <c r="H9" s="33"/>
      <c r="I9" s="33"/>
      <c r="J9" s="35" t="s">
        <v>29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7">
        <f t="shared" si="1"/>
        <v>45869</v>
      </c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5" t="s">
        <v>22</v>
      </c>
      <c r="C10" s="34">
        <v>100.0</v>
      </c>
      <c r="D10" s="34">
        <v>10.0</v>
      </c>
      <c r="E10" s="33" t="s">
        <v>27</v>
      </c>
      <c r="F10" s="33"/>
      <c r="G10" s="33"/>
      <c r="H10" s="33"/>
      <c r="I10" s="33"/>
      <c r="J10" s="35" t="s">
        <v>30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7">
        <f t="shared" si="1"/>
        <v>45869</v>
      </c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5" t="s">
        <v>21</v>
      </c>
      <c r="C11" s="34">
        <v>10.0</v>
      </c>
      <c r="D11" s="34">
        <v>36.6</v>
      </c>
      <c r="E11" s="33" t="s">
        <v>27</v>
      </c>
      <c r="F11" s="33"/>
      <c r="G11" s="33"/>
      <c r="H11" s="33"/>
      <c r="I11" s="33"/>
      <c r="J11" s="35" t="s">
        <v>30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7">
        <f t="shared" si="1"/>
        <v>45869</v>
      </c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5" t="s">
        <v>19</v>
      </c>
      <c r="C12" s="34">
        <v>100.0</v>
      </c>
      <c r="D12" s="34">
        <v>8.0</v>
      </c>
      <c r="E12" s="33" t="s">
        <v>27</v>
      </c>
      <c r="F12" s="33"/>
      <c r="G12" s="33"/>
      <c r="H12" s="33"/>
      <c r="I12" s="33"/>
      <c r="J12" s="35" t="s">
        <v>28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7">
        <f t="shared" si="1"/>
        <v>45869</v>
      </c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5" t="s">
        <v>31</v>
      </c>
      <c r="C13" s="34">
        <v>20000.0</v>
      </c>
      <c r="D13" s="34">
        <v>5.0</v>
      </c>
      <c r="E13" s="33" t="s">
        <v>27</v>
      </c>
      <c r="F13" s="33"/>
      <c r="G13" s="33"/>
      <c r="H13" s="33"/>
      <c r="I13" s="33"/>
      <c r="J13" s="35" t="s">
        <v>29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7">
        <f t="shared" si="1"/>
        <v>45869</v>
      </c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3" t="s">
        <v>32</v>
      </c>
      <c r="C14" s="34">
        <v>100.0</v>
      </c>
      <c r="D14" s="34">
        <v>8.0</v>
      </c>
      <c r="E14" s="33" t="s">
        <v>27</v>
      </c>
      <c r="F14" s="33"/>
      <c r="G14" s="33"/>
      <c r="H14" s="33"/>
      <c r="I14" s="33"/>
      <c r="J14" s="35" t="s">
        <v>33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7">
        <f t="shared" si="1"/>
        <v>45869</v>
      </c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5" t="s">
        <v>34</v>
      </c>
      <c r="C15" s="34">
        <v>10.0</v>
      </c>
      <c r="D15" s="34">
        <v>5.0</v>
      </c>
      <c r="E15" s="33" t="s">
        <v>27</v>
      </c>
      <c r="F15" s="33"/>
      <c r="G15" s="33"/>
      <c r="H15" s="33"/>
      <c r="I15" s="33"/>
      <c r="J15" s="35" t="s">
        <v>35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7">
        <f t="shared" si="1"/>
        <v>45869</v>
      </c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8"/>
      <c r="B16" s="12" t="s">
        <v>36</v>
      </c>
      <c r="C16" s="12">
        <v>100.0</v>
      </c>
      <c r="D16" s="12">
        <v>10.0</v>
      </c>
      <c r="E16" s="33" t="s">
        <v>27</v>
      </c>
      <c r="F16" s="8"/>
      <c r="G16" s="8"/>
      <c r="H16" s="8"/>
      <c r="I16" s="12" t="s">
        <v>37</v>
      </c>
      <c r="J16" s="12" t="s">
        <v>28</v>
      </c>
      <c r="K16" s="8"/>
      <c r="L16" s="8"/>
      <c r="M16" s="8"/>
      <c r="N16" s="8"/>
      <c r="O16" s="8"/>
      <c r="Z16" s="37">
        <f t="shared" si="1"/>
        <v>45869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4">
        <v>25.0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24</v>
      </c>
      <c r="C7" s="34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>
        <v>1.23456789E8</v>
      </c>
      <c r="C8" s="34">
        <v>25.0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23</v>
      </c>
      <c r="C9" s="34">
        <v>20.0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5" t="s">
        <v>22</v>
      </c>
      <c r="C10" s="34">
        <v>10.0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5" t="s">
        <v>21</v>
      </c>
      <c r="C11" s="34">
        <v>30.0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5" t="s">
        <v>19</v>
      </c>
      <c r="C12" s="34">
        <v>8.0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5" t="s">
        <v>31</v>
      </c>
      <c r="C13" s="34">
        <v>5.0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3" t="s">
        <v>32</v>
      </c>
      <c r="C14" s="34">
        <v>25.0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5" t="s">
        <v>34</v>
      </c>
      <c r="C15" s="34">
        <v>15.0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12" t="s">
        <v>36</v>
      </c>
      <c r="C16" s="12">
        <v>10.0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45869</v>
      </c>
      <c r="C6" s="37">
        <f>TODAY()</f>
        <v>45870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42</v>
      </c>
      <c r="C6" s="35" t="s">
        <v>43</v>
      </c>
      <c r="D6" s="31" t="s">
        <v>44</v>
      </c>
      <c r="E6" s="38">
        <v>1.07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45</v>
      </c>
      <c r="C7" s="35" t="s">
        <v>43</v>
      </c>
      <c r="D7" s="35" t="s">
        <v>46</v>
      </c>
      <c r="E7" s="34">
        <v>1.22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12" t="s">
        <v>43</v>
      </c>
      <c r="C8" s="12" t="s">
        <v>47</v>
      </c>
      <c r="D8" s="12" t="s">
        <v>48</v>
      </c>
      <c r="E8" s="12">
        <v>7.851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51</v>
      </c>
      <c r="C6" s="37">
        <f>TODAY()-1</f>
        <v>45869</v>
      </c>
      <c r="D6" s="37">
        <f>TODAY()</f>
        <v>45870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3"/>
      <c r="D6" s="30"/>
      <c r="E6" s="33"/>
      <c r="F6" s="34">
        <v>365.0</v>
      </c>
      <c r="G6" s="33"/>
      <c r="H6" s="34">
        <v>8.0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50.0</v>
      </c>
      <c r="C6" s="33"/>
      <c r="D6" s="30"/>
      <c r="E6" s="33"/>
      <c r="F6" s="34">
        <v>365.0</v>
      </c>
      <c r="G6" s="33"/>
      <c r="H6" s="34">
        <v>5.0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55</v>
      </c>
      <c r="C6" s="35" t="s">
        <v>28</v>
      </c>
      <c r="D6" s="36">
        <v>100.0</v>
      </c>
      <c r="E6" s="33"/>
      <c r="F6" s="33"/>
      <c r="G6" s="33"/>
      <c r="H6" s="33"/>
      <c r="I6" s="33"/>
      <c r="J6" s="34">
        <v>50.0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55</v>
      </c>
      <c r="C7" s="35" t="s">
        <v>29</v>
      </c>
      <c r="D7" s="34">
        <v>1.0</v>
      </c>
      <c r="E7" s="33"/>
      <c r="F7" s="33"/>
      <c r="G7" s="33"/>
      <c r="H7" s="33"/>
      <c r="I7" s="33"/>
      <c r="J7" s="34">
        <v>50.0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55</v>
      </c>
      <c r="C8" s="35" t="s">
        <v>29</v>
      </c>
      <c r="D8" s="34">
        <v>98.0</v>
      </c>
      <c r="E8" s="33"/>
      <c r="F8" s="33"/>
      <c r="G8" s="33"/>
      <c r="H8" s="33"/>
      <c r="I8" s="33"/>
      <c r="J8" s="34">
        <v>50.0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56</v>
      </c>
      <c r="C9" s="35" t="s">
        <v>29</v>
      </c>
      <c r="D9" s="34">
        <v>10.0</v>
      </c>
      <c r="E9" s="33"/>
      <c r="F9" s="33"/>
      <c r="G9" s="33"/>
      <c r="H9" s="33"/>
      <c r="I9" s="33"/>
      <c r="J9" s="34">
        <v>5.0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55</v>
      </c>
      <c r="C6" s="34">
        <v>15.0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56</v>
      </c>
      <c r="C7" s="34">
        <v>20.0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45869</v>
      </c>
      <c r="C6" s="37">
        <f t="shared" si="1"/>
        <v>45869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59</v>
      </c>
      <c r="C6" s="35" t="s">
        <v>43</v>
      </c>
      <c r="D6" s="36">
        <v>54662.0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59</v>
      </c>
      <c r="C6" s="33" t="s">
        <v>62</v>
      </c>
      <c r="D6" s="39">
        <f t="shared" ref="D6:E6" si="1">TODAY()</f>
        <v>45870</v>
      </c>
      <c r="E6" s="39">
        <f t="shared" si="1"/>
        <v>45870</v>
      </c>
      <c r="F6" s="33"/>
      <c r="G6" s="33" t="s">
        <v>63</v>
      </c>
      <c r="H6" s="33" t="s">
        <v>64</v>
      </c>
      <c r="I6" s="33" t="s">
        <v>63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66</v>
      </c>
      <c r="D6" s="31" t="s">
        <v>67</v>
      </c>
      <c r="E6" s="33" t="s">
        <v>68</v>
      </c>
      <c r="F6" s="35" t="s">
        <v>59</v>
      </c>
      <c r="G6" s="35" t="s">
        <v>43</v>
      </c>
      <c r="H6" s="34">
        <v>1500.0</v>
      </c>
      <c r="I6" s="37">
        <f>TODAY()-1</f>
        <v>45869</v>
      </c>
      <c r="J6" s="37">
        <f>TODAY()+2</f>
        <v>45872</v>
      </c>
      <c r="K6" s="37">
        <f>TODAY()</f>
        <v>45870</v>
      </c>
      <c r="L6" s="33"/>
      <c r="M6" s="40" t="s">
        <v>69</v>
      </c>
      <c r="N6" s="40" t="s">
        <v>43</v>
      </c>
      <c r="O6" s="41">
        <v>1.0</v>
      </c>
      <c r="P6" s="40" t="s">
        <v>70</v>
      </c>
      <c r="Q6" s="42" t="s">
        <v>71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73</v>
      </c>
      <c r="C6" s="35" t="s">
        <v>59</v>
      </c>
      <c r="D6" s="37">
        <f>TODAY()</f>
        <v>45870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3"/>
      <c r="F6" s="8"/>
      <c r="G6" s="8"/>
      <c r="H6" s="12" t="s">
        <v>76</v>
      </c>
      <c r="I6" s="8"/>
      <c r="J6" s="8"/>
      <c r="K6" s="8"/>
      <c r="L6" s="12">
        <v>50.0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