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DailyCash" sheetId="4" r:id="rId6"/>
    <sheet state="visible" name="UpdateDailyCash" sheetId="5" r:id="rId7"/>
    <sheet state="visible" name="CreateDoneAwayOrder" sheetId="6" r:id="rId8"/>
    <sheet state="visible" name="PricingInput" sheetId="7" r:id="rId9"/>
    <sheet state="visible" name="SetGeneralPreference" sheetId="8" r:id="rId10"/>
    <sheet state="visible" name="AddSymbolToWatchlist" sheetId="9" r:id="rId11"/>
    <sheet state="visible" name="TradeFromWatchlist" sheetId="10" r:id="rId12"/>
    <sheet state="visible" name="TradePTT" sheetId="11" r:id="rId13"/>
    <sheet state="visible" name="VerifyOrder" sheetId="12" r:id="rId14"/>
    <sheet state="visible" name="CreateDoneAwayOrder1" sheetId="13" r:id="rId15"/>
    <sheet state="visible" name="CheckAllocatedGroups" sheetId="14" r:id="rId16"/>
    <sheet state="visible" name="CheckPortfolioManagement" sheetId="15" r:id="rId17"/>
  </sheets>
  <definedNames/>
  <calcPr/>
</workbook>
</file>

<file path=xl/sharedStrings.xml><?xml version="1.0" encoding="utf-8"?>
<sst xmlns="http://schemas.openxmlformats.org/spreadsheetml/2006/main" count="116" uniqueCount="41">
  <si>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</si>
  <si>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</si>
  <si>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</si>
  <si>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</si>
  <si>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</si>
  <si>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</si>
  <si>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</si>
  <si>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</si>
  <si>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</si>
  <si>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</si>
  <si>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</si>
  <si>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</si>
  <si>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DailyValuation</t>
  </si>
  <si>
    <t>GetDailyCash</t>
  </si>
  <si>
    <t>Data Format</t>
  </si>
  <si>
    <t>Input Format</t>
  </si>
  <si>
    <t>UpdateDailyCash</t>
  </si>
  <si>
    <t>Allocation1</t>
  </si>
  <si>
    <t>USD</t>
  </si>
  <si>
    <t>TradingTicket</t>
  </si>
  <si>
    <t>CreateDoneAwayOrder</t>
  </si>
  <si>
    <t>AAPL</t>
  </si>
  <si>
    <t>PricingInput</t>
  </si>
  <si>
    <t>SetGeneralPreference</t>
  </si>
  <si>
    <t>Bloomberg Symbol</t>
  </si>
  <si>
    <t>Watchlist</t>
  </si>
  <si>
    <t>AddSymbolToWatchlist</t>
  </si>
  <si>
    <t xml:space="preserve"> AAPL US EQUITY</t>
  </si>
  <si>
    <t>TradeFromWatchlist</t>
  </si>
  <si>
    <t>Adjust</t>
  </si>
  <si>
    <t>PTT</t>
  </si>
  <si>
    <t>TradePTT</t>
  </si>
  <si>
    <t>No</t>
  </si>
  <si>
    <t>Blotter</t>
  </si>
  <si>
    <t>VerifyOrder</t>
  </si>
  <si>
    <t>NewMF</t>
  </si>
  <si>
    <t>Buy</t>
  </si>
  <si>
    <t>Allocation</t>
  </si>
  <si>
    <t>CheckAllocatedGroups</t>
  </si>
  <si>
    <t>PortfolioManagement</t>
  </si>
  <si>
    <t>CheckPortfolioManagement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</si>
</sst>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1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7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7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7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7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7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7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7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7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7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IFERROR(__xludf.DUMMYFUNCTION("""COMPUTED_VALUE"""),"Undefined")</f>
        <v>Undefined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>
        <f>TODAY()-1</f>
        <v>45091</v>
      </c>
      <c r="C6" s="32">
        <f>TODAY()</f>
        <v>45092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18</v>
      </c>
      <c r="D6" s="13">
        <v>100000.0</v>
      </c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UpdateDailyCash!$4:$4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8"/>
      <c r="D6" s="13">
        <v>100.0</v>
      </c>
      <c r="E6" s="33"/>
      <c r="F6" s="8"/>
      <c r="G6" s="8"/>
      <c r="H6" s="8"/>
      <c r="I6" s="8"/>
      <c r="J6" s="13">
        <v>10.0</v>
      </c>
      <c r="K6" s="8"/>
      <c r="L6" s="8"/>
      <c r="M6" s="8"/>
      <c r="N6" s="32">
        <f>TODAY()-1</f>
        <v>45091</v>
      </c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13">
        <v>10.0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IFERROR(__xludf.DUMMYFUNCTION("""COMPUTED_VALUE"""),"DefaultSymbology")</f>
        <v>DefaultSymbology</v>
      </c>
      <c r="C5" s="28" t="str">
        <f>IFERROR(__xludf.DUMMYFUNCTION("""COMPUTED_VALUE"""),"DefaultOptionType")</f>
        <v>DefaultOptionType</v>
      </c>
      <c r="D5" s="28" t="str">
        <f>IFERROR(__xludf.DUMMYFUNCTION("""COMPUTED_VALUE"""),"DefaultNotes")</f>
        <v>DefaultNotes</v>
      </c>
      <c r="E5" s="28" t="str">
        <f>IFERROR(__xludf.DUMMYFUNCTION("""COMPUTED_VALUE"""),"DefaultBrokerNotes")</f>
        <v>DefaultBrokerNotes</v>
      </c>
      <c r="F5" s="29" t="str">
        <f>IFERROR(__xludf.DUMMYFUNCTION("""COMPUTED_VALUE"""),"KeepTradingTicketOpenAfterTrade")</f>
        <v>KeepTradingTicketOpenAfterTrade</v>
      </c>
      <c r="G5" s="28" t="str">
        <f>IFERROR(__xludf.DUMMYFUNCTION("""COMPUTED_VALUE"""),"ShowOptionDetails")</f>
        <v>ShowOptionDetails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24</v>
      </c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SetGeneralPreference!$4:$4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IFERROR(__xludf.DUMMYFUNCTION("IF(C3="""","""",Transpose(IMPORTRANGE('_Settings'!$B$3,C3&amp;""!A4:A1000"")))"),"VerifySymbolsOnWatchlist")</f>
        <v>VerifySymbolsOnWatchlist</v>
      </c>
      <c r="C4" s="25" t="str">
        <f>IFERROR(__xludf.DUMMYFUNCTION("""COMPUTED_VALUE"""),"DeleteSymbolFromWatchlist")</f>
        <v>DeleteSymbolFromWatchlist</v>
      </c>
      <c r="D4" s="25" t="str">
        <f>IFERROR(__xludf.DUMMYFUNCTION("""COMPUTED_VALUE"""),"MultiTradeFromWatchlist")</f>
        <v>MultiTradeFromWatchlist</v>
      </c>
      <c r="E4" s="25" t="str">
        <f>IFERROR(__xludf.DUMMYFUNCTION("""COMPUTED_VALUE"""),"TradeFromWatchlist")</f>
        <v>TradeFromWatchlist</v>
      </c>
      <c r="F4" s="25" t="str">
        <f>IFERROR(__xludf.DUMMYFUNCTION("""COMPUTED_VALUE"""),"AddSymbolToWatchlist")</f>
        <v>AddSymbolToWatchlist</v>
      </c>
      <c r="G4" s="25" t="str">
        <f>IFERROR(__xludf.DUMMYFUNCTION("""COMPUTED_VALUE"""),"DeleteTabOnWatchlist")</f>
        <v>DeleteTabOnWatchlist</v>
      </c>
      <c r="H4" s="25" t="str">
        <f>IFERROR(__xludf.DUMMYFUNCTION("""COMPUTED_VALUE"""),"AddTabOnWatchlist")</f>
        <v>AddTabOnWatchlist</v>
      </c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27</v>
      </c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AddSymbolToWatchlist!$4:$4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IFERROR(__xludf.DUMMYFUNCTION("IF(C3="""","""",Transpose(IMPORTRANGE('_Settings'!$B$3,C3&amp;""!A4:A1000"")))"),"VerifySymbolsOnWatchlist")</f>
        <v>VerifySymbolsOnWatchlist</v>
      </c>
      <c r="C4" s="25" t="str">
        <f>IFERROR(__xludf.DUMMYFUNCTION("""COMPUTED_VALUE"""),"DeleteSymbolFromWatchlist")</f>
        <v>DeleteSymbolFromWatchlist</v>
      </c>
      <c r="D4" s="25" t="str">
        <f>IFERROR(__xludf.DUMMYFUNCTION("""COMPUTED_VALUE"""),"MultiTradeFromWatchlist")</f>
        <v>MultiTradeFromWatchlist</v>
      </c>
      <c r="E4" s="25" t="str">
        <f>IFERROR(__xludf.DUMMYFUNCTION("""COMPUTED_VALUE"""),"TradeFromWatchlist")</f>
        <v>TradeFromWatchlist</v>
      </c>
      <c r="F4" s="25" t="str">
        <f>IFERROR(__xludf.DUMMYFUNCTION("""COMPUTED_VALUE"""),"AddSymbolToWatchlist")</f>
        <v>AddSymbolToWatchlist</v>
      </c>
      <c r="G4" s="25" t="str">
        <f>IFERROR(__xludf.DUMMYFUNCTION("""COMPUTED_VALUE"""),"DeleteTabOnWatchlist")</f>
        <v>DeleteTabOnWatchlist</v>
      </c>
      <c r="H4" s="25" t="str">
        <f>IFERROR(__xludf.DUMMYFUNCTION("""COMPUTED_VALUE"""),"AddTabOnWatchlist")</f>
        <v>AddTabOnWatchlist</v>
      </c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13" t="s">
        <v>29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TradeFromWatchlist!$4:$4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IFERROR(__xludf.DUMMYFUNCTION("""COMPUTED_VALUE"""),"MTT POP UP?")</f>
        <v>MTT POP UP?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13">
        <v>10.0</v>
      </c>
      <c r="F6" s="8"/>
      <c r="G6" s="13" t="s">
        <v>32</v>
      </c>
      <c r="H6" s="8"/>
      <c r="I6" s="13" t="s">
        <v>17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TradePTT!$4:$4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  <c r="AA6" s="9" t="s">
        <v>35</v>
      </c>
      <c r="AD6" s="9">
        <v>1.0</v>
      </c>
      <c r="AI6" s="9" t="s">
        <v>21</v>
      </c>
      <c r="AJ6" s="9" t="s">
        <v>36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27</v>
      </c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  <c r="BO6" s="9" t="s">
        <v>36</v>
      </c>
      <c r="BT6" s="9" t="s">
        <v>21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13"/>
      <c r="B6" s="13"/>
      <c r="C6" s="13" t="s">
        <v>21</v>
      </c>
      <c r="D6" s="13"/>
      <c r="E6" s="13" t="s">
        <v>17</v>
      </c>
      <c r="F6" s="13" t="s">
        <v>35</v>
      </c>
      <c r="G6" s="8"/>
      <c r="H6" s="8"/>
      <c r="I6" s="8"/>
      <c r="J6" s="8"/>
      <c r="K6" s="8"/>
      <c r="L6" s="8"/>
      <c r="M6" s="8"/>
      <c r="N6" s="8"/>
      <c r="O6" s="8"/>
      <c r="Y6" s="9">
        <v>1.0</v>
      </c>
      <c r="AN6" s="9" t="s">
        <v>36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