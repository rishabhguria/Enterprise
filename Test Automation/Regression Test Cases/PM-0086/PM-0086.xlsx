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8" activeTab="12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DoneAwayOrder" sheetId="9" r:id="rId9"/>
    <sheet name="VerifyOrder" sheetId="10" r:id="rId10"/>
    <sheet name="GetDataAllocation" sheetId="11" r:id="rId11"/>
    <sheet name="CheckAllocatedGroups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C6" i="6" l="1"/>
  <c r="B6" i="6"/>
  <c r="BK5" i="13"/>
  <c r="FB5" i="13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X4" i="13"/>
  <c r="P4" i="13"/>
  <c r="H4" i="13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L5" i="11"/>
  <c r="D5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AX5" i="10"/>
  <c r="AP5" i="10"/>
  <c r="AH5" i="10"/>
  <c r="Z5" i="10"/>
  <c r="R5" i="10"/>
  <c r="J5" i="10"/>
  <c r="B5" i="10"/>
  <c r="AP4" i="10"/>
  <c r="AH4" i="10"/>
  <c r="Z4" i="10"/>
  <c r="R4" i="10"/>
  <c r="J4" i="10"/>
  <c r="B4" i="10"/>
  <c r="AJ5" i="9"/>
  <c r="AB5" i="9"/>
  <c r="T5" i="9"/>
  <c r="L5" i="9"/>
  <c r="D5" i="9"/>
  <c r="X4" i="9"/>
  <c r="P4" i="9"/>
  <c r="H4" i="9"/>
  <c r="B5" i="8"/>
  <c r="V4" i="8"/>
  <c r="N4" i="8"/>
  <c r="F4" i="8"/>
  <c r="B5" i="7"/>
  <c r="AA4" i="7"/>
  <c r="S4" i="7"/>
  <c r="K4" i="7"/>
  <c r="C4" i="7"/>
  <c r="AG4" i="6"/>
  <c r="Y4" i="6"/>
  <c r="Q4" i="6"/>
  <c r="I4" i="6"/>
  <c r="DL4" i="5"/>
  <c r="DD4" i="5"/>
  <c r="CV4" i="5"/>
  <c r="CN4" i="5"/>
  <c r="CF4" i="5"/>
  <c r="FA5" i="13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W4" i="13"/>
  <c r="O4" i="13"/>
  <c r="G4" i="13"/>
  <c r="CR5" i="12"/>
  <c r="CJ5" i="12"/>
  <c r="CB5" i="12"/>
  <c r="BT5" i="12"/>
  <c r="BL5" i="12"/>
  <c r="BD5" i="12"/>
  <c r="AV5" i="12"/>
  <c r="AN5" i="12"/>
  <c r="AF5" i="12"/>
  <c r="X5" i="12"/>
  <c r="P5" i="12"/>
  <c r="H5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K5" i="11"/>
  <c r="C5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AW5" i="10"/>
  <c r="AO5" i="10"/>
  <c r="AG5" i="10"/>
  <c r="Y5" i="10"/>
  <c r="Q5" i="10"/>
  <c r="I5" i="10"/>
  <c r="A5" i="10"/>
  <c r="AO4" i="10"/>
  <c r="AG4" i="10"/>
  <c r="Y4" i="10"/>
  <c r="Q4" i="10"/>
  <c r="I4" i="10"/>
  <c r="AI5" i="9"/>
  <c r="AA5" i="9"/>
  <c r="S5" i="9"/>
  <c r="K5" i="9"/>
  <c r="C5" i="9"/>
  <c r="W4" i="9"/>
  <c r="O4" i="9"/>
  <c r="G4" i="9"/>
  <c r="A5" i="8"/>
  <c r="U4" i="8"/>
  <c r="M4" i="8"/>
  <c r="E4" i="8"/>
  <c r="A5" i="7"/>
  <c r="Z4" i="7"/>
  <c r="R4" i="7"/>
  <c r="J4" i="7"/>
  <c r="B4" i="7"/>
  <c r="AF4" i="6"/>
  <c r="X4" i="6"/>
  <c r="P4" i="6"/>
  <c r="H4" i="6"/>
  <c r="B5" i="5"/>
  <c r="DK4" i="5"/>
  <c r="DC4" i="5"/>
  <c r="CU4" i="5"/>
  <c r="CM4" i="5"/>
  <c r="CE4" i="5"/>
  <c r="BW4" i="5"/>
  <c r="BO4" i="5"/>
  <c r="BG4" i="5"/>
  <c r="AY4" i="5"/>
  <c r="AQ4" i="5"/>
  <c r="AI4" i="5"/>
  <c r="EZ5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V4" i="13"/>
  <c r="N4" i="13"/>
  <c r="F4" i="13"/>
  <c r="CQ5" i="12"/>
  <c r="CI5" i="12"/>
  <c r="CA5" i="12"/>
  <c r="BS5" i="12"/>
  <c r="BK5" i="12"/>
  <c r="BC5" i="12"/>
  <c r="AU5" i="12"/>
  <c r="AM5" i="12"/>
  <c r="AE5" i="12"/>
  <c r="W5" i="12"/>
  <c r="O5" i="12"/>
  <c r="G5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R5" i="11"/>
  <c r="J5" i="11"/>
  <c r="B5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AV5" i="10"/>
  <c r="AN5" i="10"/>
  <c r="AF5" i="10"/>
  <c r="X5" i="10"/>
  <c r="P5" i="10"/>
  <c r="H5" i="10"/>
  <c r="AV4" i="10"/>
  <c r="AN4" i="10"/>
  <c r="AF4" i="10"/>
  <c r="X4" i="10"/>
  <c r="P4" i="10"/>
  <c r="H4" i="10"/>
  <c r="AP5" i="9"/>
  <c r="AH5" i="9"/>
  <c r="Z5" i="9"/>
  <c r="R5" i="9"/>
  <c r="J5" i="9"/>
  <c r="B5" i="9"/>
  <c r="V4" i="9"/>
  <c r="N4" i="9"/>
  <c r="F4" i="9"/>
  <c r="AB4" i="8"/>
  <c r="T4" i="8"/>
  <c r="L4" i="8"/>
  <c r="D4" i="8"/>
  <c r="AG4" i="7"/>
  <c r="Y4" i="7"/>
  <c r="Q4" i="7"/>
  <c r="I4" i="7"/>
  <c r="AE4" i="6"/>
  <c r="W4" i="6"/>
  <c r="O4" i="6"/>
  <c r="G4" i="6"/>
  <c r="A5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5" i="4"/>
  <c r="G4" i="4"/>
  <c r="C20" i="3"/>
  <c r="C18" i="3"/>
  <c r="EY5" i="13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U4" i="13"/>
  <c r="M4" i="13"/>
  <c r="E4" i="13"/>
  <c r="CP5" i="12"/>
  <c r="CH5" i="12"/>
  <c r="BZ5" i="12"/>
  <c r="BR5" i="12"/>
  <c r="BJ5" i="12"/>
  <c r="BB5" i="12"/>
  <c r="AT5" i="12"/>
  <c r="AL5" i="12"/>
  <c r="AD5" i="12"/>
  <c r="V5" i="12"/>
  <c r="N5" i="12"/>
  <c r="F5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Q5" i="11"/>
  <c r="I5" i="11"/>
  <c r="A5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AU5" i="10"/>
  <c r="AM5" i="10"/>
  <c r="AE5" i="10"/>
  <c r="W5" i="10"/>
  <c r="O5" i="10"/>
  <c r="G5" i="10"/>
  <c r="AU4" i="10"/>
  <c r="AM4" i="10"/>
  <c r="AE4" i="10"/>
  <c r="W4" i="10"/>
  <c r="O4" i="10"/>
  <c r="G4" i="10"/>
  <c r="AO5" i="9"/>
  <c r="AG5" i="9"/>
  <c r="Y5" i="9"/>
  <c r="Q5" i="9"/>
  <c r="I5" i="9"/>
  <c r="A5" i="9"/>
  <c r="U4" i="9"/>
  <c r="M4" i="9"/>
  <c r="E4" i="9"/>
  <c r="AA4" i="8"/>
  <c r="S4" i="8"/>
  <c r="K4" i="8"/>
  <c r="C4" i="8"/>
  <c r="AF4" i="7"/>
  <c r="X4" i="7"/>
  <c r="P4" i="7"/>
  <c r="H4" i="7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T4" i="13"/>
  <c r="L4" i="13"/>
  <c r="D4" i="13"/>
  <c r="CO5" i="12"/>
  <c r="CG5" i="12"/>
  <c r="BY5" i="12"/>
  <c r="BQ5" i="12"/>
  <c r="BI5" i="12"/>
  <c r="BA5" i="12"/>
  <c r="AS5" i="12"/>
  <c r="AK5" i="12"/>
  <c r="AC5" i="12"/>
  <c r="U5" i="12"/>
  <c r="M5" i="12"/>
  <c r="E5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P5" i="11"/>
  <c r="H5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AT5" i="10"/>
  <c r="AL5" i="10"/>
  <c r="AD5" i="10"/>
  <c r="V5" i="10"/>
  <c r="N5" i="10"/>
  <c r="F5" i="10"/>
  <c r="AT4" i="10"/>
  <c r="AL4" i="10"/>
  <c r="AD4" i="10"/>
  <c r="V4" i="10"/>
  <c r="N4" i="10"/>
  <c r="F4" i="10"/>
  <c r="AN5" i="9"/>
  <c r="AF5" i="9"/>
  <c r="X5" i="9"/>
  <c r="P5" i="9"/>
  <c r="H5" i="9"/>
  <c r="AB4" i="9"/>
  <c r="T4" i="9"/>
  <c r="L4" i="9"/>
  <c r="D4" i="9"/>
  <c r="Z4" i="8"/>
  <c r="R4" i="8"/>
  <c r="J4" i="8"/>
  <c r="B4" i="8"/>
  <c r="AE4" i="7"/>
  <c r="W4" i="7"/>
  <c r="O4" i="7"/>
  <c r="G4" i="7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S4" i="13"/>
  <c r="K4" i="13"/>
  <c r="C4" i="13"/>
  <c r="CN5" i="12"/>
  <c r="CF5" i="12"/>
  <c r="BX5" i="12"/>
  <c r="BP5" i="12"/>
  <c r="BH5" i="12"/>
  <c r="AZ5" i="12"/>
  <c r="AR5" i="12"/>
  <c r="AJ5" i="12"/>
  <c r="AB5" i="12"/>
  <c r="T5" i="12"/>
  <c r="L5" i="12"/>
  <c r="D5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O5" i="11"/>
  <c r="G5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BA5" i="10"/>
  <c r="AS5" i="10"/>
  <c r="AK5" i="10"/>
  <c r="AC5" i="10"/>
  <c r="U5" i="10"/>
  <c r="M5" i="10"/>
  <c r="E5" i="10"/>
  <c r="AS4" i="10"/>
  <c r="AK4" i="10"/>
  <c r="AC4" i="10"/>
  <c r="U4" i="10"/>
  <c r="M4" i="10"/>
  <c r="E4" i="10"/>
  <c r="AM5" i="9"/>
  <c r="AE5" i="9"/>
  <c r="W5" i="9"/>
  <c r="O5" i="9"/>
  <c r="G5" i="9"/>
  <c r="AA4" i="9"/>
  <c r="S4" i="9"/>
  <c r="K4" i="9"/>
  <c r="C4" i="9"/>
  <c r="Y4" i="8"/>
  <c r="Q4" i="8"/>
  <c r="I4" i="8"/>
  <c r="AD4" i="7"/>
  <c r="V4" i="7"/>
  <c r="N4" i="7"/>
  <c r="F4" i="7"/>
  <c r="C5" i="6"/>
  <c r="AB4" i="6"/>
  <c r="T4" i="6"/>
  <c r="L4" i="6"/>
  <c r="D4" i="6"/>
  <c r="DO4" i="5"/>
  <c r="DG4" i="5"/>
  <c r="CY4" i="5"/>
  <c r="CQ4" i="5"/>
  <c r="CI4" i="5"/>
  <c r="CA4" i="5"/>
  <c r="BS4" i="5"/>
  <c r="BK4" i="5"/>
  <c r="BC4" i="5"/>
  <c r="AU4" i="5"/>
  <c r="AM4" i="5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Z4" i="13"/>
  <c r="R4" i="13"/>
  <c r="J4" i="13"/>
  <c r="B4" i="13"/>
  <c r="CM5" i="12"/>
  <c r="CE5" i="12"/>
  <c r="BW5" i="12"/>
  <c r="BO5" i="12"/>
  <c r="BG5" i="12"/>
  <c r="AY5" i="12"/>
  <c r="AQ5" i="12"/>
  <c r="AI5" i="12"/>
  <c r="AA5" i="12"/>
  <c r="S5" i="12"/>
  <c r="K5" i="12"/>
  <c r="C5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N5" i="11"/>
  <c r="F5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AZ5" i="10"/>
  <c r="AR5" i="10"/>
  <c r="AJ5" i="10"/>
  <c r="AB5" i="10"/>
  <c r="T5" i="10"/>
  <c r="L5" i="10"/>
  <c r="D5" i="10"/>
  <c r="AR4" i="10"/>
  <c r="AJ4" i="10"/>
  <c r="AB4" i="10"/>
  <c r="T4" i="10"/>
  <c r="L4" i="10"/>
  <c r="D4" i="10"/>
  <c r="AL5" i="9"/>
  <c r="AD5" i="9"/>
  <c r="V5" i="9"/>
  <c r="N5" i="9"/>
  <c r="F5" i="9"/>
  <c r="Z4" i="9"/>
  <c r="R4" i="9"/>
  <c r="J4" i="9"/>
  <c r="B4" i="9"/>
  <c r="X4" i="8"/>
  <c r="P4" i="8"/>
  <c r="H4" i="8"/>
  <c r="D5" i="7"/>
  <c r="AC4" i="7"/>
  <c r="U4" i="7"/>
  <c r="M4" i="7"/>
  <c r="E4" i="7"/>
  <c r="B5" i="6"/>
  <c r="AA4" i="6"/>
  <c r="S4" i="6"/>
  <c r="K4" i="6"/>
  <c r="C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I5" i="4"/>
  <c r="A5" i="4"/>
  <c r="C4" i="4"/>
  <c r="C19" i="3"/>
  <c r="C17" i="3"/>
  <c r="C15" i="3"/>
  <c r="C13" i="3"/>
  <c r="C11" i="3"/>
  <c r="C9" i="3"/>
  <c r="C7" i="3"/>
  <c r="EU5" i="13"/>
  <c r="EM5" i="13"/>
  <c r="EE5" i="13"/>
  <c r="DW5" i="13"/>
  <c r="DO5" i="13"/>
  <c r="DG5" i="13"/>
  <c r="CY5" i="13"/>
  <c r="CQ5" i="13"/>
  <c r="CI5" i="13"/>
  <c r="CA5" i="13"/>
  <c r="BS5" i="13"/>
  <c r="BC5" i="13"/>
  <c r="AU5" i="13"/>
  <c r="AM5" i="13"/>
  <c r="AE5" i="13"/>
  <c r="W5" i="13"/>
  <c r="O5" i="13"/>
  <c r="G5" i="13"/>
  <c r="Y4" i="13"/>
  <c r="Q4" i="13"/>
  <c r="I4" i="13"/>
  <c r="CL5" i="12"/>
  <c r="CD5" i="12"/>
  <c r="BV5" i="12"/>
  <c r="BN5" i="12"/>
  <c r="BF5" i="12"/>
  <c r="AX5" i="12"/>
  <c r="AP5" i="12"/>
  <c r="AH5" i="12"/>
  <c r="Z5" i="12"/>
  <c r="R5" i="12"/>
  <c r="J5" i="12"/>
  <c r="B5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M5" i="11"/>
  <c r="E5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AY5" i="10"/>
  <c r="AQ5" i="10"/>
  <c r="AI5" i="10"/>
  <c r="AA5" i="10"/>
  <c r="S5" i="10"/>
  <c r="K5" i="10"/>
  <c r="C5" i="10"/>
  <c r="AQ4" i="10"/>
  <c r="AI4" i="10"/>
  <c r="AA4" i="10"/>
  <c r="S4" i="10"/>
  <c r="K4" i="10"/>
  <c r="C4" i="10"/>
  <c r="AK5" i="9"/>
  <c r="AC5" i="9"/>
  <c r="U5" i="9"/>
  <c r="M5" i="9"/>
  <c r="E5" i="9"/>
  <c r="Y4" i="9"/>
  <c r="Q4" i="9"/>
  <c r="I4" i="9"/>
  <c r="W4" i="8"/>
  <c r="O4" i="8"/>
  <c r="N4" i="6"/>
  <c r="DM4" i="5"/>
  <c r="CR4" i="5"/>
  <c r="BX4" i="5"/>
  <c r="BH4" i="5"/>
  <c r="AR4" i="5"/>
  <c r="AC4" i="5"/>
  <c r="S4" i="5"/>
  <c r="H4" i="5"/>
  <c r="H5" i="4"/>
  <c r="H4" i="4"/>
  <c r="A20" i="3"/>
  <c r="B17" i="3"/>
  <c r="A15" i="3"/>
  <c r="D12" i="3"/>
  <c r="C10" i="3"/>
  <c r="B8" i="3"/>
  <c r="A6" i="3"/>
  <c r="A4" i="3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G4" i="8"/>
  <c r="A5" i="6"/>
  <c r="M4" i="6"/>
  <c r="DI4" i="5"/>
  <c r="CO4" i="5"/>
  <c r="BU4" i="5"/>
  <c r="BE4" i="5"/>
  <c r="AO4" i="5"/>
  <c r="AB4" i="5"/>
  <c r="Q4" i="5"/>
  <c r="G4" i="5"/>
  <c r="G5" i="4"/>
  <c r="F4" i="4"/>
  <c r="D19" i="3"/>
  <c r="A17" i="3"/>
  <c r="D14" i="3"/>
  <c r="C12" i="3"/>
  <c r="B10" i="3"/>
  <c r="A8" i="3"/>
  <c r="D5" i="3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C5" i="7"/>
  <c r="AD4" i="6"/>
  <c r="J4" i="6"/>
  <c r="DH4" i="5"/>
  <c r="CK4" i="5"/>
  <c r="BT4" i="5"/>
  <c r="BD4" i="5"/>
  <c r="AN4" i="5"/>
  <c r="AA4" i="5"/>
  <c r="P4" i="5"/>
  <c r="E4" i="5"/>
  <c r="F5" i="4"/>
  <c r="E4" i="4"/>
  <c r="B19" i="3"/>
  <c r="D16" i="3"/>
  <c r="C14" i="3"/>
  <c r="B12" i="3"/>
  <c r="A10" i="3"/>
  <c r="D7" i="3"/>
  <c r="C5" i="3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B4" i="7"/>
  <c r="AC4" i="6"/>
  <c r="F4" i="6"/>
  <c r="DE4" i="5"/>
  <c r="CJ4" i="5"/>
  <c r="BQ4" i="5"/>
  <c r="BA4" i="5"/>
  <c r="AK4" i="5"/>
  <c r="Y4" i="5"/>
  <c r="O4" i="5"/>
  <c r="D4" i="5"/>
  <c r="D5" i="4"/>
  <c r="D4" i="4"/>
  <c r="A19" i="3"/>
  <c r="C16" i="3"/>
  <c r="B14" i="3"/>
  <c r="A12" i="3"/>
  <c r="D9" i="3"/>
  <c r="B7" i="3"/>
  <c r="B5" i="3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T4" i="7"/>
  <c r="Z4" i="6"/>
  <c r="E4" i="6"/>
  <c r="DA4" i="5"/>
  <c r="CG4" i="5"/>
  <c r="BP4" i="5"/>
  <c r="AZ4" i="5"/>
  <c r="AJ4" i="5"/>
  <c r="X4" i="5"/>
  <c r="M4" i="5"/>
  <c r="C4" i="5"/>
  <c r="C5" i="4"/>
  <c r="B4" i="4"/>
  <c r="D18" i="3"/>
  <c r="B16" i="3"/>
  <c r="A14" i="3"/>
  <c r="D11" i="3"/>
  <c r="B9" i="3"/>
  <c r="A7" i="3"/>
  <c r="A5" i="3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L4" i="7"/>
  <c r="V4" i="6"/>
  <c r="B4" i="6"/>
  <c r="CZ4" i="5"/>
  <c r="CC4" i="5"/>
  <c r="BM4" i="5"/>
  <c r="AW4" i="5"/>
  <c r="AG4" i="5"/>
  <c r="W4" i="5"/>
  <c r="L4" i="5"/>
  <c r="B5" i="4"/>
  <c r="B18" i="3"/>
  <c r="A16" i="3"/>
  <c r="D13" i="3"/>
  <c r="B11" i="3"/>
  <c r="A9" i="3"/>
  <c r="D6" i="3"/>
  <c r="D4" i="3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D4" i="7"/>
  <c r="U4" i="6"/>
  <c r="DQ4" i="5"/>
  <c r="CW4" i="5"/>
  <c r="CB4" i="5"/>
  <c r="BL4" i="5"/>
  <c r="AV4" i="5"/>
  <c r="AF4" i="5"/>
  <c r="U4" i="5"/>
  <c r="K4" i="5"/>
  <c r="K5" i="4"/>
  <c r="J4" i="4"/>
  <c r="D20" i="3"/>
  <c r="A18" i="3"/>
  <c r="D15" i="3"/>
  <c r="B13" i="3"/>
  <c r="A11" i="3"/>
  <c r="D8" i="3"/>
  <c r="C6" i="3"/>
  <c r="C4" i="3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R4" i="6"/>
  <c r="DP4" i="5"/>
  <c r="CS4" i="5"/>
  <c r="BY4" i="5"/>
  <c r="BI4" i="5"/>
  <c r="AS4" i="5"/>
  <c r="AE4" i="5"/>
  <c r="T4" i="5"/>
  <c r="I4" i="5"/>
  <c r="J5" i="4"/>
  <c r="I4" i="4"/>
  <c r="B20" i="3"/>
  <c r="D17" i="3"/>
  <c r="B15" i="3"/>
  <c r="A13" i="3"/>
  <c r="D10" i="3"/>
  <c r="C8" i="3"/>
  <c r="B6" i="3"/>
  <c r="B4" i="3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09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208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J2" i="6" l="1"/>
  <c r="J2" i="12"/>
  <c r="J2" i="10"/>
  <c r="J2" i="7"/>
  <c r="J2" i="11"/>
  <c r="J2" i="8"/>
  <c r="J2" i="13"/>
  <c r="J2" i="9"/>
  <c r="J2" i="5"/>
  <c r="J2" i="4"/>
</calcChain>
</file>

<file path=xl/sharedStrings.xml><?xml version="1.0" encoding="utf-8"?>
<sst xmlns="http://schemas.openxmlformats.org/spreadsheetml/2006/main" count="149" uniqueCount="45">
  <si>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</si>
  <si>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</si>
  <si>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</si>
  <si>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</si>
  <si>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</si>
  <si>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</si>
  <si>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</si>
  <si>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</si>
  <si>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</si>
  <si>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</si>
  <si>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</si>
  <si>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</si>
  <si>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</si>
  <si>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</si>
  <si>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</si>
  <si>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</si>
  <si>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</si>
  <si>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</si>
  <si>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</si>
  <si>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</si>
  <si>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</si>
  <si>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</si>
  <si>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</si>
  <si>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TradingTicket</t>
  </si>
  <si>
    <t>UpdateMasterFundOnTT</t>
  </si>
  <si>
    <t>NewMF</t>
  </si>
  <si>
    <t>CreateDoneAwayOrder</t>
  </si>
  <si>
    <t>AAPL</t>
  </si>
  <si>
    <t>Sell</t>
  </si>
  <si>
    <t>MS</t>
  </si>
  <si>
    <t>Blotter</t>
  </si>
  <si>
    <t>VerifyOrder</t>
  </si>
  <si>
    <t>Equity</t>
  </si>
  <si>
    <t>Filled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</si>
  <si>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</si>
  <si>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</si>
  <si>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</si>
  <si>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</si>
  <si>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</si>
  <si>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</si>
  <si>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</si>
  <si>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Short</t>
  </si>
  <si>
    <t>US</t>
  </si>
  <si>
    <t>NASDAQ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</si>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</sst>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/>
    <xf numFmtId="0" fontId="3" fillId="0" borderId="5" xfId="0" applyFont="1" applyBorder="1" applyAlignment="1">
      <alignment horizontal="right"/>
    </xf>
    <xf numFmtId="4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5" fillId="0" borderId="0" xfId="0" applyFont="1" applyAlignme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32" sqref="F32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7" t="s">
        <v>0</v>
      </c>
      <c r="B1" s="48"/>
      <c r="C1" s="48"/>
      <c r="D1" s="48"/>
      <c r="E1" s="48"/>
      <c r="F1" s="49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 x14ac:dyDescent="0.2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 x14ac:dyDescent="0.2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 x14ac:dyDescent="0.2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 x14ac:dyDescent="0.2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 x14ac:dyDescent="0.2">
      <c r="A491" t="str">
        <f ca="1">IFERROR(__xludf.DUMMYFUNCTION("""COMPUTED_VALUE"""),"Blotter")</f>
        <v>Blotter</v>
      </c>
      <c r="B491" t="str">
        <f ca="1">IFERROR(__xludf.DUMMYFUNCTION("""COMPUTED_VALUE"""),"OpenBlotter")</f>
        <v>OpenBlotter</v>
      </c>
      <c r="C491" t="str">
        <f ca="1">IFERROR(__xludf.DUMMYFUNCTION("""COMPUTED_VALUE"""),"12ceIzEYIShy-_njSlPPAl07iNZK9EY7UC-GDAyLFzV4")</f>
        <v>12ceIzEYIShy-_njSlPPAl07iNZK9EY7UC-GDAyLFzV4</v>
      </c>
    </row>
    <row r="492" spans="1:3" ht="15.75" customHeight="1" x14ac:dyDescent="0.2"/>
    <row r="493" spans="1:3" ht="15.75" customHeight="1" x14ac:dyDescent="0.2"/>
    <row r="494" spans="1:3" ht="15.75" customHeight="1" x14ac:dyDescent="0.2"/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0" t="s">
        <v>2</v>
      </c>
      <c r="B1" s="48"/>
      <c r="C1" s="49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7" t="s">
        <v>7</v>
      </c>
      <c r="B1" s="48"/>
      <c r="C1" s="48"/>
      <c r="D1" s="48"/>
      <c r="E1" s="48"/>
      <c r="F1" s="49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6"/>
      <c r="C6" s="27"/>
      <c r="D6" s="28" t="b">
        <v>1</v>
      </c>
      <c r="E6" s="27"/>
      <c r="F6" s="27"/>
      <c r="G6" s="27"/>
      <c r="H6" s="29">
        <v>10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2">
        <f t="shared" ref="B6:C6" ca="1" si="0">TODAY()-1</f>
        <v>44411</v>
      </c>
      <c r="C6" s="33">
        <f t="shared" ca="1" si="0"/>
        <v>44411</v>
      </c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6"/>
      <c r="B6" s="26" t="s">
        <v>21</v>
      </c>
      <c r="C6" s="27" t="s">
        <v>22</v>
      </c>
      <c r="D6" s="34">
        <v>300000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25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6"/>
      <c r="B6" s="26" t="s">
        <v>27</v>
      </c>
      <c r="C6" s="27" t="s">
        <v>28</v>
      </c>
      <c r="D6" s="34">
        <v>100</v>
      </c>
      <c r="E6" s="29">
        <v>100</v>
      </c>
      <c r="F6" s="27" t="s">
        <v>21</v>
      </c>
      <c r="G6" s="27" t="s">
        <v>29</v>
      </c>
      <c r="H6" s="27"/>
      <c r="I6" s="27"/>
      <c r="J6" s="29">
        <v>210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0" t="s">
        <v>27</v>
      </c>
      <c r="C7" s="30" t="s">
        <v>28</v>
      </c>
      <c r="D7" s="35">
        <v>100000</v>
      </c>
      <c r="E7" s="35">
        <v>100000</v>
      </c>
      <c r="F7" s="30" t="s">
        <v>21</v>
      </c>
      <c r="G7" s="30" t="s">
        <v>29</v>
      </c>
      <c r="H7" s="30"/>
      <c r="I7" s="30"/>
      <c r="J7" s="35">
        <v>210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6"/>
      <c r="B6" s="26"/>
      <c r="C6" s="27"/>
      <c r="D6" s="34">
        <v>210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6">
        <v>1</v>
      </c>
      <c r="AE6" s="30"/>
      <c r="AF6" s="30"/>
      <c r="AG6" s="30"/>
      <c r="AH6" s="36" t="s">
        <v>32</v>
      </c>
      <c r="AI6" s="30" t="s">
        <v>27</v>
      </c>
      <c r="AJ6" s="30" t="s">
        <v>28</v>
      </c>
      <c r="AK6" s="30" t="s">
        <v>33</v>
      </c>
      <c r="AL6" s="37">
        <v>100</v>
      </c>
      <c r="AM6" s="37">
        <v>100</v>
      </c>
      <c r="AN6" s="37">
        <v>100</v>
      </c>
      <c r="AO6" s="37">
        <v>100</v>
      </c>
      <c r="AP6" s="30"/>
      <c r="AQ6" s="37">
        <v>210</v>
      </c>
      <c r="AR6" s="37">
        <v>210</v>
      </c>
      <c r="AS6" s="30" t="s">
        <v>29</v>
      </c>
      <c r="AT6" s="30" t="s">
        <v>21</v>
      </c>
      <c r="AU6" s="30" t="s">
        <v>34</v>
      </c>
      <c r="AV6" s="37">
        <v>-21000</v>
      </c>
      <c r="AW6" s="37">
        <v>-21000</v>
      </c>
      <c r="AX6" s="30"/>
      <c r="AY6" s="37">
        <v>100</v>
      </c>
      <c r="AZ6" s="37">
        <v>0</v>
      </c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0"/>
      <c r="C7" s="30"/>
      <c r="D7" s="35">
        <v>210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6">
        <v>1</v>
      </c>
      <c r="AE7" s="30"/>
      <c r="AF7" s="30"/>
      <c r="AG7" s="30"/>
      <c r="AH7" s="36" t="s">
        <v>32</v>
      </c>
      <c r="AI7" s="30" t="s">
        <v>27</v>
      </c>
      <c r="AJ7" s="30" t="s">
        <v>28</v>
      </c>
      <c r="AK7" s="30" t="s">
        <v>33</v>
      </c>
      <c r="AL7" s="37">
        <v>100000</v>
      </c>
      <c r="AM7" s="37">
        <v>100000</v>
      </c>
      <c r="AN7" s="37">
        <v>100</v>
      </c>
      <c r="AO7" s="37">
        <v>100000</v>
      </c>
      <c r="AP7" s="30"/>
      <c r="AQ7" s="37">
        <v>210</v>
      </c>
      <c r="AR7" s="37">
        <v>210</v>
      </c>
      <c r="AS7" s="30" t="s">
        <v>29</v>
      </c>
      <c r="AT7" s="30" t="s">
        <v>21</v>
      </c>
      <c r="AU7" s="30" t="s">
        <v>34</v>
      </c>
      <c r="AV7" s="38">
        <v>-21000000</v>
      </c>
      <c r="AW7" s="38">
        <v>-21000000</v>
      </c>
      <c r="AX7" s="30"/>
      <c r="AY7" s="37">
        <v>100000</v>
      </c>
      <c r="AZ7" s="37">
        <v>0</v>
      </c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36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5">
      <c r="A6" s="26"/>
      <c r="B6" s="26" t="s">
        <v>21</v>
      </c>
      <c r="C6" s="27"/>
      <c r="D6" s="39">
        <v>0</v>
      </c>
      <c r="E6" s="29">
        <v>100</v>
      </c>
      <c r="F6" s="27"/>
      <c r="G6" s="27"/>
      <c r="H6" s="29">
        <v>4</v>
      </c>
      <c r="I6" s="29">
        <v>5</v>
      </c>
      <c r="J6" s="27"/>
      <c r="K6" s="29">
        <v>210</v>
      </c>
      <c r="L6" s="29">
        <v>210</v>
      </c>
      <c r="M6" s="27"/>
      <c r="N6" s="27"/>
      <c r="O6" s="40" t="s">
        <v>29</v>
      </c>
      <c r="P6" s="27"/>
      <c r="Q6" s="39">
        <v>3</v>
      </c>
      <c r="R6" s="41">
        <v>0</v>
      </c>
      <c r="S6" s="27" t="s">
        <v>38</v>
      </c>
      <c r="T6" s="37">
        <v>0</v>
      </c>
      <c r="U6" s="37">
        <v>0</v>
      </c>
      <c r="V6" s="30"/>
      <c r="W6" s="30"/>
      <c r="X6" s="30"/>
      <c r="Y6" s="30"/>
      <c r="Z6" s="30"/>
      <c r="AA6" s="30"/>
      <c r="AB6" s="30"/>
      <c r="AC6" s="30"/>
      <c r="AD6" s="30"/>
      <c r="AE6" s="37">
        <v>100</v>
      </c>
      <c r="AF6" s="30"/>
      <c r="AG6" s="30"/>
      <c r="AH6" s="30"/>
      <c r="AI6" s="37">
        <v>1</v>
      </c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42">
        <v>20985.9882</v>
      </c>
      <c r="AU6" s="42">
        <v>20985.9882</v>
      </c>
      <c r="AV6" s="30"/>
      <c r="AW6" s="37">
        <v>0</v>
      </c>
      <c r="AX6" s="37">
        <v>0</v>
      </c>
      <c r="AY6" s="30" t="s">
        <v>34</v>
      </c>
      <c r="AZ6" s="37">
        <v>0</v>
      </c>
      <c r="BA6" s="30"/>
      <c r="BB6" s="30"/>
      <c r="BC6" s="37">
        <v>0</v>
      </c>
      <c r="BD6" s="30"/>
      <c r="BE6" s="38">
        <v>21000</v>
      </c>
      <c r="BF6" s="37">
        <v>21000</v>
      </c>
      <c r="BG6" s="30"/>
      <c r="BH6" s="30"/>
      <c r="BI6" s="30"/>
      <c r="BJ6" s="37">
        <v>100</v>
      </c>
      <c r="BK6" s="36">
        <v>0</v>
      </c>
      <c r="BL6" s="30"/>
      <c r="BM6" s="30"/>
      <c r="BN6" s="30"/>
      <c r="BO6" s="30" t="s">
        <v>28</v>
      </c>
      <c r="BP6" s="37">
        <v>0</v>
      </c>
      <c r="BQ6" s="30"/>
      <c r="BR6" s="30"/>
      <c r="BS6" s="30"/>
      <c r="BT6" s="30" t="s">
        <v>27</v>
      </c>
      <c r="BU6" s="37">
        <v>3</v>
      </c>
      <c r="BV6" s="43">
        <v>0</v>
      </c>
      <c r="BW6" s="43">
        <v>14.011799999999999</v>
      </c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 t="s">
        <v>28</v>
      </c>
      <c r="CJ6" s="37">
        <v>0</v>
      </c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5">
      <c r="A7" s="30"/>
      <c r="B7" s="30" t="s">
        <v>21</v>
      </c>
      <c r="C7" s="30"/>
      <c r="D7" s="36">
        <v>0</v>
      </c>
      <c r="E7" s="35">
        <v>100000</v>
      </c>
      <c r="F7" s="30"/>
      <c r="G7" s="30"/>
      <c r="H7" s="35">
        <v>4</v>
      </c>
      <c r="I7" s="35">
        <v>5</v>
      </c>
      <c r="J7" s="30"/>
      <c r="K7" s="35">
        <v>210</v>
      </c>
      <c r="L7" s="35">
        <v>210</v>
      </c>
      <c r="M7" s="30"/>
      <c r="N7" s="30"/>
      <c r="O7" s="44" t="s">
        <v>29</v>
      </c>
      <c r="P7" s="30"/>
      <c r="Q7" s="36">
        <v>3</v>
      </c>
      <c r="R7" s="37">
        <v>0</v>
      </c>
      <c r="S7" s="30" t="s">
        <v>38</v>
      </c>
      <c r="T7" s="37">
        <v>0</v>
      </c>
      <c r="U7" s="37">
        <v>0</v>
      </c>
      <c r="V7" s="30"/>
      <c r="W7" s="30"/>
      <c r="X7" s="30"/>
      <c r="Y7" s="30"/>
      <c r="Z7" s="30"/>
      <c r="AA7" s="30"/>
      <c r="AB7" s="30"/>
      <c r="AC7" s="30"/>
      <c r="AD7" s="30"/>
      <c r="AE7" s="37">
        <v>100000</v>
      </c>
      <c r="AF7" s="30"/>
      <c r="AG7" s="30"/>
      <c r="AH7" s="30"/>
      <c r="AI7" s="37">
        <v>1</v>
      </c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42">
        <v>20999974.239999998</v>
      </c>
      <c r="AU7" s="42">
        <v>20999974.239999998</v>
      </c>
      <c r="AV7" s="30"/>
      <c r="AW7" s="37">
        <v>0</v>
      </c>
      <c r="AX7" s="37">
        <v>0</v>
      </c>
      <c r="AY7" s="30" t="s">
        <v>34</v>
      </c>
      <c r="AZ7" s="37">
        <v>0</v>
      </c>
      <c r="BA7" s="30"/>
      <c r="BB7" s="30"/>
      <c r="BC7" s="37">
        <v>0</v>
      </c>
      <c r="BD7" s="30"/>
      <c r="BE7" s="38">
        <v>21000000</v>
      </c>
      <c r="BF7" s="38">
        <v>21000000</v>
      </c>
      <c r="BG7" s="30"/>
      <c r="BH7" s="30"/>
      <c r="BI7" s="30"/>
      <c r="BJ7" s="37">
        <v>100000</v>
      </c>
      <c r="BK7" s="36">
        <v>0</v>
      </c>
      <c r="BL7" s="30"/>
      <c r="BM7" s="30"/>
      <c r="BN7" s="30"/>
      <c r="BO7" s="30" t="s">
        <v>28</v>
      </c>
      <c r="BP7" s="37">
        <v>0</v>
      </c>
      <c r="BQ7" s="30"/>
      <c r="BR7" s="30"/>
      <c r="BS7" s="30"/>
      <c r="BT7" s="30" t="s">
        <v>27</v>
      </c>
      <c r="BU7" s="37">
        <v>3</v>
      </c>
      <c r="BV7" s="43">
        <v>0</v>
      </c>
      <c r="BW7" s="43">
        <v>25.76</v>
      </c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 t="s">
        <v>28</v>
      </c>
      <c r="CJ7" s="37">
        <v>0</v>
      </c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10" sqref="BK1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8" customWidth="1"/>
    <col min="64" max="168" width="14.42578125" customWidth="1"/>
  </cols>
  <sheetData>
    <row r="1" spans="1:168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26"/>
      <c r="B6" s="26"/>
      <c r="C6" s="27" t="s">
        <v>27</v>
      </c>
      <c r="D6" s="34">
        <v>-100</v>
      </c>
      <c r="E6" s="27" t="s">
        <v>21</v>
      </c>
      <c r="F6" s="27" t="s">
        <v>25</v>
      </c>
      <c r="G6" s="29">
        <v>210</v>
      </c>
      <c r="H6" s="27" t="s">
        <v>41</v>
      </c>
      <c r="I6" s="35">
        <v>0</v>
      </c>
      <c r="J6" s="41">
        <v>0</v>
      </c>
      <c r="K6" s="29">
        <v>0</v>
      </c>
      <c r="L6" s="41">
        <v>0</v>
      </c>
      <c r="M6" s="27"/>
      <c r="N6" s="45">
        <v>21000</v>
      </c>
      <c r="O6" s="27"/>
      <c r="P6" s="27"/>
      <c r="Q6" s="45">
        <v>21000</v>
      </c>
      <c r="R6" s="27"/>
      <c r="S6" s="27"/>
      <c r="T6" s="30" t="s">
        <v>32</v>
      </c>
      <c r="U6" s="30" t="s">
        <v>42</v>
      </c>
      <c r="V6" s="30" t="s">
        <v>43</v>
      </c>
      <c r="W6" s="30" t="s">
        <v>22</v>
      </c>
      <c r="X6" s="30"/>
      <c r="Y6" s="36">
        <v>1</v>
      </c>
      <c r="Z6" s="30"/>
      <c r="AA6" s="30"/>
      <c r="AB6" s="37">
        <v>0</v>
      </c>
      <c r="AC6" s="37">
        <v>0</v>
      </c>
      <c r="AD6" s="37">
        <v>0</v>
      </c>
      <c r="AE6" s="37">
        <v>0</v>
      </c>
      <c r="AF6" s="37">
        <v>-100</v>
      </c>
      <c r="AG6" s="37">
        <v>0</v>
      </c>
      <c r="AH6" s="37">
        <v>0</v>
      </c>
      <c r="AI6" s="37">
        <v>0</v>
      </c>
      <c r="AJ6" s="37">
        <v>0</v>
      </c>
      <c r="AK6" s="38">
        <v>21000</v>
      </c>
      <c r="AL6" s="30"/>
      <c r="AM6" s="30"/>
      <c r="AN6" s="30" t="s">
        <v>28</v>
      </c>
      <c r="AO6" s="30"/>
      <c r="AP6" s="30" t="s">
        <v>44</v>
      </c>
      <c r="AQ6" s="30"/>
      <c r="AR6" s="30"/>
      <c r="AS6" s="30"/>
      <c r="AT6" s="30"/>
      <c r="AU6" s="30"/>
      <c r="AV6" s="30"/>
      <c r="AW6" s="46">
        <v>21000</v>
      </c>
      <c r="AX6" s="37">
        <v>0</v>
      </c>
      <c r="AY6" s="37">
        <v>0</v>
      </c>
      <c r="AZ6" s="37">
        <v>0</v>
      </c>
      <c r="BA6" s="30"/>
      <c r="BB6" s="30"/>
      <c r="BC6" s="37">
        <v>1</v>
      </c>
      <c r="BD6" s="30"/>
      <c r="BE6" s="30" t="s">
        <v>32</v>
      </c>
      <c r="BF6" s="30"/>
      <c r="BG6" s="30"/>
      <c r="BH6" s="30"/>
      <c r="BI6" s="30"/>
      <c r="BJ6" s="37">
        <v>0</v>
      </c>
      <c r="BK6" s="37">
        <v>0</v>
      </c>
      <c r="BL6" s="37">
        <v>0</v>
      </c>
      <c r="BM6" s="37">
        <v>0</v>
      </c>
      <c r="BN6" s="30"/>
      <c r="BO6" s="46">
        <v>21000</v>
      </c>
      <c r="BP6" s="36">
        <v>0</v>
      </c>
      <c r="BQ6" s="30"/>
      <c r="BR6" s="30" t="s">
        <v>29</v>
      </c>
      <c r="BS6" s="37">
        <v>0</v>
      </c>
      <c r="BT6" s="37">
        <v>0</v>
      </c>
      <c r="BU6" s="30" t="s">
        <v>32</v>
      </c>
      <c r="BV6" s="30"/>
      <c r="BW6" s="37">
        <v>0</v>
      </c>
      <c r="BX6" s="36">
        <v>0</v>
      </c>
      <c r="BY6" s="37">
        <v>0</v>
      </c>
      <c r="BZ6" s="37">
        <v>0</v>
      </c>
      <c r="CA6" s="37">
        <v>0</v>
      </c>
      <c r="CB6" s="30"/>
      <c r="CC6" s="37">
        <v>0</v>
      </c>
      <c r="CD6" s="46">
        <v>21000</v>
      </c>
      <c r="CE6" s="37">
        <v>0</v>
      </c>
      <c r="CF6" s="37">
        <v>0</v>
      </c>
      <c r="CG6" s="46">
        <v>21000</v>
      </c>
      <c r="CH6" s="30"/>
      <c r="CI6" s="37">
        <v>0</v>
      </c>
      <c r="CJ6" s="37">
        <v>0</v>
      </c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7">
        <v>0</v>
      </c>
      <c r="DB6" s="37">
        <v>0</v>
      </c>
      <c r="DC6" s="30"/>
      <c r="DD6" s="30"/>
      <c r="DE6" s="37">
        <v>0</v>
      </c>
      <c r="DF6" s="37">
        <v>0</v>
      </c>
      <c r="DG6" s="37">
        <v>0</v>
      </c>
      <c r="DH6" s="30"/>
      <c r="DI6" s="30"/>
      <c r="DJ6" s="30" t="s">
        <v>28</v>
      </c>
      <c r="DK6" s="37">
        <v>0</v>
      </c>
      <c r="DL6" s="37">
        <v>0</v>
      </c>
      <c r="DM6" s="37">
        <v>1</v>
      </c>
      <c r="DN6" s="37">
        <v>0</v>
      </c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7">
        <v>0</v>
      </c>
      <c r="EG6" s="37">
        <v>0</v>
      </c>
      <c r="EH6" s="37">
        <v>0</v>
      </c>
      <c r="EI6" s="37">
        <v>0</v>
      </c>
      <c r="EJ6" s="37">
        <v>0</v>
      </c>
      <c r="EK6" s="37">
        <v>0</v>
      </c>
      <c r="EL6" s="30"/>
      <c r="EM6" s="37">
        <v>0</v>
      </c>
      <c r="EN6" s="37">
        <v>0</v>
      </c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 x14ac:dyDescent="0.2">
      <c r="A7" s="30"/>
      <c r="B7" s="30"/>
      <c r="C7" s="30" t="s">
        <v>27</v>
      </c>
      <c r="D7" s="46">
        <v>-100000</v>
      </c>
      <c r="E7" s="30" t="s">
        <v>21</v>
      </c>
      <c r="F7" s="30" t="s">
        <v>25</v>
      </c>
      <c r="G7" s="35">
        <v>210</v>
      </c>
      <c r="H7" s="30" t="s">
        <v>41</v>
      </c>
      <c r="I7" s="29">
        <v>0</v>
      </c>
      <c r="J7" s="37">
        <v>0</v>
      </c>
      <c r="K7" s="35">
        <v>0</v>
      </c>
      <c r="L7" s="37">
        <v>0</v>
      </c>
      <c r="M7" s="30"/>
      <c r="N7" s="46">
        <v>21000000</v>
      </c>
      <c r="O7" s="30"/>
      <c r="P7" s="30"/>
      <c r="Q7" s="46">
        <v>21000000</v>
      </c>
      <c r="R7" s="30"/>
      <c r="S7" s="30"/>
      <c r="T7" s="30" t="s">
        <v>32</v>
      </c>
      <c r="U7" s="30" t="s">
        <v>42</v>
      </c>
      <c r="V7" s="30" t="s">
        <v>43</v>
      </c>
      <c r="W7" s="30" t="s">
        <v>22</v>
      </c>
      <c r="X7" s="30"/>
      <c r="Y7" s="36">
        <v>1</v>
      </c>
      <c r="Z7" s="30"/>
      <c r="AA7" s="30"/>
      <c r="AB7" s="37">
        <v>0</v>
      </c>
      <c r="AC7" s="37">
        <v>0</v>
      </c>
      <c r="AD7" s="37">
        <v>0</v>
      </c>
      <c r="AE7" s="37">
        <v>0</v>
      </c>
      <c r="AF7" s="37">
        <v>-100000</v>
      </c>
      <c r="AG7" s="37">
        <v>0</v>
      </c>
      <c r="AH7" s="37">
        <v>0</v>
      </c>
      <c r="AI7" s="37">
        <v>0</v>
      </c>
      <c r="AJ7" s="37">
        <v>0</v>
      </c>
      <c r="AK7" s="38">
        <v>21000000</v>
      </c>
      <c r="AL7" s="30"/>
      <c r="AM7" s="30"/>
      <c r="AN7" s="30" t="s">
        <v>28</v>
      </c>
      <c r="AO7" s="30"/>
      <c r="AP7" s="30" t="s">
        <v>44</v>
      </c>
      <c r="AQ7" s="30"/>
      <c r="AR7" s="30"/>
      <c r="AS7" s="30"/>
      <c r="AT7" s="30"/>
      <c r="AU7" s="30"/>
      <c r="AV7" s="30"/>
      <c r="AW7" s="46">
        <v>21000000</v>
      </c>
      <c r="AX7" s="37">
        <v>0</v>
      </c>
      <c r="AY7" s="37">
        <v>0</v>
      </c>
      <c r="AZ7" s="37">
        <v>0</v>
      </c>
      <c r="BA7" s="30"/>
      <c r="BB7" s="30"/>
      <c r="BC7" s="37">
        <v>1</v>
      </c>
      <c r="BD7" s="30"/>
      <c r="BE7" s="30" t="s">
        <v>32</v>
      </c>
      <c r="BF7" s="30"/>
      <c r="BG7" s="30"/>
      <c r="BH7" s="30"/>
      <c r="BI7" s="30"/>
      <c r="BJ7" s="37">
        <v>0</v>
      </c>
      <c r="BK7" s="37">
        <v>0</v>
      </c>
      <c r="BL7" s="37">
        <v>0</v>
      </c>
      <c r="BM7" s="37">
        <v>0</v>
      </c>
      <c r="BN7" s="30"/>
      <c r="BO7" s="46">
        <v>21000000</v>
      </c>
      <c r="BP7" s="36">
        <v>0</v>
      </c>
      <c r="BQ7" s="30"/>
      <c r="BR7" s="30" t="s">
        <v>29</v>
      </c>
      <c r="BS7" s="37">
        <v>0</v>
      </c>
      <c r="BT7" s="37">
        <v>0</v>
      </c>
      <c r="BU7" s="30" t="s">
        <v>32</v>
      </c>
      <c r="BV7" s="30"/>
      <c r="BW7" s="37">
        <v>0</v>
      </c>
      <c r="BX7" s="36">
        <v>0</v>
      </c>
      <c r="BY7" s="37">
        <v>0</v>
      </c>
      <c r="BZ7" s="37">
        <v>0</v>
      </c>
      <c r="CA7" s="37">
        <v>0</v>
      </c>
      <c r="CB7" s="30"/>
      <c r="CC7" s="37">
        <v>0</v>
      </c>
      <c r="CD7" s="46">
        <v>21000000</v>
      </c>
      <c r="CE7" s="37">
        <v>0</v>
      </c>
      <c r="CF7" s="37">
        <v>0</v>
      </c>
      <c r="CG7" s="46">
        <v>21000000</v>
      </c>
      <c r="CH7" s="30"/>
      <c r="CI7" s="37">
        <v>0</v>
      </c>
      <c r="CJ7" s="37">
        <v>0</v>
      </c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7">
        <v>0</v>
      </c>
      <c r="DB7" s="37">
        <v>0</v>
      </c>
      <c r="DC7" s="30"/>
      <c r="DD7" s="30"/>
      <c r="DE7" s="37">
        <v>0</v>
      </c>
      <c r="DF7" s="37">
        <v>0</v>
      </c>
      <c r="DG7" s="37">
        <v>0</v>
      </c>
      <c r="DH7" s="30"/>
      <c r="DI7" s="30"/>
      <c r="DJ7" s="30" t="s">
        <v>28</v>
      </c>
      <c r="DK7" s="37">
        <v>0</v>
      </c>
      <c r="DL7" s="37">
        <v>0</v>
      </c>
      <c r="DM7" s="37">
        <v>1</v>
      </c>
      <c r="DN7" s="37">
        <v>0</v>
      </c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7">
        <v>0</v>
      </c>
      <c r="EG7" s="37">
        <v>0</v>
      </c>
      <c r="EH7" s="37">
        <v>0</v>
      </c>
      <c r="EI7" s="37">
        <v>0</v>
      </c>
      <c r="EJ7" s="37">
        <v>0</v>
      </c>
      <c r="EK7" s="37">
        <v>0</v>
      </c>
      <c r="EL7" s="30"/>
      <c r="EM7" s="37">
        <v>0</v>
      </c>
      <c r="EN7" s="37">
        <v>0</v>
      </c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2021-08-04T13:37:32Z</dcterms:modified>
</cp:coreProperties>
</file>