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StageOrder" sheetId="5" r:id="rId7"/>
    <sheet state="visible" name="CreateDoneAwayOrder" sheetId="6" r:id="rId8"/>
    <sheet state="visible" name="AddNavLock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DoneAwayUsingMTT" sheetId="11" r:id="rId13"/>
    <sheet state="visible" name="VerifyNavLockPopup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SelectTradeOnOrderGrid1" sheetId="16" r:id="rId18"/>
    <sheet state="visible" name="ReplaceSubOrder1" sheetId="17" r:id="rId19"/>
    <sheet state="visible" name="CreateReplaceOrder1" sheetId="18" r:id="rId20"/>
    <sheet state="visible" name="VerifyNavLockPopup1" sheetId="19" r:id="rId21"/>
    <sheet state="visible" name="DeleteExistingNavLock" sheetId="20" r:id="rId22"/>
    <sheet state="visible" name="VerifyWorkingSubs" sheetId="21" r:id="rId23"/>
    <sheet state="visible" name="Copy of Data" sheetId="22" r:id="rId24"/>
  </sheets>
  <definedNames/>
  <calcPr/>
</workbook>
</file>

<file path=xl/sharedStrings.xml><?xml version="1.0" encoding="utf-8"?>
<sst xmlns="http://schemas.openxmlformats.org/spreadsheetml/2006/main" count="178" uniqueCount="43">
  <si>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</si>
  <si>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</si>
  <si>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</si>
  <si>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</si>
  <si>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</si>
  <si>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</si>
  <si>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</si>
  <si>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</si>
  <si>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</si>
  <si>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</si>
  <si>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</si>
  <si>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</si>
  <si>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</si>
  <si>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</si>
  <si>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</si>
  <si>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</si>
  <si>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</si>
  <si>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</si>
  <si>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CreateStageOrder</t>
  </si>
  <si>
    <t>AAPL</t>
  </si>
  <si>
    <t>Buy</t>
  </si>
  <si>
    <t>AMZN</t>
  </si>
  <si>
    <t>CreateDoneAwayOrder</t>
  </si>
  <si>
    <t>GOOG</t>
  </si>
  <si>
    <t>SAP</t>
  </si>
  <si>
    <t>NavLock</t>
  </si>
  <si>
    <t>AddNavLock</t>
  </si>
  <si>
    <t>Blotter</t>
  </si>
  <si>
    <t>MultiTradingTicketFromBlotter</t>
  </si>
  <si>
    <t>MultiTradingTicket</t>
  </si>
  <si>
    <t>SelectTradeUsingMTT</t>
  </si>
  <si>
    <t>EditTradeUsingMTT</t>
  </si>
  <si>
    <t>DoneAwayUsingMTT</t>
  </si>
  <si>
    <t>VerifyNavLockPopup</t>
  </si>
  <si>
    <t>MTT</t>
  </si>
  <si>
    <t>SelectTradeOnOrderGrid</t>
  </si>
  <si>
    <t>ReplaceSubOrder</t>
  </si>
  <si>
    <t>CreateReplaceOrder</t>
  </si>
  <si>
    <t>DeleteExistingNavLock</t>
  </si>
  <si>
    <t>VerifyWorkingSubs</t>
  </si>
  <si>
    <t>Replaced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</si>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</sst>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/>
      <c r="F6" s="8"/>
      <c r="G6" s="8"/>
      <c r="H6" s="8"/>
      <c r="I6" s="8"/>
      <c r="J6" s="12">
        <v>2.0</v>
      </c>
      <c r="K6" s="8"/>
      <c r="L6" s="8"/>
      <c r="M6" s="8"/>
      <c r="N6" s="34">
        <f t="shared" ref="N6:N7" si="1">TODAY()-2</f>
        <v>45475</v>
      </c>
      <c r="O6" s="8"/>
    </row>
    <row r="7" ht="15.75" customHeight="1">
      <c r="A7" s="8"/>
      <c r="B7" s="12" t="s">
        <v>21</v>
      </c>
      <c r="C7" s="12" t="s">
        <v>20</v>
      </c>
      <c r="D7" s="12">
        <v>100.0</v>
      </c>
      <c r="E7" s="12"/>
      <c r="F7" s="8"/>
      <c r="G7" s="8"/>
      <c r="H7" s="8"/>
      <c r="I7" s="8"/>
      <c r="J7" s="12">
        <v>2.0</v>
      </c>
      <c r="K7" s="8"/>
      <c r="L7" s="8"/>
      <c r="M7" s="8"/>
      <c r="N7" s="34">
        <f t="shared" si="1"/>
        <v>45475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23</v>
      </c>
      <c r="C6" s="12" t="s">
        <v>20</v>
      </c>
      <c r="D6" s="12">
        <v>100.0</v>
      </c>
      <c r="E6" s="12">
        <v>50.0</v>
      </c>
      <c r="F6" s="8"/>
      <c r="G6" s="8"/>
      <c r="H6" s="8"/>
      <c r="I6" s="8"/>
      <c r="J6" s="12">
        <v>2.0</v>
      </c>
      <c r="K6" s="8"/>
      <c r="L6" s="8"/>
      <c r="M6" s="8"/>
      <c r="N6" s="34">
        <f>TODAY()</f>
        <v>45477</v>
      </c>
      <c r="O6" s="8"/>
    </row>
    <row r="7" ht="15.75" customHeight="1">
      <c r="A7" s="8"/>
      <c r="B7" s="12" t="s">
        <v>24</v>
      </c>
      <c r="C7" s="12" t="s">
        <v>20</v>
      </c>
      <c r="D7" s="12">
        <v>100.0</v>
      </c>
      <c r="E7" s="12">
        <v>50.0</v>
      </c>
      <c r="F7" s="8"/>
      <c r="G7" s="8"/>
      <c r="H7" s="8"/>
      <c r="I7" s="8"/>
      <c r="J7" s="12">
        <v>2.0</v>
      </c>
      <c r="K7" s="8"/>
      <c r="L7" s="8"/>
      <c r="M7" s="8"/>
      <c r="N7" s="34">
        <f>TODAY()-2</f>
        <v>45475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45476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2" t="s">
        <v>21</v>
      </c>
      <c r="K7" s="8"/>
      <c r="L7" s="8"/>
      <c r="M7" s="8"/>
      <c r="N7" s="8"/>
      <c r="O7" s="8"/>
      <c r="AI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34">
        <f>TODAY()-2</f>
        <v>45475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tr">
        <f>"The date you’ve chosen for this action precedes your NAV Lock date (" &amp; MONTH(TODAY()-1) &amp; "/" &amp; DAY(TODAY()-1) &amp; "/" &amp; YEAR(TODAY()-1) &amp; "). Please reach out to your Support Team for further assistance"</f>
        <v>The date you’ve chosen for this action precedes your NAV Lock date (7/3/2024). Please reach out to your Support Team for further assistance</v>
      </c>
      <c r="C6" s="12" t="s">
        <v>34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VerifyNavLockPopup!$4:$4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6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>
        <v>200.0</v>
      </c>
      <c r="E6" s="36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6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24</v>
      </c>
      <c r="K6" s="8"/>
      <c r="L6" s="8"/>
      <c r="M6" s="8"/>
      <c r="N6" s="8"/>
      <c r="O6" s="8"/>
      <c r="AJ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>
        <v>200.0</v>
      </c>
      <c r="E6" s="36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tr">
        <f>"The date you’ve chosen for this action precedes your NAV Lock date (" &amp; MONTH(TODAY()-1) &amp; "/" &amp; DAY(TODAY()-1) &amp; "/" &amp; YEAR(TODAY()-1) &amp; "). Please reach out to your Support Team for further assistance"</f>
        <v>The date you’ve chosen for this action precedes your NAV Lock date (7/3/2024). Please reach out to your Support Team for further assistance</v>
      </c>
      <c r="C6" s="38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DeleteExistingNavLock!$4:$4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20</v>
      </c>
      <c r="D6" s="12">
        <v>200.0</v>
      </c>
      <c r="E6" s="36"/>
      <c r="F6" s="8"/>
      <c r="G6" s="12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 t="s">
        <v>42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