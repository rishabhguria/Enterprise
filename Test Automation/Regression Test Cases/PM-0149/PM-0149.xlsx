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losePositionFromPM" sheetId="6" r:id="rId8"/>
  </sheets>
  <calcPr fullCalcOnLoad="1" fullPrecision="1"/>
</workbook>
</file>

<file path=xl/sharedStrings.xml><?xml version="1.0" encoding="utf-8"?>
<sst xmlns="http://schemas.openxmlformats.org/spreadsheetml/2006/main" count="280" uniqueCount="280">
  <si>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</si>
  <si>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</si>
  <si>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</si>
  <si>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</si>
  <si>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</si>
  <si>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</si>
  <si>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</si>
  <si>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</si>
  <si>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</si>
  <si>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</si>
  <si>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</si>
  <si>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</si>
  <si>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</si>
  <si>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</si>
  <si>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</si>
  <si>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</si>
  <si>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</si>
  <si>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</si>
  <si>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</si>
  <si>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</si>
  <si>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</si>
  <si>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</si>
  <si>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</si>
  <si>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</si>
  <si>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</si>
  <si>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</si>
  <si>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</si>
  <si>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</si>
  <si>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</si>
  <si>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</si>
  <si>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</si>
  <si>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</si>
  <si>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</si>
  <si>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</si>
  <si>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</si>
  <si>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</si>
  <si>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</si>
  <si>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</si>
  <si>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</si>
  <si>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</si>
  <si>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</si>
  <si>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</si>
  <si>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</si>
  <si>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</si>
  <si>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</si>
  <si>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</si>
  <si>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</si>
  <si>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</si>
  <si>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</si>
  <si>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</si>
  <si>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</si>
  <si>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</si>
  <si>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</si>
  <si>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</si>
  <si>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</si>
  <si>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</si>
  <si>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</si>
  <si>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</si>
  <si>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</si>
  <si>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</si>
  <si>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</si>
  <si>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</si>
  <si>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</si>
  <si>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</si>
  <si>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</si>
  <si>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</si>
  <si>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</si>
  <si>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</si>
  <si>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</si>
  <si>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</si>
  <si>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</si>
  <si>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</si>
  <si>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</si>
  <si>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</si>
  <si>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</si>
  <si>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</si>
  <si>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</si>
  <si>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</si>
  <si>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</si>
  <si>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</si>
  <si>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Sell</t>
  </si>
  <si>
    <t>Allocation1</t>
  </si>
  <si>
    <t>MS</t>
  </si>
  <si>
    <t>Day</t>
  </si>
  <si>
    <t>Market</t>
  </si>
  <si>
    <t>Strategy Unallocated</t>
  </si>
  <si>
    <t>NASDAQ</t>
  </si>
  <si>
    <t>PortfolioManagement</t>
  </si>
  <si>
    <t>CheckPortfolioManagement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</si>
  <si>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</si>
  <si>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</si>
  <si>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</si>
  <si>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</si>
  <si>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</si>
  <si>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</si>
  <si>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</si>
  <si>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</si>
  <si>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</si>
  <si>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</si>
  <si>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</si>
  <si>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</si>
  <si>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</si>
  <si>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</si>
  <si>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</si>
  <si>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</si>
  <si>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</si>
  <si>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</si>
  <si>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</si>
  <si>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</si>
  <si>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</si>
  <si>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</si>
  <si>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</si>
  <si>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</si>
  <si>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</si>
  <si>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</si>
  <si>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</si>
  <si>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</si>
  <si>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</si>
  <si>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</si>
  <si>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</si>
  <si>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</si>
  <si>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</si>
  <si>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</si>
  <si>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</si>
  <si>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</si>
  <si>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</si>
  <si>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</si>
  <si>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</si>
  <si>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</si>
  <si>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</si>
  <si>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</si>
  <si>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</si>
  <si>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</si>
  <si>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</si>
  <si>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</si>
  <si>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</si>
  <si>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</si>
  <si>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</si>
  <si>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</si>
  <si>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</si>
  <si>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</si>
  <si>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</si>
  <si>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</si>
  <si>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</si>
  <si>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</si>
  <si>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</si>
  <si>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</si>
  <si>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</si>
  <si>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</si>
  <si>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</si>
  <si>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</si>
  <si>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</si>
  <si>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</si>
  <si>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</si>
  <si>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</si>
  <si>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</si>
  <si>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</si>
  <si>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</si>
  <si>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</si>
  <si>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</si>
  <si>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</si>
  <si>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</si>
  <si>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</si>
  <si>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</si>
  <si>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</si>
  <si>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</si>
  <si>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</si>
  <si>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</si>
  <si>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</si>
  <si>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</si>
  <si>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</si>
  <si>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</si>
  <si>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</si>
  <si>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</si>
  <si>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</si>
  <si>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</si>
  <si>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</si>
  <si>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</si>
  <si>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</si>
  <si>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</si>
  <si>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</si>
  <si>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</si>
  <si>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</si>
  <si>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</si>
  <si>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</si>
  <si>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</si>
  <si>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</si>
  <si>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</si>
  <si>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</si>
  <si>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</si>
  <si>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</si>
  <si>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</si>
  <si>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</si>
  <si>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</si>
  <si>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</si>
  <si>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</si>
  <si>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</si>
  <si>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</si>
  <si>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</si>
  <si>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</si>
  <si>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</si>
  <si>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</si>
  <si>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</si>
  <si>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</si>
  <si>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</si>
  <si>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</si>
  <si>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</si>
  <si>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</si>
  <si>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</si>
  <si>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</si>
  <si>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</si>
  <si>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</si>
  <si>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</si>
  <si>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</si>
  <si>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</si>
  <si>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</si>
  <si>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</si>
  <si>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</si>
  <si>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</si>
  <si>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</si>
  <si>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</si>
  <si>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</si>
  <si>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</si>
  <si>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</si>
  <si>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</si>
  <si>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</si>
  <si>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</si>
  <si>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</si>
  <si>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</si>
  <si>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</si>
  <si>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</si>
  <si>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</si>
  <si>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</si>
  <si>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</si>
  <si>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</si>
  <si>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</si>
  <si>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</si>
  <si>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</si>
  <si>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</si>
  <si>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</si>
  <si>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</si>
  <si>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</si>
  <si>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</si>
  <si>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</si>
  <si>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</si>
  <si>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</si>
  <si>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</si>
  <si>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</si>
  <si>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</si>
  <si>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</si>
  <si>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</si>
  <si>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</si>
  <si>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</si>
  <si>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</si>
  <si>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</si>
  <si>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</si>
  <si>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</si>
  <si>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</si>
  <si>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</si>
  <si>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</si>
  <si>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</si>
  <si>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NewMF</t>
  </si>
  <si>
    <t>Short</t>
  </si>
  <si>
    <t>APPLE</t>
  </si>
  <si>
    <t>Undefined</t>
  </si>
  <si>
    <t>FIMAT</t>
  </si>
  <si>
    <t>Equity</t>
  </si>
  <si>
    <t>USD</t>
  </si>
  <si>
    <t>Long</t>
  </si>
  <si>
    <t>BrokerNotes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</si>
  <si>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</si>
  <si>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</si>
  <si>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</si>
  <si>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</si>
  <si>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</si>
  <si>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</si>
  <si>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</si>
  <si>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</si>
  <si>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NA</t>
  </si>
  <si>
    <t>ClosePositionFromPM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</si>
</sst>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5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28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14" applyNumberFormat="1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20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Data!A4:L1000"")"),"TradingTicket")</f>
        <v>TradingTicket</v>
      </c>
      <c r="B4" s="0" t="str">
        <f>IFERROR(__xludf.DUMMYFUNCTION("""COMPUTED_VALUE"""),"TradeUsingTT")</f>
        <v>TradeUsingTT</v>
      </c>
      <c r="C4" s="0" t="str">
        <f>IFERROR(__xludf.DUMMYFUNCTION("""COMPUTED_VALUE"""),"TTTrades")</f>
        <v>TTTrades</v>
      </c>
      <c r="D4" s="0" t="str">
        <f>IFERROR(__xludf.DUMMYFUNCTION("""COMPUTED_VALUE"""),"1Q0knOJ8odySzW9kzE5w8PdOc44G2QBZUfKg5ZvUx-xw")</f>
        <v>1Q0knOJ8odySzW9kzE5w8PdOc44G2QBZUfKg5ZvUx-xw</v>
      </c>
    </row>
    <row r="5">
      <c r="A5" s="0" t="str">
        <f>IFERROR(__xludf.DUMMYFUNCTION("""COMPUTED_VALUE"""),"Allocation")</f>
        <v>Allocation</v>
      </c>
      <c r="B5" s="0" t="str">
        <f>IFERROR(__xludf.DUMMYFUNCTION("""COMPUTED_VALUE"""),"SelectAllocatedGroup")</f>
        <v>SelectAllocatedGroup</v>
      </c>
      <c r="C5" s="0" t="str">
        <f>IFERROR(__xludf.DUMMYFUNCTION("""COMPUTED_VALUE"""),"TradesForAllocation")</f>
        <v>TradesForAllocation</v>
      </c>
      <c r="D5" s="0" t="str">
        <f>IFERROR(__xludf.DUMMYFUNCTION("""COMPUTED_VALUE"""),"1-RJhOo2E5PhyqaiMEjsPi8RpfYBuiSqE9fj_-bRpkKw")</f>
        <v>1-RJhOo2E5PhyqaiMEjsPi8RpfYBuiSqE9fj_-bRpkKw</v>
      </c>
    </row>
    <row r="6">
      <c r="A6" s="0" t="str">
        <f>IFERROR(__xludf.DUMMYFUNCTION("""COMPUTED_VALUE"""),"Allocation")</f>
        <v>Allocation</v>
      </c>
      <c r="B6" s="0" t="str">
        <f>IFERROR(__xludf.DUMMYFUNCTION("""COMPUTED_VALUE"""),"SelectUnallocatedGroup")</f>
        <v>SelectUnallocatedGroup</v>
      </c>
      <c r="C6" s="0" t="str">
        <f>IFERROR(__xludf.DUMMYFUNCTION("""COMPUTED_VALUE"""),"TradesForAllocation")</f>
        <v>TradesForAllocation</v>
      </c>
      <c r="D6" s="0" t="str">
        <f>IFERROR(__xludf.DUMMYFUNCTION("""COMPUTED_VALUE"""),"1-RJhOo2E5PhyqaiMEjsPi8RpfYBuiSqE9fj_-bRpkKw")</f>
        <v>1-RJhOo2E5PhyqaiMEjsPi8RpfYBuiSqE9fj_-bRpkKw</v>
      </c>
    </row>
    <row r="7">
      <c r="A7" s="0" t="str">
        <f>IFERROR(__xludf.DUMMYFUNCTION("""COMPUTED_VALUE"""),"TradingTicket")</f>
        <v>TradingTicket</v>
      </c>
      <c r="B7" s="0" t="str">
        <f>IFERROR(__xludf.DUMMYFUNCTION("""COMPUTED_VALUE"""),"CreateDoneAwayOrder")</f>
        <v>CreateDoneAwayOrder</v>
      </c>
      <c r="C7" s="0" t="str">
        <f>IFERROR(__xludf.DUMMYFUNCTION("""COMPUTED_VALUE"""),"TTInput")</f>
        <v>TTInput</v>
      </c>
      <c r="D7" s="0" t="str">
        <f>IFERROR(__xludf.DUMMYFUNCTION("""COMPUTED_VALUE"""),"1b5S4Xpp4fgZ1ez6cK92QFnVBylqz8jhwxdAyEvwDqUI")</f>
        <v>1b5S4Xpp4fgZ1ez6cK92QFnVBylqz8jhwxdAyEvwDqUI</v>
      </c>
    </row>
    <row r="8">
      <c r="A8" s="0" t="str">
        <f>IFERROR(__xludf.DUMMYFUNCTION("""COMPUTED_VALUE"""),"Allocation")</f>
        <v>Allocation</v>
      </c>
      <c r="B8" s="0" t="str">
        <f>IFERROR(__xludf.DUMMYFUNCTION("""COMPUTED_VALUE"""),"SetGroupingRules")</f>
        <v>SetGroupingRules</v>
      </c>
      <c r="C8" s="0" t="str">
        <f>IFERROR(__xludf.DUMMYFUNCTION("""COMPUTED_VALUE"""),"GroupingRules")</f>
        <v>GroupingRules</v>
      </c>
      <c r="D8" s="0" t="str">
        <f>IFERROR(__xludf.DUMMYFUNCTION("""COMPUTED_VALUE"""),"1oiITP7kpTv6Zgm5fpjzHWhIjzPRoRqS_CIZxqoxWRkA")</f>
        <v>1oiITP7kpTv6Zgm5fpjzHWhIjzPRoRqS_CIZxqoxWRkA</v>
      </c>
    </row>
    <row r="9">
      <c r="A9" s="0" t="str">
        <f>IFERROR(__xludf.DUMMYFUNCTION("""COMPUTED_VALUE"""),"Allocation")</f>
        <v>Allocation</v>
      </c>
      <c r="B9" s="0" t="str">
        <f>IFERROR(__xludf.DUMMYFUNCTION("""COMPUTED_VALUE"""),"CheckUnallocatedGroups")</f>
        <v>CheckUnallocatedGroups</v>
      </c>
      <c r="C9" s="0" t="str">
        <f>IFERROR(__xludf.DUMMYFUNCTION("""COMPUTED_VALUE"""),"UnallocatedGroupCheck")</f>
        <v>UnallocatedGroupCheck</v>
      </c>
      <c r="D9" s="0" t="str">
        <f>IFERROR(__xludf.DUMMYFUNCTION("""COMPUTED_VALUE"""),"1c7aP-E18Fb8lEVGiXac03BLoNVdUNRzodD2Xjn-9pzU")</f>
        <v>1c7aP-E18Fb8lEVGiXac03BLoNVdUNRzodD2Xjn-9pzU</v>
      </c>
    </row>
    <row r="10">
      <c r="A10" s="0" t="str">
        <f>IFERROR(__xludf.DUMMYFUNCTION("""COMPUTED_VALUE"""),"GeneralLedger")</f>
        <v>GeneralLedger</v>
      </c>
      <c r="B10" s="0" t="str">
        <f>IFERROR(__xludf.DUMMYFUNCTION("""COMPUTED_VALUE"""),"GetTradingTransaction")</f>
        <v>GetTradingTransaction</v>
      </c>
      <c r="C10" s="0" t="str">
        <f>IFERROR(__xludf.DUMMYFUNCTION("""COMPUTED_VALUE"""),"GetTradingTransaction")</f>
        <v>GetTradingTransaction</v>
      </c>
      <c r="D10" s="0" t="str">
        <f>IFERROR(__xludf.DUMMYFUNCTION("""COMPUTED_VALUE"""),"1IuJkgEDoDUSnmXhZVZdA_x-3VnlMPyzRsUMpf_eRTTQ")</f>
        <v>1IuJkgEDoDUSnmXhZVZdA_x-3VnlMPyzRsUMpf_eRTTQ</v>
      </c>
    </row>
    <row r="11">
      <c r="A11" s="0" t="str">
        <f>IFERROR(__xludf.DUMMYFUNCTION("""COMPUTED_VALUE"""),"TradingTicket")</f>
        <v>TradingTicket</v>
      </c>
      <c r="B11" s="0" t="str">
        <f>IFERROR(__xludf.DUMMYFUNCTION("""COMPUTED_VALUE"""),"CreateDoneAwayOrder")</f>
        <v>CreateDoneAwayOrder</v>
      </c>
      <c r="C11" s="0" t="str">
        <f>IFERROR(__xludf.DUMMYFUNCTION("""COMPUTED_VALUE"""),"CreateDoneAwayOrder")</f>
        <v>CreateDoneAwayOrder</v>
      </c>
      <c r="D11" s="0" t="str">
        <f>IFERROR(__xludf.DUMMYFUNCTION("""COMPUTED_VALUE"""),"1Wybl1BX2sjPWI0uYzeN6KZO-tnk3-pf5NWNrZR7m_8I")</f>
        <v>1Wybl1BX2sjPWI0uYzeN6KZO-tnk3-pf5NWNrZR7m_8I</v>
      </c>
    </row>
    <row r="12">
      <c r="A12" s="0" t="str">
        <f>IFERROR(__xludf.DUMMYFUNCTION("""COMPUTED_VALUE"""),"Allocation")</f>
        <v>Allocation</v>
      </c>
      <c r="B12" s="0" t="str">
        <f>IFERROR(__xludf.DUMMYFUNCTION("""COMPUTED_VALUE"""),"GeneralPreferencesDefaultRule")</f>
        <v>GeneralPreferencesDefaultRule</v>
      </c>
      <c r="C12" s="0" t="str">
        <f>IFERROR(__xludf.DUMMYFUNCTION("""COMPUTED_VALUE"""),"GeneralPreferencesDefualtRules")</f>
        <v>GeneralPreferencesDefualtRules</v>
      </c>
      <c r="D12" s="0" t="str">
        <f>IFERROR(__xludf.DUMMYFUNCTION("""COMPUTED_VALUE"""),"1t-y8DW-cux-RoCJhMs9d4iDbW4QOQ-BXfiT1GYQBvbw")</f>
        <v>1t-y8DW-cux-RoCJhMs9d4iDbW4QOQ-BXfiT1GYQBvbw</v>
      </c>
    </row>
    <row r="13">
      <c r="A13" s="0" t="str">
        <f>IFERROR(__xludf.DUMMYFUNCTION("""COMPUTED_VALUE"""),"Allocation")</f>
        <v>Allocation</v>
      </c>
      <c r="B13" s="0" t="str">
        <f>IFERROR(__xludf.DUMMYFUNCTION("""COMPUTED_VALUE"""),"GeneralPrefCompanyUserWise")</f>
        <v>GeneralPrefCompanyUserWise</v>
      </c>
      <c r="C13" s="0" t="str">
        <f>IFERROR(__xludf.DUMMYFUNCTION("""COMPUTED_VALUE"""),"GeneralPrefCoUserRules")</f>
        <v>GeneralPrefCoUserRules</v>
      </c>
      <c r="D13" s="0" t="str">
        <f>IFERROR(__xludf.DUMMYFUNCTION("""COMPUTED_VALUE"""),"154-ES2jrM9C4VoMik8t5SCjN2LjvQHLPe8ANoIosIcc")</f>
        <v>154-ES2jrM9C4VoMik8t5SCjN2LjvQHLPe8ANoIosIcc</v>
      </c>
    </row>
    <row r="14">
      <c r="A14" s="0" t="str">
        <f>IFERROR(__xludf.DUMMYFUNCTION("""COMPUTED_VALUE"""),"Allocation")</f>
        <v>Allocation</v>
      </c>
      <c r="B14" s="0" t="str">
        <f>IFERROR(__xludf.DUMMYFUNCTION("""COMPUTED_VALUE"""),"EnterAccountValuesToAllocate")</f>
        <v>EnterAccountValuesToAllocate</v>
      </c>
      <c r="C14" s="0" t="str">
        <f>IFERROR(__xludf.DUMMYFUNCTION("""COMPUTED_VALUE"""),"AccountValues")</f>
        <v>AccountValues</v>
      </c>
      <c r="D14" s="0" t="str">
        <f>IFERROR(__xludf.DUMMYFUNCTION("""COMPUTED_VALUE"""),"1mOtszotVOdqHquQTLi-4CBnAUrtAF2MEABuvYJh_hzw")</f>
        <v>1mOtszotVOdqHquQTLi-4CBnAUrtAF2MEABuvYJh_hzw</v>
      </c>
    </row>
    <row r="15">
      <c r="A15" s="0" t="str">
        <f>IFERROR(__xludf.DUMMYFUNCTION("""COMPUTED_VALUE"""),"Allocation")</f>
        <v>Allocation</v>
      </c>
      <c r="B15" s="0" t="str">
        <f>IFERROR(__xludf.DUMMYFUNCTION("""COMPUTED_VALUE"""),"CheckFixedPreference")</f>
        <v>CheckFixedPreference</v>
      </c>
      <c r="C15" s="0" t="str">
        <f>IFERROR(__xludf.DUMMYFUNCTION("""COMPUTED_VALUE"""),"CheckFixedPreference")</f>
        <v>CheckFixedPreference</v>
      </c>
      <c r="D15" s="0" t="str">
        <f>IFERROR(__xludf.DUMMYFUNCTION("""COMPUTED_VALUE"""),"1RNofLIplBOnX_vwsD6AecMNF72I9x58kWSMHVy9EgsM")</f>
        <v>1RNofLIplBOnX_vwsD6AecMNF72I9x58kWSMHVy9EgsM</v>
      </c>
    </row>
    <row r="16">
      <c r="A16" s="0" t="str">
        <f>IFERROR(__xludf.DUMMYFUNCTION("""COMPUTED_VALUE"""),"Allocation")</f>
        <v>Allocation</v>
      </c>
      <c r="B16" s="0" t="str">
        <f>IFERROR(__xludf.DUMMYFUNCTION("""COMPUTED_VALUE"""),"SetAccountValueCalculatedPref")</f>
        <v>SetAccountValueCalculatedPref</v>
      </c>
      <c r="C16" s="0" t="str">
        <f>IFERROR(__xludf.DUMMYFUNCTION("""COMPUTED_VALUE"""),"AccountValueCalculatePref")</f>
        <v>AccountValueCalculatePref</v>
      </c>
      <c r="D16" s="0" t="str">
        <f>IFERROR(__xludf.DUMMYFUNCTION("""COMPUTED_VALUE"""),"1svq-61dzaRHeNDz1TSSUPXQbbN3Mi4bhNQabvGVoz2c")</f>
        <v>1svq-61dzaRHeNDz1TSSUPXQbbN3Mi4bhNQabvGVoz2c</v>
      </c>
    </row>
    <row r="17">
      <c r="A17" s="0" t="str">
        <f>IFERROR(__xludf.DUMMYFUNCTION("""COMPUTED_VALUE"""),"Allocation")</f>
        <v>Allocation</v>
      </c>
      <c r="B17" s="0" t="str">
        <f>IFERROR(__xludf.DUMMYFUNCTION("""COMPUTED_VALUE"""),"SetDefaultRuleCalculatedPref")</f>
        <v>SetDefaultRuleCalculatedPref</v>
      </c>
      <c r="C17" s="0" t="str">
        <f>IFERROR(__xludf.DUMMYFUNCTION("""COMPUTED_VALUE"""),"DefaultRuleCalculatePref")</f>
        <v>DefaultRuleCalculatePref</v>
      </c>
      <c r="D17" s="0" t="str">
        <f>IFERROR(__xludf.DUMMYFUNCTION("""COMPUTED_VALUE"""),"1j6MD8nFEuJNo52Mp8uXbXRmrJs802rnEIiTOEuZFdWA")</f>
        <v>1j6MD8nFEuJNo52Mp8uXbXRmrJs802rnEIiTOEuZFdWA</v>
      </c>
    </row>
    <row r="18">
      <c r="A18" s="0" t="str">
        <f>IFERROR(__xludf.DUMMYFUNCTION("""COMPUTED_VALUE"""),"Allocation")</f>
        <v>Allocation</v>
      </c>
      <c r="B18" s="0" t="str">
        <f>IFERROR(__xludf.DUMMYFUNCTION("""COMPUTED_VALUE"""),"SetStrategyValueCalculatedPref")</f>
        <v>SetStrategyValueCalculatedPref</v>
      </c>
      <c r="C18" s="0" t="str">
        <f>IFERROR(__xludf.DUMMYFUNCTION("""COMPUTED_VALUE"""),"StrategyValueCalculatedPref")</f>
        <v>StrategyValueCalculatedPref</v>
      </c>
      <c r="D18" s="0" t="str">
        <f>IFERROR(__xludf.DUMMYFUNCTION("""COMPUTED_VALUE"""),"1rt8inh4u7qHUhCAFSaa2kmPKLkqeh3uljucYajdto60")</f>
        <v>1rt8inh4u7qHUhCAFSaa2kmPKLkqeh3uljucYajdto60</v>
      </c>
    </row>
    <row r="19">
      <c r="A19" s="0" t="str">
        <f>IFERROR(__xludf.DUMMYFUNCTION("""COMPUTED_VALUE"""),"Allocation")</f>
        <v>Allocation</v>
      </c>
      <c r="B19" s="0" t="str">
        <f>IFERROR(__xludf.DUMMYFUNCTION("""COMPUTED_VALUE"""),"SetGeneralPreferences")</f>
        <v>SetGeneralPreferences</v>
      </c>
      <c r="C19" s="0" t="str">
        <f>IFERROR(__xludf.DUMMYFUNCTION("""COMPUTED_VALUE"""),"GeneralPreferences")</f>
        <v>GeneralPreferences</v>
      </c>
      <c r="D19" s="0" t="str">
        <f>IFERROR(__xludf.DUMMYFUNCTION("""COMPUTED_VALUE"""),"1lI4loUxqzsE3IjuxIjsVY3cB4J_eTKFPPDuXngut4FE")</f>
        <v>1lI4loUxqzsE3IjuxIjsVY3cB4J_eTKFPPDuXngut4FE</v>
      </c>
    </row>
    <row r="20">
      <c r="A20" s="0" t="str">
        <f>IFERROR(__xludf.DUMMYFUNCTION("""COMPUTED_VALUE"""),"Closing")</f>
        <v>Closing</v>
      </c>
      <c r="B20" s="0" t="str">
        <f>IFERROR(__xludf.DUMMYFUNCTION("""COMPUTED_VALUE"""),"AutomaticClosing")</f>
        <v>AutomaticClosing</v>
      </c>
      <c r="C20" s="0" t="str">
        <f>IFERROR(__xludf.DUMMYFUNCTION("""COMPUTED_VALUE"""),"AutomaticClosingMasterData")</f>
        <v>AutomaticClosingMasterData</v>
      </c>
      <c r="D20" s="0" t="str">
        <f>IFERROR(__xludf.DUMMYFUNCTION("""COMPUTED_VALUE"""),"1zwv-aZp-DRCpq8bqLR0XRiyt0av-GAm0ORqbhnV-FKI")</f>
        <v>1zwv-aZp-DRCpq8bqLR0XRiyt0av-GAm0ORqbhnV-FKI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9.13" customWidth="1"/>
    <col min="6" max="8" width="12.63" customWidth="1"/>
    <col min="9" max="9" width="15.88" customWidth="1"/>
    <col min="10" max="11" width="15.25" customWidth="1"/>
    <col min="12" max="12" width="12.63" customWidth="1"/>
    <col min="13" max="13" width="16.38" customWidth="1"/>
    <col min="14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3"/>
      <c r="B6" s="13" t="s">
        <v>79</v>
      </c>
      <c r="C6" s="13" t="s">
        <v>80</v>
      </c>
      <c r="D6" s="13">
        <v>100</v>
      </c>
      <c r="E6" s="13">
        <v>100</v>
      </c>
      <c r="F6" s="13" t="s">
        <v>81</v>
      </c>
      <c r="G6" s="13" t="s">
        <v>82</v>
      </c>
      <c r="H6" s="13" t="s">
        <v>83</v>
      </c>
      <c r="I6" s="13" t="s">
        <v>84</v>
      </c>
      <c r="J6" s="13">
        <v>10</v>
      </c>
      <c r="K6" s="8"/>
      <c r="L6" s="8"/>
      <c r="M6" s="13" t="s">
        <v>85</v>
      </c>
      <c r="N6" s="27">
        <f>TODAY()</f>
        <v>45855</v>
      </c>
      <c r="O6" s="13">
        <v>1</v>
      </c>
      <c r="AB6" s="9" t="s">
        <v>86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9FB37E8-53EA-40C5-8737-1BA2C40091C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7B67D35-8850-417F-9235-787C8AEF587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24958A8-E153-4887-8433-409F610AFAE5}">
          <x14:formula1>
            <xm:f>CreateDoneAwayOrder!$4:$4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W26"/>
  <sheetViews>
    <sheetView workbookViewId="0"/>
  </sheetViews>
  <sheetFormatPr customHeight="1" defaultColWidth="15.13" defaultRowHeight="15.0"/>
  <cols>
    <col min="1" max="1" width="5.88" customWidth="1"/>
    <col min="2" max="2" width="12.63" customWidth="1"/>
    <col min="3" max="3" width="20.25" customWidth="1"/>
    <col min="4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6" width="12.63" customWidth="1"/>
    <col min="17" max="17" width="17.88" customWidth="1"/>
    <col min="18" max="27" width="12.63" customWidth="1"/>
    <col min="28" max="28" width="16.38" customWidth="1"/>
    <col min="29" max="31" width="12.63" customWidth="1"/>
    <col min="32" max="32" width="17.25" customWidth="1"/>
    <col min="33" max="36" width="12.63" customWidth="1"/>
    <col min="37" max="37" width="18.88" customWidth="1"/>
    <col min="38" max="42" width="12.63" customWidth="1"/>
    <col min="43" max="43" width="18.25" customWidth="1"/>
    <col min="44" max="44" width="21.5" customWidth="1"/>
    <col min="45" max="48" width="12.63" customWidth="1"/>
    <col min="49" max="49" width="17.75" customWidth="1"/>
    <col min="50" max="52" width="12.63" customWidth="1"/>
    <col min="53" max="53" width="23.75" customWidth="1"/>
    <col min="54" max="64" width="12.63" customWidth="1"/>
    <col min="65" max="65" width="26.5" customWidth="1"/>
    <col min="66" max="84" width="12.63" customWidth="1"/>
    <col min="85" max="85" width="28.38" customWidth="1"/>
    <col min="86" max="86" width="12.63" customWidth="1"/>
    <col min="87" max="87" width="23.88" customWidth="1"/>
    <col min="88" max="88" width="23.38" customWidth="1"/>
    <col min="89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87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B5" s="0" t="s">
        <v>28</v>
      </c>
      <c r="C5" s="0" t="s">
        <v>16</v>
      </c>
      <c r="D5" s="0" t="s">
        <v>89</v>
      </c>
      <c r="E5" s="0" t="s">
        <v>51</v>
      </c>
      <c r="F5" s="0" t="s">
        <v>90</v>
      </c>
      <c r="G5" s="0" t="s">
        <v>91</v>
      </c>
      <c r="H5" s="0" t="s">
        <v>92</v>
      </c>
      <c r="I5" s="0" t="s">
        <v>93</v>
      </c>
      <c r="J5" s="0" t="s">
        <v>94</v>
      </c>
      <c r="K5" s="0" t="s">
        <v>95</v>
      </c>
      <c r="L5" s="0" t="s">
        <v>96</v>
      </c>
      <c r="M5" s="0" t="s">
        <v>97</v>
      </c>
      <c r="N5" s="0" t="s">
        <v>98</v>
      </c>
      <c r="O5" s="0" t="s">
        <v>99</v>
      </c>
      <c r="P5" s="0" t="s">
        <v>100</v>
      </c>
      <c r="Q5" s="0" t="s">
        <v>101</v>
      </c>
      <c r="R5" s="0" t="s">
        <v>102</v>
      </c>
      <c r="S5" s="0" t="s">
        <v>27</v>
      </c>
      <c r="T5" s="0" t="s">
        <v>103</v>
      </c>
      <c r="U5" s="0" t="s">
        <v>104</v>
      </c>
      <c r="V5" s="0" t="s">
        <v>105</v>
      </c>
      <c r="W5" s="0" t="s">
        <v>106</v>
      </c>
      <c r="X5" s="0" t="s">
        <v>107</v>
      </c>
      <c r="Y5" s="0" t="s">
        <v>108</v>
      </c>
      <c r="Z5" s="0" t="s">
        <v>109</v>
      </c>
      <c r="AA5" s="0" t="s">
        <v>110</v>
      </c>
      <c r="AB5" s="0" t="s">
        <v>111</v>
      </c>
      <c r="AC5" s="0" t="s">
        <v>112</v>
      </c>
      <c r="AD5" s="0" t="s">
        <v>113</v>
      </c>
      <c r="AE5" s="0" t="s">
        <v>114</v>
      </c>
      <c r="AF5" s="0" t="s">
        <v>115</v>
      </c>
      <c r="AG5" s="0" t="s">
        <v>116</v>
      </c>
      <c r="AH5" s="0" t="s">
        <v>117</v>
      </c>
      <c r="AI5" s="0" t="s">
        <v>118</v>
      </c>
      <c r="AJ5" s="0" t="s">
        <v>119</v>
      </c>
      <c r="AK5" s="0" t="s">
        <v>120</v>
      </c>
      <c r="AL5" s="0" t="s">
        <v>121</v>
      </c>
      <c r="AM5" s="0" t="s">
        <v>122</v>
      </c>
      <c r="AN5" s="0" t="s">
        <v>17</v>
      </c>
      <c r="AO5" s="0" t="s">
        <v>123</v>
      </c>
      <c r="AP5" s="0" t="s">
        <v>124</v>
      </c>
      <c r="AQ5" s="0" t="s">
        <v>125</v>
      </c>
      <c r="AR5" s="0" t="s">
        <v>126</v>
      </c>
      <c r="AS5" s="0" t="s">
        <v>127</v>
      </c>
      <c r="AT5" s="0" t="s">
        <v>128</v>
      </c>
      <c r="AU5" s="0" t="s">
        <v>129</v>
      </c>
      <c r="AV5" s="0" t="s">
        <v>130</v>
      </c>
      <c r="AW5" s="0" t="s">
        <v>131</v>
      </c>
      <c r="AX5" s="0" t="s">
        <v>132</v>
      </c>
      <c r="AY5" s="0" t="s">
        <v>133</v>
      </c>
      <c r="AZ5" s="0" t="s">
        <v>134</v>
      </c>
      <c r="BA5" s="0" t="s">
        <v>135</v>
      </c>
      <c r="BB5" s="0" t="s">
        <v>136</v>
      </c>
      <c r="BC5" s="0" t="s">
        <v>137</v>
      </c>
      <c r="BD5" s="0" t="s">
        <v>138</v>
      </c>
      <c r="BE5" s="0" t="s">
        <v>139</v>
      </c>
      <c r="BF5" s="0" t="s">
        <v>140</v>
      </c>
      <c r="BG5" s="0" t="s">
        <v>141</v>
      </c>
      <c r="BH5" s="0" t="s">
        <v>142</v>
      </c>
      <c r="BI5" s="0" t="s">
        <v>143</v>
      </c>
      <c r="BJ5" s="0" t="s">
        <v>144</v>
      </c>
      <c r="BK5" s="0" t="s">
        <v>145</v>
      </c>
      <c r="BL5" s="0" t="s">
        <v>146</v>
      </c>
      <c r="BM5" s="0" t="s">
        <v>147</v>
      </c>
      <c r="BN5" s="0" t="s">
        <v>148</v>
      </c>
      <c r="BO5" s="0" t="s">
        <v>149</v>
      </c>
      <c r="BP5" s="0" t="s">
        <v>150</v>
      </c>
      <c r="BQ5" s="0" t="s">
        <v>151</v>
      </c>
      <c r="BR5" s="0" t="s">
        <v>21</v>
      </c>
      <c r="BS5" s="0" t="s">
        <v>152</v>
      </c>
      <c r="BT5" s="0" t="s">
        <v>153</v>
      </c>
      <c r="BU5" s="0" t="s">
        <v>154</v>
      </c>
      <c r="BV5" s="0" t="s">
        <v>155</v>
      </c>
      <c r="BW5" s="0" t="s">
        <v>156</v>
      </c>
      <c r="BX5" s="0" t="s">
        <v>157</v>
      </c>
      <c r="BY5" s="0" t="s">
        <v>158</v>
      </c>
      <c r="BZ5" s="0" t="s">
        <v>159</v>
      </c>
      <c r="CA5" s="0" t="s">
        <v>160</v>
      </c>
      <c r="CB5" s="0" t="s">
        <v>161</v>
      </c>
      <c r="CC5" s="0" t="s">
        <v>162</v>
      </c>
      <c r="CD5" s="0" t="s">
        <v>163</v>
      </c>
      <c r="CE5" s="0" t="s">
        <v>164</v>
      </c>
      <c r="CF5" s="0" t="s">
        <v>165</v>
      </c>
      <c r="CG5" s="0" t="s">
        <v>166</v>
      </c>
      <c r="CH5" s="0" t="s">
        <v>167</v>
      </c>
      <c r="CI5" s="0" t="s">
        <v>168</v>
      </c>
      <c r="CJ5" s="0" t="s">
        <v>169</v>
      </c>
      <c r="CK5" s="0" t="s">
        <v>170</v>
      </c>
      <c r="CL5" s="0" t="s">
        <v>171</v>
      </c>
      <c r="CM5" s="0" t="s">
        <v>172</v>
      </c>
      <c r="CN5" s="0" t="s">
        <v>173</v>
      </c>
      <c r="CO5" s="0" t="s">
        <v>174</v>
      </c>
      <c r="CP5" s="0" t="s">
        <v>175</v>
      </c>
      <c r="CQ5" s="0" t="s">
        <v>176</v>
      </c>
      <c r="CR5" s="0" t="s">
        <v>177</v>
      </c>
      <c r="CS5" s="0" t="s">
        <v>178</v>
      </c>
      <c r="CT5" s="0" t="s">
        <v>179</v>
      </c>
      <c r="CU5" s="0" t="s">
        <v>180</v>
      </c>
      <c r="CV5" s="0" t="s">
        <v>181</v>
      </c>
      <c r="CW5" s="0" t="s">
        <v>182</v>
      </c>
      <c r="CX5" s="0" t="s">
        <v>183</v>
      </c>
      <c r="CY5" s="0" t="s">
        <v>184</v>
      </c>
      <c r="CZ5" s="0" t="s">
        <v>185</v>
      </c>
      <c r="DA5" s="0" t="s">
        <v>186</v>
      </c>
      <c r="DB5" s="0" t="s">
        <v>187</v>
      </c>
      <c r="DC5" s="0" t="s">
        <v>188</v>
      </c>
      <c r="DD5" s="0" t="s">
        <v>189</v>
      </c>
      <c r="DE5" s="0" t="s">
        <v>190</v>
      </c>
      <c r="DF5" s="0" t="s">
        <v>191</v>
      </c>
      <c r="DG5" s="0" t="s">
        <v>192</v>
      </c>
      <c r="DH5" s="0" t="s">
        <v>193</v>
      </c>
      <c r="DI5" s="0" t="s">
        <v>194</v>
      </c>
      <c r="DJ5" s="0" t="s">
        <v>195</v>
      </c>
      <c r="DK5" s="0" t="s">
        <v>196</v>
      </c>
      <c r="DL5" s="0" t="s">
        <v>197</v>
      </c>
      <c r="DM5" s="0" t="s">
        <v>198</v>
      </c>
      <c r="DN5" s="0" t="s">
        <v>199</v>
      </c>
      <c r="DO5" s="0" t="s">
        <v>200</v>
      </c>
      <c r="DP5" s="0" t="s">
        <v>201</v>
      </c>
      <c r="DQ5" s="0" t="s">
        <v>202</v>
      </c>
      <c r="DR5" s="0" t="s">
        <v>203</v>
      </c>
      <c r="DS5" s="0" t="s">
        <v>204</v>
      </c>
      <c r="DT5" s="0" t="s">
        <v>205</v>
      </c>
      <c r="DU5" s="0" t="s">
        <v>206</v>
      </c>
      <c r="DV5" s="0" t="s">
        <v>207</v>
      </c>
      <c r="DW5" s="0" t="s">
        <v>208</v>
      </c>
      <c r="DX5" s="0" t="s">
        <v>209</v>
      </c>
      <c r="DY5" s="0" t="s">
        <v>210</v>
      </c>
      <c r="DZ5" s="0" t="s">
        <v>211</v>
      </c>
      <c r="EA5" s="0" t="s">
        <v>212</v>
      </c>
      <c r="EB5" s="0" t="s">
        <v>213</v>
      </c>
      <c r="EC5" s="0" t="s">
        <v>214</v>
      </c>
      <c r="ED5" s="0" t="s">
        <v>215</v>
      </c>
      <c r="EE5" s="0" t="s">
        <v>216</v>
      </c>
      <c r="EF5" s="0" t="s">
        <v>217</v>
      </c>
      <c r="EG5" s="0" t="s">
        <v>218</v>
      </c>
      <c r="EH5" s="0" t="s">
        <v>219</v>
      </c>
      <c r="EI5" s="0" t="s">
        <v>220</v>
      </c>
      <c r="EJ5" s="0" t="s">
        <v>221</v>
      </c>
      <c r="EK5" s="0" t="s">
        <v>222</v>
      </c>
      <c r="EL5" s="0" t="s">
        <v>223</v>
      </c>
      <c r="EM5" s="0" t="s">
        <v>224</v>
      </c>
      <c r="EN5" s="0" t="s">
        <v>225</v>
      </c>
      <c r="EO5" s="0" t="s">
        <v>226</v>
      </c>
      <c r="EP5" s="0" t="s">
        <v>227</v>
      </c>
      <c r="EQ5" s="0" t="s">
        <v>228</v>
      </c>
      <c r="ER5" s="0" t="s">
        <v>229</v>
      </c>
      <c r="ES5" s="0" t="s">
        <v>230</v>
      </c>
      <c r="ET5" s="0" t="s">
        <v>231</v>
      </c>
      <c r="EU5" s="0" t="s">
        <v>232</v>
      </c>
      <c r="EV5" s="0" t="s">
        <v>233</v>
      </c>
      <c r="EW5" s="0" t="s">
        <v>234</v>
      </c>
      <c r="EX5" s="0" t="s">
        <v>235</v>
      </c>
      <c r="EY5" s="0" t="s">
        <v>236</v>
      </c>
      <c r="EZ5" s="0" t="s">
        <v>237</v>
      </c>
      <c r="FA5" s="0" t="s">
        <v>238</v>
      </c>
      <c r="FB5" s="0" t="s">
        <v>239</v>
      </c>
      <c r="FC5" s="0" t="s">
        <v>240</v>
      </c>
      <c r="FD5" s="0" t="s">
        <v>241</v>
      </c>
      <c r="FE5" s="0" t="s">
        <v>242</v>
      </c>
      <c r="FF5" s="0" t="s">
        <v>243</v>
      </c>
      <c r="FG5" s="0" t="s">
        <v>244</v>
      </c>
      <c r="FH5" s="0" t="s">
        <v>245</v>
      </c>
      <c r="FI5" s="0" t="s">
        <v>246</v>
      </c>
      <c r="FJ5" s="0" t="s">
        <v>247</v>
      </c>
      <c r="FK5" s="0" t="s">
        <v>248</v>
      </c>
      <c r="FL5" s="0" t="s">
        <v>249</v>
      </c>
      <c r="FM5" s="0" t="s">
        <v>250</v>
      </c>
      <c r="FN5" s="0" t="s">
        <v>251</v>
      </c>
      <c r="FO5" s="0" t="s">
        <v>252</v>
      </c>
      <c r="FP5" s="0" t="s">
        <v>253</v>
      </c>
      <c r="FQ5" s="0" t="s">
        <v>254</v>
      </c>
      <c r="FR5" s="0" t="s">
        <v>255</v>
      </c>
      <c r="FS5" s="0" t="s">
        <v>256</v>
      </c>
      <c r="FT5" s="0" t="s">
        <v>257</v>
      </c>
      <c r="FU5" s="0" t="s">
        <v>258</v>
      </c>
      <c r="FV5" s="0" t="s">
        <v>259</v>
      </c>
      <c r="FW5" s="0" t="s">
        <v>260</v>
      </c>
    </row>
    <row r="6" ht="15.75" customHeight="1">
      <c r="A6" s="13"/>
      <c r="B6" s="13"/>
      <c r="C6" s="13" t="s">
        <v>79</v>
      </c>
      <c r="D6" s="13">
        <v>-100</v>
      </c>
      <c r="E6" s="13" t="s">
        <v>81</v>
      </c>
      <c r="F6" s="13" t="s">
        <v>261</v>
      </c>
      <c r="G6" s="13">
        <v>10</v>
      </c>
      <c r="H6" s="13" t="s">
        <v>262</v>
      </c>
      <c r="I6" s="13">
        <v>0</v>
      </c>
      <c r="J6" s="8"/>
      <c r="K6" s="13">
        <v>0</v>
      </c>
      <c r="L6" s="8"/>
      <c r="M6" s="8"/>
      <c r="N6" s="13">
        <v>1000</v>
      </c>
      <c r="O6" s="13" t="s">
        <v>263</v>
      </c>
      <c r="P6" s="9" t="s">
        <v>264</v>
      </c>
      <c r="Q6" s="9">
        <v>1000</v>
      </c>
      <c r="R6" s="9" t="s">
        <v>265</v>
      </c>
      <c r="S6" s="9" t="s">
        <v>85</v>
      </c>
      <c r="T6" s="9" t="s">
        <v>266</v>
      </c>
      <c r="V6" s="9" t="s">
        <v>86</v>
      </c>
      <c r="W6" s="9" t="s">
        <v>267</v>
      </c>
      <c r="X6" s="9">
        <v>1</v>
      </c>
      <c r="AB6" s="9">
        <v>0</v>
      </c>
      <c r="AC6" s="9">
        <v>0</v>
      </c>
      <c r="AD6" s="9">
        <v>0</v>
      </c>
      <c r="AE6" s="9">
        <v>0</v>
      </c>
      <c r="AF6" s="9">
        <v>-100</v>
      </c>
      <c r="AG6" s="9">
        <v>0</v>
      </c>
      <c r="AH6" s="9">
        <v>0</v>
      </c>
      <c r="AI6" s="9">
        <v>0</v>
      </c>
      <c r="AJ6" s="9">
        <v>0</v>
      </c>
      <c r="AK6" s="9">
        <v>1000</v>
      </c>
      <c r="AM6" s="9">
        <v>1</v>
      </c>
      <c r="AN6" s="9" t="s">
        <v>80</v>
      </c>
      <c r="AP6" s="9" t="s">
        <v>268</v>
      </c>
      <c r="AQ6" s="9" t="s">
        <v>79</v>
      </c>
      <c r="AS6" s="9">
        <v>-1</v>
      </c>
      <c r="AT6" s="9" t="s">
        <v>269</v>
      </c>
      <c r="AU6" s="9" t="s">
        <v>270</v>
      </c>
      <c r="AV6" s="9">
        <v>1</v>
      </c>
      <c r="AW6" s="9">
        <v>1000</v>
      </c>
      <c r="AX6" s="9">
        <v>0</v>
      </c>
      <c r="BA6" s="9">
        <v>100</v>
      </c>
      <c r="BD6" s="9">
        <v>1000</v>
      </c>
      <c r="BE6" s="9" t="s">
        <v>266</v>
      </c>
      <c r="BF6" s="9" t="s">
        <v>271</v>
      </c>
      <c r="BG6" s="9" t="s">
        <v>272</v>
      </c>
      <c r="BH6" s="9" t="s">
        <v>264</v>
      </c>
      <c r="BI6" s="9">
        <v>5</v>
      </c>
      <c r="BJ6" s="9">
        <v>0</v>
      </c>
      <c r="BK6" s="9">
        <v>0</v>
      </c>
      <c r="BL6" s="9">
        <v>0</v>
      </c>
      <c r="BM6" s="9">
        <v>0</v>
      </c>
      <c r="BO6" s="9">
        <v>1000</v>
      </c>
      <c r="BP6" s="9">
        <v>0</v>
      </c>
      <c r="BQ6" s="9" t="s">
        <v>273</v>
      </c>
      <c r="BR6" s="9" t="s">
        <v>82</v>
      </c>
      <c r="BS6" s="9">
        <v>0</v>
      </c>
      <c r="BT6" s="9">
        <v>0</v>
      </c>
      <c r="BU6" s="9" t="s">
        <v>266</v>
      </c>
      <c r="BW6" s="9">
        <v>0</v>
      </c>
      <c r="BX6" s="9">
        <v>0</v>
      </c>
      <c r="CG6" s="9">
        <v>1000</v>
      </c>
      <c r="CH6" s="9">
        <v>100</v>
      </c>
      <c r="CI6" s="9">
        <v>0</v>
      </c>
      <c r="CK6" s="9" t="b">
        <v>0</v>
      </c>
      <c r="CP6" s="9" t="s">
        <v>274</v>
      </c>
      <c r="CY6" s="9" t="s">
        <v>275</v>
      </c>
      <c r="CZ6" s="9" t="s">
        <v>276</v>
      </c>
      <c r="DD6" s="9">
        <v>-100</v>
      </c>
      <c r="DH6" s="9" t="s">
        <v>264</v>
      </c>
      <c r="DJ6" s="9" t="s">
        <v>80</v>
      </c>
      <c r="DP6" s="9" t="s">
        <v>268</v>
      </c>
      <c r="DQ6" s="9" t="s">
        <v>277</v>
      </c>
      <c r="EP6" s="9">
        <v>0</v>
      </c>
      <c r="EW6" s="9">
        <v>1000</v>
      </c>
      <c r="FC6" s="9" t="s">
        <v>278</v>
      </c>
      <c r="FF6" s="9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4F2E443-7D2E-4E79-883E-C076A85024B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22DC66E-DC5C-4CC6-B62C-DB689ACCA47E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AF86DF1B-00C2-4885-8BCF-E50F3C96BDA6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87</v>
      </c>
      <c r="D3" s="5" t="s">
        <v>9</v>
      </c>
      <c r="E3" s="23" t="s">
        <v>279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51</v>
      </c>
      <c r="C5" s="0" t="s">
        <v>16</v>
      </c>
      <c r="D5" s="0" t="s">
        <v>89</v>
      </c>
      <c r="E5" s="0" t="s">
        <v>17</v>
      </c>
    </row>
    <row r="6" ht="15.75" customHeight="1">
      <c r="A6" s="13"/>
      <c r="B6" s="13" t="s">
        <v>81</v>
      </c>
      <c r="C6" s="13" t="s">
        <v>79</v>
      </c>
      <c r="D6" s="13">
        <v>-100</v>
      </c>
      <c r="E6" s="13" t="s">
        <v>80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7882342-5832-4F3B-9DD9-9E69730495B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0B8181B-9645-459A-A1D8-B3ACE82438DE}">
          <x14:formula1>
            <xm:f>ClosePositionFromPM!$4:$4</xm:f>
          </x14:formula1>
          <xm:sqref>E3</xm:sqref>
        </x14:dataValidation>
        <x14:dataValidation type="list" allowBlank="1" showInputMessage="1" showErrorMessage="1" prompt="Choose an available module" xr:uid="{4932D276-FC6A-4FC3-87B7-00BC41FD247D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