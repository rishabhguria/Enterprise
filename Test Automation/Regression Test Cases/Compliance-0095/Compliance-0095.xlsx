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VerifyGridData" sheetId="9" r:id="rId11"/>
    <sheet state="visible" name="RunRebalance" sheetId="10" r:id="rId12"/>
    <sheet state="visible" name="SendtoStaging" sheetId="11" r:id="rId13"/>
    <sheet state="visible" name="TradeNewSubOrder" sheetId="12" r:id="rId14"/>
    <sheet state="visible" name="CreateDoneAwayOrder" sheetId="13" r:id="rId15"/>
    <sheet state="visible" name="SelectTradeOnOrderGrid" sheetId="14" r:id="rId16"/>
    <sheet state="visible" name="ReplaceSubOrder" sheetId="15" r:id="rId17"/>
    <sheet state="visible" name="CreateReplaceOrder" sheetId="16" r:id="rId18"/>
    <sheet state="visible" name="AddFillsSubOrder" sheetId="17" r:id="rId19"/>
    <sheet state="visible" name="EditAddFillsDetails" sheetId="18" r:id="rId20"/>
    <sheet state="visible" name="VerifyRowCalculationBaseWindow" sheetId="19" r:id="rId21"/>
    <sheet state="visible" name="AddFillsSubOrder1" sheetId="20" r:id="rId22"/>
    <sheet state="visible" name="EditAddFillsDetails1" sheetId="21" r:id="rId23"/>
    <sheet state="visible" name="VerifyRowCalculationBaseWindow1" sheetId="22" r:id="rId24"/>
    <sheet state="visible" name="ReplaceSubOrder1" sheetId="23" r:id="rId25"/>
    <sheet state="visible" name="SelectTradeOnOrderGrid1" sheetId="24" r:id="rId26"/>
    <sheet state="visible" name="CreateReplaceOrder1" sheetId="25" r:id="rId27"/>
    <sheet state="visible" name="AddFillsSubOrder2" sheetId="26" r:id="rId28"/>
    <sheet state="visible" name="EditAddFillsDetails2" sheetId="27" r:id="rId29"/>
    <sheet state="visible" name="VerifyRowCalculationBaseWindow2" sheetId="28" r:id="rId30"/>
    <sheet state="visible" name="VerifySubOrder" sheetId="29" r:id="rId31"/>
    <sheet state="visible" name="GetDataAllocation" sheetId="30" r:id="rId32"/>
    <sheet state="visible" name="CheckAllocatedGroups" sheetId="31" r:id="rId33"/>
    <sheet state="visible" name="CheckPortfolioManagement" sheetId="32" r:id="rId34"/>
    <sheet state="visible" name="CreateNewSubOrder" sheetId="33" r:id="rId35"/>
  </sheets>
  <definedNames/>
  <calcPr/>
</workbook>
</file>

<file path=xl/sharedStrings.xml><?xml version="1.0" encoding="utf-8"?>
<sst xmlns="http://schemas.openxmlformats.org/spreadsheetml/2006/main" count="416" uniqueCount="84">
  <si>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</si>
  <si>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</si>
  <si>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</si>
  <si>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</si>
  <si>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</si>
  <si>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</si>
  <si>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</si>
  <si>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</si>
  <si>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</si>
  <si>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</si>
  <si>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</si>
  <si>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</si>
  <si>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</si>
  <si>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</si>
  <si>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</si>
  <si>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</si>
  <si>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</si>
  <si>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</si>
  <si>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</si>
  <si>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</si>
  <si>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</si>
  <si>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</si>
  <si>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</si>
  <si>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</si>
  <si>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</si>
  <si>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</si>
  <si>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</si>
  <si>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</si>
  <si>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AAPL</t>
  </si>
  <si>
    <t xml:space="preserve">Set </t>
  </si>
  <si>
    <t>VerifyGridData</t>
  </si>
  <si>
    <t>Equity</t>
  </si>
  <si>
    <t>Long</t>
  </si>
  <si>
    <t>Accruals</t>
  </si>
  <si>
    <t>Cash</t>
  </si>
  <si>
    <t>RunRebalance</t>
  </si>
  <si>
    <t>Nearest Round Off</t>
  </si>
  <si>
    <t>SendtoStaging</t>
  </si>
  <si>
    <t>Buy</t>
  </si>
  <si>
    <t>Blotter</t>
  </si>
  <si>
    <t>TradeNewSubOrder</t>
  </si>
  <si>
    <t>New</t>
  </si>
  <si>
    <t>MS</t>
  </si>
  <si>
    <t>TradingTicket</t>
  </si>
  <si>
    <t>CreateDoneAwayOrder</t>
  </si>
  <si>
    <t>Yes</t>
  </si>
  <si>
    <t>SelectTradeOnOrderGrid</t>
  </si>
  <si>
    <t>Filled</t>
  </si>
  <si>
    <t>ReplaceSubOrder</t>
  </si>
  <si>
    <t>NASDAQ</t>
  </si>
  <si>
    <t>Market</t>
  </si>
  <si>
    <t>CreateReplaceOrder</t>
  </si>
  <si>
    <t>AddFillsSubOrder</t>
  </si>
  <si>
    <t>Replaced</t>
  </si>
  <si>
    <t>EditAddFillsDetails</t>
  </si>
  <si>
    <t>Compliance</t>
  </si>
  <si>
    <t>VerifyRowCalculationBaseWindow</t>
  </si>
  <si>
    <t>InTradeMarket</t>
  </si>
  <si>
    <t>Post</t>
  </si>
  <si>
    <t>PartiallyFilled</t>
  </si>
  <si>
    <t>jpearce</t>
  </si>
  <si>
    <t>VerifySubOrder</t>
  </si>
  <si>
    <t>US</t>
  </si>
  <si>
    <t>M</t>
  </si>
  <si>
    <t>Allocation</t>
  </si>
  <si>
    <t>GetDataAllocation</t>
  </si>
  <si>
    <t>Current</t>
  </si>
  <si>
    <t>CheckAllocatedGroups</t>
  </si>
  <si>
    <t>Open</t>
  </si>
  <si>
    <t>NONE</t>
  </si>
  <si>
    <t>PortfolioManagement</t>
  </si>
  <si>
    <t>CheckPortfolioManagement</t>
  </si>
  <si>
    <t>NewMF</t>
  </si>
  <si>
    <t>Undefined</t>
  </si>
  <si>
    <t>FIMAT</t>
  </si>
  <si>
    <t>Strategy Unallocated</t>
  </si>
  <si>
    <t>New Hedge</t>
  </si>
  <si>
    <t>Small Cap</t>
  </si>
  <si>
    <t>Default</t>
  </si>
  <si>
    <t>test1</t>
  </si>
  <si>
    <t>india</t>
  </si>
  <si>
    <t>test 1</t>
  </si>
  <si>
    <t>APPLE</t>
  </si>
  <si>
    <t>CreateNewSubOrder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</si>
</sst>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6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3" numFmtId="4" xfId="0" applyAlignment="1" applyFont="1" applyNumberFormat="1">
      <alignment horizontal="right" readingOrder="0" vertical="bottom"/>
    </xf>
    <xf borderId="0" fillId="0" fontId="13" numFmtId="0" xfId="0" applyAlignment="1" applyFont="1">
      <alignment vertical="bottom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readingOrder="0" vertical="bottom"/>
    </xf>
    <xf borderId="0" fillId="0" fontId="1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44782</v>
      </c>
      <c r="C6" s="32">
        <f t="shared" si="1"/>
        <v>44782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17</v>
      </c>
      <c r="C6" s="34" t="s">
        <v>18</v>
      </c>
      <c r="D6" s="36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7" t="s">
        <v>17</v>
      </c>
      <c r="C6" s="38" t="s">
        <v>21</v>
      </c>
      <c r="D6" s="37" t="s">
        <v>22</v>
      </c>
      <c r="E6" s="38" t="s">
        <v>23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>
        <v>100000.0</v>
      </c>
      <c r="C6" s="34" t="s">
        <v>25</v>
      </c>
      <c r="D6" s="33" t="s">
        <v>26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28</v>
      </c>
      <c r="C6" s="34" t="s">
        <v>29</v>
      </c>
      <c r="D6" s="39">
        <v>0.5</v>
      </c>
      <c r="E6" s="34" t="s">
        <v>17</v>
      </c>
      <c r="F6" s="34"/>
      <c r="G6" s="34"/>
      <c r="H6" s="34"/>
      <c r="I6" s="34"/>
      <c r="J6" s="40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41" t="s">
        <v>17</v>
      </c>
      <c r="D6" s="42" t="s">
        <v>28</v>
      </c>
      <c r="E6" s="34" t="s">
        <v>31</v>
      </c>
      <c r="F6" s="34" t="s">
        <v>32</v>
      </c>
      <c r="G6" s="43">
        <v>1.0</v>
      </c>
      <c r="H6" s="41">
        <v>1.0</v>
      </c>
      <c r="I6" s="33"/>
      <c r="J6" s="41"/>
      <c r="K6" s="41">
        <v>0.0</v>
      </c>
      <c r="L6" s="34"/>
      <c r="M6" s="41">
        <v>0.0</v>
      </c>
      <c r="N6" s="41"/>
      <c r="O6" s="42">
        <v>1000.0</v>
      </c>
      <c r="P6" s="34"/>
      <c r="Q6" s="42">
        <v>1000.0</v>
      </c>
      <c r="R6" s="42">
        <v>1000.0</v>
      </c>
      <c r="S6" s="42">
        <v>1000.0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44" t="s">
        <v>17</v>
      </c>
      <c r="D7" s="44" t="s">
        <v>33</v>
      </c>
      <c r="E7" s="44" t="s">
        <v>33</v>
      </c>
      <c r="F7" s="35" t="s">
        <v>32</v>
      </c>
      <c r="G7" s="45">
        <v>1.0</v>
      </c>
      <c r="H7" s="44">
        <v>1.0</v>
      </c>
      <c r="I7" s="31"/>
      <c r="J7" s="44"/>
      <c r="K7" s="44">
        <v>0.0</v>
      </c>
      <c r="L7" s="35"/>
      <c r="M7" s="44">
        <v>0.0</v>
      </c>
      <c r="N7" s="44"/>
      <c r="O7" s="44">
        <v>0.0</v>
      </c>
      <c r="P7" s="35"/>
      <c r="Q7" s="44">
        <v>0.0</v>
      </c>
      <c r="R7" s="44">
        <v>0.0</v>
      </c>
      <c r="S7" s="44">
        <v>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44" t="s">
        <v>17</v>
      </c>
      <c r="D8" s="44" t="s">
        <v>34</v>
      </c>
      <c r="E8" s="44" t="s">
        <v>34</v>
      </c>
      <c r="F8" s="35" t="s">
        <v>32</v>
      </c>
      <c r="G8" s="45">
        <v>1.0</v>
      </c>
      <c r="H8" s="44">
        <v>1.0</v>
      </c>
      <c r="I8" s="31"/>
      <c r="J8" s="44"/>
      <c r="K8" s="46">
        <v>100000.0</v>
      </c>
      <c r="L8" s="47"/>
      <c r="M8" s="46">
        <v>100000.0</v>
      </c>
      <c r="N8" s="44"/>
      <c r="O8" s="46">
        <v>199000.0</v>
      </c>
      <c r="P8" s="35"/>
      <c r="Q8" s="46">
        <v>199000.0</v>
      </c>
      <c r="R8" s="46">
        <v>99000.0</v>
      </c>
      <c r="S8" s="46">
        <v>99000.0</v>
      </c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8" t="s">
        <v>36</v>
      </c>
      <c r="C6" s="34"/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IFERROR(__xludf.DUMMYFUNCTION("""COMPUTED_VALUE"""),"ModifyRebalance")</f>
        <v>ModifyRebalance</v>
      </c>
      <c r="H4" s="25" t="str">
        <f>IFERROR(__xludf.DUMMYFUNCTION("""COMPUTED_VALUE"""),"ClearCalculations")</f>
        <v>ClearCalculations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IFERROR(__xludf.DUMMYFUNCTION("""COMPUTED_VALUE"""),"RebalanceAcrossSecuritiesViaBloomberg")</f>
        <v>RebalanceAcrossSecuritiesViaBloomberg</v>
      </c>
      <c r="N4" s="25" t="str">
        <f>IFERROR(__xludf.DUMMYFUNCTION("""COMPUTED_VALUE"""),"RebalanceAcrossSecuritiesViaBloomberg")</f>
        <v>RebalanceAcrossSecuritiesViaBloomberg</v>
      </c>
      <c r="O4" s="25" t="str">
        <f>IFERROR(__xludf.DUMMYFUNCTION("""COMPUTED_VALUE"""),"AddUserAdjustedNAV")</f>
        <v>AddUserAdjustedNAV</v>
      </c>
      <c r="P4" s="26" t="str">
        <f>IFERROR(__xludf.DUMMYFUNCTION("""COMPUTED_VALUE"""),"RebalanceViaBloomberg")</f>
        <v>RebalanceViaBloomberg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17</v>
      </c>
      <c r="C6" s="34" t="s">
        <v>38</v>
      </c>
      <c r="D6" s="33" t="s">
        <v>28</v>
      </c>
      <c r="E6" s="40">
        <v>1000.0</v>
      </c>
      <c r="F6" s="40">
        <v>1.0</v>
      </c>
      <c r="G6" s="41">
        <v>1000.0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6">
        <v>1.0</v>
      </c>
      <c r="E6" s="34"/>
      <c r="F6" s="34"/>
      <c r="G6" s="34"/>
      <c r="H6" s="34"/>
      <c r="I6" s="34"/>
      <c r="J6" s="34" t="s">
        <v>28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31</v>
      </c>
      <c r="AI6" s="35" t="s">
        <v>28</v>
      </c>
      <c r="AJ6" s="35" t="s">
        <v>38</v>
      </c>
      <c r="AK6" s="35" t="s">
        <v>41</v>
      </c>
      <c r="AL6" s="45">
        <v>1000.0</v>
      </c>
      <c r="AM6" s="35"/>
      <c r="AN6" s="35"/>
      <c r="AO6" s="35"/>
      <c r="AP6" s="35"/>
      <c r="AQ6" s="35"/>
      <c r="AR6" s="35"/>
      <c r="AS6" s="35" t="s">
        <v>42</v>
      </c>
      <c r="AT6" s="35" t="s">
        <v>17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28</v>
      </c>
      <c r="C6" s="34"/>
      <c r="D6" s="36">
        <v>1000.0</v>
      </c>
      <c r="E6" s="43">
        <v>1000.0</v>
      </c>
      <c r="F6" s="34"/>
      <c r="G6" s="34"/>
      <c r="H6" s="34"/>
      <c r="I6" s="34"/>
      <c r="J6" s="40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45"/>
      <c r="AP6" s="35"/>
      <c r="AQ6" s="35" t="s">
        <v>45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47</v>
      </c>
      <c r="H6" s="13">
        <v>1000.0</v>
      </c>
      <c r="I6" s="13">
        <v>1000.0</v>
      </c>
      <c r="J6" s="8"/>
      <c r="K6" s="8"/>
      <c r="L6" s="8"/>
      <c r="M6" s="8"/>
      <c r="N6" s="8"/>
      <c r="O6" s="8"/>
      <c r="P6" s="9">
        <v>1.0</v>
      </c>
      <c r="Q6" s="9" t="s">
        <v>42</v>
      </c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9"/>
      <c r="F6" s="8"/>
      <c r="G6" s="8"/>
      <c r="H6" s="13" t="s">
        <v>49</v>
      </c>
      <c r="I6" s="8"/>
      <c r="J6" s="13" t="s">
        <v>28</v>
      </c>
      <c r="K6" s="8"/>
      <c r="L6" s="8"/>
      <c r="M6" s="8"/>
      <c r="N6" s="8"/>
      <c r="O6" s="8"/>
      <c r="AE6" s="9">
        <v>1.0</v>
      </c>
      <c r="AJ6" s="9" t="s">
        <v>28</v>
      </c>
      <c r="AK6" s="9" t="s">
        <v>38</v>
      </c>
      <c r="AL6" s="9" t="s">
        <v>47</v>
      </c>
      <c r="AM6" s="9">
        <v>1000.0</v>
      </c>
      <c r="AN6" s="9">
        <v>1000.0</v>
      </c>
      <c r="AS6" s="9">
        <v>1.0</v>
      </c>
      <c r="AU6" s="9" t="s">
        <v>17</v>
      </c>
      <c r="AV6" s="9" t="s">
        <v>50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38</v>
      </c>
      <c r="D6" s="13">
        <v>2000.0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53</v>
      </c>
      <c r="H6" s="13">
        <v>2000.0</v>
      </c>
      <c r="I6" s="8"/>
      <c r="J6" s="8"/>
      <c r="K6" s="8"/>
      <c r="L6" s="8"/>
      <c r="M6" s="13">
        <v>1.0</v>
      </c>
      <c r="N6" s="13" t="s">
        <v>42</v>
      </c>
      <c r="O6" s="13" t="s">
        <v>17</v>
      </c>
      <c r="AB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1200.0</v>
      </c>
      <c r="C6" s="13">
        <v>1.0</v>
      </c>
      <c r="D6" s="13" t="b">
        <v>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28</v>
      </c>
      <c r="I6" s="40">
        <v>0.0</v>
      </c>
      <c r="J6" s="36">
        <v>800.0</v>
      </c>
      <c r="K6" s="39">
        <v>800.0</v>
      </c>
      <c r="L6" s="39">
        <v>800.0</v>
      </c>
      <c r="M6" s="38" t="s">
        <v>57</v>
      </c>
      <c r="N6" s="34"/>
      <c r="O6" s="34" t="s">
        <v>38</v>
      </c>
      <c r="P6" s="34"/>
      <c r="Q6" s="34"/>
      <c r="R6" s="34"/>
      <c r="S6" s="34"/>
      <c r="T6" s="35" t="s">
        <v>17</v>
      </c>
      <c r="U6" s="35" t="s">
        <v>17</v>
      </c>
      <c r="V6" s="35"/>
      <c r="W6" s="35"/>
      <c r="X6" s="35"/>
      <c r="Y6" s="34"/>
      <c r="Z6" s="34"/>
      <c r="AA6" s="34"/>
      <c r="AB6" s="40">
        <v>800.0</v>
      </c>
      <c r="AC6" s="34"/>
      <c r="AD6" s="40">
        <v>800.0</v>
      </c>
      <c r="AE6" s="43">
        <v>0.0</v>
      </c>
      <c r="AF6" s="34"/>
      <c r="AG6" s="40">
        <v>800.0</v>
      </c>
      <c r="AH6" s="40">
        <v>800.0</v>
      </c>
      <c r="AI6" s="35"/>
      <c r="AJ6" s="35" t="s">
        <v>31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28</v>
      </c>
      <c r="I7" s="40">
        <v>0.0</v>
      </c>
      <c r="J7" s="50">
        <v>1200.0</v>
      </c>
      <c r="K7" s="39">
        <v>1200.0</v>
      </c>
      <c r="L7" s="39">
        <v>1200.0</v>
      </c>
      <c r="M7" s="51" t="s">
        <v>58</v>
      </c>
      <c r="N7" s="34"/>
      <c r="O7" s="34" t="s">
        <v>38</v>
      </c>
      <c r="P7" s="34"/>
      <c r="Q7" s="34"/>
      <c r="R7" s="34"/>
      <c r="S7" s="34"/>
      <c r="T7" s="35" t="s">
        <v>17</v>
      </c>
      <c r="U7" s="35" t="s">
        <v>17</v>
      </c>
      <c r="V7" s="35"/>
      <c r="W7" s="35"/>
      <c r="X7" s="35"/>
      <c r="Y7" s="34"/>
      <c r="Z7" s="34"/>
      <c r="AA7" s="34"/>
      <c r="AB7" s="52">
        <v>1200.0</v>
      </c>
      <c r="AC7" s="34"/>
      <c r="AD7" s="52">
        <v>1200.0</v>
      </c>
      <c r="AE7" s="43">
        <v>0.0</v>
      </c>
      <c r="AF7" s="34"/>
      <c r="AG7" s="52">
        <v>1200.0</v>
      </c>
      <c r="AH7" s="52">
        <v>1200.0</v>
      </c>
      <c r="AI7" s="35"/>
      <c r="AJ7" s="35" t="s">
        <v>31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59</v>
      </c>
      <c r="H6" s="13">
        <v>2000.0</v>
      </c>
      <c r="I6" s="8"/>
      <c r="J6" s="8"/>
      <c r="K6" s="8"/>
      <c r="L6" s="8"/>
      <c r="M6" s="13">
        <v>1.0</v>
      </c>
      <c r="N6" s="13" t="s">
        <v>42</v>
      </c>
      <c r="O6" s="13" t="s">
        <v>17</v>
      </c>
      <c r="AB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200.0</v>
      </c>
      <c r="C6" s="13">
        <v>1.0</v>
      </c>
      <c r="D6" s="13" t="b">
        <v>1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28</v>
      </c>
      <c r="I6" s="40">
        <v>0.0</v>
      </c>
      <c r="J6" s="39">
        <v>600.0</v>
      </c>
      <c r="K6" s="39">
        <v>600.0</v>
      </c>
      <c r="L6" s="39">
        <v>600.0</v>
      </c>
      <c r="M6" s="38" t="s">
        <v>57</v>
      </c>
      <c r="N6" s="34"/>
      <c r="O6" s="34" t="s">
        <v>38</v>
      </c>
      <c r="P6" s="34"/>
      <c r="Q6" s="34"/>
      <c r="R6" s="34"/>
      <c r="S6" s="34"/>
      <c r="T6" s="35" t="s">
        <v>17</v>
      </c>
      <c r="U6" s="35" t="s">
        <v>17</v>
      </c>
      <c r="V6" s="35"/>
      <c r="W6" s="35"/>
      <c r="X6" s="35"/>
      <c r="Y6" s="34"/>
      <c r="Z6" s="34"/>
      <c r="AA6" s="34"/>
      <c r="AB6" s="39">
        <v>600.0</v>
      </c>
      <c r="AC6" s="34"/>
      <c r="AD6" s="39">
        <v>600.0</v>
      </c>
      <c r="AE6" s="43">
        <v>0.0</v>
      </c>
      <c r="AF6" s="34"/>
      <c r="AG6" s="39">
        <v>600.0</v>
      </c>
      <c r="AH6" s="39">
        <v>600.0</v>
      </c>
      <c r="AI6" s="35"/>
      <c r="AJ6" s="35" t="s">
        <v>31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28</v>
      </c>
      <c r="I7" s="40">
        <v>0.0</v>
      </c>
      <c r="J7" s="53">
        <v>1400.0</v>
      </c>
      <c r="K7" s="53">
        <v>1400.0</v>
      </c>
      <c r="L7" s="53">
        <v>1400.0</v>
      </c>
      <c r="M7" s="51" t="s">
        <v>58</v>
      </c>
      <c r="N7" s="34"/>
      <c r="O7" s="34" t="s">
        <v>38</v>
      </c>
      <c r="P7" s="34"/>
      <c r="Q7" s="34"/>
      <c r="R7" s="34"/>
      <c r="S7" s="34"/>
      <c r="T7" s="35" t="s">
        <v>17</v>
      </c>
      <c r="U7" s="35" t="s">
        <v>17</v>
      </c>
      <c r="V7" s="35"/>
      <c r="W7" s="35"/>
      <c r="X7" s="35"/>
      <c r="Y7" s="34"/>
      <c r="Z7" s="34"/>
      <c r="AA7" s="34"/>
      <c r="AB7" s="53">
        <v>1400.0</v>
      </c>
      <c r="AC7" s="34"/>
      <c r="AD7" s="53">
        <v>1400.0</v>
      </c>
      <c r="AE7" s="43">
        <v>0.0</v>
      </c>
      <c r="AF7" s="34"/>
      <c r="AG7" s="53">
        <v>1400.0</v>
      </c>
      <c r="AH7" s="53">
        <v>1400.0</v>
      </c>
      <c r="AI7" s="35"/>
      <c r="AJ7" s="35" t="s">
        <v>31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9"/>
      <c r="F6" s="8"/>
      <c r="G6" s="8"/>
      <c r="H6" s="13" t="s">
        <v>49</v>
      </c>
      <c r="I6" s="13" t="s">
        <v>60</v>
      </c>
      <c r="J6" s="13" t="s">
        <v>28</v>
      </c>
      <c r="K6" s="8"/>
      <c r="L6" s="8"/>
      <c r="M6" s="8"/>
      <c r="N6" s="8"/>
      <c r="O6" s="8"/>
      <c r="AJ6" s="9" t="s">
        <v>28</v>
      </c>
      <c r="AK6" s="9" t="s">
        <v>38</v>
      </c>
      <c r="AL6" s="9" t="s">
        <v>59</v>
      </c>
      <c r="AM6" s="9">
        <v>2000.0</v>
      </c>
      <c r="AN6" s="9">
        <v>1400.0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59</v>
      </c>
      <c r="H6" s="13">
        <v>2000.0</v>
      </c>
      <c r="I6" s="13">
        <v>1400.0</v>
      </c>
      <c r="J6" s="8"/>
      <c r="K6" s="8"/>
      <c r="L6" s="8"/>
      <c r="M6" s="8"/>
      <c r="N6" s="8"/>
      <c r="O6" s="8"/>
      <c r="P6" s="9">
        <v>1.0</v>
      </c>
      <c r="Q6" s="9" t="s">
        <v>42</v>
      </c>
      <c r="R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38</v>
      </c>
      <c r="D6" s="13">
        <v>4000.0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  <c r="AO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28</v>
      </c>
      <c r="E6" s="49"/>
      <c r="F6" s="13" t="s">
        <v>38</v>
      </c>
      <c r="G6" s="13" t="s">
        <v>53</v>
      </c>
      <c r="H6" s="13">
        <v>4000.0</v>
      </c>
      <c r="I6" s="8"/>
      <c r="J6" s="8"/>
      <c r="K6" s="8"/>
      <c r="L6" s="8"/>
      <c r="M6" s="13">
        <v>1.0</v>
      </c>
      <c r="N6" s="13" t="s">
        <v>42</v>
      </c>
      <c r="O6" s="13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1.0</v>
      </c>
      <c r="D6" s="13" t="b">
        <v>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4"/>
      <c r="D6" s="33"/>
      <c r="E6" s="34"/>
      <c r="F6" s="34"/>
      <c r="G6" s="34"/>
      <c r="H6" s="34" t="s">
        <v>28</v>
      </c>
      <c r="I6" s="40">
        <v>0.0</v>
      </c>
      <c r="J6" s="39">
        <v>1800.0</v>
      </c>
      <c r="K6" s="39">
        <v>1800.0</v>
      </c>
      <c r="L6" s="39">
        <v>1800.0</v>
      </c>
      <c r="M6" s="38" t="s">
        <v>57</v>
      </c>
      <c r="N6" s="34"/>
      <c r="O6" s="34" t="s">
        <v>38</v>
      </c>
      <c r="P6" s="34"/>
      <c r="Q6" s="34"/>
      <c r="R6" s="34"/>
      <c r="S6" s="34"/>
      <c r="T6" s="35" t="s">
        <v>17</v>
      </c>
      <c r="U6" s="35" t="s">
        <v>17</v>
      </c>
      <c r="V6" s="35"/>
      <c r="W6" s="35"/>
      <c r="X6" s="35"/>
      <c r="Y6" s="34"/>
      <c r="Z6" s="34"/>
      <c r="AA6" s="34"/>
      <c r="AB6" s="39">
        <v>1800.0</v>
      </c>
      <c r="AC6" s="34"/>
      <c r="AD6" s="39">
        <v>1800.0</v>
      </c>
      <c r="AE6" s="43">
        <v>0.0</v>
      </c>
      <c r="AF6" s="34"/>
      <c r="AG6" s="39">
        <v>1800.0</v>
      </c>
      <c r="AH6" s="39">
        <v>1800.0</v>
      </c>
      <c r="AI6" s="35"/>
      <c r="AJ6" s="35" t="s">
        <v>31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>
        <v>1.0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34"/>
      <c r="D7" s="34"/>
      <c r="E7" s="34"/>
      <c r="F7" s="34"/>
      <c r="G7" s="34"/>
      <c r="H7" s="34" t="s">
        <v>28</v>
      </c>
      <c r="I7" s="40">
        <v>0.0</v>
      </c>
      <c r="J7" s="53">
        <v>2200.0</v>
      </c>
      <c r="K7" s="53">
        <v>2200.0</v>
      </c>
      <c r="L7" s="53">
        <v>2200.0</v>
      </c>
      <c r="M7" s="51" t="s">
        <v>58</v>
      </c>
      <c r="N7" s="34"/>
      <c r="O7" s="34" t="s">
        <v>38</v>
      </c>
      <c r="P7" s="34"/>
      <c r="Q7" s="34"/>
      <c r="R7" s="34"/>
      <c r="S7" s="34"/>
      <c r="T7" s="35" t="s">
        <v>17</v>
      </c>
      <c r="U7" s="35" t="s">
        <v>17</v>
      </c>
      <c r="V7" s="35"/>
      <c r="W7" s="35"/>
      <c r="X7" s="35"/>
      <c r="Y7" s="34"/>
      <c r="Z7" s="34"/>
      <c r="AA7" s="34"/>
      <c r="AB7" s="53">
        <v>2200.0</v>
      </c>
      <c r="AC7" s="34"/>
      <c r="AD7" s="53">
        <v>2200.0</v>
      </c>
      <c r="AE7" s="43">
        <v>0.0</v>
      </c>
      <c r="AF7" s="34"/>
      <c r="AG7" s="53">
        <v>2200.0</v>
      </c>
      <c r="AH7" s="53">
        <v>2200.0</v>
      </c>
      <c r="AI7" s="35"/>
      <c r="AJ7" s="35" t="s">
        <v>31</v>
      </c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>
        <v>1.0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9"/>
      <c r="F6" s="13">
        <v>0.0</v>
      </c>
      <c r="G6" s="13">
        <v>1800.0</v>
      </c>
      <c r="H6" s="13" t="s">
        <v>49</v>
      </c>
      <c r="I6" s="13" t="s">
        <v>60</v>
      </c>
      <c r="J6" s="13" t="s">
        <v>28</v>
      </c>
      <c r="K6" s="13" t="s">
        <v>62</v>
      </c>
      <c r="L6" s="8"/>
      <c r="M6" s="8"/>
      <c r="N6" s="8"/>
      <c r="O6" s="8"/>
      <c r="AD6" s="9">
        <v>1.0</v>
      </c>
      <c r="AF6" s="9" t="s">
        <v>63</v>
      </c>
      <c r="AH6" s="9" t="s">
        <v>31</v>
      </c>
      <c r="AI6" s="9" t="s">
        <v>28</v>
      </c>
      <c r="AJ6" s="9" t="s">
        <v>38</v>
      </c>
      <c r="AK6" s="9" t="s">
        <v>59</v>
      </c>
      <c r="AL6" s="9">
        <v>4000.0</v>
      </c>
      <c r="AM6" s="9">
        <v>2200.0</v>
      </c>
      <c r="AP6" s="9">
        <v>1.0</v>
      </c>
      <c r="AQ6" s="9" t="s">
        <v>42</v>
      </c>
      <c r="AS6" s="9" t="s">
        <v>50</v>
      </c>
      <c r="AT6" s="9">
        <v>2200.0</v>
      </c>
      <c r="AU6" s="9">
        <v>2200.0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66</v>
      </c>
      <c r="C6" s="8"/>
      <c r="D6" s="13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64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54" t="s">
        <v>17</v>
      </c>
      <c r="C6" s="34"/>
      <c r="D6" s="33"/>
      <c r="E6" s="55">
        <v>2200.0</v>
      </c>
      <c r="F6" s="34"/>
      <c r="G6" s="34" t="s">
        <v>31</v>
      </c>
      <c r="H6" s="43">
        <v>4.0</v>
      </c>
      <c r="I6" s="43">
        <v>5.0</v>
      </c>
      <c r="J6" s="43"/>
      <c r="K6" s="43">
        <v>1.0</v>
      </c>
      <c r="L6" s="43">
        <v>1.0</v>
      </c>
      <c r="M6" s="56"/>
      <c r="N6" s="34"/>
      <c r="O6" s="34" t="s">
        <v>42</v>
      </c>
      <c r="P6" s="34"/>
      <c r="Q6" s="43"/>
      <c r="R6" s="43">
        <v>0.0</v>
      </c>
      <c r="S6" s="34" t="s">
        <v>68</v>
      </c>
      <c r="T6" s="45">
        <v>0.0</v>
      </c>
      <c r="U6" s="45">
        <v>0.0</v>
      </c>
      <c r="V6" s="35"/>
      <c r="W6" s="35"/>
      <c r="X6" s="35"/>
      <c r="Y6" s="35"/>
      <c r="Z6" s="35" t="s">
        <v>18</v>
      </c>
      <c r="AA6" s="35"/>
      <c r="AB6" s="45">
        <v>1.0</v>
      </c>
      <c r="AC6" s="35"/>
      <c r="AD6" s="35" t="s">
        <v>49</v>
      </c>
      <c r="AE6" s="57">
        <v>2200.0</v>
      </c>
      <c r="AF6" s="58"/>
      <c r="AG6" s="58"/>
      <c r="AH6" s="35" t="s">
        <v>63</v>
      </c>
      <c r="AI6" s="45">
        <v>1.0</v>
      </c>
      <c r="AJ6" s="35"/>
      <c r="AK6" s="35"/>
      <c r="AL6" s="35"/>
      <c r="AM6" s="35"/>
      <c r="AN6" s="59" t="b">
        <v>0</v>
      </c>
      <c r="AO6" s="35"/>
      <c r="AP6" s="59" t="b">
        <v>1</v>
      </c>
      <c r="AQ6" s="59" t="b">
        <v>0</v>
      </c>
      <c r="AR6" s="59" t="b">
        <v>1</v>
      </c>
      <c r="AS6" s="35"/>
      <c r="AT6" s="60">
        <v>2214.0</v>
      </c>
      <c r="AU6" s="60">
        <v>2214.0</v>
      </c>
      <c r="AV6" s="61"/>
      <c r="AW6" s="35"/>
      <c r="AX6" s="35"/>
      <c r="AY6" s="35" t="s">
        <v>50</v>
      </c>
      <c r="AZ6" s="45">
        <v>0.0</v>
      </c>
      <c r="BA6" s="61"/>
      <c r="BB6" s="35"/>
      <c r="BC6" s="45">
        <v>0.0</v>
      </c>
      <c r="BD6" s="35"/>
      <c r="BE6" s="57">
        <v>2200.0</v>
      </c>
      <c r="BF6" s="57">
        <v>2200.0</v>
      </c>
      <c r="BG6" s="61"/>
      <c r="BH6" s="35"/>
      <c r="BI6" s="35"/>
      <c r="BJ6" s="62">
        <v>4000.0</v>
      </c>
      <c r="BK6" s="45">
        <v>0.0</v>
      </c>
      <c r="BL6" s="35"/>
      <c r="BM6" s="35" t="s">
        <v>18</v>
      </c>
      <c r="BN6" s="61"/>
      <c r="BO6" s="35" t="s">
        <v>38</v>
      </c>
      <c r="BP6" s="45">
        <v>0.0</v>
      </c>
      <c r="BQ6" s="45">
        <v>0.0</v>
      </c>
      <c r="BR6" s="35"/>
      <c r="BS6" s="35"/>
      <c r="BT6" s="35" t="s">
        <v>28</v>
      </c>
      <c r="BU6" s="45">
        <v>3.0</v>
      </c>
      <c r="BV6" s="45">
        <v>0.0</v>
      </c>
      <c r="BW6" s="57">
        <v>14.00012</v>
      </c>
      <c r="BX6" s="45">
        <v>0.0</v>
      </c>
      <c r="BY6" s="35"/>
      <c r="BZ6" s="35"/>
      <c r="CA6" s="35"/>
      <c r="CB6" s="35"/>
      <c r="CC6" s="35"/>
      <c r="CD6" s="35"/>
      <c r="CE6" s="35"/>
      <c r="CF6" s="35"/>
      <c r="CG6" s="45">
        <v>2.0</v>
      </c>
      <c r="CH6" s="63" t="s">
        <v>19</v>
      </c>
      <c r="CI6" s="35" t="s">
        <v>38</v>
      </c>
      <c r="CJ6" s="45">
        <v>0.0</v>
      </c>
      <c r="CK6" s="35" t="s">
        <v>62</v>
      </c>
      <c r="CL6" s="45">
        <v>1.0</v>
      </c>
      <c r="CM6" s="35" t="s">
        <v>28</v>
      </c>
      <c r="CN6" s="35" t="s">
        <v>60</v>
      </c>
      <c r="CO6" s="35" t="s">
        <v>49</v>
      </c>
      <c r="CP6" s="35" t="s">
        <v>69</v>
      </c>
      <c r="CQ6" s="35"/>
      <c r="CR6" s="35"/>
      <c r="CS6" s="35"/>
      <c r="CT6" s="35"/>
      <c r="CU6" s="35"/>
      <c r="CV6" s="61"/>
      <c r="CW6" s="58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70</v>
      </c>
      <c r="D3" s="5" t="s">
        <v>9</v>
      </c>
      <c r="E3" s="23" t="s">
        <v>71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31"/>
      <c r="B6" s="64"/>
      <c r="C6" s="65" t="s">
        <v>28</v>
      </c>
      <c r="D6" s="66">
        <v>2200.0</v>
      </c>
      <c r="E6" s="65" t="s">
        <v>17</v>
      </c>
      <c r="F6" s="65" t="s">
        <v>72</v>
      </c>
      <c r="G6" s="41">
        <v>1.0</v>
      </c>
      <c r="H6" s="65" t="s">
        <v>32</v>
      </c>
      <c r="I6" s="41">
        <v>0.0</v>
      </c>
      <c r="J6" s="41">
        <v>0.0</v>
      </c>
      <c r="K6" s="41">
        <v>0.0</v>
      </c>
      <c r="L6" s="41">
        <v>0.0</v>
      </c>
      <c r="M6" s="41">
        <v>0.0</v>
      </c>
      <c r="N6" s="66">
        <v>-2200.0</v>
      </c>
      <c r="O6" s="65"/>
      <c r="P6" s="65" t="s">
        <v>73</v>
      </c>
      <c r="Q6" s="66">
        <v>-2200.0</v>
      </c>
      <c r="R6" s="65" t="s">
        <v>74</v>
      </c>
      <c r="S6" s="65" t="s">
        <v>75</v>
      </c>
      <c r="T6" s="63" t="s">
        <v>31</v>
      </c>
      <c r="U6" s="63" t="s">
        <v>62</v>
      </c>
      <c r="V6" s="63" t="s">
        <v>49</v>
      </c>
      <c r="W6" s="63" t="s">
        <v>18</v>
      </c>
      <c r="X6" s="44">
        <v>1.0</v>
      </c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67">
        <v>2200.0</v>
      </c>
      <c r="AG6" s="44">
        <v>0.0</v>
      </c>
      <c r="AH6" s="44">
        <v>0.0</v>
      </c>
      <c r="AI6" s="44">
        <v>0.0</v>
      </c>
      <c r="AJ6" s="44">
        <v>0.0</v>
      </c>
      <c r="AK6" s="66">
        <v>-2200.0</v>
      </c>
      <c r="AL6" s="44">
        <v>1.0</v>
      </c>
      <c r="AM6" s="44">
        <v>1.0</v>
      </c>
      <c r="AN6" s="63" t="s">
        <v>38</v>
      </c>
      <c r="AO6" s="35"/>
      <c r="AP6" s="63" t="s">
        <v>32</v>
      </c>
      <c r="AQ6" s="63" t="s">
        <v>28</v>
      </c>
      <c r="AR6" s="44">
        <v>0.0</v>
      </c>
      <c r="AS6" s="44">
        <v>1.0</v>
      </c>
      <c r="AT6" s="63"/>
      <c r="AU6" s="63"/>
      <c r="AV6" s="44">
        <v>1.0</v>
      </c>
      <c r="AW6" s="66">
        <v>-2200.0</v>
      </c>
      <c r="AX6" s="44">
        <v>0.0</v>
      </c>
      <c r="AY6" s="44">
        <v>0.0</v>
      </c>
      <c r="AZ6" s="44">
        <v>0.0</v>
      </c>
      <c r="BA6" s="44">
        <v>-100.0</v>
      </c>
      <c r="BB6" s="58"/>
      <c r="BC6" s="44">
        <v>1.0</v>
      </c>
      <c r="BD6" s="66">
        <v>-2200.0</v>
      </c>
      <c r="BE6" s="63" t="s">
        <v>31</v>
      </c>
      <c r="BF6" s="63" t="s">
        <v>76</v>
      </c>
      <c r="BG6" s="63" t="s">
        <v>77</v>
      </c>
      <c r="BH6" s="63" t="s">
        <v>73</v>
      </c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58"/>
      <c r="BO6" s="66">
        <v>-2200.0</v>
      </c>
      <c r="BP6" s="44">
        <v>0.0</v>
      </c>
      <c r="BQ6" s="63" t="s">
        <v>60</v>
      </c>
      <c r="BR6" s="63" t="s">
        <v>42</v>
      </c>
      <c r="BS6" s="44">
        <v>0.0</v>
      </c>
      <c r="BT6" s="44">
        <v>0.0</v>
      </c>
      <c r="BU6" s="63" t="s">
        <v>31</v>
      </c>
      <c r="BV6" s="44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61"/>
      <c r="CC6" s="44">
        <v>0.0</v>
      </c>
      <c r="CD6" s="66">
        <v>-2200.0</v>
      </c>
      <c r="CE6" s="44">
        <v>0.0</v>
      </c>
      <c r="CF6" s="44">
        <v>0.0</v>
      </c>
      <c r="CG6" s="66">
        <v>-2200.0</v>
      </c>
      <c r="CH6" s="44"/>
      <c r="CI6" s="44">
        <v>0.0</v>
      </c>
      <c r="CJ6" s="44">
        <v>0.0</v>
      </c>
      <c r="CK6" s="59" t="b">
        <v>0</v>
      </c>
      <c r="CL6" s="35"/>
      <c r="CM6" s="35"/>
      <c r="CN6" s="63" t="s">
        <v>28</v>
      </c>
      <c r="CO6" s="63" t="s">
        <v>28</v>
      </c>
      <c r="CP6" s="63"/>
      <c r="CQ6" s="35"/>
      <c r="CR6" s="61"/>
      <c r="CS6" s="44">
        <v>1.0</v>
      </c>
      <c r="CT6" s="35"/>
      <c r="CU6" s="35"/>
      <c r="CV6" s="35"/>
      <c r="CW6" s="35"/>
      <c r="CX6" s="35"/>
      <c r="CY6" s="63" t="s">
        <v>26</v>
      </c>
      <c r="CZ6" s="63" t="s">
        <v>78</v>
      </c>
      <c r="DA6" s="44">
        <v>0.0</v>
      </c>
      <c r="DB6" s="44">
        <v>0.0</v>
      </c>
      <c r="DC6" s="58"/>
      <c r="DD6" s="44"/>
      <c r="DE6" s="44">
        <v>0.0</v>
      </c>
      <c r="DF6" s="44">
        <v>0.0</v>
      </c>
      <c r="DG6" s="44">
        <v>0.0</v>
      </c>
      <c r="DH6" s="63" t="s">
        <v>73</v>
      </c>
      <c r="DI6" s="44">
        <v>0.0</v>
      </c>
      <c r="DJ6" s="63" t="s">
        <v>38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63" t="s">
        <v>32</v>
      </c>
      <c r="DQ6" s="63" t="s">
        <v>79</v>
      </c>
      <c r="DR6" s="63" t="s">
        <v>80</v>
      </c>
      <c r="DS6" s="63" t="s">
        <v>79</v>
      </c>
      <c r="DT6" s="63" t="s">
        <v>79</v>
      </c>
      <c r="DU6" s="63" t="s">
        <v>81</v>
      </c>
      <c r="DV6" s="63" t="s">
        <v>79</v>
      </c>
      <c r="DW6" s="63" t="s">
        <v>79</v>
      </c>
      <c r="DX6" s="63" t="s">
        <v>79</v>
      </c>
      <c r="DY6" s="63" t="s">
        <v>79</v>
      </c>
      <c r="DZ6" s="63" t="s">
        <v>82</v>
      </c>
      <c r="EA6" s="63" t="s">
        <v>81</v>
      </c>
      <c r="EB6" s="63" t="s">
        <v>79</v>
      </c>
      <c r="EC6" s="63" t="s">
        <v>79</v>
      </c>
      <c r="ED6" s="63" t="s">
        <v>18</v>
      </c>
      <c r="EE6" s="63" t="s">
        <v>45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63" t="s">
        <v>32</v>
      </c>
      <c r="EM6" s="44">
        <v>0.0</v>
      </c>
      <c r="EN6" s="44">
        <v>0.0</v>
      </c>
      <c r="EO6" s="44"/>
      <c r="EP6" s="44"/>
      <c r="EQ6" s="44"/>
      <c r="ER6" s="44"/>
      <c r="ES6" s="44"/>
      <c r="ET6" s="44"/>
      <c r="EU6" s="44"/>
      <c r="EV6" s="63" t="s">
        <v>32</v>
      </c>
      <c r="EW6" s="44"/>
      <c r="EX6" s="59"/>
      <c r="EY6" s="63"/>
      <c r="EZ6" s="44"/>
      <c r="FA6" s="44"/>
      <c r="FB6" s="44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83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IFERROR(__xludf.DUMMYFUNCTION("""COMPUTED_VALUE"""),"Rate(%)")</f>
        <v>Rate(%)</v>
      </c>
      <c r="AQ5" s="30" t="str">
        <f>IFERROR(__xludf.DUMMYFUNCTION("""COMPUTED_VALUE"""),"AllowTrade")</f>
        <v>AllowTrade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28</v>
      </c>
      <c r="C6" s="34"/>
      <c r="D6" s="36">
        <v>1000.0</v>
      </c>
      <c r="E6" s="43">
        <v>1000.0</v>
      </c>
      <c r="F6" s="34"/>
      <c r="G6" s="34"/>
      <c r="H6" s="34"/>
      <c r="I6" s="34"/>
      <c r="J6" s="40">
        <v>1.0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45"/>
      <c r="AP6" s="35"/>
      <c r="AQ6" s="35" t="s">
        <v>45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