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MultipleTradeTransferToUser" sheetId="6" r:id="rId8"/>
    <sheet state="visible" name="VerifyOrder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<sst xmlns="http://schemas.openxmlformats.org/spreadsheetml/2006/main" count="336" uniqueCount="54">
  <si>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</si>
  <si>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</si>
  <si>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</si>
  <si>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</si>
  <si>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</si>
  <si>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</si>
  <si>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</si>
  <si>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</si>
  <si>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</si>
  <si>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</si>
  <si>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</si>
  <si>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</si>
  <si>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</si>
  <si>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</si>
  <si>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</si>
  <si>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</si>
  <si>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</si>
  <si>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</si>
  <si>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</si>
  <si>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AAPL</t>
  </si>
  <si>
    <t>Sell</t>
  </si>
  <si>
    <t>IBM</t>
  </si>
  <si>
    <t>CreateStageOrder</t>
  </si>
  <si>
    <t>GOOG</t>
  </si>
  <si>
    <t>BP H9</t>
  </si>
  <si>
    <t>Blotter</t>
  </si>
  <si>
    <t>MultipleTradeTransferToUser</t>
  </si>
  <si>
    <t>US</t>
  </si>
  <si>
    <t>Equity</t>
  </si>
  <si>
    <t>Filled</t>
  </si>
  <si>
    <t>MS</t>
  </si>
  <si>
    <t>Market</t>
  </si>
  <si>
    <t xml:space="preserve">abhi </t>
  </si>
  <si>
    <t>New</t>
  </si>
  <si>
    <t>Future</t>
  </si>
  <si>
    <t>VerifyOrder</t>
  </si>
  <si>
    <t>NASDAQ</t>
  </si>
  <si>
    <t>abhi</t>
  </si>
  <si>
    <t>NewMF</t>
  </si>
  <si>
    <t>jpearce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</si>
  <si>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</si>
  <si>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</si>
  <si>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</si>
  <si>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</si>
  <si>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</si>
  <si>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</si>
  <si>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</si>
  <si>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</si>
  <si>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</si>
  <si>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</si>
  <si>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Long</t>
  </si>
  <si>
    <t>FIMAT</t>
  </si>
  <si>
    <t>Short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</si>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</sst>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>
      <c r="A495" t="str">
        <f>IFERROR(__xludf.DUMMYFUNCTION("""COMPUTED_VALUE"""),"Dropcopy")</f>
        <v>Dropcopy</v>
      </c>
      <c r="B495" t="str">
        <f>IFERROR(__xludf.DUMMYFUNCTION("""COMPUTED_VALUE"""),"UploadDropcopyFile")</f>
        <v>UploadDropcopyFile</v>
      </c>
      <c r="C495" t="str">
        <f>IFERROR(__xludf.DUMMYFUNCTION("""COMPUTED_VALUE"""),"1W-fqHVGr66uN9zMhvO6QE-0fTnvoMIo31A_MC2VEFUY")</f>
        <v>1W-fqHVGr66uN9zMhvO6QE-0fTnvoMIo31A_MC2VEFUY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IFERROR(__xludf.DUMMYFUNCTION("""COMPUTED_VALUE"""),"StartTradeServer")</f>
        <v>StartTradeServer</v>
      </c>
      <c r="C496" t="str">
        <f>IFERROR(__xludf.DUMMYFUNCTION("""COMPUTED_VALUE"""),"1B9rnk-hL47W-7iUGju1P5wtQC8y0BGZIAhuxsistETQ")</f>
        <v>1B9rnk-hL47W-7iUGju1P5wtQC8y0BGZIAhuxsistETQ</v>
      </c>
    </row>
    <row r="497" ht="15.75" customHeight="1">
      <c r="A497" t="str">
        <f>IFERROR(__xludf.DUMMYFUNCTION("""COMPUTED_VALUE"""),"TradeServer")</f>
        <v>TradeServer</v>
      </c>
      <c r="B497" t="str">
        <f>IFERROR(__xludf.DUMMYFUNCTION("""COMPUTED_VALUE"""),"CloseTradeServer ")</f>
        <v>CloseTradeServer </v>
      </c>
      <c r="C497" t="str">
        <f>IFERROR(__xludf.DUMMYFUNCTION("""COMPUTED_VALUE"""),"174Tprzh0aMAZa-Ckuaucg-4aWwJTc-gYly9QXAbePh0")</f>
        <v>174Tprzh0aMAZa-Ckuaucg-4aWwJTc-gYly9QXAbePh0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IFERROR(__xludf.DUMMYFUNCTION("""COMPUTED_VALUE"""),"GetExecutionReportOrders")</f>
        <v>GetExecutionReportOrders</v>
      </c>
      <c r="C498" t="str">
        <f>IFERROR(__xludf.DUMMYFUNCTION("""COMPUTED_VALUE"""),"1hQPEUlOvv9Vi1KsbHsN6z0TIt4-v9Ckko9Z170M5bto")</f>
        <v>1hQPEUlOvv9Vi1KsbHsN6z0TIt4-v9Ckko9Z170M5bto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IFERROR(__xludf.DUMMYFUNCTION("""COMPUTED_VALUE"""),"GetExecutionReportDetails")</f>
        <v>GetExecutionReportDetails</v>
      </c>
      <c r="C499" t="str">
        <f>IFERROR(__xludf.DUMMYFUNCTION("""COMPUTED_VALUE"""),"1aD9Si2VBbY68g9PUfKv624K3d2PbLqScMJakPjZ8hFs")</f>
        <v>1aD9Si2VBbY68g9PUfKv624K3d2PbLqScMJakPjZ8hFs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IFERROR(__xludf.DUMMYFUNCTION("""COMPUTED_VALUE"""),"ExportExecutionReportData")</f>
        <v>ExportExecutionReportData</v>
      </c>
      <c r="C500" t="str">
        <f>IFERROR(__xludf.DUMMYFUNCTION("""COMPUTED_VALUE"""),"1a6yh6QYOXKH0UbWUlB2RKwf87hvs13OSFnVJBRYCYpM")</f>
        <v>1a6yh6QYOXKH0UbWUlB2RKwf87hvs13OSFnVJBRYCYpM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IFERROR(__xludf.DUMMYFUNCTION("""COMPUTED_VALUE"""),"VerifyExecutionReport")</f>
        <v>VerifyExecutionReport</v>
      </c>
      <c r="C501" t="str">
        <f>IFERROR(__xludf.DUMMYFUNCTION("""COMPUTED_VALUE"""),"15sKQ6yRs5rA6j70FvZOyg9HBsLCsZF-psuPGXdEFJSg")</f>
        <v>15sKQ6yRs5rA6j70FvZOyg9HBsLCsZF-psuPGXdEFJSg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IFERROR(__xludf.DUMMYFUNCTION("""COMPUTED_VALUE"""),"BlotterExecutionReportSnapshot")</f>
        <v>BlotterExecutionReportSnapshot</v>
      </c>
      <c r="C502" t="str">
        <f>IFERROR(__xludf.DUMMYFUNCTION("""COMPUTED_VALUE"""),"1O56bvbVFEtmCnv92OXcl9NqN7Zssjg6iXf_dOM4W0hs")</f>
        <v>1O56bvbVFEtmCnv92OXcl9NqN7Zssjg6iXf_dOM4W0hs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IFERROR(__xludf.DUMMYFUNCTION("""COMPUTED_VALUE"""),"SetDollarAmountPermission")</f>
        <v>SetDollarAmountPermission</v>
      </c>
      <c r="C503" t="str">
        <f>IFERROR(__xludf.DUMMYFUNCTION("""COMPUTED_VALUE"""),"19sxepfVnPP3DvqI8vW23p2yn2sob_Nn7_0R4WSGOgyc")</f>
        <v>19sxepfVnPP3DvqI8vW23p2yn2sob_Nn7_0R4WSGOgyc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IFERROR(__xludf.DUMMYFUNCTION("""COMPUTED_VALUE"""),"EnableDisableModule")</f>
        <v>EnableDisableModule</v>
      </c>
      <c r="C504" t="str">
        <f>IFERROR(__xludf.DUMMYFUNCTION("""COMPUTED_VALUE"""),"15tD_fIpFjzJbtr_OxvY-KeLg88908v4fXmpVzi9shPk")</f>
        <v>15tD_fIpFjzJbtr_OxvY-KeLg88908v4fXmpVzi9shPk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IFERROR(__xludf.DUMMYFUNCTION("""COMPUTED_VALUE"""),"MultipleTradeTransferToUser")</f>
        <v>MultipleTradeTransferToUser</v>
      </c>
      <c r="C505" t="str">
        <f>IFERROR(__xludf.DUMMYFUNCTION("""COMPUTED_VALUE"""),"10OvCXj6HBNbSwn6Bq70fCCT8t11mhD8gJD7iiUiqmHY")</f>
        <v>10OvCXj6HBNbSwn6Bq70fCCT8t11mhD8gJD7iiUiqmHY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IFERROR(__xludf.DUMMYFUNCTION("""COMPUTED_VALUE"""),"IsImportOverrideOnShortLocate")</f>
        <v>IsImportOverrideOnShortLocate</v>
      </c>
      <c r="C506" t="str">
        <f>IFERROR(__xludf.DUMMYFUNCTION("""COMPUTED_VALUE"""),"1HBroiXC_lXdWfzSFEUhcmVdGFqF-7ioRbfzMIhd-D84")</f>
        <v>1HBroiXC_lXdWfzSFEUhcmVdGFqF-7ioRbfzMIhd-D84</v>
      </c>
    </row>
    <row r="507" ht="15.75" customHeight="1">
      <c r="A507" t="str">
        <f>IFERROR(__xludf.DUMMYFUNCTION("""COMPUTED_VALUE"""),"Admin")</f>
        <v>Admin</v>
      </c>
      <c r="B507" t="str">
        <f>IFERROR(__xludf.DUMMYFUNCTION("""COMPUTED_VALUE"""),"SetShortLocateStructures")</f>
        <v>SetShortLocateStructures</v>
      </c>
      <c r="C507" t="str">
        <f>IFERROR(__xludf.DUMMYFUNCTION("""COMPUTED_VALUE"""),"1GBfDhS1Qx5z0a-XwiuVZHmjNQQNldS_oLDTK5hBKigQ")</f>
        <v>1GBfDhS1Qx5z0a-XwiuVZHmjNQQNldS_oLDTK5hBKigQ</v>
      </c>
    </row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150.0</v>
      </c>
      <c r="E7" s="13">
        <v>150.0</v>
      </c>
      <c r="F7" s="13" t="s">
        <v>18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17</v>
      </c>
      <c r="D8" s="13">
        <v>200.0</v>
      </c>
      <c r="E8" s="13">
        <v>200.0</v>
      </c>
      <c r="F8" s="13" t="s">
        <v>18</v>
      </c>
      <c r="G8" s="8"/>
      <c r="H8" s="8"/>
      <c r="I8" s="8"/>
      <c r="J8" s="13">
        <v>20.0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20</v>
      </c>
      <c r="D7" s="13">
        <v>150.0</v>
      </c>
      <c r="E7" s="13">
        <v>150.0</v>
      </c>
      <c r="F7" s="13" t="s">
        <v>18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13"/>
      <c r="B10" s="13"/>
      <c r="C10" s="8"/>
      <c r="D10" s="13"/>
      <c r="E10" s="31"/>
      <c r="G10" s="8"/>
      <c r="H10" s="8"/>
      <c r="I10" s="8"/>
      <c r="J10" s="13"/>
      <c r="K10" s="13"/>
      <c r="L10" s="8"/>
      <c r="M10" s="8"/>
      <c r="N10" s="8"/>
      <c r="O10" s="8"/>
      <c r="AI10" s="13"/>
      <c r="AV10" s="32"/>
      <c r="AW10" s="32"/>
    </row>
    <row r="11" ht="15.75" customHeight="1">
      <c r="A11" s="8"/>
      <c r="B11" s="8"/>
      <c r="C11" s="8"/>
      <c r="D11" s="13"/>
      <c r="E11" s="8"/>
      <c r="G11" s="8"/>
      <c r="H11" s="8"/>
      <c r="I11" s="8"/>
      <c r="J11" s="13"/>
      <c r="K11" s="13"/>
      <c r="L11" s="8"/>
      <c r="M11" s="8"/>
      <c r="N11" s="8"/>
      <c r="O11" s="8"/>
      <c r="AI11" s="13"/>
    </row>
    <row r="12" ht="15.75" customHeight="1">
      <c r="A12" s="8"/>
      <c r="B12" s="8"/>
      <c r="C12" s="8"/>
      <c r="D12" s="13"/>
      <c r="E12" s="8"/>
      <c r="G12" s="8"/>
      <c r="H12" s="8"/>
      <c r="I12" s="8"/>
      <c r="J12" s="13"/>
      <c r="K12" s="13"/>
      <c r="L12" s="8"/>
      <c r="M12" s="8"/>
      <c r="N12" s="8"/>
      <c r="O12" s="8"/>
      <c r="AI12" s="13"/>
      <c r="AV12" s="32"/>
      <c r="AW12" s="32"/>
    </row>
    <row r="13" ht="15.75" customHeight="1">
      <c r="A13" s="8"/>
      <c r="B13" s="8"/>
      <c r="C13" s="8"/>
      <c r="D13" s="13"/>
      <c r="E13" s="8"/>
      <c r="G13" s="8"/>
      <c r="H13" s="8"/>
      <c r="I13" s="8"/>
      <c r="J13" s="13"/>
      <c r="K13" s="13"/>
      <c r="L13" s="8"/>
      <c r="M13" s="8"/>
      <c r="N13" s="8"/>
      <c r="O13" s="8"/>
      <c r="AI13" s="13"/>
    </row>
    <row r="14" ht="15.75" customHeight="1">
      <c r="A14" s="8"/>
      <c r="B14" s="8"/>
      <c r="C14" s="8"/>
      <c r="D14" s="13"/>
      <c r="E14" s="8"/>
      <c r="G14" s="8"/>
      <c r="H14" s="8"/>
      <c r="I14" s="8"/>
      <c r="J14" s="13"/>
      <c r="K14" s="13"/>
      <c r="L14" s="8"/>
      <c r="M14" s="8"/>
      <c r="N14" s="8"/>
      <c r="O14" s="8"/>
      <c r="AI14" s="13"/>
      <c r="AV14" s="32"/>
      <c r="AW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4"/>
      <c r="F6" s="36">
        <v>0.0</v>
      </c>
      <c r="G6" s="34"/>
      <c r="H6" s="34"/>
      <c r="I6" s="34"/>
      <c r="J6" s="34" t="s">
        <v>16</v>
      </c>
      <c r="K6" s="34" t="s">
        <v>27</v>
      </c>
      <c r="L6" s="34"/>
      <c r="M6" s="34"/>
      <c r="N6" s="34"/>
      <c r="O6" s="34"/>
      <c r="P6" s="34"/>
      <c r="Q6" s="34"/>
      <c r="R6" s="34"/>
      <c r="S6" s="36">
        <v>0.0</v>
      </c>
      <c r="T6" s="37">
        <v>0.0</v>
      </c>
      <c r="U6" s="38"/>
      <c r="V6" s="38"/>
      <c r="W6" s="38"/>
      <c r="X6" s="38"/>
      <c r="Y6" s="38"/>
      <c r="Z6" s="38"/>
      <c r="AA6" s="38"/>
      <c r="AB6" s="38"/>
      <c r="AC6" s="38"/>
      <c r="AD6" s="37">
        <v>1.0</v>
      </c>
      <c r="AE6" s="38"/>
      <c r="AF6" s="38"/>
      <c r="AG6" s="38"/>
      <c r="AH6" s="38" t="s">
        <v>28</v>
      </c>
      <c r="AI6" s="38" t="s">
        <v>16</v>
      </c>
      <c r="AJ6" s="38" t="s">
        <v>17</v>
      </c>
      <c r="AK6" s="38" t="s">
        <v>29</v>
      </c>
      <c r="AL6" s="37">
        <v>100.0</v>
      </c>
      <c r="AM6" s="37">
        <v>100.0</v>
      </c>
      <c r="AN6" s="37">
        <v>100.0</v>
      </c>
      <c r="AO6" s="37">
        <v>100.0</v>
      </c>
      <c r="AP6" s="38"/>
      <c r="AQ6" s="37">
        <v>10.0</v>
      </c>
      <c r="AR6" s="37">
        <v>10.0</v>
      </c>
      <c r="AS6" s="38" t="s">
        <v>30</v>
      </c>
      <c r="AT6" s="38" t="s">
        <v>18</v>
      </c>
      <c r="AU6" s="38" t="s">
        <v>31</v>
      </c>
      <c r="AV6" s="39">
        <v>1000.0</v>
      </c>
      <c r="AW6" s="39">
        <v>1000.0</v>
      </c>
      <c r="AX6" s="38" t="s">
        <v>32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40">
        <v>0.0</v>
      </c>
      <c r="E7" s="38"/>
      <c r="F7" s="37">
        <v>0.0</v>
      </c>
      <c r="G7" s="38"/>
      <c r="H7" s="38"/>
      <c r="I7" s="38"/>
      <c r="J7" s="38" t="s">
        <v>23</v>
      </c>
      <c r="K7" s="38" t="s">
        <v>27</v>
      </c>
      <c r="L7" s="38"/>
      <c r="M7" s="38"/>
      <c r="N7" s="38"/>
      <c r="O7" s="38"/>
      <c r="P7" s="38"/>
      <c r="Q7" s="38"/>
      <c r="R7" s="38"/>
      <c r="S7" s="37">
        <v>0.0</v>
      </c>
      <c r="T7" s="37">
        <v>0.0</v>
      </c>
      <c r="U7" s="38"/>
      <c r="V7" s="38"/>
      <c r="W7" s="38"/>
      <c r="X7" s="38"/>
      <c r="Y7" s="38"/>
      <c r="Z7" s="38"/>
      <c r="AA7" s="38"/>
      <c r="AB7" s="38"/>
      <c r="AC7" s="38"/>
      <c r="AD7" s="37">
        <v>1.0</v>
      </c>
      <c r="AE7" s="38"/>
      <c r="AF7" s="38"/>
      <c r="AG7" s="38"/>
      <c r="AH7" s="38" t="s">
        <v>28</v>
      </c>
      <c r="AI7" s="38" t="s">
        <v>23</v>
      </c>
      <c r="AJ7" s="38" t="s">
        <v>17</v>
      </c>
      <c r="AK7" s="38" t="s">
        <v>33</v>
      </c>
      <c r="AL7" s="37">
        <v>100.0</v>
      </c>
      <c r="AM7" s="38"/>
      <c r="AN7" s="38"/>
      <c r="AO7" s="38"/>
      <c r="AP7" s="37">
        <v>100.0</v>
      </c>
      <c r="AQ7" s="37">
        <v>0.0</v>
      </c>
      <c r="AR7" s="37">
        <v>0.0</v>
      </c>
      <c r="AS7" s="38" t="s">
        <v>30</v>
      </c>
      <c r="AT7" s="38" t="s">
        <v>18</v>
      </c>
      <c r="AU7" s="38" t="s">
        <v>31</v>
      </c>
      <c r="AV7" s="37">
        <v>0.0</v>
      </c>
      <c r="AW7" s="37">
        <v>0.0</v>
      </c>
      <c r="AX7" s="38" t="s">
        <v>32</v>
      </c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40">
        <v>15.0</v>
      </c>
      <c r="E8" s="38"/>
      <c r="F8" s="37">
        <v>0.0</v>
      </c>
      <c r="G8" s="38"/>
      <c r="H8" s="38"/>
      <c r="I8" s="38"/>
      <c r="J8" s="38" t="s">
        <v>19</v>
      </c>
      <c r="K8" s="38" t="s">
        <v>27</v>
      </c>
      <c r="L8" s="38"/>
      <c r="M8" s="38"/>
      <c r="N8" s="38"/>
      <c r="O8" s="38"/>
      <c r="P8" s="38"/>
      <c r="Q8" s="38"/>
      <c r="R8" s="38"/>
      <c r="S8" s="37">
        <v>0.0</v>
      </c>
      <c r="T8" s="37">
        <v>0.0</v>
      </c>
      <c r="U8" s="38"/>
      <c r="V8" s="38"/>
      <c r="W8" s="38"/>
      <c r="X8" s="38"/>
      <c r="Y8" s="38"/>
      <c r="Z8" s="38"/>
      <c r="AA8" s="38"/>
      <c r="AB8" s="38"/>
      <c r="AC8" s="38"/>
      <c r="AD8" s="37">
        <v>1.0</v>
      </c>
      <c r="AE8" s="38"/>
      <c r="AF8" s="38"/>
      <c r="AG8" s="38"/>
      <c r="AH8" s="38" t="s">
        <v>28</v>
      </c>
      <c r="AI8" s="38" t="s">
        <v>19</v>
      </c>
      <c r="AJ8" s="38" t="s">
        <v>20</v>
      </c>
      <c r="AK8" s="38" t="s">
        <v>29</v>
      </c>
      <c r="AL8" s="37">
        <v>150.0</v>
      </c>
      <c r="AM8" s="37">
        <v>150.0</v>
      </c>
      <c r="AN8" s="37">
        <v>100.0</v>
      </c>
      <c r="AO8" s="37">
        <v>150.0</v>
      </c>
      <c r="AP8" s="38"/>
      <c r="AQ8" s="37">
        <v>15.0</v>
      </c>
      <c r="AR8" s="37">
        <v>15.0</v>
      </c>
      <c r="AS8" s="38" t="s">
        <v>30</v>
      </c>
      <c r="AT8" s="38" t="s">
        <v>18</v>
      </c>
      <c r="AU8" s="38" t="s">
        <v>31</v>
      </c>
      <c r="AV8" s="39">
        <v>-2250.0</v>
      </c>
      <c r="AW8" s="39">
        <v>-2250.0</v>
      </c>
      <c r="AX8" s="38" t="s">
        <v>32</v>
      </c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40">
        <v>0.0</v>
      </c>
      <c r="E9" s="38"/>
      <c r="F9" s="37">
        <v>0.0</v>
      </c>
      <c r="G9" s="38"/>
      <c r="H9" s="38"/>
      <c r="I9" s="38"/>
      <c r="J9" s="38" t="s">
        <v>24</v>
      </c>
      <c r="K9" s="38" t="s">
        <v>27</v>
      </c>
      <c r="L9" s="38"/>
      <c r="M9" s="38"/>
      <c r="N9" s="38"/>
      <c r="O9" s="38"/>
      <c r="P9" s="38"/>
      <c r="Q9" s="38"/>
      <c r="R9" s="38"/>
      <c r="S9" s="37">
        <v>0.0</v>
      </c>
      <c r="T9" s="37">
        <v>0.0</v>
      </c>
      <c r="U9" s="38"/>
      <c r="V9" s="38"/>
      <c r="W9" s="38"/>
      <c r="X9" s="38"/>
      <c r="Y9" s="38"/>
      <c r="Z9" s="38"/>
      <c r="AA9" s="38"/>
      <c r="AB9" s="38"/>
      <c r="AC9" s="38"/>
      <c r="AD9" s="37">
        <v>1.0</v>
      </c>
      <c r="AE9" s="38"/>
      <c r="AF9" s="38"/>
      <c r="AG9" s="38"/>
      <c r="AH9" s="38" t="s">
        <v>34</v>
      </c>
      <c r="AI9" s="38" t="s">
        <v>24</v>
      </c>
      <c r="AJ9" s="38" t="s">
        <v>20</v>
      </c>
      <c r="AK9" s="38" t="s">
        <v>33</v>
      </c>
      <c r="AL9" s="37">
        <v>150.0</v>
      </c>
      <c r="AM9" s="38"/>
      <c r="AN9" s="38"/>
      <c r="AO9" s="38"/>
      <c r="AP9" s="37">
        <v>150.0</v>
      </c>
      <c r="AQ9" s="37">
        <v>0.0</v>
      </c>
      <c r="AR9" s="37">
        <v>0.0</v>
      </c>
      <c r="AS9" s="38" t="s">
        <v>30</v>
      </c>
      <c r="AT9" s="38" t="s">
        <v>18</v>
      </c>
      <c r="AU9" s="38" t="s">
        <v>31</v>
      </c>
      <c r="AV9" s="37">
        <v>0.0</v>
      </c>
      <c r="AW9" s="37">
        <v>0.0</v>
      </c>
      <c r="AX9" s="38" t="s">
        <v>32</v>
      </c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40">
        <v>20.0</v>
      </c>
      <c r="E10" s="38"/>
      <c r="F10" s="37">
        <v>0.0</v>
      </c>
      <c r="G10" s="38"/>
      <c r="H10" s="38"/>
      <c r="I10" s="38"/>
      <c r="J10" s="38" t="s">
        <v>21</v>
      </c>
      <c r="K10" s="38" t="s">
        <v>27</v>
      </c>
      <c r="L10" s="38"/>
      <c r="M10" s="38"/>
      <c r="N10" s="38"/>
      <c r="O10" s="38"/>
      <c r="P10" s="38"/>
      <c r="Q10" s="38"/>
      <c r="R10" s="38"/>
      <c r="S10" s="37">
        <v>0.0</v>
      </c>
      <c r="T10" s="37">
        <v>0.0</v>
      </c>
      <c r="U10" s="38"/>
      <c r="V10" s="38"/>
      <c r="W10" s="38"/>
      <c r="X10" s="38"/>
      <c r="Y10" s="38"/>
      <c r="Z10" s="38"/>
      <c r="AA10" s="38"/>
      <c r="AB10" s="38"/>
      <c r="AC10" s="38"/>
      <c r="AD10" s="37">
        <v>1.0</v>
      </c>
      <c r="AE10" s="38"/>
      <c r="AF10" s="38"/>
      <c r="AG10" s="38"/>
      <c r="AH10" s="38" t="s">
        <v>28</v>
      </c>
      <c r="AI10" s="38" t="s">
        <v>21</v>
      </c>
      <c r="AJ10" s="38" t="s">
        <v>17</v>
      </c>
      <c r="AK10" s="38" t="s">
        <v>29</v>
      </c>
      <c r="AL10" s="37">
        <v>200.0</v>
      </c>
      <c r="AM10" s="37">
        <v>200.0</v>
      </c>
      <c r="AN10" s="37">
        <v>100.0</v>
      </c>
      <c r="AO10" s="37">
        <v>200.0</v>
      </c>
      <c r="AP10" s="38"/>
      <c r="AQ10" s="37">
        <v>20.0</v>
      </c>
      <c r="AR10" s="37">
        <v>20.0</v>
      </c>
      <c r="AS10" s="38" t="s">
        <v>30</v>
      </c>
      <c r="AT10" s="38" t="s">
        <v>18</v>
      </c>
      <c r="AU10" s="38" t="s">
        <v>31</v>
      </c>
      <c r="AV10" s="39">
        <v>4000.0</v>
      </c>
      <c r="AW10" s="39">
        <v>4000.0</v>
      </c>
      <c r="AX10" s="38" t="s">
        <v>32</v>
      </c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MultipleTradeTransferToUser!$4:$4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4"/>
      <c r="F6" s="36">
        <v>0.0</v>
      </c>
      <c r="G6" s="34"/>
      <c r="H6" s="41" t="s">
        <v>36</v>
      </c>
      <c r="I6" s="41" t="s">
        <v>37</v>
      </c>
      <c r="J6" s="34" t="s">
        <v>16</v>
      </c>
      <c r="K6" s="34" t="s">
        <v>27</v>
      </c>
      <c r="L6" s="34"/>
      <c r="M6" s="34"/>
      <c r="N6" s="34"/>
      <c r="O6" s="34"/>
      <c r="P6" s="34"/>
      <c r="Q6" s="34"/>
      <c r="R6" s="34"/>
      <c r="S6" s="36">
        <v>0.0</v>
      </c>
      <c r="T6" s="37">
        <v>0.0</v>
      </c>
      <c r="U6" s="38"/>
      <c r="V6" s="38"/>
      <c r="W6" s="38"/>
      <c r="X6" s="38"/>
      <c r="Y6" s="38"/>
      <c r="Z6" s="38"/>
      <c r="AA6" s="42" t="s">
        <v>38</v>
      </c>
      <c r="AB6" s="37">
        <v>100.0</v>
      </c>
      <c r="AC6" s="38"/>
      <c r="AD6" s="37">
        <v>1.0</v>
      </c>
      <c r="AE6" s="38"/>
      <c r="AF6" s="38"/>
      <c r="AG6" s="38"/>
      <c r="AH6" s="38" t="s">
        <v>28</v>
      </c>
      <c r="AI6" s="38" t="s">
        <v>16</v>
      </c>
      <c r="AJ6" s="38" t="s">
        <v>17</v>
      </c>
      <c r="AK6" s="38" t="s">
        <v>29</v>
      </c>
      <c r="AL6" s="37">
        <v>100.0</v>
      </c>
      <c r="AM6" s="37">
        <v>100.0</v>
      </c>
      <c r="AN6" s="37">
        <v>100.0</v>
      </c>
      <c r="AO6" s="37">
        <v>100.0</v>
      </c>
      <c r="AP6" s="38"/>
      <c r="AQ6" s="37">
        <v>10.0</v>
      </c>
      <c r="AR6" s="37">
        <v>10.0</v>
      </c>
      <c r="AS6" s="38" t="s">
        <v>30</v>
      </c>
      <c r="AT6" s="38" t="s">
        <v>18</v>
      </c>
      <c r="AU6" s="38" t="s">
        <v>31</v>
      </c>
      <c r="AV6" s="39">
        <v>1000.0</v>
      </c>
      <c r="AW6" s="39">
        <v>1000.0</v>
      </c>
      <c r="AX6" s="38"/>
      <c r="AY6" s="42">
        <v>100.0</v>
      </c>
      <c r="AZ6" s="42">
        <v>0.0</v>
      </c>
      <c r="BA6" s="42" t="s">
        <v>39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40">
        <v>0.0</v>
      </c>
      <c r="E7" s="38"/>
      <c r="F7" s="37">
        <v>0.0</v>
      </c>
      <c r="G7" s="38"/>
      <c r="H7" s="41" t="s">
        <v>36</v>
      </c>
      <c r="I7" s="42" t="s">
        <v>37</v>
      </c>
      <c r="J7" s="38" t="s">
        <v>23</v>
      </c>
      <c r="K7" s="38" t="s">
        <v>27</v>
      </c>
      <c r="L7" s="38"/>
      <c r="M7" s="38"/>
      <c r="N7" s="38"/>
      <c r="O7" s="38"/>
      <c r="P7" s="38"/>
      <c r="Q7" s="38"/>
      <c r="R7" s="38"/>
      <c r="S7" s="37">
        <v>0.0</v>
      </c>
      <c r="T7" s="37">
        <v>0.0</v>
      </c>
      <c r="U7" s="38"/>
      <c r="V7" s="38"/>
      <c r="W7" s="38"/>
      <c r="X7" s="38"/>
      <c r="Y7" s="38"/>
      <c r="Z7" s="38"/>
      <c r="AA7" s="42" t="s">
        <v>38</v>
      </c>
      <c r="AB7" s="38"/>
      <c r="AC7" s="38"/>
      <c r="AD7" s="37">
        <v>1.0</v>
      </c>
      <c r="AE7" s="38"/>
      <c r="AF7" s="38"/>
      <c r="AG7" s="38"/>
      <c r="AH7" s="38" t="s">
        <v>28</v>
      </c>
      <c r="AI7" s="38" t="s">
        <v>23</v>
      </c>
      <c r="AJ7" s="38" t="s">
        <v>17</v>
      </c>
      <c r="AK7" s="38" t="s">
        <v>33</v>
      </c>
      <c r="AL7" s="37">
        <v>100.0</v>
      </c>
      <c r="AM7" s="38"/>
      <c r="AN7" s="38"/>
      <c r="AO7" s="38"/>
      <c r="AP7" s="37">
        <v>100.0</v>
      </c>
      <c r="AQ7" s="37">
        <v>0.0</v>
      </c>
      <c r="AR7" s="37">
        <v>0.0</v>
      </c>
      <c r="AS7" s="38" t="s">
        <v>30</v>
      </c>
      <c r="AT7" s="38" t="s">
        <v>18</v>
      </c>
      <c r="AU7" s="38" t="s">
        <v>31</v>
      </c>
      <c r="AV7" s="37">
        <v>0.0</v>
      </c>
      <c r="AW7" s="37">
        <v>0.0</v>
      </c>
      <c r="AX7" s="38"/>
      <c r="AY7" s="42">
        <v>100.0</v>
      </c>
      <c r="AZ7" s="42">
        <v>100.0</v>
      </c>
      <c r="BA7" s="42" t="s">
        <v>39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40">
        <v>15.0</v>
      </c>
      <c r="E8" s="38"/>
      <c r="F8" s="37">
        <v>0.0</v>
      </c>
      <c r="G8" s="38"/>
      <c r="H8" s="41" t="s">
        <v>36</v>
      </c>
      <c r="I8" s="42" t="s">
        <v>37</v>
      </c>
      <c r="J8" s="38" t="s">
        <v>19</v>
      </c>
      <c r="K8" s="38" t="s">
        <v>27</v>
      </c>
      <c r="L8" s="38"/>
      <c r="M8" s="38"/>
      <c r="N8" s="38"/>
      <c r="O8" s="38"/>
      <c r="P8" s="38"/>
      <c r="Q8" s="38"/>
      <c r="R8" s="38"/>
      <c r="S8" s="37">
        <v>0.0</v>
      </c>
      <c r="T8" s="37">
        <v>0.0</v>
      </c>
      <c r="U8" s="38"/>
      <c r="V8" s="38"/>
      <c r="W8" s="38"/>
      <c r="X8" s="38"/>
      <c r="Y8" s="38"/>
      <c r="Z8" s="38"/>
      <c r="AA8" s="42" t="s">
        <v>38</v>
      </c>
      <c r="AB8" s="37">
        <v>150.0</v>
      </c>
      <c r="AC8" s="38"/>
      <c r="AD8" s="37">
        <v>1.0</v>
      </c>
      <c r="AE8" s="38"/>
      <c r="AF8" s="38"/>
      <c r="AG8" s="38"/>
      <c r="AH8" s="38" t="s">
        <v>28</v>
      </c>
      <c r="AI8" s="38" t="s">
        <v>19</v>
      </c>
      <c r="AJ8" s="38" t="s">
        <v>20</v>
      </c>
      <c r="AK8" s="38" t="s">
        <v>29</v>
      </c>
      <c r="AL8" s="37">
        <v>150.0</v>
      </c>
      <c r="AM8" s="37">
        <v>150.0</v>
      </c>
      <c r="AN8" s="37">
        <v>100.0</v>
      </c>
      <c r="AO8" s="37">
        <v>150.0</v>
      </c>
      <c r="AP8" s="38"/>
      <c r="AQ8" s="37">
        <v>15.0</v>
      </c>
      <c r="AR8" s="37">
        <v>15.0</v>
      </c>
      <c r="AS8" s="38" t="s">
        <v>30</v>
      </c>
      <c r="AT8" s="38" t="s">
        <v>18</v>
      </c>
      <c r="AU8" s="38" t="s">
        <v>31</v>
      </c>
      <c r="AV8" s="39">
        <v>-2250.0</v>
      </c>
      <c r="AW8" s="39">
        <v>-2250.0</v>
      </c>
      <c r="AX8" s="38"/>
      <c r="AY8" s="42">
        <v>150.0</v>
      </c>
      <c r="AZ8" s="42">
        <v>0.0</v>
      </c>
      <c r="BA8" s="42" t="s">
        <v>39</v>
      </c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40">
        <v>0.0</v>
      </c>
      <c r="E9" s="38"/>
      <c r="F9" s="37">
        <v>0.0</v>
      </c>
      <c r="G9" s="38"/>
      <c r="H9" s="41" t="s">
        <v>36</v>
      </c>
      <c r="I9" s="42" t="s">
        <v>37</v>
      </c>
      <c r="J9" s="38" t="s">
        <v>24</v>
      </c>
      <c r="K9" s="38" t="s">
        <v>27</v>
      </c>
      <c r="L9" s="38"/>
      <c r="M9" s="38"/>
      <c r="N9" s="38"/>
      <c r="O9" s="38"/>
      <c r="P9" s="38"/>
      <c r="Q9" s="38"/>
      <c r="R9" s="38"/>
      <c r="S9" s="37">
        <v>0.0</v>
      </c>
      <c r="T9" s="37">
        <v>0.0</v>
      </c>
      <c r="U9" s="38"/>
      <c r="V9" s="38"/>
      <c r="W9" s="38"/>
      <c r="X9" s="38"/>
      <c r="Y9" s="38"/>
      <c r="Z9" s="38"/>
      <c r="AA9" s="42" t="s">
        <v>38</v>
      </c>
      <c r="AB9" s="38"/>
      <c r="AC9" s="38"/>
      <c r="AD9" s="37">
        <v>1.0</v>
      </c>
      <c r="AE9" s="38"/>
      <c r="AF9" s="38"/>
      <c r="AG9" s="38"/>
      <c r="AH9" s="38" t="s">
        <v>34</v>
      </c>
      <c r="AI9" s="38" t="s">
        <v>24</v>
      </c>
      <c r="AJ9" s="38" t="s">
        <v>20</v>
      </c>
      <c r="AK9" s="38" t="s">
        <v>33</v>
      </c>
      <c r="AL9" s="37">
        <v>150.0</v>
      </c>
      <c r="AM9" s="38"/>
      <c r="AN9" s="38"/>
      <c r="AO9" s="38"/>
      <c r="AP9" s="37">
        <v>150.0</v>
      </c>
      <c r="AQ9" s="37">
        <v>0.0</v>
      </c>
      <c r="AR9" s="37">
        <v>0.0</v>
      </c>
      <c r="AS9" s="38" t="s">
        <v>30</v>
      </c>
      <c r="AT9" s="38" t="s">
        <v>18</v>
      </c>
      <c r="AU9" s="38" t="s">
        <v>31</v>
      </c>
      <c r="AV9" s="37">
        <v>0.0</v>
      </c>
      <c r="AW9" s="37">
        <v>0.0</v>
      </c>
      <c r="AX9" s="38"/>
      <c r="AY9" s="42">
        <v>150.0</v>
      </c>
      <c r="AZ9" s="42">
        <v>150.0</v>
      </c>
      <c r="BA9" s="42" t="s">
        <v>39</v>
      </c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40">
        <v>20.0</v>
      </c>
      <c r="E10" s="38"/>
      <c r="F10" s="37">
        <v>0.0</v>
      </c>
      <c r="G10" s="38"/>
      <c r="H10" s="41" t="s">
        <v>36</v>
      </c>
      <c r="I10" s="42" t="s">
        <v>37</v>
      </c>
      <c r="J10" s="38" t="s">
        <v>21</v>
      </c>
      <c r="K10" s="38" t="s">
        <v>27</v>
      </c>
      <c r="L10" s="38"/>
      <c r="M10" s="38"/>
      <c r="N10" s="38"/>
      <c r="O10" s="38"/>
      <c r="P10" s="38"/>
      <c r="Q10" s="38"/>
      <c r="R10" s="38"/>
      <c r="S10" s="37">
        <v>0.0</v>
      </c>
      <c r="T10" s="37">
        <v>0.0</v>
      </c>
      <c r="U10" s="38"/>
      <c r="V10" s="38"/>
      <c r="W10" s="38"/>
      <c r="X10" s="38"/>
      <c r="Y10" s="38"/>
      <c r="Z10" s="38"/>
      <c r="AA10" s="42" t="s">
        <v>38</v>
      </c>
      <c r="AB10" s="37">
        <v>200.0</v>
      </c>
      <c r="AC10" s="38"/>
      <c r="AD10" s="37">
        <v>1.0</v>
      </c>
      <c r="AE10" s="38"/>
      <c r="AF10" s="38"/>
      <c r="AG10" s="38"/>
      <c r="AH10" s="38" t="s">
        <v>28</v>
      </c>
      <c r="AI10" s="38" t="s">
        <v>21</v>
      </c>
      <c r="AJ10" s="38" t="s">
        <v>17</v>
      </c>
      <c r="AK10" s="38" t="s">
        <v>29</v>
      </c>
      <c r="AL10" s="37">
        <v>200.0</v>
      </c>
      <c r="AM10" s="37">
        <v>200.0</v>
      </c>
      <c r="AN10" s="37">
        <v>100.0</v>
      </c>
      <c r="AO10" s="37">
        <v>200.0</v>
      </c>
      <c r="AP10" s="38"/>
      <c r="AQ10" s="37">
        <v>20.0</v>
      </c>
      <c r="AR10" s="37">
        <v>20.0</v>
      </c>
      <c r="AS10" s="38" t="s">
        <v>30</v>
      </c>
      <c r="AT10" s="38" t="s">
        <v>18</v>
      </c>
      <c r="AU10" s="38" t="s">
        <v>31</v>
      </c>
      <c r="AV10" s="39">
        <v>4000.0</v>
      </c>
      <c r="AW10" s="39">
        <v>4000.0</v>
      </c>
      <c r="AX10" s="38"/>
      <c r="AY10" s="42">
        <v>200.0</v>
      </c>
      <c r="AZ10" s="42">
        <v>0.0</v>
      </c>
      <c r="BA10" s="42" t="s">
        <v>39</v>
      </c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>
        <v>0.0</v>
      </c>
      <c r="G6" s="13" t="s">
        <v>29</v>
      </c>
      <c r="H6" s="13">
        <v>100.0</v>
      </c>
      <c r="I6" s="13">
        <v>10.0</v>
      </c>
      <c r="J6" s="13">
        <v>10.0</v>
      </c>
      <c r="K6" s="13" t="s">
        <v>30</v>
      </c>
      <c r="L6" s="13" t="s">
        <v>18</v>
      </c>
      <c r="M6" s="13" t="s">
        <v>31</v>
      </c>
      <c r="N6" s="8"/>
      <c r="O6" s="13">
        <v>10.0</v>
      </c>
      <c r="P6" s="9">
        <v>0.0</v>
      </c>
      <c r="Q6" s="9">
        <v>0.0</v>
      </c>
      <c r="R6" s="9" t="s">
        <v>39</v>
      </c>
      <c r="W6" s="9" t="s">
        <v>28</v>
      </c>
      <c r="Y6" s="9">
        <v>1.0</v>
      </c>
      <c r="AC6" s="32">
        <v>1000.0</v>
      </c>
      <c r="AD6" s="32">
        <v>1000.0</v>
      </c>
      <c r="AG6" s="9" t="s">
        <v>41</v>
      </c>
      <c r="AI6" s="9" t="s">
        <v>29</v>
      </c>
      <c r="AK6" s="9">
        <v>0.0</v>
      </c>
      <c r="AT6" s="9" t="s">
        <v>27</v>
      </c>
      <c r="AU6" s="9" t="s">
        <v>16</v>
      </c>
      <c r="AV6" s="9" t="s">
        <v>36</v>
      </c>
      <c r="BA6" s="9" t="s">
        <v>38</v>
      </c>
      <c r="BB6" s="9" t="s">
        <v>37</v>
      </c>
    </row>
    <row r="7" ht="15.75" customHeight="1">
      <c r="A7" s="8"/>
      <c r="B7" s="13" t="s">
        <v>19</v>
      </c>
      <c r="C7" s="13" t="s">
        <v>20</v>
      </c>
      <c r="D7" s="13">
        <v>150.0</v>
      </c>
      <c r="E7" s="13">
        <v>150.0</v>
      </c>
      <c r="F7" s="13">
        <v>0.0</v>
      </c>
      <c r="G7" s="13" t="s">
        <v>29</v>
      </c>
      <c r="H7" s="13">
        <v>150.0</v>
      </c>
      <c r="I7" s="13">
        <v>15.0</v>
      </c>
      <c r="J7" s="13">
        <v>15.0</v>
      </c>
      <c r="K7" s="13" t="s">
        <v>30</v>
      </c>
      <c r="L7" s="13" t="s">
        <v>18</v>
      </c>
      <c r="M7" s="13" t="s">
        <v>31</v>
      </c>
      <c r="N7" s="8"/>
      <c r="O7" s="13">
        <v>15.0</v>
      </c>
      <c r="P7" s="9">
        <v>0.0</v>
      </c>
      <c r="Q7" s="9">
        <v>0.0</v>
      </c>
      <c r="R7" s="9" t="s">
        <v>39</v>
      </c>
      <c r="W7" s="9" t="s">
        <v>28</v>
      </c>
      <c r="Y7" s="9">
        <v>1.0</v>
      </c>
      <c r="AC7" s="32">
        <v>-2250.0</v>
      </c>
      <c r="AD7" s="32">
        <v>-2250.0</v>
      </c>
      <c r="AG7" s="9" t="s">
        <v>41</v>
      </c>
      <c r="AI7" s="9" t="s">
        <v>29</v>
      </c>
      <c r="AK7" s="9">
        <v>0.0</v>
      </c>
      <c r="AT7" s="9" t="s">
        <v>27</v>
      </c>
      <c r="AU7" s="9" t="s">
        <v>19</v>
      </c>
      <c r="AV7" s="9" t="s">
        <v>36</v>
      </c>
      <c r="BA7" s="9" t="s">
        <v>38</v>
      </c>
      <c r="BB7" s="9" t="s">
        <v>37</v>
      </c>
    </row>
    <row r="8" ht="15.75" customHeight="1">
      <c r="A8" s="8"/>
      <c r="B8" s="13" t="s">
        <v>21</v>
      </c>
      <c r="C8" s="13" t="s">
        <v>17</v>
      </c>
      <c r="D8" s="13">
        <v>200.0</v>
      </c>
      <c r="E8" s="13">
        <v>200.0</v>
      </c>
      <c r="F8" s="13">
        <v>0.0</v>
      </c>
      <c r="G8" s="13" t="s">
        <v>29</v>
      </c>
      <c r="H8" s="13">
        <v>200.0</v>
      </c>
      <c r="I8" s="13">
        <v>20.0</v>
      </c>
      <c r="J8" s="13">
        <v>20.0</v>
      </c>
      <c r="K8" s="13" t="s">
        <v>30</v>
      </c>
      <c r="L8" s="13" t="s">
        <v>18</v>
      </c>
      <c r="M8" s="13" t="s">
        <v>31</v>
      </c>
      <c r="N8" s="8"/>
      <c r="O8" s="13">
        <v>20.0</v>
      </c>
      <c r="P8" s="9">
        <v>0.0</v>
      </c>
      <c r="Q8" s="9">
        <v>0.0</v>
      </c>
      <c r="R8" s="9" t="s">
        <v>39</v>
      </c>
      <c r="W8" s="9" t="s">
        <v>28</v>
      </c>
      <c r="Y8" s="9">
        <v>1.0</v>
      </c>
      <c r="AC8" s="32">
        <v>4000.0</v>
      </c>
      <c r="AD8" s="32">
        <v>4000.0</v>
      </c>
      <c r="AG8" s="9" t="s">
        <v>41</v>
      </c>
      <c r="AI8" s="9" t="s">
        <v>29</v>
      </c>
      <c r="AK8" s="9">
        <v>0.0</v>
      </c>
      <c r="AT8" s="9" t="s">
        <v>27</v>
      </c>
      <c r="AU8" s="9" t="s">
        <v>21</v>
      </c>
      <c r="AV8" s="9" t="s">
        <v>36</v>
      </c>
      <c r="BA8" s="9" t="s">
        <v>38</v>
      </c>
      <c r="BB8" s="9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18</v>
      </c>
      <c r="C6" s="8"/>
      <c r="D6" s="44">
        <v>0.0</v>
      </c>
      <c r="E6" s="44">
        <v>100.0</v>
      </c>
      <c r="F6" s="8"/>
      <c r="G6" s="43" t="s">
        <v>28</v>
      </c>
      <c r="H6" s="44">
        <v>4.0</v>
      </c>
      <c r="I6" s="45">
        <v>5.0</v>
      </c>
      <c r="J6" s="8"/>
      <c r="K6" s="44">
        <v>10.0</v>
      </c>
      <c r="L6" s="44">
        <v>10.0</v>
      </c>
      <c r="M6" s="8"/>
      <c r="N6" s="8"/>
      <c r="O6" s="43" t="s">
        <v>30</v>
      </c>
      <c r="Q6" s="44">
        <v>3.0</v>
      </c>
      <c r="R6" s="44">
        <v>0.0</v>
      </c>
      <c r="S6" s="46" t="s">
        <v>46</v>
      </c>
      <c r="T6" s="44">
        <v>0.0</v>
      </c>
      <c r="U6" s="44">
        <v>0.0</v>
      </c>
      <c r="Z6" s="46" t="s">
        <v>41</v>
      </c>
      <c r="AB6" s="44">
        <v>1.0</v>
      </c>
      <c r="AD6" s="46"/>
      <c r="AE6" s="44">
        <v>100.0</v>
      </c>
      <c r="AH6" s="9" t="s">
        <v>47</v>
      </c>
      <c r="AI6" s="44">
        <v>1.0</v>
      </c>
      <c r="AT6" s="44">
        <v>1014.0006</v>
      </c>
      <c r="AU6" s="44">
        <v>1014.0006</v>
      </c>
      <c r="AW6" s="44">
        <v>0.0</v>
      </c>
      <c r="AX6" s="44">
        <v>0.0</v>
      </c>
      <c r="AY6" s="9" t="s">
        <v>31</v>
      </c>
      <c r="AZ6" s="44">
        <v>0.0</v>
      </c>
      <c r="BB6" s="44"/>
      <c r="BC6" s="44">
        <v>0.0</v>
      </c>
      <c r="BE6" s="44">
        <v>1000.0</v>
      </c>
      <c r="BF6" s="44">
        <v>1000.0</v>
      </c>
      <c r="BJ6" s="44">
        <v>100.0</v>
      </c>
      <c r="BK6" s="44">
        <v>0.0</v>
      </c>
      <c r="BM6" s="46" t="s">
        <v>41</v>
      </c>
      <c r="BO6" s="46" t="s">
        <v>17</v>
      </c>
      <c r="BP6" s="44">
        <v>0.0</v>
      </c>
      <c r="BQ6" s="44">
        <v>0.0</v>
      </c>
      <c r="BT6" s="46" t="s">
        <v>16</v>
      </c>
      <c r="BU6" s="44">
        <v>3.0</v>
      </c>
      <c r="BV6" s="44">
        <v>0.0</v>
      </c>
      <c r="BW6" s="44">
        <v>14.0006</v>
      </c>
      <c r="BX6" s="44">
        <v>0.0</v>
      </c>
      <c r="CI6" s="46" t="s">
        <v>17</v>
      </c>
      <c r="CJ6" s="44">
        <v>0.0</v>
      </c>
      <c r="CK6" s="46"/>
      <c r="CM6" s="46"/>
      <c r="CO6" s="46"/>
    </row>
    <row r="7" ht="15.75" customHeight="1">
      <c r="A7" s="8"/>
      <c r="B7" s="46" t="s">
        <v>18</v>
      </c>
      <c r="C7" s="8"/>
      <c r="D7" s="44">
        <v>0.0</v>
      </c>
      <c r="E7" s="44">
        <v>150.0</v>
      </c>
      <c r="F7" s="8"/>
      <c r="G7" s="46" t="s">
        <v>28</v>
      </c>
      <c r="H7" s="44">
        <v>4.0</v>
      </c>
      <c r="I7" s="45">
        <v>5.0</v>
      </c>
      <c r="J7" s="8"/>
      <c r="K7" s="44">
        <v>15.0</v>
      </c>
      <c r="L7" s="44">
        <v>15.0</v>
      </c>
      <c r="M7" s="8"/>
      <c r="N7" s="8"/>
      <c r="O7" s="43" t="s">
        <v>30</v>
      </c>
      <c r="Q7" s="44">
        <v>3.0</v>
      </c>
      <c r="R7" s="44">
        <v>0.0</v>
      </c>
      <c r="S7" s="46" t="s">
        <v>46</v>
      </c>
      <c r="T7" s="44">
        <v>0.0</v>
      </c>
      <c r="U7" s="44">
        <v>0.0</v>
      </c>
      <c r="Z7" s="46" t="s">
        <v>41</v>
      </c>
      <c r="AB7" s="44">
        <v>1.0</v>
      </c>
      <c r="AD7" s="46"/>
      <c r="AE7" s="44">
        <v>150.0</v>
      </c>
      <c r="AH7" s="9" t="s">
        <v>47</v>
      </c>
      <c r="AI7" s="44">
        <v>1.0</v>
      </c>
      <c r="AT7" s="44">
        <v>2235.9987</v>
      </c>
      <c r="AU7" s="44">
        <v>2235.9987</v>
      </c>
      <c r="AW7" s="44">
        <v>0.0</v>
      </c>
      <c r="AX7" s="44">
        <v>0.0</v>
      </c>
      <c r="AY7" s="9" t="s">
        <v>31</v>
      </c>
      <c r="AZ7" s="44">
        <v>0.0</v>
      </c>
      <c r="BB7" s="45"/>
      <c r="BC7" s="44">
        <v>0.0</v>
      </c>
      <c r="BE7" s="44">
        <v>2250.0</v>
      </c>
      <c r="BF7" s="44">
        <v>2250.0</v>
      </c>
      <c r="BJ7" s="44">
        <v>150.0</v>
      </c>
      <c r="BK7" s="44">
        <v>0.0</v>
      </c>
      <c r="BM7" s="46" t="s">
        <v>41</v>
      </c>
      <c r="BO7" s="46" t="s">
        <v>20</v>
      </c>
      <c r="BP7" s="44">
        <v>0.0</v>
      </c>
      <c r="BQ7" s="44">
        <v>0.0</v>
      </c>
      <c r="BT7" s="46" t="s">
        <v>19</v>
      </c>
      <c r="BU7" s="44">
        <v>3.0</v>
      </c>
      <c r="BV7" s="44">
        <v>0.0</v>
      </c>
      <c r="BW7" s="44">
        <v>14.0013</v>
      </c>
      <c r="BX7" s="44">
        <v>0.0</v>
      </c>
      <c r="CI7" s="46" t="s">
        <v>20</v>
      </c>
      <c r="CJ7" s="44">
        <v>0.0</v>
      </c>
      <c r="CK7" s="46"/>
      <c r="CM7" s="46"/>
      <c r="CO7" s="46"/>
    </row>
    <row r="8" ht="15.75" customHeight="1">
      <c r="A8" s="8"/>
      <c r="B8" s="46" t="s">
        <v>18</v>
      </c>
      <c r="C8" s="8"/>
      <c r="D8" s="44">
        <v>0.0</v>
      </c>
      <c r="E8" s="44">
        <v>200.0</v>
      </c>
      <c r="F8" s="8"/>
      <c r="G8" s="46" t="s">
        <v>28</v>
      </c>
      <c r="H8" s="44">
        <v>36.0</v>
      </c>
      <c r="I8" s="45">
        <v>0.0</v>
      </c>
      <c r="J8" s="8"/>
      <c r="K8" s="44">
        <v>20.0</v>
      </c>
      <c r="L8" s="44">
        <v>20.0</v>
      </c>
      <c r="M8" s="8"/>
      <c r="N8" s="8"/>
      <c r="O8" s="43" t="s">
        <v>30</v>
      </c>
      <c r="Q8" s="44">
        <v>3.0</v>
      </c>
      <c r="R8" s="44">
        <v>0.0</v>
      </c>
      <c r="S8" s="46" t="s">
        <v>46</v>
      </c>
      <c r="T8" s="44">
        <v>0.0</v>
      </c>
      <c r="U8" s="44">
        <v>0.0</v>
      </c>
      <c r="Z8" s="46" t="s">
        <v>41</v>
      </c>
      <c r="AB8" s="44">
        <v>1.0</v>
      </c>
      <c r="AD8" s="46"/>
      <c r="AE8" s="44">
        <v>200.0</v>
      </c>
      <c r="AH8" s="9" t="s">
        <v>47</v>
      </c>
      <c r="AI8" s="44">
        <v>1.0</v>
      </c>
      <c r="AT8" s="44">
        <v>4037.7</v>
      </c>
      <c r="AU8" s="44">
        <v>4037.7</v>
      </c>
      <c r="AW8" s="44">
        <v>0.0</v>
      </c>
      <c r="AX8" s="44">
        <v>0.0</v>
      </c>
      <c r="AY8" s="9" t="s">
        <v>31</v>
      </c>
      <c r="AZ8" s="44">
        <v>0.0</v>
      </c>
      <c r="BB8" s="44"/>
      <c r="BC8" s="44">
        <v>0.0</v>
      </c>
      <c r="BE8" s="44">
        <v>4000.0</v>
      </c>
      <c r="BF8" s="44">
        <v>4000.0</v>
      </c>
      <c r="BJ8" s="44">
        <v>200.0</v>
      </c>
      <c r="BK8" s="44">
        <v>0.0</v>
      </c>
      <c r="BM8" s="46" t="s">
        <v>41</v>
      </c>
      <c r="BO8" s="46" t="s">
        <v>17</v>
      </c>
      <c r="BP8" s="44">
        <v>0.0</v>
      </c>
      <c r="BQ8" s="44">
        <v>0.0</v>
      </c>
      <c r="BT8" s="46" t="s">
        <v>21</v>
      </c>
      <c r="BU8" s="44">
        <v>1.0</v>
      </c>
      <c r="BV8" s="44">
        <v>0.0</v>
      </c>
      <c r="BW8" s="44">
        <v>37.7</v>
      </c>
      <c r="BX8" s="44">
        <v>0.0</v>
      </c>
      <c r="CI8" s="46" t="s">
        <v>17</v>
      </c>
      <c r="CJ8" s="44">
        <v>0.0</v>
      </c>
      <c r="CK8" s="46"/>
      <c r="CM8" s="46"/>
      <c r="CO8" s="46"/>
    </row>
    <row r="9" ht="15.75" customHeight="1">
      <c r="A9" s="8"/>
      <c r="B9" s="46"/>
      <c r="C9" s="8"/>
      <c r="D9" s="8"/>
      <c r="E9" s="46"/>
      <c r="F9" s="8"/>
      <c r="G9" s="46"/>
      <c r="H9" s="8"/>
      <c r="I9" s="46"/>
      <c r="J9" s="8"/>
      <c r="K9" s="8"/>
      <c r="L9" s="8"/>
      <c r="M9" s="8"/>
      <c r="N9" s="8"/>
      <c r="O9" s="46"/>
      <c r="Q9" s="46"/>
      <c r="R9" s="46"/>
      <c r="S9" s="46"/>
      <c r="T9" s="46"/>
      <c r="U9" s="46"/>
      <c r="Z9" s="46"/>
      <c r="AB9" s="46"/>
      <c r="AE9" s="46"/>
      <c r="AI9" s="46"/>
      <c r="AT9" s="46"/>
      <c r="AU9" s="46"/>
      <c r="BC9" s="46"/>
      <c r="BE9" s="46"/>
      <c r="BF9" s="46"/>
      <c r="BJ9" s="46"/>
      <c r="BK9" s="46"/>
      <c r="BM9" s="46"/>
      <c r="BO9" s="46"/>
      <c r="BP9" s="46"/>
      <c r="BQ9" s="46"/>
      <c r="BT9" s="46"/>
      <c r="BU9" s="46"/>
      <c r="BV9" s="46"/>
      <c r="BW9" s="46"/>
      <c r="BX9" s="46"/>
      <c r="CI9" s="46"/>
      <c r="CK9" s="46"/>
      <c r="CM9" s="46"/>
      <c r="CO9" s="46"/>
    </row>
    <row r="10" ht="15.75" customHeight="1">
      <c r="A10" s="8"/>
      <c r="B10" s="8"/>
      <c r="C10" s="8"/>
      <c r="D10" s="8"/>
      <c r="E10" s="46"/>
      <c r="F10" s="8"/>
      <c r="G10" s="46"/>
      <c r="H10" s="8"/>
      <c r="I10" s="46"/>
      <c r="J10" s="8"/>
      <c r="K10" s="8"/>
      <c r="L10" s="8"/>
      <c r="M10" s="8"/>
      <c r="N10" s="8"/>
      <c r="O10" s="8"/>
      <c r="Q10" s="46"/>
      <c r="T10" s="46"/>
      <c r="U10" s="46"/>
      <c r="Z10" s="46"/>
      <c r="AE10" s="46"/>
      <c r="AI10" s="46"/>
      <c r="BE10" s="46"/>
      <c r="BF10" s="46"/>
      <c r="BJ10" s="46"/>
      <c r="BK10" s="46"/>
      <c r="BM10" s="46"/>
      <c r="BV10" s="46"/>
      <c r="BW10" s="46"/>
      <c r="BX10" s="46"/>
      <c r="CI10" s="46"/>
      <c r="CK10" s="46"/>
      <c r="CM10" s="46"/>
      <c r="CO10" s="46"/>
    </row>
    <row r="11" ht="15.75" customHeight="1">
      <c r="A11" s="8"/>
      <c r="B11" s="8"/>
      <c r="C11" s="8"/>
      <c r="D11" s="8"/>
      <c r="E11" s="46"/>
      <c r="F11" s="8"/>
      <c r="G11" s="8"/>
      <c r="H11" s="8"/>
      <c r="I11" s="46"/>
      <c r="J11" s="8"/>
      <c r="K11" s="8"/>
      <c r="L11" s="8"/>
      <c r="M11" s="8"/>
      <c r="N11" s="8"/>
      <c r="O11" s="8"/>
      <c r="Q11" s="46"/>
      <c r="T11" s="46"/>
      <c r="U11" s="46"/>
      <c r="Z11" s="46"/>
      <c r="AE11" s="46"/>
      <c r="BE11" s="46"/>
      <c r="BF11" s="46"/>
      <c r="BJ11" s="46"/>
      <c r="BW11" s="46"/>
      <c r="CK11" s="46"/>
      <c r="CM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E12" s="46"/>
      <c r="BF12" s="46"/>
      <c r="CK12" s="4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K13" s="4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13" t="s">
        <v>16</v>
      </c>
      <c r="D6" s="13">
        <v>100.0</v>
      </c>
      <c r="E6" s="13" t="s">
        <v>18</v>
      </c>
      <c r="F6" s="13" t="s">
        <v>38</v>
      </c>
      <c r="G6" s="13">
        <v>10.0</v>
      </c>
      <c r="H6" s="13" t="s">
        <v>50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47">
        <v>-1000.0</v>
      </c>
      <c r="O6" s="8"/>
      <c r="Q6" s="47">
        <v>-1000.0</v>
      </c>
      <c r="R6" s="9" t="s">
        <v>51</v>
      </c>
      <c r="T6" s="9" t="s">
        <v>28</v>
      </c>
      <c r="U6" s="9" t="s">
        <v>27</v>
      </c>
      <c r="V6" s="9" t="s">
        <v>36</v>
      </c>
      <c r="W6" s="9" t="s">
        <v>41</v>
      </c>
      <c r="Y6" s="9">
        <v>1.0</v>
      </c>
      <c r="AB6" s="13">
        <v>0.0</v>
      </c>
      <c r="AC6" s="13">
        <v>0.0</v>
      </c>
      <c r="AD6" s="13">
        <v>0.0</v>
      </c>
      <c r="AE6" s="13">
        <v>0.0</v>
      </c>
      <c r="AF6" s="9">
        <v>100.0</v>
      </c>
      <c r="AG6" s="13">
        <v>0.0</v>
      </c>
      <c r="AH6" s="13">
        <v>0.0</v>
      </c>
      <c r="AI6" s="13">
        <v>0.0</v>
      </c>
      <c r="AJ6" s="13">
        <v>0.0</v>
      </c>
      <c r="AK6" s="47">
        <v>-1000.0</v>
      </c>
      <c r="AL6" s="9">
        <v>1.0</v>
      </c>
      <c r="AM6" s="9">
        <v>1.0</v>
      </c>
      <c r="AN6" s="9" t="s">
        <v>17</v>
      </c>
      <c r="AP6" s="9" t="s">
        <v>50</v>
      </c>
      <c r="AQ6" s="9" t="s">
        <v>16</v>
      </c>
      <c r="AR6" s="9">
        <v>0.0</v>
      </c>
      <c r="AS6" s="9">
        <v>1.0</v>
      </c>
      <c r="AV6" s="9">
        <v>1.0</v>
      </c>
      <c r="AW6" s="47">
        <v>-1000.0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47">
        <v>-1000.0</v>
      </c>
      <c r="BE6" s="9" t="s">
        <v>28</v>
      </c>
      <c r="BJ6" s="9">
        <v>0.0</v>
      </c>
      <c r="BK6" s="9">
        <v>0.0</v>
      </c>
      <c r="BL6" s="9">
        <v>0.0</v>
      </c>
      <c r="BM6" s="9">
        <v>0.0</v>
      </c>
      <c r="BO6" s="47">
        <v>-1000.0</v>
      </c>
      <c r="BP6" s="9">
        <v>0.0</v>
      </c>
      <c r="BQ6" s="9" t="s">
        <v>39</v>
      </c>
      <c r="BR6" s="9" t="s">
        <v>30</v>
      </c>
      <c r="BS6" s="9">
        <v>0.0</v>
      </c>
      <c r="BT6" s="9">
        <v>0.0</v>
      </c>
      <c r="BU6" s="9" t="s">
        <v>28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47">
        <v>-1000.0</v>
      </c>
      <c r="CE6" s="9">
        <v>0.0</v>
      </c>
      <c r="CF6" s="9">
        <v>0.0</v>
      </c>
      <c r="CG6" s="47">
        <v>-1000.0</v>
      </c>
      <c r="CH6" s="9">
        <v>-100.0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D6" s="9">
        <v>100.0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P6" s="9" t="s">
        <v>50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50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  <c r="ET6" s="9">
        <v>0.0</v>
      </c>
      <c r="EU6" s="9">
        <v>0.0</v>
      </c>
      <c r="EV6" s="9" t="s">
        <v>50</v>
      </c>
    </row>
    <row r="7" ht="15.75" customHeight="1">
      <c r="A7" s="8"/>
      <c r="B7" s="8"/>
      <c r="C7" s="13" t="s">
        <v>19</v>
      </c>
      <c r="D7" s="13">
        <v>-150.0</v>
      </c>
      <c r="E7" s="13" t="s">
        <v>18</v>
      </c>
      <c r="F7" s="13" t="s">
        <v>38</v>
      </c>
      <c r="G7" s="13">
        <v>15.0</v>
      </c>
      <c r="H7" s="13" t="s">
        <v>52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47">
        <v>2250.0</v>
      </c>
      <c r="O7" s="8"/>
      <c r="Q7" s="47">
        <v>2250.0</v>
      </c>
      <c r="R7" s="9" t="s">
        <v>51</v>
      </c>
      <c r="T7" s="9" t="s">
        <v>28</v>
      </c>
      <c r="U7" s="9" t="s">
        <v>27</v>
      </c>
      <c r="V7" s="9" t="s">
        <v>36</v>
      </c>
      <c r="W7" s="9" t="s">
        <v>41</v>
      </c>
      <c r="Y7" s="9">
        <v>1.0</v>
      </c>
      <c r="AB7" s="13">
        <v>0.0</v>
      </c>
      <c r="AC7" s="13">
        <v>0.0</v>
      </c>
      <c r="AD7" s="13">
        <v>0.0</v>
      </c>
      <c r="AE7" s="13">
        <v>0.0</v>
      </c>
      <c r="AF7" s="9">
        <v>-150.0</v>
      </c>
      <c r="AG7" s="13">
        <v>0.0</v>
      </c>
      <c r="AH7" s="13">
        <v>0.0</v>
      </c>
      <c r="AI7" s="13">
        <v>0.0</v>
      </c>
      <c r="AJ7" s="13">
        <v>0.0</v>
      </c>
      <c r="AK7" s="47">
        <v>2250.0</v>
      </c>
      <c r="AL7" s="9">
        <v>1.0</v>
      </c>
      <c r="AM7" s="9">
        <v>1.0</v>
      </c>
      <c r="AN7" s="9" t="s">
        <v>20</v>
      </c>
      <c r="AP7" s="9" t="s">
        <v>50</v>
      </c>
      <c r="AQ7" s="9" t="s">
        <v>19</v>
      </c>
      <c r="AR7" s="9">
        <v>0.0</v>
      </c>
      <c r="AS7" s="9">
        <v>-1.0</v>
      </c>
      <c r="AV7" s="9">
        <v>1.0</v>
      </c>
      <c r="AW7" s="47">
        <v>2250.0</v>
      </c>
      <c r="AX7" s="9">
        <v>0.0</v>
      </c>
      <c r="AY7" s="9">
        <v>0.0</v>
      </c>
      <c r="AZ7" s="9">
        <v>0.0</v>
      </c>
      <c r="BA7" s="9">
        <v>100.0</v>
      </c>
      <c r="BC7" s="9">
        <v>1.0</v>
      </c>
      <c r="BD7" s="47">
        <v>2250.0</v>
      </c>
      <c r="BE7" s="9" t="s">
        <v>28</v>
      </c>
      <c r="BJ7" s="9">
        <v>0.0</v>
      </c>
      <c r="BK7" s="9">
        <v>0.0</v>
      </c>
      <c r="BL7" s="9">
        <v>0.0</v>
      </c>
      <c r="BM7" s="9">
        <v>0.0</v>
      </c>
      <c r="BO7" s="47">
        <v>2250.0</v>
      </c>
      <c r="BP7" s="9">
        <v>0.0</v>
      </c>
      <c r="BQ7" s="9" t="s">
        <v>39</v>
      </c>
      <c r="BR7" s="9" t="s">
        <v>30</v>
      </c>
      <c r="BS7" s="9">
        <v>0.0</v>
      </c>
      <c r="BT7" s="9">
        <v>0.0</v>
      </c>
      <c r="BU7" s="9" t="s">
        <v>28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47">
        <v>2250.0</v>
      </c>
      <c r="CE7" s="9">
        <v>0.0</v>
      </c>
      <c r="CF7" s="9">
        <v>0.0</v>
      </c>
      <c r="CG7" s="47">
        <v>2250.0</v>
      </c>
      <c r="CH7" s="9">
        <v>100.0</v>
      </c>
      <c r="CI7" s="9">
        <v>0.0</v>
      </c>
      <c r="CJ7" s="9">
        <v>0.0</v>
      </c>
      <c r="CS7" s="9">
        <v>15.0</v>
      </c>
      <c r="DA7" s="9">
        <v>0.0</v>
      </c>
      <c r="DB7" s="9">
        <v>0.0</v>
      </c>
      <c r="DD7" s="9">
        <v>-150.0</v>
      </c>
      <c r="DE7" s="9">
        <v>0.0</v>
      </c>
      <c r="DF7" s="9">
        <v>0.0</v>
      </c>
      <c r="DG7" s="9">
        <v>0.0</v>
      </c>
      <c r="DI7" s="9">
        <v>0.0</v>
      </c>
      <c r="DJ7" s="9" t="s">
        <v>20</v>
      </c>
      <c r="DK7" s="9">
        <v>0.0</v>
      </c>
      <c r="DL7" s="9">
        <v>0.0</v>
      </c>
      <c r="DM7" s="9">
        <v>1.0</v>
      </c>
      <c r="DN7" s="9">
        <v>0.0</v>
      </c>
      <c r="DP7" s="9" t="s">
        <v>50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50</v>
      </c>
      <c r="EM7" s="9">
        <v>0.0</v>
      </c>
      <c r="EN7" s="9">
        <v>0.0</v>
      </c>
      <c r="EO7" s="9">
        <v>0.0</v>
      </c>
      <c r="EQ7" s="9">
        <v>0.0</v>
      </c>
      <c r="ER7" s="9">
        <v>0.0</v>
      </c>
      <c r="ET7" s="9">
        <v>0.0</v>
      </c>
      <c r="EU7" s="9">
        <v>0.0</v>
      </c>
      <c r="EV7" s="9" t="s">
        <v>50</v>
      </c>
    </row>
    <row r="8" ht="15.75" customHeight="1">
      <c r="A8" s="8"/>
      <c r="B8" s="8"/>
      <c r="C8" s="13" t="s">
        <v>21</v>
      </c>
      <c r="D8" s="13">
        <v>200.0</v>
      </c>
      <c r="E8" s="13" t="s">
        <v>18</v>
      </c>
      <c r="F8" s="13" t="s">
        <v>38</v>
      </c>
      <c r="G8" s="13">
        <v>20.0</v>
      </c>
      <c r="H8" s="13" t="s">
        <v>50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47">
        <v>-4000.0</v>
      </c>
      <c r="O8" s="8"/>
      <c r="Q8" s="47">
        <v>-4000.0</v>
      </c>
      <c r="R8" s="9" t="s">
        <v>51</v>
      </c>
      <c r="T8" s="9" t="s">
        <v>28</v>
      </c>
      <c r="U8" s="9" t="s">
        <v>27</v>
      </c>
      <c r="V8" s="9" t="s">
        <v>53</v>
      </c>
      <c r="W8" s="9" t="s">
        <v>41</v>
      </c>
      <c r="Y8" s="9">
        <v>1.0</v>
      </c>
      <c r="AB8" s="13">
        <v>0.0</v>
      </c>
      <c r="AC8" s="13">
        <v>0.0</v>
      </c>
      <c r="AD8" s="13">
        <v>0.0</v>
      </c>
      <c r="AE8" s="13">
        <v>0.0</v>
      </c>
      <c r="AF8" s="9">
        <v>200.0</v>
      </c>
      <c r="AG8" s="13">
        <v>0.0</v>
      </c>
      <c r="AH8" s="13">
        <v>0.0</v>
      </c>
      <c r="AI8" s="13">
        <v>0.0</v>
      </c>
      <c r="AJ8" s="13">
        <v>0.0</v>
      </c>
      <c r="AK8" s="47">
        <v>-4000.0</v>
      </c>
      <c r="AL8" s="9">
        <v>1.0</v>
      </c>
      <c r="AM8" s="9">
        <v>1.0</v>
      </c>
      <c r="AN8" s="9" t="s">
        <v>17</v>
      </c>
      <c r="AP8" s="9" t="s">
        <v>50</v>
      </c>
      <c r="AQ8" s="9" t="s">
        <v>21</v>
      </c>
      <c r="AR8" s="9">
        <v>0.0</v>
      </c>
      <c r="AS8" s="9">
        <v>1.0</v>
      </c>
      <c r="AV8" s="9">
        <v>1.0</v>
      </c>
      <c r="AW8" s="47">
        <v>-4000.0</v>
      </c>
      <c r="AX8" s="9">
        <v>0.0</v>
      </c>
      <c r="AY8" s="9">
        <v>0.0</v>
      </c>
      <c r="AZ8" s="9">
        <v>0.0</v>
      </c>
      <c r="BA8" s="9">
        <v>-100.0</v>
      </c>
      <c r="BC8" s="9">
        <v>1.0</v>
      </c>
      <c r="BD8" s="47">
        <v>-4000.0</v>
      </c>
      <c r="BE8" s="9" t="s">
        <v>28</v>
      </c>
      <c r="BJ8" s="9">
        <v>0.0</v>
      </c>
      <c r="BK8" s="9">
        <v>0.0</v>
      </c>
      <c r="BL8" s="9">
        <v>0.0</v>
      </c>
      <c r="BM8" s="9">
        <v>0.0</v>
      </c>
      <c r="BO8" s="47">
        <v>-4000.0</v>
      </c>
      <c r="BP8" s="9">
        <v>0.0</v>
      </c>
      <c r="BQ8" s="9" t="s">
        <v>39</v>
      </c>
      <c r="BR8" s="9" t="s">
        <v>30</v>
      </c>
      <c r="BS8" s="9">
        <v>0.0</v>
      </c>
      <c r="BT8" s="9">
        <v>0.0</v>
      </c>
      <c r="BU8" s="9" t="s">
        <v>28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47">
        <v>-4000.0</v>
      </c>
      <c r="CE8" s="9">
        <v>0.0</v>
      </c>
      <c r="CF8" s="9">
        <v>0.0</v>
      </c>
      <c r="CG8" s="47">
        <v>-4000.0</v>
      </c>
      <c r="CH8" s="9">
        <v>-100.0</v>
      </c>
      <c r="CI8" s="9">
        <v>0.0</v>
      </c>
      <c r="CJ8" s="9">
        <v>0.0</v>
      </c>
      <c r="CS8" s="9">
        <v>20.0</v>
      </c>
      <c r="DA8" s="9">
        <v>0.0</v>
      </c>
      <c r="DB8" s="9">
        <v>0.0</v>
      </c>
      <c r="DD8" s="9">
        <v>200.0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P8" s="9" t="s">
        <v>50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50</v>
      </c>
      <c r="EM8" s="9">
        <v>0.0</v>
      </c>
      <c r="EN8" s="9">
        <v>0.0</v>
      </c>
      <c r="EO8" s="9">
        <v>0.0</v>
      </c>
      <c r="EQ8" s="9">
        <v>0.0</v>
      </c>
      <c r="ER8" s="9">
        <v>0.0</v>
      </c>
      <c r="ET8" s="9">
        <v>0.0</v>
      </c>
      <c r="EU8" s="9">
        <v>0.0</v>
      </c>
      <c r="EV8" s="9" t="s">
        <v>50</v>
      </c>
    </row>
    <row r="9" ht="15.75" customHeight="1">
      <c r="A9" s="8"/>
      <c r="B9" s="8"/>
      <c r="C9" s="8"/>
      <c r="D9" s="8"/>
      <c r="E9" s="8"/>
      <c r="F9" s="13"/>
      <c r="G9" s="8"/>
      <c r="H9" s="8"/>
      <c r="I9" s="8"/>
      <c r="J9" s="8"/>
      <c r="K9" s="8"/>
      <c r="L9" s="8"/>
      <c r="M9" s="8"/>
      <c r="N9" s="8"/>
      <c r="O9" s="8"/>
      <c r="Q9" s="8"/>
      <c r="AB9" s="8"/>
      <c r="AC9" s="8"/>
      <c r="AD9" s="8"/>
      <c r="AE9" s="8"/>
      <c r="AG9" s="8"/>
      <c r="AH9" s="8"/>
      <c r="AK9" s="8"/>
      <c r="AW9" s="8"/>
      <c r="BD9" s="8"/>
      <c r="BO9" s="8"/>
      <c r="CD9" s="8"/>
      <c r="CG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