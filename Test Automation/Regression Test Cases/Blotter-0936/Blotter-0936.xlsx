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SelectTradeOnOrderGrid" sheetId="9" r:id="rId12"/>
    <sheet state="visible" name="AllocateFromBlotter" sheetId="10" r:id="rId13"/>
    <sheet state="visible" name="VerifySubOrder" sheetId="11" r:id="rId14"/>
    <sheet state="visible" name="ChangeDate" sheetId="12" r:id="rId15"/>
    <sheet state="visible" name="RestartReleasesAndServices" sheetId="13" r:id="rId16"/>
    <sheet state="visible" name="ExecuteTrade2" sheetId="14" r:id="rId17"/>
    <sheet state="visible" name="AllocateFromBlotter1" sheetId="15" r:id="rId18"/>
    <sheet state="visible" name="VerifySubOrder1" sheetId="16" r:id="rId19"/>
    <sheet state="visible" name="ExecuteTrade1" sheetId="17" r:id="rId20"/>
    <sheet state="visible" name="GetDataAllocation" sheetId="18" r:id="rId21"/>
    <sheet state="visible" name="CheckAllocatedGroups" sheetId="19" r:id="rId22"/>
    <sheet state="visible" name="CheckAllocatedGroups1" sheetId="20" r:id="rId23"/>
    <sheet state="visible" name="ChangeDate1" sheetId="21" r:id="rId24"/>
  </sheets>
  <definedNames/>
  <calcPr/>
  <extLst>
    <ext uri="GoogleSheetsCustomDataVersion2">
      <go:sheetsCustomData xmlns:go="http://customooxmlschemas.google.com/" r:id="rId25" roundtripDataChecksum="PS+kEpTQAbGz4bGc19fFfwdZ7IMEVD5Zm4Y74RMdwIs="/>
    </ext>
  </extLst>
</workbook>
</file>

<file path=xl/sharedStrings.xml><?xml version="1.0" encoding="utf-8"?>
<sst xmlns="http://schemas.openxmlformats.org/spreadsheetml/2006/main" count="654" uniqueCount="128">
  <si>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</si>
  <si>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</si>
  <si>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</si>
  <si>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</si>
  <si>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</si>
  <si>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</si>
  <si>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</si>
  <si>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</si>
  <si>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</si>
  <si>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</si>
  <si>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</si>
  <si>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</si>
  <si>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</si>
  <si>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</si>
  <si>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</si>
  <si>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</si>
  <si>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</si>
  <si>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</si>
  <si>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</si>
  <si>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</si>
  <si>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</si>
  <si>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</si>
  <si>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</si>
  <si>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</si>
  <si>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</si>
  <si>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</si>
  <si>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</si>
  <si>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</si>
  <si>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</si>
  <si>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</si>
  <si>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</si>
  <si>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</si>
  <si>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</si>
  <si>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</si>
  <si>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</si>
  <si>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</si>
  <si>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</si>
  <si>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</si>
  <si>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VerifySubOrder</t>
  </si>
  <si>
    <t>NASDAQ</t>
  </si>
  <si>
    <t>Samsara</t>
  </si>
  <si>
    <t>US</t>
  </si>
  <si>
    <t>NONE</t>
  </si>
  <si>
    <t>NewMF1</t>
  </si>
  <si>
    <t>M</t>
  </si>
  <si>
    <t>Equity</t>
  </si>
  <si>
    <t>PartiallyFilled</t>
  </si>
  <si>
    <t>MS</t>
  </si>
  <si>
    <t>Admin</t>
  </si>
  <si>
    <t>ChangeDate</t>
  </si>
  <si>
    <t>Today()+1</t>
  </si>
  <si>
    <t>Compliance</t>
  </si>
  <si>
    <t>RestartReleasesAndServices</t>
  </si>
  <si>
    <t>Price</t>
  </si>
  <si>
    <t>Shares</t>
  </si>
  <si>
    <t>ClearAllPrice</t>
  </si>
  <si>
    <t>Allocation5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</si>
  <si>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</si>
  <si>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</si>
  <si>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</si>
  <si>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</si>
  <si>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</si>
  <si>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</si>
  <si>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</si>
  <si>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</si>
  <si>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</si>
  <si>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</si>
  <si>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</si>
  <si>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</si>
  <si>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</si>
  <si>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</si>
  <si>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</si>
  <si>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2</t>
  </si>
  <si>
    <t>Trade Attribute 1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</si>
  <si>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</si>
  <si>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</si>
  <si>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</si>
  <si>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</si>
  <si>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</si>
  <si>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</si>
  <si>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</si>
  <si>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</si>
  <si>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</si>
  <si>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</si>
  <si>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</si>
  <si>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</si>
  <si>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</si>
  <si>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</si>
  <si>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</si>
  <si>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</si>
  <si>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</si>
  <si>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</si>
  <si>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</si>
  <si>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</si>
  <si>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</si>
  <si>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Day Executed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</si>
  <si>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</si>
  <si>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</si>
  <si>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</si>
  <si>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</si>
  <si>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</si>
  <si>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</si>
  <si>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</si>
  <si>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</si>
  <si>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</si>
  <si>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</si>
  <si>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</si>
  <si>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</si>
  <si>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</si>
  <si>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</si>
  <si>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NewMF3</t>
  </si>
  <si>
    <t>Allocation</t>
  </si>
  <si>
    <t>GetDataAllocation</t>
  </si>
  <si>
    <t>Historical</t>
  </si>
  <si>
    <t>CheckAllocatedGroups</t>
  </si>
  <si>
    <t/>
  </si>
  <si>
    <t>Actual_365</t>
  </si>
  <si>
    <t>AAPL US EQUITY</t>
  </si>
  <si>
    <t>Treasury</t>
  </si>
  <si>
    <t>APPLE</t>
  </si>
  <si>
    <t>USD</t>
  </si>
  <si>
    <t>Strategy Unallocated</t>
  </si>
  <si>
    <t>Today()-1</t>
  </si>
  <si>
    <t>GCCAP1</t>
  </si>
  <si>
    <t>jpearce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</si>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</sst>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 t="str">
        <f>IFERROR(__xludf.DUMMYFUNCTION("""COMPUTED_VALUE"""),"Allocation")</f>
        <v>Allocation</v>
      </c>
      <c r="B949" s="3" t="str">
        <f>IFERROR(__xludf.DUMMYFUNCTION("""COMPUTED_VALUE"""),"AttBulkChngTwo")</f>
        <v>AttBulkChngTwo</v>
      </c>
      <c r="C949" s="3" t="str">
        <f>IFERROR(__xludf.DUMMYFUNCTION("""COMPUTED_VALUE"""),"11EX1Ln-BQAtx9NTd9zfcaia52FGNdZENDW2kwMCJ8HQ")</f>
        <v>11EX1Ln-BQAtx9NTd9zfcaia52FGNdZENDW2kwMCJ8HQ</v>
      </c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 t="str">
        <f>IFERROR(__xludf.DUMMYFUNCTION("""COMPUTED_VALUE"""),"Login")</f>
        <v>Login</v>
      </c>
      <c r="B950" s="3" t="str">
        <f>IFERROR(__xludf.DUMMYFUNCTION("""COMPUTED_VALUE"""),"Login")</f>
        <v>Login</v>
      </c>
      <c r="C950" s="3" t="str">
        <f>IFERROR(__xludf.DUMMYFUNCTION("""COMPUTED_VALUE"""),"1uy63r2XjpUIBlAUk-lXKJTr-PpvpP6wxvLlLDzoM-Ic")</f>
        <v>1uy63r2XjpUIBlAUk-lXKJTr-PpvpP6wxvLlLDzoM-Ic</v>
      </c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 t="str">
        <f>IFERROR(__xludf.DUMMYFUNCTION("""COMPUTED_VALUE"""),"Simulator")</f>
        <v>Simulator</v>
      </c>
      <c r="B951" s="3" t="str">
        <f>IFERROR(__xludf.DUMMYFUNCTION("""COMPUTED_VALUE"""),"VerifyRowAllFixLogs")</f>
        <v>VerifyRowAllFixLogs</v>
      </c>
      <c r="C951" s="3" t="str">
        <f>IFERROR(__xludf.DUMMYFUNCTION("""COMPUTED_VALUE"""),"1_W_DB1rnbV-zXf1aqv8VkPNpTGPIckmD7s5z0ncm4ho")</f>
        <v>1_W_DB1rnbV-zXf1aqv8VkPNpTGPIckmD7s5z0ncm4ho</v>
      </c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 t="str">
        <f>IFERROR(__xludf.DUMMYFUNCTION("""COMPUTED_VALUE"""),"Blotter")</f>
        <v>Blotter</v>
      </c>
      <c r="B952" s="3" t="str">
        <f>IFERROR(__xludf.DUMMYFUNCTION("""COMPUTED_VALUE"""),"ManageHotButton")</f>
        <v>ManageHotButton</v>
      </c>
      <c r="C952" s="3" t="str">
        <f>IFERROR(__xludf.DUMMYFUNCTION("""COMPUTED_VALUE"""),"1kQpkPRi_1u4R3VazjhiilbOI8OkiiHRY2wfgByau1YY")</f>
        <v>1kQpkPRi_1u4R3VazjhiilbOI8OkiiHRY2wfgByau1YY</v>
      </c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 t="str">
        <f>IFERROR(__xludf.DUMMYFUNCTION("""COMPUTED_VALUE"""),"Simulator")</f>
        <v>Simulator</v>
      </c>
      <c r="B953" s="3" t="str">
        <f>IFERROR(__xludf.DUMMYFUNCTION("""COMPUTED_VALUE"""),"ClearAllFixLogs")</f>
        <v>ClearAllFixLogs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 t="str">
        <f>IFERROR(__xludf.DUMMYFUNCTION("""COMPUTED_VALUE"""),"PranaClient")</f>
        <v>PranaClient</v>
      </c>
      <c r="B954" s="3" t="str">
        <f>IFERROR(__xludf.DUMMYFUNCTION("""COMPUTED_VALUE"""),"UpdateLiveExcelSheetForRTPNL")</f>
        <v>UpdateLiveExcelSheetForRTPNL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 t="str">
        <f>IFERROR(__xludf.DUMMYFUNCTION("""COMPUTED_VALUE"""),"OpenFin")</f>
        <v>OpenFin</v>
      </c>
      <c r="B955" s="3" t="str">
        <f>IFERROR(__xludf.DUMMYFUNCTION("""COMPUTED_VALUE"""),"SavePageRTPNL")</f>
        <v>SavePageRTPNL</v>
      </c>
      <c r="C955" s="3" t="str">
        <f>IFERROR(__xludf.DUMMYFUNCTION("""COMPUTED_VALUE"""),"1YqhSG4yXo70SfhUq3fYD9CKf-eg44IFJ37IZh4WLI84")</f>
        <v>1YqhSG4yXo70SfhUq3fYD9CKf-eg44IFJ37IZh4WLI84</v>
      </c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 t="str">
        <f>IFERROR(__xludf.DUMMYFUNCTION("""COMPUTED_VALUE"""),"RTPNL")</f>
        <v>RTPNL</v>
      </c>
      <c r="B956" s="3" t="str">
        <f>IFERROR(__xludf.DUMMYFUNCTION("""COMPUTED_VALUE"""),"VerifyGridThroughLiveExcel")</f>
        <v>VerifyGridThroughLiveExcel</v>
      </c>
      <c r="C956" s="3" t="str">
        <f>IFERROR(__xludf.DUMMYFUNCTION("""COMPUTED_VALUE"""),"1cCUw9lchUCKgHeNcwCDXybCOZXIeN4O0zRhkTZCVDUg")</f>
        <v>1cCUw9lchUCKgHeNcwCDXybCOZXIeN4O0zRhkTZCVDUg</v>
      </c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 t="str">
        <f>IFERROR(__xludf.DUMMYFUNCTION("""COMPUTED_VALUE"""),"OpenFin")</f>
        <v>OpenFin</v>
      </c>
      <c r="B957" s="3" t="str">
        <f>IFERROR(__xludf.DUMMYFUNCTION("""COMPUTED_VALUE"""),"VerifyToastMessage")</f>
        <v>VerifyToastMessage</v>
      </c>
      <c r="C957" s="3" t="str">
        <f>IFERROR(__xludf.DUMMYFUNCTION("""COMPUTED_VALUE"""),"1DYn70fZ-UJ9bocMMWUWIW2IVfXlF5TRVuLedi7Y_LNk")</f>
        <v>1DYn70fZ-UJ9bocMMWUWIW2IVfXlF5TRVuLedi7Y_LNk</v>
      </c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 t="str">
        <f>IFERROR(__xludf.DUMMYFUNCTION("""COMPUTED_VALUE"""),"NavLock")</f>
        <v>NavLock</v>
      </c>
      <c r="B958" s="3" t="str">
        <f>IFERROR(__xludf.DUMMYFUNCTION("""COMPUTED_VALUE"""),"VerifyNavLockGrid")</f>
        <v>VerifyNavLockGrid</v>
      </c>
      <c r="C958" s="3" t="str">
        <f>IFERROR(__xludf.DUMMYFUNCTION("""COMPUTED_VALUE"""),"11EX1Ln-BQAtx9NTd9zfcaia52FGNdZENDW2kwMCJ8HQ")</f>
        <v>11EX1Ln-BQAtx9NTd9zfcaia52FGNdZENDW2kwMCJ8HQ</v>
      </c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 t="str">
        <f>IFERROR(__xludf.DUMMYFUNCTION("""COMPUTED_VALUE"""),"RTPNL")</f>
        <v>RTPNL</v>
      </c>
      <c r="B959" s="3" t="str">
        <f>IFERROR(__xludf.DUMMYFUNCTION("""COMPUTED_VALUE"""),"ApplyColumnFilter")</f>
        <v>ApplyColumnFilter</v>
      </c>
      <c r="C959" s="3" t="str">
        <f>IFERROR(__xludf.DUMMYFUNCTION("""COMPUTED_VALUE"""),"1N9Nn6t5kuoUpj5sQRZwukYuXz8skh2F7E53j1Um1W1A")</f>
        <v>1N9Nn6t5kuoUpj5sQRZwukYuXz8skh2F7E53j1Um1W1A</v>
      </c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 t="str">
        <f>IFERROR(__xludf.DUMMYFUNCTION("""COMPUTED_VALUE"""),"Closing")</f>
        <v>Closing</v>
      </c>
      <c r="B960" s="3" t="str">
        <f>IFERROR(__xludf.DUMMYFUNCTION("""COMPUTED_VALUE"""),"GetClosingData")</f>
        <v>GetClosingData</v>
      </c>
      <c r="C960" s="3" t="str">
        <f>IFERROR(__xludf.DUMMYFUNCTION("""COMPUTED_VALUE"""),"11EX1Ln-BQAtx9NTd9zfcaia52FGNdZENDW2kwMCJ9HQ")</f>
        <v>11EX1Ln-BQAtx9NTd9zfcaia52FGNdZENDW2kwMCJ9HQ</v>
      </c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 t="str">
        <f>IFERROR(__xludf.DUMMYFUNCTION("""COMPUTED_VALUE"""),"Closing")</f>
        <v>Closing</v>
      </c>
      <c r="B961" s="3" t="str">
        <f>IFERROR(__xludf.DUMMYFUNCTION("""COMPUTED_VALUE"""),"CloseAmendOprtn")</f>
        <v>CloseAmendOprtn</v>
      </c>
      <c r="C961" s="3" t="str">
        <f>IFERROR(__xludf.DUMMYFUNCTION("""COMPUTED_VALUE"""),"11EX1Ln-BQAtx9NTd9zfcaia52FGNdZENDW2kwMCJ10HQ")</f>
        <v>11EX1Ln-BQAtx9NTd9zfcaia52FGNdZENDW2kwMCJ10HQ</v>
      </c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 t="str">
        <f>IFERROR(__xludf.DUMMYFUNCTION("""COMPUTED_VALUE"""),"Closing")</f>
        <v>Closing</v>
      </c>
      <c r="B962" s="3" t="str">
        <f>IFERROR(__xludf.DUMMYFUNCTION("""COMPUTED_VALUE"""),"ExpSettlOprtn")</f>
        <v>ExpSettlOprtn</v>
      </c>
      <c r="C962" s="3" t="str">
        <f>IFERROR(__xludf.DUMMYFUNCTION("""COMPUTED_VALUE"""),"11EX1Ln-BQAtx9NTd9zfcaia52FGNdZENDW2kwMCJ11HQ")</f>
        <v>11EX1Ln-BQAtx9NTd9zfcaia52FGNdZENDW2kwMCJ11HQ</v>
      </c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 t="str">
        <f>IFERROR(__xludf.DUMMYFUNCTION("""COMPUTED_VALUE"""),"Closing")</f>
        <v>Closing</v>
      </c>
      <c r="B963" s="3" t="str">
        <f>IFERROR(__xludf.DUMMYFUNCTION("""COMPUTED_VALUE"""),"CloseOrderOprtn")</f>
        <v>CloseOrderOprtn</v>
      </c>
      <c r="C963" s="3" t="str">
        <f>IFERROR(__xludf.DUMMYFUNCTION("""COMPUTED_VALUE"""),"11EX1Ln-BQAtx9NTd9zfcaia52FGNdZENDW2kwMCJ12HQ")</f>
        <v>11EX1Ln-BQAtx9NTd9zfcaia52FGNdZENDW2kwMCJ12HQ</v>
      </c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 t="str">
        <f>IFERROR(__xludf.DUMMYFUNCTION("""COMPUTED_VALUE"""),"Closing")</f>
        <v>Closing</v>
      </c>
      <c r="B964" s="3" t="str">
        <f>IFERROR(__xludf.DUMMYFUNCTION("""COMPUTED_VALUE"""),"SelectgrdCloseTrades")</f>
        <v>SelectgrdCloseTrades</v>
      </c>
      <c r="C964" s="3" t="str">
        <f>IFERROR(__xludf.DUMMYFUNCTION("""COMPUTED_VALUE"""),"11EX1Ln-BQAtx9NTd9zfcaia52FGNdZENDW2kwMCJ13HQ")</f>
        <v>11EX1Ln-BQAtx9NTd9zfcaia52FGNdZENDW2kwMCJ13HQ</v>
      </c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 t="str">
        <f>IFERROR(__xludf.DUMMYFUNCTION("""COMPUTED_VALUE"""),"Closing")</f>
        <v>Closing</v>
      </c>
      <c r="B965" s="3" t="str">
        <f>IFERROR(__xludf.DUMMYFUNCTION("""COMPUTED_VALUE"""),"SelectgrdLongTrades")</f>
        <v>SelectgrdLongTrades</v>
      </c>
      <c r="C965" s="3" t="str">
        <f>IFERROR(__xludf.DUMMYFUNCTION("""COMPUTED_VALUE"""),"11EX1Ln-BQAtx9NTd9zfcaia52FGNdZENDW2kwMCJ14HQ")</f>
        <v>11EX1Ln-BQAtx9NTd9zfcaia52FGNdZENDW2kwMCJ14HQ</v>
      </c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 t="str">
        <f>IFERROR(__xludf.DUMMYFUNCTION("""COMPUTED_VALUE"""),"Closing")</f>
        <v>Closing</v>
      </c>
      <c r="B966" s="3" t="str">
        <f>IFERROR(__xludf.DUMMYFUNCTION("""COMPUTED_VALUE"""),"SelectgrdShortTrades")</f>
        <v>SelectgrdShortTrades</v>
      </c>
      <c r="C966" s="3" t="str">
        <f>IFERROR(__xludf.DUMMYFUNCTION("""COMPUTED_VALUE"""),"11EX1Ln-BQAtx9NTd9zfcaia52FGNdZENDW2kwMCJ15HQ")</f>
        <v>11EX1Ln-BQAtx9NTd9zfcaia52FGNdZENDW2kwMCJ15HQ</v>
      </c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 t="str">
        <f>IFERROR(__xludf.DUMMYFUNCTION("""COMPUTED_VALUE"""),"Closing")</f>
        <v>Closing</v>
      </c>
      <c r="B967" s="3" t="str">
        <f>IFERROR(__xludf.DUMMYFUNCTION("""COMPUTED_VALUE"""),"SelectgrdNetPositionTrades")</f>
        <v>SelectgrdNetPositionTrades</v>
      </c>
      <c r="C967" s="3" t="str">
        <f>IFERROR(__xludf.DUMMYFUNCTION("""COMPUTED_VALUE"""),"11EX1Ln-BQAtx9NTd9zfcaia52FGNdZENDW2kwMCJ16HQ")</f>
        <v>11EX1Ln-BQAtx9NTd9zfcaia52FGNdZENDW2kwMCJ16HQ</v>
      </c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 t="str">
        <f>IFERROR(__xludf.DUMMYFUNCTION("""COMPUTED_VALUE"""),"Closing")</f>
        <v>Closing</v>
      </c>
      <c r="B968" s="3" t="str">
        <f>IFERROR(__xludf.DUMMYFUNCTION("""COMPUTED_VALUE"""),"SelectgrdUnexpiredTrades")</f>
        <v>SelectgrdUnexpiredTrades</v>
      </c>
      <c r="C968" s="3" t="str">
        <f>IFERROR(__xludf.DUMMYFUNCTION("""COMPUTED_VALUE"""),"11EX1Ln-BQAtx9NTd9zfcaia52FGNdZENDW2kwMCJ17HQ")</f>
        <v>11EX1Ln-BQAtx9NTd9zfcaia52FGNdZENDW2kwMCJ17HQ</v>
      </c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 t="str">
        <f>IFERROR(__xludf.DUMMYFUNCTION("""COMPUTED_VALUE"""),"Closing")</f>
        <v>Closing</v>
      </c>
      <c r="B969" s="3" t="str">
        <f>IFERROR(__xludf.DUMMYFUNCTION("""COMPUTED_VALUE"""),"SelectgrdCPTrades")</f>
        <v>SelectgrdCPTrades</v>
      </c>
      <c r="C969" s="3" t="str">
        <f>IFERROR(__xludf.DUMMYFUNCTION("""COMPUTED_VALUE"""),"11EX1Ln-BQAtx9NTd9zfcaia52FGNdZENDW2kwMCJ18HQ")</f>
        <v>11EX1Ln-BQAtx9NTd9zfcaia52FGNdZENDW2kwMCJ18HQ</v>
      </c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 t="str">
        <f>IFERROR(__xludf.DUMMYFUNCTION("""COMPUTED_VALUE"""),"Closing")</f>
        <v>Closing</v>
      </c>
      <c r="B970" s="3" t="str">
        <f>IFERROR(__xludf.DUMMYFUNCTION("""COMPUTED_VALUE"""),"SelectgrdExpiredTrades")</f>
        <v>SelectgrdExpiredTrades</v>
      </c>
      <c r="C970" s="3" t="str">
        <f>IFERROR(__xludf.DUMMYFUNCTION("""COMPUTED_VALUE"""),"11EX1Ln-BQAtx9NTd9zfcaia52FGNdZENDW2kwMCJ19HQ")</f>
        <v>11EX1Ln-BQAtx9NTd9zfcaia52FGNdZENDW2kwMCJ19HQ</v>
      </c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 t="str">
        <f>IFERROR(__xludf.DUMMYFUNCTION("""COMPUTED_VALUE"""),"Closing")</f>
        <v>Closing</v>
      </c>
      <c r="B971" s="3" t="str">
        <f>IFERROR(__xludf.DUMMYFUNCTION("""COMPUTED_VALUE"""),"SelectgrdOpenTrades")</f>
        <v>SelectgrdOpenTrades</v>
      </c>
      <c r="C971" s="3" t="str">
        <f>IFERROR(__xludf.DUMMYFUNCTION("""COMPUTED_VALUE"""),"11EX1Ln-BQAtx9NTd9zfcaia52FGNdZENDW2kwMCJ20HQ")</f>
        <v>11EX1Ln-BQAtx9NTd9zfcaia52FGNdZENDW2kwMCJ20HQ</v>
      </c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 t="str">
        <f>IFERROR(__xludf.DUMMYFUNCTION("""COMPUTED_VALUE"""),"Closing")</f>
        <v>Closing</v>
      </c>
      <c r="B972" s="3" t="str">
        <f>IFERROR(__xludf.DUMMYFUNCTION("""COMPUTED_VALUE"""),"OperationsonClosing")</f>
        <v>OperationsonClosing</v>
      </c>
      <c r="C972" s="3" t="str">
        <f>IFERROR(__xludf.DUMMYFUNCTION("""COMPUTED_VALUE"""),"11EX1Ln-BQAtx9NTd9zfcaia52FGNdZENDW2kwMCJ21HQ")</f>
        <v>11EX1Ln-BQAtx9NTd9zfcaia52FGNdZENDW2kwMCJ21HQ</v>
      </c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 t="str">
        <f>IFERROR(__xludf.DUMMYFUNCTION("""COMPUTED_VALUE"""),"Closing")</f>
        <v>Closing</v>
      </c>
      <c r="B973" s="3" t="str">
        <f>IFERROR(__xludf.DUMMYFUNCTION("""COMPUTED_VALUE"""),"GetClosingData")</f>
        <v>GetClosingData</v>
      </c>
      <c r="C973" s="3" t="str">
        <f>IFERROR(__xludf.DUMMYFUNCTION("""COMPUTED_VALUE"""),"11EX1Ln-BQAtx9NTd9zfcaia52FGNdZENDW2kwMCJ20HQ")</f>
        <v>11EX1Ln-BQAtx9NTd9zfcaia52FGNdZENDW2kwMCJ20HQ</v>
      </c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 t="str">
        <f>IFERROR(__xludf.DUMMYFUNCTION("""COMPUTED_VALUE"""),"Closing")</f>
        <v>Closing</v>
      </c>
      <c r="B974" s="3" t="str">
        <f>IFERROR(__xludf.DUMMYFUNCTION("""COMPUTED_VALUE"""),"WizardOptions")</f>
        <v>WizardOptions</v>
      </c>
      <c r="C974" s="3" t="str">
        <f>IFERROR(__xludf.DUMMYFUNCTION("""COMPUTED_VALUE"""),"11EX1Ln-BQAtx9NTd9zfcaia52FGNdZENDW2kwMCJ21HQ")</f>
        <v>11EX1Ln-BQAtx9NTd9zfcaia52FGNdZENDW2kwMCJ21HQ</v>
      </c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 t="str">
        <f>IFERROR(__xludf.DUMMYFUNCTION("""COMPUTED_VALUE"""),"Closing")</f>
        <v>Closing</v>
      </c>
      <c r="B975" s="3" t="str">
        <f>IFERROR(__xludf.DUMMYFUNCTION("""COMPUTED_VALUE"""),"ActionOnClosingWiz")</f>
        <v>ActionOnClosingWiz</v>
      </c>
      <c r="C975" s="3" t="str">
        <f>IFERROR(__xludf.DUMMYFUNCTION("""COMPUTED_VALUE"""),"11EX1Ln-BQAtx9NTd9zfcaia52FGNdZENDW2kwMCJ21HQ")</f>
        <v>11EX1Ln-BQAtx9NTd9zfcaia52FGNdZENDW2kwMCJ21HQ</v>
      </c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 t="str">
        <f>IFERROR(__xludf.DUMMYFUNCTION("""COMPUTED_VALUE"""),"Allocation")</f>
        <v>Allocation</v>
      </c>
      <c r="B976" s="3" t="str">
        <f>IFERROR(__xludf.DUMMYFUNCTION("""COMPUTED_VALUE"""),"VerifyAttRenaming")</f>
        <v>VerifyAttRenaming</v>
      </c>
      <c r="C976" s="3" t="str">
        <f>IFERROR(__xludf.DUMMYFUNCTION("""COMPUTED_VALUE"""),"11EX1Ln-BQAtx9NTd9zfcaia52FGNdZENDW2kwMCJ21HQ")</f>
        <v>11EX1Ln-BQAtx9NTd9zfcaia52FGNdZENDW2kwMCJ21HQ</v>
      </c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7" t="str">
        <f>IFERROR(__xludf.DUMMYFUNCTION("""COMPUTED_VALUE"""),"NavLock")</f>
        <v>NavLock</v>
      </c>
      <c r="B977" s="7" t="str">
        <f>IFERROR(__xludf.DUMMYFUNCTION("""COMPUTED_VALUE"""),"DeleteRowNavLock")</f>
        <v>DeleteRowNavLock</v>
      </c>
      <c r="C977" s="7" t="str">
        <f>IFERROR(__xludf.DUMMYFUNCTION("""COMPUTED_VALUE"""),"11EX1Ln-BQAtx9NTd9zfcaia52FGNdZENDW2kwMCJ21HQ")</f>
        <v>11EX1Ln-BQAtx9NTd9zfcaia52FGNdZENDW2kwMCJ21HQ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IFERROR(__xludf.DUMMYFUNCTION("""COMPUTED_VALUE"""),"VerifyLongPositionsGrid")</f>
        <v>VerifyLongPositionsGrid</v>
      </c>
      <c r="C978" s="7" t="str">
        <f>IFERROR(__xludf.DUMMYFUNCTION("""COMPUTED_VALUE"""),"11EX1Ln-BQAtx9NTd9zfcaia52FGNdZENDW2kwMCJ14HQ")</f>
        <v>11EX1Ln-BQAtx9NTd9zfcaia52FGNdZENDW2kwMCJ14HQ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IFERROR(__xludf.DUMMYFUNCTION("""COMPUTED_VALUE"""),"VerifyShortPositionsGrid")</f>
        <v>VerifyShortPositionsGrid</v>
      </c>
      <c r="C979" s="7" t="str">
        <f>IFERROR(__xludf.DUMMYFUNCTION("""COMPUTED_VALUE"""),"11EX1Ln-BQAtx9NTd9zfcaia52FGNdZENDW2kwMCJ15HQ")</f>
        <v>11EX1Ln-BQAtx9NTd9zfcaia52FGNdZENDW2kwMCJ15HQ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IFERROR(__xludf.DUMMYFUNCTION("""COMPUTED_VALUE"""),"VerifyClosedTrades")</f>
        <v>VerifyClosedTrades</v>
      </c>
      <c r="C980" s="7" t="str">
        <f>IFERROR(__xludf.DUMMYFUNCTION("""COMPUTED_VALUE"""),"11EX1Ln-BQAtx9NTd9zfcaia52FGNdZENDW2kwMCJ16HQ")</f>
        <v>11EX1Ln-BQAtx9NTd9zfcaia52FGNdZENDW2kwMCJ16HQ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IFERROR(__xludf.DUMMYFUNCTION("""COMPUTED_VALUE"""),"CloseAmendOprtn")</f>
        <v>CloseAmendOprtn</v>
      </c>
      <c r="C981" s="7" t="str">
        <f>IFERROR(__xludf.DUMMYFUNCTION("""COMPUTED_VALUE"""),"11EX1Ln-BQAtx9NTd9zfcaia52FGNdZENDW2kwMCJ17HQ")</f>
        <v>11EX1Ln-BQAtx9NTd9zfcaia52FGNdZENDW2kwMCJ17HQ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IFERROR(__xludf.DUMMYFUNCTION("""COMPUTED_VALUE"""),"ExpSettlOprtn")</f>
        <v>ExpSettlOprtn</v>
      </c>
      <c r="C982" s="7" t="str">
        <f>IFERROR(__xludf.DUMMYFUNCTION("""COMPUTED_VALUE"""),"11EX1Ln-BQAtx9NTd9zfcaia52FGNdZENDW2kwMCJ18HQ")</f>
        <v>11EX1Ln-BQAtx9NTd9zfcaia52FGNdZENDW2kwMCJ18HQ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IFERROR(__xludf.DUMMYFUNCTION("""COMPUTED_VALUE"""),"ActionOnExpGrid")</f>
        <v>ActionOnExpGrid</v>
      </c>
      <c r="C983" s="7" t="str">
        <f>IFERROR(__xludf.DUMMYFUNCTION("""COMPUTED_VALUE"""),"11EX1Ln-BQAtx9NTd9zfcaia52FGNdZENDW2kwMCJ19HQ")</f>
        <v>11EX1Ln-BQAtx9NTd9zfcaia52FGNdZENDW2kwMCJ19HQ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IFERROR(__xludf.DUMMYFUNCTION("""COMPUTED_VALUE"""),"ActiononIncorrectQty")</f>
        <v>ActiononIncorrectQty</v>
      </c>
      <c r="C984" s="7" t="str">
        <f>IFERROR(__xludf.DUMMYFUNCTION("""COMPUTED_VALUE"""),"11EX1Ln-BQAtx9NTd9zfcaia52FGNdZENDW2kwMCJ20HQ")</f>
        <v>11EX1Ln-BQAtx9NTd9zfcaia52FGNdZENDW2kwMCJ20HQ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IFERROR(__xludf.DUMMYFUNCTION("""COMPUTED_VALUE"""),"VerifyIncorrectQty")</f>
        <v>VerifyIncorrectQty</v>
      </c>
      <c r="C985" s="7" t="str">
        <f>IFERROR(__xludf.DUMMYFUNCTION("""COMPUTED_VALUE"""),"11EX1Ln-BQAtx9NTd9zfcaia52FGNdZENDW2kwMCJ21HQ")</f>
        <v>11EX1Ln-BQAtx9NTd9zfcaia52FGNdZENDW2kwMCJ21HQ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IFERROR(__xludf.DUMMYFUNCTION("""COMPUTED_VALUE"""),"Closing")</f>
        <v>Closing</v>
      </c>
      <c r="B986" s="7" t="str">
        <f>IFERROR(__xludf.DUMMYFUNCTION("""COMPUTED_VALUE"""),"VerifyOpenTrades")</f>
        <v>VerifyOpenTrades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IFERROR(__xludf.DUMMYFUNCTION("""COMPUTED_VALUE"""),"EditCTGrid")</f>
        <v>EditCTGrid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IFERROR(__xludf.DUMMYFUNCTION("""COMPUTED_VALUE"""),"CreateTransaction")</f>
        <v>CreateTransaction</v>
      </c>
      <c r="B988" s="7" t="str">
        <f>IFERROR(__xludf.DUMMYFUNCTION("""COMPUTED_VALUE"""),"ActionOnCT")</f>
        <v>ActionOnCT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IFERROR(__xludf.DUMMYFUNCTION("""COMPUTED_VALUE"""),"Unknown")</f>
        <v>Unknown</v>
      </c>
      <c r="B989" s="7" t="str">
        <f>IFERROR(__xludf.DUMMYFUNCTION("""COMPUTED_VALUE"""),"OpenColumnChooser")</f>
        <v>OpenColumnChooser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IFERROR(__xludf.DUMMYFUNCTION("""COMPUTED_VALUE"""),"Closing")</f>
        <v>Closing</v>
      </c>
      <c r="B990" s="7" t="str">
        <f>IFERROR(__xludf.DUMMYFUNCTION("""COMPUTED_VALUE"""),"UnExpUnsettOperation")</f>
        <v>UnExpUnsettOperation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IFERROR(__xludf.DUMMYFUNCTION("""COMPUTED_VALUE"""),"NavLock")</f>
        <v>NavLock</v>
      </c>
      <c r="B991" s="7" t="str">
        <f>IFERROR(__xludf.DUMMYFUNCTION("""COMPUTED_VALUE"""),"ActiononNavLock")</f>
        <v>ActiononNavLock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IFERROR(__xludf.DUMMYFUNCTION("""COMPUTED_VALUE"""),"Allocation")</f>
        <v>Allocation</v>
      </c>
      <c r="B992" s="7" t="str">
        <f>IFERROR(__xludf.DUMMYFUNCTION("""COMPUTED_VALUE"""),"ActiononFixPref")</f>
        <v>ActiononFixPref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IFERROR(__xludf.DUMMYFUNCTION("""COMPUTED_VALUE"""),"Blotter")</f>
        <v>Blotter</v>
      </c>
      <c r="B993" s="7" t="str">
        <f>IFERROR(__xludf.DUMMYFUNCTION("""COMPUTED_VALUE"""),"SelectWorkSubsOnBlotter")</f>
        <v>SelectWorkSubsOnBlotter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IFERROR(__xludf.DUMMYFUNCTION("""COMPUTED_VALUE"""),"Closing")</f>
        <v>Closing</v>
      </c>
      <c r="B994" s="7" t="str">
        <f>IFERROR(__xludf.DUMMYFUNCTION("""COMPUTED_VALUE"""),"VerifyAccountUnexpired")</f>
        <v>VerifyAccountUnexpired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IFERROR(__xludf.DUMMYFUNCTION("""COMPUTED_VALUE"""),"PortfolioManagement")</f>
        <v>PortfolioManagement</v>
      </c>
      <c r="B995" s="7" t="str">
        <f>IFERROR(__xludf.DUMMYFUNCTION("""COMPUTED_VALUE"""),"ToolBarActiononPM")</f>
        <v>ToolBarActiononPM</v>
      </c>
      <c r="C995" s="7" t="str">
        <f>IFERROR(__xludf.DUMMYFUNCTION("""COMPUTED_VALUE"""),"11EX1Ln-BQAtx9NTd9zfcaia52FGNdZENDW2kwMCJ20HQ")</f>
        <v>11EX1Ln-BQAtx9NTd9zfcaia52FGNdZENDW2kwMCJ20HQ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IFERROR(__xludf.DUMMYFUNCTION("""COMPUTED_VALUE"""),"Allocation")</f>
        <v>Allocation</v>
      </c>
      <c r="B996" s="7" t="str">
        <f>IFERROR(__xludf.DUMMYFUNCTION("""COMPUTED_VALUE"""),"EditAttRenaming")</f>
        <v>EditAttRenaming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IFERROR(__xludf.DUMMYFUNCTION("""COMPUTED_VALUE"""),"ActiononColumnChooser")</f>
        <v>ActiononColumnChooser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IFERROR(__xludf.DUMMYFUNCTION("""COMPUTED_VALUE"""),"VerifyColumnChooser")</f>
        <v>VerifyColumnChooser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IFERROR(__xludf.DUMMYFUNCTION("""COMPUTED_VALUE"""),"EditColumnChooser")</f>
        <v>EditColumnChooser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IFERROR(__xludf.DUMMYFUNCTION("""COMPUTED_VALUE"""),"Unknown")</f>
        <v>Unknown</v>
      </c>
      <c r="B1000" s="7" t="str">
        <f>IFERROR(__xludf.DUMMYFUNCTION("""COMPUTED_VALUE"""),"OpenColumnChooser")</f>
        <v>OpenColumnChooser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2">
        <v>10000.0</v>
      </c>
      <c r="D6" s="23">
        <v>100.0</v>
      </c>
      <c r="E6" s="6" t="s">
        <v>20</v>
      </c>
      <c r="F6" s="3"/>
      <c r="G6" s="3"/>
      <c r="H6" s="3"/>
      <c r="I6" s="24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5" t="s">
        <v>23</v>
      </c>
      <c r="V6" s="3" t="s">
        <v>24</v>
      </c>
      <c r="W6" s="3"/>
      <c r="X6" s="22">
        <v>100.0</v>
      </c>
      <c r="Y6" s="26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</row>
    <row r="6" ht="12.75" customHeight="1">
      <c r="C6" s="3" t="s">
        <v>37</v>
      </c>
      <c r="D6" s="3">
        <v>100.0</v>
      </c>
    </row>
    <row r="7" ht="12.75" customHeight="1">
      <c r="C7" s="3"/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5000.0</v>
      </c>
      <c r="H6" s="6" t="s">
        <v>39</v>
      </c>
      <c r="I6" s="6" t="s">
        <v>40</v>
      </c>
      <c r="J6" s="6" t="s">
        <v>19</v>
      </c>
      <c r="K6" s="6" t="s">
        <v>41</v>
      </c>
      <c r="L6" s="6"/>
      <c r="M6" s="6"/>
      <c r="N6" s="6"/>
      <c r="O6" s="6"/>
      <c r="U6" s="3"/>
      <c r="V6" s="3" t="s">
        <v>42</v>
      </c>
      <c r="AA6" s="3" t="s">
        <v>43</v>
      </c>
      <c r="AB6" s="3">
        <v>5000.0</v>
      </c>
      <c r="AD6" s="3">
        <v>1.0</v>
      </c>
      <c r="AF6" s="3" t="s">
        <v>44</v>
      </c>
      <c r="AH6" s="3" t="s">
        <v>45</v>
      </c>
      <c r="AI6" s="3" t="s">
        <v>19</v>
      </c>
      <c r="AJ6" s="3" t="s">
        <v>22</v>
      </c>
      <c r="AK6" s="3" t="s">
        <v>46</v>
      </c>
      <c r="AL6" s="3">
        <v>10000.0</v>
      </c>
      <c r="AM6" s="3">
        <v>5000.0</v>
      </c>
      <c r="AO6" s="3">
        <v>10.0</v>
      </c>
      <c r="AP6" s="3">
        <v>10.0</v>
      </c>
      <c r="AQ6" s="3" t="s">
        <v>47</v>
      </c>
      <c r="AR6" s="3" t="s">
        <v>37</v>
      </c>
      <c r="AS6" s="3" t="s">
        <v>24</v>
      </c>
      <c r="AT6" s="3">
        <v>50000.0</v>
      </c>
      <c r="AU6" s="3">
        <v>50000.0</v>
      </c>
      <c r="AV6" s="3"/>
      <c r="AW6" s="3" t="s">
        <v>46</v>
      </c>
      <c r="AX6" s="3">
        <v>5000.0</v>
      </c>
      <c r="AZ6" s="3" t="s">
        <v>40</v>
      </c>
      <c r="BA6" s="25">
        <v>50.0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48</v>
      </c>
      <c r="D3" s="4" t="s">
        <v>9</v>
      </c>
      <c r="E3" s="9" t="s">
        <v>49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51</v>
      </c>
      <c r="D3" s="4" t="s">
        <v>9</v>
      </c>
      <c r="E3" s="9" t="s">
        <v>52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7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53</v>
      </c>
      <c r="C5" s="3" t="s">
        <v>54</v>
      </c>
      <c r="D5" s="3" t="s">
        <v>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 ht="12.75" customHeight="1"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</row>
    <row r="6" ht="12.75" customHeight="1">
      <c r="C6" s="3" t="s">
        <v>56</v>
      </c>
      <c r="D6" s="3">
        <v>100.0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8"/>
      <c r="B5" s="28" t="s">
        <v>57</v>
      </c>
      <c r="C5" s="28" t="s">
        <v>58</v>
      </c>
      <c r="D5" s="28" t="s">
        <v>59</v>
      </c>
      <c r="E5" s="28" t="s">
        <v>60</v>
      </c>
      <c r="F5" s="28" t="s">
        <v>61</v>
      </c>
      <c r="G5" s="28" t="s">
        <v>62</v>
      </c>
      <c r="H5" s="28" t="s">
        <v>63</v>
      </c>
      <c r="I5" s="28" t="s">
        <v>64</v>
      </c>
      <c r="J5" s="28" t="s">
        <v>65</v>
      </c>
      <c r="K5" s="28" t="s">
        <v>66</v>
      </c>
      <c r="L5" s="28" t="s">
        <v>67</v>
      </c>
      <c r="M5" s="28" t="s">
        <v>68</v>
      </c>
      <c r="N5" s="28" t="s">
        <v>69</v>
      </c>
      <c r="O5" s="28" t="s">
        <v>70</v>
      </c>
      <c r="P5" s="28" t="s">
        <v>71</v>
      </c>
      <c r="Q5" s="28" t="s">
        <v>72</v>
      </c>
      <c r="R5" s="28" t="s">
        <v>73</v>
      </c>
      <c r="S5" s="28" t="s">
        <v>74</v>
      </c>
      <c r="T5" s="28" t="s">
        <v>75</v>
      </c>
      <c r="U5" s="28" t="s">
        <v>76</v>
      </c>
      <c r="V5" s="28" t="s">
        <v>77</v>
      </c>
      <c r="W5" s="28" t="s">
        <v>78</v>
      </c>
      <c r="X5" s="28" t="s">
        <v>79</v>
      </c>
      <c r="Y5" s="28" t="s">
        <v>80</v>
      </c>
      <c r="Z5" s="28" t="s">
        <v>81</v>
      </c>
      <c r="AA5" s="28" t="s">
        <v>82</v>
      </c>
      <c r="AB5" s="28" t="s">
        <v>83</v>
      </c>
      <c r="AC5" s="28" t="s">
        <v>84</v>
      </c>
      <c r="AD5" s="28" t="s">
        <v>85</v>
      </c>
      <c r="AE5" s="28" t="s">
        <v>86</v>
      </c>
      <c r="AF5" s="28" t="s">
        <v>87</v>
      </c>
      <c r="AG5" s="28" t="s">
        <v>88</v>
      </c>
      <c r="AH5" s="28" t="s">
        <v>89</v>
      </c>
      <c r="AI5" s="28" t="s">
        <v>90</v>
      </c>
      <c r="AJ5" s="28" t="s">
        <v>91</v>
      </c>
      <c r="AK5" s="28" t="s">
        <v>92</v>
      </c>
      <c r="AL5" s="28" t="s">
        <v>93</v>
      </c>
      <c r="AM5" s="28" t="s">
        <v>94</v>
      </c>
      <c r="AN5" s="28" t="s">
        <v>95</v>
      </c>
      <c r="AO5" s="28" t="s">
        <v>96</v>
      </c>
      <c r="AP5" s="28" t="s">
        <v>97</v>
      </c>
      <c r="AQ5" s="28" t="s">
        <v>98</v>
      </c>
      <c r="AR5" s="28" t="s">
        <v>32</v>
      </c>
      <c r="AS5" s="28" t="s">
        <v>99</v>
      </c>
      <c r="AT5" s="28" t="s">
        <v>100</v>
      </c>
      <c r="AU5" s="28" t="s">
        <v>101</v>
      </c>
      <c r="AV5" s="28" t="s">
        <v>102</v>
      </c>
      <c r="AW5" s="28" t="s">
        <v>103</v>
      </c>
      <c r="AX5" s="28" t="s">
        <v>104</v>
      </c>
      <c r="AY5" s="28" t="s">
        <v>105</v>
      </c>
      <c r="AZ5" s="28" t="s">
        <v>106</v>
      </c>
      <c r="BA5" s="28" t="s">
        <v>107</v>
      </c>
      <c r="BB5" s="28" t="s">
        <v>108</v>
      </c>
      <c r="BC5" s="28" t="s">
        <v>109</v>
      </c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</row>
    <row r="6">
      <c r="A6" s="28"/>
      <c r="B6" s="28"/>
      <c r="C6" s="28"/>
      <c r="D6" s="28">
        <v>10.0</v>
      </c>
      <c r="E6" s="28"/>
      <c r="F6" s="28">
        <v>100.0</v>
      </c>
      <c r="G6" s="28">
        <v>2500.0</v>
      </c>
      <c r="H6" s="28" t="s">
        <v>39</v>
      </c>
      <c r="I6" s="28" t="s">
        <v>40</v>
      </c>
      <c r="J6" s="28" t="s">
        <v>19</v>
      </c>
      <c r="K6" s="28" t="s">
        <v>41</v>
      </c>
      <c r="L6" s="28"/>
      <c r="M6" s="28"/>
      <c r="N6" s="28"/>
      <c r="O6" s="28"/>
      <c r="U6" s="28"/>
      <c r="V6" s="28" t="s">
        <v>42</v>
      </c>
      <c r="AA6" s="28" t="s">
        <v>110</v>
      </c>
      <c r="AB6" s="28">
        <v>2500.0</v>
      </c>
      <c r="AD6" s="28">
        <v>1.0</v>
      </c>
      <c r="AF6" s="28" t="s">
        <v>44</v>
      </c>
      <c r="AH6" s="28" t="s">
        <v>45</v>
      </c>
      <c r="AI6" s="28" t="s">
        <v>19</v>
      </c>
      <c r="AJ6" s="28" t="s">
        <v>22</v>
      </c>
      <c r="AK6" s="28" t="s">
        <v>46</v>
      </c>
      <c r="AL6" s="28">
        <v>10000.0</v>
      </c>
      <c r="AM6" s="28">
        <v>7500.0</v>
      </c>
      <c r="AO6" s="28">
        <v>10.0</v>
      </c>
      <c r="AP6" s="28">
        <v>10.0</v>
      </c>
      <c r="AQ6" s="28" t="s">
        <v>47</v>
      </c>
      <c r="AR6" s="28" t="s">
        <v>56</v>
      </c>
      <c r="AS6" s="28" t="s">
        <v>24</v>
      </c>
      <c r="AT6" s="28">
        <v>75000.0</v>
      </c>
      <c r="AU6" s="28">
        <v>75000.0</v>
      </c>
      <c r="AV6" s="28"/>
      <c r="AW6" s="28" t="s">
        <v>46</v>
      </c>
      <c r="AX6" s="28">
        <v>2500.0</v>
      </c>
      <c r="AZ6" s="28" t="s">
        <v>40</v>
      </c>
      <c r="BA6" s="28">
        <v>75.0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29"/>
      <c r="B6" s="30" t="s">
        <v>113</v>
      </c>
      <c r="C6" s="31">
        <f>TODAY()-10</f>
        <v>45844</v>
      </c>
      <c r="D6" s="31">
        <f>TODAY()+4</f>
        <v>45858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115</v>
      </c>
      <c r="B6" s="6" t="s">
        <v>37</v>
      </c>
      <c r="C6" s="6" t="s">
        <v>116</v>
      </c>
      <c r="D6" s="3"/>
      <c r="E6" s="22">
        <v>5000.0</v>
      </c>
      <c r="F6" s="6"/>
      <c r="G6" s="6" t="s">
        <v>45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117</v>
      </c>
      <c r="N6" s="6" t="s">
        <v>118</v>
      </c>
      <c r="O6" s="6" t="s">
        <v>47</v>
      </c>
      <c r="P6" s="3"/>
      <c r="Q6" s="3"/>
      <c r="R6" s="3"/>
      <c r="S6" s="3"/>
      <c r="T6" s="3"/>
      <c r="U6" s="3"/>
      <c r="V6" s="3" t="s">
        <v>119</v>
      </c>
      <c r="W6" s="3"/>
      <c r="X6" s="3"/>
      <c r="Y6" s="3"/>
      <c r="Z6" s="3" t="s">
        <v>120</v>
      </c>
      <c r="AA6" s="3" t="s">
        <v>19</v>
      </c>
      <c r="AB6" s="23">
        <v>1.0</v>
      </c>
      <c r="AC6" s="3"/>
      <c r="AD6" s="3" t="s">
        <v>39</v>
      </c>
      <c r="AE6" s="23">
        <v>5000.0</v>
      </c>
      <c r="AF6" s="3" t="s">
        <v>115</v>
      </c>
      <c r="AG6" s="3"/>
      <c r="AH6" s="3" t="s">
        <v>44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3">
        <v>10000.0</v>
      </c>
      <c r="BK6" s="3"/>
      <c r="BL6" s="3" t="s">
        <v>115</v>
      </c>
      <c r="BM6" s="3" t="s">
        <v>120</v>
      </c>
      <c r="BN6" s="3"/>
      <c r="BO6" s="3" t="s">
        <v>22</v>
      </c>
      <c r="BP6" s="23">
        <v>0.0</v>
      </c>
      <c r="BQ6" s="23">
        <v>0.0</v>
      </c>
      <c r="BR6" s="23"/>
      <c r="BS6" s="3" t="s">
        <v>121</v>
      </c>
      <c r="BT6" s="3" t="s">
        <v>19</v>
      </c>
      <c r="BU6" s="3"/>
      <c r="BV6" s="3"/>
      <c r="BW6" s="3"/>
      <c r="BX6" s="3"/>
      <c r="BY6" s="3" t="s">
        <v>115</v>
      </c>
      <c r="BZ6" s="3" t="s">
        <v>115</v>
      </c>
      <c r="CA6" s="3" t="s">
        <v>115</v>
      </c>
      <c r="CB6" s="3" t="s">
        <v>115</v>
      </c>
      <c r="CC6" s="3" t="s">
        <v>115</v>
      </c>
      <c r="CD6" s="3" t="s">
        <v>115</v>
      </c>
      <c r="CE6" s="3" t="s">
        <v>122</v>
      </c>
      <c r="CF6" s="3" t="s">
        <v>123</v>
      </c>
      <c r="CG6" s="23">
        <v>2.0</v>
      </c>
      <c r="CH6" s="3" t="s">
        <v>17</v>
      </c>
      <c r="CI6" s="3" t="s">
        <v>22</v>
      </c>
      <c r="CJ6" s="3"/>
      <c r="CK6" s="3" t="s">
        <v>41</v>
      </c>
      <c r="CL6" s="23">
        <v>1.0</v>
      </c>
      <c r="CM6" s="3" t="s">
        <v>19</v>
      </c>
      <c r="CN6" s="3" t="s">
        <v>124</v>
      </c>
      <c r="CO6" s="3" t="s">
        <v>39</v>
      </c>
      <c r="CP6" s="3" t="s">
        <v>42</v>
      </c>
      <c r="CQ6" s="3"/>
      <c r="CR6" s="3"/>
      <c r="CS6" s="3" t="s">
        <v>115</v>
      </c>
      <c r="CT6" s="3"/>
      <c r="CU6" s="3"/>
      <c r="CV6" s="3"/>
      <c r="CW6" s="3"/>
      <c r="CX6" s="3" t="s">
        <v>43</v>
      </c>
      <c r="CY6" s="3" t="s">
        <v>115</v>
      </c>
      <c r="CZ6" s="3" t="s">
        <v>115</v>
      </c>
      <c r="DA6" s="3" t="s">
        <v>115</v>
      </c>
      <c r="DB6" s="3" t="s">
        <v>115</v>
      </c>
      <c r="DC6" s="3" t="s">
        <v>115</v>
      </c>
      <c r="DD6" s="3" t="s">
        <v>115</v>
      </c>
      <c r="DE6" s="3" t="s">
        <v>115</v>
      </c>
      <c r="DF6" s="3" t="s">
        <v>115</v>
      </c>
      <c r="DG6" s="3" t="s">
        <v>115</v>
      </c>
      <c r="DH6" s="3" t="s">
        <v>115</v>
      </c>
      <c r="DI6" s="3" t="s">
        <v>115</v>
      </c>
      <c r="DJ6" s="3" t="s">
        <v>115</v>
      </c>
      <c r="DK6" s="3" t="s">
        <v>115</v>
      </c>
      <c r="DL6" s="3" t="s">
        <v>115</v>
      </c>
      <c r="DM6" s="3" t="s">
        <v>115</v>
      </c>
      <c r="DN6" s="3" t="s">
        <v>115</v>
      </c>
      <c r="DO6" s="3" t="s">
        <v>115</v>
      </c>
      <c r="DP6" s="3" t="s">
        <v>115</v>
      </c>
      <c r="DQ6" s="3" t="s">
        <v>115</v>
      </c>
      <c r="DR6" s="3" t="s">
        <v>115</v>
      </c>
      <c r="DS6" s="3" t="s">
        <v>115</v>
      </c>
      <c r="DT6" s="3" t="s">
        <v>115</v>
      </c>
      <c r="DU6" s="3" t="s">
        <v>115</v>
      </c>
      <c r="DV6" s="3" t="s">
        <v>115</v>
      </c>
      <c r="DW6" s="3" t="s">
        <v>115</v>
      </c>
      <c r="DX6" s="3" t="s">
        <v>115</v>
      </c>
      <c r="DY6" s="3" t="s">
        <v>115</v>
      </c>
      <c r="DZ6" s="3" t="s">
        <v>115</v>
      </c>
      <c r="EA6" s="3" t="s">
        <v>115</v>
      </c>
      <c r="EB6" s="3" t="s">
        <v>115</v>
      </c>
      <c r="EC6" s="3" t="s">
        <v>115</v>
      </c>
      <c r="ED6" s="3" t="s">
        <v>115</v>
      </c>
      <c r="EE6" s="3" t="s">
        <v>115</v>
      </c>
      <c r="EF6" s="3" t="s">
        <v>115</v>
      </c>
      <c r="EG6" s="3" t="s">
        <v>115</v>
      </c>
      <c r="EH6" s="3" t="s">
        <v>115</v>
      </c>
      <c r="EI6" s="3" t="s">
        <v>115</v>
      </c>
      <c r="EJ6" s="3" t="s">
        <v>115</v>
      </c>
      <c r="EK6" s="3" t="s">
        <v>115</v>
      </c>
      <c r="EL6" s="3" t="s">
        <v>115</v>
      </c>
      <c r="EM6" s="3" t="s">
        <v>115</v>
      </c>
      <c r="EN6" s="3" t="s">
        <v>115</v>
      </c>
      <c r="EO6" s="3" t="s">
        <v>115</v>
      </c>
      <c r="EP6" s="3" t="s">
        <v>115</v>
      </c>
      <c r="EQ6" s="3" t="s">
        <v>115</v>
      </c>
      <c r="ER6" s="3" t="s">
        <v>115</v>
      </c>
      <c r="ES6" s="3" t="s">
        <v>115</v>
      </c>
      <c r="ET6" s="3" t="s">
        <v>115</v>
      </c>
      <c r="EU6" s="3" t="s">
        <v>115</v>
      </c>
      <c r="EV6" s="3" t="s">
        <v>115</v>
      </c>
      <c r="EW6" s="3" t="s">
        <v>115</v>
      </c>
      <c r="EX6" s="3" t="s">
        <v>115</v>
      </c>
      <c r="EY6" s="3" t="s">
        <v>115</v>
      </c>
      <c r="EZ6" s="3" t="s">
        <v>115</v>
      </c>
      <c r="FA6" s="3" t="s">
        <v>115</v>
      </c>
      <c r="FB6" s="3" t="s">
        <v>115</v>
      </c>
      <c r="FC6" s="3" t="s">
        <v>115</v>
      </c>
      <c r="FD6" s="3" t="s">
        <v>115</v>
      </c>
      <c r="FE6" s="3" t="s">
        <v>115</v>
      </c>
      <c r="FF6" s="3" t="s">
        <v>115</v>
      </c>
      <c r="FG6" s="3" t="s">
        <v>115</v>
      </c>
      <c r="FH6" s="3" t="s">
        <v>115</v>
      </c>
      <c r="FI6" s="3" t="s">
        <v>115</v>
      </c>
      <c r="FJ6" s="3" t="s">
        <v>115</v>
      </c>
      <c r="FK6" s="3" t="s">
        <v>115</v>
      </c>
      <c r="FL6" s="3" t="s">
        <v>115</v>
      </c>
      <c r="FM6" s="3" t="s">
        <v>115</v>
      </c>
      <c r="FN6" s="3" t="s">
        <v>115</v>
      </c>
      <c r="FO6" s="3" t="s">
        <v>115</v>
      </c>
      <c r="FP6" s="3" t="s">
        <v>115</v>
      </c>
      <c r="FQ6" s="3" t="s">
        <v>115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115</v>
      </c>
      <c r="B7" s="6" t="s">
        <v>56</v>
      </c>
      <c r="C7" s="6" t="s">
        <v>116</v>
      </c>
      <c r="D7" s="3"/>
      <c r="E7" s="22">
        <v>2600.0</v>
      </c>
      <c r="F7" s="6"/>
      <c r="G7" s="6" t="s">
        <v>45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117</v>
      </c>
      <c r="N7" s="6" t="s">
        <v>118</v>
      </c>
      <c r="O7" s="6" t="s">
        <v>47</v>
      </c>
      <c r="P7" s="3"/>
      <c r="Q7" s="3"/>
      <c r="R7" s="3"/>
      <c r="S7" s="3"/>
      <c r="T7" s="3"/>
      <c r="U7" s="3"/>
      <c r="V7" s="3" t="s">
        <v>119</v>
      </c>
      <c r="W7" s="3"/>
      <c r="X7" s="3"/>
      <c r="Y7" s="3"/>
      <c r="Z7" s="3" t="s">
        <v>120</v>
      </c>
      <c r="AA7" s="3" t="s">
        <v>19</v>
      </c>
      <c r="AB7" s="23">
        <v>1.0</v>
      </c>
      <c r="AC7" s="3"/>
      <c r="AD7" s="3" t="s">
        <v>39</v>
      </c>
      <c r="AE7" s="23">
        <v>2600.0</v>
      </c>
      <c r="AF7" s="3" t="s">
        <v>115</v>
      </c>
      <c r="AG7" s="3"/>
      <c r="AH7" s="3" t="s">
        <v>44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3">
        <v>10000.0</v>
      </c>
      <c r="BK7" s="3"/>
      <c r="BL7" s="3" t="s">
        <v>115</v>
      </c>
      <c r="BM7" s="3" t="s">
        <v>120</v>
      </c>
      <c r="BN7" s="3"/>
      <c r="BO7" s="3" t="s">
        <v>22</v>
      </c>
      <c r="BP7" s="23">
        <v>0.0</v>
      </c>
      <c r="BQ7" s="23">
        <v>0.0</v>
      </c>
      <c r="BR7" s="23"/>
      <c r="BS7" s="3" t="s">
        <v>121</v>
      </c>
      <c r="BT7" s="3" t="s">
        <v>19</v>
      </c>
      <c r="BU7" s="3"/>
      <c r="BV7" s="3"/>
      <c r="BW7" s="3"/>
      <c r="BX7" s="3"/>
      <c r="BY7" s="3" t="s">
        <v>115</v>
      </c>
      <c r="BZ7" s="3" t="s">
        <v>115</v>
      </c>
      <c r="CA7" s="3" t="s">
        <v>115</v>
      </c>
      <c r="CB7" s="3" t="s">
        <v>115</v>
      </c>
      <c r="CC7" s="3" t="s">
        <v>115</v>
      </c>
      <c r="CD7" s="3" t="s">
        <v>115</v>
      </c>
      <c r="CE7" s="3" t="s">
        <v>125</v>
      </c>
      <c r="CF7" s="3" t="s">
        <v>123</v>
      </c>
      <c r="CG7" s="23">
        <v>2.0</v>
      </c>
      <c r="CH7" s="3" t="s">
        <v>126</v>
      </c>
      <c r="CI7" s="3" t="s">
        <v>22</v>
      </c>
      <c r="CJ7" s="3"/>
      <c r="CK7" s="3" t="s">
        <v>41</v>
      </c>
      <c r="CL7" s="23">
        <v>1.0</v>
      </c>
      <c r="CM7" s="3" t="s">
        <v>19</v>
      </c>
      <c r="CN7" s="3" t="s">
        <v>124</v>
      </c>
      <c r="CO7" s="3" t="s">
        <v>39</v>
      </c>
      <c r="CP7" s="3" t="s">
        <v>42</v>
      </c>
      <c r="CQ7" s="3"/>
      <c r="CR7" s="3"/>
      <c r="CS7" s="3" t="s">
        <v>115</v>
      </c>
      <c r="CT7" s="3"/>
      <c r="CU7" s="3"/>
      <c r="CV7" s="3"/>
      <c r="CW7" s="3"/>
      <c r="CX7" s="3" t="s">
        <v>110</v>
      </c>
      <c r="CY7" s="3" t="s">
        <v>115</v>
      </c>
      <c r="CZ7" s="3" t="s">
        <v>115</v>
      </c>
      <c r="DA7" s="3" t="s">
        <v>115</v>
      </c>
      <c r="DB7" s="3" t="s">
        <v>115</v>
      </c>
      <c r="DC7" s="3" t="s">
        <v>115</v>
      </c>
      <c r="DD7" s="3" t="s">
        <v>115</v>
      </c>
      <c r="DE7" s="3" t="s">
        <v>115</v>
      </c>
      <c r="DF7" s="3" t="s">
        <v>115</v>
      </c>
      <c r="DG7" s="3" t="s">
        <v>115</v>
      </c>
      <c r="DH7" s="3" t="s">
        <v>115</v>
      </c>
      <c r="DI7" s="3" t="s">
        <v>115</v>
      </c>
      <c r="DJ7" s="3" t="s">
        <v>115</v>
      </c>
      <c r="DK7" s="3" t="s">
        <v>115</v>
      </c>
      <c r="DL7" s="3" t="s">
        <v>115</v>
      </c>
      <c r="DM7" s="3" t="s">
        <v>115</v>
      </c>
      <c r="DN7" s="3" t="s">
        <v>115</v>
      </c>
      <c r="DO7" s="3" t="s">
        <v>115</v>
      </c>
      <c r="DP7" s="3" t="s">
        <v>115</v>
      </c>
      <c r="DQ7" s="3" t="s">
        <v>115</v>
      </c>
      <c r="DR7" s="3" t="s">
        <v>115</v>
      </c>
      <c r="DS7" s="3" t="s">
        <v>115</v>
      </c>
      <c r="DT7" s="3" t="s">
        <v>115</v>
      </c>
      <c r="DU7" s="3" t="s">
        <v>115</v>
      </c>
      <c r="DV7" s="3" t="s">
        <v>115</v>
      </c>
      <c r="DW7" s="3" t="s">
        <v>115</v>
      </c>
      <c r="DX7" s="3" t="s">
        <v>115</v>
      </c>
      <c r="DY7" s="3" t="s">
        <v>115</v>
      </c>
      <c r="DZ7" s="3" t="s">
        <v>115</v>
      </c>
      <c r="EA7" s="3" t="s">
        <v>115</v>
      </c>
      <c r="EB7" s="3" t="s">
        <v>115</v>
      </c>
      <c r="EC7" s="3" t="s">
        <v>115</v>
      </c>
      <c r="ED7" s="3" t="s">
        <v>115</v>
      </c>
      <c r="EE7" s="3" t="s">
        <v>115</v>
      </c>
      <c r="EF7" s="3" t="s">
        <v>115</v>
      </c>
      <c r="EG7" s="3" t="s">
        <v>115</v>
      </c>
      <c r="EH7" s="3" t="s">
        <v>115</v>
      </c>
      <c r="EI7" s="3" t="s">
        <v>115</v>
      </c>
      <c r="EJ7" s="3" t="s">
        <v>115</v>
      </c>
      <c r="EK7" s="3" t="s">
        <v>115</v>
      </c>
      <c r="EL7" s="3" t="s">
        <v>115</v>
      </c>
      <c r="EM7" s="3" t="s">
        <v>115</v>
      </c>
      <c r="EN7" s="3" t="s">
        <v>115</v>
      </c>
      <c r="EO7" s="3" t="s">
        <v>115</v>
      </c>
      <c r="EP7" s="3" t="s">
        <v>115</v>
      </c>
      <c r="EQ7" s="3" t="s">
        <v>115</v>
      </c>
      <c r="ER7" s="3" t="s">
        <v>115</v>
      </c>
      <c r="ES7" s="3" t="s">
        <v>115</v>
      </c>
      <c r="ET7" s="3" t="s">
        <v>115</v>
      </c>
      <c r="EU7" s="3" t="s">
        <v>115</v>
      </c>
      <c r="EV7" s="3" t="s">
        <v>115</v>
      </c>
      <c r="EW7" s="3" t="s">
        <v>115</v>
      </c>
      <c r="EX7" s="3" t="s">
        <v>115</v>
      </c>
      <c r="EY7" s="3" t="s">
        <v>115</v>
      </c>
      <c r="EZ7" s="3" t="s">
        <v>115</v>
      </c>
      <c r="FA7" s="3" t="s">
        <v>115</v>
      </c>
      <c r="FB7" s="3" t="s">
        <v>115</v>
      </c>
      <c r="FC7" s="3" t="s">
        <v>115</v>
      </c>
      <c r="FD7" s="3" t="s">
        <v>115</v>
      </c>
      <c r="FE7" s="3" t="s">
        <v>115</v>
      </c>
      <c r="FF7" s="3" t="s">
        <v>115</v>
      </c>
      <c r="FG7" s="3" t="s">
        <v>115</v>
      </c>
      <c r="FH7" s="3" t="s">
        <v>115</v>
      </c>
      <c r="FI7" s="3" t="s">
        <v>115</v>
      </c>
      <c r="FJ7" s="3" t="s">
        <v>115</v>
      </c>
      <c r="FK7" s="3" t="s">
        <v>115</v>
      </c>
      <c r="FL7" s="3" t="s">
        <v>115</v>
      </c>
      <c r="FM7" s="3" t="s">
        <v>115</v>
      </c>
      <c r="FN7" s="3" t="s">
        <v>115</v>
      </c>
      <c r="FO7" s="3" t="s">
        <v>115</v>
      </c>
      <c r="FP7" s="3" t="s">
        <v>115</v>
      </c>
      <c r="FQ7" s="3" t="s">
        <v>115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115</v>
      </c>
      <c r="B6" s="6" t="s">
        <v>37</v>
      </c>
      <c r="C6" s="6" t="s">
        <v>116</v>
      </c>
      <c r="D6" s="3"/>
      <c r="E6" s="22">
        <v>5000.0</v>
      </c>
      <c r="F6" s="6"/>
      <c r="G6" s="6" t="s">
        <v>45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6" t="s">
        <v>117</v>
      </c>
      <c r="N6" s="6" t="s">
        <v>118</v>
      </c>
      <c r="O6" s="6" t="s">
        <v>47</v>
      </c>
      <c r="P6" s="3"/>
      <c r="Q6" s="3"/>
      <c r="R6" s="3"/>
      <c r="S6" s="3"/>
      <c r="T6" s="3"/>
      <c r="U6" s="3"/>
      <c r="V6" s="3" t="s">
        <v>119</v>
      </c>
      <c r="W6" s="3"/>
      <c r="X6" s="3"/>
      <c r="Y6" s="3"/>
      <c r="Z6" s="3" t="s">
        <v>120</v>
      </c>
      <c r="AA6" s="3" t="s">
        <v>19</v>
      </c>
      <c r="AB6" s="23">
        <v>1.0</v>
      </c>
      <c r="AC6" s="3"/>
      <c r="AD6" s="3" t="s">
        <v>39</v>
      </c>
      <c r="AE6" s="23">
        <v>5000.0</v>
      </c>
      <c r="AF6" s="3" t="s">
        <v>115</v>
      </c>
      <c r="AG6" s="3"/>
      <c r="AH6" s="3" t="s">
        <v>44</v>
      </c>
      <c r="AI6" s="23">
        <v>1.0</v>
      </c>
      <c r="AJ6" s="3"/>
      <c r="AK6" s="3"/>
      <c r="AL6" s="3"/>
      <c r="AM6" s="3"/>
      <c r="AN6" s="3"/>
      <c r="AO6" s="3"/>
      <c r="AP6" s="3"/>
      <c r="AQ6" s="3"/>
      <c r="AR6" s="3"/>
      <c r="AS6" s="23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3">
        <v>10000.0</v>
      </c>
      <c r="BK6" s="3"/>
      <c r="BL6" s="3" t="s">
        <v>115</v>
      </c>
      <c r="BM6" s="3" t="s">
        <v>120</v>
      </c>
      <c r="BN6" s="3"/>
      <c r="BO6" s="3" t="s">
        <v>22</v>
      </c>
      <c r="BP6" s="23">
        <v>0.0</v>
      </c>
      <c r="BQ6" s="23">
        <v>0.0</v>
      </c>
      <c r="BR6" s="23"/>
      <c r="BS6" s="3" t="s">
        <v>121</v>
      </c>
      <c r="BT6" s="3" t="s">
        <v>19</v>
      </c>
      <c r="BU6" s="3"/>
      <c r="BV6" s="3"/>
      <c r="BW6" s="3"/>
      <c r="BX6" s="3"/>
      <c r="BY6" s="3" t="s">
        <v>115</v>
      </c>
      <c r="BZ6" s="3" t="s">
        <v>115</v>
      </c>
      <c r="CA6" s="3" t="s">
        <v>115</v>
      </c>
      <c r="CB6" s="3" t="s">
        <v>115</v>
      </c>
      <c r="CC6" s="3" t="s">
        <v>115</v>
      </c>
      <c r="CD6" s="3" t="s">
        <v>115</v>
      </c>
      <c r="CE6" s="3" t="s">
        <v>122</v>
      </c>
      <c r="CF6" s="3" t="s">
        <v>123</v>
      </c>
      <c r="CG6" s="23">
        <v>2.0</v>
      </c>
      <c r="CH6" s="3" t="s">
        <v>17</v>
      </c>
      <c r="CI6" s="3" t="s">
        <v>22</v>
      </c>
      <c r="CJ6" s="3"/>
      <c r="CK6" s="3" t="s">
        <v>41</v>
      </c>
      <c r="CL6" s="23">
        <v>1.0</v>
      </c>
      <c r="CM6" s="3" t="s">
        <v>19</v>
      </c>
      <c r="CN6" s="3" t="s">
        <v>124</v>
      </c>
      <c r="CO6" s="3" t="s">
        <v>39</v>
      </c>
      <c r="CP6" s="3" t="s">
        <v>42</v>
      </c>
      <c r="CQ6" s="3"/>
      <c r="CR6" s="3"/>
      <c r="CS6" s="3" t="s">
        <v>115</v>
      </c>
      <c r="CT6" s="3"/>
      <c r="CU6" s="3"/>
      <c r="CV6" s="3"/>
      <c r="CW6" s="3"/>
      <c r="CX6" s="3" t="s">
        <v>43</v>
      </c>
      <c r="CY6" s="3" t="s">
        <v>115</v>
      </c>
      <c r="CZ6" s="3" t="s">
        <v>115</v>
      </c>
      <c r="DA6" s="3" t="s">
        <v>115</v>
      </c>
      <c r="DB6" s="3" t="s">
        <v>115</v>
      </c>
      <c r="DC6" s="3" t="s">
        <v>115</v>
      </c>
      <c r="DD6" s="3" t="s">
        <v>115</v>
      </c>
      <c r="DE6" s="3" t="s">
        <v>115</v>
      </c>
      <c r="DF6" s="3" t="s">
        <v>115</v>
      </c>
      <c r="DG6" s="3" t="s">
        <v>115</v>
      </c>
      <c r="DH6" s="3" t="s">
        <v>115</v>
      </c>
      <c r="DI6" s="3" t="s">
        <v>115</v>
      </c>
      <c r="DJ6" s="3" t="s">
        <v>115</v>
      </c>
      <c r="DK6" s="3" t="s">
        <v>115</v>
      </c>
      <c r="DL6" s="3" t="s">
        <v>115</v>
      </c>
      <c r="DM6" s="3" t="s">
        <v>115</v>
      </c>
      <c r="DN6" s="3" t="s">
        <v>115</v>
      </c>
      <c r="DO6" s="3" t="s">
        <v>115</v>
      </c>
      <c r="DP6" s="3" t="s">
        <v>115</v>
      </c>
      <c r="DQ6" s="3" t="s">
        <v>115</v>
      </c>
      <c r="DR6" s="3" t="s">
        <v>115</v>
      </c>
      <c r="DS6" s="3" t="s">
        <v>115</v>
      </c>
      <c r="DT6" s="3" t="s">
        <v>115</v>
      </c>
      <c r="DU6" s="3" t="s">
        <v>115</v>
      </c>
      <c r="DV6" s="3" t="s">
        <v>115</v>
      </c>
      <c r="DW6" s="3" t="s">
        <v>115</v>
      </c>
      <c r="DX6" s="3" t="s">
        <v>115</v>
      </c>
      <c r="DY6" s="3" t="s">
        <v>115</v>
      </c>
      <c r="DZ6" s="3" t="s">
        <v>115</v>
      </c>
      <c r="EA6" s="3" t="s">
        <v>115</v>
      </c>
      <c r="EB6" s="3" t="s">
        <v>115</v>
      </c>
      <c r="EC6" s="3" t="s">
        <v>115</v>
      </c>
      <c r="ED6" s="3" t="s">
        <v>115</v>
      </c>
      <c r="EE6" s="3" t="s">
        <v>115</v>
      </c>
      <c r="EF6" s="3" t="s">
        <v>115</v>
      </c>
      <c r="EG6" s="3" t="s">
        <v>115</v>
      </c>
      <c r="EH6" s="3" t="s">
        <v>115</v>
      </c>
      <c r="EI6" s="3" t="s">
        <v>115</v>
      </c>
      <c r="EJ6" s="3" t="s">
        <v>115</v>
      </c>
      <c r="EK6" s="3" t="s">
        <v>115</v>
      </c>
      <c r="EL6" s="3" t="s">
        <v>115</v>
      </c>
      <c r="EM6" s="3" t="s">
        <v>115</v>
      </c>
      <c r="EN6" s="3" t="s">
        <v>115</v>
      </c>
      <c r="EO6" s="3" t="s">
        <v>115</v>
      </c>
      <c r="EP6" s="3" t="s">
        <v>115</v>
      </c>
      <c r="EQ6" s="3" t="s">
        <v>115</v>
      </c>
      <c r="ER6" s="3" t="s">
        <v>115</v>
      </c>
      <c r="ES6" s="3" t="s">
        <v>115</v>
      </c>
      <c r="ET6" s="3" t="s">
        <v>115</v>
      </c>
      <c r="EU6" s="3" t="s">
        <v>115</v>
      </c>
      <c r="EV6" s="3" t="s">
        <v>115</v>
      </c>
      <c r="EW6" s="3" t="s">
        <v>115</v>
      </c>
      <c r="EX6" s="3" t="s">
        <v>115</v>
      </c>
      <c r="EY6" s="3" t="s">
        <v>115</v>
      </c>
      <c r="EZ6" s="3" t="s">
        <v>115</v>
      </c>
      <c r="FA6" s="3" t="s">
        <v>115</v>
      </c>
      <c r="FB6" s="3" t="s">
        <v>115</v>
      </c>
      <c r="FC6" s="3" t="s">
        <v>115</v>
      </c>
      <c r="FD6" s="3" t="s">
        <v>115</v>
      </c>
      <c r="FE6" s="3" t="s">
        <v>115</v>
      </c>
      <c r="FF6" s="3" t="s">
        <v>115</v>
      </c>
      <c r="FG6" s="3" t="s">
        <v>115</v>
      </c>
      <c r="FH6" s="3" t="s">
        <v>115</v>
      </c>
      <c r="FI6" s="3" t="s">
        <v>115</v>
      </c>
      <c r="FJ6" s="3" t="s">
        <v>115</v>
      </c>
      <c r="FK6" s="3" t="s">
        <v>115</v>
      </c>
      <c r="FL6" s="3" t="s">
        <v>115</v>
      </c>
      <c r="FM6" s="3" t="s">
        <v>115</v>
      </c>
      <c r="FN6" s="3" t="s">
        <v>115</v>
      </c>
      <c r="FO6" s="3" t="s">
        <v>115</v>
      </c>
      <c r="FP6" s="3" t="s">
        <v>115</v>
      </c>
      <c r="FQ6" s="3" t="s">
        <v>115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115</v>
      </c>
      <c r="B7" s="6" t="s">
        <v>56</v>
      </c>
      <c r="C7" s="6" t="s">
        <v>116</v>
      </c>
      <c r="D7" s="3"/>
      <c r="E7" s="22">
        <v>2600.0</v>
      </c>
      <c r="F7" s="6"/>
      <c r="G7" s="6" t="s">
        <v>45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6" t="s">
        <v>117</v>
      </c>
      <c r="N7" s="6" t="s">
        <v>118</v>
      </c>
      <c r="O7" s="6" t="s">
        <v>47</v>
      </c>
      <c r="P7" s="3"/>
      <c r="Q7" s="3"/>
      <c r="R7" s="3"/>
      <c r="S7" s="3"/>
      <c r="T7" s="3"/>
      <c r="U7" s="3"/>
      <c r="V7" s="3" t="s">
        <v>119</v>
      </c>
      <c r="W7" s="3"/>
      <c r="X7" s="3"/>
      <c r="Y7" s="3"/>
      <c r="Z7" s="3" t="s">
        <v>120</v>
      </c>
      <c r="AA7" s="3" t="s">
        <v>19</v>
      </c>
      <c r="AB7" s="23">
        <v>1.0</v>
      </c>
      <c r="AC7" s="3"/>
      <c r="AD7" s="3" t="s">
        <v>39</v>
      </c>
      <c r="AE7" s="23">
        <v>2600.0</v>
      </c>
      <c r="AF7" s="3" t="s">
        <v>115</v>
      </c>
      <c r="AG7" s="3"/>
      <c r="AH7" s="3" t="s">
        <v>44</v>
      </c>
      <c r="AI7" s="23">
        <v>1.0</v>
      </c>
      <c r="AJ7" s="3"/>
      <c r="AK7" s="3"/>
      <c r="AL7" s="3"/>
      <c r="AM7" s="3"/>
      <c r="AN7" s="3"/>
      <c r="AO7" s="3"/>
      <c r="AP7" s="3"/>
      <c r="AQ7" s="3"/>
      <c r="AR7" s="3"/>
      <c r="AS7" s="23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3">
        <v>10000.0</v>
      </c>
      <c r="BK7" s="3"/>
      <c r="BL7" s="3" t="s">
        <v>115</v>
      </c>
      <c r="BM7" s="3" t="s">
        <v>120</v>
      </c>
      <c r="BN7" s="3"/>
      <c r="BO7" s="3" t="s">
        <v>22</v>
      </c>
      <c r="BP7" s="23">
        <v>0.0</v>
      </c>
      <c r="BQ7" s="23">
        <v>0.0</v>
      </c>
      <c r="BR7" s="23"/>
      <c r="BS7" s="3" t="s">
        <v>121</v>
      </c>
      <c r="BT7" s="3" t="s">
        <v>19</v>
      </c>
      <c r="BU7" s="3"/>
      <c r="BV7" s="3"/>
      <c r="BW7" s="3"/>
      <c r="BX7" s="3"/>
      <c r="BY7" s="3" t="s">
        <v>115</v>
      </c>
      <c r="BZ7" s="3" t="s">
        <v>115</v>
      </c>
      <c r="CA7" s="3" t="s">
        <v>115</v>
      </c>
      <c r="CB7" s="3" t="s">
        <v>115</v>
      </c>
      <c r="CC7" s="3" t="s">
        <v>115</v>
      </c>
      <c r="CD7" s="3" t="s">
        <v>115</v>
      </c>
      <c r="CE7" s="3" t="s">
        <v>125</v>
      </c>
      <c r="CF7" s="3" t="s">
        <v>123</v>
      </c>
      <c r="CG7" s="23">
        <v>2.0</v>
      </c>
      <c r="CH7" s="3" t="s">
        <v>126</v>
      </c>
      <c r="CI7" s="3" t="s">
        <v>22</v>
      </c>
      <c r="CJ7" s="3"/>
      <c r="CK7" s="3" t="s">
        <v>41</v>
      </c>
      <c r="CL7" s="23">
        <v>1.0</v>
      </c>
      <c r="CM7" s="3" t="s">
        <v>19</v>
      </c>
      <c r="CN7" s="3" t="s">
        <v>124</v>
      </c>
      <c r="CO7" s="3" t="s">
        <v>39</v>
      </c>
      <c r="CP7" s="3" t="s">
        <v>42</v>
      </c>
      <c r="CQ7" s="3"/>
      <c r="CR7" s="3"/>
      <c r="CS7" s="3" t="s">
        <v>115</v>
      </c>
      <c r="CT7" s="3"/>
      <c r="CU7" s="3"/>
      <c r="CV7" s="3"/>
      <c r="CW7" s="3"/>
      <c r="CX7" s="3" t="s">
        <v>110</v>
      </c>
      <c r="CY7" s="3" t="s">
        <v>115</v>
      </c>
      <c r="CZ7" s="3" t="s">
        <v>115</v>
      </c>
      <c r="DA7" s="3" t="s">
        <v>115</v>
      </c>
      <c r="DB7" s="3" t="s">
        <v>115</v>
      </c>
      <c r="DC7" s="3" t="s">
        <v>115</v>
      </c>
      <c r="DD7" s="3" t="s">
        <v>115</v>
      </c>
      <c r="DE7" s="3" t="s">
        <v>115</v>
      </c>
      <c r="DF7" s="3" t="s">
        <v>115</v>
      </c>
      <c r="DG7" s="3" t="s">
        <v>115</v>
      </c>
      <c r="DH7" s="3" t="s">
        <v>115</v>
      </c>
      <c r="DI7" s="3" t="s">
        <v>115</v>
      </c>
      <c r="DJ7" s="3" t="s">
        <v>115</v>
      </c>
      <c r="DK7" s="3" t="s">
        <v>115</v>
      </c>
      <c r="DL7" s="3" t="s">
        <v>115</v>
      </c>
      <c r="DM7" s="3" t="s">
        <v>115</v>
      </c>
      <c r="DN7" s="3" t="s">
        <v>115</v>
      </c>
      <c r="DO7" s="3" t="s">
        <v>115</v>
      </c>
      <c r="DP7" s="3" t="s">
        <v>115</v>
      </c>
      <c r="DQ7" s="3" t="s">
        <v>115</v>
      </c>
      <c r="DR7" s="3" t="s">
        <v>115</v>
      </c>
      <c r="DS7" s="3" t="s">
        <v>115</v>
      </c>
      <c r="DT7" s="3" t="s">
        <v>115</v>
      </c>
      <c r="DU7" s="3" t="s">
        <v>115</v>
      </c>
      <c r="DV7" s="3" t="s">
        <v>115</v>
      </c>
      <c r="DW7" s="3" t="s">
        <v>115</v>
      </c>
      <c r="DX7" s="3" t="s">
        <v>115</v>
      </c>
      <c r="DY7" s="3" t="s">
        <v>115</v>
      </c>
      <c r="DZ7" s="3" t="s">
        <v>115</v>
      </c>
      <c r="EA7" s="3" t="s">
        <v>115</v>
      </c>
      <c r="EB7" s="3" t="s">
        <v>115</v>
      </c>
      <c r="EC7" s="3" t="s">
        <v>115</v>
      </c>
      <c r="ED7" s="3" t="s">
        <v>115</v>
      </c>
      <c r="EE7" s="3" t="s">
        <v>115</v>
      </c>
      <c r="EF7" s="3" t="s">
        <v>115</v>
      </c>
      <c r="EG7" s="3" t="s">
        <v>115</v>
      </c>
      <c r="EH7" s="3" t="s">
        <v>115</v>
      </c>
      <c r="EI7" s="3" t="s">
        <v>115</v>
      </c>
      <c r="EJ7" s="3" t="s">
        <v>115</v>
      </c>
      <c r="EK7" s="3" t="s">
        <v>115</v>
      </c>
      <c r="EL7" s="3" t="s">
        <v>115</v>
      </c>
      <c r="EM7" s="3" t="s">
        <v>115</v>
      </c>
      <c r="EN7" s="3" t="s">
        <v>115</v>
      </c>
      <c r="EO7" s="3" t="s">
        <v>115</v>
      </c>
      <c r="EP7" s="3" t="s">
        <v>115</v>
      </c>
      <c r="EQ7" s="3" t="s">
        <v>115</v>
      </c>
      <c r="ER7" s="3" t="s">
        <v>115</v>
      </c>
      <c r="ES7" s="3" t="s">
        <v>115</v>
      </c>
      <c r="ET7" s="3" t="s">
        <v>115</v>
      </c>
      <c r="EU7" s="3" t="s">
        <v>115</v>
      </c>
      <c r="EV7" s="3" t="s">
        <v>115</v>
      </c>
      <c r="EW7" s="3" t="s">
        <v>115</v>
      </c>
      <c r="EX7" s="3" t="s">
        <v>115</v>
      </c>
      <c r="EY7" s="3" t="s">
        <v>115</v>
      </c>
      <c r="EZ7" s="3" t="s">
        <v>115</v>
      </c>
      <c r="FA7" s="3" t="s">
        <v>115</v>
      </c>
      <c r="FB7" s="3" t="s">
        <v>115</v>
      </c>
      <c r="FC7" s="3" t="s">
        <v>115</v>
      </c>
      <c r="FD7" s="3" t="s">
        <v>115</v>
      </c>
      <c r="FE7" s="3" t="s">
        <v>115</v>
      </c>
      <c r="FF7" s="3" t="s">
        <v>115</v>
      </c>
      <c r="FG7" s="3" t="s">
        <v>115</v>
      </c>
      <c r="FH7" s="3" t="s">
        <v>115</v>
      </c>
      <c r="FI7" s="3" t="s">
        <v>115</v>
      </c>
      <c r="FJ7" s="3" t="s">
        <v>115</v>
      </c>
      <c r="FK7" s="3" t="s">
        <v>115</v>
      </c>
      <c r="FL7" s="3" t="s">
        <v>115</v>
      </c>
      <c r="FM7" s="3" t="s">
        <v>115</v>
      </c>
      <c r="FN7" s="3" t="s">
        <v>115</v>
      </c>
      <c r="FO7" s="3" t="s">
        <v>115</v>
      </c>
      <c r="FP7" s="3" t="s">
        <v>115</v>
      </c>
      <c r="FQ7" s="3" t="s">
        <v>115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48</v>
      </c>
      <c r="D3" s="4" t="s">
        <v>9</v>
      </c>
      <c r="E3" s="9" t="s">
        <v>49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