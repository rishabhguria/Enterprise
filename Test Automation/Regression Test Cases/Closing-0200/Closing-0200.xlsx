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nlConfig" sheetId="4" r:id="rId6"/>
    <sheet state="visible" name="CreateDoneAwayOrder" sheetId="5" r:id="rId7"/>
    <sheet state="visible" name="GetDataClosing" sheetId="6" r:id="rId8"/>
    <sheet state="visible" name="VerifyLongPositionsGrid" sheetId="7" r:id="rId9"/>
    <sheet state="visible" name="VerifyShortPositionsGrid" sheetId="8" r:id="rId10"/>
    <sheet state="visible" name="ManualClosing" sheetId="9" r:id="rId11"/>
    <sheet state="visible" name="VerifyClosedTrades" sheetId="10" r:id="rId12"/>
    <sheet state="visible" name="CheckPortfolioManagement" sheetId="11" r:id="rId13"/>
  </sheets>
  <definedNames/>
  <calcPr/>
</workbook>
</file>

<file path=xl/sharedStrings.xml><?xml version="1.0" encoding="utf-8"?>
<sst xmlns="http://schemas.openxmlformats.org/spreadsheetml/2006/main" count="160" uniqueCount="50">
  <si>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</si>
  <si>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</si>
  <si>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</si>
  <si>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</si>
  <si>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</si>
  <si>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</si>
  <si>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</si>
  <si>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</si>
  <si>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</si>
  <si>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</si>
  <si>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</si>
  <si>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</si>
  <si>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Expnl</t>
  </si>
  <si>
    <t>UpdateExpnlConfig</t>
  </si>
  <si>
    <t>Data Format</t>
  </si>
  <si>
    <t>Input Format</t>
  </si>
  <si>
    <t>FetchDataByDate</t>
  </si>
  <si>
    <t>TradingTicket</t>
  </si>
  <si>
    <t>CreateDoneAwayOrder</t>
  </si>
  <si>
    <t>AAPL</t>
  </si>
  <si>
    <t>Buy</t>
  </si>
  <si>
    <t>Allocation1</t>
  </si>
  <si>
    <t>Sell</t>
  </si>
  <si>
    <t>Closing</t>
  </si>
  <si>
    <t>GetDataClosing</t>
  </si>
  <si>
    <t>Current</t>
  </si>
  <si>
    <t>VerifyLongPositionsGrid</t>
  </si>
  <si>
    <t>Equity</t>
  </si>
  <si>
    <t>Long</t>
  </si>
  <si>
    <t>USD</t>
  </si>
  <si>
    <t>Strategy Unallocated</t>
  </si>
  <si>
    <t>US</t>
  </si>
  <si>
    <t>VerifyShortPositionsGrid</t>
  </si>
  <si>
    <t>Short</t>
  </si>
  <si>
    <t>ManualClosing</t>
  </si>
  <si>
    <t>VerifyClosedTrades</t>
  </si>
  <si>
    <t>NASDAQ</t>
  </si>
  <si>
    <t>Manual</t>
  </si>
  <si>
    <t>PortfolioManagement</t>
  </si>
  <si>
    <t>CheckPortfolioManagement</t>
  </si>
  <si>
    <t>NewMF</t>
  </si>
  <si>
    <t>APPLE</t>
  </si>
  <si>
    <t>Undefined</t>
  </si>
  <si>
    <t>FIMAT</t>
  </si>
  <si>
    <t>BrokerNotes</t>
  </si>
  <si>
    <t>DefaultNotes</t>
  </si>
  <si>
    <t>New Hedge</t>
  </si>
  <si>
    <t>Small Cap</t>
  </si>
  <si>
    <t>jpearce</t>
  </si>
  <si>
    <t>MS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</si>
</sst>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6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color rgb="FF000000"/>
      <name val="Arial"/>
    </font>
    <font>
      <sz val="11.0"/>
      <color rgb="FF000000"/>
      <name val="Calibri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6" fontId="14" numFmtId="0" xfId="0" applyAlignment="1" applyFill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horizontal="right" readingOrder="0" vertical="bottom"/>
    </xf>
    <xf borderId="0" fillId="0" fontId="15" numFmtId="0" xfId="0" applyAlignment="1" applyFont="1">
      <alignment horizontal="right" vertical="bottom"/>
    </xf>
    <xf borderId="0" fillId="0" fontId="15" numFmtId="0" xfId="0" applyAlignment="1" applyFont="1">
      <alignment vertical="bottom"/>
    </xf>
    <xf borderId="0" fillId="0" fontId="3" numFmtId="14" xfId="0" applyAlignment="1" applyFont="1" applyNumberFormat="1">
      <alignment horizontal="right"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horizontal="center" vertical="bottom"/>
    </xf>
    <xf borderId="0" fillId="0" fontId="5" numFmtId="0" xfId="0" applyAlignment="1" applyFont="1">
      <alignment horizontal="center" vertical="bottom"/>
    </xf>
    <xf borderId="0" fillId="0" fontId="3" numFmtId="14" xfId="0" applyAlignment="1" applyFont="1" applyNumberFormat="1">
      <alignment vertical="bottom"/>
    </xf>
    <xf borderId="0" fillId="0" fontId="3" numFmtId="0" xfId="0" applyAlignment="1" applyFont="1">
      <alignment horizontal="right" readingOrder="0" vertical="bottom"/>
    </xf>
    <xf borderId="0" fillId="0" fontId="15" numFmtId="3" xfId="0" applyAlignment="1" applyFont="1" applyNumberForma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IFERROR(__xludf.DUMMYFUNCTION("""COMPUTED_VALUE"""),"1eq2tbYNZTU6VAfgYF2-ao4AM8-9yiVmbLsTlsY4KXro")</f>
        <v>1eq2tbYNZTU6VAfgYF2-ao4AM8-9yiVmbLsTlsY4KXro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IFERROR(__xludf.DUMMYFUNCTION("IF(C3="""","""",Transpose(IMPORTRANGE('_Settings'!$B$3,C3&amp;""!A4:A1000"")))"),"RestartExpnl")</f>
        <v>RestartExpnl</v>
      </c>
      <c r="C4" s="25" t="str">
        <f>IFERROR(__xludf.DUMMYFUNCTION("""COMPUTED_VALUE"""),"RestartExpnl")</f>
        <v>RestartExpnl</v>
      </c>
      <c r="D4" s="25" t="str">
        <f>IFERROR(__xludf.DUMMYFUNCTION("""COMPUTED_VALUE"""),"RestartExpnl")</f>
        <v>RestartExpnl</v>
      </c>
      <c r="E4" s="25" t="str">
        <f>IFERROR(__xludf.DUMMYFUNCTION("""COMPUTED_VALUE"""),"UpdateExpnlConfig")</f>
        <v>UpdateExpnlConfig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6"/>
      <c r="Q4" s="26"/>
      <c r="R4" s="26"/>
      <c r="S4" s="26"/>
      <c r="T4" s="26"/>
      <c r="U4" s="26"/>
      <c r="V4" s="26"/>
      <c r="W4" s="26"/>
      <c r="X4" s="26"/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IFERROR(__xludf.DUMMYFUNCTION("""COMPUTED_VALUE"""),"AppSetting_Key")</f>
        <v>AppSetting_Key</v>
      </c>
      <c r="C5" s="28" t="str">
        <f>IFERROR(__xludf.DUMMYFUNCTION("""COMPUTED_VALUE"""),"AppSetting_Value")</f>
        <v>AppSetting_Value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16</v>
      </c>
      <c r="C6" s="32">
        <v>0.0</v>
      </c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UpdateExpnlConfig!$4:$4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17</v>
      </c>
      <c r="D3" s="5" t="s">
        <v>9</v>
      </c>
      <c r="E3" s="23" t="s">
        <v>18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19</v>
      </c>
      <c r="C6" s="33" t="s">
        <v>20</v>
      </c>
      <c r="D6" s="34">
        <v>500.0</v>
      </c>
      <c r="E6" s="33"/>
      <c r="F6" s="33" t="s">
        <v>21</v>
      </c>
      <c r="G6" s="33"/>
      <c r="H6" s="33"/>
      <c r="I6" s="33"/>
      <c r="J6" s="35">
        <v>10.0</v>
      </c>
      <c r="K6" s="33"/>
      <c r="L6" s="33"/>
      <c r="M6" s="33"/>
      <c r="N6" s="36">
        <f t="shared" ref="N6:N7" si="1">today()</f>
        <v>45030</v>
      </c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33"/>
      <c r="B7" s="33" t="s">
        <v>19</v>
      </c>
      <c r="C7" s="33" t="s">
        <v>22</v>
      </c>
      <c r="D7" s="37">
        <v>250.0</v>
      </c>
      <c r="E7" s="33"/>
      <c r="F7" s="33" t="s">
        <v>21</v>
      </c>
      <c r="G7" s="33"/>
      <c r="H7" s="33"/>
      <c r="I7" s="33"/>
      <c r="J7" s="35">
        <v>20.0</v>
      </c>
      <c r="K7" s="33"/>
      <c r="L7" s="33"/>
      <c r="M7" s="33"/>
      <c r="N7" s="36">
        <f t="shared" si="1"/>
        <v>45030</v>
      </c>
      <c r="O7" s="33"/>
      <c r="P7" s="33"/>
      <c r="Q7" s="33"/>
      <c r="R7" s="33"/>
      <c r="S7" s="33"/>
      <c r="T7" s="33"/>
      <c r="U7" s="33"/>
      <c r="V7" s="33"/>
      <c r="W7" s="33"/>
      <c r="X7" s="33"/>
      <c r="Y7" s="33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/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3"/>
      <c r="D6" s="31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3"/>
      <c r="U6" s="33"/>
      <c r="V6" s="33"/>
      <c r="W6" s="33"/>
      <c r="X6" s="33"/>
      <c r="Y6" s="33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27</v>
      </c>
      <c r="D6" s="31"/>
      <c r="E6" s="33"/>
      <c r="F6" s="33"/>
      <c r="G6" s="33"/>
      <c r="H6" s="38">
        <v>5014.0028</v>
      </c>
      <c r="I6" s="38">
        <v>10.0</v>
      </c>
      <c r="J6" s="36">
        <f>today()</f>
        <v>45030</v>
      </c>
      <c r="K6" s="33" t="s">
        <v>28</v>
      </c>
      <c r="L6" s="33"/>
      <c r="M6" s="35">
        <v>500.0</v>
      </c>
      <c r="N6" s="33"/>
      <c r="O6" s="33" t="s">
        <v>29</v>
      </c>
      <c r="P6" s="33" t="s">
        <v>20</v>
      </c>
      <c r="Q6" s="39" t="s">
        <v>30</v>
      </c>
      <c r="R6" s="33" t="s">
        <v>19</v>
      </c>
      <c r="S6" s="33"/>
      <c r="T6" s="38">
        <v>14.0028</v>
      </c>
      <c r="U6" s="40">
        <f>today()</f>
        <v>45030</v>
      </c>
      <c r="V6" s="33" t="s">
        <v>20</v>
      </c>
      <c r="W6" s="33" t="s">
        <v>31</v>
      </c>
      <c r="X6" s="38">
        <v>10.0280056</v>
      </c>
      <c r="Y6" s="38">
        <v>10.0280056</v>
      </c>
      <c r="Z6" s="41">
        <v>10.0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IFERROR(__xludf.DUMMYFUNCTION("""COMPUTED_VALUE"""),"Asset Class")</f>
        <v>Asset Class</v>
      </c>
      <c r="D5" s="28" t="str">
        <f>IFERROR(__xludf.DUMMYFUNCTION("""COMPUTED_VALUE"""),"AUECID")</f>
        <v>AUECID</v>
      </c>
      <c r="E5" s="28" t="str">
        <f>IFERROR(__xludf.DUMMYFUNCTION("""COMPUTED_VALUE"""),"ExternalTransId")</f>
        <v>ExternalTransId</v>
      </c>
      <c r="F5" s="29" t="str">
        <f>IFERROR(__xludf.DUMMYFUNCTION("""COMPUTED_VALUE"""),"IsSwapped")</f>
        <v>IsSwapped</v>
      </c>
      <c r="G5" s="28" t="str">
        <f>IFERROR(__xludf.DUMMYFUNCTION("""COMPUTED_VALUE"""),"LotId")</f>
        <v>LotId</v>
      </c>
      <c r="H5" s="28" t="str">
        <f>IFERROR(__xludf.DUMMYFUNCTION("""COMPUTED_VALUE"""),"Net Notional")</f>
        <v>Net Notional</v>
      </c>
      <c r="I5" s="28" t="str">
        <f>IFERROR(__xludf.DUMMYFUNCTION("""COMPUTED_VALUE"""),"Opening Price")</f>
        <v>Opening Price</v>
      </c>
      <c r="J5" s="28" t="str">
        <f>IFERROR(__xludf.DUMMYFUNCTION("""COMPUTED_VALUE"""),"Original Purchase Date")</f>
        <v>Original Purchase Date</v>
      </c>
      <c r="K5" s="28" t="str">
        <f>IFERROR(__xludf.DUMMYFUNCTION("""COMPUTED_VALUE"""),"PositionTag")</f>
        <v>PositionTag</v>
      </c>
      <c r="L5" s="28" t="str">
        <f>IFERROR(__xludf.DUMMYFUNCTION("""COMPUTED_VALUE"""),"Process Date")</f>
        <v>Process Date</v>
      </c>
      <c r="M5" s="28" t="str">
        <f>IFERROR(__xludf.DUMMYFUNCTION("""COMPUTED_VALUE"""),"Quantity")</f>
        <v>Quantity</v>
      </c>
      <c r="N5" s="28" t="str">
        <f>IFERROR(__xludf.DUMMYFUNCTION("""COMPUTED_VALUE"""),"Security Name")</f>
        <v>Security Name</v>
      </c>
      <c r="O5" s="28" t="str">
        <f>IFERROR(__xludf.DUMMYFUNCTION("""COMPUTED_VALUE"""),"Settlement Currency")</f>
        <v>Settlement Currency</v>
      </c>
      <c r="P5" s="28" t="str">
        <f>IFERROR(__xludf.DUMMYFUNCTION("""COMPUTED_VALUE"""),"Side")</f>
        <v>Side</v>
      </c>
      <c r="Q5" s="28" t="str">
        <f>IFERROR(__xludf.DUMMYFUNCTION("""COMPUTED_VALUE"""),"Strategy")</f>
        <v>Strategy</v>
      </c>
      <c r="R5" s="28" t="str">
        <f>IFERROR(__xludf.DUMMYFUNCTION("""COMPUTED_VALUE"""),"Symbol")</f>
        <v>Symbol</v>
      </c>
      <c r="S5" s="28" t="str">
        <f>IFERROR(__xludf.DUMMYFUNCTION("""COMPUTED_VALUE"""),"Taxlot ID")</f>
        <v>Taxlot ID</v>
      </c>
      <c r="T5" s="30" t="str">
        <f>IFERROR(__xludf.DUMMYFUNCTION("""COMPUTED_VALUE"""),"Total Fees and Commission")</f>
        <v>Total Fees and Commission</v>
      </c>
      <c r="U5" s="30" t="str">
        <f>IFERROR(__xludf.DUMMYFUNCTION("""COMPUTED_VALUE"""),"Trade Date")</f>
        <v>Trade Date</v>
      </c>
      <c r="V5" s="30" t="str">
        <f>IFERROR(__xludf.DUMMYFUNCTION("""COMPUTED_VALUE"""),"Transaction Type")</f>
        <v>Transaction Type</v>
      </c>
      <c r="W5" s="30" t="str">
        <f>IFERROR(__xludf.DUMMYFUNCTION("""COMPUTED_VALUE"""),"UnderlyingName")</f>
        <v>UnderlyingName</v>
      </c>
      <c r="X5" s="30" t="str">
        <f>IFERROR(__xludf.DUMMYFUNCTION("""COMPUTED_VALUE"""),"UnitCost")</f>
        <v>UnitCost</v>
      </c>
      <c r="Y5" s="30" t="str">
        <f>IFERROR(__xludf.DUMMYFUNCTION("""COMPUTED_VALUE"""),"Unit Cost(Base)")</f>
        <v>Unit Cost(Base)</v>
      </c>
      <c r="Z5" s="30" t="str">
        <f>IFERROR(__xludf.DUMMYFUNCTION("""COMPUTED_VALUE"""),"AvgPriceBase")</f>
        <v>AvgPriceBase</v>
      </c>
      <c r="AA5" s="30" t="str">
        <f>IFERROR(__xludf.DUMMYFUNCTION("""COMPUTED_VALUE"""),"isRowCountCheck")</f>
        <v>isRowCountCheck</v>
      </c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21</v>
      </c>
      <c r="C6" s="33" t="s">
        <v>27</v>
      </c>
      <c r="D6" s="31"/>
      <c r="E6" s="33"/>
      <c r="F6" s="33"/>
      <c r="G6" s="33"/>
      <c r="H6" s="38"/>
      <c r="I6" s="35">
        <v>20.0</v>
      </c>
      <c r="J6" s="36">
        <f>today()</f>
        <v>45030</v>
      </c>
      <c r="K6" s="33" t="s">
        <v>33</v>
      </c>
      <c r="L6" s="33"/>
      <c r="M6" s="37">
        <v>250.0</v>
      </c>
      <c r="N6" s="33"/>
      <c r="O6" s="33" t="s">
        <v>29</v>
      </c>
      <c r="P6" s="33" t="s">
        <v>22</v>
      </c>
      <c r="Q6" s="39" t="s">
        <v>30</v>
      </c>
      <c r="R6" s="33" t="s">
        <v>19</v>
      </c>
      <c r="S6" s="33"/>
      <c r="T6" s="38"/>
      <c r="U6" s="40">
        <f>today()</f>
        <v>45030</v>
      </c>
      <c r="V6" s="33" t="s">
        <v>22</v>
      </c>
      <c r="W6" s="33" t="s">
        <v>31</v>
      </c>
      <c r="X6" s="38"/>
      <c r="Y6" s="38"/>
      <c r="Z6" s="41">
        <v>20.0</v>
      </c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VerifyShortPositionsGrid!$4:$4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IFERROR(__xludf.DUMMYFUNCTION("""COMPUTED_VALUE"""),"CloseSSw/BuyBTO")</f>
        <v>CloseSSw/BuyBTO</v>
      </c>
      <c r="C5" s="28" t="str">
        <f>IFERROR(__xludf.DUMMYFUNCTION("""COMPUTED_VALUE"""),"AutoCloseStrategy")</f>
        <v>AutoCloseStrategy</v>
      </c>
      <c r="D5" s="28" t="str">
        <f>IFERROR(__xludf.DUMMYFUNCTION("""COMPUTED_VALUE"""),"LongAccount")</f>
        <v>LongAccount</v>
      </c>
      <c r="E5" s="28" t="str">
        <f>IFERROR(__xludf.DUMMYFUNCTION("""COMPUTED_VALUE"""),"LongAsset Class")</f>
        <v>LongAsset Class</v>
      </c>
      <c r="F5" s="29" t="str">
        <f>IFERROR(__xludf.DUMMYFUNCTION("""COMPUTED_VALUE"""),"LongAUECID")</f>
        <v>LongAUECID</v>
      </c>
      <c r="G5" s="28" t="str">
        <f>IFERROR(__xludf.DUMMYFUNCTION("""COMPUTED_VALUE"""),"LongExternalTransId")</f>
        <v>LongExternalTransId</v>
      </c>
      <c r="H5" s="28" t="str">
        <f>IFERROR(__xludf.DUMMYFUNCTION("""COMPUTED_VALUE"""),"LongIsSwapped")</f>
        <v>LongIsSwapped</v>
      </c>
      <c r="I5" s="28" t="str">
        <f>IFERROR(__xludf.DUMMYFUNCTION("""COMPUTED_VALUE"""),"LongLotId")</f>
        <v>LongLotId</v>
      </c>
      <c r="J5" s="28" t="str">
        <f>IFERROR(__xludf.DUMMYFUNCTION("""COMPUTED_VALUE"""),"LongNet Notional")</f>
        <v>LongNet Notional</v>
      </c>
      <c r="K5" s="28" t="str">
        <f>IFERROR(__xludf.DUMMYFUNCTION("""COMPUTED_VALUE"""),"LongOpening Price")</f>
        <v>LongOpening Price</v>
      </c>
      <c r="L5" s="28" t="str">
        <f>IFERROR(__xludf.DUMMYFUNCTION("""COMPUTED_VALUE"""),"LongOriginal Purchase Date")</f>
        <v>LongOriginal Purchase Date</v>
      </c>
      <c r="M5" s="28" t="str">
        <f>IFERROR(__xludf.DUMMYFUNCTION("""COMPUTED_VALUE"""),"LongPositionTag")</f>
        <v>LongPositionTag</v>
      </c>
      <c r="N5" s="28" t="str">
        <f>IFERROR(__xludf.DUMMYFUNCTION("""COMPUTED_VALUE"""),"LongProcess Date")</f>
        <v>LongProcess Date</v>
      </c>
      <c r="O5" s="28" t="str">
        <f>IFERROR(__xludf.DUMMYFUNCTION("""COMPUTED_VALUE"""),"LongQuantity")</f>
        <v>LongQuantity</v>
      </c>
      <c r="P5" s="28" t="str">
        <f>IFERROR(__xludf.DUMMYFUNCTION("""COMPUTED_VALUE"""),"LongSecurity Name")</f>
        <v>LongSecurity Name</v>
      </c>
      <c r="Q5" s="28" t="str">
        <f>IFERROR(__xludf.DUMMYFUNCTION("""COMPUTED_VALUE"""),"LongSettlement Currency")</f>
        <v>LongSettlement Currency</v>
      </c>
      <c r="R5" s="28" t="str">
        <f>IFERROR(__xludf.DUMMYFUNCTION("""COMPUTED_VALUE"""),"LongSettlement FxRate")</f>
        <v>LongSettlement FxRate</v>
      </c>
      <c r="S5" s="28" t="str">
        <f>IFERROR(__xludf.DUMMYFUNCTION("""COMPUTED_VALUE"""),"LongSettlement FxRate Operator")</f>
        <v>LongSettlement FxRate Operator</v>
      </c>
      <c r="T5" s="30" t="str">
        <f>IFERROR(__xludf.DUMMYFUNCTION("""COMPUTED_VALUE"""),"LongSettlement Price")</f>
        <v>LongSettlement Price</v>
      </c>
      <c r="U5" s="30" t="str">
        <f>IFERROR(__xludf.DUMMYFUNCTION("""COMPUTED_VALUE"""),"LongSettlement Unit Cost")</f>
        <v>LongSettlement Unit Cost</v>
      </c>
      <c r="V5" s="30" t="str">
        <f>IFERROR(__xludf.DUMMYFUNCTION("""COMPUTED_VALUE"""),"LongSide")</f>
        <v>LongSide</v>
      </c>
      <c r="W5" s="30" t="str">
        <f>IFERROR(__xludf.DUMMYFUNCTION("""COMPUTED_VALUE"""),"LongStrategy")</f>
        <v>LongStrategy</v>
      </c>
      <c r="X5" s="30" t="str">
        <f>IFERROR(__xludf.DUMMYFUNCTION("""COMPUTED_VALUE"""),"LongSymbol")</f>
        <v>LongSymbol</v>
      </c>
      <c r="Y5" s="30" t="str">
        <f>IFERROR(__xludf.DUMMYFUNCTION("""COMPUTED_VALUE"""),"LongTaxlot Id")</f>
        <v>LongTaxlot Id</v>
      </c>
      <c r="Z5" s="30" t="str">
        <f>IFERROR(__xludf.DUMMYFUNCTION("""COMPUTED_VALUE"""),"LongTotal Fee And Commission")</f>
        <v>LongTotal Fee And Commission</v>
      </c>
      <c r="AA5" s="30" t="str">
        <f>IFERROR(__xludf.DUMMYFUNCTION("""COMPUTED_VALUE"""),"LongTrade Date")</f>
        <v>LongTrade Date</v>
      </c>
      <c r="AB5" s="30" t="str">
        <f>IFERROR(__xludf.DUMMYFUNCTION("""COMPUTED_VALUE"""),"LongTransaction Type")</f>
        <v>LongTransaction Type</v>
      </c>
      <c r="AC5" s="30" t="str">
        <f>IFERROR(__xludf.DUMMYFUNCTION("""COMPUTED_VALUE"""),"LongUnderlyingName")</f>
        <v>LongUnderlyingName</v>
      </c>
      <c r="AD5" s="30" t="str">
        <f>IFERROR(__xludf.DUMMYFUNCTION("""COMPUTED_VALUE"""),"LongUnitCost")</f>
        <v>LongUnitCost</v>
      </c>
      <c r="AE5" s="30" t="str">
        <f>IFERROR(__xludf.DUMMYFUNCTION("""COMPUTED_VALUE"""),"ShortAccount")</f>
        <v>ShortAccount</v>
      </c>
      <c r="AF5" s="30" t="str">
        <f>IFERROR(__xludf.DUMMYFUNCTION("""COMPUTED_VALUE"""),"ShortAsset Class")</f>
        <v>ShortAsset Class</v>
      </c>
      <c r="AG5" s="30" t="str">
        <f>IFERROR(__xludf.DUMMYFUNCTION("""COMPUTED_VALUE"""),"ShortAUECID")</f>
        <v>ShortAUECID</v>
      </c>
      <c r="AH5" s="30" t="str">
        <f>IFERROR(__xludf.DUMMYFUNCTION("""COMPUTED_VALUE"""),"ShortExternalTransId")</f>
        <v>ShortExternalTransId</v>
      </c>
      <c r="AI5" s="30" t="str">
        <f>IFERROR(__xludf.DUMMYFUNCTION("""COMPUTED_VALUE"""),"ShortIsSwapped")</f>
        <v>ShortIsSwapped</v>
      </c>
      <c r="AJ5" s="30" t="str">
        <f>IFERROR(__xludf.DUMMYFUNCTION("""COMPUTED_VALUE"""),"ShortLotId")</f>
        <v>ShortLotId</v>
      </c>
      <c r="AK5" s="30" t="str">
        <f>IFERROR(__xludf.DUMMYFUNCTION("""COMPUTED_VALUE"""),"ShortNet Notional")</f>
        <v>ShortNet Notional</v>
      </c>
      <c r="AL5" s="30" t="str">
        <f>IFERROR(__xludf.DUMMYFUNCTION("""COMPUTED_VALUE"""),"ShortOpening Price")</f>
        <v>ShortOpening Price</v>
      </c>
      <c r="AM5" s="30" t="str">
        <f>IFERROR(__xludf.DUMMYFUNCTION("""COMPUTED_VALUE"""),"ShortOriginal Purchase Date")</f>
        <v>ShortOriginal Purchase Date</v>
      </c>
      <c r="AN5" s="30" t="str">
        <f>IFERROR(__xludf.DUMMYFUNCTION("""COMPUTED_VALUE"""),"ShortPositionTag")</f>
        <v>ShortPositionTag</v>
      </c>
      <c r="AO5" s="30" t="str">
        <f>IFERROR(__xludf.DUMMYFUNCTION("""COMPUTED_VALUE"""),"ShortProcess Date")</f>
        <v>ShortProcess Date</v>
      </c>
      <c r="AP5" s="30" t="str">
        <f>IFERROR(__xludf.DUMMYFUNCTION("""COMPUTED_VALUE"""),"ShortQuantity")</f>
        <v>ShortQuantity</v>
      </c>
      <c r="AQ5" s="30" t="str">
        <f>IFERROR(__xludf.DUMMYFUNCTION("""COMPUTED_VALUE"""),"ShortSecurity Name")</f>
        <v>ShortSecurity Name</v>
      </c>
      <c r="AR5" s="30" t="str">
        <f>IFERROR(__xludf.DUMMYFUNCTION("""COMPUTED_VALUE"""),"ShortSettlement Currency")</f>
        <v>ShortSettlement Currency</v>
      </c>
      <c r="AS5" s="30" t="str">
        <f>IFERROR(__xludf.DUMMYFUNCTION("""COMPUTED_VALUE"""),"ShortSettlement FxRate")</f>
        <v>ShortSettlement FxRate</v>
      </c>
      <c r="AT5" s="30" t="str">
        <f>IFERROR(__xludf.DUMMYFUNCTION("""COMPUTED_VALUE"""),"ShortSettlement FxRate Operator")</f>
        <v>ShortSettlement FxRate Operator</v>
      </c>
      <c r="AU5" s="30" t="str">
        <f>IFERROR(__xludf.DUMMYFUNCTION("""COMPUTED_VALUE"""),"ShortSettlement Price")</f>
        <v>ShortSettlement Price</v>
      </c>
      <c r="AV5" s="30" t="str">
        <f>IFERROR(__xludf.DUMMYFUNCTION("""COMPUTED_VALUE"""),"ShortSettlement Unit Cost")</f>
        <v>ShortSettlement Unit Cost</v>
      </c>
      <c r="AW5" s="30" t="str">
        <f>IFERROR(__xludf.DUMMYFUNCTION("""COMPUTED_VALUE"""),"ShortSide")</f>
        <v>ShortSide</v>
      </c>
      <c r="AX5" s="30" t="str">
        <f>IFERROR(__xludf.DUMMYFUNCTION("""COMPUTED_VALUE"""),"ShortStrategy")</f>
        <v>ShortStrategy</v>
      </c>
      <c r="AY5" s="30" t="str">
        <f>IFERROR(__xludf.DUMMYFUNCTION("""COMPUTED_VALUE"""),"ShortSymbol")</f>
        <v>ShortSymbol</v>
      </c>
      <c r="AZ5" s="30" t="str">
        <f>IFERROR(__xludf.DUMMYFUNCTION("""COMPUTED_VALUE"""),"ShortTaxlot Id")</f>
        <v>ShortTaxlot Id</v>
      </c>
      <c r="BA5" s="30" t="str">
        <f>IFERROR(__xludf.DUMMYFUNCTION("""COMPUTED_VALUE"""),"ShortTotal Fee And Commission")</f>
        <v>ShortTotal Fee And Commission</v>
      </c>
      <c r="BB5" s="30" t="str">
        <f>IFERROR(__xludf.DUMMYFUNCTION("""COMPUTED_VALUE"""),"ShortTrade Date")</f>
        <v>ShortTrade Date</v>
      </c>
      <c r="BC5" s="30" t="str">
        <f>IFERROR(__xludf.DUMMYFUNCTION("""COMPUTED_VALUE"""),"ShortTransaction Type")</f>
        <v>ShortTransaction Type</v>
      </c>
      <c r="BD5" s="30" t="str">
        <f>IFERROR(__xludf.DUMMYFUNCTION("""COMPUTED_VALUE"""),"ShortUnderlyingName")</f>
        <v>ShortUnderlyingName</v>
      </c>
      <c r="BE5" s="30" t="str">
        <f>IFERROR(__xludf.DUMMYFUNCTION("""COMPUTED_VALUE"""),"ShortUnitCost")</f>
        <v>ShortUnitCost</v>
      </c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b">
        <v>0</v>
      </c>
      <c r="C6" s="43" t="b">
        <v>1</v>
      </c>
      <c r="D6" s="31" t="s">
        <v>21</v>
      </c>
      <c r="E6" s="33" t="s">
        <v>27</v>
      </c>
      <c r="F6" s="33"/>
      <c r="G6" s="33"/>
      <c r="H6" s="33"/>
      <c r="I6" s="44"/>
      <c r="J6" s="33"/>
      <c r="K6" s="35">
        <v>10.0</v>
      </c>
      <c r="L6" s="33"/>
      <c r="M6" s="33"/>
      <c r="N6" s="33"/>
      <c r="O6" s="35">
        <v>500.0</v>
      </c>
      <c r="P6" s="33"/>
      <c r="Q6" s="33"/>
      <c r="R6" s="33"/>
      <c r="S6" s="33"/>
      <c r="T6" s="33"/>
      <c r="U6" s="33"/>
      <c r="V6" s="33" t="s">
        <v>20</v>
      </c>
      <c r="W6" s="33"/>
      <c r="X6" s="33" t="s">
        <v>19</v>
      </c>
      <c r="Y6" s="33"/>
      <c r="Z6" s="33"/>
      <c r="AA6" s="33"/>
      <c r="AB6" s="33"/>
      <c r="AC6" s="33"/>
      <c r="AD6" s="33"/>
      <c r="AE6" s="33" t="s">
        <v>21</v>
      </c>
      <c r="AF6" s="33" t="s">
        <v>27</v>
      </c>
      <c r="AG6" s="33"/>
      <c r="AH6" s="33"/>
      <c r="AI6" s="33"/>
      <c r="AJ6" s="33"/>
      <c r="AK6" s="33"/>
      <c r="AL6" s="41">
        <v>20.0</v>
      </c>
      <c r="AM6" s="33"/>
      <c r="AN6" s="33"/>
      <c r="AO6" s="33"/>
      <c r="AP6" s="45">
        <v>250.0</v>
      </c>
      <c r="AQ6" s="33"/>
      <c r="AR6" s="33"/>
      <c r="AS6" s="33"/>
      <c r="AT6" s="33"/>
      <c r="AU6" s="33"/>
      <c r="AV6" s="33"/>
      <c r="AW6" s="33" t="s">
        <v>22</v>
      </c>
      <c r="AX6" s="33"/>
      <c r="AY6" s="33" t="s">
        <v>19</v>
      </c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ManualClosing!$4:$4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35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IFERROR(__xludf.DUMMYFUNCTION("""COMPUTED_VALUE"""),"Taxlot ID")</f>
        <v>Taxlot ID</v>
      </c>
      <c r="C5" s="28" t="str">
        <f>IFERROR(__xludf.DUMMYFUNCTION("""COMPUTED_VALUE"""),"Closing Date")</f>
        <v>Closing Date</v>
      </c>
      <c r="D5" s="28" t="str">
        <f>IFERROR(__xludf.DUMMYFUNCTION("""COMPUTED_VALUE"""),"Account")</f>
        <v>Account</v>
      </c>
      <c r="E5" s="28" t="str">
        <f>IFERROR(__xludf.DUMMYFUNCTION("""COMPUTED_VALUE"""),"Strategy")</f>
        <v>Strategy</v>
      </c>
      <c r="F5" s="29" t="str">
        <f>IFERROR(__xludf.DUMMYFUNCTION("""COMPUTED_VALUE"""),"Position Type")</f>
        <v>Position Type</v>
      </c>
      <c r="G5" s="28" t="str">
        <f>IFERROR(__xludf.DUMMYFUNCTION("""COMPUTED_VALUE"""),"Asset Class")</f>
        <v>Asset Class</v>
      </c>
      <c r="H5" s="28" t="str">
        <f>IFERROR(__xludf.DUMMYFUNCTION("""COMPUTED_VALUE"""),"Symbol")</f>
        <v>Symbol</v>
      </c>
      <c r="I5" s="28" t="str">
        <f>IFERROR(__xludf.DUMMYFUNCTION("""COMPUTED_VALUE"""),"Qty Closed")</f>
        <v>Qty Closed</v>
      </c>
      <c r="J5" s="28" t="str">
        <f>IFERROR(__xludf.DUMMYFUNCTION("""COMPUTED_VALUE"""),"Opening Price")</f>
        <v>Opening Price</v>
      </c>
      <c r="K5" s="28" t="str">
        <f>IFERROR(__xludf.DUMMYFUNCTION("""COMPUTED_VALUE"""),"Closing Price")</f>
        <v>Closing Price</v>
      </c>
      <c r="L5" s="28" t="str">
        <f>IFERROR(__xludf.DUMMYFUNCTION("""COMPUTED_VALUE"""),"ClosingTotalCommissionandFees")</f>
        <v>ClosingTotalCommissionandFees</v>
      </c>
      <c r="M5" s="28" t="str">
        <f>IFERROR(__xludf.DUMMYFUNCTION("""COMPUTED_VALUE"""),"Realized PNL(C.B.)")</f>
        <v>Realized PNL(C.B.)</v>
      </c>
      <c r="N5" s="28" t="str">
        <f>IFERROR(__xludf.DUMMYFUNCTION("""COMPUTED_VALUE"""),"Exchange")</f>
        <v>Exchange</v>
      </c>
      <c r="O5" s="28" t="str">
        <f>IFERROR(__xludf.DUMMYFUNCTION("""COMPUTED_VALUE"""),"Opening Side")</f>
        <v>Opening Side</v>
      </c>
      <c r="P5" s="28" t="str">
        <f>IFERROR(__xludf.DUMMYFUNCTION("""COMPUTED_VALUE"""),"Opening Fees &amp; Commission")</f>
        <v>Opening Fees &amp; Commission</v>
      </c>
      <c r="Q5" s="28" t="str">
        <f>IFERROR(__xludf.DUMMYFUNCTION("""COMPUTED_VALUE"""),"Closing Side")</f>
        <v>Closing Side</v>
      </c>
      <c r="R5" s="28" t="str">
        <f>IFERROR(__xludf.DUMMYFUNCTION("""COMPUTED_VALUE"""),"Closing Method")</f>
        <v>Closing Method</v>
      </c>
      <c r="S5" s="28" t="str">
        <f>IFERROR(__xludf.DUMMYFUNCTION("""COMPUTED_VALUE"""),"ClosingID")</f>
        <v>ClosingID</v>
      </c>
      <c r="T5" s="30" t="str">
        <f>IFERROR(__xludf.DUMMYFUNCTION("""COMPUTED_VALUE"""),"Original Purchase Date")</f>
        <v>Original Purchase Date</v>
      </c>
      <c r="U5" s="30" t="str">
        <f>IFERROR(__xludf.DUMMYFUNCTION("""COMPUTED_VALUE"""),"Description")</f>
        <v>Description</v>
      </c>
      <c r="V5" s="30" t="str">
        <f>IFERROR(__xludf.DUMMYFUNCTION("""COMPUTED_VALUE"""),"AccountID")</f>
        <v>AccountID</v>
      </c>
      <c r="W5" s="30" t="str">
        <f>IFERROR(__xludf.DUMMYFUNCTION("""COMPUTED_VALUE"""),"IsExpired_Settled")</f>
        <v>IsExpired_Settled</v>
      </c>
      <c r="X5" s="30" t="str">
        <f>IFERROR(__xludf.DUMMYFUNCTION("""COMPUTED_VALUE"""),"Underlying")</f>
        <v>Underlying</v>
      </c>
      <c r="Y5" s="30" t="str">
        <f>IFERROR(__xludf.DUMMYFUNCTION("""COMPUTED_VALUE"""),"CurrencyID")</f>
        <v>CurrencyID</v>
      </c>
      <c r="Z5" s="30" t="str">
        <f>IFERROR(__xludf.DUMMYFUNCTION("""COMPUTED_VALUE"""),"Currency")</f>
        <v>Currency</v>
      </c>
      <c r="AA5" s="30" t="str">
        <f>IFERROR(__xludf.DUMMYFUNCTION("""COMPUTED_VALUE"""),"AUECID")</f>
        <v>AUECID</v>
      </c>
      <c r="AB5" s="30" t="str">
        <f>IFERROR(__xludf.DUMMYFUNCTION("""COMPUTED_VALUE"""),"NotionalValue")</f>
        <v>NotionalValue</v>
      </c>
      <c r="AC5" s="30" t="str">
        <f>IFERROR(__xludf.DUMMYFUNCTION("""COMPUTED_VALUE"""),"Multiplier")</f>
        <v>Multiplier</v>
      </c>
      <c r="AD5" s="30" t="str">
        <f>IFERROR(__xludf.DUMMYFUNCTION("""COMPUTED_VALUE"""),"TimeOfSaveUTC")</f>
        <v>TimeOfSaveUTC</v>
      </c>
      <c r="AE5" s="30" t="str">
        <f>IFERROR(__xludf.DUMMYFUNCTION("""COMPUTED_VALUE"""),"Closing Position Type")</f>
        <v>Closing Position Type</v>
      </c>
      <c r="AF5" s="30" t="str">
        <f>IFERROR(__xludf.DUMMYFUNCTION("""COMPUTED_VALUE"""),"Closing Mode")</f>
        <v>Closing Mode</v>
      </c>
      <c r="AG5" s="30" t="str">
        <f>IFERROR(__xludf.DUMMYFUNCTION("""COMPUTED_VALUE"""),"StrategyID")</f>
        <v>StrategyID</v>
      </c>
      <c r="AH5" s="30" t="str">
        <f>IFERROR(__xludf.DUMMYFUNCTION("""COMPUTED_VALUE"""),"isRowCountCheck")</f>
        <v>isRowCountCheck</v>
      </c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6">
        <f>today()</f>
        <v>45030</v>
      </c>
      <c r="D6" s="31" t="s">
        <v>21</v>
      </c>
      <c r="E6" s="39" t="s">
        <v>30</v>
      </c>
      <c r="F6" s="33" t="s">
        <v>28</v>
      </c>
      <c r="G6" s="33" t="s">
        <v>27</v>
      </c>
      <c r="H6" s="33" t="s">
        <v>19</v>
      </c>
      <c r="I6" s="37">
        <v>250.0</v>
      </c>
      <c r="J6" s="35">
        <v>10.0</v>
      </c>
      <c r="K6" s="35">
        <v>20.0</v>
      </c>
      <c r="L6" s="33"/>
      <c r="M6" s="33"/>
      <c r="N6" s="33" t="s">
        <v>36</v>
      </c>
      <c r="O6" s="33" t="s">
        <v>28</v>
      </c>
      <c r="P6" s="38"/>
      <c r="Q6" s="33" t="s">
        <v>22</v>
      </c>
      <c r="R6" s="33" t="s">
        <v>37</v>
      </c>
      <c r="S6" s="33"/>
      <c r="T6" s="40">
        <f>today()</f>
        <v>45030</v>
      </c>
      <c r="U6" s="33"/>
      <c r="V6" s="33"/>
      <c r="W6" s="33"/>
      <c r="X6" s="33"/>
      <c r="Y6" s="33"/>
      <c r="Z6" s="33" t="s">
        <v>29</v>
      </c>
      <c r="AA6" s="33"/>
      <c r="AB6" s="33"/>
      <c r="AC6" s="33"/>
      <c r="AD6" s="33"/>
      <c r="AE6" s="33" t="s">
        <v>33</v>
      </c>
      <c r="AF6" s="33"/>
      <c r="AG6" s="33"/>
      <c r="AH6" s="33"/>
      <c r="AI6" s="33"/>
      <c r="AJ6" s="33"/>
      <c r="AK6" s="33"/>
      <c r="AL6" s="33"/>
      <c r="AM6" s="33"/>
      <c r="AN6" s="33"/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VerifyClosedTrades!$4:$4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">
      <formula1>"Yes,No"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31"/>
      <c r="B6" s="31"/>
      <c r="C6" s="33" t="s">
        <v>19</v>
      </c>
      <c r="D6" s="34">
        <v>500.0</v>
      </c>
      <c r="E6" s="33" t="s">
        <v>21</v>
      </c>
      <c r="F6" s="39" t="s">
        <v>40</v>
      </c>
      <c r="G6" s="35">
        <v>10.0</v>
      </c>
      <c r="H6" s="39" t="s">
        <v>28</v>
      </c>
      <c r="I6" s="44"/>
      <c r="J6" s="33"/>
      <c r="K6" s="33"/>
      <c r="L6" s="33"/>
      <c r="M6" s="33"/>
      <c r="N6" s="33"/>
      <c r="O6" s="39" t="s">
        <v>41</v>
      </c>
      <c r="P6" s="39" t="s">
        <v>42</v>
      </c>
      <c r="Q6" s="33"/>
      <c r="R6" s="39" t="s">
        <v>43</v>
      </c>
      <c r="S6" s="39" t="s">
        <v>30</v>
      </c>
      <c r="T6" s="39" t="s">
        <v>27</v>
      </c>
      <c r="U6" s="39" t="s">
        <v>31</v>
      </c>
      <c r="V6" s="39" t="s">
        <v>36</v>
      </c>
      <c r="W6" s="39" t="s">
        <v>29</v>
      </c>
      <c r="X6" s="33"/>
      <c r="Y6" s="41">
        <v>1.0</v>
      </c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20</v>
      </c>
      <c r="AO6" s="33"/>
      <c r="AP6" s="39" t="s">
        <v>28</v>
      </c>
      <c r="AQ6" s="39" t="s">
        <v>19</v>
      </c>
      <c r="AR6" s="33"/>
      <c r="AS6" s="38">
        <v>1.0</v>
      </c>
      <c r="AT6" s="39" t="s">
        <v>44</v>
      </c>
      <c r="AU6" s="39" t="s">
        <v>45</v>
      </c>
      <c r="AV6" s="38">
        <v>1.0</v>
      </c>
      <c r="AW6" s="46">
        <v>-5000.0</v>
      </c>
      <c r="AX6" s="38">
        <v>0.0</v>
      </c>
      <c r="AY6" s="38">
        <v>0.0</v>
      </c>
      <c r="AZ6" s="38">
        <v>0.0</v>
      </c>
      <c r="BA6" s="38"/>
      <c r="BB6" s="33"/>
      <c r="BC6" s="33"/>
      <c r="BD6" s="46"/>
      <c r="BE6" s="39" t="s">
        <v>27</v>
      </c>
      <c r="BF6" s="39" t="s">
        <v>46</v>
      </c>
      <c r="BG6" s="39" t="s">
        <v>47</v>
      </c>
      <c r="BH6" s="39" t="s">
        <v>42</v>
      </c>
      <c r="BI6" s="38"/>
      <c r="BJ6" s="38">
        <v>0.0</v>
      </c>
      <c r="BK6" s="38">
        <v>0.0</v>
      </c>
      <c r="BL6" s="38">
        <v>0.0</v>
      </c>
      <c r="BM6" s="38">
        <v>0.0</v>
      </c>
      <c r="BN6" s="33"/>
      <c r="BO6" s="46"/>
      <c r="BP6" s="38">
        <v>0.0</v>
      </c>
      <c r="BQ6" s="39" t="s">
        <v>48</v>
      </c>
      <c r="BR6" s="39" t="s">
        <v>49</v>
      </c>
      <c r="BS6" s="38">
        <v>0.0</v>
      </c>
      <c r="BT6" s="38">
        <v>0.0</v>
      </c>
      <c r="BU6" s="39" t="s">
        <v>27</v>
      </c>
      <c r="BV6" s="33"/>
      <c r="BW6" s="38">
        <v>0.0</v>
      </c>
      <c r="BX6" s="38">
        <v>0.0</v>
      </c>
      <c r="BY6" s="33"/>
      <c r="BZ6" s="38">
        <v>0.0</v>
      </c>
      <c r="CA6" s="38">
        <v>0.0</v>
      </c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/>
      <c r="FN6" s="33"/>
      <c r="FO6" s="33"/>
      <c r="FP6" s="33"/>
      <c r="FQ6" s="33"/>
      <c r="FR6" s="33"/>
      <c r="FS6" s="33"/>
      <c r="FT6" s="33"/>
    </row>
    <row r="7" ht="15.75" customHeight="1">
      <c r="A7" s="33"/>
      <c r="B7" s="33"/>
      <c r="C7" s="33" t="s">
        <v>19</v>
      </c>
      <c r="D7" s="37">
        <v>-250.0</v>
      </c>
      <c r="E7" s="33" t="s">
        <v>21</v>
      </c>
      <c r="F7" s="39" t="s">
        <v>40</v>
      </c>
      <c r="G7" s="35">
        <v>20.0</v>
      </c>
      <c r="H7" s="39" t="s">
        <v>28</v>
      </c>
      <c r="I7" s="44"/>
      <c r="J7" s="33"/>
      <c r="K7" s="33"/>
      <c r="L7" s="33"/>
      <c r="M7" s="33"/>
      <c r="N7" s="33"/>
      <c r="O7" s="39" t="s">
        <v>41</v>
      </c>
      <c r="P7" s="39" t="s">
        <v>42</v>
      </c>
      <c r="Q7" s="33"/>
      <c r="R7" s="39" t="s">
        <v>43</v>
      </c>
      <c r="S7" s="39" t="s">
        <v>30</v>
      </c>
      <c r="T7" s="39" t="s">
        <v>27</v>
      </c>
      <c r="U7" s="39" t="s">
        <v>31</v>
      </c>
      <c r="V7" s="39" t="s">
        <v>36</v>
      </c>
      <c r="W7" s="39" t="s">
        <v>29</v>
      </c>
      <c r="X7" s="33"/>
      <c r="Y7" s="41">
        <v>1.0</v>
      </c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3" t="s">
        <v>22</v>
      </c>
      <c r="AO7" s="33"/>
      <c r="AP7" s="39" t="s">
        <v>28</v>
      </c>
      <c r="AQ7" s="39" t="s">
        <v>19</v>
      </c>
      <c r="AR7" s="33"/>
      <c r="AS7" s="38">
        <v>-1.0</v>
      </c>
      <c r="AT7" s="39" t="s">
        <v>44</v>
      </c>
      <c r="AU7" s="39" t="s">
        <v>45</v>
      </c>
      <c r="AV7" s="38">
        <v>1.0</v>
      </c>
      <c r="AW7" s="46"/>
      <c r="AX7" s="38">
        <v>0.0</v>
      </c>
      <c r="AY7" s="38">
        <v>0.0</v>
      </c>
      <c r="AZ7" s="38">
        <v>0.0</v>
      </c>
      <c r="BA7" s="38"/>
      <c r="BB7" s="33"/>
      <c r="BC7" s="33"/>
      <c r="BD7" s="46"/>
      <c r="BE7" s="39" t="s">
        <v>27</v>
      </c>
      <c r="BF7" s="39" t="s">
        <v>46</v>
      </c>
      <c r="BG7" s="39" t="s">
        <v>47</v>
      </c>
      <c r="BH7" s="39" t="s">
        <v>42</v>
      </c>
      <c r="BI7" s="38"/>
      <c r="BJ7" s="38">
        <v>0.0</v>
      </c>
      <c r="BK7" s="38">
        <v>0.0</v>
      </c>
      <c r="BL7" s="38">
        <v>0.0</v>
      </c>
      <c r="BM7" s="38">
        <v>0.0</v>
      </c>
      <c r="BN7" s="33"/>
      <c r="BO7" s="46"/>
      <c r="BP7" s="38">
        <v>0.0</v>
      </c>
      <c r="BQ7" s="39" t="s">
        <v>48</v>
      </c>
      <c r="BR7" s="39" t="s">
        <v>49</v>
      </c>
      <c r="BS7" s="38">
        <v>0.0</v>
      </c>
      <c r="BT7" s="38">
        <v>0.0</v>
      </c>
      <c r="BU7" s="39" t="s">
        <v>27</v>
      </c>
      <c r="BV7" s="33"/>
      <c r="BW7" s="38">
        <v>0.0</v>
      </c>
      <c r="BX7" s="38">
        <v>0.0</v>
      </c>
      <c r="BY7" s="33"/>
      <c r="BZ7" s="38">
        <v>0.0</v>
      </c>
      <c r="CA7" s="38">
        <v>0.0</v>
      </c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/>
      <c r="FN7" s="33"/>
      <c r="FO7" s="33"/>
      <c r="FP7" s="33"/>
      <c r="FQ7" s="33"/>
      <c r="FR7" s="33"/>
      <c r="FS7" s="33"/>
      <c r="FT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ErrorMessage="1" sqref="A6:A7">
      <formula1>"Yes,No"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