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GetDataClosing" sheetId="8" r:id="rId10"/>
    <sheet state="visible" name="SelectTradeUnexpiredUnsettled" sheetId="9" r:id="rId11"/>
    <sheet state="visible" name="SwapExpire" sheetId="10" r:id="rId12"/>
    <sheet state="visible" name="CheckAllocatedGroups" sheetId="11" r:id="rId13"/>
    <sheet state="visible" name="VerifyExpiredSettledGrid" sheetId="12" r:id="rId14"/>
  </sheets>
  <definedNames/>
  <calcPr/>
</workbook>
</file>

<file path=xl/sharedStrings.xml><?xml version="1.0" encoding="utf-8"?>
<sst xmlns="http://schemas.openxmlformats.org/spreadsheetml/2006/main" count="118" uniqueCount="40">
  <si>
    <t>Modules Info</t>
  </si>
  <si>
    <t>Master Data Info</t>
  </si>
  <si>
    <t>Settings</t>
  </si>
  <si>
    <t>Module</t>
  </si>
  <si>
    <t>Module Step Setting File</t>
  </si>
  <si>
    <t>Step</t>
  </si>
  <si>
    <t>15Il9KeswuJGgf6kL64q0xt7c_sevGOAe7T20r5WsNa0</t>
  </si>
  <si>
    <t>Master Data Sheet</t>
  </si>
  <si>
    <t>Modules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</si>
  <si>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</si>
  <si>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</si>
  <si>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</si>
  <si>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</si>
  <si>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</si>
  <si>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</si>
  <si>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</si>
  <si>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</si>
  <si>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</si>
  <si>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</si>
  <si>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</si>
  <si>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</si>
  <si>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</si>
  <si>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</si>
  <si>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Equity</t>
  </si>
  <si>
    <t>BookOrUpdateSwap</t>
  </si>
  <si>
    <t>MSFT SWAP</t>
  </si>
  <si>
    <t>Closing</t>
  </si>
  <si>
    <t>GetDataClosing</t>
  </si>
  <si>
    <t>SelectTradeUnexpiredUnsettled</t>
  </si>
  <si>
    <t>SwapExpire</t>
  </si>
  <si>
    <t>CheckAllocatedGroups</t>
  </si>
  <si>
    <t>EquitySwap</t>
  </si>
  <si>
    <t>Sell</t>
  </si>
  <si>
    <t>VerifyExpiredSettledGrid</t>
  </si>
  <si>
    <t>NONE</t>
  </si>
  <si>
    <t>Short</t>
  </si>
  <si>
    <t>USD</t>
  </si>
  <si>
    <t>NASDAQ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</si>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</sst>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8</v>
      </c>
      <c r="B3" s="12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4" t="s">
        <v>6</v>
      </c>
      <c r="C3" s="7"/>
    </row>
    <row r="4" ht="15.75" customHeight="1">
      <c r="A4" s="8" t="s">
        <v>9</v>
      </c>
      <c r="B4" s="14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1"/>
      <c r="E3" s="11"/>
      <c r="F3" s="1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16</v>
      </c>
      <c r="C6" s="14" t="s">
        <v>17</v>
      </c>
      <c r="D6" s="14">
        <v>1000.0</v>
      </c>
      <c r="E6" s="29"/>
      <c r="F6" s="14" t="s">
        <v>18</v>
      </c>
      <c r="G6" s="7"/>
      <c r="H6" s="7"/>
      <c r="I6" s="7"/>
      <c r="J6" s="14">
        <v>15.0</v>
      </c>
      <c r="K6" s="7"/>
      <c r="L6" s="7"/>
      <c r="M6" s="7"/>
      <c r="N6" s="30">
        <f>Today()</f>
        <v>43781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 t="s">
        <v>21</v>
      </c>
      <c r="C6" s="31"/>
      <c r="D6" s="14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 t="s">
        <v>16</v>
      </c>
      <c r="C6" s="14">
        <v>1000.0</v>
      </c>
      <c r="D6" s="7"/>
      <c r="E6" s="14" t="s">
        <v>18</v>
      </c>
      <c r="F6" s="14" t="s">
        <v>17</v>
      </c>
      <c r="G6" s="7"/>
      <c r="H6" s="7"/>
      <c r="I6" s="7"/>
      <c r="J6" s="7"/>
      <c r="K6" s="7"/>
      <c r="L6" s="7"/>
      <c r="M6" s="7"/>
      <c r="N6" s="7"/>
      <c r="O6" s="7"/>
      <c r="BB6" s="32" t="s">
        <v>23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>
        <v>1000.0</v>
      </c>
      <c r="C6" s="14">
        <v>2.0</v>
      </c>
      <c r="D6" s="14">
        <v>2.0</v>
      </c>
      <c r="E6" s="7"/>
      <c r="F6" s="7"/>
      <c r="G6" s="7"/>
      <c r="H6" s="14">
        <v>15.0</v>
      </c>
      <c r="I6" s="14" t="s">
        <v>25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5</v>
      </c>
      <c r="E3" s="21" t="s">
        <v>27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 t="s">
        <v>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5</v>
      </c>
      <c r="E3" s="21" t="s">
        <v>28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 t="s">
        <v>18</v>
      </c>
      <c r="C6" s="7"/>
      <c r="D6" s="7"/>
      <c r="E6" s="14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5</v>
      </c>
      <c r="E3" s="21" t="s">
        <v>29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IFERROR(__xludf.DUMMYFUNCTION("""COMPUTED_VALUE"""),"Closing Date")</f>
        <v>Closing Date</v>
      </c>
      <c r="C5" s="26" t="str">
        <f>IFERROR(__xludf.DUMMYFUNCTION("""COMPUTED_VALUE"""),"Closing Cost Basis")</f>
        <v>Closing Cost Basis</v>
      </c>
      <c r="D5" s="26" t="str">
        <f>IFERROR(__xludf.DUMMYFUNCTION("""COMPUTED_VALUE"""),"Notional Value")</f>
        <v>Notional Value</v>
      </c>
      <c r="E5" s="26" t="str">
        <f>IFERROR(__xludf.DUMMYFUNCTION("""COMPUTED_VALUE"""),"Interest Rate")</f>
        <v>Interest Rate</v>
      </c>
      <c r="F5" s="27" t="str">
        <f>IFERROR(__xludf.DUMMYFUNCTION("""COMPUTED_VALUE"""),"Spread(B.P)")</f>
        <v>Spread(B.P)</v>
      </c>
      <c r="G5" s="26" t="str">
        <f>IFERROR(__xludf.DUMMYFUNCTION("""COMPUTED_VALUE"""),"First Reset Date")</f>
        <v>First Reset Date</v>
      </c>
      <c r="H5" s="26" t="str">
        <f>IFERROR(__xludf.DUMMYFUNCTION("""COMPUTED_VALUE"""),"ShowDescription")</f>
        <v>ShowDescription</v>
      </c>
      <c r="I5" s="26" t="str">
        <f>IFERROR(__xludf.DUMMYFUNCTION("""COMPUTED_VALUE"""),"Day Count")</f>
        <v>Day Count</v>
      </c>
      <c r="J5" s="26" t="str">
        <f>IFERROR(__xludf.DUMMYFUNCTION("""COMPUTED_VALUE"""),"Original T.Date")</f>
        <v>Original T.Date</v>
      </c>
      <c r="K5" s="26" t="str">
        <f>IFERROR(__xludf.DUMMYFUNCTION("""COMPUTED_VALUE"""),"Original Cost Basis")</f>
        <v>Original Cost Basis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0">
        <f>TOday()</f>
        <v>43781</v>
      </c>
      <c r="C6" s="14">
        <v>15.0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SwapExpire!$4:$4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30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4" t="s">
        <v>18</v>
      </c>
      <c r="C6" s="7"/>
      <c r="D6" s="7"/>
      <c r="E6" s="14">
        <v>1000.0</v>
      </c>
      <c r="F6" s="7"/>
      <c r="G6" s="14" t="s">
        <v>31</v>
      </c>
      <c r="H6" s="7"/>
      <c r="I6" s="7"/>
      <c r="J6" s="7"/>
      <c r="K6" s="7"/>
      <c r="L6" s="7"/>
      <c r="M6" s="7"/>
      <c r="N6" s="7"/>
      <c r="O6" s="7"/>
      <c r="BO6" s="33" t="s">
        <v>17</v>
      </c>
      <c r="BT6" s="33" t="s">
        <v>16</v>
      </c>
      <c r="CI6" s="32"/>
    </row>
    <row r="7" ht="15.75" customHeight="1">
      <c r="A7" s="7"/>
      <c r="B7" s="14" t="s">
        <v>18</v>
      </c>
      <c r="C7" s="7"/>
      <c r="D7" s="7"/>
      <c r="E7" s="14">
        <v>1000.0</v>
      </c>
      <c r="F7" s="7"/>
      <c r="G7" s="14" t="s">
        <v>23</v>
      </c>
      <c r="H7" s="7"/>
      <c r="I7" s="7"/>
      <c r="J7" s="7"/>
      <c r="K7" s="7"/>
      <c r="L7" s="7"/>
      <c r="M7" s="7"/>
      <c r="N7" s="7"/>
      <c r="O7" s="7"/>
      <c r="BO7" s="33" t="s">
        <v>32</v>
      </c>
      <c r="BT7" s="33" t="s">
        <v>16</v>
      </c>
      <c r="CI7" s="32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9.71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5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18</v>
      </c>
      <c r="C6" s="14" t="s">
        <v>23</v>
      </c>
      <c r="D6" s="14"/>
      <c r="E6" s="29"/>
      <c r="F6" s="14">
        <v>15.0</v>
      </c>
      <c r="G6" s="14">
        <v>1000.0</v>
      </c>
      <c r="H6" s="14" t="s">
        <v>34</v>
      </c>
      <c r="I6" s="7"/>
      <c r="J6" s="14" t="s">
        <v>29</v>
      </c>
      <c r="K6" s="14" t="s">
        <v>35</v>
      </c>
      <c r="L6" s="7"/>
      <c r="M6" s="14">
        <v>0.0</v>
      </c>
      <c r="N6" s="7"/>
      <c r="O6" s="14">
        <v>0.0</v>
      </c>
      <c r="P6" s="32" t="s">
        <v>36</v>
      </c>
      <c r="R6" s="32" t="s">
        <v>37</v>
      </c>
      <c r="S6" s="32">
        <v>0.0</v>
      </c>
      <c r="T6" s="32">
        <v>15.0</v>
      </c>
      <c r="V6" s="32" t="s">
        <v>38</v>
      </c>
      <c r="W6" s="32" t="s">
        <v>38</v>
      </c>
      <c r="X6" s="32">
        <v>14.0084</v>
      </c>
      <c r="Y6" s="32">
        <v>-14.0084</v>
      </c>
      <c r="Z6" s="32" t="s">
        <v>17</v>
      </c>
      <c r="AB6" s="32" t="s">
        <v>16</v>
      </c>
      <c r="AD6" s="32" t="s">
        <v>39</v>
      </c>
    </row>
    <row r="7" ht="15.75" customHeight="1">
      <c r="A7" s="7"/>
      <c r="B7" s="14" t="s">
        <v>18</v>
      </c>
      <c r="C7" s="34" t="s">
        <v>23</v>
      </c>
      <c r="D7" s="7"/>
      <c r="E7" s="7"/>
      <c r="F7" s="14">
        <v>15.0</v>
      </c>
      <c r="G7" s="14">
        <v>1000.0</v>
      </c>
      <c r="H7" s="14" t="s">
        <v>34</v>
      </c>
      <c r="I7" s="7"/>
      <c r="J7" s="34" t="s">
        <v>29</v>
      </c>
      <c r="K7" s="14" t="s">
        <v>35</v>
      </c>
      <c r="L7" s="7"/>
      <c r="M7" s="14">
        <v>0.0</v>
      </c>
      <c r="N7" s="7"/>
      <c r="O7" s="14">
        <v>0.0</v>
      </c>
      <c r="P7" s="32" t="s">
        <v>36</v>
      </c>
      <c r="R7" s="32" t="s">
        <v>37</v>
      </c>
      <c r="S7" s="32">
        <v>0.0</v>
      </c>
      <c r="T7" s="32">
        <v>15.0</v>
      </c>
      <c r="V7" s="32" t="s">
        <v>38</v>
      </c>
      <c r="W7" s="32" t="s">
        <v>38</v>
      </c>
      <c r="X7" s="32">
        <v>14.0084</v>
      </c>
      <c r="Y7" s="35">
        <v>-14.0084</v>
      </c>
      <c r="Z7" s="32" t="s">
        <v>17</v>
      </c>
      <c r="AB7" s="32" t="s">
        <v>16</v>
      </c>
      <c r="AD7" s="32" t="s">
        <v>39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