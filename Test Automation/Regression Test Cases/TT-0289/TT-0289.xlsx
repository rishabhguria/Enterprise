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taClosing" sheetId="6" r:id="rId8"/>
    <sheet state="visible" name="AutomaticClosing" sheetId="7" r:id="rId9"/>
    <sheet state="visible" name="CreateDoneAwayOrder1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<sst xmlns="http://schemas.openxmlformats.org/spreadsheetml/2006/main" count="138" uniqueCount="48">
  <si>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</si>
  <si>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</si>
  <si>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</si>
  <si>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</si>
  <si>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</si>
  <si>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</si>
  <si>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</si>
  <si>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</si>
  <si>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</si>
  <si>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</si>
  <si>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</si>
  <si>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</si>
  <si>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</si>
  <si>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</si>
  <si>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</si>
  <si>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</si>
  <si>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</si>
  <si>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</si>
  <si>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</si>
  <si>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</si>
  <si>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Sell</t>
  </si>
  <si>
    <t>Closing</t>
  </si>
  <si>
    <t>GetDataClosing</t>
  </si>
  <si>
    <t>Current</t>
  </si>
  <si>
    <t>AutomaticClosing</t>
  </si>
  <si>
    <t>FIFO</t>
  </si>
  <si>
    <t>None</t>
  </si>
  <si>
    <t>Default</t>
  </si>
  <si>
    <t>Blotter</t>
  </si>
  <si>
    <t>SelectTradeOnOrderGrid</t>
  </si>
  <si>
    <t>ReplaceSubOrder</t>
  </si>
  <si>
    <t>NASDAQ</t>
  </si>
  <si>
    <t>jpearce</t>
  </si>
  <si>
    <t>Equity</t>
  </si>
  <si>
    <t>Filled</t>
  </si>
  <si>
    <t>MS</t>
  </si>
  <si>
    <t>Allocation1</t>
  </si>
  <si>
    <t>Market</t>
  </si>
  <si>
    <t>CreateReplaceOrder</t>
  </si>
  <si>
    <t>VerifyOrder</t>
  </si>
  <si>
    <t>AAPL US EQUITY</t>
  </si>
  <si>
    <t>US</t>
  </si>
  <si>
    <t>GCCAP1</t>
  </si>
  <si>
    <t>USD</t>
  </si>
  <si>
    <t>NewMF</t>
  </si>
  <si>
    <t>M</t>
  </si>
  <si>
    <t>Manual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</si>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</sst>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32">
        <f t="shared" ref="N6:N7" si="1">TODAY()-1</f>
        <v>45298</v>
      </c>
      <c r="O6" s="8"/>
    </row>
    <row r="7" ht="15.75" customHeight="1">
      <c r="A7" s="8"/>
      <c r="B7" s="13" t="s">
        <v>18</v>
      </c>
      <c r="C7" s="13" t="s">
        <v>20</v>
      </c>
      <c r="D7" s="13">
        <v>40.0</v>
      </c>
      <c r="E7" s="8"/>
      <c r="F7" s="8"/>
      <c r="G7" s="8"/>
      <c r="H7" s="8"/>
      <c r="I7" s="8"/>
      <c r="J7" s="13">
        <v>1.0</v>
      </c>
      <c r="K7" s="8"/>
      <c r="L7" s="8"/>
      <c r="M7" s="8"/>
      <c r="N7" s="32">
        <f t="shared" si="1"/>
        <v>45298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1zwv-aZp-DRCpq8bqLR0XRiyt0av-GAm0ORqbhnV-FKI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13" t="b">
        <v>0</v>
      </c>
      <c r="D6" s="13" t="s">
        <v>25</v>
      </c>
      <c r="E6" s="13" t="s">
        <v>26</v>
      </c>
      <c r="F6" s="13" t="s">
        <v>27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32">
        <f t="shared" ref="N6:N7" si="1">TODAY()</f>
        <v>45299</v>
      </c>
      <c r="O6" s="8"/>
    </row>
    <row r="7" ht="15.75" customHeight="1">
      <c r="A7" s="8"/>
      <c r="B7" s="13" t="s">
        <v>18</v>
      </c>
      <c r="C7" s="13" t="s">
        <v>20</v>
      </c>
      <c r="D7" s="13">
        <v>70.0</v>
      </c>
      <c r="E7" s="8"/>
      <c r="F7" s="8"/>
      <c r="G7" s="8"/>
      <c r="H7" s="8"/>
      <c r="I7" s="8"/>
      <c r="J7" s="13">
        <v>1.0</v>
      </c>
      <c r="K7" s="8"/>
      <c r="L7" s="8"/>
      <c r="M7" s="8"/>
      <c r="N7" s="32">
        <f t="shared" si="1"/>
        <v>45299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20</v>
      </c>
      <c r="G6" s="13"/>
      <c r="H6" s="13"/>
      <c r="I6" s="13"/>
      <c r="J6" s="8"/>
      <c r="K6" s="8"/>
      <c r="L6" s="8"/>
      <c r="M6" s="8"/>
      <c r="N6" s="13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1"/>
      <c r="F6" s="8"/>
      <c r="G6" s="8"/>
      <c r="H6" s="13" t="s">
        <v>31</v>
      </c>
      <c r="I6" s="13" t="s">
        <v>32</v>
      </c>
      <c r="J6" s="13" t="s">
        <v>18</v>
      </c>
      <c r="K6" s="8"/>
      <c r="L6" s="8"/>
      <c r="M6" s="8"/>
      <c r="N6" s="8"/>
      <c r="O6" s="8"/>
      <c r="AI6" s="9" t="s">
        <v>33</v>
      </c>
      <c r="AJ6" s="9" t="s">
        <v>18</v>
      </c>
      <c r="AK6" s="9" t="s">
        <v>20</v>
      </c>
      <c r="AL6" s="9" t="s">
        <v>34</v>
      </c>
      <c r="AM6" s="9">
        <v>70.0</v>
      </c>
      <c r="AN6" s="9">
        <v>70.0</v>
      </c>
      <c r="AR6" s="9">
        <v>1.0</v>
      </c>
      <c r="AS6" s="9">
        <v>1.0</v>
      </c>
      <c r="AT6" s="9" t="s">
        <v>35</v>
      </c>
      <c r="AU6" s="9" t="s">
        <v>36</v>
      </c>
      <c r="AV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>
        <v>100.0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 t="s">
        <v>40</v>
      </c>
      <c r="F6" s="13"/>
      <c r="G6" s="8"/>
      <c r="H6" s="13" t="s">
        <v>31</v>
      </c>
      <c r="I6" s="13" t="s">
        <v>32</v>
      </c>
      <c r="J6" s="13" t="s">
        <v>18</v>
      </c>
      <c r="K6" s="13" t="s">
        <v>41</v>
      </c>
      <c r="L6" s="13" t="s">
        <v>42</v>
      </c>
      <c r="M6" s="8"/>
      <c r="N6" s="8"/>
      <c r="O6" s="8"/>
      <c r="U6" s="9" t="s">
        <v>43</v>
      </c>
      <c r="AA6" s="9" t="s">
        <v>44</v>
      </c>
      <c r="AD6" s="9">
        <v>1.0</v>
      </c>
      <c r="AF6" s="9" t="s">
        <v>45</v>
      </c>
      <c r="AG6" s="9">
        <v>1.0</v>
      </c>
      <c r="AH6" s="9" t="s">
        <v>33</v>
      </c>
      <c r="AI6" s="9" t="s">
        <v>18</v>
      </c>
      <c r="AJ6" s="9" t="s">
        <v>19</v>
      </c>
      <c r="AK6" s="9" t="s">
        <v>34</v>
      </c>
      <c r="AL6" s="9">
        <v>10.0</v>
      </c>
      <c r="AM6" s="9">
        <v>10.0</v>
      </c>
      <c r="AR6" s="9">
        <v>1.0</v>
      </c>
      <c r="AS6" s="9" t="s">
        <v>35</v>
      </c>
      <c r="AT6" s="9" t="s">
        <v>36</v>
      </c>
      <c r="AU6" s="9" t="s">
        <v>37</v>
      </c>
      <c r="AV6" s="9">
        <v>10.0</v>
      </c>
      <c r="AW6" s="9">
        <v>10.0</v>
      </c>
      <c r="AX6" s="9" t="s">
        <v>46</v>
      </c>
      <c r="BA6" s="9" t="s">
        <v>32</v>
      </c>
      <c r="BG6" s="33" t="s">
        <v>16</v>
      </c>
    </row>
    <row r="7" ht="15.75" customHeight="1">
      <c r="A7" s="8"/>
      <c r="B7" s="8"/>
      <c r="C7" s="8"/>
      <c r="D7" s="13">
        <v>1.0</v>
      </c>
      <c r="E7" s="13" t="s">
        <v>40</v>
      </c>
      <c r="F7" s="13"/>
      <c r="G7" s="13"/>
      <c r="H7" s="13" t="s">
        <v>31</v>
      </c>
      <c r="I7" s="13" t="s">
        <v>32</v>
      </c>
      <c r="J7" s="13" t="s">
        <v>18</v>
      </c>
      <c r="K7" s="13" t="s">
        <v>41</v>
      </c>
      <c r="L7" s="13" t="s">
        <v>42</v>
      </c>
      <c r="M7" s="8"/>
      <c r="N7" s="8"/>
      <c r="O7" s="8"/>
      <c r="U7" s="9" t="s">
        <v>43</v>
      </c>
      <c r="AA7" s="9" t="s">
        <v>44</v>
      </c>
      <c r="AD7" s="9">
        <v>1.0</v>
      </c>
      <c r="AF7" s="9" t="s">
        <v>45</v>
      </c>
      <c r="AG7" s="9">
        <v>1.0</v>
      </c>
      <c r="AH7" s="9" t="s">
        <v>33</v>
      </c>
      <c r="AI7" s="9" t="s">
        <v>18</v>
      </c>
      <c r="AJ7" s="9" t="s">
        <v>20</v>
      </c>
      <c r="AK7" s="9" t="s">
        <v>47</v>
      </c>
      <c r="AL7" s="9">
        <v>100.0</v>
      </c>
      <c r="AM7" s="9">
        <v>70.0</v>
      </c>
      <c r="AR7" s="9">
        <v>1.0</v>
      </c>
      <c r="AS7" s="9" t="s">
        <v>35</v>
      </c>
      <c r="AT7" s="9" t="s">
        <v>36</v>
      </c>
      <c r="AU7" s="9" t="s">
        <v>37</v>
      </c>
      <c r="AV7" s="9">
        <v>-70.0</v>
      </c>
      <c r="AW7" s="9">
        <v>-70.0</v>
      </c>
      <c r="AX7" s="9" t="s">
        <v>46</v>
      </c>
      <c r="BA7" s="9" t="s">
        <v>32</v>
      </c>
      <c r="BG7" s="33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