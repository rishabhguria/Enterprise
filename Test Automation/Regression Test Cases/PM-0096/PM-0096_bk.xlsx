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DoneAwayOrder" sheetId="9" r:id="rId11"/>
    <sheet state="visible" name="UpdateMasterFundOnTT1" sheetId="10" r:id="rId12"/>
    <sheet state="visible" name="CreateDoneAwayOrder2" sheetId="11" r:id="rId13"/>
    <sheet state="visible" name="PricingInput" sheetId="12" r:id="rId14"/>
    <sheet state="visible" name="CalculatePTT" sheetId="13" r:id="rId15"/>
    <sheet state="visible" name="VerifyPTT" sheetId="14" r:id="rId16"/>
    <sheet state="visible" name="TradePTT" sheetId="15" r:id="rId17"/>
    <sheet state="visible" name="CreateDoneAwayOrder1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<sst xmlns="http://schemas.openxmlformats.org/spreadsheetml/2006/main" count="331" uniqueCount="76">
  <si>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</si>
  <si>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</si>
  <si>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</si>
  <si>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</si>
  <si>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</si>
  <si>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</si>
  <si>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</si>
  <si>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</si>
  <si>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</si>
  <si>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</si>
  <si>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</si>
  <si>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</si>
  <si>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</si>
  <si>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</si>
  <si>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</si>
  <si>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</si>
  <si>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 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</si>
  <si>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</si>
  <si>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</si>
  <si>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</si>
  <si>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</si>
  <si>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</si>
  <si>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</si>
  <si>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</si>
  <si>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TradingTicket</t>
  </si>
  <si>
    <t>UpdateMasterFundOnTT</t>
  </si>
  <si>
    <t>NewMF</t>
  </si>
  <si>
    <t>CreateDoneAwayOrder</t>
  </si>
  <si>
    <t>AAPL</t>
  </si>
  <si>
    <t>Buy</t>
  </si>
  <si>
    <t>NewMF1</t>
  </si>
  <si>
    <t>Allocation2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</si>
  <si>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</si>
  <si>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</si>
  <si>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</si>
  <si>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</si>
  <si>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</si>
  <si>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</si>
  <si>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</si>
  <si>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</si>
  <si>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</si>
  <si>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Blotter</t>
  </si>
  <si>
    <t>VerifyOrder</t>
  </si>
  <si>
    <t>AAPL US EQUITY</t>
  </si>
  <si>
    <t>NASDAQ</t>
  </si>
  <si>
    <t>jpearce</t>
  </si>
  <si>
    <t>TradingAccount-1</t>
  </si>
  <si>
    <t>NONE</t>
  </si>
  <si>
    <t>M</t>
  </si>
  <si>
    <t>Equity</t>
  </si>
  <si>
    <t>Filled</t>
  </si>
  <si>
    <t>MS</t>
  </si>
  <si>
    <t>Market</t>
  </si>
  <si>
    <t>Manual</t>
  </si>
  <si>
    <t>GetDataAllocation</t>
  </si>
  <si>
    <t>Current</t>
  </si>
  <si>
    <t>CheckAllocatedGroups</t>
  </si>
  <si>
    <t>Open</t>
  </si>
  <si>
    <t>US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</si>
  <si>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</si>
  <si>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</si>
  <si>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</si>
  <si>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</si>
  <si>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</si>
  <si>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</si>
  <si>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</si>
  <si>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BrokerNotes</t>
  </si>
  <si>
    <t>DefaultNotes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</si>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</sst>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6" fontId="14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>
      <c r="A495" t="str">
        <f>IFERROR(__xludf.DUMMYFUNCTION("""COMPUTED_VALUE"""),"Dropcopy")</f>
        <v>Dropcopy</v>
      </c>
      <c r="B495" t="str">
        <f>IFERROR(__xludf.DUMMYFUNCTION("""COMPUTED_VALUE"""),"UploadDropcopyFile")</f>
        <v>UploadDropcopyFile</v>
      </c>
      <c r="C495" t="str">
        <f>IFERROR(__xludf.DUMMYFUNCTION("""COMPUTED_VALUE"""),"1W-fqHVGr66uN9zMhvO6QE-0fTnvoMIo31A_MC2VEFUY")</f>
        <v>1W-fqHVGr66uN9zMhvO6QE-0fTnvoMIo31A_MC2VEFUY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IFERROR(__xludf.DUMMYFUNCTION("""COMPUTED_VALUE"""),"StartTradeServer")</f>
        <v>StartTradeServer</v>
      </c>
      <c r="C496" t="str">
        <f>IFERROR(__xludf.DUMMYFUNCTION("""COMPUTED_VALUE"""),"1B9rnk-hL47W-7iUGju1P5wtQC8y0BGZIAhuxsistETQ")</f>
        <v>1B9rnk-hL47W-7iUGju1P5wtQC8y0BGZIAhuxsistETQ</v>
      </c>
    </row>
    <row r="497" ht="15.75" customHeight="1">
      <c r="A497" t="str">
        <f>IFERROR(__xludf.DUMMYFUNCTION("""COMPUTED_VALUE"""),"TradeServer")</f>
        <v>TradeServer</v>
      </c>
      <c r="B497" t="str">
        <f>IFERROR(__xludf.DUMMYFUNCTION("""COMPUTED_VALUE"""),"CloseTradeServer ")</f>
        <v>CloseTradeServer </v>
      </c>
      <c r="C497" t="str">
        <f>IFERROR(__xludf.DUMMYFUNCTION("""COMPUTED_VALUE"""),"174Tprzh0aMAZa-Ckuaucg-4aWwJTc-gYly9QXAbePh0")</f>
        <v>174Tprzh0aMAZa-Ckuaucg-4aWwJTc-gYly9QXAbePh0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IFERROR(__xludf.DUMMYFUNCTION("""COMPUTED_VALUE"""),"GetExecutionReportOrders")</f>
        <v>GetExecutionReportOrders</v>
      </c>
      <c r="C498" t="str">
        <f>IFERROR(__xludf.DUMMYFUNCTION("""COMPUTED_VALUE"""),"1hQPEUlOvv9Vi1KsbHsN6z0TIt4-v9Ckko9Z170M5bto")</f>
        <v>1hQPEUlOvv9Vi1KsbHsN6z0TIt4-v9Ckko9Z170M5bto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IFERROR(__xludf.DUMMYFUNCTION("""COMPUTED_VALUE"""),"GetExecutionReportDetails")</f>
        <v>GetExecutionReportDetails</v>
      </c>
      <c r="C499" t="str">
        <f>IFERROR(__xludf.DUMMYFUNCTION("""COMPUTED_VALUE"""),"1aD9Si2VBbY68g9PUfKv624K3d2PbLqScMJakPjZ8hFs")</f>
        <v>1aD9Si2VBbY68g9PUfKv624K3d2PbLqScMJakPjZ8hFs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IFERROR(__xludf.DUMMYFUNCTION("""COMPUTED_VALUE"""),"ExportExecutionReportData")</f>
        <v>ExportExecutionReportData</v>
      </c>
      <c r="C500" t="str">
        <f>IFERROR(__xludf.DUMMYFUNCTION("""COMPUTED_VALUE"""),"1a6yh6QYOXKH0UbWUlB2RKwf87hvs13OSFnVJBRYCYpM")</f>
        <v>1a6yh6QYOXKH0UbWUlB2RKwf87hvs13OSFnVJBRYCYpM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IFERROR(__xludf.DUMMYFUNCTION("""COMPUTED_VALUE"""),"VerifyExecutionReport")</f>
        <v>VerifyExecutionReport</v>
      </c>
      <c r="C501" t="str">
        <f>IFERROR(__xludf.DUMMYFUNCTION("""COMPUTED_VALUE"""),"15sKQ6yRs5rA6j70FvZOyg9HBsLCsZF-psuPGXdEFJSg")</f>
        <v>15sKQ6yRs5rA6j70FvZOyg9HBsLCsZF-psuPGXdEFJSg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IFERROR(__xludf.DUMMYFUNCTION("""COMPUTED_VALUE"""),"BlotterExecutionReportSnapshot")</f>
        <v>BlotterExecutionReportSnapshot</v>
      </c>
      <c r="C502" t="str">
        <f>IFERROR(__xludf.DUMMYFUNCTION("""COMPUTED_VALUE"""),"1O56bvbVFEtmCnv92OXcl9NqN7Zssjg6iXf_dOM4W0hs")</f>
        <v>1O56bvbVFEtmCnv92OXcl9NqN7Zssjg6iXf_dOM4W0hs</v>
      </c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b">
        <v>1</v>
      </c>
      <c r="E6" s="32"/>
      <c r="F6" s="32"/>
      <c r="G6" s="32"/>
      <c r="H6" s="33">
        <v>10.0</v>
      </c>
      <c r="I6" s="32"/>
      <c r="J6" s="32"/>
      <c r="K6" s="34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44278</v>
      </c>
      <c r="C6" s="37">
        <f t="shared" si="1"/>
        <v>44278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22</v>
      </c>
      <c r="C6" s="39" t="s">
        <v>23</v>
      </c>
      <c r="D6" s="40">
        <v>300000.0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28</v>
      </c>
      <c r="C6" s="39" t="s">
        <v>29</v>
      </c>
      <c r="D6" s="40">
        <v>100.0</v>
      </c>
      <c r="E6" s="33">
        <v>100.0</v>
      </c>
      <c r="F6" s="39" t="s">
        <v>22</v>
      </c>
      <c r="G6" s="32"/>
      <c r="H6" s="32"/>
      <c r="I6" s="32"/>
      <c r="J6" s="33">
        <v>10.0</v>
      </c>
      <c r="K6" s="32"/>
      <c r="L6" s="32"/>
      <c r="M6" s="32"/>
      <c r="N6" s="42">
        <f>today()</f>
        <v>44279</v>
      </c>
      <c r="O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28</v>
      </c>
      <c r="C6" s="39" t="s">
        <v>29</v>
      </c>
      <c r="D6" s="40">
        <v>100.0</v>
      </c>
      <c r="E6" s="33">
        <v>100.0</v>
      </c>
      <c r="F6" s="34" t="s">
        <v>31</v>
      </c>
      <c r="G6" s="32"/>
      <c r="H6" s="32"/>
      <c r="I6" s="32"/>
      <c r="J6" s="3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28</v>
      </c>
      <c r="C6" s="39" t="s">
        <v>35</v>
      </c>
      <c r="D6" s="41" t="s">
        <v>36</v>
      </c>
      <c r="E6" s="33">
        <v>30.0</v>
      </c>
      <c r="F6" s="33">
        <v>50000.0</v>
      </c>
      <c r="G6" s="39" t="s">
        <v>37</v>
      </c>
      <c r="H6" s="39" t="s">
        <v>38</v>
      </c>
      <c r="I6" s="39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IFERROR(__xludf.DUMMYFUNCTION("""COMPUTED_VALUE"""),"MasterFund NAV")</f>
        <v>MasterFund NAV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22</v>
      </c>
      <c r="C6" s="44">
        <v>300000.0</v>
      </c>
      <c r="D6" s="45">
        <v>100.0</v>
      </c>
      <c r="E6" s="44">
        <v>1000.0</v>
      </c>
      <c r="F6" s="44">
        <v>0.33</v>
      </c>
      <c r="G6" s="44">
        <v>1683.0</v>
      </c>
      <c r="H6" s="44">
        <v>1683.33</v>
      </c>
      <c r="I6" s="44">
        <v>1.0</v>
      </c>
      <c r="J6" s="44">
        <v>101.0</v>
      </c>
      <c r="K6" s="44">
        <v>5050000.0</v>
      </c>
      <c r="L6" s="44">
        <v>100.0</v>
      </c>
      <c r="M6" s="44">
        <v>1.0</v>
      </c>
      <c r="N6" s="32"/>
      <c r="O6" s="32"/>
      <c r="P6" s="32"/>
      <c r="Q6" s="32"/>
      <c r="R6" s="32"/>
      <c r="S6" s="32"/>
      <c r="T6" s="46"/>
    </row>
    <row r="7" ht="15.75" customHeight="1">
      <c r="A7" s="8"/>
      <c r="B7" s="46"/>
      <c r="C7" s="47">
        <v>300000.0</v>
      </c>
      <c r="D7" s="47">
        <v>100.0</v>
      </c>
      <c r="E7" s="47">
        <v>1000.0</v>
      </c>
      <c r="F7" s="46"/>
      <c r="G7" s="46"/>
      <c r="H7" s="46"/>
      <c r="I7" s="47">
        <v>1.0</v>
      </c>
      <c r="J7" s="47">
        <v>101.0</v>
      </c>
      <c r="K7" s="47">
        <v>5050000.0</v>
      </c>
      <c r="L7" s="46"/>
      <c r="M7" s="46"/>
      <c r="N7" s="46"/>
      <c r="O7" s="46"/>
      <c r="P7" s="46"/>
      <c r="Q7" s="46"/>
      <c r="R7" s="46"/>
      <c r="S7" s="46"/>
      <c r="T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28</v>
      </c>
      <c r="C6" s="39" t="s">
        <v>35</v>
      </c>
      <c r="D6" s="41" t="s">
        <v>36</v>
      </c>
      <c r="E6" s="33">
        <v>30.0</v>
      </c>
      <c r="F6" s="33">
        <v>50000.0</v>
      </c>
      <c r="G6" s="39" t="s">
        <v>37</v>
      </c>
      <c r="H6" s="39" t="s">
        <v>38</v>
      </c>
      <c r="I6" s="39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D6" s="45">
        <v>10.0</v>
      </c>
      <c r="E6" s="32" t="s">
        <v>43</v>
      </c>
      <c r="F6" s="43"/>
      <c r="G6" s="32"/>
      <c r="H6" s="32" t="s">
        <v>44</v>
      </c>
      <c r="I6" s="32" t="s">
        <v>45</v>
      </c>
      <c r="J6" s="32" t="s">
        <v>28</v>
      </c>
      <c r="K6" s="32"/>
      <c r="L6" s="9" t="s">
        <v>46</v>
      </c>
      <c r="M6" s="32"/>
      <c r="N6" s="32"/>
      <c r="O6" s="32"/>
      <c r="P6" s="32"/>
      <c r="Q6" s="32"/>
      <c r="R6" s="32"/>
      <c r="S6" s="44">
        <v>0.0</v>
      </c>
      <c r="T6" s="47">
        <v>0.0</v>
      </c>
      <c r="U6" s="46" t="s">
        <v>23</v>
      </c>
      <c r="V6" s="46" t="s">
        <v>47</v>
      </c>
      <c r="W6" s="46"/>
      <c r="X6" s="46"/>
      <c r="Y6" s="46"/>
      <c r="Z6" s="46"/>
      <c r="AA6" s="46" t="s">
        <v>26</v>
      </c>
      <c r="AB6" s="46"/>
      <c r="AC6" s="46"/>
      <c r="AD6" s="47">
        <v>1.0</v>
      </c>
      <c r="AE6" s="46"/>
      <c r="AF6" s="46" t="s">
        <v>48</v>
      </c>
      <c r="AG6" s="47">
        <v>10.0</v>
      </c>
      <c r="AH6" s="46" t="s">
        <v>49</v>
      </c>
      <c r="AI6" s="46" t="s">
        <v>28</v>
      </c>
      <c r="AJ6" s="46" t="s">
        <v>29</v>
      </c>
      <c r="AK6" s="46" t="s">
        <v>50</v>
      </c>
      <c r="AL6" s="47">
        <v>100.0</v>
      </c>
      <c r="AM6" s="47">
        <v>100.0</v>
      </c>
      <c r="AN6" s="47">
        <v>100.0</v>
      </c>
      <c r="AO6" s="47">
        <v>100.0</v>
      </c>
      <c r="AP6" s="46"/>
      <c r="AQ6" s="47">
        <v>10.0</v>
      </c>
      <c r="AR6" s="47">
        <v>10.0</v>
      </c>
      <c r="AS6" s="46" t="s">
        <v>51</v>
      </c>
      <c r="AT6" s="46" t="s">
        <v>22</v>
      </c>
      <c r="AU6" s="46" t="s">
        <v>52</v>
      </c>
      <c r="AV6" s="47">
        <v>1000.0</v>
      </c>
      <c r="AW6" s="47">
        <v>1000.0</v>
      </c>
      <c r="AX6" s="46" t="s">
        <v>53</v>
      </c>
      <c r="AY6" s="47">
        <v>100.0</v>
      </c>
      <c r="AZ6" s="46"/>
      <c r="BA6" s="46" t="s">
        <v>45</v>
      </c>
    </row>
    <row r="7" ht="15.75" customHeight="1">
      <c r="A7" s="8"/>
      <c r="D7" s="47">
        <v>50000.0</v>
      </c>
      <c r="E7" s="46" t="s">
        <v>43</v>
      </c>
      <c r="F7" s="46"/>
      <c r="G7" s="46"/>
      <c r="H7" s="46" t="s">
        <v>44</v>
      </c>
      <c r="I7" s="46" t="s">
        <v>45</v>
      </c>
      <c r="J7" s="46" t="s">
        <v>28</v>
      </c>
      <c r="K7" s="46"/>
      <c r="L7" s="9" t="s">
        <v>46</v>
      </c>
      <c r="M7" s="46"/>
      <c r="N7" s="46"/>
      <c r="O7" s="46"/>
      <c r="P7" s="46"/>
      <c r="Q7" s="46"/>
      <c r="R7" s="46"/>
      <c r="S7" s="47">
        <v>0.0</v>
      </c>
      <c r="T7" s="47">
        <v>0.0</v>
      </c>
      <c r="U7" s="46" t="s">
        <v>23</v>
      </c>
      <c r="V7" s="46" t="s">
        <v>47</v>
      </c>
      <c r="W7" s="46"/>
      <c r="X7" s="46"/>
      <c r="Y7" s="46"/>
      <c r="Z7" s="46"/>
      <c r="AA7" s="46" t="s">
        <v>26</v>
      </c>
      <c r="AB7" s="46"/>
      <c r="AC7" s="46"/>
      <c r="AD7" s="47">
        <v>1.0</v>
      </c>
      <c r="AE7" s="46"/>
      <c r="AF7" s="46" t="s">
        <v>48</v>
      </c>
      <c r="AG7" s="47">
        <v>50000.0</v>
      </c>
      <c r="AH7" s="46" t="s">
        <v>49</v>
      </c>
      <c r="AI7" s="46" t="s">
        <v>28</v>
      </c>
      <c r="AJ7" s="46" t="s">
        <v>29</v>
      </c>
      <c r="AK7" s="46" t="s">
        <v>50</v>
      </c>
      <c r="AL7" s="47">
        <v>1.0</v>
      </c>
      <c r="AM7" s="47">
        <v>1.0</v>
      </c>
      <c r="AN7" s="47">
        <v>100.0</v>
      </c>
      <c r="AO7" s="47">
        <v>1.0</v>
      </c>
      <c r="AP7" s="46"/>
      <c r="AQ7" s="47">
        <v>50000.0</v>
      </c>
      <c r="AR7" s="47">
        <v>50000.0</v>
      </c>
      <c r="AS7" s="46" t="s">
        <v>51</v>
      </c>
      <c r="AT7" s="46" t="s">
        <v>22</v>
      </c>
      <c r="AU7" s="46" t="s">
        <v>52</v>
      </c>
      <c r="AV7" s="47">
        <v>50000.0</v>
      </c>
      <c r="AW7" s="47">
        <v>50000.0</v>
      </c>
      <c r="AX7" s="46" t="s">
        <v>53</v>
      </c>
      <c r="AY7" s="47">
        <v>1.0</v>
      </c>
      <c r="AZ7" s="46"/>
      <c r="BA7" s="46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22</v>
      </c>
      <c r="C6" s="32"/>
      <c r="D6" s="43"/>
      <c r="E6" s="44">
        <v>100.0</v>
      </c>
      <c r="F6" s="32" t="s">
        <v>53</v>
      </c>
      <c r="G6" s="32" t="s">
        <v>49</v>
      </c>
      <c r="H6" s="44">
        <v>4.0</v>
      </c>
      <c r="I6" s="33">
        <v>5.0</v>
      </c>
      <c r="J6" s="32"/>
      <c r="K6" s="44">
        <v>10.0</v>
      </c>
      <c r="L6" s="44">
        <v>10.0</v>
      </c>
      <c r="M6" s="48" t="s">
        <v>43</v>
      </c>
      <c r="N6" s="32"/>
      <c r="O6" s="32" t="s">
        <v>51</v>
      </c>
      <c r="P6" s="32"/>
      <c r="Q6" s="32"/>
      <c r="R6" s="44">
        <v>0.0</v>
      </c>
      <c r="S6" s="32" t="s">
        <v>57</v>
      </c>
      <c r="T6" s="47">
        <v>0.0</v>
      </c>
      <c r="U6" s="46"/>
      <c r="V6" s="46"/>
      <c r="W6" s="46"/>
      <c r="X6" s="46"/>
      <c r="Y6" s="46"/>
      <c r="Z6" s="46" t="s">
        <v>23</v>
      </c>
      <c r="AA6" s="46"/>
      <c r="AB6" s="46"/>
      <c r="AC6" s="46"/>
      <c r="AD6" s="46" t="s">
        <v>44</v>
      </c>
      <c r="AE6" s="47">
        <v>100.0</v>
      </c>
      <c r="AF6" s="46"/>
      <c r="AG6" s="46"/>
      <c r="AH6" s="46" t="s">
        <v>48</v>
      </c>
      <c r="AI6" s="46"/>
      <c r="AJ6" s="46"/>
      <c r="AK6" s="46"/>
      <c r="AL6" s="46"/>
      <c r="AM6" s="46"/>
      <c r="AN6" s="49" t="b">
        <v>0</v>
      </c>
      <c r="AO6" s="46"/>
      <c r="AP6" s="46"/>
      <c r="AQ6" s="49" t="b">
        <v>0</v>
      </c>
      <c r="AR6" s="49" t="b">
        <v>1</v>
      </c>
      <c r="AS6" s="46"/>
      <c r="AT6" s="47">
        <v>1014.0</v>
      </c>
      <c r="AU6" s="47">
        <v>1014.0</v>
      </c>
      <c r="AV6" s="46"/>
      <c r="AW6" s="47">
        <v>0.0</v>
      </c>
      <c r="AX6" s="47">
        <v>0.0</v>
      </c>
      <c r="AY6" s="46" t="s">
        <v>52</v>
      </c>
      <c r="AZ6" s="47">
        <v>0.0</v>
      </c>
      <c r="BA6" s="46"/>
      <c r="BB6" s="46"/>
      <c r="BC6" s="47">
        <v>0.0</v>
      </c>
      <c r="BD6" s="46"/>
      <c r="BE6" s="47">
        <v>1000.0</v>
      </c>
      <c r="BF6" s="47">
        <v>1000.0</v>
      </c>
      <c r="BG6" s="46"/>
      <c r="BH6" s="46"/>
      <c r="BI6" s="46"/>
      <c r="BJ6" s="47">
        <v>100.0</v>
      </c>
      <c r="BK6" s="47">
        <v>0.0</v>
      </c>
      <c r="BL6" s="46"/>
      <c r="BM6" s="46" t="s">
        <v>23</v>
      </c>
      <c r="BN6" s="46"/>
      <c r="BO6" s="46" t="s">
        <v>29</v>
      </c>
      <c r="BP6" s="46"/>
      <c r="BQ6" s="46"/>
      <c r="BR6" s="46"/>
      <c r="BS6" s="46"/>
      <c r="BT6" s="46" t="s">
        <v>28</v>
      </c>
      <c r="BU6" s="47">
        <v>3.0</v>
      </c>
      <c r="BV6" s="47">
        <v>0.0</v>
      </c>
      <c r="BW6" s="47">
        <v>14.0</v>
      </c>
      <c r="BX6" s="47">
        <v>0.0</v>
      </c>
      <c r="BY6" s="46"/>
      <c r="BZ6" s="46"/>
      <c r="CA6" s="46"/>
      <c r="CB6" s="46"/>
      <c r="CC6" s="46"/>
      <c r="CD6" s="46"/>
      <c r="CE6" s="46"/>
      <c r="CF6" s="9" t="s">
        <v>46</v>
      </c>
      <c r="CG6" s="47">
        <v>2.0</v>
      </c>
      <c r="CH6" s="46" t="s">
        <v>24</v>
      </c>
      <c r="CI6" s="46" t="s">
        <v>29</v>
      </c>
      <c r="CJ6" s="47">
        <v>0.0</v>
      </c>
      <c r="CK6" s="46" t="s">
        <v>58</v>
      </c>
      <c r="CL6" s="46"/>
      <c r="CM6" s="46" t="s">
        <v>28</v>
      </c>
      <c r="CN6" s="46" t="s">
        <v>45</v>
      </c>
      <c r="CO6" s="46" t="s">
        <v>44</v>
      </c>
      <c r="CP6" s="46" t="s">
        <v>47</v>
      </c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</row>
    <row r="7" ht="15.75" customHeight="1">
      <c r="A7" s="8"/>
      <c r="B7" s="46" t="s">
        <v>22</v>
      </c>
      <c r="C7" s="46"/>
      <c r="D7" s="46"/>
      <c r="E7" s="47">
        <v>1.0</v>
      </c>
      <c r="F7" s="46" t="s">
        <v>53</v>
      </c>
      <c r="G7" s="46" t="s">
        <v>49</v>
      </c>
      <c r="H7" s="47">
        <v>4.0</v>
      </c>
      <c r="I7" s="50">
        <v>5.0</v>
      </c>
      <c r="J7" s="46"/>
      <c r="K7" s="47">
        <v>50000.0</v>
      </c>
      <c r="L7" s="47">
        <v>50000.0</v>
      </c>
      <c r="M7" s="48" t="s">
        <v>43</v>
      </c>
      <c r="N7" s="46"/>
      <c r="O7" s="46" t="s">
        <v>51</v>
      </c>
      <c r="P7" s="46"/>
      <c r="Q7" s="46"/>
      <c r="R7" s="47">
        <v>0.0</v>
      </c>
      <c r="S7" s="46" t="s">
        <v>57</v>
      </c>
      <c r="T7" s="47">
        <v>0.0</v>
      </c>
      <c r="U7" s="46"/>
      <c r="V7" s="46"/>
      <c r="W7" s="46"/>
      <c r="X7" s="46"/>
      <c r="Y7" s="46"/>
      <c r="Z7" s="46" t="s">
        <v>23</v>
      </c>
      <c r="AA7" s="46"/>
      <c r="AB7" s="46"/>
      <c r="AC7" s="46"/>
      <c r="AD7" s="46" t="s">
        <v>44</v>
      </c>
      <c r="AE7" s="47">
        <v>1.0</v>
      </c>
      <c r="AF7" s="46"/>
      <c r="AG7" s="46"/>
      <c r="AH7" s="46" t="s">
        <v>48</v>
      </c>
      <c r="AI7" s="46"/>
      <c r="AJ7" s="46"/>
      <c r="AK7" s="46"/>
      <c r="AL7" s="46"/>
      <c r="AM7" s="46"/>
      <c r="AN7" s="49" t="b">
        <v>0</v>
      </c>
      <c r="AO7" s="46"/>
      <c r="AP7" s="46"/>
      <c r="AQ7" s="49" t="b">
        <v>0</v>
      </c>
      <c r="AR7" s="49" t="b">
        <v>1</v>
      </c>
      <c r="AS7" s="46"/>
      <c r="AT7" s="47">
        <v>50014.03</v>
      </c>
      <c r="AU7" s="47">
        <v>50014.03</v>
      </c>
      <c r="AV7" s="46"/>
      <c r="AW7" s="47">
        <v>0.0</v>
      </c>
      <c r="AX7" s="47">
        <v>0.0</v>
      </c>
      <c r="AY7" s="46" t="s">
        <v>52</v>
      </c>
      <c r="AZ7" s="47">
        <v>0.0</v>
      </c>
      <c r="BA7" s="46"/>
      <c r="BB7" s="46"/>
      <c r="BC7" s="47">
        <v>0.0</v>
      </c>
      <c r="BD7" s="46"/>
      <c r="BE7" s="47">
        <v>50000.0</v>
      </c>
      <c r="BF7" s="47">
        <v>50000.0</v>
      </c>
      <c r="BG7" s="46"/>
      <c r="BH7" s="46"/>
      <c r="BI7" s="46"/>
      <c r="BJ7" s="47">
        <v>1.0</v>
      </c>
      <c r="BK7" s="47">
        <v>0.0</v>
      </c>
      <c r="BL7" s="46"/>
      <c r="BM7" s="46" t="s">
        <v>23</v>
      </c>
      <c r="BN7" s="46"/>
      <c r="BO7" s="46" t="s">
        <v>29</v>
      </c>
      <c r="BP7" s="46"/>
      <c r="BQ7" s="46"/>
      <c r="BR7" s="46"/>
      <c r="BS7" s="46"/>
      <c r="BT7" s="46" t="s">
        <v>28</v>
      </c>
      <c r="BU7" s="47">
        <v>3.0</v>
      </c>
      <c r="BV7" s="47">
        <v>0.0</v>
      </c>
      <c r="BW7" s="47">
        <v>14.03</v>
      </c>
      <c r="BX7" s="47">
        <v>0.0</v>
      </c>
      <c r="BY7" s="46"/>
      <c r="BZ7" s="46"/>
      <c r="CA7" s="46"/>
      <c r="CB7" s="46"/>
      <c r="CC7" s="46"/>
      <c r="CD7" s="46"/>
      <c r="CE7" s="46"/>
      <c r="CF7" s="9" t="s">
        <v>46</v>
      </c>
      <c r="CG7" s="47">
        <v>2.0</v>
      </c>
      <c r="CH7" s="46" t="s">
        <v>33</v>
      </c>
      <c r="CI7" s="46" t="s">
        <v>29</v>
      </c>
      <c r="CJ7" s="47">
        <v>0.0</v>
      </c>
      <c r="CK7" s="46" t="s">
        <v>58</v>
      </c>
      <c r="CL7" s="46"/>
      <c r="CM7" s="46" t="s">
        <v>28</v>
      </c>
      <c r="CN7" s="46" t="s">
        <v>45</v>
      </c>
      <c r="CO7" s="46" t="s">
        <v>44</v>
      </c>
      <c r="CP7" s="46" t="s">
        <v>47</v>
      </c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32" t="s">
        <v>28</v>
      </c>
      <c r="D6" s="45">
        <v>100.0</v>
      </c>
      <c r="E6" s="32" t="s">
        <v>22</v>
      </c>
      <c r="F6" s="32" t="s">
        <v>26</v>
      </c>
      <c r="G6" s="44">
        <v>10.0</v>
      </c>
      <c r="H6" s="32" t="s">
        <v>61</v>
      </c>
      <c r="I6" s="44">
        <v>1000.0</v>
      </c>
      <c r="J6" s="44">
        <v>0.0</v>
      </c>
      <c r="K6" s="44">
        <v>1000.0</v>
      </c>
      <c r="L6" s="44">
        <v>1000.0</v>
      </c>
      <c r="M6" s="44">
        <v>1010.0</v>
      </c>
      <c r="N6" s="44">
        <v>0.0</v>
      </c>
      <c r="O6" s="32" t="s">
        <v>62</v>
      </c>
      <c r="P6" s="32" t="s">
        <v>63</v>
      </c>
      <c r="Q6" s="44">
        <v>0.0</v>
      </c>
      <c r="R6" s="32" t="s">
        <v>64</v>
      </c>
      <c r="S6" s="32" t="s">
        <v>65</v>
      </c>
      <c r="T6" s="46" t="s">
        <v>49</v>
      </c>
      <c r="U6" s="46" t="s">
        <v>58</v>
      </c>
      <c r="V6" s="46" t="s">
        <v>44</v>
      </c>
      <c r="W6" s="46" t="s">
        <v>23</v>
      </c>
      <c r="X6" s="47">
        <v>1.0</v>
      </c>
      <c r="Y6" s="47">
        <v>1.0</v>
      </c>
      <c r="Z6" s="46"/>
      <c r="AA6" s="46"/>
      <c r="AB6" s="47">
        <v>0.0</v>
      </c>
      <c r="AC6" s="47">
        <v>0.0</v>
      </c>
      <c r="AD6" s="47">
        <v>1000.0</v>
      </c>
      <c r="AE6" s="47">
        <v>1000.0</v>
      </c>
      <c r="AF6" s="47">
        <v>100.0</v>
      </c>
      <c r="AG6" s="47">
        <v>1000.0</v>
      </c>
      <c r="AH6" s="47">
        <v>1000.0</v>
      </c>
      <c r="AI6" s="47">
        <v>1000.0</v>
      </c>
      <c r="AJ6" s="47">
        <v>40.0</v>
      </c>
      <c r="AK6" s="47">
        <v>0.0</v>
      </c>
      <c r="AL6" s="47">
        <v>1.0</v>
      </c>
      <c r="AM6" s="47">
        <v>1.0</v>
      </c>
      <c r="AN6" s="46" t="s">
        <v>29</v>
      </c>
      <c r="AO6" s="46"/>
      <c r="AP6" s="46" t="s">
        <v>61</v>
      </c>
      <c r="AQ6" s="46" t="s">
        <v>28</v>
      </c>
      <c r="AR6" s="47">
        <v>10.0</v>
      </c>
      <c r="AS6" s="47">
        <v>1.0</v>
      </c>
      <c r="AT6" s="46" t="s">
        <v>66</v>
      </c>
      <c r="AU6" s="46" t="s">
        <v>67</v>
      </c>
      <c r="AV6" s="47">
        <v>1.0</v>
      </c>
      <c r="AW6" s="47">
        <v>0.0</v>
      </c>
      <c r="AX6" s="47">
        <v>0.0</v>
      </c>
      <c r="AY6" s="47">
        <v>0.0</v>
      </c>
      <c r="AZ6" s="47">
        <v>1000.0</v>
      </c>
      <c r="BA6" s="47">
        <v>0.0</v>
      </c>
      <c r="BB6" s="46"/>
      <c r="BC6" s="47">
        <v>1.0</v>
      </c>
      <c r="BD6" s="47">
        <v>-1000.0</v>
      </c>
      <c r="BE6" s="46" t="s">
        <v>49</v>
      </c>
      <c r="BF6" s="46" t="s">
        <v>68</v>
      </c>
      <c r="BG6" s="46" t="s">
        <v>69</v>
      </c>
      <c r="BH6" s="46" t="s">
        <v>63</v>
      </c>
      <c r="BI6" s="47">
        <v>5.0</v>
      </c>
      <c r="BJ6" s="47">
        <v>0.0</v>
      </c>
      <c r="BK6" s="47">
        <v>0.0</v>
      </c>
      <c r="BL6" s="47">
        <v>0.0</v>
      </c>
      <c r="BM6" s="47">
        <v>0.0</v>
      </c>
      <c r="BN6" s="51"/>
      <c r="BO6" s="47">
        <v>-1000.0</v>
      </c>
      <c r="BP6" s="47">
        <v>0.0</v>
      </c>
      <c r="BQ6" s="46" t="s">
        <v>45</v>
      </c>
      <c r="BR6" s="46" t="s">
        <v>51</v>
      </c>
      <c r="BS6" s="47">
        <v>0.0</v>
      </c>
      <c r="BT6" s="47">
        <v>0.0</v>
      </c>
      <c r="BU6" s="46" t="s">
        <v>49</v>
      </c>
      <c r="BV6" s="46"/>
      <c r="BW6" s="47">
        <v>0.0</v>
      </c>
      <c r="BX6" s="47">
        <v>1000.0</v>
      </c>
      <c r="BY6" s="47">
        <v>1000.0</v>
      </c>
      <c r="BZ6" s="47">
        <v>10.0</v>
      </c>
      <c r="CA6" s="47">
        <v>10.0</v>
      </c>
      <c r="CB6" s="46"/>
      <c r="CC6" s="47">
        <v>0.0</v>
      </c>
      <c r="CD6" s="47">
        <v>0.0</v>
      </c>
      <c r="CE6" s="47">
        <v>0.0</v>
      </c>
      <c r="CF6" s="47">
        <v>0.0</v>
      </c>
      <c r="CG6" s="47">
        <v>0.0</v>
      </c>
      <c r="CH6" s="47">
        <v>0.0</v>
      </c>
      <c r="CI6" s="47">
        <v>0.0</v>
      </c>
      <c r="CJ6" s="47">
        <v>0.0</v>
      </c>
      <c r="CK6" s="49" t="b">
        <v>0</v>
      </c>
      <c r="CL6" s="46"/>
      <c r="CM6" s="46"/>
      <c r="CN6" s="46" t="s">
        <v>28</v>
      </c>
      <c r="CO6" s="46" t="s">
        <v>28</v>
      </c>
      <c r="CP6" s="48" t="s">
        <v>43</v>
      </c>
      <c r="CQ6" s="52"/>
      <c r="CR6" s="52"/>
      <c r="CS6" s="47">
        <v>10.0</v>
      </c>
      <c r="CT6" s="46"/>
      <c r="CU6" s="46"/>
      <c r="CV6" s="46"/>
      <c r="CW6" s="46"/>
      <c r="CX6" s="46"/>
      <c r="CY6" s="46" t="s">
        <v>70</v>
      </c>
      <c r="CZ6" s="46" t="s">
        <v>71</v>
      </c>
      <c r="DA6" s="47">
        <v>1000.0</v>
      </c>
      <c r="DB6" s="47">
        <v>0.0</v>
      </c>
      <c r="DC6" s="46"/>
      <c r="DD6" s="47">
        <v>100.0</v>
      </c>
      <c r="DE6" s="47">
        <v>0.0</v>
      </c>
      <c r="DF6" s="47">
        <v>0.0</v>
      </c>
      <c r="DG6" s="47">
        <v>0.0</v>
      </c>
      <c r="DH6" s="46" t="s">
        <v>63</v>
      </c>
      <c r="DI6" s="47">
        <v>0.0</v>
      </c>
      <c r="DJ6" s="46" t="s">
        <v>29</v>
      </c>
      <c r="DK6" s="47">
        <v>0.0</v>
      </c>
      <c r="DL6" s="47">
        <v>0.0</v>
      </c>
      <c r="DM6" s="47">
        <v>1.0</v>
      </c>
      <c r="DN6" s="47">
        <v>10.0</v>
      </c>
      <c r="DO6" s="46"/>
      <c r="DP6" s="46" t="s">
        <v>61</v>
      </c>
      <c r="DQ6" s="46" t="s">
        <v>72</v>
      </c>
      <c r="DR6" s="46" t="s">
        <v>73</v>
      </c>
      <c r="DS6" s="46" t="s">
        <v>72</v>
      </c>
      <c r="DT6" s="46" t="s">
        <v>72</v>
      </c>
      <c r="DU6" s="46" t="s">
        <v>74</v>
      </c>
      <c r="DV6" s="46" t="s">
        <v>72</v>
      </c>
      <c r="DW6" s="46" t="s">
        <v>72</v>
      </c>
      <c r="DX6" s="46" t="s">
        <v>72</v>
      </c>
      <c r="DY6" s="46" t="s">
        <v>72</v>
      </c>
      <c r="DZ6" s="46" t="s">
        <v>62</v>
      </c>
      <c r="EA6" s="46" t="s">
        <v>74</v>
      </c>
      <c r="EB6" s="46" t="s">
        <v>72</v>
      </c>
      <c r="EC6" s="46" t="s">
        <v>72</v>
      </c>
      <c r="ED6" s="46" t="s">
        <v>23</v>
      </c>
      <c r="EE6" s="46" t="s">
        <v>75</v>
      </c>
      <c r="EF6" s="47">
        <v>0.0</v>
      </c>
      <c r="EG6" s="47">
        <v>0.4</v>
      </c>
      <c r="EH6" s="47">
        <v>0.4</v>
      </c>
      <c r="EI6" s="47">
        <v>0.4</v>
      </c>
      <c r="EJ6" s="47">
        <v>0.4</v>
      </c>
      <c r="EK6" s="47">
        <v>0.4</v>
      </c>
      <c r="EL6" s="46" t="s">
        <v>61</v>
      </c>
      <c r="EM6" s="47">
        <v>1010.0</v>
      </c>
      <c r="EN6" s="47">
        <v>1010.0</v>
      </c>
      <c r="EO6" s="47">
        <v>0.0</v>
      </c>
      <c r="EP6" s="47">
        <v>300000.0</v>
      </c>
      <c r="EQ6" s="47">
        <v>0.4</v>
      </c>
      <c r="ER6" s="47">
        <v>1010.0</v>
      </c>
      <c r="ES6" s="47">
        <v>250010.0</v>
      </c>
      <c r="ET6" s="47">
        <v>0.0</v>
      </c>
      <c r="EU6" s="47">
        <v>0.4</v>
      </c>
      <c r="EV6" s="46" t="s">
        <v>61</v>
      </c>
      <c r="EW6" s="47">
        <v>250010.0</v>
      </c>
      <c r="EX6" s="49" t="b">
        <v>0</v>
      </c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</row>
    <row r="7" ht="15.75" customHeight="1">
      <c r="A7" s="8"/>
      <c r="B7" s="8"/>
      <c r="C7" s="46" t="s">
        <v>28</v>
      </c>
      <c r="D7" s="47">
        <v>1.0</v>
      </c>
      <c r="E7" s="46" t="s">
        <v>22</v>
      </c>
      <c r="F7" s="46" t="s">
        <v>26</v>
      </c>
      <c r="G7" s="47">
        <v>50000.0</v>
      </c>
      <c r="H7" s="46" t="s">
        <v>61</v>
      </c>
      <c r="I7" s="47">
        <v>10.0</v>
      </c>
      <c r="J7" s="47">
        <v>-499900.0</v>
      </c>
      <c r="K7" s="47">
        <v>10.0</v>
      </c>
      <c r="L7" s="47">
        <v>10.0</v>
      </c>
      <c r="M7" s="47">
        <v>1010.0</v>
      </c>
      <c r="N7" s="47">
        <v>-49990.0</v>
      </c>
      <c r="O7" s="46" t="s">
        <v>62</v>
      </c>
      <c r="P7" s="46" t="s">
        <v>63</v>
      </c>
      <c r="Q7" s="47">
        <v>-49990.0</v>
      </c>
      <c r="R7" s="46" t="s">
        <v>64</v>
      </c>
      <c r="S7" s="46" t="s">
        <v>65</v>
      </c>
      <c r="T7" s="46" t="s">
        <v>49</v>
      </c>
      <c r="U7" s="46" t="s">
        <v>58</v>
      </c>
      <c r="V7" s="46" t="s">
        <v>44</v>
      </c>
      <c r="W7" s="46" t="s">
        <v>23</v>
      </c>
      <c r="X7" s="47">
        <v>1.0</v>
      </c>
      <c r="Y7" s="47">
        <v>1.0</v>
      </c>
      <c r="Z7" s="46"/>
      <c r="AA7" s="46"/>
      <c r="AB7" s="47">
        <v>0.0</v>
      </c>
      <c r="AC7" s="47">
        <v>0.0</v>
      </c>
      <c r="AD7" s="47">
        <v>10.0</v>
      </c>
      <c r="AE7" s="47">
        <v>10.0</v>
      </c>
      <c r="AF7" s="47">
        <v>1.0</v>
      </c>
      <c r="AG7" s="47">
        <v>10.0</v>
      </c>
      <c r="AH7" s="47">
        <v>10.0</v>
      </c>
      <c r="AI7" s="47">
        <v>10.0</v>
      </c>
      <c r="AJ7" s="47">
        <v>0.4</v>
      </c>
      <c r="AK7" s="47">
        <v>-49990.0</v>
      </c>
      <c r="AL7" s="47">
        <v>1.0</v>
      </c>
      <c r="AM7" s="47">
        <v>1.0</v>
      </c>
      <c r="AN7" s="46" t="s">
        <v>29</v>
      </c>
      <c r="AO7" s="46"/>
      <c r="AP7" s="46" t="s">
        <v>61</v>
      </c>
      <c r="AQ7" s="46" t="s">
        <v>28</v>
      </c>
      <c r="AR7" s="47">
        <v>10.0</v>
      </c>
      <c r="AS7" s="47">
        <v>1.0</v>
      </c>
      <c r="AT7" s="46"/>
      <c r="AU7" s="46"/>
      <c r="AV7" s="47">
        <v>1.0</v>
      </c>
      <c r="AW7" s="47">
        <v>-49990.0</v>
      </c>
      <c r="AX7" s="47">
        <v>0.0</v>
      </c>
      <c r="AY7" s="47">
        <v>0.0</v>
      </c>
      <c r="AZ7" s="47">
        <v>10.0</v>
      </c>
      <c r="BA7" s="47">
        <v>-99.98</v>
      </c>
      <c r="BB7" s="46"/>
      <c r="BC7" s="47">
        <v>1.0</v>
      </c>
      <c r="BD7" s="47">
        <v>-50000.0</v>
      </c>
      <c r="BE7" s="46" t="s">
        <v>49</v>
      </c>
      <c r="BF7" s="46" t="s">
        <v>68</v>
      </c>
      <c r="BG7" s="46" t="s">
        <v>69</v>
      </c>
      <c r="BH7" s="46" t="s">
        <v>63</v>
      </c>
      <c r="BI7" s="47">
        <v>5.0</v>
      </c>
      <c r="BJ7" s="47">
        <v>0.0</v>
      </c>
      <c r="BK7" s="47">
        <v>0.0</v>
      </c>
      <c r="BL7" s="47">
        <v>0.0</v>
      </c>
      <c r="BM7" s="47">
        <v>0.0</v>
      </c>
      <c r="BN7" s="51"/>
      <c r="BO7" s="47">
        <v>-50000.0</v>
      </c>
      <c r="BP7" s="47">
        <v>0.0</v>
      </c>
      <c r="BQ7" s="46" t="s">
        <v>45</v>
      </c>
      <c r="BR7" s="46" t="s">
        <v>51</v>
      </c>
      <c r="BS7" s="47">
        <v>0.0</v>
      </c>
      <c r="BT7" s="47">
        <v>0.0</v>
      </c>
      <c r="BU7" s="46" t="s">
        <v>49</v>
      </c>
      <c r="BV7" s="46"/>
      <c r="BW7" s="47">
        <v>0.0</v>
      </c>
      <c r="BX7" s="47">
        <v>10.0</v>
      </c>
      <c r="BY7" s="47">
        <v>10.0</v>
      </c>
      <c r="BZ7" s="47">
        <v>10.0</v>
      </c>
      <c r="CA7" s="47">
        <v>10.0</v>
      </c>
      <c r="CB7" s="46"/>
      <c r="CC7" s="47">
        <v>0.0</v>
      </c>
      <c r="CD7" s="47">
        <v>-49990.0</v>
      </c>
      <c r="CE7" s="47">
        <v>0.0</v>
      </c>
      <c r="CF7" s="47">
        <v>0.0</v>
      </c>
      <c r="CG7" s="47">
        <v>-49990.0</v>
      </c>
      <c r="CH7" s="47">
        <v>-99.98</v>
      </c>
      <c r="CI7" s="47">
        <v>0.0</v>
      </c>
      <c r="CJ7" s="47">
        <v>0.0</v>
      </c>
      <c r="CK7" s="49" t="b">
        <v>0</v>
      </c>
      <c r="CL7" s="46"/>
      <c r="CM7" s="46"/>
      <c r="CN7" s="46" t="s">
        <v>28</v>
      </c>
      <c r="CO7" s="46" t="s">
        <v>28</v>
      </c>
      <c r="CP7" s="48" t="s">
        <v>43</v>
      </c>
      <c r="CQ7" s="52"/>
      <c r="CR7" s="52"/>
      <c r="CS7" s="47">
        <v>50000.0</v>
      </c>
      <c r="CT7" s="46"/>
      <c r="CU7" s="46"/>
      <c r="CV7" s="46"/>
      <c r="CW7" s="46"/>
      <c r="CX7" s="46"/>
      <c r="CY7" s="46" t="s">
        <v>70</v>
      </c>
      <c r="CZ7" s="46" t="s">
        <v>71</v>
      </c>
      <c r="DA7" s="47">
        <v>10.0</v>
      </c>
      <c r="DB7" s="47">
        <v>-499900.0</v>
      </c>
      <c r="DC7" s="46"/>
      <c r="DD7" s="47">
        <v>1.0</v>
      </c>
      <c r="DE7" s="47">
        <v>0.0</v>
      </c>
      <c r="DF7" s="47">
        <v>0.0</v>
      </c>
      <c r="DG7" s="47">
        <v>0.0</v>
      </c>
      <c r="DH7" s="46" t="s">
        <v>63</v>
      </c>
      <c r="DI7" s="47">
        <v>0.0</v>
      </c>
      <c r="DJ7" s="46" t="s">
        <v>29</v>
      </c>
      <c r="DK7" s="47">
        <v>0.0</v>
      </c>
      <c r="DL7" s="47">
        <v>0.0</v>
      </c>
      <c r="DM7" s="47">
        <v>1.0</v>
      </c>
      <c r="DN7" s="47">
        <v>10.0</v>
      </c>
      <c r="DO7" s="46"/>
      <c r="DP7" s="46" t="s">
        <v>61</v>
      </c>
      <c r="DQ7" s="46" t="s">
        <v>72</v>
      </c>
      <c r="DR7" s="46" t="s">
        <v>73</v>
      </c>
      <c r="DS7" s="46" t="s">
        <v>72</v>
      </c>
      <c r="DT7" s="46" t="s">
        <v>72</v>
      </c>
      <c r="DU7" s="46" t="s">
        <v>74</v>
      </c>
      <c r="DV7" s="46" t="s">
        <v>72</v>
      </c>
      <c r="DW7" s="46" t="s">
        <v>72</v>
      </c>
      <c r="DX7" s="46" t="s">
        <v>72</v>
      </c>
      <c r="DY7" s="46" t="s">
        <v>72</v>
      </c>
      <c r="DZ7" s="46" t="s">
        <v>62</v>
      </c>
      <c r="EA7" s="46" t="s">
        <v>74</v>
      </c>
      <c r="EB7" s="46" t="s">
        <v>72</v>
      </c>
      <c r="EC7" s="46" t="s">
        <v>72</v>
      </c>
      <c r="ED7" s="46" t="s">
        <v>23</v>
      </c>
      <c r="EE7" s="46" t="s">
        <v>75</v>
      </c>
      <c r="EF7" s="47">
        <v>0.0</v>
      </c>
      <c r="EG7" s="47">
        <v>0.0</v>
      </c>
      <c r="EH7" s="47">
        <v>0.0</v>
      </c>
      <c r="EI7" s="47">
        <v>0.0</v>
      </c>
      <c r="EJ7" s="47">
        <v>0.4</v>
      </c>
      <c r="EK7" s="47">
        <v>0.4</v>
      </c>
      <c r="EL7" s="46" t="s">
        <v>61</v>
      </c>
      <c r="EM7" s="47">
        <v>1010.0</v>
      </c>
      <c r="EN7" s="47">
        <v>1010.0</v>
      </c>
      <c r="EO7" s="47">
        <v>-16.66</v>
      </c>
      <c r="EP7" s="47">
        <v>300000.0</v>
      </c>
      <c r="EQ7" s="47">
        <v>0.0</v>
      </c>
      <c r="ER7" s="47">
        <v>1010.0</v>
      </c>
      <c r="ES7" s="47">
        <v>250010.0</v>
      </c>
      <c r="ET7" s="47">
        <v>-20.0</v>
      </c>
      <c r="EU7" s="47">
        <v>0.0</v>
      </c>
      <c r="EV7" s="46" t="s">
        <v>61</v>
      </c>
      <c r="EW7" s="47">
        <v>250010.0</v>
      </c>
      <c r="EX7" s="49" t="b">
        <v>0</v>
      </c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