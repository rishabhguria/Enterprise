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CustomOrderTT1" sheetId="5" r:id="rId7"/>
    <sheet state="visible" name="SetUIPreferencesTT" sheetId="6" r:id="rId8"/>
    <sheet state="visible" name="CustomOrderTT2" sheetId="7" r:id="rId9"/>
    <sheet state="visible" name="VerifyWorkingSubs" sheetId="8" r:id="rId10"/>
  </sheets>
  <definedNames/>
  <calcPr/>
</workbook>
</file>

<file path=xl/sharedStrings.xml><?xml version="1.0" encoding="utf-8"?>
<sst xmlns="http://schemas.openxmlformats.org/spreadsheetml/2006/main" count="194" uniqueCount="136">
  <si>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</si>
  <si>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</si>
  <si>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</si>
  <si>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</si>
  <si>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</si>
  <si>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</si>
  <si>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</si>
  <si>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</si>
  <si>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</si>
  <si>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</si>
  <si>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</si>
  <si>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</si>
  <si>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</si>
  <si>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</si>
  <si>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</si>
  <si>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</si>
  <si>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Symbol</t>
  </si>
  <si>
    <t>Quantity</t>
  </si>
  <si>
    <t>Price</t>
  </si>
  <si>
    <t>Order type button</t>
  </si>
  <si>
    <t>SharesOutstandingPopUp</t>
  </si>
  <si>
    <t>TT_Open</t>
  </si>
  <si>
    <t>SharesOutstandingPopUpQty</t>
  </si>
  <si>
    <t>AllocationMethod</t>
  </si>
  <si>
    <t>Order Side</t>
  </si>
  <si>
    <t>DB_Check</t>
  </si>
  <si>
    <t>CommissionBasis</t>
  </si>
  <si>
    <t>CommissionRate</t>
  </si>
  <si>
    <t>SoftBasis</t>
  </si>
  <si>
    <t>SoftRate</t>
  </si>
  <si>
    <t>Account</t>
  </si>
  <si>
    <t>Account %</t>
  </si>
  <si>
    <t>VerifySuggestions</t>
  </si>
  <si>
    <t>SymbolToPickFromSuggesstions</t>
  </si>
  <si>
    <t>TypedSymbolAvailableOnSuggestion</t>
  </si>
  <si>
    <t>TIF</t>
  </si>
  <si>
    <t>Order Type</t>
  </si>
  <si>
    <t>Stop</t>
  </si>
  <si>
    <t>Limit</t>
  </si>
  <si>
    <t>Expiration Date</t>
  </si>
  <si>
    <t>Trade Date</t>
  </si>
  <si>
    <t>Broker</t>
  </si>
  <si>
    <t>Padlock Visiblity</t>
  </si>
  <si>
    <t>Padlock Unlock</t>
  </si>
  <si>
    <t>Venue</t>
  </si>
  <si>
    <t>Fx Rate</t>
  </si>
  <si>
    <t>Fx Operator</t>
  </si>
  <si>
    <t>PendingApprovalPopUp</t>
  </si>
  <si>
    <t>TradeBy</t>
  </si>
  <si>
    <t>BookAsSwap</t>
  </si>
  <si>
    <t>RoundLot</t>
  </si>
  <si>
    <t>Increment</t>
  </si>
  <si>
    <t>Decrement</t>
  </si>
  <si>
    <t>Trade Attribute 01</t>
  </si>
  <si>
    <t>Trade Attribute 02</t>
  </si>
  <si>
    <t>Trade Attribute 03</t>
  </si>
  <si>
    <t>Trade Attribute 04</t>
  </si>
  <si>
    <t>Trade Attribute 05</t>
  </si>
  <si>
    <t>Trade Attribute 06</t>
  </si>
  <si>
    <t>Trade Attribute 01 suggestion</t>
  </si>
  <si>
    <t>Trade Attribute 02 suggestion</t>
  </si>
  <si>
    <t>Trade Attribute 03 suggestion</t>
  </si>
  <si>
    <t>Trade Attribute 04 suggestion</t>
  </si>
  <si>
    <t>Trade Attribute 05 suggestion</t>
  </si>
  <si>
    <t>Trade Attribute 06 suggestion</t>
  </si>
  <si>
    <t>Strategy</t>
  </si>
  <si>
    <t>A</t>
  </si>
  <si>
    <t>DoneAway</t>
  </si>
  <si>
    <t>Buy</t>
  </si>
  <si>
    <t>Clear</t>
  </si>
  <si>
    <t>B</t>
  </si>
  <si>
    <t>Handling Instruction</t>
  </si>
  <si>
    <t>Execution Instruction</t>
  </si>
  <si>
    <t>Settlement Currency</t>
  </si>
  <si>
    <t>Trader</t>
  </si>
  <si>
    <t>Default Quantity</t>
  </si>
  <si>
    <t>Apply Round Lots</t>
  </si>
  <si>
    <t>Increase On Quantity</t>
  </si>
  <si>
    <t>Increase On Stop</t>
  </si>
  <si>
    <t>Increase On Limit</t>
  </si>
  <si>
    <t>Broker_Enable?</t>
  </si>
  <si>
    <t>S1</t>
  </si>
  <si>
    <t>C</t>
  </si>
  <si>
    <t>Side</t>
  </si>
  <si>
    <t>Executed Qty</t>
  </si>
  <si>
    <t>Unexecuted Qty</t>
  </si>
  <si>
    <t>Status</t>
  </si>
  <si>
    <t>Last Shares</t>
  </si>
  <si>
    <t>Last Fill Price (Local)</t>
  </si>
  <si>
    <t>Avg Fill Price (Local)</t>
  </si>
  <si>
    <t>OrderStatus</t>
  </si>
  <si>
    <t>Avg Fill Price (Base)</t>
  </si>
  <si>
    <t>Limit Price</t>
  </si>
  <si>
    <t>Stop Price</t>
  </si>
  <si>
    <t>Actual User</t>
  </si>
  <si>
    <t>Bloomberg Symbol</t>
  </si>
  <si>
    <t>Algo</t>
  </si>
  <si>
    <t>Allocation Scheme Name</t>
  </si>
  <si>
    <t>Allocation Status</t>
  </si>
  <si>
    <t>Asset Class</t>
  </si>
  <si>
    <t>FX Conversion Operator</t>
  </si>
  <si>
    <t>FX Rate</t>
  </si>
  <si>
    <t>Imported File Name</t>
  </si>
  <si>
    <t>Internal Comments</t>
  </si>
  <si>
    <t>Peg</t>
  </si>
  <si>
    <t>Principal Amount (Base)</t>
  </si>
  <si>
    <t>Principal Amount (Local)</t>
  </si>
  <si>
    <t>Process Date</t>
  </si>
  <si>
    <t>Put/Call</t>
  </si>
  <si>
    <t>Source</t>
  </si>
  <si>
    <t>Status (With Rollover)</t>
  </si>
  <si>
    <t>Strike Price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</si>
  <si>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</si>
  <si>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</si>
  <si>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</si>
  <si>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</si>
  <si>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</si>
  <si>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</si>
  <si>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Transaction Time</t>
  </si>
  <si>
    <t>Underlying Country</t>
  </si>
  <si>
    <t>Underlying Symbol</t>
  </si>
  <si>
    <t>Working Qty</t>
  </si>
  <si>
    <t>Client</t>
  </si>
  <si>
    <t>OrderID</t>
  </si>
  <si>
    <t>ParentClOrderID</t>
  </si>
  <si>
    <t>Master Fund</t>
  </si>
  <si>
    <t>Current User</t>
  </si>
  <si>
    <t>% Completed</t>
  </si>
  <si>
    <t>isRowCountCheck</t>
  </si>
  <si>
    <t>MandatoryColumn</t>
  </si>
  <si>
    <t>Testing Type</t>
  </si>
  <si>
    <t>Testing Column</t>
  </si>
  <si>
    <t>Testing Col Value</t>
  </si>
  <si>
    <t>DuplicateRow</t>
  </si>
  <si>
    <t>DuplicateCountOnUI</t>
  </si>
  <si>
    <t>Strategy Unallocated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</si>
</sst>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5" fontId="10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16</v>
      </c>
      <c r="C5" s="27" t="s">
        <v>17</v>
      </c>
      <c r="D5" s="27" t="s">
        <v>18</v>
      </c>
      <c r="E5" s="27" t="s">
        <v>19</v>
      </c>
      <c r="F5" s="28" t="s">
        <v>20</v>
      </c>
      <c r="G5" s="27" t="s">
        <v>21</v>
      </c>
      <c r="H5" s="27" t="s">
        <v>22</v>
      </c>
      <c r="I5" s="27" t="s">
        <v>23</v>
      </c>
      <c r="J5" s="27" t="s">
        <v>24</v>
      </c>
      <c r="K5" s="27" t="s">
        <v>25</v>
      </c>
      <c r="L5" s="27" t="s">
        <v>26</v>
      </c>
      <c r="M5" s="27" t="s">
        <v>27</v>
      </c>
      <c r="N5" s="27" t="s">
        <v>28</v>
      </c>
      <c r="O5" s="27" t="s">
        <v>29</v>
      </c>
      <c r="P5" s="27" t="s">
        <v>30</v>
      </c>
      <c r="Q5" s="27" t="s">
        <v>31</v>
      </c>
      <c r="R5" s="27" t="s">
        <v>32</v>
      </c>
      <c r="S5" s="27" t="s">
        <v>33</v>
      </c>
      <c r="T5" s="29" t="s">
        <v>34</v>
      </c>
      <c r="U5" s="29" t="s">
        <v>35</v>
      </c>
      <c r="V5" s="29" t="s">
        <v>36</v>
      </c>
      <c r="W5" s="29" t="s">
        <v>37</v>
      </c>
      <c r="X5" s="29" t="s">
        <v>38</v>
      </c>
      <c r="Y5" s="29" t="s">
        <v>39</v>
      </c>
      <c r="Z5" s="29" t="s">
        <v>40</v>
      </c>
      <c r="AA5" s="29" t="s">
        <v>41</v>
      </c>
      <c r="AB5" s="29" t="s">
        <v>42</v>
      </c>
      <c r="AC5" s="29" t="s">
        <v>43</v>
      </c>
      <c r="AD5" s="29" t="s">
        <v>44</v>
      </c>
      <c r="AE5" s="29" t="s">
        <v>45</v>
      </c>
      <c r="AF5" s="29" t="s">
        <v>46</v>
      </c>
      <c r="AG5" s="29" t="s">
        <v>47</v>
      </c>
      <c r="AH5" s="29" t="s">
        <v>48</v>
      </c>
      <c r="AI5" s="29" t="s">
        <v>49</v>
      </c>
      <c r="AJ5" s="29" t="s">
        <v>50</v>
      </c>
      <c r="AK5" s="29" t="s">
        <v>51</v>
      </c>
      <c r="AL5" s="29" t="s">
        <v>52</v>
      </c>
      <c r="AM5" s="29" t="s">
        <v>53</v>
      </c>
      <c r="AN5" s="29" t="s">
        <v>54</v>
      </c>
      <c r="AO5" s="29" t="s">
        <v>55</v>
      </c>
      <c r="AP5" s="29" t="s">
        <v>56</v>
      </c>
      <c r="AQ5" s="29" t="s">
        <v>57</v>
      </c>
      <c r="AR5" s="29" t="s">
        <v>58</v>
      </c>
      <c r="AS5" s="29" t="s">
        <v>59</v>
      </c>
      <c r="AT5" s="29" t="s">
        <v>60</v>
      </c>
      <c r="AU5" s="29" t="s">
        <v>61</v>
      </c>
      <c r="AV5" s="29" t="s">
        <v>62</v>
      </c>
      <c r="AW5" s="29" t="s">
        <v>63</v>
      </c>
      <c r="AX5" s="29" t="s">
        <v>64</v>
      </c>
      <c r="AY5" s="29" t="s">
        <v>65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7.25" customHeight="1">
      <c r="A6" s="30"/>
      <c r="B6" s="31" t="s">
        <v>66</v>
      </c>
      <c r="C6" s="32">
        <v>10.0</v>
      </c>
      <c r="D6" s="32">
        <v>2.0</v>
      </c>
      <c r="E6" s="31" t="s">
        <v>67</v>
      </c>
      <c r="F6" s="33"/>
      <c r="G6" s="33"/>
      <c r="H6" s="33"/>
      <c r="I6" s="33"/>
      <c r="J6" s="34" t="s">
        <v>68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4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4"/>
      <c r="AN6" s="34"/>
      <c r="AO6" s="34"/>
      <c r="AP6" s="34"/>
      <c r="AQ6" s="34"/>
      <c r="AR6" s="34"/>
      <c r="AS6" s="35"/>
      <c r="AT6" s="35"/>
      <c r="AU6" s="33"/>
      <c r="AV6" s="33"/>
      <c r="AW6" s="35"/>
      <c r="AX6" s="33"/>
      <c r="AY6" s="34" t="s">
        <v>69</v>
      </c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12"/>
      <c r="C7" s="12"/>
      <c r="D7" s="12"/>
      <c r="E7" s="12"/>
      <c r="F7" s="8"/>
      <c r="G7" s="8"/>
      <c r="H7" s="8"/>
      <c r="I7" s="8"/>
      <c r="J7" s="34"/>
      <c r="K7" s="8"/>
      <c r="L7" s="8"/>
      <c r="M7" s="8"/>
      <c r="N7" s="8"/>
      <c r="O7" s="8"/>
      <c r="AA7" s="34"/>
    </row>
    <row r="8" ht="15.75" customHeight="1">
      <c r="A8" s="8"/>
      <c r="B8" s="12"/>
      <c r="C8" s="12"/>
      <c r="D8" s="12"/>
      <c r="E8" s="12"/>
      <c r="F8" s="8"/>
      <c r="G8" s="8"/>
      <c r="H8" s="8"/>
      <c r="I8" s="8"/>
      <c r="J8" s="34"/>
      <c r="K8" s="8"/>
      <c r="L8" s="8"/>
      <c r="M8" s="8"/>
      <c r="N8" s="8"/>
      <c r="O8" s="8"/>
      <c r="AA8" s="34"/>
    </row>
    <row r="9" ht="15.75" customHeight="1">
      <c r="A9" s="8"/>
      <c r="B9" s="12"/>
      <c r="C9" s="12"/>
      <c r="D9" s="12"/>
      <c r="E9" s="12"/>
      <c r="F9" s="8"/>
      <c r="G9" s="8"/>
      <c r="H9" s="8"/>
      <c r="I9" s="8"/>
      <c r="J9" s="34"/>
      <c r="K9" s="8"/>
      <c r="L9" s="8"/>
      <c r="M9" s="8"/>
      <c r="N9" s="8"/>
      <c r="O9" s="8"/>
      <c r="AA9" s="34"/>
    </row>
    <row r="10" ht="15.75" customHeight="1">
      <c r="A10" s="8"/>
      <c r="B10" s="12"/>
      <c r="C10" s="12"/>
      <c r="D10" s="12"/>
      <c r="E10" s="12"/>
      <c r="F10" s="8"/>
      <c r="G10" s="8"/>
      <c r="H10" s="8"/>
      <c r="I10" s="8"/>
      <c r="J10" s="34"/>
      <c r="K10" s="8"/>
      <c r="L10" s="8"/>
      <c r="M10" s="8"/>
      <c r="N10" s="8"/>
      <c r="O10" s="8"/>
      <c r="AA10" s="34"/>
    </row>
    <row r="11" ht="15.75" customHeight="1">
      <c r="A11" s="8"/>
      <c r="B11" s="12"/>
      <c r="C11" s="12"/>
      <c r="D11" s="12"/>
      <c r="E11" s="12"/>
      <c r="F11" s="8"/>
      <c r="G11" s="8"/>
      <c r="H11" s="8"/>
      <c r="I11" s="8"/>
      <c r="J11" s="34"/>
      <c r="K11" s="8"/>
      <c r="L11" s="8"/>
      <c r="M11" s="8"/>
      <c r="N11" s="8"/>
      <c r="O11" s="8"/>
      <c r="AA11" s="34"/>
    </row>
    <row r="12" ht="15.75" customHeight="1">
      <c r="A12" s="8"/>
      <c r="B12" s="12"/>
      <c r="C12" s="12"/>
      <c r="D12" s="12"/>
      <c r="E12" s="12"/>
      <c r="F12" s="8"/>
      <c r="G12" s="8"/>
      <c r="H12" s="8"/>
      <c r="I12" s="8"/>
      <c r="J12" s="34"/>
      <c r="K12" s="8"/>
      <c r="L12" s="8"/>
      <c r="M12" s="8"/>
      <c r="N12" s="8"/>
      <c r="O12" s="8"/>
      <c r="AA12" s="34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38" width="12.63"/>
    <col customWidth="1" min="39" max="39" width="16.38"/>
    <col customWidth="1" min="40" max="40" width="15.25"/>
    <col customWidth="1" min="41" max="41" width="15.38"/>
    <col customWidth="1" min="42" max="42" width="15.13"/>
    <col customWidth="1" min="43" max="44" width="15.0"/>
    <col customWidth="1" min="45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 t="str">
        <f>IFERROR(__xludf.DUMMYFUNCTION("""COMPUTED_VALUE"""),"Trade Attribute 01 suggestion")</f>
        <v>Trade Attribute 01 suggestion</v>
      </c>
      <c r="AT5" s="29" t="str">
        <f>IFERROR(__xludf.DUMMYFUNCTION("""COMPUTED_VALUE"""),"Trade Attribute 02 suggestion")</f>
        <v>Trade Attribute 02 suggestion</v>
      </c>
      <c r="AU5" s="29" t="str">
        <f>IFERROR(__xludf.DUMMYFUNCTION("""COMPUTED_VALUE"""),"Trade Attribute 03 suggestion")</f>
        <v>Trade Attribute 03 suggestion</v>
      </c>
      <c r="AV5" s="29" t="str">
        <f>IFERROR(__xludf.DUMMYFUNCTION("""COMPUTED_VALUE"""),"Trade Attribute 04 suggestion")</f>
        <v>Trade Attribute 04 suggestion</v>
      </c>
      <c r="AW5" s="29" t="str">
        <f>IFERROR(__xludf.DUMMYFUNCTION("""COMPUTED_VALUE"""),"Trade Attribute 05 suggestion")</f>
        <v>Trade Attribute 05 suggestion</v>
      </c>
      <c r="AX5" s="29" t="str">
        <f>IFERROR(__xludf.DUMMYFUNCTION("""COMPUTED_VALUE"""),"Trade Attribute 06 suggestion")</f>
        <v>Trade Attribute 06 suggestion</v>
      </c>
      <c r="AY5" s="29" t="str">
        <f>IFERROR(__xludf.DUMMYFUNCTION("""COMPUTED_VALUE"""),"Strategy")</f>
        <v>Strategy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7.25" customHeight="1">
      <c r="A6" s="30"/>
      <c r="B6" s="31" t="s">
        <v>70</v>
      </c>
      <c r="C6" s="32">
        <v>10.0</v>
      </c>
      <c r="D6" s="32">
        <v>2.0</v>
      </c>
      <c r="E6" s="31" t="s">
        <v>67</v>
      </c>
      <c r="F6" s="33"/>
      <c r="G6" s="33"/>
      <c r="H6" s="33"/>
      <c r="I6" s="33"/>
      <c r="J6" s="34" t="s">
        <v>68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4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4"/>
      <c r="AN6" s="34"/>
      <c r="AO6" s="34"/>
      <c r="AP6" s="34"/>
      <c r="AQ6" s="34"/>
      <c r="AR6" s="34"/>
      <c r="AS6" s="35"/>
      <c r="AT6" s="35"/>
      <c r="AU6" s="33"/>
      <c r="AV6" s="33"/>
      <c r="AW6" s="35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41</v>
      </c>
      <c r="C5" s="28" t="s">
        <v>44</v>
      </c>
      <c r="D5" s="28" t="s">
        <v>36</v>
      </c>
      <c r="E5" s="28" t="s">
        <v>35</v>
      </c>
      <c r="F5" s="28" t="s">
        <v>71</v>
      </c>
      <c r="G5" s="28" t="s">
        <v>72</v>
      </c>
      <c r="H5" s="28" t="s">
        <v>65</v>
      </c>
      <c r="I5" s="28" t="s">
        <v>30</v>
      </c>
      <c r="J5" s="28" t="s">
        <v>73</v>
      </c>
      <c r="K5" s="28" t="s">
        <v>74</v>
      </c>
      <c r="L5" s="28" t="s">
        <v>75</v>
      </c>
      <c r="M5" s="28" t="s">
        <v>76</v>
      </c>
      <c r="N5" s="28" t="s">
        <v>17</v>
      </c>
      <c r="O5" s="28" t="s">
        <v>77</v>
      </c>
      <c r="P5" s="28" t="s">
        <v>78</v>
      </c>
      <c r="Q5" s="28" t="s">
        <v>79</v>
      </c>
      <c r="R5" s="28" t="s">
        <v>80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7.25" customHeight="1">
      <c r="A6" s="30"/>
      <c r="B6" s="31"/>
      <c r="C6" s="32"/>
      <c r="D6" s="32"/>
      <c r="E6" s="31"/>
      <c r="F6" s="33"/>
      <c r="G6" s="33"/>
      <c r="H6" s="34" t="s">
        <v>81</v>
      </c>
      <c r="I6" s="33"/>
      <c r="J6" s="34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4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4"/>
      <c r="AN6" s="34"/>
      <c r="AO6" s="34"/>
      <c r="AP6" s="34"/>
      <c r="AQ6" s="34"/>
      <c r="AR6" s="34"/>
      <c r="AS6" s="35"/>
      <c r="AT6" s="35"/>
      <c r="AU6" s="33"/>
      <c r="AV6" s="33"/>
      <c r="AW6" s="35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12"/>
      <c r="C7" s="12"/>
      <c r="D7" s="12"/>
      <c r="E7" s="12"/>
      <c r="F7" s="8"/>
      <c r="G7" s="8"/>
      <c r="H7" s="8"/>
      <c r="I7" s="8"/>
      <c r="J7" s="34"/>
      <c r="K7" s="8"/>
      <c r="L7" s="8"/>
      <c r="M7" s="8"/>
      <c r="N7" s="8"/>
      <c r="O7" s="8"/>
      <c r="AA7" s="34"/>
    </row>
    <row r="8" ht="15.75" customHeight="1">
      <c r="A8" s="8"/>
      <c r="B8" s="12"/>
      <c r="C8" s="12"/>
      <c r="D8" s="12"/>
      <c r="E8" s="12"/>
      <c r="F8" s="8"/>
      <c r="G8" s="8"/>
      <c r="H8" s="8"/>
      <c r="I8" s="8"/>
      <c r="J8" s="34"/>
      <c r="K8" s="8"/>
      <c r="L8" s="8"/>
      <c r="M8" s="8"/>
      <c r="N8" s="8"/>
      <c r="O8" s="8"/>
      <c r="AA8" s="34"/>
    </row>
    <row r="9" ht="15.75" customHeight="1">
      <c r="A9" s="8"/>
      <c r="B9" s="12"/>
      <c r="C9" s="12"/>
      <c r="D9" s="12"/>
      <c r="E9" s="12"/>
      <c r="F9" s="8"/>
      <c r="G9" s="8"/>
      <c r="H9" s="8"/>
      <c r="I9" s="8"/>
      <c r="J9" s="34"/>
      <c r="K9" s="8"/>
      <c r="L9" s="8"/>
      <c r="M9" s="8"/>
      <c r="N9" s="8"/>
      <c r="O9" s="8"/>
      <c r="AA9" s="34"/>
    </row>
    <row r="10" ht="15.75" customHeight="1">
      <c r="A10" s="8"/>
      <c r="B10" s="12"/>
      <c r="C10" s="12"/>
      <c r="D10" s="12"/>
      <c r="E10" s="12"/>
      <c r="F10" s="8"/>
      <c r="G10" s="8"/>
      <c r="H10" s="8"/>
      <c r="I10" s="8"/>
      <c r="J10" s="34"/>
      <c r="K10" s="8"/>
      <c r="L10" s="8"/>
      <c r="M10" s="8"/>
      <c r="N10" s="8"/>
      <c r="O10" s="8"/>
      <c r="AA10" s="34"/>
    </row>
    <row r="11" ht="15.75" customHeight="1">
      <c r="A11" s="8"/>
      <c r="B11" s="12"/>
      <c r="C11" s="12"/>
      <c r="D11" s="12"/>
      <c r="E11" s="12"/>
      <c r="F11" s="8"/>
      <c r="G11" s="8"/>
      <c r="H11" s="8"/>
      <c r="I11" s="8"/>
      <c r="J11" s="34"/>
      <c r="K11" s="8"/>
      <c r="L11" s="8"/>
      <c r="M11" s="8"/>
      <c r="N11" s="8"/>
      <c r="O11" s="8"/>
      <c r="AA11" s="34"/>
    </row>
    <row r="12" ht="15.75" customHeight="1">
      <c r="A12" s="8"/>
      <c r="B12" s="12"/>
      <c r="C12" s="12"/>
      <c r="D12" s="12"/>
      <c r="E12" s="12"/>
      <c r="F12" s="8"/>
      <c r="G12" s="8"/>
      <c r="H12" s="8"/>
      <c r="I12" s="8"/>
      <c r="J12" s="34"/>
      <c r="K12" s="8"/>
      <c r="L12" s="8"/>
      <c r="M12" s="8"/>
      <c r="N12" s="8"/>
      <c r="O12" s="8"/>
      <c r="AA12" s="34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SetUIPreferencesTT!$4:$4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38" width="12.63"/>
    <col customWidth="1" min="39" max="39" width="16.38"/>
    <col customWidth="1" min="40" max="40" width="15.25"/>
    <col customWidth="1" min="41" max="41" width="15.38"/>
    <col customWidth="1" min="42" max="42" width="15.13"/>
    <col customWidth="1" min="43" max="44" width="15.0"/>
    <col customWidth="1" min="45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 t="str">
        <f>IFERROR(__xludf.DUMMYFUNCTION("""COMPUTED_VALUE"""),"Trade Attribute 01 suggestion")</f>
        <v>Trade Attribute 01 suggestion</v>
      </c>
      <c r="AT5" s="29" t="str">
        <f>IFERROR(__xludf.DUMMYFUNCTION("""COMPUTED_VALUE"""),"Trade Attribute 02 suggestion")</f>
        <v>Trade Attribute 02 suggestion</v>
      </c>
      <c r="AU5" s="29" t="str">
        <f>IFERROR(__xludf.DUMMYFUNCTION("""COMPUTED_VALUE"""),"Trade Attribute 03 suggestion")</f>
        <v>Trade Attribute 03 suggestion</v>
      </c>
      <c r="AV5" s="29" t="str">
        <f>IFERROR(__xludf.DUMMYFUNCTION("""COMPUTED_VALUE"""),"Trade Attribute 04 suggestion")</f>
        <v>Trade Attribute 04 suggestion</v>
      </c>
      <c r="AW5" s="29" t="str">
        <f>IFERROR(__xludf.DUMMYFUNCTION("""COMPUTED_VALUE"""),"Trade Attribute 05 suggestion")</f>
        <v>Trade Attribute 05 suggestion</v>
      </c>
      <c r="AX5" s="29" t="str">
        <f>IFERROR(__xludf.DUMMYFUNCTION("""COMPUTED_VALUE"""),"Trade Attribute 06 suggestion")</f>
        <v>Trade Attribute 06 suggestion</v>
      </c>
      <c r="AY5" s="29" t="str">
        <f>IFERROR(__xludf.DUMMYFUNCTION("""COMPUTED_VALUE"""),"Strategy")</f>
        <v>Strategy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7.25" customHeight="1">
      <c r="A6" s="30"/>
      <c r="B6" s="31" t="s">
        <v>82</v>
      </c>
      <c r="C6" s="32">
        <v>10.0</v>
      </c>
      <c r="D6" s="32">
        <v>2.0</v>
      </c>
      <c r="E6" s="31" t="s">
        <v>67</v>
      </c>
      <c r="F6" s="33"/>
      <c r="G6" s="33"/>
      <c r="H6" s="33"/>
      <c r="I6" s="33"/>
      <c r="J6" s="34" t="s">
        <v>68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4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4"/>
      <c r="AN6" s="34"/>
      <c r="AO6" s="34"/>
      <c r="AP6" s="34"/>
      <c r="AQ6" s="34"/>
      <c r="AR6" s="34"/>
      <c r="AS6" s="35"/>
      <c r="AT6" s="35"/>
      <c r="AU6" s="33"/>
      <c r="AV6" s="33"/>
      <c r="AW6" s="35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</row>
    <row r="5" ht="15.75" customHeight="1">
      <c r="A5" s="26"/>
      <c r="B5" s="28" t="s">
        <v>16</v>
      </c>
      <c r="C5" s="28" t="s">
        <v>83</v>
      </c>
      <c r="D5" s="28" t="s">
        <v>17</v>
      </c>
      <c r="E5" s="28" t="s">
        <v>84</v>
      </c>
      <c r="F5" s="28" t="s">
        <v>85</v>
      </c>
      <c r="G5" s="28" t="s">
        <v>86</v>
      </c>
      <c r="H5" s="28" t="s">
        <v>87</v>
      </c>
      <c r="I5" s="28" t="s">
        <v>88</v>
      </c>
      <c r="J5" s="28" t="s">
        <v>89</v>
      </c>
      <c r="K5" s="28" t="s">
        <v>41</v>
      </c>
      <c r="L5" s="28" t="s">
        <v>30</v>
      </c>
      <c r="M5" s="28" t="s">
        <v>36</v>
      </c>
      <c r="N5" s="28" t="s">
        <v>90</v>
      </c>
      <c r="O5" s="28" t="s">
        <v>91</v>
      </c>
      <c r="P5" s="28" t="s">
        <v>92</v>
      </c>
      <c r="Q5" s="28" t="s">
        <v>93</v>
      </c>
      <c r="R5" s="28" t="s">
        <v>94</v>
      </c>
      <c r="S5" s="28" t="s">
        <v>95</v>
      </c>
      <c r="T5" s="36" t="s">
        <v>96</v>
      </c>
      <c r="U5" s="36" t="s">
        <v>97</v>
      </c>
      <c r="V5" s="36" t="s">
        <v>98</v>
      </c>
      <c r="W5" s="36" t="s">
        <v>99</v>
      </c>
      <c r="X5" s="36" t="s">
        <v>100</v>
      </c>
      <c r="Y5" s="36" t="s">
        <v>101</v>
      </c>
      <c r="Z5" s="36" t="s">
        <v>102</v>
      </c>
      <c r="AA5" s="36" t="s">
        <v>103</v>
      </c>
      <c r="AB5" s="36" t="s">
        <v>104</v>
      </c>
      <c r="AC5" s="36" t="s">
        <v>105</v>
      </c>
      <c r="AD5" s="36" t="s">
        <v>106</v>
      </c>
      <c r="AE5" s="36" t="s">
        <v>107</v>
      </c>
      <c r="AF5" s="36" t="s">
        <v>108</v>
      </c>
      <c r="AG5" s="36" t="s">
        <v>73</v>
      </c>
      <c r="AH5" s="36" t="s">
        <v>109</v>
      </c>
      <c r="AI5" s="36" t="s">
        <v>110</v>
      </c>
      <c r="AJ5" s="36" t="s">
        <v>65</v>
      </c>
      <c r="AK5" s="36" t="s">
        <v>111</v>
      </c>
      <c r="AL5" s="36" t="s">
        <v>112</v>
      </c>
      <c r="AM5" s="36" t="s">
        <v>113</v>
      </c>
      <c r="AN5" s="36" t="s">
        <v>114</v>
      </c>
      <c r="AO5" s="36" t="s">
        <v>115</v>
      </c>
      <c r="AP5" s="36" t="s">
        <v>116</v>
      </c>
      <c r="AQ5" s="36" t="s">
        <v>117</v>
      </c>
      <c r="AR5" s="36" t="s">
        <v>74</v>
      </c>
      <c r="AS5" s="36" t="s">
        <v>118</v>
      </c>
      <c r="AT5" s="36" t="s">
        <v>119</v>
      </c>
      <c r="AU5" s="36" t="s">
        <v>120</v>
      </c>
      <c r="AV5" s="36" t="s">
        <v>44</v>
      </c>
      <c r="AW5" s="36" t="s">
        <v>121</v>
      </c>
      <c r="AX5" s="36" t="s">
        <v>122</v>
      </c>
      <c r="AY5" s="36" t="s">
        <v>123</v>
      </c>
      <c r="AZ5" s="36" t="s">
        <v>124</v>
      </c>
      <c r="BA5" s="36" t="s">
        <v>125</v>
      </c>
      <c r="BB5" s="36" t="s">
        <v>126</v>
      </c>
      <c r="BC5" s="36" t="s">
        <v>127</v>
      </c>
      <c r="BD5" s="36" t="s">
        <v>128</v>
      </c>
      <c r="BE5" s="36" t="s">
        <v>129</v>
      </c>
      <c r="BF5" s="36" t="s">
        <v>130</v>
      </c>
      <c r="BG5" s="36" t="s">
        <v>131</v>
      </c>
      <c r="BH5" s="36" t="s">
        <v>132</v>
      </c>
      <c r="BI5" s="36" t="s">
        <v>133</v>
      </c>
      <c r="BJ5" s="36" t="s">
        <v>134</v>
      </c>
      <c r="BK5" s="36"/>
      <c r="BL5" s="36"/>
      <c r="BM5" s="36"/>
      <c r="BN5" s="36"/>
      <c r="BO5" s="36"/>
      <c r="BP5" s="36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</row>
    <row r="6" ht="17.25" customHeight="1">
      <c r="A6" s="30"/>
      <c r="B6" s="31" t="s">
        <v>66</v>
      </c>
      <c r="C6" s="32" t="s">
        <v>68</v>
      </c>
      <c r="D6" s="32"/>
      <c r="E6" s="31"/>
      <c r="F6" s="33"/>
      <c r="G6" s="33"/>
      <c r="H6" s="34"/>
      <c r="I6" s="33"/>
      <c r="J6" s="34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4"/>
      <c r="AB6" s="33"/>
      <c r="AC6" s="33"/>
      <c r="AD6" s="33"/>
      <c r="AE6" s="33"/>
      <c r="AF6" s="33"/>
      <c r="AG6" s="33"/>
      <c r="AH6" s="33"/>
      <c r="AI6" s="34"/>
      <c r="AJ6" s="34" t="s">
        <v>135</v>
      </c>
      <c r="AK6" s="33"/>
      <c r="AL6" s="33"/>
      <c r="AM6" s="34"/>
      <c r="AN6" s="34"/>
      <c r="AO6" s="34"/>
      <c r="AP6" s="34"/>
      <c r="AQ6" s="34"/>
      <c r="AR6" s="34"/>
      <c r="AS6" s="35"/>
      <c r="AT6" s="35"/>
      <c r="AU6" s="33"/>
      <c r="AV6" s="33"/>
      <c r="AW6" s="35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</row>
    <row r="7" ht="15.75" customHeight="1">
      <c r="A7" s="8"/>
      <c r="B7" s="12" t="s">
        <v>70</v>
      </c>
      <c r="C7" s="32" t="s">
        <v>68</v>
      </c>
      <c r="D7" s="12"/>
      <c r="E7" s="12"/>
      <c r="F7" s="8"/>
      <c r="G7" s="8"/>
      <c r="H7" s="8"/>
      <c r="I7" s="8"/>
      <c r="J7" s="34"/>
      <c r="K7" s="8"/>
      <c r="L7" s="8"/>
      <c r="M7" s="8"/>
      <c r="N7" s="8"/>
      <c r="O7" s="8"/>
      <c r="AA7" s="34"/>
      <c r="AJ7" s="34" t="s">
        <v>135</v>
      </c>
    </row>
    <row r="8" ht="15.75" customHeight="1">
      <c r="A8" s="8"/>
      <c r="B8" s="12" t="s">
        <v>82</v>
      </c>
      <c r="C8" s="32" t="s">
        <v>68</v>
      </c>
      <c r="D8" s="12"/>
      <c r="E8" s="12"/>
      <c r="F8" s="8"/>
      <c r="G8" s="8"/>
      <c r="H8" s="8"/>
      <c r="I8" s="8"/>
      <c r="J8" s="34"/>
      <c r="K8" s="8"/>
      <c r="L8" s="8"/>
      <c r="M8" s="8"/>
      <c r="N8" s="8"/>
      <c r="O8" s="8"/>
      <c r="AA8" s="34"/>
      <c r="AJ8" s="34" t="s">
        <v>81</v>
      </c>
    </row>
    <row r="9" ht="15.75" customHeight="1">
      <c r="A9" s="8"/>
      <c r="B9" s="12"/>
      <c r="C9" s="12"/>
      <c r="D9" s="12"/>
      <c r="E9" s="12"/>
      <c r="F9" s="8"/>
      <c r="G9" s="8"/>
      <c r="H9" s="8"/>
      <c r="I9" s="8"/>
      <c r="J9" s="34"/>
      <c r="K9" s="8"/>
      <c r="L9" s="8"/>
      <c r="M9" s="8"/>
      <c r="N9" s="8"/>
      <c r="O9" s="8"/>
      <c r="AA9" s="34"/>
    </row>
    <row r="10" ht="15.75" customHeight="1">
      <c r="A10" s="8"/>
      <c r="B10" s="12"/>
      <c r="C10" s="12"/>
      <c r="D10" s="12"/>
      <c r="E10" s="12"/>
      <c r="F10" s="8"/>
      <c r="G10" s="8"/>
      <c r="H10" s="8"/>
      <c r="I10" s="8"/>
      <c r="J10" s="34"/>
      <c r="K10" s="8"/>
      <c r="L10" s="8"/>
      <c r="M10" s="8"/>
      <c r="N10" s="8"/>
      <c r="O10" s="8"/>
      <c r="AA10" s="34"/>
    </row>
    <row r="11" ht="15.75" customHeight="1">
      <c r="A11" s="8"/>
      <c r="B11" s="12"/>
      <c r="C11" s="12"/>
      <c r="D11" s="12"/>
      <c r="E11" s="12"/>
      <c r="F11" s="8"/>
      <c r="G11" s="8"/>
      <c r="H11" s="8"/>
      <c r="I11" s="8"/>
      <c r="J11" s="34"/>
      <c r="K11" s="8"/>
      <c r="L11" s="8"/>
      <c r="M11" s="8"/>
      <c r="N11" s="8"/>
      <c r="O11" s="8"/>
      <c r="AA11" s="34"/>
    </row>
    <row r="12" ht="15.75" customHeight="1">
      <c r="A12" s="8"/>
      <c r="B12" s="12"/>
      <c r="C12" s="12"/>
      <c r="D12" s="12"/>
      <c r="E12" s="12"/>
      <c r="F12" s="8"/>
      <c r="G12" s="8"/>
      <c r="H12" s="8"/>
      <c r="I12" s="8"/>
      <c r="J12" s="34"/>
      <c r="K12" s="8"/>
      <c r="L12" s="8"/>
      <c r="M12" s="8"/>
      <c r="N12" s="8"/>
      <c r="O12" s="8"/>
      <c r="AA12" s="34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VerifyWorkingSubs!$4:$4</formula1>
    </dataValidation>
  </dataValidations>
  <drawing r:id="rId1"/>
</worksheet>
</file>