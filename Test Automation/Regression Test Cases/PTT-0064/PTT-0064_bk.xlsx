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7" activeTab="20"/>
  </bookViews>
  <sheets>
    <sheet name="_Modules" sheetId="1" r:id="rId1"/>
    <sheet name="_Settings" sheetId="2" r:id="rId2"/>
    <sheet name="_MasterData" sheetId="3" r:id="rId3"/>
    <sheet name="SetTTUIAdminPreferences" sheetId="4" r:id="rId4"/>
    <sheet name="GetDailyCash" sheetId="5" r:id="rId5"/>
    <sheet name="UpdateDailyCash" sheetId="6" r:id="rId6"/>
    <sheet name="CalculatePTT" sheetId="7" r:id="rId7"/>
    <sheet name="CreateOrderPTT" sheetId="8" r:id="rId8"/>
    <sheet name="CalculatePTT1" sheetId="9" r:id="rId9"/>
    <sheet name="CreateOrderPTT1" sheetId="10" r:id="rId10"/>
    <sheet name="CalculatePTT2" sheetId="11" r:id="rId11"/>
    <sheet name="CreateOrderPTT2" sheetId="12" r:id="rId12"/>
    <sheet name="VerifyOrder" sheetId="13" r:id="rId13"/>
    <sheet name="MultiTradingTicketFromBlotter" sheetId="14" r:id="rId14"/>
    <sheet name="SelectTradeUsingMTT" sheetId="15" r:id="rId15"/>
    <sheet name="EditTradeUsingMTT" sheetId="16" r:id="rId16"/>
    <sheet name="SelectTradeUsingMTT1" sheetId="17" r:id="rId17"/>
    <sheet name="EditTradeUsingMTT1" sheetId="18" r:id="rId18"/>
    <sheet name="SelectTradeUsingMTT2" sheetId="19" r:id="rId19"/>
    <sheet name="EditTradeUsingMTT2" sheetId="20" r:id="rId20"/>
    <sheet name="DoneAwayUsingMTT" sheetId="21" r:id="rId21"/>
    <sheet name="VerifyOrder1" sheetId="22" r:id="rId22"/>
    <sheet name="GetDataAllocation" sheetId="23" r:id="rId23"/>
    <sheet name="CheckAllocatedGroups" sheetId="24" r:id="rId24"/>
  </sheets>
  <calcPr calcId="145621"/>
</workbook>
</file>

<file path=xl/calcChain.xml><?xml version="1.0" encoding="utf-8"?>
<calcChain xmlns="http://schemas.openxmlformats.org/spreadsheetml/2006/main">
  <c r="C6" i="5" l="1"/>
  <c r="B6" i="5"/>
  <c r="CS5" i="24"/>
  <c r="CK5" i="24"/>
  <c r="CC5" i="24"/>
  <c r="BU5" i="24"/>
  <c r="BM5" i="24"/>
  <c r="BE5" i="24"/>
  <c r="AW5" i="24"/>
  <c r="AO5" i="24"/>
  <c r="AG5" i="24"/>
  <c r="Y5" i="24"/>
  <c r="Q5" i="24"/>
  <c r="I5" i="24"/>
  <c r="A5" i="24"/>
  <c r="DJ4" i="24"/>
  <c r="DB4" i="24"/>
  <c r="CT4" i="24"/>
  <c r="CL4" i="24"/>
  <c r="CD4" i="24"/>
  <c r="BV4" i="24"/>
  <c r="BN4" i="24"/>
  <c r="BF4" i="24"/>
  <c r="AX4" i="24"/>
  <c r="AP4" i="24"/>
  <c r="AH4" i="24"/>
  <c r="Z4" i="24"/>
  <c r="R4" i="24"/>
  <c r="J4" i="24"/>
  <c r="B4" i="24"/>
  <c r="L5" i="23"/>
  <c r="D5" i="23"/>
  <c r="DM4" i="23"/>
  <c r="DE4" i="23"/>
  <c r="CW4" i="23"/>
  <c r="CO4" i="23"/>
  <c r="CG4" i="23"/>
  <c r="BY4" i="23"/>
  <c r="BQ4" i="23"/>
  <c r="BI4" i="23"/>
  <c r="BA4" i="23"/>
  <c r="AS4" i="23"/>
  <c r="AK4" i="23"/>
  <c r="AC4" i="23"/>
  <c r="U4" i="23"/>
  <c r="M4" i="23"/>
  <c r="E4" i="23"/>
  <c r="AX5" i="22"/>
  <c r="AP5" i="22"/>
  <c r="AH5" i="22"/>
  <c r="Z5" i="22"/>
  <c r="R5" i="22"/>
  <c r="J5" i="22"/>
  <c r="B5" i="22"/>
  <c r="BC4" i="22"/>
  <c r="AU4" i="22"/>
  <c r="AM4" i="22"/>
  <c r="AE4" i="22"/>
  <c r="W4" i="22"/>
  <c r="O4" i="22"/>
  <c r="G4" i="22"/>
  <c r="AI5" i="21"/>
  <c r="AA5" i="21"/>
  <c r="S5" i="21"/>
  <c r="K5" i="21"/>
  <c r="C5" i="21"/>
  <c r="B4" i="21"/>
  <c r="AD5" i="20"/>
  <c r="V5" i="20"/>
  <c r="N5" i="20"/>
  <c r="F5" i="20"/>
  <c r="E4" i="20"/>
  <c r="AG5" i="19"/>
  <c r="Y5" i="19"/>
  <c r="Q5" i="19"/>
  <c r="I5" i="19"/>
  <c r="A5" i="19"/>
  <c r="AJ5" i="18"/>
  <c r="AB5" i="18"/>
  <c r="T5" i="18"/>
  <c r="L5" i="18"/>
  <c r="D5" i="18"/>
  <c r="C4" i="18"/>
  <c r="AE5" i="17"/>
  <c r="W5" i="17"/>
  <c r="O5" i="17"/>
  <c r="G5" i="17"/>
  <c r="F4" i="17"/>
  <c r="AH5" i="16"/>
  <c r="Z5" i="16"/>
  <c r="R5" i="16"/>
  <c r="J5" i="16"/>
  <c r="B5" i="16"/>
  <c r="AC5" i="15"/>
  <c r="U5" i="15"/>
  <c r="M5" i="15"/>
  <c r="E5" i="15"/>
  <c r="D4" i="15"/>
  <c r="AS5" i="14"/>
  <c r="AK5" i="14"/>
  <c r="AC5" i="14"/>
  <c r="CR5" i="24"/>
  <c r="CJ5" i="24"/>
  <c r="CB5" i="24"/>
  <c r="BT5" i="24"/>
  <c r="BL5" i="24"/>
  <c r="BD5" i="24"/>
  <c r="AV5" i="24"/>
  <c r="AN5" i="24"/>
  <c r="AF5" i="24"/>
  <c r="X5" i="24"/>
  <c r="P5" i="24"/>
  <c r="H5" i="24"/>
  <c r="DQ4" i="24"/>
  <c r="DI4" i="24"/>
  <c r="DA4" i="24"/>
  <c r="CS4" i="24"/>
  <c r="CK4" i="24"/>
  <c r="CC4" i="24"/>
  <c r="BU4" i="24"/>
  <c r="BM4" i="24"/>
  <c r="BE4" i="24"/>
  <c r="AW4" i="24"/>
  <c r="AO4" i="24"/>
  <c r="AG4" i="24"/>
  <c r="Y4" i="24"/>
  <c r="Q4" i="24"/>
  <c r="I4" i="24"/>
  <c r="K5" i="23"/>
  <c r="C5" i="23"/>
  <c r="DL4" i="23"/>
  <c r="DD4" i="23"/>
  <c r="CV4" i="23"/>
  <c r="CN4" i="23"/>
  <c r="CF4" i="23"/>
  <c r="BX4" i="23"/>
  <c r="BP4" i="23"/>
  <c r="BH4" i="23"/>
  <c r="AZ4" i="23"/>
  <c r="AR4" i="23"/>
  <c r="AJ4" i="23"/>
  <c r="AB4" i="23"/>
  <c r="T4" i="23"/>
  <c r="L4" i="23"/>
  <c r="D4" i="23"/>
  <c r="AW5" i="22"/>
  <c r="AO5" i="22"/>
  <c r="AG5" i="22"/>
  <c r="Y5" i="22"/>
  <c r="Q5" i="22"/>
  <c r="I5" i="22"/>
  <c r="A5" i="22"/>
  <c r="BB4" i="22"/>
  <c r="AT4" i="22"/>
  <c r="AL4" i="22"/>
  <c r="AD4" i="22"/>
  <c r="V4" i="22"/>
  <c r="N4" i="22"/>
  <c r="F4" i="22"/>
  <c r="AH5" i="21"/>
  <c r="Z5" i="21"/>
  <c r="R5" i="21"/>
  <c r="J5" i="21"/>
  <c r="B5" i="21"/>
  <c r="AC5" i="20"/>
  <c r="U5" i="20"/>
  <c r="M5" i="20"/>
  <c r="E5" i="20"/>
  <c r="D4" i="20"/>
  <c r="CQ5" i="24"/>
  <c r="CI5" i="24"/>
  <c r="CA5" i="24"/>
  <c r="BS5" i="24"/>
  <c r="BK5" i="24"/>
  <c r="BC5" i="24"/>
  <c r="AU5" i="24"/>
  <c r="AM5" i="24"/>
  <c r="AE5" i="24"/>
  <c r="W5" i="24"/>
  <c r="O5" i="24"/>
  <c r="G5" i="24"/>
  <c r="DP4" i="24"/>
  <c r="DH4" i="24"/>
  <c r="CZ4" i="24"/>
  <c r="CP5" i="24"/>
  <c r="CH5" i="24"/>
  <c r="BZ5" i="24"/>
  <c r="BR5" i="24"/>
  <c r="BJ5" i="24"/>
  <c r="BB5" i="24"/>
  <c r="AT5" i="24"/>
  <c r="AL5" i="24"/>
  <c r="AD5" i="24"/>
  <c r="V5" i="24"/>
  <c r="N5" i="24"/>
  <c r="F5" i="24"/>
  <c r="DO4" i="24"/>
  <c r="DG4" i="24"/>
  <c r="CY4" i="24"/>
  <c r="CQ4" i="24"/>
  <c r="CI4" i="24"/>
  <c r="CA4" i="24"/>
  <c r="BS4" i="24"/>
  <c r="BK4" i="24"/>
  <c r="BC4" i="24"/>
  <c r="AU4" i="24"/>
  <c r="AM4" i="24"/>
  <c r="AE4" i="24"/>
  <c r="W4" i="24"/>
  <c r="O4" i="24"/>
  <c r="G4" i="24"/>
  <c r="Q5" i="23"/>
  <c r="I5" i="23"/>
  <c r="A5" i="23"/>
  <c r="DJ4" i="23"/>
  <c r="DB4" i="23"/>
  <c r="CT4" i="23"/>
  <c r="CL4" i="23"/>
  <c r="CD4" i="23"/>
  <c r="BV4" i="23"/>
  <c r="BN4" i="23"/>
  <c r="BF4" i="23"/>
  <c r="AX4" i="23"/>
  <c r="AP4" i="23"/>
  <c r="AH4" i="23"/>
  <c r="Z4" i="23"/>
  <c r="R4" i="23"/>
  <c r="J4" i="23"/>
  <c r="B4" i="23"/>
  <c r="AU5" i="22"/>
  <c r="AM5" i="22"/>
  <c r="AE5" i="22"/>
  <c r="W5" i="22"/>
  <c r="O5" i="22"/>
  <c r="G5" i="22"/>
  <c r="BH4" i="22"/>
  <c r="AZ4" i="22"/>
  <c r="AR4" i="22"/>
  <c r="AJ4" i="22"/>
  <c r="AB4" i="22"/>
  <c r="T4" i="22"/>
  <c r="L4" i="22"/>
  <c r="D4" i="22"/>
  <c r="AF5" i="21"/>
  <c r="X5" i="21"/>
  <c r="P5" i="21"/>
  <c r="H5" i="21"/>
  <c r="G4" i="21"/>
  <c r="AI5" i="20"/>
  <c r="AA5" i="20"/>
  <c r="S5" i="20"/>
  <c r="K5" i="20"/>
  <c r="C5" i="20"/>
  <c r="B4" i="20"/>
  <c r="AD5" i="19"/>
  <c r="V5" i="19"/>
  <c r="N5" i="19"/>
  <c r="F5" i="19"/>
  <c r="E4" i="19"/>
  <c r="AG5" i="18"/>
  <c r="Y5" i="18"/>
  <c r="Q5" i="18"/>
  <c r="I5" i="18"/>
  <c r="A5" i="18"/>
  <c r="AJ5" i="17"/>
  <c r="AB5" i="17"/>
  <c r="T5" i="17"/>
  <c r="L5" i="17"/>
  <c r="D5" i="17"/>
  <c r="C4" i="17"/>
  <c r="AE5" i="16"/>
  <c r="W5" i="16"/>
  <c r="O5" i="16"/>
  <c r="G5" i="16"/>
  <c r="F4" i="16"/>
  <c r="AH5" i="15"/>
  <c r="Z5" i="15"/>
  <c r="R5" i="15"/>
  <c r="J5" i="15"/>
  <c r="B5" i="15"/>
  <c r="AP5" i="14"/>
  <c r="AH5" i="14"/>
  <c r="Z5" i="14"/>
  <c r="R5" i="14"/>
  <c r="J5" i="14"/>
  <c r="B5" i="14"/>
  <c r="BC4" i="14"/>
  <c r="AU4" i="14"/>
  <c r="AM4" i="14"/>
  <c r="AE4" i="14"/>
  <c r="W4" i="14"/>
  <c r="O4" i="14"/>
  <c r="G4" i="14"/>
  <c r="AZ5" i="13"/>
  <c r="AR5" i="13"/>
  <c r="AJ5" i="13"/>
  <c r="AB5" i="13"/>
  <c r="T5" i="13"/>
  <c r="L5" i="13"/>
  <c r="D5" i="13"/>
  <c r="BE4" i="13"/>
  <c r="AW4" i="13"/>
  <c r="AO4" i="13"/>
  <c r="AG4" i="13"/>
  <c r="Y4" i="13"/>
  <c r="Q4" i="13"/>
  <c r="I4" i="13"/>
  <c r="B5" i="12"/>
  <c r="CO5" i="24"/>
  <c r="CG5" i="24"/>
  <c r="BY5" i="24"/>
  <c r="BQ5" i="24"/>
  <c r="BI5" i="24"/>
  <c r="BA5" i="24"/>
  <c r="AS5" i="24"/>
  <c r="AK5" i="24"/>
  <c r="AC5" i="24"/>
  <c r="U5" i="24"/>
  <c r="M5" i="24"/>
  <c r="E5" i="24"/>
  <c r="DN4" i="24"/>
  <c r="DF4" i="24"/>
  <c r="CX4" i="24"/>
  <c r="CP4" i="24"/>
  <c r="CH4" i="24"/>
  <c r="BZ4" i="24"/>
  <c r="BR4" i="24"/>
  <c r="BJ4" i="24"/>
  <c r="BB4" i="24"/>
  <c r="AT4" i="24"/>
  <c r="AL4" i="24"/>
  <c r="AD4" i="24"/>
  <c r="V4" i="24"/>
  <c r="N4" i="24"/>
  <c r="F4" i="24"/>
  <c r="P5" i="23"/>
  <c r="H5" i="23"/>
  <c r="DQ4" i="23"/>
  <c r="DI4" i="23"/>
  <c r="DA4" i="23"/>
  <c r="CS4" i="23"/>
  <c r="CK4" i="23"/>
  <c r="CC4" i="23"/>
  <c r="BU4" i="23"/>
  <c r="BM4" i="23"/>
  <c r="BE4" i="23"/>
  <c r="AW4" i="23"/>
  <c r="AO4" i="23"/>
  <c r="AG4" i="23"/>
  <c r="Y4" i="23"/>
  <c r="Q4" i="23"/>
  <c r="I4" i="23"/>
  <c r="AT5" i="22"/>
  <c r="AL5" i="22"/>
  <c r="AD5" i="22"/>
  <c r="V5" i="22"/>
  <c r="N5" i="22"/>
  <c r="F5" i="22"/>
  <c r="BG4" i="22"/>
  <c r="AY4" i="22"/>
  <c r="AQ4" i="22"/>
  <c r="AI4" i="22"/>
  <c r="AA4" i="22"/>
  <c r="S4" i="22"/>
  <c r="K4" i="22"/>
  <c r="C4" i="22"/>
  <c r="AE5" i="21"/>
  <c r="W5" i="21"/>
  <c r="O5" i="21"/>
  <c r="G5" i="21"/>
  <c r="F4" i="21"/>
  <c r="AH5" i="20"/>
  <c r="Z5" i="20"/>
  <c r="R5" i="20"/>
  <c r="J5" i="20"/>
  <c r="B5" i="20"/>
  <c r="AC5" i="19"/>
  <c r="U5" i="19"/>
  <c r="M5" i="19"/>
  <c r="E5" i="19"/>
  <c r="D4" i="19"/>
  <c r="AF5" i="18"/>
  <c r="X5" i="18"/>
  <c r="P5" i="18"/>
  <c r="H5" i="18"/>
  <c r="G4" i="18"/>
  <c r="AI5" i="17"/>
  <c r="AA5" i="17"/>
  <c r="S5" i="17"/>
  <c r="K5" i="17"/>
  <c r="C5" i="17"/>
  <c r="B4" i="17"/>
  <c r="AD5" i="16"/>
  <c r="CN5" i="24"/>
  <c r="CF5" i="24"/>
  <c r="BX5" i="24"/>
  <c r="BP5" i="24"/>
  <c r="BH5" i="24"/>
  <c r="AZ5" i="24"/>
  <c r="AR5" i="24"/>
  <c r="AJ5" i="24"/>
  <c r="AB5" i="24"/>
  <c r="T5" i="24"/>
  <c r="L5" i="24"/>
  <c r="D5" i="24"/>
  <c r="DM4" i="24"/>
  <c r="DE4" i="24"/>
  <c r="CW4" i="24"/>
  <c r="CO4" i="24"/>
  <c r="CG4" i="24"/>
  <c r="BY4" i="24"/>
  <c r="BQ4" i="24"/>
  <c r="BI4" i="24"/>
  <c r="BA4" i="24"/>
  <c r="AS4" i="24"/>
  <c r="AK4" i="24"/>
  <c r="AC4" i="24"/>
  <c r="U4" i="24"/>
  <c r="M4" i="24"/>
  <c r="E4" i="24"/>
  <c r="O5" i="23"/>
  <c r="G5" i="23"/>
  <c r="DP4" i="23"/>
  <c r="DH4" i="23"/>
  <c r="CZ4" i="23"/>
  <c r="CR4" i="23"/>
  <c r="CJ4" i="23"/>
  <c r="CB4" i="23"/>
  <c r="BT4" i="23"/>
  <c r="BL4" i="23"/>
  <c r="BD4" i="23"/>
  <c r="AV4" i="23"/>
  <c r="AN4" i="23"/>
  <c r="AF4" i="23"/>
  <c r="X4" i="23"/>
  <c r="P4" i="23"/>
  <c r="H4" i="23"/>
  <c r="BA5" i="22"/>
  <c r="AS5" i="22"/>
  <c r="AK5" i="22"/>
  <c r="AC5" i="22"/>
  <c r="U5" i="22"/>
  <c r="M5" i="22"/>
  <c r="E5" i="22"/>
  <c r="BF4" i="22"/>
  <c r="AX4" i="22"/>
  <c r="AP4" i="22"/>
  <c r="AH4" i="22"/>
  <c r="Z4" i="22"/>
  <c r="R4" i="22"/>
  <c r="J4" i="22"/>
  <c r="B4" i="22"/>
  <c r="AD5" i="21"/>
  <c r="V5" i="21"/>
  <c r="N5" i="21"/>
  <c r="F5" i="21"/>
  <c r="E4" i="21"/>
  <c r="AG5" i="20"/>
  <c r="Y5" i="20"/>
  <c r="Q5" i="20"/>
  <c r="I5" i="20"/>
  <c r="A5" i="20"/>
  <c r="AJ5" i="19"/>
  <c r="AB5" i="19"/>
  <c r="T5" i="19"/>
  <c r="L5" i="19"/>
  <c r="D5" i="19"/>
  <c r="C4" i="19"/>
  <c r="AE5" i="18"/>
  <c r="W5" i="18"/>
  <c r="O5" i="18"/>
  <c r="G5" i="18"/>
  <c r="F4" i="18"/>
  <c r="AH5" i="17"/>
  <c r="Z5" i="17"/>
  <c r="R5" i="17"/>
  <c r="J5" i="17"/>
  <c r="B5" i="17"/>
  <c r="AC5" i="16"/>
  <c r="U5" i="16"/>
  <c r="M5" i="16"/>
  <c r="E5" i="16"/>
  <c r="D4" i="16"/>
  <c r="AF5" i="15"/>
  <c r="X5" i="15"/>
  <c r="P5" i="15"/>
  <c r="H5" i="15"/>
  <c r="G4" i="15"/>
  <c r="AV5" i="14"/>
  <c r="AN5" i="14"/>
  <c r="AF5" i="14"/>
  <c r="X5" i="14"/>
  <c r="P5" i="14"/>
  <c r="H5" i="14"/>
  <c r="BI4" i="14"/>
  <c r="BA4" i="14"/>
  <c r="CM5" i="24"/>
  <c r="CE5" i="24"/>
  <c r="BW5" i="24"/>
  <c r="BO5" i="24"/>
  <c r="BG5" i="24"/>
  <c r="AY5" i="24"/>
  <c r="AQ5" i="24"/>
  <c r="AI5" i="24"/>
  <c r="AA5" i="24"/>
  <c r="S5" i="24"/>
  <c r="K5" i="24"/>
  <c r="C5" i="24"/>
  <c r="DL4" i="24"/>
  <c r="DD4" i="24"/>
  <c r="CV4" i="24"/>
  <c r="CN4" i="24"/>
  <c r="CF4" i="24"/>
  <c r="BX4" i="24"/>
  <c r="BP4" i="24"/>
  <c r="BH4" i="24"/>
  <c r="AZ4" i="24"/>
  <c r="AR4" i="24"/>
  <c r="AJ4" i="24"/>
  <c r="AB4" i="24"/>
  <c r="T4" i="24"/>
  <c r="L4" i="24"/>
  <c r="D4" i="24"/>
  <c r="N5" i="23"/>
  <c r="F5" i="23"/>
  <c r="DO4" i="23"/>
  <c r="DG4" i="23"/>
  <c r="CY4" i="23"/>
  <c r="CQ4" i="23"/>
  <c r="CI4" i="23"/>
  <c r="CA4" i="23"/>
  <c r="BS4" i="23"/>
  <c r="BK4" i="23"/>
  <c r="BC4" i="23"/>
  <c r="AU4" i="23"/>
  <c r="AM4" i="23"/>
  <c r="AE4" i="23"/>
  <c r="W4" i="23"/>
  <c r="O4" i="23"/>
  <c r="G4" i="23"/>
  <c r="AZ5" i="22"/>
  <c r="AR5" i="22"/>
  <c r="AJ5" i="22"/>
  <c r="AB5" i="22"/>
  <c r="T5" i="22"/>
  <c r="L5" i="22"/>
  <c r="D5" i="22"/>
  <c r="BE4" i="22"/>
  <c r="AW4" i="22"/>
  <c r="AO4" i="22"/>
  <c r="AG4" i="22"/>
  <c r="Y4" i="22"/>
  <c r="Q4" i="22"/>
  <c r="I4" i="22"/>
  <c r="AC5" i="21"/>
  <c r="U5" i="21"/>
  <c r="M5" i="21"/>
  <c r="E5" i="21"/>
  <c r="D4" i="21"/>
  <c r="AF5" i="20"/>
  <c r="X5" i="20"/>
  <c r="P5" i="20"/>
  <c r="H5" i="20"/>
  <c r="G4" i="20"/>
  <c r="AI5" i="19"/>
  <c r="AA5" i="19"/>
  <c r="S5" i="19"/>
  <c r="K5" i="19"/>
  <c r="C5" i="19"/>
  <c r="B4" i="19"/>
  <c r="AD5" i="18"/>
  <c r="V5" i="18"/>
  <c r="CL5" i="24"/>
  <c r="CD5" i="24"/>
  <c r="BV5" i="24"/>
  <c r="BN5" i="24"/>
  <c r="BF5" i="24"/>
  <c r="AX5" i="24"/>
  <c r="AP5" i="24"/>
  <c r="AH5" i="24"/>
  <c r="Z5" i="24"/>
  <c r="R5" i="24"/>
  <c r="J5" i="24"/>
  <c r="B5" i="24"/>
  <c r="DK4" i="24"/>
  <c r="DC4" i="24"/>
  <c r="CU4" i="24"/>
  <c r="CM4" i="24"/>
  <c r="CE4" i="24"/>
  <c r="BW4" i="24"/>
  <c r="BO4" i="24"/>
  <c r="BG4" i="24"/>
  <c r="AY4" i="24"/>
  <c r="AQ4" i="24"/>
  <c r="AI4" i="24"/>
  <c r="AA4" i="24"/>
  <c r="S4" i="24"/>
  <c r="K4" i="24"/>
  <c r="C4" i="24"/>
  <c r="M5" i="23"/>
  <c r="E5" i="23"/>
  <c r="DN4" i="23"/>
  <c r="DF4" i="23"/>
  <c r="CX4" i="23"/>
  <c r="CP4" i="23"/>
  <c r="CH4" i="23"/>
  <c r="BZ4" i="23"/>
  <c r="BR4" i="23"/>
  <c r="BJ4" i="23"/>
  <c r="BB4" i="23"/>
  <c r="AT4" i="23"/>
  <c r="AL4" i="23"/>
  <c r="AD4" i="23"/>
  <c r="V4" i="23"/>
  <c r="N4" i="23"/>
  <c r="F4" i="23"/>
  <c r="AY5" i="22"/>
  <c r="AQ5" i="22"/>
  <c r="AI5" i="22"/>
  <c r="AA5" i="22"/>
  <c r="S5" i="22"/>
  <c r="K5" i="22"/>
  <c r="C5" i="22"/>
  <c r="BD4" i="22"/>
  <c r="AV4" i="22"/>
  <c r="AN4" i="22"/>
  <c r="AF4" i="22"/>
  <c r="X4" i="22"/>
  <c r="P4" i="22"/>
  <c r="H4" i="22"/>
  <c r="AJ5" i="21"/>
  <c r="AB5" i="21"/>
  <c r="T5" i="21"/>
  <c r="L5" i="21"/>
  <c r="D5" i="21"/>
  <c r="C4" i="21"/>
  <c r="AE5" i="20"/>
  <c r="W5" i="20"/>
  <c r="O5" i="20"/>
  <c r="G5" i="20"/>
  <c r="F4" i="20"/>
  <c r="AH5" i="19"/>
  <c r="Z5" i="19"/>
  <c r="R5" i="19"/>
  <c r="J5" i="19"/>
  <c r="B5" i="19"/>
  <c r="AC5" i="18"/>
  <c r="U5" i="18"/>
  <c r="M5" i="18"/>
  <c r="E5" i="18"/>
  <c r="D4" i="18"/>
  <c r="AF5" i="17"/>
  <c r="X5" i="17"/>
  <c r="P5" i="17"/>
  <c r="H5" i="17"/>
  <c r="G4" i="17"/>
  <c r="AI5" i="16"/>
  <c r="AA5" i="16"/>
  <c r="S5" i="16"/>
  <c r="K5" i="16"/>
  <c r="C5" i="16"/>
  <c r="B4" i="16"/>
  <c r="AD5" i="15"/>
  <c r="V5" i="15"/>
  <c r="N5" i="15"/>
  <c r="F5" i="15"/>
  <c r="E4" i="15"/>
  <c r="AT5" i="14"/>
  <c r="CR4" i="24"/>
  <c r="AF4" i="24"/>
  <c r="DC4" i="23"/>
  <c r="AQ4" i="23"/>
  <c r="AF5" i="22"/>
  <c r="AC4" i="22"/>
  <c r="A5" i="21"/>
  <c r="AE5" i="19"/>
  <c r="F4" i="19"/>
  <c r="K5" i="18"/>
  <c r="AG5" i="17"/>
  <c r="M5" i="17"/>
  <c r="AG5" i="16"/>
  <c r="P5" i="16"/>
  <c r="G4" i="16"/>
  <c r="AA5" i="15"/>
  <c r="K5" i="15"/>
  <c r="B4" i="15"/>
  <c r="AJ5" i="14"/>
  <c r="W5" i="14"/>
  <c r="M5" i="14"/>
  <c r="C5" i="14"/>
  <c r="AZ4" i="14"/>
  <c r="AQ4" i="14"/>
  <c r="AH4" i="14"/>
  <c r="Y4" i="14"/>
  <c r="P4" i="14"/>
  <c r="F4" i="14"/>
  <c r="AX5" i="13"/>
  <c r="AO5" i="13"/>
  <c r="AF5" i="13"/>
  <c r="W5" i="13"/>
  <c r="N5" i="13"/>
  <c r="E5" i="13"/>
  <c r="BD4" i="13"/>
  <c r="AU4" i="13"/>
  <c r="AL4" i="13"/>
  <c r="AC4" i="13"/>
  <c r="T4" i="13"/>
  <c r="K4" i="13"/>
  <c r="B4" i="13"/>
  <c r="A5" i="12"/>
  <c r="J4" i="12"/>
  <c r="B4" i="12"/>
  <c r="D5" i="11"/>
  <c r="M4" i="11"/>
  <c r="E4" i="11"/>
  <c r="F5" i="10"/>
  <c r="O4" i="10"/>
  <c r="G4" i="10"/>
  <c r="I5" i="9"/>
  <c r="A5" i="9"/>
  <c r="J4" i="9"/>
  <c r="B4" i="9"/>
  <c r="C5" i="8"/>
  <c r="L4" i="8"/>
  <c r="D4" i="8"/>
  <c r="F5" i="7"/>
  <c r="O4" i="7"/>
  <c r="G4" i="7"/>
  <c r="C5" i="6"/>
  <c r="AB4" i="6"/>
  <c r="T4" i="6"/>
  <c r="L4" i="6"/>
  <c r="D4" i="6"/>
  <c r="A5" i="5"/>
  <c r="Z4" i="5"/>
  <c r="R4" i="5"/>
  <c r="J4" i="5"/>
  <c r="B4" i="5"/>
  <c r="O4" i="4"/>
  <c r="G4" i="4"/>
  <c r="C20" i="3"/>
  <c r="C18" i="3"/>
  <c r="C16" i="3"/>
  <c r="C14" i="3"/>
  <c r="C12" i="3"/>
  <c r="C10" i="3"/>
  <c r="C8" i="3"/>
  <c r="C6" i="3"/>
  <c r="C4" i="3"/>
  <c r="A531" i="1"/>
  <c r="B528" i="1"/>
  <c r="C525" i="1"/>
  <c r="A523" i="1"/>
  <c r="B520" i="1"/>
  <c r="C517" i="1"/>
  <c r="A515" i="1"/>
  <c r="B512" i="1"/>
  <c r="C509" i="1"/>
  <c r="A507" i="1"/>
  <c r="B504" i="1"/>
  <c r="C501" i="1"/>
  <c r="A499" i="1"/>
  <c r="B496" i="1"/>
  <c r="C493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CJ4" i="24"/>
  <c r="X4" i="24"/>
  <c r="CU4" i="23"/>
  <c r="AI4" i="23"/>
  <c r="X5" i="22"/>
  <c r="U4" i="22"/>
  <c r="AJ5" i="20"/>
  <c r="X5" i="19"/>
  <c r="AI5" i="18"/>
  <c r="J5" i="18"/>
  <c r="AD5" i="17"/>
  <c r="I5" i="17"/>
  <c r="AF5" i="16"/>
  <c r="N5" i="16"/>
  <c r="E4" i="16"/>
  <c r="Y5" i="15"/>
  <c r="I5" i="15"/>
  <c r="AW5" i="14"/>
  <c r="AI5" i="14"/>
  <c r="V5" i="14"/>
  <c r="L5" i="14"/>
  <c r="A5" i="14"/>
  <c r="AY4" i="14"/>
  <c r="AP4" i="14"/>
  <c r="AG4" i="14"/>
  <c r="X4" i="14"/>
  <c r="N4" i="14"/>
  <c r="E4" i="14"/>
  <c r="AW5" i="13"/>
  <c r="AN5" i="13"/>
  <c r="AE5" i="13"/>
  <c r="V5" i="13"/>
  <c r="M5" i="13"/>
  <c r="C5" i="13"/>
  <c r="BC4" i="13"/>
  <c r="AT4" i="13"/>
  <c r="AK4" i="13"/>
  <c r="AB4" i="13"/>
  <c r="S4" i="13"/>
  <c r="J4" i="13"/>
  <c r="I5" i="12"/>
  <c r="Q4" i="12"/>
  <c r="I4" i="12"/>
  <c r="C5" i="11"/>
  <c r="L4" i="11"/>
  <c r="D4" i="11"/>
  <c r="E5" i="10"/>
  <c r="N4" i="10"/>
  <c r="F4" i="10"/>
  <c r="H5" i="9"/>
  <c r="Q4" i="9"/>
  <c r="I4" i="9"/>
  <c r="B5" i="8"/>
  <c r="K4" i="8"/>
  <c r="C4" i="8"/>
  <c r="E5" i="7"/>
  <c r="N4" i="7"/>
  <c r="F4" i="7"/>
  <c r="B5" i="6"/>
  <c r="AA4" i="6"/>
  <c r="S4" i="6"/>
  <c r="K4" i="6"/>
  <c r="C4" i="6"/>
  <c r="AG4" i="5"/>
  <c r="Y4" i="5"/>
  <c r="Q4" i="5"/>
  <c r="I4" i="5"/>
  <c r="N4" i="4"/>
  <c r="F4" i="4"/>
  <c r="B20" i="3"/>
  <c r="B18" i="3"/>
  <c r="B16" i="3"/>
  <c r="B14" i="3"/>
  <c r="B12" i="3"/>
  <c r="B10" i="3"/>
  <c r="B8" i="3"/>
  <c r="B6" i="3"/>
  <c r="B4" i="3"/>
  <c r="C530" i="1"/>
  <c r="A528" i="1"/>
  <c r="B525" i="1"/>
  <c r="C522" i="1"/>
  <c r="A520" i="1"/>
  <c r="B517" i="1"/>
  <c r="C514" i="1"/>
  <c r="A512" i="1"/>
  <c r="B509" i="1"/>
  <c r="C506" i="1"/>
  <c r="A504" i="1"/>
  <c r="B501" i="1"/>
  <c r="C498" i="1"/>
  <c r="A496" i="1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B4" i="24"/>
  <c r="P4" i="24"/>
  <c r="CM4" i="23"/>
  <c r="AA4" i="23"/>
  <c r="P5" i="22"/>
  <c r="M4" i="22"/>
  <c r="AB5" i="20"/>
  <c r="W5" i="19"/>
  <c r="AH5" i="18"/>
  <c r="F5" i="18"/>
  <c r="AC5" i="17"/>
  <c r="F5" i="17"/>
  <c r="AB5" i="16"/>
  <c r="L5" i="16"/>
  <c r="C4" i="16"/>
  <c r="W5" i="15"/>
  <c r="G5" i="15"/>
  <c r="AU5" i="14"/>
  <c r="AG5" i="14"/>
  <c r="U5" i="14"/>
  <c r="K5" i="14"/>
  <c r="BH4" i="14"/>
  <c r="AX4" i="14"/>
  <c r="AO4" i="14"/>
  <c r="AF4" i="14"/>
  <c r="V4" i="14"/>
  <c r="M4" i="14"/>
  <c r="D4" i="14"/>
  <c r="AV5" i="13"/>
  <c r="AM5" i="13"/>
  <c r="AD5" i="13"/>
  <c r="U5" i="13"/>
  <c r="K5" i="13"/>
  <c r="B5" i="13"/>
  <c r="BB4" i="13"/>
  <c r="AS4" i="13"/>
  <c r="AJ4" i="13"/>
  <c r="AA4" i="13"/>
  <c r="R4" i="13"/>
  <c r="H4" i="13"/>
  <c r="H5" i="12"/>
  <c r="P4" i="12"/>
  <c r="H4" i="12"/>
  <c r="J5" i="11"/>
  <c r="B5" i="11"/>
  <c r="K4" i="11"/>
  <c r="C4" i="11"/>
  <c r="D5" i="10"/>
  <c r="M4" i="10"/>
  <c r="E4" i="10"/>
  <c r="G5" i="9"/>
  <c r="P4" i="9"/>
  <c r="H4" i="9"/>
  <c r="I5" i="8"/>
  <c r="A5" i="8"/>
  <c r="J4" i="8"/>
  <c r="B4" i="8"/>
  <c r="D5" i="7"/>
  <c r="M4" i="7"/>
  <c r="E4" i="7"/>
  <c r="A5" i="6"/>
  <c r="Z4" i="6"/>
  <c r="R4" i="6"/>
  <c r="J4" i="6"/>
  <c r="B4" i="6"/>
  <c r="AF4" i="5"/>
  <c r="X4" i="5"/>
  <c r="P4" i="5"/>
  <c r="H4" i="5"/>
  <c r="B5" i="4"/>
  <c r="M4" i="4"/>
  <c r="E4" i="4"/>
  <c r="A20" i="3"/>
  <c r="A18" i="3"/>
  <c r="A16" i="3"/>
  <c r="A14" i="3"/>
  <c r="A12" i="3"/>
  <c r="A10" i="3"/>
  <c r="A8" i="3"/>
  <c r="A6" i="3"/>
  <c r="A4" i="3"/>
  <c r="B530" i="1"/>
  <c r="C527" i="1"/>
  <c r="A525" i="1"/>
  <c r="B522" i="1"/>
  <c r="C519" i="1"/>
  <c r="A517" i="1"/>
  <c r="B514" i="1"/>
  <c r="C511" i="1"/>
  <c r="A509" i="1"/>
  <c r="B506" i="1"/>
  <c r="C503" i="1"/>
  <c r="A501" i="1"/>
  <c r="B498" i="1"/>
  <c r="C495" i="1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BT4" i="24"/>
  <c r="H4" i="24"/>
  <c r="CE4" i="23"/>
  <c r="S4" i="23"/>
  <c r="H5" i="22"/>
  <c r="E4" i="22"/>
  <c r="T5" i="20"/>
  <c r="P5" i="19"/>
  <c r="AA5" i="18"/>
  <c r="C5" i="18"/>
  <c r="Y5" i="17"/>
  <c r="E5" i="17"/>
  <c r="Y5" i="16"/>
  <c r="I5" i="16"/>
  <c r="AJ5" i="15"/>
  <c r="T5" i="15"/>
  <c r="D5" i="15"/>
  <c r="AR5" i="14"/>
  <c r="AE5" i="14"/>
  <c r="T5" i="14"/>
  <c r="I5" i="14"/>
  <c r="BG4" i="14"/>
  <c r="AW4" i="14"/>
  <c r="AN4" i="14"/>
  <c r="AD4" i="14"/>
  <c r="U4" i="14"/>
  <c r="L4" i="14"/>
  <c r="C4" i="14"/>
  <c r="AU5" i="13"/>
  <c r="AL5" i="13"/>
  <c r="AC5" i="13"/>
  <c r="S5" i="13"/>
  <c r="J5" i="13"/>
  <c r="A5" i="13"/>
  <c r="BA4" i="13"/>
  <c r="AR4" i="13"/>
  <c r="AI4" i="13"/>
  <c r="Z4" i="13"/>
  <c r="P4" i="13"/>
  <c r="G4" i="13"/>
  <c r="G5" i="12"/>
  <c r="O4" i="12"/>
  <c r="G4" i="12"/>
  <c r="I5" i="11"/>
  <c r="A5" i="11"/>
  <c r="J4" i="11"/>
  <c r="B4" i="11"/>
  <c r="C5" i="10"/>
  <c r="L4" i="10"/>
  <c r="D4" i="10"/>
  <c r="F5" i="9"/>
  <c r="O4" i="9"/>
  <c r="G4" i="9"/>
  <c r="H5" i="8"/>
  <c r="Q4" i="8"/>
  <c r="I4" i="8"/>
  <c r="C5" i="7"/>
  <c r="L4" i="7"/>
  <c r="D4" i="7"/>
  <c r="AG4" i="6"/>
  <c r="Y4" i="6"/>
  <c r="Q4" i="6"/>
  <c r="I4" i="6"/>
  <c r="AE4" i="5"/>
  <c r="W4" i="5"/>
  <c r="O4" i="5"/>
  <c r="G4" i="5"/>
  <c r="A5" i="4"/>
  <c r="L4" i="4"/>
  <c r="D4" i="4"/>
  <c r="D19" i="3"/>
  <c r="D17" i="3"/>
  <c r="D15" i="3"/>
  <c r="D13" i="3"/>
  <c r="D11" i="3"/>
  <c r="D9" i="3"/>
  <c r="D7" i="3"/>
  <c r="D5" i="3"/>
  <c r="C532" i="1"/>
  <c r="A530" i="1"/>
  <c r="B527" i="1"/>
  <c r="C524" i="1"/>
  <c r="A522" i="1"/>
  <c r="B519" i="1"/>
  <c r="C516" i="1"/>
  <c r="A514" i="1"/>
  <c r="B511" i="1"/>
  <c r="C508" i="1"/>
  <c r="A506" i="1"/>
  <c r="B503" i="1"/>
  <c r="C500" i="1"/>
  <c r="A498" i="1"/>
  <c r="B495" i="1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BL4" i="24"/>
  <c r="R5" i="23"/>
  <c r="BW4" i="23"/>
  <c r="K4" i="23"/>
  <c r="BI4" i="22"/>
  <c r="AG5" i="21"/>
  <c r="L5" i="20"/>
  <c r="O5" i="19"/>
  <c r="Z5" i="18"/>
  <c r="B5" i="18"/>
  <c r="V5" i="17"/>
  <c r="A5" i="17"/>
  <c r="X5" i="16"/>
  <c r="H5" i="16"/>
  <c r="AI5" i="15"/>
  <c r="S5" i="15"/>
  <c r="C5" i="15"/>
  <c r="AQ5" i="14"/>
  <c r="AD5" i="14"/>
  <c r="S5" i="14"/>
  <c r="G5" i="14"/>
  <c r="BF4" i="14"/>
  <c r="AV4" i="14"/>
  <c r="AL4" i="14"/>
  <c r="AC4" i="14"/>
  <c r="T4" i="14"/>
  <c r="K4" i="14"/>
  <c r="B4" i="14"/>
  <c r="AT5" i="13"/>
  <c r="AK5" i="13"/>
  <c r="AA5" i="13"/>
  <c r="R5" i="13"/>
  <c r="I5" i="13"/>
  <c r="BI4" i="13"/>
  <c r="AZ4" i="13"/>
  <c r="AQ4" i="13"/>
  <c r="AH4" i="13"/>
  <c r="X4" i="13"/>
  <c r="O4" i="13"/>
  <c r="F4" i="13"/>
  <c r="F5" i="12"/>
  <c r="N4" i="12"/>
  <c r="F4" i="12"/>
  <c r="H5" i="11"/>
  <c r="Q4" i="11"/>
  <c r="I4" i="11"/>
  <c r="B5" i="10"/>
  <c r="K4" i="10"/>
  <c r="C4" i="10"/>
  <c r="E5" i="9"/>
  <c r="N4" i="9"/>
  <c r="F4" i="9"/>
  <c r="G5" i="8"/>
  <c r="P4" i="8"/>
  <c r="H4" i="8"/>
  <c r="J5" i="7"/>
  <c r="B5" i="7"/>
  <c r="K4" i="7"/>
  <c r="C4" i="7"/>
  <c r="AF4" i="6"/>
  <c r="X4" i="6"/>
  <c r="P4" i="6"/>
  <c r="H4" i="6"/>
  <c r="AD4" i="5"/>
  <c r="V4" i="5"/>
  <c r="N4" i="5"/>
  <c r="F4" i="5"/>
  <c r="S4" i="4"/>
  <c r="K4" i="4"/>
  <c r="C4" i="4"/>
  <c r="C19" i="3"/>
  <c r="C17" i="3"/>
  <c r="C15" i="3"/>
  <c r="C13" i="3"/>
  <c r="C11" i="3"/>
  <c r="C9" i="3"/>
  <c r="C7" i="3"/>
  <c r="C5" i="3"/>
  <c r="B532" i="1"/>
  <c r="C529" i="1"/>
  <c r="A527" i="1"/>
  <c r="B524" i="1"/>
  <c r="C521" i="1"/>
  <c r="A519" i="1"/>
  <c r="B516" i="1"/>
  <c r="C513" i="1"/>
  <c r="A511" i="1"/>
  <c r="B508" i="1"/>
  <c r="C505" i="1"/>
  <c r="BD4" i="24"/>
  <c r="J5" i="23"/>
  <c r="BO4" i="23"/>
  <c r="C4" i="23"/>
  <c r="BA4" i="22"/>
  <c r="Y5" i="21"/>
  <c r="D5" i="20"/>
  <c r="H5" i="19"/>
  <c r="S5" i="18"/>
  <c r="E4" i="18"/>
  <c r="U5" i="17"/>
  <c r="E4" i="17"/>
  <c r="V5" i="16"/>
  <c r="F5" i="16"/>
  <c r="AG5" i="15"/>
  <c r="Q5" i="15"/>
  <c r="A5" i="15"/>
  <c r="AO5" i="14"/>
  <c r="AB5" i="14"/>
  <c r="Q5" i="14"/>
  <c r="F5" i="14"/>
  <c r="BE4" i="14"/>
  <c r="AT4" i="14"/>
  <c r="AK4" i="14"/>
  <c r="AB4" i="14"/>
  <c r="S4" i="14"/>
  <c r="J4" i="14"/>
  <c r="AS5" i="13"/>
  <c r="AI5" i="13"/>
  <c r="Z5" i="13"/>
  <c r="Q5" i="13"/>
  <c r="H5" i="13"/>
  <c r="BH4" i="13"/>
  <c r="AY4" i="13"/>
  <c r="AP4" i="13"/>
  <c r="AF4" i="13"/>
  <c r="W4" i="13"/>
  <c r="N4" i="13"/>
  <c r="E4" i="13"/>
  <c r="E5" i="12"/>
  <c r="M4" i="12"/>
  <c r="E4" i="12"/>
  <c r="G5" i="11"/>
  <c r="P4" i="11"/>
  <c r="H4" i="11"/>
  <c r="I5" i="10"/>
  <c r="A5" i="10"/>
  <c r="J4" i="10"/>
  <c r="B4" i="10"/>
  <c r="D5" i="9"/>
  <c r="M4" i="9"/>
  <c r="E4" i="9"/>
  <c r="F5" i="8"/>
  <c r="O4" i="8"/>
  <c r="G4" i="8"/>
  <c r="I5" i="7"/>
  <c r="A5" i="7"/>
  <c r="J4" i="7"/>
  <c r="B4" i="7"/>
  <c r="AE4" i="6"/>
  <c r="W4" i="6"/>
  <c r="O4" i="6"/>
  <c r="G4" i="6"/>
  <c r="AC4" i="5"/>
  <c r="U4" i="5"/>
  <c r="M4" i="5"/>
  <c r="E4" i="5"/>
  <c r="R4" i="4"/>
  <c r="J4" i="4"/>
  <c r="B4" i="4"/>
  <c r="B19" i="3"/>
  <c r="B17" i="3"/>
  <c r="B15" i="3"/>
  <c r="B13" i="3"/>
  <c r="B11" i="3"/>
  <c r="B9" i="3"/>
  <c r="B7" i="3"/>
  <c r="B5" i="3"/>
  <c r="A532" i="1"/>
  <c r="B529" i="1"/>
  <c r="C526" i="1"/>
  <c r="A524" i="1"/>
  <c r="B521" i="1"/>
  <c r="C518" i="1"/>
  <c r="A516" i="1"/>
  <c r="B513" i="1"/>
  <c r="C510" i="1"/>
  <c r="A508" i="1"/>
  <c r="AV4" i="24"/>
  <c r="B5" i="23"/>
  <c r="BG4" i="23"/>
  <c r="AV5" i="22"/>
  <c r="AS4" i="22"/>
  <c r="Q5" i="21"/>
  <c r="C4" i="20"/>
  <c r="G5" i="19"/>
  <c r="R5" i="18"/>
  <c r="B4" i="18"/>
  <c r="Q5" i="17"/>
  <c r="D4" i="17"/>
  <c r="T5" i="16"/>
  <c r="D5" i="16"/>
  <c r="AE5" i="15"/>
  <c r="O5" i="15"/>
  <c r="F4" i="15"/>
  <c r="AM5" i="14"/>
  <c r="AA5" i="14"/>
  <c r="O5" i="14"/>
  <c r="E5" i="14"/>
  <c r="BD4" i="14"/>
  <c r="AS4" i="14"/>
  <c r="AJ4" i="14"/>
  <c r="AA4" i="14"/>
  <c r="R4" i="14"/>
  <c r="I4" i="14"/>
  <c r="BA5" i="13"/>
  <c r="AQ5" i="13"/>
  <c r="AH5" i="13"/>
  <c r="Y5" i="13"/>
  <c r="P5" i="13"/>
  <c r="G5" i="13"/>
  <c r="BG4" i="13"/>
  <c r="AX4" i="13"/>
  <c r="AN4" i="13"/>
  <c r="AE4" i="13"/>
  <c r="V4" i="13"/>
  <c r="M4" i="13"/>
  <c r="D4" i="13"/>
  <c r="D5" i="12"/>
  <c r="L4" i="12"/>
  <c r="D4" i="12"/>
  <c r="F5" i="11"/>
  <c r="O4" i="11"/>
  <c r="G4" i="11"/>
  <c r="H5" i="10"/>
  <c r="Q4" i="10"/>
  <c r="I4" i="10"/>
  <c r="C5" i="9"/>
  <c r="L4" i="9"/>
  <c r="D4" i="9"/>
  <c r="E5" i="8"/>
  <c r="N4" i="8"/>
  <c r="F4" i="8"/>
  <c r="H5" i="7"/>
  <c r="Q4" i="7"/>
  <c r="I4" i="7"/>
  <c r="AD4" i="6"/>
  <c r="V4" i="6"/>
  <c r="N4" i="6"/>
  <c r="F4" i="6"/>
  <c r="C5" i="5"/>
  <c r="AB4" i="5"/>
  <c r="T4" i="5"/>
  <c r="L4" i="5"/>
  <c r="D4" i="5"/>
  <c r="Q4" i="4"/>
  <c r="I4" i="4"/>
  <c r="A19" i="3"/>
  <c r="A17" i="3"/>
  <c r="A15" i="3"/>
  <c r="A13" i="3"/>
  <c r="A11" i="3"/>
  <c r="A9" i="3"/>
  <c r="A7" i="3"/>
  <c r="A5" i="3"/>
  <c r="C531" i="1"/>
  <c r="A529" i="1"/>
  <c r="B526" i="1"/>
  <c r="C523" i="1"/>
  <c r="A521" i="1"/>
  <c r="B518" i="1"/>
  <c r="C515" i="1"/>
  <c r="A513" i="1"/>
  <c r="B510" i="1"/>
  <c r="C507" i="1"/>
  <c r="A505" i="1"/>
  <c r="B502" i="1"/>
  <c r="C499" i="1"/>
  <c r="A497" i="1"/>
  <c r="B494" i="1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N4" i="24"/>
  <c r="DK4" i="23"/>
  <c r="AY4" i="23"/>
  <c r="AN5" i="22"/>
  <c r="AK4" i="22"/>
  <c r="I5" i="21"/>
  <c r="AF5" i="19"/>
  <c r="G4" i="19"/>
  <c r="N5" i="18"/>
  <c r="N5" i="17"/>
  <c r="AJ5" i="16"/>
  <c r="Q5" i="16"/>
  <c r="A5" i="16"/>
  <c r="AB5" i="15"/>
  <c r="L5" i="15"/>
  <c r="C4" i="15"/>
  <c r="AL5" i="14"/>
  <c r="Y5" i="14"/>
  <c r="N5" i="14"/>
  <c r="D5" i="14"/>
  <c r="BB4" i="14"/>
  <c r="AR4" i="14"/>
  <c r="AI4" i="14"/>
  <c r="Z4" i="14"/>
  <c r="Q4" i="14"/>
  <c r="H4" i="14"/>
  <c r="AY5" i="13"/>
  <c r="AP5" i="13"/>
  <c r="AG5" i="13"/>
  <c r="X5" i="13"/>
  <c r="O5" i="13"/>
  <c r="F5" i="13"/>
  <c r="BF4" i="13"/>
  <c r="AV4" i="13"/>
  <c r="AM4" i="13"/>
  <c r="AD4" i="13"/>
  <c r="U4" i="13"/>
  <c r="L4" i="13"/>
  <c r="C4" i="13"/>
  <c r="C5" i="12"/>
  <c r="K4" i="12"/>
  <c r="C4" i="12"/>
  <c r="E5" i="11"/>
  <c r="N4" i="11"/>
  <c r="F4" i="11"/>
  <c r="G5" i="10"/>
  <c r="P4" i="10"/>
  <c r="H4" i="10"/>
  <c r="J5" i="9"/>
  <c r="B5" i="9"/>
  <c r="K4" i="9"/>
  <c r="C4" i="9"/>
  <c r="D5" i="8"/>
  <c r="M4" i="8"/>
  <c r="E4" i="8"/>
  <c r="G5" i="7"/>
  <c r="P4" i="7"/>
  <c r="H4" i="7"/>
  <c r="D5" i="6"/>
  <c r="AC4" i="6"/>
  <c r="U4" i="6"/>
  <c r="M4" i="6"/>
  <c r="E4" i="6"/>
  <c r="B5" i="5"/>
  <c r="AA4" i="5"/>
  <c r="S4" i="5"/>
  <c r="K4" i="5"/>
  <c r="C4" i="5"/>
  <c r="P4" i="4"/>
  <c r="H4" i="4"/>
  <c r="D20" i="3"/>
  <c r="D18" i="3"/>
  <c r="D16" i="3"/>
  <c r="D14" i="3"/>
  <c r="D12" i="3"/>
  <c r="D10" i="3"/>
  <c r="D8" i="3"/>
  <c r="D6" i="3"/>
  <c r="D4" i="3"/>
  <c r="B531" i="1"/>
  <c r="C528" i="1"/>
  <c r="A526" i="1"/>
  <c r="B523" i="1"/>
  <c r="C520" i="1"/>
  <c r="A518" i="1"/>
  <c r="B515" i="1"/>
  <c r="C512" i="1"/>
  <c r="A510" i="1"/>
  <c r="B507" i="1"/>
  <c r="C504" i="1"/>
  <c r="A502" i="1"/>
  <c r="B499" i="1"/>
  <c r="C496" i="1"/>
  <c r="A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B497" i="1"/>
  <c r="C486" i="1"/>
  <c r="A476" i="1"/>
  <c r="B465" i="1"/>
  <c r="C454" i="1"/>
  <c r="A444" i="1"/>
  <c r="B433" i="1"/>
  <c r="C422" i="1"/>
  <c r="A412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495" i="1"/>
  <c r="B484" i="1"/>
  <c r="C473" i="1"/>
  <c r="A463" i="1"/>
  <c r="B452" i="1"/>
  <c r="C441" i="1"/>
  <c r="A431" i="1"/>
  <c r="B420" i="1"/>
  <c r="C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B505" i="1"/>
  <c r="C494" i="1"/>
  <c r="A484" i="1"/>
  <c r="B473" i="1"/>
  <c r="C462" i="1"/>
  <c r="A452" i="1"/>
  <c r="B441" i="1"/>
  <c r="C430" i="1"/>
  <c r="A420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A503" i="1"/>
  <c r="B492" i="1"/>
  <c r="C481" i="1"/>
  <c r="A471" i="1"/>
  <c r="B460" i="1"/>
  <c r="C449" i="1"/>
  <c r="A439" i="1"/>
  <c r="B428" i="1"/>
  <c r="C417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502" i="1"/>
  <c r="A492" i="1"/>
  <c r="B481" i="1"/>
  <c r="C470" i="1"/>
  <c r="A460" i="1"/>
  <c r="B449" i="1"/>
  <c r="C438" i="1"/>
  <c r="A428" i="1"/>
  <c r="B417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500" i="1"/>
  <c r="C489" i="1"/>
  <c r="A479" i="1"/>
  <c r="B468" i="1"/>
  <c r="C457" i="1"/>
  <c r="A447" i="1"/>
  <c r="B436" i="1"/>
  <c r="C425" i="1"/>
  <c r="A415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500" i="1"/>
  <c r="B489" i="1"/>
  <c r="C478" i="1"/>
  <c r="A468" i="1"/>
  <c r="B457" i="1"/>
  <c r="C446" i="1"/>
  <c r="A436" i="1"/>
  <c r="B425" i="1"/>
  <c r="C414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C497" i="1"/>
  <c r="A487" i="1"/>
  <c r="B476" i="1"/>
  <c r="C465" i="1"/>
  <c r="A455" i="1"/>
  <c r="B444" i="1"/>
  <c r="C433" i="1"/>
  <c r="A423" i="1"/>
  <c r="B412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9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A4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J2" i="16" l="1"/>
  <c r="J2" i="24"/>
  <c r="J2" i="21"/>
  <c r="J2" i="15"/>
  <c r="J2" i="13"/>
  <c r="J2" i="23"/>
  <c r="J2" i="20"/>
  <c r="J2" i="17"/>
  <c r="J2" i="22"/>
  <c r="J2" i="19"/>
  <c r="J2" i="12"/>
  <c r="J2" i="9"/>
  <c r="J2" i="5"/>
  <c r="J2" i="8"/>
  <c r="J2" i="6"/>
  <c r="J2" i="11"/>
  <c r="J2" i="14"/>
  <c r="J2" i="10"/>
  <c r="J2" i="7"/>
  <c r="J2" i="4"/>
  <c r="J2" i="18"/>
</calcChain>
</file>

<file path=xl/sharedStrings.xml><?xml version="1.0" encoding="utf-8"?>
<sst xmlns="http://schemas.openxmlformats.org/spreadsheetml/2006/main" count="425" uniqueCount="60">
  <si>
    <t>Modules Info</t>
  </si>
  <si>
    <t>Modules</t>
  </si>
  <si>
    <t>Settings</t>
  </si>
  <si>
    <t>Module Step Setting File</t>
  </si>
  <si>
    <t>1U2s8j4rrg1zfQQb7ZJUwrmg9ckhde1lE3AMcASemjMc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</si>
  <si>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</si>
  <si>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</si>
  <si>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</si>
  <si>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</si>
  <si>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</si>
  <si>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</si>
  <si>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</si>
  <si>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</si>
  <si>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</si>
  <si>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</si>
  <si>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</si>
  <si>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NULL</t>
  </si>
  <si>
    <t>DailyValuation</t>
  </si>
  <si>
    <t>GetDailyCash</t>
  </si>
  <si>
    <t>UpdateDailyCash</t>
  </si>
  <si>
    <t>Allocation1</t>
  </si>
  <si>
    <t>USD</t>
  </si>
  <si>
    <t>Allocation2</t>
  </si>
  <si>
    <t>Allocation4</t>
  </si>
  <si>
    <t>PTT</t>
  </si>
  <si>
    <t>CalculatePTT</t>
  </si>
  <si>
    <t>INFY</t>
  </si>
  <si>
    <t>Buy</t>
  </si>
  <si>
    <t>Percentage</t>
  </si>
  <si>
    <t>No</t>
  </si>
  <si>
    <t>Account</t>
  </si>
  <si>
    <t>CreateOrderPTT</t>
  </si>
  <si>
    <t>BX</t>
  </si>
  <si>
    <t>ZVZZT</t>
  </si>
  <si>
    <t>Blotter</t>
  </si>
  <si>
    <t>VerifyOrder</t>
  </si>
  <si>
    <t>jpearce</t>
  </si>
  <si>
    <t>US</t>
  </si>
  <si>
    <t>M</t>
  </si>
  <si>
    <t>Equity</t>
  </si>
  <si>
    <t>New</t>
  </si>
  <si>
    <t>Market</t>
  </si>
  <si>
    <t>MultiTradingTicketFromBlotter</t>
  </si>
  <si>
    <t>MultiTradingTicket</t>
  </si>
  <si>
    <t>SelectTradeUsingMTT</t>
  </si>
  <si>
    <t>EditTradeUsingMTT</t>
  </si>
  <si>
    <t>$#$</t>
  </si>
  <si>
    <t>MS</t>
  </si>
  <si>
    <t>NASDAQ</t>
  </si>
  <si>
    <t>DoneAwayUsingMTT</t>
  </si>
  <si>
    <t>Filled</t>
  </si>
  <si>
    <t>Allocation</t>
  </si>
  <si>
    <t>GetDataAllocation</t>
  </si>
  <si>
    <t>Current</t>
  </si>
  <si>
    <t>CheckAllocatedGroups</t>
  </si>
  <si>
    <t>Open</t>
  </si>
  <si>
    <t>False</t>
  </si>
  <si>
    <t>True</t>
  </si>
  <si>
    <t>NYSE</t>
  </si>
  <si>
    <t>SharesOutstandingPopUp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</si>
</sst>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13" fillId="6" borderId="0" xfId="0" applyFont="1" applyFill="1" applyAlignment="1">
      <alignment horizontal="left"/>
    </xf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/>
    <xf numFmtId="0" fontId="13" fillId="6" borderId="0" xfId="0" applyFont="1" applyFill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/>
    <xf numFmtId="0" fontId="3" fillId="0" borderId="0" xfId="0" applyFont="1" applyAlignment="1">
      <alignment horizontal="right"/>
    </xf>
    <xf numFmtId="0" fontId="5" fillId="0" borderId="0" xfId="0" applyFont="1" applyAlignment="1"/>
    <xf numFmtId="0" fontId="5" fillId="0" borderId="0" xfId="0" applyFont="1" applyAlignment="1">
      <alignment horizontal="right"/>
    </xf>
    <xf numFmtId="0" fontId="5" fillId="0" borderId="5" xfId="0" applyFont="1" applyBorder="1" applyAlignment="1"/>
    <xf numFmtId="0" fontId="3" fillId="0" borderId="5" xfId="0" applyFont="1" applyBorder="1" applyAlignment="1"/>
    <xf numFmtId="14" fontId="3" fillId="0" borderId="5" xfId="0" applyNumberFormat="1" applyFont="1" applyBorder="1" applyAlignment="1"/>
    <xf numFmtId="3" fontId="3" fillId="0" borderId="0" xfId="0" applyNumberFormat="1" applyFont="1" applyAlignment="1">
      <alignment horizontal="right"/>
    </xf>
    <xf numFmtId="0" fontId="14" fillId="0" borderId="0" xfId="0" applyFont="1" applyAlignment="1"/>
    <xf numFmtId="164" fontId="14" fillId="0" borderId="0" xfId="0" applyNumberFormat="1" applyFont="1" applyAlignment="1">
      <alignment horizontal="right"/>
    </xf>
    <xf numFmtId="0" fontId="14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4" t="s">
        <v>0</v>
      </c>
      <c r="B1" s="55"/>
      <c r="C1" s="55"/>
      <c r="D1" s="55"/>
      <c r="E1" s="55"/>
      <c r="F1" s="56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>
      <c r="A510" t="str">
        <f ca="1">IFERROR(__xludf.DUMMYFUNCTION("""COMPUTED_VALUE"""),"Simulator")</f>
        <v>Simulator</v>
      </c>
      <c r="B510" t="str">
        <f ca="1">IFERROR(__xludf.DUMMYFUNCTION("""COMPUTED_VALUE"""),"VerifyTrades")</f>
        <v>VerifyTrades</v>
      </c>
      <c r="C510" t="str">
        <f ca="1">IFERROR(__xludf.DUMMYFUNCTION("""COMPUTED_VALUE"""),"1N71Jy4eKF73ZDNHWL_TjWsGmm0qTTD4814dhMRMMVb8")</f>
        <v>1N71Jy4eKF73ZDNHWL_TjWsGmm0qTTD4814dhMRMMVb8</v>
      </c>
    </row>
    <row r="511" spans="1:3" ht="15.75" customHeight="1">
      <c r="A511" t="str">
        <f ca="1">IFERROR(__xludf.DUMMYFUNCTION("""COMPUTED_VALUE"""),"ShortLocate")</f>
        <v>ShortLocate</v>
      </c>
      <c r="B511" t="str">
        <f ca="1">IFERROR(__xludf.DUMMYFUNCTION("""COMPUTED_VALUE"""),"SetShortLocatePreferences")</f>
        <v>SetShortLocatePreferences</v>
      </c>
      <c r="C511" t="str">
        <f ca="1">IFERROR(__xludf.DUMMYFUNCTION("""COMPUTED_VALUE"""),"1Bb8XumY_W8vYN4wPCQjnCEQbJs1H7qhZYGScbFljlsE")</f>
        <v>1Bb8XumY_W8vYN4wPCQjnCEQbJs1H7qhZYGScbFljlsE</v>
      </c>
    </row>
    <row r="512" spans="1:3" ht="15.75" customHeight="1">
      <c r="A512" t="str">
        <f ca="1">IFERROR(__xludf.DUMMYFUNCTION("""COMPUTED_VALUE"""),"SecurityMaster")</f>
        <v>SecurityMaster</v>
      </c>
      <c r="B512" t="str">
        <f ca="1">IFERROR(__xludf.DUMMYFUNCTION("""COMPUTED_VALUE"""),"GetSymbolData")</f>
        <v>GetSymbolData</v>
      </c>
      <c r="C512" t="str">
        <f ca="1">IFERROR(__xludf.DUMMYFUNCTION("""COMPUTED_VALUE"""),"1jtd0OYtnm21_vMCd-CSKixcC_TN7ginWcJ7PR714zDw")</f>
        <v>1jtd0OYtnm21_vMCd-CSKixcC_TN7ginWcJ7PR714zDw</v>
      </c>
    </row>
    <row r="513" spans="1:3" ht="15.75" customHeight="1">
      <c r="A513" t="str">
        <f ca="1">IFERROR(__xludf.DUMMYFUNCTION("""COMPUTED_VALUE"""),"SecurityMaster")</f>
        <v>SecurityMaster</v>
      </c>
      <c r="B513" t="str">
        <f ca="1">IFERROR(__xludf.DUMMYFUNCTION("""COMPUTED_VALUE"""),"EditSMData")</f>
        <v>EditSMData</v>
      </c>
      <c r="C513" t="str">
        <f ca="1">IFERROR(__xludf.DUMMYFUNCTION("""COMPUTED_VALUE"""),"1l9IRaSGDow3z943y-v24KT4bLSa2nLFzzrJx6XQozpY")</f>
        <v>1l9IRaSGDow3z943y-v24KT4bLSa2nLFzzrJx6XQozpY</v>
      </c>
    </row>
    <row r="514" spans="1:3" ht="15.75" customHeight="1">
      <c r="A514" t="str">
        <f ca="1">IFERROR(__xludf.DUMMYFUNCTION("""COMPUTED_VALUE"""),"Compliance")</f>
        <v>Compliance</v>
      </c>
      <c r="B514" t="str">
        <f ca="1">IFERROR(__xludf.DUMMYFUNCTION("""COMPUTED_VALUE"""),"RestartRuleMediator")</f>
        <v>RestartRuleMediator</v>
      </c>
      <c r="C514" t="str">
        <f ca="1">IFERROR(__xludf.DUMMYFUNCTION("""COMPUTED_VALUE"""),"18SVZSt8o151Ibqp7S3Ge-27pHb5fW7wNT71WgA_kP_8")</f>
        <v>18SVZSt8o151Ibqp7S3Ge-27pHb5fW7wNT71WgA_kP_8</v>
      </c>
    </row>
    <row r="515" spans="1:3" ht="15.75" customHeight="1">
      <c r="A515" t="str">
        <f ca="1">IFERROR(__xludf.DUMMYFUNCTION("""COMPUTED_VALUE"""),"Compliance")</f>
        <v>Compliance</v>
      </c>
      <c r="B515" t="str">
        <f ca="1">IFERROR(__xludf.DUMMYFUNCTION("""COMPUTED_VALUE"""),"VerifyAggAccountSymbolWithNav")</f>
        <v>VerifyAggAccountSymbolWithNav</v>
      </c>
      <c r="C515" t="str">
        <f ca="1">IFERROR(__xludf.DUMMYFUNCTION("""COMPUTED_VALUE"""),"1yORtQDYWOiS9sGzwmSy3jeH1KeWbwIscJSVtvVljcqk")</f>
        <v>1yORtQDYWOiS9sGzwmSy3jeH1KeWbwIscJSVtvVljcqk</v>
      </c>
    </row>
    <row r="516" spans="1:3" ht="15.75" customHeight="1">
      <c r="A516" t="str">
        <f ca="1">IFERROR(__xludf.DUMMYFUNCTION("""COMPUTED_VALUE"""),"Admin")</f>
        <v>Admin</v>
      </c>
      <c r="B516" t="str">
        <f ca="1">IFERROR(__xludf.DUMMYFUNCTION("""COMPUTED_VALUE"""),"SetComplianceAlert")</f>
        <v>SetComplianceAlert</v>
      </c>
      <c r="C516" t="str">
        <f ca="1">IFERROR(__xludf.DUMMYFUNCTION("""COMPUTED_VALUE"""),"1tHcWqzzT9x7_tjIYlb_jsMu7VunfhVIyqGIWGIXOrQE")</f>
        <v>1tHcWqzzT9x7_tjIYlb_jsMu7VunfhVIyqGIWGIXOrQE</v>
      </c>
    </row>
    <row r="517" spans="1:3" ht="15.75" customHeight="1">
      <c r="A517" t="str">
        <f ca="1">IFERROR(__xludf.DUMMYFUNCTION("""COMPUTED_VALUE"""),"PortfolioManagement")</f>
        <v>PortfolioManagement</v>
      </c>
      <c r="B517" t="str">
        <f ca="1">IFERROR(__xludf.DUMMYFUNCTION("""COMPUTED_VALUE"""),"IncreasePositionFromPM")</f>
        <v>IncreasePositionFromPM</v>
      </c>
      <c r="C517" t="str">
        <f ca="1">IFERROR(__xludf.DUMMYFUNCTION("""COMPUTED_VALUE"""),"1eE569Brgsjqyathy0MKO50Wmj5QCDLuax0S-29Hix4A")</f>
        <v>1eE569Brgsjqyathy0MKO50Wmj5QCDLuax0S-29Hix4A</v>
      </c>
    </row>
    <row r="518" spans="1:3" ht="15.75" customHeight="1">
      <c r="A518" t="str">
        <f ca="1">IFERROR(__xludf.DUMMYFUNCTION("""COMPUTED_VALUE"""),"TradingTicket")</f>
        <v>TradingTicket</v>
      </c>
      <c r="B518" t="str">
        <f ca="1">IFERROR(__xludf.DUMMYFUNCTION("""COMPUTED_VALUE"""),"SendLiveBloomberg")</f>
        <v>SendLiveBloomberg</v>
      </c>
      <c r="C518" t="str">
        <f ca="1">IFERROR(__xludf.DUMMYFUNCTION("""COMPUTED_VALUE"""),"1jm-Rrun0S1nkf5N9L0XR0cK07laQ4i2IyhTZ_88GUUQ")</f>
        <v>1jm-Rrun0S1nkf5N9L0XR0cK07laQ4i2IyhTZ_88GUUQ</v>
      </c>
    </row>
    <row r="519" spans="1:3" ht="15.75" customHeight="1">
      <c r="A519" t="str">
        <f ca="1">IFERROR(__xludf.DUMMYFUNCTION("""COMPUTED_VALUE"""),"Blotter")</f>
        <v>Blotter</v>
      </c>
      <c r="B519" t="str">
        <f ca="1">IFERROR(__xludf.DUMMYFUNCTION("""COMPUTED_VALUE"""),"ReloadOrderFromBlotter")</f>
        <v>ReloadOrderFromBlotter</v>
      </c>
      <c r="C519" t="str">
        <f ca="1">IFERROR(__xludf.DUMMYFUNCTION("""COMPUTED_VALUE"""),"1GnRgq3n2FmksmM-vQvyFRWFLBbtVf3YzhzcYjkk8r48")</f>
        <v>1GnRgq3n2FmksmM-vQvyFRWFLBbtVf3YzhzcYjkk8r48</v>
      </c>
    </row>
    <row r="520" spans="1:3" ht="15.75" customHeight="1">
      <c r="A520" t="str">
        <f ca="1">IFERROR(__xludf.DUMMYFUNCTION("""COMPUTED_VALUE"""),"TradingTicket")</f>
        <v>TradingTicket</v>
      </c>
      <c r="B520" t="str">
        <f ca="1">IFERROR(__xludf.DUMMYFUNCTION("""COMPUTED_VALUE"""),"AddOptionTrade")</f>
        <v>AddOptionTrade</v>
      </c>
      <c r="C520" t="str">
        <f ca="1">IFERROR(__xludf.DUMMYFUNCTION("""COMPUTED_VALUE"""),"1S77RUpuNPEdRdFAsltgJ4BQ2n1UATWQLWerXZ4PXTkk")</f>
        <v>1S77RUpuNPEdRdFAsltgJ4BQ2n1UATWQLWerXZ4PXTkk</v>
      </c>
    </row>
    <row r="521" spans="1:3" ht="15.75" customHeight="1">
      <c r="A521" t="str">
        <f ca="1">IFERROR(__xludf.DUMMYFUNCTION("""COMPUTED_VALUE"""),"Closing")</f>
        <v>Closing</v>
      </c>
      <c r="B521" t="str">
        <f ca="1">IFERROR(__xludf.DUMMYFUNCTION("""COMPUTED_VALUE"""),"AutoExercise")</f>
        <v>AutoExercise</v>
      </c>
      <c r="C521" t="str">
        <f ca="1">IFERROR(__xludf.DUMMYFUNCTION("""COMPUTED_VALUE"""),"1hfy0JEIqBV_drZcgmDPPTyHwSQxbE1sD97UL33FyUKI")</f>
        <v>1hfy0JEIqBV_drZcgmDPPTyHwSQxbE1sD97UL33FyUKI</v>
      </c>
    </row>
    <row r="522" spans="1:3" ht="15.75" customHeight="1">
      <c r="A522" t="str">
        <f ca="1">IFERROR(__xludf.DUMMYFUNCTION("""COMPUTED_VALUE"""),"Admin")</f>
        <v>Admin</v>
      </c>
      <c r="B522" t="str">
        <f ca="1">IFERROR(__xludf.DUMMYFUNCTION("""COMPUTED_VALUE"""),"UpdateExpirationDate")</f>
        <v>UpdateExpirationDate</v>
      </c>
      <c r="C522" t="str">
        <f ca="1">IFERROR(__xludf.DUMMYFUNCTION("""COMPUTED_VALUE"""),"1dylWul81BFmbZVj_Z-Xiz11zLj_QrhKk5QXK_mf_uUE")</f>
        <v>1dylWul81BFmbZVj_Z-Xiz11zLj_QrhKk5QXK_mf_uUE</v>
      </c>
    </row>
    <row r="523" spans="1:3" ht="15.75" customHeight="1">
      <c r="A523" t="str">
        <f ca="1">IFERROR(__xludf.DUMMYFUNCTION("""COMPUTED_VALUE"""),"Blotter")</f>
        <v>Blotter</v>
      </c>
      <c r="B523" t="str">
        <f ca="1">IFERROR(__xludf.DUMMYFUNCTION("""COMPUTED_VALUE"""),"ReloadOrderFromSubOrder")</f>
        <v>ReloadOrderFromSubOrder</v>
      </c>
      <c r="C523" t="str">
        <f ca="1">IFERROR(__xludf.DUMMYFUNCTION("""COMPUTED_VALUE"""),"1HCRddvgPCwJLqnfI7ts10VrFX5EFtgDXaYOCFKQa5Hw")</f>
        <v>1HCRddvgPCwJLqnfI7ts10VrFX5EFtgDXaYOCFKQa5Hw</v>
      </c>
    </row>
    <row r="524" spans="1:3" ht="15.75" customHeight="1">
      <c r="A524" t="str">
        <f ca="1">IFERROR(__xludf.DUMMYFUNCTION("""COMPUTED_VALUE"""),"Blotter")</f>
        <v>Blotter</v>
      </c>
      <c r="B524" t="str">
        <f ca="1">IFERROR(__xludf.DUMMYFUNCTION("""COMPUTED_VALUE"""),"ReloadOrderFromWorkingSubs")</f>
        <v>ReloadOrderFromWorkingSubs</v>
      </c>
      <c r="C524" t="str">
        <f ca="1">IFERROR(__xludf.DUMMYFUNCTION("""COMPUTED_VALUE"""),"1-0deCunA0B5gH5_QgjFRQJkWoWhaKLyiNrCl5nK7g5k")</f>
        <v>1-0deCunA0B5gH5_QgjFRQJkWoWhaKLyiNrCl5nK7g5k</v>
      </c>
    </row>
    <row r="525" spans="1:3" ht="15.75" customHeight="1">
      <c r="A525" t="str">
        <f ca="1">IFERROR(__xludf.DUMMYFUNCTION("""COMPUTED_VALUE"""),"PricingInput")</f>
        <v>PricingInput</v>
      </c>
      <c r="B525" t="str">
        <f ca="1">IFERROR(__xludf.DUMMYFUNCTION("""COMPUTED_VALUE"""),"UncheckDividendYield")</f>
        <v>UncheckDividendYield</v>
      </c>
      <c r="C525" t="str">
        <f ca="1">IFERROR(__xludf.DUMMYFUNCTION("""COMPUTED_VALUE"""),"1tE_B1MbYuONekKo2FJCjz81vOxEukuWLbDI84AvoR2Y")</f>
        <v>1tE_B1MbYuONekKo2FJCjz81vOxEukuWLbDI84AvoR2Y</v>
      </c>
    </row>
    <row r="526" spans="1:3" ht="15.75" customHeight="1">
      <c r="A526" t="str">
        <f ca="1">IFERROR(__xludf.DUMMYFUNCTION("""COMPUTED_VALUE"""),"Admin")</f>
        <v>Admin</v>
      </c>
      <c r="B526" t="str">
        <f ca="1">IFERROR(__xludf.DUMMYFUNCTION("""COMPUTED_VALUE"""),"RenameMasterStrategy")</f>
        <v>RenameMasterStrategy</v>
      </c>
      <c r="C526" t="str">
        <f ca="1">IFERROR(__xludf.DUMMYFUNCTION("""COMPUTED_VALUE"""),"1jioQdD3XlMWB-FhSemgF2Y-BAp85sCvZSZJzxbDG-uY")</f>
        <v>1jioQdD3XlMWB-FhSemgF2Y-BAp85sCvZSZJzxbDG-uY</v>
      </c>
    </row>
    <row r="527" spans="1:3" ht="15.75" customHeight="1">
      <c r="A527" t="str">
        <f ca="1">IFERROR(__xludf.DUMMYFUNCTION("""COMPUTED_VALUE"""),"Blotter")</f>
        <v>Blotter</v>
      </c>
      <c r="B527" t="str">
        <f ca="1">IFERROR(__xludf.DUMMYFUNCTION("""COMPUTED_VALUE"""),"SelectFills")</f>
        <v>SelectFills</v>
      </c>
      <c r="C527" t="str">
        <f ca="1">IFERROR(__xludf.DUMMYFUNCTION("""COMPUTED_VALUE"""),"1Z7QxmNsys5SzZV3G-2XqSn0OdEXfUG5t0ZPmwtyFCL8")</f>
        <v>1Z7QxmNsys5SzZV3G-2XqSn0OdEXfUG5t0ZPmwtyFCL8</v>
      </c>
    </row>
    <row r="528" spans="1:3" ht="15.75" customHeight="1">
      <c r="A528" t="str">
        <f ca="1">IFERROR(__xludf.DUMMYFUNCTION("""COMPUTED_VALUE"""),"Blotter")</f>
        <v>Blotter</v>
      </c>
      <c r="B528" t="str">
        <f ca="1">IFERROR(__xludf.DUMMYFUNCTION("""COMPUTED_VALUE"""),"ModifyFills")</f>
        <v>ModifyFills</v>
      </c>
      <c r="C528" t="str">
        <f ca="1">IFERROR(__xludf.DUMMYFUNCTION("""COMPUTED_VALUE"""),"1A0nU9DMune_BQD6mdF4jX7kLj0RbHiXhcWgPgbNEIVM")</f>
        <v>1A0nU9DMune_BQD6mdF4jX7kLj0RbHiXhcWgPgbNEIVM</v>
      </c>
    </row>
    <row r="529" spans="1:3" ht="15.75" customHeight="1">
      <c r="A529" t="str">
        <f ca="1">IFERROR(__xludf.DUMMYFUNCTION("""COMPUTED_VALUE"""),"PranaClient")</f>
        <v>PranaClient</v>
      </c>
      <c r="B529" t="str">
        <f ca="1">IFERROR(__xludf.DUMMYFUNCTION("""COMPUTED_VALUE"""),"LoginClient")</f>
        <v>LoginClient</v>
      </c>
      <c r="C529" t="str">
        <f ca="1">IFERROR(__xludf.DUMMYFUNCTION("""COMPUTED_VALUE"""),"1q8zAoreC7MIeJDU3n8P82NH8qIhpvWC2BtDtEAyBLPg")</f>
        <v>1q8zAoreC7MIeJDU3n8P82NH8qIhpvWC2BtDtEAyBLPg</v>
      </c>
    </row>
    <row r="530" spans="1:3" ht="15.75" customHeight="1">
      <c r="A530" t="str">
        <f ca="1">IFERROR(__xludf.DUMMYFUNCTION("""COMPUTED_VALUE"""),"Closing")</f>
        <v>Closing</v>
      </c>
      <c r="B530" t="str">
        <f ca="1">IFERROR(__xludf.DUMMYFUNCTION("""COMPUTED_VALUE"""),"EditMultipleCloseQuantity")</f>
        <v>EditMultipleCloseQuantity</v>
      </c>
      <c r="C530" t="str">
        <f ca="1">IFERROR(__xludf.DUMMYFUNCTION("""COMPUTED_VALUE"""),"1U1ODQcFsY16SNjzU2RI28CuGFFSBBndsvfyS0p6HRg8")</f>
        <v>1U1ODQcFsY16SNjzU2RI28CuGFFSBBndsvfyS0p6HRg8</v>
      </c>
    </row>
    <row r="531" spans="1:3" ht="15.75" customHeight="1">
      <c r="A531" t="str">
        <f ca="1">IFERROR(__xludf.DUMMYFUNCTION("""COMPUTED_VALUE"""),"Closing")</f>
        <v>Closing</v>
      </c>
      <c r="B531" t="str">
        <f ca="1">IFERROR(__xludf.DUMMYFUNCTION("""COMPUTED_VALUE"""),"ManualCloseOrder")</f>
        <v>ManualCloseOrder</v>
      </c>
      <c r="C531" t="str">
        <f ca="1">IFERROR(__xludf.DUMMYFUNCTION("""COMPUTED_VALUE"""),"1rvAoeelgUtlBWcdnZmGDYNUZPMtp2QSpHWK9X9nndtY")</f>
        <v>1rvAoeelgUtlBWcdnZmGDYNUZPMtp2QSpHWK9X9nndtY</v>
      </c>
    </row>
    <row r="532" spans="1:3" ht="15.75" customHeight="1">
      <c r="A532" t="str">
        <f ca="1">IFERROR(__xludf.DUMMYFUNCTION("""COMPUTED_VALUE"""),"Admin")</f>
        <v>Admin</v>
      </c>
      <c r="B532" t="str">
        <f ca="1">IFERROR(__xludf.DUMMYFUNCTION("""COMPUTED_VALUE"""),"SetTTUIAdminPreferences")</f>
        <v>SetTTUIAdminPreferences</v>
      </c>
      <c r="C532" t="str">
        <f ca="1">IFERROR(__xludf.DUMMYFUNCTION("""COMPUTED_VALUE"""),"1VACCWCgBryUd7LLXblEl-UFNnDXAwDkKGKIScrCR34E")</f>
        <v>1VACCWCgBryUd7LLXblEl-UFNnDXAwDkKGKIScrCR34E</v>
      </c>
    </row>
    <row r="533" spans="1:3" ht="15.75" customHeight="1"/>
    <row r="534" spans="1:3" ht="15.75" customHeight="1"/>
    <row r="535" spans="1:3" ht="15.75" customHeight="1"/>
    <row r="536" spans="1:3" ht="15.75" customHeight="1"/>
    <row r="537" spans="1:3" ht="15.75" customHeight="1"/>
    <row r="538" spans="1:3" ht="15.75" customHeight="1"/>
    <row r="539" spans="1:3" ht="15.75" customHeight="1"/>
    <row r="540" spans="1:3" ht="15.75" customHeight="1"/>
    <row r="541" spans="1:3" ht="15.75" customHeight="1"/>
    <row r="542" spans="1:3" ht="15.75" customHeight="1"/>
    <row r="543" spans="1:3" ht="15.75" customHeight="1"/>
    <row r="544" spans="1:3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7" t="s">
        <v>2</v>
      </c>
      <c r="B1" s="55"/>
      <c r="C1" s="56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4" t="s">
        <v>7</v>
      </c>
      <c r="B1" s="55"/>
      <c r="C1" s="55"/>
      <c r="D1" s="55"/>
      <c r="E1" s="55"/>
      <c r="F1" s="56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 t="str">
        <f ca="1">IFERROR(__xludf.DUMMYFUNCTION("""COMPUTED_VALUE"""),"SetDollarAmountPermission")</f>
        <v>SetDollarAmountPermission</v>
      </c>
      <c r="L4" s="19" t="str">
        <f ca="1">IFERROR(__xludf.DUMMYFUNCTION("""COMPUTED_VALUE"""),"EnableDiableModule")</f>
        <v>EnableDiableModule</v>
      </c>
      <c r="M4" s="19" t="str">
        <f ca="1">IFERROR(__xludf.DUMMYFUNCTION("""COMPUTED_VALUE"""),"EnableDisableModule")</f>
        <v>EnableDisableModule</v>
      </c>
      <c r="N4" s="19" t="str">
        <f ca="1">IFERROR(__xludf.DUMMYFUNCTION("""COMPUTED_VALUE"""),"IsImportOverrideOnShortLocate")</f>
        <v>IsImportOverrideOnShortLocate</v>
      </c>
      <c r="O4" s="19" t="str">
        <f ca="1">IFERROR(__xludf.DUMMYFUNCTION("""COMPUTED_VALUE"""),"SetShortLocateStructures")</f>
        <v>SetShortLocateStructures</v>
      </c>
      <c r="P4" s="20" t="str">
        <f ca="1">IFERROR(__xludf.DUMMYFUNCTION("""COMPUTED_VALUE"""),"SetComplianceAlert")</f>
        <v>SetComplianceAlert</v>
      </c>
      <c r="Q4" s="20" t="str">
        <f ca="1">IFERROR(__xludf.DUMMYFUNCTION("""COMPUTED_VALUE"""),"UpdateExpirationDate")</f>
        <v>UpdateExpirationDate</v>
      </c>
      <c r="R4" s="20" t="str">
        <f ca="1">IFERROR(__xludf.DUMMYFUNCTION("""COMPUTED_VALUE"""),"RenameMasterStrategy")</f>
        <v>RenameMasterStrategy</v>
      </c>
      <c r="S4" s="20" t="str">
        <f ca="1">IFERROR(__xludf.DUMMYFUNCTION("""COMPUTED_VALUE"""),"SetTTUIAdminPreferences")</f>
        <v>SetTTUIAdminPreferences</v>
      </c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IFERROR(__xludf.DUMMYFUNCTION("""COMPUTED_VALUE"""),"Broker")</f>
        <v>Broker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16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17</v>
      </c>
      <c r="D3" s="2" t="s">
        <v>9</v>
      </c>
      <c r="E3" s="17" t="s">
        <v>18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6">
        <f t="shared" ref="B6:C6" ca="1" si="0">TODAY()-1</f>
        <v>44458</v>
      </c>
      <c r="C6" s="27">
        <f t="shared" ca="1" si="0"/>
        <v>44458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17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20</v>
      </c>
      <c r="C6" s="7" t="s">
        <v>21</v>
      </c>
      <c r="D6" s="7">
        <v>10000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7" t="s">
        <v>22</v>
      </c>
      <c r="C7" s="7" t="s">
        <v>21</v>
      </c>
      <c r="D7" s="7">
        <v>10000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7" t="s">
        <v>23</v>
      </c>
      <c r="C8" s="7" t="s">
        <v>21</v>
      </c>
      <c r="D8" s="7">
        <v>10000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 t="str">
        <f ca="1">IFERROR(__xludf.DUMMYFUNCTION("""COMPUTED_VALUE"""),"Master Funds")</f>
        <v>Master Funds</v>
      </c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26</v>
      </c>
      <c r="C6" s="7" t="s">
        <v>27</v>
      </c>
      <c r="D6" s="7" t="s">
        <v>28</v>
      </c>
      <c r="E6" s="7">
        <v>100</v>
      </c>
      <c r="F6" s="7">
        <v>10</v>
      </c>
      <c r="G6" s="7" t="s">
        <v>29</v>
      </c>
      <c r="H6" s="7" t="s">
        <v>30</v>
      </c>
      <c r="I6" s="7" t="s">
        <v>20</v>
      </c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26</v>
      </c>
      <c r="C6" s="7" t="s">
        <v>27</v>
      </c>
      <c r="D6" s="7" t="s">
        <v>28</v>
      </c>
      <c r="E6" s="7">
        <v>100</v>
      </c>
      <c r="F6" s="7">
        <v>10</v>
      </c>
      <c r="G6" s="7" t="s">
        <v>29</v>
      </c>
      <c r="H6" s="7" t="s">
        <v>30</v>
      </c>
      <c r="I6" s="7" t="s">
        <v>20</v>
      </c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 t="str">
        <f ca="1">IFERROR(__xludf.DUMMYFUNCTION("""COMPUTED_VALUE"""),"Master Funds")</f>
        <v>Master Funds</v>
      </c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32</v>
      </c>
      <c r="C6" s="7" t="s">
        <v>27</v>
      </c>
      <c r="D6" s="7" t="s">
        <v>28</v>
      </c>
      <c r="E6" s="7">
        <v>200</v>
      </c>
      <c r="F6" s="7">
        <v>20</v>
      </c>
      <c r="G6" s="7" t="s">
        <v>29</v>
      </c>
      <c r="H6" s="7" t="s">
        <v>30</v>
      </c>
      <c r="I6" s="7" t="s">
        <v>22</v>
      </c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32</v>
      </c>
      <c r="C6" s="7" t="s">
        <v>27</v>
      </c>
      <c r="D6" s="7" t="s">
        <v>28</v>
      </c>
      <c r="E6" s="7">
        <v>200</v>
      </c>
      <c r="F6" s="7">
        <v>20</v>
      </c>
      <c r="G6" s="7" t="s">
        <v>29</v>
      </c>
      <c r="H6" s="7" t="s">
        <v>30</v>
      </c>
      <c r="I6" s="7" t="s">
        <v>22</v>
      </c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 t="str">
        <f ca="1">IFERROR(__xludf.DUMMYFUNCTION("""COMPUTED_VALUE"""),"Master Funds")</f>
        <v>Master Funds</v>
      </c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8" t="s">
        <v>33</v>
      </c>
      <c r="C6" s="7" t="s">
        <v>27</v>
      </c>
      <c r="D6" s="7" t="s">
        <v>28</v>
      </c>
      <c r="E6" s="7">
        <v>300</v>
      </c>
      <c r="F6" s="7">
        <v>30</v>
      </c>
      <c r="G6" s="7" t="s">
        <v>29</v>
      </c>
      <c r="H6" s="7" t="s">
        <v>30</v>
      </c>
      <c r="I6" s="7" t="s">
        <v>23</v>
      </c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8" t="s">
        <v>33</v>
      </c>
      <c r="C6" s="7" t="s">
        <v>27</v>
      </c>
      <c r="D6" s="7" t="s">
        <v>28</v>
      </c>
      <c r="E6" s="7">
        <v>300</v>
      </c>
      <c r="F6" s="7">
        <v>30</v>
      </c>
      <c r="G6" s="7" t="s">
        <v>29</v>
      </c>
      <c r="H6" s="7" t="s">
        <v>30</v>
      </c>
      <c r="I6" s="7" t="s">
        <v>23</v>
      </c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34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 t="str">
        <f ca="1">IFERROR(__xludf.DUMMYFUNCTION("""COMPUTED_VALUE"""),"ReloadOrderFromBlotter")</f>
        <v>ReloadOrderFromBlotter</v>
      </c>
      <c r="BF4" s="20" t="str">
        <f ca="1">IFERROR(__xludf.DUMMYFUNCTION("""COMPUTED_VALUE"""),"ReloadOrderFromSubOrder")</f>
        <v>ReloadOrderFromSubOrder</v>
      </c>
      <c r="BG4" s="20" t="str">
        <f ca="1">IFERROR(__xludf.DUMMYFUNCTION("""COMPUTED_VALUE"""),"ReloadOrderFromWorkingSubs")</f>
        <v>ReloadOrderFromWorkingSubs</v>
      </c>
      <c r="BH4" s="20" t="str">
        <f ca="1">IFERROR(__xludf.DUMMYFUNCTION("""COMPUTED_VALUE"""),"SelectFills")</f>
        <v>SelectFills</v>
      </c>
      <c r="BI4" s="20" t="str">
        <f ca="1">IFERROR(__xludf.DUMMYFUNCTION("""COMPUTED_VALUE"""),"ModifyFills")</f>
        <v>ModifyFills</v>
      </c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9"/>
      <c r="B6" s="30"/>
      <c r="C6" s="31"/>
      <c r="D6" s="32">
        <v>10</v>
      </c>
      <c r="E6" s="31"/>
      <c r="F6" s="33">
        <v>0</v>
      </c>
      <c r="G6" s="31"/>
      <c r="H6" s="31"/>
      <c r="I6" s="31" t="s">
        <v>36</v>
      </c>
      <c r="J6" s="31" t="s">
        <v>26</v>
      </c>
      <c r="K6" s="31" t="s">
        <v>37</v>
      </c>
      <c r="L6" s="31"/>
      <c r="M6" s="31"/>
      <c r="N6" s="31"/>
      <c r="O6" s="31"/>
      <c r="P6" s="31"/>
      <c r="Q6" s="31"/>
      <c r="R6" s="31"/>
      <c r="S6" s="34">
        <v>0</v>
      </c>
      <c r="T6" s="35">
        <v>0</v>
      </c>
      <c r="U6" s="36" t="s">
        <v>21</v>
      </c>
      <c r="V6" s="36"/>
      <c r="W6" s="36"/>
      <c r="X6" s="35">
        <v>0</v>
      </c>
      <c r="Y6" s="36"/>
      <c r="Z6" s="36"/>
      <c r="AA6" s="36"/>
      <c r="AB6" s="36"/>
      <c r="AC6" s="36"/>
      <c r="AD6" s="35">
        <v>1</v>
      </c>
      <c r="AE6" s="36"/>
      <c r="AF6" s="36" t="s">
        <v>38</v>
      </c>
      <c r="AG6" s="35">
        <v>0</v>
      </c>
      <c r="AH6" s="36" t="s">
        <v>39</v>
      </c>
      <c r="AI6" s="36" t="s">
        <v>26</v>
      </c>
      <c r="AJ6" s="36" t="s">
        <v>27</v>
      </c>
      <c r="AK6" s="36" t="s">
        <v>40</v>
      </c>
      <c r="AL6" s="37">
        <v>1000</v>
      </c>
      <c r="AM6" s="36"/>
      <c r="AN6" s="36"/>
      <c r="AO6" s="36"/>
      <c r="AP6" s="35"/>
      <c r="AQ6" s="35"/>
      <c r="AR6" s="37"/>
      <c r="AS6" s="36"/>
      <c r="AT6" s="36" t="s">
        <v>20</v>
      </c>
      <c r="AU6" s="36" t="s">
        <v>41</v>
      </c>
      <c r="AV6" s="35"/>
      <c r="AW6" s="35"/>
      <c r="AX6" s="36"/>
      <c r="AY6" s="35"/>
      <c r="AZ6" s="35"/>
      <c r="BA6" s="36" t="s">
        <v>36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spans="1:154" ht="15.75" customHeight="1">
      <c r="A7" s="36"/>
      <c r="B7" s="36"/>
      <c r="C7" s="36"/>
      <c r="D7" s="38">
        <v>20</v>
      </c>
      <c r="E7" s="36"/>
      <c r="F7" s="39">
        <v>0</v>
      </c>
      <c r="G7" s="36"/>
      <c r="H7" s="36"/>
      <c r="I7" s="36" t="s">
        <v>36</v>
      </c>
      <c r="J7" s="36" t="s">
        <v>32</v>
      </c>
      <c r="K7" s="36" t="s">
        <v>37</v>
      </c>
      <c r="L7" s="36"/>
      <c r="M7" s="36"/>
      <c r="N7" s="36"/>
      <c r="O7" s="36"/>
      <c r="P7" s="36"/>
      <c r="Q7" s="36"/>
      <c r="R7" s="36"/>
      <c r="S7" s="35">
        <v>0</v>
      </c>
      <c r="T7" s="35">
        <v>0</v>
      </c>
      <c r="U7" s="36" t="s">
        <v>21</v>
      </c>
      <c r="V7" s="36"/>
      <c r="W7" s="36"/>
      <c r="X7" s="35">
        <v>0</v>
      </c>
      <c r="Y7" s="36"/>
      <c r="Z7" s="36"/>
      <c r="AA7" s="36"/>
      <c r="AB7" s="36"/>
      <c r="AC7" s="36"/>
      <c r="AD7" s="35">
        <v>1</v>
      </c>
      <c r="AE7" s="36"/>
      <c r="AF7" s="36" t="s">
        <v>38</v>
      </c>
      <c r="AG7" s="35">
        <v>0</v>
      </c>
      <c r="AH7" s="36" t="s">
        <v>39</v>
      </c>
      <c r="AI7" s="36" t="s">
        <v>32</v>
      </c>
      <c r="AJ7" s="36" t="s">
        <v>27</v>
      </c>
      <c r="AK7" s="36" t="s">
        <v>40</v>
      </c>
      <c r="AL7" s="37">
        <v>1000</v>
      </c>
      <c r="AM7" s="36"/>
      <c r="AN7" s="36"/>
      <c r="AO7" s="36"/>
      <c r="AP7" s="35"/>
      <c r="AQ7" s="35"/>
      <c r="AR7" s="37"/>
      <c r="AS7" s="36"/>
      <c r="AT7" s="40" t="s">
        <v>22</v>
      </c>
      <c r="AU7" s="36" t="s">
        <v>41</v>
      </c>
      <c r="AV7" s="35"/>
      <c r="AW7" s="35"/>
      <c r="AX7" s="36"/>
      <c r="AY7" s="35"/>
      <c r="AZ7" s="35"/>
      <c r="BA7" s="36" t="s">
        <v>36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spans="1:154" ht="15.75" customHeight="1">
      <c r="A8" s="36"/>
      <c r="B8" s="36"/>
      <c r="C8" s="36"/>
      <c r="D8" s="38">
        <v>30</v>
      </c>
      <c r="E8" s="36"/>
      <c r="F8" s="39">
        <v>0</v>
      </c>
      <c r="G8" s="36"/>
      <c r="H8" s="36"/>
      <c r="I8" s="36" t="s">
        <v>36</v>
      </c>
      <c r="J8" s="41" t="s">
        <v>33</v>
      </c>
      <c r="K8" s="36" t="s">
        <v>37</v>
      </c>
      <c r="L8" s="36"/>
      <c r="M8" s="36"/>
      <c r="N8" s="36"/>
      <c r="O8" s="36"/>
      <c r="P8" s="36"/>
      <c r="Q8" s="36"/>
      <c r="R8" s="36"/>
      <c r="S8" s="35">
        <v>0</v>
      </c>
      <c r="T8" s="35">
        <v>0</v>
      </c>
      <c r="U8" s="36" t="s">
        <v>21</v>
      </c>
      <c r="V8" s="36"/>
      <c r="W8" s="36"/>
      <c r="X8" s="35">
        <v>0</v>
      </c>
      <c r="Y8" s="36"/>
      <c r="Z8" s="36"/>
      <c r="AA8" s="36"/>
      <c r="AB8" s="36"/>
      <c r="AC8" s="36"/>
      <c r="AD8" s="35">
        <v>1</v>
      </c>
      <c r="AE8" s="36"/>
      <c r="AF8" s="36" t="s">
        <v>38</v>
      </c>
      <c r="AG8" s="35">
        <v>0</v>
      </c>
      <c r="AH8" s="36" t="s">
        <v>39</v>
      </c>
      <c r="AI8" s="41" t="s">
        <v>33</v>
      </c>
      <c r="AJ8" s="36" t="s">
        <v>27</v>
      </c>
      <c r="AK8" s="36" t="s">
        <v>40</v>
      </c>
      <c r="AL8" s="37">
        <v>1000</v>
      </c>
      <c r="AM8" s="36"/>
      <c r="AN8" s="36"/>
      <c r="AO8" s="36"/>
      <c r="AP8" s="35"/>
      <c r="AQ8" s="35"/>
      <c r="AR8" s="37"/>
      <c r="AS8" s="36"/>
      <c r="AT8" s="40" t="s">
        <v>23</v>
      </c>
      <c r="AU8" s="36" t="s">
        <v>41</v>
      </c>
      <c r="AV8" s="35"/>
      <c r="AW8" s="35"/>
      <c r="AX8" s="36"/>
      <c r="AY8" s="35"/>
      <c r="AZ8" s="35"/>
      <c r="BA8" s="36" t="s">
        <v>36</v>
      </c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spans="1:154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spans="1:154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34</v>
      </c>
      <c r="D3" s="2" t="s">
        <v>9</v>
      </c>
      <c r="E3" s="17" t="s">
        <v>42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 t="str">
        <f ca="1">IFERROR(__xludf.DUMMYFUNCTION("""COMPUTED_VALUE"""),"ReloadOrderFromBlotter")</f>
        <v>ReloadOrderFromBlotter</v>
      </c>
      <c r="BF4" s="20" t="str">
        <f ca="1">IFERROR(__xludf.DUMMYFUNCTION("""COMPUTED_VALUE"""),"ReloadOrderFromSubOrder")</f>
        <v>ReloadOrderFromSubOrder</v>
      </c>
      <c r="BG4" s="20" t="str">
        <f ca="1">IFERROR(__xludf.DUMMYFUNCTION("""COMPUTED_VALUE"""),"ReloadOrderFromWorkingSubs")</f>
        <v>ReloadOrderFromWorkingSubs</v>
      </c>
      <c r="BH4" s="20" t="str">
        <f ca="1">IFERROR(__xludf.DUMMYFUNCTION("""COMPUTED_VALUE"""),"SelectFills")</f>
        <v>SelectFills</v>
      </c>
      <c r="BI4" s="20" t="str">
        <f ca="1">IFERROR(__xludf.DUMMYFUNCTION("""COMPUTED_VALUE"""),"ModifyFills")</f>
        <v>ModifyFills</v>
      </c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5"/>
      <c r="D6" s="7">
        <v>10</v>
      </c>
      <c r="E6" s="25"/>
      <c r="F6" s="42">
        <v>0</v>
      </c>
      <c r="G6" s="31"/>
      <c r="H6" s="31"/>
      <c r="I6" s="43" t="s">
        <v>36</v>
      </c>
      <c r="J6" s="43" t="s">
        <v>26</v>
      </c>
      <c r="K6" s="43" t="s">
        <v>37</v>
      </c>
      <c r="L6" s="31"/>
      <c r="M6" s="31"/>
      <c r="N6" s="31"/>
      <c r="O6" s="31"/>
      <c r="P6" s="31"/>
      <c r="Q6" s="31"/>
      <c r="R6" s="31"/>
      <c r="S6" s="34">
        <v>0</v>
      </c>
      <c r="T6" s="35">
        <v>0</v>
      </c>
      <c r="U6" s="36" t="s">
        <v>21</v>
      </c>
      <c r="V6" s="36"/>
      <c r="W6" s="36"/>
      <c r="X6" s="35">
        <v>0</v>
      </c>
      <c r="Y6" s="36"/>
      <c r="Z6" s="36"/>
      <c r="AA6" s="36"/>
      <c r="AB6" s="36"/>
      <c r="AC6" s="36"/>
      <c r="AD6" s="44">
        <v>1</v>
      </c>
      <c r="AE6" s="36"/>
      <c r="AF6" s="36" t="s">
        <v>38</v>
      </c>
      <c r="AG6" s="35">
        <v>0</v>
      </c>
      <c r="AH6" s="36" t="s">
        <v>39</v>
      </c>
      <c r="AI6" s="45" t="s">
        <v>26</v>
      </c>
      <c r="AJ6" s="6" t="s">
        <v>27</v>
      </c>
      <c r="AK6" s="6" t="s">
        <v>40</v>
      </c>
      <c r="AL6" s="6">
        <v>1000</v>
      </c>
      <c r="AT6" s="6" t="s">
        <v>20</v>
      </c>
      <c r="AU6" s="6" t="s">
        <v>41</v>
      </c>
    </row>
    <row r="7" spans="1:154" ht="15.75" customHeight="1">
      <c r="A7" s="5"/>
      <c r="B7" s="5"/>
      <c r="C7" s="5"/>
      <c r="D7" s="7">
        <v>20</v>
      </c>
      <c r="E7" s="5"/>
      <c r="F7" s="46">
        <v>0</v>
      </c>
      <c r="G7" s="36"/>
      <c r="H7" s="36"/>
      <c r="I7" s="45" t="s">
        <v>36</v>
      </c>
      <c r="J7" s="45" t="s">
        <v>32</v>
      </c>
      <c r="K7" s="45" t="s">
        <v>37</v>
      </c>
      <c r="L7" s="36"/>
      <c r="M7" s="36"/>
      <c r="N7" s="36"/>
      <c r="O7" s="36"/>
      <c r="P7" s="36"/>
      <c r="Q7" s="36"/>
      <c r="R7" s="36"/>
      <c r="S7" s="35">
        <v>0</v>
      </c>
      <c r="T7" s="35">
        <v>0</v>
      </c>
      <c r="U7" s="36" t="s">
        <v>21</v>
      </c>
      <c r="V7" s="36"/>
      <c r="W7" s="36"/>
      <c r="X7" s="35">
        <v>0</v>
      </c>
      <c r="Y7" s="36"/>
      <c r="Z7" s="36"/>
      <c r="AA7" s="36"/>
      <c r="AB7" s="36"/>
      <c r="AC7" s="36"/>
      <c r="AD7" s="44">
        <v>1</v>
      </c>
      <c r="AE7" s="36"/>
      <c r="AF7" s="36" t="s">
        <v>38</v>
      </c>
      <c r="AG7" s="35">
        <v>0</v>
      </c>
      <c r="AH7" s="36" t="s">
        <v>39</v>
      </c>
      <c r="AI7" s="45" t="s">
        <v>32</v>
      </c>
      <c r="AJ7" s="6" t="s">
        <v>27</v>
      </c>
      <c r="AK7" s="6" t="s">
        <v>40</v>
      </c>
      <c r="AL7" s="6">
        <v>1000</v>
      </c>
      <c r="AT7" s="6" t="s">
        <v>22</v>
      </c>
      <c r="AU7" s="6" t="s">
        <v>41</v>
      </c>
    </row>
    <row r="8" spans="1:154" ht="15.75" customHeight="1">
      <c r="A8" s="5"/>
      <c r="B8" s="5"/>
      <c r="C8" s="5"/>
      <c r="D8" s="7">
        <v>30</v>
      </c>
      <c r="E8" s="5"/>
      <c r="F8" s="46">
        <v>0</v>
      </c>
      <c r="G8" s="36"/>
      <c r="H8" s="36"/>
      <c r="I8" s="45" t="s">
        <v>36</v>
      </c>
      <c r="J8" s="41" t="s">
        <v>33</v>
      </c>
      <c r="K8" s="45" t="s">
        <v>37</v>
      </c>
      <c r="L8" s="36"/>
      <c r="M8" s="36"/>
      <c r="N8" s="36"/>
      <c r="O8" s="36"/>
      <c r="P8" s="36"/>
      <c r="Q8" s="36"/>
      <c r="R8" s="36"/>
      <c r="S8" s="35">
        <v>0</v>
      </c>
      <c r="T8" s="35">
        <v>0</v>
      </c>
      <c r="U8" s="36" t="s">
        <v>21</v>
      </c>
      <c r="V8" s="36"/>
      <c r="W8" s="36"/>
      <c r="X8" s="35">
        <v>0</v>
      </c>
      <c r="Y8" s="36"/>
      <c r="Z8" s="36"/>
      <c r="AA8" s="36"/>
      <c r="AB8" s="36"/>
      <c r="AC8" s="36"/>
      <c r="AD8" s="44">
        <v>1</v>
      </c>
      <c r="AE8" s="36"/>
      <c r="AF8" s="36" t="s">
        <v>38</v>
      </c>
      <c r="AG8" s="35">
        <v>0</v>
      </c>
      <c r="AH8" s="36" t="s">
        <v>39</v>
      </c>
      <c r="AI8" s="41" t="s">
        <v>33</v>
      </c>
      <c r="AJ8" s="6" t="s">
        <v>27</v>
      </c>
      <c r="AK8" s="6" t="s">
        <v>40</v>
      </c>
      <c r="AL8" s="6">
        <v>1000</v>
      </c>
      <c r="AT8" s="6" t="s">
        <v>23</v>
      </c>
      <c r="AU8" s="6" t="s">
        <v>41</v>
      </c>
    </row>
    <row r="9" spans="1:154" ht="15.75" customHeight="1">
      <c r="A9" s="5"/>
      <c r="B9" s="5"/>
      <c r="C9" s="5"/>
      <c r="D9" s="5"/>
      <c r="E9" s="5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</row>
    <row r="10" spans="1:154" ht="15.75" customHeight="1">
      <c r="A10" s="5"/>
      <c r="B10" s="5"/>
      <c r="C10" s="5"/>
      <c r="D10" s="5"/>
      <c r="E10" s="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43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26</v>
      </c>
      <c r="C6" s="7" t="s">
        <v>27</v>
      </c>
      <c r="D6" s="7">
        <v>1000</v>
      </c>
      <c r="E6" s="7">
        <v>1000</v>
      </c>
      <c r="F6" s="7" t="s">
        <v>20</v>
      </c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43</v>
      </c>
      <c r="D3" s="2" t="s">
        <v>9</v>
      </c>
      <c r="E3" s="17" t="s">
        <v>45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9"/>
      <c r="B6" s="47" t="s">
        <v>46</v>
      </c>
      <c r="C6" s="43" t="s">
        <v>46</v>
      </c>
      <c r="D6" s="43" t="s">
        <v>46</v>
      </c>
      <c r="E6" s="43" t="s">
        <v>46</v>
      </c>
      <c r="F6" s="43" t="s">
        <v>46</v>
      </c>
      <c r="G6" s="48" t="s">
        <v>47</v>
      </c>
      <c r="H6" s="43" t="s">
        <v>46</v>
      </c>
      <c r="I6" s="43" t="s">
        <v>46</v>
      </c>
      <c r="J6" s="32">
        <v>10</v>
      </c>
      <c r="K6" s="43" t="s">
        <v>46</v>
      </c>
      <c r="L6" s="43" t="s">
        <v>46</v>
      </c>
      <c r="M6" s="43" t="s">
        <v>46</v>
      </c>
      <c r="N6" s="49"/>
      <c r="O6" s="33"/>
      <c r="P6" s="31"/>
      <c r="Q6" s="31"/>
      <c r="R6" s="31"/>
      <c r="S6" s="34"/>
      <c r="T6" s="36"/>
      <c r="U6" s="35"/>
      <c r="V6" s="36"/>
      <c r="W6" s="36"/>
      <c r="X6" s="36"/>
      <c r="Y6" s="36"/>
      <c r="Z6" s="36"/>
      <c r="AA6" s="36"/>
      <c r="AB6" s="40" t="s">
        <v>48</v>
      </c>
      <c r="AC6" s="36"/>
      <c r="AD6" s="36"/>
      <c r="AE6" s="36"/>
      <c r="AF6" s="36"/>
      <c r="AG6" s="35"/>
      <c r="AH6" s="35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43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32</v>
      </c>
      <c r="C6" s="7" t="s">
        <v>27</v>
      </c>
      <c r="D6" s="7">
        <v>1000</v>
      </c>
      <c r="E6" s="7">
        <v>1000</v>
      </c>
      <c r="F6" s="7" t="s">
        <v>22</v>
      </c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43</v>
      </c>
      <c r="D3" s="2" t="s">
        <v>9</v>
      </c>
      <c r="E3" s="17" t="s">
        <v>45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9"/>
      <c r="B6" s="47" t="s">
        <v>46</v>
      </c>
      <c r="C6" s="43" t="s">
        <v>46</v>
      </c>
      <c r="D6" s="43" t="s">
        <v>46</v>
      </c>
      <c r="E6" s="43" t="s">
        <v>46</v>
      </c>
      <c r="F6" s="43" t="s">
        <v>46</v>
      </c>
      <c r="G6" s="48" t="s">
        <v>47</v>
      </c>
      <c r="H6" s="43" t="s">
        <v>46</v>
      </c>
      <c r="I6" s="43" t="s">
        <v>46</v>
      </c>
      <c r="J6" s="32">
        <v>20</v>
      </c>
      <c r="K6" s="43" t="s">
        <v>46</v>
      </c>
      <c r="L6" s="43" t="s">
        <v>46</v>
      </c>
      <c r="M6" s="43" t="s">
        <v>46</v>
      </c>
      <c r="N6" s="49"/>
      <c r="O6" s="33"/>
      <c r="P6" s="31"/>
      <c r="Q6" s="31"/>
      <c r="R6" s="31"/>
      <c r="S6" s="34"/>
      <c r="T6" s="36"/>
      <c r="U6" s="35"/>
      <c r="V6" s="36"/>
      <c r="W6" s="36"/>
      <c r="X6" s="36"/>
      <c r="Y6" s="36"/>
      <c r="Z6" s="36"/>
      <c r="AA6" s="36"/>
      <c r="AB6" s="40" t="s">
        <v>48</v>
      </c>
      <c r="AC6" s="36"/>
      <c r="AD6" s="36"/>
      <c r="AE6" s="36"/>
      <c r="AF6" s="36"/>
      <c r="AG6" s="35"/>
      <c r="AH6" s="35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43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33</v>
      </c>
      <c r="C6" s="7" t="s">
        <v>27</v>
      </c>
      <c r="D6" s="7">
        <v>1000</v>
      </c>
      <c r="E6" s="7">
        <v>1000</v>
      </c>
      <c r="F6" s="7" t="s">
        <v>23</v>
      </c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43</v>
      </c>
      <c r="D3" s="2" t="s">
        <v>9</v>
      </c>
      <c r="E3" s="17" t="s">
        <v>45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9"/>
      <c r="B6" s="47" t="s">
        <v>46</v>
      </c>
      <c r="C6" s="43" t="s">
        <v>46</v>
      </c>
      <c r="D6" s="43" t="s">
        <v>46</v>
      </c>
      <c r="E6" s="43" t="s">
        <v>46</v>
      </c>
      <c r="F6" s="43" t="s">
        <v>46</v>
      </c>
      <c r="G6" s="48" t="s">
        <v>47</v>
      </c>
      <c r="H6" s="43" t="s">
        <v>46</v>
      </c>
      <c r="I6" s="43" t="s">
        <v>46</v>
      </c>
      <c r="J6" s="32">
        <v>30</v>
      </c>
      <c r="K6" s="43" t="s">
        <v>46</v>
      </c>
      <c r="L6" s="43" t="s">
        <v>46</v>
      </c>
      <c r="M6" s="43" t="s">
        <v>46</v>
      </c>
      <c r="N6" s="49"/>
      <c r="O6" s="33"/>
      <c r="P6" s="31"/>
      <c r="Q6" s="31"/>
      <c r="R6" s="31"/>
      <c r="S6" s="34"/>
      <c r="T6" s="36"/>
      <c r="U6" s="35"/>
      <c r="V6" s="36"/>
      <c r="W6" s="36"/>
      <c r="X6" s="36"/>
      <c r="Y6" s="36"/>
      <c r="Z6" s="36"/>
      <c r="AA6" s="36"/>
      <c r="AB6" s="40" t="s">
        <v>48</v>
      </c>
      <c r="AC6" s="36"/>
      <c r="AD6" s="36"/>
      <c r="AE6" s="36"/>
      <c r="AF6" s="36"/>
      <c r="AG6" s="35"/>
      <c r="AH6" s="35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topLeftCell="AJ1" workbookViewId="0">
      <selection activeCell="AK5" sqref="A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43</v>
      </c>
      <c r="D3" s="2" t="s">
        <v>9</v>
      </c>
      <c r="E3" s="17" t="s">
        <v>49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">
        <v>59</v>
      </c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36" t="s">
        <v>26</v>
      </c>
      <c r="C6" s="36" t="s">
        <v>27</v>
      </c>
      <c r="D6" s="7">
        <v>1000</v>
      </c>
      <c r="E6" s="7">
        <v>1000</v>
      </c>
      <c r="F6" s="7" t="s">
        <v>20</v>
      </c>
      <c r="G6" s="7" t="s">
        <v>47</v>
      </c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>
      <c r="A7" s="5"/>
      <c r="B7" s="36" t="s">
        <v>32</v>
      </c>
      <c r="C7" s="36" t="s">
        <v>27</v>
      </c>
      <c r="D7" s="7">
        <v>1000</v>
      </c>
      <c r="E7" s="7">
        <v>1000</v>
      </c>
      <c r="F7" s="7" t="s">
        <v>22</v>
      </c>
      <c r="G7" s="7" t="s">
        <v>47</v>
      </c>
      <c r="H7" s="5"/>
      <c r="I7" s="5"/>
      <c r="J7" s="7">
        <v>20</v>
      </c>
      <c r="K7" s="5"/>
      <c r="L7" s="5"/>
      <c r="M7" s="5"/>
      <c r="N7" s="5"/>
      <c r="O7" s="5"/>
    </row>
    <row r="8" spans="1:154" ht="15.75" customHeight="1">
      <c r="A8" s="5"/>
      <c r="B8" s="41" t="s">
        <v>33</v>
      </c>
      <c r="C8" s="36" t="s">
        <v>27</v>
      </c>
      <c r="D8" s="7">
        <v>1000</v>
      </c>
      <c r="E8" s="7">
        <v>1000</v>
      </c>
      <c r="F8" s="7" t="s">
        <v>23</v>
      </c>
      <c r="G8" s="7" t="s">
        <v>47</v>
      </c>
      <c r="H8" s="5"/>
      <c r="I8" s="5"/>
      <c r="J8" s="7">
        <v>30</v>
      </c>
      <c r="K8" s="5"/>
      <c r="L8" s="5"/>
      <c r="M8" s="5"/>
      <c r="N8" s="5"/>
      <c r="O8" s="5"/>
    </row>
    <row r="9" spans="1:154" ht="15.75" customHeight="1">
      <c r="A9" s="5"/>
      <c r="B9" s="36"/>
      <c r="C9" s="3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34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 t="str">
        <f ca="1">IFERROR(__xludf.DUMMYFUNCTION("""COMPUTED_VALUE"""),"ReloadOrderFromBlotter")</f>
        <v>ReloadOrderFromBlotter</v>
      </c>
      <c r="BF4" s="20" t="str">
        <f ca="1">IFERROR(__xludf.DUMMYFUNCTION("""COMPUTED_VALUE"""),"ReloadOrderFromSubOrder")</f>
        <v>ReloadOrderFromSubOrder</v>
      </c>
      <c r="BG4" s="20" t="str">
        <f ca="1">IFERROR(__xludf.DUMMYFUNCTION("""COMPUTED_VALUE"""),"ReloadOrderFromWorkingSubs")</f>
        <v>ReloadOrderFromWorkingSubs</v>
      </c>
      <c r="BH4" s="20" t="str">
        <f ca="1">IFERROR(__xludf.DUMMYFUNCTION("""COMPUTED_VALUE"""),"SelectFills")</f>
        <v>SelectFills</v>
      </c>
      <c r="BI4" s="20" t="str">
        <f ca="1">IFERROR(__xludf.DUMMYFUNCTION("""COMPUTED_VALUE"""),"ModifyFills")</f>
        <v>ModifyFills</v>
      </c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9"/>
      <c r="B6" s="30"/>
      <c r="C6" s="31"/>
      <c r="D6" s="32">
        <v>10</v>
      </c>
      <c r="E6" s="31"/>
      <c r="F6" s="33">
        <v>0</v>
      </c>
      <c r="G6" s="31"/>
      <c r="H6" s="31"/>
      <c r="I6" s="31" t="s">
        <v>36</v>
      </c>
      <c r="J6" s="31" t="s">
        <v>26</v>
      </c>
      <c r="K6" s="31" t="s">
        <v>37</v>
      </c>
      <c r="L6" s="31"/>
      <c r="M6" s="31"/>
      <c r="N6" s="31"/>
      <c r="O6" s="31"/>
      <c r="P6" s="31"/>
      <c r="Q6" s="31"/>
      <c r="R6" s="31"/>
      <c r="S6" s="34">
        <v>0</v>
      </c>
      <c r="T6" s="35">
        <v>0</v>
      </c>
      <c r="U6" s="36" t="s">
        <v>21</v>
      </c>
      <c r="V6" s="36"/>
      <c r="W6" s="36"/>
      <c r="X6" s="35">
        <v>0</v>
      </c>
      <c r="Y6" s="36"/>
      <c r="Z6" s="36"/>
      <c r="AA6" s="36"/>
      <c r="AB6" s="36"/>
      <c r="AC6" s="36"/>
      <c r="AD6" s="35">
        <v>1</v>
      </c>
      <c r="AE6" s="36"/>
      <c r="AF6" s="36" t="s">
        <v>38</v>
      </c>
      <c r="AG6" s="35">
        <v>0</v>
      </c>
      <c r="AH6" s="36" t="s">
        <v>39</v>
      </c>
      <c r="AI6" s="36" t="s">
        <v>26</v>
      </c>
      <c r="AJ6" s="36" t="s">
        <v>27</v>
      </c>
      <c r="AK6" s="40" t="s">
        <v>50</v>
      </c>
      <c r="AL6" s="37">
        <v>1000</v>
      </c>
      <c r="AM6" s="37">
        <v>1000</v>
      </c>
      <c r="AN6" s="40">
        <v>100</v>
      </c>
      <c r="AO6" s="37">
        <v>1000</v>
      </c>
      <c r="AP6" s="35"/>
      <c r="AQ6" s="37">
        <v>10</v>
      </c>
      <c r="AR6" s="37">
        <v>10</v>
      </c>
      <c r="AS6" s="36"/>
      <c r="AT6" s="36" t="s">
        <v>20</v>
      </c>
      <c r="AU6" s="36" t="s">
        <v>41</v>
      </c>
      <c r="AV6" s="50">
        <v>10000</v>
      </c>
      <c r="AW6" s="50">
        <v>10000</v>
      </c>
      <c r="AX6" s="36"/>
      <c r="AY6" s="50">
        <v>1000</v>
      </c>
      <c r="AZ6" s="37">
        <v>0</v>
      </c>
      <c r="BA6" s="36" t="s">
        <v>36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spans="1:154" ht="15.75" customHeight="1">
      <c r="A7" s="36"/>
      <c r="B7" s="36"/>
      <c r="C7" s="36"/>
      <c r="D7" s="38">
        <v>20</v>
      </c>
      <c r="E7" s="36"/>
      <c r="F7" s="39">
        <v>0</v>
      </c>
      <c r="G7" s="36"/>
      <c r="H7" s="36"/>
      <c r="I7" s="36" t="s">
        <v>36</v>
      </c>
      <c r="J7" s="36" t="s">
        <v>32</v>
      </c>
      <c r="K7" s="36" t="s">
        <v>37</v>
      </c>
      <c r="L7" s="36"/>
      <c r="M7" s="36"/>
      <c r="N7" s="36"/>
      <c r="O7" s="36"/>
      <c r="P7" s="36"/>
      <c r="Q7" s="36"/>
      <c r="R7" s="36"/>
      <c r="S7" s="35">
        <v>0</v>
      </c>
      <c r="T7" s="35">
        <v>0</v>
      </c>
      <c r="U7" s="36" t="s">
        <v>21</v>
      </c>
      <c r="V7" s="36"/>
      <c r="W7" s="36"/>
      <c r="X7" s="35">
        <v>0</v>
      </c>
      <c r="Y7" s="36"/>
      <c r="Z7" s="36"/>
      <c r="AA7" s="36"/>
      <c r="AB7" s="36"/>
      <c r="AC7" s="36"/>
      <c r="AD7" s="35">
        <v>1</v>
      </c>
      <c r="AE7" s="36"/>
      <c r="AF7" s="36" t="s">
        <v>38</v>
      </c>
      <c r="AG7" s="35">
        <v>0</v>
      </c>
      <c r="AH7" s="36" t="s">
        <v>39</v>
      </c>
      <c r="AI7" s="36" t="s">
        <v>32</v>
      </c>
      <c r="AJ7" s="36" t="s">
        <v>27</v>
      </c>
      <c r="AK7" s="40" t="s">
        <v>50</v>
      </c>
      <c r="AL7" s="37">
        <v>1000</v>
      </c>
      <c r="AM7" s="37">
        <v>1000</v>
      </c>
      <c r="AN7" s="40">
        <v>100</v>
      </c>
      <c r="AO7" s="37">
        <v>1000</v>
      </c>
      <c r="AP7" s="35"/>
      <c r="AQ7" s="37">
        <v>20</v>
      </c>
      <c r="AR7" s="37">
        <v>20</v>
      </c>
      <c r="AS7" s="36"/>
      <c r="AT7" s="40" t="s">
        <v>22</v>
      </c>
      <c r="AU7" s="36" t="s">
        <v>41</v>
      </c>
      <c r="AV7" s="50">
        <v>20000</v>
      </c>
      <c r="AW7" s="50">
        <v>20000</v>
      </c>
      <c r="AX7" s="36"/>
      <c r="AY7" s="50">
        <v>1000</v>
      </c>
      <c r="AZ7" s="37">
        <v>0</v>
      </c>
      <c r="BA7" s="36" t="s">
        <v>36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spans="1:154" ht="15.75" customHeight="1">
      <c r="A8" s="36"/>
      <c r="B8" s="36"/>
      <c r="C8" s="36"/>
      <c r="D8" s="38">
        <v>30</v>
      </c>
      <c r="E8" s="36"/>
      <c r="F8" s="39">
        <v>0</v>
      </c>
      <c r="G8" s="36"/>
      <c r="H8" s="36"/>
      <c r="I8" s="36" t="s">
        <v>36</v>
      </c>
      <c r="J8" s="41" t="s">
        <v>33</v>
      </c>
      <c r="K8" s="36" t="s">
        <v>37</v>
      </c>
      <c r="L8" s="36"/>
      <c r="M8" s="36"/>
      <c r="N8" s="36"/>
      <c r="O8" s="36"/>
      <c r="P8" s="36"/>
      <c r="Q8" s="36"/>
      <c r="R8" s="36"/>
      <c r="S8" s="35">
        <v>0</v>
      </c>
      <c r="T8" s="35">
        <v>0</v>
      </c>
      <c r="U8" s="36" t="s">
        <v>21</v>
      </c>
      <c r="V8" s="36"/>
      <c r="W8" s="36"/>
      <c r="X8" s="35">
        <v>0</v>
      </c>
      <c r="Y8" s="36"/>
      <c r="Z8" s="36"/>
      <c r="AA8" s="36"/>
      <c r="AB8" s="36"/>
      <c r="AC8" s="36"/>
      <c r="AD8" s="35">
        <v>1</v>
      </c>
      <c r="AE8" s="36"/>
      <c r="AF8" s="36" t="s">
        <v>38</v>
      </c>
      <c r="AG8" s="35">
        <v>0</v>
      </c>
      <c r="AH8" s="36" t="s">
        <v>39</v>
      </c>
      <c r="AI8" s="41" t="s">
        <v>33</v>
      </c>
      <c r="AJ8" s="36" t="s">
        <v>27</v>
      </c>
      <c r="AK8" s="40" t="s">
        <v>50</v>
      </c>
      <c r="AL8" s="37">
        <v>1000</v>
      </c>
      <c r="AM8" s="37">
        <v>1000</v>
      </c>
      <c r="AN8" s="40">
        <v>100</v>
      </c>
      <c r="AO8" s="37">
        <v>1000</v>
      </c>
      <c r="AP8" s="35"/>
      <c r="AQ8" s="37">
        <v>30</v>
      </c>
      <c r="AR8" s="37">
        <v>30</v>
      </c>
      <c r="AS8" s="36"/>
      <c r="AT8" s="40" t="s">
        <v>23</v>
      </c>
      <c r="AU8" s="36" t="s">
        <v>41</v>
      </c>
      <c r="AV8" s="50">
        <v>30000</v>
      </c>
      <c r="AW8" s="50">
        <v>30000</v>
      </c>
      <c r="AX8" s="36"/>
      <c r="AY8" s="50">
        <v>1000</v>
      </c>
      <c r="AZ8" s="37">
        <v>0</v>
      </c>
      <c r="BA8" s="36" t="s">
        <v>36</v>
      </c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51</v>
      </c>
      <c r="D3" s="2" t="s">
        <v>9</v>
      </c>
      <c r="E3" s="17" t="s">
        <v>52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53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51</v>
      </c>
      <c r="D3" s="2" t="s">
        <v>9</v>
      </c>
      <c r="E3" s="17" t="s">
        <v>54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51" t="s">
        <v>20</v>
      </c>
      <c r="C6" s="5"/>
      <c r="D6" s="52">
        <v>0</v>
      </c>
      <c r="E6" s="52">
        <v>1000</v>
      </c>
      <c r="F6" s="5"/>
      <c r="G6" s="53" t="s">
        <v>39</v>
      </c>
      <c r="H6" s="52">
        <v>4</v>
      </c>
      <c r="I6" s="52">
        <v>5</v>
      </c>
      <c r="J6" s="5"/>
      <c r="K6" s="52">
        <v>10</v>
      </c>
      <c r="L6" s="52">
        <v>10</v>
      </c>
      <c r="M6" s="5"/>
      <c r="N6" s="5"/>
      <c r="O6" s="53" t="s">
        <v>47</v>
      </c>
      <c r="Q6" s="52">
        <v>3</v>
      </c>
      <c r="R6" s="52">
        <v>0</v>
      </c>
      <c r="S6" s="53" t="s">
        <v>55</v>
      </c>
      <c r="T6" s="52">
        <v>0</v>
      </c>
      <c r="U6" s="52">
        <v>0</v>
      </c>
      <c r="Z6" s="53" t="s">
        <v>21</v>
      </c>
      <c r="AB6" s="52">
        <v>1</v>
      </c>
      <c r="AD6" s="53" t="s">
        <v>48</v>
      </c>
      <c r="AE6" s="52">
        <v>1000</v>
      </c>
      <c r="AH6" s="53" t="s">
        <v>38</v>
      </c>
      <c r="AI6" s="6">
        <v>1</v>
      </c>
      <c r="AN6" s="53" t="s">
        <v>56</v>
      </c>
      <c r="AP6" s="53" t="s">
        <v>57</v>
      </c>
      <c r="AQ6" s="53" t="s">
        <v>56</v>
      </c>
      <c r="AR6" s="53" t="s">
        <v>57</v>
      </c>
      <c r="AT6" s="52">
        <v>10014.0056</v>
      </c>
      <c r="AU6" s="52">
        <v>10014.0056</v>
      </c>
      <c r="AW6" s="52">
        <v>0</v>
      </c>
      <c r="AX6" s="52">
        <v>0</v>
      </c>
      <c r="AY6" s="53" t="s">
        <v>41</v>
      </c>
      <c r="AZ6" s="52">
        <v>0</v>
      </c>
      <c r="BC6" s="52">
        <v>0</v>
      </c>
      <c r="BE6" s="52">
        <v>10000</v>
      </c>
      <c r="BF6" s="52">
        <v>10000</v>
      </c>
      <c r="BJ6" s="52">
        <v>1000</v>
      </c>
      <c r="BK6" s="52">
        <v>0</v>
      </c>
      <c r="BM6" s="53" t="s">
        <v>21</v>
      </c>
      <c r="BO6" s="6" t="s">
        <v>27</v>
      </c>
      <c r="BP6" s="52">
        <v>0</v>
      </c>
      <c r="BQ6" s="52">
        <v>0</v>
      </c>
      <c r="BT6" s="53" t="s">
        <v>26</v>
      </c>
      <c r="BU6" s="52">
        <v>3</v>
      </c>
      <c r="BV6" s="52">
        <v>0</v>
      </c>
      <c r="BW6" s="52">
        <v>14.005599999999999</v>
      </c>
      <c r="BX6" s="52">
        <v>0</v>
      </c>
      <c r="CG6" s="52">
        <v>2</v>
      </c>
      <c r="CH6" s="53" t="s">
        <v>24</v>
      </c>
      <c r="CI6" s="53" t="s">
        <v>27</v>
      </c>
      <c r="CJ6" s="52">
        <v>0</v>
      </c>
      <c r="CK6" s="53" t="s">
        <v>37</v>
      </c>
      <c r="CN6" s="53" t="s">
        <v>36</v>
      </c>
      <c r="CO6" s="53" t="s">
        <v>48</v>
      </c>
    </row>
    <row r="7" spans="1:154" ht="15.75" customHeight="1">
      <c r="A7" s="5"/>
      <c r="B7" s="53" t="s">
        <v>23</v>
      </c>
      <c r="C7" s="5"/>
      <c r="D7" s="52">
        <v>0</v>
      </c>
      <c r="E7" s="52">
        <v>1000</v>
      </c>
      <c r="F7" s="5"/>
      <c r="G7" s="53" t="s">
        <v>39</v>
      </c>
      <c r="H7" s="52">
        <v>4</v>
      </c>
      <c r="I7" s="52">
        <v>5</v>
      </c>
      <c r="J7" s="5"/>
      <c r="K7" s="52">
        <v>30</v>
      </c>
      <c r="L7" s="52">
        <v>30</v>
      </c>
      <c r="M7" s="5"/>
      <c r="N7" s="5"/>
      <c r="O7" s="53" t="s">
        <v>47</v>
      </c>
      <c r="Q7" s="52">
        <v>3</v>
      </c>
      <c r="R7" s="52">
        <v>0</v>
      </c>
      <c r="S7" s="53" t="s">
        <v>55</v>
      </c>
      <c r="T7" s="52">
        <v>0</v>
      </c>
      <c r="U7" s="52">
        <v>0</v>
      </c>
      <c r="Z7" s="53" t="s">
        <v>21</v>
      </c>
      <c r="AB7" s="52">
        <v>1</v>
      </c>
      <c r="AD7" s="53" t="s">
        <v>48</v>
      </c>
      <c r="AE7" s="52">
        <v>1000</v>
      </c>
      <c r="AH7" s="53" t="s">
        <v>38</v>
      </c>
      <c r="AI7" s="6">
        <v>1</v>
      </c>
      <c r="AN7" s="53" t="s">
        <v>56</v>
      </c>
      <c r="AP7" s="53" t="s">
        <v>57</v>
      </c>
      <c r="AQ7" s="53" t="s">
        <v>56</v>
      </c>
      <c r="AR7" s="53" t="s">
        <v>57</v>
      </c>
      <c r="AT7" s="52">
        <v>30014.016800000001</v>
      </c>
      <c r="AU7" s="52">
        <v>30014.016800000001</v>
      </c>
      <c r="AW7" s="52">
        <v>0</v>
      </c>
      <c r="AX7" s="52">
        <v>0</v>
      </c>
      <c r="AY7" s="53" t="s">
        <v>41</v>
      </c>
      <c r="AZ7" s="52">
        <v>0</v>
      </c>
      <c r="BC7" s="52">
        <v>0</v>
      </c>
      <c r="BE7" s="52">
        <v>30000</v>
      </c>
      <c r="BF7" s="52">
        <v>30000</v>
      </c>
      <c r="BJ7" s="52">
        <v>1000</v>
      </c>
      <c r="BK7" s="52">
        <v>0</v>
      </c>
      <c r="BM7" s="53" t="s">
        <v>21</v>
      </c>
      <c r="BO7" s="6" t="s">
        <v>27</v>
      </c>
      <c r="BP7" s="52">
        <v>0</v>
      </c>
      <c r="BQ7" s="52">
        <v>0</v>
      </c>
      <c r="BT7" s="53" t="s">
        <v>33</v>
      </c>
      <c r="BU7" s="52">
        <v>3</v>
      </c>
      <c r="BV7" s="52">
        <v>0</v>
      </c>
      <c r="BW7" s="52">
        <v>14.0168</v>
      </c>
      <c r="BX7" s="52">
        <v>0</v>
      </c>
      <c r="CG7" s="52">
        <v>2</v>
      </c>
      <c r="CH7" s="53" t="s">
        <v>24</v>
      </c>
      <c r="CI7" s="53" t="s">
        <v>27</v>
      </c>
      <c r="CJ7" s="52">
        <v>0</v>
      </c>
      <c r="CK7" s="53" t="s">
        <v>37</v>
      </c>
      <c r="CN7" s="53" t="s">
        <v>36</v>
      </c>
      <c r="CO7" s="53" t="s">
        <v>48</v>
      </c>
    </row>
    <row r="8" spans="1:154" ht="15.75" customHeight="1">
      <c r="A8" s="5"/>
      <c r="B8" s="53" t="s">
        <v>22</v>
      </c>
      <c r="C8" s="5"/>
      <c r="D8" s="52">
        <v>0</v>
      </c>
      <c r="E8" s="52">
        <v>1000</v>
      </c>
      <c r="F8" s="5"/>
      <c r="G8" s="53" t="s">
        <v>39</v>
      </c>
      <c r="H8" s="52">
        <v>180</v>
      </c>
      <c r="I8" s="52">
        <v>0</v>
      </c>
      <c r="J8" s="5"/>
      <c r="K8" s="52">
        <v>20</v>
      </c>
      <c r="L8" s="52">
        <v>20</v>
      </c>
      <c r="M8" s="5"/>
      <c r="N8" s="5"/>
      <c r="O8" s="53" t="s">
        <v>47</v>
      </c>
      <c r="Q8" s="52">
        <v>3</v>
      </c>
      <c r="R8" s="52">
        <v>0</v>
      </c>
      <c r="S8" s="53" t="s">
        <v>55</v>
      </c>
      <c r="T8" s="52">
        <v>0</v>
      </c>
      <c r="U8" s="52">
        <v>0</v>
      </c>
      <c r="Z8" s="53" t="s">
        <v>21</v>
      </c>
      <c r="AB8" s="52">
        <v>1</v>
      </c>
      <c r="AD8" s="53" t="s">
        <v>58</v>
      </c>
      <c r="AE8" s="52">
        <v>1000</v>
      </c>
      <c r="AH8" s="53" t="s">
        <v>38</v>
      </c>
      <c r="AI8" s="6">
        <v>1</v>
      </c>
      <c r="AN8" s="53" t="s">
        <v>56</v>
      </c>
      <c r="AP8" s="53" t="s">
        <v>57</v>
      </c>
      <c r="AQ8" s="53" t="s">
        <v>56</v>
      </c>
      <c r="AR8" s="53" t="s">
        <v>57</v>
      </c>
      <c r="AT8" s="52">
        <v>20184.5</v>
      </c>
      <c r="AU8" s="52">
        <v>20184.5</v>
      </c>
      <c r="AW8" s="52">
        <v>0</v>
      </c>
      <c r="AX8" s="52">
        <v>0</v>
      </c>
      <c r="AY8" s="53" t="s">
        <v>41</v>
      </c>
      <c r="AZ8" s="52">
        <v>0</v>
      </c>
      <c r="BC8" s="52">
        <v>0</v>
      </c>
      <c r="BE8" s="52">
        <v>20000</v>
      </c>
      <c r="BF8" s="52">
        <v>20000</v>
      </c>
      <c r="BJ8" s="52">
        <v>1000</v>
      </c>
      <c r="BK8" s="52">
        <v>0</v>
      </c>
      <c r="BM8" s="53" t="s">
        <v>21</v>
      </c>
      <c r="BO8" s="6" t="s">
        <v>27</v>
      </c>
      <c r="BP8" s="52">
        <v>0</v>
      </c>
      <c r="BQ8" s="52">
        <v>0</v>
      </c>
      <c r="BT8" s="53" t="s">
        <v>32</v>
      </c>
      <c r="BU8" s="52">
        <v>1</v>
      </c>
      <c r="BV8" s="52">
        <v>0</v>
      </c>
      <c r="BW8" s="52">
        <v>184.5</v>
      </c>
      <c r="BX8" s="52">
        <v>0</v>
      </c>
      <c r="CG8" s="52">
        <v>0</v>
      </c>
      <c r="CH8" s="53" t="s">
        <v>24</v>
      </c>
      <c r="CI8" s="53" t="s">
        <v>27</v>
      </c>
      <c r="CJ8" s="52">
        <v>0</v>
      </c>
      <c r="CK8" s="53" t="s">
        <v>37</v>
      </c>
      <c r="CN8" s="53" t="s">
        <v>36</v>
      </c>
      <c r="CO8" s="53" t="s">
        <v>48</v>
      </c>
    </row>
    <row r="9" spans="1:154" ht="15.75" customHeight="1">
      <c r="A9" s="5"/>
      <c r="B9" s="53"/>
      <c r="C9" s="5"/>
      <c r="D9" s="53"/>
      <c r="E9" s="5"/>
      <c r="F9" s="5"/>
      <c r="G9" s="53"/>
      <c r="H9" s="5"/>
      <c r="I9" s="53"/>
      <c r="J9" s="5"/>
      <c r="K9" s="5"/>
      <c r="L9" s="5"/>
      <c r="M9" s="5"/>
      <c r="N9" s="5"/>
      <c r="O9" s="5"/>
      <c r="Q9" s="53"/>
      <c r="S9" s="53"/>
      <c r="T9" s="53"/>
      <c r="U9" s="53"/>
      <c r="Z9" s="53"/>
      <c r="AE9" s="53"/>
      <c r="AN9" s="53"/>
      <c r="AQ9" s="53"/>
      <c r="AT9" s="53"/>
      <c r="AU9" s="53"/>
      <c r="AW9" s="53"/>
      <c r="AX9" s="53"/>
      <c r="AZ9" s="53"/>
      <c r="BC9" s="53"/>
      <c r="BE9" s="53"/>
      <c r="BF9" s="53"/>
      <c r="BJ9" s="53"/>
      <c r="BK9" s="53"/>
      <c r="BP9" s="53"/>
      <c r="BQ9" s="53"/>
      <c r="BU9" s="53"/>
      <c r="BV9" s="53"/>
      <c r="BX9" s="53"/>
      <c r="CI9" s="53"/>
      <c r="CJ9" s="53"/>
      <c r="CN9" s="53"/>
      <c r="CO9" s="53"/>
    </row>
    <row r="10" spans="1:154" ht="15.75" customHeight="1">
      <c r="A10" s="5"/>
      <c r="B10" s="5"/>
      <c r="C10" s="5"/>
      <c r="D10" s="53"/>
      <c r="E10" s="5"/>
      <c r="F10" s="5"/>
      <c r="G10" s="53"/>
      <c r="H10" s="5"/>
      <c r="I10" s="5"/>
      <c r="J10" s="5"/>
      <c r="K10" s="5"/>
      <c r="L10" s="5"/>
      <c r="M10" s="5"/>
      <c r="N10" s="5"/>
      <c r="O10" s="5"/>
      <c r="Q10" s="53"/>
      <c r="AT10" s="53"/>
      <c r="AU10" s="53"/>
      <c r="BE10" s="53"/>
      <c r="BF10" s="53"/>
      <c r="CN10" s="53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CN11" s="53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_Modules</vt:lpstr>
      <vt:lpstr>_Settings</vt:lpstr>
      <vt:lpstr>_MasterData</vt:lpstr>
      <vt:lpstr>SetTTUIAdminPreferences</vt:lpstr>
      <vt:lpstr>GetDailyCash</vt:lpstr>
      <vt:lpstr>UpdateDailyCash</vt:lpstr>
      <vt:lpstr>CalculatePTT</vt:lpstr>
      <vt:lpstr>CreateOrderPTT</vt:lpstr>
      <vt:lpstr>CalculatePTT1</vt:lpstr>
      <vt:lpstr>CreateOrderPTT1</vt:lpstr>
      <vt:lpstr>CalculatePTT2</vt:lpstr>
      <vt:lpstr>CreateOrderPTT2</vt:lpstr>
      <vt:lpstr>VerifyOrder</vt:lpstr>
      <vt:lpstr>MultiTradingTicketFromBlotter</vt:lpstr>
      <vt:lpstr>SelectTradeUsingMTT</vt:lpstr>
      <vt:lpstr>EditTradeUsingMTT</vt:lpstr>
      <vt:lpstr>SelectTradeUsingMTT1</vt:lpstr>
      <vt:lpstr>EditTradeUsingMTT1</vt:lpstr>
      <vt:lpstr>SelectTradeUsingMTT2</vt:lpstr>
      <vt:lpstr>EditTradeUsingMTT2</vt:lpstr>
      <vt:lpstr>DoneAwayUsingMTT</vt:lpstr>
      <vt:lpstr>VerifyOrder1</vt:lpstr>
      <vt:lpstr>GetDataAllocation</vt:lpstr>
      <vt:lpstr>CheckAllocatedGroups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2021-09-20T12:53:21Z</dcterms:modified>
</cp:coreProperties>
</file>