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UnallocatedGroup" sheetId="5" r:id="rId7"/>
    <sheet state="visible" name="EnterAllocatePreference" sheetId="6" r:id="rId8"/>
    <sheet state="visible" name="CheckAllocatedGroups" sheetId="7" r:id="rId9"/>
    <sheet state="visible" name="CheckUnallocatedGroups" sheetId="8" r:id="rId10"/>
    <sheet state="visible" name="GetDataAllocation" sheetId="9" r:id="rId11"/>
    <sheet state="visible" name="GetDataClosing" sheetId="10" r:id="rId12"/>
    <sheet state="visible" name="VerifyLongPositionsGrid" sheetId="11" r:id="rId13"/>
    <sheet state="visible" name="CheckPortfolioManagement" sheetId="12" r:id="rId14"/>
    <sheet state="visible" name="GetActivityData" sheetId="13" r:id="rId15"/>
    <sheet state="visible" name="VerifyActivity" sheetId="14" r:id="rId16"/>
    <sheet state="visible" name="VerifyShortPositionsGrid" sheetId="15" r:id="rId17"/>
    <sheet state="visible" name="SetGeneralPreferences" sheetId="16" r:id="rId18"/>
  </sheets>
  <definedNames/>
  <calcPr/>
</workbook>
</file>

<file path=xl/sharedStrings.xml><?xml version="1.0" encoding="utf-8"?>
<sst xmlns="http://schemas.openxmlformats.org/spreadsheetml/2006/main" count="237" uniqueCount="57">
  <si>
    <t>Modules Info</t>
  </si>
  <si>
    <t>Master Data Info</t>
  </si>
  <si>
    <t>Settings</t>
  </si>
  <si>
    <t>Modules</t>
  </si>
  <si>
    <t>Module Step Setting File</t>
  </si>
  <si>
    <t>1mQ5wEgXb-MhIU0Or9e66NOlU7WFsZsSgRXGfsykMW9I</t>
  </si>
  <si>
    <t>Module</t>
  </si>
  <si>
    <t>Master Data Settings File</t>
  </si>
  <si>
    <t>Step</t>
  </si>
  <si>
    <t>1Nt_rf5DtgjbN9Ag4AMMlUkZYROxKZLH5m54YOl7tRT0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</si>
  <si>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</si>
  <si>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</si>
  <si>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</si>
  <si>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</si>
  <si>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</si>
  <si>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</si>
  <si>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</si>
  <si>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</si>
  <si>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Allocation1,Allocation2,Allocation3</t>
  </si>
  <si>
    <t>25,25,50</t>
  </si>
  <si>
    <t>AAPL</t>
  </si>
  <si>
    <t>Allocation1,Allocation2</t>
  </si>
  <si>
    <t>25,75</t>
  </si>
  <si>
    <t>INFY</t>
  </si>
  <si>
    <t>OFFSHORE</t>
  </si>
  <si>
    <t>Unallocated</t>
  </si>
  <si>
    <t>Sell</t>
  </si>
  <si>
    <t>TESS</t>
  </si>
  <si>
    <t>Sell short</t>
  </si>
  <si>
    <t>Allocation</t>
  </si>
  <si>
    <t>SelectUnallocatedGroup</t>
  </si>
  <si>
    <t>EnterAllocatePreference</t>
  </si>
  <si>
    <t>Calculated</t>
  </si>
  <si>
    <t>Prorata</t>
  </si>
  <si>
    <t>CheckAllocatedGroups</t>
  </si>
  <si>
    <t>CheckUnallocatedGroups</t>
  </si>
  <si>
    <t>GetDataAllocation</t>
  </si>
  <si>
    <t>Current</t>
  </si>
  <si>
    <t>Closing</t>
  </si>
  <si>
    <t>GetDataClosing</t>
  </si>
  <si>
    <t>VerifyLongPositionsGrid</t>
  </si>
  <si>
    <t>Allocation1</t>
  </si>
  <si>
    <t>Allocation2</t>
  </si>
  <si>
    <t>Allocation3</t>
  </si>
  <si>
    <t>PortfolioManagement</t>
  </si>
  <si>
    <t>CheckPortfolioManagement</t>
  </si>
  <si>
    <t>GeneralLedger</t>
  </si>
  <si>
    <t>GetActivityData</t>
  </si>
  <si>
    <t>SelectAll</t>
  </si>
  <si>
    <t>Allocation1,Allocation2,Allocation3,OFFSHORE</t>
  </si>
  <si>
    <t>No</t>
  </si>
  <si>
    <t>Yes</t>
  </si>
  <si>
    <t>VerifyActivity</t>
  </si>
  <si>
    <t>EquityL</t>
  </si>
  <si>
    <t>USD</t>
  </si>
  <si>
    <t>VerifyShortPositionsGrid</t>
  </si>
  <si>
    <t>SetGeneralPreferences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</si>
</sst>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/>
    </border>
    <border>
      <left/>
      <right/>
      <bottom/>
    </border>
    <border>
      <right/>
      <bottom/>
    </border>
    <border>
      <top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ont="1">
      <alignment horizontal="center" shrinkToFit="0" wrapText="0"/>
    </xf>
    <xf borderId="1" fillId="2" fontId="3" numFmtId="0" xfId="0" applyAlignment="1" applyBorder="1" applyFont="1">
      <alignment horizontal="center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5" fillId="0" fontId="4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6" fillId="3" fontId="6" numFmtId="0" xfId="0" applyAlignment="1" applyBorder="1" applyFont="1">
      <alignment shrinkToFit="0" vertical="bottom" wrapText="0"/>
    </xf>
    <xf borderId="4" fillId="3" fontId="6" numFmtId="0" xfId="0" applyAlignment="1" applyBorder="1" applyFont="1">
      <alignment readingOrder="0" shrinkToFit="0" wrapText="0"/>
    </xf>
    <xf borderId="7" fillId="3" fontId="7" numFmtId="0" xfId="0" applyAlignment="1" applyBorder="1" applyFont="1">
      <alignment shrinkToFit="0" vertical="bottom" wrapText="0"/>
    </xf>
    <xf borderId="4" fillId="3" fontId="5" numFmtId="0" xfId="0" applyAlignment="1" applyBorder="1" applyFont="1">
      <alignment shrinkToFit="0" wrapText="0"/>
    </xf>
    <xf borderId="7" fillId="3" fontId="4" numFmtId="0" xfId="0" applyAlignment="1" applyBorder="1" applyFont="1">
      <alignment vertical="bottom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4" fontId="8" numFmtId="0" xfId="0" applyFill="1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6" numFmtId="0" xfId="0" applyAlignment="1" applyFill="1" applyFont="1">
      <alignment shrinkToFit="0" wrapText="0"/>
    </xf>
    <xf borderId="4" fillId="6" fontId="6" numFmtId="0" xfId="0" applyAlignment="1" applyBorder="1" applyFont="1">
      <alignment shrinkToFit="0" wrapText="0"/>
    </xf>
    <xf borderId="0" fillId="6" fontId="10" numFmtId="0" xfId="0" applyFont="1"/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14" xfId="0" applyFont="1" applyNumberFormat="1"/>
    <xf borderId="4" fillId="6" fontId="6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4" numFmtId="0" xfId="0" applyAlignment="1" applyFont="1">
      <alignment vertical="bottom"/>
    </xf>
    <xf borderId="8" fillId="0" fontId="4" numFmtId="0" xfId="0" applyAlignment="1" applyBorder="1" applyFont="1">
      <alignment vertical="bottom"/>
    </xf>
    <xf borderId="8" fillId="0" fontId="4" numFmtId="0" xfId="0" applyAlignment="1" applyBorder="1" applyFont="1">
      <alignment horizontal="right" vertical="bottom"/>
    </xf>
    <xf borderId="8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8" fillId="0" fontId="5" numFmtId="14" xfId="0" applyAlignment="1" applyBorder="1" applyFont="1" applyNumberFormat="1">
      <alignment horizontal="right" vertical="bottom"/>
    </xf>
    <xf borderId="8" fillId="0" fontId="4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0</v>
      </c>
      <c r="B1" s="2"/>
      <c r="C1" s="2"/>
      <c r="D1" s="2"/>
      <c r="E1" s="2"/>
      <c r="F1" s="3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16"/>
      <c r="C3" s="17"/>
      <c r="D3" s="17"/>
      <c r="E3" s="17"/>
      <c r="F3" s="17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1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IFERROR(__xludf.DUMMYFUNCTION("""COMPUTED_VALUE"""),"SelectTrade")</f>
        <v>SelectTrade</v>
      </c>
      <c r="C399" t="str">
        <f>IFERROR(__xludf.DUMMYFUNCTION("""COMPUTED_VALUE"""),"1FTTZIzpIKJz6P-IPbrA5EPTxiMe2ARbyGfgsnMXlct4")</f>
        <v>1FTTZIzpIKJz6P-IPbrA5EPTxiMe2ARbyGfgsnMXlct4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IFERROR(__xludf.DUMMYFUNCTION("""COMPUTED_VALUE"""),"AcknowledgeTrade")</f>
        <v>AcknowledgeTrade</v>
      </c>
      <c r="C400" t="str">
        <f>IFERROR(__xludf.DUMMYFUNCTION("""COMPUTED_VALUE"""),"1sQAsvIkAT3oSRlv0P4ERgM6O-p9EGHnCNRCfZZ6EKPM")</f>
        <v>1sQAsvIkAT3oSRlv0P4ERgM6O-p9EGHnCNRCfZZ6EKPM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IFERROR(__xludf.DUMMYFUNCTION("""COMPUTED_VALUE"""),"RejectTrade")</f>
        <v>RejectTrade</v>
      </c>
      <c r="C401" t="str">
        <f>IFERROR(__xludf.DUMMYFUNCTION("""COMPUTED_VALUE"""),"18DR7gQzurIoB_fivnSt8QoqUWcLVRpZQSDr37UqoXKU")</f>
        <v>18DR7gQzurIoB_fivnSt8QoqUWcLVRpZQSDr37UqoXKU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IFERROR(__xludf.DUMMYFUNCTION("""COMPUTED_VALUE"""),"ExecuteTrade")</f>
        <v>ExecuteTrade</v>
      </c>
      <c r="C402" t="str">
        <f>IFERROR(__xludf.DUMMYFUNCTION("""COMPUTED_VALUE"""),"1pp_DAI1bHvMNnrEvw8O7TeJWebgUjt3FSsdgjVWeJkE")</f>
        <v>1pp_DAI1bHvMNnrEvw8O7TeJWebgUjt3FSsdgjVWeJkE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IFERROR(__xludf.DUMMYFUNCTION("""COMPUTED_VALUE"""),"CancelTrade")</f>
        <v>CancelTrade</v>
      </c>
      <c r="C403" t="str">
        <f>IFERROR(__xludf.DUMMYFUNCTION("""COMPUTED_VALUE"""),"1hX7-3j5InwEYhwGhZXePVHcW-9vxINkOET671xdWGsc")</f>
        <v>1hX7-3j5InwEYhwGhZXePVHcW-9vxINkOET671xdWGsc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IFERROR(__xludf.DUMMYFUNCTION("""COMPUTED_VALUE"""),"OpenLiveTT")</f>
        <v>OpenLiveTT</v>
      </c>
      <c r="C404" t="str">
        <f>IFERROR(__xludf.DUMMYFUNCTION("""COMPUTED_VALUE"""),"1q3BIdA-Gau2cX2cBnlgy7eas26rbuZEdQMfROhYvOgI")</f>
        <v>1q3BIdA-Gau2cX2cBnlgy7eas26rbuZEdQMfROhYvOgI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IFERROR(__xludf.DUMMYFUNCTION("""COMPUTED_VALUE"""),"TradingTicket")</f>
        <v>TradingTicket</v>
      </c>
      <c r="B405" t="str">
        <f>IFERROR(__xludf.DUMMYFUNCTION("""COMPUTED_VALUE"""),"CreateLiveOrder")</f>
        <v>CreateLiveOrder</v>
      </c>
      <c r="C405" t="str">
        <f>IFERROR(__xludf.DUMMYFUNCTION("""COMPUTED_VALUE"""),"115Bw2-ohdF1ilHcVpmgJ2DX9SJjX1zI-6SvF3CpCjm8")</f>
        <v>115Bw2-ohdF1ilHcVpmgJ2DX9SJjX1zI-6SvF3CpCjm8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IFERROR(__xludf.DUMMYFUNCTION("""COMPUTED_VALUE"""),"Simulator")</f>
        <v>Simulator</v>
      </c>
      <c r="B406" t="str">
        <f>IFERROR(__xludf.DUMMYFUNCTION("""COMPUTED_VALUE"""),"SetManualResponse ")</f>
        <v>SetManualResponse </v>
      </c>
      <c r="C406" t="str">
        <f>IFERROR(__xludf.DUMMYFUNCTION("""COMPUTED_VALUE"""),"10qeNhV85AQPMToOqHZlhzdXyNnDNjiueFxVwGUI_MO4")</f>
        <v>10qeNhV85AQPMToOqHZlhzdXyNnDNjiueFxVwGUI_MO4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IFERROR(__xludf.DUMMYFUNCTION("""COMPUTED_VALUE"""),"Simulator")</f>
        <v>Simulator</v>
      </c>
      <c r="B407" t="str">
        <f>IFERROR(__xludf.DUMMYFUNCTION("""COMPUTED_VALUE"""),"ClearUI")</f>
        <v>ClearUI</v>
      </c>
      <c r="C407" t="str">
        <f>IFERROR(__xludf.DUMMYFUNCTION("""COMPUTED_VALUE"""),"1LO0lVmw42vb8rN4FBdD2nZspNUXqgQCerd4ip5U8His")</f>
        <v>1LO0lVmw42vb8rN4FBdD2nZspNUXqgQCerd4ip5U8His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IFERROR(__xludf.DUMMYFUNCTION("""COMPUTED_VALUE"""),"RebalanceAcrossSecurities")</f>
        <v>RebalanceAcrossSecurities</v>
      </c>
      <c r="C408" t="str">
        <f>IFERROR(__xludf.DUMMYFUNCTION("""COMPUTED_VALUE"""),"1C-pSRr2mYlstlgFOXGSaoMyr-7ZKnUyCiCZMgNR75C0")</f>
        <v>1C-pSRr2mYlstlgFOXGSaoMyr-7ZKnUyCiCZMgNR75C0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4.43"/>
    <col customWidth="1" min="3" max="23" width="14.43"/>
  </cols>
  <sheetData>
    <row r="1" ht="15.75" customHeight="1">
      <c r="A1" s="5" t="s">
        <v>2</v>
      </c>
      <c r="B1" s="2"/>
      <c r="C1" s="3"/>
    </row>
    <row r="2" ht="15.75" customHeight="1">
      <c r="A2" s="7"/>
      <c r="B2" s="7"/>
      <c r="C2" s="7"/>
    </row>
    <row r="3" ht="15.75" customHeight="1">
      <c r="A3" s="8" t="s">
        <v>4</v>
      </c>
      <c r="B3" s="10" t="s">
        <v>5</v>
      </c>
      <c r="C3" s="7"/>
    </row>
    <row r="4" ht="15.75" customHeight="1">
      <c r="A4" s="12" t="s">
        <v>7</v>
      </c>
      <c r="B4" s="10" t="s">
        <v>9</v>
      </c>
      <c r="C4" s="7"/>
    </row>
    <row r="5" ht="15.75" customHeight="1">
      <c r="A5" s="14"/>
      <c r="B5" s="7"/>
      <c r="C5" s="7"/>
    </row>
    <row r="6" ht="15.75" customHeight="1">
      <c r="A6" s="14"/>
      <c r="B6" s="7"/>
      <c r="C6" s="7"/>
    </row>
    <row r="7" ht="15.75" customHeight="1">
      <c r="A7" s="14"/>
      <c r="B7" s="7"/>
      <c r="C7" s="7"/>
    </row>
    <row r="8" ht="15.75" customHeight="1">
      <c r="A8" s="14"/>
      <c r="B8" s="7"/>
      <c r="C8" s="7"/>
    </row>
    <row r="9" ht="15.75" customHeight="1">
      <c r="A9" s="14"/>
      <c r="B9" s="7"/>
      <c r="C9" s="7"/>
    </row>
    <row r="10" ht="15.75" customHeight="1">
      <c r="A10" s="14"/>
      <c r="B10" s="7"/>
      <c r="C10" s="7"/>
    </row>
    <row r="11" ht="15.75" customHeight="1">
      <c r="A11" s="14"/>
      <c r="B11" s="7"/>
      <c r="C11" s="7"/>
    </row>
    <row r="12" ht="15.75" customHeight="1">
      <c r="A12" s="14"/>
      <c r="B12" s="7"/>
      <c r="C12" s="7"/>
    </row>
    <row r="13" ht="15.75" customHeight="1">
      <c r="A13" s="14"/>
      <c r="B13" s="7"/>
      <c r="C13" s="7"/>
    </row>
    <row r="14" ht="15.75" customHeight="1">
      <c r="A14" s="14"/>
      <c r="B14" s="7"/>
      <c r="C14" s="7"/>
    </row>
    <row r="15" ht="15.75" customHeight="1">
      <c r="A15" s="14"/>
      <c r="B15" s="7"/>
      <c r="C15" s="7"/>
    </row>
    <row r="16" ht="15.75" customHeight="1">
      <c r="A16" s="14"/>
      <c r="B16" s="7"/>
      <c r="C16" s="7"/>
    </row>
    <row r="17" ht="15.75" customHeight="1">
      <c r="A17" s="14"/>
      <c r="B17" s="7"/>
      <c r="C17" s="7"/>
    </row>
    <row r="18" ht="15.75" customHeight="1">
      <c r="A18" s="14"/>
      <c r="B18" s="7"/>
      <c r="C18" s="7"/>
    </row>
    <row r="19" ht="15.75" customHeight="1">
      <c r="A19" s="14"/>
      <c r="B19" s="7"/>
      <c r="C19" s="7"/>
    </row>
    <row r="20" ht="15.75" customHeight="1">
      <c r="A20" s="14"/>
      <c r="B20" s="7"/>
      <c r="C20" s="7"/>
    </row>
    <row r="21" ht="15.75" customHeight="1">
      <c r="A21" s="14"/>
      <c r="B21" s="7"/>
      <c r="C21" s="7"/>
    </row>
    <row r="22" ht="15.75" customHeight="1">
      <c r="A22" s="14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>
    <row r="1">
      <c r="A1" s="1" t="s">
        <v>1</v>
      </c>
      <c r="B1" s="2"/>
      <c r="C1" s="2"/>
      <c r="D1" s="2"/>
      <c r="E1" s="2"/>
      <c r="F1" s="3"/>
    </row>
    <row r="2">
      <c r="A2" s="9"/>
      <c r="B2" s="9"/>
      <c r="C2" s="9"/>
      <c r="D2" s="9"/>
      <c r="E2" s="9"/>
      <c r="F2" s="9"/>
    </row>
    <row r="3">
      <c r="A3" s="11" t="s">
        <v>6</v>
      </c>
      <c r="B3" s="13" t="s">
        <v>8</v>
      </c>
      <c r="C3" s="13" t="s">
        <v>10</v>
      </c>
      <c r="D3" s="15"/>
      <c r="E3" s="15"/>
      <c r="F3" s="15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4" width="14.43"/>
    <col customWidth="1" min="5" max="5" width="16.71"/>
    <col customWidth="1" min="6" max="6" width="23.0"/>
    <col customWidth="1" min="7" max="8" width="14.43"/>
    <col customWidth="1" min="9" max="9" width="18.14"/>
    <col customWidth="1" min="10" max="11" width="17.43"/>
    <col customWidth="1" min="12" max="36" width="14.43"/>
    <col customWidth="1" min="37" max="37" width="32.0"/>
    <col customWidth="1" min="38" max="153" width="14.43"/>
  </cols>
  <sheetData>
    <row r="1" ht="15.75" customHeight="1">
      <c r="A1" s="18"/>
      <c r="B1" s="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1b5S4Xpp4fgZ1ez6cK92QFnVBylqz8jhwxdAyEvwDqUI</v>
      </c>
      <c r="K2" s="21"/>
      <c r="L2" s="7"/>
      <c r="M2" s="7"/>
      <c r="N2" s="7"/>
      <c r="O2" s="7"/>
    </row>
    <row r="3" ht="15.75" customHeight="1">
      <c r="A3" s="22"/>
      <c r="B3" s="8" t="s">
        <v>6</v>
      </c>
      <c r="C3" s="23" t="s">
        <v>12</v>
      </c>
      <c r="D3" s="8" t="s">
        <v>8</v>
      </c>
      <c r="E3" s="23" t="s">
        <v>13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IFERROR(__xludf.DUMMYFUNCTION("IF(C3="""","""",Transpose(IMPORTRANGE('_Settings'!$B$3,C3&amp;""!A4:A1000"")))"),"OpenTTFromPST")</f>
        <v>OpenTTFromPST</v>
      </c>
      <c r="C4" s="26" t="str">
        <f>IFERROR(__xludf.DUMMYFUNCTION("""COMPUTED_VALUE"""),"EnterDetailsOnTT")</f>
        <v>EnterDetailsOnTT</v>
      </c>
      <c r="D4" s="26" t="str">
        <f>IFERROR(__xludf.DUMMYFUNCTION("""COMPUTED_VALUE"""),"ValidateSymbolTT")</f>
        <v>ValidateSymbolTT</v>
      </c>
      <c r="E4" s="26" t="str">
        <f>IFERROR(__xludf.DUMMYFUNCTION("""COMPUTED_VALUE"""),"VerifyDataTT")</f>
        <v>VerifyDataTT</v>
      </c>
      <c r="F4" s="26" t="str">
        <f>IFERROR(__xludf.DUMMYFUNCTION("""COMPUTED_VALUE"""),"SetUIPreferencesTT")</f>
        <v>SetUIPreferencesTT</v>
      </c>
      <c r="G4" s="26" t="str">
        <f>IFERROR(__xludf.DUMMYFUNCTION("""COMPUTED_VALUE"""),"SetBrokerWisePreferencesTT")</f>
        <v>SetBrokerWisePreferencesTT</v>
      </c>
      <c r="H4" s="26" t="str">
        <f>IFERROR(__xludf.DUMMYFUNCTION("""COMPUTED_VALUE"""),"TradeNewSub")</f>
        <v>TradeNewSub</v>
      </c>
      <c r="I4" s="26" t="str">
        <f>IFERROR(__xludf.DUMMYFUNCTION("""COMPUTED_VALUE"""),"CreateStageOrder")</f>
        <v>CreateStageOrder</v>
      </c>
      <c r="J4" s="26" t="str">
        <f>IFERROR(__xludf.DUMMYFUNCTION("""COMPUTED_VALUE"""),"CreateReplaceOrder")</f>
        <v>CreateReplaceOrder</v>
      </c>
      <c r="K4" s="26" t="str">
        <f>IFERROR(__xludf.DUMMYFUNCTION("""COMPUTED_VALUE"""),"SetGeneralPreference")</f>
        <v>SetGeneralPreference</v>
      </c>
      <c r="L4" s="26" t="str">
        <f>IFERROR(__xludf.DUMMYFUNCTION("""COMPUTED_VALUE"""),"CreateDoneAwayOrder")</f>
        <v>CreateDoneAwayOrder</v>
      </c>
      <c r="M4" s="26" t="str">
        <f>IFERROR(__xludf.DUMMYFUNCTION("""COMPUTED_VALUE"""),"CreateNewSubOrder")</f>
        <v>CreateNewSubOrder</v>
      </c>
      <c r="N4" s="26" t="str">
        <f>IFERROR(__xludf.DUMMYFUNCTION("""COMPUTED_VALUE"""),"TradeBloomberg")</f>
        <v>TradeBloomberg</v>
      </c>
      <c r="O4" s="26" t="str">
        <f>IFERROR(__xludf.DUMMYFUNCTION("""COMPUTED_VALUE"""),"ClickSymbolLookup")</f>
        <v>ClickSymbolLookup</v>
      </c>
      <c r="P4" s="27" t="str">
        <f>IFERROR(__xludf.DUMMYFUNCTION("""COMPUTED_VALUE"""),"VerifyTT")</f>
        <v>VerifyTT</v>
      </c>
      <c r="Q4" s="27" t="str">
        <f>IFERROR(__xludf.DUMMYFUNCTION("""COMPUTED_VALUE"""),"CreateLiveOrder")</f>
        <v>CreateLiveOrder</v>
      </c>
      <c r="R4" s="27" t="str">
        <f>IFERROR(__xludf.DUMMYFUNCTION("""COMPUTED_VALUE"""),"")</f>
        <v/>
      </c>
      <c r="S4" s="27" t="str">
        <f>IFERROR(__xludf.DUMMYFUNCTION("""COMPUTED_VALUE"""),"")</f>
        <v/>
      </c>
      <c r="T4" s="27" t="str">
        <f>IFERROR(__xludf.DUMMYFUNCTION("""COMPUTED_VALUE"""),"")</f>
        <v/>
      </c>
      <c r="U4" s="27" t="str">
        <f>IFERROR(__xludf.DUMMYFUNCTION("""COMPUTED_VALUE"""),"")</f>
        <v/>
      </c>
      <c r="V4" s="27" t="str">
        <f>IFERROR(__xludf.DUMMYFUNCTION("""COMPUTED_VALUE"""),"")</f>
        <v/>
      </c>
      <c r="W4" s="27" t="str">
        <f>IFERROR(__xludf.DUMMYFUNCTION("""COMPUTED_VALUE"""),"")</f>
        <v/>
      </c>
      <c r="X4" s="27" t="str">
        <f>IFERROR(__xludf.DUMMYFUNCTION("""COMPUTED_VALUE"""),"")</f>
        <v/>
      </c>
      <c r="Y4" s="27" t="str">
        <f>IFERROR(__xludf.DUMMYFUNCTION("""COMPUTED_VALUE"""),"")</f>
        <v/>
      </c>
      <c r="Z4" s="27" t="str">
        <f>IFERROR(__xludf.DUMMYFUNCTION("""COMPUTED_VALUE"""),"")</f>
        <v/>
      </c>
      <c r="AA4" s="27" t="str">
        <f>IFERROR(__xludf.DUMMYFUNCTION("""COMPUTED_VALUE"""),"")</f>
        <v/>
      </c>
      <c r="AB4" s="27" t="str">
        <f>IFERROR(__xludf.DUMMYFUNCTION("""COMPUTED_VALUE"""),"")</f>
        <v/>
      </c>
      <c r="AC4" s="27" t="str">
        <f>IFERROR(__xludf.DUMMYFUNCTION("""COMPUTED_VALUE"""),"")</f>
        <v/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7"/>
      <c r="B6" s="31" t="s">
        <v>16</v>
      </c>
      <c r="C6" s="31" t="s">
        <v>17</v>
      </c>
      <c r="D6" s="31">
        <v>400.0</v>
      </c>
      <c r="E6" s="31">
        <v>400.0</v>
      </c>
      <c r="F6" s="31"/>
      <c r="J6" s="31">
        <v>1.0</v>
      </c>
      <c r="AK6" s="31" t="s">
        <v>18</v>
      </c>
      <c r="AL6" s="32" t="s">
        <v>19</v>
      </c>
    </row>
    <row r="7" ht="15.75" customHeight="1">
      <c r="A7" s="7"/>
      <c r="B7" s="10" t="s">
        <v>20</v>
      </c>
      <c r="C7" s="31" t="s">
        <v>17</v>
      </c>
      <c r="D7" s="31">
        <v>400.0</v>
      </c>
      <c r="E7" s="31">
        <v>400.0</v>
      </c>
      <c r="F7" s="31"/>
      <c r="J7" s="31">
        <v>1.0</v>
      </c>
      <c r="K7" s="7"/>
      <c r="L7" s="7"/>
      <c r="M7" s="7"/>
      <c r="N7" s="7"/>
      <c r="O7" s="7"/>
      <c r="AK7" s="31" t="s">
        <v>21</v>
      </c>
      <c r="AL7" s="32" t="s">
        <v>22</v>
      </c>
    </row>
    <row r="8" ht="15.75" customHeight="1">
      <c r="A8" s="7"/>
      <c r="B8" s="10" t="s">
        <v>23</v>
      </c>
      <c r="C8" s="31" t="s">
        <v>17</v>
      </c>
      <c r="D8" s="31">
        <v>400.0</v>
      </c>
      <c r="E8" s="31">
        <v>400.0</v>
      </c>
      <c r="F8" s="31" t="s">
        <v>24</v>
      </c>
      <c r="J8" s="31">
        <v>1.0</v>
      </c>
      <c r="K8" s="7"/>
      <c r="L8" s="7"/>
      <c r="M8" s="7"/>
      <c r="N8" s="7"/>
      <c r="O8" s="7"/>
      <c r="AL8" s="31"/>
    </row>
    <row r="9" ht="15.75" customHeight="1">
      <c r="A9" s="7"/>
      <c r="B9" s="10" t="s">
        <v>16</v>
      </c>
      <c r="C9" s="10" t="s">
        <v>17</v>
      </c>
      <c r="D9" s="10">
        <v>100.0</v>
      </c>
      <c r="E9" s="10">
        <v>100.0</v>
      </c>
      <c r="F9" s="10" t="s">
        <v>25</v>
      </c>
      <c r="G9" s="7"/>
      <c r="H9" s="7"/>
      <c r="I9" s="7"/>
      <c r="J9" s="10">
        <v>1.0</v>
      </c>
      <c r="K9" s="7"/>
      <c r="L9" s="7"/>
      <c r="M9" s="7"/>
      <c r="N9" s="7"/>
      <c r="O9" s="7"/>
    </row>
    <row r="10" ht="15.75" customHeight="1">
      <c r="A10" s="7"/>
      <c r="B10" s="10" t="s">
        <v>20</v>
      </c>
      <c r="C10" s="10" t="s">
        <v>26</v>
      </c>
      <c r="D10" s="10">
        <v>600.0</v>
      </c>
      <c r="E10" s="10">
        <v>600.0</v>
      </c>
      <c r="F10" s="10" t="s">
        <v>25</v>
      </c>
      <c r="G10" s="7"/>
      <c r="H10" s="7"/>
      <c r="I10" s="7"/>
      <c r="J10" s="10">
        <v>1.0</v>
      </c>
      <c r="K10" s="7"/>
      <c r="L10" s="7"/>
      <c r="M10" s="7"/>
      <c r="N10" s="7"/>
      <c r="O10" s="7"/>
    </row>
    <row r="11" ht="15.75" customHeight="1">
      <c r="A11" s="7"/>
      <c r="B11" s="10" t="s">
        <v>23</v>
      </c>
      <c r="C11" s="10" t="s">
        <v>26</v>
      </c>
      <c r="D11" s="10">
        <v>400.0</v>
      </c>
      <c r="E11" s="10">
        <v>400.0</v>
      </c>
      <c r="F11" s="10" t="s">
        <v>25</v>
      </c>
      <c r="G11" s="7"/>
      <c r="H11" s="7"/>
      <c r="I11" s="7"/>
      <c r="J11" s="10">
        <v>1.0</v>
      </c>
      <c r="K11" s="7"/>
      <c r="L11" s="7"/>
      <c r="M11" s="7"/>
      <c r="N11" s="7"/>
      <c r="O11" s="7"/>
    </row>
    <row r="12" ht="15.75" customHeight="1">
      <c r="A12" s="7"/>
      <c r="B12" s="10" t="s">
        <v>27</v>
      </c>
      <c r="C12" s="10" t="s">
        <v>28</v>
      </c>
      <c r="D12" s="10">
        <v>100.0</v>
      </c>
      <c r="E12" s="10">
        <v>100.0</v>
      </c>
      <c r="F12" s="10" t="s">
        <v>25</v>
      </c>
      <c r="G12" s="7"/>
      <c r="H12" s="7"/>
      <c r="I12" s="7"/>
      <c r="J12" s="10">
        <v>1.0</v>
      </c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1-RJhOo2E5PhyqaiMEjsPi8RpfYBuiSqE9fj_-bRpkKw</v>
      </c>
      <c r="K2" s="21"/>
      <c r="L2" s="7"/>
      <c r="M2" s="7"/>
      <c r="N2" s="7"/>
      <c r="O2" s="7"/>
    </row>
    <row r="3" ht="15.75" customHeight="1">
      <c r="A3" s="22"/>
      <c r="B3" s="8" t="s">
        <v>6</v>
      </c>
      <c r="C3" s="23" t="s">
        <v>29</v>
      </c>
      <c r="D3" s="8" t="s">
        <v>8</v>
      </c>
      <c r="E3" s="23" t="s">
        <v>30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IFERROR(__xludf.DUMMYFUNCTION("""COMPUTED_VALUE"""),"Side")</f>
        <v>Side</v>
      </c>
      <c r="D5" s="29" t="str">
        <f>IFERROR(__xludf.DUMMYFUNCTION("""COMPUTED_VALUE"""),"Quantity")</f>
        <v>Quantity</v>
      </c>
      <c r="E5" s="29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9" t="str">
        <f>IFERROR(__xludf.DUMMYFUNCTION("""COMPUTED_VALUE"""),"Net Amount( Local)")</f>
        <v>Net Amount( Local)</v>
      </c>
      <c r="H5" s="29" t="str">
        <f>IFERROR(__xludf.DUMMYFUNCTION("""COMPUTED_VALUE"""),"Net Amount( Base)")</f>
        <v>Net Amount( Base)</v>
      </c>
      <c r="I5" s="29" t="str">
        <f>IFERROR(__xludf.DUMMYFUNCTION("""COMPUTED_VALUE"""),"Principal Amount( Local)")</f>
        <v>Principal Amount( Local)</v>
      </c>
      <c r="J5" s="29" t="str">
        <f>IFERROR(__xludf.DUMMYFUNCTION("""COMPUTED_VALUE"""),"Transaction Type")</f>
        <v>Transaction Type</v>
      </c>
      <c r="K5" s="29" t="str">
        <f>IFERROR(__xludf.DUMMYFUNCTION("""COMPUTED_VALUE"""),"Principal Amount( Base)")</f>
        <v>Principal Amount( Base)</v>
      </c>
      <c r="L5" s="29" t="str">
        <f>IFERROR(__xludf.DUMMYFUNCTION("""COMPUTED_VALUE"""),"Execution Time")</f>
        <v>Execution Time</v>
      </c>
      <c r="M5" s="29" t="str">
        <f>IFERROR(__xludf.DUMMYFUNCTION("""COMPUTED_VALUE"""),"Trading Account")</f>
        <v>Trading Account</v>
      </c>
      <c r="N5" s="29" t="str">
        <f>IFERROR(__xludf.DUMMYFUNCTION("""COMPUTED_VALUE"""),"Avg Price(Local)")</f>
        <v>Avg Price(Local)</v>
      </c>
      <c r="O5" s="29" t="str">
        <f>IFERROR(__xludf.DUMMYFUNCTION("""COMPUTED_VALUE"""),"Avg Price(Base)")</f>
        <v>Avg Price(Base)</v>
      </c>
      <c r="P5" s="29" t="str">
        <f>IFERROR(__xludf.DUMMYFUNCTION("""COMPUTED_VALUE"""),"Broker")</f>
        <v>Broker</v>
      </c>
      <c r="Q5" s="29" t="str">
        <f>IFERROR(__xludf.DUMMYFUNCTION("""COMPUTED_VALUE"""),"FX Rate")</f>
        <v>FX Rate</v>
      </c>
      <c r="R5" s="29" t="str">
        <f>IFERROR(__xludf.DUMMYFUNCTION("""COMPUTED_VALUE"""),"Venue")</f>
        <v>Venue</v>
      </c>
      <c r="S5" s="29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7"/>
      <c r="B6" s="10" t="s">
        <v>16</v>
      </c>
      <c r="C6" s="10" t="s">
        <v>17</v>
      </c>
      <c r="D6" s="10">
        <v>100.0</v>
      </c>
      <c r="E6" s="10">
        <v>100.0</v>
      </c>
      <c r="O6" s="31">
        <v>1.0</v>
      </c>
    </row>
    <row r="7" ht="15.75" customHeight="1">
      <c r="A7" s="7"/>
      <c r="B7" s="10" t="s">
        <v>20</v>
      </c>
      <c r="C7" s="10" t="s">
        <v>26</v>
      </c>
      <c r="D7" s="10">
        <v>600.0</v>
      </c>
      <c r="E7" s="10">
        <v>600.0</v>
      </c>
      <c r="F7" s="7"/>
      <c r="G7" s="7"/>
      <c r="H7" s="7"/>
      <c r="I7" s="7"/>
      <c r="J7" s="7"/>
      <c r="K7" s="7"/>
      <c r="L7" s="7"/>
      <c r="M7" s="7"/>
      <c r="N7" s="7"/>
      <c r="O7" s="10">
        <v>1.0</v>
      </c>
    </row>
    <row r="8" ht="15.75" customHeight="1">
      <c r="A8" s="7"/>
      <c r="B8" s="10" t="s">
        <v>23</v>
      </c>
      <c r="C8" s="10" t="s">
        <v>26</v>
      </c>
      <c r="D8" s="10">
        <v>400.0</v>
      </c>
      <c r="E8" s="10">
        <v>400.0</v>
      </c>
      <c r="F8" s="7"/>
      <c r="G8" s="7"/>
      <c r="H8" s="7"/>
      <c r="I8" s="7"/>
      <c r="J8" s="7"/>
      <c r="K8" s="7"/>
      <c r="L8" s="7"/>
      <c r="M8" s="7"/>
      <c r="N8" s="7"/>
      <c r="O8" s="10">
        <v>1.0</v>
      </c>
    </row>
    <row r="9" ht="15.75" customHeight="1">
      <c r="A9" s="7"/>
      <c r="B9" s="10" t="s">
        <v>27</v>
      </c>
      <c r="C9" s="10" t="s">
        <v>28</v>
      </c>
      <c r="D9" s="10">
        <v>100.0</v>
      </c>
      <c r="E9" s="10">
        <v>100.0</v>
      </c>
      <c r="F9" s="7"/>
      <c r="G9" s="7"/>
      <c r="H9" s="7"/>
      <c r="I9" s="7"/>
      <c r="J9" s="7"/>
      <c r="K9" s="7"/>
      <c r="L9" s="7"/>
      <c r="M9" s="7"/>
      <c r="N9" s="7"/>
      <c r="O9" s="10">
        <v>1.0</v>
      </c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32.43"/>
    <col customWidth="1" min="10" max="11" width="17.43"/>
    <col customWidth="1" min="12" max="153" width="14.43"/>
  </cols>
  <sheetData>
    <row r="1" ht="15.75" customHeight="1">
      <c r="A1" s="18"/>
      <c r="B1" s="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8" t="s">
        <v>6</v>
      </c>
      <c r="C3" s="23" t="s">
        <v>29</v>
      </c>
      <c r="D3" s="8" t="s">
        <v>8</v>
      </c>
      <c r="E3" s="23" t="s">
        <v>31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IFERROR(__xludf.DUMMYFUNCTION("""COMPUTED_VALUE"""),"PreferenceType")</f>
        <v>PreferenceType</v>
      </c>
      <c r="C5" s="29" t="str">
        <f>IFERROR(__xludf.DUMMYFUNCTION("""COMPUTED_VALUE"""),"PreferenceName")</f>
        <v>PreferenceName</v>
      </c>
      <c r="D5" s="29" t="str">
        <f>IFERROR(__xludf.DUMMYFUNCTION("""COMPUTED_VALUE"""),"PTTPrefNeeded")</f>
        <v>PTTPrefNeeded</v>
      </c>
      <c r="E5" s="29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9" t="str">
        <f>IFERROR(__xludf.DUMMYFUNCTION("""COMPUTED_VALUE"""),"RemainderAllocationTo")</f>
        <v>RemainderAllocationTo</v>
      </c>
      <c r="H5" s="29" t="str">
        <f>IFERROR(__xludf.DUMMYFUNCTION("""COMPUTED_VALUE"""),"Target%AsOf")</f>
        <v>Target%AsOf</v>
      </c>
      <c r="I5" s="29" t="str">
        <f>IFERROR(__xludf.DUMMYFUNCTION("""COMPUTED_VALUE"""),"AccountsForProrata")</f>
        <v>AccountsForProrata</v>
      </c>
      <c r="J5" s="29" t="str">
        <f>IFERROR(__xludf.DUMMYFUNCTION("""COMPUTED_VALUE"""),"DateUptoDays")</f>
        <v>DateUptoDays</v>
      </c>
      <c r="K5" s="29" t="str">
        <f>IFERROR(__xludf.DUMMYFUNCTION("""COMPUTED_VALUE"""),"MatchClosingTransactions")</f>
        <v>MatchClosingTransactions</v>
      </c>
      <c r="L5" s="29" t="str">
        <f>IFERROR(__xludf.DUMMYFUNCTION("""COMPUTED_VALUE"""),"")</f>
        <v/>
      </c>
      <c r="M5" s="29" t="str">
        <f>IFERROR(__xludf.DUMMYFUNCTION("""COMPUTED_VALUE"""),"")</f>
        <v/>
      </c>
      <c r="N5" s="29" t="str">
        <f>IFERROR(__xludf.DUMMYFUNCTION("""COMPUTED_VALUE"""),"")</f>
        <v/>
      </c>
      <c r="O5" s="29" t="str">
        <f>IFERROR(__xludf.DUMMYFUNCTION("""COMPUTED_VALUE"""),"")</f>
        <v/>
      </c>
      <c r="P5" s="29" t="str">
        <f>IFERROR(__xludf.DUMMYFUNCTION("""COMPUTED_VALUE"""),"")</f>
        <v/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7"/>
      <c r="B6" s="31" t="s">
        <v>32</v>
      </c>
      <c r="H6" s="31" t="s">
        <v>33</v>
      </c>
      <c r="I6" s="31" t="s">
        <v>18</v>
      </c>
      <c r="J6" s="33">
        <f>TODAY()</f>
        <v>43634</v>
      </c>
      <c r="K6" s="31" t="b">
        <v>1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8" t="s">
        <v>6</v>
      </c>
      <c r="C3" s="23" t="s">
        <v>29</v>
      </c>
      <c r="D3" s="8" t="s">
        <v>8</v>
      </c>
      <c r="E3" s="23" t="s">
        <v>34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IFERROR(__xludf.DUMMYFUNCTION("""COMPUTED_VALUE"""),"IsManualGroup")</f>
        <v>IsManualGroup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7"/>
      <c r="K6" s="31">
        <v>1.0</v>
      </c>
      <c r="L6" s="31">
        <v>1.0</v>
      </c>
      <c r="BJ6" s="31">
        <v>100.0</v>
      </c>
      <c r="BO6" s="31" t="s">
        <v>17</v>
      </c>
      <c r="BT6" s="31" t="s">
        <v>16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10">
        <v>1.0</v>
      </c>
      <c r="L7" s="10">
        <v>1.0</v>
      </c>
      <c r="M7" s="7"/>
      <c r="N7" s="7"/>
      <c r="O7" s="7"/>
      <c r="BJ7" s="31">
        <v>400.0</v>
      </c>
      <c r="BO7" s="31" t="s">
        <v>26</v>
      </c>
      <c r="BT7" s="31" t="s">
        <v>23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1c7aP-E18Fb8lEVGiXac03BLoNVdUNRzodD2Xjn-9pzU</v>
      </c>
      <c r="K2" s="21"/>
      <c r="L2" s="7"/>
      <c r="M2" s="7"/>
      <c r="N2" s="7"/>
      <c r="O2" s="7"/>
    </row>
    <row r="3" ht="15.75" customHeight="1">
      <c r="A3" s="22"/>
      <c r="B3" s="8" t="s">
        <v>6</v>
      </c>
      <c r="C3" s="23" t="s">
        <v>29</v>
      </c>
      <c r="D3" s="8" t="s">
        <v>8</v>
      </c>
      <c r="E3" s="23" t="s">
        <v>35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IFERROR(__xludf.DUMMYFUNCTION("""COMPUTED_VALUE"""),"Accrual Basis")</f>
        <v>Accrual Basis</v>
      </c>
      <c r="C5" s="29" t="str">
        <f>IFERROR(__xludf.DUMMYFUNCTION("""COMPUTED_VALUE"""),"Accrued Interest")</f>
        <v>Accrued Interest</v>
      </c>
      <c r="D5" s="29" t="str">
        <f>IFERROR(__xludf.DUMMYFUNCTION("""COMPUTED_VALUE"""),"Allocated Qty")</f>
        <v>Allocated Qty</v>
      </c>
      <c r="E5" s="29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9" t="str">
        <f>IFERROR(__xludf.DUMMYFUNCTION("""COMPUTED_VALUE"""),"AUEC Fee1")</f>
        <v>AUEC Fee1</v>
      </c>
      <c r="H5" s="29" t="str">
        <f>IFERROR(__xludf.DUMMYFUNCTION("""COMPUTED_VALUE"""),"AUEC Fee2")</f>
        <v>AUEC Fee2</v>
      </c>
      <c r="I5" s="29" t="str">
        <f>IFERROR(__xludf.DUMMYFUNCTION("""COMPUTED_VALUE"""),"AUECID")</f>
        <v>AUECID</v>
      </c>
      <c r="J5" s="29" t="str">
        <f>IFERROR(__xludf.DUMMYFUNCTION("""COMPUTED_VALUE"""),"Avg Price(Base)")</f>
        <v>Avg Price(Base)</v>
      </c>
      <c r="K5" s="29" t="str">
        <f>IFERROR(__xludf.DUMMYFUNCTION("""COMPUTED_VALUE"""),"Avg Price(Local)")</f>
        <v>Avg Price(Local)</v>
      </c>
      <c r="L5" s="29" t="str">
        <f>IFERROR(__xludf.DUMMYFUNCTION("""COMPUTED_VALUE"""),"Bloomberg")</f>
        <v>Bloomberg</v>
      </c>
      <c r="M5" s="29" t="str">
        <f>IFERROR(__xludf.DUMMYFUNCTION("""COMPUTED_VALUE"""),"Bond Type")</f>
        <v>Bond Type</v>
      </c>
      <c r="N5" s="29" t="str">
        <f>IFERROR(__xludf.DUMMYFUNCTION("""COMPUTED_VALUE"""),"Broker")</f>
        <v>Broker</v>
      </c>
      <c r="O5" s="29" t="str">
        <f>IFERROR(__xludf.DUMMYFUNCTION("""COMPUTED_VALUE"""),"Change Comment")</f>
        <v>Change Comment</v>
      </c>
      <c r="P5" s="29" t="str">
        <f>IFERROR(__xludf.DUMMYFUNCTION("""COMPUTED_VALUE"""),"Change Type")</f>
        <v>Change Type</v>
      </c>
      <c r="Q5" s="29" t="str">
        <f>IFERROR(__xludf.DUMMYFUNCTION("""COMPUTED_VALUE"""),"Clearing Broker Fee")</f>
        <v>Clearing Broker Fee</v>
      </c>
      <c r="R5" s="29" t="str">
        <f>IFERROR(__xludf.DUMMYFUNCTION("""COMPUTED_VALUE"""),"Closing Method")</f>
        <v>Closing Method</v>
      </c>
      <c r="S5" s="29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7"/>
      <c r="J6" s="31">
        <v>1.0</v>
      </c>
      <c r="K6" s="31">
        <v>1.0</v>
      </c>
      <c r="AE6" s="31">
        <v>600.0</v>
      </c>
      <c r="BJ6" s="31">
        <v>600.0</v>
      </c>
      <c r="BO6" s="31" t="s">
        <v>26</v>
      </c>
      <c r="BS6" s="31" t="s">
        <v>20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10">
        <v>1.0</v>
      </c>
      <c r="K7" s="10">
        <v>1.0</v>
      </c>
      <c r="L7" s="7"/>
      <c r="M7" s="7"/>
      <c r="N7" s="7"/>
      <c r="O7" s="7"/>
      <c r="AE7" s="31">
        <v>100.0</v>
      </c>
      <c r="BJ7" s="31">
        <v>100.0</v>
      </c>
      <c r="BO7" s="31" t="s">
        <v>28</v>
      </c>
      <c r="BS7" s="31" t="s">
        <v>27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8" t="s">
        <v>6</v>
      </c>
      <c r="C3" s="23" t="s">
        <v>29</v>
      </c>
      <c r="D3" s="8" t="s">
        <v>8</v>
      </c>
      <c r="E3" s="23" t="s">
        <v>36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IFERROR(__xludf.DUMMYFUNCTION("""COMPUTED_VALUE"""),"FilterTabName")</f>
        <v>FilterTabName</v>
      </c>
      <c r="F5" s="34" t="str">
        <f>IFERROR(__xludf.DUMMYFUNCTION("""COMPUTED_VALUE"""),"Symbol")</f>
        <v>Symbol</v>
      </c>
      <c r="G5" s="29" t="str">
        <f>IFERROR(__xludf.DUMMYFUNCTION("""COMPUTED_VALUE"""),"Asset")</f>
        <v>Asset</v>
      </c>
      <c r="H5" s="29" t="str">
        <f>IFERROR(__xludf.DUMMYFUNCTION("""COMPUTED_VALUE"""),"Side")</f>
        <v>Side</v>
      </c>
      <c r="I5" s="29" t="str">
        <f>IFERROR(__xludf.DUMMYFUNCTION("""COMPUTED_VALUE"""),"Account")</f>
        <v>Account</v>
      </c>
      <c r="J5" s="29" t="str">
        <f>IFERROR(__xludf.DUMMYFUNCTION("""COMPUTED_VALUE"""),"Broker")</f>
        <v>Broker</v>
      </c>
      <c r="K5" s="29" t="str">
        <f>IFERROR(__xludf.DUMMYFUNCTION("""COMPUTED_VALUE"""),"Currency")</f>
        <v>Currency</v>
      </c>
      <c r="L5" s="29" t="str">
        <f>IFERROR(__xludf.DUMMYFUNCTION("""COMPUTED_VALUE"""),"Exchange")</f>
        <v>Exchange</v>
      </c>
      <c r="M5" s="29" t="str">
        <f>IFERROR(__xludf.DUMMYFUNCTION("""COMPUTED_VALUE"""),"StrategyName")</f>
        <v>StrategyName</v>
      </c>
      <c r="N5" s="29" t="str">
        <f>IFERROR(__xludf.DUMMYFUNCTION("""COMPUTED_VALUE"""),"Underlying")</f>
        <v>Underlying</v>
      </c>
      <c r="O5" s="29" t="str">
        <f>IFERROR(__xludf.DUMMYFUNCTION("""COMPUTED_VALUE"""),"Venue")</f>
        <v>Venue</v>
      </c>
      <c r="P5" s="29" t="str">
        <f>IFERROR(__xludf.DUMMYFUNCTION("""COMPUTED_VALUE"""),"TradingAccount")</f>
        <v>TradingAccount</v>
      </c>
      <c r="Q5" s="29" t="str">
        <f>IFERROR(__xludf.DUMMYFUNCTION("""COMPUTED_VALUE"""),"PreAllocated")</f>
        <v>PreAllocated</v>
      </c>
      <c r="R5" s="29" t="str">
        <f>IFERROR(__xludf.DUMMYFUNCTION("""COMPUTED_VALUE"""),"ManualGroup")</f>
        <v>ManualGroup</v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0"/>
      <c r="B6" s="10" t="s">
        <v>37</v>
      </c>
      <c r="C6" s="7"/>
      <c r="D6" s="10"/>
      <c r="E6" s="35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8" t="s">
        <v>6</v>
      </c>
      <c r="C3" s="23" t="s">
        <v>38</v>
      </c>
      <c r="D3" s="8" t="s">
        <v>8</v>
      </c>
      <c r="E3" s="23" t="s">
        <v>39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6" t="str">
        <f>IFERROR(__xludf.DUMMYFUNCTION("""COMPUTED_VALUE"""),"GetDataClosing")</f>
        <v>GetDataClosing</v>
      </c>
      <c r="D4" s="26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6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7" t="str">
        <f>IFERROR(__xludf.DUMMYFUNCTION("""COMPUTED_VALUE"""),"ExerciseAssignment")</f>
        <v>ExerciseAssignment</v>
      </c>
      <c r="Q4" s="27" t="str">
        <f>IFERROR(__xludf.DUMMYFUNCTION("""COMPUTED_VALUE"""),"ExerciseAssignmentAtZero")</f>
        <v>ExerciseAssignmentAtZero</v>
      </c>
      <c r="R4" s="27" t="str">
        <f>IFERROR(__xludf.DUMMYFUNCTION("""COMPUTED_VALUE"""),"SwapExpireAndRollover")</f>
        <v>SwapExpireAndRollover</v>
      </c>
      <c r="S4" s="27" t="str">
        <f>IFERROR(__xludf.DUMMYFUNCTION("""COMPUTED_VALUE"""),"SwapExpire")</f>
        <v>SwapExpire</v>
      </c>
      <c r="T4" s="27" t="str">
        <f>IFERROR(__xludf.DUMMYFUNCTION("""COMPUTED_VALUE"""),"VerifyExpiredSettledGrid")</f>
        <v>VerifyExpiredSettledGrid</v>
      </c>
      <c r="U4" s="27" t="str">
        <f>IFERROR(__xludf.DUMMYFUNCTION("""COMPUTED_VALUE"""),"VerifyUnExpiredUnSettledGrid")</f>
        <v>VerifyUnExpiredUnSettledGrid</v>
      </c>
      <c r="V4" s="27" t="str">
        <f>IFERROR(__xludf.DUMMYFUNCTION("""COMPUTED_VALUE"""),"UnWindTradeSettlement")</f>
        <v>UnWindTradeSettlement</v>
      </c>
      <c r="W4" s="27" t="str">
        <f>IFERROR(__xludf.DUMMYFUNCTION("""COMPUTED_VALUE"""),"CloseOrder")</f>
        <v>CloseOrder</v>
      </c>
      <c r="X4" s="27" t="str">
        <f>IFERROR(__xludf.DUMMYFUNCTION("""COMPUTED_VALUE"""),"VerifyCloseOrder")</f>
        <v>VerifyCloseOrder</v>
      </c>
      <c r="Y4" s="27" t="str">
        <f>IFERROR(__xludf.DUMMYFUNCTION("""COMPUTED_VALUE"""),"UnWindCloseOrder")</f>
        <v>UnWindCloseOrder</v>
      </c>
      <c r="Z4" s="27" t="str">
        <f>IFERROR(__xludf.DUMMYFUNCTION("""COMPUTED_VALUE"""),"ClosingCleanUp")</f>
        <v>ClosingCleanUp</v>
      </c>
      <c r="AA4" s="27" t="str">
        <f>IFERROR(__xludf.DUMMYFUNCTION("""COMPUTED_VALUE"""),"CloseClosingUI")</f>
        <v>CloseClosingUI</v>
      </c>
      <c r="AB4" s="27" t="str">
        <f>IFERROR(__xludf.DUMMYFUNCTION("""COMPUTED_VALUE"""),"SetClosingPreference")</f>
        <v>SetClosingPreference</v>
      </c>
      <c r="AC4" s="27" t="str">
        <f>IFERROR(__xludf.DUMMYFUNCTION("""COMPUTED_VALUE"""),"EditTradeUnexpiredUnsettled")</f>
        <v>EditTradeUnexpiredUnsettled</v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IFERROR(__xludf.DUMMYFUNCTION("""COMPUTED_VALUE"""),"Account Filter")</f>
        <v>Account Filter</v>
      </c>
      <c r="F5" s="34" t="str">
        <f>IFERROR(__xludf.DUMMYFUNCTION("""COMPUTED_VALUE"""),"")</f>
        <v/>
      </c>
      <c r="G5" s="29" t="str">
        <f>IFERROR(__xludf.DUMMYFUNCTION("""COMPUTED_VALUE"""),"")</f>
        <v/>
      </c>
      <c r="H5" s="29" t="str">
        <f>IFERROR(__xludf.DUMMYFUNCTION("""COMPUTED_VALUE"""),"")</f>
        <v/>
      </c>
      <c r="I5" s="29" t="str">
        <f>IFERROR(__xludf.DUMMYFUNCTION("""COMPUTED_VALUE"""),"")</f>
        <v/>
      </c>
      <c r="J5" s="29" t="str">
        <f>IFERROR(__xludf.DUMMYFUNCTION("""COMPUTED_VALUE"""),"")</f>
        <v/>
      </c>
      <c r="K5" s="29" t="str">
        <f>IFERROR(__xludf.DUMMYFUNCTION("""COMPUTED_VALUE"""),"")</f>
        <v/>
      </c>
      <c r="L5" s="29" t="str">
        <f>IFERROR(__xludf.DUMMYFUNCTION("""COMPUTED_VALUE"""),"")</f>
        <v/>
      </c>
      <c r="M5" s="29" t="str">
        <f>IFERROR(__xludf.DUMMYFUNCTION("""COMPUTED_VALUE"""),"")</f>
        <v/>
      </c>
      <c r="N5" s="29" t="str">
        <f>IFERROR(__xludf.DUMMYFUNCTION("""COMPUTED_VALUE"""),"")</f>
        <v/>
      </c>
      <c r="O5" s="29" t="str">
        <f>IFERROR(__xludf.DUMMYFUNCTION("""COMPUTED_VALUE"""),"")</f>
        <v/>
      </c>
      <c r="P5" s="29" t="str">
        <f>IFERROR(__xludf.DUMMYFUNCTION("""COMPUTED_VALUE"""),"")</f>
        <v/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0"/>
      <c r="B6" s="10" t="s">
        <v>37</v>
      </c>
      <c r="C6" s="7"/>
      <c r="D6" s="10"/>
      <c r="E6" s="35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8" t="s">
        <v>6</v>
      </c>
      <c r="C3" s="23" t="s">
        <v>38</v>
      </c>
      <c r="D3" s="8" t="s">
        <v>8</v>
      </c>
      <c r="E3" s="23" t="s">
        <v>40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6" t="str">
        <f>IFERROR(__xludf.DUMMYFUNCTION("""COMPUTED_VALUE"""),"GetDataClosing")</f>
        <v>GetDataClosing</v>
      </c>
      <c r="D4" s="26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6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7" t="str">
        <f>IFERROR(__xludf.DUMMYFUNCTION("""COMPUTED_VALUE"""),"ExerciseAssignment")</f>
        <v>ExerciseAssignment</v>
      </c>
      <c r="Q4" s="27" t="str">
        <f>IFERROR(__xludf.DUMMYFUNCTION("""COMPUTED_VALUE"""),"ExerciseAssignmentAtZero")</f>
        <v>ExerciseAssignmentAtZero</v>
      </c>
      <c r="R4" s="27" t="str">
        <f>IFERROR(__xludf.DUMMYFUNCTION("""COMPUTED_VALUE"""),"SwapExpireAndRollover")</f>
        <v>SwapExpireAndRollover</v>
      </c>
      <c r="S4" s="27" t="str">
        <f>IFERROR(__xludf.DUMMYFUNCTION("""COMPUTED_VALUE"""),"SwapExpire")</f>
        <v>SwapExpire</v>
      </c>
      <c r="T4" s="27" t="str">
        <f>IFERROR(__xludf.DUMMYFUNCTION("""COMPUTED_VALUE"""),"VerifyExpiredSettledGrid")</f>
        <v>VerifyExpiredSettledGrid</v>
      </c>
      <c r="U4" s="27" t="str">
        <f>IFERROR(__xludf.DUMMYFUNCTION("""COMPUTED_VALUE"""),"VerifyUnExpiredUnSettledGrid")</f>
        <v>VerifyUnExpiredUnSettledGrid</v>
      </c>
      <c r="V4" s="27" t="str">
        <f>IFERROR(__xludf.DUMMYFUNCTION("""COMPUTED_VALUE"""),"UnWindTradeSettlement")</f>
        <v>UnWindTradeSettlement</v>
      </c>
      <c r="W4" s="27" t="str">
        <f>IFERROR(__xludf.DUMMYFUNCTION("""COMPUTED_VALUE"""),"CloseOrder")</f>
        <v>CloseOrder</v>
      </c>
      <c r="X4" s="27" t="str">
        <f>IFERROR(__xludf.DUMMYFUNCTION("""COMPUTED_VALUE"""),"VerifyCloseOrder")</f>
        <v>VerifyCloseOrder</v>
      </c>
      <c r="Y4" s="27" t="str">
        <f>IFERROR(__xludf.DUMMYFUNCTION("""COMPUTED_VALUE"""),"UnWindCloseOrder")</f>
        <v>UnWindCloseOrder</v>
      </c>
      <c r="Z4" s="27" t="str">
        <f>IFERROR(__xludf.DUMMYFUNCTION("""COMPUTED_VALUE"""),"ClosingCleanUp")</f>
        <v>ClosingCleanUp</v>
      </c>
      <c r="AA4" s="27" t="str">
        <f>IFERROR(__xludf.DUMMYFUNCTION("""COMPUTED_VALUE"""),"CloseClosingUI")</f>
        <v>CloseClosingUI</v>
      </c>
      <c r="AB4" s="27" t="str">
        <f>IFERROR(__xludf.DUMMYFUNCTION("""COMPUTED_VALUE"""),"SetClosingPreference")</f>
        <v>SetClosingPreference</v>
      </c>
      <c r="AC4" s="27" t="str">
        <f>IFERROR(__xludf.DUMMYFUNCTION("""COMPUTED_VALUE"""),"EditTradeUnexpiredUnsettled")</f>
        <v>EditTradeUnexpiredUnsettled</v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IFERROR(__xludf.DUMMYFUNCTION("""COMPUTED_VALUE"""),"Asset Class")</f>
        <v>Asset Class</v>
      </c>
      <c r="D5" s="29" t="str">
        <f>IFERROR(__xludf.DUMMYFUNCTION("""COMPUTED_VALUE"""),"AUECID")</f>
        <v>AUECID</v>
      </c>
      <c r="E5" s="29" t="str">
        <f>IFERROR(__xludf.DUMMYFUNCTION("""COMPUTED_VALUE"""),"ExternalTransId")</f>
        <v>ExternalTransId</v>
      </c>
      <c r="F5" s="34" t="str">
        <f>IFERROR(__xludf.DUMMYFUNCTION("""COMPUTED_VALUE"""),"IsSwapped")</f>
        <v>IsSwapped</v>
      </c>
      <c r="G5" s="29" t="str">
        <f>IFERROR(__xludf.DUMMYFUNCTION("""COMPUTED_VALUE"""),"LotId")</f>
        <v>LotId</v>
      </c>
      <c r="H5" s="29" t="str">
        <f>IFERROR(__xludf.DUMMYFUNCTION("""COMPUTED_VALUE"""),"Net Notional")</f>
        <v>Net Notional</v>
      </c>
      <c r="I5" s="29" t="str">
        <f>IFERROR(__xludf.DUMMYFUNCTION("""COMPUTED_VALUE"""),"Opening Price")</f>
        <v>Opening Price</v>
      </c>
      <c r="J5" s="29" t="str">
        <f>IFERROR(__xludf.DUMMYFUNCTION("""COMPUTED_VALUE"""),"Original Purchase Date")</f>
        <v>Original Purchase Date</v>
      </c>
      <c r="K5" s="29" t="str">
        <f>IFERROR(__xludf.DUMMYFUNCTION("""COMPUTED_VALUE"""),"PositionTag")</f>
        <v>PositionTag</v>
      </c>
      <c r="L5" s="29" t="str">
        <f>IFERROR(__xludf.DUMMYFUNCTION("""COMPUTED_VALUE"""),"Process Date")</f>
        <v>Process Date</v>
      </c>
      <c r="M5" s="29" t="str">
        <f>IFERROR(__xludf.DUMMYFUNCTION("""COMPUTED_VALUE"""),"Quantity")</f>
        <v>Quantity</v>
      </c>
      <c r="N5" s="29" t="str">
        <f>IFERROR(__xludf.DUMMYFUNCTION("""COMPUTED_VALUE"""),"Security Name")</f>
        <v>Security Name</v>
      </c>
      <c r="O5" s="29" t="str">
        <f>IFERROR(__xludf.DUMMYFUNCTION("""COMPUTED_VALUE"""),"Settlement Currency")</f>
        <v>Settlement Currency</v>
      </c>
      <c r="P5" s="29" t="str">
        <f>IFERROR(__xludf.DUMMYFUNCTION("""COMPUTED_VALUE"""),"Side")</f>
        <v>Side</v>
      </c>
      <c r="Q5" s="29" t="str">
        <f>IFERROR(__xludf.DUMMYFUNCTION("""COMPUTED_VALUE"""),"Strategy")</f>
        <v>Strategy</v>
      </c>
      <c r="R5" s="29" t="str">
        <f>IFERROR(__xludf.DUMMYFUNCTION("""COMPUTED_VALUE"""),"Symbol")</f>
        <v>Symbol</v>
      </c>
      <c r="S5" s="29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0"/>
      <c r="B6" s="10" t="s">
        <v>41</v>
      </c>
      <c r="C6" s="7"/>
      <c r="D6" s="10"/>
      <c r="E6" s="35"/>
      <c r="F6" s="7"/>
      <c r="G6" s="7"/>
      <c r="H6" s="7"/>
      <c r="I6" s="10">
        <v>1.0</v>
      </c>
      <c r="J6" s="7"/>
      <c r="K6" s="7"/>
      <c r="L6" s="7"/>
      <c r="M6" s="10">
        <v>25.0</v>
      </c>
      <c r="N6" s="7"/>
      <c r="O6" s="7"/>
      <c r="P6" s="31" t="s">
        <v>17</v>
      </c>
      <c r="R6" s="31" t="s">
        <v>16</v>
      </c>
    </row>
    <row r="7" ht="15.75" customHeight="1">
      <c r="A7" s="7"/>
      <c r="B7" s="10" t="s">
        <v>42</v>
      </c>
      <c r="C7" s="7"/>
      <c r="D7" s="7"/>
      <c r="E7" s="7"/>
      <c r="F7" s="7"/>
      <c r="G7" s="7"/>
      <c r="H7" s="7"/>
      <c r="I7" s="10">
        <v>1.0</v>
      </c>
      <c r="J7" s="7"/>
      <c r="K7" s="7"/>
      <c r="L7" s="7"/>
      <c r="M7" s="10">
        <v>25.0</v>
      </c>
      <c r="N7" s="7"/>
      <c r="O7" s="7"/>
      <c r="P7" s="31" t="s">
        <v>17</v>
      </c>
      <c r="R7" s="31" t="s">
        <v>16</v>
      </c>
    </row>
    <row r="8" ht="15.75" customHeight="1">
      <c r="A8" s="7"/>
      <c r="B8" s="10" t="s">
        <v>43</v>
      </c>
      <c r="C8" s="7"/>
      <c r="D8" s="7"/>
      <c r="E8" s="7"/>
      <c r="F8" s="7"/>
      <c r="G8" s="7"/>
      <c r="H8" s="7"/>
      <c r="I8" s="10">
        <v>1.0</v>
      </c>
      <c r="J8" s="7"/>
      <c r="K8" s="7"/>
      <c r="L8" s="7"/>
      <c r="M8" s="10">
        <v>50.0</v>
      </c>
      <c r="N8" s="7"/>
      <c r="O8" s="7"/>
      <c r="P8" s="31" t="s">
        <v>17</v>
      </c>
      <c r="R8" s="31" t="s">
        <v>16</v>
      </c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8" t="s">
        <v>6</v>
      </c>
      <c r="C3" s="23" t="s">
        <v>44</v>
      </c>
      <c r="D3" s="8" t="s">
        <v>8</v>
      </c>
      <c r="E3" s="23" t="s">
        <v>45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</row>
    <row r="4" ht="15.75" customHeight="1">
      <c r="A4" s="26"/>
      <c r="B4" s="26" t="str">
        <f>IFERROR(__xludf.DUMMYFUNCTION("IF(C3="""","""",Transpose(IMPORTRANGE('_Settings'!$B$3,C3&amp;""!A4:A1000"")))"),"CheckDashboardPM")</f>
        <v>CheckDashboardPM</v>
      </c>
      <c r="C4" s="26" t="str">
        <f>IFERROR(__xludf.DUMMYFUNCTION("""COMPUTED_VALUE"""),"CheckPortfolioManagement")</f>
        <v>CheckPortfolioManagement</v>
      </c>
      <c r="D4" s="26" t="str">
        <f>IFERROR(__xludf.DUMMYFUNCTION("""COMPUTED_VALUE"""),"OpenPSTFromPM")</f>
        <v>OpenPSTFromPM</v>
      </c>
      <c r="E4" s="26" t="str">
        <f>IFERROR(__xludf.DUMMYFUNCTION("""COMPUTED_VALUE"""),"ClosePM")</f>
        <v>ClosePM</v>
      </c>
      <c r="F4" s="26" t="str">
        <f>IFERROR(__xludf.DUMMYFUNCTION("""COMPUTED_VALUE"""),"FilterPM")</f>
        <v>FilterPM</v>
      </c>
      <c r="G4" s="26" t="str">
        <f>IFERROR(__xludf.DUMMYFUNCTION("""COMPUTED_VALUE"""),"GroupRowPM")</f>
        <v>GroupRowPM</v>
      </c>
      <c r="H4" s="26" t="str">
        <f>IFERROR(__xludf.DUMMYFUNCTION("""COMPUTED_VALUE"""),"CheckDashboardWithPM")</f>
        <v>CheckDashboardWithPM</v>
      </c>
      <c r="I4" s="26" t="str">
        <f>IFERROR(__xludf.DUMMYFUNCTION("""COMPUTED_VALUE"""),"RemoveFilterPM")</f>
        <v>RemoveFilterPM</v>
      </c>
      <c r="J4" s="26" t="str">
        <f>IFERROR(__xludf.DUMMYFUNCTION("""COMPUTED_VALUE"""),"CheckSummaryRowsPM")</f>
        <v>CheckSummaryRowsPM</v>
      </c>
      <c r="K4" s="26" t="str">
        <f>IFERROR(__xludf.DUMMYFUNCTION("""COMPUTED_VALUE"""),"OpenPTTFromPM")</f>
        <v>OpenPTTFromPM</v>
      </c>
      <c r="L4" s="26" t="str">
        <f>IFERROR(__xludf.DUMMYFUNCTION("""COMPUTED_VALUE"""),"OpenCreateTransactionFromPM")</f>
        <v>OpenCreateTransactionFromPM</v>
      </c>
      <c r="M4" s="26" t="str">
        <f>IFERROR(__xludf.DUMMYFUNCTION("""COMPUTED_VALUE"""),"OpenClosingFromPM")</f>
        <v>OpenClosingFromPM</v>
      </c>
      <c r="N4" s="26" t="str">
        <f>IFERROR(__xludf.DUMMYFUNCTION("""COMPUTED_VALUE"""),"OpenCorporateActionFromPM")</f>
        <v>OpenCorporateActionFromPM</v>
      </c>
      <c r="O4" s="26" t="str">
        <f>IFERROR(__xludf.DUMMYFUNCTION("""COMPUTED_VALUE"""),"OpenDailyValuationFromPM")</f>
        <v>OpenDailyValuationFromPM</v>
      </c>
      <c r="P4" s="27" t="str">
        <f>IFERROR(__xludf.DUMMYFUNCTION("""COMPUTED_VALUE"""),"ClosePositionFromPM")</f>
        <v>ClosePositionFromPM</v>
      </c>
      <c r="Q4" s="27" t="str">
        <f>IFERROR(__xludf.DUMMYFUNCTION("""COMPUTED_VALUE"""),"ShowSummaryToolFromPM")</f>
        <v>ShowSummaryToolFromPM</v>
      </c>
      <c r="R4" s="27" t="str">
        <f>IFERROR(__xludf.DUMMYFUNCTION("""COMPUTED_VALUE"""),"HideSummaryToolFromPM")</f>
        <v>HideSummaryToolFromPM</v>
      </c>
      <c r="S4" s="27" t="str">
        <f>IFERROR(__xludf.DUMMYFUNCTION("""COMPUTED_VALUE"""),"CloseAccountPositionFromPM")</f>
        <v>CloseAccountPositionFromPM</v>
      </c>
      <c r="T4" s="27" t="str">
        <f>IFERROR(__xludf.DUMMYFUNCTION("""COMPUTED_VALUE"""),"CloseSelectedTaxlotsFromPM")</f>
        <v>CloseSelectedTaxlotsFromPM</v>
      </c>
      <c r="U4" s="27" t="str">
        <f>IFERROR(__xludf.DUMMYFUNCTION("""COMPUTED_VALUE"""),"ExpandCollapsePM")</f>
        <v>ExpandCollapsePM</v>
      </c>
      <c r="V4" s="27" t="str">
        <f>IFERROR(__xludf.DUMMYFUNCTION("""COMPUTED_VALUE"""),"AddCustomViewPM")</f>
        <v>AddCustomViewPM</v>
      </c>
      <c r="W4" s="27" t="str">
        <f>IFERROR(__xludf.DUMMYFUNCTION("""COMPUTED_VALUE"""),"AddCustomViewRightClickPM")</f>
        <v>AddCustomViewRightClickPM</v>
      </c>
      <c r="X4" s="27" t="str">
        <f>IFERROR(__xludf.DUMMYFUNCTION("""COMPUTED_VALUE"""),"RenameCustomViewPM")</f>
        <v>RenameCustomViewPM</v>
      </c>
      <c r="Y4" s="27" t="str">
        <f>IFERROR(__xludf.DUMMYFUNCTION("""COMPUTED_VALUE"""),"DeleteCustomViewPM")</f>
        <v>DeleteCustomViewPM</v>
      </c>
      <c r="Z4" s="27" t="str">
        <f>IFERROR(__xludf.DUMMYFUNCTION("""COMPUTED_VALUE"""),"")</f>
        <v/>
      </c>
      <c r="AA4" s="27" t="str">
        <f>IFERROR(__xludf.DUMMYFUNCTION("""COMPUTED_VALUE"""),"")</f>
        <v/>
      </c>
      <c r="AB4" s="27" t="str">
        <f>IFERROR(__xludf.DUMMYFUNCTION("""COMPUTED_VALUE"""),"")</f>
        <v/>
      </c>
      <c r="AC4" s="27" t="str">
        <f>IFERROR(__xludf.DUMMYFUNCTION("""COMPUTED_VALUE"""),"")</f>
        <v/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  <c r="EY4" s="27" t="str">
        <f>IFERROR(__xludf.DUMMYFUNCTION("""COMPUTED_VALUE"""),"")</f>
        <v/>
      </c>
      <c r="EZ4" s="27" t="str">
        <f>IFERROR(__xludf.DUMMYFUNCTION("""COMPUTED_VALUE"""),"")</f>
        <v/>
      </c>
      <c r="FA4" s="27" t="str">
        <f>IFERROR(__xludf.DUMMYFUNCTION("""COMPUTED_VALUE"""),"")</f>
        <v/>
      </c>
      <c r="FB4" s="27" t="str">
        <f>IFERROR(__xludf.DUMMYFUNCTION("""COMPUTED_VALUE"""),"")</f>
        <v/>
      </c>
      <c r="FC4" s="27" t="str">
        <f>IFERROR(__xludf.DUMMYFUNCTION("""COMPUTED_VALUE"""),"")</f>
        <v/>
      </c>
      <c r="FD4" s="27" t="str">
        <f>IFERROR(__xludf.DUMMYFUNCTION("""COMPUTED_VALUE"""),"")</f>
        <v/>
      </c>
      <c r="FE4" s="27" t="str">
        <f>IFERROR(__xludf.DUMMYFUNCTION("""COMPUTED_VALUE"""),"")</f>
        <v/>
      </c>
      <c r="FF4" s="27" t="str">
        <f>IFERROR(__xludf.DUMMYFUNCTION("""COMPUTED_VALUE"""),"")</f>
        <v/>
      </c>
      <c r="FG4" s="27" t="str">
        <f>IFERROR(__xludf.DUMMYFUNCTION("""COMPUTED_VALUE"""),"")</f>
        <v/>
      </c>
      <c r="FH4" s="27" t="str">
        <f>IFERROR(__xludf.DUMMYFUNCTION("""COMPUTED_VALUE"""),"")</f>
        <v/>
      </c>
      <c r="FI4" s="27" t="str">
        <f>IFERROR(__xludf.DUMMYFUNCTION("""COMPUTED_VALUE"""),"")</f>
        <v/>
      </c>
      <c r="FJ4" s="27" t="str">
        <f>IFERROR(__xludf.DUMMYFUNCTION("""COMPUTED_VALUE"""),"")</f>
        <v/>
      </c>
      <c r="FK4" s="27" t="str">
        <f>IFERROR(__xludf.DUMMYFUNCTION("""COMPUTED_VALUE"""),"")</f>
        <v/>
      </c>
      <c r="FL4" s="27" t="str">
        <f>IFERROR(__xludf.DUMMYFUNCTION("""COMPUTED_VALUE"""),"")</f>
        <v/>
      </c>
      <c r="FM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IFERROR(__xludf.DUMMYFUNCTION("""COMPUTED_VALUE"""),"Trade Date")</f>
        <v>Trade Date</v>
      </c>
      <c r="C5" s="29" t="str">
        <f>IFERROR(__xludf.DUMMYFUNCTION("""COMPUTED_VALUE"""),"Symbol")</f>
        <v>Symbol</v>
      </c>
      <c r="D5" s="29" t="str">
        <f>IFERROR(__xludf.DUMMYFUNCTION("""COMPUTED_VALUE"""),"Position")</f>
        <v>Position</v>
      </c>
      <c r="E5" s="29" t="str">
        <f>IFERROR(__xludf.DUMMYFUNCTION("""COMPUTED_VALUE"""),"Account")</f>
        <v>Account</v>
      </c>
      <c r="F5" s="34" t="str">
        <f>IFERROR(__xludf.DUMMYFUNCTION("""COMPUTED_VALUE"""),"MasterFund")</f>
        <v>MasterFund</v>
      </c>
      <c r="G5" s="29" t="str">
        <f>IFERROR(__xludf.DUMMYFUNCTION("""COMPUTED_VALUE"""),"Cost Basis")</f>
        <v>Cost Basis</v>
      </c>
      <c r="H5" s="29" t="str">
        <f>IFERROR(__xludf.DUMMYFUNCTION("""COMPUTED_VALUE"""),"Position Side")</f>
        <v>Position Side</v>
      </c>
      <c r="I5" s="29" t="str">
        <f>IFERROR(__xludf.DUMMYFUNCTION("""COMPUTED_VALUE"""),"Market Value (Base)")</f>
        <v>Market Value (Base)</v>
      </c>
      <c r="J5" s="29" t="str">
        <f>IFERROR(__xludf.DUMMYFUNCTION("""COMPUTED_VALUE"""),"% Day P&amp;L (Gross MV)")</f>
        <v>% Day P&amp;L (Gross MV)</v>
      </c>
      <c r="K5" s="29" t="str">
        <f>IFERROR(__xludf.DUMMYFUNCTION("""COMPUTED_VALUE"""),"Net Exposure (Base)")</f>
        <v>Net Exposure (Base)</v>
      </c>
      <c r="L5" s="29" t="str">
        <f>IFERROR(__xludf.DUMMYFUNCTION("""COMPUTED_VALUE"""),"Beta Adj. Gross Exposure (Base)")</f>
        <v>Beta Adj. Gross Exposure (Base)</v>
      </c>
      <c r="M5" s="29" t="str">
        <f>IFERROR(__xludf.DUMMYFUNCTION("""COMPUTED_VALUE"""),"Beta Adj. Gross Exposure (Underlying) (Base)")</f>
        <v>Beta Adj. Gross Exposure (Underlying) (Base)</v>
      </c>
      <c r="N5" s="29" t="str">
        <f>IFERROR(__xludf.DUMMYFUNCTION("""COMPUTED_VALUE"""),"Day P&amp;L (Base)")</f>
        <v>Day P&amp;L (Base)</v>
      </c>
      <c r="O5" s="29" t="str">
        <f>IFERROR(__xludf.DUMMYFUNCTION("""COMPUTED_VALUE"""),"Security Name")</f>
        <v>Security Name</v>
      </c>
      <c r="P5" s="29" t="str">
        <f>IFERROR(__xludf.DUMMYFUNCTION("""COMPUTED_VALUE"""),"Closing Mark")</f>
        <v>Closing Mark</v>
      </c>
      <c r="Q5" s="29" t="str">
        <f>IFERROR(__xludf.DUMMYFUNCTION("""COMPUTED_VALUE"""),"Cost Basis P&amp;L (Base)")</f>
        <v>Cost Basis P&amp;L (Base)</v>
      </c>
      <c r="R5" s="29" t="str">
        <f>IFERROR(__xludf.DUMMYFUNCTION("""COMPUTED_VALUE"""),"Prime Broker")</f>
        <v>Prime Broker</v>
      </c>
      <c r="S5" s="29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IFERROR(__xludf.DUMMYFUNCTION("""COMPUTED_VALUE"""),"")</f>
        <v/>
      </c>
      <c r="FB5" s="30" t="str">
        <f>IFERROR(__xludf.DUMMYFUNCTION("""COMPUTED_VALUE"""),"")</f>
        <v/>
      </c>
      <c r="FC5" s="30" t="str">
        <f>IFERROR(__xludf.DUMMYFUNCTION("""COMPUTED_VALUE"""),"")</f>
        <v/>
      </c>
      <c r="FD5" s="30" t="str">
        <f>IFERROR(__xludf.DUMMYFUNCTION("""COMPUTED_VALUE"""),"")</f>
        <v/>
      </c>
      <c r="FE5" s="30" t="str">
        <f>IFERROR(__xludf.DUMMYFUNCTION("""COMPUTED_VALUE"""),"")</f>
        <v/>
      </c>
      <c r="FF5" s="30" t="str">
        <f>IFERROR(__xludf.DUMMYFUNCTION("""COMPUTED_VALUE"""),"")</f>
        <v/>
      </c>
      <c r="FG5" s="30" t="str">
        <f>IFERROR(__xludf.DUMMYFUNCTION("""COMPUTED_VALUE"""),"")</f>
        <v/>
      </c>
      <c r="FH5" s="30" t="str">
        <f>IFERROR(__xludf.DUMMYFUNCTION("""COMPUTED_VALUE"""),"")</f>
        <v/>
      </c>
      <c r="FI5" s="30" t="str">
        <f>IFERROR(__xludf.DUMMYFUNCTION("""COMPUTED_VALUE"""),"")</f>
        <v/>
      </c>
      <c r="FJ5" s="30" t="str">
        <f>IFERROR(__xludf.DUMMYFUNCTION("""COMPUTED_VALUE"""),"")</f>
        <v/>
      </c>
      <c r="FK5" s="30" t="str">
        <f>IFERROR(__xludf.DUMMYFUNCTION("""COMPUTED_VALUE"""),"")</f>
        <v/>
      </c>
      <c r="FL5" s="30" t="str">
        <f>IFERROR(__xludf.DUMMYFUNCTION("""COMPUTED_VALUE"""),"")</f>
        <v/>
      </c>
      <c r="FM5" s="30" t="str">
        <f>IFERROR(__xludf.DUMMYFUNCTION("""COMPUTED_VALUE"""),"")</f>
        <v/>
      </c>
    </row>
    <row r="6" ht="15.75" customHeight="1">
      <c r="A6" s="36"/>
      <c r="B6" s="37"/>
      <c r="C6" s="37" t="s">
        <v>16</v>
      </c>
      <c r="D6" s="38">
        <v>100.0</v>
      </c>
      <c r="E6" s="39" t="s">
        <v>41</v>
      </c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 t="s">
        <v>17</v>
      </c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</row>
    <row r="7" ht="15.75" customHeight="1">
      <c r="A7" s="40"/>
      <c r="B7" s="40"/>
      <c r="C7" s="36" t="s">
        <v>16</v>
      </c>
      <c r="D7" s="41">
        <v>100.0</v>
      </c>
      <c r="E7" s="40" t="s">
        <v>42</v>
      </c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 t="s">
        <v>17</v>
      </c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</row>
    <row r="8" ht="15.75" customHeight="1">
      <c r="A8" s="40"/>
      <c r="B8" s="40"/>
      <c r="C8" s="36" t="s">
        <v>16</v>
      </c>
      <c r="D8" s="41">
        <v>200.0</v>
      </c>
      <c r="E8" s="40" t="s">
        <v>43</v>
      </c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 t="s">
        <v>17</v>
      </c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</row>
    <row r="9" ht="15.75" customHeight="1">
      <c r="A9" s="40"/>
      <c r="B9" s="40"/>
      <c r="C9" s="36" t="s">
        <v>20</v>
      </c>
      <c r="D9" s="41">
        <v>100.0</v>
      </c>
      <c r="E9" s="40" t="s">
        <v>41</v>
      </c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 t="s">
        <v>17</v>
      </c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</row>
    <row r="10" ht="15.75" customHeight="1">
      <c r="A10" s="40"/>
      <c r="B10" s="40"/>
      <c r="C10" s="36" t="s">
        <v>20</v>
      </c>
      <c r="D10" s="41">
        <v>300.0</v>
      </c>
      <c r="E10" s="40" t="s">
        <v>42</v>
      </c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 t="s">
        <v>17</v>
      </c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  <c r="EY10" s="40"/>
      <c r="EZ10" s="40"/>
      <c r="FA10" s="40"/>
      <c r="FB10" s="40"/>
      <c r="FC10" s="40"/>
      <c r="FD10" s="40"/>
      <c r="FE10" s="40"/>
      <c r="FF10" s="40"/>
      <c r="FG10" s="40"/>
      <c r="FH10" s="40"/>
      <c r="FI10" s="40"/>
      <c r="FJ10" s="40"/>
      <c r="FK10" s="40"/>
      <c r="FL10" s="40"/>
      <c r="FM10" s="40"/>
    </row>
    <row r="11" ht="15.75" customHeight="1">
      <c r="A11" s="40"/>
      <c r="B11" s="40"/>
      <c r="C11" s="40" t="s">
        <v>23</v>
      </c>
      <c r="D11" s="41">
        <v>400.0</v>
      </c>
      <c r="E11" s="40" t="s">
        <v>24</v>
      </c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 t="s">
        <v>17</v>
      </c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</row>
    <row r="12" ht="15.75" customHeight="1">
      <c r="A12" s="40"/>
      <c r="B12" s="40"/>
      <c r="C12" s="40" t="s">
        <v>16</v>
      </c>
      <c r="D12" s="42">
        <v>25.0</v>
      </c>
      <c r="E12" s="40" t="s">
        <v>41</v>
      </c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 t="s">
        <v>17</v>
      </c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  <c r="EY12" s="40"/>
      <c r="EZ12" s="40"/>
      <c r="FA12" s="40"/>
      <c r="FB12" s="40"/>
      <c r="FC12" s="40"/>
      <c r="FD12" s="40"/>
      <c r="FE12" s="40"/>
      <c r="FF12" s="40"/>
      <c r="FG12" s="40"/>
      <c r="FH12" s="40"/>
      <c r="FI12" s="40"/>
      <c r="FJ12" s="40"/>
      <c r="FK12" s="40"/>
      <c r="FL12" s="40"/>
      <c r="FM12" s="40"/>
    </row>
    <row r="13" ht="15.75" customHeight="1">
      <c r="A13" s="40"/>
      <c r="B13" s="40"/>
      <c r="C13" s="40" t="s">
        <v>16</v>
      </c>
      <c r="D13" s="42">
        <v>25.0</v>
      </c>
      <c r="E13" s="40" t="s">
        <v>42</v>
      </c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 t="s">
        <v>17</v>
      </c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</row>
    <row r="14" ht="15.75" customHeight="1">
      <c r="A14" s="40"/>
      <c r="B14" s="40"/>
      <c r="C14" s="40" t="s">
        <v>16</v>
      </c>
      <c r="D14" s="42">
        <v>50.0</v>
      </c>
      <c r="E14" s="40" t="s">
        <v>43</v>
      </c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 t="s">
        <v>17</v>
      </c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  <c r="EY14" s="40"/>
      <c r="EZ14" s="40"/>
      <c r="FA14" s="40"/>
      <c r="FB14" s="40"/>
      <c r="FC14" s="40"/>
      <c r="FD14" s="40"/>
      <c r="FE14" s="40"/>
      <c r="FF14" s="40"/>
      <c r="FG14" s="40"/>
      <c r="FH14" s="40"/>
      <c r="FI14" s="40"/>
      <c r="FJ14" s="40"/>
      <c r="FK14" s="40"/>
      <c r="FL14" s="40"/>
      <c r="FM14" s="40"/>
    </row>
    <row r="15" ht="15.75" customHeight="1">
      <c r="A15" s="40"/>
      <c r="B15" s="40"/>
      <c r="C15" s="40" t="s">
        <v>20</v>
      </c>
      <c r="D15" s="42">
        <v>-600.0</v>
      </c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 t="s">
        <v>26</v>
      </c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  <c r="EY15" s="40"/>
      <c r="EZ15" s="40"/>
      <c r="FA15" s="40"/>
      <c r="FB15" s="40"/>
      <c r="FC15" s="40"/>
      <c r="FD15" s="40"/>
      <c r="FE15" s="40"/>
      <c r="FF15" s="40"/>
      <c r="FG15" s="40"/>
      <c r="FH15" s="40"/>
      <c r="FI15" s="40"/>
      <c r="FJ15" s="40"/>
      <c r="FK15" s="40"/>
      <c r="FL15" s="40"/>
      <c r="FM15" s="40"/>
    </row>
    <row r="16" ht="15.75" customHeight="1">
      <c r="A16" s="40"/>
      <c r="B16" s="40"/>
      <c r="C16" s="40" t="s">
        <v>23</v>
      </c>
      <c r="D16" s="42">
        <v>-400.0</v>
      </c>
      <c r="E16" s="43" t="s">
        <v>24</v>
      </c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 t="s">
        <v>26</v>
      </c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  <c r="EY16" s="40"/>
      <c r="EZ16" s="40"/>
      <c r="FA16" s="40"/>
      <c r="FB16" s="40"/>
      <c r="FC16" s="40"/>
      <c r="FD16" s="40"/>
      <c r="FE16" s="40"/>
      <c r="FF16" s="40"/>
      <c r="FG16" s="40"/>
      <c r="FH16" s="40"/>
      <c r="FI16" s="40"/>
      <c r="FJ16" s="40"/>
      <c r="FK16" s="40"/>
      <c r="FL16" s="40"/>
      <c r="FM16" s="40"/>
    </row>
    <row r="17" ht="15.75" customHeight="1">
      <c r="A17" s="40"/>
      <c r="B17" s="40"/>
      <c r="C17" s="40" t="s">
        <v>27</v>
      </c>
      <c r="D17" s="42">
        <v>-100.0</v>
      </c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 t="s">
        <v>28</v>
      </c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</row>
    <row r="18" ht="15.75" customHeight="1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 s="40"/>
      <c r="DT18" s="40"/>
      <c r="DU18" s="40"/>
      <c r="DV18" s="40"/>
      <c r="DW18" s="40"/>
      <c r="DX18" s="40"/>
      <c r="DY18" s="40"/>
      <c r="DZ18" s="40"/>
      <c r="EA18" s="40"/>
      <c r="EB18" s="40"/>
      <c r="EC18" s="40"/>
      <c r="ED18" s="40"/>
      <c r="EE18" s="40"/>
      <c r="EF18" s="40"/>
      <c r="EG18" s="40"/>
      <c r="EH18" s="40"/>
      <c r="EI18" s="40"/>
      <c r="EJ18" s="40"/>
      <c r="EK18" s="40"/>
      <c r="EL18" s="40"/>
      <c r="EM18" s="40"/>
      <c r="EN18" s="40"/>
      <c r="EO18" s="40"/>
      <c r="EP18" s="40"/>
      <c r="EQ18" s="40"/>
      <c r="ER18" s="40"/>
      <c r="ES18" s="40"/>
      <c r="ET18" s="40"/>
      <c r="EU18" s="40"/>
      <c r="EV18" s="40"/>
      <c r="EW18" s="40"/>
      <c r="EX18" s="40"/>
      <c r="EY18" s="40"/>
      <c r="EZ18" s="40"/>
      <c r="FA18" s="40"/>
      <c r="FB18" s="40"/>
      <c r="FC18" s="40"/>
      <c r="FD18" s="40"/>
      <c r="FE18" s="40"/>
      <c r="FF18" s="40"/>
      <c r="FG18" s="40"/>
      <c r="FH18" s="40"/>
      <c r="FI18" s="40"/>
      <c r="FJ18" s="40"/>
      <c r="FK18" s="40"/>
      <c r="FL18" s="40"/>
      <c r="FM18" s="40"/>
    </row>
    <row r="19" ht="15.75" customHeight="1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8" t="s">
        <v>6</v>
      </c>
      <c r="C3" s="23" t="s">
        <v>46</v>
      </c>
      <c r="D3" s="8" t="s">
        <v>8</v>
      </c>
      <c r="E3" s="23" t="s">
        <v>47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IFERROR(__xludf.DUMMYFUNCTION("IF(C3="""","""",Transpose(IMPORTRANGE('_Settings'!$B$3,C3&amp;""!A4:A1000"")))"),"GetDataCash")</f>
        <v>GetDataCash</v>
      </c>
      <c r="C4" s="26" t="str">
        <f>IFERROR(__xludf.DUMMYFUNCTION("""COMPUTED_VALUE"""),"EnterCashDividends")</f>
        <v>EnterCashDividends</v>
      </c>
      <c r="D4" s="26" t="str">
        <f>IFERROR(__xludf.DUMMYFUNCTION("""COMPUTED_VALUE"""),"EnterNonTradingTransaction")</f>
        <v>EnterNonTradingTransaction</v>
      </c>
      <c r="E4" s="26" t="str">
        <f>IFERROR(__xludf.DUMMYFUNCTION("""COMPUTED_VALUE"""),"VerifyCash")</f>
        <v>VerifyCash</v>
      </c>
      <c r="F4" s="26" t="str">
        <f>IFERROR(__xludf.DUMMYFUNCTION("""COMPUTED_VALUE"""),"VerifyActivity")</f>
        <v>VerifyActivity</v>
      </c>
      <c r="G4" s="26" t="str">
        <f>IFERROR(__xludf.DUMMYFUNCTION("""COMPUTED_VALUE"""),"VerifyTradingTransaction")</f>
        <v>VerifyTradingTransaction</v>
      </c>
      <c r="H4" s="26" t="str">
        <f>IFERROR(__xludf.DUMMYFUNCTION("""COMPUTED_VALUE"""),"VerifyRevaluationData")</f>
        <v>VerifyRevaluationData</v>
      </c>
      <c r="I4" s="26" t="str">
        <f>IFERROR(__xludf.DUMMYFUNCTION("""COMPUTED_VALUE"""),"GetTradingTransaction")</f>
        <v>GetTradingTransaction</v>
      </c>
      <c r="J4" s="26" t="str">
        <f>IFERROR(__xludf.DUMMYFUNCTION("""COMPUTED_VALUE"""),"GetActivityData")</f>
        <v>GetActivityData</v>
      </c>
      <c r="K4" s="26" t="str">
        <f>IFERROR(__xludf.DUMMYFUNCTION("""COMPUTED_VALUE"""),"GetRevaluationData")</f>
        <v>GetRevaluationData</v>
      </c>
      <c r="L4" s="26" t="str">
        <f>IFERROR(__xludf.DUMMYFUNCTION("""COMPUTED_VALUE"""),"GetAccountDetails")</f>
        <v>GetAccountDetails</v>
      </c>
      <c r="M4" s="26" t="str">
        <f>IFERROR(__xludf.DUMMYFUNCTION("""COMPUTED_VALUE"""),"GetNonTradingTransaction")</f>
        <v>GetNonTradingTransaction</v>
      </c>
      <c r="N4" s="26" t="str">
        <f>IFERROR(__xludf.DUMMYFUNCTION("""COMPUTED_VALUE"""),"GetDividendData")</f>
        <v>GetDividendData</v>
      </c>
      <c r="O4" s="26" t="str">
        <f>IFERROR(__xludf.DUMMYFUNCTION("""COMPUTED_VALUE"""),"VerifyNonTradingTransaction")</f>
        <v>VerifyNonTradingTransaction</v>
      </c>
      <c r="P4" s="27" t="str">
        <f>IFERROR(__xludf.DUMMYFUNCTION("""COMPUTED_VALUE"""),"VerifyDividend")</f>
        <v>VerifyDividend</v>
      </c>
      <c r="Q4" s="27" t="str">
        <f>IFERROR(__xludf.DUMMYFUNCTION("""COMPUTED_VALUE"""),"GetOpeningBalanceData")</f>
        <v>GetOpeningBalanceData</v>
      </c>
      <c r="R4" s="27" t="str">
        <f>IFERROR(__xludf.DUMMYFUNCTION("""COMPUTED_VALUE"""),"GetAccountBalance")</f>
        <v>GetAccountBalance</v>
      </c>
      <c r="S4" s="27" t="str">
        <f>IFERROR(__xludf.DUMMYFUNCTION("""COMPUTED_VALUE"""),"SelectNonTradingTransaction")</f>
        <v>SelectNonTradingTransaction</v>
      </c>
      <c r="T4" s="27" t="str">
        <f>IFERROR(__xludf.DUMMYFUNCTION("""COMPUTED_VALUE"""),"SelectNonTradingTranItem")</f>
        <v>SelectNonTradingTranItem</v>
      </c>
      <c r="U4" s="27" t="str">
        <f>IFERROR(__xludf.DUMMYFUNCTION("""COMPUTED_VALUE"""),"DeleteNonTradingTransaction")</f>
        <v>DeleteNonTradingTransaction</v>
      </c>
      <c r="V4" s="27" t="str">
        <f>IFERROR(__xludf.DUMMYFUNCTION("""COMPUTED_VALUE"""),"DeleteNonTradingTranItem")</f>
        <v>DeleteNonTradingTranItem</v>
      </c>
      <c r="W4" s="27" t="str">
        <f>IFERROR(__xludf.DUMMYFUNCTION("""COMPUTED_VALUE"""),"AddNonTradingTransaction")</f>
        <v>AddNonTradingTransaction</v>
      </c>
      <c r="X4" s="27" t="str">
        <f>IFERROR(__xludf.DUMMYFUNCTION("""COMPUTED_VALUE"""),"AddNonTradingTranItem")</f>
        <v>AddNonTradingTranItem</v>
      </c>
      <c r="Y4" s="27" t="str">
        <f>IFERROR(__xludf.DUMMYFUNCTION("""COMPUTED_VALUE"""),"VerifyOpeningBalanceData")</f>
        <v>VerifyOpeningBalanceData</v>
      </c>
      <c r="Z4" s="27" t="str">
        <f>IFERROR(__xludf.DUMMYFUNCTION("""COMPUTED_VALUE"""),"SelectOpeningBalanceTransaction")</f>
        <v>SelectOpeningBalanceTransaction</v>
      </c>
      <c r="AA4" s="27" t="str">
        <f>IFERROR(__xludf.DUMMYFUNCTION("""COMPUTED_VALUE"""),"SelectOpeningBalanceTranItem")</f>
        <v>SelectOpeningBalanceTranItem</v>
      </c>
      <c r="AB4" s="27" t="str">
        <f>IFERROR(__xludf.DUMMYFUNCTION("""COMPUTED_VALUE"""),"EditNonTradingTransaction")</f>
        <v>EditNonTradingTransaction</v>
      </c>
      <c r="AC4" s="27" t="str">
        <f>IFERROR(__xludf.DUMMYFUNCTION("""COMPUTED_VALUE"""),"EditNonTradingTranItem")</f>
        <v>EditNonTradingTranItem</v>
      </c>
      <c r="AD4" s="27" t="str">
        <f>IFERROR(__xludf.DUMMYFUNCTION("""COMPUTED_VALUE"""),"DeleteOpeningBalanceTransaction")</f>
        <v>DeleteOpeningBalanceTransaction</v>
      </c>
      <c r="AE4" s="27" t="str">
        <f>IFERROR(__xludf.DUMMYFUNCTION("""COMPUTED_VALUE"""),"DeleteOpeningBalanceTranItem")</f>
        <v>DeleteOpeningBalanceTranItem</v>
      </c>
      <c r="AF4" s="27" t="str">
        <f>IFERROR(__xludf.DUMMYFUNCTION("""COMPUTED_VALUE"""),"GetDayEndCash")</f>
        <v>GetDayEndCash</v>
      </c>
      <c r="AG4" s="27" t="str">
        <f>IFERROR(__xludf.DUMMYFUNCTION("""COMPUTED_VALUE"""),"VerifyDayEndCash")</f>
        <v>VerifyDayEndCash</v>
      </c>
      <c r="AH4" s="27" t="str">
        <f>IFERROR(__xludf.DUMMYFUNCTION("""COMPUTED_VALUE"""),"RunRevaluation")</f>
        <v>RunRevaluation</v>
      </c>
      <c r="AI4" s="27" t="str">
        <f>IFERROR(__xludf.DUMMYFUNCTION("""COMPUTED_VALUE"""),"CalculateDayEndCash")</f>
        <v>CalculateDayEndCash</v>
      </c>
      <c r="AJ4" s="27" t="str">
        <f>IFERROR(__xludf.DUMMYFUNCTION("""COMPUTED_VALUE"""),"GetCashTransaction")</f>
        <v>GetCashTransaction</v>
      </c>
      <c r="AK4" s="27" t="str">
        <f>IFERROR(__xludf.DUMMYFUNCTION("""COMPUTED_VALUE"""),"SelectCashTransaction")</f>
        <v>SelectCashTransaction</v>
      </c>
      <c r="AL4" s="27" t="str">
        <f>IFERROR(__xludf.DUMMYFUNCTION("""COMPUTED_VALUE"""),"DeleteCashTransaction")</f>
        <v>DeleteCashTransaction</v>
      </c>
      <c r="AM4" s="27" t="str">
        <f>IFERROR(__xludf.DUMMYFUNCTION("""COMPUTED_VALUE"""),"EditCashTransaction")</f>
        <v>EditCashTransaction</v>
      </c>
      <c r="AN4" s="27" t="str">
        <f>IFERROR(__xludf.DUMMYFUNCTION("""COMPUTED_VALUE"""),"AddCashTransaction")</f>
        <v>AddCashTransaction</v>
      </c>
      <c r="AO4" s="27" t="str">
        <f>IFERROR(__xludf.DUMMYFUNCTION("""COMPUTED_VALUE"""),"AddOpeningBalanceTransaction")</f>
        <v>AddOpeningBalanceTransaction</v>
      </c>
      <c r="AP4" s="27" t="str">
        <f>IFERROR(__xludf.DUMMYFUNCTION("""COMPUTED_VALUE"""),"AddOpeningBalanceTranItem")</f>
        <v>AddOpeningBalanceTranItem</v>
      </c>
      <c r="AQ4" s="27" t="str">
        <f>IFERROR(__xludf.DUMMYFUNCTION("""COMPUTED_VALUE"""),"GetDailyCalculationsData")</f>
        <v>GetDailyCalculationsData</v>
      </c>
      <c r="AR4" s="27" t="str">
        <f>IFERROR(__xludf.DUMMYFUNCTION("""COMPUTED_VALUE"""),"CalculateDailyCalculations")</f>
        <v>CalculateDailyCalculations</v>
      </c>
      <c r="AS4" s="27" t="str">
        <f>IFERROR(__xludf.DUMMYFUNCTION("""COMPUTED_VALUE"""),"EditOpeningBalanceTransaction")</f>
        <v>EditOpeningBalanceTransaction</v>
      </c>
      <c r="AT4" s="27" t="str">
        <f>IFERROR(__xludf.DUMMYFUNCTION("""COMPUTED_VALUE"""),"EditOpeningBalanceTranItem")</f>
        <v>EditOpeningBalanceTranItem</v>
      </c>
      <c r="AU4" s="27" t="str">
        <f>IFERROR(__xludf.DUMMYFUNCTION("""COMPUTED_VALUE"""),"VerifyDailyCalTransactions")</f>
        <v>VerifyDailyCalTransactions</v>
      </c>
      <c r="AV4" s="27" t="str">
        <f>IFERROR(__xludf.DUMMYFUNCTION("""COMPUTED_VALUE"""),"CloseGeneralLedger")</f>
        <v>CloseGeneralLedger</v>
      </c>
      <c r="AW4" s="27" t="str">
        <f>IFERROR(__xludf.DUMMYFUNCTION("""COMPUTED_VALUE"""),"VerifyAccountDetails")</f>
        <v>VerifyAccountDetails</v>
      </c>
      <c r="AX4" s="27" t="str">
        <f>IFERROR(__xludf.DUMMYFUNCTION("""COMPUTED_VALUE"""),"SaveTransaction")</f>
        <v>SaveTransaction</v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IFERROR(__xludf.DUMMYFUNCTION("""COMPUTED_VALUE"""),"MasterFund")</f>
        <v>MasterFund</v>
      </c>
      <c r="C5" s="29" t="str">
        <f>IFERROR(__xludf.DUMMYFUNCTION("""COMPUTED_VALUE"""),"Accounts")</f>
        <v>Accounts</v>
      </c>
      <c r="D5" s="29" t="str">
        <f>IFERROR(__xludf.DUMMYFUNCTION("""COMPUTED_VALUE"""),"From")</f>
        <v>From</v>
      </c>
      <c r="E5" s="29" t="str">
        <f>IFERROR(__xludf.DUMMYFUNCTION("""COMPUTED_VALUE"""),"To")</f>
        <v>To</v>
      </c>
      <c r="F5" s="34" t="str">
        <f>IFERROR(__xludf.DUMMYFUNCTION("""COMPUTED_VALUE"""),"SettlementDate")</f>
        <v>SettlementDate</v>
      </c>
      <c r="G5" s="29" t="str">
        <f>IFERROR(__xludf.DUMMYFUNCTION("""COMPUTED_VALUE"""),"TradeDate")</f>
        <v>TradeDate</v>
      </c>
      <c r="H5" s="29" t="str">
        <f>IFERROR(__xludf.DUMMYFUNCTION("""COMPUTED_VALUE"""),"All")</f>
        <v>All</v>
      </c>
      <c r="I5" s="29" t="str">
        <f>IFERROR(__xludf.DUMMYFUNCTION("""COMPUTED_VALUE"""),"")</f>
        <v/>
      </c>
      <c r="J5" s="29" t="str">
        <f>IFERROR(__xludf.DUMMYFUNCTION("""COMPUTED_VALUE"""),"")</f>
        <v/>
      </c>
      <c r="K5" s="29" t="str">
        <f>IFERROR(__xludf.DUMMYFUNCTION("""COMPUTED_VALUE"""),"")</f>
        <v/>
      </c>
      <c r="L5" s="29" t="str">
        <f>IFERROR(__xludf.DUMMYFUNCTION("""COMPUTED_VALUE"""),"")</f>
        <v/>
      </c>
      <c r="M5" s="29" t="str">
        <f>IFERROR(__xludf.DUMMYFUNCTION("""COMPUTED_VALUE"""),"")</f>
        <v/>
      </c>
      <c r="N5" s="29" t="str">
        <f>IFERROR(__xludf.DUMMYFUNCTION("""COMPUTED_VALUE"""),"")</f>
        <v/>
      </c>
      <c r="O5" s="29" t="str">
        <f>IFERROR(__xludf.DUMMYFUNCTION("""COMPUTED_VALUE"""),"")</f>
        <v/>
      </c>
      <c r="P5" s="29" t="str">
        <f>IFERROR(__xludf.DUMMYFUNCTION("""COMPUTED_VALUE"""),"")</f>
        <v/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36"/>
      <c r="B6" s="37" t="s">
        <v>48</v>
      </c>
      <c r="C6" s="39" t="s">
        <v>49</v>
      </c>
      <c r="D6" s="44">
        <f t="shared" ref="D6:E6" si="1">TODAY()</f>
        <v>43634</v>
      </c>
      <c r="E6" s="44">
        <f t="shared" si="1"/>
        <v>43634</v>
      </c>
      <c r="F6" s="45" t="s">
        <v>50</v>
      </c>
      <c r="G6" s="45" t="s">
        <v>51</v>
      </c>
      <c r="H6" s="45" t="s">
        <v>50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8" t="s">
        <v>6</v>
      </c>
      <c r="C3" s="23" t="s">
        <v>46</v>
      </c>
      <c r="D3" s="8" t="s">
        <v>8</v>
      </c>
      <c r="E3" s="23" t="s">
        <v>52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IFERROR(__xludf.DUMMYFUNCTION("IF(C3="""","""",Transpose(IMPORTRANGE('_Settings'!$B$3,C3&amp;""!A4:A1000"")))"),"GetDataCash")</f>
        <v>GetDataCash</v>
      </c>
      <c r="C4" s="26" t="str">
        <f>IFERROR(__xludf.DUMMYFUNCTION("""COMPUTED_VALUE"""),"EnterCashDividends")</f>
        <v>EnterCashDividends</v>
      </c>
      <c r="D4" s="26" t="str">
        <f>IFERROR(__xludf.DUMMYFUNCTION("""COMPUTED_VALUE"""),"EnterNonTradingTransaction")</f>
        <v>EnterNonTradingTransaction</v>
      </c>
      <c r="E4" s="26" t="str">
        <f>IFERROR(__xludf.DUMMYFUNCTION("""COMPUTED_VALUE"""),"VerifyCash")</f>
        <v>VerifyCash</v>
      </c>
      <c r="F4" s="26" t="str">
        <f>IFERROR(__xludf.DUMMYFUNCTION("""COMPUTED_VALUE"""),"VerifyActivity")</f>
        <v>VerifyActivity</v>
      </c>
      <c r="G4" s="26" t="str">
        <f>IFERROR(__xludf.DUMMYFUNCTION("""COMPUTED_VALUE"""),"VerifyTradingTransaction")</f>
        <v>VerifyTradingTransaction</v>
      </c>
      <c r="H4" s="26" t="str">
        <f>IFERROR(__xludf.DUMMYFUNCTION("""COMPUTED_VALUE"""),"VerifyRevaluationData")</f>
        <v>VerifyRevaluationData</v>
      </c>
      <c r="I4" s="26" t="str">
        <f>IFERROR(__xludf.DUMMYFUNCTION("""COMPUTED_VALUE"""),"GetTradingTransaction")</f>
        <v>GetTradingTransaction</v>
      </c>
      <c r="J4" s="26" t="str">
        <f>IFERROR(__xludf.DUMMYFUNCTION("""COMPUTED_VALUE"""),"GetActivityData")</f>
        <v>GetActivityData</v>
      </c>
      <c r="K4" s="26" t="str">
        <f>IFERROR(__xludf.DUMMYFUNCTION("""COMPUTED_VALUE"""),"GetRevaluationData")</f>
        <v>GetRevaluationData</v>
      </c>
      <c r="L4" s="26" t="str">
        <f>IFERROR(__xludf.DUMMYFUNCTION("""COMPUTED_VALUE"""),"GetAccountDetails")</f>
        <v>GetAccountDetails</v>
      </c>
      <c r="M4" s="26" t="str">
        <f>IFERROR(__xludf.DUMMYFUNCTION("""COMPUTED_VALUE"""),"GetNonTradingTransaction")</f>
        <v>GetNonTradingTransaction</v>
      </c>
      <c r="N4" s="26" t="str">
        <f>IFERROR(__xludf.DUMMYFUNCTION("""COMPUTED_VALUE"""),"GetDividendData")</f>
        <v>GetDividendData</v>
      </c>
      <c r="O4" s="26" t="str">
        <f>IFERROR(__xludf.DUMMYFUNCTION("""COMPUTED_VALUE"""),"VerifyNonTradingTransaction")</f>
        <v>VerifyNonTradingTransaction</v>
      </c>
      <c r="P4" s="27" t="str">
        <f>IFERROR(__xludf.DUMMYFUNCTION("""COMPUTED_VALUE"""),"VerifyDividend")</f>
        <v>VerifyDividend</v>
      </c>
      <c r="Q4" s="27" t="str">
        <f>IFERROR(__xludf.DUMMYFUNCTION("""COMPUTED_VALUE"""),"GetOpeningBalanceData")</f>
        <v>GetOpeningBalanceData</v>
      </c>
      <c r="R4" s="27" t="str">
        <f>IFERROR(__xludf.DUMMYFUNCTION("""COMPUTED_VALUE"""),"GetAccountBalance")</f>
        <v>GetAccountBalance</v>
      </c>
      <c r="S4" s="27" t="str">
        <f>IFERROR(__xludf.DUMMYFUNCTION("""COMPUTED_VALUE"""),"SelectNonTradingTransaction")</f>
        <v>SelectNonTradingTransaction</v>
      </c>
      <c r="T4" s="27" t="str">
        <f>IFERROR(__xludf.DUMMYFUNCTION("""COMPUTED_VALUE"""),"SelectNonTradingTranItem")</f>
        <v>SelectNonTradingTranItem</v>
      </c>
      <c r="U4" s="27" t="str">
        <f>IFERROR(__xludf.DUMMYFUNCTION("""COMPUTED_VALUE"""),"DeleteNonTradingTransaction")</f>
        <v>DeleteNonTradingTransaction</v>
      </c>
      <c r="V4" s="27" t="str">
        <f>IFERROR(__xludf.DUMMYFUNCTION("""COMPUTED_VALUE"""),"DeleteNonTradingTranItem")</f>
        <v>DeleteNonTradingTranItem</v>
      </c>
      <c r="W4" s="27" t="str">
        <f>IFERROR(__xludf.DUMMYFUNCTION("""COMPUTED_VALUE"""),"AddNonTradingTransaction")</f>
        <v>AddNonTradingTransaction</v>
      </c>
      <c r="X4" s="27" t="str">
        <f>IFERROR(__xludf.DUMMYFUNCTION("""COMPUTED_VALUE"""),"AddNonTradingTranItem")</f>
        <v>AddNonTradingTranItem</v>
      </c>
      <c r="Y4" s="27" t="str">
        <f>IFERROR(__xludf.DUMMYFUNCTION("""COMPUTED_VALUE"""),"VerifyOpeningBalanceData")</f>
        <v>VerifyOpeningBalanceData</v>
      </c>
      <c r="Z4" s="27" t="str">
        <f>IFERROR(__xludf.DUMMYFUNCTION("""COMPUTED_VALUE"""),"SelectOpeningBalanceTransaction")</f>
        <v>SelectOpeningBalanceTransaction</v>
      </c>
      <c r="AA4" s="27" t="str">
        <f>IFERROR(__xludf.DUMMYFUNCTION("""COMPUTED_VALUE"""),"SelectOpeningBalanceTranItem")</f>
        <v>SelectOpeningBalanceTranItem</v>
      </c>
      <c r="AB4" s="27" t="str">
        <f>IFERROR(__xludf.DUMMYFUNCTION("""COMPUTED_VALUE"""),"EditNonTradingTransaction")</f>
        <v>EditNonTradingTransaction</v>
      </c>
      <c r="AC4" s="27" t="str">
        <f>IFERROR(__xludf.DUMMYFUNCTION("""COMPUTED_VALUE"""),"EditNonTradingTranItem")</f>
        <v>EditNonTradingTranItem</v>
      </c>
      <c r="AD4" s="27" t="str">
        <f>IFERROR(__xludf.DUMMYFUNCTION("""COMPUTED_VALUE"""),"DeleteOpeningBalanceTransaction")</f>
        <v>DeleteOpeningBalanceTransaction</v>
      </c>
      <c r="AE4" s="27" t="str">
        <f>IFERROR(__xludf.DUMMYFUNCTION("""COMPUTED_VALUE"""),"DeleteOpeningBalanceTranItem")</f>
        <v>DeleteOpeningBalanceTranItem</v>
      </c>
      <c r="AF4" s="27" t="str">
        <f>IFERROR(__xludf.DUMMYFUNCTION("""COMPUTED_VALUE"""),"GetDayEndCash")</f>
        <v>GetDayEndCash</v>
      </c>
      <c r="AG4" s="27" t="str">
        <f>IFERROR(__xludf.DUMMYFUNCTION("""COMPUTED_VALUE"""),"VerifyDayEndCash")</f>
        <v>VerifyDayEndCash</v>
      </c>
      <c r="AH4" s="27" t="str">
        <f>IFERROR(__xludf.DUMMYFUNCTION("""COMPUTED_VALUE"""),"RunRevaluation")</f>
        <v>RunRevaluation</v>
      </c>
      <c r="AI4" s="27" t="str">
        <f>IFERROR(__xludf.DUMMYFUNCTION("""COMPUTED_VALUE"""),"CalculateDayEndCash")</f>
        <v>CalculateDayEndCash</v>
      </c>
      <c r="AJ4" s="27" t="str">
        <f>IFERROR(__xludf.DUMMYFUNCTION("""COMPUTED_VALUE"""),"GetCashTransaction")</f>
        <v>GetCashTransaction</v>
      </c>
      <c r="AK4" s="27" t="str">
        <f>IFERROR(__xludf.DUMMYFUNCTION("""COMPUTED_VALUE"""),"SelectCashTransaction")</f>
        <v>SelectCashTransaction</v>
      </c>
      <c r="AL4" s="27" t="str">
        <f>IFERROR(__xludf.DUMMYFUNCTION("""COMPUTED_VALUE"""),"DeleteCashTransaction")</f>
        <v>DeleteCashTransaction</v>
      </c>
      <c r="AM4" s="27" t="str">
        <f>IFERROR(__xludf.DUMMYFUNCTION("""COMPUTED_VALUE"""),"EditCashTransaction")</f>
        <v>EditCashTransaction</v>
      </c>
      <c r="AN4" s="27" t="str">
        <f>IFERROR(__xludf.DUMMYFUNCTION("""COMPUTED_VALUE"""),"AddCashTransaction")</f>
        <v>AddCashTransaction</v>
      </c>
      <c r="AO4" s="27" t="str">
        <f>IFERROR(__xludf.DUMMYFUNCTION("""COMPUTED_VALUE"""),"AddOpeningBalanceTransaction")</f>
        <v>AddOpeningBalanceTransaction</v>
      </c>
      <c r="AP4" s="27" t="str">
        <f>IFERROR(__xludf.DUMMYFUNCTION("""COMPUTED_VALUE"""),"AddOpeningBalanceTranItem")</f>
        <v>AddOpeningBalanceTranItem</v>
      </c>
      <c r="AQ4" s="27" t="str">
        <f>IFERROR(__xludf.DUMMYFUNCTION("""COMPUTED_VALUE"""),"GetDailyCalculationsData")</f>
        <v>GetDailyCalculationsData</v>
      </c>
      <c r="AR4" s="27" t="str">
        <f>IFERROR(__xludf.DUMMYFUNCTION("""COMPUTED_VALUE"""),"CalculateDailyCalculations")</f>
        <v>CalculateDailyCalculations</v>
      </c>
      <c r="AS4" s="27" t="str">
        <f>IFERROR(__xludf.DUMMYFUNCTION("""COMPUTED_VALUE"""),"EditOpeningBalanceTransaction")</f>
        <v>EditOpeningBalanceTransaction</v>
      </c>
      <c r="AT4" s="27" t="str">
        <f>IFERROR(__xludf.DUMMYFUNCTION("""COMPUTED_VALUE"""),"EditOpeningBalanceTranItem")</f>
        <v>EditOpeningBalanceTranItem</v>
      </c>
      <c r="AU4" s="27" t="str">
        <f>IFERROR(__xludf.DUMMYFUNCTION("""COMPUTED_VALUE"""),"VerifyDailyCalTransactions")</f>
        <v>VerifyDailyCalTransactions</v>
      </c>
      <c r="AV4" s="27" t="str">
        <f>IFERROR(__xludf.DUMMYFUNCTION("""COMPUTED_VALUE"""),"CloseGeneralLedger")</f>
        <v>CloseGeneralLedger</v>
      </c>
      <c r="AW4" s="27" t="str">
        <f>IFERROR(__xludf.DUMMYFUNCTION("""COMPUTED_VALUE"""),"VerifyAccountDetails")</f>
        <v>VerifyAccountDetails</v>
      </c>
      <c r="AX4" s="27" t="str">
        <f>IFERROR(__xludf.DUMMYFUNCTION("""COMPUTED_VALUE"""),"SaveTransaction")</f>
        <v>SaveTransaction</v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IFERROR(__xludf.DUMMYFUNCTION("""COMPUTED_VALUE"""),"Activity Source")</f>
        <v>Activity Source</v>
      </c>
      <c r="D5" s="29" t="str">
        <f>IFERROR(__xludf.DUMMYFUNCTION("""COMPUTED_VALUE"""),"ActivityType")</f>
        <v>ActivityType</v>
      </c>
      <c r="E5" s="29" t="str">
        <f>IFERROR(__xludf.DUMMYFUNCTION("""COMPUTED_VALUE"""),"Net Amount(Local)")</f>
        <v>Net Amount(Local)</v>
      </c>
      <c r="F5" s="34" t="str">
        <f>IFERROR(__xludf.DUMMYFUNCTION("""COMPUTED_VALUE"""),"AUEC Fee1")</f>
        <v>AUEC Fee1</v>
      </c>
      <c r="G5" s="29" t="str">
        <f>IFERROR(__xludf.DUMMYFUNCTION("""COMPUTED_VALUE"""),"AUEC Fee2")</f>
        <v>AUEC Fee2</v>
      </c>
      <c r="H5" s="29" t="str">
        <f>IFERROR(__xludf.DUMMYFUNCTION("""COMPUTED_VALUE"""),"Balance Type")</f>
        <v>Balance Type</v>
      </c>
      <c r="I5" s="29" t="str">
        <f>IFERROR(__xludf.DUMMYFUNCTION("""COMPUTED_VALUE"""),"Clearing Broker Fees")</f>
        <v>Clearing Broker Fees</v>
      </c>
      <c r="J5" s="29" t="str">
        <f>IFERROR(__xludf.DUMMYFUNCTION("""COMPUTED_VALUE"""),"Commission")</f>
        <v>Commission</v>
      </c>
      <c r="K5" s="29" t="str">
        <f>IFERROR(__xludf.DUMMYFUNCTION("""COMPUTED_VALUE"""),"Currency")</f>
        <v>Currency</v>
      </c>
      <c r="L5" s="29" t="str">
        <f>IFERROR(__xludf.DUMMYFUNCTION("""COMPUTED_VALUE"""),"Description")</f>
        <v>Description</v>
      </c>
      <c r="M5" s="29" t="str">
        <f>IFERROR(__xludf.DUMMYFUNCTION("""COMPUTED_VALUE"""),"Entry Date")</f>
        <v>Entry Date</v>
      </c>
      <c r="N5" s="29" t="str">
        <f>IFERROR(__xludf.DUMMYFUNCTION("""COMPUTED_VALUE"""),"FX Conversion Method Operator")</f>
        <v>FX Conversion Method Operator</v>
      </c>
      <c r="O5" s="29" t="str">
        <f>IFERROR(__xludf.DUMMYFUNCTION("""COMPUTED_VALUE"""),"Fx Rate")</f>
        <v>Fx Rate</v>
      </c>
      <c r="P5" s="29" t="str">
        <f>IFERROR(__xludf.DUMMYFUNCTION("""COMPUTED_VALUE"""),"Lead Currency")</f>
        <v>Lead Currency</v>
      </c>
      <c r="Q5" s="29" t="str">
        <f>IFERROR(__xludf.DUMMYFUNCTION("""COMPUTED_VALUE"""),"Modify date")</f>
        <v>Modify date</v>
      </c>
      <c r="R5" s="29" t="str">
        <f>IFERROR(__xludf.DUMMYFUNCTION("""COMPUTED_VALUE"""),"OCC Fee")</f>
        <v>OCC Fee</v>
      </c>
      <c r="S5" s="29" t="str">
        <f>IFERROR(__xludf.DUMMYFUNCTION("""COMPUTED_VALUE"""),"OptionPremiumAdjustment")</f>
        <v>OptionPremiumAdjustment</v>
      </c>
      <c r="T5" s="30" t="str">
        <f>IFERROR(__xludf.DUMMYFUNCTION("""COMPUTED_VALUE"""),"ORF Fee")</f>
        <v>ORF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IFERROR(__xludf.DUMMYFUNCTION("""COMPUTED_VALUE"""),"Quantity")</f>
        <v>Quantity</v>
      </c>
      <c r="W5" s="30" t="str">
        <f>IFERROR(__xludf.DUMMYFUNCTION("""COMPUTED_VALUE"""),"SEC Fee")</f>
        <v>SEC Fee</v>
      </c>
      <c r="X5" s="30" t="str">
        <f>IFERROR(__xludf.DUMMYFUNCTION("""COMPUTED_VALUE"""),"Settlement Currency")</f>
        <v>Settlement Currency</v>
      </c>
      <c r="Y5" s="30" t="str">
        <f>IFERROR(__xludf.DUMMYFUNCTION("""COMPUTED_VALUE"""),"Settlement Date")</f>
        <v>Settlement Date</v>
      </c>
      <c r="Z5" s="30" t="str">
        <f>IFERROR(__xludf.DUMMYFUNCTION("""COMPUTED_VALUE"""),"Soft Commission")</f>
        <v>Soft Commission</v>
      </c>
      <c r="AA5" s="30" t="str">
        <f>IFERROR(__xludf.DUMMYFUNCTION("""COMPUTED_VALUE"""),"Stamp Duty")</f>
        <v>Stamp Duty</v>
      </c>
      <c r="AB5" s="30" t="str">
        <f>IFERROR(__xludf.DUMMYFUNCTION("""COMPUTED_VALUE"""),"Symbol")</f>
        <v>Symbol</v>
      </c>
      <c r="AC5" s="30" t="str">
        <f>IFERROR(__xludf.DUMMYFUNCTION("""COMPUTED_VALUE"""),"Tax On Commissions")</f>
        <v>Tax On Commissions</v>
      </c>
      <c r="AD5" s="30" t="str">
        <f>IFERROR(__xludf.DUMMYFUNCTION("""COMPUTED_VALUE"""),"Total Commissions")</f>
        <v>Total Commissions</v>
      </c>
      <c r="AE5" s="30" t="str">
        <f>IFERROR(__xludf.DUMMYFUNCTION("""COMPUTED_VALUE"""),"Trade Date")</f>
        <v>Trade Date</v>
      </c>
      <c r="AF5" s="30" t="str">
        <f>IFERROR(__xludf.DUMMYFUNCTION("""COMPUTED_VALUE"""),"Transaction Levy")</f>
        <v>Transaction Levy</v>
      </c>
      <c r="AG5" s="30" t="str">
        <f>IFERROR(__xludf.DUMMYFUNCTION("""COMPUTED_VALUE"""),"Transaction Source")</f>
        <v>Transaction Source</v>
      </c>
      <c r="AH5" s="30" t="str">
        <f>IFERROR(__xludf.DUMMYFUNCTION("""COMPUTED_VALUE"""),"User")</f>
        <v>User</v>
      </c>
      <c r="AI5" s="30" t="str">
        <f>IFERROR(__xludf.DUMMYFUNCTION("""COMPUTED_VALUE"""),"Vs Currency")</f>
        <v>Vs Currency</v>
      </c>
      <c r="AJ5" s="30" t="str">
        <f>IFERROR(__xludf.DUMMYFUNCTION("""COMPUTED_VALUE"""),"SettlCurrencyID")</f>
        <v>SettlCurrencyID</v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36"/>
      <c r="B6" s="37" t="s">
        <v>41</v>
      </c>
      <c r="C6" s="39"/>
      <c r="D6" s="37" t="s">
        <v>53</v>
      </c>
      <c r="E6" s="39"/>
      <c r="F6" s="39"/>
      <c r="G6" s="39"/>
      <c r="H6" s="39"/>
      <c r="I6" s="39"/>
      <c r="J6" s="39"/>
      <c r="K6" s="39" t="s">
        <v>54</v>
      </c>
      <c r="L6" s="39"/>
      <c r="M6" s="39"/>
      <c r="N6" s="39"/>
      <c r="O6" s="39"/>
      <c r="P6" s="39"/>
      <c r="Q6" s="39"/>
      <c r="R6" s="39"/>
      <c r="S6" s="39"/>
      <c r="T6" s="40"/>
      <c r="U6" s="40"/>
      <c r="V6" s="41">
        <v>100.0</v>
      </c>
      <c r="W6" s="40"/>
      <c r="X6" s="40"/>
      <c r="Y6" s="40"/>
      <c r="Z6" s="40"/>
      <c r="AA6" s="40"/>
      <c r="AB6" s="40" t="s">
        <v>16</v>
      </c>
      <c r="AC6" s="40"/>
      <c r="AD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 t="s">
        <v>42</v>
      </c>
      <c r="C7" s="40"/>
      <c r="D7" s="40" t="s">
        <v>53</v>
      </c>
      <c r="E7" s="40"/>
      <c r="F7" s="40"/>
      <c r="G7" s="40"/>
      <c r="H7" s="40"/>
      <c r="I7" s="40"/>
      <c r="J7" s="40"/>
      <c r="K7" s="40" t="s">
        <v>54</v>
      </c>
      <c r="L7" s="40"/>
      <c r="M7" s="40"/>
      <c r="N7" s="40"/>
      <c r="O7" s="40"/>
      <c r="P7" s="40"/>
      <c r="Q7" s="40"/>
      <c r="R7" s="40"/>
      <c r="S7" s="40"/>
      <c r="T7" s="40"/>
      <c r="U7" s="40"/>
      <c r="V7" s="41">
        <v>100.0</v>
      </c>
      <c r="W7" s="40"/>
      <c r="X7" s="40"/>
      <c r="Y7" s="40"/>
      <c r="Z7" s="40"/>
      <c r="AA7" s="40"/>
      <c r="AB7" s="40" t="s">
        <v>16</v>
      </c>
      <c r="AC7" s="40"/>
      <c r="AD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 t="s">
        <v>43</v>
      </c>
      <c r="C8" s="40"/>
      <c r="D8" s="40" t="s">
        <v>53</v>
      </c>
      <c r="E8" s="40"/>
      <c r="F8" s="40"/>
      <c r="G8" s="40"/>
      <c r="H8" s="40"/>
      <c r="I8" s="40"/>
      <c r="J8" s="40"/>
      <c r="K8" s="40" t="s">
        <v>54</v>
      </c>
      <c r="L8" s="40"/>
      <c r="M8" s="40"/>
      <c r="N8" s="40"/>
      <c r="O8" s="40"/>
      <c r="P8" s="40"/>
      <c r="Q8" s="40"/>
      <c r="R8" s="40"/>
      <c r="S8" s="40"/>
      <c r="T8" s="40"/>
      <c r="U8" s="40"/>
      <c r="V8" s="41">
        <v>200.0</v>
      </c>
      <c r="W8" s="40"/>
      <c r="X8" s="40"/>
      <c r="Y8" s="40"/>
      <c r="Z8" s="40"/>
      <c r="AA8" s="40"/>
      <c r="AB8" s="40" t="s">
        <v>16</v>
      </c>
      <c r="AC8" s="40"/>
      <c r="AD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 t="s">
        <v>41</v>
      </c>
      <c r="C9" s="40"/>
      <c r="D9" s="40" t="s">
        <v>53</v>
      </c>
      <c r="E9" s="40"/>
      <c r="F9" s="40"/>
      <c r="G9" s="40"/>
      <c r="H9" s="40"/>
      <c r="I9" s="40"/>
      <c r="J9" s="40"/>
      <c r="K9" s="40" t="s">
        <v>54</v>
      </c>
      <c r="L9" s="40"/>
      <c r="M9" s="40"/>
      <c r="N9" s="40"/>
      <c r="O9" s="40"/>
      <c r="P9" s="40"/>
      <c r="Q9" s="40"/>
      <c r="R9" s="40"/>
      <c r="S9" s="40"/>
      <c r="T9" s="40"/>
      <c r="U9" s="40"/>
      <c r="V9" s="41">
        <v>100.0</v>
      </c>
      <c r="W9" s="40"/>
      <c r="X9" s="40"/>
      <c r="Y9" s="40"/>
      <c r="Z9" s="40"/>
      <c r="AA9" s="40"/>
      <c r="AB9" s="40" t="s">
        <v>20</v>
      </c>
      <c r="AC9" s="40"/>
      <c r="AD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0"/>
      <c r="B10" s="40" t="s">
        <v>42</v>
      </c>
      <c r="C10" s="40"/>
      <c r="D10" s="40" t="s">
        <v>53</v>
      </c>
      <c r="E10" s="40"/>
      <c r="F10" s="40"/>
      <c r="G10" s="40"/>
      <c r="H10" s="40"/>
      <c r="I10" s="40"/>
      <c r="J10" s="40"/>
      <c r="K10" s="40" t="s">
        <v>54</v>
      </c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1">
        <v>300.0</v>
      </c>
      <c r="W10" s="40"/>
      <c r="X10" s="40"/>
      <c r="Y10" s="40"/>
      <c r="Z10" s="40"/>
      <c r="AA10" s="40"/>
      <c r="AB10" s="40" t="s">
        <v>20</v>
      </c>
      <c r="AC10" s="40"/>
      <c r="AD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40"/>
      <c r="B11" s="40" t="s">
        <v>24</v>
      </c>
      <c r="C11" s="40"/>
      <c r="D11" s="40" t="s">
        <v>53</v>
      </c>
      <c r="E11" s="40"/>
      <c r="F11" s="40"/>
      <c r="G11" s="40"/>
      <c r="H11" s="40"/>
      <c r="I11" s="40"/>
      <c r="J11" s="40"/>
      <c r="K11" s="40" t="s">
        <v>54</v>
      </c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1">
        <v>400.0</v>
      </c>
      <c r="W11" s="40"/>
      <c r="X11" s="40"/>
      <c r="Y11" s="40"/>
      <c r="Z11" s="40"/>
      <c r="AA11" s="40"/>
      <c r="AB11" s="40" t="s">
        <v>23</v>
      </c>
      <c r="AC11" s="40"/>
      <c r="AD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>
      <c r="A12" s="40"/>
      <c r="B12" s="40" t="s">
        <v>41</v>
      </c>
      <c r="C12" s="40"/>
      <c r="D12" s="40" t="s">
        <v>53</v>
      </c>
      <c r="E12" s="40"/>
      <c r="F12" s="40"/>
      <c r="G12" s="40"/>
      <c r="H12" s="40"/>
      <c r="I12" s="40"/>
      <c r="J12" s="40"/>
      <c r="K12" s="40" t="s">
        <v>54</v>
      </c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1">
        <v>25.0</v>
      </c>
      <c r="W12" s="40"/>
      <c r="X12" s="40"/>
      <c r="Y12" s="40"/>
      <c r="Z12" s="40"/>
      <c r="AA12" s="40"/>
      <c r="AB12" s="40" t="s">
        <v>16</v>
      </c>
      <c r="AC12" s="40"/>
      <c r="AD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</row>
    <row r="13" ht="15.75" customHeight="1">
      <c r="A13" s="40"/>
      <c r="B13" s="40" t="s">
        <v>42</v>
      </c>
      <c r="C13" s="40"/>
      <c r="D13" s="40" t="s">
        <v>53</v>
      </c>
      <c r="E13" s="40"/>
      <c r="F13" s="40"/>
      <c r="G13" s="40"/>
      <c r="H13" s="40"/>
      <c r="I13" s="40"/>
      <c r="J13" s="40"/>
      <c r="K13" s="40" t="s">
        <v>54</v>
      </c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1">
        <v>25.0</v>
      </c>
      <c r="W13" s="40"/>
      <c r="X13" s="40"/>
      <c r="Y13" s="40"/>
      <c r="Z13" s="40"/>
      <c r="AA13" s="40"/>
      <c r="AB13" s="40" t="s">
        <v>16</v>
      </c>
      <c r="AC13" s="40"/>
      <c r="AD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</row>
    <row r="14" ht="15.75" customHeight="1">
      <c r="A14" s="40"/>
      <c r="B14" s="40" t="s">
        <v>43</v>
      </c>
      <c r="C14" s="40"/>
      <c r="D14" s="40" t="s">
        <v>53</v>
      </c>
      <c r="E14" s="40"/>
      <c r="F14" s="40"/>
      <c r="G14" s="40"/>
      <c r="H14" s="40"/>
      <c r="I14" s="40"/>
      <c r="J14" s="40"/>
      <c r="K14" s="40" t="s">
        <v>54</v>
      </c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1">
        <v>50.0</v>
      </c>
      <c r="W14" s="40"/>
      <c r="X14" s="40"/>
      <c r="Y14" s="40"/>
      <c r="Z14" s="40"/>
      <c r="AA14" s="40"/>
      <c r="AB14" s="40" t="s">
        <v>16</v>
      </c>
      <c r="AC14" s="40"/>
      <c r="AD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</row>
    <row r="15" ht="15.75" customHeight="1">
      <c r="A15" s="40"/>
      <c r="B15" s="43" t="s">
        <v>24</v>
      </c>
      <c r="C15" s="40"/>
      <c r="D15" s="43" t="s">
        <v>53</v>
      </c>
      <c r="E15" s="40"/>
      <c r="F15" s="40"/>
      <c r="G15" s="40"/>
      <c r="H15" s="40"/>
      <c r="I15" s="40"/>
      <c r="J15" s="40"/>
      <c r="K15" s="43" t="s">
        <v>54</v>
      </c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3">
        <v>400.0</v>
      </c>
      <c r="W15" s="40"/>
      <c r="X15" s="40"/>
      <c r="Y15" s="40"/>
      <c r="Z15" s="40"/>
      <c r="AA15" s="40"/>
      <c r="AB15" s="43" t="s">
        <v>23</v>
      </c>
      <c r="AC15" s="40"/>
      <c r="AD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</row>
    <row r="16" ht="15.75" customHeight="1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8" t="s">
        <v>6</v>
      </c>
      <c r="C3" s="23" t="s">
        <v>38</v>
      </c>
      <c r="D3" s="8" t="s">
        <v>8</v>
      </c>
      <c r="E3" s="23" t="s">
        <v>55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6" t="str">
        <f>IFERROR(__xludf.DUMMYFUNCTION("""COMPUTED_VALUE"""),"GetDataClosing")</f>
        <v>GetDataClosing</v>
      </c>
      <c r="D4" s="26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6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7" t="str">
        <f>IFERROR(__xludf.DUMMYFUNCTION("""COMPUTED_VALUE"""),"ExerciseAssignment")</f>
        <v>ExerciseAssignment</v>
      </c>
      <c r="Q4" s="27" t="str">
        <f>IFERROR(__xludf.DUMMYFUNCTION("""COMPUTED_VALUE"""),"ExerciseAssignmentAtZero")</f>
        <v>ExerciseAssignmentAtZero</v>
      </c>
      <c r="R4" s="27" t="str">
        <f>IFERROR(__xludf.DUMMYFUNCTION("""COMPUTED_VALUE"""),"SwapExpireAndRollover")</f>
        <v>SwapExpireAndRollover</v>
      </c>
      <c r="S4" s="27" t="str">
        <f>IFERROR(__xludf.DUMMYFUNCTION("""COMPUTED_VALUE"""),"SwapExpire")</f>
        <v>SwapExpire</v>
      </c>
      <c r="T4" s="27" t="str">
        <f>IFERROR(__xludf.DUMMYFUNCTION("""COMPUTED_VALUE"""),"VerifyExpiredSettledGrid")</f>
        <v>VerifyExpiredSettledGrid</v>
      </c>
      <c r="U4" s="27" t="str">
        <f>IFERROR(__xludf.DUMMYFUNCTION("""COMPUTED_VALUE"""),"VerifyUnExpiredUnSettledGrid")</f>
        <v>VerifyUnExpiredUnSettledGrid</v>
      </c>
      <c r="V4" s="27" t="str">
        <f>IFERROR(__xludf.DUMMYFUNCTION("""COMPUTED_VALUE"""),"UnWindTradeSettlement")</f>
        <v>UnWindTradeSettlement</v>
      </c>
      <c r="W4" s="27" t="str">
        <f>IFERROR(__xludf.DUMMYFUNCTION("""COMPUTED_VALUE"""),"CloseOrder")</f>
        <v>CloseOrder</v>
      </c>
      <c r="X4" s="27" t="str">
        <f>IFERROR(__xludf.DUMMYFUNCTION("""COMPUTED_VALUE"""),"VerifyCloseOrder")</f>
        <v>VerifyCloseOrder</v>
      </c>
      <c r="Y4" s="27" t="str">
        <f>IFERROR(__xludf.DUMMYFUNCTION("""COMPUTED_VALUE"""),"UnWindCloseOrder")</f>
        <v>UnWindCloseOrder</v>
      </c>
      <c r="Z4" s="27" t="str">
        <f>IFERROR(__xludf.DUMMYFUNCTION("""COMPUTED_VALUE"""),"ClosingCleanUp")</f>
        <v>ClosingCleanUp</v>
      </c>
      <c r="AA4" s="27" t="str">
        <f>IFERROR(__xludf.DUMMYFUNCTION("""COMPUTED_VALUE"""),"CloseClosingUI")</f>
        <v>CloseClosingUI</v>
      </c>
      <c r="AB4" s="27" t="str">
        <f>IFERROR(__xludf.DUMMYFUNCTION("""COMPUTED_VALUE"""),"SetClosingPreference")</f>
        <v>SetClosingPreference</v>
      </c>
      <c r="AC4" s="27" t="str">
        <f>IFERROR(__xludf.DUMMYFUNCTION("""COMPUTED_VALUE"""),"EditTradeUnexpiredUnsettled")</f>
        <v>EditTradeUnexpiredUnsettled</v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IFERROR(__xludf.DUMMYFUNCTION("""COMPUTED_VALUE"""),"Asset Class")</f>
        <v>Asset Class</v>
      </c>
      <c r="D5" s="29" t="str">
        <f>IFERROR(__xludf.DUMMYFUNCTION("""COMPUTED_VALUE"""),"AUECID")</f>
        <v>AUECID</v>
      </c>
      <c r="E5" s="29" t="str">
        <f>IFERROR(__xludf.DUMMYFUNCTION("""COMPUTED_VALUE"""),"ExternalTransId")</f>
        <v>ExternalTransId</v>
      </c>
      <c r="F5" s="34" t="str">
        <f>IFERROR(__xludf.DUMMYFUNCTION("""COMPUTED_VALUE"""),"IsSwapped")</f>
        <v>IsSwapped</v>
      </c>
      <c r="G5" s="29" t="str">
        <f>IFERROR(__xludf.DUMMYFUNCTION("""COMPUTED_VALUE"""),"LotId")</f>
        <v>LotId</v>
      </c>
      <c r="H5" s="29" t="str">
        <f>IFERROR(__xludf.DUMMYFUNCTION("""COMPUTED_VALUE"""),"Net Notional")</f>
        <v>Net Notional</v>
      </c>
      <c r="I5" s="29" t="str">
        <f>IFERROR(__xludf.DUMMYFUNCTION("""COMPUTED_VALUE"""),"Opening Price")</f>
        <v>Opening Price</v>
      </c>
      <c r="J5" s="29" t="str">
        <f>IFERROR(__xludf.DUMMYFUNCTION("""COMPUTED_VALUE"""),"Original Purchase Date")</f>
        <v>Original Purchase Date</v>
      </c>
      <c r="K5" s="29" t="str">
        <f>IFERROR(__xludf.DUMMYFUNCTION("""COMPUTED_VALUE"""),"PositionTag")</f>
        <v>PositionTag</v>
      </c>
      <c r="L5" s="29" t="str">
        <f>IFERROR(__xludf.DUMMYFUNCTION("""COMPUTED_VALUE"""),"Process Date")</f>
        <v>Process Date</v>
      </c>
      <c r="M5" s="29" t="str">
        <f>IFERROR(__xludf.DUMMYFUNCTION("""COMPUTED_VALUE"""),"Quantity")</f>
        <v>Quantity</v>
      </c>
      <c r="N5" s="29" t="str">
        <f>IFERROR(__xludf.DUMMYFUNCTION("""COMPUTED_VALUE"""),"Security Name")</f>
        <v>Security Name</v>
      </c>
      <c r="O5" s="29" t="str">
        <f>IFERROR(__xludf.DUMMYFUNCTION("""COMPUTED_VALUE"""),"Settlement Currency")</f>
        <v>Settlement Currency</v>
      </c>
      <c r="P5" s="29" t="str">
        <f>IFERROR(__xludf.DUMMYFUNCTION("""COMPUTED_VALUE"""),"Side")</f>
        <v>Side</v>
      </c>
      <c r="Q5" s="29" t="str">
        <f>IFERROR(__xludf.DUMMYFUNCTION("""COMPUTED_VALUE"""),"Strategy")</f>
        <v>Strategy</v>
      </c>
      <c r="R5" s="29" t="str">
        <f>IFERROR(__xludf.DUMMYFUNCTION("""COMPUTED_VALUE"""),"Symbol")</f>
        <v>Symbol</v>
      </c>
      <c r="S5" s="29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0"/>
      <c r="B6" s="10" t="s">
        <v>24</v>
      </c>
      <c r="C6" s="7"/>
      <c r="D6" s="10"/>
      <c r="E6" s="35"/>
      <c r="F6" s="7"/>
      <c r="G6" s="7"/>
      <c r="H6" s="7"/>
      <c r="I6" s="10">
        <v>1.0</v>
      </c>
      <c r="J6" s="7"/>
      <c r="K6" s="7"/>
      <c r="L6" s="7"/>
      <c r="M6" s="10">
        <v>400.0</v>
      </c>
      <c r="N6" s="7"/>
      <c r="O6" s="7"/>
      <c r="P6" s="31" t="s">
        <v>26</v>
      </c>
      <c r="R6" s="31" t="s">
        <v>23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1lI4loUxqzsE3IjuxIjsVY3cB4J_eTKFPPDuXngut4FE</v>
      </c>
      <c r="K2" s="21"/>
      <c r="L2" s="7"/>
      <c r="M2" s="7"/>
      <c r="N2" s="7"/>
      <c r="O2" s="7"/>
    </row>
    <row r="3" ht="15.75" customHeight="1">
      <c r="A3" s="22"/>
      <c r="B3" s="8" t="s">
        <v>6</v>
      </c>
      <c r="C3" s="23" t="s">
        <v>29</v>
      </c>
      <c r="D3" s="8" t="s">
        <v>8</v>
      </c>
      <c r="E3" s="23" t="s">
        <v>56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IFERROR(__xludf.DUMMYFUNCTION("""COMPUTED_VALUE"""),"ValidateCheckSide")</f>
        <v>ValidateCheckSide</v>
      </c>
      <c r="C5" s="29" t="str">
        <f>IFERROR(__xludf.DUMMYFUNCTION("""COMPUTED_VALUE"""),"DisabledChecksideAssets")</f>
        <v>DisabledChecksideAssets</v>
      </c>
      <c r="D5" s="29" t="str">
        <f>IFERROR(__xludf.DUMMYFUNCTION("""COMPUTED_VALUE"""),"PrecisionValue")</f>
        <v>PrecisionValue</v>
      </c>
      <c r="E5" s="29" t="str">
        <f>IFERROR(__xludf.DUMMYFUNCTION("""COMPUTED_VALUE"""),"UseCommissionInNetAmount")</f>
        <v>UseCommissionInNetAmount</v>
      </c>
      <c r="F5" s="34" t="str">
        <f>IFERROR(__xludf.DUMMYFUNCTION("""COMPUTED_VALUE"""),"SaveWithoutState")</f>
        <v>SaveWithoutState</v>
      </c>
      <c r="G5" s="29" t="str">
        <f>IFERROR(__xludf.DUMMYFUNCTION("""COMPUTED_VALUE"""),"SaveWithState")</f>
        <v>SaveWithState</v>
      </c>
      <c r="H5" s="29" t="str">
        <f>IFERROR(__xludf.DUMMYFUNCTION("""COMPUTED_VALUE"""),"ClearQuantities")</f>
        <v>ClearQuantities</v>
      </c>
      <c r="I5" s="29" t="str">
        <f>IFERROR(__xludf.DUMMYFUNCTION("""COMPUTED_VALUE"""),"ReapplyAllocation")</f>
        <v>ReapplyAllocation</v>
      </c>
      <c r="J5" s="29" t="str">
        <f>IFERROR(__xludf.DUMMYFUNCTION("""COMPUTED_VALUE"""),"DefaultAllocation")</f>
        <v>DefaultAllocation</v>
      </c>
      <c r="K5" s="29" t="str">
        <f>IFERROR(__xludf.DUMMYFUNCTION("""COMPUTED_VALUE"""),"IsCustomPreference")</f>
        <v>IsCustomPreference</v>
      </c>
      <c r="L5" s="29" t="str">
        <f>IFERROR(__xludf.DUMMYFUNCTION("""COMPUTED_VALUE"""),"AllocationMethod")</f>
        <v>AllocationMethod</v>
      </c>
      <c r="M5" s="29" t="str">
        <f>IFERROR(__xludf.DUMMYFUNCTION("""COMPUTED_VALUE"""),"RemainderAllocationTo")</f>
        <v>RemainderAllocationTo</v>
      </c>
      <c r="N5" s="29" t="str">
        <f>IFERROR(__xludf.DUMMYFUNCTION("""COMPUTED_VALUE"""),"Target%AsOf")</f>
        <v>Target%AsOf</v>
      </c>
      <c r="O5" s="29" t="str">
        <f>IFERROR(__xludf.DUMMYFUNCTION("""COMPUTED_VALUE"""),"ProrataAccounts")</f>
        <v>ProrataAccounts</v>
      </c>
      <c r="P5" s="29" t="str">
        <f>IFERROR(__xludf.DUMMYFUNCTION("""COMPUTED_VALUE"""),"DateUptoDays")</f>
        <v>DateUptoDays</v>
      </c>
      <c r="Q5" s="29" t="str">
        <f>IFERROR(__xludf.DUMMYFUNCTION("""COMPUTED_VALUE"""),"MatchClosing")</f>
        <v>MatchClosing</v>
      </c>
      <c r="R5" s="29" t="str">
        <f>IFERROR(__xludf.DUMMYFUNCTION("""COMPUTED_VALUE"""),"CommissionAlertOnBrokerChange")</f>
        <v>CommissionAlertOnBrokerChange</v>
      </c>
      <c r="S5" s="29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0"/>
      <c r="B6" s="10" t="b">
        <v>1</v>
      </c>
      <c r="C6" s="7"/>
      <c r="D6" s="10"/>
      <c r="E6" s="35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