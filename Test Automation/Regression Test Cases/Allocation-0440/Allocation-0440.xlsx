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spreadsheetml.sharedStrings+xml" PartName="/xl/sharedStrings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CreateStageOrder" sheetId="4" r:id="rId6"/>
    <sheet name="MultiTradingTicketFromBlotter" sheetId="5" r:id="rId7"/>
    <sheet name="DoneAwayUsingMTT" sheetId="6" r:id="rId8"/>
    <sheet name="GetDataAllocation" sheetId="7" r:id="rId9"/>
    <sheet name="CheckUnallocatedGroups" sheetId="8" r:id="rId10"/>
    <sheet name="LoginClient" sheetId="9" r:id="rId11"/>
    <sheet name="GetDataAllocation1" sheetId="10" r:id="rId12"/>
    <sheet name="CheckUnallocatedGroups1" sheetId="11" r:id="rId13"/>
  </sheets>
  <calcPr fullCalcOnLoad="1"/>
</workbook>
</file>

<file path=xl/sharedStrings.xml><?xml version="1.0" encoding="utf-8"?>
<sst xmlns="http://schemas.openxmlformats.org/spreadsheetml/2006/main" count="34" uniqueCount="34">
  <si>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</si>
  <si>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</si>
  <si>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</si>
  <si>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</si>
  <si>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</si>
  <si>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</si>
  <si>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</si>
  <si>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</si>
  <si>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</si>
  <si>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</si>
  <si>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</si>
  <si>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</si>
  <si>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</si>
  <si>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</si>
  <si>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</si>
  <si>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</si>
  <si>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</si>
  <si>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</si>
  <si>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Unallocated</t>
  </si>
  <si>
    <t>GCCAP1</t>
  </si>
  <si>
    <t>MSFT</t>
  </si>
  <si>
    <t>Blotter</t>
  </si>
  <si>
    <t>MultiTradingTicketFromBlotter</t>
  </si>
  <si>
    <t>New</t>
  </si>
  <si>
    <t>MultiTradingTicket</t>
  </si>
  <si>
    <t>DoneAwayUsingMTT</t>
  </si>
  <si>
    <t>Allocation</t>
  </si>
  <si>
    <t>GetDataAllocation</t>
  </si>
  <si>
    <t>Current</t>
  </si>
  <si>
    <t>CheckUnallocatedGroups</t>
  </si>
  <si>
    <t>PranaClient</t>
  </si>
  <si>
    <t>LoginClient</t>
  </si>
  <si>
    <t>Support3</t>
  </si>
  <si>
    <t>Nirvana@1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</si>
</sst>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sz val="10"/>
      <color theme="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fontId="0" fillId="0" borderId="0"/>
  </cellStyleXfs>
  <cellXfs count="41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7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8" applyFont="1" fillId="3" applyFill="1" borderId="4" applyBorder="1" xfId="0"/>
    <xf fontId="1" applyFont="1" fillId="2" applyFill="1" borderId="1" applyBorder="1" xfId="0">
      <alignment horizontal="center"/>
    </xf>
    <xf fontId="9" applyFont="1" fillId="3" applyFill="1" borderId="4" applyBorder="1" xfId="0"/>
    <xf fontId="9" applyFont="1" fillId="3" applyFill="1" borderId="4" applyBorder="1" xfId="0"/>
    <xf fontId="10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8" applyFont="1" fillId="0" applyFill="1" borderId="0" applyBorder="1" xfId="0"/>
    <xf fontId="4" applyFont="1" fillId="3" applyFill="1" borderId="0" applyBorder="1" xfId="0"/>
    <xf fontId="8" applyFont="1" fillId="3" applyFill="1" borderId="4" applyBorder="1" xfId="0"/>
    <xf fontId="11" applyFont="1" fillId="3" applyFill="1" borderId="0" applyBorder="1" xfId="0"/>
    <xf fontId="12" applyFont="1" fillId="4" applyFill="1" borderId="0" applyBorder="1" xfId="0"/>
    <xf fontId="13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1" applyFont="1" fillId="5" applyFill="1" borderId="0" applyBorder="1" xfId="0"/>
    <xf fontId="3" applyFont="1" fillId="0" applyFill="1" borderId="0" applyBorder="1" xfId="0"/>
    <xf fontId="3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3" applyFont="1" fillId="0" applyFill="1" borderId="0" applyBorder="1" xfId="0"/>
    <xf fontId="5" applyFont="1" fillId="0" applyFill="1" borderId="0" applyBorder="1" xfId="0"/>
    <xf fontId="3" applyFont="1" fillId="0" applyFill="1" borderId="0" applyBorder="1" xfId="0">
      <alignment horizontal="right"/>
    </xf>
    <xf fontId="14" applyFont="1" fillId="0" applyFill="1" borderId="0" applyBorder="1" xfId="0">
      <alignment horizontal="right"/>
    </xf>
    <xf fontId="14" applyFont="1" fillId="0" applyFill="1" borderId="0" applyBorder="1" xfId="0"/>
    <xf fontId="5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14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3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6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IFERROR(__xludf.DUMMYFUNCTION("""COMPUTED_VALUE"""),"1nGpwtxrIFtmReUhGpIilT0MevcyxkX19n4HnGhdnzYE")</f>
        <v>1nGpwtxrIFtmReUhGpIilT0MevcyxkX19n4HnGhdnzYE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IFERROR(__xludf.DUMMYFUNCTION("""COMPUTED_VALUE"""),"1Kg0g4qJialeFYzLCU4TTV0I5NyaTDDmAlGxn3x6T-ok")</f>
        <v>1Kg0g4qJialeFYzLCU4TTV0I5NyaTDDmAlGxn3x6T-ok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IFERROR(__xludf.DUMMYFUNCTION("""COMPUTED_VALUE"""),"1_Go4Nh_j8RGdlKm_DDwyvOgfOr3AwhBuVa9rA-AUAOw")</f>
        <v>1_Go4Nh_j8RGdlKm_DDwyvOgfOr3AwhBuVa9rA-AUAOw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IFERROR(__xludf.DUMMYFUNCTION("""COMPUTED_VALUE"""),"1054Dp-OxM1p-rZnzzSqh-SqQkpD8Z_OWXg3CfFdqy7M")</f>
        <v>1054Dp-OxM1p-rZnzzSqh-SqQkpD8Z_OWXg3CfFdqy7M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IFERROR(__xludf.DUMMYFUNCTION("""COMPUTED_VALUE"""),"1uWQj54UjFWhgsLL9n5pavuSkyyDXc2Vcn7SoBgryi3o")</f>
        <v>1uWQj54UjFWhgsLL9n5pavuSkyyDXc2Vcn7SoBgryi3o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IFERROR(__xludf.DUMMYFUNCTION("""COMPUTED_VALUE"""),"1QaI6E-t-jX8GKJ5JGoQ4u9mtVMyU1Cn0CKimTSyR5q4")</f>
        <v>1QaI6E-t-jX8GKJ5JGoQ4u9mtVMyU1Cn0CKimTSyR5q4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IFERROR(__xludf.DUMMYFUNCTION("""COMPUTED_VALUE"""),"11J2CyS04tBp4uY6TcAPw3JIrDRfa-LbGSO4t2uHxwps")</f>
        <v>11J2CyS04tBp4uY6TcAPw3JIrDRfa-LbGSO4t2uHxwps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IFERROR(__xludf.DUMMYFUNCTION("""COMPUTED_VALUE"""),"1M_vWwbJmnVHSZCn_aXTbhje_gX1wR7qPtpIVUwfXXEI")</f>
        <v>1M_vWwbJmnVHSZCn_aXTbhje_gX1wR7qPtpIVUwfXXEI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IFERROR(__xludf.DUMMYFUNCTION("""COMPUTED_VALUE"""),"1vFZ64ryr2VFLcElyXorjcKwwOhZ8tjDhryLIAHy27bE")</f>
        <v>1vFZ64ryr2VFLcElyXorjcKwwOhZ8tjDhryLIAHy27bE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IFERROR(__xludf.DUMMYFUNCTION("""COMPUTED_VALUE"""),"1L3gN238YfNhME2oXANYOxsDqCsLD4ZEHIlA5Jsb6m6c")</f>
        <v>1L3gN238YfNhME2oXANYOxsDqCsLD4ZEHIlA5Jsb6m6c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IFERROR(__xludf.DUMMYFUNCTION("""COMPUTED_VALUE"""),"1pKHneTUFUr5WXMe4F-VBAmct-wXnePCUdmBXuOqeVuw")</f>
        <v>1pKHneTUFUr5WXMe4F-VBAmct-wXnePCUdmBXuOqeVuw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IFERROR(__xludf.DUMMYFUNCTION("""COMPUTED_VALUE"""),"1WzU1RiZXL_7t6r0dcR0WnXz71am7fUsr-wU3kjWCtaE")</f>
        <v>1WzU1RiZXL_7t6r0dcR0WnXz71am7fUsr-wU3kjWCtaE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IFERROR(__xludf.DUMMYFUNCTION("""COMPUTED_VALUE"""),"1RIHUYWPMKXGpnAsp4Jz6Em30T64FYyR5TIgIkrla3yU")</f>
        <v>1RIHUYWPMKXGpnAsp4Jz6Em30T64FYyR5TIgIkrla3yU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IFERROR(__xludf.DUMMYFUNCTION("""COMPUTED_VALUE"""),"1Q3CvcJTXAvTE2mBIvHOTKjxVj65x69-r_2DX4vvEdI8")</f>
        <v>1Q3CvcJTXAvTE2mBIvHOTKjxVj65x69-r_2DX4vvEdI8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IFERROR(__xludf.DUMMYFUNCTION("""COMPUTED_VALUE"""),"1wNuNwZOJqtA-8mRJL9Ia6-naXg3bSmEyC3qYtF3Zb6k")</f>
        <v>1wNuNwZOJqtA-8mRJL9Ia6-naXg3bSmEyC3qYtF3Zb6k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IFERROR(__xludf.DUMMYFUNCTION("""COMPUTED_VALUE"""),"1v2TwlXYUVTAW9403xEXtZUKOP9DAhnmCSHAEgc6AVaI")</f>
        <v>1v2TwlXYUVTAW9403xEXtZUKOP9DAhnmCSHAEgc6AVaI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IFERROR(__xludf.DUMMYFUNCTION("""COMPUTED_VALUE"""),"1N-zYKtF75gyqLL5P02km4hZ7Jkr0uNE2IK0AoWpxdB4")</f>
        <v>1N-zYKtF75gyqLL5P02km4hZ7Jkr0uNE2IK0AoWpxdB4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IFERROR(__xludf.DUMMYFUNCTION("""COMPUTED_VALUE"""),"1USUFnv2khq0UbjkrPU_zQJSuYXrvmItX38YEDm8i76M")</f>
        <v>1USUFnv2khq0UbjkrPU_zQJSuYXrvmItX38YEDm8i76M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IFERROR(__xludf.DUMMYFUNCTION("""COMPUTED_VALUE"""),"1yQCR9Blg-BWAFR5rejoQ3Xot5kTqa1YSrepP8yRI0no")</f>
        <v>1yQCR9Blg-BWAFR5rejoQ3Xot5kTqa1YSrepP8yRI0no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IFERROR(__xludf.DUMMYFUNCTION("""COMPUTED_VALUE"""),"1xR2U77hDGoYiG9UJiadlkCtex4CRP3XdEHpNVb6-_DU")</f>
        <v>1xR2U77hDGoYiG9UJiadlkCtex4CRP3XdEHpNVb6-_DU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IFERROR(__xludf.DUMMYFUNCTION("""COMPUTED_VALUE"""),"1H1EToJE2qBCDCNT5pO7WcuJ0iHV1kDkWlUcEtahS-t0")</f>
        <v>1H1EToJE2qBCDCNT5pO7WcuJ0iHV1kDkWlUcEtahS-t0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IFERROR(__xludf.DUMMYFUNCTION("""COMPUTED_VALUE"""),"1Yd3RGZzNaXytrUWlc8Ri6Dz4jB5W5r3-aLLpT8fi0WQ")</f>
        <v>1Yd3RGZzNaXytrUWlc8Ri6Dz4jB5W5r3-aLLpT8fi0WQ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IFERROR(__xludf.DUMMYFUNCTION("""COMPUTED_VALUE"""),"1NdBqiHIw-u9pqZMPVlcNKatJPe7upqebG7W2y5rMqzE")</f>
        <v>1NdBqiHIw-u9pqZMPVlcNKatJPe7upqebG7W2y5rMqzE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IFERROR(__xludf.DUMMYFUNCTION("""COMPUTED_VALUE"""),"1_lJmD986KGGdVst_lNkOtnFwiUJJsqL0-r0ZnsgbBOY")</f>
        <v>1_lJmD986KGGdVst_lNkOtnFwiUJJsqL0-r0ZnsgbBOY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IFERROR(__xludf.DUMMYFUNCTION("""COMPUTED_VALUE"""),"1pMOWszVmrlGDHYTadcb5_EUVP8T4vk6pLOP4_kFCagw")</f>
        <v>1pMOWszVmrlGDHYTadcb5_EUVP8T4vk6pLOP4_kFCagw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IFERROR(__xludf.DUMMYFUNCTION("""COMPUTED_VALUE"""),"1QLeyqVSjQtcuPzU9zlGJg_H8l4QWFjACqX99YM-g82I")</f>
        <v>1QLeyqVSjQtcuPzU9zlGJg_H8l4QWFjACqX99YM-g82I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IFERROR(__xludf.DUMMYFUNCTION("""COMPUTED_VALUE"""),"1gdeUgF-J2HwokdWex9YmjHD4Ccg50-NZB7E8YkmPtOo")</f>
        <v>1gdeUgF-J2HwokdWex9YmjHD4Ccg50-NZB7E8YkmPtOo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IFERROR(__xludf.DUMMYFUNCTION("""COMPUTED_VALUE"""),"1Zu2Bi3EmtHPhjLwCDeJ29XaN2qT3Qxabh7bCJWu7PTI")</f>
        <v>1Zu2Bi3EmtHPhjLwCDeJ29XaN2qT3Qxabh7bCJWu7PTI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IFERROR(__xludf.DUMMYFUNCTION("""COMPUTED_VALUE"""),"1ODsvxjkKKhh0dGDsE_DQyuSMdpx2X9J4089o-Dt1a9A")</f>
        <v>1ODsvxjkKKhh0dGDsE_DQyuSMdpx2X9J4089o-Dt1a9A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IFERROR(__xludf.DUMMYFUNCTION("""COMPUTED_VALUE"""),"1faXJF5y2ZVHmLsgikwmvDB-Jtq_rGbNG6zlAUDzRBtA")</f>
        <v>1faXJF5y2ZVHmLsgikwmvDB-Jtq_rGbNG6zlAUDzRBtA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IFERROR(__xludf.DUMMYFUNCTION("""COMPUTED_VALUE"""),"1llt7_DP_NqeceNLLJIKbcJarV5Lqj6ALOHCKOuJmGjk")</f>
        <v>1llt7_DP_NqeceNLLJIKbcJarV5Lqj6ALOHCKOuJmGjk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IFERROR(__xludf.DUMMYFUNCTION("""COMPUTED_VALUE"""),"1fNu6gI_y_85KD4O0jSI66dgRQwcPPJheWBdLlHvTGFg")</f>
        <v>1fNu6gI_y_85KD4O0jSI66dgRQwcPPJheWBdLlHvTGFg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IFERROR(__xludf.DUMMYFUNCTION("""COMPUTED_VALUE"""),"1YxoMrdMTEXgWpPXHs7vTOHT3Df0ifrbC19UEqshVQfI")</f>
        <v>1YxoMrdMTEXgWpPXHs7vTOHT3Df0ifrbC19UEqshVQfI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IFERROR(__xludf.DUMMYFUNCTION("""COMPUTED_VALUE"""),"1l2YY8Mzn32EgaMbMJhhzT2XMWHmURG-s0Zu8Olt_3fU")</f>
        <v>1l2YY8Mzn32EgaMbMJhhzT2XMWHmURG-s0Zu8Olt_3fU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IFERROR(__xludf.DUMMYFUNCTION("""COMPUTED_VALUE"""),"12vKN0G7oN8cWEJ4AlpsbQhg1ZjcvZZ4xGj4U--I5G90")</f>
        <v>12vKN0G7oN8cWEJ4AlpsbQhg1ZjcvZZ4xGj4U--I5G90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IFERROR(__xludf.DUMMYFUNCTION("""COMPUTED_VALUE"""),"1kAt3Mgmw5tT6toTdnsGHKVMKAVf3hEh5XynY25StseE")</f>
        <v>1kAt3Mgmw5tT6toTdnsGHKVMKAVf3hEh5XynY25StseE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IFERROR(__xludf.DUMMYFUNCTION("""COMPUTED_VALUE"""),"16DnLu_yRMpQd_JaFe_TkLYqrruNMkt7YlE7TbZhNq1k")</f>
        <v>16DnLu_yRMpQd_JaFe_TkLYqrruNMkt7YlE7TbZhNq1k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IFERROR(__xludf.DUMMYFUNCTION("""COMPUTED_VALUE"""),"10JstdZ0oAMKlf3YcIFD3LEy3lSUVJZ88BP-uXbM_37M")</f>
        <v>10JstdZ0oAMKlf3YcIFD3LEy3lSUVJZ88BP-uXbM_37M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IFERROR(__xludf.DUMMYFUNCTION("""COMPUTED_VALUE"""),"10lnSWIZEIkkrpKRGZSTZZ3CJwUT2e_wja-kp_hFbqgs")</f>
        <v>10lnSWIZEIkkrpKRGZSTZZ3CJwUT2e_wja-kp_hFbqgs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IFERROR(__xludf.DUMMYFUNCTION("""COMPUTED_VALUE"""),"10v0BJe2YKjTEVcglnAbRuMYRHHr2FY-iAfdpmMRzRiE")</f>
        <v>10v0BJe2YKjTEVcglnAbRuMYRHHr2FY-iAfdpmMRzRiE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IFERROR(__xludf.DUMMYFUNCTION("""COMPUTED_VALUE"""),"1isIZCSjuRGxfoo8ExjjNDs0TzIIeZIsHSnQvqmaDKQI")</f>
        <v>1isIZCSjuRGxfoo8ExjjNDs0TzIIeZIsHSnQvqmaDKQI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IFERROR(__xludf.DUMMYFUNCTION("""COMPUTED_VALUE"""),"1on24Xx1A89RTEZQ936dDTQItTDtvLOJ0q7jxDMXximg")</f>
        <v>1on24Xx1A89RTEZQ936dDTQItTDtvLOJ0q7jxDMXximg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IFERROR(__xludf.DUMMYFUNCTION("""COMPUTED_VALUE"""),"1oazHOMbdZzIFqt9RWTRPe_FI8r-VEbDEKFhRoyrF_ZI")</f>
        <v>1oazHOMbdZzIFqt9RWTRPe_FI8r-VEbDEKFhRoyrF_ZI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IFERROR(__xludf.DUMMYFUNCTION("""COMPUTED_VALUE"""),"1C1ihxuii7UtcJWaOpuhmq2xNZfrmJtCRgTQInc4VfTM")</f>
        <v>1C1ihxuii7UtcJWaOpuhmq2xNZfrmJtCRgTQInc4VfTM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IFERROR(__xludf.DUMMYFUNCTION("""COMPUTED_VALUE"""),"1NTjIJzn83A5UVkjxsSH3LnmJ5c7qV5uOQs8vtIWCRLg")</f>
        <v>1NTjIJzn83A5UVkjxsSH3LnmJ5c7qV5uOQs8vtIWCRLg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IFERROR(__xludf.DUMMYFUNCTION("""COMPUTED_VALUE"""),"1zKwPhUWsQiJuXW-5M_TapYbtIUsySxSnBvlnGGYS6Ak")</f>
        <v>1zKwPhUWsQiJuXW-5M_TapYbtIUsySxSnBvlnGGYS6Ak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IFERROR(__xludf.DUMMYFUNCTION("""COMPUTED_VALUE"""),"1kv8v1CbDlw931gEvlCVeiXqmEc9l3QCI_MwkOELS2qw")</f>
        <v>1kv8v1CbDlw931gEvlCVeiXqmEc9l3QCI_MwkOELS2qw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IFERROR(__xludf.DUMMYFUNCTION("""COMPUTED_VALUE"""),"1gC0fGcg2kDadwcHwX4w3_k5mEk9qKGCjBN44zKok6kw")</f>
        <v>1gC0fGcg2kDadwcHwX4w3_k5mEk9qKGCjBN44zKok6kw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IFERROR(__xludf.DUMMYFUNCTION("""COMPUTED_VALUE"""),"1szyA-wnQxJNDjKp5TPI-uk3EJyLpMX2K0QEQn9jfQ7U")</f>
        <v>1szyA-wnQxJNDjKp5TPI-uk3EJyLpMX2K0QEQn9jfQ7U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IFERROR(__xludf.DUMMYFUNCTION("""COMPUTED_VALUE"""),"1OIjDCM6TnKKQSDlidlK0dxEESXLKiqUJwn0hQQ_tBgg")</f>
        <v>1OIjDCM6TnKKQSDlidlK0dxEESXLKiqUJwn0hQQ_tBgg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IFERROR(__xludf.DUMMYFUNCTION("""COMPUTED_VALUE"""),"1-EkhvJm1K679q763Pphv6jCkS338lkjK1empSqlEI6g")</f>
        <v>1-EkhvJm1K679q763Pphv6jCkS338lkjK1empSqlEI6g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IFERROR(__xludf.DUMMYFUNCTION("""COMPUTED_VALUE"""),"1DXbBxZ56O_c_EOU2QMzew8pcePIeS9V7oBQzfHm1nrU")</f>
        <v>1DXbBxZ56O_c_EOU2QMzew8pcePIeS9V7oBQzfHm1nrU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IFERROR(__xludf.DUMMYFUNCTION("""COMPUTED_VALUE"""),"1_jCrLemDOFwKSZ0VodisRVJ3gJ2pYEa9vtELYDKZ7D8")</f>
        <v>1_jCrLemDOFwKSZ0VodisRVJ3gJ2pYEa9vtELYDKZ7D8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IFERROR(__xludf.DUMMYFUNCTION("""COMPUTED_VALUE"""),"16RHY1TeGLbg5aTXsB-Ui80dCjjhaTX8_mez3VOo9FEk")</f>
        <v>16RHY1TeGLbg5aTXsB-Ui80dCjjhaTX8_mez3VOo9FEk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IFERROR(__xludf.DUMMYFUNCTION("""COMPUTED_VALUE"""),"1TXu6gXnarAC8lKHRoBfjneR2t9URT4SQRLYj-_dv9B8")</f>
        <v>1TXu6gXnarAC8lKHRoBfjneR2t9URT4SQRLYj-_dv9B8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IFERROR(__xludf.DUMMYFUNCTION("""COMPUTED_VALUE"""),"1VH3caZODr9iY2kqHjoSV3FhwJni6tKZaHoFPgAW7oH0")</f>
        <v>1VH3caZODr9iY2kqHjoSV3FhwJni6tKZaHoFPgAW7oH0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IFERROR(__xludf.DUMMYFUNCTION("""COMPUTED_VALUE"""),"1WwXkdWAh3bdjgnontJiBzztlPilW0CctfCnAlV9Jtsk")</f>
        <v>1WwXkdWAh3bdjgnontJiBzztlPilW0CctfCnAlV9Jtsk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IFERROR(__xludf.DUMMYFUNCTION("""COMPUTED_VALUE"""),"1GHbxG_gmo0oAM2ECsMcvjgkbxL3HmvWhdwso0kHhxxY")</f>
        <v>1GHbxG_gmo0oAM2ECsMcvjgkbxL3HmvWhdwso0kHhxxY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IFERROR(__xludf.DUMMYFUNCTION("""COMPUTED_VALUE"""),"1GswznQiWvhiSC0OEO7CQehE7tAU2I_GAPgMkpYmR8HY")</f>
        <v>1GswznQiWvhiSC0OEO7CQehE7tAU2I_GAPgMkpYmR8HY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IFERROR(__xludf.DUMMYFUNCTION("""COMPUTED_VALUE"""),"1JSV--K7Q9AVdFghlAQLPvoliFST4hJcrUqb7Lm7ht_s")</f>
        <v>1JSV--K7Q9AVdFghlAQLPvoliFST4hJcrUqb7Lm7ht_s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IFERROR(__xludf.DUMMYFUNCTION("""COMPUTED_VALUE"""),"1o4SeiIVOvtilKbWLzkvKtCGRHUJvLPzFD3kWYlOTDFY")</f>
        <v>1o4SeiIVOvtilKbWLzkvKtCGRHUJvLPzFD3kWYlOTDFY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IFERROR(__xludf.DUMMYFUNCTION("""COMPUTED_VALUE"""),"1PykwrxeWk59EvKJjR2-bkrhi9UOWXCqXJ9LsY_QGIyg")</f>
        <v>1PykwrxeWk59EvKJjR2-bkrhi9UOWXCqXJ9LsY_QGIyg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IFERROR(__xludf.DUMMYFUNCTION("""COMPUTED_VALUE"""),"1yNATSEwdZIg22rajZvFROqYG-SMOcj0UKSuABzCcbrg")</f>
        <v>1yNATSEwdZIg22rajZvFROqYG-SMOcj0UKSuABzCcbrg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IFERROR(__xludf.DUMMYFUNCTION("""COMPUTED_VALUE"""),"1kr04YBOz0Ztah2RGYUkYH5t3_s4wso2_y_Z2nndmke4")</f>
        <v>1kr04YBOz0Ztah2RGYUkYH5t3_s4wso2_y_Z2nndmke4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IFERROR(__xludf.DUMMYFUNCTION("""COMPUTED_VALUE"""),"1GJsRSs8phBv97QiJwIDXxz__kmfV3tq2DF7jPw6Rzcc")</f>
        <v>1GJsRSs8phBv97QiJwIDXxz__kmfV3tq2DF7jPw6Rzcc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IFERROR(__xludf.DUMMYFUNCTION("""COMPUTED_VALUE"""),"1haSEXf6TIeQYi_1sgjBN0a8Kd0oihrY49BfLwnN7fuI")</f>
        <v>1haSEXf6TIeQYi_1sgjBN0a8Kd0oihrY49BfLwnN7fuI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IFERROR(__xludf.DUMMYFUNCTION("""COMPUTED_VALUE"""),"19yGJzO1TCo08wHjexzSA7gxYozh5nmBmm_h8W-7yXXE")</f>
        <v>19yGJzO1TCo08wHjexzSA7gxYozh5nmBmm_h8W-7yXXE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IFERROR(__xludf.DUMMYFUNCTION("""COMPUTED_VALUE"""),"1SFxd7-IZSkRF_20Dfu_Uk623wJILbNPUOwLIkgbyHyc")</f>
        <v>1SFxd7-IZSkRF_20Dfu_Uk623wJILbNPUOwLIkgbyHyc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IFERROR(__xludf.DUMMYFUNCTION("""COMPUTED_VALUE"""),"1-8cEVr7pAI2wgMdL3_6tq-WORMZN8GmCtu9xIjj6j6o")</f>
        <v>1-8cEVr7pAI2wgMdL3_6tq-WORMZN8GmCtu9xIjj6j6o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IFERROR(__xludf.DUMMYFUNCTION("""COMPUTED_VALUE"""),"1ZZCt0lDjl7RLYD2Mntzrt8K90X_eJFTEXwVYmBpuJrI")</f>
        <v>1ZZCt0lDjl7RLYD2Mntzrt8K90X_eJFTEXwVYmBpuJrI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IFERROR(__xludf.DUMMYFUNCTION("""COMPUTED_VALUE"""),"16m3UbEFQhQPWPiSa_1EhmXlZxLYP_MUqbxMjHJ-ClFY")</f>
        <v>16m3UbEFQhQPWPiSa_1EhmXlZxLYP_MUqbxMjHJ-ClFY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IFERROR(__xludf.DUMMYFUNCTION("""COMPUTED_VALUE"""),"1_ToPqKQ7KBsW-Qbh_BzgjcxrmCVkWJXDYrKj7bFoT1c")</f>
        <v>1_ToPqKQ7KBsW-Qbh_BzgjcxrmCVkWJXDYrKj7bFoT1c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IFERROR(__xludf.DUMMYFUNCTION("""COMPUTED_VALUE"""),"1aXiFWEohqaH2_K4j0vh9e2qsSVxsknfuhcQeOE9hi3Q")</f>
        <v>1aXiFWEohqaH2_K4j0vh9e2qsSVxsknfuhcQeOE9hi3Q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IFERROR(__xludf.DUMMYFUNCTION("""COMPUTED_VALUE"""),"17d6nTaGrtU53Ggt44z0DBtOe6BoXa-RluaNmydPewJc")</f>
        <v>17d6nTaGrtU53Ggt44z0DBtOe6BoXa-RluaNmydPewJc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IFERROR(__xludf.DUMMYFUNCTION("""COMPUTED_VALUE"""),"1t7n3e5xHa-zqiwDexIMbaSHvIBvZeqc9clL5rr4oU1E")</f>
        <v>1t7n3e5xHa-zqiwDexIMbaSHvIBvZeqc9clL5rr4oU1E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IFERROR(__xludf.DUMMYFUNCTION("""COMPUTED_VALUE"""),"1g_iduG9-VROpoRQbgomDMnwhDO5V1MCdoXo7B0KkCjo")</f>
        <v>1g_iduG9-VROpoRQbgomDMnwhDO5V1MCdoXo7B0KkCjo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IFERROR(__xludf.DUMMYFUNCTION("""COMPUTED_VALUE"""),"1f-by-zymlQYhK_E-j7JuCFmcrmShTNyoIRdep0I9WiQ")</f>
        <v>1f-by-zymlQYhK_E-j7JuCFmcrmShTNyoIRdep0I9WiQ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IFERROR(__xludf.DUMMYFUNCTION("""COMPUTED_VALUE"""),"1HBHQimrc8zfoFghmOi00Kyuswkhw5t2zr8z75prYQoU")</f>
        <v>1HBHQimrc8zfoFghmOi00Kyuswkhw5t2zr8z75prYQoU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IFERROR(__xludf.DUMMYFUNCTION("""COMPUTED_VALUE"""),"1hRgqQ_8KWjDa-IhDaI4dj4DIa-LKAF0dtsLGSuRISFg")</f>
        <v>1hRgqQ_8KWjDa-IhDaI4dj4DIa-LKAF0dtsLGSuRISFg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IFERROR(__xludf.DUMMYFUNCTION("""COMPUTED_VALUE"""),"1aKdtkgfy-qm5UkM4xEgwsIC2Y0tkkZ2nnlAt2YRyCIY")</f>
        <v>1aKdtkgfy-qm5UkM4xEgwsIC2Y0tkkZ2nnlAt2YRyCIY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IFERROR(__xludf.DUMMYFUNCTION("""COMPUTED_VALUE"""),"1kz2VbYDYVt81r6Crqstq3_e7JPi3pG646PWatn8mPqI")</f>
        <v>1kz2VbYDYVt81r6Crqstq3_e7JPi3pG646PWatn8mPqI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IFERROR(__xludf.DUMMYFUNCTION("""COMPUTED_VALUE"""),"1NBR38i2felKivQP6OhR7WBHM-4rxXfJzcKuENwPKRGE")</f>
        <v>1NBR38i2felKivQP6OhR7WBHM-4rxXfJzcKuENwPKRGE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IFERROR(__xludf.DUMMYFUNCTION("""COMPUTED_VALUE"""),"1E4shR2SnIPZbHN18xXEMyrgo70wZH3PZ7bsQcZMxqWs")</f>
        <v>1E4shR2SnIPZbHN18xXEMyrgo70wZH3PZ7bsQcZMxqWs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IFERROR(__xludf.DUMMYFUNCTION("""COMPUTED_VALUE"""),"1HCFewt-pwGWR5iNNmWN6uvH655SGnG39ZPt3qgn1fzA")</f>
        <v>1HCFewt-pwGWR5iNNmWN6uvH655SGnG39ZPt3qgn1fzA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IFERROR(__xludf.DUMMYFUNCTION("""COMPUTED_VALUE"""),"1RIECjeIoo9Ed5LapEOoN4zgF1bqZRnOsbWjnqXuNGVQ")</f>
        <v>1RIECjeIoo9Ed5LapEOoN4zgF1bqZRnOsbWjnqXuNGVQ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IFERROR(__xludf.DUMMYFUNCTION("""COMPUTED_VALUE"""),"1G1TzFJzPKFnIeFk1Ygruk-TgZ1E4OzotLzmXkrCfydo")</f>
        <v>1G1TzFJzPKFnIeFk1Ygruk-TgZ1E4OzotLzmXkrCfydo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IFERROR(__xludf.DUMMYFUNCTION("""COMPUTED_VALUE"""),"1cs4Fq7TTIBg-0scmlXwevni9dZWkhIRRtH8PFI0zITU")</f>
        <v>1cs4Fq7TTIBg-0scmlXwevni9dZWkhIRRtH8PFI0zITU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IFERROR(__xludf.DUMMYFUNCTION("""COMPUTED_VALUE"""),"13ynqJyBLiTSOeDNH_88Zy2459I5IbcLrArZ3KrZJcUM")</f>
        <v>13ynqJyBLiTSOeDNH_88Zy2459I5IbcLrArZ3KrZJcUM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IFERROR(__xludf.DUMMYFUNCTION("""COMPUTED_VALUE"""),"1QMJ1EeGqZUMPaentiXmY-qZo0nib_XUvbEJJUqCu54s")</f>
        <v>1QMJ1EeGqZUMPaentiXmY-qZo0nib_XUvbEJJUqCu54s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IFERROR(__xludf.DUMMYFUNCTION("""COMPUTED_VALUE"""),"1E-tAvpWCMvH1-L2VgrY-CsAMjjQbseS53lRaadteqY4")</f>
        <v>1E-tAvpWCMvH1-L2VgrY-CsAMjjQbseS53lRaadteqY4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IFERROR(__xludf.DUMMYFUNCTION("""COMPUTED_VALUE"""),"1MW6UTBXJ6_4nEgZhz-2VRPEBOcOGahWTNBaogUf-_90")</f>
        <v>1MW6UTBXJ6_4nEgZhz-2VRPEBOcOGahWTNBaogUf-_90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IFERROR(__xludf.DUMMYFUNCTION("""COMPUTED_VALUE"""),"1sPvrowwTQsK7O1mUC-eQeJJSEgA9er_TCbHzyMsToxw")</f>
        <v>1sPvrowwTQsK7O1mUC-eQeJJSEgA9er_TCbHzyMsToxw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IFERROR(__xludf.DUMMYFUNCTION("""COMPUTED_VALUE"""),"13McK_2eAGLCT-zvjQjNR2TNP5foe4OzipdCTy1LibIk")</f>
        <v>13McK_2eAGLCT-zvjQjNR2TNP5foe4OzipdCTy1LibIk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IFERROR(__xludf.DUMMYFUNCTION("""COMPUTED_VALUE"""),"11uZx-CaSQ01yGgtab77kdvBCGN1nOo3g0k8Bw5WqjZg")</f>
        <v>11uZx-CaSQ01yGgtab77kdvBCGN1nOo3g0k8Bw5WqjZg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IFERROR(__xludf.DUMMYFUNCTION("""COMPUTED_VALUE"""),"1yur8pXg-NhCMSD11wSVwvv0Fez2TUQp9ujOOBjwd3Us")</f>
        <v>1yur8pXg-NhCMSD11wSVwvv0Fez2TUQp9ujOOBjwd3Us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IFERROR(__xludf.DUMMYFUNCTION("""COMPUTED_VALUE"""),"1lKZmmIgqPZZBJtNH48lLmgj0q9ec1_4IPwkMjm00z-8")</f>
        <v>1lKZmmIgqPZZBJtNH48lLmgj0q9ec1_4IPwkMjm00z-8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IFERROR(__xludf.DUMMYFUNCTION("""COMPUTED_VALUE"""),"19D1UAVXlfPtqeFEBJfut55kr89Eu_txYvrbwbDEzF8Y")</f>
        <v>19D1UAVXlfPtqeFEBJfut55kr89Eu_txYvrbwbDEzF8Y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IFERROR(__xludf.DUMMYFUNCTION("""COMPUTED_VALUE"""),"16vGHPpbvjKADI0ELsUMnsil9L4zXpQewyXXpGOR50e4")</f>
        <v>16vGHPpbvjKADI0ELsUMnsil9L4zXpQewyXXpGOR50e4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IFERROR(__xludf.DUMMYFUNCTION("""COMPUTED_VALUE"""),"1Sju_rkEX7ClHISzkl9UFKNY6k_5t_S0tdxtpZAnXpqg")</f>
        <v>1Sju_rkEX7ClHISzkl9UFKNY6k_5t_S0tdxtpZAnXpqg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IFERROR(__xludf.DUMMYFUNCTION("""COMPUTED_VALUE"""),"1hMVNdo4B8WswaauY8yqbHmt3Wx_NMRxgdB2vow1p5ag")</f>
        <v>1hMVNdo4B8WswaauY8yqbHmt3Wx_NMRxgdB2vow1p5ag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IFERROR(__xludf.DUMMYFUNCTION("""COMPUTED_VALUE"""),"17hK-yfN8xD8Jmg_FY__Qc7iyqgJ_SEvFr4VPoKbeMwA")</f>
        <v>17hK-yfN8xD8Jmg_FY__Qc7iyqgJ_SEvFr4VPoKbeMwA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IFERROR(__xludf.DUMMYFUNCTION("""COMPUTED_VALUE"""),"1PVfLR7ICBE01CuxIYtMmaiNL2Kh672bUXBCbt4UzQ6o")</f>
        <v>1PVfLR7ICBE01CuxIYtMmaiNL2Kh672bUXBCbt4UzQ6o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IFERROR(__xludf.DUMMYFUNCTION("""COMPUTED_VALUE"""),"160g9HJhQPDPrb5GQ9yBr07xujKJVYwd9MqM5deuYRdg")</f>
        <v>160g9HJhQPDPrb5GQ9yBr07xujKJVYwd9MqM5deuYRdg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IFERROR(__xludf.DUMMYFUNCTION("""COMPUTED_VALUE"""),"1Y0fnfatmthYmvzL4CE2DD2fnb5XpxasaQ-eFA8AHZZQ")</f>
        <v>1Y0fnfatmthYmvzL4CE2DD2fnb5XpxasaQ-eFA8AHZZQ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IFERROR(__xludf.DUMMYFUNCTION("""COMPUTED_VALUE"""),"1GpKhg0atHUhh5xpcVyJ6Pd3hJZQxWyd6a8oGGx9nPYg")</f>
        <v>1GpKhg0atHUhh5xpcVyJ6Pd3hJZQxWyd6a8oGGx9nPYg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IFERROR(__xludf.DUMMYFUNCTION("""COMPUTED_VALUE"""),"1phmh27oiwwsNI8gsVMqQfGGO_0r53sX6ECZYHWcovOo")</f>
        <v>1phmh27oiwwsNI8gsVMqQfGGO_0r53sX6ECZYHWcovOo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IFERROR(__xludf.DUMMYFUNCTION("""COMPUTED_VALUE"""),"14Z9mQRGA079RUxIVwyD7PLJFHYiOWiv2B-Al2lvfB3o")</f>
        <v>14Z9mQRGA079RUxIVwyD7PLJFHYiOWiv2B-Al2lvfB3o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IFERROR(__xludf.DUMMYFUNCTION("""COMPUTED_VALUE"""),"1hBeOAPWx6TCdJJCI4w8uFuWHTAtyZoYxMjU6EsfNFEk")</f>
        <v>1hBeOAPWx6TCdJJCI4w8uFuWHTAtyZoYxMjU6EsfNFEk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IFERROR(__xludf.DUMMYFUNCTION("""COMPUTED_VALUE"""),"1fFcmVLJC1pdRtoDEYUpc-7PqDqHrSB9eszanKXDSJj4")</f>
        <v>1fFcmVLJC1pdRtoDEYUpc-7PqDqHrSB9eszanKXDSJj4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IFERROR(__xludf.DUMMYFUNCTION("""COMPUTED_VALUE"""),"1YOGzCbzwMOUWi6IInIaMz0zG1USfIA94aG1uJB_CI08")</f>
        <v>1YOGzCbzwMOUWi6IInIaMz0zG1USfIA94aG1uJB_CI08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IFERROR(__xludf.DUMMYFUNCTION("""COMPUTED_VALUE"""),"1QNAooZZRVTav0dvHEE8XpPUSKYVTrEIX2ZnajpipHy4")</f>
        <v>1QNAooZZRVTav0dvHEE8XpPUSKYVTrEIX2ZnajpipHy4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IFERROR(__xludf.DUMMYFUNCTION("""COMPUTED_VALUE"""),"1QcdF9vMihakzH2FxKv9Cpbj_RQbRL9ekc6YNTmX1z84")</f>
        <v>1QcdF9vMihakzH2FxKv9Cpbj_RQbRL9ekc6YNTmX1z84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IFERROR(__xludf.DUMMYFUNCTION("""COMPUTED_VALUE"""),"1rgAbCdFrwIQMzfUdq_wtSIftaHjcPOpcYLMOv57yFm8")</f>
        <v>1rgAbCdFrwIQMzfUdq_wtSIftaHjcPOpcYLMOv57yFm8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IFERROR(__xludf.DUMMYFUNCTION("""COMPUTED_VALUE"""),"1c_LKV6zddYnZbIaXjB1YR41mZ4nlWwdD8Utip2o4gCE")</f>
        <v>1c_LKV6zddYnZbIaXjB1YR41mZ4nlWwdD8Utip2o4gCE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IFERROR(__xludf.DUMMYFUNCTION("""COMPUTED_VALUE"""),"1UBqDSoxtrz7S7kPHKAv-U3PIbDLOoqvMVk2ePCXS3JI")</f>
        <v>1UBqDSoxtrz7S7kPHKAv-U3PIbDLOoqvMVk2ePCXS3JI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IFERROR(__xludf.DUMMYFUNCTION("""COMPUTED_VALUE"""),"1ezlJO3ad1pj8tG7Y13sk4HHPJQqXBEeDnF4yFfqk2vE")</f>
        <v>1ezlJO3ad1pj8tG7Y13sk4HHPJQqXBEeDnF4yFfqk2vE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IFERROR(__xludf.DUMMYFUNCTION("""COMPUTED_VALUE"""),"12Egp-BXTkbQ_7GUw6K5R9vN0h1cCWX33r9TLwUnfo74")</f>
        <v>12Egp-BXTkbQ_7GUw6K5R9vN0h1cCWX33r9TLwUnfo74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IFERROR(__xludf.DUMMYFUNCTION("""COMPUTED_VALUE"""),"1-L0ACZJpBrZm_Mt6lp10r-l8qiO2nDijPY7e0lp1axM")</f>
        <v>1-L0ACZJpBrZm_Mt6lp10r-l8qiO2nDijPY7e0lp1axM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IFERROR(__xludf.DUMMYFUNCTION("""COMPUTED_VALUE"""),"1_jVpPpMklRkZw3q0WK9yD6CZ9UKHrIwt5zxC5U9dRcg")</f>
        <v>1_jVpPpMklRkZw3q0WK9yD6CZ9UKHrIwt5zxC5U9dRcg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IFERROR(__xludf.DUMMYFUNCTION("""COMPUTED_VALUE"""),"15cvdIe75lDUXBGGMjjwC10U3pS8MfyoIe2lkeVTiz4Q")</f>
        <v>15cvdIe75lDUXBGGMjjwC10U3pS8MfyoIe2lkeVTiz4Q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IFERROR(__xludf.DUMMYFUNCTION("""COMPUTED_VALUE"""),"1CTkEDNwBtXXECS37_3g9vrTE1pbqsU-d8nKU-xj6BH8")</f>
        <v>1CTkEDNwBtXXECS37_3g9vrTE1pbqsU-d8nKU-xj6BH8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IFERROR(__xludf.DUMMYFUNCTION("""COMPUTED_VALUE"""),"19sktX0w4yHgQ6O1tvExgZzeUqcWIZA12C1zB18Be3Eg")</f>
        <v>19sktX0w4yHgQ6O1tvExgZzeUqcWIZA12C1zB18Be3Eg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IFERROR(__xludf.DUMMYFUNCTION("""COMPUTED_VALUE"""),"1tY0ONne4e_DLk01CP3Yr8PFqkHW7CN5Tcrdg_aTfyIc")</f>
        <v>1tY0ONne4e_DLk01CP3Yr8PFqkHW7CN5Tcrdg_aTfyIc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IFERROR(__xludf.DUMMYFUNCTION("""COMPUTED_VALUE"""),"1VgMLGfez9GRGMaP1WjU16fe-0tqNQm6Q4avE33EcOYY")</f>
        <v>1VgMLGfez9GRGMaP1WjU16fe-0tqNQm6Q4avE33EcOYY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IFERROR(__xludf.DUMMYFUNCTION("""COMPUTED_VALUE"""),"1UlD88MnL7cRrdpAs0oIY4CgiqqPAt6rG1QINQRoIUk0")</f>
        <v>1UlD88MnL7cRrdpAs0oIY4CgiqqPAt6rG1QINQRoIUk0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IFERROR(__xludf.DUMMYFUNCTION("""COMPUTED_VALUE"""),"1QuxQdRwCQLhQmIE-7ojQHbkfi3GduKopw_zRf7x4Z8k")</f>
        <v>1QuxQdRwCQLhQmIE-7ojQHbkfi3GduKopw_zRf7x4Z8k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IFERROR(__xludf.DUMMYFUNCTION("""COMPUTED_VALUE"""),"1hwATfGdtmHElWfysPQ8SoqtQYGAONa4CD5KGPnZG3g0")</f>
        <v>1hwATfGdtmHElWfysPQ8SoqtQYGAONa4CD5KGPnZG3g0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IFERROR(__xludf.DUMMYFUNCTION("""COMPUTED_VALUE"""),"1hKsLv5DWOG0nEHHNeqf5DATqVyLmKGNoGDvVEIduyxo")</f>
        <v>1hKsLv5DWOG0nEHHNeqf5DATqVyLmKGNoGDvVEIduyxo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IFERROR(__xludf.DUMMYFUNCTION("""COMPUTED_VALUE"""),"1epH2quBNafssL7JOfzPXsTzTtJ8ZaAHSnA9uKb8qH1U")</f>
        <v>1epH2quBNafssL7JOfzPXsTzTtJ8ZaAHSnA9uKb8qH1U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IFERROR(__xludf.DUMMYFUNCTION("""COMPUTED_VALUE"""),"1WFYL2DkTFjySpR-YYRIeZl8PCVg5VN801r302PFIqUw")</f>
        <v>1WFYL2DkTFjySpR-YYRIeZl8PCVg5VN801r302PFIqUw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IFERROR(__xludf.DUMMYFUNCTION("""COMPUTED_VALUE"""),"1eAu5kF0FOdHgLRmmaT6htwYFnDGtrElLVJv94QOc9Jk")</f>
        <v>1eAu5kF0FOdHgLRmmaT6htwYFnDGtrElLVJv94QOc9Jk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IFERROR(__xludf.DUMMYFUNCTION("""COMPUTED_VALUE"""),"1-JkpHPUP1cA_3kQbZkuY7fNLf2ujwn0GGAXQYg9Q3cs")</f>
        <v>1-JkpHPUP1cA_3kQbZkuY7fNLf2ujwn0GGAXQYg9Q3cs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IFERROR(__xludf.DUMMYFUNCTION("""COMPUTED_VALUE"""),"1-FMKzKFLs35vDwOy-dMpEXAgpkacDP7IxwYnkwezVRA")</f>
        <v>1-FMKzKFLs35vDwOy-dMpEXAgpkacDP7IxwYnkwezVRA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IFERROR(__xludf.DUMMYFUNCTION("""COMPUTED_VALUE"""),"1G86u72qdKVcfi1M5XOrtfzhereVolhrkGxtzlcFj3FE")</f>
        <v>1G86u72qdKVcfi1M5XOrtfzhereVolhrkGxtzlcFj3FE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IFERROR(__xludf.DUMMYFUNCTION("""COMPUTED_VALUE"""),"1sevd52QJcsTK-3lUhpRdNjV9xdzrQQXZeLRutjI_uKk")</f>
        <v>1sevd52QJcsTK-3lUhpRdNjV9xdzrQQXZeLRutjI_uKk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IFERROR(__xludf.DUMMYFUNCTION("""COMPUTED_VALUE"""),"1to781E8gHDZpAklYKgq0gbqaOiSm4UKSyxrXQekG8-E")</f>
        <v>1to781E8gHDZpAklYKgq0gbqaOiSm4UKSyxrXQekG8-E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IFERROR(__xludf.DUMMYFUNCTION("""COMPUTED_VALUE"""),"1n8_HzZqruobAe_bzZUNDlFTjWWOXhYdC6XO8toLSA1U")</f>
        <v>1n8_HzZqruobAe_bzZUNDlFTjWWOXhYdC6XO8toLSA1U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IFERROR(__xludf.DUMMYFUNCTION("""COMPUTED_VALUE"""),"1QzfIvMI24u1alGmbfvHB8YsLQnTXbnEskdO5U_4c03M")</f>
        <v>1QzfIvMI24u1alGmbfvHB8YsLQnTXbnEskdO5U_4c03M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IFERROR(__xludf.DUMMYFUNCTION("""COMPUTED_VALUE"""),"13AkdqEmmE2bNXqK_D5_68u-ZCAC0NWVG5008Fv31TBY")</f>
        <v>13AkdqEmmE2bNXqK_D5_68u-ZCAC0NWVG5008Fv31TBY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IFERROR(__xludf.DUMMYFUNCTION("""COMPUTED_VALUE"""),"1-EtK3j_FyjgJHsYvldAuV4YFHX-qm1CzWPL4SKUKm_I")</f>
        <v>1-EtK3j_FyjgJHsYvldAuV4YFHX-qm1CzWPL4SKUKm_I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IFERROR(__xludf.DUMMYFUNCTION("""COMPUTED_VALUE"""),"1eh6Leacf5FhDvEUrEksk9SLUjWAOnXtHRxNauMziD4o")</f>
        <v>1eh6Leacf5FhDvEUrEksk9SLUjWAOnXtHRxNauMziD4o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IFERROR(__xludf.DUMMYFUNCTION("""COMPUTED_VALUE"""),"1TAt_QqMW8h2ttxV57It9jVYC7njvL5tOt-r4EGRYGcE")</f>
        <v>1TAt_QqMW8h2ttxV57It9jVYC7njvL5tOt-r4EGRYGcE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IFERROR(__xludf.DUMMYFUNCTION("""COMPUTED_VALUE"""),"14gid3u0_rNvP0XS5C1YIlhQOluw_ZaKzbQj6rh_Y-CY")</f>
        <v>14gid3u0_rNvP0XS5C1YIlhQOluw_ZaKzbQj6rh_Y-CY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IFERROR(__xludf.DUMMYFUNCTION("""COMPUTED_VALUE"""),"13lsUBmvcs1NBlGITGBbugtTWepJLuzLGMOMde0zoOFI")</f>
        <v>13lsUBmvcs1NBlGITGBbugtTWepJLuzLGMOMde0zoOFI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IFERROR(__xludf.DUMMYFUNCTION("""COMPUTED_VALUE"""),"1pQIetLHHfnLHOHDOH81rC03QLUOIpHsKO6dDH-9qgiA")</f>
        <v>1pQIetLHHfnLHOHDOH81rC03QLUOIpHsKO6dDH-9qgiA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IFERROR(__xludf.DUMMYFUNCTION("""COMPUTED_VALUE"""),"1YzjFof__EtWy8oxu5pQ4N6G7Nktkl0nyAu81BckiIHo")</f>
        <v>1YzjFof__EtWy8oxu5pQ4N6G7Nktkl0nyAu81BckiIHo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IFERROR(__xludf.DUMMYFUNCTION("""COMPUTED_VALUE"""),"1IT8x5br3VynepPgq_xCGQsJR0piFM3lhqTr5GTh0kyM")</f>
        <v>1IT8x5br3VynepPgq_xCGQsJR0piFM3lhqTr5GTh0kyM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IFERROR(__xludf.DUMMYFUNCTION("""COMPUTED_VALUE"""),"1b0nK_mdsKdKSE4C04O7I8ZpvPLGjbiy-MhX9TjlXJOc")</f>
        <v>1b0nK_mdsKdKSE4C04O7I8ZpvPLGjbiy-MhX9TjlXJOc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IFERROR(__xludf.DUMMYFUNCTION("""COMPUTED_VALUE"""),"1JWIRWOskU5-ZLGBe3TJje54Hlb55btHuU3SX7Yu7WME")</f>
        <v>1JWIRWOskU5-ZLGBe3TJje54Hlb55btHuU3SX7Yu7WME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IFERROR(__xludf.DUMMYFUNCTION("""COMPUTED_VALUE"""),"1So5L0BXlev1p0ans29tDBJeLp2hRQnaDt7l5ChXhfes")</f>
        <v>1So5L0BXlev1p0ans29tDBJeLp2hRQnaDt7l5ChXhfes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IFERROR(__xludf.DUMMYFUNCTION("""COMPUTED_VALUE"""),"1pYOsK-haxePz_Yimf8WRvV4AA03Okf2Hys87-MH9gY8")</f>
        <v>1pYOsK-haxePz_Yimf8WRvV4AA03Okf2Hys87-MH9gY8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IFERROR(__xludf.DUMMYFUNCTION("""COMPUTED_VALUE"""),"1GB2HOSoXy5_fXzB6PWrRFuaVq7s_N92V1nsnnHizRIc")</f>
        <v>1GB2HOSoXy5_fXzB6PWrRFuaVq7s_N92V1nsnnHizRIc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IFERROR(__xludf.DUMMYFUNCTION("""COMPUTED_VALUE"""),"1hQS_ZIe0f-YDXYnVZH0axct7qbeGC9dZ8jS8WCF4z7Q")</f>
        <v>1hQS_ZIe0f-YDXYnVZH0axct7qbeGC9dZ8jS8WCF4z7Q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IFERROR(__xludf.DUMMYFUNCTION("""COMPUTED_VALUE"""),"1t4kPkbjkNXIe4MARfTMRmNFGo_pNUbSH11y89_kdYv8")</f>
        <v>1t4kPkbjkNXIe4MARfTMRmNFGo_pNUbSH11y89_kdYv8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IFERROR(__xludf.DUMMYFUNCTION("""COMPUTED_VALUE"""),"1EWopTT0IuOzHKc-T4uQJSGDc_PdR7QnTb3XX-tcRY_w")</f>
        <v>1EWopTT0IuOzHKc-T4uQJSGDc_PdR7QnTb3XX-tcRY_w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IFERROR(__xludf.DUMMYFUNCTION("""COMPUTED_VALUE"""),"1iA4AMqVk2SrSflatQ2iNOBpgxijhht1Fnx5gjinTpNE")</f>
        <v>1iA4AMqVk2SrSflatQ2iNOBpgxijhht1Fnx5gjinTpNE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IFERROR(__xludf.DUMMYFUNCTION("""COMPUTED_VALUE"""),"1aYOUexiSRWPy8aTQV4LoLIAgO5vDCT827evf8qbriCw")</f>
        <v>1aYOUexiSRWPy8aTQV4LoLIAgO5vDCT827evf8qbriCw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IFERROR(__xludf.DUMMYFUNCTION("""COMPUTED_VALUE"""),"1Fwh_5fQ1FG6uekAkW9Onl3gExHJ4LFINEfUWhVU7RZE")</f>
        <v>1Fwh_5fQ1FG6uekAkW9Onl3gExHJ4LFINEfUWhVU7RZE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IFERROR(__xludf.DUMMYFUNCTION("""COMPUTED_VALUE"""),"1SFrgXfnkqGWJMgHFA_u_7p2RPeiz9bYEbsmAuNUkulo")</f>
        <v>1SFrgXfnkqGWJMgHFA_u_7p2RPeiz9bYEbsmAuNUkulo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IFERROR(__xludf.DUMMYFUNCTION("""COMPUTED_VALUE"""),"1HgRCOHOWDe0WdsCwOOCeifnh4CU_EMG0jYwvF1Kw5CU")</f>
        <v>1HgRCOHOWDe0WdsCwOOCeifnh4CU_EMG0jYwvF1Kw5CU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IFERROR(__xludf.DUMMYFUNCTION("""COMPUTED_VALUE"""),"1CSJwXvHLRSniyl60uT7TjQbnLpp-heMq72pgOJJ1F2c")</f>
        <v>1CSJwXvHLRSniyl60uT7TjQbnLpp-heMq72pgOJJ1F2c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IFERROR(__xludf.DUMMYFUNCTION("""COMPUTED_VALUE"""),"1DiMnJfL8ny_q4NkWjHDLna6eWN_b1wz9lFLXHDLAxvc")</f>
        <v>1DiMnJfL8ny_q4NkWjHDLna6eWN_b1wz9lFLXHDLAxvc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IFERROR(__xludf.DUMMYFUNCTION("""COMPUTED_VALUE"""),"1bMbn1pg_skkJ9tr1sYGLyll2RO_KUXGAY_4l0agiVqs")</f>
        <v>1bMbn1pg_skkJ9tr1sYGLyll2RO_KUXGAY_4l0agiVqs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IFERROR(__xludf.DUMMYFUNCTION("""COMPUTED_VALUE"""),"1keLoHSkjbycZTYgUKqJWjQgUdVfUhUyItu_TF_Nnepg")</f>
        <v>1keLoHSkjbycZTYgUKqJWjQgUdVfUhUyItu_TF_Nnepg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IFERROR(__xludf.DUMMYFUNCTION("""COMPUTED_VALUE"""),"1JB77pWGg3Yigh8nRXBE3j84K0MUfsHo66tZGfomxokI")</f>
        <v>1JB77pWGg3Yigh8nRXBE3j84K0MUfsHo66tZGfomxokI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IFERROR(__xludf.DUMMYFUNCTION("""COMPUTED_VALUE"""),"13i3cde69VhVWqwDeyZvG2UTR0kaaEh6xf5cAoobr5mA")</f>
        <v>13i3cde69VhVWqwDeyZvG2UTR0kaaEh6xf5cAoobr5mA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IFERROR(__xludf.DUMMYFUNCTION("""COMPUTED_VALUE"""),"1d_4UCN2TwKGLAIryatMhyDmfPFId5_idGnegTQS_lSc")</f>
        <v>1d_4UCN2TwKGLAIryatMhyDmfPFId5_idGnegTQS_lSc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IFERROR(__xludf.DUMMYFUNCTION("""COMPUTED_VALUE"""),"1X0u87WRgFV9nfzAoxarkRCoGrGk1JKkwWhu3-eW1lKE")</f>
        <v>1X0u87WRgFV9nfzAoxarkRCoGrGk1JKkwWhu3-eW1lKE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IFERROR(__xludf.DUMMYFUNCTION("""COMPUTED_VALUE"""),"1l5ay-Y1acsWSAUtq9YQrxfOojAfjLCblSDpkEf0NHGo")</f>
        <v>1l5ay-Y1acsWSAUtq9YQrxfOojAfjLCblSDpkEf0NHGo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IFERROR(__xludf.DUMMYFUNCTION("""COMPUTED_VALUE"""),"1A19wf6hpfMJmBm83N_GhvYK2Gp3K-e3JP9EJ-P576Cw")</f>
        <v>1A19wf6hpfMJmBm83N_GhvYK2Gp3K-e3JP9EJ-P576Cw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IFERROR(__xludf.DUMMYFUNCTION("""COMPUTED_VALUE"""),"171XsheaaYdF5gMm2y5rdioGxjl_k82Rso_opEanflJI")</f>
        <v>171XsheaaYdF5gMm2y5rdioGxjl_k82Rso_opEanflJI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IFERROR(__xludf.DUMMYFUNCTION("""COMPUTED_VALUE"""),"1RX-Gap2zvagmEtgtn-yaOAByX7d1Wf9B5UxxxwHnBG0")</f>
        <v>1RX-Gap2zvagmEtgtn-yaOAByX7d1Wf9B5UxxxwHnBG0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IFERROR(__xludf.DUMMYFUNCTION("""COMPUTED_VALUE"""),"1zpj_umDuj1-o0Qnjy4AhkiZErr6BrbbzovL3thm9fjU")</f>
        <v>1zpj_umDuj1-o0Qnjy4AhkiZErr6BrbbzovL3thm9fjU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IFERROR(__xludf.DUMMYFUNCTION("""COMPUTED_VALUE"""),"1leJHZuhOWWw5Ahg0-DWVH5mHJ2YJlmZqRGOyALE7i9o")</f>
        <v>1leJHZuhOWWw5Ahg0-DWVH5mHJ2YJlmZqRGOyALE7i9o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IFERROR(__xludf.DUMMYFUNCTION("""COMPUTED_VALUE"""),"1WIQF7IwpSf3Cn5ovCdMQfdfxSkfCZCzVTpL_YVpEAnE")</f>
        <v>1WIQF7IwpSf3Cn5ovCdMQfdfxSkfCZCzVTpL_YVpEAnE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IFERROR(__xludf.DUMMYFUNCTION("""COMPUTED_VALUE"""),"1TGfoXbvH7XnRrtTbygxQiP_CGCUiD-kpaKBT1GGlJ5k")</f>
        <v>1TGfoXbvH7XnRrtTbygxQiP_CGCUiD-kpaKBT1GGlJ5k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IFERROR(__xludf.DUMMYFUNCTION("""COMPUTED_VALUE"""),"1-5-WK8gbrZ5gYJUTrxBke3x1Jgr3YYQdxyXVQBo6G84")</f>
        <v>1-5-WK8gbrZ5gYJUTrxBke3x1Jgr3YYQdxyXVQBo6G84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IFERROR(__xludf.DUMMYFUNCTION("""COMPUTED_VALUE"""),"1ttg9BWnk78DQDv-O4l-GQH4z2KLYqF-8x1YFxtmb2dM")</f>
        <v>1ttg9BWnk78DQDv-O4l-GQH4z2KLYqF-8x1YFxtmb2dM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IFERROR(__xludf.DUMMYFUNCTION("""COMPUTED_VALUE"""),"1iqnH235Ns1i-v1Te0t9y-s3gqhy30uGvGHdSxw9OuJc")</f>
        <v>1iqnH235Ns1i-v1Te0t9y-s3gqhy30uGvGHdSxw9OuJc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IFERROR(__xludf.DUMMYFUNCTION("""COMPUTED_VALUE"""),"1-lMv6JDKIjGiOD4yxxSfJBqD3PQjTk0_DqLFKliK-P4")</f>
        <v>1-lMv6JDKIjGiOD4yxxSfJBqD3PQjTk0_DqLFKliK-P4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IFERROR(__xludf.DUMMYFUNCTION("""COMPUTED_VALUE"""),"1WJrc9c47Pmk5qY7KMztGApsKlRbZNjVqNy90oWT9k5s")</f>
        <v>1WJrc9c47Pmk5qY7KMztGApsKlRbZNjVqNy90oWT9k5s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IFERROR(__xludf.DUMMYFUNCTION("""COMPUTED_VALUE"""),"17MNUtvIrTvTqiCtkjA9whCS3pSEmYiyq2dCpRNDR-Jw")</f>
        <v>17MNUtvIrTvTqiCtkjA9whCS3pSEmYiyq2dCpRNDR-Jw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IFERROR(__xludf.DUMMYFUNCTION("""COMPUTED_VALUE"""),"1C9uStqgFfWCHQzP5yX3EX8U5hkThVJiIrdTCvZ26BMc")</f>
        <v>1C9uStqgFfWCHQzP5yX3EX8U5hkThVJiIrdTCvZ26BMc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IFERROR(__xludf.DUMMYFUNCTION("""COMPUTED_VALUE"""),"1wSzKcpaAo_qIGXZhh7cr2aEMjgI5lIRo4Mhvhwq2qeY")</f>
        <v>1wSzKcpaAo_qIGXZhh7cr2aEMjgI5lIRo4Mhvhwq2qeY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IFERROR(__xludf.DUMMYFUNCTION("""COMPUTED_VALUE"""),"1Ip_8IOwz9bqljSD-feOp_lKkuwUz0ojb0L1ZfJB16Qk")</f>
        <v>1Ip_8IOwz9bqljSD-feOp_lKkuwUz0ojb0L1ZfJB16Qk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IFERROR(__xludf.DUMMYFUNCTION("""COMPUTED_VALUE"""),"1wtRdFxIJps7V6dCVpAiuURu6otnywpC22qYcCc8mcRo")</f>
        <v>1wtRdFxIJps7V6dCVpAiuURu6otnywpC22qYcCc8mcRo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IFERROR(__xludf.DUMMYFUNCTION("""COMPUTED_VALUE"""),"1RDhYUjIX5mcXvife-2a1DhS9e9_nAdKKNtIS723weSU")</f>
        <v>1RDhYUjIX5mcXvife-2a1DhS9e9_nAdKKNtIS723weSU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IFERROR(__xludf.DUMMYFUNCTION("""COMPUTED_VALUE"""),"12ERQgX7aAMiLB-7a8IQzGZT9zRJ3hxpnM1dEsBpvoTs")</f>
        <v>12ERQgX7aAMiLB-7a8IQzGZT9zRJ3hxpnM1dEsBpvoTs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IFERROR(__xludf.DUMMYFUNCTION("""COMPUTED_VALUE"""),"1sPvrowwTQsK7O1mUC-eQeJJSEgA9er_TCbHzyMsToxw")</f>
        <v>1sPvrowwTQsK7O1mUC-eQeJJSEgA9er_TCbHzyMsToxw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IFERROR(__xludf.DUMMYFUNCTION("""COMPUTED_VALUE"""),"10Zg67pbgVBxMXLfS0tb0CvJl6d4CddHzic_azwXCniM")</f>
        <v>10Zg67pbgVBxMXLfS0tb0CvJl6d4CddHzic_azwXCniM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IFERROR(__xludf.DUMMYFUNCTION("""COMPUTED_VALUE"""),"1rF_yrG82eLBZe-adfgdXilcZYJ6oludm1T8aoBS5c5o")</f>
        <v>1rF_yrG82eLBZe-adfgdXilcZYJ6oludm1T8aoBS5c5o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IFERROR(__xludf.DUMMYFUNCTION("""COMPUTED_VALUE"""),"1pGpjjND8zdK0CvWzT85s06ej72BcB2NDC7Q-WabwmKU")</f>
        <v>1pGpjjND8zdK0CvWzT85s06ej72BcB2NDC7Q-WabwmKU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IFERROR(__xludf.DUMMYFUNCTION("""COMPUTED_VALUE"""),"1vv9Kfv9KKSGeFLVF5gLJ02Q1tKJ5c9IHvX-Ou2CFpq4")</f>
        <v>1vv9Kfv9KKSGeFLVF5gLJ02Q1tKJ5c9IHvX-Ou2CFpq4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IFERROR(__xludf.DUMMYFUNCTION("""COMPUTED_VALUE"""),"1aKet1Md_J6wogUHMdNxyLsRKxYDsQAami-K_3W_9QtQ")</f>
        <v>1aKet1Md_J6wogUHMdNxyLsRKxYDsQAami-K_3W_9QtQ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IFERROR(__xludf.DUMMYFUNCTION("""COMPUTED_VALUE"""),"1fGQY5n6Q7p59RUxuwZzrcdNms0UeLdsR3hCGQmHSORY")</f>
        <v>1fGQY5n6Q7p59RUxuwZzrcdNms0UeLdsR3hCGQmHSORY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IFERROR(__xludf.DUMMYFUNCTION("""COMPUTED_VALUE"""),"1atfrQHjBlCKqTMcOEgTGeCL-hYY6nKtN80Uz1petdC4")</f>
        <v>1atfrQHjBlCKqTMcOEgTGeCL-hYY6nKtN80Uz1petdC4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IFERROR(__xludf.DUMMYFUNCTION("""COMPUTED_VALUE"""),"1Fwftdx7FZtRacGg7lr02b8ReR-9wM2S7uuooFC2sxiM")</f>
        <v>1Fwftdx7FZtRacGg7lr02b8ReR-9wM2S7uuooFC2sxiM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IFERROR(__xludf.DUMMYFUNCTION("""COMPUTED_VALUE"""),"1GUy-RbvdREdP9isWFulTF3xqzCn4AWr0RvL_r4boFmE")</f>
        <v>1GUy-RbvdREdP9isWFulTF3xqzCn4AWr0RvL_r4boFmE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IFERROR(__xludf.DUMMYFUNCTION("""COMPUTED_VALUE"""),"1xA6dyBc4R1EBoqW6kY2Dti984vRAuD-5PxoFrgVMPA8")</f>
        <v>1xA6dyBc4R1EBoqW6kY2Dti984vRAuD-5PxoFrgVMPA8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IFERROR(__xludf.DUMMYFUNCTION("""COMPUTED_VALUE"""),"18j5l_WQ5Vfj90uB1s_BQ179tKwHv_Lf1wexmG7TnYu0")</f>
        <v>18j5l_WQ5Vfj90uB1s_BQ179tKwHv_Lf1wexmG7TnYu0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IFERROR(__xludf.DUMMYFUNCTION("""COMPUTED_VALUE"""),"1dVMhvhPJNkuRqzig0Yyxm9TcxCvSCxm4pGTHTUTnsRE")</f>
        <v>1dVMhvhPJNkuRqzig0Yyxm9TcxCvSCxm4pGTHTUTnsRE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IFERROR(__xludf.DUMMYFUNCTION("""COMPUTED_VALUE"""),"1hPiMOS3ea665vDEmxN9P-HH8lukKgmMnynK7_ZbYvZE")</f>
        <v>1hPiMOS3ea665vDEmxN9P-HH8lukKgmMnynK7_ZbYvZE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IFERROR(__xludf.DUMMYFUNCTION("""COMPUTED_VALUE"""),"1VgfvPkC2fO8lxFnWeV2SJts5aU1T2aFQ0qKO0SLQUe8")</f>
        <v>1VgfvPkC2fO8lxFnWeV2SJts5aU1T2aFQ0qKO0SLQUe8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IFERROR(__xludf.DUMMYFUNCTION("""COMPUTED_VALUE"""),"1GiZkUkl9S3W-syFWHx7eF24G8LX1NhjocAEtLxZqOBI")</f>
        <v>1GiZkUkl9S3W-syFWHx7eF24G8LX1NhjocAEtLxZqOBI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IFERROR(__xludf.DUMMYFUNCTION("""COMPUTED_VALUE"""),"1PGYnrEHaAZlP-Oh2PMA8WujQmK1pV5B4YlDkScrpR7o")</f>
        <v>1PGYnrEHaAZlP-Oh2PMA8WujQmK1pV5B4YlDkScrpR7o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IFERROR(__xludf.DUMMYFUNCTION("""COMPUTED_VALUE"""),"1uLdemvg5SsNtTpZzTRX03wcYmYQsfkgO_nbn3yRqMjQ")</f>
        <v>1uLdemvg5SsNtTpZzTRX03wcYmYQsfkgO_nbn3yRqMjQ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IFERROR(__xludf.DUMMYFUNCTION("""COMPUTED_VALUE"""),"1MrTHenFxkF5J71zXMaCuxQQEn0MTKrzO5gQMAwfQKRs")</f>
        <v>1MrTHenFxkF5J71zXMaCuxQQEn0MTKrzO5gQMAwfQKRs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IFERROR(__xludf.DUMMYFUNCTION("""COMPUTED_VALUE"""),"1eaoIETDNb24RXEreULlqBhqvx-wzyLQ-QZEGx6OOWIk")</f>
        <v>1eaoIETDNb24RXEreULlqBhqvx-wzyLQ-QZEGx6OOWIk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IFERROR(__xludf.DUMMYFUNCTION("""COMPUTED_VALUE"""),"1yC8Wv8pFz-xSKCh-BNoBEG_jvndfI1AIgV0zSlSDMI0")</f>
        <v>1yC8Wv8pFz-xSKCh-BNoBEG_jvndfI1AIgV0zSlSDMI0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IFERROR(__xludf.DUMMYFUNCTION("""COMPUTED_VALUE"""),"1BwceFfRFXBSOniiRhT1Nl_2D9MTRETjYIb7ZHUU6W4c")</f>
        <v>1BwceFfRFXBSOniiRhT1Nl_2D9MTRETjYIb7ZHUU6W4c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IFERROR(__xludf.DUMMYFUNCTION("""COMPUTED_VALUE"""),"1Rvzh-eJXivhL6DEagE3qvEb1nFNqCrK4C1CGKgbWGc8")</f>
        <v>1Rvzh-eJXivhL6DEagE3qvEb1nFNqCrK4C1CGKgbWGc8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IFERROR(__xludf.DUMMYFUNCTION("""COMPUTED_VALUE"""),"1Jso0TC_FWBB044YhD7W2BtiwhvzHb7EOgl_rdA3HFR0")</f>
        <v>1Jso0TC_FWBB044YhD7W2BtiwhvzHb7EOgl_rdA3HFR0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IFERROR(__xludf.DUMMYFUNCTION("""COMPUTED_VALUE"""),"1uyuwvv3L3R9HyXKpbUMYRZcMqOcR0HdO9g8C50GvA7o")</f>
        <v>1uyuwvv3L3R9HyXKpbUMYRZcMqOcR0HdO9g8C50GvA7o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IFERROR(__xludf.DUMMYFUNCTION("""COMPUTED_VALUE"""),"1AstfuV459BqKeepu1MNmnf9RnELNSqTbT8n5dWFhU4A")</f>
        <v>1AstfuV459BqKeepu1MNmnf9RnELNSqTbT8n5dWFhU4A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IFERROR(__xludf.DUMMYFUNCTION("""COMPUTED_VALUE"""),"109VETDxhCZifjTuw0RgdbIACi58AzIZl3dDnb6i6XHo")</f>
        <v>109VETDxhCZifjTuw0RgdbIACi58AzIZl3dDnb6i6XHo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IFERROR(__xludf.DUMMYFUNCTION("""COMPUTED_VALUE"""),"1XdZaKDGYgE9-tKFQso0HKZSgkAxkpHZOvbFRHMlZ3xA")</f>
        <v>1XdZaKDGYgE9-tKFQso0HKZSgkAxkpHZOvbFRHMlZ3xA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IFERROR(__xludf.DUMMYFUNCTION("""COMPUTED_VALUE"""),"1tUAq8qQntTSgASBY91fvVU8snKI0bJhC-FtS9W_wbzg")</f>
        <v>1tUAq8qQntTSgASBY91fvVU8snKI0bJhC-FtS9W_wbzg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IFERROR(__xludf.DUMMYFUNCTION("""COMPUTED_VALUE"""),"1Bno1TrJBKAvxD0_Fata4ZCQmTQjAVzTeScSoEZObcVU")</f>
        <v>1Bno1TrJBKAvxD0_Fata4ZCQmTQjAVzTeScSoEZObcVU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IFERROR(__xludf.DUMMYFUNCTION("""COMPUTED_VALUE"""),"1rgd2fe8QniENxU_y5tc12gCzhrYT-gekVPiniOFI6kw")</f>
        <v>1rgd2fe8QniENxU_y5tc12gCzhrYT-gekVPiniOFI6kw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IFERROR(__xludf.DUMMYFUNCTION("""COMPUTED_VALUE"""),"17HcIdum8zZH8Ni0jqEsdVE8-5i_Pp7PnFRmrFAMw42c")</f>
        <v>17HcIdum8zZH8Ni0jqEsdVE8-5i_Pp7PnFRmrFAMw42c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IFERROR(__xludf.DUMMYFUNCTION("""COMPUTED_VALUE"""),"1Usd8z5f1Gxiq2eU1suYXk3Wr-DyU1ioP01IpI3fb7HU")</f>
        <v>1Usd8z5f1Gxiq2eU1suYXk3Wr-DyU1ioP01IpI3fb7HU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IFERROR(__xludf.DUMMYFUNCTION("""COMPUTED_VALUE"""),"1eQN7kJn_D3eEi6utF462OrYRTnClw3BNXwnf8Nb24kE")</f>
        <v>1eQN7kJn_D3eEi6utF462OrYRTnClw3BNXwnf8Nb24kE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IFERROR(__xludf.DUMMYFUNCTION("""COMPUTED_VALUE"""),"1Vpasp_hFXJJz1bHltjhvLZZAgyBDtgwZwPCC3yE2F7E")</f>
        <v>1Vpasp_hFXJJz1bHltjhvLZZAgyBDtgwZwPCC3yE2F7E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IFERROR(__xludf.DUMMYFUNCTION("""COMPUTED_VALUE"""),"1aPIvRy1g73wuE_MnfsS9_6sZL8WBRMC5OSbBMVFTwZ4")</f>
        <v>1aPIvRy1g73wuE_MnfsS9_6sZL8WBRMC5OSbBMVFTwZ4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IFERROR(__xludf.DUMMYFUNCTION("""COMPUTED_VALUE"""),"1clS5unmZ92YCMaKCVLJ3r_ShuU8JBprNUpRv8R82FGU")</f>
        <v>1clS5unmZ92YCMaKCVLJ3r_ShuU8JBprNUpRv8R82FGU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IFERROR(__xludf.DUMMYFUNCTION("""COMPUTED_VALUE"""),"1B0mYySs5M1I6dikafVQ-4neiuHI-Vn_CefIpGSizjjc")</f>
        <v>1B0mYySs5M1I6dikafVQ-4neiuHI-Vn_CefIpGSizjjc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IFERROR(__xludf.DUMMYFUNCTION("""COMPUTED_VALUE"""),"1DhRXM2fca9wmYyaQSNF2bw07jlvNCvnHLL6qkOh4VYI")</f>
        <v>1DhRXM2fca9wmYyaQSNF2bw07jlvNCvnHLL6qkOh4VYI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IFERROR(__xludf.DUMMYFUNCTION("""COMPUTED_VALUE"""),"1VIvijDDAhEkPlk94McsOVF8Jhhp0VL5XZT6HhpFL9Zc")</f>
        <v>1VIvijDDAhEkPlk94McsOVF8Jhhp0VL5XZT6HhpFL9Zc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IFERROR(__xludf.DUMMYFUNCTION("""COMPUTED_VALUE"""),"1yFz_O3Qa1RLU4rwM7B95-FObIdnsJkq5W3t8wb25pwk")</f>
        <v>1yFz_O3Qa1RLU4rwM7B95-FObIdnsJkq5W3t8wb25pwk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IFERROR(__xludf.DUMMYFUNCTION("""COMPUTED_VALUE"""),"11zVa4QDQKlc2xL6L7T4ZkXvvPbqsdUS4dwdtv-vQckA")</f>
        <v>11zVa4QDQKlc2xL6L7T4ZkXvvPbqsdUS4dwdtv-vQckA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IFERROR(__xludf.DUMMYFUNCTION("""COMPUTED_VALUE"""),"1TP115IJHmOPYWofIcvK8Qm4INI0h3lVcWYgM7A1GDY0")</f>
        <v>1TP115IJHmOPYWofIcvK8Qm4INI0h3lVcWYgM7A1GDY0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IFERROR(__xludf.DUMMYFUNCTION("""COMPUTED_VALUE"""),"1VaJGHF0zBhhJsVgD_iWrTX0Nr78l3r6Vi8qxUzFqfpg")</f>
        <v>1VaJGHF0zBhhJsVgD_iWrTX0Nr78l3r6Vi8qxUzFqfpg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IFERROR(__xludf.DUMMYFUNCTION("""COMPUTED_VALUE"""),"1S084g8k68lhm_CzYP_s6hwzDsfQY_6PB602z30FlPho")</f>
        <v>1S084g8k68lhm_CzYP_s6hwzDsfQY_6PB602z30FlPho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IFERROR(__xludf.DUMMYFUNCTION("""COMPUTED_VALUE"""),"1_MlZUjk6ONPxfNtDIiycrqW9OaNnNF1m2u9LLf-5PcQ")</f>
        <v>1_MlZUjk6ONPxfNtDIiycrqW9OaNnNF1m2u9LLf-5PcQ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IFERROR(__xludf.DUMMYFUNCTION("""COMPUTED_VALUE"""),"17UYmoBLvsngTQLOZr9QrA8jxOAd0meDTXmZZyvI3OXI")</f>
        <v>17UYmoBLvsngTQLOZr9QrA8jxOAd0meDTXmZZyvI3OXI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IFERROR(__xludf.DUMMYFUNCTION("""COMPUTED_VALUE"""),"1Ncu0Zw9d-NZRpdNoPkeEXa5zXKF9E-P2wsxlX0wuyrc")</f>
        <v>1Ncu0Zw9d-NZRpdNoPkeEXa5zXKF9E-P2wsxlX0wuyrc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IFERROR(__xludf.DUMMYFUNCTION("""COMPUTED_VALUE"""),"1JNw9FkwFpwS2PGoV2iPz2qmPWmsTb8csLDPno0EuKzY")</f>
        <v>1JNw9FkwFpwS2PGoV2iPz2qmPWmsTb8csLDPno0EuKzY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IFERROR(__xludf.DUMMYFUNCTION("""COMPUTED_VALUE"""),"18XNfQJN7Pu4gTl1w2NXXhtl6NZpq3a53C0HJQ6Sp57c")</f>
        <v>18XNfQJN7Pu4gTl1w2NXXhtl6NZpq3a53C0HJQ6Sp57c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IFERROR(__xludf.DUMMYFUNCTION("""COMPUTED_VALUE"""),"1rMIUfcuqi6w1rhs_b8qvPSRahQ4icKmE0M2aOjPpKes")</f>
        <v>1rMIUfcuqi6w1rhs_b8qvPSRahQ4icKmE0M2aOjPpKes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IFERROR(__xludf.DUMMYFUNCTION("""COMPUTED_VALUE"""),"1pw1PrdXa_R5C5EukiFRPZWxGGq7JT9Agg84XvlWtXHM")</f>
        <v>1pw1PrdXa_R5C5EukiFRPZWxGGq7JT9Agg84XvlWtXHM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IFERROR(__xludf.DUMMYFUNCTION("""COMPUTED_VALUE"""),"18LoNnAmIEkgMbba_u6IGuxxf0-Qe0rEpckSjd2uUouw")</f>
        <v>18LoNnAmIEkgMbba_u6IGuxxf0-Qe0rEpckSjd2uUouw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IFERROR(__xludf.DUMMYFUNCTION("""COMPUTED_VALUE"""),"1M-iHFf8UTEustA_Kaho7JrgnPvw5cftqwiBeRmymzB8")</f>
        <v>1M-iHFf8UTEustA_Kaho7JrgnPvw5cftqwiBeRmymzB8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IFERROR(__xludf.DUMMYFUNCTION("""COMPUTED_VALUE"""),"1IlEdaeUqOBtg4mM4gYsuJa70B8Sbnp7plSyIOiAVIgk")</f>
        <v>1IlEdaeUqOBtg4mM4gYsuJa70B8Sbnp7plSyIOiAVIgk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IFERROR(__xludf.DUMMYFUNCTION("""COMPUTED_VALUE"""),"1dj8bA6nfZ1fxsLG7C3A_Ek0CtDIB8q7FR_rcxshATwQ")</f>
        <v>1dj8bA6nfZ1fxsLG7C3A_Ek0CtDIB8q7FR_rcxshATwQ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IFERROR(__xludf.DUMMYFUNCTION("""COMPUTED_VALUE"""),"1Dll2sWDtcfuwrpiTqSe-eN4inI0LypdXOVltGtNIqu8")</f>
        <v>1Dll2sWDtcfuwrpiTqSe-eN4inI0LypdXOVltGtNIqu8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IFERROR(__xludf.DUMMYFUNCTION("""COMPUTED_VALUE"""),"1lPnz-FV1f1G2GPvvQCySelg_zICYLc6nPkmy7MrNpX8")</f>
        <v>1lPnz-FV1f1G2GPvvQCySelg_zICYLc6nPkmy7MrNpX8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IFERROR(__xludf.DUMMYFUNCTION("""COMPUTED_VALUE"""),"16cTYyVqnDb0UBDA_IpfqwmNHyWAe8Ms-xO7jo-FKn0A")</f>
        <v>16cTYyVqnDb0UBDA_IpfqwmNHyWAe8Ms-xO7jo-FKn0A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IFERROR(__xludf.DUMMYFUNCTION("""COMPUTED_VALUE"""),"1Owu2cic47Z8WbUo7WLWwgVPP5PNVHDHm-co-OUWbgmc")</f>
        <v>1Owu2cic47Z8WbUo7WLWwgVPP5PNVHDHm-co-OUWbgmc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IFERROR(__xludf.DUMMYFUNCTION("""COMPUTED_VALUE"""),"1Y50AzSmKdg7JfFK_LD8Z_vfcYqmFBTY5OUH-3AWHhgI")</f>
        <v>1Y50AzSmKdg7JfFK_LD8Z_vfcYqmFBTY5OUH-3AWHhgI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IFERROR(__xludf.DUMMYFUNCTION("""COMPUTED_VALUE"""),"1wTPQxotwV6JCtfSovv5YJI6ZA3N8v8QfO3Rl7M8WBw4")</f>
        <v>1wTPQxotwV6JCtfSovv5YJI6ZA3N8v8QfO3Rl7M8WBw4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IFERROR(__xludf.DUMMYFUNCTION("""COMPUTED_VALUE"""),"1J8U9t3KVSIgtMdaCtvDl7vczUVKJ0rbXoktGlC0pouM")</f>
        <v>1J8U9t3KVSIgtMdaCtvDl7vczUVKJ0rbXoktGlC0pouM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IFERROR(__xludf.DUMMYFUNCTION("""COMPUTED_VALUE"""),"19ADTickI55w_f0Qh4KDprj-ycjacQTK1rRm3kN1lL9I")</f>
        <v>19ADTickI55w_f0Qh4KDprj-ycjacQTK1rRm3kN1lL9I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IFERROR(__xludf.DUMMYFUNCTION("""COMPUTED_VALUE"""),"16-eFUIQ3ukzsjSPxB24KZvEky-ECCg70eA4oWMP0k-0")</f>
        <v>16-eFUIQ3ukzsjSPxB24KZvEky-ECCg70eA4oWMP0k-0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IFERROR(__xludf.DUMMYFUNCTION("""COMPUTED_VALUE"""),"10BtQvahVCYnraPnKKsXTlDDrXH35Dfu57xMmuGesPbw")</f>
        <v>10BtQvahVCYnraPnKKsXTlDDrXH35Dfu57xMmuGesPbw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IFERROR(__xludf.DUMMYFUNCTION("""COMPUTED_VALUE"""),"1FlgjlUfMB_Ov2ajxqPDBmx4FjNzjR-hUBeEMwt9iQY4")</f>
        <v>1FlgjlUfMB_Ov2ajxqPDBmx4FjNzjR-hUBeEMwt9iQY4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IFERROR(__xludf.DUMMYFUNCTION("""COMPUTED_VALUE"""),"1ehtDHXUOwy3gDt4GoAJ9GbAoxhAGxjndnc_T-1yFgR8")</f>
        <v>1ehtDHXUOwy3gDt4GoAJ9GbAoxhAGxjndnc_T-1yFgR8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IFERROR(__xludf.DUMMYFUNCTION("""COMPUTED_VALUE"""),"1cmWZ4-ng-hApE-psRT8bSWDbTVr7SYk0cVc8bUH6io8")</f>
        <v>1cmWZ4-ng-hApE-psRT8bSWDbTVr7SYk0cVc8bUH6io8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IFERROR(__xludf.DUMMYFUNCTION("""COMPUTED_VALUE"""),"1L9Jzxvuy5z_ke_fw4Ut_3K-JV6BVs1ABWW5abckiRuk")</f>
        <v>1L9Jzxvuy5z_ke_fw4Ut_3K-JV6BVs1ABWW5abckiRuk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IFERROR(__xludf.DUMMYFUNCTION("""COMPUTED_VALUE"""),"1TpAslQOfNHC2s8O1Pa0jlryh5LOsLayesGJ-HdRVDoY")</f>
        <v>1TpAslQOfNHC2s8O1Pa0jlryh5LOsLayesGJ-HdRVDoY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IFERROR(__xludf.DUMMYFUNCTION("""COMPUTED_VALUE"""),"1Bu2vtRhzucwHoO-CJpsj3Z5UqUWOWJKUcbkMM6vGTqo")</f>
        <v>1Bu2vtRhzucwHoO-CJpsj3Z5UqUWOWJKUcbkMM6vGTqo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IFERROR(__xludf.DUMMYFUNCTION("""COMPUTED_VALUE"""),"18PkgWy5HKnMMEpYHNfztlnZCng_Slh7Iy3Jjdf9FnyI")</f>
        <v>18PkgWy5HKnMMEpYHNfztlnZCng_Slh7Iy3Jjdf9FnyI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IFERROR(__xludf.DUMMYFUNCTION("""COMPUTED_VALUE"""),"1EH8pKjhhBPNLqmDrqbG0JqtjsXaV8KJYA6l5N4MrrIY")</f>
        <v>1EH8pKjhhBPNLqmDrqbG0JqtjsXaV8KJYA6l5N4MrrIY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IFERROR(__xludf.DUMMYFUNCTION("""COMPUTED_VALUE"""),"1gZaSRFUpO1ruQv0px2yVE7mLEnMKIc_QL_JxhUJns6w")</f>
        <v>1gZaSRFUpO1ruQv0px2yVE7mLEnMKIc_QL_JxhUJns6w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IFERROR(__xludf.DUMMYFUNCTION("""COMPUTED_VALUE"""),"1Z8sb4__Lg0JalM6pM6xkVc_TiLbeNHrj6IknKSnL5H4")</f>
        <v>1Z8sb4__Lg0JalM6pM6xkVc_TiLbeNHrj6IknKSnL5H4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IFERROR(__xludf.DUMMYFUNCTION("""COMPUTED_VALUE"""),"16iKUzpEpEJO_Bl2pXlVRM-vD5UK97D5AFC9rw46xLBk")</f>
        <v>16iKUzpEpEJO_Bl2pXlVRM-vD5UK97D5AFC9rw46xLBk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IFERROR(__xludf.DUMMYFUNCTION("""COMPUTED_VALUE"""),"1RTjztF0M6g7xcSJNmqN1nHi0V-gzwXQuBB4-RbMrIdA")</f>
        <v>1RTjztF0M6g7xcSJNmqN1nHi0V-gzwXQuBB4-RbMrIdA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IFERROR(__xludf.DUMMYFUNCTION("""COMPUTED_VALUE"""),"1oiSYwztRGp8xzlvAitHk5O2zskEABIhO5tgHUEL1svc")</f>
        <v>1oiSYwztRGp8xzlvAitHk5O2zskEABIhO5tgHUEL1svc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IFERROR(__xludf.DUMMYFUNCTION("""COMPUTED_VALUE"""),"17QovWM75UjApdwFwFRSmfy8ed2oBNL4vbwf5BJpKNtg")</f>
        <v>17QovWM75UjApdwFwFRSmfy8ed2oBNL4vbwf5BJpKNtg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IFERROR(__xludf.DUMMYFUNCTION("""COMPUTED_VALUE"""),"1_kadfg1NiQaQ44l2s4JaAOdX0oK0uIiEpEpcE8kSXc4")</f>
        <v>1_kadfg1NiQaQ44l2s4JaAOdX0oK0uIiEpEpcE8kSXc4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IFERROR(__xludf.DUMMYFUNCTION("""COMPUTED_VALUE"""),"1rIgT_oUd8VYn3uvQkaqypsWXPI5mArskMgfPFTMOqy4")</f>
        <v>1rIgT_oUd8VYn3uvQkaqypsWXPI5mArskMgfPFTMOqy4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IFERROR(__xludf.DUMMYFUNCTION("""COMPUTED_VALUE"""),"1CjzXvuGPVDt7n4wJXsXH_CROBLKwj-GiagtBRetK2qU")</f>
        <v>1CjzXvuGPVDt7n4wJXsXH_CROBLKwj-GiagtBRetK2qU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IFERROR(__xludf.DUMMYFUNCTION("""COMPUTED_VALUE"""),"17D-CeSv7zeLu6w3e6KeVgmSR8GUhyfnVkMBKFVBrARI")</f>
        <v>17D-CeSv7zeLu6w3e6KeVgmSR8GUhyfnVkMBKFVBrARI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IFERROR(__xludf.DUMMYFUNCTION("""COMPUTED_VALUE"""),"1JV2odq8th8dTkDYRpq9RVp4raTtWdmbKUn5nMJX441s")</f>
        <v>1JV2odq8th8dTkDYRpq9RVp4raTtWdmbKUn5nMJX441s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IFERROR(__xludf.DUMMYFUNCTION("""COMPUTED_VALUE"""),"1sVj_55a0V51yYMgEL9RB8hYTgtzHoJcBI5hYzjILSRk")</f>
        <v>1sVj_55a0V51yYMgEL9RB8hYTgtzHoJcBI5hYzjILSRk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IFERROR(__xludf.DUMMYFUNCTION("""COMPUTED_VALUE"""),"1OWqgdRDfNIdrJXb61LMsF2wWIdH59kPrc-oGeZc1MEI")</f>
        <v>1OWqgdRDfNIdrJXb61LMsF2wWIdH59kPrc-oGeZc1MEI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IFERROR(__xludf.DUMMYFUNCTION("""COMPUTED_VALUE"""),"1aZcLqglE7GPm90-oMIdSJp7HlQrA30JIDZ-M2a2zcms")</f>
        <v>1aZcLqglE7GPm90-oMIdSJp7HlQrA30JIDZ-M2a2zcms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IFERROR(__xludf.DUMMYFUNCTION("""COMPUTED_VALUE"""),"1vcbfMsKMqF_V0OadQLfepNtS8WnwHqU0WFEA0aT_HeU")</f>
        <v>1vcbfMsKMqF_V0OadQLfepNtS8WnwHqU0WFEA0aT_HeU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IFERROR(__xludf.DUMMYFUNCTION("""COMPUTED_VALUE"""),"12wm-nFx8_xYkNhDb-kzakUa7uPl25NpCXbma6t3ZfiQ")</f>
        <v>12wm-nFx8_xYkNhDb-kzakUa7uPl25NpCXbma6t3ZfiQ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IFERROR(__xludf.DUMMYFUNCTION("""COMPUTED_VALUE"""),"1K-KHAWECCYGz8BTjRLH44g9Ol1pMUScm2Kx6yUQE7BU")</f>
        <v>1K-KHAWECCYGz8BTjRLH44g9Ol1pMUScm2Kx6yUQE7BU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IFERROR(__xludf.DUMMYFUNCTION("""COMPUTED_VALUE"""),"1sesgPiGJtT-Ey32zmnnKdOdBkvOJ6shdKgN--cZCNaM")</f>
        <v>1sesgPiGJtT-Ey32zmnnKdOdBkvOJ6shdKgN--cZCNaM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IFERROR(__xludf.DUMMYFUNCTION("""COMPUTED_VALUE"""),"1tWcQwLro3p26kKsWI6Z1I7GtylC9L1lsnTqAwHOZKzA")</f>
        <v>1tWcQwLro3p26kKsWI6Z1I7GtylC9L1lsnTqAwHOZKzA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IFERROR(__xludf.DUMMYFUNCTION("""COMPUTED_VALUE"""),"1jdvjXxtQbc6B4hMFjCuUSHjrKwafI_4dN8zjMvnoryE")</f>
        <v>1jdvjXxtQbc6B4hMFjCuUSHjrKwafI_4dN8zjMvnoryE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IFERROR(__xludf.DUMMYFUNCTION("""COMPUTED_VALUE"""),"1LNsU7ep1l4cr_oy_uI86EJ1CkvkLHF6Yo0WOMRU74S8")</f>
        <v>1LNsU7ep1l4cr_oy_uI86EJ1CkvkLHF6Yo0WOMRU74S8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IFERROR(__xludf.DUMMYFUNCTION("""COMPUTED_VALUE"""),"1eGXUoChdJAU0jioBXcfFCco8AUptTMF3X3Ej_eTbGKk")</f>
        <v>1eGXUoChdJAU0jioBXcfFCco8AUptTMF3X3Ej_eTbGKk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IFERROR(__xludf.DUMMYFUNCTION("""COMPUTED_VALUE"""),"14HIfvcWxAjFiWkRU_cqPRIr9M_uQUpK5PUWLB8-QGeY")</f>
        <v>14HIfvcWxAjFiWkRU_cqPRIr9M_uQUpK5PUWLB8-QGeY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IFERROR(__xludf.DUMMYFUNCTION("""COMPUTED_VALUE"""),"1PlxAVmA1kQxKEDdmir_dZ2yCnS0sczqxaxI14lspQRc")</f>
        <v>1PlxAVmA1kQxKEDdmir_dZ2yCnS0sczqxaxI14lspQRc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IFERROR(__xludf.DUMMYFUNCTION("""COMPUTED_VALUE"""),"1V1RvmzETVxcH9CLybyKXqI5pWvziKkgQY1hpXLZpRb0")</f>
        <v>1V1RvmzETVxcH9CLybyKXqI5pWvziKkgQY1hpXLZpRb0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IFERROR(__xludf.DUMMYFUNCTION("""COMPUTED_VALUE"""),"1AQl7WcPdSUJr2euw305eRRQMuZWLmiJXK_zLYXfXpe0")</f>
        <v>1AQl7WcPdSUJr2euw305eRRQMuZWLmiJXK_zLYXfXpe0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IFERROR(__xludf.DUMMYFUNCTION("""COMPUTED_VALUE"""),"16JaseGtsYIGOyEASc-NbgrrX2NsXB9UQxLaelT6YRgQ")</f>
        <v>16JaseGtsYIGOyEASc-NbgrrX2NsXB9UQxLaelT6YRgQ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IFERROR(__xludf.DUMMYFUNCTION("""COMPUTED_VALUE"""),"1HqBILRs6rj75XQAhwegUY0yUgq0DFvsYJU1JqOKcCWw")</f>
        <v>1HqBILRs6rj75XQAhwegUY0yUgq0DFvsYJU1JqOKcCWw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IFERROR(__xludf.DUMMYFUNCTION("""COMPUTED_VALUE"""),"10senHLHNcYUh0kxAWl1Up6T7v4TtqcfQeVnNDTArAjg")</f>
        <v>10senHLHNcYUh0kxAWl1Up6T7v4TtqcfQeVnNDTArAjg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IFERROR(__xludf.DUMMYFUNCTION("""COMPUTED_VALUE"""),"1hpCDxexdBt2bsLnkKN6YERG6qu69pm_lyvTpfWmMM5Y")</f>
        <v>1hpCDxexdBt2bsLnkKN6YERG6qu69pm_lyvTpfWmMM5Y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IFERROR(__xludf.DUMMYFUNCTION("""COMPUTED_VALUE"""),"1StAxeCnhmJunJOF4qJw7V7rZDdzeSnvX__M_m1ZuPnM")</f>
        <v>1StAxeCnhmJunJOF4qJw7V7rZDdzeSnvX__M_m1ZuPnM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IFERROR(__xludf.DUMMYFUNCTION("""COMPUTED_VALUE"""),"1Jz70Q9qwZ_KOtJ0prDxI5KzBnE_QVBCDBZH3r44j7P8")</f>
        <v>1Jz70Q9qwZ_KOtJ0prDxI5KzBnE_QVBCDBZH3r44j7P8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IFERROR(__xludf.DUMMYFUNCTION("""COMPUTED_VALUE"""),"1LOLJZdwbbwm5MWN6Aj_y28uGgG8a5k52W10D4WJ-qkQ")</f>
        <v>1LOLJZdwbbwm5MWN6Aj_y28uGgG8a5k52W10D4WJ-qkQ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IFERROR(__xludf.DUMMYFUNCTION("""COMPUTED_VALUE"""),"1IlOCDJWqGZHQTQtKCdo8xvCewBQR_Pw60YZtZIktB4g")</f>
        <v>1IlOCDJWqGZHQTQtKCdo8xvCewBQR_Pw60YZtZIktB4g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IFERROR(__xludf.DUMMYFUNCTION("""COMPUTED_VALUE"""),"1RjKrb8uRhjiDYhV2_08MxltmgLmu-Nvd19RVEJ5t5fU")</f>
        <v>1RjKrb8uRhjiDYhV2_08MxltmgLmu-Nvd19RVEJ5t5fU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IFERROR(__xludf.DUMMYFUNCTION("""COMPUTED_VALUE"""),"1QSOAd6hb8iMGX99AAmBzh30ETFcaz04qbf8FEfLeYvg")</f>
        <v>1QSOAd6hb8iMGX99AAmBzh30ETFcaz04qbf8FEfLeYvg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IFERROR(__xludf.DUMMYFUNCTION("""COMPUTED_VALUE"""),"1giMfU5SJAKDQXA1Q4k75EmpXWW3khjzRDSVLnhL0EIY")</f>
        <v>1giMfU5SJAKDQXA1Q4k75EmpXWW3khjzRDSVLnhL0EIY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IFERROR(__xludf.DUMMYFUNCTION("""COMPUTED_VALUE"""),"1uiC0ZQIk0iOlMA5Va1xcENNDotJcx9lYGyBUwg9Hgto")</f>
        <v>1uiC0ZQIk0iOlMA5Va1xcENNDotJcx9lYGyBUwg9Hgto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IFERROR(__xludf.DUMMYFUNCTION("""COMPUTED_VALUE"""),"1SY6I7Y1kNH4RpCgdDlY3E-h8usrAsSq5w0L2A_JbP0E")</f>
        <v>1SY6I7Y1kNH4RpCgdDlY3E-h8usrAsSq5w0L2A_JbP0E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IFERROR(__xludf.DUMMYFUNCTION("""COMPUTED_VALUE"""),"1k5EBRXPiJ1hAJdYsT4pHusMAvNL8WFGRU-AVEwxmWtw")</f>
        <v>1k5EBRXPiJ1hAJdYsT4pHusMAvNL8WFGRU-AVEwxmWtw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IFERROR(__xludf.DUMMYFUNCTION("""COMPUTED_VALUE"""),"132M3XrMLcOse0wnuxC6V3UrkiB8-BoFhvU2tLauJ0N4")</f>
        <v>132M3XrMLcOse0wnuxC6V3UrkiB8-BoFhvU2tLauJ0N4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IFERROR(__xludf.DUMMYFUNCTION("""COMPUTED_VALUE"""),"1cajGzH7tqLxFC8BnuHlMCg-SRNTsx7KgHS6low_imiw")</f>
        <v>1cajGzH7tqLxFC8BnuHlMCg-SRNTsx7KgHS6low_imiw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IFERROR(__xludf.DUMMYFUNCTION("""COMPUTED_VALUE"""),"1FIVvYeBou_v0Rajgdlg4Dn259vj948a4ITnN6XGPiHY")</f>
        <v>1FIVvYeBou_v0Rajgdlg4Dn259vj948a4ITnN6XGPiHY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IFERROR(__xludf.DUMMYFUNCTION("""COMPUTED_VALUE"""),"1OAVpHXxYG9sHC2AdPSAmYbRcNgndP44OYbO-bvaSKIE")</f>
        <v>1OAVpHXxYG9sHC2AdPSAmYbRcNgndP44OYbO-bvaSKIE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IFERROR(__xludf.DUMMYFUNCTION("""COMPUTED_VALUE"""),"1deUHsiNLHEEsp-GNB4X4XUHjBGdMJF84xLmjUIBUcLA")</f>
        <v>1deUHsiNLHEEsp-GNB4X4XUHjBGdMJF84xLmjUIBUcLA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IFERROR(__xludf.DUMMYFUNCTION("""COMPUTED_VALUE"""),"1mnKl6jHQhD7AEx1jzxfLWuc2Kv5kLcwPNU4smHImEPs")</f>
        <v>1mnKl6jHQhD7AEx1jzxfLWuc2Kv5kLcwPNU4smHImEPs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IFERROR(__xludf.DUMMYFUNCTION("""COMPUTED_VALUE"""),"1nf8W2oy_M0GSmFfcCFHOYCHWUwLMlzqDUSGBR36IbaI")</f>
        <v>1nf8W2oy_M0GSmFfcCFHOYCHWUwLMlzqDUSGBR36IbaI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IFERROR(__xludf.DUMMYFUNCTION("""COMPUTED_VALUE"""),"1jjVXzRolyFKUIxrpIo6DtnV6bx2CUj1M_kCNY_vsgy4")</f>
        <v>1jjVXzRolyFKUIxrpIo6DtnV6bx2CUj1M_kCNY_vsgy4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IFERROR(__xludf.DUMMYFUNCTION("""COMPUTED_VALUE"""),"18RcQxNwhAWOwcmy59o0cucJIdPSl6sADpFYIcsJ5sqo")</f>
        <v>18RcQxNwhAWOwcmy59o0cucJIdPSl6sADpFYIcsJ5sqo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IFERROR(__xludf.DUMMYFUNCTION("""COMPUTED_VALUE"""),"1C2o5-jwhnctEvEaVDDPBZz0tGyVsNv4VW3fW1bOL5TQ")</f>
        <v>1C2o5-jwhnctEvEaVDDPBZz0tGyVsNv4VW3fW1bOL5TQ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IFERROR(__xludf.DUMMYFUNCTION("""COMPUTED_VALUE"""),"1eX2Mfhb7koI3BhKKW6izvlEfitWdKST9vScAS14DYj0")</f>
        <v>1eX2Mfhb7koI3BhKKW6izvlEfitWdKST9vScAS14DYj0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IFERROR(__xludf.DUMMYFUNCTION("""COMPUTED_VALUE"""),"1CBXHBOOctFe-5Xw_99Yv2wghGcigXObx30_17CJORTs")</f>
        <v>1CBXHBOOctFe-5Xw_99Yv2wghGcigXObx30_17CJORTs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IFERROR(__xludf.DUMMYFUNCTION("""COMPUTED_VALUE"""),"1CBXHBOOctFe-5Xw_99Yv2wghGcigXObx30_17CJORTs")</f>
        <v>1CBXHBOOctFe-5Xw_99Yv2wghGcigXObx30_17CJORTs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IFERROR(__xludf.DUMMYFUNCTION("""COMPUTED_VALUE"""),"1k5EBRXPiJ1hAJdYsT4pHusMAvNL8WFGRU-AVEwxmWtw")</f>
        <v>1k5EBRXPiJ1hAJdYsT4pHusMAvNL8WFGRU-AVEwxmWtw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IFERROR(__xludf.DUMMYFUNCTION("""COMPUTED_VALUE"""),"1c_NLMk5uy2GW1oz-Zyz2EOEkjIs10v95M_q-jh7vKvs")</f>
        <v>1c_NLMk5uy2GW1oz-Zyz2EOEkjIs10v95M_q-jh7vKvs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IFERROR(__xludf.DUMMYFUNCTION("""COMPUTED_VALUE"""),"1k5EBRXPiJ1hAJdYsT4pHusMAvNL8WFGRU-AVEwxmWtw")</f>
        <v>1k5EBRXPiJ1hAJdYsT4pHusMAvNL8WFGRU-AVEwxmWtw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IFERROR(__xludf.DUMMYFUNCTION("""COMPUTED_VALUE"""),"1eiadZFi4EpW3GFqZaaoMFvWshTpPlk6F-hWhIJ18reQ")</f>
        <v>1eiadZFi4EpW3GFqZaaoMFvWshTpPlk6F-hWhIJ18reQ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IFERROR(__xludf.DUMMYFUNCTION("""COMPUTED_VALUE"""),"1tLvFabe6MOsJmg5CfsfrJ40ICMChWvnF-hcgnxRUcCc")</f>
        <v>1tLvFabe6MOsJmg5CfsfrJ40ICMChWvnF-hcgnxRUcCc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IFERROR(__xludf.DUMMYFUNCTION("""COMPUTED_VALUE"""),"1AwaQXJiwQ63pRdslfNamOnTIfyFa9PYlvDCRG8Moj7I")</f>
        <v>1AwaQXJiwQ63pRdslfNamOnTIfyFa9PYlvDCRG8Moj7I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IFERROR(__xludf.DUMMYFUNCTION("""COMPUTED_VALUE"""),"1AXzHAJjwT-9_5UW_XZw8Dwg7yp7Wz6mPkc0bQTXu160")</f>
        <v>1AXzHAJjwT-9_5UW_XZw8Dwg7yp7Wz6mPkc0bQTXu160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IFERROR(__xludf.DUMMYFUNCTION("""COMPUTED_VALUE"""),"1B7i0IoV9AO1bwZU3Tp_Qg16uzTHINgkzk9LQZ0sW_fs")</f>
        <v>1B7i0IoV9AO1bwZU3Tp_Qg16uzTHINgkzk9LQZ0sW_fs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IFERROR(__xludf.DUMMYFUNCTION("""COMPUTED_VALUE"""),"1CEnDaSGOuGcFNjm3hHd8aBDyUcX0sT7u_R9_4qKqDQg")</f>
        <v>1CEnDaSGOuGcFNjm3hHd8aBDyUcX0sT7u_R9_4qKqDQg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IFERROR(__xludf.DUMMYFUNCTION("""COMPUTED_VALUE"""),"1I1ruBtO8EtWeNS27V6l1CtRbmFnyCoGYjJeQKaXGO9c")</f>
        <v>1I1ruBtO8EtWeNS27V6l1CtRbmFnyCoGYjJeQKaXGO9c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IFERROR(__xludf.DUMMYFUNCTION("""COMPUTED_VALUE"""),"1uA3-X_sfdgHpLlla2gmA5qaIeMTJ6myEpMQomvaH57E")</f>
        <v>1uA3-X_sfdgHpLlla2gmA5qaIeMTJ6myEpMQomvaH57E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IFERROR(__xludf.DUMMYFUNCTION("""COMPUTED_VALUE"""),"1oJZA4RBw_XCkQDDZBy85ywqvQNpWajanrSAgqZzI13E")</f>
        <v>1oJZA4RBw_XCkQDDZBy85ywqvQNpWajanrSAgqZzI13E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IFERROR(__xludf.DUMMYFUNCTION("""COMPUTED_VALUE"""),"1CdBYKFFqYhOy4q1BEQGu82mUnF7WNWe4Z814u9beHxI")</f>
        <v>1CdBYKFFqYhOy4q1BEQGu82mUnF7WNWe4Z814u9beHxI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IFERROR(__xludf.DUMMYFUNCTION("""COMPUTED_VALUE"""),"1Y1WdSpP2a4mgL9AgFePTD5-O91_kez0RV_3oa79deEo")</f>
        <v>1Y1WdSpP2a4mgL9AgFePTD5-O91_kez0RV_3oa79deEo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IFERROR(__xludf.DUMMYFUNCTION("""COMPUTED_VALUE"""),"1e_0FhonaytFQGqmA2SZC8cqHQ7AVLoOxgvQEkeR849g")</f>
        <v>1e_0FhonaytFQGqmA2SZC8cqHQ7AVLoOxgvQEkeR849g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IFERROR(__xludf.DUMMYFUNCTION("""COMPUTED_VALUE"""),"1XgmEBTVWV37ueOSbU-KFxQMdWXS2s9BOXYqMxqKf2BY")</f>
        <v>1XgmEBTVWV37ueOSbU-KFxQMdWXS2s9BOXYqMxqKf2BY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IFERROR(__xludf.DUMMYFUNCTION("""COMPUTED_VALUE"""),"1e4CzgxX2NVRwzHvDyPOuiTJca4c8SXcpIGr2QVrjYQI")</f>
        <v>1e4CzgxX2NVRwzHvDyPOuiTJca4c8SXcpIGr2QVrjYQI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IFERROR(__xludf.DUMMYFUNCTION("""COMPUTED_VALUE"""),"1YElm81jXxZdxskT731iIp16oGd1p-W5Ffb9MVJDoofg")</f>
        <v>1YElm81jXxZdxskT731iIp16oGd1p-W5Ffb9MVJDoofg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IFERROR(__xludf.DUMMYFUNCTION("""COMPUTED_VALUE"""),"1bi6uYRfzxVu3GJCc3nSEh0YvVqGOtn-spYb06yo_hnY")</f>
        <v>1bi6uYRfzxVu3GJCc3nSEh0YvVqGOtn-spYb06yo_hnY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IFERROR(__xludf.DUMMYFUNCTION("""COMPUTED_VALUE"""),"1_DQqAXKgUDfMNZ4igcBmYvkPrPEjdQfZcn6_6SIc1LA")</f>
        <v>1_DQqAXKgUDfMNZ4igcBmYvkPrPEjdQfZcn6_6SIc1LA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IFERROR(__xludf.DUMMYFUNCTION("""COMPUTED_VALUE"""),"1OyBrMYDA5pir_a0JoXRjM-kGt-a_f9fa5fayZhq7gQA")</f>
        <v>1OyBrMYDA5pir_a0JoXRjM-kGt-a_f9fa5fayZhq7gQA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IFERROR(__xludf.DUMMYFUNCTION("""COMPUTED_VALUE"""),"1YZnEM1XNVemOWc-WrHrlgFWLxrgjrRkjzNt5BMMb0SQ")</f>
        <v>1YZnEM1XNVemOWc-WrHrlgFWLxrgjrRkjzNt5BMMb0SQ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IFERROR(__xludf.DUMMYFUNCTION("""COMPUTED_VALUE"""),"14dJxKOyoZUguSNdGUYEkaQb5fO8cn-Xi7Lvco3mqQT0")</f>
        <v>14dJxKOyoZUguSNdGUYEkaQb5fO8cn-Xi7Lvco3mqQT0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IFERROR(__xludf.DUMMYFUNCTION("""COMPUTED_VALUE"""),"1jjylktggovoVKJ93ygprcwMqE7x5APXRPDlZORnG-lM")</f>
        <v>1jjylktggovoVKJ93ygprcwMqE7x5APXRPDlZORnG-lM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IFERROR(__xludf.DUMMYFUNCTION("""COMPUTED_VALUE"""),"1M_vWwbJmnVHSZCn_aXTbhje_gX1wR7qPtpIVUwfXXEI")</f>
        <v>1M_vWwbJmnVHSZCn_aXTbhje_gX1wR7qPtpIVUwfXXEI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IFERROR(__xludf.DUMMYFUNCTION("""COMPUTED_VALUE"""),"1VY_dfHFF7h6QdGCqKyvQNhL1L0AflvVXqmsJf_-Q-wM")</f>
        <v>1VY_dfHFF7h6QdGCqKyvQNhL1L0AflvVXqmsJf_-Q-wM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IFERROR(__xludf.DUMMYFUNCTION("""COMPUTED_VALUE"""),"1PlxAVmA1kQxKEDdmir_dZ2yCnS0sczqxaxI14lspQRc")</f>
        <v>1PlxAVmA1kQxKEDdmir_dZ2yCnS0sczqxaxI14lspQRc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IFERROR(__xludf.DUMMYFUNCTION("""COMPUTED_VALUE"""),"1wcR0IDUt_nDrixwL4ekhCphzdwkRzSvN74wQc6bqa6I")</f>
        <v>1wcR0IDUt_nDrixwL4ekhCphzdwkRzSvN74wQc6bqa6I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IFERROR(__xludf.DUMMYFUNCTION("""COMPUTED_VALUE"""),"1xMTnPgjA-5czlK--QDF7kSLwwzm_Nr_U-hWjlIptwvA")</f>
        <v>1xMTnPgjA-5czlK--QDF7kSLwwzm_Nr_U-hWjlIptwvA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IFERROR(__xludf.DUMMYFUNCTION("""COMPUTED_VALUE"""),"1GTyXwiBJ89Cz8jXXGex2tRDqiQ-zfsA2Ab877TNJGO8")</f>
        <v>1GTyXwiBJ89Cz8jXXGex2tRDqiQ-zfsA2Ab877TNJGO8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IFERROR(__xludf.DUMMYFUNCTION("""COMPUTED_VALUE"""),"1bNNEr-lSd0r160QEx23XXOR6M4VNsWETJctUKdRQISI")</f>
        <v>1bNNEr-lSd0r160QEx23XXOR6M4VNsWETJctUKdRQISI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IFERROR(__xludf.DUMMYFUNCTION("""COMPUTED_VALUE"""),"1ZwKNiPobd02LDEL972DGhHwWWjyxykoNCOLI0J0A3FQ")</f>
        <v>1ZwKNiPobd02LDEL972DGhHwWWjyxykoNCOLI0J0A3FQ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IFERROR(__xludf.DUMMYFUNCTION("""COMPUTED_VALUE"""),"1UX2q2cE3Yhd9N1Cymq56lMWFO5b_5MRDssdEeUHk7Uw")</f>
        <v>1UX2q2cE3Yhd9N1Cymq56lMWFO5b_5MRDssdEeUHk7Uw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IFERROR(__xludf.DUMMYFUNCTION("""COMPUTED_VALUE"""),"1_Pi7jaWwC1-jHc4gdZjz6rVBF8BeDCN5MP-lkS3-P5A")</f>
        <v>1_Pi7jaWwC1-jHc4gdZjz6rVBF8BeDCN5MP-lkS3-P5A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IFERROR(__xludf.DUMMYFUNCTION("""COMPUTED_VALUE"""),"1o84-ebWnVj-2eOPPbqtkU7cjAdopGIv9U9UpnvyS_RM")</f>
        <v>1o84-ebWnVj-2eOPPbqtkU7cjAdopGIv9U9UpnvyS_RM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IFERROR(__xludf.DUMMYFUNCTION("""COMPUTED_VALUE"""),"10QzcdIo3u5jhik0CvwvheVC9AB6WY_giUhBXgjokbKA")</f>
        <v>10QzcdIo3u5jhik0CvwvheVC9AB6WY_giUhBXgjokbKA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IFERROR(__xludf.DUMMYFUNCTION("""COMPUTED_VALUE"""),"1yhwHj8QXLwaG6_tqD1DiMTBFbGfFx06eBEkztEnm-Jw")</f>
        <v>1yhwHj8QXLwaG6_tqD1DiMTBFbGfFx06eBEkztEnm-Jw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IFERROR(__xludf.DUMMYFUNCTION("""COMPUTED_VALUE"""),"136i7p89n9UDWHd_V-4a1bV4rkJpS_ilCt9E0-pe1yK8")</f>
        <v>136i7p89n9UDWHd_V-4a1bV4rkJpS_ilCt9E0-pe1yK8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IFERROR(__xludf.DUMMYFUNCTION("""COMPUTED_VALUE"""),"1e9G7T26lY7vSvQv24ueVwOQKraBS_0LQ_KuMJQWQhZE")</f>
        <v>1e9G7T26lY7vSvQv24ueVwOQKraBS_0LQ_KuMJQWQhZE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IFERROR(__xludf.DUMMYFUNCTION("""COMPUTED_VALUE"""),"1ReudWT4409vS83RpMHfwkV9B4orUNJ9atUNdHyDBQ4s")</f>
        <v>1ReudWT4409vS83RpMHfwkV9B4orUNJ9atUNdHyDBQ4s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IFERROR(__xludf.DUMMYFUNCTION("""COMPUTED_VALUE"""),"1ca52Q2hfdhwZ8A2jVvaiicu3dt8a8J8L3Jhcse7pG2A")</f>
        <v>1ca52Q2hfdhwZ8A2jVvaiicu3dt8a8J8L3Jhcse7pG2A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IFERROR(__xludf.DUMMYFUNCTION("""COMPUTED_VALUE"""),"1SBzqeTSAoUoHFDHMn4k7c6g6LHSBIrpd4emybhFreTg")</f>
        <v>1SBzqeTSAoUoHFDHMn4k7c6g6LHSBIrpd4emybhFreTg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IFERROR(__xludf.DUMMYFUNCTION("""COMPUTED_VALUE"""),"1wAywyRQ48H22P5SEjLRQxebHLFtPifvm4VFxZoSYlTI")</f>
        <v>1wAywyRQ48H22P5SEjLRQxebHLFtPifvm4VFxZoSYlTI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IFERROR(__xludf.DUMMYFUNCTION("""COMPUTED_VALUE"""),"16ErDdYMk92r2vHKFbCSsrMnG2qsS600CjuKBnkuz9bg")</f>
        <v>16ErDdYMk92r2vHKFbCSsrMnG2qsS600CjuKBnkuz9bg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IFERROR(__xludf.DUMMYFUNCTION("""COMPUTED_VALUE"""),"1_ofNNle4c82uOrOMYVoJijcsU3RrE_tOk8sP-7DTQbE")</f>
        <v>1_ofNNle4c82uOrOMYVoJijcsU3RrE_tOk8sP-7DTQbE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IFERROR(__xludf.DUMMYFUNCTION("""COMPUTED_VALUE"""),"1S6IfjsUhgXZnzhxXTQ9Pu8C2d3owAfDh3AkXsJ77ONs")</f>
        <v>1S6IfjsUhgXZnzhxXTQ9Pu8C2d3owAfDh3AkXsJ77ONs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IFERROR(__xludf.DUMMYFUNCTION("""COMPUTED_VALUE"""),"1VvbbBLsHbv0nOMc8RenJrC7_8Yjvi3rS_glRksBYT_g")</f>
        <v>1VvbbBLsHbv0nOMc8RenJrC7_8Yjvi3rS_glRksBYT_g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IFERROR(__xludf.DUMMYFUNCTION("""COMPUTED_VALUE"""),"1aOi8zMpuwOlcgS4kk8Ruk2p6o_Y6yab83mZG5CGPHsI")</f>
        <v>1aOi8zMpuwOlcgS4kk8Ruk2p6o_Y6yab83mZG5CGPHsI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IFERROR(__xludf.DUMMYFUNCTION("""COMPUTED_VALUE"""),"1NH2RgaXiyv04qiaKhglHuboYXdFpvtuQx8ZaQl1cqFs")</f>
        <v>1NH2RgaXiyv04qiaKhglHuboYXdFpvtuQx8ZaQl1cqFs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IFERROR(__xludf.DUMMYFUNCTION("""COMPUTED_VALUE"""),"1qIRihKlBnQ9rcLjWoqIp-PhksybW-tE4KcRwTi-uTh8")</f>
        <v>1qIRihKlBnQ9rcLjWoqIp-PhksybW-tE4KcRwTi-uTh8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IFERROR(__xludf.DUMMYFUNCTION("""COMPUTED_VALUE"""),"1mBYEgZFVmhMZkYKMz2zBcLvpelcKVcdkwVNoWjn9Yhg")</f>
        <v>1mBYEgZFVmhMZkYKMz2zBcLvpelcKVcdkwVNoWjn9Yhg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IFERROR(__xludf.DUMMYFUNCTION("""COMPUTED_VALUE"""),"1nb7n3oYvCbSlMI6mlmZw3W8oxoLWQ1JFUZkN8dhvKGo")</f>
        <v>1nb7n3oYvCbSlMI6mlmZw3W8oxoLWQ1JFUZkN8dhvKGo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IFERROR(__xludf.DUMMYFUNCTION("""COMPUTED_VALUE"""),"1c-Gj_pSa6hbKILBzHvXLuimO2VmGjEek0icIYnPcCPE")</f>
        <v>1c-Gj_pSa6hbKILBzHvXLuimO2VmGjEek0icIYnPcCPE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IFERROR(__xludf.DUMMYFUNCTION("""COMPUTED_VALUE"""),"1tOzxGOLWmanR1CinNEV8SAdqJX3ajMPchVgiX6Cao8s")</f>
        <v>1tOzxGOLWmanR1CinNEV8SAdqJX3ajMPchVgiX6Cao8s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IFERROR(__xludf.DUMMYFUNCTION("""COMPUTED_VALUE"""),"1B3vLz-YjdbGHniMwguZEWSalbMWNmVHodgQHVzZAq60")</f>
        <v>1B3vLz-YjdbGHniMwguZEWSalbMWNmVHodgQHVzZAq60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IFERROR(__xludf.DUMMYFUNCTION("""COMPUTED_VALUE"""),"1VQh3eCLRiyXufUtJv6VqIb0wjqC_jElZJAWe8vnyiFo")</f>
        <v>1VQh3eCLRiyXufUtJv6VqIb0wjqC_jElZJAWe8vnyiFo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IFERROR(__xludf.DUMMYFUNCTION("""COMPUTED_VALUE"""),"1jrQ5cTjzaAnJprHDrMJ7xLoViDRLxJhmViRhlMQyPmc")</f>
        <v>1jrQ5cTjzaAnJprHDrMJ7xLoViDRLxJhmViRhlMQyPmc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IFERROR(__xludf.DUMMYFUNCTION("""COMPUTED_VALUE"""),"1EtqBdhsUhwi27QZ_a5TFGvk7epbQRBAud4wwG4GjT-o")</f>
        <v>1EtqBdhsUhwi27QZ_a5TFGvk7epbQRBAud4wwG4GjT-o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IFERROR(__xludf.DUMMYFUNCTION("""COMPUTED_VALUE"""),"1DJn_ByYxhMzgt2AkKP7VvHaijAtfcn500twVCi3FuwY")</f>
        <v>1DJn_ByYxhMzgt2AkKP7VvHaijAtfcn500twVCi3FuwY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IFERROR(__xludf.DUMMYFUNCTION("""COMPUTED_VALUE"""),"1zDsXI3LPkoDacftZ2KF5YYjIcUlD3QhRUYRulDL5oN8")</f>
        <v>1zDsXI3LPkoDacftZ2KF5YYjIcUlD3QhRUYRulDL5oN8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IFERROR(__xludf.DUMMYFUNCTION("""COMPUTED_VALUE"""),"1MfOpDVrcGiBBIHH8fFTmd6amj1jHHg6rePWgu-2nZK8")</f>
        <v>1MfOpDVrcGiBBIHH8fFTmd6amj1jHHg6rePWgu-2nZK8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IFERROR(__xludf.DUMMYFUNCTION("""COMPUTED_VALUE"""),"1O-Z5n-OqLZKUyKhPsyc4cTH_RWRJRhFVjLQN9iZgf_g")</f>
        <v>1O-Z5n-OqLZKUyKhPsyc4cTH_RWRJRhFVjLQN9iZgf_g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IFERROR(__xludf.DUMMYFUNCTION("""COMPUTED_VALUE"""),"1X60AOW1PdXXC_MqWvlhO-_Xtym74TQ6JiKQf7BaFGFU")</f>
        <v>1X60AOW1PdXXC_MqWvlhO-_Xtym74TQ6JiKQf7BaFGFU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IFERROR(__xludf.DUMMYFUNCTION("""COMPUTED_VALUE"""),"1pQFXFOAH774XT-VZCbKCTilzQka7eSVAZO_30jAJkzc")</f>
        <v>1pQFXFOAH774XT-VZCbKCTilzQka7eSVAZO_30jAJkzc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IFERROR(__xludf.DUMMYFUNCTION("""COMPUTED_VALUE"""),"1LD-4ln6dD3Xr8MpjRWUrFZphBmyCgSTa6YWxKH2dnro")</f>
        <v>1LD-4ln6dD3Xr8MpjRWUrFZphBmyCgSTa6YWxKH2dnro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IFERROR(__xludf.DUMMYFUNCTION("""COMPUTED_VALUE"""),"1bU6-nZPWyWD3EHUirvMbX3iEk-dq8pOqW-T-92H7QH0")</f>
        <v>1bU6-nZPWyWD3EHUirvMbX3iEk-dq8pOqW-T-92H7QH0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IFERROR(__xludf.DUMMYFUNCTION("""COMPUTED_VALUE"""),"1Grp3J4MoPb4ugRngl-qzV4SSJXRISkZhbgiuGuLVEz4")</f>
        <v>1Grp3J4MoPb4ugRngl-qzV4SSJXRISkZhbgiuGuLVEz4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IFERROR(__xludf.DUMMYFUNCTION("""COMPUTED_VALUE"""),"1EAH65rZNySGGob__JM-Ohve-xSIVrLprry1-bHfxlIE")</f>
        <v>1EAH65rZNySGGob__JM-Ohve-xSIVrLprry1-bHfxlIE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IFERROR(__xludf.DUMMYFUNCTION("""COMPUTED_VALUE"""),"1my_zLaXc6szWpIOxmI-qCSNy0-rZqlHsM-ta7yilhBY")</f>
        <v>1my_zLaXc6szWpIOxmI-qCSNy0-rZqlHsM-ta7yilhBY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IFERROR(__xludf.DUMMYFUNCTION("""COMPUTED_VALUE"""),"1DPjaL7vtGJ9FJ9_Z4o7CkMSXYNcU4Qiga6SLll9BoUQ")</f>
        <v>1DPjaL7vtGJ9FJ9_Z4o7CkMSXYNcU4Qiga6SLll9BoUQ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IFERROR(__xludf.DUMMYFUNCTION("""COMPUTED_VALUE"""),"1Twh9hXbusYu_GS7dbW4xTddG57o7_sRf_eA0tSIHHnI")</f>
        <v>1Twh9hXbusYu_GS7dbW4xTddG57o7_sRf_eA0tSIHHnI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IFERROR(__xludf.DUMMYFUNCTION("""COMPUTED_VALUE"""),"1bJ3bDpFjTc_8g8qo7j1JVshB_LOl23u_1DYWXef1veE")</f>
        <v>1bJ3bDpFjTc_8g8qo7j1JVshB_LOl23u_1DYWXef1veE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IFERROR(__xludf.DUMMYFUNCTION("""COMPUTED_VALUE"""),"1Da-rjrbxEE3vLRnSqkr_MNxdUBaUjvyrVyCRsADwJKU")</f>
        <v>1Da-rjrbxEE3vLRnSqkr_MNxdUBaUjvyrVyCRsADwJKU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IFERROR(__xludf.DUMMYFUNCTION("""COMPUTED_VALUE"""),"1LVrDx22SvXtNLHuCgAdGOnjsdhE3b9tjTEtzx2RdECc")</f>
        <v>1LVrDx22SvXtNLHuCgAdGOnjsdhE3b9tjTEtzx2RdECc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IFERROR(__xludf.DUMMYFUNCTION("""COMPUTED_VALUE"""),"1ed4mu6dPKZ1upq8fj0V3A44fKKF0Kaci13w3MzPRi94")</f>
        <v>1ed4mu6dPKZ1upq8fj0V3A44fKKF0Kaci13w3MzPRi94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IFERROR(__xludf.DUMMYFUNCTION("""COMPUTED_VALUE"""),"1c8RXMSMKCCZZhGpaSJFpL0iNAB41irezmfODVoz-HOM")</f>
        <v>1c8RXMSMKCCZZhGpaSJFpL0iNAB41irezmfODVoz-HOM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IFERROR(__xludf.DUMMYFUNCTION("""COMPUTED_VALUE"""),"1Ag9B515mUdzPP5zMlZiJvXg_TX9Pf0V-JJb7HHGUFZQ")</f>
        <v>1Ag9B515mUdzPP5zMlZiJvXg_TX9Pf0V-JJb7HHGUFZQ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IFERROR(__xludf.DUMMYFUNCTION("""COMPUTED_VALUE"""),"14SRXKP6K_jM43UPVxHLajQ3RiPUNkFiafNIpKFU1qJw")</f>
        <v>14SRXKP6K_jM43UPVxHLajQ3RiPUNkFiafNIpKFU1qJw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IFERROR(__xludf.DUMMYFUNCTION("""COMPUTED_VALUE"""),"1Iqlyl1OX0stY1-IKyRyaVqLsL4U21WB22TR5R9IOuV0")</f>
        <v>1Iqlyl1OX0stY1-IKyRyaVqLsL4U21WB22TR5R9IOuV0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IFERROR(__xludf.DUMMYFUNCTION("""COMPUTED_VALUE"""),"1w0BOrROJMhSBD6gLWR9m2PsXt7yg48njQgJ3X9qWWeE")</f>
        <v>1w0BOrROJMhSBD6gLWR9m2PsXt7yg48njQgJ3X9qWWeE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IFERROR(__xludf.DUMMYFUNCTION("""COMPUTED_VALUE"""),"1UpTQDv3-OcoXnckKzH1C0np-5xkdjS3szbTcvwX-VWE")</f>
        <v>1UpTQDv3-OcoXnckKzH1C0np-5xkdjS3szbTcvwX-VWE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IFERROR(__xludf.DUMMYFUNCTION("""COMPUTED_VALUE"""),"1vMyQT3uR4ejtWOsCfpo0iqiZJvk8d4CyZ1m7nZfRedw")</f>
        <v>1vMyQT3uR4ejtWOsCfpo0iqiZJvk8d4CyZ1m7nZfRedw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IFERROR(__xludf.DUMMYFUNCTION("""COMPUTED_VALUE"""),"1ML-STLVrOrrVravDSrrhHBiPP2STeaHPpz6u2UzUbjY")</f>
        <v>1ML-STLVrOrrVravDSrrhHBiPP2STeaHPpz6u2UzUbjY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IFERROR(__xludf.DUMMYFUNCTION("""COMPUTED_VALUE"""),"1lpUcHcElZaOXkhMXuDMlsMhf---N3oQjSe1rn2RnGjE")</f>
        <v>1lpUcHcElZaOXkhMXuDMlsMhf---N3oQjSe1rn2RnGjE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IFERROR(__xludf.DUMMYFUNCTION("""COMPUTED_VALUE"""),"1IDlXbwq4xx3F351jk1e9GhmOOysQkjY49iti_LJY29Y")</f>
        <v>1IDlXbwq4xx3F351jk1e9GhmOOysQkjY49iti_LJY29Y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IFERROR(__xludf.DUMMYFUNCTION("""COMPUTED_VALUE"""),"1LwzjM4qhF7L7Sxpj0tmKmwrbnudRqAXE2o9sTrXIRg4")</f>
        <v>1LwzjM4qhF7L7Sxpj0tmKmwrbnudRqAXE2o9sTrXIRg4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IFERROR(__xludf.DUMMYFUNCTION("""COMPUTED_VALUE"""),"1guMwvYY7eIhwmTxoDxp96X7I1ob2jLHmhM39Dwo1Y_0")</f>
        <v>1guMwvYY7eIhwmTxoDxp96X7I1ob2jLHmhM39Dwo1Y_0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IFERROR(__xludf.DUMMYFUNCTION("""COMPUTED_VALUE"""),"19OVwZsuCpOR4wNoumc9dcWKh-GlmHGzdDHpxrI9vy2Q")</f>
        <v>19OVwZsuCpOR4wNoumc9dcWKh-GlmHGzdDHpxrI9vy2Q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IFERROR(__xludf.DUMMYFUNCTION("""COMPUTED_VALUE"""),"1tXfGlqhDgCdohzVgP6y6ZH15Fk9uu1P72qRZ3Z2rpG4")</f>
        <v>1tXfGlqhDgCdohzVgP6y6ZH15Fk9uu1P72qRZ3Z2rpG4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IFERROR(__xludf.DUMMYFUNCTION("""COMPUTED_VALUE"""),"19QVF-aiOcmBqU2qKUK-OCu98j5uyT4B-XqK8arWvdUE")</f>
        <v>19QVF-aiOcmBqU2qKUK-OCu98j5uyT4B-XqK8arWvdUE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IFERROR(__xludf.DUMMYFUNCTION("""COMPUTED_VALUE"""),"1PEbXqnVsJIUstDlBtSQ74U3EFTjGSqLfB7FqQsO5Lmw")</f>
        <v>1PEbXqnVsJIUstDlBtSQ74U3EFTjGSqLfB7FqQsO5Lmw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IFERROR(__xludf.DUMMYFUNCTION("""COMPUTED_VALUE"""),"1C5cKOwx9EUg1jODdQv4vMSqPEx82TJf3ahEnHpr3WXQ")</f>
        <v>1C5cKOwx9EUg1jODdQv4vMSqPEx82TJf3ahEnHpr3WXQ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IFERROR(__xludf.DUMMYFUNCTION("""COMPUTED_VALUE"""),"1dHOaB4ss1ElxiqF88xo8RR5XXPvF76pKh6JDOySJu-E")</f>
        <v>1dHOaB4ss1ElxiqF88xo8RR5XXPvF76pKh6JDOySJu-E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IFERROR(__xludf.DUMMYFUNCTION("""COMPUTED_VALUE"""),"1-Fquq09E5X5hH37sCvpU3vM33MTlYZO2fGOuT5GEl_0")</f>
        <v>1-Fquq09E5X5hH37sCvpU3vM33MTlYZO2fGOuT5GEl_0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IFERROR(__xludf.DUMMYFUNCTION("""COMPUTED_VALUE"""),"1aPotCHpuxmGXORel0Or7Cz4LqQtNgOXy6cutDrXC4ZA")</f>
        <v>1aPotCHpuxmGXORel0Or7Cz4LqQtNgOXy6cutDrXC4ZA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IFERROR(__xludf.DUMMYFUNCTION("""COMPUTED_VALUE"""),"1Yt8a2lXlhGObiQrMMM5W_j6RdU8jQn-mLCPBdmpe7Q4")</f>
        <v>1Yt8a2lXlhGObiQrMMM5W_j6RdU8jQn-mLCPBdmpe7Q4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IFERROR(__xludf.DUMMYFUNCTION("""COMPUTED_VALUE"""),"1MvpMdaCDeVLEpK1FmZNAkpQIPeitH0as0fCgj60iBiI")</f>
        <v>1MvpMdaCDeVLEpK1FmZNAkpQIPeitH0as0fCgj60iBiI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IFERROR(__xludf.DUMMYFUNCTION("""COMPUTED_VALUE"""),"1DDa6JCeggmfNaYD62TTTcjt1bmrk6ge5KcAe2yFoeMw")</f>
        <v>1DDa6JCeggmfNaYD62TTTcjt1bmrk6ge5KcAe2yFoeMw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IFERROR(__xludf.DUMMYFUNCTION("""COMPUTED_VALUE"""),"1UdCz3mbG1GJqgKZJ828uP7hYNKCi5g_gMKrTM4Nuw70")</f>
        <v>1UdCz3mbG1GJqgKZJ828uP7hYNKCi5g_gMKrTM4Nuw70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IFERROR(__xludf.DUMMYFUNCTION("""COMPUTED_VALUE"""),"1TGSSMCVBapTePkTNPegO5K-1JXoG29MXtaMfvS42lT4")</f>
        <v>1TGSSMCVBapTePkTNPegO5K-1JXoG29MXtaMfvS42lT4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IFERROR(__xludf.DUMMYFUNCTION("""COMPUTED_VALUE"""),"1sQkk0Iso34FqpWhLPcYXKUPQnmZ8Pjini2G3BJhnquM")</f>
        <v>1sQkk0Iso34FqpWhLPcYXKUPQnmZ8Pjini2G3BJhnquM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IFERROR(__xludf.DUMMYFUNCTION("""COMPUTED_VALUE"""),"12uaBilYuoqtrRW6_HDDP48tS7_jnEsipPeSiI04cKsU")</f>
        <v>12uaBilYuoqtrRW6_HDDP48tS7_jnEsipPeSiI04cKsU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IFERROR(__xludf.DUMMYFUNCTION("""COMPUTED_VALUE"""),"1XV5X_FcfT9lsESq_rfDGc3fxjjBPTf0U6hi--LgJFpk")</f>
        <v>1XV5X_FcfT9lsESq_rfDGc3fxjjBPTf0U6hi--LgJFpk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IFERROR(__xludf.DUMMYFUNCTION("""COMPUTED_VALUE"""),"1t0clw8YL_XSFlsdLmKvJToFZu0s9objoeJH9wCCADyE")</f>
        <v>1t0clw8YL_XSFlsdLmKvJToFZu0s9objoeJH9wCCADyE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IFERROR(__xludf.DUMMYFUNCTION("""COMPUTED_VALUE"""),"1azN1M08dpW7VMj-beZnqcg3K67iDFaQtsG3VPQICd34")</f>
        <v>1azN1M08dpW7VMj-beZnqcg3K67iDFaQtsG3VPQICd34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IFERROR(__xludf.DUMMYFUNCTION("""COMPUTED_VALUE"""),"1J1yzfPy0VAAGjLSKMbWrAky24FH9wnzsX22WqJo0rTw")</f>
        <v>1J1yzfPy0VAAGjLSKMbWrAky24FH9wnzsX22WqJo0rTw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IFERROR(__xludf.DUMMYFUNCTION("""COMPUTED_VALUE"""),"1_Jcd2NyXYod49jJBTF7mnnyrz-bqcIOuRrXNBhoAndM")</f>
        <v>1_Jcd2NyXYod49jJBTF7mnnyrz-bqcIOuRrXNBhoAndM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IFERROR(__xludf.DUMMYFUNCTION("""COMPUTED_VALUE"""),"1IjKsUSAA3GmZT9QQkCwzDRD8t7aMh3gfEnicm2yt7yk")</f>
        <v>1IjKsUSAA3GmZT9QQkCwzDRD8t7aMh3gfEnicm2yt7yk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IFERROR(__xludf.DUMMYFUNCTION("""COMPUTED_VALUE"""),"1msdo-HHZukw5R83IjNxsWerlvkI-fgQTDh4cp_x-lEM")</f>
        <v>1msdo-HHZukw5R83IjNxsWerlvkI-fgQTDh4cp_x-lEM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IFERROR(__xludf.DUMMYFUNCTION("""COMPUTED_VALUE"""),"1kvkQ3sHjIMOR6FW4ddUp3GL5YgZFuVUrFwr0ccGcALs")</f>
        <v>1kvkQ3sHjIMOR6FW4ddUp3GL5YgZFuVUrFwr0ccGcALs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IFERROR(__xludf.DUMMYFUNCTION("""COMPUTED_VALUE"""),"1-YmkMS_HNizqClLTgaGFhyqIssE8ZUmQHizsGnCO0-0")</f>
        <v>1-YmkMS_HNizqClLTgaGFhyqIssE8ZUmQHizsGnCO0-0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IFERROR(__xludf.DUMMYFUNCTION("""COMPUTED_VALUE"""),"1jht2hZ44HjYgB6aaBYiPuuuTSaEkHaPT4jKo7YIRGu4")</f>
        <v>1jht2hZ44HjYgB6aaBYiPuuuTSaEkHaPT4jKo7YIRGu4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IFERROR(__xludf.DUMMYFUNCTION("""COMPUTED_VALUE"""),"1fOE8jOgP2gNa3oRibbTXnvv_lvz-lbHvy-pceE4ajbs")</f>
        <v>1fOE8jOgP2gNa3oRibbTXnvv_lvz-lbHvy-pceE4ajbs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IFERROR(__xludf.DUMMYFUNCTION("""COMPUTED_VALUE"""),"1HhQmll51_SDv5EfY7waeq2fCv92vjcbj_GijhdZyvhI")</f>
        <v>1HhQmll51_SDv5EfY7waeq2fCv92vjcbj_GijhdZyvhI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IFERROR(__xludf.DUMMYFUNCTION("""COMPUTED_VALUE"""),"1gxr6RyiwWcasB3fKgXdgFiGMuKmec4L2x__tgBOzGJ4")</f>
        <v>1gxr6RyiwWcasB3fKgXdgFiGMuKmec4L2x__tgBOzGJ4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IFERROR(__xludf.DUMMYFUNCTION("""COMPUTED_VALUE"""),"1owuq6wQlz8I3_fYGTcvp_BtK2b79jE6vCJTDGLtxi4k")</f>
        <v>1owuq6wQlz8I3_fYGTcvp_BtK2b79jE6vCJTDGLtxi4k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IFERROR(__xludf.DUMMYFUNCTION("""COMPUTED_VALUE"""),"11C1E7MWiLt7_Bk66Vw9dmQ6oZNSONXaMtNXDJOQXq5s")</f>
        <v>11C1E7MWiLt7_Bk66Vw9dmQ6oZNSONXaMtNXDJOQXq5s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IFERROR(__xludf.DUMMYFUNCTION("""COMPUTED_VALUE"""),"1U6qqov4LzcjxrSucq0agJD46Q-GxDor6UdqCigUJ4Hk")</f>
        <v>1U6qqov4LzcjxrSucq0agJD46Q-GxDor6UdqCigUJ4Hk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IFERROR(__xludf.DUMMYFUNCTION("""COMPUTED_VALUE"""),"1gr6T2UvPfnYDk0z6dFV_mRYS8DySX1Vq8xjIgjK43Ok")</f>
        <v>1gr6T2UvPfnYDk0z6dFV_mRYS8DySX1Vq8xjIgjK43Ok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IFERROR(__xludf.DUMMYFUNCTION("""COMPUTED_VALUE"""),"1Tr2xSDgsBU643lR2QckIJKwAkNLNn-X0DpSgL4BbVB4")</f>
        <v>1Tr2xSDgsBU643lR2QckIJKwAkNLNn-X0DpSgL4BbVB4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IFERROR(__xludf.DUMMYFUNCTION("""COMPUTED_VALUE"""),"1_V828-1UqtJPJrCVclzkn3URR23OxnBP06IouHxEc18")</f>
        <v>1_V828-1UqtJPJrCVclzkn3URR23OxnBP06IouHxEc18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IFERROR(__xludf.DUMMYFUNCTION("""COMPUTED_VALUE"""),"1NkAbdJ74ry_1fxzkJoBzFl9F_rMWydAb8sHkBebiFjk")</f>
        <v>1NkAbdJ74ry_1fxzkJoBzFl9F_rMWydAb8sHkBebiFjk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IFERROR(__xludf.DUMMYFUNCTION("""COMPUTED_VALUE"""),"1n7tEPxTe0qMZZ4L3gBhqHDVhiNPODDDQ1d__74EcJC8")</f>
        <v>1n7tEPxTe0qMZZ4L3gBhqHDVhiNPODDDQ1d__74EcJC8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IFERROR(__xludf.DUMMYFUNCTION("""COMPUTED_VALUE"""),"1S6sj5FWvIc-3o_AfPaPuatehpzQm1Qx2rydxXGom_dg")</f>
        <v>1S6sj5FWvIc-3o_AfPaPuatehpzQm1Qx2rydxXGom_dg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IFERROR(__xludf.DUMMYFUNCTION("""COMPUTED_VALUE"""),"1NuepzxikoEeQ9UGIazOW9FdK3u7QGJplxR7E8kC43zk")</f>
        <v>1NuepzxikoEeQ9UGIazOW9FdK3u7QGJplxR7E8kC43zk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IFERROR(__xludf.DUMMYFUNCTION("""COMPUTED_VALUE"""),"1oFdiPMJZ6QcqQOw8iiVuMy67mAJN06vJWm3q-cVwnno")</f>
        <v>1oFdiPMJZ6QcqQOw8iiVuMy67mAJN06vJWm3q-cVwnno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IFERROR(__xludf.DUMMYFUNCTION("""COMPUTED_VALUE"""),"1qS_WdHc-9zx-QFEzjKFnwArW39qAuRmf2BwbLZIYrx8")</f>
        <v>1qS_WdHc-9zx-QFEzjKFnwArW39qAuRmf2BwbLZIYrx8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IFERROR(__xludf.DUMMYFUNCTION("""COMPUTED_VALUE"""),"1xOFeeEAfRZ7uVQd-bOgJ8e2jRaAjMLV_Blt4kgkW758")</f>
        <v>1xOFeeEAfRZ7uVQd-bOgJ8e2jRaAjMLV_Blt4kgkW758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IFERROR(__xludf.DUMMYFUNCTION("""COMPUTED_VALUE"""),"1gOEnHffMXCfk3OHpA4l1AxtdYLt7yCY9nIAHCVLNwVc")</f>
        <v>1gOEnHffMXCfk3OHpA4l1AxtdYLt7yCY9nIAHCVLNwVc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IFERROR(__xludf.DUMMYFUNCTION("""COMPUTED_VALUE"""),"1MwTe8wnpOxfAt8LI3PyswJ6sddAaGzi5MdpUL8JAo-E")</f>
        <v>1MwTe8wnpOxfAt8LI3PyswJ6sddAaGzi5MdpUL8JAo-E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IFERROR(__xludf.DUMMYFUNCTION("""COMPUTED_VALUE"""),"1JlA0Y1H-vrWeIlqgP3MsswQdI6cigTmArnA7R2LWQc4")</f>
        <v>1JlA0Y1H-vrWeIlqgP3MsswQdI6cigTmArnA7R2LWQc4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IFERROR(__xludf.DUMMYFUNCTION("""COMPUTED_VALUE"""),"1kR80czhB9OTe0d_J57MU3TZ4AfXbKGWNfDZ-2FQbHwI")</f>
        <v>1kR80czhB9OTe0d_J57MU3TZ4AfXbKGWNfDZ-2FQbHwI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IFERROR(__xludf.DUMMYFUNCTION("""COMPUTED_VALUE"""),"1o7j1EbVMp55C2W0LtWgInbcaRCadHrS8uLmpnVq98uY")</f>
        <v>1o7j1EbVMp55C2W0LtWgInbcaRCadHrS8uLmpnVq98uY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IFERROR(__xludf.DUMMYFUNCTION("""COMPUTED_VALUE"""),"1WpyTBvj-iezHv6E9PbjJ3UJKNDEkGuyVLw4TOx5zcas")</f>
        <v>1WpyTBvj-iezHv6E9PbjJ3UJKNDEkGuyVLw4TOx5zcas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IFERROR(__xludf.DUMMYFUNCTION("""COMPUTED_VALUE"""),"1wm4OFdbzRVpfMu1QiZ75_PnC_AYuu9gYEOCRj5nxWrM")</f>
        <v>1wm4OFdbzRVpfMu1QiZ75_PnC_AYuu9gYEOCRj5nxWrM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IFERROR(__xludf.DUMMYFUNCTION("""COMPUTED_VALUE"""),"1gmcte0l7mexRV3mcVKh44GtDozpoxvkubq93yh2tGqU")</f>
        <v>1gmcte0l7mexRV3mcVKh44GtDozpoxvkubq93yh2tGqU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IFERROR(__xludf.DUMMYFUNCTION("""COMPUTED_VALUE"""),"1dCrY-kPvBYwHWZFEAPkwG7_-NIXiZCgTXwbmTvW0ejY")</f>
        <v>1dCrY-kPvBYwHWZFEAPkwG7_-NIXiZCgTXwbmTvW0ejY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IFERROR(__xludf.DUMMYFUNCTION("""COMPUTED_VALUE"""),"1YBhqpdTe5HhM37nCSMHR8xiY56Y5rQdUizIAR0ZhetA")</f>
        <v>1YBhqpdTe5HhM37nCSMHR8xiY56Y5rQdUizIAR0ZhetA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IFERROR(__xludf.DUMMYFUNCTION("""COMPUTED_VALUE"""),"1DkMDvYHJVI0PJ-rTpp2qT_DByDKjy7Jk0saOYBb6-mU")</f>
        <v>1DkMDvYHJVI0PJ-rTpp2qT_DByDKjy7Jk0saOYBb6-mU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IFERROR(__xludf.DUMMYFUNCTION("""COMPUTED_VALUE"""),"1d9VnMnman_DekbWVZZe1TyFq1K7qIz4-u3Ho348l7NQ")</f>
        <v>1d9VnMnman_DekbWVZZe1TyFq1K7qIz4-u3Ho348l7NQ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IFERROR(__xludf.DUMMYFUNCTION("""COMPUTED_VALUE"""),"1x9o8wpvtq-vnalvhw9-bSPFTvsAgLuSBv39sk-__sqA")</f>
        <v>1x9o8wpvtq-vnalvhw9-bSPFTvsAgLuSBv39sk-__sqA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IFERROR(__xludf.DUMMYFUNCTION("""COMPUTED_VALUE"""),"1QnRdwOkq7zW-9t1KpCO8lLG9e-abFT1Hi2jBNJs6XSQ")</f>
        <v>1QnRdwOkq7zW-9t1KpCO8lLG9e-abFT1Hi2jBNJs6XSQ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IFERROR(__xludf.DUMMYFUNCTION("""COMPUTED_VALUE"""),"1w3Tl0jhDzxZ-1bnuGo4OGQ5EoVFrAYr0TQ6Xl0YgpAY")</f>
        <v>1w3Tl0jhDzxZ-1bnuGo4OGQ5EoVFrAYr0TQ6Xl0YgpAY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IFERROR(__xludf.DUMMYFUNCTION("""COMPUTED_VALUE"""),"1qE7n9le_EHMocRkBbKlAcMbopbxmR7c6Nd_yVObz5Hc")</f>
        <v>1qE7n9le_EHMocRkBbKlAcMbopbxmR7c6Nd_yVObz5Hc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IFERROR(__xludf.DUMMYFUNCTION("""COMPUTED_VALUE"""),"1g0ptpj616n-M3tdgp6QODnakxqVbRiuaH5fglhhWvUA")</f>
        <v>1g0ptpj616n-M3tdgp6QODnakxqVbRiuaH5fglhhWvUA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IFERROR(__xludf.DUMMYFUNCTION("""COMPUTED_VALUE"""),"1XQ4pQr3fnuG-wfebHJWeoAU_oWraVvaEoq5vxfmeyFU")</f>
        <v>1XQ4pQr3fnuG-wfebHJWeoAU_oWraVvaEoq5vxfmeyFU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IFERROR(__xludf.DUMMYFUNCTION("""COMPUTED_VALUE"""),"1txUo3R71Idwek_WSkxDmfa85jvmU4skpklkunC9l4to")</f>
        <v>1txUo3R71Idwek_WSkxDmfa85jvmU4skpklkunC9l4to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IFERROR(__xludf.DUMMYFUNCTION("""COMPUTED_VALUE"""),"1jo5CsRlvFnrD55hhWEgqFOiGuhY6UoAWRWk9ysrekJ4")</f>
        <v>1jo5CsRlvFnrD55hhWEgqFOiGuhY6UoAWRWk9ysrekJ4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IFERROR(__xludf.DUMMYFUNCTION("""COMPUTED_VALUE"""),"17x5jnRAVCvQUGHBhgiiVTUeAomMG3s-WN918W8i78RY")</f>
        <v>17x5jnRAVCvQUGHBhgiiVTUeAomMG3s-WN918W8i78RY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IFERROR(__xludf.DUMMYFUNCTION("""COMPUTED_VALUE"""),"11bhQDFMxUdCHiZELuMSPwLt6XZavd_QvQB5Lxkm1XXE")</f>
        <v>11bhQDFMxUdCHiZELuMSPwLt6XZavd_QvQB5Lxkm1XXE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IFERROR(__xludf.DUMMYFUNCTION("""COMPUTED_VALUE"""),"1v_DBl1sU9-btwN2cjxlFI_LWcxrlSVvrF1KOzeJisPg")</f>
        <v>1v_DBl1sU9-btwN2cjxlFI_LWcxrlSVvrF1KOzeJisPg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IFERROR(__xludf.DUMMYFUNCTION("""COMPUTED_VALUE"""),"191PZhRplV1PcCALc5XtZSmsny5aT0kGj27fH7ERiAd8")</f>
        <v>191PZhRplV1PcCALc5XtZSmsny5aT0kGj27fH7ERiAd8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IFERROR(__xludf.DUMMYFUNCTION("""COMPUTED_VALUE"""),"1rUVERdbqvBECNyG_BrwWmTnx6C02IGItQZFJkw5ZzvM")</f>
        <v>1rUVERdbqvBECNyG_BrwWmTnx6C02IGItQZFJkw5ZzvM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IFERROR(__xludf.DUMMYFUNCTION("""COMPUTED_VALUE"""),"1Ies-dH6F3ega-0G78bGC6O4wv2KeaxZVCOrQ36yBSlQ")</f>
        <v>1Ies-dH6F3ega-0G78bGC6O4wv2KeaxZVCOrQ36yBSlQ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IFERROR(__xludf.DUMMYFUNCTION("""COMPUTED_VALUE"""),"1MILvcLzeuv6xKRk3qd4Sxn9N81mZ-zAP1j_d22RRaRk")</f>
        <v>1MILvcLzeuv6xKRk3qd4Sxn9N81mZ-zAP1j_d22RRaRk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IFERROR(__xludf.DUMMYFUNCTION("""COMPUTED_VALUE"""),"1WDFAjSIlOFsNX0LLYwhJaUkTKf6rViDpcTcizTr7tkE")</f>
        <v>1WDFAjSIlOFsNX0LLYwhJaUkTKf6rViDpcTcizTr7tkE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IFERROR(__xludf.DUMMYFUNCTION("""COMPUTED_VALUE"""),"1As4aK9TB7BNLyLzv833qnm_81Y9C10iVC1t_pVb_g4o")</f>
        <v>1As4aK9TB7BNLyLzv833qnm_81Y9C10iVC1t_pVb_g4o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IFERROR(__xludf.DUMMYFUNCTION("""COMPUTED_VALUE"""),"1Z6VinSFfvyzX51UkxNQ57jx1V4d_2r5QgnF-82XZiII")</f>
        <v>1Z6VinSFfvyzX51UkxNQ57jx1V4d_2r5QgnF-82XZiII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IFERROR(__xludf.DUMMYFUNCTION("""COMPUTED_VALUE"""),"1Xoytpjlm_uCbH7E2OBVyA5cpiEdagmLynZS77w0sB9E")</f>
        <v>1Xoytpjlm_uCbH7E2OBVyA5cpiEdagmLynZS77w0sB9E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IFERROR(__xludf.DUMMYFUNCTION("""COMPUTED_VALUE"""),"1KuYiSB26XWBfbzb75TDdM5e9oYb3vnk75drHSH0LnqY")</f>
        <v>1KuYiSB26XWBfbzb75TDdM5e9oYb3vnk75drHSH0LnqY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IFERROR(__xludf.DUMMYFUNCTION("""COMPUTED_VALUE"""),"1lByE4-9oGLqgyjwm136U-2hfBqhRA_J-WHj8Eo1iTAo")</f>
        <v>1lByE4-9oGLqgyjwm136U-2hfBqhRA_J-WHj8Eo1iTAo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IFERROR(__xludf.DUMMYFUNCTION("""COMPUTED_VALUE"""),"1gRoCh9m9NqIGTjNnEl44mGE3VScdhFYZFIGauMOiu0A")</f>
        <v>1gRoCh9m9NqIGTjNnEl44mGE3VScdhFYZFIGauMOiu0A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IFERROR(__xludf.DUMMYFUNCTION("""COMPUTED_VALUE"""),"1jfp8aZqh3UdVRZlAjBYQgJyHqTyBbhFc4uHQA7y9krs")</f>
        <v>1jfp8aZqh3UdVRZlAjBYQgJyHqTyBbhFc4uHQA7y9krs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IFERROR(__xludf.DUMMYFUNCTION("""COMPUTED_VALUE"""),"1Mu3QSS9ja4VJBNwHgxOrColyJvnFp-9taHs7WERfoGA")</f>
        <v>1Mu3QSS9ja4VJBNwHgxOrColyJvnFp-9taHs7WERfoGA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IFERROR(__xludf.DUMMYFUNCTION("""COMPUTED_VALUE"""),"1M-9P8q5tiKJgPHUTttNF6nknqVv2KelBDn-DmSjTqzE")</f>
        <v>1M-9P8q5tiKJgPHUTttNF6nknqVv2KelBDn-DmSjTqzE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IFERROR(__xludf.DUMMYFUNCTION("""COMPUTED_VALUE"""),"125HVLz9JsDfW-RasFrXrQbkmpfBgoLNIwAOq-tzTlKg")</f>
        <v>125HVLz9JsDfW-RasFrXrQbkmpfBgoLNIwAOq-tzTlKg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IFERROR(__xludf.DUMMYFUNCTION("""COMPUTED_VALUE"""),"10yWz7qGDCZSmNciBeD3O041xErneAlctCAKUTSUMCjo")</f>
        <v>10yWz7qGDCZSmNciBeD3O041xErneAlctCAKUTSUMCjo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IFERROR(__xludf.DUMMYFUNCTION("""COMPUTED_VALUE"""),"1tE0JmmhLdBJdhU5UVnPXGBlkR2I3vOjQv07gU21GvxE")</f>
        <v>1tE0JmmhLdBJdhU5UVnPXGBlkR2I3vOjQv07gU21GvxE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IFERROR(__xludf.DUMMYFUNCTION("""COMPUTED_VALUE"""),"12-0bH70bYN6Seh10B26EVNX7irTpsc_sZyluYAHwjQc")</f>
        <v>12-0bH70bYN6Seh10B26EVNX7irTpsc_sZyluYAHwjQc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IFERROR(__xludf.DUMMYFUNCTION("""COMPUTED_VALUE"""),"1bVzO569ANMee7krdBrWkFhCZKN5hTw6usYeUmdMDkzI")</f>
        <v>1bVzO569ANMee7krdBrWkFhCZKN5hTw6usYeUmdMDkzI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IFERROR(__xludf.DUMMYFUNCTION("""COMPUTED_VALUE"""),"1gNFsXBL_FJJrxJtDO2zjzVWu9qT_j1bzsfLqt4p-_Fo")</f>
        <v>1gNFsXBL_FJJrxJtDO2zjzVWu9qT_j1bzsfLqt4p-_Fo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IFERROR(__xludf.DUMMYFUNCTION("""COMPUTED_VALUE"""),"1RAgAbVa3RJzX7cn7Q8rWnjjzhfqmjIR64sJ84ZIl6PU")</f>
        <v>1RAgAbVa3RJzX7cn7Q8rWnjjzhfqmjIR64sJ84ZIl6PU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IFERROR(__xludf.DUMMYFUNCTION("""COMPUTED_VALUE"""),"1GsnTQHJQ7cVEizrryoUXk5eXeK0x0migAZPTN4d4rNQ")</f>
        <v>1GsnTQHJQ7cVEizrryoUXk5eXeK0x0migAZPTN4d4rNQ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IFERROR(__xludf.DUMMYFUNCTION("""COMPUTED_VALUE"""),"1t-RYeXwDqpClPnSrtgjRvnnCBVV4IZrE5q5cPKHHLLU")</f>
        <v>1t-RYeXwDqpClPnSrtgjRvnnCBVV4IZrE5q5cPKHHLLU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IFERROR(__xludf.DUMMYFUNCTION("""COMPUTED_VALUE"""),"1iBGHDOTSzgrcmh6jUKtLpmkIWeAU7Bkq-hGCZgisALw")</f>
        <v>1iBGHDOTSzgrcmh6jUKtLpmkIWeAU7Bkq-hGCZgisALw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IFERROR(__xludf.DUMMYFUNCTION("""COMPUTED_VALUE"""),"1HVuVuvAGvAMqFZra8_Q_UePURkSApZwNJIWqtez9PKM")</f>
        <v>1HVuVuvAGvAMqFZra8_Q_UePURkSApZwNJIWqtez9PKM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IFERROR(__xludf.DUMMYFUNCTION("""COMPUTED_VALUE"""),"1XwWb172lSyEQcY3jmIlN32DUfXzcpCX3TAaiFMrAW6Q")</f>
        <v>1XwWb172lSyEQcY3jmIlN32DUfXzcpCX3TAaiFMrAW6Q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IFERROR(__xludf.DUMMYFUNCTION("""COMPUTED_VALUE"""),"1UFQ_O137A9fYomG8U3DZi6u0aJOLhEdOb9uPd1XRGg4")</f>
        <v>1UFQ_O137A9fYomG8U3DZi6u0aJOLhEdOb9uPd1XRGg4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IFERROR(__xludf.DUMMYFUNCTION("""COMPUTED_VALUE"""),"1PNlRP_f9Ce4d39zh_JfxS1-IRQ2lZ9LmbDv-YNbW0ws")</f>
        <v>1PNlRP_f9Ce4d39zh_JfxS1-IRQ2lZ9LmbDv-YNbW0ws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IFERROR(__xludf.DUMMYFUNCTION("""COMPUTED_VALUE"""),"10MC6_i1BVoL1LzM9Lj5pQq11-DVZxi4lg6JmZyXndlA")</f>
        <v>10MC6_i1BVoL1LzM9Lj5pQq11-DVZxi4lg6JmZyXndlA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IFERROR(__xludf.DUMMYFUNCTION("""COMPUTED_VALUE"""),"1wwRMdxFwMzL4j6aOJK1awK-P3H5mg_73kIOYdQV-jzE")</f>
        <v>1wwRMdxFwMzL4j6aOJK1awK-P3H5mg_73kIOYdQV-jzE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IFERROR(__xludf.DUMMYFUNCTION("""COMPUTED_VALUE"""),"1ydTFRdCEiW0S4QjO_nq3U9QkZ_sElCJSRuC8YTFTmDM")</f>
        <v>1ydTFRdCEiW0S4QjO_nq3U9QkZ_sElCJSRuC8YTFTmDM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IFERROR(__xludf.DUMMYFUNCTION("""COMPUTED_VALUE"""),"1TyXEOncuetpBc6awaz-9e8qmzRPhspaacAFxbb1KuXk")</f>
        <v>1TyXEOncuetpBc6awaz-9e8qmzRPhspaacAFxbb1KuXk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IFERROR(__xludf.DUMMYFUNCTION("""COMPUTED_VALUE"""),"1ujrr9fe1BF5zNwGm3FQX-VQGjnK8-GTda2InZicXhr0")</f>
        <v>1ujrr9fe1BF5zNwGm3FQX-VQGjnK8-GTda2InZicXhr0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IFERROR(__xludf.DUMMYFUNCTION("""COMPUTED_VALUE"""),"1VZ3yefl1NzzIoTT3B2uyDuSCt5Koeutvqcmf9ljJY2s")</f>
        <v>1VZ3yefl1NzzIoTT3B2uyDuSCt5Koeutvqcmf9ljJY2s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IFERROR(__xludf.DUMMYFUNCTION("""COMPUTED_VALUE"""),"1zhdc8S2ATpongUWtw4_n_Ao2z4dmVK8NaK3KnXEZcVs")</f>
        <v>1zhdc8S2ATpongUWtw4_n_Ao2z4dmVK8NaK3KnXEZcVs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IFERROR(__xludf.DUMMYFUNCTION("""COMPUTED_VALUE"""),"1Tf2tkH3voMf7Bddd7JKWvwpP_UlMk-ToxSdRxfAD0jM")</f>
        <v>1Tf2tkH3voMf7Bddd7JKWvwpP_UlMk-ToxSdRxfAD0jM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IFERROR(__xludf.DUMMYFUNCTION("""COMPUTED_VALUE"""),"1I5ypN0xJd-5h0D0FV3MNW12oOCuKLopQXeYbU4uymsQ")</f>
        <v>1I5ypN0xJd-5h0D0FV3MNW12oOCuKLopQXeYbU4uymsQ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IFERROR(__xludf.DUMMYFUNCTION("""COMPUTED_VALUE"""),"1HjUosyUubSyBTOoMjfoEXPhhuwTE0zxlMg_E5M-35KI")</f>
        <v>1HjUosyUubSyBTOoMjfoEXPhhuwTE0zxlMg_E5M-35KI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IFERROR(__xludf.DUMMYFUNCTION("""COMPUTED_VALUE"""),"1ntkjcw7jS8fAkXNT1tS7ljnkeomzfYY3hPmh4aD_sAA")</f>
        <v>1ntkjcw7jS8fAkXNT1tS7ljnkeomzfYY3hPmh4aD_sAA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IFERROR(__xludf.DUMMYFUNCTION("""COMPUTED_VALUE"""),"1fmfWmLW7JtnC3QwQKE2SYNBjpfVryomKbf8dddB6uHo")</f>
        <v>1fmfWmLW7JtnC3QwQKE2SYNBjpfVryomKbf8dddB6uHo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IFERROR(__xludf.DUMMYFUNCTION("""COMPUTED_VALUE"""),"1z_Tn21iZAmnP5WjmCfyv2uDZQ6_QCU53OGLuDkx8Oc4")</f>
        <v>1z_Tn21iZAmnP5WjmCfyv2uDZQ6_QCU53OGLuDkx8Oc4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IFERROR(__xludf.DUMMYFUNCTION("""COMPUTED_VALUE"""),"1xZ1BV6Hh4RBWqJJnN_kJeyL0fwG7Ahrr3S06JFmSoYg")</f>
        <v>1xZ1BV6Hh4RBWqJJnN_kJeyL0fwG7Ahrr3S06JFmSoYg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IFERROR(__xludf.DUMMYFUNCTION("""COMPUTED_VALUE"""),"1wHqenR3Gam1p0PqW3aulNwmgLPY_UioCzlLWNtUNPfA")</f>
        <v>1wHqenR3Gam1p0PqW3aulNwmgLPY_UioCzlLWNtUNPfA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IFERROR(__xludf.DUMMYFUNCTION("""COMPUTED_VALUE"""),"1dC0jq3TP8OpNNJ8iqYrIIpx_-wGyka9u3QG_vMPR6Jk")</f>
        <v>1dC0jq3TP8OpNNJ8iqYrIIpx_-wGyka9u3QG_vMPR6Jk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IFERROR(__xludf.DUMMYFUNCTION("""COMPUTED_VALUE"""),"12uaBilYuoqtrRW6_HDDP48tS7_jnEsipPeSiI04cKsU")</f>
        <v>12uaBilYuoqtrRW6_HDDP48tS7_jnEsipPeSiI04cKsU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IFERROR(__xludf.DUMMYFUNCTION("""COMPUTED_VALUE"""),"1DbIO0VY7xpdEigO0mZ-XsVT568tgFmOXTwVpApe1exI")</f>
        <v>1DbIO0VY7xpdEigO0mZ-XsVT568tgFmOXTwVpApe1exI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IFERROR(__xludf.DUMMYFUNCTION("""COMPUTED_VALUE"""),"1LaX9icgrLb7UfkgW9ctd7uQhtirYerCxwOcdswi3qJ4")</f>
        <v>1LaX9icgrLb7UfkgW9ctd7uQhtirYerCxwOcdswi3qJ4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IFERROR(__xludf.DUMMYFUNCTION("""COMPUTED_VALUE"""),"1C9P1HbY6Ro9lyEQ5ZR0swuE8ZsndB32hjwqmgHAPO48")</f>
        <v>1C9P1HbY6Ro9lyEQ5ZR0swuE8ZsndB32hjwqmgHAPO48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IFERROR(__xludf.DUMMYFUNCTION("""COMPUTED_VALUE"""),"1r1jHbvFBzvHIf55vHWyS1tZHMjEnQ-JSG4wuNkUdo8w")</f>
        <v>1r1jHbvFBzvHIf55vHWyS1tZHMjEnQ-JSG4wuNkUdo8w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IFERROR(__xludf.DUMMYFUNCTION("""COMPUTED_VALUE"""),"1IpFI6-6JOwbL8gM-udQe1oYtIYXeEUX23ACYlbw7CAY")</f>
        <v>1IpFI6-6JOwbL8gM-udQe1oYtIYXeEUX23ACYlbw7CAY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IFERROR(__xludf.DUMMYFUNCTION("""COMPUTED_VALUE"""),"1PUyWc_VM13xLUcyQtECH7mYIvYQznLYdEjD41p5ATvo")</f>
        <v>1PUyWc_VM13xLUcyQtECH7mYIvYQznLYdEjD41p5ATvo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IFERROR(__xludf.DUMMYFUNCTION("""COMPUTED_VALUE"""),"1UQGi8IiCImUPn2i6EU0ofTcyy_2hwKGgHnjxdlRJD1s")</f>
        <v>1UQGi8IiCImUPn2i6EU0ofTcyy_2hwKGgHnjxdlRJD1s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IFERROR(__xludf.DUMMYFUNCTION("""COMPUTED_VALUE"""),"1CWvtsX9WRwgsY7IPC9XXmj-zkwapfAoP4tauSGybyb8")</f>
        <v>1CWvtsX9WRwgsY7IPC9XXmj-zkwapfAoP4tauSGybyb8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IFERROR(__xludf.DUMMYFUNCTION("""COMPUTED_VALUE"""),"1_gr9yAcv8XFCvsAga7kXC2kGLcr4Um8jwnsOhyTDua8")</f>
        <v>1_gr9yAcv8XFCvsAga7kXC2kGLcr4Um8jwnsOhyTDua8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IFERROR(__xludf.DUMMYFUNCTION("""COMPUTED_VALUE"""),"1rHIT8qxxt2ksNiLFI6Ig6ZXBYvp7yIuHfgc6AYFwYbs")</f>
        <v>1rHIT8qxxt2ksNiLFI6Ig6ZXBYvp7yIuHfgc6AYFwYbs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IFERROR(__xludf.DUMMYFUNCTION("""COMPUTED_VALUE"""),"1dTWLDYGXBeQl6LezEPzd60kFiyaea6looT7M4rwMv2I")</f>
        <v>1dTWLDYGXBeQl6LezEPzd60kFiyaea6looT7M4rwMv2I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IFERROR(__xludf.DUMMYFUNCTION("""COMPUTED_VALUE"""),"1znuLT8W_GL5u40WjJBKcPVMDYjEc2dCFxwQ_2yTGzRk")</f>
        <v>1znuLT8W_GL5u40WjJBKcPVMDYjEc2dCFxwQ_2yTGzRk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IFERROR(__xludf.DUMMYFUNCTION("""COMPUTED_VALUE"""),"1FcLdR_WnLZQHNZAb7fo31xvViPBiukK-X3k3IfDUT5E")</f>
        <v>1FcLdR_WnLZQHNZAb7fo31xvViPBiukK-X3k3IfDUT5E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IFERROR(__xludf.DUMMYFUNCTION("""COMPUTED_VALUE"""),"1xeVMiuwuNo3S6RUbUKWd8vGC2KydXNR7P51U89_3Yj4")</f>
        <v>1xeVMiuwuNo3S6RUbUKWd8vGC2KydXNR7P51U89_3Yj4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IFERROR(__xludf.DUMMYFUNCTION("""COMPUTED_VALUE"""),"1Wf4tlPp9DuAnbeTQJSJP1jFGY3nQl4LX2Px79JxbDdo")</f>
        <v>1Wf4tlPp9DuAnbeTQJSJP1jFGY3nQl4LX2Px79JxbDdo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IFERROR(__xludf.DUMMYFUNCTION("""COMPUTED_VALUE"""),"1SyeWrX5C-iBb5GKLRjVajC7dDI8Z7jALI4Z_58qM1t0")</f>
        <v>1SyeWrX5C-iBb5GKLRjVajC7dDI8Z7jALI4Z_58qM1t0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IFERROR(__xludf.DUMMYFUNCTION("""COMPUTED_VALUE"""),"1fxUsSbuYzzoFKbiPI8jP3qpfTtLIg38iXf_eO_-wiMQ")</f>
        <v>1fxUsSbuYzzoFKbiPI8jP3qpfTtLIg38iXf_eO_-wiMQ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IFERROR(__xludf.DUMMYFUNCTION("""COMPUTED_VALUE"""),"1c8z9uEtlJwmoxKTHOI7GTZUAANw-oZmQlhfT_OI-_oE")</f>
        <v>1c8z9uEtlJwmoxKTHOI7GTZUAANw-oZmQlhfT_OI-_oE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IFERROR(__xludf.DUMMYFUNCTION("""COMPUTED_VALUE"""),"1BncbZbC0fRvgdJBGqgOpno2NiNysxguEOKqQ_wx4rRM")</f>
        <v>1BncbZbC0fRvgdJBGqgOpno2NiNysxguEOKqQ_wx4rRM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IFERROR(__xludf.DUMMYFUNCTION("""COMPUTED_VALUE"""),"1-pNim8pz7Yv4cffmGN5HGGavnpzLzpq_5kA4AE20NYM")</f>
        <v>1-pNim8pz7Yv4cffmGN5HGGavnpzLzpq_5kA4AE20NYM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IFERROR(__xludf.DUMMYFUNCTION("""COMPUTED_VALUE"""),"1UhtKaIOSsaBasxqY3sKs-yzcdn7UYylLMA_S4p_LSUg")</f>
        <v>1UhtKaIOSsaBasxqY3sKs-yzcdn7UYylLMA_S4p_LSUg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IFERROR(__xludf.DUMMYFUNCTION("""COMPUTED_VALUE"""),"1ygGptXUyfzDQoJvkfgVUkPUYd4xHQRbgZPB1q7Mq4kI")</f>
        <v>1ygGptXUyfzDQoJvkfgVUkPUYd4xHQRbgZPB1q7Mq4kI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IFERROR(__xludf.DUMMYFUNCTION("""COMPUTED_VALUE"""),"1kwyTwH_g61zdsuJMhxqb6Maa6M29IITtQgDUPkSqCfI")</f>
        <v>1kwyTwH_g61zdsuJMhxqb6Maa6M29IITtQgDUPkSqCfI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IFERROR(__xludf.DUMMYFUNCTION("""COMPUTED_VALUE"""),"1dgPXerDnGponQg7QoRz9zJh5jFCq9rY4gVQkfW6ueRs")</f>
        <v>1dgPXerDnGponQg7QoRz9zJh5jFCq9rY4gVQkfW6ueRs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IFERROR(__xludf.DUMMYFUNCTION("""COMPUTED_VALUE"""),"1-HZoUz8p44kRmIYxeitmY0y8sxzMyURZWzTS0g37nzA")</f>
        <v>1-HZoUz8p44kRmIYxeitmY0y8sxzMyURZWzTS0g37nzA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IFERROR(__xludf.DUMMYFUNCTION("""COMPUTED_VALUE"""),"1O3SOjzGFXrKLUBVExe6mkwP-cW27WQT9G0PcvkNksJc")</f>
        <v>1O3SOjzGFXrKLUBVExe6mkwP-cW27WQT9G0PcvkNksJc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IFERROR(__xludf.DUMMYFUNCTION("""COMPUTED_VALUE"""),"1E0dJWA33kTyYO_fdwidKBhJ1jMfTMbCADdoV67llPOA")</f>
        <v>1E0dJWA33kTyYO_fdwidKBhJ1jMfTMbCADdoV67llPOA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IFERROR(__xludf.DUMMYFUNCTION("""COMPUTED_VALUE"""),"1Lqg6zZCIQgFixPQUaXAjHwB-7OqPvbCOe32Jestm87U")</f>
        <v>1Lqg6zZCIQgFixPQUaXAjHwB-7OqPvbCOe32Jestm87U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IFERROR(__xludf.DUMMYFUNCTION("""COMPUTED_VALUE"""),"1kPqUA1eIuSVlgOBITs5CA81FHMww-cIa-anDNa23yuk")</f>
        <v>1kPqUA1eIuSVlgOBITs5CA81FHMww-cIa-anDNa23yuk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IFERROR(__xludf.DUMMYFUNCTION("""COMPUTED_VALUE"""),"1ED_HWp6cWhFdSYM9FJ4WIjNK5s9YQ96UM3HY6z7Uego")</f>
        <v>1ED_HWp6cWhFdSYM9FJ4WIjNK5s9YQ96UM3HY6z7Uego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IFERROR(__xludf.DUMMYFUNCTION("""COMPUTED_VALUE"""),"1hie509djkqOqzLwQ7S4lThLSFspiAn7Ow8Bo7rnDW4A")</f>
        <v>1hie509djkqOqzLwQ7S4lThLSFspiAn7Ow8Bo7rnDW4A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IFERROR(__xludf.DUMMYFUNCTION("""COMPUTED_VALUE"""),"1PjcRlbekDcLgzexy59Ff3csyLlFtkgjkCABuxqPrIFk")</f>
        <v>1PjcRlbekDcLgzexy59Ff3csyLlFtkgjkCABuxqPrIFk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IFERROR(__xludf.DUMMYFUNCTION("""COMPUTED_VALUE"""),"1HrnkYuHLAx8E64bu4fG7IGtnxXUEuwos_yJXHep8Gc0")</f>
        <v>1HrnkYuHLAx8E64bu4fG7IGtnxXUEuwos_yJXHep8Gc0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IFERROR(__xludf.DUMMYFUNCTION("""COMPUTED_VALUE"""),"1uRm_GGzspf-weRP6J-_7fCGDgJxtBXOqQ0LWy8KA90Q")</f>
        <v>1uRm_GGzspf-weRP6J-_7fCGDgJxtBXOqQ0LWy8KA90Q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IFERROR(__xludf.DUMMYFUNCTION("""COMPUTED_VALUE"""),"1YDrduYEvyxQ-ys7ZmzJ1hAFHnVlU4eDnSPUoOeGr_f4")</f>
        <v>1YDrduYEvyxQ-ys7ZmzJ1hAFHnVlU4eDnSPUoOeGr_f4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IFERROR(__xludf.DUMMYFUNCTION("""COMPUTED_VALUE"""),"1w2lTzhhnevYZjNuQsbEfjU06TK5bPsmZrffn3PWjstA")</f>
        <v>1w2lTzhhnevYZjNuQsbEfjU06TK5bPsmZrffn3PWjstA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IFERROR(__xludf.DUMMYFUNCTION("""COMPUTED_VALUE"""),"1pTm3IssLBKuCHCVwzzjA4Y-2hzUGPXPx9Or-EGngy50")</f>
        <v>1pTm3IssLBKuCHCVwzzjA4Y-2hzUGPXPx9Or-EGngy50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IFERROR(__xludf.DUMMYFUNCTION("""COMPUTED_VALUE"""),"1pBoTKoxm2i8Grrd5C95OVH3v8ny3DiEsw2du30G_8Og")</f>
        <v>1pBoTKoxm2i8Grrd5C95OVH3v8ny3DiEsw2du30G_8Og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IFERROR(__xludf.DUMMYFUNCTION("""COMPUTED_VALUE"""),"19yYT51s3MQyYorKH4wk_SdxFAdVT_LG3M60cam5_IiY")</f>
        <v>19yYT51s3MQyYorKH4wk_SdxFAdVT_LG3M60cam5_IiY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IFERROR(__xludf.DUMMYFUNCTION("""COMPUTED_VALUE"""),"1jVBqTixWDU8JyJbGKGBtrJQjm_NeYTaz3wu41AO1fk8")</f>
        <v>1jVBqTixWDU8JyJbGKGBtrJQjm_NeYTaz3wu41AO1fk8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IFERROR(__xludf.DUMMYFUNCTION("""COMPUTED_VALUE"""),"1PXjnQRFWRpATbYq-3yGKHrs-7O07blOuuM8BjzF_UGs")</f>
        <v>1PXjnQRFWRpATbYq-3yGKHrs-7O07blOuuM8BjzF_UGs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IFERROR(__xludf.DUMMYFUNCTION("""COMPUTED_VALUE"""),"1XpPlMHrXIkdrEc4GgpL4YGWBTY6izs1MK6Jy7Z3jR-Q")</f>
        <v>1XpPlMHrXIkdrEc4GgpL4YGWBTY6izs1MK6Jy7Z3jR-Q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IFERROR(__xludf.DUMMYFUNCTION("""COMPUTED_VALUE"""),"1z5unUI4CMAB-Y1nnow1quueM3t3SDsE_5x7GoqlPJdo")</f>
        <v>1z5unUI4CMAB-Y1nnow1quueM3t3SDsE_5x7GoqlPJdo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IFERROR(__xludf.DUMMYFUNCTION("""COMPUTED_VALUE"""),"1UbkLLvFc4omZgamtV9FPjYfaLw9XLbjQYRKGGO3lyPE")</f>
        <v>1UbkLLvFc4omZgamtV9FPjYfaLw9XLbjQYRKGGO3lyPE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IFERROR(__xludf.DUMMYFUNCTION("""COMPUTED_VALUE"""),"1LK3f7jczHzLHkY7I_RK-58BnR45KNGpebn0hHO3eSgo")</f>
        <v>1LK3f7jczHzLHkY7I_RK-58BnR45KNGpebn0hHO3eSgo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IFERROR(__xludf.DUMMYFUNCTION("""COMPUTED_VALUE"""),"10ici7f6_wpSFiwpn22nHeSOFsZ1dU_pzk6nMLQKHIRY")</f>
        <v>10ici7f6_wpSFiwpn22nHeSOFsZ1dU_pzk6nMLQKHIRY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IFERROR(__xludf.DUMMYFUNCTION("""COMPUTED_VALUE"""),"1RA-PKK7Kzfl_fgl03zAC8sp1VOE9HjaY5EL7ItkPBK4")</f>
        <v>1RA-PKK7Kzfl_fgl03zAC8sp1VOE9HjaY5EL7ItkPBK4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IFERROR(__xludf.DUMMYFUNCTION("""COMPUTED_VALUE"""),"1jKDiJYpLWAfkSGRoeJ_liPC1ZaTdCTC5AqjDzj9I61Q")</f>
        <v>1jKDiJYpLWAfkSGRoeJ_liPC1ZaTdCTC5AqjDzj9I61Q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IFERROR(__xludf.DUMMYFUNCTION("""COMPUTED_VALUE"""),"15s_MBgGJ0dfZ8sabmSGlh8UnFHbnEhlY_4upAbjXzmg")</f>
        <v>15s_MBgGJ0dfZ8sabmSGlh8UnFHbnEhlY_4upAbjXzmg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IFERROR(__xludf.DUMMYFUNCTION("""COMPUTED_VALUE"""),"1TqhiATlN6jhyI-VeiodnGdVQyLGZiu97o5NWbxOWr9s")</f>
        <v>1TqhiATlN6jhyI-VeiodnGdVQyLGZiu97o5NWbxOWr9s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IFERROR(__xludf.DUMMYFUNCTION("""COMPUTED_VALUE"""),"1dPK0Rp0k7gPTdi7pAXxULvjivbVrTViWALmSew6wF-0")</f>
        <v>1dPK0Rp0k7gPTdi7pAXxULvjivbVrTViWALmSew6wF-0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IFERROR(__xludf.DUMMYFUNCTION("""COMPUTED_VALUE"""),"178NOc-LsqpjkyVkksd_XD-EQcokXBH-1NEzm5ceoSAk")</f>
        <v>178NOc-LsqpjkyVkksd_XD-EQcokXBH-1NEzm5ceoSAk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IFERROR(__xludf.DUMMYFUNCTION("""COMPUTED_VALUE"""),"1Vv-FRtdz-znMa6eWfAZqSH3k0FWRSgYKVdL6W0eCjF8")</f>
        <v>1Vv-FRtdz-znMa6eWfAZqSH3k0FWRSgYKVdL6W0eCjF8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IFERROR(__xludf.DUMMYFUNCTION("""COMPUTED_VALUE"""),"Closing")</f>
        <v>Closing</v>
      </c>
      <c r="B642" s="0" t="str">
        <f>IFERROR(__xludf.DUMMYFUNCTION("""COMPUTED_VALUE"""),"SelectCreateTransactions")</f>
        <v>SelectCreateTransactions</v>
      </c>
      <c r="C642" s="0" t="str">
        <f>IFERROR(__xludf.DUMMYFUNCTION("""COMPUTED_VALUE"""),"1H_lhrQblpnlyHkVDOXbhIVIhZoC9lIB9uTE29zuQhrM")</f>
        <v>1H_lhrQblpnlyHkVDOXbhIVIhZoC9lIB9uTE29zuQhrM</v>
      </c>
    </row>
    <row r="643" ht="15.75" customHeight="1">
      <c r="A643" s="0" t="str">
        <f>IFERROR(__xludf.DUMMYFUNCTION("""COMPUTED_VALUE"""),"Closing")</f>
        <v>Closing</v>
      </c>
      <c r="B643" s="0" t="str">
        <f>IFERROR(__xludf.DUMMYFUNCTION("""COMPUTED_VALUE"""),"EditClosingTransactions")</f>
        <v>EditClosingTransactions</v>
      </c>
      <c r="C643" s="0" t="str">
        <f>IFERROR(__xludf.DUMMYFUNCTION("""COMPUTED_VALUE"""),"15009hbvBY1YaqNloK72CjyPdL0kMpnEYl2EFB4TUG6g")</f>
        <v>15009hbvBY1YaqNloK72CjyPdL0kMpnEYl2EFB4TUG6g</v>
      </c>
    </row>
    <row r="644" ht="15.75" customHeight="1">
      <c r="A644" s="0" t="str">
        <f>IFERROR(__xludf.DUMMYFUNCTION("""COMPUTED_VALUE"""),"Admin")</f>
        <v>Admin</v>
      </c>
      <c r="B644" s="0" t="str">
        <f>IFERROR(__xludf.DUMMYFUNCTION("""COMPUTED_VALUE"""),"SetAllocationPreferences")</f>
        <v>SetAllocationPreferences</v>
      </c>
      <c r="C644" s="0" t="str">
        <f>IFERROR(__xludf.DUMMYFUNCTION("""COMPUTED_VALUE"""),"16PO4KGgITIDM3iQzFlyKHfXPBXba023pXOJQCBN_Elc")</f>
        <v>16PO4KGgITIDM3iQzFlyKHfXPBXba023pXOJQCBN_Elc</v>
      </c>
    </row>
    <row r="645" ht="15.75" customHeight="1">
      <c r="A645" s="0" t="str">
        <f>IFERROR(__xludf.DUMMYFUNCTION("""COMPUTED_VALUE"""),"Closing")</f>
        <v>Closing</v>
      </c>
      <c r="B645" s="0" t="str">
        <f>IFERROR(__xludf.DUMMYFUNCTION("""COMPUTED_VALUE"""),"AddDuplicateRow")</f>
        <v>AddDuplicateRow</v>
      </c>
      <c r="C645" s="0" t="str">
        <f>IFERROR(__xludf.DUMMYFUNCTION("""COMPUTED_VALUE"""),"Undefined")</f>
        <v>Undefined</v>
      </c>
    </row>
    <row r="646" ht="15.75" customHeight="1">
      <c r="A646" s="0" t="str">
        <f>IFERROR(__xludf.DUMMYFUNCTION("""COMPUTED_VALUE"""),"TradeServer")</f>
        <v>TradeServer</v>
      </c>
      <c r="B646" s="0" t="str">
        <f>IFERROR(__xludf.DUMMYFUNCTION("""COMPUTED_VALUE"""),"ConnectToSimAutoMan")</f>
        <v>ConnectToSimAutoMan</v>
      </c>
      <c r="C646" s="0" t="str">
        <f>IFERROR(__xludf.DUMMYFUNCTION("""COMPUTED_VALUE"""),"13IX3MrLRTuTJsyg3JaQ71o5MoHPrX4JeQ5EXnHjhkH8")</f>
        <v>13IX3MrLRTuTJsyg3JaQ71o5MoHPrX4JeQ5EXnHjhkH8</v>
      </c>
    </row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4">
        <v>100</v>
      </c>
      <c r="F6" s="32" t="s">
        <v>18</v>
      </c>
      <c r="G6" s="32"/>
      <c r="H6" s="32"/>
      <c r="I6" s="32"/>
      <c r="J6" s="34">
        <v>1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5" t="s">
        <v>19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6" t="s">
        <v>20</v>
      </c>
      <c r="C7" s="36" t="s">
        <v>17</v>
      </c>
      <c r="D7" s="34">
        <v>100</v>
      </c>
      <c r="E7" s="34">
        <v>100</v>
      </c>
      <c r="F7" s="36" t="s">
        <v>18</v>
      </c>
      <c r="G7" s="32"/>
      <c r="H7" s="32"/>
      <c r="I7" s="32"/>
      <c r="J7" s="34">
        <v>1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5" t="s">
        <v>19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IFERROR(__xludf.DUMMYFUNCTION("IF(C3="""","""",Transpose(IMPORTRANGE('_Settings'!$B$3,C3&amp;""!A4:A1000"")))"),"SelectCheckBoxOnOrderGrid")</f>
        <v>SelectCheckBoxOnOrderGrid</v>
      </c>
      <c r="C4" s="25" t="str">
        <f>IFERROR(__xludf.DUMMYFUNCTION("""COMPUTED_VALUE"""),"SaveOrRemoveInWorkingSubsTab")</f>
        <v>SaveOrRemoveInWorkingSubsTab</v>
      </c>
      <c r="D4" s="25" t="str">
        <f>IFERROR(__xludf.DUMMYFUNCTION("""COMPUTED_VALUE"""),"SaveOrRemoveInSummaryTab")</f>
        <v>SaveOrRemoveInSummaryTab</v>
      </c>
      <c r="E4" s="25" t="str">
        <f>IFERROR(__xludf.DUMMYFUNCTION("""COMPUTED_VALUE"""),"VerifyLowerStripBlotterUI")</f>
        <v>VerifyLowerStripBlotterUI</v>
      </c>
      <c r="F4" s="25" t="str">
        <f>IFERROR(__xludf.DUMMYFUNCTION("""COMPUTED_VALUE"""),"AddTabBlotter")</f>
        <v>AddTabBlotter</v>
      </c>
      <c r="G4" s="25" t="str">
        <f>IFERROR(__xludf.DUMMYFUNCTION("""COMPUTED_VALUE"""),"VerifyMergeOrder")</f>
        <v>VerifyMergeOrder</v>
      </c>
      <c r="H4" s="25" t="str">
        <f>IFERROR(__xludf.DUMMYFUNCTION("""COMPUTED_VALUE"""),"MergeOrder")</f>
        <v>MergeOrder</v>
      </c>
      <c r="I4" s="25" t="str">
        <f>IFERROR(__xludf.DUMMYFUNCTION("""COMPUTED_VALUE"""),"ReplaceFillsOnBlotter")</f>
        <v>ReplaceFillsOnBlotter</v>
      </c>
      <c r="J4" s="25" t="str">
        <f>IFERROR(__xludf.DUMMYFUNCTION("""COMPUTED_VALUE"""),"CheckBlotter")</f>
        <v>CheckBlotter</v>
      </c>
      <c r="K4" s="25" t="str">
        <f>IFERROR(__xludf.DUMMYFUNCTION("""COMPUTED_VALUE"""),"ViewPTTAllocationDetails")</f>
        <v>ViewPTTAllocationDetails</v>
      </c>
      <c r="L4" s="25" t="str">
        <f>IFERROR(__xludf.DUMMYFUNCTION("""COMPUTED_VALUE"""),"AllocateFromBlotter")</f>
        <v>AllocateFromBlotter</v>
      </c>
      <c r="M4" s="25" t="str">
        <f>IFERROR(__xludf.DUMMYFUNCTION("""COMPUTED_VALUE"""),"ModifyFills")</f>
        <v>ModifyFills</v>
      </c>
      <c r="N4" s="25" t="str">
        <f>IFERROR(__xludf.DUMMYFUNCTION("""COMPUTED_VALUE"""),"BlotterFunctionalities")</f>
        <v>BlotterFunctionalities</v>
      </c>
      <c r="O4" s="25" t="str">
        <f>IFERROR(__xludf.DUMMYFUNCTION("""COMPUTED_VALUE"""),"SelectFills")</f>
        <v>SelectFills</v>
      </c>
      <c r="P4" s="26" t="str">
        <f>IFERROR(__xludf.DUMMYFUNCTION("""COMPUTED_VALUE"""),"ReloadOrderFromWorkingSubs")</f>
        <v>ReloadOrderFromWorkingSubs</v>
      </c>
      <c r="Q4" s="26" t="str">
        <f>IFERROR(__xludf.DUMMYFUNCTION("""COMPUTED_VALUE"""),"ReloadOrderFromSubOrder")</f>
        <v>ReloadOrderFromSubOrder</v>
      </c>
      <c r="R4" s="26" t="str">
        <f>IFERROR(__xludf.DUMMYFUNCTION("""COMPUTED_VALUE"""),"ReloadOrderFromBlotter")</f>
        <v>ReloadOrderFromBlotter</v>
      </c>
      <c r="S4" s="26" t="str">
        <f>IFERROR(__xludf.DUMMYFUNCTION("""COMPUTED_VALUE"""),"MultipleTradeTransferToUser")</f>
        <v>MultipleTradeTransferToUser</v>
      </c>
      <c r="T4" s="26" t="str">
        <f>IFERROR(__xludf.DUMMYFUNCTION("""COMPUTED_VALUE"""),"BlotterExecutionReportSnapshot")</f>
        <v>BlotterExecutionReportSnapshot</v>
      </c>
      <c r="U4" s="26" t="str">
        <f>IFERROR(__xludf.DUMMYFUNCTION("""COMPUTED_VALUE"""),"VerifyExecutionReport")</f>
        <v>VerifyExecutionReport</v>
      </c>
      <c r="V4" s="26" t="str">
        <f>IFERROR(__xludf.DUMMYFUNCTION("""COMPUTED_VALUE"""),"ExportExecutionReportData")</f>
        <v>ExportExecutionReportData</v>
      </c>
      <c r="W4" s="26" t="str">
        <f>IFERROR(__xludf.DUMMYFUNCTION("""COMPUTED_VALUE"""),"GetExecutionReportDetails")</f>
        <v>GetExecutionReportDetails</v>
      </c>
      <c r="X4" s="26" t="str">
        <f>IFERROR(__xludf.DUMMYFUNCTION("""COMPUTED_VALUE"""),"GetExecutionReportOrders")</f>
        <v>GetExecutionReportOrders</v>
      </c>
      <c r="Y4" s="26" t="str">
        <f>IFERROR(__xludf.DUMMYFUNCTION("""COMPUTED_VALUE"""),"RemoveExecutionWorkingSubs")</f>
        <v>RemoveExecutionWorkingSubs</v>
      </c>
      <c r="Z4" s="26" t="str">
        <f>IFERROR(__xludf.DUMMYFUNCTION("""COMPUTED_VALUE"""),"RemoveManualExecution")</f>
        <v>RemoveManualExecution</v>
      </c>
      <c r="AA4" s="26" t="str">
        <f>IFERROR(__xludf.DUMMYFUNCTION("""COMPUTED_VALUE"""),"TransferToUserWorkingSubs")</f>
        <v>TransferToUserWorkingSubs</v>
      </c>
      <c r="AB4" s="26" t="str">
        <f>IFERROR(__xludf.DUMMYFUNCTION("""COMPUTED_VALUE"""),"OpenBlotter")</f>
        <v>OpenBlotter</v>
      </c>
      <c r="AC4" s="26" t="str">
        <f>IFERROR(__xludf.DUMMYFUNCTION("""COMPUTED_VALUE"""),"CancelWorkingSubs")</f>
        <v>CancelWorkingSubs</v>
      </c>
      <c r="AD4" s="26" t="str">
        <f>IFERROR(__xludf.DUMMYFUNCTION("""COMPUTED_VALUE"""),"ReplaceWorkingSubs")</f>
        <v>ReplaceWorkingSubs</v>
      </c>
      <c r="AE4" s="26" t="str">
        <f>IFERROR(__xludf.DUMMYFUNCTION("""COMPUTED_VALUE"""),"ViewAllocationDetailsWorkingSub")</f>
        <v>ViewAllocationDetailsWorkingSub</v>
      </c>
      <c r="AF4" s="26" t="str">
        <f>IFERROR(__xludf.DUMMYFUNCTION("""COMPUTED_VALUE"""),"OpenBlotter")</f>
        <v>OpenBlotter</v>
      </c>
      <c r="AG4" s="26" t="str">
        <f>IFERROR(__xludf.DUMMYFUNCTION("""COMPUTED_VALUE"""),"SelectTradeOnOrderGrid")</f>
        <v>SelectTradeOnOrderGrid</v>
      </c>
      <c r="AH4" s="26" t="str">
        <f>IFERROR(__xludf.DUMMYFUNCTION("""COMPUTED_VALUE"""),"ShowDetailsForAlgoTradeSubOrder")</f>
        <v>ShowDetailsForAlgoTradeSubOrder</v>
      </c>
      <c r="AI4" s="26" t="str">
        <f>IFERROR(__xludf.DUMMYFUNCTION("""COMPUTED_VALUE"""),"SelectTradeOrderBlotter")</f>
        <v>SelectTradeOrderBlotter</v>
      </c>
      <c r="AJ4" s="26" t="str">
        <f>IFERROR(__xludf.DUMMYFUNCTION("""COMPUTED_VALUE"""),"AddFillsWorkingSubs")</f>
        <v>AddFillsWorkingSubs</v>
      </c>
      <c r="AK4" s="26" t="str">
        <f>IFERROR(__xludf.DUMMYFUNCTION("""COMPUTED_VALUE"""),"EditAddFillsDetails")</f>
        <v>EditAddFillsDetails</v>
      </c>
      <c r="AL4" s="26" t="str">
        <f>IFERROR(__xludf.DUMMYFUNCTION("""COMPUTED_VALUE"""),"ShowDetailsForAlgoTradeWorkingSubs")</f>
        <v>ShowDetailsForAlgoTradeWorkingSubs</v>
      </c>
      <c r="AM4" s="26" t="str">
        <f>IFERROR(__xludf.DUMMYFUNCTION("""COMPUTED_VALUE"""),"VerifyWorkingSubs")</f>
        <v>VerifyWorkingSubs</v>
      </c>
      <c r="AN4" s="26" t="str">
        <f>IFERROR(__xludf.DUMMYFUNCTION("""COMPUTED_VALUE"""),"TransferToUserOrder")</f>
        <v>TransferToUserOrder</v>
      </c>
      <c r="AO4" s="26" t="str">
        <f>IFERROR(__xludf.DUMMYFUNCTION("""COMPUTED_VALUE"""),"EditOrder")</f>
        <v>EditOrder</v>
      </c>
      <c r="AP4" s="26" t="str">
        <f>IFERROR(__xludf.DUMMYFUNCTION("""COMPUTED_VALUE"""),"SelectTradeSubOrderBlotter")</f>
        <v>SelectTradeSubOrderBlotter</v>
      </c>
      <c r="AQ4" s="26" t="str">
        <f>IFERROR(__xludf.DUMMYFUNCTION("""COMPUTED_VALUE"""),"VerifyOrder")</f>
        <v>VerifyOrder</v>
      </c>
      <c r="AR4" s="26" t="str">
        <f>IFERROR(__xludf.DUMMYFUNCTION("""COMPUTED_VALUE"""),"VerifySubOrder")</f>
        <v>VerifySubOrder</v>
      </c>
      <c r="AS4" s="26" t="str">
        <f>IFERROR(__xludf.DUMMYFUNCTION("""COMPUTED_VALUE"""),"RemoveSelectedOrders")</f>
        <v>RemoveSelectedOrders</v>
      </c>
      <c r="AT4" s="26" t="str">
        <f>IFERROR(__xludf.DUMMYFUNCTION("""COMPUTED_VALUE"""),"CancelAllSelectedSubs")</f>
        <v>CancelAllSelectedSubs</v>
      </c>
      <c r="AU4" s="26" t="str">
        <f>IFERROR(__xludf.DUMMYFUNCTION("""COMPUTED_VALUE"""),"MultiTradingTicket")</f>
        <v>MultiTradingTicket</v>
      </c>
      <c r="AV4" s="26" t="str">
        <f>IFERROR(__xludf.DUMMYFUNCTION("""COMPUTED_VALUE"""),"AuditTrailOrderBlotter")</f>
        <v>AuditTrailOrderBlotter</v>
      </c>
      <c r="AW4" s="26" t="str">
        <f>IFERROR(__xludf.DUMMYFUNCTION("""COMPUTED_VALUE"""),"TradeNewSubOrder")</f>
        <v>TradeNewSubOrder</v>
      </c>
      <c r="AX4" s="26" t="str">
        <f>IFERROR(__xludf.DUMMYFUNCTION("""COMPUTED_VALUE"""),"RemoveStageOrder")</f>
        <v>RemoveStageOrder</v>
      </c>
      <c r="AY4" s="26" t="str">
        <f>IFERROR(__xludf.DUMMYFUNCTION("""COMPUTED_VALUE"""),"TransferToUserSubOrder")</f>
        <v>TransferToUserSubOrder</v>
      </c>
      <c r="AZ4" s="26" t="str">
        <f>IFERROR(__xludf.DUMMYFUNCTION("""COMPUTED_VALUE"""),"DetailsForAlgoTradeOrder")</f>
        <v>DetailsForAlgoTradeOrder</v>
      </c>
      <c r="BA4" s="26" t="str">
        <f>IFERROR(__xludf.DUMMYFUNCTION("""COMPUTED_VALUE"""),"AddFillsSubOrder")</f>
        <v>AddFillsSubOrder</v>
      </c>
      <c r="BB4" s="26" t="str">
        <f>IFERROR(__xludf.DUMMYFUNCTION("""COMPUTED_VALUE"""),"ViewAllocationDetailsSubOrder")</f>
        <v>ViewAllocationDetailsSubOrder</v>
      </c>
      <c r="BC4" s="26" t="str">
        <f>IFERROR(__xludf.DUMMYFUNCTION("""COMPUTED_VALUE"""),"VerifySubOrderAfterRollover")</f>
        <v>VerifySubOrderAfterRollover</v>
      </c>
      <c r="BD4" s="26" t="str">
        <f>IFERROR(__xludf.DUMMYFUNCTION("""COMPUTED_VALUE"""),"VerifyRollover")</f>
        <v>VerifyRollover</v>
      </c>
      <c r="BE4" s="26" t="str">
        <f>IFERROR(__xludf.DUMMYFUNCTION("""COMPUTED_VALUE"""),"CancelAllSubs")</f>
        <v>CancelAllSubs</v>
      </c>
      <c r="BF4" s="26" t="str">
        <f>IFERROR(__xludf.DUMMYFUNCTION("""COMPUTED_VALUE"""),"CancelSubOrder")</f>
        <v>CancelSubOrder</v>
      </c>
      <c r="BG4" s="26" t="str">
        <f>IFERROR(__xludf.DUMMYFUNCTION("""COMPUTED_VALUE"""),"EditStageOrder")</f>
        <v>EditStageOrder</v>
      </c>
      <c r="BH4" s="26" t="str">
        <f>IFERROR(__xludf.DUMMYFUNCTION("""COMPUTED_VALUE"""),"ReplaceSubOrder")</f>
        <v>ReplaceSubOrder</v>
      </c>
      <c r="BI4" s="26" t="str">
        <f>IFERROR(__xludf.DUMMYFUNCTION("""COMPUTED_VALUE"""),"SelectTradeWorkingSubsBlotter")</f>
        <v>SelectTradeWorkingSubsBlotter</v>
      </c>
      <c r="BJ4" s="26" t="str">
        <f>IFERROR(__xludf.DUMMYFUNCTION("""COMPUTED_VALUE"""),"GoToAllocation")</f>
        <v>GoToAllocation</v>
      </c>
      <c r="BK4" s="26" t="str">
        <f>IFERROR(__xludf.DUMMYFUNCTION("""COMPUTED_VALUE"""),"VerifyAlgoDetails")</f>
        <v>VerifyAlgoDetails</v>
      </c>
      <c r="BL4" s="26" t="str">
        <f>IFERROR(__xludf.DUMMYFUNCTION("""COMPUTED_VALUE"""),"VerifyTransferToUserOrder")</f>
        <v>VerifyTransferToUserOrder</v>
      </c>
      <c r="BM4" s="26" t="str">
        <f>IFERROR(__xludf.DUMMYFUNCTION("""COMPUTED_VALUE"""),"VerifyTransferToUserSubOdr")</f>
        <v>VerifyTransferToUserSubOdr</v>
      </c>
      <c r="BN4" s="26" t="str">
        <f>IFERROR(__xludf.DUMMYFUNCTION("""COMPUTED_VALUE"""),"VerifyTransferToUserWorkSub")</f>
        <v>VerifyTransferToUserWorkSub</v>
      </c>
      <c r="BO4" s="26" t="str">
        <f>IFERROR(__xludf.DUMMYFUNCTION("""COMPUTED_VALUE"""),"VerifyViewAllocationDetails")</f>
        <v>VerifyViewAllocationDetails</v>
      </c>
      <c r="BP4" s="26" t="str">
        <f>IFERROR(__xludf.DUMMYFUNCTION("""COMPUTED_VALUE"""),"SaveLayoutOrderGrid")</f>
        <v>SaveLayoutOrderGrid</v>
      </c>
      <c r="BQ4" s="26" t="str">
        <f>IFERROR(__xludf.DUMMYFUNCTION("""COMPUTED_VALUE"""),"ReplaceStageOrder")</f>
        <v>ReplaceStageOrder</v>
      </c>
      <c r="BR4" s="26" t="str">
        <f>IFERROR(__xludf.DUMMYFUNCTION("""COMPUTED_VALUE"""),"MultiTradingTicketFromBlotter")</f>
        <v>MultiTradingTicketFromBlotter</v>
      </c>
      <c r="BS4" s="26" t="str">
        <f>IFERROR(__xludf.DUMMYFUNCTION("""COMPUTED_VALUE"""),"ReAllocateFromBlotterByAllocate")</f>
        <v>ReAllocateFromBlotterByAllocate</v>
      </c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 t="s">
        <v>16</v>
      </c>
      <c r="AJ6" s="32" t="s">
        <v>17</v>
      </c>
      <c r="AK6" s="32" t="s">
        <v>23</v>
      </c>
      <c r="AL6" s="37">
        <v>100</v>
      </c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 t="s">
        <v>20</v>
      </c>
      <c r="AJ7" s="32" t="s">
        <v>17</v>
      </c>
      <c r="AK7" s="32" t="s">
        <v>23</v>
      </c>
      <c r="AL7" s="37">
        <v>100</v>
      </c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MultiTradingTicketFromBlotter!$4:$4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IFERROR(__xludf.DUMMYFUNCTION("IF(C3="""","""",Transpose(IMPORTRANGE('_Settings'!$B$3,C3&amp;""!A4:A1000"")))"),"BulkEditUpdateFromMTT")</f>
        <v>BulkEditUpdateFromMTT</v>
      </c>
      <c r="C4" s="25" t="str">
        <f>IFERROR(__xludf.DUMMYFUNCTION("""COMPUTED_VALUE"""),"EditTradeUsingMTT")</f>
        <v>EditTradeUsingMTT</v>
      </c>
      <c r="D4" s="25" t="str">
        <f>IFERROR(__xludf.DUMMYFUNCTION("""COMPUTED_VALUE"""),"SelectTradeUsingMTT")</f>
        <v>SelectTradeUsingMTT</v>
      </c>
      <c r="E4" s="25" t="str">
        <f>IFERROR(__xludf.DUMMYFUNCTION("""COMPUTED_VALUE"""),"GetPriceUsingMTT")</f>
        <v>GetPriceUsingMTT</v>
      </c>
      <c r="F4" s="25" t="str">
        <f>IFERROR(__xludf.DUMMYFUNCTION("""COMPUTED_VALUE"""),"DoneAwayUsingMTT")</f>
        <v>DoneAwayUsingMTT</v>
      </c>
      <c r="G4" s="25" t="str">
        <f>IFERROR(__xludf.DUMMYFUNCTION("""COMPUTED_VALUE"""),"SendOrderUsingMTT")</f>
        <v>SendOrderUsingMTT</v>
      </c>
      <c r="H4" s="25" t="str">
        <f>IFERROR(__xludf.DUMMYFUNCTION("""COMPUTED_VALUE"""),"BulkChangeTradeDoneAway")</f>
        <v>BulkChangeTradeDoneAway</v>
      </c>
      <c r="I4" s="25" t="str">
        <f>IFERROR(__xludf.DUMMYFUNCTION("""COMPUTED_VALUE"""),"RefreshPriceUsingMTT")</f>
        <v>RefreshPriceUsingMTT</v>
      </c>
      <c r="J4" s="25" t="str">
        <f>IFERROR(__xludf.DUMMYFUNCTION("""COMPUTED_VALUE"""),"VerifyMTT")</f>
        <v>VerifyMTT</v>
      </c>
      <c r="K4" s="25" t="str">
        <f>IFERROR(__xludf.DUMMYFUNCTION("""COMPUTED_VALUE"""),"BulkUpdateUsingMTT")</f>
        <v>BulkUpdateUsingMTT</v>
      </c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 Quantity")</f>
        <v>Target Quantity</v>
      </c>
      <c r="F5" s="29" t="str">
        <f>IFERROR(__xludf.DUMMYFUNCTION("""COMPUTED_VALUE"""),"Allocation")</f>
        <v>Allocation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 Rate")</f>
        <v>FX 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 Basis")</f>
        <v>Commission Basis</v>
      </c>
      <c r="S5" s="28" t="str">
        <f>IFERROR(__xludf.DUMMYFUNCTION("""COMPUTED_VALUE"""),"Commission Rate")</f>
        <v>Commission Rate</v>
      </c>
      <c r="T5" s="30" t="str">
        <f>IFERROR(__xludf.DUMMYFUNCTION("""COMPUTED_VALUE"""),"Soft Basis")</f>
        <v>Soft Basis</v>
      </c>
      <c r="U5" s="30" t="str">
        <f>IFERROR(__xludf.DUMMYFUNCTION("""COMPUTED_VALUE"""),"Soft Rate")</f>
        <v>Soft Rate</v>
      </c>
      <c r="V5" s="30" t="str">
        <f>IFERROR(__xludf.DUMMYFUNCTION("""COMPUTED_VALUE"""),"Trade Attribute 1")</f>
        <v>Trade Attribute 1</v>
      </c>
      <c r="W5" s="30" t="str">
        <f>IFERROR(__xludf.DUMMYFUNCTION("""COMPUTED_VALUE"""),"Trade Attribute 2")</f>
        <v>Trade Attribute 2</v>
      </c>
      <c r="X5" s="30" t="str">
        <f>IFERROR(__xludf.DUMMYFUNCTION("""COMPUTED_VALUE"""),"Trade Attribute 3")</f>
        <v>Trade Attribute 3</v>
      </c>
      <c r="Y5" s="30" t="str">
        <f>IFERROR(__xludf.DUMMYFUNCTION("""COMPUTED_VALUE"""),"Trade Attribute 4")</f>
        <v>Trade Attribute 4</v>
      </c>
      <c r="Z5" s="30" t="str">
        <f>IFERROR(__xludf.DUMMYFUNCTION("""COMPUTED_VALUE"""),"Trade Attribute 5")</f>
        <v>Trade Attribute 5</v>
      </c>
      <c r="AA5" s="30" t="str">
        <f>IFERROR(__xludf.DUMMYFUNCTION("""COMPUTED_VALUE"""),"Trade Attribute 6")</f>
        <v>Trade Attribute 6</v>
      </c>
      <c r="AB5" s="30" t="str">
        <f>IFERROR(__xludf.DUMMYFUNCTION("""COMPUTED_VALUE"""),"Venue")</f>
        <v>Venue</v>
      </c>
      <c r="AC5" s="30" t="str">
        <f>IFERROR(__xludf.DUMMYFUNCTION("""COMPUTED_VALUE"""),"Execution Instructions")</f>
        <v>Execution Instructions</v>
      </c>
      <c r="AD5" s="30" t="str">
        <f>IFERROR(__xludf.DUMMYFUNCTION("""COMPUTED_VALUE"""),"Handling Instructions")</f>
        <v>Handling Instructions</v>
      </c>
      <c r="AE5" s="30" t="str">
        <f>IFERROR(__xludf.DUMMYFUNCTION("""COMPUTED_VALUE"""),"Trader")</f>
        <v>Trader</v>
      </c>
      <c r="AF5" s="30" t="str">
        <f>IFERROR(__xludf.DUMMYFUNCTION("""COMPUTED_VALUE"""),"Settlement Currency")</f>
        <v>Settlement Currency</v>
      </c>
      <c r="AG5" s="30" t="str">
        <f>IFERROR(__xludf.DUMMYFUNCTION("""COMPUTED_VALUE"""),"Settlement Fx Rate")</f>
        <v>Settlement Fx Rate</v>
      </c>
      <c r="AH5" s="30" t="str">
        <f>IFERROR(__xludf.DUMMYFUNCTION("""COMPUTED_VALUE"""),"Settlement Amount")</f>
        <v>Settlement Amount</v>
      </c>
      <c r="AI5" s="30" t="str">
        <f>IFERROR(__xludf.DUMMYFUNCTION("""COMPUTED_VALUE"""),"Settlement Fx Operator")</f>
        <v>Settlement Fx Operator</v>
      </c>
      <c r="AJ5" s="30" t="str">
        <f>IFERROR(__xludf.DUMMYFUNCTION("""COMPUTED_VALUE"""),"ImportFileName")</f>
        <v>ImportFileName</v>
      </c>
      <c r="AK5" s="30" t="str">
        <f>IFERROR(__xludf.DUMMYFUNCTION("""COMPUTED_VALUE"""),"SharesOutstandingPopUp")</f>
        <v>SharesOutstandingPopUp</v>
      </c>
      <c r="AL5" s="30" t="str">
        <f>IFERROR(__xludf.DUMMYFUNCTION("""COMPUTED_VALUE"""),"PopUpQuantity")</f>
        <v>PopUpQuantity</v>
      </c>
      <c r="AM5" s="30" t="str">
        <f>IFERROR(__xludf.DUMMYFUNCTION("""COMPUTED_VALUE"""),"ResAllowedListPopUp")</f>
        <v>ResAllowedListPopUp</v>
      </c>
      <c r="AN5" s="30" t="str">
        <f>IFERROR(__xludf.DUMMYFUNCTION("""COMPUTED_VALUE"""),"INFORMATIONRELATEDPOPUP_YESORNO")</f>
        <v>INFORMATIONRELATEDPOPUP_YESORNO</v>
      </c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20</v>
      </c>
      <c r="C7" s="32" t="s">
        <v>17</v>
      </c>
      <c r="D7" s="34">
        <v>100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DoneAwayUsingMTT!$4:$4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8">
        <v>100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8">
        <v>100</v>
      </c>
      <c r="BK6" s="32"/>
      <c r="BL6" s="32"/>
      <c r="BM6" s="32"/>
      <c r="BN6" s="32"/>
      <c r="BO6" s="32" t="s">
        <v>17</v>
      </c>
      <c r="BP6" s="32"/>
      <c r="BQ6" s="32"/>
      <c r="BR6" s="32"/>
      <c r="BS6" s="39" t="s">
        <v>20</v>
      </c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5" t="s">
        <v>19</v>
      </c>
      <c r="CF6" s="32"/>
      <c r="CG6" s="32"/>
      <c r="CH6" s="32"/>
      <c r="CI6" s="37">
        <v>100</v>
      </c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8">
        <v>100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8">
        <v>100</v>
      </c>
      <c r="BK7" s="32"/>
      <c r="BL7" s="32"/>
      <c r="BM7" s="32"/>
      <c r="BN7" s="32"/>
      <c r="BO7" s="32" t="s">
        <v>17</v>
      </c>
      <c r="BP7" s="32"/>
      <c r="BQ7" s="32"/>
      <c r="BR7" s="32"/>
      <c r="BS7" s="39" t="s">
        <v>16</v>
      </c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5" t="s">
        <v>19</v>
      </c>
      <c r="CF7" s="32"/>
      <c r="CG7" s="32"/>
      <c r="CH7" s="32"/>
      <c r="CI7" s="37">
        <v>100</v>
      </c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30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IFERROR(__xludf.DUMMYFUNCTION("IF(C3="""","""",Transpose(IMPORTRANGE('_Settings'!$B$3,C3&amp;""!A4:A1000"")))"),"PranaClient")</f>
        <v>PranaClient</v>
      </c>
      <c r="C4" s="25" t="str">
        <f>IFERROR(__xludf.DUMMYFUNCTION("""COMPUTED_VALUE"""),"RestartClient")</f>
        <v>RestartClient</v>
      </c>
      <c r="D4" s="25" t="str">
        <f>IFERROR(__xludf.DUMMYFUNCTION("""COMPUTED_VALUE"""),"UpdateClientConfig")</f>
        <v>UpdateClientConfig</v>
      </c>
      <c r="E4" s="25" t="str">
        <f>IFERROR(__xludf.DUMMYFUNCTION("""COMPUTED_VALUE"""),"LoginClient")</f>
        <v>LoginClient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IFERROR(__xludf.DUMMYFUNCTION("""COMPUTED_VALUE"""),"LoginUserName")</f>
        <v>LoginUserName</v>
      </c>
      <c r="C5" s="28" t="str">
        <f>IFERROR(__xludf.DUMMYFUNCTION("""COMPUTED_VALUE"""),"LoginPassword")</f>
        <v>LoginPassword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32</v>
      </c>
      <c r="C6" s="13" t="s">
        <v>33</v>
      </c>
      <c r="D6" s="13"/>
      <c r="E6" s="4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LoginClient!$4:$4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28</v>
      </c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GetDataAllocation1!$4:$4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26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IFERROR(__xludf.DUMMYFUNCTION("""COMPUTED_VALUE"""),"Accrual Basis")</f>
        <v>Accrual Basis</v>
      </c>
      <c r="C5" s="28" t="str">
        <f>IFERROR(__xludf.DUMMYFUNCTION("""COMPUTED_VALUE"""),"Accrued Interest")</f>
        <v>Accrued Interest</v>
      </c>
      <c r="D5" s="28" t="str">
        <f>IFERROR(__xludf.DUMMYFUNCTION("""COMPUTED_VALUE"""),"Allocated Qty")</f>
        <v>Allocated Qty</v>
      </c>
      <c r="E5" s="28" t="str">
        <f>IFERROR(__xludf.DUMMYFUNCTION("""COMPUTED_VALUE"""),"Allocation Scheme Name")</f>
        <v>Allocation Scheme Name</v>
      </c>
      <c r="F5" s="29" t="str">
        <f>IFERROR(__xludf.DUMMYFUNCTION("""COMPUTED_VALUE"""),"Asset Category")</f>
        <v>Asset Category</v>
      </c>
      <c r="G5" s="28" t="str">
        <f>IFERROR(__xludf.DUMMYFUNCTION("""COMPUTED_VALUE"""),"AUEC Fee1")</f>
        <v>AUEC Fee1</v>
      </c>
      <c r="H5" s="28" t="str">
        <f>IFERROR(__xludf.DUMMYFUNCTION("""COMPUTED_VALUE"""),"AUEC Fee2")</f>
        <v>AUEC Fee2</v>
      </c>
      <c r="I5" s="28" t="str">
        <f>IFERROR(__xludf.DUMMYFUNCTION("""COMPUTED_VALUE"""),"AUECID")</f>
        <v>AUECID</v>
      </c>
      <c r="J5" s="28" t="str">
        <f>IFERROR(__xludf.DUMMYFUNCTION("""COMPUTED_VALUE"""),"Avg Price(Base)")</f>
        <v>Avg Price(Base)</v>
      </c>
      <c r="K5" s="28" t="str">
        <f>IFERROR(__xludf.DUMMYFUNCTION("""COMPUTED_VALUE"""),"Avg Price(Local)")</f>
        <v>Avg Price(Local)</v>
      </c>
      <c r="L5" s="28" t="str">
        <f>IFERROR(__xludf.DUMMYFUNCTION("""COMPUTED_VALUE"""),"Bloomberg")</f>
        <v>Bloomberg</v>
      </c>
      <c r="M5" s="28" t="str">
        <f>IFERROR(__xludf.DUMMYFUNCTION("""COMPUTED_VALUE"""),"Bond Type")</f>
        <v>Bond Type</v>
      </c>
      <c r="N5" s="28" t="str">
        <f>IFERROR(__xludf.DUMMYFUNCTION("""COMPUTED_VALUE"""),"Broker")</f>
        <v>Broker</v>
      </c>
      <c r="O5" s="28" t="str">
        <f>IFERROR(__xludf.DUMMYFUNCTION("""COMPUTED_VALUE"""),"Change Comment")</f>
        <v>Change Comment</v>
      </c>
      <c r="P5" s="28" t="str">
        <f>IFERROR(__xludf.DUMMYFUNCTION("""COMPUTED_VALUE"""),"Change Type")</f>
        <v>Change Type</v>
      </c>
      <c r="Q5" s="28" t="str">
        <f>IFERROR(__xludf.DUMMYFUNCTION("""COMPUTED_VALUE"""),"Clearing Broker Fee")</f>
        <v>Clearing Broker Fee</v>
      </c>
      <c r="R5" s="28" t="str">
        <f>IFERROR(__xludf.DUMMYFUNCTION("""COMPUTED_VALUE"""),"Closing Method")</f>
        <v>Closing Method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IFERROR(__xludf.DUMMYFUNCTION("""COMPUTED_VALUE"""),"Execution Time")</f>
        <v>Execution Time</v>
      </c>
      <c r="AG5" s="30" t="str">
        <f>IFERROR(__xludf.DUMMYFUNCTION("""COMPUTED_VALUE"""),"FX Conversion Operator")</f>
        <v>FX Conversion Operator</v>
      </c>
      <c r="AH5" s="30" t="str">
        <f>IFERROR(__xludf.DUMMYFUNCTION("""COMPUTED_VALUE"""),"FX Rate")</f>
        <v>FX Rate</v>
      </c>
      <c r="AI5" s="30" t="str">
        <f>IFERROR(__xludf.DUMMYFUNCTION("""COMPUTED_VALUE"""),"Group Status")</f>
        <v>Group Status</v>
      </c>
      <c r="AJ5" s="30" t="str">
        <f>IFERROR(__xludf.DUMMYFUNCTION("""COMPUTED_VALUE"""),"GroupID")</f>
        <v>GroupID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IFERROR(__xludf.DUMMYFUNCTION("""COMPUTED_VALUE"""),"Symbol")</f>
        <v>Symbol</v>
      </c>
      <c r="BT5" s="30" t="str">
        <f>IFERROR(__xludf.DUMMYFUNCTION("""COMPUTED_VALUE"""),"Tax On Commissions")</f>
        <v>Tax On Commissions</v>
      </c>
      <c r="BU5" s="30" t="str">
        <f>IFERROR(__xludf.DUMMYFUNCTION("""COMPUTED_VALUE"""),"Total Commission")</f>
        <v>Total Commission</v>
      </c>
      <c r="BV5" s="30" t="str">
        <f>IFERROR(__xludf.DUMMYFUNCTION("""COMPUTED_VALUE"""),"Total Commission And Fee")</f>
        <v>Total Commission And Fee</v>
      </c>
      <c r="BW5" s="30" t="str">
        <f>IFERROR(__xludf.DUMMYFUNCTION("""COMPUTED_VALUE"""),"Total Commission Per Share")</f>
        <v>Total Commission Per Share</v>
      </c>
      <c r="BX5" s="30" t="str">
        <f>IFERROR(__xludf.DUMMYFUNCTION("""COMPUTED_VALUE"""),"Trade Attribute 1")</f>
        <v>Trade Attribute 1</v>
      </c>
      <c r="BY5" s="30" t="str">
        <f>IFERROR(__xludf.DUMMYFUNCTION("""COMPUTED_VALUE"""),"Trade Attribute 2")</f>
        <v>Trade Attribute 2</v>
      </c>
      <c r="BZ5" s="30" t="str">
        <f>IFERROR(__xludf.DUMMYFUNCTION("""COMPUTED_VALUE"""),"Trade Attribute 3")</f>
        <v>Trade Attribute 3</v>
      </c>
      <c r="CA5" s="30" t="str">
        <f>IFERROR(__xludf.DUMMYFUNCTION("""COMPUTED_VALUE"""),"Trade Attribute 4")</f>
        <v>Trade Attribute 4</v>
      </c>
      <c r="CB5" s="30" t="str">
        <f>IFERROR(__xludf.DUMMYFUNCTION("""COMPUTED_VALUE"""),"Trade Attribute 5")</f>
        <v>Trade Attribute 5</v>
      </c>
      <c r="CC5" s="30" t="str">
        <f>IFERROR(__xludf.DUMMYFUNCTION("""COMPUTED_VALUE"""),"Trade Attribute 6")</f>
        <v>Trade Attribute 6</v>
      </c>
      <c r="CD5" s="30" t="str">
        <f>IFERROR(__xludf.DUMMYFUNCTION("""COMPUTED_VALUE"""),"Trade Date")</f>
        <v>Trade Date</v>
      </c>
      <c r="CE5" s="30" t="str">
        <f>IFERROR(__xludf.DUMMYFUNCTION("""COMPUTED_VALUE"""),"Trading Account")</f>
        <v>Trading Account</v>
      </c>
      <c r="CF5" s="30" t="str">
        <f>IFERROR(__xludf.DUMMYFUNCTION("""COMPUTED_VALUE"""),"Transaction Levy")</f>
        <v>Transaction Levy</v>
      </c>
      <c r="CG5" s="30" t="str">
        <f>IFERROR(__xludf.DUMMYFUNCTION("""COMPUTED_VALUE"""),"Transaction Source")</f>
        <v>Transaction Source</v>
      </c>
      <c r="CH5" s="30" t="str">
        <f>IFERROR(__xludf.DUMMYFUNCTION("""COMPUTED_VALUE"""),"Transaction Type")</f>
        <v>Transaction Type</v>
      </c>
      <c r="CI5" s="30" t="str">
        <f>IFERROR(__xludf.DUMMYFUNCTION("""COMPUTED_VALUE"""),"UnAllocatedQty")</f>
        <v>UnAllocatedQty</v>
      </c>
      <c r="CJ5" s="30" t="str">
        <f>IFERROR(__xludf.DUMMYFUNCTION("""COMPUTED_VALUE"""),"Underlying")</f>
        <v>Underlying</v>
      </c>
      <c r="CK5" s="30" t="str">
        <f>IFERROR(__xludf.DUMMYFUNCTION("""COMPUTED_VALUE"""),"Underlying Delta")</f>
        <v>Underlying Delta</v>
      </c>
      <c r="CL5" s="30" t="str">
        <f>IFERROR(__xludf.DUMMYFUNCTION("""COMPUTED_VALUE"""),"Underlying Symbol")</f>
        <v>Underlying Symbol</v>
      </c>
      <c r="CM5" s="30" t="str">
        <f>IFERROR(__xludf.DUMMYFUNCTION("""COMPUTED_VALUE"""),"User")</f>
        <v>User</v>
      </c>
      <c r="CN5" s="30" t="str">
        <f>IFERROR(__xludf.DUMMYFUNCTION("""COMPUTED_VALUE"""),"Venue")</f>
        <v>Venue</v>
      </c>
      <c r="CO5" s="30" t="str">
        <f>IFERROR(__xludf.DUMMYFUNCTION("""COMPUTED_VALUE"""),"Closing Date")</f>
        <v>Closing Date</v>
      </c>
      <c r="CP5" s="30" t="str">
        <f>IFERROR(__xludf.DUMMYFUNCTION("""COMPUTED_VALUE"""),"Expiration Date")</f>
        <v>Expiration Date</v>
      </c>
      <c r="CQ5" s="30" t="str">
        <f>IFERROR(__xludf.DUMMYFUNCTION("""COMPUTED_VALUE"""),"Master Fund")</f>
        <v>Master Fund</v>
      </c>
      <c r="CR5" s="30" t="str">
        <f>IFERROR(__xludf.DUMMYFUNCTION("""COMPUTED_VALUE"""),"Borrow Broker")</f>
        <v>Borrow Broker</v>
      </c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8">
        <v>100</v>
      </c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8">
        <v>100</v>
      </c>
      <c r="BK6" s="32"/>
      <c r="BL6" s="32"/>
      <c r="BM6" s="32"/>
      <c r="BN6" s="32"/>
      <c r="BO6" s="32" t="s">
        <v>17</v>
      </c>
      <c r="BP6" s="32"/>
      <c r="BQ6" s="32"/>
      <c r="BR6" s="32"/>
      <c r="BS6" s="39" t="s">
        <v>20</v>
      </c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5" t="s">
        <v>19</v>
      </c>
      <c r="CF6" s="32"/>
      <c r="CG6" s="32"/>
      <c r="CH6" s="32"/>
      <c r="CI6" s="37">
        <v>100</v>
      </c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8">
        <v>100</v>
      </c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8">
        <v>100</v>
      </c>
      <c r="BK7" s="32"/>
      <c r="BL7" s="32"/>
      <c r="BM7" s="32"/>
      <c r="BN7" s="32"/>
      <c r="BO7" s="32" t="s">
        <v>17</v>
      </c>
      <c r="BP7" s="32"/>
      <c r="BQ7" s="32"/>
      <c r="BR7" s="32"/>
      <c r="BS7" s="39" t="s">
        <v>16</v>
      </c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5" t="s">
        <v>19</v>
      </c>
      <c r="CF7" s="32"/>
      <c r="CG7" s="32"/>
      <c r="CH7" s="32"/>
      <c r="CI7" s="37">
        <v>100</v>
      </c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CheckUnallocatedGroups1!$4:$4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