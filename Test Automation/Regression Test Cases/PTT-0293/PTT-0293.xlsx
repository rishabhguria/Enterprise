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avePageView" sheetId="4" r:id="rId6"/>
    <sheet state="visible" name="GetDailyCash" sheetId="5" r:id="rId7"/>
    <sheet state="visible" name="UpdateMultipleDailyCash" sheetId="6" r:id="rId8"/>
    <sheet state="visible" name="CreateDoneAwayOrder" sheetId="7" r:id="rId9"/>
    <sheet state="visible" name="ActionOnPageFromSearch" sheetId="8" r:id="rId10"/>
    <sheet state="visible" name="CalculatePTT" sheetId="9" r:id="rId11"/>
    <sheet state="visible" name="EditPTTRecordAndExecuteOrder1" sheetId="10" r:id="rId12"/>
    <sheet state="visible" name="VerifyPTT1" sheetId="11" r:id="rId13"/>
    <sheet state="visible" name="CalculatePTT1" sheetId="12" r:id="rId14"/>
    <sheet state="visible" name="VerifyPTT2" sheetId="13" r:id="rId15"/>
  </sheets>
  <definedNames/>
  <calcPr/>
</workbook>
</file>

<file path=xl/sharedStrings.xml><?xml version="1.0" encoding="utf-8"?>
<sst xmlns="http://schemas.openxmlformats.org/spreadsheetml/2006/main" count="107" uniqueCount="44">
  <si>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</si>
  <si>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</si>
  <si>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</si>
  <si>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</si>
  <si>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</si>
  <si>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</si>
  <si>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</si>
  <si>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</si>
  <si>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</si>
  <si>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</si>
  <si>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</si>
  <si>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</si>
  <si>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OpenFin</t>
  </si>
  <si>
    <t>SavePageView</t>
  </si>
  <si>
    <t>Data Format</t>
  </si>
  <si>
    <t>Input Format</t>
  </si>
  <si>
    <t>Trading Ticket</t>
  </si>
  <si>
    <t>TT_Page</t>
  </si>
  <si>
    <t>DailyValuation</t>
  </si>
  <si>
    <t>GetDailyCash</t>
  </si>
  <si>
    <t>Select Date</t>
  </si>
  <si>
    <t>Copy From</t>
  </si>
  <si>
    <t>UpdateMultipleDailyCash</t>
  </si>
  <si>
    <t>Account</t>
  </si>
  <si>
    <t>Local Currency</t>
  </si>
  <si>
    <t>Cash Value Local</t>
  </si>
  <si>
    <t>Allocation1</t>
  </si>
  <si>
    <t>USD</t>
  </si>
  <si>
    <t>TradingTicket</t>
  </si>
  <si>
    <t>CreateDoneAwayOrder</t>
  </si>
  <si>
    <t>AAPL</t>
  </si>
  <si>
    <t>Sell</t>
  </si>
  <si>
    <t>FRU-TC</t>
  </si>
  <si>
    <t>ActionOnPageFromSearch</t>
  </si>
  <si>
    <t>PTT</t>
  </si>
  <si>
    <t>CalculatePTT</t>
  </si>
  <si>
    <t>Increase</t>
  </si>
  <si>
    <t>EditPTTRecordAndExecuteOrder</t>
  </si>
  <si>
    <t>Select</t>
  </si>
  <si>
    <t>Edit</t>
  </si>
  <si>
    <t>VerifyPTT</t>
  </si>
  <si>
    <t>Sell short</t>
  </si>
  <si>
    <t>Decrease</t>
  </si>
  <si>
    <t>Buy to Cover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</si>
</sst>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4" fillId="5" fontId="4" numFmtId="0" xfId="0" applyAlignment="1" applyBorder="1" applyFont="1">
      <alignment vertical="bottom"/>
    </xf>
    <xf borderId="0" fillId="0" fontId="5" numFmtId="14" xfId="0" applyAlignment="1" applyFont="1" applyNumberForma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IFERROR(__xludf.DUMMYFUNCTION("""COMPUTED_VALUE"""),"TabName")</f>
        <v>TabName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1" t="s">
        <v>17</v>
      </c>
      <c r="D6" s="32"/>
      <c r="E6" s="33"/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3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SavePageView!$4:$4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4" t="s">
        <v>20</v>
      </c>
      <c r="C5" s="34" t="s">
        <v>21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5">
        <f>TODAY()-1</f>
        <v>45929</v>
      </c>
      <c r="C6" s="35">
        <f>TODAY()</f>
        <v>45930</v>
      </c>
      <c r="D6" s="32"/>
      <c r="E6" s="33"/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3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/>
      <c r="B5" s="34" t="s">
        <v>23</v>
      </c>
      <c r="C5" s="34" t="s">
        <v>24</v>
      </c>
      <c r="D5" s="34" t="s">
        <v>25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26</v>
      </c>
      <c r="C6" s="36" t="s">
        <v>27</v>
      </c>
      <c r="D6" s="37">
        <v>10000.0</v>
      </c>
      <c r="E6" s="33"/>
      <c r="F6" s="33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33"/>
      <c r="F7" s="33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/>
      <c r="C8" s="33"/>
      <c r="D8" s="33"/>
      <c r="E8" s="33"/>
      <c r="F8" s="33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31</v>
      </c>
      <c r="D6" s="12">
        <v>100.0</v>
      </c>
      <c r="E6" s="38"/>
      <c r="F6" s="8"/>
      <c r="G6" s="8"/>
      <c r="H6" s="8"/>
      <c r="I6" s="8"/>
      <c r="J6" s="12">
        <v>10.0</v>
      </c>
      <c r="K6" s="8"/>
      <c r="L6" s="8"/>
      <c r="M6" s="8"/>
      <c r="N6" s="8"/>
      <c r="O6" s="8"/>
    </row>
    <row r="7" ht="15.75" customHeight="1">
      <c r="A7" s="8"/>
      <c r="B7" s="12" t="s">
        <v>32</v>
      </c>
      <c r="C7" s="12" t="s">
        <v>31</v>
      </c>
      <c r="D7" s="12">
        <v>100.0</v>
      </c>
      <c r="E7" s="8"/>
      <c r="F7" s="8"/>
      <c r="G7" s="8"/>
      <c r="H7" s="8"/>
      <c r="I7" s="8"/>
      <c r="J7" s="12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IFERROR(__xludf.DUMMYFUNCTION("IF(C3="""","""",Transpose(IMPORTRANGE('_Settings'!$B$3,C3&amp;""!A4:A1000"")))"),"CheckOpenFinWindowName")</f>
        <v>CheckOpenFinWindowName</v>
      </c>
      <c r="C4" s="24" t="str">
        <f>IFERROR(__xludf.DUMMYFUNCTION("""COMPUTED_VALUE"""),"OpenWindowFromSearch")</f>
        <v>OpenWindowFromSearch</v>
      </c>
      <c r="D4" s="24" t="str">
        <f>IFERROR(__xludf.DUMMYFUNCTION("""COMPUTED_VALUE"""),"VerifyColour")</f>
        <v>VerifyColour</v>
      </c>
      <c r="E4" s="24" t="str">
        <f>IFERROR(__xludf.DUMMYFUNCTION("""COMPUTED_VALUE"""),"OpenReleaseClient")</f>
        <v>OpenReleaseClient</v>
      </c>
      <c r="F4" s="24" t="str">
        <f>IFERROR(__xludf.DUMMYFUNCTION("""COMPUTED_VALUE"""),"ActionOnPageFromSearch")</f>
        <v>ActionOnPageFromSearch</v>
      </c>
      <c r="G4" s="24" t="str">
        <f>IFERROR(__xludf.DUMMYFUNCTION("""COMPUTED_VALUE"""),"SavePageView")</f>
        <v>SavePageView</v>
      </c>
      <c r="H4" s="24" t="str">
        <f>IFERROR(__xludf.DUMMYFUNCTION("""COMPUTED_VALUE"""),"ChangeThemeOnModule")</f>
        <v>ChangeThemeOnModule</v>
      </c>
      <c r="I4" s="24" t="str">
        <f>IFERROR(__xludf.DUMMYFUNCTION("""COMPUTED_VALUE"""),"CloseService")</f>
        <v>CloseService</v>
      </c>
      <c r="J4" s="24" t="str">
        <f>IFERROR(__xludf.DUMMYFUNCTION("""COMPUTED_VALUE"""),"LogOutSamsara")</f>
        <v>LogOutSamsara</v>
      </c>
      <c r="K4" s="24" t="str">
        <f>IFERROR(__xludf.DUMMYFUNCTION("""COMPUTED_VALUE"""),"ResizeEnsure")</f>
        <v>ResizeEnsure</v>
      </c>
      <c r="L4" s="24" t="str">
        <f>IFERROR(__xludf.DUMMYFUNCTION("""COMPUTED_VALUE"""),"VerifyNotification")</f>
        <v>VerifyNotification</v>
      </c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IFERROR(__xludf.DUMMYFUNCTION("""COMPUTED_VALUE"""),"OpenWindow")</f>
        <v>OpenWindow</v>
      </c>
      <c r="C5" s="27" t="str">
        <f>IFERROR(__xludf.DUMMYFUNCTION("""COMPUTED_VALUE"""),"Action")</f>
        <v>Action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1" t="s">
        <v>17</v>
      </c>
      <c r="C6" s="36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ActionOnPageFromSearch!$4:$4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30</v>
      </c>
      <c r="C6" s="31" t="s">
        <v>36</v>
      </c>
      <c r="D6" s="32"/>
      <c r="E6" s="39">
        <v>10.0</v>
      </c>
      <c r="F6" s="39">
        <v>10.0</v>
      </c>
      <c r="G6" s="33"/>
      <c r="H6" s="33"/>
      <c r="I6" s="31" t="s">
        <v>26</v>
      </c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IFERROR(__xludf.DUMMYFUNCTION("""COMPUTED_VALUE"""),"Action")</f>
        <v>Action</v>
      </c>
      <c r="U5" s="29" t="str">
        <f>IFERROR(__xludf.DUMMYFUNCTION("""COMPUTED_VALUE"""),"OrderButtonType")</f>
        <v>OrderButtonType</v>
      </c>
      <c r="V5" s="29" t="str">
        <f>IFERROR(__xludf.DUMMYFUNCTION("""COMPUTED_VALUE"""),"Change Amt")</f>
        <v>Change Amt</v>
      </c>
      <c r="W5" s="29" t="str">
        <f>IFERROR(__xludf.DUMMYFUNCTION("""COMPUTED_VALUE"""),"Group")</f>
        <v>Group</v>
      </c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26</v>
      </c>
      <c r="C6" s="8"/>
      <c r="D6" s="12"/>
      <c r="E6" s="38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38</v>
      </c>
    </row>
    <row r="7" ht="15.75" customHeight="1">
      <c r="A7" s="8"/>
      <c r="B7" s="8"/>
      <c r="C7" s="8"/>
      <c r="D7" s="8"/>
      <c r="E7" s="8"/>
      <c r="F7" s="8"/>
      <c r="G7" s="12"/>
      <c r="H7" s="8"/>
      <c r="I7" s="12">
        <v>100.0</v>
      </c>
      <c r="J7" s="8"/>
      <c r="K7" s="8"/>
      <c r="L7" s="8"/>
      <c r="M7" s="8"/>
      <c r="N7" s="8"/>
      <c r="O7" s="8"/>
      <c r="T7" s="9" t="s">
        <v>39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EditPTTRecordAndExecuteOrder1!$4:$4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>
        <v>10000.0</v>
      </c>
      <c r="D6" s="12">
        <v>-100.0</v>
      </c>
      <c r="E6" s="38"/>
      <c r="F6" s="8"/>
      <c r="G6" s="40">
        <v>-10.0</v>
      </c>
      <c r="H6" s="40">
        <v>-20.0</v>
      </c>
      <c r="I6" s="12">
        <v>100.0</v>
      </c>
      <c r="J6" s="12"/>
      <c r="K6" s="8"/>
      <c r="L6" s="8"/>
      <c r="M6" s="8"/>
      <c r="N6" s="8"/>
      <c r="O6" s="8"/>
      <c r="R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IFERROR(__xludf.DUMMYFUNCTION("""COMPUTED_VALUE"""),"Add/Set")</f>
        <v>Add/Set</v>
      </c>
      <c r="D5" s="27" t="str">
        <f>IFERROR(__xludf.DUMMYFUNCTION("""COMPUTED_VALUE"""),"Type")</f>
        <v>Type</v>
      </c>
      <c r="E5" s="27" t="str">
        <f>IFERROR(__xludf.DUMMYFUNCTION("""COMPUTED_VALUE"""),"Target")</f>
        <v>Target</v>
      </c>
      <c r="F5" s="28" t="str">
        <f>IFERROR(__xludf.DUMMYFUNCTION("""COMPUTED_VALUE"""),"Price")</f>
        <v>Price</v>
      </c>
      <c r="G5" s="27" t="str">
        <f>IFERROR(__xludf.DUMMYFUNCTION("""COMPUTED_VALUE"""),"Combined Account Total")</f>
        <v>Combined Account Total</v>
      </c>
      <c r="H5" s="27" t="str">
        <f>IFERROR(__xludf.DUMMYFUNCTION("""COMPUTED_VALUE"""),"MasterFund/Account")</f>
        <v>MasterFund/Account</v>
      </c>
      <c r="I5" s="27" t="str">
        <f>IFERROR(__xludf.DUMMYFUNCTION("""COMPUTED_VALUE"""),"Accounts")</f>
        <v>Accounts</v>
      </c>
      <c r="J5" s="27" t="str">
        <f>IFERROR(__xludf.DUMMYFUNCTION("""COMPUTED_VALUE"""),"Master Funds")</f>
        <v>Master Funds</v>
      </c>
      <c r="K5" s="27" t="str">
        <f>IFERROR(__xludf.DUMMYFUNCTION("""COMPUTED_VALUE"""),"Round Lots")</f>
        <v>Round Lots</v>
      </c>
      <c r="L5" s="27" t="str">
        <f>IFERROR(__xludf.DUMMYFUNCTION("""COMPUTED_VALUE"""),"Use Custodian Broker")</f>
        <v>Use Custodian Broker</v>
      </c>
      <c r="M5" s="27" t="str">
        <f>IFERROR(__xludf.DUMMYFUNCTION("""COMPUTED_VALUE"""),"Broker")</f>
        <v>Broker</v>
      </c>
      <c r="N5" s="27" t="str">
        <f>IFERROR(__xludf.DUMMYFUNCTION("""COMPUTED_VALUE"""),"Venue")</f>
        <v>Venue</v>
      </c>
      <c r="O5" s="27" t="str">
        <f>IFERROR(__xludf.DUMMYFUNCTION("""COMPUTED_VALUE"""),"TIF")</f>
        <v>TIF</v>
      </c>
      <c r="P5" s="27" t="str">
        <f>IFERROR(__xludf.DUMMYFUNCTION("""COMPUTED_VALUE"""),"Order Type")</f>
        <v>Order Type</v>
      </c>
      <c r="Q5" s="27" t="str">
        <f>IFERROR(__xludf.DUMMYFUNCTION("""COMPUTED_VALUE"""),"Stop")</f>
        <v>Stop</v>
      </c>
      <c r="R5" s="27" t="str">
        <f>IFERROR(__xludf.DUMMYFUNCTION("""COMPUTED_VALUE"""),"Limit")</f>
        <v>Limit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0" t="s">
        <v>30</v>
      </c>
      <c r="C6" s="36" t="s">
        <v>42</v>
      </c>
      <c r="D6" s="32"/>
      <c r="E6" s="39">
        <v>10.0</v>
      </c>
      <c r="F6" s="39">
        <v>10.0</v>
      </c>
      <c r="G6" s="33"/>
      <c r="H6" s="33"/>
      <c r="I6" s="31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IFERROR(__xludf.DUMMYFUNCTION("IF(C3="""","""",Transpose(IMPORTRANGE('_Settings'!$B$3,C3&amp;""!A4:A1000"")))"),"CalculatePTT")</f>
        <v>CalculatePTT</v>
      </c>
      <c r="C4" s="24" t="str">
        <f>IFERROR(__xludf.DUMMYFUNCTION("""COMPUTED_VALUE"""),"TradeUsingPTT")</f>
        <v>TradeUsingPTT</v>
      </c>
      <c r="D4" s="24" t="str">
        <f>IFERROR(__xludf.DUMMYFUNCTION("""COMPUTED_VALUE"""),"VerifyPTTCompliance")</f>
        <v>VerifyPTTCompliance</v>
      </c>
      <c r="E4" s="24" t="str">
        <f>IFERROR(__xludf.DUMMYFUNCTION("""COMPUTED_VALUE"""),"StageOrderUsingPTT")</f>
        <v>StageOrderUsingPTT</v>
      </c>
      <c r="F4" s="24" t="str">
        <f>IFERROR(__xludf.DUMMYFUNCTION("""COMPUTED_VALUE"""),"CreateOrderPTT")</f>
        <v>CreateOrderPTT</v>
      </c>
      <c r="G4" s="24" t="str">
        <f>IFERROR(__xludf.DUMMYFUNCTION("""COMPUTED_VALUE"""),"TradePTT")</f>
        <v>TradePTT</v>
      </c>
      <c r="H4" s="24" t="str">
        <f>IFERROR(__xludf.DUMMYFUNCTION("""COMPUTED_VALUE"""),"VerifyPTT")</f>
        <v>VerifyPTT</v>
      </c>
      <c r="I4" s="24" t="str">
        <f>IFERROR(__xludf.DUMMYFUNCTION("""COMPUTED_VALUE"""),"OpenMultiTTFromPTT")</f>
        <v>OpenMultiTTFromPTT</v>
      </c>
      <c r="J4" s="24" t="str">
        <f>IFERROR(__xludf.DUMMYFUNCTION("""COMPUTED_VALUE"""),"SelectMultiTT")</f>
        <v>SelectMultiTT</v>
      </c>
      <c r="K4" s="24" t="str">
        <f>IFERROR(__xludf.DUMMYFUNCTION("""COMPUTED_VALUE"""),"EditMultiTT")</f>
        <v>EditMultiTT</v>
      </c>
      <c r="L4" s="24" t="str">
        <f>IFERROR(__xludf.DUMMYFUNCTION("""COMPUTED_VALUE"""),"SetAccountFactor")</f>
        <v>SetAccountFactor</v>
      </c>
      <c r="M4" s="24" t="str">
        <f>IFERROR(__xludf.DUMMYFUNCTION("""COMPUTED_VALUE"""),"SetPTTPreference")</f>
        <v>SetPTTPreference</v>
      </c>
      <c r="N4" s="24" t="str">
        <f>IFERROR(__xludf.DUMMYFUNCTION("""COMPUTED_VALUE"""),"SetLongShortPTTPreference")</f>
        <v>SetLongShortPTTPreference</v>
      </c>
      <c r="O4" s="24" t="str">
        <f>IFERROR(__xludf.DUMMYFUNCTION("""COMPUTED_VALUE"""),"SelectPTTRecord")</f>
        <v>SelectPTTRecord</v>
      </c>
      <c r="P4" s="25" t="str">
        <f>IFERROR(__xludf.DUMMYFUNCTION("""COMPUTED_VALUE"""),"EditPTTRecordAndExecuteOrder")</f>
        <v>EditPTTRecordAndExecuteOrder</v>
      </c>
      <c r="Q4" s="25" t="str">
        <f>IFERROR(__xludf.DUMMYFUNCTION("""COMPUTED_VALUE"""),"CreateOrderAfterEditPTT")</f>
        <v>CreateOrderAfterEditPTT</v>
      </c>
      <c r="R4" s="25" t="str">
        <f>IFERROR(__xludf.DUMMYFUNCTION("""COMPUTED_VALUE"""),"EditPTTWPFGrid")</f>
        <v>EditPTTWPFGrid</v>
      </c>
      <c r="S4" s="25" t="str">
        <f>IFERROR(__xludf.DUMMYFUNCTION("""COMPUTED_VALUE"""),"SetDefaultSymbology")</f>
        <v>SetDefaultSymbology</v>
      </c>
      <c r="T4" s="25" t="str">
        <f>IFERROR(__xludf.DUMMYFUNCTION("""COMPUTED_VALUE"""),"EditPTTAccountLevelWPF")</f>
        <v>EditPTTAccountLevelWPF</v>
      </c>
      <c r="U4" s="25" t="str">
        <f>IFERROR(__xludf.DUMMYFUNCTION("""COMPUTED_VALUE"""),"AutoStageImportFromPTTExport")</f>
        <v>AutoStageImportFromPTTExport</v>
      </c>
      <c r="V4" s="25" t="str">
        <f>IFERROR(__xludf.DUMMYFUNCTION("""COMPUTED_VALUE"""),"OpenPreferencesFromPTT")</f>
        <v>OpenPreferencesFromPTT</v>
      </c>
      <c r="W4" s="25" t="str">
        <f>IFERROR(__xludf.DUMMYFUNCTION("""COMPUTED_VALUE"""),"VerifyTradeSummary")</f>
        <v>VerifyTradeSummary</v>
      </c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NAV")</f>
        <v>Account NAV</v>
      </c>
      <c r="D5" s="27" t="str">
        <f>IFERROR(__xludf.DUMMYFUNCTION("""COMPUTED_VALUE"""),"Starting Position")</f>
        <v>Starting Position</v>
      </c>
      <c r="E5" s="27" t="str">
        <f>IFERROR(__xludf.DUMMYFUNCTION("""COMPUTED_VALUE"""),"Starting Value")</f>
        <v>Starting Value</v>
      </c>
      <c r="F5" s="28" t="str">
        <f>IFERROR(__xludf.DUMMYFUNCTION("""COMPUTED_VALUE"""),"Starting %")</f>
        <v>Starting %</v>
      </c>
      <c r="G5" s="27" t="str">
        <f>IFERROR(__xludf.DUMMYFUNCTION("""COMPUTED_VALUE"""),"% Change")</f>
        <v>% Change</v>
      </c>
      <c r="H5" s="27" t="str">
        <f>IFERROR(__xludf.DUMMYFUNCTION("""COMPUTED_VALUE"""),"Ending %")</f>
        <v>Ending %</v>
      </c>
      <c r="I5" s="27" t="str">
        <f>IFERROR(__xludf.DUMMYFUNCTION("""COMPUTED_VALUE"""),"Trade Quantity")</f>
        <v>Trade Quantity</v>
      </c>
      <c r="J5" s="27" t="str">
        <f>IFERROR(__xludf.DUMMYFUNCTION("""COMPUTED_VALUE"""),"Ending Position")</f>
        <v>Ending Position</v>
      </c>
      <c r="K5" s="27" t="str">
        <f>IFERROR(__xludf.DUMMYFUNCTION("""COMPUTED_VALUE"""),"Ending Value")</f>
        <v>Ending Value</v>
      </c>
      <c r="L5" s="27" t="str">
        <f>IFERROR(__xludf.DUMMYFUNCTION("""COMPUTED_VALUE"""),"% Allocation")</f>
        <v>% Allocation</v>
      </c>
      <c r="M5" s="27" t="str">
        <f>IFERROR(__xludf.DUMMYFUNCTION("""COMPUTED_VALUE"""),"Fx Rate")</f>
        <v>Fx Rate</v>
      </c>
      <c r="N5" s="27" t="str">
        <f>IFERROR(__xludf.DUMMYFUNCTION("""COMPUTED_VALUE"""),"Starting BP")</f>
        <v>Starting BP</v>
      </c>
      <c r="O5" s="27" t="str">
        <f>IFERROR(__xludf.DUMMYFUNCTION("""COMPUTED_VALUE"""),"BP Change")</f>
        <v>BP Change</v>
      </c>
      <c r="P5" s="27" t="str">
        <f>IFERROR(__xludf.DUMMYFUNCTION("""COMPUTED_VALUE"""),"Ending BP")</f>
        <v>Ending BP</v>
      </c>
      <c r="Q5" s="27" t="str">
        <f>IFERROR(__xludf.DUMMYFUNCTION("""COMPUTED_VALUE"""),"MasterFund Name")</f>
        <v>MasterFund Name</v>
      </c>
      <c r="R5" s="27" t="str">
        <f>IFERROR(__xludf.DUMMYFUNCTION("""COMPUTED_VALUE"""),"Order Side")</f>
        <v>Order Side</v>
      </c>
      <c r="S5" s="27" t="str">
        <f>IFERROR(__xludf.DUMMYFUNCTION("""COMPUTED_VALUE"""),"Round Lots")</f>
        <v>Round Lots</v>
      </c>
      <c r="T5" s="29" t="str">
        <f>IFERROR(__xludf.DUMMYFUNCTION("""COMPUTED_VALUE"""),"Verify RoundLots In Input Parameters")</f>
        <v>Verify RoundLots In Input Parameters</v>
      </c>
      <c r="U5" s="29" t="str">
        <f>IFERROR(__xludf.DUMMYFUNCTION("""COMPUTED_VALUE"""),"Change Amt")</f>
        <v>Change Amt</v>
      </c>
      <c r="V5" s="29" t="str">
        <f>IFERROR(__xludf.DUMMYFUNCTION("""COMPUTED_VALUE"""),"Group")</f>
        <v>Group</v>
      </c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26</v>
      </c>
      <c r="C6" s="40">
        <v>10000.0</v>
      </c>
      <c r="D6" s="12">
        <v>-100.0</v>
      </c>
      <c r="E6" s="38"/>
      <c r="F6" s="8"/>
      <c r="G6" s="12">
        <v>10.0</v>
      </c>
      <c r="H6" s="12">
        <v>0.0</v>
      </c>
      <c r="I6" s="12">
        <v>100.0</v>
      </c>
      <c r="J6" s="12"/>
      <c r="K6" s="8"/>
      <c r="L6" s="8"/>
      <c r="M6" s="8"/>
      <c r="N6" s="8"/>
      <c r="O6" s="8"/>
      <c r="R6" s="9" t="s">
        <v>43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