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reateDoneAwayOrder" sheetId="6" r:id="rId8"/>
    <sheet state="visible" name="PricingInput" sheetId="7" r:id="rId9"/>
    <sheet state="visible" name="TradePTT" sheetId="8" r:id="rId10"/>
    <sheet state="visible" name="CustomOrderTT" sheetId="9" r:id="rId11"/>
    <sheet state="visible" name="SelectTradeOnOrderGrid" sheetId="10" r:id="rId12"/>
    <sheet state="visible" name="ReplaceSubOrder" sheetId="11" r:id="rId13"/>
    <sheet state="visible" name="CreateReplaceOrder" sheetId="12" r:id="rId14"/>
    <sheet state="visible" name="SelectTradeOnOrderGrid1" sheetId="13" r:id="rId15"/>
    <sheet state="visible" name="ReplaceSubOrder1" sheetId="14" r:id="rId16"/>
    <sheet state="visible" name="VerifyTT" sheetId="15" r:id="rId17"/>
  </sheets>
  <definedNames/>
  <calcPr/>
</workbook>
</file>

<file path=xl/sharedStrings.xml><?xml version="1.0" encoding="utf-8"?>
<sst xmlns="http://schemas.openxmlformats.org/spreadsheetml/2006/main" count="128" uniqueCount="41">
  <si>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</si>
  <si>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</si>
  <si>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</si>
  <si>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</si>
  <si>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</si>
  <si>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</si>
  <si>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</si>
  <si>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</si>
  <si>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</si>
  <si>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</si>
  <si>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</si>
  <si>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</si>
  <si>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</si>
  <si>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</si>
  <si>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</si>
  <si>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</si>
  <si>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</si>
  <si>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</si>
  <si>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</si>
  <si>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Allocation2</t>
  </si>
  <si>
    <t>TradingTicket</t>
  </si>
  <si>
    <t>CreateDoneAwayOrder</t>
  </si>
  <si>
    <t>AAPL</t>
  </si>
  <si>
    <t>Buy</t>
  </si>
  <si>
    <t>Yes</t>
  </si>
  <si>
    <t>PricingInput</t>
  </si>
  <si>
    <t>PTT</t>
  </si>
  <si>
    <t>TradePTT</t>
  </si>
  <si>
    <t>Account</t>
  </si>
  <si>
    <t>Allocation1,Allocation2</t>
  </si>
  <si>
    <t>CustomOrderTT</t>
  </si>
  <si>
    <t>DoneAway</t>
  </si>
  <si>
    <t>Blotter</t>
  </si>
  <si>
    <t>SelectTradeOnOrderGrid</t>
  </si>
  <si>
    <t>Filled</t>
  </si>
  <si>
    <t>ReplaceSubOrder</t>
  </si>
  <si>
    <t>CreateReplaceOrder</t>
  </si>
  <si>
    <t>Replaced</t>
  </si>
  <si>
    <t>VerifyTT</t>
  </si>
  <si>
    <t>Day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</si>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</sst>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>today()-1</f>
        <v>45953</v>
      </c>
      <c r="C6" s="32">
        <f>today()</f>
        <v>45954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13">
        <v>1000.0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18</v>
      </c>
      <c r="D7" s="13">
        <v>1000.0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100.0</v>
      </c>
      <c r="E6" s="33"/>
      <c r="F6" s="13" t="s">
        <v>17</v>
      </c>
      <c r="G6" s="8"/>
      <c r="H6" s="8"/>
      <c r="I6" s="8"/>
      <c r="J6" s="13">
        <v>1.0</v>
      </c>
      <c r="K6" s="8"/>
      <c r="L6" s="8"/>
      <c r="M6" s="8"/>
      <c r="N6" s="8"/>
      <c r="O6" s="8"/>
      <c r="AQ6" s="9" t="s">
        <v>24</v>
      </c>
    </row>
    <row r="7" ht="15.75" customHeight="1">
      <c r="A7" s="13"/>
      <c r="B7" s="13" t="s">
        <v>22</v>
      </c>
      <c r="C7" s="13" t="s">
        <v>23</v>
      </c>
      <c r="D7" s="13">
        <v>100.0</v>
      </c>
      <c r="E7" s="33"/>
      <c r="F7" s="13" t="s">
        <v>19</v>
      </c>
      <c r="G7" s="8"/>
      <c r="H7" s="8"/>
      <c r="I7" s="8"/>
      <c r="J7" s="13">
        <v>1.0</v>
      </c>
      <c r="K7" s="8"/>
      <c r="L7" s="8"/>
      <c r="M7" s="8"/>
      <c r="N7" s="8"/>
      <c r="O7" s="8"/>
      <c r="AQ7" s="9" t="s">
        <v>24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>
        <v>1.0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13">
        <v>10.0</v>
      </c>
      <c r="F6" s="13">
        <v>1.0</v>
      </c>
      <c r="G6" s="8"/>
      <c r="H6" s="13" t="s">
        <v>28</v>
      </c>
      <c r="I6" s="13" t="s">
        <v>29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13" t="s">
        <v>31</v>
      </c>
      <c r="F6" s="8"/>
      <c r="G6" s="8"/>
      <c r="H6" s="8"/>
      <c r="I6" s="8"/>
      <c r="J6" s="13" t="s">
        <v>23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22</v>
      </c>
      <c r="E6" s="33"/>
      <c r="F6" s="13" t="s">
        <v>23</v>
      </c>
      <c r="G6" s="13" t="s">
        <v>34</v>
      </c>
      <c r="H6" s="13">
        <v>200.0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22</v>
      </c>
      <c r="AK6" s="9" t="s">
        <v>23</v>
      </c>
      <c r="AL6" s="9" t="s">
        <v>34</v>
      </c>
      <c r="AM6" s="9">
        <v>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>
        <v>300.0</v>
      </c>
      <c r="E6" s="13"/>
      <c r="F6" s="8"/>
      <c r="G6" s="8"/>
      <c r="H6" s="8"/>
      <c r="I6" s="8"/>
      <c r="J6" s="13">
        <v>1.0</v>
      </c>
      <c r="K6" s="8"/>
      <c r="L6" s="8"/>
      <c r="M6" s="8"/>
      <c r="N6" s="8"/>
      <c r="O6" s="8"/>
      <c r="AO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22</v>
      </c>
      <c r="E6" s="33"/>
      <c r="F6" s="13" t="s">
        <v>23</v>
      </c>
      <c r="G6" s="13" t="s">
        <v>34</v>
      </c>
      <c r="H6" s="13">
        <v>200.0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22</v>
      </c>
      <c r="AK6" s="9" t="s">
        <v>23</v>
      </c>
      <c r="AL6" s="9" t="s">
        <v>37</v>
      </c>
      <c r="AM6" s="9">
        <v>300.0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IFERROR(__xludf.DUMMYFUNCTION("""COMPUTED_VALUE"""),"MasterFund")</f>
        <v>MasterFund</v>
      </c>
      <c r="AG5" s="30" t="str">
        <f>IFERROR(__xludf.DUMMYFUNCTION("""COMPUTED_VALUE"""),"RoundLotStrip")</f>
        <v>RoundLotStrip</v>
      </c>
      <c r="AH5" s="30" t="str">
        <f>IFERROR(__xludf.DUMMYFUNCTION("""COMPUTED_VALUE"""),"Round Lots")</f>
        <v>Round Lots</v>
      </c>
      <c r="AI5" s="30" t="str">
        <f>IFERROR(__xludf.DUMMYFUNCTION("""COMPUTED_VALUE"""),"Button_Status")</f>
        <v>Button_Status</v>
      </c>
      <c r="AJ5" s="30" t="str">
        <f>IFERROR(__xludf.DUMMYFUNCTION("""COMPUTED_VALUE"""),"Position")</f>
        <v>Position</v>
      </c>
      <c r="AK5" s="30" t="str">
        <f>IFERROR(__xludf.DUMMYFUNCTION("""COMPUTED_VALUE"""),"Symbol Name")</f>
        <v>Symbol Name</v>
      </c>
      <c r="AL5" s="30" t="str">
        <f>IFERROR(__xludf.DUMMYFUNCTION("""COMPUTED_VALUE"""),"Last")</f>
        <v>Last</v>
      </c>
      <c r="AM5" s="30" t="str">
        <f>IFERROR(__xludf.DUMMYFUNCTION("""COMPUTED_VALUE"""),"Change")</f>
        <v>Change</v>
      </c>
      <c r="AN5" s="30" t="str">
        <f>IFERROR(__xludf.DUMMYFUNCTION("""COMPUTED_VALUE"""),"Bid")</f>
        <v>Bid</v>
      </c>
      <c r="AO5" s="30" t="str">
        <f>IFERROR(__xludf.DUMMYFUNCTION("""COMPUTED_VALUE"""),"Ask")</f>
        <v>Ask</v>
      </c>
      <c r="AP5" s="30" t="str">
        <f>IFERROR(__xludf.DUMMYFUNCTION("""COMPUTED_VALUE"""),"Notional(Base)")</f>
        <v>Notional(Base)</v>
      </c>
      <c r="AQ5" s="30" t="str">
        <f>IFERROR(__xludf.DUMMYFUNCTION("""COMPUTED_VALUE"""),"Notional(Local)")</f>
        <v>Notional(Local)</v>
      </c>
      <c r="AR5" s="30" t="str">
        <f>IFERROR(__xludf.DUMMYFUNCTION("""COMPUTED_VALUE"""),"Exposure")</f>
        <v>Exposure</v>
      </c>
      <c r="AS5" s="30" t="str">
        <f>IFERROR(__xludf.DUMMYFUNCTION("""COMPUTED_VALUE"""),"Day P&amp;L")</f>
        <v>Day P&amp;L</v>
      </c>
      <c r="AT5" s="30" t="str">
        <f>IFERROR(__xludf.DUMMYFUNCTION("""COMPUTED_VALUE"""),"VerifyDisableVenue")</f>
        <v>VerifyDisableVenue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300.0</v>
      </c>
      <c r="E6" s="33"/>
      <c r="F6" s="8"/>
      <c r="G6" s="8"/>
      <c r="H6" s="13" t="s">
        <v>39</v>
      </c>
      <c r="I6" s="13" t="s">
        <v>40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VerifyTT!$4:$4</formula1>
    </dataValidation>
  </dataValidations>
  <drawing r:id="rId1"/>
</worksheet>
</file>