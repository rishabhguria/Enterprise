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  <sheet state="visible" name="SetGeneralPreferences" sheetId="7" r:id="rId9"/>
    <sheet state="visible" name="SelectAllocatedGroup" sheetId="8" r:id="rId10"/>
    <sheet state="visible" name="EditAllocatedGrid" sheetId="9" r:id="rId11"/>
    <sheet state="visible" name="CheckAllocatedGroups1" sheetId="10" r:id="rId12"/>
    <sheet state="visible" name="SetGeneralPreferences1" sheetId="11" r:id="rId13"/>
    <sheet state="visible" name="EditAllocatedGrid1" sheetId="12" r:id="rId14"/>
    <sheet state="visible" name="CheckAllocatedGroups2" sheetId="13" r:id="rId15"/>
    <sheet state="visible" name="CheckAllocatedGroups3" sheetId="14" r:id="rId16"/>
    <sheet state="visible" name="Unallocate" sheetId="15" r:id="rId17"/>
    <sheet state="visible" name="CheckUnallocatedGroups" sheetId="16" r:id="rId18"/>
  </sheets>
  <definedNames/>
  <calcPr/>
</workbook>
</file>

<file path=xl/sharedStrings.xml><?xml version="1.0" encoding="utf-8"?>
<sst xmlns="http://schemas.openxmlformats.org/spreadsheetml/2006/main" count="204" uniqueCount="41">
  <si>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</si>
  <si>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</si>
  <si>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</si>
  <si>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</si>
  <si>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</si>
  <si>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</si>
  <si>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</si>
  <si>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</si>
  <si>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</si>
  <si>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</si>
  <si>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</si>
  <si>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</si>
  <si>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</si>
  <si>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</si>
  <si>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</si>
  <si>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</si>
  <si>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AHEB6@B-BSP</t>
  </si>
  <si>
    <t>Buy</t>
  </si>
  <si>
    <t>Allocation1</t>
  </si>
  <si>
    <t>DB</t>
  </si>
  <si>
    <t>Market</t>
  </si>
  <si>
    <t>Auto</t>
  </si>
  <si>
    <t>Allocation</t>
  </si>
  <si>
    <t>GetDataAllocation</t>
  </si>
  <si>
    <t>Current</t>
  </si>
  <si>
    <t>CheckAllocatedGroups</t>
  </si>
  <si>
    <t>Equity</t>
  </si>
  <si>
    <t>Open</t>
  </si>
  <si>
    <t>SP TURISMO PFD-B</t>
  </si>
  <si>
    <t>BRL</t>
  </si>
  <si>
    <t>Bovespa</t>
  </si>
  <si>
    <t>D</t>
  </si>
  <si>
    <t>Brazil</t>
  </si>
  <si>
    <t>SetGeneralPreferences</t>
  </si>
  <si>
    <t>Recalculate</t>
  </si>
  <si>
    <t>SelectAllocatedGroup</t>
  </si>
  <si>
    <t>EditAllocatedGrid</t>
  </si>
  <si>
    <t>Source</t>
  </si>
  <si>
    <t>Keep commission values</t>
  </si>
  <si>
    <t>Unallocate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</si>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</sst>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2" numFmtId="1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14" numFmtId="164" xfId="0" applyFont="1" applyNumberFormat="1"/>
    <xf borderId="0" fillId="0" fontId="2" numFmtId="0" xfId="0" applyAlignment="1" applyFont="1">
      <alignment readingOrder="0" shrinkToFit="0" wrapText="0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16</v>
      </c>
      <c r="C6" s="32" t="s">
        <v>17</v>
      </c>
      <c r="D6" s="33">
        <v>10000.0</v>
      </c>
      <c r="E6" s="34">
        <v>10000.0</v>
      </c>
      <c r="F6" s="31" t="s">
        <v>18</v>
      </c>
      <c r="G6" s="31" t="s">
        <v>19</v>
      </c>
      <c r="H6" s="32"/>
      <c r="I6" s="32" t="s">
        <v>20</v>
      </c>
      <c r="J6" s="34">
        <v>120.0</v>
      </c>
      <c r="K6" s="32"/>
      <c r="L6" s="32"/>
      <c r="M6" s="32"/>
      <c r="N6" s="35">
        <f>TODAY()</f>
        <v>43997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7" t="s">
        <v>21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31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24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9" t="s">
        <v>18</v>
      </c>
      <c r="C6" s="8"/>
      <c r="D6" s="11"/>
      <c r="E6" s="40">
        <v>10000.0</v>
      </c>
      <c r="F6" s="8"/>
      <c r="G6" s="41" t="s">
        <v>26</v>
      </c>
      <c r="H6" s="40">
        <v>0.0</v>
      </c>
      <c r="I6" s="40">
        <v>0.0</v>
      </c>
      <c r="J6" s="8"/>
      <c r="K6" s="40">
        <v>0.0</v>
      </c>
      <c r="L6" s="40">
        <v>120.0</v>
      </c>
      <c r="M6" s="8"/>
      <c r="N6" s="8"/>
      <c r="O6" s="41" t="s">
        <v>19</v>
      </c>
      <c r="R6" s="40">
        <v>0.0</v>
      </c>
      <c r="S6" s="41" t="s">
        <v>27</v>
      </c>
      <c r="T6" s="40">
        <v>0.0</v>
      </c>
      <c r="U6" s="40">
        <v>0.0</v>
      </c>
      <c r="V6" s="41" t="s">
        <v>28</v>
      </c>
      <c r="Z6" s="41" t="s">
        <v>29</v>
      </c>
      <c r="AB6" s="40">
        <v>1.0</v>
      </c>
      <c r="AD6" s="41" t="s">
        <v>30</v>
      </c>
      <c r="AE6" s="40">
        <v>10000.0</v>
      </c>
      <c r="AH6" s="41" t="s">
        <v>31</v>
      </c>
      <c r="AI6" s="40">
        <v>0.0</v>
      </c>
      <c r="AT6" s="40">
        <v>0.0</v>
      </c>
      <c r="AU6" s="40">
        <v>1302410.0</v>
      </c>
      <c r="AW6" s="40">
        <v>0.0</v>
      </c>
      <c r="AX6" s="40">
        <v>0.0</v>
      </c>
      <c r="AY6" s="41" t="s">
        <v>20</v>
      </c>
      <c r="AZ6" s="40">
        <v>0.0</v>
      </c>
      <c r="BC6" s="40">
        <v>0.0</v>
      </c>
      <c r="BE6" s="40">
        <v>0.0</v>
      </c>
      <c r="BF6" s="40">
        <v>1200000.0</v>
      </c>
      <c r="BJ6" s="40">
        <v>10000.0</v>
      </c>
      <c r="BK6" s="40">
        <v>1200.0</v>
      </c>
      <c r="BM6" s="41" t="s">
        <v>29</v>
      </c>
      <c r="BO6" s="41" t="s">
        <v>17</v>
      </c>
      <c r="BP6" s="40">
        <v>0.0</v>
      </c>
      <c r="BQ6" s="40">
        <v>0.0</v>
      </c>
      <c r="BR6" s="40">
        <v>1200.0</v>
      </c>
      <c r="BT6" s="41" t="s">
        <v>16</v>
      </c>
      <c r="BU6" s="40">
        <v>100000.0</v>
      </c>
      <c r="BV6" s="40">
        <v>0.0</v>
      </c>
      <c r="BW6" s="40">
        <v>102410.0</v>
      </c>
      <c r="BX6" s="40">
        <v>0.0</v>
      </c>
      <c r="CE6" s="42">
        <f>TODAY()</f>
        <v>43997</v>
      </c>
      <c r="CG6" s="40">
        <v>10.0</v>
      </c>
      <c r="CH6" s="41" t="s">
        <v>12</v>
      </c>
      <c r="CI6" s="41" t="s">
        <v>17</v>
      </c>
      <c r="CJ6" s="40">
        <v>0.0</v>
      </c>
      <c r="CK6" s="41" t="s">
        <v>32</v>
      </c>
      <c r="CM6" s="41" t="s">
        <v>16</v>
      </c>
      <c r="CO6" s="41" t="s">
        <v>21</v>
      </c>
    </row>
    <row r="7" ht="15.75" customHeight="1">
      <c r="A7" s="8"/>
      <c r="B7" s="8"/>
      <c r="C7" s="8"/>
      <c r="D7" s="8"/>
      <c r="E7" s="8"/>
      <c r="F7" s="8"/>
      <c r="G7" s="41"/>
      <c r="H7" s="8"/>
      <c r="I7" s="8"/>
      <c r="J7" s="8"/>
      <c r="K7" s="41"/>
      <c r="L7" s="41"/>
      <c r="M7" s="8"/>
      <c r="N7" s="8"/>
      <c r="O7" s="41"/>
      <c r="V7" s="41"/>
      <c r="Z7" s="41"/>
      <c r="AD7" s="41"/>
      <c r="AE7" s="41"/>
      <c r="AH7" s="41"/>
      <c r="AI7" s="41"/>
      <c r="AT7" s="41"/>
      <c r="AU7" s="41"/>
      <c r="AW7" s="41"/>
      <c r="AZ7" s="41"/>
      <c r="BE7" s="41"/>
      <c r="BF7" s="41"/>
      <c r="BJ7" s="41"/>
      <c r="BK7" s="41"/>
      <c r="BO7" s="41"/>
      <c r="BR7" s="41"/>
      <c r="BT7" s="41"/>
      <c r="BU7" s="41"/>
      <c r="BW7" s="41"/>
      <c r="BX7" s="41"/>
      <c r="CG7" s="41"/>
      <c r="CK7" s="41"/>
      <c r="CO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41"/>
      <c r="L8" s="41"/>
      <c r="M8" s="8"/>
      <c r="N8" s="8"/>
      <c r="O8" s="41"/>
      <c r="V8" s="41"/>
      <c r="AI8" s="41"/>
      <c r="AT8" s="41"/>
      <c r="AU8" s="41"/>
      <c r="AW8" s="41"/>
      <c r="AZ8" s="41"/>
      <c r="BO8" s="41"/>
      <c r="CO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41"/>
      <c r="M9" s="8"/>
      <c r="N9" s="8"/>
      <c r="O9" s="41"/>
      <c r="V9" s="41"/>
      <c r="AT9" s="41"/>
      <c r="AU9" s="41"/>
      <c r="AW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" width="14.43"/>
    <col customWidth="1" min="18" max="18" width="16.14"/>
    <col customWidth="1" min="19" max="19" width="15.0"/>
    <col customWidth="1" min="20" max="20" width="14.57"/>
    <col customWidth="1" min="21" max="21" width="13.57"/>
    <col customWidth="1" min="2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1lI4loUxqzsE3IjuxIjsVY3cB4J_eTKFPPDuXngut4FE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b">
        <v>1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1</v>
      </c>
      <c r="S6" s="9" t="s">
        <v>34</v>
      </c>
      <c r="T6" s="9" t="b">
        <v>1</v>
      </c>
      <c r="U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 t="s">
        <v>16</v>
      </c>
      <c r="C6" s="33">
        <v>10000.0</v>
      </c>
      <c r="D6" s="43">
        <f>TODAY()</f>
        <v>43997</v>
      </c>
      <c r="E6" s="38"/>
      <c r="F6" s="32" t="s">
        <v>17</v>
      </c>
      <c r="G6" s="8"/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37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11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11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9" t="s">
        <v>18</v>
      </c>
      <c r="C6" s="8"/>
      <c r="D6" s="11"/>
      <c r="E6" s="40">
        <v>10000.0</v>
      </c>
      <c r="F6" s="8"/>
      <c r="G6" s="41" t="s">
        <v>26</v>
      </c>
      <c r="H6" s="40">
        <v>0.0</v>
      </c>
      <c r="I6" s="40">
        <v>0.0</v>
      </c>
      <c r="J6" s="8"/>
      <c r="K6" s="40">
        <v>0.0</v>
      </c>
      <c r="L6" s="40">
        <v>120.0</v>
      </c>
      <c r="M6" s="8"/>
      <c r="N6" s="8"/>
      <c r="O6" s="41" t="s">
        <v>37</v>
      </c>
      <c r="R6" s="40">
        <v>20.0</v>
      </c>
      <c r="S6" s="41" t="s">
        <v>27</v>
      </c>
      <c r="T6" s="40">
        <v>100000.0</v>
      </c>
      <c r="U6" s="40">
        <v>10.0</v>
      </c>
      <c r="V6" s="41" t="s">
        <v>28</v>
      </c>
      <c r="Z6" s="41" t="s">
        <v>29</v>
      </c>
      <c r="AB6" s="40">
        <v>1.0</v>
      </c>
      <c r="AD6" s="41" t="s">
        <v>30</v>
      </c>
      <c r="AE6" s="40">
        <v>10000.0</v>
      </c>
      <c r="AH6" s="41" t="s">
        <v>31</v>
      </c>
      <c r="AI6" s="40">
        <v>0.0</v>
      </c>
      <c r="AT6" s="40">
        <v>0.0</v>
      </c>
      <c r="AU6" s="44">
        <v>1502580.0</v>
      </c>
      <c r="AW6" s="40">
        <v>0.0</v>
      </c>
      <c r="AX6" s="40">
        <v>0.0</v>
      </c>
      <c r="AY6" s="41" t="s">
        <v>20</v>
      </c>
      <c r="AZ6" s="40">
        <v>0.0</v>
      </c>
      <c r="BC6" s="40">
        <v>150.0</v>
      </c>
      <c r="BE6" s="40">
        <v>0.0</v>
      </c>
      <c r="BF6" s="40">
        <v>1200000.0</v>
      </c>
      <c r="BJ6" s="40">
        <v>10000.0</v>
      </c>
      <c r="BK6" s="40">
        <v>1200.0</v>
      </c>
      <c r="BM6" s="41" t="s">
        <v>29</v>
      </c>
      <c r="BO6" s="41" t="s">
        <v>17</v>
      </c>
      <c r="BP6" s="40">
        <v>100000.0</v>
      </c>
      <c r="BQ6" s="40">
        <v>10.0</v>
      </c>
      <c r="BR6" s="40">
        <v>1200.0</v>
      </c>
      <c r="BT6" s="41" t="s">
        <v>16</v>
      </c>
      <c r="BU6" s="40">
        <v>100000.0</v>
      </c>
      <c r="BV6" s="40">
        <v>200000.0</v>
      </c>
      <c r="BW6" s="40">
        <v>302580.0</v>
      </c>
      <c r="BX6" s="40">
        <v>20.0</v>
      </c>
      <c r="CE6" s="42">
        <f>TODAY()</f>
        <v>43997</v>
      </c>
      <c r="CG6" s="40">
        <v>10.0</v>
      </c>
      <c r="CH6" s="41" t="s">
        <v>12</v>
      </c>
      <c r="CI6" s="41" t="s">
        <v>17</v>
      </c>
      <c r="CJ6" s="40">
        <v>0.0</v>
      </c>
      <c r="CK6" s="41" t="s">
        <v>32</v>
      </c>
      <c r="CM6" s="41" t="s">
        <v>16</v>
      </c>
      <c r="CO6" s="41" t="s">
        <v>21</v>
      </c>
    </row>
    <row r="7" ht="15.75" customHeight="1">
      <c r="A7" s="8"/>
      <c r="B7" s="41"/>
      <c r="C7" s="8"/>
      <c r="D7" s="8"/>
      <c r="E7" s="40"/>
      <c r="F7" s="8"/>
      <c r="G7" s="41"/>
      <c r="H7" s="40"/>
      <c r="I7" s="40"/>
      <c r="J7" s="8"/>
      <c r="K7" s="40"/>
      <c r="L7" s="40"/>
      <c r="M7" s="8"/>
      <c r="N7" s="8"/>
      <c r="O7" s="41"/>
      <c r="R7" s="40"/>
      <c r="S7" s="41"/>
      <c r="T7" s="40"/>
      <c r="U7" s="40"/>
      <c r="V7" s="41"/>
      <c r="Z7" s="41"/>
      <c r="AB7" s="40"/>
      <c r="AD7" s="41"/>
      <c r="AE7" s="40"/>
      <c r="AH7" s="41"/>
      <c r="AI7" s="40"/>
      <c r="AT7" s="40"/>
      <c r="AU7" s="40"/>
      <c r="AW7" s="40"/>
      <c r="AX7" s="40"/>
      <c r="AY7" s="41"/>
      <c r="AZ7" s="40"/>
      <c r="BC7" s="40"/>
      <c r="BE7" s="40"/>
      <c r="BF7" s="40"/>
      <c r="BJ7" s="40"/>
      <c r="BK7" s="40"/>
      <c r="BM7" s="41"/>
      <c r="BO7" s="41"/>
      <c r="BP7" s="40"/>
      <c r="BQ7" s="40"/>
      <c r="BR7" s="40"/>
      <c r="BT7" s="41"/>
      <c r="BU7" s="40"/>
      <c r="BV7" s="40"/>
      <c r="BW7" s="40"/>
      <c r="BX7" s="40"/>
      <c r="CG7" s="40"/>
      <c r="CH7" s="41"/>
      <c r="CI7" s="41"/>
      <c r="CJ7" s="40"/>
      <c r="CK7" s="41"/>
      <c r="CM7" s="41"/>
      <c r="CO7" s="41"/>
    </row>
    <row r="8" ht="15.75" customHeight="1">
      <c r="A8" s="8"/>
      <c r="B8" s="41"/>
      <c r="C8" s="8"/>
      <c r="D8" s="8"/>
      <c r="E8" s="40"/>
      <c r="F8" s="8"/>
      <c r="G8" s="41"/>
      <c r="H8" s="40"/>
      <c r="I8" s="40"/>
      <c r="J8" s="8"/>
      <c r="K8" s="40"/>
      <c r="L8" s="40"/>
      <c r="M8" s="8"/>
      <c r="N8" s="8"/>
      <c r="O8" s="41"/>
      <c r="R8" s="40"/>
      <c r="S8" s="41"/>
      <c r="T8" s="40"/>
      <c r="U8" s="40"/>
      <c r="V8" s="41"/>
      <c r="Z8" s="41"/>
      <c r="AB8" s="40"/>
      <c r="AD8" s="41"/>
      <c r="AE8" s="40"/>
      <c r="AH8" s="41"/>
      <c r="AI8" s="40"/>
      <c r="AT8" s="40"/>
      <c r="AU8" s="40"/>
      <c r="AW8" s="40"/>
      <c r="AX8" s="40"/>
      <c r="AY8" s="41"/>
      <c r="AZ8" s="40"/>
      <c r="BC8" s="40"/>
      <c r="BE8" s="40"/>
      <c r="BF8" s="40"/>
      <c r="BJ8" s="40"/>
      <c r="BK8" s="40"/>
      <c r="BM8" s="41"/>
      <c r="BO8" s="41"/>
      <c r="BP8" s="40"/>
      <c r="BQ8" s="40"/>
      <c r="BR8" s="40"/>
      <c r="BT8" s="41"/>
      <c r="BU8" s="40"/>
      <c r="BV8" s="40"/>
      <c r="BW8" s="40"/>
      <c r="BX8" s="40"/>
      <c r="CG8" s="40"/>
      <c r="CH8" s="41"/>
      <c r="CI8" s="41"/>
      <c r="CJ8" s="40"/>
      <c r="CK8" s="41"/>
      <c r="CM8" s="41"/>
      <c r="CO8" s="41"/>
    </row>
    <row r="9" ht="15.75" customHeight="1">
      <c r="A9" s="8"/>
      <c r="B9" s="41"/>
      <c r="C9" s="8"/>
      <c r="D9" s="8"/>
      <c r="E9" s="40"/>
      <c r="F9" s="8"/>
      <c r="G9" s="41"/>
      <c r="H9" s="40"/>
      <c r="I9" s="40"/>
      <c r="J9" s="8"/>
      <c r="K9" s="40"/>
      <c r="L9" s="40"/>
      <c r="M9" s="8"/>
      <c r="N9" s="8"/>
      <c r="O9" s="41"/>
      <c r="R9" s="40"/>
      <c r="S9" s="41"/>
      <c r="T9" s="40"/>
      <c r="U9" s="40"/>
      <c r="V9" s="41"/>
      <c r="Z9" s="41"/>
      <c r="AB9" s="40"/>
      <c r="AD9" s="41"/>
      <c r="AE9" s="40"/>
      <c r="AH9" s="41"/>
      <c r="AI9" s="40"/>
      <c r="AT9" s="40"/>
      <c r="AU9" s="40"/>
      <c r="AW9" s="40"/>
      <c r="AX9" s="40"/>
      <c r="AY9" s="41"/>
      <c r="AZ9" s="40"/>
      <c r="BC9" s="40"/>
      <c r="BE9" s="40"/>
      <c r="BF9" s="40"/>
      <c r="BJ9" s="40"/>
      <c r="BK9" s="40"/>
      <c r="BM9" s="41"/>
      <c r="BO9" s="41"/>
      <c r="BP9" s="40"/>
      <c r="BQ9" s="40"/>
      <c r="BR9" s="40"/>
      <c r="BT9" s="41"/>
      <c r="BU9" s="40"/>
      <c r="BV9" s="40"/>
      <c r="BW9" s="40"/>
      <c r="BX9" s="40"/>
      <c r="CG9" s="40"/>
      <c r="CH9" s="41"/>
      <c r="CI9" s="41"/>
      <c r="CJ9" s="40"/>
      <c r="CK9" s="41"/>
      <c r="CM9" s="41"/>
      <c r="CO9" s="41"/>
    </row>
    <row r="10" ht="15.75" customHeight="1">
      <c r="A10" s="8"/>
      <c r="B10" s="41"/>
      <c r="C10" s="8"/>
      <c r="D10" s="8"/>
      <c r="E10" s="40"/>
      <c r="F10" s="8"/>
      <c r="G10" s="41"/>
      <c r="H10" s="40"/>
      <c r="I10" s="40"/>
      <c r="J10" s="8"/>
      <c r="K10" s="40"/>
      <c r="L10" s="40"/>
      <c r="M10" s="8"/>
      <c r="N10" s="8"/>
      <c r="O10" s="41"/>
      <c r="R10" s="40"/>
      <c r="S10" s="41"/>
      <c r="T10" s="40"/>
      <c r="U10" s="40"/>
      <c r="V10" s="41"/>
      <c r="Z10" s="41"/>
      <c r="AB10" s="40"/>
      <c r="AD10" s="41"/>
      <c r="AE10" s="40"/>
      <c r="AH10" s="41"/>
      <c r="AI10" s="40"/>
      <c r="AT10" s="40"/>
      <c r="AU10" s="40"/>
      <c r="AW10" s="40"/>
      <c r="AX10" s="40"/>
      <c r="AY10" s="41"/>
      <c r="AZ10" s="40"/>
      <c r="BC10" s="40"/>
      <c r="BE10" s="40"/>
      <c r="BF10" s="40"/>
      <c r="BJ10" s="40"/>
      <c r="BK10" s="40"/>
      <c r="BM10" s="41"/>
      <c r="BO10" s="41"/>
      <c r="BP10" s="40"/>
      <c r="BQ10" s="40"/>
      <c r="BR10" s="40"/>
      <c r="BT10" s="41"/>
      <c r="BU10" s="40"/>
      <c r="BV10" s="40"/>
      <c r="BW10" s="40"/>
      <c r="BX10" s="40"/>
      <c r="CG10" s="40"/>
      <c r="CH10" s="41"/>
      <c r="CI10" s="41"/>
      <c r="CJ10" s="40"/>
      <c r="CK10" s="41"/>
      <c r="CM10" s="41"/>
      <c r="CO10" s="41"/>
    </row>
    <row r="11" ht="15.75" customHeight="1">
      <c r="A11" s="8"/>
      <c r="B11" s="41"/>
      <c r="C11" s="8"/>
      <c r="D11" s="8"/>
      <c r="E11" s="40"/>
      <c r="F11" s="8"/>
      <c r="G11" s="41"/>
      <c r="H11" s="40"/>
      <c r="I11" s="40"/>
      <c r="J11" s="8"/>
      <c r="K11" s="40"/>
      <c r="L11" s="40"/>
      <c r="M11" s="8"/>
      <c r="N11" s="8"/>
      <c r="O11" s="41"/>
      <c r="R11" s="40"/>
      <c r="S11" s="41"/>
      <c r="T11" s="40"/>
      <c r="U11" s="40"/>
      <c r="V11" s="41"/>
      <c r="Z11" s="41"/>
      <c r="AB11" s="40"/>
      <c r="AD11" s="41"/>
      <c r="AE11" s="40"/>
      <c r="AH11" s="41"/>
      <c r="AI11" s="40"/>
      <c r="AT11" s="40"/>
      <c r="AU11" s="40"/>
      <c r="AW11" s="40"/>
      <c r="AX11" s="40"/>
      <c r="AY11" s="41"/>
      <c r="AZ11" s="40"/>
      <c r="BC11" s="40"/>
      <c r="BE11" s="40"/>
      <c r="BF11" s="40"/>
      <c r="BJ11" s="40"/>
      <c r="BK11" s="40"/>
      <c r="BM11" s="41"/>
      <c r="BO11" s="41"/>
      <c r="BP11" s="40"/>
      <c r="BQ11" s="40"/>
      <c r="BR11" s="40"/>
      <c r="BT11" s="41"/>
      <c r="BU11" s="40"/>
      <c r="BV11" s="40"/>
      <c r="BW11" s="40"/>
      <c r="BX11" s="40"/>
      <c r="CG11" s="40"/>
      <c r="CH11" s="41"/>
      <c r="CI11" s="41"/>
      <c r="CJ11" s="40"/>
      <c r="CK11" s="41"/>
      <c r="CM11" s="41"/>
      <c r="CO11" s="4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R12" s="41"/>
      <c r="T12" s="41"/>
      <c r="U12" s="41"/>
      <c r="AT12" s="41"/>
      <c r="AU12" s="41"/>
      <c r="BC12" s="41"/>
      <c r="BE12" s="41"/>
      <c r="BF12" s="41"/>
      <c r="BK12" s="41"/>
      <c r="BP12" s="41"/>
      <c r="BQ12" s="41"/>
      <c r="BV12" s="41"/>
      <c r="BW12" s="41"/>
      <c r="BX12" s="41"/>
      <c r="CG12" s="41"/>
      <c r="CO12" s="4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T13" s="41"/>
      <c r="AT13" s="41"/>
      <c r="BC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1lI4loUxqzsE3IjuxIjsVY3cB4J_eTKFPPDuXngut4FE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b">
        <v>1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1</v>
      </c>
      <c r="S6" s="9" t="s">
        <v>38</v>
      </c>
      <c r="T6" s="9" t="b">
        <v>1</v>
      </c>
      <c r="U6" s="45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11" t="s">
        <v>19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11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11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9" t="s">
        <v>18</v>
      </c>
      <c r="C6" s="8"/>
      <c r="D6" s="11"/>
      <c r="E6" s="40">
        <v>10000.0</v>
      </c>
      <c r="F6" s="8"/>
      <c r="G6" s="41" t="s">
        <v>26</v>
      </c>
      <c r="H6" s="40">
        <v>0.0</v>
      </c>
      <c r="I6" s="40">
        <v>0.0</v>
      </c>
      <c r="J6" s="8"/>
      <c r="K6" s="40">
        <v>0.0</v>
      </c>
      <c r="L6" s="40">
        <v>120.0</v>
      </c>
      <c r="M6" s="8"/>
      <c r="N6" s="8"/>
      <c r="O6" s="46" t="s">
        <v>19</v>
      </c>
      <c r="R6" s="40">
        <v>20.0</v>
      </c>
      <c r="S6" s="41" t="s">
        <v>27</v>
      </c>
      <c r="T6" s="40">
        <v>100000.0</v>
      </c>
      <c r="U6" s="40">
        <v>10.0</v>
      </c>
      <c r="V6" s="41" t="s">
        <v>28</v>
      </c>
      <c r="Z6" s="41" t="s">
        <v>29</v>
      </c>
      <c r="AB6" s="40">
        <v>1.0</v>
      </c>
      <c r="AD6" s="41" t="s">
        <v>30</v>
      </c>
      <c r="AE6" s="40">
        <v>10000.0</v>
      </c>
      <c r="AH6" s="41" t="s">
        <v>31</v>
      </c>
      <c r="AI6" s="40">
        <v>0.0</v>
      </c>
      <c r="AT6" s="40">
        <v>0.0</v>
      </c>
      <c r="AU6" s="40">
        <v>1502580.0</v>
      </c>
      <c r="AW6" s="40">
        <v>0.0</v>
      </c>
      <c r="AX6" s="40">
        <v>0.0</v>
      </c>
      <c r="AY6" s="41" t="s">
        <v>20</v>
      </c>
      <c r="AZ6" s="40">
        <v>0.0</v>
      </c>
      <c r="BC6" s="40">
        <v>150.0</v>
      </c>
      <c r="BE6" s="40">
        <v>0.0</v>
      </c>
      <c r="BF6" s="40">
        <v>1200000.0</v>
      </c>
      <c r="BJ6" s="40">
        <v>10000.0</v>
      </c>
      <c r="BK6" s="40">
        <v>1200.0</v>
      </c>
      <c r="BM6" s="41" t="s">
        <v>29</v>
      </c>
      <c r="BO6" s="41" t="s">
        <v>17</v>
      </c>
      <c r="BP6" s="40">
        <v>100000.0</v>
      </c>
      <c r="BQ6" s="40">
        <v>10.0</v>
      </c>
      <c r="BR6" s="40">
        <v>1200.0</v>
      </c>
      <c r="BT6" s="41" t="s">
        <v>16</v>
      </c>
      <c r="BU6" s="40">
        <v>100000.0</v>
      </c>
      <c r="BV6" s="40">
        <v>200000.0</v>
      </c>
      <c r="BW6" s="40">
        <v>302580.0</v>
      </c>
      <c r="BX6" s="40">
        <v>20.0</v>
      </c>
      <c r="CE6" s="42">
        <f>TODAY()</f>
        <v>43997</v>
      </c>
      <c r="CG6" s="40">
        <v>10.0</v>
      </c>
      <c r="CH6" s="41" t="s">
        <v>12</v>
      </c>
      <c r="CI6" s="41" t="s">
        <v>17</v>
      </c>
      <c r="CJ6" s="40">
        <v>0.0</v>
      </c>
      <c r="CK6" s="41" t="s">
        <v>32</v>
      </c>
      <c r="CL6" s="40">
        <v>1.0</v>
      </c>
      <c r="CM6" s="41" t="s">
        <v>16</v>
      </c>
      <c r="CO6" s="41" t="s">
        <v>21</v>
      </c>
    </row>
    <row r="7" ht="15.75" customHeight="1">
      <c r="A7" s="8"/>
      <c r="B7" s="41"/>
      <c r="C7" s="8"/>
      <c r="D7" s="8"/>
      <c r="E7" s="8"/>
      <c r="F7" s="8"/>
      <c r="G7" s="41"/>
      <c r="H7" s="41"/>
      <c r="I7" s="41"/>
      <c r="J7" s="8"/>
      <c r="K7" s="8"/>
      <c r="L7" s="8"/>
      <c r="M7" s="8"/>
      <c r="N7" s="8"/>
      <c r="O7" s="8"/>
      <c r="R7" s="41"/>
      <c r="T7" s="41"/>
      <c r="V7" s="41"/>
      <c r="AB7" s="41"/>
      <c r="AT7" s="41"/>
      <c r="AU7" s="41"/>
      <c r="AW7" s="41"/>
      <c r="AX7" s="41"/>
      <c r="AY7" s="41"/>
      <c r="AZ7" s="41"/>
      <c r="BC7" s="41"/>
      <c r="BE7" s="41"/>
      <c r="BF7" s="41"/>
      <c r="BK7" s="41"/>
      <c r="BM7" s="41"/>
      <c r="BO7" s="41"/>
      <c r="BP7" s="41"/>
      <c r="BQ7" s="41"/>
      <c r="BR7" s="41"/>
      <c r="BT7" s="41"/>
      <c r="BU7" s="41"/>
      <c r="BV7" s="41"/>
      <c r="BW7" s="41"/>
      <c r="CG7" s="41"/>
      <c r="CK7" s="41"/>
      <c r="CL7" s="41"/>
      <c r="CM7" s="41"/>
      <c r="CO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T8" s="41"/>
      <c r="AY8" s="41"/>
      <c r="BP8" s="41"/>
      <c r="BQ8" s="41"/>
      <c r="BR8" s="41"/>
      <c r="BT8" s="41"/>
      <c r="BW8" s="41"/>
      <c r="CK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Y9" s="41"/>
      <c r="BQ9" s="41"/>
      <c r="BR9" s="41"/>
      <c r="BT9" s="41"/>
      <c r="BW9" s="41"/>
      <c r="C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9" t="s">
        <v>18</v>
      </c>
      <c r="C6" s="8"/>
      <c r="D6" s="11"/>
      <c r="E6" s="40">
        <v>10000.0</v>
      </c>
      <c r="F6" s="8"/>
      <c r="G6" s="41" t="s">
        <v>26</v>
      </c>
      <c r="H6" s="40">
        <v>0.0</v>
      </c>
      <c r="I6" s="40">
        <v>0.0</v>
      </c>
      <c r="J6" s="8"/>
      <c r="K6" s="40">
        <v>0.0</v>
      </c>
      <c r="L6" s="40">
        <v>120.0</v>
      </c>
      <c r="M6" s="8"/>
      <c r="N6" s="8"/>
      <c r="O6" s="41" t="s">
        <v>37</v>
      </c>
      <c r="R6" s="40">
        <v>20.0</v>
      </c>
      <c r="S6" s="41" t="s">
        <v>27</v>
      </c>
      <c r="T6" s="40">
        <v>100000.0</v>
      </c>
      <c r="U6" s="40">
        <v>10.0</v>
      </c>
      <c r="V6" s="41" t="s">
        <v>28</v>
      </c>
      <c r="Z6" s="41" t="s">
        <v>29</v>
      </c>
      <c r="AB6" s="40">
        <v>1.0</v>
      </c>
      <c r="AD6" s="41" t="s">
        <v>30</v>
      </c>
      <c r="AE6" s="40">
        <v>10000.0</v>
      </c>
      <c r="AH6" s="41" t="s">
        <v>31</v>
      </c>
      <c r="AI6" s="40">
        <v>0.0</v>
      </c>
      <c r="AT6" s="40">
        <v>0.0</v>
      </c>
      <c r="AU6" s="40">
        <v>1502580.0</v>
      </c>
      <c r="AW6" s="40">
        <v>0.0</v>
      </c>
      <c r="AX6" s="40">
        <v>0.0</v>
      </c>
      <c r="AY6" s="41" t="s">
        <v>20</v>
      </c>
      <c r="AZ6" s="40">
        <v>0.0</v>
      </c>
      <c r="BC6" s="40">
        <v>150.0</v>
      </c>
      <c r="BE6" s="40">
        <v>0.0</v>
      </c>
      <c r="BF6" s="40">
        <v>1200000.0</v>
      </c>
      <c r="BJ6" s="40">
        <v>10000.0</v>
      </c>
      <c r="BK6" s="40">
        <v>1200.0</v>
      </c>
      <c r="BM6" s="41" t="s">
        <v>29</v>
      </c>
      <c r="BO6" s="41" t="s">
        <v>17</v>
      </c>
      <c r="BP6" s="40">
        <v>100000.0</v>
      </c>
      <c r="BQ6" s="40">
        <v>10.0</v>
      </c>
      <c r="BR6" s="40">
        <v>1200.0</v>
      </c>
      <c r="BT6" s="41" t="s">
        <v>16</v>
      </c>
      <c r="BU6" s="40">
        <v>100000.0</v>
      </c>
      <c r="BV6" s="40">
        <v>200000.0</v>
      </c>
      <c r="BW6" s="40">
        <v>302580.0</v>
      </c>
      <c r="BX6" s="40">
        <v>20.0</v>
      </c>
      <c r="CE6" s="42">
        <f>TODAY()</f>
        <v>43997</v>
      </c>
      <c r="CG6" s="40">
        <v>10.0</v>
      </c>
      <c r="CH6" s="41" t="s">
        <v>12</v>
      </c>
      <c r="CI6" s="41" t="s">
        <v>17</v>
      </c>
      <c r="CJ6" s="40">
        <v>0.0</v>
      </c>
      <c r="CK6" s="41" t="s">
        <v>32</v>
      </c>
      <c r="CL6" s="40">
        <v>1.0</v>
      </c>
      <c r="CM6" s="41" t="s">
        <v>16</v>
      </c>
      <c r="CO6" s="41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 t="s">
        <v>16</v>
      </c>
      <c r="C6" s="33">
        <v>10000.0</v>
      </c>
      <c r="D6" s="43">
        <f>TODAY()</f>
        <v>43997</v>
      </c>
      <c r="E6" s="38"/>
      <c r="F6" s="32" t="s">
        <v>17</v>
      </c>
      <c r="G6" s="8"/>
      <c r="H6" s="40"/>
      <c r="I6" s="8"/>
      <c r="J6" s="8"/>
      <c r="K6" s="8"/>
      <c r="L6" s="8"/>
      <c r="M6" s="8"/>
      <c r="N6" s="8"/>
      <c r="O6" s="8"/>
      <c r="P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40">
        <v>0.0</v>
      </c>
      <c r="E6" s="38"/>
      <c r="F6" s="41" t="s">
        <v>26</v>
      </c>
      <c r="G6" s="40">
        <v>0.0</v>
      </c>
      <c r="H6" s="40">
        <v>0.0</v>
      </c>
      <c r="I6" s="8"/>
      <c r="J6" s="40">
        <v>0.0</v>
      </c>
      <c r="K6" s="40">
        <v>120.0</v>
      </c>
      <c r="L6" s="8"/>
      <c r="M6" s="8"/>
      <c r="N6" s="41" t="s">
        <v>37</v>
      </c>
      <c r="O6" s="8"/>
      <c r="Q6" s="40">
        <v>20.0</v>
      </c>
      <c r="S6" s="41" t="s">
        <v>27</v>
      </c>
      <c r="T6" s="40">
        <v>100000.0</v>
      </c>
      <c r="U6" s="40">
        <v>10.0</v>
      </c>
      <c r="V6" s="41" t="s">
        <v>28</v>
      </c>
      <c r="Z6" s="41" t="s">
        <v>29</v>
      </c>
      <c r="AB6" s="40">
        <v>1.0</v>
      </c>
      <c r="AD6" s="41" t="s">
        <v>30</v>
      </c>
      <c r="AE6" s="40">
        <v>10000.0</v>
      </c>
      <c r="AG6" s="41" t="s">
        <v>31</v>
      </c>
      <c r="AH6" s="40">
        <v>0.0</v>
      </c>
      <c r="AT6" s="40">
        <v>0.0</v>
      </c>
      <c r="AU6" s="40">
        <v>1502580.0</v>
      </c>
      <c r="AW6" s="40">
        <v>0.0</v>
      </c>
      <c r="AX6" s="40">
        <v>0.0</v>
      </c>
      <c r="AY6" s="41" t="s">
        <v>20</v>
      </c>
      <c r="AZ6" s="40">
        <v>0.0</v>
      </c>
      <c r="BC6" s="40">
        <v>150.0</v>
      </c>
      <c r="BE6" s="40">
        <v>0.0</v>
      </c>
      <c r="BF6" s="40">
        <v>1200000.0</v>
      </c>
      <c r="BJ6" s="40">
        <v>10000.0</v>
      </c>
      <c r="BK6" s="40">
        <v>1200.0</v>
      </c>
      <c r="BM6" s="41" t="s">
        <v>29</v>
      </c>
      <c r="BO6" s="41" t="s">
        <v>17</v>
      </c>
      <c r="BP6" s="40">
        <v>100000.0</v>
      </c>
      <c r="BQ6" s="40">
        <v>10.0</v>
      </c>
      <c r="BR6" s="40">
        <v>1200.0</v>
      </c>
      <c r="BS6" s="41" t="s">
        <v>16</v>
      </c>
      <c r="BT6" s="40">
        <v>100000.0</v>
      </c>
      <c r="BU6" s="40">
        <v>200000.0</v>
      </c>
      <c r="BV6" s="40">
        <v>302580.0</v>
      </c>
      <c r="BW6" s="40">
        <v>20.0</v>
      </c>
      <c r="CD6" s="42">
        <f>TODAY()</f>
        <v>43997</v>
      </c>
      <c r="CF6" s="40">
        <v>10.0</v>
      </c>
      <c r="CG6" s="41" t="s">
        <v>12</v>
      </c>
      <c r="CH6" s="41" t="s">
        <v>17</v>
      </c>
      <c r="CI6" s="40">
        <v>10000.0</v>
      </c>
      <c r="CJ6" s="41" t="s">
        <v>32</v>
      </c>
      <c r="CK6" s="40">
        <v>1.0</v>
      </c>
      <c r="CL6" s="41" t="s">
        <v>16</v>
      </c>
      <c r="CN6" s="41" t="s">
        <v>21</v>
      </c>
    </row>
    <row r="7" ht="15.75" customHeight="1">
      <c r="A7" s="8"/>
      <c r="B7" s="8"/>
      <c r="C7" s="8"/>
      <c r="D7" s="41"/>
      <c r="E7" s="8"/>
      <c r="F7" s="41"/>
      <c r="G7" s="8"/>
      <c r="H7" s="8"/>
      <c r="I7" s="8"/>
      <c r="J7" s="8"/>
      <c r="K7" s="8"/>
      <c r="L7" s="8"/>
      <c r="M7" s="8"/>
      <c r="N7" s="41"/>
      <c r="O7" s="8"/>
      <c r="Q7" s="41"/>
      <c r="T7" s="41"/>
      <c r="U7" s="41"/>
      <c r="V7" s="41"/>
      <c r="Z7" s="41"/>
      <c r="AB7" s="41"/>
      <c r="AT7" s="41"/>
      <c r="AU7" s="41"/>
      <c r="AX7" s="41"/>
      <c r="AY7" s="41"/>
      <c r="AZ7" s="41"/>
      <c r="BC7" s="41"/>
      <c r="BE7" s="41"/>
      <c r="BF7" s="41"/>
      <c r="BJ7" s="41"/>
      <c r="BK7" s="41"/>
      <c r="BM7" s="41"/>
      <c r="BO7" s="41"/>
      <c r="BP7" s="41"/>
      <c r="BQ7" s="41"/>
      <c r="BR7" s="41"/>
      <c r="BS7" s="41"/>
      <c r="BT7" s="41"/>
      <c r="BU7" s="41"/>
      <c r="BV7" s="41"/>
      <c r="BW7" s="41"/>
      <c r="CF7" s="41"/>
      <c r="CG7" s="41"/>
      <c r="CH7" s="41"/>
      <c r="CJ7" s="41"/>
      <c r="CK7" s="41"/>
      <c r="CL7" s="41"/>
      <c r="CN7" s="41"/>
    </row>
    <row r="8" ht="15.75" customHeight="1">
      <c r="A8" s="8"/>
      <c r="B8" s="8"/>
      <c r="C8" s="8"/>
      <c r="D8" s="41"/>
      <c r="E8" s="8"/>
      <c r="F8" s="8"/>
      <c r="G8" s="8"/>
      <c r="H8" s="8"/>
      <c r="I8" s="8"/>
      <c r="J8" s="8"/>
      <c r="K8" s="8"/>
      <c r="L8" s="8"/>
      <c r="M8" s="8"/>
      <c r="N8" s="41"/>
      <c r="O8" s="8"/>
      <c r="Q8" s="41"/>
      <c r="T8" s="41"/>
      <c r="V8" s="41"/>
      <c r="AU8" s="41"/>
      <c r="AX8" s="41"/>
      <c r="AZ8" s="41"/>
      <c r="BJ8" s="41"/>
      <c r="BK8" s="41"/>
      <c r="BM8" s="41"/>
      <c r="BO8" s="41"/>
      <c r="BP8" s="41"/>
      <c r="BQ8" s="41"/>
      <c r="BR8" s="41"/>
      <c r="BS8" s="41"/>
      <c r="BT8" s="41"/>
      <c r="CH8" s="41"/>
      <c r="CJ8" s="41"/>
      <c r="CK8" s="41"/>
      <c r="CL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X9" s="41"/>
      <c r="BK9" s="41"/>
      <c r="BM9" s="41"/>
      <c r="BR9" s="41"/>
      <c r="BS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X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