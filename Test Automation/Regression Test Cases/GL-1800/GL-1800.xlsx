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DataClosing" sheetId="7" r:id="rId9"/>
    <sheet state="visible" name="SelectTradeUnexpiredUnsettled" sheetId="8" r:id="rId10"/>
    <sheet state="visible" name="Edi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GetDayEndCash" sheetId="13" r:id="rId15"/>
    <sheet state="visible" name="VerifyDayEndCash" sheetId="14" r:id="rId16"/>
    <sheet state="visible" name="GetAccountBalance" sheetId="15" r:id="rId17"/>
    <sheet state="visible" name="GetTradingTransaction" sheetId="16" r:id="rId18"/>
    <sheet state="visible" name="VerifyTradingTransaction" sheetId="17" r:id="rId19"/>
    <sheet state="visible" name="GetRevaluationData" sheetId="18" r:id="rId20"/>
    <sheet state="visible" name="VerifyRevaluationData" sheetId="19" r:id="rId21"/>
    <sheet state="visible" name="EditTradeUnexpiredUnsettled1" sheetId="20" r:id="rId22"/>
    <sheet state="visible" name="ExerciseAssignmentAtZero" sheetId="21" r:id="rId23"/>
    <sheet state="visible" name="CheckAllocatedGroups1" sheetId="22" r:id="rId24"/>
    <sheet state="visible" name="VerifyRevaluationData1" sheetId="23" r:id="rId25"/>
    <sheet state="visible" name="EditTradeUnexpiredUnsettled2" sheetId="24" r:id="rId26"/>
    <sheet state="visible" name="Expire" sheetId="25" r:id="rId27"/>
    <sheet state="visible" name="CheckAllocatedGroups2" sheetId="26" r:id="rId28"/>
    <sheet state="visible" name="VerifyTradingTransaction1" sheetId="27" r:id="rId29"/>
    <sheet state="visible" name="VerifyRevaluationData2" sheetId="28" r:id="rId30"/>
  </sheets>
  <definedNames/>
  <calcPr/>
</workbook>
</file>

<file path=xl/sharedStrings.xml><?xml version="1.0" encoding="utf-8"?>
<sst xmlns="http://schemas.openxmlformats.org/spreadsheetml/2006/main" count="1178" uniqueCount="69">
  <si>
    <t>Modules Info</t>
  </si>
  <si>
    <t>Master Data Info</t>
  </si>
  <si>
    <t>Settings</t>
  </si>
  <si>
    <t>Module Step Setting File</t>
  </si>
  <si>
    <t>1sG6uB28jAaiyaldDeMtbboQN41jJ2tAmE2rg6U9qH5o</t>
  </si>
  <si>
    <t>Master Data Settings File</t>
  </si>
  <si>
    <t>1hEhI9rg16D4Xvfk19pDaFUFF78jjfIG29BBaNg8kT0A</t>
  </si>
  <si>
    <t>Module</t>
  </si>
  <si>
    <t>Step</t>
  </si>
  <si>
    <t>Master Data Sheet</t>
  </si>
  <si>
    <t>Modules</t>
  </si>
  <si>
    <t>Data</t>
  </si>
  <si>
    <t>TradingTicket</t>
  </si>
  <si>
    <t>CreateDoneAwayOrder</t>
  </si>
  <si>
    <t>Data Format</t>
  </si>
  <si>
    <t>Input Format</t>
  </si>
  <si>
    <t>DailyValuation</t>
  </si>
  <si>
    <t>GetMarkPriceData</t>
  </si>
  <si>
    <t>O:GOOG 18M1092.50D5</t>
  </si>
  <si>
    <t>Buy to Open</t>
  </si>
  <si>
    <t>Allocation1</t>
  </si>
  <si>
    <t>Flat Amount</t>
  </si>
  <si>
    <t>Closing</t>
  </si>
  <si>
    <t>UpdateMarkPriceMonthly</t>
  </si>
  <si>
    <t>GetDataClosing</t>
  </si>
  <si>
    <t>Historical</t>
  </si>
  <si>
    <t>SelectTradeUnexpiredUnsettled</t>
  </si>
  <si>
    <t>EditTradeUnexpiredUnsettled</t>
  </si>
  <si>
    <t>Put</t>
  </si>
  <si>
    <t>Allocation</t>
  </si>
  <si>
    <t>ExerciseAssignment</t>
  </si>
  <si>
    <t>GetDataAllocation</t>
  </si>
  <si>
    <t>CheckAllocatedGroups</t>
  </si>
  <si>
    <t>GeneralLedger</t>
  </si>
  <si>
    <t>GetDayEndCash</t>
  </si>
  <si>
    <t>PartiallyClosed</t>
  </si>
  <si>
    <t>BuytoOpen</t>
  </si>
  <si>
    <t>Open</t>
  </si>
  <si>
    <t>Sell short</t>
  </si>
  <si>
    <t>GOOG</t>
  </si>
  <si>
    <t>Exercise</t>
  </si>
  <si>
    <t>Closed</t>
  </si>
  <si>
    <t>Sell to Close</t>
  </si>
  <si>
    <t>VerifyDayEndCash</t>
  </si>
  <si>
    <t>GetAccountBalance</t>
  </si>
  <si>
    <t>USD</t>
  </si>
  <si>
    <t>Cash</t>
  </si>
  <si>
    <t>GetTradingTransaction</t>
  </si>
  <si>
    <t>VerifyTradingTransaction</t>
  </si>
  <si>
    <t>GetRevaluationData</t>
  </si>
  <si>
    <t>DR</t>
  </si>
  <si>
    <t>Trading</t>
  </si>
  <si>
    <t>Investment - Long Equity Option [Asset]</t>
  </si>
  <si>
    <t>CR</t>
  </si>
  <si>
    <t>Cash [Cash]</t>
  </si>
  <si>
    <t>Investment - Short Equity [Liability]</t>
  </si>
  <si>
    <t>OptionPremiumAdjustment [Income]</t>
  </si>
  <si>
    <t>VerifyRevaluationData</t>
  </si>
  <si>
    <t>Equity Option UnRealized Profit And Loss [Income]</t>
  </si>
  <si>
    <t>Revaluation</t>
  </si>
  <si>
    <t>UnRealized PNL Entry</t>
  </si>
  <si>
    <t>Equity Option Long Revaluation [Asset]</t>
  </si>
  <si>
    <t>Contra UnRealized PNL Entry</t>
  </si>
  <si>
    <t>Equity Short Revaluation [Asset]</t>
  </si>
  <si>
    <t>Equity UnRealized Profit And Loss [Income]</t>
  </si>
  <si>
    <t>ExerciseAssignmentAtZero</t>
  </si>
  <si>
    <t>Equity Option Realized Profit And Loss [Income]</t>
  </si>
  <si>
    <t>Realized PNL Entry</t>
  </si>
  <si>
    <t>Expire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</si>
</sst>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20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0000"/>
      <name val="Arial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9.0"/>
      <name val="Arial"/>
    </font>
    <font>
      <sz val="9.0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right/>
    </border>
    <border>
      <top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1" fillId="2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9" numFmtId="0" xfId="0" applyFont="1"/>
    <xf borderId="4" fillId="3" fontId="7" numFmtId="0" xfId="0" applyAlignment="1" applyBorder="1" applyFont="1">
      <alignment shrinkToFit="0" wrapText="0"/>
    </xf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5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readingOrder="0" shrinkToFit="0" wrapText="0"/>
    </xf>
    <xf borderId="0" fillId="0" fontId="14" numFmtId="164" xfId="0" applyAlignment="1" applyFont="1" applyNumberFormat="1">
      <alignment horizontal="left" readingOrder="0"/>
    </xf>
    <xf borderId="0" fillId="0" fontId="15" numFmtId="0" xfId="0" applyAlignment="1" applyFont="1">
      <alignment horizontal="right" readingOrder="0"/>
    </xf>
    <xf borderId="0" fillId="0" fontId="16" numFmtId="0" xfId="0" applyAlignment="1" applyFont="1">
      <alignment horizontal="right" readingOrder="0"/>
    </xf>
    <xf borderId="0" fillId="0" fontId="15" numFmtId="0" xfId="0" applyAlignment="1" applyFont="1">
      <alignment horizontal="left" readingOrder="0"/>
    </xf>
    <xf borderId="0" fillId="0" fontId="17" numFmtId="0" xfId="0" applyAlignment="1" applyFont="1">
      <alignment horizontal="right" readingOrder="0"/>
    </xf>
    <xf borderId="0" fillId="0" fontId="15" numFmtId="164" xfId="0" applyAlignment="1" applyFont="1" applyNumberFormat="1">
      <alignment horizontal="left" readingOrder="0"/>
    </xf>
    <xf borderId="0" fillId="0" fontId="14" numFmtId="0" xfId="0" applyAlignment="1" applyFont="1">
      <alignment horizontal="left" readingOrder="0"/>
    </xf>
    <xf borderId="0" fillId="0" fontId="15" numFmtId="165" xfId="0" applyAlignment="1" applyFont="1" applyNumberForma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7" numFmtId="0" xfId="0" applyAlignment="1" applyFont="1">
      <alignment vertical="bottom"/>
    </xf>
    <xf borderId="6" fillId="0" fontId="7" numFmtId="0" xfId="0" applyAlignment="1" applyBorder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vertical="bottom"/>
    </xf>
    <xf borderId="6" fillId="0" fontId="7" numFmtId="0" xfId="0" applyAlignment="1" applyBorder="1" applyFont="1">
      <alignment shrinkToFit="0" vertical="bottom" wrapText="0"/>
    </xf>
    <xf borderId="0" fillId="0" fontId="7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7" fillId="0" fontId="3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6" fontId="18" numFmtId="164" xfId="0" applyAlignment="1" applyFill="1" applyFont="1" applyNumberFormat="1">
      <alignment horizontal="left" readingOrder="0"/>
    </xf>
    <xf borderId="0" fillId="6" fontId="19" numFmtId="0" xfId="0" applyAlignment="1" applyFont="1">
      <alignment horizontal="right" readingOrder="0"/>
    </xf>
    <xf borderId="0" fillId="6" fontId="19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7" fontId="19" numFmtId="0" xfId="0" applyAlignment="1" applyFill="1" applyFont="1">
      <alignment horizontal="right" readingOrder="0"/>
    </xf>
    <xf borderId="0" fillId="7" fontId="19" numFmtId="0" xfId="0" applyAlignment="1" applyFont="1">
      <alignment horizontal="left" readingOrder="0"/>
    </xf>
    <xf borderId="0" fillId="6" fontId="19" numFmtId="164" xfId="0" applyAlignment="1" applyFont="1" applyNumberFormat="1">
      <alignment horizontal="left" readingOrder="0"/>
    </xf>
    <xf borderId="0" fillId="0" fontId="19" numFmtId="164" xfId="0" applyAlignment="1" applyFont="1" applyNumberFormat="1">
      <alignment horizontal="left" readingOrder="0"/>
    </xf>
    <xf borderId="0" fillId="0" fontId="19" numFmtId="0" xfId="0" applyAlignment="1" applyFont="1">
      <alignment horizontal="left" readingOrder="0"/>
    </xf>
    <xf borderId="0" fillId="0" fontId="19" numFmtId="0" xfId="0" applyAlignment="1" applyFont="1">
      <alignment horizontal="right" readingOrder="0"/>
    </xf>
    <xf borderId="0" fillId="0" fontId="19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0</v>
      </c>
      <c r="B1" s="2"/>
      <c r="C1" s="2"/>
      <c r="D1" s="2"/>
      <c r="E1" s="2"/>
      <c r="F1" s="3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5" t="s">
        <v>10</v>
      </c>
      <c r="B3" s="14"/>
      <c r="C3" s="16"/>
      <c r="D3" s="16"/>
      <c r="E3" s="16"/>
      <c r="F3" s="16"/>
    </row>
    <row r="4" ht="15.75" customHeight="1">
      <c r="A4" s="4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IFERROR(__xludf.DUMMYFUNCTION("""COMPUTED_VALUE"""),"Undefined")</f>
        <v>Undefined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IFERROR(__xludf.DUMMYFUNCTION("""COMPUTED_VALUE"""),"1ASulLlGAl--JRs7NVIiQ-6Q2Y2P3o7Y40cokKmMg-UA")</f>
        <v>1ASulLlGAl--JRs7NVIiQ-6Q2Y2P3o7Y40cokKmMg-UA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IFERROR(__xludf.DUMMYFUNCTION("""COMPUTED_VALUE"""),"153rAtnJuNh4UK26GjSOxUSjAHcOxzWv7CRGvmhrIJRs")</f>
        <v>153rAtnJuNh4UK26GjSOxUSjAHcOxzWv7CRGvmhrIJRs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IFERROR(__xludf.DUMMYFUNCTION("""COMPUTED_VALUE"""),"14c4GsPTH5D3eyeeKaMiqJQXOT6OiyIKnC2Ey2f-mzXU")</f>
        <v>14c4GsPTH5D3eyeeKaMiqJQXOT6OiyIKnC2Ey2f-mzXU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IFERROR(__xludf.DUMMYFUNCTION("""COMPUTED_VALUE"""),"1FoqTScZHaIaLmwoImnVY7WWuCKEwJNYw8_jsXiT_wz4")</f>
        <v>1FoqTScZHaIaLmwoImnVY7WWuCKEwJNYw8_jsXiT_wz4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IFERROR(__xludf.DUMMYFUNCTION("""COMPUTED_VALUE"""),"1nx-Ntcckcf-w1Yr5yyOw4Vmcr4UsalakHe-CHaRihg0")</f>
        <v>1nx-Ntcckcf-w1Yr5yyOw4Vmcr4UsalakHe-CHaRihg0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IFERROR(__xludf.DUMMYFUNCTION("""COMPUTED_VALUE"""),"1aOr-_cYT21IfJctqcBB50iQOXfB0qUo9bBesL3tt_2o")</f>
        <v>1aOr-_cYT21IfJctqcBB50iQOXfB0qUo9bBesL3tt_2o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IFERROR(__xludf.DUMMYFUNCTION("""COMPUTED_VALUE"""),"1NSNUZ7aVjKq-fJWvjMKU9f1Hhbf0UmIY3RQLFu0_U94")</f>
        <v>1NSNUZ7aVjKq-fJWvjMKU9f1Hhbf0UmIY3RQLFu0_U94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IFERROR(__xludf.DUMMYFUNCTION("""COMPUTED_VALUE"""),"1qcpgHRQFZbpv-NnW8K-CvX_auKXD5UD0KzrBvuBL6yQ")</f>
        <v>1qcpgHRQFZbpv-NnW8K-CvX_auKXD5UD0KzrBvuBL6yQ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IFERROR(__xludf.DUMMYFUNCTION("""COMPUTED_VALUE"""),"1AcxAZQwu6HAEJMCMK3bk08quIeXstZWKnCNeDGuqkgc")</f>
        <v>1AcxAZQwu6HAEJMCMK3bk08quIeXstZWKnCNeDGuqkgc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IFERROR(__xludf.DUMMYFUNCTION("""COMPUTED_VALUE"""),"1VLF0uNJJlumCyBscfuDhTN1tOv-0IRCkYlwfDU8GczQ")</f>
        <v>1VLF0uNJJlumCyBscfuDhTN1tOv-0IRCkYlwfDU8GczQ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IFERROR(__xludf.DUMMYFUNCTION("""COMPUTED_VALUE"""),"1_8MIcc2OK_ojl_V4NIwMLs9H7qkQkwyq9sDf1PpIqc8")</f>
        <v>1_8MIcc2OK_ojl_V4NIwMLs9H7qkQkwyq9sDf1PpIqc8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IFERROR(__xludf.DUMMYFUNCTION("""COMPUTED_VALUE"""),"1tN1tbsnXiVRytGN-WCzTnGTmfRxY2nBklQk3AQSJo2c")</f>
        <v>1tN1tbsnXiVRytGN-WCzTnGTmfRxY2nBklQk3AQSJo2c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IFERROR(__xludf.DUMMYFUNCTION("""COMPUTED_VALUE"""),"1VRRuQCPazoSKAv27NBzQzv_Yw_Kgakw-yyKn6w1zhKU")</f>
        <v>1VRRuQCPazoSKAv27NBzQzv_Yw_Kgakw-yyKn6w1zhKU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IFERROR(__xludf.DUMMYFUNCTION("""COMPUTED_VALUE"""),"1fGo94nf55bWXddEMlTwX902cb1V6cWr9GHWYy_sZ8IU")</f>
        <v>1fGo94nf55bWXddEMlTwX902cb1V6cWr9GHWYy_sZ8IU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IFERROR(__xludf.DUMMYFUNCTION("""COMPUTED_VALUE"""),"1rOMKu0Ez7NdxjtZC05lRrPUSa0tkOQSvbOhxjuijMsU")</f>
        <v>1rOMKu0Ez7NdxjtZC05lRrPUSa0tkOQSvbOhxjuijMsU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IFERROR(__xludf.DUMMYFUNCTION("""COMPUTED_VALUE"""),"1yBi-hp0jcYIFB6ymnlQIlx-pUUkfcjJU7Ap0azBbNcE")</f>
        <v>1yBi-hp0jcYIFB6ymnlQIlx-pUUkfcjJU7Ap0azBbNcE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IFERROR(__xludf.DUMMYFUNCTION("""COMPUTED_VALUE"""),"1x5iUjYB72ZJ35IOvQ_JQkWHV-d1FlgKY3bIxxTpk-f0")</f>
        <v>1x5iUjYB72ZJ35IOvQ_JQkWHV-d1FlgKY3bIxxTpk-f0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IFERROR(__xludf.DUMMYFUNCTION("""COMPUTED_VALUE"""),"1Li5RKULV7Lc2MLczTkVbzq0oDYcFGfTlBUO9__NoODc")</f>
        <v>1Li5RKULV7Lc2MLczTkVbzq0oDYcFGfTlBUO9__NoODc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IFERROR(__xludf.DUMMYFUNCTION("""COMPUTED_VALUE"""),"1vnIE6mL0eHSchRF1qTlJ2JL_Ylu6hiC6uOXpzq7M0BQ")</f>
        <v>1vnIE6mL0eHSchRF1qTlJ2JL_Ylu6hiC6uOXpzq7M0BQ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IFERROR(__xludf.DUMMYFUNCTION("""COMPUTED_VALUE"""),"1KCMHfIqMprTfc21JY7-_BuJZCbNmjdI-pAMs1UtHRgM")</f>
        <v>1KCMHfIqMprTfc21JY7-_BuJZCbNmjdI-pAMs1UtHRgM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IFERROR(__xludf.DUMMYFUNCTION("""COMPUTED_VALUE"""),"1tRgcAtzRVDm6tX53uSpBOxZNBYm4sTcJiDaR4fxdfwY")</f>
        <v>1tRgcAtzRVDm6tX53uSpBOxZNBYm4sTcJiDaR4fxdfwY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IFERROR(__xludf.DUMMYFUNCTION("""COMPUTED_VALUE"""),"12DQ8VFmnoIi6USj-pAupggGf1Uakm-iIEO9IboOJPds")</f>
        <v>12DQ8VFmnoIi6USj-pAupggGf1Uakm-iIEO9IboOJPds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IFERROR(__xludf.DUMMYFUNCTION("""COMPUTED_VALUE"""),"1EinrxkfbLK2Tdj1nGXu4y1H2zmS6g6G85Hm0vYSOHlA")</f>
        <v>1EinrxkfbLK2Tdj1nGXu4y1H2zmS6g6G85Hm0vYSOHlA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IFERROR(__xludf.DUMMYFUNCTION("""COMPUTED_VALUE"""),"1qeUVChEAj0eKA7tNZsUWM4FcqW347Jcsk_tvw1-FP3s")</f>
        <v>1qeUVChEAj0eKA7tNZsUWM4FcqW347Jcsk_tvw1-FP3s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IFERROR(__xludf.DUMMYFUNCTION("""COMPUTED_VALUE"""),"1aVxYFzFjJM4FVvXjfioQc67hI5XgzzCTHLg8f7lbJhU")</f>
        <v>1aVxYFzFjJM4FVvXjfioQc67hI5XgzzCTHLg8f7lbJhU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IFERROR(__xludf.DUMMYFUNCTION("""COMPUTED_VALUE"""),"1Fe8M8KnrsIcnAobjXa43I9IzXKCnB39xCSYterKkeEc")</f>
        <v>1Fe8M8KnrsIcnAobjXa43I9IzXKCnB39xCSYterKkeEc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IFERROR(__xludf.DUMMYFUNCTION("""COMPUTED_VALUE"""),"1qJHd_QH5ht3ZzeFZbKiVeEOBmlpAshwV72N701B28uk")</f>
        <v>1qJHd_QH5ht3ZzeFZbKiVeEOBmlpAshwV72N701B28uk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2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3</v>
      </c>
      <c r="B3" s="6" t="s">
        <v>4</v>
      </c>
      <c r="C3" s="4"/>
    </row>
    <row r="4" ht="15.75" customHeight="1">
      <c r="A4" s="7" t="s">
        <v>5</v>
      </c>
      <c r="B4" s="6" t="s">
        <v>6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1</v>
      </c>
      <c r="B1" s="2"/>
      <c r="C1" s="2"/>
      <c r="D1" s="2"/>
      <c r="E1" s="2"/>
      <c r="F1" s="3"/>
    </row>
    <row r="2">
      <c r="A2" s="11"/>
      <c r="B2" s="11"/>
      <c r="C2" s="11"/>
      <c r="D2" s="11"/>
      <c r="E2" s="11"/>
      <c r="F2" s="11"/>
    </row>
    <row r="3">
      <c r="A3" s="7" t="s">
        <v>7</v>
      </c>
      <c r="B3" s="12" t="s">
        <v>8</v>
      </c>
      <c r="C3" s="12" t="s">
        <v>9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13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1" t="s">
        <v>18</v>
      </c>
      <c r="C6" s="6" t="s">
        <v>19</v>
      </c>
      <c r="D6" s="6">
        <v>500.0</v>
      </c>
      <c r="E6" s="6">
        <v>500.0</v>
      </c>
      <c r="F6" s="6" t="s">
        <v>20</v>
      </c>
      <c r="G6" s="6"/>
      <c r="H6" s="4"/>
      <c r="I6" s="4"/>
      <c r="J6" s="6">
        <v>15.0</v>
      </c>
      <c r="K6" s="4"/>
      <c r="L6" s="4"/>
      <c r="M6" s="4"/>
      <c r="N6" s="29">
        <v>43318.0</v>
      </c>
      <c r="O6" s="4"/>
      <c r="R6" s="32" t="s">
        <v>21</v>
      </c>
      <c r="S6" s="32">
        <v>10.0</v>
      </c>
      <c r="T6" s="32" t="s">
        <v>21</v>
      </c>
      <c r="U6" s="32">
        <v>10.0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16</v>
      </c>
      <c r="D3" s="5" t="s">
        <v>8</v>
      </c>
      <c r="E3" s="21" t="s">
        <v>17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29">
        <v>43318.0</v>
      </c>
      <c r="C6" s="4"/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16</v>
      </c>
      <c r="D3" s="5" t="s">
        <v>8</v>
      </c>
      <c r="E3" s="21" t="s">
        <v>23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IFERROR(__xludf.DUMMYFUNCTION("""COMPUTED_VALUE"""),"Date")</f>
        <v>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"/>
      <c r="B6" s="31" t="s">
        <v>18</v>
      </c>
      <c r="C6" s="6">
        <v>14.0</v>
      </c>
      <c r="D6" s="29">
        <v>43318.0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1" t="s">
        <v>18</v>
      </c>
      <c r="C7" s="6">
        <v>13.0</v>
      </c>
      <c r="D7" s="29">
        <v>43319.0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31" t="s">
        <v>18</v>
      </c>
      <c r="C8" s="6">
        <v>16.0</v>
      </c>
      <c r="D8" s="29">
        <v>43320.0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31" t="s">
        <v>18</v>
      </c>
      <c r="C9" s="6">
        <v>17.0</v>
      </c>
      <c r="D9" s="29">
        <v>43321.0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31" t="s">
        <v>18</v>
      </c>
      <c r="C10" s="6">
        <v>18.0</v>
      </c>
      <c r="D10" s="29">
        <v>43322.0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31" t="s">
        <v>18</v>
      </c>
      <c r="C11" s="6">
        <v>19.0</v>
      </c>
      <c r="D11" s="29">
        <v>43323.0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24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25</v>
      </c>
      <c r="C6" s="29">
        <v>43318.0</v>
      </c>
      <c r="D6" s="29">
        <v>43322.0</v>
      </c>
      <c r="E6" s="6" t="s">
        <v>20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26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3" t="s">
        <v>20</v>
      </c>
      <c r="C6" s="4"/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4"/>
      <c r="BV6" s="34" t="s">
        <v>19</v>
      </c>
      <c r="CF6" s="32" t="s">
        <v>28</v>
      </c>
      <c r="DH6" s="31" t="s">
        <v>18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27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IFERROR(__xludf.DUMMYFUNCTION("""COMPUTED_VALUE"""),"Original Side")</f>
        <v>Original Side</v>
      </c>
      <c r="D5" s="26" t="str">
        <f>IFERROR(__xludf.DUMMYFUNCTION("""COMPUTED_VALUE"""),"Symbol")</f>
        <v>Symbol</v>
      </c>
      <c r="E5" s="26" t="str">
        <f>IFERROR(__xludf.DUMMYFUNCTION("""COMPUTED_VALUE"""),"Settlement Qty")</f>
        <v>Settlement Qty</v>
      </c>
      <c r="F5" s="27" t="str">
        <f>IFERROR(__xludf.DUMMYFUNCTION("""COMPUTED_VALUE"""),"Quantity")</f>
        <v>Quantity</v>
      </c>
      <c r="G5" s="26" t="str">
        <f>IFERROR(__xludf.DUMMYFUNCTION("""COMPUTED_VALUE"""),"TotalCommission&amp;Fees")</f>
        <v>TotalCommission&amp;Fees</v>
      </c>
      <c r="H5" s="26" t="str">
        <f>IFERROR(__xludf.DUMMYFUNCTION("""COMPUTED_VALUE"""),"Net Notional")</f>
        <v>Net Notional</v>
      </c>
      <c r="I5" s="26" t="str">
        <f>IFERROR(__xludf.DUMMYFUNCTION("""COMPUTED_VALUE"""),"Average Price")</f>
        <v>Average Price</v>
      </c>
      <c r="J5" s="26" t="str">
        <f>IFERROR(__xludf.DUMMYFUNCTION("""COMPUTED_VALUE"""),"UnderlyingName")</f>
        <v>UnderlyingName</v>
      </c>
      <c r="K5" s="26" t="str">
        <f>IFERROR(__xludf.DUMMYFUNCTION("""COMPUTED_VALUE"""),"UnitCost")</f>
        <v>UnitCost</v>
      </c>
      <c r="L5" s="26" t="str">
        <f>IFERROR(__xludf.DUMMYFUNCTION("""COMPUTED_VALUE"""),"PositionTag")</f>
        <v>PositionTag</v>
      </c>
      <c r="M5" s="26" t="str">
        <f>IFERROR(__xludf.DUMMYFUNCTION("""COMPUTED_VALUE"""),"Strategy")</f>
        <v>Strategy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29">
        <v>43318.0</v>
      </c>
      <c r="C6" s="4"/>
      <c r="D6" s="6"/>
      <c r="E6" s="6">
        <v>300.0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30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4"/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4"/>
      <c r="BP6" s="29">
        <v>43320.0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29</v>
      </c>
      <c r="D3" s="5" t="s">
        <v>8</v>
      </c>
      <c r="E3" s="21" t="s">
        <v>31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25</v>
      </c>
      <c r="C6" s="29">
        <v>43318.0</v>
      </c>
      <c r="D6" s="29">
        <v>43322.0</v>
      </c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29</v>
      </c>
      <c r="D3" s="5" t="s">
        <v>8</v>
      </c>
      <c r="E3" s="21" t="s">
        <v>32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20</v>
      </c>
      <c r="C6" s="4"/>
      <c r="D6" s="6"/>
      <c r="E6" s="30"/>
      <c r="F6" s="4"/>
      <c r="G6" s="4"/>
      <c r="H6" s="4"/>
      <c r="I6" s="4"/>
      <c r="J6" s="4"/>
      <c r="K6" s="4"/>
      <c r="L6" s="6">
        <v>15.0</v>
      </c>
      <c r="M6" s="4"/>
      <c r="N6" s="4"/>
      <c r="O6" s="4"/>
      <c r="S6" s="32" t="s">
        <v>35</v>
      </c>
      <c r="AI6" s="32">
        <v>1.0</v>
      </c>
      <c r="AU6" s="32">
        <v>750020.0</v>
      </c>
      <c r="AX6" s="32">
        <v>0.0</v>
      </c>
      <c r="BF6" s="32">
        <v>750000.0</v>
      </c>
      <c r="BJ6" s="32">
        <v>500.0</v>
      </c>
      <c r="BO6" s="32" t="s">
        <v>19</v>
      </c>
      <c r="BT6" s="31" t="s">
        <v>18</v>
      </c>
      <c r="BW6" s="32">
        <v>20.0</v>
      </c>
      <c r="CE6" s="29">
        <v>43318.0</v>
      </c>
      <c r="CI6" s="35" t="s">
        <v>36</v>
      </c>
    </row>
    <row r="7" ht="15.75" customHeight="1">
      <c r="A7" s="4"/>
      <c r="B7" s="6" t="s">
        <v>20</v>
      </c>
      <c r="C7" s="4"/>
      <c r="D7" s="4"/>
      <c r="E7" s="4"/>
      <c r="F7" s="4"/>
      <c r="G7" s="4"/>
      <c r="H7" s="4"/>
      <c r="I7" s="4"/>
      <c r="J7" s="4"/>
      <c r="K7" s="4"/>
      <c r="L7" s="6">
        <v>1092.5</v>
      </c>
      <c r="M7" s="4"/>
      <c r="N7" s="4"/>
      <c r="O7" s="4"/>
      <c r="S7" s="32" t="s">
        <v>37</v>
      </c>
      <c r="AI7" s="32">
        <v>1.0</v>
      </c>
      <c r="AU7" s="32">
        <v>3.2324988E7</v>
      </c>
      <c r="AX7" s="32">
        <v>450012.0</v>
      </c>
      <c r="BF7" s="32">
        <v>3.2775E7</v>
      </c>
      <c r="BJ7" s="32">
        <v>30000.0</v>
      </c>
      <c r="BO7" s="32" t="s">
        <v>38</v>
      </c>
      <c r="BT7" s="31" t="s">
        <v>39</v>
      </c>
      <c r="BW7" s="32">
        <v>450012.0</v>
      </c>
      <c r="CE7" s="29">
        <v>43320.0</v>
      </c>
      <c r="CI7" s="35" t="s">
        <v>40</v>
      </c>
    </row>
    <row r="8" ht="15.75" customHeight="1">
      <c r="A8" s="4"/>
      <c r="B8" s="6" t="s">
        <v>20</v>
      </c>
      <c r="C8" s="4"/>
      <c r="D8" s="4"/>
      <c r="E8" s="4"/>
      <c r="F8" s="4"/>
      <c r="G8" s="4"/>
      <c r="H8" s="4"/>
      <c r="I8" s="4"/>
      <c r="J8" s="4"/>
      <c r="K8" s="4"/>
      <c r="L8" s="6">
        <v>0.0</v>
      </c>
      <c r="M8" s="4"/>
      <c r="N8" s="4"/>
      <c r="O8" s="4"/>
      <c r="S8" s="32" t="s">
        <v>41</v>
      </c>
      <c r="AI8" s="32">
        <v>1.0</v>
      </c>
      <c r="AU8" s="32">
        <v>450012.0</v>
      </c>
      <c r="AX8" s="32">
        <v>-450012.0</v>
      </c>
      <c r="BF8" s="32">
        <v>0.0</v>
      </c>
      <c r="BJ8" s="32">
        <v>300.0</v>
      </c>
      <c r="BO8" s="32" t="s">
        <v>42</v>
      </c>
      <c r="BT8" s="31" t="s">
        <v>18</v>
      </c>
      <c r="BW8" s="32">
        <v>-450012.0</v>
      </c>
      <c r="CE8" s="29">
        <v>43320.0</v>
      </c>
      <c r="CI8" s="35" t="s">
        <v>40</v>
      </c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33</v>
      </c>
      <c r="D3" s="5" t="s">
        <v>8</v>
      </c>
      <c r="E3" s="21" t="s">
        <v>34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 t="s">
        <v>20</v>
      </c>
      <c r="D6" s="29">
        <v>43318.0</v>
      </c>
      <c r="E6" s="29">
        <v>43322.0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33</v>
      </c>
      <c r="D3" s="5" t="s">
        <v>8</v>
      </c>
      <c r="E3" s="21" t="s">
        <v>43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IFERROR(__xludf.DUMMYFUNCTION("""COMPUTED_VALUE"""),"Date")</f>
        <v>Date</v>
      </c>
      <c r="D5" s="26" t="str">
        <f>IFERROR(__xludf.DUMMYFUNCTION("""COMPUTED_VALUE"""),"Currency (Local)")</f>
        <v>Currency (Local)</v>
      </c>
      <c r="E5" s="26" t="str">
        <f>IFERROR(__xludf.DUMMYFUNCTION("""COMPUTED_VALUE"""),"Cash (Local)")</f>
        <v>Cash (Local)</v>
      </c>
      <c r="F5" s="27" t="str">
        <f>IFERROR(__xludf.DUMMYFUNCTION("""COMPUTED_VALUE"""),"Currency (Base)")</f>
        <v>Currency (Base)</v>
      </c>
      <c r="G5" s="26" t="str">
        <f>IFERROR(__xludf.DUMMYFUNCTION("""COMPUTED_VALUE"""),"Cash (Base)")</f>
        <v>Cash (Base)</v>
      </c>
      <c r="H5" s="26" t="str">
        <f>IFERROR(__xludf.DUMMYFUNCTION("""COMPUTED_VALUE"""),"BalanceType")</f>
        <v>BalanceType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20</v>
      </c>
      <c r="C6" s="29">
        <v>43318.0</v>
      </c>
      <c r="D6" s="6" t="s">
        <v>45</v>
      </c>
      <c r="E6" s="6">
        <v>-750020.0</v>
      </c>
      <c r="F6" s="6" t="s">
        <v>45</v>
      </c>
      <c r="G6" s="6">
        <v>-750020.0</v>
      </c>
      <c r="H6" s="6" t="s">
        <v>46</v>
      </c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VerifyDayEndCash!$4:$4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33</v>
      </c>
      <c r="D3" s="5" t="s">
        <v>8</v>
      </c>
      <c r="E3" s="21" t="s">
        <v>44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 t="s">
        <v>20</v>
      </c>
      <c r="D6" s="29">
        <v>43323.0</v>
      </c>
      <c r="E6" s="6" t="b">
        <v>1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33</v>
      </c>
      <c r="D3" s="5" t="s">
        <v>8</v>
      </c>
      <c r="E3" s="21" t="s">
        <v>47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 t="s">
        <v>20</v>
      </c>
      <c r="D6" s="29">
        <v>43318.0</v>
      </c>
      <c r="E6" s="29">
        <v>43323.0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6.57"/>
    <col customWidth="1" min="18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33</v>
      </c>
      <c r="D3" s="5" t="s">
        <v>8</v>
      </c>
      <c r="E3" s="21" t="s">
        <v>48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IFERROR(__xludf.DUMMYFUNCTION("""COMPUTED_VALUE"""),"Date")</f>
        <v>Date</v>
      </c>
      <c r="C5" s="36" t="str">
        <f>IFERROR(__xludf.DUMMYFUNCTION("""COMPUTED_VALUE"""),"Modify Date")</f>
        <v>Modify Date</v>
      </c>
      <c r="D5" s="36" t="str">
        <f>IFERROR(__xludf.DUMMYFUNCTION("""COMPUTED_VALUE"""),"Entry Date")</f>
        <v>Entry Date</v>
      </c>
      <c r="E5" s="36" t="str">
        <f>IFERROR(__xludf.DUMMYFUNCTION("""COMPUTED_VALUE"""),"DR")</f>
        <v>DR</v>
      </c>
      <c r="F5" s="37" t="str">
        <f>IFERROR(__xludf.DUMMYFUNCTION("""COMPUTED_VALUE"""),"CR")</f>
        <v>CR</v>
      </c>
      <c r="G5" s="36" t="str">
        <f>IFERROR(__xludf.DUMMYFUNCTION("""COMPUTED_VALUE"""),"Fx Rate")</f>
        <v>Fx Rate</v>
      </c>
      <c r="H5" s="36" t="str">
        <f>IFERROR(__xludf.DUMMYFUNCTION("""COMPUTED_VALUE"""),"FX Conversion Method Operator")</f>
        <v>FX Conversion Method Operator</v>
      </c>
      <c r="I5" s="36" t="str">
        <f>IFERROR(__xludf.DUMMYFUNCTION("""COMPUTED_VALUE"""),"Account Side")</f>
        <v>Account Side</v>
      </c>
      <c r="J5" s="36" t="str">
        <f>IFERROR(__xludf.DUMMYFUNCTION("""COMPUTED_VALUE"""),"TransactionSource")</f>
        <v>TransactionSource</v>
      </c>
      <c r="K5" s="36" t="str">
        <f>IFERROR(__xludf.DUMMYFUNCTION("""COMPUTED_VALUE"""),"Currency")</f>
        <v>Currency</v>
      </c>
      <c r="L5" s="36" t="str">
        <f>IFERROR(__xludf.DUMMYFUNCTION("""COMPUTED_VALUE"""),"Base Currency")</f>
        <v>Base Currency</v>
      </c>
      <c r="M5" s="36" t="str">
        <f>IFERROR(__xludf.DUMMYFUNCTION("""COMPUTED_VALUE"""),"Symbol")</f>
        <v>Symbol</v>
      </c>
      <c r="N5" s="36" t="str">
        <f>IFERROR(__xludf.DUMMYFUNCTION("""COMPUTED_VALUE"""),"Description")</f>
        <v>Description</v>
      </c>
      <c r="O5" s="36" t="str">
        <f>IFERROR(__xludf.DUMMYFUNCTION("""COMPUTED_VALUE"""),"DR (Base)")</f>
        <v>DR (Base)</v>
      </c>
      <c r="P5" s="36" t="str">
        <f>IFERROR(__xludf.DUMMYFUNCTION("""COMPUTED_VALUE"""),"CR (Base)")</f>
        <v>CR (Base)</v>
      </c>
      <c r="Q5" s="36" t="str">
        <f>IFERROR(__xludf.DUMMYFUNCTION("""COMPUTED_VALUE"""),"Cash Sub-Account")</f>
        <v>Cash Sub-Account</v>
      </c>
      <c r="R5" s="36" t="str">
        <f>IFERROR(__xludf.DUMMYFUNCTION("""COMPUTED_VALUE"""),"Account")</f>
        <v>Account</v>
      </c>
      <c r="S5" s="3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8">
        <v>43318.0</v>
      </c>
      <c r="C6" s="4"/>
      <c r="D6" s="6"/>
      <c r="E6" s="39">
        <v>750020.0</v>
      </c>
      <c r="F6" s="40">
        <v>0.0</v>
      </c>
      <c r="G6" s="6">
        <v>1.0</v>
      </c>
      <c r="H6" s="4"/>
      <c r="I6" s="41" t="s">
        <v>50</v>
      </c>
      <c r="J6" s="41" t="s">
        <v>51</v>
      </c>
      <c r="K6" s="6" t="s">
        <v>45</v>
      </c>
      <c r="L6" s="4"/>
      <c r="M6" s="41" t="s">
        <v>18</v>
      </c>
      <c r="N6" s="4"/>
      <c r="O6" s="39">
        <v>750020.0</v>
      </c>
      <c r="P6" s="40">
        <v>0.0</v>
      </c>
      <c r="Q6" s="41" t="s">
        <v>52</v>
      </c>
      <c r="R6" s="41" t="s">
        <v>20</v>
      </c>
    </row>
    <row r="7" ht="15.75" customHeight="1">
      <c r="A7" s="4"/>
      <c r="B7" s="38">
        <v>43318.0</v>
      </c>
      <c r="C7" s="4"/>
      <c r="D7" s="4"/>
      <c r="E7" s="42">
        <v>0.0</v>
      </c>
      <c r="F7" s="39">
        <v>750020.0</v>
      </c>
      <c r="G7" s="6">
        <v>1.0</v>
      </c>
      <c r="H7" s="4"/>
      <c r="I7" s="41" t="s">
        <v>53</v>
      </c>
      <c r="J7" s="41" t="s">
        <v>51</v>
      </c>
      <c r="K7" s="6" t="s">
        <v>45</v>
      </c>
      <c r="L7" s="4"/>
      <c r="M7" s="41" t="s">
        <v>18</v>
      </c>
      <c r="N7" s="4"/>
      <c r="O7" s="42">
        <v>0.0</v>
      </c>
      <c r="P7" s="39">
        <v>750020.0</v>
      </c>
      <c r="Q7" s="41" t="s">
        <v>54</v>
      </c>
      <c r="R7" s="41" t="s">
        <v>20</v>
      </c>
    </row>
    <row r="8" ht="15.75" customHeight="1">
      <c r="A8" s="4"/>
      <c r="B8" s="43">
        <v>43320.0</v>
      </c>
      <c r="C8" s="4"/>
      <c r="D8" s="4"/>
      <c r="E8" s="39">
        <v>3.2775E7</v>
      </c>
      <c r="F8" s="40">
        <v>0.0</v>
      </c>
      <c r="G8" s="6">
        <v>1.0</v>
      </c>
      <c r="H8" s="4"/>
      <c r="I8" s="41" t="s">
        <v>50</v>
      </c>
      <c r="J8" s="41" t="s">
        <v>51</v>
      </c>
      <c r="K8" s="6" t="s">
        <v>45</v>
      </c>
      <c r="L8" s="4"/>
      <c r="M8" s="44" t="s">
        <v>39</v>
      </c>
      <c r="N8" s="4"/>
      <c r="O8" s="39">
        <v>3.2775E7</v>
      </c>
      <c r="P8" s="40">
        <v>0.0</v>
      </c>
      <c r="Q8" s="41" t="s">
        <v>54</v>
      </c>
      <c r="R8" s="41" t="s">
        <v>20</v>
      </c>
    </row>
    <row r="9" ht="15.75" customHeight="1">
      <c r="A9" s="4"/>
      <c r="B9" s="43">
        <v>43320.0</v>
      </c>
      <c r="C9" s="4"/>
      <c r="D9" s="4"/>
      <c r="E9" s="42">
        <v>0.0</v>
      </c>
      <c r="F9" s="39">
        <v>3.2775E7</v>
      </c>
      <c r="G9" s="6">
        <v>1.0</v>
      </c>
      <c r="H9" s="4"/>
      <c r="I9" s="41" t="s">
        <v>53</v>
      </c>
      <c r="J9" s="41" t="s">
        <v>51</v>
      </c>
      <c r="K9" s="6" t="s">
        <v>45</v>
      </c>
      <c r="L9" s="4"/>
      <c r="M9" s="44" t="s">
        <v>39</v>
      </c>
      <c r="N9" s="4"/>
      <c r="O9" s="42">
        <v>0.0</v>
      </c>
      <c r="P9" s="39">
        <v>3.2775E7</v>
      </c>
      <c r="Q9" s="41" t="s">
        <v>55</v>
      </c>
      <c r="R9" s="41" t="s">
        <v>20</v>
      </c>
    </row>
    <row r="10" ht="15.75" customHeight="1">
      <c r="A10" s="4"/>
      <c r="B10" s="43">
        <v>43320.0</v>
      </c>
      <c r="C10" s="4"/>
      <c r="D10" s="4"/>
      <c r="E10" s="39">
        <v>450012.0</v>
      </c>
      <c r="F10" s="40">
        <v>0.0</v>
      </c>
      <c r="G10" s="6">
        <v>1.0</v>
      </c>
      <c r="H10" s="4"/>
      <c r="I10" s="41" t="s">
        <v>50</v>
      </c>
      <c r="J10" s="41" t="s">
        <v>51</v>
      </c>
      <c r="K10" s="6" t="s">
        <v>45</v>
      </c>
      <c r="L10" s="4"/>
      <c r="M10" s="44" t="s">
        <v>39</v>
      </c>
      <c r="N10" s="4"/>
      <c r="O10" s="39">
        <v>450012.0</v>
      </c>
      <c r="P10" s="40">
        <v>0.0</v>
      </c>
      <c r="Q10" s="41" t="s">
        <v>55</v>
      </c>
      <c r="R10" s="41" t="s">
        <v>20</v>
      </c>
    </row>
    <row r="11" ht="15.75" customHeight="1">
      <c r="A11" s="4"/>
      <c r="B11" s="43">
        <v>43320.0</v>
      </c>
      <c r="C11" s="4"/>
      <c r="D11" s="4"/>
      <c r="E11" s="42">
        <v>0.0</v>
      </c>
      <c r="F11" s="39">
        <v>450012.0</v>
      </c>
      <c r="G11" s="6">
        <v>1.0</v>
      </c>
      <c r="H11" s="4"/>
      <c r="I11" s="41" t="s">
        <v>53</v>
      </c>
      <c r="J11" s="41" t="s">
        <v>51</v>
      </c>
      <c r="K11" s="6" t="s">
        <v>45</v>
      </c>
      <c r="L11" s="4"/>
      <c r="M11" s="44" t="s">
        <v>39</v>
      </c>
      <c r="N11" s="4"/>
      <c r="O11" s="42">
        <v>0.0</v>
      </c>
      <c r="P11" s="39">
        <v>450012.0</v>
      </c>
      <c r="Q11" s="41" t="s">
        <v>54</v>
      </c>
      <c r="R11" s="41" t="s">
        <v>20</v>
      </c>
    </row>
    <row r="12" ht="15.75" customHeight="1">
      <c r="A12" s="4"/>
      <c r="B12" s="38">
        <v>43320.0</v>
      </c>
      <c r="C12" s="4"/>
      <c r="D12" s="4"/>
      <c r="E12" s="39">
        <v>450012.0</v>
      </c>
      <c r="F12" s="40">
        <v>0.0</v>
      </c>
      <c r="G12" s="6">
        <v>1.0</v>
      </c>
      <c r="H12" s="4"/>
      <c r="I12" s="41" t="s">
        <v>50</v>
      </c>
      <c r="J12" s="41" t="s">
        <v>51</v>
      </c>
      <c r="K12" s="6" t="s">
        <v>45</v>
      </c>
      <c r="L12" s="4"/>
      <c r="M12" s="41" t="s">
        <v>18</v>
      </c>
      <c r="N12" s="4"/>
      <c r="O12" s="39">
        <v>450012.0</v>
      </c>
      <c r="P12" s="40">
        <v>0.0</v>
      </c>
      <c r="Q12" s="41" t="s">
        <v>54</v>
      </c>
      <c r="R12" s="41" t="s">
        <v>20</v>
      </c>
    </row>
    <row r="13" ht="15.75" customHeight="1">
      <c r="A13" s="4"/>
      <c r="B13" s="38">
        <v>43320.0</v>
      </c>
      <c r="C13" s="4"/>
      <c r="D13" s="4"/>
      <c r="E13" s="42">
        <v>0.0</v>
      </c>
      <c r="F13" s="39">
        <v>450012.0</v>
      </c>
      <c r="G13" s="6">
        <v>1.0</v>
      </c>
      <c r="H13" s="4"/>
      <c r="I13" s="41" t="s">
        <v>53</v>
      </c>
      <c r="J13" s="41" t="s">
        <v>51</v>
      </c>
      <c r="K13" s="6" t="s">
        <v>45</v>
      </c>
      <c r="L13" s="4"/>
      <c r="M13" s="41" t="s">
        <v>18</v>
      </c>
      <c r="N13" s="4"/>
      <c r="O13" s="42">
        <v>0.0</v>
      </c>
      <c r="P13" s="39">
        <v>450012.0</v>
      </c>
      <c r="Q13" s="41" t="s">
        <v>56</v>
      </c>
      <c r="R13" s="41" t="s">
        <v>20</v>
      </c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33</v>
      </c>
      <c r="D3" s="5" t="s">
        <v>8</v>
      </c>
      <c r="E3" s="21" t="s">
        <v>49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 t="s">
        <v>20</v>
      </c>
      <c r="D6" s="29">
        <v>43318.0</v>
      </c>
      <c r="E6" s="29">
        <v>43323.0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2.14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33</v>
      </c>
      <c r="D3" s="5" t="s">
        <v>8</v>
      </c>
      <c r="E3" s="21" t="s">
        <v>57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IFERROR(__xludf.DUMMYFUNCTION("""COMPUTED_VALUE"""),"Date")</f>
        <v>Date</v>
      </c>
      <c r="C5" s="36" t="str">
        <f>IFERROR(__xludf.DUMMYFUNCTION("""COMPUTED_VALUE"""),"Account")</f>
        <v>Account</v>
      </c>
      <c r="D5" s="36" t="str">
        <f>IFERROR(__xludf.DUMMYFUNCTION("""COMPUTED_VALUE"""),"Symbol")</f>
        <v>Symbol</v>
      </c>
      <c r="E5" s="36" t="str">
        <f>IFERROR(__xludf.DUMMYFUNCTION("""COMPUTED_VALUE"""),"Currency")</f>
        <v>Currency</v>
      </c>
      <c r="F5" s="37" t="str">
        <f>IFERROR(__xludf.DUMMYFUNCTION("""COMPUTED_VALUE"""),"Cash Sub-Account")</f>
        <v>Cash Sub-Account</v>
      </c>
      <c r="G5" s="36" t="str">
        <f>IFERROR(__xludf.DUMMYFUNCTION("""COMPUTED_VALUE"""),"DR")</f>
        <v>DR</v>
      </c>
      <c r="H5" s="36" t="str">
        <f>IFERROR(__xludf.DUMMYFUNCTION("""COMPUTED_VALUE"""),"CR")</f>
        <v>CR</v>
      </c>
      <c r="I5" s="36" t="str">
        <f>IFERROR(__xludf.DUMMYFUNCTION("""COMPUTED_VALUE"""),"Modify Date")</f>
        <v>Modify Date</v>
      </c>
      <c r="J5" s="36" t="str">
        <f>IFERROR(__xludf.DUMMYFUNCTION("""COMPUTED_VALUE"""),"Entry Date")</f>
        <v>Entry Date</v>
      </c>
      <c r="K5" s="36" t="str">
        <f>IFERROR(__xludf.DUMMYFUNCTION("""COMPUTED_VALUE"""),"User")</f>
        <v>User</v>
      </c>
      <c r="L5" s="36" t="str">
        <f>IFERROR(__xludf.DUMMYFUNCTION("""COMPUTED_VALUE"""),"Fx Rate")</f>
        <v>Fx Rate</v>
      </c>
      <c r="M5" s="36" t="str">
        <f>IFERROR(__xludf.DUMMYFUNCTION("""COMPUTED_VALUE"""),"FX Conversion Method Operator")</f>
        <v>FX Conversion Method Operator</v>
      </c>
      <c r="N5" s="36" t="str">
        <f>IFERROR(__xludf.DUMMYFUNCTION("""COMPUTED_VALUE"""),"Account Side")</f>
        <v>Account Side</v>
      </c>
      <c r="O5" s="36" t="str">
        <f>IFERROR(__xludf.DUMMYFUNCTION("""COMPUTED_VALUE"""),"TransactionSource")</f>
        <v>TransactionSource</v>
      </c>
      <c r="P5" s="36" t="str">
        <f>IFERROR(__xludf.DUMMYFUNCTION("""COMPUTED_VALUE"""),"Base Currency")</f>
        <v>Base Currency</v>
      </c>
      <c r="Q5" s="36" t="str">
        <f>IFERROR(__xludf.DUMMYFUNCTION("""COMPUTED_VALUE"""),"Description")</f>
        <v>Description</v>
      </c>
      <c r="R5" s="36" t="str">
        <f>IFERROR(__xludf.DUMMYFUNCTION("""COMPUTED_VALUE"""),"DR (Base)")</f>
        <v>DR (Base)</v>
      </c>
      <c r="S5" s="3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43">
        <v>43318.0</v>
      </c>
      <c r="C6" s="41" t="s">
        <v>20</v>
      </c>
      <c r="D6" s="41" t="s">
        <v>18</v>
      </c>
      <c r="E6" s="41" t="s">
        <v>45</v>
      </c>
      <c r="F6" s="41" t="s">
        <v>58</v>
      </c>
      <c r="G6" s="39">
        <v>50020.0</v>
      </c>
      <c r="H6" s="40">
        <v>0.0</v>
      </c>
      <c r="I6" s="4"/>
      <c r="J6" s="4"/>
      <c r="K6" s="4"/>
      <c r="L6" s="4"/>
      <c r="M6" s="4"/>
      <c r="N6" s="41" t="s">
        <v>50</v>
      </c>
      <c r="O6" s="41" t="s">
        <v>59</v>
      </c>
      <c r="Q6" s="41" t="s">
        <v>60</v>
      </c>
      <c r="R6" s="39">
        <v>50020.0</v>
      </c>
      <c r="S6" s="40">
        <v>0.0</v>
      </c>
    </row>
    <row r="7" ht="15.75" customHeight="1">
      <c r="A7" s="4"/>
      <c r="B7" s="43">
        <v>43318.0</v>
      </c>
      <c r="C7" s="41" t="s">
        <v>20</v>
      </c>
      <c r="D7" s="41" t="s">
        <v>18</v>
      </c>
      <c r="E7" s="41" t="s">
        <v>45</v>
      </c>
      <c r="F7" s="41" t="s">
        <v>61</v>
      </c>
      <c r="G7" s="42">
        <v>0.0</v>
      </c>
      <c r="H7" s="39">
        <v>50020.0</v>
      </c>
      <c r="I7" s="4"/>
      <c r="J7" s="4"/>
      <c r="K7" s="4"/>
      <c r="L7" s="4"/>
      <c r="M7" s="4"/>
      <c r="N7" s="41" t="s">
        <v>53</v>
      </c>
      <c r="O7" s="41" t="s">
        <v>59</v>
      </c>
      <c r="Q7" s="41" t="s">
        <v>60</v>
      </c>
      <c r="R7" s="42">
        <v>0.0</v>
      </c>
      <c r="S7" s="39">
        <v>50020.0</v>
      </c>
    </row>
    <row r="8" ht="15.75" customHeight="1">
      <c r="A8" s="4"/>
      <c r="B8" s="43">
        <v>43319.0</v>
      </c>
      <c r="C8" s="41" t="s">
        <v>20</v>
      </c>
      <c r="D8" s="41" t="s">
        <v>18</v>
      </c>
      <c r="E8" s="41" t="s">
        <v>45</v>
      </c>
      <c r="F8" s="41" t="s">
        <v>58</v>
      </c>
      <c r="G8" s="39">
        <v>100020.0</v>
      </c>
      <c r="H8" s="40">
        <v>0.0</v>
      </c>
      <c r="I8" s="4"/>
      <c r="J8" s="4"/>
      <c r="K8" s="4"/>
      <c r="L8" s="4"/>
      <c r="M8" s="4"/>
      <c r="N8" s="41" t="s">
        <v>50</v>
      </c>
      <c r="O8" s="41" t="s">
        <v>59</v>
      </c>
      <c r="Q8" s="41" t="s">
        <v>60</v>
      </c>
      <c r="R8" s="39">
        <v>100020.0</v>
      </c>
      <c r="S8" s="40">
        <v>0.0</v>
      </c>
    </row>
    <row r="9" ht="15.75" customHeight="1">
      <c r="A9" s="4"/>
      <c r="B9" s="43">
        <v>43319.0</v>
      </c>
      <c r="C9" s="41" t="s">
        <v>20</v>
      </c>
      <c r="D9" s="41" t="s">
        <v>18</v>
      </c>
      <c r="E9" s="41" t="s">
        <v>45</v>
      </c>
      <c r="F9" s="41" t="s">
        <v>61</v>
      </c>
      <c r="G9" s="42">
        <v>0.0</v>
      </c>
      <c r="H9" s="39">
        <v>100020.0</v>
      </c>
      <c r="I9" s="4"/>
      <c r="J9" s="4"/>
      <c r="K9" s="4"/>
      <c r="L9" s="4"/>
      <c r="M9" s="4"/>
      <c r="N9" s="41" t="s">
        <v>53</v>
      </c>
      <c r="O9" s="41" t="s">
        <v>59</v>
      </c>
      <c r="Q9" s="41" t="s">
        <v>60</v>
      </c>
      <c r="R9" s="42">
        <v>0.0</v>
      </c>
      <c r="S9" s="39">
        <v>100020.0</v>
      </c>
    </row>
    <row r="10" ht="15.75" customHeight="1">
      <c r="A10" s="4"/>
      <c r="B10" s="43">
        <v>43319.0</v>
      </c>
      <c r="C10" s="41" t="s">
        <v>20</v>
      </c>
      <c r="D10" s="41" t="s">
        <v>18</v>
      </c>
      <c r="E10" s="41" t="s">
        <v>45</v>
      </c>
      <c r="F10" s="41" t="s">
        <v>61</v>
      </c>
      <c r="G10" s="39">
        <v>50020.0</v>
      </c>
      <c r="H10" s="40">
        <v>0.0</v>
      </c>
      <c r="I10" s="4"/>
      <c r="J10" s="4"/>
      <c r="K10" s="4"/>
      <c r="L10" s="4"/>
      <c r="M10" s="4"/>
      <c r="N10" s="41" t="s">
        <v>50</v>
      </c>
      <c r="O10" s="41" t="s">
        <v>59</v>
      </c>
      <c r="Q10" s="41" t="s">
        <v>62</v>
      </c>
      <c r="R10" s="39">
        <v>50020.0</v>
      </c>
      <c r="S10" s="40">
        <v>0.0</v>
      </c>
    </row>
    <row r="11" ht="15.75" customHeight="1">
      <c r="A11" s="4"/>
      <c r="B11" s="43">
        <v>43319.0</v>
      </c>
      <c r="C11" s="41" t="s">
        <v>20</v>
      </c>
      <c r="D11" s="41" t="s">
        <v>18</v>
      </c>
      <c r="E11" s="41" t="s">
        <v>45</v>
      </c>
      <c r="F11" s="41" t="s">
        <v>58</v>
      </c>
      <c r="G11" s="42">
        <v>0.0</v>
      </c>
      <c r="H11" s="39">
        <v>50020.0</v>
      </c>
      <c r="I11" s="4"/>
      <c r="J11" s="4"/>
      <c r="K11" s="4"/>
      <c r="L11" s="4"/>
      <c r="M11" s="4"/>
      <c r="N11" s="41" t="s">
        <v>53</v>
      </c>
      <c r="O11" s="41" t="s">
        <v>59</v>
      </c>
      <c r="Q11" s="41" t="s">
        <v>62</v>
      </c>
      <c r="R11" s="42">
        <v>0.0</v>
      </c>
      <c r="S11" s="39">
        <v>50020.0</v>
      </c>
    </row>
    <row r="12" ht="15.75" customHeight="1">
      <c r="A12" s="4"/>
      <c r="B12" s="43">
        <v>43320.0</v>
      </c>
      <c r="C12" s="41" t="s">
        <v>20</v>
      </c>
      <c r="D12" s="41" t="s">
        <v>39</v>
      </c>
      <c r="E12" s="41" t="s">
        <v>45</v>
      </c>
      <c r="F12" s="41" t="s">
        <v>63</v>
      </c>
      <c r="G12" s="39">
        <v>3.2324988E7</v>
      </c>
      <c r="H12" s="40">
        <v>0.0</v>
      </c>
      <c r="I12" s="4"/>
      <c r="J12" s="4"/>
      <c r="K12" s="4"/>
      <c r="L12" s="4"/>
      <c r="M12" s="4"/>
      <c r="N12" s="41" t="s">
        <v>50</v>
      </c>
      <c r="O12" s="41" t="s">
        <v>59</v>
      </c>
      <c r="Q12" s="41" t="s">
        <v>60</v>
      </c>
      <c r="R12" s="39">
        <v>3.2324988E7</v>
      </c>
      <c r="S12" s="40">
        <v>0.0</v>
      </c>
    </row>
    <row r="13" ht="15.75" customHeight="1">
      <c r="A13" s="4"/>
      <c r="B13" s="43">
        <v>43320.0</v>
      </c>
      <c r="C13" s="41" t="s">
        <v>20</v>
      </c>
      <c r="D13" s="41" t="s">
        <v>39</v>
      </c>
      <c r="E13" s="41" t="s">
        <v>45</v>
      </c>
      <c r="F13" s="41" t="s">
        <v>64</v>
      </c>
      <c r="G13" s="42">
        <v>0.0</v>
      </c>
      <c r="H13" s="39">
        <v>3.2324988E7</v>
      </c>
      <c r="I13" s="4"/>
      <c r="J13" s="4"/>
      <c r="K13" s="4"/>
      <c r="L13" s="4"/>
      <c r="M13" s="4"/>
      <c r="N13" s="41" t="s">
        <v>53</v>
      </c>
      <c r="O13" s="41" t="s">
        <v>59</v>
      </c>
      <c r="Q13" s="41" t="s">
        <v>60</v>
      </c>
      <c r="R13" s="42">
        <v>0.0</v>
      </c>
      <c r="S13" s="39">
        <v>3.2324988E7</v>
      </c>
    </row>
    <row r="14" ht="15.75" customHeight="1">
      <c r="A14" s="4"/>
      <c r="B14" s="43">
        <v>43320.0</v>
      </c>
      <c r="C14" s="41" t="s">
        <v>20</v>
      </c>
      <c r="D14" s="41" t="s">
        <v>18</v>
      </c>
      <c r="E14" s="41" t="s">
        <v>45</v>
      </c>
      <c r="F14" s="41" t="s">
        <v>61</v>
      </c>
      <c r="G14" s="39">
        <v>19992.0</v>
      </c>
      <c r="H14" s="40">
        <v>0.0</v>
      </c>
      <c r="I14" s="4"/>
      <c r="J14" s="4"/>
      <c r="K14" s="4"/>
      <c r="L14" s="4"/>
      <c r="M14" s="4"/>
      <c r="N14" s="41" t="s">
        <v>50</v>
      </c>
      <c r="O14" s="41" t="s">
        <v>59</v>
      </c>
      <c r="Q14" s="41" t="s">
        <v>60</v>
      </c>
      <c r="R14" s="39">
        <v>19992.0</v>
      </c>
      <c r="S14" s="40">
        <v>0.0</v>
      </c>
    </row>
    <row r="15" ht="15.75" customHeight="1">
      <c r="A15" s="4"/>
      <c r="B15" s="43">
        <v>43320.0</v>
      </c>
      <c r="C15" s="41" t="s">
        <v>20</v>
      </c>
      <c r="D15" s="41" t="s">
        <v>18</v>
      </c>
      <c r="E15" s="41" t="s">
        <v>45</v>
      </c>
      <c r="F15" s="41" t="s">
        <v>58</v>
      </c>
      <c r="G15" s="42">
        <v>0.0</v>
      </c>
      <c r="H15" s="39">
        <v>19992.0</v>
      </c>
      <c r="I15" s="4"/>
      <c r="J15" s="4"/>
      <c r="K15" s="4"/>
      <c r="L15" s="4"/>
      <c r="M15" s="4"/>
      <c r="N15" s="41" t="s">
        <v>53</v>
      </c>
      <c r="O15" s="41" t="s">
        <v>59</v>
      </c>
      <c r="Q15" s="41" t="s">
        <v>60</v>
      </c>
      <c r="R15" s="42">
        <v>0.0</v>
      </c>
      <c r="S15" s="39">
        <v>19992.0</v>
      </c>
    </row>
    <row r="16" ht="15.75" customHeight="1">
      <c r="A16" s="4"/>
      <c r="B16" s="43">
        <v>43320.0</v>
      </c>
      <c r="C16" s="41" t="s">
        <v>20</v>
      </c>
      <c r="D16" s="41" t="s">
        <v>18</v>
      </c>
      <c r="E16" s="41" t="s">
        <v>45</v>
      </c>
      <c r="F16" s="41" t="s">
        <v>61</v>
      </c>
      <c r="G16" s="39">
        <v>100020.0</v>
      </c>
      <c r="H16" s="40">
        <v>0.0</v>
      </c>
      <c r="I16" s="4"/>
      <c r="J16" s="4"/>
      <c r="K16" s="4"/>
      <c r="L16" s="4"/>
      <c r="M16" s="4"/>
      <c r="N16" s="41" t="s">
        <v>50</v>
      </c>
      <c r="O16" s="41" t="s">
        <v>59</v>
      </c>
      <c r="Q16" s="41" t="s">
        <v>62</v>
      </c>
      <c r="R16" s="39">
        <v>100020.0</v>
      </c>
      <c r="S16" s="40">
        <v>0.0</v>
      </c>
    </row>
    <row r="17" ht="15.75" customHeight="1">
      <c r="A17" s="4"/>
      <c r="B17" s="43">
        <v>43320.0</v>
      </c>
      <c r="C17" s="41" t="s">
        <v>20</v>
      </c>
      <c r="D17" s="41" t="s">
        <v>18</v>
      </c>
      <c r="E17" s="41" t="s">
        <v>45</v>
      </c>
      <c r="F17" s="41" t="s">
        <v>58</v>
      </c>
      <c r="G17" s="42">
        <v>0.0</v>
      </c>
      <c r="H17" s="39">
        <v>100020.0</v>
      </c>
      <c r="I17" s="4"/>
      <c r="J17" s="4"/>
      <c r="K17" s="4"/>
      <c r="L17" s="4"/>
      <c r="M17" s="4"/>
      <c r="N17" s="41" t="s">
        <v>53</v>
      </c>
      <c r="O17" s="41" t="s">
        <v>59</v>
      </c>
      <c r="Q17" s="41" t="s">
        <v>62</v>
      </c>
      <c r="R17" s="42">
        <v>0.0</v>
      </c>
      <c r="S17" s="39">
        <v>100020.0</v>
      </c>
    </row>
    <row r="18" ht="15.75" customHeight="1">
      <c r="A18" s="4"/>
      <c r="B18" s="45">
        <v>43321.0</v>
      </c>
      <c r="C18" s="41" t="s">
        <v>20</v>
      </c>
      <c r="D18" s="41" t="s">
        <v>39</v>
      </c>
      <c r="E18" s="41" t="s">
        <v>45</v>
      </c>
      <c r="F18" s="41" t="s">
        <v>63</v>
      </c>
      <c r="G18" s="39">
        <v>3.2324988E7</v>
      </c>
      <c r="H18" s="40">
        <v>0.0</v>
      </c>
      <c r="I18" s="4"/>
      <c r="J18" s="4"/>
      <c r="K18" s="4"/>
      <c r="L18" s="4"/>
      <c r="M18" s="4"/>
      <c r="N18" s="41" t="s">
        <v>50</v>
      </c>
      <c r="O18" s="41" t="s">
        <v>59</v>
      </c>
      <c r="Q18" s="41" t="s">
        <v>60</v>
      </c>
      <c r="R18" s="39">
        <v>3.2324988E7</v>
      </c>
      <c r="S18" s="40">
        <v>0.0</v>
      </c>
    </row>
    <row r="19" ht="15.75" customHeight="1">
      <c r="A19" s="4"/>
      <c r="B19" s="45">
        <v>43321.0</v>
      </c>
      <c r="C19" s="41" t="s">
        <v>20</v>
      </c>
      <c r="D19" s="41" t="s">
        <v>39</v>
      </c>
      <c r="E19" s="41" t="s">
        <v>45</v>
      </c>
      <c r="F19" s="41" t="s">
        <v>64</v>
      </c>
      <c r="G19" s="42">
        <v>0.0</v>
      </c>
      <c r="H19" s="39">
        <v>3.2324988E7</v>
      </c>
      <c r="I19" s="4"/>
      <c r="J19" s="4"/>
      <c r="K19" s="4"/>
      <c r="L19" s="4"/>
      <c r="M19" s="4"/>
      <c r="N19" s="41" t="s">
        <v>53</v>
      </c>
      <c r="O19" s="41" t="s">
        <v>59</v>
      </c>
      <c r="Q19" s="41" t="s">
        <v>60</v>
      </c>
      <c r="R19" s="42">
        <v>0.0</v>
      </c>
      <c r="S19" s="39">
        <v>3.2324988E7</v>
      </c>
    </row>
    <row r="20" ht="15.75" customHeight="1">
      <c r="A20" s="4"/>
      <c r="B20" s="45">
        <v>43321.0</v>
      </c>
      <c r="C20" s="41" t="s">
        <v>20</v>
      </c>
      <c r="D20" s="41" t="s">
        <v>39</v>
      </c>
      <c r="E20" s="41" t="s">
        <v>45</v>
      </c>
      <c r="F20" s="41" t="s">
        <v>64</v>
      </c>
      <c r="G20" s="39">
        <v>3.2324988E7</v>
      </c>
      <c r="H20" s="40">
        <v>0.0</v>
      </c>
      <c r="I20" s="4"/>
      <c r="J20" s="4"/>
      <c r="K20" s="4"/>
      <c r="L20" s="4"/>
      <c r="M20" s="4"/>
      <c r="N20" s="41" t="s">
        <v>50</v>
      </c>
      <c r="O20" s="41" t="s">
        <v>59</v>
      </c>
      <c r="Q20" s="41" t="s">
        <v>62</v>
      </c>
      <c r="R20" s="39">
        <v>3.2324988E7</v>
      </c>
      <c r="S20" s="40">
        <v>0.0</v>
      </c>
    </row>
    <row r="21" ht="15.75" customHeight="1">
      <c r="A21" s="4"/>
      <c r="B21" s="45">
        <v>43321.0</v>
      </c>
      <c r="C21" s="41" t="s">
        <v>20</v>
      </c>
      <c r="D21" s="41" t="s">
        <v>39</v>
      </c>
      <c r="E21" s="41" t="s">
        <v>45</v>
      </c>
      <c r="F21" s="41" t="s">
        <v>63</v>
      </c>
      <c r="G21" s="42">
        <v>0.0</v>
      </c>
      <c r="H21" s="39">
        <v>3.2324988E7</v>
      </c>
      <c r="I21" s="4"/>
      <c r="J21" s="4"/>
      <c r="K21" s="4"/>
      <c r="L21" s="4"/>
      <c r="M21" s="4"/>
      <c r="N21" s="41" t="s">
        <v>53</v>
      </c>
      <c r="O21" s="41" t="s">
        <v>59</v>
      </c>
      <c r="Q21" s="41" t="s">
        <v>62</v>
      </c>
      <c r="R21" s="42">
        <v>0.0</v>
      </c>
      <c r="S21" s="39">
        <v>3.2324988E7</v>
      </c>
    </row>
    <row r="22" ht="15.75" customHeight="1">
      <c r="A22" s="4"/>
      <c r="B22" s="45">
        <v>43321.0</v>
      </c>
      <c r="C22" s="41" t="s">
        <v>20</v>
      </c>
      <c r="D22" s="41" t="s">
        <v>18</v>
      </c>
      <c r="E22" s="41" t="s">
        <v>45</v>
      </c>
      <c r="F22" s="41" t="s">
        <v>61</v>
      </c>
      <c r="G22" s="39">
        <v>39992.0</v>
      </c>
      <c r="H22" s="40">
        <v>0.0</v>
      </c>
      <c r="I22" s="4"/>
      <c r="J22" s="4"/>
      <c r="K22" s="4"/>
      <c r="L22" s="4"/>
      <c r="M22" s="4"/>
      <c r="N22" s="41" t="s">
        <v>50</v>
      </c>
      <c r="O22" s="41" t="s">
        <v>59</v>
      </c>
      <c r="Q22" s="41" t="s">
        <v>60</v>
      </c>
      <c r="R22" s="39">
        <v>39992.0</v>
      </c>
      <c r="S22" s="40">
        <v>0.0</v>
      </c>
    </row>
    <row r="23" ht="15.75" customHeight="1">
      <c r="A23" s="4"/>
      <c r="B23" s="45">
        <v>43321.0</v>
      </c>
      <c r="C23" s="41" t="s">
        <v>20</v>
      </c>
      <c r="D23" s="41" t="s">
        <v>18</v>
      </c>
      <c r="E23" s="41" t="s">
        <v>45</v>
      </c>
      <c r="F23" s="41" t="s">
        <v>58</v>
      </c>
      <c r="G23" s="42">
        <v>0.0</v>
      </c>
      <c r="H23" s="39">
        <v>39992.0</v>
      </c>
      <c r="I23" s="4"/>
      <c r="J23" s="4"/>
      <c r="K23" s="4"/>
      <c r="L23" s="4"/>
      <c r="M23" s="4"/>
      <c r="N23" s="41" t="s">
        <v>53</v>
      </c>
      <c r="O23" s="41" t="s">
        <v>59</v>
      </c>
      <c r="Q23" s="41" t="s">
        <v>60</v>
      </c>
      <c r="R23" s="42">
        <v>0.0</v>
      </c>
      <c r="S23" s="39">
        <v>39992.0</v>
      </c>
    </row>
    <row r="24" ht="15.75" customHeight="1">
      <c r="A24" s="4"/>
      <c r="B24" s="45">
        <v>43321.0</v>
      </c>
      <c r="C24" s="41" t="s">
        <v>20</v>
      </c>
      <c r="D24" s="41" t="s">
        <v>18</v>
      </c>
      <c r="E24" s="41" t="s">
        <v>45</v>
      </c>
      <c r="F24" s="41" t="s">
        <v>58</v>
      </c>
      <c r="G24" s="39">
        <v>19992.0</v>
      </c>
      <c r="H24" s="40">
        <v>0.0</v>
      </c>
      <c r="I24" s="4"/>
      <c r="J24" s="4"/>
      <c r="K24" s="4"/>
      <c r="L24" s="4"/>
      <c r="M24" s="4"/>
      <c r="N24" s="41" t="s">
        <v>50</v>
      </c>
      <c r="O24" s="41" t="s">
        <v>59</v>
      </c>
      <c r="Q24" s="41" t="s">
        <v>62</v>
      </c>
      <c r="R24" s="39">
        <v>19992.0</v>
      </c>
      <c r="S24" s="40">
        <v>0.0</v>
      </c>
    </row>
    <row r="25" ht="15.75" customHeight="1">
      <c r="A25" s="4"/>
      <c r="B25" s="45">
        <v>43321.0</v>
      </c>
      <c r="C25" s="41" t="s">
        <v>20</v>
      </c>
      <c r="D25" s="41" t="s">
        <v>18</v>
      </c>
      <c r="E25" s="41" t="s">
        <v>45</v>
      </c>
      <c r="F25" s="41" t="s">
        <v>61</v>
      </c>
      <c r="G25" s="42">
        <v>0.0</v>
      </c>
      <c r="H25" s="39">
        <v>19992.0</v>
      </c>
      <c r="I25" s="4"/>
      <c r="J25" s="4"/>
      <c r="K25" s="4"/>
      <c r="L25" s="4"/>
      <c r="M25" s="4"/>
      <c r="N25" s="41" t="s">
        <v>53</v>
      </c>
      <c r="O25" s="41" t="s">
        <v>59</v>
      </c>
      <c r="Q25" s="41" t="s">
        <v>62</v>
      </c>
      <c r="R25" s="42">
        <v>0.0</v>
      </c>
      <c r="S25" s="39">
        <v>19992.0</v>
      </c>
    </row>
    <row r="26" ht="15.75" customHeight="1">
      <c r="A26" s="4"/>
      <c r="B26" s="45">
        <v>43322.0</v>
      </c>
      <c r="C26" s="41" t="s">
        <v>20</v>
      </c>
      <c r="D26" s="41" t="s">
        <v>39</v>
      </c>
      <c r="E26" s="41" t="s">
        <v>45</v>
      </c>
      <c r="F26" s="41" t="s">
        <v>63</v>
      </c>
      <c r="G26" s="39">
        <v>3.2324988E7</v>
      </c>
      <c r="H26" s="40">
        <v>0.0</v>
      </c>
      <c r="I26" s="4"/>
      <c r="J26" s="4"/>
      <c r="K26" s="4"/>
      <c r="L26" s="4"/>
      <c r="M26" s="4"/>
      <c r="N26" s="41" t="s">
        <v>50</v>
      </c>
      <c r="O26" s="41" t="s">
        <v>59</v>
      </c>
      <c r="Q26" s="41" t="s">
        <v>60</v>
      </c>
      <c r="R26" s="39">
        <v>3.2324988E7</v>
      </c>
      <c r="S26" s="40">
        <v>0.0</v>
      </c>
    </row>
    <row r="27" ht="15.75" customHeight="1">
      <c r="B27" s="45">
        <v>43322.0</v>
      </c>
      <c r="C27" s="41" t="s">
        <v>20</v>
      </c>
      <c r="D27" s="41" t="s">
        <v>39</v>
      </c>
      <c r="E27" s="41" t="s">
        <v>45</v>
      </c>
      <c r="F27" s="41" t="s">
        <v>64</v>
      </c>
      <c r="G27" s="42">
        <v>0.0</v>
      </c>
      <c r="H27" s="39">
        <v>3.2324988E7</v>
      </c>
      <c r="N27" s="41" t="s">
        <v>53</v>
      </c>
      <c r="O27" s="41" t="s">
        <v>59</v>
      </c>
      <c r="Q27" s="41" t="s">
        <v>60</v>
      </c>
      <c r="R27" s="42">
        <v>0.0</v>
      </c>
      <c r="S27" s="39">
        <v>3.2324988E7</v>
      </c>
    </row>
    <row r="28" ht="15.75" customHeight="1">
      <c r="B28" s="45">
        <v>43322.0</v>
      </c>
      <c r="C28" s="41" t="s">
        <v>20</v>
      </c>
      <c r="D28" s="41" t="s">
        <v>39</v>
      </c>
      <c r="E28" s="41" t="s">
        <v>45</v>
      </c>
      <c r="F28" s="41" t="s">
        <v>64</v>
      </c>
      <c r="G28" s="39">
        <v>3.2324988E7</v>
      </c>
      <c r="H28" s="40">
        <v>0.0</v>
      </c>
      <c r="N28" s="41" t="s">
        <v>50</v>
      </c>
      <c r="O28" s="41" t="s">
        <v>59</v>
      </c>
      <c r="Q28" s="41" t="s">
        <v>62</v>
      </c>
      <c r="R28" s="39">
        <v>3.2324988E7</v>
      </c>
      <c r="S28" s="40">
        <v>0.0</v>
      </c>
    </row>
    <row r="29" ht="15.75" customHeight="1">
      <c r="B29" s="45">
        <v>43322.0</v>
      </c>
      <c r="C29" s="41" t="s">
        <v>20</v>
      </c>
      <c r="D29" s="41" t="s">
        <v>39</v>
      </c>
      <c r="E29" s="41" t="s">
        <v>45</v>
      </c>
      <c r="F29" s="41" t="s">
        <v>63</v>
      </c>
      <c r="G29" s="42">
        <v>0.0</v>
      </c>
      <c r="H29" s="39">
        <v>3.2324988E7</v>
      </c>
      <c r="N29" s="41" t="s">
        <v>53</v>
      </c>
      <c r="O29" s="41" t="s">
        <v>59</v>
      </c>
      <c r="Q29" s="41" t="s">
        <v>62</v>
      </c>
      <c r="R29" s="42">
        <v>0.0</v>
      </c>
      <c r="S29" s="39">
        <v>3.2324988E7</v>
      </c>
    </row>
    <row r="30" ht="15.75" customHeight="1">
      <c r="B30" s="45">
        <v>43322.0</v>
      </c>
      <c r="C30" s="41" t="s">
        <v>20</v>
      </c>
      <c r="D30" s="41" t="s">
        <v>18</v>
      </c>
      <c r="E30" s="41" t="s">
        <v>45</v>
      </c>
      <c r="F30" s="41" t="s">
        <v>61</v>
      </c>
      <c r="G30" s="39">
        <v>59992.0</v>
      </c>
      <c r="H30" s="40">
        <v>0.0</v>
      </c>
      <c r="N30" s="41" t="s">
        <v>50</v>
      </c>
      <c r="O30" s="41" t="s">
        <v>59</v>
      </c>
      <c r="Q30" s="41" t="s">
        <v>60</v>
      </c>
      <c r="R30" s="39">
        <v>59992.0</v>
      </c>
      <c r="S30" s="40">
        <v>0.0</v>
      </c>
    </row>
    <row r="31" ht="15.75" customHeight="1">
      <c r="B31" s="45">
        <v>43322.0</v>
      </c>
      <c r="C31" s="41" t="s">
        <v>20</v>
      </c>
      <c r="D31" s="41" t="s">
        <v>18</v>
      </c>
      <c r="E31" s="41" t="s">
        <v>45</v>
      </c>
      <c r="F31" s="41" t="s">
        <v>58</v>
      </c>
      <c r="G31" s="42">
        <v>0.0</v>
      </c>
      <c r="H31" s="39">
        <v>59992.0</v>
      </c>
      <c r="N31" s="41" t="s">
        <v>53</v>
      </c>
      <c r="O31" s="41" t="s">
        <v>59</v>
      </c>
      <c r="Q31" s="41" t="s">
        <v>60</v>
      </c>
      <c r="R31" s="42">
        <v>0.0</v>
      </c>
      <c r="S31" s="39">
        <v>59992.0</v>
      </c>
    </row>
    <row r="32" ht="15.75" customHeight="1">
      <c r="B32" s="45">
        <v>43322.0</v>
      </c>
      <c r="C32" s="41" t="s">
        <v>20</v>
      </c>
      <c r="D32" s="41" t="s">
        <v>18</v>
      </c>
      <c r="E32" s="41" t="s">
        <v>45</v>
      </c>
      <c r="F32" s="41" t="s">
        <v>58</v>
      </c>
      <c r="G32" s="39">
        <v>39992.0</v>
      </c>
      <c r="H32" s="40">
        <v>0.0</v>
      </c>
      <c r="N32" s="41" t="s">
        <v>50</v>
      </c>
      <c r="O32" s="41" t="s">
        <v>59</v>
      </c>
      <c r="Q32" s="41" t="s">
        <v>62</v>
      </c>
      <c r="R32" s="39">
        <v>39992.0</v>
      </c>
      <c r="S32" s="40">
        <v>0.0</v>
      </c>
    </row>
    <row r="33" ht="15.75" customHeight="1">
      <c r="B33" s="45">
        <v>43322.0</v>
      </c>
      <c r="C33" s="41" t="s">
        <v>20</v>
      </c>
      <c r="D33" s="41" t="s">
        <v>18</v>
      </c>
      <c r="E33" s="41" t="s">
        <v>45</v>
      </c>
      <c r="F33" s="41" t="s">
        <v>61</v>
      </c>
      <c r="G33" s="42">
        <v>0.0</v>
      </c>
      <c r="H33" s="39">
        <v>39992.0</v>
      </c>
      <c r="N33" s="41" t="s">
        <v>53</v>
      </c>
      <c r="O33" s="41" t="s">
        <v>59</v>
      </c>
      <c r="Q33" s="41" t="s">
        <v>62</v>
      </c>
      <c r="R33" s="42">
        <v>0.0</v>
      </c>
      <c r="S33" s="39">
        <v>39992.0</v>
      </c>
    </row>
    <row r="34" ht="15.75" customHeight="1">
      <c r="B34" s="45">
        <v>43323.0</v>
      </c>
      <c r="C34" s="41" t="s">
        <v>20</v>
      </c>
      <c r="D34" s="41" t="s">
        <v>39</v>
      </c>
      <c r="E34" s="41" t="s">
        <v>45</v>
      </c>
      <c r="F34" s="41" t="s">
        <v>63</v>
      </c>
      <c r="G34" s="39">
        <v>3.2324988E7</v>
      </c>
      <c r="H34" s="40">
        <v>0.0</v>
      </c>
      <c r="N34" s="41" t="s">
        <v>50</v>
      </c>
      <c r="O34" s="41" t="s">
        <v>59</v>
      </c>
      <c r="Q34" s="41" t="s">
        <v>60</v>
      </c>
      <c r="R34" s="39">
        <v>3.2324988E7</v>
      </c>
      <c r="S34" s="40">
        <v>0.0</v>
      </c>
    </row>
    <row r="35" ht="15.75" customHeight="1">
      <c r="B35" s="45">
        <v>43323.0</v>
      </c>
      <c r="C35" s="41" t="s">
        <v>20</v>
      </c>
      <c r="D35" s="41" t="s">
        <v>39</v>
      </c>
      <c r="E35" s="41" t="s">
        <v>45</v>
      </c>
      <c r="F35" s="41" t="s">
        <v>64</v>
      </c>
      <c r="G35" s="42">
        <v>0.0</v>
      </c>
      <c r="H35" s="39">
        <v>3.2324988E7</v>
      </c>
      <c r="N35" s="41" t="s">
        <v>53</v>
      </c>
      <c r="O35" s="41" t="s">
        <v>59</v>
      </c>
      <c r="Q35" s="41" t="s">
        <v>60</v>
      </c>
      <c r="R35" s="42">
        <v>0.0</v>
      </c>
      <c r="S35" s="39">
        <v>3.2324988E7</v>
      </c>
    </row>
    <row r="36" ht="15.75" customHeight="1">
      <c r="B36" s="45">
        <v>43323.0</v>
      </c>
      <c r="C36" s="41" t="s">
        <v>20</v>
      </c>
      <c r="D36" s="41" t="s">
        <v>39</v>
      </c>
      <c r="E36" s="41" t="s">
        <v>45</v>
      </c>
      <c r="F36" s="41" t="s">
        <v>64</v>
      </c>
      <c r="G36" s="39">
        <v>3.2324988E7</v>
      </c>
      <c r="H36" s="40">
        <v>0.0</v>
      </c>
      <c r="N36" s="41" t="s">
        <v>50</v>
      </c>
      <c r="O36" s="41" t="s">
        <v>59</v>
      </c>
      <c r="Q36" s="41" t="s">
        <v>62</v>
      </c>
      <c r="R36" s="39">
        <v>3.2324988E7</v>
      </c>
      <c r="S36" s="40">
        <v>0.0</v>
      </c>
    </row>
    <row r="37" ht="15.75" customHeight="1">
      <c r="B37" s="45">
        <v>43323.0</v>
      </c>
      <c r="C37" s="41" t="s">
        <v>20</v>
      </c>
      <c r="D37" s="41" t="s">
        <v>39</v>
      </c>
      <c r="E37" s="41" t="s">
        <v>45</v>
      </c>
      <c r="F37" s="41" t="s">
        <v>63</v>
      </c>
      <c r="G37" s="42">
        <v>0.0</v>
      </c>
      <c r="H37" s="39">
        <v>3.2324988E7</v>
      </c>
      <c r="N37" s="41" t="s">
        <v>53</v>
      </c>
      <c r="O37" s="41" t="s">
        <v>59</v>
      </c>
      <c r="Q37" s="41" t="s">
        <v>62</v>
      </c>
      <c r="R37" s="42">
        <v>0.0</v>
      </c>
      <c r="S37" s="39">
        <v>3.2324988E7</v>
      </c>
    </row>
    <row r="38" ht="15.75" customHeight="1">
      <c r="B38" s="45">
        <v>43323.0</v>
      </c>
      <c r="C38" s="41" t="s">
        <v>20</v>
      </c>
      <c r="D38" s="41" t="s">
        <v>18</v>
      </c>
      <c r="E38" s="41" t="s">
        <v>45</v>
      </c>
      <c r="F38" s="41" t="s">
        <v>61</v>
      </c>
      <c r="G38" s="39">
        <v>59992.0</v>
      </c>
      <c r="H38" s="40">
        <v>0.0</v>
      </c>
      <c r="N38" s="41" t="s">
        <v>50</v>
      </c>
      <c r="O38" s="41" t="s">
        <v>59</v>
      </c>
      <c r="Q38" s="41" t="s">
        <v>60</v>
      </c>
      <c r="R38" s="39">
        <v>59992.0</v>
      </c>
      <c r="S38" s="40">
        <v>0.0</v>
      </c>
    </row>
    <row r="39" ht="15.75" customHeight="1">
      <c r="B39" s="45">
        <v>43323.0</v>
      </c>
      <c r="C39" s="41" t="s">
        <v>20</v>
      </c>
      <c r="D39" s="41" t="s">
        <v>18</v>
      </c>
      <c r="E39" s="41" t="s">
        <v>45</v>
      </c>
      <c r="F39" s="41" t="s">
        <v>58</v>
      </c>
      <c r="G39" s="42">
        <v>0.0</v>
      </c>
      <c r="H39" s="39">
        <v>59992.0</v>
      </c>
      <c r="N39" s="41" t="s">
        <v>53</v>
      </c>
      <c r="O39" s="41" t="s">
        <v>59</v>
      </c>
      <c r="Q39" s="41" t="s">
        <v>60</v>
      </c>
      <c r="R39" s="42">
        <v>0.0</v>
      </c>
      <c r="S39" s="39">
        <v>59992.0</v>
      </c>
    </row>
    <row r="40" ht="15.75" customHeight="1">
      <c r="B40" s="45">
        <v>43323.0</v>
      </c>
      <c r="C40" s="41" t="s">
        <v>20</v>
      </c>
      <c r="D40" s="41" t="s">
        <v>18</v>
      </c>
      <c r="E40" s="41" t="s">
        <v>45</v>
      </c>
      <c r="F40" s="41" t="s">
        <v>58</v>
      </c>
      <c r="G40" s="39">
        <v>59992.0</v>
      </c>
      <c r="H40" s="40">
        <v>0.0</v>
      </c>
      <c r="N40" s="41" t="s">
        <v>50</v>
      </c>
      <c r="O40" s="41" t="s">
        <v>59</v>
      </c>
      <c r="Q40" s="41" t="s">
        <v>62</v>
      </c>
      <c r="R40" s="39">
        <v>59992.0</v>
      </c>
      <c r="S40" s="40">
        <v>0.0</v>
      </c>
    </row>
    <row r="41" ht="15.75" customHeight="1">
      <c r="B41" s="45">
        <v>43323.0</v>
      </c>
      <c r="C41" s="41" t="s">
        <v>20</v>
      </c>
      <c r="D41" s="41" t="s">
        <v>18</v>
      </c>
      <c r="E41" s="41" t="s">
        <v>45</v>
      </c>
      <c r="F41" s="41" t="s">
        <v>61</v>
      </c>
      <c r="G41" s="42">
        <v>0.0</v>
      </c>
      <c r="H41" s="39">
        <v>59992.0</v>
      </c>
      <c r="N41" s="41" t="s">
        <v>53</v>
      </c>
      <c r="O41" s="41" t="s">
        <v>59</v>
      </c>
      <c r="Q41" s="41" t="s">
        <v>62</v>
      </c>
      <c r="R41" s="42">
        <v>0.0</v>
      </c>
      <c r="S41" s="39">
        <v>59992.0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27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IFERROR(__xludf.DUMMYFUNCTION("""COMPUTED_VALUE"""),"Original Side")</f>
        <v>Original Side</v>
      </c>
      <c r="D5" s="26" t="str">
        <f>IFERROR(__xludf.DUMMYFUNCTION("""COMPUTED_VALUE"""),"Symbol")</f>
        <v>Symbol</v>
      </c>
      <c r="E5" s="26" t="str">
        <f>IFERROR(__xludf.DUMMYFUNCTION("""COMPUTED_VALUE"""),"Settlement Qty")</f>
        <v>Settlement Qty</v>
      </c>
      <c r="F5" s="27" t="str">
        <f>IFERROR(__xludf.DUMMYFUNCTION("""COMPUTED_VALUE"""),"Quantity")</f>
        <v>Quantity</v>
      </c>
      <c r="G5" s="26" t="str">
        <f>IFERROR(__xludf.DUMMYFUNCTION("""COMPUTED_VALUE"""),"TotalCommission&amp;Fees")</f>
        <v>TotalCommission&amp;Fees</v>
      </c>
      <c r="H5" s="26" t="str">
        <f>IFERROR(__xludf.DUMMYFUNCTION("""COMPUTED_VALUE"""),"Net Notional")</f>
        <v>Net Notional</v>
      </c>
      <c r="I5" s="26" t="str">
        <f>IFERROR(__xludf.DUMMYFUNCTION("""COMPUTED_VALUE"""),"Average Price")</f>
        <v>Average Price</v>
      </c>
      <c r="J5" s="26" t="str">
        <f>IFERROR(__xludf.DUMMYFUNCTION("""COMPUTED_VALUE"""),"UnderlyingName")</f>
        <v>UnderlyingName</v>
      </c>
      <c r="K5" s="26" t="str">
        <f>IFERROR(__xludf.DUMMYFUNCTION("""COMPUTED_VALUE"""),"UnitCost")</f>
        <v>UnitCost</v>
      </c>
      <c r="L5" s="26" t="str">
        <f>IFERROR(__xludf.DUMMYFUNCTION("""COMPUTED_VALUE"""),"PositionTag")</f>
        <v>PositionTag</v>
      </c>
      <c r="M5" s="26" t="str">
        <f>IFERROR(__xludf.DUMMYFUNCTION("""COMPUTED_VALUE"""),"Strategy")</f>
        <v>Strategy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4"/>
      <c r="D6" s="6"/>
      <c r="E6" s="6">
        <v>100.0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65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4"/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4"/>
      <c r="BP6" s="46">
        <v>43321.0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ExerciseAssignmentAtZero!$4:$4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29</v>
      </c>
      <c r="D3" s="5" t="s">
        <v>8</v>
      </c>
      <c r="E3" s="21" t="s">
        <v>32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20</v>
      </c>
      <c r="C6" s="4"/>
      <c r="D6" s="6"/>
      <c r="E6" s="30"/>
      <c r="F6" s="4"/>
      <c r="G6" s="4"/>
      <c r="H6" s="4"/>
      <c r="I6" s="4"/>
      <c r="J6" s="4"/>
      <c r="K6" s="4"/>
      <c r="L6" s="6">
        <v>15.0</v>
      </c>
      <c r="M6" s="4"/>
      <c r="N6" s="4"/>
      <c r="O6" s="4"/>
      <c r="S6" s="32" t="s">
        <v>35</v>
      </c>
      <c r="AI6" s="32">
        <v>1.0</v>
      </c>
      <c r="AU6" s="32">
        <v>750020.0</v>
      </c>
      <c r="AX6" s="32">
        <v>0.0</v>
      </c>
      <c r="BF6" s="32">
        <v>750000.0</v>
      </c>
      <c r="BJ6" s="32">
        <v>500.0</v>
      </c>
      <c r="BO6" s="32" t="s">
        <v>19</v>
      </c>
      <c r="BT6" s="31" t="s">
        <v>18</v>
      </c>
      <c r="BW6" s="32">
        <v>20.0</v>
      </c>
      <c r="CE6" s="29">
        <v>43318.0</v>
      </c>
      <c r="CI6" s="35" t="s">
        <v>36</v>
      </c>
    </row>
    <row r="7" ht="15.75" customHeight="1">
      <c r="A7" s="4"/>
      <c r="B7" s="6" t="s">
        <v>20</v>
      </c>
      <c r="C7" s="4"/>
      <c r="D7" s="4"/>
      <c r="E7" s="4"/>
      <c r="F7" s="4"/>
      <c r="G7" s="4"/>
      <c r="H7" s="4"/>
      <c r="I7" s="4"/>
      <c r="J7" s="4"/>
      <c r="K7" s="4"/>
      <c r="L7" s="6">
        <v>1092.5</v>
      </c>
      <c r="M7" s="4"/>
      <c r="N7" s="4"/>
      <c r="O7" s="4"/>
      <c r="S7" s="32" t="s">
        <v>37</v>
      </c>
      <c r="AI7" s="32">
        <v>1.0</v>
      </c>
      <c r="AU7" s="32">
        <v>3.2324988E7</v>
      </c>
      <c r="AX7" s="32">
        <v>450012.0</v>
      </c>
      <c r="BF7" s="32">
        <v>3.2775E7</v>
      </c>
      <c r="BJ7" s="32">
        <v>30000.0</v>
      </c>
      <c r="BO7" s="32" t="s">
        <v>38</v>
      </c>
      <c r="BT7" s="31" t="s">
        <v>39</v>
      </c>
      <c r="BW7" s="32">
        <v>450012.0</v>
      </c>
      <c r="CE7" s="29">
        <v>43320.0</v>
      </c>
      <c r="CI7" s="35" t="s">
        <v>40</v>
      </c>
    </row>
    <row r="8" ht="15.75" customHeight="1">
      <c r="A8" s="4"/>
      <c r="B8" s="6" t="s">
        <v>20</v>
      </c>
      <c r="C8" s="4"/>
      <c r="D8" s="4"/>
      <c r="E8" s="4"/>
      <c r="F8" s="4"/>
      <c r="G8" s="4"/>
      <c r="H8" s="4"/>
      <c r="I8" s="4"/>
      <c r="J8" s="4"/>
      <c r="K8" s="4"/>
      <c r="L8" s="6">
        <v>0.0</v>
      </c>
      <c r="M8" s="4"/>
      <c r="N8" s="4"/>
      <c r="O8" s="4"/>
      <c r="S8" s="32" t="s">
        <v>41</v>
      </c>
      <c r="AI8" s="32">
        <v>1.0</v>
      </c>
      <c r="AU8" s="32">
        <v>450012.0</v>
      </c>
      <c r="AX8" s="32">
        <v>-450012.0</v>
      </c>
      <c r="BF8" s="32">
        <v>0.0</v>
      </c>
      <c r="BJ8" s="32">
        <v>300.0</v>
      </c>
      <c r="BO8" s="32" t="s">
        <v>42</v>
      </c>
      <c r="BT8" s="31" t="s">
        <v>18</v>
      </c>
      <c r="BW8" s="32">
        <v>-450012.0</v>
      </c>
      <c r="CE8" s="29">
        <v>43320.0</v>
      </c>
      <c r="CI8" s="35" t="s">
        <v>40</v>
      </c>
    </row>
    <row r="9" ht="15.75" customHeight="1">
      <c r="A9" s="4"/>
      <c r="B9" s="34" t="s">
        <v>20</v>
      </c>
      <c r="C9" s="4"/>
      <c r="D9" s="4"/>
      <c r="E9" s="4"/>
      <c r="F9" s="4"/>
      <c r="G9" s="4"/>
      <c r="H9" s="4"/>
      <c r="I9" s="4"/>
      <c r="J9" s="4"/>
      <c r="K9" s="4"/>
      <c r="L9" s="6">
        <v>1092.5</v>
      </c>
      <c r="M9" s="4"/>
      <c r="N9" s="4"/>
      <c r="O9" s="4"/>
      <c r="S9" s="47" t="s">
        <v>37</v>
      </c>
      <c r="AU9" s="32">
        <v>1.0925E7</v>
      </c>
      <c r="AX9" s="32">
        <v>0.0</v>
      </c>
      <c r="BF9" s="32">
        <v>1.0925E7</v>
      </c>
      <c r="BJ9" s="32">
        <v>10000.0</v>
      </c>
      <c r="BO9" s="32" t="s">
        <v>38</v>
      </c>
      <c r="BT9" s="48" t="s">
        <v>39</v>
      </c>
      <c r="BW9" s="32">
        <v>0.0</v>
      </c>
      <c r="CE9" s="49">
        <v>43321.0</v>
      </c>
      <c r="CI9" s="32" t="s">
        <v>40</v>
      </c>
    </row>
    <row r="10" ht="15.75" customHeight="1">
      <c r="A10" s="4"/>
      <c r="B10" s="34" t="s">
        <v>20</v>
      </c>
      <c r="C10" s="4"/>
      <c r="D10" s="4"/>
      <c r="E10" s="4"/>
      <c r="F10" s="4"/>
      <c r="G10" s="4"/>
      <c r="H10" s="4"/>
      <c r="I10" s="4"/>
      <c r="J10" s="4"/>
      <c r="K10" s="4"/>
      <c r="L10" s="6">
        <v>0.0</v>
      </c>
      <c r="M10" s="4"/>
      <c r="N10" s="4"/>
      <c r="O10" s="4"/>
      <c r="S10" s="47" t="s">
        <v>41</v>
      </c>
      <c r="AU10" s="32">
        <v>0.0</v>
      </c>
      <c r="AX10" s="32">
        <v>0.0</v>
      </c>
      <c r="BF10" s="32">
        <v>0.0</v>
      </c>
      <c r="BJ10" s="32">
        <v>100.0</v>
      </c>
      <c r="BO10" s="32" t="s">
        <v>42</v>
      </c>
      <c r="BT10" s="50" t="s">
        <v>18</v>
      </c>
      <c r="BW10" s="32">
        <v>0.0</v>
      </c>
      <c r="CE10" s="49">
        <v>43321.0</v>
      </c>
      <c r="CI10" s="32" t="s">
        <v>40</v>
      </c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0.86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33</v>
      </c>
      <c r="D3" s="5" t="s">
        <v>8</v>
      </c>
      <c r="E3" s="21" t="s">
        <v>57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IFERROR(__xludf.DUMMYFUNCTION("""COMPUTED_VALUE"""),"Date")</f>
        <v>Date</v>
      </c>
      <c r="C5" s="36" t="str">
        <f>IFERROR(__xludf.DUMMYFUNCTION("""COMPUTED_VALUE"""),"Account")</f>
        <v>Account</v>
      </c>
      <c r="D5" s="36" t="str">
        <f>IFERROR(__xludf.DUMMYFUNCTION("""COMPUTED_VALUE"""),"Symbol")</f>
        <v>Symbol</v>
      </c>
      <c r="E5" s="36" t="str">
        <f>IFERROR(__xludf.DUMMYFUNCTION("""COMPUTED_VALUE"""),"Currency")</f>
        <v>Currency</v>
      </c>
      <c r="F5" s="37" t="str">
        <f>IFERROR(__xludf.DUMMYFUNCTION("""COMPUTED_VALUE"""),"Cash Sub-Account")</f>
        <v>Cash Sub-Account</v>
      </c>
      <c r="G5" s="36" t="str">
        <f>IFERROR(__xludf.DUMMYFUNCTION("""COMPUTED_VALUE"""),"DR")</f>
        <v>DR</v>
      </c>
      <c r="H5" s="36" t="str">
        <f>IFERROR(__xludf.DUMMYFUNCTION("""COMPUTED_VALUE"""),"CR")</f>
        <v>CR</v>
      </c>
      <c r="I5" s="36" t="str">
        <f>IFERROR(__xludf.DUMMYFUNCTION("""COMPUTED_VALUE"""),"Modify Date")</f>
        <v>Modify Date</v>
      </c>
      <c r="J5" s="36" t="str">
        <f>IFERROR(__xludf.DUMMYFUNCTION("""COMPUTED_VALUE"""),"Entry Date")</f>
        <v>Entry Date</v>
      </c>
      <c r="K5" s="36" t="str">
        <f>IFERROR(__xludf.DUMMYFUNCTION("""COMPUTED_VALUE"""),"User")</f>
        <v>User</v>
      </c>
      <c r="L5" s="36" t="str">
        <f>IFERROR(__xludf.DUMMYFUNCTION("""COMPUTED_VALUE"""),"Fx Rate")</f>
        <v>Fx Rate</v>
      </c>
      <c r="M5" s="36" t="str">
        <f>IFERROR(__xludf.DUMMYFUNCTION("""COMPUTED_VALUE"""),"FX Conversion Method Operator")</f>
        <v>FX Conversion Method Operator</v>
      </c>
      <c r="N5" s="36" t="str">
        <f>IFERROR(__xludf.DUMMYFUNCTION("""COMPUTED_VALUE"""),"Account Side")</f>
        <v>Account Side</v>
      </c>
      <c r="O5" s="36" t="str">
        <f>IFERROR(__xludf.DUMMYFUNCTION("""COMPUTED_VALUE"""),"TransactionSource")</f>
        <v>TransactionSource</v>
      </c>
      <c r="P5" s="36" t="str">
        <f>IFERROR(__xludf.DUMMYFUNCTION("""COMPUTED_VALUE"""),"Base Currency")</f>
        <v>Base Currency</v>
      </c>
      <c r="Q5" s="36" t="str">
        <f>IFERROR(__xludf.DUMMYFUNCTION("""COMPUTED_VALUE"""),"Description")</f>
        <v>Description</v>
      </c>
      <c r="R5" s="36" t="str">
        <f>IFERROR(__xludf.DUMMYFUNCTION("""COMPUTED_VALUE"""),"DR (Base)")</f>
        <v>DR (Base)</v>
      </c>
      <c r="S5" s="3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43">
        <v>43318.0</v>
      </c>
      <c r="C6" s="41" t="s">
        <v>20</v>
      </c>
      <c r="D6" s="41" t="s">
        <v>18</v>
      </c>
      <c r="E6" s="41" t="s">
        <v>45</v>
      </c>
      <c r="F6" s="41" t="s">
        <v>58</v>
      </c>
      <c r="G6" s="39">
        <v>50020.0</v>
      </c>
      <c r="H6" s="40">
        <v>0.0</v>
      </c>
      <c r="I6" s="4"/>
      <c r="J6" s="4"/>
      <c r="K6" s="4"/>
      <c r="L6" s="4"/>
      <c r="M6" s="4"/>
      <c r="N6" s="41" t="s">
        <v>50</v>
      </c>
      <c r="O6" s="41" t="s">
        <v>59</v>
      </c>
      <c r="Q6" s="41" t="s">
        <v>60</v>
      </c>
      <c r="R6" s="39">
        <v>50020.0</v>
      </c>
      <c r="S6" s="39">
        <v>0.0</v>
      </c>
    </row>
    <row r="7" ht="15.75" customHeight="1">
      <c r="A7" s="4"/>
      <c r="B7" s="43">
        <v>43318.0</v>
      </c>
      <c r="C7" s="41" t="s">
        <v>20</v>
      </c>
      <c r="D7" s="41" t="s">
        <v>18</v>
      </c>
      <c r="E7" s="41" t="s">
        <v>45</v>
      </c>
      <c r="F7" s="41" t="s">
        <v>61</v>
      </c>
      <c r="G7" s="42">
        <v>0.0</v>
      </c>
      <c r="H7" s="39">
        <v>50020.0</v>
      </c>
      <c r="I7" s="4"/>
      <c r="J7" s="4"/>
      <c r="K7" s="4"/>
      <c r="L7" s="4"/>
      <c r="M7" s="4"/>
      <c r="N7" s="41" t="s">
        <v>53</v>
      </c>
      <c r="O7" s="41" t="s">
        <v>59</v>
      </c>
      <c r="Q7" s="41" t="s">
        <v>60</v>
      </c>
      <c r="R7" s="39">
        <v>0.0</v>
      </c>
      <c r="S7" s="39">
        <v>50020.0</v>
      </c>
    </row>
    <row r="8" ht="15.75" customHeight="1">
      <c r="A8" s="4"/>
      <c r="B8" s="43">
        <v>43319.0</v>
      </c>
      <c r="C8" s="41" t="s">
        <v>20</v>
      </c>
      <c r="D8" s="41" t="s">
        <v>18</v>
      </c>
      <c r="E8" s="41" t="s">
        <v>45</v>
      </c>
      <c r="F8" s="41" t="s">
        <v>58</v>
      </c>
      <c r="G8" s="39">
        <v>100020.0</v>
      </c>
      <c r="H8" s="40">
        <v>0.0</v>
      </c>
      <c r="I8" s="4"/>
      <c r="J8" s="4"/>
      <c r="K8" s="4"/>
      <c r="L8" s="4"/>
      <c r="M8" s="4"/>
      <c r="N8" s="41" t="s">
        <v>50</v>
      </c>
      <c r="O8" s="41" t="s">
        <v>59</v>
      </c>
      <c r="Q8" s="41" t="s">
        <v>60</v>
      </c>
      <c r="R8" s="39">
        <v>100020.0</v>
      </c>
      <c r="S8" s="39">
        <v>0.0</v>
      </c>
    </row>
    <row r="9" ht="15.75" customHeight="1">
      <c r="A9" s="4"/>
      <c r="B9" s="43">
        <v>43319.0</v>
      </c>
      <c r="C9" s="41" t="s">
        <v>20</v>
      </c>
      <c r="D9" s="41" t="s">
        <v>18</v>
      </c>
      <c r="E9" s="41" t="s">
        <v>45</v>
      </c>
      <c r="F9" s="41" t="s">
        <v>61</v>
      </c>
      <c r="G9" s="42">
        <v>0.0</v>
      </c>
      <c r="H9" s="39">
        <v>100020.0</v>
      </c>
      <c r="I9" s="4"/>
      <c r="J9" s="4"/>
      <c r="K9" s="4"/>
      <c r="L9" s="4"/>
      <c r="M9" s="4"/>
      <c r="N9" s="41" t="s">
        <v>53</v>
      </c>
      <c r="O9" s="41" t="s">
        <v>59</v>
      </c>
      <c r="Q9" s="41" t="s">
        <v>60</v>
      </c>
      <c r="R9" s="39">
        <v>0.0</v>
      </c>
      <c r="S9" s="39">
        <v>100020.0</v>
      </c>
    </row>
    <row r="10" ht="15.75" customHeight="1">
      <c r="A10" s="4"/>
      <c r="B10" s="43">
        <v>43319.0</v>
      </c>
      <c r="C10" s="41" t="s">
        <v>20</v>
      </c>
      <c r="D10" s="41" t="s">
        <v>18</v>
      </c>
      <c r="E10" s="41" t="s">
        <v>45</v>
      </c>
      <c r="F10" s="41" t="s">
        <v>61</v>
      </c>
      <c r="G10" s="39">
        <v>50020.0</v>
      </c>
      <c r="H10" s="40">
        <v>0.0</v>
      </c>
      <c r="I10" s="4"/>
      <c r="J10" s="4"/>
      <c r="K10" s="4"/>
      <c r="L10" s="4"/>
      <c r="M10" s="4"/>
      <c r="N10" s="41" t="s">
        <v>50</v>
      </c>
      <c r="O10" s="41" t="s">
        <v>59</v>
      </c>
      <c r="Q10" s="41" t="s">
        <v>62</v>
      </c>
      <c r="R10" s="39">
        <v>50020.0</v>
      </c>
      <c r="S10" s="39">
        <v>0.0</v>
      </c>
    </row>
    <row r="11" ht="15.75" customHeight="1">
      <c r="A11" s="4"/>
      <c r="B11" s="43">
        <v>43319.0</v>
      </c>
      <c r="C11" s="41" t="s">
        <v>20</v>
      </c>
      <c r="D11" s="41" t="s">
        <v>18</v>
      </c>
      <c r="E11" s="41" t="s">
        <v>45</v>
      </c>
      <c r="F11" s="41" t="s">
        <v>58</v>
      </c>
      <c r="G11" s="42">
        <v>0.0</v>
      </c>
      <c r="H11" s="39">
        <v>50020.0</v>
      </c>
      <c r="I11" s="4"/>
      <c r="J11" s="4"/>
      <c r="K11" s="4"/>
      <c r="L11" s="4"/>
      <c r="M11" s="4"/>
      <c r="N11" s="41" t="s">
        <v>53</v>
      </c>
      <c r="O11" s="41" t="s">
        <v>59</v>
      </c>
      <c r="Q11" s="41" t="s">
        <v>62</v>
      </c>
      <c r="R11" s="39">
        <v>0.0</v>
      </c>
      <c r="S11" s="39">
        <v>50020.0</v>
      </c>
    </row>
    <row r="12" ht="15.75" customHeight="1">
      <c r="A12" s="4"/>
      <c r="B12" s="43">
        <v>43320.0</v>
      </c>
      <c r="C12" s="41" t="s">
        <v>20</v>
      </c>
      <c r="D12" s="41" t="s">
        <v>39</v>
      </c>
      <c r="E12" s="41" t="s">
        <v>45</v>
      </c>
      <c r="F12" s="41" t="s">
        <v>63</v>
      </c>
      <c r="G12" s="39">
        <v>3.2324988E7</v>
      </c>
      <c r="H12" s="40">
        <v>0.0</v>
      </c>
      <c r="I12" s="4"/>
      <c r="J12" s="4"/>
      <c r="K12" s="4"/>
      <c r="L12" s="4"/>
      <c r="M12" s="4"/>
      <c r="N12" s="41" t="s">
        <v>50</v>
      </c>
      <c r="O12" s="41" t="s">
        <v>59</v>
      </c>
      <c r="Q12" s="41" t="s">
        <v>60</v>
      </c>
      <c r="R12" s="39">
        <v>3.2324988E7</v>
      </c>
      <c r="S12" s="39">
        <v>0.0</v>
      </c>
    </row>
    <row r="13" ht="15.75" customHeight="1">
      <c r="A13" s="4"/>
      <c r="B13" s="43">
        <v>43320.0</v>
      </c>
      <c r="C13" s="41" t="s">
        <v>20</v>
      </c>
      <c r="D13" s="41" t="s">
        <v>39</v>
      </c>
      <c r="E13" s="41" t="s">
        <v>45</v>
      </c>
      <c r="F13" s="41" t="s">
        <v>64</v>
      </c>
      <c r="G13" s="42">
        <v>0.0</v>
      </c>
      <c r="H13" s="39">
        <v>3.2324988E7</v>
      </c>
      <c r="I13" s="4"/>
      <c r="J13" s="4"/>
      <c r="K13" s="4"/>
      <c r="L13" s="4"/>
      <c r="M13" s="4"/>
      <c r="N13" s="41" t="s">
        <v>53</v>
      </c>
      <c r="O13" s="41" t="s">
        <v>59</v>
      </c>
      <c r="Q13" s="41" t="s">
        <v>60</v>
      </c>
      <c r="R13" s="39">
        <v>0.0</v>
      </c>
      <c r="S13" s="39">
        <v>3.2324988E7</v>
      </c>
    </row>
    <row r="14" ht="15.75" customHeight="1">
      <c r="A14" s="4"/>
      <c r="B14" s="43">
        <v>43320.0</v>
      </c>
      <c r="C14" s="41" t="s">
        <v>20</v>
      </c>
      <c r="D14" s="41" t="s">
        <v>18</v>
      </c>
      <c r="E14" s="41" t="s">
        <v>45</v>
      </c>
      <c r="F14" s="41" t="s">
        <v>61</v>
      </c>
      <c r="G14" s="39">
        <v>19992.0</v>
      </c>
      <c r="H14" s="40">
        <v>0.0</v>
      </c>
      <c r="I14" s="4"/>
      <c r="J14" s="4"/>
      <c r="K14" s="4"/>
      <c r="L14" s="4"/>
      <c r="M14" s="4"/>
      <c r="N14" s="41" t="s">
        <v>50</v>
      </c>
      <c r="O14" s="41" t="s">
        <v>59</v>
      </c>
      <c r="Q14" s="41" t="s">
        <v>60</v>
      </c>
      <c r="R14" s="39">
        <v>19992.0</v>
      </c>
      <c r="S14" s="39">
        <v>0.0</v>
      </c>
    </row>
    <row r="15" ht="15.75" customHeight="1">
      <c r="A15" s="4"/>
      <c r="B15" s="43">
        <v>43320.0</v>
      </c>
      <c r="C15" s="41" t="s">
        <v>20</v>
      </c>
      <c r="D15" s="41" t="s">
        <v>18</v>
      </c>
      <c r="E15" s="41" t="s">
        <v>45</v>
      </c>
      <c r="F15" s="41" t="s">
        <v>58</v>
      </c>
      <c r="G15" s="42">
        <v>0.0</v>
      </c>
      <c r="H15" s="39">
        <v>19992.0</v>
      </c>
      <c r="I15" s="4"/>
      <c r="J15" s="4"/>
      <c r="K15" s="4"/>
      <c r="L15" s="4"/>
      <c r="M15" s="4"/>
      <c r="N15" s="41" t="s">
        <v>53</v>
      </c>
      <c r="O15" s="41" t="s">
        <v>59</v>
      </c>
      <c r="Q15" s="41" t="s">
        <v>60</v>
      </c>
      <c r="R15" s="39">
        <v>0.0</v>
      </c>
      <c r="S15" s="39">
        <v>19992.0</v>
      </c>
    </row>
    <row r="16" ht="15.75" customHeight="1">
      <c r="A16" s="4"/>
      <c r="B16" s="43">
        <v>43320.0</v>
      </c>
      <c r="C16" s="41" t="s">
        <v>20</v>
      </c>
      <c r="D16" s="41" t="s">
        <v>18</v>
      </c>
      <c r="E16" s="41" t="s">
        <v>45</v>
      </c>
      <c r="F16" s="41" t="s">
        <v>61</v>
      </c>
      <c r="G16" s="39">
        <v>100020.0</v>
      </c>
      <c r="H16" s="40">
        <v>0.0</v>
      </c>
      <c r="I16" s="4"/>
      <c r="J16" s="4"/>
      <c r="K16" s="4"/>
      <c r="L16" s="4"/>
      <c r="M16" s="4"/>
      <c r="N16" s="41" t="s">
        <v>50</v>
      </c>
      <c r="O16" s="41" t="s">
        <v>59</v>
      </c>
      <c r="Q16" s="41" t="s">
        <v>62</v>
      </c>
      <c r="R16" s="39">
        <v>100020.0</v>
      </c>
      <c r="S16" s="39">
        <v>0.0</v>
      </c>
    </row>
    <row r="17" ht="15.75" customHeight="1">
      <c r="A17" s="4"/>
      <c r="B17" s="43">
        <v>43320.0</v>
      </c>
      <c r="C17" s="41" t="s">
        <v>20</v>
      </c>
      <c r="D17" s="41" t="s">
        <v>18</v>
      </c>
      <c r="E17" s="41" t="s">
        <v>45</v>
      </c>
      <c r="F17" s="41" t="s">
        <v>58</v>
      </c>
      <c r="G17" s="42">
        <v>0.0</v>
      </c>
      <c r="H17" s="39">
        <v>100020.0</v>
      </c>
      <c r="I17" s="4"/>
      <c r="J17" s="4"/>
      <c r="K17" s="4"/>
      <c r="L17" s="4"/>
      <c r="M17" s="4"/>
      <c r="N17" s="41" t="s">
        <v>53</v>
      </c>
      <c r="O17" s="41" t="s">
        <v>59</v>
      </c>
      <c r="Q17" s="41" t="s">
        <v>62</v>
      </c>
      <c r="R17" s="39">
        <v>0.0</v>
      </c>
      <c r="S17" s="39">
        <v>100020.0</v>
      </c>
    </row>
    <row r="18" ht="15.75" customHeight="1">
      <c r="A18" s="4"/>
      <c r="B18" s="43">
        <v>43321.0</v>
      </c>
      <c r="C18" s="41" t="s">
        <v>20</v>
      </c>
      <c r="D18" s="41" t="s">
        <v>39</v>
      </c>
      <c r="E18" s="41" t="s">
        <v>45</v>
      </c>
      <c r="F18" s="41" t="s">
        <v>63</v>
      </c>
      <c r="G18" s="39">
        <v>4.3249988E7</v>
      </c>
      <c r="H18" s="40">
        <v>0.0</v>
      </c>
      <c r="I18" s="4"/>
      <c r="J18" s="4"/>
      <c r="K18" s="4"/>
      <c r="L18" s="4"/>
      <c r="M18" s="4"/>
      <c r="N18" s="41" t="s">
        <v>50</v>
      </c>
      <c r="O18" s="41" t="s">
        <v>59</v>
      </c>
      <c r="Q18" s="41" t="s">
        <v>60</v>
      </c>
      <c r="R18" s="39">
        <v>4.3249988E7</v>
      </c>
      <c r="S18" s="39">
        <v>0.0</v>
      </c>
    </row>
    <row r="19" ht="15.75" customHeight="1">
      <c r="A19" s="4"/>
      <c r="B19" s="43">
        <v>43321.0</v>
      </c>
      <c r="C19" s="41" t="s">
        <v>20</v>
      </c>
      <c r="D19" s="41" t="s">
        <v>39</v>
      </c>
      <c r="E19" s="41" t="s">
        <v>45</v>
      </c>
      <c r="F19" s="41" t="s">
        <v>64</v>
      </c>
      <c r="G19" s="42">
        <v>0.0</v>
      </c>
      <c r="H19" s="39">
        <v>4.3249988E7</v>
      </c>
      <c r="I19" s="4"/>
      <c r="J19" s="4"/>
      <c r="K19" s="4"/>
      <c r="L19" s="4"/>
      <c r="M19" s="4"/>
      <c r="N19" s="41" t="s">
        <v>53</v>
      </c>
      <c r="O19" s="41" t="s">
        <v>59</v>
      </c>
      <c r="Q19" s="41" t="s">
        <v>60</v>
      </c>
      <c r="R19" s="39">
        <v>0.0</v>
      </c>
      <c r="S19" s="39">
        <v>4.3249988E7</v>
      </c>
    </row>
    <row r="20" ht="15.75" customHeight="1">
      <c r="A20" s="4"/>
      <c r="B20" s="43">
        <v>43321.0</v>
      </c>
      <c r="C20" s="41" t="s">
        <v>20</v>
      </c>
      <c r="D20" s="41" t="s">
        <v>39</v>
      </c>
      <c r="E20" s="41" t="s">
        <v>45</v>
      </c>
      <c r="F20" s="41" t="s">
        <v>64</v>
      </c>
      <c r="G20" s="39">
        <v>3.2324988E7</v>
      </c>
      <c r="H20" s="40">
        <v>0.0</v>
      </c>
      <c r="I20" s="4"/>
      <c r="J20" s="4"/>
      <c r="K20" s="4"/>
      <c r="L20" s="4"/>
      <c r="M20" s="4"/>
      <c r="N20" s="41" t="s">
        <v>50</v>
      </c>
      <c r="O20" s="41" t="s">
        <v>59</v>
      </c>
      <c r="Q20" s="41" t="s">
        <v>62</v>
      </c>
      <c r="R20" s="39">
        <v>3.2324988E7</v>
      </c>
      <c r="S20" s="39">
        <v>0.0</v>
      </c>
    </row>
    <row r="21" ht="15.75" customHeight="1">
      <c r="A21" s="4"/>
      <c r="B21" s="43">
        <v>43321.0</v>
      </c>
      <c r="C21" s="41" t="s">
        <v>20</v>
      </c>
      <c r="D21" s="41" t="s">
        <v>39</v>
      </c>
      <c r="E21" s="41" t="s">
        <v>45</v>
      </c>
      <c r="F21" s="41" t="s">
        <v>63</v>
      </c>
      <c r="G21" s="42">
        <v>0.0</v>
      </c>
      <c r="H21" s="39">
        <v>3.2324988E7</v>
      </c>
      <c r="I21" s="4"/>
      <c r="J21" s="4"/>
      <c r="K21" s="4"/>
      <c r="L21" s="4"/>
      <c r="M21" s="4"/>
      <c r="N21" s="41" t="s">
        <v>53</v>
      </c>
      <c r="O21" s="41" t="s">
        <v>59</v>
      </c>
      <c r="Q21" s="41" t="s">
        <v>62</v>
      </c>
      <c r="R21" s="39">
        <v>0.0</v>
      </c>
      <c r="S21" s="39">
        <v>3.2324988E7</v>
      </c>
    </row>
    <row r="22" ht="15.75" customHeight="1">
      <c r="A22" s="4"/>
      <c r="B22" s="43">
        <v>43321.0</v>
      </c>
      <c r="C22" s="41" t="s">
        <v>20</v>
      </c>
      <c r="D22" s="41" t="s">
        <v>18</v>
      </c>
      <c r="E22" s="41" t="s">
        <v>45</v>
      </c>
      <c r="F22" s="41" t="s">
        <v>66</v>
      </c>
      <c r="G22" s="39">
        <v>150004.0</v>
      </c>
      <c r="H22" s="40">
        <v>0.0</v>
      </c>
      <c r="I22" s="4"/>
      <c r="J22" s="4"/>
      <c r="K22" s="4"/>
      <c r="L22" s="4"/>
      <c r="M22" s="4"/>
      <c r="N22" s="41" t="s">
        <v>50</v>
      </c>
      <c r="O22" s="41" t="s">
        <v>59</v>
      </c>
      <c r="Q22" s="41" t="s">
        <v>67</v>
      </c>
      <c r="R22" s="39">
        <v>150004.0</v>
      </c>
      <c r="S22" s="39">
        <v>0.0</v>
      </c>
    </row>
    <row r="23" ht="15.75" customHeight="1">
      <c r="A23" s="4"/>
      <c r="B23" s="43">
        <v>43321.0</v>
      </c>
      <c r="C23" s="41" t="s">
        <v>20</v>
      </c>
      <c r="D23" s="41" t="s">
        <v>18</v>
      </c>
      <c r="E23" s="41" t="s">
        <v>45</v>
      </c>
      <c r="F23" s="41" t="s">
        <v>52</v>
      </c>
      <c r="G23" s="42">
        <v>0.0</v>
      </c>
      <c r="H23" s="39">
        <v>150004.0</v>
      </c>
      <c r="I23" s="4"/>
      <c r="J23" s="4"/>
      <c r="K23" s="4"/>
      <c r="L23" s="4"/>
      <c r="M23" s="4"/>
      <c r="N23" s="41" t="s">
        <v>53</v>
      </c>
      <c r="O23" s="41" t="s">
        <v>59</v>
      </c>
      <c r="Q23" s="41" t="s">
        <v>67</v>
      </c>
      <c r="R23" s="39">
        <v>0.0</v>
      </c>
      <c r="S23" s="39">
        <v>150004.0</v>
      </c>
    </row>
    <row r="24" ht="15.75" customHeight="1">
      <c r="A24" s="4"/>
      <c r="B24" s="43">
        <v>43321.0</v>
      </c>
      <c r="C24" s="41" t="s">
        <v>20</v>
      </c>
      <c r="D24" s="41" t="s">
        <v>18</v>
      </c>
      <c r="E24" s="41" t="s">
        <v>45</v>
      </c>
      <c r="F24" s="41" t="s">
        <v>61</v>
      </c>
      <c r="G24" s="39">
        <v>19996.0</v>
      </c>
      <c r="H24" s="40">
        <v>0.0</v>
      </c>
      <c r="I24" s="4"/>
      <c r="J24" s="4"/>
      <c r="K24" s="4"/>
      <c r="L24" s="4"/>
      <c r="M24" s="4"/>
      <c r="N24" s="41" t="s">
        <v>50</v>
      </c>
      <c r="O24" s="41" t="s">
        <v>59</v>
      </c>
      <c r="Q24" s="41" t="s">
        <v>60</v>
      </c>
      <c r="R24" s="39">
        <v>19996.0</v>
      </c>
      <c r="S24" s="39">
        <v>0.0</v>
      </c>
    </row>
    <row r="25" ht="15.75" customHeight="1">
      <c r="A25" s="4"/>
      <c r="B25" s="43">
        <v>43321.0</v>
      </c>
      <c r="C25" s="41" t="s">
        <v>20</v>
      </c>
      <c r="D25" s="41" t="s">
        <v>18</v>
      </c>
      <c r="E25" s="41" t="s">
        <v>45</v>
      </c>
      <c r="F25" s="41" t="s">
        <v>58</v>
      </c>
      <c r="G25" s="42">
        <v>0.0</v>
      </c>
      <c r="H25" s="39">
        <v>19996.0</v>
      </c>
      <c r="I25" s="4"/>
      <c r="J25" s="4"/>
      <c r="K25" s="4"/>
      <c r="L25" s="4"/>
      <c r="M25" s="4"/>
      <c r="N25" s="41" t="s">
        <v>53</v>
      </c>
      <c r="O25" s="41" t="s">
        <v>59</v>
      </c>
      <c r="Q25" s="41" t="s">
        <v>60</v>
      </c>
      <c r="R25" s="39">
        <v>0.0</v>
      </c>
      <c r="S25" s="39">
        <v>19996.0</v>
      </c>
    </row>
    <row r="26" ht="15.75" customHeight="1">
      <c r="A26" s="4"/>
      <c r="B26" s="43">
        <v>43321.0</v>
      </c>
      <c r="C26" s="41" t="s">
        <v>20</v>
      </c>
      <c r="D26" s="41" t="s">
        <v>18</v>
      </c>
      <c r="E26" s="41" t="s">
        <v>45</v>
      </c>
      <c r="F26" s="41" t="s">
        <v>58</v>
      </c>
      <c r="G26" s="39">
        <v>19992.0</v>
      </c>
      <c r="H26" s="40">
        <v>0.0</v>
      </c>
      <c r="I26" s="4"/>
      <c r="J26" s="4"/>
      <c r="K26" s="4"/>
      <c r="L26" s="4"/>
      <c r="M26" s="4"/>
      <c r="N26" s="41" t="s">
        <v>50</v>
      </c>
      <c r="O26" s="41" t="s">
        <v>59</v>
      </c>
      <c r="Q26" s="41" t="s">
        <v>62</v>
      </c>
      <c r="R26" s="39">
        <v>19992.0</v>
      </c>
      <c r="S26" s="39">
        <v>0.0</v>
      </c>
    </row>
    <row r="27" ht="15.75" customHeight="1">
      <c r="B27" s="43">
        <v>43321.0</v>
      </c>
      <c r="C27" s="41" t="s">
        <v>20</v>
      </c>
      <c r="D27" s="41" t="s">
        <v>18</v>
      </c>
      <c r="E27" s="41" t="s">
        <v>45</v>
      </c>
      <c r="F27" s="41" t="s">
        <v>61</v>
      </c>
      <c r="G27" s="42">
        <v>0.0</v>
      </c>
      <c r="H27" s="39">
        <v>19992.0</v>
      </c>
      <c r="N27" s="41" t="s">
        <v>53</v>
      </c>
      <c r="O27" s="41" t="s">
        <v>59</v>
      </c>
      <c r="Q27" s="41" t="s">
        <v>62</v>
      </c>
      <c r="R27" s="39">
        <v>0.0</v>
      </c>
      <c r="S27" s="39">
        <v>19992.0</v>
      </c>
    </row>
    <row r="28" ht="15.75" customHeight="1">
      <c r="B28" s="45">
        <v>43322.0</v>
      </c>
      <c r="C28" s="41" t="s">
        <v>20</v>
      </c>
      <c r="D28" s="41" t="s">
        <v>39</v>
      </c>
      <c r="E28" s="41" t="s">
        <v>45</v>
      </c>
      <c r="F28" s="41" t="s">
        <v>63</v>
      </c>
      <c r="G28" s="39">
        <v>4.3249988E7</v>
      </c>
      <c r="H28" s="40">
        <v>0.0</v>
      </c>
      <c r="N28" s="41" t="s">
        <v>50</v>
      </c>
      <c r="O28" s="41" t="s">
        <v>59</v>
      </c>
      <c r="Q28" s="41" t="s">
        <v>60</v>
      </c>
      <c r="R28" s="39">
        <v>4.3249988E7</v>
      </c>
      <c r="S28" s="39">
        <v>0.0</v>
      </c>
    </row>
    <row r="29" ht="15.75" customHeight="1">
      <c r="B29" s="45">
        <v>43322.0</v>
      </c>
      <c r="C29" s="41" t="s">
        <v>20</v>
      </c>
      <c r="D29" s="41" t="s">
        <v>39</v>
      </c>
      <c r="E29" s="41" t="s">
        <v>45</v>
      </c>
      <c r="F29" s="41" t="s">
        <v>64</v>
      </c>
      <c r="G29" s="42">
        <v>0.0</v>
      </c>
      <c r="H29" s="39">
        <v>4.3249988E7</v>
      </c>
      <c r="N29" s="41" t="s">
        <v>53</v>
      </c>
      <c r="O29" s="41" t="s">
        <v>59</v>
      </c>
      <c r="Q29" s="41" t="s">
        <v>60</v>
      </c>
      <c r="R29" s="39">
        <v>0.0</v>
      </c>
      <c r="S29" s="39">
        <v>4.3249988E7</v>
      </c>
    </row>
    <row r="30" ht="15.75" customHeight="1">
      <c r="B30" s="45">
        <v>43322.0</v>
      </c>
      <c r="C30" s="41" t="s">
        <v>20</v>
      </c>
      <c r="D30" s="41" t="s">
        <v>39</v>
      </c>
      <c r="E30" s="41" t="s">
        <v>45</v>
      </c>
      <c r="F30" s="41" t="s">
        <v>64</v>
      </c>
      <c r="G30" s="39">
        <v>4.3249988E7</v>
      </c>
      <c r="H30" s="40">
        <v>0.0</v>
      </c>
      <c r="N30" s="41" t="s">
        <v>50</v>
      </c>
      <c r="O30" s="41" t="s">
        <v>59</v>
      </c>
      <c r="Q30" s="41" t="s">
        <v>62</v>
      </c>
      <c r="R30" s="39">
        <v>4.3249988E7</v>
      </c>
      <c r="S30" s="39">
        <v>0.0</v>
      </c>
    </row>
    <row r="31" ht="15.75" customHeight="1">
      <c r="B31" s="45">
        <v>43322.0</v>
      </c>
      <c r="C31" s="41" t="s">
        <v>20</v>
      </c>
      <c r="D31" s="41" t="s">
        <v>39</v>
      </c>
      <c r="E31" s="41" t="s">
        <v>45</v>
      </c>
      <c r="F31" s="41" t="s">
        <v>63</v>
      </c>
      <c r="G31" s="42">
        <v>0.0</v>
      </c>
      <c r="H31" s="39">
        <v>4.3249988E7</v>
      </c>
      <c r="N31" s="41" t="s">
        <v>53</v>
      </c>
      <c r="O31" s="41" t="s">
        <v>59</v>
      </c>
      <c r="Q31" s="41" t="s">
        <v>62</v>
      </c>
      <c r="R31" s="39">
        <v>0.0</v>
      </c>
      <c r="S31" s="39">
        <v>4.3249988E7</v>
      </c>
    </row>
    <row r="32" ht="15.75" customHeight="1">
      <c r="B32" s="45">
        <v>43322.0</v>
      </c>
      <c r="C32" s="41" t="s">
        <v>20</v>
      </c>
      <c r="D32" s="41" t="s">
        <v>18</v>
      </c>
      <c r="E32" s="41" t="s">
        <v>45</v>
      </c>
      <c r="F32" s="41" t="s">
        <v>61</v>
      </c>
      <c r="G32" s="39">
        <v>29996.0</v>
      </c>
      <c r="H32" s="40">
        <v>0.0</v>
      </c>
      <c r="N32" s="41" t="s">
        <v>50</v>
      </c>
      <c r="O32" s="41" t="s">
        <v>59</v>
      </c>
      <c r="Q32" s="41" t="s">
        <v>60</v>
      </c>
      <c r="R32" s="39">
        <v>29996.0</v>
      </c>
      <c r="S32" s="39">
        <v>0.0</v>
      </c>
    </row>
    <row r="33" ht="15.75" customHeight="1">
      <c r="B33" s="45">
        <v>43322.0</v>
      </c>
      <c r="C33" s="41" t="s">
        <v>20</v>
      </c>
      <c r="D33" s="41" t="s">
        <v>18</v>
      </c>
      <c r="E33" s="41" t="s">
        <v>45</v>
      </c>
      <c r="F33" s="41" t="s">
        <v>58</v>
      </c>
      <c r="G33" s="42">
        <v>0.0</v>
      </c>
      <c r="H33" s="39">
        <v>29996.0</v>
      </c>
      <c r="N33" s="41" t="s">
        <v>53</v>
      </c>
      <c r="O33" s="41" t="s">
        <v>59</v>
      </c>
      <c r="Q33" s="41" t="s">
        <v>60</v>
      </c>
      <c r="R33" s="39">
        <v>0.0</v>
      </c>
      <c r="S33" s="39">
        <v>29996.0</v>
      </c>
    </row>
    <row r="34" ht="15.75" customHeight="1">
      <c r="B34" s="45">
        <v>43322.0</v>
      </c>
      <c r="C34" s="41" t="s">
        <v>20</v>
      </c>
      <c r="D34" s="41" t="s">
        <v>18</v>
      </c>
      <c r="E34" s="41" t="s">
        <v>45</v>
      </c>
      <c r="F34" s="41" t="s">
        <v>58</v>
      </c>
      <c r="G34" s="39">
        <v>19996.0</v>
      </c>
      <c r="H34" s="40">
        <v>0.0</v>
      </c>
      <c r="N34" s="41" t="s">
        <v>50</v>
      </c>
      <c r="O34" s="41" t="s">
        <v>59</v>
      </c>
      <c r="Q34" s="41" t="s">
        <v>62</v>
      </c>
      <c r="R34" s="39">
        <v>19996.0</v>
      </c>
      <c r="S34" s="39">
        <v>0.0</v>
      </c>
    </row>
    <row r="35" ht="15.75" customHeight="1">
      <c r="B35" s="45">
        <v>43322.0</v>
      </c>
      <c r="C35" s="41" t="s">
        <v>20</v>
      </c>
      <c r="D35" s="41" t="s">
        <v>18</v>
      </c>
      <c r="E35" s="41" t="s">
        <v>45</v>
      </c>
      <c r="F35" s="41" t="s">
        <v>61</v>
      </c>
      <c r="G35" s="42">
        <v>0.0</v>
      </c>
      <c r="H35" s="39">
        <v>19996.0</v>
      </c>
      <c r="N35" s="41" t="s">
        <v>53</v>
      </c>
      <c r="O35" s="41" t="s">
        <v>59</v>
      </c>
      <c r="Q35" s="41" t="s">
        <v>62</v>
      </c>
      <c r="R35" s="39">
        <v>0.0</v>
      </c>
      <c r="S35" s="39">
        <v>19996.0</v>
      </c>
    </row>
    <row r="36" ht="15.75" customHeight="1">
      <c r="B36" s="45">
        <v>43323.0</v>
      </c>
      <c r="C36" s="41" t="s">
        <v>20</v>
      </c>
      <c r="D36" s="41" t="s">
        <v>39</v>
      </c>
      <c r="E36" s="41" t="s">
        <v>45</v>
      </c>
      <c r="F36" s="41" t="s">
        <v>63</v>
      </c>
      <c r="G36" s="39">
        <v>4.3249988E7</v>
      </c>
      <c r="H36" s="40">
        <v>0.0</v>
      </c>
      <c r="N36" s="41" t="s">
        <v>50</v>
      </c>
      <c r="O36" s="41" t="s">
        <v>59</v>
      </c>
      <c r="Q36" s="41" t="s">
        <v>60</v>
      </c>
      <c r="R36" s="39">
        <v>4.3249988E7</v>
      </c>
      <c r="S36" s="39">
        <v>0.0</v>
      </c>
    </row>
    <row r="37" ht="15.75" customHeight="1">
      <c r="B37" s="45">
        <v>43323.0</v>
      </c>
      <c r="C37" s="41" t="s">
        <v>20</v>
      </c>
      <c r="D37" s="41" t="s">
        <v>39</v>
      </c>
      <c r="E37" s="41" t="s">
        <v>45</v>
      </c>
      <c r="F37" s="41" t="s">
        <v>64</v>
      </c>
      <c r="G37" s="42">
        <v>0.0</v>
      </c>
      <c r="H37" s="39">
        <v>4.3249988E7</v>
      </c>
      <c r="N37" s="41" t="s">
        <v>53</v>
      </c>
      <c r="O37" s="41" t="s">
        <v>59</v>
      </c>
      <c r="Q37" s="41" t="s">
        <v>60</v>
      </c>
      <c r="R37" s="39">
        <v>0.0</v>
      </c>
      <c r="S37" s="39">
        <v>4.3249988E7</v>
      </c>
    </row>
    <row r="38" ht="15.75" customHeight="1">
      <c r="B38" s="45">
        <v>43323.0</v>
      </c>
      <c r="C38" s="41" t="s">
        <v>20</v>
      </c>
      <c r="D38" s="41" t="s">
        <v>39</v>
      </c>
      <c r="E38" s="41" t="s">
        <v>45</v>
      </c>
      <c r="F38" s="41" t="s">
        <v>64</v>
      </c>
      <c r="G38" s="39">
        <v>4.3249988E7</v>
      </c>
      <c r="H38" s="40">
        <v>0.0</v>
      </c>
      <c r="N38" s="41" t="s">
        <v>50</v>
      </c>
      <c r="O38" s="41" t="s">
        <v>59</v>
      </c>
      <c r="Q38" s="41" t="s">
        <v>62</v>
      </c>
      <c r="R38" s="39">
        <v>4.3249988E7</v>
      </c>
      <c r="S38" s="39">
        <v>0.0</v>
      </c>
    </row>
    <row r="39" ht="15.75" customHeight="1">
      <c r="B39" s="45">
        <v>43323.0</v>
      </c>
      <c r="C39" s="41" t="s">
        <v>20</v>
      </c>
      <c r="D39" s="41" t="s">
        <v>39</v>
      </c>
      <c r="E39" s="41" t="s">
        <v>45</v>
      </c>
      <c r="F39" s="41" t="s">
        <v>63</v>
      </c>
      <c r="G39" s="42">
        <v>0.0</v>
      </c>
      <c r="H39" s="39">
        <v>4.3249988E7</v>
      </c>
      <c r="N39" s="41" t="s">
        <v>53</v>
      </c>
      <c r="O39" s="41" t="s">
        <v>59</v>
      </c>
      <c r="Q39" s="41" t="s">
        <v>62</v>
      </c>
      <c r="R39" s="39">
        <v>0.0</v>
      </c>
      <c r="S39" s="39">
        <v>4.3249988E7</v>
      </c>
    </row>
    <row r="40" ht="15.75" customHeight="1">
      <c r="B40" s="45">
        <v>43323.0</v>
      </c>
      <c r="C40" s="41" t="s">
        <v>20</v>
      </c>
      <c r="D40" s="41" t="s">
        <v>18</v>
      </c>
      <c r="E40" s="41" t="s">
        <v>45</v>
      </c>
      <c r="F40" s="41" t="s">
        <v>61</v>
      </c>
      <c r="G40" s="39">
        <v>29996.0</v>
      </c>
      <c r="H40" s="40">
        <v>0.0</v>
      </c>
      <c r="N40" s="41" t="s">
        <v>50</v>
      </c>
      <c r="O40" s="41" t="s">
        <v>59</v>
      </c>
      <c r="Q40" s="41" t="s">
        <v>60</v>
      </c>
      <c r="R40" s="39">
        <v>29996.0</v>
      </c>
      <c r="S40" s="39">
        <v>0.0</v>
      </c>
    </row>
    <row r="41" ht="15.75" customHeight="1">
      <c r="B41" s="45">
        <v>43323.0</v>
      </c>
      <c r="C41" s="41" t="s">
        <v>20</v>
      </c>
      <c r="D41" s="41" t="s">
        <v>18</v>
      </c>
      <c r="E41" s="41" t="s">
        <v>45</v>
      </c>
      <c r="F41" s="41" t="s">
        <v>58</v>
      </c>
      <c r="G41" s="42">
        <v>0.0</v>
      </c>
      <c r="H41" s="39">
        <v>29996.0</v>
      </c>
      <c r="N41" s="41" t="s">
        <v>53</v>
      </c>
      <c r="O41" s="41" t="s">
        <v>59</v>
      </c>
      <c r="Q41" s="41" t="s">
        <v>60</v>
      </c>
      <c r="R41" s="39">
        <v>0.0</v>
      </c>
      <c r="S41" s="39">
        <v>29996.0</v>
      </c>
    </row>
    <row r="42" ht="15.75" customHeight="1">
      <c r="B42" s="45">
        <v>43323.0</v>
      </c>
      <c r="C42" s="41" t="s">
        <v>20</v>
      </c>
      <c r="D42" s="41" t="s">
        <v>18</v>
      </c>
      <c r="E42" s="41" t="s">
        <v>45</v>
      </c>
      <c r="F42" s="41" t="s">
        <v>58</v>
      </c>
      <c r="G42" s="39">
        <v>29996.0</v>
      </c>
      <c r="H42" s="40">
        <v>0.0</v>
      </c>
      <c r="N42" s="41" t="s">
        <v>50</v>
      </c>
      <c r="O42" s="41" t="s">
        <v>59</v>
      </c>
      <c r="Q42" s="41" t="s">
        <v>62</v>
      </c>
      <c r="R42" s="39">
        <v>29996.0</v>
      </c>
      <c r="S42" s="39">
        <v>0.0</v>
      </c>
    </row>
    <row r="43" ht="15.75" customHeight="1">
      <c r="B43" s="45">
        <v>43323.0</v>
      </c>
      <c r="C43" s="41" t="s">
        <v>20</v>
      </c>
      <c r="D43" s="41" t="s">
        <v>18</v>
      </c>
      <c r="E43" s="41" t="s">
        <v>45</v>
      </c>
      <c r="F43" s="41" t="s">
        <v>61</v>
      </c>
      <c r="G43" s="42">
        <v>0.0</v>
      </c>
      <c r="H43" s="39">
        <v>29996.0</v>
      </c>
      <c r="N43" s="41" t="s">
        <v>53</v>
      </c>
      <c r="O43" s="41" t="s">
        <v>59</v>
      </c>
      <c r="Q43" s="41" t="s">
        <v>62</v>
      </c>
      <c r="R43" s="39">
        <v>0.0</v>
      </c>
      <c r="S43" s="39">
        <v>29996.0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27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IFERROR(__xludf.DUMMYFUNCTION("""COMPUTED_VALUE"""),"Original Side")</f>
        <v>Original Side</v>
      </c>
      <c r="D5" s="26" t="str">
        <f>IFERROR(__xludf.DUMMYFUNCTION("""COMPUTED_VALUE"""),"Symbol")</f>
        <v>Symbol</v>
      </c>
      <c r="E5" s="26" t="str">
        <f>IFERROR(__xludf.DUMMYFUNCTION("""COMPUTED_VALUE"""),"Settlement Qty")</f>
        <v>Settlement Qty</v>
      </c>
      <c r="F5" s="27" t="str">
        <f>IFERROR(__xludf.DUMMYFUNCTION("""COMPUTED_VALUE"""),"Quantity")</f>
        <v>Quantity</v>
      </c>
      <c r="G5" s="26" t="str">
        <f>IFERROR(__xludf.DUMMYFUNCTION("""COMPUTED_VALUE"""),"TotalCommission&amp;Fees")</f>
        <v>TotalCommission&amp;Fees</v>
      </c>
      <c r="H5" s="26" t="str">
        <f>IFERROR(__xludf.DUMMYFUNCTION("""COMPUTED_VALUE"""),"Net Notional")</f>
        <v>Net Notional</v>
      </c>
      <c r="I5" s="26" t="str">
        <f>IFERROR(__xludf.DUMMYFUNCTION("""COMPUTED_VALUE"""),"Average Price")</f>
        <v>Average Price</v>
      </c>
      <c r="J5" s="26" t="str">
        <f>IFERROR(__xludf.DUMMYFUNCTION("""COMPUTED_VALUE"""),"UnderlyingName")</f>
        <v>UnderlyingName</v>
      </c>
      <c r="K5" s="26" t="str">
        <f>IFERROR(__xludf.DUMMYFUNCTION("""COMPUTED_VALUE"""),"UnitCost")</f>
        <v>UnitCost</v>
      </c>
      <c r="L5" s="26" t="str">
        <f>IFERROR(__xludf.DUMMYFUNCTION("""COMPUTED_VALUE"""),"PositionTag")</f>
        <v>PositionTag</v>
      </c>
      <c r="M5" s="26" t="str">
        <f>IFERROR(__xludf.DUMMYFUNCTION("""COMPUTED_VALUE"""),"Strategy")</f>
        <v>Strategy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4"/>
      <c r="D6" s="6"/>
      <c r="E6" s="6">
        <v>50.0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22</v>
      </c>
      <c r="D3" s="5" t="s">
        <v>8</v>
      </c>
      <c r="E3" s="21" t="s">
        <v>68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IFERROR(__xludf.DUMMYFUNCTION("""COMPUTED_VALUE"""),"AssetName")</f>
        <v>AssetName</v>
      </c>
      <c r="E5" s="26" t="str">
        <f>IFERROR(__xludf.DUMMYFUNCTION("""COMPUTED_VALUE"""),"AUECID")</f>
        <v>AUECID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IFERROR(__xludf.DUMMYFUNCTION("""COMPUTED_VALUE"""),"Symbol")</f>
        <v>Symbol</v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4"/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29">
        <v>43322.0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Expire!$4:$4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29</v>
      </c>
      <c r="D3" s="5" t="s">
        <v>8</v>
      </c>
      <c r="E3" s="21" t="s">
        <v>32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1"/>
      <c r="B6" s="52" t="s">
        <v>20</v>
      </c>
      <c r="C6" s="53"/>
      <c r="D6" s="54"/>
      <c r="E6" s="53"/>
      <c r="F6" s="53"/>
      <c r="G6" s="53"/>
      <c r="H6" s="53"/>
      <c r="I6" s="53"/>
      <c r="J6" s="53"/>
      <c r="K6" s="53"/>
      <c r="L6" s="55">
        <v>15.0</v>
      </c>
      <c r="M6" s="53"/>
      <c r="N6" s="53"/>
      <c r="O6" s="53"/>
      <c r="P6" s="53"/>
      <c r="Q6" s="53"/>
      <c r="R6" s="53"/>
      <c r="S6" s="53" t="s">
        <v>35</v>
      </c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56">
        <v>750020.0</v>
      </c>
      <c r="AV6" s="47"/>
      <c r="AW6" s="47"/>
      <c r="AX6" s="56">
        <v>0.0</v>
      </c>
      <c r="AY6" s="47"/>
      <c r="AZ6" s="47"/>
      <c r="BA6" s="47"/>
      <c r="BB6" s="47"/>
      <c r="BC6" s="47"/>
      <c r="BD6" s="47"/>
      <c r="BE6" s="47"/>
      <c r="BF6" s="56">
        <v>750000.0</v>
      </c>
      <c r="BG6" s="47"/>
      <c r="BH6" s="47"/>
      <c r="BI6" s="47"/>
      <c r="BJ6" s="56">
        <v>500.0</v>
      </c>
      <c r="BK6" s="47"/>
      <c r="BL6" s="47"/>
      <c r="BM6" s="47"/>
      <c r="BN6" s="47"/>
      <c r="BO6" s="47" t="s">
        <v>19</v>
      </c>
      <c r="BP6" s="47"/>
      <c r="BQ6" s="47"/>
      <c r="BR6" s="47"/>
      <c r="BS6" s="47"/>
      <c r="BT6" s="31" t="s">
        <v>18</v>
      </c>
      <c r="BU6" s="47"/>
      <c r="BV6" s="47"/>
      <c r="BW6" s="56">
        <v>20.0</v>
      </c>
      <c r="BX6" s="47"/>
      <c r="BY6" s="47"/>
      <c r="BZ6" s="47"/>
      <c r="CA6" s="47"/>
      <c r="CB6" s="47"/>
      <c r="CC6" s="47"/>
      <c r="CD6" s="47"/>
      <c r="CE6" s="57">
        <v>43318.0</v>
      </c>
      <c r="CF6" s="47"/>
      <c r="CG6" s="47"/>
      <c r="CH6" s="47"/>
      <c r="CI6" s="35" t="s">
        <v>36</v>
      </c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47"/>
      <c r="B7" s="34" t="s">
        <v>20</v>
      </c>
      <c r="C7" s="47"/>
      <c r="D7" s="47"/>
      <c r="E7" s="47"/>
      <c r="F7" s="47"/>
      <c r="G7" s="47"/>
      <c r="H7" s="47"/>
      <c r="I7" s="47"/>
      <c r="J7" s="47"/>
      <c r="K7" s="47"/>
      <c r="L7" s="58">
        <v>1092.5</v>
      </c>
      <c r="M7" s="47"/>
      <c r="N7" s="47"/>
      <c r="O7" s="47"/>
      <c r="P7" s="47"/>
      <c r="Q7" s="47"/>
      <c r="R7" s="47"/>
      <c r="S7" s="47" t="s">
        <v>37</v>
      </c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56">
        <v>3.2324988E7</v>
      </c>
      <c r="AV7" s="47"/>
      <c r="AW7" s="47"/>
      <c r="AX7" s="56">
        <v>450012.0</v>
      </c>
      <c r="AY7" s="47"/>
      <c r="AZ7" s="47"/>
      <c r="BA7" s="47"/>
      <c r="BB7" s="47"/>
      <c r="BC7" s="47"/>
      <c r="BD7" s="47"/>
      <c r="BE7" s="47"/>
      <c r="BF7" s="56">
        <v>3.2775E7</v>
      </c>
      <c r="BG7" s="47"/>
      <c r="BH7" s="47"/>
      <c r="BI7" s="47"/>
      <c r="BJ7" s="56">
        <v>30000.0</v>
      </c>
      <c r="BK7" s="47"/>
      <c r="BL7" s="47"/>
      <c r="BM7" s="47"/>
      <c r="BN7" s="47"/>
      <c r="BO7" s="47" t="s">
        <v>38</v>
      </c>
      <c r="BP7" s="47"/>
      <c r="BQ7" s="47"/>
      <c r="BR7" s="47"/>
      <c r="BS7" s="47"/>
      <c r="BT7" s="31" t="s">
        <v>39</v>
      </c>
      <c r="BU7" s="47"/>
      <c r="BV7" s="47"/>
      <c r="BW7" s="56">
        <v>450012.0</v>
      </c>
      <c r="BX7" s="47"/>
      <c r="BY7" s="47"/>
      <c r="BZ7" s="47"/>
      <c r="CA7" s="47"/>
      <c r="CB7" s="47"/>
      <c r="CC7" s="47"/>
      <c r="CD7" s="47"/>
      <c r="CE7" s="57">
        <v>43320.0</v>
      </c>
      <c r="CF7" s="47"/>
      <c r="CG7" s="47"/>
      <c r="CH7" s="47"/>
      <c r="CI7" s="35" t="s">
        <v>40</v>
      </c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</row>
    <row r="8" ht="15.75" customHeight="1">
      <c r="A8" s="47"/>
      <c r="B8" s="34" t="s">
        <v>20</v>
      </c>
      <c r="C8" s="47"/>
      <c r="D8" s="47"/>
      <c r="E8" s="47"/>
      <c r="F8" s="47"/>
      <c r="G8" s="47"/>
      <c r="H8" s="47"/>
      <c r="I8" s="47"/>
      <c r="J8" s="47"/>
      <c r="K8" s="47"/>
      <c r="L8" s="58">
        <v>0.0</v>
      </c>
      <c r="M8" s="47"/>
      <c r="N8" s="47"/>
      <c r="O8" s="47"/>
      <c r="P8" s="47"/>
      <c r="Q8" s="47"/>
      <c r="R8" s="47"/>
      <c r="S8" s="47" t="s">
        <v>41</v>
      </c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56">
        <v>450012.0</v>
      </c>
      <c r="AV8" s="47"/>
      <c r="AW8" s="47"/>
      <c r="AX8" s="56">
        <v>-450012.0</v>
      </c>
      <c r="AY8" s="47"/>
      <c r="AZ8" s="47"/>
      <c r="BA8" s="47"/>
      <c r="BB8" s="47"/>
      <c r="BC8" s="47"/>
      <c r="BD8" s="47"/>
      <c r="BE8" s="47"/>
      <c r="BF8" s="56">
        <v>0.0</v>
      </c>
      <c r="BG8" s="47"/>
      <c r="BH8" s="47"/>
      <c r="BI8" s="47"/>
      <c r="BJ8" s="56">
        <v>300.0</v>
      </c>
      <c r="BK8" s="47"/>
      <c r="BL8" s="47"/>
      <c r="BM8" s="47"/>
      <c r="BN8" s="47"/>
      <c r="BO8" s="47" t="s">
        <v>42</v>
      </c>
      <c r="BP8" s="47"/>
      <c r="BQ8" s="47"/>
      <c r="BR8" s="47"/>
      <c r="BS8" s="47"/>
      <c r="BT8" s="31" t="s">
        <v>18</v>
      </c>
      <c r="BU8" s="47"/>
      <c r="BV8" s="47"/>
      <c r="BW8" s="56">
        <v>-450012.0</v>
      </c>
      <c r="BX8" s="47"/>
      <c r="BY8" s="47"/>
      <c r="BZ8" s="47"/>
      <c r="CA8" s="47"/>
      <c r="CB8" s="47"/>
      <c r="CC8" s="47"/>
      <c r="CD8" s="47"/>
      <c r="CE8" s="57">
        <v>43320.0</v>
      </c>
      <c r="CF8" s="47"/>
      <c r="CG8" s="47"/>
      <c r="CH8" s="47"/>
      <c r="CI8" s="35" t="s">
        <v>40</v>
      </c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</row>
    <row r="9" ht="15.75" customHeight="1">
      <c r="A9" s="47"/>
      <c r="B9" s="34" t="s">
        <v>20</v>
      </c>
      <c r="C9" s="47"/>
      <c r="D9" s="47"/>
      <c r="E9" s="47"/>
      <c r="F9" s="47"/>
      <c r="G9" s="47"/>
      <c r="H9" s="47"/>
      <c r="I9" s="47"/>
      <c r="J9" s="47"/>
      <c r="K9" s="47"/>
      <c r="L9" s="58">
        <v>1092.5</v>
      </c>
      <c r="M9" s="47"/>
      <c r="N9" s="47"/>
      <c r="O9" s="47"/>
      <c r="P9" s="47"/>
      <c r="Q9" s="47"/>
      <c r="R9" s="47"/>
      <c r="S9" s="47" t="s">
        <v>37</v>
      </c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56">
        <v>1.0925E7</v>
      </c>
      <c r="AV9" s="47"/>
      <c r="AW9" s="47"/>
      <c r="AX9" s="56">
        <v>0.0</v>
      </c>
      <c r="AY9" s="47"/>
      <c r="AZ9" s="47"/>
      <c r="BA9" s="47"/>
      <c r="BB9" s="47"/>
      <c r="BC9" s="47"/>
      <c r="BD9" s="47"/>
      <c r="BE9" s="47"/>
      <c r="BF9" s="56">
        <v>1.0925E7</v>
      </c>
      <c r="BG9" s="47"/>
      <c r="BH9" s="47"/>
      <c r="BI9" s="47"/>
      <c r="BJ9" s="56">
        <v>10000.0</v>
      </c>
      <c r="BK9" s="47"/>
      <c r="BL9" s="47"/>
      <c r="BM9" s="47"/>
      <c r="BN9" s="47"/>
      <c r="BO9" s="47" t="s">
        <v>38</v>
      </c>
      <c r="BP9" s="47"/>
      <c r="BQ9" s="47"/>
      <c r="BR9" s="47"/>
      <c r="BS9" s="47"/>
      <c r="BT9" s="48" t="s">
        <v>39</v>
      </c>
      <c r="BU9" s="47"/>
      <c r="BV9" s="47"/>
      <c r="BW9" s="56">
        <v>0.0</v>
      </c>
      <c r="BX9" s="47"/>
      <c r="BY9" s="47"/>
      <c r="BZ9" s="47"/>
      <c r="CA9" s="47"/>
      <c r="CB9" s="47"/>
      <c r="CC9" s="47"/>
      <c r="CD9" s="47"/>
      <c r="CE9" s="57">
        <v>43321.0</v>
      </c>
      <c r="CF9" s="47"/>
      <c r="CG9" s="47"/>
      <c r="CH9" s="47"/>
      <c r="CI9" s="32" t="s">
        <v>40</v>
      </c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</row>
    <row r="10" ht="15.75" customHeight="1">
      <c r="A10" s="47"/>
      <c r="B10" s="34" t="s">
        <v>20</v>
      </c>
      <c r="C10" s="47"/>
      <c r="D10" s="47"/>
      <c r="E10" s="47"/>
      <c r="F10" s="47"/>
      <c r="G10" s="47"/>
      <c r="H10" s="47"/>
      <c r="I10" s="47"/>
      <c r="J10" s="47"/>
      <c r="K10" s="47"/>
      <c r="L10" s="58">
        <v>0.0</v>
      </c>
      <c r="M10" s="47"/>
      <c r="N10" s="47"/>
      <c r="O10" s="47"/>
      <c r="P10" s="47"/>
      <c r="Q10" s="47"/>
      <c r="R10" s="47"/>
      <c r="S10" s="47" t="s">
        <v>41</v>
      </c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56">
        <v>0.0</v>
      </c>
      <c r="AV10" s="47"/>
      <c r="AW10" s="47"/>
      <c r="AX10" s="56">
        <v>0.0</v>
      </c>
      <c r="AY10" s="47"/>
      <c r="AZ10" s="47"/>
      <c r="BA10" s="47"/>
      <c r="BB10" s="47"/>
      <c r="BC10" s="47"/>
      <c r="BD10" s="47"/>
      <c r="BE10" s="47"/>
      <c r="BF10" s="56">
        <v>0.0</v>
      </c>
      <c r="BG10" s="47"/>
      <c r="BH10" s="47"/>
      <c r="BI10" s="47"/>
      <c r="BJ10" s="56">
        <v>100.0</v>
      </c>
      <c r="BK10" s="47"/>
      <c r="BL10" s="47"/>
      <c r="BM10" s="47"/>
      <c r="BN10" s="47"/>
      <c r="BO10" s="47" t="s">
        <v>42</v>
      </c>
      <c r="BP10" s="47"/>
      <c r="BQ10" s="47"/>
      <c r="BR10" s="47"/>
      <c r="BS10" s="47"/>
      <c r="BT10" s="50" t="s">
        <v>18</v>
      </c>
      <c r="BU10" s="47"/>
      <c r="BV10" s="47"/>
      <c r="BW10" s="56">
        <v>0.0</v>
      </c>
      <c r="BX10" s="47"/>
      <c r="BY10" s="47"/>
      <c r="BZ10" s="47"/>
      <c r="CA10" s="47"/>
      <c r="CB10" s="47"/>
      <c r="CC10" s="47"/>
      <c r="CD10" s="47"/>
      <c r="CE10" s="57">
        <v>43321.0</v>
      </c>
      <c r="CF10" s="47"/>
      <c r="CG10" s="47"/>
      <c r="CH10" s="47"/>
      <c r="CI10" s="32" t="s">
        <v>40</v>
      </c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</row>
    <row r="11" ht="15.75" customHeight="1">
      <c r="A11" s="4"/>
      <c r="B11" s="34" t="s">
        <v>20</v>
      </c>
      <c r="C11" s="4"/>
      <c r="D11" s="4"/>
      <c r="E11" s="4"/>
      <c r="F11" s="4"/>
      <c r="G11" s="4"/>
      <c r="H11" s="4"/>
      <c r="I11" s="4"/>
      <c r="J11" s="4"/>
      <c r="K11" s="4"/>
      <c r="L11" s="6">
        <v>0.0</v>
      </c>
      <c r="M11" s="4"/>
      <c r="N11" s="4"/>
      <c r="O11" s="4"/>
      <c r="S11" s="47" t="s">
        <v>41</v>
      </c>
      <c r="AU11" s="32">
        <v>0.0</v>
      </c>
      <c r="AX11" s="32">
        <v>0.0</v>
      </c>
      <c r="BF11" s="32">
        <v>0.0</v>
      </c>
      <c r="BJ11" s="32">
        <v>50.0</v>
      </c>
      <c r="BO11" s="47" t="s">
        <v>42</v>
      </c>
      <c r="BT11" s="50" t="s">
        <v>18</v>
      </c>
      <c r="BW11" s="32">
        <v>0.0</v>
      </c>
      <c r="CE11" s="49">
        <v>43322.0</v>
      </c>
      <c r="CI11" s="32" t="s">
        <v>68</v>
      </c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1.29"/>
    <col customWidth="1" min="18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33</v>
      </c>
      <c r="D3" s="5" t="s">
        <v>8</v>
      </c>
      <c r="E3" s="21" t="s">
        <v>48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IFERROR(__xludf.DUMMYFUNCTION("""COMPUTED_VALUE"""),"Date")</f>
        <v>Date</v>
      </c>
      <c r="C5" s="36" t="str">
        <f>IFERROR(__xludf.DUMMYFUNCTION("""COMPUTED_VALUE"""),"Modify Date")</f>
        <v>Modify Date</v>
      </c>
      <c r="D5" s="36" t="str">
        <f>IFERROR(__xludf.DUMMYFUNCTION("""COMPUTED_VALUE"""),"Entry Date")</f>
        <v>Entry Date</v>
      </c>
      <c r="E5" s="36" t="str">
        <f>IFERROR(__xludf.DUMMYFUNCTION("""COMPUTED_VALUE"""),"DR")</f>
        <v>DR</v>
      </c>
      <c r="F5" s="37" t="str">
        <f>IFERROR(__xludf.DUMMYFUNCTION("""COMPUTED_VALUE"""),"CR")</f>
        <v>CR</v>
      </c>
      <c r="G5" s="36" t="str">
        <f>IFERROR(__xludf.DUMMYFUNCTION("""COMPUTED_VALUE"""),"Fx Rate")</f>
        <v>Fx Rate</v>
      </c>
      <c r="H5" s="36" t="str">
        <f>IFERROR(__xludf.DUMMYFUNCTION("""COMPUTED_VALUE"""),"FX Conversion Method Operator")</f>
        <v>FX Conversion Method Operator</v>
      </c>
      <c r="I5" s="36" t="str">
        <f>IFERROR(__xludf.DUMMYFUNCTION("""COMPUTED_VALUE"""),"Account Side")</f>
        <v>Account Side</v>
      </c>
      <c r="J5" s="36" t="str">
        <f>IFERROR(__xludf.DUMMYFUNCTION("""COMPUTED_VALUE"""),"TransactionSource")</f>
        <v>TransactionSource</v>
      </c>
      <c r="K5" s="36" t="str">
        <f>IFERROR(__xludf.DUMMYFUNCTION("""COMPUTED_VALUE"""),"Currency")</f>
        <v>Currency</v>
      </c>
      <c r="L5" s="36" t="str">
        <f>IFERROR(__xludf.DUMMYFUNCTION("""COMPUTED_VALUE"""),"Base Currency")</f>
        <v>Base Currency</v>
      </c>
      <c r="M5" s="36" t="str">
        <f>IFERROR(__xludf.DUMMYFUNCTION("""COMPUTED_VALUE"""),"Symbol")</f>
        <v>Symbol</v>
      </c>
      <c r="N5" s="36" t="str">
        <f>IFERROR(__xludf.DUMMYFUNCTION("""COMPUTED_VALUE"""),"Description")</f>
        <v>Description</v>
      </c>
      <c r="O5" s="36" t="str">
        <f>IFERROR(__xludf.DUMMYFUNCTION("""COMPUTED_VALUE"""),"DR (Base)")</f>
        <v>DR (Base)</v>
      </c>
      <c r="P5" s="36" t="str">
        <f>IFERROR(__xludf.DUMMYFUNCTION("""COMPUTED_VALUE"""),"CR (Base)")</f>
        <v>CR (Base)</v>
      </c>
      <c r="Q5" s="36" t="str">
        <f>IFERROR(__xludf.DUMMYFUNCTION("""COMPUTED_VALUE"""),"Cash Sub-Account")</f>
        <v>Cash Sub-Account</v>
      </c>
      <c r="R5" s="36" t="str">
        <f>IFERROR(__xludf.DUMMYFUNCTION("""COMPUTED_VALUE"""),"Account")</f>
        <v>Account</v>
      </c>
      <c r="S5" s="3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59">
        <v>43318.0</v>
      </c>
      <c r="C6" s="4"/>
      <c r="D6" s="6"/>
      <c r="E6" s="60">
        <v>750020.0</v>
      </c>
      <c r="F6" s="60">
        <v>0.0</v>
      </c>
      <c r="G6" s="4"/>
      <c r="H6" s="4"/>
      <c r="I6" s="4"/>
      <c r="J6" s="61" t="s">
        <v>51</v>
      </c>
      <c r="K6" s="61" t="s">
        <v>45</v>
      </c>
      <c r="L6" s="4"/>
      <c r="M6" s="61" t="s">
        <v>18</v>
      </c>
      <c r="N6" s="4"/>
      <c r="O6" s="60">
        <v>750020.0</v>
      </c>
      <c r="P6" s="60">
        <v>0.0</v>
      </c>
      <c r="Q6" s="61" t="s">
        <v>52</v>
      </c>
      <c r="R6" s="62" t="s">
        <v>20</v>
      </c>
    </row>
    <row r="7" ht="15.75" customHeight="1">
      <c r="A7" s="4"/>
      <c r="B7" s="59">
        <v>43318.0</v>
      </c>
      <c r="C7" s="4"/>
      <c r="D7" s="4"/>
      <c r="E7" s="63">
        <v>0.0</v>
      </c>
      <c r="F7" s="63">
        <v>750020.0</v>
      </c>
      <c r="G7" s="4"/>
      <c r="H7" s="4"/>
      <c r="I7" s="4"/>
      <c r="J7" s="64" t="s">
        <v>51</v>
      </c>
      <c r="K7" s="61" t="s">
        <v>45</v>
      </c>
      <c r="L7" s="4"/>
      <c r="M7" s="61" t="s">
        <v>18</v>
      </c>
      <c r="N7" s="4"/>
      <c r="O7" s="63">
        <v>0.0</v>
      </c>
      <c r="P7" s="63">
        <v>750020.0</v>
      </c>
      <c r="Q7" s="64" t="s">
        <v>54</v>
      </c>
      <c r="R7" s="34" t="s">
        <v>20</v>
      </c>
    </row>
    <row r="8" ht="15.75" customHeight="1">
      <c r="A8" s="4"/>
      <c r="B8" s="65">
        <v>43320.0</v>
      </c>
      <c r="C8" s="4"/>
      <c r="D8" s="4"/>
      <c r="E8" s="60">
        <v>3.2775E7</v>
      </c>
      <c r="F8" s="60">
        <v>0.0</v>
      </c>
      <c r="G8" s="4"/>
      <c r="H8" s="4"/>
      <c r="I8" s="4"/>
      <c r="J8" s="61" t="s">
        <v>51</v>
      </c>
      <c r="K8" s="61" t="s">
        <v>45</v>
      </c>
      <c r="L8" s="4"/>
      <c r="M8" s="61" t="s">
        <v>39</v>
      </c>
      <c r="N8" s="4"/>
      <c r="O8" s="60">
        <v>3.2775E7</v>
      </c>
      <c r="P8" s="60">
        <v>0.0</v>
      </c>
      <c r="Q8" s="61" t="s">
        <v>54</v>
      </c>
      <c r="R8" s="34" t="s">
        <v>20</v>
      </c>
    </row>
    <row r="9" ht="15.75" customHeight="1">
      <c r="A9" s="4"/>
      <c r="B9" s="65">
        <v>43320.0</v>
      </c>
      <c r="C9" s="4"/>
      <c r="D9" s="4"/>
      <c r="E9" s="63">
        <v>0.0</v>
      </c>
      <c r="F9" s="63">
        <v>3.2775E7</v>
      </c>
      <c r="G9" s="4"/>
      <c r="H9" s="4"/>
      <c r="I9" s="4"/>
      <c r="J9" s="64" t="s">
        <v>51</v>
      </c>
      <c r="K9" s="61" t="s">
        <v>45</v>
      </c>
      <c r="L9" s="4"/>
      <c r="M9" s="61" t="s">
        <v>39</v>
      </c>
      <c r="N9" s="4"/>
      <c r="O9" s="63">
        <v>0.0</v>
      </c>
      <c r="P9" s="63">
        <v>3.2775E7</v>
      </c>
      <c r="Q9" s="64" t="s">
        <v>55</v>
      </c>
      <c r="R9" s="34" t="s">
        <v>20</v>
      </c>
    </row>
    <row r="10" ht="15.75" customHeight="1">
      <c r="A10" s="4"/>
      <c r="B10" s="65">
        <v>43320.0</v>
      </c>
      <c r="C10" s="4"/>
      <c r="D10" s="4"/>
      <c r="E10" s="60">
        <v>450012.0</v>
      </c>
      <c r="F10" s="60">
        <v>0.0</v>
      </c>
      <c r="G10" s="4"/>
      <c r="H10" s="4"/>
      <c r="I10" s="4"/>
      <c r="J10" s="61" t="s">
        <v>51</v>
      </c>
      <c r="K10" s="61" t="s">
        <v>45</v>
      </c>
      <c r="L10" s="4"/>
      <c r="M10" s="61" t="s">
        <v>39</v>
      </c>
      <c r="N10" s="4"/>
      <c r="O10" s="60">
        <v>450012.0</v>
      </c>
      <c r="P10" s="60">
        <v>0.0</v>
      </c>
      <c r="Q10" s="64" t="s">
        <v>55</v>
      </c>
      <c r="R10" s="34" t="s">
        <v>20</v>
      </c>
    </row>
    <row r="11" ht="15.75" customHeight="1">
      <c r="A11" s="4"/>
      <c r="B11" s="65">
        <v>43320.0</v>
      </c>
      <c r="C11" s="4"/>
      <c r="D11" s="4"/>
      <c r="E11" s="63">
        <v>0.0</v>
      </c>
      <c r="F11" s="63">
        <v>450012.0</v>
      </c>
      <c r="G11" s="4"/>
      <c r="H11" s="4"/>
      <c r="I11" s="4"/>
      <c r="J11" s="64" t="s">
        <v>51</v>
      </c>
      <c r="K11" s="61" t="s">
        <v>45</v>
      </c>
      <c r="L11" s="4"/>
      <c r="M11" s="61" t="s">
        <v>39</v>
      </c>
      <c r="N11" s="4"/>
      <c r="O11" s="63">
        <v>0.0</v>
      </c>
      <c r="P11" s="63">
        <v>450012.0</v>
      </c>
      <c r="Q11" s="64" t="s">
        <v>54</v>
      </c>
      <c r="R11" s="34" t="s">
        <v>20</v>
      </c>
    </row>
    <row r="12" ht="15.75" customHeight="1">
      <c r="A12" s="4"/>
      <c r="B12" s="59">
        <v>43320.0</v>
      </c>
      <c r="C12" s="4"/>
      <c r="D12" s="4"/>
      <c r="E12" s="60">
        <v>450012.0</v>
      </c>
      <c r="F12" s="60">
        <v>0.0</v>
      </c>
      <c r="G12" s="4"/>
      <c r="H12" s="4"/>
      <c r="I12" s="4"/>
      <c r="J12" s="61" t="s">
        <v>51</v>
      </c>
      <c r="K12" s="61" t="s">
        <v>45</v>
      </c>
      <c r="L12" s="4"/>
      <c r="M12" s="61" t="s">
        <v>18</v>
      </c>
      <c r="N12" s="4"/>
      <c r="O12" s="60">
        <v>450012.0</v>
      </c>
      <c r="P12" s="60">
        <v>0.0</v>
      </c>
      <c r="Q12" s="61" t="s">
        <v>54</v>
      </c>
      <c r="R12" s="34" t="s">
        <v>20</v>
      </c>
    </row>
    <row r="13" ht="15.75" customHeight="1">
      <c r="A13" s="4"/>
      <c r="B13" s="59">
        <v>43320.0</v>
      </c>
      <c r="C13" s="4"/>
      <c r="D13" s="4"/>
      <c r="E13" s="63">
        <v>0.0</v>
      </c>
      <c r="F13" s="63">
        <v>450012.0</v>
      </c>
      <c r="G13" s="4"/>
      <c r="H13" s="4"/>
      <c r="I13" s="4"/>
      <c r="J13" s="64" t="s">
        <v>51</v>
      </c>
      <c r="K13" s="61" t="s">
        <v>45</v>
      </c>
      <c r="L13" s="4"/>
      <c r="M13" s="61" t="s">
        <v>18</v>
      </c>
      <c r="N13" s="4"/>
      <c r="O13" s="63">
        <v>0.0</v>
      </c>
      <c r="P13" s="63">
        <v>450012.0</v>
      </c>
      <c r="Q13" s="64" t="s">
        <v>56</v>
      </c>
      <c r="R13" s="34" t="s">
        <v>20</v>
      </c>
    </row>
    <row r="14" ht="15.75" customHeight="1">
      <c r="A14" s="4"/>
      <c r="B14" s="65">
        <v>43321.0</v>
      </c>
      <c r="C14" s="4"/>
      <c r="D14" s="4"/>
      <c r="E14" s="60">
        <v>1.0925E7</v>
      </c>
      <c r="F14" s="60">
        <v>0.0</v>
      </c>
      <c r="G14" s="4"/>
      <c r="H14" s="4"/>
      <c r="I14" s="4"/>
      <c r="J14" s="61" t="s">
        <v>51</v>
      </c>
      <c r="K14" s="61" t="s">
        <v>45</v>
      </c>
      <c r="L14" s="4"/>
      <c r="M14" s="61" t="s">
        <v>39</v>
      </c>
      <c r="N14" s="4"/>
      <c r="O14" s="60">
        <v>1.0925E7</v>
      </c>
      <c r="P14" s="60">
        <v>0.0</v>
      </c>
      <c r="Q14" s="61" t="s">
        <v>54</v>
      </c>
      <c r="R14" s="34" t="s">
        <v>20</v>
      </c>
    </row>
    <row r="15" ht="15.75" customHeight="1">
      <c r="A15" s="4"/>
      <c r="B15" s="65">
        <v>43321.0</v>
      </c>
      <c r="C15" s="4"/>
      <c r="D15" s="4"/>
      <c r="E15" s="63">
        <v>0.0</v>
      </c>
      <c r="F15" s="63">
        <v>1.0925E7</v>
      </c>
      <c r="G15" s="4"/>
      <c r="H15" s="4"/>
      <c r="I15" s="4"/>
      <c r="J15" s="64" t="s">
        <v>51</v>
      </c>
      <c r="K15" s="61" t="s">
        <v>45</v>
      </c>
      <c r="L15" s="4"/>
      <c r="M15" s="61" t="s">
        <v>39</v>
      </c>
      <c r="N15" s="4"/>
      <c r="O15" s="63">
        <v>0.0</v>
      </c>
      <c r="P15" s="63">
        <v>1.0925E7</v>
      </c>
      <c r="Q15" s="64" t="s">
        <v>55</v>
      </c>
      <c r="R15" s="34" t="s">
        <v>20</v>
      </c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33</v>
      </c>
      <c r="D3" s="5" t="s">
        <v>8</v>
      </c>
      <c r="E3" s="21" t="s">
        <v>57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IFERROR(__xludf.DUMMYFUNCTION("""COMPUTED_VALUE"""),"Date")</f>
        <v>Date</v>
      </c>
      <c r="C5" s="36" t="str">
        <f>IFERROR(__xludf.DUMMYFUNCTION("""COMPUTED_VALUE"""),"Account")</f>
        <v>Account</v>
      </c>
      <c r="D5" s="36" t="str">
        <f>IFERROR(__xludf.DUMMYFUNCTION("""COMPUTED_VALUE"""),"Symbol")</f>
        <v>Symbol</v>
      </c>
      <c r="E5" s="36" t="str">
        <f>IFERROR(__xludf.DUMMYFUNCTION("""COMPUTED_VALUE"""),"Currency")</f>
        <v>Currency</v>
      </c>
      <c r="F5" s="37" t="str">
        <f>IFERROR(__xludf.DUMMYFUNCTION("""COMPUTED_VALUE"""),"Cash Sub-Account")</f>
        <v>Cash Sub-Account</v>
      </c>
      <c r="G5" s="36" t="str">
        <f>IFERROR(__xludf.DUMMYFUNCTION("""COMPUTED_VALUE"""),"DR")</f>
        <v>DR</v>
      </c>
      <c r="H5" s="36" t="str">
        <f>IFERROR(__xludf.DUMMYFUNCTION("""COMPUTED_VALUE"""),"CR")</f>
        <v>CR</v>
      </c>
      <c r="I5" s="36" t="str">
        <f>IFERROR(__xludf.DUMMYFUNCTION("""COMPUTED_VALUE"""),"Modify Date")</f>
        <v>Modify Date</v>
      </c>
      <c r="J5" s="36" t="str">
        <f>IFERROR(__xludf.DUMMYFUNCTION("""COMPUTED_VALUE"""),"Entry Date")</f>
        <v>Entry Date</v>
      </c>
      <c r="K5" s="36" t="str">
        <f>IFERROR(__xludf.DUMMYFUNCTION("""COMPUTED_VALUE"""),"User")</f>
        <v>User</v>
      </c>
      <c r="L5" s="36" t="str">
        <f>IFERROR(__xludf.DUMMYFUNCTION("""COMPUTED_VALUE"""),"Fx Rate")</f>
        <v>Fx Rate</v>
      </c>
      <c r="M5" s="36" t="str">
        <f>IFERROR(__xludf.DUMMYFUNCTION("""COMPUTED_VALUE"""),"FX Conversion Method Operator")</f>
        <v>FX Conversion Method Operator</v>
      </c>
      <c r="N5" s="36" t="str">
        <f>IFERROR(__xludf.DUMMYFUNCTION("""COMPUTED_VALUE"""),"Account Side")</f>
        <v>Account Side</v>
      </c>
      <c r="O5" s="36" t="str">
        <f>IFERROR(__xludf.DUMMYFUNCTION("""COMPUTED_VALUE"""),"TransactionSource")</f>
        <v>TransactionSource</v>
      </c>
      <c r="P5" s="36" t="str">
        <f>IFERROR(__xludf.DUMMYFUNCTION("""COMPUTED_VALUE"""),"Base Currency")</f>
        <v>Base Currency</v>
      </c>
      <c r="Q5" s="36" t="str">
        <f>IFERROR(__xludf.DUMMYFUNCTION("""COMPUTED_VALUE"""),"Description")</f>
        <v>Description</v>
      </c>
      <c r="R5" s="36" t="str">
        <f>IFERROR(__xludf.DUMMYFUNCTION("""COMPUTED_VALUE"""),"DR (Base)")</f>
        <v>DR (Base)</v>
      </c>
      <c r="S5" s="3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6">
        <v>43320.0</v>
      </c>
      <c r="C6" s="67" t="s">
        <v>20</v>
      </c>
      <c r="D6" s="67" t="s">
        <v>39</v>
      </c>
      <c r="E6" s="67" t="s">
        <v>45</v>
      </c>
      <c r="F6" s="67" t="s">
        <v>63</v>
      </c>
      <c r="G6" s="68">
        <v>3.2324988E7</v>
      </c>
      <c r="H6" s="68">
        <v>0.0</v>
      </c>
      <c r="I6" s="4"/>
      <c r="J6" s="4"/>
      <c r="K6" s="4"/>
      <c r="L6" s="4"/>
      <c r="M6" s="4"/>
      <c r="N6" s="67" t="s">
        <v>50</v>
      </c>
      <c r="O6" s="67" t="s">
        <v>59</v>
      </c>
      <c r="Q6" s="67" t="s">
        <v>60</v>
      </c>
      <c r="R6" s="68">
        <v>3.2324988E7</v>
      </c>
      <c r="S6" s="68">
        <v>0.0</v>
      </c>
    </row>
    <row r="7" ht="15.75" customHeight="1">
      <c r="A7" s="4"/>
      <c r="B7" s="66">
        <v>43320.0</v>
      </c>
      <c r="C7" s="67" t="s">
        <v>20</v>
      </c>
      <c r="D7" s="67" t="s">
        <v>39</v>
      </c>
      <c r="E7" s="67" t="s">
        <v>45</v>
      </c>
      <c r="F7" s="67" t="s">
        <v>64</v>
      </c>
      <c r="G7" s="68">
        <v>0.0</v>
      </c>
      <c r="H7" s="68">
        <v>3.2324988E7</v>
      </c>
      <c r="I7" s="4"/>
      <c r="J7" s="4"/>
      <c r="K7" s="4"/>
      <c r="L7" s="4"/>
      <c r="M7" s="4"/>
      <c r="N7" s="67" t="s">
        <v>53</v>
      </c>
      <c r="O7" s="67" t="s">
        <v>59</v>
      </c>
      <c r="Q7" s="67" t="s">
        <v>60</v>
      </c>
      <c r="R7" s="68">
        <v>0.0</v>
      </c>
      <c r="S7" s="68">
        <v>3.2324988E7</v>
      </c>
    </row>
    <row r="8" ht="15.75" customHeight="1">
      <c r="A8" s="4"/>
      <c r="B8" s="66">
        <v>43318.0</v>
      </c>
      <c r="C8" s="67" t="s">
        <v>20</v>
      </c>
      <c r="D8" s="67" t="s">
        <v>18</v>
      </c>
      <c r="E8" s="67" t="s">
        <v>45</v>
      </c>
      <c r="F8" s="67" t="s">
        <v>58</v>
      </c>
      <c r="G8" s="68">
        <v>50020.0</v>
      </c>
      <c r="H8" s="68">
        <v>0.0</v>
      </c>
      <c r="I8" s="4"/>
      <c r="J8" s="4"/>
      <c r="K8" s="4"/>
      <c r="L8" s="4"/>
      <c r="M8" s="4"/>
      <c r="N8" s="67" t="s">
        <v>50</v>
      </c>
      <c r="O8" s="67" t="s">
        <v>59</v>
      </c>
      <c r="Q8" s="67" t="s">
        <v>60</v>
      </c>
      <c r="R8" s="68">
        <v>50020.0</v>
      </c>
      <c r="S8" s="68">
        <v>0.0</v>
      </c>
    </row>
    <row r="9" ht="15.75" customHeight="1">
      <c r="A9" s="4"/>
      <c r="B9" s="66">
        <v>43318.0</v>
      </c>
      <c r="C9" s="67" t="s">
        <v>20</v>
      </c>
      <c r="D9" s="67" t="s">
        <v>18</v>
      </c>
      <c r="E9" s="67" t="s">
        <v>45</v>
      </c>
      <c r="F9" s="67" t="s">
        <v>61</v>
      </c>
      <c r="G9" s="68">
        <v>0.0</v>
      </c>
      <c r="H9" s="68">
        <v>50020.0</v>
      </c>
      <c r="I9" s="4"/>
      <c r="J9" s="4"/>
      <c r="K9" s="4"/>
      <c r="L9" s="4"/>
      <c r="M9" s="4"/>
      <c r="N9" s="67" t="s">
        <v>53</v>
      </c>
      <c r="O9" s="67" t="s">
        <v>59</v>
      </c>
      <c r="Q9" s="67" t="s">
        <v>60</v>
      </c>
      <c r="R9" s="68">
        <v>0.0</v>
      </c>
      <c r="S9" s="68">
        <v>50020.0</v>
      </c>
    </row>
    <row r="10" ht="15.75" customHeight="1">
      <c r="A10" s="4"/>
      <c r="B10" s="66">
        <v>43319.0</v>
      </c>
      <c r="C10" s="67" t="s">
        <v>20</v>
      </c>
      <c r="D10" s="67" t="s">
        <v>18</v>
      </c>
      <c r="E10" s="67" t="s">
        <v>45</v>
      </c>
      <c r="F10" s="67" t="s">
        <v>58</v>
      </c>
      <c r="G10" s="68">
        <v>100020.0</v>
      </c>
      <c r="H10" s="68">
        <v>0.0</v>
      </c>
      <c r="I10" s="4"/>
      <c r="J10" s="4"/>
      <c r="K10" s="4"/>
      <c r="L10" s="4"/>
      <c r="M10" s="4"/>
      <c r="N10" s="67" t="s">
        <v>50</v>
      </c>
      <c r="O10" s="67" t="s">
        <v>59</v>
      </c>
      <c r="Q10" s="67" t="s">
        <v>60</v>
      </c>
      <c r="R10" s="68">
        <v>100020.0</v>
      </c>
      <c r="S10" s="68">
        <v>0.0</v>
      </c>
    </row>
    <row r="11" ht="15.75" customHeight="1">
      <c r="A11" s="4"/>
      <c r="B11" s="66">
        <v>43319.0</v>
      </c>
      <c r="C11" s="67" t="s">
        <v>20</v>
      </c>
      <c r="D11" s="67" t="s">
        <v>18</v>
      </c>
      <c r="E11" s="67" t="s">
        <v>45</v>
      </c>
      <c r="F11" s="67" t="s">
        <v>61</v>
      </c>
      <c r="G11" s="68">
        <v>0.0</v>
      </c>
      <c r="H11" s="68">
        <v>100020.0</v>
      </c>
      <c r="I11" s="4"/>
      <c r="J11" s="4"/>
      <c r="K11" s="4"/>
      <c r="L11" s="4"/>
      <c r="M11" s="4"/>
      <c r="N11" s="67" t="s">
        <v>53</v>
      </c>
      <c r="O11" s="67" t="s">
        <v>59</v>
      </c>
      <c r="Q11" s="67" t="s">
        <v>60</v>
      </c>
      <c r="R11" s="68">
        <v>0.0</v>
      </c>
      <c r="S11" s="68">
        <v>100020.0</v>
      </c>
    </row>
    <row r="12" ht="15.75" customHeight="1">
      <c r="A12" s="4"/>
      <c r="B12" s="66">
        <v>43319.0</v>
      </c>
      <c r="C12" s="67" t="s">
        <v>20</v>
      </c>
      <c r="D12" s="67" t="s">
        <v>18</v>
      </c>
      <c r="E12" s="67" t="s">
        <v>45</v>
      </c>
      <c r="F12" s="67" t="s">
        <v>61</v>
      </c>
      <c r="G12" s="68">
        <v>50020.0</v>
      </c>
      <c r="H12" s="68">
        <v>0.0</v>
      </c>
      <c r="I12" s="4"/>
      <c r="J12" s="4"/>
      <c r="K12" s="4"/>
      <c r="L12" s="4"/>
      <c r="M12" s="4"/>
      <c r="N12" s="67" t="s">
        <v>50</v>
      </c>
      <c r="O12" s="67" t="s">
        <v>59</v>
      </c>
      <c r="Q12" s="67" t="s">
        <v>62</v>
      </c>
      <c r="R12" s="68">
        <v>50020.0</v>
      </c>
      <c r="S12" s="68">
        <v>0.0</v>
      </c>
    </row>
    <row r="13" ht="15.75" customHeight="1">
      <c r="A13" s="4"/>
      <c r="B13" s="66">
        <v>43319.0</v>
      </c>
      <c r="C13" s="67" t="s">
        <v>20</v>
      </c>
      <c r="D13" s="67" t="s">
        <v>18</v>
      </c>
      <c r="E13" s="67" t="s">
        <v>45</v>
      </c>
      <c r="F13" s="67" t="s">
        <v>58</v>
      </c>
      <c r="G13" s="68">
        <v>0.0</v>
      </c>
      <c r="H13" s="68">
        <v>50020.0</v>
      </c>
      <c r="I13" s="4"/>
      <c r="J13" s="4"/>
      <c r="K13" s="4"/>
      <c r="L13" s="4"/>
      <c r="M13" s="4"/>
      <c r="N13" s="67" t="s">
        <v>53</v>
      </c>
      <c r="O13" s="67" t="s">
        <v>59</v>
      </c>
      <c r="Q13" s="67" t="s">
        <v>62</v>
      </c>
      <c r="R13" s="68">
        <v>0.0</v>
      </c>
      <c r="S13" s="68">
        <v>50020.0</v>
      </c>
    </row>
    <row r="14" ht="15.75" customHeight="1">
      <c r="A14" s="4"/>
      <c r="B14" s="66">
        <v>43320.0</v>
      </c>
      <c r="C14" s="67" t="s">
        <v>20</v>
      </c>
      <c r="D14" s="67" t="s">
        <v>18</v>
      </c>
      <c r="E14" s="67" t="s">
        <v>45</v>
      </c>
      <c r="F14" s="67" t="s">
        <v>61</v>
      </c>
      <c r="G14" s="68">
        <v>19992.0</v>
      </c>
      <c r="H14" s="68">
        <v>0.0</v>
      </c>
      <c r="I14" s="4"/>
      <c r="J14" s="4"/>
      <c r="K14" s="4"/>
      <c r="L14" s="4"/>
      <c r="M14" s="4"/>
      <c r="N14" s="67" t="s">
        <v>50</v>
      </c>
      <c r="O14" s="67" t="s">
        <v>59</v>
      </c>
      <c r="Q14" s="67" t="s">
        <v>60</v>
      </c>
      <c r="R14" s="68">
        <v>19992.0</v>
      </c>
      <c r="S14" s="68">
        <v>0.0</v>
      </c>
    </row>
    <row r="15" ht="15.75" customHeight="1">
      <c r="A15" s="4"/>
      <c r="B15" s="66">
        <v>43320.0</v>
      </c>
      <c r="C15" s="67" t="s">
        <v>20</v>
      </c>
      <c r="D15" s="67" t="s">
        <v>18</v>
      </c>
      <c r="E15" s="67" t="s">
        <v>45</v>
      </c>
      <c r="F15" s="67" t="s">
        <v>58</v>
      </c>
      <c r="G15" s="68">
        <v>0.0</v>
      </c>
      <c r="H15" s="68">
        <v>19992.0</v>
      </c>
      <c r="I15" s="4"/>
      <c r="J15" s="4"/>
      <c r="K15" s="4"/>
      <c r="L15" s="4"/>
      <c r="M15" s="4"/>
      <c r="N15" s="67" t="s">
        <v>53</v>
      </c>
      <c r="O15" s="67" t="s">
        <v>59</v>
      </c>
      <c r="Q15" s="67" t="s">
        <v>60</v>
      </c>
      <c r="R15" s="68">
        <v>0.0</v>
      </c>
      <c r="S15" s="68">
        <v>19992.0</v>
      </c>
    </row>
    <row r="16" ht="15.75" customHeight="1">
      <c r="A16" s="4"/>
      <c r="B16" s="66">
        <v>43320.0</v>
      </c>
      <c r="C16" s="67" t="s">
        <v>20</v>
      </c>
      <c r="D16" s="67" t="s">
        <v>18</v>
      </c>
      <c r="E16" s="67" t="s">
        <v>45</v>
      </c>
      <c r="F16" s="67" t="s">
        <v>61</v>
      </c>
      <c r="G16" s="68">
        <v>100020.0</v>
      </c>
      <c r="H16" s="68">
        <v>0.0</v>
      </c>
      <c r="I16" s="4"/>
      <c r="J16" s="4"/>
      <c r="K16" s="4"/>
      <c r="L16" s="4"/>
      <c r="M16" s="4"/>
      <c r="N16" s="67" t="s">
        <v>50</v>
      </c>
      <c r="O16" s="67" t="s">
        <v>59</v>
      </c>
      <c r="Q16" s="67" t="s">
        <v>62</v>
      </c>
      <c r="R16" s="68">
        <v>100020.0</v>
      </c>
      <c r="S16" s="68">
        <v>0.0</v>
      </c>
    </row>
    <row r="17" ht="15.75" customHeight="1">
      <c r="A17" s="4"/>
      <c r="B17" s="66">
        <v>43320.0</v>
      </c>
      <c r="C17" s="67" t="s">
        <v>20</v>
      </c>
      <c r="D17" s="67" t="s">
        <v>18</v>
      </c>
      <c r="E17" s="67" t="s">
        <v>45</v>
      </c>
      <c r="F17" s="67" t="s">
        <v>58</v>
      </c>
      <c r="G17" s="68">
        <v>0.0</v>
      </c>
      <c r="H17" s="68">
        <v>100020.0</v>
      </c>
      <c r="I17" s="4"/>
      <c r="J17" s="4"/>
      <c r="K17" s="4"/>
      <c r="L17" s="4"/>
      <c r="M17" s="4"/>
      <c r="N17" s="67" t="s">
        <v>53</v>
      </c>
      <c r="O17" s="67" t="s">
        <v>59</v>
      </c>
      <c r="Q17" s="67" t="s">
        <v>62</v>
      </c>
      <c r="R17" s="68">
        <v>0.0</v>
      </c>
      <c r="S17" s="68">
        <v>100020.0</v>
      </c>
    </row>
    <row r="18" ht="15.75" customHeight="1">
      <c r="A18" s="4"/>
      <c r="B18" s="66">
        <v>43321.0</v>
      </c>
      <c r="C18" s="67" t="s">
        <v>20</v>
      </c>
      <c r="D18" s="67" t="s">
        <v>39</v>
      </c>
      <c r="E18" s="67" t="s">
        <v>45</v>
      </c>
      <c r="F18" s="67" t="s">
        <v>63</v>
      </c>
      <c r="G18" s="68">
        <v>4.3249988E7</v>
      </c>
      <c r="H18" s="68">
        <v>0.0</v>
      </c>
      <c r="I18" s="4"/>
      <c r="J18" s="4"/>
      <c r="K18" s="4"/>
      <c r="L18" s="4"/>
      <c r="M18" s="4"/>
      <c r="N18" s="67" t="s">
        <v>50</v>
      </c>
      <c r="O18" s="67" t="s">
        <v>59</v>
      </c>
      <c r="Q18" s="67" t="s">
        <v>60</v>
      </c>
      <c r="R18" s="68">
        <v>4.3249988E7</v>
      </c>
      <c r="S18" s="68">
        <v>0.0</v>
      </c>
    </row>
    <row r="19" ht="15.75" customHeight="1">
      <c r="A19" s="4"/>
      <c r="B19" s="66">
        <v>43321.0</v>
      </c>
      <c r="C19" s="67" t="s">
        <v>20</v>
      </c>
      <c r="D19" s="67" t="s">
        <v>39</v>
      </c>
      <c r="E19" s="67" t="s">
        <v>45</v>
      </c>
      <c r="F19" s="67" t="s">
        <v>64</v>
      </c>
      <c r="G19" s="68">
        <v>0.0</v>
      </c>
      <c r="H19" s="68">
        <v>4.3249988E7</v>
      </c>
      <c r="I19" s="4"/>
      <c r="J19" s="4"/>
      <c r="K19" s="4"/>
      <c r="L19" s="4"/>
      <c r="M19" s="4"/>
      <c r="N19" s="67" t="s">
        <v>53</v>
      </c>
      <c r="O19" s="67" t="s">
        <v>59</v>
      </c>
      <c r="Q19" s="67" t="s">
        <v>60</v>
      </c>
      <c r="R19" s="68">
        <v>0.0</v>
      </c>
      <c r="S19" s="68">
        <v>4.3249988E7</v>
      </c>
    </row>
    <row r="20" ht="15.75" customHeight="1">
      <c r="A20" s="4"/>
      <c r="B20" s="66">
        <v>43321.0</v>
      </c>
      <c r="C20" s="67" t="s">
        <v>20</v>
      </c>
      <c r="D20" s="67" t="s">
        <v>39</v>
      </c>
      <c r="E20" s="67" t="s">
        <v>45</v>
      </c>
      <c r="F20" s="67" t="s">
        <v>64</v>
      </c>
      <c r="G20" s="68">
        <v>3.2324988E7</v>
      </c>
      <c r="H20" s="68">
        <v>0.0</v>
      </c>
      <c r="I20" s="4"/>
      <c r="J20" s="4"/>
      <c r="K20" s="4"/>
      <c r="L20" s="4"/>
      <c r="M20" s="4"/>
      <c r="N20" s="67" t="s">
        <v>50</v>
      </c>
      <c r="O20" s="67" t="s">
        <v>59</v>
      </c>
      <c r="Q20" s="67" t="s">
        <v>62</v>
      </c>
      <c r="R20" s="68">
        <v>3.2324988E7</v>
      </c>
      <c r="S20" s="68">
        <v>0.0</v>
      </c>
    </row>
    <row r="21" ht="15.75" customHeight="1">
      <c r="A21" s="4"/>
      <c r="B21" s="66">
        <v>43321.0</v>
      </c>
      <c r="C21" s="67" t="s">
        <v>20</v>
      </c>
      <c r="D21" s="67" t="s">
        <v>39</v>
      </c>
      <c r="E21" s="67" t="s">
        <v>45</v>
      </c>
      <c r="F21" s="67" t="s">
        <v>63</v>
      </c>
      <c r="G21" s="68">
        <v>0.0</v>
      </c>
      <c r="H21" s="68">
        <v>3.2324988E7</v>
      </c>
      <c r="I21" s="4"/>
      <c r="J21" s="4"/>
      <c r="K21" s="4"/>
      <c r="L21" s="4"/>
      <c r="M21" s="4"/>
      <c r="N21" s="67" t="s">
        <v>53</v>
      </c>
      <c r="O21" s="67" t="s">
        <v>59</v>
      </c>
      <c r="Q21" s="67" t="s">
        <v>62</v>
      </c>
      <c r="R21" s="68">
        <v>0.0</v>
      </c>
      <c r="S21" s="68">
        <v>3.2324988E7</v>
      </c>
    </row>
    <row r="22" ht="15.75" customHeight="1">
      <c r="A22" s="4"/>
      <c r="B22" s="66">
        <v>43322.0</v>
      </c>
      <c r="C22" s="67" t="s">
        <v>20</v>
      </c>
      <c r="D22" s="67" t="s">
        <v>39</v>
      </c>
      <c r="E22" s="67" t="s">
        <v>45</v>
      </c>
      <c r="F22" s="67" t="s">
        <v>63</v>
      </c>
      <c r="G22" s="68">
        <v>4.3249988E7</v>
      </c>
      <c r="H22" s="68">
        <v>0.0</v>
      </c>
      <c r="I22" s="4"/>
      <c r="J22" s="4"/>
      <c r="K22" s="4"/>
      <c r="L22" s="4"/>
      <c r="M22" s="4"/>
      <c r="N22" s="67" t="s">
        <v>50</v>
      </c>
      <c r="O22" s="67" t="s">
        <v>59</v>
      </c>
      <c r="Q22" s="67" t="s">
        <v>60</v>
      </c>
      <c r="R22" s="68">
        <v>4.3249988E7</v>
      </c>
      <c r="S22" s="68">
        <v>0.0</v>
      </c>
    </row>
    <row r="23" ht="15.75" customHeight="1">
      <c r="A23" s="4"/>
      <c r="B23" s="66">
        <v>43322.0</v>
      </c>
      <c r="C23" s="67" t="s">
        <v>20</v>
      </c>
      <c r="D23" s="67" t="s">
        <v>39</v>
      </c>
      <c r="E23" s="67" t="s">
        <v>45</v>
      </c>
      <c r="F23" s="67" t="s">
        <v>64</v>
      </c>
      <c r="G23" s="68">
        <v>0.0</v>
      </c>
      <c r="H23" s="68">
        <v>4.3249988E7</v>
      </c>
      <c r="I23" s="4"/>
      <c r="J23" s="4"/>
      <c r="K23" s="4"/>
      <c r="L23" s="4"/>
      <c r="M23" s="4"/>
      <c r="N23" s="67" t="s">
        <v>53</v>
      </c>
      <c r="O23" s="67" t="s">
        <v>59</v>
      </c>
      <c r="Q23" s="67" t="s">
        <v>60</v>
      </c>
      <c r="R23" s="68">
        <v>0.0</v>
      </c>
      <c r="S23" s="68">
        <v>4.3249988E7</v>
      </c>
    </row>
    <row r="24" ht="15.75" customHeight="1">
      <c r="A24" s="4"/>
      <c r="B24" s="66">
        <v>43322.0</v>
      </c>
      <c r="C24" s="67" t="s">
        <v>20</v>
      </c>
      <c r="D24" s="67" t="s">
        <v>39</v>
      </c>
      <c r="E24" s="67" t="s">
        <v>45</v>
      </c>
      <c r="F24" s="67" t="s">
        <v>64</v>
      </c>
      <c r="G24" s="68">
        <v>4.3249988E7</v>
      </c>
      <c r="H24" s="68">
        <v>0.0</v>
      </c>
      <c r="I24" s="4"/>
      <c r="J24" s="4"/>
      <c r="K24" s="4"/>
      <c r="L24" s="4"/>
      <c r="M24" s="4"/>
      <c r="N24" s="67" t="s">
        <v>50</v>
      </c>
      <c r="O24" s="67" t="s">
        <v>59</v>
      </c>
      <c r="Q24" s="67" t="s">
        <v>62</v>
      </c>
      <c r="R24" s="68">
        <v>4.3249988E7</v>
      </c>
      <c r="S24" s="68">
        <v>0.0</v>
      </c>
    </row>
    <row r="25" ht="15.75" customHeight="1">
      <c r="A25" s="4"/>
      <c r="B25" s="66">
        <v>43322.0</v>
      </c>
      <c r="C25" s="67" t="s">
        <v>20</v>
      </c>
      <c r="D25" s="67" t="s">
        <v>39</v>
      </c>
      <c r="E25" s="67" t="s">
        <v>45</v>
      </c>
      <c r="F25" s="67" t="s">
        <v>63</v>
      </c>
      <c r="G25" s="68">
        <v>0.0</v>
      </c>
      <c r="H25" s="68">
        <v>4.3249988E7</v>
      </c>
      <c r="I25" s="4"/>
      <c r="J25" s="4"/>
      <c r="K25" s="4"/>
      <c r="L25" s="4"/>
      <c r="M25" s="4"/>
      <c r="N25" s="67" t="s">
        <v>53</v>
      </c>
      <c r="O25" s="67" t="s">
        <v>59</v>
      </c>
      <c r="Q25" s="67" t="s">
        <v>62</v>
      </c>
      <c r="R25" s="68">
        <v>0.0</v>
      </c>
      <c r="S25" s="68">
        <v>4.3249988E7</v>
      </c>
    </row>
    <row r="26" ht="15.75" customHeight="1">
      <c r="A26" s="4"/>
      <c r="B26" s="66">
        <v>43323.0</v>
      </c>
      <c r="C26" s="67" t="s">
        <v>20</v>
      </c>
      <c r="D26" s="67" t="s">
        <v>39</v>
      </c>
      <c r="E26" s="67" t="s">
        <v>45</v>
      </c>
      <c r="F26" s="67" t="s">
        <v>63</v>
      </c>
      <c r="G26" s="68">
        <v>4.3249988E7</v>
      </c>
      <c r="H26" s="68">
        <v>0.0</v>
      </c>
      <c r="I26" s="4"/>
      <c r="J26" s="4"/>
      <c r="K26" s="4"/>
      <c r="L26" s="4"/>
      <c r="M26" s="4"/>
      <c r="N26" s="67" t="s">
        <v>50</v>
      </c>
      <c r="O26" s="67" t="s">
        <v>59</v>
      </c>
      <c r="Q26" s="67" t="s">
        <v>60</v>
      </c>
      <c r="R26" s="68">
        <v>4.3249988E7</v>
      </c>
      <c r="S26" s="68">
        <v>0.0</v>
      </c>
    </row>
    <row r="27" ht="15.75" customHeight="1">
      <c r="B27" s="66">
        <v>43323.0</v>
      </c>
      <c r="C27" s="67" t="s">
        <v>20</v>
      </c>
      <c r="D27" s="67" t="s">
        <v>39</v>
      </c>
      <c r="E27" s="67" t="s">
        <v>45</v>
      </c>
      <c r="F27" s="67" t="s">
        <v>64</v>
      </c>
      <c r="G27" s="68">
        <v>0.0</v>
      </c>
      <c r="H27" s="68">
        <v>4.3249988E7</v>
      </c>
      <c r="N27" s="67" t="s">
        <v>53</v>
      </c>
      <c r="O27" s="67" t="s">
        <v>59</v>
      </c>
      <c r="Q27" s="67" t="s">
        <v>60</v>
      </c>
      <c r="R27" s="68">
        <v>0.0</v>
      </c>
      <c r="S27" s="68">
        <v>4.3249988E7</v>
      </c>
    </row>
    <row r="28" ht="15.75" customHeight="1">
      <c r="B28" s="69">
        <v>43323.0</v>
      </c>
      <c r="C28" s="67" t="s">
        <v>20</v>
      </c>
      <c r="D28" s="67" t="s">
        <v>39</v>
      </c>
      <c r="E28" s="67" t="s">
        <v>45</v>
      </c>
      <c r="F28" s="67" t="s">
        <v>64</v>
      </c>
      <c r="G28" s="68">
        <v>4.3249988E7</v>
      </c>
      <c r="H28" s="68">
        <v>0.0</v>
      </c>
      <c r="N28" s="67" t="s">
        <v>50</v>
      </c>
      <c r="O28" s="67" t="s">
        <v>59</v>
      </c>
      <c r="Q28" s="67" t="s">
        <v>62</v>
      </c>
      <c r="R28" s="68">
        <v>4.3249988E7</v>
      </c>
      <c r="S28" s="68">
        <v>0.0</v>
      </c>
    </row>
    <row r="29" ht="15.75" customHeight="1">
      <c r="B29" s="69">
        <v>43323.0</v>
      </c>
      <c r="C29" s="67" t="s">
        <v>20</v>
      </c>
      <c r="D29" s="67" t="s">
        <v>39</v>
      </c>
      <c r="E29" s="67" t="s">
        <v>45</v>
      </c>
      <c r="F29" s="67" t="s">
        <v>63</v>
      </c>
      <c r="G29" s="68">
        <v>0.0</v>
      </c>
      <c r="H29" s="68">
        <v>4.3249988E7</v>
      </c>
      <c r="N29" s="67" t="s">
        <v>53</v>
      </c>
      <c r="O29" s="67" t="s">
        <v>59</v>
      </c>
      <c r="Q29" s="67" t="s">
        <v>62</v>
      </c>
      <c r="R29" s="68">
        <v>0.0</v>
      </c>
      <c r="S29" s="68">
        <v>4.3249988E7</v>
      </c>
    </row>
    <row r="30" ht="15.75" customHeight="1">
      <c r="B30" s="69">
        <v>43321.0</v>
      </c>
      <c r="C30" s="67" t="s">
        <v>20</v>
      </c>
      <c r="D30" s="67" t="s">
        <v>18</v>
      </c>
      <c r="E30" s="67" t="s">
        <v>45</v>
      </c>
      <c r="F30" s="67" t="s">
        <v>66</v>
      </c>
      <c r="G30" s="68">
        <v>150004.0</v>
      </c>
      <c r="H30" s="68">
        <v>0.0</v>
      </c>
      <c r="N30" s="67" t="s">
        <v>50</v>
      </c>
      <c r="O30" s="67" t="s">
        <v>59</v>
      </c>
      <c r="Q30" s="67" t="s">
        <v>67</v>
      </c>
      <c r="R30" s="68">
        <v>150004.0</v>
      </c>
      <c r="S30" s="68">
        <v>0.0</v>
      </c>
    </row>
    <row r="31" ht="15.75" customHeight="1">
      <c r="B31" s="69">
        <v>43321.0</v>
      </c>
      <c r="C31" s="67" t="s">
        <v>20</v>
      </c>
      <c r="D31" s="67" t="s">
        <v>18</v>
      </c>
      <c r="E31" s="67" t="s">
        <v>45</v>
      </c>
      <c r="F31" s="67" t="s">
        <v>52</v>
      </c>
      <c r="G31" s="68">
        <v>0.0</v>
      </c>
      <c r="H31" s="68">
        <v>150004.0</v>
      </c>
      <c r="N31" s="67" t="s">
        <v>53</v>
      </c>
      <c r="O31" s="67" t="s">
        <v>59</v>
      </c>
      <c r="Q31" s="67" t="s">
        <v>67</v>
      </c>
      <c r="R31" s="68">
        <v>0.0</v>
      </c>
      <c r="S31" s="68">
        <v>150004.0</v>
      </c>
    </row>
    <row r="32" ht="15.75" customHeight="1">
      <c r="B32" s="69">
        <v>43321.0</v>
      </c>
      <c r="C32" s="67" t="s">
        <v>20</v>
      </c>
      <c r="D32" s="67" t="s">
        <v>18</v>
      </c>
      <c r="E32" s="67" t="s">
        <v>45</v>
      </c>
      <c r="F32" s="67" t="s">
        <v>61</v>
      </c>
      <c r="G32" s="68">
        <v>19996.0</v>
      </c>
      <c r="H32" s="68">
        <v>0.0</v>
      </c>
      <c r="N32" s="67" t="s">
        <v>50</v>
      </c>
      <c r="O32" s="67" t="s">
        <v>59</v>
      </c>
      <c r="Q32" s="67" t="s">
        <v>60</v>
      </c>
      <c r="R32" s="68">
        <v>19996.0</v>
      </c>
      <c r="S32" s="68">
        <v>0.0</v>
      </c>
    </row>
    <row r="33" ht="15.75" customHeight="1">
      <c r="B33" s="69">
        <v>43321.0</v>
      </c>
      <c r="C33" s="67" t="s">
        <v>20</v>
      </c>
      <c r="D33" s="67" t="s">
        <v>18</v>
      </c>
      <c r="E33" s="67" t="s">
        <v>45</v>
      </c>
      <c r="F33" s="67" t="s">
        <v>58</v>
      </c>
      <c r="G33" s="68">
        <v>0.0</v>
      </c>
      <c r="H33" s="68">
        <v>19996.0</v>
      </c>
      <c r="N33" s="67" t="s">
        <v>53</v>
      </c>
      <c r="O33" s="67" t="s">
        <v>59</v>
      </c>
      <c r="Q33" s="67" t="s">
        <v>60</v>
      </c>
      <c r="R33" s="68">
        <v>0.0</v>
      </c>
      <c r="S33" s="68">
        <v>19996.0</v>
      </c>
    </row>
    <row r="34" ht="15.75" customHeight="1">
      <c r="B34" s="69">
        <v>43321.0</v>
      </c>
      <c r="C34" s="67" t="s">
        <v>20</v>
      </c>
      <c r="D34" s="67" t="s">
        <v>18</v>
      </c>
      <c r="E34" s="67" t="s">
        <v>45</v>
      </c>
      <c r="F34" s="67" t="s">
        <v>58</v>
      </c>
      <c r="G34" s="68">
        <v>19992.0</v>
      </c>
      <c r="H34" s="68">
        <v>0.0</v>
      </c>
      <c r="N34" s="67" t="s">
        <v>50</v>
      </c>
      <c r="O34" s="67" t="s">
        <v>59</v>
      </c>
      <c r="Q34" s="67" t="s">
        <v>62</v>
      </c>
      <c r="R34" s="68">
        <v>19992.0</v>
      </c>
      <c r="S34" s="68">
        <v>0.0</v>
      </c>
    </row>
    <row r="35" ht="15.75" customHeight="1">
      <c r="B35" s="69">
        <v>43321.0</v>
      </c>
      <c r="C35" s="67" t="s">
        <v>20</v>
      </c>
      <c r="D35" s="67" t="s">
        <v>18</v>
      </c>
      <c r="E35" s="67" t="s">
        <v>45</v>
      </c>
      <c r="F35" s="67" t="s">
        <v>61</v>
      </c>
      <c r="G35" s="68">
        <v>0.0</v>
      </c>
      <c r="H35" s="68">
        <v>19992.0</v>
      </c>
      <c r="N35" s="67" t="s">
        <v>53</v>
      </c>
      <c r="O35" s="67" t="s">
        <v>59</v>
      </c>
      <c r="Q35" s="67" t="s">
        <v>62</v>
      </c>
      <c r="R35" s="68">
        <v>0.0</v>
      </c>
      <c r="S35" s="68">
        <v>19992.0</v>
      </c>
    </row>
    <row r="36" ht="15.75" customHeight="1">
      <c r="B36" s="69">
        <v>43322.0</v>
      </c>
      <c r="C36" s="67" t="s">
        <v>20</v>
      </c>
      <c r="D36" s="67" t="s">
        <v>18</v>
      </c>
      <c r="E36" s="67" t="s">
        <v>45</v>
      </c>
      <c r="F36" s="67" t="s">
        <v>66</v>
      </c>
      <c r="G36" s="68">
        <v>75002.0</v>
      </c>
      <c r="H36" s="68">
        <v>0.0</v>
      </c>
      <c r="N36" s="67" t="s">
        <v>50</v>
      </c>
      <c r="O36" s="67" t="s">
        <v>59</v>
      </c>
      <c r="Q36" s="67" t="s">
        <v>67</v>
      </c>
      <c r="R36" s="68">
        <v>75002.0</v>
      </c>
      <c r="S36" s="68">
        <v>0.0</v>
      </c>
    </row>
    <row r="37" ht="15.75" customHeight="1">
      <c r="B37" s="69">
        <v>43322.0</v>
      </c>
      <c r="C37" s="67" t="s">
        <v>20</v>
      </c>
      <c r="D37" s="67" t="s">
        <v>18</v>
      </c>
      <c r="E37" s="67" t="s">
        <v>45</v>
      </c>
      <c r="F37" s="67" t="s">
        <v>52</v>
      </c>
      <c r="G37" s="68">
        <v>0.0</v>
      </c>
      <c r="H37" s="68">
        <v>75002.0</v>
      </c>
      <c r="N37" s="67" t="s">
        <v>53</v>
      </c>
      <c r="O37" s="67" t="s">
        <v>59</v>
      </c>
      <c r="Q37" s="67" t="s">
        <v>67</v>
      </c>
      <c r="R37" s="68">
        <v>0.0</v>
      </c>
      <c r="S37" s="68">
        <v>75002.0</v>
      </c>
    </row>
    <row r="38" ht="15.75" customHeight="1">
      <c r="B38" s="69">
        <v>43322.0</v>
      </c>
      <c r="C38" s="67" t="s">
        <v>20</v>
      </c>
      <c r="D38" s="67" t="s">
        <v>18</v>
      </c>
      <c r="E38" s="67" t="s">
        <v>45</v>
      </c>
      <c r="F38" s="67" t="s">
        <v>61</v>
      </c>
      <c r="G38" s="68">
        <v>14998.0</v>
      </c>
      <c r="H38" s="68">
        <v>0.0</v>
      </c>
      <c r="N38" s="67" t="s">
        <v>50</v>
      </c>
      <c r="O38" s="67" t="s">
        <v>59</v>
      </c>
      <c r="Q38" s="67" t="s">
        <v>60</v>
      </c>
      <c r="R38" s="68">
        <v>14998.0</v>
      </c>
      <c r="S38" s="68">
        <v>0.0</v>
      </c>
    </row>
    <row r="39" ht="15.75" customHeight="1">
      <c r="B39" s="69">
        <v>43322.0</v>
      </c>
      <c r="C39" s="67" t="s">
        <v>20</v>
      </c>
      <c r="D39" s="67" t="s">
        <v>18</v>
      </c>
      <c r="E39" s="67" t="s">
        <v>45</v>
      </c>
      <c r="F39" s="67" t="s">
        <v>58</v>
      </c>
      <c r="G39" s="68">
        <v>0.0</v>
      </c>
      <c r="H39" s="68">
        <v>14998.0</v>
      </c>
      <c r="N39" s="67" t="s">
        <v>53</v>
      </c>
      <c r="O39" s="67" t="s">
        <v>59</v>
      </c>
      <c r="Q39" s="67" t="s">
        <v>60</v>
      </c>
      <c r="R39" s="68">
        <v>0.0</v>
      </c>
      <c r="S39" s="68">
        <v>14998.0</v>
      </c>
    </row>
    <row r="40" ht="15.75" customHeight="1">
      <c r="B40" s="69">
        <v>43322.0</v>
      </c>
      <c r="C40" s="67" t="s">
        <v>20</v>
      </c>
      <c r="D40" s="67" t="s">
        <v>18</v>
      </c>
      <c r="E40" s="67" t="s">
        <v>45</v>
      </c>
      <c r="F40" s="67" t="s">
        <v>58</v>
      </c>
      <c r="G40" s="68">
        <v>19996.0</v>
      </c>
      <c r="H40" s="68">
        <v>0.0</v>
      </c>
      <c r="N40" s="67" t="s">
        <v>50</v>
      </c>
      <c r="O40" s="67" t="s">
        <v>59</v>
      </c>
      <c r="Q40" s="67" t="s">
        <v>62</v>
      </c>
      <c r="R40" s="68">
        <v>19996.0</v>
      </c>
      <c r="S40" s="68">
        <v>0.0</v>
      </c>
    </row>
    <row r="41" ht="15.75" customHeight="1">
      <c r="B41" s="69">
        <v>43322.0</v>
      </c>
      <c r="C41" s="67" t="s">
        <v>20</v>
      </c>
      <c r="D41" s="67" t="s">
        <v>18</v>
      </c>
      <c r="E41" s="67" t="s">
        <v>45</v>
      </c>
      <c r="F41" s="67" t="s">
        <v>61</v>
      </c>
      <c r="G41" s="68">
        <v>0.0</v>
      </c>
      <c r="H41" s="68">
        <v>19996.0</v>
      </c>
      <c r="N41" s="67" t="s">
        <v>53</v>
      </c>
      <c r="O41" s="67" t="s">
        <v>59</v>
      </c>
      <c r="Q41" s="67" t="s">
        <v>62</v>
      </c>
      <c r="R41" s="68">
        <v>0.0</v>
      </c>
      <c r="S41" s="68">
        <v>19996.0</v>
      </c>
    </row>
    <row r="42" ht="15.75" customHeight="1">
      <c r="B42" s="69">
        <v>43323.0</v>
      </c>
      <c r="C42" s="67" t="s">
        <v>20</v>
      </c>
      <c r="D42" s="67" t="s">
        <v>18</v>
      </c>
      <c r="E42" s="67" t="s">
        <v>45</v>
      </c>
      <c r="F42" s="67" t="s">
        <v>61</v>
      </c>
      <c r="G42" s="68">
        <v>14998.0</v>
      </c>
      <c r="H42" s="68">
        <v>0.0</v>
      </c>
      <c r="N42" s="67" t="s">
        <v>50</v>
      </c>
      <c r="O42" s="67" t="s">
        <v>59</v>
      </c>
      <c r="Q42" s="67" t="s">
        <v>60</v>
      </c>
      <c r="R42" s="68">
        <v>14998.0</v>
      </c>
      <c r="S42" s="68">
        <v>0.0</v>
      </c>
    </row>
    <row r="43" ht="15.75" customHeight="1">
      <c r="B43" s="69">
        <v>43323.0</v>
      </c>
      <c r="C43" s="67" t="s">
        <v>20</v>
      </c>
      <c r="D43" s="67" t="s">
        <v>18</v>
      </c>
      <c r="E43" s="67" t="s">
        <v>45</v>
      </c>
      <c r="F43" s="67" t="s">
        <v>58</v>
      </c>
      <c r="G43" s="68">
        <v>0.0</v>
      </c>
      <c r="H43" s="68">
        <v>14998.0</v>
      </c>
      <c r="N43" s="67" t="s">
        <v>53</v>
      </c>
      <c r="O43" s="67" t="s">
        <v>59</v>
      </c>
      <c r="Q43" s="67" t="s">
        <v>60</v>
      </c>
      <c r="R43" s="68">
        <v>0.0</v>
      </c>
      <c r="S43" s="68">
        <v>14998.0</v>
      </c>
    </row>
    <row r="44" ht="15.75" customHeight="1">
      <c r="B44" s="66">
        <v>43323.0</v>
      </c>
      <c r="C44" s="67" t="s">
        <v>20</v>
      </c>
      <c r="D44" s="67" t="s">
        <v>18</v>
      </c>
      <c r="E44" s="67" t="s">
        <v>45</v>
      </c>
      <c r="F44" s="67" t="s">
        <v>58</v>
      </c>
      <c r="G44" s="68">
        <v>14998.0</v>
      </c>
      <c r="H44" s="68">
        <v>0.0</v>
      </c>
      <c r="N44" s="67" t="s">
        <v>50</v>
      </c>
      <c r="O44" s="67" t="s">
        <v>59</v>
      </c>
      <c r="Q44" s="67" t="s">
        <v>62</v>
      </c>
      <c r="R44" s="68">
        <v>14998.0</v>
      </c>
      <c r="S44" s="68">
        <v>0.0</v>
      </c>
    </row>
    <row r="45" ht="15.75" customHeight="1">
      <c r="B45" s="66">
        <v>43323.0</v>
      </c>
      <c r="C45" s="67" t="s">
        <v>20</v>
      </c>
      <c r="D45" s="67" t="s">
        <v>18</v>
      </c>
      <c r="E45" s="67" t="s">
        <v>45</v>
      </c>
      <c r="F45" s="67" t="s">
        <v>61</v>
      </c>
      <c r="G45" s="68">
        <v>0.0</v>
      </c>
      <c r="H45" s="68">
        <v>14998.0</v>
      </c>
      <c r="N45" s="67" t="s">
        <v>53</v>
      </c>
      <c r="O45" s="67" t="s">
        <v>59</v>
      </c>
      <c r="Q45" s="67" t="s">
        <v>62</v>
      </c>
      <c r="R45" s="68">
        <v>0.0</v>
      </c>
      <c r="S45" s="68">
        <v>14998.0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VerifyRevaluationData2!$4:$4</formula1>
    </dataValidation>
  </dataValidations>
  <drawing r:id="rId1"/>
</worksheet>
</file>