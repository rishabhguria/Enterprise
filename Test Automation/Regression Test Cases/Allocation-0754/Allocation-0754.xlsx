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7" activeTab="7"/>
  </bookViews>
  <sheets>
    <sheet name="CustomOrderTT" sheetId="1" r:id="rId1"/>
    <sheet name="SetAutoGroupingPreferences" sheetId="28" r:id="rId2"/>
    <sheet name="SetAutoGroupingAccount" sheetId="29" r:id="rId3"/>
    <sheet name="AcknowledgeTrade" sheetId="32" r:id="rId4"/>
    <sheet name="ExecuteTrade" sheetId="33" r:id="rId5"/>
    <sheet name="AcknowledgeTrade1" sheetId="34" r:id="rId6"/>
    <sheet name="ExecuteTrade1" sheetId="35" r:id="rId7"/>
    <sheet name="CheckUnallocatedGroups" sheetId="45" r:id="rId8"/>
    <sheet name="SelectUnallocatedGroup" sheetId="46" r:id="rId9"/>
    <sheet name="EditUnallocatedGroupSidePanel" sheetId="4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<sst xmlns="http://schemas.openxmlformats.org/spreadsheetml/2006/main" count="319" uniqueCount="171">
  <si>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</si>
  <si>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</si>
  <si>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</si>
  <si>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</si>
  <si>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</si>
  <si>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</si>
  <si>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</si>
  <si>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</si>
  <si>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</si>
  <si>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</si>
  <si>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</si>
  <si>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</si>
  <si>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</si>
  <si>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</si>
  <si>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</si>
  <si>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</si>
  <si>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</si>
  <si>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</si>
  <si>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</si>
  <si>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</si>
  <si>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</si>
  <si>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</si>
  <si>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</si>
  <si>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</si>
  <si>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</si>
  <si>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</si>
  <si>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</si>
  <si>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</si>
  <si>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</si>
  <si>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</si>
  <si>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</si>
  <si>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</si>
  <si>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</si>
  <si>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</si>
  <si>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</si>
  <si>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</si>
  <si>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</si>
  <si>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</t>
  </si>
  <si>
    <t>Buy</t>
  </si>
  <si>
    <t>Unallocated</t>
  </si>
  <si>
    <t>Send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</si>
  <si>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</si>
  <si>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</si>
  <si>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</si>
  <si>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</si>
  <si>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</si>
  <si>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</si>
  <si>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</si>
  <si>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</si>
  <si>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</si>
  <si>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</si>
  <si>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</si>
  <si>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</si>
  <si>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</si>
  <si>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</si>
  <si>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</si>
  <si>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</si>
  <si>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</si>
  <si>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</si>
  <si>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</si>
  <si>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</si>
  <si>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</si>
  <si>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</si>
  <si>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</si>
  <si>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</si>
  <si>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</si>
  <si>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</si>
  <si>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</si>
  <si>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</si>
  <si>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</si>
  <si>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</si>
  <si>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</si>
  <si>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</si>
  <si>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</si>
  <si>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</si>
  <si>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</si>
  <si>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</si>
  <si>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</si>
  <si>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</si>
  <si>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</si>
  <si>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</si>
  <si>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</si>
  <si>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</si>
  <si>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</si>
  <si>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</si>
  <si>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</si>
  <si>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</si>
  <si>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</si>
  <si>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</si>
  <si>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</si>
  <si>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</si>
  <si>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</si>
  <si>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</si>
  <si>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</si>
  <si>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</si>
  <si>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</si>
  <si>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</si>
  <si>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</si>
  <si>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</si>
  <si>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</si>
  <si>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</si>
  <si>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</si>
  <si>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</si>
  <si>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</si>
  <si>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</si>
  <si>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</si>
  <si>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</si>
  <si>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</si>
  <si>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</si>
  <si>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</si>
  <si>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</si>
  <si>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</si>
  <si>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</si>
  <si>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</si>
  <si>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</si>
  <si>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</si>
  <si>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</si>
  <si>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</si>
  <si>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</si>
  <si>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</si>
  <si>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</si>
  <si>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</si>
  <si>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</si>
  <si>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</si>
  <si>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</si>
  <si>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</si>
  <si>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Date</t>
  </si>
  <si>
    <t>Expiration Date</t>
  </si>
  <si>
    <t>Master Fund</t>
  </si>
  <si>
    <t>Borrow Broker</t>
  </si>
  <si>
    <t>MandatoryColumn</t>
  </si>
  <si>
    <t>Equity</t>
  </si>
  <si>
    <t>A US EQUITY</t>
  </si>
  <si>
    <t>MS</t>
  </si>
  <si>
    <t>NONE</t>
  </si>
  <si>
    <t>Open</t>
  </si>
  <si>
    <t>AGILENT TECH</t>
  </si>
  <si>
    <t>USD</t>
  </si>
  <si>
    <t>NYSE</t>
  </si>
  <si>
    <t>M</t>
  </si>
  <si>
    <t>None</t>
  </si>
  <si>
    <t>DefaultNotes</t>
  </si>
  <si>
    <t>Market</t>
  </si>
  <si>
    <t>InternalOrder</t>
  </si>
  <si>
    <t>GCCAP1</t>
  </si>
  <si>
    <t>TradingTicket</t>
  </si>
  <si>
    <t>US</t>
  </si>
  <si>
    <t>jpearce</t>
  </si>
  <si>
    <t>NASDAQ</t>
  </si>
  <si>
    <t>Client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</si>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</sst>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6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0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4" fillId="0" borderId="0" xfId="0" applyFont="1" applyFill="1" applyBorder="1" applyAlignmen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180" fontId="1" fillId="0" borderId="1" xfId="0" applyNumberFormat="1" applyFont="1" applyBorder="1" applyAlignment="1">
      <alignment wrapText="1" readingOrder="1"/>
    </xf>
    <xf numFmtId="0" fontId="3" fillId="2" borderId="1" xfId="0" applyFont="1" applyFill="1" applyBorder="1"/>
    <xf numFmtId="0" fontId="5" fillId="0" borderId="0" xfId="0" applyFont="1" applyFill="1" applyBorder="1" applyAlignment="1"/>
    <xf numFmtId="0" fontId="2" fillId="3" borderId="0" xfId="0" applyFont="1" applyFill="1" applyBorder="1" applyAlignment="1"/>
    <xf numFmtId="0" fontId="3" fillId="3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L7"/>
  <sheetViews>
    <sheetView workbookViewId="0">
      <selection activeCell="Q12" sqref="Q12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="10" customFormat="1" ht="15.75" customHeight="1" spans="1:31">
      <c r="A6" s="4"/>
      <c r="B6" s="4" t="s">
        <v>37</v>
      </c>
      <c r="C6" s="4" t="s">
        <v>38</v>
      </c>
      <c r="D6" s="4">
        <v>37500</v>
      </c>
      <c r="F6" s="4" t="s">
        <v>39</v>
      </c>
      <c r="G6" s="4"/>
      <c r="H6" s="4"/>
      <c r="J6" s="4">
        <v>1</v>
      </c>
      <c r="K6" s="4"/>
      <c r="M6" s="4"/>
      <c r="N6" s="4"/>
      <c r="O6" s="4"/>
      <c r="AE6" s="4" t="s">
        <v>40</v>
      </c>
    </row>
    <row r="7" s="10" customFormat="1" ht="15.75" customHeight="1" spans="1:31">
      <c r="A7" s="4"/>
      <c r="B7" s="4" t="s">
        <v>37</v>
      </c>
      <c r="C7" s="4" t="s">
        <v>38</v>
      </c>
      <c r="D7" s="4">
        <v>5000</v>
      </c>
      <c r="F7" s="4" t="s">
        <v>39</v>
      </c>
      <c r="G7" s="4"/>
      <c r="H7" s="4"/>
      <c r="J7" s="4">
        <v>1</v>
      </c>
      <c r="M7" s="4"/>
      <c r="N7" s="4"/>
      <c r="O7" s="4"/>
      <c r="AE7" s="4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K7" sqref="K7"/>
    </sheetView>
  </sheetViews>
  <sheetFormatPr defaultColWidth="9.14285714285714" defaultRowHeight="15" outlineLevelRow="5"/>
  <sheetData>
    <row r="5" s="10" customFormat="1" ht="15.75" customHeight="1" spans="1:154">
      <c r="A5" s="11" t="str">
        <f>IFERROR(__xludf.DUMMYFUNCTION("TRANSPOSE(IMPORTRANGE(VLOOKUP($E$3,IMPORTRANGE('_Settings'!$B$3,$C$3&amp;""!A4:B1000""),2,FALSE),$G$3&amp;""!A4:A1000""))"),"")</f>
        <v/>
      </c>
      <c r="B5" s="11" t="str">
        <f>IFERROR(__xludf.DUMMYFUNCTION("""COMPUTED_VALUE"""),"AutoGroup")</f>
        <v>AutoGroup</v>
      </c>
      <c r="C5" s="11" t="str">
        <f>IFERROR(__xludf.DUMMYFUNCTION("""COMPUTED_VALUE"""),"TradeAttribute1")</f>
        <v>TradeAttribute1</v>
      </c>
      <c r="D5" s="11" t="str">
        <f>IFERROR(__xludf.DUMMYFUNCTION("""COMPUTED_VALUE"""),"TradeAttribute2")</f>
        <v>TradeAttribute2</v>
      </c>
      <c r="E5" s="11" t="str">
        <f>IFERROR(__xludf.DUMMYFUNCTION("""COMPUTED_VALUE"""),"TradeAttribute3")</f>
        <v>TradeAttribute3</v>
      </c>
      <c r="F5" s="11" t="str">
        <f>IFERROR(__xludf.DUMMYFUNCTION("""COMPUTED_VALUE"""),"TradeAttribute4")</f>
        <v>TradeAttribute4</v>
      </c>
      <c r="G5" s="11" t="str">
        <f>IFERROR(__xludf.DUMMYFUNCTION("""COMPUTED_VALUE"""),"TradeAttribute5")</f>
        <v>TradeAttribute5</v>
      </c>
      <c r="H5" s="11" t="str">
        <f>IFERROR(__xludf.DUMMYFUNCTION("""COMPUTED_VALUE"""),"TradeAttribute6")</f>
        <v>TradeAttribute6</v>
      </c>
      <c r="I5" s="11" t="str">
        <f>IFERROR(__xludf.DUMMYFUNCTION("""COMPUTED_VALUE"""),"Broker")</f>
        <v>Broker</v>
      </c>
      <c r="J5" s="11" t="str">
        <f>IFERROR(__xludf.DUMMYFUNCTION("""COMPUTED_VALUE"""),"Venue")</f>
        <v>Venue</v>
      </c>
      <c r="K5" s="11" t="str">
        <f>IFERROR(__xludf.DUMMYFUNCTION("""COMPUTED_VALUE"""),"TradingAC")</f>
        <v>TradingAC</v>
      </c>
      <c r="L5" s="11" t="str">
        <f>IFERROR(__xludf.DUMMYFUNCTION("""COMPUTED_VALUE"""),"TradeDate")</f>
        <v>TradeDate</v>
      </c>
      <c r="M5" s="11" t="str">
        <f>IFERROR(__xludf.DUMMYFUNCTION("""COMPUTED_VALUE"""),"ProcessDate")</f>
        <v>ProcessDate</v>
      </c>
      <c r="N5" s="11"/>
      <c r="O5" s="11"/>
      <c r="P5" s="11"/>
      <c r="Q5" s="11"/>
      <c r="R5" s="11"/>
      <c r="S5" s="1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</row>
    <row r="6" s="10" customFormat="1" ht="15.75" customHeight="1" spans="1:15">
      <c r="A6" s="4"/>
      <c r="B6" s="4" t="b">
        <v>1</v>
      </c>
      <c r="C6" s="4"/>
      <c r="D6" s="4"/>
      <c r="E6" s="4"/>
      <c r="F6" s="4"/>
      <c r="G6" s="4"/>
      <c r="H6" s="4"/>
      <c r="I6" s="4"/>
      <c r="J6" s="4"/>
      <c r="K6" s="4" t="b">
        <v>1</v>
      </c>
      <c r="L6" s="4"/>
      <c r="M6" s="4"/>
      <c r="N6" s="4"/>
      <c r="O6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B6" sqref="B6"/>
    </sheetView>
  </sheetViews>
  <sheetFormatPr defaultColWidth="9.14285714285714" defaultRowHeight="15" outlineLevelRow="5" outlineLevelCol="1"/>
  <sheetData>
    <row r="5" spans="2:2">
      <c r="B5" s="11" t="str">
        <f>IFERROR(__xludf.DUMMYFUNCTION("""COMPUTED_VALUE"""),"FundName")</f>
        <v>FundName</v>
      </c>
    </row>
    <row r="6" spans="2:2">
      <c r="B6" s="4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10" customFormat="1" ht="15.75" customHeight="1" spans="1:154">
      <c r="A5" s="11" t="str">
        <f>IFERROR(__xludf.DUMMYFUNCTION("TRANSPOSE(IMPORTRANGE(VLOOKUP($E$3,IMPORTRANGE('_Settings'!$B$3,$C$3&amp;""!A4:B1000""),2,FALSE),$G$3&amp;""!A4:A1000""))"),"")</f>
        <v/>
      </c>
      <c r="B5" s="11" t="str">
        <f>IFERROR(__xludf.DUMMYFUNCTION("""COMPUTED_VALUE"""),"Side")</f>
        <v>Side</v>
      </c>
      <c r="C5" s="11" t="str">
        <f>IFERROR(__xludf.DUMMYFUNCTION("""COMPUTED_VALUE"""),"Symbol")</f>
        <v>Symbol</v>
      </c>
      <c r="D5" s="11" t="str">
        <f>IFERROR(__xludf.DUMMYFUNCTION("""COMPUTED_VALUE"""),"Order Type")</f>
        <v>Order Type</v>
      </c>
      <c r="E5" s="11" t="str">
        <f>IFERROR(__xludf.DUMMYFUNCTION("""COMPUTED_VALUE"""),"Price")</f>
        <v>Price</v>
      </c>
      <c r="F5" s="11" t="str">
        <f>IFERROR(__xludf.DUMMYFUNCTION("""COMPUTED_VALUE"""),"AvgPrice")</f>
        <v>AvgPrice</v>
      </c>
      <c r="G5" s="11" t="str">
        <f>IFERROR(__xludf.DUMMYFUNCTION("""COMPUTED_VALUE"""),"Quantity")</f>
        <v>Quantity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</row>
    <row r="6" s="10" customFormat="1" ht="15.75" customHeight="1" spans="1:15">
      <c r="A6" s="4"/>
      <c r="B6" s="4"/>
      <c r="C6" s="4" t="s">
        <v>37</v>
      </c>
      <c r="E6" s="4"/>
      <c r="F6" s="4"/>
      <c r="G6" s="4">
        <v>37500</v>
      </c>
      <c r="H6" s="4"/>
      <c r="I6" s="4"/>
      <c r="J6" s="4"/>
      <c r="K6" s="4"/>
      <c r="L6" s="4"/>
      <c r="M6" s="4"/>
      <c r="N6" s="4"/>
      <c r="O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10" customFormat="1" ht="15.75" customHeight="1" spans="1:154">
      <c r="A5" s="11" t="str">
        <f>IFERROR(__xludf.DUMMYFUNCTION("TRANSPOSE(IMPORTRANGE(VLOOKUP($E$3,IMPORTRANGE('_Settings'!$B$3,$C$3&amp;""!A4:B1000""),2,FALSE),$G$3&amp;""!A4:A1000""))"),"")</f>
        <v/>
      </c>
      <c r="B5" s="11" t="str">
        <f>IFERROR(__xludf.DUMMYFUNCTION("""COMPUTED_VALUE"""),"Price")</f>
        <v>Price</v>
      </c>
      <c r="C5" s="11" t="str">
        <f>IFERROR(__xludf.DUMMYFUNCTION("""COMPUTED_VALUE"""),"Shares")</f>
        <v>Shares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</row>
    <row r="6" s="10" customFormat="1" ht="15.75" customHeight="1" spans="1:15">
      <c r="A6" s="4"/>
      <c r="B6" s="4">
        <v>1</v>
      </c>
      <c r="C6" s="4">
        <v>37500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10" customFormat="1" ht="15.75" customHeight="1" spans="1:154">
      <c r="A5" s="11" t="str">
        <f>IFERROR(__xludf.DUMMYFUNCTION("TRANSPOSE(IMPORTRANGE(VLOOKUP($E$3,IMPORTRANGE('_Settings'!$B$3,$C$3&amp;""!A4:B1000""),2,FALSE),$G$3&amp;""!A4:A1000""))"),"")</f>
        <v/>
      </c>
      <c r="B5" s="11" t="str">
        <f>IFERROR(__xludf.DUMMYFUNCTION("""COMPUTED_VALUE"""),"Side")</f>
        <v>Side</v>
      </c>
      <c r="C5" s="11" t="str">
        <f>IFERROR(__xludf.DUMMYFUNCTION("""COMPUTED_VALUE"""),"Symbol")</f>
        <v>Symbol</v>
      </c>
      <c r="D5" s="11" t="str">
        <f>IFERROR(__xludf.DUMMYFUNCTION("""COMPUTED_VALUE"""),"Order Type")</f>
        <v>Order Type</v>
      </c>
      <c r="E5" s="11" t="str">
        <f>IFERROR(__xludf.DUMMYFUNCTION("""COMPUTED_VALUE"""),"Price")</f>
        <v>Price</v>
      </c>
      <c r="F5" s="11" t="str">
        <f>IFERROR(__xludf.DUMMYFUNCTION("""COMPUTED_VALUE"""),"AvgPrice")</f>
        <v>AvgPrice</v>
      </c>
      <c r="G5" s="11" t="str">
        <f>IFERROR(__xludf.DUMMYFUNCTION("""COMPUTED_VALUE"""),"Quantity")</f>
        <v>Quantity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</row>
    <row r="6" s="10" customFormat="1" ht="15.75" customHeight="1" spans="1:15">
      <c r="A6" s="4"/>
      <c r="B6" s="4"/>
      <c r="C6" s="4" t="s">
        <v>37</v>
      </c>
      <c r="E6" s="4"/>
      <c r="F6" s="4"/>
      <c r="G6" s="4">
        <v>5000</v>
      </c>
      <c r="H6" s="4"/>
      <c r="I6" s="4"/>
      <c r="J6" s="4"/>
      <c r="K6" s="4"/>
      <c r="L6" s="4"/>
      <c r="M6" s="4"/>
      <c r="N6" s="4"/>
      <c r="O6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10" customFormat="1" ht="15.75" customHeight="1" spans="1:154">
      <c r="A5" s="11" t="str">
        <f>IFERROR(__xludf.DUMMYFUNCTION("TRANSPOSE(IMPORTRANGE(VLOOKUP($E$3,IMPORTRANGE('_Settings'!$B$3,$C$3&amp;""!A4:B1000""),2,FALSE),$G$3&amp;""!A4:A1000""))"),"")</f>
        <v/>
      </c>
      <c r="B5" s="11" t="str">
        <f>IFERROR(__xludf.DUMMYFUNCTION("""COMPUTED_VALUE"""),"Price")</f>
        <v>Price</v>
      </c>
      <c r="C5" s="11" t="str">
        <f>IFERROR(__xludf.DUMMYFUNCTION("""COMPUTED_VALUE"""),"Shares")</f>
        <v>Shares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</row>
    <row r="6" s="10" customFormat="1" ht="15.75" customHeight="1" spans="1:15">
      <c r="A6" s="4"/>
      <c r="B6" s="4">
        <v>1</v>
      </c>
      <c r="C6" s="4">
        <v>5000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7"/>
  <sheetViews>
    <sheetView tabSelected="1" topLeftCell="AX1" workbookViewId="0">
      <selection activeCell="BE6" sqref="BE6"/>
    </sheetView>
  </sheetViews>
  <sheetFormatPr defaultColWidth="9.14285714285714" defaultRowHeight="15" outlineLevelRow="6"/>
  <sheetData>
    <row r="4" ht="15.75"/>
    <row r="5" ht="51.75" spans="1:154">
      <c r="A5" s="1"/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5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3" t="s">
        <v>58</v>
      </c>
      <c r="U5" s="3" t="s">
        <v>59</v>
      </c>
      <c r="V5" s="3" t="s">
        <v>60</v>
      </c>
      <c r="W5" s="3" t="s">
        <v>61</v>
      </c>
      <c r="X5" s="3" t="s">
        <v>62</v>
      </c>
      <c r="Y5" s="3" t="s">
        <v>63</v>
      </c>
      <c r="Z5" s="3" t="s">
        <v>64</v>
      </c>
      <c r="AA5" s="3" t="s">
        <v>65</v>
      </c>
      <c r="AB5" s="3" t="s">
        <v>66</v>
      </c>
      <c r="AC5" s="3" t="s">
        <v>67</v>
      </c>
      <c r="AD5" s="3" t="s">
        <v>68</v>
      </c>
      <c r="AE5" s="3" t="s">
        <v>69</v>
      </c>
      <c r="AF5" s="3" t="s">
        <v>70</v>
      </c>
      <c r="AG5" s="3" t="s">
        <v>71</v>
      </c>
      <c r="AH5" s="3" t="s">
        <v>72</v>
      </c>
      <c r="AI5" s="3" t="s">
        <v>73</v>
      </c>
      <c r="AJ5" s="3" t="s">
        <v>74</v>
      </c>
      <c r="AK5" s="3" t="s">
        <v>75</v>
      </c>
      <c r="AL5" s="3" t="s">
        <v>76</v>
      </c>
      <c r="AM5" s="3" t="s">
        <v>77</v>
      </c>
      <c r="AN5" s="3" t="s">
        <v>78</v>
      </c>
      <c r="AO5" s="3" t="s">
        <v>79</v>
      </c>
      <c r="AP5" s="3" t="s">
        <v>80</v>
      </c>
      <c r="AQ5" s="3" t="s">
        <v>81</v>
      </c>
      <c r="AR5" s="3" t="s">
        <v>82</v>
      </c>
      <c r="AS5" s="3" t="s">
        <v>83</v>
      </c>
      <c r="AT5" s="3" t="s">
        <v>84</v>
      </c>
      <c r="AU5" s="3" t="s">
        <v>85</v>
      </c>
      <c r="AV5" s="3" t="s">
        <v>86</v>
      </c>
      <c r="AW5" s="3" t="s">
        <v>87</v>
      </c>
      <c r="AX5" s="3" t="s">
        <v>88</v>
      </c>
      <c r="AY5" s="3" t="s">
        <v>7</v>
      </c>
      <c r="AZ5" s="3" t="s">
        <v>89</v>
      </c>
      <c r="BA5" s="3" t="s">
        <v>90</v>
      </c>
      <c r="BB5" s="3" t="s">
        <v>91</v>
      </c>
      <c r="BC5" s="3" t="s">
        <v>92</v>
      </c>
      <c r="BD5" s="3" t="s">
        <v>93</v>
      </c>
      <c r="BE5" s="3" t="s">
        <v>94</v>
      </c>
      <c r="BF5" s="3" t="s">
        <v>95</v>
      </c>
      <c r="BG5" s="3" t="s">
        <v>96</v>
      </c>
      <c r="BH5" s="3" t="s">
        <v>97</v>
      </c>
      <c r="BI5" s="3" t="s">
        <v>98</v>
      </c>
      <c r="BJ5" s="3" t="s">
        <v>2</v>
      </c>
      <c r="BK5" s="3" t="s">
        <v>99</v>
      </c>
      <c r="BL5" s="3" t="s">
        <v>100</v>
      </c>
      <c r="BM5" s="3" t="s">
        <v>101</v>
      </c>
      <c r="BN5" s="3" t="s">
        <v>102</v>
      </c>
      <c r="BO5" s="3" t="s">
        <v>103</v>
      </c>
      <c r="BP5" s="3" t="s">
        <v>104</v>
      </c>
      <c r="BQ5" s="3" t="s">
        <v>105</v>
      </c>
      <c r="BR5" s="3" t="s">
        <v>106</v>
      </c>
      <c r="BS5" s="3" t="s">
        <v>0</v>
      </c>
      <c r="BT5" s="3" t="s">
        <v>107</v>
      </c>
      <c r="BU5" s="3" t="s">
        <v>108</v>
      </c>
      <c r="BV5" s="3" t="s">
        <v>109</v>
      </c>
      <c r="BW5" s="3" t="s">
        <v>110</v>
      </c>
      <c r="BX5" s="3" t="s">
        <v>111</v>
      </c>
      <c r="BY5" s="3" t="s">
        <v>112</v>
      </c>
      <c r="BZ5" s="3" t="s">
        <v>113</v>
      </c>
      <c r="CA5" s="3" t="s">
        <v>114</v>
      </c>
      <c r="CB5" s="3" t="s">
        <v>115</v>
      </c>
      <c r="CC5" s="3" t="s">
        <v>116</v>
      </c>
      <c r="CD5" s="3" t="s">
        <v>12</v>
      </c>
      <c r="CE5" s="3" t="s">
        <v>117</v>
      </c>
      <c r="CF5" s="3" t="s">
        <v>118</v>
      </c>
      <c r="CG5" s="3" t="s">
        <v>119</v>
      </c>
      <c r="CH5" s="3" t="s">
        <v>120</v>
      </c>
      <c r="CI5" s="3" t="s">
        <v>121</v>
      </c>
      <c r="CJ5" s="3" t="s">
        <v>122</v>
      </c>
      <c r="CK5" s="3" t="s">
        <v>123</v>
      </c>
      <c r="CL5" s="3" t="s">
        <v>124</v>
      </c>
      <c r="CM5" s="3" t="s">
        <v>125</v>
      </c>
      <c r="CN5" s="3" t="s">
        <v>25</v>
      </c>
      <c r="CO5" s="3" t="s">
        <v>126</v>
      </c>
      <c r="CP5" s="3" t="s">
        <v>127</v>
      </c>
      <c r="CQ5" s="3" t="s">
        <v>128</v>
      </c>
      <c r="CR5" s="3" t="s">
        <v>129</v>
      </c>
      <c r="CS5" s="9" t="s">
        <v>130</v>
      </c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026">
      <c r="A6" s="5"/>
      <c r="B6" s="5"/>
      <c r="C6" s="6">
        <v>0</v>
      </c>
      <c r="D6" s="6">
        <v>0</v>
      </c>
      <c r="E6" s="5"/>
      <c r="F6" s="5" t="s">
        <v>131</v>
      </c>
      <c r="G6" s="6">
        <v>45</v>
      </c>
      <c r="H6" s="6">
        <v>0</v>
      </c>
      <c r="I6" s="6">
        <v>15</v>
      </c>
      <c r="J6" s="6">
        <v>20</v>
      </c>
      <c r="K6" s="6">
        <v>20</v>
      </c>
      <c r="L6" s="5" t="s">
        <v>132</v>
      </c>
      <c r="M6" s="5"/>
      <c r="N6" s="5" t="s">
        <v>133</v>
      </c>
      <c r="O6" s="5"/>
      <c r="P6" s="6">
        <v>3</v>
      </c>
      <c r="Q6" s="6">
        <v>0</v>
      </c>
      <c r="R6" s="5" t="s">
        <v>134</v>
      </c>
      <c r="S6" s="5" t="s">
        <v>135</v>
      </c>
      <c r="T6" s="6">
        <v>0</v>
      </c>
      <c r="U6" s="6">
        <v>0</v>
      </c>
      <c r="V6" s="5" t="s">
        <v>136</v>
      </c>
      <c r="W6" s="6">
        <v>1</v>
      </c>
      <c r="X6" s="5"/>
      <c r="Y6" s="5"/>
      <c r="Z6" s="5" t="s">
        <v>137</v>
      </c>
      <c r="AA6" s="6">
        <v>4555164</v>
      </c>
      <c r="AB6" s="6">
        <v>1</v>
      </c>
      <c r="AC6" s="5"/>
      <c r="AD6" s="5" t="s">
        <v>138</v>
      </c>
      <c r="AE6" s="6">
        <v>5000</v>
      </c>
      <c r="AF6" s="6"/>
      <c r="AG6" s="5" t="s">
        <v>139</v>
      </c>
      <c r="AH6" s="6">
        <v>1</v>
      </c>
      <c r="AI6" s="5" t="s">
        <v>140</v>
      </c>
      <c r="AJ6" s="6"/>
      <c r="AK6" s="5"/>
      <c r="AL6" s="5"/>
      <c r="AM6" s="5" t="s">
        <v>141</v>
      </c>
      <c r="AN6" s="7" t="b">
        <v>0</v>
      </c>
      <c r="AO6" s="5"/>
      <c r="AP6" s="7" t="b">
        <v>0</v>
      </c>
      <c r="AQ6" s="7" t="b">
        <v>0</v>
      </c>
      <c r="AR6" s="7" t="b">
        <v>0</v>
      </c>
      <c r="AS6" s="6">
        <v>0</v>
      </c>
      <c r="AT6" s="5"/>
      <c r="AU6" s="5"/>
      <c r="AV6" s="8"/>
      <c r="AW6" s="6">
        <v>0</v>
      </c>
      <c r="AX6" s="6">
        <v>0</v>
      </c>
      <c r="AY6" s="5" t="s">
        <v>142</v>
      </c>
      <c r="AZ6" s="6">
        <v>0</v>
      </c>
      <c r="BA6" s="8"/>
      <c r="BB6" s="5"/>
      <c r="BC6" s="6">
        <v>0</v>
      </c>
      <c r="BD6" s="5" t="s">
        <v>143</v>
      </c>
      <c r="BE6" s="5"/>
      <c r="BF6" s="5"/>
      <c r="BG6" s="8"/>
      <c r="BH6" s="5"/>
      <c r="BI6" s="5"/>
      <c r="BJ6" s="6">
        <v>5000</v>
      </c>
      <c r="BK6" s="6">
        <v>0</v>
      </c>
      <c r="BL6" s="5"/>
      <c r="BM6" s="5" t="s">
        <v>137</v>
      </c>
      <c r="BN6" s="8"/>
      <c r="BO6" s="5" t="s">
        <v>38</v>
      </c>
      <c r="BP6" s="6">
        <v>0</v>
      </c>
      <c r="BQ6" s="6">
        <v>0</v>
      </c>
      <c r="BR6" s="6">
        <v>0.875</v>
      </c>
      <c r="BS6" s="5" t="s">
        <v>37</v>
      </c>
      <c r="BT6" s="6">
        <v>1</v>
      </c>
      <c r="BU6" s="6">
        <v>0</v>
      </c>
      <c r="BV6" s="6">
        <v>46.875</v>
      </c>
      <c r="BW6" s="6">
        <v>0</v>
      </c>
      <c r="BX6" s="5"/>
      <c r="BY6" s="5"/>
      <c r="BZ6" s="5"/>
      <c r="CA6" s="5"/>
      <c r="CB6" s="5"/>
      <c r="CC6" s="5"/>
      <c r="CD6" s="8"/>
      <c r="CE6" s="5" t="s">
        <v>144</v>
      </c>
      <c r="CF6" s="6">
        <v>0</v>
      </c>
      <c r="CG6" s="5" t="s">
        <v>145</v>
      </c>
      <c r="CH6" s="5" t="s">
        <v>38</v>
      </c>
      <c r="CI6" s="6">
        <v>5000</v>
      </c>
      <c r="CJ6" s="5" t="s">
        <v>146</v>
      </c>
      <c r="CK6" s="6">
        <v>1</v>
      </c>
      <c r="CL6" s="5" t="s">
        <v>37</v>
      </c>
      <c r="CM6" s="5" t="s">
        <v>147</v>
      </c>
      <c r="CN6" s="5" t="s">
        <v>148</v>
      </c>
      <c r="CO6" s="6"/>
      <c r="CP6" s="6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</row>
    <row r="7" ht="26.25" spans="1:1026">
      <c r="A7" s="5"/>
      <c r="B7" s="5"/>
      <c r="C7" s="6">
        <v>0</v>
      </c>
      <c r="D7" s="6">
        <v>0</v>
      </c>
      <c r="E7" s="5"/>
      <c r="F7" s="5" t="s">
        <v>131</v>
      </c>
      <c r="G7" s="6">
        <v>338</v>
      </c>
      <c r="H7" s="6">
        <v>0</v>
      </c>
      <c r="I7" s="6">
        <v>15</v>
      </c>
      <c r="J7" s="6">
        <v>1</v>
      </c>
      <c r="K7" s="6">
        <v>1</v>
      </c>
      <c r="L7" s="5" t="s">
        <v>132</v>
      </c>
      <c r="M7" s="5"/>
      <c r="N7" s="5" t="s">
        <v>133</v>
      </c>
      <c r="O7" s="5"/>
      <c r="P7" s="6">
        <v>3</v>
      </c>
      <c r="Q7" s="6">
        <v>0</v>
      </c>
      <c r="R7" s="5" t="s">
        <v>134</v>
      </c>
      <c r="S7" s="5" t="s">
        <v>135</v>
      </c>
      <c r="T7" s="6">
        <v>0</v>
      </c>
      <c r="U7" s="6">
        <v>0</v>
      </c>
      <c r="V7" s="5" t="s">
        <v>136</v>
      </c>
      <c r="W7" s="6">
        <v>1</v>
      </c>
      <c r="X7" s="5"/>
      <c r="Y7" s="5"/>
      <c r="Z7" s="5" t="s">
        <v>137</v>
      </c>
      <c r="AA7" s="6">
        <v>4555164</v>
      </c>
      <c r="AB7" s="6">
        <v>1</v>
      </c>
      <c r="AC7" s="5"/>
      <c r="AD7" s="5" t="s">
        <v>138</v>
      </c>
      <c r="AE7" s="6">
        <v>37500</v>
      </c>
      <c r="AF7" s="6"/>
      <c r="AG7" s="5" t="s">
        <v>139</v>
      </c>
      <c r="AH7" s="6">
        <v>1</v>
      </c>
      <c r="AI7" s="5" t="s">
        <v>140</v>
      </c>
      <c r="AJ7" s="6"/>
      <c r="AK7" s="5"/>
      <c r="AL7" s="5"/>
      <c r="AM7" s="5" t="s">
        <v>141</v>
      </c>
      <c r="AN7" s="7" t="b">
        <v>0</v>
      </c>
      <c r="AO7" s="5"/>
      <c r="AP7" s="7" t="b">
        <v>0</v>
      </c>
      <c r="AQ7" s="7" t="b">
        <v>0</v>
      </c>
      <c r="AR7" s="7" t="b">
        <v>0</v>
      </c>
      <c r="AS7" s="6">
        <v>0</v>
      </c>
      <c r="AT7" s="6">
        <v>37845.5625</v>
      </c>
      <c r="AU7" s="6">
        <v>37845.5625</v>
      </c>
      <c r="AV7" s="8"/>
      <c r="AW7" s="6">
        <v>0</v>
      </c>
      <c r="AX7" s="6">
        <v>0</v>
      </c>
      <c r="AY7" s="5" t="s">
        <v>142</v>
      </c>
      <c r="AZ7" s="6">
        <v>0</v>
      </c>
      <c r="BA7" s="8"/>
      <c r="BB7" s="5"/>
      <c r="BC7" s="6">
        <v>0</v>
      </c>
      <c r="BD7" s="5" t="s">
        <v>143</v>
      </c>
      <c r="BE7" s="6">
        <v>37500</v>
      </c>
      <c r="BF7" s="5"/>
      <c r="BG7" s="8"/>
      <c r="BH7" s="5"/>
      <c r="BI7" s="5"/>
      <c r="BJ7" s="6">
        <v>37500</v>
      </c>
      <c r="BK7" s="6">
        <v>0</v>
      </c>
      <c r="BL7" s="5"/>
      <c r="BM7" s="5" t="s">
        <v>137</v>
      </c>
      <c r="BN7" s="8"/>
      <c r="BO7" s="5" t="s">
        <v>38</v>
      </c>
      <c r="BP7" s="6">
        <v>0</v>
      </c>
      <c r="BQ7" s="6">
        <v>0</v>
      </c>
      <c r="BR7" s="6">
        <v>6.5625</v>
      </c>
      <c r="BS7" s="5" t="s">
        <v>37</v>
      </c>
      <c r="BT7" s="6">
        <v>1</v>
      </c>
      <c r="BU7" s="6">
        <v>0</v>
      </c>
      <c r="BV7" s="6">
        <v>345.5625</v>
      </c>
      <c r="BW7" s="6">
        <v>0</v>
      </c>
      <c r="BX7" s="5"/>
      <c r="BY7" s="5"/>
      <c r="BZ7" s="5"/>
      <c r="CA7" s="5"/>
      <c r="CB7" s="5"/>
      <c r="CC7" s="5"/>
      <c r="CD7" s="8"/>
      <c r="CE7" s="5" t="s">
        <v>144</v>
      </c>
      <c r="CF7" s="6">
        <v>0</v>
      </c>
      <c r="CG7" s="5" t="s">
        <v>145</v>
      </c>
      <c r="CH7" s="5" t="s">
        <v>38</v>
      </c>
      <c r="CI7" s="6">
        <v>37500</v>
      </c>
      <c r="CJ7" s="5" t="s">
        <v>146</v>
      </c>
      <c r="CK7" s="6">
        <v>1</v>
      </c>
      <c r="CL7" s="5" t="s">
        <v>37</v>
      </c>
      <c r="CM7" s="5" t="s">
        <v>147</v>
      </c>
      <c r="CN7" s="5" t="s">
        <v>148</v>
      </c>
      <c r="CO7" s="6"/>
      <c r="CP7" s="6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D11" sqref="D11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0</v>
      </c>
      <c r="C5" s="2" t="s">
        <v>103</v>
      </c>
      <c r="D5" s="2" t="s">
        <v>2</v>
      </c>
      <c r="E5" s="2" t="s">
        <v>69</v>
      </c>
      <c r="F5" s="2" t="s">
        <v>12</v>
      </c>
      <c r="G5" s="2" t="s">
        <v>85</v>
      </c>
      <c r="H5" s="2" t="s">
        <v>84</v>
      </c>
      <c r="I5" s="2" t="s">
        <v>95</v>
      </c>
      <c r="J5" s="2" t="s">
        <v>120</v>
      </c>
      <c r="K5" s="2" t="s">
        <v>94</v>
      </c>
      <c r="L5" s="2" t="s">
        <v>70</v>
      </c>
      <c r="M5" s="2" t="s">
        <v>117</v>
      </c>
      <c r="N5" s="2" t="s">
        <v>50</v>
      </c>
      <c r="O5" s="2" t="s">
        <v>49</v>
      </c>
      <c r="P5" s="2" t="s">
        <v>5</v>
      </c>
      <c r="Q5" s="2" t="s">
        <v>72</v>
      </c>
      <c r="R5" s="2" t="s">
        <v>25</v>
      </c>
      <c r="S5" s="2" t="s">
        <v>71</v>
      </c>
      <c r="T5" s="3" t="s">
        <v>125</v>
      </c>
      <c r="U5" s="3" t="s">
        <v>45</v>
      </c>
      <c r="V5" s="3" t="s">
        <v>101</v>
      </c>
      <c r="W5" s="3" t="s">
        <v>59</v>
      </c>
      <c r="X5" s="3" t="s">
        <v>105</v>
      </c>
      <c r="Y5" s="3" t="s">
        <v>110</v>
      </c>
      <c r="Z5" s="3" t="s">
        <v>54</v>
      </c>
      <c r="AA5" s="3" t="s">
        <v>111</v>
      </c>
      <c r="AB5" s="3" t="s">
        <v>112</v>
      </c>
      <c r="AC5" s="3" t="s">
        <v>113</v>
      </c>
      <c r="AD5" s="3" t="s">
        <v>114</v>
      </c>
      <c r="AE5" s="3" t="s">
        <v>115</v>
      </c>
      <c r="AF5" s="3" t="s">
        <v>116</v>
      </c>
      <c r="AG5" s="3" t="s">
        <v>82</v>
      </c>
      <c r="AH5" s="3" t="s">
        <v>80</v>
      </c>
      <c r="AI5" s="3" t="s">
        <v>78</v>
      </c>
      <c r="AJ5" s="3" t="s">
        <v>81</v>
      </c>
      <c r="AK5" s="3" t="s">
        <v>83</v>
      </c>
      <c r="AL5" s="3" t="s">
        <v>98</v>
      </c>
      <c r="AM5" s="3" t="s">
        <v>74</v>
      </c>
      <c r="AN5" s="3" t="s">
        <v>121</v>
      </c>
      <c r="AO5" s="3" t="s">
        <v>43</v>
      </c>
      <c r="AP5" s="3" t="s">
        <v>58</v>
      </c>
      <c r="AQ5" s="3" t="s">
        <v>104</v>
      </c>
      <c r="AR5" s="3" t="s">
        <v>92</v>
      </c>
      <c r="AS5" s="3" t="s">
        <v>55</v>
      </c>
      <c r="AT5" s="3" t="s">
        <v>109</v>
      </c>
      <c r="AU5" s="3" t="s">
        <v>118</v>
      </c>
      <c r="AV5" s="3" t="s">
        <v>106</v>
      </c>
      <c r="AW5" s="3" t="s">
        <v>46</v>
      </c>
      <c r="AX5" s="3" t="s">
        <v>107</v>
      </c>
      <c r="AY5" s="3" t="s">
        <v>47</v>
      </c>
      <c r="AZ5" s="3" t="s">
        <v>99</v>
      </c>
      <c r="BA5" s="3" t="s">
        <v>87</v>
      </c>
      <c r="BB5" s="3" t="s">
        <v>89</v>
      </c>
      <c r="BC5" s="3" t="s">
        <v>88</v>
      </c>
      <c r="BD5" s="3" t="s">
        <v>93</v>
      </c>
      <c r="BE5" s="3" t="s">
        <v>108</v>
      </c>
      <c r="BF5" s="3" t="s">
        <v>57</v>
      </c>
      <c r="BG5" s="3" t="s">
        <v>56</v>
      </c>
      <c r="BH5" s="3" t="s">
        <v>73</v>
      </c>
      <c r="BI5" s="3" t="s">
        <v>44</v>
      </c>
      <c r="BJ5" s="3" t="s">
        <v>53</v>
      </c>
      <c r="BK5" s="3" t="s">
        <v>7</v>
      </c>
      <c r="BL5" s="3" t="s">
        <v>122</v>
      </c>
      <c r="BM5" s="3" t="s">
        <v>68</v>
      </c>
      <c r="BN5" s="3" t="s">
        <v>64</v>
      </c>
      <c r="BO5" s="3" t="s">
        <v>48</v>
      </c>
      <c r="BP5" s="3" t="s">
        <v>63</v>
      </c>
      <c r="BQ5" s="3" t="s">
        <v>61</v>
      </c>
      <c r="BR5" s="3" t="s">
        <v>60</v>
      </c>
      <c r="BS5" s="3" t="s">
        <v>86</v>
      </c>
      <c r="BT5" s="3" t="s">
        <v>96</v>
      </c>
      <c r="BU5" s="3" t="s">
        <v>90</v>
      </c>
      <c r="BV5" s="3" t="s">
        <v>126</v>
      </c>
      <c r="BW5" s="3" t="s">
        <v>102</v>
      </c>
      <c r="BX5" s="3" t="s">
        <v>127</v>
      </c>
      <c r="BY5" s="3" t="s">
        <v>67</v>
      </c>
      <c r="BZ5" s="3" t="s">
        <v>124</v>
      </c>
      <c r="CA5" s="3" t="s">
        <v>42</v>
      </c>
      <c r="CB5" s="3" t="s">
        <v>41</v>
      </c>
      <c r="CC5" s="3" t="s">
        <v>52</v>
      </c>
      <c r="CD5" s="3" t="s">
        <v>62</v>
      </c>
      <c r="CE5" s="3" t="s">
        <v>66</v>
      </c>
      <c r="CF5" s="3" t="s">
        <v>51</v>
      </c>
      <c r="CG5" s="3" t="s">
        <v>100</v>
      </c>
      <c r="CH5" s="3" t="s">
        <v>65</v>
      </c>
      <c r="CI5" s="3" t="s">
        <v>79</v>
      </c>
      <c r="CJ5" s="3" t="s">
        <v>91</v>
      </c>
      <c r="CK5" s="3" t="s">
        <v>75</v>
      </c>
      <c r="CL5" s="3" t="s">
        <v>123</v>
      </c>
      <c r="CM5" s="3" t="s">
        <v>77</v>
      </c>
      <c r="CN5" s="3" t="s">
        <v>97</v>
      </c>
      <c r="CO5" s="3" t="s">
        <v>119</v>
      </c>
      <c r="CP5" s="3" t="s">
        <v>76</v>
      </c>
      <c r="CQ5" s="3" t="s">
        <v>128</v>
      </c>
      <c r="CR5" s="3" t="s">
        <v>149</v>
      </c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4">
      <c r="B6" s="4" t="s">
        <v>37</v>
      </c>
      <c r="C6" s="4" t="s">
        <v>38</v>
      </c>
      <c r="D6" s="4">
        <v>5000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39" spans="1:154">
      <c r="A5" s="1"/>
      <c r="B5" s="2" t="s">
        <v>150</v>
      </c>
      <c r="C5" s="2" t="s">
        <v>151</v>
      </c>
      <c r="D5" s="2" t="s">
        <v>103</v>
      </c>
      <c r="E5" s="2" t="s">
        <v>152</v>
      </c>
      <c r="F5" s="2" t="s">
        <v>153</v>
      </c>
      <c r="G5" s="2" t="s">
        <v>154</v>
      </c>
      <c r="H5" s="2" t="s">
        <v>155</v>
      </c>
      <c r="I5" s="2" t="s">
        <v>58</v>
      </c>
      <c r="J5" s="2" t="s">
        <v>156</v>
      </c>
      <c r="K5" s="2" t="s">
        <v>157</v>
      </c>
      <c r="L5" s="2" t="s">
        <v>158</v>
      </c>
      <c r="M5" s="2" t="s">
        <v>159</v>
      </c>
      <c r="N5" s="2" t="s">
        <v>160</v>
      </c>
      <c r="O5" s="2" t="s">
        <v>161</v>
      </c>
      <c r="P5" s="2" t="s">
        <v>162</v>
      </c>
      <c r="Q5" s="2" t="s">
        <v>163</v>
      </c>
      <c r="R5" s="2" t="s">
        <v>164</v>
      </c>
      <c r="S5" s="2" t="s">
        <v>165</v>
      </c>
      <c r="T5" s="3" t="s">
        <v>166</v>
      </c>
      <c r="U5" s="3" t="s">
        <v>5</v>
      </c>
      <c r="V5" s="3" t="s">
        <v>25</v>
      </c>
      <c r="W5" s="3" t="s">
        <v>67</v>
      </c>
      <c r="X5" s="3" t="s">
        <v>167</v>
      </c>
      <c r="Y5" s="3" t="s">
        <v>168</v>
      </c>
      <c r="Z5" s="3" t="s">
        <v>169</v>
      </c>
      <c r="AA5" s="3" t="s">
        <v>170</v>
      </c>
      <c r="AB5" s="3" t="s">
        <v>19</v>
      </c>
      <c r="AC5" s="3" t="s">
        <v>20</v>
      </c>
      <c r="AD5" s="3" t="s">
        <v>21</v>
      </c>
      <c r="AE5" s="3" t="s">
        <v>22</v>
      </c>
      <c r="AF5" s="3" t="s">
        <v>23</v>
      </c>
      <c r="AG5" s="3" t="s">
        <v>24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CustomOrderTT</vt:lpstr>
      <vt:lpstr>SetAutoGroupingPreferences</vt:lpstr>
      <vt:lpstr>SetAutoGroupingAccount</vt:lpstr>
      <vt:lpstr>AcknowledgeTrade</vt:lpstr>
      <vt:lpstr>ExecuteTrade</vt:lpstr>
      <vt:lpstr>AcknowledgeTrade1</vt:lpstr>
      <vt:lpstr>ExecuteTrade1</vt:lpstr>
      <vt:lpstr>CheckUnallocatedGroups</vt:lpstr>
      <vt:lpstr>SelectUnallocatedGroup</vt:lpstr>
      <vt:lpstr>EditUnallocatedGroupSidePanel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2024-12-24T10:39:00Z</dcterms:created>
  <dcterms:modified xsi:type="dcterms:W3CDTF">2024-12-27T06:46:28Z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75EB116D7CBB4EEFB2C78B4D53C4240A_12</vt:lpwstr>
  </property>
  <property fmtid="{D5CDD505-2E9C-101B-9397-08002B2CF9AE}" pid="3" name="KSOProductBuildVer">
    <vt:lpwstr>1033-12.2.0.19307</vt:lpwstr>
  </property>
</Properties>
</file>