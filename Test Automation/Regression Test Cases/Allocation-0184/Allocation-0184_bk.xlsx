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Groups" sheetId="6" r:id="rId8"/>
    <sheet state="visible" name="GetDataClosing" sheetId="7" r:id="rId9"/>
    <sheet state="visible" name="SelectTradeUnexpiredUnsettled" sheetId="8" r:id="rId10"/>
    <sheet state="visible" name="ExerciseAssignment" sheetId="9" r:id="rId11"/>
    <sheet state="visible" name="VerifyExpiredSettledGrid" sheetId="10" r:id="rId12"/>
    <sheet state="visible" name="CheckAllocatedGroups1" sheetId="11" r:id="rId13"/>
    <sheet state="visible" name="UnWindTradeSettlement" sheetId="12" r:id="rId14"/>
    <sheet state="visible" name="Copy of Data" sheetId="13" r:id="rId15"/>
    <sheet state="visible" name="Copy of Data_conflict1884559799" sheetId="14" r:id="rId16"/>
  </sheets>
  <definedNames/>
  <calcPr/>
</workbook>
</file>

<file path=xl/sharedStrings.xml><?xml version="1.0" encoding="utf-8"?>
<sst xmlns="http://schemas.openxmlformats.org/spreadsheetml/2006/main" count="223" uniqueCount="52">
  <si>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</si>
  <si>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</si>
  <si>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</si>
  <si>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</si>
  <si>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</si>
  <si>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</si>
  <si>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</si>
  <si>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</si>
  <si>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</si>
  <si>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</si>
  <si>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</si>
  <si>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</si>
  <si>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</si>
  <si>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</si>
  <si>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</si>
  <si>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</si>
  <si>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O:ABM 25D20.00</t>
  </si>
  <si>
    <t>Buy</t>
  </si>
  <si>
    <t>Allocation1</t>
  </si>
  <si>
    <t>O:INT 25K68.00-EEO</t>
  </si>
  <si>
    <t>Allocation</t>
  </si>
  <si>
    <t>GetDataAllocation</t>
  </si>
  <si>
    <t>Current</t>
  </si>
  <si>
    <t>CheckAllocatedGroups</t>
  </si>
  <si>
    <t>ABM US 04/18/25 C20.00 EQUITY</t>
  </si>
  <si>
    <t>Open</t>
  </si>
  <si>
    <t>M</t>
  </si>
  <si>
    <t>Market</t>
  </si>
  <si>
    <t>ABM   250418C00020000</t>
  </si>
  <si>
    <t>C</t>
  </si>
  <si>
    <t>INT US 11/18/25 C68 EQUITY</t>
  </si>
  <si>
    <t>Closing</t>
  </si>
  <si>
    <t>GetDataClosing</t>
  </si>
  <si>
    <t>SelectTradeUnexpiredUnsettled</t>
  </si>
  <si>
    <t>EquityOption</t>
  </si>
  <si>
    <t>ExerciseAssignment</t>
  </si>
  <si>
    <t>VerifyExpiredSettledGrid</t>
  </si>
  <si>
    <t>NONE</t>
  </si>
  <si>
    <t>Exercise</t>
  </si>
  <si>
    <t>Short</t>
  </si>
  <si>
    <t>USD</t>
  </si>
  <si>
    <t>OPTS</t>
  </si>
  <si>
    <t>Long</t>
  </si>
  <si>
    <t>US</t>
  </si>
  <si>
    <t>Closed</t>
  </si>
  <si>
    <t>Sell</t>
  </si>
  <si>
    <t>EUR</t>
  </si>
  <si>
    <t>INT-FRA</t>
  </si>
  <si>
    <t>ABM</t>
  </si>
  <si>
    <t>UnWindTradeSettlement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</si>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</sst>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  <font>
      <sz val="11.0"/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2" xfId="0" applyAlignment="1" applyFont="1" applyNumberFormat="1">
      <alignment readingOrder="0" shrinkToFit="0" wrapText="0"/>
    </xf>
    <xf borderId="0" fillId="0" fontId="2" numFmtId="2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5" fontId="10" numFmtId="2" xfId="0" applyFont="1" applyNumberFormat="1"/>
    <xf borderId="0" fillId="6" fontId="13" numFmtId="0" xfId="0" applyAlignment="1" applyFill="1" applyFont="1">
      <alignment horizontal="left" readingOrder="0"/>
    </xf>
    <xf borderId="0" fillId="6" fontId="14" numFmtId="2" xfId="0" applyAlignment="1" applyFont="1" applyNumberFormat="1">
      <alignment horizontal="right" readingOrder="0"/>
    </xf>
    <xf borderId="0" fillId="6" fontId="13" numFmtId="2" xfId="0" applyAlignment="1" applyFont="1" applyNumberFormat="1">
      <alignment horizontal="right" readingOrder="0"/>
    </xf>
    <xf borderId="0" fillId="6" fontId="14" numFmtId="0" xfId="0" applyAlignment="1" applyFont="1">
      <alignment horizontal="left" readingOrder="0"/>
    </xf>
    <xf borderId="0" fillId="6" fontId="15" numFmtId="0" xfId="0" applyAlignment="1" applyFont="1">
      <alignment horizontal="left" readingOrder="0"/>
    </xf>
    <xf borderId="0" fillId="6" fontId="15" numFmtId="2" xfId="0" applyAlignment="1" applyFont="1" applyNumberFormat="1">
      <alignment horizontal="right" readingOrder="0"/>
    </xf>
    <xf borderId="0" fillId="6" fontId="16" numFmtId="2" xfId="0" applyAlignment="1" applyFont="1" applyNumberFormat="1">
      <alignment horizontal="right" readingOrder="0"/>
    </xf>
    <xf borderId="0" fillId="6" fontId="1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17</v>
      </c>
      <c r="D7" s="11">
        <v>100.0</v>
      </c>
      <c r="E7" s="11">
        <v>100.0</v>
      </c>
      <c r="F7" s="11" t="s">
        <v>18</v>
      </c>
      <c r="G7" s="8"/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/>
      <c r="D6" s="31">
        <v>0.0</v>
      </c>
      <c r="E6" s="31">
        <v>100.0</v>
      </c>
      <c r="F6" s="8"/>
      <c r="G6" s="8"/>
      <c r="H6" s="31">
        <v>0.0</v>
      </c>
      <c r="I6" s="31">
        <v>0.0</v>
      </c>
      <c r="J6" s="8"/>
      <c r="K6" s="31">
        <v>10.0</v>
      </c>
      <c r="L6" s="31">
        <v>10.0</v>
      </c>
      <c r="M6" s="11" t="s">
        <v>24</v>
      </c>
      <c r="N6" s="8"/>
      <c r="O6" s="8"/>
      <c r="R6" s="32">
        <v>0.0</v>
      </c>
      <c r="S6" s="9" t="s">
        <v>25</v>
      </c>
      <c r="T6" s="32">
        <v>0.0</v>
      </c>
      <c r="U6" s="32">
        <v>0.0</v>
      </c>
      <c r="W6" s="32">
        <v>100.0</v>
      </c>
      <c r="AE6" s="32">
        <v>100.0</v>
      </c>
      <c r="AG6" s="33">
        <v>45765.0</v>
      </c>
      <c r="AH6" s="9" t="s">
        <v>26</v>
      </c>
      <c r="AI6" s="32">
        <v>1.0</v>
      </c>
      <c r="AT6" s="32">
        <v>100000.0</v>
      </c>
      <c r="AU6" s="32">
        <v>100000.0</v>
      </c>
      <c r="AW6" s="32">
        <v>0.0</v>
      </c>
      <c r="AX6" s="32">
        <v>0.0</v>
      </c>
      <c r="AY6" s="9" t="s">
        <v>27</v>
      </c>
      <c r="AZ6" s="32">
        <v>0.0</v>
      </c>
      <c r="BB6" s="9" t="s">
        <v>28</v>
      </c>
      <c r="BC6" s="32">
        <v>0.0</v>
      </c>
      <c r="BE6" s="32">
        <v>100000.0</v>
      </c>
      <c r="BF6" s="32">
        <v>100000.0</v>
      </c>
      <c r="BI6" s="9" t="s">
        <v>29</v>
      </c>
      <c r="BJ6" s="32">
        <v>100.0</v>
      </c>
      <c r="BK6" s="32">
        <v>0.0</v>
      </c>
      <c r="BO6" s="9" t="s">
        <v>17</v>
      </c>
      <c r="BT6" s="9" t="s">
        <v>16</v>
      </c>
      <c r="BU6" s="32">
        <v>0.0</v>
      </c>
      <c r="BV6" s="32">
        <v>0.0</v>
      </c>
      <c r="BW6" s="32">
        <v>0.0</v>
      </c>
      <c r="CI6" s="9" t="s">
        <v>17</v>
      </c>
      <c r="CJ6" s="32">
        <v>0.0</v>
      </c>
    </row>
    <row r="7" ht="15.75" customHeight="1">
      <c r="A7" s="8"/>
      <c r="B7" s="11" t="s">
        <v>18</v>
      </c>
      <c r="C7" s="8"/>
      <c r="D7" s="31">
        <v>0.0</v>
      </c>
      <c r="E7" s="31">
        <v>100.0</v>
      </c>
      <c r="F7" s="8"/>
      <c r="G7" s="8"/>
      <c r="H7" s="31">
        <v>0.0</v>
      </c>
      <c r="I7" s="31">
        <v>0.0</v>
      </c>
      <c r="J7" s="8"/>
      <c r="K7" s="31">
        <v>10.0</v>
      </c>
      <c r="L7" s="31">
        <v>10.0</v>
      </c>
      <c r="M7" s="11" t="s">
        <v>30</v>
      </c>
      <c r="N7" s="8"/>
      <c r="O7" s="8"/>
      <c r="R7" s="32">
        <v>0.0</v>
      </c>
      <c r="S7" s="9" t="s">
        <v>25</v>
      </c>
      <c r="T7" s="32">
        <v>0.0</v>
      </c>
      <c r="U7" s="32">
        <v>0.0</v>
      </c>
      <c r="W7" s="32">
        <v>100.0</v>
      </c>
      <c r="AE7" s="32">
        <v>100.0</v>
      </c>
      <c r="AG7" s="33">
        <v>45979.0</v>
      </c>
      <c r="AH7" s="9" t="s">
        <v>26</v>
      </c>
      <c r="AI7" s="32">
        <v>1.0</v>
      </c>
      <c r="AT7" s="32">
        <v>100000.0</v>
      </c>
      <c r="AU7" s="32">
        <v>100000.0</v>
      </c>
      <c r="AW7" s="32">
        <v>0.0</v>
      </c>
      <c r="AX7" s="32">
        <v>0.0</v>
      </c>
      <c r="AY7" s="9" t="s">
        <v>27</v>
      </c>
      <c r="AZ7" s="32">
        <v>0.0</v>
      </c>
      <c r="BC7" s="32">
        <v>0.0</v>
      </c>
      <c r="BE7" s="32">
        <v>100000.0</v>
      </c>
      <c r="BF7" s="32">
        <v>100000.0</v>
      </c>
      <c r="BI7" s="9" t="s">
        <v>29</v>
      </c>
      <c r="BJ7" s="32">
        <v>100.0</v>
      </c>
      <c r="BK7" s="32">
        <v>0.0</v>
      </c>
      <c r="BO7" s="9" t="s">
        <v>17</v>
      </c>
      <c r="BT7" s="9" t="s">
        <v>19</v>
      </c>
      <c r="BU7" s="32">
        <v>0.0</v>
      </c>
      <c r="BV7" s="32">
        <v>0.0</v>
      </c>
      <c r="BW7" s="32">
        <v>0.0</v>
      </c>
      <c r="CI7" s="9" t="s">
        <v>17</v>
      </c>
      <c r="CJ7" s="32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34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18</v>
      </c>
      <c r="C6" s="8"/>
      <c r="D6" s="11"/>
      <c r="E6" s="35" t="s">
        <v>34</v>
      </c>
      <c r="F6" s="8"/>
      <c r="G6" s="8"/>
      <c r="H6" s="8"/>
      <c r="I6" s="31">
        <v>10.0</v>
      </c>
      <c r="J6" s="8"/>
      <c r="K6" s="8"/>
      <c r="L6" s="8"/>
      <c r="M6" s="8"/>
      <c r="N6" s="8"/>
      <c r="O6" s="8"/>
      <c r="Z6" s="9">
        <v>100.0</v>
      </c>
      <c r="BO6" s="32">
        <v>100000.0</v>
      </c>
      <c r="CX6" s="9">
        <v>1.0</v>
      </c>
      <c r="DE6" s="32">
        <v>20.0</v>
      </c>
      <c r="DH6" s="9" t="s">
        <v>16</v>
      </c>
    </row>
    <row r="7" ht="15.75" customHeight="1">
      <c r="A7" s="8"/>
      <c r="B7" s="35" t="s">
        <v>18</v>
      </c>
      <c r="C7" s="8"/>
      <c r="D7" s="8"/>
      <c r="E7" s="35" t="s">
        <v>34</v>
      </c>
      <c r="F7" s="8"/>
      <c r="G7" s="8"/>
      <c r="H7" s="8"/>
      <c r="I7" s="31">
        <v>10.0</v>
      </c>
      <c r="J7" s="8"/>
      <c r="K7" s="8"/>
      <c r="L7" s="8"/>
      <c r="M7" s="8"/>
      <c r="N7" s="8"/>
      <c r="O7" s="8"/>
      <c r="Z7" s="9">
        <v>100.0</v>
      </c>
      <c r="BO7" s="32">
        <v>100000.0</v>
      </c>
      <c r="CX7" s="9">
        <v>1.0</v>
      </c>
      <c r="DE7" s="32">
        <v>68.0</v>
      </c>
      <c r="DH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34</v>
      </c>
      <c r="D6" s="11"/>
      <c r="E6" s="30"/>
      <c r="F6" s="8"/>
      <c r="G6" s="11">
        <v>100.0</v>
      </c>
      <c r="H6" s="11" t="s">
        <v>37</v>
      </c>
      <c r="I6" s="8"/>
      <c r="J6" s="11" t="s">
        <v>38</v>
      </c>
      <c r="K6" s="11" t="s">
        <v>39</v>
      </c>
      <c r="L6" s="8"/>
      <c r="M6" s="11">
        <v>-100000.0</v>
      </c>
      <c r="N6" s="8"/>
      <c r="O6" s="8"/>
      <c r="P6" s="9" t="s">
        <v>40</v>
      </c>
      <c r="R6" s="9" t="s">
        <v>41</v>
      </c>
      <c r="S6" s="9">
        <v>0.0</v>
      </c>
      <c r="T6" s="32">
        <v>10.0</v>
      </c>
      <c r="V6" s="9" t="s">
        <v>42</v>
      </c>
      <c r="W6" s="9" t="s">
        <v>42</v>
      </c>
      <c r="X6" s="9">
        <v>0.0</v>
      </c>
      <c r="Z6" s="9" t="s">
        <v>17</v>
      </c>
      <c r="AB6" s="9" t="s">
        <v>16</v>
      </c>
      <c r="AD6" s="9" t="s">
        <v>43</v>
      </c>
    </row>
    <row r="7" ht="15.75" customHeight="1">
      <c r="A7" s="8"/>
      <c r="B7" s="11" t="s">
        <v>18</v>
      </c>
      <c r="C7" s="11" t="s">
        <v>34</v>
      </c>
      <c r="D7" s="8"/>
      <c r="E7" s="8"/>
      <c r="F7" s="8"/>
      <c r="G7" s="11">
        <v>100.0</v>
      </c>
      <c r="H7" s="11" t="s">
        <v>37</v>
      </c>
      <c r="I7" s="8"/>
      <c r="J7" s="11" t="s">
        <v>38</v>
      </c>
      <c r="K7" s="35" t="s">
        <v>39</v>
      </c>
      <c r="L7" s="8"/>
      <c r="M7" s="11">
        <v>-100000.0</v>
      </c>
      <c r="N7" s="8"/>
      <c r="O7" s="8"/>
      <c r="P7" s="9" t="s">
        <v>40</v>
      </c>
      <c r="R7" s="9" t="s">
        <v>41</v>
      </c>
      <c r="S7" s="9">
        <v>0.0</v>
      </c>
      <c r="T7" s="32">
        <v>10.0</v>
      </c>
      <c r="V7" s="9" t="s">
        <v>42</v>
      </c>
      <c r="W7" s="9" t="s">
        <v>42</v>
      </c>
      <c r="X7" s="9">
        <v>0.0</v>
      </c>
      <c r="Z7" s="9" t="s">
        <v>17</v>
      </c>
      <c r="AB7" s="9" t="s">
        <v>19</v>
      </c>
      <c r="AD7" s="9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3" width="14.43"/>
    <col customWidth="1" min="54" max="54" width="22.71"/>
    <col customWidth="1" min="55" max="71" width="14.43"/>
    <col customWidth="1" min="72" max="72" width="19.43"/>
    <col customWidth="1" min="7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31">
        <v>0.0</v>
      </c>
      <c r="E6" s="31">
        <v>100.0</v>
      </c>
      <c r="F6" s="8"/>
      <c r="G6" s="8"/>
      <c r="H6" s="31">
        <v>0.0</v>
      </c>
      <c r="I6" s="31">
        <v>0.0</v>
      </c>
      <c r="J6" s="8"/>
      <c r="K6" s="31">
        <v>10.0</v>
      </c>
      <c r="L6" s="31">
        <v>10.0</v>
      </c>
      <c r="M6" s="8"/>
      <c r="N6" s="8"/>
      <c r="O6" s="8"/>
      <c r="R6" s="32">
        <v>0.0</v>
      </c>
      <c r="S6" s="9" t="s">
        <v>44</v>
      </c>
      <c r="T6" s="32">
        <v>0.0</v>
      </c>
      <c r="U6" s="32">
        <v>0.0</v>
      </c>
      <c r="Z6" s="9" t="s">
        <v>40</v>
      </c>
      <c r="AE6" s="32">
        <v>100.0</v>
      </c>
      <c r="AH6" s="9" t="s">
        <v>26</v>
      </c>
      <c r="AI6" s="32">
        <v>1.0</v>
      </c>
      <c r="AT6" s="32">
        <v>100000.0</v>
      </c>
      <c r="AU6" s="36">
        <v>100000.0</v>
      </c>
      <c r="AW6" s="32">
        <v>0.0</v>
      </c>
      <c r="AX6" s="32">
        <v>0.0</v>
      </c>
      <c r="AY6" s="9" t="s">
        <v>27</v>
      </c>
      <c r="AZ6" s="32">
        <v>0.0</v>
      </c>
      <c r="BB6" s="9" t="s">
        <v>28</v>
      </c>
      <c r="BC6" s="32">
        <v>0.0</v>
      </c>
      <c r="BE6" s="32">
        <v>100000.0</v>
      </c>
      <c r="BF6" s="32">
        <v>100000.0</v>
      </c>
      <c r="BI6" s="9" t="s">
        <v>29</v>
      </c>
      <c r="BJ6" s="32">
        <v>100.0</v>
      </c>
      <c r="BK6" s="32">
        <v>0.0</v>
      </c>
      <c r="BO6" s="9" t="s">
        <v>17</v>
      </c>
      <c r="BT6" s="9" t="s">
        <v>16</v>
      </c>
      <c r="BU6" s="32">
        <v>0.0</v>
      </c>
      <c r="BW6" s="32">
        <v>0.0</v>
      </c>
      <c r="BX6" s="32">
        <v>0.0</v>
      </c>
      <c r="CI6" s="9" t="s">
        <v>17</v>
      </c>
      <c r="CJ6" s="32">
        <v>0.0</v>
      </c>
    </row>
    <row r="7" ht="15.75" customHeight="1">
      <c r="A7" s="8"/>
      <c r="B7" s="11" t="s">
        <v>18</v>
      </c>
      <c r="C7" s="8"/>
      <c r="D7" s="37">
        <v>0.0</v>
      </c>
      <c r="E7" s="31">
        <v>100.0</v>
      </c>
      <c r="F7" s="8"/>
      <c r="G7" s="8"/>
      <c r="H7" s="31">
        <v>0.0</v>
      </c>
      <c r="I7" s="31">
        <v>0.0</v>
      </c>
      <c r="J7" s="8"/>
      <c r="K7" s="31">
        <v>10.0</v>
      </c>
      <c r="L7" s="31">
        <v>10.0</v>
      </c>
      <c r="M7" s="8"/>
      <c r="N7" s="8"/>
      <c r="O7" s="8"/>
      <c r="R7" s="32">
        <v>0.0</v>
      </c>
      <c r="S7" s="38" t="s">
        <v>44</v>
      </c>
      <c r="T7" s="32">
        <v>0.0</v>
      </c>
      <c r="U7" s="32">
        <v>0.0</v>
      </c>
      <c r="Z7" s="38" t="s">
        <v>40</v>
      </c>
      <c r="AE7" s="32">
        <v>100.0</v>
      </c>
      <c r="AH7" s="9" t="s">
        <v>26</v>
      </c>
      <c r="AI7" s="32">
        <v>1.0</v>
      </c>
      <c r="AT7" s="36">
        <v>100000.0</v>
      </c>
      <c r="AU7" s="36">
        <v>100000.0</v>
      </c>
      <c r="AW7" s="32">
        <v>0.0</v>
      </c>
      <c r="AX7" s="32">
        <v>0.0</v>
      </c>
      <c r="AY7" s="39" t="s">
        <v>27</v>
      </c>
      <c r="AZ7" s="32">
        <v>0.0</v>
      </c>
      <c r="BC7" s="32">
        <v>0.0</v>
      </c>
      <c r="BE7" s="32">
        <v>100000.0</v>
      </c>
      <c r="BF7" s="32">
        <v>100000.0</v>
      </c>
      <c r="BI7" s="9" t="s">
        <v>29</v>
      </c>
      <c r="BJ7" s="32">
        <v>100.0</v>
      </c>
      <c r="BK7" s="32">
        <v>0.0</v>
      </c>
      <c r="BO7" s="9" t="s">
        <v>17</v>
      </c>
      <c r="BT7" s="9" t="s">
        <v>19</v>
      </c>
      <c r="BU7" s="32">
        <v>0.0</v>
      </c>
      <c r="BW7" s="32">
        <v>0.0</v>
      </c>
      <c r="BX7" s="32">
        <v>0.0</v>
      </c>
      <c r="CI7" s="9" t="s">
        <v>17</v>
      </c>
      <c r="CJ7" s="32">
        <v>0.0</v>
      </c>
    </row>
    <row r="8" ht="15.75" customHeight="1">
      <c r="A8" s="8"/>
      <c r="B8" s="11" t="s">
        <v>18</v>
      </c>
      <c r="C8" s="8"/>
      <c r="D8" s="37">
        <v>0.0</v>
      </c>
      <c r="E8" s="31">
        <v>100.0</v>
      </c>
      <c r="F8" s="8"/>
      <c r="G8" s="8"/>
      <c r="H8" s="31">
        <v>0.0</v>
      </c>
      <c r="I8" s="31">
        <v>0.0</v>
      </c>
      <c r="J8" s="8"/>
      <c r="K8" s="31">
        <v>0.0</v>
      </c>
      <c r="L8" s="31">
        <v>0.0</v>
      </c>
      <c r="M8" s="8"/>
      <c r="N8" s="8"/>
      <c r="O8" s="8"/>
      <c r="R8" s="32">
        <v>0.0</v>
      </c>
      <c r="S8" s="38" t="s">
        <v>44</v>
      </c>
      <c r="T8" s="32">
        <v>0.0</v>
      </c>
      <c r="U8" s="32">
        <v>0.0</v>
      </c>
      <c r="Z8" s="38" t="s">
        <v>40</v>
      </c>
      <c r="AE8" s="32">
        <v>100.0</v>
      </c>
      <c r="AH8" s="9" t="s">
        <v>26</v>
      </c>
      <c r="AI8" s="32">
        <v>1.0</v>
      </c>
      <c r="AT8" s="36">
        <v>100000.0</v>
      </c>
      <c r="AU8" s="36">
        <v>100000.0</v>
      </c>
      <c r="AW8" s="32">
        <v>0.0</v>
      </c>
      <c r="AX8" s="32">
        <v>-100000.0</v>
      </c>
      <c r="AZ8" s="32">
        <v>0.0</v>
      </c>
      <c r="BB8" s="9" t="s">
        <v>28</v>
      </c>
      <c r="BC8" s="32">
        <v>0.0</v>
      </c>
      <c r="BE8" s="32">
        <v>0.0</v>
      </c>
      <c r="BF8" s="32">
        <v>0.0</v>
      </c>
      <c r="BI8" s="9" t="s">
        <v>29</v>
      </c>
      <c r="BJ8" s="32">
        <v>100.0</v>
      </c>
      <c r="BK8" s="32">
        <v>0.0</v>
      </c>
      <c r="BO8" s="9" t="s">
        <v>45</v>
      </c>
      <c r="BT8" s="9" t="s">
        <v>16</v>
      </c>
      <c r="BU8" s="32">
        <v>0.0</v>
      </c>
      <c r="BW8" s="40">
        <v>-100000.0</v>
      </c>
      <c r="BX8" s="32">
        <v>0.0</v>
      </c>
      <c r="CI8" s="9" t="s">
        <v>38</v>
      </c>
      <c r="CJ8" s="32">
        <v>0.0</v>
      </c>
    </row>
    <row r="9" ht="15.75" customHeight="1">
      <c r="A9" s="8"/>
      <c r="B9" s="11" t="s">
        <v>18</v>
      </c>
      <c r="C9" s="8"/>
      <c r="D9" s="37">
        <v>0.0</v>
      </c>
      <c r="E9" s="31">
        <v>100.0</v>
      </c>
      <c r="F9" s="8"/>
      <c r="G9" s="8"/>
      <c r="H9" s="31">
        <v>0.0</v>
      </c>
      <c r="I9" s="31">
        <v>0.0</v>
      </c>
      <c r="J9" s="8"/>
      <c r="K9" s="31">
        <v>0.0</v>
      </c>
      <c r="L9" s="31">
        <v>0.0</v>
      </c>
      <c r="M9" s="8"/>
      <c r="N9" s="8"/>
      <c r="O9" s="8"/>
      <c r="R9" s="32">
        <v>0.0</v>
      </c>
      <c r="S9" s="38" t="s">
        <v>44</v>
      </c>
      <c r="T9" s="32">
        <v>0.0</v>
      </c>
      <c r="U9" s="32">
        <v>0.0</v>
      </c>
      <c r="Z9" s="38" t="s">
        <v>40</v>
      </c>
      <c r="AE9" s="32">
        <v>100.0</v>
      </c>
      <c r="AH9" s="9" t="s">
        <v>26</v>
      </c>
      <c r="AI9" s="32">
        <v>1.0</v>
      </c>
      <c r="AT9" s="36">
        <v>100000.0</v>
      </c>
      <c r="AU9" s="36">
        <v>100000.0</v>
      </c>
      <c r="AW9" s="32">
        <v>0.0</v>
      </c>
      <c r="AX9" s="40">
        <v>-100000.0</v>
      </c>
      <c r="AZ9" s="32">
        <v>0.0</v>
      </c>
      <c r="BC9" s="32">
        <v>0.0</v>
      </c>
      <c r="BE9" s="32">
        <v>0.0</v>
      </c>
      <c r="BF9" s="32">
        <v>0.0</v>
      </c>
      <c r="BI9" s="9" t="s">
        <v>29</v>
      </c>
      <c r="BJ9" s="32">
        <v>100.0</v>
      </c>
      <c r="BK9" s="32">
        <v>0.0</v>
      </c>
      <c r="BO9" s="9" t="s">
        <v>45</v>
      </c>
      <c r="BT9" s="9" t="s">
        <v>19</v>
      </c>
      <c r="BU9" s="32">
        <v>0.0</v>
      </c>
      <c r="BW9" s="40">
        <v>-100000.0</v>
      </c>
      <c r="BX9" s="32">
        <v>0.0</v>
      </c>
      <c r="CI9" s="9" t="s">
        <v>38</v>
      </c>
      <c r="CJ9" s="32">
        <v>0.0</v>
      </c>
    </row>
    <row r="10" ht="15.75" customHeight="1">
      <c r="A10" s="8"/>
      <c r="B10" s="11" t="s">
        <v>18</v>
      </c>
      <c r="C10" s="8"/>
      <c r="D10" s="37">
        <v>0.0</v>
      </c>
      <c r="E10" s="31">
        <v>10000.0</v>
      </c>
      <c r="F10" s="8"/>
      <c r="G10" s="8"/>
      <c r="H10" s="31">
        <v>0.0</v>
      </c>
      <c r="I10" s="31">
        <v>0.0</v>
      </c>
      <c r="J10" s="8"/>
      <c r="K10" s="31">
        <v>0.0</v>
      </c>
      <c r="L10" s="31">
        <v>68.0</v>
      </c>
      <c r="M10" s="8"/>
      <c r="N10" s="8"/>
      <c r="O10" s="8"/>
      <c r="R10" s="32">
        <v>0.0</v>
      </c>
      <c r="S10" s="9" t="s">
        <v>25</v>
      </c>
      <c r="T10" s="32">
        <v>0.0</v>
      </c>
      <c r="U10" s="32">
        <v>0.0</v>
      </c>
      <c r="Z10" s="9" t="s">
        <v>46</v>
      </c>
      <c r="AE10" s="32">
        <v>10000.0</v>
      </c>
      <c r="AH10" s="9" t="s">
        <v>26</v>
      </c>
      <c r="AI10" s="32">
        <v>0.0</v>
      </c>
      <c r="AT10" s="32">
        <v>0.0</v>
      </c>
      <c r="AU10" s="32">
        <v>780000.0</v>
      </c>
      <c r="AW10" s="32">
        <v>0.0</v>
      </c>
      <c r="AX10" s="41">
        <v>100000.0</v>
      </c>
      <c r="AZ10" s="32">
        <v>0.0</v>
      </c>
      <c r="BC10" s="32">
        <v>0.0</v>
      </c>
      <c r="BE10" s="32">
        <v>0.0</v>
      </c>
      <c r="BF10" s="32">
        <v>680000.0</v>
      </c>
      <c r="BJ10" s="32">
        <v>10000.0</v>
      </c>
      <c r="BK10" s="32">
        <v>0.0</v>
      </c>
      <c r="BO10" s="9" t="s">
        <v>17</v>
      </c>
      <c r="BT10" s="9" t="s">
        <v>47</v>
      </c>
      <c r="BU10" s="32">
        <v>0.0</v>
      </c>
      <c r="BW10" s="41">
        <v>100000.0</v>
      </c>
      <c r="BX10" s="32">
        <v>0.0</v>
      </c>
      <c r="CI10" s="9" t="s">
        <v>38</v>
      </c>
      <c r="CJ10" s="32">
        <v>0.0</v>
      </c>
    </row>
    <row r="11" ht="15.75" customHeight="1">
      <c r="A11" s="8"/>
      <c r="B11" s="11" t="s">
        <v>18</v>
      </c>
      <c r="C11" s="8"/>
      <c r="D11" s="37">
        <v>0.0</v>
      </c>
      <c r="E11" s="31">
        <v>10000.0</v>
      </c>
      <c r="F11" s="8"/>
      <c r="G11" s="8"/>
      <c r="H11" s="31">
        <v>0.0</v>
      </c>
      <c r="I11" s="31">
        <v>0.0</v>
      </c>
      <c r="J11" s="8"/>
      <c r="K11" s="31">
        <v>20.0</v>
      </c>
      <c r="L11" s="31">
        <v>20.0</v>
      </c>
      <c r="M11" s="8"/>
      <c r="N11" s="8"/>
      <c r="O11" s="8"/>
      <c r="R11" s="32">
        <v>0.0</v>
      </c>
      <c r="S11" s="9" t="s">
        <v>25</v>
      </c>
      <c r="T11" s="32">
        <v>0.0</v>
      </c>
      <c r="U11" s="32">
        <v>0.0</v>
      </c>
      <c r="Z11" s="38" t="s">
        <v>40</v>
      </c>
      <c r="AE11" s="32">
        <v>10000.0</v>
      </c>
      <c r="AH11" s="9" t="s">
        <v>26</v>
      </c>
      <c r="AI11" s="32">
        <v>1.0</v>
      </c>
      <c r="AT11" s="36">
        <v>300000.0</v>
      </c>
      <c r="AU11" s="36">
        <v>300000.0</v>
      </c>
      <c r="AW11" s="32">
        <v>0.0</v>
      </c>
      <c r="AX11" s="41">
        <v>100000.0</v>
      </c>
      <c r="AZ11" s="32">
        <v>0.0</v>
      </c>
      <c r="BC11" s="32">
        <v>0.0</v>
      </c>
      <c r="BE11" s="32">
        <v>200000.0</v>
      </c>
      <c r="BF11" s="32">
        <v>200000.0</v>
      </c>
      <c r="BJ11" s="32">
        <v>10000.0</v>
      </c>
      <c r="BK11" s="32">
        <v>0.0</v>
      </c>
      <c r="BO11" s="9" t="s">
        <v>17</v>
      </c>
      <c r="BT11" s="9" t="s">
        <v>48</v>
      </c>
      <c r="BU11" s="32">
        <v>0.0</v>
      </c>
      <c r="BW11" s="41">
        <v>100000.0</v>
      </c>
      <c r="BX11" s="32">
        <v>0.0</v>
      </c>
      <c r="CI11" s="9" t="s">
        <v>38</v>
      </c>
      <c r="CJ11" s="32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6" width="14.43"/>
    <col customWidth="1" min="27" max="27" width="20.29"/>
    <col customWidth="1" min="2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IFERROR(__xludf.DUMMYFUNCTION("""COMPUTED_VALUE"""),"CostBasisGrossPNL")</f>
        <v>CostBasisGrossPNL</v>
      </c>
      <c r="O5" s="27" t="str">
        <f>IFERROR(__xludf.DUMMYFUNCTION("""COMPUTED_VALUE"""),"Currency")</f>
        <v>Currency</v>
      </c>
      <c r="P5" s="27" t="str">
        <f>IFERROR(__xludf.DUMMYFUNCTION("""COMPUTED_VALUE"""),"CurrencyID")</f>
        <v>CurrencyID</v>
      </c>
      <c r="Q5" s="27" t="str">
        <f>IFERROR(__xludf.DUMMYFUNCTION("""COMPUTED_VALUE"""),"Exchange")</f>
        <v>Exchange</v>
      </c>
      <c r="R5" s="27" t="str">
        <f>IFERROR(__xludf.DUMMYFUNCTION("""COMPUTED_VALUE"""),"NotionalChange")</f>
        <v>NotionalChange</v>
      </c>
      <c r="S5" s="27" t="str">
        <f>IFERROR(__xludf.DUMMYFUNCTION("""COMPUTED_VALUE"""),"OpenAveragePrice")</f>
        <v>OpenAveragePrice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IFERROR(__xludf.DUMMYFUNCTION("""COMPUTED_VALUE"""),"Position Type")</f>
        <v>Position Type</v>
      </c>
      <c r="V5" s="29" t="str">
        <f>IFERROR(__xludf.DUMMYFUNCTION("""COMPUTED_VALUE"""),"PositionSide")</f>
        <v>PositionSide</v>
      </c>
      <c r="W5" s="29" t="str">
        <f>IFERROR(__xludf.DUMMYFUNCTION("""COMPUTED_VALUE"""),"PositionTotalCommissionandFees")</f>
        <v>PositionTotalCommissionandFees</v>
      </c>
      <c r="X5" s="29" t="str">
        <f>IFERROR(__xludf.DUMMYFUNCTION("""COMPUTED_VALUE"""),"Realized PNL(C.B.)")</f>
        <v>Realized PNL(C.B.)</v>
      </c>
      <c r="Y5" s="29" t="str">
        <f>IFERROR(__xludf.DUMMYFUNCTION("""COMPUTED_VALUE"""),"Side")</f>
        <v>Side</v>
      </c>
      <c r="Z5" s="29" t="str">
        <f>IFERROR(__xludf.DUMMYFUNCTION("""COMPUTED_VALUE"""),"Strategy")</f>
        <v>Strategy</v>
      </c>
      <c r="AA5" s="29" t="str">
        <f>IFERROR(__xludf.DUMMYFUNCTION("""COMPUTED_VALUE"""),"Symbol")</f>
        <v>Symbol</v>
      </c>
      <c r="AB5" s="29" t="str">
        <f>IFERROR(__xludf.DUMMYFUNCTION("""COMPUTED_VALUE"""),"Taxlot ID")</f>
        <v>Taxlot ID</v>
      </c>
      <c r="AC5" s="29" t="str">
        <f>IFERROR(__xludf.DUMMYFUNCTION("""COMPUTED_VALUE"""),"UnderlyingName")</f>
        <v>UnderlyingName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35" t="s">
        <v>34</v>
      </c>
      <c r="D6" s="11"/>
      <c r="E6" s="30"/>
      <c r="F6" s="8"/>
      <c r="G6" s="11">
        <v>100.0</v>
      </c>
      <c r="H6" s="11" t="s">
        <v>37</v>
      </c>
      <c r="I6" s="8"/>
      <c r="J6" s="11" t="s">
        <v>38</v>
      </c>
      <c r="K6" s="11" t="s">
        <v>39</v>
      </c>
      <c r="L6" s="8"/>
      <c r="M6" s="42">
        <v>-100000.0</v>
      </c>
      <c r="N6" s="8"/>
      <c r="O6" s="11" t="s">
        <v>40</v>
      </c>
      <c r="Q6" s="9" t="s">
        <v>41</v>
      </c>
      <c r="R6" s="9">
        <v>0.0</v>
      </c>
      <c r="S6" s="32">
        <v>10.0</v>
      </c>
      <c r="U6" s="9" t="s">
        <v>42</v>
      </c>
      <c r="V6" s="9" t="s">
        <v>42</v>
      </c>
      <c r="W6" s="9">
        <v>0.0</v>
      </c>
      <c r="Y6" s="9" t="s">
        <v>17</v>
      </c>
      <c r="AA6" s="9" t="s">
        <v>16</v>
      </c>
      <c r="AC6" s="9" t="s">
        <v>43</v>
      </c>
    </row>
    <row r="7" ht="15.75" customHeight="1">
      <c r="A7" s="8"/>
      <c r="B7" s="35" t="s">
        <v>18</v>
      </c>
      <c r="C7" s="35" t="s">
        <v>34</v>
      </c>
      <c r="D7" s="8"/>
      <c r="E7" s="8"/>
      <c r="F7" s="8"/>
      <c r="G7" s="11">
        <v>100.0</v>
      </c>
      <c r="H7" s="11" t="s">
        <v>37</v>
      </c>
      <c r="I7" s="8"/>
      <c r="J7" s="11" t="s">
        <v>38</v>
      </c>
      <c r="K7" s="11" t="s">
        <v>39</v>
      </c>
      <c r="L7" s="8"/>
      <c r="M7" s="42">
        <v>-100000.0</v>
      </c>
      <c r="N7" s="8"/>
      <c r="O7" s="11" t="s">
        <v>40</v>
      </c>
      <c r="Q7" s="9" t="s">
        <v>41</v>
      </c>
      <c r="R7" s="9">
        <v>0.0</v>
      </c>
      <c r="S7" s="32">
        <v>10.0</v>
      </c>
      <c r="U7" s="9" t="s">
        <v>42</v>
      </c>
      <c r="V7" s="9" t="s">
        <v>42</v>
      </c>
      <c r="W7" s="9">
        <v>0.0</v>
      </c>
      <c r="Y7" s="9" t="s">
        <v>17</v>
      </c>
      <c r="AA7" s="9" t="s">
        <v>19</v>
      </c>
      <c r="AC7" s="9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50</v>
      </c>
      <c r="C6" s="8"/>
      <c r="D6" s="11" t="s">
        <v>51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50</v>
      </c>
      <c r="C6" s="8"/>
      <c r="D6" s="11" t="s">
        <v>51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Data_conflict1884559799'!$4:$4</formula1>
    </dataValidation>
  </dataValidations>
  <drawing r:id="rId1"/>
</worksheet>
</file>