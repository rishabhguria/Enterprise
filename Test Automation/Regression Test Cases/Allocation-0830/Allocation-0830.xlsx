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AutoGroupingAllocation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ExecuteTrade1" sheetId="11" r:id="rId13"/>
    <sheet state="visible" name="SelectTrade2" sheetId="12" r:id="rId14"/>
    <sheet state="visible" name="AcknowledgeTrade2" sheetId="13" r:id="rId15"/>
    <sheet state="visible" name="ExecuteTrade2" sheetId="14" r:id="rId16"/>
    <sheet state="visible" name="SelectUnallocatedGroup" sheetId="15" r:id="rId17"/>
    <sheet state="visible" name="ReviewExistingPositions" sheetId="16" r:id="rId18"/>
    <sheet state="visible" name="CheckPortfolioManagement" sheetId="17" r:id="rId19"/>
    <sheet state="visible" name="SelectUnallocatedGroup1" sheetId="18" r:id="rId20"/>
    <sheet state="visible" name="EnterAccountValuesToAllocate" sheetId="19" r:id="rId21"/>
    <sheet state="visible" name="CreateComplianceOrder" sheetId="20" r:id="rId22"/>
    <sheet state="visible" name="VerifyComplianceOrder" sheetId="21" r:id="rId23"/>
    <sheet state="visible" name="SelectAllocatedGroup" sheetId="22" r:id="rId24"/>
    <sheet state="visible" name="ReviewExistingPositions1" sheetId="23" r:id="rId25"/>
    <sheet state="visible" name="CheckPortfolioManagement1" sheetId="24" r:id="rId26"/>
  </sheets>
  <definedNames/>
  <calcPr/>
</workbook>
</file>

<file path=xl/sharedStrings.xml><?xml version="1.0" encoding="utf-8"?>
<sst xmlns="http://schemas.openxmlformats.org/spreadsheetml/2006/main" count="283" uniqueCount="52">
  <si>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</si>
  <si>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</si>
  <si>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</si>
  <si>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</si>
  <si>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</si>
  <si>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</si>
  <si>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</si>
  <si>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</si>
  <si>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</si>
  <si>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</si>
  <si>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</si>
  <si>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</si>
  <si>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</si>
  <si>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EnableAutoGroupingAllocation</t>
  </si>
  <si>
    <t>Data Format</t>
  </si>
  <si>
    <t>Input Format</t>
  </si>
  <si>
    <t>TradingTicket</t>
  </si>
  <si>
    <t>CreateLiveOrder</t>
  </si>
  <si>
    <t>AAPL</t>
  </si>
  <si>
    <t>Sell short</t>
  </si>
  <si>
    <t>Allocation1</t>
  </si>
  <si>
    <t>Yes</t>
  </si>
  <si>
    <t>Buy to Close</t>
  </si>
  <si>
    <t>Unallocated</t>
  </si>
  <si>
    <t>Simulator</t>
  </si>
  <si>
    <t>SelectTrade</t>
  </si>
  <si>
    <t>AcknowledgeTrade</t>
  </si>
  <si>
    <t>ExecuteTrade</t>
  </si>
  <si>
    <t>Allocation</t>
  </si>
  <si>
    <t>SelectUnallocatedGroup</t>
  </si>
  <si>
    <t>ReviewExistingPositions</t>
  </si>
  <si>
    <t>PortfolioManagement</t>
  </si>
  <si>
    <t>CheckPortfolioManagement</t>
  </si>
  <si>
    <t>NewMF</t>
  </si>
  <si>
    <t>Short</t>
  </si>
  <si>
    <t>Strategy Unallocated</t>
  </si>
  <si>
    <t>Equity</t>
  </si>
  <si>
    <t>US</t>
  </si>
  <si>
    <t>NASDAQ</t>
  </si>
  <si>
    <t>USD</t>
  </si>
  <si>
    <t>jpearce</t>
  </si>
  <si>
    <t>MS</t>
  </si>
  <si>
    <t>EnterAccountValuesToAllocate</t>
  </si>
  <si>
    <t>CreateComplianceOrder</t>
  </si>
  <si>
    <t>DoneAway</t>
  </si>
  <si>
    <t>VerifyComplianceOrder</t>
  </si>
  <si>
    <t>Soft</t>
  </si>
  <si>
    <t>TradeQuantity100</t>
  </si>
  <si>
    <t>Enter Summary</t>
  </si>
  <si>
    <t>quantity: 5,000.00, Symbol: AAPL</t>
  </si>
  <si>
    <t>SelectAllocatedGroup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</si>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</sst>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FFFF"/>
      <name val="&quot;Segoe UI&quot;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3" xfId="0" applyAlignment="1" applyFont="1" applyNumberFormat="1">
      <alignment readingOrder="0" shrinkToFit="0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2" numFmtId="3" xfId="0" applyAlignment="1" applyFont="1" applyNumberFormat="1">
      <alignment readingOrder="0"/>
    </xf>
    <xf borderId="5" fillId="6" fontId="14" numFmtId="0" xfId="0" applyAlignment="1" applyBorder="1" applyFill="1" applyFont="1">
      <alignment horizontal="left" readingOrder="0" shrinkToFit="0" vertical="top" wrapText="0"/>
    </xf>
    <xf borderId="5" fillId="7" fontId="15" numFmtId="0" xfId="0" applyAlignment="1" applyBorder="1" applyFill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IFERROR(__xludf.DUMMYFUNCTION("""COMPUTED_VALUE"""),"Enable")</f>
        <v>Enable</v>
      </c>
      <c r="C5" s="27" t="str">
        <f>IFERROR(__xludf.DUMMYFUNCTION("""COMPUTED_VALUE"""),"EnableAllFunds")</f>
        <v>EnableAllFunds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EnableAutoGroupingAllocation!$4:$4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>
        <v>37500.0</v>
      </c>
      <c r="E6" s="12"/>
      <c r="F6" s="9" t="s">
        <v>20</v>
      </c>
      <c r="G6" s="8"/>
      <c r="H6" s="8"/>
      <c r="J6" s="12">
        <v>1.0</v>
      </c>
      <c r="K6" s="8"/>
      <c r="L6" s="8"/>
      <c r="M6" s="8"/>
      <c r="N6" s="8"/>
      <c r="O6" s="8"/>
      <c r="AO6" s="9" t="s">
        <v>21</v>
      </c>
    </row>
    <row r="7" ht="15.75" customHeight="1">
      <c r="A7" s="8"/>
      <c r="B7" s="12" t="s">
        <v>18</v>
      </c>
      <c r="C7" s="12" t="s">
        <v>22</v>
      </c>
      <c r="D7" s="12">
        <v>5000.0</v>
      </c>
      <c r="E7" s="12"/>
      <c r="F7" s="9" t="s">
        <v>23</v>
      </c>
      <c r="G7" s="8"/>
      <c r="H7" s="8"/>
      <c r="J7" s="12">
        <v>1.0</v>
      </c>
      <c r="K7" s="8"/>
      <c r="L7" s="8"/>
      <c r="M7" s="8"/>
      <c r="N7" s="8"/>
      <c r="O7" s="8"/>
      <c r="AO7" s="9" t="s">
        <v>21</v>
      </c>
    </row>
    <row r="8" ht="15.75" customHeight="1">
      <c r="A8" s="8"/>
      <c r="B8" s="12" t="s">
        <v>18</v>
      </c>
      <c r="C8" s="12" t="s">
        <v>22</v>
      </c>
      <c r="D8" s="12">
        <v>30000.0</v>
      </c>
      <c r="E8" s="12"/>
      <c r="F8" s="9" t="s">
        <v>23</v>
      </c>
      <c r="G8" s="8"/>
      <c r="H8" s="8"/>
      <c r="J8" s="12">
        <v>1.0</v>
      </c>
      <c r="K8" s="8"/>
      <c r="L8" s="8"/>
      <c r="M8" s="8"/>
      <c r="N8" s="8"/>
      <c r="O8" s="8"/>
      <c r="AO8" s="9" t="s">
        <v>21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18</v>
      </c>
      <c r="D6" s="12"/>
      <c r="E6" s="32"/>
      <c r="F6" s="8"/>
      <c r="G6" s="12">
        <v>37500.0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18</v>
      </c>
      <c r="D6" s="12"/>
      <c r="E6" s="32"/>
      <c r="F6" s="8"/>
      <c r="G6" s="12">
        <v>37500.0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1.0</v>
      </c>
      <c r="C6" s="12">
        <v>37500.0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22</v>
      </c>
      <c r="C6" s="34" t="s">
        <v>18</v>
      </c>
      <c r="E6" s="32"/>
      <c r="F6" s="8"/>
      <c r="G6" s="35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22</v>
      </c>
      <c r="C6" s="34" t="s">
        <v>18</v>
      </c>
      <c r="E6" s="32"/>
      <c r="F6" s="8"/>
      <c r="G6" s="35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1.0</v>
      </c>
      <c r="C6" s="35">
        <v>5000.0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22</v>
      </c>
      <c r="C6" s="34" t="s">
        <v>18</v>
      </c>
      <c r="E6" s="32"/>
      <c r="F6" s="8"/>
      <c r="G6" s="35">
        <v>30000.0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22</v>
      </c>
      <c r="C6" s="34" t="s">
        <v>18</v>
      </c>
      <c r="E6" s="32"/>
      <c r="F6" s="8"/>
      <c r="G6" s="35">
        <v>30000.0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1.0</v>
      </c>
      <c r="C6" s="35">
        <v>30000.0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22</v>
      </c>
      <c r="D6" s="12">
        <v>35000.0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IFERROR(__xludf.DUMMYFUNCTION("""COMPUTED_VALUE"""),"AccountName")</f>
        <v>AccountName</v>
      </c>
      <c r="D5" s="27" t="str">
        <f>IFERROR(__xludf.DUMMYFUNCTION("""COMPUTED_VALUE"""),"Quantity")</f>
        <v>Quantity</v>
      </c>
      <c r="E5" s="27" t="str">
        <f>IFERROR(__xludf.DUMMYFUNCTION("""COMPUTED_VALUE"""),"Notional")</f>
        <v>Notional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20</v>
      </c>
      <c r="D6" s="12">
        <v>-37500.0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12"/>
      <c r="C6" s="12" t="s">
        <v>18</v>
      </c>
      <c r="D6" s="36">
        <v>-37500.0</v>
      </c>
      <c r="E6" s="12" t="s">
        <v>20</v>
      </c>
      <c r="F6" s="12" t="s">
        <v>33</v>
      </c>
      <c r="G6" s="12">
        <v>1.0</v>
      </c>
      <c r="H6" s="12" t="s">
        <v>34</v>
      </c>
      <c r="I6" s="8"/>
      <c r="J6" s="8"/>
      <c r="K6" s="8"/>
      <c r="L6" s="8"/>
      <c r="M6" s="8"/>
      <c r="N6" s="8"/>
      <c r="O6" s="8"/>
      <c r="S6" s="37" t="s">
        <v>35</v>
      </c>
      <c r="T6" s="37" t="s">
        <v>36</v>
      </c>
      <c r="U6" s="37" t="s">
        <v>37</v>
      </c>
      <c r="V6" s="37" t="s">
        <v>38</v>
      </c>
      <c r="W6" s="37" t="s">
        <v>39</v>
      </c>
      <c r="X6" s="38">
        <v>1.0</v>
      </c>
      <c r="Y6" s="38">
        <v>1.0</v>
      </c>
      <c r="AL6" s="9">
        <v>1.0</v>
      </c>
      <c r="AM6" s="9">
        <v>1.0</v>
      </c>
      <c r="AN6" s="9" t="s">
        <v>19</v>
      </c>
      <c r="AP6" s="9" t="s">
        <v>34</v>
      </c>
      <c r="AQ6" s="9" t="s">
        <v>18</v>
      </c>
      <c r="AW6" s="39">
        <v>37500.0</v>
      </c>
      <c r="BQ6" s="9" t="s">
        <v>40</v>
      </c>
      <c r="BR6" s="9" t="s">
        <v>41</v>
      </c>
      <c r="FH6" s="39">
        <v>-37500.0</v>
      </c>
    </row>
    <row r="7" ht="15.75" customHeight="1">
      <c r="A7" s="8"/>
      <c r="B7" s="8"/>
      <c r="C7" s="12" t="s">
        <v>18</v>
      </c>
      <c r="D7" s="36">
        <v>35000.0</v>
      </c>
      <c r="E7" s="12"/>
      <c r="F7" s="8"/>
      <c r="G7" s="12">
        <v>1.0</v>
      </c>
      <c r="H7" s="12" t="s">
        <v>34</v>
      </c>
      <c r="I7" s="8"/>
      <c r="J7" s="8"/>
      <c r="K7" s="8"/>
      <c r="L7" s="8"/>
      <c r="M7" s="8"/>
      <c r="N7" s="8"/>
      <c r="O7" s="8"/>
      <c r="S7" s="37" t="s">
        <v>35</v>
      </c>
      <c r="T7" s="37" t="s">
        <v>36</v>
      </c>
      <c r="U7" s="9" t="s">
        <v>37</v>
      </c>
      <c r="V7" s="9" t="s">
        <v>38</v>
      </c>
      <c r="W7" s="9" t="s">
        <v>39</v>
      </c>
      <c r="X7" s="9">
        <v>1.0</v>
      </c>
      <c r="Y7" s="9">
        <v>1.0</v>
      </c>
      <c r="AL7" s="9">
        <v>1.0</v>
      </c>
      <c r="AM7" s="9">
        <v>1.0</v>
      </c>
      <c r="AN7" s="9" t="s">
        <v>22</v>
      </c>
      <c r="AP7" s="9" t="s">
        <v>34</v>
      </c>
      <c r="AQ7" s="9" t="s">
        <v>18</v>
      </c>
      <c r="AW7" s="39">
        <v>-35000.0</v>
      </c>
      <c r="BR7" s="9" t="s">
        <v>41</v>
      </c>
      <c r="FH7" s="39">
        <v>35000.0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22</v>
      </c>
      <c r="D6" s="12">
        <v>35000.0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>
        <v>100.0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>
        <v>5000.0</v>
      </c>
      <c r="E6" s="32"/>
      <c r="F6" s="12" t="s">
        <v>20</v>
      </c>
      <c r="G6" s="8"/>
      <c r="H6" s="8"/>
      <c r="I6" s="8"/>
      <c r="J6" s="12">
        <v>1.0</v>
      </c>
      <c r="K6" s="8"/>
      <c r="L6" s="8"/>
      <c r="M6" s="8"/>
      <c r="N6" s="8"/>
      <c r="O6" s="8"/>
      <c r="AX6" s="9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46</v>
      </c>
      <c r="C6" s="41" t="s">
        <v>47</v>
      </c>
      <c r="D6" s="41" t="s">
        <v>48</v>
      </c>
      <c r="E6" s="41" t="s">
        <v>18</v>
      </c>
      <c r="F6" s="41">
        <v>100.0</v>
      </c>
      <c r="G6" s="41">
        <v>5000.0</v>
      </c>
      <c r="H6" s="41" t="s">
        <v>49</v>
      </c>
      <c r="I6" s="8"/>
      <c r="J6" s="8"/>
      <c r="K6" s="12" t="s">
        <v>21</v>
      </c>
      <c r="L6" s="8"/>
      <c r="M6" s="12" t="s">
        <v>44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12" t="s">
        <v>20</v>
      </c>
      <c r="F6" s="12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IFERROR(__xludf.DUMMYFUNCTION("""COMPUTED_VALUE"""),"AccountName")</f>
        <v>AccountName</v>
      </c>
      <c r="D5" s="27" t="str">
        <f>IFERROR(__xludf.DUMMYFUNCTION("""COMPUTED_VALUE"""),"Quantity")</f>
        <v>Quantity</v>
      </c>
      <c r="E5" s="27" t="str">
        <f>IFERROR(__xludf.DUMMYFUNCTION("""COMPUTED_VALUE"""),"Notional")</f>
        <v>Notional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20</v>
      </c>
      <c r="D6" s="12">
        <v>-7500.0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ReviewExistingPositions1!$4:$4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12"/>
      <c r="C6" s="12" t="s">
        <v>18</v>
      </c>
      <c r="D6" s="36">
        <v>-37500.0</v>
      </c>
      <c r="E6" s="12" t="s">
        <v>20</v>
      </c>
      <c r="F6" s="12" t="s">
        <v>33</v>
      </c>
      <c r="G6" s="9">
        <v>1.0</v>
      </c>
      <c r="H6" s="12" t="s">
        <v>34</v>
      </c>
      <c r="I6" s="8"/>
      <c r="J6" s="8"/>
      <c r="K6" s="8"/>
      <c r="L6" s="8"/>
      <c r="M6" s="8"/>
      <c r="N6" s="36">
        <v>37500.0</v>
      </c>
      <c r="O6" s="8"/>
      <c r="Q6" s="39">
        <v>37500.0</v>
      </c>
      <c r="S6" s="37" t="s">
        <v>35</v>
      </c>
      <c r="T6" s="37" t="s">
        <v>36</v>
      </c>
      <c r="U6" s="37" t="s">
        <v>37</v>
      </c>
      <c r="V6" s="37" t="s">
        <v>38</v>
      </c>
      <c r="W6" s="37" t="s">
        <v>39</v>
      </c>
      <c r="X6" s="38">
        <v>1.0</v>
      </c>
      <c r="Y6" s="38">
        <v>1.0</v>
      </c>
      <c r="AL6" s="9">
        <v>1.0</v>
      </c>
      <c r="AM6" s="9">
        <v>1.0</v>
      </c>
      <c r="AN6" s="9" t="s">
        <v>19</v>
      </c>
      <c r="AP6" s="9" t="s">
        <v>34</v>
      </c>
      <c r="AQ6" s="9" t="s">
        <v>18</v>
      </c>
      <c r="AW6" s="39">
        <v>37500.0</v>
      </c>
      <c r="BQ6" s="9" t="s">
        <v>40</v>
      </c>
      <c r="BR6" s="9" t="s">
        <v>41</v>
      </c>
      <c r="CN6" s="9" t="s">
        <v>18</v>
      </c>
      <c r="CO6" s="9" t="s">
        <v>18</v>
      </c>
      <c r="CP6" s="9" t="s">
        <v>51</v>
      </c>
      <c r="DJ6" s="9" t="s">
        <v>19</v>
      </c>
      <c r="ES6" s="39">
        <v>7500.0</v>
      </c>
      <c r="EW6" s="39">
        <v>7500.0</v>
      </c>
      <c r="FH6" s="39">
        <v>-7500.0</v>
      </c>
    </row>
    <row r="7" ht="15.75" customHeight="1">
      <c r="A7" s="8"/>
      <c r="B7" s="8"/>
      <c r="C7" s="12" t="s">
        <v>18</v>
      </c>
      <c r="D7" s="36">
        <v>35000.0</v>
      </c>
      <c r="E7" s="12" t="s">
        <v>20</v>
      </c>
      <c r="F7" s="12" t="s">
        <v>33</v>
      </c>
      <c r="G7" s="9">
        <v>1.0</v>
      </c>
      <c r="H7" s="12" t="s">
        <v>34</v>
      </c>
      <c r="I7" s="8"/>
      <c r="J7" s="8"/>
      <c r="K7" s="8"/>
      <c r="L7" s="8"/>
      <c r="M7" s="8"/>
      <c r="N7" s="36">
        <v>-35000.0</v>
      </c>
      <c r="O7" s="8"/>
      <c r="Q7" s="39">
        <v>-35000.0</v>
      </c>
      <c r="S7" s="37" t="s">
        <v>35</v>
      </c>
      <c r="T7" s="37" t="s">
        <v>36</v>
      </c>
      <c r="U7" s="37" t="s">
        <v>37</v>
      </c>
      <c r="V7" s="37" t="s">
        <v>38</v>
      </c>
      <c r="W7" s="37" t="s">
        <v>39</v>
      </c>
      <c r="X7" s="38">
        <v>1.0</v>
      </c>
      <c r="Y7" s="38">
        <v>1.0</v>
      </c>
      <c r="AL7" s="9">
        <v>1.0</v>
      </c>
      <c r="AM7" s="9">
        <v>1.0</v>
      </c>
      <c r="AN7" s="9" t="s">
        <v>22</v>
      </c>
      <c r="AP7" s="9" t="s">
        <v>34</v>
      </c>
      <c r="AQ7" s="9" t="s">
        <v>18</v>
      </c>
      <c r="AW7" s="39">
        <v>-35000.0</v>
      </c>
      <c r="BR7" s="9" t="s">
        <v>41</v>
      </c>
      <c r="CN7" s="9" t="s">
        <v>18</v>
      </c>
      <c r="CO7" s="9" t="s">
        <v>18</v>
      </c>
      <c r="CP7" s="9" t="s">
        <v>51</v>
      </c>
      <c r="DJ7" s="9" t="s">
        <v>22</v>
      </c>
      <c r="ES7" s="39">
        <v>7500.0</v>
      </c>
      <c r="EW7" s="39">
        <v>7500.0</v>
      </c>
      <c r="FH7" s="39">
        <v>-7500.0</v>
      </c>
    </row>
    <row r="8" ht="15.75" customHeight="1">
      <c r="A8" s="8"/>
      <c r="B8" s="8"/>
      <c r="C8" s="12" t="s">
        <v>18</v>
      </c>
      <c r="D8" s="36">
        <v>-5000.0</v>
      </c>
      <c r="E8" s="12" t="s">
        <v>20</v>
      </c>
      <c r="F8" s="12" t="s">
        <v>33</v>
      </c>
      <c r="G8" s="9">
        <v>1.0</v>
      </c>
      <c r="H8" s="12" t="s">
        <v>34</v>
      </c>
      <c r="I8" s="8"/>
      <c r="J8" s="8"/>
      <c r="K8" s="8"/>
      <c r="L8" s="8"/>
      <c r="M8" s="8"/>
      <c r="N8" s="36">
        <v>5000.0</v>
      </c>
      <c r="O8" s="8"/>
      <c r="Q8" s="39">
        <v>5000.0</v>
      </c>
      <c r="S8" s="37" t="s">
        <v>35</v>
      </c>
      <c r="T8" s="37" t="s">
        <v>36</v>
      </c>
      <c r="U8" s="37" t="s">
        <v>37</v>
      </c>
      <c r="V8" s="37" t="s">
        <v>38</v>
      </c>
      <c r="W8" s="37" t="s">
        <v>39</v>
      </c>
      <c r="X8" s="38">
        <v>1.0</v>
      </c>
      <c r="Y8" s="38">
        <v>1.0</v>
      </c>
      <c r="AL8" s="9">
        <v>1.0</v>
      </c>
      <c r="AM8" s="9">
        <v>1.0</v>
      </c>
      <c r="AN8" s="9" t="s">
        <v>19</v>
      </c>
      <c r="AP8" s="9" t="s">
        <v>34</v>
      </c>
      <c r="AQ8" s="9" t="s">
        <v>18</v>
      </c>
      <c r="AW8" s="39">
        <v>5000.0</v>
      </c>
      <c r="BQ8" s="9" t="s">
        <v>40</v>
      </c>
      <c r="BR8" s="9" t="s">
        <v>41</v>
      </c>
      <c r="CN8" s="9" t="s">
        <v>18</v>
      </c>
      <c r="CO8" s="9" t="s">
        <v>18</v>
      </c>
      <c r="CP8" s="9" t="s">
        <v>51</v>
      </c>
      <c r="DJ8" s="9" t="s">
        <v>19</v>
      </c>
      <c r="ES8" s="39">
        <v>7500.0</v>
      </c>
      <c r="EW8" s="39">
        <v>7500.0</v>
      </c>
      <c r="FH8" s="39">
        <v>-7500.0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X9" s="38"/>
      <c r="Y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