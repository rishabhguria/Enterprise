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SetGeneralPreference" sheetId="8" r:id="rId10"/>
    <sheet state="visible" name="SetCompliancePermission" sheetId="9" r:id="rId11"/>
    <sheet state="visible" name="RestartReleasesAndServices" sheetId="10" r:id="rId12"/>
    <sheet state="visible" name="TradePTT" sheetId="11" r:id="rId13"/>
    <sheet state="visible" name="CustomOrderTT1" sheetId="12" r:id="rId14"/>
    <sheet state="visible" name="ApproveorRejectpendingapproval" sheetId="13" r:id="rId15"/>
    <sheet state="visible" name="SelectTradeOnOrderGrid" sheetId="14" r:id="rId16"/>
    <sheet state="visible" name="ReplaceSubOrder" sheetId="15" r:id="rId17"/>
    <sheet state="visible" name="CustomOrderTT2" sheetId="16" r:id="rId18"/>
    <sheet state="visible" name="VerifyAlertHistory" sheetId="17" r:id="rId19"/>
    <sheet state="visible" name="GetDataFromAuditTrail" sheetId="18" r:id="rId20"/>
    <sheet state="visible" name="VerifyAuditTrail" sheetId="19" r:id="rId21"/>
  </sheets>
  <definedNames/>
  <calcPr/>
</workbook>
</file>

<file path=xl/sharedStrings.xml><?xml version="1.0" encoding="utf-8"?>
<sst xmlns="http://schemas.openxmlformats.org/spreadsheetml/2006/main" count="347" uniqueCount="72">
  <si>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</si>
  <si>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</si>
  <si>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</si>
  <si>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</si>
  <si>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</si>
  <si>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</si>
  <si>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</si>
  <si>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</si>
  <si>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</si>
  <si>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</si>
  <si>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</si>
  <si>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</si>
  <si>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</si>
  <si>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</si>
  <si>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</si>
  <si>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</si>
  <si>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</si>
  <si>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</si>
  <si>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</si>
  <si>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PricingInput</t>
  </si>
  <si>
    <t>DailyValuation</t>
  </si>
  <si>
    <t>GetDailyCash</t>
  </si>
  <si>
    <t>UpdateMultipleDailyCash</t>
  </si>
  <si>
    <t>Allocation1</t>
  </si>
  <si>
    <t>USD</t>
  </si>
  <si>
    <t>SetGeneralPreference</t>
  </si>
  <si>
    <t>DefaultNotes,DefaultBrokerNotes</t>
  </si>
  <si>
    <t>Admin</t>
  </si>
  <si>
    <t>SetCompliancePermission</t>
  </si>
  <si>
    <t>TradeQtyGreater50</t>
  </si>
  <si>
    <t>RequiresApproval</t>
  </si>
  <si>
    <t>TradeQtyEqual50</t>
  </si>
  <si>
    <t>Hard</t>
  </si>
  <si>
    <t>Compliance</t>
  </si>
  <si>
    <t>RestartReleasesAndServices</t>
  </si>
  <si>
    <t>Yes</t>
  </si>
  <si>
    <t>PTT</t>
  </si>
  <si>
    <t>TradePTT</t>
  </si>
  <si>
    <t>Increase</t>
  </si>
  <si>
    <t>Send</t>
  </si>
  <si>
    <t>ApproveorRejectpendingapproval</t>
  </si>
  <si>
    <t/>
  </si>
  <si>
    <t>Single Trade</t>
  </si>
  <si>
    <t>GCCAP1</t>
  </si>
  <si>
    <t>Buy 52 AAPL @2, Notional USD 104</t>
  </si>
  <si>
    <t>jpearce</t>
  </si>
  <si>
    <t>MS</t>
  </si>
  <si>
    <t>Pending Approval</t>
  </si>
  <si>
    <t>Verify</t>
  </si>
  <si>
    <t>Blotter</t>
  </si>
  <si>
    <t>SelectTradeOnOrderGrid</t>
  </si>
  <si>
    <t>New</t>
  </si>
  <si>
    <t>ReplaceSubOrder</t>
  </si>
  <si>
    <t>Replace</t>
  </si>
  <si>
    <t>VerifyAlertHistory</t>
  </si>
  <si>
    <t>Support1</t>
  </si>
  <si>
    <t>PreTrade</t>
  </si>
  <si>
    <t>Enter Summary</t>
  </si>
  <si>
    <t>Trade</t>
  </si>
  <si>
    <t>quantity: 50.00, Symbol: AAPL</t>
  </si>
  <si>
    <t>Trade blocked by Hard Alert.</t>
  </si>
  <si>
    <t>If Quantity equals to 50, Then block the trade.</t>
  </si>
  <si>
    <t>AuditTrail</t>
  </si>
  <si>
    <t>GetDataFromAuditTrail</t>
  </si>
  <si>
    <t>VerifyAuditTrail</t>
  </si>
  <si>
    <t>Sub-Order Replaced</t>
  </si>
  <si>
    <t>Replaced Quantity:51, Avg Price:0, Order Type:Market,Trade Date:6/7/2025 10:05:28 AM</t>
  </si>
  <si>
    <t>Compliance Alert</t>
  </si>
  <si>
    <t>RuleType: PreTrade, Compression Level: Trade, Status: Trade blocked by Hard Alert., Summary: Enter Summary, Description: If Quantity greater than 50, Then block the trade., Parameters: quantity: 51.00, Symbol: AAPL</t>
  </si>
  <si>
    <t>RuleType: PreTrade, Compression Level: Trade, Status: Trade blocked by Hard Alert., Summary: Enter Summary, Description: If Quantity not equals to -123, Then block the trade., Parameters: quantity: 51.00, Symbol: AAPL</t>
  </si>
  <si>
    <t>Order Blocked (Compliance)</t>
  </si>
  <si>
    <t>Expired because the order was replaced.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</si>
</sst>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0.0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>today()-1</f>
        <v>45816</v>
      </c>
      <c r="C6" s="38">
        <f>today()</f>
        <v>45817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23</v>
      </c>
      <c r="C6" s="35" t="s">
        <v>24</v>
      </c>
      <c r="D6" s="34">
        <v>10000.0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13" t="s">
        <v>26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 t="str">
        <f>IFERROR(__xludf.DUMMYFUNCTION("""COMPUTED_VALUE"""),"ChangeDate")</f>
        <v>ChangeDate</v>
      </c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29</v>
      </c>
      <c r="C6" s="39" t="s">
        <v>30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 t="s">
        <v>32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 t="s">
        <v>38</v>
      </c>
      <c r="D6" s="31"/>
      <c r="E6" s="36"/>
      <c r="F6" s="33">
        <v>10.0</v>
      </c>
      <c r="G6" s="36"/>
      <c r="H6" s="36"/>
      <c r="I6" s="35" t="s">
        <v>23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52.0</v>
      </c>
      <c r="D6" s="13">
        <v>2.0</v>
      </c>
      <c r="E6" s="13" t="s">
        <v>39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 t="s">
        <v>41</v>
      </c>
      <c r="B6" s="40"/>
      <c r="C6" s="8" t="s">
        <v>16</v>
      </c>
      <c r="D6" s="40" t="s">
        <v>42</v>
      </c>
      <c r="E6" s="8" t="s">
        <v>43</v>
      </c>
      <c r="F6" s="8" t="s">
        <v>44</v>
      </c>
      <c r="G6" s="8"/>
      <c r="H6" s="8"/>
      <c r="I6" s="8" t="s">
        <v>45</v>
      </c>
      <c r="J6" s="8">
        <v>2.0</v>
      </c>
      <c r="K6" s="8"/>
      <c r="L6" s="8">
        <v>52.0</v>
      </c>
      <c r="M6" s="8" t="s">
        <v>46</v>
      </c>
      <c r="N6" s="8" t="s">
        <v>47</v>
      </c>
      <c r="O6" s="8" t="s">
        <v>18</v>
      </c>
      <c r="P6" s="9" t="s">
        <v>48</v>
      </c>
      <c r="Q6" t="s">
        <v>41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41</v>
      </c>
      <c r="AG6" t="s">
        <v>41</v>
      </c>
      <c r="AH6" t="s">
        <v>41</v>
      </c>
      <c r="AI6" t="s">
        <v>41</v>
      </c>
      <c r="AJ6" t="s">
        <v>41</v>
      </c>
      <c r="AK6" t="s">
        <v>41</v>
      </c>
      <c r="AL6" t="s">
        <v>41</v>
      </c>
      <c r="AM6" t="s">
        <v>41</v>
      </c>
      <c r="AN6" t="s">
        <v>41</v>
      </c>
      <c r="AO6" t="s">
        <v>41</v>
      </c>
      <c r="AP6" t="s">
        <v>41</v>
      </c>
      <c r="AQ6" t="s">
        <v>41</v>
      </c>
      <c r="AR6" t="s">
        <v>41</v>
      </c>
      <c r="AS6" t="s">
        <v>41</v>
      </c>
      <c r="AT6" t="s">
        <v>41</v>
      </c>
      <c r="AU6" t="s">
        <v>41</v>
      </c>
      <c r="AV6" t="s">
        <v>41</v>
      </c>
      <c r="AW6" t="s">
        <v>41</v>
      </c>
      <c r="AX6" t="s">
        <v>41</v>
      </c>
      <c r="AY6" t="s">
        <v>41</v>
      </c>
      <c r="AZ6" t="s">
        <v>41</v>
      </c>
      <c r="BA6" t="s">
        <v>41</v>
      </c>
      <c r="BB6" t="s">
        <v>41</v>
      </c>
      <c r="BC6" t="s">
        <v>41</v>
      </c>
      <c r="BD6" t="s">
        <v>41</v>
      </c>
      <c r="BE6" t="s">
        <v>41</v>
      </c>
      <c r="BF6" t="s">
        <v>41</v>
      </c>
      <c r="BG6" t="s">
        <v>41</v>
      </c>
      <c r="BH6" t="s">
        <v>41</v>
      </c>
      <c r="BI6" t="s">
        <v>41</v>
      </c>
      <c r="BJ6" t="s">
        <v>41</v>
      </c>
      <c r="BK6" t="s">
        <v>41</v>
      </c>
      <c r="BL6" t="s">
        <v>41</v>
      </c>
      <c r="BM6" t="s">
        <v>41</v>
      </c>
      <c r="BN6" t="s">
        <v>41</v>
      </c>
      <c r="BO6" t="s">
        <v>41</v>
      </c>
      <c r="BP6" t="s">
        <v>41</v>
      </c>
      <c r="BQ6" t="s">
        <v>41</v>
      </c>
      <c r="BR6" t="s">
        <v>41</v>
      </c>
      <c r="BS6" t="s">
        <v>41</v>
      </c>
      <c r="BT6" t="s">
        <v>41</v>
      </c>
      <c r="BU6" t="s">
        <v>41</v>
      </c>
      <c r="BV6" t="s">
        <v>41</v>
      </c>
      <c r="BW6" t="s">
        <v>41</v>
      </c>
      <c r="BX6" t="s">
        <v>41</v>
      </c>
      <c r="BY6" t="s">
        <v>41</v>
      </c>
      <c r="BZ6" t="s">
        <v>41</v>
      </c>
      <c r="CA6" t="s">
        <v>41</v>
      </c>
      <c r="CB6" t="s">
        <v>41</v>
      </c>
      <c r="CC6" t="s">
        <v>41</v>
      </c>
      <c r="CD6" t="s">
        <v>41</v>
      </c>
      <c r="CE6" t="s">
        <v>41</v>
      </c>
      <c r="CF6" t="s">
        <v>41</v>
      </c>
      <c r="CG6" t="s">
        <v>41</v>
      </c>
      <c r="CH6" t="s">
        <v>41</v>
      </c>
      <c r="CI6" t="s">
        <v>41</v>
      </c>
      <c r="CJ6" t="s">
        <v>41</v>
      </c>
      <c r="CK6" t="s">
        <v>41</v>
      </c>
      <c r="CL6" t="s">
        <v>41</v>
      </c>
      <c r="CM6" t="s">
        <v>41</v>
      </c>
      <c r="CN6" t="s">
        <v>41</v>
      </c>
      <c r="CO6" t="s">
        <v>41</v>
      </c>
      <c r="CP6" t="s">
        <v>41</v>
      </c>
      <c r="CQ6" t="s">
        <v>41</v>
      </c>
      <c r="CR6" t="s">
        <v>41</v>
      </c>
      <c r="CS6" t="s">
        <v>41</v>
      </c>
      <c r="CT6" t="s">
        <v>41</v>
      </c>
      <c r="CU6" t="s">
        <v>41</v>
      </c>
      <c r="CV6" t="s">
        <v>41</v>
      </c>
      <c r="CW6" t="s">
        <v>41</v>
      </c>
      <c r="CX6" t="s">
        <v>41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EY6" t="s">
        <v>41</v>
      </c>
      <c r="EZ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  <c r="FI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18</v>
      </c>
      <c r="G6" s="13" t="s">
        <v>51</v>
      </c>
      <c r="H6" s="13">
        <v>52.0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  <c r="AM6" s="9">
        <v>52.0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50.0</v>
      </c>
      <c r="D6" s="13">
        <v>2.0</v>
      </c>
      <c r="E6" s="13" t="s">
        <v>53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4.0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IFERROR(__xludf.DUMMYFUNCTION("""COMPUTED_VALUE"""),"Name")</f>
        <v>Name</v>
      </c>
      <c r="C5" s="28" t="str">
        <f>IFERROR(__xludf.DUMMYFUNCTION("""COMPUTED_VALUE"""),"User Name")</f>
        <v>User Name</v>
      </c>
      <c r="D5" s="28" t="str">
        <f>IFERROR(__xludf.DUMMYFUNCTION("""COMPUTED_VALUE"""),"Rule Type")</f>
        <v>Rule Type</v>
      </c>
      <c r="E5" s="28" t="str">
        <f>IFERROR(__xludf.DUMMYFUNCTION("""COMPUTED_VALUE"""),"Summary")</f>
        <v>Summary</v>
      </c>
      <c r="F5" s="29" t="str">
        <f>IFERROR(__xludf.DUMMYFUNCTION("""COMPUTED_VALUE"""),"Compression Level")</f>
        <v>Compression Level</v>
      </c>
      <c r="G5" s="28" t="str">
        <f>IFERROR(__xludf.DUMMYFUNCTION("""COMPUTED_VALUE"""),"Parameters")</f>
        <v>Parameters</v>
      </c>
      <c r="H5" s="28" t="str">
        <f>IFERROR(__xludf.DUMMYFUNCTION("""COMPUTED_VALUE"""),"Validation Time")</f>
        <v>Validation Time</v>
      </c>
      <c r="I5" s="28" t="str">
        <f>IFERROR(__xludf.DUMMYFUNCTION("""COMPUTED_VALUE"""),"OrderId")</f>
        <v>OrderId</v>
      </c>
      <c r="J5" s="28" t="str">
        <f>IFERROR(__xludf.DUMMYFUNCTION("""COMPUTED_VALUE"""),"Status")</f>
        <v>Status</v>
      </c>
      <c r="K5" s="28" t="str">
        <f>IFERROR(__xludf.DUMMYFUNCTION("""COMPUTED_VALUE"""),"Description")</f>
        <v>Description</v>
      </c>
      <c r="L5" s="28" t="str">
        <f>IFERROR(__xludf.DUMMYFUNCTION("""COMPUTED_VALUE"""),"Dimension")</f>
        <v>Dimension</v>
      </c>
      <c r="M5" s="28" t="str">
        <f>IFERROR(__xludf.DUMMYFUNCTION("""COMPUTED_VALUE"""),"Rule Deleted")</f>
        <v>Rule Deleted</v>
      </c>
      <c r="N5" s="28" t="str">
        <f>IFERROR(__xludf.DUMMYFUNCTION("""COMPUTED_VALUE"""),"PreTrade Type")</f>
        <v>PreTrade Type</v>
      </c>
      <c r="O5" s="28" t="str">
        <f>IFERROR(__xludf.DUMMYFUNCTION("""COMPUTED_VALUE"""),"Compliance Officer Notes")</f>
        <v>Compliance Officer Notes</v>
      </c>
      <c r="P5" s="28" t="str">
        <f>IFERROR(__xludf.DUMMYFUNCTION("""COMPUTED_VALUE"""),"User Notes")</f>
        <v>User Notes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/>
      <c r="B6" s="13" t="s">
        <v>31</v>
      </c>
      <c r="C6" s="13" t="s">
        <v>55</v>
      </c>
      <c r="D6" s="13" t="s">
        <v>56</v>
      </c>
      <c r="E6" s="13" t="s">
        <v>57</v>
      </c>
      <c r="F6" s="13" t="s">
        <v>58</v>
      </c>
      <c r="G6" s="13" t="s">
        <v>59</v>
      </c>
      <c r="H6" s="13"/>
      <c r="I6" s="13"/>
      <c r="J6" s="13" t="s">
        <v>60</v>
      </c>
      <c r="K6" s="13" t="s">
        <v>61</v>
      </c>
      <c r="L6" s="13" t="s">
        <v>16</v>
      </c>
      <c r="M6" s="13" t="b">
        <v>0</v>
      </c>
      <c r="N6" s="13" t="s">
        <v>58</v>
      </c>
      <c r="O6" s="8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  <c r="AML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/>
      <c r="MV10" s="41"/>
      <c r="MW10" s="41"/>
      <c r="MX10" s="41"/>
      <c r="MY10" s="41"/>
      <c r="MZ10" s="41"/>
      <c r="NA10" s="41"/>
      <c r="NB10" s="41"/>
      <c r="NC10" s="41"/>
      <c r="ND10" s="41"/>
      <c r="NE10" s="41"/>
      <c r="NF10" s="41"/>
      <c r="NG10" s="41"/>
      <c r="NH10" s="41"/>
      <c r="NI10" s="41"/>
      <c r="NJ10" s="41"/>
      <c r="NK10" s="41"/>
      <c r="NL10" s="41"/>
      <c r="NM10" s="41"/>
      <c r="NN10" s="41"/>
      <c r="NO10" s="41"/>
      <c r="NP10" s="41"/>
      <c r="NQ10" s="41"/>
      <c r="NR10" s="41"/>
      <c r="NS10" s="41"/>
      <c r="NT10" s="41"/>
      <c r="NU10" s="41"/>
      <c r="NV10" s="41"/>
      <c r="NW10" s="41"/>
      <c r="NX10" s="41"/>
      <c r="NY10" s="41"/>
      <c r="NZ10" s="41"/>
      <c r="OA10" s="41"/>
      <c r="OB10" s="41"/>
      <c r="OC10" s="41"/>
      <c r="OD10" s="41"/>
      <c r="OE10" s="41"/>
      <c r="OF10" s="41"/>
      <c r="OG10" s="41"/>
      <c r="OH10" s="41"/>
      <c r="OI10" s="41"/>
      <c r="OJ10" s="41"/>
      <c r="OK10" s="41"/>
      <c r="OL10" s="41"/>
      <c r="OM10" s="41"/>
      <c r="ON10" s="41"/>
      <c r="OO10" s="41"/>
      <c r="OP10" s="41"/>
      <c r="OQ10" s="41"/>
      <c r="OR10" s="41"/>
      <c r="OS10" s="41"/>
      <c r="OT10" s="41"/>
      <c r="OU10" s="41"/>
      <c r="OV10" s="41"/>
      <c r="OW10" s="41"/>
      <c r="OX10" s="41"/>
      <c r="OY10" s="41"/>
      <c r="OZ10" s="41"/>
      <c r="PA10" s="41"/>
      <c r="PB10" s="41"/>
      <c r="PC10" s="41"/>
      <c r="PD10" s="41"/>
      <c r="PE10" s="41"/>
      <c r="PF10" s="41"/>
      <c r="PG10" s="41"/>
      <c r="PH10" s="41"/>
      <c r="PI10" s="41"/>
      <c r="PJ10" s="41"/>
      <c r="PK10" s="41"/>
      <c r="PL10" s="41"/>
      <c r="PM10" s="41"/>
      <c r="PN10" s="41"/>
      <c r="PO10" s="41"/>
      <c r="PP10" s="41"/>
      <c r="PQ10" s="41"/>
      <c r="PR10" s="41"/>
      <c r="PS10" s="41"/>
      <c r="PT10" s="41"/>
      <c r="PU10" s="41"/>
      <c r="PV10" s="41"/>
      <c r="PW10" s="41"/>
      <c r="PX10" s="41"/>
      <c r="PY10" s="41"/>
      <c r="PZ10" s="41"/>
      <c r="QA10" s="41"/>
      <c r="QB10" s="41"/>
      <c r="QC10" s="41"/>
      <c r="QD10" s="41"/>
      <c r="QE10" s="41"/>
      <c r="QF10" s="41"/>
      <c r="QG10" s="41"/>
      <c r="QH10" s="41"/>
      <c r="QI10" s="41"/>
      <c r="QJ10" s="41"/>
      <c r="QK10" s="41"/>
      <c r="QL10" s="41"/>
      <c r="QM10" s="41"/>
      <c r="QN10" s="41"/>
      <c r="QO10" s="41"/>
      <c r="QP10" s="41"/>
      <c r="QQ10" s="41"/>
      <c r="QR10" s="41"/>
      <c r="QS10" s="41"/>
      <c r="QT10" s="41"/>
      <c r="QU10" s="41"/>
      <c r="QV10" s="41"/>
      <c r="QW10" s="41"/>
      <c r="QX10" s="41"/>
      <c r="QY10" s="41"/>
      <c r="QZ10" s="41"/>
      <c r="RA10" s="41"/>
      <c r="RB10" s="41"/>
      <c r="RC10" s="41"/>
      <c r="RD10" s="41"/>
      <c r="RE10" s="41"/>
      <c r="RF10" s="41"/>
      <c r="RG10" s="41"/>
      <c r="RH10" s="41"/>
      <c r="RI10" s="41"/>
      <c r="RJ10" s="41"/>
      <c r="RK10" s="41"/>
      <c r="RL10" s="41"/>
      <c r="RM10" s="41"/>
      <c r="RN10" s="41"/>
      <c r="RO10" s="41"/>
      <c r="RP10" s="41"/>
      <c r="RQ10" s="41"/>
      <c r="RR10" s="41"/>
      <c r="RS10" s="41"/>
      <c r="RT10" s="41"/>
      <c r="RU10" s="41"/>
      <c r="RV10" s="41"/>
      <c r="RW10" s="41"/>
      <c r="RX10" s="41"/>
      <c r="RY10" s="41"/>
      <c r="RZ10" s="41"/>
      <c r="SA10" s="41"/>
      <c r="SB10" s="41"/>
      <c r="SC10" s="41"/>
      <c r="SD10" s="41"/>
      <c r="SE10" s="41"/>
      <c r="SF10" s="41"/>
      <c r="SG10" s="41"/>
      <c r="SH10" s="41"/>
      <c r="SI10" s="41"/>
      <c r="SJ10" s="41"/>
      <c r="SK10" s="41"/>
      <c r="SL10" s="41"/>
      <c r="SM10" s="41"/>
      <c r="SN10" s="41"/>
      <c r="SO10" s="41"/>
      <c r="SP10" s="41"/>
      <c r="SQ10" s="41"/>
      <c r="SR10" s="41"/>
      <c r="SS10" s="41"/>
      <c r="ST10" s="41"/>
      <c r="SU10" s="41"/>
      <c r="SV10" s="41"/>
      <c r="SW10" s="41"/>
      <c r="SX10" s="41"/>
      <c r="SY10" s="41"/>
      <c r="SZ10" s="41"/>
      <c r="TA10" s="41"/>
      <c r="TB10" s="41"/>
      <c r="TC10" s="41"/>
      <c r="TD10" s="41"/>
      <c r="TE10" s="41"/>
      <c r="TF10" s="41"/>
      <c r="TG10" s="41"/>
      <c r="TH10" s="41"/>
      <c r="TI10" s="41"/>
      <c r="TJ10" s="41"/>
      <c r="TK10" s="41"/>
      <c r="TL10" s="41"/>
      <c r="TM10" s="41"/>
      <c r="TN10" s="41"/>
      <c r="TO10" s="41"/>
      <c r="TP10" s="41"/>
      <c r="TQ10" s="41"/>
      <c r="TR10" s="41"/>
      <c r="TS10" s="41"/>
      <c r="TT10" s="41"/>
      <c r="TU10" s="41"/>
      <c r="TV10" s="41"/>
      <c r="TW10" s="41"/>
      <c r="TX10" s="41"/>
      <c r="TY10" s="41"/>
      <c r="TZ10" s="41"/>
      <c r="UA10" s="41"/>
      <c r="UB10" s="41"/>
      <c r="UC10" s="41"/>
      <c r="UD10" s="41"/>
      <c r="UE10" s="41"/>
      <c r="UF10" s="41"/>
      <c r="UG10" s="41"/>
      <c r="UH10" s="41"/>
      <c r="UI10" s="41"/>
      <c r="UJ10" s="41"/>
      <c r="UK10" s="41"/>
      <c r="UL10" s="41"/>
      <c r="UM10" s="41"/>
      <c r="UN10" s="41"/>
      <c r="UO10" s="41"/>
      <c r="UP10" s="41"/>
      <c r="UQ10" s="41"/>
      <c r="UR10" s="41"/>
      <c r="US10" s="41"/>
      <c r="UT10" s="41"/>
      <c r="UU10" s="41"/>
      <c r="UV10" s="41"/>
      <c r="UW10" s="41"/>
      <c r="UX10" s="41"/>
      <c r="UY10" s="41"/>
      <c r="UZ10" s="41"/>
      <c r="VA10" s="41"/>
      <c r="VB10" s="41"/>
      <c r="VC10" s="41"/>
      <c r="VD10" s="41"/>
      <c r="VE10" s="41"/>
      <c r="VF10" s="41"/>
      <c r="VG10" s="41"/>
      <c r="VH10" s="41"/>
      <c r="VI10" s="41"/>
      <c r="VJ10" s="41"/>
      <c r="VK10" s="41"/>
      <c r="VL10" s="41"/>
      <c r="VM10" s="41"/>
      <c r="VN10" s="41"/>
      <c r="VO10" s="41"/>
      <c r="VP10" s="41"/>
      <c r="VQ10" s="41"/>
      <c r="VR10" s="41"/>
      <c r="VS10" s="41"/>
      <c r="VT10" s="41"/>
      <c r="VU10" s="41"/>
      <c r="VV10" s="41"/>
      <c r="VW10" s="41"/>
      <c r="VX10" s="41"/>
      <c r="VY10" s="41"/>
      <c r="VZ10" s="41"/>
      <c r="WA10" s="41"/>
      <c r="WB10" s="41"/>
      <c r="WC10" s="41"/>
      <c r="WD10" s="41"/>
      <c r="WE10" s="41"/>
      <c r="WF10" s="41"/>
      <c r="WG10" s="41"/>
      <c r="WH10" s="41"/>
      <c r="WI10" s="41"/>
      <c r="WJ10" s="41"/>
      <c r="WK10" s="41"/>
      <c r="WL10" s="41"/>
      <c r="WM10" s="41"/>
      <c r="WN10" s="41"/>
      <c r="WO10" s="41"/>
      <c r="WP10" s="41"/>
      <c r="WQ10" s="41"/>
      <c r="WR10" s="41"/>
      <c r="WS10" s="41"/>
      <c r="WT10" s="41"/>
      <c r="WU10" s="41"/>
      <c r="WV10" s="41"/>
      <c r="WW10" s="41"/>
      <c r="WX10" s="41"/>
      <c r="WY10" s="41"/>
      <c r="WZ10" s="41"/>
      <c r="XA10" s="41"/>
      <c r="XB10" s="41"/>
      <c r="XC10" s="41"/>
      <c r="XD10" s="41"/>
      <c r="XE10" s="41"/>
      <c r="XF10" s="41"/>
      <c r="XG10" s="41"/>
      <c r="XH10" s="41"/>
      <c r="XI10" s="41"/>
      <c r="XJ10" s="41"/>
      <c r="XK10" s="41"/>
      <c r="XL10" s="41"/>
      <c r="XM10" s="41"/>
      <c r="XN10" s="41"/>
      <c r="XO10" s="41"/>
      <c r="XP10" s="41"/>
      <c r="XQ10" s="41"/>
      <c r="XR10" s="41"/>
      <c r="XS10" s="41"/>
      <c r="XT10" s="41"/>
      <c r="XU10" s="41"/>
      <c r="XV10" s="41"/>
      <c r="XW10" s="41"/>
      <c r="XX10" s="41"/>
      <c r="XY10" s="41"/>
      <c r="XZ10" s="41"/>
      <c r="YA10" s="41"/>
      <c r="YB10" s="41"/>
      <c r="YC10" s="41"/>
      <c r="YD10" s="41"/>
      <c r="YE10" s="41"/>
      <c r="YF10" s="41"/>
      <c r="YG10" s="41"/>
      <c r="YH10" s="41"/>
      <c r="YI10" s="41"/>
      <c r="YJ10" s="41"/>
      <c r="YK10" s="41"/>
      <c r="YL10" s="41"/>
      <c r="YM10" s="41"/>
      <c r="YN10" s="41"/>
      <c r="YO10" s="41"/>
      <c r="YP10" s="41"/>
      <c r="YQ10" s="41"/>
      <c r="YR10" s="41"/>
      <c r="YS10" s="41"/>
      <c r="YT10" s="41"/>
      <c r="YU10" s="41"/>
      <c r="YV10" s="41"/>
      <c r="YW10" s="41"/>
      <c r="YX10" s="41"/>
      <c r="YY10" s="41"/>
      <c r="YZ10" s="41"/>
      <c r="ZA10" s="41"/>
      <c r="ZB10" s="41"/>
      <c r="ZC10" s="41"/>
      <c r="ZD10" s="41"/>
      <c r="ZE10" s="41"/>
      <c r="ZF10" s="41"/>
      <c r="ZG10" s="41"/>
      <c r="ZH10" s="41"/>
      <c r="ZI10" s="41"/>
      <c r="ZJ10" s="41"/>
      <c r="ZK10" s="41"/>
      <c r="ZL10" s="41"/>
      <c r="ZM10" s="41"/>
      <c r="ZN10" s="41"/>
      <c r="ZO10" s="41"/>
      <c r="ZP10" s="41"/>
      <c r="ZQ10" s="41"/>
      <c r="ZR10" s="41"/>
      <c r="ZS10" s="41"/>
      <c r="ZT10" s="41"/>
      <c r="ZU10" s="41"/>
      <c r="ZV10" s="41"/>
      <c r="ZW10" s="41"/>
      <c r="ZX10" s="41"/>
      <c r="ZY10" s="41"/>
      <c r="ZZ10" s="41"/>
      <c r="AAA10" s="41"/>
      <c r="AAB10" s="41"/>
      <c r="AAC10" s="41"/>
      <c r="AAD10" s="41"/>
      <c r="AAE10" s="41"/>
      <c r="AAF10" s="41"/>
      <c r="AAG10" s="41"/>
      <c r="AAH10" s="41"/>
      <c r="AAI10" s="41"/>
      <c r="AAJ10" s="41"/>
      <c r="AAK10" s="41"/>
      <c r="AAL10" s="41"/>
      <c r="AAM10" s="41"/>
      <c r="AAN10" s="41"/>
      <c r="AAO10" s="41"/>
      <c r="AAP10" s="41"/>
      <c r="AAQ10" s="41"/>
      <c r="AAR10" s="41"/>
      <c r="AAS10" s="41"/>
      <c r="AAT10" s="41"/>
      <c r="AAU10" s="41"/>
      <c r="AAV10" s="41"/>
      <c r="AAW10" s="41"/>
      <c r="AAX10" s="41"/>
      <c r="AAY10" s="41"/>
      <c r="AAZ10" s="41"/>
      <c r="ABA10" s="41"/>
      <c r="ABB10" s="41"/>
      <c r="ABC10" s="41"/>
      <c r="ABD10" s="41"/>
      <c r="ABE10" s="41"/>
      <c r="ABF10" s="41"/>
      <c r="ABG10" s="41"/>
      <c r="ABH10" s="41"/>
      <c r="ABI10" s="41"/>
      <c r="ABJ10" s="41"/>
      <c r="ABK10" s="41"/>
      <c r="ABL10" s="41"/>
      <c r="ABM10" s="41"/>
      <c r="ABN10" s="41"/>
      <c r="ABO10" s="41"/>
      <c r="ABP10" s="41"/>
      <c r="ABQ10" s="41"/>
      <c r="ABR10" s="41"/>
      <c r="ABS10" s="41"/>
      <c r="ABT10" s="41"/>
      <c r="ABU10" s="41"/>
      <c r="ABV10" s="41"/>
      <c r="ABW10" s="41"/>
      <c r="ABX10" s="41"/>
      <c r="ABY10" s="41"/>
      <c r="ABZ10" s="41"/>
      <c r="ACA10" s="41"/>
      <c r="ACB10" s="41"/>
      <c r="ACC10" s="41"/>
      <c r="ACD10" s="41"/>
      <c r="ACE10" s="41"/>
      <c r="ACF10" s="41"/>
      <c r="ACG10" s="41"/>
      <c r="ACH10" s="41"/>
      <c r="ACI10" s="41"/>
      <c r="ACJ10" s="41"/>
      <c r="ACK10" s="41"/>
      <c r="ACL10" s="41"/>
      <c r="ACM10" s="41"/>
      <c r="ACN10" s="41"/>
      <c r="ACO10" s="41"/>
      <c r="ACP10" s="41"/>
      <c r="ACQ10" s="41"/>
      <c r="ACR10" s="41"/>
      <c r="ACS10" s="41"/>
      <c r="ACT10" s="41"/>
      <c r="ACU10" s="41"/>
      <c r="ACV10" s="41"/>
      <c r="ACW10" s="41"/>
      <c r="ACX10" s="41"/>
      <c r="ACY10" s="41"/>
      <c r="ACZ10" s="41"/>
      <c r="ADA10" s="41"/>
      <c r="ADB10" s="41"/>
      <c r="ADC10" s="41"/>
      <c r="ADD10" s="41"/>
      <c r="ADE10" s="41"/>
      <c r="ADF10" s="41"/>
      <c r="ADG10" s="41"/>
      <c r="ADH10" s="41"/>
      <c r="ADI10" s="41"/>
      <c r="ADJ10" s="41"/>
      <c r="ADK10" s="41"/>
      <c r="ADL10" s="41"/>
      <c r="ADM10" s="41"/>
      <c r="ADN10" s="41"/>
      <c r="ADO10" s="41"/>
      <c r="ADP10" s="41"/>
      <c r="ADQ10" s="41"/>
      <c r="ADR10" s="41"/>
      <c r="ADS10" s="41"/>
      <c r="ADT10" s="41"/>
      <c r="ADU10" s="41"/>
      <c r="ADV10" s="41"/>
      <c r="ADW10" s="41"/>
      <c r="ADX10" s="41"/>
      <c r="ADY10" s="41"/>
      <c r="ADZ10" s="41"/>
      <c r="AEA10" s="41"/>
      <c r="AEB10" s="41"/>
      <c r="AEC10" s="41"/>
      <c r="AED10" s="41"/>
      <c r="AEE10" s="41"/>
      <c r="AEF10" s="41"/>
      <c r="AEG10" s="41"/>
      <c r="AEH10" s="41"/>
      <c r="AEI10" s="41"/>
      <c r="AEJ10" s="41"/>
      <c r="AEK10" s="41"/>
      <c r="AEL10" s="41"/>
      <c r="AEM10" s="41"/>
      <c r="AEN10" s="41"/>
      <c r="AEO10" s="41"/>
      <c r="AEP10" s="41"/>
      <c r="AEQ10" s="41"/>
      <c r="AER10" s="41"/>
      <c r="AES10" s="41"/>
      <c r="AET10" s="41"/>
      <c r="AEU10" s="41"/>
      <c r="AEV10" s="41"/>
      <c r="AEW10" s="41"/>
      <c r="AEX10" s="41"/>
      <c r="AEY10" s="41"/>
      <c r="AEZ10" s="41"/>
      <c r="AFA10" s="41"/>
      <c r="AFB10" s="41"/>
      <c r="AFC10" s="41"/>
      <c r="AFD10" s="41"/>
      <c r="AFE10" s="41"/>
      <c r="AFF10" s="41"/>
      <c r="AFG10" s="41"/>
      <c r="AFH10" s="41"/>
      <c r="AFI10" s="41"/>
      <c r="AFJ10" s="41"/>
      <c r="AFK10" s="41"/>
      <c r="AFL10" s="41"/>
      <c r="AFM10" s="41"/>
      <c r="AFN10" s="41"/>
      <c r="AFO10" s="41"/>
      <c r="AFP10" s="41"/>
      <c r="AFQ10" s="41"/>
      <c r="AFR10" s="41"/>
      <c r="AFS10" s="41"/>
      <c r="AFT10" s="41"/>
      <c r="AFU10" s="41"/>
      <c r="AFV10" s="41"/>
      <c r="AFW10" s="41"/>
      <c r="AFX10" s="41"/>
      <c r="AFY10" s="41"/>
      <c r="AFZ10" s="41"/>
      <c r="AGA10" s="41"/>
      <c r="AGB10" s="41"/>
      <c r="AGC10" s="41"/>
      <c r="AGD10" s="41"/>
      <c r="AGE10" s="41"/>
      <c r="AGF10" s="41"/>
      <c r="AGG10" s="41"/>
      <c r="AGH10" s="41"/>
      <c r="AGI10" s="41"/>
      <c r="AGJ10" s="41"/>
      <c r="AGK10" s="41"/>
      <c r="AGL10" s="41"/>
      <c r="AGM10" s="41"/>
      <c r="AGN10" s="41"/>
      <c r="AGO10" s="41"/>
      <c r="AGP10" s="41"/>
      <c r="AGQ10" s="41"/>
      <c r="AGR10" s="41"/>
      <c r="AGS10" s="41"/>
      <c r="AGT10" s="41"/>
      <c r="AGU10" s="41"/>
      <c r="AGV10" s="41"/>
      <c r="AGW10" s="41"/>
      <c r="AGX10" s="41"/>
      <c r="AGY10" s="41"/>
      <c r="AGZ10" s="41"/>
      <c r="AHA10" s="41"/>
      <c r="AHB10" s="41"/>
      <c r="AHC10" s="41"/>
      <c r="AHD10" s="41"/>
      <c r="AHE10" s="41"/>
      <c r="AHF10" s="41"/>
      <c r="AHG10" s="41"/>
      <c r="AHH10" s="41"/>
      <c r="AHI10" s="41"/>
      <c r="AHJ10" s="41"/>
      <c r="AHK10" s="41"/>
      <c r="AHL10" s="41"/>
      <c r="AHM10" s="41"/>
      <c r="AHN10" s="41"/>
      <c r="AHO10" s="41"/>
      <c r="AHP10" s="41"/>
      <c r="AHQ10" s="41"/>
      <c r="AHR10" s="41"/>
      <c r="AHS10" s="41"/>
      <c r="AHT10" s="41"/>
      <c r="AHU10" s="41"/>
      <c r="AHV10" s="41"/>
      <c r="AHW10" s="41"/>
      <c r="AHX10" s="41"/>
      <c r="AHY10" s="41"/>
      <c r="AHZ10" s="41"/>
      <c r="AIA10" s="41"/>
      <c r="AIB10" s="41"/>
      <c r="AIC10" s="41"/>
      <c r="AID10" s="41"/>
      <c r="AIE10" s="41"/>
      <c r="AIF10" s="41"/>
      <c r="AIG10" s="41"/>
      <c r="AIH10" s="41"/>
      <c r="AII10" s="41"/>
      <c r="AIJ10" s="41"/>
      <c r="AIK10" s="41"/>
      <c r="AIL10" s="41"/>
      <c r="AIM10" s="41"/>
      <c r="AIN10" s="41"/>
      <c r="AIO10" s="41"/>
      <c r="AIP10" s="41"/>
      <c r="AIQ10" s="41"/>
      <c r="AIR10" s="41"/>
      <c r="AIS10" s="41"/>
      <c r="AIT10" s="41"/>
      <c r="AIU10" s="41"/>
      <c r="AIV10" s="41"/>
      <c r="AIW10" s="41"/>
      <c r="AIX10" s="41"/>
      <c r="AIY10" s="41"/>
      <c r="AIZ10" s="41"/>
      <c r="AJA10" s="41"/>
      <c r="AJB10" s="41"/>
      <c r="AJC10" s="41"/>
      <c r="AJD10" s="41"/>
      <c r="AJE10" s="41"/>
      <c r="AJF10" s="41"/>
      <c r="AJG10" s="41"/>
      <c r="AJH10" s="41"/>
      <c r="AJI10" s="41"/>
      <c r="AJJ10" s="41"/>
      <c r="AJK10" s="41"/>
      <c r="AJL10" s="41"/>
      <c r="AJM10" s="41"/>
      <c r="AJN10" s="41"/>
      <c r="AJO10" s="41"/>
      <c r="AJP10" s="41"/>
      <c r="AJQ10" s="41"/>
      <c r="AJR10" s="41"/>
      <c r="AJS10" s="41"/>
      <c r="AJT10" s="41"/>
      <c r="AJU10" s="41"/>
      <c r="AJV10" s="41"/>
      <c r="AJW10" s="41"/>
      <c r="AJX10" s="41"/>
      <c r="AJY10" s="41"/>
      <c r="AJZ10" s="41"/>
      <c r="AKA10" s="41"/>
      <c r="AKB10" s="41"/>
      <c r="AKC10" s="41"/>
      <c r="AKD10" s="41"/>
      <c r="AKE10" s="41"/>
      <c r="AKF10" s="41"/>
      <c r="AKG10" s="41"/>
      <c r="AKH10" s="41"/>
      <c r="AKI10" s="41"/>
      <c r="AKJ10" s="41"/>
      <c r="AKK10" s="41"/>
      <c r="AKL10" s="41"/>
      <c r="AKM10" s="41"/>
      <c r="AKN10" s="41"/>
      <c r="AKO10" s="41"/>
      <c r="AKP10" s="41"/>
      <c r="AKQ10" s="41"/>
      <c r="AKR10" s="41"/>
      <c r="AKS10" s="41"/>
      <c r="AKT10" s="41"/>
      <c r="AKU10" s="41"/>
      <c r="AKV10" s="41"/>
      <c r="AKW10" s="41"/>
      <c r="AKX10" s="41"/>
      <c r="AKY10" s="41"/>
      <c r="AKZ10" s="41"/>
      <c r="ALA10" s="41"/>
      <c r="ALB10" s="41"/>
      <c r="ALC10" s="41"/>
      <c r="ALD10" s="41"/>
      <c r="ALE10" s="41"/>
      <c r="ALF10" s="41"/>
      <c r="ALG10" s="41"/>
      <c r="ALH10" s="41"/>
      <c r="ALI10" s="41"/>
      <c r="ALJ10" s="41"/>
      <c r="ALK10" s="41"/>
      <c r="ALL10" s="41"/>
      <c r="ALM10" s="41"/>
      <c r="ALN10" s="41"/>
      <c r="ALO10" s="41"/>
      <c r="ALP10" s="41"/>
      <c r="ALQ10" s="41"/>
      <c r="ALR10" s="41"/>
      <c r="ALS10" s="41"/>
      <c r="ALT10" s="41"/>
      <c r="ALU10" s="41"/>
      <c r="ALV10" s="41"/>
      <c r="ALW10" s="41"/>
      <c r="ALX10" s="41"/>
      <c r="ALY10" s="41"/>
      <c r="ALZ10" s="41"/>
      <c r="AMA10" s="41"/>
      <c r="AMB10" s="41"/>
      <c r="AMC10" s="41"/>
      <c r="AMD10" s="41"/>
      <c r="AME10" s="41"/>
      <c r="AMF10" s="41"/>
      <c r="AMG10" s="41"/>
      <c r="AMH10" s="41"/>
      <c r="AMI10" s="41"/>
      <c r="AMJ10" s="41"/>
      <c r="AMK10" s="41"/>
      <c r="AML10" s="4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41"/>
      <c r="JQ12" s="41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41"/>
      <c r="KR12" s="41"/>
      <c r="KS12" s="41"/>
      <c r="KT12" s="41"/>
      <c r="KU12" s="41"/>
      <c r="KV12" s="41"/>
      <c r="KW12" s="41"/>
      <c r="KX12" s="41"/>
      <c r="KY12" s="41"/>
      <c r="KZ12" s="41"/>
      <c r="LA12" s="41"/>
      <c r="LB12" s="41"/>
      <c r="LC12" s="41"/>
      <c r="LD12" s="41"/>
      <c r="LE12" s="41"/>
      <c r="LF12" s="41"/>
      <c r="LG12" s="41"/>
      <c r="LH12" s="41"/>
      <c r="LI12" s="41"/>
      <c r="LJ12" s="41"/>
      <c r="LK12" s="41"/>
      <c r="LL12" s="41"/>
      <c r="LM12" s="41"/>
      <c r="LN12" s="41"/>
      <c r="LO12" s="41"/>
      <c r="LP12" s="41"/>
      <c r="LQ12" s="41"/>
      <c r="LR12" s="41"/>
      <c r="LS12" s="41"/>
      <c r="LT12" s="41"/>
      <c r="LU12" s="41"/>
      <c r="LV12" s="41"/>
      <c r="LW12" s="41"/>
      <c r="LX12" s="41"/>
      <c r="LY12" s="41"/>
      <c r="LZ12" s="41"/>
      <c r="MA12" s="41"/>
      <c r="MB12" s="41"/>
      <c r="MC12" s="41"/>
      <c r="MD12" s="41"/>
      <c r="ME12" s="41"/>
      <c r="MF12" s="41"/>
      <c r="MG12" s="41"/>
      <c r="MH12" s="41"/>
      <c r="MI12" s="41"/>
      <c r="MJ12" s="41"/>
      <c r="MK12" s="41"/>
      <c r="ML12" s="41"/>
      <c r="MM12" s="41"/>
      <c r="MN12" s="41"/>
      <c r="MO12" s="41"/>
      <c r="MP12" s="41"/>
      <c r="MQ12" s="41"/>
      <c r="MR12" s="41"/>
      <c r="MS12" s="41"/>
      <c r="MT12" s="41"/>
      <c r="MU12" s="41"/>
      <c r="MV12" s="41"/>
      <c r="MW12" s="41"/>
      <c r="MX12" s="41"/>
      <c r="MY12" s="41"/>
      <c r="MZ12" s="41"/>
      <c r="NA12" s="41"/>
      <c r="NB12" s="41"/>
      <c r="NC12" s="41"/>
      <c r="ND12" s="41"/>
      <c r="NE12" s="41"/>
      <c r="NF12" s="41"/>
      <c r="NG12" s="41"/>
      <c r="NH12" s="41"/>
      <c r="NI12" s="41"/>
      <c r="NJ12" s="41"/>
      <c r="NK12" s="41"/>
      <c r="NL12" s="41"/>
      <c r="NM12" s="41"/>
      <c r="NN12" s="41"/>
      <c r="NO12" s="41"/>
      <c r="NP12" s="41"/>
      <c r="NQ12" s="41"/>
      <c r="NR12" s="41"/>
      <c r="NS12" s="41"/>
      <c r="NT12" s="41"/>
      <c r="NU12" s="41"/>
      <c r="NV12" s="41"/>
      <c r="NW12" s="41"/>
      <c r="NX12" s="41"/>
      <c r="NY12" s="41"/>
      <c r="NZ12" s="41"/>
      <c r="OA12" s="41"/>
      <c r="OB12" s="41"/>
      <c r="OC12" s="41"/>
      <c r="OD12" s="41"/>
      <c r="OE12" s="41"/>
      <c r="OF12" s="41"/>
      <c r="OG12" s="41"/>
      <c r="OH12" s="41"/>
      <c r="OI12" s="41"/>
      <c r="OJ12" s="41"/>
      <c r="OK12" s="41"/>
      <c r="OL12" s="41"/>
      <c r="OM12" s="41"/>
      <c r="ON12" s="41"/>
      <c r="OO12" s="41"/>
      <c r="OP12" s="41"/>
      <c r="OQ12" s="41"/>
      <c r="OR12" s="41"/>
      <c r="OS12" s="41"/>
      <c r="OT12" s="41"/>
      <c r="OU12" s="41"/>
      <c r="OV12" s="41"/>
      <c r="OW12" s="41"/>
      <c r="OX12" s="41"/>
      <c r="OY12" s="41"/>
      <c r="OZ12" s="41"/>
      <c r="PA12" s="41"/>
      <c r="PB12" s="41"/>
      <c r="PC12" s="41"/>
      <c r="PD12" s="41"/>
      <c r="PE12" s="41"/>
      <c r="PF12" s="41"/>
      <c r="PG12" s="41"/>
      <c r="PH12" s="41"/>
      <c r="PI12" s="41"/>
      <c r="PJ12" s="41"/>
      <c r="PK12" s="41"/>
      <c r="PL12" s="41"/>
      <c r="PM12" s="41"/>
      <c r="PN12" s="41"/>
      <c r="PO12" s="41"/>
      <c r="PP12" s="41"/>
      <c r="PQ12" s="41"/>
      <c r="PR12" s="41"/>
      <c r="PS12" s="41"/>
      <c r="PT12" s="41"/>
      <c r="PU12" s="41"/>
      <c r="PV12" s="41"/>
      <c r="PW12" s="41"/>
      <c r="PX12" s="41"/>
      <c r="PY12" s="41"/>
      <c r="PZ12" s="41"/>
      <c r="QA12" s="41"/>
      <c r="QB12" s="41"/>
      <c r="QC12" s="41"/>
      <c r="QD12" s="41"/>
      <c r="QE12" s="41"/>
      <c r="QF12" s="41"/>
      <c r="QG12" s="41"/>
      <c r="QH12" s="41"/>
      <c r="QI12" s="41"/>
      <c r="QJ12" s="41"/>
      <c r="QK12" s="41"/>
      <c r="QL12" s="41"/>
      <c r="QM12" s="41"/>
      <c r="QN12" s="41"/>
      <c r="QO12" s="41"/>
      <c r="QP12" s="41"/>
      <c r="QQ12" s="41"/>
      <c r="QR12" s="41"/>
      <c r="QS12" s="41"/>
      <c r="QT12" s="41"/>
      <c r="QU12" s="41"/>
      <c r="QV12" s="41"/>
      <c r="QW12" s="41"/>
      <c r="QX12" s="41"/>
      <c r="QY12" s="41"/>
      <c r="QZ12" s="41"/>
      <c r="RA12" s="41"/>
      <c r="RB12" s="41"/>
      <c r="RC12" s="41"/>
      <c r="RD12" s="41"/>
      <c r="RE12" s="41"/>
      <c r="RF12" s="41"/>
      <c r="RG12" s="41"/>
      <c r="RH12" s="41"/>
      <c r="RI12" s="41"/>
      <c r="RJ12" s="41"/>
      <c r="RK12" s="41"/>
      <c r="RL12" s="41"/>
      <c r="RM12" s="41"/>
      <c r="RN12" s="41"/>
      <c r="RO12" s="41"/>
      <c r="RP12" s="41"/>
      <c r="RQ12" s="41"/>
      <c r="RR12" s="41"/>
      <c r="RS12" s="41"/>
      <c r="RT12" s="41"/>
      <c r="RU12" s="41"/>
      <c r="RV12" s="41"/>
      <c r="RW12" s="41"/>
      <c r="RX12" s="41"/>
      <c r="RY12" s="41"/>
      <c r="RZ12" s="41"/>
      <c r="SA12" s="41"/>
      <c r="SB12" s="41"/>
      <c r="SC12" s="41"/>
      <c r="SD12" s="41"/>
      <c r="SE12" s="41"/>
      <c r="SF12" s="41"/>
      <c r="SG12" s="41"/>
      <c r="SH12" s="41"/>
      <c r="SI12" s="41"/>
      <c r="SJ12" s="41"/>
      <c r="SK12" s="41"/>
      <c r="SL12" s="41"/>
      <c r="SM12" s="41"/>
      <c r="SN12" s="41"/>
      <c r="SO12" s="41"/>
      <c r="SP12" s="41"/>
      <c r="SQ12" s="41"/>
      <c r="SR12" s="41"/>
      <c r="SS12" s="41"/>
      <c r="ST12" s="41"/>
      <c r="SU12" s="41"/>
      <c r="SV12" s="41"/>
      <c r="SW12" s="41"/>
      <c r="SX12" s="41"/>
      <c r="SY12" s="41"/>
      <c r="SZ12" s="41"/>
      <c r="TA12" s="41"/>
      <c r="TB12" s="41"/>
      <c r="TC12" s="41"/>
      <c r="TD12" s="41"/>
      <c r="TE12" s="41"/>
      <c r="TF12" s="41"/>
      <c r="TG12" s="41"/>
      <c r="TH12" s="41"/>
      <c r="TI12" s="41"/>
      <c r="TJ12" s="41"/>
      <c r="TK12" s="41"/>
      <c r="TL12" s="41"/>
      <c r="TM12" s="41"/>
      <c r="TN12" s="41"/>
      <c r="TO12" s="41"/>
      <c r="TP12" s="41"/>
      <c r="TQ12" s="41"/>
      <c r="TR12" s="41"/>
      <c r="TS12" s="41"/>
      <c r="TT12" s="41"/>
      <c r="TU12" s="41"/>
      <c r="TV12" s="41"/>
      <c r="TW12" s="41"/>
      <c r="TX12" s="41"/>
      <c r="TY12" s="41"/>
      <c r="TZ12" s="41"/>
      <c r="UA12" s="41"/>
      <c r="UB12" s="41"/>
      <c r="UC12" s="41"/>
      <c r="UD12" s="41"/>
      <c r="UE12" s="41"/>
      <c r="UF12" s="41"/>
      <c r="UG12" s="41"/>
      <c r="UH12" s="41"/>
      <c r="UI12" s="41"/>
      <c r="UJ12" s="41"/>
      <c r="UK12" s="41"/>
      <c r="UL12" s="41"/>
      <c r="UM12" s="41"/>
      <c r="UN12" s="41"/>
      <c r="UO12" s="41"/>
      <c r="UP12" s="41"/>
      <c r="UQ12" s="41"/>
      <c r="UR12" s="41"/>
      <c r="US12" s="41"/>
      <c r="UT12" s="41"/>
      <c r="UU12" s="41"/>
      <c r="UV12" s="41"/>
      <c r="UW12" s="41"/>
      <c r="UX12" s="41"/>
      <c r="UY12" s="41"/>
      <c r="UZ12" s="41"/>
      <c r="VA12" s="41"/>
      <c r="VB12" s="41"/>
      <c r="VC12" s="41"/>
      <c r="VD12" s="41"/>
      <c r="VE12" s="41"/>
      <c r="VF12" s="41"/>
      <c r="VG12" s="41"/>
      <c r="VH12" s="41"/>
      <c r="VI12" s="41"/>
      <c r="VJ12" s="41"/>
      <c r="VK12" s="41"/>
      <c r="VL12" s="41"/>
      <c r="VM12" s="41"/>
      <c r="VN12" s="41"/>
      <c r="VO12" s="41"/>
      <c r="VP12" s="41"/>
      <c r="VQ12" s="41"/>
      <c r="VR12" s="41"/>
      <c r="VS12" s="41"/>
      <c r="VT12" s="41"/>
      <c r="VU12" s="41"/>
      <c r="VV12" s="41"/>
      <c r="VW12" s="41"/>
      <c r="VX12" s="41"/>
      <c r="VY12" s="41"/>
      <c r="VZ12" s="41"/>
      <c r="WA12" s="41"/>
      <c r="WB12" s="41"/>
      <c r="WC12" s="41"/>
      <c r="WD12" s="41"/>
      <c r="WE12" s="41"/>
      <c r="WF12" s="41"/>
      <c r="WG12" s="41"/>
      <c r="WH12" s="41"/>
      <c r="WI12" s="41"/>
      <c r="WJ12" s="41"/>
      <c r="WK12" s="41"/>
      <c r="WL12" s="41"/>
      <c r="WM12" s="41"/>
      <c r="WN12" s="41"/>
      <c r="WO12" s="41"/>
      <c r="WP12" s="41"/>
      <c r="WQ12" s="41"/>
      <c r="WR12" s="41"/>
      <c r="WS12" s="41"/>
      <c r="WT12" s="41"/>
      <c r="WU12" s="41"/>
      <c r="WV12" s="41"/>
      <c r="WW12" s="41"/>
      <c r="WX12" s="41"/>
      <c r="WY12" s="41"/>
      <c r="WZ12" s="41"/>
      <c r="XA12" s="41"/>
      <c r="XB12" s="41"/>
      <c r="XC12" s="41"/>
      <c r="XD12" s="41"/>
      <c r="XE12" s="41"/>
      <c r="XF12" s="41"/>
      <c r="XG12" s="41"/>
      <c r="XH12" s="41"/>
      <c r="XI12" s="41"/>
      <c r="XJ12" s="41"/>
      <c r="XK12" s="41"/>
      <c r="XL12" s="41"/>
      <c r="XM12" s="41"/>
      <c r="XN12" s="41"/>
      <c r="XO12" s="41"/>
      <c r="XP12" s="41"/>
      <c r="XQ12" s="41"/>
      <c r="XR12" s="41"/>
      <c r="XS12" s="41"/>
      <c r="XT12" s="41"/>
      <c r="XU12" s="41"/>
      <c r="XV12" s="41"/>
      <c r="XW12" s="41"/>
      <c r="XX12" s="41"/>
      <c r="XY12" s="41"/>
      <c r="XZ12" s="41"/>
      <c r="YA12" s="41"/>
      <c r="YB12" s="41"/>
      <c r="YC12" s="41"/>
      <c r="YD12" s="41"/>
      <c r="YE12" s="41"/>
      <c r="YF12" s="41"/>
      <c r="YG12" s="41"/>
      <c r="YH12" s="41"/>
      <c r="YI12" s="41"/>
      <c r="YJ12" s="41"/>
      <c r="YK12" s="41"/>
      <c r="YL12" s="41"/>
      <c r="YM12" s="41"/>
      <c r="YN12" s="41"/>
      <c r="YO12" s="41"/>
      <c r="YP12" s="41"/>
      <c r="YQ12" s="41"/>
      <c r="YR12" s="41"/>
      <c r="YS12" s="41"/>
      <c r="YT12" s="41"/>
      <c r="YU12" s="41"/>
      <c r="YV12" s="41"/>
      <c r="YW12" s="41"/>
      <c r="YX12" s="41"/>
      <c r="YY12" s="41"/>
      <c r="YZ12" s="41"/>
      <c r="ZA12" s="41"/>
      <c r="ZB12" s="41"/>
      <c r="ZC12" s="41"/>
      <c r="ZD12" s="41"/>
      <c r="ZE12" s="41"/>
      <c r="ZF12" s="41"/>
      <c r="ZG12" s="41"/>
      <c r="ZH12" s="41"/>
      <c r="ZI12" s="41"/>
      <c r="ZJ12" s="41"/>
      <c r="ZK12" s="41"/>
      <c r="ZL12" s="41"/>
      <c r="ZM12" s="41"/>
      <c r="ZN12" s="41"/>
      <c r="ZO12" s="41"/>
      <c r="ZP12" s="41"/>
      <c r="ZQ12" s="41"/>
      <c r="ZR12" s="41"/>
      <c r="ZS12" s="41"/>
      <c r="ZT12" s="41"/>
      <c r="ZU12" s="41"/>
      <c r="ZV12" s="41"/>
      <c r="ZW12" s="41"/>
      <c r="ZX12" s="41"/>
      <c r="ZY12" s="41"/>
      <c r="ZZ12" s="41"/>
      <c r="AAA12" s="41"/>
      <c r="AAB12" s="41"/>
      <c r="AAC12" s="41"/>
      <c r="AAD12" s="41"/>
      <c r="AAE12" s="41"/>
      <c r="AAF12" s="41"/>
      <c r="AAG12" s="41"/>
      <c r="AAH12" s="41"/>
      <c r="AAI12" s="41"/>
      <c r="AAJ12" s="41"/>
      <c r="AAK12" s="41"/>
      <c r="AAL12" s="41"/>
      <c r="AAM12" s="41"/>
      <c r="AAN12" s="41"/>
      <c r="AAO12" s="41"/>
      <c r="AAP12" s="41"/>
      <c r="AAQ12" s="41"/>
      <c r="AAR12" s="41"/>
      <c r="AAS12" s="41"/>
      <c r="AAT12" s="41"/>
      <c r="AAU12" s="41"/>
      <c r="AAV12" s="41"/>
      <c r="AAW12" s="41"/>
      <c r="AAX12" s="41"/>
      <c r="AAY12" s="41"/>
      <c r="AAZ12" s="41"/>
      <c r="ABA12" s="41"/>
      <c r="ABB12" s="41"/>
      <c r="ABC12" s="41"/>
      <c r="ABD12" s="41"/>
      <c r="ABE12" s="41"/>
      <c r="ABF12" s="41"/>
      <c r="ABG12" s="41"/>
      <c r="ABH12" s="41"/>
      <c r="ABI12" s="41"/>
      <c r="ABJ12" s="41"/>
      <c r="ABK12" s="41"/>
      <c r="ABL12" s="41"/>
      <c r="ABM12" s="41"/>
      <c r="ABN12" s="41"/>
      <c r="ABO12" s="41"/>
      <c r="ABP12" s="41"/>
      <c r="ABQ12" s="41"/>
      <c r="ABR12" s="41"/>
      <c r="ABS12" s="41"/>
      <c r="ABT12" s="41"/>
      <c r="ABU12" s="41"/>
      <c r="ABV12" s="41"/>
      <c r="ABW12" s="41"/>
      <c r="ABX12" s="41"/>
      <c r="ABY12" s="41"/>
      <c r="ABZ12" s="41"/>
      <c r="ACA12" s="41"/>
      <c r="ACB12" s="41"/>
      <c r="ACC12" s="41"/>
      <c r="ACD12" s="41"/>
      <c r="ACE12" s="41"/>
      <c r="ACF12" s="41"/>
      <c r="ACG12" s="41"/>
      <c r="ACH12" s="41"/>
      <c r="ACI12" s="41"/>
      <c r="ACJ12" s="41"/>
      <c r="ACK12" s="41"/>
      <c r="ACL12" s="41"/>
      <c r="ACM12" s="41"/>
      <c r="ACN12" s="41"/>
      <c r="ACO12" s="41"/>
      <c r="ACP12" s="41"/>
      <c r="ACQ12" s="41"/>
      <c r="ACR12" s="41"/>
      <c r="ACS12" s="41"/>
      <c r="ACT12" s="41"/>
      <c r="ACU12" s="41"/>
      <c r="ACV12" s="41"/>
      <c r="ACW12" s="41"/>
      <c r="ACX12" s="41"/>
      <c r="ACY12" s="41"/>
      <c r="ACZ12" s="41"/>
      <c r="ADA12" s="41"/>
      <c r="ADB12" s="41"/>
      <c r="ADC12" s="41"/>
      <c r="ADD12" s="41"/>
      <c r="ADE12" s="41"/>
      <c r="ADF12" s="41"/>
      <c r="ADG12" s="41"/>
      <c r="ADH12" s="41"/>
      <c r="ADI12" s="41"/>
      <c r="ADJ12" s="41"/>
      <c r="ADK12" s="41"/>
      <c r="ADL12" s="41"/>
      <c r="ADM12" s="41"/>
      <c r="ADN12" s="41"/>
      <c r="ADO12" s="41"/>
      <c r="ADP12" s="41"/>
      <c r="ADQ12" s="41"/>
      <c r="ADR12" s="41"/>
      <c r="ADS12" s="41"/>
      <c r="ADT12" s="41"/>
      <c r="ADU12" s="41"/>
      <c r="ADV12" s="41"/>
      <c r="ADW12" s="41"/>
      <c r="ADX12" s="41"/>
      <c r="ADY12" s="41"/>
      <c r="ADZ12" s="41"/>
      <c r="AEA12" s="41"/>
      <c r="AEB12" s="41"/>
      <c r="AEC12" s="41"/>
      <c r="AED12" s="41"/>
      <c r="AEE12" s="41"/>
      <c r="AEF12" s="41"/>
      <c r="AEG12" s="41"/>
      <c r="AEH12" s="41"/>
      <c r="AEI12" s="41"/>
      <c r="AEJ12" s="41"/>
      <c r="AEK12" s="41"/>
      <c r="AEL12" s="41"/>
      <c r="AEM12" s="41"/>
      <c r="AEN12" s="41"/>
      <c r="AEO12" s="41"/>
      <c r="AEP12" s="41"/>
      <c r="AEQ12" s="41"/>
      <c r="AER12" s="41"/>
      <c r="AES12" s="41"/>
      <c r="AET12" s="41"/>
      <c r="AEU12" s="41"/>
      <c r="AEV12" s="41"/>
      <c r="AEW12" s="41"/>
      <c r="AEX12" s="41"/>
      <c r="AEY12" s="41"/>
      <c r="AEZ12" s="41"/>
      <c r="AFA12" s="41"/>
      <c r="AFB12" s="41"/>
      <c r="AFC12" s="41"/>
      <c r="AFD12" s="41"/>
      <c r="AFE12" s="41"/>
      <c r="AFF12" s="41"/>
      <c r="AFG12" s="41"/>
      <c r="AFH12" s="41"/>
      <c r="AFI12" s="41"/>
      <c r="AFJ12" s="41"/>
      <c r="AFK12" s="41"/>
      <c r="AFL12" s="41"/>
      <c r="AFM12" s="41"/>
      <c r="AFN12" s="41"/>
      <c r="AFO12" s="41"/>
      <c r="AFP12" s="41"/>
      <c r="AFQ12" s="41"/>
      <c r="AFR12" s="41"/>
      <c r="AFS12" s="41"/>
      <c r="AFT12" s="41"/>
      <c r="AFU12" s="41"/>
      <c r="AFV12" s="41"/>
      <c r="AFW12" s="41"/>
      <c r="AFX12" s="41"/>
      <c r="AFY12" s="41"/>
      <c r="AFZ12" s="41"/>
      <c r="AGA12" s="41"/>
      <c r="AGB12" s="41"/>
      <c r="AGC12" s="41"/>
      <c r="AGD12" s="41"/>
      <c r="AGE12" s="41"/>
      <c r="AGF12" s="41"/>
      <c r="AGG12" s="41"/>
      <c r="AGH12" s="41"/>
      <c r="AGI12" s="41"/>
      <c r="AGJ12" s="41"/>
      <c r="AGK12" s="41"/>
      <c r="AGL12" s="41"/>
      <c r="AGM12" s="41"/>
      <c r="AGN12" s="41"/>
      <c r="AGO12" s="41"/>
      <c r="AGP12" s="41"/>
      <c r="AGQ12" s="41"/>
      <c r="AGR12" s="41"/>
      <c r="AGS12" s="41"/>
      <c r="AGT12" s="41"/>
      <c r="AGU12" s="41"/>
      <c r="AGV12" s="41"/>
      <c r="AGW12" s="41"/>
      <c r="AGX12" s="41"/>
      <c r="AGY12" s="41"/>
      <c r="AGZ12" s="41"/>
      <c r="AHA12" s="41"/>
      <c r="AHB12" s="41"/>
      <c r="AHC12" s="41"/>
      <c r="AHD12" s="41"/>
      <c r="AHE12" s="41"/>
      <c r="AHF12" s="41"/>
      <c r="AHG12" s="41"/>
      <c r="AHH12" s="41"/>
      <c r="AHI12" s="41"/>
      <c r="AHJ12" s="41"/>
      <c r="AHK12" s="41"/>
      <c r="AHL12" s="41"/>
      <c r="AHM12" s="41"/>
      <c r="AHN12" s="41"/>
      <c r="AHO12" s="41"/>
      <c r="AHP12" s="41"/>
      <c r="AHQ12" s="41"/>
      <c r="AHR12" s="41"/>
      <c r="AHS12" s="41"/>
      <c r="AHT12" s="41"/>
      <c r="AHU12" s="41"/>
      <c r="AHV12" s="41"/>
      <c r="AHW12" s="41"/>
      <c r="AHX12" s="41"/>
      <c r="AHY12" s="41"/>
      <c r="AHZ12" s="41"/>
      <c r="AIA12" s="41"/>
      <c r="AIB12" s="41"/>
      <c r="AIC12" s="41"/>
      <c r="AID12" s="41"/>
      <c r="AIE12" s="41"/>
      <c r="AIF12" s="41"/>
      <c r="AIG12" s="41"/>
      <c r="AIH12" s="41"/>
      <c r="AII12" s="41"/>
      <c r="AIJ12" s="41"/>
      <c r="AIK12" s="41"/>
      <c r="AIL12" s="41"/>
      <c r="AIM12" s="41"/>
      <c r="AIN12" s="41"/>
      <c r="AIO12" s="41"/>
      <c r="AIP12" s="41"/>
      <c r="AIQ12" s="41"/>
      <c r="AIR12" s="41"/>
      <c r="AIS12" s="41"/>
      <c r="AIT12" s="41"/>
      <c r="AIU12" s="41"/>
      <c r="AIV12" s="41"/>
      <c r="AIW12" s="41"/>
      <c r="AIX12" s="41"/>
      <c r="AIY12" s="41"/>
      <c r="AIZ12" s="41"/>
      <c r="AJA12" s="41"/>
      <c r="AJB12" s="41"/>
      <c r="AJC12" s="41"/>
      <c r="AJD12" s="41"/>
      <c r="AJE12" s="41"/>
      <c r="AJF12" s="41"/>
      <c r="AJG12" s="41"/>
      <c r="AJH12" s="41"/>
      <c r="AJI12" s="41"/>
      <c r="AJJ12" s="41"/>
      <c r="AJK12" s="41"/>
      <c r="AJL12" s="41"/>
      <c r="AJM12" s="41"/>
      <c r="AJN12" s="41"/>
      <c r="AJO12" s="41"/>
      <c r="AJP12" s="41"/>
      <c r="AJQ12" s="41"/>
      <c r="AJR12" s="41"/>
      <c r="AJS12" s="41"/>
      <c r="AJT12" s="41"/>
      <c r="AJU12" s="41"/>
      <c r="AJV12" s="41"/>
      <c r="AJW12" s="41"/>
      <c r="AJX12" s="41"/>
      <c r="AJY12" s="41"/>
      <c r="AJZ12" s="41"/>
      <c r="AKA12" s="41"/>
      <c r="AKB12" s="41"/>
      <c r="AKC12" s="41"/>
      <c r="AKD12" s="41"/>
      <c r="AKE12" s="41"/>
      <c r="AKF12" s="41"/>
      <c r="AKG12" s="41"/>
      <c r="AKH12" s="41"/>
      <c r="AKI12" s="41"/>
      <c r="AKJ12" s="41"/>
      <c r="AKK12" s="41"/>
      <c r="AKL12" s="41"/>
      <c r="AKM12" s="41"/>
      <c r="AKN12" s="41"/>
      <c r="AKO12" s="41"/>
      <c r="AKP12" s="41"/>
      <c r="AKQ12" s="41"/>
      <c r="AKR12" s="41"/>
      <c r="AKS12" s="41"/>
      <c r="AKT12" s="41"/>
      <c r="AKU12" s="41"/>
      <c r="AKV12" s="41"/>
      <c r="AKW12" s="41"/>
      <c r="AKX12" s="41"/>
      <c r="AKY12" s="41"/>
      <c r="AKZ12" s="41"/>
      <c r="ALA12" s="41"/>
      <c r="ALB12" s="41"/>
      <c r="ALC12" s="41"/>
      <c r="ALD12" s="41"/>
      <c r="ALE12" s="41"/>
      <c r="ALF12" s="41"/>
      <c r="ALG12" s="41"/>
      <c r="ALH12" s="41"/>
      <c r="ALI12" s="41"/>
      <c r="ALJ12" s="41"/>
      <c r="ALK12" s="41"/>
      <c r="ALL12" s="41"/>
      <c r="ALM12" s="41"/>
      <c r="ALN12" s="41"/>
      <c r="ALO12" s="41"/>
      <c r="ALP12" s="41"/>
      <c r="ALQ12" s="41"/>
      <c r="ALR12" s="41"/>
      <c r="ALS12" s="41"/>
      <c r="ALT12" s="41"/>
      <c r="ALU12" s="41"/>
      <c r="ALV12" s="41"/>
      <c r="ALW12" s="41"/>
      <c r="ALX12" s="41"/>
      <c r="ALY12" s="41"/>
      <c r="ALZ12" s="41"/>
      <c r="AMA12" s="41"/>
      <c r="AMB12" s="41"/>
      <c r="AMC12" s="41"/>
      <c r="AMD12" s="41"/>
      <c r="AME12" s="41"/>
      <c r="AMF12" s="41"/>
      <c r="AMG12" s="41"/>
      <c r="AMH12" s="41"/>
      <c r="AMI12" s="41"/>
      <c r="AMJ12" s="41"/>
      <c r="AMK12" s="41"/>
      <c r="AML12" s="4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  <c r="AMK13" s="41"/>
      <c r="AML13" s="4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41"/>
      <c r="JQ14" s="4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1"/>
      <c r="KR14" s="41"/>
      <c r="KS14" s="41"/>
      <c r="KT14" s="41"/>
      <c r="KU14" s="41"/>
      <c r="KV14" s="41"/>
      <c r="KW14" s="41"/>
      <c r="KX14" s="41"/>
      <c r="KY14" s="41"/>
      <c r="KZ14" s="41"/>
      <c r="LA14" s="41"/>
      <c r="LB14" s="41"/>
      <c r="LC14" s="41"/>
      <c r="LD14" s="41"/>
      <c r="LE14" s="41"/>
      <c r="LF14" s="41"/>
      <c r="LG14" s="41"/>
      <c r="LH14" s="41"/>
      <c r="LI14" s="41"/>
      <c r="LJ14" s="41"/>
      <c r="LK14" s="41"/>
      <c r="LL14" s="41"/>
      <c r="LM14" s="41"/>
      <c r="LN14" s="41"/>
      <c r="LO14" s="41"/>
      <c r="LP14" s="41"/>
      <c r="LQ14" s="41"/>
      <c r="LR14" s="41"/>
      <c r="LS14" s="41"/>
      <c r="LT14" s="41"/>
      <c r="LU14" s="41"/>
      <c r="LV14" s="41"/>
      <c r="LW14" s="41"/>
      <c r="LX14" s="41"/>
      <c r="LY14" s="41"/>
      <c r="LZ14" s="41"/>
      <c r="MA14" s="41"/>
      <c r="MB14" s="41"/>
      <c r="MC14" s="41"/>
      <c r="MD14" s="41"/>
      <c r="ME14" s="41"/>
      <c r="MF14" s="41"/>
      <c r="MG14" s="41"/>
      <c r="MH14" s="41"/>
      <c r="MI14" s="41"/>
      <c r="MJ14" s="41"/>
      <c r="MK14" s="41"/>
      <c r="ML14" s="41"/>
      <c r="MM14" s="41"/>
      <c r="MN14" s="41"/>
      <c r="MO14" s="41"/>
      <c r="MP14" s="41"/>
      <c r="MQ14" s="41"/>
      <c r="MR14" s="41"/>
      <c r="MS14" s="41"/>
      <c r="MT14" s="41"/>
      <c r="MU14" s="41"/>
      <c r="MV14" s="41"/>
      <c r="MW14" s="41"/>
      <c r="MX14" s="41"/>
      <c r="MY14" s="41"/>
      <c r="MZ14" s="41"/>
      <c r="NA14" s="41"/>
      <c r="NB14" s="41"/>
      <c r="NC14" s="41"/>
      <c r="ND14" s="41"/>
      <c r="NE14" s="41"/>
      <c r="NF14" s="41"/>
      <c r="NG14" s="41"/>
      <c r="NH14" s="41"/>
      <c r="NI14" s="41"/>
      <c r="NJ14" s="41"/>
      <c r="NK14" s="41"/>
      <c r="NL14" s="41"/>
      <c r="NM14" s="41"/>
      <c r="NN14" s="41"/>
      <c r="NO14" s="41"/>
      <c r="NP14" s="41"/>
      <c r="NQ14" s="41"/>
      <c r="NR14" s="41"/>
      <c r="NS14" s="41"/>
      <c r="NT14" s="41"/>
      <c r="NU14" s="41"/>
      <c r="NV14" s="41"/>
      <c r="NW14" s="41"/>
      <c r="NX14" s="41"/>
      <c r="NY14" s="41"/>
      <c r="NZ14" s="41"/>
      <c r="OA14" s="41"/>
      <c r="OB14" s="41"/>
      <c r="OC14" s="41"/>
      <c r="OD14" s="41"/>
      <c r="OE14" s="41"/>
      <c r="OF14" s="41"/>
      <c r="OG14" s="41"/>
      <c r="OH14" s="41"/>
      <c r="OI14" s="41"/>
      <c r="OJ14" s="41"/>
      <c r="OK14" s="41"/>
      <c r="OL14" s="41"/>
      <c r="OM14" s="41"/>
      <c r="ON14" s="41"/>
      <c r="OO14" s="41"/>
      <c r="OP14" s="41"/>
      <c r="OQ14" s="41"/>
      <c r="OR14" s="41"/>
      <c r="OS14" s="41"/>
      <c r="OT14" s="41"/>
      <c r="OU14" s="41"/>
      <c r="OV14" s="41"/>
      <c r="OW14" s="41"/>
      <c r="OX14" s="41"/>
      <c r="OY14" s="41"/>
      <c r="OZ14" s="41"/>
      <c r="PA14" s="41"/>
      <c r="PB14" s="41"/>
      <c r="PC14" s="41"/>
      <c r="PD14" s="41"/>
      <c r="PE14" s="41"/>
      <c r="PF14" s="41"/>
      <c r="PG14" s="41"/>
      <c r="PH14" s="41"/>
      <c r="PI14" s="41"/>
      <c r="PJ14" s="41"/>
      <c r="PK14" s="41"/>
      <c r="PL14" s="41"/>
      <c r="PM14" s="41"/>
      <c r="PN14" s="41"/>
      <c r="PO14" s="41"/>
      <c r="PP14" s="41"/>
      <c r="PQ14" s="41"/>
      <c r="PR14" s="41"/>
      <c r="PS14" s="41"/>
      <c r="PT14" s="41"/>
      <c r="PU14" s="41"/>
      <c r="PV14" s="41"/>
      <c r="PW14" s="41"/>
      <c r="PX14" s="41"/>
      <c r="PY14" s="41"/>
      <c r="PZ14" s="41"/>
      <c r="QA14" s="41"/>
      <c r="QB14" s="41"/>
      <c r="QC14" s="41"/>
      <c r="QD14" s="41"/>
      <c r="QE14" s="41"/>
      <c r="QF14" s="41"/>
      <c r="QG14" s="41"/>
      <c r="QH14" s="41"/>
      <c r="QI14" s="41"/>
      <c r="QJ14" s="41"/>
      <c r="QK14" s="41"/>
      <c r="QL14" s="41"/>
      <c r="QM14" s="41"/>
      <c r="QN14" s="41"/>
      <c r="QO14" s="41"/>
      <c r="QP14" s="41"/>
      <c r="QQ14" s="41"/>
      <c r="QR14" s="41"/>
      <c r="QS14" s="41"/>
      <c r="QT14" s="41"/>
      <c r="QU14" s="41"/>
      <c r="QV14" s="41"/>
      <c r="QW14" s="41"/>
      <c r="QX14" s="41"/>
      <c r="QY14" s="41"/>
      <c r="QZ14" s="41"/>
      <c r="RA14" s="41"/>
      <c r="RB14" s="41"/>
      <c r="RC14" s="41"/>
      <c r="RD14" s="41"/>
      <c r="RE14" s="41"/>
      <c r="RF14" s="41"/>
      <c r="RG14" s="41"/>
      <c r="RH14" s="41"/>
      <c r="RI14" s="41"/>
      <c r="RJ14" s="41"/>
      <c r="RK14" s="41"/>
      <c r="RL14" s="41"/>
      <c r="RM14" s="41"/>
      <c r="RN14" s="41"/>
      <c r="RO14" s="41"/>
      <c r="RP14" s="41"/>
      <c r="RQ14" s="41"/>
      <c r="RR14" s="41"/>
      <c r="RS14" s="41"/>
      <c r="RT14" s="41"/>
      <c r="RU14" s="41"/>
      <c r="RV14" s="41"/>
      <c r="RW14" s="41"/>
      <c r="RX14" s="41"/>
      <c r="RY14" s="41"/>
      <c r="RZ14" s="41"/>
      <c r="SA14" s="41"/>
      <c r="SB14" s="41"/>
      <c r="SC14" s="41"/>
      <c r="SD14" s="41"/>
      <c r="SE14" s="41"/>
      <c r="SF14" s="41"/>
      <c r="SG14" s="41"/>
      <c r="SH14" s="41"/>
      <c r="SI14" s="41"/>
      <c r="SJ14" s="41"/>
      <c r="SK14" s="41"/>
      <c r="SL14" s="41"/>
      <c r="SM14" s="41"/>
      <c r="SN14" s="41"/>
      <c r="SO14" s="41"/>
      <c r="SP14" s="41"/>
      <c r="SQ14" s="41"/>
      <c r="SR14" s="41"/>
      <c r="SS14" s="41"/>
      <c r="ST14" s="41"/>
      <c r="SU14" s="41"/>
      <c r="SV14" s="41"/>
      <c r="SW14" s="41"/>
      <c r="SX14" s="41"/>
      <c r="SY14" s="41"/>
      <c r="SZ14" s="41"/>
      <c r="TA14" s="41"/>
      <c r="TB14" s="41"/>
      <c r="TC14" s="41"/>
      <c r="TD14" s="41"/>
      <c r="TE14" s="41"/>
      <c r="TF14" s="41"/>
      <c r="TG14" s="41"/>
      <c r="TH14" s="41"/>
      <c r="TI14" s="41"/>
      <c r="TJ14" s="41"/>
      <c r="TK14" s="41"/>
      <c r="TL14" s="41"/>
      <c r="TM14" s="41"/>
      <c r="TN14" s="41"/>
      <c r="TO14" s="41"/>
      <c r="TP14" s="41"/>
      <c r="TQ14" s="41"/>
      <c r="TR14" s="41"/>
      <c r="TS14" s="41"/>
      <c r="TT14" s="41"/>
      <c r="TU14" s="41"/>
      <c r="TV14" s="41"/>
      <c r="TW14" s="41"/>
      <c r="TX14" s="41"/>
      <c r="TY14" s="41"/>
      <c r="TZ14" s="41"/>
      <c r="UA14" s="41"/>
      <c r="UB14" s="41"/>
      <c r="UC14" s="41"/>
      <c r="UD14" s="41"/>
      <c r="UE14" s="41"/>
      <c r="UF14" s="41"/>
      <c r="UG14" s="41"/>
      <c r="UH14" s="41"/>
      <c r="UI14" s="41"/>
      <c r="UJ14" s="41"/>
      <c r="UK14" s="41"/>
      <c r="UL14" s="41"/>
      <c r="UM14" s="41"/>
      <c r="UN14" s="41"/>
      <c r="UO14" s="41"/>
      <c r="UP14" s="41"/>
      <c r="UQ14" s="41"/>
      <c r="UR14" s="41"/>
      <c r="US14" s="41"/>
      <c r="UT14" s="41"/>
      <c r="UU14" s="41"/>
      <c r="UV14" s="41"/>
      <c r="UW14" s="41"/>
      <c r="UX14" s="41"/>
      <c r="UY14" s="41"/>
      <c r="UZ14" s="41"/>
      <c r="VA14" s="41"/>
      <c r="VB14" s="41"/>
      <c r="VC14" s="41"/>
      <c r="VD14" s="41"/>
      <c r="VE14" s="41"/>
      <c r="VF14" s="41"/>
      <c r="VG14" s="41"/>
      <c r="VH14" s="41"/>
      <c r="VI14" s="41"/>
      <c r="VJ14" s="41"/>
      <c r="VK14" s="41"/>
      <c r="VL14" s="41"/>
      <c r="VM14" s="41"/>
      <c r="VN14" s="41"/>
      <c r="VO14" s="41"/>
      <c r="VP14" s="41"/>
      <c r="VQ14" s="41"/>
      <c r="VR14" s="41"/>
      <c r="VS14" s="41"/>
      <c r="VT14" s="41"/>
      <c r="VU14" s="41"/>
      <c r="VV14" s="41"/>
      <c r="VW14" s="41"/>
      <c r="VX14" s="41"/>
      <c r="VY14" s="41"/>
      <c r="VZ14" s="41"/>
      <c r="WA14" s="41"/>
      <c r="WB14" s="41"/>
      <c r="WC14" s="41"/>
      <c r="WD14" s="41"/>
      <c r="WE14" s="41"/>
      <c r="WF14" s="41"/>
      <c r="WG14" s="41"/>
      <c r="WH14" s="41"/>
      <c r="WI14" s="41"/>
      <c r="WJ14" s="41"/>
      <c r="WK14" s="41"/>
      <c r="WL14" s="41"/>
      <c r="WM14" s="41"/>
      <c r="WN14" s="41"/>
      <c r="WO14" s="41"/>
      <c r="WP14" s="41"/>
      <c r="WQ14" s="41"/>
      <c r="WR14" s="41"/>
      <c r="WS14" s="41"/>
      <c r="WT14" s="41"/>
      <c r="WU14" s="41"/>
      <c r="WV14" s="41"/>
      <c r="WW14" s="41"/>
      <c r="WX14" s="41"/>
      <c r="WY14" s="41"/>
      <c r="WZ14" s="41"/>
      <c r="XA14" s="41"/>
      <c r="XB14" s="41"/>
      <c r="XC14" s="41"/>
      <c r="XD14" s="41"/>
      <c r="XE14" s="41"/>
      <c r="XF14" s="41"/>
      <c r="XG14" s="41"/>
      <c r="XH14" s="41"/>
      <c r="XI14" s="41"/>
      <c r="XJ14" s="41"/>
      <c r="XK14" s="41"/>
      <c r="XL14" s="41"/>
      <c r="XM14" s="41"/>
      <c r="XN14" s="41"/>
      <c r="XO14" s="41"/>
      <c r="XP14" s="41"/>
      <c r="XQ14" s="41"/>
      <c r="XR14" s="41"/>
      <c r="XS14" s="41"/>
      <c r="XT14" s="41"/>
      <c r="XU14" s="41"/>
      <c r="XV14" s="41"/>
      <c r="XW14" s="41"/>
      <c r="XX14" s="41"/>
      <c r="XY14" s="41"/>
      <c r="XZ14" s="41"/>
      <c r="YA14" s="41"/>
      <c r="YB14" s="41"/>
      <c r="YC14" s="41"/>
      <c r="YD14" s="41"/>
      <c r="YE14" s="41"/>
      <c r="YF14" s="41"/>
      <c r="YG14" s="41"/>
      <c r="YH14" s="41"/>
      <c r="YI14" s="41"/>
      <c r="YJ14" s="41"/>
      <c r="YK14" s="41"/>
      <c r="YL14" s="41"/>
      <c r="YM14" s="41"/>
      <c r="YN14" s="41"/>
      <c r="YO14" s="41"/>
      <c r="YP14" s="41"/>
      <c r="YQ14" s="41"/>
      <c r="YR14" s="41"/>
      <c r="YS14" s="41"/>
      <c r="YT14" s="41"/>
      <c r="YU14" s="41"/>
      <c r="YV14" s="41"/>
      <c r="YW14" s="41"/>
      <c r="YX14" s="41"/>
      <c r="YY14" s="41"/>
      <c r="YZ14" s="41"/>
      <c r="ZA14" s="41"/>
      <c r="ZB14" s="41"/>
      <c r="ZC14" s="41"/>
      <c r="ZD14" s="41"/>
      <c r="ZE14" s="41"/>
      <c r="ZF14" s="41"/>
      <c r="ZG14" s="41"/>
      <c r="ZH14" s="41"/>
      <c r="ZI14" s="41"/>
      <c r="ZJ14" s="41"/>
      <c r="ZK14" s="41"/>
      <c r="ZL14" s="41"/>
      <c r="ZM14" s="41"/>
      <c r="ZN14" s="41"/>
      <c r="ZO14" s="41"/>
      <c r="ZP14" s="41"/>
      <c r="ZQ14" s="41"/>
      <c r="ZR14" s="41"/>
      <c r="ZS14" s="41"/>
      <c r="ZT14" s="41"/>
      <c r="ZU14" s="41"/>
      <c r="ZV14" s="41"/>
      <c r="ZW14" s="41"/>
      <c r="ZX14" s="41"/>
      <c r="ZY14" s="41"/>
      <c r="ZZ14" s="41"/>
      <c r="AAA14" s="41"/>
      <c r="AAB14" s="41"/>
      <c r="AAC14" s="41"/>
      <c r="AAD14" s="41"/>
      <c r="AAE14" s="41"/>
      <c r="AAF14" s="41"/>
      <c r="AAG14" s="41"/>
      <c r="AAH14" s="41"/>
      <c r="AAI14" s="41"/>
      <c r="AAJ14" s="41"/>
      <c r="AAK14" s="41"/>
      <c r="AAL14" s="41"/>
      <c r="AAM14" s="41"/>
      <c r="AAN14" s="41"/>
      <c r="AAO14" s="41"/>
      <c r="AAP14" s="41"/>
      <c r="AAQ14" s="41"/>
      <c r="AAR14" s="41"/>
      <c r="AAS14" s="41"/>
      <c r="AAT14" s="41"/>
      <c r="AAU14" s="41"/>
      <c r="AAV14" s="41"/>
      <c r="AAW14" s="41"/>
      <c r="AAX14" s="41"/>
      <c r="AAY14" s="41"/>
      <c r="AAZ14" s="41"/>
      <c r="ABA14" s="41"/>
      <c r="ABB14" s="41"/>
      <c r="ABC14" s="41"/>
      <c r="ABD14" s="41"/>
      <c r="ABE14" s="41"/>
      <c r="ABF14" s="41"/>
      <c r="ABG14" s="41"/>
      <c r="ABH14" s="41"/>
      <c r="ABI14" s="41"/>
      <c r="ABJ14" s="41"/>
      <c r="ABK14" s="41"/>
      <c r="ABL14" s="41"/>
      <c r="ABM14" s="41"/>
      <c r="ABN14" s="41"/>
      <c r="ABO14" s="41"/>
      <c r="ABP14" s="41"/>
      <c r="ABQ14" s="41"/>
      <c r="ABR14" s="41"/>
      <c r="ABS14" s="41"/>
      <c r="ABT14" s="41"/>
      <c r="ABU14" s="41"/>
      <c r="ABV14" s="41"/>
      <c r="ABW14" s="41"/>
      <c r="ABX14" s="41"/>
      <c r="ABY14" s="41"/>
      <c r="ABZ14" s="41"/>
      <c r="ACA14" s="41"/>
      <c r="ACB14" s="41"/>
      <c r="ACC14" s="41"/>
      <c r="ACD14" s="41"/>
      <c r="ACE14" s="41"/>
      <c r="ACF14" s="41"/>
      <c r="ACG14" s="41"/>
      <c r="ACH14" s="41"/>
      <c r="ACI14" s="41"/>
      <c r="ACJ14" s="41"/>
      <c r="ACK14" s="41"/>
      <c r="ACL14" s="41"/>
      <c r="ACM14" s="41"/>
      <c r="ACN14" s="41"/>
      <c r="ACO14" s="41"/>
      <c r="ACP14" s="41"/>
      <c r="ACQ14" s="41"/>
      <c r="ACR14" s="41"/>
      <c r="ACS14" s="41"/>
      <c r="ACT14" s="41"/>
      <c r="ACU14" s="41"/>
      <c r="ACV14" s="41"/>
      <c r="ACW14" s="41"/>
      <c r="ACX14" s="41"/>
      <c r="ACY14" s="41"/>
      <c r="ACZ14" s="41"/>
      <c r="ADA14" s="41"/>
      <c r="ADB14" s="41"/>
      <c r="ADC14" s="41"/>
      <c r="ADD14" s="41"/>
      <c r="ADE14" s="41"/>
      <c r="ADF14" s="41"/>
      <c r="ADG14" s="41"/>
      <c r="ADH14" s="41"/>
      <c r="ADI14" s="41"/>
      <c r="ADJ14" s="41"/>
      <c r="ADK14" s="41"/>
      <c r="ADL14" s="41"/>
      <c r="ADM14" s="41"/>
      <c r="ADN14" s="41"/>
      <c r="ADO14" s="41"/>
      <c r="ADP14" s="41"/>
      <c r="ADQ14" s="41"/>
      <c r="ADR14" s="41"/>
      <c r="ADS14" s="41"/>
      <c r="ADT14" s="41"/>
      <c r="ADU14" s="41"/>
      <c r="ADV14" s="41"/>
      <c r="ADW14" s="41"/>
      <c r="ADX14" s="41"/>
      <c r="ADY14" s="41"/>
      <c r="ADZ14" s="41"/>
      <c r="AEA14" s="41"/>
      <c r="AEB14" s="41"/>
      <c r="AEC14" s="41"/>
      <c r="AED14" s="41"/>
      <c r="AEE14" s="41"/>
      <c r="AEF14" s="41"/>
      <c r="AEG14" s="41"/>
      <c r="AEH14" s="41"/>
      <c r="AEI14" s="41"/>
      <c r="AEJ14" s="41"/>
      <c r="AEK14" s="41"/>
      <c r="AEL14" s="41"/>
      <c r="AEM14" s="41"/>
      <c r="AEN14" s="41"/>
      <c r="AEO14" s="41"/>
      <c r="AEP14" s="41"/>
      <c r="AEQ14" s="41"/>
      <c r="AER14" s="41"/>
      <c r="AES14" s="41"/>
      <c r="AET14" s="41"/>
      <c r="AEU14" s="41"/>
      <c r="AEV14" s="41"/>
      <c r="AEW14" s="41"/>
      <c r="AEX14" s="41"/>
      <c r="AEY14" s="41"/>
      <c r="AEZ14" s="41"/>
      <c r="AFA14" s="41"/>
      <c r="AFB14" s="41"/>
      <c r="AFC14" s="41"/>
      <c r="AFD14" s="41"/>
      <c r="AFE14" s="41"/>
      <c r="AFF14" s="41"/>
      <c r="AFG14" s="41"/>
      <c r="AFH14" s="41"/>
      <c r="AFI14" s="41"/>
      <c r="AFJ14" s="41"/>
      <c r="AFK14" s="41"/>
      <c r="AFL14" s="41"/>
      <c r="AFM14" s="41"/>
      <c r="AFN14" s="41"/>
      <c r="AFO14" s="41"/>
      <c r="AFP14" s="41"/>
      <c r="AFQ14" s="41"/>
      <c r="AFR14" s="41"/>
      <c r="AFS14" s="41"/>
      <c r="AFT14" s="41"/>
      <c r="AFU14" s="41"/>
      <c r="AFV14" s="41"/>
      <c r="AFW14" s="41"/>
      <c r="AFX14" s="41"/>
      <c r="AFY14" s="41"/>
      <c r="AFZ14" s="41"/>
      <c r="AGA14" s="41"/>
      <c r="AGB14" s="41"/>
      <c r="AGC14" s="41"/>
      <c r="AGD14" s="41"/>
      <c r="AGE14" s="41"/>
      <c r="AGF14" s="41"/>
      <c r="AGG14" s="41"/>
      <c r="AGH14" s="41"/>
      <c r="AGI14" s="41"/>
      <c r="AGJ14" s="41"/>
      <c r="AGK14" s="41"/>
      <c r="AGL14" s="41"/>
      <c r="AGM14" s="41"/>
      <c r="AGN14" s="41"/>
      <c r="AGO14" s="41"/>
      <c r="AGP14" s="41"/>
      <c r="AGQ14" s="41"/>
      <c r="AGR14" s="41"/>
      <c r="AGS14" s="41"/>
      <c r="AGT14" s="41"/>
      <c r="AGU14" s="41"/>
      <c r="AGV14" s="41"/>
      <c r="AGW14" s="41"/>
      <c r="AGX14" s="41"/>
      <c r="AGY14" s="41"/>
      <c r="AGZ14" s="41"/>
      <c r="AHA14" s="41"/>
      <c r="AHB14" s="41"/>
      <c r="AHC14" s="41"/>
      <c r="AHD14" s="41"/>
      <c r="AHE14" s="41"/>
      <c r="AHF14" s="41"/>
      <c r="AHG14" s="41"/>
      <c r="AHH14" s="41"/>
      <c r="AHI14" s="41"/>
      <c r="AHJ14" s="41"/>
      <c r="AHK14" s="41"/>
      <c r="AHL14" s="41"/>
      <c r="AHM14" s="41"/>
      <c r="AHN14" s="41"/>
      <c r="AHO14" s="41"/>
      <c r="AHP14" s="41"/>
      <c r="AHQ14" s="41"/>
      <c r="AHR14" s="41"/>
      <c r="AHS14" s="41"/>
      <c r="AHT14" s="41"/>
      <c r="AHU14" s="41"/>
      <c r="AHV14" s="41"/>
      <c r="AHW14" s="41"/>
      <c r="AHX14" s="41"/>
      <c r="AHY14" s="41"/>
      <c r="AHZ14" s="41"/>
      <c r="AIA14" s="41"/>
      <c r="AIB14" s="41"/>
      <c r="AIC14" s="41"/>
      <c r="AID14" s="41"/>
      <c r="AIE14" s="41"/>
      <c r="AIF14" s="41"/>
      <c r="AIG14" s="41"/>
      <c r="AIH14" s="41"/>
      <c r="AII14" s="41"/>
      <c r="AIJ14" s="41"/>
      <c r="AIK14" s="41"/>
      <c r="AIL14" s="41"/>
      <c r="AIM14" s="41"/>
      <c r="AIN14" s="41"/>
      <c r="AIO14" s="41"/>
      <c r="AIP14" s="41"/>
      <c r="AIQ14" s="41"/>
      <c r="AIR14" s="41"/>
      <c r="AIS14" s="41"/>
      <c r="AIT14" s="41"/>
      <c r="AIU14" s="41"/>
      <c r="AIV14" s="41"/>
      <c r="AIW14" s="41"/>
      <c r="AIX14" s="41"/>
      <c r="AIY14" s="41"/>
      <c r="AIZ14" s="41"/>
      <c r="AJA14" s="41"/>
      <c r="AJB14" s="41"/>
      <c r="AJC14" s="41"/>
      <c r="AJD14" s="41"/>
      <c r="AJE14" s="41"/>
      <c r="AJF14" s="41"/>
      <c r="AJG14" s="41"/>
      <c r="AJH14" s="41"/>
      <c r="AJI14" s="41"/>
      <c r="AJJ14" s="41"/>
      <c r="AJK14" s="41"/>
      <c r="AJL14" s="41"/>
      <c r="AJM14" s="41"/>
      <c r="AJN14" s="41"/>
      <c r="AJO14" s="41"/>
      <c r="AJP14" s="41"/>
      <c r="AJQ14" s="41"/>
      <c r="AJR14" s="41"/>
      <c r="AJS14" s="41"/>
      <c r="AJT14" s="41"/>
      <c r="AJU14" s="41"/>
      <c r="AJV14" s="41"/>
      <c r="AJW14" s="41"/>
      <c r="AJX14" s="41"/>
      <c r="AJY14" s="41"/>
      <c r="AJZ14" s="41"/>
      <c r="AKA14" s="41"/>
      <c r="AKB14" s="41"/>
      <c r="AKC14" s="41"/>
      <c r="AKD14" s="41"/>
      <c r="AKE14" s="41"/>
      <c r="AKF14" s="41"/>
      <c r="AKG14" s="41"/>
      <c r="AKH14" s="41"/>
      <c r="AKI14" s="41"/>
      <c r="AKJ14" s="41"/>
      <c r="AKK14" s="41"/>
      <c r="AKL14" s="41"/>
      <c r="AKM14" s="41"/>
      <c r="AKN14" s="41"/>
      <c r="AKO14" s="41"/>
      <c r="AKP14" s="41"/>
      <c r="AKQ14" s="41"/>
      <c r="AKR14" s="41"/>
      <c r="AKS14" s="41"/>
      <c r="AKT14" s="41"/>
      <c r="AKU14" s="41"/>
      <c r="AKV14" s="41"/>
      <c r="AKW14" s="41"/>
      <c r="AKX14" s="41"/>
      <c r="AKY14" s="41"/>
      <c r="AKZ14" s="41"/>
      <c r="ALA14" s="41"/>
      <c r="ALB14" s="41"/>
      <c r="ALC14" s="41"/>
      <c r="ALD14" s="41"/>
      <c r="ALE14" s="41"/>
      <c r="ALF14" s="41"/>
      <c r="ALG14" s="41"/>
      <c r="ALH14" s="41"/>
      <c r="ALI14" s="41"/>
      <c r="ALJ14" s="41"/>
      <c r="ALK14" s="41"/>
      <c r="ALL14" s="41"/>
      <c r="ALM14" s="41"/>
      <c r="ALN14" s="41"/>
      <c r="ALO14" s="41"/>
      <c r="ALP14" s="41"/>
      <c r="ALQ14" s="41"/>
      <c r="ALR14" s="41"/>
      <c r="ALS14" s="41"/>
      <c r="ALT14" s="41"/>
      <c r="ALU14" s="41"/>
      <c r="ALV14" s="41"/>
      <c r="ALW14" s="41"/>
      <c r="ALX14" s="41"/>
      <c r="ALY14" s="41"/>
      <c r="ALZ14" s="41"/>
      <c r="AMA14" s="41"/>
      <c r="AMB14" s="41"/>
      <c r="AMC14" s="41"/>
      <c r="AMD14" s="41"/>
      <c r="AME14" s="41"/>
      <c r="AMF14" s="41"/>
      <c r="AMG14" s="41"/>
      <c r="AMH14" s="41"/>
      <c r="AMI14" s="41"/>
      <c r="AMJ14" s="41"/>
      <c r="AMK14" s="41"/>
      <c r="AML14" s="41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VerifyAlertHistory!$4:$4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IFERROR(__xludf.DUMMYFUNCTION("""COMPUTED_VALUE"""),"FromDate")</f>
        <v>FromDate</v>
      </c>
      <c r="C5" s="28" t="str">
        <f>IFERROR(__xludf.DUMMYFUNCTION("""COMPUTED_VALUE"""),"ToDate")</f>
        <v>ToDate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f>today()-1</f>
        <v>45816</v>
      </c>
      <c r="C6" s="43">
        <f>today()</f>
        <v>45817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8.38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IFERROR(__xludf.DUMMYFUNCTION("IF(C3="""","""",Transpose(IMPORTRANGE('_Settings'!$B$3,C3&amp;""!A4:A1000"")))"),"GetDataFromAuditTrail")</f>
        <v>GetDataFromAuditTrail</v>
      </c>
      <c r="C4" s="25" t="str">
        <f>IFERROR(__xludf.DUMMYFUNCTION("""COMPUTED_VALUE"""),"VerifyAuditTrail")</f>
        <v>VerifyAuditTrail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 Time (UTC)")</f>
        <v>Action Time (UTC)</v>
      </c>
      <c r="C5" s="28" t="str">
        <f>IFERROR(__xludf.DUMMYFUNCTION("""COMPUTED_VALUE"""),"Symbol")</f>
        <v>Symbol</v>
      </c>
      <c r="D5" s="28" t="str">
        <f>IFERROR(__xludf.DUMMYFUNCTION("""COMPUTED_VALUE"""),"Order Side")</f>
        <v>Order Side</v>
      </c>
      <c r="E5" s="28" t="str">
        <f>IFERROR(__xludf.DUMMYFUNCTION("""COMPUTED_VALUE"""),"Account Name")</f>
        <v>Account Name</v>
      </c>
      <c r="F5" s="29" t="str">
        <f>IFERROR(__xludf.DUMMYFUNCTION("""COMPUTED_VALUE"""),"Action")</f>
        <v>Action</v>
      </c>
      <c r="G5" s="28" t="str">
        <f>IFERROR(__xludf.DUMMYFUNCTION("""COMPUTED_VALUE"""),"Original Value")</f>
        <v>Original Value</v>
      </c>
      <c r="H5" s="28" t="str">
        <f>IFERROR(__xludf.DUMMYFUNCTION("""COMPUTED_VALUE"""),"New Value")</f>
        <v>New Value</v>
      </c>
      <c r="I5" s="28" t="str">
        <f>IFERROR(__xludf.DUMMYFUNCTION("""COMPUTED_VALUE"""),"Comment")</f>
        <v>Comment</v>
      </c>
      <c r="J5" s="28" t="str">
        <f>IFERROR(__xludf.DUMMYFUNCTION("""COMPUTED_VALUE"""),"Company User")</f>
        <v>Company User</v>
      </c>
      <c r="K5" s="28" t="str">
        <f>IFERROR(__xludf.DUMMYFUNCTION("""COMPUTED_VALUE"""),"TaxlotId")</f>
        <v>TaxlotId</v>
      </c>
      <c r="L5" s="28" t="str">
        <f>IFERROR(__xludf.DUMMYFUNCTION("""COMPUTED_VALUE"""),"GroupId")</f>
        <v>GroupId</v>
      </c>
      <c r="M5" s="28" t="str">
        <f>IFERROR(__xludf.DUMMYFUNCTION("""COMPUTED_VALUE"""),"Action Time")</f>
        <v>Action Time</v>
      </c>
      <c r="N5" s="28" t="str">
        <f>IFERROR(__xludf.DUMMYFUNCTION("""COMPUTED_VALUE"""),"ParentOrderId")</f>
        <v>ParentOrderId</v>
      </c>
      <c r="O5" s="28" t="str">
        <f>IFERROR(__xludf.DUMMYFUNCTION("""COMPUTED_VALUE"""),"OrderId")</f>
        <v>OrderId</v>
      </c>
      <c r="P5" s="28" t="str">
        <f>IFERROR(__xludf.DUMMYFUNCTION("""COMPUTED_VALUE"""),"Source")</f>
        <v>Source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/>
      <c r="B6" s="13"/>
      <c r="C6" s="13" t="s">
        <v>16</v>
      </c>
      <c r="D6" s="13" t="s">
        <v>18</v>
      </c>
      <c r="E6" s="13" t="s">
        <v>23</v>
      </c>
      <c r="F6" s="13" t="s">
        <v>65</v>
      </c>
      <c r="G6" s="13"/>
      <c r="H6" s="8"/>
      <c r="I6" s="13" t="s">
        <v>66</v>
      </c>
      <c r="J6" s="13" t="s">
        <v>45</v>
      </c>
      <c r="K6" s="8"/>
      <c r="L6" s="8"/>
      <c r="M6" s="13"/>
      <c r="N6" s="13"/>
      <c r="O6" s="13"/>
      <c r="P6" s="9" t="s">
        <v>58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/>
      <c r="B7" s="13"/>
      <c r="C7" s="8"/>
      <c r="D7" s="8"/>
      <c r="E7" s="8"/>
      <c r="F7" s="13" t="s">
        <v>67</v>
      </c>
      <c r="G7" s="8"/>
      <c r="H7" s="8"/>
      <c r="I7" s="13" t="s">
        <v>68</v>
      </c>
      <c r="J7" s="13" t="s">
        <v>45</v>
      </c>
      <c r="K7" s="8"/>
      <c r="L7" s="8"/>
      <c r="M7" s="13"/>
      <c r="N7" s="8"/>
      <c r="O7" s="13"/>
      <c r="P7" s="9" t="s">
        <v>33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/>
      <c r="B8" s="13"/>
      <c r="C8" s="8"/>
      <c r="D8" s="8"/>
      <c r="E8" s="8"/>
      <c r="F8" s="13" t="s">
        <v>67</v>
      </c>
      <c r="G8" s="8"/>
      <c r="H8" s="8"/>
      <c r="I8" s="13" t="s">
        <v>69</v>
      </c>
      <c r="J8" s="13" t="s">
        <v>45</v>
      </c>
      <c r="K8" s="8"/>
      <c r="L8" s="8"/>
      <c r="M8" s="13"/>
      <c r="N8" s="8"/>
      <c r="O8" s="13"/>
      <c r="P8" s="9" t="s">
        <v>33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</row>
    <row r="9" ht="15.75" customHeight="1">
      <c r="A9" s="8"/>
      <c r="B9" s="13"/>
      <c r="C9" s="13" t="s">
        <v>16</v>
      </c>
      <c r="D9" s="13" t="s">
        <v>18</v>
      </c>
      <c r="E9" s="13" t="s">
        <v>23</v>
      </c>
      <c r="F9" s="13" t="s">
        <v>70</v>
      </c>
      <c r="G9" s="8"/>
      <c r="H9" s="8"/>
      <c r="I9" s="13" t="s">
        <v>71</v>
      </c>
      <c r="J9" s="13" t="s">
        <v>45</v>
      </c>
      <c r="K9" s="8"/>
      <c r="L9" s="8"/>
      <c r="M9" s="13"/>
      <c r="N9" s="13"/>
      <c r="O9" s="13"/>
      <c r="P9" s="9" t="s">
        <v>33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  <c r="AML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/>
      <c r="MV10" s="41"/>
      <c r="MW10" s="41"/>
      <c r="MX10" s="41"/>
      <c r="MY10" s="41"/>
      <c r="MZ10" s="41"/>
      <c r="NA10" s="41"/>
      <c r="NB10" s="41"/>
      <c r="NC10" s="41"/>
      <c r="ND10" s="41"/>
      <c r="NE10" s="41"/>
      <c r="NF10" s="41"/>
      <c r="NG10" s="41"/>
      <c r="NH10" s="41"/>
      <c r="NI10" s="41"/>
      <c r="NJ10" s="41"/>
      <c r="NK10" s="41"/>
      <c r="NL10" s="41"/>
      <c r="NM10" s="41"/>
      <c r="NN10" s="41"/>
      <c r="NO10" s="41"/>
      <c r="NP10" s="41"/>
      <c r="NQ10" s="41"/>
      <c r="NR10" s="41"/>
      <c r="NS10" s="41"/>
      <c r="NT10" s="41"/>
      <c r="NU10" s="41"/>
      <c r="NV10" s="41"/>
      <c r="NW10" s="41"/>
      <c r="NX10" s="41"/>
      <c r="NY10" s="41"/>
      <c r="NZ10" s="41"/>
      <c r="OA10" s="41"/>
      <c r="OB10" s="41"/>
      <c r="OC10" s="41"/>
      <c r="OD10" s="41"/>
      <c r="OE10" s="41"/>
      <c r="OF10" s="41"/>
      <c r="OG10" s="41"/>
      <c r="OH10" s="41"/>
      <c r="OI10" s="41"/>
      <c r="OJ10" s="41"/>
      <c r="OK10" s="41"/>
      <c r="OL10" s="41"/>
      <c r="OM10" s="41"/>
      <c r="ON10" s="41"/>
      <c r="OO10" s="41"/>
      <c r="OP10" s="41"/>
      <c r="OQ10" s="41"/>
      <c r="OR10" s="41"/>
      <c r="OS10" s="41"/>
      <c r="OT10" s="41"/>
      <c r="OU10" s="41"/>
      <c r="OV10" s="41"/>
      <c r="OW10" s="41"/>
      <c r="OX10" s="41"/>
      <c r="OY10" s="41"/>
      <c r="OZ10" s="41"/>
      <c r="PA10" s="41"/>
      <c r="PB10" s="41"/>
      <c r="PC10" s="41"/>
      <c r="PD10" s="41"/>
      <c r="PE10" s="41"/>
      <c r="PF10" s="41"/>
      <c r="PG10" s="41"/>
      <c r="PH10" s="41"/>
      <c r="PI10" s="41"/>
      <c r="PJ10" s="41"/>
      <c r="PK10" s="41"/>
      <c r="PL10" s="41"/>
      <c r="PM10" s="41"/>
      <c r="PN10" s="41"/>
      <c r="PO10" s="41"/>
      <c r="PP10" s="41"/>
      <c r="PQ10" s="41"/>
      <c r="PR10" s="41"/>
      <c r="PS10" s="41"/>
      <c r="PT10" s="41"/>
      <c r="PU10" s="41"/>
      <c r="PV10" s="41"/>
      <c r="PW10" s="41"/>
      <c r="PX10" s="41"/>
      <c r="PY10" s="41"/>
      <c r="PZ10" s="41"/>
      <c r="QA10" s="41"/>
      <c r="QB10" s="41"/>
      <c r="QC10" s="41"/>
      <c r="QD10" s="41"/>
      <c r="QE10" s="41"/>
      <c r="QF10" s="41"/>
      <c r="QG10" s="41"/>
      <c r="QH10" s="41"/>
      <c r="QI10" s="41"/>
      <c r="QJ10" s="41"/>
      <c r="QK10" s="41"/>
      <c r="QL10" s="41"/>
      <c r="QM10" s="41"/>
      <c r="QN10" s="41"/>
      <c r="QO10" s="41"/>
      <c r="QP10" s="41"/>
      <c r="QQ10" s="41"/>
      <c r="QR10" s="41"/>
      <c r="QS10" s="41"/>
      <c r="QT10" s="41"/>
      <c r="QU10" s="41"/>
      <c r="QV10" s="41"/>
      <c r="QW10" s="41"/>
      <c r="QX10" s="41"/>
      <c r="QY10" s="41"/>
      <c r="QZ10" s="41"/>
      <c r="RA10" s="41"/>
      <c r="RB10" s="41"/>
      <c r="RC10" s="41"/>
      <c r="RD10" s="41"/>
      <c r="RE10" s="41"/>
      <c r="RF10" s="41"/>
      <c r="RG10" s="41"/>
      <c r="RH10" s="41"/>
      <c r="RI10" s="41"/>
      <c r="RJ10" s="41"/>
      <c r="RK10" s="41"/>
      <c r="RL10" s="41"/>
      <c r="RM10" s="41"/>
      <c r="RN10" s="41"/>
      <c r="RO10" s="41"/>
      <c r="RP10" s="41"/>
      <c r="RQ10" s="41"/>
      <c r="RR10" s="41"/>
      <c r="RS10" s="41"/>
      <c r="RT10" s="41"/>
      <c r="RU10" s="41"/>
      <c r="RV10" s="41"/>
      <c r="RW10" s="41"/>
      <c r="RX10" s="41"/>
      <c r="RY10" s="41"/>
      <c r="RZ10" s="41"/>
      <c r="SA10" s="41"/>
      <c r="SB10" s="41"/>
      <c r="SC10" s="41"/>
      <c r="SD10" s="41"/>
      <c r="SE10" s="41"/>
      <c r="SF10" s="41"/>
      <c r="SG10" s="41"/>
      <c r="SH10" s="41"/>
      <c r="SI10" s="41"/>
      <c r="SJ10" s="41"/>
      <c r="SK10" s="41"/>
      <c r="SL10" s="41"/>
      <c r="SM10" s="41"/>
      <c r="SN10" s="41"/>
      <c r="SO10" s="41"/>
      <c r="SP10" s="41"/>
      <c r="SQ10" s="41"/>
      <c r="SR10" s="41"/>
      <c r="SS10" s="41"/>
      <c r="ST10" s="41"/>
      <c r="SU10" s="41"/>
      <c r="SV10" s="41"/>
      <c r="SW10" s="41"/>
      <c r="SX10" s="41"/>
      <c r="SY10" s="41"/>
      <c r="SZ10" s="41"/>
      <c r="TA10" s="41"/>
      <c r="TB10" s="41"/>
      <c r="TC10" s="41"/>
      <c r="TD10" s="41"/>
      <c r="TE10" s="41"/>
      <c r="TF10" s="41"/>
      <c r="TG10" s="41"/>
      <c r="TH10" s="41"/>
      <c r="TI10" s="41"/>
      <c r="TJ10" s="41"/>
      <c r="TK10" s="41"/>
      <c r="TL10" s="41"/>
      <c r="TM10" s="41"/>
      <c r="TN10" s="41"/>
      <c r="TO10" s="41"/>
      <c r="TP10" s="41"/>
      <c r="TQ10" s="41"/>
      <c r="TR10" s="41"/>
      <c r="TS10" s="41"/>
      <c r="TT10" s="41"/>
      <c r="TU10" s="41"/>
      <c r="TV10" s="41"/>
      <c r="TW10" s="41"/>
      <c r="TX10" s="41"/>
      <c r="TY10" s="41"/>
      <c r="TZ10" s="41"/>
      <c r="UA10" s="41"/>
      <c r="UB10" s="41"/>
      <c r="UC10" s="41"/>
      <c r="UD10" s="41"/>
      <c r="UE10" s="41"/>
      <c r="UF10" s="41"/>
      <c r="UG10" s="41"/>
      <c r="UH10" s="41"/>
      <c r="UI10" s="41"/>
      <c r="UJ10" s="41"/>
      <c r="UK10" s="41"/>
      <c r="UL10" s="41"/>
      <c r="UM10" s="41"/>
      <c r="UN10" s="41"/>
      <c r="UO10" s="41"/>
      <c r="UP10" s="41"/>
      <c r="UQ10" s="41"/>
      <c r="UR10" s="41"/>
      <c r="US10" s="41"/>
      <c r="UT10" s="41"/>
      <c r="UU10" s="41"/>
      <c r="UV10" s="41"/>
      <c r="UW10" s="41"/>
      <c r="UX10" s="41"/>
      <c r="UY10" s="41"/>
      <c r="UZ10" s="41"/>
      <c r="VA10" s="41"/>
      <c r="VB10" s="41"/>
      <c r="VC10" s="41"/>
      <c r="VD10" s="41"/>
      <c r="VE10" s="41"/>
      <c r="VF10" s="41"/>
      <c r="VG10" s="41"/>
      <c r="VH10" s="41"/>
      <c r="VI10" s="41"/>
      <c r="VJ10" s="41"/>
      <c r="VK10" s="41"/>
      <c r="VL10" s="41"/>
      <c r="VM10" s="41"/>
      <c r="VN10" s="41"/>
      <c r="VO10" s="41"/>
      <c r="VP10" s="41"/>
      <c r="VQ10" s="41"/>
      <c r="VR10" s="41"/>
      <c r="VS10" s="41"/>
      <c r="VT10" s="41"/>
      <c r="VU10" s="41"/>
      <c r="VV10" s="41"/>
      <c r="VW10" s="41"/>
      <c r="VX10" s="41"/>
      <c r="VY10" s="41"/>
      <c r="VZ10" s="41"/>
      <c r="WA10" s="41"/>
      <c r="WB10" s="41"/>
      <c r="WC10" s="41"/>
      <c r="WD10" s="41"/>
      <c r="WE10" s="41"/>
      <c r="WF10" s="41"/>
      <c r="WG10" s="41"/>
      <c r="WH10" s="41"/>
      <c r="WI10" s="41"/>
      <c r="WJ10" s="41"/>
      <c r="WK10" s="41"/>
      <c r="WL10" s="41"/>
      <c r="WM10" s="41"/>
      <c r="WN10" s="41"/>
      <c r="WO10" s="41"/>
      <c r="WP10" s="41"/>
      <c r="WQ10" s="41"/>
      <c r="WR10" s="41"/>
      <c r="WS10" s="41"/>
      <c r="WT10" s="41"/>
      <c r="WU10" s="41"/>
      <c r="WV10" s="41"/>
      <c r="WW10" s="41"/>
      <c r="WX10" s="41"/>
      <c r="WY10" s="41"/>
      <c r="WZ10" s="41"/>
      <c r="XA10" s="41"/>
      <c r="XB10" s="41"/>
      <c r="XC10" s="41"/>
      <c r="XD10" s="41"/>
      <c r="XE10" s="41"/>
      <c r="XF10" s="41"/>
      <c r="XG10" s="41"/>
      <c r="XH10" s="41"/>
      <c r="XI10" s="41"/>
      <c r="XJ10" s="41"/>
      <c r="XK10" s="41"/>
      <c r="XL10" s="41"/>
      <c r="XM10" s="41"/>
      <c r="XN10" s="41"/>
      <c r="XO10" s="41"/>
      <c r="XP10" s="41"/>
      <c r="XQ10" s="41"/>
      <c r="XR10" s="41"/>
      <c r="XS10" s="41"/>
      <c r="XT10" s="41"/>
      <c r="XU10" s="41"/>
      <c r="XV10" s="41"/>
      <c r="XW10" s="41"/>
      <c r="XX10" s="41"/>
      <c r="XY10" s="41"/>
      <c r="XZ10" s="41"/>
      <c r="YA10" s="41"/>
      <c r="YB10" s="41"/>
      <c r="YC10" s="41"/>
      <c r="YD10" s="41"/>
      <c r="YE10" s="41"/>
      <c r="YF10" s="41"/>
      <c r="YG10" s="41"/>
      <c r="YH10" s="41"/>
      <c r="YI10" s="41"/>
      <c r="YJ10" s="41"/>
      <c r="YK10" s="41"/>
      <c r="YL10" s="41"/>
      <c r="YM10" s="41"/>
      <c r="YN10" s="41"/>
      <c r="YO10" s="41"/>
      <c r="YP10" s="41"/>
      <c r="YQ10" s="41"/>
      <c r="YR10" s="41"/>
      <c r="YS10" s="41"/>
      <c r="YT10" s="41"/>
      <c r="YU10" s="41"/>
      <c r="YV10" s="41"/>
      <c r="YW10" s="41"/>
      <c r="YX10" s="41"/>
      <c r="YY10" s="41"/>
      <c r="YZ10" s="41"/>
      <c r="ZA10" s="41"/>
      <c r="ZB10" s="41"/>
      <c r="ZC10" s="41"/>
      <c r="ZD10" s="41"/>
      <c r="ZE10" s="41"/>
      <c r="ZF10" s="41"/>
      <c r="ZG10" s="41"/>
      <c r="ZH10" s="41"/>
      <c r="ZI10" s="41"/>
      <c r="ZJ10" s="41"/>
      <c r="ZK10" s="41"/>
      <c r="ZL10" s="41"/>
      <c r="ZM10" s="41"/>
      <c r="ZN10" s="41"/>
      <c r="ZO10" s="41"/>
      <c r="ZP10" s="41"/>
      <c r="ZQ10" s="41"/>
      <c r="ZR10" s="41"/>
      <c r="ZS10" s="41"/>
      <c r="ZT10" s="41"/>
      <c r="ZU10" s="41"/>
      <c r="ZV10" s="41"/>
      <c r="ZW10" s="41"/>
      <c r="ZX10" s="41"/>
      <c r="ZY10" s="41"/>
      <c r="ZZ10" s="41"/>
      <c r="AAA10" s="41"/>
      <c r="AAB10" s="41"/>
      <c r="AAC10" s="41"/>
      <c r="AAD10" s="41"/>
      <c r="AAE10" s="41"/>
      <c r="AAF10" s="41"/>
      <c r="AAG10" s="41"/>
      <c r="AAH10" s="41"/>
      <c r="AAI10" s="41"/>
      <c r="AAJ10" s="41"/>
      <c r="AAK10" s="41"/>
      <c r="AAL10" s="41"/>
      <c r="AAM10" s="41"/>
      <c r="AAN10" s="41"/>
      <c r="AAO10" s="41"/>
      <c r="AAP10" s="41"/>
      <c r="AAQ10" s="41"/>
      <c r="AAR10" s="41"/>
      <c r="AAS10" s="41"/>
      <c r="AAT10" s="41"/>
      <c r="AAU10" s="41"/>
      <c r="AAV10" s="41"/>
      <c r="AAW10" s="41"/>
      <c r="AAX10" s="41"/>
      <c r="AAY10" s="41"/>
      <c r="AAZ10" s="41"/>
      <c r="ABA10" s="41"/>
      <c r="ABB10" s="41"/>
      <c r="ABC10" s="41"/>
      <c r="ABD10" s="41"/>
      <c r="ABE10" s="41"/>
      <c r="ABF10" s="41"/>
      <c r="ABG10" s="41"/>
      <c r="ABH10" s="41"/>
      <c r="ABI10" s="41"/>
      <c r="ABJ10" s="41"/>
      <c r="ABK10" s="41"/>
      <c r="ABL10" s="41"/>
      <c r="ABM10" s="41"/>
      <c r="ABN10" s="41"/>
      <c r="ABO10" s="41"/>
      <c r="ABP10" s="41"/>
      <c r="ABQ10" s="41"/>
      <c r="ABR10" s="41"/>
      <c r="ABS10" s="41"/>
      <c r="ABT10" s="41"/>
      <c r="ABU10" s="41"/>
      <c r="ABV10" s="41"/>
      <c r="ABW10" s="41"/>
      <c r="ABX10" s="41"/>
      <c r="ABY10" s="41"/>
      <c r="ABZ10" s="41"/>
      <c r="ACA10" s="41"/>
      <c r="ACB10" s="41"/>
      <c r="ACC10" s="41"/>
      <c r="ACD10" s="41"/>
      <c r="ACE10" s="41"/>
      <c r="ACF10" s="41"/>
      <c r="ACG10" s="41"/>
      <c r="ACH10" s="41"/>
      <c r="ACI10" s="41"/>
      <c r="ACJ10" s="41"/>
      <c r="ACK10" s="41"/>
      <c r="ACL10" s="41"/>
      <c r="ACM10" s="41"/>
      <c r="ACN10" s="41"/>
      <c r="ACO10" s="41"/>
      <c r="ACP10" s="41"/>
      <c r="ACQ10" s="41"/>
      <c r="ACR10" s="41"/>
      <c r="ACS10" s="41"/>
      <c r="ACT10" s="41"/>
      <c r="ACU10" s="41"/>
      <c r="ACV10" s="41"/>
      <c r="ACW10" s="41"/>
      <c r="ACX10" s="41"/>
      <c r="ACY10" s="41"/>
      <c r="ACZ10" s="41"/>
      <c r="ADA10" s="41"/>
      <c r="ADB10" s="41"/>
      <c r="ADC10" s="41"/>
      <c r="ADD10" s="41"/>
      <c r="ADE10" s="41"/>
      <c r="ADF10" s="41"/>
      <c r="ADG10" s="41"/>
      <c r="ADH10" s="41"/>
      <c r="ADI10" s="41"/>
      <c r="ADJ10" s="41"/>
      <c r="ADK10" s="41"/>
      <c r="ADL10" s="41"/>
      <c r="ADM10" s="41"/>
      <c r="ADN10" s="41"/>
      <c r="ADO10" s="41"/>
      <c r="ADP10" s="41"/>
      <c r="ADQ10" s="41"/>
      <c r="ADR10" s="41"/>
      <c r="ADS10" s="41"/>
      <c r="ADT10" s="41"/>
      <c r="ADU10" s="41"/>
      <c r="ADV10" s="41"/>
      <c r="ADW10" s="41"/>
      <c r="ADX10" s="41"/>
      <c r="ADY10" s="41"/>
      <c r="ADZ10" s="41"/>
      <c r="AEA10" s="41"/>
      <c r="AEB10" s="41"/>
      <c r="AEC10" s="41"/>
      <c r="AED10" s="41"/>
      <c r="AEE10" s="41"/>
      <c r="AEF10" s="41"/>
      <c r="AEG10" s="41"/>
      <c r="AEH10" s="41"/>
      <c r="AEI10" s="41"/>
      <c r="AEJ10" s="41"/>
      <c r="AEK10" s="41"/>
      <c r="AEL10" s="41"/>
      <c r="AEM10" s="41"/>
      <c r="AEN10" s="41"/>
      <c r="AEO10" s="41"/>
      <c r="AEP10" s="41"/>
      <c r="AEQ10" s="41"/>
      <c r="AER10" s="41"/>
      <c r="AES10" s="41"/>
      <c r="AET10" s="41"/>
      <c r="AEU10" s="41"/>
      <c r="AEV10" s="41"/>
      <c r="AEW10" s="41"/>
      <c r="AEX10" s="41"/>
      <c r="AEY10" s="41"/>
      <c r="AEZ10" s="41"/>
      <c r="AFA10" s="41"/>
      <c r="AFB10" s="41"/>
      <c r="AFC10" s="41"/>
      <c r="AFD10" s="41"/>
      <c r="AFE10" s="41"/>
      <c r="AFF10" s="41"/>
      <c r="AFG10" s="41"/>
      <c r="AFH10" s="41"/>
      <c r="AFI10" s="41"/>
      <c r="AFJ10" s="41"/>
      <c r="AFK10" s="41"/>
      <c r="AFL10" s="41"/>
      <c r="AFM10" s="41"/>
      <c r="AFN10" s="41"/>
      <c r="AFO10" s="41"/>
      <c r="AFP10" s="41"/>
      <c r="AFQ10" s="41"/>
      <c r="AFR10" s="41"/>
      <c r="AFS10" s="41"/>
      <c r="AFT10" s="41"/>
      <c r="AFU10" s="41"/>
      <c r="AFV10" s="41"/>
      <c r="AFW10" s="41"/>
      <c r="AFX10" s="41"/>
      <c r="AFY10" s="41"/>
      <c r="AFZ10" s="41"/>
      <c r="AGA10" s="41"/>
      <c r="AGB10" s="41"/>
      <c r="AGC10" s="41"/>
      <c r="AGD10" s="41"/>
      <c r="AGE10" s="41"/>
      <c r="AGF10" s="41"/>
      <c r="AGG10" s="41"/>
      <c r="AGH10" s="41"/>
      <c r="AGI10" s="41"/>
      <c r="AGJ10" s="41"/>
      <c r="AGK10" s="41"/>
      <c r="AGL10" s="41"/>
      <c r="AGM10" s="41"/>
      <c r="AGN10" s="41"/>
      <c r="AGO10" s="41"/>
      <c r="AGP10" s="41"/>
      <c r="AGQ10" s="41"/>
      <c r="AGR10" s="41"/>
      <c r="AGS10" s="41"/>
      <c r="AGT10" s="41"/>
      <c r="AGU10" s="41"/>
      <c r="AGV10" s="41"/>
      <c r="AGW10" s="41"/>
      <c r="AGX10" s="41"/>
      <c r="AGY10" s="41"/>
      <c r="AGZ10" s="41"/>
      <c r="AHA10" s="41"/>
      <c r="AHB10" s="41"/>
      <c r="AHC10" s="41"/>
      <c r="AHD10" s="41"/>
      <c r="AHE10" s="41"/>
      <c r="AHF10" s="41"/>
      <c r="AHG10" s="41"/>
      <c r="AHH10" s="41"/>
      <c r="AHI10" s="41"/>
      <c r="AHJ10" s="41"/>
      <c r="AHK10" s="41"/>
      <c r="AHL10" s="41"/>
      <c r="AHM10" s="41"/>
      <c r="AHN10" s="41"/>
      <c r="AHO10" s="41"/>
      <c r="AHP10" s="41"/>
      <c r="AHQ10" s="41"/>
      <c r="AHR10" s="41"/>
      <c r="AHS10" s="41"/>
      <c r="AHT10" s="41"/>
      <c r="AHU10" s="41"/>
      <c r="AHV10" s="41"/>
      <c r="AHW10" s="41"/>
      <c r="AHX10" s="41"/>
      <c r="AHY10" s="41"/>
      <c r="AHZ10" s="41"/>
      <c r="AIA10" s="41"/>
      <c r="AIB10" s="41"/>
      <c r="AIC10" s="41"/>
      <c r="AID10" s="41"/>
      <c r="AIE10" s="41"/>
      <c r="AIF10" s="41"/>
      <c r="AIG10" s="41"/>
      <c r="AIH10" s="41"/>
      <c r="AII10" s="41"/>
      <c r="AIJ10" s="41"/>
      <c r="AIK10" s="41"/>
      <c r="AIL10" s="41"/>
      <c r="AIM10" s="41"/>
      <c r="AIN10" s="41"/>
      <c r="AIO10" s="41"/>
      <c r="AIP10" s="41"/>
      <c r="AIQ10" s="41"/>
      <c r="AIR10" s="41"/>
      <c r="AIS10" s="41"/>
      <c r="AIT10" s="41"/>
      <c r="AIU10" s="41"/>
      <c r="AIV10" s="41"/>
      <c r="AIW10" s="41"/>
      <c r="AIX10" s="41"/>
      <c r="AIY10" s="41"/>
      <c r="AIZ10" s="41"/>
      <c r="AJA10" s="41"/>
      <c r="AJB10" s="41"/>
      <c r="AJC10" s="41"/>
      <c r="AJD10" s="41"/>
      <c r="AJE10" s="41"/>
      <c r="AJF10" s="41"/>
      <c r="AJG10" s="41"/>
      <c r="AJH10" s="41"/>
      <c r="AJI10" s="41"/>
      <c r="AJJ10" s="41"/>
      <c r="AJK10" s="41"/>
      <c r="AJL10" s="41"/>
      <c r="AJM10" s="41"/>
      <c r="AJN10" s="41"/>
      <c r="AJO10" s="41"/>
      <c r="AJP10" s="41"/>
      <c r="AJQ10" s="41"/>
      <c r="AJR10" s="41"/>
      <c r="AJS10" s="41"/>
      <c r="AJT10" s="41"/>
      <c r="AJU10" s="41"/>
      <c r="AJV10" s="41"/>
      <c r="AJW10" s="41"/>
      <c r="AJX10" s="41"/>
      <c r="AJY10" s="41"/>
      <c r="AJZ10" s="41"/>
      <c r="AKA10" s="41"/>
      <c r="AKB10" s="41"/>
      <c r="AKC10" s="41"/>
      <c r="AKD10" s="41"/>
      <c r="AKE10" s="41"/>
      <c r="AKF10" s="41"/>
      <c r="AKG10" s="41"/>
      <c r="AKH10" s="41"/>
      <c r="AKI10" s="41"/>
      <c r="AKJ10" s="41"/>
      <c r="AKK10" s="41"/>
      <c r="AKL10" s="41"/>
      <c r="AKM10" s="41"/>
      <c r="AKN10" s="41"/>
      <c r="AKO10" s="41"/>
      <c r="AKP10" s="41"/>
      <c r="AKQ10" s="41"/>
      <c r="AKR10" s="41"/>
      <c r="AKS10" s="41"/>
      <c r="AKT10" s="41"/>
      <c r="AKU10" s="41"/>
      <c r="AKV10" s="41"/>
      <c r="AKW10" s="41"/>
      <c r="AKX10" s="41"/>
      <c r="AKY10" s="41"/>
      <c r="AKZ10" s="41"/>
      <c r="ALA10" s="41"/>
      <c r="ALB10" s="41"/>
      <c r="ALC10" s="41"/>
      <c r="ALD10" s="41"/>
      <c r="ALE10" s="41"/>
      <c r="ALF10" s="41"/>
      <c r="ALG10" s="41"/>
      <c r="ALH10" s="41"/>
      <c r="ALI10" s="41"/>
      <c r="ALJ10" s="41"/>
      <c r="ALK10" s="41"/>
      <c r="ALL10" s="41"/>
      <c r="ALM10" s="41"/>
      <c r="ALN10" s="41"/>
      <c r="ALO10" s="41"/>
      <c r="ALP10" s="41"/>
      <c r="ALQ10" s="41"/>
      <c r="ALR10" s="41"/>
      <c r="ALS10" s="41"/>
      <c r="ALT10" s="41"/>
      <c r="ALU10" s="41"/>
      <c r="ALV10" s="41"/>
      <c r="ALW10" s="41"/>
      <c r="ALX10" s="41"/>
      <c r="ALY10" s="41"/>
      <c r="ALZ10" s="41"/>
      <c r="AMA10" s="41"/>
      <c r="AMB10" s="41"/>
      <c r="AMC10" s="41"/>
      <c r="AMD10" s="41"/>
      <c r="AME10" s="41"/>
      <c r="AMF10" s="41"/>
      <c r="AMG10" s="41"/>
      <c r="AMH10" s="41"/>
      <c r="AMI10" s="41"/>
      <c r="AMJ10" s="41"/>
      <c r="AMK10" s="41"/>
      <c r="AML10" s="4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41"/>
      <c r="JQ12" s="41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41"/>
      <c r="KR12" s="41"/>
      <c r="KS12" s="41"/>
      <c r="KT12" s="41"/>
      <c r="KU12" s="41"/>
      <c r="KV12" s="41"/>
      <c r="KW12" s="41"/>
      <c r="KX12" s="41"/>
      <c r="KY12" s="41"/>
      <c r="KZ12" s="41"/>
      <c r="LA12" s="41"/>
      <c r="LB12" s="41"/>
      <c r="LC12" s="41"/>
      <c r="LD12" s="41"/>
      <c r="LE12" s="41"/>
      <c r="LF12" s="41"/>
      <c r="LG12" s="41"/>
      <c r="LH12" s="41"/>
      <c r="LI12" s="41"/>
      <c r="LJ12" s="41"/>
      <c r="LK12" s="41"/>
      <c r="LL12" s="41"/>
      <c r="LM12" s="41"/>
      <c r="LN12" s="41"/>
      <c r="LO12" s="41"/>
      <c r="LP12" s="41"/>
      <c r="LQ12" s="41"/>
      <c r="LR12" s="41"/>
      <c r="LS12" s="41"/>
      <c r="LT12" s="41"/>
      <c r="LU12" s="41"/>
      <c r="LV12" s="41"/>
      <c r="LW12" s="41"/>
      <c r="LX12" s="41"/>
      <c r="LY12" s="41"/>
      <c r="LZ12" s="41"/>
      <c r="MA12" s="41"/>
      <c r="MB12" s="41"/>
      <c r="MC12" s="41"/>
      <c r="MD12" s="41"/>
      <c r="ME12" s="41"/>
      <c r="MF12" s="41"/>
      <c r="MG12" s="41"/>
      <c r="MH12" s="41"/>
      <c r="MI12" s="41"/>
      <c r="MJ12" s="41"/>
      <c r="MK12" s="41"/>
      <c r="ML12" s="41"/>
      <c r="MM12" s="41"/>
      <c r="MN12" s="41"/>
      <c r="MO12" s="41"/>
      <c r="MP12" s="41"/>
      <c r="MQ12" s="41"/>
      <c r="MR12" s="41"/>
      <c r="MS12" s="41"/>
      <c r="MT12" s="41"/>
      <c r="MU12" s="41"/>
      <c r="MV12" s="41"/>
      <c r="MW12" s="41"/>
      <c r="MX12" s="41"/>
      <c r="MY12" s="41"/>
      <c r="MZ12" s="41"/>
      <c r="NA12" s="41"/>
      <c r="NB12" s="41"/>
      <c r="NC12" s="41"/>
      <c r="ND12" s="41"/>
      <c r="NE12" s="41"/>
      <c r="NF12" s="41"/>
      <c r="NG12" s="41"/>
      <c r="NH12" s="41"/>
      <c r="NI12" s="41"/>
      <c r="NJ12" s="41"/>
      <c r="NK12" s="41"/>
      <c r="NL12" s="41"/>
      <c r="NM12" s="41"/>
      <c r="NN12" s="41"/>
      <c r="NO12" s="41"/>
      <c r="NP12" s="41"/>
      <c r="NQ12" s="41"/>
      <c r="NR12" s="41"/>
      <c r="NS12" s="41"/>
      <c r="NT12" s="41"/>
      <c r="NU12" s="41"/>
      <c r="NV12" s="41"/>
      <c r="NW12" s="41"/>
      <c r="NX12" s="41"/>
      <c r="NY12" s="41"/>
      <c r="NZ12" s="41"/>
      <c r="OA12" s="41"/>
      <c r="OB12" s="41"/>
      <c r="OC12" s="41"/>
      <c r="OD12" s="41"/>
      <c r="OE12" s="41"/>
      <c r="OF12" s="41"/>
      <c r="OG12" s="41"/>
      <c r="OH12" s="41"/>
      <c r="OI12" s="41"/>
      <c r="OJ12" s="41"/>
      <c r="OK12" s="41"/>
      <c r="OL12" s="41"/>
      <c r="OM12" s="41"/>
      <c r="ON12" s="41"/>
      <c r="OO12" s="41"/>
      <c r="OP12" s="41"/>
      <c r="OQ12" s="41"/>
      <c r="OR12" s="41"/>
      <c r="OS12" s="41"/>
      <c r="OT12" s="41"/>
      <c r="OU12" s="41"/>
      <c r="OV12" s="41"/>
      <c r="OW12" s="41"/>
      <c r="OX12" s="41"/>
      <c r="OY12" s="41"/>
      <c r="OZ12" s="41"/>
      <c r="PA12" s="41"/>
      <c r="PB12" s="41"/>
      <c r="PC12" s="41"/>
      <c r="PD12" s="41"/>
      <c r="PE12" s="41"/>
      <c r="PF12" s="41"/>
      <c r="PG12" s="41"/>
      <c r="PH12" s="41"/>
      <c r="PI12" s="41"/>
      <c r="PJ12" s="41"/>
      <c r="PK12" s="41"/>
      <c r="PL12" s="41"/>
      <c r="PM12" s="41"/>
      <c r="PN12" s="41"/>
      <c r="PO12" s="41"/>
      <c r="PP12" s="41"/>
      <c r="PQ12" s="41"/>
      <c r="PR12" s="41"/>
      <c r="PS12" s="41"/>
      <c r="PT12" s="41"/>
      <c r="PU12" s="41"/>
      <c r="PV12" s="41"/>
      <c r="PW12" s="41"/>
      <c r="PX12" s="41"/>
      <c r="PY12" s="41"/>
      <c r="PZ12" s="41"/>
      <c r="QA12" s="41"/>
      <c r="QB12" s="41"/>
      <c r="QC12" s="41"/>
      <c r="QD12" s="41"/>
      <c r="QE12" s="41"/>
      <c r="QF12" s="41"/>
      <c r="QG12" s="41"/>
      <c r="QH12" s="41"/>
      <c r="QI12" s="41"/>
      <c r="QJ12" s="41"/>
      <c r="QK12" s="41"/>
      <c r="QL12" s="41"/>
      <c r="QM12" s="41"/>
      <c r="QN12" s="41"/>
      <c r="QO12" s="41"/>
      <c r="QP12" s="41"/>
      <c r="QQ12" s="41"/>
      <c r="QR12" s="41"/>
      <c r="QS12" s="41"/>
      <c r="QT12" s="41"/>
      <c r="QU12" s="41"/>
      <c r="QV12" s="41"/>
      <c r="QW12" s="41"/>
      <c r="QX12" s="41"/>
      <c r="QY12" s="41"/>
      <c r="QZ12" s="41"/>
      <c r="RA12" s="41"/>
      <c r="RB12" s="41"/>
      <c r="RC12" s="41"/>
      <c r="RD12" s="41"/>
      <c r="RE12" s="41"/>
      <c r="RF12" s="41"/>
      <c r="RG12" s="41"/>
      <c r="RH12" s="41"/>
      <c r="RI12" s="41"/>
      <c r="RJ12" s="41"/>
      <c r="RK12" s="41"/>
      <c r="RL12" s="41"/>
      <c r="RM12" s="41"/>
      <c r="RN12" s="41"/>
      <c r="RO12" s="41"/>
      <c r="RP12" s="41"/>
      <c r="RQ12" s="41"/>
      <c r="RR12" s="41"/>
      <c r="RS12" s="41"/>
      <c r="RT12" s="41"/>
      <c r="RU12" s="41"/>
      <c r="RV12" s="41"/>
      <c r="RW12" s="41"/>
      <c r="RX12" s="41"/>
      <c r="RY12" s="41"/>
      <c r="RZ12" s="41"/>
      <c r="SA12" s="41"/>
      <c r="SB12" s="41"/>
      <c r="SC12" s="41"/>
      <c r="SD12" s="41"/>
      <c r="SE12" s="41"/>
      <c r="SF12" s="41"/>
      <c r="SG12" s="41"/>
      <c r="SH12" s="41"/>
      <c r="SI12" s="41"/>
      <c r="SJ12" s="41"/>
      <c r="SK12" s="41"/>
      <c r="SL12" s="41"/>
      <c r="SM12" s="41"/>
      <c r="SN12" s="41"/>
      <c r="SO12" s="41"/>
      <c r="SP12" s="41"/>
      <c r="SQ12" s="41"/>
      <c r="SR12" s="41"/>
      <c r="SS12" s="41"/>
      <c r="ST12" s="41"/>
      <c r="SU12" s="41"/>
      <c r="SV12" s="41"/>
      <c r="SW12" s="41"/>
      <c r="SX12" s="41"/>
      <c r="SY12" s="41"/>
      <c r="SZ12" s="41"/>
      <c r="TA12" s="41"/>
      <c r="TB12" s="41"/>
      <c r="TC12" s="41"/>
      <c r="TD12" s="41"/>
      <c r="TE12" s="41"/>
      <c r="TF12" s="41"/>
      <c r="TG12" s="41"/>
      <c r="TH12" s="41"/>
      <c r="TI12" s="41"/>
      <c r="TJ12" s="41"/>
      <c r="TK12" s="41"/>
      <c r="TL12" s="41"/>
      <c r="TM12" s="41"/>
      <c r="TN12" s="41"/>
      <c r="TO12" s="41"/>
      <c r="TP12" s="41"/>
      <c r="TQ12" s="41"/>
      <c r="TR12" s="41"/>
      <c r="TS12" s="41"/>
      <c r="TT12" s="41"/>
      <c r="TU12" s="41"/>
      <c r="TV12" s="41"/>
      <c r="TW12" s="41"/>
      <c r="TX12" s="41"/>
      <c r="TY12" s="41"/>
      <c r="TZ12" s="41"/>
      <c r="UA12" s="41"/>
      <c r="UB12" s="41"/>
      <c r="UC12" s="41"/>
      <c r="UD12" s="41"/>
      <c r="UE12" s="41"/>
      <c r="UF12" s="41"/>
      <c r="UG12" s="41"/>
      <c r="UH12" s="41"/>
      <c r="UI12" s="41"/>
      <c r="UJ12" s="41"/>
      <c r="UK12" s="41"/>
      <c r="UL12" s="41"/>
      <c r="UM12" s="41"/>
      <c r="UN12" s="41"/>
      <c r="UO12" s="41"/>
      <c r="UP12" s="41"/>
      <c r="UQ12" s="41"/>
      <c r="UR12" s="41"/>
      <c r="US12" s="41"/>
      <c r="UT12" s="41"/>
      <c r="UU12" s="41"/>
      <c r="UV12" s="41"/>
      <c r="UW12" s="41"/>
      <c r="UX12" s="41"/>
      <c r="UY12" s="41"/>
      <c r="UZ12" s="41"/>
      <c r="VA12" s="41"/>
      <c r="VB12" s="41"/>
      <c r="VC12" s="41"/>
      <c r="VD12" s="41"/>
      <c r="VE12" s="41"/>
      <c r="VF12" s="41"/>
      <c r="VG12" s="41"/>
      <c r="VH12" s="41"/>
      <c r="VI12" s="41"/>
      <c r="VJ12" s="41"/>
      <c r="VK12" s="41"/>
      <c r="VL12" s="41"/>
      <c r="VM12" s="41"/>
      <c r="VN12" s="41"/>
      <c r="VO12" s="41"/>
      <c r="VP12" s="41"/>
      <c r="VQ12" s="41"/>
      <c r="VR12" s="41"/>
      <c r="VS12" s="41"/>
      <c r="VT12" s="41"/>
      <c r="VU12" s="41"/>
      <c r="VV12" s="41"/>
      <c r="VW12" s="41"/>
      <c r="VX12" s="41"/>
      <c r="VY12" s="41"/>
      <c r="VZ12" s="41"/>
      <c r="WA12" s="41"/>
      <c r="WB12" s="41"/>
      <c r="WC12" s="41"/>
      <c r="WD12" s="41"/>
      <c r="WE12" s="41"/>
      <c r="WF12" s="41"/>
      <c r="WG12" s="41"/>
      <c r="WH12" s="41"/>
      <c r="WI12" s="41"/>
      <c r="WJ12" s="41"/>
      <c r="WK12" s="41"/>
      <c r="WL12" s="41"/>
      <c r="WM12" s="41"/>
      <c r="WN12" s="41"/>
      <c r="WO12" s="41"/>
      <c r="WP12" s="41"/>
      <c r="WQ12" s="41"/>
      <c r="WR12" s="41"/>
      <c r="WS12" s="41"/>
      <c r="WT12" s="41"/>
      <c r="WU12" s="41"/>
      <c r="WV12" s="41"/>
      <c r="WW12" s="41"/>
      <c r="WX12" s="41"/>
      <c r="WY12" s="41"/>
      <c r="WZ12" s="41"/>
      <c r="XA12" s="41"/>
      <c r="XB12" s="41"/>
      <c r="XC12" s="41"/>
      <c r="XD12" s="41"/>
      <c r="XE12" s="41"/>
      <c r="XF12" s="41"/>
      <c r="XG12" s="41"/>
      <c r="XH12" s="41"/>
      <c r="XI12" s="41"/>
      <c r="XJ12" s="41"/>
      <c r="XK12" s="41"/>
      <c r="XL12" s="41"/>
      <c r="XM12" s="41"/>
      <c r="XN12" s="41"/>
      <c r="XO12" s="41"/>
      <c r="XP12" s="41"/>
      <c r="XQ12" s="41"/>
      <c r="XR12" s="41"/>
      <c r="XS12" s="41"/>
      <c r="XT12" s="41"/>
      <c r="XU12" s="41"/>
      <c r="XV12" s="41"/>
      <c r="XW12" s="41"/>
      <c r="XX12" s="41"/>
      <c r="XY12" s="41"/>
      <c r="XZ12" s="41"/>
      <c r="YA12" s="41"/>
      <c r="YB12" s="41"/>
      <c r="YC12" s="41"/>
      <c r="YD12" s="41"/>
      <c r="YE12" s="41"/>
      <c r="YF12" s="41"/>
      <c r="YG12" s="41"/>
      <c r="YH12" s="41"/>
      <c r="YI12" s="41"/>
      <c r="YJ12" s="41"/>
      <c r="YK12" s="41"/>
      <c r="YL12" s="41"/>
      <c r="YM12" s="41"/>
      <c r="YN12" s="41"/>
      <c r="YO12" s="41"/>
      <c r="YP12" s="41"/>
      <c r="YQ12" s="41"/>
      <c r="YR12" s="41"/>
      <c r="YS12" s="41"/>
      <c r="YT12" s="41"/>
      <c r="YU12" s="41"/>
      <c r="YV12" s="41"/>
      <c r="YW12" s="41"/>
      <c r="YX12" s="41"/>
      <c r="YY12" s="41"/>
      <c r="YZ12" s="41"/>
      <c r="ZA12" s="41"/>
      <c r="ZB12" s="41"/>
      <c r="ZC12" s="41"/>
      <c r="ZD12" s="41"/>
      <c r="ZE12" s="41"/>
      <c r="ZF12" s="41"/>
      <c r="ZG12" s="41"/>
      <c r="ZH12" s="41"/>
      <c r="ZI12" s="41"/>
      <c r="ZJ12" s="41"/>
      <c r="ZK12" s="41"/>
      <c r="ZL12" s="41"/>
      <c r="ZM12" s="41"/>
      <c r="ZN12" s="41"/>
      <c r="ZO12" s="41"/>
      <c r="ZP12" s="41"/>
      <c r="ZQ12" s="41"/>
      <c r="ZR12" s="41"/>
      <c r="ZS12" s="41"/>
      <c r="ZT12" s="41"/>
      <c r="ZU12" s="41"/>
      <c r="ZV12" s="41"/>
      <c r="ZW12" s="41"/>
      <c r="ZX12" s="41"/>
      <c r="ZY12" s="41"/>
      <c r="ZZ12" s="41"/>
      <c r="AAA12" s="41"/>
      <c r="AAB12" s="41"/>
      <c r="AAC12" s="41"/>
      <c r="AAD12" s="41"/>
      <c r="AAE12" s="41"/>
      <c r="AAF12" s="41"/>
      <c r="AAG12" s="41"/>
      <c r="AAH12" s="41"/>
      <c r="AAI12" s="41"/>
      <c r="AAJ12" s="41"/>
      <c r="AAK12" s="41"/>
      <c r="AAL12" s="41"/>
      <c r="AAM12" s="41"/>
      <c r="AAN12" s="41"/>
      <c r="AAO12" s="41"/>
      <c r="AAP12" s="41"/>
      <c r="AAQ12" s="41"/>
      <c r="AAR12" s="41"/>
      <c r="AAS12" s="41"/>
      <c r="AAT12" s="41"/>
      <c r="AAU12" s="41"/>
      <c r="AAV12" s="41"/>
      <c r="AAW12" s="41"/>
      <c r="AAX12" s="41"/>
      <c r="AAY12" s="41"/>
      <c r="AAZ12" s="41"/>
      <c r="ABA12" s="41"/>
      <c r="ABB12" s="41"/>
      <c r="ABC12" s="41"/>
      <c r="ABD12" s="41"/>
      <c r="ABE12" s="41"/>
      <c r="ABF12" s="41"/>
      <c r="ABG12" s="41"/>
      <c r="ABH12" s="41"/>
      <c r="ABI12" s="41"/>
      <c r="ABJ12" s="41"/>
      <c r="ABK12" s="41"/>
      <c r="ABL12" s="41"/>
      <c r="ABM12" s="41"/>
      <c r="ABN12" s="41"/>
      <c r="ABO12" s="41"/>
      <c r="ABP12" s="41"/>
      <c r="ABQ12" s="41"/>
      <c r="ABR12" s="41"/>
      <c r="ABS12" s="41"/>
      <c r="ABT12" s="41"/>
      <c r="ABU12" s="41"/>
      <c r="ABV12" s="41"/>
      <c r="ABW12" s="41"/>
      <c r="ABX12" s="41"/>
      <c r="ABY12" s="41"/>
      <c r="ABZ12" s="41"/>
      <c r="ACA12" s="41"/>
      <c r="ACB12" s="41"/>
      <c r="ACC12" s="41"/>
      <c r="ACD12" s="41"/>
      <c r="ACE12" s="41"/>
      <c r="ACF12" s="41"/>
      <c r="ACG12" s="41"/>
      <c r="ACH12" s="41"/>
      <c r="ACI12" s="41"/>
      <c r="ACJ12" s="41"/>
      <c r="ACK12" s="41"/>
      <c r="ACL12" s="41"/>
      <c r="ACM12" s="41"/>
      <c r="ACN12" s="41"/>
      <c r="ACO12" s="41"/>
      <c r="ACP12" s="41"/>
      <c r="ACQ12" s="41"/>
      <c r="ACR12" s="41"/>
      <c r="ACS12" s="41"/>
      <c r="ACT12" s="41"/>
      <c r="ACU12" s="41"/>
      <c r="ACV12" s="41"/>
      <c r="ACW12" s="41"/>
      <c r="ACX12" s="41"/>
      <c r="ACY12" s="41"/>
      <c r="ACZ12" s="41"/>
      <c r="ADA12" s="41"/>
      <c r="ADB12" s="41"/>
      <c r="ADC12" s="41"/>
      <c r="ADD12" s="41"/>
      <c r="ADE12" s="41"/>
      <c r="ADF12" s="41"/>
      <c r="ADG12" s="41"/>
      <c r="ADH12" s="41"/>
      <c r="ADI12" s="41"/>
      <c r="ADJ12" s="41"/>
      <c r="ADK12" s="41"/>
      <c r="ADL12" s="41"/>
      <c r="ADM12" s="41"/>
      <c r="ADN12" s="41"/>
      <c r="ADO12" s="41"/>
      <c r="ADP12" s="41"/>
      <c r="ADQ12" s="41"/>
      <c r="ADR12" s="41"/>
      <c r="ADS12" s="41"/>
      <c r="ADT12" s="41"/>
      <c r="ADU12" s="41"/>
      <c r="ADV12" s="41"/>
      <c r="ADW12" s="41"/>
      <c r="ADX12" s="41"/>
      <c r="ADY12" s="41"/>
      <c r="ADZ12" s="41"/>
      <c r="AEA12" s="41"/>
      <c r="AEB12" s="41"/>
      <c r="AEC12" s="41"/>
      <c r="AED12" s="41"/>
      <c r="AEE12" s="41"/>
      <c r="AEF12" s="41"/>
      <c r="AEG12" s="41"/>
      <c r="AEH12" s="41"/>
      <c r="AEI12" s="41"/>
      <c r="AEJ12" s="41"/>
      <c r="AEK12" s="41"/>
      <c r="AEL12" s="41"/>
      <c r="AEM12" s="41"/>
      <c r="AEN12" s="41"/>
      <c r="AEO12" s="41"/>
      <c r="AEP12" s="41"/>
      <c r="AEQ12" s="41"/>
      <c r="AER12" s="41"/>
      <c r="AES12" s="41"/>
      <c r="AET12" s="41"/>
      <c r="AEU12" s="41"/>
      <c r="AEV12" s="41"/>
      <c r="AEW12" s="41"/>
      <c r="AEX12" s="41"/>
      <c r="AEY12" s="41"/>
      <c r="AEZ12" s="41"/>
      <c r="AFA12" s="41"/>
      <c r="AFB12" s="41"/>
      <c r="AFC12" s="41"/>
      <c r="AFD12" s="41"/>
      <c r="AFE12" s="41"/>
      <c r="AFF12" s="41"/>
      <c r="AFG12" s="41"/>
      <c r="AFH12" s="41"/>
      <c r="AFI12" s="41"/>
      <c r="AFJ12" s="41"/>
      <c r="AFK12" s="41"/>
      <c r="AFL12" s="41"/>
      <c r="AFM12" s="41"/>
      <c r="AFN12" s="41"/>
      <c r="AFO12" s="41"/>
      <c r="AFP12" s="41"/>
      <c r="AFQ12" s="41"/>
      <c r="AFR12" s="41"/>
      <c r="AFS12" s="41"/>
      <c r="AFT12" s="41"/>
      <c r="AFU12" s="41"/>
      <c r="AFV12" s="41"/>
      <c r="AFW12" s="41"/>
      <c r="AFX12" s="41"/>
      <c r="AFY12" s="41"/>
      <c r="AFZ12" s="41"/>
      <c r="AGA12" s="41"/>
      <c r="AGB12" s="41"/>
      <c r="AGC12" s="41"/>
      <c r="AGD12" s="41"/>
      <c r="AGE12" s="41"/>
      <c r="AGF12" s="41"/>
      <c r="AGG12" s="41"/>
      <c r="AGH12" s="41"/>
      <c r="AGI12" s="41"/>
      <c r="AGJ12" s="41"/>
      <c r="AGK12" s="41"/>
      <c r="AGL12" s="41"/>
      <c r="AGM12" s="41"/>
      <c r="AGN12" s="41"/>
      <c r="AGO12" s="41"/>
      <c r="AGP12" s="41"/>
      <c r="AGQ12" s="41"/>
      <c r="AGR12" s="41"/>
      <c r="AGS12" s="41"/>
      <c r="AGT12" s="41"/>
      <c r="AGU12" s="41"/>
      <c r="AGV12" s="41"/>
      <c r="AGW12" s="41"/>
      <c r="AGX12" s="41"/>
      <c r="AGY12" s="41"/>
      <c r="AGZ12" s="41"/>
      <c r="AHA12" s="41"/>
      <c r="AHB12" s="41"/>
      <c r="AHC12" s="41"/>
      <c r="AHD12" s="41"/>
      <c r="AHE12" s="41"/>
      <c r="AHF12" s="41"/>
      <c r="AHG12" s="41"/>
      <c r="AHH12" s="41"/>
      <c r="AHI12" s="41"/>
      <c r="AHJ12" s="41"/>
      <c r="AHK12" s="41"/>
      <c r="AHL12" s="41"/>
      <c r="AHM12" s="41"/>
      <c r="AHN12" s="41"/>
      <c r="AHO12" s="41"/>
      <c r="AHP12" s="41"/>
      <c r="AHQ12" s="41"/>
      <c r="AHR12" s="41"/>
      <c r="AHS12" s="41"/>
      <c r="AHT12" s="41"/>
      <c r="AHU12" s="41"/>
      <c r="AHV12" s="41"/>
      <c r="AHW12" s="41"/>
      <c r="AHX12" s="41"/>
      <c r="AHY12" s="41"/>
      <c r="AHZ12" s="41"/>
      <c r="AIA12" s="41"/>
      <c r="AIB12" s="41"/>
      <c r="AIC12" s="41"/>
      <c r="AID12" s="41"/>
      <c r="AIE12" s="41"/>
      <c r="AIF12" s="41"/>
      <c r="AIG12" s="41"/>
      <c r="AIH12" s="41"/>
      <c r="AII12" s="41"/>
      <c r="AIJ12" s="41"/>
      <c r="AIK12" s="41"/>
      <c r="AIL12" s="41"/>
      <c r="AIM12" s="41"/>
      <c r="AIN12" s="41"/>
      <c r="AIO12" s="41"/>
      <c r="AIP12" s="41"/>
      <c r="AIQ12" s="41"/>
      <c r="AIR12" s="41"/>
      <c r="AIS12" s="41"/>
      <c r="AIT12" s="41"/>
      <c r="AIU12" s="41"/>
      <c r="AIV12" s="41"/>
      <c r="AIW12" s="41"/>
      <c r="AIX12" s="41"/>
      <c r="AIY12" s="41"/>
      <c r="AIZ12" s="41"/>
      <c r="AJA12" s="41"/>
      <c r="AJB12" s="41"/>
      <c r="AJC12" s="41"/>
      <c r="AJD12" s="41"/>
      <c r="AJE12" s="41"/>
      <c r="AJF12" s="41"/>
      <c r="AJG12" s="41"/>
      <c r="AJH12" s="41"/>
      <c r="AJI12" s="41"/>
      <c r="AJJ12" s="41"/>
      <c r="AJK12" s="41"/>
      <c r="AJL12" s="41"/>
      <c r="AJM12" s="41"/>
      <c r="AJN12" s="41"/>
      <c r="AJO12" s="41"/>
      <c r="AJP12" s="41"/>
      <c r="AJQ12" s="41"/>
      <c r="AJR12" s="41"/>
      <c r="AJS12" s="41"/>
      <c r="AJT12" s="41"/>
      <c r="AJU12" s="41"/>
      <c r="AJV12" s="41"/>
      <c r="AJW12" s="41"/>
      <c r="AJX12" s="41"/>
      <c r="AJY12" s="41"/>
      <c r="AJZ12" s="41"/>
      <c r="AKA12" s="41"/>
      <c r="AKB12" s="41"/>
      <c r="AKC12" s="41"/>
      <c r="AKD12" s="41"/>
      <c r="AKE12" s="41"/>
      <c r="AKF12" s="41"/>
      <c r="AKG12" s="41"/>
      <c r="AKH12" s="41"/>
      <c r="AKI12" s="41"/>
      <c r="AKJ12" s="41"/>
      <c r="AKK12" s="41"/>
      <c r="AKL12" s="41"/>
      <c r="AKM12" s="41"/>
      <c r="AKN12" s="41"/>
      <c r="AKO12" s="41"/>
      <c r="AKP12" s="41"/>
      <c r="AKQ12" s="41"/>
      <c r="AKR12" s="41"/>
      <c r="AKS12" s="41"/>
      <c r="AKT12" s="41"/>
      <c r="AKU12" s="41"/>
      <c r="AKV12" s="41"/>
      <c r="AKW12" s="41"/>
      <c r="AKX12" s="41"/>
      <c r="AKY12" s="41"/>
      <c r="AKZ12" s="41"/>
      <c r="ALA12" s="41"/>
      <c r="ALB12" s="41"/>
      <c r="ALC12" s="41"/>
      <c r="ALD12" s="41"/>
      <c r="ALE12" s="41"/>
      <c r="ALF12" s="41"/>
      <c r="ALG12" s="41"/>
      <c r="ALH12" s="41"/>
      <c r="ALI12" s="41"/>
      <c r="ALJ12" s="41"/>
      <c r="ALK12" s="41"/>
      <c r="ALL12" s="41"/>
      <c r="ALM12" s="41"/>
      <c r="ALN12" s="41"/>
      <c r="ALO12" s="41"/>
      <c r="ALP12" s="41"/>
      <c r="ALQ12" s="41"/>
      <c r="ALR12" s="41"/>
      <c r="ALS12" s="41"/>
      <c r="ALT12" s="41"/>
      <c r="ALU12" s="41"/>
      <c r="ALV12" s="41"/>
      <c r="ALW12" s="41"/>
      <c r="ALX12" s="41"/>
      <c r="ALY12" s="41"/>
      <c r="ALZ12" s="41"/>
      <c r="AMA12" s="41"/>
      <c r="AMB12" s="41"/>
      <c r="AMC12" s="41"/>
      <c r="AMD12" s="41"/>
      <c r="AME12" s="41"/>
      <c r="AMF12" s="41"/>
      <c r="AMG12" s="41"/>
      <c r="AMH12" s="41"/>
      <c r="AMI12" s="41"/>
      <c r="AMJ12" s="41"/>
      <c r="AMK12" s="41"/>
      <c r="AML12" s="4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  <c r="AMK13" s="41"/>
      <c r="AML13" s="4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41"/>
      <c r="JQ14" s="4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1"/>
      <c r="KR14" s="41"/>
      <c r="KS14" s="41"/>
      <c r="KT14" s="41"/>
      <c r="KU14" s="41"/>
      <c r="KV14" s="41"/>
      <c r="KW14" s="41"/>
      <c r="KX14" s="41"/>
      <c r="KY14" s="41"/>
      <c r="KZ14" s="41"/>
      <c r="LA14" s="41"/>
      <c r="LB14" s="41"/>
      <c r="LC14" s="41"/>
      <c r="LD14" s="41"/>
      <c r="LE14" s="41"/>
      <c r="LF14" s="41"/>
      <c r="LG14" s="41"/>
      <c r="LH14" s="41"/>
      <c r="LI14" s="41"/>
      <c r="LJ14" s="41"/>
      <c r="LK14" s="41"/>
      <c r="LL14" s="41"/>
      <c r="LM14" s="41"/>
      <c r="LN14" s="41"/>
      <c r="LO14" s="41"/>
      <c r="LP14" s="41"/>
      <c r="LQ14" s="41"/>
      <c r="LR14" s="41"/>
      <c r="LS14" s="41"/>
      <c r="LT14" s="41"/>
      <c r="LU14" s="41"/>
      <c r="LV14" s="41"/>
      <c r="LW14" s="41"/>
      <c r="LX14" s="41"/>
      <c r="LY14" s="41"/>
      <c r="LZ14" s="41"/>
      <c r="MA14" s="41"/>
      <c r="MB14" s="41"/>
      <c r="MC14" s="41"/>
      <c r="MD14" s="41"/>
      <c r="ME14" s="41"/>
      <c r="MF14" s="41"/>
      <c r="MG14" s="41"/>
      <c r="MH14" s="41"/>
      <c r="MI14" s="41"/>
      <c r="MJ14" s="41"/>
      <c r="MK14" s="41"/>
      <c r="ML14" s="41"/>
      <c r="MM14" s="41"/>
      <c r="MN14" s="41"/>
      <c r="MO14" s="41"/>
      <c r="MP14" s="41"/>
      <c r="MQ14" s="41"/>
      <c r="MR14" s="41"/>
      <c r="MS14" s="41"/>
      <c r="MT14" s="41"/>
      <c r="MU14" s="41"/>
      <c r="MV14" s="41"/>
      <c r="MW14" s="41"/>
      <c r="MX14" s="41"/>
      <c r="MY14" s="41"/>
      <c r="MZ14" s="41"/>
      <c r="NA14" s="41"/>
      <c r="NB14" s="41"/>
      <c r="NC14" s="41"/>
      <c r="ND14" s="41"/>
      <c r="NE14" s="41"/>
      <c r="NF14" s="41"/>
      <c r="NG14" s="41"/>
      <c r="NH14" s="41"/>
      <c r="NI14" s="41"/>
      <c r="NJ14" s="41"/>
      <c r="NK14" s="41"/>
      <c r="NL14" s="41"/>
      <c r="NM14" s="41"/>
      <c r="NN14" s="41"/>
      <c r="NO14" s="41"/>
      <c r="NP14" s="41"/>
      <c r="NQ14" s="41"/>
      <c r="NR14" s="41"/>
      <c r="NS14" s="41"/>
      <c r="NT14" s="41"/>
      <c r="NU14" s="41"/>
      <c r="NV14" s="41"/>
      <c r="NW14" s="41"/>
      <c r="NX14" s="41"/>
      <c r="NY14" s="41"/>
      <c r="NZ14" s="41"/>
      <c r="OA14" s="41"/>
      <c r="OB14" s="41"/>
      <c r="OC14" s="41"/>
      <c r="OD14" s="41"/>
      <c r="OE14" s="41"/>
      <c r="OF14" s="41"/>
      <c r="OG14" s="41"/>
      <c r="OH14" s="41"/>
      <c r="OI14" s="41"/>
      <c r="OJ14" s="41"/>
      <c r="OK14" s="41"/>
      <c r="OL14" s="41"/>
      <c r="OM14" s="41"/>
      <c r="ON14" s="41"/>
      <c r="OO14" s="41"/>
      <c r="OP14" s="41"/>
      <c r="OQ14" s="41"/>
      <c r="OR14" s="41"/>
      <c r="OS14" s="41"/>
      <c r="OT14" s="41"/>
      <c r="OU14" s="41"/>
      <c r="OV14" s="41"/>
      <c r="OW14" s="41"/>
      <c r="OX14" s="41"/>
      <c r="OY14" s="41"/>
      <c r="OZ14" s="41"/>
      <c r="PA14" s="41"/>
      <c r="PB14" s="41"/>
      <c r="PC14" s="41"/>
      <c r="PD14" s="41"/>
      <c r="PE14" s="41"/>
      <c r="PF14" s="41"/>
      <c r="PG14" s="41"/>
      <c r="PH14" s="41"/>
      <c r="PI14" s="41"/>
      <c r="PJ14" s="41"/>
      <c r="PK14" s="41"/>
      <c r="PL14" s="41"/>
      <c r="PM14" s="41"/>
      <c r="PN14" s="41"/>
      <c r="PO14" s="41"/>
      <c r="PP14" s="41"/>
      <c r="PQ14" s="41"/>
      <c r="PR14" s="41"/>
      <c r="PS14" s="41"/>
      <c r="PT14" s="41"/>
      <c r="PU14" s="41"/>
      <c r="PV14" s="41"/>
      <c r="PW14" s="41"/>
      <c r="PX14" s="41"/>
      <c r="PY14" s="41"/>
      <c r="PZ14" s="41"/>
      <c r="QA14" s="41"/>
      <c r="QB14" s="41"/>
      <c r="QC14" s="41"/>
      <c r="QD14" s="41"/>
      <c r="QE14" s="41"/>
      <c r="QF14" s="41"/>
      <c r="QG14" s="41"/>
      <c r="QH14" s="41"/>
      <c r="QI14" s="41"/>
      <c r="QJ14" s="41"/>
      <c r="QK14" s="41"/>
      <c r="QL14" s="41"/>
      <c r="QM14" s="41"/>
      <c r="QN14" s="41"/>
      <c r="QO14" s="41"/>
      <c r="QP14" s="41"/>
      <c r="QQ14" s="41"/>
      <c r="QR14" s="41"/>
      <c r="QS14" s="41"/>
      <c r="QT14" s="41"/>
      <c r="QU14" s="41"/>
      <c r="QV14" s="41"/>
      <c r="QW14" s="41"/>
      <c r="QX14" s="41"/>
      <c r="QY14" s="41"/>
      <c r="QZ14" s="41"/>
      <c r="RA14" s="41"/>
      <c r="RB14" s="41"/>
      <c r="RC14" s="41"/>
      <c r="RD14" s="41"/>
      <c r="RE14" s="41"/>
      <c r="RF14" s="41"/>
      <c r="RG14" s="41"/>
      <c r="RH14" s="41"/>
      <c r="RI14" s="41"/>
      <c r="RJ14" s="41"/>
      <c r="RK14" s="41"/>
      <c r="RL14" s="41"/>
      <c r="RM14" s="41"/>
      <c r="RN14" s="41"/>
      <c r="RO14" s="41"/>
      <c r="RP14" s="41"/>
      <c r="RQ14" s="41"/>
      <c r="RR14" s="41"/>
      <c r="RS14" s="41"/>
      <c r="RT14" s="41"/>
      <c r="RU14" s="41"/>
      <c r="RV14" s="41"/>
      <c r="RW14" s="41"/>
      <c r="RX14" s="41"/>
      <c r="RY14" s="41"/>
      <c r="RZ14" s="41"/>
      <c r="SA14" s="41"/>
      <c r="SB14" s="41"/>
      <c r="SC14" s="41"/>
      <c r="SD14" s="41"/>
      <c r="SE14" s="41"/>
      <c r="SF14" s="41"/>
      <c r="SG14" s="41"/>
      <c r="SH14" s="41"/>
      <c r="SI14" s="41"/>
      <c r="SJ14" s="41"/>
      <c r="SK14" s="41"/>
      <c r="SL14" s="41"/>
      <c r="SM14" s="41"/>
      <c r="SN14" s="41"/>
      <c r="SO14" s="41"/>
      <c r="SP14" s="41"/>
      <c r="SQ14" s="41"/>
      <c r="SR14" s="41"/>
      <c r="SS14" s="41"/>
      <c r="ST14" s="41"/>
      <c r="SU14" s="41"/>
      <c r="SV14" s="41"/>
      <c r="SW14" s="41"/>
      <c r="SX14" s="41"/>
      <c r="SY14" s="41"/>
      <c r="SZ14" s="41"/>
      <c r="TA14" s="41"/>
      <c r="TB14" s="41"/>
      <c r="TC14" s="41"/>
      <c r="TD14" s="41"/>
      <c r="TE14" s="41"/>
      <c r="TF14" s="41"/>
      <c r="TG14" s="41"/>
      <c r="TH14" s="41"/>
      <c r="TI14" s="41"/>
      <c r="TJ14" s="41"/>
      <c r="TK14" s="41"/>
      <c r="TL14" s="41"/>
      <c r="TM14" s="41"/>
      <c r="TN14" s="41"/>
      <c r="TO14" s="41"/>
      <c r="TP14" s="41"/>
      <c r="TQ14" s="41"/>
      <c r="TR14" s="41"/>
      <c r="TS14" s="41"/>
      <c r="TT14" s="41"/>
      <c r="TU14" s="41"/>
      <c r="TV14" s="41"/>
      <c r="TW14" s="41"/>
      <c r="TX14" s="41"/>
      <c r="TY14" s="41"/>
      <c r="TZ14" s="41"/>
      <c r="UA14" s="41"/>
      <c r="UB14" s="41"/>
      <c r="UC14" s="41"/>
      <c r="UD14" s="41"/>
      <c r="UE14" s="41"/>
      <c r="UF14" s="41"/>
      <c r="UG14" s="41"/>
      <c r="UH14" s="41"/>
      <c r="UI14" s="41"/>
      <c r="UJ14" s="41"/>
      <c r="UK14" s="41"/>
      <c r="UL14" s="41"/>
      <c r="UM14" s="41"/>
      <c r="UN14" s="41"/>
      <c r="UO14" s="41"/>
      <c r="UP14" s="41"/>
      <c r="UQ14" s="41"/>
      <c r="UR14" s="41"/>
      <c r="US14" s="41"/>
      <c r="UT14" s="41"/>
      <c r="UU14" s="41"/>
      <c r="UV14" s="41"/>
      <c r="UW14" s="41"/>
      <c r="UX14" s="41"/>
      <c r="UY14" s="41"/>
      <c r="UZ14" s="41"/>
      <c r="VA14" s="41"/>
      <c r="VB14" s="41"/>
      <c r="VC14" s="41"/>
      <c r="VD14" s="41"/>
      <c r="VE14" s="41"/>
      <c r="VF14" s="41"/>
      <c r="VG14" s="41"/>
      <c r="VH14" s="41"/>
      <c r="VI14" s="41"/>
      <c r="VJ14" s="41"/>
      <c r="VK14" s="41"/>
      <c r="VL14" s="41"/>
      <c r="VM14" s="41"/>
      <c r="VN14" s="41"/>
      <c r="VO14" s="41"/>
      <c r="VP14" s="41"/>
      <c r="VQ14" s="41"/>
      <c r="VR14" s="41"/>
      <c r="VS14" s="41"/>
      <c r="VT14" s="41"/>
      <c r="VU14" s="41"/>
      <c r="VV14" s="41"/>
      <c r="VW14" s="41"/>
      <c r="VX14" s="41"/>
      <c r="VY14" s="41"/>
      <c r="VZ14" s="41"/>
      <c r="WA14" s="41"/>
      <c r="WB14" s="41"/>
      <c r="WC14" s="41"/>
      <c r="WD14" s="41"/>
      <c r="WE14" s="41"/>
      <c r="WF14" s="41"/>
      <c r="WG14" s="41"/>
      <c r="WH14" s="41"/>
      <c r="WI14" s="41"/>
      <c r="WJ14" s="41"/>
      <c r="WK14" s="41"/>
      <c r="WL14" s="41"/>
      <c r="WM14" s="41"/>
      <c r="WN14" s="41"/>
      <c r="WO14" s="41"/>
      <c r="WP14" s="41"/>
      <c r="WQ14" s="41"/>
      <c r="WR14" s="41"/>
      <c r="WS14" s="41"/>
      <c r="WT14" s="41"/>
      <c r="WU14" s="41"/>
      <c r="WV14" s="41"/>
      <c r="WW14" s="41"/>
      <c r="WX14" s="41"/>
      <c r="WY14" s="41"/>
      <c r="WZ14" s="41"/>
      <c r="XA14" s="41"/>
      <c r="XB14" s="41"/>
      <c r="XC14" s="41"/>
      <c r="XD14" s="41"/>
      <c r="XE14" s="41"/>
      <c r="XF14" s="41"/>
      <c r="XG14" s="41"/>
      <c r="XH14" s="41"/>
      <c r="XI14" s="41"/>
      <c r="XJ14" s="41"/>
      <c r="XK14" s="41"/>
      <c r="XL14" s="41"/>
      <c r="XM14" s="41"/>
      <c r="XN14" s="41"/>
      <c r="XO14" s="41"/>
      <c r="XP14" s="41"/>
      <c r="XQ14" s="41"/>
      <c r="XR14" s="41"/>
      <c r="XS14" s="41"/>
      <c r="XT14" s="41"/>
      <c r="XU14" s="41"/>
      <c r="XV14" s="41"/>
      <c r="XW14" s="41"/>
      <c r="XX14" s="41"/>
      <c r="XY14" s="41"/>
      <c r="XZ14" s="41"/>
      <c r="YA14" s="41"/>
      <c r="YB14" s="41"/>
      <c r="YC14" s="41"/>
      <c r="YD14" s="41"/>
      <c r="YE14" s="41"/>
      <c r="YF14" s="41"/>
      <c r="YG14" s="41"/>
      <c r="YH14" s="41"/>
      <c r="YI14" s="41"/>
      <c r="YJ14" s="41"/>
      <c r="YK14" s="41"/>
      <c r="YL14" s="41"/>
      <c r="YM14" s="41"/>
      <c r="YN14" s="41"/>
      <c r="YO14" s="41"/>
      <c r="YP14" s="41"/>
      <c r="YQ14" s="41"/>
      <c r="YR14" s="41"/>
      <c r="YS14" s="41"/>
      <c r="YT14" s="41"/>
      <c r="YU14" s="41"/>
      <c r="YV14" s="41"/>
      <c r="YW14" s="41"/>
      <c r="YX14" s="41"/>
      <c r="YY14" s="41"/>
      <c r="YZ14" s="41"/>
      <c r="ZA14" s="41"/>
      <c r="ZB14" s="41"/>
      <c r="ZC14" s="41"/>
      <c r="ZD14" s="41"/>
      <c r="ZE14" s="41"/>
      <c r="ZF14" s="41"/>
      <c r="ZG14" s="41"/>
      <c r="ZH14" s="41"/>
      <c r="ZI14" s="41"/>
      <c r="ZJ14" s="41"/>
      <c r="ZK14" s="41"/>
      <c r="ZL14" s="41"/>
      <c r="ZM14" s="41"/>
      <c r="ZN14" s="41"/>
      <c r="ZO14" s="41"/>
      <c r="ZP14" s="41"/>
      <c r="ZQ14" s="41"/>
      <c r="ZR14" s="41"/>
      <c r="ZS14" s="41"/>
      <c r="ZT14" s="41"/>
      <c r="ZU14" s="41"/>
      <c r="ZV14" s="41"/>
      <c r="ZW14" s="41"/>
      <c r="ZX14" s="41"/>
      <c r="ZY14" s="41"/>
      <c r="ZZ14" s="41"/>
      <c r="AAA14" s="41"/>
      <c r="AAB14" s="41"/>
      <c r="AAC14" s="41"/>
      <c r="AAD14" s="41"/>
      <c r="AAE14" s="41"/>
      <c r="AAF14" s="41"/>
      <c r="AAG14" s="41"/>
      <c r="AAH14" s="41"/>
      <c r="AAI14" s="41"/>
      <c r="AAJ14" s="41"/>
      <c r="AAK14" s="41"/>
      <c r="AAL14" s="41"/>
      <c r="AAM14" s="41"/>
      <c r="AAN14" s="41"/>
      <c r="AAO14" s="41"/>
      <c r="AAP14" s="41"/>
      <c r="AAQ14" s="41"/>
      <c r="AAR14" s="41"/>
      <c r="AAS14" s="41"/>
      <c r="AAT14" s="41"/>
      <c r="AAU14" s="41"/>
      <c r="AAV14" s="41"/>
      <c r="AAW14" s="41"/>
      <c r="AAX14" s="41"/>
      <c r="AAY14" s="41"/>
      <c r="AAZ14" s="41"/>
      <c r="ABA14" s="41"/>
      <c r="ABB14" s="41"/>
      <c r="ABC14" s="41"/>
      <c r="ABD14" s="41"/>
      <c r="ABE14" s="41"/>
      <c r="ABF14" s="41"/>
      <c r="ABG14" s="41"/>
      <c r="ABH14" s="41"/>
      <c r="ABI14" s="41"/>
      <c r="ABJ14" s="41"/>
      <c r="ABK14" s="41"/>
      <c r="ABL14" s="41"/>
      <c r="ABM14" s="41"/>
      <c r="ABN14" s="41"/>
      <c r="ABO14" s="41"/>
      <c r="ABP14" s="41"/>
      <c r="ABQ14" s="41"/>
      <c r="ABR14" s="41"/>
      <c r="ABS14" s="41"/>
      <c r="ABT14" s="41"/>
      <c r="ABU14" s="41"/>
      <c r="ABV14" s="41"/>
      <c r="ABW14" s="41"/>
      <c r="ABX14" s="41"/>
      <c r="ABY14" s="41"/>
      <c r="ABZ14" s="41"/>
      <c r="ACA14" s="41"/>
      <c r="ACB14" s="41"/>
      <c r="ACC14" s="41"/>
      <c r="ACD14" s="41"/>
      <c r="ACE14" s="41"/>
      <c r="ACF14" s="41"/>
      <c r="ACG14" s="41"/>
      <c r="ACH14" s="41"/>
      <c r="ACI14" s="41"/>
      <c r="ACJ14" s="41"/>
      <c r="ACK14" s="41"/>
      <c r="ACL14" s="41"/>
      <c r="ACM14" s="41"/>
      <c r="ACN14" s="41"/>
      <c r="ACO14" s="41"/>
      <c r="ACP14" s="41"/>
      <c r="ACQ14" s="41"/>
      <c r="ACR14" s="41"/>
      <c r="ACS14" s="41"/>
      <c r="ACT14" s="41"/>
      <c r="ACU14" s="41"/>
      <c r="ACV14" s="41"/>
      <c r="ACW14" s="41"/>
      <c r="ACX14" s="41"/>
      <c r="ACY14" s="41"/>
      <c r="ACZ14" s="41"/>
      <c r="ADA14" s="41"/>
      <c r="ADB14" s="41"/>
      <c r="ADC14" s="41"/>
      <c r="ADD14" s="41"/>
      <c r="ADE14" s="41"/>
      <c r="ADF14" s="41"/>
      <c r="ADG14" s="41"/>
      <c r="ADH14" s="41"/>
      <c r="ADI14" s="41"/>
      <c r="ADJ14" s="41"/>
      <c r="ADK14" s="41"/>
      <c r="ADL14" s="41"/>
      <c r="ADM14" s="41"/>
      <c r="ADN14" s="41"/>
      <c r="ADO14" s="41"/>
      <c r="ADP14" s="41"/>
      <c r="ADQ14" s="41"/>
      <c r="ADR14" s="41"/>
      <c r="ADS14" s="41"/>
      <c r="ADT14" s="41"/>
      <c r="ADU14" s="41"/>
      <c r="ADV14" s="41"/>
      <c r="ADW14" s="41"/>
      <c r="ADX14" s="41"/>
      <c r="ADY14" s="41"/>
      <c r="ADZ14" s="41"/>
      <c r="AEA14" s="41"/>
      <c r="AEB14" s="41"/>
      <c r="AEC14" s="41"/>
      <c r="AED14" s="41"/>
      <c r="AEE14" s="41"/>
      <c r="AEF14" s="41"/>
      <c r="AEG14" s="41"/>
      <c r="AEH14" s="41"/>
      <c r="AEI14" s="41"/>
      <c r="AEJ14" s="41"/>
      <c r="AEK14" s="41"/>
      <c r="AEL14" s="41"/>
      <c r="AEM14" s="41"/>
      <c r="AEN14" s="41"/>
      <c r="AEO14" s="41"/>
      <c r="AEP14" s="41"/>
      <c r="AEQ14" s="41"/>
      <c r="AER14" s="41"/>
      <c r="AES14" s="41"/>
      <c r="AET14" s="41"/>
      <c r="AEU14" s="41"/>
      <c r="AEV14" s="41"/>
      <c r="AEW14" s="41"/>
      <c r="AEX14" s="41"/>
      <c r="AEY14" s="41"/>
      <c r="AEZ14" s="41"/>
      <c r="AFA14" s="41"/>
      <c r="AFB14" s="41"/>
      <c r="AFC14" s="41"/>
      <c r="AFD14" s="41"/>
      <c r="AFE14" s="41"/>
      <c r="AFF14" s="41"/>
      <c r="AFG14" s="41"/>
      <c r="AFH14" s="41"/>
      <c r="AFI14" s="41"/>
      <c r="AFJ14" s="41"/>
      <c r="AFK14" s="41"/>
      <c r="AFL14" s="41"/>
      <c r="AFM14" s="41"/>
      <c r="AFN14" s="41"/>
      <c r="AFO14" s="41"/>
      <c r="AFP14" s="41"/>
      <c r="AFQ14" s="41"/>
      <c r="AFR14" s="41"/>
      <c r="AFS14" s="41"/>
      <c r="AFT14" s="41"/>
      <c r="AFU14" s="41"/>
      <c r="AFV14" s="41"/>
      <c r="AFW14" s="41"/>
      <c r="AFX14" s="41"/>
      <c r="AFY14" s="41"/>
      <c r="AFZ14" s="41"/>
      <c r="AGA14" s="41"/>
      <c r="AGB14" s="41"/>
      <c r="AGC14" s="41"/>
      <c r="AGD14" s="41"/>
      <c r="AGE14" s="41"/>
      <c r="AGF14" s="41"/>
      <c r="AGG14" s="41"/>
      <c r="AGH14" s="41"/>
      <c r="AGI14" s="41"/>
      <c r="AGJ14" s="41"/>
      <c r="AGK14" s="41"/>
      <c r="AGL14" s="41"/>
      <c r="AGM14" s="41"/>
      <c r="AGN14" s="41"/>
      <c r="AGO14" s="41"/>
      <c r="AGP14" s="41"/>
      <c r="AGQ14" s="41"/>
      <c r="AGR14" s="41"/>
      <c r="AGS14" s="41"/>
      <c r="AGT14" s="41"/>
      <c r="AGU14" s="41"/>
      <c r="AGV14" s="41"/>
      <c r="AGW14" s="41"/>
      <c r="AGX14" s="41"/>
      <c r="AGY14" s="41"/>
      <c r="AGZ14" s="41"/>
      <c r="AHA14" s="41"/>
      <c r="AHB14" s="41"/>
      <c r="AHC14" s="41"/>
      <c r="AHD14" s="41"/>
      <c r="AHE14" s="41"/>
      <c r="AHF14" s="41"/>
      <c r="AHG14" s="41"/>
      <c r="AHH14" s="41"/>
      <c r="AHI14" s="41"/>
      <c r="AHJ14" s="41"/>
      <c r="AHK14" s="41"/>
      <c r="AHL14" s="41"/>
      <c r="AHM14" s="41"/>
      <c r="AHN14" s="41"/>
      <c r="AHO14" s="41"/>
      <c r="AHP14" s="41"/>
      <c r="AHQ14" s="41"/>
      <c r="AHR14" s="41"/>
      <c r="AHS14" s="41"/>
      <c r="AHT14" s="41"/>
      <c r="AHU14" s="41"/>
      <c r="AHV14" s="41"/>
      <c r="AHW14" s="41"/>
      <c r="AHX14" s="41"/>
      <c r="AHY14" s="41"/>
      <c r="AHZ14" s="41"/>
      <c r="AIA14" s="41"/>
      <c r="AIB14" s="41"/>
      <c r="AIC14" s="41"/>
      <c r="AID14" s="41"/>
      <c r="AIE14" s="41"/>
      <c r="AIF14" s="41"/>
      <c r="AIG14" s="41"/>
      <c r="AIH14" s="41"/>
      <c r="AII14" s="41"/>
      <c r="AIJ14" s="41"/>
      <c r="AIK14" s="41"/>
      <c r="AIL14" s="41"/>
      <c r="AIM14" s="41"/>
      <c r="AIN14" s="41"/>
      <c r="AIO14" s="41"/>
      <c r="AIP14" s="41"/>
      <c r="AIQ14" s="41"/>
      <c r="AIR14" s="41"/>
      <c r="AIS14" s="41"/>
      <c r="AIT14" s="41"/>
      <c r="AIU14" s="41"/>
      <c r="AIV14" s="41"/>
      <c r="AIW14" s="41"/>
      <c r="AIX14" s="41"/>
      <c r="AIY14" s="41"/>
      <c r="AIZ14" s="41"/>
      <c r="AJA14" s="41"/>
      <c r="AJB14" s="41"/>
      <c r="AJC14" s="41"/>
      <c r="AJD14" s="41"/>
      <c r="AJE14" s="41"/>
      <c r="AJF14" s="41"/>
      <c r="AJG14" s="41"/>
      <c r="AJH14" s="41"/>
      <c r="AJI14" s="41"/>
      <c r="AJJ14" s="41"/>
      <c r="AJK14" s="41"/>
      <c r="AJL14" s="41"/>
      <c r="AJM14" s="41"/>
      <c r="AJN14" s="41"/>
      <c r="AJO14" s="41"/>
      <c r="AJP14" s="41"/>
      <c r="AJQ14" s="41"/>
      <c r="AJR14" s="41"/>
      <c r="AJS14" s="41"/>
      <c r="AJT14" s="41"/>
      <c r="AJU14" s="41"/>
      <c r="AJV14" s="41"/>
      <c r="AJW14" s="41"/>
      <c r="AJX14" s="41"/>
      <c r="AJY14" s="41"/>
      <c r="AJZ14" s="41"/>
      <c r="AKA14" s="41"/>
      <c r="AKB14" s="41"/>
      <c r="AKC14" s="41"/>
      <c r="AKD14" s="41"/>
      <c r="AKE14" s="41"/>
      <c r="AKF14" s="41"/>
      <c r="AKG14" s="41"/>
      <c r="AKH14" s="41"/>
      <c r="AKI14" s="41"/>
      <c r="AKJ14" s="41"/>
      <c r="AKK14" s="41"/>
      <c r="AKL14" s="41"/>
      <c r="AKM14" s="41"/>
      <c r="AKN14" s="41"/>
      <c r="AKO14" s="41"/>
      <c r="AKP14" s="41"/>
      <c r="AKQ14" s="41"/>
      <c r="AKR14" s="41"/>
      <c r="AKS14" s="41"/>
      <c r="AKT14" s="41"/>
      <c r="AKU14" s="41"/>
      <c r="AKV14" s="41"/>
      <c r="AKW14" s="41"/>
      <c r="AKX14" s="41"/>
      <c r="AKY14" s="41"/>
      <c r="AKZ14" s="41"/>
      <c r="ALA14" s="41"/>
      <c r="ALB14" s="41"/>
      <c r="ALC14" s="41"/>
      <c r="ALD14" s="41"/>
      <c r="ALE14" s="41"/>
      <c r="ALF14" s="41"/>
      <c r="ALG14" s="41"/>
      <c r="ALH14" s="41"/>
      <c r="ALI14" s="41"/>
      <c r="ALJ14" s="41"/>
      <c r="ALK14" s="41"/>
      <c r="ALL14" s="41"/>
      <c r="ALM14" s="41"/>
      <c r="ALN14" s="41"/>
      <c r="ALO14" s="41"/>
      <c r="ALP14" s="41"/>
      <c r="ALQ14" s="41"/>
      <c r="ALR14" s="41"/>
      <c r="ALS14" s="41"/>
      <c r="ALT14" s="41"/>
      <c r="ALU14" s="41"/>
      <c r="ALV14" s="41"/>
      <c r="ALW14" s="41"/>
      <c r="ALX14" s="41"/>
      <c r="ALY14" s="41"/>
      <c r="ALZ14" s="41"/>
      <c r="AMA14" s="41"/>
      <c r="AMB14" s="41"/>
      <c r="AMC14" s="41"/>
      <c r="AMD14" s="41"/>
      <c r="AME14" s="41"/>
      <c r="AMF14" s="41"/>
      <c r="AMG14" s="41"/>
      <c r="AMH14" s="41"/>
      <c r="AMI14" s="41"/>
      <c r="AMJ14" s="41"/>
      <c r="AMK14" s="41"/>
      <c r="AML14" s="41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41"/>
      <c r="IP15" s="41"/>
      <c r="IQ15" s="41"/>
      <c r="IR15" s="41"/>
      <c r="IS15" s="41"/>
      <c r="IT15" s="41"/>
      <c r="IU15" s="41"/>
      <c r="IV15" s="41"/>
      <c r="IW15" s="41"/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41"/>
      <c r="KR15" s="41"/>
      <c r="KS15" s="41"/>
      <c r="KT15" s="41"/>
      <c r="KU15" s="41"/>
      <c r="KV15" s="41"/>
      <c r="KW15" s="41"/>
      <c r="KX15" s="41"/>
      <c r="KY15" s="41"/>
      <c r="KZ15" s="41"/>
      <c r="LA15" s="41"/>
      <c r="LB15" s="41"/>
      <c r="LC15" s="41"/>
      <c r="LD15" s="41"/>
      <c r="LE15" s="41"/>
      <c r="LF15" s="41"/>
      <c r="LG15" s="41"/>
      <c r="LH15" s="41"/>
      <c r="LI15" s="41"/>
      <c r="LJ15" s="41"/>
      <c r="LK15" s="41"/>
      <c r="LL15" s="41"/>
      <c r="LM15" s="41"/>
      <c r="LN15" s="41"/>
      <c r="LO15" s="41"/>
      <c r="LP15" s="41"/>
      <c r="LQ15" s="41"/>
      <c r="LR15" s="41"/>
      <c r="LS15" s="41"/>
      <c r="LT15" s="41"/>
      <c r="LU15" s="41"/>
      <c r="LV15" s="41"/>
      <c r="LW15" s="41"/>
      <c r="LX15" s="41"/>
      <c r="LY15" s="41"/>
      <c r="LZ15" s="41"/>
      <c r="MA15" s="41"/>
      <c r="MB15" s="41"/>
      <c r="MC15" s="41"/>
      <c r="MD15" s="41"/>
      <c r="ME15" s="41"/>
      <c r="MF15" s="41"/>
      <c r="MG15" s="41"/>
      <c r="MH15" s="41"/>
      <c r="MI15" s="41"/>
      <c r="MJ15" s="41"/>
      <c r="MK15" s="41"/>
      <c r="ML15" s="41"/>
      <c r="MM15" s="41"/>
      <c r="MN15" s="41"/>
      <c r="MO15" s="41"/>
      <c r="MP15" s="41"/>
      <c r="MQ15" s="41"/>
      <c r="MR15" s="41"/>
      <c r="MS15" s="41"/>
      <c r="MT15" s="41"/>
      <c r="MU15" s="41"/>
      <c r="MV15" s="41"/>
      <c r="MW15" s="41"/>
      <c r="MX15" s="41"/>
      <c r="MY15" s="41"/>
      <c r="MZ15" s="41"/>
      <c r="NA15" s="41"/>
      <c r="NB15" s="41"/>
      <c r="NC15" s="41"/>
      <c r="ND15" s="41"/>
      <c r="NE15" s="41"/>
      <c r="NF15" s="41"/>
      <c r="NG15" s="41"/>
      <c r="NH15" s="41"/>
      <c r="NI15" s="41"/>
      <c r="NJ15" s="41"/>
      <c r="NK15" s="41"/>
      <c r="NL15" s="41"/>
      <c r="NM15" s="41"/>
      <c r="NN15" s="41"/>
      <c r="NO15" s="41"/>
      <c r="NP15" s="41"/>
      <c r="NQ15" s="41"/>
      <c r="NR15" s="41"/>
      <c r="NS15" s="41"/>
      <c r="NT15" s="41"/>
      <c r="NU15" s="41"/>
      <c r="NV15" s="41"/>
      <c r="NW15" s="41"/>
      <c r="NX15" s="41"/>
      <c r="NY15" s="41"/>
      <c r="NZ15" s="41"/>
      <c r="OA15" s="41"/>
      <c r="OB15" s="41"/>
      <c r="OC15" s="41"/>
      <c r="OD15" s="41"/>
      <c r="OE15" s="41"/>
      <c r="OF15" s="41"/>
      <c r="OG15" s="41"/>
      <c r="OH15" s="41"/>
      <c r="OI15" s="41"/>
      <c r="OJ15" s="41"/>
      <c r="OK15" s="41"/>
      <c r="OL15" s="41"/>
      <c r="OM15" s="41"/>
      <c r="ON15" s="41"/>
      <c r="OO15" s="41"/>
      <c r="OP15" s="41"/>
      <c r="OQ15" s="41"/>
      <c r="OR15" s="41"/>
      <c r="OS15" s="41"/>
      <c r="OT15" s="41"/>
      <c r="OU15" s="41"/>
      <c r="OV15" s="41"/>
      <c r="OW15" s="41"/>
      <c r="OX15" s="41"/>
      <c r="OY15" s="41"/>
      <c r="OZ15" s="41"/>
      <c r="PA15" s="41"/>
      <c r="PB15" s="41"/>
      <c r="PC15" s="41"/>
      <c r="PD15" s="41"/>
      <c r="PE15" s="41"/>
      <c r="PF15" s="41"/>
      <c r="PG15" s="41"/>
      <c r="PH15" s="41"/>
      <c r="PI15" s="41"/>
      <c r="PJ15" s="41"/>
      <c r="PK15" s="41"/>
      <c r="PL15" s="41"/>
      <c r="PM15" s="41"/>
      <c r="PN15" s="41"/>
      <c r="PO15" s="41"/>
      <c r="PP15" s="41"/>
      <c r="PQ15" s="41"/>
      <c r="PR15" s="41"/>
      <c r="PS15" s="41"/>
      <c r="PT15" s="41"/>
      <c r="PU15" s="41"/>
      <c r="PV15" s="41"/>
      <c r="PW15" s="41"/>
      <c r="PX15" s="41"/>
      <c r="PY15" s="41"/>
      <c r="PZ15" s="41"/>
      <c r="QA15" s="41"/>
      <c r="QB15" s="41"/>
      <c r="QC15" s="41"/>
      <c r="QD15" s="41"/>
      <c r="QE15" s="41"/>
      <c r="QF15" s="41"/>
      <c r="QG15" s="41"/>
      <c r="QH15" s="41"/>
      <c r="QI15" s="41"/>
      <c r="QJ15" s="41"/>
      <c r="QK15" s="41"/>
      <c r="QL15" s="41"/>
      <c r="QM15" s="41"/>
      <c r="QN15" s="41"/>
      <c r="QO15" s="41"/>
      <c r="QP15" s="41"/>
      <c r="QQ15" s="41"/>
      <c r="QR15" s="41"/>
      <c r="QS15" s="41"/>
      <c r="QT15" s="41"/>
      <c r="QU15" s="41"/>
      <c r="QV15" s="41"/>
      <c r="QW15" s="41"/>
      <c r="QX15" s="41"/>
      <c r="QY15" s="41"/>
      <c r="QZ15" s="41"/>
      <c r="RA15" s="41"/>
      <c r="RB15" s="41"/>
      <c r="RC15" s="41"/>
      <c r="RD15" s="41"/>
      <c r="RE15" s="41"/>
      <c r="RF15" s="41"/>
      <c r="RG15" s="41"/>
      <c r="RH15" s="41"/>
      <c r="RI15" s="41"/>
      <c r="RJ15" s="41"/>
      <c r="RK15" s="41"/>
      <c r="RL15" s="41"/>
      <c r="RM15" s="41"/>
      <c r="RN15" s="41"/>
      <c r="RO15" s="41"/>
      <c r="RP15" s="41"/>
      <c r="RQ15" s="41"/>
      <c r="RR15" s="41"/>
      <c r="RS15" s="41"/>
      <c r="RT15" s="41"/>
      <c r="RU15" s="41"/>
      <c r="RV15" s="41"/>
      <c r="RW15" s="41"/>
      <c r="RX15" s="41"/>
      <c r="RY15" s="41"/>
      <c r="RZ15" s="41"/>
      <c r="SA15" s="41"/>
      <c r="SB15" s="41"/>
      <c r="SC15" s="41"/>
      <c r="SD15" s="41"/>
      <c r="SE15" s="41"/>
      <c r="SF15" s="41"/>
      <c r="SG15" s="41"/>
      <c r="SH15" s="41"/>
      <c r="SI15" s="41"/>
      <c r="SJ15" s="41"/>
      <c r="SK15" s="41"/>
      <c r="SL15" s="41"/>
      <c r="SM15" s="41"/>
      <c r="SN15" s="41"/>
      <c r="SO15" s="41"/>
      <c r="SP15" s="41"/>
      <c r="SQ15" s="41"/>
      <c r="SR15" s="41"/>
      <c r="SS15" s="41"/>
      <c r="ST15" s="41"/>
      <c r="SU15" s="41"/>
      <c r="SV15" s="41"/>
      <c r="SW15" s="41"/>
      <c r="SX15" s="41"/>
      <c r="SY15" s="41"/>
      <c r="SZ15" s="41"/>
      <c r="TA15" s="41"/>
      <c r="TB15" s="41"/>
      <c r="TC15" s="41"/>
      <c r="TD15" s="41"/>
      <c r="TE15" s="41"/>
      <c r="TF15" s="41"/>
      <c r="TG15" s="41"/>
      <c r="TH15" s="41"/>
      <c r="TI15" s="41"/>
      <c r="TJ15" s="41"/>
      <c r="TK15" s="41"/>
      <c r="TL15" s="41"/>
      <c r="TM15" s="41"/>
      <c r="TN15" s="41"/>
      <c r="TO15" s="41"/>
      <c r="TP15" s="41"/>
      <c r="TQ15" s="41"/>
      <c r="TR15" s="41"/>
      <c r="TS15" s="41"/>
      <c r="TT15" s="41"/>
      <c r="TU15" s="41"/>
      <c r="TV15" s="41"/>
      <c r="TW15" s="41"/>
      <c r="TX15" s="41"/>
      <c r="TY15" s="41"/>
      <c r="TZ15" s="41"/>
      <c r="UA15" s="41"/>
      <c r="UB15" s="41"/>
      <c r="UC15" s="41"/>
      <c r="UD15" s="41"/>
      <c r="UE15" s="41"/>
      <c r="UF15" s="41"/>
      <c r="UG15" s="41"/>
      <c r="UH15" s="41"/>
      <c r="UI15" s="41"/>
      <c r="UJ15" s="41"/>
      <c r="UK15" s="41"/>
      <c r="UL15" s="41"/>
      <c r="UM15" s="41"/>
      <c r="UN15" s="41"/>
      <c r="UO15" s="41"/>
      <c r="UP15" s="41"/>
      <c r="UQ15" s="41"/>
      <c r="UR15" s="41"/>
      <c r="US15" s="41"/>
      <c r="UT15" s="41"/>
      <c r="UU15" s="41"/>
      <c r="UV15" s="41"/>
      <c r="UW15" s="41"/>
      <c r="UX15" s="41"/>
      <c r="UY15" s="41"/>
      <c r="UZ15" s="41"/>
      <c r="VA15" s="41"/>
      <c r="VB15" s="41"/>
      <c r="VC15" s="41"/>
      <c r="VD15" s="41"/>
      <c r="VE15" s="41"/>
      <c r="VF15" s="41"/>
      <c r="VG15" s="41"/>
      <c r="VH15" s="41"/>
      <c r="VI15" s="41"/>
      <c r="VJ15" s="41"/>
      <c r="VK15" s="41"/>
      <c r="VL15" s="41"/>
      <c r="VM15" s="41"/>
      <c r="VN15" s="41"/>
      <c r="VO15" s="41"/>
      <c r="VP15" s="41"/>
      <c r="VQ15" s="41"/>
      <c r="VR15" s="41"/>
      <c r="VS15" s="41"/>
      <c r="VT15" s="41"/>
      <c r="VU15" s="41"/>
      <c r="VV15" s="41"/>
      <c r="VW15" s="41"/>
      <c r="VX15" s="41"/>
      <c r="VY15" s="41"/>
      <c r="VZ15" s="41"/>
      <c r="WA15" s="41"/>
      <c r="WB15" s="41"/>
      <c r="WC15" s="41"/>
      <c r="WD15" s="41"/>
      <c r="WE15" s="41"/>
      <c r="WF15" s="41"/>
      <c r="WG15" s="41"/>
      <c r="WH15" s="41"/>
      <c r="WI15" s="41"/>
      <c r="WJ15" s="41"/>
      <c r="WK15" s="41"/>
      <c r="WL15" s="41"/>
      <c r="WM15" s="41"/>
      <c r="WN15" s="41"/>
      <c r="WO15" s="41"/>
      <c r="WP15" s="41"/>
      <c r="WQ15" s="41"/>
      <c r="WR15" s="41"/>
      <c r="WS15" s="41"/>
      <c r="WT15" s="41"/>
      <c r="WU15" s="41"/>
      <c r="WV15" s="41"/>
      <c r="WW15" s="41"/>
      <c r="WX15" s="41"/>
      <c r="WY15" s="41"/>
      <c r="WZ15" s="41"/>
      <c r="XA15" s="41"/>
      <c r="XB15" s="41"/>
      <c r="XC15" s="41"/>
      <c r="XD15" s="41"/>
      <c r="XE15" s="41"/>
      <c r="XF15" s="41"/>
      <c r="XG15" s="41"/>
      <c r="XH15" s="41"/>
      <c r="XI15" s="41"/>
      <c r="XJ15" s="41"/>
      <c r="XK15" s="41"/>
      <c r="XL15" s="41"/>
      <c r="XM15" s="41"/>
      <c r="XN15" s="41"/>
      <c r="XO15" s="41"/>
      <c r="XP15" s="41"/>
      <c r="XQ15" s="41"/>
      <c r="XR15" s="41"/>
      <c r="XS15" s="41"/>
      <c r="XT15" s="41"/>
      <c r="XU15" s="41"/>
      <c r="XV15" s="41"/>
      <c r="XW15" s="41"/>
      <c r="XX15" s="41"/>
      <c r="XY15" s="41"/>
      <c r="XZ15" s="41"/>
      <c r="YA15" s="41"/>
      <c r="YB15" s="41"/>
      <c r="YC15" s="41"/>
      <c r="YD15" s="41"/>
      <c r="YE15" s="41"/>
      <c r="YF15" s="41"/>
      <c r="YG15" s="41"/>
      <c r="YH15" s="41"/>
      <c r="YI15" s="41"/>
      <c r="YJ15" s="41"/>
      <c r="YK15" s="41"/>
      <c r="YL15" s="41"/>
      <c r="YM15" s="41"/>
      <c r="YN15" s="41"/>
      <c r="YO15" s="41"/>
      <c r="YP15" s="41"/>
      <c r="YQ15" s="41"/>
      <c r="YR15" s="41"/>
      <c r="YS15" s="41"/>
      <c r="YT15" s="41"/>
      <c r="YU15" s="41"/>
      <c r="YV15" s="41"/>
      <c r="YW15" s="41"/>
      <c r="YX15" s="41"/>
      <c r="YY15" s="41"/>
      <c r="YZ15" s="41"/>
      <c r="ZA15" s="41"/>
      <c r="ZB15" s="41"/>
      <c r="ZC15" s="41"/>
      <c r="ZD15" s="41"/>
      <c r="ZE15" s="41"/>
      <c r="ZF15" s="41"/>
      <c r="ZG15" s="41"/>
      <c r="ZH15" s="41"/>
      <c r="ZI15" s="41"/>
      <c r="ZJ15" s="41"/>
      <c r="ZK15" s="41"/>
      <c r="ZL15" s="41"/>
      <c r="ZM15" s="41"/>
      <c r="ZN15" s="41"/>
      <c r="ZO15" s="41"/>
      <c r="ZP15" s="41"/>
      <c r="ZQ15" s="41"/>
      <c r="ZR15" s="41"/>
      <c r="ZS15" s="41"/>
      <c r="ZT15" s="41"/>
      <c r="ZU15" s="41"/>
      <c r="ZV15" s="41"/>
      <c r="ZW15" s="41"/>
      <c r="ZX15" s="41"/>
      <c r="ZY15" s="41"/>
      <c r="ZZ15" s="41"/>
      <c r="AAA15" s="41"/>
      <c r="AAB15" s="41"/>
      <c r="AAC15" s="41"/>
      <c r="AAD15" s="41"/>
      <c r="AAE15" s="41"/>
      <c r="AAF15" s="41"/>
      <c r="AAG15" s="41"/>
      <c r="AAH15" s="41"/>
      <c r="AAI15" s="41"/>
      <c r="AAJ15" s="41"/>
      <c r="AAK15" s="41"/>
      <c r="AAL15" s="41"/>
      <c r="AAM15" s="41"/>
      <c r="AAN15" s="41"/>
      <c r="AAO15" s="41"/>
      <c r="AAP15" s="41"/>
      <c r="AAQ15" s="41"/>
      <c r="AAR15" s="41"/>
      <c r="AAS15" s="41"/>
      <c r="AAT15" s="41"/>
      <c r="AAU15" s="41"/>
      <c r="AAV15" s="41"/>
      <c r="AAW15" s="41"/>
      <c r="AAX15" s="41"/>
      <c r="AAY15" s="41"/>
      <c r="AAZ15" s="41"/>
      <c r="ABA15" s="41"/>
      <c r="ABB15" s="41"/>
      <c r="ABC15" s="41"/>
      <c r="ABD15" s="41"/>
      <c r="ABE15" s="41"/>
      <c r="ABF15" s="41"/>
      <c r="ABG15" s="41"/>
      <c r="ABH15" s="41"/>
      <c r="ABI15" s="41"/>
      <c r="ABJ15" s="41"/>
      <c r="ABK15" s="41"/>
      <c r="ABL15" s="41"/>
      <c r="ABM15" s="41"/>
      <c r="ABN15" s="41"/>
      <c r="ABO15" s="41"/>
      <c r="ABP15" s="41"/>
      <c r="ABQ15" s="41"/>
      <c r="ABR15" s="41"/>
      <c r="ABS15" s="41"/>
      <c r="ABT15" s="41"/>
      <c r="ABU15" s="41"/>
      <c r="ABV15" s="41"/>
      <c r="ABW15" s="41"/>
      <c r="ABX15" s="41"/>
      <c r="ABY15" s="41"/>
      <c r="ABZ15" s="41"/>
      <c r="ACA15" s="41"/>
      <c r="ACB15" s="41"/>
      <c r="ACC15" s="41"/>
      <c r="ACD15" s="41"/>
      <c r="ACE15" s="41"/>
      <c r="ACF15" s="41"/>
      <c r="ACG15" s="41"/>
      <c r="ACH15" s="41"/>
      <c r="ACI15" s="41"/>
      <c r="ACJ15" s="41"/>
      <c r="ACK15" s="41"/>
      <c r="ACL15" s="41"/>
      <c r="ACM15" s="41"/>
      <c r="ACN15" s="41"/>
      <c r="ACO15" s="41"/>
      <c r="ACP15" s="41"/>
      <c r="ACQ15" s="41"/>
      <c r="ACR15" s="41"/>
      <c r="ACS15" s="41"/>
      <c r="ACT15" s="41"/>
      <c r="ACU15" s="41"/>
      <c r="ACV15" s="41"/>
      <c r="ACW15" s="41"/>
      <c r="ACX15" s="41"/>
      <c r="ACY15" s="41"/>
      <c r="ACZ15" s="41"/>
      <c r="ADA15" s="41"/>
      <c r="ADB15" s="41"/>
      <c r="ADC15" s="41"/>
      <c r="ADD15" s="41"/>
      <c r="ADE15" s="41"/>
      <c r="ADF15" s="41"/>
      <c r="ADG15" s="41"/>
      <c r="ADH15" s="41"/>
      <c r="ADI15" s="41"/>
      <c r="ADJ15" s="41"/>
      <c r="ADK15" s="41"/>
      <c r="ADL15" s="41"/>
      <c r="ADM15" s="41"/>
      <c r="ADN15" s="41"/>
      <c r="ADO15" s="41"/>
      <c r="ADP15" s="41"/>
      <c r="ADQ15" s="41"/>
      <c r="ADR15" s="41"/>
      <c r="ADS15" s="41"/>
      <c r="ADT15" s="41"/>
      <c r="ADU15" s="41"/>
      <c r="ADV15" s="41"/>
      <c r="ADW15" s="41"/>
      <c r="ADX15" s="41"/>
      <c r="ADY15" s="41"/>
      <c r="ADZ15" s="41"/>
      <c r="AEA15" s="41"/>
      <c r="AEB15" s="41"/>
      <c r="AEC15" s="41"/>
      <c r="AED15" s="41"/>
      <c r="AEE15" s="41"/>
      <c r="AEF15" s="41"/>
      <c r="AEG15" s="41"/>
      <c r="AEH15" s="41"/>
      <c r="AEI15" s="41"/>
      <c r="AEJ15" s="41"/>
      <c r="AEK15" s="41"/>
      <c r="AEL15" s="41"/>
      <c r="AEM15" s="41"/>
      <c r="AEN15" s="41"/>
      <c r="AEO15" s="41"/>
      <c r="AEP15" s="41"/>
      <c r="AEQ15" s="41"/>
      <c r="AER15" s="41"/>
      <c r="AES15" s="41"/>
      <c r="AET15" s="41"/>
      <c r="AEU15" s="41"/>
      <c r="AEV15" s="41"/>
      <c r="AEW15" s="41"/>
      <c r="AEX15" s="41"/>
      <c r="AEY15" s="41"/>
      <c r="AEZ15" s="41"/>
      <c r="AFA15" s="41"/>
      <c r="AFB15" s="41"/>
      <c r="AFC15" s="41"/>
      <c r="AFD15" s="41"/>
      <c r="AFE15" s="41"/>
      <c r="AFF15" s="41"/>
      <c r="AFG15" s="41"/>
      <c r="AFH15" s="41"/>
      <c r="AFI15" s="41"/>
      <c r="AFJ15" s="41"/>
      <c r="AFK15" s="41"/>
      <c r="AFL15" s="41"/>
      <c r="AFM15" s="41"/>
      <c r="AFN15" s="41"/>
      <c r="AFO15" s="41"/>
      <c r="AFP15" s="41"/>
      <c r="AFQ15" s="41"/>
      <c r="AFR15" s="41"/>
      <c r="AFS15" s="41"/>
      <c r="AFT15" s="41"/>
      <c r="AFU15" s="41"/>
      <c r="AFV15" s="41"/>
      <c r="AFW15" s="41"/>
      <c r="AFX15" s="41"/>
      <c r="AFY15" s="41"/>
      <c r="AFZ15" s="41"/>
      <c r="AGA15" s="41"/>
      <c r="AGB15" s="41"/>
      <c r="AGC15" s="41"/>
      <c r="AGD15" s="41"/>
      <c r="AGE15" s="41"/>
      <c r="AGF15" s="41"/>
      <c r="AGG15" s="41"/>
      <c r="AGH15" s="41"/>
      <c r="AGI15" s="41"/>
      <c r="AGJ15" s="41"/>
      <c r="AGK15" s="41"/>
      <c r="AGL15" s="41"/>
      <c r="AGM15" s="41"/>
      <c r="AGN15" s="41"/>
      <c r="AGO15" s="41"/>
      <c r="AGP15" s="41"/>
      <c r="AGQ15" s="41"/>
      <c r="AGR15" s="41"/>
      <c r="AGS15" s="41"/>
      <c r="AGT15" s="41"/>
      <c r="AGU15" s="41"/>
      <c r="AGV15" s="41"/>
      <c r="AGW15" s="41"/>
      <c r="AGX15" s="41"/>
      <c r="AGY15" s="41"/>
      <c r="AGZ15" s="41"/>
      <c r="AHA15" s="41"/>
      <c r="AHB15" s="41"/>
      <c r="AHC15" s="41"/>
      <c r="AHD15" s="41"/>
      <c r="AHE15" s="41"/>
      <c r="AHF15" s="41"/>
      <c r="AHG15" s="41"/>
      <c r="AHH15" s="41"/>
      <c r="AHI15" s="41"/>
      <c r="AHJ15" s="41"/>
      <c r="AHK15" s="41"/>
      <c r="AHL15" s="41"/>
      <c r="AHM15" s="41"/>
      <c r="AHN15" s="41"/>
      <c r="AHO15" s="41"/>
      <c r="AHP15" s="41"/>
      <c r="AHQ15" s="41"/>
      <c r="AHR15" s="41"/>
      <c r="AHS15" s="41"/>
      <c r="AHT15" s="41"/>
      <c r="AHU15" s="41"/>
      <c r="AHV15" s="41"/>
      <c r="AHW15" s="41"/>
      <c r="AHX15" s="41"/>
      <c r="AHY15" s="41"/>
      <c r="AHZ15" s="41"/>
      <c r="AIA15" s="41"/>
      <c r="AIB15" s="41"/>
      <c r="AIC15" s="41"/>
      <c r="AID15" s="41"/>
      <c r="AIE15" s="41"/>
      <c r="AIF15" s="41"/>
      <c r="AIG15" s="41"/>
      <c r="AIH15" s="41"/>
      <c r="AII15" s="41"/>
      <c r="AIJ15" s="41"/>
      <c r="AIK15" s="41"/>
      <c r="AIL15" s="41"/>
      <c r="AIM15" s="41"/>
      <c r="AIN15" s="41"/>
      <c r="AIO15" s="41"/>
      <c r="AIP15" s="41"/>
      <c r="AIQ15" s="41"/>
      <c r="AIR15" s="41"/>
      <c r="AIS15" s="41"/>
      <c r="AIT15" s="41"/>
      <c r="AIU15" s="41"/>
      <c r="AIV15" s="41"/>
      <c r="AIW15" s="41"/>
      <c r="AIX15" s="41"/>
      <c r="AIY15" s="41"/>
      <c r="AIZ15" s="41"/>
      <c r="AJA15" s="41"/>
      <c r="AJB15" s="41"/>
      <c r="AJC15" s="41"/>
      <c r="AJD15" s="41"/>
      <c r="AJE15" s="41"/>
      <c r="AJF15" s="41"/>
      <c r="AJG15" s="41"/>
      <c r="AJH15" s="41"/>
      <c r="AJI15" s="41"/>
      <c r="AJJ15" s="41"/>
      <c r="AJK15" s="41"/>
      <c r="AJL15" s="41"/>
      <c r="AJM15" s="41"/>
      <c r="AJN15" s="41"/>
      <c r="AJO15" s="41"/>
      <c r="AJP15" s="41"/>
      <c r="AJQ15" s="41"/>
      <c r="AJR15" s="41"/>
      <c r="AJS15" s="41"/>
      <c r="AJT15" s="41"/>
      <c r="AJU15" s="41"/>
      <c r="AJV15" s="41"/>
      <c r="AJW15" s="41"/>
      <c r="AJX15" s="41"/>
      <c r="AJY15" s="41"/>
      <c r="AJZ15" s="41"/>
      <c r="AKA15" s="41"/>
      <c r="AKB15" s="41"/>
      <c r="AKC15" s="41"/>
      <c r="AKD15" s="41"/>
      <c r="AKE15" s="41"/>
      <c r="AKF15" s="41"/>
      <c r="AKG15" s="41"/>
      <c r="AKH15" s="41"/>
      <c r="AKI15" s="41"/>
      <c r="AKJ15" s="41"/>
      <c r="AKK15" s="41"/>
      <c r="AKL15" s="41"/>
      <c r="AKM15" s="41"/>
      <c r="AKN15" s="41"/>
      <c r="AKO15" s="41"/>
      <c r="AKP15" s="41"/>
      <c r="AKQ15" s="41"/>
      <c r="AKR15" s="41"/>
      <c r="AKS15" s="41"/>
      <c r="AKT15" s="41"/>
      <c r="AKU15" s="41"/>
      <c r="AKV15" s="41"/>
      <c r="AKW15" s="41"/>
      <c r="AKX15" s="41"/>
      <c r="AKY15" s="41"/>
      <c r="AKZ15" s="41"/>
      <c r="ALA15" s="41"/>
      <c r="ALB15" s="41"/>
      <c r="ALC15" s="41"/>
      <c r="ALD15" s="41"/>
      <c r="ALE15" s="41"/>
      <c r="ALF15" s="41"/>
      <c r="ALG15" s="41"/>
      <c r="ALH15" s="41"/>
      <c r="ALI15" s="41"/>
      <c r="ALJ15" s="41"/>
      <c r="ALK15" s="41"/>
      <c r="ALL15" s="41"/>
      <c r="ALM15" s="41"/>
      <c r="ALN15" s="41"/>
      <c r="ALO15" s="41"/>
      <c r="ALP15" s="41"/>
      <c r="ALQ15" s="41"/>
      <c r="ALR15" s="41"/>
      <c r="ALS15" s="41"/>
      <c r="ALT15" s="41"/>
      <c r="ALU15" s="41"/>
      <c r="ALV15" s="41"/>
      <c r="ALW15" s="41"/>
      <c r="ALX15" s="41"/>
      <c r="ALY15" s="41"/>
      <c r="ALZ15" s="41"/>
      <c r="AMA15" s="41"/>
      <c r="AMB15" s="41"/>
      <c r="AMC15" s="41"/>
      <c r="AMD15" s="41"/>
      <c r="AME15" s="41"/>
      <c r="AMF15" s="41"/>
      <c r="AMG15" s="41"/>
      <c r="AMH15" s="41"/>
      <c r="AMI15" s="41"/>
      <c r="AMJ15" s="41"/>
      <c r="AMK15" s="41"/>
      <c r="AML15" s="4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