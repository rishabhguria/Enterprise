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20" activeTab="23"/>
  </bookViews>
  <sheets>
    <sheet name="_Modules" sheetId="1" r:id="rId1"/>
    <sheet name="_Settings" sheetId="2" r:id="rId2"/>
    <sheet name="_MasterData" sheetId="3" r:id="rId3"/>
    <sheet name="SetGeneralPreferences" sheetId="4" r:id="rId4"/>
    <sheet name="AddMFPreferences" sheetId="5" r:id="rId5"/>
    <sheet name="SetMFPreferencesDefaultRule" sheetId="6" r:id="rId6"/>
    <sheet name="SetMFPrefFundDistribution" sheetId="7" r:id="rId7"/>
    <sheet name="SetMFPrefFundDefaultRule" sheetId="8" r:id="rId8"/>
    <sheet name="SetMFPrefGeneralRule" sheetId="9" r:id="rId9"/>
    <sheet name="UpdateGRAccountValue" sheetId="10" r:id="rId10"/>
    <sheet name="SetMFPrefGeneralRule1" sheetId="11" r:id="rId11"/>
    <sheet name="UpdateGRDefaultRule1" sheetId="12" r:id="rId12"/>
    <sheet name="SetMFPrefAccountValues1" sheetId="13" r:id="rId13"/>
    <sheet name="SetMFPrefFundDefaultRule1" sheetId="14" r:id="rId14"/>
    <sheet name="SetMFPrefGeneralRule2" sheetId="15" r:id="rId15"/>
    <sheet name="UpdateGRAccountValue1" sheetId="16" r:id="rId16"/>
    <sheet name="GetDailyCash" sheetId="17" r:id="rId17"/>
    <sheet name="UpdateDailyCash" sheetId="18" r:id="rId18"/>
    <sheet name="CreateDoneAwayOrder" sheetId="19" r:id="rId19"/>
    <sheet name="GetDataAllocation" sheetId="20" r:id="rId20"/>
    <sheet name="GetDataClosing" sheetId="21" r:id="rId21"/>
    <sheet name="CheckAllocatedGroups" sheetId="22" r:id="rId22"/>
    <sheet name="VerifyLongPositionsGrid" sheetId="23" r:id="rId23"/>
    <sheet name="VerifyShortPositionsGrid" sheetId="24" r:id="rId24"/>
    <sheet name="CheckPortfolioManagement" sheetId="25" r:id="rId25"/>
    <sheet name="GetActivityData" sheetId="26" r:id="rId26"/>
    <sheet name="VerifyActivity" sheetId="27" r:id="rId27"/>
    <sheet name="SetMFPrefGeneralRule3" sheetId="28" r:id="rId28"/>
    <sheet name="UpdateGRDefaultRule2" sheetId="29" r:id="rId29"/>
    <sheet name="UpdateGRDefaultRule3" sheetId="30" r:id="rId30"/>
    <sheet name="UpdateGRDefaultRule" sheetId="31" r:id="rId31"/>
    <sheet name="CheckUnallocatedGroups" sheetId="32" r:id="rId32"/>
  </sheets>
  <calcPr calcId="145621"/>
</workbook>
</file>

<file path=xl/calcChain.xml><?xml version="1.0" encoding="utf-8"?>
<calcChain xmlns="http://schemas.openxmlformats.org/spreadsheetml/2006/main">
  <c r="J2" i="32" l="1"/>
  <c r="H6" i="31"/>
  <c r="J2" i="31"/>
  <c r="J2" i="30"/>
  <c r="H6" i="29"/>
  <c r="J2" i="29"/>
  <c r="B6" i="28"/>
  <c r="J2" i="28"/>
  <c r="J2" i="27"/>
  <c r="E6" i="26"/>
  <c r="D6" i="26"/>
  <c r="J2" i="26"/>
  <c r="J2" i="25"/>
  <c r="J2" i="24"/>
  <c r="J2" i="23"/>
  <c r="J2" i="22"/>
  <c r="J2" i="21"/>
  <c r="J2" i="20"/>
  <c r="N14" i="19"/>
  <c r="F14" i="19"/>
  <c r="N13" i="19"/>
  <c r="F13" i="19"/>
  <c r="N12" i="19"/>
  <c r="F12" i="19"/>
  <c r="N11" i="19"/>
  <c r="F11" i="19"/>
  <c r="N10" i="19"/>
  <c r="F10" i="19"/>
  <c r="N9" i="19"/>
  <c r="F9" i="19"/>
  <c r="N8" i="19"/>
  <c r="F8" i="19"/>
  <c r="N7" i="19"/>
  <c r="N6" i="19"/>
  <c r="J2" i="19"/>
  <c r="J2" i="18"/>
  <c r="C6" i="17"/>
  <c r="B6" i="17"/>
  <c r="J2" i="17"/>
  <c r="B7" i="16"/>
  <c r="B6" i="16"/>
  <c r="J2" i="16"/>
  <c r="B6" i="15"/>
  <c r="J2" i="15"/>
  <c r="B6" i="14"/>
  <c r="J2" i="14"/>
  <c r="B7" i="13"/>
  <c r="B6" i="13"/>
  <c r="J2" i="13"/>
  <c r="H6" i="12"/>
  <c r="J2" i="12"/>
  <c r="B6" i="11"/>
  <c r="J2" i="11"/>
  <c r="B7" i="10"/>
  <c r="B6" i="10"/>
  <c r="J2" i="10"/>
  <c r="B6" i="9"/>
  <c r="J2" i="9"/>
  <c r="B6" i="8"/>
  <c r="J2" i="8"/>
  <c r="B7" i="7"/>
  <c r="B6" i="7"/>
  <c r="J2" i="7"/>
  <c r="F6" i="6"/>
  <c r="J2" i="6"/>
  <c r="B6" i="5"/>
  <c r="J2" i="5"/>
  <c r="J2" i="4"/>
  <c r="EH5" i="32"/>
  <c r="BV5" i="32"/>
  <c r="J5" i="32"/>
  <c r="CV4" i="32"/>
  <c r="AJ4" i="32"/>
  <c r="DW5" i="31"/>
  <c r="BK5" i="31"/>
  <c r="EW4" i="31"/>
  <c r="CK4" i="31"/>
  <c r="Y4" i="31"/>
  <c r="DI5" i="32"/>
  <c r="AW5" i="32"/>
  <c r="EI4" i="32"/>
  <c r="BW4" i="32"/>
  <c r="K4" i="32"/>
  <c r="CX5" i="31"/>
  <c r="AL5" i="31"/>
  <c r="DX4" i="31"/>
  <c r="BL4" i="31"/>
  <c r="EX5" i="30"/>
  <c r="CL5" i="30"/>
  <c r="Z5" i="30"/>
  <c r="DL4" i="30"/>
  <c r="AZ4" i="30"/>
  <c r="EM5" i="29"/>
  <c r="CR5" i="32"/>
  <c r="AF5" i="32"/>
  <c r="DR4" i="32"/>
  <c r="BF4" i="32"/>
  <c r="ES5" i="31"/>
  <c r="CG5" i="31"/>
  <c r="U5" i="31"/>
  <c r="DG4" i="31"/>
  <c r="AU4" i="31"/>
  <c r="EG5" i="30"/>
  <c r="BU5" i="30"/>
  <c r="I5" i="30"/>
  <c r="CU4" i="30"/>
  <c r="AI4" i="30"/>
  <c r="DV5" i="29"/>
  <c r="EU5" i="32"/>
  <c r="CI5" i="32"/>
  <c r="W5" i="32"/>
  <c r="DI4" i="32"/>
  <c r="AW4" i="32"/>
  <c r="ED5" i="32"/>
  <c r="BR5" i="32"/>
  <c r="F5" i="32"/>
  <c r="CR4" i="32"/>
  <c r="AF4" i="32"/>
  <c r="DM5" i="32"/>
  <c r="BA5" i="32"/>
  <c r="EM4" i="32"/>
  <c r="CA4" i="32"/>
  <c r="O4" i="32"/>
  <c r="DB5" i="31"/>
  <c r="AP5" i="31"/>
  <c r="EB4" i="31"/>
  <c r="BP4" i="31"/>
  <c r="DT5" i="32"/>
  <c r="BH5" i="32"/>
  <c r="ET4" i="32"/>
  <c r="CH4" i="32"/>
  <c r="V4" i="32"/>
  <c r="DI5" i="31"/>
  <c r="AW5" i="31"/>
  <c r="EI4" i="31"/>
  <c r="BW4" i="31"/>
  <c r="K4" i="31"/>
  <c r="CW5" i="30"/>
  <c r="AK5" i="30"/>
  <c r="DC5" i="32"/>
  <c r="AQ5" i="32"/>
  <c r="EC4" i="32"/>
  <c r="BQ4" i="32"/>
  <c r="E4" i="32"/>
  <c r="CR5" i="31"/>
  <c r="AF5" i="31"/>
  <c r="DR4" i="31"/>
  <c r="BF4" i="31"/>
  <c r="ER5" i="30"/>
  <c r="CF5" i="30"/>
  <c r="T5" i="30"/>
  <c r="DF4" i="30"/>
  <c r="AT4" i="30"/>
  <c r="EL4" i="31"/>
  <c r="CM5" i="30"/>
  <c r="DX4" i="30"/>
  <c r="Y4" i="30"/>
  <c r="CW5" i="29"/>
  <c r="AG5" i="29"/>
  <c r="DS4" i="29"/>
  <c r="BG4" i="29"/>
  <c r="ET5" i="28"/>
  <c r="CH5" i="28"/>
  <c r="V5" i="28"/>
  <c r="DH4" i="28"/>
  <c r="AV4" i="28"/>
  <c r="EH5" i="27"/>
  <c r="BV5" i="27"/>
  <c r="J5" i="27"/>
  <c r="BY4" i="31"/>
  <c r="BT5" i="30"/>
  <c r="DI4" i="30"/>
  <c r="N4" i="30"/>
  <c r="CM5" i="29"/>
  <c r="X5" i="29"/>
  <c r="DJ4" i="29"/>
  <c r="AX4" i="29"/>
  <c r="EK5" i="28"/>
  <c r="BY5" i="28"/>
  <c r="M5" i="28"/>
  <c r="CY4" i="28"/>
  <c r="AM4" i="28"/>
  <c r="DY5" i="27"/>
  <c r="BM5" i="27"/>
  <c r="DZ5" i="32"/>
  <c r="BN5" i="32"/>
  <c r="B5" i="32"/>
  <c r="CN4" i="32"/>
  <c r="AB4" i="32"/>
  <c r="DO5" i="31"/>
  <c r="BC5" i="31"/>
  <c r="EO4" i="31"/>
  <c r="CC4" i="31"/>
  <c r="Q4" i="31"/>
  <c r="DA5" i="32"/>
  <c r="AO5" i="32"/>
  <c r="EA4" i="32"/>
  <c r="BO4" i="32"/>
  <c r="C4" i="32"/>
  <c r="CP5" i="31"/>
  <c r="AD5" i="31"/>
  <c r="DP4" i="31"/>
  <c r="BD4" i="31"/>
  <c r="EP5" i="30"/>
  <c r="CD5" i="30"/>
  <c r="R5" i="30"/>
  <c r="DD4" i="30"/>
  <c r="AR4" i="30"/>
  <c r="EV5" i="32"/>
  <c r="CJ5" i="32"/>
  <c r="X5" i="32"/>
  <c r="DJ4" i="32"/>
  <c r="AX4" i="32"/>
  <c r="EK5" i="31"/>
  <c r="BY5" i="31"/>
  <c r="M5" i="31"/>
  <c r="CY4" i="31"/>
  <c r="AM4" i="31"/>
  <c r="DY5" i="30"/>
  <c r="BM5" i="30"/>
  <c r="A5" i="30"/>
  <c r="CM4" i="30"/>
  <c r="AA4" i="30"/>
  <c r="DN5" i="29"/>
  <c r="EM5" i="32"/>
  <c r="CA5" i="32"/>
  <c r="O5" i="32"/>
  <c r="DA4" i="32"/>
  <c r="AO4" i="32"/>
  <c r="DV5" i="32"/>
  <c r="BJ5" i="32"/>
  <c r="EV4" i="32"/>
  <c r="CJ4" i="32"/>
  <c r="X4" i="32"/>
  <c r="DE5" i="32"/>
  <c r="AS5" i="32"/>
  <c r="EE4" i="32"/>
  <c r="BS4" i="32"/>
  <c r="G4" i="32"/>
  <c r="CT5" i="31"/>
  <c r="AH5" i="31"/>
  <c r="DT4" i="31"/>
  <c r="BH4" i="31"/>
  <c r="DL5" i="32"/>
  <c r="AZ5" i="32"/>
  <c r="EL4" i="32"/>
  <c r="BZ4" i="32"/>
  <c r="N4" i="32"/>
  <c r="DA5" i="31"/>
  <c r="AO5" i="31"/>
  <c r="EA4" i="31"/>
  <c r="BO4" i="31"/>
  <c r="C4" i="31"/>
  <c r="CO5" i="30"/>
  <c r="AC5" i="30"/>
  <c r="CU5" i="32"/>
  <c r="AI5" i="32"/>
  <c r="DU4" i="32"/>
  <c r="BI4" i="32"/>
  <c r="EV5" i="31"/>
  <c r="CJ5" i="31"/>
  <c r="X5" i="31"/>
  <c r="DJ4" i="31"/>
  <c r="AX4" i="31"/>
  <c r="EJ5" i="30"/>
  <c r="BX5" i="30"/>
  <c r="L5" i="30"/>
  <c r="CX4" i="30"/>
  <c r="AL4" i="30"/>
  <c r="DF4" i="31"/>
  <c r="BW5" i="30"/>
  <c r="DJ4" i="30"/>
  <c r="O4" i="30"/>
  <c r="CN5" i="29"/>
  <c r="Y5" i="29"/>
  <c r="DK4" i="29"/>
  <c r="AY4" i="29"/>
  <c r="EL5" i="28"/>
  <c r="BZ5" i="28"/>
  <c r="N5" i="28"/>
  <c r="CZ4" i="28"/>
  <c r="AN4" i="28"/>
  <c r="DZ5" i="27"/>
  <c r="BN5" i="27"/>
  <c r="EQ5" i="31"/>
  <c r="AS4" i="31"/>
  <c r="BD5" i="30"/>
  <c r="CW4" i="30"/>
  <c r="B4" i="30"/>
  <c r="CD5" i="29"/>
  <c r="P5" i="29"/>
  <c r="DB4" i="29"/>
  <c r="AP4" i="29"/>
  <c r="EC5" i="28"/>
  <c r="BQ5" i="28"/>
  <c r="E5" i="28"/>
  <c r="CQ4" i="28"/>
  <c r="AE4" i="28"/>
  <c r="DQ5" i="27"/>
  <c r="BE5" i="27"/>
  <c r="DR5" i="32"/>
  <c r="BF5" i="32"/>
  <c r="ER4" i="32"/>
  <c r="CF4" i="32"/>
  <c r="T4" i="32"/>
  <c r="DG5" i="31"/>
  <c r="AU5" i="31"/>
  <c r="EG4" i="31"/>
  <c r="BU4" i="31"/>
  <c r="I4" i="31"/>
  <c r="CS5" i="32"/>
  <c r="AG5" i="32"/>
  <c r="DS4" i="32"/>
  <c r="BG4" i="32"/>
  <c r="ET5" i="31"/>
  <c r="CH5" i="31"/>
  <c r="V5" i="31"/>
  <c r="DH4" i="31"/>
  <c r="AV4" i="31"/>
  <c r="EH5" i="30"/>
  <c r="BV5" i="30"/>
  <c r="J5" i="30"/>
  <c r="CV4" i="30"/>
  <c r="AJ4" i="30"/>
  <c r="EN5" i="32"/>
  <c r="CB5" i="32"/>
  <c r="P5" i="32"/>
  <c r="DB4" i="32"/>
  <c r="AP4" i="32"/>
  <c r="EC5" i="31"/>
  <c r="BQ5" i="31"/>
  <c r="E5" i="31"/>
  <c r="CQ4" i="31"/>
  <c r="AE4" i="31"/>
  <c r="DQ5" i="30"/>
  <c r="BE5" i="30"/>
  <c r="EQ4" i="30"/>
  <c r="CE4" i="30"/>
  <c r="S4" i="30"/>
  <c r="DF5" i="29"/>
  <c r="EE5" i="32"/>
  <c r="BS5" i="32"/>
  <c r="G5" i="32"/>
  <c r="CS4" i="32"/>
  <c r="AG4" i="32"/>
  <c r="DN5" i="32"/>
  <c r="BB5" i="32"/>
  <c r="EN4" i="32"/>
  <c r="CB4" i="32"/>
  <c r="P4" i="32"/>
  <c r="CW5" i="32"/>
  <c r="AK5" i="32"/>
  <c r="DW4" i="32"/>
  <c r="BK4" i="32"/>
  <c r="EX5" i="31"/>
  <c r="CL5" i="31"/>
  <c r="Z5" i="31"/>
  <c r="DL4" i="31"/>
  <c r="AZ4" i="31"/>
  <c r="DD5" i="32"/>
  <c r="AR5" i="32"/>
  <c r="ED4" i="32"/>
  <c r="BR4" i="32"/>
  <c r="F4" i="32"/>
  <c r="CS5" i="31"/>
  <c r="AG5" i="31"/>
  <c r="DS4" i="31"/>
  <c r="BG4" i="31"/>
  <c r="ES5" i="30"/>
  <c r="CG5" i="30"/>
  <c r="U5" i="30"/>
  <c r="CM5" i="32"/>
  <c r="AA5" i="32"/>
  <c r="DM4" i="32"/>
  <c r="BA4" i="32"/>
  <c r="EN5" i="31"/>
  <c r="CB5" i="31"/>
  <c r="P5" i="31"/>
  <c r="DB4" i="31"/>
  <c r="AP4" i="31"/>
  <c r="EB5" i="30"/>
  <c r="BP5" i="30"/>
  <c r="D5" i="30"/>
  <c r="CP4" i="30"/>
  <c r="AD4" i="30"/>
  <c r="BZ4" i="31"/>
  <c r="BG5" i="30"/>
  <c r="CY4" i="30"/>
  <c r="E4" i="30"/>
  <c r="CE5" i="29"/>
  <c r="Q5" i="29"/>
  <c r="DC4" i="29"/>
  <c r="AQ4" i="29"/>
  <c r="ED5" i="28"/>
  <c r="BR5" i="28"/>
  <c r="F5" i="28"/>
  <c r="CR4" i="28"/>
  <c r="AF4" i="28"/>
  <c r="DR5" i="27"/>
  <c r="BF5" i="27"/>
  <c r="DK5" i="31"/>
  <c r="T4" i="31"/>
  <c r="AN5" i="30"/>
  <c r="CJ4" i="30"/>
  <c r="EQ5" i="29"/>
  <c r="BU5" i="29"/>
  <c r="H5" i="29"/>
  <c r="CT4" i="29"/>
  <c r="AH4" i="29"/>
  <c r="DU5" i="28"/>
  <c r="BI5" i="28"/>
  <c r="EU4" i="28"/>
  <c r="CI4" i="28"/>
  <c r="W4" i="28"/>
  <c r="DI5" i="27"/>
  <c r="AW5" i="27"/>
  <c r="BX5" i="31"/>
  <c r="EU5" i="30"/>
  <c r="W5" i="30"/>
  <c r="BU4" i="30"/>
  <c r="DW5" i="29"/>
  <c r="BC5" i="29"/>
  <c r="C5" i="24"/>
  <c r="DB5" i="32"/>
  <c r="AP5" i="32"/>
  <c r="EB4" i="32"/>
  <c r="BP4" i="32"/>
  <c r="D4" i="32"/>
  <c r="CQ5" i="31"/>
  <c r="AE5" i="31"/>
  <c r="DQ4" i="31"/>
  <c r="BE4" i="31"/>
  <c r="EO5" i="32"/>
  <c r="CC5" i="32"/>
  <c r="Q5" i="32"/>
  <c r="DC4" i="32"/>
  <c r="AQ4" i="32"/>
  <c r="ED5" i="31"/>
  <c r="BR5" i="31"/>
  <c r="F5" i="31"/>
  <c r="CR4" i="31"/>
  <c r="AF4" i="31"/>
  <c r="DR5" i="30"/>
  <c r="BF5" i="30"/>
  <c r="ER4" i="30"/>
  <c r="CF4" i="30"/>
  <c r="T4" i="30"/>
  <c r="DX5" i="32"/>
  <c r="BL5" i="32"/>
  <c r="EX4" i="32"/>
  <c r="CL4" i="32"/>
  <c r="Z4" i="32"/>
  <c r="DM5" i="31"/>
  <c r="BA5" i="31"/>
  <c r="EM4" i="31"/>
  <c r="CA4" i="31"/>
  <c r="O4" i="31"/>
  <c r="DA5" i="30"/>
  <c r="AO5" i="30"/>
  <c r="EA4" i="30"/>
  <c r="BO4" i="30"/>
  <c r="C4" i="30"/>
  <c r="CP5" i="29"/>
  <c r="DO5" i="32"/>
  <c r="BC5" i="32"/>
  <c r="EO4" i="32"/>
  <c r="CC4" i="32"/>
  <c r="Q4" i="32"/>
  <c r="CX5" i="32"/>
  <c r="AL5" i="32"/>
  <c r="DX4" i="32"/>
  <c r="BL4" i="32"/>
  <c r="ES5" i="32"/>
  <c r="CG5" i="32"/>
  <c r="U5" i="32"/>
  <c r="DG4" i="32"/>
  <c r="AU4" i="32"/>
  <c r="EH5" i="31"/>
  <c r="BV5" i="31"/>
  <c r="J5" i="31"/>
  <c r="CV4" i="31"/>
  <c r="AJ4" i="31"/>
  <c r="CN5" i="32"/>
  <c r="AB5" i="32"/>
  <c r="DN4" i="32"/>
  <c r="BB4" i="32"/>
  <c r="EO5" i="31"/>
  <c r="CC5" i="31"/>
  <c r="Q5" i="31"/>
  <c r="DC4" i="31"/>
  <c r="AQ4" i="31"/>
  <c r="EC5" i="30"/>
  <c r="BQ5" i="30"/>
  <c r="EI5" i="32"/>
  <c r="BW5" i="32"/>
  <c r="K5" i="32"/>
  <c r="CW4" i="32"/>
  <c r="AK4" i="32"/>
  <c r="DX5" i="31"/>
  <c r="BL5" i="31"/>
  <c r="EX4" i="31"/>
  <c r="CL4" i="31"/>
  <c r="Z4" i="31"/>
  <c r="C5" i="23"/>
  <c r="CT5" i="32"/>
  <c r="AH5" i="32"/>
  <c r="DT4" i="32"/>
  <c r="BH4" i="32"/>
  <c r="EU5" i="31"/>
  <c r="CI5" i="31"/>
  <c r="W5" i="31"/>
  <c r="DI4" i="31"/>
  <c r="AW4" i="31"/>
  <c r="EG5" i="32"/>
  <c r="BU5" i="32"/>
  <c r="I5" i="32"/>
  <c r="CU4" i="32"/>
  <c r="AI4" i="32"/>
  <c r="DV5" i="31"/>
  <c r="BJ5" i="31"/>
  <c r="EV4" i="31"/>
  <c r="CJ4" i="31"/>
  <c r="X4" i="31"/>
  <c r="DJ5" i="30"/>
  <c r="AX5" i="30"/>
  <c r="EJ4" i="30"/>
  <c r="BX4" i="30"/>
  <c r="L4" i="30"/>
  <c r="DP5" i="32"/>
  <c r="BD5" i="32"/>
  <c r="EP4" i="32"/>
  <c r="CD4" i="32"/>
  <c r="R4" i="32"/>
  <c r="DE5" i="31"/>
  <c r="AS5" i="31"/>
  <c r="EE4" i="31"/>
  <c r="BS4" i="31"/>
  <c r="G4" i="31"/>
  <c r="CS5" i="30"/>
  <c r="AG5" i="30"/>
  <c r="DS4" i="30"/>
  <c r="BG4" i="30"/>
  <c r="ET5" i="29"/>
  <c r="CH5" i="29"/>
  <c r="DG5" i="32"/>
  <c r="AU5" i="32"/>
  <c r="EG4" i="32"/>
  <c r="BU4" i="32"/>
  <c r="I4" i="32"/>
  <c r="CP5" i="32"/>
  <c r="AD5" i="32"/>
  <c r="DP4" i="32"/>
  <c r="BD4" i="32"/>
  <c r="EK5" i="32"/>
  <c r="BY5" i="32"/>
  <c r="M5" i="32"/>
  <c r="CY4" i="32"/>
  <c r="AM4" i="32"/>
  <c r="DZ5" i="31"/>
  <c r="BN5" i="31"/>
  <c r="B5" i="31"/>
  <c r="CN4" i="31"/>
  <c r="ER5" i="32"/>
  <c r="CF5" i="32"/>
  <c r="T5" i="32"/>
  <c r="DF4" i="32"/>
  <c r="AT4" i="32"/>
  <c r="EG5" i="31"/>
  <c r="BU5" i="31"/>
  <c r="I5" i="31"/>
  <c r="CU4" i="31"/>
  <c r="AI4" i="31"/>
  <c r="DU5" i="30"/>
  <c r="BI5" i="30"/>
  <c r="EA5" i="32"/>
  <c r="BO5" i="32"/>
  <c r="C5" i="32"/>
  <c r="CO4" i="32"/>
  <c r="AC4" i="32"/>
  <c r="DP5" i="31"/>
  <c r="BD5" i="31"/>
  <c r="EP4" i="31"/>
  <c r="CD4" i="31"/>
  <c r="R4" i="31"/>
  <c r="DD5" i="30"/>
  <c r="AR5" i="30"/>
  <c r="ED4" i="30"/>
  <c r="BR4" i="30"/>
  <c r="CF5" i="31"/>
  <c r="EI5" i="30"/>
  <c r="M5" i="30"/>
  <c r="BL4" i="30"/>
  <c r="DY5" i="29"/>
  <c r="BE5" i="29"/>
  <c r="EQ4" i="29"/>
  <c r="CE4" i="29"/>
  <c r="S4" i="29"/>
  <c r="DF5" i="28"/>
  <c r="AT5" i="28"/>
  <c r="EF4" i="28"/>
  <c r="BT4" i="28"/>
  <c r="H4" i="28"/>
  <c r="CT5" i="27"/>
  <c r="AH5" i="27"/>
  <c r="S5" i="31"/>
  <c r="DP5" i="30"/>
  <c r="EV4" i="30"/>
  <c r="AW4" i="30"/>
  <c r="DO5" i="29"/>
  <c r="AV5" i="29"/>
  <c r="EH4" i="29"/>
  <c r="BV4" i="29"/>
  <c r="J4" i="29"/>
  <c r="CW5" i="28"/>
  <c r="AK5" i="28"/>
  <c r="DW4" i="28"/>
  <c r="BK4" i="28"/>
  <c r="EW5" i="27"/>
  <c r="CK5" i="27"/>
  <c r="Y5" i="27"/>
  <c r="ED4" i="31"/>
  <c r="CY5" i="30"/>
  <c r="EG4" i="30"/>
  <c r="AH4" i="30"/>
  <c r="CU5" i="29"/>
  <c r="AE5" i="29"/>
  <c r="DQ4" i="29"/>
  <c r="BE4" i="29"/>
  <c r="EJ5" i="28"/>
  <c r="BX5" i="28"/>
  <c r="EX5" i="32"/>
  <c r="CL5" i="32"/>
  <c r="Z5" i="32"/>
  <c r="DL4" i="32"/>
  <c r="AZ4" i="32"/>
  <c r="EM5" i="31"/>
  <c r="CA5" i="31"/>
  <c r="O5" i="31"/>
  <c r="DA4" i="31"/>
  <c r="AO4" i="31"/>
  <c r="DY5" i="32"/>
  <c r="BM5" i="32"/>
  <c r="A5" i="32"/>
  <c r="CM4" i="32"/>
  <c r="AA4" i="32"/>
  <c r="DN5" i="31"/>
  <c r="BB5" i="31"/>
  <c r="EN4" i="31"/>
  <c r="CB4" i="31"/>
  <c r="P4" i="31"/>
  <c r="DB5" i="30"/>
  <c r="AP5" i="30"/>
  <c r="EB4" i="30"/>
  <c r="BP4" i="30"/>
  <c r="D4" i="30"/>
  <c r="DH5" i="32"/>
  <c r="AV5" i="32"/>
  <c r="EH4" i="32"/>
  <c r="BV4" i="32"/>
  <c r="J4" i="32"/>
  <c r="CW5" i="31"/>
  <c r="AK5" i="31"/>
  <c r="DW4" i="31"/>
  <c r="BK4" i="31"/>
  <c r="EW5" i="30"/>
  <c r="CK5" i="30"/>
  <c r="Y5" i="30"/>
  <c r="DK4" i="30"/>
  <c r="AY4" i="30"/>
  <c r="EL5" i="29"/>
  <c r="BZ5" i="29"/>
  <c r="CY5" i="32"/>
  <c r="AM5" i="32"/>
  <c r="DY4" i="32"/>
  <c r="BM4" i="32"/>
  <c r="ET5" i="32"/>
  <c r="CH5" i="32"/>
  <c r="V5" i="32"/>
  <c r="DH4" i="32"/>
  <c r="AV4" i="32"/>
  <c r="EC5" i="32"/>
  <c r="BQ5" i="32"/>
  <c r="E5" i="32"/>
  <c r="CQ4" i="32"/>
  <c r="AE4" i="32"/>
  <c r="DR5" i="31"/>
  <c r="BF5" i="31"/>
  <c r="ER4" i="31"/>
  <c r="CF4" i="31"/>
  <c r="EJ5" i="32"/>
  <c r="BX5" i="32"/>
  <c r="L5" i="32"/>
  <c r="CX4" i="32"/>
  <c r="AL4" i="32"/>
  <c r="DY5" i="31"/>
  <c r="BM5" i="31"/>
  <c r="A5" i="31"/>
  <c r="CM4" i="31"/>
  <c r="AA4" i="31"/>
  <c r="DM5" i="30"/>
  <c r="BA5" i="30"/>
  <c r="DS5" i="32"/>
  <c r="BG5" i="32"/>
  <c r="ES4" i="32"/>
  <c r="CG4" i="32"/>
  <c r="U4" i="32"/>
  <c r="DH5" i="31"/>
  <c r="AV5" i="31"/>
  <c r="EH4" i="31"/>
  <c r="BV4" i="31"/>
  <c r="J4" i="31"/>
  <c r="CV5" i="30"/>
  <c r="AJ5" i="30"/>
  <c r="DV4" i="30"/>
  <c r="BJ4" i="30"/>
  <c r="AZ5" i="31"/>
  <c r="DS5" i="30"/>
  <c r="EW4" i="30"/>
  <c r="AX4" i="30"/>
  <c r="DP5" i="29"/>
  <c r="AW5" i="29"/>
  <c r="EI4" i="29"/>
  <c r="BW4" i="29"/>
  <c r="K4" i="29"/>
  <c r="CX5" i="28"/>
  <c r="AL5" i="28"/>
  <c r="DX4" i="28"/>
  <c r="BL4" i="28"/>
  <c r="EX5" i="27"/>
  <c r="CL5" i="27"/>
  <c r="Z5" i="27"/>
  <c r="EK4" i="31"/>
  <c r="CZ5" i="30"/>
  <c r="EH4" i="30"/>
  <c r="AK4" i="30"/>
  <c r="DE5" i="29"/>
  <c r="AN5" i="29"/>
  <c r="DZ4" i="29"/>
  <c r="BN4" i="29"/>
  <c r="B4" i="29"/>
  <c r="CO5" i="28"/>
  <c r="AC5" i="28"/>
  <c r="DO4" i="28"/>
  <c r="BC4" i="28"/>
  <c r="EO5" i="27"/>
  <c r="CC5" i="27"/>
  <c r="Q5" i="27"/>
  <c r="CX4" i="31"/>
  <c r="CI5" i="30"/>
  <c r="DU4" i="30"/>
  <c r="W4" i="30"/>
  <c r="CL5" i="29"/>
  <c r="BX4" i="32"/>
  <c r="DY4" i="31"/>
  <c r="Y5" i="32"/>
  <c r="BZ5" i="31"/>
  <c r="DZ5" i="30"/>
  <c r="AB4" i="30"/>
  <c r="CT4" i="32"/>
  <c r="EU4" i="31"/>
  <c r="AW5" i="30"/>
  <c r="CX5" i="29"/>
  <c r="CK4" i="32"/>
  <c r="EF4" i="32"/>
  <c r="AC5" i="32"/>
  <c r="CD5" i="31"/>
  <c r="CV5" i="32"/>
  <c r="EW5" i="31"/>
  <c r="AY4" i="31"/>
  <c r="CE5" i="32"/>
  <c r="EF5" i="31"/>
  <c r="AH4" i="31"/>
  <c r="ET4" i="30"/>
  <c r="T5" i="31"/>
  <c r="BY4" i="30"/>
  <c r="I5" i="29"/>
  <c r="C4" i="29"/>
  <c r="EN4" i="28"/>
  <c r="DJ5" i="27"/>
  <c r="DE4" i="31"/>
  <c r="BK4" i="30"/>
  <c r="EX4" i="29"/>
  <c r="ES5" i="28"/>
  <c r="EE4" i="28"/>
  <c r="DA5" i="27"/>
  <c r="AR5" i="31"/>
  <c r="BC5" i="30"/>
  <c r="AV4" i="30"/>
  <c r="BK5" i="29"/>
  <c r="EG4" i="29"/>
  <c r="BM4" i="29"/>
  <c r="EB5" i="28"/>
  <c r="BH5" i="28"/>
  <c r="ET4" i="28"/>
  <c r="CH4" i="28"/>
  <c r="V4" i="28"/>
  <c r="DH5" i="27"/>
  <c r="AV5" i="27"/>
  <c r="BQ4" i="31"/>
  <c r="BR5" i="30"/>
  <c r="DG4" i="30"/>
  <c r="J4" i="30"/>
  <c r="CB5" i="29"/>
  <c r="N5" i="29"/>
  <c r="CZ4" i="29"/>
  <c r="AN4" i="29"/>
  <c r="AJ5" i="31"/>
  <c r="EA5" i="30"/>
  <c r="F5" i="30"/>
  <c r="BE4" i="30"/>
  <c r="DT5" i="29"/>
  <c r="BA5" i="29"/>
  <c r="EM4" i="29"/>
  <c r="CA4" i="29"/>
  <c r="O4" i="29"/>
  <c r="DB5" i="28"/>
  <c r="AP5" i="28"/>
  <c r="EB4" i="28"/>
  <c r="BP4" i="28"/>
  <c r="D4" i="28"/>
  <c r="CP5" i="27"/>
  <c r="AD5" i="27"/>
  <c r="C5" i="31"/>
  <c r="DH5" i="30"/>
  <c r="EO4" i="30"/>
  <c r="AP4" i="30"/>
  <c r="DJ5" i="29"/>
  <c r="AR5" i="29"/>
  <c r="ED4" i="29"/>
  <c r="BR4" i="29"/>
  <c r="F4" i="29"/>
  <c r="CS5" i="28"/>
  <c r="AG5" i="28"/>
  <c r="DS4" i="28"/>
  <c r="BG4" i="28"/>
  <c r="ES5" i="27"/>
  <c r="CG5" i="27"/>
  <c r="U5" i="27"/>
  <c r="CH4" i="31"/>
  <c r="CA5" i="30"/>
  <c r="DO4" i="30"/>
  <c r="Q4" i="30"/>
  <c r="CQ5" i="29"/>
  <c r="AA5" i="29"/>
  <c r="DM4" i="29"/>
  <c r="BA4" i="29"/>
  <c r="EN5" i="28"/>
  <c r="CB5" i="28"/>
  <c r="P5" i="28"/>
  <c r="DB4" i="28"/>
  <c r="AP4" i="28"/>
  <c r="EB5" i="27"/>
  <c r="EP5" i="32"/>
  <c r="AR4" i="32"/>
  <c r="CS4" i="31"/>
  <c r="EQ4" i="32"/>
  <c r="AT5" i="31"/>
  <c r="CT5" i="30"/>
  <c r="EU5" i="29"/>
  <c r="BN4" i="32"/>
  <c r="DO4" i="31"/>
  <c r="Q5" i="30"/>
  <c r="BR5" i="29"/>
  <c r="BE4" i="32"/>
  <c r="CZ4" i="32"/>
  <c r="EU4" i="32"/>
  <c r="AX5" i="31"/>
  <c r="BP5" i="32"/>
  <c r="DQ5" i="31"/>
  <c r="S4" i="31"/>
  <c r="AY5" i="32"/>
  <c r="CZ5" i="31"/>
  <c r="B4" i="31"/>
  <c r="EL4" i="30"/>
  <c r="AT4" i="31"/>
  <c r="AM4" i="30"/>
  <c r="A5" i="29"/>
  <c r="DV5" i="28"/>
  <c r="DP4" i="28"/>
  <c r="DB5" i="27"/>
  <c r="EV5" i="30"/>
  <c r="X4" i="30"/>
  <c r="EP4" i="29"/>
  <c r="DM5" i="28"/>
  <c r="DG4" i="28"/>
  <c r="CS5" i="27"/>
  <c r="L5" i="31"/>
  <c r="AM5" i="30"/>
  <c r="M4" i="30"/>
  <c r="AU5" i="29"/>
  <c r="DY4" i="29"/>
  <c r="AW4" i="29"/>
  <c r="DT5" i="28"/>
  <c r="AZ5" i="28"/>
  <c r="EL4" i="28"/>
  <c r="BZ4" i="28"/>
  <c r="N4" i="28"/>
  <c r="CZ5" i="27"/>
  <c r="EI5" i="31"/>
  <c r="AK4" i="31"/>
  <c r="BB5" i="30"/>
  <c r="CS4" i="30"/>
  <c r="EO5" i="29"/>
  <c r="BS5" i="29"/>
  <c r="F5" i="29"/>
  <c r="CR4" i="29"/>
  <c r="AF4" i="29"/>
  <c r="D5" i="31"/>
  <c r="DK5" i="30"/>
  <c r="EP4" i="30"/>
  <c r="AS4" i="30"/>
  <c r="DK5" i="29"/>
  <c r="AS5" i="29"/>
  <c r="EE4" i="29"/>
  <c r="BS4" i="29"/>
  <c r="G4" i="29"/>
  <c r="CT5" i="28"/>
  <c r="AH5" i="28"/>
  <c r="DT4" i="28"/>
  <c r="BH4" i="28"/>
  <c r="ET5" i="27"/>
  <c r="CH5" i="27"/>
  <c r="V5" i="27"/>
  <c r="DU4" i="31"/>
  <c r="CR5" i="30"/>
  <c r="EC4" i="30"/>
  <c r="AE4" i="30"/>
  <c r="DA5" i="29"/>
  <c r="AJ5" i="29"/>
  <c r="DV4" i="29"/>
  <c r="BJ4" i="29"/>
  <c r="EW5" i="28"/>
  <c r="CK5" i="28"/>
  <c r="Y5" i="28"/>
  <c r="DK4" i="28"/>
  <c r="AY4" i="28"/>
  <c r="EK5" i="27"/>
  <c r="BY5" i="27"/>
  <c r="M5" i="27"/>
  <c r="BB4" i="31"/>
  <c r="BK5" i="30"/>
  <c r="DA4" i="30"/>
  <c r="G4" i="30"/>
  <c r="CG5" i="29"/>
  <c r="S5" i="29"/>
  <c r="DE4" i="29"/>
  <c r="AS4" i="29"/>
  <c r="EF5" i="28"/>
  <c r="BT5" i="28"/>
  <c r="H5" i="28"/>
  <c r="CT4" i="28"/>
  <c r="AH4" i="28"/>
  <c r="DT5" i="27"/>
  <c r="BH5" i="27"/>
  <c r="DS5" i="31"/>
  <c r="V4" i="31"/>
  <c r="AT5" i="30"/>
  <c r="CL4" i="30"/>
  <c r="ES5" i="29"/>
  <c r="BW5" i="29"/>
  <c r="J5" i="29"/>
  <c r="CV4" i="29"/>
  <c r="AJ4" i="29"/>
  <c r="DW5" i="28"/>
  <c r="BK5" i="28"/>
  <c r="EW4" i="28"/>
  <c r="CK4" i="28"/>
  <c r="Y4" i="28"/>
  <c r="EQ5" i="27"/>
  <c r="EE4" i="27"/>
  <c r="BS4" i="27"/>
  <c r="G4" i="27"/>
  <c r="CM5" i="26"/>
  <c r="AA5" i="26"/>
  <c r="DM4" i="26"/>
  <c r="BA4" i="26"/>
  <c r="FB5" i="25"/>
  <c r="CP5" i="25"/>
  <c r="AD5" i="25"/>
  <c r="DJ5" i="32"/>
  <c r="L4" i="32"/>
  <c r="BM4" i="31"/>
  <c r="DK4" i="32"/>
  <c r="N5" i="31"/>
  <c r="BN5" i="30"/>
  <c r="EF5" i="32"/>
  <c r="AH4" i="32"/>
  <c r="CI4" i="31"/>
  <c r="EI4" i="30"/>
  <c r="DW5" i="32"/>
  <c r="Y4" i="32"/>
  <c r="BT4" i="32"/>
  <c r="DO4" i="32"/>
  <c r="R5" i="31"/>
  <c r="AJ5" i="32"/>
  <c r="CK5" i="31"/>
  <c r="EK5" i="30"/>
  <c r="S5" i="32"/>
  <c r="BT5" i="31"/>
  <c r="DT5" i="30"/>
  <c r="DN4" i="30"/>
  <c r="U4" i="31"/>
  <c r="ER5" i="29"/>
  <c r="EA4" i="29"/>
  <c r="DN5" i="28"/>
  <c r="CJ4" i="28"/>
  <c r="CD5" i="27"/>
  <c r="EF5" i="30"/>
  <c r="EG5" i="29"/>
  <c r="DR4" i="29"/>
  <c r="DE5" i="28"/>
  <c r="CA4" i="28"/>
  <c r="BU5" i="27"/>
  <c r="BR4" i="31"/>
  <c r="H5" i="30"/>
  <c r="EP5" i="29"/>
  <c r="AM5" i="29"/>
  <c r="DI4" i="29"/>
  <c r="AO4" i="29"/>
  <c r="DL5" i="28"/>
  <c r="AR5" i="28"/>
  <c r="ED4" i="28"/>
  <c r="BR4" i="28"/>
  <c r="F4" i="28"/>
  <c r="CR5" i="27"/>
  <c r="DC5" i="31"/>
  <c r="M4" i="31"/>
  <c r="AL5" i="30"/>
  <c r="CG4" i="30"/>
  <c r="EE5" i="29"/>
  <c r="BJ5" i="29"/>
  <c r="EV4" i="29"/>
  <c r="CJ4" i="29"/>
  <c r="X4" i="29"/>
  <c r="DV4" i="31"/>
  <c r="CU5" i="30"/>
  <c r="EE4" i="30"/>
  <c r="AF4" i="30"/>
  <c r="DB5" i="29"/>
  <c r="AK5" i="29"/>
  <c r="DW4" i="29"/>
  <c r="BK4" i="29"/>
  <c r="EX5" i="28"/>
  <c r="CL5" i="28"/>
  <c r="Z5" i="28"/>
  <c r="DL4" i="28"/>
  <c r="AZ4" i="28"/>
  <c r="EL5" i="27"/>
  <c r="BZ5" i="27"/>
  <c r="N5" i="27"/>
  <c r="CO4" i="31"/>
  <c r="CB5" i="30"/>
  <c r="DP4" i="30"/>
  <c r="R4" i="30"/>
  <c r="CR5" i="29"/>
  <c r="AB5" i="29"/>
  <c r="DN4" i="29"/>
  <c r="BB4" i="29"/>
  <c r="EO5" i="28"/>
  <c r="CC5" i="28"/>
  <c r="Q5" i="28"/>
  <c r="DC4" i="28"/>
  <c r="AQ4" i="28"/>
  <c r="EC5" i="27"/>
  <c r="BQ5" i="27"/>
  <c r="DT5" i="31"/>
  <c r="AB4" i="31"/>
  <c r="AU5" i="30"/>
  <c r="CO4" i="30"/>
  <c r="EV5" i="29"/>
  <c r="BX5" i="29"/>
  <c r="K5" i="29"/>
  <c r="CW4" i="29"/>
  <c r="AK4" i="29"/>
  <c r="DX5" i="28"/>
  <c r="BL5" i="28"/>
  <c r="EX4" i="28"/>
  <c r="CL4" i="28"/>
  <c r="Z4" i="28"/>
  <c r="DL5" i="27"/>
  <c r="AZ5" i="27"/>
  <c r="CM5" i="31"/>
  <c r="D4" i="31"/>
  <c r="AD5" i="30"/>
  <c r="CA4" i="30"/>
  <c r="EI5" i="29"/>
  <c r="BN5" i="29"/>
  <c r="B5" i="29"/>
  <c r="CN4" i="29"/>
  <c r="AB4" i="29"/>
  <c r="DO5" i="28"/>
  <c r="BC5" i="28"/>
  <c r="EO4" i="28"/>
  <c r="CC4" i="28"/>
  <c r="Q4" i="28"/>
  <c r="DK5" i="27"/>
  <c r="DW4" i="27"/>
  <c r="BK4" i="27"/>
  <c r="EQ5" i="26"/>
  <c r="CE5" i="26"/>
  <c r="S5" i="26"/>
  <c r="DE4" i="26"/>
  <c r="AS4" i="26"/>
  <c r="ET5" i="25"/>
  <c r="CH5" i="25"/>
  <c r="V5" i="25"/>
  <c r="CD5" i="32"/>
  <c r="EE5" i="31"/>
  <c r="AG4" i="31"/>
  <c r="CE4" i="32"/>
  <c r="EF4" i="31"/>
  <c r="AH5" i="30"/>
  <c r="CZ5" i="32"/>
  <c r="B4" i="32"/>
  <c r="BC4" i="31"/>
  <c r="DC4" i="30"/>
  <c r="CQ5" i="32"/>
  <c r="EL5" i="32"/>
  <c r="AN4" i="32"/>
  <c r="CI4" i="32"/>
  <c r="EJ4" i="31"/>
  <c r="D5" i="32"/>
  <c r="BE5" i="31"/>
  <c r="DE5" i="30"/>
  <c r="EK4" i="32"/>
  <c r="AN5" i="31"/>
  <c r="DL5" i="30"/>
  <c r="CH4" i="30"/>
  <c r="DC5" i="30"/>
  <c r="EH5" i="29"/>
  <c r="CU4" i="29"/>
  <c r="CP5" i="28"/>
  <c r="CB4" i="28"/>
  <c r="AX5" i="27"/>
  <c r="CJ5" i="30"/>
  <c r="DX5" i="29"/>
  <c r="CL4" i="29"/>
  <c r="CG5" i="28"/>
  <c r="BS4" i="28"/>
  <c r="AO5" i="27"/>
  <c r="AL4" i="31"/>
  <c r="EU4" i="30"/>
  <c r="EF5" i="29"/>
  <c r="W5" i="29"/>
  <c r="DA4" i="29"/>
  <c r="AG4" i="29"/>
  <c r="DD5" i="28"/>
  <c r="AJ5" i="28"/>
  <c r="DV4" i="28"/>
  <c r="BJ4" i="28"/>
  <c r="EV5" i="27"/>
  <c r="CJ5" i="27"/>
  <c r="BW5" i="31"/>
  <c r="ET5" i="30"/>
  <c r="V5" i="30"/>
  <c r="BT4" i="30"/>
  <c r="DU5" i="29"/>
  <c r="BB5" i="29"/>
  <c r="EN4" i="29"/>
  <c r="CB4" i="29"/>
  <c r="P4" i="29"/>
  <c r="CP4" i="31"/>
  <c r="CE5" i="30"/>
  <c r="DQ4" i="30"/>
  <c r="U4" i="30"/>
  <c r="CS5" i="29"/>
  <c r="AC5" i="29"/>
  <c r="DO4" i="29"/>
  <c r="BC4" i="29"/>
  <c r="EP5" i="28"/>
  <c r="CD5" i="28"/>
  <c r="R5" i="28"/>
  <c r="DD4" i="28"/>
  <c r="AR4" i="28"/>
  <c r="ED5" i="27"/>
  <c r="BR5" i="27"/>
  <c r="F5" i="27"/>
  <c r="BI4" i="31"/>
  <c r="BL5" i="30"/>
  <c r="DB4" i="30"/>
  <c r="H4" i="30"/>
  <c r="CI5" i="29"/>
  <c r="T5" i="29"/>
  <c r="DF4" i="29"/>
  <c r="AT4" i="29"/>
  <c r="EG5" i="28"/>
  <c r="BU5" i="28"/>
  <c r="I5" i="28"/>
  <c r="CU4" i="28"/>
  <c r="AI4" i="28"/>
  <c r="DU5" i="27"/>
  <c r="BI5" i="27"/>
  <c r="CN5" i="31"/>
  <c r="E4" i="31"/>
  <c r="AE5" i="30"/>
  <c r="CB4" i="30"/>
  <c r="EJ5" i="29"/>
  <c r="BO5" i="29"/>
  <c r="C5" i="29"/>
  <c r="CO4" i="29"/>
  <c r="AC4" i="29"/>
  <c r="DP5" i="28"/>
  <c r="BD5" i="28"/>
  <c r="EP4" i="28"/>
  <c r="CD4" i="28"/>
  <c r="R4" i="28"/>
  <c r="DD5" i="27"/>
  <c r="AR5" i="27"/>
  <c r="BG5" i="31"/>
  <c r="EL5" i="30"/>
  <c r="N5" i="30"/>
  <c r="BM4" i="30"/>
  <c r="DZ5" i="29"/>
  <c r="BF5" i="29"/>
  <c r="ER4" i="29"/>
  <c r="CF4" i="29"/>
  <c r="T4" i="29"/>
  <c r="DG5" i="28"/>
  <c r="AU5" i="28"/>
  <c r="EG4" i="28"/>
  <c r="BU4" i="28"/>
  <c r="I4" i="28"/>
  <c r="CE5" i="27"/>
  <c r="DO4" i="27"/>
  <c r="BC4" i="27"/>
  <c r="EI5" i="26"/>
  <c r="BW5" i="26"/>
  <c r="K5" i="26"/>
  <c r="CW4" i="26"/>
  <c r="AK4" i="26"/>
  <c r="EL5" i="25"/>
  <c r="BZ5" i="25"/>
  <c r="N5" i="25"/>
  <c r="AX5" i="32"/>
  <c r="CY5" i="31"/>
  <c r="EW5" i="32"/>
  <c r="AY4" i="32"/>
  <c r="CZ4" i="31"/>
  <c r="B5" i="30"/>
  <c r="BT5" i="32"/>
  <c r="DU5" i="31"/>
  <c r="W4" i="31"/>
  <c r="BW4" i="30"/>
  <c r="BK5" i="32"/>
  <c r="DF5" i="32"/>
  <c r="H4" i="32"/>
  <c r="BC4" i="32"/>
  <c r="DD4" i="31"/>
  <c r="DV4" i="32"/>
  <c r="Y5" i="31"/>
  <c r="BY5" i="30"/>
  <c r="DE4" i="32"/>
  <c r="H5" i="31"/>
  <c r="CN5" i="30"/>
  <c r="BZ4" i="30"/>
  <c r="AQ5" i="30"/>
  <c r="DG5" i="29"/>
  <c r="CM4" i="29"/>
  <c r="BJ5" i="28"/>
  <c r="BD4" i="28"/>
  <c r="AP5" i="27"/>
  <c r="X5" i="30"/>
  <c r="CV5" i="29"/>
  <c r="CD4" i="29"/>
  <c r="BA5" i="28"/>
  <c r="AU4" i="28"/>
  <c r="AG5" i="27"/>
  <c r="N4" i="31"/>
  <c r="DH4" i="30"/>
  <c r="DM5" i="29"/>
  <c r="O5" i="29"/>
  <c r="CS4" i="29"/>
  <c r="Y4" i="29"/>
  <c r="CV5" i="28"/>
  <c r="AB5" i="28"/>
  <c r="DN4" i="28"/>
  <c r="BB4" i="28"/>
  <c r="EN5" i="27"/>
  <c r="CB5" i="27"/>
  <c r="AQ5" i="31"/>
  <c r="ED5" i="30"/>
  <c r="G5" i="30"/>
  <c r="BF4" i="30"/>
  <c r="DL5" i="29"/>
  <c r="AT5" i="29"/>
  <c r="EF4" i="29"/>
  <c r="BT4" i="29"/>
  <c r="H4" i="29"/>
  <c r="BJ4" i="31"/>
  <c r="BO5" i="30"/>
  <c r="DE4" i="30"/>
  <c r="I4" i="30"/>
  <c r="CJ5" i="29"/>
  <c r="U5" i="29"/>
  <c r="DG4" i="29"/>
  <c r="AU4" i="29"/>
  <c r="EH5" i="28"/>
  <c r="BV5" i="28"/>
  <c r="J5" i="28"/>
  <c r="CV4" i="28"/>
  <c r="AJ4" i="28"/>
  <c r="DV5" i="27"/>
  <c r="BJ5" i="27"/>
  <c r="EA5" i="31"/>
  <c r="AC4" i="31"/>
  <c r="AV5" i="30"/>
  <c r="CQ4" i="30"/>
  <c r="EW5" i="29"/>
  <c r="BY5" i="29"/>
  <c r="L5" i="29"/>
  <c r="CX4" i="29"/>
  <c r="AL4" i="29"/>
  <c r="DY5" i="28"/>
  <c r="BM5" i="28"/>
  <c r="R5" i="32"/>
  <c r="BS5" i="31"/>
  <c r="DQ5" i="32"/>
  <c r="S4" i="32"/>
  <c r="BT4" i="31"/>
  <c r="DT4" i="30"/>
  <c r="AN5" i="32"/>
  <c r="CO5" i="31"/>
  <c r="EO5" i="30"/>
  <c r="AQ4" i="30"/>
  <c r="AE5" i="32"/>
  <c r="BZ5" i="32"/>
  <c r="DU5" i="32"/>
  <c r="W4" i="32"/>
  <c r="BX4" i="31"/>
  <c r="CP4" i="32"/>
  <c r="EQ4" i="31"/>
  <c r="AS5" i="30"/>
  <c r="BY4" i="32"/>
  <c r="DZ4" i="31"/>
  <c r="BH5" i="30"/>
  <c r="BB4" i="30"/>
  <c r="AA5" i="30"/>
  <c r="BV5" i="29"/>
  <c r="BO4" i="29"/>
  <c r="BB5" i="28"/>
  <c r="X4" i="28"/>
  <c r="R5" i="27"/>
  <c r="K5" i="30"/>
  <c r="BL5" i="29"/>
  <c r="BF4" i="29"/>
  <c r="AS5" i="28"/>
  <c r="O4" i="28"/>
  <c r="I5" i="27"/>
  <c r="EE5" i="30"/>
  <c r="CT4" i="30"/>
  <c r="DD5" i="29"/>
  <c r="G5" i="29"/>
  <c r="CK4" i="29"/>
  <c r="Q4" i="29"/>
  <c r="CN5" i="28"/>
  <c r="T5" i="28"/>
  <c r="DF4" i="28"/>
  <c r="AT4" i="28"/>
  <c r="EF5" i="27"/>
  <c r="BT5" i="27"/>
  <c r="K5" i="31"/>
  <c r="DN5" i="30"/>
  <c r="ES4" i="30"/>
  <c r="AU4" i="30"/>
  <c r="DC5" i="29"/>
  <c r="AL5" i="29"/>
  <c r="DX4" i="29"/>
  <c r="BL4" i="29"/>
  <c r="EB5" i="31"/>
  <c r="AD4" i="31"/>
  <c r="AY5" i="30"/>
  <c r="CR4" i="30"/>
  <c r="EX5" i="29"/>
  <c r="CA5" i="29"/>
  <c r="M5" i="29"/>
  <c r="CY4" i="29"/>
  <c r="AM4" i="29"/>
  <c r="DZ5" i="28"/>
  <c r="BN5" i="28"/>
  <c r="B5" i="28"/>
  <c r="CN4" i="28"/>
  <c r="AB4" i="28"/>
  <c r="DN5" i="27"/>
  <c r="BB5" i="27"/>
  <c r="CU5" i="31"/>
  <c r="F4" i="31"/>
  <c r="AF5" i="30"/>
  <c r="CC4" i="30"/>
  <c r="EK5" i="29"/>
  <c r="BP5" i="29"/>
  <c r="D5" i="29"/>
  <c r="CP4" i="29"/>
  <c r="AD4" i="29"/>
  <c r="DQ5" i="28"/>
  <c r="BE5" i="28"/>
  <c r="EQ4" i="28"/>
  <c r="CE4" i="28"/>
  <c r="S4" i="28"/>
  <c r="DE5" i="27"/>
  <c r="AS5" i="27"/>
  <c r="AB5" i="31"/>
  <c r="DW5" i="30"/>
  <c r="C5" i="30"/>
  <c r="BC4" i="30"/>
  <c r="DR5" i="29"/>
  <c r="AY5" i="29"/>
  <c r="EK4" i="29"/>
  <c r="BY4" i="29"/>
  <c r="M4" i="29"/>
  <c r="CZ5" i="28"/>
  <c r="AN5" i="28"/>
  <c r="DZ4" i="28"/>
  <c r="BN4" i="28"/>
  <c r="B4" i="28"/>
  <c r="CN5" i="27"/>
  <c r="AB5" i="27"/>
  <c r="ES4" i="31"/>
  <c r="DF5" i="30"/>
  <c r="EM4" i="30"/>
  <c r="AN4" i="30"/>
  <c r="DH5" i="29"/>
  <c r="AP5" i="29"/>
  <c r="EB4" i="29"/>
  <c r="BP4" i="29"/>
  <c r="D4" i="29"/>
  <c r="CQ5" i="28"/>
  <c r="AE5" i="28"/>
  <c r="DQ4" i="28"/>
  <c r="BE4" i="28"/>
  <c r="CE5" i="28"/>
  <c r="AA5" i="27"/>
  <c r="CY4" i="27"/>
  <c r="AM4" i="27"/>
  <c r="DS5" i="26"/>
  <c r="BG5" i="26"/>
  <c r="ES4" i="26"/>
  <c r="CG4" i="26"/>
  <c r="U4" i="26"/>
  <c r="DV5" i="25"/>
  <c r="BJ5" i="25"/>
  <c r="FK4" i="25"/>
  <c r="EJ4" i="32"/>
  <c r="AM5" i="31"/>
  <c r="CK5" i="32"/>
  <c r="EL5" i="31"/>
  <c r="AN4" i="31"/>
  <c r="CN4" i="30"/>
  <c r="H5" i="32"/>
  <c r="BI5" i="31"/>
  <c r="DI5" i="30"/>
  <c r="K4" i="30"/>
  <c r="EW4" i="32"/>
  <c r="AT5" i="32"/>
  <c r="CO5" i="32"/>
  <c r="EP5" i="31"/>
  <c r="AR4" i="31"/>
  <c r="BJ4" i="32"/>
  <c r="DK4" i="31"/>
  <c r="EQ5" i="32"/>
  <c r="AS4" i="32"/>
  <c r="CT4" i="31"/>
  <c r="AZ5" i="30"/>
  <c r="ER5" i="31"/>
  <c r="EK4" i="30"/>
  <c r="BM5" i="29"/>
  <c r="AI4" i="29"/>
  <c r="AD5" i="28"/>
  <c r="P4" i="28"/>
  <c r="CE5" i="31"/>
  <c r="DW4" i="30"/>
  <c r="BD5" i="29"/>
  <c r="Z4" i="29"/>
  <c r="U5" i="28"/>
  <c r="G4" i="28"/>
  <c r="EJ5" i="31"/>
  <c r="DO5" i="30"/>
  <c r="CI4" i="30"/>
  <c r="CC5" i="29"/>
  <c r="EW4" i="29"/>
  <c r="CC4" i="29"/>
  <c r="I4" i="29"/>
  <c r="CF5" i="28"/>
  <c r="L5" i="28"/>
  <c r="CX4" i="28"/>
  <c r="AL4" i="28"/>
  <c r="DX5" i="27"/>
  <c r="BL5" i="27"/>
  <c r="EC4" i="31"/>
  <c r="CX5" i="30"/>
  <c r="EF4" i="30"/>
  <c r="AG4" i="30"/>
  <c r="CT5" i="29"/>
  <c r="AD5" i="29"/>
  <c r="DP4" i="29"/>
  <c r="BD4" i="29"/>
  <c r="CV5" i="31"/>
  <c r="L4" i="31"/>
  <c r="AI5" i="30"/>
  <c r="CD4" i="30"/>
  <c r="EN5" i="29"/>
  <c r="BQ5" i="29"/>
  <c r="E5" i="29"/>
  <c r="CQ4" i="29"/>
  <c r="AE4" i="29"/>
  <c r="DR5" i="28"/>
  <c r="BF5" i="28"/>
  <c r="ER4" i="28"/>
  <c r="CF4" i="28"/>
  <c r="T4" i="28"/>
  <c r="DF5" i="27"/>
  <c r="AT5" i="27"/>
  <c r="BO5" i="31"/>
  <c r="EN5" i="30"/>
  <c r="P5" i="30"/>
  <c r="BQ4" i="30"/>
  <c r="EB5" i="29"/>
  <c r="BH5" i="29"/>
  <c r="ET4" i="29"/>
  <c r="CH4" i="29"/>
  <c r="V4" i="29"/>
  <c r="DI5" i="28"/>
  <c r="AW5" i="28"/>
  <c r="EI4" i="28"/>
  <c r="BW4" i="28"/>
  <c r="K4" i="28"/>
  <c r="CW5" i="27"/>
  <c r="AK5" i="27"/>
  <c r="ET4" i="31"/>
  <c r="DG5" i="30"/>
  <c r="EN4" i="30"/>
  <c r="AO4" i="30"/>
  <c r="DI5" i="29"/>
  <c r="AQ5" i="29"/>
  <c r="EC4" i="29"/>
  <c r="BQ4" i="29"/>
  <c r="E4" i="29"/>
  <c r="CR5" i="28"/>
  <c r="AF5" i="28"/>
  <c r="DR4" i="28"/>
  <c r="BF4" i="28"/>
  <c r="ER5" i="27"/>
  <c r="CF5" i="27"/>
  <c r="T5" i="27"/>
  <c r="DM4" i="31"/>
  <c r="CP5" i="30"/>
  <c r="DY4" i="30"/>
  <c r="Z4" i="30"/>
  <c r="CY5" i="29"/>
  <c r="AH5" i="29"/>
  <c r="DT4" i="29"/>
  <c r="BH4" i="29"/>
  <c r="EU5" i="28"/>
  <c r="CI5" i="28"/>
  <c r="W5" i="28"/>
  <c r="DI4" i="28"/>
  <c r="AW4" i="28"/>
  <c r="S5" i="28"/>
  <c r="G5" i="27"/>
  <c r="CQ4" i="27"/>
  <c r="AE4" i="27"/>
  <c r="DK5" i="26"/>
  <c r="AY5" i="26"/>
  <c r="EK4" i="26"/>
  <c r="BY4" i="26"/>
  <c r="M4" i="26"/>
  <c r="DN5" i="25"/>
  <c r="BB5" i="25"/>
  <c r="FC4" i="25"/>
  <c r="DD4" i="32"/>
  <c r="G5" i="31"/>
  <c r="BE5" i="32"/>
  <c r="DF5" i="31"/>
  <c r="H4" i="31"/>
  <c r="BH4" i="30"/>
  <c r="DZ4" i="32"/>
  <c r="AC5" i="31"/>
  <c r="CC5" i="30"/>
  <c r="ED5" i="29"/>
  <c r="DQ4" i="32"/>
  <c r="N5" i="32"/>
  <c r="BI5" i="32"/>
  <c r="DJ5" i="31"/>
  <c r="EB5" i="32"/>
  <c r="AD4" i="32"/>
  <c r="CE4" i="31"/>
  <c r="DK5" i="32"/>
  <c r="M4" i="32"/>
  <c r="BN4" i="31"/>
  <c r="AB5" i="30"/>
  <c r="DL5" i="31"/>
  <c r="CK4" i="30"/>
  <c r="AO5" i="29"/>
  <c r="AA4" i="29"/>
  <c r="EV4" i="28"/>
  <c r="EP5" i="27"/>
  <c r="AY5" i="31"/>
  <c r="BV4" i="30"/>
  <c r="AF5" i="29"/>
  <c r="R4" i="29"/>
  <c r="EM4" i="28"/>
  <c r="EG5" i="27"/>
  <c r="DD5" i="31"/>
  <c r="BS5" i="30"/>
  <c r="BI4" i="30"/>
  <c r="BT5" i="29"/>
  <c r="EO4" i="29"/>
  <c r="BU4" i="29"/>
  <c r="ER5" i="28"/>
  <c r="BP5" i="28"/>
  <c r="D5" i="28"/>
  <c r="CP4" i="28"/>
  <c r="AD4" i="28"/>
  <c r="DP5" i="27"/>
  <c r="BD5" i="27"/>
  <c r="CW4" i="31"/>
  <c r="CH5" i="30"/>
  <c r="DR4" i="30"/>
  <c r="V4" i="30"/>
  <c r="CK5" i="29"/>
  <c r="V5" i="29"/>
  <c r="DH4" i="29"/>
  <c r="AV4" i="29"/>
  <c r="BP5" i="31"/>
  <c r="EQ5" i="30"/>
  <c r="S5" i="30"/>
  <c r="BS4" i="30"/>
  <c r="EC5" i="29"/>
  <c r="BI5" i="29"/>
  <c r="EU4" i="29"/>
  <c r="CI4" i="29"/>
  <c r="W4" i="29"/>
  <c r="DJ5" i="28"/>
  <c r="AX5" i="28"/>
  <c r="EJ4" i="28"/>
  <c r="BX4" i="28"/>
  <c r="L4" i="28"/>
  <c r="CX5" i="27"/>
  <c r="AL5" i="27"/>
  <c r="AI5" i="31"/>
  <c r="DX5" i="30"/>
  <c r="E5" i="30"/>
  <c r="BD4" i="30"/>
  <c r="DS5" i="29"/>
  <c r="AZ5" i="29"/>
  <c r="EL4" i="29"/>
  <c r="BZ4" i="29"/>
  <c r="N4" i="29"/>
  <c r="DA5" i="28"/>
  <c r="AO5" i="28"/>
  <c r="EA4" i="28"/>
  <c r="BO4" i="28"/>
  <c r="C4" i="28"/>
  <c r="CO5" i="27"/>
  <c r="AC5" i="27"/>
  <c r="DN4" i="31"/>
  <c r="CQ5" i="30"/>
  <c r="DZ4" i="30"/>
  <c r="AC4" i="30"/>
  <c r="CZ5" i="29"/>
  <c r="AI5" i="29"/>
  <c r="DU4" i="29"/>
  <c r="BI4" i="29"/>
  <c r="EV5" i="28"/>
  <c r="CJ5" i="28"/>
  <c r="X5" i="28"/>
  <c r="DJ4" i="28"/>
  <c r="AX4" i="28"/>
  <c r="EJ5" i="27"/>
  <c r="BX5" i="27"/>
  <c r="L5" i="27"/>
  <c r="CG4" i="31"/>
  <c r="BZ5" i="30"/>
  <c r="DM4" i="30"/>
  <c r="P4" i="30"/>
  <c r="CO5" i="29"/>
  <c r="Z5" i="29"/>
  <c r="DL4" i="29"/>
  <c r="AZ4" i="29"/>
  <c r="EM5" i="28"/>
  <c r="CA5" i="28"/>
  <c r="O5" i="28"/>
  <c r="DA4" i="28"/>
  <c r="AO4" i="28"/>
  <c r="DE4" i="28"/>
  <c r="EU4" i="27"/>
  <c r="CI4" i="27"/>
  <c r="W4" i="27"/>
  <c r="DC5" i="26"/>
  <c r="AQ5" i="26"/>
  <c r="EC4" i="26"/>
  <c r="BQ4" i="26"/>
  <c r="E4" i="26"/>
  <c r="DF5" i="25"/>
  <c r="AT5" i="25"/>
  <c r="EU4" i="25"/>
  <c r="A5" i="28"/>
  <c r="BN4" i="30"/>
  <c r="EH4" i="28"/>
  <c r="BA4" i="31"/>
  <c r="CF5" i="29"/>
  <c r="EE5" i="28"/>
  <c r="AG4" i="28"/>
  <c r="O4" i="27"/>
  <c r="BI4" i="26"/>
  <c r="EM4" i="25"/>
  <c r="CA4" i="25"/>
  <c r="O4" i="25"/>
  <c r="DA5" i="24"/>
  <c r="AO5" i="24"/>
  <c r="EM5" i="27"/>
  <c r="ED4" i="27"/>
  <c r="BR4" i="27"/>
  <c r="F4" i="27"/>
  <c r="CT5" i="26"/>
  <c r="AH5" i="26"/>
  <c r="DT4" i="26"/>
  <c r="BH4" i="26"/>
  <c r="FI5" i="25"/>
  <c r="CW5" i="25"/>
  <c r="AK5" i="25"/>
  <c r="EL4" i="25"/>
  <c r="BZ4" i="25"/>
  <c r="N4" i="25"/>
  <c r="CZ5" i="24"/>
  <c r="AN5" i="24"/>
  <c r="EI5" i="27"/>
  <c r="EC4" i="27"/>
  <c r="BQ4" i="27"/>
  <c r="E4" i="27"/>
  <c r="CS5" i="26"/>
  <c r="AG5" i="26"/>
  <c r="DS4" i="26"/>
  <c r="BG4" i="26"/>
  <c r="FH5" i="25"/>
  <c r="CV5" i="25"/>
  <c r="AJ5" i="25"/>
  <c r="EK4" i="25"/>
  <c r="BY4" i="25"/>
  <c r="M4" i="25"/>
  <c r="CY5" i="24"/>
  <c r="AM5" i="24"/>
  <c r="EE5" i="27"/>
  <c r="EB4" i="27"/>
  <c r="BP4" i="27"/>
  <c r="D4" i="27"/>
  <c r="CR5" i="26"/>
  <c r="AF5" i="26"/>
  <c r="DR4" i="26"/>
  <c r="BF4" i="26"/>
  <c r="FG5" i="25"/>
  <c r="CU5" i="25"/>
  <c r="AI5" i="25"/>
  <c r="EJ4" i="25"/>
  <c r="BX4" i="25"/>
  <c r="L4" i="25"/>
  <c r="CX5" i="24"/>
  <c r="AL5" i="24"/>
  <c r="CU5" i="27"/>
  <c r="DS4" i="27"/>
  <c r="BG4" i="27"/>
  <c r="EU5" i="26"/>
  <c r="CI5" i="26"/>
  <c r="W5" i="26"/>
  <c r="DI4" i="26"/>
  <c r="AW4" i="26"/>
  <c r="EP5" i="25"/>
  <c r="CD5" i="25"/>
  <c r="R5" i="25"/>
  <c r="DS4" i="25"/>
  <c r="BG4" i="25"/>
  <c r="ES5" i="24"/>
  <c r="CG5" i="24"/>
  <c r="U5" i="24"/>
  <c r="BK5" i="27"/>
  <c r="DJ4" i="27"/>
  <c r="AX4" i="27"/>
  <c r="EL5" i="26"/>
  <c r="BZ5" i="26"/>
  <c r="N5" i="26"/>
  <c r="CZ4" i="26"/>
  <c r="AN4" i="26"/>
  <c r="EO5" i="25"/>
  <c r="CC5" i="25"/>
  <c r="Q5" i="25"/>
  <c r="DR4" i="25"/>
  <c r="BF4" i="25"/>
  <c r="ER5" i="24"/>
  <c r="CF5" i="24"/>
  <c r="CU5" i="28"/>
  <c r="K5" i="27"/>
  <c r="CS4" i="27"/>
  <c r="AG4" i="27"/>
  <c r="DM5" i="26"/>
  <c r="BA5" i="26"/>
  <c r="EM4" i="26"/>
  <c r="CA4" i="26"/>
  <c r="O4" i="26"/>
  <c r="DP5" i="25"/>
  <c r="BD5" i="25"/>
  <c r="FE4" i="25"/>
  <c r="CS4" i="25"/>
  <c r="AG4" i="25"/>
  <c r="DK5" i="24"/>
  <c r="AY5" i="24"/>
  <c r="EU5" i="27"/>
  <c r="EF4" i="27"/>
  <c r="BT4" i="27"/>
  <c r="H4" i="27"/>
  <c r="CN5" i="26"/>
  <c r="AB5" i="26"/>
  <c r="DN4" i="26"/>
  <c r="BB4" i="26"/>
  <c r="FC5" i="25"/>
  <c r="CQ5" i="25"/>
  <c r="AE5" i="25"/>
  <c r="EF4" i="25"/>
  <c r="BT4" i="25"/>
  <c r="H4" i="25"/>
  <c r="CT5" i="24"/>
  <c r="AH5" i="24"/>
  <c r="DW4" i="24"/>
  <c r="BK4" i="24"/>
  <c r="CM4" i="28"/>
  <c r="EA5" i="29"/>
  <c r="BV4" i="28"/>
  <c r="DV5" i="30"/>
  <c r="AX5" i="29"/>
  <c r="CY5" i="28"/>
  <c r="EQ5" i="28"/>
  <c r="EA5" i="26"/>
  <c r="AC4" i="26"/>
  <c r="EE4" i="25"/>
  <c r="BS4" i="25"/>
  <c r="G4" i="25"/>
  <c r="CS5" i="24"/>
  <c r="AG5" i="24"/>
  <c r="DG5" i="27"/>
  <c r="DV4" i="27"/>
  <c r="BJ4" i="27"/>
  <c r="EX5" i="26"/>
  <c r="CL5" i="26"/>
  <c r="Z5" i="26"/>
  <c r="DL4" i="26"/>
  <c r="AZ4" i="26"/>
  <c r="FA5" i="25"/>
  <c r="CO5" i="25"/>
  <c r="AC5" i="25"/>
  <c r="ED4" i="25"/>
  <c r="BR4" i="25"/>
  <c r="F4" i="25"/>
  <c r="CR5" i="24"/>
  <c r="AF5" i="24"/>
  <c r="DC5" i="27"/>
  <c r="DU4" i="27"/>
  <c r="BI4" i="27"/>
  <c r="EW5" i="26"/>
  <c r="CK5" i="26"/>
  <c r="Y5" i="26"/>
  <c r="DK4" i="26"/>
  <c r="AY4" i="26"/>
  <c r="EZ5" i="25"/>
  <c r="CN5" i="25"/>
  <c r="AB5" i="25"/>
  <c r="EC4" i="25"/>
  <c r="BQ4" i="25"/>
  <c r="E4" i="25"/>
  <c r="CQ5" i="24"/>
  <c r="AE5" i="24"/>
  <c r="CY5" i="27"/>
  <c r="DT4" i="27"/>
  <c r="BH4" i="27"/>
  <c r="EV5" i="26"/>
  <c r="CJ5" i="26"/>
  <c r="X5" i="26"/>
  <c r="DJ4" i="26"/>
  <c r="AX4" i="26"/>
  <c r="EY5" i="25"/>
  <c r="CM5" i="25"/>
  <c r="AA5" i="25"/>
  <c r="EB4" i="25"/>
  <c r="BP4" i="25"/>
  <c r="D4" i="25"/>
  <c r="CP5" i="24"/>
  <c r="AD5" i="24"/>
  <c r="BO5" i="27"/>
  <c r="DK4" i="27"/>
  <c r="AY4" i="27"/>
  <c r="EM5" i="26"/>
  <c r="CA5" i="26"/>
  <c r="O5" i="26"/>
  <c r="DA4" i="26"/>
  <c r="AO4" i="26"/>
  <c r="EH5" i="25"/>
  <c r="BV5" i="25"/>
  <c r="J5" i="25"/>
  <c r="DK4" i="25"/>
  <c r="AY4" i="25"/>
  <c r="EK5" i="24"/>
  <c r="BY5" i="24"/>
  <c r="DC5" i="28"/>
  <c r="AI5" i="27"/>
  <c r="DB4" i="27"/>
  <c r="AP4" i="27"/>
  <c r="ED5" i="26"/>
  <c r="BR5" i="26"/>
  <c r="F5" i="26"/>
  <c r="CR4" i="26"/>
  <c r="AF4" i="26"/>
  <c r="EG5" i="25"/>
  <c r="BU5" i="25"/>
  <c r="I5" i="25"/>
  <c r="DJ4" i="25"/>
  <c r="AX4" i="25"/>
  <c r="EJ5" i="24"/>
  <c r="BX5" i="24"/>
  <c r="AI5" i="28"/>
  <c r="EW4" i="27"/>
  <c r="CK4" i="27"/>
  <c r="Y4" i="27"/>
  <c r="DE5" i="26"/>
  <c r="AS5" i="26"/>
  <c r="EE4" i="26"/>
  <c r="BS4" i="26"/>
  <c r="G4" i="26"/>
  <c r="DH5" i="25"/>
  <c r="AV5" i="25"/>
  <c r="EW4" i="25"/>
  <c r="CK4" i="25"/>
  <c r="Y4" i="25"/>
  <c r="DC5" i="24"/>
  <c r="AQ5" i="24"/>
  <c r="DO5" i="27"/>
  <c r="DX4" i="27"/>
  <c r="BL4" i="27"/>
  <c r="ER5" i="26"/>
  <c r="CF5" i="26"/>
  <c r="T5" i="26"/>
  <c r="DF4" i="26"/>
  <c r="AT4" i="26"/>
  <c r="EU5" i="25"/>
  <c r="CI5" i="25"/>
  <c r="W5" i="25"/>
  <c r="DX4" i="25"/>
  <c r="BL4" i="25"/>
  <c r="EX5" i="24"/>
  <c r="CL5" i="24"/>
  <c r="Z5" i="24"/>
  <c r="DO4" i="24"/>
  <c r="BC4" i="24"/>
  <c r="AA4" i="28"/>
  <c r="BG5" i="29"/>
  <c r="J4" i="28"/>
  <c r="BJ5" i="30"/>
  <c r="R5" i="29"/>
  <c r="BS5" i="28"/>
  <c r="AS4" i="28"/>
  <c r="CU5" i="26"/>
  <c r="FJ5" i="25"/>
  <c r="DW4" i="25"/>
  <c r="BK4" i="25"/>
  <c r="EW5" i="24"/>
  <c r="CK5" i="24"/>
  <c r="Y5" i="24"/>
  <c r="CA5" i="27"/>
  <c r="DN4" i="27"/>
  <c r="BB4" i="27"/>
  <c r="EP5" i="26"/>
  <c r="CD5" i="26"/>
  <c r="R5" i="26"/>
  <c r="DD4" i="26"/>
  <c r="AR4" i="26"/>
  <c r="ES5" i="25"/>
  <c r="CG5" i="25"/>
  <c r="U5" i="25"/>
  <c r="DV4" i="25"/>
  <c r="BJ4" i="25"/>
  <c r="EV5" i="24"/>
  <c r="CJ5" i="24"/>
  <c r="X5" i="24"/>
  <c r="BW5" i="27"/>
  <c r="DM4" i="27"/>
  <c r="BA4" i="27"/>
  <c r="EO5" i="26"/>
  <c r="CC5" i="26"/>
  <c r="Q5" i="26"/>
  <c r="DC4" i="26"/>
  <c r="AQ4" i="26"/>
  <c r="ER5" i="25"/>
  <c r="CF5" i="25"/>
  <c r="T5" i="25"/>
  <c r="DU4" i="25"/>
  <c r="BI4" i="25"/>
  <c r="EU5" i="24"/>
  <c r="CI5" i="24"/>
  <c r="W5" i="24"/>
  <c r="BS5" i="27"/>
  <c r="DL4" i="27"/>
  <c r="AZ4" i="27"/>
  <c r="EN5" i="26"/>
  <c r="CB5" i="26"/>
  <c r="P5" i="26"/>
  <c r="DB4" i="26"/>
  <c r="AP4" i="26"/>
  <c r="EQ5" i="25"/>
  <c r="CE5" i="25"/>
  <c r="S5" i="25"/>
  <c r="DT4" i="25"/>
  <c r="BH4" i="25"/>
  <c r="ET5" i="24"/>
  <c r="CH5" i="24"/>
  <c r="DK5" i="28"/>
  <c r="AM5" i="27"/>
  <c r="DC4" i="27"/>
  <c r="AQ4" i="27"/>
  <c r="EE5" i="26"/>
  <c r="BS5" i="26"/>
  <c r="G5" i="26"/>
  <c r="CS4" i="26"/>
  <c r="AG4" i="26"/>
  <c r="DZ5" i="25"/>
  <c r="BN5" i="25"/>
  <c r="B5" i="25"/>
  <c r="DC4" i="25"/>
  <c r="AQ4" i="25"/>
  <c r="EC5" i="24"/>
  <c r="BQ5" i="24"/>
  <c r="AQ5" i="28"/>
  <c r="O5" i="27"/>
  <c r="CT4" i="27"/>
  <c r="AH4" i="27"/>
  <c r="DV5" i="26"/>
  <c r="BJ5" i="26"/>
  <c r="EV4" i="26"/>
  <c r="CJ4" i="26"/>
  <c r="X4" i="26"/>
  <c r="DY5" i="25"/>
  <c r="BM5" i="25"/>
  <c r="A5" i="25"/>
  <c r="DB4" i="25"/>
  <c r="AP4" i="25"/>
  <c r="EB5" i="24"/>
  <c r="BP5" i="24"/>
  <c r="DU4" i="28"/>
  <c r="EO4" i="27"/>
  <c r="CC4" i="27"/>
  <c r="Q4" i="27"/>
  <c r="CW5" i="26"/>
  <c r="AK5" i="26"/>
  <c r="DW4" i="26"/>
  <c r="BK4" i="26"/>
  <c r="FL5" i="25"/>
  <c r="CZ5" i="25"/>
  <c r="AN5" i="25"/>
  <c r="EO4" i="25"/>
  <c r="CC4" i="25"/>
  <c r="Q4" i="25"/>
  <c r="CU5" i="24"/>
  <c r="AI5" i="24"/>
  <c r="CI5" i="27"/>
  <c r="DP4" i="27"/>
  <c r="BD4" i="27"/>
  <c r="EJ5" i="26"/>
  <c r="BX5" i="26"/>
  <c r="L5" i="26"/>
  <c r="CX4" i="26"/>
  <c r="AL4" i="26"/>
  <c r="EM5" i="25"/>
  <c r="CA5" i="25"/>
  <c r="O5" i="25"/>
  <c r="DP4" i="25"/>
  <c r="BD4" i="25"/>
  <c r="EP5" i="24"/>
  <c r="CD5" i="24"/>
  <c r="V5" i="24"/>
  <c r="DG4" i="24"/>
  <c r="AU4" i="24"/>
  <c r="DM5" i="27"/>
  <c r="ES4" i="29"/>
  <c r="CV5" i="27"/>
  <c r="EX4" i="30"/>
  <c r="EJ4" i="29"/>
  <c r="AM5" i="28"/>
  <c r="AY5" i="27"/>
  <c r="BO5" i="26"/>
  <c r="ED5" i="25"/>
  <c r="DO4" i="25"/>
  <c r="BC4" i="25"/>
  <c r="EO5" i="24"/>
  <c r="CC5" i="24"/>
  <c r="EI5" i="28"/>
  <c r="AU5" i="27"/>
  <c r="DF4" i="27"/>
  <c r="AT4" i="27"/>
  <c r="EH5" i="26"/>
  <c r="BV5" i="26"/>
  <c r="J5" i="26"/>
  <c r="CV4" i="26"/>
  <c r="AJ4" i="26"/>
  <c r="EK5" i="25"/>
  <c r="BY5" i="25"/>
  <c r="M5" i="25"/>
  <c r="DN4" i="25"/>
  <c r="BB4" i="25"/>
  <c r="EN5" i="24"/>
  <c r="CB5" i="24"/>
  <c r="EA5" i="28"/>
  <c r="AQ5" i="27"/>
  <c r="DE4" i="27"/>
  <c r="AS4" i="27"/>
  <c r="EG5" i="26"/>
  <c r="BU5" i="26"/>
  <c r="I5" i="26"/>
  <c r="CU4" i="26"/>
  <c r="AI4" i="26"/>
  <c r="EJ5" i="25"/>
  <c r="BX5" i="25"/>
  <c r="L5" i="25"/>
  <c r="DM4" i="25"/>
  <c r="BA4" i="25"/>
  <c r="EM5" i="24"/>
  <c r="CA5" i="24"/>
  <c r="DS5" i="28"/>
  <c r="AN5" i="27"/>
  <c r="DD4" i="27"/>
  <c r="AR4" i="27"/>
  <c r="EF5" i="26"/>
  <c r="BT5" i="26"/>
  <c r="H5" i="26"/>
  <c r="CT4" i="26"/>
  <c r="AH4" i="26"/>
  <c r="EI5" i="25"/>
  <c r="BW5" i="25"/>
  <c r="K5" i="25"/>
  <c r="DL4" i="25"/>
  <c r="AZ4" i="25"/>
  <c r="EL5" i="24"/>
  <c r="BZ5" i="24"/>
  <c r="AY5" i="28"/>
  <c r="P5" i="27"/>
  <c r="CU4" i="27"/>
  <c r="AI4" i="27"/>
  <c r="DW5" i="26"/>
  <c r="BK5" i="26"/>
  <c r="EW4" i="26"/>
  <c r="CK4" i="26"/>
  <c r="Y4" i="26"/>
  <c r="DR5" i="25"/>
  <c r="BF5" i="25"/>
  <c r="FG4" i="25"/>
  <c r="CU4" i="25"/>
  <c r="AI4" i="25"/>
  <c r="DU5" i="24"/>
  <c r="BI5" i="24"/>
  <c r="EC4" i="28"/>
  <c r="EX4" i="27"/>
  <c r="CL4" i="27"/>
  <c r="Z4" i="27"/>
  <c r="DN5" i="26"/>
  <c r="BB5" i="26"/>
  <c r="EN4" i="26"/>
  <c r="CB4" i="26"/>
  <c r="P4" i="26"/>
  <c r="DQ5" i="25"/>
  <c r="BE5" i="25"/>
  <c r="FF4" i="25"/>
  <c r="CT4" i="25"/>
  <c r="AH4" i="25"/>
  <c r="DT5" i="24"/>
  <c r="BH5" i="24"/>
  <c r="BI4" i="28"/>
  <c r="EG4" i="27"/>
  <c r="BU4" i="27"/>
  <c r="I4" i="27"/>
  <c r="CO5" i="26"/>
  <c r="AC5" i="26"/>
  <c r="DO4" i="26"/>
  <c r="BC4" i="26"/>
  <c r="FD5" i="25"/>
  <c r="CR5" i="25"/>
  <c r="AF5" i="25"/>
  <c r="EG4" i="25"/>
  <c r="BU4" i="25"/>
  <c r="I4" i="25"/>
  <c r="CM5" i="24"/>
  <c r="AA5" i="24"/>
  <c r="BC5" i="27"/>
  <c r="DH4" i="27"/>
  <c r="AV4" i="27"/>
  <c r="EB5" i="26"/>
  <c r="BP5" i="26"/>
  <c r="D5" i="26"/>
  <c r="CP4" i="26"/>
  <c r="AD4" i="26"/>
  <c r="EE5" i="25"/>
  <c r="BS5" i="25"/>
  <c r="G5" i="25"/>
  <c r="DH4" i="25"/>
  <c r="AV4" i="25"/>
  <c r="EH5" i="24"/>
  <c r="BV5" i="24"/>
  <c r="M5" i="24"/>
  <c r="CY4" i="24"/>
  <c r="AM4" i="24"/>
  <c r="BA5" i="27"/>
  <c r="CG4" i="29"/>
  <c r="BP5" i="27"/>
  <c r="CZ4" i="30"/>
  <c r="DD4" i="29"/>
  <c r="G5" i="28"/>
  <c r="EM4" i="27"/>
  <c r="AI5" i="26"/>
  <c r="CX5" i="25"/>
  <c r="DG4" i="25"/>
  <c r="AU4" i="25"/>
  <c r="EG5" i="24"/>
  <c r="BU5" i="24"/>
  <c r="BW5" i="28"/>
  <c r="X5" i="27"/>
  <c r="CX4" i="27"/>
  <c r="AL4" i="27"/>
  <c r="DZ5" i="26"/>
  <c r="BN5" i="26"/>
  <c r="B5" i="26"/>
  <c r="CN4" i="26"/>
  <c r="AB4" i="26"/>
  <c r="EC5" i="25"/>
  <c r="BQ5" i="25"/>
  <c r="E5" i="25"/>
  <c r="DF4" i="25"/>
  <c r="AT4" i="25"/>
  <c r="EF5" i="24"/>
  <c r="BT5" i="24"/>
  <c r="BO5" i="28"/>
  <c r="W5" i="27"/>
  <c r="CW4" i="27"/>
  <c r="AK4" i="27"/>
  <c r="DY5" i="26"/>
  <c r="BM5" i="26"/>
  <c r="A5" i="26"/>
  <c r="CM4" i="26"/>
  <c r="AA4" i="26"/>
  <c r="EB5" i="25"/>
  <c r="BP5" i="25"/>
  <c r="D5" i="25"/>
  <c r="DE4" i="25"/>
  <c r="AS4" i="25"/>
  <c r="EE5" i="24"/>
  <c r="BS5" i="24"/>
  <c r="BG5" i="28"/>
  <c r="S5" i="27"/>
  <c r="CV4" i="27"/>
  <c r="AJ4" i="27"/>
  <c r="DX5" i="26"/>
  <c r="BL5" i="26"/>
  <c r="EX4" i="26"/>
  <c r="CL4" i="26"/>
  <c r="Z4" i="26"/>
  <c r="EA5" i="25"/>
  <c r="BO5" i="25"/>
  <c r="C5" i="25"/>
  <c r="DD4" i="25"/>
  <c r="AR4" i="25"/>
  <c r="ED5" i="24"/>
  <c r="BR5" i="24"/>
  <c r="EK4" i="28"/>
  <c r="A5" i="27"/>
  <c r="CM4" i="27"/>
  <c r="AA4" i="27"/>
  <c r="DO5" i="26"/>
  <c r="BC5" i="26"/>
  <c r="EO4" i="26"/>
  <c r="CC4" i="26"/>
  <c r="Q4" i="26"/>
  <c r="DJ5" i="25"/>
  <c r="AX5" i="25"/>
  <c r="EY4" i="25"/>
  <c r="CM4" i="25"/>
  <c r="AA4" i="25"/>
  <c r="DM5" i="24"/>
  <c r="BA5" i="24"/>
  <c r="BQ4" i="28"/>
  <c r="EP4" i="27"/>
  <c r="CD4" i="27"/>
  <c r="R4" i="27"/>
  <c r="DF5" i="26"/>
  <c r="AT5" i="26"/>
  <c r="EF4" i="26"/>
  <c r="BT4" i="26"/>
  <c r="H4" i="26"/>
  <c r="DI5" i="25"/>
  <c r="AW5" i="25"/>
  <c r="EX4" i="25"/>
  <c r="CL4" i="25"/>
  <c r="Z4" i="25"/>
  <c r="DL5" i="24"/>
  <c r="AZ5" i="24"/>
  <c r="DS5" i="27"/>
  <c r="DY4" i="27"/>
  <c r="BM4" i="27"/>
  <c r="ES5" i="26"/>
  <c r="CG5" i="26"/>
  <c r="U5" i="26"/>
  <c r="DG4" i="26"/>
  <c r="AU4" i="26"/>
  <c r="EV5" i="25"/>
  <c r="CJ5" i="25"/>
  <c r="X5" i="25"/>
  <c r="DY4" i="25"/>
  <c r="BM4" i="25"/>
  <c r="EQ5" i="24"/>
  <c r="CE5" i="24"/>
  <c r="CM5" i="28"/>
  <c r="AE5" i="27"/>
  <c r="CZ4" i="27"/>
  <c r="AN4" i="27"/>
  <c r="DT5" i="26"/>
  <c r="BH5" i="26"/>
  <c r="ET4" i="26"/>
  <c r="CH4" i="26"/>
  <c r="V4" i="26"/>
  <c r="DW5" i="25"/>
  <c r="BK5" i="25"/>
  <c r="FL4" i="25"/>
  <c r="CZ4" i="25"/>
  <c r="AN4" i="25"/>
  <c r="DZ5" i="24"/>
  <c r="BN5" i="24"/>
  <c r="E5" i="24"/>
  <c r="CQ4" i="24"/>
  <c r="AE4" i="24"/>
  <c r="BH5" i="31"/>
  <c r="U4" i="29"/>
  <c r="AJ5" i="27"/>
  <c r="BA4" i="30"/>
  <c r="BX4" i="29"/>
  <c r="DY4" i="28"/>
  <c r="DG4" i="27"/>
  <c r="C5" i="26"/>
  <c r="BR5" i="25"/>
  <c r="CY4" i="25"/>
  <c r="AM4" i="25"/>
  <c r="DY5" i="24"/>
  <c r="BM5" i="24"/>
  <c r="K5" i="28"/>
  <c r="E5" i="27"/>
  <c r="CP4" i="27"/>
  <c r="AD4" i="27"/>
  <c r="DR5" i="26"/>
  <c r="BF5" i="26"/>
  <c r="ER4" i="26"/>
  <c r="CF4" i="26"/>
  <c r="T4" i="26"/>
  <c r="DU5" i="25"/>
  <c r="BI5" i="25"/>
  <c r="FJ4" i="25"/>
  <c r="CX4" i="25"/>
  <c r="AL4" i="25"/>
  <c r="DX5" i="24"/>
  <c r="BL5" i="24"/>
  <c r="C5" i="28"/>
  <c r="C5" i="27"/>
  <c r="CO4" i="27"/>
  <c r="AC4" i="27"/>
  <c r="DQ5" i="26"/>
  <c r="BE5" i="26"/>
  <c r="EQ4" i="26"/>
  <c r="CE4" i="26"/>
  <c r="S4" i="26"/>
  <c r="DT5" i="25"/>
  <c r="BH5" i="25"/>
  <c r="FI4" i="25"/>
  <c r="CW4" i="25"/>
  <c r="AK4" i="25"/>
  <c r="DW5" i="24"/>
  <c r="BK5" i="24"/>
  <c r="ES4" i="28"/>
  <c r="B5" i="27"/>
  <c r="CN4" i="27"/>
  <c r="AB4" i="27"/>
  <c r="DP5" i="26"/>
  <c r="BD5" i="26"/>
  <c r="EP4" i="26"/>
  <c r="CD4" i="26"/>
  <c r="R4" i="26"/>
  <c r="DS5" i="25"/>
  <c r="BG5" i="25"/>
  <c r="FH4" i="25"/>
  <c r="CV4" i="25"/>
  <c r="AJ4" i="25"/>
  <c r="DV5" i="24"/>
  <c r="BJ5" i="24"/>
  <c r="BY4" i="28"/>
  <c r="EQ4" i="27"/>
  <c r="CE4" i="27"/>
  <c r="S4" i="27"/>
  <c r="DG5" i="26"/>
  <c r="AU5" i="26"/>
  <c r="EG4" i="26"/>
  <c r="BU4" i="26"/>
  <c r="I4" i="26"/>
  <c r="DB5" i="25"/>
  <c r="AP5" i="25"/>
  <c r="EQ4" i="25"/>
  <c r="CE4" i="25"/>
  <c r="S4" i="25"/>
  <c r="DE5" i="24"/>
  <c r="AS5" i="24"/>
  <c r="E4" i="28"/>
  <c r="EH4" i="27"/>
  <c r="BV4" i="27"/>
  <c r="J4" i="27"/>
  <c r="CX5" i="26"/>
  <c r="AL5" i="26"/>
  <c r="DX4" i="26"/>
  <c r="BL4" i="26"/>
  <c r="FM5" i="25"/>
  <c r="DA5" i="25"/>
  <c r="AO5" i="25"/>
  <c r="EP4" i="25"/>
  <c r="CD4" i="25"/>
  <c r="R4" i="25"/>
  <c r="DD5" i="24"/>
  <c r="AR5" i="24"/>
  <c r="CM5" i="27"/>
  <c r="DQ4" i="27"/>
  <c r="BE4" i="27"/>
  <c r="EK5" i="26"/>
  <c r="BY5" i="26"/>
  <c r="M5" i="26"/>
  <c r="CY4" i="26"/>
  <c r="AM4" i="26"/>
  <c r="EN5" i="25"/>
  <c r="CB5" i="25"/>
  <c r="P5" i="25"/>
  <c r="DQ4" i="25"/>
  <c r="BE4" i="25"/>
  <c r="EI5" i="24"/>
  <c r="BW5" i="24"/>
  <c r="AA5" i="28"/>
  <c r="H5" i="27"/>
  <c r="CR4" i="27"/>
  <c r="AF4" i="27"/>
  <c r="DL5" i="26"/>
  <c r="AZ5" i="26"/>
  <c r="EL4" i="26"/>
  <c r="BZ4" i="26"/>
  <c r="N4" i="26"/>
  <c r="DO5" i="25"/>
  <c r="BC5" i="25"/>
  <c r="FD4" i="25"/>
  <c r="CR4" i="25"/>
  <c r="AF4" i="25"/>
  <c r="DR5" i="24"/>
  <c r="BF5" i="24"/>
  <c r="EU4" i="24"/>
  <c r="CI4" i="24"/>
  <c r="W4" i="24"/>
  <c r="EM5" i="30"/>
  <c r="DH5" i="28"/>
  <c r="D5" i="27"/>
  <c r="F4" i="30"/>
  <c r="AR4" i="29"/>
  <c r="CS4" i="28"/>
  <c r="CA4" i="27"/>
  <c r="DU4" i="26"/>
  <c r="AL5" i="25"/>
  <c r="CQ4" i="25"/>
  <c r="AE4" i="25"/>
  <c r="DQ5" i="24"/>
  <c r="BE5" i="24"/>
  <c r="CW4" i="28"/>
  <c r="ET4" i="27"/>
  <c r="CH4" i="27"/>
  <c r="V4" i="27"/>
  <c r="DJ5" i="26"/>
  <c r="AX5" i="26"/>
  <c r="EJ4" i="26"/>
  <c r="BX4" i="26"/>
  <c r="L4" i="26"/>
  <c r="DM5" i="25"/>
  <c r="BA5" i="25"/>
  <c r="FB4" i="25"/>
  <c r="CP4" i="25"/>
  <c r="AD4" i="25"/>
  <c r="DP5" i="24"/>
  <c r="BD5" i="24"/>
  <c r="CO4" i="28"/>
  <c r="ES4" i="27"/>
  <c r="CG4" i="27"/>
  <c r="U4" i="27"/>
  <c r="DI5" i="26"/>
  <c r="AW5" i="26"/>
  <c r="EI4" i="26"/>
  <c r="BW4" i="26"/>
  <c r="K4" i="26"/>
  <c r="DL5" i="25"/>
  <c r="AZ5" i="25"/>
  <c r="FA4" i="25"/>
  <c r="CO4" i="25"/>
  <c r="AC4" i="25"/>
  <c r="DO5" i="24"/>
  <c r="BC5" i="24"/>
  <c r="CG4" i="28"/>
  <c r="ER4" i="27"/>
  <c r="CF4" i="27"/>
  <c r="T4" i="27"/>
  <c r="DH5" i="26"/>
  <c r="AV5" i="26"/>
  <c r="EH4" i="26"/>
  <c r="BV4" i="26"/>
  <c r="J4" i="26"/>
  <c r="DK5" i="25"/>
  <c r="AY5" i="25"/>
  <c r="EZ4" i="25"/>
  <c r="CN4" i="25"/>
  <c r="AB4" i="25"/>
  <c r="DN5" i="24"/>
  <c r="BB5" i="24"/>
  <c r="M4" i="28"/>
  <c r="EI4" i="27"/>
  <c r="BW4" i="27"/>
  <c r="K4" i="27"/>
  <c r="CY5" i="26"/>
  <c r="AM5" i="26"/>
  <c r="DY4" i="26"/>
  <c r="BM4" i="26"/>
  <c r="FF5" i="25"/>
  <c r="CT5" i="25"/>
  <c r="AH5" i="25"/>
  <c r="EI4" i="25"/>
  <c r="BW4" i="25"/>
  <c r="K4" i="25"/>
  <c r="CW5" i="24"/>
  <c r="AK5" i="24"/>
  <c r="DW5" i="27"/>
  <c r="DZ4" i="27"/>
  <c r="BN4" i="27"/>
  <c r="B4" i="27"/>
  <c r="CP5" i="26"/>
  <c r="AD5" i="26"/>
  <c r="DP4" i="26"/>
  <c r="BD4" i="26"/>
  <c r="FE5" i="25"/>
  <c r="CS5" i="25"/>
  <c r="AG5" i="25"/>
  <c r="EH4" i="25"/>
  <c r="BV4" i="25"/>
  <c r="J4" i="25"/>
  <c r="CV5" i="24"/>
  <c r="AJ5" i="24"/>
  <c r="BG5" i="27"/>
  <c r="DI4" i="27"/>
  <c r="AW4" i="27"/>
  <c r="EC5" i="26"/>
  <c r="BQ5" i="26"/>
  <c r="E5" i="26"/>
  <c r="CQ4" i="26"/>
  <c r="AE4" i="26"/>
  <c r="EF5" i="25"/>
  <c r="BT5" i="25"/>
  <c r="H5" i="25"/>
  <c r="DI4" i="25"/>
  <c r="AW4" i="25"/>
  <c r="EA5" i="24"/>
  <c r="BO5" i="24"/>
  <c r="DM4" i="28"/>
  <c r="EV4" i="27"/>
  <c r="CJ4" i="27"/>
  <c r="X4" i="27"/>
  <c r="DD5" i="26"/>
  <c r="AR5" i="26"/>
  <c r="ED4" i="26"/>
  <c r="BR4" i="26"/>
  <c r="F4" i="26"/>
  <c r="DG5" i="25"/>
  <c r="AU5" i="25"/>
  <c r="EV4" i="25"/>
  <c r="CJ4" i="25"/>
  <c r="X4" i="25"/>
  <c r="DJ5" i="24"/>
  <c r="AX5" i="24"/>
  <c r="EM4" i="24"/>
  <c r="CA4" i="24"/>
  <c r="O4" i="24"/>
  <c r="O5" i="30"/>
  <c r="AV5" i="28"/>
  <c r="AA5" i="31"/>
  <c r="DQ5" i="29"/>
  <c r="L4" i="29"/>
  <c r="BM4" i="28"/>
  <c r="AU4" i="27"/>
  <c r="CO4" i="26"/>
  <c r="F5" i="25"/>
  <c r="CI4" i="25"/>
  <c r="W4" i="25"/>
  <c r="DI5" i="24"/>
  <c r="AW5" i="24"/>
  <c r="AK4" i="28"/>
  <c r="EL4" i="27"/>
  <c r="BZ4" i="27"/>
  <c r="N4" i="27"/>
  <c r="DB5" i="26"/>
  <c r="AP5" i="26"/>
  <c r="EB4" i="26"/>
  <c r="BP4" i="26"/>
  <c r="D4" i="26"/>
  <c r="DE5" i="25"/>
  <c r="AS5" i="25"/>
  <c r="ET4" i="25"/>
  <c r="CH4" i="25"/>
  <c r="V4" i="25"/>
  <c r="DH5" i="24"/>
  <c r="AV5" i="24"/>
  <c r="AC4" i="28"/>
  <c r="EK4" i="27"/>
  <c r="BY4" i="27"/>
  <c r="M4" i="27"/>
  <c r="DA5" i="26"/>
  <c r="AO5" i="26"/>
  <c r="EA4" i="26"/>
  <c r="BO4" i="26"/>
  <c r="C4" i="26"/>
  <c r="DD5" i="25"/>
  <c r="AR5" i="25"/>
  <c r="ES4" i="25"/>
  <c r="CG4" i="25"/>
  <c r="U4" i="25"/>
  <c r="DG5" i="24"/>
  <c r="AU5" i="24"/>
  <c r="U4" i="28"/>
  <c r="EJ4" i="27"/>
  <c r="BX4" i="27"/>
  <c r="L4" i="27"/>
  <c r="CZ5" i="26"/>
  <c r="AN5" i="26"/>
  <c r="DZ4" i="26"/>
  <c r="BN4" i="26"/>
  <c r="B4" i="26"/>
  <c r="DC5" i="25"/>
  <c r="AQ5" i="25"/>
  <c r="ER4" i="25"/>
  <c r="CF4" i="25"/>
  <c r="T4" i="25"/>
  <c r="DF5" i="24"/>
  <c r="AT5" i="24"/>
  <c r="EA5" i="27"/>
  <c r="EA4" i="27"/>
  <c r="BO4" i="27"/>
  <c r="C4" i="27"/>
  <c r="CQ5" i="26"/>
  <c r="AE5" i="26"/>
  <c r="DQ4" i="26"/>
  <c r="BE4" i="26"/>
  <c r="EX5" i="25"/>
  <c r="CL5" i="25"/>
  <c r="Z5" i="25"/>
  <c r="EA4" i="25"/>
  <c r="BO4" i="25"/>
  <c r="C4" i="25"/>
  <c r="CO5" i="24"/>
  <c r="AC5" i="24"/>
  <c r="CQ5" i="27"/>
  <c r="DR4" i="27"/>
  <c r="BF4" i="27"/>
  <c r="ET5" i="26"/>
  <c r="CH5" i="26"/>
  <c r="V5" i="26"/>
  <c r="DH4" i="26"/>
  <c r="AV4" i="26"/>
  <c r="EW5" i="25"/>
  <c r="CK5" i="25"/>
  <c r="Y5" i="25"/>
  <c r="DZ4" i="25"/>
  <c r="BN4" i="25"/>
  <c r="B4" i="25"/>
  <c r="CN5" i="24"/>
  <c r="AB5" i="24"/>
  <c r="AF5" i="27"/>
  <c r="DA4" i="27"/>
  <c r="AO4" i="27"/>
  <c r="DU5" i="26"/>
  <c r="BI5" i="26"/>
  <c r="EU4" i="26"/>
  <c r="CI4" i="26"/>
  <c r="W4" i="26"/>
  <c r="DX5" i="25"/>
  <c r="BL5" i="25"/>
  <c r="FM4" i="25"/>
  <c r="DA4" i="25"/>
  <c r="AO4" i="25"/>
  <c r="DS5" i="24"/>
  <c r="BG5" i="24"/>
  <c r="BA4" i="28"/>
  <c r="EN4" i="27"/>
  <c r="CB4" i="27"/>
  <c r="P4" i="27"/>
  <c r="CV5" i="26"/>
  <c r="AJ5" i="26"/>
  <c r="DV4" i="26"/>
  <c r="BJ4" i="26"/>
  <c r="FK5" i="25"/>
  <c r="CY5" i="25"/>
  <c r="AM5" i="25"/>
  <c r="EN4" i="25"/>
  <c r="CB4" i="25"/>
  <c r="P4" i="25"/>
  <c r="DB5" i="24"/>
  <c r="AP5" i="24"/>
  <c r="EE4" i="24"/>
  <c r="BS4" i="24"/>
  <c r="G4" i="24"/>
  <c r="EW5" i="23"/>
  <c r="CK5" i="23"/>
  <c r="Y5" i="23"/>
  <c r="DK4" i="23"/>
  <c r="AY4" i="23"/>
  <c r="EK5" i="22"/>
  <c r="BY5" i="22"/>
  <c r="M5" i="22"/>
  <c r="CY4" i="22"/>
  <c r="AM4" i="22"/>
  <c r="DY5" i="21"/>
  <c r="BM5" i="21"/>
  <c r="A5" i="21"/>
  <c r="CM4" i="21"/>
  <c r="ED4" i="24"/>
  <c r="BR4" i="24"/>
  <c r="F4" i="24"/>
  <c r="CR5" i="23"/>
  <c r="AF5" i="23"/>
  <c r="DR4" i="23"/>
  <c r="BF4" i="23"/>
  <c r="ER5" i="22"/>
  <c r="CF5" i="22"/>
  <c r="T5" i="22"/>
  <c r="DF4" i="22"/>
  <c r="AT4" i="22"/>
  <c r="EF5" i="21"/>
  <c r="BT5" i="21"/>
  <c r="H5" i="21"/>
  <c r="CT4" i="21"/>
  <c r="EC4" i="24"/>
  <c r="BQ4" i="24"/>
  <c r="E4" i="24"/>
  <c r="CQ5" i="23"/>
  <c r="AE5" i="23"/>
  <c r="DQ4" i="23"/>
  <c r="BE4" i="23"/>
  <c r="EI5" i="22"/>
  <c r="BW5" i="22"/>
  <c r="K5" i="22"/>
  <c r="CW4" i="22"/>
  <c r="AK4" i="22"/>
  <c r="DW5" i="21"/>
  <c r="BK5" i="21"/>
  <c r="EW4" i="21"/>
  <c r="CK4" i="21"/>
  <c r="DT4" i="24"/>
  <c r="BH4" i="24"/>
  <c r="ET5" i="23"/>
  <c r="CH5" i="23"/>
  <c r="V5" i="23"/>
  <c r="DH4" i="23"/>
  <c r="AV4" i="23"/>
  <c r="EH5" i="22"/>
  <c r="BV5" i="22"/>
  <c r="J5" i="22"/>
  <c r="CV4" i="22"/>
  <c r="AJ4" i="22"/>
  <c r="DV5" i="21"/>
  <c r="BJ5" i="21"/>
  <c r="EV4" i="21"/>
  <c r="CJ4" i="21"/>
  <c r="DS4" i="24"/>
  <c r="BG4" i="24"/>
  <c r="ES5" i="23"/>
  <c r="CG5" i="23"/>
  <c r="U5" i="23"/>
  <c r="DG4" i="23"/>
  <c r="AU4" i="23"/>
  <c r="EG5" i="22"/>
  <c r="BU5" i="22"/>
  <c r="I5" i="22"/>
  <c r="CU4" i="22"/>
  <c r="AI4" i="22"/>
  <c r="DU5" i="21"/>
  <c r="BI5" i="21"/>
  <c r="EU4" i="21"/>
  <c r="CI4" i="21"/>
  <c r="DJ4" i="24"/>
  <c r="AX4" i="24"/>
  <c r="EJ5" i="23"/>
  <c r="BX5" i="23"/>
  <c r="L5" i="23"/>
  <c r="CX4" i="23"/>
  <c r="AL4" i="23"/>
  <c r="DX5" i="22"/>
  <c r="BL5" i="22"/>
  <c r="EX4" i="22"/>
  <c r="CL4" i="22"/>
  <c r="Z4" i="22"/>
  <c r="DL5" i="21"/>
  <c r="AZ5" i="21"/>
  <c r="EL4" i="21"/>
  <c r="BZ4" i="21"/>
  <c r="DI4" i="24"/>
  <c r="AW4" i="24"/>
  <c r="EA5" i="23"/>
  <c r="BO5" i="23"/>
  <c r="ES4" i="23"/>
  <c r="CG4" i="23"/>
  <c r="U4" i="23"/>
  <c r="DG5" i="22"/>
  <c r="AU5" i="22"/>
  <c r="EG4" i="22"/>
  <c r="BU4" i="22"/>
  <c r="I4" i="22"/>
  <c r="CM5" i="21"/>
  <c r="AA5" i="21"/>
  <c r="DM4" i="21"/>
  <c r="EV4" i="24"/>
  <c r="CJ4" i="24"/>
  <c r="X4" i="24"/>
  <c r="DJ5" i="23"/>
  <c r="AX5" i="23"/>
  <c r="EJ4" i="23"/>
  <c r="BX4" i="23"/>
  <c r="L4" i="23"/>
  <c r="CX5" i="22"/>
  <c r="AL5" i="22"/>
  <c r="DX4" i="22"/>
  <c r="BL4" i="22"/>
  <c r="EX5" i="21"/>
  <c r="CL5" i="21"/>
  <c r="Z5" i="21"/>
  <c r="DL4" i="21"/>
  <c r="AY4" i="21"/>
  <c r="EK5" i="20"/>
  <c r="BY5" i="20"/>
  <c r="EO5" i="23"/>
  <c r="CC5" i="23"/>
  <c r="Q5" i="23"/>
  <c r="DC4" i="23"/>
  <c r="AQ4" i="23"/>
  <c r="EC5" i="22"/>
  <c r="BQ5" i="22"/>
  <c r="E5" i="22"/>
  <c r="CQ4" i="22"/>
  <c r="AE4" i="22"/>
  <c r="DQ5" i="21"/>
  <c r="BE5" i="21"/>
  <c r="EQ4" i="21"/>
  <c r="CE4" i="21"/>
  <c r="DV4" i="24"/>
  <c r="BJ4" i="24"/>
  <c r="EV5" i="23"/>
  <c r="CJ5" i="23"/>
  <c r="X5" i="23"/>
  <c r="DJ4" i="23"/>
  <c r="AX4" i="23"/>
  <c r="EJ5" i="22"/>
  <c r="BX5" i="22"/>
  <c r="L5" i="22"/>
  <c r="CX4" i="22"/>
  <c r="AL4" i="22"/>
  <c r="DX5" i="21"/>
  <c r="BL5" i="21"/>
  <c r="EX4" i="21"/>
  <c r="CL4" i="21"/>
  <c r="DU4" i="24"/>
  <c r="BI4" i="24"/>
  <c r="EU5" i="23"/>
  <c r="CI5" i="23"/>
  <c r="W5" i="23"/>
  <c r="DI4" i="23"/>
  <c r="AW4" i="23"/>
  <c r="EA5" i="22"/>
  <c r="BO5" i="22"/>
  <c r="C5" i="22"/>
  <c r="CO4" i="22"/>
  <c r="AC4" i="22"/>
  <c r="DO5" i="21"/>
  <c r="BC5" i="21"/>
  <c r="EO4" i="21"/>
  <c r="CC4" i="21"/>
  <c r="DL4" i="24"/>
  <c r="AZ4" i="24"/>
  <c r="EL5" i="23"/>
  <c r="BZ5" i="23"/>
  <c r="N5" i="23"/>
  <c r="CZ4" i="23"/>
  <c r="AN4" i="23"/>
  <c r="DZ5" i="22"/>
  <c r="BN5" i="22"/>
  <c r="B5" i="22"/>
  <c r="CN4" i="22"/>
  <c r="AB4" i="22"/>
  <c r="DN5" i="21"/>
  <c r="BB5" i="21"/>
  <c r="EN4" i="21"/>
  <c r="CB4" i="21"/>
  <c r="DK4" i="24"/>
  <c r="AY4" i="24"/>
  <c r="EK5" i="23"/>
  <c r="BY5" i="23"/>
  <c r="M5" i="23"/>
  <c r="CY4" i="23"/>
  <c r="AM4" i="23"/>
  <c r="DY5" i="22"/>
  <c r="BM5" i="22"/>
  <c r="A5" i="22"/>
  <c r="CM4" i="22"/>
  <c r="AA4" i="22"/>
  <c r="DM5" i="21"/>
  <c r="BA5" i="21"/>
  <c r="EM4" i="21"/>
  <c r="P5" i="24"/>
  <c r="DB4" i="24"/>
  <c r="AP4" i="24"/>
  <c r="EB5" i="23"/>
  <c r="BP5" i="23"/>
  <c r="D5" i="23"/>
  <c r="CP4" i="23"/>
  <c r="AD4" i="23"/>
  <c r="DP5" i="22"/>
  <c r="BD5" i="22"/>
  <c r="EP4" i="22"/>
  <c r="CD4" i="22"/>
  <c r="R4" i="22"/>
  <c r="DD5" i="21"/>
  <c r="AR5" i="21"/>
  <c r="ED4" i="21"/>
  <c r="O5" i="24"/>
  <c r="DA4" i="24"/>
  <c r="AO4" i="24"/>
  <c r="DS5" i="23"/>
  <c r="BG5" i="23"/>
  <c r="EK4" i="23"/>
  <c r="BY4" i="23"/>
  <c r="M4" i="23"/>
  <c r="CY5" i="22"/>
  <c r="AM5" i="22"/>
  <c r="DY4" i="22"/>
  <c r="BM4" i="22"/>
  <c r="EQ5" i="21"/>
  <c r="CE5" i="21"/>
  <c r="S5" i="21"/>
  <c r="DE4" i="21"/>
  <c r="EN4" i="24"/>
  <c r="CB4" i="24"/>
  <c r="P4" i="24"/>
  <c r="DB5" i="23"/>
  <c r="AP5" i="23"/>
  <c r="EB4" i="23"/>
  <c r="BP4" i="23"/>
  <c r="D4" i="23"/>
  <c r="CP5" i="22"/>
  <c r="AD5" i="22"/>
  <c r="DP4" i="22"/>
  <c r="BD4" i="22"/>
  <c r="EP5" i="21"/>
  <c r="CD5" i="21"/>
  <c r="R5" i="21"/>
  <c r="DD4" i="21"/>
  <c r="AQ4" i="21"/>
  <c r="EC5" i="20"/>
  <c r="BQ5" i="20"/>
  <c r="EG5" i="23"/>
  <c r="BU5" i="23"/>
  <c r="I5" i="23"/>
  <c r="CU4" i="23"/>
  <c r="AI4" i="23"/>
  <c r="DU5" i="22"/>
  <c r="BI5" i="22"/>
  <c r="EU4" i="22"/>
  <c r="CI4" i="22"/>
  <c r="W4" i="22"/>
  <c r="DI5" i="21"/>
  <c r="AW5" i="21"/>
  <c r="EI4" i="21"/>
  <c r="BW4" i="21"/>
  <c r="DN4" i="24"/>
  <c r="BB4" i="24"/>
  <c r="EN5" i="23"/>
  <c r="CB5" i="23"/>
  <c r="P5" i="23"/>
  <c r="DB4" i="23"/>
  <c r="AP4" i="23"/>
  <c r="EB5" i="22"/>
  <c r="BP5" i="22"/>
  <c r="D5" i="22"/>
  <c r="CP4" i="22"/>
  <c r="AD4" i="22"/>
  <c r="DP5" i="21"/>
  <c r="BD5" i="21"/>
  <c r="EP4" i="21"/>
  <c r="CD4" i="21"/>
  <c r="DM4" i="24"/>
  <c r="BA4" i="24"/>
  <c r="EM5" i="23"/>
  <c r="CA5" i="23"/>
  <c r="O5" i="23"/>
  <c r="DA4" i="23"/>
  <c r="AO4" i="23"/>
  <c r="DS5" i="22"/>
  <c r="BG5" i="22"/>
  <c r="ES4" i="22"/>
  <c r="CG4" i="22"/>
  <c r="U4" i="22"/>
  <c r="DG5" i="21"/>
  <c r="AU5" i="21"/>
  <c r="EG4" i="21"/>
  <c r="R5" i="24"/>
  <c r="DD4" i="24"/>
  <c r="AR4" i="24"/>
  <c r="ED5" i="23"/>
  <c r="BR5" i="23"/>
  <c r="F5" i="23"/>
  <c r="CR4" i="23"/>
  <c r="AF4" i="23"/>
  <c r="DR5" i="22"/>
  <c r="BF5" i="22"/>
  <c r="ER4" i="22"/>
  <c r="CF4" i="22"/>
  <c r="T4" i="22"/>
  <c r="DF5" i="21"/>
  <c r="AT5" i="21"/>
  <c r="EF4" i="21"/>
  <c r="Q5" i="24"/>
  <c r="DC4" i="24"/>
  <c r="AQ4" i="24"/>
  <c r="EC5" i="23"/>
  <c r="BQ5" i="23"/>
  <c r="E5" i="23"/>
  <c r="CQ4" i="23"/>
  <c r="AE4" i="23"/>
  <c r="DQ5" i="22"/>
  <c r="BE5" i="22"/>
  <c r="EQ4" i="22"/>
  <c r="CE4" i="22"/>
  <c r="S4" i="22"/>
  <c r="DE5" i="21"/>
  <c r="AS5" i="21"/>
  <c r="EE4" i="21"/>
  <c r="H5" i="24"/>
  <c r="CT4" i="24"/>
  <c r="AH4" i="24"/>
  <c r="DT5" i="23"/>
  <c r="BH5" i="23"/>
  <c r="ET4" i="23"/>
  <c r="CH4" i="23"/>
  <c r="V4" i="23"/>
  <c r="DH5" i="22"/>
  <c r="AV5" i="22"/>
  <c r="EH4" i="22"/>
  <c r="BV4" i="22"/>
  <c r="J4" i="22"/>
  <c r="CV5" i="21"/>
  <c r="AJ5" i="21"/>
  <c r="DV4" i="21"/>
  <c r="G5" i="24"/>
  <c r="CS4" i="24"/>
  <c r="AG4" i="24"/>
  <c r="DK5" i="23"/>
  <c r="AY5" i="23"/>
  <c r="EC4" i="23"/>
  <c r="BQ4" i="23"/>
  <c r="E4" i="23"/>
  <c r="CQ5" i="22"/>
  <c r="AE5" i="22"/>
  <c r="DQ4" i="22"/>
  <c r="BE4" i="22"/>
  <c r="EI5" i="21"/>
  <c r="BW5" i="21"/>
  <c r="K5" i="21"/>
  <c r="CW4" i="21"/>
  <c r="EF4" i="24"/>
  <c r="BT4" i="24"/>
  <c r="H4" i="24"/>
  <c r="CT5" i="23"/>
  <c r="AH5" i="23"/>
  <c r="DT4" i="23"/>
  <c r="BH4" i="23"/>
  <c r="ET5" i="22"/>
  <c r="CH5" i="22"/>
  <c r="V5" i="22"/>
  <c r="DH4" i="22"/>
  <c r="AV4" i="22"/>
  <c r="EH5" i="21"/>
  <c r="BV5" i="21"/>
  <c r="J5" i="21"/>
  <c r="CV4" i="21"/>
  <c r="AI4" i="21"/>
  <c r="DU5" i="20"/>
  <c r="DY5" i="23"/>
  <c r="BM5" i="23"/>
  <c r="A5" i="23"/>
  <c r="CM4" i="23"/>
  <c r="AA4" i="23"/>
  <c r="DM5" i="22"/>
  <c r="BA5" i="22"/>
  <c r="EM4" i="22"/>
  <c r="CA4" i="22"/>
  <c r="O4" i="22"/>
  <c r="DA5" i="21"/>
  <c r="AO5" i="21"/>
  <c r="EA4" i="21"/>
  <c r="T5" i="24"/>
  <c r="DF4" i="24"/>
  <c r="AT4" i="24"/>
  <c r="EF5" i="23"/>
  <c r="BT5" i="23"/>
  <c r="H5" i="23"/>
  <c r="CT4" i="23"/>
  <c r="AH4" i="23"/>
  <c r="DT5" i="22"/>
  <c r="BH5" i="22"/>
  <c r="ET4" i="22"/>
  <c r="CH4" i="22"/>
  <c r="V4" i="22"/>
  <c r="DH5" i="21"/>
  <c r="AV5" i="21"/>
  <c r="EH4" i="21"/>
  <c r="BV4" i="21"/>
  <c r="DE4" i="24"/>
  <c r="AS4" i="24"/>
  <c r="EE5" i="23"/>
  <c r="BS5" i="23"/>
  <c r="G5" i="23"/>
  <c r="CS4" i="23"/>
  <c r="AG4" i="23"/>
  <c r="DK5" i="22"/>
  <c r="AY5" i="22"/>
  <c r="EK4" i="22"/>
  <c r="BY4" i="22"/>
  <c r="M4" i="22"/>
  <c r="CY5" i="21"/>
  <c r="AM5" i="21"/>
  <c r="DY4" i="21"/>
  <c r="J5" i="24"/>
  <c r="CV4" i="24"/>
  <c r="AJ4" i="24"/>
  <c r="DV5" i="23"/>
  <c r="BJ5" i="23"/>
  <c r="EV4" i="23"/>
  <c r="CJ4" i="23"/>
  <c r="X4" i="23"/>
  <c r="DJ5" i="22"/>
  <c r="AX5" i="22"/>
  <c r="EJ4" i="22"/>
  <c r="BX4" i="22"/>
  <c r="L4" i="22"/>
  <c r="CX5" i="21"/>
  <c r="AL5" i="21"/>
  <c r="DX4" i="21"/>
  <c r="I5" i="24"/>
  <c r="CU4" i="24"/>
  <c r="AI4" i="24"/>
  <c r="DU5" i="23"/>
  <c r="BI5" i="23"/>
  <c r="EU4" i="23"/>
  <c r="CI4" i="23"/>
  <c r="W4" i="23"/>
  <c r="DI5" i="22"/>
  <c r="AW5" i="22"/>
  <c r="EI4" i="22"/>
  <c r="BW4" i="22"/>
  <c r="K4" i="22"/>
  <c r="CW5" i="21"/>
  <c r="AK5" i="21"/>
  <c r="DW4" i="21"/>
  <c r="EX4" i="24"/>
  <c r="CL4" i="24"/>
  <c r="Z4" i="24"/>
  <c r="DL5" i="23"/>
  <c r="AZ5" i="23"/>
  <c r="EL4" i="23"/>
  <c r="BZ4" i="23"/>
  <c r="N4" i="23"/>
  <c r="CZ5" i="22"/>
  <c r="AN5" i="22"/>
  <c r="DZ4" i="22"/>
  <c r="BN4" i="22"/>
  <c r="B4" i="22"/>
  <c r="CN5" i="21"/>
  <c r="AB5" i="21"/>
  <c r="DN4" i="21"/>
  <c r="EW4" i="24"/>
  <c r="CK4" i="24"/>
  <c r="Y4" i="24"/>
  <c r="DC5" i="23"/>
  <c r="AQ5" i="23"/>
  <c r="DU4" i="23"/>
  <c r="BI4" i="23"/>
  <c r="EU5" i="22"/>
  <c r="CI5" i="22"/>
  <c r="W5" i="22"/>
  <c r="DI4" i="22"/>
  <c r="AW4" i="22"/>
  <c r="EA5" i="21"/>
  <c r="BO5" i="21"/>
  <c r="C5" i="21"/>
  <c r="CO4" i="21"/>
  <c r="DX4" i="24"/>
  <c r="BL4" i="24"/>
  <c r="EX5" i="23"/>
  <c r="CL5" i="23"/>
  <c r="Z5" i="23"/>
  <c r="DL4" i="23"/>
  <c r="AZ4" i="23"/>
  <c r="EL5" i="22"/>
  <c r="BZ5" i="22"/>
  <c r="N5" i="22"/>
  <c r="CZ4" i="22"/>
  <c r="AN4" i="22"/>
  <c r="DZ5" i="21"/>
  <c r="BN5" i="21"/>
  <c r="B5" i="21"/>
  <c r="CN4" i="21"/>
  <c r="AA4" i="21"/>
  <c r="DM5" i="20"/>
  <c r="DQ5" i="23"/>
  <c r="BE5" i="23"/>
  <c r="EQ4" i="23"/>
  <c r="CE4" i="23"/>
  <c r="S4" i="23"/>
  <c r="DE5" i="22"/>
  <c r="AS5" i="22"/>
  <c r="EE4" i="22"/>
  <c r="BS4" i="22"/>
  <c r="G4" i="22"/>
  <c r="CS5" i="21"/>
  <c r="AG5" i="21"/>
  <c r="DS4" i="21"/>
  <c r="L5" i="24"/>
  <c r="CX4" i="24"/>
  <c r="AL4" i="24"/>
  <c r="DX5" i="23"/>
  <c r="BL5" i="23"/>
  <c r="EX4" i="23"/>
  <c r="CL4" i="23"/>
  <c r="Z4" i="23"/>
  <c r="DL5" i="22"/>
  <c r="AZ5" i="22"/>
  <c r="EL4" i="22"/>
  <c r="BZ4" i="22"/>
  <c r="N4" i="22"/>
  <c r="CZ5" i="21"/>
  <c r="AN5" i="21"/>
  <c r="DZ4" i="21"/>
  <c r="S5" i="24"/>
  <c r="CW4" i="24"/>
  <c r="AK4" i="24"/>
  <c r="DW5" i="23"/>
  <c r="BK5" i="23"/>
  <c r="EW4" i="23"/>
  <c r="CK4" i="23"/>
  <c r="Y4" i="23"/>
  <c r="DC5" i="22"/>
  <c r="AQ5" i="22"/>
  <c r="EC4" i="22"/>
  <c r="BQ4" i="22"/>
  <c r="E4" i="22"/>
  <c r="CQ5" i="21"/>
  <c r="AE5" i="21"/>
  <c r="DQ4" i="21"/>
  <c r="B5" i="24"/>
  <c r="CN4" i="24"/>
  <c r="AB4" i="24"/>
  <c r="DN5" i="23"/>
  <c r="BB5" i="23"/>
  <c r="EN4" i="23"/>
  <c r="CB4" i="23"/>
  <c r="P4" i="23"/>
  <c r="DB5" i="22"/>
  <c r="AP5" i="22"/>
  <c r="EB4" i="22"/>
  <c r="BP4" i="22"/>
  <c r="D4" i="22"/>
  <c r="CP5" i="21"/>
  <c r="AD5" i="21"/>
  <c r="DP4" i="21"/>
  <c r="A5" i="24"/>
  <c r="CM4" i="24"/>
  <c r="AA4" i="24"/>
  <c r="DM5" i="23"/>
  <c r="BA5" i="23"/>
  <c r="EM4" i="23"/>
  <c r="CA4" i="23"/>
  <c r="O4" i="23"/>
  <c r="DA5" i="22"/>
  <c r="AO5" i="22"/>
  <c r="EA4" i="22"/>
  <c r="BO4" i="22"/>
  <c r="C4" i="22"/>
  <c r="CO5" i="21"/>
  <c r="AC5" i="21"/>
  <c r="DO4" i="21"/>
  <c r="EP4" i="24"/>
  <c r="CD4" i="24"/>
  <c r="R4" i="24"/>
  <c r="DD5" i="23"/>
  <c r="AR5" i="23"/>
  <c r="ED4" i="23"/>
  <c r="BR4" i="23"/>
  <c r="F4" i="23"/>
  <c r="CR5" i="22"/>
  <c r="AF5" i="22"/>
  <c r="DR4" i="22"/>
  <c r="BF4" i="22"/>
  <c r="ER5" i="21"/>
  <c r="CF5" i="21"/>
  <c r="T5" i="21"/>
  <c r="DF4" i="21"/>
  <c r="EO4" i="24"/>
  <c r="CC4" i="24"/>
  <c r="Q4" i="24"/>
  <c r="CU5" i="23"/>
  <c r="AI5" i="23"/>
  <c r="DM4" i="23"/>
  <c r="BA4" i="23"/>
  <c r="EM5" i="22"/>
  <c r="CA5" i="22"/>
  <c r="O5" i="22"/>
  <c r="DA4" i="22"/>
  <c r="AO4" i="22"/>
  <c r="DS5" i="21"/>
  <c r="BG5" i="21"/>
  <c r="ES4" i="21"/>
  <c r="CG4" i="21"/>
  <c r="DP4" i="24"/>
  <c r="BD4" i="24"/>
  <c r="EP5" i="23"/>
  <c r="CD5" i="23"/>
  <c r="R5" i="23"/>
  <c r="DD4" i="23"/>
  <c r="AR4" i="23"/>
  <c r="ED5" i="22"/>
  <c r="BR5" i="22"/>
  <c r="F5" i="22"/>
  <c r="CR4" i="22"/>
  <c r="AF4" i="22"/>
  <c r="DR5" i="21"/>
  <c r="BF5" i="21"/>
  <c r="ER4" i="21"/>
  <c r="CF4" i="21"/>
  <c r="S4" i="21"/>
  <c r="DE5" i="20"/>
  <c r="DI5" i="23"/>
  <c r="AW5" i="23"/>
  <c r="EI4" i="23"/>
  <c r="BW4" i="23"/>
  <c r="K4" i="23"/>
  <c r="CW5" i="22"/>
  <c r="AK5" i="22"/>
  <c r="DW4" i="22"/>
  <c r="BK4" i="22"/>
  <c r="EW5" i="21"/>
  <c r="CK5" i="21"/>
  <c r="Y5" i="21"/>
  <c r="DK4" i="21"/>
  <c r="D5" i="24"/>
  <c r="CP4" i="24"/>
  <c r="AD4" i="24"/>
  <c r="DP5" i="23"/>
  <c r="BD5" i="23"/>
  <c r="EP4" i="23"/>
  <c r="CD4" i="23"/>
  <c r="R4" i="23"/>
  <c r="DD5" i="22"/>
  <c r="AR5" i="22"/>
  <c r="ED4" i="22"/>
  <c r="BR4" i="22"/>
  <c r="F4" i="22"/>
  <c r="CR5" i="21"/>
  <c r="AF5" i="21"/>
  <c r="DR4" i="21"/>
  <c r="K5" i="24"/>
  <c r="CO4" i="24"/>
  <c r="AC4" i="24"/>
  <c r="DO5" i="23"/>
  <c r="BC5" i="23"/>
  <c r="EO4" i="23"/>
  <c r="CC4" i="23"/>
  <c r="Q4" i="23"/>
  <c r="CU5" i="22"/>
  <c r="AI5" i="22"/>
  <c r="DU4" i="22"/>
  <c r="BI4" i="22"/>
  <c r="EU5" i="21"/>
  <c r="CI5" i="21"/>
  <c r="W5" i="21"/>
  <c r="DI4" i="21"/>
  <c r="ER4" i="24"/>
  <c r="CF4" i="24"/>
  <c r="T4" i="24"/>
  <c r="DF5" i="23"/>
  <c r="AT5" i="23"/>
  <c r="EF4" i="23"/>
  <c r="BT4" i="23"/>
  <c r="H4" i="23"/>
  <c r="CT5" i="22"/>
  <c r="AH5" i="22"/>
  <c r="DT4" i="22"/>
  <c r="BH4" i="22"/>
  <c r="ET5" i="21"/>
  <c r="CH5" i="21"/>
  <c r="V5" i="21"/>
  <c r="DH4" i="21"/>
  <c r="EQ4" i="24"/>
  <c r="CE4" i="24"/>
  <c r="S4" i="24"/>
  <c r="DE5" i="23"/>
  <c r="AS5" i="23"/>
  <c r="EE4" i="23"/>
  <c r="BS4" i="23"/>
  <c r="G4" i="23"/>
  <c r="CS5" i="22"/>
  <c r="AG5" i="22"/>
  <c r="DS4" i="22"/>
  <c r="BG4" i="22"/>
  <c r="ES5" i="21"/>
  <c r="CG5" i="21"/>
  <c r="U5" i="21"/>
  <c r="DG4" i="21"/>
  <c r="EH4" i="24"/>
  <c r="BV4" i="24"/>
  <c r="J4" i="24"/>
  <c r="CV5" i="23"/>
  <c r="AJ5" i="23"/>
  <c r="DV4" i="23"/>
  <c r="BJ4" i="23"/>
  <c r="EV5" i="22"/>
  <c r="CJ5" i="22"/>
  <c r="X5" i="22"/>
  <c r="DJ4" i="22"/>
  <c r="AX4" i="22"/>
  <c r="EJ5" i="21"/>
  <c r="BX5" i="21"/>
  <c r="L5" i="21"/>
  <c r="CX4" i="21"/>
  <c r="EG4" i="24"/>
  <c r="BU4" i="24"/>
  <c r="I4" i="24"/>
  <c r="CM5" i="23"/>
  <c r="AA5" i="23"/>
  <c r="DE4" i="23"/>
  <c r="AS4" i="23"/>
  <c r="EE5" i="22"/>
  <c r="BS5" i="22"/>
  <c r="G5" i="22"/>
  <c r="CS4" i="22"/>
  <c r="AG4" i="22"/>
  <c r="DK5" i="21"/>
  <c r="AY5" i="21"/>
  <c r="EK4" i="21"/>
  <c r="BY4" i="21"/>
  <c r="DH4" i="24"/>
  <c r="AV4" i="24"/>
  <c r="EH5" i="23"/>
  <c r="BV5" i="23"/>
  <c r="J5" i="23"/>
  <c r="CV4" i="23"/>
  <c r="AJ4" i="23"/>
  <c r="DV5" i="22"/>
  <c r="BJ5" i="22"/>
  <c r="EV4" i="22"/>
  <c r="CJ4" i="22"/>
  <c r="X4" i="22"/>
  <c r="DJ5" i="21"/>
  <c r="AX5" i="21"/>
  <c r="EJ4" i="21"/>
  <c r="CA4" i="21"/>
  <c r="K4" i="21"/>
  <c r="CW5" i="20"/>
  <c r="DA5" i="23"/>
  <c r="AO5" i="23"/>
  <c r="EA4" i="23"/>
  <c r="BO4" i="23"/>
  <c r="C4" i="23"/>
  <c r="CO5" i="22"/>
  <c r="AC5" i="22"/>
  <c r="DO4" i="22"/>
  <c r="BC4" i="22"/>
  <c r="EO5" i="21"/>
  <c r="CC5" i="21"/>
  <c r="Q5" i="21"/>
  <c r="DC4" i="21"/>
  <c r="ET4" i="24"/>
  <c r="CH4" i="24"/>
  <c r="V4" i="24"/>
  <c r="DH5" i="23"/>
  <c r="AV5" i="23"/>
  <c r="EH4" i="23"/>
  <c r="BV4" i="23"/>
  <c r="J4" i="23"/>
  <c r="CV5" i="22"/>
  <c r="AJ5" i="22"/>
  <c r="DV4" i="22"/>
  <c r="BJ4" i="22"/>
  <c r="EV5" i="21"/>
  <c r="CJ5" i="21"/>
  <c r="X5" i="21"/>
  <c r="DJ4" i="21"/>
  <c r="ES4" i="24"/>
  <c r="CG4" i="24"/>
  <c r="U4" i="24"/>
  <c r="DG5" i="23"/>
  <c r="AU5" i="23"/>
  <c r="EG4" i="23"/>
  <c r="BU4" i="23"/>
  <c r="I4" i="23"/>
  <c r="CM5" i="22"/>
  <c r="AA5" i="22"/>
  <c r="DM4" i="22"/>
  <c r="BA4" i="22"/>
  <c r="EM5" i="21"/>
  <c r="CA5" i="21"/>
  <c r="O5" i="21"/>
  <c r="DA4" i="21"/>
  <c r="EJ4" i="24"/>
  <c r="BX4" i="24"/>
  <c r="L4" i="24"/>
  <c r="CX5" i="23"/>
  <c r="AL5" i="23"/>
  <c r="DX4" i="23"/>
  <c r="BL4" i="23"/>
  <c r="EX5" i="22"/>
  <c r="CL5" i="22"/>
  <c r="Z5" i="22"/>
  <c r="DL4" i="22"/>
  <c r="AZ4" i="22"/>
  <c r="EL5" i="21"/>
  <c r="BZ5" i="21"/>
  <c r="N5" i="21"/>
  <c r="CZ4" i="21"/>
  <c r="EI4" i="24"/>
  <c r="BW4" i="24"/>
  <c r="K4" i="24"/>
  <c r="CW5" i="23"/>
  <c r="AK5" i="23"/>
  <c r="DW4" i="23"/>
  <c r="BK4" i="23"/>
  <c r="EW5" i="22"/>
  <c r="CK5" i="22"/>
  <c r="Y5" i="22"/>
  <c r="DK4" i="22"/>
  <c r="AY4" i="22"/>
  <c r="EK5" i="21"/>
  <c r="BY5" i="21"/>
  <c r="M5" i="21"/>
  <c r="CY4" i="21"/>
  <c r="DZ4" i="24"/>
  <c r="BN4" i="24"/>
  <c r="B4" i="24"/>
  <c r="CN5" i="23"/>
  <c r="AB5" i="23"/>
  <c r="DN4" i="23"/>
  <c r="BB4" i="23"/>
  <c r="EN5" i="22"/>
  <c r="CB5" i="22"/>
  <c r="P5" i="22"/>
  <c r="DB4" i="22"/>
  <c r="AP4" i="22"/>
  <c r="EB5" i="21"/>
  <c r="BP5" i="21"/>
  <c r="D5" i="21"/>
  <c r="CP4" i="21"/>
  <c r="DY4" i="24"/>
  <c r="BM4" i="24"/>
  <c r="EQ5" i="23"/>
  <c r="CE5" i="23"/>
  <c r="S5" i="23"/>
  <c r="CW4" i="23"/>
  <c r="AK4" i="23"/>
  <c r="DW5" i="22"/>
  <c r="BK5" i="22"/>
  <c r="EW4" i="22"/>
  <c r="CK4" i="22"/>
  <c r="Y4" i="22"/>
  <c r="DC5" i="21"/>
  <c r="AQ5" i="21"/>
  <c r="EC4" i="21"/>
  <c r="N5" i="24"/>
  <c r="CZ4" i="24"/>
  <c r="AN4" i="24"/>
  <c r="DZ5" i="23"/>
  <c r="BN5" i="23"/>
  <c r="B5" i="23"/>
  <c r="CN4" i="23"/>
  <c r="AB4" i="23"/>
  <c r="DN5" i="22"/>
  <c r="BB5" i="22"/>
  <c r="EN4" i="22"/>
  <c r="CB4" i="22"/>
  <c r="P4" i="22"/>
  <c r="DB5" i="21"/>
  <c r="AP5" i="21"/>
  <c r="EB4" i="21"/>
  <c r="BO4" i="21"/>
  <c r="C4" i="21"/>
  <c r="CO5" i="20"/>
  <c r="CS5" i="23"/>
  <c r="AG5" i="23"/>
  <c r="DS4" i="23"/>
  <c r="BG4" i="23"/>
  <c r="ES5" i="22"/>
  <c r="CG5" i="22"/>
  <c r="U5" i="22"/>
  <c r="DG4" i="22"/>
  <c r="AU4" i="22"/>
  <c r="EG5" i="21"/>
  <c r="BU5" i="21"/>
  <c r="I5" i="21"/>
  <c r="CU4" i="21"/>
  <c r="EL4" i="24"/>
  <c r="BZ4" i="24"/>
  <c r="N4" i="24"/>
  <c r="CZ5" i="23"/>
  <c r="AN5" i="23"/>
  <c r="DZ4" i="23"/>
  <c r="BN4" i="23"/>
  <c r="B4" i="23"/>
  <c r="CN5" i="22"/>
  <c r="AB5" i="22"/>
  <c r="DN4" i="22"/>
  <c r="BB4" i="22"/>
  <c r="EN5" i="21"/>
  <c r="CB5" i="21"/>
  <c r="P5" i="21"/>
  <c r="DB4" i="21"/>
  <c r="EK4" i="24"/>
  <c r="BY4" i="24"/>
  <c r="M4" i="24"/>
  <c r="CY5" i="23"/>
  <c r="AM5" i="23"/>
  <c r="DY4" i="23"/>
  <c r="BM4" i="23"/>
  <c r="EQ5" i="22"/>
  <c r="CE5" i="22"/>
  <c r="S5" i="22"/>
  <c r="DE4" i="22"/>
  <c r="AS4" i="22"/>
  <c r="EE5" i="21"/>
  <c r="BS5" i="21"/>
  <c r="G5" i="21"/>
  <c r="CS4" i="21"/>
  <c r="EB4" i="24"/>
  <c r="BP4" i="24"/>
  <c r="D4" i="24"/>
  <c r="CP5" i="23"/>
  <c r="AD5" i="23"/>
  <c r="DP4" i="23"/>
  <c r="BD4" i="23"/>
  <c r="EP5" i="22"/>
  <c r="CD5" i="22"/>
  <c r="R5" i="22"/>
  <c r="DD4" i="22"/>
  <c r="AR4" i="22"/>
  <c r="ED5" i="21"/>
  <c r="BR5" i="21"/>
  <c r="F5" i="21"/>
  <c r="CR4" i="21"/>
  <c r="EA4" i="24"/>
  <c r="BO4" i="24"/>
  <c r="C4" i="24"/>
  <c r="CO5" i="23"/>
  <c r="AC5" i="23"/>
  <c r="DO4" i="23"/>
  <c r="BC4" i="23"/>
  <c r="EO5" i="22"/>
  <c r="CC5" i="22"/>
  <c r="Q5" i="22"/>
  <c r="DC4" i="22"/>
  <c r="AQ4" i="22"/>
  <c r="EC5" i="21"/>
  <c r="BQ5" i="21"/>
  <c r="E5" i="21"/>
  <c r="CQ4" i="21"/>
  <c r="DR4" i="24"/>
  <c r="BF4" i="24"/>
  <c r="ER5" i="23"/>
  <c r="CF5" i="23"/>
  <c r="T5" i="23"/>
  <c r="DF4" i="23"/>
  <c r="AT4" i="23"/>
  <c r="EF5" i="22"/>
  <c r="BT5" i="22"/>
  <c r="H5" i="22"/>
  <c r="CT4" i="22"/>
  <c r="AH4" i="22"/>
  <c r="DT5" i="21"/>
  <c r="BH5" i="21"/>
  <c r="ET4" i="21"/>
  <c r="CH4" i="21"/>
  <c r="DQ4" i="24"/>
  <c r="BE4" i="24"/>
  <c r="EI5" i="23"/>
  <c r="BW5" i="23"/>
  <c r="K5" i="23"/>
  <c r="CO4" i="23"/>
  <c r="AC4" i="23"/>
  <c r="DO5" i="22"/>
  <c r="BC5" i="22"/>
  <c r="EO4" i="22"/>
  <c r="CC4" i="22"/>
  <c r="Q4" i="22"/>
  <c r="CU5" i="21"/>
  <c r="AI5" i="21"/>
  <c r="DU4" i="21"/>
  <c r="F5" i="24"/>
  <c r="CR4" i="24"/>
  <c r="AF4" i="24"/>
  <c r="DR5" i="23"/>
  <c r="BF5" i="23"/>
  <c r="ER4" i="23"/>
  <c r="CF4" i="23"/>
  <c r="T4" i="23"/>
  <c r="DF5" i="22"/>
  <c r="AT5" i="22"/>
  <c r="EF4" i="22"/>
  <c r="BT4" i="22"/>
  <c r="H4" i="22"/>
  <c r="CT5" i="21"/>
  <c r="AH5" i="21"/>
  <c r="DT4" i="21"/>
  <c r="BG4" i="21"/>
  <c r="ES5" i="20"/>
  <c r="CG5" i="20"/>
  <c r="BI5" i="20"/>
  <c r="EU4" i="20"/>
  <c r="CI4" i="20"/>
  <c r="W4" i="20"/>
  <c r="DI5" i="19"/>
  <c r="AW5" i="19"/>
  <c r="EI4" i="19"/>
  <c r="BW4" i="19"/>
  <c r="K4" i="19"/>
  <c r="CW5" i="18"/>
  <c r="BF4" i="21"/>
  <c r="ER5" i="20"/>
  <c r="CF5" i="20"/>
  <c r="T5" i="20"/>
  <c r="DF4" i="20"/>
  <c r="AT4" i="20"/>
  <c r="EF5" i="19"/>
  <c r="BT5" i="19"/>
  <c r="H5" i="19"/>
  <c r="CT4" i="19"/>
  <c r="AH4" i="19"/>
  <c r="DT5" i="18"/>
  <c r="BH5" i="18"/>
  <c r="ET4" i="18"/>
  <c r="CH4" i="18"/>
  <c r="V4" i="18"/>
  <c r="DJ5" i="17"/>
  <c r="AX5" i="17"/>
  <c r="EJ4" i="17"/>
  <c r="BX4" i="17"/>
  <c r="AO4" i="21"/>
  <c r="DS5" i="20"/>
  <c r="BG5" i="20"/>
  <c r="ES4" i="20"/>
  <c r="CG4" i="20"/>
  <c r="U4" i="20"/>
  <c r="DG5" i="19"/>
  <c r="AU5" i="19"/>
  <c r="EG4" i="19"/>
  <c r="BU4" i="19"/>
  <c r="I4" i="19"/>
  <c r="CM5" i="18"/>
  <c r="AF4" i="21"/>
  <c r="DR5" i="20"/>
  <c r="BF5" i="20"/>
  <c r="ER4" i="20"/>
  <c r="CF4" i="20"/>
  <c r="T4" i="20"/>
  <c r="DF5" i="19"/>
  <c r="AT5" i="19"/>
  <c r="EF4" i="19"/>
  <c r="BT4" i="19"/>
  <c r="H4" i="19"/>
  <c r="CT5" i="18"/>
  <c r="AH5" i="18"/>
  <c r="DT4" i="18"/>
  <c r="BH4" i="18"/>
  <c r="EV5" i="17"/>
  <c r="CJ5" i="17"/>
  <c r="X5" i="17"/>
  <c r="DJ4" i="17"/>
  <c r="BS4" i="21"/>
  <c r="G4" i="21"/>
  <c r="CS5" i="20"/>
  <c r="AG5" i="20"/>
  <c r="DS4" i="20"/>
  <c r="BG4" i="20"/>
  <c r="ES5" i="19"/>
  <c r="CG5" i="19"/>
  <c r="U5" i="19"/>
  <c r="DG4" i="19"/>
  <c r="AU4" i="19"/>
  <c r="EG5" i="18"/>
  <c r="BU5" i="18"/>
  <c r="I5" i="18"/>
  <c r="CU4" i="18"/>
  <c r="AI4" i="18"/>
  <c r="BJ4" i="21"/>
  <c r="EV5" i="20"/>
  <c r="CJ5" i="20"/>
  <c r="X5" i="20"/>
  <c r="DJ4" i="20"/>
  <c r="AX4" i="20"/>
  <c r="EJ5" i="19"/>
  <c r="BX5" i="19"/>
  <c r="L5" i="19"/>
  <c r="CX4" i="19"/>
  <c r="AL4" i="19"/>
  <c r="DX5" i="18"/>
  <c r="BL5" i="18"/>
  <c r="EX4" i="18"/>
  <c r="CL4" i="18"/>
  <c r="Z4" i="18"/>
  <c r="DN5" i="17"/>
  <c r="BB5" i="17"/>
  <c r="EN4" i="17"/>
  <c r="CB4" i="17"/>
  <c r="AS4" i="21"/>
  <c r="EE5" i="20"/>
  <c r="BS5" i="20"/>
  <c r="G5" i="20"/>
  <c r="CS4" i="20"/>
  <c r="AG4" i="20"/>
  <c r="DK5" i="19"/>
  <c r="AY5" i="19"/>
  <c r="EK4" i="19"/>
  <c r="BY4" i="19"/>
  <c r="M4" i="19"/>
  <c r="CY5" i="18"/>
  <c r="AM5" i="18"/>
  <c r="DY4" i="18"/>
  <c r="BP4" i="21"/>
  <c r="D4" i="21"/>
  <c r="CP5" i="20"/>
  <c r="AD5" i="20"/>
  <c r="DP4" i="20"/>
  <c r="BD4" i="20"/>
  <c r="EP5" i="19"/>
  <c r="CD5" i="19"/>
  <c r="R5" i="19"/>
  <c r="DD4" i="19"/>
  <c r="AR4" i="19"/>
  <c r="ED5" i="18"/>
  <c r="BR5" i="18"/>
  <c r="F5" i="18"/>
  <c r="CR4" i="18"/>
  <c r="AF4" i="18"/>
  <c r="DL5" i="17"/>
  <c r="BA5" i="20"/>
  <c r="EM4" i="20"/>
  <c r="CA4" i="20"/>
  <c r="O4" i="20"/>
  <c r="DA5" i="19"/>
  <c r="AO5" i="19"/>
  <c r="EA4" i="19"/>
  <c r="BO4" i="19"/>
  <c r="C4" i="19"/>
  <c r="CO5" i="18"/>
  <c r="AX4" i="21"/>
  <c r="EJ5" i="20"/>
  <c r="BX5" i="20"/>
  <c r="L5" i="20"/>
  <c r="CX4" i="20"/>
  <c r="AL4" i="20"/>
  <c r="DX5" i="19"/>
  <c r="BL5" i="19"/>
  <c r="EX4" i="19"/>
  <c r="CL4" i="19"/>
  <c r="Z4" i="19"/>
  <c r="DL5" i="18"/>
  <c r="AZ5" i="18"/>
  <c r="EL4" i="18"/>
  <c r="BZ4" i="18"/>
  <c r="N4" i="18"/>
  <c r="DB5" i="17"/>
  <c r="AP5" i="17"/>
  <c r="EB4" i="17"/>
  <c r="BP4" i="17"/>
  <c r="AG4" i="21"/>
  <c r="DK5" i="20"/>
  <c r="AY5" i="20"/>
  <c r="EK4" i="20"/>
  <c r="BY4" i="20"/>
  <c r="M4" i="20"/>
  <c r="CY5" i="19"/>
  <c r="AM5" i="19"/>
  <c r="DY4" i="19"/>
  <c r="BM4" i="19"/>
  <c r="EQ5" i="18"/>
  <c r="CE5" i="18"/>
  <c r="X4" i="21"/>
  <c r="DJ5" i="20"/>
  <c r="AX5" i="20"/>
  <c r="EJ4" i="20"/>
  <c r="BX4" i="20"/>
  <c r="L4" i="20"/>
  <c r="CX5" i="19"/>
  <c r="AL5" i="19"/>
  <c r="DX4" i="19"/>
  <c r="BL4" i="19"/>
  <c r="EX5" i="18"/>
  <c r="CL5" i="18"/>
  <c r="Z5" i="18"/>
  <c r="DL4" i="18"/>
  <c r="AZ4" i="18"/>
  <c r="EN5" i="17"/>
  <c r="CB5" i="17"/>
  <c r="P5" i="17"/>
  <c r="DB4" i="17"/>
  <c r="BK4" i="21"/>
  <c r="EW5" i="20"/>
  <c r="CK5" i="20"/>
  <c r="Y5" i="20"/>
  <c r="DK4" i="20"/>
  <c r="AY4" i="20"/>
  <c r="EK5" i="19"/>
  <c r="BY5" i="19"/>
  <c r="M5" i="19"/>
  <c r="CY4" i="19"/>
  <c r="AM4" i="19"/>
  <c r="DY5" i="18"/>
  <c r="BM5" i="18"/>
  <c r="A5" i="18"/>
  <c r="CM4" i="18"/>
  <c r="AA4" i="18"/>
  <c r="BB4" i="21"/>
  <c r="EN5" i="20"/>
  <c r="CB5" i="20"/>
  <c r="P5" i="20"/>
  <c r="DB4" i="20"/>
  <c r="AP4" i="20"/>
  <c r="EB5" i="19"/>
  <c r="BP5" i="19"/>
  <c r="D5" i="19"/>
  <c r="CP4" i="19"/>
  <c r="AD4" i="19"/>
  <c r="DP5" i="18"/>
  <c r="BD5" i="18"/>
  <c r="EP4" i="18"/>
  <c r="CD4" i="18"/>
  <c r="R4" i="18"/>
  <c r="DF5" i="17"/>
  <c r="AT5" i="17"/>
  <c r="EF4" i="17"/>
  <c r="BT4" i="17"/>
  <c r="AK4" i="21"/>
  <c r="DW5" i="20"/>
  <c r="BK5" i="20"/>
  <c r="EW4" i="20"/>
  <c r="CK4" i="20"/>
  <c r="Y4" i="20"/>
  <c r="DC5" i="19"/>
  <c r="AQ5" i="19"/>
  <c r="EC4" i="19"/>
  <c r="BQ4" i="19"/>
  <c r="E4" i="19"/>
  <c r="CQ5" i="18"/>
  <c r="AE5" i="18"/>
  <c r="DQ4" i="18"/>
  <c r="BH4" i="21"/>
  <c r="ET5" i="20"/>
  <c r="CH5" i="20"/>
  <c r="V5" i="20"/>
  <c r="DH4" i="20"/>
  <c r="AV4" i="20"/>
  <c r="EH5" i="19"/>
  <c r="BV5" i="19"/>
  <c r="J5" i="19"/>
  <c r="CV4" i="19"/>
  <c r="AJ4" i="19"/>
  <c r="DV5" i="18"/>
  <c r="BJ5" i="18"/>
  <c r="EV4" i="18"/>
  <c r="CJ4" i="18"/>
  <c r="X4" i="18"/>
  <c r="DD5" i="17"/>
  <c r="AS5" i="20"/>
  <c r="EE4" i="20"/>
  <c r="BS4" i="20"/>
  <c r="G4" i="20"/>
  <c r="CS5" i="19"/>
  <c r="AG5" i="19"/>
  <c r="DS4" i="19"/>
  <c r="BG4" i="19"/>
  <c r="ES5" i="18"/>
  <c r="CG5" i="18"/>
  <c r="AP4" i="21"/>
  <c r="EB5" i="20"/>
  <c r="BP5" i="20"/>
  <c r="D5" i="20"/>
  <c r="CP4" i="20"/>
  <c r="AD4" i="20"/>
  <c r="DP5" i="19"/>
  <c r="BD5" i="19"/>
  <c r="EP4" i="19"/>
  <c r="CD4" i="19"/>
  <c r="R4" i="19"/>
  <c r="DD5" i="18"/>
  <c r="AR5" i="18"/>
  <c r="ED4" i="18"/>
  <c r="BR4" i="18"/>
  <c r="F4" i="18"/>
  <c r="CT5" i="17"/>
  <c r="AH5" i="17"/>
  <c r="DT4" i="17"/>
  <c r="BH4" i="17"/>
  <c r="Y4" i="21"/>
  <c r="DC5" i="20"/>
  <c r="AQ5" i="20"/>
  <c r="EC4" i="20"/>
  <c r="BQ4" i="20"/>
  <c r="E4" i="20"/>
  <c r="CQ5" i="19"/>
  <c r="AE5" i="19"/>
  <c r="DQ4" i="19"/>
  <c r="BE4" i="19"/>
  <c r="EI5" i="18"/>
  <c r="BW5" i="18"/>
  <c r="P4" i="21"/>
  <c r="DB5" i="20"/>
  <c r="AP5" i="20"/>
  <c r="EB4" i="20"/>
  <c r="BP4" i="20"/>
  <c r="D4" i="20"/>
  <c r="CP5" i="19"/>
  <c r="AD5" i="19"/>
  <c r="DP4" i="19"/>
  <c r="BD4" i="19"/>
  <c r="EP5" i="18"/>
  <c r="CD5" i="18"/>
  <c r="R5" i="18"/>
  <c r="DD4" i="18"/>
  <c r="AR4" i="18"/>
  <c r="EF5" i="17"/>
  <c r="BT5" i="17"/>
  <c r="H5" i="17"/>
  <c r="CT4" i="17"/>
  <c r="BC4" i="21"/>
  <c r="EO5" i="20"/>
  <c r="CC5" i="20"/>
  <c r="Q5" i="20"/>
  <c r="DC4" i="20"/>
  <c r="AQ4" i="20"/>
  <c r="EC5" i="19"/>
  <c r="BQ5" i="19"/>
  <c r="E5" i="19"/>
  <c r="CQ4" i="19"/>
  <c r="AE4" i="19"/>
  <c r="DQ5" i="18"/>
  <c r="BE5" i="18"/>
  <c r="EQ4" i="18"/>
  <c r="CE4" i="18"/>
  <c r="S4" i="18"/>
  <c r="AT4" i="21"/>
  <c r="EF5" i="20"/>
  <c r="BT5" i="20"/>
  <c r="H5" i="20"/>
  <c r="CT4" i="20"/>
  <c r="AH4" i="20"/>
  <c r="DT5" i="19"/>
  <c r="BH5" i="19"/>
  <c r="ET4" i="19"/>
  <c r="CH4" i="19"/>
  <c r="V4" i="19"/>
  <c r="DH5" i="18"/>
  <c r="AV5" i="18"/>
  <c r="EH4" i="18"/>
  <c r="BV4" i="18"/>
  <c r="J4" i="18"/>
  <c r="CX5" i="17"/>
  <c r="AL5" i="17"/>
  <c r="DX4" i="17"/>
  <c r="BL4" i="17"/>
  <c r="AC4" i="21"/>
  <c r="DO5" i="20"/>
  <c r="BC5" i="20"/>
  <c r="EO4" i="20"/>
  <c r="CC4" i="20"/>
  <c r="Q4" i="20"/>
  <c r="CU5" i="19"/>
  <c r="AI5" i="19"/>
  <c r="DU4" i="19"/>
  <c r="BI4" i="19"/>
  <c r="EU5" i="18"/>
  <c r="CI5" i="18"/>
  <c r="W5" i="18"/>
  <c r="DI4" i="18"/>
  <c r="AZ4" i="21"/>
  <c r="EL5" i="20"/>
  <c r="BZ5" i="20"/>
  <c r="N5" i="20"/>
  <c r="CZ4" i="20"/>
  <c r="AN4" i="20"/>
  <c r="DZ5" i="19"/>
  <c r="BN5" i="19"/>
  <c r="B5" i="19"/>
  <c r="CN4" i="19"/>
  <c r="AB4" i="19"/>
  <c r="DN5" i="18"/>
  <c r="BB5" i="18"/>
  <c r="EN4" i="18"/>
  <c r="CB4" i="18"/>
  <c r="P4" i="18"/>
  <c r="CV5" i="17"/>
  <c r="AK5" i="20"/>
  <c r="DW4" i="20"/>
  <c r="BK4" i="20"/>
  <c r="EW5" i="19"/>
  <c r="CK5" i="19"/>
  <c r="Y5" i="19"/>
  <c r="DK4" i="19"/>
  <c r="AY4" i="19"/>
  <c r="EK5" i="18"/>
  <c r="BY5" i="18"/>
  <c r="AH4" i="21"/>
  <c r="DT5" i="20"/>
  <c r="BH5" i="20"/>
  <c r="ET4" i="20"/>
  <c r="CH4" i="20"/>
  <c r="V4" i="20"/>
  <c r="DH5" i="19"/>
  <c r="AV5" i="19"/>
  <c r="EH4" i="19"/>
  <c r="BV4" i="19"/>
  <c r="J4" i="19"/>
  <c r="CV5" i="18"/>
  <c r="AJ5" i="18"/>
  <c r="DV4" i="18"/>
  <c r="BJ4" i="18"/>
  <c r="EX5" i="17"/>
  <c r="CL5" i="17"/>
  <c r="Z5" i="17"/>
  <c r="DL4" i="17"/>
  <c r="AZ4" i="17"/>
  <c r="Q4" i="21"/>
  <c r="CU5" i="20"/>
  <c r="AI5" i="20"/>
  <c r="DU4" i="20"/>
  <c r="BI4" i="20"/>
  <c r="EU5" i="19"/>
  <c r="CI5" i="19"/>
  <c r="W5" i="19"/>
  <c r="DI4" i="19"/>
  <c r="AW4" i="19"/>
  <c r="EA5" i="18"/>
  <c r="BT4" i="21"/>
  <c r="H4" i="21"/>
  <c r="CT5" i="20"/>
  <c r="AH5" i="20"/>
  <c r="DT4" i="20"/>
  <c r="BH4" i="20"/>
  <c r="ET5" i="19"/>
  <c r="CH5" i="19"/>
  <c r="V5" i="19"/>
  <c r="DH4" i="19"/>
  <c r="AV4" i="19"/>
  <c r="EH5" i="18"/>
  <c r="BV5" i="18"/>
  <c r="J5" i="18"/>
  <c r="CV4" i="18"/>
  <c r="AJ4" i="18"/>
  <c r="DX5" i="17"/>
  <c r="BL5" i="17"/>
  <c r="EX4" i="17"/>
  <c r="CL4" i="17"/>
  <c r="AU4" i="21"/>
  <c r="EG5" i="20"/>
  <c r="BU5" i="20"/>
  <c r="I5" i="20"/>
  <c r="CU4" i="20"/>
  <c r="AI4" i="20"/>
  <c r="DU5" i="19"/>
  <c r="BI5" i="19"/>
  <c r="EU4" i="19"/>
  <c r="CI4" i="19"/>
  <c r="W4" i="19"/>
  <c r="DI5" i="18"/>
  <c r="AW5" i="18"/>
  <c r="EI4" i="18"/>
  <c r="BW4" i="18"/>
  <c r="K4" i="18"/>
  <c r="AL4" i="21"/>
  <c r="DX5" i="20"/>
  <c r="BL5" i="20"/>
  <c r="EX4" i="20"/>
  <c r="CL4" i="20"/>
  <c r="Z4" i="20"/>
  <c r="DL5" i="19"/>
  <c r="AZ5" i="19"/>
  <c r="EL4" i="19"/>
  <c r="BZ4" i="19"/>
  <c r="N4" i="19"/>
  <c r="CZ5" i="18"/>
  <c r="AN5" i="18"/>
  <c r="DZ4" i="18"/>
  <c r="BN4" i="18"/>
  <c r="B4" i="18"/>
  <c r="CP5" i="17"/>
  <c r="AD5" i="17"/>
  <c r="DP4" i="17"/>
  <c r="BD4" i="17"/>
  <c r="U4" i="21"/>
  <c r="DG5" i="20"/>
  <c r="AU5" i="20"/>
  <c r="EG4" i="20"/>
  <c r="BU4" i="20"/>
  <c r="I4" i="20"/>
  <c r="CM5" i="19"/>
  <c r="AA5" i="19"/>
  <c r="DM4" i="19"/>
  <c r="BA4" i="19"/>
  <c r="EM5" i="18"/>
  <c r="CA5" i="18"/>
  <c r="O5" i="18"/>
  <c r="DA4" i="18"/>
  <c r="AR4" i="21"/>
  <c r="ED5" i="20"/>
  <c r="BR5" i="20"/>
  <c r="F5" i="20"/>
  <c r="CR4" i="20"/>
  <c r="AF4" i="20"/>
  <c r="DR5" i="19"/>
  <c r="BF5" i="19"/>
  <c r="ER4" i="19"/>
  <c r="CF4" i="19"/>
  <c r="T4" i="19"/>
  <c r="DF5" i="18"/>
  <c r="AT5" i="18"/>
  <c r="EF4" i="18"/>
  <c r="BT4" i="18"/>
  <c r="H4" i="18"/>
  <c r="AC5" i="20"/>
  <c r="DO4" i="20"/>
  <c r="BC4" i="20"/>
  <c r="EO5" i="19"/>
  <c r="CC5" i="19"/>
  <c r="Q5" i="19"/>
  <c r="DC4" i="19"/>
  <c r="AQ4" i="19"/>
  <c r="EC5" i="18"/>
  <c r="BQ5" i="18"/>
  <c r="Z4" i="21"/>
  <c r="DL5" i="20"/>
  <c r="AZ5" i="20"/>
  <c r="EL4" i="20"/>
  <c r="BZ4" i="20"/>
  <c r="N4" i="20"/>
  <c r="CZ5" i="19"/>
  <c r="AN5" i="19"/>
  <c r="DZ4" i="19"/>
  <c r="BN4" i="19"/>
  <c r="B4" i="19"/>
  <c r="CN5" i="18"/>
  <c r="AB5" i="18"/>
  <c r="DN4" i="18"/>
  <c r="BB4" i="18"/>
  <c r="EP5" i="17"/>
  <c r="CD5" i="17"/>
  <c r="R5" i="17"/>
  <c r="DD4" i="17"/>
  <c r="BU4" i="21"/>
  <c r="I4" i="21"/>
  <c r="CM5" i="20"/>
  <c r="AA5" i="20"/>
  <c r="DM4" i="20"/>
  <c r="BA4" i="20"/>
  <c r="EM5" i="19"/>
  <c r="CA5" i="19"/>
  <c r="O5" i="19"/>
  <c r="DA4" i="19"/>
  <c r="AO4" i="19"/>
  <c r="DS5" i="18"/>
  <c r="BL4" i="21"/>
  <c r="EX5" i="20"/>
  <c r="CL5" i="20"/>
  <c r="Z5" i="20"/>
  <c r="DL4" i="20"/>
  <c r="AZ4" i="20"/>
  <c r="EL5" i="19"/>
  <c r="BZ5" i="19"/>
  <c r="N5" i="19"/>
  <c r="CZ4" i="19"/>
  <c r="AN4" i="19"/>
  <c r="DZ5" i="18"/>
  <c r="BN5" i="18"/>
  <c r="B5" i="18"/>
  <c r="CN4" i="18"/>
  <c r="AB4" i="18"/>
  <c r="DP5" i="17"/>
  <c r="BD5" i="17"/>
  <c r="EP4" i="17"/>
  <c r="CD4" i="17"/>
  <c r="AM4" i="21"/>
  <c r="DY5" i="20"/>
  <c r="BM5" i="20"/>
  <c r="A5" i="20"/>
  <c r="CM4" i="20"/>
  <c r="AA4" i="20"/>
  <c r="DM5" i="19"/>
  <c r="BA5" i="19"/>
  <c r="EM4" i="19"/>
  <c r="CA4" i="19"/>
  <c r="O4" i="19"/>
  <c r="DA5" i="18"/>
  <c r="AO5" i="18"/>
  <c r="EA4" i="18"/>
  <c r="BO4" i="18"/>
  <c r="C4" i="18"/>
  <c r="AD4" i="21"/>
  <c r="DP5" i="20"/>
  <c r="BD5" i="20"/>
  <c r="EP4" i="20"/>
  <c r="CD4" i="20"/>
  <c r="R4" i="20"/>
  <c r="DD5" i="19"/>
  <c r="AR5" i="19"/>
  <c r="ED4" i="19"/>
  <c r="BR4" i="19"/>
  <c r="F4" i="19"/>
  <c r="CR5" i="18"/>
  <c r="AF5" i="18"/>
  <c r="DR4" i="18"/>
  <c r="BF4" i="18"/>
  <c r="ET5" i="17"/>
  <c r="CH5" i="17"/>
  <c r="V5" i="17"/>
  <c r="DH4" i="17"/>
  <c r="AV4" i="17"/>
  <c r="M4" i="21"/>
  <c r="CY5" i="20"/>
  <c r="AM5" i="20"/>
  <c r="DY4" i="20"/>
  <c r="BM4" i="20"/>
  <c r="EQ5" i="19"/>
  <c r="CE5" i="19"/>
  <c r="S5" i="19"/>
  <c r="DE4" i="19"/>
  <c r="AS4" i="19"/>
  <c r="EE5" i="18"/>
  <c r="BS5" i="18"/>
  <c r="G5" i="18"/>
  <c r="CS4" i="18"/>
  <c r="AJ4" i="21"/>
  <c r="DV5" i="20"/>
  <c r="BJ5" i="20"/>
  <c r="EV4" i="20"/>
  <c r="CJ4" i="20"/>
  <c r="X4" i="20"/>
  <c r="DJ5" i="19"/>
  <c r="AX5" i="19"/>
  <c r="EJ4" i="19"/>
  <c r="BX4" i="19"/>
  <c r="L4" i="19"/>
  <c r="CX5" i="18"/>
  <c r="AL5" i="18"/>
  <c r="DX4" i="18"/>
  <c r="BL4" i="18"/>
  <c r="ER5" i="17"/>
  <c r="U5" i="20"/>
  <c r="DG4" i="20"/>
  <c r="AU4" i="20"/>
  <c r="EG5" i="19"/>
  <c r="BU5" i="19"/>
  <c r="I5" i="19"/>
  <c r="CU4" i="19"/>
  <c r="AI4" i="19"/>
  <c r="DU5" i="18"/>
  <c r="BI5" i="18"/>
  <c r="R4" i="21"/>
  <c r="DD5" i="20"/>
  <c r="AR5" i="20"/>
  <c r="ED4" i="20"/>
  <c r="BR4" i="20"/>
  <c r="F4" i="20"/>
  <c r="CR5" i="19"/>
  <c r="AF5" i="19"/>
  <c r="DR4" i="19"/>
  <c r="BF4" i="19"/>
  <c r="ER5" i="18"/>
  <c r="CF5" i="18"/>
  <c r="T5" i="18"/>
  <c r="DF4" i="18"/>
  <c r="AT4" i="18"/>
  <c r="EH5" i="17"/>
  <c r="BV5" i="17"/>
  <c r="J5" i="17"/>
  <c r="CV4" i="17"/>
  <c r="BM4" i="21"/>
  <c r="EQ5" i="20"/>
  <c r="CE5" i="20"/>
  <c r="S5" i="20"/>
  <c r="DE4" i="20"/>
  <c r="AS4" i="20"/>
  <c r="EE5" i="19"/>
  <c r="BS5" i="19"/>
  <c r="G5" i="19"/>
  <c r="CS4" i="19"/>
  <c r="AG4" i="19"/>
  <c r="DK5" i="18"/>
  <c r="BD4" i="21"/>
  <c r="EP5" i="20"/>
  <c r="CD5" i="20"/>
  <c r="R5" i="20"/>
  <c r="DD4" i="20"/>
  <c r="AR4" i="20"/>
  <c r="ED5" i="19"/>
  <c r="BR5" i="19"/>
  <c r="F5" i="19"/>
  <c r="CR4" i="19"/>
  <c r="AF4" i="19"/>
  <c r="DR5" i="18"/>
  <c r="BF5" i="18"/>
  <c r="ER4" i="18"/>
  <c r="CF4" i="18"/>
  <c r="T4" i="18"/>
  <c r="DH5" i="17"/>
  <c r="AV5" i="17"/>
  <c r="EH4" i="17"/>
  <c r="BV4" i="17"/>
  <c r="AE4" i="21"/>
  <c r="DQ5" i="20"/>
  <c r="BE5" i="20"/>
  <c r="EQ4" i="20"/>
  <c r="CE4" i="20"/>
  <c r="S4" i="20"/>
  <c r="DE5" i="19"/>
  <c r="AS5" i="19"/>
  <c r="EE4" i="19"/>
  <c r="BS4" i="19"/>
  <c r="G4" i="19"/>
  <c r="CS5" i="18"/>
  <c r="AG5" i="18"/>
  <c r="DS4" i="18"/>
  <c r="BG4" i="18"/>
  <c r="EU5" i="17"/>
  <c r="V4" i="21"/>
  <c r="DH5" i="20"/>
  <c r="AV5" i="20"/>
  <c r="EH4" i="20"/>
  <c r="BV4" i="20"/>
  <c r="J4" i="20"/>
  <c r="CV5" i="19"/>
  <c r="AJ5" i="19"/>
  <c r="DV4" i="19"/>
  <c r="BJ4" i="19"/>
  <c r="EV5" i="18"/>
  <c r="CJ5" i="18"/>
  <c r="X5" i="18"/>
  <c r="DJ4" i="18"/>
  <c r="AX4" i="18"/>
  <c r="EL5" i="17"/>
  <c r="BZ5" i="17"/>
  <c r="N5" i="17"/>
  <c r="CZ4" i="17"/>
  <c r="BQ4" i="21"/>
  <c r="E4" i="21"/>
  <c r="CQ5" i="20"/>
  <c r="AE5" i="20"/>
  <c r="DQ4" i="20"/>
  <c r="BE4" i="20"/>
  <c r="EI5" i="19"/>
  <c r="BW5" i="19"/>
  <c r="K5" i="19"/>
  <c r="CW4" i="19"/>
  <c r="AK4" i="19"/>
  <c r="DW5" i="18"/>
  <c r="BK5" i="18"/>
  <c r="EW4" i="18"/>
  <c r="CK4" i="18"/>
  <c r="AB4" i="21"/>
  <c r="DN5" i="20"/>
  <c r="BB5" i="20"/>
  <c r="EN4" i="20"/>
  <c r="CB4" i="20"/>
  <c r="P4" i="20"/>
  <c r="DB5" i="19"/>
  <c r="AP5" i="19"/>
  <c r="EB4" i="19"/>
  <c r="BP4" i="19"/>
  <c r="D4" i="19"/>
  <c r="CP5" i="18"/>
  <c r="AD5" i="18"/>
  <c r="DP4" i="18"/>
  <c r="BD4" i="18"/>
  <c r="EJ5" i="17"/>
  <c r="BX5" i="17"/>
  <c r="M5" i="20"/>
  <c r="CY4" i="20"/>
  <c r="AM4" i="20"/>
  <c r="DY5" i="19"/>
  <c r="BM5" i="19"/>
  <c r="A5" i="19"/>
  <c r="CM4" i="19"/>
  <c r="AA4" i="19"/>
  <c r="DM5" i="18"/>
  <c r="BX4" i="21"/>
  <c r="J4" i="21"/>
  <c r="CV5" i="20"/>
  <c r="AJ5" i="20"/>
  <c r="DV4" i="20"/>
  <c r="BJ4" i="20"/>
  <c r="EV5" i="19"/>
  <c r="CJ5" i="19"/>
  <c r="X5" i="19"/>
  <c r="DJ4" i="19"/>
  <c r="AX4" i="19"/>
  <c r="EJ5" i="18"/>
  <c r="BX5" i="18"/>
  <c r="L5" i="18"/>
  <c r="CX4" i="18"/>
  <c r="AL4" i="18"/>
  <c r="DZ5" i="17"/>
  <c r="BN5" i="17"/>
  <c r="B5" i="17"/>
  <c r="CN4" i="17"/>
  <c r="BE4" i="21"/>
  <c r="EI5" i="20"/>
  <c r="BW5" i="20"/>
  <c r="K5" i="20"/>
  <c r="CW4" i="20"/>
  <c r="AK4" i="20"/>
  <c r="DW5" i="19"/>
  <c r="BK5" i="19"/>
  <c r="EW4" i="19"/>
  <c r="CK4" i="19"/>
  <c r="Y4" i="19"/>
  <c r="DC5" i="18"/>
  <c r="AV4" i="21"/>
  <c r="EH5" i="20"/>
  <c r="BV5" i="20"/>
  <c r="J5" i="20"/>
  <c r="CV4" i="20"/>
  <c r="AJ4" i="20"/>
  <c r="DV5" i="19"/>
  <c r="BJ5" i="19"/>
  <c r="EV4" i="19"/>
  <c r="CJ4" i="19"/>
  <c r="X4" i="19"/>
  <c r="DJ5" i="18"/>
  <c r="AX5" i="18"/>
  <c r="EJ4" i="18"/>
  <c r="BX4" i="18"/>
  <c r="L4" i="18"/>
  <c r="CZ5" i="17"/>
  <c r="AN5" i="17"/>
  <c r="DZ4" i="17"/>
  <c r="BN4" i="17"/>
  <c r="W4" i="21"/>
  <c r="DI5" i="20"/>
  <c r="AW5" i="20"/>
  <c r="EI4" i="20"/>
  <c r="BW4" i="20"/>
  <c r="K4" i="20"/>
  <c r="CW5" i="19"/>
  <c r="AK5" i="19"/>
  <c r="DW4" i="19"/>
  <c r="BK4" i="19"/>
  <c r="EW5" i="18"/>
  <c r="CK5" i="18"/>
  <c r="Y5" i="18"/>
  <c r="DK4" i="18"/>
  <c r="AY4" i="18"/>
  <c r="EM5" i="17"/>
  <c r="N4" i="21"/>
  <c r="CZ5" i="20"/>
  <c r="AN5" i="20"/>
  <c r="DZ4" i="20"/>
  <c r="BN4" i="20"/>
  <c r="B4" i="20"/>
  <c r="CN5" i="19"/>
  <c r="AB5" i="19"/>
  <c r="DN4" i="19"/>
  <c r="BB4" i="19"/>
  <c r="EN5" i="18"/>
  <c r="CB5" i="18"/>
  <c r="P5" i="18"/>
  <c r="DB4" i="18"/>
  <c r="AP4" i="18"/>
  <c r="ED5" i="17"/>
  <c r="BR5" i="17"/>
  <c r="F5" i="17"/>
  <c r="CR4" i="17"/>
  <c r="BI4" i="21"/>
  <c r="EU5" i="20"/>
  <c r="CI5" i="20"/>
  <c r="W5" i="20"/>
  <c r="DI4" i="20"/>
  <c r="AW4" i="20"/>
  <c r="EA5" i="19"/>
  <c r="BO5" i="19"/>
  <c r="C5" i="19"/>
  <c r="CO4" i="19"/>
  <c r="AC4" i="19"/>
  <c r="DO5" i="18"/>
  <c r="BC5" i="18"/>
  <c r="EO4" i="18"/>
  <c r="CC4" i="18"/>
  <c r="T4" i="21"/>
  <c r="DF5" i="20"/>
  <c r="AT5" i="20"/>
  <c r="EF4" i="20"/>
  <c r="BT4" i="20"/>
  <c r="H4" i="20"/>
  <c r="CT5" i="19"/>
  <c r="AH5" i="19"/>
  <c r="DT4" i="19"/>
  <c r="BH4" i="19"/>
  <c r="ET5" i="18"/>
  <c r="CH5" i="18"/>
  <c r="V5" i="18"/>
  <c r="DH4" i="18"/>
  <c r="AV4" i="18"/>
  <c r="EB5" i="17"/>
  <c r="E5" i="20"/>
  <c r="CQ4" i="20"/>
  <c r="AE4" i="20"/>
  <c r="DQ5" i="19"/>
  <c r="BE5" i="19"/>
  <c r="EQ4" i="19"/>
  <c r="CE4" i="19"/>
  <c r="S4" i="19"/>
  <c r="DE5" i="18"/>
  <c r="BN4" i="21"/>
  <c r="B4" i="21"/>
  <c r="CN5" i="20"/>
  <c r="AB5" i="20"/>
  <c r="DN4" i="20"/>
  <c r="BB4" i="20"/>
  <c r="EN5" i="19"/>
  <c r="CB5" i="19"/>
  <c r="P5" i="19"/>
  <c r="DB4" i="19"/>
  <c r="AP4" i="19"/>
  <c r="EB5" i="18"/>
  <c r="BP5" i="18"/>
  <c r="D5" i="18"/>
  <c r="CP4" i="18"/>
  <c r="AD4" i="18"/>
  <c r="DR5" i="17"/>
  <c r="BF5" i="17"/>
  <c r="ER4" i="17"/>
  <c r="CF4" i="17"/>
  <c r="AW4" i="21"/>
  <c r="EA5" i="20"/>
  <c r="BO5" i="20"/>
  <c r="C5" i="20"/>
  <c r="CO4" i="20"/>
  <c r="AC4" i="20"/>
  <c r="DO5" i="19"/>
  <c r="BC5" i="19"/>
  <c r="EO4" i="19"/>
  <c r="CC4" i="19"/>
  <c r="Q4" i="19"/>
  <c r="CU5" i="18"/>
  <c r="AN4" i="21"/>
  <c r="DZ5" i="20"/>
  <c r="BN5" i="20"/>
  <c r="B5" i="20"/>
  <c r="CN4" i="20"/>
  <c r="AB4" i="20"/>
  <c r="DN5" i="19"/>
  <c r="BB5" i="19"/>
  <c r="EN4" i="19"/>
  <c r="CB4" i="19"/>
  <c r="P4" i="19"/>
  <c r="DB5" i="18"/>
  <c r="AP5" i="18"/>
  <c r="EB4" i="18"/>
  <c r="BP4" i="18"/>
  <c r="D4" i="18"/>
  <c r="CR5" i="17"/>
  <c r="AF5" i="17"/>
  <c r="DR4" i="17"/>
  <c r="BF4" i="17"/>
  <c r="O4" i="21"/>
  <c r="DA5" i="20"/>
  <c r="AO5" i="20"/>
  <c r="EA4" i="20"/>
  <c r="BO4" i="20"/>
  <c r="C4" i="20"/>
  <c r="CO5" i="19"/>
  <c r="AC5" i="19"/>
  <c r="DO4" i="19"/>
  <c r="BC4" i="19"/>
  <c r="EO5" i="18"/>
  <c r="CC5" i="18"/>
  <c r="Q5" i="18"/>
  <c r="DC4" i="18"/>
  <c r="AQ4" i="18"/>
  <c r="BR4" i="21"/>
  <c r="F4" i="21"/>
  <c r="CR5" i="20"/>
  <c r="AF5" i="20"/>
  <c r="DR4" i="20"/>
  <c r="BF4" i="20"/>
  <c r="ER5" i="19"/>
  <c r="CF5" i="19"/>
  <c r="T5" i="19"/>
  <c r="DF4" i="19"/>
  <c r="AT4" i="19"/>
  <c r="EF5" i="18"/>
  <c r="BT5" i="18"/>
  <c r="H5" i="18"/>
  <c r="CT4" i="18"/>
  <c r="AH4" i="18"/>
  <c r="DV5" i="17"/>
  <c r="BJ5" i="17"/>
  <c r="EV4" i="17"/>
  <c r="CJ4" i="17"/>
  <c r="BA4" i="21"/>
  <c r="EM5" i="20"/>
  <c r="CA5" i="20"/>
  <c r="O5" i="20"/>
  <c r="DA4" i="20"/>
  <c r="AO4" i="20"/>
  <c r="DS5" i="19"/>
  <c r="BG5" i="19"/>
  <c r="ES4" i="19"/>
  <c r="CG4" i="19"/>
  <c r="U4" i="19"/>
  <c r="DG5" i="18"/>
  <c r="AU5" i="18"/>
  <c r="EG4" i="18"/>
  <c r="BU4" i="18"/>
  <c r="L4" i="21"/>
  <c r="CX5" i="20"/>
  <c r="AL5" i="20"/>
  <c r="DX4" i="20"/>
  <c r="BL4" i="20"/>
  <c r="EX5" i="19"/>
  <c r="CL5" i="19"/>
  <c r="Z5" i="19"/>
  <c r="DL4" i="19"/>
  <c r="AZ4" i="19"/>
  <c r="EL5" i="18"/>
  <c r="BZ5" i="18"/>
  <c r="N5" i="18"/>
  <c r="CZ4" i="18"/>
  <c r="AN4" i="18"/>
  <c r="DT5" i="17"/>
  <c r="CN5" i="17"/>
  <c r="T5" i="17"/>
  <c r="DF4" i="17"/>
  <c r="AC5" i="18"/>
  <c r="DO5" i="17"/>
  <c r="EO4" i="17"/>
  <c r="AH4" i="17"/>
  <c r="DV5" i="16"/>
  <c r="BJ5" i="16"/>
  <c r="EV4" i="16"/>
  <c r="CJ4" i="16"/>
  <c r="X4" i="16"/>
  <c r="DC5" i="15"/>
  <c r="AQ5" i="15"/>
  <c r="EC4" i="15"/>
  <c r="BQ4" i="15"/>
  <c r="BE4" i="18"/>
  <c r="BQ5" i="17"/>
  <c r="CQ4" i="17"/>
  <c r="I4" i="17"/>
  <c r="CO5" i="16"/>
  <c r="AC5" i="16"/>
  <c r="DO4" i="16"/>
  <c r="BC4" i="16"/>
  <c r="EP5" i="15"/>
  <c r="CD5" i="15"/>
  <c r="R5" i="15"/>
  <c r="DD4" i="15"/>
  <c r="AR4" i="15"/>
  <c r="EE5" i="14"/>
  <c r="BS5" i="14"/>
  <c r="G5" i="14"/>
  <c r="BC4" i="18"/>
  <c r="BO5" i="17"/>
  <c r="CO4" i="17"/>
  <c r="H4" i="17"/>
  <c r="CN5" i="16"/>
  <c r="AB5" i="16"/>
  <c r="DN4" i="16"/>
  <c r="BB4" i="16"/>
  <c r="EO5" i="15"/>
  <c r="CC5" i="15"/>
  <c r="Q5" i="15"/>
  <c r="DC4" i="15"/>
  <c r="AQ4" i="15"/>
  <c r="ED5" i="14"/>
  <c r="BR5" i="14"/>
  <c r="AE4" i="18"/>
  <c r="AW5" i="17"/>
  <c r="BW4" i="17"/>
  <c r="EQ5" i="16"/>
  <c r="CE5" i="16"/>
  <c r="S5" i="16"/>
  <c r="DE4" i="16"/>
  <c r="AS4" i="16"/>
  <c r="EF5" i="15"/>
  <c r="BT5" i="15"/>
  <c r="H5" i="15"/>
  <c r="CT4" i="15"/>
  <c r="AH4" i="15"/>
  <c r="DU5" i="14"/>
  <c r="BI5" i="14"/>
  <c r="AS5" i="18"/>
  <c r="EO5" i="17"/>
  <c r="O5" i="17"/>
  <c r="AT4" i="17"/>
  <c r="EH5" i="16"/>
  <c r="BV5" i="16"/>
  <c r="J5" i="16"/>
  <c r="CV4" i="16"/>
  <c r="AJ4" i="16"/>
  <c r="DW5" i="15"/>
  <c r="BK5" i="15"/>
  <c r="EW4" i="15"/>
  <c r="CK4" i="15"/>
  <c r="Y4" i="15"/>
  <c r="DD5" i="14"/>
  <c r="AR5" i="14"/>
  <c r="K5" i="18"/>
  <c r="DU5" i="17"/>
  <c r="EU4" i="17"/>
  <c r="AK4" i="17"/>
  <c r="DY5" i="16"/>
  <c r="BM5" i="16"/>
  <c r="A5" i="16"/>
  <c r="CM4" i="16"/>
  <c r="AA4" i="16"/>
  <c r="DN5" i="15"/>
  <c r="BB5" i="15"/>
  <c r="EN4" i="15"/>
  <c r="CB4" i="15"/>
  <c r="P4" i="15"/>
  <c r="W4" i="18"/>
  <c r="AA5" i="17"/>
  <c r="BB4" i="17"/>
  <c r="EN5" i="16"/>
  <c r="CB5" i="16"/>
  <c r="P5" i="16"/>
  <c r="DB4" i="16"/>
  <c r="AP4" i="16"/>
  <c r="EC5" i="15"/>
  <c r="BQ5" i="15"/>
  <c r="E5" i="15"/>
  <c r="CQ4" i="15"/>
  <c r="AE4" i="15"/>
  <c r="DR5" i="14"/>
  <c r="BF5" i="14"/>
  <c r="ER4" i="14"/>
  <c r="EG5" i="17"/>
  <c r="I5" i="17"/>
  <c r="AQ4" i="17"/>
  <c r="EE5" i="16"/>
  <c r="BS5" i="16"/>
  <c r="G5" i="16"/>
  <c r="CS4" i="16"/>
  <c r="AG4" i="16"/>
  <c r="DL5" i="15"/>
  <c r="AZ5" i="15"/>
  <c r="EL4" i="15"/>
  <c r="BZ4" i="15"/>
  <c r="N4" i="15"/>
  <c r="DA5" i="14"/>
  <c r="AO5" i="14"/>
  <c r="EA4" i="14"/>
  <c r="ES4" i="14"/>
  <c r="CB4" i="14"/>
  <c r="P4" i="14"/>
  <c r="CV5" i="13"/>
  <c r="CF5" i="17"/>
  <c r="L5" i="17"/>
  <c r="CX4" i="17"/>
  <c r="EU4" i="18"/>
  <c r="CY5" i="17"/>
  <c r="DY4" i="17"/>
  <c r="Z4" i="17"/>
  <c r="DN5" i="16"/>
  <c r="BB5" i="16"/>
  <c r="EN4" i="16"/>
  <c r="CB4" i="16"/>
  <c r="P4" i="16"/>
  <c r="CU5" i="15"/>
  <c r="AI5" i="15"/>
  <c r="DU4" i="15"/>
  <c r="BI4" i="15"/>
  <c r="AK4" i="18"/>
  <c r="BA5" i="17"/>
  <c r="CA4" i="17"/>
  <c r="ES5" i="16"/>
  <c r="CG5" i="16"/>
  <c r="U5" i="16"/>
  <c r="DG4" i="16"/>
  <c r="AU4" i="16"/>
  <c r="EH5" i="15"/>
  <c r="BV5" i="15"/>
  <c r="J5" i="15"/>
  <c r="CV4" i="15"/>
  <c r="AJ4" i="15"/>
  <c r="DW5" i="14"/>
  <c r="BK5" i="14"/>
  <c r="EW4" i="14"/>
  <c r="AG4" i="18"/>
  <c r="AY5" i="17"/>
  <c r="BY4" i="17"/>
  <c r="ER5" i="16"/>
  <c r="CF5" i="16"/>
  <c r="T5" i="16"/>
  <c r="DF4" i="16"/>
  <c r="AT4" i="16"/>
  <c r="EG5" i="15"/>
  <c r="BU5" i="15"/>
  <c r="I5" i="15"/>
  <c r="CU4" i="15"/>
  <c r="AI4" i="15"/>
  <c r="DV5" i="14"/>
  <c r="BJ5" i="14"/>
  <c r="I4" i="18"/>
  <c r="AG5" i="17"/>
  <c r="BG4" i="17"/>
  <c r="EI5" i="16"/>
  <c r="BW5" i="16"/>
  <c r="K5" i="16"/>
  <c r="CW4" i="16"/>
  <c r="AK4" i="16"/>
  <c r="DX5" i="15"/>
  <c r="BL5" i="15"/>
  <c r="EX4" i="15"/>
  <c r="CL4" i="15"/>
  <c r="Z4" i="15"/>
  <c r="DM5" i="14"/>
  <c r="BA5" i="14"/>
  <c r="M5" i="18"/>
  <c r="DW5" i="17"/>
  <c r="EW4" i="17"/>
  <c r="AL4" i="17"/>
  <c r="DZ5" i="16"/>
  <c r="BN5" i="16"/>
  <c r="B5" i="16"/>
  <c r="CN4" i="16"/>
  <c r="AB4" i="16"/>
  <c r="DO5" i="15"/>
  <c r="BC5" i="15"/>
  <c r="EO4" i="15"/>
  <c r="CC4" i="15"/>
  <c r="Q4" i="15"/>
  <c r="CV5" i="14"/>
  <c r="AJ5" i="14"/>
  <c r="EC4" i="18"/>
  <c r="DE5" i="17"/>
  <c r="EE4" i="17"/>
  <c r="AC4" i="17"/>
  <c r="DQ5" i="16"/>
  <c r="BE5" i="16"/>
  <c r="EQ4" i="16"/>
  <c r="CE4" i="16"/>
  <c r="S4" i="16"/>
  <c r="DF5" i="15"/>
  <c r="AT5" i="15"/>
  <c r="EF4" i="15"/>
  <c r="BT4" i="15"/>
  <c r="H4" i="15"/>
  <c r="EI5" i="17"/>
  <c r="K5" i="17"/>
  <c r="AR4" i="17"/>
  <c r="EF5" i="16"/>
  <c r="BT5" i="16"/>
  <c r="H5" i="16"/>
  <c r="CT4" i="16"/>
  <c r="AH4" i="16"/>
  <c r="DU5" i="15"/>
  <c r="BI5" i="15"/>
  <c r="EU4" i="15"/>
  <c r="CI4" i="15"/>
  <c r="W4" i="15"/>
  <c r="DJ5" i="14"/>
  <c r="AX5" i="14"/>
  <c r="AI5" i="18"/>
  <c r="DQ5" i="17"/>
  <c r="EQ4" i="17"/>
  <c r="AI4" i="17"/>
  <c r="DW5" i="16"/>
  <c r="BK5" i="16"/>
  <c r="EW4" i="16"/>
  <c r="CK4" i="16"/>
  <c r="Y4" i="16"/>
  <c r="DD5" i="15"/>
  <c r="AR5" i="15"/>
  <c r="ED4" i="15"/>
  <c r="BR4" i="15"/>
  <c r="F4" i="15"/>
  <c r="CS5" i="14"/>
  <c r="AG5" i="14"/>
  <c r="AS4" i="15"/>
  <c r="EG4" i="14"/>
  <c r="BT4" i="14"/>
  <c r="H4" i="14"/>
  <c r="CN5" i="13"/>
  <c r="BP5" i="17"/>
  <c r="D5" i="17"/>
  <c r="CP4" i="17"/>
  <c r="DO4" i="18"/>
  <c r="CI5" i="17"/>
  <c r="DI4" i="17"/>
  <c r="R4" i="17"/>
  <c r="DF5" i="16"/>
  <c r="AT5" i="16"/>
  <c r="EF4" i="16"/>
  <c r="BT4" i="16"/>
  <c r="H4" i="16"/>
  <c r="CM5" i="15"/>
  <c r="AA5" i="15"/>
  <c r="DM4" i="15"/>
  <c r="BA4" i="15"/>
  <c r="O4" i="18"/>
  <c r="AK5" i="17"/>
  <c r="BK4" i="17"/>
  <c r="EK5" i="16"/>
  <c r="BY5" i="16"/>
  <c r="M5" i="16"/>
  <c r="CY4" i="16"/>
  <c r="AM4" i="16"/>
  <c r="DZ5" i="15"/>
  <c r="BN5" i="15"/>
  <c r="B5" i="15"/>
  <c r="CN4" i="15"/>
  <c r="AB4" i="15"/>
  <c r="DO5" i="14"/>
  <c r="BC5" i="14"/>
  <c r="EO4" i="14"/>
  <c r="M4" i="18"/>
  <c r="AI5" i="17"/>
  <c r="BI4" i="17"/>
  <c r="EJ5" i="16"/>
  <c r="BX5" i="16"/>
  <c r="L5" i="16"/>
  <c r="CX4" i="16"/>
  <c r="AL4" i="16"/>
  <c r="DY5" i="15"/>
  <c r="BM5" i="15"/>
  <c r="A5" i="15"/>
  <c r="CM4" i="15"/>
  <c r="AA4" i="15"/>
  <c r="DN5" i="14"/>
  <c r="AY5" i="18"/>
  <c r="EQ5" i="17"/>
  <c r="Q5" i="17"/>
  <c r="AU4" i="17"/>
  <c r="EA5" i="16"/>
  <c r="BO5" i="16"/>
  <c r="C5" i="16"/>
  <c r="CO4" i="16"/>
  <c r="AC4" i="16"/>
  <c r="DP5" i="15"/>
  <c r="BD5" i="15"/>
  <c r="EP4" i="15"/>
  <c r="CD4" i="15"/>
  <c r="R4" i="15"/>
  <c r="DE5" i="14"/>
  <c r="AS5" i="14"/>
  <c r="EE4" i="18"/>
  <c r="DG5" i="17"/>
  <c r="EG4" i="17"/>
  <c r="AD4" i="17"/>
  <c r="DR5" i="16"/>
  <c r="BF5" i="16"/>
  <c r="ER4" i="16"/>
  <c r="CF4" i="16"/>
  <c r="T4" i="16"/>
  <c r="DG5" i="15"/>
  <c r="AU5" i="15"/>
  <c r="EG4" i="15"/>
  <c r="BU4" i="15"/>
  <c r="I4" i="15"/>
  <c r="CN5" i="14"/>
  <c r="AB5" i="14"/>
  <c r="CW4" i="18"/>
  <c r="CO5" i="17"/>
  <c r="DO4" i="17"/>
  <c r="U4" i="17"/>
  <c r="DI5" i="16"/>
  <c r="AW5" i="16"/>
  <c r="EI4" i="16"/>
  <c r="BW4" i="16"/>
  <c r="K4" i="16"/>
  <c r="CX5" i="15"/>
  <c r="AL5" i="15"/>
  <c r="DX4" i="15"/>
  <c r="BL4" i="15"/>
  <c r="AK5" i="18"/>
  <c r="DS5" i="17"/>
  <c r="ES4" i="17"/>
  <c r="AJ4" i="17"/>
  <c r="DX5" i="16"/>
  <c r="BL5" i="16"/>
  <c r="EX4" i="16"/>
  <c r="CL4" i="16"/>
  <c r="Z4" i="16"/>
  <c r="DM5" i="15"/>
  <c r="BA5" i="15"/>
  <c r="EM4" i="15"/>
  <c r="CA4" i="15"/>
  <c r="O4" i="15"/>
  <c r="DB5" i="14"/>
  <c r="AP5" i="14"/>
  <c r="C5" i="18"/>
  <c r="DA5" i="17"/>
  <c r="EA4" i="17"/>
  <c r="AA4" i="17"/>
  <c r="DO5" i="16"/>
  <c r="BC5" i="16"/>
  <c r="EO4" i="16"/>
  <c r="CC4" i="16"/>
  <c r="Q4" i="16"/>
  <c r="CV5" i="15"/>
  <c r="AJ5" i="15"/>
  <c r="DV4" i="15"/>
  <c r="BJ4" i="15"/>
  <c r="EW5" i="14"/>
  <c r="CK5" i="14"/>
  <c r="Y5" i="14"/>
  <c r="EV5" i="14"/>
  <c r="DX4" i="14"/>
  <c r="BL4" i="14"/>
  <c r="ER5" i="13"/>
  <c r="CF5" i="13"/>
  <c r="BH5" i="17"/>
  <c r="ET4" i="17"/>
  <c r="CH4" i="17"/>
  <c r="CI4" i="18"/>
  <c r="BS5" i="17"/>
  <c r="CS4" i="17"/>
  <c r="J4" i="17"/>
  <c r="CX5" i="16"/>
  <c r="AL5" i="16"/>
  <c r="DX4" i="16"/>
  <c r="BL4" i="16"/>
  <c r="EQ5" i="15"/>
  <c r="CE5" i="15"/>
  <c r="S5" i="15"/>
  <c r="DE4" i="15"/>
  <c r="BG5" i="18"/>
  <c r="EW5" i="17"/>
  <c r="U5" i="17"/>
  <c r="AX4" i="17"/>
  <c r="EC5" i="16"/>
  <c r="BQ5" i="16"/>
  <c r="E5" i="16"/>
  <c r="CQ4" i="16"/>
  <c r="AE4" i="16"/>
  <c r="DR5" i="15"/>
  <c r="BF5" i="15"/>
  <c r="ER4" i="15"/>
  <c r="CF4" i="15"/>
  <c r="T4" i="15"/>
  <c r="DG5" i="14"/>
  <c r="AU5" i="14"/>
  <c r="BA5" i="18"/>
  <c r="ES5" i="17"/>
  <c r="S5" i="17"/>
  <c r="AW4" i="17"/>
  <c r="EB5" i="16"/>
  <c r="BP5" i="16"/>
  <c r="D5" i="16"/>
  <c r="CP4" i="16"/>
  <c r="AD4" i="16"/>
  <c r="DQ5" i="15"/>
  <c r="BE5" i="15"/>
  <c r="EQ4" i="15"/>
  <c r="CE4" i="15"/>
  <c r="S4" i="15"/>
  <c r="DF5" i="14"/>
  <c r="S5" i="18"/>
  <c r="DY5" i="17"/>
  <c r="A5" i="17"/>
  <c r="AM4" i="17"/>
  <c r="DS5" i="16"/>
  <c r="BG5" i="16"/>
  <c r="ES4" i="16"/>
  <c r="CG4" i="16"/>
  <c r="U4" i="16"/>
  <c r="DH5" i="15"/>
  <c r="AV5" i="15"/>
  <c r="EH4" i="15"/>
  <c r="BV4" i="15"/>
  <c r="J4" i="15"/>
  <c r="CW5" i="14"/>
  <c r="AK5" i="14"/>
  <c r="CY4" i="18"/>
  <c r="CQ5" i="17"/>
  <c r="DQ4" i="17"/>
  <c r="V4" i="17"/>
  <c r="DJ5" i="16"/>
  <c r="AX5" i="16"/>
  <c r="EJ4" i="16"/>
  <c r="BX4" i="16"/>
  <c r="L4" i="16"/>
  <c r="CY5" i="15"/>
  <c r="AM5" i="15"/>
  <c r="DY4" i="15"/>
  <c r="BM4" i="15"/>
  <c r="ER5" i="14"/>
  <c r="CF5" i="14"/>
  <c r="T5" i="14"/>
  <c r="BQ4" i="18"/>
  <c r="BY5" i="17"/>
  <c r="CY4" i="17"/>
  <c r="M4" i="17"/>
  <c r="DA5" i="16"/>
  <c r="AO5" i="16"/>
  <c r="EA4" i="16"/>
  <c r="BO4" i="16"/>
  <c r="C4" i="16"/>
  <c r="CP5" i="15"/>
  <c r="AD5" i="15"/>
  <c r="DP4" i="15"/>
  <c r="BD4" i="15"/>
  <c r="E5" i="18"/>
  <c r="DC5" i="17"/>
  <c r="EC4" i="17"/>
  <c r="AB4" i="17"/>
  <c r="DP5" i="16"/>
  <c r="BD5" i="16"/>
  <c r="EP4" i="16"/>
  <c r="CD4" i="16"/>
  <c r="R4" i="16"/>
  <c r="DE5" i="15"/>
  <c r="AS5" i="15"/>
  <c r="EE4" i="15"/>
  <c r="BS4" i="15"/>
  <c r="G4" i="15"/>
  <c r="CT5" i="14"/>
  <c r="AH5" i="14"/>
  <c r="DU4" i="18"/>
  <c r="CK5" i="17"/>
  <c r="DK4" i="17"/>
  <c r="S4" i="17"/>
  <c r="DG5" i="16"/>
  <c r="AU5" i="16"/>
  <c r="EG4" i="16"/>
  <c r="BU4" i="16"/>
  <c r="I4" i="16"/>
  <c r="CN5" i="15"/>
  <c r="AB5" i="15"/>
  <c r="DN4" i="15"/>
  <c r="BB4" i="15"/>
  <c r="EO5" i="14"/>
  <c r="CC5" i="14"/>
  <c r="Q5" i="14"/>
  <c r="DP5" i="14"/>
  <c r="DP4" i="14"/>
  <c r="BD4" i="14"/>
  <c r="EJ5" i="13"/>
  <c r="BX5" i="13"/>
  <c r="AZ5" i="17"/>
  <c r="EL4" i="17"/>
  <c r="BZ4" i="17"/>
  <c r="BI4" i="18"/>
  <c r="BC5" i="17"/>
  <c r="CC4" i="17"/>
  <c r="B4" i="17"/>
  <c r="CP5" i="16"/>
  <c r="AD5" i="16"/>
  <c r="DP4" i="16"/>
  <c r="BD4" i="16"/>
  <c r="EI5" i="15"/>
  <c r="BW5" i="15"/>
  <c r="K5" i="15"/>
  <c r="CW4" i="15"/>
  <c r="AA5" i="18"/>
  <c r="EC5" i="17"/>
  <c r="E5" i="17"/>
  <c r="AO4" i="17"/>
  <c r="DU5" i="16"/>
  <c r="BI5" i="16"/>
  <c r="EU4" i="16"/>
  <c r="CI4" i="16"/>
  <c r="W4" i="16"/>
  <c r="DJ5" i="15"/>
  <c r="AX5" i="15"/>
  <c r="EJ4" i="15"/>
  <c r="BX4" i="15"/>
  <c r="L4" i="15"/>
  <c r="CY5" i="14"/>
  <c r="AM5" i="14"/>
  <c r="U5" i="18"/>
  <c r="EA5" i="17"/>
  <c r="C5" i="17"/>
  <c r="AN4" i="17"/>
  <c r="DT5" i="16"/>
  <c r="BH5" i="16"/>
  <c r="ET4" i="16"/>
  <c r="CH4" i="16"/>
  <c r="V4" i="16"/>
  <c r="DI5" i="15"/>
  <c r="AW5" i="15"/>
  <c r="EI4" i="15"/>
  <c r="BW4" i="15"/>
  <c r="K4" i="15"/>
  <c r="CX5" i="14"/>
  <c r="EK4" i="18"/>
  <c r="DI5" i="17"/>
  <c r="EI4" i="17"/>
  <c r="AE4" i="17"/>
  <c r="DK5" i="16"/>
  <c r="AY5" i="16"/>
  <c r="EK4" i="16"/>
  <c r="BY4" i="16"/>
  <c r="M4" i="16"/>
  <c r="CZ5" i="15"/>
  <c r="AN5" i="15"/>
  <c r="DZ4" i="15"/>
  <c r="BN4" i="15"/>
  <c r="B4" i="15"/>
  <c r="CO5" i="14"/>
  <c r="AC5" i="14"/>
  <c r="BS4" i="18"/>
  <c r="CA5" i="17"/>
  <c r="DA4" i="17"/>
  <c r="N4" i="17"/>
  <c r="DB5" i="16"/>
  <c r="AP5" i="16"/>
  <c r="EB4" i="16"/>
  <c r="BP4" i="16"/>
  <c r="D4" i="16"/>
  <c r="CQ5" i="15"/>
  <c r="AE5" i="15"/>
  <c r="DQ4" i="15"/>
  <c r="BE4" i="15"/>
  <c r="EJ5" i="14"/>
  <c r="BX5" i="14"/>
  <c r="L5" i="14"/>
  <c r="AU4" i="18"/>
  <c r="BI5" i="17"/>
  <c r="CI4" i="17"/>
  <c r="E4" i="17"/>
  <c r="CS5" i="16"/>
  <c r="AG5" i="16"/>
  <c r="DS4" i="16"/>
  <c r="BG4" i="16"/>
  <c r="ET5" i="15"/>
  <c r="CH5" i="15"/>
  <c r="V5" i="15"/>
  <c r="DH4" i="15"/>
  <c r="AV4" i="15"/>
  <c r="DW4" i="18"/>
  <c r="CM5" i="17"/>
  <c r="DM4" i="17"/>
  <c r="T4" i="17"/>
  <c r="DH5" i="16"/>
  <c r="AV5" i="16"/>
  <c r="EH4" i="16"/>
  <c r="BV4" i="16"/>
  <c r="J4" i="16"/>
  <c r="CW5" i="15"/>
  <c r="AK5" i="15"/>
  <c r="DW4" i="15"/>
  <c r="BK4" i="15"/>
  <c r="EX5" i="14"/>
  <c r="CL5" i="14"/>
  <c r="Z5" i="14"/>
  <c r="CO4" i="18"/>
  <c r="BU5" i="17"/>
  <c r="CU4" i="17"/>
  <c r="K4" i="17"/>
  <c r="CY5" i="16"/>
  <c r="AM5" i="16"/>
  <c r="DY4" i="16"/>
  <c r="BM4" i="16"/>
  <c r="ER5" i="15"/>
  <c r="CF5" i="15"/>
  <c r="T5" i="15"/>
  <c r="DF4" i="15"/>
  <c r="AT4" i="15"/>
  <c r="EG5" i="14"/>
  <c r="BU5" i="14"/>
  <c r="I5" i="14"/>
  <c r="CJ5" i="14"/>
  <c r="DH4" i="14"/>
  <c r="AV4" i="14"/>
  <c r="EB5" i="13"/>
  <c r="AR5" i="17"/>
  <c r="ED4" i="17"/>
  <c r="BR4" i="17"/>
  <c r="AM4" i="18"/>
  <c r="AM5" i="17"/>
  <c r="BM4" i="17"/>
  <c r="ET5" i="16"/>
  <c r="CH5" i="16"/>
  <c r="V5" i="16"/>
  <c r="DH4" i="16"/>
  <c r="AV4" i="16"/>
  <c r="EA5" i="15"/>
  <c r="BO5" i="15"/>
  <c r="C5" i="15"/>
  <c r="CO4" i="15"/>
  <c r="ES4" i="18"/>
  <c r="DM5" i="17"/>
  <c r="EM4" i="17"/>
  <c r="AG4" i="17"/>
  <c r="DM5" i="16"/>
  <c r="BA5" i="16"/>
  <c r="EM4" i="16"/>
  <c r="CA4" i="16"/>
  <c r="O4" i="16"/>
  <c r="DB5" i="15"/>
  <c r="AP5" i="15"/>
  <c r="EB4" i="15"/>
  <c r="BP4" i="15"/>
  <c r="D4" i="15"/>
  <c r="CQ5" i="14"/>
  <c r="AE5" i="14"/>
  <c r="EM4" i="18"/>
  <c r="DK5" i="17"/>
  <c r="EK4" i="17"/>
  <c r="AF4" i="17"/>
  <c r="DL5" i="16"/>
  <c r="AZ5" i="16"/>
  <c r="EL4" i="16"/>
  <c r="BZ4" i="16"/>
  <c r="N4" i="16"/>
  <c r="DA5" i="15"/>
  <c r="AO5" i="15"/>
  <c r="EA4" i="15"/>
  <c r="BO4" i="15"/>
  <c r="C4" i="15"/>
  <c r="CP5" i="14"/>
  <c r="DE4" i="18"/>
  <c r="CS5" i="17"/>
  <c r="DS4" i="17"/>
  <c r="W4" i="17"/>
  <c r="DC5" i="16"/>
  <c r="AQ5" i="16"/>
  <c r="EC4" i="16"/>
  <c r="BQ4" i="16"/>
  <c r="E4" i="16"/>
  <c r="CR5" i="15"/>
  <c r="AF5" i="15"/>
  <c r="DR4" i="15"/>
  <c r="BF4" i="15"/>
  <c r="ES5" i="14"/>
  <c r="CG5" i="14"/>
  <c r="U5" i="14"/>
  <c r="AW4" i="18"/>
  <c r="BK5" i="17"/>
  <c r="CK4" i="17"/>
  <c r="F4" i="17"/>
  <c r="CT5" i="16"/>
  <c r="AH5" i="16"/>
  <c r="DT4" i="16"/>
  <c r="BH4" i="16"/>
  <c r="EU5" i="15"/>
  <c r="CI5" i="15"/>
  <c r="W5" i="15"/>
  <c r="DI4" i="15"/>
  <c r="AW4" i="15"/>
  <c r="EB5" i="14"/>
  <c r="BP5" i="14"/>
  <c r="D5" i="14"/>
  <c r="Y4" i="18"/>
  <c r="AS5" i="17"/>
  <c r="BS4" i="17"/>
  <c r="EW5" i="16"/>
  <c r="CK5" i="16"/>
  <c r="Y5" i="16"/>
  <c r="DK4" i="16"/>
  <c r="AY4" i="16"/>
  <c r="EL5" i="15"/>
  <c r="BZ5" i="15"/>
  <c r="N5" i="15"/>
  <c r="CZ4" i="15"/>
  <c r="AN4" i="15"/>
  <c r="CQ4" i="18"/>
  <c r="BW5" i="17"/>
  <c r="CW4" i="17"/>
  <c r="L4" i="17"/>
  <c r="CZ5" i="16"/>
  <c r="AN5" i="16"/>
  <c r="DZ4" i="16"/>
  <c r="BN4" i="16"/>
  <c r="B4" i="16"/>
  <c r="CO5" i="15"/>
  <c r="AC5" i="15"/>
  <c r="DO4" i="15"/>
  <c r="BC4" i="15"/>
  <c r="EP5" i="14"/>
  <c r="CD5" i="14"/>
  <c r="R5" i="14"/>
  <c r="BK4" i="18"/>
  <c r="BE5" i="17"/>
  <c r="CE4" i="17"/>
  <c r="C4" i="17"/>
  <c r="CQ5" i="16"/>
  <c r="AE5" i="16"/>
  <c r="DQ4" i="16"/>
  <c r="BE4" i="16"/>
  <c r="EJ5" i="15"/>
  <c r="BX5" i="15"/>
  <c r="L5" i="15"/>
  <c r="CX4" i="15"/>
  <c r="AL4" i="15"/>
  <c r="DY5" i="14"/>
  <c r="BM5" i="14"/>
  <c r="A5" i="14"/>
  <c r="BD5" i="14"/>
  <c r="CZ4" i="14"/>
  <c r="AN4" i="14"/>
  <c r="DT5" i="13"/>
  <c r="AJ5" i="17"/>
  <c r="DV4" i="17"/>
  <c r="BJ4" i="17"/>
  <c r="Q4" i="18"/>
  <c r="W5" i="17"/>
  <c r="AY4" i="17"/>
  <c r="EL5" i="16"/>
  <c r="BZ5" i="16"/>
  <c r="N5" i="16"/>
  <c r="CZ4" i="16"/>
  <c r="AN4" i="16"/>
  <c r="DS5" i="15"/>
  <c r="BG5" i="15"/>
  <c r="ES4" i="15"/>
  <c r="CG4" i="15"/>
  <c r="DM4" i="18"/>
  <c r="CW5" i="17"/>
  <c r="DW4" i="17"/>
  <c r="Y4" i="17"/>
  <c r="DE5" i="16"/>
  <c r="AS5" i="16"/>
  <c r="EE4" i="16"/>
  <c r="BS4" i="16"/>
  <c r="G4" i="16"/>
  <c r="CT5" i="15"/>
  <c r="AH5" i="15"/>
  <c r="DT4" i="15"/>
  <c r="BH4" i="15"/>
  <c r="EU5" i="14"/>
  <c r="CI5" i="14"/>
  <c r="W5" i="14"/>
  <c r="DG4" i="18"/>
  <c r="CU5" i="17"/>
  <c r="DU4" i="17"/>
  <c r="X4" i="17"/>
  <c r="DD5" i="16"/>
  <c r="AR5" i="16"/>
  <c r="ED4" i="16"/>
  <c r="BR4" i="16"/>
  <c r="F4" i="16"/>
  <c r="CS5" i="15"/>
  <c r="AG5" i="15"/>
  <c r="DS4" i="15"/>
  <c r="BG4" i="15"/>
  <c r="ET5" i="14"/>
  <c r="CH5" i="14"/>
  <c r="BY4" i="18"/>
  <c r="CC5" i="17"/>
  <c r="DC4" i="17"/>
  <c r="O4" i="17"/>
  <c r="CU5" i="16"/>
  <c r="AI5" i="16"/>
  <c r="DU4" i="16"/>
  <c r="BI4" i="16"/>
  <c r="EV5" i="15"/>
  <c r="CJ5" i="15"/>
  <c r="X5" i="15"/>
  <c r="DJ4" i="15"/>
  <c r="AX4" i="15"/>
  <c r="EK5" i="14"/>
  <c r="BY5" i="14"/>
  <c r="M5" i="14"/>
  <c r="AC4" i="18"/>
  <c r="AU5" i="17"/>
  <c r="BU4" i="17"/>
  <c r="EX5" i="16"/>
  <c r="CL5" i="16"/>
  <c r="Z5" i="16"/>
  <c r="DL4" i="16"/>
  <c r="AZ4" i="16"/>
  <c r="EM5" i="15"/>
  <c r="CA5" i="15"/>
  <c r="O5" i="15"/>
  <c r="DA4" i="15"/>
  <c r="AO4" i="15"/>
  <c r="DT5" i="14"/>
  <c r="BH5" i="14"/>
  <c r="ET4" i="14"/>
  <c r="E4" i="18"/>
  <c r="AC5" i="17"/>
  <c r="BC4" i="17"/>
  <c r="EO5" i="16"/>
  <c r="CC5" i="16"/>
  <c r="Q5" i="16"/>
  <c r="DC4" i="16"/>
  <c r="AQ4" i="16"/>
  <c r="ED5" i="15"/>
  <c r="BR5" i="15"/>
  <c r="F5" i="15"/>
  <c r="CR4" i="15"/>
  <c r="AF4" i="15"/>
  <c r="BM4" i="18"/>
  <c r="BG5" i="17"/>
  <c r="CG4" i="17"/>
  <c r="D4" i="17"/>
  <c r="CR5" i="16"/>
  <c r="AF5" i="16"/>
  <c r="DR4" i="16"/>
  <c r="BF4" i="16"/>
  <c r="ES5" i="15"/>
  <c r="CG5" i="15"/>
  <c r="U5" i="15"/>
  <c r="DG4" i="15"/>
  <c r="AU4" i="15"/>
  <c r="EH5" i="14"/>
  <c r="BV5" i="14"/>
  <c r="J5" i="14"/>
  <c r="AO4" i="18"/>
  <c r="AO5" i="17"/>
  <c r="BO4" i="17"/>
  <c r="EU5" i="16"/>
  <c r="CI5" i="16"/>
  <c r="W5" i="16"/>
  <c r="DI4" i="16"/>
  <c r="AW4" i="16"/>
  <c r="EB5" i="15"/>
  <c r="BP5" i="15"/>
  <c r="D5" i="15"/>
  <c r="CP4" i="15"/>
  <c r="AD4" i="15"/>
  <c r="DQ5" i="14"/>
  <c r="BE5" i="14"/>
  <c r="EQ4" i="14"/>
  <c r="AI5" i="14"/>
  <c r="CR4" i="14"/>
  <c r="AF4" i="14"/>
  <c r="DL5" i="13"/>
  <c r="AB5" i="17"/>
  <c r="DN4" i="17"/>
  <c r="BO5" i="18"/>
  <c r="EE5" i="17"/>
  <c r="G5" i="17"/>
  <c r="AP4" i="17"/>
  <c r="ED5" i="16"/>
  <c r="BR5" i="16"/>
  <c r="F5" i="16"/>
  <c r="CR4" i="16"/>
  <c r="AF4" i="16"/>
  <c r="DK5" i="15"/>
  <c r="AY5" i="15"/>
  <c r="EK4" i="15"/>
  <c r="BY4" i="15"/>
  <c r="CG4" i="18"/>
  <c r="CG5" i="17"/>
  <c r="DG4" i="17"/>
  <c r="Q4" i="17"/>
  <c r="CW5" i="16"/>
  <c r="AK5" i="16"/>
  <c r="DW4" i="16"/>
  <c r="BK4" i="16"/>
  <c r="EX5" i="15"/>
  <c r="CL5" i="15"/>
  <c r="Z5" i="15"/>
  <c r="DL4" i="15"/>
  <c r="AZ4" i="15"/>
  <c r="EM5" i="14"/>
  <c r="CA5" i="14"/>
  <c r="O5" i="14"/>
  <c r="CA4" i="18"/>
  <c r="CE5" i="17"/>
  <c r="DE4" i="17"/>
  <c r="P4" i="17"/>
  <c r="CV5" i="16"/>
  <c r="AJ5" i="16"/>
  <c r="DV4" i="16"/>
  <c r="BJ4" i="16"/>
  <c r="EW5" i="15"/>
  <c r="CK5" i="15"/>
  <c r="Y5" i="15"/>
  <c r="DK4" i="15"/>
  <c r="AY4" i="15"/>
  <c r="EL5" i="14"/>
  <c r="BZ5" i="14"/>
  <c r="BA4" i="18"/>
  <c r="BM5" i="17"/>
  <c r="CM4" i="17"/>
  <c r="G4" i="17"/>
  <c r="CM5" i="16"/>
  <c r="AA5" i="16"/>
  <c r="DM4" i="16"/>
  <c r="BA4" i="16"/>
  <c r="EN5" i="15"/>
  <c r="CB5" i="15"/>
  <c r="P5" i="15"/>
  <c r="DB4" i="15"/>
  <c r="AP4" i="15"/>
  <c r="EC5" i="14"/>
  <c r="BQ5" i="14"/>
  <c r="E5" i="14"/>
  <c r="G4" i="18"/>
  <c r="AE5" i="17"/>
  <c r="BE4" i="17"/>
  <c r="EP5" i="16"/>
  <c r="CD5" i="16"/>
  <c r="R5" i="16"/>
  <c r="DD4" i="16"/>
  <c r="AR4" i="16"/>
  <c r="EE5" i="15"/>
  <c r="BS5" i="15"/>
  <c r="G5" i="15"/>
  <c r="CS4" i="15"/>
  <c r="AG4" i="15"/>
  <c r="DL5" i="14"/>
  <c r="AZ5" i="14"/>
  <c r="AQ5" i="18"/>
  <c r="EK5" i="17"/>
  <c r="M5" i="17"/>
  <c r="AS4" i="17"/>
  <c r="EG5" i="16"/>
  <c r="BU5" i="16"/>
  <c r="I5" i="16"/>
  <c r="CU4" i="16"/>
  <c r="AI4" i="16"/>
  <c r="DV5" i="15"/>
  <c r="BJ5" i="15"/>
  <c r="EV4" i="15"/>
  <c r="CJ4" i="15"/>
  <c r="X4" i="15"/>
  <c r="AS4" i="18"/>
  <c r="AQ5" i="17"/>
  <c r="BQ4" i="17"/>
  <c r="EV5" i="16"/>
  <c r="CJ5" i="16"/>
  <c r="X5" i="16"/>
  <c r="DJ4" i="16"/>
  <c r="AX4" i="16"/>
  <c r="EK5" i="15"/>
  <c r="BY5" i="15"/>
  <c r="M5" i="15"/>
  <c r="CY4" i="15"/>
  <c r="AM4" i="15"/>
  <c r="DZ5" i="14"/>
  <c r="BN5" i="14"/>
  <c r="B5" i="14"/>
  <c r="U4" i="18"/>
  <c r="Y5" i="17"/>
  <c r="BA4" i="17"/>
  <c r="EM5" i="16"/>
  <c r="CA5" i="16"/>
  <c r="O5" i="16"/>
  <c r="DA4" i="16"/>
  <c r="AO4" i="16"/>
  <c r="DT5" i="15"/>
  <c r="BH5" i="15"/>
  <c r="ET4" i="15"/>
  <c r="CH4" i="15"/>
  <c r="V4" i="15"/>
  <c r="DI5" i="14"/>
  <c r="AW5" i="14"/>
  <c r="EI4" i="14"/>
  <c r="N5" i="14"/>
  <c r="CJ4" i="14"/>
  <c r="X4" i="14"/>
  <c r="DD5" i="13"/>
  <c r="BP5" i="13"/>
  <c r="D5" i="13"/>
  <c r="CP4" i="13"/>
  <c r="AD4" i="13"/>
  <c r="DQ5" i="12"/>
  <c r="BE5" i="12"/>
  <c r="EQ4" i="12"/>
  <c r="CE4" i="12"/>
  <c r="S4" i="12"/>
  <c r="DF5" i="11"/>
  <c r="AT5" i="11"/>
  <c r="EF4" i="11"/>
  <c r="BT4" i="11"/>
  <c r="H4" i="11"/>
  <c r="CN5" i="10"/>
  <c r="AB5" i="10"/>
  <c r="DN4" i="10"/>
  <c r="BB4" i="10"/>
  <c r="EO5" i="9"/>
  <c r="CC5" i="9"/>
  <c r="Q5" i="9"/>
  <c r="DC4" i="9"/>
  <c r="AQ4" i="9"/>
  <c r="ED5" i="8"/>
  <c r="BR5" i="8"/>
  <c r="F5" i="8"/>
  <c r="CE5" i="14"/>
  <c r="DG4" i="14"/>
  <c r="AU4" i="14"/>
  <c r="EA5" i="13"/>
  <c r="BO5" i="13"/>
  <c r="C5" i="13"/>
  <c r="CO4" i="13"/>
  <c r="AC4" i="13"/>
  <c r="DP5" i="12"/>
  <c r="BD5" i="12"/>
  <c r="EP4" i="12"/>
  <c r="CD4" i="12"/>
  <c r="R4" i="12"/>
  <c r="DE5" i="11"/>
  <c r="AS5" i="11"/>
  <c r="EE4" i="11"/>
  <c r="BS4" i="11"/>
  <c r="G4" i="11"/>
  <c r="CM5" i="10"/>
  <c r="AA5" i="10"/>
  <c r="DM4" i="10"/>
  <c r="BA4" i="10"/>
  <c r="EN5" i="9"/>
  <c r="CB5" i="9"/>
  <c r="P5" i="9"/>
  <c r="DB4" i="9"/>
  <c r="AP4" i="9"/>
  <c r="EC5" i="8"/>
  <c r="BQ5" i="8"/>
  <c r="E5" i="8"/>
  <c r="CQ4" i="8"/>
  <c r="AE4" i="8"/>
  <c r="EN4" i="14"/>
  <c r="BZ4" i="14"/>
  <c r="N4" i="14"/>
  <c r="DB5" i="13"/>
  <c r="AP5" i="13"/>
  <c r="EB4" i="13"/>
  <c r="BP4" i="13"/>
  <c r="D4" i="13"/>
  <c r="CQ5" i="12"/>
  <c r="AE5" i="12"/>
  <c r="DQ4" i="12"/>
  <c r="BE4" i="12"/>
  <c r="EJ5" i="11"/>
  <c r="BX5" i="11"/>
  <c r="L5" i="11"/>
  <c r="CX4" i="11"/>
  <c r="AL4" i="11"/>
  <c r="DZ5" i="10"/>
  <c r="BN5" i="10"/>
  <c r="B5" i="10"/>
  <c r="CN4" i="10"/>
  <c r="AB4" i="10"/>
  <c r="DO5" i="9"/>
  <c r="BC5" i="9"/>
  <c r="EO4" i="9"/>
  <c r="CC4" i="9"/>
  <c r="Q4" i="9"/>
  <c r="CV5" i="8"/>
  <c r="AJ5" i="8"/>
  <c r="DV4" i="8"/>
  <c r="BJ4" i="8"/>
  <c r="DC5" i="14"/>
  <c r="DM4" i="14"/>
  <c r="BA4" i="14"/>
  <c r="EO5" i="13"/>
  <c r="CC5" i="13"/>
  <c r="Q5" i="13"/>
  <c r="DC4" i="13"/>
  <c r="AQ4" i="13"/>
  <c r="ED5" i="12"/>
  <c r="BR5" i="12"/>
  <c r="F5" i="12"/>
  <c r="CR4" i="12"/>
  <c r="AF4" i="12"/>
  <c r="DK5" i="11"/>
  <c r="AY5" i="11"/>
  <c r="EK4" i="11"/>
  <c r="BY4" i="11"/>
  <c r="M4" i="11"/>
  <c r="DA5" i="10"/>
  <c r="AO5" i="10"/>
  <c r="EA4" i="10"/>
  <c r="BO4" i="10"/>
  <c r="C4" i="10"/>
  <c r="CP5" i="9"/>
  <c r="AD5" i="9"/>
  <c r="DP4" i="9"/>
  <c r="BD4" i="9"/>
  <c r="EI5" i="8"/>
  <c r="BW5" i="8"/>
  <c r="K5" i="8"/>
  <c r="BT5" i="14"/>
  <c r="DD4" i="14"/>
  <c r="AR4" i="14"/>
  <c r="EF5" i="13"/>
  <c r="BT5" i="13"/>
  <c r="H5" i="13"/>
  <c r="CT4" i="13"/>
  <c r="AH4" i="13"/>
  <c r="DU5" i="12"/>
  <c r="BH5" i="13"/>
  <c r="ET4" i="13"/>
  <c r="CH4" i="13"/>
  <c r="V4" i="13"/>
  <c r="DI5" i="12"/>
  <c r="AW5" i="12"/>
  <c r="EI4" i="12"/>
  <c r="BW4" i="12"/>
  <c r="K4" i="12"/>
  <c r="CX5" i="11"/>
  <c r="AL5" i="11"/>
  <c r="DX4" i="11"/>
  <c r="BL4" i="11"/>
  <c r="ER5" i="10"/>
  <c r="CF5" i="10"/>
  <c r="T5" i="10"/>
  <c r="DF4" i="10"/>
  <c r="AT4" i="10"/>
  <c r="EG5" i="9"/>
  <c r="BU5" i="9"/>
  <c r="I5" i="9"/>
  <c r="CU4" i="9"/>
  <c r="AI4" i="9"/>
  <c r="DV5" i="8"/>
  <c r="BJ5" i="8"/>
  <c r="EV4" i="8"/>
  <c r="BB5" i="14"/>
  <c r="CY4" i="14"/>
  <c r="AM4" i="14"/>
  <c r="DS5" i="13"/>
  <c r="BG5" i="13"/>
  <c r="ES4" i="13"/>
  <c r="CG4" i="13"/>
  <c r="U4" i="13"/>
  <c r="DH5" i="12"/>
  <c r="AV5" i="12"/>
  <c r="EH4" i="12"/>
  <c r="BV4" i="12"/>
  <c r="J4" i="12"/>
  <c r="CW5" i="11"/>
  <c r="AK5" i="11"/>
  <c r="DW4" i="11"/>
  <c r="BK4" i="11"/>
  <c r="EQ5" i="10"/>
  <c r="CE5" i="10"/>
  <c r="S5" i="10"/>
  <c r="DE4" i="10"/>
  <c r="AS4" i="10"/>
  <c r="EF5" i="9"/>
  <c r="BT5" i="9"/>
  <c r="H5" i="9"/>
  <c r="CT4" i="9"/>
  <c r="AH4" i="9"/>
  <c r="DU5" i="8"/>
  <c r="BI5" i="8"/>
  <c r="EU4" i="8"/>
  <c r="CI4" i="8"/>
  <c r="AC4" i="15"/>
  <c r="EE4" i="14"/>
  <c r="BR4" i="14"/>
  <c r="F4" i="14"/>
  <c r="CT5" i="13"/>
  <c r="AH5" i="13"/>
  <c r="DT4" i="13"/>
  <c r="BH4" i="13"/>
  <c r="EU5" i="12"/>
  <c r="CI5" i="12"/>
  <c r="W5" i="12"/>
  <c r="DI4" i="12"/>
  <c r="AW4" i="12"/>
  <c r="EB5" i="11"/>
  <c r="BP5" i="11"/>
  <c r="D5" i="11"/>
  <c r="CP4" i="11"/>
  <c r="AD4" i="11"/>
  <c r="DR5" i="10"/>
  <c r="BF5" i="10"/>
  <c r="ER4" i="10"/>
  <c r="CF4" i="10"/>
  <c r="T4" i="10"/>
  <c r="DG5" i="9"/>
  <c r="AU5" i="9"/>
  <c r="EG4" i="9"/>
  <c r="BU4" i="9"/>
  <c r="I4" i="9"/>
  <c r="CN5" i="8"/>
  <c r="AB5" i="8"/>
  <c r="DN4" i="8"/>
  <c r="BB4" i="8"/>
  <c r="BW5" i="14"/>
  <c r="DE4" i="14"/>
  <c r="AS4" i="14"/>
  <c r="EG5" i="13"/>
  <c r="BU5" i="13"/>
  <c r="I5" i="13"/>
  <c r="CU4" i="13"/>
  <c r="AI4" i="13"/>
  <c r="DV5" i="12"/>
  <c r="BJ5" i="12"/>
  <c r="EV4" i="12"/>
  <c r="CJ4" i="12"/>
  <c r="X4" i="12"/>
  <c r="DC5" i="11"/>
  <c r="AQ5" i="11"/>
  <c r="EC4" i="11"/>
  <c r="BQ4" i="11"/>
  <c r="E4" i="11"/>
  <c r="CS5" i="10"/>
  <c r="AG5" i="10"/>
  <c r="DS4" i="10"/>
  <c r="BG4" i="10"/>
  <c r="ET5" i="9"/>
  <c r="CH5" i="9"/>
  <c r="V5" i="9"/>
  <c r="DH4" i="9"/>
  <c r="AV4" i="9"/>
  <c r="EA5" i="8"/>
  <c r="BO5" i="8"/>
  <c r="C5" i="8"/>
  <c r="AT5" i="14"/>
  <c r="CV4" i="14"/>
  <c r="AJ4" i="14"/>
  <c r="DX5" i="13"/>
  <c r="BL5" i="13"/>
  <c r="EX4" i="13"/>
  <c r="CL4" i="13"/>
  <c r="Z4" i="13"/>
  <c r="DM5" i="12"/>
  <c r="AZ5" i="13"/>
  <c r="EL4" i="13"/>
  <c r="BZ4" i="13"/>
  <c r="N4" i="13"/>
  <c r="DA5" i="12"/>
  <c r="AO5" i="12"/>
  <c r="EA4" i="12"/>
  <c r="BO4" i="12"/>
  <c r="C4" i="12"/>
  <c r="CP5" i="11"/>
  <c r="AD5" i="11"/>
  <c r="DP4" i="11"/>
  <c r="BD4" i="11"/>
  <c r="EJ5" i="10"/>
  <c r="BX5" i="10"/>
  <c r="L5" i="10"/>
  <c r="CX4" i="10"/>
  <c r="AL4" i="10"/>
  <c r="DY5" i="9"/>
  <c r="BM5" i="9"/>
  <c r="A5" i="9"/>
  <c r="CM4" i="9"/>
  <c r="AA4" i="9"/>
  <c r="DN5" i="8"/>
  <c r="BB5" i="8"/>
  <c r="EN4" i="8"/>
  <c r="AF5" i="14"/>
  <c r="CQ4" i="14"/>
  <c r="AE4" i="14"/>
  <c r="DK5" i="13"/>
  <c r="AY5" i="13"/>
  <c r="EK4" i="13"/>
  <c r="BY4" i="13"/>
  <c r="M4" i="13"/>
  <c r="CZ5" i="12"/>
  <c r="AN5" i="12"/>
  <c r="DZ4" i="12"/>
  <c r="BN4" i="12"/>
  <c r="B4" i="12"/>
  <c r="CO5" i="11"/>
  <c r="AC5" i="11"/>
  <c r="DO4" i="11"/>
  <c r="BC4" i="11"/>
  <c r="EI5" i="10"/>
  <c r="BW5" i="10"/>
  <c r="K5" i="10"/>
  <c r="CW4" i="10"/>
  <c r="AK4" i="10"/>
  <c r="DX5" i="9"/>
  <c r="BL5" i="9"/>
  <c r="EX4" i="9"/>
  <c r="CL4" i="9"/>
  <c r="Z4" i="9"/>
  <c r="DM5" i="8"/>
  <c r="BA5" i="8"/>
  <c r="EM4" i="8"/>
  <c r="CA4" i="8"/>
  <c r="EN5" i="14"/>
  <c r="DV4" i="14"/>
  <c r="BJ4" i="14"/>
  <c r="EX5" i="13"/>
  <c r="CL5" i="13"/>
  <c r="Z5" i="13"/>
  <c r="DL4" i="13"/>
  <c r="AZ4" i="13"/>
  <c r="EM5" i="12"/>
  <c r="CA5" i="12"/>
  <c r="O5" i="12"/>
  <c r="DA4" i="12"/>
  <c r="AO4" i="12"/>
  <c r="DT5" i="11"/>
  <c r="BH5" i="11"/>
  <c r="ET4" i="11"/>
  <c r="CH4" i="11"/>
  <c r="V4" i="11"/>
  <c r="DJ5" i="10"/>
  <c r="AX5" i="10"/>
  <c r="EJ4" i="10"/>
  <c r="BX4" i="10"/>
  <c r="L4" i="10"/>
  <c r="CY5" i="9"/>
  <c r="AM5" i="9"/>
  <c r="DY4" i="9"/>
  <c r="BM4" i="9"/>
  <c r="ER5" i="8"/>
  <c r="CF5" i="8"/>
  <c r="T5" i="8"/>
  <c r="DF4" i="8"/>
  <c r="AT4" i="8"/>
  <c r="AV5" i="14"/>
  <c r="CW4" i="14"/>
  <c r="AK4" i="14"/>
  <c r="DY5" i="13"/>
  <c r="BM5" i="13"/>
  <c r="A5" i="13"/>
  <c r="CM4" i="13"/>
  <c r="AA4" i="13"/>
  <c r="DN5" i="12"/>
  <c r="BB5" i="12"/>
  <c r="EN4" i="12"/>
  <c r="CB4" i="12"/>
  <c r="P4" i="12"/>
  <c r="CU5" i="11"/>
  <c r="AI5" i="11"/>
  <c r="DU4" i="11"/>
  <c r="BI4" i="11"/>
  <c r="EW5" i="10"/>
  <c r="CK5" i="10"/>
  <c r="Y5" i="10"/>
  <c r="DK4" i="10"/>
  <c r="AY4" i="10"/>
  <c r="EL5" i="9"/>
  <c r="BZ5" i="9"/>
  <c r="N5" i="9"/>
  <c r="CZ4" i="9"/>
  <c r="AN4" i="9"/>
  <c r="DS5" i="8"/>
  <c r="BG5" i="8"/>
  <c r="ES4" i="8"/>
  <c r="X5" i="14"/>
  <c r="CN4" i="14"/>
  <c r="AB4" i="14"/>
  <c r="DP5" i="13"/>
  <c r="BD5" i="13"/>
  <c r="EP4" i="13"/>
  <c r="CD4" i="13"/>
  <c r="R4" i="13"/>
  <c r="DE5" i="12"/>
  <c r="AR5" i="13"/>
  <c r="ED4" i="13"/>
  <c r="BR4" i="13"/>
  <c r="F4" i="13"/>
  <c r="CS5" i="12"/>
  <c r="AG5" i="12"/>
  <c r="DS4" i="12"/>
  <c r="BG4" i="12"/>
  <c r="ET5" i="11"/>
  <c r="CH5" i="11"/>
  <c r="V5" i="11"/>
  <c r="DH4" i="11"/>
  <c r="AV4" i="11"/>
  <c r="EB5" i="10"/>
  <c r="BP5" i="10"/>
  <c r="D5" i="10"/>
  <c r="CP4" i="10"/>
  <c r="AD4" i="10"/>
  <c r="DQ5" i="9"/>
  <c r="BE5" i="9"/>
  <c r="EQ4" i="9"/>
  <c r="CE4" i="9"/>
  <c r="S4" i="9"/>
  <c r="DF5" i="8"/>
  <c r="AT5" i="8"/>
  <c r="EF4" i="8"/>
  <c r="K5" i="14"/>
  <c r="CI4" i="14"/>
  <c r="W4" i="14"/>
  <c r="DC5" i="13"/>
  <c r="AQ5" i="13"/>
  <c r="EC4" i="13"/>
  <c r="BQ4" i="13"/>
  <c r="E4" i="13"/>
  <c r="CR5" i="12"/>
  <c r="AF5" i="12"/>
  <c r="DR4" i="12"/>
  <c r="BF4" i="12"/>
  <c r="ES5" i="11"/>
  <c r="CG5" i="11"/>
  <c r="U5" i="11"/>
  <c r="DG4" i="11"/>
  <c r="AU4" i="11"/>
  <c r="EA5" i="10"/>
  <c r="BO5" i="10"/>
  <c r="C5" i="10"/>
  <c r="CO4" i="10"/>
  <c r="AC4" i="10"/>
  <c r="DP5" i="9"/>
  <c r="BD5" i="9"/>
  <c r="EP4" i="9"/>
  <c r="CD4" i="9"/>
  <c r="R4" i="9"/>
  <c r="DE5" i="8"/>
  <c r="AS5" i="8"/>
  <c r="EE4" i="8"/>
  <c r="BS4" i="8"/>
  <c r="DH5" i="14"/>
  <c r="DN4" i="14"/>
  <c r="BB4" i="14"/>
  <c r="EP5" i="13"/>
  <c r="CD5" i="13"/>
  <c r="R5" i="13"/>
  <c r="DD4" i="13"/>
  <c r="AR4" i="13"/>
  <c r="EE5" i="12"/>
  <c r="BS5" i="12"/>
  <c r="G5" i="12"/>
  <c r="CS4" i="12"/>
  <c r="AG4" i="12"/>
  <c r="DL5" i="11"/>
  <c r="AZ5" i="11"/>
  <c r="EL4" i="11"/>
  <c r="BZ4" i="11"/>
  <c r="N4" i="11"/>
  <c r="DB5" i="10"/>
  <c r="AP5" i="10"/>
  <c r="EB4" i="10"/>
  <c r="BP4" i="10"/>
  <c r="D4" i="10"/>
  <c r="CQ5" i="9"/>
  <c r="AE5" i="9"/>
  <c r="DQ4" i="9"/>
  <c r="BE4" i="9"/>
  <c r="EJ5" i="8"/>
  <c r="BX5" i="8"/>
  <c r="L5" i="8"/>
  <c r="CX4" i="8"/>
  <c r="AL4" i="8"/>
  <c r="AA5" i="14"/>
  <c r="CO4" i="14"/>
  <c r="AC4" i="14"/>
  <c r="DQ5" i="13"/>
  <c r="BE5" i="13"/>
  <c r="EQ4" i="13"/>
  <c r="CE4" i="13"/>
  <c r="S4" i="13"/>
  <c r="DF5" i="12"/>
  <c r="AT5" i="12"/>
  <c r="EF4" i="12"/>
  <c r="BT4" i="12"/>
  <c r="H4" i="12"/>
  <c r="CM5" i="11"/>
  <c r="AA5" i="11"/>
  <c r="DM4" i="11"/>
  <c r="BA4" i="11"/>
  <c r="EO5" i="10"/>
  <c r="CC5" i="10"/>
  <c r="Q5" i="10"/>
  <c r="DC4" i="10"/>
  <c r="AQ4" i="10"/>
  <c r="ED5" i="9"/>
  <c r="BR5" i="9"/>
  <c r="F5" i="9"/>
  <c r="CR4" i="9"/>
  <c r="AF4" i="9"/>
  <c r="DK5" i="8"/>
  <c r="AY5" i="8"/>
  <c r="EK4" i="8"/>
  <c r="C5" i="14"/>
  <c r="CF4" i="14"/>
  <c r="T4" i="14"/>
  <c r="DH5" i="13"/>
  <c r="AV5" i="13"/>
  <c r="EH4" i="13"/>
  <c r="BV4" i="13"/>
  <c r="J4" i="13"/>
  <c r="CW5" i="12"/>
  <c r="AJ5" i="13"/>
  <c r="DV4" i="13"/>
  <c r="BJ4" i="13"/>
  <c r="EW5" i="12"/>
  <c r="CK5" i="12"/>
  <c r="Y5" i="12"/>
  <c r="DK4" i="12"/>
  <c r="AY4" i="12"/>
  <c r="EL5" i="11"/>
  <c r="BZ5" i="11"/>
  <c r="N5" i="11"/>
  <c r="CZ4" i="11"/>
  <c r="AN4" i="11"/>
  <c r="DT5" i="10"/>
  <c r="BH5" i="10"/>
  <c r="ET4" i="10"/>
  <c r="CH4" i="10"/>
  <c r="V4" i="10"/>
  <c r="DI5" i="9"/>
  <c r="AW5" i="9"/>
  <c r="EI4" i="9"/>
  <c r="BW4" i="9"/>
  <c r="K4" i="9"/>
  <c r="CX5" i="8"/>
  <c r="AL5" i="8"/>
  <c r="DX4" i="8"/>
  <c r="EP4" i="14"/>
  <c r="CA4" i="14"/>
  <c r="O4" i="14"/>
  <c r="CU5" i="13"/>
  <c r="AI5" i="13"/>
  <c r="DU4" i="13"/>
  <c r="BI4" i="13"/>
  <c r="EV5" i="12"/>
  <c r="CJ5" i="12"/>
  <c r="X5" i="12"/>
  <c r="DJ4" i="12"/>
  <c r="AX4" i="12"/>
  <c r="EK5" i="11"/>
  <c r="BY5" i="11"/>
  <c r="M5" i="11"/>
  <c r="CY4" i="11"/>
  <c r="AM4" i="11"/>
  <c r="DS5" i="10"/>
  <c r="BG5" i="10"/>
  <c r="ES4" i="10"/>
  <c r="CG4" i="10"/>
  <c r="U4" i="10"/>
  <c r="DH5" i="9"/>
  <c r="AV5" i="9"/>
  <c r="EH4" i="9"/>
  <c r="BV4" i="9"/>
  <c r="J4" i="9"/>
  <c r="CW5" i="8"/>
  <c r="AK5" i="8"/>
  <c r="DW4" i="8"/>
  <c r="BK4" i="8"/>
  <c r="CB5" i="14"/>
  <c r="DF4" i="14"/>
  <c r="AT4" i="14"/>
  <c r="EH5" i="13"/>
  <c r="BV5" i="13"/>
  <c r="J5" i="13"/>
  <c r="CV4" i="13"/>
  <c r="AJ4" i="13"/>
  <c r="DW5" i="12"/>
  <c r="BK5" i="12"/>
  <c r="EW4" i="12"/>
  <c r="CK4" i="12"/>
  <c r="Y4" i="12"/>
  <c r="DD5" i="11"/>
  <c r="AR5" i="11"/>
  <c r="ED4" i="11"/>
  <c r="BR4" i="11"/>
  <c r="F4" i="11"/>
  <c r="CT5" i="10"/>
  <c r="AH5" i="10"/>
  <c r="DT4" i="10"/>
  <c r="BH4" i="10"/>
  <c r="EU5" i="9"/>
  <c r="CI5" i="9"/>
  <c r="W5" i="9"/>
  <c r="DI4" i="9"/>
  <c r="AW4" i="9"/>
  <c r="EB5" i="8"/>
  <c r="BP5" i="8"/>
  <c r="D5" i="8"/>
  <c r="CP4" i="8"/>
  <c r="AD4" i="8"/>
  <c r="F5" i="14"/>
  <c r="CG4" i="14"/>
  <c r="U4" i="14"/>
  <c r="DI5" i="13"/>
  <c r="AW5" i="13"/>
  <c r="EI4" i="13"/>
  <c r="BW4" i="13"/>
  <c r="K4" i="13"/>
  <c r="CX5" i="12"/>
  <c r="AL5" i="12"/>
  <c r="DX4" i="12"/>
  <c r="BL4" i="12"/>
  <c r="EQ5" i="11"/>
  <c r="CE5" i="11"/>
  <c r="S5" i="11"/>
  <c r="DE4" i="11"/>
  <c r="AS4" i="11"/>
  <c r="EG5" i="10"/>
  <c r="BU5" i="10"/>
  <c r="I5" i="10"/>
  <c r="CU4" i="10"/>
  <c r="AI4" i="10"/>
  <c r="DV5" i="9"/>
  <c r="BJ5" i="9"/>
  <c r="EV4" i="9"/>
  <c r="CJ4" i="9"/>
  <c r="X4" i="9"/>
  <c r="DC5" i="8"/>
  <c r="AQ5" i="8"/>
  <c r="EC4" i="8"/>
  <c r="EL4" i="14"/>
  <c r="BX4" i="14"/>
  <c r="L4" i="14"/>
  <c r="CZ5" i="13"/>
  <c r="AN5" i="13"/>
  <c r="DZ4" i="13"/>
  <c r="BN4" i="13"/>
  <c r="B4" i="13"/>
  <c r="CO5" i="12"/>
  <c r="AB5" i="13"/>
  <c r="DN4" i="13"/>
  <c r="BB4" i="13"/>
  <c r="EO5" i="12"/>
  <c r="CC5" i="12"/>
  <c r="Q5" i="12"/>
  <c r="DC4" i="12"/>
  <c r="AQ4" i="12"/>
  <c r="ED5" i="11"/>
  <c r="BR5" i="11"/>
  <c r="F5" i="11"/>
  <c r="CR4" i="11"/>
  <c r="AF4" i="11"/>
  <c r="DL5" i="10"/>
  <c r="AZ5" i="10"/>
  <c r="EL4" i="10"/>
  <c r="BZ4" i="10"/>
  <c r="N4" i="10"/>
  <c r="DA5" i="9"/>
  <c r="AO5" i="9"/>
  <c r="EA4" i="9"/>
  <c r="BO4" i="9"/>
  <c r="C4" i="9"/>
  <c r="CP5" i="8"/>
  <c r="AD5" i="8"/>
  <c r="AK4" i="15"/>
  <c r="EF4" i="14"/>
  <c r="BS4" i="14"/>
  <c r="G4" i="14"/>
  <c r="CM5" i="13"/>
  <c r="AA5" i="13"/>
  <c r="DM4" i="13"/>
  <c r="BA4" i="13"/>
  <c r="EN5" i="12"/>
  <c r="CB5" i="12"/>
  <c r="P5" i="12"/>
  <c r="DB4" i="12"/>
  <c r="AP4" i="12"/>
  <c r="EC5" i="11"/>
  <c r="BQ5" i="11"/>
  <c r="E5" i="11"/>
  <c r="CQ4" i="11"/>
  <c r="AE4" i="11"/>
  <c r="DK5" i="10"/>
  <c r="AY5" i="10"/>
  <c r="EK4" i="10"/>
  <c r="BY4" i="10"/>
  <c r="M4" i="10"/>
  <c r="CZ5" i="9"/>
  <c r="AN5" i="9"/>
  <c r="DZ4" i="9"/>
  <c r="BN4" i="9"/>
  <c r="B4" i="9"/>
  <c r="CO5" i="8"/>
  <c r="AC5" i="8"/>
  <c r="DO4" i="8"/>
  <c r="BC4" i="8"/>
  <c r="AY5" i="14"/>
  <c r="CX4" i="14"/>
  <c r="AL4" i="14"/>
  <c r="DZ5" i="13"/>
  <c r="BN5" i="13"/>
  <c r="B5" i="13"/>
  <c r="CN4" i="13"/>
  <c r="AB4" i="13"/>
  <c r="DO5" i="12"/>
  <c r="BC5" i="12"/>
  <c r="EO4" i="12"/>
  <c r="CC4" i="12"/>
  <c r="Q4" i="12"/>
  <c r="CV5" i="11"/>
  <c r="AJ5" i="11"/>
  <c r="DV4" i="11"/>
  <c r="BJ4" i="11"/>
  <c r="EX5" i="10"/>
  <c r="CL5" i="10"/>
  <c r="Z5" i="10"/>
  <c r="DL4" i="10"/>
  <c r="AZ4" i="10"/>
  <c r="EM5" i="9"/>
  <c r="CA5" i="9"/>
  <c r="O5" i="9"/>
  <c r="DA4" i="9"/>
  <c r="AO4" i="9"/>
  <c r="DT5" i="8"/>
  <c r="BH5" i="8"/>
  <c r="ET4" i="8"/>
  <c r="CH4" i="8"/>
  <c r="V4" i="8"/>
  <c r="EM4" i="14"/>
  <c r="BY4" i="14"/>
  <c r="M4" i="14"/>
  <c r="DA5" i="13"/>
  <c r="AO5" i="13"/>
  <c r="EA4" i="13"/>
  <c r="BO4" i="13"/>
  <c r="C4" i="13"/>
  <c r="CP5" i="12"/>
  <c r="AD5" i="12"/>
  <c r="DP4" i="12"/>
  <c r="BD4" i="12"/>
  <c r="EI5" i="11"/>
  <c r="BW5" i="11"/>
  <c r="K5" i="11"/>
  <c r="CW4" i="11"/>
  <c r="AK4" i="11"/>
  <c r="DY5" i="10"/>
  <c r="BM5" i="10"/>
  <c r="A5" i="10"/>
  <c r="CM4" i="10"/>
  <c r="AA4" i="10"/>
  <c r="DN5" i="9"/>
  <c r="BB5" i="9"/>
  <c r="EN4" i="9"/>
  <c r="CB4" i="9"/>
  <c r="P4" i="9"/>
  <c r="CU5" i="8"/>
  <c r="AI5" i="8"/>
  <c r="M4" i="15"/>
  <c r="EC4" i="14"/>
  <c r="BP4" i="14"/>
  <c r="D4" i="14"/>
  <c r="CR5" i="13"/>
  <c r="AF5" i="13"/>
  <c r="DR4" i="13"/>
  <c r="BF4" i="13"/>
  <c r="ES5" i="12"/>
  <c r="CG5" i="12"/>
  <c r="T5" i="13"/>
  <c r="DF4" i="13"/>
  <c r="AT4" i="13"/>
  <c r="EG5" i="12"/>
  <c r="BU5" i="12"/>
  <c r="I5" i="12"/>
  <c r="CU4" i="12"/>
  <c r="AI4" i="12"/>
  <c r="DV5" i="11"/>
  <c r="BJ5" i="11"/>
  <c r="EV4" i="11"/>
  <c r="CJ4" i="11"/>
  <c r="X4" i="11"/>
  <c r="DD5" i="10"/>
  <c r="AR5" i="10"/>
  <c r="ED4" i="10"/>
  <c r="BR4" i="10"/>
  <c r="F4" i="10"/>
  <c r="CS5" i="9"/>
  <c r="AG5" i="9"/>
  <c r="DS4" i="9"/>
  <c r="BG4" i="9"/>
  <c r="ET5" i="8"/>
  <c r="CH5" i="8"/>
  <c r="V5" i="8"/>
  <c r="EQ5" i="14"/>
  <c r="DW4" i="14"/>
  <c r="BK4" i="14"/>
  <c r="EQ5" i="13"/>
  <c r="CE5" i="13"/>
  <c r="S5" i="13"/>
  <c r="DE4" i="13"/>
  <c r="AS4" i="13"/>
  <c r="EF5" i="12"/>
  <c r="BT5" i="12"/>
  <c r="H5" i="12"/>
  <c r="CT4" i="12"/>
  <c r="AH4" i="12"/>
  <c r="DU5" i="11"/>
  <c r="BI5" i="11"/>
  <c r="EU4" i="11"/>
  <c r="CI4" i="11"/>
  <c r="W4" i="11"/>
  <c r="DC5" i="10"/>
  <c r="AQ5" i="10"/>
  <c r="EC4" i="10"/>
  <c r="BQ4" i="10"/>
  <c r="E4" i="10"/>
  <c r="CR5" i="9"/>
  <c r="AF5" i="9"/>
  <c r="DR4" i="9"/>
  <c r="BF4" i="9"/>
  <c r="ES5" i="8"/>
  <c r="CG5" i="8"/>
  <c r="U5" i="8"/>
  <c r="DG4" i="8"/>
  <c r="AU4" i="8"/>
  <c r="AD5" i="14"/>
  <c r="CP4" i="14"/>
  <c r="AD4" i="14"/>
  <c r="DR5" i="13"/>
  <c r="BF5" i="13"/>
  <c r="ER4" i="13"/>
  <c r="CF4" i="13"/>
  <c r="T4" i="13"/>
  <c r="DG5" i="12"/>
  <c r="AU5" i="12"/>
  <c r="EG4" i="12"/>
  <c r="BU4" i="12"/>
  <c r="I4" i="12"/>
  <c r="CN5" i="11"/>
  <c r="AB5" i="11"/>
  <c r="DN4" i="11"/>
  <c r="BB4" i="11"/>
  <c r="EP5" i="10"/>
  <c r="CD5" i="10"/>
  <c r="R5" i="10"/>
  <c r="DD4" i="10"/>
  <c r="AR4" i="10"/>
  <c r="EE5" i="9"/>
  <c r="BS5" i="9"/>
  <c r="G5" i="9"/>
  <c r="CS4" i="9"/>
  <c r="AG4" i="9"/>
  <c r="DL5" i="8"/>
  <c r="AZ5" i="8"/>
  <c r="EL4" i="8"/>
  <c r="BZ4" i="8"/>
  <c r="U4" i="15"/>
  <c r="ED4" i="14"/>
  <c r="BQ4" i="14"/>
  <c r="E4" i="14"/>
  <c r="CS5" i="13"/>
  <c r="AG5" i="13"/>
  <c r="DS4" i="13"/>
  <c r="BG4" i="13"/>
  <c r="ET5" i="12"/>
  <c r="CH5" i="12"/>
  <c r="V5" i="12"/>
  <c r="DH4" i="12"/>
  <c r="AV4" i="12"/>
  <c r="EA5" i="11"/>
  <c r="BO5" i="11"/>
  <c r="C5" i="11"/>
  <c r="CO4" i="11"/>
  <c r="AC4" i="11"/>
  <c r="DQ5" i="10"/>
  <c r="BE5" i="10"/>
  <c r="EQ4" i="10"/>
  <c r="CE4" i="10"/>
  <c r="S4" i="10"/>
  <c r="DF5" i="9"/>
  <c r="AT5" i="9"/>
  <c r="EF4" i="9"/>
  <c r="BT4" i="9"/>
  <c r="H4" i="9"/>
  <c r="CM5" i="8"/>
  <c r="AA5" i="8"/>
  <c r="EF5" i="14"/>
  <c r="DT4" i="14"/>
  <c r="BH4" i="14"/>
  <c r="EV5" i="13"/>
  <c r="CJ5" i="13"/>
  <c r="X5" i="13"/>
  <c r="DJ4" i="13"/>
  <c r="AX4" i="13"/>
  <c r="EK5" i="12"/>
  <c r="L5" i="13"/>
  <c r="CX4" i="13"/>
  <c r="AL4" i="13"/>
  <c r="DY5" i="12"/>
  <c r="BM5" i="12"/>
  <c r="A5" i="12"/>
  <c r="CM4" i="12"/>
  <c r="AA4" i="12"/>
  <c r="DN5" i="11"/>
  <c r="BB5" i="11"/>
  <c r="EN4" i="11"/>
  <c r="CB4" i="11"/>
  <c r="P4" i="11"/>
  <c r="CV5" i="10"/>
  <c r="AJ5" i="10"/>
  <c r="DV4" i="10"/>
  <c r="BJ4" i="10"/>
  <c r="EW5" i="9"/>
  <c r="CK5" i="9"/>
  <c r="Y5" i="9"/>
  <c r="DK4" i="9"/>
  <c r="AY4" i="9"/>
  <c r="EL5" i="8"/>
  <c r="BZ5" i="8"/>
  <c r="N5" i="8"/>
  <c r="DK5" i="14"/>
  <c r="DO4" i="14"/>
  <c r="BC4" i="14"/>
  <c r="EI5" i="13"/>
  <c r="BW5" i="13"/>
  <c r="K5" i="13"/>
  <c r="CW4" i="13"/>
  <c r="AK4" i="13"/>
  <c r="DX5" i="12"/>
  <c r="BL5" i="12"/>
  <c r="EX4" i="12"/>
  <c r="CL4" i="12"/>
  <c r="Z4" i="12"/>
  <c r="DM5" i="11"/>
  <c r="BA5" i="11"/>
  <c r="EM4" i="11"/>
  <c r="CA4" i="11"/>
  <c r="O4" i="11"/>
  <c r="CU5" i="10"/>
  <c r="AI5" i="10"/>
  <c r="DU4" i="10"/>
  <c r="BI4" i="10"/>
  <c r="EV5" i="9"/>
  <c r="CJ5" i="9"/>
  <c r="X5" i="9"/>
  <c r="DJ4" i="9"/>
  <c r="AX4" i="9"/>
  <c r="EK5" i="8"/>
  <c r="BY5" i="8"/>
  <c r="M5" i="8"/>
  <c r="CY4" i="8"/>
  <c r="AM4" i="8"/>
  <c r="H5" i="14"/>
  <c r="CH4" i="14"/>
  <c r="V4" i="14"/>
  <c r="DJ5" i="13"/>
  <c r="AX5" i="13"/>
  <c r="EJ4" i="13"/>
  <c r="BX4" i="13"/>
  <c r="L4" i="13"/>
  <c r="CY5" i="12"/>
  <c r="AM5" i="12"/>
  <c r="DY4" i="12"/>
  <c r="BM4" i="12"/>
  <c r="ER5" i="11"/>
  <c r="CF5" i="11"/>
  <c r="T5" i="11"/>
  <c r="DF4" i="11"/>
  <c r="AT4" i="11"/>
  <c r="EH5" i="10"/>
  <c r="BV5" i="10"/>
  <c r="J5" i="10"/>
  <c r="CV4" i="10"/>
  <c r="AJ4" i="10"/>
  <c r="DW5" i="9"/>
  <c r="BK5" i="9"/>
  <c r="EW4" i="9"/>
  <c r="CK4" i="9"/>
  <c r="Y4" i="9"/>
  <c r="DD5" i="8"/>
  <c r="AR5" i="8"/>
  <c r="ED4" i="8"/>
  <c r="BR4" i="8"/>
  <c r="EI5" i="14"/>
  <c r="DU4" i="14"/>
  <c r="BI4" i="14"/>
  <c r="EW5" i="13"/>
  <c r="CK5" i="13"/>
  <c r="Y5" i="13"/>
  <c r="DK4" i="13"/>
  <c r="AY4" i="13"/>
  <c r="EL5" i="12"/>
  <c r="BZ5" i="12"/>
  <c r="N5" i="12"/>
  <c r="CZ4" i="12"/>
  <c r="AN4" i="12"/>
  <c r="DS5" i="11"/>
  <c r="BG5" i="11"/>
  <c r="ES4" i="11"/>
  <c r="CG4" i="11"/>
  <c r="U4" i="11"/>
  <c r="DI5" i="10"/>
  <c r="AW5" i="10"/>
  <c r="EI4" i="10"/>
  <c r="BW4" i="10"/>
  <c r="K4" i="10"/>
  <c r="CX5" i="9"/>
  <c r="AL5" i="9"/>
  <c r="DX4" i="9"/>
  <c r="BL4" i="9"/>
  <c r="EQ5" i="8"/>
  <c r="CE5" i="8"/>
  <c r="S5" i="8"/>
  <c r="CZ5" i="14"/>
  <c r="DL4" i="14"/>
  <c r="AZ4" i="14"/>
  <c r="EN5" i="13"/>
  <c r="CB5" i="13"/>
  <c r="P5" i="13"/>
  <c r="DB4" i="13"/>
  <c r="AP4" i="13"/>
  <c r="EC5" i="12"/>
  <c r="BY5" i="12"/>
  <c r="M5" i="12"/>
  <c r="CY4" i="12"/>
  <c r="AM4" i="12"/>
  <c r="DZ5" i="11"/>
  <c r="BN5" i="11"/>
  <c r="B5" i="11"/>
  <c r="CN4" i="11"/>
  <c r="AB4" i="11"/>
  <c r="DP5" i="10"/>
  <c r="BD5" i="10"/>
  <c r="EP4" i="10"/>
  <c r="CD4" i="10"/>
  <c r="R4" i="10"/>
  <c r="DE5" i="9"/>
  <c r="AS5" i="9"/>
  <c r="EE4" i="9"/>
  <c r="BS4" i="9"/>
  <c r="G4" i="9"/>
  <c r="CT5" i="8"/>
  <c r="AH5" i="8"/>
  <c r="DT4" i="8"/>
  <c r="BH4" i="8"/>
  <c r="CU5" i="14"/>
  <c r="DK4" i="14"/>
  <c r="AY4" i="14"/>
  <c r="EM5" i="13"/>
  <c r="CA5" i="13"/>
  <c r="O5" i="13"/>
  <c r="DA4" i="13"/>
  <c r="AO4" i="13"/>
  <c r="DT5" i="12"/>
  <c r="BH5" i="12"/>
  <c r="ET4" i="12"/>
  <c r="CH4" i="12"/>
  <c r="V4" i="12"/>
  <c r="DI5" i="11"/>
  <c r="AW5" i="11"/>
  <c r="EI4" i="11"/>
  <c r="BW4" i="11"/>
  <c r="K4" i="11"/>
  <c r="CY5" i="10"/>
  <c r="AM5" i="10"/>
  <c r="DY4" i="10"/>
  <c r="BM4" i="10"/>
  <c r="ER5" i="9"/>
  <c r="CF5" i="9"/>
  <c r="T5" i="9"/>
  <c r="DF4" i="9"/>
  <c r="AT4" i="9"/>
  <c r="EG5" i="8"/>
  <c r="BU5" i="8"/>
  <c r="I5" i="8"/>
  <c r="CU4" i="8"/>
  <c r="AI4" i="8"/>
  <c r="S5" i="14"/>
  <c r="CL4" i="14"/>
  <c r="Z4" i="14"/>
  <c r="DN5" i="13"/>
  <c r="BB5" i="13"/>
  <c r="EN4" i="13"/>
  <c r="CB4" i="13"/>
  <c r="P4" i="13"/>
  <c r="CU5" i="12"/>
  <c r="AI5" i="12"/>
  <c r="DU4" i="12"/>
  <c r="BI4" i="12"/>
  <c r="EV5" i="11"/>
  <c r="CJ5" i="11"/>
  <c r="X5" i="11"/>
  <c r="DJ4" i="11"/>
  <c r="AX4" i="11"/>
  <c r="EL5" i="10"/>
  <c r="BZ5" i="10"/>
  <c r="N5" i="10"/>
  <c r="CZ4" i="10"/>
  <c r="AN4" i="10"/>
  <c r="DS5" i="9"/>
  <c r="BG5" i="9"/>
  <c r="ES4" i="9"/>
  <c r="CG4" i="9"/>
  <c r="U4" i="9"/>
  <c r="DH5" i="8"/>
  <c r="AV5" i="8"/>
  <c r="EH4" i="8"/>
  <c r="AL5" i="14"/>
  <c r="CS4" i="14"/>
  <c r="AG4" i="14"/>
  <c r="DM5" i="13"/>
  <c r="BA5" i="13"/>
  <c r="EM4" i="13"/>
  <c r="CA4" i="13"/>
  <c r="O4" i="13"/>
  <c r="DB5" i="12"/>
  <c r="AP5" i="12"/>
  <c r="EB4" i="12"/>
  <c r="BP4" i="12"/>
  <c r="D4" i="12"/>
  <c r="CQ5" i="11"/>
  <c r="AE5" i="11"/>
  <c r="DQ4" i="11"/>
  <c r="BE4" i="11"/>
  <c r="EK5" i="10"/>
  <c r="BY5" i="10"/>
  <c r="M5" i="10"/>
  <c r="CY4" i="10"/>
  <c r="AM4" i="10"/>
  <c r="DZ5" i="9"/>
  <c r="BN5" i="9"/>
  <c r="B5" i="9"/>
  <c r="CN4" i="9"/>
  <c r="AB4" i="9"/>
  <c r="DO5" i="8"/>
  <c r="BC5" i="8"/>
  <c r="EO4" i="8"/>
  <c r="CC4" i="8"/>
  <c r="Q4" i="8"/>
  <c r="E4" i="8"/>
  <c r="CS5" i="7"/>
  <c r="AG5" i="7"/>
  <c r="DS4" i="7"/>
  <c r="BG4" i="7"/>
  <c r="ET5" i="6"/>
  <c r="CH5" i="6"/>
  <c r="V5" i="6"/>
  <c r="DH4" i="6"/>
  <c r="AV4" i="6"/>
  <c r="EA5" i="5"/>
  <c r="BQ5" i="12"/>
  <c r="E5" i="12"/>
  <c r="CQ4" i="12"/>
  <c r="AE4" i="12"/>
  <c r="DR5" i="11"/>
  <c r="BF5" i="11"/>
  <c r="ER4" i="11"/>
  <c r="CF4" i="11"/>
  <c r="T4" i="11"/>
  <c r="DH5" i="10"/>
  <c r="AV5" i="10"/>
  <c r="EH4" i="10"/>
  <c r="BV4" i="10"/>
  <c r="J4" i="10"/>
  <c r="CW5" i="9"/>
  <c r="AK5" i="9"/>
  <c r="DW4" i="9"/>
  <c r="BK4" i="9"/>
  <c r="EX5" i="8"/>
  <c r="CL5" i="8"/>
  <c r="Z5" i="8"/>
  <c r="DL4" i="8"/>
  <c r="AZ4" i="8"/>
  <c r="BO5" i="14"/>
  <c r="DC4" i="14"/>
  <c r="AQ4" i="14"/>
  <c r="EE5" i="13"/>
  <c r="BS5" i="13"/>
  <c r="G5" i="13"/>
  <c r="CS4" i="13"/>
  <c r="AG4" i="13"/>
  <c r="DL5" i="12"/>
  <c r="AZ5" i="12"/>
  <c r="EL4" i="12"/>
  <c r="BZ4" i="12"/>
  <c r="N4" i="12"/>
  <c r="DA5" i="11"/>
  <c r="AO5" i="11"/>
  <c r="EA4" i="11"/>
  <c r="BO4" i="11"/>
  <c r="C4" i="11"/>
  <c r="CQ5" i="10"/>
  <c r="AE5" i="10"/>
  <c r="DQ4" i="10"/>
  <c r="BE4" i="10"/>
  <c r="EJ5" i="9"/>
  <c r="BX5" i="9"/>
  <c r="L5" i="9"/>
  <c r="CX4" i="9"/>
  <c r="AL4" i="9"/>
  <c r="DY5" i="8"/>
  <c r="BM5" i="8"/>
  <c r="A5" i="8"/>
  <c r="CM4" i="8"/>
  <c r="AA4" i="8"/>
  <c r="EV4" i="14"/>
  <c r="CD4" i="14"/>
  <c r="R4" i="14"/>
  <c r="DF5" i="13"/>
  <c r="AT5" i="13"/>
  <c r="EF4" i="13"/>
  <c r="BT4" i="13"/>
  <c r="H4" i="13"/>
  <c r="CM5" i="12"/>
  <c r="AA5" i="12"/>
  <c r="DM4" i="12"/>
  <c r="BA4" i="12"/>
  <c r="EN5" i="11"/>
  <c r="CB5" i="11"/>
  <c r="P5" i="11"/>
  <c r="DB4" i="11"/>
  <c r="AP4" i="11"/>
  <c r="ED5" i="10"/>
  <c r="BR5" i="10"/>
  <c r="F5" i="10"/>
  <c r="CR4" i="10"/>
  <c r="AF4" i="10"/>
  <c r="DK5" i="9"/>
  <c r="AY5" i="9"/>
  <c r="EK4" i="9"/>
  <c r="BY4" i="9"/>
  <c r="M4" i="9"/>
  <c r="CZ5" i="8"/>
  <c r="AN5" i="8"/>
  <c r="DZ4" i="8"/>
  <c r="P5" i="14"/>
  <c r="CK4" i="14"/>
  <c r="Y4" i="14"/>
  <c r="DE5" i="13"/>
  <c r="AS5" i="13"/>
  <c r="EE4" i="13"/>
  <c r="BS4" i="13"/>
  <c r="G4" i="13"/>
  <c r="CT5" i="12"/>
  <c r="AH5" i="12"/>
  <c r="DT4" i="12"/>
  <c r="BH4" i="12"/>
  <c r="EU5" i="11"/>
  <c r="CI5" i="11"/>
  <c r="W5" i="11"/>
  <c r="DI4" i="11"/>
  <c r="AW4" i="11"/>
  <c r="EC5" i="10"/>
  <c r="BQ5" i="10"/>
  <c r="E5" i="10"/>
  <c r="CQ4" i="10"/>
  <c r="AE4" i="10"/>
  <c r="DR5" i="9"/>
  <c r="BF5" i="9"/>
  <c r="ER4" i="9"/>
  <c r="CF4" i="9"/>
  <c r="T4" i="9"/>
  <c r="DG5" i="8"/>
  <c r="AU5" i="8"/>
  <c r="EG4" i="8"/>
  <c r="BU4" i="8"/>
  <c r="I4" i="8"/>
  <c r="EW5" i="7"/>
  <c r="CK5" i="7"/>
  <c r="Y5" i="7"/>
  <c r="DK4" i="7"/>
  <c r="AY4" i="7"/>
  <c r="EL5" i="6"/>
  <c r="BZ5" i="6"/>
  <c r="N5" i="6"/>
  <c r="CZ4" i="6"/>
  <c r="AN4" i="6"/>
  <c r="DS5" i="5"/>
  <c r="BI5" i="12"/>
  <c r="EU4" i="12"/>
  <c r="CI4" i="12"/>
  <c r="W4" i="12"/>
  <c r="DJ5" i="11"/>
  <c r="AX5" i="11"/>
  <c r="EJ4" i="11"/>
  <c r="BX4" i="11"/>
  <c r="L4" i="11"/>
  <c r="CZ5" i="10"/>
  <c r="AN5" i="10"/>
  <c r="DZ4" i="10"/>
  <c r="BN4" i="10"/>
  <c r="B4" i="10"/>
  <c r="CO5" i="9"/>
  <c r="AC5" i="9"/>
  <c r="DO4" i="9"/>
  <c r="BC4" i="9"/>
  <c r="EP5" i="8"/>
  <c r="CD5" i="8"/>
  <c r="R5" i="8"/>
  <c r="DD4" i="8"/>
  <c r="AR4" i="8"/>
  <c r="AQ5" i="14"/>
  <c r="CU4" i="14"/>
  <c r="AI4" i="14"/>
  <c r="DW5" i="13"/>
  <c r="BK5" i="13"/>
  <c r="EW4" i="13"/>
  <c r="CK4" i="13"/>
  <c r="Y4" i="13"/>
  <c r="DD5" i="12"/>
  <c r="AR5" i="12"/>
  <c r="ED4" i="12"/>
  <c r="BR4" i="12"/>
  <c r="F4" i="12"/>
  <c r="CS5" i="11"/>
  <c r="AG5" i="11"/>
  <c r="DS4" i="11"/>
  <c r="BG4" i="11"/>
  <c r="EU5" i="10"/>
  <c r="CI5" i="10"/>
  <c r="W5" i="10"/>
  <c r="DI4" i="10"/>
  <c r="AW4" i="10"/>
  <c r="EB5" i="9"/>
  <c r="BP5" i="9"/>
  <c r="D5" i="9"/>
  <c r="CP4" i="9"/>
  <c r="AD4" i="9"/>
  <c r="DQ5" i="8"/>
  <c r="BE5" i="8"/>
  <c r="EQ4" i="8"/>
  <c r="CE4" i="8"/>
  <c r="S4" i="8"/>
  <c r="EJ4" i="14"/>
  <c r="BV4" i="14"/>
  <c r="J4" i="14"/>
  <c r="CX5" i="13"/>
  <c r="AL5" i="13"/>
  <c r="DX4" i="13"/>
  <c r="BL4" i="13"/>
  <c r="EQ5" i="12"/>
  <c r="CE5" i="12"/>
  <c r="S5" i="12"/>
  <c r="DE4" i="12"/>
  <c r="AS4" i="12"/>
  <c r="EF5" i="11"/>
  <c r="BT5" i="11"/>
  <c r="H5" i="11"/>
  <c r="CT4" i="11"/>
  <c r="AH4" i="11"/>
  <c r="DV5" i="10"/>
  <c r="BJ5" i="10"/>
  <c r="EV4" i="10"/>
  <c r="CJ4" i="10"/>
  <c r="X4" i="10"/>
  <c r="DC5" i="9"/>
  <c r="AQ5" i="9"/>
  <c r="EC4" i="9"/>
  <c r="BQ4" i="9"/>
  <c r="E4" i="9"/>
  <c r="CR5" i="8"/>
  <c r="AF5" i="8"/>
  <c r="DR4" i="8"/>
  <c r="EU4" i="14"/>
  <c r="CC4" i="14"/>
  <c r="Q4" i="14"/>
  <c r="CW5" i="13"/>
  <c r="AK5" i="13"/>
  <c r="DW4" i="13"/>
  <c r="BK4" i="13"/>
  <c r="EX5" i="12"/>
  <c r="CL5" i="12"/>
  <c r="Z5" i="12"/>
  <c r="DL4" i="12"/>
  <c r="AZ4" i="12"/>
  <c r="EM5" i="11"/>
  <c r="CA5" i="11"/>
  <c r="O5" i="11"/>
  <c r="DA4" i="11"/>
  <c r="AO4" i="11"/>
  <c r="DU5" i="10"/>
  <c r="BI5" i="10"/>
  <c r="EU4" i="10"/>
  <c r="CI4" i="10"/>
  <c r="W4" i="10"/>
  <c r="DJ5" i="9"/>
  <c r="AX5" i="9"/>
  <c r="EJ4" i="9"/>
  <c r="BX4" i="9"/>
  <c r="L4" i="9"/>
  <c r="CY5" i="8"/>
  <c r="AM5" i="8"/>
  <c r="DY4" i="8"/>
  <c r="BM4" i="8"/>
  <c r="DU4" i="8"/>
  <c r="EO5" i="7"/>
  <c r="CC5" i="7"/>
  <c r="Q5" i="7"/>
  <c r="DC4" i="7"/>
  <c r="AQ4" i="7"/>
  <c r="ED5" i="6"/>
  <c r="BR5" i="6"/>
  <c r="F5" i="6"/>
  <c r="CR4" i="6"/>
  <c r="AF4" i="6"/>
  <c r="DK5" i="5"/>
  <c r="BA5" i="12"/>
  <c r="EM4" i="12"/>
  <c r="CA4" i="12"/>
  <c r="O4" i="12"/>
  <c r="DB5" i="11"/>
  <c r="AP5" i="11"/>
  <c r="EB4" i="11"/>
  <c r="BP4" i="11"/>
  <c r="D4" i="11"/>
  <c r="CR5" i="10"/>
  <c r="AF5" i="10"/>
  <c r="DR4" i="10"/>
  <c r="BF4" i="10"/>
  <c r="ES5" i="9"/>
  <c r="CG5" i="9"/>
  <c r="U5" i="9"/>
  <c r="DG4" i="9"/>
  <c r="AU4" i="9"/>
  <c r="EH5" i="8"/>
  <c r="BV5" i="8"/>
  <c r="J5" i="8"/>
  <c r="CV4" i="8"/>
  <c r="AJ4" i="8"/>
  <c r="V5" i="14"/>
  <c r="CM4" i="14"/>
  <c r="AA4" i="14"/>
  <c r="DO5" i="13"/>
  <c r="BC5" i="13"/>
  <c r="EO4" i="13"/>
  <c r="CC4" i="13"/>
  <c r="Q4" i="13"/>
  <c r="CV5" i="12"/>
  <c r="AJ5" i="12"/>
  <c r="DV4" i="12"/>
  <c r="BJ4" i="12"/>
  <c r="EW5" i="11"/>
  <c r="CK5" i="11"/>
  <c r="Y5" i="11"/>
  <c r="DK4" i="11"/>
  <c r="AY4" i="11"/>
  <c r="EM5" i="10"/>
  <c r="CA5" i="10"/>
  <c r="O5" i="10"/>
  <c r="DA4" i="10"/>
  <c r="AO4" i="10"/>
  <c r="DT5" i="9"/>
  <c r="BH5" i="9"/>
  <c r="ET4" i="9"/>
  <c r="CH4" i="9"/>
  <c r="V4" i="9"/>
  <c r="DI5" i="8"/>
  <c r="AW5" i="8"/>
  <c r="EI4" i="8"/>
  <c r="BW4" i="8"/>
  <c r="K4" i="8"/>
  <c r="DZ4" i="14"/>
  <c r="BN4" i="14"/>
  <c r="B4" i="14"/>
  <c r="CP5" i="13"/>
  <c r="AD5" i="13"/>
  <c r="DP4" i="13"/>
  <c r="BD4" i="13"/>
  <c r="EI5" i="12"/>
  <c r="BW5" i="12"/>
  <c r="K5" i="12"/>
  <c r="CW4" i="12"/>
  <c r="AK4" i="12"/>
  <c r="DX5" i="11"/>
  <c r="BL5" i="11"/>
  <c r="EX4" i="11"/>
  <c r="CL4" i="11"/>
  <c r="Z4" i="11"/>
  <c r="DN5" i="10"/>
  <c r="BB5" i="10"/>
  <c r="EN4" i="10"/>
  <c r="CB4" i="10"/>
  <c r="P4" i="10"/>
  <c r="CU5" i="9"/>
  <c r="AI5" i="9"/>
  <c r="DU4" i="9"/>
  <c r="BI4" i="9"/>
  <c r="EV5" i="8"/>
  <c r="CJ5" i="8"/>
  <c r="X5" i="8"/>
  <c r="DJ4" i="8"/>
  <c r="EH4" i="14"/>
  <c r="BU4" i="14"/>
  <c r="I4" i="14"/>
  <c r="CO5" i="13"/>
  <c r="AC5" i="13"/>
  <c r="DO4" i="13"/>
  <c r="BC4" i="13"/>
  <c r="EP5" i="12"/>
  <c r="CD5" i="12"/>
  <c r="R5" i="12"/>
  <c r="DD4" i="12"/>
  <c r="AR4" i="12"/>
  <c r="EE5" i="11"/>
  <c r="BS5" i="11"/>
  <c r="G5" i="11"/>
  <c r="CS4" i="11"/>
  <c r="AG4" i="11"/>
  <c r="DM5" i="10"/>
  <c r="BA5" i="10"/>
  <c r="EM4" i="10"/>
  <c r="CA4" i="10"/>
  <c r="O4" i="10"/>
  <c r="DB5" i="9"/>
  <c r="AP5" i="9"/>
  <c r="EB4" i="9"/>
  <c r="BP4" i="9"/>
  <c r="D4" i="9"/>
  <c r="CQ5" i="8"/>
  <c r="AE5" i="8"/>
  <c r="DQ4" i="8"/>
  <c r="BE4" i="8"/>
  <c r="CR4" i="8"/>
  <c r="EG5" i="7"/>
  <c r="BU5" i="7"/>
  <c r="I5" i="7"/>
  <c r="CU4" i="7"/>
  <c r="AI4" i="7"/>
  <c r="DV5" i="6"/>
  <c r="BJ5" i="6"/>
  <c r="EV4" i="6"/>
  <c r="CJ4" i="6"/>
  <c r="X4" i="6"/>
  <c r="DC5" i="5"/>
  <c r="AS5" i="12"/>
  <c r="EE4" i="12"/>
  <c r="BS4" i="12"/>
  <c r="G4" i="12"/>
  <c r="CT5" i="11"/>
  <c r="AH5" i="11"/>
  <c r="DT4" i="11"/>
  <c r="BH4" i="11"/>
  <c r="EV5" i="10"/>
  <c r="CJ5" i="10"/>
  <c r="X5" i="10"/>
  <c r="DJ4" i="10"/>
  <c r="AX4" i="10"/>
  <c r="EK5" i="9"/>
  <c r="BY5" i="9"/>
  <c r="M5" i="9"/>
  <c r="CY4" i="9"/>
  <c r="AM4" i="9"/>
  <c r="DZ5" i="8"/>
  <c r="BN5" i="8"/>
  <c r="B5" i="8"/>
  <c r="CN4" i="8"/>
  <c r="AB4" i="8"/>
  <c r="EX4" i="14"/>
  <c r="CE4" i="14"/>
  <c r="S4" i="14"/>
  <c r="DG5" i="13"/>
  <c r="AU5" i="13"/>
  <c r="EG4" i="13"/>
  <c r="BU4" i="13"/>
  <c r="I4" i="13"/>
  <c r="CN5" i="12"/>
  <c r="AB5" i="12"/>
  <c r="DN4" i="12"/>
  <c r="BB4" i="12"/>
  <c r="EO5" i="11"/>
  <c r="CC5" i="11"/>
  <c r="Q5" i="11"/>
  <c r="DC4" i="11"/>
  <c r="AQ4" i="11"/>
  <c r="EE5" i="10"/>
  <c r="BS5" i="10"/>
  <c r="G5" i="10"/>
  <c r="CS4" i="10"/>
  <c r="AG4" i="10"/>
  <c r="DL5" i="9"/>
  <c r="AZ5" i="9"/>
  <c r="EL4" i="9"/>
  <c r="BZ4" i="9"/>
  <c r="N4" i="9"/>
  <c r="DA5" i="8"/>
  <c r="AO5" i="8"/>
  <c r="EA4" i="8"/>
  <c r="BO4" i="8"/>
  <c r="DX5" i="14"/>
  <c r="DR4" i="14"/>
  <c r="BF4" i="14"/>
  <c r="ET5" i="13"/>
  <c r="CH5" i="13"/>
  <c r="V5" i="13"/>
  <c r="DH4" i="13"/>
  <c r="AV4" i="13"/>
  <c r="EA5" i="12"/>
  <c r="BO5" i="12"/>
  <c r="C5" i="12"/>
  <c r="CO4" i="12"/>
  <c r="AC4" i="12"/>
  <c r="DP5" i="11"/>
  <c r="BD5" i="11"/>
  <c r="EP4" i="11"/>
  <c r="CD4" i="11"/>
  <c r="R4" i="11"/>
  <c r="DF5" i="10"/>
  <c r="AT5" i="10"/>
  <c r="EF4" i="10"/>
  <c r="BT4" i="10"/>
  <c r="H4" i="10"/>
  <c r="CM5" i="9"/>
  <c r="AA5" i="9"/>
  <c r="DM4" i="9"/>
  <c r="BA4" i="9"/>
  <c r="EN5" i="8"/>
  <c r="CB5" i="8"/>
  <c r="P5" i="8"/>
  <c r="DB4" i="8"/>
  <c r="DY4" i="14"/>
  <c r="BM4" i="14"/>
  <c r="ES5" i="13"/>
  <c r="CG5" i="13"/>
  <c r="U5" i="13"/>
  <c r="DG4" i="13"/>
  <c r="AU4" i="13"/>
  <c r="EH5" i="12"/>
  <c r="BV5" i="12"/>
  <c r="J5" i="12"/>
  <c r="CV4" i="12"/>
  <c r="AJ4" i="12"/>
  <c r="DW5" i="11"/>
  <c r="BK5" i="11"/>
  <c r="EW4" i="11"/>
  <c r="CK4" i="11"/>
  <c r="Y4" i="11"/>
  <c r="DE5" i="10"/>
  <c r="AS5" i="10"/>
  <c r="EE4" i="10"/>
  <c r="BS4" i="10"/>
  <c r="G4" i="10"/>
  <c r="CT5" i="9"/>
  <c r="AH5" i="9"/>
  <c r="DT4" i="9"/>
  <c r="BH4" i="9"/>
  <c r="EU5" i="8"/>
  <c r="CI5" i="8"/>
  <c r="W5" i="8"/>
  <c r="DI4" i="8"/>
  <c r="AW4" i="8"/>
  <c r="BV4" i="8"/>
  <c r="DY5" i="7"/>
  <c r="BM5" i="7"/>
  <c r="A5" i="7"/>
  <c r="CM4" i="7"/>
  <c r="AA4" i="7"/>
  <c r="DN5" i="6"/>
  <c r="BB5" i="6"/>
  <c r="EN4" i="6"/>
  <c r="CB4" i="6"/>
  <c r="P4" i="6"/>
  <c r="CU5" i="5"/>
  <c r="AK5" i="12"/>
  <c r="DW4" i="12"/>
  <c r="BK4" i="12"/>
  <c r="EX5" i="11"/>
  <c r="CL5" i="11"/>
  <c r="Z5" i="11"/>
  <c r="DL4" i="11"/>
  <c r="AZ4" i="11"/>
  <c r="EN5" i="10"/>
  <c r="CB5" i="10"/>
  <c r="P5" i="10"/>
  <c r="DB4" i="10"/>
  <c r="AP4" i="10"/>
  <c r="EC5" i="9"/>
  <c r="BQ5" i="9"/>
  <c r="E5" i="9"/>
  <c r="CQ4" i="9"/>
  <c r="AE4" i="9"/>
  <c r="DR5" i="8"/>
  <c r="BF5" i="8"/>
  <c r="ER4" i="8"/>
  <c r="CF4" i="8"/>
  <c r="T4" i="8"/>
  <c r="EK4" i="14"/>
  <c r="BW4" i="14"/>
  <c r="K4" i="14"/>
  <c r="CY5" i="13"/>
  <c r="AM5" i="13"/>
  <c r="DY4" i="13"/>
  <c r="BM4" i="13"/>
  <c r="ER5" i="12"/>
  <c r="CF5" i="12"/>
  <c r="T5" i="12"/>
  <c r="DF4" i="12"/>
  <c r="AT4" i="12"/>
  <c r="EG5" i="11"/>
  <c r="BU5" i="11"/>
  <c r="I5" i="11"/>
  <c r="CU4" i="11"/>
  <c r="AI4" i="11"/>
  <c r="DW5" i="10"/>
  <c r="BK5" i="10"/>
  <c r="EW4" i="10"/>
  <c r="CK4" i="10"/>
  <c r="Y4" i="10"/>
  <c r="DD5" i="9"/>
  <c r="AR5" i="9"/>
  <c r="ED4" i="9"/>
  <c r="BR4" i="9"/>
  <c r="F4" i="9"/>
  <c r="CS5" i="8"/>
  <c r="AG5" i="8"/>
  <c r="DS4" i="8"/>
  <c r="BG4" i="8"/>
  <c r="CR5" i="14"/>
  <c r="DJ4" i="14"/>
  <c r="AX4" i="14"/>
  <c r="EL5" i="13"/>
  <c r="BZ5" i="13"/>
  <c r="N5" i="13"/>
  <c r="CZ4" i="13"/>
  <c r="AN4" i="13"/>
  <c r="DS5" i="12"/>
  <c r="BG5" i="12"/>
  <c r="ES4" i="12"/>
  <c r="CG4" i="12"/>
  <c r="U4" i="12"/>
  <c r="DH5" i="11"/>
  <c r="AV5" i="11"/>
  <c r="EH4" i="11"/>
  <c r="BV4" i="11"/>
  <c r="J4" i="11"/>
  <c r="CX5" i="10"/>
  <c r="AL5" i="10"/>
  <c r="DX4" i="10"/>
  <c r="BL4" i="10"/>
  <c r="EQ5" i="9"/>
  <c r="CE5" i="9"/>
  <c r="S5" i="9"/>
  <c r="DE4" i="9"/>
  <c r="AS4" i="9"/>
  <c r="EF5" i="8"/>
  <c r="BT5" i="8"/>
  <c r="H5" i="8"/>
  <c r="DS5" i="14"/>
  <c r="DQ4" i="14"/>
  <c r="BE4" i="14"/>
  <c r="EK5" i="13"/>
  <c r="BY5" i="13"/>
  <c r="M5" i="13"/>
  <c r="CY4" i="13"/>
  <c r="AM4" i="13"/>
  <c r="DZ5" i="12"/>
  <c r="BN5" i="12"/>
  <c r="B5" i="12"/>
  <c r="CN4" i="12"/>
  <c r="AB4" i="12"/>
  <c r="DO5" i="11"/>
  <c r="BC5" i="11"/>
  <c r="EO4" i="11"/>
  <c r="CC4" i="11"/>
  <c r="Q4" i="11"/>
  <c r="CW5" i="10"/>
  <c r="AK5" i="10"/>
  <c r="DW4" i="10"/>
  <c r="BK4" i="10"/>
  <c r="EX5" i="9"/>
  <c r="CL5" i="9"/>
  <c r="Z5" i="9"/>
  <c r="DL4" i="9"/>
  <c r="AZ4" i="9"/>
  <c r="EM5" i="8"/>
  <c r="CA5" i="8"/>
  <c r="O5" i="8"/>
  <c r="DA4" i="8"/>
  <c r="AO4" i="8"/>
  <c r="BA4" i="8"/>
  <c r="DQ5" i="7"/>
  <c r="BE5" i="7"/>
  <c r="EQ4" i="7"/>
  <c r="CE4" i="7"/>
  <c r="S4" i="7"/>
  <c r="DF5" i="6"/>
  <c r="AT5" i="6"/>
  <c r="EF4" i="6"/>
  <c r="BT4" i="6"/>
  <c r="H4" i="6"/>
  <c r="CM5" i="5"/>
  <c r="AC5" i="12"/>
  <c r="DO4" i="12"/>
  <c r="BC4" i="12"/>
  <c r="EP5" i="11"/>
  <c r="CD5" i="11"/>
  <c r="R5" i="11"/>
  <c r="DD4" i="11"/>
  <c r="AR4" i="11"/>
  <c r="EF5" i="10"/>
  <c r="BT5" i="10"/>
  <c r="H5" i="10"/>
  <c r="CT4" i="10"/>
  <c r="AH4" i="10"/>
  <c r="DU5" i="9"/>
  <c r="BI5" i="9"/>
  <c r="EU4" i="9"/>
  <c r="CI4" i="9"/>
  <c r="W4" i="9"/>
  <c r="DJ5" i="8"/>
  <c r="AX5" i="8"/>
  <c r="EJ4" i="8"/>
  <c r="BX4" i="8"/>
  <c r="E4" i="15"/>
  <c r="EB4" i="14"/>
  <c r="BO4" i="14"/>
  <c r="C4" i="14"/>
  <c r="CQ5" i="13"/>
  <c r="AE5" i="13"/>
  <c r="DQ4" i="13"/>
  <c r="BE4" i="13"/>
  <c r="EJ5" i="12"/>
  <c r="BX5" i="12"/>
  <c r="L5" i="12"/>
  <c r="CX4" i="12"/>
  <c r="AL4" i="12"/>
  <c r="DY5" i="11"/>
  <c r="BM5" i="11"/>
  <c r="A5" i="11"/>
  <c r="CM4" i="11"/>
  <c r="AA4" i="11"/>
  <c r="DO5" i="10"/>
  <c r="BC5" i="10"/>
  <c r="EO4" i="10"/>
  <c r="CC4" i="10"/>
  <c r="Q4" i="10"/>
  <c r="CV5" i="9"/>
  <c r="AJ5" i="9"/>
  <c r="DV4" i="9"/>
  <c r="BJ4" i="9"/>
  <c r="EW5" i="8"/>
  <c r="CK5" i="8"/>
  <c r="Y5" i="8"/>
  <c r="DK4" i="8"/>
  <c r="AY4" i="8"/>
  <c r="BL5" i="14"/>
  <c r="DB4" i="14"/>
  <c r="AP4" i="14"/>
  <c r="ED5" i="13"/>
  <c r="BR5" i="13"/>
  <c r="F5" i="13"/>
  <c r="CR4" i="13"/>
  <c r="AF4" i="13"/>
  <c r="DK5" i="12"/>
  <c r="AY5" i="12"/>
  <c r="EK4" i="12"/>
  <c r="BY4" i="12"/>
  <c r="M4" i="12"/>
  <c r="CZ5" i="11"/>
  <c r="AN5" i="11"/>
  <c r="DZ4" i="11"/>
  <c r="BN4" i="11"/>
  <c r="B4" i="11"/>
  <c r="CP5" i="10"/>
  <c r="AD5" i="10"/>
  <c r="DP4" i="10"/>
  <c r="BD4" i="10"/>
  <c r="EI5" i="9"/>
  <c r="BW5" i="9"/>
  <c r="K5" i="9"/>
  <c r="CW4" i="9"/>
  <c r="AK4" i="9"/>
  <c r="DX5" i="8"/>
  <c r="BL5" i="8"/>
  <c r="EX4" i="8"/>
  <c r="CM5" i="14"/>
  <c r="DI4" i="14"/>
  <c r="AW4" i="14"/>
  <c r="EC5" i="13"/>
  <c r="BQ5" i="13"/>
  <c r="E5" i="13"/>
  <c r="CQ4" i="13"/>
  <c r="AE4" i="13"/>
  <c r="DR5" i="12"/>
  <c r="BF5" i="12"/>
  <c r="ER4" i="12"/>
  <c r="CF4" i="12"/>
  <c r="T4" i="12"/>
  <c r="DG5" i="11"/>
  <c r="AU5" i="11"/>
  <c r="EG4" i="11"/>
  <c r="BU4" i="11"/>
  <c r="I4" i="11"/>
  <c r="CO5" i="10"/>
  <c r="AC5" i="10"/>
  <c r="DO4" i="10"/>
  <c r="BC4" i="10"/>
  <c r="EP5" i="9"/>
  <c r="CD5" i="9"/>
  <c r="R5" i="9"/>
  <c r="DD4" i="9"/>
  <c r="AR4" i="9"/>
  <c r="EE5" i="8"/>
  <c r="BS5" i="8"/>
  <c r="G5" i="8"/>
  <c r="CS4" i="8"/>
  <c r="AG4" i="8"/>
  <c r="AF4" i="8"/>
  <c r="DI5" i="7"/>
  <c r="AW5" i="7"/>
  <c r="EI4" i="7"/>
  <c r="BW4" i="7"/>
  <c r="K4" i="7"/>
  <c r="CX5" i="6"/>
  <c r="AL5" i="6"/>
  <c r="DX4" i="6"/>
  <c r="BL4" i="6"/>
  <c r="EQ5" i="5"/>
  <c r="CE5" i="5"/>
  <c r="U5" i="12"/>
  <c r="DG4" i="12"/>
  <c r="AU4" i="12"/>
  <c r="EH5" i="11"/>
  <c r="BV5" i="11"/>
  <c r="J5" i="11"/>
  <c r="CV4" i="11"/>
  <c r="AJ4" i="11"/>
  <c r="DX5" i="10"/>
  <c r="BL5" i="10"/>
  <c r="EX4" i="10"/>
  <c r="CL4" i="10"/>
  <c r="Z4" i="10"/>
  <c r="DM5" i="9"/>
  <c r="BA5" i="9"/>
  <c r="EM4" i="9"/>
  <c r="CA4" i="9"/>
  <c r="O4" i="9"/>
  <c r="DB5" i="8"/>
  <c r="AP5" i="8"/>
  <c r="EB4" i="8"/>
  <c r="BP4" i="8"/>
  <c r="EA5" i="14"/>
  <c r="DS4" i="14"/>
  <c r="BG4" i="14"/>
  <c r="EU5" i="13"/>
  <c r="CI5" i="13"/>
  <c r="W5" i="13"/>
  <c r="DI4" i="13"/>
  <c r="AW4" i="13"/>
  <c r="EB5" i="12"/>
  <c r="BP5" i="12"/>
  <c r="D5" i="12"/>
  <c r="CP4" i="12"/>
  <c r="AD4" i="12"/>
  <c r="DQ5" i="11"/>
  <c r="BE5" i="11"/>
  <c r="EQ4" i="11"/>
  <c r="CE4" i="11"/>
  <c r="S4" i="11"/>
  <c r="DG5" i="10"/>
  <c r="AU5" i="10"/>
  <c r="EG4" i="10"/>
  <c r="BU4" i="10"/>
  <c r="I4" i="10"/>
  <c r="CN5" i="9"/>
  <c r="AB5" i="9"/>
  <c r="DN4" i="9"/>
  <c r="BB4" i="9"/>
  <c r="EO5" i="8"/>
  <c r="CC5" i="8"/>
  <c r="Q5" i="8"/>
  <c r="DC4" i="8"/>
  <c r="AQ4" i="8"/>
  <c r="AN5" i="14"/>
  <c r="CT4" i="14"/>
  <c r="AH4" i="14"/>
  <c r="DV5" i="13"/>
  <c r="BJ5" i="13"/>
  <c r="EV4" i="13"/>
  <c r="CJ4" i="13"/>
  <c r="X4" i="13"/>
  <c r="DC5" i="12"/>
  <c r="AQ5" i="12"/>
  <c r="EC4" i="12"/>
  <c r="BQ4" i="12"/>
  <c r="E4" i="12"/>
  <c r="CR5" i="11"/>
  <c r="AF5" i="11"/>
  <c r="DR4" i="11"/>
  <c r="BF4" i="11"/>
  <c r="ET5" i="10"/>
  <c r="CH5" i="10"/>
  <c r="V5" i="10"/>
  <c r="DH4" i="10"/>
  <c r="AV4" i="10"/>
  <c r="EA5" i="9"/>
  <c r="BO5" i="9"/>
  <c r="C5" i="9"/>
  <c r="CO4" i="9"/>
  <c r="AC4" i="9"/>
  <c r="DP5" i="8"/>
  <c r="BD5" i="8"/>
  <c r="EP4" i="8"/>
  <c r="BG5" i="14"/>
  <c r="DA4" i="14"/>
  <c r="AO4" i="14"/>
  <c r="DU5" i="13"/>
  <c r="BI5" i="13"/>
  <c r="EU4" i="13"/>
  <c r="CI4" i="13"/>
  <c r="W4" i="13"/>
  <c r="DJ5" i="12"/>
  <c r="AX5" i="12"/>
  <c r="EJ4" i="12"/>
  <c r="BX4" i="12"/>
  <c r="L4" i="12"/>
  <c r="CY5" i="11"/>
  <c r="AM5" i="11"/>
  <c r="DY4" i="11"/>
  <c r="BM4" i="11"/>
  <c r="ES5" i="10"/>
  <c r="CG5" i="10"/>
  <c r="U5" i="10"/>
  <c r="DG4" i="10"/>
  <c r="AU4" i="10"/>
  <c r="EH5" i="9"/>
  <c r="BV5" i="9"/>
  <c r="J5" i="9"/>
  <c r="CV4" i="9"/>
  <c r="AJ4" i="9"/>
  <c r="DW5" i="8"/>
  <c r="BK5" i="8"/>
  <c r="EW4" i="8"/>
  <c r="CK4" i="8"/>
  <c r="Y4" i="8"/>
  <c r="O4" i="8"/>
  <c r="DA5" i="7"/>
  <c r="AO5" i="7"/>
  <c r="EA4" i="7"/>
  <c r="BO4" i="7"/>
  <c r="C4" i="7"/>
  <c r="CP5" i="6"/>
  <c r="AD5" i="6"/>
  <c r="DP4" i="6"/>
  <c r="BD4" i="6"/>
  <c r="EI5" i="5"/>
  <c r="BW5" i="5"/>
  <c r="K5" i="5"/>
  <c r="CW4" i="5"/>
  <c r="AK4" i="5"/>
  <c r="DW5" i="4"/>
  <c r="BK5" i="4"/>
  <c r="EW4" i="4"/>
  <c r="CK4" i="4"/>
  <c r="Y4" i="4"/>
  <c r="B901" i="1"/>
  <c r="J895" i="1"/>
  <c r="F890" i="1"/>
  <c r="B885" i="1"/>
  <c r="J879" i="1"/>
  <c r="F874" i="1"/>
  <c r="B869" i="1"/>
  <c r="J863" i="1"/>
  <c r="F858" i="1"/>
  <c r="B853" i="1"/>
  <c r="J847" i="1"/>
  <c r="F842" i="1"/>
  <c r="EV5" i="7"/>
  <c r="CJ5" i="7"/>
  <c r="X5" i="7"/>
  <c r="DJ4" i="7"/>
  <c r="AX4" i="7"/>
  <c r="EK5" i="6"/>
  <c r="BY5" i="6"/>
  <c r="M5" i="6"/>
  <c r="CY4" i="6"/>
  <c r="AM4" i="6"/>
  <c r="DZ5" i="5"/>
  <c r="BN5" i="5"/>
  <c r="B5" i="5"/>
  <c r="CN4" i="5"/>
  <c r="AB4" i="5"/>
  <c r="DN5" i="4"/>
  <c r="BB5" i="4"/>
  <c r="EN4" i="4"/>
  <c r="CB4" i="4"/>
  <c r="P4" i="4"/>
  <c r="A901" i="1"/>
  <c r="I895" i="1"/>
  <c r="E890" i="1"/>
  <c r="A885" i="1"/>
  <c r="I879" i="1"/>
  <c r="E874" i="1"/>
  <c r="A869" i="1"/>
  <c r="I863" i="1"/>
  <c r="E858" i="1"/>
  <c r="A853" i="1"/>
  <c r="I847" i="1"/>
  <c r="DM4" i="8"/>
  <c r="EM5" i="7"/>
  <c r="CA5" i="7"/>
  <c r="O5" i="7"/>
  <c r="DA4" i="7"/>
  <c r="AO4" i="7"/>
  <c r="DT5" i="6"/>
  <c r="BH5" i="6"/>
  <c r="ET4" i="6"/>
  <c r="CH4" i="6"/>
  <c r="V4" i="6"/>
  <c r="DI5" i="5"/>
  <c r="AW5" i="5"/>
  <c r="EI4" i="5"/>
  <c r="BW4" i="5"/>
  <c r="K4" i="5"/>
  <c r="CW5" i="4"/>
  <c r="AK5" i="4"/>
  <c r="DW4" i="4"/>
  <c r="BK4" i="4"/>
  <c r="L904" i="1"/>
  <c r="H899" i="1"/>
  <c r="D894" i="1"/>
  <c r="L888" i="1"/>
  <c r="H883" i="1"/>
  <c r="D878" i="1"/>
  <c r="L872" i="1"/>
  <c r="H867" i="1"/>
  <c r="D862" i="1"/>
  <c r="L856" i="1"/>
  <c r="H851" i="1"/>
  <c r="D846" i="1"/>
  <c r="CJ4" i="8"/>
  <c r="ED5" i="7"/>
  <c r="BR5" i="7"/>
  <c r="F5" i="7"/>
  <c r="CR4" i="7"/>
  <c r="AF4" i="7"/>
  <c r="DK5" i="6"/>
  <c r="AY5" i="6"/>
  <c r="EK4" i="6"/>
  <c r="BY4" i="6"/>
  <c r="M4" i="6"/>
  <c r="CZ5" i="5"/>
  <c r="AN5" i="5"/>
  <c r="DZ4" i="5"/>
  <c r="BN4" i="5"/>
  <c r="B4" i="5"/>
  <c r="CN5" i="4"/>
  <c r="AB5" i="4"/>
  <c r="DN4" i="4"/>
  <c r="BB4" i="4"/>
  <c r="C904" i="1"/>
  <c r="K898" i="1"/>
  <c r="G893" i="1"/>
  <c r="C888" i="1"/>
  <c r="K882" i="1"/>
  <c r="G877" i="1"/>
  <c r="C872" i="1"/>
  <c r="K866" i="1"/>
  <c r="G861" i="1"/>
  <c r="C856" i="1"/>
  <c r="K850" i="1"/>
  <c r="G845" i="1"/>
  <c r="AP4" i="8"/>
  <c r="DE5" i="7"/>
  <c r="AS5" i="7"/>
  <c r="EE4" i="7"/>
  <c r="BS4" i="7"/>
  <c r="G4" i="7"/>
  <c r="CT5" i="6"/>
  <c r="AH5" i="6"/>
  <c r="DT4" i="6"/>
  <c r="BH4" i="6"/>
  <c r="EU5" i="5"/>
  <c r="CI5" i="5"/>
  <c r="W5" i="5"/>
  <c r="DI4" i="5"/>
  <c r="AW4" i="5"/>
  <c r="EA5" i="4"/>
  <c r="BO5" i="4"/>
  <c r="C5" i="4"/>
  <c r="CO4" i="4"/>
  <c r="AC4" i="4"/>
  <c r="B902" i="1"/>
  <c r="J896" i="1"/>
  <c r="F891" i="1"/>
  <c r="B886" i="1"/>
  <c r="J880" i="1"/>
  <c r="F875" i="1"/>
  <c r="B870" i="1"/>
  <c r="J864" i="1"/>
  <c r="F859" i="1"/>
  <c r="B854" i="1"/>
  <c r="J848" i="1"/>
  <c r="F843" i="1"/>
  <c r="ER5" i="7"/>
  <c r="CF5" i="7"/>
  <c r="T5" i="7"/>
  <c r="DF4" i="7"/>
  <c r="AT4" i="7"/>
  <c r="EG5" i="6"/>
  <c r="BU5" i="6"/>
  <c r="I5" i="6"/>
  <c r="CU4" i="6"/>
  <c r="AI4" i="6"/>
  <c r="DV5" i="5"/>
  <c r="BJ5" i="5"/>
  <c r="EV4" i="5"/>
  <c r="CJ4" i="5"/>
  <c r="X4" i="5"/>
  <c r="DJ5" i="4"/>
  <c r="AX5" i="4"/>
  <c r="EJ4" i="4"/>
  <c r="BX4" i="4"/>
  <c r="L4" i="4"/>
  <c r="I900" i="1"/>
  <c r="E895" i="1"/>
  <c r="A890" i="1"/>
  <c r="I884" i="1"/>
  <c r="E879" i="1"/>
  <c r="A874" i="1"/>
  <c r="I868" i="1"/>
  <c r="E863" i="1"/>
  <c r="A858" i="1"/>
  <c r="I852" i="1"/>
  <c r="E847" i="1"/>
  <c r="CW4" i="8"/>
  <c r="EA5" i="7"/>
  <c r="BO5" i="7"/>
  <c r="C5" i="7"/>
  <c r="CO4" i="7"/>
  <c r="AC4" i="7"/>
  <c r="DP5" i="6"/>
  <c r="BD5" i="6"/>
  <c r="EP4" i="6"/>
  <c r="CD4" i="6"/>
  <c r="R4" i="6"/>
  <c r="DE5" i="5"/>
  <c r="AS5" i="5"/>
  <c r="EE4" i="5"/>
  <c r="BS4" i="5"/>
  <c r="G4" i="5"/>
  <c r="CS5" i="4"/>
  <c r="AG5" i="4"/>
  <c r="DS4" i="4"/>
  <c r="BG4" i="4"/>
  <c r="H904" i="1"/>
  <c r="D899" i="1"/>
  <c r="L893" i="1"/>
  <c r="H888" i="1"/>
  <c r="D883" i="1"/>
  <c r="L877" i="1"/>
  <c r="H872" i="1"/>
  <c r="D867" i="1"/>
  <c r="L861" i="1"/>
  <c r="H856" i="1"/>
  <c r="D851" i="1"/>
  <c r="L845" i="1"/>
  <c r="BD4" i="8"/>
  <c r="DR5" i="7"/>
  <c r="BF5" i="7"/>
  <c r="ER4" i="7"/>
  <c r="CF4" i="7"/>
  <c r="T4" i="7"/>
  <c r="DG5" i="6"/>
  <c r="AU5" i="6"/>
  <c r="EG4" i="6"/>
  <c r="BU4" i="6"/>
  <c r="I4" i="6"/>
  <c r="CN5" i="5"/>
  <c r="AB5" i="5"/>
  <c r="DN4" i="5"/>
  <c r="BB4" i="5"/>
  <c r="EN5" i="4"/>
  <c r="CB5" i="4"/>
  <c r="P5" i="4"/>
  <c r="DB4" i="4"/>
  <c r="AP4" i="4"/>
  <c r="C903" i="1"/>
  <c r="K897" i="1"/>
  <c r="G892" i="1"/>
  <c r="C887" i="1"/>
  <c r="K881" i="1"/>
  <c r="G876" i="1"/>
  <c r="C871" i="1"/>
  <c r="K865" i="1"/>
  <c r="G860" i="1"/>
  <c r="C855" i="1"/>
  <c r="K849" i="1"/>
  <c r="G844" i="1"/>
  <c r="H839" i="1"/>
  <c r="D834" i="1"/>
  <c r="L828" i="1"/>
  <c r="H823" i="1"/>
  <c r="D818" i="1"/>
  <c r="L812" i="1"/>
  <c r="H807" i="1"/>
  <c r="D802" i="1"/>
  <c r="L796" i="1"/>
  <c r="H791" i="1"/>
  <c r="D786" i="1"/>
  <c r="L780" i="1"/>
  <c r="BO5" i="5"/>
  <c r="C5" i="5"/>
  <c r="CO4" i="5"/>
  <c r="AC4" i="5"/>
  <c r="DO5" i="4"/>
  <c r="BC5" i="4"/>
  <c r="EO4" i="4"/>
  <c r="CC4" i="4"/>
  <c r="Q4" i="4"/>
  <c r="F900" i="1"/>
  <c r="B895" i="1"/>
  <c r="J889" i="1"/>
  <c r="F884" i="1"/>
  <c r="B879" i="1"/>
  <c r="J873" i="1"/>
  <c r="F868" i="1"/>
  <c r="B863" i="1"/>
  <c r="J857" i="1"/>
  <c r="F852" i="1"/>
  <c r="B847" i="1"/>
  <c r="DP4" i="8"/>
  <c r="EN5" i="7"/>
  <c r="CB5" i="7"/>
  <c r="P5" i="7"/>
  <c r="DB4" i="7"/>
  <c r="AP4" i="7"/>
  <c r="EC5" i="6"/>
  <c r="BQ5" i="6"/>
  <c r="E5" i="6"/>
  <c r="CQ4" i="6"/>
  <c r="AE4" i="6"/>
  <c r="DR5" i="5"/>
  <c r="BF5" i="5"/>
  <c r="ER4" i="5"/>
  <c r="CF4" i="5"/>
  <c r="T4" i="5"/>
  <c r="DF5" i="4"/>
  <c r="AT5" i="4"/>
  <c r="EF4" i="4"/>
  <c r="BT4" i="4"/>
  <c r="H4" i="4"/>
  <c r="E900" i="1"/>
  <c r="A895" i="1"/>
  <c r="I889" i="1"/>
  <c r="E884" i="1"/>
  <c r="A879" i="1"/>
  <c r="I873" i="1"/>
  <c r="E868" i="1"/>
  <c r="A863" i="1"/>
  <c r="I857" i="1"/>
  <c r="E852" i="1"/>
  <c r="A847" i="1"/>
  <c r="CL4" i="8"/>
  <c r="EE5" i="7"/>
  <c r="BS5" i="7"/>
  <c r="G5" i="7"/>
  <c r="CS4" i="7"/>
  <c r="AG4" i="7"/>
  <c r="DL5" i="6"/>
  <c r="AZ5" i="6"/>
  <c r="EL4" i="6"/>
  <c r="BZ4" i="6"/>
  <c r="N4" i="6"/>
  <c r="DA5" i="5"/>
  <c r="AO5" i="5"/>
  <c r="EA4" i="5"/>
  <c r="BO4" i="5"/>
  <c r="C4" i="5"/>
  <c r="CO5" i="4"/>
  <c r="AC5" i="4"/>
  <c r="DO4" i="4"/>
  <c r="BC4" i="4"/>
  <c r="D904" i="1"/>
  <c r="L898" i="1"/>
  <c r="H893" i="1"/>
  <c r="D888" i="1"/>
  <c r="L882" i="1"/>
  <c r="H877" i="1"/>
  <c r="D872" i="1"/>
  <c r="L866" i="1"/>
  <c r="H861" i="1"/>
  <c r="D856" i="1"/>
  <c r="L850" i="1"/>
  <c r="H845" i="1"/>
  <c r="BN4" i="8"/>
  <c r="DV5" i="7"/>
  <c r="BJ5" i="7"/>
  <c r="EV4" i="7"/>
  <c r="CJ4" i="7"/>
  <c r="X4" i="7"/>
  <c r="DC5" i="6"/>
  <c r="AQ5" i="6"/>
  <c r="EC4" i="6"/>
  <c r="BQ4" i="6"/>
  <c r="E4" i="6"/>
  <c r="CR5" i="5"/>
  <c r="AF5" i="5"/>
  <c r="DR4" i="5"/>
  <c r="BF4" i="5"/>
  <c r="ER5" i="4"/>
  <c r="CF5" i="4"/>
  <c r="T5" i="4"/>
  <c r="DF4" i="4"/>
  <c r="AT4" i="4"/>
  <c r="G903" i="1"/>
  <c r="C898" i="1"/>
  <c r="K892" i="1"/>
  <c r="G887" i="1"/>
  <c r="C882" i="1"/>
  <c r="K876" i="1"/>
  <c r="G871" i="1"/>
  <c r="C866" i="1"/>
  <c r="K860" i="1"/>
  <c r="G855" i="1"/>
  <c r="C850" i="1"/>
  <c r="K844" i="1"/>
  <c r="W4" i="8"/>
  <c r="CW5" i="7"/>
  <c r="AK5" i="7"/>
  <c r="DW4" i="7"/>
  <c r="BK4" i="7"/>
  <c r="EX5" i="6"/>
  <c r="CL5" i="6"/>
  <c r="Z5" i="6"/>
  <c r="DL4" i="6"/>
  <c r="AZ4" i="6"/>
  <c r="EM5" i="5"/>
  <c r="CA5" i="5"/>
  <c r="O5" i="5"/>
  <c r="DA4" i="5"/>
  <c r="AO4" i="5"/>
  <c r="DS5" i="4"/>
  <c r="BG5" i="4"/>
  <c r="ES4" i="4"/>
  <c r="CG4" i="4"/>
  <c r="U4" i="4"/>
  <c r="F901" i="1"/>
  <c r="B896" i="1"/>
  <c r="J890" i="1"/>
  <c r="F885" i="1"/>
  <c r="B880" i="1"/>
  <c r="J874" i="1"/>
  <c r="F869" i="1"/>
  <c r="B864" i="1"/>
  <c r="J858" i="1"/>
  <c r="F853" i="1"/>
  <c r="B848" i="1"/>
  <c r="J842" i="1"/>
  <c r="EJ5" i="7"/>
  <c r="BX5" i="7"/>
  <c r="L5" i="7"/>
  <c r="CX4" i="7"/>
  <c r="AL4" i="7"/>
  <c r="DY5" i="6"/>
  <c r="BM5" i="6"/>
  <c r="A5" i="6"/>
  <c r="CM4" i="6"/>
  <c r="AA4" i="6"/>
  <c r="DN5" i="5"/>
  <c r="BB5" i="5"/>
  <c r="EN4" i="5"/>
  <c r="CB4" i="5"/>
  <c r="P4" i="5"/>
  <c r="DB5" i="4"/>
  <c r="AP5" i="4"/>
  <c r="EB4" i="4"/>
  <c r="BP4" i="4"/>
  <c r="D4" i="4"/>
  <c r="A900" i="1"/>
  <c r="I894" i="1"/>
  <c r="E889" i="1"/>
  <c r="A884" i="1"/>
  <c r="I878" i="1"/>
  <c r="E873" i="1"/>
  <c r="A868" i="1"/>
  <c r="I862" i="1"/>
  <c r="E857" i="1"/>
  <c r="A852" i="1"/>
  <c r="I846" i="1"/>
  <c r="CB4" i="8"/>
  <c r="DS5" i="7"/>
  <c r="BG5" i="7"/>
  <c r="ES4" i="7"/>
  <c r="CG4" i="7"/>
  <c r="U4" i="7"/>
  <c r="DH5" i="6"/>
  <c r="AV5" i="6"/>
  <c r="EH4" i="6"/>
  <c r="BV4" i="6"/>
  <c r="J4" i="6"/>
  <c r="CW5" i="5"/>
  <c r="AK5" i="5"/>
  <c r="DW4" i="5"/>
  <c r="BK4" i="5"/>
  <c r="EW5" i="4"/>
  <c r="CK5" i="4"/>
  <c r="Y5" i="4"/>
  <c r="DK4" i="4"/>
  <c r="AY4" i="4"/>
  <c r="L903" i="1"/>
  <c r="H898" i="1"/>
  <c r="D893" i="1"/>
  <c r="L887" i="1"/>
  <c r="H882" i="1"/>
  <c r="D877" i="1"/>
  <c r="L871" i="1"/>
  <c r="H866" i="1"/>
  <c r="D861" i="1"/>
  <c r="L855" i="1"/>
  <c r="H850" i="1"/>
  <c r="D845" i="1"/>
  <c r="AH4" i="8"/>
  <c r="DJ5" i="7"/>
  <c r="AX5" i="7"/>
  <c r="EJ4" i="7"/>
  <c r="BX4" i="7"/>
  <c r="L4" i="7"/>
  <c r="CY5" i="6"/>
  <c r="AM5" i="6"/>
  <c r="DY4" i="6"/>
  <c r="BM4" i="6"/>
  <c r="ER5" i="5"/>
  <c r="CF5" i="5"/>
  <c r="T5" i="5"/>
  <c r="DF4" i="5"/>
  <c r="AT4" i="5"/>
  <c r="EF5" i="4"/>
  <c r="BT5" i="4"/>
  <c r="H5" i="4"/>
  <c r="CT4" i="4"/>
  <c r="AH4" i="4"/>
  <c r="G902" i="1"/>
  <c r="C897" i="1"/>
  <c r="K891" i="1"/>
  <c r="G886" i="1"/>
  <c r="C881" i="1"/>
  <c r="K875" i="1"/>
  <c r="G870" i="1"/>
  <c r="C865" i="1"/>
  <c r="K859" i="1"/>
  <c r="G854" i="1"/>
  <c r="C849" i="1"/>
  <c r="K843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BG5" i="5"/>
  <c r="ES4" i="5"/>
  <c r="CG4" i="5"/>
  <c r="U4" i="5"/>
  <c r="DG5" i="4"/>
  <c r="AU5" i="4"/>
  <c r="EG4" i="4"/>
  <c r="BU4" i="4"/>
  <c r="I4" i="4"/>
  <c r="J899" i="1"/>
  <c r="F894" i="1"/>
  <c r="B889" i="1"/>
  <c r="J883" i="1"/>
  <c r="F878" i="1"/>
  <c r="B873" i="1"/>
  <c r="J867" i="1"/>
  <c r="F862" i="1"/>
  <c r="B857" i="1"/>
  <c r="J851" i="1"/>
  <c r="F846" i="1"/>
  <c r="CO4" i="8"/>
  <c r="EF5" i="7"/>
  <c r="BT5" i="7"/>
  <c r="H5" i="7"/>
  <c r="CT4" i="7"/>
  <c r="AH4" i="7"/>
  <c r="DU5" i="6"/>
  <c r="BI5" i="6"/>
  <c r="EU4" i="6"/>
  <c r="CI4" i="6"/>
  <c r="W4" i="6"/>
  <c r="DJ5" i="5"/>
  <c r="AX5" i="5"/>
  <c r="EJ4" i="5"/>
  <c r="BX4" i="5"/>
  <c r="L4" i="5"/>
  <c r="CX5" i="4"/>
  <c r="AL5" i="4"/>
  <c r="DX4" i="4"/>
  <c r="BL4" i="4"/>
  <c r="A4" i="3"/>
  <c r="I899" i="1"/>
  <c r="E894" i="1"/>
  <c r="A889" i="1"/>
  <c r="I883" i="1"/>
  <c r="E878" i="1"/>
  <c r="A873" i="1"/>
  <c r="I867" i="1"/>
  <c r="E862" i="1"/>
  <c r="A857" i="1"/>
  <c r="I851" i="1"/>
  <c r="E846" i="1"/>
  <c r="BQ4" i="8"/>
  <c r="DW5" i="7"/>
  <c r="BK5" i="7"/>
  <c r="EW4" i="7"/>
  <c r="CK4" i="7"/>
  <c r="Y4" i="7"/>
  <c r="DD5" i="6"/>
  <c r="AR5" i="6"/>
  <c r="ED4" i="6"/>
  <c r="BR4" i="6"/>
  <c r="F4" i="6"/>
  <c r="CS5" i="5"/>
  <c r="AG5" i="5"/>
  <c r="DS4" i="5"/>
  <c r="BG4" i="5"/>
  <c r="ES5" i="4"/>
  <c r="CG5" i="4"/>
  <c r="U5" i="4"/>
  <c r="DG4" i="4"/>
  <c r="AU4" i="4"/>
  <c r="H903" i="1"/>
  <c r="D898" i="1"/>
  <c r="L892" i="1"/>
  <c r="H887" i="1"/>
  <c r="D882" i="1"/>
  <c r="L876" i="1"/>
  <c r="H871" i="1"/>
  <c r="D866" i="1"/>
  <c r="L860" i="1"/>
  <c r="H855" i="1"/>
  <c r="D850" i="1"/>
  <c r="L844" i="1"/>
  <c r="AS4" i="8"/>
  <c r="DN5" i="7"/>
  <c r="BB5" i="7"/>
  <c r="EN4" i="7"/>
  <c r="CB4" i="7"/>
  <c r="P4" i="7"/>
  <c r="CU5" i="6"/>
  <c r="AI5" i="6"/>
  <c r="DU4" i="6"/>
  <c r="BI4" i="6"/>
  <c r="EV5" i="5"/>
  <c r="CJ5" i="5"/>
  <c r="X5" i="5"/>
  <c r="DJ4" i="5"/>
  <c r="AX4" i="5"/>
  <c r="EJ5" i="4"/>
  <c r="BX5" i="4"/>
  <c r="L5" i="4"/>
  <c r="CX4" i="4"/>
  <c r="AL4" i="4"/>
  <c r="K902" i="1"/>
  <c r="G897" i="1"/>
  <c r="C892" i="1"/>
  <c r="K886" i="1"/>
  <c r="G881" i="1"/>
  <c r="C876" i="1"/>
  <c r="K870" i="1"/>
  <c r="G865" i="1"/>
  <c r="C860" i="1"/>
  <c r="K854" i="1"/>
  <c r="G849" i="1"/>
  <c r="C844" i="1"/>
  <c r="J4" i="8"/>
  <c r="CO5" i="7"/>
  <c r="AC5" i="7"/>
  <c r="DO4" i="7"/>
  <c r="BC4" i="7"/>
  <c r="EP5" i="6"/>
  <c r="CD5" i="6"/>
  <c r="R5" i="6"/>
  <c r="DD4" i="6"/>
  <c r="AR4" i="6"/>
  <c r="EE5" i="5"/>
  <c r="BS5" i="5"/>
  <c r="G5" i="5"/>
  <c r="CS4" i="5"/>
  <c r="AG4" i="5"/>
  <c r="DK5" i="4"/>
  <c r="AY5" i="4"/>
  <c r="EK4" i="4"/>
  <c r="BY4" i="4"/>
  <c r="M4" i="4"/>
  <c r="J900" i="1"/>
  <c r="F895" i="1"/>
  <c r="B890" i="1"/>
  <c r="J884" i="1"/>
  <c r="F879" i="1"/>
  <c r="B874" i="1"/>
  <c r="J868" i="1"/>
  <c r="F863" i="1"/>
  <c r="B858" i="1"/>
  <c r="J852" i="1"/>
  <c r="F847" i="1"/>
  <c r="CZ4" i="8"/>
  <c r="EB5" i="7"/>
  <c r="BP5" i="7"/>
  <c r="D5" i="7"/>
  <c r="CP4" i="7"/>
  <c r="AD4" i="7"/>
  <c r="DQ5" i="6"/>
  <c r="BE5" i="6"/>
  <c r="EQ4" i="6"/>
  <c r="CE4" i="6"/>
  <c r="S4" i="6"/>
  <c r="DF5" i="5"/>
  <c r="AT5" i="5"/>
  <c r="EF4" i="5"/>
  <c r="BT4" i="5"/>
  <c r="H4" i="5"/>
  <c r="CT5" i="4"/>
  <c r="AH5" i="4"/>
  <c r="DT4" i="4"/>
  <c r="BH4" i="4"/>
  <c r="I904" i="1"/>
  <c r="E899" i="1"/>
  <c r="A894" i="1"/>
  <c r="I888" i="1"/>
  <c r="E883" i="1"/>
  <c r="A878" i="1"/>
  <c r="I872" i="1"/>
  <c r="E867" i="1"/>
  <c r="A862" i="1"/>
  <c r="I856" i="1"/>
  <c r="E851" i="1"/>
  <c r="A846" i="1"/>
  <c r="BF4" i="8"/>
  <c r="DK5" i="7"/>
  <c r="AY5" i="7"/>
  <c r="EK4" i="7"/>
  <c r="BY4" i="7"/>
  <c r="M4" i="7"/>
  <c r="CZ5" i="6"/>
  <c r="AN5" i="6"/>
  <c r="DZ4" i="6"/>
  <c r="BN4" i="6"/>
  <c r="B4" i="6"/>
  <c r="CO5" i="5"/>
  <c r="AC5" i="5"/>
  <c r="DO4" i="5"/>
  <c r="BC4" i="5"/>
  <c r="EO5" i="4"/>
  <c r="CC5" i="4"/>
  <c r="Q5" i="4"/>
  <c r="DC4" i="4"/>
  <c r="AQ4" i="4"/>
  <c r="D903" i="1"/>
  <c r="L897" i="1"/>
  <c r="H892" i="1"/>
  <c r="D887" i="1"/>
  <c r="L881" i="1"/>
  <c r="H876" i="1"/>
  <c r="D871" i="1"/>
  <c r="L865" i="1"/>
  <c r="H860" i="1"/>
  <c r="D855" i="1"/>
  <c r="L849" i="1"/>
  <c r="H844" i="1"/>
  <c r="P4" i="8"/>
  <c r="DB5" i="7"/>
  <c r="AP5" i="7"/>
  <c r="EB4" i="7"/>
  <c r="BP4" i="7"/>
  <c r="D4" i="7"/>
  <c r="CQ5" i="6"/>
  <c r="AE5" i="6"/>
  <c r="DQ4" i="6"/>
  <c r="BE4" i="6"/>
  <c r="EJ5" i="5"/>
  <c r="BX5" i="5"/>
  <c r="L5" i="5"/>
  <c r="CX4" i="5"/>
  <c r="AL4" i="5"/>
  <c r="DX5" i="4"/>
  <c r="BL5" i="4"/>
  <c r="EX4" i="4"/>
  <c r="CL4" i="4"/>
  <c r="Z4" i="4"/>
  <c r="K901" i="1"/>
  <c r="G896" i="1"/>
  <c r="C891" i="1"/>
  <c r="K885" i="1"/>
  <c r="G880" i="1"/>
  <c r="C875" i="1"/>
  <c r="K869" i="1"/>
  <c r="G864" i="1"/>
  <c r="C859" i="1"/>
  <c r="K853" i="1"/>
  <c r="G848" i="1"/>
  <c r="C843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AY5" i="5"/>
  <c r="EK4" i="5"/>
  <c r="BY4" i="5"/>
  <c r="M4" i="5"/>
  <c r="CY5" i="4"/>
  <c r="AM5" i="4"/>
  <c r="DY4" i="4"/>
  <c r="BM4" i="4"/>
  <c r="F904" i="1"/>
  <c r="B899" i="1"/>
  <c r="J893" i="1"/>
  <c r="F888" i="1"/>
  <c r="B883" i="1"/>
  <c r="J877" i="1"/>
  <c r="F872" i="1"/>
  <c r="B867" i="1"/>
  <c r="J861" i="1"/>
  <c r="F856" i="1"/>
  <c r="B851" i="1"/>
  <c r="J845" i="1"/>
  <c r="BT4" i="8"/>
  <c r="DX5" i="7"/>
  <c r="BL5" i="7"/>
  <c r="EX4" i="7"/>
  <c r="CL4" i="7"/>
  <c r="Z4" i="7"/>
  <c r="DM5" i="6"/>
  <c r="BA5" i="6"/>
  <c r="EM4" i="6"/>
  <c r="CA4" i="6"/>
  <c r="O4" i="6"/>
  <c r="DB5" i="5"/>
  <c r="AP5" i="5"/>
  <c r="EB4" i="5"/>
  <c r="BP4" i="5"/>
  <c r="D4" i="5"/>
  <c r="CP5" i="4"/>
  <c r="AD5" i="4"/>
  <c r="DP4" i="4"/>
  <c r="BD4" i="4"/>
  <c r="E904" i="1"/>
  <c r="A899" i="1"/>
  <c r="I893" i="1"/>
  <c r="E888" i="1"/>
  <c r="A883" i="1"/>
  <c r="I877" i="1"/>
  <c r="E872" i="1"/>
  <c r="A867" i="1"/>
  <c r="I861" i="1"/>
  <c r="E856" i="1"/>
  <c r="A851" i="1"/>
  <c r="I845" i="1"/>
  <c r="AV4" i="8"/>
  <c r="DO5" i="7"/>
  <c r="BC5" i="7"/>
  <c r="EO4" i="7"/>
  <c r="CC4" i="7"/>
  <c r="Q4" i="7"/>
  <c r="CV5" i="6"/>
  <c r="AJ5" i="6"/>
  <c r="DV4" i="6"/>
  <c r="BJ4" i="6"/>
  <c r="EW5" i="5"/>
  <c r="CK5" i="5"/>
  <c r="Y5" i="5"/>
  <c r="DK4" i="5"/>
  <c r="AY4" i="5"/>
  <c r="EK5" i="4"/>
  <c r="BY5" i="4"/>
  <c r="M5" i="4"/>
  <c r="CY4" i="4"/>
  <c r="AM4" i="4"/>
  <c r="L902" i="1"/>
  <c r="H897" i="1"/>
  <c r="D892" i="1"/>
  <c r="L886" i="1"/>
  <c r="H881" i="1"/>
  <c r="D876" i="1"/>
  <c r="L870" i="1"/>
  <c r="H865" i="1"/>
  <c r="D860" i="1"/>
  <c r="L854" i="1"/>
  <c r="H849" i="1"/>
  <c r="D844" i="1"/>
  <c r="X4" i="8"/>
  <c r="DF5" i="7"/>
  <c r="AT5" i="7"/>
  <c r="EF4" i="7"/>
  <c r="BT4" i="7"/>
  <c r="H4" i="7"/>
  <c r="CM5" i="6"/>
  <c r="AA5" i="6"/>
  <c r="DM4" i="6"/>
  <c r="BA4" i="6"/>
  <c r="EN5" i="5"/>
  <c r="CB5" i="5"/>
  <c r="P5" i="5"/>
  <c r="DB4" i="5"/>
  <c r="AP4" i="5"/>
  <c r="EB5" i="4"/>
  <c r="BP5" i="4"/>
  <c r="D5" i="4"/>
  <c r="CP4" i="4"/>
  <c r="AD4" i="4"/>
  <c r="C902" i="1"/>
  <c r="K896" i="1"/>
  <c r="G891" i="1"/>
  <c r="C886" i="1"/>
  <c r="K880" i="1"/>
  <c r="G875" i="1"/>
  <c r="C870" i="1"/>
  <c r="K864" i="1"/>
  <c r="G859" i="1"/>
  <c r="C854" i="1"/>
  <c r="K848" i="1"/>
  <c r="G843" i="1"/>
  <c r="ES5" i="7"/>
  <c r="CG5" i="7"/>
  <c r="U5" i="7"/>
  <c r="DG4" i="7"/>
  <c r="AU4" i="7"/>
  <c r="EH5" i="6"/>
  <c r="BV5" i="6"/>
  <c r="J5" i="6"/>
  <c r="CV4" i="6"/>
  <c r="AJ4" i="6"/>
  <c r="DW5" i="5"/>
  <c r="BK5" i="5"/>
  <c r="EW4" i="5"/>
  <c r="CK4" i="5"/>
  <c r="Y4" i="5"/>
  <c r="DC5" i="4"/>
  <c r="AQ5" i="4"/>
  <c r="EC4" i="4"/>
  <c r="BQ4" i="4"/>
  <c r="E4" i="4"/>
  <c r="B900" i="1"/>
  <c r="J894" i="1"/>
  <c r="F889" i="1"/>
  <c r="B884" i="1"/>
  <c r="J878" i="1"/>
  <c r="F873" i="1"/>
  <c r="B868" i="1"/>
  <c r="J862" i="1"/>
  <c r="F857" i="1"/>
  <c r="B852" i="1"/>
  <c r="J846" i="1"/>
  <c r="CD4" i="8"/>
  <c r="DT5" i="7"/>
  <c r="BH5" i="7"/>
  <c r="ET4" i="7"/>
  <c r="CH4" i="7"/>
  <c r="V4" i="7"/>
  <c r="DI5" i="6"/>
  <c r="AW5" i="6"/>
  <c r="EI4" i="6"/>
  <c r="BW4" i="6"/>
  <c r="K4" i="6"/>
  <c r="CX5" i="5"/>
  <c r="AL5" i="5"/>
  <c r="DX4" i="5"/>
  <c r="BL4" i="5"/>
  <c r="EX5" i="4"/>
  <c r="CL5" i="4"/>
  <c r="Z5" i="4"/>
  <c r="DL4" i="4"/>
  <c r="AZ4" i="4"/>
  <c r="A904" i="1"/>
  <c r="I898" i="1"/>
  <c r="E893" i="1"/>
  <c r="A888" i="1"/>
  <c r="I882" i="1"/>
  <c r="E877" i="1"/>
  <c r="A872" i="1"/>
  <c r="I866" i="1"/>
  <c r="E861" i="1"/>
  <c r="A856" i="1"/>
  <c r="I850" i="1"/>
  <c r="E845" i="1"/>
  <c r="AK4" i="8"/>
  <c r="DC5" i="7"/>
  <c r="AQ5" i="7"/>
  <c r="EC4" i="7"/>
  <c r="BQ4" i="7"/>
  <c r="E4" i="7"/>
  <c r="CR5" i="6"/>
  <c r="AF5" i="6"/>
  <c r="DR4" i="6"/>
  <c r="BF4" i="6"/>
  <c r="ES5" i="5"/>
  <c r="CG5" i="5"/>
  <c r="U5" i="5"/>
  <c r="DG4" i="5"/>
  <c r="AU4" i="5"/>
  <c r="EG5" i="4"/>
  <c r="BU5" i="4"/>
  <c r="I5" i="4"/>
  <c r="CU4" i="4"/>
  <c r="AI4" i="4"/>
  <c r="H902" i="1"/>
  <c r="D897" i="1"/>
  <c r="L891" i="1"/>
  <c r="H886" i="1"/>
  <c r="D881" i="1"/>
  <c r="L875" i="1"/>
  <c r="H870" i="1"/>
  <c r="D865" i="1"/>
  <c r="L859" i="1"/>
  <c r="H854" i="1"/>
  <c r="D849" i="1"/>
  <c r="L843" i="1"/>
  <c r="F4" i="8"/>
  <c r="CT5" i="7"/>
  <c r="AH5" i="7"/>
  <c r="DT4" i="7"/>
  <c r="BH4" i="7"/>
  <c r="EU5" i="6"/>
  <c r="CI5" i="6"/>
  <c r="W5" i="6"/>
  <c r="DI4" i="6"/>
  <c r="AW4" i="6"/>
  <c r="EB5" i="5"/>
  <c r="BP5" i="5"/>
  <c r="D5" i="5"/>
  <c r="CP4" i="5"/>
  <c r="AD4" i="5"/>
  <c r="DP5" i="4"/>
  <c r="BD5" i="4"/>
  <c r="EP4" i="4"/>
  <c r="CD4" i="4"/>
  <c r="R4" i="4"/>
  <c r="C901" i="1"/>
  <c r="K895" i="1"/>
  <c r="G890" i="1"/>
  <c r="C885" i="1"/>
  <c r="K879" i="1"/>
  <c r="G874" i="1"/>
  <c r="C869" i="1"/>
  <c r="K863" i="1"/>
  <c r="G858" i="1"/>
  <c r="C853" i="1"/>
  <c r="K847" i="1"/>
  <c r="G842" i="1"/>
  <c r="H837" i="1"/>
  <c r="D832" i="1"/>
  <c r="L826" i="1"/>
  <c r="H821" i="1"/>
  <c r="D816" i="1"/>
  <c r="L810" i="1"/>
  <c r="H805" i="1"/>
  <c r="D800" i="1"/>
  <c r="AQ5" i="5"/>
  <c r="EC4" i="5"/>
  <c r="BQ4" i="5"/>
  <c r="E4" i="5"/>
  <c r="CQ5" i="4"/>
  <c r="AE5" i="4"/>
  <c r="DQ4" i="4"/>
  <c r="BE4" i="4"/>
  <c r="J903" i="1"/>
  <c r="F898" i="1"/>
  <c r="B893" i="1"/>
  <c r="J887" i="1"/>
  <c r="F882" i="1"/>
  <c r="B877" i="1"/>
  <c r="J871" i="1"/>
  <c r="F866" i="1"/>
  <c r="B861" i="1"/>
  <c r="J855" i="1"/>
  <c r="F850" i="1"/>
  <c r="B845" i="1"/>
  <c r="AX4" i="8"/>
  <c r="DP5" i="7"/>
  <c r="BD5" i="7"/>
  <c r="EP4" i="7"/>
  <c r="CD4" i="7"/>
  <c r="R4" i="7"/>
  <c r="DE5" i="6"/>
  <c r="AS5" i="6"/>
  <c r="EE4" i="6"/>
  <c r="BS4" i="6"/>
  <c r="G4" i="6"/>
  <c r="CT5" i="5"/>
  <c r="AH5" i="5"/>
  <c r="DT4" i="5"/>
  <c r="BH4" i="5"/>
  <c r="ET5" i="4"/>
  <c r="CH5" i="4"/>
  <c r="V5" i="4"/>
  <c r="DH4" i="4"/>
  <c r="AV4" i="4"/>
  <c r="I903" i="1"/>
  <c r="E898" i="1"/>
  <c r="A893" i="1"/>
  <c r="I887" i="1"/>
  <c r="E882" i="1"/>
  <c r="A877" i="1"/>
  <c r="I871" i="1"/>
  <c r="E866" i="1"/>
  <c r="A861" i="1"/>
  <c r="I855" i="1"/>
  <c r="E850" i="1"/>
  <c r="A845" i="1"/>
  <c r="Z4" i="8"/>
  <c r="DG5" i="7"/>
  <c r="AU5" i="7"/>
  <c r="EG4" i="7"/>
  <c r="BU4" i="7"/>
  <c r="I4" i="7"/>
  <c r="CN5" i="6"/>
  <c r="AB5" i="6"/>
  <c r="DN4" i="6"/>
  <c r="BB4" i="6"/>
  <c r="EO5" i="5"/>
  <c r="CC5" i="5"/>
  <c r="Q5" i="5"/>
  <c r="DC4" i="5"/>
  <c r="AQ4" i="5"/>
  <c r="EC5" i="4"/>
  <c r="BQ5" i="4"/>
  <c r="E5" i="4"/>
  <c r="CQ4" i="4"/>
  <c r="AE4" i="4"/>
  <c r="D902" i="1"/>
  <c r="L896" i="1"/>
  <c r="H891" i="1"/>
  <c r="D886" i="1"/>
  <c r="L880" i="1"/>
  <c r="H875" i="1"/>
  <c r="D870" i="1"/>
  <c r="L864" i="1"/>
  <c r="H859" i="1"/>
  <c r="D854" i="1"/>
  <c r="L848" i="1"/>
  <c r="H843" i="1"/>
  <c r="L4" i="8"/>
  <c r="CX5" i="7"/>
  <c r="AL5" i="7"/>
  <c r="DX4" i="7"/>
  <c r="BL4" i="7"/>
  <c r="EQ5" i="6"/>
  <c r="CE5" i="6"/>
  <c r="S5" i="6"/>
  <c r="DE4" i="6"/>
  <c r="AS4" i="6"/>
  <c r="EF5" i="5"/>
  <c r="BT5" i="5"/>
  <c r="H5" i="5"/>
  <c r="CT4" i="5"/>
  <c r="AH4" i="5"/>
  <c r="DT5" i="4"/>
  <c r="BH5" i="4"/>
  <c r="ET4" i="4"/>
  <c r="CH4" i="4"/>
  <c r="V4" i="4"/>
  <c r="G901" i="1"/>
  <c r="C896" i="1"/>
  <c r="K890" i="1"/>
  <c r="G885" i="1"/>
  <c r="C880" i="1"/>
  <c r="K874" i="1"/>
  <c r="G869" i="1"/>
  <c r="C864" i="1"/>
  <c r="K858" i="1"/>
  <c r="G853" i="1"/>
  <c r="C848" i="1"/>
  <c r="K842" i="1"/>
  <c r="EK5" i="7"/>
  <c r="BY5" i="7"/>
  <c r="M5" i="7"/>
  <c r="CY4" i="7"/>
  <c r="AM4" i="7"/>
  <c r="DZ5" i="6"/>
  <c r="BN5" i="6"/>
  <c r="B5" i="6"/>
  <c r="CN4" i="6"/>
  <c r="AB4" i="6"/>
  <c r="DO5" i="5"/>
  <c r="BC5" i="5"/>
  <c r="EO4" i="5"/>
  <c r="CC4" i="5"/>
  <c r="Q4" i="5"/>
  <c r="CU5" i="4"/>
  <c r="AI5" i="4"/>
  <c r="DU4" i="4"/>
  <c r="BI4" i="4"/>
  <c r="J904" i="1"/>
  <c r="F899" i="1"/>
  <c r="B894" i="1"/>
  <c r="J888" i="1"/>
  <c r="F883" i="1"/>
  <c r="B878" i="1"/>
  <c r="J872" i="1"/>
  <c r="F867" i="1"/>
  <c r="B862" i="1"/>
  <c r="J856" i="1"/>
  <c r="F851" i="1"/>
  <c r="B846" i="1"/>
  <c r="BI4" i="8"/>
  <c r="DL5" i="7"/>
  <c r="AZ5" i="7"/>
  <c r="EL4" i="7"/>
  <c r="BZ4" i="7"/>
  <c r="N4" i="7"/>
  <c r="DA5" i="6"/>
  <c r="AO5" i="6"/>
  <c r="EA4" i="6"/>
  <c r="BO4" i="6"/>
  <c r="C4" i="6"/>
  <c r="CP5" i="5"/>
  <c r="AD5" i="5"/>
  <c r="DP4" i="5"/>
  <c r="BD4" i="5"/>
  <c r="EP5" i="4"/>
  <c r="CD5" i="4"/>
  <c r="R5" i="4"/>
  <c r="DD4" i="4"/>
  <c r="AR4" i="4"/>
  <c r="E903" i="1"/>
  <c r="A898" i="1"/>
  <c r="I892" i="1"/>
  <c r="E887" i="1"/>
  <c r="A882" i="1"/>
  <c r="I876" i="1"/>
  <c r="E871" i="1"/>
  <c r="A866" i="1"/>
  <c r="I860" i="1"/>
  <c r="E855" i="1"/>
  <c r="A850" i="1"/>
  <c r="I844" i="1"/>
  <c r="R4" i="8"/>
  <c r="CU5" i="7"/>
  <c r="AI5" i="7"/>
  <c r="DU4" i="7"/>
  <c r="BI4" i="7"/>
  <c r="EV5" i="6"/>
  <c r="CJ5" i="6"/>
  <c r="X5" i="6"/>
  <c r="DJ4" i="6"/>
  <c r="AX4" i="6"/>
  <c r="EK5" i="5"/>
  <c r="BY5" i="5"/>
  <c r="M5" i="5"/>
  <c r="CY4" i="5"/>
  <c r="AM4" i="5"/>
  <c r="DY5" i="4"/>
  <c r="BM5" i="4"/>
  <c r="A5" i="4"/>
  <c r="CM4" i="4"/>
  <c r="AA4" i="4"/>
  <c r="L901" i="1"/>
  <c r="H896" i="1"/>
  <c r="D891" i="1"/>
  <c r="L885" i="1"/>
  <c r="H880" i="1"/>
  <c r="D875" i="1"/>
  <c r="L869" i="1"/>
  <c r="H864" i="1"/>
  <c r="D859" i="1"/>
  <c r="L853" i="1"/>
  <c r="H848" i="1"/>
  <c r="D843" i="1"/>
  <c r="EX5" i="7"/>
  <c r="CL5" i="7"/>
  <c r="Z5" i="7"/>
  <c r="DL4" i="7"/>
  <c r="AZ4" i="7"/>
  <c r="EM5" i="6"/>
  <c r="CA5" i="6"/>
  <c r="O5" i="6"/>
  <c r="DA4" i="6"/>
  <c r="AO4" i="6"/>
  <c r="AI5" i="5"/>
  <c r="DU4" i="5"/>
  <c r="BI4" i="5"/>
  <c r="EU5" i="4"/>
  <c r="CI5" i="4"/>
  <c r="W5" i="4"/>
  <c r="DI4" i="4"/>
  <c r="AW4" i="4"/>
  <c r="B903" i="1"/>
  <c r="J897" i="1"/>
  <c r="F892" i="1"/>
  <c r="B887" i="1"/>
  <c r="J881" i="1"/>
  <c r="F876" i="1"/>
  <c r="B871" i="1"/>
  <c r="J865" i="1"/>
  <c r="F860" i="1"/>
  <c r="B855" i="1"/>
  <c r="J849" i="1"/>
  <c r="F844" i="1"/>
  <c r="AC4" i="8"/>
  <c r="DH5" i="7"/>
  <c r="AV5" i="7"/>
  <c r="EH4" i="7"/>
  <c r="BV4" i="7"/>
  <c r="J4" i="7"/>
  <c r="CW5" i="6"/>
  <c r="AK5" i="6"/>
  <c r="DW4" i="6"/>
  <c r="BK4" i="6"/>
  <c r="EX5" i="5"/>
  <c r="CL5" i="5"/>
  <c r="Z5" i="5"/>
  <c r="DL4" i="5"/>
  <c r="AZ4" i="5"/>
  <c r="EL5" i="4"/>
  <c r="BZ5" i="4"/>
  <c r="N5" i="4"/>
  <c r="CZ4" i="4"/>
  <c r="AN4" i="4"/>
  <c r="A903" i="1"/>
  <c r="I897" i="1"/>
  <c r="E892" i="1"/>
  <c r="A887" i="1"/>
  <c r="I881" i="1"/>
  <c r="E876" i="1"/>
  <c r="A871" i="1"/>
  <c r="I865" i="1"/>
  <c r="E860" i="1"/>
  <c r="A855" i="1"/>
  <c r="I849" i="1"/>
  <c r="E844" i="1"/>
  <c r="M4" i="8"/>
  <c r="CY5" i="7"/>
  <c r="AM5" i="7"/>
  <c r="DY4" i="7"/>
  <c r="BM4" i="7"/>
  <c r="ER5" i="6"/>
  <c r="CF5" i="6"/>
  <c r="T5" i="6"/>
  <c r="DF4" i="6"/>
  <c r="AT4" i="6"/>
  <c r="EG5" i="5"/>
  <c r="BU5" i="5"/>
  <c r="I5" i="5"/>
  <c r="CU4" i="5"/>
  <c r="AI4" i="5"/>
  <c r="DU5" i="4"/>
  <c r="BI5" i="4"/>
  <c r="EU4" i="4"/>
  <c r="CI4" i="4"/>
  <c r="W4" i="4"/>
  <c r="H901" i="1"/>
  <c r="D896" i="1"/>
  <c r="L890" i="1"/>
  <c r="H885" i="1"/>
  <c r="D880" i="1"/>
  <c r="L874" i="1"/>
  <c r="H869" i="1"/>
  <c r="D864" i="1"/>
  <c r="L858" i="1"/>
  <c r="H853" i="1"/>
  <c r="D848" i="1"/>
  <c r="L842" i="1"/>
  <c r="B4" i="8"/>
  <c r="CP5" i="7"/>
  <c r="AD5" i="7"/>
  <c r="DP4" i="7"/>
  <c r="BD4" i="7"/>
  <c r="EI5" i="6"/>
  <c r="BW5" i="6"/>
  <c r="K5" i="6"/>
  <c r="CW4" i="6"/>
  <c r="AK4" i="6"/>
  <c r="DX5" i="5"/>
  <c r="BL5" i="5"/>
  <c r="EX4" i="5"/>
  <c r="CL4" i="5"/>
  <c r="Z4" i="5"/>
  <c r="DL5" i="4"/>
  <c r="AZ5" i="4"/>
  <c r="EL4" i="4"/>
  <c r="BZ4" i="4"/>
  <c r="N4" i="4"/>
  <c r="K900" i="1"/>
  <c r="G895" i="1"/>
  <c r="C890" i="1"/>
  <c r="K884" i="1"/>
  <c r="G879" i="1"/>
  <c r="C874" i="1"/>
  <c r="K868" i="1"/>
  <c r="G863" i="1"/>
  <c r="C858" i="1"/>
  <c r="K852" i="1"/>
  <c r="G847" i="1"/>
  <c r="DE4" i="8"/>
  <c r="EC5" i="7"/>
  <c r="BQ5" i="7"/>
  <c r="E5" i="7"/>
  <c r="CQ4" i="7"/>
  <c r="AE4" i="7"/>
  <c r="DR5" i="6"/>
  <c r="BF5" i="6"/>
  <c r="ER4" i="6"/>
  <c r="CF4" i="6"/>
  <c r="T4" i="6"/>
  <c r="DG5" i="5"/>
  <c r="AU5" i="5"/>
  <c r="EG4" i="5"/>
  <c r="BU4" i="5"/>
  <c r="I4" i="5"/>
  <c r="CM5" i="4"/>
  <c r="AA5" i="4"/>
  <c r="DM4" i="4"/>
  <c r="BA4" i="4"/>
  <c r="B904" i="1"/>
  <c r="J898" i="1"/>
  <c r="F893" i="1"/>
  <c r="B888" i="1"/>
  <c r="J882" i="1"/>
  <c r="F877" i="1"/>
  <c r="B872" i="1"/>
  <c r="J866" i="1"/>
  <c r="F861" i="1"/>
  <c r="B856" i="1"/>
  <c r="J850" i="1"/>
  <c r="F845" i="1"/>
  <c r="AN4" i="8"/>
  <c r="DD5" i="7"/>
  <c r="AR5" i="7"/>
  <c r="ED4" i="7"/>
  <c r="BR4" i="7"/>
  <c r="F4" i="7"/>
  <c r="CS5" i="6"/>
  <c r="AG5" i="6"/>
  <c r="DS4" i="6"/>
  <c r="BG4" i="6"/>
  <c r="ET5" i="5"/>
  <c r="CH5" i="5"/>
  <c r="V5" i="5"/>
  <c r="DH4" i="5"/>
  <c r="AV4" i="5"/>
  <c r="EH5" i="4"/>
  <c r="BV5" i="4"/>
  <c r="J5" i="4"/>
  <c r="CV4" i="4"/>
  <c r="AJ4" i="4"/>
  <c r="I902" i="1"/>
  <c r="E897" i="1"/>
  <c r="A892" i="1"/>
  <c r="I886" i="1"/>
  <c r="E881" i="1"/>
  <c r="A876" i="1"/>
  <c r="I870" i="1"/>
  <c r="E865" i="1"/>
  <c r="A860" i="1"/>
  <c r="I854" i="1"/>
  <c r="E849" i="1"/>
  <c r="A844" i="1"/>
  <c r="G4" i="8"/>
  <c r="CM5" i="7"/>
  <c r="AA5" i="7"/>
  <c r="DM4" i="7"/>
  <c r="BA4" i="7"/>
  <c r="EN5" i="6"/>
  <c r="CB5" i="6"/>
  <c r="P5" i="6"/>
  <c r="DB4" i="6"/>
  <c r="AP4" i="6"/>
  <c r="EC5" i="5"/>
  <c r="BQ5" i="5"/>
  <c r="E5" i="5"/>
  <c r="CQ4" i="5"/>
  <c r="AE4" i="5"/>
  <c r="DQ5" i="4"/>
  <c r="BE5" i="4"/>
  <c r="EQ4" i="4"/>
  <c r="CE4" i="4"/>
  <c r="S4" i="4"/>
  <c r="D901" i="1"/>
  <c r="L895" i="1"/>
  <c r="H890" i="1"/>
  <c r="D885" i="1"/>
  <c r="L879" i="1"/>
  <c r="H874" i="1"/>
  <c r="D869" i="1"/>
  <c r="L863" i="1"/>
  <c r="H858" i="1"/>
  <c r="D853" i="1"/>
  <c r="L847" i="1"/>
  <c r="H842" i="1"/>
  <c r="EP5" i="7"/>
  <c r="CD5" i="7"/>
  <c r="R5" i="7"/>
  <c r="DD4" i="7"/>
  <c r="AR4" i="7"/>
  <c r="EE5" i="6"/>
  <c r="BS5" i="6"/>
  <c r="G5" i="6"/>
  <c r="CS4" i="6"/>
  <c r="AG4" i="6"/>
  <c r="DL5" i="5"/>
  <c r="AZ5" i="5"/>
  <c r="EL4" i="5"/>
  <c r="BZ4" i="5"/>
  <c r="N4" i="5"/>
  <c r="CZ5" i="4"/>
  <c r="AN5" i="4"/>
  <c r="DZ4" i="4"/>
  <c r="BN4" i="4"/>
  <c r="B4" i="4"/>
  <c r="K899" i="1"/>
  <c r="G894" i="1"/>
  <c r="C889" i="1"/>
  <c r="K883" i="1"/>
  <c r="G878" i="1"/>
  <c r="C873" i="1"/>
  <c r="K867" i="1"/>
  <c r="G862" i="1"/>
  <c r="C857" i="1"/>
  <c r="K851" i="1"/>
  <c r="G846" i="1"/>
  <c r="H841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AA5" i="5"/>
  <c r="DM4" i="5"/>
  <c r="BA4" i="5"/>
  <c r="EM5" i="4"/>
  <c r="CA5" i="4"/>
  <c r="O5" i="4"/>
  <c r="DA4" i="4"/>
  <c r="AO4" i="4"/>
  <c r="F902" i="1"/>
  <c r="B897" i="1"/>
  <c r="J891" i="1"/>
  <c r="F886" i="1"/>
  <c r="B881" i="1"/>
  <c r="J875" i="1"/>
  <c r="F870" i="1"/>
  <c r="B865" i="1"/>
  <c r="J859" i="1"/>
  <c r="F854" i="1"/>
  <c r="B849" i="1"/>
  <c r="J843" i="1"/>
  <c r="N4" i="8"/>
  <c r="CZ5" i="7"/>
  <c r="AN5" i="7"/>
  <c r="DZ4" i="7"/>
  <c r="BN4" i="7"/>
  <c r="B4" i="7"/>
  <c r="CO5" i="6"/>
  <c r="AC5" i="6"/>
  <c r="DO4" i="6"/>
  <c r="BC4" i="6"/>
  <c r="EP5" i="5"/>
  <c r="CD5" i="5"/>
  <c r="R5" i="5"/>
  <c r="DD4" i="5"/>
  <c r="AR4" i="5"/>
  <c r="ED5" i="4"/>
  <c r="BR5" i="4"/>
  <c r="F5" i="4"/>
  <c r="CR4" i="4"/>
  <c r="AF4" i="4"/>
  <c r="E902" i="1"/>
  <c r="A897" i="1"/>
  <c r="I891" i="1"/>
  <c r="E886" i="1"/>
  <c r="A881" i="1"/>
  <c r="I875" i="1"/>
  <c r="E870" i="1"/>
  <c r="A865" i="1"/>
  <c r="I859" i="1"/>
  <c r="E854" i="1"/>
  <c r="A849" i="1"/>
  <c r="I843" i="1"/>
  <c r="C4" i="8"/>
  <c r="CQ5" i="7"/>
  <c r="AE5" i="7"/>
  <c r="DQ4" i="7"/>
  <c r="BE4" i="7"/>
  <c r="EJ5" i="6"/>
  <c r="BX5" i="6"/>
  <c r="L5" i="6"/>
  <c r="CX4" i="6"/>
  <c r="AL4" i="6"/>
  <c r="DY5" i="5"/>
  <c r="BM5" i="5"/>
  <c r="A5" i="5"/>
  <c r="CM4" i="5"/>
  <c r="AA4" i="5"/>
  <c r="DM5" i="4"/>
  <c r="BA5" i="4"/>
  <c r="EM4" i="4"/>
  <c r="CA4" i="4"/>
  <c r="O4" i="4"/>
  <c r="L900" i="1"/>
  <c r="H895" i="1"/>
  <c r="D890" i="1"/>
  <c r="L884" i="1"/>
  <c r="H879" i="1"/>
  <c r="D874" i="1"/>
  <c r="L868" i="1"/>
  <c r="H863" i="1"/>
  <c r="D858" i="1"/>
  <c r="L852" i="1"/>
  <c r="H847" i="1"/>
  <c r="D842" i="1"/>
  <c r="ET5" i="7"/>
  <c r="CH5" i="7"/>
  <c r="V5" i="7"/>
  <c r="DH4" i="7"/>
  <c r="AV4" i="7"/>
  <c r="EA5" i="6"/>
  <c r="BO5" i="6"/>
  <c r="C5" i="6"/>
  <c r="CO4" i="6"/>
  <c r="AC4" i="6"/>
  <c r="DP5" i="5"/>
  <c r="BD5" i="5"/>
  <c r="EP4" i="5"/>
  <c r="CD4" i="5"/>
  <c r="R4" i="5"/>
  <c r="DD5" i="4"/>
  <c r="AR5" i="4"/>
  <c r="ED4" i="4"/>
  <c r="BR4" i="4"/>
  <c r="F4" i="4"/>
  <c r="C900" i="1"/>
  <c r="K894" i="1"/>
  <c r="G889" i="1"/>
  <c r="C884" i="1"/>
  <c r="K878" i="1"/>
  <c r="G873" i="1"/>
  <c r="C868" i="1"/>
  <c r="K862" i="1"/>
  <c r="G857" i="1"/>
  <c r="C852" i="1"/>
  <c r="K846" i="1"/>
  <c r="CG4" i="8"/>
  <c r="DU5" i="7"/>
  <c r="BI5" i="7"/>
  <c r="EU4" i="7"/>
  <c r="CI4" i="7"/>
  <c r="W4" i="7"/>
  <c r="DJ5" i="6"/>
  <c r="AX5" i="6"/>
  <c r="EJ4" i="6"/>
  <c r="BX4" i="6"/>
  <c r="L4" i="6"/>
  <c r="CY5" i="5"/>
  <c r="AM5" i="5"/>
  <c r="DY4" i="5"/>
  <c r="BM4" i="5"/>
  <c r="EQ5" i="4"/>
  <c r="CE5" i="4"/>
  <c r="S5" i="4"/>
  <c r="DE4" i="4"/>
  <c r="AS4" i="4"/>
  <c r="F903" i="1"/>
  <c r="B898" i="1"/>
  <c r="J892" i="1"/>
  <c r="F887" i="1"/>
  <c r="B882" i="1"/>
  <c r="J876" i="1"/>
  <c r="F871" i="1"/>
  <c r="B866" i="1"/>
  <c r="J860" i="1"/>
  <c r="F855" i="1"/>
  <c r="B850" i="1"/>
  <c r="J844" i="1"/>
  <c r="U4" i="8"/>
  <c r="CV5" i="7"/>
  <c r="AJ5" i="7"/>
  <c r="DV4" i="7"/>
  <c r="BJ4" i="7"/>
  <c r="EW5" i="6"/>
  <c r="CK5" i="6"/>
  <c r="Y5" i="6"/>
  <c r="DK4" i="6"/>
  <c r="AY4" i="6"/>
  <c r="EL5" i="5"/>
  <c r="BZ5" i="5"/>
  <c r="N5" i="5"/>
  <c r="CZ4" i="5"/>
  <c r="AN4" i="5"/>
  <c r="DZ5" i="4"/>
  <c r="BN5" i="4"/>
  <c r="B5" i="4"/>
  <c r="CN4" i="4"/>
  <c r="AB4" i="4"/>
  <c r="A902" i="1"/>
  <c r="I896" i="1"/>
  <c r="E891" i="1"/>
  <c r="A886" i="1"/>
  <c r="I880" i="1"/>
  <c r="E875" i="1"/>
  <c r="A870" i="1"/>
  <c r="I864" i="1"/>
  <c r="E859" i="1"/>
  <c r="A854" i="1"/>
  <c r="I848" i="1"/>
  <c r="E843" i="1"/>
  <c r="EQ5" i="7"/>
  <c r="CE5" i="7"/>
  <c r="S5" i="7"/>
  <c r="DE4" i="7"/>
  <c r="AS4" i="7"/>
  <c r="EF5" i="6"/>
  <c r="BT5" i="6"/>
  <c r="H5" i="6"/>
  <c r="CT4" i="6"/>
  <c r="AH4" i="6"/>
  <c r="DU5" i="5"/>
  <c r="BI5" i="5"/>
  <c r="EU4" i="5"/>
  <c r="CI4" i="5"/>
  <c r="W4" i="5"/>
  <c r="DI5" i="4"/>
  <c r="AW5" i="4"/>
  <c r="EI4" i="4"/>
  <c r="BW4" i="4"/>
  <c r="K4" i="4"/>
  <c r="H900" i="1"/>
  <c r="D895" i="1"/>
  <c r="L889" i="1"/>
  <c r="H884" i="1"/>
  <c r="D879" i="1"/>
  <c r="L873" i="1"/>
  <c r="H868" i="1"/>
  <c r="D863" i="1"/>
  <c r="L857" i="1"/>
  <c r="H852" i="1"/>
  <c r="D847" i="1"/>
  <c r="CT4" i="8"/>
  <c r="EH5" i="7"/>
  <c r="BV5" i="7"/>
  <c r="J5" i="7"/>
  <c r="CV4" i="7"/>
  <c r="AJ4" i="7"/>
  <c r="DW5" i="6"/>
  <c r="BK5" i="6"/>
  <c r="EW4" i="6"/>
  <c r="CK4" i="6"/>
  <c r="Y4" i="6"/>
  <c r="DD5" i="5"/>
  <c r="AR5" i="5"/>
  <c r="ED4" i="5"/>
  <c r="BR4" i="5"/>
  <c r="F4" i="5"/>
  <c r="CR5" i="4"/>
  <c r="AF5" i="4"/>
  <c r="DR4" i="4"/>
  <c r="BF4" i="4"/>
  <c r="G904" i="1"/>
  <c r="C899" i="1"/>
  <c r="K893" i="1"/>
  <c r="G888" i="1"/>
  <c r="C883" i="1"/>
  <c r="K877" i="1"/>
  <c r="G872" i="1"/>
  <c r="C867" i="1"/>
  <c r="K861" i="1"/>
  <c r="G856" i="1"/>
  <c r="C851" i="1"/>
  <c r="K845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S5" i="5"/>
  <c r="DE4" i="5"/>
  <c r="AS4" i="5"/>
  <c r="EE5" i="4"/>
  <c r="BS5" i="4"/>
  <c r="G5" i="4"/>
  <c r="CS4" i="4"/>
  <c r="AG4" i="4"/>
  <c r="J901" i="1"/>
  <c r="F896" i="1"/>
  <c r="B891" i="1"/>
  <c r="J885" i="1"/>
  <c r="F880" i="1"/>
  <c r="B875" i="1"/>
  <c r="J869" i="1"/>
  <c r="F864" i="1"/>
  <c r="B859" i="1"/>
  <c r="J853" i="1"/>
  <c r="F848" i="1"/>
  <c r="B843" i="1"/>
  <c r="D4" i="8"/>
  <c r="CR5" i="7"/>
  <c r="AF5" i="7"/>
  <c r="DR4" i="7"/>
  <c r="BF4" i="7"/>
  <c r="ES5" i="6"/>
  <c r="CG5" i="6"/>
  <c r="U5" i="6"/>
  <c r="DG4" i="6"/>
  <c r="AU4" i="6"/>
  <c r="EH5" i="5"/>
  <c r="BV5" i="5"/>
  <c r="J5" i="5"/>
  <c r="CV4" i="5"/>
  <c r="AJ4" i="5"/>
  <c r="DV5" i="4"/>
  <c r="BJ5" i="4"/>
  <c r="EV4" i="4"/>
  <c r="CJ4" i="4"/>
  <c r="X4" i="4"/>
  <c r="I901" i="1"/>
  <c r="E896" i="1"/>
  <c r="A891" i="1"/>
  <c r="I885" i="1"/>
  <c r="E880" i="1"/>
  <c r="A875" i="1"/>
  <c r="I869" i="1"/>
  <c r="E864" i="1"/>
  <c r="A859" i="1"/>
  <c r="I853" i="1"/>
  <c r="E848" i="1"/>
  <c r="A843" i="1"/>
  <c r="EU5" i="7"/>
  <c r="CI5" i="7"/>
  <c r="W5" i="7"/>
  <c r="DI4" i="7"/>
  <c r="AW4" i="7"/>
  <c r="EB5" i="6"/>
  <c r="BP5" i="6"/>
  <c r="D5" i="6"/>
  <c r="CP4" i="6"/>
  <c r="AD4" i="6"/>
  <c r="DQ5" i="5"/>
  <c r="BE5" i="5"/>
  <c r="EQ4" i="5"/>
  <c r="CE4" i="5"/>
  <c r="S4" i="5"/>
  <c r="DE5" i="4"/>
  <c r="AS5" i="4"/>
  <c r="EE4" i="4"/>
  <c r="BS4" i="4"/>
  <c r="G4" i="4"/>
  <c r="D900" i="1"/>
  <c r="L894" i="1"/>
  <c r="H889" i="1"/>
  <c r="D884" i="1"/>
  <c r="L878" i="1"/>
  <c r="H873" i="1"/>
  <c r="D868" i="1"/>
  <c r="L862" i="1"/>
  <c r="H857" i="1"/>
  <c r="D852" i="1"/>
  <c r="L846" i="1"/>
  <c r="DH4" i="8"/>
  <c r="EL5" i="7"/>
  <c r="BZ5" i="7"/>
  <c r="N5" i="7"/>
  <c r="CZ4" i="7"/>
  <c r="AN4" i="7"/>
  <c r="DS5" i="6"/>
  <c r="BG5" i="6"/>
  <c r="ES4" i="6"/>
  <c r="CG4" i="6"/>
  <c r="U4" i="6"/>
  <c r="DH5" i="5"/>
  <c r="AV5" i="5"/>
  <c r="EH4" i="5"/>
  <c r="BV4" i="5"/>
  <c r="J4" i="5"/>
  <c r="CV5" i="4"/>
  <c r="AJ5" i="4"/>
  <c r="DV4" i="4"/>
  <c r="BJ4" i="4"/>
  <c r="K904" i="1"/>
  <c r="G899" i="1"/>
  <c r="C894" i="1"/>
  <c r="K888" i="1"/>
  <c r="G883" i="1"/>
  <c r="C878" i="1"/>
  <c r="K872" i="1"/>
  <c r="G867" i="1"/>
  <c r="C862" i="1"/>
  <c r="K856" i="1"/>
  <c r="G851" i="1"/>
  <c r="C846" i="1"/>
  <c r="BL4" i="8"/>
  <c r="DM5" i="7"/>
  <c r="BA5" i="7"/>
  <c r="EM4" i="7"/>
  <c r="CA4" i="7"/>
  <c r="O4" i="7"/>
  <c r="DB5" i="6"/>
  <c r="AP5" i="6"/>
  <c r="EB4" i="6"/>
  <c r="BP4" i="6"/>
  <c r="D4" i="6"/>
  <c r="CQ5" i="5"/>
  <c r="AE5" i="5"/>
  <c r="DQ4" i="5"/>
  <c r="BE4" i="5"/>
  <c r="EI5" i="4"/>
  <c r="BW5" i="4"/>
  <c r="K5" i="4"/>
  <c r="CW4" i="4"/>
  <c r="AK4" i="4"/>
  <c r="J902" i="1"/>
  <c r="F897" i="1"/>
  <c r="B892" i="1"/>
  <c r="J886" i="1"/>
  <c r="F881" i="1"/>
  <c r="B876" i="1"/>
  <c r="J870" i="1"/>
  <c r="F865" i="1"/>
  <c r="B860" i="1"/>
  <c r="J854" i="1"/>
  <c r="F849" i="1"/>
  <c r="B844" i="1"/>
  <c r="H4" i="8"/>
  <c r="CN5" i="7"/>
  <c r="AB5" i="7"/>
  <c r="DN4" i="7"/>
  <c r="BB4" i="7"/>
  <c r="EO5" i="6"/>
  <c r="CC5" i="6"/>
  <c r="Q5" i="6"/>
  <c r="DC4" i="6"/>
  <c r="AQ4" i="6"/>
  <c r="ED5" i="5"/>
  <c r="BR5" i="5"/>
  <c r="F5" i="5"/>
  <c r="CR4" i="5"/>
  <c r="AF4" i="5"/>
  <c r="DR5" i="4"/>
  <c r="BF5" i="4"/>
  <c r="ER4" i="4"/>
  <c r="CF4" i="4"/>
  <c r="T4" i="4"/>
  <c r="E901" i="1"/>
  <c r="A896" i="1"/>
  <c r="I890" i="1"/>
  <c r="E885" i="1"/>
  <c r="A880" i="1"/>
  <c r="I874" i="1"/>
  <c r="E869" i="1"/>
  <c r="A864" i="1"/>
  <c r="I858" i="1"/>
  <c r="E853" i="1"/>
  <c r="A848" i="1"/>
  <c r="I842" i="1"/>
  <c r="EI5" i="7"/>
  <c r="BW5" i="7"/>
  <c r="K5" i="7"/>
  <c r="CW4" i="7"/>
  <c r="AK4" i="7"/>
  <c r="DX5" i="6"/>
  <c r="BL5" i="6"/>
  <c r="EX4" i="6"/>
  <c r="CL4" i="6"/>
  <c r="Z4" i="6"/>
  <c r="DM5" i="5"/>
  <c r="BA5" i="5"/>
  <c r="EM4" i="5"/>
  <c r="CA4" i="5"/>
  <c r="O4" i="5"/>
  <c r="DA5" i="4"/>
  <c r="AO5" i="4"/>
  <c r="EA4" i="4"/>
  <c r="BO4" i="4"/>
  <c r="C4" i="4"/>
  <c r="L899" i="1"/>
  <c r="H894" i="1"/>
  <c r="D889" i="1"/>
  <c r="L883" i="1"/>
  <c r="H878" i="1"/>
  <c r="D873" i="1"/>
  <c r="L867" i="1"/>
  <c r="H862" i="1"/>
  <c r="D857" i="1"/>
  <c r="L851" i="1"/>
  <c r="H846" i="1"/>
  <c r="BY4" i="8"/>
  <c r="DZ5" i="7"/>
  <c r="BN5" i="7"/>
  <c r="B5" i="7"/>
  <c r="CN4" i="7"/>
  <c r="AB4" i="7"/>
  <c r="DO5" i="6"/>
  <c r="BC5" i="6"/>
  <c r="EO4" i="6"/>
  <c r="CC4" i="6"/>
  <c r="Q4" i="6"/>
  <c r="CV5" i="5"/>
  <c r="AJ5" i="5"/>
  <c r="DV4" i="5"/>
  <c r="BJ4" i="5"/>
  <c r="EV5" i="4"/>
  <c r="CJ5" i="4"/>
  <c r="X5" i="4"/>
  <c r="DJ4" i="4"/>
  <c r="AX4" i="4"/>
  <c r="K903" i="1"/>
  <c r="G898" i="1"/>
  <c r="C893" i="1"/>
  <c r="K887" i="1"/>
  <c r="G882" i="1"/>
  <c r="C877" i="1"/>
  <c r="K871" i="1"/>
  <c r="G866" i="1"/>
  <c r="C861" i="1"/>
  <c r="K855" i="1"/>
  <c r="G850" i="1"/>
  <c r="C845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DT5" i="5"/>
  <c r="BV4" i="4"/>
  <c r="G868" i="1"/>
  <c r="D826" i="1"/>
  <c r="H789" i="1"/>
  <c r="D774" i="1"/>
  <c r="L768" i="1"/>
  <c r="H763" i="1"/>
  <c r="D758" i="1"/>
  <c r="L752" i="1"/>
  <c r="H747" i="1"/>
  <c r="D742" i="1"/>
  <c r="L736" i="1"/>
  <c r="H731" i="1"/>
  <c r="D726" i="1"/>
  <c r="L720" i="1"/>
  <c r="H715" i="1"/>
  <c r="D710" i="1"/>
  <c r="L704" i="1"/>
  <c r="H699" i="1"/>
  <c r="D694" i="1"/>
  <c r="L688" i="1"/>
  <c r="H683" i="1"/>
  <c r="D678" i="1"/>
  <c r="L672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C736" i="1"/>
  <c r="K730" i="1"/>
  <c r="G725" i="1"/>
  <c r="C720" i="1"/>
  <c r="K714" i="1"/>
  <c r="G709" i="1"/>
  <c r="C704" i="1"/>
  <c r="K698" i="1"/>
  <c r="G693" i="1"/>
  <c r="C688" i="1"/>
  <c r="K682" i="1"/>
  <c r="G677" i="1"/>
  <c r="C672" i="1"/>
  <c r="F837" i="1"/>
  <c r="B832" i="1"/>
  <c r="J826" i="1"/>
  <c r="F821" i="1"/>
  <c r="B816" i="1"/>
  <c r="J810" i="1"/>
  <c r="F805" i="1"/>
  <c r="B800" i="1"/>
  <c r="J794" i="1"/>
  <c r="F789" i="1"/>
  <c r="B784" i="1"/>
  <c r="J778" i="1"/>
  <c r="F773" i="1"/>
  <c r="B768" i="1"/>
  <c r="J762" i="1"/>
  <c r="F757" i="1"/>
  <c r="B752" i="1"/>
  <c r="J746" i="1"/>
  <c r="F741" i="1"/>
  <c r="B736" i="1"/>
  <c r="J730" i="1"/>
  <c r="F725" i="1"/>
  <c r="B720" i="1"/>
  <c r="J714" i="1"/>
  <c r="F709" i="1"/>
  <c r="B704" i="1"/>
  <c r="J698" i="1"/>
  <c r="F693" i="1"/>
  <c r="B688" i="1"/>
  <c r="J682" i="1"/>
  <c r="F677" i="1"/>
  <c r="A842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A762" i="1"/>
  <c r="I756" i="1"/>
  <c r="E751" i="1"/>
  <c r="A746" i="1"/>
  <c r="I740" i="1"/>
  <c r="E735" i="1"/>
  <c r="A730" i="1"/>
  <c r="I724" i="1"/>
  <c r="E719" i="1"/>
  <c r="A714" i="1"/>
  <c r="I708" i="1"/>
  <c r="E703" i="1"/>
  <c r="A698" i="1"/>
  <c r="I692" i="1"/>
  <c r="E687" i="1"/>
  <c r="A682" i="1"/>
  <c r="I676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D761" i="1"/>
  <c r="L755" i="1"/>
  <c r="H750" i="1"/>
  <c r="D745" i="1"/>
  <c r="L739" i="1"/>
  <c r="H734" i="1"/>
  <c r="D729" i="1"/>
  <c r="L723" i="1"/>
  <c r="H718" i="1"/>
  <c r="D713" i="1"/>
  <c r="L707" i="1"/>
  <c r="H702" i="1"/>
  <c r="D697" i="1"/>
  <c r="L691" i="1"/>
  <c r="H686" i="1"/>
  <c r="D681" i="1"/>
  <c r="L67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G760" i="1"/>
  <c r="C755" i="1"/>
  <c r="K749" i="1"/>
  <c r="G744" i="1"/>
  <c r="C739" i="1"/>
  <c r="K733" i="1"/>
  <c r="G728" i="1"/>
  <c r="C723" i="1"/>
  <c r="K717" i="1"/>
  <c r="G712" i="1"/>
  <c r="C707" i="1"/>
  <c r="K701" i="1"/>
  <c r="G696" i="1"/>
  <c r="C691" i="1"/>
  <c r="K685" i="1"/>
  <c r="G680" i="1"/>
  <c r="C675" i="1"/>
  <c r="J839" i="1"/>
  <c r="F834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J759" i="1"/>
  <c r="F754" i="1"/>
  <c r="B749" i="1"/>
  <c r="J743" i="1"/>
  <c r="F738" i="1"/>
  <c r="B733" i="1"/>
  <c r="J727" i="1"/>
  <c r="F722" i="1"/>
  <c r="B717" i="1"/>
  <c r="J711" i="1"/>
  <c r="F706" i="1"/>
  <c r="B701" i="1"/>
  <c r="J695" i="1"/>
  <c r="F690" i="1"/>
  <c r="B685" i="1"/>
  <c r="J679" i="1"/>
  <c r="F674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A759" i="1"/>
  <c r="I753" i="1"/>
  <c r="E748" i="1"/>
  <c r="A743" i="1"/>
  <c r="I737" i="1"/>
  <c r="E732" i="1"/>
  <c r="A727" i="1"/>
  <c r="I721" i="1"/>
  <c r="E716" i="1"/>
  <c r="A711" i="1"/>
  <c r="I705" i="1"/>
  <c r="E700" i="1"/>
  <c r="A695" i="1"/>
  <c r="I689" i="1"/>
  <c r="E684" i="1"/>
  <c r="A679" i="1"/>
  <c r="I673" i="1"/>
  <c r="K668" i="1"/>
  <c r="G663" i="1"/>
  <c r="C658" i="1"/>
  <c r="K652" i="1"/>
  <c r="G647" i="1"/>
  <c r="C642" i="1"/>
  <c r="K636" i="1"/>
  <c r="G631" i="1"/>
  <c r="BH5" i="5"/>
  <c r="J4" i="4"/>
  <c r="C863" i="1"/>
  <c r="L820" i="1"/>
  <c r="L788" i="1"/>
  <c r="H773" i="1"/>
  <c r="D768" i="1"/>
  <c r="L762" i="1"/>
  <c r="H757" i="1"/>
  <c r="D752" i="1"/>
  <c r="L746" i="1"/>
  <c r="H741" i="1"/>
  <c r="D736" i="1"/>
  <c r="L730" i="1"/>
  <c r="H725" i="1"/>
  <c r="D720" i="1"/>
  <c r="L714" i="1"/>
  <c r="H709" i="1"/>
  <c r="D704" i="1"/>
  <c r="L698" i="1"/>
  <c r="H693" i="1"/>
  <c r="D688" i="1"/>
  <c r="L682" i="1"/>
  <c r="H677" i="1"/>
  <c r="C842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G735" i="1"/>
  <c r="C730" i="1"/>
  <c r="K724" i="1"/>
  <c r="G719" i="1"/>
  <c r="C714" i="1"/>
  <c r="K708" i="1"/>
  <c r="G703" i="1"/>
  <c r="C698" i="1"/>
  <c r="K692" i="1"/>
  <c r="G687" i="1"/>
  <c r="C682" i="1"/>
  <c r="K676" i="1"/>
  <c r="B842" i="1"/>
  <c r="J836" i="1"/>
  <c r="F831" i="1"/>
  <c r="B826" i="1"/>
  <c r="J820" i="1"/>
  <c r="F815" i="1"/>
  <c r="B810" i="1"/>
  <c r="J804" i="1"/>
  <c r="F799" i="1"/>
  <c r="B794" i="1"/>
  <c r="J788" i="1"/>
  <c r="F783" i="1"/>
  <c r="B778" i="1"/>
  <c r="J772" i="1"/>
  <c r="F767" i="1"/>
  <c r="B762" i="1"/>
  <c r="J756" i="1"/>
  <c r="F751" i="1"/>
  <c r="B746" i="1"/>
  <c r="J740" i="1"/>
  <c r="F735" i="1"/>
  <c r="B730" i="1"/>
  <c r="J724" i="1"/>
  <c r="F719" i="1"/>
  <c r="B714" i="1"/>
  <c r="J708" i="1"/>
  <c r="F703" i="1"/>
  <c r="B698" i="1"/>
  <c r="J692" i="1"/>
  <c r="F687" i="1"/>
  <c r="B682" i="1"/>
  <c r="J676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E761" i="1"/>
  <c r="A756" i="1"/>
  <c r="I750" i="1"/>
  <c r="E745" i="1"/>
  <c r="A740" i="1"/>
  <c r="I734" i="1"/>
  <c r="E729" i="1"/>
  <c r="A724" i="1"/>
  <c r="I718" i="1"/>
  <c r="E713" i="1"/>
  <c r="A708" i="1"/>
  <c r="I702" i="1"/>
  <c r="E697" i="1"/>
  <c r="A692" i="1"/>
  <c r="I686" i="1"/>
  <c r="E681" i="1"/>
  <c r="A676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H760" i="1"/>
  <c r="D755" i="1"/>
  <c r="L749" i="1"/>
  <c r="H744" i="1"/>
  <c r="D739" i="1"/>
  <c r="L733" i="1"/>
  <c r="H728" i="1"/>
  <c r="D723" i="1"/>
  <c r="L717" i="1"/>
  <c r="H712" i="1"/>
  <c r="D707" i="1"/>
  <c r="L701" i="1"/>
  <c r="H696" i="1"/>
  <c r="D691" i="1"/>
  <c r="L685" i="1"/>
  <c r="H680" i="1"/>
  <c r="D675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K759" i="1"/>
  <c r="G754" i="1"/>
  <c r="C749" i="1"/>
  <c r="K743" i="1"/>
  <c r="G738" i="1"/>
  <c r="C733" i="1"/>
  <c r="K727" i="1"/>
  <c r="G722" i="1"/>
  <c r="C717" i="1"/>
  <c r="K711" i="1"/>
  <c r="G706" i="1"/>
  <c r="C701" i="1"/>
  <c r="K695" i="1"/>
  <c r="G690" i="1"/>
  <c r="C685" i="1"/>
  <c r="K679" i="1"/>
  <c r="G674" i="1"/>
  <c r="B839" i="1"/>
  <c r="J833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F764" i="1"/>
  <c r="B759" i="1"/>
  <c r="J753" i="1"/>
  <c r="F748" i="1"/>
  <c r="B743" i="1"/>
  <c r="J737" i="1"/>
  <c r="F732" i="1"/>
  <c r="B727" i="1"/>
  <c r="J721" i="1"/>
  <c r="F716" i="1"/>
  <c r="B711" i="1"/>
  <c r="J705" i="1"/>
  <c r="F700" i="1"/>
  <c r="B695" i="1"/>
  <c r="J689" i="1"/>
  <c r="F684" i="1"/>
  <c r="B679" i="1"/>
  <c r="J673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E758" i="1"/>
  <c r="A753" i="1"/>
  <c r="I747" i="1"/>
  <c r="E742" i="1"/>
  <c r="A737" i="1"/>
  <c r="I731" i="1"/>
  <c r="E726" i="1"/>
  <c r="A721" i="1"/>
  <c r="I715" i="1"/>
  <c r="E710" i="1"/>
  <c r="A705" i="1"/>
  <c r="I699" i="1"/>
  <c r="E694" i="1"/>
  <c r="A689" i="1"/>
  <c r="I683" i="1"/>
  <c r="E678" i="1"/>
  <c r="A673" i="1"/>
  <c r="C668" i="1"/>
  <c r="K662" i="1"/>
  <c r="G657" i="1"/>
  <c r="C652" i="1"/>
  <c r="K646" i="1"/>
  <c r="G641" i="1"/>
  <c r="C636" i="1"/>
  <c r="ET4" i="5"/>
  <c r="G900" i="1"/>
  <c r="K857" i="1"/>
  <c r="H815" i="1"/>
  <c r="D784" i="1"/>
  <c r="L772" i="1"/>
  <c r="H767" i="1"/>
  <c r="D762" i="1"/>
  <c r="L756" i="1"/>
  <c r="H751" i="1"/>
  <c r="D746" i="1"/>
  <c r="L740" i="1"/>
  <c r="H735" i="1"/>
  <c r="D730" i="1"/>
  <c r="L724" i="1"/>
  <c r="H719" i="1"/>
  <c r="D714" i="1"/>
  <c r="L708" i="1"/>
  <c r="H703" i="1"/>
  <c r="D698" i="1"/>
  <c r="L692" i="1"/>
  <c r="H687" i="1"/>
  <c r="D682" i="1"/>
  <c r="L676" i="1"/>
  <c r="G841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C740" i="1"/>
  <c r="K734" i="1"/>
  <c r="G729" i="1"/>
  <c r="C724" i="1"/>
  <c r="K718" i="1"/>
  <c r="G713" i="1"/>
  <c r="C708" i="1"/>
  <c r="K702" i="1"/>
  <c r="G697" i="1"/>
  <c r="C692" i="1"/>
  <c r="K686" i="1"/>
  <c r="G681" i="1"/>
  <c r="C676" i="1"/>
  <c r="F841" i="1"/>
  <c r="B836" i="1"/>
  <c r="J830" i="1"/>
  <c r="F825" i="1"/>
  <c r="B820" i="1"/>
  <c r="J814" i="1"/>
  <c r="F809" i="1"/>
  <c r="B804" i="1"/>
  <c r="J798" i="1"/>
  <c r="F793" i="1"/>
  <c r="B788" i="1"/>
  <c r="J782" i="1"/>
  <c r="F777" i="1"/>
  <c r="B772" i="1"/>
  <c r="J766" i="1"/>
  <c r="F761" i="1"/>
  <c r="B756" i="1"/>
  <c r="J750" i="1"/>
  <c r="F745" i="1"/>
  <c r="B740" i="1"/>
  <c r="J734" i="1"/>
  <c r="F729" i="1"/>
  <c r="B724" i="1"/>
  <c r="J718" i="1"/>
  <c r="F713" i="1"/>
  <c r="B708" i="1"/>
  <c r="J702" i="1"/>
  <c r="F697" i="1"/>
  <c r="B692" i="1"/>
  <c r="J686" i="1"/>
  <c r="F681" i="1"/>
  <c r="B676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I760" i="1"/>
  <c r="E755" i="1"/>
  <c r="A750" i="1"/>
  <c r="I744" i="1"/>
  <c r="E739" i="1"/>
  <c r="A734" i="1"/>
  <c r="I728" i="1"/>
  <c r="E723" i="1"/>
  <c r="A718" i="1"/>
  <c r="I712" i="1"/>
  <c r="E707" i="1"/>
  <c r="A702" i="1"/>
  <c r="I696" i="1"/>
  <c r="E691" i="1"/>
  <c r="A686" i="1"/>
  <c r="I680" i="1"/>
  <c r="E675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L759" i="1"/>
  <c r="H754" i="1"/>
  <c r="D749" i="1"/>
  <c r="L743" i="1"/>
  <c r="H738" i="1"/>
  <c r="D733" i="1"/>
  <c r="L727" i="1"/>
  <c r="H722" i="1"/>
  <c r="D717" i="1"/>
  <c r="L711" i="1"/>
  <c r="H706" i="1"/>
  <c r="D701" i="1"/>
  <c r="L695" i="1"/>
  <c r="H690" i="1"/>
  <c r="D685" i="1"/>
  <c r="L679" i="1"/>
  <c r="H674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C759" i="1"/>
  <c r="K753" i="1"/>
  <c r="G748" i="1"/>
  <c r="C743" i="1"/>
  <c r="K737" i="1"/>
  <c r="G732" i="1"/>
  <c r="C727" i="1"/>
  <c r="K721" i="1"/>
  <c r="G716" i="1"/>
  <c r="C711" i="1"/>
  <c r="K705" i="1"/>
  <c r="G700" i="1"/>
  <c r="C695" i="1"/>
  <c r="K689" i="1"/>
  <c r="G684" i="1"/>
  <c r="C679" i="1"/>
  <c r="K673" i="1"/>
  <c r="F838" i="1"/>
  <c r="B833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J763" i="1"/>
  <c r="F758" i="1"/>
  <c r="B753" i="1"/>
  <c r="J747" i="1"/>
  <c r="F742" i="1"/>
  <c r="B737" i="1"/>
  <c r="J731" i="1"/>
  <c r="F726" i="1"/>
  <c r="B721" i="1"/>
  <c r="J715" i="1"/>
  <c r="F710" i="1"/>
  <c r="B705" i="1"/>
  <c r="J699" i="1"/>
  <c r="F694" i="1"/>
  <c r="B689" i="1"/>
  <c r="J683" i="1"/>
  <c r="F678" i="1"/>
  <c r="B673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I757" i="1"/>
  <c r="E752" i="1"/>
  <c r="A747" i="1"/>
  <c r="I741" i="1"/>
  <c r="E736" i="1"/>
  <c r="A731" i="1"/>
  <c r="I725" i="1"/>
  <c r="E720" i="1"/>
  <c r="A715" i="1"/>
  <c r="I709" i="1"/>
  <c r="E704" i="1"/>
  <c r="A699" i="1"/>
  <c r="I693" i="1"/>
  <c r="E688" i="1"/>
  <c r="A683" i="1"/>
  <c r="I677" i="1"/>
  <c r="E672" i="1"/>
  <c r="G667" i="1"/>
  <c r="C662" i="1"/>
  <c r="K656" i="1"/>
  <c r="G651" i="1"/>
  <c r="C646" i="1"/>
  <c r="K640" i="1"/>
  <c r="G635" i="1"/>
  <c r="CH4" i="5"/>
  <c r="C895" i="1"/>
  <c r="G852" i="1"/>
  <c r="D810" i="1"/>
  <c r="H783" i="1"/>
  <c r="D772" i="1"/>
  <c r="L766" i="1"/>
  <c r="H761" i="1"/>
  <c r="D756" i="1"/>
  <c r="L750" i="1"/>
  <c r="H745" i="1"/>
  <c r="D740" i="1"/>
  <c r="L734" i="1"/>
  <c r="H729" i="1"/>
  <c r="D724" i="1"/>
  <c r="L718" i="1"/>
  <c r="H713" i="1"/>
  <c r="D708" i="1"/>
  <c r="L702" i="1"/>
  <c r="H697" i="1"/>
  <c r="D692" i="1"/>
  <c r="L686" i="1"/>
  <c r="H681" i="1"/>
  <c r="D676" i="1"/>
  <c r="K84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G739" i="1"/>
  <c r="C734" i="1"/>
  <c r="K728" i="1"/>
  <c r="G723" i="1"/>
  <c r="C718" i="1"/>
  <c r="K712" i="1"/>
  <c r="G707" i="1"/>
  <c r="C702" i="1"/>
  <c r="K696" i="1"/>
  <c r="G691" i="1"/>
  <c r="C686" i="1"/>
  <c r="K680" i="1"/>
  <c r="G675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J776" i="1"/>
  <c r="F771" i="1"/>
  <c r="B766" i="1"/>
  <c r="J760" i="1"/>
  <c r="F755" i="1"/>
  <c r="B750" i="1"/>
  <c r="J744" i="1"/>
  <c r="F739" i="1"/>
  <c r="B734" i="1"/>
  <c r="J728" i="1"/>
  <c r="F723" i="1"/>
  <c r="B718" i="1"/>
  <c r="J712" i="1"/>
  <c r="F707" i="1"/>
  <c r="B702" i="1"/>
  <c r="J696" i="1"/>
  <c r="F691" i="1"/>
  <c r="B686" i="1"/>
  <c r="J680" i="1"/>
  <c r="F675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A760" i="1"/>
  <c r="I754" i="1"/>
  <c r="E749" i="1"/>
  <c r="A744" i="1"/>
  <c r="I738" i="1"/>
  <c r="E733" i="1"/>
  <c r="A728" i="1"/>
  <c r="I722" i="1"/>
  <c r="E717" i="1"/>
  <c r="A712" i="1"/>
  <c r="I706" i="1"/>
  <c r="E701" i="1"/>
  <c r="A696" i="1"/>
  <c r="I690" i="1"/>
  <c r="E685" i="1"/>
  <c r="A680" i="1"/>
  <c r="I674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H764" i="1"/>
  <c r="D759" i="1"/>
  <c r="L753" i="1"/>
  <c r="H748" i="1"/>
  <c r="D743" i="1"/>
  <c r="L737" i="1"/>
  <c r="H732" i="1"/>
  <c r="D727" i="1"/>
  <c r="L721" i="1"/>
  <c r="H716" i="1"/>
  <c r="D711" i="1"/>
  <c r="L705" i="1"/>
  <c r="H700" i="1"/>
  <c r="D695" i="1"/>
  <c r="L689" i="1"/>
  <c r="H684" i="1"/>
  <c r="D679" i="1"/>
  <c r="L673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G758" i="1"/>
  <c r="C753" i="1"/>
  <c r="K747" i="1"/>
  <c r="G742" i="1"/>
  <c r="C737" i="1"/>
  <c r="K731" i="1"/>
  <c r="G726" i="1"/>
  <c r="C721" i="1"/>
  <c r="K715" i="1"/>
  <c r="G710" i="1"/>
  <c r="C705" i="1"/>
  <c r="K699" i="1"/>
  <c r="G694" i="1"/>
  <c r="C689" i="1"/>
  <c r="K683" i="1"/>
  <c r="G678" i="1"/>
  <c r="C673" i="1"/>
  <c r="J837" i="1"/>
  <c r="F832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B763" i="1"/>
  <c r="J757" i="1"/>
  <c r="F752" i="1"/>
  <c r="B747" i="1"/>
  <c r="J741" i="1"/>
  <c r="F736" i="1"/>
  <c r="B731" i="1"/>
  <c r="J725" i="1"/>
  <c r="F720" i="1"/>
  <c r="B715" i="1"/>
  <c r="J709" i="1"/>
  <c r="F704" i="1"/>
  <c r="B699" i="1"/>
  <c r="J693" i="1"/>
  <c r="F688" i="1"/>
  <c r="B683" i="1"/>
  <c r="J677" i="1"/>
  <c r="F672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A757" i="1"/>
  <c r="I751" i="1"/>
  <c r="E746" i="1"/>
  <c r="A741" i="1"/>
  <c r="I735" i="1"/>
  <c r="E730" i="1"/>
  <c r="A725" i="1"/>
  <c r="I719" i="1"/>
  <c r="E714" i="1"/>
  <c r="A709" i="1"/>
  <c r="I703" i="1"/>
  <c r="E698" i="1"/>
  <c r="A693" i="1"/>
  <c r="I687" i="1"/>
  <c r="E682" i="1"/>
  <c r="A677" i="1"/>
  <c r="D672" i="1"/>
  <c r="K666" i="1"/>
  <c r="G661" i="1"/>
  <c r="C656" i="1"/>
  <c r="K650" i="1"/>
  <c r="G645" i="1"/>
  <c r="C640" i="1"/>
  <c r="K634" i="1"/>
  <c r="V4" i="5"/>
  <c r="K889" i="1"/>
  <c r="C847" i="1"/>
  <c r="L804" i="1"/>
  <c r="L778" i="1"/>
  <c r="H771" i="1"/>
  <c r="D766" i="1"/>
  <c r="L760" i="1"/>
  <c r="H755" i="1"/>
  <c r="D750" i="1"/>
  <c r="L744" i="1"/>
  <c r="H739" i="1"/>
  <c r="D734" i="1"/>
  <c r="L728" i="1"/>
  <c r="H723" i="1"/>
  <c r="D718" i="1"/>
  <c r="L712" i="1"/>
  <c r="H707" i="1"/>
  <c r="D702" i="1"/>
  <c r="L696" i="1"/>
  <c r="H691" i="1"/>
  <c r="D686" i="1"/>
  <c r="L680" i="1"/>
  <c r="H675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K738" i="1"/>
  <c r="G733" i="1"/>
  <c r="C728" i="1"/>
  <c r="K722" i="1"/>
  <c r="G717" i="1"/>
  <c r="C712" i="1"/>
  <c r="K706" i="1"/>
  <c r="G701" i="1"/>
  <c r="C696" i="1"/>
  <c r="K690" i="1"/>
  <c r="G685" i="1"/>
  <c r="C680" i="1"/>
  <c r="K674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B776" i="1"/>
  <c r="J770" i="1"/>
  <c r="F765" i="1"/>
  <c r="B760" i="1"/>
  <c r="J754" i="1"/>
  <c r="F749" i="1"/>
  <c r="B744" i="1"/>
  <c r="J738" i="1"/>
  <c r="F733" i="1"/>
  <c r="B728" i="1"/>
  <c r="J722" i="1"/>
  <c r="F717" i="1"/>
  <c r="B712" i="1"/>
  <c r="J706" i="1"/>
  <c r="F701" i="1"/>
  <c r="B696" i="1"/>
  <c r="J690" i="1"/>
  <c r="F685" i="1"/>
  <c r="B680" i="1"/>
  <c r="J674" i="1"/>
  <c r="E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I764" i="1"/>
  <c r="E759" i="1"/>
  <c r="A754" i="1"/>
  <c r="I748" i="1"/>
  <c r="E743" i="1"/>
  <c r="A738" i="1"/>
  <c r="I732" i="1"/>
  <c r="E727" i="1"/>
  <c r="A722" i="1"/>
  <c r="I716" i="1"/>
  <c r="E711" i="1"/>
  <c r="A706" i="1"/>
  <c r="I700" i="1"/>
  <c r="E695" i="1"/>
  <c r="A690" i="1"/>
  <c r="I684" i="1"/>
  <c r="E679" i="1"/>
  <c r="A674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D769" i="1"/>
  <c r="L763" i="1"/>
  <c r="H758" i="1"/>
  <c r="D753" i="1"/>
  <c r="L747" i="1"/>
  <c r="H742" i="1"/>
  <c r="D737" i="1"/>
  <c r="L731" i="1"/>
  <c r="H726" i="1"/>
  <c r="D721" i="1"/>
  <c r="L715" i="1"/>
  <c r="H710" i="1"/>
  <c r="D705" i="1"/>
  <c r="L699" i="1"/>
  <c r="H694" i="1"/>
  <c r="D689" i="1"/>
  <c r="L683" i="1"/>
  <c r="H678" i="1"/>
  <c r="D673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C763" i="1"/>
  <c r="K757" i="1"/>
  <c r="G752" i="1"/>
  <c r="C747" i="1"/>
  <c r="K741" i="1"/>
  <c r="G736" i="1"/>
  <c r="C731" i="1"/>
  <c r="K725" i="1"/>
  <c r="G720" i="1"/>
  <c r="C715" i="1"/>
  <c r="K709" i="1"/>
  <c r="G704" i="1"/>
  <c r="C699" i="1"/>
  <c r="K693" i="1"/>
  <c r="G688" i="1"/>
  <c r="C683" i="1"/>
  <c r="K677" i="1"/>
  <c r="G672" i="1"/>
  <c r="B837" i="1"/>
  <c r="J831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F762" i="1"/>
  <c r="B757" i="1"/>
  <c r="J751" i="1"/>
  <c r="F746" i="1"/>
  <c r="B741" i="1"/>
  <c r="J735" i="1"/>
  <c r="F730" i="1"/>
  <c r="B725" i="1"/>
  <c r="J719" i="1"/>
  <c r="F714" i="1"/>
  <c r="B709" i="1"/>
  <c r="J703" i="1"/>
  <c r="F698" i="1"/>
  <c r="B693" i="1"/>
  <c r="J687" i="1"/>
  <c r="F682" i="1"/>
  <c r="B677" i="1"/>
  <c r="I841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E756" i="1"/>
  <c r="A751" i="1"/>
  <c r="I745" i="1"/>
  <c r="E740" i="1"/>
  <c r="A735" i="1"/>
  <c r="I729" i="1"/>
  <c r="E724" i="1"/>
  <c r="A719" i="1"/>
  <c r="I713" i="1"/>
  <c r="E708" i="1"/>
  <c r="A703" i="1"/>
  <c r="I697" i="1"/>
  <c r="E692" i="1"/>
  <c r="A687" i="1"/>
  <c r="I681" i="1"/>
  <c r="E676" i="1"/>
  <c r="G671" i="1"/>
  <c r="C666" i="1"/>
  <c r="K660" i="1"/>
  <c r="G655" i="1"/>
  <c r="C650" i="1"/>
  <c r="K644" i="1"/>
  <c r="G639" i="1"/>
  <c r="C634" i="1"/>
  <c r="DH5" i="4"/>
  <c r="G884" i="1"/>
  <c r="E842" i="1"/>
  <c r="H799" i="1"/>
  <c r="D778" i="1"/>
  <c r="L770" i="1"/>
  <c r="H765" i="1"/>
  <c r="D760" i="1"/>
  <c r="L754" i="1"/>
  <c r="H749" i="1"/>
  <c r="D744" i="1"/>
  <c r="L738" i="1"/>
  <c r="H733" i="1"/>
  <c r="D728" i="1"/>
  <c r="L722" i="1"/>
  <c r="H717" i="1"/>
  <c r="D712" i="1"/>
  <c r="L706" i="1"/>
  <c r="H701" i="1"/>
  <c r="D696" i="1"/>
  <c r="L690" i="1"/>
  <c r="H685" i="1"/>
  <c r="D680" i="1"/>
  <c r="L674" i="1"/>
  <c r="G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C738" i="1"/>
  <c r="K732" i="1"/>
  <c r="G727" i="1"/>
  <c r="C722" i="1"/>
  <c r="K716" i="1"/>
  <c r="G711" i="1"/>
  <c r="C706" i="1"/>
  <c r="K700" i="1"/>
  <c r="G695" i="1"/>
  <c r="C690" i="1"/>
  <c r="K684" i="1"/>
  <c r="G679" i="1"/>
  <c r="C674" i="1"/>
  <c r="F839" i="1"/>
  <c r="B834" i="1"/>
  <c r="J828" i="1"/>
  <c r="F823" i="1"/>
  <c r="B818" i="1"/>
  <c r="J812" i="1"/>
  <c r="F807" i="1"/>
  <c r="B802" i="1"/>
  <c r="J796" i="1"/>
  <c r="F791" i="1"/>
  <c r="B786" i="1"/>
  <c r="J780" i="1"/>
  <c r="F775" i="1"/>
  <c r="B770" i="1"/>
  <c r="J764" i="1"/>
  <c r="F759" i="1"/>
  <c r="B754" i="1"/>
  <c r="J748" i="1"/>
  <c r="F743" i="1"/>
  <c r="B738" i="1"/>
  <c r="J732" i="1"/>
  <c r="F727" i="1"/>
  <c r="B722" i="1"/>
  <c r="J716" i="1"/>
  <c r="F711" i="1"/>
  <c r="B706" i="1"/>
  <c r="J700" i="1"/>
  <c r="F695" i="1"/>
  <c r="B690" i="1"/>
  <c r="J684" i="1"/>
  <c r="F679" i="1"/>
  <c r="B674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I758" i="1"/>
  <c r="E753" i="1"/>
  <c r="A748" i="1"/>
  <c r="I742" i="1"/>
  <c r="E737" i="1"/>
  <c r="A732" i="1"/>
  <c r="I726" i="1"/>
  <c r="E721" i="1"/>
  <c r="A716" i="1"/>
  <c r="I710" i="1"/>
  <c r="E705" i="1"/>
  <c r="A700" i="1"/>
  <c r="I694" i="1"/>
  <c r="E689" i="1"/>
  <c r="A684" i="1"/>
  <c r="I678" i="1"/>
  <c r="E673" i="1"/>
  <c r="L837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H768" i="1"/>
  <c r="D763" i="1"/>
  <c r="L757" i="1"/>
  <c r="H752" i="1"/>
  <c r="D747" i="1"/>
  <c r="L741" i="1"/>
  <c r="H736" i="1"/>
  <c r="D731" i="1"/>
  <c r="L725" i="1"/>
  <c r="H720" i="1"/>
  <c r="D715" i="1"/>
  <c r="L709" i="1"/>
  <c r="H704" i="1"/>
  <c r="D699" i="1"/>
  <c r="L693" i="1"/>
  <c r="H688" i="1"/>
  <c r="D683" i="1"/>
  <c r="L677" i="1"/>
  <c r="H672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G762" i="1"/>
  <c r="C757" i="1"/>
  <c r="K751" i="1"/>
  <c r="G746" i="1"/>
  <c r="C741" i="1"/>
  <c r="K735" i="1"/>
  <c r="G730" i="1"/>
  <c r="C725" i="1"/>
  <c r="K719" i="1"/>
  <c r="G714" i="1"/>
  <c r="C709" i="1"/>
  <c r="K703" i="1"/>
  <c r="G698" i="1"/>
  <c r="C693" i="1"/>
  <c r="K687" i="1"/>
  <c r="G682" i="1"/>
  <c r="C677" i="1"/>
  <c r="J841" i="1"/>
  <c r="F836" i="1"/>
  <c r="B831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J761" i="1"/>
  <c r="F756" i="1"/>
  <c r="B751" i="1"/>
  <c r="J745" i="1"/>
  <c r="F740" i="1"/>
  <c r="B735" i="1"/>
  <c r="J729" i="1"/>
  <c r="F724" i="1"/>
  <c r="B719" i="1"/>
  <c r="J713" i="1"/>
  <c r="F708" i="1"/>
  <c r="B703" i="1"/>
  <c r="J697" i="1"/>
  <c r="F692" i="1"/>
  <c r="B687" i="1"/>
  <c r="J681" i="1"/>
  <c r="F676" i="1"/>
  <c r="A84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I755" i="1"/>
  <c r="E750" i="1"/>
  <c r="A745" i="1"/>
  <c r="I739" i="1"/>
  <c r="E734" i="1"/>
  <c r="A729" i="1"/>
  <c r="I723" i="1"/>
  <c r="E718" i="1"/>
  <c r="A713" i="1"/>
  <c r="I707" i="1"/>
  <c r="E702" i="1"/>
  <c r="A697" i="1"/>
  <c r="I691" i="1"/>
  <c r="E686" i="1"/>
  <c r="A681" i="1"/>
  <c r="I675" i="1"/>
  <c r="K670" i="1"/>
  <c r="G665" i="1"/>
  <c r="C660" i="1"/>
  <c r="K654" i="1"/>
  <c r="G649" i="1"/>
  <c r="C644" i="1"/>
  <c r="K638" i="1"/>
  <c r="G633" i="1"/>
  <c r="AV5" i="4"/>
  <c r="C879" i="1"/>
  <c r="L836" i="1"/>
  <c r="L794" i="1"/>
  <c r="H775" i="1"/>
  <c r="D770" i="1"/>
  <c r="L764" i="1"/>
  <c r="H759" i="1"/>
  <c r="D754" i="1"/>
  <c r="L748" i="1"/>
  <c r="H743" i="1"/>
  <c r="D738" i="1"/>
  <c r="L732" i="1"/>
  <c r="H727" i="1"/>
  <c r="D722" i="1"/>
  <c r="L716" i="1"/>
  <c r="H711" i="1"/>
  <c r="D706" i="1"/>
  <c r="L700" i="1"/>
  <c r="H695" i="1"/>
  <c r="D690" i="1"/>
  <c r="L684" i="1"/>
  <c r="H679" i="1"/>
  <c r="D674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G737" i="1"/>
  <c r="C732" i="1"/>
  <c r="K726" i="1"/>
  <c r="G721" i="1"/>
  <c r="C716" i="1"/>
  <c r="K710" i="1"/>
  <c r="G705" i="1"/>
  <c r="C700" i="1"/>
  <c r="K694" i="1"/>
  <c r="G689" i="1"/>
  <c r="C684" i="1"/>
  <c r="K678" i="1"/>
  <c r="G673" i="1"/>
  <c r="J838" i="1"/>
  <c r="F833" i="1"/>
  <c r="B828" i="1"/>
  <c r="J822" i="1"/>
  <c r="F817" i="1"/>
  <c r="B812" i="1"/>
  <c r="J806" i="1"/>
  <c r="F801" i="1"/>
  <c r="B796" i="1"/>
  <c r="J790" i="1"/>
  <c r="F785" i="1"/>
  <c r="B780" i="1"/>
  <c r="J774" i="1"/>
  <c r="F769" i="1"/>
  <c r="B764" i="1"/>
  <c r="J758" i="1"/>
  <c r="F753" i="1"/>
  <c r="B748" i="1"/>
  <c r="J742" i="1"/>
  <c r="F737" i="1"/>
  <c r="B732" i="1"/>
  <c r="J726" i="1"/>
  <c r="F721" i="1"/>
  <c r="B716" i="1"/>
  <c r="J710" i="1"/>
  <c r="F705" i="1"/>
  <c r="B700" i="1"/>
  <c r="J694" i="1"/>
  <c r="F689" i="1"/>
  <c r="B684" i="1"/>
  <c r="J678" i="1"/>
  <c r="F673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I768" i="1"/>
  <c r="E763" i="1"/>
  <c r="A758" i="1"/>
  <c r="I752" i="1"/>
  <c r="E747" i="1"/>
  <c r="A742" i="1"/>
  <c r="I736" i="1"/>
  <c r="E731" i="1"/>
  <c r="A726" i="1"/>
  <c r="I720" i="1"/>
  <c r="E715" i="1"/>
  <c r="A710" i="1"/>
  <c r="I704" i="1"/>
  <c r="E699" i="1"/>
  <c r="A694" i="1"/>
  <c r="I688" i="1"/>
  <c r="E683" i="1"/>
  <c r="A678" i="1"/>
  <c r="I672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H762" i="1"/>
  <c r="D757" i="1"/>
  <c r="L751" i="1"/>
  <c r="H746" i="1"/>
  <c r="D741" i="1"/>
  <c r="L735" i="1"/>
  <c r="H730" i="1"/>
  <c r="D725" i="1"/>
  <c r="L719" i="1"/>
  <c r="H714" i="1"/>
  <c r="D709" i="1"/>
  <c r="L703" i="1"/>
  <c r="H698" i="1"/>
  <c r="D693" i="1"/>
  <c r="L687" i="1"/>
  <c r="H682" i="1"/>
  <c r="D677" i="1"/>
  <c r="K841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K761" i="1"/>
  <c r="G756" i="1"/>
  <c r="C751" i="1"/>
  <c r="K745" i="1"/>
  <c r="G740" i="1"/>
  <c r="C735" i="1"/>
  <c r="K729" i="1"/>
  <c r="G724" i="1"/>
  <c r="C719" i="1"/>
  <c r="K713" i="1"/>
  <c r="G708" i="1"/>
  <c r="C703" i="1"/>
  <c r="K697" i="1"/>
  <c r="G692" i="1"/>
  <c r="C687" i="1"/>
  <c r="K681" i="1"/>
  <c r="G676" i="1"/>
  <c r="B841" i="1"/>
  <c r="J835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B761" i="1"/>
  <c r="J755" i="1"/>
  <c r="F750" i="1"/>
  <c r="B745" i="1"/>
  <c r="J739" i="1"/>
  <c r="F734" i="1"/>
  <c r="B729" i="1"/>
  <c r="J723" i="1"/>
  <c r="F718" i="1"/>
  <c r="B713" i="1"/>
  <c r="J707" i="1"/>
  <c r="F702" i="1"/>
  <c r="B697" i="1"/>
  <c r="J691" i="1"/>
  <c r="F686" i="1"/>
  <c r="B681" i="1"/>
  <c r="J675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A755" i="1"/>
  <c r="I749" i="1"/>
  <c r="E744" i="1"/>
  <c r="A739" i="1"/>
  <c r="I733" i="1"/>
  <c r="E728" i="1"/>
  <c r="A723" i="1"/>
  <c r="I717" i="1"/>
  <c r="E712" i="1"/>
  <c r="A707" i="1"/>
  <c r="I701" i="1"/>
  <c r="E696" i="1"/>
  <c r="A691" i="1"/>
  <c r="I685" i="1"/>
  <c r="E680" i="1"/>
  <c r="A675" i="1"/>
  <c r="C670" i="1"/>
  <c r="K664" i="1"/>
  <c r="G659" i="1"/>
  <c r="C654" i="1"/>
  <c r="K648" i="1"/>
  <c r="G643" i="1"/>
  <c r="C638" i="1"/>
  <c r="K632" i="1"/>
  <c r="EH4" i="4"/>
  <c r="K873" i="1"/>
  <c r="H831" i="1"/>
  <c r="D794" i="1"/>
  <c r="L774" i="1"/>
  <c r="H769" i="1"/>
  <c r="D764" i="1"/>
  <c r="L758" i="1"/>
  <c r="H753" i="1"/>
  <c r="D748" i="1"/>
  <c r="L742" i="1"/>
  <c r="H737" i="1"/>
  <c r="D732" i="1"/>
  <c r="L726" i="1"/>
  <c r="H721" i="1"/>
  <c r="D716" i="1"/>
  <c r="L710" i="1"/>
  <c r="H705" i="1"/>
  <c r="D700" i="1"/>
  <c r="L694" i="1"/>
  <c r="H689" i="1"/>
  <c r="D684" i="1"/>
  <c r="L678" i="1"/>
  <c r="H673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K736" i="1"/>
  <c r="G731" i="1"/>
  <c r="C726" i="1"/>
  <c r="K720" i="1"/>
  <c r="G715" i="1"/>
  <c r="C710" i="1"/>
  <c r="K704" i="1"/>
  <c r="G699" i="1"/>
  <c r="C694" i="1"/>
  <c r="K688" i="1"/>
  <c r="G683" i="1"/>
  <c r="C678" i="1"/>
  <c r="K672" i="1"/>
  <c r="B838" i="1"/>
  <c r="J832" i="1"/>
  <c r="F827" i="1"/>
  <c r="B822" i="1"/>
  <c r="J816" i="1"/>
  <c r="F811" i="1"/>
  <c r="B806" i="1"/>
  <c r="J800" i="1"/>
  <c r="F795" i="1"/>
  <c r="B790" i="1"/>
  <c r="J784" i="1"/>
  <c r="F779" i="1"/>
  <c r="B774" i="1"/>
  <c r="J768" i="1"/>
  <c r="F763" i="1"/>
  <c r="B758" i="1"/>
  <c r="J752" i="1"/>
  <c r="F747" i="1"/>
  <c r="B742" i="1"/>
  <c r="J736" i="1"/>
  <c r="F731" i="1"/>
  <c r="B726" i="1"/>
  <c r="J720" i="1"/>
  <c r="F715" i="1"/>
  <c r="B710" i="1"/>
  <c r="J704" i="1"/>
  <c r="F699" i="1"/>
  <c r="B694" i="1"/>
  <c r="J688" i="1"/>
  <c r="F683" i="1"/>
  <c r="B678" i="1"/>
  <c r="J672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I762" i="1"/>
  <c r="E757" i="1"/>
  <c r="A752" i="1"/>
  <c r="I746" i="1"/>
  <c r="E741" i="1"/>
  <c r="A736" i="1"/>
  <c r="I730" i="1"/>
  <c r="E725" i="1"/>
  <c r="A720" i="1"/>
  <c r="I714" i="1"/>
  <c r="E709" i="1"/>
  <c r="A704" i="1"/>
  <c r="I698" i="1"/>
  <c r="E693" i="1"/>
  <c r="A688" i="1"/>
  <c r="I682" i="1"/>
  <c r="E677" i="1"/>
  <c r="L841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L761" i="1"/>
  <c r="H756" i="1"/>
  <c r="D751" i="1"/>
  <c r="L745" i="1"/>
  <c r="H740" i="1"/>
  <c r="D735" i="1"/>
  <c r="L729" i="1"/>
  <c r="H724" i="1"/>
  <c r="D719" i="1"/>
  <c r="L713" i="1"/>
  <c r="H708" i="1"/>
  <c r="D703" i="1"/>
  <c r="L697" i="1"/>
  <c r="H692" i="1"/>
  <c r="D687" i="1"/>
  <c r="L681" i="1"/>
  <c r="H67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C761" i="1"/>
  <c r="K755" i="1"/>
  <c r="G750" i="1"/>
  <c r="C745" i="1"/>
  <c r="K739" i="1"/>
  <c r="G734" i="1"/>
  <c r="C729" i="1"/>
  <c r="K723" i="1"/>
  <c r="G718" i="1"/>
  <c r="C713" i="1"/>
  <c r="K707" i="1"/>
  <c r="G702" i="1"/>
  <c r="C697" i="1"/>
  <c r="K691" i="1"/>
  <c r="G686" i="1"/>
  <c r="C681" i="1"/>
  <c r="K675" i="1"/>
  <c r="F840" i="1"/>
  <c r="B835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F760" i="1"/>
  <c r="B755" i="1"/>
  <c r="J749" i="1"/>
  <c r="F744" i="1"/>
  <c r="B739" i="1"/>
  <c r="J733" i="1"/>
  <c r="F728" i="1"/>
  <c r="B723" i="1"/>
  <c r="J717" i="1"/>
  <c r="F712" i="1"/>
  <c r="B707" i="1"/>
  <c r="J701" i="1"/>
  <c r="F696" i="1"/>
  <c r="B691" i="1"/>
  <c r="J685" i="1"/>
  <c r="F680" i="1"/>
  <c r="B675" i="1"/>
  <c r="I83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E754" i="1"/>
  <c r="A749" i="1"/>
  <c r="I743" i="1"/>
  <c r="E738" i="1"/>
  <c r="A733" i="1"/>
  <c r="I727" i="1"/>
  <c r="E722" i="1"/>
  <c r="A717" i="1"/>
  <c r="I711" i="1"/>
  <c r="E706" i="1"/>
  <c r="A701" i="1"/>
  <c r="I695" i="1"/>
  <c r="E690" i="1"/>
  <c r="A685" i="1"/>
  <c r="I679" i="1"/>
  <c r="E674" i="1"/>
  <c r="G669" i="1"/>
  <c r="C664" i="1"/>
  <c r="K658" i="1"/>
  <c r="G653" i="1"/>
  <c r="C648" i="1"/>
  <c r="K642" i="1"/>
  <c r="G637" i="1"/>
  <c r="C632" i="1"/>
  <c r="K630" i="1"/>
  <c r="G625" i="1"/>
  <c r="C620" i="1"/>
  <c r="K614" i="1"/>
  <c r="G609" i="1"/>
  <c r="C604" i="1"/>
  <c r="K598" i="1"/>
  <c r="G593" i="1"/>
  <c r="C588" i="1"/>
  <c r="K582" i="1"/>
  <c r="G577" i="1"/>
  <c r="C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F593" i="1"/>
  <c r="B588" i="1"/>
  <c r="J582" i="1"/>
  <c r="F577" i="1"/>
  <c r="B572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J502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A598" i="1"/>
  <c r="I592" i="1"/>
  <c r="E587" i="1"/>
  <c r="A582" i="1"/>
  <c r="I576" i="1"/>
  <c r="E571" i="1"/>
  <c r="A566" i="1"/>
  <c r="I560" i="1"/>
  <c r="E555" i="1"/>
  <c r="A550" i="1"/>
  <c r="I544" i="1"/>
  <c r="E539" i="1"/>
  <c r="A534" i="1"/>
  <c r="I528" i="1"/>
  <c r="E523" i="1"/>
  <c r="A518" i="1"/>
  <c r="I512" i="1"/>
  <c r="E507" i="1"/>
  <c r="L671" i="1"/>
  <c r="H666" i="1"/>
  <c r="D661" i="1"/>
  <c r="L655" i="1"/>
  <c r="H650" i="1"/>
  <c r="D645" i="1"/>
  <c r="L639" i="1"/>
  <c r="H634" i="1"/>
  <c r="D629" i="1"/>
  <c r="L623" i="1"/>
  <c r="H618" i="1"/>
  <c r="D613" i="1"/>
  <c r="L607" i="1"/>
  <c r="H602" i="1"/>
  <c r="D597" i="1"/>
  <c r="L591" i="1"/>
  <c r="H586" i="1"/>
  <c r="D581" i="1"/>
  <c r="L575" i="1"/>
  <c r="H570" i="1"/>
  <c r="D565" i="1"/>
  <c r="L559" i="1"/>
  <c r="H554" i="1"/>
  <c r="D549" i="1"/>
  <c r="L543" i="1"/>
  <c r="H538" i="1"/>
  <c r="D533" i="1"/>
  <c r="L527" i="1"/>
  <c r="H522" i="1"/>
  <c r="D517" i="1"/>
  <c r="L511" i="1"/>
  <c r="H506" i="1"/>
  <c r="C671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K601" i="1"/>
  <c r="G596" i="1"/>
  <c r="C591" i="1"/>
  <c r="K585" i="1"/>
  <c r="G580" i="1"/>
  <c r="C575" i="1"/>
  <c r="K569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F670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B601" i="1"/>
  <c r="J595" i="1"/>
  <c r="F590" i="1"/>
  <c r="B585" i="1"/>
  <c r="J579" i="1"/>
  <c r="F574" i="1"/>
  <c r="B569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I669" i="1"/>
  <c r="E664" i="1"/>
  <c r="A659" i="1"/>
  <c r="I653" i="1"/>
  <c r="E648" i="1"/>
  <c r="A643" i="1"/>
  <c r="I637" i="1"/>
  <c r="E632" i="1"/>
  <c r="A627" i="1"/>
  <c r="I621" i="1"/>
  <c r="E616" i="1"/>
  <c r="A611" i="1"/>
  <c r="I605" i="1"/>
  <c r="E600" i="1"/>
  <c r="A595" i="1"/>
  <c r="I589" i="1"/>
  <c r="E584" i="1"/>
  <c r="A579" i="1"/>
  <c r="I573" i="1"/>
  <c r="E568" i="1"/>
  <c r="A563" i="1"/>
  <c r="I557" i="1"/>
  <c r="E552" i="1"/>
  <c r="A547" i="1"/>
  <c r="I541" i="1"/>
  <c r="E536" i="1"/>
  <c r="A531" i="1"/>
  <c r="I525" i="1"/>
  <c r="E520" i="1"/>
  <c r="A515" i="1"/>
  <c r="I509" i="1"/>
  <c r="E504" i="1"/>
  <c r="L668" i="1"/>
  <c r="H663" i="1"/>
  <c r="D658" i="1"/>
  <c r="L652" i="1"/>
  <c r="H647" i="1"/>
  <c r="D642" i="1"/>
  <c r="L636" i="1"/>
  <c r="H631" i="1"/>
  <c r="D626" i="1"/>
  <c r="L620" i="1"/>
  <c r="H615" i="1"/>
  <c r="D610" i="1"/>
  <c r="L604" i="1"/>
  <c r="H599" i="1"/>
  <c r="D594" i="1"/>
  <c r="L588" i="1"/>
  <c r="H583" i="1"/>
  <c r="D578" i="1"/>
  <c r="L572" i="1"/>
  <c r="H567" i="1"/>
  <c r="D562" i="1"/>
  <c r="L556" i="1"/>
  <c r="H551" i="1"/>
  <c r="D546" i="1"/>
  <c r="L540" i="1"/>
  <c r="H535" i="1"/>
  <c r="D530" i="1"/>
  <c r="L524" i="1"/>
  <c r="H519" i="1"/>
  <c r="D514" i="1"/>
  <c r="L508" i="1"/>
  <c r="H503" i="1"/>
  <c r="J498" i="1"/>
  <c r="F493" i="1"/>
  <c r="B488" i="1"/>
  <c r="J482" i="1"/>
  <c r="F477" i="1"/>
  <c r="B472" i="1"/>
  <c r="J466" i="1"/>
  <c r="F461" i="1"/>
  <c r="C630" i="1"/>
  <c r="K624" i="1"/>
  <c r="G619" i="1"/>
  <c r="C614" i="1"/>
  <c r="K608" i="1"/>
  <c r="G603" i="1"/>
  <c r="C598" i="1"/>
  <c r="K592" i="1"/>
  <c r="G587" i="1"/>
  <c r="C582" i="1"/>
  <c r="K576" i="1"/>
  <c r="G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J592" i="1"/>
  <c r="F587" i="1"/>
  <c r="B582" i="1"/>
  <c r="J576" i="1"/>
  <c r="F571" i="1"/>
  <c r="B566" i="1"/>
  <c r="J560" i="1"/>
  <c r="F555" i="1"/>
  <c r="B550" i="1"/>
  <c r="J544" i="1"/>
  <c r="F539" i="1"/>
  <c r="B534" i="1"/>
  <c r="J528" i="1"/>
  <c r="F523" i="1"/>
  <c r="B518" i="1"/>
  <c r="J512" i="1"/>
  <c r="F507" i="1"/>
  <c r="A672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E597" i="1"/>
  <c r="A592" i="1"/>
  <c r="I586" i="1"/>
  <c r="E581" i="1"/>
  <c r="A576" i="1"/>
  <c r="I570" i="1"/>
  <c r="E565" i="1"/>
  <c r="A560" i="1"/>
  <c r="I554" i="1"/>
  <c r="E549" i="1"/>
  <c r="A544" i="1"/>
  <c r="I538" i="1"/>
  <c r="E533" i="1"/>
  <c r="A528" i="1"/>
  <c r="I522" i="1"/>
  <c r="E517" i="1"/>
  <c r="A512" i="1"/>
  <c r="I506" i="1"/>
  <c r="D671" i="1"/>
  <c r="L665" i="1"/>
  <c r="H660" i="1"/>
  <c r="D655" i="1"/>
  <c r="L649" i="1"/>
  <c r="H644" i="1"/>
  <c r="D639" i="1"/>
  <c r="L633" i="1"/>
  <c r="H628" i="1"/>
  <c r="D623" i="1"/>
  <c r="L617" i="1"/>
  <c r="H612" i="1"/>
  <c r="D607" i="1"/>
  <c r="L601" i="1"/>
  <c r="H596" i="1"/>
  <c r="D591" i="1"/>
  <c r="L585" i="1"/>
  <c r="H580" i="1"/>
  <c r="D575" i="1"/>
  <c r="L569" i="1"/>
  <c r="H564" i="1"/>
  <c r="D559" i="1"/>
  <c r="L553" i="1"/>
  <c r="H548" i="1"/>
  <c r="D543" i="1"/>
  <c r="L537" i="1"/>
  <c r="H532" i="1"/>
  <c r="D527" i="1"/>
  <c r="L521" i="1"/>
  <c r="H516" i="1"/>
  <c r="D511" i="1"/>
  <c r="L505" i="1"/>
  <c r="G670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C601" i="1"/>
  <c r="K595" i="1"/>
  <c r="G590" i="1"/>
  <c r="C585" i="1"/>
  <c r="K579" i="1"/>
  <c r="G574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J669" i="1"/>
  <c r="F664" i="1"/>
  <c r="B659" i="1"/>
  <c r="J653" i="1"/>
  <c r="F648" i="1"/>
  <c r="B643" i="1"/>
  <c r="J637" i="1"/>
  <c r="F632" i="1"/>
  <c r="B627" i="1"/>
  <c r="J621" i="1"/>
  <c r="F616" i="1"/>
  <c r="B611" i="1"/>
  <c r="J605" i="1"/>
  <c r="F600" i="1"/>
  <c r="B595" i="1"/>
  <c r="J589" i="1"/>
  <c r="F584" i="1"/>
  <c r="B579" i="1"/>
  <c r="J573" i="1"/>
  <c r="F568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A669" i="1"/>
  <c r="I663" i="1"/>
  <c r="E658" i="1"/>
  <c r="A653" i="1"/>
  <c r="I647" i="1"/>
  <c r="E642" i="1"/>
  <c r="A637" i="1"/>
  <c r="I631" i="1"/>
  <c r="E626" i="1"/>
  <c r="A621" i="1"/>
  <c r="I615" i="1"/>
  <c r="E610" i="1"/>
  <c r="A605" i="1"/>
  <c r="I599" i="1"/>
  <c r="E594" i="1"/>
  <c r="A589" i="1"/>
  <c r="I583" i="1"/>
  <c r="E578" i="1"/>
  <c r="A573" i="1"/>
  <c r="I567" i="1"/>
  <c r="E562" i="1"/>
  <c r="A557" i="1"/>
  <c r="I551" i="1"/>
  <c r="E546" i="1"/>
  <c r="A541" i="1"/>
  <c r="I535" i="1"/>
  <c r="E530" i="1"/>
  <c r="A525" i="1"/>
  <c r="I519" i="1"/>
  <c r="E514" i="1"/>
  <c r="A509" i="1"/>
  <c r="I503" i="1"/>
  <c r="D668" i="1"/>
  <c r="L662" i="1"/>
  <c r="H657" i="1"/>
  <c r="D652" i="1"/>
  <c r="L646" i="1"/>
  <c r="H641" i="1"/>
  <c r="D636" i="1"/>
  <c r="L630" i="1"/>
  <c r="H625" i="1"/>
  <c r="D620" i="1"/>
  <c r="L614" i="1"/>
  <c r="H609" i="1"/>
  <c r="D604" i="1"/>
  <c r="L598" i="1"/>
  <c r="H593" i="1"/>
  <c r="D588" i="1"/>
  <c r="L582" i="1"/>
  <c r="H577" i="1"/>
  <c r="D572" i="1"/>
  <c r="L566" i="1"/>
  <c r="H561" i="1"/>
  <c r="D556" i="1"/>
  <c r="L550" i="1"/>
  <c r="H545" i="1"/>
  <c r="D540" i="1"/>
  <c r="L534" i="1"/>
  <c r="H529" i="1"/>
  <c r="D524" i="1"/>
  <c r="L518" i="1"/>
  <c r="H513" i="1"/>
  <c r="D508" i="1"/>
  <c r="L502" i="1"/>
  <c r="B498" i="1"/>
  <c r="J492" i="1"/>
  <c r="F487" i="1"/>
  <c r="B482" i="1"/>
  <c r="J476" i="1"/>
  <c r="F471" i="1"/>
  <c r="B466" i="1"/>
  <c r="J460" i="1"/>
  <c r="G629" i="1"/>
  <c r="C624" i="1"/>
  <c r="K618" i="1"/>
  <c r="G613" i="1"/>
  <c r="C608" i="1"/>
  <c r="K602" i="1"/>
  <c r="G597" i="1"/>
  <c r="C592" i="1"/>
  <c r="K586" i="1"/>
  <c r="G581" i="1"/>
  <c r="C576" i="1"/>
  <c r="K570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B672" i="1"/>
  <c r="J666" i="1"/>
  <c r="F661" i="1"/>
  <c r="B656" i="1"/>
  <c r="J650" i="1"/>
  <c r="F645" i="1"/>
  <c r="B640" i="1"/>
  <c r="J634" i="1"/>
  <c r="F629" i="1"/>
  <c r="B624" i="1"/>
  <c r="J618" i="1"/>
  <c r="F613" i="1"/>
  <c r="B608" i="1"/>
  <c r="J602" i="1"/>
  <c r="F597" i="1"/>
  <c r="B592" i="1"/>
  <c r="J586" i="1"/>
  <c r="F581" i="1"/>
  <c r="B576" i="1"/>
  <c r="J570" i="1"/>
  <c r="F565" i="1"/>
  <c r="B560" i="1"/>
  <c r="J554" i="1"/>
  <c r="F549" i="1"/>
  <c r="B544" i="1"/>
  <c r="J538" i="1"/>
  <c r="F533" i="1"/>
  <c r="B528" i="1"/>
  <c r="J522" i="1"/>
  <c r="F517" i="1"/>
  <c r="B512" i="1"/>
  <c r="J506" i="1"/>
  <c r="E671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I596" i="1"/>
  <c r="E591" i="1"/>
  <c r="A586" i="1"/>
  <c r="I580" i="1"/>
  <c r="E575" i="1"/>
  <c r="A570" i="1"/>
  <c r="I564" i="1"/>
  <c r="E559" i="1"/>
  <c r="A554" i="1"/>
  <c r="I548" i="1"/>
  <c r="E543" i="1"/>
  <c r="A538" i="1"/>
  <c r="I532" i="1"/>
  <c r="E527" i="1"/>
  <c r="A522" i="1"/>
  <c r="I516" i="1"/>
  <c r="E511" i="1"/>
  <c r="A506" i="1"/>
  <c r="H670" i="1"/>
  <c r="D665" i="1"/>
  <c r="L659" i="1"/>
  <c r="H654" i="1"/>
  <c r="D649" i="1"/>
  <c r="L643" i="1"/>
  <c r="H638" i="1"/>
  <c r="D633" i="1"/>
  <c r="L627" i="1"/>
  <c r="H622" i="1"/>
  <c r="D617" i="1"/>
  <c r="L611" i="1"/>
  <c r="H606" i="1"/>
  <c r="D601" i="1"/>
  <c r="L595" i="1"/>
  <c r="H590" i="1"/>
  <c r="D585" i="1"/>
  <c r="L579" i="1"/>
  <c r="H574" i="1"/>
  <c r="D569" i="1"/>
  <c r="L563" i="1"/>
  <c r="H558" i="1"/>
  <c r="D553" i="1"/>
  <c r="L547" i="1"/>
  <c r="H542" i="1"/>
  <c r="D537" i="1"/>
  <c r="L531" i="1"/>
  <c r="H526" i="1"/>
  <c r="D521" i="1"/>
  <c r="L515" i="1"/>
  <c r="H510" i="1"/>
  <c r="D505" i="1"/>
  <c r="K669" i="1"/>
  <c r="G664" i="1"/>
  <c r="C659" i="1"/>
  <c r="K653" i="1"/>
  <c r="G648" i="1"/>
  <c r="C643" i="1"/>
  <c r="K637" i="1"/>
  <c r="G632" i="1"/>
  <c r="C627" i="1"/>
  <c r="K621" i="1"/>
  <c r="G616" i="1"/>
  <c r="C611" i="1"/>
  <c r="K605" i="1"/>
  <c r="G600" i="1"/>
  <c r="C595" i="1"/>
  <c r="K589" i="1"/>
  <c r="G584" i="1"/>
  <c r="C579" i="1"/>
  <c r="K573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B669" i="1"/>
  <c r="J663" i="1"/>
  <c r="F658" i="1"/>
  <c r="B653" i="1"/>
  <c r="J647" i="1"/>
  <c r="F642" i="1"/>
  <c r="B637" i="1"/>
  <c r="J631" i="1"/>
  <c r="F626" i="1"/>
  <c r="B621" i="1"/>
  <c r="J615" i="1"/>
  <c r="F610" i="1"/>
  <c r="B605" i="1"/>
  <c r="J599" i="1"/>
  <c r="F594" i="1"/>
  <c r="B589" i="1"/>
  <c r="J583" i="1"/>
  <c r="F578" i="1"/>
  <c r="B573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E668" i="1"/>
  <c r="A663" i="1"/>
  <c r="I657" i="1"/>
  <c r="E652" i="1"/>
  <c r="A647" i="1"/>
  <c r="I641" i="1"/>
  <c r="E636" i="1"/>
  <c r="A631" i="1"/>
  <c r="I625" i="1"/>
  <c r="E620" i="1"/>
  <c r="A615" i="1"/>
  <c r="I609" i="1"/>
  <c r="E604" i="1"/>
  <c r="A599" i="1"/>
  <c r="I593" i="1"/>
  <c r="E588" i="1"/>
  <c r="A583" i="1"/>
  <c r="I577" i="1"/>
  <c r="E572" i="1"/>
  <c r="A567" i="1"/>
  <c r="I561" i="1"/>
  <c r="E556" i="1"/>
  <c r="A551" i="1"/>
  <c r="I545" i="1"/>
  <c r="E540" i="1"/>
  <c r="A535" i="1"/>
  <c r="I529" i="1"/>
  <c r="E524" i="1"/>
  <c r="A519" i="1"/>
  <c r="I513" i="1"/>
  <c r="E508" i="1"/>
  <c r="A503" i="1"/>
  <c r="H667" i="1"/>
  <c r="D662" i="1"/>
  <c r="L656" i="1"/>
  <c r="H651" i="1"/>
  <c r="D646" i="1"/>
  <c r="L640" i="1"/>
  <c r="H635" i="1"/>
  <c r="D630" i="1"/>
  <c r="L624" i="1"/>
  <c r="H619" i="1"/>
  <c r="D614" i="1"/>
  <c r="L608" i="1"/>
  <c r="H603" i="1"/>
  <c r="D598" i="1"/>
  <c r="L592" i="1"/>
  <c r="H587" i="1"/>
  <c r="D582" i="1"/>
  <c r="L576" i="1"/>
  <c r="H571" i="1"/>
  <c r="D566" i="1"/>
  <c r="L560" i="1"/>
  <c r="H555" i="1"/>
  <c r="D550" i="1"/>
  <c r="L544" i="1"/>
  <c r="H539" i="1"/>
  <c r="D534" i="1"/>
  <c r="L528" i="1"/>
  <c r="H523" i="1"/>
  <c r="D518" i="1"/>
  <c r="L512" i="1"/>
  <c r="H507" i="1"/>
  <c r="D502" i="1"/>
  <c r="F497" i="1"/>
  <c r="B492" i="1"/>
  <c r="J486" i="1"/>
  <c r="F481" i="1"/>
  <c r="B476" i="1"/>
  <c r="J470" i="1"/>
  <c r="F465" i="1"/>
  <c r="K628" i="1"/>
  <c r="G623" i="1"/>
  <c r="C618" i="1"/>
  <c r="K612" i="1"/>
  <c r="G607" i="1"/>
  <c r="C602" i="1"/>
  <c r="K596" i="1"/>
  <c r="G591" i="1"/>
  <c r="C586" i="1"/>
  <c r="K580" i="1"/>
  <c r="G575" i="1"/>
  <c r="C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J596" i="1"/>
  <c r="F591" i="1"/>
  <c r="B586" i="1"/>
  <c r="J580" i="1"/>
  <c r="F575" i="1"/>
  <c r="B570" i="1"/>
  <c r="J564" i="1"/>
  <c r="F559" i="1"/>
  <c r="B554" i="1"/>
  <c r="J548" i="1"/>
  <c r="F543" i="1"/>
  <c r="B538" i="1"/>
  <c r="J532" i="1"/>
  <c r="F527" i="1"/>
  <c r="B522" i="1"/>
  <c r="J516" i="1"/>
  <c r="F511" i="1"/>
  <c r="B506" i="1"/>
  <c r="I67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A596" i="1"/>
  <c r="I590" i="1"/>
  <c r="E585" i="1"/>
  <c r="A580" i="1"/>
  <c r="I574" i="1"/>
  <c r="E569" i="1"/>
  <c r="A564" i="1"/>
  <c r="I558" i="1"/>
  <c r="E553" i="1"/>
  <c r="A548" i="1"/>
  <c r="I542" i="1"/>
  <c r="E537" i="1"/>
  <c r="A532" i="1"/>
  <c r="I526" i="1"/>
  <c r="E521" i="1"/>
  <c r="A516" i="1"/>
  <c r="I510" i="1"/>
  <c r="E505" i="1"/>
  <c r="L669" i="1"/>
  <c r="H664" i="1"/>
  <c r="D659" i="1"/>
  <c r="L653" i="1"/>
  <c r="H648" i="1"/>
  <c r="D643" i="1"/>
  <c r="L637" i="1"/>
  <c r="H632" i="1"/>
  <c r="D627" i="1"/>
  <c r="L621" i="1"/>
  <c r="H616" i="1"/>
  <c r="D611" i="1"/>
  <c r="L605" i="1"/>
  <c r="H600" i="1"/>
  <c r="D595" i="1"/>
  <c r="L589" i="1"/>
  <c r="H584" i="1"/>
  <c r="D579" i="1"/>
  <c r="L573" i="1"/>
  <c r="H568" i="1"/>
  <c r="D563" i="1"/>
  <c r="L557" i="1"/>
  <c r="H552" i="1"/>
  <c r="D547" i="1"/>
  <c r="L541" i="1"/>
  <c r="H536" i="1"/>
  <c r="D531" i="1"/>
  <c r="L525" i="1"/>
  <c r="H520" i="1"/>
  <c r="D515" i="1"/>
  <c r="L509" i="1"/>
  <c r="H504" i="1"/>
  <c r="C669" i="1"/>
  <c r="K663" i="1"/>
  <c r="G658" i="1"/>
  <c r="C653" i="1"/>
  <c r="K647" i="1"/>
  <c r="G642" i="1"/>
  <c r="C637" i="1"/>
  <c r="K631" i="1"/>
  <c r="G626" i="1"/>
  <c r="C621" i="1"/>
  <c r="K615" i="1"/>
  <c r="G610" i="1"/>
  <c r="C605" i="1"/>
  <c r="K599" i="1"/>
  <c r="G594" i="1"/>
  <c r="C589" i="1"/>
  <c r="K583" i="1"/>
  <c r="G578" i="1"/>
  <c r="C573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F668" i="1"/>
  <c r="B663" i="1"/>
  <c r="J657" i="1"/>
  <c r="F652" i="1"/>
  <c r="B647" i="1"/>
  <c r="J641" i="1"/>
  <c r="F636" i="1"/>
  <c r="B631" i="1"/>
  <c r="J625" i="1"/>
  <c r="F620" i="1"/>
  <c r="B615" i="1"/>
  <c r="J609" i="1"/>
  <c r="F604" i="1"/>
  <c r="B599" i="1"/>
  <c r="J593" i="1"/>
  <c r="F588" i="1"/>
  <c r="B583" i="1"/>
  <c r="J577" i="1"/>
  <c r="F572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I667" i="1"/>
  <c r="E662" i="1"/>
  <c r="A657" i="1"/>
  <c r="I651" i="1"/>
  <c r="E646" i="1"/>
  <c r="A641" i="1"/>
  <c r="I635" i="1"/>
  <c r="E630" i="1"/>
  <c r="A625" i="1"/>
  <c r="I619" i="1"/>
  <c r="E614" i="1"/>
  <c r="A609" i="1"/>
  <c r="I603" i="1"/>
  <c r="E598" i="1"/>
  <c r="A593" i="1"/>
  <c r="I587" i="1"/>
  <c r="E582" i="1"/>
  <c r="A577" i="1"/>
  <c r="I571" i="1"/>
  <c r="E566" i="1"/>
  <c r="A561" i="1"/>
  <c r="I555" i="1"/>
  <c r="E550" i="1"/>
  <c r="A545" i="1"/>
  <c r="I539" i="1"/>
  <c r="E534" i="1"/>
  <c r="A529" i="1"/>
  <c r="I523" i="1"/>
  <c r="E518" i="1"/>
  <c r="A513" i="1"/>
  <c r="I507" i="1"/>
  <c r="E502" i="1"/>
  <c r="L666" i="1"/>
  <c r="H661" i="1"/>
  <c r="D656" i="1"/>
  <c r="L650" i="1"/>
  <c r="H645" i="1"/>
  <c r="D640" i="1"/>
  <c r="L634" i="1"/>
  <c r="H629" i="1"/>
  <c r="D624" i="1"/>
  <c r="L618" i="1"/>
  <c r="H613" i="1"/>
  <c r="D608" i="1"/>
  <c r="L602" i="1"/>
  <c r="H597" i="1"/>
  <c r="D592" i="1"/>
  <c r="L586" i="1"/>
  <c r="H581" i="1"/>
  <c r="D576" i="1"/>
  <c r="L570" i="1"/>
  <c r="H565" i="1"/>
  <c r="D560" i="1"/>
  <c r="L554" i="1"/>
  <c r="H549" i="1"/>
  <c r="D544" i="1"/>
  <c r="L538" i="1"/>
  <c r="H533" i="1"/>
  <c r="D528" i="1"/>
  <c r="L522" i="1"/>
  <c r="H517" i="1"/>
  <c r="D512" i="1"/>
  <c r="L506" i="1"/>
  <c r="B502" i="1"/>
  <c r="J496" i="1"/>
  <c r="F491" i="1"/>
  <c r="B486" i="1"/>
  <c r="J480" i="1"/>
  <c r="F475" i="1"/>
  <c r="B470" i="1"/>
  <c r="J464" i="1"/>
  <c r="C628" i="1"/>
  <c r="K622" i="1"/>
  <c r="G617" i="1"/>
  <c r="C612" i="1"/>
  <c r="K606" i="1"/>
  <c r="G601" i="1"/>
  <c r="C596" i="1"/>
  <c r="K590" i="1"/>
  <c r="G585" i="1"/>
  <c r="C580" i="1"/>
  <c r="K574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B596" i="1"/>
  <c r="J590" i="1"/>
  <c r="F585" i="1"/>
  <c r="B580" i="1"/>
  <c r="J574" i="1"/>
  <c r="F569" i="1"/>
  <c r="B564" i="1"/>
  <c r="J558" i="1"/>
  <c r="F553" i="1"/>
  <c r="B548" i="1"/>
  <c r="J542" i="1"/>
  <c r="F537" i="1"/>
  <c r="B532" i="1"/>
  <c r="J526" i="1"/>
  <c r="F521" i="1"/>
  <c r="B516" i="1"/>
  <c r="J510" i="1"/>
  <c r="F505" i="1"/>
  <c r="A670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E595" i="1"/>
  <c r="A590" i="1"/>
  <c r="I584" i="1"/>
  <c r="E579" i="1"/>
  <c r="A574" i="1"/>
  <c r="I568" i="1"/>
  <c r="E563" i="1"/>
  <c r="A558" i="1"/>
  <c r="I552" i="1"/>
  <c r="E547" i="1"/>
  <c r="A542" i="1"/>
  <c r="I536" i="1"/>
  <c r="E531" i="1"/>
  <c r="A526" i="1"/>
  <c r="I520" i="1"/>
  <c r="E515" i="1"/>
  <c r="A510" i="1"/>
  <c r="I504" i="1"/>
  <c r="D669" i="1"/>
  <c r="L663" i="1"/>
  <c r="H658" i="1"/>
  <c r="D653" i="1"/>
  <c r="L647" i="1"/>
  <c r="H642" i="1"/>
  <c r="D637" i="1"/>
  <c r="L631" i="1"/>
  <c r="H626" i="1"/>
  <c r="D621" i="1"/>
  <c r="L615" i="1"/>
  <c r="H610" i="1"/>
  <c r="D605" i="1"/>
  <c r="L599" i="1"/>
  <c r="H594" i="1"/>
  <c r="D589" i="1"/>
  <c r="L583" i="1"/>
  <c r="H578" i="1"/>
  <c r="D573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L503" i="1"/>
  <c r="G668" i="1"/>
  <c r="C663" i="1"/>
  <c r="K657" i="1"/>
  <c r="G652" i="1"/>
  <c r="C647" i="1"/>
  <c r="K641" i="1"/>
  <c r="G636" i="1"/>
  <c r="C631" i="1"/>
  <c r="K625" i="1"/>
  <c r="G620" i="1"/>
  <c r="C615" i="1"/>
  <c r="K609" i="1"/>
  <c r="G604" i="1"/>
  <c r="C599" i="1"/>
  <c r="K593" i="1"/>
  <c r="G588" i="1"/>
  <c r="C583" i="1"/>
  <c r="K577" i="1"/>
  <c r="G572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C503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03" i="1"/>
  <c r="F598" i="1"/>
  <c r="B593" i="1"/>
  <c r="J587" i="1"/>
  <c r="F582" i="1"/>
  <c r="B577" i="1"/>
  <c r="J571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A667" i="1"/>
  <c r="I661" i="1"/>
  <c r="E656" i="1"/>
  <c r="A651" i="1"/>
  <c r="I645" i="1"/>
  <c r="E640" i="1"/>
  <c r="A635" i="1"/>
  <c r="I629" i="1"/>
  <c r="E624" i="1"/>
  <c r="A619" i="1"/>
  <c r="I613" i="1"/>
  <c r="E608" i="1"/>
  <c r="A603" i="1"/>
  <c r="I597" i="1"/>
  <c r="E592" i="1"/>
  <c r="A587" i="1"/>
  <c r="I581" i="1"/>
  <c r="E576" i="1"/>
  <c r="A571" i="1"/>
  <c r="I565" i="1"/>
  <c r="E560" i="1"/>
  <c r="A555" i="1"/>
  <c r="I549" i="1"/>
  <c r="E544" i="1"/>
  <c r="A539" i="1"/>
  <c r="I533" i="1"/>
  <c r="E528" i="1"/>
  <c r="A523" i="1"/>
  <c r="I517" i="1"/>
  <c r="E512" i="1"/>
  <c r="A507" i="1"/>
  <c r="H671" i="1"/>
  <c r="D666" i="1"/>
  <c r="L660" i="1"/>
  <c r="H655" i="1"/>
  <c r="D650" i="1"/>
  <c r="L644" i="1"/>
  <c r="H639" i="1"/>
  <c r="D634" i="1"/>
  <c r="L628" i="1"/>
  <c r="H623" i="1"/>
  <c r="D618" i="1"/>
  <c r="L612" i="1"/>
  <c r="H607" i="1"/>
  <c r="D602" i="1"/>
  <c r="L596" i="1"/>
  <c r="H591" i="1"/>
  <c r="D586" i="1"/>
  <c r="L580" i="1"/>
  <c r="H575" i="1"/>
  <c r="D570" i="1"/>
  <c r="L564" i="1"/>
  <c r="H559" i="1"/>
  <c r="D554" i="1"/>
  <c r="L548" i="1"/>
  <c r="H543" i="1"/>
  <c r="D538" i="1"/>
  <c r="L532" i="1"/>
  <c r="H527" i="1"/>
  <c r="D522" i="1"/>
  <c r="L516" i="1"/>
  <c r="H511" i="1"/>
  <c r="D506" i="1"/>
  <c r="F501" i="1"/>
  <c r="B496" i="1"/>
  <c r="J490" i="1"/>
  <c r="F485" i="1"/>
  <c r="B480" i="1"/>
  <c r="J474" i="1"/>
  <c r="F469" i="1"/>
  <c r="B464" i="1"/>
  <c r="G627" i="1"/>
  <c r="C622" i="1"/>
  <c r="K616" i="1"/>
  <c r="G611" i="1"/>
  <c r="C606" i="1"/>
  <c r="K600" i="1"/>
  <c r="G595" i="1"/>
  <c r="C590" i="1"/>
  <c r="K584" i="1"/>
  <c r="G579" i="1"/>
  <c r="C574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F595" i="1"/>
  <c r="B590" i="1"/>
  <c r="J584" i="1"/>
  <c r="F579" i="1"/>
  <c r="B574" i="1"/>
  <c r="J568" i="1"/>
  <c r="F563" i="1"/>
  <c r="B558" i="1"/>
  <c r="J552" i="1"/>
  <c r="F547" i="1"/>
  <c r="B542" i="1"/>
  <c r="J536" i="1"/>
  <c r="F531" i="1"/>
  <c r="B526" i="1"/>
  <c r="J520" i="1"/>
  <c r="F515" i="1"/>
  <c r="B510" i="1"/>
  <c r="J504" i="1"/>
  <c r="E669" i="1"/>
  <c r="A664" i="1"/>
  <c r="I658" i="1"/>
  <c r="E653" i="1"/>
  <c r="A648" i="1"/>
  <c r="I642" i="1"/>
  <c r="E637" i="1"/>
  <c r="A632" i="1"/>
  <c r="I626" i="1"/>
  <c r="E621" i="1"/>
  <c r="A616" i="1"/>
  <c r="I610" i="1"/>
  <c r="E605" i="1"/>
  <c r="A600" i="1"/>
  <c r="I594" i="1"/>
  <c r="E589" i="1"/>
  <c r="A584" i="1"/>
  <c r="I578" i="1"/>
  <c r="E573" i="1"/>
  <c r="A568" i="1"/>
  <c r="I562" i="1"/>
  <c r="E557" i="1"/>
  <c r="A552" i="1"/>
  <c r="I546" i="1"/>
  <c r="E541" i="1"/>
  <c r="A536" i="1"/>
  <c r="I530" i="1"/>
  <c r="E525" i="1"/>
  <c r="A520" i="1"/>
  <c r="I514" i="1"/>
  <c r="E509" i="1"/>
  <c r="A504" i="1"/>
  <c r="H668" i="1"/>
  <c r="D663" i="1"/>
  <c r="L657" i="1"/>
  <c r="H652" i="1"/>
  <c r="D647" i="1"/>
  <c r="L641" i="1"/>
  <c r="H636" i="1"/>
  <c r="D631" i="1"/>
  <c r="L625" i="1"/>
  <c r="H620" i="1"/>
  <c r="D615" i="1"/>
  <c r="L609" i="1"/>
  <c r="H604" i="1"/>
  <c r="D599" i="1"/>
  <c r="L593" i="1"/>
  <c r="H588" i="1"/>
  <c r="D583" i="1"/>
  <c r="L577" i="1"/>
  <c r="H572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D503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03" i="1"/>
  <c r="G598" i="1"/>
  <c r="C593" i="1"/>
  <c r="K587" i="1"/>
  <c r="G582" i="1"/>
  <c r="C577" i="1"/>
  <c r="K571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G502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B603" i="1"/>
  <c r="J597" i="1"/>
  <c r="F592" i="1"/>
  <c r="B587" i="1"/>
  <c r="J581" i="1"/>
  <c r="F576" i="1"/>
  <c r="B571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I671" i="1"/>
  <c r="E666" i="1"/>
  <c r="A661" i="1"/>
  <c r="I655" i="1"/>
  <c r="E650" i="1"/>
  <c r="A645" i="1"/>
  <c r="I639" i="1"/>
  <c r="E634" i="1"/>
  <c r="A629" i="1"/>
  <c r="I623" i="1"/>
  <c r="E618" i="1"/>
  <c r="A613" i="1"/>
  <c r="I607" i="1"/>
  <c r="E602" i="1"/>
  <c r="A597" i="1"/>
  <c r="I591" i="1"/>
  <c r="E586" i="1"/>
  <c r="A581" i="1"/>
  <c r="I575" i="1"/>
  <c r="E570" i="1"/>
  <c r="A565" i="1"/>
  <c r="I559" i="1"/>
  <c r="E554" i="1"/>
  <c r="A549" i="1"/>
  <c r="I543" i="1"/>
  <c r="E538" i="1"/>
  <c r="A533" i="1"/>
  <c r="I527" i="1"/>
  <c r="E522" i="1"/>
  <c r="A517" i="1"/>
  <c r="I511" i="1"/>
  <c r="E506" i="1"/>
  <c r="L670" i="1"/>
  <c r="H665" i="1"/>
  <c r="D660" i="1"/>
  <c r="L654" i="1"/>
  <c r="H649" i="1"/>
  <c r="D644" i="1"/>
  <c r="L638" i="1"/>
  <c r="H633" i="1"/>
  <c r="D628" i="1"/>
  <c r="L622" i="1"/>
  <c r="H617" i="1"/>
  <c r="D612" i="1"/>
  <c r="L606" i="1"/>
  <c r="H601" i="1"/>
  <c r="D596" i="1"/>
  <c r="L590" i="1"/>
  <c r="H585" i="1"/>
  <c r="D580" i="1"/>
  <c r="L574" i="1"/>
  <c r="H569" i="1"/>
  <c r="D564" i="1"/>
  <c r="L558" i="1"/>
  <c r="H553" i="1"/>
  <c r="D548" i="1"/>
  <c r="L542" i="1"/>
  <c r="H537" i="1"/>
  <c r="D532" i="1"/>
  <c r="L526" i="1"/>
  <c r="H521" i="1"/>
  <c r="D516" i="1"/>
  <c r="L510" i="1"/>
  <c r="H505" i="1"/>
  <c r="J500" i="1"/>
  <c r="F495" i="1"/>
  <c r="B490" i="1"/>
  <c r="J484" i="1"/>
  <c r="F479" i="1"/>
  <c r="B474" i="1"/>
  <c r="J468" i="1"/>
  <c r="F463" i="1"/>
  <c r="K626" i="1"/>
  <c r="G621" i="1"/>
  <c r="C616" i="1"/>
  <c r="K610" i="1"/>
  <c r="G605" i="1"/>
  <c r="C600" i="1"/>
  <c r="K594" i="1"/>
  <c r="G589" i="1"/>
  <c r="C584" i="1"/>
  <c r="K578" i="1"/>
  <c r="G573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J594" i="1"/>
  <c r="F589" i="1"/>
  <c r="B584" i="1"/>
  <c r="J578" i="1"/>
  <c r="F573" i="1"/>
  <c r="B568" i="1"/>
  <c r="J562" i="1"/>
  <c r="F557" i="1"/>
  <c r="B552" i="1"/>
  <c r="J546" i="1"/>
  <c r="F541" i="1"/>
  <c r="B536" i="1"/>
  <c r="J530" i="1"/>
  <c r="F525" i="1"/>
  <c r="B520" i="1"/>
  <c r="J514" i="1"/>
  <c r="F509" i="1"/>
  <c r="B504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E599" i="1"/>
  <c r="A594" i="1"/>
  <c r="I588" i="1"/>
  <c r="E583" i="1"/>
  <c r="A578" i="1"/>
  <c r="I572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E503" i="1"/>
  <c r="L667" i="1"/>
  <c r="H662" i="1"/>
  <c r="D657" i="1"/>
  <c r="L651" i="1"/>
  <c r="H646" i="1"/>
  <c r="D641" i="1"/>
  <c r="L635" i="1"/>
  <c r="H630" i="1"/>
  <c r="D625" i="1"/>
  <c r="L619" i="1"/>
  <c r="H614" i="1"/>
  <c r="D609" i="1"/>
  <c r="L603" i="1"/>
  <c r="H598" i="1"/>
  <c r="D593" i="1"/>
  <c r="L587" i="1"/>
  <c r="H582" i="1"/>
  <c r="D577" i="1"/>
  <c r="L571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H502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C603" i="1"/>
  <c r="K597" i="1"/>
  <c r="G592" i="1"/>
  <c r="C587" i="1"/>
  <c r="K581" i="1"/>
  <c r="G576" i="1"/>
  <c r="C571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J671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F602" i="1"/>
  <c r="B597" i="1"/>
  <c r="J591" i="1"/>
  <c r="F586" i="1"/>
  <c r="B581" i="1"/>
  <c r="J575" i="1"/>
  <c r="F570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A671" i="1"/>
  <c r="I665" i="1"/>
  <c r="E660" i="1"/>
  <c r="A655" i="1"/>
  <c r="I649" i="1"/>
  <c r="E644" i="1"/>
  <c r="A639" i="1"/>
  <c r="I633" i="1"/>
  <c r="E628" i="1"/>
  <c r="A623" i="1"/>
  <c r="I617" i="1"/>
  <c r="E612" i="1"/>
  <c r="A607" i="1"/>
  <c r="I601" i="1"/>
  <c r="E596" i="1"/>
  <c r="A591" i="1"/>
  <c r="I585" i="1"/>
  <c r="E580" i="1"/>
  <c r="A575" i="1"/>
  <c r="I569" i="1"/>
  <c r="E564" i="1"/>
  <c r="A559" i="1"/>
  <c r="I553" i="1"/>
  <c r="E548" i="1"/>
  <c r="A543" i="1"/>
  <c r="I537" i="1"/>
  <c r="E532" i="1"/>
  <c r="A527" i="1"/>
  <c r="I521" i="1"/>
  <c r="E516" i="1"/>
  <c r="A511" i="1"/>
  <c r="I505" i="1"/>
  <c r="D670" i="1"/>
  <c r="L664" i="1"/>
  <c r="H659" i="1"/>
  <c r="D654" i="1"/>
  <c r="L648" i="1"/>
  <c r="H643" i="1"/>
  <c r="D638" i="1"/>
  <c r="L632" i="1"/>
  <c r="H627" i="1"/>
  <c r="D622" i="1"/>
  <c r="L616" i="1"/>
  <c r="H611" i="1"/>
  <c r="D606" i="1"/>
  <c r="L600" i="1"/>
  <c r="H595" i="1"/>
  <c r="D590" i="1"/>
  <c r="L584" i="1"/>
  <c r="H579" i="1"/>
  <c r="D574" i="1"/>
  <c r="L568" i="1"/>
  <c r="H563" i="1"/>
  <c r="D558" i="1"/>
  <c r="L552" i="1"/>
  <c r="H547" i="1"/>
  <c r="D542" i="1"/>
  <c r="L536" i="1"/>
  <c r="H531" i="1"/>
  <c r="D526" i="1"/>
  <c r="L520" i="1"/>
  <c r="H515" i="1"/>
  <c r="D510" i="1"/>
  <c r="L504" i="1"/>
  <c r="B500" i="1"/>
  <c r="J494" i="1"/>
  <c r="F489" i="1"/>
  <c r="B484" i="1"/>
  <c r="J478" i="1"/>
  <c r="F473" i="1"/>
  <c r="B468" i="1"/>
  <c r="J462" i="1"/>
  <c r="C626" i="1"/>
  <c r="K620" i="1"/>
  <c r="G615" i="1"/>
  <c r="C610" i="1"/>
  <c r="K604" i="1"/>
  <c r="G599" i="1"/>
  <c r="C594" i="1"/>
  <c r="K588" i="1"/>
  <c r="G583" i="1"/>
  <c r="C578" i="1"/>
  <c r="K572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B594" i="1"/>
  <c r="J588" i="1"/>
  <c r="F583" i="1"/>
  <c r="B578" i="1"/>
  <c r="J572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F503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I598" i="1"/>
  <c r="E593" i="1"/>
  <c r="A588" i="1"/>
  <c r="I582" i="1"/>
  <c r="E577" i="1"/>
  <c r="A57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I502" i="1"/>
  <c r="D667" i="1"/>
  <c r="L661" i="1"/>
  <c r="H656" i="1"/>
  <c r="D651" i="1"/>
  <c r="L645" i="1"/>
  <c r="H640" i="1"/>
  <c r="D635" i="1"/>
  <c r="L629" i="1"/>
  <c r="H624" i="1"/>
  <c r="D619" i="1"/>
  <c r="L613" i="1"/>
  <c r="H608" i="1"/>
  <c r="D603" i="1"/>
  <c r="L597" i="1"/>
  <c r="H592" i="1"/>
  <c r="D587" i="1"/>
  <c r="L581" i="1"/>
  <c r="H576" i="1"/>
  <c r="D571" i="1"/>
  <c r="L565" i="1"/>
  <c r="H560" i="1"/>
  <c r="D555" i="1"/>
  <c r="L549" i="1"/>
  <c r="H544" i="1"/>
  <c r="D539" i="1"/>
  <c r="L533" i="1"/>
  <c r="H528" i="1"/>
  <c r="D523" i="1"/>
  <c r="L517" i="1"/>
  <c r="H512" i="1"/>
  <c r="D507" i="1"/>
  <c r="K671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G602" i="1"/>
  <c r="C597" i="1"/>
  <c r="K591" i="1"/>
  <c r="G586" i="1"/>
  <c r="C581" i="1"/>
  <c r="K575" i="1"/>
  <c r="G570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B671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J601" i="1"/>
  <c r="F596" i="1"/>
  <c r="B591" i="1"/>
  <c r="J585" i="1"/>
  <c r="F580" i="1"/>
  <c r="B575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E670" i="1"/>
  <c r="A665" i="1"/>
  <c r="I659" i="1"/>
  <c r="E654" i="1"/>
  <c r="A649" i="1"/>
  <c r="I643" i="1"/>
  <c r="E638" i="1"/>
  <c r="A633" i="1"/>
  <c r="I627" i="1"/>
  <c r="E622" i="1"/>
  <c r="A617" i="1"/>
  <c r="I611" i="1"/>
  <c r="E606" i="1"/>
  <c r="A601" i="1"/>
  <c r="I595" i="1"/>
  <c r="E590" i="1"/>
  <c r="A585" i="1"/>
  <c r="I579" i="1"/>
  <c r="E574" i="1"/>
  <c r="A569" i="1"/>
  <c r="I563" i="1"/>
  <c r="E558" i="1"/>
  <c r="A553" i="1"/>
  <c r="I547" i="1"/>
  <c r="E542" i="1"/>
  <c r="A537" i="1"/>
  <c r="I531" i="1"/>
  <c r="E526" i="1"/>
  <c r="A521" i="1"/>
  <c r="I515" i="1"/>
  <c r="E510" i="1"/>
  <c r="A505" i="1"/>
  <c r="H669" i="1"/>
  <c r="D664" i="1"/>
  <c r="L658" i="1"/>
  <c r="H653" i="1"/>
  <c r="D648" i="1"/>
  <c r="L642" i="1"/>
  <c r="H637" i="1"/>
  <c r="D632" i="1"/>
  <c r="L626" i="1"/>
  <c r="H621" i="1"/>
  <c r="D616" i="1"/>
  <c r="L610" i="1"/>
  <c r="H605" i="1"/>
  <c r="D600" i="1"/>
  <c r="L594" i="1"/>
  <c r="H589" i="1"/>
  <c r="D584" i="1"/>
  <c r="L578" i="1"/>
  <c r="H573" i="1"/>
  <c r="D568" i="1"/>
  <c r="L562" i="1"/>
  <c r="H557" i="1"/>
  <c r="D552" i="1"/>
  <c r="L546" i="1"/>
  <c r="H541" i="1"/>
  <c r="D536" i="1"/>
  <c r="L530" i="1"/>
  <c r="H525" i="1"/>
  <c r="D520" i="1"/>
  <c r="L514" i="1"/>
  <c r="H509" i="1"/>
  <c r="D504" i="1"/>
  <c r="F499" i="1"/>
  <c r="B494" i="1"/>
  <c r="J488" i="1"/>
  <c r="F483" i="1"/>
  <c r="B478" i="1"/>
  <c r="J472" i="1"/>
  <c r="F467" i="1"/>
  <c r="B462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E497" i="1"/>
  <c r="A492" i="1"/>
  <c r="I486" i="1"/>
  <c r="E481" i="1"/>
  <c r="A476" i="1"/>
  <c r="I470" i="1"/>
  <c r="E465" i="1"/>
  <c r="A460" i="1"/>
  <c r="I454" i="1"/>
  <c r="E449" i="1"/>
  <c r="A444" i="1"/>
  <c r="I438" i="1"/>
  <c r="E433" i="1"/>
  <c r="A428" i="1"/>
  <c r="I422" i="1"/>
  <c r="E417" i="1"/>
  <c r="A412" i="1"/>
  <c r="I406" i="1"/>
  <c r="E401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G400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D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H328" i="1"/>
  <c r="D323" i="1"/>
  <c r="L317" i="1"/>
  <c r="H312" i="1"/>
  <c r="D307" i="1"/>
  <c r="L301" i="1"/>
  <c r="H296" i="1"/>
  <c r="D291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A502" i="1"/>
  <c r="I496" i="1"/>
  <c r="E491" i="1"/>
  <c r="A486" i="1"/>
  <c r="I480" i="1"/>
  <c r="E475" i="1"/>
  <c r="A470" i="1"/>
  <c r="I464" i="1"/>
  <c r="E459" i="1"/>
  <c r="A454" i="1"/>
  <c r="I448" i="1"/>
  <c r="E443" i="1"/>
  <c r="A438" i="1"/>
  <c r="I432" i="1"/>
  <c r="E427" i="1"/>
  <c r="A422" i="1"/>
  <c r="I416" i="1"/>
  <c r="E411" i="1"/>
  <c r="A406" i="1"/>
  <c r="I400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K399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H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L327" i="1"/>
  <c r="H322" i="1"/>
  <c r="D317" i="1"/>
  <c r="L311" i="1"/>
  <c r="H306" i="1"/>
  <c r="D301" i="1"/>
  <c r="L295" i="1"/>
  <c r="H290" i="1"/>
  <c r="J458" i="1"/>
  <c r="F453" i="1"/>
  <c r="B448" i="1"/>
  <c r="J442" i="1"/>
  <c r="F437" i="1"/>
  <c r="B432" i="1"/>
  <c r="J426" i="1"/>
  <c r="F421" i="1"/>
  <c r="B41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E501" i="1"/>
  <c r="A496" i="1"/>
  <c r="I490" i="1"/>
  <c r="E485" i="1"/>
  <c r="A480" i="1"/>
  <c r="I474" i="1"/>
  <c r="E469" i="1"/>
  <c r="A464" i="1"/>
  <c r="I458" i="1"/>
  <c r="E453" i="1"/>
  <c r="A448" i="1"/>
  <c r="I442" i="1"/>
  <c r="E437" i="1"/>
  <c r="A432" i="1"/>
  <c r="I426" i="1"/>
  <c r="E421" i="1"/>
  <c r="A416" i="1"/>
  <c r="I410" i="1"/>
  <c r="E405" i="1"/>
  <c r="A400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C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L396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D327" i="1"/>
  <c r="L321" i="1"/>
  <c r="H316" i="1"/>
  <c r="D311" i="1"/>
  <c r="L305" i="1"/>
  <c r="H300" i="1"/>
  <c r="D295" i="1"/>
  <c r="L289" i="1"/>
  <c r="B458" i="1"/>
  <c r="J452" i="1"/>
  <c r="F447" i="1"/>
  <c r="B442" i="1"/>
  <c r="J436" i="1"/>
  <c r="F431" i="1"/>
  <c r="B426" i="1"/>
  <c r="J420" i="1"/>
  <c r="F415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I500" i="1"/>
  <c r="E495" i="1"/>
  <c r="A490" i="1"/>
  <c r="I484" i="1"/>
  <c r="E479" i="1"/>
  <c r="A474" i="1"/>
  <c r="I468" i="1"/>
  <c r="E463" i="1"/>
  <c r="A458" i="1"/>
  <c r="I452" i="1"/>
  <c r="E447" i="1"/>
  <c r="A442" i="1"/>
  <c r="I436" i="1"/>
  <c r="E431" i="1"/>
  <c r="A426" i="1"/>
  <c r="I420" i="1"/>
  <c r="E415" i="1"/>
  <c r="A410" i="1"/>
  <c r="I404" i="1"/>
  <c r="E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L331" i="1"/>
  <c r="H326" i="1"/>
  <c r="D321" i="1"/>
  <c r="L315" i="1"/>
  <c r="H310" i="1"/>
  <c r="D305" i="1"/>
  <c r="L299" i="1"/>
  <c r="H294" i="1"/>
  <c r="F457" i="1"/>
  <c r="B452" i="1"/>
  <c r="J446" i="1"/>
  <c r="F441" i="1"/>
  <c r="B436" i="1"/>
  <c r="J430" i="1"/>
  <c r="F425" i="1"/>
  <c r="B420" i="1"/>
  <c r="J414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A500" i="1"/>
  <c r="I494" i="1"/>
  <c r="E489" i="1"/>
  <c r="A484" i="1"/>
  <c r="I478" i="1"/>
  <c r="E473" i="1"/>
  <c r="A468" i="1"/>
  <c r="I462" i="1"/>
  <c r="E457" i="1"/>
  <c r="A452" i="1"/>
  <c r="I446" i="1"/>
  <c r="E441" i="1"/>
  <c r="A436" i="1"/>
  <c r="I430" i="1"/>
  <c r="E425" i="1"/>
  <c r="A420" i="1"/>
  <c r="I414" i="1"/>
  <c r="E409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D331" i="1"/>
  <c r="L325" i="1"/>
  <c r="H320" i="1"/>
  <c r="D315" i="1"/>
  <c r="L309" i="1"/>
  <c r="H304" i="1"/>
  <c r="D299" i="1"/>
  <c r="L293" i="1"/>
  <c r="J456" i="1"/>
  <c r="F451" i="1"/>
  <c r="B446" i="1"/>
  <c r="J440" i="1"/>
  <c r="F435" i="1"/>
  <c r="B430" i="1"/>
  <c r="J42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E499" i="1"/>
  <c r="A494" i="1"/>
  <c r="I488" i="1"/>
  <c r="E483" i="1"/>
  <c r="A478" i="1"/>
  <c r="I472" i="1"/>
  <c r="E467" i="1"/>
  <c r="A462" i="1"/>
  <c r="I456" i="1"/>
  <c r="E451" i="1"/>
  <c r="A446" i="1"/>
  <c r="I440" i="1"/>
  <c r="E435" i="1"/>
  <c r="A430" i="1"/>
  <c r="I424" i="1"/>
  <c r="E419" i="1"/>
  <c r="A414" i="1"/>
  <c r="I408" i="1"/>
  <c r="E403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H330" i="1"/>
  <c r="D325" i="1"/>
  <c r="L319" i="1"/>
  <c r="H314" i="1"/>
  <c r="D309" i="1"/>
  <c r="L303" i="1"/>
  <c r="H298" i="1"/>
  <c r="D293" i="1"/>
  <c r="B456" i="1"/>
  <c r="J450" i="1"/>
  <c r="F445" i="1"/>
  <c r="B440" i="1"/>
  <c r="J434" i="1"/>
  <c r="F429" i="1"/>
  <c r="B42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I498" i="1"/>
  <c r="E493" i="1"/>
  <c r="A488" i="1"/>
  <c r="I482" i="1"/>
  <c r="E477" i="1"/>
  <c r="A472" i="1"/>
  <c r="I466" i="1"/>
  <c r="E461" i="1"/>
  <c r="A456" i="1"/>
  <c r="I450" i="1"/>
  <c r="E445" i="1"/>
  <c r="A440" i="1"/>
  <c r="I434" i="1"/>
  <c r="E429" i="1"/>
  <c r="A424" i="1"/>
  <c r="I418" i="1"/>
  <c r="E413" i="1"/>
  <c r="A408" i="1"/>
  <c r="I402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L329" i="1"/>
  <c r="H324" i="1"/>
  <c r="D319" i="1"/>
  <c r="L313" i="1"/>
  <c r="H308" i="1"/>
  <c r="D303" i="1"/>
  <c r="L297" i="1"/>
  <c r="H292" i="1"/>
  <c r="F455" i="1"/>
  <c r="B450" i="1"/>
  <c r="J444" i="1"/>
  <c r="F439" i="1"/>
  <c r="B434" i="1"/>
  <c r="J428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A498" i="1"/>
  <c r="I492" i="1"/>
  <c r="E487" i="1"/>
  <c r="A482" i="1"/>
  <c r="I476" i="1"/>
  <c r="E471" i="1"/>
  <c r="A466" i="1"/>
  <c r="I460" i="1"/>
  <c r="E455" i="1"/>
  <c r="A450" i="1"/>
  <c r="I444" i="1"/>
  <c r="E439" i="1"/>
  <c r="A434" i="1"/>
  <c r="I428" i="1"/>
  <c r="E423" i="1"/>
  <c r="A418" i="1"/>
  <c r="I412" i="1"/>
  <c r="E407" i="1"/>
  <c r="A402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L398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D329" i="1"/>
  <c r="L323" i="1"/>
  <c r="H318" i="1"/>
  <c r="D313" i="1"/>
  <c r="L307" i="1"/>
  <c r="H302" i="1"/>
  <c r="D297" i="1"/>
  <c r="L291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E158" i="1"/>
  <c r="A153" i="1"/>
  <c r="I147" i="1"/>
  <c r="E142" i="1"/>
  <c r="A137" i="1"/>
  <c r="I131" i="1"/>
  <c r="E126" i="1"/>
  <c r="A121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I157" i="1"/>
  <c r="E152" i="1"/>
  <c r="A147" i="1"/>
  <c r="I141" i="1"/>
  <c r="E136" i="1"/>
  <c r="A131" i="1"/>
  <c r="I125" i="1"/>
  <c r="E120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A157" i="1"/>
  <c r="I151" i="1"/>
  <c r="E146" i="1"/>
  <c r="A141" i="1"/>
  <c r="I135" i="1"/>
  <c r="E130" i="1"/>
  <c r="A125" i="1"/>
  <c r="I119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I161" i="1"/>
  <c r="E156" i="1"/>
  <c r="A151" i="1"/>
  <c r="I145" i="1"/>
  <c r="E140" i="1"/>
  <c r="A135" i="1"/>
  <c r="I129" i="1"/>
  <c r="E124" i="1"/>
  <c r="A119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A161" i="1"/>
  <c r="I155" i="1"/>
  <c r="E150" i="1"/>
  <c r="A145" i="1"/>
  <c r="I139" i="1"/>
  <c r="E134" i="1"/>
  <c r="A129" i="1"/>
  <c r="I123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E160" i="1"/>
  <c r="A155" i="1"/>
  <c r="I149" i="1"/>
  <c r="E144" i="1"/>
  <c r="A139" i="1"/>
  <c r="I133" i="1"/>
  <c r="E128" i="1"/>
  <c r="A123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I159" i="1"/>
  <c r="E154" i="1"/>
  <c r="A149" i="1"/>
  <c r="I143" i="1"/>
  <c r="E138" i="1"/>
  <c r="A133" i="1"/>
  <c r="I127" i="1"/>
  <c r="E122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A159" i="1"/>
  <c r="I153" i="1"/>
  <c r="E148" i="1"/>
  <c r="A143" i="1"/>
  <c r="I137" i="1"/>
  <c r="E132" i="1"/>
  <c r="A127" i="1"/>
  <c r="I121" i="1"/>
  <c r="E118" i="1"/>
  <c r="A113" i="1"/>
  <c r="I107" i="1"/>
  <c r="E102" i="1"/>
  <c r="A97" i="1"/>
  <c r="I91" i="1"/>
  <c r="E86" i="1"/>
  <c r="A81" i="1"/>
  <c r="I75" i="1"/>
  <c r="E70" i="1"/>
  <c r="A65" i="1"/>
  <c r="I59" i="1"/>
  <c r="E54" i="1"/>
  <c r="A49" i="1"/>
  <c r="I43" i="1"/>
  <c r="E38" i="1"/>
  <c r="A33" i="1"/>
  <c r="I27" i="1"/>
  <c r="E22" i="1"/>
  <c r="A17" i="1"/>
  <c r="I11" i="1"/>
  <c r="E6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H57" i="1"/>
  <c r="D52" i="1"/>
  <c r="L46" i="1"/>
  <c r="H41" i="1"/>
  <c r="D36" i="1"/>
  <c r="L30" i="1"/>
  <c r="H25" i="1"/>
  <c r="D20" i="1"/>
  <c r="L14" i="1"/>
  <c r="H9" i="1"/>
  <c r="D4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G55" i="1"/>
  <c r="C50" i="1"/>
  <c r="K44" i="1"/>
  <c r="G39" i="1"/>
  <c r="C34" i="1"/>
  <c r="K28" i="1"/>
  <c r="G23" i="1"/>
  <c r="C18" i="1"/>
  <c r="K12" i="1"/>
  <c r="G7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F5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K57" i="1"/>
  <c r="G52" i="1"/>
  <c r="C47" i="1"/>
  <c r="K41" i="1"/>
  <c r="G36" i="1"/>
  <c r="C31" i="1"/>
  <c r="K25" i="1"/>
  <c r="G20" i="1"/>
  <c r="C15" i="1"/>
  <c r="K9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F6" i="1"/>
  <c r="J5" i="1"/>
  <c r="I117" i="1"/>
  <c r="E112" i="1"/>
  <c r="A107" i="1"/>
  <c r="I101" i="1"/>
  <c r="E96" i="1"/>
  <c r="A91" i="1"/>
  <c r="I85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I5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L56" i="1"/>
  <c r="H51" i="1"/>
  <c r="D46" i="1"/>
  <c r="L40" i="1"/>
  <c r="H35" i="1"/>
  <c r="D30" i="1"/>
  <c r="L24" i="1"/>
  <c r="H19" i="1"/>
  <c r="D14" i="1"/>
  <c r="L8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J4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E45" i="1"/>
  <c r="A40" i="1"/>
  <c r="I34" i="1"/>
  <c r="E29" i="1"/>
  <c r="A24" i="1"/>
  <c r="I18" i="1"/>
  <c r="E13" i="1"/>
  <c r="A8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K67" i="1"/>
  <c r="G62" i="1"/>
  <c r="C57" i="1"/>
  <c r="K51" i="1"/>
  <c r="G46" i="1"/>
  <c r="C41" i="1"/>
  <c r="K35" i="1"/>
  <c r="G30" i="1"/>
  <c r="C25" i="1"/>
  <c r="K19" i="1"/>
  <c r="G14" i="1"/>
  <c r="C9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A117" i="1"/>
  <c r="I111" i="1"/>
  <c r="E106" i="1"/>
  <c r="A101" i="1"/>
  <c r="I95" i="1"/>
  <c r="E90" i="1"/>
  <c r="A85" i="1"/>
  <c r="I79" i="1"/>
  <c r="E74" i="1"/>
  <c r="A69" i="1"/>
  <c r="I63" i="1"/>
  <c r="E58" i="1"/>
  <c r="A53" i="1"/>
  <c r="I47" i="1"/>
  <c r="E42" i="1"/>
  <c r="A37" i="1"/>
  <c r="I31" i="1"/>
  <c r="E26" i="1"/>
  <c r="A21" i="1"/>
  <c r="I15" i="1"/>
  <c r="E10" i="1"/>
  <c r="A5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D56" i="1"/>
  <c r="L50" i="1"/>
  <c r="H45" i="1"/>
  <c r="D40" i="1"/>
  <c r="L34" i="1"/>
  <c r="H29" i="1"/>
  <c r="D24" i="1"/>
  <c r="L18" i="1"/>
  <c r="H13" i="1"/>
  <c r="D8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C6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B4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E7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G56" i="1"/>
  <c r="C51" i="1"/>
  <c r="K45" i="1"/>
  <c r="G40" i="1"/>
  <c r="C35" i="1"/>
  <c r="K29" i="1"/>
  <c r="G24" i="1"/>
  <c r="C19" i="1"/>
  <c r="K13" i="1"/>
  <c r="G8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E116" i="1"/>
  <c r="A111" i="1"/>
  <c r="I105" i="1"/>
  <c r="E100" i="1"/>
  <c r="A95" i="1"/>
  <c r="I89" i="1"/>
  <c r="E84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L44" i="1"/>
  <c r="H39" i="1"/>
  <c r="D34" i="1"/>
  <c r="L28" i="1"/>
  <c r="H23" i="1"/>
  <c r="D18" i="1"/>
  <c r="L12" i="1"/>
  <c r="H7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G53" i="1"/>
  <c r="C48" i="1"/>
  <c r="K42" i="1"/>
  <c r="G37" i="1"/>
  <c r="C32" i="1"/>
  <c r="K26" i="1"/>
  <c r="G21" i="1"/>
  <c r="C16" i="1"/>
  <c r="K10" i="1"/>
  <c r="G5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K55" i="1"/>
  <c r="G50" i="1"/>
  <c r="C45" i="1"/>
  <c r="K39" i="1"/>
  <c r="G34" i="1"/>
  <c r="C29" i="1"/>
  <c r="K23" i="1"/>
  <c r="G18" i="1"/>
  <c r="C13" i="1"/>
  <c r="K7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I115" i="1"/>
  <c r="E110" i="1"/>
  <c r="A105" i="1"/>
  <c r="I99" i="1"/>
  <c r="E94" i="1"/>
  <c r="A89" i="1"/>
  <c r="I83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D44" i="1"/>
  <c r="L38" i="1"/>
  <c r="H33" i="1"/>
  <c r="D28" i="1"/>
  <c r="L22" i="1"/>
  <c r="H17" i="1"/>
  <c r="D12" i="1"/>
  <c r="L6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A6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C5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G60" i="1"/>
  <c r="C55" i="1"/>
  <c r="K49" i="1"/>
  <c r="G44" i="1"/>
  <c r="C39" i="1"/>
  <c r="K33" i="1"/>
  <c r="G28" i="1"/>
  <c r="C23" i="1"/>
  <c r="K17" i="1"/>
  <c r="G12" i="1"/>
  <c r="C7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A115" i="1"/>
  <c r="I109" i="1"/>
  <c r="E104" i="1"/>
  <c r="A99" i="1"/>
  <c r="I93" i="1"/>
  <c r="E88" i="1"/>
  <c r="A83" i="1"/>
  <c r="I77" i="1"/>
  <c r="E72" i="1"/>
  <c r="A67" i="1"/>
  <c r="I61" i="1"/>
  <c r="E56" i="1"/>
  <c r="A51" i="1"/>
  <c r="I45" i="1"/>
  <c r="E40" i="1"/>
  <c r="A35" i="1"/>
  <c r="I29" i="1"/>
  <c r="E24" i="1"/>
  <c r="A19" i="1"/>
  <c r="I13" i="1"/>
  <c r="E8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H43" i="1"/>
  <c r="D38" i="1"/>
  <c r="L32" i="1"/>
  <c r="H27" i="1"/>
  <c r="D22" i="1"/>
  <c r="L16" i="1"/>
  <c r="H11" i="1"/>
  <c r="D6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C4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E53" i="1"/>
  <c r="A48" i="1"/>
  <c r="I42" i="1"/>
  <c r="E37" i="1"/>
  <c r="A32" i="1"/>
  <c r="I26" i="1"/>
  <c r="E21" i="1"/>
  <c r="A16" i="1"/>
  <c r="I10" i="1"/>
  <c r="E5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K59" i="1"/>
  <c r="G54" i="1"/>
  <c r="C49" i="1"/>
  <c r="K43" i="1"/>
  <c r="G38" i="1"/>
  <c r="C33" i="1"/>
  <c r="K27" i="1"/>
  <c r="G22" i="1"/>
  <c r="C17" i="1"/>
  <c r="K11" i="1"/>
  <c r="G6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E114" i="1"/>
  <c r="A109" i="1"/>
  <c r="I103" i="1"/>
  <c r="E98" i="1"/>
  <c r="A93" i="1"/>
  <c r="I87" i="1"/>
  <c r="E82" i="1"/>
  <c r="A77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H53" i="1"/>
  <c r="D48" i="1"/>
  <c r="L42" i="1"/>
  <c r="H37" i="1"/>
  <c r="D32" i="1"/>
  <c r="L26" i="1"/>
  <c r="H21" i="1"/>
  <c r="D16" i="1"/>
  <c r="L10" i="1"/>
  <c r="H5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K56" i="1"/>
  <c r="G51" i="1"/>
  <c r="C46" i="1"/>
  <c r="K40" i="1"/>
  <c r="G35" i="1"/>
  <c r="C30" i="1"/>
  <c r="K24" i="1"/>
  <c r="G19" i="1"/>
  <c r="C14" i="1"/>
  <c r="K8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J6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I4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C59" i="1"/>
  <c r="K53" i="1"/>
  <c r="G48" i="1"/>
  <c r="C43" i="1"/>
  <c r="K37" i="1"/>
  <c r="G32" i="1"/>
  <c r="C27" i="1"/>
  <c r="K21" i="1"/>
  <c r="G16" i="1"/>
  <c r="C11" i="1"/>
  <c r="K5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I113" i="1"/>
  <c r="E108" i="1"/>
  <c r="A103" i="1"/>
  <c r="I97" i="1"/>
  <c r="E92" i="1"/>
  <c r="A87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D58" i="1"/>
  <c r="L52" i="1"/>
  <c r="H47" i="1"/>
  <c r="D42" i="1"/>
  <c r="L36" i="1"/>
  <c r="H31" i="1"/>
  <c r="D26" i="1"/>
  <c r="L20" i="1"/>
  <c r="H15" i="1"/>
  <c r="D10" i="1"/>
  <c r="L4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G45" i="1"/>
  <c r="C40" i="1"/>
  <c r="K34" i="1"/>
  <c r="G29" i="1"/>
  <c r="C24" i="1"/>
  <c r="K18" i="1"/>
  <c r="G13" i="1"/>
  <c r="C8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B6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G58" i="1"/>
  <c r="C53" i="1"/>
  <c r="K47" i="1"/>
  <c r="G42" i="1"/>
  <c r="C37" i="1"/>
  <c r="K31" i="1"/>
  <c r="G26" i="1"/>
  <c r="C21" i="1"/>
  <c r="K15" i="1"/>
  <c r="G10" i="1"/>
  <c r="G4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J65" i="1"/>
  <c r="F60" i="1"/>
  <c r="B55" i="1"/>
  <c r="J49" i="1"/>
  <c r="F44" i="1"/>
  <c r="B39" i="1"/>
  <c r="J33" i="1"/>
  <c r="F28" i="1"/>
  <c r="B23" i="1"/>
  <c r="J17" i="1"/>
  <c r="F12" i="1"/>
  <c r="B7" i="1"/>
</calcChain>
</file>

<file path=xl/sharedStrings.xml><?xml version="1.0" encoding="utf-8"?>
<sst xmlns="http://schemas.openxmlformats.org/spreadsheetml/2006/main" count="489" uniqueCount="84">
  <si>
    <t>Settings</t>
  </si>
  <si>
    <t>Master Data Info</t>
  </si>
  <si>
    <t>Modules Info</t>
  </si>
  <si>
    <t>Module Step Setting File</t>
  </si>
  <si>
    <t>1TlTzR2-aMQI1qVujHPkUwT5hEpmStOOffpEa6pRJVFY</t>
  </si>
  <si>
    <t>Modules</t>
  </si>
  <si>
    <t>Module</t>
  </si>
  <si>
    <t>Master Data Settings File</t>
  </si>
  <si>
    <t>1EGvQ4gQZof5ChEr7TLuvC_9b1eGAQgRVRtrGCIOSzkc</t>
  </si>
  <si>
    <t>Step</t>
  </si>
  <si>
    <t>Master Data Sheet</t>
  </si>
  <si>
    <t>Data</t>
  </si>
  <si>
    <t>Allocation</t>
  </si>
  <si>
    <t>SetGeneralPreferences</t>
  </si>
  <si>
    <t>AddMFPreferences</t>
  </si>
  <si>
    <t>Data Format</t>
  </si>
  <si>
    <t>Input Format</t>
  </si>
  <si>
    <t>SetMFPrefFundDistribution</t>
  </si>
  <si>
    <t>SetMFPreferencesDefaultRule</t>
  </si>
  <si>
    <t>NewMF</t>
  </si>
  <si>
    <t>Current Preference</t>
  </si>
  <si>
    <t>NewMF1</t>
  </si>
  <si>
    <t>SetMFPrefFundDefaultRule</t>
  </si>
  <si>
    <t>SetMFPrefGeneralRule</t>
  </si>
  <si>
    <t>Prorata</t>
  </si>
  <si>
    <t>Allocation1,Allocation3</t>
  </si>
  <si>
    <t>Include</t>
  </si>
  <si>
    <t>Equity</t>
  </si>
  <si>
    <t xml:space="preserve">Include </t>
  </si>
  <si>
    <t>Buy,Sell</t>
  </si>
  <si>
    <t>UpdateGRAccountValue</t>
  </si>
  <si>
    <t>Exclude</t>
  </si>
  <si>
    <t xml:space="preserve">Allocation1 </t>
  </si>
  <si>
    <t>Allocation3</t>
  </si>
  <si>
    <t>SetMFPrefAccountValues</t>
  </si>
  <si>
    <t>UpdateGRDefaultRule</t>
  </si>
  <si>
    <t>Pro-rata (NAV)</t>
  </si>
  <si>
    <t>Allocation2</t>
  </si>
  <si>
    <t>OFFSHORE</t>
  </si>
  <si>
    <t>Future</t>
  </si>
  <si>
    <t>Fair Pricing</t>
  </si>
  <si>
    <t>DailyValuation</t>
  </si>
  <si>
    <t>GetDailyCash</t>
  </si>
  <si>
    <t>UpdateDailyCash</t>
  </si>
  <si>
    <t>TradingTicket</t>
  </si>
  <si>
    <t>CreateDoneAwayOrder</t>
  </si>
  <si>
    <t>USD</t>
  </si>
  <si>
    <t>CL F9</t>
  </si>
  <si>
    <t>Allocation1</t>
  </si>
  <si>
    <t>Buy to Open</t>
  </si>
  <si>
    <t>MSFT</t>
  </si>
  <si>
    <t>Buy</t>
  </si>
  <si>
    <t>Sell short</t>
  </si>
  <si>
    <t>Sell</t>
  </si>
  <si>
    <t>O:ABM 10D20.00</t>
  </si>
  <si>
    <t>ES Z6P2200</t>
  </si>
  <si>
    <t>Sell to Close</t>
  </si>
  <si>
    <t>GetDataAllocation</t>
  </si>
  <si>
    <t>Closing</t>
  </si>
  <si>
    <t>GetDataClosing</t>
  </si>
  <si>
    <t>Current</t>
  </si>
  <si>
    <t>CheckAllocatedGroups</t>
  </si>
  <si>
    <t>VerifyLongPositionsGrid</t>
  </si>
  <si>
    <t>Multiple</t>
  </si>
  <si>
    <t>VerifyShortPositionsGrid</t>
  </si>
  <si>
    <t>PortfolioManagement</t>
  </si>
  <si>
    <t>CheckPortfolioManagement</t>
  </si>
  <si>
    <t>GeneralLedger</t>
  </si>
  <si>
    <t>GetActivityData</t>
  </si>
  <si>
    <t>SelectAll</t>
  </si>
  <si>
    <t>Allocation1,Allocation2,Allocation3,OFFSHORE,LP C/O,rt</t>
  </si>
  <si>
    <t>No</t>
  </si>
  <si>
    <t>Yes</t>
  </si>
  <si>
    <t>Long</t>
  </si>
  <si>
    <t>Short</t>
  </si>
  <si>
    <t>EquityOption</t>
  </si>
  <si>
    <t>FutureOption</t>
  </si>
  <si>
    <t>VerifyActivity</t>
  </si>
  <si>
    <t>FutureL</t>
  </si>
  <si>
    <t>EquityL</t>
  </si>
  <si>
    <t>Account Inception</t>
  </si>
  <si>
    <t>CheckUnallocatedGroups</t>
  </si>
  <si>
    <t>Leveling</t>
  </si>
  <si>
    <t>Allocation2,OFFSHORE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</si>
</sst>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Inconsolata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6" fillId="0" borderId="0" xfId="0" applyFont="1" applyAlignment="1"/>
    <xf numFmtId="0" fontId="3" fillId="0" borderId="0" xfId="0" applyFont="1" applyAlignment="1"/>
    <xf numFmtId="0" fontId="6" fillId="3" borderId="4" xfId="0" applyFont="1" applyFill="1" applyBorder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6" fillId="0" borderId="0" xfId="0" applyFont="1" applyAlignment="1"/>
    <xf numFmtId="0" fontId="6" fillId="0" borderId="5" xfId="0" applyFont="1" applyBorder="1" applyAlignment="1"/>
    <xf numFmtId="0" fontId="6" fillId="0" borderId="5" xfId="0" applyFont="1" applyBorder="1" applyAlignment="1"/>
    <xf numFmtId="0" fontId="13" fillId="6" borderId="0" xfId="0" applyFont="1" applyFill="1"/>
    <xf numFmtId="0" fontId="6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center"/>
    </xf>
    <xf numFmtId="0" fontId="2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6" fillId="0" borderId="6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13" fillId="6" borderId="6" xfId="0" applyFont="1" applyFill="1" applyBorder="1" applyAlignment="1"/>
    <xf numFmtId="0" fontId="3" fillId="0" borderId="5" xfId="0" applyFont="1" applyBorder="1" applyAlignment="1">
      <alignment horizontal="center"/>
    </xf>
    <xf numFmtId="0" fontId="13" fillId="6" borderId="5" xfId="0" applyFont="1" applyFill="1" applyBorder="1" applyAlignment="1"/>
    <xf numFmtId="0" fontId="3" fillId="0" borderId="5" xfId="0" applyFont="1" applyBorder="1" applyAlignment="1">
      <alignment horizontal="right"/>
    </xf>
    <xf numFmtId="0" fontId="13" fillId="6" borderId="0" xfId="0" applyFont="1" applyFill="1" applyAlignment="1"/>
    <xf numFmtId="14" fontId="3" fillId="0" borderId="0" xfId="0" applyNumberFormat="1" applyFont="1" applyAlignment="1"/>
    <xf numFmtId="14" fontId="3" fillId="0" borderId="0" xfId="0" applyNumberFormat="1" applyFont="1" applyAlignment="1"/>
    <xf numFmtId="14" fontId="3" fillId="0" borderId="5" xfId="0" applyNumberFormat="1" applyFont="1" applyBorder="1" applyAlignment="1">
      <alignment horizontal="right"/>
    </xf>
    <xf numFmtId="14" fontId="3" fillId="0" borderId="0" xfId="0" applyNumberFormat="1" applyFont="1" applyAlignment="1">
      <alignment horizontal="right"/>
    </xf>
    <xf numFmtId="0" fontId="13" fillId="6" borderId="7" xfId="0" applyFont="1" applyFill="1" applyBorder="1" applyAlignment="1"/>
    <xf numFmtId="14" fontId="13" fillId="6" borderId="0" xfId="0" applyNumberFormat="1" applyFont="1" applyFill="1" applyAlignment="1">
      <alignment horizontal="right"/>
    </xf>
    <xf numFmtId="0" fontId="6" fillId="0" borderId="0" xfId="0" applyFont="1" applyAlignment="1"/>
    <xf numFmtId="0" fontId="6" fillId="0" borderId="5" xfId="0" applyFont="1" applyBorder="1" applyAlignment="1"/>
    <xf numFmtId="0" fontId="6" fillId="0" borderId="0" xfId="0" applyFont="1" applyAlignment="1">
      <alignment horizontal="right"/>
    </xf>
    <xf numFmtId="0" fontId="14" fillId="0" borderId="0" xfId="0" applyFont="1" applyAlignment="1"/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14" fillId="0" borderId="0" xfId="0" applyFont="1" applyAlignment="1"/>
    <xf numFmtId="0" fontId="2" fillId="0" borderId="0" xfId="0" applyFont="1" applyAlignment="1"/>
    <xf numFmtId="0" fontId="5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activeCell="F11" sqref="F1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56" t="s">
        <v>2</v>
      </c>
      <c r="B1" s="57"/>
      <c r="C1" s="57"/>
      <c r="D1" s="57"/>
      <c r="E1" s="57"/>
      <c r="F1" s="58"/>
    </row>
    <row r="2" spans="1:12" ht="15.75" customHeight="1">
      <c r="A2" s="3"/>
      <c r="B2" s="3"/>
      <c r="C2" s="3"/>
      <c r="D2" s="3"/>
      <c r="E2" s="3"/>
      <c r="F2" s="3"/>
    </row>
    <row r="3" spans="1:12" ht="15.75" customHeight="1">
      <c r="A3" s="2" t="s">
        <v>5</v>
      </c>
      <c r="B3" s="5"/>
      <c r="C3" s="7"/>
      <c r="D3" s="7"/>
      <c r="E3" s="7"/>
      <c r="F3" s="7"/>
    </row>
    <row r="4" spans="1:12" ht="15.75" customHeight="1">
      <c r="A4" s="1" t="str">
        <f ca="1">IFERROR(__xludf.DUMMYFUNCTION("IMPORTRANGE('_Settings'!B3,""Modules!A4:L1000"")"),"Allocation")</f>
        <v>Allocation</v>
      </c>
      <c r="B4" s="3" t="str">
        <f ca="1">IFERROR(__xludf.DUMMYFUNCTION("""COMPUTED_VALUE"""),"Allocate")</f>
        <v>Allocate</v>
      </c>
      <c r="C4" s="3" t="str">
        <f ca="1">IFERROR(__xludf.DUMMYFUNCTION("""COMPUTED_VALUE"""),"undefined")</f>
        <v>undefined</v>
      </c>
      <c r="D4" s="3" t="str">
        <f ca="1">IFERROR(__xludf.DUMMYFUNCTION("""COMPUTED_VALUE"""),"")</f>
        <v/>
      </c>
      <c r="E4" s="3" t="str">
        <f ca="1">IFERROR(__xludf.DUMMYFUNCTION("""COMPUTED_VALUE"""),"")</f>
        <v/>
      </c>
      <c r="F4" s="3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3" t="str">
        <f ca="1">IFERROR(__xludf.DUMMYFUNCTION("""COMPUTED_VALUE"""),"CheckAllocatedGroups")</f>
        <v>CheckAllocatedGroups</v>
      </c>
      <c r="C5" s="3" t="str">
        <f ca="1">IFERROR(__xludf.DUMMYFUNCTION("""COMPUTED_VALUE"""),"1L-ZLJ-WUi30_f-lOlKY8keIuba5MrxrSFg61cuw6a1Q")</f>
        <v>1L-ZLJ-WUi30_f-lOlKY8keIuba5MrxrSFg61cuw6a1Q</v>
      </c>
      <c r="D5" s="3" t="str">
        <f ca="1">IFERROR(__xludf.DUMMYFUNCTION("""COMPUTED_VALUE"""),"")</f>
        <v/>
      </c>
      <c r="E5" s="3" t="str">
        <f ca="1">IFERROR(__xludf.DUMMYFUNCTION("""COMPUTED_VALUE"""),"")</f>
        <v/>
      </c>
      <c r="F5" s="3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3" t="str">
        <f ca="1">IFERROR(__xludf.DUMMYFUNCTION("""COMPUTED_VALUE"""),"Allocation")</f>
        <v>Allocation</v>
      </c>
      <c r="B6" s="3" t="str">
        <f ca="1">IFERROR(__xludf.DUMMYFUNCTION("""COMPUTED_VALUE"""),"Unallocate")</f>
        <v>Unallocate</v>
      </c>
      <c r="C6" s="3" t="str">
        <f ca="1">IFERROR(__xludf.DUMMYFUNCTION("""COMPUTED_VALUE"""),"1P4Lqg6ZRnWqVobPMr44KqP83w4ynmQE5n8h-XwTOct0")</f>
        <v>1P4Lqg6ZRnWqVobPMr44KqP83w4ynmQE5n8h-XwTOct0</v>
      </c>
      <c r="D6" s="3" t="str">
        <f ca="1">IFERROR(__xludf.DUMMYFUNCTION("""COMPUTED_VALUE"""),"")</f>
        <v/>
      </c>
      <c r="E6" s="3" t="str">
        <f ca="1">IFERROR(__xludf.DUMMYFUNCTION("""COMPUTED_VALUE"""),"")</f>
        <v/>
      </c>
      <c r="F6" s="3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3" t="str">
        <f ca="1">IFERROR(__xludf.DUMMYFUNCTION("""COMPUTED_VALUE"""),"Allocation")</f>
        <v>Allocation</v>
      </c>
      <c r="B7" s="3" t="str">
        <f ca="1">IFERROR(__xludf.DUMMYFUNCTION("""COMPUTED_VALUE"""),"GetDataAllocation")</f>
        <v>GetDataAllocation</v>
      </c>
      <c r="C7" s="3" t="str">
        <f ca="1">IFERROR(__xludf.DUMMYFUNCTION("""COMPUTED_VALUE"""),"1DppyOA5Ydn7_wREefqS5OXdf-FB0aeezazxO7l_KkPI")</f>
        <v>1DppyOA5Ydn7_wREefqS5OXdf-FB0aeezazxO7l_KkPI</v>
      </c>
      <c r="D7" s="3" t="str">
        <f ca="1">IFERROR(__xludf.DUMMYFUNCTION("""COMPUTED_VALUE"""),"")</f>
        <v/>
      </c>
      <c r="E7" s="3" t="str">
        <f ca="1">IFERROR(__xludf.DUMMYFUNCTION("""COMPUTED_VALUE"""),"")</f>
        <v/>
      </c>
      <c r="F7" s="3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3" t="str">
        <f ca="1">IFERROR(__xludf.DUMMYFUNCTION("""COMPUTED_VALUE"""),"Allocation")</f>
        <v>Allocation</v>
      </c>
      <c r="B8" s="3" t="str">
        <f ca="1">IFERROR(__xludf.DUMMYFUNCTION("""COMPUTED_VALUE"""),"SelectAllocatedGroup")</f>
        <v>SelectAllocatedGroup</v>
      </c>
      <c r="C8" s="3" t="str">
        <f ca="1">IFERROR(__xludf.DUMMYFUNCTION("""COMPUTED_VALUE"""),"1EwSV_9D5NTEl2PEpL_Jt7zJTHUPrALTb8OtSzPCvCyw")</f>
        <v>1EwSV_9D5NTEl2PEpL_Jt7zJTHUPrALTb8OtSzPCvCyw</v>
      </c>
      <c r="D8" s="3" t="str">
        <f ca="1">IFERROR(__xludf.DUMMYFUNCTION("""COMPUTED_VALUE"""),"")</f>
        <v/>
      </c>
      <c r="E8" s="3" t="str">
        <f ca="1">IFERROR(__xludf.DUMMYFUNCTION("""COMPUTED_VALUE"""),"")</f>
        <v/>
      </c>
      <c r="F8" s="3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3" t="str">
        <f ca="1">IFERROR(__xludf.DUMMYFUNCTION("""COMPUTED_VALUE"""),"Allocation")</f>
        <v>Allocation</v>
      </c>
      <c r="B9" s="3" t="str">
        <f ca="1">IFERROR(__xludf.DUMMYFUNCTION("""COMPUTED_VALUE"""),"EditTradesAllocated")</f>
        <v>EditTradesAllocated</v>
      </c>
      <c r="C9" s="3" t="str">
        <f ca="1">IFERROR(__xludf.DUMMYFUNCTION("""COMPUTED_VALUE"""),"1mZVDHa5HAPBlU7A7Qt_dcTY5NCi1wrh46jO_Kvm6p0Y")</f>
        <v>1mZVDHa5HAPBlU7A7Qt_dcTY5NCi1wrh46jO_Kvm6p0Y</v>
      </c>
      <c r="D9" s="3" t="str">
        <f ca="1">IFERROR(__xludf.DUMMYFUNCTION("""COMPUTED_VALUE"""),"")</f>
        <v/>
      </c>
      <c r="E9" s="3" t="str">
        <f ca="1">IFERROR(__xludf.DUMMYFUNCTION("""COMPUTED_VALUE"""),"")</f>
        <v/>
      </c>
      <c r="F9" s="3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3" t="str">
        <f ca="1">IFERROR(__xludf.DUMMYFUNCTION("""COMPUTED_VALUE"""),"Allocation")</f>
        <v>Allocation</v>
      </c>
      <c r="B10" s="3" t="str">
        <f ca="1">IFERROR(__xludf.DUMMYFUNCTION("""COMPUTED_VALUE"""),"EditTradesUnallocated")</f>
        <v>EditTradesUnallocated</v>
      </c>
      <c r="C10" s="3" t="str">
        <f ca="1">IFERROR(__xludf.DUMMYFUNCTION("""COMPUTED_VALUE"""),"11fJBWY-Z4X4pAJ10BZMvanCBUxCez87FACI3SN4oHhc")</f>
        <v>11fJBWY-Z4X4pAJ10BZMvanCBUxCez87FACI3SN4oHhc</v>
      </c>
      <c r="D10" s="3" t="str">
        <f ca="1">IFERROR(__xludf.DUMMYFUNCTION("""COMPUTED_VALUE"""),"")</f>
        <v/>
      </c>
      <c r="E10" s="3" t="str">
        <f ca="1">IFERROR(__xludf.DUMMYFUNCTION("""COMPUTED_VALUE"""),"")</f>
        <v/>
      </c>
      <c r="F10" s="3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3" t="str">
        <f ca="1">IFERROR(__xludf.DUMMYFUNCTION("""COMPUTED_VALUE"""),"Allocation")</f>
        <v>Allocation</v>
      </c>
      <c r="B11" s="3" t="str">
        <f ca="1">IFERROR(__xludf.DUMMYFUNCTION("""COMPUTED_VALUE"""),"Reallocate")</f>
        <v>Reallocate</v>
      </c>
      <c r="C11" s="3" t="str">
        <f ca="1">IFERROR(__xludf.DUMMYFUNCTION("""COMPUTED_VALUE"""),"undefined")</f>
        <v>undefined</v>
      </c>
      <c r="D11" s="3" t="str">
        <f ca="1">IFERROR(__xludf.DUMMYFUNCTION("""COMPUTED_VALUE"""),"")</f>
        <v/>
      </c>
      <c r="E11" s="3" t="str">
        <f ca="1">IFERROR(__xludf.DUMMYFUNCTION("""COMPUTED_VALUE"""),"")</f>
        <v/>
      </c>
      <c r="F11" s="3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3" t="str">
        <f ca="1">IFERROR(__xludf.DUMMYFUNCTION("""COMPUTED_VALUE"""),"Blotter")</f>
        <v>Blotter</v>
      </c>
      <c r="B12" s="3" t="str">
        <f ca="1">IFERROR(__xludf.DUMMYFUNCTION("""COMPUTED_VALUE"""),"ReplaceFillsOnBlotter")</f>
        <v>ReplaceFillsOnBlotter</v>
      </c>
      <c r="C12" s="3" t="str">
        <f ca="1">IFERROR(__xludf.DUMMYFUNCTION("""COMPUTED_VALUE"""),"undefined")</f>
        <v>undefined</v>
      </c>
      <c r="D12" s="3" t="str">
        <f ca="1">IFERROR(__xludf.DUMMYFUNCTION("""COMPUTED_VALUE"""),"")</f>
        <v/>
      </c>
      <c r="E12" s="3" t="str">
        <f ca="1">IFERROR(__xludf.DUMMYFUNCTION("""COMPUTED_VALUE"""),"")</f>
        <v/>
      </c>
      <c r="F12" s="3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3" t="str">
        <f ca="1">IFERROR(__xludf.DUMMYFUNCTION("""COMPUTED_VALUE"""),"Blotter")</f>
        <v>Blotter</v>
      </c>
      <c r="B13" s="3" t="str">
        <f ca="1">IFERROR(__xludf.DUMMYFUNCTION("""COMPUTED_VALUE"""),"CheckBlotter")</f>
        <v>CheckBlotter</v>
      </c>
      <c r="C13" s="3" t="str">
        <f ca="1">IFERROR(__xludf.DUMMYFUNCTION("""COMPUTED_VALUE"""),"1gCNoZk41UU6qYClK-xpR_ek0RFJSoyNo2GYPM85gGKU")</f>
        <v>1gCNoZk41UU6qYClK-xpR_ek0RFJSoyNo2GYPM85gGKU</v>
      </c>
      <c r="D13" s="3" t="str">
        <f ca="1">IFERROR(__xludf.DUMMYFUNCTION("""COMPUTED_VALUE"""),"")</f>
        <v/>
      </c>
      <c r="E13" s="3" t="str">
        <f ca="1">IFERROR(__xludf.DUMMYFUNCTION("""COMPUTED_VALUE"""),"")</f>
        <v/>
      </c>
      <c r="F13" s="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3" t="str">
        <f ca="1">IFERROR(__xludf.DUMMYFUNCTION("""COMPUTED_VALUE"""),"GeneralLedger")</f>
        <v>GeneralLedger</v>
      </c>
      <c r="B14" s="3" t="str">
        <f ca="1">IFERROR(__xludf.DUMMYFUNCTION("""COMPUTED_VALUE"""),"GetDataCash")</f>
        <v>GetDataCash</v>
      </c>
      <c r="C14" s="3" t="str">
        <f ca="1">IFERROR(__xludf.DUMMYFUNCTION("""COMPUTED_VALUE"""),"1mrbqxvNyXyDjk1XgAgEZXuSeTqc593taxDqDOV7hZqA")</f>
        <v>1mrbqxvNyXyDjk1XgAgEZXuSeTqc593taxDqDOV7hZqA</v>
      </c>
      <c r="D14" s="3" t="str">
        <f ca="1">IFERROR(__xludf.DUMMYFUNCTION("""COMPUTED_VALUE"""),"")</f>
        <v/>
      </c>
      <c r="E14" s="3" t="str">
        <f ca="1">IFERROR(__xludf.DUMMYFUNCTION("""COMPUTED_VALUE"""),"")</f>
        <v/>
      </c>
      <c r="F14" s="3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3" t="str">
        <f ca="1">IFERROR(__xludf.DUMMYFUNCTION("""COMPUTED_VALUE"""),"GeneralLedger")</f>
        <v>GeneralLedger</v>
      </c>
      <c r="B15" s="3" t="str">
        <f ca="1">IFERROR(__xludf.DUMMYFUNCTION("""COMPUTED_VALUE"""),"EnterCashDividends")</f>
        <v>EnterCashDividends</v>
      </c>
      <c r="C15" s="3" t="str">
        <f ca="1">IFERROR(__xludf.DUMMYFUNCTION("""COMPUTED_VALUE"""),"1OE2eAPH4pnVoDKHq07XJnAWdqq3B53-Vz_fU3XSLsOo")</f>
        <v>1OE2eAPH4pnVoDKHq07XJnAWdqq3B53-Vz_fU3XSLsOo</v>
      </c>
      <c r="D15" s="3" t="str">
        <f ca="1">IFERROR(__xludf.DUMMYFUNCTION("""COMPUTED_VALUE"""),"")</f>
        <v/>
      </c>
      <c r="E15" s="3" t="str">
        <f ca="1">IFERROR(__xludf.DUMMYFUNCTION("""COMPUTED_VALUE"""),"")</f>
        <v/>
      </c>
      <c r="F15" s="3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3" t="str">
        <f ca="1">IFERROR(__xludf.DUMMYFUNCTION("""COMPUTED_VALUE"""),"GeneralLedger")</f>
        <v>GeneralLedger</v>
      </c>
      <c r="B16" s="3" t="str">
        <f ca="1">IFERROR(__xludf.DUMMYFUNCTION("""COMPUTED_VALUE"""),"EnterNonTradingTransaction")</f>
        <v>EnterNonTradingTransaction</v>
      </c>
      <c r="C16" s="3" t="str">
        <f ca="1">IFERROR(__xludf.DUMMYFUNCTION("""COMPUTED_VALUE"""),"1zgBoPmpmJ5_Bxh0JLfP4NSXfDAdqPOOnRDY40vNAJdc")</f>
        <v>1zgBoPmpmJ5_Bxh0JLfP4NSXfDAdqPOOnRDY40vNAJdc</v>
      </c>
      <c r="D16" s="3" t="str">
        <f ca="1">IFERROR(__xludf.DUMMYFUNCTION("""COMPUTED_VALUE"""),"")</f>
        <v/>
      </c>
      <c r="E16" s="3" t="str">
        <f ca="1">IFERROR(__xludf.DUMMYFUNCTION("""COMPUTED_VALUE"""),"")</f>
        <v/>
      </c>
      <c r="F16" s="3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3" t="str">
        <f ca="1">IFERROR(__xludf.DUMMYFUNCTION("""COMPUTED_VALUE"""),"GeneralLedger")</f>
        <v>GeneralLedger</v>
      </c>
      <c r="B17" s="3" t="str">
        <f ca="1">IFERROR(__xludf.DUMMYFUNCTION("""COMPUTED_VALUE"""),"VerifyCash")</f>
        <v>VerifyCash</v>
      </c>
      <c r="C17" s="3" t="str">
        <f ca="1">IFERROR(__xludf.DUMMYFUNCTION("""COMPUTED_VALUE"""),"1n0r94uozYoa1mcmrxW_NIxO_M3WLd8Ph_n_xUUMdHkY")</f>
        <v>1n0r94uozYoa1mcmrxW_NIxO_M3WLd8Ph_n_xUUMdHkY</v>
      </c>
      <c r="D17" s="3" t="str">
        <f ca="1">IFERROR(__xludf.DUMMYFUNCTION("""COMPUTED_VALUE"""),"")</f>
        <v/>
      </c>
      <c r="E17" s="3" t="str">
        <f ca="1">IFERROR(__xludf.DUMMYFUNCTION("""COMPUTED_VALUE"""),"")</f>
        <v/>
      </c>
      <c r="F17" s="3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3" t="str">
        <f ca="1">IFERROR(__xludf.DUMMYFUNCTION("""COMPUTED_VALUE"""),"GeneralLedger")</f>
        <v>GeneralLedger</v>
      </c>
      <c r="B18" s="3" t="str">
        <f ca="1">IFERROR(__xludf.DUMMYFUNCTION("""COMPUTED_VALUE"""),"VerifyActivity")</f>
        <v>VerifyActivity</v>
      </c>
      <c r="C18" s="3" t="str">
        <f ca="1">IFERROR(__xludf.DUMMYFUNCTION("""COMPUTED_VALUE"""),"1D58ZOzb8nMwwYFW_fgBRw9bIgKCNgz4NAUjOFPI3ttg")</f>
        <v>1D58ZOzb8nMwwYFW_fgBRw9bIgKCNgz4NAUjOFPI3ttg</v>
      </c>
      <c r="D18" s="3" t="str">
        <f ca="1">IFERROR(__xludf.DUMMYFUNCTION("""COMPUTED_VALUE"""),"")</f>
        <v/>
      </c>
      <c r="E18" s="3" t="str">
        <f ca="1">IFERROR(__xludf.DUMMYFUNCTION("""COMPUTED_VALUE"""),"")</f>
        <v/>
      </c>
      <c r="F18" s="3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3" t="str">
        <f ca="1">IFERROR(__xludf.DUMMYFUNCTION("""COMPUTED_VALUE"""),"GeneralLedger")</f>
        <v>GeneralLedger</v>
      </c>
      <c r="B19" s="3" t="str">
        <f ca="1">IFERROR(__xludf.DUMMYFUNCTION("""COMPUTED_VALUE"""),"VerifyTradingTransaction")</f>
        <v>VerifyTradingTransaction</v>
      </c>
      <c r="C19" s="3" t="str">
        <f ca="1">IFERROR(__xludf.DUMMYFUNCTION("""COMPUTED_VALUE"""),"1sb5hLWphJMJ2xTKTRNOJjvQEU_0qrIRbZDT1iG8x6NQ")</f>
        <v>1sb5hLWphJMJ2xTKTRNOJjvQEU_0qrIRbZDT1iG8x6NQ</v>
      </c>
      <c r="D19" s="3" t="str">
        <f ca="1">IFERROR(__xludf.DUMMYFUNCTION("""COMPUTED_VALUE"""),"")</f>
        <v/>
      </c>
      <c r="E19" s="3" t="str">
        <f ca="1">IFERROR(__xludf.DUMMYFUNCTION("""COMPUTED_VALUE"""),"")</f>
        <v/>
      </c>
      <c r="F19" s="3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3" t="str">
        <f ca="1">IFERROR(__xludf.DUMMYFUNCTION("""COMPUTED_VALUE"""),"GeneralLedger")</f>
        <v>GeneralLedger</v>
      </c>
      <c r="B20" s="3" t="str">
        <f ca="1">IFERROR(__xludf.DUMMYFUNCTION("""COMPUTED_VALUE"""),"VerifyRevaluationData")</f>
        <v>VerifyRevaluationData</v>
      </c>
      <c r="C20" s="3" t="str">
        <f ca="1">IFERROR(__xludf.DUMMYFUNCTION("""COMPUTED_VALUE"""),"1lEzEveo6PgW6NVJdwJVDWChZaDlt6_1d0yWGRisG41s")</f>
        <v>1lEzEveo6PgW6NVJdwJVDWChZaDlt6_1d0yWGRisG41s</v>
      </c>
      <c r="D20" s="3" t="str">
        <f ca="1">IFERROR(__xludf.DUMMYFUNCTION("""COMPUTED_VALUE"""),"")</f>
        <v/>
      </c>
      <c r="E20" s="3" t="str">
        <f ca="1">IFERROR(__xludf.DUMMYFUNCTION("""COMPUTED_VALUE"""),"")</f>
        <v/>
      </c>
      <c r="F20" s="3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3" t="str">
        <f ca="1">IFERROR(__xludf.DUMMYFUNCTION("""COMPUTED_VALUE"""),"CorporateAction")</f>
        <v>CorporateAction</v>
      </c>
      <c r="B21" s="3" t="str">
        <f ca="1">IFERROR(__xludf.DUMMYFUNCTION("""COMPUTED_VALUE"""),"CorporateAction")</f>
        <v>CorporateAction</v>
      </c>
      <c r="C21" s="3" t="str">
        <f ca="1">IFERROR(__xludf.DUMMYFUNCTION("""COMPUTED_VALUE"""),"13QRlt6FtrzEz4ck-_pvtQDoShnPxNGhvatv13pX2HhY")</f>
        <v>13QRlt6FtrzEz4ck-_pvtQDoShnPxNGhvatv13pX2HhY</v>
      </c>
      <c r="D21" s="3" t="str">
        <f ca="1">IFERROR(__xludf.DUMMYFUNCTION("""COMPUTED_VALUE"""),"")</f>
        <v/>
      </c>
      <c r="E21" s="3" t="str">
        <f ca="1">IFERROR(__xludf.DUMMYFUNCTION("""COMPUTED_VALUE"""),"")</f>
        <v/>
      </c>
      <c r="F21" s="3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3" t="str">
        <f ca="1">IFERROR(__xludf.DUMMYFUNCTION("""COMPUTED_VALUE"""),"CreateTransaction")</f>
        <v>CreateTransaction</v>
      </c>
      <c r="B22" s="3" t="str">
        <f ca="1">IFERROR(__xludf.DUMMYFUNCTION("""COMPUTED_VALUE"""),"CreateTransaction")</f>
        <v>CreateTransaction</v>
      </c>
      <c r="C22" s="3" t="str">
        <f ca="1">IFERROR(__xludf.DUMMYFUNCTION("""COMPUTED_VALUE"""),"1U3AznbtrREGBESvlk0BE41sHVstNQMXBv0rz7n6hmV4")</f>
        <v>1U3AznbtrREGBESvlk0BE41sHVstNQMXBv0rz7n6hmV4</v>
      </c>
      <c r="D22" s="3" t="str">
        <f ca="1">IFERROR(__xludf.DUMMYFUNCTION("""COMPUTED_VALUE"""),"")</f>
        <v/>
      </c>
      <c r="E22" s="3" t="str">
        <f ca="1">IFERROR(__xludf.DUMMYFUNCTION("""COMPUTED_VALUE"""),"")</f>
        <v/>
      </c>
      <c r="F22" s="3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3" t="str">
        <f ca="1">IFERROR(__xludf.DUMMYFUNCTION("""COMPUTED_VALUE"""),"DailyValuation")</f>
        <v>DailyValuation</v>
      </c>
      <c r="B23" s="3" t="str">
        <f ca="1">IFERROR(__xludf.DUMMYFUNCTION("""COMPUTED_VALUE"""),"UpdateBeta")</f>
        <v>UpdateBeta</v>
      </c>
      <c r="C23" s="3" t="str">
        <f ca="1">IFERROR(__xludf.DUMMYFUNCTION("""COMPUTED_VALUE"""),"1CNXkbQ3clbbk2GA1D_o7mwbOXh3TyoxE-Yi_zMNFThE")</f>
        <v>1CNXkbQ3clbbk2GA1D_o7mwbOXh3TyoxE-Yi_zMNFThE</v>
      </c>
      <c r="D23" s="3" t="str">
        <f ca="1">IFERROR(__xludf.DUMMYFUNCTION("""COMPUTED_VALUE"""),"")</f>
        <v/>
      </c>
      <c r="E23" s="3" t="str">
        <f ca="1">IFERROR(__xludf.DUMMYFUNCTION("""COMPUTED_VALUE"""),"")</f>
        <v/>
      </c>
      <c r="F23" s="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3" t="str">
        <f ca="1">IFERROR(__xludf.DUMMYFUNCTION("""COMPUTED_VALUE"""),"DailyValuation")</f>
        <v>DailyValuation</v>
      </c>
      <c r="B24" s="3" t="str">
        <f ca="1">IFERROR(__xludf.DUMMYFUNCTION("""COMPUTED_VALUE"""),"UpdateDailyCash")</f>
        <v>UpdateDailyCash</v>
      </c>
      <c r="C24" s="3" t="str">
        <f ca="1">IFERROR(__xludf.DUMMYFUNCTION("""COMPUTED_VALUE"""),"1MJQnzJKtIwrFYxgQuyxiDRTHx2AlxPGsZAP8b3EZ-cU")</f>
        <v>1MJQnzJKtIwrFYxgQuyxiDRTHx2AlxPGsZAP8b3EZ-cU</v>
      </c>
      <c r="D24" s="3" t="str">
        <f ca="1">IFERROR(__xludf.DUMMYFUNCTION("""COMPUTED_VALUE"""),"")</f>
        <v/>
      </c>
      <c r="E24" s="3" t="str">
        <f ca="1">IFERROR(__xludf.DUMMYFUNCTION("""COMPUTED_VALUE"""),"")</f>
        <v/>
      </c>
      <c r="F24" s="3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3" t="str">
        <f ca="1">IFERROR(__xludf.DUMMYFUNCTION("""COMPUTED_VALUE"""),"DailyValuation")</f>
        <v>DailyValuation</v>
      </c>
      <c r="B25" s="3" t="str">
        <f ca="1">IFERROR(__xludf.DUMMYFUNCTION("""COMPUTED_VALUE"""),"UpdateForexConversion")</f>
        <v>UpdateForexConversion</v>
      </c>
      <c r="C25" s="3" t="str">
        <f ca="1">IFERROR(__xludf.DUMMYFUNCTION("""COMPUTED_VALUE"""),"1vWjOmgJTnkrrDe2RU7RrXFM8W1oU4UaYst8SzDg0euw")</f>
        <v>1vWjOmgJTnkrrDe2RU7RrXFM8W1oU4UaYst8SzDg0euw</v>
      </c>
      <c r="D25" s="3" t="str">
        <f ca="1">IFERROR(__xludf.DUMMYFUNCTION("""COMPUTED_VALUE"""),"")</f>
        <v/>
      </c>
      <c r="E25" s="3" t="str">
        <f ca="1">IFERROR(__xludf.DUMMYFUNCTION("""COMPUTED_VALUE"""),"")</f>
        <v/>
      </c>
      <c r="F25" s="3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3" t="str">
        <f ca="1">IFERROR(__xludf.DUMMYFUNCTION("""COMPUTED_VALUE"""),"DailyValuation")</f>
        <v>DailyValuation</v>
      </c>
      <c r="B26" s="3" t="str">
        <f ca="1">IFERROR(__xludf.DUMMYFUNCTION("""COMPUTED_VALUE"""),"UpdateMarkPrice")</f>
        <v>UpdateMarkPrice</v>
      </c>
      <c r="C26" s="3" t="str">
        <f ca="1">IFERROR(__xludf.DUMMYFUNCTION("""COMPUTED_VALUE"""),"1imSp2lI_j9rl6xDk0XwhbDSdSXaQMcClNz2DL64EnRQ")</f>
        <v>1imSp2lI_j9rl6xDk0XwhbDSdSXaQMcClNz2DL64EnRQ</v>
      </c>
      <c r="D26" s="3" t="str">
        <f ca="1">IFERROR(__xludf.DUMMYFUNCTION("""COMPUTED_VALUE"""),"")</f>
        <v/>
      </c>
      <c r="E26" s="3" t="str">
        <f ca="1">IFERROR(__xludf.DUMMYFUNCTION("""COMPUTED_VALUE"""),"")</f>
        <v/>
      </c>
      <c r="F26" s="3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3" t="str">
        <f ca="1">IFERROR(__xludf.DUMMYFUNCTION("""COMPUTED_VALUE"""),"Import")</f>
        <v>Import</v>
      </c>
      <c r="B27" s="3" t="str">
        <f ca="1">IFERROR(__xludf.DUMMYFUNCTION("""COMPUTED_VALUE"""),"Import")</f>
        <v>Import</v>
      </c>
      <c r="C27" s="3" t="str">
        <f ca="1">IFERROR(__xludf.DUMMYFUNCTION("""COMPUTED_VALUE"""),"1Xklp_ORwWwTAkPZs6ToZiboljE1DKFIy1dYbB7Nwxeo")</f>
        <v>1Xklp_ORwWwTAkPZs6ToZiboljE1DKFIy1dYbB7Nwxeo</v>
      </c>
      <c r="D27" s="3" t="str">
        <f ca="1">IFERROR(__xludf.DUMMYFUNCTION("""COMPUTED_VALUE"""),"")</f>
        <v/>
      </c>
      <c r="E27" s="3" t="str">
        <f ca="1">IFERROR(__xludf.DUMMYFUNCTION("""COMPUTED_VALUE"""),"")</f>
        <v/>
      </c>
      <c r="F27" s="3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3" t="str">
        <f ca="1">IFERROR(__xludf.DUMMYFUNCTION("""COMPUTED_VALUE"""),"PortfolioManagement")</f>
        <v>PortfolioManagement</v>
      </c>
      <c r="B28" s="3" t="str">
        <f ca="1">IFERROR(__xludf.DUMMYFUNCTION("""COMPUTED_VALUE"""),"CheckDashboardPM")</f>
        <v>CheckDashboardPM</v>
      </c>
      <c r="C28" s="3" t="str">
        <f ca="1">IFERROR(__xludf.DUMMYFUNCTION("""COMPUTED_VALUE"""),"1tcLtA2gXel0_UrZscgrHA-N6e3zlvl4sVWWwXiieBKM")</f>
        <v>1tcLtA2gXel0_UrZscgrHA-N6e3zlvl4sVWWwXiieBKM</v>
      </c>
      <c r="D28" s="3" t="str">
        <f ca="1">IFERROR(__xludf.DUMMYFUNCTION("""COMPUTED_VALUE"""),"")</f>
        <v/>
      </c>
      <c r="E28" s="3" t="str">
        <f ca="1">IFERROR(__xludf.DUMMYFUNCTION("""COMPUTED_VALUE"""),"")</f>
        <v/>
      </c>
      <c r="F28" s="3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3" t="str">
        <f ca="1">IFERROR(__xludf.DUMMYFUNCTION("""COMPUTED_VALUE"""),"PortfolioManagement")</f>
        <v>PortfolioManagement</v>
      </c>
      <c r="B29" s="3" t="str">
        <f ca="1">IFERROR(__xludf.DUMMYFUNCTION("""COMPUTED_VALUE"""),"CheckPortfolioManagement")</f>
        <v>CheckPortfolioManagement</v>
      </c>
      <c r="C29" s="3" t="str">
        <f ca="1">IFERROR(__xludf.DUMMYFUNCTION("""COMPUTED_VALUE"""),"1jlosuMTU29KTyjeAFTYmrHWlAB6CEC0jii0qlD9TRcg")</f>
        <v>1jlosuMTU29KTyjeAFTYmrHWlAB6CEC0jii0qlD9TRcg</v>
      </c>
      <c r="D29" s="3" t="str">
        <f ca="1">IFERROR(__xludf.DUMMYFUNCTION("""COMPUTED_VALUE"""),"")</f>
        <v/>
      </c>
      <c r="E29" s="3" t="str">
        <f ca="1">IFERROR(__xludf.DUMMYFUNCTION("""COMPUTED_VALUE"""),"")</f>
        <v/>
      </c>
      <c r="F29" s="3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3" t="str">
        <f ca="1">IFERROR(__xludf.DUMMYFUNCTION("""COMPUTED_VALUE"""),"PricingInput")</f>
        <v>PricingInput</v>
      </c>
      <c r="B30" s="3" t="str">
        <f ca="1">IFERROR(__xludf.DUMMYFUNCTION("""COMPUTED_VALUE"""),"PricingInput")</f>
        <v>PricingInput</v>
      </c>
      <c r="C30" s="3" t="str">
        <f ca="1">IFERROR(__xludf.DUMMYFUNCTION("""COMPUTED_VALUE"""),"11KHhNm8RLohP-VpaLwq6rsmNz-2i7xntRhrQfYhRAx0")</f>
        <v>11KHhNm8RLohP-VpaLwq6rsmNz-2i7xntRhrQfYhRAx0</v>
      </c>
      <c r="D30" s="3" t="str">
        <f ca="1">IFERROR(__xludf.DUMMYFUNCTION("""COMPUTED_VALUE"""),"")</f>
        <v/>
      </c>
      <c r="E30" s="3" t="str">
        <f ca="1">IFERROR(__xludf.DUMMYFUNCTION("""COMPUTED_VALUE"""),"")</f>
        <v/>
      </c>
      <c r="F30" s="3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3" t="str">
        <f ca="1">IFERROR(__xludf.DUMMYFUNCTION("""COMPUTED_VALUE"""),"PricingInput")</f>
        <v>PricingInput</v>
      </c>
      <c r="B31" s="3" t="str">
        <f ca="1">IFERROR(__xludf.DUMMYFUNCTION("""COMPUTED_VALUE"""),"UpdateSharesOutstanding")</f>
        <v>UpdateSharesOutstanding</v>
      </c>
      <c r="C31" s="3" t="str">
        <f ca="1">IFERROR(__xludf.DUMMYFUNCTION("""COMPUTED_VALUE"""),"1PdT_XD2ygw4JJVdYoIs50QvPcsEABM_VLcTPHeNoHJU")</f>
        <v>1PdT_XD2ygw4JJVdYoIs50QvPcsEABM_VLcTPHeNoHJU</v>
      </c>
      <c r="D31" s="3" t="str">
        <f ca="1">IFERROR(__xludf.DUMMYFUNCTION("""COMPUTED_VALUE"""),"")</f>
        <v/>
      </c>
      <c r="E31" s="3" t="str">
        <f ca="1">IFERROR(__xludf.DUMMYFUNCTION("""COMPUTED_VALUE"""),"")</f>
        <v/>
      </c>
      <c r="F31" s="3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3" t="str">
        <f ca="1">IFERROR(__xludf.DUMMYFUNCTION("""COMPUTED_VALUE"""),"SymbolLookup")</f>
        <v>SymbolLookup</v>
      </c>
      <c r="B32" s="3" t="str">
        <f ca="1">IFERROR(__xludf.DUMMYFUNCTION("""COMPUTED_VALUE"""),"SymbolLookup")</f>
        <v>SymbolLookup</v>
      </c>
      <c r="C32" s="3" t="str">
        <f ca="1">IFERROR(__xludf.DUMMYFUNCTION("""COMPUTED_VALUE"""),"13wntx9WqAX9N4c95BRL3KcR6jNRx1TksT8NNSQYGV5c")</f>
        <v>13wntx9WqAX9N4c95BRL3KcR6jNRx1TksT8NNSQYGV5c</v>
      </c>
      <c r="D32" s="3" t="str">
        <f ca="1">IFERROR(__xludf.DUMMYFUNCTION("""COMPUTED_VALUE"""),"")</f>
        <v/>
      </c>
      <c r="E32" s="3" t="str">
        <f ca="1">IFERROR(__xludf.DUMMYFUNCTION("""COMPUTED_VALUE"""),"")</f>
        <v/>
      </c>
      <c r="F32" s="3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3" t="str">
        <f ca="1">IFERROR(__xludf.DUMMYFUNCTION("""COMPUTED_VALUE"""),"SymbolLookup")</f>
        <v>SymbolLookup</v>
      </c>
      <c r="B33" s="3" t="str">
        <f ca="1">IFERROR(__xludf.DUMMYFUNCTION("""COMPUTED_VALUE"""),"SymbolLookupFromTT")</f>
        <v>SymbolLookupFromTT</v>
      </c>
      <c r="C33" s="3" t="str">
        <f ca="1">IFERROR(__xludf.DUMMYFUNCTION("""COMPUTED_VALUE"""),"1U-r-NVGWjcDrLtmbBe4q_z4ma0nFn5vURm5UbooCaAA")</f>
        <v>1U-r-NVGWjcDrLtmbBe4q_z4ma0nFn5vURm5UbooCaAA</v>
      </c>
      <c r="D33" s="3" t="str">
        <f ca="1">IFERROR(__xludf.DUMMYFUNCTION("""COMPUTED_VALUE"""),"")</f>
        <v/>
      </c>
      <c r="E33" s="3" t="str">
        <f ca="1">IFERROR(__xludf.DUMMYFUNCTION("""COMPUTED_VALUE"""),"")</f>
        <v/>
      </c>
      <c r="F33" s="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IFERROR(__xludf.DUMMYFUNCTION("""COMPUTED_VALUE"""),"1vsm2_YSBXZi8OIpiN28kenbceEgqL9S7LNdggQFZp-o")</f>
        <v>1vsm2_YSBXZi8OIpiN28kenbceEgqL9S7LNdggQFZp-o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IFERROR(__xludf.DUMMYFUNCTION("""COMPUTED_VALUE"""),"113l9CuPjrKrbaEU9Db_hlEefld2T603Eq3eXUpMHNaM")</f>
        <v>113l9CuPjrKrbaEU9Db_hlEefld2T603Eq3eXUpMHNaM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IFERROR(__xludf.DUMMYFUNCTION("""COMPUTED_VALUE"""),"1yJlJ8t2fOgKGapX0rgaYkmU7Zi6rbVVUg7Uf7FIlO4Q")</f>
        <v>1yJlJ8t2fOgKGapX0rgaYkmU7Zi6rbVVUg7Uf7FIlO4Q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IFERROR(__xludf.DUMMYFUNCTION("""COMPUTED_VALUE"""),"11aPQm5cFlA1YwP3O-0mfffeOGhmKLYgbmghxoqj2q8I")</f>
        <v>11aPQm5cFlA1YwP3O-0mfffeOGhmKLYgbmghxoqj2q8I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IFERROR(__xludf.DUMMYFUNCTION("""COMPUTED_VALUE"""),"undefined")</f>
        <v>undefined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IFERROR(__xludf.DUMMYFUNCTION("""COMPUTED_VALUE"""),"18MunnjI6F6pGC4IrIRW93UX7vDQwHVlZ5DEKtmkdFvc")</f>
        <v>18MunnjI6F6pGC4IrIRW93UX7vDQwHVlZ5DEKtmkdFvc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IFERROR(__xludf.DUMMYFUNCTION("""COMPUTED_VALUE"""),"1AP_eEIfJxa8QgI8xhkMF8GtLKIeYfSvgmNUasy6dreI")</f>
        <v>1AP_eEIfJxa8QgI8xhkMF8GtLKIeYfSvgmNUasy6dreI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IFERROR(__xludf.DUMMYFUNCTION("""COMPUTED_VALUE"""),"1opm71t3M4oXpxf2RI-Wuz5z1QHqCp9TEgfuQ7oCz0xE")</f>
        <v>1opm71t3M4oXpxf2RI-Wuz5z1QHqCp9TEgfuQ7oCz0xE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IFERROR(__xludf.DUMMYFUNCTION("""COMPUTED_VALUE"""),"Allocation")</f>
        <v>Allocation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IFERROR(__xludf.DUMMYFUNCTION("""COMPUTED_VALUE"""),"CorporateAction")</f>
        <v>CorporateAction</v>
      </c>
      <c r="B43" t="str">
        <f ca="1">IFERROR(__xludf.DUMMYFUNCTION("""COMPUTED_VALUE"""),"CleanUp")</f>
        <v>CleanUp</v>
      </c>
      <c r="C43" t="str">
        <f ca="1">IFERROR(__xludf.DUMMYFUNCTION("""COMPUTED_VALUE"""),"1yKfXi9Wrs1Z4oWJsyv_fS1XRU8t9Yc-BFO3yg6BGs1Y")</f>
        <v>1yKfXi9Wrs1Z4oWJsyv_fS1XRU8t9Yc-BFO3yg6BGs1Y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IFERROR(__xludf.DUMMYFUNCTION("""COMPUTED_VALUE"""),"RunPST")</f>
        <v>RunPST</v>
      </c>
      <c r="C44" t="str">
        <f ca="1">IFERROR(__xludf.DUMMYFUNCTION("""COMPUTED_VALUE"""),"1VSQ6IwJ4pezpKTqar_XWSclLe91q9Lw6AY0M8NXUTj0")</f>
        <v>1VSQ6IwJ4pezpKTqar_XWSclLe91q9Lw6AY0M8NXUTj0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IFERROR(__xludf.DUMMYFUNCTION("""COMPUTED_VALUE"""),"PSTInputData")</f>
        <v>PSTInputData</v>
      </c>
      <c r="C45" t="str">
        <f ca="1">IFERROR(__xludf.DUMMYFUNCTION("""COMPUTED_VALUE"""),"17sM4xgxOodsEuKRSioVHgcwwUZaK_tJ1_6boyqEd7mc")</f>
        <v>17sM4xgxOodsEuKRSioVHgcwwUZaK_tJ1_6boyqEd7mc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IFERROR(__xludf.DUMMYFUNCTION("""COMPUTED_VALUE"""),"PSTVerifyData")</f>
        <v>PSTVerifyData</v>
      </c>
      <c r="C46" t="str">
        <f ca="1">IFERROR(__xludf.DUMMYFUNCTION("""COMPUTED_VALUE"""),"1oCS116PeoESDNYOzRheZAT8u0oP96ZUB99b_67ABYTk")</f>
        <v>1oCS116PeoESDNYOzRheZAT8u0oP96ZUB99b_67ABYTk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IFERROR(__xludf.DUMMYFUNCTION("""COMPUTED_VALUE"""),"PST")</f>
        <v>PST</v>
      </c>
      <c r="B47" t="str">
        <f ca="1">IFERROR(__xludf.DUMMYFUNCTION("""COMPUTED_VALUE"""),"PSTFunctionalities")</f>
        <v>PSTFunctionalities</v>
      </c>
      <c r="C47" t="str">
        <f ca="1">IFERROR(__xludf.DUMMYFUNCTION("""COMPUTED_VALUE"""),"1Cf1DK3hqJJb1S41GFHX0VAwht7BlnNs3d6pKcZLg114")</f>
        <v>1Cf1DK3hqJJb1S41GFHX0VAwht7BlnNs3d6pKcZLg114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IFERROR(__xludf.DUMMYFUNCTION("""COMPUTED_VALUE"""),"PortfolioManagement")</f>
        <v>PortfolioManagement</v>
      </c>
      <c r="B48" t="str">
        <f ca="1">IFERROR(__xludf.DUMMYFUNCTION("""COMPUTED_VALUE"""),"OpenPSTFromPM")</f>
        <v>OpenPSTFromPM</v>
      </c>
      <c r="C48" t="str">
        <f ca="1">IFERROR(__xludf.DUMMYFUNCTION("""COMPUTED_VALUE"""),"1TGYvqBYODHc-1ufnvWIsaSwNe9a8CCDyfc2v9fQbGUw")</f>
        <v>1TGYvqBYODHc-1ufnvWIsaSwNe9a8CCDyfc2v9fQbGUw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IFERROR(__xludf.DUMMYFUNCTION("""COMPUTED_VALUE"""),"TradingTicket")</f>
        <v>TradingTicket</v>
      </c>
      <c r="B49" t="str">
        <f ca="1">IFERROR(__xludf.DUMMYFUNCTION("""COMPUTED_VALUE"""),"OpenTTFromPST")</f>
        <v>OpenTTFromPST</v>
      </c>
      <c r="C49" t="str">
        <f ca="1">IFERROR(__xludf.DUMMYFUNCTION("""COMPUTED_VALUE"""),"1nYsi0pqkbKZQdUU_eEcsrweTr-dTC-7LyuUJGvKUPQs")</f>
        <v>1nYsi0pqkbKZQdUU_eEcsrweTr-dTC-7LyuUJGvKUPQs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IFERROR(__xludf.DUMMYFUNCTION("""COMPUTED_VALUE"""),"CashDividend")</f>
        <v>CashDividend</v>
      </c>
      <c r="C50" t="str">
        <f ca="1">IFERROR(__xludf.DUMMYFUNCTION("""COMPUTED_VALUE"""),"1MjQXzaxtVJpQLOfCep7bwM0mNuXW47QReePoc9FFHFk")</f>
        <v>1MjQXzaxtVJpQLOfCep7bwM0mNuXW47QReePoc9FFHFk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IFERROR(__xludf.DUMMYFUNCTION("""COMPUTED_VALUE"""),"Exchange")</f>
        <v>Exchange</v>
      </c>
      <c r="C51" t="str">
        <f ca="1">IFERROR(__xludf.DUMMYFUNCTION("""COMPUTED_VALUE"""),"1vpxqkZJuj6Mtf8YwDIqBA5rFSNWc5VGqudg_Zroan5E")</f>
        <v>1vpxqkZJuj6Mtf8YwDIqBA5rFSNWc5VGqudg_Zroan5E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IFERROR(__xludf.DUMMYFUNCTION("""COMPUTED_VALUE"""),"Merger")</f>
        <v>Merger</v>
      </c>
      <c r="C52" t="str">
        <f ca="1">IFERROR(__xludf.DUMMYFUNCTION("""COMPUTED_VALUE"""),"1PeWBKsBJVUG8AL27NGtn6RUIv-YDUvFOmabPMiqupxU")</f>
        <v>1PeWBKsBJVUG8AL27NGtn6RUIv-YDUvFOmabPMiqupxU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IFERROR(__xludf.DUMMYFUNCTION("""COMPUTED_VALUE"""),"NameChange")</f>
        <v>NameChange</v>
      </c>
      <c r="C53" t="str">
        <f ca="1">IFERROR(__xludf.DUMMYFUNCTION("""COMPUTED_VALUE"""),"16r5wRvyWMTQo2sCc8goWi_bvWmnbkNZSSxKMCk4p3LE")</f>
        <v>16r5wRvyWMTQo2sCc8goWi_bvWmnbkNZSSxKMCk4p3LE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IFERROR(__xludf.DUMMYFUNCTION("""COMPUTED_VALUE"""),"SpinOff")</f>
        <v>SpinOff</v>
      </c>
      <c r="C54" t="str">
        <f ca="1">IFERROR(__xludf.DUMMYFUNCTION("""COMPUTED_VALUE"""),"1jBlBEIEYhFzCIVXiahDvEpL7ruX1JQVPWSe5dZTpofI")</f>
        <v>1jBlBEIEYhFzCIVXiahDvEpL7ruX1JQVPWSe5dZTpofI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IFERROR(__xludf.DUMMYFUNCTION("""COMPUTED_VALUE"""),"Split")</f>
        <v>Split</v>
      </c>
      <c r="C55" t="str">
        <f ca="1">IFERROR(__xludf.DUMMYFUNCTION("""COMPUTED_VALUE"""),"1omFpHI-v68Lp3Rwx-zsOlom4SmkeuobtvSnjS46PTHA")</f>
        <v>1omFpHI-v68Lp3Rwx-zsOlom4SmkeuobtvSnjS46PTHA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IFERROR(__xludf.DUMMYFUNCTION("""COMPUTED_VALUE"""),"CorporateAction")</f>
        <v>CorporateAction</v>
      </c>
      <c r="B56" t="str">
        <f ca="1">IFERROR(__xludf.DUMMYFUNCTION("""COMPUTED_VALUE"""),"StockDividend")</f>
        <v>StockDividend</v>
      </c>
      <c r="C56" t="str">
        <f ca="1">IFERROR(__xludf.DUMMYFUNCTION("""COMPUTED_VALUE"""),"1hhW3ty6WkC49bwzN9ZpbSOrhuVnIl5_Ghc-XqPZXLE4")</f>
        <v>1hhW3ty6WkC49bwzN9ZpbSOrhuVnIl5_Ghc-XqPZXLE4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IFERROR(__xludf.DUMMYFUNCTION("""COMPUTED_VALUE"""),"TradingTicket")</f>
        <v>TradingTicket</v>
      </c>
      <c r="B57" t="str">
        <f ca="1">IFERROR(__xludf.DUMMYFUNCTION("""COMPUTED_VALUE"""),"EnterDetailsOnTT")</f>
        <v>EnterDetailsOnTT</v>
      </c>
      <c r="C57" t="str">
        <f ca="1">IFERROR(__xludf.DUMMYFUNCTION("""COMPUTED_VALUE"""),"Undefined")</f>
        <v>Undefined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IFERROR(__xludf.DUMMYFUNCTION("""COMPUTED_VALUE"""),"DailyValuation")</f>
        <v>DailyValuation</v>
      </c>
      <c r="B58" t="str">
        <f ca="1">IFERROR(__xludf.DUMMYFUNCTION("""COMPUTED_VALUE"""),"CleanUp")</f>
        <v>CleanUp</v>
      </c>
      <c r="C58" t="str">
        <f ca="1">IFERROR(__xludf.DUMMYFUNCTION("""COMPUTED_VALUE"""),"Undefined")</f>
        <v>Undefined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IFERROR(__xludf.DUMMYFUNCTION("""COMPUTED_VALUE"""),"EditUnallocatedGroupSidePanel")</f>
        <v>EditUnallocatedGroupSidePanel</v>
      </c>
      <c r="C59" t="str">
        <f ca="1">IFERROR(__xludf.DUMMYFUNCTION("""COMPUTED_VALUE"""),"1Puf64dq5ArnkHl5MlqGRRth_X5FbZocMeUJmAAGWbeg")</f>
        <v>1Puf64dq5ArnkHl5MlqGRRth_X5FbZocMeUJmAAGWbeg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IFERROR(__xludf.DUMMYFUNCTION("""COMPUTED_VALUE"""),"TradeAttributeBulkChange")</f>
        <v>TradeAttributeBulkChange</v>
      </c>
      <c r="C60" t="str">
        <f ca="1">IFERROR(__xludf.DUMMYFUNCTION("""COMPUTED_VALUE"""),"1FHCcAAJpF959fSJbB_7tvdDUyYjVTPYFyD3lsZJ7nlI")</f>
        <v>1FHCcAAJpF959fSJbB_7tvdDUyYjVTPYFyD3lsZJ7nlI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IFERROR(__xludf.DUMMYFUNCTION("""COMPUTED_VALUE"""),"ApplyBulkUpdateOnGroups")</f>
        <v>ApplyBulkUpdateOnGroups</v>
      </c>
      <c r="C61" t="str">
        <f ca="1">IFERROR(__xludf.DUMMYFUNCTION("""COMPUTED_VALUE"""),"1V-rPEaxXkWvTaBI6kLSr4VNZVhPEETddej7HOqEWOGM")</f>
        <v>1V-rPEaxXkWvTaBI6kLSr4VNZVhPEETddej7HOqEWOGM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IFERROR(__xludf.DUMMYFUNCTION("""COMPUTED_VALUE"""),"ApplyPrefetchFilters")</f>
        <v>ApplyPrefetchFilters</v>
      </c>
      <c r="C62" t="str">
        <f ca="1">IFERROR(__xludf.DUMMYFUNCTION("""COMPUTED_VALUE"""),"1DDIAGBrqMcuD1mwWkYSyWI3otIoTwAaE-KDgmvvISbY")</f>
        <v>1DDIAGBrqMcuD1mwWkYSyWI3otIoTwAaE-KDgmvvISbY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IFERROR(__xludf.DUMMYFUNCTION("""COMPUTED_VALUE"""),"GeneralPreferencesDefaultRule")</f>
        <v>GeneralPreferencesDefaultRule</v>
      </c>
      <c r="C63" t="str">
        <f ca="1">IFERROR(__xludf.DUMMYFUNCTION("""COMPUTED_VALUE"""),"1R4ZJCGf_1PDcFbYLXVkxL4TCg4DUhFFr0tCr4YYqpbs")</f>
        <v>1R4ZJCGf_1PDcFbYLXVkxL4TCg4DUhFFr0tCr4YYqpbs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IFERROR(__xludf.DUMMYFUNCTION("""COMPUTED_VALUE"""),"GeneralPrefCompanyUserWise")</f>
        <v>GeneralPrefCompanyUserWise</v>
      </c>
      <c r="C64" t="str">
        <f ca="1">IFERROR(__xludf.DUMMYFUNCTION("""COMPUTED_VALUE"""),"10vB8vLD1WkONjnUNgE7Ms7WI8t3sKQL8r8cvEkoz3AE")</f>
        <v>10vB8vLD1WkONjnUNgE7Ms7WI8t3sKQL8r8cvEkoz3AE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IFERROR(__xludf.DUMMYFUNCTION("""COMPUTED_VALUE"""),"RenameTradeAttributes")</f>
        <v>RenameTradeAttributes</v>
      </c>
      <c r="C65" t="str">
        <f ca="1">IFERROR(__xludf.DUMMYFUNCTION("""COMPUTED_VALUE"""),"13BXj4Pwa21SO29BZgDmyqO2qu8LoYR2rp0VfriKezE4")</f>
        <v>13BXj4Pwa21SO29BZgDmyqO2qu8LoYR2rp0VfriKezE4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IFERROR(__xludf.DUMMYFUNCTION("""COMPUTED_VALUE"""),"SetGroupingRules")</f>
        <v>SetGroupingRules</v>
      </c>
      <c r="C66" t="str">
        <f ca="1">IFERROR(__xludf.DUMMYFUNCTION("""COMPUTED_VALUE"""),"1B3UaAguEgzNwXr2kbF8QRjzhSIm3hLCRgAGz-uVEQOc")</f>
        <v>1B3UaAguEgzNwXr2kbF8QRjzhSIm3hLCRgAGz-uVEQOc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IFERROR(__xludf.DUMMYFUNCTION("""COMPUTED_VALUE"""),"SetMasterFundRatio")</f>
        <v>SetMasterFundRatio</v>
      </c>
      <c r="C67" t="str">
        <f ca="1">IFERROR(__xludf.DUMMYFUNCTION("""COMPUTED_VALUE"""),"1sA2_WarReWKLs7XI77Mi-BkKd0Q0Afg_3ekw7ZjNtJM")</f>
        <v>1sA2_WarReWKLs7XI77Mi-BkKd0Q0Afg_3ekw7ZjNtJM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IFERROR(__xludf.DUMMYFUNCTION("""COMPUTED_VALUE"""),"CheckFixedPreference")</f>
        <v>CheckFixedPreference</v>
      </c>
      <c r="C68" t="str">
        <f ca="1">IFERROR(__xludf.DUMMYFUNCTION("""COMPUTED_VALUE"""),"1RKMY4bMKW_KvkyXPZnZeJ65fazXFtp9pss2lYCD1WYQ")</f>
        <v>1RKMY4bMKW_KvkyXPZnZeJ65fazXFtp9pss2lYCD1WYQ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IFERROR(__xludf.DUMMYFUNCTION("""COMPUTED_VALUE"""),"GetFixedPreference")</f>
        <v>GetFixedPreference</v>
      </c>
      <c r="C69" t="str">
        <f ca="1">IFERROR(__xludf.DUMMYFUNCTION("""COMPUTED_VALUE"""),"1acNtWzG4Dc6ixrD44RlZ6CXt_Xll_0I8E2p7Nkf41Cs")</f>
        <v>1acNtWzG4Dc6ixrD44RlZ6CXt_Xll_0I8E2p7Nkf41Cs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IFERROR(__xludf.DUMMYFUNCTION("""COMPUTED_VALUE"""),"AddCalculatedPreferences")</f>
        <v>AddCalculatedPreferences</v>
      </c>
      <c r="C70" t="str">
        <f ca="1">IFERROR(__xludf.DUMMYFUNCTION("""COMPUTED_VALUE"""),"1_7Rld-D6klFadVYAkdL8163CArB78e6jyYn4BpByrtY")</f>
        <v>1_7Rld-D6klFadVYAkdL8163CArB78e6jyYn4BpByrtY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IFERROR(__xludf.DUMMYFUNCTION("""COMPUTED_VALUE"""),"BulkChangeCalculatedPreferences")</f>
        <v>BulkChangeCalculatedPreferences</v>
      </c>
      <c r="C71" t="str">
        <f ca="1">IFERROR(__xludf.DUMMYFUNCTION("""COMPUTED_VALUE"""),"1IAN5eO_bWsM1qPTaF8ZvDX7rGJsgAumTpgJSEf0PfTg")</f>
        <v>1IAN5eO_bWsM1qPTaF8ZvDX7rGJsgAumTpgJSEf0PfTg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IFERROR(__xludf.DUMMYFUNCTION("""COMPUTED_VALUE"""),"DeleteCalculatedPreferences")</f>
        <v>DeleteCalculatedPreferences</v>
      </c>
      <c r="C72" t="str">
        <f ca="1">IFERROR(__xludf.DUMMYFUNCTION("""COMPUTED_VALUE"""),"1Sgq2gs7Uts4qFupNg3sWWfGJqkiWAzJdW_NYsJYu65Q")</f>
        <v>1Sgq2gs7Uts4qFupNg3sWWfGJqkiWAzJdW_NYsJYu65Q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IFERROR(__xludf.DUMMYFUNCTION("""COMPUTED_VALUE"""),"RenameCalculatedPreferences")</f>
        <v>RenameCalculatedPreferences</v>
      </c>
      <c r="C73" t="str">
        <f ca="1">IFERROR(__xludf.DUMMYFUNCTION("""COMPUTED_VALUE"""),"1P67nI_HSB1JtSTm5xYUkH42bjWLYdhyC-RrnDPxbjuM")</f>
        <v>1P67nI_HSB1JtSTm5xYUkH42bjWLYdhyC-RrnDPxbjuM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IFERROR(__xludf.DUMMYFUNCTION("""COMPUTED_VALUE"""),"CopyCalculatedPreferences")</f>
        <v>CopyCalculatedPreferences</v>
      </c>
      <c r="C74" t="str">
        <f ca="1">IFERROR(__xludf.DUMMYFUNCTION("""COMPUTED_VALUE"""),"1pkhYcn3cSnx1J-iJbc8n2zy2qcrU8YzrPTyRwBRf8wY")</f>
        <v>1pkhYcn3cSnx1J-iJbc8n2zy2qcrU8YzrPTyRwBRf8wY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IFERROR(__xludf.DUMMYFUNCTION("""COMPUTED_VALUE"""),"RunAutoGroup")</f>
        <v>RunAutoGroup</v>
      </c>
      <c r="C75" t="str">
        <f ca="1">IFERROR(__xludf.DUMMYFUNCTION("""COMPUTED_VALUE"""),"10T7ohLq87eEvrPHwSWb1TlvLJJymDRv_dtGjtvUvN-s")</f>
        <v>10T7ohLq87eEvrPHwSWb1TlvLJJymDRv_dtGjtvUvN-s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IFERROR(__xludf.DUMMYFUNCTION("""COMPUTED_VALUE"""),"BookOrUpdateSwap")</f>
        <v>BookOrUpdateSwap</v>
      </c>
      <c r="C76" t="str">
        <f ca="1">IFERROR(__xludf.DUMMYFUNCTION("""COMPUTED_VALUE"""),"1DbBLggYAW3CVqLkeuuxc6rug-IniEYYxvdHslmrB5nI")</f>
        <v>1DbBLggYAW3CVqLkeuuxc6rug-IniEYYxvdHslmrB5nI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IFERROR(__xludf.DUMMYFUNCTION("""COMPUTED_VALUE"""),"RunProrata")</f>
        <v>RunProrata</v>
      </c>
      <c r="C77" t="str">
        <f ca="1">IFERROR(__xludf.DUMMYFUNCTION("""COMPUTED_VALUE"""),"1y62TQK97wqkFWLhH34n7Upie-qr5gr7cVEudMcvZklc")</f>
        <v>1y62TQK97wqkFWLhH34n7Upie-qr5gr7cVEudMcvZklc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IFERROR(__xludf.DUMMYFUNCTION("""COMPUTED_VALUE"""),"Allocation")</f>
        <v>Allocation</v>
      </c>
      <c r="B78" t="str">
        <f ca="1">IFERROR(__xludf.DUMMYFUNCTION("""COMPUTED_VALUE"""),"SetDefaultRuleCalculatedPref")</f>
        <v>SetDefaultRuleCalculatedPref</v>
      </c>
      <c r="C78" t="str">
        <f ca="1">IFERROR(__xludf.DUMMYFUNCTION("""COMPUTED_VALUE"""),"1sNVW2GoBdY3lAfX-77ohLYc1LMmGvccB-u7ABR-JTyc")</f>
        <v>1sNVW2GoBdY3lAfX-77ohLYc1LMmGvccB-u7ABR-JTyc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IFERROR(__xludf.DUMMYFUNCTION("""COMPUTED_VALUE"""),"SetTTUIPreferences")</f>
        <v>SetTTUIPreferences</v>
      </c>
      <c r="C79" t="str">
        <f ca="1">IFERROR(__xludf.DUMMYFUNCTION("""COMPUTED_VALUE"""),"1JFSZvfWTQDaQU-9QKTimC2zVCK61RVWAOSX1aOUIBvw")</f>
        <v>1JFSZvfWTQDaQU-9QKTimC2zVCK61RVWAOSX1aOUIBvw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IFERROR(__xludf.DUMMYFUNCTION("""COMPUTED_VALUE"""),"Admin")</f>
        <v>Admin</v>
      </c>
      <c r="B80" t="str">
        <f ca="1">IFERROR(__xludf.DUMMYFUNCTION("""COMPUTED_VALUE"""),"TTPermissionLevel")</f>
        <v>TTPermissionLevel</v>
      </c>
      <c r="C80" t="str">
        <f ca="1">IFERROR(__xludf.DUMMYFUNCTION("""COMPUTED_VALUE"""),"1PNHTrG2HndgEb017kC93kjWOG8OYecgJjNZS7Yc9YyY")</f>
        <v>1PNHTrG2HndgEb017kC93kjWOG8OYecgJjNZS7Yc9YyY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IFERROR(__xludf.DUMMYFUNCTION("""COMPUTED_VALUE"""),"ValidateSymbolTT")</f>
        <v>ValidateSymbolTT</v>
      </c>
      <c r="C81" t="str">
        <f ca="1">IFERROR(__xludf.DUMMYFUNCTION("""COMPUTED_VALUE"""),"1rZl5xWUQM6k9EXgXhGs4PVzw76TcfRoshlTYte27ezc")</f>
        <v>1rZl5xWUQM6k9EXgXhGs4PVzw76TcfRoshlTYte27ezc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IFERROR(__xludf.DUMMYFUNCTION("""COMPUTED_VALUE"""),"VerifyDataTT")</f>
        <v>VerifyDataTT</v>
      </c>
      <c r="C82" t="str">
        <f ca="1">IFERROR(__xludf.DUMMYFUNCTION("""COMPUTED_VALUE"""),"Undefined")</f>
        <v>Undefined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IFERROR(__xludf.DUMMYFUNCTION("""COMPUTED_VALUE"""),"SetUIPreferencesTT")</f>
        <v>SetUIPreferencesTT</v>
      </c>
      <c r="C83" t="str">
        <f ca="1">IFERROR(__xludf.DUMMYFUNCTION("""COMPUTED_VALUE"""),"1Pz2v9qjqsj3SVC25rXNiFuACew7mHhiu5U98Awmgjnw")</f>
        <v>1Pz2v9qjqsj3SVC25rXNiFuACew7mHhiu5U98Awmgjnw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IFERROR(__xludf.DUMMYFUNCTION("""COMPUTED_VALUE"""),"TradingTicket")</f>
        <v>TradingTicket</v>
      </c>
      <c r="B84" t="str">
        <f ca="1">IFERROR(__xludf.DUMMYFUNCTION("""COMPUTED_VALUE"""),"SetBrokerWisePreferencesTT")</f>
        <v>SetBrokerWisePreferencesTT</v>
      </c>
      <c r="C84" t="str">
        <f ca="1">IFERROR(__xludf.DUMMYFUNCTION("""COMPUTED_VALUE"""),"1nnQQ2_xVfuZp7dD_8U_uyeAfJmfR0C-DWfDB97V2hzg")</f>
        <v>1nnQQ2_xVfuZp7dD_8U_uyeAfJmfR0C-DWfDB97V2hzg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IFERROR(__xludf.DUMMYFUNCTION("""COMPUTED_VALUE"""),"Blotter")</f>
        <v>Blotter</v>
      </c>
      <c r="B85" t="str">
        <f ca="1">IFERROR(__xludf.DUMMYFUNCTION("""COMPUTED_VALUE"""),"BlotterFunctionalities")</f>
        <v>BlotterFunctionalities</v>
      </c>
      <c r="C85" t="str">
        <f ca="1">IFERROR(__xludf.DUMMYFUNCTION("""COMPUTED_VALUE"""),"1iTAe4QaLJo6EwYBSNQcKj-DioSseRlwrTMDQXMpa8D4")</f>
        <v>1iTAe4QaLJo6EwYBSNQcKj-DioSseRlwrTMDQXMpa8D4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IFERROR(__xludf.DUMMYFUNCTION("""COMPUTED_VALUE"""),"TradingTicket")</f>
        <v>TradingTicket</v>
      </c>
      <c r="B86" t="str">
        <f ca="1">IFERROR(__xludf.DUMMYFUNCTION("""COMPUTED_VALUE"""),"TradeNewSub")</f>
        <v>TradeNewSub</v>
      </c>
      <c r="C86" t="str">
        <f ca="1">IFERROR(__xludf.DUMMYFUNCTION("""COMPUTED_VALUE"""),"1SgoSKeQ0lO7i_p2PGsAXNfIyltE-QoyRLmg0bsHpMBE")</f>
        <v>1SgoSKeQ0lO7i_p2PGsAXNfIyltE-QoyRLmg0bsHpMBE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IFERROR(__xludf.DUMMYFUNCTION("""COMPUTED_VALUE"""),"GetTradingTransaction")</f>
        <v>GetTradingTransaction</v>
      </c>
      <c r="C87" t="str">
        <f ca="1">IFERROR(__xludf.DUMMYFUNCTION("""COMPUTED_VALUE"""),"1S8Id2c4B5t2mIMyAn0AaXH_8x8zflGn9w4iW0sZtXzA")</f>
        <v>1S8Id2c4B5t2mIMyAn0AaXH_8x8zflGn9w4iW0sZtXzA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IFERROR(__xludf.DUMMYFUNCTION("""COMPUTED_VALUE"""),"GeneralLedger")</f>
        <v>GeneralLedger</v>
      </c>
      <c r="B88" t="str">
        <f ca="1">IFERROR(__xludf.DUMMYFUNCTION("""COMPUTED_VALUE"""),"GetActivityData")</f>
        <v>GetActivityData</v>
      </c>
      <c r="C88" t="str">
        <f ca="1">IFERROR(__xludf.DUMMYFUNCTION("""COMPUTED_VALUE"""),"1hlW0GHCWVRKQXuNDzZgW7F-7T7Sym4Fs4Mx3FfbmTSM")</f>
        <v>1hlW0GHCWVRKQXuNDzZgW7F-7T7Sym4Fs4Mx3FfbmTSM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IFERROR(__xludf.DUMMYFUNCTION("""COMPUTED_VALUE"""),"SetAccountValueCalculatedPref")</f>
        <v>SetAccountValueCalculatedPref</v>
      </c>
      <c r="C89" t="str">
        <f ca="1">IFERROR(__xludf.DUMMYFUNCTION("""COMPUTED_VALUE"""),"1G5f5wAaJmF0NakgUGzhlEa1DRIEuT035FcFZMNHZvwg")</f>
        <v>1G5f5wAaJmF0NakgUGzhlEa1DRIEuT035FcFZMNHZvwg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IFERROR(__xludf.DUMMYFUNCTION("""COMPUTED_VALUE"""),"TradeAttributeBulkChangeGroups")</f>
        <v>TradeAttributeBulkChangeGroups</v>
      </c>
      <c r="C90" t="str">
        <f ca="1">IFERROR(__xludf.DUMMYFUNCTION("""COMPUTED_VALUE"""),"1SCVwl9ay7AcS_0FcO_w1ql1YeRDbDYvcguJHYqbfed4")</f>
        <v>1SCVwl9ay7AcS_0FcO_w1ql1YeRDbDYvcguJHYqbfed4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IFERROR(__xludf.DUMMYFUNCTION("""COMPUTED_VALUE"""),"TradeAttributeBulkChangeTaxlots")</f>
        <v>TradeAttributeBulkChangeTaxlots</v>
      </c>
      <c r="C91" t="str">
        <f ca="1">IFERROR(__xludf.DUMMYFUNCTION("""COMPUTED_VALUE"""),"1f8ZeqJtIz9iUcW0CxcnasKjcfFGLYJhJWhRb9e9gtZo")</f>
        <v>1f8ZeqJtIz9iUcW0CxcnasKjcfFGLYJhJWhRb9e9gtZo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IFERROR(__xludf.DUMMYFUNCTION("""COMPUTED_VALUE"""),"Allocation")</f>
        <v>Allocation</v>
      </c>
      <c r="B92" t="str">
        <f ca="1">IFERROR(__xludf.DUMMYFUNCTION("""COMPUTED_VALUE"""),"AddCalculatedPreferenceToolbar")</f>
        <v>AddCalculatedPreferenceToolbar</v>
      </c>
      <c r="C92" t="str">
        <f ca="1">IFERROR(__xludf.DUMMYFUNCTION("""COMPUTED_VALUE"""),"1_7Rld-D6klFadVYAkdL8163CArB78e6jyYn4BpByrtY")</f>
        <v>1_7Rld-D6klFadVYAkdL8163CArB78e6jyYn4BpByrtY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IFERROR(__xludf.DUMMYFUNCTION("""COMPUTED_VALUE"""),"GeneralLedger")</f>
        <v>GeneralLedger</v>
      </c>
      <c r="B93" t="str">
        <f ca="1">IFERROR(__xludf.DUMMYFUNCTION("""COMPUTED_VALUE"""),"GetRevaluationData")</f>
        <v>GetRevaluationData</v>
      </c>
      <c r="C93" t="str">
        <f ca="1">IFERROR(__xludf.DUMMYFUNCTION("""COMPUTED_VALUE"""),"1vx_ncFUHoS9ufX7as5mglPlbWaFvVn4Ff1xYoU469XU")</f>
        <v>1vx_ncFUHoS9ufX7as5mglPlbWaFvVn4Ff1xYoU469XU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IFERROR(__xludf.DUMMYFUNCTION("""COMPUTED_VALUE"""),"Allocation")</f>
        <v>Allocation</v>
      </c>
      <c r="B94" t="str">
        <f ca="1">IFERROR(__xludf.DUMMYFUNCTION("""COMPUTED_VALUE"""),"SetStrategyValueCalculatedPref")</f>
        <v>SetStrategyValueCalculatedPref</v>
      </c>
      <c r="C94" t="str">
        <f ca="1">IFERROR(__xludf.DUMMYFUNCTION("""COMPUTED_VALUE"""),"1khgv_gEZaBpSolDigTrx5wqK3JlmYUxB49a8rtECHVg")</f>
        <v>1khgv_gEZaBpSolDigTrx5wqK3JlmYUxB49a8rtECHVg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IFERROR(__xludf.DUMMYFUNCTION("""COMPUTED_VALUE"""),"GeneralLedger")</f>
        <v>GeneralLedger</v>
      </c>
      <c r="B95" t="str">
        <f ca="1">IFERROR(__xludf.DUMMYFUNCTION("""COMPUTED_VALUE"""),"GetAccountDetails")</f>
        <v>GetAccountDetails</v>
      </c>
      <c r="C95" t="str">
        <f ca="1">IFERROR(__xludf.DUMMYFUNCTION("""COMPUTED_VALUE"""),"1LWFVxJ4mzLZCvF2-gVJbFSriyedFnEfNlvSzFEiUI28")</f>
        <v>1LWFVxJ4mzLZCvF2-gVJbFSriyedFnEfNlvSzFEiUI28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IFERROR(__xludf.DUMMYFUNCTION("""COMPUTED_VALUE"""),"Allocation")</f>
        <v>Allocation</v>
      </c>
      <c r="B96" t="str">
        <f ca="1">IFERROR(__xludf.DUMMYFUNCTION("""COMPUTED_VALUE"""),"ApplyBulkUpdateOnTaxlots")</f>
        <v>ApplyBulkUpdateOnTaxlots</v>
      </c>
      <c r="C96" t="str">
        <f ca="1">IFERROR(__xludf.DUMMYFUNCTION("""COMPUTED_VALUE"""),"1QwpOXM06QwxlfwI1iZf9dDiBMBmhdLOgGhYxPeVY6-E")</f>
        <v>1QwpOXM06QwxlfwI1iZf9dDiBMBmhdLOgGhYxPeVY6-E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IFERROR(__xludf.DUMMYFUNCTION("""COMPUTED_VALUE"""),"GeneralLedger")</f>
        <v>GeneralLedger</v>
      </c>
      <c r="B97" t="str">
        <f ca="1">IFERROR(__xludf.DUMMYFUNCTION("""COMPUTED_VALUE"""),"GetNonTradingTransaction")</f>
        <v>GetNonTradingTransaction</v>
      </c>
      <c r="C97" t="str">
        <f ca="1">IFERROR(__xludf.DUMMYFUNCTION("""COMPUTED_VALUE"""),"1QZbSzxZ4JU3t1HGYkd8howkKJzJ7TJGTdqXXyGJgc_Q")</f>
        <v>1QZbSzxZ4JU3t1HGYkd8howkKJzJ7TJGTdqXXyGJgc_Q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IFERROR(__xludf.DUMMYFUNCTION("""COMPUTED_VALUE"""),"Allocation")</f>
        <v>Allocation</v>
      </c>
      <c r="B98" t="str">
        <f ca="1">IFERROR(__xludf.DUMMYFUNCTION("""COMPUTED_VALUE"""),"CommissionBulkChangeOnGroups")</f>
        <v>CommissionBulkChangeOnGroups</v>
      </c>
      <c r="C98" t="str">
        <f ca="1">IFERROR(__xludf.DUMMYFUNCTION("""COMPUTED_VALUE"""),"1qe0ICgEoegdAsUWiB4vNvCSbW6-h5KJ3Qlqftx-MD0w")</f>
        <v>1qe0ICgEoegdAsUWiB4vNvCSbW6-h5KJ3Qlqftx-MD0w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IFERROR(__xludf.DUMMYFUNCTION("""COMPUTED_VALUE"""),"GeneralLedger")</f>
        <v>GeneralLedger</v>
      </c>
      <c r="B99" t="str">
        <f ca="1">IFERROR(__xludf.DUMMYFUNCTION("""COMPUTED_VALUE"""),"GetDividendData")</f>
        <v>GetDividendData</v>
      </c>
      <c r="C99" t="str">
        <f ca="1">IFERROR(__xludf.DUMMYFUNCTION("""COMPUTED_VALUE"""),"1sr6vAMIcCvbgpi4v0S72vBuqbTM8EkTDX8Mv6R3Ks5U")</f>
        <v>1sr6vAMIcCvbgpi4v0S72vBuqbTM8EkTDX8Mv6R3Ks5U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IFERROR(__xludf.DUMMYFUNCTION("""COMPUTED_VALUE"""),"Allocation")</f>
        <v>Allocation</v>
      </c>
      <c r="B100" t="str">
        <f ca="1">IFERROR(__xludf.DUMMYFUNCTION("""COMPUTED_VALUE"""),"CommissionBulkChangeOnTaxlots")</f>
        <v>CommissionBulkChangeOnTaxlots</v>
      </c>
      <c r="C100" t="str">
        <f ca="1">IFERROR(__xludf.DUMMYFUNCTION("""COMPUTED_VALUE"""),"1gkUOtcIe7F3oYEjzyWMWA1pVaR3FBsowhkFwZPIycyI")</f>
        <v>1gkUOtcIe7F3oYEjzyWMWA1pVaR3FBsowhkFwZPIycyI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IFERROR(__xludf.DUMMYFUNCTION("""COMPUTED_VALUE"""),"GeneralLedger")</f>
        <v>GeneralLedger</v>
      </c>
      <c r="B101" t="str">
        <f ca="1">IFERROR(__xludf.DUMMYFUNCTION("""COMPUTED_VALUE"""),"VerifyNonTradingTransaction")</f>
        <v>VerifyNonTradingTransaction</v>
      </c>
      <c r="C101" t="str">
        <f ca="1">IFERROR(__xludf.DUMMYFUNCTION("""COMPUTED_VALUE"""),"1I9RcNhAEFeXJJ_anSYl3digPJ8tLtj3_wNZsicn6mOM")</f>
        <v>1I9RcNhAEFeXJJ_anSYl3digPJ8tLtj3_wNZsicn6mOM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IFERROR(__xludf.DUMMYFUNCTION("""COMPUTED_VALUE"""),"Allocation")</f>
        <v>Allocation</v>
      </c>
      <c r="B102" t="str">
        <f ca="1">IFERROR(__xludf.DUMMYFUNCTION("""COMPUTED_VALUE"""),"SelectUnallocatedGroup")</f>
        <v>SelectUnallocatedGroup</v>
      </c>
      <c r="C102" t="str">
        <f ca="1">IFERROR(__xludf.DUMMYFUNCTION("""COMPUTED_VALUE"""),"1wWBVdZkDjI0FqvmIvm2qrTIcNFAyVEF_m_62SYl1muk")</f>
        <v>1wWBVdZkDjI0FqvmIvm2qrTIcNFAyVEF_m_62SYl1muk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IFERROR(__xludf.DUMMYFUNCTION("""COMPUTED_VALUE"""),"GeneralLedger")</f>
        <v>GeneralLedger</v>
      </c>
      <c r="B103" t="str">
        <f ca="1">IFERROR(__xludf.DUMMYFUNCTION("""COMPUTED_VALUE"""),"VerifyDividend")</f>
        <v>VerifyDividend</v>
      </c>
      <c r="C103" t="str">
        <f ca="1">IFERROR(__xludf.DUMMYFUNCTION("""COMPUTED_VALUE"""),"1wKe4MjiCaRl5sd6jWgD6huVuJ7bAbFN8UC4TwiOp2tA")</f>
        <v>1wKe4MjiCaRl5sd6jWgD6huVuJ7bAbFN8UC4TwiOp2tA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IFERROR(__xludf.DUMMYFUNCTION("""COMPUTED_VALUE"""),"Allocation")</f>
        <v>Allocation</v>
      </c>
      <c r="B104" t="str">
        <f ca="1">IFERROR(__xludf.DUMMYFUNCTION("""COMPUTED_VALUE"""),"EnterAccountValuesToAllocate")</f>
        <v>EnterAccountValuesToAllocate</v>
      </c>
      <c r="C104" t="str">
        <f ca="1">IFERROR(__xludf.DUMMYFUNCTION("""COMPUTED_VALUE"""),"1uFXzO3A1NTOuw65tisJLaiumUuq3nOtYKMRLVGcJgjQ")</f>
        <v>1uFXzO3A1NTOuw65tisJLaiumUuq3nOtYKMRLVGcJgjQ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IFERROR(__xludf.DUMMYFUNCTION("""COMPUTED_VALUE"""),"GeneralLedger")</f>
        <v>GeneralLedger</v>
      </c>
      <c r="B105" t="str">
        <f ca="1">IFERROR(__xludf.DUMMYFUNCTION("""COMPUTED_VALUE"""),"GetOpeningBalanceData")</f>
        <v>GetOpeningBalanceData</v>
      </c>
      <c r="C105" t="str">
        <f ca="1">IFERROR(__xludf.DUMMYFUNCTION("""COMPUTED_VALUE"""),"1tQ718Drt5Fm_D9zG4XUp--QSW4M9flLwDBjPaghg3rM")</f>
        <v>1tQ718Drt5Fm_D9zG4XUp--QSW4M9flLwDBjPaghg3rM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IFERROR(__xludf.DUMMYFUNCTION("""COMPUTED_VALUE"""),"Allocation")</f>
        <v>Allocation</v>
      </c>
      <c r="B106" t="str">
        <f ca="1">IFERROR(__xludf.DUMMYFUNCTION("""COMPUTED_VALUE"""),"EnterAllocatePreference")</f>
        <v>EnterAllocatePreference</v>
      </c>
      <c r="C106" t="str">
        <f ca="1">IFERROR(__xludf.DUMMYFUNCTION("""COMPUTED_VALUE"""),"1llsMNOqtEsMusMEVvwR0FDXevFZWw5lvPCp_3g82e9k")</f>
        <v>1llsMNOqtEsMusMEVvwR0FDXevFZWw5lvPCp_3g82e9k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IFERROR(__xludf.DUMMYFUNCTION("""COMPUTED_VALUE"""),"GeneralLedger")</f>
        <v>GeneralLedger</v>
      </c>
      <c r="B107" t="str">
        <f ca="1">IFERROR(__xludf.DUMMYFUNCTION("""COMPUTED_VALUE"""),"GetAccountBalance")</f>
        <v>GetAccountBalance</v>
      </c>
      <c r="C107" t="str">
        <f ca="1">IFERROR(__xludf.DUMMYFUNCTION("""COMPUTED_VALUE"""),"1Ac8KdEi6r1AhsEKtE86p383PfNB2WA5cjCaKhTluPHg")</f>
        <v>1Ac8KdEi6r1AhsEKtE86p383PfNB2WA5cjCaKhTluPHg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IFERROR(__xludf.DUMMYFUNCTION("""COMPUTED_VALUE"""),"Expnl")</f>
        <v>Expnl</v>
      </c>
      <c r="B108" t="str">
        <f ca="1">IFERROR(__xludf.DUMMYFUNCTION("""COMPUTED_VALUE"""),"RestartExpnl")</f>
        <v>RestartExpnl</v>
      </c>
      <c r="C108" t="str">
        <f ca="1">IFERROR(__xludf.DUMMYFUNCTION("""COMPUTED_VALUE"""),"1jPfX4aWGd-xzGomXNHyCqWxqrdLtXaWSWLDzr8cQVqA")</f>
        <v>1jPfX4aWGd-xzGomXNHyCqWxqrdLtXaWSWLDzr8cQVqA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IFERROR(__xludf.DUMMYFUNCTION("""COMPUTED_VALUE"""),"PortfolioManagement")</f>
        <v>PortfolioManagement</v>
      </c>
      <c r="B109" t="str">
        <f ca="1">IFERROR(__xludf.DUMMYFUNCTION("""COMPUTED_VALUE"""),"ClosePM")</f>
        <v>ClosePM</v>
      </c>
      <c r="C109" t="str">
        <f ca="1">IFERROR(__xludf.DUMMYFUNCTION("""COMPUTED_VALUE"""),"Undefined")</f>
        <v>Undefined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IFERROR(__xludf.DUMMYFUNCTION("""COMPUTED_VALUE"""),"EnterStrategyValuesToAllocate")</f>
        <v>EnterStrategyValuesToAllocate</v>
      </c>
      <c r="C110" t="str">
        <f ca="1">IFERROR(__xludf.DUMMYFUNCTION("""COMPUTED_VALUE"""),"17i4vNIg7KiIiK7UhfEYmK3sP0hbtEUT3w9uK2icuqrg")</f>
        <v>17i4vNIg7KiIiK7UhfEYmK3sP0hbtEUT3w9uK2icuqrg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IFERROR(__xludf.DUMMYFUNCTION("""COMPUTED_VALUE"""),"SelectNonTradingTransaction")</f>
        <v>SelectNonTradingTransaction</v>
      </c>
      <c r="C111" t="str">
        <f ca="1">IFERROR(__xludf.DUMMYFUNCTION("""COMPUTED_VALUE"""),"1nqN1I10oDGEbWDLwsNZvNt2m83zopaGxezrIOMQqkS0")</f>
        <v>1nqN1I10oDGEbWDLwsNZvNt2m83zopaGxezrIOMQqkS0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IFERROR(__xludf.DUMMYFUNCTION("""COMPUTED_VALUE"""),"SelectNonTradingTranItem")</f>
        <v>SelectNonTradingTranItem</v>
      </c>
      <c r="C112" t="str">
        <f ca="1">IFERROR(__xludf.DUMMYFUNCTION("""COMPUTED_VALUE"""),"1o6zwAYulbNR5UGbfh9J6-ggkuDPFRADH2dm3PL2sgy8")</f>
        <v>1o6zwAYulbNR5UGbfh9J6-ggkuDPFRADH2dm3PL2sgy8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IFERROR(__xludf.DUMMYFUNCTION("""COMPUTED_VALUE"""),"CopyCalculatedPreferenceToolbar")</f>
        <v>CopyCalculatedPreferenceToolbar</v>
      </c>
      <c r="C113" t="str">
        <f ca="1">IFERROR(__xludf.DUMMYFUNCTION("""COMPUTED_VALUE"""),"1-1gBvkK9IW1jmggACP4Jjfo8_cqQGInHXuVuo6p9wXc")</f>
        <v>1-1gBvkK9IW1jmggACP4Jjfo8_cqQGInHXuVuo6p9wXc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IFERROR(__xludf.DUMMYFUNCTION("""COMPUTED_VALUE"""),"SetGeneralRuleCalculatedPref")</f>
        <v>SetGeneralRuleCalculatedPref</v>
      </c>
      <c r="C114" t="str">
        <f ca="1">IFERROR(__xludf.DUMMYFUNCTION("""COMPUTED_VALUE"""),"1Of93M8ibQkvcHrMSfnyq6Yz1dplEskis1LlIre65PZQ")</f>
        <v>1Of93M8ibQkvcHrMSfnyq6Yz1dplEskis1LlIre65PZQ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IFERROR(__xludf.DUMMYFUNCTION("""COMPUTED_VALUE"""),"DeleteNonTradingTransaction")</f>
        <v>DeleteNonTradingTransaction</v>
      </c>
      <c r="C115" t="str">
        <f ca="1">IFERROR(__xludf.DUMMYFUNCTION("""COMPUTED_VALUE"""),"1AhmPeAx4Nuyt0cISb-o_G3iG9k1p8NsyzTc2QpfuSWk")</f>
        <v>1AhmPeAx4Nuyt0cISb-o_G3iG9k1p8NsyzTc2QpfuSWk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IFERROR(__xludf.DUMMYFUNCTION("""COMPUTED_VALUE"""),"DeleteNonTradingTranItem")</f>
        <v>DeleteNonTradingTranItem</v>
      </c>
      <c r="C116" t="str">
        <f ca="1">IFERROR(__xludf.DUMMYFUNCTION("""COMPUTED_VALUE"""),"1rMSwOBqzLn0Y9Svt1xFBqEzYd_0LPJlccCZ2Gu8rLS8")</f>
        <v>1rMSwOBqzLn0Y9Svt1xFBqEzYd_0LPJlccCZ2Gu8rLS8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IFERROR(__xludf.DUMMYFUNCTION("""COMPUTED_VALUE"""),"ExportAllCalculatedPreferences")</f>
        <v>ExportAllCalculatedPreferences</v>
      </c>
      <c r="C117" t="str">
        <f ca="1">IFERROR(__xludf.DUMMYFUNCTION("""COMPUTED_VALUE"""),"1-pF4NqMQ12pd0wp77BJsXoQ1Z1saGaCg4oi6Q8bjzg0")</f>
        <v>1-pF4NqMQ12pd0wp77BJsXoQ1Z1saGaCg4oi6Q8bjzg0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1" t="str">
        <f ca="1">IFERROR(__xludf.DUMMYFUNCTION("""COMPUTED_VALUE"""),"GeneralLedger")</f>
        <v>GeneralLedger</v>
      </c>
      <c r="B118" t="str">
        <f ca="1">IFERROR(__xludf.DUMMYFUNCTION("""COMPUTED_VALUE"""),"AddNonTradingTransaction")</f>
        <v>AddNonTradingTransaction</v>
      </c>
      <c r="C118" t="str">
        <f ca="1">IFERROR(__xludf.DUMMYFUNCTION("""COMPUTED_VALUE"""),"1oOwOKHez3ZPKkCjQKUDVPVveRJaoG1cEyY7J1lwGtLQ")</f>
        <v>1oOwOKHez3ZPKkCjQKUDVPVveRJaoG1cEyY7J1lwGtLQ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IFERROR(__xludf.DUMMYFUNCTION("""COMPUTED_VALUE"""),"AddNonTradingTranItem")</f>
        <v>AddNonTradingTranItem</v>
      </c>
      <c r="C119" t="str">
        <f ca="1">IFERROR(__xludf.DUMMYFUNCTION("""COMPUTED_VALUE"""),"1pvD-zcAzl-ZDoW-bixr1n-Nvg4724funfZdYYc4qKmw")</f>
        <v>1pvD-zcAzl-ZDoW-bixr1n-Nvg4724funfZdYYc4qKmw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IFERROR(__xludf.DUMMYFUNCTION("""COMPUTED_VALUE"""),"Allocation")</f>
        <v>Allocation</v>
      </c>
      <c r="B120" t="str">
        <f ca="1">IFERROR(__xludf.DUMMYFUNCTION("""COMPUTED_VALUE"""),"SaveCalculatedPreferences")</f>
        <v>SaveCalculatedPreferences</v>
      </c>
      <c r="C120" t="str">
        <f ca="1">IFERROR(__xludf.DUMMYFUNCTION("""COMPUTED_VALUE"""),"undefined")</f>
        <v>undefined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IFERROR(__xludf.DUMMYFUNCTION("""COMPUTED_VALUE"""),"VerifyOpeningBalanceData")</f>
        <v>VerifyOpeningBalanceData</v>
      </c>
      <c r="C121" t="str">
        <f ca="1">IFERROR(__xludf.DUMMYFUNCTION("""COMPUTED_VALUE"""),"1aZQQvzuGLQt0p45j_ofGhiGUw1q5e6QMFR8SMStGGbM")</f>
        <v>1aZQQvzuGLQt0p45j_ofGhiGUw1q5e6QMFR8SMStGGbM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IFERROR(__xludf.DUMMYFUNCTION("""COMPUTED_VALUE"""),"GeneralLedger")</f>
        <v>GeneralLedger</v>
      </c>
      <c r="B122" t="str">
        <f ca="1">IFERROR(__xludf.DUMMYFUNCTION("""COMPUTED_VALUE"""),"SelectOpeningBalanceTransaction")</f>
        <v>SelectOpeningBalanceTransaction</v>
      </c>
      <c r="C122" t="str">
        <f ca="1">IFERROR(__xludf.DUMMYFUNCTION("""COMPUTED_VALUE"""),"1Nx-LZpqfZINjL3P1NzAkueLNdNYLwQfBoAQYb2Trs40")</f>
        <v>1Nx-LZpqfZINjL3P1NzAkueLNdNYLwQfBoAQYb2Trs40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IFERROR(__xludf.DUMMYFUNCTION("""COMPUTED_VALUE"""),"TradingTicket")</f>
        <v>TradingTicket</v>
      </c>
      <c r="B123" t="str">
        <f ca="1">IFERROR(__xludf.DUMMYFUNCTION("""COMPUTED_VALUE"""),"CreateStageOrder ")</f>
        <v xml:space="preserve">CreateStageOrder </v>
      </c>
      <c r="C123" t="str">
        <f ca="1">IFERROR(__xludf.DUMMYFUNCTION("""COMPUTED_VALUE"""),"1f3LMTCkanahfc2M243XIAVbEsElJ1Mt2zzi7IPpjlLg")</f>
        <v>1f3LMTCkanahfc2M243XIAVbEsElJ1Mt2zzi7IPpjlLg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IFERROR(__xludf.DUMMYFUNCTION("""COMPUTED_VALUE"""),"TransferToUserWorkingSubs")</f>
        <v>TransferToUserWorkingSubs</v>
      </c>
      <c r="C124" t="str">
        <f ca="1">IFERROR(__xludf.DUMMYFUNCTION("""COMPUTED_VALUE"""),"1t5K97RL0ohBTlhkz9rB0Ce3uNcnFzJ_LuGFcoBGVY4w")</f>
        <v>1t5K97RL0ohBTlhkz9rB0Ce3uNcnFzJ_LuGFcoBGVY4w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IFERROR(__xludf.DUMMYFUNCTION("""COMPUTED_VALUE"""),"CancelWorkingSubs")</f>
        <v>CancelWorkingSubs</v>
      </c>
      <c r="C125" t="str">
        <f ca="1">IFERROR(__xludf.DUMMYFUNCTION("""COMPUTED_VALUE"""),"1X865Dr1oV3b0raL03lnNXt2uzCVqxnpADGnq34-7z4A")</f>
        <v>1X865Dr1oV3b0raL03lnNXt2uzCVqxnpADGnq34-7z4A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IFERROR(__xludf.DUMMYFUNCTION("""COMPUTED_VALUE"""),"ReplaceWorkingSubs")</f>
        <v>ReplaceWorkingSubs</v>
      </c>
      <c r="C126" t="str">
        <f ca="1">IFERROR(__xludf.DUMMYFUNCTION("""COMPUTED_VALUE"""),"1l8sA7_0bgG07QQ-knK_EyM2AUzA3XbOzfwmWTbrFy2Q")</f>
        <v>1l8sA7_0bgG07QQ-knK_EyM2AUzA3XbOzfwmWTbrFy2Q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IFERROR(__xludf.DUMMYFUNCTION("""COMPUTED_VALUE"""),"ViewAllocationDetailsWorkingSub")</f>
        <v>ViewAllocationDetailsWorkingSub</v>
      </c>
      <c r="C127" t="str">
        <f ca="1">IFERROR(__xludf.DUMMYFUNCTION("""COMPUTED_VALUE"""),"1hy4G-wXJ2kTk-k1Mcimbgdq8q9LxMOIiEZ_0REo0JJI")</f>
        <v>1hy4G-wXJ2kTk-k1Mcimbgdq8q9LxMOIiEZ_0REo0JJI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IFERROR(__xludf.DUMMYFUNCTION("""COMPUTED_VALUE"""),"SelectTradeOnOrderGrid")</f>
        <v>SelectTradeOnOrderGrid</v>
      </c>
      <c r="C128" t="str">
        <f ca="1">IFERROR(__xludf.DUMMYFUNCTION("""COMPUTED_VALUE"""),"1-rhnBChOeDi_R608ZZbwaUGcecT9wP_4uejgvDw3hxw")</f>
        <v>1-rhnBChOeDi_R608ZZbwaUGcecT9wP_4uejgvDw3hxw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IFERROR(__xludf.DUMMYFUNCTION("""COMPUTED_VALUE"""),"ShowDetailsForAlgoTradeSubOrder")</f>
        <v>ShowDetailsForAlgoTradeSubOrder</v>
      </c>
      <c r="C129" t="str">
        <f ca="1">IFERROR(__xludf.DUMMYFUNCTION("""COMPUTED_VALUE"""),"1sDfaOurMziUzM6qp726ASXaYGS8OKswHKgigFRbdLSM")</f>
        <v>1sDfaOurMziUzM6qp726ASXaYGS8OKswHKgigFRbdLSM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IFERROR(__xludf.DUMMYFUNCTION("""COMPUTED_VALUE"""),"SelectTradeOrderBlotter")</f>
        <v>SelectTradeOrderBlotter</v>
      </c>
      <c r="C130" t="str">
        <f ca="1">IFERROR(__xludf.DUMMYFUNCTION("""COMPUTED_VALUE"""),"1XbTa51akNkEhE4ZtqYf5TEGmLvc2bNYR7397t18QZyk")</f>
        <v>1XbTa51akNkEhE4ZtqYf5TEGmLvc2bNYR7397t18QZyk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IFERROR(__xludf.DUMMYFUNCTION("""COMPUTED_VALUE"""),"AddFillsWorkingSubs")</f>
        <v>AddFillsWorkingSubs</v>
      </c>
      <c r="C131" t="str">
        <f ca="1">IFERROR(__xludf.DUMMYFUNCTION("""COMPUTED_VALUE"""),"1jd93lox3wZV8Pl75n92GWCwRgxlM1y3HNyXPUJLimew")</f>
        <v>1jd93lox3wZV8Pl75n92GWCwRgxlM1y3HNyXPUJLimew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IFERROR(__xludf.DUMMYFUNCTION("""COMPUTED_VALUE"""),"EditAddFillsDetails")</f>
        <v>EditAddFillsDetails</v>
      </c>
      <c r="C132" t="str">
        <f ca="1">IFERROR(__xludf.DUMMYFUNCTION("""COMPUTED_VALUE"""),"1EJX0nxns3nbR7t9SGss4DunYi157sGLyyzRecrI39d8")</f>
        <v>1EJX0nxns3nbR7t9SGss4DunYi157sGLyyzRecrI39d8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IFERROR(__xludf.DUMMYFUNCTION("""COMPUTED_VALUE"""),"ShowDetailsForAlgoTradeWorkingSubs")</f>
        <v>ShowDetailsForAlgoTradeWorkingSubs</v>
      </c>
      <c r="C133" t="str">
        <f ca="1">IFERROR(__xludf.DUMMYFUNCTION("""COMPUTED_VALUE"""),"1W5ptvj55dJYGciiu0pUt7RHuZcmiA86UHsoaqsSrlBE")</f>
        <v>1W5ptvj55dJYGciiu0pUt7RHuZcmiA86UHsoaqsSrlBE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IFERROR(__xludf.DUMMYFUNCTION("""COMPUTED_VALUE"""),"Closing")</f>
        <v>Closing</v>
      </c>
      <c r="B134" t="str">
        <f ca="1">IFERROR(__xludf.DUMMYFUNCTION("""COMPUTED_VALUE"""),"SwapExpire")</f>
        <v>SwapExpire</v>
      </c>
      <c r="C134" t="str">
        <f ca="1">IFERROR(__xludf.DUMMYFUNCTION("""COMPUTED_VALUE"""),"1z6pUIT3oPTEZW_y_iDzPPlnF5p3Cf9Ie9f6STHWe4NI")</f>
        <v>1z6pUIT3oPTEZW_y_iDzPPlnF5p3Cf9Ie9f6STHWe4NI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IFERROR(__xludf.DUMMYFUNCTION("""COMPUTED_VALUE"""),"VerifyWorkingSubs")</f>
        <v>VerifyWorkingSubs</v>
      </c>
      <c r="C135" t="str">
        <f ca="1">IFERROR(__xludf.DUMMYFUNCTION("""COMPUTED_VALUE"""),"1ZUSoHz3m8WwVM3YXXvf_iYrnEtux8nFspNcmBEmta-s")</f>
        <v>1ZUSoHz3m8WwVM3YXXvf_iYrnEtux8nFspNcmBEmta-s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IFERROR(__xludf.DUMMYFUNCTION("""COMPUTED_VALUE"""),"TransferToUserOrder")</f>
        <v>TransferToUserOrder</v>
      </c>
      <c r="C136" t="str">
        <f ca="1">IFERROR(__xludf.DUMMYFUNCTION("""COMPUTED_VALUE"""),"14InZb8SNY40mEv1SSHdXyYM9uUfHH_RYVe5I_ZduiAM")</f>
        <v>14InZb8SNY40mEv1SSHdXyYM9uUfHH_RYVe5I_ZduiAM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IFERROR(__xludf.DUMMYFUNCTION("""COMPUTED_VALUE"""),"Allocation")</f>
        <v>Allocation</v>
      </c>
      <c r="B137" t="str">
        <f ca="1">IFERROR(__xludf.DUMMYFUNCTION("""COMPUTED_VALUE"""),"CloseCalculatedPreferences")</f>
        <v>CloseCalculatedPreferences</v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IFERROR(__xludf.DUMMYFUNCTION("""COMPUTED_VALUE"""),"TradingTicket")</f>
        <v>TradingTicket</v>
      </c>
      <c r="B138" t="str">
        <f ca="1">IFERROR(__xludf.DUMMYFUNCTION("""COMPUTED_VALUE"""),"CreateReplaceOrder")</f>
        <v>CreateReplaceOrder</v>
      </c>
      <c r="C138" t="str">
        <f ca="1">IFERROR(__xludf.DUMMYFUNCTION("""COMPUTED_VALUE"""),"1jFE79xo0b9W0HJJs-HmlLF7udJScoHnuVUGcEZPDmp8")</f>
        <v>1jFE79xo0b9W0HJJs-HmlLF7udJScoHnuVUGcEZPDmp8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IFERROR(__xludf.DUMMYFUNCTION("""COMPUTED_VALUE"""),"EditOrder")</f>
        <v>EditOrder</v>
      </c>
      <c r="C139" t="str">
        <f ca="1">IFERROR(__xludf.DUMMYFUNCTION("""COMPUTED_VALUE"""),"1MBNM6rxMapSxXXYy6UK5cB5Mm-bkVGjo0iNbHGdxDDw")</f>
        <v>1MBNM6rxMapSxXXYy6UK5cB5Mm-bkVGjo0iNbHGdxDDw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IFERROR(__xludf.DUMMYFUNCTION("""COMPUTED_VALUE"""),"SelectTradeSubOrderBlotter")</f>
        <v>SelectTradeSubOrderBlotter</v>
      </c>
      <c r="C140" t="str">
        <f ca="1">IFERROR(__xludf.DUMMYFUNCTION("""COMPUTED_VALUE"""),"1LbV8pvlircDAqSgbL-BKgTJwzz_cmXCqxEiU57Ci5OE")</f>
        <v>1LbV8pvlircDAqSgbL-BKgTJwzz_cmXCqxEiU57Ci5OE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IFERROR(__xludf.DUMMYFUNCTION("""COMPUTED_VALUE"""),"VerifyOrder")</f>
        <v>VerifyOrder</v>
      </c>
      <c r="C141" t="str">
        <f ca="1">IFERROR(__xludf.DUMMYFUNCTION("""COMPUTED_VALUE"""),"1oOS0wr4TlVQYMcyMgjNQGBvRlWWWkCgPKAmDiNwd424")</f>
        <v>1oOS0wr4TlVQYMcyMgjNQGBvRlWWWkCgPKAmDiNwd424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IFERROR(__xludf.DUMMYFUNCTION("""COMPUTED_VALUE"""),"VerifySubOrder")</f>
        <v>VerifySubOrder</v>
      </c>
      <c r="C142" t="str">
        <f ca="1">IFERROR(__xludf.DUMMYFUNCTION("""COMPUTED_VALUE"""),"18m2emPTSMX9x8ImL8xIvTxR6WyzF9mZts5Ff0iPAYuI")</f>
        <v>18m2emPTSMX9x8ImL8xIvTxR6WyzF9mZts5Ff0iPAYuI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IFERROR(__xludf.DUMMYFUNCTION("""COMPUTED_VALUE"""),"RemoveSelectedOrders")</f>
        <v>RemoveSelectedOrders</v>
      </c>
      <c r="C143" t="str">
        <f ca="1">IFERROR(__xludf.DUMMYFUNCTION("""COMPUTED_VALUE"""),"1EJ9TjV53fXZzJ7A6K1DLboXLoaSZfSenii_KPeOnMzw")</f>
        <v>1EJ9TjV53fXZzJ7A6K1DLboXLoaSZfSenii_KPeOnMzw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IFERROR(__xludf.DUMMYFUNCTION("""COMPUTED_VALUE"""),"CancelAllSelectedSubs")</f>
        <v>CancelAllSelectedSubs</v>
      </c>
      <c r="C144" t="str">
        <f ca="1">IFERROR(__xludf.DUMMYFUNCTION("""COMPUTED_VALUE"""),"1Lyvk7bRx3dI9U21dqLgGQ4ReyVk7Fg6WkayG_WSvsOM")</f>
        <v>1Lyvk7bRx3dI9U21dqLgGQ4ReyVk7Fg6WkayG_WSvsOM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IFERROR(__xludf.DUMMYFUNCTION("""COMPUTED_VALUE"""),"MultiTradingTicket")</f>
        <v>MultiTradingTicket</v>
      </c>
      <c r="C145" t="str">
        <f ca="1">IFERROR(__xludf.DUMMYFUNCTION("""COMPUTED_VALUE"""),"1bPHEr59kxpPk3j6GmaEhDvltCPQMggoHcEF4O23XEqQ")</f>
        <v>1bPHEr59kxpPk3j6GmaEhDvltCPQMggoHcEF4O23XEqQ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IFERROR(__xludf.DUMMYFUNCTION("""COMPUTED_VALUE"""),"AuditTrailOrderBlotter")</f>
        <v>AuditTrailOrderBlotter</v>
      </c>
      <c r="C146" t="str">
        <f ca="1">IFERROR(__xludf.DUMMYFUNCTION("""COMPUTED_VALUE"""),"1mluc81dVHErhRCeaKr2aujEkMGGfYOQ79O6PxhmTgiw")</f>
        <v>1mluc81dVHErhRCeaKr2aujEkMGGfYOQ79O6PxhmTgiw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IFERROR(__xludf.DUMMYFUNCTION("""COMPUTED_VALUE"""),"TradeNewSubOrder")</f>
        <v>TradeNewSubOrder</v>
      </c>
      <c r="C147" t="str">
        <f ca="1">IFERROR(__xludf.DUMMYFUNCTION("""COMPUTED_VALUE"""),"10pwxvaFTBXtbFBhsCB8qR8twnbPWxCipQKY6AQxOZ-s")</f>
        <v>10pwxvaFTBXtbFBhsCB8qR8twnbPWxCipQKY6AQxOZ-s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IFERROR(__xludf.DUMMYFUNCTION("""COMPUTED_VALUE"""),"Blotter")</f>
        <v>Blotter</v>
      </c>
      <c r="B148" t="str">
        <f ca="1">IFERROR(__xludf.DUMMYFUNCTION("""COMPUTED_VALUE"""),"RemoveStageOrder")</f>
        <v>RemoveStageOrder</v>
      </c>
      <c r="C148" t="str">
        <f ca="1">IFERROR(__xludf.DUMMYFUNCTION("""COMPUTED_VALUE"""),"1L-cgfoBNr1Merxa4xauhs8VQmicSxJIxJ1S-26aapDM")</f>
        <v>1L-cgfoBNr1Merxa4xauhs8VQmicSxJIxJ1S-26aapDM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IFERROR(__xludf.DUMMYFUNCTION("""COMPUTED_VALUE"""),"SetGeneralPreference")</f>
        <v>SetGeneralPreference</v>
      </c>
      <c r="C149" t="str">
        <f ca="1">IFERROR(__xludf.DUMMYFUNCTION("""COMPUTED_VALUE"""),"1tiKvuYV-RSxi_jQ9OrEjHDaRE48gx-1VUrfbcDRzBqI")</f>
        <v>1tiKvuYV-RSxi_jQ9OrEjHDaRE48gx-1VUrfbcDRzBqI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IFERROR(__xludf.DUMMYFUNCTION("""COMPUTED_VALUE"""),"TradingTicket")</f>
        <v>TradingTicket</v>
      </c>
      <c r="B150" t="str">
        <f ca="1">IFERROR(__xludf.DUMMYFUNCTION("""COMPUTED_VALUE"""),"CreateDoneAwayOrder")</f>
        <v>CreateDoneAwayOrder</v>
      </c>
      <c r="C150" t="str">
        <f ca="1">IFERROR(__xludf.DUMMYFUNCTION("""COMPUTED_VALUE"""),"1JdoRMM-naUo_ces4DDp_1ERQCAm2NjWbOp_AjsCj4po")</f>
        <v>1JdoRMM-naUo_ces4DDp_1ERQCAm2NjWbOp_AjsCj4po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IFERROR(__xludf.DUMMYFUNCTION("""COMPUTED_VALUE"""),"Allocation")</f>
        <v>Allocation</v>
      </c>
      <c r="B151" t="str">
        <f ca="1">IFERROR(__xludf.DUMMYFUNCTION("""COMPUTED_VALUE"""),"ExportCalculatedPreference")</f>
        <v>ExportCalculatedPreference</v>
      </c>
      <c r="C151" t="str">
        <f ca="1">IFERROR(__xludf.DUMMYFUNCTION("""COMPUTED_VALUE"""),"1F9wLIuOQifGEi28dTkz-xAqT5RAp08VtH-gLPVfhlwg")</f>
        <v>1F9wLIuOQifGEi28dTkz-xAqT5RAp08VtH-gLPVfhlwg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IFERROR(__xludf.DUMMYFUNCTION("""COMPUTED_VALUE"""),"SelectOpeningBalanceTranItem")</f>
        <v>SelectOpeningBalanceTranItem</v>
      </c>
      <c r="C152" t="str">
        <f ca="1">IFERROR(__xludf.DUMMYFUNCTION("""COMPUTED_VALUE"""),"1OrApUDmTZZFXQdgc7kS11BpbjuB9TVWqplfbEo_-EZE")</f>
        <v>1OrApUDmTZZFXQdgc7kS11BpbjuB9TVWqplfbEo_-EZE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IFERROR(__xludf.DUMMYFUNCTION("""COMPUTED_VALUE"""),"EODTPreferences")</f>
        <v>EODTPreferences</v>
      </c>
      <c r="C153" t="str">
        <f ca="1">IFERROR(__xludf.DUMMYFUNCTION("""COMPUTED_VALUE"""),"1rcfth1JMYv5LFRn3moxFBjj0YRLNl7P1HfVYE5yAvpg")</f>
        <v>1rcfth1JMYv5LFRn3moxFBjj0YRLNl7P1HfVYE5yAvpg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IFERROR(__xludf.DUMMYFUNCTION("""COMPUTED_VALUE"""),"PricingInput")</f>
        <v>PricingInput</v>
      </c>
      <c r="B154" t="str">
        <f ca="1">IFERROR(__xludf.DUMMYFUNCTION("""COMPUTED_VALUE"""),"LiveData")</f>
        <v>LiveData</v>
      </c>
      <c r="C154" t="str">
        <f ca="1">IFERROR(__xludf.DUMMYFUNCTION("""COMPUTED_VALUE"""),"1ufAlWn4Z5s_O0aUvCGqN2X7I0hZjoyykUMU6pLmh158")</f>
        <v>1ufAlWn4Z5s_O0aUvCGqN2X7I0hZjoyykUMU6pLmh158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IFERROR(__xludf.DUMMYFUNCTION("""COMPUTED_VALUE"""),"EditNonTradingTransaction")</f>
        <v>EditNonTradingTransaction</v>
      </c>
      <c r="C155" t="str">
        <f ca="1">IFERROR(__xludf.DUMMYFUNCTION("""COMPUTED_VALUE"""),"1ZRBkCCJ1BUU1-oRwvzVKPhluiEUBOr7b5mgdIgtOFAQ")</f>
        <v>1ZRBkCCJ1BUU1-oRwvzVKPhluiEUBOr7b5mgdIgtOFAQ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IFERROR(__xludf.DUMMYFUNCTION("""COMPUTED_VALUE"""),"EditNonTradingTranItem")</f>
        <v>EditNonTradingTranItem</v>
      </c>
      <c r="C156" t="str">
        <f ca="1">IFERROR(__xludf.DUMMYFUNCTION("""COMPUTED_VALUE"""),"12MRayB3YCO6onmFz9Bcofglt0DG9ijK8myiwJaDQCEk")</f>
        <v>12MRayB3YCO6onmFz9Bcofglt0DG9ijK8myiwJaDQCEk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IFERROR(__xludf.DUMMYFUNCTION("""COMPUTED_VALUE"""),"DeleteOpeningBalanceTransaction")</f>
        <v>DeleteOpeningBalanceTransaction</v>
      </c>
      <c r="C157" t="str">
        <f ca="1">IFERROR(__xludf.DUMMYFUNCTION("""COMPUTED_VALUE"""),"1j_H-qiDNLjDb5iU2pnwEIiB9Z5jsmnxg2w38SF4O3vI")</f>
        <v>1j_H-qiDNLjDb5iU2pnwEIiB9Z5jsmnxg2w38SF4O3vI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IFERROR(__xludf.DUMMYFUNCTION("""COMPUTED_VALUE"""),"DeleteOpeningBalanceTranItem")</f>
        <v>DeleteOpeningBalanceTranItem</v>
      </c>
      <c r="C158" t="str">
        <f ca="1">IFERROR(__xludf.DUMMYFUNCTION("""COMPUTED_VALUE"""),"1kypNRCCPbuL7lExCsXVBdHSYo4-t2YnxrtwJj-Avrbs")</f>
        <v>1kypNRCCPbuL7lExCsXVBdHSYo4-t2YnxrtwJj-Avrbs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IFERROR(__xludf.DUMMYFUNCTION("""COMPUTED_VALUE"""),"ImportCalculatedPreferences")</f>
        <v>ImportCalculatedPreferences</v>
      </c>
      <c r="C159" t="str">
        <f ca="1">IFERROR(__xludf.DUMMYFUNCTION("""COMPUTED_VALUE"""),"1tXFS000G5N_2CPwvqrCLyag0RBEodRc_b-4aCoyGwig")</f>
        <v>1tXFS000G5N_2CPwvqrCLyag0RBEodRc_b-4aCoyGwig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IFERROR(__xludf.DUMMYFUNCTION("""COMPUTED_VALUE"""),"GetDayEndCash")</f>
        <v>GetDayEndCash</v>
      </c>
      <c r="C160" t="str">
        <f ca="1">IFERROR(__xludf.DUMMYFUNCTION("""COMPUTED_VALUE"""),"1QBe2N2NtSLG0VmHLfwWLwzyuYQbDEe757S0V9AZnb9w")</f>
        <v>1QBe2N2NtSLG0VmHLfwWLwzyuYQbDEe757S0V9AZnb9w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IFERROR(__xludf.DUMMYFUNCTION("""COMPUTED_VALUE"""),"GeneralLedger")</f>
        <v>GeneralLedger</v>
      </c>
      <c r="B161" t="str">
        <f ca="1">IFERROR(__xludf.DUMMYFUNCTION("""COMPUTED_VALUE"""),"VerifyDayEndCash")</f>
        <v>VerifyDayEndCash</v>
      </c>
      <c r="C161" t="str">
        <f ca="1">IFERROR(__xludf.DUMMYFUNCTION("""COMPUTED_VALUE"""),"1kuP4LMaZC_JCHjd8Re2LTjrRjebA8q2Oy2ky_x0JNrA")</f>
        <v>1kuP4LMaZC_JCHjd8Re2LTjrRjebA8q2Oy2ky_x0JNrA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IFERROR(__xludf.DUMMYFUNCTION("""COMPUTED_VALUE"""),"OpenAuditTrailUnallocatedGroup")</f>
        <v>OpenAuditTrailUnallocatedGroup</v>
      </c>
      <c r="C162" t="str">
        <f ca="1">IFERROR(__xludf.DUMMYFUNCTION("""COMPUTED_VALUE"""),"1wYvm9pbQTVXYNtLu9px9Ixstx7UiY8e8Dr4X5Lk5kDE")</f>
        <v>1wYvm9pbQTVXYNtLu9px9Ixstx7UiY8e8Dr4X5Lk5kDE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IFERROR(__xludf.DUMMYFUNCTION("""COMPUTED_VALUE"""),"DeleteCalculatedPreferencesTool")</f>
        <v>DeleteCalculatedPreferencesTool</v>
      </c>
      <c r="C163" t="str">
        <f ca="1">IFERROR(__xludf.DUMMYFUNCTION("""COMPUTED_VALUE"""),"1t5PSjPB3_kF_RRfvIU_9paVl9KLuOs_iOrbhrE3wPzc")</f>
        <v>1t5PSjPB3_kF_RRfvIU_9paVl9KLuOs_iOrbhrE3wPzc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IFERROR(__xludf.DUMMYFUNCTION("""COMPUTED_VALUE"""),"ImportCalculatedPreferencesTool")</f>
        <v>ImportCalculatedPreferencesTool</v>
      </c>
      <c r="C164" t="str">
        <f ca="1">IFERROR(__xludf.DUMMYFUNCTION("""COMPUTED_VALUE"""),"1Pz-_3uwP9cgwTQ2fq8xKkNw2j2tG4dto0mMIdpoyzyE")</f>
        <v>1Pz-_3uwP9cgwTQ2fq8xKkNw2j2tG4dto0mMIdpoyzyE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IFERROR(__xludf.DUMMYFUNCTION("""COMPUTED_VALUE"""),"RunRevaluation")</f>
        <v>RunRevaluation</v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IFERROR(__xludf.DUMMYFUNCTION("""COMPUTED_VALUE"""),"GeneralLedger")</f>
        <v>GeneralLedger</v>
      </c>
      <c r="B166" t="str">
        <f ca="1">IFERROR(__xludf.DUMMYFUNCTION("""COMPUTED_VALUE"""),"CalculateDayEndCash")</f>
        <v>CalculateDayEndCash</v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IFERROR(__xludf.DUMMYFUNCTION("""COMPUTED_VALUE"""),"ExportAllCalculatedPreferTool")</f>
        <v>ExportAllCalculatedPreferTool</v>
      </c>
      <c r="C167" t="str">
        <f ca="1">IFERROR(__xludf.DUMMYFUNCTION("""COMPUTED_VALUE"""),"1lPDSQfgavG8kFJMCSrGhdzO3KiscTppqCoKt6N6dQeU")</f>
        <v>1lPDSQfgavG8kFJMCSrGhdzO3KiscTppqCoKt6N6dQeU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IFERROR(__xludf.DUMMYFUNCTION("""COMPUTED_VALUE"""),"OpenAuditTrailAllocatedGroup")</f>
        <v>OpenAuditTrailAllocatedGroup</v>
      </c>
      <c r="C168" t="str">
        <f ca="1">IFERROR(__xludf.DUMMYFUNCTION("""COMPUTED_VALUE"""),"1SPOgNGUarAvXiMCTVmaSYuGWIMk0j_jJaNaY5VkX9Hw")</f>
        <v>1SPOgNGUarAvXiMCTVmaSYuGWIMk0j_jJaNaY5VkX9Hw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IFERROR(__xludf.DUMMYFUNCTION("""COMPUTED_VALUE"""),"OpenSymbolLookupUnallocateGroup")</f>
        <v>OpenSymbolLookupUnallocateGroup</v>
      </c>
      <c r="C169" t="str">
        <f ca="1">IFERROR(__xludf.DUMMYFUNCTION("""COMPUTED_VALUE"""),"1DKcxcD1U6XoEecNXYKf6mmAIOPrXKRk0zUHXHNuzyCw")</f>
        <v>1DKcxcD1U6XoEecNXYKf6mmAIOPrXKRk0zUHXHNuzyCw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IFERROR(__xludf.DUMMYFUNCTION("""COMPUTED_VALUE"""),"OpenSymbolLookupAllocatedGroup")</f>
        <v>OpenSymbolLookupAllocatedGroup</v>
      </c>
      <c r="C170" t="str">
        <f ca="1">IFERROR(__xludf.DUMMYFUNCTION("""COMPUTED_VALUE"""),"1MNcP6XIG9bpEL3NbBBg7G2BVvTczbcpB5E-n4znXVQ8")</f>
        <v>1MNcP6XIG9bpEL3NbBBg7G2BVvTczbcpB5E-n4znXVQ8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IFERROR(__xludf.DUMMYFUNCTION("""COMPUTED_VALUE"""),"Allocation")</f>
        <v>Allocation</v>
      </c>
      <c r="B171" t="str">
        <f ca="1">IFERROR(__xludf.DUMMYFUNCTION("""COMPUTED_VALUE"""),"DeleteFixedPreference")</f>
        <v>DeleteFixedPreference</v>
      </c>
      <c r="C171" t="str">
        <f ca="1">IFERROR(__xludf.DUMMYFUNCTION("""COMPUTED_VALUE"""),"1xCPCtn2rJZWfCaJ3xJk34V9VIGqbQqnumhF_D1nCrJQ")</f>
        <v>1xCPCtn2rJZWfCaJ3xJk34V9VIGqbQqnumhF_D1nCrJQ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IFERROR(__xludf.DUMMYFUNCTION("""COMPUTED_VALUE"""),"TransferToUserSubOrder")</f>
        <v>TransferToUserSubOrder</v>
      </c>
      <c r="C172" t="str">
        <f ca="1">IFERROR(__xludf.DUMMYFUNCTION("""COMPUTED_VALUE"""),"1FjfJ7iSl3gpA2-NLJT143BORY3lF-ucwyKVsOAdxbZI")</f>
        <v>1FjfJ7iSl3gpA2-NLJT143BORY3lF-ucwyKVsOAdxbZI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IFERROR(__xludf.DUMMYFUNCTION("""COMPUTED_VALUE"""),"DetailsForAlgoTradeOrder")</f>
        <v>DetailsForAlgoTradeOrder</v>
      </c>
      <c r="C173" t="str">
        <f ca="1">IFERROR(__xludf.DUMMYFUNCTION("""COMPUTED_VALUE"""),"1n-asacXwX-M_P6fakIZxYHvBw3nr6vN53glg_OJimsk")</f>
        <v>1n-asacXwX-M_P6fakIZxYHvBw3nr6vN53glg_OJimsk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IFERROR(__xludf.DUMMYFUNCTION("""COMPUTED_VALUE"""),"AddFillsSubOrder")</f>
        <v>AddFillsSubOrder</v>
      </c>
      <c r="C174" t="str">
        <f ca="1">IFERROR(__xludf.DUMMYFUNCTION("""COMPUTED_VALUE"""),"1_nYfAYJO3sygqeqe0ZD6JSxzyp8hWAfm7M7p2pcs78A")</f>
        <v>1_nYfAYJO3sygqeqe0ZD6JSxzyp8hWAfm7M7p2pcs78A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IFERROR(__xludf.DUMMYFUNCTION("""COMPUTED_VALUE"""),"Blotter")</f>
        <v>Blotter</v>
      </c>
      <c r="B175" t="str">
        <f ca="1">IFERROR(__xludf.DUMMYFUNCTION("""COMPUTED_VALUE"""),"ViewAllocationDetailsSubOrder")</f>
        <v>ViewAllocationDetailsSubOrder</v>
      </c>
      <c r="C175" t="str">
        <f ca="1">IFERROR(__xludf.DUMMYFUNCTION("""COMPUTED_VALUE"""),"1dXjZKhlJ-6YNxzXQwLkiQmy5r35qXwTgBmHAHDRneG4")</f>
        <v>1dXjZKhlJ-6YNxzXQwLkiQmy5r35qXwTgBmHAHDRneG4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IFERROR(__xludf.DUMMYFUNCTION("""COMPUTED_VALUE"""),"GetCashTransaction")</f>
        <v>GetCashTransaction</v>
      </c>
      <c r="C176" t="str">
        <f ca="1">IFERROR(__xludf.DUMMYFUNCTION("""COMPUTED_VALUE"""),"1HVRU3YwlNQBn5j-2iOQKPDOl6BIFJmxVHWoCG8_-Vok")</f>
        <v>1HVRU3YwlNQBn5j-2iOQKPDOl6BIFJmxVHWoCG8_-Vok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IFERROR(__xludf.DUMMYFUNCTION("""COMPUTED_VALUE"""),"SelectCashTransaction")</f>
        <v>SelectCashTransaction</v>
      </c>
      <c r="C177" t="str">
        <f ca="1">IFERROR(__xludf.DUMMYFUNCTION("""COMPUTED_VALUE"""),"1YA2kJtma_zYO5xCdzCl8TXFdq__ozEla6xBnz4O2KKo")</f>
        <v>1YA2kJtma_zYO5xCdzCl8TXFdq__ozEla6xBnz4O2KKo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IFERROR(__xludf.DUMMYFUNCTION("""COMPUTED_VALUE"""),"DeleteCashTransaction")</f>
        <v>DeleteCashTransaction</v>
      </c>
      <c r="C178" t="str">
        <f ca="1">IFERROR(__xludf.DUMMYFUNCTION("""COMPUTED_VALUE"""),"1z8YNezFvlm2SzbZbSD8gThwYGLuH9mvsgxFhX2grJXg")</f>
        <v>1z8YNezFvlm2SzbZbSD8gThwYGLuH9mvsgxFhX2grJXg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IFERROR(__xludf.DUMMYFUNCTION("""COMPUTED_VALUE"""),"EditCashTransaction")</f>
        <v>EditCashTransaction</v>
      </c>
      <c r="C179" t="str">
        <f ca="1">IFERROR(__xludf.DUMMYFUNCTION("""COMPUTED_VALUE"""),"18SWvwYuc5xq1MJiRIySZT3g4QwNg-Peiql32ImKQIy4")</f>
        <v>18SWvwYuc5xq1MJiRIySZT3g4QwNg-Peiql32ImKQIy4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IFERROR(__xludf.DUMMYFUNCTION("""COMPUTED_VALUE"""),"GeneralLedger")</f>
        <v>GeneralLedger</v>
      </c>
      <c r="B180" t="str">
        <f ca="1">IFERROR(__xludf.DUMMYFUNCTION("""COMPUTED_VALUE"""),"AddCashTransaction")</f>
        <v>AddCashTransaction</v>
      </c>
      <c r="C180" t="str">
        <f ca="1">IFERROR(__xludf.DUMMYFUNCTION("""COMPUTED_VALUE"""),"19zlrBpZEMDcHQGb3OuuSF3RHIPFyfnT605NtgqzWDDY")</f>
        <v>19zlrBpZEMDcHQGb3OuuSF3RHIPFyfnT605NtgqzWDDY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IFERROR(__xludf.DUMMYFUNCTION("""COMPUTED_VALUE"""),"Allocation")</f>
        <v>Allocation</v>
      </c>
      <c r="B181" t="str">
        <f ca="1">IFERROR(__xludf.DUMMYFUNCTION("""COMPUTED_VALUE"""),"EditAllocatedGroupSidePanel")</f>
        <v>EditAllocatedGroupSidePanel</v>
      </c>
      <c r="C181" t="str">
        <f ca="1">IFERROR(__xludf.DUMMYFUNCTION("""COMPUTED_VALUE"""),"1U5el6ReM8oEhpATQ_4YpSurTYvm3Bmak5RQfFhYvXWU")</f>
        <v>1U5el6ReM8oEhpATQ_4YpSurTYvm3Bmak5RQfFhYvXWU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IFERROR(__xludf.DUMMYFUNCTION("""COMPUTED_VALUE"""),"GetMarkPriceData")</f>
        <v>GetMarkPriceData</v>
      </c>
      <c r="C182" t="str">
        <f ca="1">IFERROR(__xludf.DUMMYFUNCTION("""COMPUTED_VALUE"""),"14vox2Gcx96PEVdjUIZNqGTqCTFf_umfTFhO-OSGOJxU")</f>
        <v>14vox2Gcx96PEVdjUIZNqGTqCTFf_umfTFhO-OSGOJxU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IFERROR(__xludf.DUMMYFUNCTION("""COMPUTED_VALUE"""),"GetForwardPoints")</f>
        <v>GetForwardPoints</v>
      </c>
      <c r="C183" t="str">
        <f ca="1">IFERROR(__xludf.DUMMYFUNCTION("""COMPUTED_VALUE"""),"16UgnR8CMx-udeeLQ7FNGVkNl0QrfhylhHVxVsCW2T1I")</f>
        <v>16UgnR8CMx-udeeLQ7FNGVkNl0QrfhylhHVxVsCW2T1I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IFERROR(__xludf.DUMMYFUNCTION("""COMPUTED_VALUE"""),"UpdateForwardPoints")</f>
        <v>UpdateForwardPoints</v>
      </c>
      <c r="C184" t="str">
        <f ca="1">IFERROR(__xludf.DUMMYFUNCTION("""COMPUTED_VALUE"""),"1xGh0T6vKRsM1oHlD0UGMZ_uoqaLFPw6yE7SmoCe2kmw")</f>
        <v>1xGh0T6vKRsM1oHlD0UGMZ_uoqaLFPw6yE7SmoCe2kmw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IFERROR(__xludf.DUMMYFUNCTION("""COMPUTED_VALUE"""),"GetForexConversion")</f>
        <v>GetForexConversion</v>
      </c>
      <c r="C185" t="str">
        <f ca="1">IFERROR(__xludf.DUMMYFUNCTION("""COMPUTED_VALUE"""),"1WtPhInALzjMpbxHZG-3b_FcODsHnk8pMz6Wr3TpNymI")</f>
        <v>1WtPhInALzjMpbxHZG-3b_FcODsHnk8pMz6Wr3TpNymI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IFERROR(__xludf.DUMMYFUNCTION("""COMPUTED_VALUE"""),"DeleteNAV")</f>
        <v>DeleteNAV</v>
      </c>
      <c r="C186" t="str">
        <f ca="1">IFERROR(__xludf.DUMMYFUNCTION("""COMPUTED_VALUE"""),"1A0FANLWLCT8nzpViMuoVYwyY3ZuW6bZmpzVp7SFfs9g")</f>
        <v>1A0FANLWLCT8nzpViMuoVYwyY3ZuW6bZmpzVp7SFfs9g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IFERROR(__xludf.DUMMYFUNCTION("""COMPUTED_VALUE"""),"CheckUnallocatedGroups")</f>
        <v>CheckUnallocatedGroups</v>
      </c>
      <c r="C187" t="str">
        <f ca="1">IFERROR(__xludf.DUMMYFUNCTION("""COMPUTED_VALUE"""),"1hCAh-JTf0LOINO0HlKdh8tiYbBTQ5ymqHM8TdEmILcE")</f>
        <v>1hCAh-JTf0LOINO0HlKdh8tiYbBTQ5ymqHM8TdEmILcE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IFERROR(__xludf.DUMMYFUNCTION("""COMPUTED_VALUE"""),"GetDailyCash")</f>
        <v>GetDailyCash</v>
      </c>
      <c r="C188" t="str">
        <f ca="1">IFERROR(__xludf.DUMMYFUNCTION("""COMPUTED_VALUE"""),"1ZUFaf2bdH-5onefV-CbKPYGiz0VpLd3dO5qVZLuFoPQ")</f>
        <v>1ZUFaf2bdH-5onefV-CbKPYGiz0VpLd3dO5qVZLuFoPQ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IFERROR(__xludf.DUMMYFUNCTION("""COMPUTED_VALUE"""),"Allocation")</f>
        <v>Allocation</v>
      </c>
      <c r="B189" t="str">
        <f ca="1">IFERROR(__xludf.DUMMYFUNCTION("""COMPUTED_VALUE"""),"SetGeneralPreferences")</f>
        <v>SetGeneralPreferences</v>
      </c>
      <c r="C189" t="str">
        <f ca="1">IFERROR(__xludf.DUMMYFUNCTION("""COMPUTED_VALUE"""),"1aOEerN3mL5lK0BqxqGLd-UHFVkM80wZHR3WiENJTlQA")</f>
        <v>1aOEerN3mL5lK0BqxqGLd-UHFVkM80wZHR3WiENJTlQA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IFERROR(__xludf.DUMMYFUNCTION("""COMPUTED_VALUE"""),"GetDailyBeta")</f>
        <v>GetDailyBeta</v>
      </c>
      <c r="C190" t="str">
        <f ca="1">IFERROR(__xludf.DUMMYFUNCTION("""COMPUTED_VALUE"""),"1bGli4mpkEKaytYcfhblJm9dywE-1YLP_P2krKTWgfxA")</f>
        <v>1bGli4mpkEKaytYcfhblJm9dywE-1YLP_P2krKTWgfxA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IFERROR(__xludf.DUMMYFUNCTION("""COMPUTED_VALUE"""),"GetDailyVolatility")</f>
        <v>GetDailyVolatility</v>
      </c>
      <c r="C191" t="str">
        <f ca="1">IFERROR(__xludf.DUMMYFUNCTION("""COMPUTED_VALUE"""),"1HQWyZssLPRZXc0tCNDgFcKkPDl-b6lTWFonNgDzdLZc")</f>
        <v>1HQWyZssLPRZXc0tCNDgFcKkPDl-b6lTWFonNgDzdLZc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IFERROR(__xludf.DUMMYFUNCTION("""COMPUTED_VALUE"""),"GetDailyDividendYield")</f>
        <v>GetDailyDividendYield</v>
      </c>
      <c r="C192" t="str">
        <f ca="1">IFERROR(__xludf.DUMMYFUNCTION("""COMPUTED_VALUE"""),"1OvxOIvvhM7zlt6BD_U7dhIcx5SxT0EJj5CnN7xuZmV4")</f>
        <v>1OvxOIvvhM7zlt6BD_U7dhIcx5SxT0EJj5CnN7xuZmV4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IFERROR(__xludf.DUMMYFUNCTION("""COMPUTED_VALUE"""),"GetDailyTradingVolume")</f>
        <v>GetDailyTradingVolume</v>
      </c>
      <c r="C193" t="str">
        <f ca="1">IFERROR(__xludf.DUMMYFUNCTION("""COMPUTED_VALUE"""),"13_3BlEywfIbmLv8ehR4xEnlxsKH6p99Auwir6h3H6Vw")</f>
        <v>13_3BlEywfIbmLv8ehR4xEnlxsKH6p99Auwir6h3H6Vw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IFERROR(__xludf.DUMMYFUNCTION("""COMPUTED_VALUE"""),"DailyValuation")</f>
        <v>DailyValuation</v>
      </c>
      <c r="B194" t="str">
        <f ca="1">IFERROR(__xludf.DUMMYFUNCTION("""COMPUTED_VALUE"""),"GetDailyOutstandings")</f>
        <v>GetDailyOutstandings</v>
      </c>
      <c r="C194" t="str">
        <f ca="1">IFERROR(__xludf.DUMMYFUNCTION("""COMPUTED_VALUE"""),"1sLKwhK_atc91MfQQM8wQwZfjO3pgtM4kgVY5SgIeXeM")</f>
        <v>1sLKwhK_atc91MfQQM8wQwZfjO3pgtM4kgVY5SgIeXeM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IFERROR(__xludf.DUMMYFUNCTION("""COMPUTED_VALUE"""),"GroupTrades")</f>
        <v>GroupTrades</v>
      </c>
      <c r="C195" t="str">
        <f ca="1">IFERROR(__xludf.DUMMYFUNCTION("""COMPUTED_VALUE"""),"1EHh4jFbCB_7W8NUvAxfKOOd3z2oAduJdO79DgqHrBtY")</f>
        <v>1EHh4jFbCB_7W8NUvAxfKOOd3z2oAduJdO79DgqHrBtY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IFERROR(__xludf.DUMMYFUNCTION("""COMPUTED_VALUE"""),"UngroupTrades")</f>
        <v>UngroupTrades</v>
      </c>
      <c r="C196" t="str">
        <f ca="1">IFERROR(__xludf.DUMMYFUNCTION("""COMPUTED_VALUE"""),"1wT7X_NnstfsYuZsX-0lyLBdkolK-8ZEsXvnFLV6bMAE")</f>
        <v>1wT7X_NnstfsYuZsX-0lyLBdkolK-8ZEsXvnFLV6bMAE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IFERROR(__xludf.DUMMYFUNCTION("""COMPUTED_VALUE"""),"DeleteGroup")</f>
        <v>DeleteGroup</v>
      </c>
      <c r="C197" t="str">
        <f ca="1">IFERROR(__xludf.DUMMYFUNCTION("""COMPUTED_VALUE"""),"14Fhi0b_GQUlmlgNStjwraATvNzL0JKHtYwKTPJPvGNI")</f>
        <v>14Fhi0b_GQUlmlgNStjwraATvNzL0JKHtYwKTPJPvGNI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IFERROR(__xludf.DUMMYFUNCTION("""COMPUTED_VALUE"""),"CloseOrder")</f>
        <v>CloseOrder</v>
      </c>
      <c r="C198" t="str">
        <f ca="1">IFERROR(__xludf.DUMMYFUNCTION("""COMPUTED_VALUE"""),"1W2n-kLDHZ8B7E5eQGh6G0GOUb3A3L8-tTcVdicuAmkU")</f>
        <v>1W2n-kLDHZ8B7E5eQGh6G0GOUb3A3L8-tTcVdicuAmkU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IFERROR(__xludf.DUMMYFUNCTION("""COMPUTED_VALUE"""),"Allocation")</f>
        <v>Allocation</v>
      </c>
      <c r="B199" t="str">
        <f ca="1">IFERROR(__xludf.DUMMYFUNCTION("""COMPUTED_VALUE"""),"Unallocate")</f>
        <v>Unallocate</v>
      </c>
      <c r="C199" t="str">
        <f ca="1">IFERROR(__xludf.DUMMYFUNCTION("""COMPUTED_VALUE"""),"1P4Lqg6ZRnWqVobPMr44KqP83w4ynmQE5n8h-XwTOct0")</f>
        <v>1P4Lqg6ZRnWqVobPMr44KqP83w4ynmQE5n8h-XwTOct0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IFERROR(__xludf.DUMMYFUNCTION("""COMPUTED_VALUE"""),"GetDailyDelta")</f>
        <v>GetDailyDelta</v>
      </c>
      <c r="C200" t="str">
        <f ca="1">IFERROR(__xludf.DUMMYFUNCTION("""COMPUTED_VALUE"""),"1BZNOdcISyc-l05LBITen9oQ8hGx9wCHLSyLuFXp5D2U")</f>
        <v>1BZNOdcISyc-l05LBITen9oQ8hGx9wCHLSyLuFXp5D2U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IFERROR(__xludf.DUMMYFUNCTION("""COMPUTED_VALUE"""),"DailyValuation")</f>
        <v>DailyValuation</v>
      </c>
      <c r="B201" t="str">
        <f ca="1">IFERROR(__xludf.DUMMYFUNCTION("""COMPUTED_VALUE"""),"UpdateDailyVolatility")</f>
        <v>UpdateDailyVolatility</v>
      </c>
      <c r="C201" t="str">
        <f ca="1">IFERROR(__xludf.DUMMYFUNCTION("""COMPUTED_VALUE"""),"146Z9ZJQiDO8EHvdwoSxV0wCV6Ek6G3uQW2D7TkUxaO8")</f>
        <v>146Z9ZJQiDO8EHvdwoSxV0wCV6Ek6G3uQW2D7TkUxaO8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IFERROR(__xludf.DUMMYFUNCTION("""COMPUTED_VALUE"""),"AddOpeningBalanceTransaction")</f>
        <v>AddOpeningBalanceTransaction</v>
      </c>
      <c r="C202" t="str">
        <f ca="1">IFERROR(__xludf.DUMMYFUNCTION("""COMPUTED_VALUE"""),"1Er5cA8DuUbYCw7KLpLOK-veG1r1qAcCKwwpI-7ayuEU")</f>
        <v>1Er5cA8DuUbYCw7KLpLOK-veG1r1qAcCKwwpI-7ayuEU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IFERROR(__xludf.DUMMYFUNCTION("""COMPUTED_VALUE"""),"GeneralLedger")</f>
        <v>GeneralLedger</v>
      </c>
      <c r="B203" t="str">
        <f ca="1">IFERROR(__xludf.DUMMYFUNCTION("""COMPUTED_VALUE"""),"AddOpeningBalanceTranItem")</f>
        <v>AddOpeningBalanceTranItem</v>
      </c>
      <c r="C203" t="str">
        <f ca="1">IFERROR(__xludf.DUMMYFUNCTION("""COMPUTED_VALUE"""),"1Y9tVyxlIIK8aGa1zpa8P6m5oXfoZt0Z_7Q77x0zATOU")</f>
        <v>1Y9tVyxlIIK8aGa1zpa8P6m5oXfoZt0Z_7Q77x0zATOU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IFERROR(__xludf.DUMMYFUNCTION("""COMPUTED_VALUE"""),"CancelAllSubs")</f>
        <v>CancelAllSubs</v>
      </c>
      <c r="C204" t="str">
        <f ca="1">IFERROR(__xludf.DUMMYFUNCTION("""COMPUTED_VALUE"""),"1FISshMW4C9VcysGHes3nO8RzIPN-pdLkjyXiIUKtIBk")</f>
        <v>1FISshMW4C9VcysGHes3nO8RzIPN-pdLkjyXiIUKtIBk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IFERROR(__xludf.DUMMYFUNCTION("""COMPUTED_VALUE"""),"CancelSubOrder")</f>
        <v>CancelSubOrder</v>
      </c>
      <c r="C205" t="str">
        <f ca="1">IFERROR(__xludf.DUMMYFUNCTION("""COMPUTED_VALUE"""),"1eNqSu7ciYUbc7O-Son8MO7mu_4pdhTqcQzmjhemOZCc")</f>
        <v>1eNqSu7ciYUbc7O-Son8MO7mu_4pdhTqcQzmjhemOZCc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IFERROR(__xludf.DUMMYFUNCTION("""COMPUTED_VALUE"""),"EditStageOrder")</f>
        <v>EditStageOrder</v>
      </c>
      <c r="C206" t="str">
        <f ca="1">IFERROR(__xludf.DUMMYFUNCTION("""COMPUTED_VALUE"""),"10aoSl9_lS6n0c76XthP3a9Dz-bjNKwRzfzL4Q8BlYWE")</f>
        <v>10aoSl9_lS6n0c76XthP3a9Dz-bjNKwRzfzL4Q8BlYWE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IFERROR(__xludf.DUMMYFUNCTION("""COMPUTED_VALUE"""),"ReplaceSubOrder")</f>
        <v>ReplaceSubOrder</v>
      </c>
      <c r="C207" t="str">
        <f ca="1">IFERROR(__xludf.DUMMYFUNCTION("""COMPUTED_VALUE"""),"1kdpFzbg-DNEfiMlhnbQP4dbXwbbnoNTaSrPDmV3lmeI")</f>
        <v>1kdpFzbg-DNEfiMlhnbQP4dbXwbbnoNTaSrPDmV3lmeI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IFERROR(__xludf.DUMMYFUNCTION("""COMPUTED_VALUE"""),"SelectTradeWorkingSubsBlotter")</f>
        <v>SelectTradeWorkingSubsBlotter</v>
      </c>
      <c r="C208" t="str">
        <f ca="1">IFERROR(__xludf.DUMMYFUNCTION("""COMPUTED_VALUE"""),"15Pb7Ux1-JFyLFbvj7qbaC_GVF-DLQhBztxo6IFMpVv8")</f>
        <v>15Pb7Ux1-JFyLFbvj7qbaC_GVF-DLQhBztxo6IFMpVv8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IFERROR(__xludf.DUMMYFUNCTION("""COMPUTED_VALUE"""),"VerifyAlgoDetails")</f>
        <v>VerifyAlgoDetails</v>
      </c>
      <c r="C209" t="str">
        <f ca="1">IFERROR(__xludf.DUMMYFUNCTION("""COMPUTED_VALUE"""),"1asfjdHxDYp0HR_gnZvXHo-u4H-Fbp3Sa660-N2OHCpg")</f>
        <v>1asfjdHxDYp0HR_gnZvXHo-u4H-Fbp3Sa660-N2OHCpg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IFERROR(__xludf.DUMMYFUNCTION("""COMPUTED_VALUE"""),"VerifyTransferToUserOrder")</f>
        <v>VerifyTransferToUserOrder</v>
      </c>
      <c r="C210" t="str">
        <f ca="1">IFERROR(__xludf.DUMMYFUNCTION("""COMPUTED_VALUE"""),"1CaGQEjakKDvrvO6oiL701xCR2o3Pkjvx4n6P8miVxRE")</f>
        <v>1CaGQEjakKDvrvO6oiL701xCR2o3Pkjvx4n6P8miVxRE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IFERROR(__xludf.DUMMYFUNCTION("""COMPUTED_VALUE"""),"VerifyTransferToUserSubOdr")</f>
        <v>VerifyTransferToUserSubOdr</v>
      </c>
      <c r="C211" t="str">
        <f ca="1">IFERROR(__xludf.DUMMYFUNCTION("""COMPUTED_VALUE"""),"1WurfgGy_ncjF8ciu7o8V7G-0lseKCR_q6RIvEzunaL8")</f>
        <v>1WurfgGy_ncjF8ciu7o8V7G-0lseKCR_q6RIvEzunaL8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IFERROR(__xludf.DUMMYFUNCTION("""COMPUTED_VALUE"""),"VerifyTransferToUserWorkSub")</f>
        <v>VerifyTransferToUserWorkSub</v>
      </c>
      <c r="C212" t="str">
        <f ca="1">IFERROR(__xludf.DUMMYFUNCTION("""COMPUTED_VALUE"""),"1WXidI7EFmKIXEkUSvFkBx-e_Zsl8HHbPVzSmTyyII-8")</f>
        <v>1WXidI7EFmKIXEkUSvFkBx-e_Zsl8HHbPVzSmTyyII-8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IFERROR(__xludf.DUMMYFUNCTION("""COMPUTED_VALUE"""),"Blotter")</f>
        <v>Blotter</v>
      </c>
      <c r="B213" t="str">
        <f ca="1">IFERROR(__xludf.DUMMYFUNCTION("""COMPUTED_VALUE"""),"SaveLayoutOrderGrid")</f>
        <v>SaveLayoutOrderGrid</v>
      </c>
      <c r="C213" t="str">
        <f ca="1">IFERROR(__xludf.DUMMYFUNCTION("""COMPUTED_VALUE"""),"1hoYXuDaocOGN7i_eM3mPgZa71Ib-KFe-A_es5AWq2hc")</f>
        <v>1hoYXuDaocOGN7i_eM3mPgZa71Ib-KFe-A_es5AWq2hc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IFERROR(__xludf.DUMMYFUNCTION("""COMPUTED_VALUE"""),"UpdateDividendYield")</f>
        <v>UpdateDividendYield</v>
      </c>
      <c r="C214" t="str">
        <f ca="1">IFERROR(__xludf.DUMMYFUNCTION("""COMPUTED_VALUE"""),"1TaEO-XMrQ5uQVqUpg_H__UP2j5QWyh2osX3nGmQ29tQ")</f>
        <v>1TaEO-XMrQ5uQVqUpg_H__UP2j5QWyh2osX3nGmQ29tQ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IFERROR(__xludf.DUMMYFUNCTION("""COMPUTED_VALUE"""),"UpdateTradingVolume")</f>
        <v>UpdateTradingVolume</v>
      </c>
      <c r="C215" t="str">
        <f ca="1">IFERROR(__xludf.DUMMYFUNCTION("""COMPUTED_VALUE"""),"1Ztd_ZDIbmJbt97AdoajcZot9LlKg7tElKLkwU7ZI8kQ")</f>
        <v>1Ztd_ZDIbmJbt97AdoajcZot9LlKg7tElKLkwU7ZI8kQ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IFERROR(__xludf.DUMMYFUNCTION("""COMPUTED_VALUE"""),"UpdateDailyDelta")</f>
        <v>UpdateDailyDelta</v>
      </c>
      <c r="C216" t="str">
        <f ca="1">IFERROR(__xludf.DUMMYFUNCTION("""COMPUTED_VALUE"""),"1zYEKZrhoEAGLRrqkEEycywrKp8Uj2_5xDsws25J9ecs")</f>
        <v>1zYEKZrhoEAGLRrqkEEycywrKp8Uj2_5xDsws25J9ecs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IFERROR(__xludf.DUMMYFUNCTION("""COMPUTED_VALUE"""),"DailyValuation")</f>
        <v>DailyValuation</v>
      </c>
      <c r="B217" t="str">
        <f ca="1">IFERROR(__xludf.DUMMYFUNCTION("""COMPUTED_VALUE"""),"UpdateDailyOutstandings")</f>
        <v>UpdateDailyOutstandings</v>
      </c>
      <c r="C217" t="str">
        <f ca="1">IFERROR(__xludf.DUMMYFUNCTION("""COMPUTED_VALUE"""),"12u5mseLFNuiJRq15DpYlkMovEyq054eTB-bTQ12T8Dg")</f>
        <v>12u5mseLFNuiJRq15DpYlkMovEyq054eTB-bTQ12T8Dg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IFERROR(__xludf.DUMMYFUNCTION("""COMPUTED_VALUE"""),"GetDataClosing")</f>
        <v>GetDataClosing</v>
      </c>
      <c r="C218" t="str">
        <f ca="1">IFERROR(__xludf.DUMMYFUNCTION("""COMPUTED_VALUE"""),"16lzFI9gsZqlEkHwdgfB0e6XwhXs1tf612Vp5lvCAF34")</f>
        <v>16lzFI9gsZqlEkHwdgfB0e6XwhXs1tf612Vp5lvCAF34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IFERROR(__xludf.DUMMYFUNCTION("""COMPUTED_VALUE"""),"ManualClosing")</f>
        <v>ManualClosing</v>
      </c>
      <c r="C219" t="str">
        <f ca="1">IFERROR(__xludf.DUMMYFUNCTION("""COMPUTED_VALUE"""),"1o4R7vc6fDpMOVzY73k88L4yRgA6JbrXAvp_H4rn1xAc")</f>
        <v>1o4R7vc6fDpMOVzY73k88L4yRgA6JbrXAvp_H4rn1xAc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IFERROR(__xludf.DUMMYFUNCTION("""COMPUTED_VALUE"""),"AutomaticClosing")</f>
        <v>AutomaticClosing</v>
      </c>
      <c r="C220" t="str">
        <f ca="1">IFERROR(__xludf.DUMMYFUNCTION("""COMPUTED_VALUE"""),"19ZGQXJ9n3lH2LkvDr8rQ7yVhwqJ2W9hr1Ch60XjZGvQ")</f>
        <v>19ZGQXJ9n3lH2LkvDr8rQ7yVhwqJ2W9hr1Ch60XjZGvQ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IFERROR(__xludf.DUMMYFUNCTION("""COMPUTED_VALUE"""),"UnwindClosing")</f>
        <v>UnwindClosing</v>
      </c>
      <c r="C221" t="str">
        <f ca="1">IFERROR(__xludf.DUMMYFUNCTION("""COMPUTED_VALUE"""),"1RZolxlSy232AWUFjDHTtnTOhohdVbn1DOhx6Ms4r50M")</f>
        <v>1RZolxlSy232AWUFjDHTtnTOhohdVbn1DOhx6Ms4r50M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IFERROR(__xludf.DUMMYFUNCTION("""COMPUTED_VALUE"""),"VerifyClosedTrades")</f>
        <v>VerifyClosedTrades</v>
      </c>
      <c r="C222" t="str">
        <f ca="1">IFERROR(__xludf.DUMMYFUNCTION("""COMPUTED_VALUE"""),"1HyLW-Nqd7NMTdz4P0i-EEILbZDKX65qyLaL3WGxM15o")</f>
        <v>1HyLW-Nqd7NMTdz4P0i-EEILbZDKX65qyLaL3WGxM15o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IFERROR(__xludf.DUMMYFUNCTION("""COMPUTED_VALUE"""),"VerifyLongPositionsGrid")</f>
        <v>VerifyLongPositionsGrid</v>
      </c>
      <c r="C223" t="str">
        <f ca="1">IFERROR(__xludf.DUMMYFUNCTION("""COMPUTED_VALUE"""),"1THpHwflua5O0TZIAb-zjuTdBIVVoc4DIkDPJWfYEkHE")</f>
        <v>1THpHwflua5O0TZIAb-zjuTdBIVVoc4DIkDPJWfYEkHE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IFERROR(__xludf.DUMMYFUNCTION("""COMPUTED_VALUE"""),"VerifyShortPositionsGrid")</f>
        <v>VerifyShortPositionsGrid</v>
      </c>
      <c r="C224" t="str">
        <f ca="1">IFERROR(__xludf.DUMMYFUNCTION("""COMPUTED_VALUE"""),"1EAxx7Aly_cNOBIAfHYbBEzjVuDwiekUpqTyyhEJx3EY")</f>
        <v>1EAxx7Aly_cNOBIAfHYbBEzjVuDwiekUpqTyyhEJx3EY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IFERROR(__xludf.DUMMYFUNCTION("""COMPUTED_VALUE"""),"SelectTradeUnexpiredUnsettled")</f>
        <v>SelectTradeUnexpiredUnsettled</v>
      </c>
      <c r="C225" t="str">
        <f ca="1">IFERROR(__xludf.DUMMYFUNCTION("""COMPUTED_VALUE"""),"1JkDC1FCfqwzDoW3WqRGJhNsT40Ttpe4pyTLzfBndTGc")</f>
        <v>1JkDC1FCfqwzDoW3WqRGJhNsT40Ttpe4pyTLzfBndTGc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IFERROR(__xludf.DUMMYFUNCTION("""COMPUTED_VALUE"""),"CashSettlementAtCost")</f>
        <v>CashSettlementAtCost</v>
      </c>
      <c r="C226" t="str">
        <f ca="1">IFERROR(__xludf.DUMMYFUNCTION("""COMPUTED_VALUE"""),"1pJueAVRAi97uyXM0O686g434dgncNO-iK4hh0lSer_o")</f>
        <v>1pJueAVRAi97uyXM0O686g434dgncNO-iK4hh0lSer_o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IFERROR(__xludf.DUMMYFUNCTION("""COMPUTED_VALUE"""),"CashSettlementAtZeroPrice")</f>
        <v>CashSettlementAtZeroPrice</v>
      </c>
      <c r="C227" t="str">
        <f ca="1">IFERROR(__xludf.DUMMYFUNCTION("""COMPUTED_VALUE"""),"1cubrHPpfOccWfDqa1IYFihof8dsrAkjSbJP37TiVbFY")</f>
        <v>1cubrHPpfOccWfDqa1IYFihof8dsrAkjSbJP37TiVbFY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IFERROR(__xludf.DUMMYFUNCTION("""COMPUTED_VALUE"""),"CashSettlementAtClosingDtSpotPx")</f>
        <v>CashSettlementAtClosingDtSpotPx</v>
      </c>
      <c r="C228" t="str">
        <f ca="1">IFERROR(__xludf.DUMMYFUNCTION("""COMPUTED_VALUE"""),"1e2UpAqQipYsUF2gQxTX0WvJ1xe4pDdKcEJPyV77Kdr4")</f>
        <v>1e2UpAqQipYsUF2gQxTX0WvJ1xe4pDdKcEJPyV77Kdr4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IFERROR(__xludf.DUMMYFUNCTION("""COMPUTED_VALUE"""),"PhysicalSettlement")</f>
        <v>PhysicalSettlement</v>
      </c>
      <c r="C229" t="str">
        <f ca="1">IFERROR(__xludf.DUMMYFUNCTION("""COMPUTED_VALUE"""),"1kO_ckymbkywKKOsIKaY95u2Z7Gs32yH10Bv2VWwLDRQ")</f>
        <v>1kO_ckymbkywKKOsIKaY95u2Z7Gs32yH10Bv2VWwLDRQ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IFERROR(__xludf.DUMMYFUNCTION("""COMPUTED_VALUE"""),"Expire")</f>
        <v>Expire</v>
      </c>
      <c r="C230" t="str">
        <f ca="1">IFERROR(__xludf.DUMMYFUNCTION("""COMPUTED_VALUE"""),"1xd46jf55czekfgDlBo3qcKSi2CxYo1xK2kSFGLWEITg")</f>
        <v>1xd46jf55czekfgDlBo3qcKSi2CxYo1xK2kSFGLWEITg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IFERROR(__xludf.DUMMYFUNCTION("""COMPUTED_VALUE"""),"ExerciseAssignment")</f>
        <v>ExerciseAssignment</v>
      </c>
      <c r="C231" t="str">
        <f ca="1">IFERROR(__xludf.DUMMYFUNCTION("""COMPUTED_VALUE"""),"1jomy0KMyg6BZWRcGU-3oouwPCAjOdh51-esyP_qfzew")</f>
        <v>1jomy0KMyg6BZWRcGU-3oouwPCAjOdh51-esyP_qfzew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IFERROR(__xludf.DUMMYFUNCTION("""COMPUTED_VALUE"""),"ExerciseAssignmentAtZero")</f>
        <v>ExerciseAssignmentAtZero</v>
      </c>
      <c r="C232" t="str">
        <f ca="1">IFERROR(__xludf.DUMMYFUNCTION("""COMPUTED_VALUE"""),"1JC7cN1_L2ghLQSc7tvfU-C6GlUpKjI0zbxe9fR2AEXo")</f>
        <v>1JC7cN1_L2ghLQSc7tvfU-C6GlUpKjI0zbxe9fR2AEXo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IFERROR(__xludf.DUMMYFUNCTION("""COMPUTED_VALUE"""),"SwapExpireAndRollover")</f>
        <v>SwapExpireAndRollover</v>
      </c>
      <c r="C233" t="str">
        <f ca="1">IFERROR(__xludf.DUMMYFUNCTION("""COMPUTED_VALUE"""),"1LcoopO1pJFfzoSLBnL58479Lbo3gbd7BtsRNhAuOHz0")</f>
        <v>1LcoopO1pJFfzoSLBnL58479Lbo3gbd7BtsRNhAuOHz0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IFERROR(__xludf.DUMMYFUNCTION("""COMPUTED_VALUE"""),"SwapExpire")</f>
        <v>SwapExpire</v>
      </c>
      <c r="C234" t="str">
        <f ca="1">IFERROR(__xludf.DUMMYFUNCTION("""COMPUTED_VALUE"""),"1z6pUIT3oPTEZW_y_iDzPPlnF5p3Cf9Ie9f6STHWe4NI")</f>
        <v>1z6pUIT3oPTEZW_y_iDzPPlnF5p3Cf9Ie9f6STHWe4NI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IFERROR(__xludf.DUMMYFUNCTION("""COMPUTED_VALUE"""),"VerifyExpiredSettledGrid")</f>
        <v>VerifyExpiredSettledGrid</v>
      </c>
      <c r="C235" t="str">
        <f ca="1">IFERROR(__xludf.DUMMYFUNCTION("""COMPUTED_VALUE"""),"1debbTlqmMmQtMi1kR3cw1PJ3LFvU9PNw7BsRhu5LYxE")</f>
        <v>1debbTlqmMmQtMi1kR3cw1PJ3LFvU9PNw7BsRhu5LYxE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IFERROR(__xludf.DUMMYFUNCTION("""COMPUTED_VALUE"""),"VerifyUnExpiredUnSettledGrid")</f>
        <v>VerifyUnExpiredUnSettledGrid</v>
      </c>
      <c r="C236" t="str">
        <f ca="1">IFERROR(__xludf.DUMMYFUNCTION("""COMPUTED_VALUE"""),"1E9u8MqCDk-JIJR-nQdC61WyMm_lHo8KbEKzI5OTf5LM")</f>
        <v>1E9u8MqCDk-JIJR-nQdC61WyMm_lHo8KbEKzI5OTf5LM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IFERROR(__xludf.DUMMYFUNCTION("""COMPUTED_VALUE"""),"UnWindTradeSettlement")</f>
        <v>UnWindTradeSettlement</v>
      </c>
      <c r="C237" t="str">
        <f ca="1">IFERROR(__xludf.DUMMYFUNCTION("""COMPUTED_VALUE"""),"1c-5tS_GGnCA3BCOG6tO9d4rmu-2bh2K6FozdylrV3Kw")</f>
        <v>1c-5tS_GGnCA3BCOG6tO9d4rmu-2bh2K6FozdylrV3Kw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IFERROR(__xludf.DUMMYFUNCTION("""COMPUTED_VALUE"""),"CloseOrder")</f>
        <v>CloseOrder</v>
      </c>
      <c r="C238" t="str">
        <f ca="1">IFERROR(__xludf.DUMMYFUNCTION("""COMPUTED_VALUE"""),"10Ls_qaWBrZGD6Hu6PwXHM_creNWqKJBF1vx_W_hD7II")</f>
        <v>10Ls_qaWBrZGD6Hu6PwXHM_creNWqKJBF1vx_W_hD7II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IFERROR(__xludf.DUMMYFUNCTION("""COMPUTED_VALUE"""),"VerifyCloseOrder")</f>
        <v>VerifyCloseOrder</v>
      </c>
      <c r="C239" t="str">
        <f ca="1">IFERROR(__xludf.DUMMYFUNCTION("""COMPUTED_VALUE"""),"1OnFHTJtkJDxG5Vv6GKA_Ok_qmW3Mx6sdmrMe_JPeiEo")</f>
        <v>1OnFHTJtkJDxG5Vv6GKA_Ok_qmW3Mx6sdmrMe_JPeiEo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IFERROR(__xludf.DUMMYFUNCTION("""COMPUTED_VALUE"""),"UnWindCloseOrder")</f>
        <v>UnWindCloseOrder</v>
      </c>
      <c r="C240" t="str">
        <f ca="1">IFERROR(__xludf.DUMMYFUNCTION("""COMPUTED_VALUE"""),"1sXKcAWtu9h5YRA9QWyV7gfdN0atri6beiInDSd-hCmo")</f>
        <v>1sXKcAWtu9h5YRA9QWyV7gfdN0atri6beiInDSd-hCmo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IFERROR(__xludf.DUMMYFUNCTION("""COMPUTED_VALUE"""),"ClosingCleanUp")</f>
        <v>ClosingCleanUp</v>
      </c>
      <c r="C241" t="str">
        <f ca="1">IFERROR(__xludf.DUMMYFUNCTION("""COMPUTED_VALUE"""),"1mOvKBSjjS9PQDaWPPD2DXRjWNh0AmB0d7I3UzPUEELo")</f>
        <v>1mOvKBSjjS9PQDaWPPD2DXRjWNh0AmB0d7I3UzPUEELo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IFERROR(__xludf.DUMMYFUNCTION("""COMPUTED_VALUE"""),"Closing")</f>
        <v>Closing</v>
      </c>
      <c r="B242" t="str">
        <f ca="1">IFERROR(__xludf.DUMMYFUNCTION("""COMPUTED_VALUE"""),"CloseClosingUI")</f>
        <v>CloseClosingUI</v>
      </c>
      <c r="C242" t="str">
        <f ca="1">IFERROR(__xludf.DUMMYFUNCTION("""COMPUTED_VALUE"""),"1uCevoL-0ELleZGMlUmx6ardgeuSS8TJngd36Qafc7Uo")</f>
        <v>1uCevoL-0ELleZGMlUmx6ardgeuSS8TJngd36Qafc7Uo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IFERROR(__xludf.DUMMYFUNCTION("""COMPUTED_VALUE"""),"GetDailyCalculationsData")</f>
        <v>GetDailyCalculationsData</v>
      </c>
      <c r="C243" t="str">
        <f ca="1">IFERROR(__xludf.DUMMYFUNCTION("""COMPUTED_VALUE"""),"1YJVNtYRUmTNWKXJj9kfh5JwLi1mmuvYLpyUxMOQGb8Q")</f>
        <v>1YJVNtYRUmTNWKXJj9kfh5JwLi1mmuvYLpyUxMOQGb8Q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IFERROR(__xludf.DUMMYFUNCTION("""COMPUTED_VALUE"""),"CalculateDailyCalculations")</f>
        <v>CalculateDailyCalculations</v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IFERROR(__xludf.DUMMYFUNCTION("""COMPUTED_VALUE"""),"EditOpeningBalanceTransaction")</f>
        <v>EditOpeningBalanceTransaction</v>
      </c>
      <c r="C245" t="str">
        <f ca="1">IFERROR(__xludf.DUMMYFUNCTION("""COMPUTED_VALUE"""),"1f33hWxXrSpvQk_fezTt5QaHMw4QVKL_Re80HADhqleA")</f>
        <v>1f33hWxXrSpvQk_fezTt5QaHMw4QVKL_Re80HADhqleA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IFERROR(__xludf.DUMMYFUNCTION("""COMPUTED_VALUE"""),"GeneralLedger")</f>
        <v>GeneralLedger</v>
      </c>
      <c r="B246" t="str">
        <f ca="1">IFERROR(__xludf.DUMMYFUNCTION("""COMPUTED_VALUE"""),"EditOpeningBalanceTranItem")</f>
        <v>EditOpeningBalanceTranItem</v>
      </c>
      <c r="C246" t="str">
        <f ca="1">IFERROR(__xludf.DUMMYFUNCTION("""COMPUTED_VALUE"""),"1OA_Qb7WAVRuurX4X5gOQnYYHNNGEQ0QDSIa_9xHRghg")</f>
        <v>1OA_Qb7WAVRuurX4X5gOQnYYHNNGEQ0QDSIa_9xHRghg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IFERROR(__xludf.DUMMYFUNCTION("""COMPUTED_VALUE"""),"UpdateBeta")</f>
        <v>UpdateBeta</v>
      </c>
      <c r="C247" t="str">
        <f ca="1">IFERROR(__xludf.DUMMYFUNCTION("""COMPUTED_VALUE"""),"1CNXkbQ3clbbk2GA1D_o7mwbOXh3TyoxE-Yi_zMNFThE")</f>
        <v>1CNXkbQ3clbbk2GA1D_o7mwbOXh3TyoxE-Yi_zMNFThE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IFERROR(__xludf.DUMMYFUNCTION("""COMPUTED_VALUE"""),"UpdateNAV")</f>
        <v>UpdateNAV</v>
      </c>
      <c r="C248" t="str">
        <f ca="1">IFERROR(__xludf.DUMMYFUNCTION("""COMPUTED_VALUE"""),"1f0Lf0D5HXa_Cx8Vue1DZiGmAsUjTtB-gcjvPvTR9JNE")</f>
        <v>1f0Lf0D5HXa_Cx8Vue1DZiGmAsUjTtB-gcjvPvTR9JNE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IFERROR(__xludf.DUMMYFUNCTION("""COMPUTED_VALUE"""),"UpdateDailyCash")</f>
        <v>UpdateDailyCash</v>
      </c>
      <c r="C249" t="str">
        <f ca="1">IFERROR(__xludf.DUMMYFUNCTION("""COMPUTED_VALUE"""),"1MJQnzJKtIwrFYxgQuyxiDRTHx2AlxPGsZAP8b3EZ-cU")</f>
        <v>1MJQnzJKtIwrFYxgQuyxiDRTHx2AlxPGsZAP8b3EZ-cU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IFERROR(__xludf.DUMMYFUNCTION("""COMPUTED_VALUE"""),"GeneralLedger")</f>
        <v>GeneralLedger</v>
      </c>
      <c r="B250" t="str">
        <f ca="1">IFERROR(__xludf.DUMMYFUNCTION("""COMPUTED_VALUE"""),"VerifyDailyCalTransactions")</f>
        <v>VerifyDailyCalTransactions</v>
      </c>
      <c r="C250" t="str">
        <f ca="1">IFERROR(__xludf.DUMMYFUNCTION("""COMPUTED_VALUE"""),"1No6WLebjv-HZHol5ORsOy8cdgdnxxGTyFXCjLfVPv-g")</f>
        <v>1No6WLebjv-HZHol5ORsOy8cdgdnxxGTyFXCjLfVPv-g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IFERROR(__xludf.DUMMYFUNCTION("""COMPUTED_VALUE"""),"UpdateDailyCreditLimt")</f>
        <v>UpdateDailyCreditLimt</v>
      </c>
      <c r="C251" t="str">
        <f ca="1">IFERROR(__xludf.DUMMYFUNCTION("""COMPUTED_VALUE"""),"1_n1qpS5eGM6UUpCOjnzQ7IVkc84YJvHcwE2EToPEy2Y")</f>
        <v>1_n1qpS5eGM6UUpCOjnzQ7IVkc84YJvHcwE2EToPEy2Y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IFERROR(__xludf.DUMMYFUNCTION("""COMPUTED_VALUE"""),"RemoveDailyCreditLimit")</f>
        <v>RemoveDailyCreditLimit</v>
      </c>
      <c r="C252" t="str">
        <f ca="1">IFERROR(__xludf.DUMMYFUNCTION("""COMPUTED_VALUE"""),"1nbJv93cXgLsVC1M0RSzzEniMDCmi2Dwk4muKo44GPDQ")</f>
        <v>1nbJv93cXgLsVC1M0RSzzEniMDCmi2Dwk4muKo44GPDQ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IFERROR(__xludf.DUMMYFUNCTION("""COMPUTED_VALUE"""),"RemoveDailyCash")</f>
        <v>RemoveDailyCash</v>
      </c>
      <c r="C253" t="str">
        <f ca="1">IFERROR(__xludf.DUMMYFUNCTION("""COMPUTED_VALUE"""),"1yg-UHTILqTc2b4bM5WYwnvO5qi7lDXuNwWxenx30fQ0")</f>
        <v>1yg-UHTILqTc2b4bM5WYwnvO5qi7lDXuNwWxenx30fQ0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IFERROR(__xludf.DUMMYFUNCTION("""COMPUTED_VALUE"""),"DailyValuation")</f>
        <v>DailyValuation</v>
      </c>
      <c r="B254" t="str">
        <f ca="1">IFERROR(__xludf.DUMMYFUNCTION("""COMPUTED_VALUE"""),"RemoveNAV")</f>
        <v>RemoveNAV</v>
      </c>
      <c r="C254" t="str">
        <f ca="1">IFERROR(__xludf.DUMMYFUNCTION("""COMPUTED_VALUE"""),"1bmqiPEJNMh2MQB7ldxgiFAQFLpQurDp8nYpuniHvI40")</f>
        <v>1bmqiPEJNMh2MQB7ldxgiFAQFLpQurDp8nYpuniHvI40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IFERROR(__xludf.DUMMYFUNCTION("""COMPUTED_VALUE"""),"FilterPM")</f>
        <v>FilterPM</v>
      </c>
      <c r="C255" t="str">
        <f ca="1">IFERROR(__xludf.DUMMYFUNCTION("""COMPUTED_VALUE"""),"11tOcpVgAbiehbXpkIxVq_cMvb2Dscd7LMkdYkQ5wPOU")</f>
        <v>11tOcpVgAbiehbXpkIxVq_cMvb2Dscd7LMkdYkQ5wPOU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IFERROR(__xludf.DUMMYFUNCTION("""COMPUTED_VALUE"""),"GroupRowPM")</f>
        <v>GroupRowPM</v>
      </c>
      <c r="C256" t="str">
        <f ca="1">IFERROR(__xludf.DUMMYFUNCTION("""COMPUTED_VALUE"""),"1tWRpXqxd6ZORR0DwrF8JFWRmxLsFmkEzy6toMzslEFs")</f>
        <v>1tWRpXqxd6ZORR0DwrF8JFWRmxLsFmkEzy6toMzslEFs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IFERROR(__xludf.DUMMYFUNCTION("""COMPUTED_VALUE"""),"Allocation")</f>
        <v>Allocation</v>
      </c>
      <c r="B257" t="str">
        <f ca="1">IFERROR(__xludf.DUMMYFUNCTION("""COMPUTED_VALUE"""),"CloseAllocation")</f>
        <v>CloseAllocation</v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IFERROR(__xludf.DUMMYFUNCTION("""COMPUTED_VALUE"""),"CheckDashboardWithPM")</f>
        <v>CheckDashboardWithPM</v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IFERROR(__xludf.DUMMYFUNCTION("""COMPUTED_VALUE"""),"RemoveFilterPM")</f>
        <v>RemoveFilterPM</v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IFERROR(__xludf.DUMMYFUNCTION("""COMPUTED_VALUE"""),"PortfolioManagement")</f>
        <v>PortfolioManagement</v>
      </c>
      <c r="B260" t="str">
        <f ca="1">IFERROR(__xludf.DUMMYFUNCTION("""COMPUTED_VALUE"""),"CheckSummaryRowsPM")</f>
        <v>CheckSummaryRowsPM</v>
      </c>
      <c r="C260" t="str">
        <f ca="1">IFERROR(__xludf.DUMMYFUNCTION("""COMPUTED_VALUE"""),"1qfMlSxp9Gmtr9QzhdzFRk2AggElraX_4Ql7NITh226U")</f>
        <v>1qfMlSxp9Gmtr9QzhdzFRk2AggElraX_4Ql7NITh226U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IFERROR(__xludf.DUMMYFUNCTION("""COMPUTED_VALUE"""),"CloseGeneralLedger")</f>
        <v>CloseGeneralLedger</v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IFERROR(__xludf.DUMMYFUNCTION("""COMPUTED_VALUE"""),"Blotter")</f>
        <v>Blotter</v>
      </c>
      <c r="B262" t="str">
        <f ca="1">IFERROR(__xludf.DUMMYFUNCTION("""COMPUTED_VALUE"""),"ReplaceStageOrder")</f>
        <v>ReplaceStageOrder</v>
      </c>
      <c r="C262" t="str">
        <f ca="1">IFERROR(__xludf.DUMMYFUNCTION("""COMPUTED_VALUE"""),"1MauoMCChdN3x4rtgbvwZGoyfN1V3Cd_sFwhfgHhvRNc")</f>
        <v>1MauoMCChdN3x4rtgbvwZGoyfN1V3Cd_sFwhfgHhvRNc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IFERROR(__xludf.DUMMYFUNCTION("""COMPUTED_VALUE"""),"GeneralLedger")</f>
        <v>GeneralLedger</v>
      </c>
      <c r="B263" t="str">
        <f ca="1">IFERROR(__xludf.DUMMYFUNCTION("""COMPUTED_VALUE"""),"VerifyAccountDetails")</f>
        <v>VerifyAccountDetails</v>
      </c>
      <c r="C263" t="str">
        <f ca="1">IFERROR(__xludf.DUMMYFUNCTION("""COMPUTED_VALUE"""),"1sBIRFds5Q1O5N0BFh7SF-jISSMaDCziE4o2f4gJMJRE")</f>
        <v>1sBIRFds5Q1O5N0BFh7SF-jISSMaDCziE4o2f4gJMJRE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IFERROR(__xludf.DUMMYFUNCTION("""COMPUTED_VALUE"""),"CreateNewSubOrder")</f>
        <v>CreateNewSubOrder</v>
      </c>
      <c r="C264" t="str">
        <f ca="1">IFERROR(__xludf.DUMMYFUNCTION("""COMPUTED_VALUE"""),"1D_kdccpdl4_YcdladyfPb9Tm9Jy36W0yNer6vBfIUiI")</f>
        <v>1D_kdccpdl4_YcdladyfPb9Tm9Jy36W0yNer6vBfIUiI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IFERROR(__xludf.DUMMYFUNCTION("""COMPUTED_VALUE"""),"CreateTransaction")</f>
        <v>CreateTransaction</v>
      </c>
      <c r="B265" t="str">
        <f ca="1">IFERROR(__xludf.DUMMYFUNCTION("""COMPUTED_VALUE"""),"AddNewTransaction")</f>
        <v>AddNewTransaction</v>
      </c>
      <c r="C265" t="str">
        <f ca="1">IFERROR(__xludf.DUMMYFUNCTION("""COMPUTED_VALUE"""),"1N_rilKtCWrKiZObil_Zu7hHl-J9Fbop1bmMz1txxWHk")</f>
        <v>1N_rilKtCWrKiZObil_Zu7hHl-J9Fbop1bmMz1txxWHk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IFERROR(__xludf.DUMMYFUNCTION("""COMPUTED_VALUE"""),"TradeBloomberg")</f>
        <v>TradeBloomberg</v>
      </c>
      <c r="C266" t="str">
        <f ca="1">IFERROR(__xludf.DUMMYFUNCTION("""COMPUTED_VALUE"""),"1fnvZav9Nf_dK4PT7BtBxg3f_QpYVijg0VFJ2L0JBoN8")</f>
        <v>1fnvZav9Nf_dK4PT7BtBxg3f_QpYVijg0VFJ2L0JBoN8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IFERROR(__xludf.DUMMYFUNCTION("""COMPUTED_VALUE"""),"TradingTicket")</f>
        <v>TradingTicket</v>
      </c>
      <c r="B267" t="str">
        <f ca="1">IFERROR(__xludf.DUMMYFUNCTION("""COMPUTED_VALUE"""),"ClickSymbolLookup")</f>
        <v>ClickSymbolLookup</v>
      </c>
      <c r="C267" t="str">
        <f ca="1">IFERROR(__xludf.DUMMYFUNCTION("""COMPUTED_VALUE"""),"1AfygsDsnpGgwl7cb98FkGGKUIKRzwlnl9JXr5f_-eT0")</f>
        <v>1AfygsDsnpGgwl7cb98FkGGKUIKRzwlnl9JXr5f_-eT0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IFERROR(__xludf.DUMMYFUNCTION("""COMPUTED_VALUE"""),"PricingServer")</f>
        <v>PricingServer</v>
      </c>
      <c r="B268" t="str">
        <f ca="1">IFERROR(__xludf.DUMMYFUNCTION("""COMPUTED_VALUE"""),"RestartPricingServer")</f>
        <v>RestartPricingServer</v>
      </c>
      <c r="C268" t="str">
        <f ca="1">IFERROR(__xludf.DUMMYFUNCTION("""COMPUTED_VALUE"""),"1FRaXNMaTnKij57TTlGrDdSc6-tS_ESI3N9rqm38xYS8")</f>
        <v>1FRaXNMaTnKij57TTlGrDdSc6-tS_ESI3N9rqm38xYS8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IFERROR(__xludf.DUMMYFUNCTION("""COMPUTED_VALUE"""),"TradeServer")</f>
        <v>TradeServer</v>
      </c>
      <c r="B269" t="str">
        <f ca="1">IFERROR(__xludf.DUMMYFUNCTION("""COMPUTED_VALUE"""),"RestartServer")</f>
        <v>RestartServer</v>
      </c>
      <c r="C269" t="str">
        <f ca="1">IFERROR(__xludf.DUMMYFUNCTION("""COMPUTED_VALUE"""),"1aPfyH8-9OzvyUEQWpvYP7CNdzlH2HDHs9nRkU6_Sda0")</f>
        <v>1aPfyH8-9OzvyUEQWpvYP7CNdzlH2HDHs9nRkU6_Sda0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IFERROR(__xludf.DUMMYFUNCTION("""COMPUTED_VALUE"""),"PranaClient")</f>
        <v>PranaClient</v>
      </c>
      <c r="B270" t="str">
        <f ca="1">IFERROR(__xludf.DUMMYFUNCTION("""COMPUTED_VALUE"""),"RestartClient")</f>
        <v>RestartClient</v>
      </c>
      <c r="C270" t="str">
        <f ca="1">IFERROR(__xludf.DUMMYFUNCTION("""COMPUTED_VALUE"""),"1kM-hcS7WASF2EnkdmDAnJkED_3x_YPfTldBSOa1EEeA")</f>
        <v>1kM-hcS7WASF2EnkdmDAnJkED_3x_YPfTldBSOa1EEeA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IFERROR(__xludf.DUMMYFUNCTION("""COMPUTED_VALUE"""),"CalculatePTT")</f>
        <v>CalculatePTT</v>
      </c>
      <c r="C271" t="str">
        <f ca="1">IFERROR(__xludf.DUMMYFUNCTION("""COMPUTED_VALUE"""),"1oUUGr_vpB3dnGqJ3Zkji-f-PADRGrUmIrfe6ViF95qY")</f>
        <v>1oUUGr_vpB3dnGqJ3Zkji-f-PADRGrUmIrfe6ViF95qY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IFERROR(__xludf.DUMMYFUNCTION("""COMPUTED_VALUE"""),"TradeUsingPTT")</f>
        <v>TradeUsingPTT</v>
      </c>
      <c r="C272" t="str">
        <f ca="1">IFERROR(__xludf.DUMMYFUNCTION("""COMPUTED_VALUE"""),"1ghvLQ7xZEjQPmO8AkKmZBcKvSxanQoYxXlgbLVTYguQ")</f>
        <v>1ghvLQ7xZEjQPmO8AkKmZBcKvSxanQoYxXlgbLVTYguQ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IFERROR(__xludf.DUMMYFUNCTION("""COMPUTED_VALUE"""),"StageOrderUsingPTT")</f>
        <v>StageOrderUsingPTT</v>
      </c>
      <c r="C273" t="str">
        <f ca="1">IFERROR(__xludf.DUMMYFUNCTION("""COMPUTED_VALUE"""),"1z0jpo1O7z_Wv_JVZ2a2nBXCOqmeWuxo2pxrr7g2aGOQ")</f>
        <v>1z0jpo1O7z_Wv_JVZ2a2nBXCOqmeWuxo2pxrr7g2aGOQ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IFERROR(__xludf.DUMMYFUNCTION("""COMPUTED_VALUE"""),"CreateOrderPTT")</f>
        <v>CreateOrderPTT</v>
      </c>
      <c r="C274" t="str">
        <f ca="1">IFERROR(__xludf.DUMMYFUNCTION("""COMPUTED_VALUE"""),"14fC5DGNkFk6izJujkwOAjPn9Fo8UmX2-zqvxx8dw_4Y")</f>
        <v>14fC5DGNkFk6izJujkwOAjPn9Fo8UmX2-zqvxx8dw_4Y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IFERROR(__xludf.DUMMYFUNCTION("""COMPUTED_VALUE"""),"TradePTT")</f>
        <v>TradePTT</v>
      </c>
      <c r="C275" t="str">
        <f ca="1">IFERROR(__xludf.DUMMYFUNCTION("""COMPUTED_VALUE"""),"1SAxXYvgNc8tV2TYlANcNc_d7gBW1hEUVvPk0eAF80kc")</f>
        <v>1SAxXYvgNc8tV2TYlANcNc_d7gBW1hEUVvPk0eAF80kc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IFERROR(__xludf.DUMMYFUNCTION("""COMPUTED_VALUE"""),"VerifyPTT")</f>
        <v>VerifyPTT</v>
      </c>
      <c r="C276" t="str">
        <f ca="1">IFERROR(__xludf.DUMMYFUNCTION("""COMPUTED_VALUE"""),"1UVltVE0IMcwXPVHARWPyPUy0fxYWcdI40uUnF93bMos")</f>
        <v>1UVltVE0IMcwXPVHARWPyPUy0fxYWcdI40uUnF93bMos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IFERROR(__xludf.DUMMYFUNCTION("""COMPUTED_VALUE"""),"PortfolioManagement")</f>
        <v>PortfolioManagement</v>
      </c>
      <c r="B277" t="str">
        <f ca="1">IFERROR(__xludf.DUMMYFUNCTION("""COMPUTED_VALUE"""),"OpenPTTFromPM")</f>
        <v>OpenPTTFromPM</v>
      </c>
      <c r="C277" t="str">
        <f ca="1">IFERROR(__xludf.DUMMYFUNCTION("""COMPUTED_VALUE"""),"11MxxAhF3W84i_XbsKwT_ifEg0K9L3XZmLMnHOdwneyk")</f>
        <v>11MxxAhF3W84i_XbsKwT_ifEg0K9L3XZmLMnHOdwneyk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IFERROR(__xludf.DUMMYFUNCTION("""COMPUTED_VALUE"""),"OpenMultiTTFromPTT")</f>
        <v>OpenMultiTTFromPTT</v>
      </c>
      <c r="C278" t="str">
        <f ca="1">IFERROR(__xludf.DUMMYFUNCTION("""COMPUTED_VALUE"""),"1n8gpTgN6hCL2ZNuAdm4v3hgnggCwb-jFFChuAhy3OuQ")</f>
        <v>1n8gpTgN6hCL2ZNuAdm4v3hgnggCwb-jFFChuAhy3OuQ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IFERROR(__xludf.DUMMYFUNCTION("""COMPUTED_VALUE"""),"SelectMultiTT")</f>
        <v>SelectMultiTT</v>
      </c>
      <c r="C279" t="str">
        <f ca="1">IFERROR(__xludf.DUMMYFUNCTION("""COMPUTED_VALUE"""),"1dRf1b0kmAtcOWmiz46NOl3Bl-s-d6XuzCSApeDXfR0Q")</f>
        <v>1dRf1b0kmAtcOWmiz46NOl3Bl-s-d6XuzCSApeDXfR0Q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IFERROR(__xludf.DUMMYFUNCTION("""COMPUTED_VALUE"""),"PTT")</f>
        <v>PTT</v>
      </c>
      <c r="B280" t="str">
        <f ca="1">IFERROR(__xludf.DUMMYFUNCTION("""COMPUTED_VALUE"""),"EditMultiTT")</f>
        <v>EditMultiTT</v>
      </c>
      <c r="C280" t="str">
        <f ca="1">IFERROR(__xludf.DUMMYFUNCTION("""COMPUTED_VALUE"""),"1hlN_qsaKiO1AaKOpeFvujWJb4UffdYoPUTtCOnaKGgw")</f>
        <v>1hlN_qsaKiO1AaKOpeFvujWJb4UffdYoPUTtCOnaKGgw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IFERROR(__xludf.DUMMYFUNCTION("""COMPUTED_VALUE"""),"EditTradeUsingMTT")</f>
        <v>EditTradeUsingMTT</v>
      </c>
      <c r="C281" t="str">
        <f ca="1">IFERROR(__xludf.DUMMYFUNCTION("""COMPUTED_VALUE"""),"1DF7cfWDEMcfadRVXT9nq-ipyvEADOK9gegv3VDzUJTU")</f>
        <v>1DF7cfWDEMcfadRVXT9nq-ipyvEADOK9gegv3VDzUJTU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IFERROR(__xludf.DUMMYFUNCTION("""COMPUTED_VALUE"""),"SelectTradeUsingMTT")</f>
        <v>SelectTradeUsingMTT</v>
      </c>
      <c r="C282" t="str">
        <f ca="1">IFERROR(__xludf.DUMMYFUNCTION("""COMPUTED_VALUE"""),"1L2w-GoqiIdx7pLdILWx6vYA0lopJ8U28cYjCxoF-vN8")</f>
        <v>1L2w-GoqiIdx7pLdILWx6vYA0lopJ8U28cYjCxoF-vN8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IFERROR(__xludf.DUMMYFUNCTION("""COMPUTED_VALUE"""),"GetPriceUsingMTT")</f>
        <v>GetPriceUsingMTT</v>
      </c>
      <c r="C283" t="str">
        <f ca="1">IFERROR(__xludf.DUMMYFUNCTION("""COMPUTED_VALUE"""),"1biA2mpAuyMLRG6VLomKL-HO-0muV6CC8SAT7jGYVjPk")</f>
        <v>1biA2mpAuyMLRG6VLomKL-HO-0muV6CC8SAT7jGYVjPk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IFERROR(__xludf.DUMMYFUNCTION("""COMPUTED_VALUE"""),"DoneAwayUsingMTT")</f>
        <v>DoneAwayUsingMTT</v>
      </c>
      <c r="C284" t="str">
        <f ca="1">IFERROR(__xludf.DUMMYFUNCTION("""COMPUTED_VALUE"""),"1DjBRyr2e6E7Kht8cc2nZ4a9036WUkNVnBKfJjd_w75c")</f>
        <v>1DjBRyr2e6E7Kht8cc2nZ4a9036WUkNVnBKfJjd_w75c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IFERROR(__xludf.DUMMYFUNCTION("""COMPUTED_VALUE"""),"SendOrderUsingMTT")</f>
        <v>SendOrderUsingMTT</v>
      </c>
      <c r="C285" t="str">
        <f ca="1">IFERROR(__xludf.DUMMYFUNCTION("""COMPUTED_VALUE"""),"1No-WHBOBTRb4vploisAoC5hMRiI2jY8E5wp5PXx6DAc")</f>
        <v>1No-WHBOBTRb4vploisAoC5hMRiI2jY8E5wp5PXx6DAc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IFERROR(__xludf.DUMMYFUNCTION("""COMPUTED_VALUE"""),"UpdateGRAccountValue")</f>
        <v>UpdateGRAccountValue</v>
      </c>
      <c r="C286" t="str">
        <f ca="1">IFERROR(__xludf.DUMMYFUNCTION("""COMPUTED_VALUE"""),"1G5f5wAaJmF0NakgUGzhlEa1DRIEuT035FcFZMNHZvwg")</f>
        <v>1G5f5wAaJmF0NakgUGzhlEa1DRIEuT035FcFZMNHZvwg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IFERROR(__xludf.DUMMYFUNCTION("""COMPUTED_VALUE"""),"MultiTradingTicket")</f>
        <v>MultiTradingTicket</v>
      </c>
      <c r="B287" t="str">
        <f ca="1">IFERROR(__xludf.DUMMYFUNCTION("""COMPUTED_VALUE"""),"BulkChangeTradeDoneAway")</f>
        <v>BulkChangeTradeDoneAway</v>
      </c>
      <c r="C287" t="str">
        <f ca="1">IFERROR(__xludf.DUMMYFUNCTION("""COMPUTED_VALUE"""),"1WqzTo_TE_cPzxwzOHp_hBIHbC406ZyZwyINA5UGorwQ")</f>
        <v>1WqzTo_TE_cPzxwzOHp_hBIHbC406ZyZwyINA5UGorwQ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IFERROR(__xludf.DUMMYFUNCTION("""COMPUTED_VALUE"""),"UpdateGRStrategyValue")</f>
        <v>UpdateGRStrategyValue</v>
      </c>
      <c r="C288" t="str">
        <f ca="1">IFERROR(__xludf.DUMMYFUNCTION("""COMPUTED_VALUE"""),"1G_lgzPV5D0OFRWWL2hmKeFBk--ByZJsQVFFiV2vYjeo")</f>
        <v>1G_lgzPV5D0OFRWWL2hmKeFBk--ByZJsQVFFiV2vYjeo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IFERROR(__xludf.DUMMYFUNCTION("""COMPUTED_VALUE"""),"UpdateGRDefaultRule")</f>
        <v>UpdateGRDefaultRule</v>
      </c>
      <c r="C289" t="str">
        <f ca="1">IFERROR(__xludf.DUMMYFUNCTION("""COMPUTED_VALUE"""),"1sNVW2GoBdY3lAfX-77ohLYc1LMmGvccB-u7ABR-JTyc")</f>
        <v>1sNVW2GoBdY3lAfX-77ohLYc1LMmGvccB-u7ABR-JTyc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IFERROR(__xludf.DUMMYFUNCTION("""COMPUTED_VALUE"""),"UpdateGeneralRulePref")</f>
        <v>UpdateGeneralRulePref</v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IFERROR(__xludf.DUMMYFUNCTION("""COMPUTED_VALUE"""),"Blotter")</f>
        <v>Blotter</v>
      </c>
      <c r="B291" t="str">
        <f ca="1">IFERROR(__xludf.DUMMYFUNCTION("""COMPUTED_VALUE"""),"MultiTradingTicketFromBlotter")</f>
        <v>MultiTradingTicketFromBlotter</v>
      </c>
      <c r="C291" t="str">
        <f ca="1">IFERROR(__xludf.DUMMYFUNCTION("""COMPUTED_VALUE"""),"1gsTJSuoO3cM_zaR1E8wBmvibDO3uCU81lKLwgtsObH4")</f>
        <v>1gsTJSuoO3cM_zaR1E8wBmvibDO3uCU81lKLwgtsObH4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IFERROR(__xludf.DUMMYFUNCTION("""COMPUTED_VALUE"""),"CleanUp")</f>
        <v>CleanUp</v>
      </c>
      <c r="B292" t="str">
        <f ca="1">IFERROR(__xludf.DUMMYFUNCTION("""COMPUTED_VALUE"""),"DeleteClientData")</f>
        <v>DeleteClientData</v>
      </c>
      <c r="C292" t="str">
        <f ca="1">IFERROR(__xludf.DUMMYFUNCTION("""COMPUTED_VALUE"""),"1D442BWuN9RDzgduaHK25H1NA3vMKcdbLZgshurr7j0c")</f>
        <v>1D442BWuN9RDzgduaHK25H1NA3vMKcdbLZgshurr7j0c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IFERROR(__xludf.DUMMYFUNCTION("""COMPUTED_VALUE"""),"ModifyGRPreferenceValues")</f>
        <v>ModifyGRPreferenceValues</v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IFERROR(__xludf.DUMMYFUNCTION("""COMPUTED_VALUE"""),"AddMFPreferences")</f>
        <v>AddMFPreferences</v>
      </c>
      <c r="C294" t="str">
        <f ca="1">IFERROR(__xludf.DUMMYFUNCTION("""COMPUTED_VALUE"""),"1_7Rld-D6klFadVYAkdL8163CArB78e6jyYn4BpByrtY")</f>
        <v>1_7Rld-D6klFadVYAkdL8163CArB78e6jyYn4BpByrtY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IFERROR(__xludf.DUMMYFUNCTION("""COMPUTED_VALUE"""),"AddMFPreferenceToolbar")</f>
        <v>AddMFPreferenceToolbar</v>
      </c>
      <c r="C295" t="str">
        <f ca="1">IFERROR(__xludf.DUMMYFUNCTION("""COMPUTED_VALUE"""),"1fsNS5Boh-XvWyJLBXlYhffBmFIhivzcCaThD61iJN8I")</f>
        <v>1fsNS5Boh-XvWyJLBXlYhffBmFIhivzcCaThD61iJN8I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IFERROR(__xludf.DUMMYFUNCTION("""COMPUTED_VALUE"""),"DeleteMFPreferences")</f>
        <v>DeleteMFPreferences</v>
      </c>
      <c r="C296" t="str">
        <f ca="1">IFERROR(__xludf.DUMMYFUNCTION("""COMPUTED_VALUE"""),"1vFNFTisdSSe4qMYPd8IxNy0ZPDYcWw0buDFkmjGH4VU")</f>
        <v>1vFNFTisdSSe4qMYPd8IxNy0ZPDYcWw0buDFkmjGH4VU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IFERROR(__xludf.DUMMYFUNCTION("""COMPUTED_VALUE"""),"DeleteMFPreferenceToolbar")</f>
        <v>DeleteMFPreferenceToolbar</v>
      </c>
      <c r="C297" t="str">
        <f ca="1">IFERROR(__xludf.DUMMYFUNCTION("""COMPUTED_VALUE"""),"1jlrCxpGyhbFAU3kc2Wo7TAYzefQ6TdBnLu9D-ta4CS8")</f>
        <v>1jlrCxpGyhbFAU3kc2Wo7TAYzefQ6TdBnLu9D-ta4CS8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IFERROR(__xludf.DUMMYFUNCTION("""COMPUTED_VALUE"""),"RenameMFPreferences")</f>
        <v>RenameMFPreferences</v>
      </c>
      <c r="C298" t="str">
        <f ca="1">IFERROR(__xludf.DUMMYFUNCTION("""COMPUTED_VALUE"""),"1AJbBmZqAuHwukio6u80IK3j_TYgH_8NfD5TfyIxyHVg")</f>
        <v>1AJbBmZqAuHwukio6u80IK3j_TYgH_8NfD5TfyIxyHVg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IFERROR(__xludf.DUMMYFUNCTION("""COMPUTED_VALUE"""),"SaveCloseMFPreference")</f>
        <v>SaveCloseMFPreference</v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IFERROR(__xludf.DUMMYFUNCTION("""COMPUTED_VALUE"""),"SetMFPrefAccountValues")</f>
        <v>SetMFPrefAccountValues</v>
      </c>
      <c r="C300" t="str">
        <f ca="1">IFERROR(__xludf.DUMMYFUNCTION("""COMPUTED_VALUE"""),"18rxxiwuAIuFrgL8hxXWyVGACRoWSKD-EoVnuGN5xT4M")</f>
        <v>18rxxiwuAIuFrgL8hxXWyVGACRoWSKD-EoVnuGN5xT4M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IFERROR(__xludf.DUMMYFUNCTION("""COMPUTED_VALUE"""),"ModifyMFPrefGeneralRuleValues")</f>
        <v>ModifyMFPrefGeneralRuleValues</v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IFERROR(__xludf.DUMMYFUNCTION("""COMPUTED_VALUE"""),"SetMFPrefStrategyValues")</f>
        <v>SetMFPrefStrategyValues</v>
      </c>
      <c r="C302" t="str">
        <f ca="1">IFERROR(__xludf.DUMMYFUNCTION("""COMPUTED_VALUE"""),"1ZU24n0ezKWTreJWRv-7RMoue9egPPJ5Oq4IKQHtgjLM")</f>
        <v>1ZU24n0ezKWTreJWRv-7RMoue9egPPJ5Oq4IKQHtgjLM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IFERROR(__xludf.DUMMYFUNCTION("""COMPUTED_VALUE"""),"SetMFPrefGeneralRule")</f>
        <v>SetMFPrefGeneralRule</v>
      </c>
      <c r="C303" t="str">
        <f ca="1">IFERROR(__xludf.DUMMYFUNCTION("""COMPUTED_VALUE"""),"1ykYs69GzybaG21guccUxoXi-FUa0Bhxq29Pr2bDhKtw")</f>
        <v>1ykYs69GzybaG21guccUxoXi-FUa0Bhxq29Pr2bDhKtw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IFERROR(__xludf.DUMMYFUNCTION("""COMPUTED_VALUE"""),"SetMFPrefFundDistribution")</f>
        <v>SetMFPrefFundDistribution</v>
      </c>
      <c r="C304" t="str">
        <f ca="1">IFERROR(__xludf.DUMMYFUNCTION("""COMPUTED_VALUE"""),"1MkixKEnCZnAO_YxqJ4Iy8dPVux1d59PC0AGk3ugma5c")</f>
        <v>1MkixKEnCZnAO_YxqJ4Iy8dPVux1d59PC0AGk3ugma5c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IFERROR(__xludf.DUMMYFUNCTION("""COMPUTED_VALUE"""),"SetMFPreferencesDefaultRule")</f>
        <v>SetMFPreferencesDefaultRule</v>
      </c>
      <c r="C305" t="str">
        <f ca="1">IFERROR(__xludf.DUMMYFUNCTION("""COMPUTED_VALUE"""),"1BHRQzitIUIWwpO04RNRfXRhcb72VBf7UERmD2rjSB34")</f>
        <v>1BHRQzitIUIWwpO04RNRfXRhcb72VBf7UERmD2rjSB34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IFERROR(__xludf.DUMMYFUNCTION("""COMPUTED_VALUE"""),"SetMFPrefFundDefaultRule")</f>
        <v>SetMFPrefFundDefaultRule</v>
      </c>
      <c r="C306" t="str">
        <f ca="1">IFERROR(__xludf.DUMMYFUNCTION("""COMPUTED_VALUE"""),"1_Lf2F2mhKpssRLmIztI1CqpGf_4pNUiIEj1IAAIkD38")</f>
        <v>1_Lf2F2mhKpssRLmIztI1CqpGf_4pNUiIEj1IAAIkD38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IFERROR(__xludf.DUMMYFUNCTION("""COMPUTED_VALUE"""),"PTT")</f>
        <v>PTT</v>
      </c>
      <c r="B307" t="str">
        <f ca="1">IFERROR(__xludf.DUMMYFUNCTION("""COMPUTED_VALUE"""),"SetAccountFactor")</f>
        <v>SetAccountFactor</v>
      </c>
      <c r="C307" t="str">
        <f ca="1">IFERROR(__xludf.DUMMYFUNCTION("""COMPUTED_VALUE"""),"1EwvCn3pPvsOh2-czSWZiCO1lNse6t9oUuEkpK_oV3h4")</f>
        <v>1EwvCn3pPvsOh2-czSWZiCO1lNse6t9oUuEkpK_oV3h4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IFERROR(__xludf.DUMMYFUNCTION("""COMPUTED_VALUE"""),"ClearPrefetchFilters")</f>
        <v>ClearPrefetchFilters</v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IFERROR(__xludf.DUMMYFUNCTION("""COMPUTED_VALUE"""),"ExpandCollapseAllUnallocated")</f>
        <v>ExpandCollapseAllUnallocated</v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IFERROR(__xludf.DUMMYFUNCTION("""COMPUTED_VALUE"""),"ExpandCollapseAllAllocated")</f>
        <v>ExpandCollapseAllAllocated</v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IFERROR(__xludf.DUMMYFUNCTION("""COMPUTED_VALUE"""),"GenerateCashTransaction")</f>
        <v>GenerateCashTransaction</v>
      </c>
      <c r="C311" t="str">
        <f ca="1">IFERROR(__xludf.DUMMYFUNCTION("""COMPUTED_VALUE"""),"1fvftUk8_pIrQLT2cGDJVEQrg3a4LAj_NywVB9UUcChA")</f>
        <v>1fvftUk8_pIrQLT2cGDJVEQrg3a4LAj_NywVB9UUcChA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IFERROR(__xludf.DUMMYFUNCTION("""COMPUTED_VALUE"""),"SaveAllocation")</f>
        <v>SaveAllocation</v>
      </c>
      <c r="C312" t="str">
        <f ca="1">IFERROR(__xludf.DUMMYFUNCTION("""COMPUTED_VALUE"""),"undefined")</f>
        <v>undefined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IFERROR(__xludf.DUMMYFUNCTION("""COMPUTED_VALUE"""),"Allocation")</f>
        <v>Allocation</v>
      </c>
      <c r="B313" t="str">
        <f ca="1">IFERROR(__xludf.DUMMYFUNCTION("""COMPUTED_VALUE"""),"UnallocateWithOutSave")</f>
        <v>UnallocateWithOutSave</v>
      </c>
      <c r="C313" t="str">
        <f ca="1">IFERROR(__xludf.DUMMYFUNCTION("""COMPUTED_VALUE"""),"1B6diwWrLoKZvc9njo2ZIbKWH3uBpd1-SWq_ShirEpbc")</f>
        <v>1B6diwWrLoKZvc9njo2ZIbKWH3uBpd1-SWq_ShirEpbc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IFERROR(__xludf.DUMMYFUNCTION("""COMPUTED_VALUE"""),"TradeServer")</f>
        <v>TradeServer</v>
      </c>
      <c r="B314" t="str">
        <f ca="1">IFERROR(__xludf.DUMMYFUNCTION("""COMPUTED_VALUE"""),"UpdateServerConfig")</f>
        <v>UpdateServerConfig</v>
      </c>
      <c r="C314" t="str">
        <f ca="1">IFERROR(__xludf.DUMMYFUNCTION("""COMPUTED_VALUE"""),"19oC1P8e1cnVm3BcABpFLPEXTFZagLHMBo7HIvO6MJ0Q")</f>
        <v>19oC1P8e1cnVm3BcABpFLPEXTFZagLHMBo7HIvO6MJ0Q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IFERROR(__xludf.DUMMYFUNCTION("""COMPUTED_VALUE"""),"PricingServer")</f>
        <v>PricingServer</v>
      </c>
      <c r="B315" t="str">
        <f ca="1">IFERROR(__xludf.DUMMYFUNCTION("""COMPUTED_VALUE"""),"UpdatePricingConfig")</f>
        <v>UpdatePricingConfig</v>
      </c>
      <c r="C315" t="str">
        <f ca="1">IFERROR(__xludf.DUMMYFUNCTION("""COMPUTED_VALUE"""),"1CP7hu994kzKA42QzKJqg9zdDTlsNR03ysE2PLWJ6BPw")</f>
        <v>1CP7hu994kzKA42QzKJqg9zdDTlsNR03ysE2PLWJ6BPw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IFERROR(__xludf.DUMMYFUNCTION("""COMPUTED_VALUE"""),"Expnl")</f>
        <v>Expnl</v>
      </c>
      <c r="B316" t="str">
        <f ca="1">IFERROR(__xludf.DUMMYFUNCTION("""COMPUTED_VALUE"""),"UpdateExpnlConfig")</f>
        <v>UpdateExpnlConfig</v>
      </c>
      <c r="C316" t="str">
        <f ca="1">IFERROR(__xludf.DUMMYFUNCTION("""COMPUTED_VALUE"""),"1tKH7m080z6TBmB2jtKvZf4F6YOkBeMlsPVUFqIhvv2Y")</f>
        <v>1tKH7m080z6TBmB2jtKvZf4F6YOkBeMlsPVUFqIhvv2Y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IFERROR(__xludf.DUMMYFUNCTION("""COMPUTED_VALUE"""),"PranaClient")</f>
        <v>PranaClient</v>
      </c>
      <c r="B317" t="str">
        <f ca="1">IFERROR(__xludf.DUMMYFUNCTION("""COMPUTED_VALUE"""),"UpdateClientConfig")</f>
        <v>UpdateClientConfig</v>
      </c>
      <c r="C317" t="str">
        <f ca="1">IFERROR(__xludf.DUMMYFUNCTION("""COMPUTED_VALUE"""),"1n-7lFuFS1LdqRm25G2iye_11OAEmI9uE4aRwk8neJTg")</f>
        <v>1n-7lFuFS1LdqRm25G2iye_11OAEmI9uE4aRwk8neJTg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/>
    <row r="906" spans="1:12" ht="15.75" customHeight="1"/>
    <row r="907" spans="1:12" ht="15.75" customHeight="1"/>
    <row r="908" spans="1:12" ht="15.75" customHeight="1"/>
    <row r="909" spans="1:12" ht="15.75" customHeight="1"/>
    <row r="910" spans="1:12" ht="15.75" customHeight="1"/>
    <row r="911" spans="1:12" ht="15.75" customHeight="1"/>
    <row r="912" spans="1: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>
      <selection sqref="A1:C1"/>
    </sheetView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9" t="s">
        <v>0</v>
      </c>
      <c r="B1" s="57"/>
      <c r="C1" s="58"/>
    </row>
    <row r="2" spans="1:3" ht="15.75" customHeight="1">
      <c r="A2" s="1"/>
      <c r="B2" s="1"/>
      <c r="C2" s="1"/>
    </row>
    <row r="3" spans="1:3" ht="15.75" customHeight="1">
      <c r="A3" s="2" t="s">
        <v>3</v>
      </c>
      <c r="B3" s="4" t="s">
        <v>4</v>
      </c>
      <c r="C3" s="1"/>
    </row>
    <row r="4" spans="1:3" ht="15.75" customHeight="1">
      <c r="A4" s="6" t="s">
        <v>7</v>
      </c>
      <c r="B4" s="4" t="s">
        <v>8</v>
      </c>
      <c r="C4" s="1"/>
    </row>
    <row r="5" spans="1:3" ht="15.75" customHeight="1">
      <c r="A5" s="8"/>
      <c r="B5" s="1"/>
      <c r="C5" s="1"/>
    </row>
    <row r="6" spans="1:3" ht="15.75" customHeight="1">
      <c r="A6" s="8"/>
      <c r="B6" s="1"/>
      <c r="C6" s="1"/>
    </row>
    <row r="7" spans="1:3" ht="15.75" customHeight="1">
      <c r="A7" s="8"/>
      <c r="B7" s="1"/>
      <c r="C7" s="1"/>
    </row>
    <row r="8" spans="1:3" ht="15.75" customHeight="1">
      <c r="A8" s="8"/>
      <c r="B8" s="1"/>
      <c r="C8" s="1"/>
    </row>
    <row r="9" spans="1:3" ht="15.75" customHeight="1">
      <c r="A9" s="8"/>
      <c r="B9" s="1"/>
      <c r="C9" s="1"/>
    </row>
    <row r="10" spans="1:3" ht="15.75" customHeight="1">
      <c r="A10" s="8"/>
      <c r="B10" s="1"/>
      <c r="C10" s="1"/>
    </row>
    <row r="11" spans="1:3" ht="15.75" customHeight="1">
      <c r="A11" s="8"/>
      <c r="B11" s="1"/>
      <c r="C11" s="1"/>
    </row>
    <row r="12" spans="1:3" ht="15.75" customHeight="1">
      <c r="A12" s="8"/>
      <c r="B12" s="1"/>
      <c r="C12" s="1"/>
    </row>
    <row r="13" spans="1:3" ht="15.75" customHeight="1">
      <c r="A13" s="8"/>
      <c r="B13" s="1"/>
      <c r="C13" s="1"/>
    </row>
    <row r="14" spans="1:3" ht="15.75" customHeight="1">
      <c r="A14" s="8"/>
      <c r="B14" s="1"/>
      <c r="C14" s="1"/>
    </row>
    <row r="15" spans="1:3" ht="15.75" customHeight="1">
      <c r="A15" s="8"/>
      <c r="B15" s="1"/>
      <c r="C15" s="1"/>
    </row>
    <row r="16" spans="1:3" ht="15.75" customHeight="1">
      <c r="A16" s="8"/>
      <c r="B16" s="1"/>
      <c r="C16" s="1"/>
    </row>
    <row r="17" spans="1:3" ht="15.75" customHeight="1">
      <c r="A17" s="8"/>
      <c r="B17" s="1"/>
      <c r="C17" s="1"/>
    </row>
    <row r="18" spans="1:3" ht="15.75" customHeight="1">
      <c r="A18" s="8"/>
      <c r="B18" s="1"/>
      <c r="C18" s="1"/>
    </row>
    <row r="19" spans="1:3" ht="15.75" customHeight="1">
      <c r="A19" s="8"/>
      <c r="B19" s="1"/>
      <c r="C19" s="1"/>
    </row>
    <row r="20" spans="1:3" ht="15.75" customHeight="1">
      <c r="A20" s="8"/>
      <c r="B20" s="1"/>
      <c r="C20" s="1"/>
    </row>
    <row r="21" spans="1:3" ht="15.75" customHeight="1">
      <c r="A21" s="8"/>
      <c r="B21" s="1"/>
      <c r="C21" s="1"/>
    </row>
    <row r="22" spans="1:3" ht="15.75" customHeight="1">
      <c r="A22" s="8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>
      <selection sqref="A1:F1"/>
    </sheetView>
  </sheetViews>
  <sheetFormatPr defaultColWidth="17.28515625" defaultRowHeight="15" customHeight="1"/>
  <cols>
    <col min="4" max="4" width="38.42578125" customWidth="1"/>
  </cols>
  <sheetData>
    <row r="1" spans="1:26" ht="15" customHeight="1">
      <c r="A1" s="56" t="s">
        <v>1</v>
      </c>
      <c r="B1" s="57"/>
      <c r="C1" s="57"/>
      <c r="D1" s="57"/>
      <c r="E1" s="57"/>
      <c r="F1" s="58"/>
    </row>
    <row r="2" spans="1:26" ht="15" customHeight="1">
      <c r="A2" s="3"/>
      <c r="B2" s="3"/>
      <c r="C2" s="3"/>
      <c r="D2" s="3"/>
      <c r="E2" s="3"/>
      <c r="F2" s="3"/>
    </row>
    <row r="3" spans="1:26" ht="15" customHeight="1">
      <c r="A3" s="6" t="s">
        <v>6</v>
      </c>
      <c r="B3" s="9" t="s">
        <v>9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13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IFERROR(__xludf.DUMMYFUNCTION("""COMPUTED_VALUE"""),"ValidateCheckSide")</f>
        <v>ValidateCheckSide</v>
      </c>
      <c r="C5" s="21" t="str">
        <f ca="1">IFERROR(__xludf.DUMMYFUNCTION("""COMPUTED_VALUE"""),"DisabledChecksideAssets")</f>
        <v>DisabledChecksideAssets</v>
      </c>
      <c r="D5" s="21" t="str">
        <f ca="1">IFERROR(__xludf.DUMMYFUNCTION("""COMPUTED_VALUE"""),"PrecisionValue")</f>
        <v>PrecisionValue</v>
      </c>
      <c r="E5" s="21" t="str">
        <f ca="1">IFERROR(__xludf.DUMMYFUNCTION("""COMPUTED_VALUE"""),"UseCommissionInNetAmount")</f>
        <v>UseCommissionInNetAmount</v>
      </c>
      <c r="F5" s="22" t="str">
        <f ca="1">IFERROR(__xludf.DUMMYFUNCTION("""COMPUTED_VALUE"""),"SaveWithoutState")</f>
        <v>SaveWithoutState</v>
      </c>
      <c r="G5" s="21" t="str">
        <f ca="1">IFERROR(__xludf.DUMMYFUNCTION("""COMPUTED_VALUE"""),"SaveWithState")</f>
        <v>SaveWithState</v>
      </c>
      <c r="H5" s="21" t="str">
        <f ca="1">IFERROR(__xludf.DUMMYFUNCTION("""COMPUTED_VALUE"""),"ClearQuantities")</f>
        <v>ClearQuantities</v>
      </c>
      <c r="I5" s="21" t="str">
        <f ca="1">IFERROR(__xludf.DUMMYFUNCTION("""COMPUTED_VALUE"""),"ReapplyAllocation")</f>
        <v>ReapplyAllocation</v>
      </c>
      <c r="J5" s="21" t="str">
        <f ca="1">IFERROR(__xludf.DUMMYFUNCTION("""COMPUTED_VALUE"""),"DefaultAllocation")</f>
        <v>DefaultAllocation</v>
      </c>
      <c r="K5" s="21" t="str">
        <f ca="1">IFERROR(__xludf.DUMMYFUNCTION("""COMPUTED_VALUE"""),"IsCustomPreference")</f>
        <v>IsCustomPreference</v>
      </c>
      <c r="L5" s="21" t="str">
        <f ca="1">IFERROR(__xludf.DUMMYFUNCTION("""COMPUTED_VALUE"""),"AllocationMethod")</f>
        <v>AllocationMethod</v>
      </c>
      <c r="M5" s="21" t="str">
        <f ca="1">IFERROR(__xludf.DUMMYFUNCTION("""COMPUTED_VALUE"""),"RemainderAllocationTo")</f>
        <v>RemainderAllocationTo</v>
      </c>
      <c r="N5" s="21" t="str">
        <f ca="1">IFERROR(__xludf.DUMMYFUNCTION("""COMPUTED_VALUE"""),"Target%AsOf")</f>
        <v>Target%AsOf</v>
      </c>
      <c r="O5" s="21" t="str">
        <f ca="1">IFERROR(__xludf.DUMMYFUNCTION("""COMPUTED_VALUE"""),"ProrataAccounts")</f>
        <v>ProrataAccounts</v>
      </c>
      <c r="P5" s="21" t="str">
        <f ca="1">IFERROR(__xludf.DUMMYFUNCTION("""COMPUTED_VALUE"""),"DateUptoDays")</f>
        <v>DateUptoDays</v>
      </c>
      <c r="Q5" s="21" t="str">
        <f ca="1">IFERROR(__xludf.DUMMYFUNCTION("""COMPUTED_VALUE"""),"MatchClosing")</f>
        <v>MatchClosing</v>
      </c>
      <c r="R5" s="21" t="str">
        <f ca="1">IFERROR(__xludf.DUMMYFUNCTION("""COMPUTED_VALUE"""),"CommissionAlertOnBrokerChange")</f>
        <v>CommissionAlertOnBrokerChange</v>
      </c>
      <c r="S5" s="21" t="str">
        <f ca="1">IFERROR(__xludf.DUMMYFUNCTION("""COMPUTED_VALUE"""),"RecalculateCommissionOnBrokerChange")</f>
        <v>RecalculateCommissionOnBrokerChange</v>
      </c>
      <c r="T5" s="23" t="str">
        <f ca="1">IFERROR(__xludf.DUMMYFUNCTION("""COMPUTED_VALUE"""),"CommissionAlertOnAllocation")</f>
        <v>CommissionAlertOnAllocation</v>
      </c>
      <c r="U5" s="23" t="str">
        <f ca="1">IFERROR(__xludf.DUMMYFUNCTION("""COMPUTED_VALUE"""),"RecalculateCommissionOnAllocation")</f>
        <v>RecalculateCommissionOnAllocation</v>
      </c>
      <c r="V5" s="23" t="str">
        <f ca="1">IFERROR(__xludf.DUMMYFUNCTION("""COMPUTED_VALUE"""),"EnableMasterFund")</f>
        <v>EnableMasterFund</v>
      </c>
      <c r="W5" s="23" t="str">
        <f ca="1">IFERROR(__xludf.DUMMYFUNCTION("""COMPUTED_VALUE"""),"1MasterFund/1Symbol")</f>
        <v>1MasterFund/1Symbol</v>
      </c>
      <c r="X5" s="23" t="str">
        <f ca="1">IFERROR(__xludf.DUMMYFUNCTION("""COMPUTED_VALUE"""),"ProrataSchemeName")</f>
        <v>ProrataSchemeName</v>
      </c>
      <c r="Y5" s="23" t="str">
        <f ca="1">IFERROR(__xludf.DUMMYFUNCTION("""COMPUTED_VALUE"""),"ProrataAllocationSchemeBasis")</f>
        <v>ProrataAllocationSchemeBasis</v>
      </c>
      <c r="Z5" s="23" t="str">
        <f ca="1">IFERROR(__xludf.DUMMYFUNCTION("""COMPUTED_VALUE"""),"ShowAdvancedProrataUI")</f>
        <v>ShowAdvancedProrataUI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/>
      <c r="C6" s="26"/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30" t="b">
        <v>1</v>
      </c>
      <c r="W6" s="30" t="b">
        <v>0</v>
      </c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E17" sqref="E17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14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IFERROR(__xludf.DUMMYFUNCTION("""COMPUTED_VALUE"""),"")</f>
        <v/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7" t="str">
        <f ca="1">"PA10-"&amp;TEXT(TODAY(),"dd-mm-yy")</f>
        <v>PA10-26-06-19</v>
      </c>
      <c r="C6" s="1"/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18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IFERROR(__xludf.DUMMYFUNCTION("""COMPUTED_VALUE"""),"RemainderAllocationTo")</f>
        <v>RemainderAllocationTo</v>
      </c>
      <c r="C5" s="21" t="str">
        <f ca="1">IFERROR(__xludf.DUMMYFUNCTION("""COMPUTED_VALUE"""),"Target%AsOf")</f>
        <v>Target%AsOf</v>
      </c>
      <c r="D5" s="21" t="str">
        <f ca="1">IFERROR(__xludf.DUMMYFUNCTION("""COMPUTED_VALUE"""),"ProrataAccounts")</f>
        <v>ProrataAccounts</v>
      </c>
      <c r="E5" s="21" t="str">
        <f ca="1">IFERROR(__xludf.DUMMYFUNCTION("""COMPUTED_VALUE"""),"DateUptoDays")</f>
        <v>DateUptoDays</v>
      </c>
      <c r="F5" s="22" t="str">
        <f ca="1">IFERROR(__xludf.DUMMYFUNCTION("""COMPUTED_VALUE"""),"PreferenceName")</f>
        <v>PreferenceName</v>
      </c>
      <c r="G5" s="21" t="str">
        <f ca="1">IFERROR(__xludf.DUMMYFUNCTION("""COMPUTED_VALUE"""),"MatchClosingTransaction")</f>
        <v>MatchClosingTransaction</v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19</v>
      </c>
      <c r="C6" s="34" t="s">
        <v>20</v>
      </c>
      <c r="D6" s="25"/>
      <c r="E6" s="26"/>
      <c r="F6" s="37" t="str">
        <f ca="1">"PA10-"&amp;TEXT(TODAY(),"dd-mm-yy")</f>
        <v>PA10-26-06-19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17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IFERROR(__xludf.DUMMYFUNCTION("""COMPUTED_VALUE"""),"MasterFundName")</f>
        <v>MasterFundName</v>
      </c>
      <c r="D5" s="21" t="str">
        <f ca="1">IFERROR(__xludf.DUMMYFUNCTION("""COMPUTED_VALUE"""),"TargetPercentage")</f>
        <v>TargetPercentage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7" t="str">
        <f t="shared" ref="B6:B7" ca="1" si="0">"PA10-"&amp;TEXT(TODAY(),"dd-mm-yy")</f>
        <v>PA10-26-06-19</v>
      </c>
      <c r="C6" s="32" t="s">
        <v>19</v>
      </c>
      <c r="D6" s="33">
        <v>60</v>
      </c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7" t="str">
        <f t="shared" ca="1" si="0"/>
        <v>PA10-26-06-19</v>
      </c>
      <c r="C7" s="35" t="s">
        <v>21</v>
      </c>
      <c r="D7" s="36">
        <v>40</v>
      </c>
      <c r="E7" s="28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22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IFERROR(__xludf.DUMMYFUNCTION("""COMPUTED_VALUE"""),"AllocationMethod")</f>
        <v>AllocationMethod</v>
      </c>
      <c r="E5" s="21" t="str">
        <f ca="1">IFERROR(__xludf.DUMMYFUNCTION("""COMPUTED_VALUE"""),"RemainderAllocationTo")</f>
        <v>RemainderAllocationTo</v>
      </c>
      <c r="F5" s="22" t="str">
        <f ca="1">IFERROR(__xludf.DUMMYFUNCTION("""COMPUTED_VALUE"""),"Target%AsOf")</f>
        <v>Target%AsOf</v>
      </c>
      <c r="G5" s="21" t="str">
        <f ca="1">IFERROR(__xludf.DUMMYFUNCTION("""COMPUTED_VALUE"""),"ProrataAccounts")</f>
        <v>ProrataAccounts</v>
      </c>
      <c r="H5" s="21" t="str">
        <f ca="1">IFERROR(__xludf.DUMMYFUNCTION("""COMPUTED_VALUE"""),"DateUptoDays")</f>
        <v>DateUptoDays</v>
      </c>
      <c r="I5" s="21" t="str">
        <f ca="1">IFERROR(__xludf.DUMMYFUNCTION("""COMPUTED_VALUE"""),"MatchClosingTransactions")</f>
        <v>MatchClosingTransactions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7" t="str">
        <f ca="1">"PA10-"&amp;TEXT(TODAY(),"dd-mm-yy")</f>
        <v>PA10-26-06-19</v>
      </c>
      <c r="C6" s="26" t="s">
        <v>19</v>
      </c>
      <c r="D6" s="25"/>
      <c r="E6" s="26"/>
      <c r="F6" s="26" t="s">
        <v>24</v>
      </c>
      <c r="G6" s="34" t="s">
        <v>25</v>
      </c>
      <c r="H6" s="26"/>
      <c r="I6" s="38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23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IFERROR(__xludf.DUMMYFUNCTION("""COMPUTED_VALUE"""),"Exchange Selector")</f>
        <v>Exchange Selector</v>
      </c>
      <c r="E5" s="21" t="str">
        <f ca="1">IFERROR(__xludf.DUMMYFUNCTION("""COMPUTED_VALUE"""),"Exchange List")</f>
        <v>Exchange List</v>
      </c>
      <c r="F5" s="22" t="str">
        <f ca="1">IFERROR(__xludf.DUMMYFUNCTION("""COMPUTED_VALUE"""),"Asset Selector")</f>
        <v>Asset Selector</v>
      </c>
      <c r="G5" s="21" t="str">
        <f ca="1">IFERROR(__xludf.DUMMYFUNCTION("""COMPUTED_VALUE"""),"Asset List")</f>
        <v>Asset List</v>
      </c>
      <c r="H5" s="21" t="str">
        <f ca="1">IFERROR(__xludf.DUMMYFUNCTION("""COMPUTED_VALUE"""),"PR Selector")</f>
        <v>PR Selector</v>
      </c>
      <c r="I5" s="21" t="str">
        <f ca="1">IFERROR(__xludf.DUMMYFUNCTION("""COMPUTED_VALUE"""),"PR List")</f>
        <v>PR List</v>
      </c>
      <c r="J5" s="21" t="str">
        <f ca="1">IFERROR(__xludf.DUMMYFUNCTION("""COMPUTED_VALUE"""),"Order Side Selector")</f>
        <v>Order Side Selector</v>
      </c>
      <c r="K5" s="21" t="str">
        <f ca="1">IFERROR(__xludf.DUMMYFUNCTION("""COMPUTED_VALUE"""),"Order Side List")</f>
        <v>Order Side List</v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ca="1">"PA10-"&amp;TEXT(TODAY(),"dd-mm-yy")</f>
        <v>PA10-26-06-19</v>
      </c>
      <c r="C6" s="26" t="s">
        <v>19</v>
      </c>
      <c r="D6" s="25"/>
      <c r="E6" s="26"/>
      <c r="F6" s="26" t="s">
        <v>26</v>
      </c>
      <c r="G6" s="26" t="s">
        <v>27</v>
      </c>
      <c r="H6" s="26"/>
      <c r="I6" s="26"/>
      <c r="J6" s="26" t="s">
        <v>28</v>
      </c>
      <c r="K6" s="26" t="s">
        <v>29</v>
      </c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30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IFERROR(__xludf.DUMMYFUNCTION("""COMPUTED_VALUE"""),"AccountName")</f>
        <v>AccountName</v>
      </c>
      <c r="D5" s="21" t="str">
        <f ca="1">IFERROR(__xludf.DUMMYFUNCTION("""COMPUTED_VALUE"""),"Percentage")</f>
        <v>Percentage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t="shared" ref="B6:B7" ca="1" si="0">"PA10-"&amp;TEXT(TODAY(),"dd-mm-yy")</f>
        <v>PA10-26-06-19</v>
      </c>
      <c r="C6" s="26" t="s">
        <v>32</v>
      </c>
      <c r="D6" s="33">
        <v>50</v>
      </c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28"/>
      <c r="B7" s="39" t="str">
        <f t="shared" ca="1" si="0"/>
        <v>PA10-26-06-19</v>
      </c>
      <c r="C7" s="28" t="s">
        <v>33</v>
      </c>
      <c r="D7" s="36">
        <v>50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23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IFERROR(__xludf.DUMMYFUNCTION("""COMPUTED_VALUE"""),"Exchange Selector")</f>
        <v>Exchange Selector</v>
      </c>
      <c r="E5" s="21" t="str">
        <f ca="1">IFERROR(__xludf.DUMMYFUNCTION("""COMPUTED_VALUE"""),"Exchange List")</f>
        <v>Exchange List</v>
      </c>
      <c r="F5" s="22" t="str">
        <f ca="1">IFERROR(__xludf.DUMMYFUNCTION("""COMPUTED_VALUE"""),"Asset Selector")</f>
        <v>Asset Selector</v>
      </c>
      <c r="G5" s="21" t="str">
        <f ca="1">IFERROR(__xludf.DUMMYFUNCTION("""COMPUTED_VALUE"""),"Asset List")</f>
        <v>Asset List</v>
      </c>
      <c r="H5" s="21" t="str">
        <f ca="1">IFERROR(__xludf.DUMMYFUNCTION("""COMPUTED_VALUE"""),"PR Selector")</f>
        <v>PR Selector</v>
      </c>
      <c r="I5" s="21" t="str">
        <f ca="1">IFERROR(__xludf.DUMMYFUNCTION("""COMPUTED_VALUE"""),"PR List")</f>
        <v>PR List</v>
      </c>
      <c r="J5" s="21" t="str">
        <f ca="1">IFERROR(__xludf.DUMMYFUNCTION("""COMPUTED_VALUE"""),"Order Side Selector")</f>
        <v>Order Side Selector</v>
      </c>
      <c r="K5" s="21" t="str">
        <f ca="1">IFERROR(__xludf.DUMMYFUNCTION("""COMPUTED_VALUE"""),"Order Side List")</f>
        <v>Order Side List</v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ca="1">"PA10-"&amp;TEXT(TODAY(),"dd-mm-yy")</f>
        <v>PA10-26-06-19</v>
      </c>
      <c r="C6" s="26" t="s">
        <v>19</v>
      </c>
      <c r="D6" s="25"/>
      <c r="E6" s="26"/>
      <c r="F6" s="26" t="s">
        <v>26</v>
      </c>
      <c r="G6" s="26" t="s">
        <v>27</v>
      </c>
      <c r="H6" s="26"/>
      <c r="I6" s="26"/>
      <c r="J6" s="26" t="s">
        <v>31</v>
      </c>
      <c r="K6" s="26" t="s">
        <v>29</v>
      </c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35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IFERROR(__xludf.DUMMYFUNCTION("""COMPUTED_VALUE"""),"AllocationMethod")</f>
        <v>AllocationMethod</v>
      </c>
      <c r="C5" s="21" t="str">
        <f ca="1">IFERROR(__xludf.DUMMYFUNCTION("""COMPUTED_VALUE"""),"RemainderAllocationTo")</f>
        <v>RemainderAllocationTo</v>
      </c>
      <c r="D5" s="21" t="str">
        <f ca="1">IFERROR(__xludf.DUMMYFUNCTION("""COMPUTED_VALUE"""),"Target%AsOf")</f>
        <v>Target%AsOf</v>
      </c>
      <c r="E5" s="21" t="str">
        <f ca="1">IFERROR(__xludf.DUMMYFUNCTION("""COMPUTED_VALUE"""),"ProrataAccounts")</f>
        <v>ProrataAccounts</v>
      </c>
      <c r="F5" s="22" t="str">
        <f ca="1">IFERROR(__xludf.DUMMYFUNCTION("""COMPUTED_VALUE"""),"DateUptoDays")</f>
        <v>DateUptoDays</v>
      </c>
      <c r="G5" s="21" t="str">
        <f ca="1">IFERROR(__xludf.DUMMYFUNCTION("""COMPUTED_VALUE"""),"MatchClosingTransactions")</f>
        <v>MatchClosingTransactions</v>
      </c>
      <c r="H5" s="21" t="str">
        <f ca="1">IFERROR(__xludf.DUMMYFUNCTION("""COMPUTED_VALUE"""),"PreferenceName")</f>
        <v>PreferenceName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/>
      <c r="C6" s="26"/>
      <c r="D6" s="25" t="s">
        <v>36</v>
      </c>
      <c r="E6" s="26" t="s">
        <v>25</v>
      </c>
      <c r="F6" s="26"/>
      <c r="G6" s="26"/>
      <c r="H6" s="37" t="str">
        <f ca="1">"PA10-"&amp;TEXT(TODAY(),"dd-mm-yy")</f>
        <v>PA10-26-06-19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34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IFERROR(__xludf.DUMMYFUNCTION("""COMPUTED_VALUE"""),"AccountName")</f>
        <v>AccountName</v>
      </c>
      <c r="E5" s="21" t="str">
        <f ca="1">IFERROR(__xludf.DUMMYFUNCTION("""COMPUTED_VALUE"""),"Percentage")</f>
        <v>Percentage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t="shared" ref="B6:B7" ca="1" si="0">"PA10-"&amp;TEXT(TODAY(),"dd-mm-yy")</f>
        <v>PA10-26-06-19</v>
      </c>
      <c r="C6" s="26" t="s">
        <v>21</v>
      </c>
      <c r="D6" s="25" t="s">
        <v>37</v>
      </c>
      <c r="E6" s="40">
        <v>55.5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28"/>
      <c r="B7" s="41" t="str">
        <f t="shared" ca="1" si="0"/>
        <v>PA10-26-06-19</v>
      </c>
      <c r="C7" s="28" t="s">
        <v>21</v>
      </c>
      <c r="D7" s="28" t="s">
        <v>38</v>
      </c>
      <c r="E7" s="36">
        <v>44.5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28"/>
      <c r="B8" s="28"/>
      <c r="C8" s="28"/>
      <c r="D8" s="28"/>
      <c r="E8" s="28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22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IFERROR(__xludf.DUMMYFUNCTION("""COMPUTED_VALUE"""),"AllocationMethod")</f>
        <v>AllocationMethod</v>
      </c>
      <c r="E5" s="21" t="str">
        <f ca="1">IFERROR(__xludf.DUMMYFUNCTION("""COMPUTED_VALUE"""),"RemainderAllocationTo")</f>
        <v>RemainderAllocationTo</v>
      </c>
      <c r="F5" s="22" t="str">
        <f ca="1">IFERROR(__xludf.DUMMYFUNCTION("""COMPUTED_VALUE"""),"Target%AsOf")</f>
        <v>Target%AsOf</v>
      </c>
      <c r="G5" s="21" t="str">
        <f ca="1">IFERROR(__xludf.DUMMYFUNCTION("""COMPUTED_VALUE"""),"ProrataAccounts")</f>
        <v>ProrataAccounts</v>
      </c>
      <c r="H5" s="21" t="str">
        <f ca="1">IFERROR(__xludf.DUMMYFUNCTION("""COMPUTED_VALUE"""),"DateUptoDays")</f>
        <v>DateUptoDays</v>
      </c>
      <c r="I5" s="21" t="str">
        <f ca="1">IFERROR(__xludf.DUMMYFUNCTION("""COMPUTED_VALUE"""),"MatchClosingTransactions")</f>
        <v>MatchClosingTransactions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ca="1">"PA10-"&amp;TEXT(TODAY(),"dd-mm-yy")</f>
        <v>PA10-26-06-19</v>
      </c>
      <c r="C6" s="26" t="s">
        <v>21</v>
      </c>
      <c r="D6" s="25" t="s">
        <v>40</v>
      </c>
      <c r="E6" s="26"/>
      <c r="F6" s="34" t="s">
        <v>20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23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IFERROR(__xludf.DUMMYFUNCTION("""COMPUTED_VALUE"""),"Exchange Selector")</f>
        <v>Exchange Selector</v>
      </c>
      <c r="E5" s="21" t="str">
        <f ca="1">IFERROR(__xludf.DUMMYFUNCTION("""COMPUTED_VALUE"""),"Exchange List")</f>
        <v>Exchange List</v>
      </c>
      <c r="F5" s="22" t="str">
        <f ca="1">IFERROR(__xludf.DUMMYFUNCTION("""COMPUTED_VALUE"""),"Asset Selector")</f>
        <v>Asset Selector</v>
      </c>
      <c r="G5" s="21" t="str">
        <f ca="1">IFERROR(__xludf.DUMMYFUNCTION("""COMPUTED_VALUE"""),"Asset List")</f>
        <v>Asset List</v>
      </c>
      <c r="H5" s="21" t="str">
        <f ca="1">IFERROR(__xludf.DUMMYFUNCTION("""COMPUTED_VALUE"""),"PR Selector")</f>
        <v>PR Selector</v>
      </c>
      <c r="I5" s="21" t="str">
        <f ca="1">IFERROR(__xludf.DUMMYFUNCTION("""COMPUTED_VALUE"""),"PR List")</f>
        <v>PR List</v>
      </c>
      <c r="J5" s="21" t="str">
        <f ca="1">IFERROR(__xludf.DUMMYFUNCTION("""COMPUTED_VALUE"""),"Order Side Selector")</f>
        <v>Order Side Selector</v>
      </c>
      <c r="K5" s="21" t="str">
        <f ca="1">IFERROR(__xludf.DUMMYFUNCTION("""COMPUTED_VALUE"""),"Order Side List")</f>
        <v>Order Side List</v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ca="1">"PA10-"&amp;TEXT(TODAY(),"dd-mm-yy")</f>
        <v>PA10-26-06-19</v>
      </c>
      <c r="C6" s="26" t="s">
        <v>21</v>
      </c>
      <c r="D6" s="25"/>
      <c r="E6" s="26"/>
      <c r="F6" s="26" t="s">
        <v>26</v>
      </c>
      <c r="G6" s="26" t="s">
        <v>39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30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IFERROR(__xludf.DUMMYFUNCTION("""COMPUTED_VALUE"""),"AccountName")</f>
        <v>AccountName</v>
      </c>
      <c r="D5" s="21" t="str">
        <f ca="1">IFERROR(__xludf.DUMMYFUNCTION("""COMPUTED_VALUE"""),"Percentage")</f>
        <v>Percentage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t="shared" ref="B6:B7" ca="1" si="0">"PA10-"&amp;TEXT(TODAY(),"dd-mm-yy")</f>
        <v>PA10-26-06-19</v>
      </c>
      <c r="C6" s="26" t="s">
        <v>37</v>
      </c>
      <c r="D6" s="33">
        <v>70</v>
      </c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28"/>
      <c r="B7" s="41" t="str">
        <f t="shared" ca="1" si="0"/>
        <v>PA10-26-06-19</v>
      </c>
      <c r="C7" s="28" t="s">
        <v>38</v>
      </c>
      <c r="D7" s="36">
        <v>30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28"/>
      <c r="B8" s="28"/>
      <c r="C8" s="28"/>
      <c r="D8" s="28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41</v>
      </c>
      <c r="D3" s="2" t="s">
        <v>9</v>
      </c>
      <c r="E3" s="16" t="s">
        <v>42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IFERROR(__xludf.DUMMYFUNCTION("""COMPUTED_VALUE"""),"UpdateForwardPoints")</f>
        <v>UpdateForwardPoints</v>
      </c>
      <c r="I4" s="18" t="str">
        <f ca="1">IFERROR(__xludf.DUMMYFUNCTION("""COMPUTED_VALUE"""),"GetForwardPoints")</f>
        <v>GetForwardPoints</v>
      </c>
      <c r="J4" s="18" t="str">
        <f ca="1">IFERROR(__xludf.DUMMYFUNCTION("""COMPUTED_VALUE"""),"UpdateForwardPoints")</f>
        <v>UpdateForwardPoints</v>
      </c>
      <c r="K4" s="18" t="str">
        <f ca="1">IFERROR(__xludf.DUMMYFUNCTION("""COMPUTED_VALUE"""),"GetForexConversion")</f>
        <v>GetForexConversion</v>
      </c>
      <c r="L4" s="18" t="str">
        <f ca="1">IFERROR(__xludf.DUMMYFUNCTION("""COMPUTED_VALUE"""),"DeleteNAV")</f>
        <v>DeleteNAV</v>
      </c>
      <c r="M4" s="18" t="str">
        <f ca="1">IFERROR(__xludf.DUMMYFUNCTION("""COMPUTED_VALUE"""),"GetDailyCash")</f>
        <v>GetDailyCash</v>
      </c>
      <c r="N4" s="18" t="str">
        <f ca="1">IFERROR(__xludf.DUMMYFUNCTION("""COMPUTED_VALUE"""),"GetDailyOutstandings")</f>
        <v>GetDailyOutstandings</v>
      </c>
      <c r="O4" s="18" t="str">
        <f ca="1">IFERROR(__xludf.DUMMYFUNCTION("""COMPUTED_VALUE"""),"GetDailyVolatility")</f>
        <v>GetDailyVolatility</v>
      </c>
      <c r="P4" s="19" t="str">
        <f ca="1">IFERROR(__xludf.DUMMYFUNCTION("""COMPUTED_VALUE"""),"GetDailyDividendYield")</f>
        <v>GetDailyDividendYield</v>
      </c>
      <c r="Q4" s="19" t="str">
        <f ca="1">IFERROR(__xludf.DUMMYFUNCTION("""COMPUTED_VALUE"""),"GetDailyBeta")</f>
        <v>GetDailyBeta</v>
      </c>
      <c r="R4" s="19" t="str">
        <f ca="1">IFERROR(__xludf.DUMMYFUNCTION("""COMPUTED_VALUE"""),"GetDailyTradingVolume")</f>
        <v>GetDailyTradingVolume</v>
      </c>
      <c r="S4" s="19" t="str">
        <f ca="1">IFERROR(__xludf.DUMMYFUNCTION("""COMPUTED_VALUE"""),"GetDailyDelta")</f>
        <v>GetDailyDelta</v>
      </c>
      <c r="T4" s="19" t="str">
        <f ca="1">IFERROR(__xludf.DUMMYFUNCTION("""COMPUTED_VALUE"""),"UpdateDailyVolatility")</f>
        <v>UpdateDailyVolatility</v>
      </c>
      <c r="U4" s="19" t="str">
        <f ca="1">IFERROR(__xludf.DUMMYFUNCTION("""COMPUTED_VALUE"""),"UpdateDividendYield")</f>
        <v>UpdateDividendYield</v>
      </c>
      <c r="V4" s="19" t="str">
        <f ca="1">IFERROR(__xludf.DUMMYFUNCTION("""COMPUTED_VALUE"""),"UpdateTradingVolume")</f>
        <v>UpdateTradingVolume</v>
      </c>
      <c r="W4" s="19" t="str">
        <f ca="1">IFERROR(__xludf.DUMMYFUNCTION("""COMPUTED_VALUE"""),"UpdateDailyDelta")</f>
        <v>UpdateDailyDelta</v>
      </c>
      <c r="X4" s="19" t="str">
        <f ca="1">IFERROR(__xludf.DUMMYFUNCTION("""COMPUTED_VALUE"""),"UpdateDailyOutstandings")</f>
        <v>UpdateDailyOutstandings</v>
      </c>
      <c r="Y4" s="19" t="str">
        <f ca="1">IFERROR(__xludf.DUMMYFUNCTION("""COMPUTED_VALUE"""),"UpdateBeta")</f>
        <v>UpdateBeta</v>
      </c>
      <c r="Z4" s="19" t="str">
        <f ca="1">IFERROR(__xludf.DUMMYFUNCTION("""COMPUTED_VALUE"""),"UpdateNAV")</f>
        <v>UpdateNAV</v>
      </c>
      <c r="AA4" s="19" t="str">
        <f ca="1">IFERROR(__xludf.DUMMYFUNCTION("""COMPUTED_VALUE"""),"UpdateDailyCash")</f>
        <v>UpdateDailyCash</v>
      </c>
      <c r="AB4" s="19" t="str">
        <f ca="1">IFERROR(__xludf.DUMMYFUNCTION("""COMPUTED_VALUE"""),"UpdateDailyCreditLimt")</f>
        <v>UpdateDailyCreditLimt</v>
      </c>
      <c r="AC4" s="19" t="str">
        <f ca="1">IFERROR(__xludf.DUMMYFUNCTION("""COMPUTED_VALUE"""),"RemoveDailyCreditLimit")</f>
        <v>RemoveDailyCreditLimit</v>
      </c>
      <c r="AD4" s="19" t="str">
        <f ca="1">IFERROR(__xludf.DUMMYFUNCTION("""COMPUTED_VALUE"""),"RemoveDailyCash")</f>
        <v>RemoveDailyCash</v>
      </c>
      <c r="AE4" s="19" t="str">
        <f ca="1">IFERROR(__xludf.DUMMYFUNCTION("""COMPUTED_VALUE"""),"RemoveNAV")</f>
        <v>RemoveNAV</v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IFERROR(__xludf.DUMMYFUNCTION("""COMPUTED_VALUE"""),"UpdateNAV")</f>
        <v>UpdateNAV</v>
      </c>
      <c r="BM4" s="19" t="str">
        <f ca="1">IFERROR(__xludf.DUMMYFUNCTION("""COMPUTED_VALUE"""),"UpdateDailyCash")</f>
        <v>UpdateDailyCash</v>
      </c>
      <c r="BN4" s="19" t="str">
        <f ca="1">IFERROR(__xludf.DUMMYFUNCTION("""COMPUTED_VALUE"""),"UpdateDailyCreditLimt")</f>
        <v>UpdateDailyCreditLimt</v>
      </c>
      <c r="BO4" s="19" t="str">
        <f ca="1">IFERROR(__xludf.DUMMYFUNCTION("""COMPUTED_VALUE"""),"RemoveDailyCreditLimit")</f>
        <v>RemoveDailyCreditLimit</v>
      </c>
      <c r="BP4" s="19" t="str">
        <f ca="1">IFERROR(__xludf.DUMMYFUNCTION("""COMPUTED_VALUE"""),"RemoveDailyCash")</f>
        <v>RemoveDailyCash</v>
      </c>
      <c r="BQ4" s="19" t="str">
        <f ca="1">IFERROR(__xludf.DUMMYFUNCTION("""COMPUTED_VALUE"""),"RemoveNAV")</f>
        <v>RemoveNAV</v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From")</f>
        <v>Copy From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2">
        <f ca="1">TODAY()-1</f>
        <v>43641</v>
      </c>
      <c r="C6" s="43">
        <f ca="1">TODAY()</f>
        <v>43642</v>
      </c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41</v>
      </c>
      <c r="D3" s="2" t="s">
        <v>9</v>
      </c>
      <c r="E3" s="16" t="s">
        <v>43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IFERROR(__xludf.DUMMYFUNCTION("""COMPUTED_VALUE"""),"UpdateForwardPoints")</f>
        <v>UpdateForwardPoints</v>
      </c>
      <c r="I4" s="18" t="str">
        <f ca="1">IFERROR(__xludf.DUMMYFUNCTION("""COMPUTED_VALUE"""),"GetForwardPoints")</f>
        <v>GetForwardPoints</v>
      </c>
      <c r="J4" s="18" t="str">
        <f ca="1">IFERROR(__xludf.DUMMYFUNCTION("""COMPUTED_VALUE"""),"UpdateForwardPoints")</f>
        <v>UpdateForwardPoints</v>
      </c>
      <c r="K4" s="18" t="str">
        <f ca="1">IFERROR(__xludf.DUMMYFUNCTION("""COMPUTED_VALUE"""),"GetForexConversion")</f>
        <v>GetForexConversion</v>
      </c>
      <c r="L4" s="18" t="str">
        <f ca="1">IFERROR(__xludf.DUMMYFUNCTION("""COMPUTED_VALUE"""),"DeleteNAV")</f>
        <v>DeleteNAV</v>
      </c>
      <c r="M4" s="18" t="str">
        <f ca="1">IFERROR(__xludf.DUMMYFUNCTION("""COMPUTED_VALUE"""),"GetDailyCash")</f>
        <v>GetDailyCash</v>
      </c>
      <c r="N4" s="18" t="str">
        <f ca="1">IFERROR(__xludf.DUMMYFUNCTION("""COMPUTED_VALUE"""),"GetDailyOutstandings")</f>
        <v>GetDailyOutstandings</v>
      </c>
      <c r="O4" s="18" t="str">
        <f ca="1">IFERROR(__xludf.DUMMYFUNCTION("""COMPUTED_VALUE"""),"GetDailyVolatility")</f>
        <v>GetDailyVolatility</v>
      </c>
      <c r="P4" s="19" t="str">
        <f ca="1">IFERROR(__xludf.DUMMYFUNCTION("""COMPUTED_VALUE"""),"GetDailyDividendYield")</f>
        <v>GetDailyDividendYield</v>
      </c>
      <c r="Q4" s="19" t="str">
        <f ca="1">IFERROR(__xludf.DUMMYFUNCTION("""COMPUTED_VALUE"""),"GetDailyBeta")</f>
        <v>GetDailyBeta</v>
      </c>
      <c r="R4" s="19" t="str">
        <f ca="1">IFERROR(__xludf.DUMMYFUNCTION("""COMPUTED_VALUE"""),"GetDailyTradingVolume")</f>
        <v>GetDailyTradingVolume</v>
      </c>
      <c r="S4" s="19" t="str">
        <f ca="1">IFERROR(__xludf.DUMMYFUNCTION("""COMPUTED_VALUE"""),"GetDailyDelta")</f>
        <v>GetDailyDelta</v>
      </c>
      <c r="T4" s="19" t="str">
        <f ca="1">IFERROR(__xludf.DUMMYFUNCTION("""COMPUTED_VALUE"""),"UpdateDailyVolatility")</f>
        <v>UpdateDailyVolatility</v>
      </c>
      <c r="U4" s="19" t="str">
        <f ca="1">IFERROR(__xludf.DUMMYFUNCTION("""COMPUTED_VALUE"""),"UpdateDividendYield")</f>
        <v>UpdateDividendYield</v>
      </c>
      <c r="V4" s="19" t="str">
        <f ca="1">IFERROR(__xludf.DUMMYFUNCTION("""COMPUTED_VALUE"""),"UpdateTradingVolume")</f>
        <v>UpdateTradingVolume</v>
      </c>
      <c r="W4" s="19" t="str">
        <f ca="1">IFERROR(__xludf.DUMMYFUNCTION("""COMPUTED_VALUE"""),"UpdateDailyDelta")</f>
        <v>UpdateDailyDelta</v>
      </c>
      <c r="X4" s="19" t="str">
        <f ca="1">IFERROR(__xludf.DUMMYFUNCTION("""COMPUTED_VALUE"""),"UpdateDailyOutstandings")</f>
        <v>UpdateDailyOutstandings</v>
      </c>
      <c r="Y4" s="19" t="str">
        <f ca="1">IFERROR(__xludf.DUMMYFUNCTION("""COMPUTED_VALUE"""),"UpdateBeta")</f>
        <v>UpdateBeta</v>
      </c>
      <c r="Z4" s="19" t="str">
        <f ca="1">IFERROR(__xludf.DUMMYFUNCTION("""COMPUTED_VALUE"""),"UpdateNAV")</f>
        <v>UpdateNAV</v>
      </c>
      <c r="AA4" s="19" t="str">
        <f ca="1">IFERROR(__xludf.DUMMYFUNCTION("""COMPUTED_VALUE"""),"UpdateDailyCash")</f>
        <v>UpdateDailyCash</v>
      </c>
      <c r="AB4" s="19" t="str">
        <f ca="1">IFERROR(__xludf.DUMMYFUNCTION("""COMPUTED_VALUE"""),"UpdateDailyCreditLimt")</f>
        <v>UpdateDailyCreditLimt</v>
      </c>
      <c r="AC4" s="19" t="str">
        <f ca="1">IFERROR(__xludf.DUMMYFUNCTION("""COMPUTED_VALUE"""),"RemoveDailyCreditLimit")</f>
        <v>RemoveDailyCreditLimit</v>
      </c>
      <c r="AD4" s="19" t="str">
        <f ca="1">IFERROR(__xludf.DUMMYFUNCTION("""COMPUTED_VALUE"""),"RemoveDailyCash")</f>
        <v>RemoveDailyCash</v>
      </c>
      <c r="AE4" s="19" t="str">
        <f ca="1">IFERROR(__xludf.DUMMYFUNCTION("""COMPUTED_VALUE"""),"RemoveNAV")</f>
        <v>RemoveNAV</v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IFERROR(__xludf.DUMMYFUNCTION("""COMPUTED_VALUE"""),"UpdateNAV")</f>
        <v>UpdateNAV</v>
      </c>
      <c r="BM4" s="19" t="str">
        <f ca="1">IFERROR(__xludf.DUMMYFUNCTION("""COMPUTED_VALUE"""),"UpdateDailyCash")</f>
        <v>UpdateDailyCash</v>
      </c>
      <c r="BN4" s="19" t="str">
        <f ca="1">IFERROR(__xludf.DUMMYFUNCTION("""COMPUTED_VALUE"""),"UpdateDailyCreditLimt")</f>
        <v>UpdateDailyCreditLimt</v>
      </c>
      <c r="BO4" s="19" t="str">
        <f ca="1">IFERROR(__xludf.DUMMYFUNCTION("""COMPUTED_VALUE"""),"RemoveDailyCreditLimit")</f>
        <v>RemoveDailyCreditLimit</v>
      </c>
      <c r="BP4" s="19" t="str">
        <f ca="1">IFERROR(__xludf.DUMMYFUNCTION("""COMPUTED_VALUE"""),"RemoveDailyCash")</f>
        <v>RemoveDailyCash</v>
      </c>
      <c r="BQ4" s="19" t="str">
        <f ca="1">IFERROR(__xludf.DUMMYFUNCTION("""COMPUTED_VALUE"""),"RemoveNAV")</f>
        <v>RemoveNAV</v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IFERROR(__xludf.DUMMYFUNCTION("""COMPUTED_VALUE"""),"Local Currency")</f>
        <v>Local Currency</v>
      </c>
      <c r="D5" s="21" t="str">
        <f ca="1">IFERROR(__xludf.DUMMYFUNCTION("""COMPUTED_VALUE"""),"Cash Value Local")</f>
        <v>Cash Value Local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33</v>
      </c>
      <c r="C6" s="26" t="s">
        <v>46</v>
      </c>
      <c r="D6" s="33">
        <v>1000</v>
      </c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28"/>
      <c r="B7" s="28" t="s">
        <v>48</v>
      </c>
      <c r="C7" s="28" t="s">
        <v>46</v>
      </c>
      <c r="D7" s="36">
        <v>3000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28"/>
      <c r="B8" s="28"/>
      <c r="C8" s="28"/>
      <c r="D8" s="28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44</v>
      </c>
      <c r="D3" s="2" t="s">
        <v>9</v>
      </c>
      <c r="E3" s="16" t="s">
        <v>45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IFERROR(__xludf.DUMMYFUNCTION("""COMPUTED_VALUE"""),"SetBrokerWisePreferencesTT")</f>
        <v>SetBrokerWisePreferencesTT</v>
      </c>
      <c r="J4" s="18" t="str">
        <f ca="1">IFERROR(__xludf.DUMMYFUNCTION("""COMPUTED_VALUE"""),"TradeNewSub")</f>
        <v>TradeNewSub</v>
      </c>
      <c r="K4" s="18" t="str">
        <f ca="1">IFERROR(__xludf.DUMMYFUNCTION("""COMPUTED_VALUE"""),"CreateStageOrder")</f>
        <v>CreateStageOrder</v>
      </c>
      <c r="L4" s="18" t="str">
        <f ca="1">IFERROR(__xludf.DUMMYFUNCTION("""COMPUTED_VALUE"""),"CreateReplaceOrder")</f>
        <v>CreateReplaceOrder</v>
      </c>
      <c r="M4" s="18" t="str">
        <f ca="1">IFERROR(__xludf.DUMMYFUNCTION("""COMPUTED_VALUE"""),"SetGeneralPreference")</f>
        <v>SetGeneralPreference</v>
      </c>
      <c r="N4" s="18" t="str">
        <f ca="1">IFERROR(__xludf.DUMMYFUNCTION("""COMPUTED_VALUE"""),"CreateDoneAwayOrder")</f>
        <v>CreateDoneAwayOrder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IFERROR(__xludf.DUMMYFUNCTION("""COMPUTED_VALUE"""),"TradeBloomberg")</f>
        <v>TradeBloomberg</v>
      </c>
      <c r="Q4" s="19" t="str">
        <f ca="1">IFERROR(__xludf.DUMMYFUNCTION("""COMPUTED_VALUE"""),"CreateNewSubOrder")</f>
        <v>CreateNewSubOrder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47</v>
      </c>
      <c r="C6" s="26" t="s">
        <v>49</v>
      </c>
      <c r="D6" s="33">
        <v>100</v>
      </c>
      <c r="E6" s="40">
        <v>100</v>
      </c>
      <c r="F6" s="26" t="s">
        <v>37</v>
      </c>
      <c r="G6" s="26"/>
      <c r="H6" s="26"/>
      <c r="I6" s="26"/>
      <c r="J6" s="40">
        <v>100</v>
      </c>
      <c r="K6" s="26"/>
      <c r="L6" s="26"/>
      <c r="M6" s="26"/>
      <c r="N6" s="44">
        <f t="shared" ref="N6:N14" ca="1" si="0">TODAY()</f>
        <v>43642</v>
      </c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154" ht="15.75" customHeight="1">
      <c r="A7" s="28"/>
      <c r="B7" s="28" t="s">
        <v>47</v>
      </c>
      <c r="C7" s="28" t="s">
        <v>49</v>
      </c>
      <c r="D7" s="36">
        <v>100</v>
      </c>
      <c r="E7" s="36">
        <v>100</v>
      </c>
      <c r="F7" s="28" t="s">
        <v>48</v>
      </c>
      <c r="G7" s="28"/>
      <c r="H7" s="28"/>
      <c r="I7" s="28"/>
      <c r="J7" s="36">
        <v>100</v>
      </c>
      <c r="K7" s="28"/>
      <c r="L7" s="28"/>
      <c r="M7" s="28"/>
      <c r="N7" s="45">
        <f t="shared" ca="1" si="0"/>
        <v>43642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</row>
    <row r="8" spans="1:154" ht="15.75" customHeight="1">
      <c r="A8" s="28"/>
      <c r="B8" s="28" t="s">
        <v>47</v>
      </c>
      <c r="C8" s="28" t="s">
        <v>49</v>
      </c>
      <c r="D8" s="36">
        <v>100</v>
      </c>
      <c r="E8" s="36">
        <v>100</v>
      </c>
      <c r="F8" s="46" t="str">
        <f t="shared" ref="F8:F14" ca="1" si="1">"PA10-"&amp;TEXT(TODAY(),"dd-mm-yy")</f>
        <v>PA10-26-06-19</v>
      </c>
      <c r="G8" s="28"/>
      <c r="H8" s="28"/>
      <c r="I8" s="28"/>
      <c r="J8" s="36">
        <v>100</v>
      </c>
      <c r="K8" s="28"/>
      <c r="L8" s="28"/>
      <c r="M8" s="28"/>
      <c r="N8" s="45">
        <f t="shared" ca="1" si="0"/>
        <v>43642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</row>
    <row r="9" spans="1:154" ht="15.75" customHeight="1">
      <c r="A9" s="28"/>
      <c r="B9" s="28" t="s">
        <v>50</v>
      </c>
      <c r="C9" s="28" t="s">
        <v>51</v>
      </c>
      <c r="D9" s="36">
        <v>100</v>
      </c>
      <c r="E9" s="36">
        <v>100</v>
      </c>
      <c r="F9" s="46" t="str">
        <f t="shared" ca="1" si="1"/>
        <v>PA10-26-06-19</v>
      </c>
      <c r="G9" s="28"/>
      <c r="H9" s="28"/>
      <c r="I9" s="28"/>
      <c r="J9" s="36">
        <v>100</v>
      </c>
      <c r="K9" s="28"/>
      <c r="L9" s="28"/>
      <c r="M9" s="28"/>
      <c r="N9" s="45">
        <f t="shared" ca="1" si="0"/>
        <v>43642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</row>
    <row r="10" spans="1:154" ht="15.75" customHeight="1">
      <c r="A10" s="28"/>
      <c r="B10" s="28" t="s">
        <v>50</v>
      </c>
      <c r="C10" s="28" t="s">
        <v>52</v>
      </c>
      <c r="D10" s="36">
        <v>100</v>
      </c>
      <c r="E10" s="36">
        <v>100</v>
      </c>
      <c r="F10" s="46" t="str">
        <f t="shared" ca="1" si="1"/>
        <v>PA10-26-06-19</v>
      </c>
      <c r="G10" s="28"/>
      <c r="H10" s="28"/>
      <c r="I10" s="28"/>
      <c r="J10" s="36">
        <v>100</v>
      </c>
      <c r="K10" s="28"/>
      <c r="L10" s="28"/>
      <c r="M10" s="28"/>
      <c r="N10" s="47">
        <f t="shared" ca="1" si="0"/>
        <v>43642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</row>
    <row r="11" spans="1:154" ht="15.75" customHeight="1">
      <c r="A11" s="28"/>
      <c r="B11" s="48" t="s">
        <v>50</v>
      </c>
      <c r="C11" s="48" t="s">
        <v>53</v>
      </c>
      <c r="D11" s="48">
        <v>100</v>
      </c>
      <c r="E11" s="48">
        <v>100</v>
      </c>
      <c r="F11" s="46" t="str">
        <f t="shared" ca="1" si="1"/>
        <v>PA10-26-06-19</v>
      </c>
      <c r="G11" s="28"/>
      <c r="H11" s="28"/>
      <c r="I11" s="28"/>
      <c r="J11" s="40">
        <v>100</v>
      </c>
      <c r="K11" s="28"/>
      <c r="L11" s="28"/>
      <c r="M11" s="28"/>
      <c r="N11" s="45">
        <f t="shared" ca="1" si="0"/>
        <v>43642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</row>
    <row r="12" spans="1:154" ht="15.75" customHeight="1">
      <c r="A12" s="28"/>
      <c r="B12" s="48" t="s">
        <v>50</v>
      </c>
      <c r="C12" s="48" t="s">
        <v>53</v>
      </c>
      <c r="D12" s="48">
        <v>100</v>
      </c>
      <c r="E12" s="48">
        <v>100</v>
      </c>
      <c r="F12" s="46" t="str">
        <f t="shared" ca="1" si="1"/>
        <v>PA10-26-06-19</v>
      </c>
      <c r="G12" s="28"/>
      <c r="H12" s="28"/>
      <c r="I12" s="28"/>
      <c r="J12" s="36">
        <v>100</v>
      </c>
      <c r="K12" s="28"/>
      <c r="L12" s="28"/>
      <c r="M12" s="28"/>
      <c r="N12" s="45">
        <f t="shared" ca="1" si="0"/>
        <v>43642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</row>
    <row r="13" spans="1:154" ht="15.75" customHeight="1">
      <c r="A13" s="28"/>
      <c r="B13" s="48" t="s">
        <v>54</v>
      </c>
      <c r="C13" s="48" t="s">
        <v>49</v>
      </c>
      <c r="D13" s="48">
        <v>100</v>
      </c>
      <c r="E13" s="48">
        <v>100</v>
      </c>
      <c r="F13" s="46" t="str">
        <f t="shared" ca="1" si="1"/>
        <v>PA10-26-06-19</v>
      </c>
      <c r="G13" s="28"/>
      <c r="H13" s="28"/>
      <c r="I13" s="28"/>
      <c r="J13" s="36">
        <v>100</v>
      </c>
      <c r="K13" s="28"/>
      <c r="L13" s="28"/>
      <c r="M13" s="28"/>
      <c r="N13" s="45">
        <f t="shared" ca="1" si="0"/>
        <v>43642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</row>
    <row r="14" spans="1:154" ht="15.75" customHeight="1">
      <c r="A14" s="28"/>
      <c r="B14" s="48" t="s">
        <v>55</v>
      </c>
      <c r="C14" s="48" t="s">
        <v>56</v>
      </c>
      <c r="D14" s="48">
        <v>100</v>
      </c>
      <c r="E14" s="48">
        <v>100</v>
      </c>
      <c r="F14" s="46" t="str">
        <f t="shared" ca="1" si="1"/>
        <v>PA10-26-06-19</v>
      </c>
      <c r="G14" s="28"/>
      <c r="H14" s="28"/>
      <c r="I14" s="28"/>
      <c r="J14" s="36">
        <v>100</v>
      </c>
      <c r="K14" s="28"/>
      <c r="L14" s="28"/>
      <c r="M14" s="28"/>
      <c r="N14" s="47">
        <f t="shared" ca="1" si="0"/>
        <v>43642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</row>
    <row r="15" spans="1:154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36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</row>
    <row r="16" spans="1:154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</row>
    <row r="17" spans="1:45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</row>
    <row r="18" spans="1:45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</row>
    <row r="19" spans="1:4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4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4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4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4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4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4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4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45" ht="15.75" customHeight="1"/>
    <row r="28" spans="1:45" ht="15.75" customHeight="1"/>
    <row r="29" spans="1:45" ht="15.75" customHeight="1"/>
    <row r="30" spans="1:45" ht="15.75" customHeight="1"/>
    <row r="31" spans="1:45" ht="15.75" customHeight="1"/>
    <row r="32" spans="1:4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57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60</v>
      </c>
      <c r="C6" s="1"/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58</v>
      </c>
      <c r="D3" s="2" t="s">
        <v>9</v>
      </c>
      <c r="E3" s="16" t="s">
        <v>59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IFERROR(__xludf.DUMMYFUNCTION("IF(C3="""","""",Transpose(IMPORTRANGE('_Settings'!$B$3,C3&amp;""!A4:A1000"")))"),"GetDataClosing")</f>
        <v>GetDataClosing</v>
      </c>
      <c r="C4" s="18" t="str">
        <f ca="1">IFERROR(__xludf.DUMMYFUNCTION("""COMPUTED_VALUE"""),"ManualClosing")</f>
        <v>ManualClosing</v>
      </c>
      <c r="D4" s="18" t="str">
        <f ca="1">IFERROR(__xludf.DUMMYFUNCTION("""COMPUTED_VALUE"""),"UnwindClosing")</f>
        <v>UnwindClosing</v>
      </c>
      <c r="E4" s="18" t="str">
        <f ca="1">IFERROR(__xludf.DUMMYFUNCTION("""COMPUTED_VALUE"""),"VerifyClosedTrades")</f>
        <v>VerifyClosedTrades</v>
      </c>
      <c r="F4" s="18" t="str">
        <f ca="1">IFERROR(__xludf.DUMMYFUNCTION("""COMPUTED_VALUE"""),"VerifyLongPositionsGrid")</f>
        <v>VerifyLongPositionsGrid</v>
      </c>
      <c r="G4" s="18" t="str">
        <f ca="1">IFERROR(__xludf.DUMMYFUNCTION("""COMPUTED_VALUE"""),"VerifyShortPositionsGrid")</f>
        <v>VerifyShortPositionsGrid</v>
      </c>
      <c r="H4" s="18" t="str">
        <f ca="1">IFERROR(__xludf.DUMMYFUNCTION("""COMPUTED_VALUE"""),"SelectTradeUnexpiredUnsettled")</f>
        <v>SelectTradeUnexpiredUnsettled</v>
      </c>
      <c r="I4" s="18" t="str">
        <f ca="1">IFERROR(__xludf.DUMMYFUNCTION("""COMPUTED_VALUE"""),"CashSettlementAtCost")</f>
        <v>CashSettlementAtCost</v>
      </c>
      <c r="J4" s="18" t="str">
        <f ca="1">IFERROR(__xludf.DUMMYFUNCTION("""COMPUTED_VALUE"""),"CashSettlementAtZeroPrice")</f>
        <v>CashSettlementAtZeroPrice</v>
      </c>
      <c r="K4" s="18" t="str">
        <f ca="1">IFERROR(__xludf.DUMMYFUNCTION("""COMPUTED_VALUE"""),"CashSettlementAtClosingDtSpotPx")</f>
        <v>CashSettlementAtClosingDtSpotPx</v>
      </c>
      <c r="L4" s="18" t="str">
        <f ca="1">IFERROR(__xludf.DUMMYFUNCTION("""COMPUTED_VALUE"""),"PhysicalSettlement")</f>
        <v>PhysicalSettlement</v>
      </c>
      <c r="M4" s="18" t="str">
        <f ca="1">IFERROR(__xludf.DUMMYFUNCTION("""COMPUTED_VALUE"""),"AutomaticClosing")</f>
        <v>AutomaticClosing</v>
      </c>
      <c r="N4" s="18" t="str">
        <f ca="1">IFERROR(__xludf.DUMMYFUNCTION("""COMPUTED_VALUE"""),"Expire")</f>
        <v>Expire</v>
      </c>
      <c r="O4" s="18" t="str">
        <f ca="1">IFERROR(__xludf.DUMMYFUNCTION("""COMPUTED_VALUE"""),"ExerciseAssignment")</f>
        <v>ExerciseAssignment</v>
      </c>
      <c r="P4" s="19" t="str">
        <f ca="1">IFERROR(__xludf.DUMMYFUNCTION("""COMPUTED_VALUE"""),"ExerciseAssignmentAtZero")</f>
        <v>ExerciseAssignmentAtZero</v>
      </c>
      <c r="Q4" s="19" t="str">
        <f ca="1">IFERROR(__xludf.DUMMYFUNCTION("""COMPUTED_VALUE"""),"SwapExpireAndRollover")</f>
        <v>SwapExpireAndRollover</v>
      </c>
      <c r="R4" s="19" t="str">
        <f ca="1">IFERROR(__xludf.DUMMYFUNCTION("""COMPUTED_VALUE"""),"SwapExpire")</f>
        <v>SwapExpire</v>
      </c>
      <c r="S4" s="19" t="str">
        <f ca="1">IFERROR(__xludf.DUMMYFUNCTION("""COMPUTED_VALUE"""),"VerifyExpiredSettledGrid")</f>
        <v>VerifyExpiredSettledGrid</v>
      </c>
      <c r="T4" s="19" t="str">
        <f ca="1">IFERROR(__xludf.DUMMYFUNCTION("""COMPUTED_VALUE"""),"VerifyUnExpiredUnSettledGrid")</f>
        <v>VerifyUnExpiredUnSettledGrid</v>
      </c>
      <c r="U4" s="19" t="str">
        <f ca="1">IFERROR(__xludf.DUMMYFUNCTION("""COMPUTED_VALUE"""),"UnWindTradeSettlement")</f>
        <v>UnWindTradeSettlement</v>
      </c>
      <c r="V4" s="19" t="str">
        <f ca="1">IFERROR(__xludf.DUMMYFUNCTION("""COMPUTED_VALUE"""),"CloseOrder")</f>
        <v>CloseOrder</v>
      </c>
      <c r="W4" s="19" t="str">
        <f ca="1">IFERROR(__xludf.DUMMYFUNCTION("""COMPUTED_VALUE"""),"VerifyCloseOrder")</f>
        <v>VerifyCloseOrder</v>
      </c>
      <c r="X4" s="19" t="str">
        <f ca="1">IFERROR(__xludf.DUMMYFUNCTION("""COMPUTED_VALUE"""),"UnWindCloseOrder")</f>
        <v>UnWindCloseOrder</v>
      </c>
      <c r="Y4" s="19" t="str">
        <f ca="1">IFERROR(__xludf.DUMMYFUNCTION("""COMPUTED_VALUE"""),"ClosingCleanUp")</f>
        <v>ClosingCleanUp</v>
      </c>
      <c r="Z4" s="19" t="str">
        <f ca="1">IFERROR(__xludf.DUMMYFUNCTION("""COMPUTED_VALUE"""),"CloseClosingUI")</f>
        <v>CloseClosingUI</v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60</v>
      </c>
      <c r="C6" s="1"/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61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37</v>
      </c>
      <c r="C6" s="26"/>
      <c r="D6" s="25"/>
      <c r="E6" s="26"/>
      <c r="F6" s="26"/>
      <c r="G6" s="26"/>
      <c r="H6" s="26"/>
      <c r="I6" s="26"/>
      <c r="J6" s="26"/>
      <c r="K6" s="26"/>
      <c r="L6" s="49">
        <v>100</v>
      </c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50">
        <v>100</v>
      </c>
      <c r="AF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50">
        <v>100</v>
      </c>
      <c r="BK6" s="28"/>
      <c r="BL6" s="28"/>
      <c r="BN6" s="28"/>
      <c r="BO6" s="28" t="s">
        <v>49</v>
      </c>
      <c r="BP6" s="28"/>
      <c r="BQ6" s="28"/>
      <c r="BR6" s="28"/>
      <c r="BS6" s="28"/>
      <c r="BT6" s="28" t="s">
        <v>47</v>
      </c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</row>
    <row r="7" spans="1:154" ht="15.75" customHeight="1">
      <c r="A7" s="28"/>
      <c r="B7" s="28" t="s">
        <v>48</v>
      </c>
      <c r="C7" s="28"/>
      <c r="D7" s="28"/>
      <c r="E7" s="28"/>
      <c r="F7" s="28"/>
      <c r="G7" s="28"/>
      <c r="H7" s="28"/>
      <c r="I7" s="28"/>
      <c r="J7" s="28"/>
      <c r="K7" s="28"/>
      <c r="L7" s="48">
        <v>100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50">
        <v>100</v>
      </c>
      <c r="AF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50">
        <v>100</v>
      </c>
      <c r="BK7" s="28"/>
      <c r="BL7" s="28"/>
      <c r="BN7" s="28"/>
      <c r="BO7" s="28" t="s">
        <v>49</v>
      </c>
      <c r="BP7" s="28"/>
      <c r="BQ7" s="28"/>
      <c r="BR7" s="28"/>
      <c r="BS7" s="28"/>
      <c r="BT7" s="28" t="s">
        <v>47</v>
      </c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</row>
    <row r="8" spans="1:154" ht="15.75" customHeight="1">
      <c r="A8" s="28"/>
      <c r="B8" s="28" t="s">
        <v>63</v>
      </c>
      <c r="C8" s="28"/>
      <c r="D8" s="28"/>
      <c r="E8" s="28"/>
      <c r="F8" s="28"/>
      <c r="G8" s="28"/>
      <c r="H8" s="28"/>
      <c r="I8" s="28"/>
      <c r="J8" s="28"/>
      <c r="K8" s="28"/>
      <c r="L8" s="48">
        <v>100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50">
        <v>100</v>
      </c>
      <c r="AF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50">
        <v>100</v>
      </c>
      <c r="BK8" s="28"/>
      <c r="BL8" s="28"/>
      <c r="BN8" s="28"/>
      <c r="BO8" s="28" t="s">
        <v>49</v>
      </c>
      <c r="BP8" s="28"/>
      <c r="BQ8" s="28"/>
      <c r="BR8" s="28"/>
      <c r="BS8" s="28"/>
      <c r="BT8" s="28" t="s">
        <v>47</v>
      </c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</row>
    <row r="9" spans="1:154" ht="15.75" customHeight="1">
      <c r="A9" s="28"/>
      <c r="B9" s="28" t="s">
        <v>63</v>
      </c>
      <c r="C9" s="28"/>
      <c r="D9" s="28"/>
      <c r="E9" s="28"/>
      <c r="F9" s="28"/>
      <c r="G9" s="28"/>
      <c r="H9" s="28"/>
      <c r="I9" s="28"/>
      <c r="J9" s="28"/>
      <c r="K9" s="28"/>
      <c r="L9" s="48">
        <v>100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50">
        <v>100</v>
      </c>
      <c r="AF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50">
        <v>100</v>
      </c>
      <c r="BK9" s="28"/>
      <c r="BL9" s="28"/>
      <c r="BN9" s="28"/>
      <c r="BO9" s="28" t="s">
        <v>51</v>
      </c>
      <c r="BP9" s="28"/>
      <c r="BQ9" s="28"/>
      <c r="BR9" s="28"/>
      <c r="BS9" s="28"/>
      <c r="BT9" s="28" t="s">
        <v>50</v>
      </c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</row>
    <row r="10" spans="1:154" ht="15.75" customHeight="1">
      <c r="A10" s="28"/>
      <c r="B10" s="48" t="s">
        <v>63</v>
      </c>
      <c r="C10" s="28"/>
      <c r="D10" s="28"/>
      <c r="E10" s="28"/>
      <c r="F10" s="28"/>
      <c r="G10" s="28"/>
      <c r="H10" s="28"/>
      <c r="I10" s="28"/>
      <c r="J10" s="28"/>
      <c r="K10" s="28"/>
      <c r="L10" s="48">
        <v>100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48">
        <v>100</v>
      </c>
      <c r="AF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48">
        <v>100</v>
      </c>
      <c r="BK10" s="28"/>
      <c r="BL10" s="28"/>
      <c r="BN10" s="28"/>
      <c r="BO10" s="48" t="s">
        <v>53</v>
      </c>
      <c r="BP10" s="28"/>
      <c r="BQ10" s="28"/>
      <c r="BR10" s="28"/>
      <c r="BS10" s="28"/>
      <c r="BT10" s="48" t="s">
        <v>50</v>
      </c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</row>
    <row r="11" spans="1:154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</row>
    <row r="12" spans="1:154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</row>
    <row r="13" spans="1:154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F16" sqref="F1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58</v>
      </c>
      <c r="D3" s="2" t="s">
        <v>9</v>
      </c>
      <c r="E3" s="16" t="s">
        <v>62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IFERROR(__xludf.DUMMYFUNCTION("IF(C3="""","""",Transpose(IMPORTRANGE('_Settings'!$B$3,C3&amp;""!A4:A1000"")))"),"GetDataClosing")</f>
        <v>GetDataClosing</v>
      </c>
      <c r="C4" s="18" t="str">
        <f ca="1">IFERROR(__xludf.DUMMYFUNCTION("""COMPUTED_VALUE"""),"ManualClosing")</f>
        <v>ManualClosing</v>
      </c>
      <c r="D4" s="18" t="str">
        <f ca="1">IFERROR(__xludf.DUMMYFUNCTION("""COMPUTED_VALUE"""),"UnwindClosing")</f>
        <v>UnwindClosing</v>
      </c>
      <c r="E4" s="18" t="str">
        <f ca="1">IFERROR(__xludf.DUMMYFUNCTION("""COMPUTED_VALUE"""),"VerifyClosedTrades")</f>
        <v>VerifyClosedTrades</v>
      </c>
      <c r="F4" s="18" t="str">
        <f ca="1">IFERROR(__xludf.DUMMYFUNCTION("""COMPUTED_VALUE"""),"VerifyLongPositionsGrid")</f>
        <v>VerifyLongPositionsGrid</v>
      </c>
      <c r="G4" s="18" t="str">
        <f ca="1">IFERROR(__xludf.DUMMYFUNCTION("""COMPUTED_VALUE"""),"VerifyShortPositionsGrid")</f>
        <v>VerifyShortPositionsGrid</v>
      </c>
      <c r="H4" s="18" t="str">
        <f ca="1">IFERROR(__xludf.DUMMYFUNCTION("""COMPUTED_VALUE"""),"SelectTradeUnexpiredUnsettled")</f>
        <v>SelectTradeUnexpiredUnsettled</v>
      </c>
      <c r="I4" s="18" t="str">
        <f ca="1">IFERROR(__xludf.DUMMYFUNCTION("""COMPUTED_VALUE"""),"CashSettlementAtCost")</f>
        <v>CashSettlementAtCost</v>
      </c>
      <c r="J4" s="18" t="str">
        <f ca="1">IFERROR(__xludf.DUMMYFUNCTION("""COMPUTED_VALUE"""),"CashSettlementAtZeroPrice")</f>
        <v>CashSettlementAtZeroPrice</v>
      </c>
      <c r="K4" s="18" t="str">
        <f ca="1">IFERROR(__xludf.DUMMYFUNCTION("""COMPUTED_VALUE"""),"CashSettlementAtClosingDtSpotPx")</f>
        <v>CashSettlementAtClosingDtSpotPx</v>
      </c>
      <c r="L4" s="18" t="str">
        <f ca="1">IFERROR(__xludf.DUMMYFUNCTION("""COMPUTED_VALUE"""),"PhysicalSettlement")</f>
        <v>PhysicalSettlement</v>
      </c>
      <c r="M4" s="18" t="str">
        <f ca="1">IFERROR(__xludf.DUMMYFUNCTION("""COMPUTED_VALUE"""),"AutomaticClosing")</f>
        <v>AutomaticClosing</v>
      </c>
      <c r="N4" s="18" t="str">
        <f ca="1">IFERROR(__xludf.DUMMYFUNCTION("""COMPUTED_VALUE"""),"Expire")</f>
        <v>Expire</v>
      </c>
      <c r="O4" s="18" t="str">
        <f ca="1">IFERROR(__xludf.DUMMYFUNCTION("""COMPUTED_VALUE"""),"ExerciseAssignment")</f>
        <v>ExerciseAssignment</v>
      </c>
      <c r="P4" s="19" t="str">
        <f ca="1">IFERROR(__xludf.DUMMYFUNCTION("""COMPUTED_VALUE"""),"ExerciseAssignmentAtZero")</f>
        <v>ExerciseAssignmentAtZero</v>
      </c>
      <c r="Q4" s="19" t="str">
        <f ca="1">IFERROR(__xludf.DUMMYFUNCTION("""COMPUTED_VALUE"""),"SwapExpireAndRollover")</f>
        <v>SwapExpireAndRollover</v>
      </c>
      <c r="R4" s="19" t="str">
        <f ca="1">IFERROR(__xludf.DUMMYFUNCTION("""COMPUTED_VALUE"""),"SwapExpire")</f>
        <v>SwapExpire</v>
      </c>
      <c r="S4" s="19" t="str">
        <f ca="1">IFERROR(__xludf.DUMMYFUNCTION("""COMPUTED_VALUE"""),"VerifyExpiredSettledGrid")</f>
        <v>VerifyExpiredSettledGrid</v>
      </c>
      <c r="T4" s="19" t="str">
        <f ca="1">IFERROR(__xludf.DUMMYFUNCTION("""COMPUTED_VALUE"""),"VerifyUnExpiredUnSettledGrid")</f>
        <v>VerifyUnExpiredUnSettledGrid</v>
      </c>
      <c r="U4" s="19" t="str">
        <f ca="1">IFERROR(__xludf.DUMMYFUNCTION("""COMPUTED_VALUE"""),"UnWindTradeSettlement")</f>
        <v>UnWindTradeSettlement</v>
      </c>
      <c r="V4" s="19" t="str">
        <f ca="1">IFERROR(__xludf.DUMMYFUNCTION("""COMPUTED_VALUE"""),"CloseOrder")</f>
        <v>CloseOrder</v>
      </c>
      <c r="W4" s="19" t="str">
        <f ca="1">IFERROR(__xludf.DUMMYFUNCTION("""COMPUTED_VALUE"""),"VerifyCloseOrder")</f>
        <v>VerifyCloseOrder</v>
      </c>
      <c r="X4" s="19" t="str">
        <f ca="1">IFERROR(__xludf.DUMMYFUNCTION("""COMPUTED_VALUE"""),"UnWindCloseOrder")</f>
        <v>UnWindCloseOrder</v>
      </c>
      <c r="Y4" s="19" t="str">
        <f ca="1">IFERROR(__xludf.DUMMYFUNCTION("""COMPUTED_VALUE"""),"ClosingCleanUp")</f>
        <v>ClosingCleanUp</v>
      </c>
      <c r="Z4" s="19" t="str">
        <f ca="1">IFERROR(__xludf.DUMMYFUNCTION("""COMPUTED_VALUE"""),"CloseClosingUI")</f>
        <v>CloseClosingUI</v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IFERROR(D18__xludf.DUMMYFUNCTION("""COMPUTED_VALUE"""),"Asset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51" t="s">
        <v>37</v>
      </c>
      <c r="C6" s="51" t="s">
        <v>39</v>
      </c>
      <c r="D6" s="25"/>
      <c r="E6" s="26"/>
      <c r="F6" s="26"/>
      <c r="G6" s="26"/>
      <c r="H6" s="26"/>
      <c r="I6" s="51">
        <v>100</v>
      </c>
      <c r="J6" s="26"/>
      <c r="K6" s="26"/>
      <c r="L6" s="26"/>
      <c r="M6" s="51">
        <v>100</v>
      </c>
      <c r="N6" s="26"/>
      <c r="O6" s="26"/>
      <c r="P6" s="51" t="s">
        <v>49</v>
      </c>
      <c r="Q6" s="28"/>
      <c r="R6" s="51" t="s">
        <v>47</v>
      </c>
      <c r="S6" s="26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spans="1:154" ht="15.75" customHeight="1">
      <c r="A7" s="28"/>
      <c r="B7" s="51" t="s">
        <v>48</v>
      </c>
      <c r="C7" s="51" t="s">
        <v>39</v>
      </c>
      <c r="D7" s="28"/>
      <c r="E7" s="28"/>
      <c r="F7" s="28"/>
      <c r="G7" s="28"/>
      <c r="H7" s="28"/>
      <c r="I7" s="51">
        <v>100</v>
      </c>
      <c r="J7" s="28"/>
      <c r="K7" s="28"/>
      <c r="L7" s="28"/>
      <c r="M7" s="51">
        <v>100</v>
      </c>
      <c r="N7" s="28"/>
      <c r="O7" s="28"/>
      <c r="P7" s="51" t="s">
        <v>49</v>
      </c>
      <c r="Q7" s="28"/>
      <c r="R7" s="51" t="s">
        <v>47</v>
      </c>
      <c r="S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 spans="1:154" ht="15.75" customHeight="1">
      <c r="A8" s="28"/>
      <c r="B8" s="51" t="s">
        <v>38</v>
      </c>
      <c r="C8" s="51" t="s">
        <v>39</v>
      </c>
      <c r="D8" s="28"/>
      <c r="E8" s="28"/>
      <c r="F8" s="28"/>
      <c r="G8" s="28"/>
      <c r="H8" s="28"/>
      <c r="I8" s="51">
        <v>100</v>
      </c>
      <c r="J8" s="28"/>
      <c r="K8" s="28"/>
      <c r="L8" s="28"/>
      <c r="M8" s="51">
        <v>40</v>
      </c>
      <c r="N8" s="28"/>
      <c r="O8" s="28"/>
      <c r="P8" s="51" t="s">
        <v>49</v>
      </c>
      <c r="Q8" s="28"/>
      <c r="R8" s="51" t="s">
        <v>47</v>
      </c>
      <c r="S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spans="1:154" ht="15.75" customHeight="1">
      <c r="A9" s="28"/>
      <c r="B9" s="51" t="s">
        <v>48</v>
      </c>
      <c r="C9" s="51" t="s">
        <v>39</v>
      </c>
      <c r="D9" s="28"/>
      <c r="E9" s="28"/>
      <c r="F9" s="28"/>
      <c r="G9" s="28"/>
      <c r="H9" s="28"/>
      <c r="I9" s="51">
        <v>100</v>
      </c>
      <c r="J9" s="28"/>
      <c r="K9" s="28"/>
      <c r="L9" s="28"/>
      <c r="M9" s="51">
        <v>60</v>
      </c>
      <c r="N9" s="28"/>
      <c r="O9" s="28"/>
      <c r="P9" s="51" t="s">
        <v>49</v>
      </c>
      <c r="Q9" s="28"/>
      <c r="R9" s="51" t="s">
        <v>47</v>
      </c>
      <c r="S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 spans="1:154" ht="15.75" customHeight="1">
      <c r="A10" s="28"/>
      <c r="B10" s="51" t="s">
        <v>38</v>
      </c>
      <c r="C10" s="51" t="s">
        <v>27</v>
      </c>
      <c r="D10" s="28"/>
      <c r="E10" s="28"/>
      <c r="F10" s="28"/>
      <c r="G10" s="28"/>
      <c r="H10" s="28"/>
      <c r="I10" s="51">
        <v>100</v>
      </c>
      <c r="J10" s="28"/>
      <c r="K10" s="28"/>
      <c r="L10" s="28"/>
      <c r="M10" s="51">
        <v>18</v>
      </c>
      <c r="N10" s="28"/>
      <c r="O10" s="28"/>
      <c r="P10" s="51" t="s">
        <v>51</v>
      </c>
      <c r="Q10" s="28"/>
      <c r="R10" s="51" t="s">
        <v>50</v>
      </c>
      <c r="S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</row>
    <row r="11" spans="1:154" ht="15.75" customHeight="1">
      <c r="A11" s="28"/>
      <c r="B11" s="51" t="s">
        <v>37</v>
      </c>
      <c r="C11" s="51" t="s">
        <v>27</v>
      </c>
      <c r="D11" s="28"/>
      <c r="E11" s="28"/>
      <c r="F11" s="28"/>
      <c r="G11" s="28"/>
      <c r="H11" s="28"/>
      <c r="I11" s="51">
        <v>100</v>
      </c>
      <c r="J11" s="28"/>
      <c r="K11" s="28"/>
      <c r="L11" s="28"/>
      <c r="M11" s="51">
        <v>22</v>
      </c>
      <c r="N11" s="28"/>
      <c r="O11" s="28"/>
      <c r="P11" s="51" t="s">
        <v>51</v>
      </c>
      <c r="Q11" s="28"/>
      <c r="R11" s="51" t="s">
        <v>50</v>
      </c>
      <c r="S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154" ht="15.75" customHeight="1">
      <c r="A12" s="28"/>
      <c r="B12" s="51" t="s">
        <v>33</v>
      </c>
      <c r="C12" s="51" t="s">
        <v>27</v>
      </c>
      <c r="D12" s="28"/>
      <c r="E12" s="28"/>
      <c r="F12" s="28"/>
      <c r="G12" s="28"/>
      <c r="H12" s="28"/>
      <c r="I12" s="51">
        <v>100</v>
      </c>
      <c r="J12" s="28"/>
      <c r="K12" s="28"/>
      <c r="L12" s="28"/>
      <c r="M12" s="51">
        <v>30</v>
      </c>
      <c r="N12" s="28"/>
      <c r="O12" s="28"/>
      <c r="P12" s="51" t="s">
        <v>51</v>
      </c>
      <c r="Q12" s="28"/>
      <c r="R12" s="51" t="s">
        <v>50</v>
      </c>
      <c r="S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</row>
    <row r="13" spans="1:154" ht="15.75" customHeight="1">
      <c r="A13" s="28"/>
      <c r="B13" s="51" t="s">
        <v>48</v>
      </c>
      <c r="C13" s="51" t="s">
        <v>27</v>
      </c>
      <c r="D13" s="28"/>
      <c r="E13" s="28"/>
      <c r="F13" s="28"/>
      <c r="G13" s="28"/>
      <c r="H13" s="28"/>
      <c r="I13" s="51">
        <v>100</v>
      </c>
      <c r="J13" s="28"/>
      <c r="K13" s="28"/>
      <c r="L13" s="28"/>
      <c r="M13" s="51">
        <v>30</v>
      </c>
      <c r="N13" s="28"/>
      <c r="O13" s="28"/>
      <c r="P13" s="51" t="s">
        <v>51</v>
      </c>
      <c r="Q13" s="28"/>
      <c r="R13" s="51" t="s">
        <v>50</v>
      </c>
      <c r="S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</row>
    <row r="14" spans="1:15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154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spans="1:154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</row>
    <row r="17" spans="1:33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</row>
    <row r="18" spans="1:33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33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33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33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33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3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33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3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33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33" ht="15.75" customHeight="1"/>
    <row r="28" spans="1:33" ht="15.75" customHeight="1"/>
    <row r="29" spans="1:33" ht="15.75" customHeight="1"/>
    <row r="30" spans="1:33" ht="15.75" customHeight="1"/>
    <row r="31" spans="1:33" ht="15.75" customHeight="1"/>
    <row r="32" spans="1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E12" sqref="E12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58</v>
      </c>
      <c r="D3" s="2" t="s">
        <v>9</v>
      </c>
      <c r="E3" s="16" t="s">
        <v>64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IFERROR(__xludf.DUMMYFUNCTION("IF(C3="""","""",Transpose(IMPORTRANGE('_Settings'!$B$3,C3&amp;""!A4:A1000"")))"),"GetDataClosing")</f>
        <v>GetDataClosing</v>
      </c>
      <c r="C4" s="18" t="str">
        <f ca="1">IFERROR(__xludf.DUMMYFUNCTION("""COMPUTED_VALUE"""),"ManualClosing")</f>
        <v>ManualClosing</v>
      </c>
      <c r="D4" s="18" t="str">
        <f ca="1">IFERROR(__xludf.DUMMYFUNCTION("""COMPUTED_VALUE"""),"UnwindClosing")</f>
        <v>UnwindClosing</v>
      </c>
      <c r="E4" s="18" t="str">
        <f ca="1">IFERROR(__xludf.DUMMYFUNCTION("""COMPUTED_VALUE"""),"VerifyClosedTrades")</f>
        <v>VerifyClosedTrades</v>
      </c>
      <c r="F4" s="18" t="str">
        <f ca="1">IFERROR(__xludf.DUMMYFUNCTION("""COMPUTED_VALUE"""),"VerifyLongPositionsGrid")</f>
        <v>VerifyLongPositionsGrid</v>
      </c>
      <c r="G4" s="18" t="str">
        <f ca="1">IFERROR(__xludf.DUMMYFUNCTION("""COMPUTED_VALUE"""),"VerifyShortPositionsGrid")</f>
        <v>VerifyShortPositionsGrid</v>
      </c>
      <c r="H4" s="18" t="str">
        <f ca="1">IFERROR(__xludf.DUMMYFUNCTION("""COMPUTED_VALUE"""),"SelectTradeUnexpiredUnsettled")</f>
        <v>SelectTradeUnexpiredUnsettled</v>
      </c>
      <c r="I4" s="18" t="str">
        <f ca="1">IFERROR(__xludf.DUMMYFUNCTION("""COMPUTED_VALUE"""),"CashSettlementAtCost")</f>
        <v>CashSettlementAtCost</v>
      </c>
      <c r="J4" s="18" t="str">
        <f ca="1">IFERROR(__xludf.DUMMYFUNCTION("""COMPUTED_VALUE"""),"CashSettlementAtZeroPrice")</f>
        <v>CashSettlementAtZeroPrice</v>
      </c>
      <c r="K4" s="18" t="str">
        <f ca="1">IFERROR(__xludf.DUMMYFUNCTION("""COMPUTED_VALUE"""),"CashSettlementAtClosingDtSpotPx")</f>
        <v>CashSettlementAtClosingDtSpotPx</v>
      </c>
      <c r="L4" s="18" t="str">
        <f ca="1">IFERROR(__xludf.DUMMYFUNCTION("""COMPUTED_VALUE"""),"PhysicalSettlement")</f>
        <v>PhysicalSettlement</v>
      </c>
      <c r="M4" s="18" t="str">
        <f ca="1">IFERROR(__xludf.DUMMYFUNCTION("""COMPUTED_VALUE"""),"AutomaticClosing")</f>
        <v>AutomaticClosing</v>
      </c>
      <c r="N4" s="18" t="str">
        <f ca="1">IFERROR(__xludf.DUMMYFUNCTION("""COMPUTED_VALUE"""),"Expire")</f>
        <v>Expire</v>
      </c>
      <c r="O4" s="18" t="str">
        <f ca="1">IFERROR(__xludf.DUMMYFUNCTION("""COMPUTED_VALUE"""),"ExerciseAssignment")</f>
        <v>ExerciseAssignment</v>
      </c>
      <c r="P4" s="19" t="str">
        <f ca="1">IFERROR(__xludf.DUMMYFUNCTION("""COMPUTED_VALUE"""),"ExerciseAssignmentAtZero")</f>
        <v>ExerciseAssignmentAtZero</v>
      </c>
      <c r="Q4" s="19" t="str">
        <f ca="1">IFERROR(__xludf.DUMMYFUNCTION("""COMPUTED_VALUE"""),"SwapExpireAndRollover")</f>
        <v>SwapExpireAndRollover</v>
      </c>
      <c r="R4" s="19" t="str">
        <f ca="1">IFERROR(__xludf.DUMMYFUNCTION("""COMPUTED_VALUE"""),"SwapExpire")</f>
        <v>SwapExpire</v>
      </c>
      <c r="S4" s="19" t="str">
        <f ca="1">IFERROR(__xludf.DUMMYFUNCTION("""COMPUTED_VALUE"""),"VerifyExpiredSettledGrid")</f>
        <v>VerifyExpiredSettledGrid</v>
      </c>
      <c r="T4" s="19" t="str">
        <f ca="1">IFERROR(__xludf.DUMMYFUNCTION("""COMPUTED_VALUE"""),"VerifyUnExpiredUnSettledGrid")</f>
        <v>VerifyUnExpiredUnSettledGrid</v>
      </c>
      <c r="U4" s="19" t="str">
        <f ca="1">IFERROR(__xludf.DUMMYFUNCTION("""COMPUTED_VALUE"""),"UnWindTradeSettlement")</f>
        <v>UnWindTradeSettlement</v>
      </c>
      <c r="V4" s="19" t="str">
        <f ca="1">IFERROR(__xludf.DUMMYFUNCTION("""COMPUTED_VALUE"""),"CloseOrder")</f>
        <v>CloseOrder</v>
      </c>
      <c r="W4" s="19" t="str">
        <f ca="1">IFERROR(__xludf.DUMMYFUNCTION("""COMPUTED_VALUE"""),"VerifyCloseOrder")</f>
        <v>VerifyCloseOrder</v>
      </c>
      <c r="X4" s="19" t="str">
        <f ca="1">IFERROR(__xludf.DUMMYFUNCTION("""COMPUTED_VALUE"""),"UnWindCloseOrder")</f>
        <v>UnWindCloseOrder</v>
      </c>
      <c r="Y4" s="19" t="str">
        <f ca="1">IFERROR(__xludf.DUMMYFUNCTION("""COMPUTED_VALUE"""),"ClosingCleanUp")</f>
        <v>ClosingCleanUp</v>
      </c>
      <c r="Z4" s="19" t="str">
        <f ca="1">IFERROR(__xludf.DUMMYFUNCTION("""COMPUTED_VALUE"""),"CloseClosingUI")</f>
        <v>CloseClosingUI</v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51" t="s">
        <v>38</v>
      </c>
      <c r="C6" s="26"/>
      <c r="D6" s="25"/>
      <c r="E6" s="26"/>
      <c r="F6" s="26"/>
      <c r="G6" s="26"/>
      <c r="H6" s="26"/>
      <c r="I6" s="49">
        <v>100</v>
      </c>
      <c r="J6" s="26"/>
      <c r="K6" s="26"/>
      <c r="L6" s="26"/>
      <c r="M6" s="51">
        <v>18</v>
      </c>
      <c r="N6" s="26"/>
      <c r="O6" s="26"/>
      <c r="P6" s="51" t="s">
        <v>53</v>
      </c>
      <c r="Q6" s="28"/>
      <c r="R6" s="28" t="s">
        <v>50</v>
      </c>
      <c r="S6" s="26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</row>
    <row r="7" spans="1:154" ht="15.75" customHeight="1">
      <c r="A7" s="28"/>
      <c r="B7" s="51" t="s">
        <v>37</v>
      </c>
      <c r="C7" s="28"/>
      <c r="D7" s="28"/>
      <c r="E7" s="28"/>
      <c r="F7" s="28"/>
      <c r="G7" s="28"/>
      <c r="H7" s="28"/>
      <c r="I7" s="48">
        <v>100</v>
      </c>
      <c r="J7" s="28"/>
      <c r="K7" s="28"/>
      <c r="L7" s="28"/>
      <c r="M7" s="51">
        <v>22</v>
      </c>
      <c r="N7" s="28"/>
      <c r="O7" s="28"/>
      <c r="P7" s="51" t="s">
        <v>53</v>
      </c>
      <c r="Q7" s="28"/>
      <c r="R7" s="28" t="s">
        <v>50</v>
      </c>
      <c r="S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</row>
    <row r="8" spans="1:154" ht="15.75" customHeight="1">
      <c r="A8" s="28"/>
      <c r="B8" s="51" t="s">
        <v>33</v>
      </c>
      <c r="C8" s="28"/>
      <c r="D8" s="28"/>
      <c r="E8" s="28"/>
      <c r="F8" s="28"/>
      <c r="G8" s="28"/>
      <c r="H8" s="28"/>
      <c r="I8" s="48">
        <v>100</v>
      </c>
      <c r="J8" s="28"/>
      <c r="K8" s="28"/>
      <c r="L8" s="28"/>
      <c r="M8" s="51">
        <v>30</v>
      </c>
      <c r="N8" s="28"/>
      <c r="O8" s="28"/>
      <c r="P8" s="51" t="s">
        <v>53</v>
      </c>
      <c r="Q8" s="28"/>
      <c r="R8" s="28" t="s">
        <v>50</v>
      </c>
      <c r="S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</row>
    <row r="9" spans="1:154" ht="15.75" customHeight="1">
      <c r="A9" s="28"/>
      <c r="B9" s="51" t="s">
        <v>48</v>
      </c>
      <c r="C9" s="28"/>
      <c r="D9" s="28"/>
      <c r="E9" s="28"/>
      <c r="F9" s="28"/>
      <c r="G9" s="28"/>
      <c r="H9" s="28"/>
      <c r="I9" s="48">
        <v>100</v>
      </c>
      <c r="J9" s="28"/>
      <c r="K9" s="28"/>
      <c r="L9" s="28"/>
      <c r="M9" s="51">
        <v>30</v>
      </c>
      <c r="N9" s="28"/>
      <c r="O9" s="28"/>
      <c r="P9" s="51" t="s">
        <v>53</v>
      </c>
      <c r="Q9" s="28"/>
      <c r="R9" s="28" t="s">
        <v>50</v>
      </c>
      <c r="S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</row>
    <row r="10" spans="1:154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</row>
    <row r="11" spans="1:154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</row>
    <row r="12" spans="1:154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</row>
    <row r="2" spans="1:169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69" ht="15.75" customHeight="1">
      <c r="A3" s="15"/>
      <c r="B3" s="2" t="s">
        <v>6</v>
      </c>
      <c r="C3" s="16" t="s">
        <v>65</v>
      </c>
      <c r="D3" s="2" t="s">
        <v>9</v>
      </c>
      <c r="E3" s="16" t="s">
        <v>66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</row>
    <row r="4" spans="1:169" ht="15.75" customHeight="1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IFERROR(__xludf.DUMMYFUNCTION("""COMPUTED_VALUE"""),"OpenPTTFromPM")</f>
        <v>OpenPTTFromPM</v>
      </c>
      <c r="G4" s="18" t="str">
        <f ca="1">IFERROR(__xludf.DUMMYFUNCTION("""COMPUTED_VALUE"""),"FilterPM")</f>
        <v>FilterPM</v>
      </c>
      <c r="H4" s="18" t="str">
        <f ca="1">IFERROR(__xludf.DUMMYFUNCTION("""COMPUTED_VALUE"""),"GroupRowPM")</f>
        <v>GroupRowPM</v>
      </c>
      <c r="I4" s="18" t="str">
        <f ca="1">IFERROR(__xludf.DUMMYFUNCTION("""COMPUTED_VALUE"""),"CheckDashboardWithPM")</f>
        <v>CheckDashboardWithPM</v>
      </c>
      <c r="J4" s="18" t="str">
        <f ca="1">IFERROR(__xludf.DUMMYFUNCTION("""COMPUTED_VALUE"""),"RemoveFilterPM")</f>
        <v>RemoveFilterPM</v>
      </c>
      <c r="K4" s="18" t="str">
        <f ca="1">IFERROR(__xludf.DUMMYFUNCTION("""COMPUTED_VALUE"""),"CheckSummaryRowsPM")</f>
        <v>CheckSummaryRowsPM</v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  <c r="FL4" s="19" t="str">
        <f ca="1">IFERROR(__xludf.DUMMYFUNCTION("""COMPUTED_VALUE"""),"")</f>
        <v/>
      </c>
      <c r="FM4" s="19" t="str">
        <f ca="1">IFERROR(__xludf.DUMMYFUNCTION("""COMPUTED_VALUE"""),"")</f>
        <v/>
      </c>
    </row>
    <row r="5" spans="1:169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Outstanding")</f>
        <v>Shares Outstanding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IFERROR(__xludf.DUMMYFUNCTION("""COMPUTED_VALUE"""),"% Day Return (Gross MV)")</f>
        <v>% Day Return (Gross MV)</v>
      </c>
      <c r="CU5" s="23" t="str">
        <f ca="1">IFERROR(__xludf.DUMMYFUNCTION("""COMPUTED_VALUE"""),"Trade Attribute 3")</f>
        <v>Trade Attribute 3</v>
      </c>
      <c r="CV5" s="23" t="str">
        <f ca="1">IFERROR(__xludf.DUMMYFUNCTION("""COMPUTED_VALUE"""),"Trade Attribute 4")</f>
        <v>Trade Attribute 4</v>
      </c>
      <c r="CW5" s="23" t="str">
        <f ca="1">IFERROR(__xludf.DUMMYFUNCTION("""COMPUTED_VALUE"""),"Trade Attribute 5")</f>
        <v>Trade Attribute 5</v>
      </c>
      <c r="CX5" s="23" t="str">
        <f ca="1">IFERROR(__xludf.DUMMYFUNCTION("""COMPUTED_VALUE"""),"Trade Attribute 6")</f>
        <v>Trade Attribute 6</v>
      </c>
      <c r="CY5" s="23" t="str">
        <f ca="1">IFERROR(__xludf.DUMMYFUNCTION("""COMPUTED_VALUE"""),"Proxy Symbol")</f>
        <v>Proxy Symbol</v>
      </c>
      <c r="CZ5" s="23" t="str">
        <f ca="1">IFERROR(__xludf.DUMMYFUNCTION("""COMPUTED_VALUE"""),"Pricing Source")</f>
        <v>Pricing Source</v>
      </c>
      <c r="DA5" s="23" t="str">
        <f ca="1">IFERROR(__xludf.DUMMYFUNCTION("""COMPUTED_VALUE"""),"Delta Source")</f>
        <v>Delta Source</v>
      </c>
      <c r="DB5" s="23" t="str">
        <f ca="1">IFERROR(__xludf.DUMMYFUNCTION("""COMPUTED_VALUE"""),"Gross Exposure (Local)")</f>
        <v>Gross Exposure (Local)</v>
      </c>
      <c r="DC5" s="23" t="str">
        <f ca="1">IFERROR(__xludf.DUMMYFUNCTION("""COMPUTED_VALUE"""),"% Day P&amp;L (Net MV)")</f>
        <v>% Day P&amp;L (Net MV)</v>
      </c>
      <c r="DD5" s="23" t="str">
        <f ca="1">IFERROR(__xludf.DUMMYFUNCTION("""COMPUTED_VALUE"""),"Expiration Month")</f>
        <v>Expiration Month</v>
      </c>
      <c r="DE5" s="23" t="str">
        <f ca="1">IFERROR(__xludf.DUMMYFUNCTION("""COMPUTED_VALUE"""),"Delta Adj. Position (LME)")</f>
        <v>Delta Adj. Position (LME)</v>
      </c>
      <c r="DF5" s="23" t="str">
        <f ca="1">IFERROR(__xludf.DUMMYFUNCTION("""COMPUTED_VALUE"""),"Premium")</f>
        <v>Premium</v>
      </c>
      <c r="DG5" s="23" t="str">
        <f ca="1">IFERROR(__xludf.DUMMYFUNCTION("""COMPUTED_VALUE"""),"Premium $")</f>
        <v>Premium $</v>
      </c>
      <c r="DH5" s="23" t="str">
        <f ca="1">IFERROR(__xludf.DUMMYFUNCTION("""COMPUTED_VALUE"""),"Forward Points")</f>
        <v>Forward Points</v>
      </c>
      <c r="DI5" s="23" t="str">
        <f ca="1">IFERROR(__xludf.DUMMYFUNCTION("""COMPUTED_VALUE"""),"Closing Mark (Underlying)")</f>
        <v>Closing Mark (Underlying)</v>
      </c>
      <c r="DJ5" s="23" t="str">
        <f ca="1">IFERROR(__xludf.DUMMYFUNCTION("""COMPUTED_VALUE"""),"% Change (Underlying Price)")</f>
        <v>% Change (Underlying Price)</v>
      </c>
      <c r="DK5" s="23" t="str">
        <f ca="1">IFERROR(__xludf.DUMMYFUNCTION("""COMPUTED_VALUE"""),"Transaction Type")</f>
        <v>Transaction Type</v>
      </c>
      <c r="DL5" s="23" t="str">
        <f ca="1">IFERROR(__xludf.DUMMYFUNCTION("""COMPUTED_VALUE"""),"Closing Market Value (Local)")</f>
        <v>Closing Market Value (Local)</v>
      </c>
      <c r="DM5" s="23" t="str">
        <f ca="1">IFERROR(__xludf.DUMMYFUNCTION("""COMPUTED_VALUE"""),"Closing Market Value (Base)")</f>
        <v>Closing Market Value (Base)</v>
      </c>
      <c r="DN5" s="23" t="str">
        <f ca="1">IFERROR(__xludf.DUMMYFUNCTION("""COMPUTED_VALUE"""),"Closing FX Rate")</f>
        <v>Closing FX Rate</v>
      </c>
      <c r="DO5" s="23" t="str">
        <f ca="1">IFERROR(__xludf.DUMMYFUNCTION("""COMPUTED_VALUE"""),"Change In Underlying Price")</f>
        <v>Change In Underlying Price</v>
      </c>
      <c r="DP5" s="23" t="str">
        <f ca="1">IFERROR(__xludf.DUMMYFUNCTION("""COMPUTED_VALUE"""),"RIC")</f>
        <v>RIC</v>
      </c>
      <c r="DQ5" s="23" t="str">
        <f ca="1">IFERROR(__xludf.DUMMYFUNCTION("""COMPUTED_VALUE"""),"Position Side Exposure (Boxed)")</f>
        <v>Position Side Exposure (Boxed)</v>
      </c>
      <c r="DR5" s="23" t="str">
        <f ca="1">IFERROR(__xludf.DUMMYFUNCTION("""COMPUTED_VALUE"""),"Analyst")</f>
        <v>Analyst</v>
      </c>
      <c r="DS5" s="23" t="str">
        <f ca="1">IFERROR(__xludf.DUMMYFUNCTION("""COMPUTED_VALUE"""),"Country Of Risk")</f>
        <v>Country Of Risk</v>
      </c>
      <c r="DT5" s="23" t="str">
        <f ca="1">IFERROR(__xludf.DUMMYFUNCTION("""COMPUTED_VALUE"""),"Custom UDA1")</f>
        <v>Custom UDA1</v>
      </c>
      <c r="DU5" s="23" t="str">
        <f ca="1">IFERROR(__xludf.DUMMYFUNCTION("""COMPUTED_VALUE"""),"Custom UDA2")</f>
        <v>Custom UDA2</v>
      </c>
      <c r="DV5" s="23" t="str">
        <f ca="1">IFERROR(__xludf.DUMMYFUNCTION("""COMPUTED_VALUE"""),"Custom UDA3")</f>
        <v>Custom UDA3</v>
      </c>
      <c r="DW5" s="23" t="str">
        <f ca="1">IFERROR(__xludf.DUMMYFUNCTION("""COMPUTED_VALUE"""),"Custom UDA4")</f>
        <v>Custom UDA4</v>
      </c>
      <c r="DX5" s="23" t="str">
        <f ca="1">IFERROR(__xludf.DUMMYFUNCTION("""COMPUTED_VALUE"""),"Custom UDA5")</f>
        <v>Custom UDA5</v>
      </c>
      <c r="DY5" s="23" t="str">
        <f ca="1">IFERROR(__xludf.DUMMYFUNCTION("""COMPUTED_VALUE"""),"Custom UDA6")</f>
        <v>Custom UDA6</v>
      </c>
      <c r="DZ5" s="23" t="str">
        <f ca="1">IFERROR(__xludf.DUMMYFUNCTION("""COMPUTED_VALUE"""),"Custom UDA7")</f>
        <v>Custom UDA7</v>
      </c>
      <c r="EA5" s="23" t="str">
        <f ca="1">IFERROR(__xludf.DUMMYFUNCTION("""COMPUTED_VALUE"""),"Issuer")</f>
        <v>Issuer</v>
      </c>
      <c r="EB5" s="23" t="str">
        <f ca="1">IFERROR(__xludf.DUMMYFUNCTION("""COMPUTED_VALUE"""),"Liquid Tag")</f>
        <v>Liquid Tag</v>
      </c>
      <c r="EC5" s="23" t="str">
        <f ca="1">IFERROR(__xludf.DUMMYFUNCTION("""COMPUTED_VALUE"""),"Market Cap UDA")</f>
        <v>Market Cap UDA</v>
      </c>
      <c r="ED5" s="23" t="str">
        <f ca="1">IFERROR(__xludf.DUMMYFUNCTION("""COMPUTED_VALUE"""),"Region")</f>
        <v>Region</v>
      </c>
      <c r="EE5" s="23" t="str">
        <f ca="1">IFERROR(__xludf.DUMMYFUNCTION("""COMPUTED_VALUE"""),"Risk Currency")</f>
        <v>Risk Currency</v>
      </c>
      <c r="EF5" s="23" t="str">
        <f ca="1">IFERROR(__xludf.DUMMYFUNCTION("""COMPUTED_VALUE"""),"UCITS Eligible Tag")</f>
        <v>UCITS Eligible Tag</v>
      </c>
      <c r="EG5" s="23" t="str">
        <f ca="1">IFERROR(__xludf.DUMMYFUNCTION("""COMPUTED_VALUE"""),"FX Rate (Display)")</f>
        <v>FX Rate (Display)</v>
      </c>
      <c r="EH5" s="23" t="str">
        <f ca="1">IFERROR(__xludf.DUMMYFUNCTION("""COMPUTED_VALUE"""),"% Net Exposure (Base)")</f>
        <v>% Net Exposure (Base)</v>
      </c>
      <c r="EI5" s="23" t="str">
        <f ca="1">IFERROR(__xludf.DUMMYFUNCTION("""COMPUTED_VALUE"""),"% Gross Exposure (Base)")</f>
        <v>% Gross Exposure (Base)</v>
      </c>
      <c r="EJ5" s="23" t="str">
        <f ca="1">IFERROR(__xludf.DUMMYFUNCTION("""COMPUTED_VALUE"""),"% Exposure (Base)")</f>
        <v>% Exposure (Base)</v>
      </c>
      <c r="EK5" s="23" t="str">
        <f ca="1">IFERROR(__xludf.DUMMYFUNCTION("""COMPUTED_VALUE"""),"% Gross Exposure (Underlying) (Base)")</f>
        <v>% Gross Exposure (Underlying) (Base)</v>
      </c>
      <c r="EL5" s="23" t="str">
        <f ca="1">IFERROR(__xludf.DUMMYFUNCTION("""COMPUTED_VALUE"""),"% Beta Adj. Gross Exposure (Base)")</f>
        <v>% Beta Adj. Gross Exposure (Base)</v>
      </c>
      <c r="EM5" s="23" t="str">
        <f ca="1">IFERROR(__xludf.DUMMYFUNCTION("""COMPUTED_VALUE"""),"Position Side Exposure (Underlying)")</f>
        <v>Position Side Exposure (Underlying)</v>
      </c>
      <c r="EN5" s="23" t="str">
        <f ca="1">IFERROR(__xludf.DUMMYFUNCTION("""COMPUTED_VALUE"""),"Gross Exposure (Underlying) (Base)")</f>
        <v>Gross Exposure (Underlying) (Base)</v>
      </c>
      <c r="EO5" s="23" t="str">
        <f ca="1">IFERROR(__xludf.DUMMYFUNCTION("""COMPUTED_VALUE"""),"Gross Exposure (Underlying)")</f>
        <v>Gross Exposure (Underlying)</v>
      </c>
      <c r="EP5" s="23" t="str">
        <f ca="1">IFERROR(__xludf.DUMMYFUNCTION("""COMPUTED_VALUE"""),"Day Return")</f>
        <v>Day Return</v>
      </c>
      <c r="EQ5" s="23" t="str">
        <f ca="1">IFERROR(__xludf.DUMMYFUNCTION("""COMPUTED_VALUE"""),"Start of Day NAV")</f>
        <v>Start of Day NAV</v>
      </c>
      <c r="ER5" s="23" t="str">
        <f ca="1">IFERROR(__xludf.DUMMYFUNCTION("""COMPUTED_VALUE"""),"% Gross Market Value (Base)")</f>
        <v>% Gross Market Value (Base)</v>
      </c>
      <c r="ES5" s="23" t="str">
        <f ca="1">IFERROR(__xludf.DUMMYFUNCTION("""COMPUTED_VALUE"""),"Beta Adj. Gross Exposure (Underlying) (Local)")</f>
        <v>Beta Adj. Gross Exposure (Underlying) (Local)</v>
      </c>
      <c r="ET5" s="23" t="str">
        <f ca="1">IFERROR(__xludf.DUMMYFUNCTION("""COMPUTED_VALUE"""),"NAV")</f>
        <v>NAV</v>
      </c>
      <c r="EU5" s="23" t="str">
        <f ca="1">IFERROR(__xludf.DUMMYFUNCTION("""COMPUTED_VALUE"""),"% P&amp;L Contribution")</f>
        <v>% P&amp;L Contribution</v>
      </c>
      <c r="EV5" s="23" t="str">
        <f ca="1">IFERROR(__xludf.DUMMYFUNCTION("""COMPUTED_VALUE"""),"% Net Market Value (Base)")</f>
        <v>% Net Market Value (Base)</v>
      </c>
      <c r="EW5" s="23" t="str">
        <f ca="1">IFERROR(__xludf.DUMMYFUNCTION("""COMPUTED_VALUE"""),"Position Side Exposure")</f>
        <v>Position Side Exposure</v>
      </c>
      <c r="EX5" s="23" t="str">
        <f ca="1">IFERROR(__xludf.DUMMYFUNCTION("""COMPUTED_VALUE"""),"NAV (Touch)")</f>
        <v>NAV (Touch)</v>
      </c>
      <c r="EY5" s="23" t="str">
        <f ca="1">IFERROR(__xludf.DUMMYFUNCTION("""COMPUTED_VALUE"""),"IgnorePropertyChangeEvents")</f>
        <v>IgnorePropertyChangeEvents</v>
      </c>
      <c r="EZ5" s="23" t="str">
        <f ca="1">IFERROR(__xludf.DUMMYFUNCTION("""COMPUTED_VALUE"""),"Trade Attribute 1")</f>
        <v>Trade Attribute 1</v>
      </c>
      <c r="FA5" s="23" t="str">
        <f ca="1">IFERROR(__xludf.DUMMYFUNCTION("""COMPUTED_VALUE"""),"Trade Attribute 2")</f>
        <v>Trade Attribute 2</v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  <c r="FL5" s="23" t="str">
        <f ca="1">IFERROR(__xludf.DUMMYFUNCTION("""COMPUTED_VALUE"""),"")</f>
        <v/>
      </c>
      <c r="FM5" s="23" t="str">
        <f ca="1">IFERROR(__xludf.DUMMYFUNCTION("""COMPUTED_VALUE"""),"")</f>
        <v/>
      </c>
    </row>
    <row r="6" spans="1:169" ht="15.75" customHeight="1">
      <c r="A6" s="4"/>
      <c r="B6" s="4"/>
      <c r="C6" s="52" t="s">
        <v>47</v>
      </c>
      <c r="D6" s="53">
        <v>100</v>
      </c>
      <c r="E6" s="52" t="s">
        <v>37</v>
      </c>
      <c r="F6" s="52" t="s">
        <v>21</v>
      </c>
      <c r="G6" s="53">
        <v>100</v>
      </c>
      <c r="H6" s="52" t="s">
        <v>73</v>
      </c>
      <c r="I6" s="1"/>
      <c r="J6" s="1"/>
      <c r="K6" s="1"/>
      <c r="L6" s="1"/>
      <c r="M6" s="1"/>
      <c r="N6" s="1"/>
      <c r="O6" s="1"/>
      <c r="T6" s="52" t="s">
        <v>39</v>
      </c>
      <c r="AN6" s="52" t="s">
        <v>49</v>
      </c>
    </row>
    <row r="7" spans="1:169" ht="15.75" customHeight="1">
      <c r="A7" s="1"/>
      <c r="B7" s="1"/>
      <c r="C7" s="52" t="s">
        <v>50</v>
      </c>
      <c r="D7" s="53">
        <v>22</v>
      </c>
      <c r="E7" s="52" t="s">
        <v>37</v>
      </c>
      <c r="F7" s="52" t="s">
        <v>21</v>
      </c>
      <c r="G7" s="53">
        <v>100</v>
      </c>
      <c r="H7" s="52" t="s">
        <v>74</v>
      </c>
      <c r="I7" s="1"/>
      <c r="J7" s="1"/>
      <c r="K7" s="1"/>
      <c r="L7" s="1"/>
      <c r="M7" s="1"/>
      <c r="N7" s="1"/>
      <c r="O7" s="1"/>
      <c r="T7" s="52" t="s">
        <v>27</v>
      </c>
      <c r="AN7" s="52" t="s">
        <v>51</v>
      </c>
    </row>
    <row r="8" spans="1:169" ht="15.75" customHeight="1">
      <c r="A8" s="1"/>
      <c r="B8" s="1"/>
      <c r="C8" s="52" t="s">
        <v>50</v>
      </c>
      <c r="D8" s="53">
        <v>-22</v>
      </c>
      <c r="E8" s="52" t="s">
        <v>37</v>
      </c>
      <c r="F8" s="52" t="s">
        <v>21</v>
      </c>
      <c r="G8" s="53">
        <v>100</v>
      </c>
      <c r="H8" s="52" t="s">
        <v>74</v>
      </c>
      <c r="I8" s="1"/>
      <c r="J8" s="1"/>
      <c r="K8" s="1"/>
      <c r="L8" s="1"/>
      <c r="M8" s="1"/>
      <c r="N8" s="1"/>
      <c r="O8" s="1"/>
      <c r="T8" s="52" t="s">
        <v>27</v>
      </c>
      <c r="AN8" s="52" t="s">
        <v>53</v>
      </c>
    </row>
    <row r="9" spans="1:169" ht="15.75" customHeight="1">
      <c r="A9" s="1"/>
      <c r="B9" s="1"/>
      <c r="C9" s="52" t="s">
        <v>47</v>
      </c>
      <c r="D9" s="53">
        <v>100</v>
      </c>
      <c r="E9" s="52" t="s">
        <v>48</v>
      </c>
      <c r="F9" s="52" t="s">
        <v>19</v>
      </c>
      <c r="G9" s="53">
        <v>100</v>
      </c>
      <c r="H9" s="52" t="s">
        <v>73</v>
      </c>
      <c r="I9" s="1"/>
      <c r="J9" s="1"/>
      <c r="K9" s="1"/>
      <c r="L9" s="1"/>
      <c r="M9" s="1"/>
      <c r="N9" s="1"/>
      <c r="O9" s="1"/>
      <c r="T9" s="52" t="s">
        <v>39</v>
      </c>
      <c r="AN9" s="52" t="s">
        <v>49</v>
      </c>
    </row>
    <row r="10" spans="1:169" ht="15.75" customHeight="1">
      <c r="A10" s="1"/>
      <c r="B10" s="1"/>
      <c r="C10" s="52" t="s">
        <v>47</v>
      </c>
      <c r="D10" s="53">
        <v>60</v>
      </c>
      <c r="E10" s="52" t="s">
        <v>48</v>
      </c>
      <c r="F10" s="52" t="s">
        <v>19</v>
      </c>
      <c r="G10" s="53">
        <v>100</v>
      </c>
      <c r="H10" s="52" t="s">
        <v>73</v>
      </c>
      <c r="I10" s="1"/>
      <c r="J10" s="1"/>
      <c r="K10" s="1"/>
      <c r="L10" s="1"/>
      <c r="M10" s="1"/>
      <c r="N10" s="1"/>
      <c r="O10" s="1"/>
      <c r="T10" s="52" t="s">
        <v>39</v>
      </c>
      <c r="AN10" s="52" t="s">
        <v>49</v>
      </c>
    </row>
    <row r="11" spans="1:169" ht="15.75" customHeight="1">
      <c r="A11" s="1"/>
      <c r="B11" s="1"/>
      <c r="C11" s="52" t="s">
        <v>50</v>
      </c>
      <c r="D11" s="53">
        <v>30</v>
      </c>
      <c r="E11" s="52" t="s">
        <v>48</v>
      </c>
      <c r="F11" s="52" t="s">
        <v>19</v>
      </c>
      <c r="G11" s="53">
        <v>100</v>
      </c>
      <c r="H11" s="52" t="s">
        <v>74</v>
      </c>
      <c r="I11" s="1"/>
      <c r="J11" s="1"/>
      <c r="K11" s="1"/>
      <c r="L11" s="1"/>
      <c r="M11" s="1"/>
      <c r="N11" s="1"/>
      <c r="O11" s="1"/>
      <c r="T11" s="52" t="s">
        <v>27</v>
      </c>
      <c r="AN11" s="52" t="s">
        <v>51</v>
      </c>
    </row>
    <row r="12" spans="1:169" ht="15.75" customHeight="1">
      <c r="A12" s="1"/>
      <c r="B12" s="1"/>
      <c r="C12" s="52" t="s">
        <v>50</v>
      </c>
      <c r="D12" s="53">
        <v>-30</v>
      </c>
      <c r="E12" s="52" t="s">
        <v>48</v>
      </c>
      <c r="F12" s="52" t="s">
        <v>19</v>
      </c>
      <c r="G12" s="53">
        <v>100</v>
      </c>
      <c r="H12" s="52" t="s">
        <v>74</v>
      </c>
      <c r="I12" s="1"/>
      <c r="J12" s="1"/>
      <c r="K12" s="1"/>
      <c r="L12" s="1"/>
      <c r="M12" s="1"/>
      <c r="N12" s="1"/>
      <c r="O12" s="1"/>
      <c r="T12" s="52" t="s">
        <v>27</v>
      </c>
      <c r="AN12" s="52" t="s">
        <v>53</v>
      </c>
    </row>
    <row r="13" spans="1:169" ht="15.75" customHeight="1">
      <c r="A13" s="1"/>
      <c r="B13" s="1"/>
      <c r="C13" s="52" t="s">
        <v>47</v>
      </c>
      <c r="D13" s="53">
        <v>40</v>
      </c>
      <c r="E13" s="52" t="s">
        <v>38</v>
      </c>
      <c r="F13" s="52" t="s">
        <v>21</v>
      </c>
      <c r="G13" s="53">
        <v>100</v>
      </c>
      <c r="H13" s="52" t="s">
        <v>73</v>
      </c>
      <c r="I13" s="1"/>
      <c r="J13" s="1"/>
      <c r="K13" s="1"/>
      <c r="L13" s="1"/>
      <c r="M13" s="1"/>
      <c r="N13" s="1"/>
      <c r="O13" s="1"/>
      <c r="T13" s="52" t="s">
        <v>39</v>
      </c>
      <c r="AN13" s="52" t="s">
        <v>49</v>
      </c>
    </row>
    <row r="14" spans="1:169" ht="15.75" customHeight="1">
      <c r="A14" s="1"/>
      <c r="B14" s="1"/>
      <c r="C14" s="52" t="s">
        <v>50</v>
      </c>
      <c r="D14" s="53">
        <v>18</v>
      </c>
      <c r="E14" s="52" t="s">
        <v>38</v>
      </c>
      <c r="F14" s="52" t="s">
        <v>21</v>
      </c>
      <c r="G14" s="53">
        <v>100</v>
      </c>
      <c r="H14" s="52" t="s">
        <v>74</v>
      </c>
      <c r="I14" s="1"/>
      <c r="J14" s="1"/>
      <c r="K14" s="1"/>
      <c r="L14" s="1"/>
      <c r="M14" s="1"/>
      <c r="N14" s="1"/>
      <c r="O14" s="1"/>
      <c r="T14" s="52" t="s">
        <v>27</v>
      </c>
      <c r="AN14" s="52" t="s">
        <v>51</v>
      </c>
    </row>
    <row r="15" spans="1:169" ht="15.75" customHeight="1">
      <c r="A15" s="1"/>
      <c r="B15" s="1"/>
      <c r="C15" s="52" t="s">
        <v>50</v>
      </c>
      <c r="D15" s="53">
        <v>-18</v>
      </c>
      <c r="E15" s="52" t="s">
        <v>38</v>
      </c>
      <c r="F15" s="52" t="s">
        <v>21</v>
      </c>
      <c r="G15" s="53">
        <v>100</v>
      </c>
      <c r="H15" s="52" t="s">
        <v>74</v>
      </c>
      <c r="I15" s="1"/>
      <c r="J15" s="1"/>
      <c r="K15" s="1"/>
      <c r="L15" s="1"/>
      <c r="M15" s="1"/>
      <c r="N15" s="1"/>
      <c r="O15" s="1"/>
      <c r="T15" s="52" t="s">
        <v>27</v>
      </c>
      <c r="AN15" s="52" t="s">
        <v>53</v>
      </c>
    </row>
    <row r="16" spans="1:169" ht="15.75" customHeight="1">
      <c r="A16" s="1"/>
      <c r="B16" s="1"/>
      <c r="C16" s="52" t="s">
        <v>50</v>
      </c>
      <c r="D16" s="53">
        <v>30</v>
      </c>
      <c r="E16" s="52" t="s">
        <v>33</v>
      </c>
      <c r="F16" s="52" t="s">
        <v>19</v>
      </c>
      <c r="G16" s="53">
        <v>100</v>
      </c>
      <c r="H16" s="52" t="s">
        <v>74</v>
      </c>
      <c r="I16" s="1"/>
      <c r="J16" s="1"/>
      <c r="K16" s="1"/>
      <c r="L16" s="1"/>
      <c r="M16" s="1"/>
      <c r="N16" s="1"/>
      <c r="O16" s="1"/>
      <c r="T16" s="52" t="s">
        <v>27</v>
      </c>
      <c r="AN16" s="52" t="s">
        <v>51</v>
      </c>
    </row>
    <row r="17" spans="1:40" ht="15.75" customHeight="1">
      <c r="A17" s="1"/>
      <c r="B17" s="1"/>
      <c r="C17" s="52" t="s">
        <v>50</v>
      </c>
      <c r="D17" s="53">
        <v>-30</v>
      </c>
      <c r="E17" s="52" t="s">
        <v>33</v>
      </c>
      <c r="F17" s="52" t="s">
        <v>19</v>
      </c>
      <c r="G17" s="53">
        <v>100</v>
      </c>
      <c r="H17" s="52" t="s">
        <v>74</v>
      </c>
      <c r="I17" s="1"/>
      <c r="J17" s="1"/>
      <c r="K17" s="1"/>
      <c r="L17" s="1"/>
      <c r="M17" s="1"/>
      <c r="N17" s="1"/>
      <c r="O17" s="1"/>
      <c r="T17" s="52" t="s">
        <v>27</v>
      </c>
      <c r="AN17" s="52" t="s">
        <v>53</v>
      </c>
    </row>
    <row r="18" spans="1:40" ht="15.75" customHeight="1">
      <c r="A18" s="1"/>
      <c r="B18" s="1"/>
      <c r="C18" s="52" t="s">
        <v>50</v>
      </c>
      <c r="D18" s="53">
        <v>-100</v>
      </c>
      <c r="E18" s="1"/>
      <c r="F18" s="1"/>
      <c r="G18" s="53">
        <v>100</v>
      </c>
      <c r="H18" s="52" t="s">
        <v>74</v>
      </c>
      <c r="I18" s="1"/>
      <c r="J18" s="1"/>
      <c r="K18" s="1"/>
      <c r="L18" s="1"/>
      <c r="M18" s="1"/>
      <c r="N18" s="1"/>
      <c r="O18" s="1"/>
      <c r="T18" s="52" t="s">
        <v>27</v>
      </c>
      <c r="AN18" s="52" t="s">
        <v>52</v>
      </c>
    </row>
    <row r="19" spans="1:40" ht="15.75" customHeight="1">
      <c r="A19" s="1"/>
      <c r="B19" s="1"/>
      <c r="C19" s="52" t="s">
        <v>50</v>
      </c>
      <c r="D19" s="53">
        <v>-100</v>
      </c>
      <c r="E19" s="1"/>
      <c r="F19" s="1"/>
      <c r="G19" s="53">
        <v>100</v>
      </c>
      <c r="H19" s="52" t="s">
        <v>74</v>
      </c>
      <c r="I19" s="1"/>
      <c r="J19" s="1"/>
      <c r="K19" s="1"/>
      <c r="L19" s="1"/>
      <c r="M19" s="1"/>
      <c r="N19" s="1"/>
      <c r="O19" s="1"/>
      <c r="T19" s="52" t="s">
        <v>27</v>
      </c>
      <c r="AN19" s="52" t="s">
        <v>53</v>
      </c>
    </row>
    <row r="20" spans="1:40" ht="15.75" customHeight="1">
      <c r="A20" s="1"/>
      <c r="B20" s="1"/>
      <c r="C20" s="52" t="s">
        <v>54</v>
      </c>
      <c r="D20" s="53">
        <v>100</v>
      </c>
      <c r="E20" s="1"/>
      <c r="F20" s="1"/>
      <c r="G20" s="53">
        <v>100</v>
      </c>
      <c r="H20" s="52" t="s">
        <v>73</v>
      </c>
      <c r="I20" s="1"/>
      <c r="J20" s="1"/>
      <c r="K20" s="1"/>
      <c r="L20" s="1"/>
      <c r="M20" s="1"/>
      <c r="N20" s="1"/>
      <c r="O20" s="1"/>
      <c r="T20" s="52" t="s">
        <v>75</v>
      </c>
      <c r="AN20" s="52" t="s">
        <v>49</v>
      </c>
    </row>
    <row r="21" spans="1:40" ht="15.75" customHeight="1">
      <c r="A21" s="1"/>
      <c r="B21" s="1"/>
      <c r="C21" s="52" t="s">
        <v>55</v>
      </c>
      <c r="D21" s="53">
        <v>-100</v>
      </c>
      <c r="E21" s="1"/>
      <c r="F21" s="1"/>
      <c r="G21" s="53">
        <v>100</v>
      </c>
      <c r="H21" s="52" t="s">
        <v>74</v>
      </c>
      <c r="I21" s="1"/>
      <c r="J21" s="1"/>
      <c r="K21" s="1"/>
      <c r="L21" s="1"/>
      <c r="M21" s="1"/>
      <c r="N21" s="1"/>
      <c r="O21" s="1"/>
      <c r="T21" s="52" t="s">
        <v>76</v>
      </c>
      <c r="AN21" s="52" t="s">
        <v>56</v>
      </c>
    </row>
    <row r="22" spans="1:40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AN22" s="54"/>
    </row>
    <row r="23" spans="1:40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40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40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40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40" ht="15.75" customHeight="1"/>
    <row r="28" spans="1:40" ht="15.75" customHeight="1"/>
    <row r="29" spans="1:40" ht="15.75" customHeight="1"/>
    <row r="30" spans="1:40" ht="15.75" customHeight="1"/>
    <row r="31" spans="1:40" ht="15.75" customHeight="1"/>
    <row r="32" spans="1:4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67</v>
      </c>
      <c r="D3" s="2" t="s">
        <v>9</v>
      </c>
      <c r="E3" s="16" t="s">
        <v>68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IFERROR(__xludf.DUMMYFUNCTION("IF(C3="""","""",Transpose(IMPORTRANGE('_Settings'!$B$3,C3&amp;""!A4:A1000"")))"),"CloseGeneralLedger")</f>
        <v>CloseGeneralLedger</v>
      </c>
      <c r="C4" s="18" t="str">
        <f ca="1">IFERROR(__xludf.DUMMYFUNCTION("""COMPUTED_VALUE"""),"GetDataCash")</f>
        <v>GetDataCash</v>
      </c>
      <c r="D4" s="18" t="str">
        <f ca="1">IFERROR(__xludf.DUMMYFUNCTION("""COMPUTED_VALUE"""),"EnterCashDividends")</f>
        <v>EnterCashDividends</v>
      </c>
      <c r="E4" s="18" t="str">
        <f ca="1">IFERROR(__xludf.DUMMYFUNCTION("""COMPUTED_VALUE"""),"EnterNonTradingTransaction")</f>
        <v>EnterNonTradingTransaction</v>
      </c>
      <c r="F4" s="18" t="str">
        <f ca="1">IFERROR(__xludf.DUMMYFUNCTION("""COMPUTED_VALUE"""),"VerifyCash")</f>
        <v>VerifyCash</v>
      </c>
      <c r="G4" s="18" t="str">
        <f ca="1">IFERROR(__xludf.DUMMYFUNCTION("""COMPUTED_VALUE"""),"VerifyActivity")</f>
        <v>VerifyActivity</v>
      </c>
      <c r="H4" s="18" t="str">
        <f ca="1">IFERROR(__xludf.DUMMYFUNCTION("""COMPUTED_VALUE"""),"VerifyTradingTransaction")</f>
        <v>VerifyTradingTransaction</v>
      </c>
      <c r="I4" s="18" t="str">
        <f ca="1">IFERROR(__xludf.DUMMYFUNCTION("""COMPUTED_VALUE"""),"VerifyRevaluationData")</f>
        <v>VerifyRevaluationData</v>
      </c>
      <c r="J4" s="18" t="str">
        <f ca="1">IFERROR(__xludf.DUMMYFUNCTION("""COMPUTED_VALUE"""),"GetTradingTransaction")</f>
        <v>GetTradingTransaction</v>
      </c>
      <c r="K4" s="18" t="str">
        <f ca="1">IFERROR(__xludf.DUMMYFUNCTION("""COMPUTED_VALUE"""),"GetActivityData")</f>
        <v>GetActivityData</v>
      </c>
      <c r="L4" s="18" t="str">
        <f ca="1">IFERROR(__xludf.DUMMYFUNCTION("""COMPUTED_VALUE"""),"GetTradingTransaction")</f>
        <v>GetTradingTransaction</v>
      </c>
      <c r="M4" s="18" t="str">
        <f ca="1">IFERROR(__xludf.DUMMYFUNCTION("""COMPUTED_VALUE"""),"GetActivityData")</f>
        <v>GetActivityData</v>
      </c>
      <c r="N4" s="18" t="str">
        <f ca="1">IFERROR(__xludf.DUMMYFUNCTION("""COMPUTED_VALUE"""),"GetRevaluationData")</f>
        <v>GetRevaluationData</v>
      </c>
      <c r="O4" s="18" t="str">
        <f ca="1">IFERROR(__xludf.DUMMYFUNCTION("""COMPUTED_VALUE"""),"GetAccountDetails")</f>
        <v>GetAccountDetails</v>
      </c>
      <c r="P4" s="19" t="str">
        <f ca="1">IFERROR(__xludf.DUMMYFUNCTION("""COMPUTED_VALUE"""),"GetNonTradingTransaction")</f>
        <v>GetNonTradingTransaction</v>
      </c>
      <c r="Q4" s="19" t="str">
        <f ca="1">IFERROR(__xludf.DUMMYFUNCTION("""COMPUTED_VALUE"""),"GetDividendData")</f>
        <v>GetDividendData</v>
      </c>
      <c r="R4" s="19" t="str">
        <f ca="1">IFERROR(__xludf.DUMMYFUNCTION("""COMPUTED_VALUE"""),"VerifyNonTradingTransaction")</f>
        <v>VerifyNonTradingTransaction</v>
      </c>
      <c r="S4" s="19" t="str">
        <f ca="1">IFERROR(__xludf.DUMMYFUNCTION("""COMPUTED_VALUE"""),"VerifyDividend")</f>
        <v>VerifyDividend</v>
      </c>
      <c r="T4" s="19" t="str">
        <f ca="1">IFERROR(__xludf.DUMMYFUNCTION("""COMPUTED_VALUE"""),"GetOpeningBalanceData")</f>
        <v>GetOpeningBalanceData</v>
      </c>
      <c r="U4" s="19" t="str">
        <f ca="1">IFERROR(__xludf.DUMMYFUNCTION("""COMPUTED_VALUE"""),"GetAccountBalance")</f>
        <v>GetAccountBalance</v>
      </c>
      <c r="V4" s="19" t="str">
        <f ca="1">IFERROR(__xludf.DUMMYFUNCTION("""COMPUTED_VALUE"""),"SelectNonTradingTransaction")</f>
        <v>SelectNonTradingTransaction</v>
      </c>
      <c r="W4" s="19" t="str">
        <f ca="1">IFERROR(__xludf.DUMMYFUNCTION("""COMPUTED_VALUE"""),"SelectNonTradingTranItem")</f>
        <v>SelectNonTradingTranItem</v>
      </c>
      <c r="X4" s="19" t="str">
        <f ca="1">IFERROR(__xludf.DUMMYFUNCTION("""COMPUTED_VALUE"""),"DeleteNonTradingTransaction")</f>
        <v>DeleteNonTradingTransaction</v>
      </c>
      <c r="Y4" s="19" t="str">
        <f ca="1">IFERROR(__xludf.DUMMYFUNCTION("""COMPUTED_VALUE"""),"DeleteNonTradingTranItem")</f>
        <v>DeleteNonTradingTranItem</v>
      </c>
      <c r="Z4" s="19" t="str">
        <f ca="1">IFERROR(__xludf.DUMMYFUNCTION("""COMPUTED_VALUE"""),"AddNonTradingTransaction")</f>
        <v>AddNonTradingTransaction</v>
      </c>
      <c r="AA4" s="19" t="str">
        <f ca="1">IFERROR(__xludf.DUMMYFUNCTION("""COMPUTED_VALUE"""),"AddNonTradingTranItem")</f>
        <v>AddNonTradingTranItem</v>
      </c>
      <c r="AB4" s="19" t="str">
        <f ca="1">IFERROR(__xludf.DUMMYFUNCTION("""COMPUTED_VALUE"""),"VerifyOpeningBalanceData")</f>
        <v>VerifyOpeningBalanceData</v>
      </c>
      <c r="AC4" s="19" t="str">
        <f ca="1">IFERROR(__xludf.DUMMYFUNCTION("""COMPUTED_VALUE"""),"SelectOpeningBalanceTransaction")</f>
        <v>SelectOpeningBalanceTransaction</v>
      </c>
      <c r="AD4" s="19" t="str">
        <f ca="1">IFERROR(__xludf.DUMMYFUNCTION("""COMPUTED_VALUE"""),"SelectOpeningBalanceTranItem")</f>
        <v>SelectOpeningBalanceTranItem</v>
      </c>
      <c r="AE4" s="19" t="str">
        <f ca="1">IFERROR(__xludf.DUMMYFUNCTION("""COMPUTED_VALUE"""),"EditNonTradingTransaction")</f>
        <v>EditNonTradingTransaction</v>
      </c>
      <c r="AF4" s="19" t="str">
        <f ca="1">IFERROR(__xludf.DUMMYFUNCTION("""COMPUTED_VALUE"""),"EditNonTradingTranItem")</f>
        <v>EditNonTradingTranItem</v>
      </c>
      <c r="AG4" s="19" t="str">
        <f ca="1">IFERROR(__xludf.DUMMYFUNCTION("""COMPUTED_VALUE"""),"DeleteOpeningBalanceTransaction")</f>
        <v>DeleteOpeningBalanceTransaction</v>
      </c>
      <c r="AH4" s="19" t="str">
        <f ca="1">IFERROR(__xludf.DUMMYFUNCTION("""COMPUTED_VALUE"""),"DeleteOpeningBalanceTranItem")</f>
        <v>DeleteOpeningBalanceTranItem</v>
      </c>
      <c r="AI4" s="19" t="str">
        <f ca="1">IFERROR(__xludf.DUMMYFUNCTION("""COMPUTED_VALUE"""),"GetDayEndCash")</f>
        <v>GetDayEndCash</v>
      </c>
      <c r="AJ4" s="19" t="str">
        <f ca="1">IFERROR(__xludf.DUMMYFUNCTION("""COMPUTED_VALUE"""),"RunRevaluation")</f>
        <v>RunRevaluation</v>
      </c>
      <c r="AK4" s="19" t="str">
        <f ca="1">IFERROR(__xludf.DUMMYFUNCTION("""COMPUTED_VALUE"""),"CalculateDayEndCash")</f>
        <v>CalculateDayEndCash</v>
      </c>
      <c r="AL4" s="19" t="str">
        <f ca="1">IFERROR(__xludf.DUMMYFUNCTION("""COMPUTED_VALUE"""),"VerifyDayEndCash")</f>
        <v>VerifyDayEndCash</v>
      </c>
      <c r="AM4" s="19" t="str">
        <f ca="1">IFERROR(__xludf.DUMMYFUNCTION("""COMPUTED_VALUE"""),"GetCashTransaction")</f>
        <v>GetCashTransaction</v>
      </c>
      <c r="AN4" s="19" t="str">
        <f ca="1">IFERROR(__xludf.DUMMYFUNCTION("""COMPUTED_VALUE"""),"SelectCashTransaction")</f>
        <v>SelectCashTransaction</v>
      </c>
      <c r="AO4" s="19" t="str">
        <f ca="1">IFERROR(__xludf.DUMMYFUNCTION("""COMPUTED_VALUE"""),"EditCashTransaction")</f>
        <v>EditCashTransaction</v>
      </c>
      <c r="AP4" s="19" t="str">
        <f ca="1">IFERROR(__xludf.DUMMYFUNCTION("""COMPUTED_VALUE"""),"DeleteCashTransaction")</f>
        <v>DeleteCashTransaction</v>
      </c>
      <c r="AQ4" s="19" t="str">
        <f ca="1">IFERROR(__xludf.DUMMYFUNCTION("""COMPUTED_VALUE"""),"AddCashTransaction")</f>
        <v>AddCashTransaction</v>
      </c>
      <c r="AR4" s="19" t="str">
        <f ca="1">IFERROR(__xludf.DUMMYFUNCTION("""COMPUTED_VALUE"""),"AddOpeningBalanceTransaction")</f>
        <v>AddOpeningBalanceTransaction</v>
      </c>
      <c r="AS4" s="19" t="str">
        <f ca="1">IFERROR(__xludf.DUMMYFUNCTION("""COMPUTED_VALUE"""),"AddOpeningBalanceTranItem")</f>
        <v>AddOpeningBalanceTranItem</v>
      </c>
      <c r="AT4" s="19" t="str">
        <f ca="1">IFERROR(__xludf.DUMMYFUNCTION("""COMPUTED_VALUE"""),"VerifyAccountDetails")</f>
        <v>VerifyAccountDetails</v>
      </c>
      <c r="AU4" s="19" t="str">
        <f ca="1">IFERROR(__xludf.DUMMYFUNCTION("""COMPUTED_VALUE"""),"GetDailyCalculationsData")</f>
        <v>GetDailyCalculationsData</v>
      </c>
      <c r="AV4" s="19" t="str">
        <f ca="1">IFERROR(__xludf.DUMMYFUNCTION("""COMPUTED_VALUE"""),"CalculateDailyCalculations")</f>
        <v>CalculateDailyCalculations</v>
      </c>
      <c r="AW4" s="19" t="str">
        <f ca="1">IFERROR(__xludf.DUMMYFUNCTION("""COMPUTED_VALUE"""),"CloseGeneralLedger")</f>
        <v>CloseGeneralLedger</v>
      </c>
      <c r="AX4" s="19" t="str">
        <f ca="1">IFERROR(__xludf.DUMMYFUNCTION("""COMPUTED_VALUE"""),"EditOpeningBalanceTransaction")</f>
        <v>EditOpeningBalanceTransaction</v>
      </c>
      <c r="AY4" s="19" t="str">
        <f ca="1">IFERROR(__xludf.DUMMYFUNCTION("""COMPUTED_VALUE"""),"EditOpeningBalanceTranItem")</f>
        <v>EditOpeningBalanceTranItem</v>
      </c>
      <c r="AZ4" s="19" t="str">
        <f ca="1">IFERROR(__xludf.DUMMYFUNCTION("""COMPUTED_VALUE"""),"VerifyDailyCalTransactions")</f>
        <v>VerifyDailyCalTransactions</v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IFERROR(__xludf.DUMMYFUNCTION("""COMPUTED_VALUE"""),"From")</f>
        <v>From</v>
      </c>
      <c r="E5" s="21" t="str">
        <f ca="1">IFERROR(__xludf.DUMMYFUNCTION("""COMPUTED_VALUE"""),"To")</f>
        <v>To</v>
      </c>
      <c r="F5" s="22" t="str">
        <f ca="1">IFERROR(__xludf.DUMMYFUNCTION("""COMPUTED_VALUE"""),"SettlementDate")</f>
        <v>SettlementDate</v>
      </c>
      <c r="G5" s="21" t="str">
        <f ca="1">IFERROR(__xludf.DUMMYFUNCTION("""COMPUTED_VALUE"""),"TradeDate")</f>
        <v>TradeDate</v>
      </c>
      <c r="H5" s="21" t="str">
        <f ca="1">IFERROR(__xludf.DUMMYFUNCTION("""COMPUTED_VALUE"""),"All")</f>
        <v>All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69</v>
      </c>
      <c r="C6" s="4" t="s">
        <v>70</v>
      </c>
      <c r="D6" s="42">
        <f t="shared" ref="D6:E6" ca="1" si="0">TODAY()</f>
        <v>43642</v>
      </c>
      <c r="E6" s="42">
        <f t="shared" ca="1" si="0"/>
        <v>43642</v>
      </c>
      <c r="F6" s="4" t="s">
        <v>71</v>
      </c>
      <c r="G6" s="4" t="s">
        <v>72</v>
      </c>
      <c r="H6" s="4" t="s">
        <v>71</v>
      </c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88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67</v>
      </c>
      <c r="D3" s="2" t="s">
        <v>9</v>
      </c>
      <c r="E3" s="16" t="s">
        <v>77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IFERROR(__xludf.DUMMYFUNCTION("IF(C3="""","""",Transpose(IMPORTRANGE('_Settings'!$B$3,C3&amp;""!A4:A1000"")))"),"CloseGeneralLedger")</f>
        <v>CloseGeneralLedger</v>
      </c>
      <c r="C4" s="18" t="str">
        <f ca="1">IFERROR(__xludf.DUMMYFUNCTION("""COMPUTED_VALUE"""),"GetDataCash")</f>
        <v>GetDataCash</v>
      </c>
      <c r="D4" s="18" t="str">
        <f ca="1">IFERROR(__xludf.DUMMYFUNCTION("""COMPUTED_VALUE"""),"EnterCashDividends")</f>
        <v>EnterCashDividends</v>
      </c>
      <c r="E4" s="18" t="str">
        <f ca="1">IFERROR(__xludf.DUMMYFUNCTION("""COMPUTED_VALUE"""),"EnterNonTradingTransaction")</f>
        <v>EnterNonTradingTransaction</v>
      </c>
      <c r="F4" s="18" t="str">
        <f ca="1">IFERROR(__xludf.DUMMYFUNCTION("""COMPUTED_VALUE"""),"VerifyCash")</f>
        <v>VerifyCash</v>
      </c>
      <c r="G4" s="18" t="str">
        <f ca="1">IFERROR(__xludf.DUMMYFUNCTION("""COMPUTED_VALUE"""),"VerifyActivity")</f>
        <v>VerifyActivity</v>
      </c>
      <c r="H4" s="18" t="str">
        <f ca="1">IFERROR(__xludf.DUMMYFUNCTION("""COMPUTED_VALUE"""),"VerifyTradingTransaction")</f>
        <v>VerifyTradingTransaction</v>
      </c>
      <c r="I4" s="18" t="str">
        <f ca="1">IFERROR(__xludf.DUMMYFUNCTION("""COMPUTED_VALUE"""),"VerifyRevaluationData")</f>
        <v>VerifyRevaluationData</v>
      </c>
      <c r="J4" s="18" t="str">
        <f ca="1">IFERROR(__xludf.DUMMYFUNCTION("""COMPUTED_VALUE"""),"GetTradingTransaction")</f>
        <v>GetTradingTransaction</v>
      </c>
      <c r="K4" s="18" t="str">
        <f ca="1">IFERROR(__xludf.DUMMYFUNCTION("""COMPUTED_VALUE"""),"GetActivityData")</f>
        <v>GetActivityData</v>
      </c>
      <c r="L4" s="18" t="str">
        <f ca="1">IFERROR(__xludf.DUMMYFUNCTION("""COMPUTED_VALUE"""),"GetTradingTransaction")</f>
        <v>GetTradingTransaction</v>
      </c>
      <c r="M4" s="18" t="str">
        <f ca="1">IFERROR(__xludf.DUMMYFUNCTION("""COMPUTED_VALUE"""),"GetActivityData")</f>
        <v>GetActivityData</v>
      </c>
      <c r="N4" s="18" t="str">
        <f ca="1">IFERROR(__xludf.DUMMYFUNCTION("""COMPUTED_VALUE"""),"GetRevaluationData")</f>
        <v>GetRevaluationData</v>
      </c>
      <c r="O4" s="18" t="str">
        <f ca="1">IFERROR(__xludf.DUMMYFUNCTION("""COMPUTED_VALUE"""),"GetAccountDetails")</f>
        <v>GetAccountDetails</v>
      </c>
      <c r="P4" s="19" t="str">
        <f ca="1">IFERROR(__xludf.DUMMYFUNCTION("""COMPUTED_VALUE"""),"GetNonTradingTransaction")</f>
        <v>GetNonTradingTransaction</v>
      </c>
      <c r="Q4" s="19" t="str">
        <f ca="1">IFERROR(__xludf.DUMMYFUNCTION("""COMPUTED_VALUE"""),"GetDividendData")</f>
        <v>GetDividendData</v>
      </c>
      <c r="R4" s="19" t="str">
        <f ca="1">IFERROR(__xludf.DUMMYFUNCTION("""COMPUTED_VALUE"""),"VerifyNonTradingTransaction")</f>
        <v>VerifyNonTradingTransaction</v>
      </c>
      <c r="S4" s="19" t="str">
        <f ca="1">IFERROR(__xludf.DUMMYFUNCTION("""COMPUTED_VALUE"""),"VerifyDividend")</f>
        <v>VerifyDividend</v>
      </c>
      <c r="T4" s="19" t="str">
        <f ca="1">IFERROR(__xludf.DUMMYFUNCTION("""COMPUTED_VALUE"""),"GetOpeningBalanceData")</f>
        <v>GetOpeningBalanceData</v>
      </c>
      <c r="U4" s="19" t="str">
        <f ca="1">IFERROR(__xludf.DUMMYFUNCTION("""COMPUTED_VALUE"""),"GetAccountBalance")</f>
        <v>GetAccountBalance</v>
      </c>
      <c r="V4" s="19" t="str">
        <f ca="1">IFERROR(__xludf.DUMMYFUNCTION("""COMPUTED_VALUE"""),"SelectNonTradingTransaction")</f>
        <v>SelectNonTradingTransaction</v>
      </c>
      <c r="W4" s="19" t="str">
        <f ca="1">IFERROR(__xludf.DUMMYFUNCTION("""COMPUTED_VALUE"""),"SelectNonTradingTranItem")</f>
        <v>SelectNonTradingTranItem</v>
      </c>
      <c r="X4" s="19" t="str">
        <f ca="1">IFERROR(__xludf.DUMMYFUNCTION("""COMPUTED_VALUE"""),"DeleteNonTradingTransaction")</f>
        <v>DeleteNonTradingTransaction</v>
      </c>
      <c r="Y4" s="19" t="str">
        <f ca="1">IFERROR(__xludf.DUMMYFUNCTION("""COMPUTED_VALUE"""),"DeleteNonTradingTranItem")</f>
        <v>DeleteNonTradingTranItem</v>
      </c>
      <c r="Z4" s="19" t="str">
        <f ca="1">IFERROR(__xludf.DUMMYFUNCTION("""COMPUTED_VALUE"""),"AddNonTradingTransaction")</f>
        <v>AddNonTradingTransaction</v>
      </c>
      <c r="AA4" s="19" t="str">
        <f ca="1">IFERROR(__xludf.DUMMYFUNCTION("""COMPUTED_VALUE"""),"AddNonTradingTranItem")</f>
        <v>AddNonTradingTranItem</v>
      </c>
      <c r="AB4" s="19" t="str">
        <f ca="1">IFERROR(__xludf.DUMMYFUNCTION("""COMPUTED_VALUE"""),"VerifyOpeningBalanceData")</f>
        <v>VerifyOpeningBalanceData</v>
      </c>
      <c r="AC4" s="19" t="str">
        <f ca="1">IFERROR(__xludf.DUMMYFUNCTION("""COMPUTED_VALUE"""),"SelectOpeningBalanceTransaction")</f>
        <v>SelectOpeningBalanceTransaction</v>
      </c>
      <c r="AD4" s="19" t="str">
        <f ca="1">IFERROR(__xludf.DUMMYFUNCTION("""COMPUTED_VALUE"""),"SelectOpeningBalanceTranItem")</f>
        <v>SelectOpeningBalanceTranItem</v>
      </c>
      <c r="AE4" s="19" t="str">
        <f ca="1">IFERROR(__xludf.DUMMYFUNCTION("""COMPUTED_VALUE"""),"EditNonTradingTransaction")</f>
        <v>EditNonTradingTransaction</v>
      </c>
      <c r="AF4" s="19" t="str">
        <f ca="1">IFERROR(__xludf.DUMMYFUNCTION("""COMPUTED_VALUE"""),"EditNonTradingTranItem")</f>
        <v>EditNonTradingTranItem</v>
      </c>
      <c r="AG4" s="19" t="str">
        <f ca="1">IFERROR(__xludf.DUMMYFUNCTION("""COMPUTED_VALUE"""),"DeleteOpeningBalanceTransaction")</f>
        <v>DeleteOpeningBalanceTransaction</v>
      </c>
      <c r="AH4" s="19" t="str">
        <f ca="1">IFERROR(__xludf.DUMMYFUNCTION("""COMPUTED_VALUE"""),"DeleteOpeningBalanceTranItem")</f>
        <v>DeleteOpeningBalanceTranItem</v>
      </c>
      <c r="AI4" s="19" t="str">
        <f ca="1">IFERROR(__xludf.DUMMYFUNCTION("""COMPUTED_VALUE"""),"GetDayEndCash")</f>
        <v>GetDayEndCash</v>
      </c>
      <c r="AJ4" s="19" t="str">
        <f ca="1">IFERROR(__xludf.DUMMYFUNCTION("""COMPUTED_VALUE"""),"RunRevaluation")</f>
        <v>RunRevaluation</v>
      </c>
      <c r="AK4" s="19" t="str">
        <f ca="1">IFERROR(__xludf.DUMMYFUNCTION("""COMPUTED_VALUE"""),"CalculateDayEndCash")</f>
        <v>CalculateDayEndCash</v>
      </c>
      <c r="AL4" s="19" t="str">
        <f ca="1">IFERROR(__xludf.DUMMYFUNCTION("""COMPUTED_VALUE"""),"VerifyDayEndCash")</f>
        <v>VerifyDayEndCash</v>
      </c>
      <c r="AM4" s="19" t="str">
        <f ca="1">IFERROR(__xludf.DUMMYFUNCTION("""COMPUTED_VALUE"""),"GetCashTransaction")</f>
        <v>GetCashTransaction</v>
      </c>
      <c r="AN4" s="19" t="str">
        <f ca="1">IFERROR(__xludf.DUMMYFUNCTION("""COMPUTED_VALUE"""),"SelectCashTransaction")</f>
        <v>SelectCashTransaction</v>
      </c>
      <c r="AO4" s="19" t="str">
        <f ca="1">IFERROR(__xludf.DUMMYFUNCTION("""COMPUTED_VALUE"""),"EditCashTransaction")</f>
        <v>EditCashTransaction</v>
      </c>
      <c r="AP4" s="19" t="str">
        <f ca="1">IFERROR(__xludf.DUMMYFUNCTION("""COMPUTED_VALUE"""),"DeleteCashTransaction")</f>
        <v>DeleteCashTransaction</v>
      </c>
      <c r="AQ4" s="19" t="str">
        <f ca="1">IFERROR(__xludf.DUMMYFUNCTION("""COMPUTED_VALUE"""),"AddCashTransaction")</f>
        <v>AddCashTransaction</v>
      </c>
      <c r="AR4" s="19" t="str">
        <f ca="1">IFERROR(__xludf.DUMMYFUNCTION("""COMPUTED_VALUE"""),"AddOpeningBalanceTransaction")</f>
        <v>AddOpeningBalanceTransaction</v>
      </c>
      <c r="AS4" s="19" t="str">
        <f ca="1">IFERROR(__xludf.DUMMYFUNCTION("""COMPUTED_VALUE"""),"AddOpeningBalanceTranItem")</f>
        <v>AddOpeningBalanceTranItem</v>
      </c>
      <c r="AT4" s="19" t="str">
        <f ca="1">IFERROR(__xludf.DUMMYFUNCTION("""COMPUTED_VALUE"""),"VerifyAccountDetails")</f>
        <v>VerifyAccountDetails</v>
      </c>
      <c r="AU4" s="19" t="str">
        <f ca="1">IFERROR(__xludf.DUMMYFUNCTION("""COMPUTED_VALUE"""),"GetDailyCalculationsData")</f>
        <v>GetDailyCalculationsData</v>
      </c>
      <c r="AV4" s="19" t="str">
        <f ca="1">IFERROR(__xludf.DUMMYFUNCTION("""COMPUTED_VALUE"""),"CalculateDailyCalculations")</f>
        <v>CalculateDailyCalculations</v>
      </c>
      <c r="AW4" s="19" t="str">
        <f ca="1">IFERROR(__xludf.DUMMYFUNCTION("""COMPUTED_VALUE"""),"CloseGeneralLedger")</f>
        <v>CloseGeneralLedger</v>
      </c>
      <c r="AX4" s="19" t="str">
        <f ca="1">IFERROR(__xludf.DUMMYFUNCTION("""COMPUTED_VALUE"""),"EditOpeningBalanceTransaction")</f>
        <v>EditOpeningBalanceTransaction</v>
      </c>
      <c r="AY4" s="19" t="str">
        <f ca="1">IFERROR(__xludf.DUMMYFUNCTION("""COMPUTED_VALUE"""),"EditOpeningBalanceTranItem")</f>
        <v>EditOpeningBalanceTranItem</v>
      </c>
      <c r="AZ4" s="19" t="str">
        <f ca="1">IFERROR(__xludf.DUMMYFUNCTION("""COMPUTED_VALUE"""),"VerifyDailyCalTransactions")</f>
        <v>VerifyDailyCalTransactions</v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IFERROR(__xludf.DUMMYFUNCTION("""COMPUTED_VALUE"""),"Activity Source")</f>
        <v>Activity Source</v>
      </c>
      <c r="D5" s="21" t="str">
        <f ca="1">IFERROR(__xludf.DUMMYFUNCTION("""COMPUTED_VALUE"""),"ActivityType")</f>
        <v>ActivityType</v>
      </c>
      <c r="E5" s="21" t="str">
        <f ca="1">IFERROR(__xludf.DUMMYFUNCTION("""COMPUTED_VALUE"""),"Net Amount(Local)")</f>
        <v>Net Amount(Local)</v>
      </c>
      <c r="F5" s="22" t="str">
        <f ca="1">IFERROR(__xludf.DUMMYFUNCTION("""COMPUTED_VALUE"""),"AUEC Fee1")</f>
        <v>AUEC Fee1</v>
      </c>
      <c r="G5" s="21" t="str">
        <f ca="1">IFERROR(__xludf.DUMMYFUNCTION("""COMPUTED_VALUE"""),"AUEC Fee2")</f>
        <v>AUEC Fee2</v>
      </c>
      <c r="H5" s="21" t="str">
        <f ca="1">IFERROR(__xludf.DUMMYFUNCTION("""COMPUTED_VALUE"""),"Balance Type")</f>
        <v>Balance Type</v>
      </c>
      <c r="I5" s="21" t="str">
        <f ca="1">IFERROR(__xludf.DUMMYFUNCTION("""COMPUTED_VALUE"""),"Clearing Broker Fees")</f>
        <v>Clearing Broker Fees</v>
      </c>
      <c r="J5" s="21" t="str">
        <f ca="1">IFERROR(__xludf.DUMMYFUNCTION("""COMPUTED_VALUE"""),"Commission")</f>
        <v>Commission</v>
      </c>
      <c r="K5" s="21" t="str">
        <f ca="1">IFERROR(__xludf.DUMMYFUNCTION("""COMPUTED_VALUE"""),"Currency")</f>
        <v>Currency</v>
      </c>
      <c r="L5" s="21" t="str">
        <f ca="1">IFERROR(__xludf.DUMMYFUNCTION("""COMPUTED_VALUE"""),"Description")</f>
        <v>Description</v>
      </c>
      <c r="M5" s="21" t="str">
        <f ca="1">IFERROR(__xludf.DUMMYFUNCTION("""COMPUTED_VALUE"""),"Entry Date")</f>
        <v>Entry Date</v>
      </c>
      <c r="N5" s="21" t="str">
        <f ca="1">IFERROR(__xludf.DUMMYFUNCTION("""COMPUTED_VALUE"""),"FX Conversion Method Operator")</f>
        <v>FX Conversion Method Operator</v>
      </c>
      <c r="O5" s="21" t="str">
        <f ca="1">IFERROR(__xludf.DUMMYFUNCTION("""COMPUTED_VALUE"""),"Fx Rate")</f>
        <v>Fx Rate</v>
      </c>
      <c r="P5" s="21" t="str">
        <f ca="1">IFERROR(__xludf.DUMMYFUNCTION("""COMPUTED_VALUE"""),"Lead Currency")</f>
        <v>Lead Currency</v>
      </c>
      <c r="Q5" s="21" t="str">
        <f ca="1">IFERROR(__xludf.DUMMYFUNCTION("""COMPUTED_VALUE"""),"Modify date")</f>
        <v>Modify date</v>
      </c>
      <c r="R5" s="21" t="str">
        <f ca="1">IFERROR(__xludf.DUMMYFUNCTION("""COMPUTED_VALUE"""),"OCC Fee")</f>
        <v>OCC Fee</v>
      </c>
      <c r="S5" s="21" t="str">
        <f ca="1">IFERROR(__xludf.DUMMYFUNCTION("""COMPUTED_VALUE"""),"OptionPremiumAdjustment")</f>
        <v>OptionPremiumAdjustment</v>
      </c>
      <c r="T5" s="23" t="str">
        <f ca="1">IFERROR(__xludf.DUMMYFUNCTION("""COMPUTED_VALUE"""),"ORF Fee")</f>
        <v>ORF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IFERROR(__xludf.DUMMYFUNCTION("""COMPUTED_VALUE"""),"Quantity")</f>
        <v>Quantity</v>
      </c>
      <c r="W5" s="23" t="str">
        <f ca="1">IFERROR(__xludf.DUMMYFUNCTION("""COMPUTED_VALUE"""),"SEC Fee")</f>
        <v>SEC Fee</v>
      </c>
      <c r="X5" s="23" t="str">
        <f ca="1">IFERROR(__xludf.DUMMYFUNCTION("""COMPUTED_VALUE"""),"Settlement Currency")</f>
        <v>Settlement Currency</v>
      </c>
      <c r="Y5" s="23" t="str">
        <f ca="1">IFERROR(__xludf.DUMMYFUNCTION("""COMPUTED_VALUE"""),"Settlement Date")</f>
        <v>Settlement Date</v>
      </c>
      <c r="Z5" s="23" t="str">
        <f ca="1">IFERROR(__xludf.DUMMYFUNCTION("""COMPUTED_VALUE"""),"Soft Commission")</f>
        <v>Soft Commission</v>
      </c>
      <c r="AA5" s="23" t="str">
        <f ca="1">IFERROR(__xludf.DUMMYFUNCTION("""COMPUTED_VALUE"""),"Stamp Duty")</f>
        <v>Stamp Duty</v>
      </c>
      <c r="AB5" s="23" t="str">
        <f ca="1">IFERROR(__xludf.DUMMYFUNCTION("""COMPUTED_VALUE"""),"Symbol")</f>
        <v>Symbol</v>
      </c>
      <c r="AC5" s="23" t="str">
        <f ca="1">IFERROR(__xludf.DUMMYFUNCTION("""COMPUTED_VALUE"""),"Tax On Commissions")</f>
        <v>Tax On Commissions</v>
      </c>
      <c r="AD5" s="23" t="str">
        <f ca="1">IFERROR(__xludf.DUMMYFUNCTION("""COMPUTED_VALUE"""),"Total Commissions")</f>
        <v>Total Commissions</v>
      </c>
      <c r="AE5" s="23" t="str">
        <f ca="1">IFERROR(__xludf.DUMMYFUNCTION("""COMPUTED_VALUE"""),"Trade Date")</f>
        <v>Trade Date</v>
      </c>
      <c r="AF5" s="23" t="str">
        <f ca="1">IFERROR(__xludf.DUMMYFUNCTION("""COMPUTED_VALUE"""),"Transaction Levy")</f>
        <v>Transaction Levy</v>
      </c>
      <c r="AG5" s="23" t="str">
        <f ca="1">IFERROR(__xludf.DUMMYFUNCTION("""COMPUTED_VALUE"""),"Transaction Source")</f>
        <v>Transaction Source</v>
      </c>
      <c r="AH5" s="23" t="str">
        <f ca="1">IFERROR(__xludf.DUMMYFUNCTION("""COMPUTED_VALUE"""),"User")</f>
        <v>User</v>
      </c>
      <c r="AI5" s="23" t="str">
        <f ca="1">IFERROR(__xludf.DUMMYFUNCTION("""COMPUTED_VALUE"""),"Vs Currency")</f>
        <v>Vs Currency</v>
      </c>
      <c r="AJ5" s="23" t="str">
        <f ca="1">IFERROR(__xludf.DUMMYFUNCTION("""COMPUTED_VALUE"""),"SettlCurrencyID")</f>
        <v>SettlCurrencyID</v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"/>
      <c r="B6" s="29" t="s">
        <v>37</v>
      </c>
      <c r="C6" s="1"/>
      <c r="D6" s="29" t="s">
        <v>78</v>
      </c>
      <c r="E6" s="29">
        <v>0</v>
      </c>
      <c r="F6" s="1"/>
      <c r="G6" s="1"/>
      <c r="H6" s="1"/>
      <c r="I6" s="1"/>
      <c r="J6" s="1"/>
      <c r="K6" s="29" t="s">
        <v>46</v>
      </c>
      <c r="L6" s="1"/>
      <c r="M6" s="1"/>
      <c r="N6" s="1"/>
      <c r="O6" s="1"/>
      <c r="V6" s="55">
        <v>100</v>
      </c>
      <c r="AB6" s="55" t="s">
        <v>47</v>
      </c>
    </row>
    <row r="7" spans="1:154" ht="15.75" customHeight="1">
      <c r="A7" s="1"/>
      <c r="B7" s="29" t="s">
        <v>48</v>
      </c>
      <c r="C7" s="1"/>
      <c r="D7" s="29" t="s">
        <v>78</v>
      </c>
      <c r="E7" s="29">
        <v>0</v>
      </c>
      <c r="F7" s="1"/>
      <c r="G7" s="1"/>
      <c r="H7" s="1"/>
      <c r="I7" s="1"/>
      <c r="J7" s="1"/>
      <c r="K7" s="29" t="s">
        <v>46</v>
      </c>
      <c r="L7" s="1"/>
      <c r="M7" s="1"/>
      <c r="N7" s="1"/>
      <c r="O7" s="1"/>
      <c r="V7" s="55">
        <v>100</v>
      </c>
      <c r="AB7" s="55" t="s">
        <v>47</v>
      </c>
    </row>
    <row r="8" spans="1:154" ht="15.75" customHeight="1">
      <c r="A8" s="1"/>
      <c r="B8" s="29" t="s">
        <v>48</v>
      </c>
      <c r="C8" s="1"/>
      <c r="D8" s="29" t="s">
        <v>78</v>
      </c>
      <c r="E8" s="29">
        <v>0</v>
      </c>
      <c r="F8" s="1"/>
      <c r="G8" s="1"/>
      <c r="H8" s="1"/>
      <c r="I8" s="1"/>
      <c r="J8" s="1"/>
      <c r="K8" s="29" t="s">
        <v>46</v>
      </c>
      <c r="L8" s="1"/>
      <c r="M8" s="1"/>
      <c r="N8" s="1"/>
      <c r="O8" s="1"/>
      <c r="V8" s="55">
        <v>60</v>
      </c>
      <c r="AB8" s="55" t="s">
        <v>47</v>
      </c>
    </row>
    <row r="9" spans="1:154" ht="15.75" customHeight="1">
      <c r="A9" s="1"/>
      <c r="B9" s="29" t="s">
        <v>38</v>
      </c>
      <c r="C9" s="1"/>
      <c r="D9" s="29" t="s">
        <v>78</v>
      </c>
      <c r="E9" s="29">
        <v>0</v>
      </c>
      <c r="F9" s="1"/>
      <c r="G9" s="1"/>
      <c r="H9" s="1"/>
      <c r="I9" s="1"/>
      <c r="J9" s="1"/>
      <c r="K9" s="29" t="s">
        <v>46</v>
      </c>
      <c r="L9" s="1"/>
      <c r="M9" s="1"/>
      <c r="N9" s="1"/>
      <c r="O9" s="1"/>
      <c r="V9" s="55">
        <v>40</v>
      </c>
      <c r="AB9" s="55" t="s">
        <v>47</v>
      </c>
    </row>
    <row r="10" spans="1:154" ht="15.75" customHeight="1">
      <c r="A10" s="1"/>
      <c r="B10" s="29" t="s">
        <v>33</v>
      </c>
      <c r="C10" s="1"/>
      <c r="D10" s="29" t="s">
        <v>79</v>
      </c>
      <c r="E10" s="4">
        <v>-3004.2</v>
      </c>
      <c r="F10" s="1"/>
      <c r="G10" s="1"/>
      <c r="H10" s="1"/>
      <c r="I10" s="1"/>
      <c r="J10" s="1"/>
      <c r="K10" s="29" t="s">
        <v>46</v>
      </c>
      <c r="L10" s="1"/>
      <c r="M10" s="1"/>
      <c r="N10" s="1"/>
      <c r="O10" s="1"/>
      <c r="V10" s="55">
        <v>30</v>
      </c>
      <c r="AB10" s="55" t="s">
        <v>50</v>
      </c>
    </row>
    <row r="11" spans="1:154" ht="15.75" customHeight="1">
      <c r="A11" s="1"/>
      <c r="B11" s="29" t="s">
        <v>48</v>
      </c>
      <c r="C11" s="1"/>
      <c r="D11" s="29" t="s">
        <v>79</v>
      </c>
      <c r="E11" s="4">
        <v>-3004.2</v>
      </c>
      <c r="F11" s="1"/>
      <c r="G11" s="1"/>
      <c r="H11" s="1"/>
      <c r="I11" s="1"/>
      <c r="J11" s="1"/>
      <c r="K11" s="29" t="s">
        <v>46</v>
      </c>
      <c r="L11" s="1"/>
      <c r="M11" s="1"/>
      <c r="N11" s="1"/>
      <c r="O11" s="1"/>
      <c r="V11" s="55">
        <v>30</v>
      </c>
      <c r="AB11" s="55" t="s">
        <v>50</v>
      </c>
    </row>
    <row r="12" spans="1:154" ht="15.75" customHeight="1">
      <c r="A12" s="1"/>
      <c r="B12" s="29" t="s">
        <v>37</v>
      </c>
      <c r="C12" s="1"/>
      <c r="D12" s="29" t="s">
        <v>79</v>
      </c>
      <c r="E12" s="4">
        <v>-2203.08</v>
      </c>
      <c r="F12" s="1"/>
      <c r="G12" s="1"/>
      <c r="H12" s="1"/>
      <c r="I12" s="1"/>
      <c r="J12" s="1"/>
      <c r="K12" s="29" t="s">
        <v>46</v>
      </c>
      <c r="L12" s="1"/>
      <c r="M12" s="1"/>
      <c r="N12" s="1"/>
      <c r="O12" s="1"/>
      <c r="V12" s="55">
        <v>22</v>
      </c>
      <c r="AB12" s="55" t="s">
        <v>50</v>
      </c>
    </row>
    <row r="13" spans="1:154" ht="15.75" customHeight="1">
      <c r="A13" s="1"/>
      <c r="B13" s="29" t="s">
        <v>38</v>
      </c>
      <c r="C13" s="1"/>
      <c r="D13" s="29" t="s">
        <v>79</v>
      </c>
      <c r="E13" s="4">
        <v>-1802.52</v>
      </c>
      <c r="F13" s="1"/>
      <c r="G13" s="1"/>
      <c r="H13" s="1"/>
      <c r="I13" s="1"/>
      <c r="J13" s="1"/>
      <c r="K13" s="29" t="s">
        <v>46</v>
      </c>
      <c r="L13" s="1"/>
      <c r="M13" s="1"/>
      <c r="N13" s="1"/>
      <c r="O13" s="1"/>
      <c r="V13" s="55">
        <v>18</v>
      </c>
      <c r="AB13" s="55" t="s">
        <v>50</v>
      </c>
    </row>
    <row r="14" spans="1:154" ht="15.75" customHeight="1">
      <c r="A14" s="1"/>
      <c r="B14" s="29" t="s">
        <v>33</v>
      </c>
      <c r="C14" s="1"/>
      <c r="D14" s="29" t="s">
        <v>79</v>
      </c>
      <c r="E14" s="4">
        <v>2995.8</v>
      </c>
      <c r="F14" s="1"/>
      <c r="G14" s="1"/>
      <c r="H14" s="1"/>
      <c r="I14" s="1"/>
      <c r="J14" s="1"/>
      <c r="K14" s="29" t="s">
        <v>46</v>
      </c>
      <c r="L14" s="1"/>
      <c r="M14" s="1"/>
      <c r="N14" s="1"/>
      <c r="O14" s="1"/>
      <c r="V14" s="55">
        <v>30</v>
      </c>
      <c r="AB14" s="55" t="s">
        <v>50</v>
      </c>
    </row>
    <row r="15" spans="1:154" ht="15.75" customHeight="1">
      <c r="B15" s="55" t="s">
        <v>48</v>
      </c>
      <c r="D15" s="55" t="s">
        <v>79</v>
      </c>
      <c r="E15" s="4">
        <v>2995.8</v>
      </c>
      <c r="K15" s="55" t="s">
        <v>46</v>
      </c>
      <c r="V15" s="55">
        <v>30</v>
      </c>
      <c r="AB15" s="55" t="s">
        <v>50</v>
      </c>
    </row>
    <row r="16" spans="1:154" ht="15.75" customHeight="1">
      <c r="B16" s="55" t="s">
        <v>37</v>
      </c>
      <c r="D16" s="55" t="s">
        <v>79</v>
      </c>
      <c r="E16" s="31">
        <v>2196.92</v>
      </c>
      <c r="K16" s="55" t="s">
        <v>46</v>
      </c>
      <c r="V16" s="55">
        <v>22</v>
      </c>
      <c r="AB16" s="55" t="s">
        <v>50</v>
      </c>
    </row>
    <row r="17" spans="2:28" ht="15.75" customHeight="1">
      <c r="B17" s="55" t="s">
        <v>38</v>
      </c>
      <c r="D17" s="55" t="s">
        <v>79</v>
      </c>
      <c r="E17" s="31">
        <v>1797.48</v>
      </c>
      <c r="K17" s="55" t="s">
        <v>46</v>
      </c>
      <c r="V17" s="55">
        <v>18</v>
      </c>
      <c r="AB17" s="55" t="s">
        <v>50</v>
      </c>
    </row>
    <row r="18" spans="2:28" ht="15.75" customHeight="1"/>
    <row r="19" spans="2:28" ht="15.75" customHeight="1"/>
    <row r="20" spans="2:28" ht="15.75" customHeight="1"/>
    <row r="21" spans="2:28" ht="15.75" customHeight="1"/>
    <row r="22" spans="2:28" ht="15.75" customHeight="1"/>
    <row r="23" spans="2:28" ht="15.75" customHeight="1"/>
    <row r="24" spans="2:28" ht="15.75" customHeight="1"/>
    <row r="25" spans="2:28" ht="15.75" customHeight="1"/>
    <row r="26" spans="2:28" ht="15.75" customHeight="1"/>
    <row r="27" spans="2:28" ht="15.75" customHeight="1"/>
    <row r="28" spans="2:28" ht="15.75" customHeight="1"/>
    <row r="29" spans="2:28" ht="15.75" customHeight="1"/>
    <row r="30" spans="2:28" ht="15.75" customHeight="1"/>
    <row r="31" spans="2:28" ht="15.75" customHeight="1"/>
    <row r="32" spans="2:2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23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IFERROR(__xludf.DUMMYFUNCTION("""COMPUTED_VALUE"""),"Exchange Selector")</f>
        <v>Exchange Selector</v>
      </c>
      <c r="E5" s="21" t="str">
        <f ca="1">IFERROR(__xludf.DUMMYFUNCTION("""COMPUTED_VALUE"""),"Exchange List")</f>
        <v>Exchange List</v>
      </c>
      <c r="F5" s="22" t="str">
        <f ca="1">IFERROR(__xludf.DUMMYFUNCTION("""COMPUTED_VALUE"""),"Asset Selector")</f>
        <v>Asset Selector</v>
      </c>
      <c r="G5" s="21" t="str">
        <f ca="1">IFERROR(__xludf.DUMMYFUNCTION("""COMPUTED_VALUE"""),"Asset List")</f>
        <v>Asset List</v>
      </c>
      <c r="H5" s="21" t="str">
        <f ca="1">IFERROR(__xludf.DUMMYFUNCTION("""COMPUTED_VALUE"""),"PR Selector")</f>
        <v>PR Selector</v>
      </c>
      <c r="I5" s="21" t="str">
        <f ca="1">IFERROR(__xludf.DUMMYFUNCTION("""COMPUTED_VALUE"""),"PR List")</f>
        <v>PR List</v>
      </c>
      <c r="J5" s="21" t="str">
        <f ca="1">IFERROR(__xludf.DUMMYFUNCTION("""COMPUTED_VALUE"""),"Order Side Selector")</f>
        <v>Order Side Selector</v>
      </c>
      <c r="K5" s="21" t="str">
        <f ca="1">IFERROR(__xludf.DUMMYFUNCTION("""COMPUTED_VALUE"""),"Order Side List")</f>
        <v>Order Side List</v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7" t="str">
        <f ca="1">"PA10-"&amp;TEXT(TODAY(),"dd-mm-yy")</f>
        <v>PA10-26-06-19</v>
      </c>
      <c r="C6" s="1"/>
      <c r="D6" s="4"/>
      <c r="E6" s="29"/>
      <c r="F6" s="4" t="s">
        <v>26</v>
      </c>
      <c r="G6" s="4" t="s">
        <v>76</v>
      </c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35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IFERROR(__xludf.DUMMYFUNCTION("""COMPUTED_VALUE"""),"AllocationMethod")</f>
        <v>AllocationMethod</v>
      </c>
      <c r="C5" s="21" t="str">
        <f ca="1">IFERROR(__xludf.DUMMYFUNCTION("""COMPUTED_VALUE"""),"RemainderAllocationTo")</f>
        <v>RemainderAllocationTo</v>
      </c>
      <c r="D5" s="21" t="str">
        <f ca="1">IFERROR(__xludf.DUMMYFUNCTION("""COMPUTED_VALUE"""),"Target%AsOf")</f>
        <v>Target%AsOf</v>
      </c>
      <c r="E5" s="21" t="str">
        <f ca="1">IFERROR(__xludf.DUMMYFUNCTION("""COMPUTED_VALUE"""),"ProrataAccounts")</f>
        <v>ProrataAccounts</v>
      </c>
      <c r="F5" s="22" t="str">
        <f ca="1">IFERROR(__xludf.DUMMYFUNCTION("""COMPUTED_VALUE"""),"DateUptoDays")</f>
        <v>DateUptoDays</v>
      </c>
      <c r="G5" s="21" t="str">
        <f ca="1">IFERROR(__xludf.DUMMYFUNCTION("""COMPUTED_VALUE"""),"MatchClosingTransactions")</f>
        <v>MatchClosingTransactions</v>
      </c>
      <c r="H5" s="21" t="str">
        <f ca="1">IFERROR(__xludf.DUMMYFUNCTION("""COMPUTED_VALUE"""),"PreferenceName")</f>
        <v>PreferenceName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40</v>
      </c>
      <c r="C6" s="26"/>
      <c r="D6" s="25" t="s">
        <v>80</v>
      </c>
      <c r="E6" s="26"/>
      <c r="F6" s="26"/>
      <c r="G6" s="26"/>
      <c r="H6" s="37" t="str">
        <f ca="1">"PA10-"&amp;TEXT(TODAY(),"dd-mm-yy")</f>
        <v>PA10-26-06-19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35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IFERROR(__xludf.DUMMYFUNCTION("""COMPUTED_VALUE"""),"AllocationMethod")</f>
        <v>AllocationMethod</v>
      </c>
      <c r="C5" s="21" t="str">
        <f ca="1">IFERROR(__xludf.DUMMYFUNCTION("""COMPUTED_VALUE"""),"RemainderAllocationTo")</f>
        <v>RemainderAllocationTo</v>
      </c>
      <c r="D5" s="21" t="str">
        <f ca="1">IFERROR(__xludf.DUMMYFUNCTION("""COMPUTED_VALUE"""),"Target%AsOf")</f>
        <v>Target%AsOf</v>
      </c>
      <c r="E5" s="21" t="str">
        <f ca="1">IFERROR(__xludf.DUMMYFUNCTION("""COMPUTED_VALUE"""),"ProrataAccounts")</f>
        <v>ProrataAccounts</v>
      </c>
      <c r="F5" s="22" t="str">
        <f ca="1">IFERROR(__xludf.DUMMYFUNCTION("""COMPUTED_VALUE"""),"DateUptoDays")</f>
        <v>DateUptoDays</v>
      </c>
      <c r="G5" s="21" t="str">
        <f ca="1">IFERROR(__xludf.DUMMYFUNCTION("""COMPUTED_VALUE"""),"MatchClosingTransactions")</f>
        <v>MatchClosingTransactions</v>
      </c>
      <c r="H5" s="21" t="str">
        <f ca="1">IFERROR(__xludf.DUMMYFUNCTION("""COMPUTED_VALUE"""),"PreferenceName")</f>
        <v>PreferenceName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/>
      <c r="C6" s="1"/>
      <c r="D6" s="4" t="s">
        <v>82</v>
      </c>
      <c r="E6" s="4" t="s">
        <v>83</v>
      </c>
      <c r="F6" s="1"/>
      <c r="G6" s="4" t="b">
        <v>1</v>
      </c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35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IFERROR(__xludf.DUMMYFUNCTION("""COMPUTED_VALUE"""),"AllocationMethod")</f>
        <v>AllocationMethod</v>
      </c>
      <c r="C5" s="21" t="str">
        <f ca="1">IFERROR(__xludf.DUMMYFUNCTION("""COMPUTED_VALUE"""),"RemainderAllocationTo")</f>
        <v>RemainderAllocationTo</v>
      </c>
      <c r="D5" s="21" t="str">
        <f ca="1">IFERROR(__xludf.DUMMYFUNCTION("""COMPUTED_VALUE"""),"Target%AsOf")</f>
        <v>Target%AsOf</v>
      </c>
      <c r="E5" s="21" t="str">
        <f ca="1">IFERROR(__xludf.DUMMYFUNCTION("""COMPUTED_VALUE"""),"ProrataAccounts")</f>
        <v>ProrataAccounts</v>
      </c>
      <c r="F5" s="22" t="str">
        <f ca="1">IFERROR(__xludf.DUMMYFUNCTION("""COMPUTED_VALUE"""),"DateUptoDays")</f>
        <v>DateUptoDays</v>
      </c>
      <c r="G5" s="21" t="str">
        <f ca="1">IFERROR(__xludf.DUMMYFUNCTION("""COMPUTED_VALUE"""),"MatchClosingTransactions")</f>
        <v>MatchClosingTransactions</v>
      </c>
      <c r="H5" s="21" t="str">
        <f ca="1">IFERROR(__xludf.DUMMYFUNCTION("""COMPUTED_VALUE"""),"PreferenceName")</f>
        <v>PreferenceName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40</v>
      </c>
      <c r="C6" s="1"/>
      <c r="D6" s="4" t="s">
        <v>20</v>
      </c>
      <c r="E6" s="29"/>
      <c r="F6" s="1"/>
      <c r="G6" s="1"/>
      <c r="H6" s="27" t="str">
        <f ca="1">"PA10-"&amp;TEXT(TODAY(),"dd-mm-yy")</f>
        <v>PA10-26-06-19</v>
      </c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81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IFERROR(__xludf.DUMMYFUNCTION("""COMPUTED_VALUE"""),"Accrual Basis")</f>
        <v>Accrual Basis</v>
      </c>
      <c r="C5" s="21" t="str">
        <f ca="1">IFERROR(__xludf.DUMMYFUNCTION("""COMPUTED_VALUE"""),"Accrued Interest")</f>
        <v>Accrued Interest</v>
      </c>
      <c r="D5" s="21" t="str">
        <f ca="1">IFERROR(__xludf.DUMMYFUNCTION("""COMPUTED_VALUE"""),"Allocated Qty")</f>
        <v>Allocated Qty</v>
      </c>
      <c r="E5" s="21" t="str">
        <f ca="1">IFERROR(__xludf.DUMMYFUNCTION("""COMPUTED_VALUE"""),"Allocation Scheme Name")</f>
        <v>Allocation Scheme Name</v>
      </c>
      <c r="F5" s="22" t="str">
        <f ca="1">IFERROR(__xludf.DUMMYFUNCTION("""COMPUTED_VALUE"""),"Asset Category")</f>
        <v>Asset Category</v>
      </c>
      <c r="G5" s="21" t="str">
        <f ca="1">IFERROR(__xludf.DUMMYFUNCTION("""COMPUTED_VALUE"""),"AUEC Fee1")</f>
        <v>AUEC Fee1</v>
      </c>
      <c r="H5" s="21" t="str">
        <f ca="1">IFERROR(__xludf.DUMMYFUNCTION("""COMPUTED_VALUE"""),"AUEC Fee2")</f>
        <v>AUEC Fee2</v>
      </c>
      <c r="I5" s="21" t="str">
        <f ca="1">IFERROR(__xludf.DUMMYFUNCTION("""COMPUTED_VALUE"""),"AUECID")</f>
        <v>AUECID</v>
      </c>
      <c r="J5" s="21" t="str">
        <f ca="1">IFERROR(__xludf.DUMMYFUNCTION("""COMPUTED_VALUE"""),"Avg Price(Base)")</f>
        <v>Avg Price(Base)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IFERROR(__xludf.DUMMYFUNCTION("""COMPUTED_VALUE"""),"Bloomberg")</f>
        <v>Bloomberg</v>
      </c>
      <c r="M5" s="21" t="str">
        <f ca="1">IFERROR(__xludf.DUMMYFUNCTION("""COMPUTED_VALUE"""),"Bond Type")</f>
        <v>Bond Type</v>
      </c>
      <c r="N5" s="21" t="str">
        <f ca="1">IFERROR(__xludf.DUMMYFUNCTION("""COMPUTED_VALUE"""),"Broker")</f>
        <v>Broker</v>
      </c>
      <c r="O5" s="21" t="str">
        <f ca="1">IFERROR(__xludf.DUMMYFUNCTION("""COMPUTED_VALUE"""),"Change Comment")</f>
        <v>Change Comment</v>
      </c>
      <c r="P5" s="21" t="str">
        <f ca="1">IFERROR(__xludf.DUMMYFUNCTION("""COMPUTED_VALUE"""),"Change Type")</f>
        <v>Change Type</v>
      </c>
      <c r="Q5" s="21" t="str">
        <f ca="1">IFERROR(__xludf.DUMMYFUNCTION("""COMPUTED_VALUE"""),"Clearing Broker Fee")</f>
        <v>Clearing Broker Fee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IFERROR(__xludf.DUMMYFUNCTION("""COMPUTED_VALUE"""),"Execution Time")</f>
        <v>Execution Time</v>
      </c>
      <c r="AG5" s="23" t="str">
        <f ca="1">IFERROR(__xludf.DUMMYFUNCTION("""COMPUTED_VALUE"""),"FX Conversion Operator")</f>
        <v>FX Conversion Operator</v>
      </c>
      <c r="AH5" s="23" t="str">
        <f ca="1">IFERROR(__xludf.DUMMYFUNCTION("""COMPUTED_VALUE"""),"FX Rate")</f>
        <v>FX Rate</v>
      </c>
      <c r="AI5" s="23" t="str">
        <f ca="1">IFERROR(__xludf.DUMMYFUNCTION("""COMPUTED_VALUE"""),"Group Status")</f>
        <v>Group Status</v>
      </c>
      <c r="AJ5" s="23" t="str">
        <f ca="1">IFERROR(__xludf.DUMMYFUNCTION("""COMPUTED_VALUE"""),"GroupID")</f>
        <v>GroupID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 Group")</f>
        <v>IsManual 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IFERROR(__xludf.DUMMYFUNCTION("""COMPUTED_VALUE"""),"Symbol")</f>
        <v>Symbol</v>
      </c>
      <c r="BT5" s="23" t="str">
        <f ca="1">IFERROR(__xludf.DUMMYFUNCTION("""COMPUTED_VALUE"""),"Tax On Commissions")</f>
        <v>Tax On Commissions</v>
      </c>
      <c r="BU5" s="23" t="str">
        <f ca="1">IFERROR(__xludf.DUMMYFUNCTION("""COMPUTED_VALUE"""),"Total Commission")</f>
        <v>Total Commission</v>
      </c>
      <c r="BV5" s="23" t="str">
        <f ca="1">IFERROR(__xludf.DUMMYFUNCTION("""COMPUTED_VALUE"""),"Total Commission And Fee")</f>
        <v>Total Commission And Fee</v>
      </c>
      <c r="BW5" s="23" t="str">
        <f ca="1">IFERROR(__xludf.DUMMYFUNCTION("""COMPUTED_VALUE"""),"Total Commission Per Share")</f>
        <v>Total Commission Per Share</v>
      </c>
      <c r="BX5" s="23" t="str">
        <f ca="1">IFERROR(__xludf.DUMMYFUNCTION("""COMPUTED_VALUE"""),"Trade Attribute 1")</f>
        <v>Trade Attribute 1</v>
      </c>
      <c r="BY5" s="23" t="str">
        <f ca="1">IFERROR(__xludf.DUMMYFUNCTION("""COMPUTED_VALUE"""),"Trade Attribute 2")</f>
        <v>Trade Attribute 2</v>
      </c>
      <c r="BZ5" s="23" t="str">
        <f ca="1">IFERROR(__xludf.DUMMYFUNCTION("""COMPUTED_VALUE"""),"Trade Attribute 3")</f>
        <v>Trade Attribute 3</v>
      </c>
      <c r="CA5" s="23" t="str">
        <f ca="1">IFERROR(__xludf.DUMMYFUNCTION("""COMPUTED_VALUE"""),"Trade Attribute 4")</f>
        <v>Trade Attribute 4</v>
      </c>
      <c r="CB5" s="23" t="str">
        <f ca="1">IFERROR(__xludf.DUMMYFUNCTION("""COMPUTED_VALUE"""),"Trade Attribute 5")</f>
        <v>Trade Attribute 5</v>
      </c>
      <c r="CC5" s="23" t="str">
        <f ca="1">IFERROR(__xludf.DUMMYFUNCTION("""COMPUTED_VALUE"""),"Trade Attribute 6")</f>
        <v>Trade Attribute 6</v>
      </c>
      <c r="CD5" s="23" t="str">
        <f ca="1">IFERROR(__xludf.DUMMYFUNCTION("""COMPUTED_VALUE"""),"Trade Date")</f>
        <v>Trade Date</v>
      </c>
      <c r="CE5" s="23" t="str">
        <f ca="1">IFERROR(__xludf.DUMMYFUNCTION("""COMPUTED_VALUE"""),"Trading Account")</f>
        <v>Trading Account</v>
      </c>
      <c r="CF5" s="23" t="str">
        <f ca="1">IFERROR(__xludf.DUMMYFUNCTION("""COMPUTED_VALUE"""),"Transaction Levy")</f>
        <v>Transaction Levy</v>
      </c>
      <c r="CG5" s="23" t="str">
        <f ca="1">IFERROR(__xludf.DUMMYFUNCTION("""COMPUTED_VALUE"""),"Transaction Source")</f>
        <v>Transaction Source</v>
      </c>
      <c r="CH5" s="23" t="str">
        <f ca="1">IFERROR(__xludf.DUMMYFUNCTION("""COMPUTED_VALUE"""),"Transaction Type")</f>
        <v>Transaction Type</v>
      </c>
      <c r="CI5" s="23" t="str">
        <f ca="1">IFERROR(__xludf.DUMMYFUNCTION("""COMPUTED_VALUE"""),"UnAllocatedQty")</f>
        <v>UnAllocatedQty</v>
      </c>
      <c r="CJ5" s="23" t="str">
        <f ca="1">IFERROR(__xludf.DUMMYFUNCTION("""COMPUTED_VALUE"""),"Underlying")</f>
        <v>Underlying</v>
      </c>
      <c r="CK5" s="23" t="str">
        <f ca="1">IFERROR(__xludf.DUMMYFUNCTION("""COMPUTED_VALUE"""),"Underlying Delta")</f>
        <v>Underlying Delta</v>
      </c>
      <c r="CL5" s="23" t="str">
        <f ca="1">IFERROR(__xludf.DUMMYFUNCTION("""COMPUTED_VALUE"""),"Underlying Symbol")</f>
        <v>Underlying Symbol</v>
      </c>
      <c r="CM5" s="23" t="str">
        <f ca="1">IFERROR(__xludf.DUMMYFUNCTION("""COMPUTED_VALUE"""),"User")</f>
        <v>User</v>
      </c>
      <c r="CN5" s="23" t="str">
        <f ca="1">IFERROR(__xludf.DUMMYFUNCTION("""COMPUTED_VALUE"""),"Venue")</f>
        <v>Venue</v>
      </c>
      <c r="CO5" s="23" t="str">
        <f ca="1">IFERROR(__xludf.DUMMYFUNCTION("""COMPUTED_VALUE"""),"Closing Date")</f>
        <v>Closing Date</v>
      </c>
      <c r="CP5" s="23" t="str">
        <f ca="1">IFERROR(__xludf.DUMMYFUNCTION("""COMPUTED_VALUE"""),"Expiration Date")</f>
        <v>Expiration Date</v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/>
      <c r="C6" s="1"/>
      <c r="D6" s="4"/>
      <c r="E6" s="29"/>
      <c r="F6" s="1"/>
      <c r="G6" s="1"/>
      <c r="H6" s="1"/>
      <c r="I6" s="1"/>
      <c r="J6" s="1"/>
      <c r="K6" s="4">
        <v>100</v>
      </c>
      <c r="L6" s="1"/>
      <c r="M6" s="1"/>
      <c r="N6" s="1"/>
      <c r="O6" s="1"/>
      <c r="AE6" s="31">
        <v>100</v>
      </c>
      <c r="BJ6" s="31">
        <v>100</v>
      </c>
      <c r="BO6" s="31" t="s">
        <v>52</v>
      </c>
      <c r="BS6" s="31" t="s">
        <v>50</v>
      </c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4">
        <v>100</v>
      </c>
      <c r="L7" s="1"/>
      <c r="M7" s="1"/>
      <c r="N7" s="1"/>
      <c r="O7" s="1"/>
      <c r="AE7" s="31">
        <v>100</v>
      </c>
      <c r="BJ7" s="31">
        <v>100</v>
      </c>
      <c r="BO7" s="31" t="s">
        <v>53</v>
      </c>
      <c r="BS7" s="31" t="s">
        <v>50</v>
      </c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4">
        <v>100</v>
      </c>
      <c r="L8" s="1"/>
      <c r="M8" s="1"/>
      <c r="N8" s="1"/>
      <c r="O8" s="1"/>
      <c r="AE8" s="31">
        <v>100</v>
      </c>
      <c r="BJ8" s="31">
        <v>100</v>
      </c>
      <c r="BO8" s="31" t="s">
        <v>49</v>
      </c>
      <c r="BS8" s="31" t="s">
        <v>54</v>
      </c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4">
        <v>100</v>
      </c>
      <c r="L9" s="1"/>
      <c r="M9" s="1"/>
      <c r="N9" s="1"/>
      <c r="O9" s="1"/>
      <c r="AE9" s="31">
        <v>100</v>
      </c>
      <c r="BJ9" s="31">
        <v>100</v>
      </c>
      <c r="BO9" s="31" t="s">
        <v>56</v>
      </c>
      <c r="BS9" s="31" t="s">
        <v>55</v>
      </c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_Modules</vt:lpstr>
      <vt:lpstr>_Settings</vt:lpstr>
      <vt:lpstr>_MasterData</vt:lpstr>
      <vt:lpstr>SetGeneralPreferences</vt:lpstr>
      <vt:lpstr>AddMFPreferences</vt:lpstr>
      <vt:lpstr>SetMFPreferencesDefaultRule</vt:lpstr>
      <vt:lpstr>SetMFPrefFundDistribution</vt:lpstr>
      <vt:lpstr>SetMFPrefFundDefaultRule</vt:lpstr>
      <vt:lpstr>SetMFPrefGeneralRule</vt:lpstr>
      <vt:lpstr>UpdateGRAccountValue</vt:lpstr>
      <vt:lpstr>SetMFPrefGeneralRule1</vt:lpstr>
      <vt:lpstr>UpdateGRDefaultRule1</vt:lpstr>
      <vt:lpstr>SetMFPrefAccountValues1</vt:lpstr>
      <vt:lpstr>SetMFPrefFundDefaultRule1</vt:lpstr>
      <vt:lpstr>SetMFPrefGeneralRule2</vt:lpstr>
      <vt:lpstr>UpdateGRAccountValue1</vt:lpstr>
      <vt:lpstr>GetDailyCash</vt:lpstr>
      <vt:lpstr>UpdateDailyCash</vt:lpstr>
      <vt:lpstr>CreateDoneAwayOrder</vt:lpstr>
      <vt:lpstr>GetDataAllocation</vt:lpstr>
      <vt:lpstr>GetDataClosing</vt:lpstr>
      <vt:lpstr>CheckAllocatedGroups</vt:lpstr>
      <vt:lpstr>VerifyLongPositionsGrid</vt:lpstr>
      <vt:lpstr>VerifyShortPositionsGrid</vt:lpstr>
      <vt:lpstr>CheckPortfolioManagement</vt:lpstr>
      <vt:lpstr>GetActivityData</vt:lpstr>
      <vt:lpstr>VerifyActivity</vt:lpstr>
      <vt:lpstr>SetMFPrefGeneralRule3</vt:lpstr>
      <vt:lpstr>UpdateGRDefaultRule2</vt:lpstr>
      <vt:lpstr>UpdateGRDefaultRule3</vt:lpstr>
      <vt:lpstr>UpdateGRDefaultRule</vt:lpstr>
      <vt:lpstr>CheckUnallocatedGroups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2019-06-26T11:01:41Z</dcterms:modified>
</cp:coreProperties>
</file>