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OpenRTPNL" sheetId="8" r:id="rId10"/>
    <sheet state="visible" name="CheckAccountLevelAggregation" sheetId="9" r:id="rId11"/>
  </sheets>
  <definedNames/>
  <calcPr/>
</workbook>
</file>

<file path=xl/sharedStrings.xml><?xml version="1.0" encoding="utf-8"?>
<sst xmlns="http://schemas.openxmlformats.org/spreadsheetml/2006/main" count="92" uniqueCount="38">
  <si>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</si>
  <si>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</si>
  <si>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</si>
  <si>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</si>
  <si>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</si>
  <si>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</si>
  <si>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</si>
  <si>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</si>
  <si>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</si>
  <si>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</si>
  <si>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</si>
  <si>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</si>
  <si>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</si>
  <si>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</si>
  <si>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</si>
  <si>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</si>
  <si>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</si>
  <si>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</si>
  <si>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</si>
  <si>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Yes</t>
  </si>
  <si>
    <t>FRU-TC</t>
  </si>
  <si>
    <t>O:AAPL 13A500.00</t>
  </si>
  <si>
    <t>Buy to Open</t>
  </si>
  <si>
    <t xml:space="preserve"> O:FRU 15A18-MXO</t>
  </si>
  <si>
    <t>ES U5</t>
  </si>
  <si>
    <t>ES H9C735</t>
  </si>
  <si>
    <t>PricingInput</t>
  </si>
  <si>
    <t>DailyValuation</t>
  </si>
  <si>
    <t>GetDailyCash</t>
  </si>
  <si>
    <t>UpdateMultipleDailyCash</t>
  </si>
  <si>
    <t>Allocation1</t>
  </si>
  <si>
    <t>USD</t>
  </si>
  <si>
    <t>RTPNL</t>
  </si>
  <si>
    <t>OpenRTPNL</t>
  </si>
  <si>
    <t>Nirvana,PM</t>
  </si>
  <si>
    <t>SummaryDashboard</t>
  </si>
  <si>
    <t>CheckAccountLevelAggregation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</si>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</sst>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2" t="s">
        <v>18</v>
      </c>
      <c r="H6" s="34"/>
      <c r="I6" s="34"/>
      <c r="J6" s="35">
        <v>2.0</v>
      </c>
      <c r="K6" s="34"/>
      <c r="L6" s="34"/>
      <c r="M6" s="34"/>
      <c r="N6" s="36">
        <f t="shared" ref="N6:N12" si="1">today()</f>
        <v>45733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7" t="s">
        <v>19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20</v>
      </c>
      <c r="C7" s="32" t="s">
        <v>17</v>
      </c>
      <c r="D7" s="35">
        <v>100.0</v>
      </c>
      <c r="E7" s="34"/>
      <c r="F7" s="34"/>
      <c r="G7" s="32" t="s">
        <v>18</v>
      </c>
      <c r="H7" s="34"/>
      <c r="I7" s="34"/>
      <c r="J7" s="35">
        <v>2.0</v>
      </c>
      <c r="K7" s="34"/>
      <c r="L7" s="34"/>
      <c r="M7" s="34"/>
      <c r="N7" s="36">
        <f t="shared" si="1"/>
        <v>45733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7" t="s">
        <v>19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21</v>
      </c>
      <c r="C8" s="32" t="s">
        <v>22</v>
      </c>
      <c r="D8" s="35">
        <v>100.0</v>
      </c>
      <c r="E8" s="34"/>
      <c r="F8" s="34"/>
      <c r="G8" s="32" t="s">
        <v>18</v>
      </c>
      <c r="H8" s="34"/>
      <c r="I8" s="34"/>
      <c r="J8" s="35">
        <v>2.0</v>
      </c>
      <c r="K8" s="34"/>
      <c r="L8" s="34"/>
      <c r="M8" s="34"/>
      <c r="N8" s="36">
        <f t="shared" si="1"/>
        <v>45733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7" t="s">
        <v>19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23</v>
      </c>
      <c r="C9" s="32" t="s">
        <v>22</v>
      </c>
      <c r="D9" s="35">
        <v>100.0</v>
      </c>
      <c r="E9" s="34"/>
      <c r="F9" s="34"/>
      <c r="G9" s="32" t="s">
        <v>18</v>
      </c>
      <c r="H9" s="34"/>
      <c r="I9" s="34"/>
      <c r="J9" s="35">
        <v>2.0</v>
      </c>
      <c r="K9" s="34"/>
      <c r="L9" s="34"/>
      <c r="M9" s="34"/>
      <c r="N9" s="36">
        <f t="shared" si="1"/>
        <v>45733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7" t="s">
        <v>19</v>
      </c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>
        <v>1.23456789E8</v>
      </c>
      <c r="C10" s="32" t="s">
        <v>17</v>
      </c>
      <c r="D10" s="35">
        <v>100.0</v>
      </c>
      <c r="E10" s="34"/>
      <c r="F10" s="34"/>
      <c r="G10" s="32" t="s">
        <v>18</v>
      </c>
      <c r="H10" s="34"/>
      <c r="I10" s="34"/>
      <c r="J10" s="35">
        <v>2.0</v>
      </c>
      <c r="K10" s="34"/>
      <c r="L10" s="34"/>
      <c r="M10" s="34"/>
      <c r="N10" s="36">
        <f t="shared" si="1"/>
        <v>45733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7" t="s">
        <v>19</v>
      </c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24</v>
      </c>
      <c r="C11" s="32" t="s">
        <v>17</v>
      </c>
      <c r="D11" s="35">
        <v>100.0</v>
      </c>
      <c r="E11" s="34"/>
      <c r="F11" s="34"/>
      <c r="G11" s="32" t="s">
        <v>18</v>
      </c>
      <c r="H11" s="34"/>
      <c r="I11" s="34"/>
      <c r="J11" s="35">
        <v>2.0</v>
      </c>
      <c r="K11" s="34"/>
      <c r="L11" s="34"/>
      <c r="M11" s="34"/>
      <c r="N11" s="36">
        <f t="shared" si="1"/>
        <v>45733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7" t="s">
        <v>19</v>
      </c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25</v>
      </c>
      <c r="C12" s="32" t="s">
        <v>22</v>
      </c>
      <c r="D12" s="35">
        <v>100.0</v>
      </c>
      <c r="E12" s="34"/>
      <c r="F12" s="34"/>
      <c r="G12" s="32" t="s">
        <v>18</v>
      </c>
      <c r="H12" s="34"/>
      <c r="I12" s="34"/>
      <c r="J12" s="35">
        <v>2.0</v>
      </c>
      <c r="K12" s="34"/>
      <c r="L12" s="34"/>
      <c r="M12" s="34"/>
      <c r="N12" s="36">
        <f t="shared" si="1"/>
        <v>45733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7" t="s">
        <v>19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Q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8">
        <v>2.0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38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8">
        <v>2.0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23</v>
      </c>
      <c r="C9" s="38">
        <v>2.0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8">
        <v>2.0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24</v>
      </c>
      <c r="C11" s="38">
        <v>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25</v>
      </c>
      <c r="C12" s="38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45732</v>
      </c>
      <c r="C6" s="41">
        <f>today()</f>
        <v>45733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100000.0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34</v>
      </c>
      <c r="C6" s="42" t="s">
        <v>35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IFERROR(__xludf.DUMMYFUNCTION("""COMPUTED_VALUE"""),"Fund")</f>
        <v>Fund</v>
      </c>
      <c r="D5" s="27" t="str">
        <f>IFERROR(__xludf.DUMMYFUNCTION("""COMPUTED_VALUE"""),"Market Value")</f>
        <v>Market Value</v>
      </c>
      <c r="E5" s="27" t="str">
        <f>IFERROR(__xludf.DUMMYFUNCTION("""COMPUTED_VALUE"""),"P&amp;L")</f>
        <v>P&amp;L</v>
      </c>
      <c r="F5" s="28" t="str">
        <f>IFERROR(__xludf.DUMMYFUNCTION("""COMPUTED_VALUE"""),"Day P&amp;L")</f>
        <v>Day P&amp;L</v>
      </c>
      <c r="G5" s="27" t="str">
        <f>IFERROR(__xludf.DUMMYFUNCTION("""COMPUTED_VALUE"""),"Exposure")</f>
        <v>Exposure</v>
      </c>
      <c r="H5" s="27" t="str">
        <f>IFERROR(__xludf.DUMMYFUNCTION("""COMPUTED_VALUE"""),"% Gain/Loss Day")</f>
        <v>% Gain/Loss Day</v>
      </c>
      <c r="I5" s="27" t="str">
        <f>IFERROR(__xludf.DUMMYFUNCTION("""COMPUTED_VALUE"""),"% Gain/Loss Cost")</f>
        <v>% Gain/Loss Cost</v>
      </c>
      <c r="J5" s="27" t="str">
        <f>IFERROR(__xludf.DUMMYFUNCTION("""COMPUTED_VALUE"""),"% Market Value")</f>
        <v>% Market Value</v>
      </c>
      <c r="K5" s="27" t="str">
        <f>IFERROR(__xludf.DUMMYFUNCTION("""COMPUTED_VALUE"""),"% Exposure")</f>
        <v>% Exposure</v>
      </c>
      <c r="L5" s="27" t="str">
        <f>IFERROR(__xludf.DUMMYFUNCTION("""COMPUTED_VALUE"""),"Short Exposure")</f>
        <v>Short Exposure</v>
      </c>
      <c r="M5" s="27" t="str">
        <f>IFERROR(__xludf.DUMMYFUNCTION("""COMPUTED_VALUE"""),"% Short Exposure")</f>
        <v>% Short Exposure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IFERROR(__xludf.DUMMYFUNCTION("""COMPUTED_VALUE"""),"Accruals")</f>
        <v>Accruals</v>
      </c>
      <c r="Q5" s="27" t="str">
        <f>IFERROR(__xludf.DUMMYFUNCTION("""COMPUTED_VALUE"""),"Cash")</f>
        <v>Cash</v>
      </c>
      <c r="R5" s="27" t="str">
        <f>IFERROR(__xludf.DUMMYFUNCTION("""COMPUTED_VALUE"""),"NAV")</f>
        <v>NAV</v>
      </c>
      <c r="S5" s="27" t="str">
        <f>IFERROR(__xludf.DUMMYFUNCTION("""COMPUTED_VALUE"""),"Testing Type")</f>
        <v>Testing Type</v>
      </c>
      <c r="T5" s="29" t="str">
        <f>IFERROR(__xludf.DUMMYFUNCTION("""COMPUTED_VALUE"""),"Testing Column")</f>
        <v>Testing Column</v>
      </c>
      <c r="U5" s="29" t="str">
        <f>IFERROR(__xludf.DUMMYFUNCTION("""COMPUTED_VALUE"""),"Testing Col Value")</f>
        <v>Testing Col Value</v>
      </c>
      <c r="V5" s="29" t="str">
        <f>IFERROR(__xludf.DUMMYFUNCTION("""COMPUTED_VALUE"""),"DuplicateCountOnUI")</f>
        <v>DuplicateCountOnUI</v>
      </c>
      <c r="W5" s="29" t="str">
        <f>IFERROR(__xludf.DUMMYFUNCTION("""COMPUTED_VALUE"""),"DuplicateRow")</f>
        <v>DuplicateRow</v>
      </c>
      <c r="X5" s="29" t="str">
        <f>IFERROR(__xludf.DUMMYFUNCTION("""COMPUTED_VALUE"""),"TabName")</f>
        <v>TabName</v>
      </c>
      <c r="Y5" s="29" t="str">
        <f>IFERROR(__xludf.DUMMYFUNCTION("""COMPUTED_VALUE"""),"GridDataWidgetName")</f>
        <v>GridDataWidgetName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4" t="s">
        <v>30</v>
      </c>
      <c r="C6" s="34" t="s">
        <v>37</v>
      </c>
      <c r="D6" s="43">
        <v>20602.0</v>
      </c>
      <c r="E6" s="43"/>
      <c r="F6" s="43"/>
      <c r="G6" s="43">
        <v>30602.0</v>
      </c>
      <c r="H6" s="43"/>
      <c r="I6" s="43"/>
      <c r="J6" s="44">
        <v>20.6</v>
      </c>
      <c r="K6" s="44">
        <v>30.6</v>
      </c>
      <c r="L6" s="43"/>
      <c r="M6" s="43"/>
      <c r="N6" s="43">
        <v>30602.0</v>
      </c>
      <c r="O6" s="44">
        <v>30.6</v>
      </c>
      <c r="P6" s="43"/>
      <c r="Q6" s="43">
        <v>79398.0</v>
      </c>
      <c r="R6" s="43">
        <v>100000.0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