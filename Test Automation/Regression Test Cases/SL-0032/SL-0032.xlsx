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ImportOnShortLocate" sheetId="5" r:id="rId7"/>
    <sheet state="visible" name="VerifyShortLocateGrid" sheetId="6" r:id="rId8"/>
    <sheet state="visible" name="CreateStageOrder" sheetId="7" r:id="rId9"/>
    <sheet state="visible" name="SelectTradeOnOrderGrid" sheetId="8" r:id="rId10"/>
    <sheet state="visible" name="TradeNewSubOrder" sheetId="9" r:id="rId11"/>
    <sheet state="visible" name="CreateNewSubOrder" sheetId="10" r:id="rId12"/>
    <sheet state="visible" name="SelectTradeOnOrderGrid1" sheetId="11" r:id="rId13"/>
    <sheet state="visible" name="TradeNewSubOrder1" sheetId="12" r:id="rId14"/>
    <sheet state="visible" name="CreateNewSubLiveOrder" sheetId="13" r:id="rId15"/>
    <sheet state="visible" name="SelectTrade" sheetId="14" r:id="rId16"/>
    <sheet state="visible" name="AcknowledgeTrade" sheetId="15" r:id="rId17"/>
    <sheet state="visible" name="VerifyShortLocateGrid1" sheetId="16" r:id="rId18"/>
    <sheet state="visible" name="SelectTradeOnOrderGrid2" sheetId="17" r:id="rId19"/>
    <sheet state="visible" name="SelectTradeSubOrderBlotter" sheetId="18" r:id="rId20"/>
    <sheet state="visible" name="CancelSubOrder" sheetId="19" r:id="rId21"/>
    <sheet state="visible" name="SelectTrade1" sheetId="20" r:id="rId22"/>
    <sheet state="visible" name="AcknowledgeTrade1" sheetId="21" r:id="rId23"/>
    <sheet state="visible" name="SelectTradeOnOrderGrid3" sheetId="22" r:id="rId24"/>
    <sheet state="visible" name="SelectTradeSubOrderBlotter1" sheetId="23" r:id="rId25"/>
    <sheet state="visible" name="ReplaceSubOrder" sheetId="24" r:id="rId26"/>
    <sheet state="visible" name="CreateReplaceOrder" sheetId="25" r:id="rId27"/>
    <sheet state="visible" name="VerifyShortLocateGrid2" sheetId="26" r:id="rId28"/>
  </sheets>
  <definedNames/>
  <calcPr/>
</workbook>
</file>

<file path=xl/sharedStrings.xml><?xml version="1.0" encoding="utf-8"?>
<sst xmlns="http://schemas.openxmlformats.org/spreadsheetml/2006/main" count="260" uniqueCount="45">
  <si>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</si>
  <si>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</si>
  <si>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</si>
  <si>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</si>
  <si>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</si>
  <si>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</si>
  <si>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</si>
  <si>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</si>
  <si>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</si>
  <si>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</si>
  <si>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</si>
  <si>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</si>
  <si>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</si>
  <si>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</si>
  <si>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</si>
  <si>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</si>
  <si>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</si>
  <si>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</si>
  <si>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ImportOnShortLocate</t>
  </si>
  <si>
    <t>MS</t>
  </si>
  <si>
    <t>\\192.168.2.108\DistributedAutomation_Master\Import Cases\ShortLocate-009.csv</t>
  </si>
  <si>
    <t>VerifyShortLocateGrid</t>
  </si>
  <si>
    <t>MSFT</t>
  </si>
  <si>
    <t>GS4566232</t>
  </si>
  <si>
    <t>API</t>
  </si>
  <si>
    <t>TradingTicket</t>
  </si>
  <si>
    <t>CreateStageOrder</t>
  </si>
  <si>
    <t>Sell short</t>
  </si>
  <si>
    <t>Allocation1</t>
  </si>
  <si>
    <t>Blotter</t>
  </si>
  <si>
    <t>SelectTradeOnOrderGrid</t>
  </si>
  <si>
    <t>New</t>
  </si>
  <si>
    <t>TradeNewSubOrder</t>
  </si>
  <si>
    <t>CreateNewSubOrder</t>
  </si>
  <si>
    <t>PartiallyFilled</t>
  </si>
  <si>
    <t>Buy</t>
  </si>
  <si>
    <t>CreateNewSubLiveOrder</t>
  </si>
  <si>
    <t>Simulator</t>
  </si>
  <si>
    <t>SelectTrade</t>
  </si>
  <si>
    <t>AcknowledgeTrade</t>
  </si>
  <si>
    <t>SelectTradeSubOrderBlotter</t>
  </si>
  <si>
    <t>CancelSubOrder</t>
  </si>
  <si>
    <t>Filled</t>
  </si>
  <si>
    <t>ReplaceSubOrder</t>
  </si>
  <si>
    <t>CreateReplaceOrder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</si>
</sst>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5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5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5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>
      <c r="A648" t="str">
        <f>IFERROR(__xludf.DUMMYFUNCTION("""COMPUTED_VALUE"""),"PranaClient")</f>
        <v>PranaClient</v>
      </c>
      <c r="B648" t="str">
        <f>IFERROR(__xludf.DUMMYFUNCTION("""COMPUTED_VALUE"""),"Action")</f>
        <v>Action</v>
      </c>
      <c r="C648" t="str">
        <f>IFERROR(__xludf.DUMMYFUNCTION("""COMPUTED_VALUE"""),"16YwhwfE3ekYXCEMATeZ129RipXXg6a0WjcUVWOBSLF4")</f>
        <v>16YwhwfE3ekYXCEMATeZ129RipXXg6a0WjcUVWOBSLF4</v>
      </c>
    </row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b">
        <v>1</v>
      </c>
      <c r="C6" s="32" t="s">
        <v>16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IFERROR(__xludf.DUMMYFUNCTION("""COMPUTED_VALUE"""),"Upload ThirdParty")</f>
        <v>Upload ThirdParty</v>
      </c>
      <c r="C5" s="28" t="str">
        <f>IFERROR(__xludf.DUMMYFUNCTION("""COMPUTED_VALUE"""),"Select File")</f>
        <v>Select File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19</v>
      </c>
      <c r="C6" s="35" t="s">
        <v>20</v>
      </c>
      <c r="D6" s="34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6" t="s">
        <v>22</v>
      </c>
      <c r="C6" s="37" t="s">
        <v>19</v>
      </c>
      <c r="D6" s="38">
        <v>0.0</v>
      </c>
      <c r="E6" s="39">
        <v>0.0</v>
      </c>
      <c r="F6" s="39">
        <v>5000.0</v>
      </c>
      <c r="G6" s="39">
        <v>2.0</v>
      </c>
      <c r="H6" s="39">
        <v>0.0</v>
      </c>
      <c r="I6" s="37" t="s">
        <v>23</v>
      </c>
      <c r="J6" s="39">
        <v>0.0</v>
      </c>
      <c r="K6" s="39">
        <v>0.0</v>
      </c>
      <c r="L6" s="39">
        <v>0.0</v>
      </c>
      <c r="M6" s="39">
        <v>5000.0</v>
      </c>
      <c r="N6" s="39">
        <v>2.0</v>
      </c>
      <c r="O6" s="37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22</v>
      </c>
      <c r="C6" s="32" t="s">
        <v>27</v>
      </c>
      <c r="D6" s="38">
        <v>6000.0</v>
      </c>
      <c r="E6" s="39"/>
      <c r="F6" s="32" t="s">
        <v>28</v>
      </c>
      <c r="G6" s="32"/>
      <c r="H6" s="32"/>
      <c r="I6" s="32"/>
      <c r="J6" s="39">
        <v>5.0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9">
        <v>6000.0</v>
      </c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22</v>
      </c>
      <c r="E6" s="33"/>
      <c r="F6" s="13" t="s">
        <v>27</v>
      </c>
      <c r="G6" s="13" t="s">
        <v>31</v>
      </c>
      <c r="H6" s="13">
        <v>6000.0</v>
      </c>
      <c r="I6" s="8"/>
      <c r="J6" s="8"/>
      <c r="K6" s="8"/>
      <c r="L6" s="8"/>
      <c r="M6" s="8"/>
      <c r="N6" s="8"/>
      <c r="O6" s="8"/>
      <c r="Q6" s="9" t="s">
        <v>19</v>
      </c>
      <c r="R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27</v>
      </c>
      <c r="AK6" s="9" t="s">
        <v>31</v>
      </c>
      <c r="AL6" s="9">
        <v>6000.0</v>
      </c>
      <c r="AS6" s="9" t="s">
        <v>19</v>
      </c>
      <c r="AT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27</v>
      </c>
      <c r="D6" s="13">
        <v>3000.0</v>
      </c>
      <c r="E6" s="13">
        <v>3000.0</v>
      </c>
      <c r="F6" s="13" t="s">
        <v>28</v>
      </c>
      <c r="G6" s="13" t="s">
        <v>19</v>
      </c>
      <c r="H6" s="8"/>
      <c r="I6" s="8"/>
      <c r="J6" s="13">
        <v>5.0</v>
      </c>
      <c r="K6" s="8"/>
      <c r="L6" s="8"/>
      <c r="M6" s="8"/>
      <c r="N6" s="8"/>
      <c r="O6" s="8"/>
      <c r="AO6" s="9">
        <v>3000.0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22</v>
      </c>
      <c r="E6" s="33"/>
      <c r="F6" s="13" t="s">
        <v>27</v>
      </c>
      <c r="G6" s="13" t="s">
        <v>34</v>
      </c>
      <c r="H6" s="13">
        <v>6000.0</v>
      </c>
      <c r="I6" s="8"/>
      <c r="J6" s="8"/>
      <c r="K6" s="8"/>
      <c r="L6" s="8"/>
      <c r="M6" s="8"/>
      <c r="N6" s="8"/>
      <c r="O6" s="8"/>
      <c r="Q6" s="9" t="s">
        <v>19</v>
      </c>
      <c r="R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35</v>
      </c>
      <c r="AK6" s="9" t="s">
        <v>34</v>
      </c>
      <c r="AL6" s="9">
        <v>6000.0</v>
      </c>
      <c r="AS6" s="9" t="s">
        <v>19</v>
      </c>
      <c r="AT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27</v>
      </c>
      <c r="D6" s="13">
        <v>3000.0</v>
      </c>
      <c r="E6" s="13">
        <v>3000.0</v>
      </c>
      <c r="F6" s="13" t="s">
        <v>28</v>
      </c>
      <c r="G6" s="13" t="s">
        <v>19</v>
      </c>
      <c r="H6" s="8"/>
      <c r="I6" s="8"/>
      <c r="J6" s="13">
        <v>5.0</v>
      </c>
      <c r="K6" s="8"/>
      <c r="L6" s="8"/>
      <c r="M6" s="8"/>
      <c r="N6" s="8"/>
      <c r="O6" s="8"/>
      <c r="AN6" s="9">
        <v>0.0</v>
      </c>
      <c r="AR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CreateNewSubLiveOrder!$4:$4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22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22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6" t="s">
        <v>22</v>
      </c>
      <c r="C6" s="37" t="s">
        <v>19</v>
      </c>
      <c r="D6" s="40">
        <v>0.0</v>
      </c>
      <c r="E6" s="39">
        <v>0.0</v>
      </c>
      <c r="F6" s="39">
        <v>0.0</v>
      </c>
      <c r="G6" s="39">
        <v>2.0</v>
      </c>
      <c r="H6" s="39">
        <v>0.0</v>
      </c>
      <c r="I6" s="37" t="s">
        <v>23</v>
      </c>
      <c r="J6" s="39">
        <v>6000.0</v>
      </c>
      <c r="K6" s="39">
        <v>2.0</v>
      </c>
      <c r="L6" s="39">
        <v>0.0</v>
      </c>
      <c r="M6" s="39">
        <v>5000.0</v>
      </c>
      <c r="N6" s="39">
        <v>2.0</v>
      </c>
      <c r="O6" s="37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22</v>
      </c>
      <c r="E6" s="33"/>
      <c r="F6" s="13" t="s">
        <v>27</v>
      </c>
      <c r="G6" s="13" t="s">
        <v>34</v>
      </c>
      <c r="H6" s="13">
        <v>6000.0</v>
      </c>
      <c r="I6" s="8"/>
      <c r="J6" s="8"/>
      <c r="K6" s="8"/>
      <c r="L6" s="8"/>
      <c r="M6" s="8"/>
      <c r="N6" s="8"/>
      <c r="O6" s="8"/>
      <c r="Q6" s="9" t="s">
        <v>19</v>
      </c>
      <c r="R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27</v>
      </c>
      <c r="AK6" s="9" t="s">
        <v>31</v>
      </c>
      <c r="AL6" s="9">
        <v>3000.0</v>
      </c>
      <c r="AS6" s="9" t="s">
        <v>19</v>
      </c>
      <c r="AT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SelectTradeSubOrderBlotter!$4:$4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27</v>
      </c>
      <c r="AK6" s="9" t="s">
        <v>31</v>
      </c>
      <c r="AL6" s="9">
        <v>3000.0</v>
      </c>
      <c r="AS6" s="9" t="s">
        <v>19</v>
      </c>
      <c r="AT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22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 t="str">
        <f>IFERROR(__xludf.DUMMYFUNCTION("""COMPUTED_VALUE"""),"SetToAutomaticResponse")</f>
        <v>SetToAutomaticResponse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22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22</v>
      </c>
      <c r="E6" s="33"/>
      <c r="F6" s="13" t="s">
        <v>27</v>
      </c>
      <c r="G6" s="13" t="s">
        <v>34</v>
      </c>
      <c r="H6" s="13">
        <v>3000.0</v>
      </c>
      <c r="I6" s="8"/>
      <c r="J6" s="8"/>
      <c r="K6" s="8"/>
      <c r="L6" s="8"/>
      <c r="M6" s="8"/>
      <c r="N6" s="8"/>
      <c r="O6" s="8"/>
      <c r="Q6" s="9" t="s">
        <v>19</v>
      </c>
      <c r="R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27</v>
      </c>
      <c r="AK6" s="9" t="s">
        <v>42</v>
      </c>
      <c r="AL6" s="9">
        <v>3000.0</v>
      </c>
      <c r="AS6" s="9" t="s">
        <v>19</v>
      </c>
      <c r="AT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SelectTradeSubOrderBlotter1!$4:$4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22</v>
      </c>
      <c r="AK6" s="9" t="s">
        <v>27</v>
      </c>
      <c r="AL6" s="9" t="s">
        <v>42</v>
      </c>
      <c r="AM6" s="9">
        <v>3000.0</v>
      </c>
      <c r="AT6" s="9" t="s">
        <v>19</v>
      </c>
      <c r="AU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27</v>
      </c>
      <c r="D6" s="13">
        <v>5000.0</v>
      </c>
      <c r="E6" s="13"/>
      <c r="F6" s="13" t="s">
        <v>28</v>
      </c>
      <c r="G6" s="13" t="s">
        <v>19</v>
      </c>
      <c r="H6" s="8"/>
      <c r="I6" s="8"/>
      <c r="J6" s="13">
        <v>5.0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6" t="s">
        <v>22</v>
      </c>
      <c r="C6" s="37" t="s">
        <v>19</v>
      </c>
      <c r="D6" s="40">
        <v>0.0</v>
      </c>
      <c r="E6" s="39">
        <v>0.0</v>
      </c>
      <c r="F6" s="41">
        <v>0.0</v>
      </c>
      <c r="G6" s="39">
        <v>2.0</v>
      </c>
      <c r="H6" s="39">
        <v>0.0</v>
      </c>
      <c r="I6" s="37" t="s">
        <v>23</v>
      </c>
      <c r="J6" s="41">
        <v>5000.0</v>
      </c>
      <c r="K6" s="39">
        <v>0.0</v>
      </c>
      <c r="L6" s="39">
        <v>0.0</v>
      </c>
      <c r="M6" s="39">
        <v>5000.0</v>
      </c>
      <c r="N6" s="39">
        <v>2.0</v>
      </c>
      <c r="O6" s="37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