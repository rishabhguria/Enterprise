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2" sheetId="13" r:id="rId15"/>
    <sheet state="visible" name="AcknowledgeTrade2" sheetId="14" r:id="rId16"/>
    <sheet state="visible" name="ExecuteTrade2" sheetId="15" r:id="rId17"/>
    <sheet state="visible" name="SelectTrade3" sheetId="16" r:id="rId18"/>
    <sheet state="visible" name="AcknowledgeTrade3" sheetId="17" r:id="rId19"/>
    <sheet state="visible" name="ExecuteTrade3" sheetId="18" r:id="rId20"/>
    <sheet state="visible" name="SelectTrade4" sheetId="19" r:id="rId21"/>
    <sheet state="visible" name="AcknowledgeTrade4" sheetId="20" r:id="rId22"/>
    <sheet state="visible" name="ExecuteTrade4" sheetId="21" r:id="rId23"/>
    <sheet state="visible" name="SelectTrade5" sheetId="22" r:id="rId24"/>
    <sheet state="visible" name="AcknowledgeTrade5" sheetId="23" r:id="rId25"/>
    <sheet state="visible" name="ExecuteTrade5" sheetId="24" r:id="rId26"/>
    <sheet state="visible" name="VerifyOrder" sheetId="25" r:id="rId27"/>
    <sheet state="visible" name="GetDataAllocation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<sst xmlns="http://schemas.openxmlformats.org/spreadsheetml/2006/main" count="595" uniqueCount="54">
  <si>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</si>
  <si>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</si>
  <si>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</si>
  <si>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</si>
  <si>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</si>
  <si>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</si>
  <si>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</si>
  <si>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</si>
  <si>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</si>
  <si>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</si>
  <si>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</si>
  <si>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</si>
  <si>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</si>
  <si>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</si>
  <si>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</si>
  <si>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</si>
  <si>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</si>
  <si>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</si>
  <si>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</si>
  <si>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</si>
  <si>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AAPL</t>
  </si>
  <si>
    <t>Buy</t>
  </si>
  <si>
    <t>MS</t>
  </si>
  <si>
    <t>S1</t>
  </si>
  <si>
    <t>S2</t>
  </si>
  <si>
    <t>IBM</t>
  </si>
  <si>
    <t>Strategy Unallocated</t>
  </si>
  <si>
    <t>MJN</t>
  </si>
  <si>
    <t>MSFT</t>
  </si>
  <si>
    <t>Day</t>
  </si>
  <si>
    <t>Market</t>
  </si>
  <si>
    <t>NASDAQ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</si>
  <si>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</si>
  <si>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</si>
  <si>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</si>
  <si>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</si>
  <si>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</si>
  <si>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</si>
  <si>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</si>
  <si>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/>
  </si>
  <si>
    <t>US</t>
  </si>
  <si>
    <t>GCCAP1</t>
  </si>
  <si>
    <t>USD</t>
  </si>
  <si>
    <t>M</t>
  </si>
  <si>
    <t>Equity</t>
  </si>
  <si>
    <t>GetDataAllocation</t>
  </si>
  <si>
    <t>Historical</t>
  </si>
  <si>
    <t>CheckAllocatedGroups</t>
  </si>
  <si>
    <t>Manual</t>
  </si>
  <si>
    <t>Open</t>
  </si>
  <si>
    <t>PortfolioManagement</t>
  </si>
  <si>
    <t>CheckPortfolioManagement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</si>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</sst>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name val="Arial"/>
    </font>
    <font>
      <color rgb="FF000000"/>
      <name val="Arial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6" fontId="1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17" numFmtId="0" xfId="0" applyAlignment="1" applyFont="1">
      <alignment horizontal="right"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IFERROR(__xludf.DUMMYFUNCTION("""COMPUTED_VALUE"""),"AutoGroup")</f>
        <v>AutoGroup</v>
      </c>
      <c r="C5" s="27" t="str">
        <f>IFERROR(__xludf.DUMMYFUNCTION("""COMPUTED_VALUE"""),"TradeAttribute1")</f>
        <v>TradeAttribute1</v>
      </c>
      <c r="D5" s="27" t="str">
        <f>IFERROR(__xludf.DUMMYFUNCTION("""COMPUTED_VALUE"""),"TradeAttribute2")</f>
        <v>TradeAttribute2</v>
      </c>
      <c r="E5" s="27" t="str">
        <f>IFERROR(__xludf.DUMMYFUNCTION("""COMPUTED_VALUE"""),"TradeAttribute3")</f>
        <v>TradeAttribute3</v>
      </c>
      <c r="F5" s="28" t="str">
        <f>IFERROR(__xludf.DUMMYFUNCTION("""COMPUTED_VALUE"""),"TradeAttribute4")</f>
        <v>TradeAttribute4</v>
      </c>
      <c r="G5" s="27" t="str">
        <f>IFERROR(__xludf.DUMMYFUNCTION("""COMPUTED_VALUE"""),"TradeAttribute5")</f>
        <v>TradeAttribute5</v>
      </c>
      <c r="H5" s="27" t="str">
        <f>IFERROR(__xludf.DUMMYFUNCTION("""COMPUTED_VALUE"""),"TradeAttribute6")</f>
        <v>TradeAttribute6</v>
      </c>
      <c r="I5" s="27" t="str">
        <f>IFERROR(__xludf.DUMMYFUNCTION("""COMPUTED_VALUE"""),"Broker")</f>
        <v>Broker</v>
      </c>
      <c r="J5" s="27" t="str">
        <f>IFERROR(__xludf.DUMMYFUNCTION("""COMPUTED_VALUE"""),"Venue")</f>
        <v>Venue</v>
      </c>
      <c r="K5" s="27" t="str">
        <f>IFERROR(__xludf.DUMMYFUNCTION("""COMPUTED_VALUE"""),"TradingAC")</f>
        <v>TradingAC</v>
      </c>
      <c r="L5" s="27" t="str">
        <f>IFERROR(__xludf.DUMMYFUNCTION("""COMPUTED_VALUE"""),"TradeDate")</f>
        <v>TradeDate</v>
      </c>
      <c r="M5" s="27" t="str">
        <f>IFERROR(__xludf.DUMMYFUNCTION("""COMPUTED_VALUE"""),"ProcessDate")</f>
        <v>ProcessDate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3" t="b">
        <v>1</v>
      </c>
      <c r="L6" s="34" t="b">
        <v>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IFERROR(__xludf.DUMMYFUNCTION("""COMPUTED_VALUE"""),"FundName")</f>
        <v>FundName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20</v>
      </c>
      <c r="C6" s="37" t="s">
        <v>21</v>
      </c>
      <c r="D6" s="38">
        <v>200.0</v>
      </c>
      <c r="E6" s="39">
        <v>200.0</v>
      </c>
      <c r="F6" s="37" t="s">
        <v>17</v>
      </c>
      <c r="G6" s="37" t="s">
        <v>22</v>
      </c>
      <c r="H6" s="32"/>
      <c r="I6" s="32"/>
      <c r="J6" s="39">
        <v>10.0</v>
      </c>
      <c r="K6" s="32"/>
      <c r="L6" s="32"/>
      <c r="M6" s="40" t="s">
        <v>23</v>
      </c>
      <c r="N6" s="41">
        <f>today()</f>
        <v>45877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20</v>
      </c>
      <c r="C7" s="37" t="s">
        <v>21</v>
      </c>
      <c r="D7" s="39">
        <v>100.0</v>
      </c>
      <c r="E7" s="39">
        <v>100.0</v>
      </c>
      <c r="F7" s="37" t="s">
        <v>17</v>
      </c>
      <c r="G7" s="37" t="s">
        <v>22</v>
      </c>
      <c r="H7" s="32"/>
      <c r="I7" s="32"/>
      <c r="J7" s="39">
        <v>10.0</v>
      </c>
      <c r="K7" s="32"/>
      <c r="L7" s="32"/>
      <c r="M7" s="37" t="s">
        <v>24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2" t="s">
        <v>25</v>
      </c>
      <c r="C8" s="37" t="s">
        <v>21</v>
      </c>
      <c r="D8" s="39">
        <v>100.0</v>
      </c>
      <c r="E8" s="39">
        <v>100.0</v>
      </c>
      <c r="F8" s="37" t="s">
        <v>17</v>
      </c>
      <c r="G8" s="37" t="s">
        <v>22</v>
      </c>
      <c r="H8" s="32"/>
      <c r="I8" s="32"/>
      <c r="J8" s="39">
        <v>10.0</v>
      </c>
      <c r="K8" s="32"/>
      <c r="L8" s="32"/>
      <c r="M8" s="37" t="s">
        <v>26</v>
      </c>
      <c r="N8" s="41">
        <f t="shared" ref="N8:N9" si="1">today()</f>
        <v>45877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7" t="s">
        <v>27</v>
      </c>
      <c r="C9" s="37" t="s">
        <v>21</v>
      </c>
      <c r="D9" s="39">
        <v>100.0</v>
      </c>
      <c r="E9" s="39">
        <v>100.0</v>
      </c>
      <c r="F9" s="37" t="s">
        <v>17</v>
      </c>
      <c r="G9" s="37" t="s">
        <v>22</v>
      </c>
      <c r="H9" s="32"/>
      <c r="I9" s="32"/>
      <c r="J9" s="39">
        <v>10.0</v>
      </c>
      <c r="K9" s="32"/>
      <c r="L9" s="32"/>
      <c r="M9" s="37" t="s">
        <v>26</v>
      </c>
      <c r="N9" s="41">
        <f t="shared" si="1"/>
        <v>45877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3" t="s">
        <v>28</v>
      </c>
      <c r="C10" s="32" t="s">
        <v>21</v>
      </c>
      <c r="D10" s="39">
        <v>200.0</v>
      </c>
      <c r="E10" s="39">
        <v>200.0</v>
      </c>
      <c r="F10" s="43" t="s">
        <v>17</v>
      </c>
      <c r="G10" s="32" t="s">
        <v>22</v>
      </c>
      <c r="H10" s="32" t="s">
        <v>29</v>
      </c>
      <c r="I10" s="32" t="s">
        <v>30</v>
      </c>
      <c r="J10" s="39">
        <v>10.0</v>
      </c>
      <c r="K10" s="32"/>
      <c r="L10" s="32"/>
      <c r="M10" s="32" t="s">
        <v>23</v>
      </c>
      <c r="N10" s="44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 t="s">
        <v>31</v>
      </c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2" t="s">
        <v>28</v>
      </c>
      <c r="C11" s="37" t="s">
        <v>21</v>
      </c>
      <c r="D11" s="39">
        <v>100.0</v>
      </c>
      <c r="E11" s="39">
        <v>100.0</v>
      </c>
      <c r="F11" s="37" t="s">
        <v>17</v>
      </c>
      <c r="G11" s="37" t="s">
        <v>22</v>
      </c>
      <c r="H11" s="32" t="s">
        <v>29</v>
      </c>
      <c r="I11" s="32" t="s">
        <v>30</v>
      </c>
      <c r="J11" s="39">
        <v>10.0</v>
      </c>
      <c r="K11" s="32"/>
      <c r="L11" s="32"/>
      <c r="M11" s="32" t="s">
        <v>23</v>
      </c>
      <c r="N11" s="44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 t="s">
        <v>31</v>
      </c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7" t="s">
        <v>20</v>
      </c>
      <c r="D6" s="30"/>
      <c r="E6" s="32"/>
      <c r="F6" s="32"/>
      <c r="G6" s="39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7" t="s">
        <v>20</v>
      </c>
      <c r="D6" s="30"/>
      <c r="E6" s="32"/>
      <c r="F6" s="32"/>
      <c r="G6" s="39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10.0</v>
      </c>
      <c r="C6" s="39">
        <v>200.0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7" t="s">
        <v>20</v>
      </c>
      <c r="D6" s="30"/>
      <c r="E6" s="32"/>
      <c r="F6" s="32"/>
      <c r="G6" s="39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7" t="s">
        <v>20</v>
      </c>
      <c r="D6" s="30"/>
      <c r="E6" s="32"/>
      <c r="F6" s="32"/>
      <c r="G6" s="39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10.0</v>
      </c>
      <c r="C6" s="39">
        <v>100.0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42" t="s">
        <v>25</v>
      </c>
      <c r="D6" s="30"/>
      <c r="E6" s="32"/>
      <c r="F6" s="32"/>
      <c r="G6" s="39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42" t="s">
        <v>25</v>
      </c>
      <c r="D6" s="30"/>
      <c r="E6" s="32"/>
      <c r="F6" s="32"/>
      <c r="G6" s="39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10.0</v>
      </c>
      <c r="C6" s="39">
        <v>100.0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7" t="s">
        <v>27</v>
      </c>
      <c r="D6" s="30"/>
      <c r="E6" s="32"/>
      <c r="F6" s="32"/>
      <c r="G6" s="39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21</v>
      </c>
      <c r="C6" s="37" t="s">
        <v>27</v>
      </c>
      <c r="D6" s="30"/>
      <c r="E6" s="32"/>
      <c r="F6" s="32"/>
      <c r="G6" s="39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10.0</v>
      </c>
      <c r="C6" s="39">
        <v>100.0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3" t="s">
        <v>28</v>
      </c>
      <c r="D6" s="30"/>
      <c r="E6" s="32"/>
      <c r="F6" s="32"/>
      <c r="G6" s="39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3" t="s">
        <v>28</v>
      </c>
      <c r="D6" s="30"/>
      <c r="E6" s="32"/>
      <c r="F6" s="32"/>
      <c r="G6" s="39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10.0</v>
      </c>
      <c r="C6" s="39">
        <v>200.0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3" t="s">
        <v>28</v>
      </c>
      <c r="D6" s="30"/>
      <c r="E6" s="32"/>
      <c r="F6" s="32"/>
      <c r="G6" s="4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3" t="s">
        <v>28</v>
      </c>
      <c r="D6" s="30"/>
      <c r="E6" s="32"/>
      <c r="F6" s="32"/>
      <c r="G6" s="4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10.0</v>
      </c>
      <c r="C6" s="39">
        <v>100.0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46"/>
      <c r="B6" s="46"/>
      <c r="C6" s="47"/>
      <c r="D6" s="46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8" t="s">
        <v>20</v>
      </c>
      <c r="AJ6" s="48" t="s">
        <v>21</v>
      </c>
      <c r="AK6" s="48" t="s">
        <v>38</v>
      </c>
      <c r="AL6" s="49">
        <v>200.0</v>
      </c>
      <c r="AM6" s="49">
        <v>200.0</v>
      </c>
      <c r="AN6" s="47"/>
      <c r="AO6" s="47"/>
      <c r="AP6" s="47"/>
      <c r="AQ6" s="47"/>
      <c r="AR6" s="47"/>
      <c r="AS6" s="48" t="s">
        <v>22</v>
      </c>
      <c r="AT6" s="48" t="s">
        <v>17</v>
      </c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</row>
    <row r="7" ht="15.7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8" t="s">
        <v>20</v>
      </c>
      <c r="AJ7" s="48" t="s">
        <v>21</v>
      </c>
      <c r="AK7" s="48" t="s">
        <v>38</v>
      </c>
      <c r="AL7" s="49">
        <v>100.0</v>
      </c>
      <c r="AM7" s="49">
        <v>100.0</v>
      </c>
      <c r="AN7" s="47"/>
      <c r="AO7" s="47"/>
      <c r="AP7" s="47"/>
      <c r="AQ7" s="47"/>
      <c r="AR7" s="47"/>
      <c r="AS7" s="48" t="s">
        <v>22</v>
      </c>
      <c r="AT7" s="48" t="s">
        <v>17</v>
      </c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3" t="s">
        <v>25</v>
      </c>
      <c r="AJ8" s="32" t="s">
        <v>21</v>
      </c>
      <c r="AK8" s="32" t="s">
        <v>38</v>
      </c>
      <c r="AL8" s="50">
        <v>100.0</v>
      </c>
      <c r="AM8" s="50">
        <v>100.0</v>
      </c>
      <c r="AN8" s="32"/>
      <c r="AO8" s="32"/>
      <c r="AP8" s="32"/>
      <c r="AQ8" s="32"/>
      <c r="AR8" s="32"/>
      <c r="AS8" s="32" t="s">
        <v>22</v>
      </c>
      <c r="AT8" s="32" t="s">
        <v>17</v>
      </c>
      <c r="AU8" s="32" t="s">
        <v>30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 t="s">
        <v>27</v>
      </c>
      <c r="AJ9" s="32" t="s">
        <v>21</v>
      </c>
      <c r="AK9" s="32" t="s">
        <v>38</v>
      </c>
      <c r="AL9" s="50">
        <v>100.0</v>
      </c>
      <c r="AM9" s="50">
        <v>100.0</v>
      </c>
      <c r="AN9" s="32"/>
      <c r="AO9" s="32"/>
      <c r="AP9" s="32"/>
      <c r="AQ9" s="32"/>
      <c r="AR9" s="32"/>
      <c r="AS9" s="32" t="s">
        <v>22</v>
      </c>
      <c r="AT9" s="32" t="s">
        <v>17</v>
      </c>
      <c r="AU9" s="32" t="s">
        <v>30</v>
      </c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 t="s">
        <v>39</v>
      </c>
      <c r="B10" s="32"/>
      <c r="C10" s="32"/>
      <c r="D10" s="50">
        <v>10.0</v>
      </c>
      <c r="E10" s="32"/>
      <c r="F10" s="32"/>
      <c r="G10" s="32"/>
      <c r="H10" s="32"/>
      <c r="I10" s="32"/>
      <c r="J10" s="33" t="s">
        <v>28</v>
      </c>
      <c r="K10" s="32" t="s">
        <v>40</v>
      </c>
      <c r="L10" s="32" t="s">
        <v>41</v>
      </c>
      <c r="M10" s="32"/>
      <c r="N10" s="32"/>
      <c r="O10" s="32"/>
      <c r="P10" s="32"/>
      <c r="Q10" s="32"/>
      <c r="R10" s="32"/>
      <c r="S10" s="32"/>
      <c r="T10" s="32"/>
      <c r="U10" s="32" t="s">
        <v>42</v>
      </c>
      <c r="V10" s="32"/>
      <c r="W10" s="32"/>
      <c r="X10" s="32"/>
      <c r="Y10" s="32"/>
      <c r="Z10" s="32"/>
      <c r="AA10" s="32"/>
      <c r="AB10" s="50">
        <v>100.0</v>
      </c>
      <c r="AC10" s="32"/>
      <c r="AD10" s="50">
        <v>1.0</v>
      </c>
      <c r="AE10" s="32"/>
      <c r="AF10" s="32" t="s">
        <v>43</v>
      </c>
      <c r="AG10" s="32"/>
      <c r="AH10" s="32" t="s">
        <v>44</v>
      </c>
      <c r="AI10" s="33" t="s">
        <v>28</v>
      </c>
      <c r="AJ10" s="32" t="s">
        <v>21</v>
      </c>
      <c r="AK10" s="32" t="s">
        <v>38</v>
      </c>
      <c r="AL10" s="50">
        <v>100.0</v>
      </c>
      <c r="AM10" s="50">
        <v>100.0</v>
      </c>
      <c r="AN10" s="50">
        <v>100.0</v>
      </c>
      <c r="AO10" s="50">
        <v>100.0</v>
      </c>
      <c r="AP10" s="32"/>
      <c r="AQ10" s="50">
        <v>10.0</v>
      </c>
      <c r="AR10" s="50">
        <v>10.0</v>
      </c>
      <c r="AS10" s="32" t="s">
        <v>22</v>
      </c>
      <c r="AT10" s="32" t="s">
        <v>17</v>
      </c>
      <c r="AU10" s="32" t="s">
        <v>30</v>
      </c>
      <c r="AV10" s="32"/>
      <c r="AW10" s="32"/>
      <c r="AX10" s="32"/>
      <c r="AY10" s="50">
        <v>100.0</v>
      </c>
      <c r="AZ10" s="32"/>
      <c r="BA10" s="32"/>
      <c r="BB10" s="32" t="s">
        <v>39</v>
      </c>
      <c r="BC10" s="32" t="s">
        <v>39</v>
      </c>
      <c r="BD10" s="32" t="s">
        <v>39</v>
      </c>
      <c r="BE10" s="32" t="s">
        <v>39</v>
      </c>
      <c r="BF10" s="32" t="s">
        <v>39</v>
      </c>
      <c r="BG10" s="51" t="s">
        <v>18</v>
      </c>
      <c r="BH10" s="32" t="s">
        <v>39</v>
      </c>
      <c r="BI10" s="32" t="s">
        <v>39</v>
      </c>
      <c r="BJ10" s="32" t="s">
        <v>39</v>
      </c>
      <c r="BK10" s="32" t="s">
        <v>39</v>
      </c>
      <c r="BL10" s="32" t="s">
        <v>39</v>
      </c>
      <c r="BM10" s="32" t="s">
        <v>39</v>
      </c>
      <c r="BN10" s="32" t="s">
        <v>39</v>
      </c>
      <c r="BO10" s="32" t="s">
        <v>39</v>
      </c>
      <c r="BP10" s="32" t="s">
        <v>39</v>
      </c>
      <c r="BQ10" s="32" t="s">
        <v>39</v>
      </c>
      <c r="BR10" s="32" t="s">
        <v>39</v>
      </c>
      <c r="BS10" s="32" t="s">
        <v>39</v>
      </c>
      <c r="BT10" s="32" t="s">
        <v>39</v>
      </c>
      <c r="BU10" s="32" t="s">
        <v>39</v>
      </c>
      <c r="BV10" s="32" t="s">
        <v>39</v>
      </c>
      <c r="BW10" s="32" t="s">
        <v>39</v>
      </c>
      <c r="BX10" s="32" t="s">
        <v>39</v>
      </c>
      <c r="BY10" s="32" t="s">
        <v>39</v>
      </c>
      <c r="BZ10" s="32" t="s">
        <v>39</v>
      </c>
      <c r="CA10" s="32" t="s">
        <v>39</v>
      </c>
      <c r="CB10" s="32" t="s">
        <v>39</v>
      </c>
      <c r="CC10" s="32" t="s">
        <v>39</v>
      </c>
      <c r="CD10" s="32" t="s">
        <v>39</v>
      </c>
      <c r="CE10" s="32" t="s">
        <v>39</v>
      </c>
      <c r="CF10" s="32" t="s">
        <v>39</v>
      </c>
      <c r="CG10" s="32" t="s">
        <v>39</v>
      </c>
      <c r="CH10" s="32" t="s">
        <v>39</v>
      </c>
      <c r="CI10" s="32" t="s">
        <v>39</v>
      </c>
      <c r="CJ10" s="32" t="s">
        <v>39</v>
      </c>
      <c r="CK10" s="32" t="s">
        <v>39</v>
      </c>
      <c r="CL10" s="32" t="s">
        <v>39</v>
      </c>
      <c r="CM10" s="32" t="s">
        <v>39</v>
      </c>
      <c r="CN10" s="32" t="s">
        <v>39</v>
      </c>
      <c r="CO10" s="32" t="s">
        <v>39</v>
      </c>
      <c r="CP10" s="32" t="s">
        <v>39</v>
      </c>
      <c r="CQ10" s="32" t="s">
        <v>39</v>
      </c>
      <c r="CR10" s="32" t="s">
        <v>39</v>
      </c>
      <c r="CS10" s="32" t="s">
        <v>39</v>
      </c>
      <c r="CT10" s="32" t="s">
        <v>39</v>
      </c>
      <c r="CU10" s="32" t="s">
        <v>39</v>
      </c>
      <c r="CV10" s="32" t="s">
        <v>39</v>
      </c>
      <c r="CW10" s="32" t="s">
        <v>39</v>
      </c>
      <c r="CX10" s="32" t="s">
        <v>39</v>
      </c>
      <c r="CY10" s="32" t="s">
        <v>39</v>
      </c>
      <c r="CZ10" s="32" t="s">
        <v>39</v>
      </c>
      <c r="DA10" s="32" t="s">
        <v>39</v>
      </c>
      <c r="DB10" s="32" t="s">
        <v>39</v>
      </c>
      <c r="DC10" s="32" t="s">
        <v>39</v>
      </c>
      <c r="DD10" s="32" t="s">
        <v>39</v>
      </c>
      <c r="DE10" s="32" t="s">
        <v>39</v>
      </c>
      <c r="DF10" s="32" t="s">
        <v>39</v>
      </c>
      <c r="DG10" s="32" t="s">
        <v>39</v>
      </c>
      <c r="DH10" s="32" t="s">
        <v>39</v>
      </c>
      <c r="DI10" s="32" t="s">
        <v>39</v>
      </c>
      <c r="DJ10" s="32" t="s">
        <v>39</v>
      </c>
      <c r="DK10" s="32" t="s">
        <v>39</v>
      </c>
      <c r="DL10" s="32" t="s">
        <v>39</v>
      </c>
      <c r="DM10" s="32" t="s">
        <v>39</v>
      </c>
      <c r="DN10" s="32" t="s">
        <v>39</v>
      </c>
      <c r="DO10" s="32" t="s">
        <v>39</v>
      </c>
      <c r="DP10" s="32" t="s">
        <v>39</v>
      </c>
      <c r="DQ10" s="32" t="s">
        <v>39</v>
      </c>
      <c r="DR10" s="32" t="s">
        <v>39</v>
      </c>
      <c r="DS10" s="32" t="s">
        <v>39</v>
      </c>
      <c r="DT10" s="32" t="s">
        <v>39</v>
      </c>
      <c r="DU10" s="32" t="s">
        <v>39</v>
      </c>
      <c r="DV10" s="32" t="s">
        <v>39</v>
      </c>
      <c r="DW10" s="32" t="s">
        <v>39</v>
      </c>
      <c r="DX10" s="32" t="s">
        <v>39</v>
      </c>
      <c r="DY10" s="32" t="s">
        <v>39</v>
      </c>
      <c r="DZ10" s="32" t="s">
        <v>39</v>
      </c>
      <c r="EA10" s="32" t="s">
        <v>39</v>
      </c>
      <c r="EB10" s="32" t="s">
        <v>39</v>
      </c>
      <c r="EC10" s="32" t="s">
        <v>39</v>
      </c>
      <c r="ED10" s="32" t="s">
        <v>39</v>
      </c>
      <c r="EE10" s="32" t="s">
        <v>39</v>
      </c>
      <c r="EF10" s="32" t="s">
        <v>39</v>
      </c>
      <c r="EG10" s="32" t="s">
        <v>39</v>
      </c>
      <c r="EH10" s="32" t="s">
        <v>39</v>
      </c>
      <c r="EI10" s="32" t="s">
        <v>39</v>
      </c>
      <c r="EJ10" s="32" t="s">
        <v>39</v>
      </c>
      <c r="EK10" s="32" t="s">
        <v>39</v>
      </c>
      <c r="EL10" s="32" t="s">
        <v>39</v>
      </c>
      <c r="EM10" s="32" t="s">
        <v>39</v>
      </c>
      <c r="EN10" s="32" t="s">
        <v>39</v>
      </c>
      <c r="EO10" s="32" t="s">
        <v>39</v>
      </c>
      <c r="EP10" s="32" t="s">
        <v>39</v>
      </c>
      <c r="EQ10" s="32" t="s">
        <v>39</v>
      </c>
      <c r="ER10" s="32" t="s">
        <v>39</v>
      </c>
      <c r="ES10" s="32" t="s">
        <v>39</v>
      </c>
      <c r="ET10" s="32" t="s">
        <v>39</v>
      </c>
      <c r="EU10" s="32" t="s">
        <v>39</v>
      </c>
      <c r="EV10" s="32" t="s">
        <v>39</v>
      </c>
      <c r="EW10" s="32" t="s">
        <v>39</v>
      </c>
      <c r="EX10" s="32" t="s">
        <v>39</v>
      </c>
      <c r="EY10" s="32" t="s">
        <v>39</v>
      </c>
      <c r="EZ10" s="32" t="s">
        <v>39</v>
      </c>
      <c r="FA10" s="32" t="s">
        <v>39</v>
      </c>
      <c r="FB10" s="32" t="s">
        <v>39</v>
      </c>
      <c r="FC10" s="32" t="s">
        <v>39</v>
      </c>
      <c r="FD10" s="32" t="s">
        <v>39</v>
      </c>
      <c r="FE10" s="32" t="s">
        <v>39</v>
      </c>
      <c r="FF10" s="32" t="s">
        <v>39</v>
      </c>
      <c r="FG10" s="32" t="s">
        <v>39</v>
      </c>
      <c r="FH10" s="32" t="s">
        <v>39</v>
      </c>
      <c r="FI10" s="32" t="s">
        <v>39</v>
      </c>
      <c r="FJ10" s="32" t="s">
        <v>39</v>
      </c>
      <c r="FK10" s="32" t="s">
        <v>39</v>
      </c>
      <c r="FL10" s="32" t="s">
        <v>39</v>
      </c>
      <c r="FM10" s="32" t="s">
        <v>39</v>
      </c>
      <c r="FN10" s="32" t="s">
        <v>39</v>
      </c>
      <c r="FO10" s="32" t="s">
        <v>39</v>
      </c>
      <c r="FP10" s="32" t="s">
        <v>39</v>
      </c>
      <c r="FQ10" s="32" t="s">
        <v>39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 t="s">
        <v>39</v>
      </c>
      <c r="B11" s="32"/>
      <c r="C11" s="32"/>
      <c r="D11" s="39">
        <v>10.0</v>
      </c>
      <c r="E11" s="42"/>
      <c r="F11" s="32"/>
      <c r="G11" s="32"/>
      <c r="H11" s="32"/>
      <c r="I11" s="32"/>
      <c r="J11" s="42" t="s">
        <v>28</v>
      </c>
      <c r="K11" s="37" t="s">
        <v>40</v>
      </c>
      <c r="L11" s="37" t="s">
        <v>41</v>
      </c>
      <c r="M11" s="32"/>
      <c r="N11" s="32"/>
      <c r="O11" s="32"/>
      <c r="P11" s="32"/>
      <c r="Q11" s="32"/>
      <c r="R11" s="32"/>
      <c r="S11" s="32"/>
      <c r="T11" s="32"/>
      <c r="U11" s="32" t="s">
        <v>42</v>
      </c>
      <c r="V11" s="32"/>
      <c r="W11" s="32"/>
      <c r="X11" s="32"/>
      <c r="Y11" s="32"/>
      <c r="Z11" s="32"/>
      <c r="AA11" s="32"/>
      <c r="AB11" s="50">
        <v>200.0</v>
      </c>
      <c r="AC11" s="32"/>
      <c r="AD11" s="50">
        <v>1.0</v>
      </c>
      <c r="AE11" s="32"/>
      <c r="AF11" s="32" t="s">
        <v>43</v>
      </c>
      <c r="AG11" s="32"/>
      <c r="AH11" s="32" t="s">
        <v>44</v>
      </c>
      <c r="AI11" s="33" t="s">
        <v>28</v>
      </c>
      <c r="AJ11" s="32" t="s">
        <v>21</v>
      </c>
      <c r="AK11" s="32" t="s">
        <v>38</v>
      </c>
      <c r="AL11" s="50">
        <v>200.0</v>
      </c>
      <c r="AM11" s="50">
        <v>200.0</v>
      </c>
      <c r="AN11" s="50">
        <v>100.0</v>
      </c>
      <c r="AO11" s="50">
        <v>200.0</v>
      </c>
      <c r="AP11" s="32"/>
      <c r="AQ11" s="50">
        <v>10.0</v>
      </c>
      <c r="AR11" s="50">
        <v>10.0</v>
      </c>
      <c r="AS11" s="32" t="s">
        <v>22</v>
      </c>
      <c r="AT11" s="32" t="s">
        <v>17</v>
      </c>
      <c r="AU11" s="32" t="s">
        <v>30</v>
      </c>
      <c r="AV11" s="32"/>
      <c r="AW11" s="32"/>
      <c r="AX11" s="32"/>
      <c r="AY11" s="50">
        <v>200.0</v>
      </c>
      <c r="AZ11" s="32"/>
      <c r="BA11" s="32"/>
      <c r="BB11" s="32" t="s">
        <v>39</v>
      </c>
      <c r="BC11" s="32" t="s">
        <v>39</v>
      </c>
      <c r="BD11" s="32" t="s">
        <v>39</v>
      </c>
      <c r="BE11" s="32" t="s">
        <v>39</v>
      </c>
      <c r="BF11" s="32" t="s">
        <v>39</v>
      </c>
      <c r="BG11" s="51" t="s">
        <v>18</v>
      </c>
      <c r="BH11" s="32" t="s">
        <v>39</v>
      </c>
      <c r="BI11" s="32" t="s">
        <v>39</v>
      </c>
      <c r="BJ11" s="32" t="s">
        <v>39</v>
      </c>
      <c r="BK11" s="32" t="s">
        <v>39</v>
      </c>
      <c r="BL11" s="32" t="s">
        <v>39</v>
      </c>
      <c r="BM11" s="32" t="s">
        <v>39</v>
      </c>
      <c r="BN11" s="32" t="s">
        <v>39</v>
      </c>
      <c r="BO11" s="32" t="s">
        <v>39</v>
      </c>
      <c r="BP11" s="32" t="s">
        <v>39</v>
      </c>
      <c r="BQ11" s="32" t="s">
        <v>39</v>
      </c>
      <c r="BR11" s="32" t="s">
        <v>39</v>
      </c>
      <c r="BS11" s="32" t="s">
        <v>39</v>
      </c>
      <c r="BT11" s="32" t="s">
        <v>39</v>
      </c>
      <c r="BU11" s="32" t="s">
        <v>39</v>
      </c>
      <c r="BV11" s="32" t="s">
        <v>39</v>
      </c>
      <c r="BW11" s="32" t="s">
        <v>39</v>
      </c>
      <c r="BX11" s="32" t="s">
        <v>39</v>
      </c>
      <c r="BY11" s="32" t="s">
        <v>39</v>
      </c>
      <c r="BZ11" s="32" t="s">
        <v>39</v>
      </c>
      <c r="CA11" s="32" t="s">
        <v>39</v>
      </c>
      <c r="CB11" s="32" t="s">
        <v>39</v>
      </c>
      <c r="CC11" s="32" t="s">
        <v>39</v>
      </c>
      <c r="CD11" s="32" t="s">
        <v>39</v>
      </c>
      <c r="CE11" s="32" t="s">
        <v>39</v>
      </c>
      <c r="CF11" s="32" t="s">
        <v>39</v>
      </c>
      <c r="CG11" s="32" t="s">
        <v>39</v>
      </c>
      <c r="CH11" s="32" t="s">
        <v>39</v>
      </c>
      <c r="CI11" s="32" t="s">
        <v>39</v>
      </c>
      <c r="CJ11" s="32" t="s">
        <v>39</v>
      </c>
      <c r="CK11" s="32" t="s">
        <v>39</v>
      </c>
      <c r="CL11" s="32" t="s">
        <v>39</v>
      </c>
      <c r="CM11" s="32" t="s">
        <v>39</v>
      </c>
      <c r="CN11" s="32" t="s">
        <v>39</v>
      </c>
      <c r="CO11" s="32" t="s">
        <v>39</v>
      </c>
      <c r="CP11" s="32" t="s">
        <v>39</v>
      </c>
      <c r="CQ11" s="32" t="s">
        <v>39</v>
      </c>
      <c r="CR11" s="32" t="s">
        <v>39</v>
      </c>
      <c r="CS11" s="32" t="s">
        <v>39</v>
      </c>
      <c r="CT11" s="32" t="s">
        <v>39</v>
      </c>
      <c r="CU11" s="32" t="s">
        <v>39</v>
      </c>
      <c r="CV11" s="32" t="s">
        <v>39</v>
      </c>
      <c r="CW11" s="32" t="s">
        <v>39</v>
      </c>
      <c r="CX11" s="32" t="s">
        <v>39</v>
      </c>
      <c r="CY11" s="32" t="s">
        <v>39</v>
      </c>
      <c r="CZ11" s="32" t="s">
        <v>39</v>
      </c>
      <c r="DA11" s="32" t="s">
        <v>39</v>
      </c>
      <c r="DB11" s="32" t="s">
        <v>39</v>
      </c>
      <c r="DC11" s="32" t="s">
        <v>39</v>
      </c>
      <c r="DD11" s="32" t="s">
        <v>39</v>
      </c>
      <c r="DE11" s="32" t="s">
        <v>39</v>
      </c>
      <c r="DF11" s="32" t="s">
        <v>39</v>
      </c>
      <c r="DG11" s="32" t="s">
        <v>39</v>
      </c>
      <c r="DH11" s="32" t="s">
        <v>39</v>
      </c>
      <c r="DI11" s="32" t="s">
        <v>39</v>
      </c>
      <c r="DJ11" s="32" t="s">
        <v>39</v>
      </c>
      <c r="DK11" s="32" t="s">
        <v>39</v>
      </c>
      <c r="DL11" s="32" t="s">
        <v>39</v>
      </c>
      <c r="DM11" s="32" t="s">
        <v>39</v>
      </c>
      <c r="DN11" s="32" t="s">
        <v>39</v>
      </c>
      <c r="DO11" s="32" t="s">
        <v>39</v>
      </c>
      <c r="DP11" s="32" t="s">
        <v>39</v>
      </c>
      <c r="DQ11" s="32" t="s">
        <v>39</v>
      </c>
      <c r="DR11" s="32" t="s">
        <v>39</v>
      </c>
      <c r="DS11" s="32" t="s">
        <v>39</v>
      </c>
      <c r="DT11" s="32" t="s">
        <v>39</v>
      </c>
      <c r="DU11" s="32" t="s">
        <v>39</v>
      </c>
      <c r="DV11" s="32" t="s">
        <v>39</v>
      </c>
      <c r="DW11" s="32" t="s">
        <v>39</v>
      </c>
      <c r="DX11" s="32" t="s">
        <v>39</v>
      </c>
      <c r="DY11" s="32" t="s">
        <v>39</v>
      </c>
      <c r="DZ11" s="32" t="s">
        <v>39</v>
      </c>
      <c r="EA11" s="32" t="s">
        <v>39</v>
      </c>
      <c r="EB11" s="32" t="s">
        <v>39</v>
      </c>
      <c r="EC11" s="32" t="s">
        <v>39</v>
      </c>
      <c r="ED11" s="32" t="s">
        <v>39</v>
      </c>
      <c r="EE11" s="32" t="s">
        <v>39</v>
      </c>
      <c r="EF11" s="32" t="s">
        <v>39</v>
      </c>
      <c r="EG11" s="32" t="s">
        <v>39</v>
      </c>
      <c r="EH11" s="32" t="s">
        <v>39</v>
      </c>
      <c r="EI11" s="32" t="s">
        <v>39</v>
      </c>
      <c r="EJ11" s="32" t="s">
        <v>39</v>
      </c>
      <c r="EK11" s="32" t="s">
        <v>39</v>
      </c>
      <c r="EL11" s="32" t="s">
        <v>39</v>
      </c>
      <c r="EM11" s="32" t="s">
        <v>39</v>
      </c>
      <c r="EN11" s="32" t="s">
        <v>39</v>
      </c>
      <c r="EO11" s="32" t="s">
        <v>39</v>
      </c>
      <c r="EP11" s="32" t="s">
        <v>39</v>
      </c>
      <c r="EQ11" s="32" t="s">
        <v>39</v>
      </c>
      <c r="ER11" s="32" t="s">
        <v>39</v>
      </c>
      <c r="ES11" s="32" t="s">
        <v>39</v>
      </c>
      <c r="ET11" s="32" t="s">
        <v>39</v>
      </c>
      <c r="EU11" s="32" t="s">
        <v>39</v>
      </c>
      <c r="EV11" s="32" t="s">
        <v>39</v>
      </c>
      <c r="EW11" s="32" t="s">
        <v>39</v>
      </c>
      <c r="EX11" s="32" t="s">
        <v>39</v>
      </c>
      <c r="EY11" s="32" t="s">
        <v>39</v>
      </c>
      <c r="EZ11" s="32" t="s">
        <v>39</v>
      </c>
      <c r="FA11" s="32" t="s">
        <v>39</v>
      </c>
      <c r="FB11" s="32" t="s">
        <v>39</v>
      </c>
      <c r="FC11" s="32" t="s">
        <v>39</v>
      </c>
      <c r="FD11" s="32" t="s">
        <v>39</v>
      </c>
      <c r="FE11" s="32" t="s">
        <v>39</v>
      </c>
      <c r="FF11" s="32" t="s">
        <v>39</v>
      </c>
      <c r="FG11" s="32" t="s">
        <v>39</v>
      </c>
      <c r="FH11" s="32" t="s">
        <v>39</v>
      </c>
      <c r="FI11" s="32" t="s">
        <v>39</v>
      </c>
      <c r="FJ11" s="32" t="s">
        <v>39</v>
      </c>
      <c r="FK11" s="32" t="s">
        <v>39</v>
      </c>
      <c r="FL11" s="32" t="s">
        <v>39</v>
      </c>
      <c r="FM11" s="32" t="s">
        <v>39</v>
      </c>
      <c r="FN11" s="32" t="s">
        <v>39</v>
      </c>
      <c r="FO11" s="32" t="s">
        <v>39</v>
      </c>
      <c r="FP11" s="32" t="s">
        <v>39</v>
      </c>
      <c r="FQ11" s="32" t="s">
        <v>39</v>
      </c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46</v>
      </c>
      <c r="C6" s="41">
        <f t="shared" ref="C6:D6" si="1">today()</f>
        <v>45877</v>
      </c>
      <c r="D6" s="41">
        <f t="shared" si="1"/>
        <v>45877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0"/>
      <c r="B6" s="36" t="s">
        <v>17</v>
      </c>
      <c r="C6" s="32"/>
      <c r="D6" s="30"/>
      <c r="E6" s="39">
        <v>200.0</v>
      </c>
      <c r="F6" s="32"/>
      <c r="G6" s="32"/>
      <c r="H6" s="32"/>
      <c r="I6" s="32"/>
      <c r="J6" s="32"/>
      <c r="K6" s="32"/>
      <c r="L6" s="32"/>
      <c r="M6" s="32"/>
      <c r="N6" s="32"/>
      <c r="O6" s="37" t="s">
        <v>22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50">
        <v>200.0</v>
      </c>
      <c r="BK6" s="32"/>
      <c r="BL6" s="32"/>
      <c r="BM6" s="32"/>
      <c r="BN6" s="32"/>
      <c r="BO6" s="32" t="s">
        <v>21</v>
      </c>
      <c r="BP6" s="32"/>
      <c r="BQ6" s="32"/>
      <c r="BR6" s="32"/>
      <c r="BS6" s="32"/>
      <c r="BT6" s="32" t="s">
        <v>20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/>
      <c r="B7" s="37" t="s">
        <v>17</v>
      </c>
      <c r="C7" s="32"/>
      <c r="D7" s="32"/>
      <c r="E7" s="39">
        <v>100.0</v>
      </c>
      <c r="F7" s="32"/>
      <c r="G7" s="32"/>
      <c r="H7" s="32"/>
      <c r="I7" s="32"/>
      <c r="J7" s="32"/>
      <c r="K7" s="32"/>
      <c r="L7" s="32"/>
      <c r="M7" s="32"/>
      <c r="N7" s="32"/>
      <c r="O7" s="37" t="s">
        <v>22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50">
        <v>100.0</v>
      </c>
      <c r="BK7" s="32"/>
      <c r="BL7" s="32"/>
      <c r="BM7" s="32"/>
      <c r="BN7" s="32"/>
      <c r="BO7" s="32" t="s">
        <v>21</v>
      </c>
      <c r="BP7" s="32"/>
      <c r="BQ7" s="32"/>
      <c r="BR7" s="32"/>
      <c r="BS7" s="32"/>
      <c r="BT7" s="32" t="s">
        <v>20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/>
      <c r="B8" s="32" t="s">
        <v>17</v>
      </c>
      <c r="C8" s="32"/>
      <c r="D8" s="32"/>
      <c r="E8" s="39">
        <v>100.0</v>
      </c>
      <c r="F8" s="32"/>
      <c r="G8" s="32"/>
      <c r="H8" s="32"/>
      <c r="I8" s="32"/>
      <c r="J8" s="32"/>
      <c r="K8" s="32"/>
      <c r="L8" s="32"/>
      <c r="M8" s="32"/>
      <c r="N8" s="32"/>
      <c r="O8" s="32" t="s">
        <v>22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50">
        <v>100.0</v>
      </c>
      <c r="BK8" s="32"/>
      <c r="BL8" s="32"/>
      <c r="BM8" s="32"/>
      <c r="BN8" s="32"/>
      <c r="BO8" s="32" t="s">
        <v>21</v>
      </c>
      <c r="BP8" s="32"/>
      <c r="BQ8" s="32"/>
      <c r="BR8" s="32"/>
      <c r="BS8" s="32"/>
      <c r="BT8" s="33" t="s">
        <v>25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3"/>
      <c r="LP8" s="52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3"/>
      <c r="RX8" s="52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3"/>
      <c r="YF8" s="52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3"/>
      <c r="AEN8" s="52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3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</row>
    <row r="9" ht="15.75" customHeight="1">
      <c r="A9" s="32"/>
      <c r="B9" s="32" t="s">
        <v>17</v>
      </c>
      <c r="C9" s="32"/>
      <c r="D9" s="32"/>
      <c r="E9" s="39">
        <v>100.0</v>
      </c>
      <c r="F9" s="32"/>
      <c r="G9" s="32"/>
      <c r="H9" s="32"/>
      <c r="I9" s="32"/>
      <c r="J9" s="32"/>
      <c r="K9" s="32"/>
      <c r="L9" s="32"/>
      <c r="M9" s="32"/>
      <c r="N9" s="32"/>
      <c r="O9" s="32" t="s">
        <v>22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50">
        <v>100.0</v>
      </c>
      <c r="BK9" s="32"/>
      <c r="BL9" s="32"/>
      <c r="BM9" s="32"/>
      <c r="BN9" s="32"/>
      <c r="BO9" s="32" t="s">
        <v>21</v>
      </c>
      <c r="BP9" s="32"/>
      <c r="BQ9" s="32"/>
      <c r="BR9" s="32"/>
      <c r="BS9" s="32"/>
      <c r="BT9" s="32" t="s">
        <v>27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  <c r="UY9" s="52"/>
      <c r="UZ9" s="52"/>
      <c r="VA9" s="52"/>
      <c r="VB9" s="52"/>
      <c r="VC9" s="52"/>
      <c r="VD9" s="52"/>
      <c r="VE9" s="52"/>
      <c r="VF9" s="52"/>
      <c r="VG9" s="52"/>
      <c r="VH9" s="52"/>
      <c r="VI9" s="52"/>
      <c r="VJ9" s="52"/>
      <c r="VK9" s="52"/>
      <c r="VL9" s="52"/>
      <c r="VM9" s="52"/>
      <c r="VN9" s="52"/>
      <c r="VO9" s="52"/>
      <c r="VP9" s="52"/>
      <c r="VQ9" s="52"/>
      <c r="VR9" s="52"/>
      <c r="VS9" s="52"/>
      <c r="VT9" s="52"/>
      <c r="VU9" s="52"/>
      <c r="VV9" s="52"/>
      <c r="VW9" s="52"/>
      <c r="VX9" s="52"/>
      <c r="VY9" s="52"/>
      <c r="VZ9" s="52"/>
      <c r="WA9" s="52"/>
      <c r="WB9" s="52"/>
      <c r="WC9" s="52"/>
      <c r="WD9" s="52"/>
      <c r="WE9" s="52"/>
      <c r="WF9" s="52"/>
      <c r="WG9" s="52"/>
      <c r="WH9" s="52"/>
      <c r="WI9" s="52"/>
      <c r="WJ9" s="52"/>
      <c r="WK9" s="52"/>
      <c r="WL9" s="52"/>
      <c r="WM9" s="52"/>
      <c r="WN9" s="52"/>
      <c r="WO9" s="52"/>
      <c r="WP9" s="52"/>
      <c r="WQ9" s="52"/>
      <c r="WR9" s="52"/>
      <c r="WS9" s="52"/>
      <c r="WT9" s="52"/>
      <c r="WU9" s="52"/>
      <c r="WV9" s="52"/>
      <c r="WW9" s="52"/>
      <c r="WX9" s="52"/>
      <c r="WY9" s="52"/>
      <c r="WZ9" s="52"/>
      <c r="XA9" s="52"/>
      <c r="XB9" s="52"/>
      <c r="XC9" s="52"/>
      <c r="XD9" s="52"/>
      <c r="XE9" s="52"/>
      <c r="XF9" s="52"/>
      <c r="XG9" s="52"/>
      <c r="XH9" s="52"/>
      <c r="XI9" s="52"/>
      <c r="XJ9" s="52"/>
      <c r="XK9" s="52"/>
      <c r="XL9" s="52"/>
      <c r="XM9" s="52"/>
      <c r="XN9" s="52"/>
      <c r="XO9" s="52"/>
      <c r="XP9" s="52"/>
      <c r="XQ9" s="52"/>
      <c r="XR9" s="52"/>
      <c r="XS9" s="52"/>
      <c r="XT9" s="52"/>
      <c r="XU9" s="52"/>
      <c r="XV9" s="52"/>
      <c r="XW9" s="52"/>
      <c r="XX9" s="52"/>
      <c r="XY9" s="52"/>
      <c r="XZ9" s="52"/>
      <c r="YA9" s="52"/>
      <c r="YB9" s="52"/>
      <c r="YC9" s="52"/>
      <c r="YD9" s="52"/>
      <c r="YE9" s="52"/>
      <c r="YF9" s="52"/>
      <c r="YG9" s="52"/>
      <c r="YH9" s="52"/>
      <c r="YI9" s="52"/>
      <c r="YJ9" s="52"/>
      <c r="YK9" s="52"/>
      <c r="YL9" s="52"/>
      <c r="YM9" s="52"/>
      <c r="YN9" s="52"/>
      <c r="YO9" s="52"/>
      <c r="YP9" s="52"/>
      <c r="YQ9" s="52"/>
      <c r="YR9" s="52"/>
      <c r="YS9" s="52"/>
      <c r="YT9" s="52"/>
      <c r="YU9" s="52"/>
      <c r="YV9" s="52"/>
      <c r="YW9" s="52"/>
      <c r="YX9" s="52"/>
      <c r="YY9" s="52"/>
      <c r="YZ9" s="52"/>
      <c r="ZA9" s="52"/>
      <c r="ZB9" s="52"/>
      <c r="ZC9" s="52"/>
      <c r="ZD9" s="52"/>
      <c r="ZE9" s="52"/>
      <c r="ZF9" s="52"/>
      <c r="ZG9" s="52"/>
      <c r="ZH9" s="52"/>
      <c r="ZI9" s="52"/>
      <c r="ZJ9" s="52"/>
      <c r="ZK9" s="52"/>
      <c r="ZL9" s="52"/>
      <c r="ZM9" s="52"/>
      <c r="ZN9" s="52"/>
      <c r="ZO9" s="52"/>
      <c r="ZP9" s="52"/>
      <c r="ZQ9" s="52"/>
      <c r="ZR9" s="52"/>
      <c r="ZS9" s="52"/>
      <c r="ZT9" s="52"/>
      <c r="ZU9" s="52"/>
      <c r="ZV9" s="52"/>
      <c r="ZW9" s="52"/>
      <c r="ZX9" s="52"/>
      <c r="ZY9" s="52"/>
      <c r="ZZ9" s="52"/>
      <c r="AAA9" s="52"/>
      <c r="AAB9" s="52"/>
      <c r="AAC9" s="52"/>
      <c r="AAD9" s="52"/>
      <c r="AAE9" s="52"/>
      <c r="AAF9" s="52"/>
      <c r="AAG9" s="52"/>
      <c r="AAH9" s="52"/>
      <c r="AAI9" s="52"/>
      <c r="AAJ9" s="52"/>
      <c r="AAK9" s="52"/>
      <c r="AAL9" s="52"/>
      <c r="AAM9" s="52"/>
      <c r="AAN9" s="52"/>
      <c r="AAO9" s="52"/>
      <c r="AAP9" s="52"/>
      <c r="AAQ9" s="52"/>
      <c r="AAR9" s="52"/>
      <c r="AAS9" s="52"/>
      <c r="AAT9" s="52"/>
      <c r="AAU9" s="52"/>
      <c r="AAV9" s="52"/>
      <c r="AAW9" s="52"/>
      <c r="AAX9" s="52"/>
      <c r="AAY9" s="52"/>
      <c r="AAZ9" s="52"/>
      <c r="ABA9" s="52"/>
      <c r="ABB9" s="52"/>
      <c r="ABC9" s="52"/>
      <c r="ABD9" s="52"/>
      <c r="ABE9" s="52"/>
      <c r="ABF9" s="52"/>
      <c r="ABG9" s="52"/>
      <c r="ABH9" s="52"/>
      <c r="ABI9" s="52"/>
      <c r="ABJ9" s="52"/>
      <c r="ABK9" s="52"/>
      <c r="ABL9" s="52"/>
      <c r="ABM9" s="52"/>
      <c r="ABN9" s="52"/>
      <c r="ABO9" s="52"/>
      <c r="ABP9" s="52"/>
      <c r="ABQ9" s="52"/>
      <c r="ABR9" s="52"/>
      <c r="ABS9" s="52"/>
      <c r="ABT9" s="52"/>
      <c r="ABU9" s="52"/>
      <c r="ABV9" s="52"/>
      <c r="ABW9" s="52"/>
      <c r="ABX9" s="52"/>
      <c r="ABY9" s="52"/>
      <c r="ABZ9" s="52"/>
      <c r="ACA9" s="52"/>
      <c r="ACB9" s="52"/>
      <c r="ACC9" s="52"/>
      <c r="ACD9" s="52"/>
      <c r="ACE9" s="52"/>
      <c r="ACF9" s="52"/>
      <c r="ACG9" s="52"/>
      <c r="ACH9" s="52"/>
      <c r="ACI9" s="52"/>
      <c r="ACJ9" s="52"/>
      <c r="ACK9" s="52"/>
      <c r="ACL9" s="52"/>
      <c r="ACM9" s="52"/>
      <c r="ACN9" s="52"/>
      <c r="ACO9" s="52"/>
      <c r="ACP9" s="52"/>
      <c r="ACQ9" s="52"/>
      <c r="ACR9" s="52"/>
      <c r="ACS9" s="52"/>
      <c r="ACT9" s="52"/>
      <c r="ACU9" s="52"/>
      <c r="ACV9" s="52"/>
      <c r="ACW9" s="52"/>
      <c r="ACX9" s="52"/>
      <c r="ACY9" s="52"/>
      <c r="ACZ9" s="52"/>
      <c r="ADA9" s="52"/>
      <c r="ADB9" s="52"/>
      <c r="ADC9" s="52"/>
      <c r="ADD9" s="52"/>
      <c r="ADE9" s="52"/>
      <c r="ADF9" s="52"/>
      <c r="ADG9" s="52"/>
      <c r="ADH9" s="52"/>
      <c r="ADI9" s="52"/>
      <c r="ADJ9" s="52"/>
      <c r="ADK9" s="52"/>
      <c r="ADL9" s="52"/>
      <c r="ADM9" s="52"/>
      <c r="ADN9" s="52"/>
      <c r="ADO9" s="52"/>
      <c r="ADP9" s="52"/>
      <c r="ADQ9" s="52"/>
      <c r="ADR9" s="52"/>
      <c r="ADS9" s="52"/>
      <c r="ADT9" s="52"/>
      <c r="ADU9" s="52"/>
      <c r="ADV9" s="52"/>
      <c r="ADW9" s="52"/>
      <c r="ADX9" s="52"/>
      <c r="ADY9" s="52"/>
      <c r="ADZ9" s="52"/>
      <c r="AEA9" s="52"/>
      <c r="AEB9" s="52"/>
      <c r="AEC9" s="52"/>
      <c r="AED9" s="52"/>
      <c r="AEE9" s="52"/>
      <c r="AEF9" s="52"/>
      <c r="AEG9" s="52"/>
      <c r="AEH9" s="52"/>
      <c r="AEI9" s="52"/>
      <c r="AEJ9" s="52"/>
      <c r="AEK9" s="52"/>
      <c r="AEL9" s="52"/>
      <c r="AEM9" s="52"/>
      <c r="AEN9" s="52"/>
      <c r="AEO9" s="52"/>
      <c r="AEP9" s="52"/>
      <c r="AEQ9" s="52"/>
      <c r="AER9" s="52"/>
      <c r="AES9" s="52"/>
      <c r="AET9" s="52"/>
      <c r="AEU9" s="52"/>
      <c r="AEV9" s="52"/>
      <c r="AEW9" s="52"/>
      <c r="AEX9" s="52"/>
      <c r="AEY9" s="52"/>
      <c r="AEZ9" s="52"/>
      <c r="AFA9" s="52"/>
      <c r="AFB9" s="52"/>
      <c r="AFC9" s="52"/>
      <c r="AFD9" s="52"/>
      <c r="AFE9" s="52"/>
      <c r="AFF9" s="52"/>
      <c r="AFG9" s="52"/>
      <c r="AFH9" s="52"/>
      <c r="AFI9" s="52"/>
      <c r="AFJ9" s="52"/>
      <c r="AFK9" s="52"/>
      <c r="AFL9" s="52"/>
      <c r="AFM9" s="52"/>
      <c r="AFN9" s="52"/>
      <c r="AFO9" s="52"/>
      <c r="AFP9" s="52"/>
      <c r="AFQ9" s="52"/>
      <c r="AFR9" s="52"/>
      <c r="AFS9" s="52"/>
      <c r="AFT9" s="52"/>
      <c r="AFU9" s="52"/>
      <c r="AFV9" s="52"/>
      <c r="AFW9" s="52"/>
      <c r="AFX9" s="52"/>
      <c r="AFY9" s="52"/>
      <c r="AFZ9" s="52"/>
      <c r="AGA9" s="52"/>
      <c r="AGB9" s="52"/>
      <c r="AGC9" s="52"/>
      <c r="AGD9" s="52"/>
      <c r="AGE9" s="52"/>
      <c r="AGF9" s="52"/>
      <c r="AGG9" s="52"/>
      <c r="AGH9" s="52"/>
      <c r="AGI9" s="52"/>
      <c r="AGJ9" s="52"/>
      <c r="AGK9" s="52"/>
      <c r="AGL9" s="52"/>
      <c r="AGM9" s="52"/>
      <c r="AGN9" s="52"/>
      <c r="AGO9" s="52"/>
      <c r="AGP9" s="52"/>
      <c r="AGQ9" s="52"/>
      <c r="AGR9" s="52"/>
      <c r="AGS9" s="52"/>
      <c r="AGT9" s="52"/>
      <c r="AGU9" s="52"/>
      <c r="AGV9" s="52"/>
      <c r="AGW9" s="52"/>
      <c r="AGX9" s="52"/>
      <c r="AGY9" s="52"/>
      <c r="AGZ9" s="52"/>
      <c r="AHA9" s="52"/>
      <c r="AHB9" s="52"/>
      <c r="AHC9" s="52"/>
      <c r="AHD9" s="52"/>
      <c r="AHE9" s="52"/>
      <c r="AHF9" s="52"/>
      <c r="AHG9" s="52"/>
      <c r="AHH9" s="52"/>
      <c r="AHI9" s="52"/>
      <c r="AHJ9" s="52"/>
      <c r="AHK9" s="52"/>
      <c r="AHL9" s="52"/>
      <c r="AHM9" s="52"/>
      <c r="AHN9" s="52"/>
      <c r="AHO9" s="52"/>
      <c r="AHP9" s="52"/>
      <c r="AHQ9" s="52"/>
      <c r="AHR9" s="52"/>
      <c r="AHS9" s="52"/>
      <c r="AHT9" s="52"/>
      <c r="AHU9" s="52"/>
      <c r="AHV9" s="52"/>
      <c r="AHW9" s="52"/>
      <c r="AHX9" s="52"/>
      <c r="AHY9" s="52"/>
      <c r="AHZ9" s="52"/>
      <c r="AIA9" s="52"/>
      <c r="AIB9" s="52"/>
      <c r="AIC9" s="52"/>
      <c r="AID9" s="52"/>
      <c r="AIE9" s="52"/>
      <c r="AIF9" s="52"/>
      <c r="AIG9" s="52"/>
      <c r="AIH9" s="52"/>
      <c r="AII9" s="52"/>
      <c r="AIJ9" s="52"/>
      <c r="AIK9" s="52"/>
      <c r="AIL9" s="52"/>
      <c r="AIM9" s="52"/>
      <c r="AIN9" s="52"/>
      <c r="AIO9" s="52"/>
      <c r="AIP9" s="52"/>
      <c r="AIQ9" s="52"/>
      <c r="AIR9" s="52"/>
      <c r="AIS9" s="52"/>
      <c r="AIT9" s="52"/>
      <c r="AIU9" s="52"/>
      <c r="AIV9" s="52"/>
      <c r="AIW9" s="52"/>
      <c r="AIX9" s="52"/>
      <c r="AIY9" s="52"/>
      <c r="AIZ9" s="52"/>
      <c r="AJA9" s="52"/>
      <c r="AJB9" s="52"/>
      <c r="AJC9" s="52"/>
      <c r="AJD9" s="52"/>
      <c r="AJE9" s="52"/>
      <c r="AJF9" s="52"/>
      <c r="AJG9" s="52"/>
      <c r="AJH9" s="52"/>
      <c r="AJI9" s="52"/>
      <c r="AJJ9" s="52"/>
      <c r="AJK9" s="52"/>
      <c r="AJL9" s="52"/>
      <c r="AJM9" s="52"/>
      <c r="AJN9" s="52"/>
      <c r="AJO9" s="52"/>
      <c r="AJP9" s="52"/>
      <c r="AJQ9" s="52"/>
      <c r="AJR9" s="52"/>
      <c r="AJS9" s="52"/>
      <c r="AJT9" s="52"/>
      <c r="AJU9" s="52"/>
      <c r="AJV9" s="52"/>
      <c r="AJW9" s="52"/>
      <c r="AJX9" s="52"/>
      <c r="AJY9" s="52"/>
      <c r="AJZ9" s="52"/>
      <c r="AKA9" s="52"/>
      <c r="AKB9" s="52"/>
      <c r="AKC9" s="52"/>
      <c r="AKD9" s="52"/>
      <c r="AKE9" s="52"/>
      <c r="AKF9" s="52"/>
      <c r="AKG9" s="52"/>
      <c r="AKH9" s="52"/>
      <c r="AKI9" s="52"/>
      <c r="AKJ9" s="52"/>
      <c r="AKK9" s="52"/>
      <c r="AKL9" s="52"/>
      <c r="AKM9" s="52"/>
      <c r="AKN9" s="52"/>
      <c r="AKO9" s="52"/>
      <c r="AKP9" s="52"/>
      <c r="AKQ9" s="52"/>
      <c r="AKR9" s="52"/>
      <c r="AKS9" s="52"/>
      <c r="AKT9" s="52"/>
      <c r="AKU9" s="52"/>
      <c r="AKV9" s="52"/>
      <c r="AKW9" s="52"/>
      <c r="AKX9" s="52"/>
      <c r="AKY9" s="52"/>
      <c r="AKZ9" s="52"/>
      <c r="ALA9" s="52"/>
      <c r="ALB9" s="52"/>
      <c r="ALC9" s="52"/>
      <c r="ALD9" s="52"/>
      <c r="ALE9" s="52"/>
      <c r="ALF9" s="52"/>
      <c r="ALG9" s="52"/>
      <c r="ALH9" s="52"/>
      <c r="ALI9" s="52"/>
      <c r="ALJ9" s="52"/>
      <c r="ALK9" s="52"/>
      <c r="ALL9" s="52"/>
      <c r="ALM9" s="52"/>
      <c r="ALN9" s="52"/>
      <c r="ALO9" s="52"/>
      <c r="ALP9" s="52"/>
      <c r="ALQ9" s="52"/>
      <c r="ALR9" s="52"/>
      <c r="ALS9" s="52"/>
      <c r="ALT9" s="52"/>
      <c r="ALU9" s="52"/>
      <c r="ALV9" s="52"/>
      <c r="ALW9" s="52"/>
      <c r="ALX9" s="52"/>
      <c r="ALY9" s="52"/>
      <c r="ALZ9" s="52"/>
      <c r="AMA9" s="52"/>
      <c r="AMB9" s="52"/>
      <c r="AMC9" s="52"/>
      <c r="AMD9" s="52"/>
      <c r="AME9" s="52"/>
      <c r="AMF9" s="52"/>
      <c r="AMG9" s="52"/>
      <c r="AMH9" s="52"/>
      <c r="AMI9" s="52"/>
      <c r="AMJ9" s="52"/>
      <c r="AMK9" s="52"/>
    </row>
    <row r="10" ht="15.75" customHeight="1">
      <c r="A10" s="32"/>
      <c r="B10" s="32" t="s">
        <v>17</v>
      </c>
      <c r="C10" s="32"/>
      <c r="D10" s="32"/>
      <c r="E10" s="54">
        <v>300.0</v>
      </c>
      <c r="F10" s="55" t="s">
        <v>48</v>
      </c>
      <c r="G10" s="32"/>
      <c r="H10" s="32"/>
      <c r="I10" s="32"/>
      <c r="J10" s="32"/>
      <c r="K10" s="32"/>
      <c r="L10" s="32"/>
      <c r="M10" s="32"/>
      <c r="N10" s="32"/>
      <c r="O10" s="55" t="s">
        <v>22</v>
      </c>
      <c r="P10" s="32"/>
      <c r="Q10" s="32"/>
      <c r="R10" s="32"/>
      <c r="S10" s="55" t="s">
        <v>49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55" t="s">
        <v>31</v>
      </c>
      <c r="AE10" s="54">
        <v>300.0</v>
      </c>
      <c r="AF10" s="32"/>
      <c r="AG10" s="32"/>
      <c r="AH10" s="55" t="s">
        <v>43</v>
      </c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55" t="s">
        <v>30</v>
      </c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54">
        <v>300.0</v>
      </c>
      <c r="BK10" s="32"/>
      <c r="BL10" s="32"/>
      <c r="BM10" s="55" t="s">
        <v>42</v>
      </c>
      <c r="BN10" s="32"/>
      <c r="BO10" s="55" t="s">
        <v>21</v>
      </c>
      <c r="BP10" s="32"/>
      <c r="BQ10" s="32"/>
      <c r="BR10" s="32"/>
      <c r="BS10" s="32"/>
      <c r="BT10" s="56" t="s">
        <v>28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55" t="s">
        <v>21</v>
      </c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/>
      <c r="B11" s="32"/>
      <c r="C11" s="32"/>
      <c r="D11" s="32"/>
      <c r="E11" s="57"/>
      <c r="F11" s="55"/>
      <c r="G11" s="32"/>
      <c r="H11" s="32"/>
      <c r="I11" s="32"/>
      <c r="J11" s="32"/>
      <c r="K11" s="32"/>
      <c r="L11" s="32"/>
      <c r="M11" s="32"/>
      <c r="N11" s="32"/>
      <c r="O11" s="55"/>
      <c r="P11" s="32"/>
      <c r="Q11" s="32"/>
      <c r="R11" s="32"/>
      <c r="S11" s="55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55"/>
      <c r="AE11" s="57"/>
      <c r="AF11" s="32"/>
      <c r="AG11" s="32"/>
      <c r="AH11" s="55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55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57"/>
      <c r="BK11" s="32"/>
      <c r="BL11" s="32"/>
      <c r="BM11" s="55"/>
      <c r="BN11" s="32"/>
      <c r="BO11" s="55"/>
      <c r="BP11" s="32"/>
      <c r="BQ11" s="32"/>
      <c r="BR11" s="32"/>
      <c r="BS11" s="32"/>
      <c r="BT11" s="56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55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0"/>
      <c r="B6" s="30"/>
      <c r="C6" s="37" t="s">
        <v>20</v>
      </c>
      <c r="D6" s="38">
        <v>200.0</v>
      </c>
      <c r="E6" s="37" t="s">
        <v>17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 t="s">
        <v>23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21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 t="s">
        <v>22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37" t="s">
        <v>20</v>
      </c>
      <c r="D7" s="39">
        <v>100.0</v>
      </c>
      <c r="E7" s="37" t="s">
        <v>17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 t="s">
        <v>24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21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 t="s">
        <v>22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33" t="s">
        <v>25</v>
      </c>
      <c r="D8" s="39">
        <v>100.0</v>
      </c>
      <c r="E8" s="32" t="s">
        <v>17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58" t="s">
        <v>26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 t="s">
        <v>21</v>
      </c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 t="s">
        <v>22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/>
      <c r="B9" s="32"/>
      <c r="C9" s="32" t="s">
        <v>27</v>
      </c>
      <c r="D9" s="39">
        <v>100.0</v>
      </c>
      <c r="E9" s="32" t="s">
        <v>17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58" t="s">
        <v>26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 t="s">
        <v>21</v>
      </c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 t="s">
        <v>22</v>
      </c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/>
      <c r="B10" s="32"/>
      <c r="C10" s="56" t="s">
        <v>28</v>
      </c>
      <c r="D10" s="54">
        <v>300.0</v>
      </c>
      <c r="E10" s="55" t="s">
        <v>17</v>
      </c>
      <c r="F10" s="55" t="s">
        <v>52</v>
      </c>
      <c r="G10" s="32"/>
      <c r="H10" s="55" t="s">
        <v>53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55" t="s">
        <v>23</v>
      </c>
      <c r="T10" s="55" t="s">
        <v>44</v>
      </c>
      <c r="U10" s="55" t="s">
        <v>40</v>
      </c>
      <c r="V10" s="55" t="s">
        <v>31</v>
      </c>
      <c r="W10" s="55" t="s">
        <v>42</v>
      </c>
      <c r="X10" s="57">
        <v>1.0</v>
      </c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55" t="s">
        <v>21</v>
      </c>
      <c r="AO10" s="32"/>
      <c r="AP10" s="55" t="s">
        <v>53</v>
      </c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55" t="s">
        <v>44</v>
      </c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32"/>
      <c r="B11" s="32"/>
      <c r="C11" s="56"/>
      <c r="D11" s="57"/>
      <c r="E11" s="55"/>
      <c r="F11" s="55"/>
      <c r="G11" s="32"/>
      <c r="H11" s="55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55"/>
      <c r="T11" s="55"/>
      <c r="U11" s="55"/>
      <c r="V11" s="55"/>
      <c r="W11" s="55"/>
      <c r="X11" s="57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55"/>
      <c r="AO11" s="32"/>
      <c r="AP11" s="55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55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