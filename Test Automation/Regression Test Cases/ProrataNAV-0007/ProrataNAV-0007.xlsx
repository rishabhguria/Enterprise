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AddCalculatedPreferenceToolbar" sheetId="6" r:id="rId8"/>
    <sheet state="visible" name="SetDefaultRuleCalculatedPref" sheetId="7" r:id="rId9"/>
    <sheet state="visible" name="CreateDoneAwayOrder" sheetId="8" r:id="rId10"/>
    <sheet state="visible" name="CheckAllocatedGroups" sheetId="9" r:id="rId11"/>
    <sheet state="visible" name="GetDataAllocation" sheetId="10" r:id="rId12"/>
    <sheet state="visible" name="GetDataClosing" sheetId="11" r:id="rId13"/>
    <sheet state="visible" name="VerifyLongPositionsGrid" sheetId="12" r:id="rId14"/>
  </sheets>
  <definedNames/>
  <calcPr/>
</workbook>
</file>

<file path=xl/sharedStrings.xml><?xml version="1.0" encoding="utf-8"?>
<sst xmlns="http://schemas.openxmlformats.org/spreadsheetml/2006/main" count="90" uniqueCount="34">
  <si>
    <t>Settings</t>
  </si>
  <si>
    <t>Master Data Info</t>
  </si>
  <si>
    <t>Modules Info</t>
  </si>
  <si>
    <t>Module Step Setting File</t>
  </si>
  <si>
    <t>1eFq-0rBBBruaRgYp8Plf3EAV1IQUFSYg9ee_wKGGGko</t>
  </si>
  <si>
    <t>Master Data Settings File</t>
  </si>
  <si>
    <t>1Nt_rf5DtgjbN9Ag4AMMlUkZYROxKZLH5m54YOl7tRT0</t>
  </si>
  <si>
    <t>Modules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</si>
  <si>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</si>
  <si>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</si>
  <si>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</si>
  <si>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</si>
  <si>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</si>
  <si>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</si>
  <si>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</si>
  <si>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</si>
  <si>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</si>
  <si>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Allocation2</t>
  </si>
  <si>
    <t>USD</t>
  </si>
  <si>
    <t>Allocation</t>
  </si>
  <si>
    <t>AddCalculatedPreferenceToolbar</t>
  </si>
  <si>
    <t>SetDefaultRuleCalculatedPref</t>
  </si>
  <si>
    <t>Pro-rata (NAV)</t>
  </si>
  <si>
    <t>Allocation1,Allocation2,Allocation3</t>
  </si>
  <si>
    <t>TradingTicket</t>
  </si>
  <si>
    <t>CreateDoneAwayOrder</t>
  </si>
  <si>
    <t>INFY</t>
  </si>
  <si>
    <t>Buy</t>
  </si>
  <si>
    <t>CheckAllocatedGroups</t>
  </si>
  <si>
    <t>GetDataAllocation</t>
  </si>
  <si>
    <t>Current</t>
  </si>
  <si>
    <t>Closing</t>
  </si>
  <si>
    <t>GetDataClosing</t>
  </si>
  <si>
    <t>VerifyLongPositionsGrid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</si>
</sst>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sz val="14.0"/>
      <color rgb="FFFFFFFF"/>
      <name val="Calibri"/>
    </font>
    <font/>
    <font>
      <name val="Calibri"/>
    </font>
    <font>
      <b/>
      <color rgb="FFFFFFFF"/>
      <name val="Calibri"/>
    </font>
    <font>
      <color rgb="FFFFFFFF"/>
      <name val="Calibri"/>
    </font>
    <font>
      <b/>
      <sz val="14.0"/>
      <color rgb="FFFFFFFF"/>
      <name val="Calibri"/>
    </font>
    <font>
      <name val="Arial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0" fillId="0" fontId="3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shrinkToFit="0" wrapText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6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6" numFmtId="0" xfId="0" applyAlignment="1" applyFont="1">
      <alignment horizontal="center" shrinkToFit="0" wrapText="0"/>
    </xf>
    <xf borderId="0" fillId="2" fontId="2" numFmtId="0" xfId="0" applyFont="1"/>
    <xf borderId="0" fillId="0" fontId="5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5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14" xfId="0" applyAlignment="1" applyFont="1" applyNumberFormat="1">
      <alignment readingOrder="0" shrinkToFit="0" wrapText="0"/>
    </xf>
    <xf borderId="0" fillId="0" fontId="3" numFmtId="14" xfId="0" applyAlignment="1" applyFont="1" applyNumberFormat="1">
      <alignment shrinkToFit="0" wrapText="0"/>
    </xf>
    <xf borderId="0" fillId="0" fontId="3" numFmtId="0" xfId="0" applyAlignment="1" applyFont="1">
      <alignment readingOrder="0" shrinkToFit="0" wrapText="0"/>
    </xf>
    <xf borderId="0" fillId="0" fontId="2" numFmtId="0" xfId="0" applyAlignment="1" applyFont="1">
      <alignment readingOrder="0"/>
    </xf>
    <xf borderId="0" fillId="0" fontId="7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center" shrinkToFit="0" vertical="bottom" wrapText="0"/>
    </xf>
    <xf borderId="0" fillId="6" fontId="13" numFmtId="0" xfId="0" applyAlignment="1" applyFill="1" applyFont="1">
      <alignment vertical="bottom"/>
    </xf>
    <xf borderId="0" fillId="6" fontId="1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9" t="s">
        <v>2</v>
      </c>
      <c r="B1" s="2"/>
      <c r="C1" s="2"/>
      <c r="D1" s="2"/>
      <c r="E1" s="2"/>
      <c r="F1" s="3"/>
    </row>
    <row r="2" ht="15.75" customHeight="1">
      <c r="A2" s="10"/>
      <c r="B2" s="10"/>
      <c r="C2" s="10"/>
      <c r="D2" s="10"/>
      <c r="E2" s="10"/>
      <c r="F2" s="10"/>
    </row>
    <row r="3" ht="15.75" customHeight="1">
      <c r="A3" s="5" t="s">
        <v>7</v>
      </c>
      <c r="B3" s="11"/>
      <c r="C3" s="12"/>
      <c r="D3" s="12"/>
      <c r="E3" s="12"/>
      <c r="F3" s="12"/>
    </row>
    <row r="4" ht="15.75" customHeight="1">
      <c r="A4" s="4" t="str">
        <f>IFERROR(__xludf.DUMMYFUNCTION("IMPORTRANGE('_Settings'!B3,""Modules!A4:L1000"")"),"Allocation")</f>
        <v>Allocation</v>
      </c>
      <c r="B4" s="10" t="str">
        <f>IFERROR(__xludf.DUMMYFUNCTION("""COMPUTED_VALUE"""),"Allocate")</f>
        <v>Allocate</v>
      </c>
      <c r="C4" s="10" t="str">
        <f>IFERROR(__xludf.DUMMYFUNCTION("""COMPUTED_VALUE"""),"1g8wLprruaWRC_5pQcovqkv8ZCiMt5fspCOACibdkz7g")</f>
        <v>1g8wLprruaWRC_5pQcovqkv8ZCiMt5fspCOACibdkz7g</v>
      </c>
      <c r="D4" s="10" t="str">
        <f>IFERROR(__xludf.DUMMYFUNCTION("""COMPUTED_VALUE"""),"")</f>
        <v/>
      </c>
      <c r="E4" s="10" t="str">
        <f>IFERROR(__xludf.DUMMYFUNCTION("""COMPUTED_VALUE"""),"")</f>
        <v/>
      </c>
      <c r="F4" s="10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4" t="str">
        <f>IFERROR(__xludf.DUMMYFUNCTION("""COMPUTED_VALUE"""),"Allocation")</f>
        <v>Allocation</v>
      </c>
      <c r="B5" s="10" t="str">
        <f>IFERROR(__xludf.DUMMYFUNCTION("""COMPUTED_VALUE"""),"CheckAllocatedGroups")</f>
        <v>CheckAllocatedGroups</v>
      </c>
      <c r="C5" s="10" t="str">
        <f>IFERROR(__xludf.DUMMYFUNCTION("""COMPUTED_VALUE"""),"1aecq-HMDoDkIInONjPC11z5TBFHyJhv4ro66e2ZOphg")</f>
        <v>1aecq-HMDoDkIInONjPC11z5TBFHyJhv4ro66e2ZOphg</v>
      </c>
      <c r="D5" s="10" t="str">
        <f>IFERROR(__xludf.DUMMYFUNCTION("""COMPUTED_VALUE"""),"")</f>
        <v/>
      </c>
      <c r="E5" s="10" t="str">
        <f>IFERROR(__xludf.DUMMYFUNCTION("""COMPUTED_VALUE"""),"")</f>
        <v/>
      </c>
      <c r="F5" s="10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10" t="str">
        <f>IFERROR(__xludf.DUMMYFUNCTION("""COMPUTED_VALUE"""),"Allocation")</f>
        <v>Allocation</v>
      </c>
      <c r="B6" s="10" t="str">
        <f>IFERROR(__xludf.DUMMYFUNCTION("""COMPUTED_VALUE"""),"Unallocate")</f>
        <v>Unallocate</v>
      </c>
      <c r="C6" s="10" t="str">
        <f>IFERROR(__xludf.DUMMYFUNCTION("""COMPUTED_VALUE"""),"1eDZq-_vllq4jwvwpk9qGnwQUhlb-sFvyFKPBriT2dA0")</f>
        <v>1eDZq-_vllq4jwvwpk9qGnwQUhlb-sFvyFKPBriT2dA0</v>
      </c>
      <c r="D6" s="10" t="str">
        <f>IFERROR(__xludf.DUMMYFUNCTION("""COMPUTED_VALUE"""),"")</f>
        <v/>
      </c>
      <c r="E6" s="10" t="str">
        <f>IFERROR(__xludf.DUMMYFUNCTION("""COMPUTED_VALUE"""),"")</f>
        <v/>
      </c>
      <c r="F6" s="10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10" t="str">
        <f>IFERROR(__xludf.DUMMYFUNCTION("""COMPUTED_VALUE"""),"Allocation")</f>
        <v>Allocation</v>
      </c>
      <c r="B7" s="10" t="str">
        <f>IFERROR(__xludf.DUMMYFUNCTION("""COMPUTED_VALUE"""),"GetDataAllocation")</f>
        <v>GetDataAllocation</v>
      </c>
      <c r="C7" s="10" t="str">
        <f>IFERROR(__xludf.DUMMYFUNCTION("""COMPUTED_VALUE"""),"1FBTO3wCB7odq-jpQMbYHgSrAL5-rFO2_kp9Kr2iXqXE")</f>
        <v>1FBTO3wCB7odq-jpQMbYHgSrAL5-rFO2_kp9Kr2iXqXE</v>
      </c>
      <c r="D7" s="10" t="str">
        <f>IFERROR(__xludf.DUMMYFUNCTION("""COMPUTED_VALUE"""),"")</f>
        <v/>
      </c>
      <c r="E7" s="10" t="str">
        <f>IFERROR(__xludf.DUMMYFUNCTION("""COMPUTED_VALUE"""),"")</f>
        <v/>
      </c>
      <c r="F7" s="10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10" t="str">
        <f>IFERROR(__xludf.DUMMYFUNCTION("""COMPUTED_VALUE"""),"Allocation")</f>
        <v>Allocation</v>
      </c>
      <c r="B8" s="10" t="str">
        <f>IFERROR(__xludf.DUMMYFUNCTION("""COMPUTED_VALUE"""),"SelectAllocatedGroup")</f>
        <v>SelectAllocatedGroup</v>
      </c>
      <c r="C8" s="10" t="str">
        <f>IFERROR(__xludf.DUMMYFUNCTION("""COMPUTED_VALUE"""),"1G0ZkXDrIDX_loGmAyLs_Shy8hExtTELtFXERbX-HdPo")</f>
        <v>1G0ZkXDrIDX_loGmAyLs_Shy8hExtTELtFXERbX-HdPo</v>
      </c>
      <c r="D8" s="10" t="str">
        <f>IFERROR(__xludf.DUMMYFUNCTION("""COMPUTED_VALUE"""),"")</f>
        <v/>
      </c>
      <c r="E8" s="10" t="str">
        <f>IFERROR(__xludf.DUMMYFUNCTION("""COMPUTED_VALUE"""),"")</f>
        <v/>
      </c>
      <c r="F8" s="10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10" t="str">
        <f>IFERROR(__xludf.DUMMYFUNCTION("""COMPUTED_VALUE"""),"Allocation")</f>
        <v>Allocation</v>
      </c>
      <c r="B9" s="10" t="str">
        <f>IFERROR(__xludf.DUMMYFUNCTION("""COMPUTED_VALUE"""),"EditTradesAllocated")</f>
        <v>EditTradesAllocated</v>
      </c>
      <c r="C9" s="10" t="str">
        <f>IFERROR(__xludf.DUMMYFUNCTION("""COMPUTED_VALUE"""),"1YgVZ1jEVgjUF1Dp8FAj_W_zLEZCyqvNMlWJIg0Tmkq4")</f>
        <v>1YgVZ1jEVgjUF1Dp8FAj_W_zLEZCyqvNMlWJIg0Tmkq4</v>
      </c>
      <c r="D9" s="10" t="str">
        <f>IFERROR(__xludf.DUMMYFUNCTION("""COMPUTED_VALUE"""),"")</f>
        <v/>
      </c>
      <c r="E9" s="10" t="str">
        <f>IFERROR(__xludf.DUMMYFUNCTION("""COMPUTED_VALUE"""),"")</f>
        <v/>
      </c>
      <c r="F9" s="10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10" t="str">
        <f>IFERROR(__xludf.DUMMYFUNCTION("""COMPUTED_VALUE"""),"Allocation")</f>
        <v>Allocation</v>
      </c>
      <c r="B10" s="10" t="str">
        <f>IFERROR(__xludf.DUMMYFUNCTION("""COMPUTED_VALUE"""),"EditTradesUnallocated")</f>
        <v>EditTradesUnallocated</v>
      </c>
      <c r="C10" s="10" t="str">
        <f>IFERROR(__xludf.DUMMYFUNCTION("""COMPUTED_VALUE"""),"1MyB61T39MDAUyQqCUJLATzUT2f5UlE8nFq4ltWy_DJ4")</f>
        <v>1MyB61T39MDAUyQqCUJLATzUT2f5UlE8nFq4ltWy_DJ4</v>
      </c>
      <c r="D10" s="10" t="str">
        <f>IFERROR(__xludf.DUMMYFUNCTION("""COMPUTED_VALUE"""),"")</f>
        <v/>
      </c>
      <c r="E10" s="10" t="str">
        <f>IFERROR(__xludf.DUMMYFUNCTION("""COMPUTED_VALUE"""),"")</f>
        <v/>
      </c>
      <c r="F10" s="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10" t="str">
        <f>IFERROR(__xludf.DUMMYFUNCTION("""COMPUTED_VALUE"""),"Allocation")</f>
        <v>Allocation</v>
      </c>
      <c r="B11" s="10" t="str">
        <f>IFERROR(__xludf.DUMMYFUNCTION("""COMPUTED_VALUE"""),"Reallocate")</f>
        <v>Reallocate</v>
      </c>
      <c r="C11" s="10" t="str">
        <f>IFERROR(__xludf.DUMMYFUNCTION("""COMPUTED_VALUE"""),"undefined")</f>
        <v>undefined</v>
      </c>
      <c r="D11" s="10" t="str">
        <f>IFERROR(__xludf.DUMMYFUNCTION("""COMPUTED_VALUE"""),"")</f>
        <v/>
      </c>
      <c r="E11" s="10" t="str">
        <f>IFERROR(__xludf.DUMMYFUNCTION("""COMPUTED_VALUE"""),"")</f>
        <v/>
      </c>
      <c r="F11" s="10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10" t="str">
        <f>IFERROR(__xludf.DUMMYFUNCTION("""COMPUTED_VALUE"""),"Blotter")</f>
        <v>Blotter</v>
      </c>
      <c r="B12" s="10" t="str">
        <f>IFERROR(__xludf.DUMMYFUNCTION("""COMPUTED_VALUE"""),"ReplaceFillsOnBlotter")</f>
        <v>ReplaceFillsOnBlotter</v>
      </c>
      <c r="C12" s="10" t="str">
        <f>IFERROR(__xludf.DUMMYFUNCTION("""COMPUTED_VALUE"""),"undefined")</f>
        <v>undefined</v>
      </c>
      <c r="D12" s="10" t="str">
        <f>IFERROR(__xludf.DUMMYFUNCTION("""COMPUTED_VALUE"""),"")</f>
        <v/>
      </c>
      <c r="E12" s="10" t="str">
        <f>IFERROR(__xludf.DUMMYFUNCTION("""COMPUTED_VALUE"""),"")</f>
        <v/>
      </c>
      <c r="F12" s="10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10" t="str">
        <f>IFERROR(__xludf.DUMMYFUNCTION("""COMPUTED_VALUE"""),"Blotter")</f>
        <v>Blotter</v>
      </c>
      <c r="B13" s="10" t="str">
        <f>IFERROR(__xludf.DUMMYFUNCTION("""COMPUTED_VALUE"""),"CheckBlotter")</f>
        <v>CheckBlotter</v>
      </c>
      <c r="C13" s="10" t="str">
        <f>IFERROR(__xludf.DUMMYFUNCTION("""COMPUTED_VALUE"""),"16qheLbvgC92hKxalWDlpWfHBMyDDVqHERUCc7bQiO2A")</f>
        <v>16qheLbvgC92hKxalWDlpWfHBMyDDVqHERUCc7bQiO2A</v>
      </c>
      <c r="D13" s="10" t="str">
        <f>IFERROR(__xludf.DUMMYFUNCTION("""COMPUTED_VALUE"""),"")</f>
        <v/>
      </c>
      <c r="E13" s="10" t="str">
        <f>IFERROR(__xludf.DUMMYFUNCTION("""COMPUTED_VALUE"""),"")</f>
        <v/>
      </c>
      <c r="F13" s="10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10" t="str">
        <f>IFERROR(__xludf.DUMMYFUNCTION("""COMPUTED_VALUE"""),"GeneralLedger")</f>
        <v>GeneralLedger</v>
      </c>
      <c r="B14" s="10" t="str">
        <f>IFERROR(__xludf.DUMMYFUNCTION("""COMPUTED_VALUE"""),"GetDataCash")</f>
        <v>GetDataCash</v>
      </c>
      <c r="C14" s="10" t="str">
        <f>IFERROR(__xludf.DUMMYFUNCTION("""COMPUTED_VALUE"""),"1zLd3ju-mV8f6PZiQUYLU-cAgAUwLwyoIAKuu0WgG2zI")</f>
        <v>1zLd3ju-mV8f6PZiQUYLU-cAgAUwLwyoIAKuu0WgG2zI</v>
      </c>
      <c r="D14" s="10" t="str">
        <f>IFERROR(__xludf.DUMMYFUNCTION("""COMPUTED_VALUE"""),"")</f>
        <v/>
      </c>
      <c r="E14" s="10" t="str">
        <f>IFERROR(__xludf.DUMMYFUNCTION("""COMPUTED_VALUE"""),"")</f>
        <v/>
      </c>
      <c r="F14" s="10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10" t="str">
        <f>IFERROR(__xludf.DUMMYFUNCTION("""COMPUTED_VALUE"""),"GeneralLedger")</f>
        <v>GeneralLedger</v>
      </c>
      <c r="B15" s="10" t="str">
        <f>IFERROR(__xludf.DUMMYFUNCTION("""COMPUTED_VALUE"""),"EnterCashDividends")</f>
        <v>EnterCashDividends</v>
      </c>
      <c r="C15" s="10" t="str">
        <f>IFERROR(__xludf.DUMMYFUNCTION("""COMPUTED_VALUE"""),"1sjDsI5FIL_l_G6osMJQ7e8auBgYd3R3JDaKWKV_8Og0")</f>
        <v>1sjDsI5FIL_l_G6osMJQ7e8auBgYd3R3JDaKWKV_8Og0</v>
      </c>
      <c r="D15" s="10" t="str">
        <f>IFERROR(__xludf.DUMMYFUNCTION("""COMPUTED_VALUE"""),"")</f>
        <v/>
      </c>
      <c r="E15" s="10" t="str">
        <f>IFERROR(__xludf.DUMMYFUNCTION("""COMPUTED_VALUE"""),"")</f>
        <v/>
      </c>
      <c r="F15" s="10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10" t="str">
        <f>IFERROR(__xludf.DUMMYFUNCTION("""COMPUTED_VALUE"""),"GeneralLedger")</f>
        <v>GeneralLedger</v>
      </c>
      <c r="B16" s="10" t="str">
        <f>IFERROR(__xludf.DUMMYFUNCTION("""COMPUTED_VALUE"""),"EnterNonTradingTransaction")</f>
        <v>EnterNonTradingTransaction</v>
      </c>
      <c r="C16" s="10" t="str">
        <f>IFERROR(__xludf.DUMMYFUNCTION("""COMPUTED_VALUE"""),"1xn1P_Z-3N4d2BC1SUPly2HiVZazly5ZQcS18BfaTyho")</f>
        <v>1xn1P_Z-3N4d2BC1SUPly2HiVZazly5ZQcS18BfaTyho</v>
      </c>
      <c r="D16" s="10" t="str">
        <f>IFERROR(__xludf.DUMMYFUNCTION("""COMPUTED_VALUE"""),"")</f>
        <v/>
      </c>
      <c r="E16" s="10" t="str">
        <f>IFERROR(__xludf.DUMMYFUNCTION("""COMPUTED_VALUE"""),"")</f>
        <v/>
      </c>
      <c r="F16" s="10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10" t="str">
        <f>IFERROR(__xludf.DUMMYFUNCTION("""COMPUTED_VALUE"""),"GeneralLedger")</f>
        <v>GeneralLedger</v>
      </c>
      <c r="B17" s="10" t="str">
        <f>IFERROR(__xludf.DUMMYFUNCTION("""COMPUTED_VALUE"""),"VerifyCash")</f>
        <v>VerifyCash</v>
      </c>
      <c r="C17" s="10" t="str">
        <f>IFERROR(__xludf.DUMMYFUNCTION("""COMPUTED_VALUE"""),"1vlvYPsiFAWjsnFrbkGn_fAvkwF00V3e7htalalU6QN4")</f>
        <v>1vlvYPsiFAWjsnFrbkGn_fAvkwF00V3e7htalalU6QN4</v>
      </c>
      <c r="D17" s="10" t="str">
        <f>IFERROR(__xludf.DUMMYFUNCTION("""COMPUTED_VALUE"""),"")</f>
        <v/>
      </c>
      <c r="E17" s="10" t="str">
        <f>IFERROR(__xludf.DUMMYFUNCTION("""COMPUTED_VALUE"""),"")</f>
        <v/>
      </c>
      <c r="F17" s="10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10" t="str">
        <f>IFERROR(__xludf.DUMMYFUNCTION("""COMPUTED_VALUE"""),"GeneralLedger")</f>
        <v>GeneralLedger</v>
      </c>
      <c r="B18" s="10" t="str">
        <f>IFERROR(__xludf.DUMMYFUNCTION("""COMPUTED_VALUE"""),"VerifyActivity")</f>
        <v>VerifyActivity</v>
      </c>
      <c r="C18" s="10" t="str">
        <f>IFERROR(__xludf.DUMMYFUNCTION("""COMPUTED_VALUE"""),"1o2rCg2FuoAOT5Pl8i4iFP_TwpPm0UB1dd49GbpkytfM")</f>
        <v>1o2rCg2FuoAOT5Pl8i4iFP_TwpPm0UB1dd49GbpkytfM</v>
      </c>
      <c r="D18" s="10" t="str">
        <f>IFERROR(__xludf.DUMMYFUNCTION("""COMPUTED_VALUE"""),"")</f>
        <v/>
      </c>
      <c r="E18" s="10" t="str">
        <f>IFERROR(__xludf.DUMMYFUNCTION("""COMPUTED_VALUE"""),"")</f>
        <v/>
      </c>
      <c r="F18" s="10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10" t="str">
        <f>IFERROR(__xludf.DUMMYFUNCTION("""COMPUTED_VALUE"""),"GeneralLedger")</f>
        <v>GeneralLedger</v>
      </c>
      <c r="B19" s="10" t="str">
        <f>IFERROR(__xludf.DUMMYFUNCTION("""COMPUTED_VALUE"""),"VerifyTradingTransaction")</f>
        <v>VerifyTradingTransaction</v>
      </c>
      <c r="C19" s="10" t="str">
        <f>IFERROR(__xludf.DUMMYFUNCTION("""COMPUTED_VALUE"""),"1_v2niCJ9VGNvgEBpvz030BFqEISSUhYRHyWcAJAn_Eg")</f>
        <v>1_v2niCJ9VGNvgEBpvz030BFqEISSUhYRHyWcAJAn_Eg</v>
      </c>
      <c r="D19" s="10" t="str">
        <f>IFERROR(__xludf.DUMMYFUNCTION("""COMPUTED_VALUE"""),"")</f>
        <v/>
      </c>
      <c r="E19" s="10" t="str">
        <f>IFERROR(__xludf.DUMMYFUNCTION("""COMPUTED_VALUE"""),"")</f>
        <v/>
      </c>
      <c r="F19" s="10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10" t="str">
        <f>IFERROR(__xludf.DUMMYFUNCTION("""COMPUTED_VALUE"""),"GeneralLedger")</f>
        <v>GeneralLedger</v>
      </c>
      <c r="B20" s="10" t="str">
        <f>IFERROR(__xludf.DUMMYFUNCTION("""COMPUTED_VALUE"""),"VerifyRevaluationData")</f>
        <v>VerifyRevaluationData</v>
      </c>
      <c r="C20" s="10" t="str">
        <f>IFERROR(__xludf.DUMMYFUNCTION("""COMPUTED_VALUE"""),"1hsRs1-LY0akTrMe91ArnbLtk6GUy_bKxVwMYCaiMs-8")</f>
        <v>1hsRs1-LY0akTrMe91ArnbLtk6GUy_bKxVwMYCaiMs-8</v>
      </c>
      <c r="D20" s="10" t="str">
        <f>IFERROR(__xludf.DUMMYFUNCTION("""COMPUTED_VALUE"""),"")</f>
        <v/>
      </c>
      <c r="E20" s="10" t="str">
        <f>IFERROR(__xludf.DUMMYFUNCTION("""COMPUTED_VALUE"""),"")</f>
        <v/>
      </c>
      <c r="F20" s="1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10" t="str">
        <f>IFERROR(__xludf.DUMMYFUNCTION("""COMPUTED_VALUE"""),"CorporateAction")</f>
        <v>CorporateAction</v>
      </c>
      <c r="B21" s="10" t="str">
        <f>IFERROR(__xludf.DUMMYFUNCTION("""COMPUTED_VALUE"""),"CorporateAction")</f>
        <v>CorporateAction</v>
      </c>
      <c r="C21" s="10" t="str">
        <f>IFERROR(__xludf.DUMMYFUNCTION("""COMPUTED_VALUE"""),"14rwUHTx4auE_hf60WN-tNOx3atNg7QGvErWNwVQIRqE")</f>
        <v>14rwUHTx4auE_hf60WN-tNOx3atNg7QGvErWNwVQIRqE</v>
      </c>
      <c r="D21" s="10" t="str">
        <f>IFERROR(__xludf.DUMMYFUNCTION("""COMPUTED_VALUE"""),"")</f>
        <v/>
      </c>
      <c r="E21" s="10" t="str">
        <f>IFERROR(__xludf.DUMMYFUNCTION("""COMPUTED_VALUE"""),"")</f>
        <v/>
      </c>
      <c r="F21" s="10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10" t="str">
        <f>IFERROR(__xludf.DUMMYFUNCTION("""COMPUTED_VALUE"""),"CreateTransaction")</f>
        <v>CreateTransaction</v>
      </c>
      <c r="B22" s="10" t="str">
        <f>IFERROR(__xludf.DUMMYFUNCTION("""COMPUTED_VALUE"""),"CreateTransaction")</f>
        <v>CreateTransaction</v>
      </c>
      <c r="C22" s="10" t="str">
        <f>IFERROR(__xludf.DUMMYFUNCTION("""COMPUTED_VALUE"""),"1amshi8Ns36lsDpccBK0y_9bL_pQ2rHdGNYypcgzceUg")</f>
        <v>1amshi8Ns36lsDpccBK0y_9bL_pQ2rHdGNYypcgzceUg</v>
      </c>
      <c r="D22" s="10" t="str">
        <f>IFERROR(__xludf.DUMMYFUNCTION("""COMPUTED_VALUE"""),"")</f>
        <v/>
      </c>
      <c r="E22" s="10" t="str">
        <f>IFERROR(__xludf.DUMMYFUNCTION("""COMPUTED_VALUE"""),"")</f>
        <v/>
      </c>
      <c r="F22" s="10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10" t="str">
        <f>IFERROR(__xludf.DUMMYFUNCTION("""COMPUTED_VALUE"""),"DailyValuation")</f>
        <v>DailyValuation</v>
      </c>
      <c r="B23" s="10" t="str">
        <f>IFERROR(__xludf.DUMMYFUNCTION("""COMPUTED_VALUE"""),"UpdateBeta")</f>
        <v>UpdateBeta</v>
      </c>
      <c r="C23" s="10" t="str">
        <f>IFERROR(__xludf.DUMMYFUNCTION("""COMPUTED_VALUE"""),"1YKttwHsdIskNDoo0Sl7HF2DWikROW-KA05qfT3GLIyI")</f>
        <v>1YKttwHsdIskNDoo0Sl7HF2DWikROW-KA05qfT3GLIyI</v>
      </c>
      <c r="D23" s="10" t="str">
        <f>IFERROR(__xludf.DUMMYFUNCTION("""COMPUTED_VALUE"""),"")</f>
        <v/>
      </c>
      <c r="E23" s="10" t="str">
        <f>IFERROR(__xludf.DUMMYFUNCTION("""COMPUTED_VALUE"""),"")</f>
        <v/>
      </c>
      <c r="F23" s="10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10" t="str">
        <f>IFERROR(__xludf.DUMMYFUNCTION("""COMPUTED_VALUE"""),"DailyValuation")</f>
        <v>DailyValuation</v>
      </c>
      <c r="B24" s="10" t="str">
        <f>IFERROR(__xludf.DUMMYFUNCTION("""COMPUTED_VALUE"""),"UpdateDailyCash")</f>
        <v>UpdateDailyCash</v>
      </c>
      <c r="C24" s="10" t="str">
        <f>IFERROR(__xludf.DUMMYFUNCTION("""COMPUTED_VALUE"""),"1YJ2rTp-OqQTGjubvs_cBC6fl0l94pyHI2eaLJzbddS4")</f>
        <v>1YJ2rTp-OqQTGjubvs_cBC6fl0l94pyHI2eaLJzbddS4</v>
      </c>
      <c r="D24" s="10" t="str">
        <f>IFERROR(__xludf.DUMMYFUNCTION("""COMPUTED_VALUE"""),"")</f>
        <v/>
      </c>
      <c r="E24" s="10" t="str">
        <f>IFERROR(__xludf.DUMMYFUNCTION("""COMPUTED_VALUE"""),"")</f>
        <v/>
      </c>
      <c r="F24" s="10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10" t="str">
        <f>IFERROR(__xludf.DUMMYFUNCTION("""COMPUTED_VALUE"""),"DailyValuation")</f>
        <v>DailyValuation</v>
      </c>
      <c r="B25" s="10" t="str">
        <f>IFERROR(__xludf.DUMMYFUNCTION("""COMPUTED_VALUE"""),"UpdateForexConversion")</f>
        <v>UpdateForexConversion</v>
      </c>
      <c r="C25" s="10" t="str">
        <f>IFERROR(__xludf.DUMMYFUNCTION("""COMPUTED_VALUE"""),"1mLyEfNTVFd65cnE6GfgCRD6TdpKg1BgqNIDjHCFzyO4")</f>
        <v>1mLyEfNTVFd65cnE6GfgCRD6TdpKg1BgqNIDjHCFzyO4</v>
      </c>
      <c r="D25" s="10" t="str">
        <f>IFERROR(__xludf.DUMMYFUNCTION("""COMPUTED_VALUE"""),"")</f>
        <v/>
      </c>
      <c r="E25" s="10" t="str">
        <f>IFERROR(__xludf.DUMMYFUNCTION("""COMPUTED_VALUE"""),"")</f>
        <v/>
      </c>
      <c r="F25" s="10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10" t="str">
        <f>IFERROR(__xludf.DUMMYFUNCTION("""COMPUTED_VALUE"""),"DailyValuation")</f>
        <v>DailyValuation</v>
      </c>
      <c r="B26" s="10" t="str">
        <f>IFERROR(__xludf.DUMMYFUNCTION("""COMPUTED_VALUE"""),"UpdateMarkPrice")</f>
        <v>UpdateMarkPrice</v>
      </c>
      <c r="C26" s="10" t="str">
        <f>IFERROR(__xludf.DUMMYFUNCTION("""COMPUTED_VALUE"""),"1M8d9TyOhMnA65NSIYvS6dR68SH5RL6oKahd6uz7yp6c")</f>
        <v>1M8d9TyOhMnA65NSIYvS6dR68SH5RL6oKahd6uz7yp6c</v>
      </c>
      <c r="D26" s="10" t="str">
        <f>IFERROR(__xludf.DUMMYFUNCTION("""COMPUTED_VALUE"""),"")</f>
        <v/>
      </c>
      <c r="E26" s="10" t="str">
        <f>IFERROR(__xludf.DUMMYFUNCTION("""COMPUTED_VALUE"""),"")</f>
        <v/>
      </c>
      <c r="F26" s="10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10" t="str">
        <f>IFERROR(__xludf.DUMMYFUNCTION("""COMPUTED_VALUE"""),"Import")</f>
        <v>Import</v>
      </c>
      <c r="B27" s="10" t="str">
        <f>IFERROR(__xludf.DUMMYFUNCTION("""COMPUTED_VALUE"""),"Import")</f>
        <v>Import</v>
      </c>
      <c r="C27" s="10" t="str">
        <f>IFERROR(__xludf.DUMMYFUNCTION("""COMPUTED_VALUE"""),"1Q5uOVYo1NMRks6hQRJuV8XWMPb6VFEAbSzpgP1dot1I")</f>
        <v>1Q5uOVYo1NMRks6hQRJuV8XWMPb6VFEAbSzpgP1dot1I</v>
      </c>
      <c r="D27" s="10" t="str">
        <f>IFERROR(__xludf.DUMMYFUNCTION("""COMPUTED_VALUE"""),"")</f>
        <v/>
      </c>
      <c r="E27" s="10" t="str">
        <f>IFERROR(__xludf.DUMMYFUNCTION("""COMPUTED_VALUE"""),"")</f>
        <v/>
      </c>
      <c r="F27" s="10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10" t="str">
        <f>IFERROR(__xludf.DUMMYFUNCTION("""COMPUTED_VALUE"""),"PortfolioManagement")</f>
        <v>PortfolioManagement</v>
      </c>
      <c r="B28" s="10" t="str">
        <f>IFERROR(__xludf.DUMMYFUNCTION("""COMPUTED_VALUE"""),"CheckDashboardPM")</f>
        <v>CheckDashboardPM</v>
      </c>
      <c r="C28" s="10" t="str">
        <f>IFERROR(__xludf.DUMMYFUNCTION("""COMPUTED_VALUE"""),"1iqfUyYqyebXIeNBGljH7-T8whBcywTlkBBU3dBZV06s")</f>
        <v>1iqfUyYqyebXIeNBGljH7-T8whBcywTlkBBU3dBZV06s</v>
      </c>
      <c r="D28" s="10" t="str">
        <f>IFERROR(__xludf.DUMMYFUNCTION("""COMPUTED_VALUE"""),"")</f>
        <v/>
      </c>
      <c r="E28" s="10" t="str">
        <f>IFERROR(__xludf.DUMMYFUNCTION("""COMPUTED_VALUE"""),"")</f>
        <v/>
      </c>
      <c r="F28" s="10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10" t="str">
        <f>IFERROR(__xludf.DUMMYFUNCTION("""COMPUTED_VALUE"""),"PortfolioManagement")</f>
        <v>PortfolioManagement</v>
      </c>
      <c r="B29" s="10" t="str">
        <f>IFERROR(__xludf.DUMMYFUNCTION("""COMPUTED_VALUE"""),"CheckPortfolioManagement")</f>
        <v>CheckPortfolioManagement</v>
      </c>
      <c r="C29" s="10" t="str">
        <f>IFERROR(__xludf.DUMMYFUNCTION("""COMPUTED_VALUE"""),"1u0XMlZJy_Slp7uXMwirinW7StOOdTcWD-D8V07sO0VA")</f>
        <v>1u0XMlZJy_Slp7uXMwirinW7StOOdTcWD-D8V07sO0VA</v>
      </c>
      <c r="D29" s="10" t="str">
        <f>IFERROR(__xludf.DUMMYFUNCTION("""COMPUTED_VALUE"""),"")</f>
        <v/>
      </c>
      <c r="E29" s="10" t="str">
        <f>IFERROR(__xludf.DUMMYFUNCTION("""COMPUTED_VALUE"""),"")</f>
        <v/>
      </c>
      <c r="F29" s="10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10" t="str">
        <f>IFERROR(__xludf.DUMMYFUNCTION("""COMPUTED_VALUE"""),"PricingInput")</f>
        <v>PricingInput</v>
      </c>
      <c r="B30" s="10" t="str">
        <f>IFERROR(__xludf.DUMMYFUNCTION("""COMPUTED_VALUE"""),"PricingInput")</f>
        <v>PricingInput</v>
      </c>
      <c r="C30" s="10" t="str">
        <f>IFERROR(__xludf.DUMMYFUNCTION("""COMPUTED_VALUE"""),"1mh3Z5PifhJ3yzX8TPeoc3H3nteNiA0V2tWFse0rVChE")</f>
        <v>1mh3Z5PifhJ3yzX8TPeoc3H3nteNiA0V2tWFse0rVChE</v>
      </c>
      <c r="D30" s="10" t="str">
        <f>IFERROR(__xludf.DUMMYFUNCTION("""COMPUTED_VALUE"""),"")</f>
        <v/>
      </c>
      <c r="E30" s="10" t="str">
        <f>IFERROR(__xludf.DUMMYFUNCTION("""COMPUTED_VALUE"""),"")</f>
        <v/>
      </c>
      <c r="F30" s="1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10" t="str">
        <f>IFERROR(__xludf.DUMMYFUNCTION("""COMPUTED_VALUE"""),"PricingInput")</f>
        <v>PricingInput</v>
      </c>
      <c r="B31" s="10" t="str">
        <f>IFERROR(__xludf.DUMMYFUNCTION("""COMPUTED_VALUE"""),"UpdateSharesOutstanding")</f>
        <v>UpdateSharesOutstanding</v>
      </c>
      <c r="C31" s="10" t="str">
        <f>IFERROR(__xludf.DUMMYFUNCTION("""COMPUTED_VALUE"""),"1vmZ6v1OyZ8SSi8bqqjK3ap3KtM_yPA_SEcIQgYiRInY")</f>
        <v>1vmZ6v1OyZ8SSi8bqqjK3ap3KtM_yPA_SEcIQgYiRInY</v>
      </c>
      <c r="D31" s="10" t="str">
        <f>IFERROR(__xludf.DUMMYFUNCTION("""COMPUTED_VALUE"""),"")</f>
        <v/>
      </c>
      <c r="E31" s="10" t="str">
        <f>IFERROR(__xludf.DUMMYFUNCTION("""COMPUTED_VALUE"""),"")</f>
        <v/>
      </c>
      <c r="F31" s="10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10" t="str">
        <f>IFERROR(__xludf.DUMMYFUNCTION("""COMPUTED_VALUE"""),"SymbolLookup")</f>
        <v>SymbolLookup</v>
      </c>
      <c r="B32" s="10" t="str">
        <f>IFERROR(__xludf.DUMMYFUNCTION("""COMPUTED_VALUE"""),"VerifySymbolLookUp")</f>
        <v>VerifySymbolLookUp</v>
      </c>
      <c r="C32" s="10" t="str">
        <f>IFERROR(__xludf.DUMMYFUNCTION("""COMPUTED_VALUE"""),"1OiI1Pi_JAFOFi8ByMaD3_qqEXSv6yQMo_u6aGTozbl8")</f>
        <v>1OiI1Pi_JAFOFi8ByMaD3_qqEXSv6yQMo_u6aGTozbl8</v>
      </c>
      <c r="D32" s="10" t="str">
        <f>IFERROR(__xludf.DUMMYFUNCTION("""COMPUTED_VALUE"""),"")</f>
        <v/>
      </c>
      <c r="E32" s="10" t="str">
        <f>IFERROR(__xludf.DUMMYFUNCTION("""COMPUTED_VALUE"""),"")</f>
        <v/>
      </c>
      <c r="F32" s="10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10" t="str">
        <f>IFERROR(__xludf.DUMMYFUNCTION("""COMPUTED_VALUE"""),"SymbolLookup")</f>
        <v>SymbolLookup</v>
      </c>
      <c r="B33" s="10" t="str">
        <f>IFERROR(__xludf.DUMMYFUNCTION("""COMPUTED_VALUE"""),"SymbolLookupFromTT")</f>
        <v>SymbolLookupFromTT</v>
      </c>
      <c r="C33" s="10" t="str">
        <f>IFERROR(__xludf.DUMMYFUNCTION("""COMPUTED_VALUE"""),"1ubfvE9sHq5KpJ9NazeH96CrVMJqAuol5Ya9GPjxWrgI")</f>
        <v>1ubfvE9sHq5KpJ9NazeH96CrVMJqAuol5Ya9GPjxWrgI</v>
      </c>
      <c r="D33" s="10" t="str">
        <f>IFERROR(__xludf.DUMMYFUNCTION("""COMPUTED_VALUE"""),"")</f>
        <v/>
      </c>
      <c r="E33" s="10" t="str">
        <f>IFERROR(__xludf.DUMMYFUNCTION("""COMPUTED_VALUE"""),"")</f>
        <v/>
      </c>
      <c r="F33" s="10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2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IFERROR(__xludf.DUMMYFUNCTION("""COMPUTED_VALUE"""),"1y3edACvUtHcrCyn7bfzWXET_VAfASVChWeHuDnd6534")</f>
        <v>1y3edACvUtHcrCyn7bfzWXET_VAfASVChWeHuDnd6534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IFERROR(__xludf.DUMMYFUNCTION("""COMPUTED_VALUE"""),"ThirdPartyWork")</f>
        <v>ThirdPartyWork</v>
      </c>
      <c r="C351" t="str">
        <f>IFERROR(__xludf.DUMMYFUNCTION("""COMPUTED_VALUE"""),"undefined")</f>
        <v>undefined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IFERROR(__xludf.DUMMYFUNCTION("""COMPUTED_VALUE"""),"Automation")</f>
        <v>Automation</v>
      </c>
      <c r="C352" t="str">
        <f>IFERROR(__xludf.DUMMYFUNCTION("""COMPUTED_VALUE"""),"undefined")</f>
        <v>undefined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IFERROR(__xludf.DUMMYFUNCTION("""COMPUTED_VALUE"""),"ThirdPartyManagerFunction")</f>
        <v>ThirdPartyManagerFunction</v>
      </c>
      <c r="C353" t="str">
        <f>IFERROR(__xludf.DUMMYFUNCTION("""COMPUTED_VALUE"""),"undefined")</f>
        <v>undefined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IFERROR(__xludf.DUMMYFUNCTION("""COMPUTED_VALUE"""),"ThirdParty")</f>
        <v>ThirdParty</v>
      </c>
      <c r="B354" t="str">
        <f>IFERROR(__xludf.DUMMYFUNCTION("""COMPUTED_VALUE"""),"OpeningManager")</f>
        <v>OpeningManager</v>
      </c>
      <c r="C354" t="str">
        <f>IFERROR(__xludf.DUMMYFUNCTION("""COMPUTED_VALUE"""),"1F3VrDP9gZVgnN47cnexOSvCPCOWrB5TnPdoVFblX-Hs")</f>
        <v>1F3VrDP9gZVgnN47cnexOSvCPCOWrB5TnPdoVFblX-Hs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IFERROR(__xludf.DUMMYFUNCTION("""COMPUTED_VALUE"""),"ThirdParty")</f>
        <v>ThirdParty</v>
      </c>
      <c r="B355" t="str">
        <f>IFERROR(__xludf.DUMMYFUNCTION("""COMPUTED_VALUE"""),"SelectFromThirdPartyGrid")</f>
        <v>SelectFromThirdPartyGrid</v>
      </c>
      <c r="C355" t="str">
        <f>IFERROR(__xludf.DUMMYFUNCTION("""COMPUTED_VALUE"""),"1_LSKrymEkIuBeyHqfZI1upyAoiYQgw0S0J0RO7IgiBw")</f>
        <v>1_LSKrymEkIuBeyHqfZI1upyAoiYQgw0S0J0RO7IgiBw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IFERROR(__xludf.DUMMYFUNCTION("""COMPUTED_VALUE"""),"ThirdParty")</f>
        <v>ThirdParty</v>
      </c>
      <c r="B356" t="str">
        <f>IFERROR(__xludf.DUMMYFUNCTION("""COMPUTED_VALUE"""),"SelectThirdPartyJob")</f>
        <v>SelectThirdPartyJob</v>
      </c>
      <c r="C356" t="str">
        <f>IFERROR(__xludf.DUMMYFUNCTION("""COMPUTED_VALUE"""),"1Q9anI2VDWuslEj_JKPuWlj_ER5paw0uxtF2p1N3mqOA")</f>
        <v>1Q9anI2VDWuslEj_JKPuWlj_ER5paw0uxtF2p1N3mqOA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IFERROR(__xludf.DUMMYFUNCTION("""COMPUTED_VALUE"""),"ThirdParty")</f>
        <v>ThirdParty</v>
      </c>
      <c r="B357" t="str">
        <f>IFERROR(__xludf.DUMMYFUNCTION("""COMPUTED_VALUE"""),"GenerateAllThirdPartyData")</f>
        <v>GenerateAllThirdPartyData</v>
      </c>
      <c r="C357" t="str">
        <f>IFERROR(__xludf.DUMMYFUNCTION("""COMPUTED_VALUE"""),"1N_tr8KIMlLRSTf8xjI6E_DCsfagISlV95aJSkQKRavk")</f>
        <v>1N_tr8KIMlLRSTf8xjI6E_DCsfagISlV95aJSkQKRavk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IFERROR(__xludf.DUMMYFUNCTION("""COMPUTED_VALUE"""),"ThirdParty")</f>
        <v>ThirdParty</v>
      </c>
      <c r="B358" t="str">
        <f>IFERROR(__xludf.DUMMYFUNCTION("""COMPUTED_VALUE"""),"SendAllThirdPartyData")</f>
        <v>SendAllThirdPartyData</v>
      </c>
      <c r="C358" t="str">
        <f>IFERROR(__xludf.DUMMYFUNCTION("""COMPUTED_VALUE"""),"1JLfoMbfAcKX8sKuY5GBrk9VURM7QOEybGoh99ESKb-4")</f>
        <v>1JLfoMbfAcKX8sKuY5GBrk9VURM7QOEybGoh99ESKb-4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IFERROR(__xludf.DUMMYFUNCTION("""COMPUTED_VALUE"""),"ThirdParty")</f>
        <v>ThirdParty</v>
      </c>
      <c r="B359" t="str">
        <f>IFERROR(__xludf.DUMMYFUNCTION("""COMPUTED_VALUE"""),"VerifyThirdPartyView")</f>
        <v>VerifyThirdPartyView</v>
      </c>
      <c r="C359" t="str">
        <f>IFERROR(__xludf.DUMMYFUNCTION("""COMPUTED_VALUE"""),"1OPgUZqNYhV3KEPmPCahj5p6WvTvcu6yt-IilVEoYdck")</f>
        <v>1OPgUZqNYhV3KEPmPCahj5p6WvTvcu6yt-IilVEoYdck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IFERROR(__xludf.DUMMYFUNCTION("""COMPUTED_VALUE"""),"CheckCompliance")</f>
        <v>CheckCompliance</v>
      </c>
      <c r="C360" t="str">
        <f>IFERROR(__xludf.DUMMYFUNCTION("""COMPUTED_VALUE"""),"1rHjLXpZjBLQM6QWnpXPgAllc-YEEgN3ft01yzOc3Z_k")</f>
        <v>1rHjLXpZjBLQM6QWnpXPgAllc-YEEgN3ft01yzOc3Z_k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IFERROR(__xludf.DUMMYFUNCTION("""COMPUTED_VALUE"""),"VerifyAccountDivisorWindow")</f>
        <v>VerifyAccountDivisorWindow</v>
      </c>
      <c r="C361" t="str">
        <f>IFERROR(__xludf.DUMMYFUNCTION("""COMPUTED_VALUE"""),"1o2I6wY7Q2ZhQmtkXdRpqlxQVJ8IApk0IcIxM0anIe4E")</f>
        <v>1o2I6wY7Q2ZhQmtkXdRpqlxQVJ8IApk0IcIxM0anIe4E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IFERROR(__xludf.DUMMYFUNCTION("""COMPUTED_VALUE"""),"VerifyAccountSymbolDivisorWindow")</f>
        <v>VerifyAccountSymbolDivisorWindow</v>
      </c>
      <c r="C362" t="str">
        <f>IFERROR(__xludf.DUMMYFUNCTION("""COMPUTED_VALUE"""),"1ADKVvtlUcDE2a_GFsrcnF3qLRtLLDQ1rEJbzQws78i8")</f>
        <v>1ADKVvtlUcDE2a_GFsrcnF3qLRtLLDQ1rEJbzQws78i8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IFERROR(__xludf.DUMMYFUNCTION("""COMPUTED_VALUE"""),"VerifyAggregationAccountSymbolWithNav")</f>
        <v>VerifyAggregationAccountSymbolWithNav</v>
      </c>
      <c r="C363" t="str">
        <f>IFERROR(__xludf.DUMMYFUNCTION("""COMPUTED_VALUE"""),"1lnfZcSlUOa9o7gHKbVZNk25z7jkFzrWO3HCg1iRDEhg")</f>
        <v>1lnfZcSlUOa9o7gHKbVZNk25z7jkFzrWO3HCg1iRDEhg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IFERROR(__xludf.DUMMYFUNCTION("""COMPUTED_VALUE"""),"VerifyAggregationAccountWithNav")</f>
        <v>VerifyAggregationAccountWithNav</v>
      </c>
      <c r="C364" t="str">
        <f>IFERROR(__xludf.DUMMYFUNCTION("""COMPUTED_VALUE"""),"1bVQ8hXYcI8QA4dwbvx9VW307agnDiO6msA8_55Z9Ho4")</f>
        <v>1bVQ8hXYcI8QA4dwbvx9VW307agnDiO6msA8_55Z9Ho4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IFERROR(__xludf.DUMMYFUNCTION("""COMPUTED_VALUE"""),"VerifyAggregationMasterFundSymbolWithNav")</f>
        <v>VerifyAggregationMasterFundSymbolWithNav</v>
      </c>
      <c r="C365" t="str">
        <f>IFERROR(__xludf.DUMMYFUNCTION("""COMPUTED_VALUE"""),"149nnw4Cwl1HHouYCXdqP9R7Mx98I_xiisiVCYk7UJkk")</f>
        <v>149nnw4Cwl1HHouYCXdqP9R7Mx98I_xiisiVCYk7UJkk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IFERROR(__xludf.DUMMYFUNCTION("""COMPUTED_VALUE"""),"VerifyAggregationMasterFundUnderlyingSymbolWithNav")</f>
        <v>VerifyAggregationMasterFundUnderlyingSymbolWithNav</v>
      </c>
      <c r="C366" t="str">
        <f>IFERROR(__xludf.DUMMYFUNCTION("""COMPUTED_VALUE"""),"14DzH-ZDYwWbCfXuBzG8v04Qb1mQp1of2O6GLQXcWMsQ")</f>
        <v>14DzH-ZDYwWbCfXuBzG8v04Qb1mQp1of2O6GLQXcWMsQ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IFERROR(__xludf.DUMMYFUNCTION("""COMPUTED_VALUE"""),"VerifyAggregationMasterFundWithNav")</f>
        <v>VerifyAggregationMasterFundWithNav</v>
      </c>
      <c r="C367" t="str">
        <f>IFERROR(__xludf.DUMMYFUNCTION("""COMPUTED_VALUE"""),"1zsjoqOkIN3nYkIIxRHJMhmyX6J_C62DE3Oo2y7BGdVs")</f>
        <v>1zsjoqOkIN3nYkIIxRHJMhmyX6J_C62DE3Oo2y7BGdVs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IFERROR(__xludf.DUMMYFUNCTION("""COMPUTED_VALUE"""),"VerifyAggregationSectorWithNav")</f>
        <v>VerifyAggregationSectorWithNav</v>
      </c>
      <c r="C368" t="str">
        <f>IFERROR(__xludf.DUMMYFUNCTION("""COMPUTED_VALUE"""),"1PwtsUw7M1uKb7OUFflhtzsANVeSCTOQuOmvDpORnIho")</f>
        <v>1PwtsUw7M1uKb7OUFflhtzsANVeSCTOQuOmvDpORnIho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IFERROR(__xludf.DUMMYFUNCTION("""COMPUTED_VALUE"""),"VerifyAggregationUnderlyingSymbolWithNav")</f>
        <v>VerifyAggregationUnderlyingSymbolWithNav</v>
      </c>
      <c r="C369" t="str">
        <f>IFERROR(__xludf.DUMMYFUNCTION("""COMPUTED_VALUE"""),"176-KXks3ZB5ZHuKBMwUMw29_Cv2044sZyo8Km9DSXhY")</f>
        <v>176-KXks3ZB5ZHuKBMwUMw29_Cv2044sZyo8Km9DSXhY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IFERROR(__xludf.DUMMYFUNCTION("""COMPUTED_VALUE"""),"VerifyAuecWindow")</f>
        <v>VerifyAuecWindow</v>
      </c>
      <c r="C370" t="str">
        <f>IFERROR(__xludf.DUMMYFUNCTION("""COMPUTED_VALUE"""),"16b_2-FgoStwuBkNr_JjCAyklRXIuqbbe3yokDxprokc")</f>
        <v>16b_2-FgoStwuBkNr_JjCAyklRXIuqbbe3yokDxprokc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IFERROR(__xludf.DUMMYFUNCTION("""COMPUTED_VALUE"""),"VerifyBetaWindow")</f>
        <v>VerifyBetaWindow</v>
      </c>
      <c r="C371" t="str">
        <f>IFERROR(__xludf.DUMMYFUNCTION("""COMPUTED_VALUE"""),"1fbKcjC8gLwYcrNAXPL4_1obtoTCCX0MmPEKkR5s582U")</f>
        <v>1fbKcjC8gLwYcrNAXPL4_1obtoTCCX0MmPEKkR5s582U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IFERROR(__xludf.DUMMYFUNCTION("""COMPUTED_VALUE"""),"VerifyCustomSymbolDataWindow")</f>
        <v>VerifyCustomSymbolDataWindow</v>
      </c>
      <c r="C372" t="str">
        <f>IFERROR(__xludf.DUMMYFUNCTION("""COMPUTED_VALUE"""),"1-ro_FbZAIVOSxzuukFA-JqauiFzAp2zzPW1nR5HDbNQ")</f>
        <v>1-ro_FbZAIVOSxzuukFA-JqauiFzAp2zzPW1nR5HDbNQ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IFERROR(__xludf.DUMMYFUNCTION("""COMPUTED_VALUE"""),"VerifyDayEndCashAccountWindow")</f>
        <v>VerifyDayEndCashAccountWindow</v>
      </c>
      <c r="C373" t="str">
        <f>IFERROR(__xludf.DUMMYFUNCTION("""COMPUTED_VALUE"""),"14hibcKhSsVy9-wON6kpUuT3WpnX2wo9pBQzmPi8qLL0")</f>
        <v>14hibcKhSsVy9-wON6kpUuT3WpnX2wo9pBQzmPi8qLL0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IFERROR(__xludf.DUMMYFUNCTION("""COMPUTED_VALUE"""),"VerifyDbNavWindow")</f>
        <v>VerifyDbNavWindow</v>
      </c>
      <c r="C374" t="str">
        <f>IFERROR(__xludf.DUMMYFUNCTION("""COMPUTED_VALUE"""),"18-WlIts2DAJ-WJbsdY1Rpj5dOSmW5uYCwetKlx26fnQ")</f>
        <v>18-WlIts2DAJ-WJbsdY1Rpj5dOSmW5uYCwetKlx26fnQ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IFERROR(__xludf.DUMMYFUNCTION("""COMPUTED_VALUE"""),"VerifyGlobalDivisorWindow")</f>
        <v>VerifyGlobalDivisorWindow</v>
      </c>
      <c r="C375" t="str">
        <f>IFERROR(__xludf.DUMMYFUNCTION("""COMPUTED_VALUE"""),"1z5ONnrNdd3WVB7RZIGa-yHhn0U7mw19K0moh5ObmK-I")</f>
        <v>1z5ONnrNdd3WVB7RZIGa-yHhn0U7mw19K0moh5ObmK-I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IFERROR(__xludf.DUMMYFUNCTION("""COMPUTED_VALUE"""),"VerifyPmCalculationPreferenceWindow")</f>
        <v>VerifyPmCalculationPreferenceWindow</v>
      </c>
      <c r="C376" t="str">
        <f>IFERROR(__xludf.DUMMYFUNCTION("""COMPUTED_VALUE"""),"1yse7cNfakHdRjfRrq1SQW0Yxxopg67W_juGAkOyqHPk")</f>
        <v>1yse7cNfakHdRjfRrq1SQW0Yxxopg67W_juGAkOyqHPk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IFERROR(__xludf.DUMMYFUNCTION("""COMPUTED_VALUE"""),"VerifyRowCalculationBaseWindow")</f>
        <v>VerifyRowCalculationBaseWindow</v>
      </c>
      <c r="C377" t="str">
        <f>IFERROR(__xludf.DUMMYFUNCTION("""COMPUTED_VALUE"""),"16bZAwMHOfN8bD2TadtVor3HvDM0dtF51XYU1iRUEXpQ")</f>
        <v>16bZAwMHOfN8bD2TadtVor3HvDM0dtF51XYU1iRUEXpQ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IFERROR(__xludf.DUMMYFUNCTION("""COMPUTED_VALUE"""),"VerifySecurityWindow")</f>
        <v>VerifySecurityWindow</v>
      </c>
      <c r="C378" t="str">
        <f>IFERROR(__xludf.DUMMYFUNCTION("""COMPUTED_VALUE"""),"1xeK-JWq8oHwAbmnGt_N4qn9Nt8F9XHo5-Mtr0t_7pRw")</f>
        <v>1xeK-JWq8oHwAbmnGt_N4qn9Nt8F9XHo5-Mtr0t_7pRw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IFERROR(__xludf.DUMMYFUNCTION("""COMPUTED_VALUE"""),"VerifySymbolDataWindow")</f>
        <v>VerifySymbolDataWindow</v>
      </c>
      <c r="C379" t="str">
        <f>IFERROR(__xludf.DUMMYFUNCTION("""COMPUTED_VALUE"""),"13iKSNjdwzv3DKe_1fcHZJ8GUk5s-HKAGG5PE6MY-smA")</f>
        <v>13iKSNjdwzv3DKe_1fcHZJ8GUk5s-HKAGG5PE6MY-smA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IFERROR(__xludf.DUMMYFUNCTION("""COMPUTED_VALUE"""),"VerifySymbolDivisorWindow")</f>
        <v>VerifySymbolDivisorWindow</v>
      </c>
      <c r="C380" t="str">
        <f>IFERROR(__xludf.DUMMYFUNCTION("""COMPUTED_VALUE"""),"1uyHz1cQUHCK-GcBufMehtS9i6BspKa5HVCLnf4pfGuk")</f>
        <v>1uyHz1cQUHCK-GcBufMehtS9i6BspKa5HVCLnf4pfGuk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IFERROR(__xludf.DUMMYFUNCTION("""COMPUTED_VALUE"""),"VerifyTaxlotWindow")</f>
        <v>VerifyTaxlotWindow</v>
      </c>
      <c r="C381" t="str">
        <f>IFERROR(__xludf.DUMMYFUNCTION("""COMPUTED_VALUE"""),"1LmfcHeXwbnPa-An0b_OD4pDLm7pUlzSX41G5QZ2Uons")</f>
        <v>1LmfcHeXwbnPa-An0b_OD4pDLm7pUlzSX41G5QZ2Uons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IFERROR(__xludf.DUMMYFUNCTION("""COMPUTED_VALUE"""),"RestartEsper")</f>
        <v>RestartEsper</v>
      </c>
      <c r="C382" t="str">
        <f>IFERROR(__xludf.DUMMYFUNCTION("""COMPUTED_VALUE"""),"undefined")</f>
        <v>undefined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IFERROR(__xludf.DUMMYFUNCTION("""COMPUTED_VALUE"""),"VerifyAccountNavPreferenceWindow")</f>
        <v>VerifyAccountNavPreferenceWindow</v>
      </c>
      <c r="C383" t="str">
        <f>IFERROR(__xludf.DUMMYFUNCTION("""COMPUTED_VALUE"""),"1PbpS5QGNvwJE_YSvMrjHxbUPPQhcUDrQHC4N9KHYjWY")</f>
        <v>1PbpS5QGNvwJE_YSvMrjHxbUPPQhcUDrQHC4N9KHYjWY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VerifyAggregationAccountUnderlyingSymbolWithNav")</f>
        <v> VerifyAggregationAccountUnderlyingSymbolWithNav</v>
      </c>
      <c r="C384" t="str">
        <f>IFERROR(__xludf.DUMMYFUNCTION("""COMPUTED_VALUE"""),"1e43aiziZ9lVzR6j8eABeYJVnCkgU34OcPRcWujsT2Sk")</f>
        <v>1e43aiziZ9lVzR6j8eABeYJVnCkgU34OcPRcWujsT2Sk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IFERROR(__xludf.DUMMYFUNCTION("""COMPUTED_VALUE"""),"VerifyAggregationAssetWithNav")</f>
        <v>VerifyAggregationAssetWithNav</v>
      </c>
      <c r="C385" t="str">
        <f>IFERROR(__xludf.DUMMYFUNCTION("""COMPUTED_VALUE"""),"1etvN2Ze8TA6NI_8xSaOdqLwhWnk9NXKUUDhi-_NctcY")</f>
        <v>1etvN2Ze8TA6NI_8xSaOdqLwhWnk9NXKUUDhi-_NctcY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IFERROR(__xludf.DUMMYFUNCTION("""COMPUTED_VALUE"""),"VerifyAggregationSymbolWithNav")</f>
        <v>VerifyAggregationSymbolWithNav</v>
      </c>
      <c r="C386" t="str">
        <f>IFERROR(__xludf.DUMMYFUNCTION("""COMPUTED_VALUE"""),"13XyCHzB6LhftZ5UNht5K7e3dan_fGbii_TnOOGLwDg0")</f>
        <v>13XyCHzB6LhftZ5UNht5K7e3dan_fGbii_TnOOGLwDg0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IFERROR(__xludf.DUMMYFUNCTION("""COMPUTED_VALUE"""),"VerifyAggregationSubSectorWithNav")</f>
        <v>VerifyAggregationSubSectorWithNav</v>
      </c>
      <c r="C387" t="str">
        <f>IFERROR(__xludf.DUMMYFUNCTION("""COMPUTED_VALUE"""),"1DBHQwTuKH0lzdeBCel_4raYQn6PkkFTYydpCHbsB4Qk")</f>
        <v>1DBHQwTuKH0lzdeBCel_4raYQn6PkkFTYydpCHbsB4Qk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IFERROR(__xludf.DUMMYFUNCTION("""COMPUTED_VALUE"""),"VerifyAggregationGlobalWithNav")</f>
        <v>VerifyAggregationGlobalWithNav</v>
      </c>
      <c r="C388" t="str">
        <f>IFERROR(__xludf.DUMMYFUNCTION("""COMPUTED_VALUE"""),"1XVSAkmIoWI-AC0BHXwWO3TqCkz2uOlJFE5eM6W0_Cew")</f>
        <v>1XVSAkmIoWI-AC0BHXwWO3TqCkz2uOlJFE5eM6W0_Cew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IFERROR(__xludf.DUMMYFUNCTION("""COMPUTED_VALUE"""),"Compliance")</f>
        <v>Compliance</v>
      </c>
      <c r="B389" t="str">
        <f>IFERROR(__xludf.DUMMYFUNCTION("""COMPUTED_VALUE""")," VerifyAggregationGlobalWithNav")</f>
        <v> VerifyAggregationGlobalWithNav</v>
      </c>
      <c r="C389" t="str">
        <f>IFERROR(__xludf.DUMMYFUNCTION("""COMPUTED_VALUE"""),"1XVSAkmIoWI-AC0BHXwWO3TqCkz2uOlJFE5eM6W0_Cew")</f>
        <v>1XVSAkmIoWI-AC0BHXwWO3TqCkz2uOlJFE5eM6W0_Cew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IFERROR(__xludf.DUMMYFUNCTION("""COMPUTED_VALUE"""),"Compliance")</f>
        <v>Compliance</v>
      </c>
      <c r="B390" t="str">
        <f>IFERROR(__xludf.DUMMYFUNCTION("""COMPUTED_VALUE"""),"VerifyGlobalDivisorWindow")</f>
        <v>VerifyGlobalDivisorWindow</v>
      </c>
      <c r="C390" t="str">
        <f>IFERROR(__xludf.DUMMYFUNCTION("""COMPUTED_VALUE"""),"1z5ONnrNdd3WVB7RZIGa-yHhn0U7mw19K0moh5ObmK-I")</f>
        <v>1z5ONnrNdd3WVB7RZIGa-yHhn0U7mw19K0moh5ObmK-I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IFERROR(__xludf.DUMMYFUNCTION("""COMPUTED_VALUE"""),"Compliance")</f>
        <v>Compliance</v>
      </c>
      <c r="B391" t="str">
        <f>IFERROR(__xludf.DUMMYFUNCTION("""COMPUTED_VALUE""")," VerifyAccrualForAccountWindow")</f>
        <v> VerifyAccrualForAccountWindow</v>
      </c>
      <c r="C391" t="str">
        <f>IFERROR(__xludf.DUMMYFUNCTION("""COMPUTED_VALUE"""),"1zKkT3mW6MMJ2tPzzT2fHVQT6vyc0mePzllndBlUl5IM")</f>
        <v>1zKkT3mW6MMJ2tPzzT2fHVQT6vyc0mePzllndBlUl5IM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IFERROR(__xludf.DUMMYFUNCTION("""COMPUTED_VALUE"""),"Compliance")</f>
        <v>Compliance</v>
      </c>
      <c r="B392" t="str">
        <f>IFERROR(__xludf.DUMMYFUNCTION("""COMPUTED_VALUE"""),"VerifyGlobalDivisorWindow")</f>
        <v>VerifyGlobalDivisorWindow</v>
      </c>
      <c r="C392" t="str">
        <f>IFERROR(__xludf.DUMMYFUNCTION("""COMPUTED_VALUE"""),"1z5ONnrNdd3WVB7RZIGa-yHhn0U7mw19K0moh5ObmK-I")</f>
        <v>1z5ONnrNdd3WVB7RZIGa-yHhn0U7mw19K0moh5ObmK-I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IFERROR(__xludf.DUMMYFUNCTION("""COMPUTED_VALUE"""),"Compliance")</f>
        <v>Compliance</v>
      </c>
      <c r="B393" t="str">
        <f>IFERROR(__xludf.DUMMYFUNCTION("""COMPUTED_VALUE"""),"VerifyMasterFundDivisorWindow")</f>
        <v>VerifyMasterFundDivisorWindow</v>
      </c>
      <c r="C393" t="str">
        <f>IFERROR(__xludf.DUMMYFUNCTION("""COMPUTED_VALUE"""),"13rWeedH_MlhhxYACJeLeckVtBWejh246MGPN4QQpmMM")</f>
        <v>13rWeedH_MlhhxYACJeLeckVtBWejh246MGPN4QQpmMM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IFERROR(__xludf.DUMMYFUNCTION("""COMPUTED_VALUE"""),"Compliance")</f>
        <v>Compliance</v>
      </c>
      <c r="B394" t="str">
        <f>IFERROR(__xludf.DUMMYFUNCTION("""COMPUTED_VALUE"""),"VerifyMasterFundSymbolDivisorWindow")</f>
        <v>VerifyMasterFundSymbolDivisorWindow</v>
      </c>
      <c r="C394" t="str">
        <f>IFERROR(__xludf.DUMMYFUNCTION("""COMPUTED_VALUE"""),"1YPctyrs3yMgf0X1_jVz3LRORCo4B4cNqbyc_K0FujO0")</f>
        <v>1YPctyrs3yMgf0X1_jVz3LRORCo4B4cNqbyc_K0FujO0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IFERROR(__xludf.DUMMYFUNCTION("""COMPUTED_VALUE"""),"FetchAccountPositions")</f>
        <v>FetchAccountPositions</v>
      </c>
      <c r="C395" t="str">
        <f>IFERROR(__xludf.DUMMYFUNCTION("""COMPUTED_VALUE"""),"1BeNn_44h4ClIE46em_ho4qgzGnXy_GxtYTH3cBmtKPk")</f>
        <v>1BeNn_44h4ClIE46em_ho4qgzGnXy_GxtYTH3cBmtKPk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IFERROR(__xludf.DUMMYFUNCTION("""COMPUTED_VALUE"""),"Rebalancer")</f>
        <v>Rebalancer</v>
      </c>
      <c r="B396" t="str">
        <f>IFERROR(__xludf.DUMMYFUNCTION("""COMPUTED_VALUE"""),"AddCash")</f>
        <v>AddCash</v>
      </c>
      <c r="C396" t="str">
        <f>IFERROR(__xludf.DUMMYFUNCTION("""COMPUTED_VALUE"""),"1jkLpZFgLuRokIigwbjW9_Z47rlvj-YDlRcP_c4XkP_k")</f>
        <v>1jkLpZFgLuRokIigwbjW9_Z47rlvj-YDlRcP_c4XkP_k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IFERROR(__xludf.DUMMYFUNCTION("""COMPUTED_VALUE"""),"VerifyGridData")</f>
        <v>VerifyGridData</v>
      </c>
      <c r="C397" t="str">
        <f>IFERROR(__xludf.DUMMYFUNCTION("""COMPUTED_VALUE"""),"1mspGsgTjI-yT8NsZKZn8moOE-Vp0hoNdUziI1pFBq0I")</f>
        <v>1mspGsgTjI-yT8NsZKZn8moOE-Vp0hoNdUziI1pFBq0I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IFERROR(__xludf.DUMMYFUNCTION("""COMPUTED_VALUE"""),"RunRebalance")</f>
        <v>RunRebalance</v>
      </c>
      <c r="C398" t="str">
        <f>IFERROR(__xludf.DUMMYFUNCTION("""COMPUTED_VALUE"""),"1B2L3J6YUrDWz8rRtdvv0lYDQvnH8nYkmqQm12ZwK7jc")</f>
        <v>1B2L3J6YUrDWz8rRtdvv0lYDQvnH8nYkmqQm12ZwK7jc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IFERROR(__xludf.DUMMYFUNCTION("""COMPUTED_VALUE"""),"SelectTrade")</f>
        <v>SelectTrade</v>
      </c>
      <c r="C399" t="str">
        <f>IFERROR(__xludf.DUMMYFUNCTION("""COMPUTED_VALUE"""),"1FTTZIzpIKJz6P-IPbrA5EPTxiMe2ARbyGfgsnMXlct4")</f>
        <v>1FTTZIzpIKJz6P-IPbrA5EPTxiMe2ARbyGfgsnMXlct4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IFERROR(__xludf.DUMMYFUNCTION("""COMPUTED_VALUE"""),"AcknowledgeTrade")</f>
        <v>AcknowledgeTrade</v>
      </c>
      <c r="C400" t="str">
        <f>IFERROR(__xludf.DUMMYFUNCTION("""COMPUTED_VALUE"""),"1sQAsvIkAT3oSRlv0P4ERgM6O-p9EGHnCNRCfZZ6EKPM")</f>
        <v>1sQAsvIkAT3oSRlv0P4ERgM6O-p9EGHnCNRCfZZ6EKPM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IFERROR(__xludf.DUMMYFUNCTION("""COMPUTED_VALUE"""),"RejectTrade")</f>
        <v>RejectTrade</v>
      </c>
      <c r="C401" t="str">
        <f>IFERROR(__xludf.DUMMYFUNCTION("""COMPUTED_VALUE"""),"18DR7gQzurIoB_fivnSt8QoqUWcLVRpZQSDr37UqoXKU")</f>
        <v>18DR7gQzurIoB_fivnSt8QoqUWcLVRpZQSDr37UqoXKU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IFERROR(__xludf.DUMMYFUNCTION("""COMPUTED_VALUE"""),"ExecuteTrade")</f>
        <v>ExecuteTrade</v>
      </c>
      <c r="C402" t="str">
        <f>IFERROR(__xludf.DUMMYFUNCTION("""COMPUTED_VALUE"""),"1pp_DAI1bHvMNnrEvw8O7TeJWebgUjt3FSsdgjVWeJkE")</f>
        <v>1pp_DAI1bHvMNnrEvw8O7TeJWebgUjt3FSsdgjVWeJkE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IFERROR(__xludf.DUMMYFUNCTION("""COMPUTED_VALUE"""),"CancelTrade")</f>
        <v>CancelTrade</v>
      </c>
      <c r="C403" t="str">
        <f>IFERROR(__xludf.DUMMYFUNCTION("""COMPUTED_VALUE"""),"1hX7-3j5InwEYhwGhZXePVHcW-9vxINkOET671xdWGsc")</f>
        <v>1hX7-3j5InwEYhwGhZXePVHcW-9vxINkOET671xdWGsc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IFERROR(__xludf.DUMMYFUNCTION("""COMPUTED_VALUE"""),"OpenLiveTT")</f>
        <v>OpenLiveTT</v>
      </c>
      <c r="C404" t="str">
        <f>IFERROR(__xludf.DUMMYFUNCTION("""COMPUTED_VALUE"""),"1q3BIdA-Gau2cX2cBnlgy7eas26rbuZEdQMfROhYvOgI")</f>
        <v>1q3BIdA-Gau2cX2cBnlgy7eas26rbuZEdQMfROhYvOgI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IFERROR(__xludf.DUMMYFUNCTION("""COMPUTED_VALUE"""),"TradingTicket")</f>
        <v>TradingTicket</v>
      </c>
      <c r="B405" t="str">
        <f>IFERROR(__xludf.DUMMYFUNCTION("""COMPUTED_VALUE"""),"CreateLiveOrder")</f>
        <v>CreateLiveOrder</v>
      </c>
      <c r="C405" t="str">
        <f>IFERROR(__xludf.DUMMYFUNCTION("""COMPUTED_VALUE"""),"115Bw2-ohdF1ilHcVpmgJ2DX9SJjX1zI-6SvF3CpCjm8")</f>
        <v>115Bw2-ohdF1ilHcVpmgJ2DX9SJjX1zI-6SvF3CpCjm8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IFERROR(__xludf.DUMMYFUNCTION("""COMPUTED_VALUE"""),"Simulator")</f>
        <v>Simulator</v>
      </c>
      <c r="B406" t="str">
        <f>IFERROR(__xludf.DUMMYFUNCTION("""COMPUTED_VALUE"""),"SetManualResponse ")</f>
        <v>SetManualResponse </v>
      </c>
      <c r="C406" t="str">
        <f>IFERROR(__xludf.DUMMYFUNCTION("""COMPUTED_VALUE"""),"10qeNhV85AQPMToOqHZlhzdXyNnDNjiueFxVwGUI_MO4")</f>
        <v>10qeNhV85AQPMToOqHZlhzdXyNnDNjiueFxVwGUI_MO4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IFERROR(__xludf.DUMMYFUNCTION("""COMPUTED_VALUE"""),"Simulator")</f>
        <v>Simulator</v>
      </c>
      <c r="B407" t="str">
        <f>IFERROR(__xludf.DUMMYFUNCTION("""COMPUTED_VALUE"""),"ClearUI")</f>
        <v>ClearUI</v>
      </c>
      <c r="C407" t="str">
        <f>IFERROR(__xludf.DUMMYFUNCTION("""COMPUTED_VALUE"""),"1LO0lVmw42vb8rN4FBdD2nZspNUXqgQCerd4ip5U8His")</f>
        <v>1LO0lVmw42vb8rN4FBdD2nZspNUXqgQCerd4ip5U8His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IFERROR(__xludf.DUMMYFUNCTION("""COMPUTED_VALUE"""),"RebalanceAcrossSecurities")</f>
        <v>RebalanceAcrossSecurities</v>
      </c>
      <c r="C408" t="str">
        <f>IFERROR(__xludf.DUMMYFUNCTION("""COMPUTED_VALUE"""),"1C-pSRr2mYlstlgFOXGSaoMyr-7ZKnUyCiCZMgNR75C0")</f>
        <v>1C-pSRr2mYlstlgFOXGSaoMyr-7ZKnUyCiCZMgNR75C0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 ht="15.75" customHeight="1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 ht="15.75" customHeight="1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 ht="15.75" customHeight="1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 ht="15.75" customHeight="1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 ht="15.75" customHeight="1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 ht="15.75" customHeight="1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 ht="15.75" customHeight="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 ht="15.75" customHeight="1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 ht="15.75" customHeight="1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 ht="15.75" customHeight="1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 ht="15.75" customHeight="1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 ht="15.75" customHeight="1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 ht="15.75" customHeight="1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 ht="15.75" customHeight="1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 ht="15.75" customHeight="1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 ht="15.75" customHeight="1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 ht="15.75" customHeight="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 ht="15.75" customHeight="1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 ht="15.75" customHeight="1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 ht="15.75" customHeight="1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 ht="15.75" customHeight="1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 ht="15.75" customHeight="1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 ht="15.75" customHeight="1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 ht="15.75" customHeight="1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 ht="15.75" customHeight="1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 ht="15.75" customHeight="1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 ht="15.75" customHeight="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 ht="15.75" customHeight="1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 ht="15.75" customHeight="1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 ht="15.75" customHeight="1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 ht="15.75" customHeight="1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 ht="15.75" customHeight="1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 ht="15.75" customHeight="1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 ht="15.75" customHeight="1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 ht="15.75" customHeight="1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 ht="15.75" customHeight="1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 ht="15.75" customHeight="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 ht="15.75" customHeight="1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 ht="15.75" customHeight="1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 ht="15.75" customHeight="1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 ht="15.75" customHeight="1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 ht="15.75" customHeight="1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 ht="15.75" customHeight="1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 ht="15.75" customHeight="1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 ht="15.75" customHeight="1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 ht="15.75" customHeight="1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 ht="15.75" customHeight="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" t="s">
        <v>0</v>
      </c>
      <c r="B1" s="2"/>
      <c r="C1" s="3"/>
    </row>
    <row r="2" ht="15.75" customHeight="1">
      <c r="A2" s="4"/>
      <c r="B2" s="4"/>
      <c r="C2" s="4"/>
    </row>
    <row r="3" ht="15.75" customHeight="1">
      <c r="A3" s="5" t="s">
        <v>3</v>
      </c>
      <c r="B3" s="6" t="s">
        <v>4</v>
      </c>
      <c r="C3" s="4"/>
    </row>
    <row r="4" ht="15.75" customHeight="1">
      <c r="A4" s="7" t="s">
        <v>5</v>
      </c>
      <c r="B4" s="6" t="s">
        <v>6</v>
      </c>
      <c r="C4" s="4"/>
    </row>
    <row r="5" ht="15.75" customHeight="1">
      <c r="A5" s="8"/>
      <c r="B5" s="4"/>
      <c r="C5" s="4"/>
    </row>
    <row r="6" ht="15.75" customHeight="1">
      <c r="A6" s="8"/>
      <c r="B6" s="4"/>
      <c r="C6" s="4"/>
    </row>
    <row r="7" ht="15.75" customHeight="1">
      <c r="A7" s="8"/>
      <c r="B7" s="4"/>
      <c r="C7" s="4"/>
    </row>
    <row r="8" ht="15.75" customHeight="1">
      <c r="A8" s="8"/>
      <c r="B8" s="4"/>
      <c r="C8" s="4"/>
    </row>
    <row r="9" ht="15.75" customHeight="1">
      <c r="A9" s="8"/>
      <c r="B9" s="4"/>
      <c r="C9" s="4"/>
    </row>
    <row r="10" ht="15.75" customHeight="1">
      <c r="A10" s="8"/>
      <c r="B10" s="4"/>
      <c r="C10" s="4"/>
    </row>
    <row r="11" ht="15.75" customHeight="1">
      <c r="A11" s="8"/>
      <c r="B11" s="4"/>
      <c r="C11" s="4"/>
    </row>
    <row r="12" ht="15.75" customHeight="1">
      <c r="A12" s="8"/>
      <c r="B12" s="4"/>
      <c r="C12" s="4"/>
    </row>
    <row r="13" ht="15.75" customHeight="1">
      <c r="A13" s="8"/>
      <c r="B13" s="4"/>
      <c r="C13" s="4"/>
    </row>
    <row r="14" ht="15.75" customHeight="1">
      <c r="A14" s="8"/>
      <c r="B14" s="4"/>
      <c r="C14" s="4"/>
    </row>
    <row r="15" ht="15.75" customHeight="1">
      <c r="A15" s="8"/>
      <c r="B15" s="4"/>
      <c r="C15" s="4"/>
    </row>
    <row r="16" ht="15.75" customHeight="1">
      <c r="A16" s="8"/>
      <c r="B16" s="4"/>
      <c r="C16" s="4"/>
    </row>
    <row r="17" ht="15.75" customHeight="1">
      <c r="A17" s="8"/>
      <c r="B17" s="4"/>
      <c r="C17" s="4"/>
    </row>
    <row r="18" ht="15.75" customHeight="1">
      <c r="A18" s="8"/>
      <c r="B18" s="4"/>
      <c r="C18" s="4"/>
    </row>
    <row r="19" ht="15.75" customHeight="1">
      <c r="A19" s="8"/>
      <c r="B19" s="4"/>
      <c r="C19" s="4"/>
    </row>
    <row r="20" ht="15.75" customHeight="1">
      <c r="A20" s="8"/>
      <c r="B20" s="4"/>
      <c r="C20" s="4"/>
    </row>
    <row r="21" ht="15.75" customHeight="1">
      <c r="A21" s="8"/>
      <c r="B21" s="4"/>
      <c r="C21" s="4"/>
    </row>
    <row r="22" ht="15.75" customHeight="1">
      <c r="A22" s="8"/>
      <c r="B22" s="4"/>
      <c r="C22" s="4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3" t="s">
        <v>1</v>
      </c>
      <c r="B1" s="2"/>
      <c r="C1" s="2"/>
      <c r="D1" s="2"/>
      <c r="E1" s="2"/>
      <c r="F1" s="3"/>
    </row>
    <row r="2">
      <c r="A2" s="10"/>
      <c r="B2" s="10"/>
      <c r="C2" s="10"/>
      <c r="D2" s="10"/>
      <c r="E2" s="10"/>
      <c r="F2" s="10"/>
    </row>
    <row r="3">
      <c r="A3" s="7" t="s">
        <v>8</v>
      </c>
      <c r="B3" s="14" t="s">
        <v>9</v>
      </c>
      <c r="C3" s="14" t="s">
        <v>10</v>
      </c>
      <c r="D3" s="15"/>
      <c r="E3" s="15"/>
      <c r="F3" s="15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8</v>
      </c>
      <c r="C3" s="21" t="s">
        <v>12</v>
      </c>
      <c r="D3" s="5" t="s">
        <v>9</v>
      </c>
      <c r="E3" s="21" t="s">
        <v>13</v>
      </c>
      <c r="F3" s="5" t="s">
        <v>14</v>
      </c>
      <c r="G3" s="8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From")</f>
        <v>Copy From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29">
        <f>TODAY()-1</f>
        <v>43641</v>
      </c>
      <c r="C6" s="30">
        <f>TODAY()</f>
        <v>43642</v>
      </c>
      <c r="D6" s="6"/>
      <c r="E6" s="31"/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8</v>
      </c>
      <c r="C3" s="21" t="s">
        <v>12</v>
      </c>
      <c r="D3" s="5" t="s">
        <v>9</v>
      </c>
      <c r="E3" s="21" t="s">
        <v>16</v>
      </c>
      <c r="F3" s="5" t="s">
        <v>14</v>
      </c>
      <c r="G3" s="8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IFERROR(__xludf.DUMMYFUNCTION("""COMPUTED_VALUE"""),"Local Currency")</f>
        <v>Local Currency</v>
      </c>
      <c r="D5" s="26" t="str">
        <f>IFERROR(__xludf.DUMMYFUNCTION("""COMPUTED_VALUE"""),"Cash Value Local")</f>
        <v>Cash Value Local</v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6" t="s">
        <v>17</v>
      </c>
      <c r="C6" s="6" t="s">
        <v>18</v>
      </c>
      <c r="D6" s="6">
        <v>2000.0</v>
      </c>
      <c r="E6" s="31"/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8</v>
      </c>
      <c r="C3" s="21" t="s">
        <v>19</v>
      </c>
      <c r="D3" s="5" t="s">
        <v>9</v>
      </c>
      <c r="E3" s="21" t="s">
        <v>20</v>
      </c>
      <c r="F3" s="5" t="s">
        <v>14</v>
      </c>
      <c r="G3" s="8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6" t="str">
        <f>IFERROR(__xludf.DUMMYFUNCTION("""COMPUTED_VALUE"""),"")</f>
        <v/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6" t="str">
        <f>"NAVPref7-"&amp;text(TODAY(),"dd-mm-yy")</f>
        <v>NAVPref7-26-06-19</v>
      </c>
      <c r="C6" s="4"/>
      <c r="D6" s="6"/>
      <c r="E6" s="31"/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AddCalculatedPreferenceToolbar!$4:$4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1j6MD8nFEuJNo52Mp8uXbXRmrJs802rnEIiTOEuZFdWA</v>
      </c>
      <c r="K2" s="19"/>
      <c r="L2" s="4"/>
      <c r="M2" s="4"/>
      <c r="N2" s="4"/>
      <c r="O2" s="4"/>
    </row>
    <row r="3" ht="15.75" customHeight="1">
      <c r="A3" s="20"/>
      <c r="B3" s="5" t="s">
        <v>8</v>
      </c>
      <c r="C3" s="21" t="s">
        <v>19</v>
      </c>
      <c r="D3" s="5" t="s">
        <v>9</v>
      </c>
      <c r="E3" s="21" t="s">
        <v>21</v>
      </c>
      <c r="F3" s="5" t="s">
        <v>14</v>
      </c>
      <c r="G3" s="8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IFERROR(__xludf.DUMMYFUNCTION("""COMPUTED_VALUE"""),"AllocationMethod")</f>
        <v>AllocationMethod</v>
      </c>
      <c r="C5" s="26" t="str">
        <f>IFERROR(__xludf.DUMMYFUNCTION("""COMPUTED_VALUE"""),"RemainderAllocationTo")</f>
        <v>RemainderAllocationTo</v>
      </c>
      <c r="D5" s="26" t="str">
        <f>IFERROR(__xludf.DUMMYFUNCTION("""COMPUTED_VALUE"""),"Target%AsOf")</f>
        <v>Target%AsOf</v>
      </c>
      <c r="E5" s="26" t="str">
        <f>IFERROR(__xludf.DUMMYFUNCTION("""COMPUTED_VALUE"""),"ProrataAccounts")</f>
        <v>ProrataAccounts</v>
      </c>
      <c r="F5" s="27" t="str">
        <f>IFERROR(__xludf.DUMMYFUNCTION("""COMPUTED_VALUE"""),"DateUptoDays")</f>
        <v>DateUptoDays</v>
      </c>
      <c r="G5" s="26" t="str">
        <f>IFERROR(__xludf.DUMMYFUNCTION("""COMPUTED_VALUE"""),"MatchClosingTransactions")</f>
        <v>MatchClosingTransactions</v>
      </c>
      <c r="H5" s="26" t="str">
        <f>IFERROR(__xludf.DUMMYFUNCTION("""COMPUTED_VALUE"""),"PreferenceName")</f>
        <v>PreferenceName</v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3"/>
      <c r="B6" s="33"/>
      <c r="C6" s="34"/>
      <c r="D6" s="35" t="s">
        <v>22</v>
      </c>
      <c r="E6" s="36" t="s">
        <v>23</v>
      </c>
      <c r="F6" s="34"/>
      <c r="G6" s="37" t="b">
        <v>1</v>
      </c>
      <c r="H6" s="38" t="str">
        <f>"NAVPref7-"&amp;text(TODAY(),"dd-mm-yy")</f>
        <v>NAVPref7-26-06-19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1b5S4Xpp4fgZ1ez6cK92QFnVBylqz8jhwxdAyEvwDqUI</v>
      </c>
      <c r="K2" s="19"/>
      <c r="L2" s="4"/>
      <c r="M2" s="4"/>
      <c r="N2" s="4"/>
      <c r="O2" s="4"/>
    </row>
    <row r="3" ht="15.75" customHeight="1">
      <c r="A3" s="20"/>
      <c r="B3" s="5" t="s">
        <v>8</v>
      </c>
      <c r="C3" s="21" t="s">
        <v>24</v>
      </c>
      <c r="D3" s="5" t="s">
        <v>9</v>
      </c>
      <c r="E3" s="21" t="s">
        <v>25</v>
      </c>
      <c r="F3" s="5" t="s">
        <v>14</v>
      </c>
      <c r="G3" s="8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6" t="s">
        <v>26</v>
      </c>
      <c r="C6" s="6" t="s">
        <v>27</v>
      </c>
      <c r="D6" s="6">
        <v>100.0</v>
      </c>
      <c r="E6" s="31"/>
      <c r="F6" s="39" t="str">
        <f>"NAVPref7-"&amp;text(TODAY(),"dd-mm-yy")</f>
        <v>NAVPref7-26-06-19</v>
      </c>
      <c r="G6" s="4"/>
      <c r="H6" s="4"/>
      <c r="I6" s="4"/>
      <c r="J6" s="6">
        <v>10.0</v>
      </c>
      <c r="K6" s="4"/>
      <c r="L6" s="4"/>
      <c r="M6" s="4"/>
      <c r="N6" s="30">
        <f>TODAY()</f>
        <v>43642</v>
      </c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8</v>
      </c>
      <c r="C3" s="21" t="s">
        <v>19</v>
      </c>
      <c r="D3" s="5" t="s">
        <v>9</v>
      </c>
      <c r="E3" s="21" t="s">
        <v>28</v>
      </c>
      <c r="F3" s="5" t="s">
        <v>14</v>
      </c>
      <c r="G3" s="8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 Name")</f>
        <v>Account Name</v>
      </c>
      <c r="C5" s="26" t="str">
        <f>IFERROR(__xludf.DUMMYFUNCTION("""COMPUTED_VALUE"""),"Accrual Basis")</f>
        <v>Accrual Basis</v>
      </c>
      <c r="D5" s="26" t="str">
        <f>IFERROR(__xludf.DUMMYFUNCTION("""COMPUTED_VALUE"""),"Accrued Interest")</f>
        <v>Accrued Interest</v>
      </c>
      <c r="E5" s="26" t="str">
        <f>IFERROR(__xludf.DUMMYFUNCTION("""COMPUTED_VALUE"""),"Allocated Qty")</f>
        <v>Allocated Qty</v>
      </c>
      <c r="F5" s="27" t="str">
        <f>IFERROR(__xludf.DUMMYFUNCTION("""COMPUTED_VALUE"""),"Allocation Scheme Name")</f>
        <v>Allocation Scheme Name</v>
      </c>
      <c r="G5" s="26" t="str">
        <f>IFERROR(__xludf.DUMMYFUNCTION("""COMPUTED_VALUE"""),"Asset Category")</f>
        <v>Asset Category</v>
      </c>
      <c r="H5" s="26" t="str">
        <f>IFERROR(__xludf.DUMMYFUNCTION("""COMPUTED_VALUE"""),"AUEC Fee1")</f>
        <v>AUEC Fee1</v>
      </c>
      <c r="I5" s="26" t="str">
        <f>IFERROR(__xludf.DUMMYFUNCTION("""COMPUTED_VALUE"""),"AUEC Fee2")</f>
        <v>AUEC Fee2</v>
      </c>
      <c r="J5" s="26" t="str">
        <f>IFERROR(__xludf.DUMMYFUNCTION("""COMPUTED_VALUE"""),"AUECID")</f>
        <v>AUECID</v>
      </c>
      <c r="K5" s="26" t="str">
        <f>IFERROR(__xludf.DUMMYFUNCTION("""COMPUTED_VALUE"""),"Avg Price(Base)")</f>
        <v>Avg Price(Base)</v>
      </c>
      <c r="L5" s="26" t="str">
        <f>IFERROR(__xludf.DUMMYFUNCTION("""COMPUTED_VALUE"""),"Avg Price(Local)")</f>
        <v>Avg Price(Local)</v>
      </c>
      <c r="M5" s="26" t="str">
        <f>IFERROR(__xludf.DUMMYFUNCTION("""COMPUTED_VALUE"""),"Bloomberg")</f>
        <v>Bloomberg</v>
      </c>
      <c r="N5" s="26" t="str">
        <f>IFERROR(__xludf.DUMMYFUNCTION("""COMPUTED_VALUE"""),"Bond Type")</f>
        <v>Bond Type</v>
      </c>
      <c r="O5" s="26" t="str">
        <f>IFERROR(__xludf.DUMMYFUNCTION("""COMPUTED_VALUE"""),"Broker")</f>
        <v>Broker</v>
      </c>
      <c r="P5" s="26" t="str">
        <f>IFERROR(__xludf.DUMMYFUNCTION("""COMPUTED_VALUE"""),"Change Comment")</f>
        <v>Change Comment</v>
      </c>
      <c r="Q5" s="26" t="str">
        <f>IFERROR(__xludf.DUMMYFUNCTION("""COMPUTED_VALUE"""),"Change Type")</f>
        <v>Change Type</v>
      </c>
      <c r="R5" s="26" t="str">
        <f>IFERROR(__xludf.DUMMYFUNCTION("""COMPUTED_VALUE"""),"Clearing Broker Fee")</f>
        <v>Clearing Broker Fee</v>
      </c>
      <c r="S5" s="26" t="str">
        <f>IFERROR(__xludf.DUMMYFUNCTION("""COMPUTED_VALUE"""),"Closing Status")</f>
        <v>Closing Status</v>
      </c>
      <c r="T5" s="28" t="str">
        <f>IFERROR(__xludf.DUMMYFUNCTION("""COMPUTED_VALUE"""),"Commission")</f>
        <v>Commission</v>
      </c>
      <c r="U5" s="28" t="str">
        <f>IFERROR(__xludf.DUMMYFUNCTION("""COMPUTED_VALUE"""),"Commission Per Share")</f>
        <v>Commission Per Share</v>
      </c>
      <c r="V5" s="28" t="str">
        <f>IFERROR(__xludf.DUMMYFUNCTION("""COMPUTED_VALUE"""),"Company")</f>
        <v>Company</v>
      </c>
      <c r="W5" s="28" t="str">
        <f>IFERROR(__xludf.DUMMYFUNCTION("""COMPUTED_VALUE"""),"Contract Multiplier")</f>
        <v>Contract Multiplier</v>
      </c>
      <c r="X5" s="28" t="str">
        <f>IFERROR(__xludf.DUMMYFUNCTION("""COMPUTED_VALUE"""),"Coupon Rate")</f>
        <v>Coupon Rate</v>
      </c>
      <c r="Y5" s="28" t="str">
        <f>IFERROR(__xludf.DUMMYFUNCTION("""COMPUTED_VALUE"""),"Cum Qty For Sub Order")</f>
        <v>Cum Qty For Sub Order</v>
      </c>
      <c r="Z5" s="28" t="str">
        <f>IFERROR(__xludf.DUMMYFUNCTION("""COMPUTED_VALUE"""),"Currency")</f>
        <v>Currency</v>
      </c>
      <c r="AA5" s="28" t="str">
        <f>IFERROR(__xludf.DUMMYFUNCTION("""COMPUTED_VALUE"""),"Cusip Symbol")</f>
        <v>Cusip Symbol</v>
      </c>
      <c r="AB5" s="28" t="str">
        <f>IFERROR(__xludf.DUMMYFUNCTION("""COMPUTED_VALUE"""),"Delta")</f>
        <v>Delta</v>
      </c>
      <c r="AC5" s="28" t="str">
        <f>IFERROR(__xludf.DUMMYFUNCTION("""COMPUTED_VALUE"""),"Description")</f>
        <v>Description</v>
      </c>
      <c r="AD5" s="28" t="str">
        <f>IFERROR(__xludf.DUMMYFUNCTION("""COMPUTED_VALUE"""),"Exchange")</f>
        <v>Exchange</v>
      </c>
      <c r="AE5" s="28" t="str">
        <f>IFERROR(__xludf.DUMMYFUNCTION("""COMPUTED_VALUE"""),"Executed Qty")</f>
        <v>Executed Qty</v>
      </c>
      <c r="AF5" s="28" t="str">
        <f>IFERROR(__xludf.DUMMYFUNCTION("""COMPUTED_VALUE"""),"Exceution Time")</f>
        <v>Exceution Time</v>
      </c>
      <c r="AG5" s="28" t="str">
        <f>IFERROR(__xludf.DUMMYFUNCTION("""COMPUTED_VALUE"""),"Expiration Date")</f>
        <v>Expiration Date</v>
      </c>
      <c r="AH5" s="28" t="str">
        <f>IFERROR(__xludf.DUMMYFUNCTION("""COMPUTED_VALUE"""),"FX Conversion Operator")</f>
        <v>FX Conversion Operator</v>
      </c>
      <c r="AI5" s="28" t="str">
        <f>IFERROR(__xludf.DUMMYFUNCTION("""COMPUTED_VALUE"""),"FX Rate")</f>
        <v>FX Rate</v>
      </c>
      <c r="AJ5" s="28" t="str">
        <f>IFERROR(__xludf.DUMMYFUNCTION("""COMPUTED_VALUE"""),"Group Status")</f>
        <v>Group Status</v>
      </c>
      <c r="AK5" s="28" t="str">
        <f>IFERROR(__xludf.DUMMYFUNCTION("""COMPUTED_VALUE"""),"IDCOSymbol")</f>
        <v>IDCOSymbol</v>
      </c>
      <c r="AL5" s="28" t="str">
        <f>IFERROR(__xludf.DUMMYFUNCTION("""COMPUTED_VALUE"""),"Import File Name")</f>
        <v>Import File Name</v>
      </c>
      <c r="AM5" s="28" t="str">
        <f>IFERROR(__xludf.DUMMYFUNCTION("""COMPUTED_VALUE"""),"Internal Comments")</f>
        <v>Internal Comments</v>
      </c>
      <c r="AN5" s="28" t="str">
        <f>IFERROR(__xludf.DUMMYFUNCTION("""COMPUTED_VALUE"""),"IsAnotherTaxlotAttributesUpdated")</f>
        <v>IsAnotherTaxlotAttributesUpdated</v>
      </c>
      <c r="AO5" s="28" t="str">
        <f>IFERROR(__xludf.DUMMYFUNCTION("""COMPUTED_VALUE"""),"ISIN")</f>
        <v>ISIN</v>
      </c>
      <c r="AP5" s="28" t="str">
        <f>IFERROR(__xludf.DUMMYFUNCTION("""COMPUTED_VALUE"""),"IsManualGroup")</f>
        <v>IsManualGroup</v>
      </c>
      <c r="AQ5" s="28" t="str">
        <f>IFERROR(__xludf.DUMMYFUNCTION("""COMPUTED_VALUE"""),"ISNDF")</f>
        <v>ISNDF</v>
      </c>
      <c r="AR5" s="28" t="str">
        <f>IFERROR(__xludf.DUMMYFUNCTION("""COMPUTED_VALUE"""),"IsPreAllocated")</f>
        <v>IsPreAllocated</v>
      </c>
      <c r="AS5" s="28" t="str">
        <f>IFERROR(__xludf.DUMMYFUNCTION("""COMPUTED_VALUE"""),"M2MProfitLoss")</f>
        <v>M2MProfitLoss</v>
      </c>
      <c r="AT5" s="28" t="str">
        <f>IFERROR(__xludf.DUMMYFUNCTION("""COMPUTED_VALUE"""),"Net Amount( Base)")</f>
        <v>Net Amount( Base)</v>
      </c>
      <c r="AU5" s="28" t="str">
        <f>IFERROR(__xludf.DUMMYFUNCTION("""COMPUTED_VALUE"""),"Net Amount( Local)")</f>
        <v>Net Amount( Local)</v>
      </c>
      <c r="AV5" s="28" t="str">
        <f>IFERROR(__xludf.DUMMYFUNCTION("""COMPUTED_VALUE"""),"Nirvana Process Date")</f>
        <v>Nirvana Process Date</v>
      </c>
      <c r="AW5" s="28" t="str">
        <f>IFERROR(__xludf.DUMMYFUNCTION("""COMPUTED_VALUE"""),"OCC Fee")</f>
        <v>OCC Fee</v>
      </c>
      <c r="AX5" s="28" t="str">
        <f>IFERROR(__xludf.DUMMYFUNCTION("""COMPUTED_VALUE"""),"Option Premium Adjustment")</f>
        <v>Option Premium Adjustment</v>
      </c>
      <c r="AY5" s="28" t="str">
        <f>IFERROR(__xludf.DUMMYFUNCTION("""COMPUTED_VALUE"""),"Order Type")</f>
        <v>Order Type</v>
      </c>
      <c r="AZ5" s="28" t="str">
        <f>IFERROR(__xludf.DUMMYFUNCTION("""COMPUTED_VALUE"""),"ORF Fee")</f>
        <v>ORF Fee</v>
      </c>
      <c r="BA5" s="28" t="str">
        <f>IFERROR(__xludf.DUMMYFUNCTION("""COMPUTED_VALUE"""),"Original Purchase Date")</f>
        <v>Original Purchase Date</v>
      </c>
      <c r="BB5" s="28" t="str">
        <f>IFERROR(__xludf.DUMMYFUNCTION("""COMPUTED_VALUE"""),"OSISSymbol")</f>
        <v>OSISSymbol</v>
      </c>
      <c r="BC5" s="28" t="str">
        <f>IFERROR(__xludf.DUMMYFUNCTION("""COMPUTED_VALUE"""),"Other Broker Fees")</f>
        <v>Other Broker Fees</v>
      </c>
      <c r="BD5" s="28" t="str">
        <f>IFERROR(__xludf.DUMMYFUNCTION("""COMPUTED_VALUE"""),"Prana Msg Type")</f>
        <v>Prana Msg Type</v>
      </c>
      <c r="BE5" s="28" t="str">
        <f>IFERROR(__xludf.DUMMYFUNCTION("""COMPUTED_VALUE"""),"Principal Amount( Base)")</f>
        <v>Principal Amount( Base)</v>
      </c>
      <c r="BF5" s="28" t="str">
        <f>IFERROR(__xludf.DUMMYFUNCTION("""COMPUTED_VALUE"""),"Principal Amount( Local)")</f>
        <v>Principal Amount( Local)</v>
      </c>
      <c r="BG5" s="28" t="str">
        <f>IFERROR(__xludf.DUMMYFUNCTION("""COMPUTED_VALUE"""),"Process Date")</f>
        <v>Process Date</v>
      </c>
      <c r="BH5" s="28" t="str">
        <f>IFERROR(__xludf.DUMMYFUNCTION("""COMPUTED_VALUE"""),"Proxy Symbol")</f>
        <v>Proxy Symbol</v>
      </c>
      <c r="BI5" s="28" t="str">
        <f>IFERROR(__xludf.DUMMYFUNCTION("""COMPUTED_VALUE"""),"Put Or Call")</f>
        <v>Put Or Call</v>
      </c>
      <c r="BJ5" s="28" t="str">
        <f>IFERROR(__xludf.DUMMYFUNCTION("""COMPUTED_VALUE"""),"Quantity")</f>
        <v>Quantity</v>
      </c>
      <c r="BK5" s="28" t="str">
        <f>IFERROR(__xludf.DUMMYFUNCTION("""COMPUTED_VALUE"""),"SEC Fee")</f>
        <v>SEC Fee</v>
      </c>
      <c r="BL5" s="28" t="str">
        <f>IFERROR(__xludf.DUMMYFUNCTION("""COMPUTED_VALUE"""),"Sedol Symbol")</f>
        <v>Sedol Symbol</v>
      </c>
      <c r="BM5" s="28" t="str">
        <f>IFERROR(__xludf.DUMMYFUNCTION("""COMPUTED_VALUE"""),"Settlement Currency")</f>
        <v>Settlement Currency</v>
      </c>
      <c r="BN5" s="28" t="str">
        <f>IFERROR(__xludf.DUMMYFUNCTION("""COMPUTED_VALUE"""),"Settlement Date")</f>
        <v>Settlement Date</v>
      </c>
      <c r="BO5" s="28" t="str">
        <f>IFERROR(__xludf.DUMMYFUNCTION("""COMPUTED_VALUE"""),"Side")</f>
        <v>Side</v>
      </c>
      <c r="BP5" s="28" t="str">
        <f>IFERROR(__xludf.DUMMYFUNCTION("""COMPUTED_VALUE"""),"Soft Commission")</f>
        <v>Soft Commission</v>
      </c>
      <c r="BQ5" s="28" t="str">
        <f>IFERROR(__xludf.DUMMYFUNCTION("""COMPUTED_VALUE"""),"Soft Commission Per Share")</f>
        <v>Soft Commission Per Share</v>
      </c>
      <c r="BR5" s="28" t="str">
        <f>IFERROR(__xludf.DUMMYFUNCTION("""COMPUTED_VALUE"""),"Stamp Duty")</f>
        <v>Stamp Duty</v>
      </c>
      <c r="BS5" s="28" t="str">
        <f>IFERROR(__xludf.DUMMYFUNCTION("""COMPUTED_VALUE"""),"Strategy Name")</f>
        <v>Strategy Name</v>
      </c>
      <c r="BT5" s="28" t="str">
        <f>IFERROR(__xludf.DUMMYFUNCTION("""COMPUTED_VALUE"""),"Symbol")</f>
        <v>Symbol</v>
      </c>
      <c r="BU5" s="28" t="str">
        <f>IFERROR(__xludf.DUMMYFUNCTION("""COMPUTED_VALUE"""),"Tax On Commissions")</f>
        <v>Tax On Commissions</v>
      </c>
      <c r="BV5" s="28" t="str">
        <f>IFERROR(__xludf.DUMMYFUNCTION("""COMPUTED_VALUE"""),"Total Commission")</f>
        <v>Total Commission</v>
      </c>
      <c r="BW5" s="28" t="str">
        <f>IFERROR(__xludf.DUMMYFUNCTION("""COMPUTED_VALUE"""),"Total Commission And Fee")</f>
        <v>Total Commission And Fee</v>
      </c>
      <c r="BX5" s="28" t="str">
        <f>IFERROR(__xludf.DUMMYFUNCTION("""COMPUTED_VALUE"""),"Total Commission Per Share")</f>
        <v>Total Commission Per Share</v>
      </c>
      <c r="BY5" s="28" t="str">
        <f>IFERROR(__xludf.DUMMYFUNCTION("""COMPUTED_VALUE"""),"Trade Attribute 1")</f>
        <v>Trade Attribute 1</v>
      </c>
      <c r="BZ5" s="28" t="str">
        <f>IFERROR(__xludf.DUMMYFUNCTION("""COMPUTED_VALUE"""),"Trade Attribute 2")</f>
        <v>Trade Attribute 2</v>
      </c>
      <c r="CA5" s="28" t="str">
        <f>IFERROR(__xludf.DUMMYFUNCTION("""COMPUTED_VALUE"""),"Trade Attribute 3")</f>
        <v>Trade Attribute 3</v>
      </c>
      <c r="CB5" s="28" t="str">
        <f>IFERROR(__xludf.DUMMYFUNCTION("""COMPUTED_VALUE"""),"Trade Attribute 4")</f>
        <v>Trade Attribute 4</v>
      </c>
      <c r="CC5" s="28" t="str">
        <f>IFERROR(__xludf.DUMMYFUNCTION("""COMPUTED_VALUE"""),"Trade Attribute 5")</f>
        <v>Trade Attribute 5</v>
      </c>
      <c r="CD5" s="28" t="str">
        <f>IFERROR(__xludf.DUMMYFUNCTION("""COMPUTED_VALUE"""),"Trade Attribute 6")</f>
        <v>Trade Attribute 6</v>
      </c>
      <c r="CE5" s="28" t="str">
        <f>IFERROR(__xludf.DUMMYFUNCTION("""COMPUTED_VALUE"""),"Trade Date")</f>
        <v>Trade Date</v>
      </c>
      <c r="CF5" s="28" t="str">
        <f>IFERROR(__xludf.DUMMYFUNCTION("""COMPUTED_VALUE"""),"Trading Account")</f>
        <v>Trading Account</v>
      </c>
      <c r="CG5" s="28" t="str">
        <f>IFERROR(__xludf.DUMMYFUNCTION("""COMPUTED_VALUE"""),"Transaction Levy")</f>
        <v>Transaction Levy</v>
      </c>
      <c r="CH5" s="28" t="str">
        <f>IFERROR(__xludf.DUMMYFUNCTION("""COMPUTED_VALUE"""),"Transaction Source")</f>
        <v>Transaction Source</v>
      </c>
      <c r="CI5" s="28" t="str">
        <f>IFERROR(__xludf.DUMMYFUNCTION("""COMPUTED_VALUE"""),"Transaction Type")</f>
        <v>Transaction Type</v>
      </c>
      <c r="CJ5" s="28" t="str">
        <f>IFERROR(__xludf.DUMMYFUNCTION("""COMPUTED_VALUE"""),"UnAllocatedQty")</f>
        <v>UnAllocatedQty</v>
      </c>
      <c r="CK5" s="28" t="str">
        <f>IFERROR(__xludf.DUMMYFUNCTION("""COMPUTED_VALUE"""),"Underlying")</f>
        <v>Underlying</v>
      </c>
      <c r="CL5" s="28" t="str">
        <f>IFERROR(__xludf.DUMMYFUNCTION("""COMPUTED_VALUE"""),"Underlying Delta")</f>
        <v>Underlying Delta</v>
      </c>
      <c r="CM5" s="28" t="str">
        <f>IFERROR(__xludf.DUMMYFUNCTION("""COMPUTED_VALUE"""),"Underlying Symbol")</f>
        <v>Underlying Symbol</v>
      </c>
      <c r="CN5" s="28" t="str">
        <f>IFERROR(__xludf.DUMMYFUNCTION("""COMPUTED_VALUE"""),"User")</f>
        <v>User</v>
      </c>
      <c r="CO5" s="28" t="str">
        <f>IFERROR(__xludf.DUMMYFUNCTION("""COMPUTED_VALUE"""),"Venue")</f>
        <v>Venue</v>
      </c>
      <c r="CP5" s="28" t="str">
        <f>IFERROR(__xludf.DUMMYFUNCTION("""COMPUTED_VALUE"""),"Closing Method")</f>
        <v>Closing Method</v>
      </c>
      <c r="CQ5" s="28" t="str">
        <f>IFERROR(__xludf.DUMMYFUNCTION("""COMPUTED_VALUE"""),"Closing Date")</f>
        <v>Closing Date</v>
      </c>
      <c r="CR5" s="28" t="str">
        <f>IFERROR(__xludf.DUMMYFUNCTION("""COMPUTED_VALUE"""),"GroupID")</f>
        <v>GroupID</v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6" t="s">
        <v>17</v>
      </c>
      <c r="C6" s="4"/>
      <c r="D6" s="6"/>
      <c r="E6" s="6">
        <v>100.0</v>
      </c>
      <c r="F6" s="4"/>
      <c r="G6" s="4"/>
      <c r="H6" s="4"/>
      <c r="I6" s="4"/>
      <c r="J6" s="4"/>
      <c r="K6" s="4"/>
      <c r="L6" s="4"/>
      <c r="M6" s="4"/>
      <c r="N6" s="4"/>
      <c r="O6" s="4"/>
      <c r="AE6" s="32">
        <v>100.0</v>
      </c>
      <c r="BJ6" s="32">
        <v>100.0</v>
      </c>
      <c r="BO6" s="32" t="s">
        <v>27</v>
      </c>
      <c r="BT6" s="32" t="s">
        <v>26</v>
      </c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8</v>
      </c>
      <c r="C3" s="21" t="s">
        <v>19</v>
      </c>
      <c r="D3" s="5" t="s">
        <v>9</v>
      </c>
      <c r="E3" s="21" t="s">
        <v>29</v>
      </c>
      <c r="F3" s="5" t="s">
        <v>14</v>
      </c>
      <c r="G3" s="8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IFERROR(__xludf.DUMMYFUNCTION("""COMPUTED_VALUE"""),"FilterTabName")</f>
        <v>FilterTabName</v>
      </c>
      <c r="F5" s="27" t="str">
        <f>IFERROR(__xludf.DUMMYFUNCTION("""COMPUTED_VALUE"""),"Symbol")</f>
        <v>Symbol</v>
      </c>
      <c r="G5" s="26" t="str">
        <f>IFERROR(__xludf.DUMMYFUNCTION("""COMPUTED_VALUE"""),"Asset")</f>
        <v>Asset</v>
      </c>
      <c r="H5" s="26" t="str">
        <f>IFERROR(__xludf.DUMMYFUNCTION("""COMPUTED_VALUE"""),"Side")</f>
        <v>Side</v>
      </c>
      <c r="I5" s="26" t="str">
        <f>IFERROR(__xludf.DUMMYFUNCTION("""COMPUTED_VALUE"""),"Account")</f>
        <v>Account</v>
      </c>
      <c r="J5" s="26" t="str">
        <f>IFERROR(__xludf.DUMMYFUNCTION("""COMPUTED_VALUE"""),"Broker")</f>
        <v>Broker</v>
      </c>
      <c r="K5" s="26" t="str">
        <f>IFERROR(__xludf.DUMMYFUNCTION("""COMPUTED_VALUE"""),"Currency")</f>
        <v>Currency</v>
      </c>
      <c r="L5" s="26" t="str">
        <f>IFERROR(__xludf.DUMMYFUNCTION("""COMPUTED_VALUE"""),"Exchange")</f>
        <v>Exchange</v>
      </c>
      <c r="M5" s="26" t="str">
        <f>IFERROR(__xludf.DUMMYFUNCTION("""COMPUTED_VALUE"""),"StrategyName")</f>
        <v>StrategyName</v>
      </c>
      <c r="N5" s="26" t="str">
        <f>IFERROR(__xludf.DUMMYFUNCTION("""COMPUTED_VALUE"""),"Underlying")</f>
        <v>Underlying</v>
      </c>
      <c r="O5" s="26" t="str">
        <f>IFERROR(__xludf.DUMMYFUNCTION("""COMPUTED_VALUE"""),"Venue")</f>
        <v>Venue</v>
      </c>
      <c r="P5" s="26" t="str">
        <f>IFERROR(__xludf.DUMMYFUNCTION("""COMPUTED_VALUE"""),"TradingAccount")</f>
        <v>TradingAccount</v>
      </c>
      <c r="Q5" s="26" t="str">
        <f>IFERROR(__xludf.DUMMYFUNCTION("""COMPUTED_VALUE"""),"PreAllocated")</f>
        <v>PreAllocated</v>
      </c>
      <c r="R5" s="26" t="str">
        <f>IFERROR(__xludf.DUMMYFUNCTION("""COMPUTED_VALUE"""),"ManualGroup")</f>
        <v>ManualGroup</v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6" t="s">
        <v>30</v>
      </c>
      <c r="C6" s="4"/>
      <c r="D6" s="6"/>
      <c r="E6" s="6"/>
      <c r="F6" s="4"/>
      <c r="G6" s="4"/>
      <c r="H6" s="4"/>
      <c r="I6" s="4"/>
      <c r="J6" s="4"/>
      <c r="K6" s="4"/>
      <c r="L6" s="4"/>
      <c r="M6" s="4"/>
      <c r="N6" s="4"/>
      <c r="O6" s="4"/>
      <c r="AG6" s="32">
        <v>100.0</v>
      </c>
      <c r="BM6" s="32">
        <v>100.0</v>
      </c>
      <c r="BU6" s="32" t="s">
        <v>27</v>
      </c>
      <c r="BZ6" s="32" t="s">
        <v>26</v>
      </c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8</v>
      </c>
      <c r="C3" s="21" t="s">
        <v>31</v>
      </c>
      <c r="D3" s="5" t="s">
        <v>9</v>
      </c>
      <c r="E3" s="21" t="s">
        <v>32</v>
      </c>
      <c r="F3" s="5" t="s">
        <v>14</v>
      </c>
      <c r="G3" s="8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IFERROR(__xludf.DUMMYFUNCTION("""COMPUTED_VALUE"""),"Account Filter")</f>
        <v>Account Filter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6" t="s">
        <v>30</v>
      </c>
      <c r="C6" s="4"/>
      <c r="D6" s="6"/>
      <c r="E6" s="31"/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8</v>
      </c>
      <c r="C3" s="21" t="s">
        <v>31</v>
      </c>
      <c r="D3" s="5" t="s">
        <v>9</v>
      </c>
      <c r="E3" s="21" t="s">
        <v>33</v>
      </c>
      <c r="F3" s="5" t="s">
        <v>14</v>
      </c>
      <c r="G3" s="8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IFERROR(__xludf.DUMMYFUNCTION("""COMPUTED_VALUE"""),"AUECID")</f>
        <v>AUECID</v>
      </c>
      <c r="E5" s="26" t="str">
        <f>IFERROR(__xludf.DUMMYFUNCTION("""COMPUTED_VALUE"""),"ExternalTransId")</f>
        <v>ExternalTransId</v>
      </c>
      <c r="F5" s="27" t="str">
        <f>IFERROR(__xludf.DUMMYFUNCTION("""COMPUTED_VALUE"""),"IsSwapped")</f>
        <v>IsSwapped</v>
      </c>
      <c r="G5" s="26" t="str">
        <f>IFERROR(__xludf.DUMMYFUNCTION("""COMPUTED_VALUE"""),"LotId")</f>
        <v>LotId</v>
      </c>
      <c r="H5" s="26" t="str">
        <f>IFERROR(__xludf.DUMMYFUNCTION("""COMPUTED_VALUE"""),"Net Notional")</f>
        <v>Net Notional</v>
      </c>
      <c r="I5" s="26" t="str">
        <f>IFERROR(__xludf.DUMMYFUNCTION("""COMPUTED_VALUE"""),"Opening Price")</f>
        <v>Opening Price</v>
      </c>
      <c r="J5" s="26" t="str">
        <f>IFERROR(__xludf.DUMMYFUNCTION("""COMPUTED_VALUE"""),"Original Purchase Date")</f>
        <v>Original Purchase Date</v>
      </c>
      <c r="K5" s="26" t="str">
        <f>IFERROR(__xludf.DUMMYFUNCTION("""COMPUTED_VALUE"""),"PositionTag")</f>
        <v>PositionTag</v>
      </c>
      <c r="L5" s="26" t="str">
        <f>IFERROR(__xludf.DUMMYFUNCTION("""COMPUTED_VALUE"""),"Process Date")</f>
        <v>Process Date</v>
      </c>
      <c r="M5" s="26" t="str">
        <f>IFERROR(__xludf.DUMMYFUNCTION("""COMPUTED_VALUE"""),"Quantity")</f>
        <v>Quantity</v>
      </c>
      <c r="N5" s="26" t="str">
        <f>IFERROR(__xludf.DUMMYFUNCTION("""COMPUTED_VALUE"""),"Security Name")</f>
        <v>Security Name</v>
      </c>
      <c r="O5" s="26" t="str">
        <f>IFERROR(__xludf.DUMMYFUNCTION("""COMPUTED_VALUE"""),"Settlement Currency")</f>
        <v>Settlement Currency</v>
      </c>
      <c r="P5" s="26" t="str">
        <f>IFERROR(__xludf.DUMMYFUNCTION("""COMPUTED_VALUE"""),"Side")</f>
        <v>Side</v>
      </c>
      <c r="Q5" s="26" t="str">
        <f>IFERROR(__xludf.DUMMYFUNCTION("""COMPUTED_VALUE"""),"Strategy")</f>
        <v>Strategy</v>
      </c>
      <c r="R5" s="26" t="str">
        <f>IFERROR(__xludf.DUMMYFUNCTION("""COMPUTED_VALUE"""),"Symbol")</f>
        <v>Symbol</v>
      </c>
      <c r="S5" s="26" t="str">
        <f>IFERROR(__xludf.DUMMYFUNCTION("""COMPUTED_VALUE"""),"Taxlot ID")</f>
        <v>Taxlot ID</v>
      </c>
      <c r="T5" s="28" t="str">
        <f>IFERROR(__xludf.DUMMYFUNCTION("""COMPUTED_VALUE"""),"Total Fees and Commission")</f>
        <v>Total Fees and Commission</v>
      </c>
      <c r="U5" s="28" t="str">
        <f>IFERROR(__xludf.DUMMYFUNCTION("""COMPUTED_VALUE"""),"Trade Date")</f>
        <v>Trade Date</v>
      </c>
      <c r="V5" s="28" t="str">
        <f>IFERROR(__xludf.DUMMYFUNCTION("""COMPUTED_VALUE"""),"Transaction Type")</f>
        <v>Transaction Type</v>
      </c>
      <c r="W5" s="28" t="str">
        <f>IFERROR(__xludf.DUMMYFUNCTION("""COMPUTED_VALUE"""),"UnderlyingName")</f>
        <v>UnderlyingName</v>
      </c>
      <c r="X5" s="28" t="str">
        <f>IFERROR(__xludf.DUMMYFUNCTION("""COMPUTED_VALUE"""),"UnitCost")</f>
        <v>UnitCost</v>
      </c>
      <c r="Y5" s="28" t="str">
        <f>IFERROR(__xludf.DUMMYFUNCTION("""COMPUTED_VALUE"""),"Unit Cost(Base)")</f>
        <v>Unit Cost(Base)</v>
      </c>
      <c r="Z5" s="28" t="str">
        <f>IFERROR(__xludf.DUMMYFUNCTION("""COMPUTED_VALUE"""),"AvgPriceBase")</f>
        <v>AvgPriceBase</v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6" t="s">
        <v>17</v>
      </c>
      <c r="C6" s="4"/>
      <c r="D6" s="6"/>
      <c r="E6" s="31"/>
      <c r="F6" s="4"/>
      <c r="G6" s="4"/>
      <c r="H6" s="4"/>
      <c r="I6" s="4"/>
      <c r="J6" s="4"/>
      <c r="K6" s="4"/>
      <c r="L6" s="4"/>
      <c r="M6" s="6">
        <v>100.0</v>
      </c>
      <c r="N6" s="4"/>
      <c r="O6" s="4"/>
      <c r="P6" s="32" t="s">
        <v>27</v>
      </c>
      <c r="R6" s="32" t="s">
        <v>26</v>
      </c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