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DoneAwayOrder" sheetId="5" r:id="rId7"/>
    <sheet state="visible" name="CheckPortfolioManagement" sheetId="6" r:id="rId8"/>
    <sheet state="visible" name="PricingInput" sheetId="7" r:id="rId9"/>
    <sheet state="visible" name="CreateDoneAwayOrder1" sheetId="8" r:id="rId10"/>
    <sheet state="visible" name="CheckPortfolioManagement1" sheetId="9" r:id="rId11"/>
    <sheet state="visible" name="CreateDoneAwayOrder2" sheetId="10" r:id="rId12"/>
    <sheet state="visible" name="VerifyOrder" sheetId="11" r:id="rId13"/>
    <sheet state="visible" name="GetDataAllocation" sheetId="12" r:id="rId14"/>
    <sheet state="visible" name="CheckAllocatedGroups" sheetId="13" r:id="rId15"/>
    <sheet state="visible" name="CheckPortfolioManagement2" sheetId="14" r:id="rId16"/>
  </sheets>
  <definedNames/>
  <calcPr/>
</workbook>
</file>

<file path=xl/sharedStrings.xml><?xml version="1.0" encoding="utf-8"?>
<sst xmlns="http://schemas.openxmlformats.org/spreadsheetml/2006/main" count="392" uniqueCount="66">
  <si>
    <t>Modules Info</t>
  </si>
  <si>
    <t>Modules</t>
  </si>
  <si>
    <t>Settings</t>
  </si>
  <si>
    <t>Module Step Setting File</t>
  </si>
  <si>
    <t>1j0XTqylCAyEpn_j9vfFi3Z_-jq412Z7RTqmw5bXru1U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</si>
  <si>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</si>
  <si>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</si>
  <si>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</si>
  <si>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</si>
  <si>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</si>
  <si>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</si>
  <si>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</si>
  <si>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</si>
  <si>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</si>
  <si>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</si>
  <si>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</si>
  <si>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Account</t>
  </si>
  <si>
    <t>TradingTicket</t>
  </si>
  <si>
    <t>CreateDoneAwayOrder</t>
  </si>
  <si>
    <t>AAPL</t>
  </si>
  <si>
    <t>Buy</t>
  </si>
  <si>
    <t>Allocation1</t>
  </si>
  <si>
    <t>PortfolioManagement</t>
  </si>
  <si>
    <t>CheckPortfolioManagement</t>
  </si>
  <si>
    <t>NewMF</t>
  </si>
  <si>
    <t>Long</t>
  </si>
  <si>
    <t>APPLE</t>
  </si>
  <si>
    <t>FIMAT</t>
  </si>
  <si>
    <t>Strategy Unallocated</t>
  </si>
  <si>
    <t>Equity</t>
  </si>
  <si>
    <t>US</t>
  </si>
  <si>
    <t>NASDAQ</t>
  </si>
  <si>
    <t>USD</t>
  </si>
  <si>
    <t>New Hedge</t>
  </si>
  <si>
    <t>Small Cap</t>
  </si>
  <si>
    <t>Undefined</t>
  </si>
  <si>
    <t>jpearce</t>
  </si>
  <si>
    <t>MS</t>
  </si>
  <si>
    <t>AAPL US EQUITY</t>
  </si>
  <si>
    <t>None</t>
  </si>
  <si>
    <t>Default</t>
  </si>
  <si>
    <t>test1</t>
  </si>
  <si>
    <t>india</t>
  </si>
  <si>
    <t>test 1</t>
  </si>
  <si>
    <t>Yes</t>
  </si>
  <si>
    <t>PricingInput</t>
  </si>
  <si>
    <t>Allocation1,Allocation2</t>
  </si>
  <si>
    <t>50,50</t>
  </si>
  <si>
    <t>No</t>
  </si>
  <si>
    <t>Blotter</t>
  </si>
  <si>
    <t>VerifyOrder</t>
  </si>
  <si>
    <t xml:space="preserve">jpearce </t>
  </si>
  <si>
    <t>Filled</t>
  </si>
  <si>
    <t>Market</t>
  </si>
  <si>
    <t>Multiple</t>
  </si>
  <si>
    <t>Allocation</t>
  </si>
  <si>
    <t>GetDataAllocation</t>
  </si>
  <si>
    <t>Current</t>
  </si>
  <si>
    <t>CheckAllocatedGroups</t>
  </si>
  <si>
    <t>Open</t>
  </si>
  <si>
    <t>False</t>
  </si>
  <si>
    <t>True</t>
  </si>
  <si>
    <t>BrokerNotes</t>
  </si>
  <si>
    <t>DefaultNotes</t>
  </si>
  <si>
    <t>Allocation2</t>
  </si>
  <si>
    <t>NewMF1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</si>
</sst>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###,###,###,###,##0.00#############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  <font>
      <sz val="11.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horizontal="right"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  <xf borderId="5" fillId="0" fontId="13" numFmtId="0" xfId="0" applyAlignment="1" applyBorder="1" applyFont="1">
      <alignment vertical="bottom"/>
    </xf>
    <xf borderId="5" fillId="0" fontId="13" numFmtId="3" xfId="0" applyAlignment="1" applyBorder="1" applyFont="1" applyNumberFormat="1">
      <alignment horizontal="right" vertical="bottom"/>
    </xf>
    <xf borderId="5" fillId="0" fontId="13" numFmtId="0" xfId="0" applyAlignment="1" applyBorder="1" applyFont="1">
      <alignment horizontal="right" vertical="bottom"/>
    </xf>
    <xf borderId="0" fillId="0" fontId="13" numFmtId="0" xfId="0" applyAlignment="1" applyFont="1">
      <alignment vertical="bottom"/>
    </xf>
    <xf borderId="0" fillId="0" fontId="13" numFmtId="0" xfId="0" applyAlignment="1" applyFont="1">
      <alignment horizontal="right" vertical="bottom"/>
    </xf>
    <xf borderId="0" fillId="0" fontId="13" numFmtId="3" xfId="0" applyAlignment="1" applyFont="1" applyNumberFormat="1">
      <alignment horizontal="right" vertical="bottom"/>
    </xf>
    <xf borderId="0" fillId="0" fontId="13" numFmtId="0" xfId="0" applyAlignment="1" applyFont="1">
      <alignment horizontal="center" vertical="bottom"/>
    </xf>
    <xf borderId="5" fillId="0" fontId="3" numFmtId="0" xfId="0" applyAlignment="1" applyBorder="1" applyFont="1">
      <alignment horizontal="right" vertical="bottom"/>
    </xf>
    <xf borderId="0" fillId="0" fontId="13" numFmtId="0" xfId="0" applyAlignment="1" applyFont="1">
      <alignment horizontal="right" readingOrder="0" vertical="bottom"/>
    </xf>
    <xf borderId="0" fillId="0" fontId="3" numFmtId="3" xfId="0" applyAlignment="1" applyFont="1" applyNumberForma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3" numFmtId="3" xfId="0" applyAlignment="1" applyFont="1" applyNumberFormat="1">
      <alignment horizontal="right" readingOrder="0" vertical="bottom"/>
    </xf>
    <xf borderId="0" fillId="0" fontId="5" numFmtId="0" xfId="0" applyAlignment="1" applyFont="1">
      <alignment readingOrder="0" shrinkToFit="0" wrapText="0"/>
    </xf>
    <xf borderId="0" fillId="0" fontId="13" numFmtId="0" xfId="0" applyAlignment="1" applyFont="1">
      <alignment readingOrder="0" shrinkToFit="0" vertical="bottom" wrapText="0"/>
    </xf>
    <xf borderId="5" fillId="0" fontId="14" numFmtId="164" xfId="0" applyAlignment="1" applyBorder="1" applyFont="1" applyNumberFormat="1">
      <alignment horizontal="right" vertical="bottom"/>
    </xf>
    <xf borderId="0" fillId="0" fontId="13" numFmtId="164" xfId="0" applyAlignment="1" applyFont="1" applyNumberFormat="1">
      <alignment horizontal="right" readingOrder="0" shrinkToFit="0" vertical="bottom" wrapText="0"/>
    </xf>
    <xf borderId="5" fillId="0" fontId="5" numFmtId="0" xfId="0" applyAlignment="1" applyBorder="1" applyFont="1">
      <alignment vertical="bottom"/>
    </xf>
    <xf borderId="0" fillId="0" fontId="14" numFmtId="164" xfId="0" applyAlignment="1" applyFont="1" applyNumberFormat="1">
      <alignment horizontal="right" vertical="bottom"/>
    </xf>
    <xf borderId="5" fillId="0" fontId="14" numFmtId="0" xfId="0" applyAlignment="1" applyBorder="1" applyFont="1">
      <alignment vertical="bottom"/>
    </xf>
    <xf borderId="0" fillId="0" fontId="14" numFmtId="0" xfId="0" applyAlignment="1" applyFont="1">
      <alignment vertical="bottom"/>
    </xf>
    <xf borderId="0" fillId="0" fontId="13" numFmtId="4" xfId="0" applyAlignment="1" applyFont="1" applyNumberFormat="1">
      <alignment horizontal="right" readingOrder="0" shrinkToFit="0" vertical="bottom" wrapText="0"/>
    </xf>
    <xf borderId="0" fillId="0" fontId="5" numFmtId="0" xfId="0" applyAlignment="1" applyFont="1">
      <alignment vertical="bottom"/>
    </xf>
    <xf borderId="0" fillId="0" fontId="14" numFmtId="0" xfId="0" applyAlignment="1" applyFont="1">
      <alignment readingOrder="0" vertical="bottom"/>
    </xf>
    <xf borderId="0" fillId="0" fontId="13" numFmtId="0" xfId="0" applyAlignment="1" applyFont="1">
      <alignment shrinkToFit="0" vertical="bottom" wrapText="0"/>
    </xf>
    <xf borderId="0" fillId="0" fontId="13" numFmtId="3" xfId="0" applyAlignment="1" applyFont="1" applyNumberFormat="1">
      <alignment horizontal="right" readingOrder="0" shrinkToFit="0" vertical="bottom" wrapText="0"/>
    </xf>
    <xf borderId="0" fillId="0" fontId="13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0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9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8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0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15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IFERROR(__xludf.DUMMYFUNCTION("""COMPUTED_VALUE"""),"Simulator")</f>
        <v>Simulator</v>
      </c>
      <c r="B510" t="str">
        <f>IFERROR(__xludf.DUMMYFUNCTION("""COMPUTED_VALUE"""),"VerifyTrades")</f>
        <v>VerifyTrades</v>
      </c>
      <c r="C510" t="str">
        <f>IFERROR(__xludf.DUMMYFUNCTION("""COMPUTED_VALUE"""),"1N71Jy4eKF73ZDNHWL_TjWsGmm0qTTD4814dhMRMMVb8")</f>
        <v>1N71Jy4eKF73ZDNHWL_TjWsGmm0qTTD4814dhMRMMVb8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IFERROR(__xludf.DUMMYFUNCTION("""COMPUTED_VALUE"""),"SetShortLocatePreferences")</f>
        <v>SetShortLocatePreferences</v>
      </c>
      <c r="C511" t="str">
        <f>IFERROR(__xludf.DUMMYFUNCTION("""COMPUTED_VALUE"""),"1Bb8XumY_W8vYN4wPCQjnCEQbJs1H7qhZYGScbFljlsE")</f>
        <v>1Bb8XumY_W8vYN4wPCQjnCEQbJs1H7qhZYGScbFljlsE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IFERROR(__xludf.DUMMYFUNCTION("""COMPUTED_VALUE"""),"GetSymbolData")</f>
        <v>GetSymbolData</v>
      </c>
      <c r="C512" t="str">
        <f>IFERROR(__xludf.DUMMYFUNCTION("""COMPUTED_VALUE"""),"1jtd0OYtnm21_vMCd-CSKixcC_TN7ginWcJ7PR714zDw")</f>
        <v>1jtd0OYtnm21_vMCd-CSKixcC_TN7ginWcJ7PR714zDw</v>
      </c>
    </row>
    <row r="513" ht="15.75" customHeight="1">
      <c r="A513" t="str">
        <f>IFERROR(__xludf.DUMMYFUNCTION("""COMPUTED_VALUE"""),"SecurityMaster")</f>
        <v>SecurityMaster</v>
      </c>
      <c r="B513" t="str">
        <f>IFERROR(__xludf.DUMMYFUNCTION("""COMPUTED_VALUE"""),"EditSMData")</f>
        <v>EditSMData</v>
      </c>
      <c r="C513" t="str">
        <f>IFERROR(__xludf.DUMMYFUNCTION("""COMPUTED_VALUE"""),"1l9IRaSGDow3z943y-v24KT4bLSa2nLFzzrJx6XQozpY")</f>
        <v>1l9IRaSGDow3z943y-v24KT4bLSa2nLFzzrJx6XQozpY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IFERROR(__xludf.DUMMYFUNCTION("""COMPUTED_VALUE"""),"RestartRuleMediator")</f>
        <v>RestartRuleMediator</v>
      </c>
      <c r="C514" t="str">
        <f>IFERROR(__xludf.DUMMYFUNCTION("""COMPUTED_VALUE"""),"18SVZSt8o151Ibqp7S3Ge-27pHb5fW7wNT71WgA_kP_8")</f>
        <v>18SVZSt8o151Ibqp7S3Ge-27pHb5fW7wNT71WgA_kP_8</v>
      </c>
    </row>
    <row r="515" ht="15.75" customHeight="1">
      <c r="A515" t="str">
        <f>IFERROR(__xludf.DUMMYFUNCTION("""COMPUTED_VALUE"""),"Compliance")</f>
        <v>Compliance</v>
      </c>
      <c r="B515" t="str">
        <f>IFERROR(__xludf.DUMMYFUNCTION("""COMPUTED_VALUE"""),"VerifyAggAccountSymbolWithNav")</f>
        <v>VerifyAggAccountSymbolWithNav</v>
      </c>
      <c r="C515" t="str">
        <f>IFERROR(__xludf.DUMMYFUNCTION("""COMPUTED_VALUE"""),"1yORtQDYWOiS9sGzwmSy3jeH1KeWbwIscJSVtvVljcqk")</f>
        <v>1yORtQDYWOiS9sGzwmSy3jeH1KeWbwIscJSVtvVljcqk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IFERROR(__xludf.DUMMYFUNCTION("""COMPUTED_VALUE"""),"SetComplianceAlert")</f>
        <v>SetComplianceAlert</v>
      </c>
      <c r="C516" t="str">
        <f>IFERROR(__xludf.DUMMYFUNCTION("""COMPUTED_VALUE"""),"1tHcWqzzT9x7_tjIYlb_jsMu7VunfhVIyqGIWGIXOrQE")</f>
        <v>1tHcWqzzT9x7_tjIYlb_jsMu7VunfhVIyqGIWGIXOrQE</v>
      </c>
    </row>
    <row r="517" ht="15.75" customHeight="1">
      <c r="A517" t="str">
        <f>IFERROR(__xludf.DUMMYFUNCTION("""COMPUTED_VALUE"""),"PortfolioManagement")</f>
        <v>PortfolioManagement</v>
      </c>
      <c r="B517" t="str">
        <f>IFERROR(__xludf.DUMMYFUNCTION("""COMPUTED_VALUE"""),"IncreasePositionFromPM")</f>
        <v>IncreasePositionFromPM</v>
      </c>
      <c r="C517" t="str">
        <f>IFERROR(__xludf.DUMMYFUNCTION("""COMPUTED_VALUE"""),"1eE569Brgsjqyathy0MKO50Wmj5QCDLuax0S-29Hix4A")</f>
        <v>1eE569Brgsjqyathy0MKO50Wmj5QCDLuax0S-29Hix4A</v>
      </c>
    </row>
    <row r="518" ht="15.75" customHeight="1">
      <c r="A518" t="str">
        <f>IFERROR(__xludf.DUMMYFUNCTION("""COMPUTED_VALUE"""),"TradingTicket")</f>
        <v>TradingTicket</v>
      </c>
      <c r="B518" t="str">
        <f>IFERROR(__xludf.DUMMYFUNCTION("""COMPUTED_VALUE"""),"SendLiveBloomberg")</f>
        <v>SendLiveBloomberg</v>
      </c>
      <c r="C518" t="str">
        <f>IFERROR(__xludf.DUMMYFUNCTION("""COMPUTED_VALUE"""),"1jm-Rrun0S1nkf5N9L0XR0cK07laQ4i2IyhTZ_88GUUQ")</f>
        <v>1jm-Rrun0S1nkf5N9L0XR0cK07laQ4i2IyhTZ_88GUUQ</v>
      </c>
    </row>
    <row r="519" ht="15.75" customHeight="1">
      <c r="A519" t="str">
        <f>IFERROR(__xludf.DUMMYFUNCTION("""COMPUTED_VALUE"""),"Blotter")</f>
        <v>Blotter</v>
      </c>
      <c r="B519" t="str">
        <f>IFERROR(__xludf.DUMMYFUNCTION("""COMPUTED_VALUE"""),"ReloadOrderFromBlotter")</f>
        <v>ReloadOrderFromBlotter</v>
      </c>
      <c r="C519" t="str">
        <f>IFERROR(__xludf.DUMMYFUNCTION("""COMPUTED_VALUE"""),"1GnRgq3n2FmksmM-vQvyFRWFLBbtVf3YzhzcYjkk8r48")</f>
        <v>1GnRgq3n2FmksmM-vQvyFRWFLBbtVf3YzhzcYjkk8r48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IFERROR(__xludf.DUMMYFUNCTION("""COMPUTED_VALUE"""),"AddOptionTrade")</f>
        <v>AddOptionTrade</v>
      </c>
      <c r="C520" t="str">
        <f>IFERROR(__xludf.DUMMYFUNCTION("""COMPUTED_VALUE"""),"1S77RUpuNPEdRdFAsltgJ4BQ2n1UATWQLWerXZ4PXTkk")</f>
        <v>1S77RUpuNPEdRdFAsltgJ4BQ2n1UATWQLWerXZ4PXTkk</v>
      </c>
    </row>
    <row r="521" ht="15.75" customHeight="1">
      <c r="A521" t="str">
        <f>IFERROR(__xludf.DUMMYFUNCTION("""COMPUTED_VALUE"""),"Closing")</f>
        <v>Closing</v>
      </c>
      <c r="B521" t="str">
        <f>IFERROR(__xludf.DUMMYFUNCTION("""COMPUTED_VALUE"""),"AutoExercise")</f>
        <v>AutoExercise</v>
      </c>
      <c r="C521" t="str">
        <f>IFERROR(__xludf.DUMMYFUNCTION("""COMPUTED_VALUE"""),"1hfy0JEIqBV_drZcgmDPPTyHwSQxbE1sD97UL33FyUKI")</f>
        <v>1hfy0JEIqBV_drZcgmDPPTyHwSQxbE1sD97UL33FyUKI</v>
      </c>
    </row>
    <row r="522" ht="15.75" customHeight="1">
      <c r="A522" t="str">
        <f>IFERROR(__xludf.DUMMYFUNCTION("""COMPUTED_VALUE"""),"Admin")</f>
        <v>Admin</v>
      </c>
      <c r="B522" t="str">
        <f>IFERROR(__xludf.DUMMYFUNCTION("""COMPUTED_VALUE"""),"UpdateExpirationDate")</f>
        <v>UpdateExpirationDate</v>
      </c>
      <c r="C522" t="str">
        <f>IFERROR(__xludf.DUMMYFUNCTION("""COMPUTED_VALUE"""),"1dylWul81BFmbZVj_Z-Xiz11zLj_QrhKk5QXK_mf_uUE")</f>
        <v>1dylWul81BFmbZVj_Z-Xiz11zLj_QrhKk5QXK_mf_uUE</v>
      </c>
    </row>
    <row r="523" ht="15.75" customHeight="1">
      <c r="A523" t="str">
        <f>IFERROR(__xludf.DUMMYFUNCTION("""COMPUTED_VALUE"""),"Blotter")</f>
        <v>Blotter</v>
      </c>
      <c r="B523" t="str">
        <f>IFERROR(__xludf.DUMMYFUNCTION("""COMPUTED_VALUE"""),"ReloadOrderFromSubOrder")</f>
        <v>ReloadOrderFromSubOrder</v>
      </c>
      <c r="C523" t="str">
        <f>IFERROR(__xludf.DUMMYFUNCTION("""COMPUTED_VALUE"""),"1HCRddvgPCwJLqnfI7ts10VrFX5EFtgDXaYOCFKQa5Hw")</f>
        <v>1HCRddvgPCwJLqnfI7ts10VrFX5EFtgDXaYOCFKQa5Hw</v>
      </c>
    </row>
    <row r="524" ht="15.75" customHeight="1">
      <c r="A524" t="str">
        <f>IFERROR(__xludf.DUMMYFUNCTION("""COMPUTED_VALUE"""),"Blotter")</f>
        <v>Blotter</v>
      </c>
      <c r="B524" t="str">
        <f>IFERROR(__xludf.DUMMYFUNCTION("""COMPUTED_VALUE"""),"ReloadOrderFromWorkingSubs")</f>
        <v>ReloadOrderFromWorkingSubs</v>
      </c>
      <c r="C524" t="str">
        <f>IFERROR(__xludf.DUMMYFUNCTION("""COMPUTED_VALUE"""),"1-0deCunA0B5gH5_QgjFRQJkWoWhaKLyiNrCl5nK7g5k")</f>
        <v>1-0deCunA0B5gH5_QgjFRQJkWoWhaKLyiNrCl5nK7g5k</v>
      </c>
    </row>
    <row r="525" ht="15.75" customHeight="1">
      <c r="A525" t="str">
        <f>IFERROR(__xludf.DUMMYFUNCTION("""COMPUTED_VALUE"""),"PricingInput")</f>
        <v>PricingInput</v>
      </c>
      <c r="B525" t="str">
        <f>IFERROR(__xludf.DUMMYFUNCTION("""COMPUTED_VALUE"""),"UncheckDividendYield")</f>
        <v>UncheckDividendYield</v>
      </c>
      <c r="C525" t="str">
        <f>IFERROR(__xludf.DUMMYFUNCTION("""COMPUTED_VALUE"""),"1tE_B1MbYuONekKo2FJCjz81vOxEukuWLbDI84AvoR2Y")</f>
        <v>1tE_B1MbYuONekKo2FJCjz81vOxEukuWLbDI84AvoR2Y</v>
      </c>
    </row>
    <row r="526" ht="15.75" customHeight="1">
      <c r="A526" t="str">
        <f>IFERROR(__xludf.DUMMYFUNCTION("""COMPUTED_VALUE"""),"Admin")</f>
        <v>Admin</v>
      </c>
      <c r="B526" t="str">
        <f>IFERROR(__xludf.DUMMYFUNCTION("""COMPUTED_VALUE"""),"RenameMasterStrategy")</f>
        <v>RenameMasterStrategy</v>
      </c>
      <c r="C526" t="str">
        <f>IFERROR(__xludf.DUMMYFUNCTION("""COMPUTED_VALUE"""),"1jioQdD3XlMWB-FhSemgF2Y-BAp85sCvZSZJzxbDG-uY")</f>
        <v>1jioQdD3XlMWB-FhSemgF2Y-BAp85sCvZSZJzxbDG-uY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IFERROR(__xludf.DUMMYFUNCTION("""COMPUTED_VALUE"""),"SelectFills")</f>
        <v>SelectFills</v>
      </c>
      <c r="C527" t="str">
        <f>IFERROR(__xludf.DUMMYFUNCTION("""COMPUTED_VALUE"""),"1Z7QxmNsys5SzZV3G-2XqSn0OdEXfUG5t0ZPmwtyFCL8")</f>
        <v>1Z7QxmNsys5SzZV3G-2XqSn0OdEXfUG5t0ZPmwtyFCL8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IFERROR(__xludf.DUMMYFUNCTION("""COMPUTED_VALUE"""),"ModifyFills")</f>
        <v>ModifyFills</v>
      </c>
      <c r="C528" t="str">
        <f>IFERROR(__xludf.DUMMYFUNCTION("""COMPUTED_VALUE"""),"1A0nU9DMune_BQD6mdF4jX7kLj0RbHiXhcWgPgbNEIVM")</f>
        <v>1A0nU9DMune_BQD6mdF4jX7kLj0RbHiXhcWgPgbNEIVM</v>
      </c>
    </row>
    <row r="529" ht="15.75" customHeight="1">
      <c r="A529" t="str">
        <f>IFERROR(__xludf.DUMMYFUNCTION("""COMPUTED_VALUE"""),"PranaClient")</f>
        <v>PranaClient</v>
      </c>
      <c r="B529" t="str">
        <f>IFERROR(__xludf.DUMMYFUNCTION("""COMPUTED_VALUE"""),"LoginClient")</f>
        <v>LoginClient</v>
      </c>
      <c r="C529" t="str">
        <f>IFERROR(__xludf.DUMMYFUNCTION("""COMPUTED_VALUE"""),"1q8zAoreC7MIeJDU3n8P82NH8qIhpvWC2BtDtEAyBLPg")</f>
        <v>1q8zAoreC7MIeJDU3n8P82NH8qIhpvWC2BtDtEAyBLPg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IFERROR(__xludf.DUMMYFUNCTION("""COMPUTED_VALUE"""),"EditMultipleCloseQuantity")</f>
        <v>EditMultipleCloseQuantity</v>
      </c>
      <c r="C530" t="str">
        <f>IFERROR(__xludf.DUMMYFUNCTION("""COMPUTED_VALUE"""),"1U1ODQcFsY16SNjzU2RI28CuGFFSBBndsvfyS0p6HRg8")</f>
        <v>1U1ODQcFsY16SNjzU2RI28CuGFFSBBndsvfyS0p6HRg8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IFERROR(__xludf.DUMMYFUNCTION("""COMPUTED_VALUE"""),"ManualCloseOrder")</f>
        <v>ManualCloseOrder</v>
      </c>
      <c r="C531" t="str">
        <f>IFERROR(__xludf.DUMMYFUNCTION("""COMPUTED_VALUE"""),"1rvAoeelgUtlBWcdnZmGDYNUZPMtp2QSpHWK9X9nndtY")</f>
        <v>1rvAoeelgUtlBWcdnZmGDYNUZPMtp2QSpHWK9X9nndtY</v>
      </c>
    </row>
    <row r="532" ht="15.75" customHeight="1">
      <c r="A532" t="str">
        <f>IFERROR(__xludf.DUMMYFUNCTION("""COMPUTED_VALUE"""),"Admin")</f>
        <v>Admin</v>
      </c>
      <c r="B532" t="str">
        <f>IFERROR(__xludf.DUMMYFUNCTION("""COMPUTED_VALUE"""),"SetTTUIPreferencesViaAdmin")</f>
        <v>SetTTUIPreferencesViaAdmin</v>
      </c>
      <c r="C532" t="str">
        <f>IFERROR(__xludf.DUMMYFUNCTION("""COMPUTED_VALUE"""),"1Z8JIwoPxCgLRv01bYZcdh7xr1IcRWOaqqUrwQZaloYA")</f>
        <v>1Z8JIwoPxCgLRv01bYZcdh7xr1IcRWOaqqUrwQZaloYA</v>
      </c>
    </row>
    <row r="533" ht="15.75" customHeight="1">
      <c r="A533" t="str">
        <f>IFERROR(__xludf.DUMMYFUNCTION("""COMPUTED_VALUE"""),"Allocation")</f>
        <v>Allocation</v>
      </c>
      <c r="B533" t="str">
        <f>IFERROR(__xludf.DUMMYFUNCTION("""COMPUTED_VALUE"""),"AllocationAuditTrail")</f>
        <v>AllocationAuditTrail</v>
      </c>
      <c r="C533" t="str">
        <f>IFERROR(__xludf.DUMMYFUNCTION("""COMPUTED_VALUE"""),"178rOki2KCouUF9Iz9lng6bwJnPFVHaZtwBC9CdiyuVc")</f>
        <v>178rOki2KCouUF9Iz9lng6bwJnPFVHaZtwBC9CdiyuVc</v>
      </c>
    </row>
    <row r="534" ht="15.75" customHeight="1">
      <c r="A534" t="str">
        <f>IFERROR(__xludf.DUMMYFUNCTION("""COMPUTED_VALUE"""),"Allocation")</f>
        <v>Allocation</v>
      </c>
      <c r="B534" t="str">
        <f>IFERROR(__xludf.DUMMYFUNCTION("""COMPUTED_VALUE"""),"GetAuditTrailData")</f>
        <v>GetAuditTrailData</v>
      </c>
      <c r="C534" t="str">
        <f>IFERROR(__xludf.DUMMYFUNCTION("""COMPUTED_VALUE"""),"1xzn2YyCPdZfMTo0ieuR11YKa_oxUPbzkPKQEmibGMDo")</f>
        <v>1xzn2YyCPdZfMTo0ieuR11YKa_oxUPbzkPKQEmibGMDo</v>
      </c>
    </row>
    <row r="535" ht="15.75" customHeight="1">
      <c r="A535" t="str">
        <f>IFERROR(__xludf.DUMMYFUNCTION("""COMPUTED_VALUE"""),"Allocation")</f>
        <v>Allocation</v>
      </c>
      <c r="B535" t="str">
        <f>IFERROR(__xludf.DUMMYFUNCTION("""COMPUTED_VALUE"""),"CheckAuditTrailData")</f>
        <v>CheckAuditTrailData</v>
      </c>
      <c r="C535" t="str">
        <f>IFERROR(__xludf.DUMMYFUNCTION("""COMPUTED_VALUE"""),"1Yxu4VMZGMl7EQBhNAo8lBqOGH6w7WWla7_FbMhPALQg")</f>
        <v>1Yxu4VMZGMl7EQBhNAo8lBqOGH6w7WWla7_FbMhPALQg</v>
      </c>
    </row>
    <row r="536" ht="15.75" customHeight="1">
      <c r="A536" t="str">
        <f>IFERROR(__xludf.DUMMYFUNCTION("""COMPUTED_VALUE"""),"SymbolLookup")</f>
        <v>SymbolLookup</v>
      </c>
      <c r="B536" t="str">
        <f>IFERROR(__xludf.DUMMYFUNCTION("""COMPUTED_VALUE"""),"UpdateSecurityInfoOnSM")</f>
        <v>UpdateSecurityInfoOnSM</v>
      </c>
      <c r="C536" t="str">
        <f>IFERROR(__xludf.DUMMYFUNCTION("""COMPUTED_VALUE"""),"14z69pnCfo_DnsBrAd1uY7YL0PPT5uLfl7VchS5jQ8a8")</f>
        <v>14z69pnCfo_DnsBrAd1uY7YL0PPT5uLfl7VchS5jQ8a8</v>
      </c>
    </row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IFERROR(__xludf.DUMMYFUNCTION("""COMPUTED_VALUE"""),"EnableDiableModule")</f>
        <v>EnableDiableModule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IFERROR(__xludf.DUMMYFUNCTION("""COMPUTED_VALUE"""),"SetTTUIPreferencesViaAdmin")</f>
        <v>SetTTUIPreferencesViaAdmin</v>
      </c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IFERROR(__xludf.DUMMYFUNCTION("""COMPUTED_VALUE"""),"OverSellTradingRule")</f>
        <v>OverSellTradingRule</v>
      </c>
      <c r="C5" s="27" t="str">
        <f>IFERROR(__xludf.DUMMYFUNCTION("""COMPUTED_VALUE"""),"OverBuyTradingRule")</f>
        <v>OverBuyTradingRule</v>
      </c>
      <c r="D5" s="27" t="str">
        <f>IFERROR(__xludf.DUMMYFUNCTION("""COMPUTED_VALUE"""),"FatFingerTradingRule")</f>
        <v>FatFingerTradingRule</v>
      </c>
      <c r="E5" s="27" t="str">
        <f>IFERROR(__xludf.DUMMYFUNCTION("""COMPUTED_VALUE"""),"UnallocatedTradeAlert")</f>
        <v>UnallocatedTradeAlert</v>
      </c>
      <c r="F5" s="28" t="str">
        <f>IFERROR(__xludf.DUMMYFUNCTION("""COMPUTED_VALUE"""),"DuplicateTradeAlert")</f>
        <v>DuplicateTradeAlert</v>
      </c>
      <c r="G5" s="27" t="str">
        <f>IFERROR(__xludf.DUMMYFUNCTION("""COMPUTED_VALUE"""),"PendingNewOrderAlert")</f>
        <v>PendingNewOrderAlert</v>
      </c>
      <c r="H5" s="27" t="str">
        <f>IFERROR(__xludf.DUMMYFUNCTION("""COMPUTED_VALUE"""),"FatFingerPercent")</f>
        <v>FatFingerPercent</v>
      </c>
      <c r="I5" s="27" t="str">
        <f>IFERROR(__xludf.DUMMYFUNCTION("""COMPUTED_VALUE"""),"DuplicateTradeAlertTime")</f>
        <v>DuplicateTradeAlertTime</v>
      </c>
      <c r="J5" s="27" t="str">
        <f>IFERROR(__xludf.DUMMYFUNCTION("""COMPUTED_VALUE"""),"PendingNewOrderAlertTime")</f>
        <v>PendingNewOrderAlertTime</v>
      </c>
      <c r="K5" s="27" t="str">
        <f>IFERROR(__xludf.DUMMYFUNCTION("""COMPUTED_VALUE"""),"FatFingerAccountOrMasterFund")</f>
        <v>FatFingerAccountOrMasterFund</v>
      </c>
      <c r="L5" s="27" t="str">
        <f>IFERROR(__xludf.DUMMYFUNCTION("""COMPUTED_VALUE"""),"IsAbsoluteAmountOrDefinePercent")</f>
        <v>IsAbsoluteAmountOrDefinePercent</v>
      </c>
      <c r="M5" s="27" t="str">
        <f>IFERROR(__xludf.DUMMYFUNCTION("""COMPUTED_VALUE"""),"IsInMarketIncluded")</f>
        <v>IsInMarketIncluded</v>
      </c>
      <c r="N5" s="27" t="str">
        <f>IFERROR(__xludf.DUMMYFUNCTION("""COMPUTED_VALUE"""),"IsSharesOutstandingRule")</f>
        <v>IsSharesOutstandingRule</v>
      </c>
      <c r="O5" s="27" t="str">
        <f>IFERROR(__xludf.DUMMYFUNCTION("""COMPUTED_VALUE"""),"SharesOutstandingPercent")</f>
        <v>SharesOutstandingPercent</v>
      </c>
      <c r="P5" s="27" t="str">
        <f>IFERROR(__xludf.DUMMYFUNCTION("""COMPUTED_VALUE"""),"SharesOutstandingAccountOrMF")</f>
        <v>SharesOutstandingAccountOrMF</v>
      </c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/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3" t="b">
        <v>1</v>
      </c>
      <c r="O6" s="34">
        <v>2.0</v>
      </c>
      <c r="P6" s="32" t="s">
        <v>16</v>
      </c>
      <c r="Q6" s="32"/>
      <c r="R6" s="32"/>
      <c r="S6" s="32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IFERROR(__xludf.DUMMYFUNCTION("""COMPUTED_VALUE"""),"Rate(%)")</f>
        <v>Rate(%)</v>
      </c>
      <c r="AS5" s="29" t="str">
        <f>IFERROR(__xludf.DUMMYFUNCTION("""COMPUTED_VALUE"""),"SharesOutstandingPopUpQty")</f>
        <v>SharesOutstandingPopUpQty</v>
      </c>
      <c r="AT5" s="29" t="str">
        <f>IFERROR(__xludf.DUMMYFUNCTION("""COMPUTED_VALUE"""),"SharesOutstandingPopUp")</f>
        <v>SharesOutstandingPopUp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19</v>
      </c>
      <c r="C6" s="32" t="s">
        <v>20</v>
      </c>
      <c r="D6" s="36">
        <v>1000.0</v>
      </c>
      <c r="E6" s="34">
        <v>1000.0</v>
      </c>
      <c r="F6" s="32" t="s">
        <v>21</v>
      </c>
      <c r="G6" s="32"/>
      <c r="H6" s="32"/>
      <c r="I6" s="32"/>
      <c r="J6" s="34">
        <v>10.0</v>
      </c>
      <c r="K6" s="32"/>
      <c r="L6" s="32"/>
      <c r="M6" s="32"/>
      <c r="N6" s="32"/>
      <c r="O6" s="32"/>
      <c r="P6" s="32"/>
      <c r="Q6" s="32"/>
      <c r="R6" s="32"/>
      <c r="S6" s="32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7">
        <v>0.0</v>
      </c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/>
      <c r="FI5" s="29"/>
      <c r="FJ5" s="29"/>
      <c r="FK5" s="29"/>
      <c r="FL5" s="29"/>
      <c r="FM5" s="29"/>
      <c r="FN5" s="29"/>
      <c r="FO5" s="29"/>
      <c r="FP5" s="29"/>
      <c r="FQ5" s="29"/>
    </row>
    <row r="6" ht="15.75" customHeight="1">
      <c r="A6" s="31"/>
      <c r="B6" s="31"/>
      <c r="C6" s="38" t="s">
        <v>19</v>
      </c>
      <c r="D6" s="39">
        <v>1000.0</v>
      </c>
      <c r="E6" s="38" t="s">
        <v>21</v>
      </c>
      <c r="F6" s="38" t="s">
        <v>24</v>
      </c>
      <c r="G6" s="40">
        <v>10.0</v>
      </c>
      <c r="H6" s="38" t="s">
        <v>25</v>
      </c>
      <c r="I6" s="40">
        <v>0.0</v>
      </c>
      <c r="J6" s="32"/>
      <c r="K6" s="40">
        <v>0.0</v>
      </c>
      <c r="L6" s="32"/>
      <c r="M6" s="32"/>
      <c r="N6" s="39">
        <v>-10000.0</v>
      </c>
      <c r="O6" s="38" t="s">
        <v>26</v>
      </c>
      <c r="P6" s="40">
        <v>0.0</v>
      </c>
      <c r="Q6" s="39">
        <v>-10000.0</v>
      </c>
      <c r="R6" s="38" t="s">
        <v>27</v>
      </c>
      <c r="S6" s="38" t="s">
        <v>28</v>
      </c>
      <c r="T6" s="41" t="s">
        <v>29</v>
      </c>
      <c r="U6" s="41" t="s">
        <v>30</v>
      </c>
      <c r="V6" s="41" t="s">
        <v>31</v>
      </c>
      <c r="W6" s="41" t="s">
        <v>32</v>
      </c>
      <c r="X6" s="35"/>
      <c r="Y6" s="42">
        <v>1.0</v>
      </c>
      <c r="Z6" s="35"/>
      <c r="AA6" s="35"/>
      <c r="AB6" s="42">
        <v>0.0</v>
      </c>
      <c r="AC6" s="42">
        <v>0.0</v>
      </c>
      <c r="AD6" s="42">
        <v>0.0</v>
      </c>
      <c r="AE6" s="42">
        <v>0.0</v>
      </c>
      <c r="AF6" s="43">
        <v>1000.0</v>
      </c>
      <c r="AG6" s="42">
        <v>0.0</v>
      </c>
      <c r="AH6" s="42">
        <v>0.0</v>
      </c>
      <c r="AI6" s="42">
        <v>0.0</v>
      </c>
      <c r="AJ6" s="42">
        <v>0.0</v>
      </c>
      <c r="AK6" s="43">
        <v>-10000.0</v>
      </c>
      <c r="AL6" s="42">
        <v>1.0</v>
      </c>
      <c r="AM6" s="42">
        <v>1.0</v>
      </c>
      <c r="AN6" s="35" t="s">
        <v>20</v>
      </c>
      <c r="AO6" s="35"/>
      <c r="AP6" s="41" t="s">
        <v>25</v>
      </c>
      <c r="AQ6" s="41" t="s">
        <v>19</v>
      </c>
      <c r="AR6" s="42">
        <v>0.0</v>
      </c>
      <c r="AS6" s="35"/>
      <c r="AT6" s="35"/>
      <c r="AU6" s="35"/>
      <c r="AV6" s="42">
        <v>1.0</v>
      </c>
      <c r="AW6" s="43">
        <v>-10000.0</v>
      </c>
      <c r="AX6" s="42">
        <v>0.0</v>
      </c>
      <c r="AY6" s="42">
        <v>0.0</v>
      </c>
      <c r="AZ6" s="42">
        <v>0.0</v>
      </c>
      <c r="BA6" s="42">
        <v>-100.0</v>
      </c>
      <c r="BB6" s="35"/>
      <c r="BC6" s="42">
        <v>1.0</v>
      </c>
      <c r="BD6" s="43">
        <v>-10000.0</v>
      </c>
      <c r="BE6" s="41" t="s">
        <v>29</v>
      </c>
      <c r="BF6" s="41" t="s">
        <v>33</v>
      </c>
      <c r="BG6" s="41" t="s">
        <v>34</v>
      </c>
      <c r="BH6" s="41" t="s">
        <v>35</v>
      </c>
      <c r="BI6" s="42">
        <v>5.0</v>
      </c>
      <c r="BJ6" s="42">
        <v>0.0</v>
      </c>
      <c r="BK6" s="42">
        <v>0.0</v>
      </c>
      <c r="BL6" s="42">
        <v>0.0</v>
      </c>
      <c r="BM6" s="42">
        <v>0.0</v>
      </c>
      <c r="BN6" s="35"/>
      <c r="BO6" s="43">
        <v>-10000.0</v>
      </c>
      <c r="BP6" s="42">
        <v>0.0</v>
      </c>
      <c r="BQ6" s="41" t="s">
        <v>36</v>
      </c>
      <c r="BR6" s="41" t="s">
        <v>37</v>
      </c>
      <c r="BS6" s="42">
        <v>0.0</v>
      </c>
      <c r="BT6" s="42">
        <v>0.0</v>
      </c>
      <c r="BU6" s="41" t="s">
        <v>29</v>
      </c>
      <c r="BV6" s="35"/>
      <c r="BW6" s="42">
        <v>0.0</v>
      </c>
      <c r="BX6" s="42">
        <v>0.0</v>
      </c>
      <c r="BY6" s="42">
        <v>0.0</v>
      </c>
      <c r="BZ6" s="42">
        <v>0.0</v>
      </c>
      <c r="CA6" s="42">
        <v>0.0</v>
      </c>
      <c r="CB6" s="35"/>
      <c r="CC6" s="42">
        <v>0.0</v>
      </c>
      <c r="CD6" s="43">
        <v>-10000.0</v>
      </c>
      <c r="CE6" s="42">
        <v>0.0</v>
      </c>
      <c r="CF6" s="42">
        <v>0.0</v>
      </c>
      <c r="CG6" s="43">
        <v>-10000.0</v>
      </c>
      <c r="CH6" s="42">
        <v>-100.0</v>
      </c>
      <c r="CI6" s="42">
        <v>0.0</v>
      </c>
      <c r="CJ6" s="42">
        <v>0.0</v>
      </c>
      <c r="CK6" s="44" t="b">
        <v>0</v>
      </c>
      <c r="CL6" s="35"/>
      <c r="CM6" s="35"/>
      <c r="CN6" s="41" t="s">
        <v>19</v>
      </c>
      <c r="CO6" s="41" t="s">
        <v>19</v>
      </c>
      <c r="CP6" s="41" t="s">
        <v>38</v>
      </c>
      <c r="CQ6" s="35"/>
      <c r="CR6" s="35"/>
      <c r="CS6" s="42">
        <v>10.0</v>
      </c>
      <c r="CT6" s="35"/>
      <c r="CU6" s="35"/>
      <c r="CV6" s="35"/>
      <c r="CW6" s="35"/>
      <c r="CX6" s="35"/>
      <c r="CY6" s="41" t="s">
        <v>39</v>
      </c>
      <c r="CZ6" s="41" t="s">
        <v>40</v>
      </c>
      <c r="DA6" s="42">
        <v>0.0</v>
      </c>
      <c r="DB6" s="42">
        <v>0.0</v>
      </c>
      <c r="DC6" s="42"/>
      <c r="DD6" s="43">
        <v>1000.0</v>
      </c>
      <c r="DE6" s="42">
        <v>0.0</v>
      </c>
      <c r="DF6" s="42">
        <v>0.0</v>
      </c>
      <c r="DG6" s="42">
        <v>0.0</v>
      </c>
      <c r="DH6" s="42">
        <v>0.0</v>
      </c>
      <c r="DI6" s="42">
        <v>0.0</v>
      </c>
      <c r="DJ6" s="41" t="s">
        <v>20</v>
      </c>
      <c r="DK6" s="42">
        <v>0.0</v>
      </c>
      <c r="DL6" s="42">
        <v>0.0</v>
      </c>
      <c r="DM6" s="42">
        <v>1.0</v>
      </c>
      <c r="DN6" s="42">
        <v>0.0</v>
      </c>
      <c r="DO6" s="35"/>
      <c r="DP6" s="41" t="s">
        <v>25</v>
      </c>
      <c r="DQ6" s="41" t="s">
        <v>41</v>
      </c>
      <c r="DR6" s="41" t="s">
        <v>42</v>
      </c>
      <c r="DS6" s="41" t="s">
        <v>41</v>
      </c>
      <c r="DT6" s="41" t="s">
        <v>41</v>
      </c>
      <c r="DU6" s="41" t="s">
        <v>43</v>
      </c>
      <c r="DV6" s="41" t="s">
        <v>41</v>
      </c>
      <c r="DW6" s="41" t="s">
        <v>41</v>
      </c>
      <c r="DX6" s="41" t="s">
        <v>41</v>
      </c>
      <c r="DY6" s="41" t="s">
        <v>41</v>
      </c>
      <c r="DZ6" s="41" t="s">
        <v>26</v>
      </c>
      <c r="EA6" s="41" t="s">
        <v>43</v>
      </c>
      <c r="EB6" s="41" t="s">
        <v>41</v>
      </c>
      <c r="EC6" s="41" t="s">
        <v>41</v>
      </c>
      <c r="ED6" s="41" t="s">
        <v>32</v>
      </c>
      <c r="EE6" s="41" t="s">
        <v>44</v>
      </c>
      <c r="EF6" s="42">
        <v>0.0</v>
      </c>
      <c r="EG6" s="42">
        <v>0.0</v>
      </c>
      <c r="EH6" s="42">
        <v>0.0</v>
      </c>
      <c r="EI6" s="42">
        <v>0.0</v>
      </c>
      <c r="EJ6" s="42">
        <v>0.0</v>
      </c>
      <c r="EK6" s="42">
        <v>0.0</v>
      </c>
      <c r="EL6" s="41" t="s">
        <v>25</v>
      </c>
      <c r="EM6" s="42">
        <v>0.0</v>
      </c>
      <c r="EN6" s="42">
        <v>0.0</v>
      </c>
      <c r="EO6" s="42">
        <v>0.0</v>
      </c>
      <c r="EP6" s="42"/>
      <c r="EQ6" s="42">
        <v>0.0</v>
      </c>
      <c r="ER6" s="42">
        <v>0.0</v>
      </c>
      <c r="ES6" s="35"/>
      <c r="ET6" s="35"/>
      <c r="EU6" s="42">
        <v>0.0</v>
      </c>
      <c r="EV6" s="41" t="s">
        <v>25</v>
      </c>
      <c r="EW6" s="35"/>
      <c r="EX6" s="35"/>
      <c r="EY6" s="35"/>
      <c r="EZ6" s="35"/>
      <c r="FA6" s="35"/>
      <c r="FB6" s="35"/>
      <c r="FC6" s="35"/>
      <c r="FD6" s="35"/>
      <c r="FE6" s="35"/>
      <c r="FF6" s="35"/>
      <c r="FG6" s="35"/>
      <c r="FH6" s="35"/>
      <c r="FI6" s="35"/>
      <c r="FJ6" s="35"/>
      <c r="FK6" s="35"/>
      <c r="FL6" s="35"/>
      <c r="FM6" s="35"/>
      <c r="FN6" s="35"/>
      <c r="FO6" s="35"/>
      <c r="FP6" s="35"/>
      <c r="FQ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45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19</v>
      </c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45">
        <v>1000000.0</v>
      </c>
      <c r="R6" s="32"/>
      <c r="S6" s="32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IFERROR(__xludf.DUMMYFUNCTION("""COMPUTED_VALUE"""),"Rate(%)")</f>
        <v>Rate(%)</v>
      </c>
      <c r="AS5" s="29" t="str">
        <f>IFERROR(__xludf.DUMMYFUNCTION("""COMPUTED_VALUE"""),"SharesOutstandingPopUpQty")</f>
        <v>SharesOutstandingPopUpQty</v>
      </c>
      <c r="AT5" s="29" t="str">
        <f>IFERROR(__xludf.DUMMYFUNCTION("""COMPUTED_VALUE"""),"SharesOutstandingPopUp")</f>
        <v>SharesOutstandingPopUp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19</v>
      </c>
      <c r="C6" s="11" t="s">
        <v>20</v>
      </c>
      <c r="D6" s="11">
        <v>38000.0</v>
      </c>
      <c r="E6" s="11">
        <v>38000.0</v>
      </c>
      <c r="F6" s="8"/>
      <c r="G6" s="8"/>
      <c r="H6" s="8"/>
      <c r="I6" s="8"/>
      <c r="J6" s="11">
        <v>10.0</v>
      </c>
      <c r="K6" s="8"/>
      <c r="L6" s="8"/>
      <c r="M6" s="8"/>
      <c r="N6" s="8"/>
      <c r="O6" s="8"/>
      <c r="AK6" s="9" t="s">
        <v>46</v>
      </c>
      <c r="AL6" s="9" t="s">
        <v>47</v>
      </c>
      <c r="AT6" s="9" t="s">
        <v>48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/>
      <c r="FI5" s="29"/>
      <c r="FJ5" s="29"/>
      <c r="FK5" s="29"/>
      <c r="FL5" s="29"/>
      <c r="FM5" s="29"/>
      <c r="FN5" s="29"/>
      <c r="FO5" s="29"/>
      <c r="FP5" s="29"/>
      <c r="FQ5" s="29"/>
    </row>
    <row r="6" ht="15.75" customHeight="1">
      <c r="A6" s="31"/>
      <c r="B6" s="31"/>
      <c r="C6" s="38" t="s">
        <v>19</v>
      </c>
      <c r="D6" s="39">
        <v>1000.0</v>
      </c>
      <c r="E6" s="38" t="s">
        <v>21</v>
      </c>
      <c r="F6" s="38" t="s">
        <v>24</v>
      </c>
      <c r="G6" s="40">
        <v>10.0</v>
      </c>
      <c r="H6" s="38" t="s">
        <v>25</v>
      </c>
      <c r="I6" s="40">
        <v>0.0</v>
      </c>
      <c r="J6" s="32"/>
      <c r="K6" s="40">
        <v>0.0</v>
      </c>
      <c r="L6" s="32"/>
      <c r="M6" s="32"/>
      <c r="N6" s="39">
        <v>-10000.0</v>
      </c>
      <c r="O6" s="38" t="s">
        <v>26</v>
      </c>
      <c r="P6" s="40">
        <v>0.0</v>
      </c>
      <c r="Q6" s="39">
        <v>-10000.0</v>
      </c>
      <c r="R6" s="38" t="s">
        <v>27</v>
      </c>
      <c r="S6" s="38" t="s">
        <v>28</v>
      </c>
      <c r="T6" s="41" t="s">
        <v>29</v>
      </c>
      <c r="U6" s="41" t="s">
        <v>30</v>
      </c>
      <c r="V6" s="41" t="s">
        <v>31</v>
      </c>
      <c r="W6" s="41" t="s">
        <v>32</v>
      </c>
      <c r="X6" s="35"/>
      <c r="Y6" s="42">
        <v>1.0</v>
      </c>
      <c r="Z6" s="35"/>
      <c r="AA6" s="35"/>
      <c r="AB6" s="42">
        <v>0.0</v>
      </c>
      <c r="AC6" s="42">
        <v>0.0</v>
      </c>
      <c r="AD6" s="42">
        <v>0.0</v>
      </c>
      <c r="AE6" s="42">
        <v>0.0</v>
      </c>
      <c r="AF6" s="43">
        <v>1000.0</v>
      </c>
      <c r="AG6" s="42">
        <v>0.0</v>
      </c>
      <c r="AH6" s="42">
        <v>0.0</v>
      </c>
      <c r="AI6" s="42">
        <v>0.0</v>
      </c>
      <c r="AJ6" s="42">
        <v>0.0</v>
      </c>
      <c r="AK6" s="43">
        <v>-10000.0</v>
      </c>
      <c r="AL6" s="42">
        <v>1.0</v>
      </c>
      <c r="AM6" s="42">
        <v>1.0</v>
      </c>
      <c r="AN6" s="35" t="s">
        <v>20</v>
      </c>
      <c r="AO6" s="35"/>
      <c r="AP6" s="41" t="s">
        <v>25</v>
      </c>
      <c r="AQ6" s="41" t="s">
        <v>19</v>
      </c>
      <c r="AR6" s="42">
        <v>0.0</v>
      </c>
      <c r="AS6" s="35"/>
      <c r="AT6" s="35"/>
      <c r="AU6" s="35"/>
      <c r="AV6" s="42">
        <v>1.0</v>
      </c>
      <c r="AW6" s="43">
        <v>-10000.0</v>
      </c>
      <c r="AX6" s="42">
        <v>0.0</v>
      </c>
      <c r="AY6" s="42">
        <v>0.0</v>
      </c>
      <c r="AZ6" s="42">
        <v>0.0</v>
      </c>
      <c r="BA6" s="42">
        <v>-100.0</v>
      </c>
      <c r="BB6" s="35"/>
      <c r="BC6" s="42">
        <v>1.0</v>
      </c>
      <c r="BD6" s="43">
        <v>-10000.0</v>
      </c>
      <c r="BE6" s="41" t="s">
        <v>29</v>
      </c>
      <c r="BF6" s="41" t="s">
        <v>33</v>
      </c>
      <c r="BG6" s="41" t="s">
        <v>34</v>
      </c>
      <c r="BH6" s="41" t="s">
        <v>35</v>
      </c>
      <c r="BI6" s="42">
        <v>5.0</v>
      </c>
      <c r="BJ6" s="42">
        <v>0.0</v>
      </c>
      <c r="BK6" s="46">
        <v>1.0</v>
      </c>
      <c r="BL6" s="42">
        <v>0.0</v>
      </c>
      <c r="BM6" s="42">
        <v>0.0</v>
      </c>
      <c r="BN6" s="35"/>
      <c r="BO6" s="43">
        <v>-10000.0</v>
      </c>
      <c r="BP6" s="42">
        <v>0.0</v>
      </c>
      <c r="BQ6" s="41" t="s">
        <v>36</v>
      </c>
      <c r="BR6" s="41" t="s">
        <v>37</v>
      </c>
      <c r="BS6" s="42">
        <v>0.0</v>
      </c>
      <c r="BT6" s="42">
        <v>0.0</v>
      </c>
      <c r="BU6" s="41" t="s">
        <v>29</v>
      </c>
      <c r="BV6" s="35"/>
      <c r="BW6" s="42">
        <v>0.0</v>
      </c>
      <c r="BX6" s="42">
        <v>0.0</v>
      </c>
      <c r="BY6" s="42">
        <v>0.0</v>
      </c>
      <c r="BZ6" s="42">
        <v>0.0</v>
      </c>
      <c r="CA6" s="42">
        <v>0.0</v>
      </c>
      <c r="CB6" s="35"/>
      <c r="CC6" s="42">
        <v>0.0</v>
      </c>
      <c r="CD6" s="43">
        <v>-10000.0</v>
      </c>
      <c r="CE6" s="42">
        <v>0.0</v>
      </c>
      <c r="CF6" s="42">
        <v>0.0</v>
      </c>
      <c r="CG6" s="43">
        <v>-10000.0</v>
      </c>
      <c r="CH6" s="42">
        <v>-100.0</v>
      </c>
      <c r="CI6" s="42">
        <v>0.0</v>
      </c>
      <c r="CJ6" s="42">
        <v>0.0</v>
      </c>
      <c r="CK6" s="44" t="b">
        <v>0</v>
      </c>
      <c r="CL6" s="35"/>
      <c r="CM6" s="35"/>
      <c r="CN6" s="41" t="s">
        <v>19</v>
      </c>
      <c r="CO6" s="41" t="s">
        <v>19</v>
      </c>
      <c r="CP6" s="41" t="s">
        <v>38</v>
      </c>
      <c r="CQ6" s="35"/>
      <c r="CR6" s="35"/>
      <c r="CS6" s="42">
        <v>10.0</v>
      </c>
      <c r="CT6" s="35"/>
      <c r="CU6" s="35"/>
      <c r="CV6" s="35"/>
      <c r="CW6" s="35"/>
      <c r="CX6" s="35"/>
      <c r="CY6" s="41" t="s">
        <v>39</v>
      </c>
      <c r="CZ6" s="41" t="s">
        <v>40</v>
      </c>
      <c r="DA6" s="42">
        <v>0.0</v>
      </c>
      <c r="DB6" s="42">
        <v>0.0</v>
      </c>
      <c r="DC6" s="42"/>
      <c r="DD6" s="43">
        <v>1000.0</v>
      </c>
      <c r="DE6" s="42">
        <v>0.0</v>
      </c>
      <c r="DF6" s="42">
        <v>0.0</v>
      </c>
      <c r="DG6" s="42">
        <v>0.0</v>
      </c>
      <c r="DH6" s="42">
        <v>0.0</v>
      </c>
      <c r="DI6" s="42">
        <v>0.0</v>
      </c>
      <c r="DJ6" s="41" t="s">
        <v>20</v>
      </c>
      <c r="DK6" s="42">
        <v>0.0</v>
      </c>
      <c r="DL6" s="42">
        <v>0.0</v>
      </c>
      <c r="DM6" s="42">
        <v>1.0</v>
      </c>
      <c r="DN6" s="42">
        <v>0.0</v>
      </c>
      <c r="DO6" s="35"/>
      <c r="DP6" s="41" t="s">
        <v>25</v>
      </c>
      <c r="DQ6" s="41" t="s">
        <v>41</v>
      </c>
      <c r="DR6" s="41" t="s">
        <v>42</v>
      </c>
      <c r="DS6" s="41" t="s">
        <v>41</v>
      </c>
      <c r="DT6" s="41" t="s">
        <v>41</v>
      </c>
      <c r="DU6" s="41" t="s">
        <v>43</v>
      </c>
      <c r="DV6" s="41" t="s">
        <v>41</v>
      </c>
      <c r="DW6" s="41" t="s">
        <v>41</v>
      </c>
      <c r="DX6" s="41" t="s">
        <v>41</v>
      </c>
      <c r="DY6" s="41" t="s">
        <v>41</v>
      </c>
      <c r="DZ6" s="41" t="s">
        <v>26</v>
      </c>
      <c r="EA6" s="41" t="s">
        <v>43</v>
      </c>
      <c r="EB6" s="41" t="s">
        <v>41</v>
      </c>
      <c r="EC6" s="41" t="s">
        <v>41</v>
      </c>
      <c r="ED6" s="41" t="s">
        <v>32</v>
      </c>
      <c r="EE6" s="41" t="s">
        <v>44</v>
      </c>
      <c r="EF6" s="42">
        <v>0.0</v>
      </c>
      <c r="EG6" s="42">
        <v>0.0</v>
      </c>
      <c r="EH6" s="42">
        <v>0.0</v>
      </c>
      <c r="EI6" s="42">
        <v>0.0</v>
      </c>
      <c r="EJ6" s="42">
        <v>0.0</v>
      </c>
      <c r="EK6" s="42">
        <v>0.0</v>
      </c>
      <c r="EL6" s="41" t="s">
        <v>25</v>
      </c>
      <c r="EM6" s="42">
        <v>0.0</v>
      </c>
      <c r="EN6" s="42">
        <v>0.0</v>
      </c>
      <c r="EO6" s="42">
        <v>0.0</v>
      </c>
      <c r="EP6" s="42"/>
      <c r="EQ6" s="42">
        <v>0.0</v>
      </c>
      <c r="ER6" s="42">
        <v>0.0</v>
      </c>
      <c r="ES6" s="35"/>
      <c r="ET6" s="35"/>
      <c r="EU6" s="42">
        <v>0.0</v>
      </c>
      <c r="EV6" s="41" t="s">
        <v>25</v>
      </c>
      <c r="EW6" s="35"/>
      <c r="EX6" s="35"/>
      <c r="EY6" s="35"/>
      <c r="EZ6" s="35"/>
      <c r="FA6" s="35"/>
      <c r="FB6" s="35"/>
      <c r="FC6" s="35"/>
      <c r="FD6" s="35"/>
      <c r="FE6" s="35"/>
      <c r="FF6" s="35"/>
      <c r="FG6" s="35"/>
      <c r="FH6" s="35"/>
      <c r="FI6" s="35"/>
      <c r="FJ6" s="35"/>
      <c r="FK6" s="35"/>
      <c r="FL6" s="35"/>
      <c r="FM6" s="35"/>
      <c r="FN6" s="35"/>
      <c r="FO6" s="35"/>
      <c r="FP6" s="35"/>
      <c r="FQ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IFERROR(__xludf.DUMMYFUNCTION("""COMPUTED_VALUE"""),"Rate(%)")</f>
        <v>Rate(%)</v>
      </c>
      <c r="AS5" s="29" t="str">
        <f>IFERROR(__xludf.DUMMYFUNCTION("""COMPUTED_VALUE"""),"SharesOutstandingPopUpQty")</f>
        <v>SharesOutstandingPopUpQty</v>
      </c>
      <c r="AT5" s="29" t="str">
        <f>IFERROR(__xludf.DUMMYFUNCTION("""COMPUTED_VALUE"""),"SharesOutstandingPopUp")</f>
        <v>SharesOutstandingPopUp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19</v>
      </c>
      <c r="C6" s="11" t="s">
        <v>20</v>
      </c>
      <c r="D6" s="11">
        <v>38000.0</v>
      </c>
      <c r="E6" s="11">
        <v>38000.0</v>
      </c>
      <c r="F6" s="8"/>
      <c r="G6" s="8"/>
      <c r="H6" s="8"/>
      <c r="I6" s="8"/>
      <c r="J6" s="11">
        <v>10.0</v>
      </c>
      <c r="K6" s="8"/>
      <c r="L6" s="8"/>
      <c r="M6" s="8"/>
      <c r="N6" s="8"/>
      <c r="O6" s="8"/>
      <c r="AK6" s="9" t="s">
        <v>46</v>
      </c>
      <c r="AL6" s="9" t="s">
        <v>47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/>
      <c r="C6" s="32"/>
      <c r="D6" s="36">
        <v>10.0</v>
      </c>
      <c r="E6" s="32"/>
      <c r="F6" s="32"/>
      <c r="G6" s="32"/>
      <c r="H6" s="32" t="s">
        <v>31</v>
      </c>
      <c r="I6" s="32" t="s">
        <v>51</v>
      </c>
      <c r="J6" s="32" t="s">
        <v>19</v>
      </c>
      <c r="K6" s="32" t="s">
        <v>30</v>
      </c>
      <c r="L6" s="32"/>
      <c r="M6" s="32"/>
      <c r="N6" s="32"/>
      <c r="O6" s="32"/>
      <c r="P6" s="32"/>
      <c r="Q6" s="32"/>
      <c r="R6" s="32"/>
      <c r="S6" s="45">
        <v>0.0</v>
      </c>
      <c r="T6" s="37">
        <v>0.0</v>
      </c>
      <c r="U6" s="35" t="s">
        <v>32</v>
      </c>
      <c r="V6" s="35"/>
      <c r="W6" s="35"/>
      <c r="X6" s="35"/>
      <c r="Y6" s="35"/>
      <c r="Z6" s="35"/>
      <c r="AA6" s="35"/>
      <c r="AB6" s="35"/>
      <c r="AC6" s="35"/>
      <c r="AD6" s="37">
        <v>1.0</v>
      </c>
      <c r="AE6" s="35"/>
      <c r="AF6" s="35"/>
      <c r="AG6" s="35"/>
      <c r="AH6" s="35" t="s">
        <v>29</v>
      </c>
      <c r="AI6" s="35" t="s">
        <v>19</v>
      </c>
      <c r="AJ6" s="35" t="s">
        <v>20</v>
      </c>
      <c r="AK6" s="35" t="s">
        <v>52</v>
      </c>
      <c r="AL6" s="37">
        <v>1000.0</v>
      </c>
      <c r="AM6" s="37">
        <v>1000.0</v>
      </c>
      <c r="AN6" s="37">
        <v>100.0</v>
      </c>
      <c r="AO6" s="37">
        <v>1000.0</v>
      </c>
      <c r="AP6" s="35"/>
      <c r="AQ6" s="37">
        <v>10.0</v>
      </c>
      <c r="AR6" s="37">
        <v>10.0</v>
      </c>
      <c r="AS6" s="35" t="s">
        <v>37</v>
      </c>
      <c r="AT6" s="35" t="s">
        <v>21</v>
      </c>
      <c r="AU6" s="35" t="s">
        <v>53</v>
      </c>
      <c r="AV6" s="47">
        <v>10000.0</v>
      </c>
      <c r="AW6" s="47">
        <v>10000.0</v>
      </c>
      <c r="AX6" s="35"/>
      <c r="AY6" s="47">
        <v>1000.0</v>
      </c>
      <c r="AZ6" s="35"/>
      <c r="BA6" s="35" t="s">
        <v>36</v>
      </c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/>
      <c r="C7" s="35"/>
      <c r="D7" s="48">
        <v>10.0</v>
      </c>
      <c r="E7" s="35"/>
      <c r="F7" s="35"/>
      <c r="G7" s="32"/>
      <c r="H7" s="32" t="s">
        <v>31</v>
      </c>
      <c r="I7" s="32" t="s">
        <v>51</v>
      </c>
      <c r="J7" s="32" t="s">
        <v>19</v>
      </c>
      <c r="K7" s="32" t="s">
        <v>30</v>
      </c>
      <c r="L7" s="35"/>
      <c r="M7" s="35"/>
      <c r="N7" s="35"/>
      <c r="O7" s="35"/>
      <c r="P7" s="35"/>
      <c r="Q7" s="35"/>
      <c r="R7" s="35"/>
      <c r="S7" s="37">
        <v>0.0</v>
      </c>
      <c r="T7" s="37">
        <v>0.0</v>
      </c>
      <c r="U7" s="35" t="s">
        <v>32</v>
      </c>
      <c r="V7" s="35"/>
      <c r="W7" s="35"/>
      <c r="X7" s="35"/>
      <c r="Y7" s="35"/>
      <c r="Z7" s="35"/>
      <c r="AA7" s="35"/>
      <c r="AB7" s="35"/>
      <c r="AC7" s="35"/>
      <c r="AD7" s="37">
        <v>1.0</v>
      </c>
      <c r="AE7" s="35"/>
      <c r="AF7" s="35"/>
      <c r="AG7" s="35"/>
      <c r="AH7" s="35" t="s">
        <v>29</v>
      </c>
      <c r="AI7" s="35" t="s">
        <v>19</v>
      </c>
      <c r="AJ7" s="49" t="s">
        <v>20</v>
      </c>
      <c r="AK7" s="35" t="s">
        <v>52</v>
      </c>
      <c r="AL7" s="50">
        <v>38000.0</v>
      </c>
      <c r="AM7" s="50">
        <v>38000.0</v>
      </c>
      <c r="AN7" s="37">
        <v>100.0</v>
      </c>
      <c r="AO7" s="50">
        <v>38000.0</v>
      </c>
      <c r="AP7" s="35"/>
      <c r="AQ7" s="37">
        <v>10.0</v>
      </c>
      <c r="AR7" s="37">
        <v>10.0</v>
      </c>
      <c r="AS7" s="35" t="s">
        <v>37</v>
      </c>
      <c r="AT7" s="49" t="s">
        <v>54</v>
      </c>
      <c r="AU7" s="35" t="s">
        <v>53</v>
      </c>
      <c r="AV7" s="50">
        <v>380000.0</v>
      </c>
      <c r="AW7" s="50">
        <v>380000.0</v>
      </c>
      <c r="AX7" s="35"/>
      <c r="AY7" s="50">
        <v>38000.0</v>
      </c>
      <c r="AZ7" s="35"/>
      <c r="BA7" s="35" t="s">
        <v>36</v>
      </c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55</v>
      </c>
      <c r="D3" s="5" t="s">
        <v>9</v>
      </c>
      <c r="E3" s="22" t="s">
        <v>56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IFERROR(__xludf.DUMMYFUNCTION("""COMPUTED_VALUE"""),"AllocationAuditTrail")</f>
        <v>AllocationAuditTrail</v>
      </c>
      <c r="DS4" s="25" t="str">
        <f>IFERROR(__xludf.DUMMYFUNCTION("""COMPUTED_VALUE"""),"GetAuditTrailData")</f>
        <v>GetAuditTrailData</v>
      </c>
      <c r="DT4" s="25" t="str">
        <f>IFERROR(__xludf.DUMMYFUNCTION("""COMPUTED_VALUE"""),"CheckAuditTrailData")</f>
        <v>CheckAuditTrailData</v>
      </c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57</v>
      </c>
      <c r="C6" s="8"/>
      <c r="D6" s="11"/>
      <c r="E6" s="5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55</v>
      </c>
      <c r="D3" s="5" t="s">
        <v>9</v>
      </c>
      <c r="E3" s="22" t="s">
        <v>58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IFERROR(__xludf.DUMMYFUNCTION("""COMPUTED_VALUE"""),"AllocationAuditTrail")</f>
        <v>AllocationAuditTrail</v>
      </c>
      <c r="DS4" s="25" t="str">
        <f>IFERROR(__xludf.DUMMYFUNCTION("""COMPUTED_VALUE"""),"GetAuditTrailData")</f>
        <v>GetAuditTrailData</v>
      </c>
      <c r="DT4" s="25" t="str">
        <f>IFERROR(__xludf.DUMMYFUNCTION("""COMPUTED_VALUE"""),"CheckAuditTrailData")</f>
        <v>CheckAuditTrailData</v>
      </c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52" t="s">
        <v>21</v>
      </c>
      <c r="C6" s="32"/>
      <c r="D6" s="53">
        <v>0.0</v>
      </c>
      <c r="E6" s="54">
        <v>1000.0</v>
      </c>
      <c r="F6" s="32"/>
      <c r="G6" s="55" t="s">
        <v>29</v>
      </c>
      <c r="H6" s="53">
        <v>4.0</v>
      </c>
      <c r="I6" s="53">
        <v>5.0</v>
      </c>
      <c r="J6" s="8"/>
      <c r="K6" s="56">
        <v>10.0</v>
      </c>
      <c r="L6" s="53">
        <v>10.0</v>
      </c>
      <c r="M6" s="32"/>
      <c r="N6" s="32"/>
      <c r="O6" s="55" t="s">
        <v>37</v>
      </c>
      <c r="P6" s="32"/>
      <c r="Q6" s="53">
        <v>3.0</v>
      </c>
      <c r="R6" s="53">
        <v>0.0</v>
      </c>
      <c r="S6" s="57" t="s">
        <v>59</v>
      </c>
      <c r="T6" s="53">
        <v>0.0</v>
      </c>
      <c r="U6" s="56">
        <v>0.0</v>
      </c>
      <c r="V6" s="35"/>
      <c r="W6" s="35"/>
      <c r="X6" s="35"/>
      <c r="Y6" s="35"/>
      <c r="Z6" s="58" t="s">
        <v>32</v>
      </c>
      <c r="AB6" s="56">
        <v>1.0</v>
      </c>
      <c r="AC6" s="35"/>
      <c r="AD6" s="58" t="s">
        <v>31</v>
      </c>
      <c r="AE6" s="59">
        <v>1000.0</v>
      </c>
      <c r="AI6" s="9">
        <v>1.0</v>
      </c>
      <c r="AN6" s="58" t="s">
        <v>60</v>
      </c>
      <c r="AO6" s="35"/>
      <c r="AP6" s="58" t="s">
        <v>61</v>
      </c>
      <c r="AQ6" s="58" t="s">
        <v>60</v>
      </c>
      <c r="AR6" s="58" t="s">
        <v>61</v>
      </c>
      <c r="AT6" s="59">
        <v>10014.0056</v>
      </c>
      <c r="AU6" s="59">
        <v>10014.0056</v>
      </c>
      <c r="AW6" s="56">
        <v>0.0</v>
      </c>
      <c r="AX6" s="56">
        <v>0.0</v>
      </c>
      <c r="AY6" s="35" t="s">
        <v>53</v>
      </c>
      <c r="AZ6" s="56">
        <v>0.0</v>
      </c>
      <c r="BA6" s="35"/>
      <c r="BB6" s="35"/>
      <c r="BC6" s="56">
        <v>0.0</v>
      </c>
      <c r="BE6" s="59">
        <v>10000.0</v>
      </c>
      <c r="BF6" s="59">
        <v>10000.0</v>
      </c>
      <c r="BJ6" s="59">
        <v>1000.0</v>
      </c>
      <c r="BK6" s="56">
        <v>0.0</v>
      </c>
      <c r="BL6" s="35"/>
      <c r="BM6" s="58" t="s">
        <v>32</v>
      </c>
      <c r="BN6" s="35"/>
      <c r="BO6" s="58" t="s">
        <v>20</v>
      </c>
      <c r="BP6" s="56">
        <v>0.0</v>
      </c>
      <c r="BQ6" s="56">
        <v>0.0</v>
      </c>
      <c r="BT6" s="9" t="s">
        <v>19</v>
      </c>
      <c r="BU6" s="56">
        <v>3.0</v>
      </c>
      <c r="BV6" s="56">
        <v>0.0</v>
      </c>
      <c r="BW6" s="54">
        <v>14.0056</v>
      </c>
      <c r="BX6" s="56">
        <v>0.0</v>
      </c>
      <c r="CG6" s="56">
        <v>2.0</v>
      </c>
      <c r="CH6" s="58" t="s">
        <v>17</v>
      </c>
      <c r="CI6" s="58" t="s">
        <v>20</v>
      </c>
      <c r="CJ6" s="56">
        <v>0.0</v>
      </c>
      <c r="CK6" s="58" t="s">
        <v>30</v>
      </c>
      <c r="CL6" s="35"/>
      <c r="CM6" s="58" t="s">
        <v>19</v>
      </c>
      <c r="CN6" s="35" t="s">
        <v>36</v>
      </c>
    </row>
    <row r="7" ht="15.75" customHeight="1">
      <c r="A7" s="8"/>
      <c r="B7" s="52" t="s">
        <v>54</v>
      </c>
      <c r="C7" s="35"/>
      <c r="D7" s="56">
        <v>0.0</v>
      </c>
      <c r="E7" s="54">
        <v>38000.0</v>
      </c>
      <c r="F7" s="35"/>
      <c r="G7" s="60" t="s">
        <v>29</v>
      </c>
      <c r="H7" s="56">
        <v>4.0</v>
      </c>
      <c r="I7" s="56">
        <v>5.0</v>
      </c>
      <c r="J7" s="8"/>
      <c r="K7" s="56">
        <v>10.0</v>
      </c>
      <c r="L7" s="56">
        <v>10.0</v>
      </c>
      <c r="M7" s="35"/>
      <c r="N7" s="35"/>
      <c r="O7" s="60" t="s">
        <v>37</v>
      </c>
      <c r="P7" s="35"/>
      <c r="Q7" s="56">
        <v>3.0</v>
      </c>
      <c r="R7" s="56">
        <v>0.0</v>
      </c>
      <c r="S7" s="58" t="s">
        <v>59</v>
      </c>
      <c r="T7" s="56">
        <v>0.0</v>
      </c>
      <c r="U7" s="56">
        <v>0.0</v>
      </c>
      <c r="V7" s="35"/>
      <c r="W7" s="35"/>
      <c r="X7" s="35"/>
      <c r="Y7" s="35"/>
      <c r="Z7" s="58" t="s">
        <v>32</v>
      </c>
      <c r="AB7" s="56">
        <v>1.0</v>
      </c>
      <c r="AC7" s="35"/>
      <c r="AD7" s="58" t="s">
        <v>31</v>
      </c>
      <c r="AE7" s="59">
        <v>38000.0</v>
      </c>
      <c r="AI7" s="9">
        <v>1.0</v>
      </c>
      <c r="AN7" s="58" t="s">
        <v>60</v>
      </c>
      <c r="AO7" s="35"/>
      <c r="AP7" s="58" t="s">
        <v>61</v>
      </c>
      <c r="AQ7" s="58" t="s">
        <v>60</v>
      </c>
      <c r="AR7" s="58" t="s">
        <v>61</v>
      </c>
      <c r="AT7" s="59">
        <v>380014.2128</v>
      </c>
      <c r="AU7" s="59">
        <v>380014.2128</v>
      </c>
      <c r="AW7" s="56">
        <v>0.0</v>
      </c>
      <c r="AX7" s="56">
        <v>0.0</v>
      </c>
      <c r="AY7" s="35" t="s">
        <v>53</v>
      </c>
      <c r="AZ7" s="56">
        <v>0.0</v>
      </c>
      <c r="BA7" s="35"/>
      <c r="BB7" s="35"/>
      <c r="BC7" s="56">
        <v>0.0</v>
      </c>
      <c r="BE7" s="59">
        <v>380000.0</v>
      </c>
      <c r="BF7" s="59">
        <v>380000.0</v>
      </c>
      <c r="BJ7" s="59">
        <v>38000.0</v>
      </c>
      <c r="BK7" s="56">
        <v>0.0</v>
      </c>
      <c r="BL7" s="35"/>
      <c r="BM7" s="58" t="s">
        <v>32</v>
      </c>
      <c r="BN7" s="35"/>
      <c r="BO7" s="61" t="s">
        <v>20</v>
      </c>
      <c r="BP7" s="56">
        <v>0.0</v>
      </c>
      <c r="BQ7" s="56">
        <v>0.0</v>
      </c>
      <c r="BT7" s="9" t="s">
        <v>19</v>
      </c>
      <c r="BU7" s="56">
        <v>3.0</v>
      </c>
      <c r="BV7" s="56">
        <v>0.0</v>
      </c>
      <c r="BW7" s="54">
        <v>14.2128</v>
      </c>
      <c r="BX7" s="56">
        <v>0.0</v>
      </c>
      <c r="CG7" s="56">
        <v>2.0</v>
      </c>
      <c r="CH7" s="58" t="s">
        <v>17</v>
      </c>
      <c r="CI7" s="61" t="s">
        <v>20</v>
      </c>
      <c r="CJ7" s="56">
        <v>0.0</v>
      </c>
      <c r="CK7" s="58" t="s">
        <v>30</v>
      </c>
      <c r="CL7" s="35"/>
      <c r="CM7" s="58" t="s">
        <v>19</v>
      </c>
      <c r="CN7" s="35" t="s">
        <v>36</v>
      </c>
    </row>
    <row r="8" ht="15.75" customHeight="1">
      <c r="A8" s="8"/>
      <c r="B8" s="35"/>
      <c r="C8" s="35"/>
      <c r="D8" s="35"/>
      <c r="E8" s="58"/>
      <c r="F8" s="35"/>
      <c r="G8" s="35"/>
      <c r="H8" s="35"/>
      <c r="I8" s="35"/>
      <c r="J8" s="8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B8" s="35"/>
      <c r="AC8" s="35"/>
      <c r="AD8" s="35"/>
      <c r="AN8" s="35"/>
      <c r="AO8" s="35"/>
      <c r="AP8" s="35"/>
      <c r="AQ8" s="35"/>
      <c r="AR8" s="35"/>
      <c r="AT8" s="62"/>
      <c r="AU8" s="62"/>
      <c r="BE8" s="62"/>
      <c r="BF8" s="62"/>
      <c r="BJ8" s="62"/>
      <c r="BK8" s="35"/>
      <c r="BL8" s="35"/>
      <c r="BM8" s="35"/>
      <c r="BN8" s="35"/>
      <c r="BO8" s="35"/>
      <c r="BP8" s="35"/>
      <c r="BQ8" s="35"/>
      <c r="BU8" s="35"/>
      <c r="BV8" s="35"/>
      <c r="BW8" s="35"/>
      <c r="BX8" s="35"/>
      <c r="CG8" s="35"/>
      <c r="CH8" s="35"/>
      <c r="CI8" s="35"/>
      <c r="CJ8" s="35"/>
      <c r="CK8" s="35"/>
      <c r="CL8" s="35"/>
      <c r="CM8" s="35"/>
      <c r="CN8" s="35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AN9" s="35"/>
      <c r="AO9" s="35"/>
      <c r="AP9" s="35"/>
      <c r="AQ9" s="35"/>
      <c r="AR9" s="35"/>
      <c r="BE9" s="62"/>
      <c r="BF9" s="62"/>
      <c r="BK9" s="35"/>
      <c r="BL9" s="35"/>
      <c r="BM9" s="35"/>
      <c r="BN9" s="35"/>
      <c r="BO9" s="35"/>
      <c r="BP9" s="35"/>
      <c r="BQ9" s="35"/>
      <c r="BU9" s="35"/>
      <c r="BV9" s="35"/>
      <c r="BW9" s="35"/>
      <c r="BX9" s="3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BK10" s="35"/>
      <c r="BL10" s="35"/>
      <c r="BM10" s="35"/>
      <c r="BN10" s="35"/>
      <c r="BO10" s="35"/>
      <c r="BP10" s="35"/>
      <c r="BQ10" s="35"/>
      <c r="BU10" s="35"/>
      <c r="BV10" s="35"/>
      <c r="BW10" s="35"/>
      <c r="BX10" s="35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BK11" s="35"/>
      <c r="BL11" s="35"/>
      <c r="BM11" s="35"/>
      <c r="BN11" s="35"/>
      <c r="BO11" s="35"/>
      <c r="BP11" s="35"/>
      <c r="BQ11" s="35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/>
      <c r="FI5" s="29"/>
      <c r="FJ5" s="29"/>
      <c r="FK5" s="29"/>
      <c r="FL5" s="29"/>
      <c r="FM5" s="29"/>
      <c r="FN5" s="29"/>
      <c r="FO5" s="29"/>
      <c r="FP5" s="29"/>
      <c r="FQ5" s="29"/>
    </row>
    <row r="6" ht="15.75" customHeight="1">
      <c r="A6" s="11"/>
      <c r="B6" s="11"/>
      <c r="C6" s="52" t="s">
        <v>19</v>
      </c>
      <c r="D6" s="63">
        <v>1000.0</v>
      </c>
      <c r="E6" s="52" t="s">
        <v>21</v>
      </c>
      <c r="F6" s="52" t="s">
        <v>24</v>
      </c>
      <c r="G6" s="11">
        <v>10.0</v>
      </c>
      <c r="H6" s="52" t="s">
        <v>25</v>
      </c>
      <c r="I6" s="64">
        <v>0.0</v>
      </c>
      <c r="J6" s="8"/>
      <c r="K6" s="64">
        <v>0.0</v>
      </c>
      <c r="L6" s="8"/>
      <c r="M6" s="8"/>
      <c r="N6" s="63">
        <v>-10000.0</v>
      </c>
      <c r="O6" s="52" t="s">
        <v>26</v>
      </c>
      <c r="P6" s="64">
        <v>0.0</v>
      </c>
      <c r="Q6" s="63">
        <v>-10000.0</v>
      </c>
      <c r="S6" s="52" t="s">
        <v>28</v>
      </c>
      <c r="T6" s="52" t="s">
        <v>29</v>
      </c>
      <c r="U6" s="52" t="s">
        <v>30</v>
      </c>
      <c r="V6" s="52" t="s">
        <v>31</v>
      </c>
      <c r="W6" s="52" t="s">
        <v>32</v>
      </c>
      <c r="Y6" s="64">
        <v>1.0</v>
      </c>
      <c r="AB6" s="64">
        <v>0.0</v>
      </c>
      <c r="AC6" s="64">
        <v>0.0</v>
      </c>
      <c r="AD6" s="64">
        <v>0.0</v>
      </c>
      <c r="AE6" s="64">
        <v>0.0</v>
      </c>
      <c r="AF6" s="63">
        <v>1000.0</v>
      </c>
      <c r="AG6" s="64">
        <v>0.0</v>
      </c>
      <c r="AH6" s="64">
        <v>0.0</v>
      </c>
      <c r="AI6" s="64">
        <v>0.0</v>
      </c>
      <c r="AJ6" s="64">
        <v>0.0</v>
      </c>
      <c r="AK6" s="63">
        <v>-10000.0</v>
      </c>
      <c r="AL6" s="64">
        <v>1.0</v>
      </c>
      <c r="AM6" s="64">
        <v>1.0</v>
      </c>
      <c r="AN6" s="9" t="s">
        <v>20</v>
      </c>
      <c r="AP6" s="52" t="s">
        <v>25</v>
      </c>
      <c r="AQ6" s="52" t="s">
        <v>19</v>
      </c>
      <c r="AR6" s="64">
        <v>0.0</v>
      </c>
      <c r="AS6" s="64">
        <v>1.0</v>
      </c>
      <c r="AT6" s="52" t="s">
        <v>62</v>
      </c>
      <c r="AU6" s="52" t="s">
        <v>63</v>
      </c>
      <c r="AV6" s="64">
        <v>1.0</v>
      </c>
      <c r="AW6" s="63">
        <v>-10000.0</v>
      </c>
      <c r="AX6" s="64">
        <v>0.0</v>
      </c>
      <c r="AY6" s="64">
        <v>0.0</v>
      </c>
      <c r="AZ6" s="64">
        <v>0.0</v>
      </c>
      <c r="BA6" s="64">
        <v>-100.0</v>
      </c>
      <c r="BC6" s="64">
        <v>1.0</v>
      </c>
      <c r="BD6" s="63">
        <v>-10000.0</v>
      </c>
      <c r="BE6" s="52" t="s">
        <v>29</v>
      </c>
      <c r="BF6" s="52" t="s">
        <v>33</v>
      </c>
      <c r="BG6" s="52" t="s">
        <v>34</v>
      </c>
      <c r="BH6" s="52" t="s">
        <v>35</v>
      </c>
      <c r="BI6" s="64">
        <v>5.0</v>
      </c>
      <c r="BJ6" s="64">
        <v>0.0</v>
      </c>
      <c r="BK6" s="9">
        <v>1.0</v>
      </c>
      <c r="BL6" s="64">
        <v>0.0</v>
      </c>
      <c r="BM6" s="64">
        <v>0.0</v>
      </c>
      <c r="BO6" s="63">
        <v>-10000.0</v>
      </c>
      <c r="BP6" s="64">
        <v>0.0</v>
      </c>
      <c r="BQ6" s="52" t="s">
        <v>36</v>
      </c>
      <c r="BR6" s="52" t="s">
        <v>37</v>
      </c>
      <c r="BS6" s="64">
        <v>0.0</v>
      </c>
      <c r="BT6" s="64">
        <v>0.0</v>
      </c>
      <c r="BU6" s="52" t="s">
        <v>29</v>
      </c>
      <c r="BW6" s="64">
        <v>0.0</v>
      </c>
      <c r="BX6" s="64">
        <v>0.0</v>
      </c>
      <c r="BY6" s="64">
        <v>0.0</v>
      </c>
      <c r="BZ6" s="64">
        <v>0.0</v>
      </c>
      <c r="CA6" s="64">
        <v>0.0</v>
      </c>
      <c r="CB6" s="64"/>
      <c r="CC6" s="64">
        <v>0.0</v>
      </c>
      <c r="CD6" s="63">
        <v>-10000.0</v>
      </c>
      <c r="CE6" s="64">
        <v>0.0</v>
      </c>
      <c r="CF6" s="64">
        <v>0.0</v>
      </c>
      <c r="CG6" s="63">
        <v>-10000.0</v>
      </c>
      <c r="CH6" s="64">
        <v>-100.0</v>
      </c>
      <c r="CI6" s="64">
        <v>0.0</v>
      </c>
      <c r="CJ6" s="64">
        <v>0.0</v>
      </c>
      <c r="CK6" s="52" t="b">
        <v>0</v>
      </c>
      <c r="CN6" s="52" t="s">
        <v>19</v>
      </c>
      <c r="CO6" s="52" t="s">
        <v>19</v>
      </c>
      <c r="CP6" s="52" t="s">
        <v>38</v>
      </c>
      <c r="CS6" s="64">
        <v>10.0</v>
      </c>
      <c r="CY6" s="52" t="s">
        <v>39</v>
      </c>
      <c r="CZ6" s="52" t="s">
        <v>40</v>
      </c>
      <c r="DA6" s="64">
        <v>0.0</v>
      </c>
      <c r="DB6" s="64">
        <v>0.0</v>
      </c>
      <c r="DC6" s="64"/>
      <c r="DE6" s="64">
        <v>0.0</v>
      </c>
      <c r="DF6" s="64">
        <v>0.0</v>
      </c>
      <c r="DG6" s="64">
        <v>0.0</v>
      </c>
      <c r="DH6" s="64">
        <v>0.0</v>
      </c>
      <c r="DI6" s="64">
        <v>0.0</v>
      </c>
      <c r="DJ6" s="52" t="s">
        <v>20</v>
      </c>
      <c r="DK6" s="64">
        <v>0.0</v>
      </c>
      <c r="DL6" s="64">
        <v>0.0</v>
      </c>
      <c r="DM6" s="64">
        <v>1.0</v>
      </c>
      <c r="DN6" s="64">
        <v>0.0</v>
      </c>
      <c r="DP6" s="52" t="s">
        <v>25</v>
      </c>
      <c r="DQ6" s="52" t="s">
        <v>41</v>
      </c>
      <c r="DR6" s="52" t="s">
        <v>42</v>
      </c>
      <c r="DS6" s="52" t="s">
        <v>41</v>
      </c>
      <c r="DT6" s="52" t="s">
        <v>41</v>
      </c>
      <c r="DU6" s="52" t="s">
        <v>43</v>
      </c>
      <c r="DV6" s="52" t="s">
        <v>41</v>
      </c>
      <c r="DW6" s="52" t="s">
        <v>41</v>
      </c>
      <c r="DX6" s="52" t="s">
        <v>41</v>
      </c>
      <c r="DY6" s="52" t="s">
        <v>41</v>
      </c>
      <c r="DZ6" s="52" t="s">
        <v>26</v>
      </c>
      <c r="EA6" s="52" t="s">
        <v>43</v>
      </c>
      <c r="EB6" s="52" t="s">
        <v>41</v>
      </c>
      <c r="EC6" s="52" t="s">
        <v>41</v>
      </c>
      <c r="ED6" s="52" t="s">
        <v>32</v>
      </c>
      <c r="EE6" s="52" t="s">
        <v>44</v>
      </c>
      <c r="EF6" s="64">
        <v>0.0</v>
      </c>
      <c r="EG6" s="64">
        <v>0.0</v>
      </c>
      <c r="EH6" s="64">
        <v>0.0</v>
      </c>
      <c r="EI6" s="64">
        <v>0.0</v>
      </c>
      <c r="EJ6" s="64">
        <v>0.0</v>
      </c>
      <c r="EK6" s="64">
        <v>0.0</v>
      </c>
      <c r="EL6" s="52" t="s">
        <v>25</v>
      </c>
      <c r="EM6" s="64">
        <v>0.0</v>
      </c>
      <c r="EN6" s="64">
        <v>0.0</v>
      </c>
    </row>
    <row r="7" ht="15.75" customHeight="1">
      <c r="A7" s="8"/>
      <c r="B7" s="8"/>
      <c r="C7" s="52" t="s">
        <v>19</v>
      </c>
      <c r="D7" s="63">
        <v>19000.0</v>
      </c>
      <c r="E7" s="52" t="s">
        <v>21</v>
      </c>
      <c r="F7" s="52" t="s">
        <v>24</v>
      </c>
      <c r="G7" s="11">
        <v>10.0</v>
      </c>
      <c r="H7" s="52" t="s">
        <v>25</v>
      </c>
      <c r="I7" s="64">
        <v>0.0</v>
      </c>
      <c r="J7" s="8"/>
      <c r="K7" s="64">
        <v>0.0</v>
      </c>
      <c r="L7" s="8"/>
      <c r="M7" s="8"/>
      <c r="N7" s="63">
        <v>-190000.0</v>
      </c>
      <c r="O7" s="52" t="s">
        <v>26</v>
      </c>
      <c r="P7" s="64">
        <v>0.0</v>
      </c>
      <c r="Q7" s="63">
        <v>-190000.0</v>
      </c>
      <c r="S7" s="52" t="s">
        <v>28</v>
      </c>
      <c r="T7" s="52" t="s">
        <v>29</v>
      </c>
      <c r="U7" s="52" t="s">
        <v>30</v>
      </c>
      <c r="V7" s="52" t="s">
        <v>31</v>
      </c>
      <c r="W7" s="52" t="s">
        <v>32</v>
      </c>
      <c r="Y7" s="64">
        <v>1.0</v>
      </c>
      <c r="AB7" s="64">
        <v>0.0</v>
      </c>
      <c r="AC7" s="64">
        <v>0.0</v>
      </c>
      <c r="AD7" s="64">
        <v>0.0</v>
      </c>
      <c r="AE7" s="64">
        <v>0.0</v>
      </c>
      <c r="AF7" s="63">
        <v>19000.0</v>
      </c>
      <c r="AG7" s="64">
        <v>0.0</v>
      </c>
      <c r="AH7" s="64">
        <v>0.0</v>
      </c>
      <c r="AI7" s="64">
        <v>0.0</v>
      </c>
      <c r="AJ7" s="64">
        <v>0.0</v>
      </c>
      <c r="AK7" s="63">
        <v>-190000.0</v>
      </c>
      <c r="AL7" s="64">
        <v>1.0</v>
      </c>
      <c r="AM7" s="64">
        <v>1.0</v>
      </c>
      <c r="AN7" s="9" t="s">
        <v>20</v>
      </c>
      <c r="AP7" s="52" t="s">
        <v>25</v>
      </c>
      <c r="AQ7" s="52" t="s">
        <v>19</v>
      </c>
      <c r="AR7" s="64">
        <v>0.0</v>
      </c>
      <c r="AS7" s="64">
        <v>1.0</v>
      </c>
      <c r="AT7" s="52" t="s">
        <v>62</v>
      </c>
      <c r="AU7" s="52" t="s">
        <v>63</v>
      </c>
      <c r="AV7" s="64">
        <v>1.0</v>
      </c>
      <c r="AW7" s="63">
        <v>-190000.0</v>
      </c>
      <c r="AX7" s="64">
        <v>0.0</v>
      </c>
      <c r="AY7" s="64">
        <v>0.0</v>
      </c>
      <c r="AZ7" s="64">
        <v>0.0</v>
      </c>
      <c r="BA7" s="64">
        <v>-100.0</v>
      </c>
      <c r="BC7" s="64">
        <v>1.0</v>
      </c>
      <c r="BD7" s="63">
        <v>-190000.0</v>
      </c>
      <c r="BE7" s="52" t="s">
        <v>29</v>
      </c>
      <c r="BF7" s="52" t="s">
        <v>33</v>
      </c>
      <c r="BG7" s="52" t="s">
        <v>34</v>
      </c>
      <c r="BH7" s="52" t="s">
        <v>35</v>
      </c>
      <c r="BI7" s="64">
        <v>5.0</v>
      </c>
      <c r="BJ7" s="64">
        <v>0.0</v>
      </c>
      <c r="BK7" s="9">
        <v>1.0</v>
      </c>
      <c r="BL7" s="64">
        <v>0.0</v>
      </c>
      <c r="BM7" s="64">
        <v>0.0</v>
      </c>
      <c r="BO7" s="63">
        <v>-190000.0</v>
      </c>
      <c r="BP7" s="64">
        <v>0.0</v>
      </c>
      <c r="BQ7" s="52" t="s">
        <v>36</v>
      </c>
      <c r="BR7" s="52" t="s">
        <v>37</v>
      </c>
      <c r="BS7" s="64">
        <v>0.0</v>
      </c>
      <c r="BT7" s="64">
        <v>0.0</v>
      </c>
      <c r="BU7" s="52" t="s">
        <v>29</v>
      </c>
      <c r="BW7" s="64">
        <v>0.0</v>
      </c>
      <c r="BX7" s="64">
        <v>0.0</v>
      </c>
      <c r="BY7" s="64">
        <v>0.0</v>
      </c>
      <c r="BZ7" s="64">
        <v>0.0</v>
      </c>
      <c r="CA7" s="64">
        <v>0.0</v>
      </c>
      <c r="CB7" s="64"/>
      <c r="CC7" s="64">
        <v>0.0</v>
      </c>
      <c r="CD7" s="63">
        <v>-190000.0</v>
      </c>
      <c r="CE7" s="64">
        <v>0.0</v>
      </c>
      <c r="CF7" s="64">
        <v>0.0</v>
      </c>
      <c r="CG7" s="63">
        <v>-190000.0</v>
      </c>
      <c r="CH7" s="64">
        <v>-100.0</v>
      </c>
      <c r="CI7" s="64">
        <v>0.0</v>
      </c>
      <c r="CJ7" s="64">
        <v>0.0</v>
      </c>
      <c r="CK7" s="52" t="b">
        <v>0</v>
      </c>
      <c r="CN7" s="52" t="s">
        <v>19</v>
      </c>
      <c r="CO7" s="52" t="s">
        <v>19</v>
      </c>
      <c r="CP7" s="52" t="s">
        <v>38</v>
      </c>
      <c r="CS7" s="64">
        <v>10.0</v>
      </c>
      <c r="CY7" s="52" t="s">
        <v>39</v>
      </c>
      <c r="CZ7" s="52" t="s">
        <v>40</v>
      </c>
      <c r="DA7" s="64">
        <v>0.0</v>
      </c>
      <c r="DB7" s="64">
        <v>0.0</v>
      </c>
      <c r="DC7" s="64"/>
      <c r="DE7" s="64">
        <v>0.0</v>
      </c>
      <c r="DF7" s="64">
        <v>0.0</v>
      </c>
      <c r="DG7" s="64">
        <v>0.0</v>
      </c>
      <c r="DH7" s="64">
        <v>0.0</v>
      </c>
      <c r="DI7" s="64">
        <v>0.0</v>
      </c>
      <c r="DJ7" s="52" t="s">
        <v>20</v>
      </c>
      <c r="DK7" s="64">
        <v>0.0</v>
      </c>
      <c r="DL7" s="64">
        <v>0.0</v>
      </c>
      <c r="DM7" s="64">
        <v>1.0</v>
      </c>
      <c r="DN7" s="64">
        <v>0.0</v>
      </c>
      <c r="DP7" s="52" t="s">
        <v>25</v>
      </c>
      <c r="DQ7" s="52" t="s">
        <v>41</v>
      </c>
      <c r="DR7" s="52" t="s">
        <v>42</v>
      </c>
      <c r="DS7" s="52" t="s">
        <v>41</v>
      </c>
      <c r="DT7" s="52" t="s">
        <v>41</v>
      </c>
      <c r="DU7" s="52" t="s">
        <v>43</v>
      </c>
      <c r="DV7" s="52" t="s">
        <v>41</v>
      </c>
      <c r="DW7" s="52" t="s">
        <v>41</v>
      </c>
      <c r="DX7" s="52" t="s">
        <v>41</v>
      </c>
      <c r="DY7" s="52" t="s">
        <v>41</v>
      </c>
      <c r="DZ7" s="52" t="s">
        <v>26</v>
      </c>
      <c r="EA7" s="52" t="s">
        <v>43</v>
      </c>
      <c r="EB7" s="52" t="s">
        <v>41</v>
      </c>
      <c r="EC7" s="52" t="s">
        <v>41</v>
      </c>
      <c r="ED7" s="52" t="s">
        <v>32</v>
      </c>
      <c r="EE7" s="52" t="s">
        <v>44</v>
      </c>
      <c r="EF7" s="64">
        <v>0.0</v>
      </c>
      <c r="EG7" s="64">
        <v>0.0</v>
      </c>
      <c r="EH7" s="64">
        <v>0.0</v>
      </c>
      <c r="EI7" s="64">
        <v>0.0</v>
      </c>
      <c r="EJ7" s="64">
        <v>0.0</v>
      </c>
      <c r="EK7" s="64">
        <v>0.0</v>
      </c>
      <c r="EL7" s="52" t="s">
        <v>25</v>
      </c>
      <c r="EM7" s="64">
        <v>0.0</v>
      </c>
      <c r="EN7" s="64">
        <v>0.0</v>
      </c>
    </row>
    <row r="8" ht="15.75" customHeight="1">
      <c r="A8" s="8"/>
      <c r="B8" s="8"/>
      <c r="C8" s="52" t="s">
        <v>19</v>
      </c>
      <c r="D8" s="63">
        <v>19000.0</v>
      </c>
      <c r="E8" s="52" t="s">
        <v>64</v>
      </c>
      <c r="F8" s="52" t="s">
        <v>65</v>
      </c>
      <c r="G8" s="11">
        <v>10.0</v>
      </c>
      <c r="H8" s="52" t="s">
        <v>25</v>
      </c>
      <c r="I8" s="64">
        <v>0.0</v>
      </c>
      <c r="J8" s="8"/>
      <c r="K8" s="64">
        <v>0.0</v>
      </c>
      <c r="L8" s="8"/>
      <c r="M8" s="8"/>
      <c r="N8" s="63">
        <v>-190000.0</v>
      </c>
      <c r="O8" s="52" t="s">
        <v>26</v>
      </c>
      <c r="P8" s="64">
        <v>0.0</v>
      </c>
      <c r="Q8" s="63">
        <v>-190000.0</v>
      </c>
      <c r="S8" s="52" t="s">
        <v>28</v>
      </c>
      <c r="T8" s="52" t="s">
        <v>29</v>
      </c>
      <c r="U8" s="52" t="s">
        <v>30</v>
      </c>
      <c r="V8" s="52" t="s">
        <v>31</v>
      </c>
      <c r="W8" s="52" t="s">
        <v>32</v>
      </c>
      <c r="Y8" s="64">
        <v>1.0</v>
      </c>
      <c r="AB8" s="64">
        <v>0.0</v>
      </c>
      <c r="AC8" s="64">
        <v>0.0</v>
      </c>
      <c r="AD8" s="64">
        <v>0.0</v>
      </c>
      <c r="AE8" s="64">
        <v>0.0</v>
      </c>
      <c r="AF8" s="63">
        <v>19000.0</v>
      </c>
      <c r="AG8" s="64">
        <v>0.0</v>
      </c>
      <c r="AH8" s="64">
        <v>0.0</v>
      </c>
      <c r="AI8" s="64">
        <v>0.0</v>
      </c>
      <c r="AJ8" s="64">
        <v>0.0</v>
      </c>
      <c r="AK8" s="63">
        <v>-190000.0</v>
      </c>
      <c r="AL8" s="64">
        <v>1.0</v>
      </c>
      <c r="AM8" s="64">
        <v>1.0</v>
      </c>
      <c r="AN8" s="9" t="s">
        <v>20</v>
      </c>
      <c r="AP8" s="52" t="s">
        <v>25</v>
      </c>
      <c r="AQ8" s="52" t="s">
        <v>19</v>
      </c>
      <c r="AR8" s="64">
        <v>0.0</v>
      </c>
      <c r="AS8" s="64">
        <v>1.0</v>
      </c>
      <c r="AT8" s="52" t="s">
        <v>62</v>
      </c>
      <c r="AU8" s="52" t="s">
        <v>63</v>
      </c>
      <c r="AV8" s="64">
        <v>1.0</v>
      </c>
      <c r="AW8" s="63">
        <v>-190000.0</v>
      </c>
      <c r="AX8" s="64">
        <v>0.0</v>
      </c>
      <c r="AY8" s="64">
        <v>0.0</v>
      </c>
      <c r="AZ8" s="64">
        <v>0.0</v>
      </c>
      <c r="BA8" s="64">
        <v>-100.0</v>
      </c>
      <c r="BC8" s="64">
        <v>1.0</v>
      </c>
      <c r="BD8" s="63">
        <v>-190000.0</v>
      </c>
      <c r="BE8" s="52" t="s">
        <v>29</v>
      </c>
      <c r="BF8" s="52" t="s">
        <v>33</v>
      </c>
      <c r="BG8" s="52" t="s">
        <v>34</v>
      </c>
      <c r="BH8" s="52" t="s">
        <v>35</v>
      </c>
      <c r="BI8" s="64">
        <v>5.0</v>
      </c>
      <c r="BJ8" s="64">
        <v>0.0</v>
      </c>
      <c r="BK8" s="9">
        <v>1.0</v>
      </c>
      <c r="BL8" s="64">
        <v>0.0</v>
      </c>
      <c r="BM8" s="64">
        <v>0.0</v>
      </c>
      <c r="BO8" s="63">
        <v>-190000.0</v>
      </c>
      <c r="BP8" s="64">
        <v>0.0</v>
      </c>
      <c r="BQ8" s="52" t="s">
        <v>36</v>
      </c>
      <c r="BR8" s="52" t="s">
        <v>37</v>
      </c>
      <c r="BS8" s="64">
        <v>0.0</v>
      </c>
      <c r="BT8" s="64">
        <v>0.0</v>
      </c>
      <c r="BU8" s="52" t="s">
        <v>29</v>
      </c>
      <c r="BW8" s="64">
        <v>0.0</v>
      </c>
      <c r="BX8" s="64">
        <v>0.0</v>
      </c>
      <c r="BY8" s="64">
        <v>0.0</v>
      </c>
      <c r="BZ8" s="64">
        <v>0.0</v>
      </c>
      <c r="CA8" s="64">
        <v>0.0</v>
      </c>
      <c r="CB8" s="64"/>
      <c r="CC8" s="64">
        <v>0.0</v>
      </c>
      <c r="CD8" s="63">
        <v>-190000.0</v>
      </c>
      <c r="CE8" s="64">
        <v>0.0</v>
      </c>
      <c r="CF8" s="64">
        <v>0.0</v>
      </c>
      <c r="CG8" s="63">
        <v>-190000.0</v>
      </c>
      <c r="CH8" s="64">
        <v>-100.0</v>
      </c>
      <c r="CI8" s="64">
        <v>0.0</v>
      </c>
      <c r="CJ8" s="64">
        <v>0.0</v>
      </c>
      <c r="CK8" s="52" t="b">
        <v>0</v>
      </c>
      <c r="CN8" s="52" t="s">
        <v>19</v>
      </c>
      <c r="CO8" s="52" t="s">
        <v>19</v>
      </c>
      <c r="CP8" s="52" t="s">
        <v>38</v>
      </c>
      <c r="CS8" s="64">
        <v>10.0</v>
      </c>
      <c r="CY8" s="52" t="s">
        <v>39</v>
      </c>
      <c r="CZ8" s="52" t="s">
        <v>40</v>
      </c>
      <c r="DA8" s="64">
        <v>0.0</v>
      </c>
      <c r="DB8" s="64">
        <v>0.0</v>
      </c>
      <c r="DC8" s="64"/>
      <c r="DE8" s="64">
        <v>0.0</v>
      </c>
      <c r="DF8" s="64">
        <v>0.0</v>
      </c>
      <c r="DG8" s="64">
        <v>0.0</v>
      </c>
      <c r="DH8" s="64">
        <v>0.0</v>
      </c>
      <c r="DI8" s="64">
        <v>0.0</v>
      </c>
      <c r="DJ8" s="52" t="s">
        <v>20</v>
      </c>
      <c r="DK8" s="64">
        <v>0.0</v>
      </c>
      <c r="DL8" s="64">
        <v>0.0</v>
      </c>
      <c r="DM8" s="64">
        <v>1.0</v>
      </c>
      <c r="DN8" s="64">
        <v>0.0</v>
      </c>
      <c r="DP8" s="52" t="s">
        <v>25</v>
      </c>
      <c r="DQ8" s="52" t="s">
        <v>41</v>
      </c>
      <c r="DR8" s="52" t="s">
        <v>42</v>
      </c>
      <c r="DS8" s="52" t="s">
        <v>41</v>
      </c>
      <c r="DT8" s="52" t="s">
        <v>41</v>
      </c>
      <c r="DU8" s="52" t="s">
        <v>43</v>
      </c>
      <c r="DV8" s="52" t="s">
        <v>41</v>
      </c>
      <c r="DW8" s="52" t="s">
        <v>41</v>
      </c>
      <c r="DX8" s="52" t="s">
        <v>41</v>
      </c>
      <c r="DY8" s="52" t="s">
        <v>41</v>
      </c>
      <c r="DZ8" s="52" t="s">
        <v>26</v>
      </c>
      <c r="EA8" s="52" t="s">
        <v>43</v>
      </c>
      <c r="EB8" s="52" t="s">
        <v>41</v>
      </c>
      <c r="EC8" s="52" t="s">
        <v>41</v>
      </c>
      <c r="ED8" s="52" t="s">
        <v>32</v>
      </c>
      <c r="EE8" s="52" t="s">
        <v>44</v>
      </c>
      <c r="EF8" s="64">
        <v>0.0</v>
      </c>
      <c r="EG8" s="64">
        <v>0.0</v>
      </c>
      <c r="EH8" s="64">
        <v>0.0</v>
      </c>
      <c r="EI8" s="64">
        <v>0.0</v>
      </c>
      <c r="EJ8" s="64">
        <v>0.0</v>
      </c>
      <c r="EK8" s="64">
        <v>0.0</v>
      </c>
      <c r="EL8" s="52" t="s">
        <v>25</v>
      </c>
      <c r="EM8" s="64">
        <v>0.0</v>
      </c>
      <c r="EN8" s="64">
        <v>0.0</v>
      </c>
    </row>
    <row r="9" ht="15.75" customHeight="1">
      <c r="A9" s="8"/>
      <c r="B9" s="8"/>
      <c r="C9" s="8"/>
      <c r="D9" s="8"/>
      <c r="E9" s="8"/>
      <c r="F9" s="62"/>
      <c r="G9" s="8"/>
      <c r="H9" s="62"/>
      <c r="I9" s="62"/>
      <c r="J9" s="8"/>
      <c r="K9" s="62"/>
      <c r="L9" s="8"/>
      <c r="M9" s="8"/>
      <c r="N9" s="62"/>
      <c r="O9" s="62"/>
      <c r="P9" s="62"/>
      <c r="Q9" s="62"/>
      <c r="S9" s="62"/>
      <c r="T9" s="62"/>
      <c r="U9" s="62"/>
      <c r="V9" s="62"/>
      <c r="W9" s="62"/>
      <c r="Y9" s="62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62"/>
      <c r="AP9" s="62"/>
      <c r="AQ9" s="62"/>
      <c r="AR9" s="62"/>
      <c r="AS9" s="62"/>
      <c r="AT9" s="62"/>
      <c r="AU9" s="62"/>
      <c r="AV9" s="62"/>
      <c r="AW9" s="62"/>
      <c r="AX9" s="62"/>
      <c r="AY9" s="62"/>
      <c r="AZ9" s="62"/>
      <c r="BA9" s="62"/>
      <c r="BC9" s="62"/>
      <c r="BD9" s="62"/>
      <c r="BE9" s="62"/>
      <c r="BF9" s="62"/>
      <c r="BG9" s="62"/>
      <c r="BH9" s="62"/>
      <c r="BL9" s="62"/>
      <c r="BM9" s="62"/>
      <c r="BO9" s="62"/>
      <c r="BP9" s="62"/>
      <c r="BQ9" s="62"/>
      <c r="BR9" s="62"/>
      <c r="BS9" s="62"/>
      <c r="BT9" s="62"/>
      <c r="BU9" s="62"/>
      <c r="BW9" s="62"/>
      <c r="BX9" s="62"/>
      <c r="BY9" s="62"/>
      <c r="BZ9" s="62"/>
      <c r="CA9" s="62"/>
      <c r="CB9" s="62"/>
      <c r="CC9" s="62"/>
      <c r="CD9" s="62"/>
      <c r="CE9" s="62"/>
      <c r="CF9" s="62"/>
      <c r="CG9" s="62"/>
      <c r="CH9" s="62"/>
      <c r="CI9" s="62"/>
      <c r="CJ9" s="62"/>
      <c r="CK9" s="62"/>
      <c r="CN9" s="62"/>
      <c r="CO9" s="62"/>
      <c r="CP9" s="62"/>
      <c r="CS9" s="62"/>
      <c r="CY9" s="62"/>
      <c r="CZ9" s="62"/>
      <c r="DA9" s="62"/>
      <c r="DB9" s="62"/>
      <c r="DC9" s="62"/>
      <c r="DE9" s="62"/>
      <c r="DF9" s="62"/>
      <c r="DG9" s="62"/>
      <c r="DH9" s="62"/>
      <c r="DI9" s="62"/>
      <c r="DJ9" s="62"/>
      <c r="DK9" s="62"/>
      <c r="DL9" s="62"/>
      <c r="DM9" s="62"/>
      <c r="DN9" s="62"/>
      <c r="DP9" s="62"/>
      <c r="DQ9" s="62"/>
      <c r="DR9" s="62"/>
      <c r="DS9" s="62"/>
      <c r="DT9" s="62"/>
      <c r="DU9" s="62"/>
      <c r="DV9" s="62"/>
      <c r="DW9" s="62"/>
      <c r="DX9" s="62"/>
      <c r="DY9" s="62"/>
      <c r="DZ9" s="62"/>
      <c r="EA9" s="62"/>
      <c r="EB9" s="62"/>
      <c r="EC9" s="62"/>
      <c r="ED9" s="62"/>
      <c r="EE9" s="62"/>
      <c r="EF9" s="62"/>
      <c r="EG9" s="62"/>
      <c r="EH9" s="62"/>
      <c r="EI9" s="62"/>
      <c r="EJ9" s="62"/>
      <c r="EK9" s="62"/>
      <c r="EL9" s="62"/>
      <c r="EM9" s="62"/>
      <c r="EN9" s="62"/>
    </row>
    <row r="10" ht="15.75" customHeight="1">
      <c r="A10" s="8"/>
      <c r="B10" s="8"/>
      <c r="C10" s="8"/>
      <c r="D10" s="8"/>
      <c r="E10" s="8"/>
      <c r="F10" s="62"/>
      <c r="G10" s="8"/>
      <c r="H10" s="8"/>
      <c r="I10" s="8"/>
      <c r="J10" s="8"/>
      <c r="K10" s="8"/>
      <c r="L10" s="8"/>
      <c r="M10" s="8"/>
      <c r="N10" s="8"/>
      <c r="O10" s="8"/>
      <c r="S10" s="62"/>
      <c r="T10" s="62"/>
      <c r="U10" s="62"/>
      <c r="V10" s="62"/>
      <c r="W10" s="62"/>
      <c r="X10" s="62"/>
      <c r="AJ10" s="62"/>
      <c r="AK10" s="62"/>
      <c r="AL10" s="62"/>
      <c r="AM10" s="62"/>
      <c r="AP10" s="62"/>
      <c r="AQ10" s="62"/>
      <c r="AR10" s="62"/>
      <c r="AS10" s="62"/>
      <c r="AT10" s="62"/>
      <c r="AU10" s="62"/>
      <c r="AV10" s="62"/>
      <c r="AW10" s="62"/>
      <c r="AX10" s="62"/>
      <c r="AY10" s="62"/>
      <c r="AZ10" s="62"/>
      <c r="BA10" s="62"/>
      <c r="BC10" s="62"/>
      <c r="BD10" s="62"/>
      <c r="BE10" s="62"/>
      <c r="BF10" s="62"/>
      <c r="BG10" s="62"/>
      <c r="BH10" s="62"/>
      <c r="BL10" s="62"/>
      <c r="BM10" s="62"/>
      <c r="BO10" s="62"/>
      <c r="BP10" s="62"/>
      <c r="BQ10" s="62"/>
      <c r="BR10" s="62"/>
      <c r="BS10" s="62"/>
      <c r="BT10" s="62"/>
      <c r="BU10" s="62"/>
      <c r="BW10" s="62"/>
      <c r="BX10" s="62"/>
      <c r="BY10" s="62"/>
      <c r="BZ10" s="62"/>
      <c r="CA10" s="62"/>
      <c r="CB10" s="62"/>
      <c r="CC10" s="62"/>
      <c r="CD10" s="62"/>
      <c r="CE10" s="62"/>
      <c r="CF10" s="62"/>
      <c r="CG10" s="62"/>
      <c r="CH10" s="62"/>
      <c r="CI10" s="62"/>
      <c r="CJ10" s="62"/>
      <c r="CK10" s="62"/>
      <c r="CN10" s="62"/>
      <c r="CO10" s="62"/>
      <c r="CP10" s="62"/>
      <c r="CS10" s="62"/>
      <c r="CY10" s="62"/>
      <c r="CZ10" s="62"/>
      <c r="DA10" s="62"/>
      <c r="DB10" s="62"/>
      <c r="DC10" s="62"/>
      <c r="DE10" s="62"/>
      <c r="DF10" s="62"/>
      <c r="DG10" s="62"/>
      <c r="DH10" s="62"/>
      <c r="DI10" s="62"/>
      <c r="DJ10" s="62"/>
      <c r="DK10" s="62"/>
      <c r="DL10" s="62"/>
      <c r="DM10" s="62"/>
      <c r="DN10" s="62"/>
      <c r="DP10" s="62"/>
      <c r="DQ10" s="62"/>
      <c r="DR10" s="62"/>
      <c r="DS10" s="62"/>
      <c r="DT10" s="62"/>
      <c r="DU10" s="62"/>
      <c r="DV10" s="62"/>
      <c r="DW10" s="62"/>
      <c r="DX10" s="62"/>
      <c r="DY10" s="62"/>
      <c r="DZ10" s="62"/>
      <c r="EA10" s="62"/>
      <c r="EB10" s="62"/>
      <c r="EC10" s="62"/>
      <c r="ED10" s="62"/>
      <c r="EE10" s="62"/>
      <c r="EF10" s="62"/>
      <c r="EG10" s="62"/>
      <c r="EH10" s="62"/>
      <c r="EI10" s="62"/>
      <c r="EJ10" s="62"/>
      <c r="EK10" s="62"/>
      <c r="EL10" s="62"/>
      <c r="EM10" s="62"/>
      <c r="EN10" s="62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AJ11" s="62"/>
      <c r="AK11" s="62"/>
      <c r="AL11" s="62"/>
      <c r="AM11" s="62"/>
      <c r="AP11" s="62"/>
      <c r="AQ11" s="62"/>
      <c r="AR11" s="62"/>
      <c r="AS11" s="62"/>
      <c r="AT11" s="62"/>
      <c r="AU11" s="62"/>
      <c r="AV11" s="62"/>
      <c r="AW11" s="62"/>
      <c r="BO11" s="62"/>
      <c r="BP11" s="62"/>
      <c r="BQ11" s="62"/>
      <c r="BR11" s="62"/>
      <c r="BS11" s="62"/>
      <c r="BT11" s="62"/>
      <c r="BU11" s="62"/>
      <c r="BW11" s="62"/>
      <c r="BX11" s="62"/>
      <c r="BY11" s="62"/>
      <c r="BZ11" s="62"/>
      <c r="CA11" s="62"/>
      <c r="CB11" s="62"/>
      <c r="CC11" s="62"/>
      <c r="CD11" s="62"/>
      <c r="CE11" s="62"/>
      <c r="CF11" s="62"/>
      <c r="CG11" s="62"/>
      <c r="CH11" s="62"/>
      <c r="CI11" s="62"/>
      <c r="CJ11" s="62"/>
      <c r="CK11" s="62"/>
      <c r="CS11" s="62"/>
      <c r="CY11" s="62"/>
      <c r="CZ11" s="62"/>
      <c r="DA11" s="62"/>
      <c r="DB11" s="62"/>
      <c r="DC11" s="62"/>
      <c r="DK11" s="62"/>
      <c r="DL11" s="62"/>
      <c r="DM11" s="62"/>
      <c r="DN11" s="62"/>
      <c r="DP11" s="62"/>
      <c r="DQ11" s="62"/>
      <c r="DR11" s="62"/>
      <c r="DS11" s="62"/>
      <c r="DT11" s="62"/>
      <c r="DU11" s="62"/>
      <c r="DV11" s="62"/>
      <c r="DW11" s="62"/>
      <c r="DX11" s="62"/>
      <c r="DY11" s="62"/>
      <c r="DZ11" s="62"/>
      <c r="EA11" s="62"/>
      <c r="EB11" s="62"/>
      <c r="EC11" s="62"/>
      <c r="ED11" s="62"/>
      <c r="EE11" s="62"/>
      <c r="EF11" s="62"/>
      <c r="EG11" s="62"/>
      <c r="EH11" s="62"/>
      <c r="EI11" s="62"/>
      <c r="EJ11" s="62"/>
      <c r="EK11" s="62"/>
      <c r="EL11" s="62"/>
      <c r="EM11" s="62"/>
      <c r="EN11" s="62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BW12" s="62"/>
      <c r="BX12" s="62"/>
      <c r="BY12" s="62"/>
      <c r="BZ12" s="62"/>
      <c r="CA12" s="62"/>
      <c r="CB12" s="62"/>
      <c r="CC12" s="62"/>
      <c r="CD12" s="62"/>
      <c r="CE12" s="62"/>
      <c r="CF12" s="62"/>
      <c r="CG12" s="62"/>
      <c r="CH12" s="62"/>
      <c r="CY12" s="62"/>
      <c r="CZ12" s="62"/>
      <c r="DA12" s="62"/>
      <c r="DB12" s="62"/>
      <c r="DC12" s="62"/>
      <c r="DK12" s="62"/>
      <c r="DL12" s="62"/>
      <c r="DM12" s="62"/>
      <c r="DN12" s="62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BW13" s="62"/>
      <c r="BX13" s="62"/>
      <c r="BY13" s="62"/>
      <c r="BZ13" s="62"/>
      <c r="CA13" s="62"/>
      <c r="CB13" s="62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CheckPortfolioManagement2!$4:$4</formula1>
    </dataValidation>
  </dataValidations>
  <drawing r:id="rId1"/>
</worksheet>
</file>