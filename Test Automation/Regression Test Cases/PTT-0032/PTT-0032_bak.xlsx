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4" activeTab="17"/>
  </bookViews>
  <sheets>
    <sheet name="_Modules" sheetId="1" r:id="rId1"/>
    <sheet name="_Settings" sheetId="2" r:id="rId2"/>
    <sheet name="_MasterData" sheetId="3" r:id="rId3"/>
    <sheet name="CleanUp" sheetId="4" r:id="rId4"/>
    <sheet name="GetDailyCash" sheetId="5" r:id="rId5"/>
    <sheet name="UpdateDailyCash" sheetId="6" r:id="rId6"/>
    <sheet name="CreateDoneAwayOrder" sheetId="7" r:id="rId7"/>
    <sheet name="PricingInput" sheetId="8" r:id="rId8"/>
    <sheet name="CalculatePTT" sheetId="9" r:id="rId9"/>
    <sheet name="VerifyPTT" sheetId="10" r:id="rId10"/>
    <sheet name="TradePTT" sheetId="11" r:id="rId11"/>
    <sheet name="BulkChangeTradeDoneAway" sheetId="12" r:id="rId12"/>
    <sheet name="GetDataAllocation" sheetId="13" r:id="rId13"/>
    <sheet name="CheckAllocatedGroups" sheetId="14" r:id="rId14"/>
    <sheet name="GetDataClosing" sheetId="15" r:id="rId15"/>
    <sheet name="VerifyLongPositionsGrid" sheetId="16" r:id="rId16"/>
    <sheet name="VerifyShortPositionsGrid" sheetId="17" r:id="rId17"/>
    <sheet name="CheckPortfolioManagement" sheetId="18" r:id="rId18"/>
  </sheets>
  <calcPr calcId="145621"/>
</workbook>
</file>

<file path=xl/calcChain.xml><?xml version="1.0" encoding="utf-8"?>
<calcChain xmlns="http://schemas.openxmlformats.org/spreadsheetml/2006/main">
  <c r="J2" i="18" l="1"/>
  <c r="J2" i="17"/>
  <c r="J2" i="16"/>
  <c r="J2" i="15"/>
  <c r="J2" i="14"/>
  <c r="J2" i="13"/>
  <c r="J2" i="12"/>
  <c r="J2" i="11"/>
  <c r="J2" i="10"/>
  <c r="J2" i="9"/>
  <c r="J2" i="8"/>
  <c r="N7" i="7"/>
  <c r="N6" i="7"/>
  <c r="J2" i="7"/>
  <c r="J2" i="6"/>
  <c r="C6" i="5"/>
  <c r="B6" i="5"/>
  <c r="J2" i="5"/>
  <c r="J2" i="4"/>
  <c r="BK5" i="18"/>
  <c r="FJ5" i="18"/>
  <c r="FB5" i="18"/>
  <c r="ET5" i="18"/>
  <c r="EL5" i="18"/>
  <c r="ED5" i="18"/>
  <c r="DV5" i="18"/>
  <c r="DN5" i="18"/>
  <c r="DF5" i="18"/>
  <c r="CX5" i="18"/>
  <c r="CP5" i="18"/>
  <c r="CH5" i="18"/>
  <c r="BZ5" i="18"/>
  <c r="BR5" i="18"/>
  <c r="BJ5" i="18"/>
  <c r="BB5" i="18"/>
  <c r="AT5" i="18"/>
  <c r="AL5" i="18"/>
  <c r="AD5" i="18"/>
  <c r="V5" i="18"/>
  <c r="N5" i="18"/>
  <c r="F5" i="18"/>
  <c r="FH4" i="18"/>
  <c r="EZ4" i="18"/>
  <c r="ER4" i="18"/>
  <c r="EJ4" i="18"/>
  <c r="EB4" i="18"/>
  <c r="DT4" i="18"/>
  <c r="DL4" i="18"/>
  <c r="DD4" i="18"/>
  <c r="CV4" i="18"/>
  <c r="CN4" i="18"/>
  <c r="CF4" i="18"/>
  <c r="BX4" i="18"/>
  <c r="BP4" i="18"/>
  <c r="BH4" i="18"/>
  <c r="AZ4" i="18"/>
  <c r="AR4" i="18"/>
  <c r="AJ4" i="18"/>
  <c r="AB4" i="18"/>
  <c r="T4" i="18"/>
  <c r="L4" i="18"/>
  <c r="D4" i="18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EV4" i="17"/>
  <c r="EN4" i="17"/>
  <c r="EF4" i="17"/>
  <c r="DX4" i="17"/>
  <c r="DP4" i="17"/>
  <c r="DH4" i="17"/>
  <c r="CZ4" i="17"/>
  <c r="CR4" i="17"/>
  <c r="CJ4" i="17"/>
  <c r="CB4" i="17"/>
  <c r="BT4" i="17"/>
  <c r="BL4" i="17"/>
  <c r="BD4" i="17"/>
  <c r="AV4" i="17"/>
  <c r="AN4" i="17"/>
  <c r="AF4" i="17"/>
  <c r="X4" i="17"/>
  <c r="P4" i="17"/>
  <c r="H4" i="17"/>
  <c r="EX5" i="16"/>
  <c r="EP5" i="16"/>
  <c r="EH5" i="16"/>
  <c r="DZ5" i="16"/>
  <c r="DR5" i="16"/>
  <c r="DJ5" i="16"/>
  <c r="DB5" i="16"/>
  <c r="CT5" i="16"/>
  <c r="CL5" i="16"/>
  <c r="CD5" i="16"/>
  <c r="BV5" i="16"/>
  <c r="BN5" i="16"/>
  <c r="BF5" i="16"/>
  <c r="AX5" i="16"/>
  <c r="AP5" i="16"/>
  <c r="AH5" i="16"/>
  <c r="Z5" i="16"/>
  <c r="R5" i="16"/>
  <c r="J5" i="16"/>
  <c r="B5" i="16"/>
  <c r="ER4" i="16"/>
  <c r="EJ4" i="16"/>
  <c r="EB4" i="16"/>
  <c r="DT4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ET5" i="15"/>
  <c r="EL5" i="15"/>
  <c r="ED5" i="15"/>
  <c r="DV5" i="15"/>
  <c r="DN5" i="15"/>
  <c r="DF5" i="15"/>
  <c r="CX5" i="15"/>
  <c r="CP5" i="15"/>
  <c r="FI5" i="18"/>
  <c r="FA5" i="18"/>
  <c r="ES5" i="18"/>
  <c r="EK5" i="18"/>
  <c r="EC5" i="18"/>
  <c r="DU5" i="18"/>
  <c r="DM5" i="18"/>
  <c r="DE5" i="18"/>
  <c r="CW5" i="18"/>
  <c r="CO5" i="18"/>
  <c r="CG5" i="18"/>
  <c r="BY5" i="18"/>
  <c r="BQ5" i="18"/>
  <c r="BI5" i="18"/>
  <c r="BA5" i="18"/>
  <c r="AS5" i="18"/>
  <c r="AK5" i="18"/>
  <c r="AC5" i="18"/>
  <c r="U5" i="18"/>
  <c r="M5" i="18"/>
  <c r="E5" i="18"/>
  <c r="FG4" i="18"/>
  <c r="EY4" i="18"/>
  <c r="EQ4" i="18"/>
  <c r="EI4" i="18"/>
  <c r="EA4" i="18"/>
  <c r="DS4" i="18"/>
  <c r="DK4" i="18"/>
  <c r="DC4" i="18"/>
  <c r="CU4" i="18"/>
  <c r="CM4" i="18"/>
  <c r="CE4" i="18"/>
  <c r="BW4" i="18"/>
  <c r="BO4" i="18"/>
  <c r="BG4" i="18"/>
  <c r="AY4" i="18"/>
  <c r="AQ4" i="18"/>
  <c r="AI4" i="18"/>
  <c r="AA4" i="18"/>
  <c r="S4" i="18"/>
  <c r="K4" i="18"/>
  <c r="C4" i="18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EU4" i="17"/>
  <c r="EM4" i="17"/>
  <c r="EE4" i="17"/>
  <c r="DW4" i="17"/>
  <c r="DO4" i="17"/>
  <c r="DG4" i="17"/>
  <c r="CY4" i="17"/>
  <c r="CQ4" i="17"/>
  <c r="CI4" i="17"/>
  <c r="CA4" i="17"/>
  <c r="BS4" i="17"/>
  <c r="BK4" i="17"/>
  <c r="BC4" i="17"/>
  <c r="AU4" i="17"/>
  <c r="AM4" i="17"/>
  <c r="AE4" i="17"/>
  <c r="W4" i="17"/>
  <c r="O4" i="17"/>
  <c r="G4" i="17"/>
  <c r="EW5" i="16"/>
  <c r="EO5" i="16"/>
  <c r="EG5" i="16"/>
  <c r="DY5" i="16"/>
  <c r="DQ5" i="16"/>
  <c r="DI5" i="16"/>
  <c r="DA5" i="16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EQ4" i="16"/>
  <c r="EI4" i="16"/>
  <c r="EA4" i="16"/>
  <c r="DS4" i="16"/>
  <c r="DK4" i="16"/>
  <c r="DC4" i="16"/>
  <c r="CU4" i="16"/>
  <c r="CM4" i="16"/>
  <c r="CE4" i="16"/>
  <c r="BW4" i="16"/>
  <c r="BO4" i="16"/>
  <c r="BG4" i="16"/>
  <c r="AY4" i="16"/>
  <c r="AQ4" i="16"/>
  <c r="AI4" i="16"/>
  <c r="FH5" i="18"/>
  <c r="EZ5" i="18"/>
  <c r="ER5" i="18"/>
  <c r="EJ5" i="18"/>
  <c r="EB5" i="18"/>
  <c r="DT5" i="18"/>
  <c r="DL5" i="18"/>
  <c r="DD5" i="18"/>
  <c r="CV5" i="18"/>
  <c r="CN5" i="18"/>
  <c r="CF5" i="18"/>
  <c r="BX5" i="18"/>
  <c r="BP5" i="18"/>
  <c r="BH5" i="18"/>
  <c r="AZ5" i="18"/>
  <c r="AR5" i="18"/>
  <c r="AJ5" i="18"/>
  <c r="AB5" i="18"/>
  <c r="T5" i="18"/>
  <c r="L5" i="18"/>
  <c r="D5" i="18"/>
  <c r="FF4" i="18"/>
  <c r="EX4" i="18"/>
  <c r="EP4" i="18"/>
  <c r="EH4" i="18"/>
  <c r="DZ4" i="18"/>
  <c r="DR4" i="18"/>
  <c r="DJ4" i="18"/>
  <c r="DB4" i="18"/>
  <c r="CT4" i="18"/>
  <c r="CL4" i="18"/>
  <c r="CD4" i="18"/>
  <c r="BV4" i="18"/>
  <c r="BN4" i="18"/>
  <c r="BF4" i="18"/>
  <c r="AX4" i="18"/>
  <c r="AP4" i="18"/>
  <c r="AH4" i="18"/>
  <c r="Z4" i="18"/>
  <c r="R4" i="18"/>
  <c r="J4" i="18"/>
  <c r="B4" i="18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ET4" i="17"/>
  <c r="EL4" i="17"/>
  <c r="ED4" i="17"/>
  <c r="DV4" i="17"/>
  <c r="DN4" i="17"/>
  <c r="DF4" i="17"/>
  <c r="CX4" i="17"/>
  <c r="CP4" i="17"/>
  <c r="CH4" i="17"/>
  <c r="BZ4" i="17"/>
  <c r="BR4" i="17"/>
  <c r="BJ4" i="17"/>
  <c r="BB4" i="17"/>
  <c r="AT4" i="17"/>
  <c r="AL4" i="17"/>
  <c r="AD4" i="17"/>
  <c r="V4" i="17"/>
  <c r="N4" i="17"/>
  <c r="F4" i="17"/>
  <c r="EV5" i="16"/>
  <c r="EN5" i="16"/>
  <c r="EF5" i="16"/>
  <c r="DX5" i="16"/>
  <c r="DP5" i="16"/>
  <c r="DH5" i="16"/>
  <c r="CZ5" i="16"/>
  <c r="CR5" i="16"/>
  <c r="CJ5" i="16"/>
  <c r="CB5" i="16"/>
  <c r="BT5" i="16"/>
  <c r="BL5" i="16"/>
  <c r="BD5" i="16"/>
  <c r="AV5" i="16"/>
  <c r="AN5" i="16"/>
  <c r="AF5" i="16"/>
  <c r="X5" i="16"/>
  <c r="P5" i="16"/>
  <c r="H5" i="16"/>
  <c r="EX4" i="16"/>
  <c r="EP4" i="16"/>
  <c r="EH4" i="16"/>
  <c r="DZ4" i="16"/>
  <c r="DR4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ER5" i="15"/>
  <c r="EJ5" i="15"/>
  <c r="EB5" i="15"/>
  <c r="DT5" i="15"/>
  <c r="DL5" i="15"/>
  <c r="DD5" i="15"/>
  <c r="CV5" i="15"/>
  <c r="CN5" i="15"/>
  <c r="FG5" i="18"/>
  <c r="EY5" i="18"/>
  <c r="EQ5" i="18"/>
  <c r="EI5" i="18"/>
  <c r="EA5" i="18"/>
  <c r="DS5" i="18"/>
  <c r="DK5" i="18"/>
  <c r="DC5" i="18"/>
  <c r="CU5" i="18"/>
  <c r="CM5" i="18"/>
  <c r="CE5" i="18"/>
  <c r="BW5" i="18"/>
  <c r="BO5" i="18"/>
  <c r="BG5" i="18"/>
  <c r="AY5" i="18"/>
  <c r="AQ5" i="18"/>
  <c r="AI5" i="18"/>
  <c r="AA5" i="18"/>
  <c r="S5" i="18"/>
  <c r="K5" i="18"/>
  <c r="C5" i="18"/>
  <c r="FE4" i="18"/>
  <c r="EW4" i="18"/>
  <c r="EO4" i="18"/>
  <c r="EG4" i="18"/>
  <c r="DY4" i="18"/>
  <c r="DQ4" i="18"/>
  <c r="DI4" i="18"/>
  <c r="DA4" i="18"/>
  <c r="CS4" i="18"/>
  <c r="CK4" i="18"/>
  <c r="CC4" i="18"/>
  <c r="BU4" i="18"/>
  <c r="BM4" i="18"/>
  <c r="BE4" i="18"/>
  <c r="AW4" i="18"/>
  <c r="AO4" i="18"/>
  <c r="AG4" i="18"/>
  <c r="Y4" i="18"/>
  <c r="Q4" i="18"/>
  <c r="I4" i="18"/>
  <c r="FF5" i="18"/>
  <c r="EX5" i="18"/>
  <c r="EP5" i="18"/>
  <c r="EH5" i="18"/>
  <c r="DZ5" i="18"/>
  <c r="DR5" i="18"/>
  <c r="DJ5" i="18"/>
  <c r="DB5" i="18"/>
  <c r="CT5" i="18"/>
  <c r="CL5" i="18"/>
  <c r="CD5" i="18"/>
  <c r="BV5" i="18"/>
  <c r="BN5" i="18"/>
  <c r="BF5" i="18"/>
  <c r="AX5" i="18"/>
  <c r="AP5" i="18"/>
  <c r="AH5" i="18"/>
  <c r="Z5" i="18"/>
  <c r="R5" i="18"/>
  <c r="J5" i="18"/>
  <c r="B5" i="18"/>
  <c r="FD4" i="18"/>
  <c r="EV4" i="18"/>
  <c r="EN4" i="18"/>
  <c r="EF4" i="18"/>
  <c r="DX4" i="18"/>
  <c r="DP4" i="18"/>
  <c r="DH4" i="18"/>
  <c r="CZ4" i="18"/>
  <c r="CR4" i="18"/>
  <c r="CJ4" i="18"/>
  <c r="CB4" i="18"/>
  <c r="BT4" i="18"/>
  <c r="BL4" i="18"/>
  <c r="BD4" i="18"/>
  <c r="AV4" i="18"/>
  <c r="AN4" i="18"/>
  <c r="AF4" i="18"/>
  <c r="X4" i="18"/>
  <c r="P4" i="18"/>
  <c r="H4" i="18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ER4" i="17"/>
  <c r="EJ4" i="17"/>
  <c r="EB4" i="17"/>
  <c r="DT4" i="17"/>
  <c r="DL4" i="17"/>
  <c r="DD4" i="17"/>
  <c r="CV4" i="17"/>
  <c r="CN4" i="17"/>
  <c r="CF4" i="17"/>
  <c r="BX4" i="17"/>
  <c r="BP4" i="17"/>
  <c r="BH4" i="17"/>
  <c r="AZ4" i="17"/>
  <c r="AR4" i="17"/>
  <c r="AJ4" i="17"/>
  <c r="AB4" i="17"/>
  <c r="T4" i="17"/>
  <c r="L4" i="17"/>
  <c r="D4" i="17"/>
  <c r="ET5" i="16"/>
  <c r="EL5" i="16"/>
  <c r="ED5" i="16"/>
  <c r="DV5" i="16"/>
  <c r="DN5" i="16"/>
  <c r="DF5" i="16"/>
  <c r="CX5" i="16"/>
  <c r="CP5" i="16"/>
  <c r="CH5" i="16"/>
  <c r="BZ5" i="16"/>
  <c r="BR5" i="16"/>
  <c r="BJ5" i="16"/>
  <c r="BB5" i="16"/>
  <c r="AT5" i="16"/>
  <c r="AL5" i="16"/>
  <c r="AD5" i="16"/>
  <c r="V5" i="16"/>
  <c r="N5" i="16"/>
  <c r="F5" i="16"/>
  <c r="EV4" i="16"/>
  <c r="EN4" i="16"/>
  <c r="EF4" i="16"/>
  <c r="DX4" i="16"/>
  <c r="DP4" i="16"/>
  <c r="DH4" i="16"/>
  <c r="CZ4" i="16"/>
  <c r="CR4" i="16"/>
  <c r="CJ4" i="16"/>
  <c r="CB4" i="16"/>
  <c r="BT4" i="16"/>
  <c r="FE5" i="18"/>
  <c r="EW5" i="18"/>
  <c r="EO5" i="18"/>
  <c r="EG5" i="18"/>
  <c r="DY5" i="18"/>
  <c r="DQ5" i="18"/>
  <c r="DI5" i="18"/>
  <c r="DA5" i="18"/>
  <c r="CS5" i="18"/>
  <c r="CK5" i="18"/>
  <c r="CC5" i="18"/>
  <c r="BU5" i="18"/>
  <c r="BM5" i="18"/>
  <c r="BE5" i="18"/>
  <c r="AW5" i="18"/>
  <c r="AO5" i="18"/>
  <c r="AG5" i="18"/>
  <c r="Y5" i="18"/>
  <c r="Q5" i="18"/>
  <c r="I5" i="18"/>
  <c r="A5" i="18"/>
  <c r="FC4" i="18"/>
  <c r="EU4" i="18"/>
  <c r="EM4" i="18"/>
  <c r="EE4" i="18"/>
  <c r="DW4" i="18"/>
  <c r="DO4" i="18"/>
  <c r="DG4" i="18"/>
  <c r="CY4" i="18"/>
  <c r="CQ4" i="18"/>
  <c r="CI4" i="18"/>
  <c r="CA4" i="18"/>
  <c r="BS4" i="18"/>
  <c r="BK4" i="18"/>
  <c r="BC4" i="18"/>
  <c r="AU4" i="18"/>
  <c r="AM4" i="18"/>
  <c r="AE4" i="18"/>
  <c r="W4" i="18"/>
  <c r="O4" i="18"/>
  <c r="G4" i="18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EQ4" i="17"/>
  <c r="EI4" i="17"/>
  <c r="EA4" i="17"/>
  <c r="DS4" i="17"/>
  <c r="DK4" i="17"/>
  <c r="DC4" i="17"/>
  <c r="CU4" i="17"/>
  <c r="CM4" i="17"/>
  <c r="CE4" i="17"/>
  <c r="BW4" i="17"/>
  <c r="BO4" i="17"/>
  <c r="BG4" i="17"/>
  <c r="AY4" i="17"/>
  <c r="AQ4" i="17"/>
  <c r="AI4" i="17"/>
  <c r="AA4" i="17"/>
  <c r="S4" i="17"/>
  <c r="K4" i="17"/>
  <c r="C4" i="17"/>
  <c r="ES5" i="16"/>
  <c r="EK5" i="16"/>
  <c r="EC5" i="16"/>
  <c r="DU5" i="16"/>
  <c r="DM5" i="16"/>
  <c r="DE5" i="16"/>
  <c r="CW5" i="16"/>
  <c r="CO5" i="16"/>
  <c r="CG5" i="16"/>
  <c r="BY5" i="16"/>
  <c r="BQ5" i="16"/>
  <c r="BI5" i="16"/>
  <c r="BA5" i="16"/>
  <c r="AS5" i="16"/>
  <c r="AK5" i="16"/>
  <c r="AC5" i="16"/>
  <c r="U5" i="16"/>
  <c r="M5" i="16"/>
  <c r="E5" i="16"/>
  <c r="EU4" i="16"/>
  <c r="EM4" i="16"/>
  <c r="EE4" i="16"/>
  <c r="DW4" i="16"/>
  <c r="DO4" i="16"/>
  <c r="DG4" i="16"/>
  <c r="CY4" i="16"/>
  <c r="CQ4" i="16"/>
  <c r="CI4" i="16"/>
  <c r="CA4" i="16"/>
  <c r="BS4" i="16"/>
  <c r="BK4" i="16"/>
  <c r="BC4" i="16"/>
  <c r="AU4" i="16"/>
  <c r="AM4" i="16"/>
  <c r="FD5" i="18"/>
  <c r="EV5" i="18"/>
  <c r="EN5" i="18"/>
  <c r="EF5" i="18"/>
  <c r="DX5" i="18"/>
  <c r="DP5" i="18"/>
  <c r="DH5" i="18"/>
  <c r="CZ5" i="18"/>
  <c r="CR5" i="18"/>
  <c r="CJ5" i="18"/>
  <c r="CB5" i="18"/>
  <c r="BT5" i="18"/>
  <c r="BL5" i="18"/>
  <c r="BD5" i="18"/>
  <c r="AV5" i="18"/>
  <c r="AN5" i="18"/>
  <c r="AF5" i="18"/>
  <c r="X5" i="18"/>
  <c r="P5" i="18"/>
  <c r="H5" i="18"/>
  <c r="FJ4" i="18"/>
  <c r="FB4" i="18"/>
  <c r="ET4" i="18"/>
  <c r="EL4" i="18"/>
  <c r="ED4" i="18"/>
  <c r="DV4" i="18"/>
  <c r="DN4" i="18"/>
  <c r="DF4" i="18"/>
  <c r="CX4" i="18"/>
  <c r="CP4" i="18"/>
  <c r="CH4" i="18"/>
  <c r="BZ4" i="18"/>
  <c r="BR4" i="18"/>
  <c r="BJ4" i="18"/>
  <c r="BB4" i="18"/>
  <c r="AT4" i="18"/>
  <c r="AL4" i="18"/>
  <c r="AD4" i="18"/>
  <c r="V4" i="18"/>
  <c r="N4" i="18"/>
  <c r="F4" i="18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EX4" i="17"/>
  <c r="EP4" i="17"/>
  <c r="EH4" i="17"/>
  <c r="DZ4" i="17"/>
  <c r="DR4" i="17"/>
  <c r="DJ4" i="17"/>
  <c r="DB4" i="17"/>
  <c r="CT4" i="17"/>
  <c r="CL4" i="17"/>
  <c r="CD4" i="17"/>
  <c r="BV4" i="17"/>
  <c r="BN4" i="17"/>
  <c r="BF4" i="17"/>
  <c r="AX4" i="17"/>
  <c r="AP4" i="17"/>
  <c r="AH4" i="17"/>
  <c r="Z4" i="17"/>
  <c r="R4" i="17"/>
  <c r="J4" i="17"/>
  <c r="B4" i="17"/>
  <c r="ER5" i="16"/>
  <c r="EJ5" i="16"/>
  <c r="EB5" i="16"/>
  <c r="DT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T5" i="16"/>
  <c r="L5" i="16"/>
  <c r="D5" i="16"/>
  <c r="ET4" i="16"/>
  <c r="EL4" i="16"/>
  <c r="ED4" i="16"/>
  <c r="DV4" i="16"/>
  <c r="DN4" i="16"/>
  <c r="DF4" i="16"/>
  <c r="CX4" i="16"/>
  <c r="CP4" i="16"/>
  <c r="CH4" i="16"/>
  <c r="BZ4" i="16"/>
  <c r="BR4" i="16"/>
  <c r="BJ4" i="16"/>
  <c r="FC5" i="18"/>
  <c r="EU5" i="18"/>
  <c r="EM5" i="18"/>
  <c r="EE5" i="18"/>
  <c r="DW5" i="18"/>
  <c r="DO5" i="18"/>
  <c r="DG5" i="18"/>
  <c r="CY5" i="18"/>
  <c r="CQ5" i="18"/>
  <c r="CI5" i="18"/>
  <c r="CA5" i="18"/>
  <c r="BS5" i="18"/>
  <c r="BC5" i="18"/>
  <c r="AU5" i="18"/>
  <c r="AM5" i="18"/>
  <c r="AE5" i="18"/>
  <c r="W5" i="18"/>
  <c r="O5" i="18"/>
  <c r="G5" i="18"/>
  <c r="FI4" i="18"/>
  <c r="FA4" i="18"/>
  <c r="ES4" i="18"/>
  <c r="EK4" i="18"/>
  <c r="EC4" i="18"/>
  <c r="DU4" i="18"/>
  <c r="DM4" i="18"/>
  <c r="DE4" i="18"/>
  <c r="CW4" i="18"/>
  <c r="CO4" i="18"/>
  <c r="CG4" i="18"/>
  <c r="BY4" i="18"/>
  <c r="BQ4" i="18"/>
  <c r="BI4" i="18"/>
  <c r="BA4" i="18"/>
  <c r="AS4" i="18"/>
  <c r="AK4" i="18"/>
  <c r="AC4" i="18"/>
  <c r="U4" i="18"/>
  <c r="M4" i="18"/>
  <c r="E4" i="18"/>
  <c r="EU5" i="17"/>
  <c r="EM5" i="17"/>
  <c r="EE5" i="17"/>
  <c r="DW5" i="17"/>
  <c r="DO5" i="17"/>
  <c r="DG5" i="17"/>
  <c r="CY5" i="17"/>
  <c r="CQ5" i="17"/>
  <c r="CI5" i="17"/>
  <c r="CA5" i="17"/>
  <c r="BS5" i="17"/>
  <c r="BK5" i="17"/>
  <c r="BC5" i="17"/>
  <c r="AU5" i="17"/>
  <c r="AM5" i="17"/>
  <c r="AE5" i="17"/>
  <c r="W5" i="17"/>
  <c r="O5" i="17"/>
  <c r="G5" i="17"/>
  <c r="EW4" i="17"/>
  <c r="EO4" i="17"/>
  <c r="EG4" i="17"/>
  <c r="DY4" i="17"/>
  <c r="DQ4" i="17"/>
  <c r="DI4" i="17"/>
  <c r="DA4" i="17"/>
  <c r="CS4" i="17"/>
  <c r="CK4" i="17"/>
  <c r="CC4" i="17"/>
  <c r="BU4" i="17"/>
  <c r="BM4" i="17"/>
  <c r="BE4" i="17"/>
  <c r="AW4" i="17"/>
  <c r="AO4" i="17"/>
  <c r="AG4" i="17"/>
  <c r="Y4" i="17"/>
  <c r="Q4" i="17"/>
  <c r="I4" i="17"/>
  <c r="EQ5" i="17"/>
  <c r="CE5" i="17"/>
  <c r="S5" i="17"/>
  <c r="DE4" i="17"/>
  <c r="AS4" i="17"/>
  <c r="EQ5" i="16"/>
  <c r="DK5" i="16"/>
  <c r="CE5" i="16"/>
  <c r="AY5" i="16"/>
  <c r="S5" i="16"/>
  <c r="EK4" i="16"/>
  <c r="DE4" i="16"/>
  <c r="BY4" i="16"/>
  <c r="BB4" i="16"/>
  <c r="AL4" i="16"/>
  <c r="Y4" i="16"/>
  <c r="O4" i="16"/>
  <c r="E4" i="16"/>
  <c r="EQ5" i="15"/>
  <c r="EG5" i="15"/>
  <c r="DW5" i="15"/>
  <c r="DK5" i="15"/>
  <c r="DA5" i="15"/>
  <c r="CQ5" i="15"/>
  <c r="CG5" i="15"/>
  <c r="BY5" i="15"/>
  <c r="BQ5" i="15"/>
  <c r="BI5" i="15"/>
  <c r="BA5" i="15"/>
  <c r="AS5" i="15"/>
  <c r="AK5" i="15"/>
  <c r="AC5" i="15"/>
  <c r="U5" i="15"/>
  <c r="M5" i="15"/>
  <c r="E5" i="15"/>
  <c r="EU4" i="15"/>
  <c r="EM4" i="15"/>
  <c r="EE4" i="15"/>
  <c r="DW4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EW5" i="14"/>
  <c r="EO5" i="14"/>
  <c r="EG5" i="14"/>
  <c r="DY5" i="14"/>
  <c r="DQ5" i="14"/>
  <c r="DI5" i="14"/>
  <c r="DA5" i="14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EQ4" i="14"/>
  <c r="EI4" i="14"/>
  <c r="EA4" i="14"/>
  <c r="DS4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ES5" i="13"/>
  <c r="EK5" i="13"/>
  <c r="EC5" i="13"/>
  <c r="DU5" i="13"/>
  <c r="DM5" i="13"/>
  <c r="DE5" i="13"/>
  <c r="CW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EU4" i="13"/>
  <c r="EM4" i="13"/>
  <c r="EE4" i="13"/>
  <c r="DW4" i="13"/>
  <c r="DO4" i="13"/>
  <c r="DG4" i="13"/>
  <c r="CY4" i="13"/>
  <c r="CQ4" i="13"/>
  <c r="CI4" i="13"/>
  <c r="CA4" i="13"/>
  <c r="BS4" i="13"/>
  <c r="BK4" i="13"/>
  <c r="BC4" i="13"/>
  <c r="AU4" i="13"/>
  <c r="AM4" i="13"/>
  <c r="EI5" i="17"/>
  <c r="BW5" i="17"/>
  <c r="K5" i="17"/>
  <c r="CW4" i="17"/>
  <c r="AK4" i="17"/>
  <c r="EM5" i="16"/>
  <c r="DG5" i="16"/>
  <c r="CA5" i="16"/>
  <c r="AU5" i="16"/>
  <c r="O5" i="16"/>
  <c r="EG4" i="16"/>
  <c r="DA4" i="16"/>
  <c r="BU4" i="16"/>
  <c r="BA4" i="16"/>
  <c r="AK4" i="16"/>
  <c r="X4" i="16"/>
  <c r="N4" i="16"/>
  <c r="C4" i="16"/>
  <c r="EP5" i="15"/>
  <c r="EF5" i="15"/>
  <c r="DU5" i="15"/>
  <c r="DJ5" i="15"/>
  <c r="CZ5" i="15"/>
  <c r="CO5" i="15"/>
  <c r="CF5" i="15"/>
  <c r="BX5" i="15"/>
  <c r="BP5" i="15"/>
  <c r="BH5" i="15"/>
  <c r="AZ5" i="15"/>
  <c r="AR5" i="15"/>
  <c r="AJ5" i="15"/>
  <c r="AB5" i="15"/>
  <c r="T5" i="15"/>
  <c r="L5" i="15"/>
  <c r="D5" i="15"/>
  <c r="ET4" i="15"/>
  <c r="EL4" i="15"/>
  <c r="ED4" i="15"/>
  <c r="DV4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EV5" i="14"/>
  <c r="EN5" i="14"/>
  <c r="EF5" i="14"/>
  <c r="DX5" i="14"/>
  <c r="DP5" i="14"/>
  <c r="DH5" i="14"/>
  <c r="CZ5" i="14"/>
  <c r="CR5" i="14"/>
  <c r="CJ5" i="14"/>
  <c r="CB5" i="14"/>
  <c r="BT5" i="14"/>
  <c r="BL5" i="14"/>
  <c r="BD5" i="14"/>
  <c r="AV5" i="14"/>
  <c r="AN5" i="14"/>
  <c r="AF5" i="14"/>
  <c r="X5" i="14"/>
  <c r="P5" i="14"/>
  <c r="H5" i="14"/>
  <c r="EX4" i="14"/>
  <c r="EP4" i="14"/>
  <c r="EH4" i="14"/>
  <c r="DZ4" i="14"/>
  <c r="DR4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ET4" i="13"/>
  <c r="EL4" i="13"/>
  <c r="ED4" i="13"/>
  <c r="DV4" i="13"/>
  <c r="DN4" i="13"/>
  <c r="DF4" i="13"/>
  <c r="CX4" i="13"/>
  <c r="CP4" i="13"/>
  <c r="CH4" i="13"/>
  <c r="BZ4" i="13"/>
  <c r="BR4" i="13"/>
  <c r="BJ4" i="13"/>
  <c r="BB4" i="13"/>
  <c r="AT4" i="13"/>
  <c r="AL4" i="13"/>
  <c r="EA5" i="17"/>
  <c r="BO5" i="17"/>
  <c r="C5" i="17"/>
  <c r="CO4" i="17"/>
  <c r="AC4" i="17"/>
  <c r="EI5" i="16"/>
  <c r="DC5" i="16"/>
  <c r="BW5" i="16"/>
  <c r="AQ5" i="16"/>
  <c r="K5" i="16"/>
  <c r="EC4" i="16"/>
  <c r="CW4" i="16"/>
  <c r="BQ4" i="16"/>
  <c r="AW4" i="16"/>
  <c r="AG4" i="16"/>
  <c r="W4" i="16"/>
  <c r="M4" i="16"/>
  <c r="EO5" i="15"/>
  <c r="EE5" i="15"/>
  <c r="DS5" i="15"/>
  <c r="DI5" i="15"/>
  <c r="CY5" i="15"/>
  <c r="CM5" i="15"/>
  <c r="CE5" i="15"/>
  <c r="BW5" i="15"/>
  <c r="BO5" i="15"/>
  <c r="BG5" i="15"/>
  <c r="AY5" i="15"/>
  <c r="AQ5" i="15"/>
  <c r="AI5" i="15"/>
  <c r="AA5" i="15"/>
  <c r="S5" i="15"/>
  <c r="K5" i="15"/>
  <c r="C5" i="15"/>
  <c r="ES4" i="15"/>
  <c r="EK4" i="15"/>
  <c r="EC4" i="15"/>
  <c r="DU4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EU5" i="14"/>
  <c r="EM5" i="14"/>
  <c r="EE5" i="14"/>
  <c r="DW5" i="14"/>
  <c r="DO5" i="14"/>
  <c r="DG5" i="14"/>
  <c r="CY5" i="14"/>
  <c r="CQ5" i="14"/>
  <c r="CI5" i="14"/>
  <c r="CA5" i="14"/>
  <c r="BS5" i="14"/>
  <c r="BK5" i="14"/>
  <c r="BC5" i="14"/>
  <c r="AU5" i="14"/>
  <c r="AM5" i="14"/>
  <c r="AE5" i="14"/>
  <c r="W5" i="14"/>
  <c r="O5" i="14"/>
  <c r="G5" i="14"/>
  <c r="EW4" i="14"/>
  <c r="EO4" i="14"/>
  <c r="EG4" i="14"/>
  <c r="DY4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EQ5" i="13"/>
  <c r="EI5" i="13"/>
  <c r="EA5" i="13"/>
  <c r="DS5" i="13"/>
  <c r="DK5" i="13"/>
  <c r="DS5" i="17"/>
  <c r="BG5" i="17"/>
  <c r="ES4" i="17"/>
  <c r="CG4" i="17"/>
  <c r="U4" i="17"/>
  <c r="EE5" i="16"/>
  <c r="CY5" i="16"/>
  <c r="BS5" i="16"/>
  <c r="AM5" i="16"/>
  <c r="G5" i="16"/>
  <c r="DY4" i="16"/>
  <c r="CS4" i="16"/>
  <c r="BM4" i="16"/>
  <c r="AV4" i="16"/>
  <c r="AF4" i="16"/>
  <c r="V4" i="16"/>
  <c r="K4" i="16"/>
  <c r="EX5" i="15"/>
  <c r="EN5" i="15"/>
  <c r="EC5" i="15"/>
  <c r="DR5" i="15"/>
  <c r="DH5" i="15"/>
  <c r="CW5" i="15"/>
  <c r="CL5" i="15"/>
  <c r="CD5" i="15"/>
  <c r="BV5" i="15"/>
  <c r="BN5" i="15"/>
  <c r="BF5" i="15"/>
  <c r="AX5" i="15"/>
  <c r="AP5" i="15"/>
  <c r="AH5" i="15"/>
  <c r="Z5" i="15"/>
  <c r="R5" i="15"/>
  <c r="J5" i="15"/>
  <c r="B5" i="15"/>
  <c r="ER4" i="15"/>
  <c r="EJ4" i="15"/>
  <c r="EB4" i="15"/>
  <c r="DT4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ET5" i="14"/>
  <c r="EL5" i="14"/>
  <c r="ED5" i="14"/>
  <c r="DV5" i="14"/>
  <c r="DN5" i="14"/>
  <c r="DF5" i="14"/>
  <c r="CX5" i="14"/>
  <c r="CP5" i="14"/>
  <c r="CH5" i="14"/>
  <c r="BZ5" i="14"/>
  <c r="BR5" i="14"/>
  <c r="BJ5" i="14"/>
  <c r="BB5" i="14"/>
  <c r="AT5" i="14"/>
  <c r="AL5" i="14"/>
  <c r="AD5" i="14"/>
  <c r="V5" i="14"/>
  <c r="N5" i="14"/>
  <c r="F5" i="14"/>
  <c r="EV4" i="14"/>
  <c r="EN4" i="14"/>
  <c r="EF4" i="14"/>
  <c r="DX4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DK5" i="17"/>
  <c r="AY5" i="17"/>
  <c r="EK4" i="17"/>
  <c r="BY4" i="17"/>
  <c r="M4" i="17"/>
  <c r="EA5" i="16"/>
  <c r="CU5" i="16"/>
  <c r="BO5" i="16"/>
  <c r="AI5" i="16"/>
  <c r="C5" i="16"/>
  <c r="DU4" i="16"/>
  <c r="CO4" i="16"/>
  <c r="BL4" i="16"/>
  <c r="AT4" i="16"/>
  <c r="AE4" i="16"/>
  <c r="U4" i="16"/>
  <c r="I4" i="16"/>
  <c r="EW5" i="15"/>
  <c r="EM5" i="15"/>
  <c r="EA5" i="15"/>
  <c r="DQ5" i="15"/>
  <c r="DG5" i="15"/>
  <c r="CU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EQ4" i="15"/>
  <c r="EI4" i="15"/>
  <c r="EA4" i="15"/>
  <c r="DS4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ES5" i="14"/>
  <c r="EK5" i="14"/>
  <c r="EC5" i="14"/>
  <c r="DU5" i="14"/>
  <c r="DM5" i="14"/>
  <c r="DE5" i="14"/>
  <c r="CW5" i="14"/>
  <c r="CO5" i="14"/>
  <c r="CG5" i="14"/>
  <c r="BY5" i="14"/>
  <c r="BQ5" i="14"/>
  <c r="BI5" i="14"/>
  <c r="BA5" i="14"/>
  <c r="AS5" i="14"/>
  <c r="AK5" i="14"/>
  <c r="AC5" i="14"/>
  <c r="U5" i="14"/>
  <c r="M5" i="14"/>
  <c r="E5" i="14"/>
  <c r="EU4" i="14"/>
  <c r="EM4" i="14"/>
  <c r="EE4" i="14"/>
  <c r="DW4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DC5" i="17"/>
  <c r="AQ5" i="17"/>
  <c r="EC4" i="17"/>
  <c r="BQ4" i="17"/>
  <c r="E4" i="17"/>
  <c r="DW5" i="16"/>
  <c r="CQ5" i="16"/>
  <c r="BK5" i="16"/>
  <c r="AE5" i="16"/>
  <c r="EW4" i="16"/>
  <c r="DQ4" i="16"/>
  <c r="CK4" i="16"/>
  <c r="BI4" i="16"/>
  <c r="AS4" i="16"/>
  <c r="AD4" i="16"/>
  <c r="S4" i="16"/>
  <c r="H4" i="16"/>
  <c r="EV5" i="15"/>
  <c r="EK5" i="15"/>
  <c r="DZ5" i="15"/>
  <c r="DP5" i="15"/>
  <c r="DE5" i="15"/>
  <c r="CT5" i="15"/>
  <c r="CJ5" i="15"/>
  <c r="CB5" i="15"/>
  <c r="BT5" i="15"/>
  <c r="BL5" i="15"/>
  <c r="BD5" i="15"/>
  <c r="AV5" i="15"/>
  <c r="AN5" i="15"/>
  <c r="AF5" i="15"/>
  <c r="X5" i="15"/>
  <c r="P5" i="15"/>
  <c r="H5" i="15"/>
  <c r="EX4" i="15"/>
  <c r="EP4" i="15"/>
  <c r="EH4" i="15"/>
  <c r="DZ4" i="15"/>
  <c r="DR4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ER5" i="14"/>
  <c r="EJ5" i="14"/>
  <c r="EB5" i="14"/>
  <c r="DT5" i="14"/>
  <c r="DL5" i="14"/>
  <c r="DD5" i="14"/>
  <c r="CV5" i="14"/>
  <c r="CN5" i="14"/>
  <c r="CF5" i="14"/>
  <c r="BX5" i="14"/>
  <c r="BP5" i="14"/>
  <c r="BH5" i="14"/>
  <c r="AZ5" i="14"/>
  <c r="AR5" i="14"/>
  <c r="AJ5" i="14"/>
  <c r="AB5" i="14"/>
  <c r="T5" i="14"/>
  <c r="L5" i="14"/>
  <c r="D5" i="14"/>
  <c r="ET4" i="14"/>
  <c r="EL4" i="14"/>
  <c r="ED4" i="14"/>
  <c r="DV4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CU5" i="17"/>
  <c r="AI5" i="17"/>
  <c r="DU4" i="17"/>
  <c r="BI4" i="17"/>
  <c r="DS5" i="16"/>
  <c r="CM5" i="16"/>
  <c r="BG5" i="16"/>
  <c r="AA5" i="16"/>
  <c r="ES4" i="16"/>
  <c r="DM4" i="16"/>
  <c r="CG4" i="16"/>
  <c r="BE4" i="16"/>
  <c r="AO4" i="16"/>
  <c r="AC4" i="16"/>
  <c r="Q4" i="16"/>
  <c r="G4" i="16"/>
  <c r="EU5" i="15"/>
  <c r="EI5" i="15"/>
  <c r="DY5" i="15"/>
  <c r="DO5" i="15"/>
  <c r="DC5" i="15"/>
  <c r="CS5" i="15"/>
  <c r="CI5" i="15"/>
  <c r="CA5" i="15"/>
  <c r="BS5" i="15"/>
  <c r="BK5" i="15"/>
  <c r="BC5" i="15"/>
  <c r="AU5" i="15"/>
  <c r="AM5" i="15"/>
  <c r="AE5" i="15"/>
  <c r="W5" i="15"/>
  <c r="O5" i="15"/>
  <c r="G5" i="15"/>
  <c r="EW4" i="15"/>
  <c r="EO4" i="15"/>
  <c r="EG4" i="15"/>
  <c r="DY4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EQ5" i="14"/>
  <c r="EI5" i="14"/>
  <c r="EA5" i="14"/>
  <c r="DS5" i="14"/>
  <c r="DK5" i="14"/>
  <c r="DC5" i="14"/>
  <c r="CU5" i="14"/>
  <c r="CM5" i="14"/>
  <c r="CE5" i="14"/>
  <c r="BW5" i="14"/>
  <c r="BO5" i="14"/>
  <c r="BG5" i="14"/>
  <c r="AY5" i="14"/>
  <c r="AQ5" i="14"/>
  <c r="AI5" i="14"/>
  <c r="AA5" i="14"/>
  <c r="S5" i="14"/>
  <c r="K5" i="14"/>
  <c r="C5" i="14"/>
  <c r="ES4" i="14"/>
  <c r="EK4" i="14"/>
  <c r="EC4" i="14"/>
  <c r="DU4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EU5" i="13"/>
  <c r="EM5" i="13"/>
  <c r="EE5" i="13"/>
  <c r="DW5" i="13"/>
  <c r="DO5" i="13"/>
  <c r="DG5" i="13"/>
  <c r="CY5" i="13"/>
  <c r="CQ5" i="13"/>
  <c r="CI5" i="13"/>
  <c r="CA5" i="13"/>
  <c r="BS5" i="13"/>
  <c r="BK5" i="13"/>
  <c r="BC5" i="13"/>
  <c r="AU5" i="13"/>
  <c r="AM5" i="13"/>
  <c r="AE5" i="13"/>
  <c r="W5" i="13"/>
  <c r="O5" i="13"/>
  <c r="G5" i="13"/>
  <c r="EW4" i="13"/>
  <c r="EO4" i="13"/>
  <c r="EG4" i="13"/>
  <c r="DY4" i="13"/>
  <c r="DQ4" i="13"/>
  <c r="DI4" i="13"/>
  <c r="DA4" i="13"/>
  <c r="CS4" i="13"/>
  <c r="CK4" i="13"/>
  <c r="CC4" i="13"/>
  <c r="BU4" i="13"/>
  <c r="BM4" i="13"/>
  <c r="BE4" i="13"/>
  <c r="CM5" i="17"/>
  <c r="AA5" i="17"/>
  <c r="DM4" i="17"/>
  <c r="BA4" i="17"/>
  <c r="EU5" i="16"/>
  <c r="DO5" i="16"/>
  <c r="CI5" i="16"/>
  <c r="BC5" i="16"/>
  <c r="W5" i="16"/>
  <c r="EO4" i="16"/>
  <c r="DI4" i="16"/>
  <c r="CC4" i="16"/>
  <c r="BD4" i="16"/>
  <c r="AN4" i="16"/>
  <c r="AA4" i="16"/>
  <c r="P4" i="16"/>
  <c r="F4" i="16"/>
  <c r="ES5" i="15"/>
  <c r="EH5" i="15"/>
  <c r="DX5" i="15"/>
  <c r="DM5" i="15"/>
  <c r="DB5" i="15"/>
  <c r="CR5" i="15"/>
  <c r="CH5" i="15"/>
  <c r="BZ5" i="15"/>
  <c r="BR5" i="15"/>
  <c r="BJ5" i="15"/>
  <c r="BB5" i="15"/>
  <c r="AT5" i="15"/>
  <c r="AL5" i="15"/>
  <c r="AD5" i="15"/>
  <c r="V5" i="15"/>
  <c r="N5" i="15"/>
  <c r="F5" i="15"/>
  <c r="EV4" i="15"/>
  <c r="EN4" i="15"/>
  <c r="EF4" i="15"/>
  <c r="DX4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EX5" i="14"/>
  <c r="EP5" i="14"/>
  <c r="EH5" i="14"/>
  <c r="DZ5" i="14"/>
  <c r="DR5" i="14"/>
  <c r="DJ5" i="14"/>
  <c r="DB5" i="14"/>
  <c r="CT5" i="14"/>
  <c r="CL5" i="14"/>
  <c r="CD5" i="14"/>
  <c r="BV5" i="14"/>
  <c r="BN5" i="14"/>
  <c r="BF5" i="14"/>
  <c r="AX5" i="14"/>
  <c r="AP5" i="14"/>
  <c r="AH5" i="14"/>
  <c r="Z5" i="14"/>
  <c r="R5" i="14"/>
  <c r="J5" i="14"/>
  <c r="B5" i="14"/>
  <c r="ER4" i="14"/>
  <c r="EJ4" i="14"/>
  <c r="EB4" i="14"/>
  <c r="DT4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DC5" i="13"/>
  <c r="AQ5" i="13"/>
  <c r="EC4" i="13"/>
  <c r="BQ4" i="13"/>
  <c r="AH4" i="13"/>
  <c r="Z4" i="13"/>
  <c r="R4" i="13"/>
  <c r="J4" i="13"/>
  <c r="B4" i="13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CU5" i="13"/>
  <c r="AI5" i="13"/>
  <c r="DU4" i="13"/>
  <c r="BI4" i="13"/>
  <c r="AG4" i="13"/>
  <c r="Y4" i="13"/>
  <c r="Q4" i="13"/>
  <c r="I4" i="13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ES4" i="12"/>
  <c r="EK4" i="12"/>
  <c r="EC4" i="12"/>
  <c r="DU4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EU5" i="11"/>
  <c r="EM5" i="11"/>
  <c r="EE5" i="11"/>
  <c r="DW5" i="11"/>
  <c r="DO5" i="11"/>
  <c r="DG5" i="11"/>
  <c r="CY5" i="11"/>
  <c r="CQ5" i="11"/>
  <c r="CI5" i="11"/>
  <c r="CA5" i="11"/>
  <c r="BS5" i="11"/>
  <c r="BK5" i="11"/>
  <c r="BC5" i="11"/>
  <c r="AU5" i="11"/>
  <c r="AM5" i="11"/>
  <c r="AE5" i="11"/>
  <c r="W5" i="11"/>
  <c r="O5" i="11"/>
  <c r="G5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CM5" i="13"/>
  <c r="AA5" i="13"/>
  <c r="DM4" i="13"/>
  <c r="BA4" i="13"/>
  <c r="AF4" i="13"/>
  <c r="X4" i="13"/>
  <c r="P4" i="13"/>
  <c r="H4" i="13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CE5" i="13"/>
  <c r="S5" i="13"/>
  <c r="DE4" i="13"/>
  <c r="AW4" i="13"/>
  <c r="AE4" i="13"/>
  <c r="W4" i="13"/>
  <c r="O4" i="13"/>
  <c r="G4" i="13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W5" i="13"/>
  <c r="K5" i="13"/>
  <c r="CW4" i="13"/>
  <c r="AS4" i="13"/>
  <c r="AD4" i="13"/>
  <c r="V4" i="13"/>
  <c r="N4" i="13"/>
  <c r="F4" i="13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O5" i="13"/>
  <c r="C5" i="13"/>
  <c r="CO4" i="13"/>
  <c r="AO4" i="13"/>
  <c r="AC4" i="13"/>
  <c r="U4" i="13"/>
  <c r="M4" i="13"/>
  <c r="E4" i="13"/>
  <c r="EU5" i="12"/>
  <c r="EM5" i="12"/>
  <c r="EE5" i="12"/>
  <c r="DW5" i="12"/>
  <c r="DO5" i="12"/>
  <c r="DG5" i="12"/>
  <c r="CY5" i="12"/>
  <c r="CQ5" i="12"/>
  <c r="CI5" i="12"/>
  <c r="CA5" i="12"/>
  <c r="BS5" i="12"/>
  <c r="BK5" i="12"/>
  <c r="BC5" i="12"/>
  <c r="AU5" i="12"/>
  <c r="AM5" i="12"/>
  <c r="AE5" i="12"/>
  <c r="W5" i="12"/>
  <c r="O5" i="12"/>
  <c r="G5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BG5" i="13"/>
  <c r="ES4" i="13"/>
  <c r="CG4" i="13"/>
  <c r="AK4" i="13"/>
  <c r="AB4" i="13"/>
  <c r="T4" i="13"/>
  <c r="L4" i="13"/>
  <c r="D4" i="13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AY5" i="13"/>
  <c r="EK4" i="13"/>
  <c r="BY4" i="13"/>
  <c r="AI4" i="13"/>
  <c r="AA4" i="13"/>
  <c r="S4" i="13"/>
  <c r="K4" i="13"/>
  <c r="C4" i="13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CC4" i="10"/>
  <c r="BF4" i="10"/>
  <c r="AV4" i="10"/>
  <c r="AK4" i="10"/>
  <c r="Z4" i="10"/>
  <c r="Q4" i="10"/>
  <c r="H4" i="10"/>
  <c r="EW5" i="9"/>
  <c r="EM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BY4" i="10"/>
  <c r="BE4" i="10"/>
  <c r="AU4" i="10"/>
  <c r="AI4" i="10"/>
  <c r="Y4" i="10"/>
  <c r="P4" i="10"/>
  <c r="G4" i="10"/>
  <c r="EU5" i="9"/>
  <c r="EL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BU4" i="10"/>
  <c r="BD4" i="10"/>
  <c r="AS4" i="10"/>
  <c r="AH4" i="10"/>
  <c r="X4" i="10"/>
  <c r="O4" i="10"/>
  <c r="E4" i="10"/>
  <c r="ET5" i="9"/>
  <c r="EK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BQ4" i="10"/>
  <c r="BC4" i="10"/>
  <c r="AQ4" i="10"/>
  <c r="AG4" i="10"/>
  <c r="W4" i="10"/>
  <c r="M4" i="10"/>
  <c r="D4" i="10"/>
  <c r="ES5" i="9"/>
  <c r="EJ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BN4" i="10"/>
  <c r="BA4" i="10"/>
  <c r="AP4" i="10"/>
  <c r="AF4" i="10"/>
  <c r="U4" i="10"/>
  <c r="L4" i="10"/>
  <c r="C4" i="10"/>
  <c r="ER5" i="9"/>
  <c r="EI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R5" i="7"/>
  <c r="EJ5" i="7"/>
  <c r="EB5" i="7"/>
  <c r="DT5" i="7"/>
  <c r="DL5" i="7"/>
  <c r="DD5" i="7"/>
  <c r="CV5" i="7"/>
  <c r="BM4" i="10"/>
  <c r="AY4" i="10"/>
  <c r="AO4" i="10"/>
  <c r="AE4" i="10"/>
  <c r="T4" i="10"/>
  <c r="K4" i="10"/>
  <c r="B4" i="10"/>
  <c r="EQ5" i="9"/>
  <c r="EH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Q5" i="7"/>
  <c r="EI5" i="7"/>
  <c r="EA5" i="7"/>
  <c r="BI4" i="10"/>
  <c r="AX4" i="10"/>
  <c r="AN4" i="10"/>
  <c r="AC4" i="10"/>
  <c r="S4" i="10"/>
  <c r="J4" i="10"/>
  <c r="EP5" i="9"/>
  <c r="EG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BG4" i="10"/>
  <c r="AW4" i="10"/>
  <c r="AM4" i="10"/>
  <c r="AA4" i="10"/>
  <c r="R4" i="10"/>
  <c r="I4" i="10"/>
  <c r="EX5" i="9"/>
  <c r="EO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DS5" i="7"/>
  <c r="BX5" i="7"/>
  <c r="AR5" i="7"/>
  <c r="L5" i="7"/>
  <c r="ED4" i="7"/>
  <c r="CX4" i="7"/>
  <c r="BR4" i="7"/>
  <c r="AL4" i="7"/>
  <c r="F4" i="7"/>
  <c r="EI5" i="6"/>
  <c r="DO5" i="6"/>
  <c r="CX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DK5" i="7"/>
  <c r="BW5" i="7"/>
  <c r="AQ5" i="7"/>
  <c r="K5" i="7"/>
  <c r="EC4" i="7"/>
  <c r="CW4" i="7"/>
  <c r="BQ4" i="7"/>
  <c r="AK4" i="7"/>
  <c r="E4" i="7"/>
  <c r="EF5" i="6"/>
  <c r="DK5" i="6"/>
  <c r="CW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A4" i="3"/>
  <c r="E921" i="1"/>
  <c r="I920" i="1"/>
  <c r="A920" i="1"/>
  <c r="E919" i="1"/>
  <c r="I918" i="1"/>
  <c r="A918" i="1"/>
  <c r="DC5" i="7"/>
  <c r="BP5" i="7"/>
  <c r="AJ5" i="7"/>
  <c r="D5" i="7"/>
  <c r="DV4" i="7"/>
  <c r="CP4" i="7"/>
  <c r="BJ4" i="7"/>
  <c r="AD4" i="7"/>
  <c r="EE5" i="6"/>
  <c r="DH5" i="6"/>
  <c r="CV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L921" i="1"/>
  <c r="D921" i="1"/>
  <c r="H920" i="1"/>
  <c r="L919" i="1"/>
  <c r="D919" i="1"/>
  <c r="H918" i="1"/>
  <c r="L917" i="1"/>
  <c r="CU5" i="7"/>
  <c r="BO5" i="7"/>
  <c r="AI5" i="7"/>
  <c r="C5" i="7"/>
  <c r="DU4" i="7"/>
  <c r="CO4" i="7"/>
  <c r="BI4" i="7"/>
  <c r="AC4" i="7"/>
  <c r="EV5" i="6"/>
  <c r="EA5" i="6"/>
  <c r="DG5" i="6"/>
  <c r="CU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K921" i="1"/>
  <c r="C921" i="1"/>
  <c r="G920" i="1"/>
  <c r="K919" i="1"/>
  <c r="C919" i="1"/>
  <c r="G918" i="1"/>
  <c r="K917" i="1"/>
  <c r="CN5" i="7"/>
  <c r="BH5" i="7"/>
  <c r="AB5" i="7"/>
  <c r="ET4" i="7"/>
  <c r="DN4" i="7"/>
  <c r="CH4" i="7"/>
  <c r="BB4" i="7"/>
  <c r="V4" i="7"/>
  <c r="EU5" i="6"/>
  <c r="DX5" i="6"/>
  <c r="DC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J921" i="1"/>
  <c r="B921" i="1"/>
  <c r="F920" i="1"/>
  <c r="J919" i="1"/>
  <c r="CM5" i="7"/>
  <c r="BG5" i="7"/>
  <c r="AA5" i="7"/>
  <c r="ES4" i="7"/>
  <c r="DM4" i="7"/>
  <c r="CG4" i="7"/>
  <c r="BA4" i="7"/>
  <c r="U4" i="7"/>
  <c r="EQ5" i="6"/>
  <c r="DW5" i="6"/>
  <c r="DA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I921" i="1"/>
  <c r="A921" i="1"/>
  <c r="E920" i="1"/>
  <c r="I919" i="1"/>
  <c r="A919" i="1"/>
  <c r="E918" i="1"/>
  <c r="I917" i="1"/>
  <c r="CF5" i="7"/>
  <c r="AZ5" i="7"/>
  <c r="T5" i="7"/>
  <c r="EL4" i="7"/>
  <c r="DF4" i="7"/>
  <c r="BZ4" i="7"/>
  <c r="AT4" i="7"/>
  <c r="N4" i="7"/>
  <c r="EN5" i="6"/>
  <c r="DS5" i="6"/>
  <c r="CZ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H921" i="1"/>
  <c r="L920" i="1"/>
  <c r="D920" i="1"/>
  <c r="H919" i="1"/>
  <c r="L918" i="1"/>
  <c r="D918" i="1"/>
  <c r="H917" i="1"/>
  <c r="CE5" i="7"/>
  <c r="AY5" i="7"/>
  <c r="S5" i="7"/>
  <c r="EK4" i="7"/>
  <c r="DE4" i="7"/>
  <c r="BY4" i="7"/>
  <c r="AS4" i="7"/>
  <c r="M4" i="7"/>
  <c r="EM5" i="6"/>
  <c r="DP5" i="6"/>
  <c r="CY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G921" i="1"/>
  <c r="K920" i="1"/>
  <c r="C920" i="1"/>
  <c r="G919" i="1"/>
  <c r="K918" i="1"/>
  <c r="C918" i="1"/>
  <c r="G917" i="1"/>
  <c r="F921" i="1"/>
  <c r="J917" i="1"/>
  <c r="K916" i="1"/>
  <c r="C916" i="1"/>
  <c r="G915" i="1"/>
  <c r="K914" i="1"/>
  <c r="C914" i="1"/>
  <c r="G913" i="1"/>
  <c r="K912" i="1"/>
  <c r="C912" i="1"/>
  <c r="G911" i="1"/>
  <c r="K910" i="1"/>
  <c r="C910" i="1"/>
  <c r="G909" i="1"/>
  <c r="K908" i="1"/>
  <c r="C908" i="1"/>
  <c r="G907" i="1"/>
  <c r="K906" i="1"/>
  <c r="C906" i="1"/>
  <c r="G905" i="1"/>
  <c r="K904" i="1"/>
  <c r="C904" i="1"/>
  <c r="G903" i="1"/>
  <c r="K902" i="1"/>
  <c r="C902" i="1"/>
  <c r="G901" i="1"/>
  <c r="K900" i="1"/>
  <c r="C900" i="1"/>
  <c r="G899" i="1"/>
  <c r="K898" i="1"/>
  <c r="C898" i="1"/>
  <c r="G897" i="1"/>
  <c r="K896" i="1"/>
  <c r="C896" i="1"/>
  <c r="G895" i="1"/>
  <c r="K894" i="1"/>
  <c r="C894" i="1"/>
  <c r="G893" i="1"/>
  <c r="K892" i="1"/>
  <c r="C892" i="1"/>
  <c r="G891" i="1"/>
  <c r="K890" i="1"/>
  <c r="C890" i="1"/>
  <c r="G889" i="1"/>
  <c r="K888" i="1"/>
  <c r="C888" i="1"/>
  <c r="G887" i="1"/>
  <c r="K886" i="1"/>
  <c r="C886" i="1"/>
  <c r="G885" i="1"/>
  <c r="K884" i="1"/>
  <c r="C884" i="1"/>
  <c r="G883" i="1"/>
  <c r="K882" i="1"/>
  <c r="C882" i="1"/>
  <c r="G881" i="1"/>
  <c r="K880" i="1"/>
  <c r="C880" i="1"/>
  <c r="G879" i="1"/>
  <c r="K878" i="1"/>
  <c r="C878" i="1"/>
  <c r="G877" i="1"/>
  <c r="K876" i="1"/>
  <c r="C876" i="1"/>
  <c r="G875" i="1"/>
  <c r="K874" i="1"/>
  <c r="C874" i="1"/>
  <c r="G873" i="1"/>
  <c r="K872" i="1"/>
  <c r="C872" i="1"/>
  <c r="G871" i="1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J920" i="1"/>
  <c r="F917" i="1"/>
  <c r="J916" i="1"/>
  <c r="B916" i="1"/>
  <c r="F915" i="1"/>
  <c r="J914" i="1"/>
  <c r="B914" i="1"/>
  <c r="F913" i="1"/>
  <c r="J912" i="1"/>
  <c r="B912" i="1"/>
  <c r="F911" i="1"/>
  <c r="J910" i="1"/>
  <c r="B910" i="1"/>
  <c r="F909" i="1"/>
  <c r="J908" i="1"/>
  <c r="B908" i="1"/>
  <c r="F907" i="1"/>
  <c r="J906" i="1"/>
  <c r="B906" i="1"/>
  <c r="F905" i="1"/>
  <c r="J904" i="1"/>
  <c r="B904" i="1"/>
  <c r="F903" i="1"/>
  <c r="J902" i="1"/>
  <c r="B902" i="1"/>
  <c r="F901" i="1"/>
  <c r="J900" i="1"/>
  <c r="B900" i="1"/>
  <c r="F899" i="1"/>
  <c r="J898" i="1"/>
  <c r="B898" i="1"/>
  <c r="F897" i="1"/>
  <c r="J896" i="1"/>
  <c r="B896" i="1"/>
  <c r="F895" i="1"/>
  <c r="J894" i="1"/>
  <c r="B894" i="1"/>
  <c r="F893" i="1"/>
  <c r="J892" i="1"/>
  <c r="B892" i="1"/>
  <c r="F891" i="1"/>
  <c r="J890" i="1"/>
  <c r="B890" i="1"/>
  <c r="F889" i="1"/>
  <c r="J888" i="1"/>
  <c r="B888" i="1"/>
  <c r="F887" i="1"/>
  <c r="J886" i="1"/>
  <c r="B886" i="1"/>
  <c r="F885" i="1"/>
  <c r="J884" i="1"/>
  <c r="B884" i="1"/>
  <c r="F883" i="1"/>
  <c r="J882" i="1"/>
  <c r="B882" i="1"/>
  <c r="F881" i="1"/>
  <c r="J880" i="1"/>
  <c r="B880" i="1"/>
  <c r="F879" i="1"/>
  <c r="J878" i="1"/>
  <c r="B878" i="1"/>
  <c r="F877" i="1"/>
  <c r="J876" i="1"/>
  <c r="B876" i="1"/>
  <c r="F875" i="1"/>
  <c r="J874" i="1"/>
  <c r="B874" i="1"/>
  <c r="F873" i="1"/>
  <c r="J872" i="1"/>
  <c r="B872" i="1"/>
  <c r="F871" i="1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B920" i="1"/>
  <c r="E917" i="1"/>
  <c r="I916" i="1"/>
  <c r="A916" i="1"/>
  <c r="E915" i="1"/>
  <c r="I914" i="1"/>
  <c r="A914" i="1"/>
  <c r="E913" i="1"/>
  <c r="I912" i="1"/>
  <c r="A912" i="1"/>
  <c r="E911" i="1"/>
  <c r="I910" i="1"/>
  <c r="A910" i="1"/>
  <c r="E909" i="1"/>
  <c r="I908" i="1"/>
  <c r="A908" i="1"/>
  <c r="E907" i="1"/>
  <c r="I906" i="1"/>
  <c r="A906" i="1"/>
  <c r="E905" i="1"/>
  <c r="I904" i="1"/>
  <c r="A904" i="1"/>
  <c r="E903" i="1"/>
  <c r="I902" i="1"/>
  <c r="A902" i="1"/>
  <c r="E901" i="1"/>
  <c r="I900" i="1"/>
  <c r="A900" i="1"/>
  <c r="E899" i="1"/>
  <c r="I898" i="1"/>
  <c r="A898" i="1"/>
  <c r="E897" i="1"/>
  <c r="I896" i="1"/>
  <c r="A896" i="1"/>
  <c r="E895" i="1"/>
  <c r="I894" i="1"/>
  <c r="A894" i="1"/>
  <c r="E893" i="1"/>
  <c r="I892" i="1"/>
  <c r="A892" i="1"/>
  <c r="E891" i="1"/>
  <c r="I890" i="1"/>
  <c r="A890" i="1"/>
  <c r="E889" i="1"/>
  <c r="I888" i="1"/>
  <c r="A888" i="1"/>
  <c r="E887" i="1"/>
  <c r="I886" i="1"/>
  <c r="A886" i="1"/>
  <c r="E885" i="1"/>
  <c r="I884" i="1"/>
  <c r="A884" i="1"/>
  <c r="E883" i="1"/>
  <c r="I882" i="1"/>
  <c r="A882" i="1"/>
  <c r="E881" i="1"/>
  <c r="I880" i="1"/>
  <c r="A880" i="1"/>
  <c r="E879" i="1"/>
  <c r="I878" i="1"/>
  <c r="A878" i="1"/>
  <c r="E877" i="1"/>
  <c r="I876" i="1"/>
  <c r="A876" i="1"/>
  <c r="E875" i="1"/>
  <c r="I874" i="1"/>
  <c r="A874" i="1"/>
  <c r="E873" i="1"/>
  <c r="I872" i="1"/>
  <c r="A872" i="1"/>
  <c r="E871" i="1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F919" i="1"/>
  <c r="D917" i="1"/>
  <c r="H916" i="1"/>
  <c r="L915" i="1"/>
  <c r="D915" i="1"/>
  <c r="H914" i="1"/>
  <c r="L913" i="1"/>
  <c r="D913" i="1"/>
  <c r="H912" i="1"/>
  <c r="L911" i="1"/>
  <c r="D911" i="1"/>
  <c r="H910" i="1"/>
  <c r="L909" i="1"/>
  <c r="D909" i="1"/>
  <c r="H908" i="1"/>
  <c r="L907" i="1"/>
  <c r="D907" i="1"/>
  <c r="H906" i="1"/>
  <c r="L905" i="1"/>
  <c r="D905" i="1"/>
  <c r="H904" i="1"/>
  <c r="L903" i="1"/>
  <c r="D903" i="1"/>
  <c r="H902" i="1"/>
  <c r="L901" i="1"/>
  <c r="D901" i="1"/>
  <c r="H900" i="1"/>
  <c r="L899" i="1"/>
  <c r="D899" i="1"/>
  <c r="H898" i="1"/>
  <c r="L897" i="1"/>
  <c r="D897" i="1"/>
  <c r="H896" i="1"/>
  <c r="L895" i="1"/>
  <c r="D895" i="1"/>
  <c r="H894" i="1"/>
  <c r="L893" i="1"/>
  <c r="D893" i="1"/>
  <c r="H892" i="1"/>
  <c r="L891" i="1"/>
  <c r="D891" i="1"/>
  <c r="H890" i="1"/>
  <c r="L889" i="1"/>
  <c r="D889" i="1"/>
  <c r="H888" i="1"/>
  <c r="L887" i="1"/>
  <c r="D887" i="1"/>
  <c r="H886" i="1"/>
  <c r="L885" i="1"/>
  <c r="D885" i="1"/>
  <c r="H884" i="1"/>
  <c r="L883" i="1"/>
  <c r="D883" i="1"/>
  <c r="H882" i="1"/>
  <c r="L881" i="1"/>
  <c r="D881" i="1"/>
  <c r="H880" i="1"/>
  <c r="L879" i="1"/>
  <c r="D879" i="1"/>
  <c r="H878" i="1"/>
  <c r="L877" i="1"/>
  <c r="D877" i="1"/>
  <c r="H876" i="1"/>
  <c r="L875" i="1"/>
  <c r="D875" i="1"/>
  <c r="H874" i="1"/>
  <c r="L873" i="1"/>
  <c r="D873" i="1"/>
  <c r="H872" i="1"/>
  <c r="L871" i="1"/>
  <c r="D871" i="1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B919" i="1"/>
  <c r="C917" i="1"/>
  <c r="G916" i="1"/>
  <c r="K915" i="1"/>
  <c r="C915" i="1"/>
  <c r="G914" i="1"/>
  <c r="K913" i="1"/>
  <c r="C913" i="1"/>
  <c r="G912" i="1"/>
  <c r="K911" i="1"/>
  <c r="C911" i="1"/>
  <c r="G910" i="1"/>
  <c r="K909" i="1"/>
  <c r="C909" i="1"/>
  <c r="G908" i="1"/>
  <c r="K907" i="1"/>
  <c r="C907" i="1"/>
  <c r="G906" i="1"/>
  <c r="K905" i="1"/>
  <c r="C905" i="1"/>
  <c r="G904" i="1"/>
  <c r="K903" i="1"/>
  <c r="C903" i="1"/>
  <c r="G902" i="1"/>
  <c r="K901" i="1"/>
  <c r="C901" i="1"/>
  <c r="G900" i="1"/>
  <c r="K899" i="1"/>
  <c r="C899" i="1"/>
  <c r="G898" i="1"/>
  <c r="K897" i="1"/>
  <c r="C897" i="1"/>
  <c r="G896" i="1"/>
  <c r="K895" i="1"/>
  <c r="C895" i="1"/>
  <c r="G894" i="1"/>
  <c r="K893" i="1"/>
  <c r="C893" i="1"/>
  <c r="G892" i="1"/>
  <c r="K891" i="1"/>
  <c r="C891" i="1"/>
  <c r="G890" i="1"/>
  <c r="K889" i="1"/>
  <c r="C889" i="1"/>
  <c r="G888" i="1"/>
  <c r="K887" i="1"/>
  <c r="C887" i="1"/>
  <c r="G886" i="1"/>
  <c r="K885" i="1"/>
  <c r="C885" i="1"/>
  <c r="G884" i="1"/>
  <c r="K883" i="1"/>
  <c r="C883" i="1"/>
  <c r="G882" i="1"/>
  <c r="K881" i="1"/>
  <c r="C881" i="1"/>
  <c r="G880" i="1"/>
  <c r="K879" i="1"/>
  <c r="C879" i="1"/>
  <c r="G878" i="1"/>
  <c r="K877" i="1"/>
  <c r="C877" i="1"/>
  <c r="G876" i="1"/>
  <c r="K875" i="1"/>
  <c r="C875" i="1"/>
  <c r="G874" i="1"/>
  <c r="K873" i="1"/>
  <c r="C873" i="1"/>
  <c r="G872" i="1"/>
  <c r="K871" i="1"/>
  <c r="C871" i="1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J918" i="1"/>
  <c r="B917" i="1"/>
  <c r="F916" i="1"/>
  <c r="J915" i="1"/>
  <c r="B915" i="1"/>
  <c r="F914" i="1"/>
  <c r="J913" i="1"/>
  <c r="B913" i="1"/>
  <c r="F912" i="1"/>
  <c r="J911" i="1"/>
  <c r="B911" i="1"/>
  <c r="F910" i="1"/>
  <c r="J909" i="1"/>
  <c r="B909" i="1"/>
  <c r="F908" i="1"/>
  <c r="J907" i="1"/>
  <c r="B907" i="1"/>
  <c r="F906" i="1"/>
  <c r="J905" i="1"/>
  <c r="B905" i="1"/>
  <c r="F904" i="1"/>
  <c r="J903" i="1"/>
  <c r="B903" i="1"/>
  <c r="F902" i="1"/>
  <c r="J901" i="1"/>
  <c r="B901" i="1"/>
  <c r="F900" i="1"/>
  <c r="J899" i="1"/>
  <c r="B899" i="1"/>
  <c r="F898" i="1"/>
  <c r="J897" i="1"/>
  <c r="B897" i="1"/>
  <c r="F896" i="1"/>
  <c r="J895" i="1"/>
  <c r="B895" i="1"/>
  <c r="F894" i="1"/>
  <c r="J893" i="1"/>
  <c r="B893" i="1"/>
  <c r="F892" i="1"/>
  <c r="J891" i="1"/>
  <c r="B891" i="1"/>
  <c r="F890" i="1"/>
  <c r="J889" i="1"/>
  <c r="B889" i="1"/>
  <c r="F888" i="1"/>
  <c r="J887" i="1"/>
  <c r="B887" i="1"/>
  <c r="F886" i="1"/>
  <c r="J885" i="1"/>
  <c r="B885" i="1"/>
  <c r="F884" i="1"/>
  <c r="J883" i="1"/>
  <c r="B883" i="1"/>
  <c r="F882" i="1"/>
  <c r="J881" i="1"/>
  <c r="B881" i="1"/>
  <c r="F880" i="1"/>
  <c r="J879" i="1"/>
  <c r="B879" i="1"/>
  <c r="F878" i="1"/>
  <c r="J877" i="1"/>
  <c r="B877" i="1"/>
  <c r="F876" i="1"/>
  <c r="J875" i="1"/>
  <c r="B875" i="1"/>
  <c r="F874" i="1"/>
  <c r="J873" i="1"/>
  <c r="B873" i="1"/>
  <c r="F872" i="1"/>
  <c r="J871" i="1"/>
  <c r="B871" i="1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F918" i="1"/>
  <c r="A917" i="1"/>
  <c r="E916" i="1"/>
  <c r="I915" i="1"/>
  <c r="A915" i="1"/>
  <c r="E914" i="1"/>
  <c r="I913" i="1"/>
  <c r="A913" i="1"/>
  <c r="E912" i="1"/>
  <c r="I911" i="1"/>
  <c r="A911" i="1"/>
  <c r="E910" i="1"/>
  <c r="I909" i="1"/>
  <c r="A909" i="1"/>
  <c r="E908" i="1"/>
  <c r="I907" i="1"/>
  <c r="A907" i="1"/>
  <c r="E906" i="1"/>
  <c r="I905" i="1"/>
  <c r="A905" i="1"/>
  <c r="E904" i="1"/>
  <c r="I903" i="1"/>
  <c r="A903" i="1"/>
  <c r="E902" i="1"/>
  <c r="I901" i="1"/>
  <c r="A901" i="1"/>
  <c r="E900" i="1"/>
  <c r="I899" i="1"/>
  <c r="A899" i="1"/>
  <c r="E898" i="1"/>
  <c r="I897" i="1"/>
  <c r="A897" i="1"/>
  <c r="E896" i="1"/>
  <c r="I895" i="1"/>
  <c r="A895" i="1"/>
  <c r="E894" i="1"/>
  <c r="I893" i="1"/>
  <c r="A893" i="1"/>
  <c r="E892" i="1"/>
  <c r="I891" i="1"/>
  <c r="A891" i="1"/>
  <c r="E890" i="1"/>
  <c r="I889" i="1"/>
  <c r="A889" i="1"/>
  <c r="E888" i="1"/>
  <c r="I887" i="1"/>
  <c r="A887" i="1"/>
  <c r="E886" i="1"/>
  <c r="I885" i="1"/>
  <c r="A885" i="1"/>
  <c r="E884" i="1"/>
  <c r="I883" i="1"/>
  <c r="A883" i="1"/>
  <c r="E882" i="1"/>
  <c r="I881" i="1"/>
  <c r="A881" i="1"/>
  <c r="E880" i="1"/>
  <c r="I879" i="1"/>
  <c r="A879" i="1"/>
  <c r="E878" i="1"/>
  <c r="I877" i="1"/>
  <c r="A877" i="1"/>
  <c r="E876" i="1"/>
  <c r="I875" i="1"/>
  <c r="A875" i="1"/>
  <c r="E874" i="1"/>
  <c r="I873" i="1"/>
  <c r="A873" i="1"/>
  <c r="E872" i="1"/>
  <c r="I871" i="1"/>
  <c r="A871" i="1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B918" i="1"/>
  <c r="L916" i="1"/>
  <c r="D916" i="1"/>
  <c r="H915" i="1"/>
  <c r="L914" i="1"/>
  <c r="D914" i="1"/>
  <c r="H913" i="1"/>
  <c r="L912" i="1"/>
  <c r="D912" i="1"/>
  <c r="H911" i="1"/>
  <c r="L910" i="1"/>
  <c r="D910" i="1"/>
  <c r="H909" i="1"/>
  <c r="L908" i="1"/>
  <c r="D908" i="1"/>
  <c r="H907" i="1"/>
  <c r="L906" i="1"/>
  <c r="D906" i="1"/>
  <c r="H905" i="1"/>
  <c r="L904" i="1"/>
  <c r="D904" i="1"/>
  <c r="H903" i="1"/>
  <c r="L902" i="1"/>
  <c r="D902" i="1"/>
  <c r="H901" i="1"/>
  <c r="L900" i="1"/>
  <c r="D900" i="1"/>
  <c r="H899" i="1"/>
  <c r="L898" i="1"/>
  <c r="D898" i="1"/>
  <c r="H897" i="1"/>
  <c r="L896" i="1"/>
  <c r="D896" i="1"/>
  <c r="H895" i="1"/>
  <c r="L894" i="1"/>
  <c r="D894" i="1"/>
  <c r="H893" i="1"/>
  <c r="L892" i="1"/>
  <c r="D892" i="1"/>
  <c r="H891" i="1"/>
  <c r="L890" i="1"/>
  <c r="D890" i="1"/>
  <c r="H889" i="1"/>
  <c r="L888" i="1"/>
  <c r="D888" i="1"/>
  <c r="H887" i="1"/>
  <c r="L886" i="1"/>
  <c r="D886" i="1"/>
  <c r="H885" i="1"/>
  <c r="L884" i="1"/>
  <c r="D884" i="1"/>
  <c r="H883" i="1"/>
  <c r="L882" i="1"/>
  <c r="D882" i="1"/>
  <c r="H881" i="1"/>
  <c r="L880" i="1"/>
  <c r="D880" i="1"/>
  <c r="H879" i="1"/>
  <c r="L878" i="1"/>
  <c r="D878" i="1"/>
  <c r="H877" i="1"/>
  <c r="L876" i="1"/>
  <c r="D876" i="1"/>
  <c r="H875" i="1"/>
  <c r="L874" i="1"/>
  <c r="D874" i="1"/>
  <c r="H873" i="1"/>
  <c r="L872" i="1"/>
  <c r="D872" i="1"/>
  <c r="H871" i="1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C833" i="1"/>
  <c r="C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B833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A833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L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G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F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E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D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F771" i="1"/>
  <c r="B766" i="1"/>
  <c r="J760" i="1"/>
  <c r="F755" i="1"/>
  <c r="B750" i="1"/>
  <c r="B747" i="1"/>
  <c r="D746" i="1"/>
  <c r="F745" i="1"/>
  <c r="F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B776" i="1"/>
  <c r="J770" i="1"/>
  <c r="F765" i="1"/>
  <c r="B760" i="1"/>
  <c r="J754" i="1"/>
  <c r="F749" i="1"/>
  <c r="A747" i="1"/>
  <c r="C746" i="1"/>
  <c r="C745" i="1"/>
  <c r="E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F775" i="1"/>
  <c r="B770" i="1"/>
  <c r="J764" i="1"/>
  <c r="F759" i="1"/>
  <c r="B754" i="1"/>
  <c r="J748" i="1"/>
  <c r="L746" i="1"/>
  <c r="B746" i="1"/>
  <c r="B745" i="1"/>
  <c r="D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J774" i="1"/>
  <c r="F769" i="1"/>
  <c r="B764" i="1"/>
  <c r="J758" i="1"/>
  <c r="F753" i="1"/>
  <c r="B748" i="1"/>
  <c r="K746" i="1"/>
  <c r="K745" i="1"/>
  <c r="A745" i="1"/>
  <c r="C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B774" i="1"/>
  <c r="J768" i="1"/>
  <c r="F763" i="1"/>
  <c r="B758" i="1"/>
  <c r="J752" i="1"/>
  <c r="I747" i="1"/>
  <c r="J746" i="1"/>
  <c r="J745" i="1"/>
  <c r="L744" i="1"/>
  <c r="B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F773" i="1"/>
  <c r="B768" i="1"/>
  <c r="J762" i="1"/>
  <c r="F757" i="1"/>
  <c r="B752" i="1"/>
  <c r="H747" i="1"/>
  <c r="G746" i="1"/>
  <c r="I745" i="1"/>
  <c r="K744" i="1"/>
  <c r="A744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J772" i="1"/>
  <c r="F767" i="1"/>
  <c r="B762" i="1"/>
  <c r="J756" i="1"/>
  <c r="F751" i="1"/>
  <c r="F747" i="1"/>
  <c r="F746" i="1"/>
  <c r="H745" i="1"/>
  <c r="J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B772" i="1"/>
  <c r="J766" i="1"/>
  <c r="F761" i="1"/>
  <c r="B756" i="1"/>
  <c r="J750" i="1"/>
  <c r="C747" i="1"/>
  <c r="E746" i="1"/>
  <c r="G745" i="1"/>
  <c r="G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K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J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D420" i="1"/>
  <c r="G419" i="1"/>
  <c r="J418" i="1"/>
  <c r="A418" i="1"/>
  <c r="D417" i="1"/>
  <c r="F416" i="1"/>
  <c r="I415" i="1"/>
  <c r="L414" i="1"/>
  <c r="C414" i="1"/>
  <c r="F413" i="1"/>
  <c r="I412" i="1"/>
  <c r="L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G421" i="1"/>
  <c r="C420" i="1"/>
  <c r="F419" i="1"/>
  <c r="I418" i="1"/>
  <c r="L417" i="1"/>
  <c r="B417" i="1"/>
  <c r="E416" i="1"/>
  <c r="H415" i="1"/>
  <c r="K414" i="1"/>
  <c r="B414" i="1"/>
  <c r="E413" i="1"/>
  <c r="H412" i="1"/>
  <c r="J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A421" i="1"/>
  <c r="B420" i="1"/>
  <c r="E419" i="1"/>
  <c r="H418" i="1"/>
  <c r="J417" i="1"/>
  <c r="A417" i="1"/>
  <c r="D416" i="1"/>
  <c r="G415" i="1"/>
  <c r="J414" i="1"/>
  <c r="A414" i="1"/>
  <c r="D413" i="1"/>
  <c r="F412" i="1"/>
  <c r="I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L420" i="1"/>
  <c r="A420" i="1"/>
  <c r="D419" i="1"/>
  <c r="F418" i="1"/>
  <c r="I417" i="1"/>
  <c r="L416" i="1"/>
  <c r="C416" i="1"/>
  <c r="F415" i="1"/>
  <c r="I414" i="1"/>
  <c r="L413" i="1"/>
  <c r="B413" i="1"/>
  <c r="E412" i="1"/>
  <c r="H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420" i="1"/>
  <c r="L419" i="1"/>
  <c r="B419" i="1"/>
  <c r="E418" i="1"/>
  <c r="H417" i="1"/>
  <c r="K416" i="1"/>
  <c r="B416" i="1"/>
  <c r="E415" i="1"/>
  <c r="H414" i="1"/>
  <c r="J413" i="1"/>
  <c r="A413" i="1"/>
  <c r="D412" i="1"/>
  <c r="G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I420" i="1"/>
  <c r="J419" i="1"/>
  <c r="A419" i="1"/>
  <c r="D418" i="1"/>
  <c r="G417" i="1"/>
  <c r="J416" i="1"/>
  <c r="A416" i="1"/>
  <c r="D415" i="1"/>
  <c r="F414" i="1"/>
  <c r="I413" i="1"/>
  <c r="L412" i="1"/>
  <c r="C412" i="1"/>
  <c r="F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H420" i="1"/>
  <c r="I419" i="1"/>
  <c r="L418" i="1"/>
  <c r="C418" i="1"/>
  <c r="F417" i="1"/>
  <c r="I416" i="1"/>
  <c r="L415" i="1"/>
  <c r="B415" i="1"/>
  <c r="E414" i="1"/>
  <c r="H413" i="1"/>
  <c r="K412" i="1"/>
  <c r="B412" i="1"/>
  <c r="E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E420" i="1"/>
  <c r="H419" i="1"/>
  <c r="K418" i="1"/>
  <c r="B418" i="1"/>
  <c r="E417" i="1"/>
  <c r="H416" i="1"/>
  <c r="J415" i="1"/>
  <c r="A415" i="1"/>
  <c r="D414" i="1"/>
  <c r="G413" i="1"/>
  <c r="J412" i="1"/>
  <c r="A412" i="1"/>
  <c r="D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K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J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G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F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J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I81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E81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B81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A81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I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</calcChain>
</file>

<file path=xl/sharedStrings.xml><?xml version="1.0" encoding="utf-8"?>
<sst xmlns="http://schemas.openxmlformats.org/spreadsheetml/2006/main" count="196" uniqueCount="54">
  <si>
    <t>Master Data Info</t>
  </si>
  <si>
    <t>Modules Info</t>
  </si>
  <si>
    <t>Settings</t>
  </si>
  <si>
    <t>Module</t>
  </si>
  <si>
    <t>Module Step Setting File</t>
  </si>
  <si>
    <t>1EIOAnn5_ydURa9w8aagTvOqRzTyrnNiyPEGPgiL87Y4</t>
  </si>
  <si>
    <t>Modules</t>
  </si>
  <si>
    <t>Step</t>
  </si>
  <si>
    <t>Master Data Settings File</t>
  </si>
  <si>
    <t>1Nt_rf5DtgjbN9Ag4AMMlUkZYROxKZLH5m54YOl7tRT0</t>
  </si>
  <si>
    <t>Master Data Sheet</t>
  </si>
  <si>
    <t>Data</t>
  </si>
  <si>
    <t>DailyValuation</t>
  </si>
  <si>
    <t>GetDailyCash</t>
  </si>
  <si>
    <t>Data Format</t>
  </si>
  <si>
    <t>Input Format</t>
  </si>
  <si>
    <t>TradingTicket</t>
  </si>
  <si>
    <t>CreateDoneAwayOrder</t>
  </si>
  <si>
    <t>msft</t>
  </si>
  <si>
    <t>buy</t>
  </si>
  <si>
    <t xml:space="preserve"> </t>
  </si>
  <si>
    <t>UpdateDailyCash</t>
  </si>
  <si>
    <t>Allocation1</t>
  </si>
  <si>
    <t>AAPL</t>
  </si>
  <si>
    <t>USD</t>
  </si>
  <si>
    <t>Buy</t>
  </si>
  <si>
    <t>Allocation2</t>
  </si>
  <si>
    <t>PTT</t>
  </si>
  <si>
    <t>PricingInput</t>
  </si>
  <si>
    <t>CalculatePTT</t>
  </si>
  <si>
    <t>Set</t>
  </si>
  <si>
    <t>Basis Point</t>
  </si>
  <si>
    <t>No</t>
  </si>
  <si>
    <t>Account</t>
  </si>
  <si>
    <t>Allocation1,Allocation2</t>
  </si>
  <si>
    <t>VerifyPTT</t>
  </si>
  <si>
    <t>TradePTT</t>
  </si>
  <si>
    <t xml:space="preserve">  </t>
  </si>
  <si>
    <t>MultiTradingTicket</t>
  </si>
  <si>
    <t>BulkChangeTradeDoneAway</t>
  </si>
  <si>
    <t>Flat Amount</t>
  </si>
  <si>
    <t>Allocation</t>
  </si>
  <si>
    <t>GetDataAllocation</t>
  </si>
  <si>
    <t>CheckAllocatedGroups</t>
  </si>
  <si>
    <t>Current</t>
  </si>
  <si>
    <t>Sell</t>
  </si>
  <si>
    <t>Closing</t>
  </si>
  <si>
    <t>GetDataClosing</t>
  </si>
  <si>
    <t>VerifyLongPositionsGrid</t>
  </si>
  <si>
    <t xml:space="preserve">Buy </t>
  </si>
  <si>
    <t>VerifyShortPositionsGrid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</si>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</sst>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Arial"/>
    </font>
    <font>
      <b/>
      <sz val="14"/>
      <color rgb="FFFFFFFF"/>
      <name val="Calibri"/>
    </font>
    <font>
      <sz val="14"/>
      <color rgb="FFFFFFFF"/>
      <name val="Calibri"/>
    </font>
    <font>
      <sz val="10"/>
      <name val="Arial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6" fillId="3" borderId="4" xfId="0" applyFont="1" applyFill="1" applyBorder="1" applyAlignment="1"/>
    <xf numFmtId="0" fontId="5" fillId="0" borderId="0" xfId="0" applyFont="1" applyAlignment="1"/>
    <xf numFmtId="0" fontId="7" fillId="3" borderId="4" xfId="0" applyFont="1" applyFill="1" applyBorder="1" applyAlignment="1"/>
    <xf numFmtId="0" fontId="4" fillId="3" borderId="4" xfId="0" applyFont="1" applyFill="1" applyBorder="1" applyAlignment="1"/>
    <xf numFmtId="0" fontId="8" fillId="3" borderId="4" xfId="0" applyFont="1" applyFill="1" applyBorder="1" applyAlignment="1"/>
    <xf numFmtId="0" fontId="7" fillId="3" borderId="4" xfId="0" applyFont="1" applyFill="1" applyBorder="1" applyAlignment="1"/>
    <xf numFmtId="0" fontId="4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8" fillId="0" borderId="0" xfId="0" applyFont="1" applyAlignment="1"/>
    <xf numFmtId="0" fontId="6" fillId="3" borderId="0" xfId="0" applyFont="1" applyFill="1" applyAlignment="1"/>
    <xf numFmtId="0" fontId="8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14" fontId="5" fillId="0" borderId="5" xfId="0" applyNumberFormat="1" applyFont="1" applyBorder="1" applyAlignment="1">
      <alignment horizontal="right"/>
    </xf>
    <xf numFmtId="14" fontId="5" fillId="0" borderId="0" xfId="0" applyNumberFormat="1" applyFont="1" applyAlignment="1"/>
    <xf numFmtId="0" fontId="3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4" fillId="0" borderId="5" xfId="0" applyFont="1" applyBorder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14" fontId="5" fillId="0" borderId="5" xfId="0" applyNumberFormat="1" applyFont="1" applyBorder="1" applyAlignment="1">
      <alignment horizontal="right"/>
    </xf>
    <xf numFmtId="0" fontId="4" fillId="0" borderId="0" xfId="0" applyFont="1" applyAlignment="1"/>
    <xf numFmtId="14" fontId="5" fillId="0" borderId="0" xfId="0" applyNumberFormat="1" applyFont="1" applyAlignment="1">
      <alignment horizontal="right"/>
    </xf>
    <xf numFmtId="0" fontId="13" fillId="0" borderId="5" xfId="0" applyFont="1" applyBorder="1" applyAlignment="1"/>
    <xf numFmtId="0" fontId="13" fillId="0" borderId="5" xfId="0" applyFont="1" applyBorder="1" applyAlignment="1"/>
    <xf numFmtId="0" fontId="5" fillId="0" borderId="5" xfId="0" applyFont="1" applyBorder="1" applyAlignment="1"/>
    <xf numFmtId="0" fontId="13" fillId="0" borderId="5" xfId="0" applyFont="1" applyBorder="1" applyAlignment="1">
      <alignment horizontal="right"/>
    </xf>
    <xf numFmtId="0" fontId="13" fillId="0" borderId="5" xfId="0" applyFont="1" applyBorder="1" applyAlignment="1">
      <alignment horizontal="right"/>
    </xf>
    <xf numFmtId="0" fontId="13" fillId="0" borderId="6" xfId="0" applyFont="1" applyBorder="1" applyAlignment="1"/>
    <xf numFmtId="0" fontId="4" fillId="0" borderId="5" xfId="0" applyFont="1" applyBorder="1" applyAlignment="1"/>
    <xf numFmtId="0" fontId="14" fillId="0" borderId="5" xfId="0" applyFont="1" applyBorder="1" applyAlignment="1"/>
    <xf numFmtId="0" fontId="14" fillId="0" borderId="5" xfId="0" applyFont="1" applyBorder="1" applyAlignment="1">
      <alignment horizontal="right"/>
    </xf>
    <xf numFmtId="0" fontId="14" fillId="0" borderId="5" xfId="0" applyFont="1" applyBorder="1" applyAlignment="1">
      <alignment horizontal="right"/>
    </xf>
    <xf numFmtId="0" fontId="14" fillId="0" borderId="5" xfId="0" applyFont="1" applyBorder="1" applyAlignment="1">
      <alignment horizontal="right"/>
    </xf>
    <xf numFmtId="0" fontId="14" fillId="0" borderId="0" xfId="0" applyFont="1" applyAlignment="1"/>
    <xf numFmtId="0" fontId="14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52" t="s">
        <v>1</v>
      </c>
      <c r="B1" s="53"/>
      <c r="C1" s="53"/>
      <c r="D1" s="53"/>
      <c r="E1" s="53"/>
      <c r="F1" s="54"/>
    </row>
    <row r="2" spans="1:12" ht="15.75" customHeight="1" x14ac:dyDescent="0.2">
      <c r="A2" s="1"/>
      <c r="B2" s="1"/>
      <c r="C2" s="1"/>
      <c r="D2" s="1"/>
      <c r="E2" s="1"/>
      <c r="F2" s="1"/>
    </row>
    <row r="3" spans="1:12" ht="15.75" customHeight="1" x14ac:dyDescent="0.2">
      <c r="A3" s="3" t="s">
        <v>6</v>
      </c>
      <c r="B3" s="7"/>
      <c r="C3" s="10"/>
      <c r="D3" s="10"/>
      <c r="E3" s="10"/>
      <c r="F3" s="10"/>
    </row>
    <row r="4" spans="1:12" ht="15.75" customHeight="1" x14ac:dyDescent="0.2">
      <c r="A4" s="2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2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27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IFERROR(__xludf.DUMMYFUNCTION("""COMPUTED_VALUE"""),"1y3edACvUtHcrCyn7bfzWXET_VAfASVChWeHuDnd6534")</f>
        <v>1y3edACvUtHcrCyn7bfzWXET_VAfASVChWeHuDnd6534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 x14ac:dyDescent="0.2"/>
    <row r="923" spans="1:12" ht="15.75" customHeight="1" x14ac:dyDescent="0.2"/>
    <row r="924" spans="1:12" ht="15.75" customHeight="1" x14ac:dyDescent="0.2"/>
    <row r="925" spans="1:12" ht="15.75" customHeight="1" x14ac:dyDescent="0.2"/>
    <row r="926" spans="1:12" ht="15.75" customHeight="1" x14ac:dyDescent="0.2"/>
    <row r="927" spans="1:12" ht="15.75" customHeight="1" x14ac:dyDescent="0.2"/>
    <row r="928" spans="1:12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55" t="s">
        <v>2</v>
      </c>
      <c r="B1" s="53"/>
      <c r="C1" s="54"/>
    </row>
    <row r="2" spans="1:3" ht="15.75" customHeight="1" x14ac:dyDescent="0.2">
      <c r="A2" s="2"/>
      <c r="B2" s="2"/>
      <c r="C2" s="2"/>
    </row>
    <row r="3" spans="1:3" ht="15.75" customHeight="1" x14ac:dyDescent="0.2">
      <c r="A3" s="3" t="s">
        <v>4</v>
      </c>
      <c r="B3" s="5" t="s">
        <v>5</v>
      </c>
      <c r="C3" s="2"/>
    </row>
    <row r="4" spans="1:3" ht="15.75" customHeight="1" x14ac:dyDescent="0.2">
      <c r="A4" s="4" t="s">
        <v>8</v>
      </c>
      <c r="B4" s="5" t="s">
        <v>9</v>
      </c>
      <c r="C4" s="2"/>
    </row>
    <row r="5" spans="1:3" ht="15.75" customHeight="1" x14ac:dyDescent="0.2">
      <c r="A5" s="8"/>
      <c r="B5" s="2"/>
      <c r="C5" s="2"/>
    </row>
    <row r="6" spans="1:3" ht="15.75" customHeight="1" x14ac:dyDescent="0.2">
      <c r="A6" s="8"/>
      <c r="B6" s="2"/>
      <c r="C6" s="2"/>
    </row>
    <row r="7" spans="1:3" ht="15.75" customHeight="1" x14ac:dyDescent="0.2">
      <c r="A7" s="8"/>
      <c r="B7" s="2"/>
      <c r="C7" s="2"/>
    </row>
    <row r="8" spans="1:3" ht="15.75" customHeight="1" x14ac:dyDescent="0.2">
      <c r="A8" s="8"/>
      <c r="B8" s="2"/>
      <c r="C8" s="2"/>
    </row>
    <row r="9" spans="1:3" ht="15.75" customHeight="1" x14ac:dyDescent="0.2">
      <c r="A9" s="8"/>
      <c r="B9" s="2"/>
      <c r="C9" s="2"/>
    </row>
    <row r="10" spans="1:3" ht="15.75" customHeight="1" x14ac:dyDescent="0.2">
      <c r="A10" s="8"/>
      <c r="B10" s="2"/>
      <c r="C10" s="2"/>
    </row>
    <row r="11" spans="1:3" ht="15.75" customHeight="1" x14ac:dyDescent="0.2">
      <c r="A11" s="8"/>
      <c r="B11" s="2"/>
      <c r="C11" s="2"/>
    </row>
    <row r="12" spans="1:3" ht="15.75" customHeight="1" x14ac:dyDescent="0.2">
      <c r="A12" s="8"/>
      <c r="B12" s="2"/>
      <c r="C12" s="2"/>
    </row>
    <row r="13" spans="1:3" ht="15.75" customHeight="1" x14ac:dyDescent="0.2">
      <c r="A13" s="8"/>
      <c r="B13" s="2"/>
      <c r="C13" s="2"/>
    </row>
    <row r="14" spans="1:3" ht="15.75" customHeight="1" x14ac:dyDescent="0.2">
      <c r="A14" s="8"/>
      <c r="B14" s="2"/>
      <c r="C14" s="2"/>
    </row>
    <row r="15" spans="1:3" ht="15.75" customHeight="1" x14ac:dyDescent="0.2">
      <c r="A15" s="8"/>
      <c r="B15" s="2"/>
      <c r="C15" s="2"/>
    </row>
    <row r="16" spans="1:3" ht="15.75" customHeight="1" x14ac:dyDescent="0.2">
      <c r="A16" s="8"/>
      <c r="B16" s="2"/>
      <c r="C16" s="2"/>
    </row>
    <row r="17" spans="1:3" ht="15.75" customHeight="1" x14ac:dyDescent="0.2">
      <c r="A17" s="8"/>
      <c r="B17" s="2"/>
      <c r="C17" s="2"/>
    </row>
    <row r="18" spans="1:3" ht="15.75" customHeight="1" x14ac:dyDescent="0.2">
      <c r="A18" s="8"/>
      <c r="B18" s="2"/>
      <c r="C18" s="2"/>
    </row>
    <row r="19" spans="1:3" ht="15.75" customHeight="1" x14ac:dyDescent="0.2">
      <c r="A19" s="8"/>
      <c r="B19" s="2"/>
      <c r="C19" s="2"/>
    </row>
    <row r="20" spans="1:3" ht="15.75" customHeight="1" x14ac:dyDescent="0.2">
      <c r="A20" s="8"/>
      <c r="B20" s="2"/>
      <c r="C20" s="2"/>
    </row>
    <row r="21" spans="1:3" ht="15.75" customHeight="1" x14ac:dyDescent="0.2">
      <c r="A21" s="8"/>
      <c r="B21" s="2"/>
      <c r="C21" s="2"/>
    </row>
    <row r="22" spans="1:3" ht="15.75" customHeight="1" x14ac:dyDescent="0.2">
      <c r="A22" s="8"/>
      <c r="B22" s="2"/>
      <c r="C22" s="2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52" t="s">
        <v>0</v>
      </c>
      <c r="B1" s="53"/>
      <c r="C1" s="53"/>
      <c r="D1" s="53"/>
      <c r="E1" s="53"/>
      <c r="F1" s="54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4" t="s">
        <v>3</v>
      </c>
      <c r="B3" s="6" t="s">
        <v>7</v>
      </c>
      <c r="C3" s="6" t="s">
        <v>10</v>
      </c>
      <c r="D3" s="9"/>
      <c r="E3" s="9"/>
      <c r="F3" s="9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52" t="s">
        <v>11</v>
      </c>
      <c r="C1" s="53"/>
      <c r="D1" s="53"/>
      <c r="E1" s="53"/>
      <c r="F1" s="53"/>
      <c r="G1" s="53"/>
      <c r="H1" s="5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3" t="s">
        <v>3</v>
      </c>
      <c r="C3" s="16" t="s">
        <v>16</v>
      </c>
      <c r="D3" s="3" t="s">
        <v>7</v>
      </c>
      <c r="E3" s="16" t="s">
        <v>17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IFERROR(__xludf.DUMMYFUNCTION("""COMPUTED_VALUE"""),"CreateLiveOrder")</f>
        <v>CreateLiveOrder</v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s">
        <v>18</v>
      </c>
      <c r="C6" s="2"/>
      <c r="D6" s="5" t="s">
        <v>19</v>
      </c>
      <c r="E6" s="24">
        <v>1000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52" t="s">
        <v>11</v>
      </c>
      <c r="C1" s="53"/>
      <c r="D1" s="53"/>
      <c r="E1" s="53"/>
      <c r="F1" s="53"/>
      <c r="G1" s="53"/>
      <c r="H1" s="5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3" t="s">
        <v>3</v>
      </c>
      <c r="C3" s="16" t="s">
        <v>12</v>
      </c>
      <c r="D3" s="3" t="s">
        <v>7</v>
      </c>
      <c r="E3" s="16" t="s">
        <v>13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From")</f>
        <v>Copy From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25">
        <f t="shared" ref="B6:C6" ca="1" si="0">TODAY()-1</f>
        <v>44411</v>
      </c>
      <c r="C6" s="25">
        <f t="shared" ca="1" si="0"/>
        <v>44411</v>
      </c>
      <c r="D6" s="5" t="s">
        <v>20</v>
      </c>
      <c r="E6" s="5" t="s">
        <v>20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6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52" t="s">
        <v>11</v>
      </c>
      <c r="C1" s="53"/>
      <c r="D1" s="53"/>
      <c r="E1" s="53"/>
      <c r="F1" s="53"/>
      <c r="G1" s="53"/>
      <c r="H1" s="5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3" t="s">
        <v>3</v>
      </c>
      <c r="C3" s="16" t="s">
        <v>12</v>
      </c>
      <c r="D3" s="3" t="s">
        <v>7</v>
      </c>
      <c r="E3" s="16" t="s">
        <v>21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IFERROR(__xludf.DUMMYFUNCTION("""COMPUTED_VALUE"""),"Local Currency")</f>
        <v>Local Currency</v>
      </c>
      <c r="D5" s="21" t="str">
        <f ca="1">IFERROR(__xludf.DUMMYFUNCTION("""COMPUTED_VALUE"""),"Cash Value Local")</f>
        <v>Cash Value Local</v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28" t="s">
        <v>22</v>
      </c>
      <c r="C6" s="29" t="s">
        <v>24</v>
      </c>
      <c r="D6" s="30">
        <v>10000</v>
      </c>
      <c r="E6" s="5" t="s">
        <v>20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 x14ac:dyDescent="0.2">
      <c r="A7" s="2"/>
      <c r="B7" s="33" t="s">
        <v>26</v>
      </c>
      <c r="C7" s="33" t="s">
        <v>24</v>
      </c>
      <c r="D7" s="34">
        <v>20000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52" t="s">
        <v>11</v>
      </c>
      <c r="C1" s="53"/>
      <c r="D1" s="53"/>
      <c r="E1" s="53"/>
      <c r="F1" s="53"/>
      <c r="G1" s="53"/>
      <c r="H1" s="5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3" t="s">
        <v>3</v>
      </c>
      <c r="C3" s="16" t="s">
        <v>16</v>
      </c>
      <c r="D3" s="3" t="s">
        <v>7</v>
      </c>
      <c r="E3" s="16" t="s">
        <v>17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IFERROR(__xludf.DUMMYFUNCTION("""COMPUTED_VALUE"""),"CreateLiveOrder")</f>
        <v>CreateLiveOrder</v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28" t="s">
        <v>23</v>
      </c>
      <c r="C6" s="29" t="s">
        <v>25</v>
      </c>
      <c r="D6" s="30">
        <v>100</v>
      </c>
      <c r="E6" s="31">
        <v>100</v>
      </c>
      <c r="F6" s="29" t="s">
        <v>22</v>
      </c>
      <c r="G6" s="32"/>
      <c r="H6" s="32"/>
      <c r="I6" s="32"/>
      <c r="J6" s="31">
        <v>20</v>
      </c>
      <c r="K6" s="32"/>
      <c r="L6" s="32"/>
      <c r="M6" s="32"/>
      <c r="N6" s="35">
        <f t="shared" ref="N6:N7" ca="1" si="0">TODAY()</f>
        <v>44412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</row>
    <row r="7" spans="1:154" ht="15.75" customHeight="1" x14ac:dyDescent="0.2">
      <c r="A7" s="2"/>
      <c r="B7" s="33" t="s">
        <v>23</v>
      </c>
      <c r="C7" s="33" t="s">
        <v>25</v>
      </c>
      <c r="D7" s="34">
        <v>50</v>
      </c>
      <c r="E7" s="34">
        <v>50</v>
      </c>
      <c r="F7" s="33" t="s">
        <v>26</v>
      </c>
      <c r="G7" s="36"/>
      <c r="H7" s="36"/>
      <c r="I7" s="36"/>
      <c r="J7" s="34">
        <v>20</v>
      </c>
      <c r="K7" s="36"/>
      <c r="L7" s="36"/>
      <c r="M7" s="36"/>
      <c r="N7" s="37">
        <f t="shared" ca="1" si="0"/>
        <v>44412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52" t="s">
        <v>11</v>
      </c>
      <c r="C1" s="53"/>
      <c r="D1" s="53"/>
      <c r="E1" s="53"/>
      <c r="F1" s="53"/>
      <c r="G1" s="53"/>
      <c r="H1" s="5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3" t="s">
        <v>3</v>
      </c>
      <c r="C3" s="16" t="s">
        <v>28</v>
      </c>
      <c r="D3" s="3" t="s">
        <v>7</v>
      </c>
      <c r="E3" s="16" t="s">
        <v>28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28" t="s">
        <v>23</v>
      </c>
      <c r="C6" s="31">
        <v>20</v>
      </c>
      <c r="D6" s="44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52" t="s">
        <v>11</v>
      </c>
      <c r="C1" s="53"/>
      <c r="D1" s="53"/>
      <c r="E1" s="53"/>
      <c r="F1" s="53"/>
      <c r="G1" s="53"/>
      <c r="H1" s="5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3" t="s">
        <v>3</v>
      </c>
      <c r="C3" s="16" t="s">
        <v>27</v>
      </c>
      <c r="D3" s="3" t="s">
        <v>7</v>
      </c>
      <c r="E3" s="16" t="s">
        <v>29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IFERROR(__xludf.DUMMYFUNCTION("IF(C3="""","""",Transpose(IMPORTRANGE('_Settings'!$B$3,C3&amp;""!A4:A1000"")))"),"CalculatePTT")</f>
        <v>CalculatePTT</v>
      </c>
      <c r="C4" s="18" t="str">
        <f ca="1">IFERROR(__xludf.DUMMYFUNCTION("""COMPUTED_VALUE"""),"TradeUsingPTT")</f>
        <v>TradeUsingPTT</v>
      </c>
      <c r="D4" s="18" t="str">
        <f ca="1">IFERROR(__xludf.DUMMYFUNCTION("""COMPUTED_VALUE"""),"StageOrderUsingPTT")</f>
        <v>StageOrderUsingPTT</v>
      </c>
      <c r="E4" s="18" t="str">
        <f ca="1">IFERROR(__xludf.DUMMYFUNCTION("""COMPUTED_VALUE"""),"CreateOrderPTT")</f>
        <v>CreateOrderPTT</v>
      </c>
      <c r="F4" s="18" t="str">
        <f ca="1">IFERROR(__xludf.DUMMYFUNCTION("""COMPUTED_VALUE"""),"TradePTT")</f>
        <v>TradePTT</v>
      </c>
      <c r="G4" s="18" t="str">
        <f ca="1">IFERROR(__xludf.DUMMYFUNCTION("""COMPUTED_VALUE"""),"VerifyPTT")</f>
        <v>VerifyPTT</v>
      </c>
      <c r="H4" s="18" t="str">
        <f ca="1">IFERROR(__xludf.DUMMYFUNCTION("""COMPUTED_VALUE"""),"OpenMultiTTFromPTT")</f>
        <v>OpenMultiTTFromPTT</v>
      </c>
      <c r="I4" s="18" t="str">
        <f ca="1">IFERROR(__xludf.DUMMYFUNCTION("""COMPUTED_VALUE"""),"SelectMultiTT")</f>
        <v>SelectMultiTT</v>
      </c>
      <c r="J4" s="18" t="str">
        <f ca="1">IFERROR(__xludf.DUMMYFUNCTION("""COMPUTED_VALUE"""),"EditMultiTT")</f>
        <v>EditMultiTT</v>
      </c>
      <c r="K4" s="18" t="str">
        <f ca="1">IFERROR(__xludf.DUMMYFUNCTION("""COMPUTED_VALUE"""),"SetAccountFactor")</f>
        <v>SetAccountFactor</v>
      </c>
      <c r="L4" s="18" t="str">
        <f ca="1">IFERROR(__xludf.DUMMYFUNCTION("""COMPUTED_VALUE"""),"SetPTTPreference")</f>
        <v>SetPTTPreference</v>
      </c>
      <c r="M4" s="18" t="str">
        <f ca="1">IFERROR(__xludf.DUMMYFUNCTION("""COMPUTED_VALUE"""),"SetLongShortPTTPreference")</f>
        <v>SetLongShortPTTPreference</v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IFERROR(__xludf.DUMMYFUNCTION("""COMPUTED_VALUE"""),"Ticker")</f>
        <v>Ticker</v>
      </c>
      <c r="C5" s="21" t="str">
        <f ca="1">IFERROR(__xludf.DUMMYFUNCTION("""COMPUTED_VALUE"""),"Add/Set")</f>
        <v>Add/Set</v>
      </c>
      <c r="D5" s="21" t="str">
        <f ca="1">IFERROR(__xludf.DUMMYFUNCTION("""COMPUTED_VALUE"""),"Type")</f>
        <v>Type</v>
      </c>
      <c r="E5" s="21" t="str">
        <f ca="1">IFERROR(__xludf.DUMMYFUNCTION("""COMPUTED_VALUE"""),"Target")</f>
        <v>Target</v>
      </c>
      <c r="F5" s="22" t="str">
        <f ca="1">IFERROR(__xludf.DUMMYFUNCTION("""COMPUTED_VALUE"""),"Price")</f>
        <v>Price</v>
      </c>
      <c r="G5" s="21" t="str">
        <f ca="1">IFERROR(__xludf.DUMMYFUNCTION("""COMPUTED_VALUE"""),"Combined Account Total")</f>
        <v>Combined Account Total</v>
      </c>
      <c r="H5" s="21" t="str">
        <f ca="1">IFERROR(__xludf.DUMMYFUNCTION("""COMPUTED_VALUE"""),"MasterFund/Account")</f>
        <v>MasterFund/Account</v>
      </c>
      <c r="I5" s="21" t="str">
        <f ca="1">IFERROR(__xludf.DUMMYFUNCTION("""COMPUTED_VALUE"""),"Accounts")</f>
        <v>Accounts</v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38" t="s">
        <v>23</v>
      </c>
      <c r="C6" s="39" t="s">
        <v>30</v>
      </c>
      <c r="D6" s="40" t="s">
        <v>31</v>
      </c>
      <c r="E6" s="41">
        <v>1000</v>
      </c>
      <c r="F6" s="42">
        <v>20</v>
      </c>
      <c r="G6" s="39" t="s">
        <v>32</v>
      </c>
      <c r="H6" s="39" t="s">
        <v>33</v>
      </c>
      <c r="I6" s="43" t="s">
        <v>34</v>
      </c>
      <c r="J6" s="32"/>
      <c r="K6" s="2"/>
      <c r="L6" s="2"/>
      <c r="M6" s="2"/>
      <c r="N6" s="2"/>
      <c r="O6" s="2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52" t="s">
        <v>11</v>
      </c>
      <c r="C1" s="53"/>
      <c r="D1" s="53"/>
      <c r="E1" s="53"/>
      <c r="F1" s="53"/>
      <c r="G1" s="53"/>
      <c r="H1" s="5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3" t="s">
        <v>3</v>
      </c>
      <c r="C3" s="16" t="s">
        <v>27</v>
      </c>
      <c r="D3" s="3" t="s">
        <v>7</v>
      </c>
      <c r="E3" s="16" t="s">
        <v>35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IFERROR(__xludf.DUMMYFUNCTION("IF(C3="""","""",Transpose(IMPORTRANGE('_Settings'!$B$3,C3&amp;""!A4:A1000"")))"),"CalculatePTT")</f>
        <v>CalculatePTT</v>
      </c>
      <c r="C4" s="18" t="str">
        <f ca="1">IFERROR(__xludf.DUMMYFUNCTION("""COMPUTED_VALUE"""),"TradeUsingPTT")</f>
        <v>TradeUsingPTT</v>
      </c>
      <c r="D4" s="18" t="str">
        <f ca="1">IFERROR(__xludf.DUMMYFUNCTION("""COMPUTED_VALUE"""),"StageOrderUsingPTT")</f>
        <v>StageOrderUsingPTT</v>
      </c>
      <c r="E4" s="18" t="str">
        <f ca="1">IFERROR(__xludf.DUMMYFUNCTION("""COMPUTED_VALUE"""),"CreateOrderPTT")</f>
        <v>CreateOrderPTT</v>
      </c>
      <c r="F4" s="18" t="str">
        <f ca="1">IFERROR(__xludf.DUMMYFUNCTION("""COMPUTED_VALUE"""),"TradePTT")</f>
        <v>TradePTT</v>
      </c>
      <c r="G4" s="18" t="str">
        <f ca="1">IFERROR(__xludf.DUMMYFUNCTION("""COMPUTED_VALUE"""),"VerifyPTT")</f>
        <v>VerifyPTT</v>
      </c>
      <c r="H4" s="18" t="str">
        <f ca="1">IFERROR(__xludf.DUMMYFUNCTION("""COMPUTED_VALUE"""),"OpenMultiTTFromPTT")</f>
        <v>OpenMultiTTFromPTT</v>
      </c>
      <c r="I4" s="18" t="str">
        <f ca="1">IFERROR(__xludf.DUMMYFUNCTION("""COMPUTED_VALUE"""),"SelectMultiTT")</f>
        <v>SelectMultiTT</v>
      </c>
      <c r="J4" s="18" t="str">
        <f ca="1">IFERROR(__xludf.DUMMYFUNCTION("""COMPUTED_VALUE"""),"EditMultiTT")</f>
        <v>EditMultiTT</v>
      </c>
      <c r="K4" s="18" t="str">
        <f ca="1">IFERROR(__xludf.DUMMYFUNCTION("""COMPUTED_VALUE"""),"SetAccountFactor")</f>
        <v>SetAccountFactor</v>
      </c>
      <c r="L4" s="18" t="str">
        <f ca="1">IFERROR(__xludf.DUMMYFUNCTION("""COMPUTED_VALUE"""),"SetPTTPreference")</f>
        <v>SetPTTPreference</v>
      </c>
      <c r="M4" s="18" t="str">
        <f ca="1">IFERROR(__xludf.DUMMYFUNCTION("""COMPUTED_VALUE"""),"SetLongShortPTTPreference")</f>
        <v>SetLongShortPTTPreference</v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 Name")</f>
        <v>Account Name</v>
      </c>
      <c r="C5" s="21" t="str">
        <f ca="1">IFERROR(__xludf.DUMMYFUNCTION("""COMPUTED_VALUE"""),"Account NAV")</f>
        <v>Account NAV</v>
      </c>
      <c r="D5" s="21" t="str">
        <f ca="1">IFERROR(__xludf.DUMMYFUNCTION("""COMPUTED_VALUE"""),"Starting Position")</f>
        <v>Starting Position</v>
      </c>
      <c r="E5" s="21" t="str">
        <f ca="1">IFERROR(__xludf.DUMMYFUNCTION("""COMPUTED_VALUE"""),"Starting Value")</f>
        <v>Starting Value</v>
      </c>
      <c r="F5" s="22" t="str">
        <f ca="1">IFERROR(__xludf.DUMMYFUNCTION("""COMPUTED_VALUE"""),"Starting %")</f>
        <v>Starting %</v>
      </c>
      <c r="G5" s="21" t="str">
        <f ca="1">IFERROR(__xludf.DUMMYFUNCTION("""COMPUTED_VALUE"""),"% Change")</f>
        <v>% Change</v>
      </c>
      <c r="H5" s="21" t="str">
        <f ca="1">IFERROR(__xludf.DUMMYFUNCTION("""COMPUTED_VALUE"""),"Ending %")</f>
        <v>Ending %</v>
      </c>
      <c r="I5" s="21" t="str">
        <f ca="1">IFERROR(__xludf.DUMMYFUNCTION("""COMPUTED_VALUE"""),"Trade Quantity")</f>
        <v>Trade Quantity</v>
      </c>
      <c r="J5" s="21" t="str">
        <f ca="1">IFERROR(__xludf.DUMMYFUNCTION("""COMPUTED_VALUE"""),"Ending Position")</f>
        <v>Ending Position</v>
      </c>
      <c r="K5" s="21" t="str">
        <f ca="1">IFERROR(__xludf.DUMMYFUNCTION("""COMPUTED_VALUE"""),"Ending Value")</f>
        <v>Ending Value</v>
      </c>
      <c r="L5" s="21" t="str">
        <f ca="1">IFERROR(__xludf.DUMMYFUNCTION("""COMPUTED_VALUE"""),"% Allocation")</f>
        <v>% Allocation</v>
      </c>
      <c r="M5" s="21" t="str">
        <f ca="1">IFERROR(__xludf.DUMMYFUNCTION("""COMPUTED_VALUE"""),"Fx Rate")</f>
        <v>Fx Rate</v>
      </c>
      <c r="N5" s="21" t="str">
        <f ca="1">IFERROR(__xludf.DUMMYFUNCTION("""COMPUTED_VALUE"""),"Starting BP")</f>
        <v>Starting BP</v>
      </c>
      <c r="O5" s="21" t="str">
        <f ca="1">IFERROR(__xludf.DUMMYFUNCTION("""COMPUTED_VALUE"""),"BP Change")</f>
        <v>BP Change</v>
      </c>
      <c r="P5" s="21" t="str">
        <f ca="1">IFERROR(__xludf.DUMMYFUNCTION("""COMPUTED_VALUE"""),"Ending BP")</f>
        <v>Ending BP</v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5">
      <c r="A6" s="5"/>
      <c r="B6" s="45" t="s">
        <v>22</v>
      </c>
      <c r="C6" s="46">
        <v>10000</v>
      </c>
      <c r="D6" s="47">
        <v>100</v>
      </c>
      <c r="E6" s="46">
        <v>2000</v>
      </c>
      <c r="F6" s="48" t="s">
        <v>20</v>
      </c>
      <c r="G6" s="48" t="s">
        <v>20</v>
      </c>
      <c r="H6" s="48" t="s">
        <v>37</v>
      </c>
      <c r="I6" s="48">
        <v>50</v>
      </c>
      <c r="J6" s="48">
        <v>50</v>
      </c>
      <c r="K6" s="48">
        <v>1000</v>
      </c>
      <c r="L6" s="48"/>
      <c r="M6" s="46">
        <v>1</v>
      </c>
      <c r="N6" s="48">
        <v>2000</v>
      </c>
      <c r="O6" s="48">
        <v>-1000</v>
      </c>
      <c r="P6" s="48">
        <v>1000</v>
      </c>
    </row>
    <row r="7" spans="1:154" ht="15.75" customHeight="1" x14ac:dyDescent="0.25">
      <c r="A7" s="2"/>
      <c r="B7" s="49" t="s">
        <v>26</v>
      </c>
      <c r="C7" s="50">
        <v>20000</v>
      </c>
      <c r="D7" s="50">
        <v>50</v>
      </c>
      <c r="E7" s="50">
        <v>1000</v>
      </c>
      <c r="F7" s="51" t="s">
        <v>20</v>
      </c>
      <c r="G7" s="51" t="s">
        <v>20</v>
      </c>
      <c r="H7" s="51" t="s">
        <v>20</v>
      </c>
      <c r="I7" s="51">
        <v>50</v>
      </c>
      <c r="J7" s="51">
        <v>100</v>
      </c>
      <c r="K7" s="51">
        <v>2000</v>
      </c>
      <c r="L7" s="51"/>
      <c r="M7" s="50">
        <v>1</v>
      </c>
      <c r="N7" s="51">
        <v>500</v>
      </c>
      <c r="O7" s="51">
        <v>500</v>
      </c>
      <c r="P7" s="51">
        <v>1000</v>
      </c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52" t="s">
        <v>11</v>
      </c>
      <c r="C1" s="53"/>
      <c r="D1" s="53"/>
      <c r="E1" s="53"/>
      <c r="F1" s="53"/>
      <c r="G1" s="53"/>
      <c r="H1" s="5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3" t="s">
        <v>3</v>
      </c>
      <c r="C3" s="16" t="s">
        <v>27</v>
      </c>
      <c r="D3" s="3" t="s">
        <v>7</v>
      </c>
      <c r="E3" s="16" t="s">
        <v>36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IFERROR(__xludf.DUMMYFUNCTION("IF(C3="""","""",Transpose(IMPORTRANGE('_Settings'!$B$3,C3&amp;""!A4:A1000"")))"),"CalculatePTT")</f>
        <v>CalculatePTT</v>
      </c>
      <c r="C4" s="18" t="str">
        <f ca="1">IFERROR(__xludf.DUMMYFUNCTION("""COMPUTED_VALUE"""),"TradeUsingPTT")</f>
        <v>TradeUsingPTT</v>
      </c>
      <c r="D4" s="18" t="str">
        <f ca="1">IFERROR(__xludf.DUMMYFUNCTION("""COMPUTED_VALUE"""),"StageOrderUsingPTT")</f>
        <v>StageOrderUsingPTT</v>
      </c>
      <c r="E4" s="18" t="str">
        <f ca="1">IFERROR(__xludf.DUMMYFUNCTION("""COMPUTED_VALUE"""),"CreateOrderPTT")</f>
        <v>CreateOrderPTT</v>
      </c>
      <c r="F4" s="18" t="str">
        <f ca="1">IFERROR(__xludf.DUMMYFUNCTION("""COMPUTED_VALUE"""),"TradePTT")</f>
        <v>TradePTT</v>
      </c>
      <c r="G4" s="18" t="str">
        <f ca="1">IFERROR(__xludf.DUMMYFUNCTION("""COMPUTED_VALUE"""),"VerifyPTT")</f>
        <v>VerifyPTT</v>
      </c>
      <c r="H4" s="18" t="str">
        <f ca="1">IFERROR(__xludf.DUMMYFUNCTION("""COMPUTED_VALUE"""),"OpenMultiTTFromPTT")</f>
        <v>OpenMultiTTFromPTT</v>
      </c>
      <c r="I4" s="18" t="str">
        <f ca="1">IFERROR(__xludf.DUMMYFUNCTION("""COMPUTED_VALUE"""),"SelectMultiTT")</f>
        <v>SelectMultiTT</v>
      </c>
      <c r="J4" s="18" t="str">
        <f ca="1">IFERROR(__xludf.DUMMYFUNCTION("""COMPUTED_VALUE"""),"EditMultiTT")</f>
        <v>EditMultiTT</v>
      </c>
      <c r="K4" s="18" t="str">
        <f ca="1">IFERROR(__xludf.DUMMYFUNCTION("""COMPUTED_VALUE"""),"SetAccountFactor")</f>
        <v>SetAccountFactor</v>
      </c>
      <c r="L4" s="18" t="str">
        <f ca="1">IFERROR(__xludf.DUMMYFUNCTION("""COMPUTED_VALUE"""),"SetPTTPreference")</f>
        <v>SetPTTPreference</v>
      </c>
      <c r="M4" s="18" t="str">
        <f ca="1">IFERROR(__xludf.DUMMYFUNCTION("""COMPUTED_VALUE"""),"SetLongShortPTTPreference")</f>
        <v>SetLongShortPTTPreference</v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IFERROR(__xludf.DUMMYFUNCTION("""COMPUTED_VALUE"""),"Ticker")</f>
        <v>Ticker</v>
      </c>
      <c r="C5" s="21" t="str">
        <f ca="1">IFERROR(__xludf.DUMMYFUNCTION("""COMPUTED_VALUE"""),"Add/Set")</f>
        <v>Add/Set</v>
      </c>
      <c r="D5" s="21" t="str">
        <f ca="1">IFERROR(__xludf.DUMMYFUNCTION("""COMPUTED_VALUE"""),"Type")</f>
        <v>Type</v>
      </c>
      <c r="E5" s="21" t="str">
        <f ca="1">IFERROR(__xludf.DUMMYFUNCTION("""COMPUTED_VALUE"""),"Target")</f>
        <v>Target</v>
      </c>
      <c r="F5" s="22" t="str">
        <f ca="1">IFERROR(__xludf.DUMMYFUNCTION("""COMPUTED_VALUE"""),"Price")</f>
        <v>Price</v>
      </c>
      <c r="G5" s="21" t="str">
        <f ca="1">IFERROR(__xludf.DUMMYFUNCTION("""COMPUTED_VALUE"""),"Combined Account Total")</f>
        <v>Combined Account Total</v>
      </c>
      <c r="H5" s="21" t="str">
        <f ca="1">IFERROR(__xludf.DUMMYFUNCTION("""COMPUTED_VALUE"""),"MasterFund/Account")</f>
        <v>MasterFund/Account</v>
      </c>
      <c r="I5" s="21" t="str">
        <f ca="1">IFERROR(__xludf.DUMMYFUNCTION("""COMPUTED_VALUE"""),"Accounts")</f>
        <v>Accounts</v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s">
        <v>23</v>
      </c>
      <c r="C6" s="5" t="s">
        <v>30</v>
      </c>
      <c r="D6" s="5" t="s">
        <v>31</v>
      </c>
      <c r="E6" s="5">
        <v>1000</v>
      </c>
      <c r="F6" s="5">
        <v>20</v>
      </c>
      <c r="G6" s="5" t="s">
        <v>32</v>
      </c>
      <c r="H6" s="5" t="s">
        <v>33</v>
      </c>
      <c r="I6" s="5" t="s">
        <v>34</v>
      </c>
      <c r="J6" s="2"/>
      <c r="K6" s="2"/>
      <c r="L6" s="2"/>
      <c r="M6" s="2"/>
      <c r="N6" s="2"/>
      <c r="O6" s="2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52" t="s">
        <v>11</v>
      </c>
      <c r="C1" s="53"/>
      <c r="D1" s="53"/>
      <c r="E1" s="53"/>
      <c r="F1" s="53"/>
      <c r="G1" s="53"/>
      <c r="H1" s="5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3" t="s">
        <v>3</v>
      </c>
      <c r="C3" s="16" t="s">
        <v>38</v>
      </c>
      <c r="D3" s="3" t="s">
        <v>7</v>
      </c>
      <c r="E3" s="16" t="s">
        <v>39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IFERROR(__xludf.DUMMYFUNCTION("IF(C3="""","""",Transpose(IMPORTRANGE('_Settings'!$B$3,C3&amp;""!A4:A1000"")))"),"EditTradeUsingMTT")</f>
        <v>EditTradeUsingMTT</v>
      </c>
      <c r="C4" s="18" t="str">
        <f ca="1">IFERROR(__xludf.DUMMYFUNCTION("""COMPUTED_VALUE"""),"SelectTradeUsingMTT")</f>
        <v>SelectTradeUsingMTT</v>
      </c>
      <c r="D4" s="18" t="str">
        <f ca="1">IFERROR(__xludf.DUMMYFUNCTION("""COMPUTED_VALUE"""),"GetPriceUsingMTT")</f>
        <v>GetPriceUsingMTT</v>
      </c>
      <c r="E4" s="18" t="str">
        <f ca="1">IFERROR(__xludf.DUMMYFUNCTION("""COMPUTED_VALUE"""),"DoneAwayUsingMTT")</f>
        <v>DoneAwayUsingMTT</v>
      </c>
      <c r="F4" s="18" t="str">
        <f ca="1">IFERROR(__xludf.DUMMYFUNCTION("""COMPUTED_VALUE"""),"SendOrderUsingMTT")</f>
        <v>SendOrderUsingMTT</v>
      </c>
      <c r="G4" s="18" t="str">
        <f ca="1">IFERROR(__xludf.DUMMYFUNCTION("""COMPUTED_VALUE"""),"BulkChangeTradeDoneAway")</f>
        <v>BulkChangeTradeDoneAway</v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 Quantity")</f>
        <v>Target Quantity</v>
      </c>
      <c r="F5" s="22" t="str">
        <f ca="1">IFERROR(__xludf.DUMMYFUNCTION("""COMPUTED_VALUE"""),"Account")</f>
        <v>Account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 Rate")</f>
        <v>FX 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 Basis")</f>
        <v>Commission Basis</v>
      </c>
      <c r="S5" s="21" t="str">
        <f ca="1">IFERROR(__xludf.DUMMYFUNCTION("""COMPUTED_VALUE"""),"Commission Rate")</f>
        <v>Commission Rate</v>
      </c>
      <c r="T5" s="23" t="str">
        <f ca="1">IFERROR(__xludf.DUMMYFUNCTION("""COMPUTED_VALUE"""),"Soft Basis")</f>
        <v>Soft Basis</v>
      </c>
      <c r="U5" s="23" t="str">
        <f ca="1">IFERROR(__xludf.DUMMYFUNCTION("""COMPUTED_VALUE"""),"Soft Rate")</f>
        <v>Soft Rate</v>
      </c>
      <c r="V5" s="23" t="str">
        <f ca="1">IFERROR(__xludf.DUMMYFUNCTION("""COMPUTED_VALUE"""),"Trade Attribute 1")</f>
        <v>Trade Attribute 1</v>
      </c>
      <c r="W5" s="23" t="str">
        <f ca="1">IFERROR(__xludf.DUMMYFUNCTION("""COMPUTED_VALUE"""),"Trade Attribute 2")</f>
        <v>Trade Attribute 2</v>
      </c>
      <c r="X5" s="23" t="str">
        <f ca="1">IFERROR(__xludf.DUMMYFUNCTION("""COMPUTED_VALUE"""),"Trade Attribute 3")</f>
        <v>Trade Attribute 3</v>
      </c>
      <c r="Y5" s="23" t="str">
        <f ca="1">IFERROR(__xludf.DUMMYFUNCTION("""COMPUTED_VALUE"""),"Trade Attribute 4")</f>
        <v>Trade Attribute 4</v>
      </c>
      <c r="Z5" s="23" t="str">
        <f ca="1">IFERROR(__xludf.DUMMYFUNCTION("""COMPUTED_VALUE"""),"Trade Attribute 5")</f>
        <v>Trade Attribute 5</v>
      </c>
      <c r="AA5" s="23" t="str">
        <f ca="1">IFERROR(__xludf.DUMMYFUNCTION("""COMPUTED_VALUE"""),"Trade Attribute 6")</f>
        <v>Trade Attribute 6</v>
      </c>
      <c r="AB5" s="23" t="str">
        <f ca="1">IFERROR(__xludf.DUMMYFUNCTION("""COMPUTED_VALUE"""),"Venue")</f>
        <v>Venue</v>
      </c>
      <c r="AC5" s="23" t="str">
        <f ca="1">IFERROR(__xludf.DUMMYFUNCTION("""COMPUTED_VALUE"""),"Execution Instructions")</f>
        <v>Execution Instructions</v>
      </c>
      <c r="AD5" s="23" t="str">
        <f ca="1">IFERROR(__xludf.DUMMYFUNCTION("""COMPUTED_VALUE"""),"Handling Instructions")</f>
        <v>Handling 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 Currency")</f>
        <v>Settlement Currency</v>
      </c>
      <c r="AG5" s="23" t="str">
        <f ca="1">IFERROR(__xludf.DUMMYFUNCTION("""COMPUTED_VALUE"""),"Settlement Fx Rate")</f>
        <v>Settlement Fx Rate</v>
      </c>
      <c r="AH5" s="23" t="str">
        <f ca="1">IFERROR(__xludf.DUMMYFUNCTION("""COMPUTED_VALUE"""),"Settlement Amount")</f>
        <v>Settlement Amount</v>
      </c>
      <c r="AI5" s="23" t="str">
        <f ca="1">IFERROR(__xludf.DUMMYFUNCTION("""COMPUTED_VALUE"""),"Settlement Fx Operator")</f>
        <v>Settlement Fx Operator</v>
      </c>
      <c r="AJ5" s="23" t="str">
        <f ca="1">IFERROR(__xludf.DUMMYFUNCTION("""COMPUTED_VALUE"""),"ImportFileName")</f>
        <v>ImportFileName</v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/>
      <c r="C6" s="5"/>
      <c r="D6" s="5"/>
      <c r="E6" s="5"/>
      <c r="F6" s="2"/>
      <c r="G6" s="5"/>
      <c r="H6" s="2"/>
      <c r="I6" s="2"/>
      <c r="J6" s="5">
        <v>25</v>
      </c>
      <c r="K6" s="5"/>
      <c r="L6" s="5">
        <v>25</v>
      </c>
      <c r="M6" s="2"/>
      <c r="N6" s="2"/>
      <c r="O6" s="2"/>
      <c r="R6" s="27" t="s">
        <v>40</v>
      </c>
      <c r="S6" s="27">
        <v>10</v>
      </c>
      <c r="T6" s="27" t="s">
        <v>40</v>
      </c>
      <c r="U6" s="27">
        <v>10</v>
      </c>
    </row>
    <row r="7" spans="1:154" ht="15.75" customHeight="1" x14ac:dyDescent="0.2">
      <c r="A7" s="2"/>
      <c r="B7" s="5"/>
      <c r="C7" s="5"/>
      <c r="D7" s="5"/>
      <c r="E7" s="2"/>
      <c r="F7" s="2"/>
      <c r="G7" s="2"/>
      <c r="H7" s="2"/>
      <c r="I7" s="2"/>
      <c r="J7" s="5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52" t="s">
        <v>11</v>
      </c>
      <c r="C1" s="53"/>
      <c r="D1" s="53"/>
      <c r="E1" s="53"/>
      <c r="F1" s="53"/>
      <c r="G1" s="53"/>
      <c r="H1" s="5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3" t="s">
        <v>3</v>
      </c>
      <c r="C3" s="16" t="s">
        <v>41</v>
      </c>
      <c r="D3" s="3" t="s">
        <v>7</v>
      </c>
      <c r="E3" s="16" t="s">
        <v>42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IFERROR(__xludf.DUMMYFUNCTION("""COMPUTED_VALUE"""),"FilterTabName")</f>
        <v>FilterTabName</v>
      </c>
      <c r="F5" s="22" t="str">
        <f ca="1">IFERROR(__xludf.DUMMYFUNCTION("""COMPUTED_VALUE"""),"Symbol")</f>
        <v>Symbol</v>
      </c>
      <c r="G5" s="21" t="str">
        <f ca="1">IFERROR(__xludf.DUMMYFUNCTION("""COMPUTED_VALUE"""),"Asset")</f>
        <v>Asset</v>
      </c>
      <c r="H5" s="21" t="str">
        <f ca="1">IFERROR(__xludf.DUMMYFUNCTION("""COMPUTED_VALUE"""),"Side")</f>
        <v>Side</v>
      </c>
      <c r="I5" s="21" t="str">
        <f ca="1">IFERROR(__xludf.DUMMYFUNCTION("""COMPUTED_VALUE"""),"Account")</f>
        <v>Account</v>
      </c>
      <c r="J5" s="21" t="str">
        <f ca="1">IFERROR(__xludf.DUMMYFUNCTION("""COMPUTED_VALUE"""),"Broker")</f>
        <v>Broker</v>
      </c>
      <c r="K5" s="21" t="str">
        <f ca="1">IFERROR(__xludf.DUMMYFUNCTION("""COMPUTED_VALUE"""),"Currency")</f>
        <v>Currency</v>
      </c>
      <c r="L5" s="21" t="str">
        <f ca="1">IFERROR(__xludf.DUMMYFUNCTION("""COMPUTED_VALUE"""),"Exchange")</f>
        <v>Exchange</v>
      </c>
      <c r="M5" s="21" t="str">
        <f ca="1">IFERROR(__xludf.DUMMYFUNCTION("""COMPUTED_VALUE"""),"StrategyName")</f>
        <v>StrategyName</v>
      </c>
      <c r="N5" s="21" t="str">
        <f ca="1">IFERROR(__xludf.DUMMYFUNCTION("""COMPUTED_VALUE"""),"Underlying")</f>
        <v>Underlying</v>
      </c>
      <c r="O5" s="21" t="str">
        <f ca="1">IFERROR(__xludf.DUMMYFUNCTION("""COMPUTED_VALUE"""),"Venue")</f>
        <v>Venue</v>
      </c>
      <c r="P5" s="21" t="str">
        <f ca="1">IFERROR(__xludf.DUMMYFUNCTION("""COMPUTED_VALUE"""),"TradingAccount")</f>
        <v>TradingAccount</v>
      </c>
      <c r="Q5" s="21" t="str">
        <f ca="1">IFERROR(__xludf.DUMMYFUNCTION("""COMPUTED_VALUE"""),"PreAllocated")</f>
        <v>PreAllocated</v>
      </c>
      <c r="R5" s="21" t="str">
        <f ca="1">IFERROR(__xludf.DUMMYFUNCTION("""COMPUTED_VALUE"""),"ManualGroup")</f>
        <v>ManualGroup</v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s">
        <v>44</v>
      </c>
      <c r="C6" s="2"/>
      <c r="D6" s="5"/>
      <c r="E6" s="24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20" width="14.42578125" customWidth="1"/>
    <col min="21" max="21" width="23.140625" customWidth="1"/>
    <col min="22" max="67" width="14.42578125" customWidth="1"/>
    <col min="68" max="68" width="20.140625" customWidth="1"/>
    <col min="69" max="74" width="14.42578125" customWidth="1"/>
    <col min="75" max="75" width="32.85546875" customWidth="1"/>
    <col min="76" max="76" width="29" customWidth="1"/>
    <col min="77" max="154" width="14.42578125" customWidth="1"/>
  </cols>
  <sheetData>
    <row r="1" spans="1:154" ht="15.75" customHeight="1" x14ac:dyDescent="0.3">
      <c r="A1" s="12"/>
      <c r="B1" s="52" t="s">
        <v>11</v>
      </c>
      <c r="C1" s="53"/>
      <c r="D1" s="53"/>
      <c r="E1" s="53"/>
      <c r="F1" s="53"/>
      <c r="G1" s="53"/>
      <c r="H1" s="5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3" t="s">
        <v>3</v>
      </c>
      <c r="C3" s="16" t="s">
        <v>41</v>
      </c>
      <c r="D3" s="3" t="s">
        <v>7</v>
      </c>
      <c r="E3" s="16" t="s">
        <v>43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 Name")</f>
        <v>Account Name</v>
      </c>
      <c r="C5" s="21" t="str">
        <f ca="1">IFERROR(__xludf.DUMMYFUNCTION("""COMPUTED_VALUE"""),"Accrual Basis")</f>
        <v>Accrual Basis</v>
      </c>
      <c r="D5" s="21" t="str">
        <f ca="1">IFERROR(__xludf.DUMMYFUNCTION("""COMPUTED_VALUE"""),"Accrued Interest")</f>
        <v>Accrued Interest</v>
      </c>
      <c r="E5" s="21" t="str">
        <f ca="1">IFERROR(__xludf.DUMMYFUNCTION("""COMPUTED_VALUE"""),"Allocated Qty")</f>
        <v>Allocated Qty</v>
      </c>
      <c r="F5" s="22" t="str">
        <f ca="1">IFERROR(__xludf.DUMMYFUNCTION("""COMPUTED_VALUE"""),"Allocation Scheme Name")</f>
        <v>Allocation Scheme Name</v>
      </c>
      <c r="G5" s="21" t="str">
        <f ca="1">IFERROR(__xludf.DUMMYFUNCTION("""COMPUTED_VALUE"""),"Asset Category")</f>
        <v>Asset Category</v>
      </c>
      <c r="H5" s="21" t="str">
        <f ca="1">IFERROR(__xludf.DUMMYFUNCTION("""COMPUTED_VALUE"""),"AUEC Fee1")</f>
        <v>AUEC Fee1</v>
      </c>
      <c r="I5" s="21" t="str">
        <f ca="1">IFERROR(__xludf.DUMMYFUNCTION("""COMPUTED_VALUE"""),"AUEC Fee2")</f>
        <v>AUEC Fee2</v>
      </c>
      <c r="J5" s="21" t="str">
        <f ca="1">IFERROR(__xludf.DUMMYFUNCTION("""COMPUTED_VALUE"""),"AUECID")</f>
        <v>AUECID</v>
      </c>
      <c r="K5" s="21" t="str">
        <f ca="1">IFERROR(__xludf.DUMMYFUNCTION("""COMPUTED_VALUE"""),"Avg Price(Base)")</f>
        <v>Avg Price(Base)</v>
      </c>
      <c r="L5" s="21" t="str">
        <f ca="1">IFERROR(__xludf.DUMMYFUNCTION("""COMPUTED_VALUE"""),"Avg Price(Local)")</f>
        <v>Avg Price(Local)</v>
      </c>
      <c r="M5" s="21" t="str">
        <f ca="1">IFERROR(__xludf.DUMMYFUNCTION("""COMPUTED_VALUE"""),"Bloomberg")</f>
        <v>Bloomberg</v>
      </c>
      <c r="N5" s="21" t="str">
        <f ca="1">IFERROR(__xludf.DUMMYFUNCTION("""COMPUTED_VALUE"""),"Bond Type")</f>
        <v>Bond Type</v>
      </c>
      <c r="O5" s="21" t="str">
        <f ca="1">IFERROR(__xludf.DUMMYFUNCTION("""COMPUTED_VALUE"""),"Broker")</f>
        <v>Broker</v>
      </c>
      <c r="P5" s="21" t="str">
        <f ca="1">IFERROR(__xludf.DUMMYFUNCTION("""COMPUTED_VALUE"""),"Change Comment")</f>
        <v>Change Comment</v>
      </c>
      <c r="Q5" s="21" t="str">
        <f ca="1">IFERROR(__xludf.DUMMYFUNCTION("""COMPUTED_VALUE"""),"Change Type")</f>
        <v>Change Type</v>
      </c>
      <c r="R5" s="21" t="str">
        <f ca="1">IFERROR(__xludf.DUMMYFUNCTION("""COMPUTED_VALUE"""),"Clearing Broker Fee")</f>
        <v>Clearing Broker Fee</v>
      </c>
      <c r="S5" s="21" t="str">
        <f ca="1">IFERROR(__xludf.DUMMYFUNCTION("""COMPUTED_VALUE"""),"Closing Status")</f>
        <v>Closing Status</v>
      </c>
      <c r="T5" s="23" t="str">
        <f ca="1">IFERROR(__xludf.DUMMYFUNCTION("""COMPUTED_VALUE"""),"Commission")</f>
        <v>Commission</v>
      </c>
      <c r="U5" s="23" t="str">
        <f ca="1">IFERROR(__xludf.DUMMYFUNCTION("""COMPUTED_VALUE"""),"Commission Per Share")</f>
        <v>Commission Per Share</v>
      </c>
      <c r="V5" s="23" t="str">
        <f ca="1">IFERROR(__xludf.DUMMYFUNCTION("""COMPUTED_VALUE"""),"Company")</f>
        <v>Company</v>
      </c>
      <c r="W5" s="23" t="str">
        <f ca="1">IFERROR(__xludf.DUMMYFUNCTION("""COMPUTED_VALUE"""),"Contract Multiplier")</f>
        <v>Contract Multiplier</v>
      </c>
      <c r="X5" s="23" t="str">
        <f ca="1">IFERROR(__xludf.DUMMYFUNCTION("""COMPUTED_VALUE"""),"Coupon Rate")</f>
        <v>Coupon Rate</v>
      </c>
      <c r="Y5" s="23" t="str">
        <f ca="1">IFERROR(__xludf.DUMMYFUNCTION("""COMPUTED_VALUE"""),"Cum Qty For Sub Order")</f>
        <v>Cum Qty For Sub Order</v>
      </c>
      <c r="Z5" s="23" t="str">
        <f ca="1">IFERROR(__xludf.DUMMYFUNCTION("""COMPUTED_VALUE"""),"Currency")</f>
        <v>Currency</v>
      </c>
      <c r="AA5" s="23" t="str">
        <f ca="1">IFERROR(__xludf.DUMMYFUNCTION("""COMPUTED_VALUE"""),"Cusip Symbol")</f>
        <v>Cusip Symbol</v>
      </c>
      <c r="AB5" s="23" t="str">
        <f ca="1">IFERROR(__xludf.DUMMYFUNCTION("""COMPUTED_VALUE"""),"Delta")</f>
        <v>Delta</v>
      </c>
      <c r="AC5" s="23" t="str">
        <f ca="1">IFERROR(__xludf.DUMMYFUNCTION("""COMPUTED_VALUE"""),"Description")</f>
        <v>Description</v>
      </c>
      <c r="AD5" s="23" t="str">
        <f ca="1">IFERROR(__xludf.DUMMYFUNCTION("""COMPUTED_VALUE"""),"Exchange")</f>
        <v>Exchange</v>
      </c>
      <c r="AE5" s="23" t="str">
        <f ca="1">IFERROR(__xludf.DUMMYFUNCTION("""COMPUTED_VALUE"""),"Executed Qty")</f>
        <v>Executed Qty</v>
      </c>
      <c r="AF5" s="23" t="str">
        <f ca="1">IFERROR(__xludf.DUMMYFUNCTION("""COMPUTED_VALUE"""),"Exceution Time")</f>
        <v>Exceution Time</v>
      </c>
      <c r="AG5" s="23" t="str">
        <f ca="1">IFERROR(__xludf.DUMMYFUNCTION("""COMPUTED_VALUE"""),"Expiration Date")</f>
        <v>Expiration Date</v>
      </c>
      <c r="AH5" s="23" t="str">
        <f ca="1">IFERROR(__xludf.DUMMYFUNCTION("""COMPUTED_VALUE"""),"FX Conversion Operator")</f>
        <v>FX Conversion Operator</v>
      </c>
      <c r="AI5" s="23" t="str">
        <f ca="1">IFERROR(__xludf.DUMMYFUNCTION("""COMPUTED_VALUE"""),"FX Rate")</f>
        <v>FX Rate</v>
      </c>
      <c r="AJ5" s="23" t="str">
        <f ca="1">IFERROR(__xludf.DUMMYFUNCTION("""COMPUTED_VALUE"""),"Group Status")</f>
        <v>Group Status</v>
      </c>
      <c r="AK5" s="23" t="str">
        <f ca="1">IFERROR(__xludf.DUMMYFUNCTION("""COMPUTED_VALUE"""),"IDCOSymbol")</f>
        <v>IDCOSymbol</v>
      </c>
      <c r="AL5" s="23" t="str">
        <f ca="1">IFERROR(__xludf.DUMMYFUNCTION("""COMPUTED_VALUE"""),"Import File Name")</f>
        <v>Import File Name</v>
      </c>
      <c r="AM5" s="23" t="str">
        <f ca="1">IFERROR(__xludf.DUMMYFUNCTION("""COMPUTED_VALUE"""),"Internal Comments")</f>
        <v>Internal Comments</v>
      </c>
      <c r="AN5" s="23" t="str">
        <f ca="1">IFERROR(__xludf.DUMMYFUNCTION("""COMPUTED_VALUE"""),"IsAnotherTaxlotAttributesUpdated")</f>
        <v>IsAnotherTaxlotAttributesUpdated</v>
      </c>
      <c r="AO5" s="23" t="str">
        <f ca="1">IFERROR(__xludf.DUMMYFUNCTION("""COMPUTED_VALUE"""),"ISIN")</f>
        <v>ISIN</v>
      </c>
      <c r="AP5" s="23" t="str">
        <f ca="1">IFERROR(__xludf.DUMMYFUNCTION("""COMPUTED_VALUE"""),"IsManualGroup")</f>
        <v>IsManualGroup</v>
      </c>
      <c r="AQ5" s="23" t="str">
        <f ca="1">IFERROR(__xludf.DUMMYFUNCTION("""COMPUTED_VALUE"""),"ISNDF")</f>
        <v>ISNDF</v>
      </c>
      <c r="AR5" s="23" t="str">
        <f ca="1">IFERROR(__xludf.DUMMYFUNCTION("""COMPUTED_VALUE"""),"IsPreAllocated")</f>
        <v>IsPreAllocated</v>
      </c>
      <c r="AS5" s="23" t="str">
        <f ca="1">IFERROR(__xludf.DUMMYFUNCTION("""COMPUTED_VALUE"""),"M2MProfitLoss")</f>
        <v>M2MProfitLoss</v>
      </c>
      <c r="AT5" s="23" t="str">
        <f ca="1">IFERROR(__xludf.DUMMYFUNCTION("""COMPUTED_VALUE"""),"Net Amount( Base)")</f>
        <v>Net Amount( Base)</v>
      </c>
      <c r="AU5" s="23" t="str">
        <f ca="1">IFERROR(__xludf.DUMMYFUNCTION("""COMPUTED_VALUE"""),"Net Amount( Local)")</f>
        <v>Net Amount( Local)</v>
      </c>
      <c r="AV5" s="23" t="str">
        <f ca="1">IFERROR(__xludf.DUMMYFUNCTION("""COMPUTED_VALUE"""),"Nirvana Process Date")</f>
        <v>Nirvana Process Date</v>
      </c>
      <c r="AW5" s="23" t="str">
        <f ca="1">IFERROR(__xludf.DUMMYFUNCTION("""COMPUTED_VALUE"""),"OCC Fee")</f>
        <v>OCC Fee</v>
      </c>
      <c r="AX5" s="23" t="str">
        <f ca="1">IFERROR(__xludf.DUMMYFUNCTION("""COMPUTED_VALUE"""),"Option Premium Adjustment")</f>
        <v>Option Premium Adjustment</v>
      </c>
      <c r="AY5" s="23" t="str">
        <f ca="1">IFERROR(__xludf.DUMMYFUNCTION("""COMPUTED_VALUE"""),"Order Type")</f>
        <v>Order Type</v>
      </c>
      <c r="AZ5" s="23" t="str">
        <f ca="1">IFERROR(__xludf.DUMMYFUNCTION("""COMPUTED_VALUE"""),"ORF Fee")</f>
        <v>ORF Fee</v>
      </c>
      <c r="BA5" s="23" t="str">
        <f ca="1">IFERROR(__xludf.DUMMYFUNCTION("""COMPUTED_VALUE"""),"Original Purchase Date")</f>
        <v>Original Purchase Date</v>
      </c>
      <c r="BB5" s="23" t="str">
        <f ca="1">IFERROR(__xludf.DUMMYFUNCTION("""COMPUTED_VALUE"""),"OSISSymbol")</f>
        <v>OSISSymbol</v>
      </c>
      <c r="BC5" s="23" t="str">
        <f ca="1">IFERROR(__xludf.DUMMYFUNCTION("""COMPUTED_VALUE"""),"Other Broker Fees")</f>
        <v>Other Broker Fees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IFERROR(__xludf.DUMMYFUNCTION("""COMPUTED_VALUE"""),"Principal Amount( Base)")</f>
        <v>Principal Amount( Base)</v>
      </c>
      <c r="BF5" s="23" t="str">
        <f ca="1">IFERROR(__xludf.DUMMYFUNCTION("""COMPUTED_VALUE"""),"Principal Amount( Local)")</f>
        <v>Principal Amount( Local)</v>
      </c>
      <c r="BG5" s="23" t="str">
        <f ca="1">IFERROR(__xludf.DUMMYFUNCTION("""COMPUTED_VALUE"""),"Process Date")</f>
        <v>Process Date</v>
      </c>
      <c r="BH5" s="23" t="str">
        <f ca="1">IFERROR(__xludf.DUMMYFUNCTION("""COMPUTED_VALUE"""),"Proxy Symbol")</f>
        <v>Proxy Symbol</v>
      </c>
      <c r="BI5" s="23" t="str">
        <f ca="1">IFERROR(__xludf.DUMMYFUNCTION("""COMPUTED_VALUE"""),"Put Or Call")</f>
        <v>Put Or Call</v>
      </c>
      <c r="BJ5" s="23" t="str">
        <f ca="1">IFERROR(__xludf.DUMMYFUNCTION("""COMPUTED_VALUE"""),"Quantity")</f>
        <v>Quantity</v>
      </c>
      <c r="BK5" s="23" t="str">
        <f ca="1">IFERROR(__xludf.DUMMYFUNCTION("""COMPUTED_VALUE"""),"SEC Fee")</f>
        <v>SEC Fee</v>
      </c>
      <c r="BL5" s="23" t="str">
        <f ca="1">IFERROR(__xludf.DUMMYFUNCTION("""COMPUTED_VALUE"""),"Sedol Symbol")</f>
        <v>Sedol Symbol</v>
      </c>
      <c r="BM5" s="23" t="str">
        <f ca="1">IFERROR(__xludf.DUMMYFUNCTION("""COMPUTED_VALUE"""),"Settlement Currency")</f>
        <v>Settlement Currency</v>
      </c>
      <c r="BN5" s="23" t="str">
        <f ca="1">IFERROR(__xludf.DUMMYFUNCTION("""COMPUTED_VALUE"""),"Settlement Date")</f>
        <v>Settlement Date</v>
      </c>
      <c r="BO5" s="23" t="str">
        <f ca="1">IFERROR(__xludf.DUMMYFUNCTION("""COMPUTED_VALUE"""),"Side")</f>
        <v>Side</v>
      </c>
      <c r="BP5" s="23" t="str">
        <f ca="1">IFERROR(__xludf.DUMMYFUNCTION("""COMPUTED_VALUE"""),"Soft Commission")</f>
        <v>Soft Commission</v>
      </c>
      <c r="BQ5" s="23" t="str">
        <f ca="1">IFERROR(__xludf.DUMMYFUNCTION("""COMPUTED_VALUE"""),"Soft Commission Per Share")</f>
        <v>Soft Commission Per Share</v>
      </c>
      <c r="BR5" s="23" t="str">
        <f ca="1">IFERROR(__xludf.DUMMYFUNCTION("""COMPUTED_VALUE"""),"Stamp Duty")</f>
        <v>Stamp Duty</v>
      </c>
      <c r="BS5" s="23" t="str">
        <f ca="1">IFERROR(__xludf.DUMMYFUNCTION("""COMPUTED_VALUE"""),"Strategy Name")</f>
        <v>Strategy Name</v>
      </c>
      <c r="BT5" s="23" t="str">
        <f ca="1">IFERROR(__xludf.DUMMYFUNCTION("""COMPUTED_VALUE"""),"Symbol")</f>
        <v>Symbol</v>
      </c>
      <c r="BU5" s="23" t="str">
        <f ca="1">IFERROR(__xludf.DUMMYFUNCTION("""COMPUTED_VALUE"""),"Tax On Commissions")</f>
        <v>Tax On Commissions</v>
      </c>
      <c r="BV5" s="23" t="str">
        <f ca="1">IFERROR(__xludf.DUMMYFUNCTION("""COMPUTED_VALUE"""),"Total Commission")</f>
        <v>Total Commission</v>
      </c>
      <c r="BW5" s="23" t="str">
        <f ca="1">IFERROR(__xludf.DUMMYFUNCTION("""COMPUTED_VALUE"""),"Total Commission And Fee")</f>
        <v>Total Commission And Fee</v>
      </c>
      <c r="BX5" s="23" t="str">
        <f ca="1">IFERROR(__xludf.DUMMYFUNCTION("""COMPUTED_VALUE"""),"Total Commission Per Share")</f>
        <v>Total Commission Per Share</v>
      </c>
      <c r="BY5" s="23" t="str">
        <f ca="1">IFERROR(__xludf.DUMMYFUNCTION("""COMPUTED_VALUE"""),"Trade Attribute 1")</f>
        <v>Trade Attribute 1</v>
      </c>
      <c r="BZ5" s="23" t="str">
        <f ca="1">IFERROR(__xludf.DUMMYFUNCTION("""COMPUTED_VALUE"""),"Trade Attribute 2")</f>
        <v>Trade Attribute 2</v>
      </c>
      <c r="CA5" s="23" t="str">
        <f ca="1">IFERROR(__xludf.DUMMYFUNCTION("""COMPUTED_VALUE"""),"Trade Attribute 3")</f>
        <v>Trade Attribute 3</v>
      </c>
      <c r="CB5" s="23" t="str">
        <f ca="1">IFERROR(__xludf.DUMMYFUNCTION("""COMPUTED_VALUE"""),"Trade Attribute 4")</f>
        <v>Trade Attribute 4</v>
      </c>
      <c r="CC5" s="23" t="str">
        <f ca="1">IFERROR(__xludf.DUMMYFUNCTION("""COMPUTED_VALUE"""),"Trade Attribute 5")</f>
        <v>Trade Attribute 5</v>
      </c>
      <c r="CD5" s="23" t="str">
        <f ca="1">IFERROR(__xludf.DUMMYFUNCTION("""COMPUTED_VALUE"""),"Trade Attribute 6")</f>
        <v>Trade Attribute 6</v>
      </c>
      <c r="CE5" s="23" t="str">
        <f ca="1">IFERROR(__xludf.DUMMYFUNCTION("""COMPUTED_VALUE"""),"Trade Date")</f>
        <v>Trade Date</v>
      </c>
      <c r="CF5" s="23" t="str">
        <f ca="1">IFERROR(__xludf.DUMMYFUNCTION("""COMPUTED_VALUE"""),"Trading Account")</f>
        <v>Trading Account</v>
      </c>
      <c r="CG5" s="23" t="str">
        <f ca="1">IFERROR(__xludf.DUMMYFUNCTION("""COMPUTED_VALUE"""),"Transaction Levy")</f>
        <v>Transaction Levy</v>
      </c>
      <c r="CH5" s="23" t="str">
        <f ca="1">IFERROR(__xludf.DUMMYFUNCTION("""COMPUTED_VALUE"""),"Transaction Source")</f>
        <v>Transaction Source</v>
      </c>
      <c r="CI5" s="23" t="str">
        <f ca="1">IFERROR(__xludf.DUMMYFUNCTION("""COMPUTED_VALUE"""),"Transaction Type")</f>
        <v>Transaction Type</v>
      </c>
      <c r="CJ5" s="23" t="str">
        <f ca="1">IFERROR(__xludf.DUMMYFUNCTION("""COMPUTED_VALUE"""),"UnAllocatedQty")</f>
        <v>UnAllocatedQty</v>
      </c>
      <c r="CK5" s="23" t="str">
        <f ca="1">IFERROR(__xludf.DUMMYFUNCTION("""COMPUTED_VALUE"""),"Underlying")</f>
        <v>Underlying</v>
      </c>
      <c r="CL5" s="23" t="str">
        <f ca="1">IFERROR(__xludf.DUMMYFUNCTION("""COMPUTED_VALUE"""),"Underlying Delta")</f>
        <v>Underlying Delta</v>
      </c>
      <c r="CM5" s="23" t="str">
        <f ca="1">IFERROR(__xludf.DUMMYFUNCTION("""COMPUTED_VALUE"""),"Underlying Symbol")</f>
        <v>Underlying Symbol</v>
      </c>
      <c r="CN5" s="23" t="str">
        <f ca="1">IFERROR(__xludf.DUMMYFUNCTION("""COMPUTED_VALUE"""),"User")</f>
        <v>User</v>
      </c>
      <c r="CO5" s="23" t="str">
        <f ca="1">IFERROR(__xludf.DUMMYFUNCTION("""COMPUTED_VALUE"""),"Venue")</f>
        <v>Venue</v>
      </c>
      <c r="CP5" s="23" t="str">
        <f ca="1">IFERROR(__xludf.DUMMYFUNCTION("""COMPUTED_VALUE"""),"Closing Method")</f>
        <v>Closing Method</v>
      </c>
      <c r="CQ5" s="23" t="str">
        <f ca="1">IFERROR(__xludf.DUMMYFUNCTION("""COMPUTED_VALUE"""),"Closing Date")</f>
        <v>Closing Date</v>
      </c>
      <c r="CR5" s="23" t="str">
        <f ca="1">IFERROR(__xludf.DUMMYFUNCTION("""COMPUTED_VALUE"""),"GroupID")</f>
        <v>GroupID</v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s">
        <v>22</v>
      </c>
      <c r="C6" s="2"/>
      <c r="D6" s="5"/>
      <c r="E6" s="5"/>
      <c r="F6" s="2"/>
      <c r="G6" s="2"/>
      <c r="H6" s="2"/>
      <c r="I6" s="2"/>
      <c r="J6" s="2"/>
      <c r="K6" s="5">
        <v>20</v>
      </c>
      <c r="L6" s="5">
        <v>20</v>
      </c>
      <c r="M6" s="2"/>
      <c r="N6" s="2"/>
      <c r="O6" s="2"/>
      <c r="T6" s="27">
        <v>0</v>
      </c>
      <c r="BJ6" s="27">
        <v>100</v>
      </c>
      <c r="BO6" s="27" t="s">
        <v>25</v>
      </c>
      <c r="BP6" s="27">
        <v>0</v>
      </c>
      <c r="BT6" s="27" t="s">
        <v>23</v>
      </c>
    </row>
    <row r="7" spans="1:154" ht="15.75" customHeight="1" x14ac:dyDescent="0.2">
      <c r="A7" s="2"/>
      <c r="B7" s="5" t="s">
        <v>26</v>
      </c>
      <c r="C7" s="2"/>
      <c r="D7" s="2"/>
      <c r="E7" s="5"/>
      <c r="F7" s="2"/>
      <c r="G7" s="2"/>
      <c r="H7" s="2"/>
      <c r="I7" s="2"/>
      <c r="J7" s="2"/>
      <c r="K7" s="5">
        <v>20</v>
      </c>
      <c r="L7" s="5">
        <v>20</v>
      </c>
      <c r="M7" s="2"/>
      <c r="N7" s="2"/>
      <c r="O7" s="2"/>
      <c r="T7" s="27">
        <v>0</v>
      </c>
      <c r="BJ7" s="27">
        <v>50</v>
      </c>
      <c r="BO7" s="27" t="s">
        <v>25</v>
      </c>
      <c r="BP7" s="27">
        <v>0</v>
      </c>
      <c r="BT7" s="27" t="s">
        <v>23</v>
      </c>
    </row>
    <row r="8" spans="1:154" ht="15.75" customHeight="1" x14ac:dyDescent="0.2">
      <c r="A8" s="2"/>
      <c r="B8" s="5" t="s">
        <v>22</v>
      </c>
      <c r="C8" s="2"/>
      <c r="D8" s="2"/>
      <c r="E8" s="5"/>
      <c r="F8" s="2"/>
      <c r="G8" s="2"/>
      <c r="H8" s="2"/>
      <c r="I8" s="2"/>
      <c r="J8" s="2"/>
      <c r="K8" s="5">
        <v>25</v>
      </c>
      <c r="L8" s="5">
        <v>25</v>
      </c>
      <c r="M8" s="2"/>
      <c r="N8" s="2"/>
      <c r="O8" s="2"/>
      <c r="T8" s="27">
        <v>10</v>
      </c>
      <c r="BJ8" s="27">
        <v>50</v>
      </c>
      <c r="BO8" s="27" t="s">
        <v>45</v>
      </c>
      <c r="BP8" s="27">
        <v>10</v>
      </c>
      <c r="BT8" s="27" t="s">
        <v>23</v>
      </c>
    </row>
    <row r="9" spans="1:154" ht="15.75" customHeight="1" x14ac:dyDescent="0.2">
      <c r="A9" s="2"/>
      <c r="B9" s="5" t="s">
        <v>26</v>
      </c>
      <c r="C9" s="2"/>
      <c r="D9" s="2"/>
      <c r="E9" s="5"/>
      <c r="F9" s="2"/>
      <c r="G9" s="2"/>
      <c r="H9" s="2"/>
      <c r="I9" s="2"/>
      <c r="J9" s="2"/>
      <c r="K9" s="5">
        <v>25</v>
      </c>
      <c r="L9" s="5">
        <v>25</v>
      </c>
      <c r="M9" s="2"/>
      <c r="N9" s="2"/>
      <c r="O9" s="2"/>
      <c r="T9" s="27">
        <v>10</v>
      </c>
      <c r="BJ9" s="27">
        <v>50</v>
      </c>
      <c r="BO9" s="27" t="s">
        <v>25</v>
      </c>
      <c r="BP9" s="27">
        <v>10</v>
      </c>
      <c r="BT9" s="27" t="s">
        <v>23</v>
      </c>
    </row>
    <row r="10" spans="1:154" ht="15.75" customHeight="1" x14ac:dyDescent="0.2">
      <c r="A10" s="2"/>
      <c r="B10" s="5"/>
      <c r="C10" s="2"/>
      <c r="D10" s="2"/>
      <c r="E10" s="5"/>
      <c r="F10" s="2"/>
      <c r="G10" s="2"/>
      <c r="H10" s="2"/>
      <c r="I10" s="2"/>
      <c r="J10" s="2"/>
      <c r="K10" s="5"/>
      <c r="L10" s="5"/>
      <c r="M10" s="2"/>
      <c r="N10" s="2"/>
      <c r="O10" s="2"/>
    </row>
    <row r="11" spans="1:154" ht="15.75" customHeight="1" x14ac:dyDescent="0.2">
      <c r="A11" s="2"/>
      <c r="B11" s="5"/>
      <c r="C11" s="2"/>
      <c r="D11" s="2"/>
      <c r="E11" s="5"/>
      <c r="F11" s="2"/>
      <c r="G11" s="2"/>
      <c r="H11" s="2"/>
      <c r="I11" s="2"/>
      <c r="J11" s="2"/>
      <c r="K11" s="5"/>
      <c r="L11" s="5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52" t="s">
        <v>11</v>
      </c>
      <c r="C1" s="53"/>
      <c r="D1" s="53"/>
      <c r="E1" s="53"/>
      <c r="F1" s="53"/>
      <c r="G1" s="53"/>
      <c r="H1" s="5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3" t="s">
        <v>3</v>
      </c>
      <c r="C3" s="16" t="s">
        <v>46</v>
      </c>
      <c r="D3" s="3" t="s">
        <v>7</v>
      </c>
      <c r="E3" s="16" t="s">
        <v>47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IFERROR(__xludf.DUMMYFUNCTION("""COMPUTED_VALUE"""),"Account Filter")</f>
        <v>Account Filter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s">
        <v>44</v>
      </c>
      <c r="C6" s="2"/>
      <c r="D6" s="5"/>
      <c r="E6" s="24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52" t="s">
        <v>11</v>
      </c>
      <c r="C1" s="53"/>
      <c r="D1" s="53"/>
      <c r="E1" s="53"/>
      <c r="F1" s="53"/>
      <c r="G1" s="53"/>
      <c r="H1" s="5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3" t="s">
        <v>3</v>
      </c>
      <c r="C3" s="16" t="s">
        <v>46</v>
      </c>
      <c r="D3" s="3" t="s">
        <v>7</v>
      </c>
      <c r="E3" s="16" t="s">
        <v>48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IFERROR(__xludf.DUMMYFUNCTION("""COMPUTED_VALUE"""),"Asset Class")</f>
        <v>Asset Class</v>
      </c>
      <c r="D5" s="21" t="str">
        <f ca="1">IFERROR(__xludf.DUMMYFUNCTION("""COMPUTED_VALUE"""),"AUECID")</f>
        <v>AUECID</v>
      </c>
      <c r="E5" s="21" t="str">
        <f ca="1">IFERROR(__xludf.DUMMYFUNCTION("""COMPUTED_VALUE"""),"ExternalTransId")</f>
        <v>ExternalTransId</v>
      </c>
      <c r="F5" s="22" t="str">
        <f ca="1">IFERROR(__xludf.DUMMYFUNCTION("""COMPUTED_VALUE"""),"IsSwapped")</f>
        <v>IsSwapped</v>
      </c>
      <c r="G5" s="21" t="str">
        <f ca="1">IFERROR(__xludf.DUMMYFUNCTION("""COMPUTED_VALUE"""),"LotId")</f>
        <v>LotId</v>
      </c>
      <c r="H5" s="21" t="str">
        <f ca="1">IFERROR(__xludf.DUMMYFUNCTION("""COMPUTED_VALUE"""),"Net Notional")</f>
        <v>Net Notional</v>
      </c>
      <c r="I5" s="21" t="str">
        <f ca="1">IFERROR(__xludf.DUMMYFUNCTION("""COMPUTED_VALUE"""),"Opening Price")</f>
        <v>Opening Price</v>
      </c>
      <c r="J5" s="21" t="str">
        <f ca="1">IFERROR(__xludf.DUMMYFUNCTION("""COMPUTED_VALUE"""),"Original Purchase Date")</f>
        <v>Original Purchase Date</v>
      </c>
      <c r="K5" s="21" t="str">
        <f ca="1">IFERROR(__xludf.DUMMYFUNCTION("""COMPUTED_VALUE"""),"PositionTag")</f>
        <v>PositionTag</v>
      </c>
      <c r="L5" s="21" t="str">
        <f ca="1">IFERROR(__xludf.DUMMYFUNCTION("""COMPUTED_VALUE"""),"Process Date")</f>
        <v>Process Date</v>
      </c>
      <c r="M5" s="21" t="str">
        <f ca="1">IFERROR(__xludf.DUMMYFUNCTION("""COMPUTED_VALUE"""),"Quantity")</f>
        <v>Quantity</v>
      </c>
      <c r="N5" s="21" t="str">
        <f ca="1">IFERROR(__xludf.DUMMYFUNCTION("""COMPUTED_VALUE"""),"Security Name")</f>
        <v>Security Name</v>
      </c>
      <c r="O5" s="21" t="str">
        <f ca="1">IFERROR(__xludf.DUMMYFUNCTION("""COMPUTED_VALUE"""),"Settlement Currency")</f>
        <v>Settlement Currency</v>
      </c>
      <c r="P5" s="21" t="str">
        <f ca="1">IFERROR(__xludf.DUMMYFUNCTION("""COMPUTED_VALUE"""),"Side")</f>
        <v>Side</v>
      </c>
      <c r="Q5" s="21" t="str">
        <f ca="1">IFERROR(__xludf.DUMMYFUNCTION("""COMPUTED_VALUE"""),"Strategy")</f>
        <v>Strategy</v>
      </c>
      <c r="R5" s="21" t="str">
        <f ca="1">IFERROR(__xludf.DUMMYFUNCTION("""COMPUTED_VALUE"""),"Symbol")</f>
        <v>Symbol</v>
      </c>
      <c r="S5" s="21" t="str">
        <f ca="1">IFERROR(__xludf.DUMMYFUNCTION("""COMPUTED_VALUE"""),"Taxlot ID")</f>
        <v>Taxlot ID</v>
      </c>
      <c r="T5" s="23" t="str">
        <f ca="1">IFERROR(__xludf.DUMMYFUNCTION("""COMPUTED_VALUE"""),"Total Fees and Commission")</f>
        <v>Total Fees and Commission</v>
      </c>
      <c r="U5" s="23" t="str">
        <f ca="1">IFERROR(__xludf.DUMMYFUNCTION("""COMPUTED_VALUE"""),"Trade Date")</f>
        <v>Trade Date</v>
      </c>
      <c r="V5" s="23" t="str">
        <f ca="1">IFERROR(__xludf.DUMMYFUNCTION("""COMPUTED_VALUE"""),"Transaction Type")</f>
        <v>Transaction Type</v>
      </c>
      <c r="W5" s="23" t="str">
        <f ca="1">IFERROR(__xludf.DUMMYFUNCTION("""COMPUTED_VALUE"""),"UnderlyingName")</f>
        <v>UnderlyingName</v>
      </c>
      <c r="X5" s="23" t="str">
        <f ca="1">IFERROR(__xludf.DUMMYFUNCTION("""COMPUTED_VALUE"""),"UnitCost")</f>
        <v>UnitCost</v>
      </c>
      <c r="Y5" s="23" t="str">
        <f ca="1">IFERROR(__xludf.DUMMYFUNCTION("""COMPUTED_VALUE"""),"Unit Cost(Base)")</f>
        <v>Unit Cost(Base)</v>
      </c>
      <c r="Z5" s="23" t="str">
        <f ca="1">IFERROR(__xludf.DUMMYFUNCTION("""COMPUTED_VALUE"""),"AvgPriceBase")</f>
        <v>AvgPriceBase</v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s">
        <v>22</v>
      </c>
      <c r="C6" s="2"/>
      <c r="D6" s="5"/>
      <c r="E6" s="24"/>
      <c r="F6" s="2"/>
      <c r="G6" s="2"/>
      <c r="H6" s="2"/>
      <c r="I6" s="2"/>
      <c r="J6" s="2"/>
      <c r="K6" s="2"/>
      <c r="L6" s="2"/>
      <c r="M6" s="5">
        <v>100</v>
      </c>
      <c r="N6" s="2"/>
      <c r="O6" s="2"/>
      <c r="P6" s="27" t="s">
        <v>49</v>
      </c>
      <c r="R6" s="27" t="s">
        <v>23</v>
      </c>
    </row>
    <row r="7" spans="1:154" ht="15.75" customHeight="1" x14ac:dyDescent="0.2">
      <c r="A7" s="2"/>
      <c r="B7" s="5" t="s">
        <v>26</v>
      </c>
      <c r="C7" s="2"/>
      <c r="D7" s="2"/>
      <c r="E7" s="2"/>
      <c r="F7" s="2"/>
      <c r="G7" s="2"/>
      <c r="H7" s="2"/>
      <c r="I7" s="2"/>
      <c r="J7" s="2"/>
      <c r="K7" s="2"/>
      <c r="L7" s="2"/>
      <c r="M7" s="5">
        <v>50</v>
      </c>
      <c r="N7" s="2"/>
      <c r="O7" s="2"/>
      <c r="P7" s="27" t="s">
        <v>49</v>
      </c>
      <c r="R7" s="27" t="s">
        <v>23</v>
      </c>
    </row>
    <row r="8" spans="1:154" ht="15.75" customHeight="1" x14ac:dyDescent="0.2">
      <c r="A8" s="2"/>
      <c r="B8" s="5" t="s">
        <v>26</v>
      </c>
      <c r="C8" s="2"/>
      <c r="D8" s="2"/>
      <c r="E8" s="2"/>
      <c r="F8" s="2"/>
      <c r="G8" s="2"/>
      <c r="H8" s="2"/>
      <c r="I8" s="2"/>
      <c r="J8" s="2"/>
      <c r="K8" s="2"/>
      <c r="L8" s="2"/>
      <c r="M8" s="5">
        <v>50</v>
      </c>
      <c r="N8" s="2"/>
      <c r="O8" s="2"/>
      <c r="P8" s="27" t="s">
        <v>49</v>
      </c>
      <c r="R8" s="27" t="s">
        <v>23</v>
      </c>
    </row>
    <row r="9" spans="1:154" ht="15.75" customHeight="1" x14ac:dyDescent="0.2">
      <c r="A9" s="2"/>
      <c r="B9" s="5"/>
      <c r="C9" s="2"/>
      <c r="D9" s="2"/>
      <c r="E9" s="2"/>
      <c r="F9" s="2"/>
      <c r="G9" s="2"/>
      <c r="H9" s="2"/>
      <c r="I9" s="2"/>
      <c r="J9" s="2"/>
      <c r="K9" s="2"/>
      <c r="L9" s="2"/>
      <c r="M9" s="5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52" t="s">
        <v>11</v>
      </c>
      <c r="C1" s="53"/>
      <c r="D1" s="53"/>
      <c r="E1" s="53"/>
      <c r="F1" s="53"/>
      <c r="G1" s="53"/>
      <c r="H1" s="5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3" t="s">
        <v>3</v>
      </c>
      <c r="C3" s="16" t="s">
        <v>46</v>
      </c>
      <c r="D3" s="3" t="s">
        <v>7</v>
      </c>
      <c r="E3" s="16" t="s">
        <v>50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IFERROR(__xludf.DUMMYFUNCTION("""COMPUTED_VALUE"""),"Asset Class")</f>
        <v>Asset Class</v>
      </c>
      <c r="D5" s="21" t="str">
        <f ca="1">IFERROR(__xludf.DUMMYFUNCTION("""COMPUTED_VALUE"""),"AUECID")</f>
        <v>AUECID</v>
      </c>
      <c r="E5" s="21" t="str">
        <f ca="1">IFERROR(__xludf.DUMMYFUNCTION("""COMPUTED_VALUE"""),"ExternalTransId")</f>
        <v>ExternalTransId</v>
      </c>
      <c r="F5" s="22" t="str">
        <f ca="1">IFERROR(__xludf.DUMMYFUNCTION("""COMPUTED_VALUE"""),"IsSwapped")</f>
        <v>IsSwapped</v>
      </c>
      <c r="G5" s="21" t="str">
        <f ca="1">IFERROR(__xludf.DUMMYFUNCTION("""COMPUTED_VALUE"""),"LotId")</f>
        <v>LotId</v>
      </c>
      <c r="H5" s="21" t="str">
        <f ca="1">IFERROR(__xludf.DUMMYFUNCTION("""COMPUTED_VALUE"""),"Net Notional")</f>
        <v>Net Notional</v>
      </c>
      <c r="I5" s="21" t="str">
        <f ca="1">IFERROR(__xludf.DUMMYFUNCTION("""COMPUTED_VALUE"""),"Opening Price")</f>
        <v>Opening Price</v>
      </c>
      <c r="J5" s="21" t="str">
        <f ca="1">IFERROR(__xludf.DUMMYFUNCTION("""COMPUTED_VALUE"""),"Original Purchase Date")</f>
        <v>Original Purchase Date</v>
      </c>
      <c r="K5" s="21" t="str">
        <f ca="1">IFERROR(__xludf.DUMMYFUNCTION("""COMPUTED_VALUE"""),"PositionTag")</f>
        <v>PositionTag</v>
      </c>
      <c r="L5" s="21" t="str">
        <f ca="1">IFERROR(__xludf.DUMMYFUNCTION("""COMPUTED_VALUE"""),"Process Date")</f>
        <v>Process Date</v>
      </c>
      <c r="M5" s="21" t="str">
        <f ca="1">IFERROR(__xludf.DUMMYFUNCTION("""COMPUTED_VALUE"""),"Quantity")</f>
        <v>Quantity</v>
      </c>
      <c r="N5" s="21" t="str">
        <f ca="1">IFERROR(__xludf.DUMMYFUNCTION("""COMPUTED_VALUE"""),"Security Name")</f>
        <v>Security Name</v>
      </c>
      <c r="O5" s="21" t="str">
        <f ca="1">IFERROR(__xludf.DUMMYFUNCTION("""COMPUTED_VALUE"""),"Settlement Currency")</f>
        <v>Settlement Currency</v>
      </c>
      <c r="P5" s="21" t="str">
        <f ca="1">IFERROR(__xludf.DUMMYFUNCTION("""COMPUTED_VALUE"""),"Side")</f>
        <v>Side</v>
      </c>
      <c r="Q5" s="21" t="str">
        <f ca="1">IFERROR(__xludf.DUMMYFUNCTION("""COMPUTED_VALUE"""),"Strategy")</f>
        <v>Strategy</v>
      </c>
      <c r="R5" s="21" t="str">
        <f ca="1">IFERROR(__xludf.DUMMYFUNCTION("""COMPUTED_VALUE"""),"Symbol")</f>
        <v>Symbol</v>
      </c>
      <c r="S5" s="21" t="str">
        <f ca="1">IFERROR(__xludf.DUMMYFUNCTION("""COMPUTED_VALUE"""),"Taxlot ID")</f>
        <v>Taxlot ID</v>
      </c>
      <c r="T5" s="23" t="str">
        <f ca="1">IFERROR(__xludf.DUMMYFUNCTION("""COMPUTED_VALUE"""),"Total Fees and Commission")</f>
        <v>Total Fees and Commission</v>
      </c>
      <c r="U5" s="23" t="str">
        <f ca="1">IFERROR(__xludf.DUMMYFUNCTION("""COMPUTED_VALUE"""),"Trade Date")</f>
        <v>Trade Date</v>
      </c>
      <c r="V5" s="23" t="str">
        <f ca="1">IFERROR(__xludf.DUMMYFUNCTION("""COMPUTED_VALUE"""),"Transaction Type")</f>
        <v>Transaction Type</v>
      </c>
      <c r="W5" s="23" t="str">
        <f ca="1">IFERROR(__xludf.DUMMYFUNCTION("""COMPUTED_VALUE"""),"UnderlyingName")</f>
        <v>UnderlyingName</v>
      </c>
      <c r="X5" s="23" t="str">
        <f ca="1">IFERROR(__xludf.DUMMYFUNCTION("""COMPUTED_VALUE"""),"UnitCost")</f>
        <v>UnitCost</v>
      </c>
      <c r="Y5" s="23" t="str">
        <f ca="1">IFERROR(__xludf.DUMMYFUNCTION("""COMPUTED_VALUE"""),"Unit Cost(Base)")</f>
        <v>Unit Cost(Base)</v>
      </c>
      <c r="Z5" s="23" t="str">
        <f ca="1">IFERROR(__xludf.DUMMYFUNCTION("""COMPUTED_VALUE"""),"AvgPriceBase")</f>
        <v>AvgPriceBase</v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s">
        <v>22</v>
      </c>
      <c r="C6" s="2"/>
      <c r="D6" s="5"/>
      <c r="E6" s="24"/>
      <c r="F6" s="2"/>
      <c r="G6" s="2"/>
      <c r="H6" s="2"/>
      <c r="I6" s="2"/>
      <c r="J6" s="2"/>
      <c r="K6" s="2"/>
      <c r="L6" s="2"/>
      <c r="M6" s="5">
        <v>50</v>
      </c>
      <c r="N6" s="2"/>
      <c r="O6" s="2"/>
      <c r="P6" s="27" t="s">
        <v>45</v>
      </c>
      <c r="R6" s="27" t="s">
        <v>23</v>
      </c>
    </row>
    <row r="7" spans="1:154" ht="15.75" customHeight="1" x14ac:dyDescent="0.2">
      <c r="A7" s="2"/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5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abSelected="1" topLeftCell="BE1" workbookViewId="0">
      <selection activeCell="BM10" sqref="BM10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6" width="14.42578125" customWidth="1"/>
  </cols>
  <sheetData>
    <row r="1" spans="1:166" ht="15.75" customHeight="1" x14ac:dyDescent="0.3">
      <c r="A1" s="12"/>
      <c r="B1" s="52" t="s">
        <v>11</v>
      </c>
      <c r="C1" s="53"/>
      <c r="D1" s="53"/>
      <c r="E1" s="53"/>
      <c r="F1" s="53"/>
      <c r="G1" s="53"/>
      <c r="H1" s="5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</row>
    <row r="2" spans="1:166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66" ht="15.75" customHeight="1" x14ac:dyDescent="0.2">
      <c r="A3" s="15"/>
      <c r="B3" s="3" t="s">
        <v>3</v>
      </c>
      <c r="C3" s="16" t="s">
        <v>51</v>
      </c>
      <c r="D3" s="3" t="s">
        <v>7</v>
      </c>
      <c r="E3" s="16" t="s">
        <v>52</v>
      </c>
      <c r="F3" s="3" t="s">
        <v>14</v>
      </c>
      <c r="G3" s="8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</row>
    <row r="4" spans="1:166" ht="15.75" customHeight="1" x14ac:dyDescent="0.2">
      <c r="A4" s="18"/>
      <c r="B4" s="18" t="str">
        <f ca="1">IFERROR(__xludf.DUMMYFUNCTION("IF(C3="""","""",Transpose(IMPORTRANGE('_Settings'!$B$3,C3&amp;""!A4:A1000"")))"),"CheckDashboardPM")</f>
        <v>CheckDashboardPM</v>
      </c>
      <c r="C4" s="18" t="str">
        <f ca="1">IFERROR(__xludf.DUMMYFUNCTION("""COMPUTED_VALUE"""),"CheckPortfolioManagement")</f>
        <v>CheckPortfolioManagement</v>
      </c>
      <c r="D4" s="18" t="str">
        <f ca="1">IFERROR(__xludf.DUMMYFUNCTION("""COMPUTED_VALUE"""),"OpenPSTFromPM")</f>
        <v>OpenPSTFromPM</v>
      </c>
      <c r="E4" s="18" t="str">
        <f ca="1">IFERROR(__xludf.DUMMYFUNCTION("""COMPUTED_VALUE"""),"ClosePM")</f>
        <v>ClosePM</v>
      </c>
      <c r="F4" s="18" t="str">
        <f ca="1">IFERROR(__xludf.DUMMYFUNCTION("""COMPUTED_VALUE"""),"FilterPM")</f>
        <v>FilterPM</v>
      </c>
      <c r="G4" s="18" t="str">
        <f ca="1">IFERROR(__xludf.DUMMYFUNCTION("""COMPUTED_VALUE"""),"GroupRowPM")</f>
        <v>GroupRowPM</v>
      </c>
      <c r="H4" s="18" t="str">
        <f ca="1">IFERROR(__xludf.DUMMYFUNCTION("""COMPUTED_VALUE"""),"CheckDashboardWithPM")</f>
        <v>CheckDashboardWithPM</v>
      </c>
      <c r="I4" s="18" t="str">
        <f ca="1">IFERROR(__xludf.DUMMYFUNCTION("""COMPUTED_VALUE"""),"RemoveFilterPM")</f>
        <v>RemoveFilterPM</v>
      </c>
      <c r="J4" s="18" t="str">
        <f ca="1">IFERROR(__xludf.DUMMYFUNCTION("""COMPUTED_VALUE"""),"CheckSummaryRowsPM")</f>
        <v>CheckSummaryRowsPM</v>
      </c>
      <c r="K4" s="18" t="str">
        <f ca="1">IFERROR(__xludf.DUMMYFUNCTION("""COMPUTED_VALUE"""),"OpenPTTFromPM")</f>
        <v>OpenPTTFromPM</v>
      </c>
      <c r="L4" s="18" t="str">
        <f ca="1">IFERROR(__xludf.DUMMYFUNCTION("""COMPUTED_VALUE"""),"OpenCreateTransactionFromPM")</f>
        <v>OpenCreateTransactionFromPM</v>
      </c>
      <c r="M4" s="18" t="str">
        <f ca="1">IFERROR(__xludf.DUMMYFUNCTION("""COMPUTED_VALUE"""),"OpenClosingFromPM")</f>
        <v>OpenClosingFromPM</v>
      </c>
      <c r="N4" s="18" t="str">
        <f ca="1">IFERROR(__xludf.DUMMYFUNCTION("""COMPUTED_VALUE"""),"OpenCorporateActionFromPM")</f>
        <v>OpenCorporateActionFromPM</v>
      </c>
      <c r="O4" s="18" t="str">
        <f ca="1">IFERROR(__xludf.DUMMYFUNCTION("""COMPUTED_VALUE"""),"OpenDailyValuationFromPM")</f>
        <v>OpenDailyValuationFromPM</v>
      </c>
      <c r="P4" s="19" t="str">
        <f ca="1">IFERROR(__xludf.DUMMYFUNCTION("""COMPUTED_VALUE"""),"ClosePositionFromPM")</f>
        <v>ClosePositionFromPM</v>
      </c>
      <c r="Q4" s="19" t="str">
        <f ca="1">IFERROR(__xludf.DUMMYFUNCTION("""COMPUTED_VALUE"""),"ShowSummaryToolFromPM")</f>
        <v>ShowSummaryToolFromPM</v>
      </c>
      <c r="R4" s="19" t="str">
        <f ca="1">IFERROR(__xludf.DUMMYFUNCTION("""COMPUTED_VALUE"""),"HideSummaryToolFromPM")</f>
        <v>HideSummaryToolFromPM</v>
      </c>
      <c r="S4" s="19" t="str">
        <f ca="1">IFERROR(__xludf.DUMMYFUNCTION("""COMPUTED_VALUE"""),"CloseAccountPositionFromPM")</f>
        <v>CloseAccountPositionFromPM</v>
      </c>
      <c r="T4" s="19" t="str">
        <f ca="1">IFERROR(__xludf.DUMMYFUNCTION("""COMPUTED_VALUE"""),"CloseSelectedTaxlotsFromPM")</f>
        <v>CloseSelectedTaxlotsFromPM</v>
      </c>
      <c r="U4" s="19" t="str">
        <f ca="1">IFERROR(__xludf.DUMMYFUNCTION("""COMPUTED_VALUE"""),"ExpandCollapsePM")</f>
        <v>ExpandCollapsePM</v>
      </c>
      <c r="V4" s="19" t="str">
        <f ca="1">IFERROR(__xludf.DUMMYFUNCTION("""COMPUTED_VALUE"""),"AddCustomViewPM")</f>
        <v>AddCustomViewPM</v>
      </c>
      <c r="W4" s="19" t="str">
        <f ca="1">IFERROR(__xludf.DUMMYFUNCTION("""COMPUTED_VALUE"""),"AddCustomViewRightClickPM")</f>
        <v>AddCustomViewRightClickPM</v>
      </c>
      <c r="X4" s="19" t="str">
        <f ca="1">IFERROR(__xludf.DUMMYFUNCTION("""COMPUTED_VALUE"""),"RenameCustomViewPM")</f>
        <v>RenameCustomViewPM</v>
      </c>
      <c r="Y4" s="19" t="str">
        <f ca="1">IFERROR(__xludf.DUMMYFUNCTION("""COMPUTED_VALUE"""),"DeleteCustomViewPM")</f>
        <v>DeleteCustomViewPM</v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  <c r="EY4" s="19" t="str">
        <f ca="1">IFERROR(__xludf.DUMMYFUNCTION("""COMPUTED_VALUE"""),"")</f>
        <v/>
      </c>
      <c r="EZ4" s="19" t="str">
        <f ca="1">IFERROR(__xludf.DUMMYFUNCTION("""COMPUTED_VALUE"""),"")</f>
        <v/>
      </c>
      <c r="FA4" s="19" t="str">
        <f ca="1">IFERROR(__xludf.DUMMYFUNCTION("""COMPUTED_VALUE"""),"")</f>
        <v/>
      </c>
      <c r="FB4" s="19" t="str">
        <f ca="1">IFERROR(__xludf.DUMMYFUNCTION("""COMPUTED_VALUE"""),"")</f>
        <v/>
      </c>
      <c r="FC4" s="19" t="str">
        <f ca="1">IFERROR(__xludf.DUMMYFUNCTION("""COMPUTED_VALUE"""),"")</f>
        <v/>
      </c>
      <c r="FD4" s="19" t="str">
        <f ca="1">IFERROR(__xludf.DUMMYFUNCTION("""COMPUTED_VALUE"""),"")</f>
        <v/>
      </c>
      <c r="FE4" s="19" t="str">
        <f ca="1">IFERROR(__xludf.DUMMYFUNCTION("""COMPUTED_VALUE"""),"")</f>
        <v/>
      </c>
      <c r="FF4" s="19" t="str">
        <f ca="1">IFERROR(__xludf.DUMMYFUNCTION("""COMPUTED_VALUE"""),"")</f>
        <v/>
      </c>
      <c r="FG4" s="19" t="str">
        <f ca="1">IFERROR(__xludf.DUMMYFUNCTION("""COMPUTED_VALUE"""),"")</f>
        <v/>
      </c>
      <c r="FH4" s="19" t="str">
        <f ca="1">IFERROR(__xludf.DUMMYFUNCTION("""COMPUTED_VALUE"""),"")</f>
        <v/>
      </c>
      <c r="FI4" s="19" t="str">
        <f ca="1">IFERROR(__xludf.DUMMYFUNCTION("""COMPUTED_VALUE"""),"")</f>
        <v/>
      </c>
      <c r="FJ4" s="19" t="str">
        <f ca="1">IFERROR(__xludf.DUMMYFUNCTION("""COMPUTED_VALUE"""),"")</f>
        <v/>
      </c>
    </row>
    <row r="5" spans="1:166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IFERROR(__xludf.DUMMYFUNCTION("""COMPUTED_VALUE"""),"Trade Date")</f>
        <v>Trade Date</v>
      </c>
      <c r="C5" s="21" t="str">
        <f ca="1">IFERROR(__xludf.DUMMYFUNCTION("""COMPUTED_VALUE"""),"Symbol")</f>
        <v>Symbol</v>
      </c>
      <c r="D5" s="21" t="str">
        <f ca="1">IFERROR(__xludf.DUMMYFUNCTION("""COMPUTED_VALUE"""),"Position")</f>
        <v>Position</v>
      </c>
      <c r="E5" s="21" t="str">
        <f ca="1">IFERROR(__xludf.DUMMYFUNCTION("""COMPUTED_VALUE"""),"Account")</f>
        <v>Account</v>
      </c>
      <c r="F5" s="22" t="str">
        <f ca="1">IFERROR(__xludf.DUMMYFUNCTION("""COMPUTED_VALUE"""),"MasterFund")</f>
        <v>MasterFund</v>
      </c>
      <c r="G5" s="21" t="str">
        <f ca="1">IFERROR(__xludf.DUMMYFUNCTION("""COMPUTED_VALUE"""),"Cost Basis")</f>
        <v>Cost Basis</v>
      </c>
      <c r="H5" s="21" t="str">
        <f ca="1">IFERROR(__xludf.DUMMYFUNCTION("""COMPUTED_VALUE"""),"Position Side")</f>
        <v>Position Side</v>
      </c>
      <c r="I5" s="21" t="str">
        <f ca="1">IFERROR(__xludf.DUMMYFUNCTION("""COMPUTED_VALUE"""),"Market Value (Base)")</f>
        <v>Market Value (Base)</v>
      </c>
      <c r="J5" s="21" t="str">
        <f ca="1">IFERROR(__xludf.DUMMYFUNCTION("""COMPUTED_VALUE"""),"% Day P&amp;L (Gross MV)")</f>
        <v>% Day P&amp;L (Gross MV)</v>
      </c>
      <c r="K5" s="21" t="str">
        <f ca="1">IFERROR(__xludf.DUMMYFUNCTION("""COMPUTED_VALUE"""),"Net Exposure (Base)")</f>
        <v>Net Exposure (Base)</v>
      </c>
      <c r="L5" s="21" t="str">
        <f ca="1">IFERROR(__xludf.DUMMYFUNCTION("""COMPUTED_VALUE"""),"Beta Adj. Gross Exposure (Base)")</f>
        <v>Beta Adj. Gross Exposure (Base)</v>
      </c>
      <c r="M5" s="21" t="str">
        <f ca="1">IFERROR(__xludf.DUMMYFUNCTION("""COMPUTED_VALUE"""),"Beta Adj. Gross Exposure (Underlying) (Base)")</f>
        <v>Beta Adj. Gross Exposure (Underlying) (Base)</v>
      </c>
      <c r="N5" s="21" t="str">
        <f ca="1">IFERROR(__xludf.DUMMYFUNCTION("""COMPUTED_VALUE"""),"Day P&amp;L (Base)")</f>
        <v>Day P&amp;L (Base)</v>
      </c>
      <c r="O5" s="21" t="str">
        <f ca="1">IFERROR(__xludf.DUMMYFUNCTION("""COMPUTED_VALUE"""),"Security Name")</f>
        <v>Security Name</v>
      </c>
      <c r="P5" s="21" t="str">
        <f ca="1">IFERROR(__xludf.DUMMYFUNCTION("""COMPUTED_VALUE"""),"Closing Mark")</f>
        <v>Closing Mark</v>
      </c>
      <c r="Q5" s="21" t="str">
        <f ca="1">IFERROR(__xludf.DUMMYFUNCTION("""COMPUTED_VALUE"""),"Cost Basis P&amp;L (Base)")</f>
        <v>Cost Basis P&amp;L (Base)</v>
      </c>
      <c r="R5" s="21" t="str">
        <f ca="1">IFERROR(__xludf.DUMMYFUNCTION("""COMPUTED_VALUE"""),"Prime Broker")</f>
        <v>Prime Broker</v>
      </c>
      <c r="S5" s="21" t="str">
        <f ca="1">IFERROR(__xludf.DUMMYFUNCTION("""COMPUTED_VALUE"""),"Strategy")</f>
        <v>Strategy</v>
      </c>
      <c r="T5" s="23" t="str">
        <f ca="1">IFERROR(__xludf.DUMMYFUNCTION("""COMPUTED_VALUE"""),"Asset Class")</f>
        <v>Asset Class</v>
      </c>
      <c r="U5" s="23" t="str">
        <f ca="1">IFERROR(__xludf.DUMMYFUNCTION("""COMPUTED_VALUE"""),"Underlying")</f>
        <v>Underlying</v>
      </c>
      <c r="V5" s="23" t="str">
        <f ca="1">IFERROR(__xludf.DUMMYFUNCTION("""COMPUTED_VALUE"""),"Exchange")</f>
        <v>Exchange</v>
      </c>
      <c r="W5" s="23" t="str">
        <f ca="1">IFERROR(__xludf.DUMMYFUNCTION("""COMPUTED_VALUE"""),"Trade Currency")</f>
        <v>Trade Currency</v>
      </c>
      <c r="X5" s="23" t="str">
        <f ca="1">IFERROR(__xludf.DUMMYFUNCTION("""COMPUTED_VALUE"""),"Multiplier")</f>
        <v>Multiplier</v>
      </c>
      <c r="Y5" s="23" t="str">
        <f ca="1">IFERROR(__xludf.DUMMYFUNCTION("""COMPUTED_VALUE"""),"FX Rate")</f>
        <v>FX Rate</v>
      </c>
      <c r="Z5" s="23" t="str">
        <f ca="1">IFERROR(__xludf.DUMMYFUNCTION("""COMPUTED_VALUE"""),"Vs Currency")</f>
        <v>Vs Currency</v>
      </c>
      <c r="AA5" s="23" t="str">
        <f ca="1">IFERROR(__xludf.DUMMYFUNCTION("""COMPUTED_VALUE"""),"Lead Currency")</f>
        <v>Lead Currency</v>
      </c>
      <c r="AB5" s="23" t="str">
        <f ca="1">IFERROR(__xludf.DUMMYFUNCTION("""COMPUTED_VALUE"""),"Dividend Yield (%)")</f>
        <v>Dividend Yield (%)</v>
      </c>
      <c r="AC5" s="23" t="str">
        <f ca="1">IFERROR(__xludf.DUMMYFUNCTION("""COMPUTED_VALUE"""),"% Change")</f>
        <v>% Change</v>
      </c>
      <c r="AD5" s="23" t="str">
        <f ca="1">IFERROR(__xludf.DUMMYFUNCTION("""COMPUTED_VALUE"""),"Net Exposure (Local)")</f>
        <v>Net Exposure (Local)</v>
      </c>
      <c r="AE5" s="23" t="str">
        <f ca="1">IFERROR(__xludf.DUMMYFUNCTION("""COMPUTED_VALUE"""),"Exposure (Local)")</f>
        <v>Exposure (Local)</v>
      </c>
      <c r="AF5" s="23" t="str">
        <f ca="1">IFERROR(__xludf.DUMMYFUNCTION("""COMPUTED_VALUE"""),"Delta Adj. Position")</f>
        <v>Delta Adj. Position</v>
      </c>
      <c r="AG5" s="23" t="str">
        <f ca="1">IFERROR(__xludf.DUMMYFUNCTION("""COMPUTED_VALUE"""),"Exposure (Base)")</f>
        <v>Exposure (Base)</v>
      </c>
      <c r="AH5" s="23" t="str">
        <f ca="1">IFERROR(__xludf.DUMMYFUNCTION("""COMPUTED_VALUE"""),"Beta Adj. Exposure (Local)")</f>
        <v>Beta Adj. Exposure (Local)</v>
      </c>
      <c r="AI5" s="23" t="str">
        <f ca="1">IFERROR(__xludf.DUMMYFUNCTION("""COMPUTED_VALUE"""),"Beta Adj. Exposure (Base)")</f>
        <v>Beta Adj. Exposure (Base)</v>
      </c>
      <c r="AJ5" s="23" t="str">
        <f ca="1">IFERROR(__xludf.DUMMYFUNCTION("""COMPUTED_VALUE"""),"Exposure (BP)(Base)")</f>
        <v>Exposure (BP)(Base)</v>
      </c>
      <c r="AK5" s="23" t="str">
        <f ca="1">IFERROR(__xludf.DUMMYFUNCTION("""COMPUTED_VALUE"""),"Day P&amp;L (Local)")</f>
        <v>Day P&amp;L (Local)</v>
      </c>
      <c r="AL5" s="23" t="str">
        <f ca="1">IFERROR(__xludf.DUMMYFUNCTION("""COMPUTED_VALUE"""),"Delta")</f>
        <v>Delta</v>
      </c>
      <c r="AM5" s="23" t="str">
        <f ca="1">IFERROR(__xludf.DUMMYFUNCTION("""COMPUTED_VALUE"""),"Leveraged Factor")</f>
        <v>Leveraged Factor</v>
      </c>
      <c r="AN5" s="23" t="str">
        <f ca="1">IFERROR(__xludf.DUMMYFUNCTION("""COMPUTED_VALUE"""),"Order Side")</f>
        <v>Order Side</v>
      </c>
      <c r="AO5" s="23" t="str">
        <f ca="1">IFERROR(__xludf.DUMMYFUNCTION("""COMPUTED_VALUE"""),"Master Strategy")</f>
        <v>Master Strategy</v>
      </c>
      <c r="AP5" s="23" t="str">
        <f ca="1">IFERROR(__xludf.DUMMYFUNCTION("""COMPUTED_VALUE"""),"Transaction Side")</f>
        <v>Transaction Side</v>
      </c>
      <c r="AQ5" s="23" t="str">
        <f ca="1">IFERROR(__xludf.DUMMYFUNCTION("""COMPUTED_VALUE"""),"Underlying Symbol")</f>
        <v>Underlying Symbol</v>
      </c>
      <c r="AR5" s="23" t="str">
        <f ca="1">IFERROR(__xludf.DUMMYFUNCTION("""COMPUTED_VALUE"""),"Underlying Price")</f>
        <v>Underlying Price</v>
      </c>
      <c r="AS5" s="23" t="str">
        <f ca="1">IFERROR(__xludf.DUMMYFUNCTION("""COMPUTED_VALUE"""),"Side Multiplier")</f>
        <v>Side Multiplier</v>
      </c>
      <c r="AT5" s="23" t="str">
        <f ca="1">IFERROR(__xludf.DUMMYFUNCTION("""COMPUTED_VALUE"""),"Description")</f>
        <v>Description</v>
      </c>
      <c r="AU5" s="23" t="str">
        <f ca="1">IFERROR(__xludf.DUMMYFUNCTION("""COMPUTED_VALUE"""),"Internal Comments")</f>
        <v>Internal Comments</v>
      </c>
      <c r="AV5" s="23" t="str">
        <f ca="1">IFERROR(__xludf.DUMMYFUNCTION("""COMPUTED_VALUE"""),"FX Rate On Trade Date")</f>
        <v>FX Rate On Trade Date</v>
      </c>
      <c r="AW5" s="23" t="str">
        <f ca="1">IFERROR(__xludf.DUMMYFUNCTION("""COMPUTED_VALUE"""),"Cost Basis P&amp;L (Local)")</f>
        <v>Cost Basis P&amp;L (Local)</v>
      </c>
      <c r="AX5" s="23" t="str">
        <f ca="1">IFERROR(__xludf.DUMMYFUNCTION("""COMPUTED_VALUE"""),"Day Interest")</f>
        <v>Day Interest</v>
      </c>
      <c r="AY5" s="23" t="str">
        <f ca="1">IFERROR(__xludf.DUMMYFUNCTION("""COMPUTED_VALUE"""),"Total Interest")</f>
        <v>Total Interest</v>
      </c>
      <c r="AZ5" s="23" t="str">
        <f ca="1">IFERROR(__xludf.DUMMYFUNCTION("""COMPUTED_VALUE"""),"Market Value (Local)")</f>
        <v>Market Value (Local)</v>
      </c>
      <c r="BA5" s="23" t="str">
        <f ca="1">IFERROR(__xludf.DUMMYFUNCTION("""COMPUTED_VALUE"""),"% Gain/Loss Day")</f>
        <v>% Gain/Loss Day</v>
      </c>
      <c r="BB5" s="23" t="str">
        <f ca="1">IFERROR(__xludf.DUMMYFUNCTION("""COMPUTED_VALUE"""),"Update Time (Last Price)")</f>
        <v>Update Time (Last Price)</v>
      </c>
      <c r="BC5" s="23" t="str">
        <f ca="1">IFERROR(__xludf.DUMMYFUNCTION("""COMPUTED_VALUE"""),"Beta")</f>
        <v>Beta</v>
      </c>
      <c r="BD5" s="23" t="str">
        <f ca="1">IFERROR(__xludf.DUMMYFUNCTION("""COMPUTED_VALUE"""),"Cash Impact (Local)")</f>
        <v>Cash Impact (Local)</v>
      </c>
      <c r="BE5" s="23" t="str">
        <f ca="1">IFERROR(__xludf.DUMMYFUNCTION("""COMPUTED_VALUE"""),"User Asset")</f>
        <v>User Asset</v>
      </c>
      <c r="BF5" s="23" t="str">
        <f ca="1">IFERROR(__xludf.DUMMYFUNCTION("""COMPUTED_VALUE"""),"Security Type")</f>
        <v>Security Type</v>
      </c>
      <c r="BG5" s="23" t="str">
        <f ca="1">IFERROR(__xludf.DUMMYFUNCTION("""COMPUTED_VALUE"""),"Sector")</f>
        <v>Sector</v>
      </c>
      <c r="BH5" s="23" t="str">
        <f ca="1">IFERROR(__xludf.DUMMYFUNCTION("""COMPUTED_VALUE"""),"Sub Sector")</f>
        <v>Sub Sector</v>
      </c>
      <c r="BI5" s="23" t="str">
        <f ca="1">IFERROR(__xludf.DUMMYFUNCTION("""COMPUTED_VALUE"""),"Country")</f>
        <v>Country</v>
      </c>
      <c r="BJ5" s="23" t="str">
        <f ca="1">IFERROR(__xludf.DUMMYFUNCTION("""COMPUTED_VALUE"""),"Market Cap")</f>
        <v>Market Cap</v>
      </c>
      <c r="BK5" s="23" t="str">
        <f ca="1">IFERROR(__xludf.DUMMYFUNCTION("""COMPUTED_VALUE"""),"Shares Outstanding (MM)")</f>
        <v>Shares Outstanding (MM)</v>
      </c>
      <c r="BL5" s="23" t="str">
        <f ca="1">IFERROR(__xludf.DUMMYFUNCTION("""COMPUTED_VALUE"""),"Avg Volume 20 Day")</f>
        <v>Avg Volume 20 Day</v>
      </c>
      <c r="BM5" s="23" t="str">
        <f ca="1">IFERROR(__xludf.DUMMYFUNCTION("""COMPUTED_VALUE"""),"% Avg Volume (Delta Adj.)")</f>
        <v>% Avg Volume (Delta Adj.)</v>
      </c>
      <c r="BN5" s="23" t="str">
        <f ca="1">IFERROR(__xludf.DUMMYFUNCTION("""COMPUTED_VALUE"""),"Ex Dividend Date")</f>
        <v>Ex Dividend Date</v>
      </c>
      <c r="BO5" s="23" t="str">
        <f ca="1">IFERROR(__xludf.DUMMYFUNCTION("""COMPUTED_VALUE"""),"Cash Impact (Base)")</f>
        <v>Cash Impact (Base)</v>
      </c>
      <c r="BP5" s="23" t="str">
        <f ca="1">IFERROR(__xludf.DUMMYFUNCTION("""COMPUTED_VALUE"""),"Volatility (%)")</f>
        <v>Volatility (%)</v>
      </c>
      <c r="BQ5" s="23" t="str">
        <f ca="1">IFERROR(__xludf.DUMMYFUNCTION("""COMPUTED_VALUE"""),"User")</f>
        <v>User</v>
      </c>
      <c r="BR5" s="23" t="str">
        <f ca="1">IFERROR(__xludf.DUMMYFUNCTION("""COMPUTED_VALUE"""),"Broker")</f>
        <v>Broker</v>
      </c>
      <c r="BS5" s="23" t="str">
        <f ca="1">IFERROR(__xludf.DUMMYFUNCTION("""COMPUTED_VALUE"""),"Earned Dividend (Local)")</f>
        <v>Earned Dividend (Local)</v>
      </c>
      <c r="BT5" s="23" t="str">
        <f ca="1">IFERROR(__xludf.DUMMYFUNCTION("""COMPUTED_VALUE"""),"Earned Dividend (Base)")</f>
        <v>Earned Dividend (Base)</v>
      </c>
      <c r="BU5" s="23" t="str">
        <f ca="1">IFERROR(__xludf.DUMMYFUNCTION("""COMPUTED_VALUE"""),"Put/Call")</f>
        <v>Put/Call</v>
      </c>
      <c r="BV5" s="23" t="str">
        <f ca="1">IFERROR(__xludf.DUMMYFUNCTION("""COMPUTED_VALUE"""),"Expiration Date")</f>
        <v>Expiration Date</v>
      </c>
      <c r="BW5" s="23" t="str">
        <f ca="1">IFERROR(__xludf.DUMMYFUNCTION("""COMPUTED_VALUE"""),"Strike Price")</f>
        <v>Strike Price</v>
      </c>
      <c r="BX5" s="23" t="str">
        <f ca="1">IFERROR(__xludf.DUMMYFUNCTION("""COMPUTED_VALUE"""),"Gross Exposure (Base)")</f>
        <v>Gross Exposure (Base)</v>
      </c>
      <c r="BY5" s="23" t="str">
        <f ca="1">IFERROR(__xludf.DUMMYFUNCTION("""COMPUTED_VALUE"""),"Gross Market Value (Base)")</f>
        <v>Gross Market Value (Base)</v>
      </c>
      <c r="BZ5" s="23" t="str">
        <f ca="1">IFERROR(__xludf.DUMMYFUNCTION("""COMPUTED_VALUE"""),"Px Selected Feed (Local)")</f>
        <v>Px Selected Feed (Local)</v>
      </c>
      <c r="CA5" s="23" t="str">
        <f ca="1">IFERROR(__xludf.DUMMYFUNCTION("""COMPUTED_VALUE"""),"Px Selected Feed (Base)")</f>
        <v>Px Selected Feed (Base)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IFERROR(__xludf.DUMMYFUNCTION("""COMPUTED_VALUE"""),"% Avg Volume")</f>
        <v>% Avg Volume</v>
      </c>
      <c r="CD5" s="23" t="str">
        <f ca="1">IFERROR(__xludf.DUMMYFUNCTION("""COMPUTED_VALUE"""),"Day P&amp;L (Base)(Price Gain)")</f>
        <v>Day P&amp;L (Base)(Price Gain)</v>
      </c>
      <c r="CE5" s="23" t="str">
        <f ca="1">IFERROR(__xludf.DUMMYFUNCTION("""COMPUTED_VALUE"""),"Day P&amp;L (Base)(FX Gain)")</f>
        <v>Day P&amp;L (Base)(FX Gain)</v>
      </c>
      <c r="CF5" s="23" t="str">
        <f ca="1">IFERROR(__xludf.DUMMYFUNCTION("""COMPUTED_VALUE"""),"Cost Basis P&amp;L (Base)(FX Gain)")</f>
        <v>Cost Basis P&amp;L (Base)(FX Gain)</v>
      </c>
      <c r="CG5" s="23" t="str">
        <f ca="1">IFERROR(__xludf.DUMMYFUNCTION("""COMPUTED_VALUE"""),"Cost Basis P&amp;L (Base)(Price Gain)")</f>
        <v>Cost Basis P&amp;L (Base)(Price Gain)</v>
      </c>
      <c r="CH5" s="23" t="str">
        <f ca="1">IFERROR(__xludf.DUMMYFUNCTION("""COMPUTED_VALUE"""),"% Gain/Loss Cost")</f>
        <v>% Gain/Loss Cost</v>
      </c>
      <c r="CI5" s="23" t="str">
        <f ca="1">IFERROR(__xludf.DUMMYFUNCTION("""COMPUTED_VALUE"""),"Underlying Value (Options)")</f>
        <v>Underlying Value (Options)</v>
      </c>
      <c r="CJ5" s="23" t="str">
        <f ca="1">IFERROR(__xludf.DUMMYFUNCTION("""COMPUTED_VALUE"""),"Avg Volume 20 Day (Underlying Symbol)")</f>
        <v>Avg Volume 20 Day (Underlying Symbol)</v>
      </c>
      <c r="CK5" s="23" t="str">
        <f ca="1">IFERROR(__xludf.DUMMYFUNCTION("""COMPUTED_VALUE"""),"IsStaleData")</f>
        <v>IsStaleData</v>
      </c>
      <c r="CL5" s="23" t="str">
        <f ca="1">IFERROR(__xludf.DUMMYFUNCTION("""COMPUTED_VALUE"""),"IDCO")</f>
        <v>IDCO</v>
      </c>
      <c r="CM5" s="23" t="str">
        <f ca="1">IFERROR(__xludf.DUMMYFUNCTION("""COMPUTED_VALUE"""),"OSI")</f>
        <v>OSI</v>
      </c>
      <c r="CN5" s="23" t="str">
        <f ca="1">IFERROR(__xludf.DUMMYFUNCTION("""COMPUTED_VALUE"""),"SEDOL")</f>
        <v>SEDOL</v>
      </c>
      <c r="CO5" s="23" t="str">
        <f ca="1">IFERROR(__xludf.DUMMYFUNCTION("""COMPUTED_VALUE"""),"CUSIP")</f>
        <v>CUSIP</v>
      </c>
      <c r="CP5" s="23" t="str">
        <f ca="1">IFERROR(__xludf.DUMMYFUNCTION("""COMPUTED_VALUE"""),"Bloomberg")</f>
        <v>Bloomberg</v>
      </c>
      <c r="CQ5" s="23" t="str">
        <f ca="1">IFERROR(__xludf.DUMMYFUNCTION("""COMPUTED_VALUE"""),"ISIN")</f>
        <v>ISIN</v>
      </c>
      <c r="CR5" s="23" t="str">
        <f ca="1">IFERROR(__xludf.DUMMYFUNCTION("""COMPUTED_VALUE"""),"Start Trade Date")</f>
        <v>Start Trade Date</v>
      </c>
      <c r="CS5" s="23" t="str">
        <f ca="1">IFERROR(__xludf.DUMMYFUNCTION("""COMPUTED_VALUE"""),"Cost Basis (Break Even)")</f>
        <v>Cost Basis (Break Even)</v>
      </c>
      <c r="CT5" s="23" t="str">
        <f ca="1">IFERROR(__xludf.DUMMYFUNCTION("""COMPUTED_VALUE"""),"Trade Attribute 3")</f>
        <v>Trade Attribute 3</v>
      </c>
      <c r="CU5" s="23" t="str">
        <f ca="1">IFERROR(__xludf.DUMMYFUNCTION("""COMPUTED_VALUE"""),"Trade Attribute 4")</f>
        <v>Trade Attribute 4</v>
      </c>
      <c r="CV5" s="23" t="str">
        <f ca="1">IFERROR(__xludf.DUMMYFUNCTION("""COMPUTED_VALUE"""),"Trade Attribute 5")</f>
        <v>Trade Attribute 5</v>
      </c>
      <c r="CW5" s="23" t="str">
        <f ca="1">IFERROR(__xludf.DUMMYFUNCTION("""COMPUTED_VALUE"""),"Trade Attribute 6")</f>
        <v>Trade Attribute 6</v>
      </c>
      <c r="CX5" s="23" t="str">
        <f ca="1">IFERROR(__xludf.DUMMYFUNCTION("""COMPUTED_VALUE"""),"Proxy Symbol")</f>
        <v>Proxy Symbol</v>
      </c>
      <c r="CY5" s="23" t="str">
        <f ca="1">IFERROR(__xludf.DUMMYFUNCTION("""COMPUTED_VALUE"""),"Pricing Source")</f>
        <v>Pricing Source</v>
      </c>
      <c r="CZ5" s="23" t="str">
        <f ca="1">IFERROR(__xludf.DUMMYFUNCTION("""COMPUTED_VALUE"""),"Delta Source")</f>
        <v>Delta Source</v>
      </c>
      <c r="DA5" s="23" t="str">
        <f ca="1">IFERROR(__xludf.DUMMYFUNCTION("""COMPUTED_VALUE"""),"Gross Exposure (Local)")</f>
        <v>Gross Exposure (Local)</v>
      </c>
      <c r="DB5" s="23" t="str">
        <f ca="1">IFERROR(__xludf.DUMMYFUNCTION("""COMPUTED_VALUE"""),"% Day P&amp;L (Net MV)")</f>
        <v>% Day P&amp;L (Net MV)</v>
      </c>
      <c r="DC5" s="23" t="str">
        <f ca="1">IFERROR(__xludf.DUMMYFUNCTION("""COMPUTED_VALUE"""),"Expiration Month")</f>
        <v>Expiration Month</v>
      </c>
      <c r="DD5" s="23" t="str">
        <f ca="1">IFERROR(__xludf.DUMMYFUNCTION("""COMPUTED_VALUE"""),"Delta Adj. Position (LME)")</f>
        <v>Delta Adj. Position (LME)</v>
      </c>
      <c r="DE5" s="23" t="str">
        <f ca="1">IFERROR(__xludf.DUMMYFUNCTION("""COMPUTED_VALUE"""),"Premium")</f>
        <v>Premium</v>
      </c>
      <c r="DF5" s="23" t="str">
        <f ca="1">IFERROR(__xludf.DUMMYFUNCTION("""COMPUTED_VALUE"""),"Premium $")</f>
        <v>Premium $</v>
      </c>
      <c r="DG5" s="23" t="str">
        <f ca="1">IFERROR(__xludf.DUMMYFUNCTION("""COMPUTED_VALUE"""),"Forward Points")</f>
        <v>Forward Points</v>
      </c>
      <c r="DH5" s="23" t="str">
        <f ca="1">IFERROR(__xludf.DUMMYFUNCTION("""COMPUTED_VALUE"""),"Closing Mark (Underlying)")</f>
        <v>Closing Mark (Underlying)</v>
      </c>
      <c r="DI5" s="23" t="str">
        <f ca="1">IFERROR(__xludf.DUMMYFUNCTION("""COMPUTED_VALUE"""),"% Change (Underlying Price)")</f>
        <v>% Change (Underlying Price)</v>
      </c>
      <c r="DJ5" s="23" t="str">
        <f ca="1">IFERROR(__xludf.DUMMYFUNCTION("""COMPUTED_VALUE"""),"Transaction Type")</f>
        <v>Transaction Type</v>
      </c>
      <c r="DK5" s="23" t="str">
        <f ca="1">IFERROR(__xludf.DUMMYFUNCTION("""COMPUTED_VALUE"""),"Closing Market Value (Local)")</f>
        <v>Closing Market Value (Local)</v>
      </c>
      <c r="DL5" s="23" t="str">
        <f ca="1">IFERROR(__xludf.DUMMYFUNCTION("""COMPUTED_VALUE"""),"Closing Market Value (Base)")</f>
        <v>Closing Market Value (Base)</v>
      </c>
      <c r="DM5" s="23" t="str">
        <f ca="1">IFERROR(__xludf.DUMMYFUNCTION("""COMPUTED_VALUE"""),"Closing FX Rate")</f>
        <v>Closing FX Rate</v>
      </c>
      <c r="DN5" s="23" t="str">
        <f ca="1">IFERROR(__xludf.DUMMYFUNCTION("""COMPUTED_VALUE"""),"Change In Underlying Price")</f>
        <v>Change In Underlying Price</v>
      </c>
      <c r="DO5" s="23" t="str">
        <f ca="1">IFERROR(__xludf.DUMMYFUNCTION("""COMPUTED_VALUE"""),"RIC")</f>
        <v>RIC</v>
      </c>
      <c r="DP5" s="23" t="str">
        <f ca="1">IFERROR(__xludf.DUMMYFUNCTION("""COMPUTED_VALUE"""),"Position Side Exposure (Boxed)")</f>
        <v>Position Side Exposure (Boxed)</v>
      </c>
      <c r="DQ5" s="23" t="str">
        <f ca="1">IFERROR(__xludf.DUMMYFUNCTION("""COMPUTED_VALUE"""),"Analyst")</f>
        <v>Analyst</v>
      </c>
      <c r="DR5" s="23" t="str">
        <f ca="1">IFERROR(__xludf.DUMMYFUNCTION("""COMPUTED_VALUE"""),"Country Of Risk")</f>
        <v>Country Of Risk</v>
      </c>
      <c r="DS5" s="23" t="str">
        <f ca="1">IFERROR(__xludf.DUMMYFUNCTION("""COMPUTED_VALUE"""),"Custom UDA1")</f>
        <v>Custom UDA1</v>
      </c>
      <c r="DT5" s="23" t="str">
        <f ca="1">IFERROR(__xludf.DUMMYFUNCTION("""COMPUTED_VALUE"""),"Custom UDA2")</f>
        <v>Custom UDA2</v>
      </c>
      <c r="DU5" s="23" t="str">
        <f ca="1">IFERROR(__xludf.DUMMYFUNCTION("""COMPUTED_VALUE"""),"Custom UDA3")</f>
        <v>Custom UDA3</v>
      </c>
      <c r="DV5" s="23" t="str">
        <f ca="1">IFERROR(__xludf.DUMMYFUNCTION("""COMPUTED_VALUE"""),"Custom UDA4")</f>
        <v>Custom UDA4</v>
      </c>
      <c r="DW5" s="23" t="str">
        <f ca="1">IFERROR(__xludf.DUMMYFUNCTION("""COMPUTED_VALUE"""),"Custom UDA5")</f>
        <v>Custom UDA5</v>
      </c>
      <c r="DX5" s="23" t="str">
        <f ca="1">IFERROR(__xludf.DUMMYFUNCTION("""COMPUTED_VALUE"""),"Custom UDA6")</f>
        <v>Custom UDA6</v>
      </c>
      <c r="DY5" s="23" t="str">
        <f ca="1">IFERROR(__xludf.DUMMYFUNCTION("""COMPUTED_VALUE"""),"Custom UDA7")</f>
        <v>Custom UDA7</v>
      </c>
      <c r="DZ5" s="23" t="str">
        <f ca="1">IFERROR(__xludf.DUMMYFUNCTION("""COMPUTED_VALUE"""),"Issuer")</f>
        <v>Issuer</v>
      </c>
      <c r="EA5" s="23" t="str">
        <f ca="1">IFERROR(__xludf.DUMMYFUNCTION("""COMPUTED_VALUE"""),"Liquid Tag")</f>
        <v>Liquid Tag</v>
      </c>
      <c r="EB5" s="23" t="str">
        <f ca="1">IFERROR(__xludf.DUMMYFUNCTION("""COMPUTED_VALUE"""),"Market Cap UDA")</f>
        <v>Market Cap UDA</v>
      </c>
      <c r="EC5" s="23" t="str">
        <f ca="1">IFERROR(__xludf.DUMMYFUNCTION("""COMPUTED_VALUE"""),"Region")</f>
        <v>Region</v>
      </c>
      <c r="ED5" s="23" t="str">
        <f ca="1">IFERROR(__xludf.DUMMYFUNCTION("""COMPUTED_VALUE"""),"Risk Currency")</f>
        <v>Risk Currency</v>
      </c>
      <c r="EE5" s="23" t="str">
        <f ca="1">IFERROR(__xludf.DUMMYFUNCTION("""COMPUTED_VALUE"""),"UCITS Eligible Tag")</f>
        <v>UCITS Eligible Tag</v>
      </c>
      <c r="EF5" s="23" t="str">
        <f ca="1">IFERROR(__xludf.DUMMYFUNCTION("""COMPUTED_VALUE"""),"FX Rate (Display)")</f>
        <v>FX Rate (Display)</v>
      </c>
      <c r="EG5" s="23" t="str">
        <f ca="1">IFERROR(__xludf.DUMMYFUNCTION("""COMPUTED_VALUE"""),"% Net Exposure (Base)")</f>
        <v>% Net Exposure (Base)</v>
      </c>
      <c r="EH5" s="23" t="str">
        <f ca="1">IFERROR(__xludf.DUMMYFUNCTION("""COMPUTED_VALUE"""),"% Gross Exposure (Base)")</f>
        <v>% Gross Exposure (Base)</v>
      </c>
      <c r="EI5" s="23" t="str">
        <f ca="1">IFERROR(__xludf.DUMMYFUNCTION("""COMPUTED_VALUE"""),"% Exposure (Base)")</f>
        <v>% Exposure (Base)</v>
      </c>
      <c r="EJ5" s="23" t="str">
        <f ca="1">IFERROR(__xludf.DUMMYFUNCTION("""COMPUTED_VALUE"""),"% Gross Exposure (Underlying) (Base)")</f>
        <v>% Gross Exposure (Underlying) (Base)</v>
      </c>
      <c r="EK5" s="23" t="str">
        <f ca="1">IFERROR(__xludf.DUMMYFUNCTION("""COMPUTED_VALUE"""),"% Beta Adj. Gross Exposure (Base)")</f>
        <v>% Beta Adj. Gross Exposure (Base)</v>
      </c>
      <c r="EL5" s="23" t="str">
        <f ca="1">IFERROR(__xludf.DUMMYFUNCTION("""COMPUTED_VALUE"""),"Position Side Exposure (Underlying)")</f>
        <v>Position Side Exposure (Underlying)</v>
      </c>
      <c r="EM5" s="23" t="str">
        <f ca="1">IFERROR(__xludf.DUMMYFUNCTION("""COMPUTED_VALUE"""),"Gross Exposure (Underlying) (Base)")</f>
        <v>Gross Exposure (Underlying) (Base)</v>
      </c>
      <c r="EN5" s="23" t="str">
        <f ca="1">IFERROR(__xludf.DUMMYFUNCTION("""COMPUTED_VALUE"""),"Gross Exposure (Underlying)")</f>
        <v>Gross Exposure (Underlying)</v>
      </c>
      <c r="EO5" s="23" t="str">
        <f ca="1">IFERROR(__xludf.DUMMYFUNCTION("""COMPUTED_VALUE"""),"Day Return")</f>
        <v>Day Return</v>
      </c>
      <c r="EP5" s="23" t="str">
        <f ca="1">IFERROR(__xludf.DUMMYFUNCTION("""COMPUTED_VALUE"""),"Start of Day NAV")</f>
        <v>Start of Day NAV</v>
      </c>
      <c r="EQ5" s="23" t="str">
        <f ca="1">IFERROR(__xludf.DUMMYFUNCTION("""COMPUTED_VALUE"""),"% Gross Market Value (Base)")</f>
        <v>% Gross Market Value (Base)</v>
      </c>
      <c r="ER5" s="23" t="str">
        <f ca="1">IFERROR(__xludf.DUMMYFUNCTION("""COMPUTED_VALUE"""),"Beta Adj. Gross Exposure (Underlying) (Local)")</f>
        <v>Beta Adj. Gross Exposure (Underlying) (Local)</v>
      </c>
      <c r="ES5" s="23" t="str">
        <f ca="1">IFERROR(__xludf.DUMMYFUNCTION("""COMPUTED_VALUE"""),"NAV")</f>
        <v>NAV</v>
      </c>
      <c r="ET5" s="23" t="str">
        <f ca="1">IFERROR(__xludf.DUMMYFUNCTION("""COMPUTED_VALUE"""),"% P&amp;L Contribution")</f>
        <v>% P&amp;L Contribution</v>
      </c>
      <c r="EU5" s="23" t="str">
        <f ca="1">IFERROR(__xludf.DUMMYFUNCTION("""COMPUTED_VALUE"""),"% Net Market Value (Base)")</f>
        <v>% Net Market Value (Base)</v>
      </c>
      <c r="EV5" s="23" t="str">
        <f ca="1">IFERROR(__xludf.DUMMYFUNCTION("""COMPUTED_VALUE"""),"Position Side Exposure")</f>
        <v>Position Side Exposure</v>
      </c>
      <c r="EW5" s="23" t="str">
        <f ca="1">IFERROR(__xludf.DUMMYFUNCTION("""COMPUTED_VALUE"""),"NAV (Touch)")</f>
        <v>NAV (Touch)</v>
      </c>
      <c r="EX5" s="23" t="str">
        <f ca="1">IFERROR(__xludf.DUMMYFUNCTION("""COMPUTED_VALUE"""),"IgnorePropertyChangeEvents")</f>
        <v>IgnorePropertyChangeEvents</v>
      </c>
      <c r="EY5" s="23" t="str">
        <f ca="1">IFERROR(__xludf.DUMMYFUNCTION("""COMPUTED_VALUE"""),"Trade Attribute 1")</f>
        <v>Trade Attribute 1</v>
      </c>
      <c r="EZ5" s="23" t="str">
        <f ca="1">IFERROR(__xludf.DUMMYFUNCTION("""COMPUTED_VALUE"""),"Trade Attribute 2")</f>
        <v>Trade Attribute 2</v>
      </c>
      <c r="FA5" s="23" t="str">
        <f ca="1">IFERROR(__xludf.DUMMYFUNCTION("""COMPUTED_VALUE"""),"")</f>
        <v/>
      </c>
      <c r="FB5" s="23" t="str">
        <f ca="1">IFERROR(__xludf.DUMMYFUNCTION("""COMPUTED_VALUE"""),"")</f>
        <v/>
      </c>
      <c r="FC5" s="23" t="str">
        <f ca="1">IFERROR(__xludf.DUMMYFUNCTION("""COMPUTED_VALUE"""),"")</f>
        <v/>
      </c>
      <c r="FD5" s="23" t="str">
        <f ca="1">IFERROR(__xludf.DUMMYFUNCTION("""COMPUTED_VALUE"""),"")</f>
        <v/>
      </c>
      <c r="FE5" s="23" t="str">
        <f ca="1">IFERROR(__xludf.DUMMYFUNCTION("""COMPUTED_VALUE"""),"")</f>
        <v/>
      </c>
      <c r="FF5" s="23" t="str">
        <f ca="1">IFERROR(__xludf.DUMMYFUNCTION("""COMPUTED_VALUE"""),"")</f>
        <v/>
      </c>
      <c r="FG5" s="23" t="str">
        <f ca="1">IFERROR(__xludf.DUMMYFUNCTION("""COMPUTED_VALUE"""),"")</f>
        <v/>
      </c>
      <c r="FH5" s="23" t="str">
        <f ca="1">IFERROR(__xludf.DUMMYFUNCTION("""COMPUTED_VALUE"""),"")</f>
        <v/>
      </c>
      <c r="FI5" s="23" t="str">
        <f ca="1">IFERROR(__xludf.DUMMYFUNCTION("""COMPUTED_VALUE"""),"")</f>
        <v/>
      </c>
      <c r="FJ5" s="23" t="str">
        <f ca="1">IFERROR(__xludf.DUMMYFUNCTION("""COMPUTED_VALUE"""),"")</f>
        <v/>
      </c>
    </row>
    <row r="6" spans="1:166" ht="15.75" customHeight="1" x14ac:dyDescent="0.2">
      <c r="A6" s="5"/>
      <c r="B6" s="5"/>
      <c r="C6" s="5" t="s">
        <v>23</v>
      </c>
      <c r="D6" s="5">
        <v>100</v>
      </c>
      <c r="E6" s="5" t="s">
        <v>22</v>
      </c>
      <c r="F6" s="2"/>
      <c r="G6" s="2"/>
      <c r="H6" s="5" t="s">
        <v>53</v>
      </c>
      <c r="I6" s="2"/>
      <c r="J6" s="2"/>
      <c r="K6" s="2"/>
      <c r="L6" s="2"/>
      <c r="M6" s="2"/>
      <c r="N6" s="2"/>
      <c r="O6" s="2"/>
      <c r="Y6" s="27">
        <v>1</v>
      </c>
      <c r="AN6" s="27" t="s">
        <v>25</v>
      </c>
    </row>
    <row r="7" spans="1:166" ht="15.75" customHeight="1" x14ac:dyDescent="0.2">
      <c r="A7" s="2"/>
      <c r="B7" s="2"/>
      <c r="C7" s="5" t="s">
        <v>23</v>
      </c>
      <c r="D7" s="5">
        <v>50</v>
      </c>
      <c r="E7" s="5" t="s">
        <v>26</v>
      </c>
      <c r="F7" s="2"/>
      <c r="G7" s="2"/>
      <c r="H7" s="5" t="s">
        <v>53</v>
      </c>
      <c r="I7" s="2"/>
      <c r="J7" s="2"/>
      <c r="K7" s="2"/>
      <c r="L7" s="2"/>
      <c r="M7" s="2"/>
      <c r="N7" s="2"/>
      <c r="O7" s="2"/>
      <c r="Y7" s="27">
        <v>1</v>
      </c>
      <c r="AN7" s="27" t="s">
        <v>25</v>
      </c>
    </row>
    <row r="8" spans="1:166" ht="15.75" customHeight="1" x14ac:dyDescent="0.2">
      <c r="A8" s="2"/>
      <c r="B8" s="2"/>
      <c r="C8" s="5" t="s">
        <v>23</v>
      </c>
      <c r="D8" s="5">
        <v>50</v>
      </c>
      <c r="E8" s="5" t="s">
        <v>26</v>
      </c>
      <c r="F8" s="2"/>
      <c r="G8" s="2"/>
      <c r="H8" s="5" t="s">
        <v>53</v>
      </c>
      <c r="I8" s="2"/>
      <c r="J8" s="2"/>
      <c r="K8" s="2"/>
      <c r="L8" s="2"/>
      <c r="M8" s="2"/>
      <c r="N8" s="2"/>
      <c r="O8" s="2"/>
      <c r="Y8" s="27">
        <v>1</v>
      </c>
      <c r="AN8" s="27" t="s">
        <v>25</v>
      </c>
    </row>
    <row r="9" spans="1:166" ht="15.75" customHeight="1" x14ac:dyDescent="0.2">
      <c r="A9" s="2"/>
      <c r="B9" s="2"/>
      <c r="C9" s="5" t="s">
        <v>23</v>
      </c>
      <c r="D9" s="5">
        <v>-50</v>
      </c>
      <c r="E9" s="5" t="s">
        <v>22</v>
      </c>
      <c r="F9" s="2"/>
      <c r="G9" s="2"/>
      <c r="H9" s="5" t="s">
        <v>53</v>
      </c>
      <c r="I9" s="2"/>
      <c r="J9" s="2"/>
      <c r="K9" s="2"/>
      <c r="L9" s="2"/>
      <c r="M9" s="2"/>
      <c r="N9" s="2"/>
      <c r="O9" s="2"/>
      <c r="Y9" s="27">
        <v>1</v>
      </c>
      <c r="AN9" s="27" t="s">
        <v>45</v>
      </c>
    </row>
    <row r="10" spans="1:166" ht="15.75" customHeight="1" x14ac:dyDescent="0.2">
      <c r="A10" s="2"/>
      <c r="B10" s="2"/>
      <c r="C10" s="5"/>
      <c r="D10" s="5"/>
      <c r="E10" s="5"/>
      <c r="F10" s="2"/>
      <c r="G10" s="2"/>
      <c r="H10" s="5"/>
      <c r="I10" s="2"/>
      <c r="J10" s="2"/>
      <c r="K10" s="2"/>
      <c r="L10" s="2"/>
      <c r="M10" s="2"/>
      <c r="N10" s="2"/>
      <c r="O10" s="2"/>
    </row>
    <row r="11" spans="1:166" ht="15.75" customHeight="1" x14ac:dyDescent="0.2">
      <c r="A11" s="2"/>
      <c r="B11" s="2"/>
      <c r="C11" s="5"/>
      <c r="D11" s="5"/>
      <c r="E11" s="5"/>
      <c r="F11" s="2"/>
      <c r="G11" s="2"/>
      <c r="H11" s="5"/>
      <c r="I11" s="2"/>
      <c r="J11" s="2"/>
      <c r="K11" s="2"/>
      <c r="L11" s="2"/>
      <c r="M11" s="2"/>
      <c r="N11" s="2"/>
      <c r="O11" s="2"/>
    </row>
    <row r="12" spans="1:166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6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6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6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6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_Modules</vt:lpstr>
      <vt:lpstr>_Settings</vt:lpstr>
      <vt:lpstr>_MasterData</vt:lpstr>
      <vt:lpstr>CleanUp</vt:lpstr>
      <vt:lpstr>GetDailyCash</vt:lpstr>
      <vt:lpstr>UpdateDailyCash</vt:lpstr>
      <vt:lpstr>CreateDoneAwayOrder</vt:lpstr>
      <vt:lpstr>PricingInput</vt:lpstr>
      <vt:lpstr>CalculatePTT</vt:lpstr>
      <vt:lpstr>VerifyPTT</vt:lpstr>
      <vt:lpstr>TradePTT</vt:lpstr>
      <vt:lpstr>BulkChangeTradeDoneAway</vt:lpstr>
      <vt:lpstr>GetDataAllocation</vt:lpstr>
      <vt:lpstr>CheckAllocatedGroups</vt:lpstr>
      <vt:lpstr>GetDataClosing</vt:lpstr>
      <vt:lpstr>VerifyLongPositionsGrid</vt:lpstr>
      <vt:lpstr>VerifyShortPositionsGrid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2021-08-04T13:42:57Z</dcterms:modified>
</cp:coreProperties>
</file>