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PreTradeCompliancePermission" sheetId="4" r:id="rId6"/>
    <sheet state="visible" name="RestartReleasesAndServices" sheetId="5" r:id="rId7"/>
    <sheet state="visible" name="CreateStageOrder" sheetId="6" r:id="rId8"/>
    <sheet state="visible" name="TradeNewSubOrder" sheetId="7" r:id="rId9"/>
    <sheet state="visible" name="CreateNewSubLiveOrder" sheetId="8" r:id="rId10"/>
    <sheet state="visible" name="VerifyComplianceOrder" sheetId="9" r:id="rId11"/>
    <sheet state="visible" name="SelectTrade" sheetId="10" r:id="rId12"/>
    <sheet state="visible" name="AcknowledgeTrade" sheetId="11" r:id="rId13"/>
    <sheet state="visible" name="ReplaceSubOrder" sheetId="12" r:id="rId14"/>
    <sheet state="visible" name="CreateComplianceOrder1" sheetId="13" r:id="rId15"/>
    <sheet state="visible" name="VerifyComplianceOrder1" sheetId="14" r:id="rId16"/>
    <sheet state="visible" name="VerifyComplianceOrder2" sheetId="15" r:id="rId17"/>
    <sheet state="visible" name="TradeNewSubOrder1" sheetId="16" r:id="rId18"/>
    <sheet state="visible" name="CreateNewSubLiveOrder1" sheetId="17" r:id="rId19"/>
    <sheet state="visible" name="SelectTrade1" sheetId="18" r:id="rId20"/>
    <sheet state="visible" name="AcknowledgeTrade1" sheetId="19" r:id="rId21"/>
    <sheet state="visible" name="ExecuteTrade" sheetId="20" r:id="rId22"/>
    <sheet state="visible" name="SelectTradeOnOrderGrid" sheetId="21" r:id="rId23"/>
    <sheet state="visible" name="ReplaceSubOrder1" sheetId="22" r:id="rId24"/>
    <sheet state="visible" name="CreateComplianceOrder3" sheetId="23" r:id="rId25"/>
    <sheet state="visible" name="VerifyComplianceOrder3" sheetId="24" r:id="rId26"/>
    <sheet state="visible" name="CreateStageOrder1" sheetId="25" r:id="rId27"/>
    <sheet state="visible" name="CreateDoneAwayOrder" sheetId="26" r:id="rId28"/>
    <sheet state="visible" name="SelectTradeOnOrderGrid1" sheetId="27" r:id="rId29"/>
    <sheet state="visible" name="ReplaceSubOrder2" sheetId="28" r:id="rId30"/>
    <sheet state="visible" name="CreateComplianceOrder" sheetId="29" r:id="rId31"/>
    <sheet state="visible" name="VerifyComplianceOrder4" sheetId="30" r:id="rId32"/>
    <sheet state="visible" name="SelectTradeOnOrderGrid2" sheetId="31" r:id="rId33"/>
    <sheet state="visible" name="CreateComplianceOrder4" sheetId="32" r:id="rId34"/>
  </sheets>
  <definedNames/>
  <calcPr/>
</workbook>
</file>

<file path=xl/sharedStrings.xml><?xml version="1.0" encoding="utf-8"?>
<sst xmlns="http://schemas.openxmlformats.org/spreadsheetml/2006/main" count="302" uniqueCount="53">
  <si>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</si>
  <si>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</si>
  <si>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</si>
  <si>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</si>
  <si>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</si>
  <si>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</si>
  <si>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</si>
  <si>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</si>
  <si>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</si>
  <si>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</si>
  <si>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</si>
  <si>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</si>
  <si>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</si>
  <si>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SetPreTradeCompliancePermission</t>
  </si>
  <si>
    <t>Data Format</t>
  </si>
  <si>
    <t>Input Format</t>
  </si>
  <si>
    <t>Compliance</t>
  </si>
  <si>
    <t>RestartReleasesAndServices</t>
  </si>
  <si>
    <t>No</t>
  </si>
  <si>
    <t>TradingTicket</t>
  </si>
  <si>
    <t>CreateStageOrder</t>
  </si>
  <si>
    <t>MSFT</t>
  </si>
  <si>
    <t>Buy</t>
  </si>
  <si>
    <t>Blotter</t>
  </si>
  <si>
    <t>TradeNewSubOrder</t>
  </si>
  <si>
    <t>New</t>
  </si>
  <si>
    <t>CreateNewSubLiveOrder</t>
  </si>
  <si>
    <t>Yes</t>
  </si>
  <si>
    <t>VerifyComplianceOrder</t>
  </si>
  <si>
    <t>Soft</t>
  </si>
  <si>
    <t>Staging</t>
  </si>
  <si>
    <t>Enter Summary</t>
  </si>
  <si>
    <t>Allocation1-MSFT</t>
  </si>
  <si>
    <t>quantity: 3,000.00, AccountShortName: Allocation1, Symbol: MSFT</t>
  </si>
  <si>
    <t>Send</t>
  </si>
  <si>
    <t>Simulator</t>
  </si>
  <si>
    <t>SelectTrade</t>
  </si>
  <si>
    <t>AcknowledgeTrade</t>
  </si>
  <si>
    <t>ReplaceSubOrder</t>
  </si>
  <si>
    <t>CreateComplianceOrder</t>
  </si>
  <si>
    <t>Replace</t>
  </si>
  <si>
    <t>Allocation1-GOOG</t>
  </si>
  <si>
    <t>quantity: 3,000.00, AccountShortName: Allocation1, Symbol: GOOG</t>
  </si>
  <si>
    <t>GOOG</t>
  </si>
  <si>
    <t>ExecuteTrade</t>
  </si>
  <si>
    <t>SelectTradeOnOrderGrid</t>
  </si>
  <si>
    <t>CreateDoneAwayOrder</t>
  </si>
  <si>
    <t>AAPL</t>
  </si>
  <si>
    <t>Filled</t>
  </si>
  <si>
    <t>Allocation1-AAPL</t>
  </si>
  <si>
    <t>quantity: 2,600.00, AccountShortName: Allocation1, Symbol: AAPL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</si>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</sst>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vertical="top"/>
    </xf>
    <xf borderId="6" fillId="7" fontId="15" numFmtId="0" xfId="0" applyAlignment="1" applyBorder="1" applyFill="1" applyFont="1">
      <alignment vertical="top"/>
    </xf>
    <xf borderId="6" fillId="7" fontId="16" numFmtId="0" xfId="0" applyAlignment="1" applyBorder="1" applyFont="1">
      <alignment vertical="top"/>
    </xf>
    <xf borderId="6" fillId="7" fontId="16" numFmtId="0" xfId="0" applyAlignment="1" applyBorder="1" applyFont="1">
      <alignment horizontal="right" vertical="top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IFERROR(__xludf.DUMMYFUNCTION("""COMPUTED_VALUE"""),"Trading")</f>
        <v>Trading</v>
      </c>
      <c r="C5" s="28" t="str">
        <f>IFERROR(__xludf.DUMMYFUNCTION("""COMPUTED_VALUE"""),"Manual Trading")</f>
        <v>Manual Trading</v>
      </c>
      <c r="D5" s="28" t="str">
        <f>IFERROR(__xludf.DUMMYFUNCTION("""COMPUTED_VALUE"""),"Staging")</f>
        <v>Staging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SetPreTradeCompliancePermission!$4:$4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3000.0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25</v>
      </c>
      <c r="AL6" s="9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29</v>
      </c>
      <c r="C6" s="34" t="s">
        <v>30</v>
      </c>
      <c r="D6" s="35" t="s">
        <v>31</v>
      </c>
      <c r="E6" s="34" t="s">
        <v>32</v>
      </c>
      <c r="F6" s="36">
        <v>2500.0</v>
      </c>
      <c r="G6" s="37">
        <v>3000.0</v>
      </c>
      <c r="H6" s="38" t="s">
        <v>33</v>
      </c>
      <c r="I6" s="39"/>
      <c r="J6" s="39"/>
      <c r="K6" s="40" t="s">
        <v>27</v>
      </c>
      <c r="L6" s="39"/>
      <c r="M6" s="9" t="s">
        <v>34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21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22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29</v>
      </c>
      <c r="C6" s="34" t="s">
        <v>30</v>
      </c>
      <c r="D6" s="35" t="s">
        <v>31</v>
      </c>
      <c r="E6" s="34" t="s">
        <v>32</v>
      </c>
      <c r="F6" s="36">
        <v>2500.0</v>
      </c>
      <c r="G6" s="37">
        <v>3000.0</v>
      </c>
      <c r="H6" s="38" t="s">
        <v>33</v>
      </c>
      <c r="I6" s="39"/>
      <c r="J6" s="39"/>
      <c r="K6" s="40" t="s">
        <v>27</v>
      </c>
      <c r="L6" s="39"/>
      <c r="M6" s="9" t="s">
        <v>40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29</v>
      </c>
      <c r="C6" s="40" t="s">
        <v>30</v>
      </c>
      <c r="D6" s="41" t="s">
        <v>31</v>
      </c>
      <c r="E6" s="40" t="s">
        <v>41</v>
      </c>
      <c r="F6" s="42">
        <v>2500.0</v>
      </c>
      <c r="G6" s="37">
        <v>3000.0</v>
      </c>
      <c r="H6" s="38" t="s">
        <v>42</v>
      </c>
      <c r="I6" s="39"/>
      <c r="J6" s="39"/>
      <c r="K6" s="40" t="s">
        <v>27</v>
      </c>
      <c r="L6" s="39"/>
      <c r="M6" s="9" t="s">
        <v>34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43</v>
      </c>
      <c r="AJ6" s="9" t="s">
        <v>22</v>
      </c>
      <c r="AK6" s="9" t="s">
        <v>25</v>
      </c>
      <c r="AL6" s="9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22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43</v>
      </c>
      <c r="E6" s="31"/>
      <c r="F6" s="13" t="s">
        <v>22</v>
      </c>
      <c r="G6" s="8"/>
      <c r="H6" s="13">
        <v>3000.0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43</v>
      </c>
      <c r="AK6" s="9" t="s">
        <v>22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13" t="s">
        <v>22</v>
      </c>
      <c r="D6" s="13">
        <v>1200.0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29</v>
      </c>
      <c r="C6" s="40" t="s">
        <v>30</v>
      </c>
      <c r="D6" s="41" t="s">
        <v>31</v>
      </c>
      <c r="E6" s="40" t="s">
        <v>41</v>
      </c>
      <c r="F6" s="42">
        <v>2500.0</v>
      </c>
      <c r="G6" s="37">
        <v>3000.0</v>
      </c>
      <c r="H6" s="38" t="s">
        <v>42</v>
      </c>
      <c r="I6" s="39"/>
      <c r="J6" s="39"/>
      <c r="K6" s="40" t="s">
        <v>27</v>
      </c>
      <c r="L6" s="39"/>
      <c r="M6" s="9" t="s">
        <v>40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43</v>
      </c>
      <c r="C6" s="40" t="s">
        <v>22</v>
      </c>
      <c r="D6" s="43">
        <v>3000.0</v>
      </c>
      <c r="E6" s="39"/>
      <c r="F6" s="39"/>
      <c r="G6" s="39"/>
      <c r="H6" s="39"/>
      <c r="I6" s="39"/>
      <c r="J6" s="42">
        <v>10.0</v>
      </c>
      <c r="K6" s="8"/>
      <c r="L6" s="8"/>
      <c r="M6" s="8"/>
      <c r="N6" s="8"/>
      <c r="O6" s="8"/>
    </row>
    <row r="7" ht="15.75" customHeight="1">
      <c r="A7" s="8"/>
      <c r="B7" s="39"/>
      <c r="C7" s="39"/>
      <c r="D7" s="39"/>
      <c r="E7" s="39"/>
      <c r="F7" s="39"/>
      <c r="G7" s="39"/>
      <c r="H7" s="39"/>
      <c r="I7" s="39"/>
      <c r="J7" s="39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22</v>
      </c>
      <c r="D6" s="13">
        <v>2400.0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47</v>
      </c>
      <c r="F6" s="13" t="s">
        <v>22</v>
      </c>
      <c r="H6" s="13">
        <v>2400.0</v>
      </c>
      <c r="I6" s="8"/>
      <c r="J6" s="8"/>
      <c r="K6" s="8"/>
      <c r="L6" s="8"/>
      <c r="M6" s="8"/>
      <c r="N6" s="8"/>
      <c r="O6" s="8"/>
      <c r="EX6" s="13">
        <v>2400.0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47</v>
      </c>
      <c r="AK6" s="9" t="s">
        <v>22</v>
      </c>
      <c r="AL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47</v>
      </c>
      <c r="C6" s="13" t="s">
        <v>22</v>
      </c>
      <c r="D6" s="13">
        <v>2600.0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29</v>
      </c>
      <c r="C6" s="40" t="s">
        <v>30</v>
      </c>
      <c r="D6" s="41" t="s">
        <v>31</v>
      </c>
      <c r="E6" s="44" t="s">
        <v>49</v>
      </c>
      <c r="F6" s="42">
        <v>2500.0</v>
      </c>
      <c r="G6" s="37">
        <v>2600.0</v>
      </c>
      <c r="H6" s="38" t="s">
        <v>50</v>
      </c>
      <c r="I6" s="39"/>
      <c r="J6" s="39"/>
      <c r="K6" s="40" t="s">
        <v>27</v>
      </c>
      <c r="L6" s="39"/>
      <c r="M6" s="9" t="s">
        <v>40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VerifyComplianceOrder4!$4:$4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9" t="s">
        <v>21</v>
      </c>
      <c r="F6" s="9" t="s">
        <v>22</v>
      </c>
      <c r="G6" s="9" t="s">
        <v>25</v>
      </c>
      <c r="H6" s="9">
        <v>3000.0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 t="s">
        <v>52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