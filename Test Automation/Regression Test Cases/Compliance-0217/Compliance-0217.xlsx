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RestartReleasesAndServices" sheetId="5" r:id="rId7"/>
    <sheet state="visible" name="CreateDoneAwayOrder" sheetId="6" r:id="rId8"/>
    <sheet state="visible" name="ReplaceSubOrder" sheetId="7" r:id="rId9"/>
    <sheet state="visible" name="CreateReplaceOrder" sheetId="8" r:id="rId10"/>
    <sheet state="visible" name="CreateReplaceOrder1" sheetId="9" r:id="rId11"/>
    <sheet state="visible" name="AddFillsSubOrder" sheetId="10" r:id="rId12"/>
    <sheet state="visible" name="EditAddFillsDetails" sheetId="11" r:id="rId13"/>
    <sheet state="visible" name="ReplaceSubOrder1" sheetId="12" r:id="rId14"/>
    <sheet state="visible" name="CreateReplaceOrder2" sheetId="13" r:id="rId15"/>
    <sheet state="visible" name="CreateReplaceOrder3" sheetId="14" r:id="rId16"/>
    <sheet state="visible" name="VerifyWorkingSubs" sheetId="15" r:id="rId17"/>
    <sheet state="visible" name="SelectTradeOnOrderGrid" sheetId="16" r:id="rId18"/>
    <sheet state="visible" name="SelectTradeOnOrderGrid1" sheetId="17" r:id="rId19"/>
  </sheets>
  <definedNames/>
  <calcPr/>
</workbook>
</file>

<file path=xl/sharedStrings.xml><?xml version="1.0" encoding="utf-8"?>
<sst xmlns="http://schemas.openxmlformats.org/spreadsheetml/2006/main" count="432" uniqueCount="51">
  <si>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</si>
  <si>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</si>
  <si>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</si>
  <si>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</si>
  <si>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</si>
  <si>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</si>
  <si>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</si>
  <si>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</si>
  <si>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</si>
  <si>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</si>
  <si>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</si>
  <si>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</si>
  <si>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</si>
  <si>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</si>
  <si>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</si>
  <si>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</si>
  <si>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Compliance</t>
  </si>
  <si>
    <t>RestartReleasesAndServices</t>
  </si>
  <si>
    <t>Yes</t>
  </si>
  <si>
    <t>TradingTicket</t>
  </si>
  <si>
    <t>CreateDoneAwayOrder</t>
  </si>
  <si>
    <t>AAPL</t>
  </si>
  <si>
    <t>Buy</t>
  </si>
  <si>
    <t>MSFT</t>
  </si>
  <si>
    <t>Blotter</t>
  </si>
  <si>
    <t>ReplaceSubOrder</t>
  </si>
  <si>
    <t>CreateReplaceOrder</t>
  </si>
  <si>
    <t>AddFillsSubOrder</t>
  </si>
  <si>
    <t>EditAddFillsDetails</t>
  </si>
  <si>
    <t>VerifyWorkingSubs</t>
  </si>
  <si>
    <t/>
  </si>
  <si>
    <t>PartiallyFilled</t>
  </si>
  <si>
    <t>MS</t>
  </si>
  <si>
    <t>Allocation1</t>
  </si>
  <si>
    <t>Market</t>
  </si>
  <si>
    <t>jpearce</t>
  </si>
  <si>
    <t>AAPL US EQUITY</t>
  </si>
  <si>
    <t>N.A.</t>
  </si>
  <si>
    <t>Equity</t>
  </si>
  <si>
    <t>M</t>
  </si>
  <si>
    <t>DefaultNotes</t>
  </si>
  <si>
    <t>NONE</t>
  </si>
  <si>
    <t>USD</t>
  </si>
  <si>
    <t>GCCAP1</t>
  </si>
  <si>
    <t>NASDAQ</t>
  </si>
  <si>
    <t>Replaced</t>
  </si>
  <si>
    <t>MSFT US EQUITY</t>
  </si>
  <si>
    <t>Manual</t>
  </si>
  <si>
    <t>ALLOCATED</t>
  </si>
  <si>
    <t>NewMF</t>
  </si>
  <si>
    <t>SelectTradeOnOrderGrid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</si>
</sst>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b">
        <v>1</v>
      </c>
      <c r="E6" s="12" t="b">
        <v>1</v>
      </c>
      <c r="F6" s="12" t="b">
        <v>0</v>
      </c>
      <c r="G6" s="12" t="b">
        <v>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22</v>
      </c>
      <c r="D6" s="12">
        <v>100.0</v>
      </c>
      <c r="E6" s="30"/>
      <c r="F6" s="8"/>
      <c r="G6" s="8"/>
      <c r="H6" s="8"/>
      <c r="I6" s="8"/>
      <c r="J6" s="12">
        <v>10.0</v>
      </c>
      <c r="K6" s="8"/>
      <c r="L6" s="8"/>
      <c r="M6" s="8"/>
      <c r="N6" s="8"/>
      <c r="O6" s="8"/>
      <c r="AQ6" s="9" t="s">
        <v>18</v>
      </c>
    </row>
    <row r="7" ht="15.75" customHeight="1">
      <c r="A7" s="12"/>
      <c r="B7" s="12" t="s">
        <v>23</v>
      </c>
      <c r="C7" s="12" t="s">
        <v>22</v>
      </c>
      <c r="D7" s="12">
        <v>1000.0</v>
      </c>
      <c r="E7" s="30"/>
      <c r="F7" s="8"/>
      <c r="G7" s="8"/>
      <c r="H7" s="8"/>
      <c r="I7" s="8"/>
      <c r="J7" s="12">
        <v>10.0</v>
      </c>
      <c r="K7" s="8"/>
      <c r="L7" s="8"/>
      <c r="M7" s="8"/>
      <c r="N7" s="8"/>
      <c r="O7" s="8"/>
      <c r="AQ7" s="9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12" t="s">
        <v>21</v>
      </c>
      <c r="K6" s="8"/>
      <c r="L6" s="8"/>
      <c r="M6" s="8"/>
      <c r="N6" s="8"/>
      <c r="O6" s="8"/>
      <c r="AJ6" s="9" t="s">
        <v>21</v>
      </c>
      <c r="AK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22</v>
      </c>
      <c r="D6" s="12">
        <v>200.0</v>
      </c>
      <c r="E6" s="30"/>
      <c r="F6" s="8"/>
      <c r="G6" s="8"/>
      <c r="H6" s="8"/>
      <c r="I6" s="8"/>
      <c r="J6" s="12">
        <v>10.0</v>
      </c>
      <c r="K6" s="8"/>
      <c r="L6" s="8"/>
      <c r="M6" s="8"/>
      <c r="N6" s="8"/>
      <c r="O6" s="8"/>
      <c r="AO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22</v>
      </c>
      <c r="D6" s="12">
        <v>300.0</v>
      </c>
      <c r="E6" s="30"/>
      <c r="F6" s="8"/>
      <c r="G6" s="8"/>
      <c r="H6" s="8"/>
      <c r="I6" s="8"/>
      <c r="J6" s="12">
        <v>10.0</v>
      </c>
      <c r="K6" s="8"/>
      <c r="L6" s="8"/>
      <c r="M6" s="8"/>
      <c r="N6" s="8"/>
      <c r="O6" s="8"/>
      <c r="AO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IFERROR(__xludf.DUMMYFUNCTION("""COMPUTED_VALUE"""),"Limit Price")</f>
        <v>Limit Price</v>
      </c>
      <c r="K5" s="27" t="str">
        <f>IFERROR(__xludf.DUMMYFUNCTION("""COMPUTED_VALUE"""),"Last Fill Price (Local)")</f>
        <v>Last Fill Price (Local)</v>
      </c>
      <c r="L5" s="27" t="str">
        <f>IFERROR(__xludf.DUMMYFUNCTION("""COMPUTED_VALUE"""),"Stop Price")</f>
        <v>Stop Price</v>
      </c>
      <c r="M5" s="27" t="str">
        <f>IFERROR(__xludf.DUMMYFUNCTION("""COMPUTED_VALUE"""),"Avg Fill Price (Local)")</f>
        <v>Avg Fill Price (Local)</v>
      </c>
      <c r="N5" s="27" t="str">
        <f>IFERROR(__xludf.DUMMYFUNCTION("""COMPUTED_VALUE"""),"Broker")</f>
        <v>Broker</v>
      </c>
      <c r="O5" s="27" t="str">
        <f>IFERROR(__xludf.DUMMYFUNCTION("""COMPUTED_VALUE"""),"Account")</f>
        <v>Account</v>
      </c>
      <c r="P5" s="27" t="str">
        <f>IFERROR(__xludf.DUMMYFUNCTION("""COMPUTED_VALUE"""),"OrderID")</f>
        <v>OrderID</v>
      </c>
      <c r="Q5" s="27" t="str">
        <f>IFERROR(__xludf.DUMMYFUNCTION("""COMPUTED_VALUE"""),"Order Type")</f>
        <v>Order Type</v>
      </c>
      <c r="R5" s="27" t="str">
        <f>IFERROR(__xludf.DUMMYFUNCTION("""COMPUTED_VALUE"""),"Principal Amount (Local)")</f>
        <v>Principal Amount (Local)</v>
      </c>
      <c r="S5" s="27" t="str">
        <f>IFERROR(__xludf.DUMMYFUNCTION("""COMPUTED_VALUE"""),"Principal Amount (Base)")</f>
        <v>Principal Amount (Base)</v>
      </c>
      <c r="T5" s="29" t="str">
        <f>IFERROR(__xludf.DUMMYFUNCTION("""COMPUTED_VALUE"""),"Peg")</f>
        <v>Peg</v>
      </c>
      <c r="U5" s="29" t="str">
        <f>IFERROR(__xludf.DUMMYFUNCTION("""COMPUTED_VALUE"""),"ParentClOrderID")</f>
        <v>ParentClOrderID</v>
      </c>
      <c r="V5" s="29" t="str">
        <f>IFERROR(__xludf.DUMMYFUNCTION("""COMPUTED_VALUE"""),"Strike Price")</f>
        <v>Strike Price</v>
      </c>
      <c r="W5" s="29" t="str">
        <f>IFERROR(__xludf.DUMMYFUNCTION("""COMPUTED_VALUE"""),"Last Shares")</f>
        <v>Last Shares</v>
      </c>
      <c r="X5" s="29" t="str">
        <f>IFERROR(__xludf.DUMMYFUNCTION("""COMPUTED_VALUE"""),"Working Qty")</f>
        <v>Working Qty</v>
      </c>
      <c r="Y5" s="29" t="str">
        <f>IFERROR(__xludf.DUMMYFUNCTION("""COMPUTED_VALUE"""),"Bloomberg Symbol")</f>
        <v>Bloomberg Symbol</v>
      </c>
      <c r="Z5" s="29" t="str">
        <f>IFERROR(__xludf.DUMMYFUNCTION("""COMPUTED_VALUE"""),"Imported File Name")</f>
        <v>Imported File Name</v>
      </c>
      <c r="AA5" s="29" t="str">
        <f>IFERROR(__xludf.DUMMYFUNCTION("""COMPUTED_VALUE"""),"Master Fund")</f>
        <v>Master Fund</v>
      </c>
      <c r="AB5" s="29" t="str">
        <f>IFERROR(__xludf.DUMMYFUNCTION("""COMPUTED_VALUE"""),"Asset Class")</f>
        <v>Asset Class</v>
      </c>
      <c r="AC5" s="29" t="str">
        <f>IFERROR(__xludf.DUMMYFUNCTION("""COMPUTED_VALUE"""),"Underlying Country")</f>
        <v>Underlying Country</v>
      </c>
      <c r="AD5" s="29" t="str">
        <f>IFERROR(__xludf.DUMMYFUNCTION("""COMPUTED_VALUE"""),"Trader")</f>
        <v>Trader</v>
      </c>
      <c r="AE5" s="29" t="str">
        <f>IFERROR(__xludf.DUMMYFUNCTION("""COMPUTED_VALUE"""),"User")</f>
        <v>User</v>
      </c>
      <c r="AF5" s="29" t="str">
        <f>IFERROR(__xludf.DUMMYFUNCTION("""COMPUTED_VALUE"""),"Venue")</f>
        <v>Venue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IFERROR(__xludf.DUMMYFUNCTION("""COMPUTED_VALUE"""),"Process Date")</f>
        <v>Process Date</v>
      </c>
      <c r="AJ5" s="29" t="str">
        <f>IFERROR(__xludf.DUMMYFUNCTION("""COMPUTED_VALUE"""),"Underlying Symbol")</f>
        <v>Underlying Symbol</v>
      </c>
      <c r="AK5" s="29" t="str">
        <f>IFERROR(__xludf.DUMMYFUNCTION("""COMPUTED_VALUE"""),"Put/Call")</f>
        <v>Put/Call</v>
      </c>
      <c r="AL5" s="29" t="str">
        <f>IFERROR(__xludf.DUMMYFUNCTION("""COMPUTED_VALUE"""),"FX Rate")</f>
        <v>FX Rate</v>
      </c>
      <c r="AM5" s="29" t="str">
        <f>IFERROR(__xludf.DUMMYFUNCTION("""COMPUTED_VALUE"""),"Trade Attribute 1")</f>
        <v>Trade Attribute 1</v>
      </c>
      <c r="AN5" s="29" t="str">
        <f>IFERROR(__xludf.DUMMYFUNCTION("""COMPUTED_VALUE"""),"Trade Attribute 2")</f>
        <v>Trade Attribute 2</v>
      </c>
      <c r="AO5" s="29" t="str">
        <f>IFERROR(__xludf.DUMMYFUNCTION("""COMPUTED_VALUE"""),"Trade Attribute 3")</f>
        <v>Trade Attribute 3</v>
      </c>
      <c r="AP5" s="29" t="str">
        <f>IFERROR(__xludf.DUMMYFUNCTION("""COMPUTED_VALUE"""),"Trade Attribute 4")</f>
        <v>Trade Attribute 4</v>
      </c>
      <c r="AQ5" s="29" t="str">
        <f>IFERROR(__xludf.DUMMYFUNCTION("""COMPUTED_VALUE"""),"Trade Attribute 5")</f>
        <v>Trade Attribute 5</v>
      </c>
      <c r="AR5" s="29" t="str">
        <f>IFERROR(__xludf.DUMMYFUNCTION("""COMPUTED_VALUE"""),"Trade Attribute 6")</f>
        <v>Trade Attribute 6</v>
      </c>
      <c r="AS5" s="29" t="str">
        <f>IFERROR(__xludf.DUMMYFUNCTION("""COMPUTED_VALUE"""),"Internal Comments")</f>
        <v>Internal Comments</v>
      </c>
      <c r="AT5" s="29" t="str">
        <f>IFERROR(__xludf.DUMMYFUNCTION("""COMPUTED_VALUE"""),"Allocation Scheme Name        ")</f>
        <v>Allocation Scheme Name        </v>
      </c>
      <c r="AU5" s="29" t="str">
        <f>IFERROR(__xludf.DUMMYFUNCTION("""COMPUTED_VALUE"""),"Status (With Rollover)")</f>
        <v>Status (With Rollover)</v>
      </c>
      <c r="AV5" s="29" t="str">
        <f>IFERROR(__xludf.DUMMYFUNCTION("""COMPUTED_VALUE"""),"Allocation Status")</f>
        <v>Allocation Status</v>
      </c>
      <c r="AW5" s="29" t="str">
        <f>IFERROR(__xludf.DUMMYFUNCTION("""COMPUTED_VALUE"""),"Source")</f>
        <v>Source</v>
      </c>
      <c r="AX5" s="29" t="str">
        <f>IFERROR(__xludf.DUMMYFUNCTION("""COMPUTED_VALUE"""),"Strategy")</f>
        <v>Strategy</v>
      </c>
      <c r="AY5" s="29" t="str">
        <f>IFERROR(__xludf.DUMMYFUNCTION("""COMPUTED_VALUE"""),"Unexecuted Qty")</f>
        <v>Unexecuted Qty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21</v>
      </c>
      <c r="E6" s="30"/>
      <c r="F6" s="12" t="s">
        <v>22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AddFillsSubOrder!$4:$4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IFERROR(__xludf.DUMMYFUNCTION("""COMPUTED_VALUE"""),"Fill")</f>
        <v>Fill</v>
      </c>
      <c r="C5" s="27" t="str">
        <f>IFERROR(__xludf.DUMMYFUNCTION("""COMPUTED_VALUE"""),"Last Fill Price (Local)")</f>
        <v>Last Fill Price (Local)</v>
      </c>
      <c r="D5" s="27" t="str">
        <f>IFERROR(__xludf.DUMMYFUNCTION("""COMPUTED_VALUE"""),"New")</f>
        <v>New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50.0</v>
      </c>
      <c r="C6" s="12">
        <v>10.0</v>
      </c>
      <c r="D6" s="12" t="b">
        <v>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EditAddFillsDetails!$4:$4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12" t="s">
        <v>23</v>
      </c>
      <c r="K6" s="8"/>
      <c r="L6" s="8"/>
      <c r="M6" s="8"/>
      <c r="N6" s="8"/>
      <c r="O6" s="8"/>
      <c r="AJ6" s="9" t="s">
        <v>23</v>
      </c>
      <c r="AK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22</v>
      </c>
      <c r="D6" s="12">
        <v>3000.0</v>
      </c>
      <c r="E6" s="30"/>
      <c r="F6" s="8"/>
      <c r="G6" s="8"/>
      <c r="H6" s="8"/>
      <c r="I6" s="8"/>
      <c r="J6" s="12">
        <v>10.0</v>
      </c>
      <c r="K6" s="8"/>
      <c r="L6" s="8"/>
      <c r="M6" s="8"/>
      <c r="N6" s="8"/>
      <c r="O6" s="8"/>
      <c r="AO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22</v>
      </c>
      <c r="D6" s="12">
        <v>4000.0</v>
      </c>
      <c r="E6" s="30"/>
      <c r="F6" s="8"/>
      <c r="G6" s="8"/>
      <c r="H6" s="8"/>
      <c r="I6" s="8"/>
      <c r="J6" s="12">
        <v>10.0</v>
      </c>
      <c r="K6" s="8"/>
      <c r="L6" s="8"/>
      <c r="M6" s="8"/>
      <c r="N6" s="8"/>
      <c r="O6" s="8"/>
      <c r="AO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 t="str">
        <f>IFERROR(__xludf.DUMMYFUNCTION("""COMPUTED_VALUE"""),"% Completed")</f>
        <v>% Completed</v>
      </c>
      <c r="BD5" s="29" t="str">
        <f>IFERROR(__xludf.DUMMYFUNCTION("""COMPUTED_VALUE"""),"isRowCountCheck")</f>
        <v>isRowCountCheck</v>
      </c>
      <c r="BE5" s="29" t="str">
        <f>IFERROR(__xludf.DUMMYFUNCTION("""COMPUTED_VALUE"""),"MandatoryColumn")</f>
        <v>MandatoryColumn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1" t="s">
        <v>30</v>
      </c>
      <c r="B6" s="31" t="s">
        <v>21</v>
      </c>
      <c r="C6" s="8" t="s">
        <v>22</v>
      </c>
      <c r="D6" s="31">
        <v>300.0</v>
      </c>
      <c r="E6" s="8">
        <v>50.0</v>
      </c>
      <c r="F6" s="8">
        <v>250.0</v>
      </c>
      <c r="G6" s="8" t="s">
        <v>31</v>
      </c>
      <c r="H6" s="8">
        <v>50.0</v>
      </c>
      <c r="I6" s="8">
        <v>10.0</v>
      </c>
      <c r="J6" s="8">
        <v>10.0</v>
      </c>
      <c r="K6" s="8" t="s">
        <v>32</v>
      </c>
      <c r="L6" s="8" t="s">
        <v>33</v>
      </c>
      <c r="M6" s="8" t="s">
        <v>34</v>
      </c>
      <c r="N6" s="8" t="s">
        <v>30</v>
      </c>
      <c r="O6" s="8">
        <v>10.0</v>
      </c>
      <c r="R6" t="s">
        <v>35</v>
      </c>
      <c r="S6" t="s">
        <v>36</v>
      </c>
      <c r="T6" t="s">
        <v>37</v>
      </c>
      <c r="W6" t="s">
        <v>38</v>
      </c>
      <c r="X6" t="s">
        <v>39</v>
      </c>
      <c r="Y6">
        <v>1.0</v>
      </c>
      <c r="Z6" t="s">
        <v>30</v>
      </c>
      <c r="AA6" t="s">
        <v>40</v>
      </c>
      <c r="AB6" t="s">
        <v>30</v>
      </c>
      <c r="AC6">
        <v>500.0</v>
      </c>
      <c r="AD6">
        <v>500.0</v>
      </c>
      <c r="AE6" t="s">
        <v>30</v>
      </c>
      <c r="AF6" t="s">
        <v>41</v>
      </c>
      <c r="AG6" t="s">
        <v>42</v>
      </c>
      <c r="AR6" t="s">
        <v>43</v>
      </c>
      <c r="AT6" t="s">
        <v>30</v>
      </c>
      <c r="AU6" t="s">
        <v>21</v>
      </c>
      <c r="AV6" t="s">
        <v>44</v>
      </c>
      <c r="AW6">
        <v>250.0</v>
      </c>
      <c r="AX6" t="s">
        <v>30</v>
      </c>
      <c r="AY6" t="s">
        <v>30</v>
      </c>
      <c r="AZ6" t="s">
        <v>30</v>
      </c>
      <c r="BB6" t="s">
        <v>35</v>
      </c>
      <c r="BD6" t="s">
        <v>30</v>
      </c>
      <c r="BE6" t="s">
        <v>30</v>
      </c>
      <c r="BF6" t="s">
        <v>30</v>
      </c>
      <c r="BG6" t="s">
        <v>30</v>
      </c>
      <c r="BH6" t="s">
        <v>30</v>
      </c>
      <c r="BI6" t="s">
        <v>30</v>
      </c>
      <c r="BJ6" t="s">
        <v>30</v>
      </c>
      <c r="BK6" t="s">
        <v>30</v>
      </c>
      <c r="BL6" t="s">
        <v>30</v>
      </c>
      <c r="BM6" t="s">
        <v>30</v>
      </c>
      <c r="BN6" t="s">
        <v>30</v>
      </c>
      <c r="BO6" t="s">
        <v>30</v>
      </c>
      <c r="BP6" t="s">
        <v>30</v>
      </c>
      <c r="BQ6" t="s">
        <v>30</v>
      </c>
      <c r="BR6" t="s">
        <v>30</v>
      </c>
      <c r="BS6" t="s">
        <v>30</v>
      </c>
      <c r="BT6" t="s">
        <v>30</v>
      </c>
      <c r="BU6" t="s">
        <v>30</v>
      </c>
      <c r="BV6" t="s">
        <v>30</v>
      </c>
      <c r="BW6" t="s">
        <v>30</v>
      </c>
      <c r="BX6" t="s">
        <v>30</v>
      </c>
      <c r="BY6" t="s">
        <v>30</v>
      </c>
      <c r="BZ6" t="s">
        <v>30</v>
      </c>
      <c r="CA6" t="s">
        <v>30</v>
      </c>
      <c r="CB6" t="s">
        <v>30</v>
      </c>
      <c r="CC6" t="s">
        <v>30</v>
      </c>
      <c r="CD6" t="s">
        <v>30</v>
      </c>
      <c r="CE6" t="s">
        <v>30</v>
      </c>
      <c r="CF6" t="s">
        <v>30</v>
      </c>
      <c r="CG6" t="s">
        <v>30</v>
      </c>
      <c r="CH6" t="s">
        <v>30</v>
      </c>
      <c r="CI6" t="s">
        <v>30</v>
      </c>
      <c r="CJ6" t="s">
        <v>30</v>
      </c>
      <c r="CK6" t="s">
        <v>30</v>
      </c>
      <c r="CL6" t="s">
        <v>30</v>
      </c>
      <c r="CM6" t="s">
        <v>30</v>
      </c>
      <c r="CN6" t="s">
        <v>30</v>
      </c>
      <c r="CO6" t="s">
        <v>30</v>
      </c>
      <c r="CP6" t="s">
        <v>30</v>
      </c>
      <c r="CQ6" t="s">
        <v>30</v>
      </c>
      <c r="CR6" t="s">
        <v>30</v>
      </c>
      <c r="CS6" t="s">
        <v>30</v>
      </c>
      <c r="CT6" t="s">
        <v>30</v>
      </c>
      <c r="CU6" t="s">
        <v>30</v>
      </c>
      <c r="CV6" t="s">
        <v>30</v>
      </c>
      <c r="CW6" t="s">
        <v>30</v>
      </c>
      <c r="CX6" t="s">
        <v>30</v>
      </c>
      <c r="CY6" t="s">
        <v>30</v>
      </c>
      <c r="CZ6" t="s">
        <v>30</v>
      </c>
      <c r="DA6" t="s">
        <v>30</v>
      </c>
      <c r="DB6" t="s">
        <v>30</v>
      </c>
      <c r="DC6" t="s">
        <v>30</v>
      </c>
      <c r="DD6" t="s">
        <v>30</v>
      </c>
      <c r="DE6" t="s">
        <v>30</v>
      </c>
      <c r="DF6" t="s">
        <v>30</v>
      </c>
      <c r="DG6" t="s">
        <v>30</v>
      </c>
      <c r="DH6" t="s">
        <v>30</v>
      </c>
      <c r="DI6" t="s">
        <v>30</v>
      </c>
      <c r="DJ6" t="s">
        <v>30</v>
      </c>
      <c r="DK6" t="s">
        <v>30</v>
      </c>
      <c r="DL6" t="s">
        <v>30</v>
      </c>
      <c r="DM6" t="s">
        <v>30</v>
      </c>
      <c r="DN6" t="s">
        <v>30</v>
      </c>
      <c r="DO6" t="s">
        <v>30</v>
      </c>
      <c r="DP6" t="s">
        <v>30</v>
      </c>
      <c r="DQ6" t="s">
        <v>30</v>
      </c>
      <c r="DR6" t="s">
        <v>30</v>
      </c>
      <c r="DS6" t="s">
        <v>30</v>
      </c>
      <c r="DT6" t="s">
        <v>30</v>
      </c>
      <c r="DU6" t="s">
        <v>30</v>
      </c>
      <c r="DV6" t="s">
        <v>30</v>
      </c>
      <c r="DW6" t="s">
        <v>30</v>
      </c>
      <c r="DX6" t="s">
        <v>30</v>
      </c>
      <c r="DY6" t="s">
        <v>30</v>
      </c>
      <c r="DZ6" t="s">
        <v>30</v>
      </c>
      <c r="EA6" t="s">
        <v>30</v>
      </c>
      <c r="EB6" t="s">
        <v>30</v>
      </c>
      <c r="EC6" t="s">
        <v>30</v>
      </c>
      <c r="ED6" t="s">
        <v>30</v>
      </c>
      <c r="EE6" t="s">
        <v>30</v>
      </c>
      <c r="EF6" t="s">
        <v>30</v>
      </c>
      <c r="EG6" t="s">
        <v>30</v>
      </c>
      <c r="EH6" t="s">
        <v>30</v>
      </c>
      <c r="EI6" t="s">
        <v>30</v>
      </c>
      <c r="EJ6" t="s">
        <v>30</v>
      </c>
      <c r="EK6" t="s">
        <v>30</v>
      </c>
      <c r="EL6" t="s">
        <v>30</v>
      </c>
      <c r="EM6" t="s">
        <v>30</v>
      </c>
      <c r="EN6" t="s">
        <v>30</v>
      </c>
      <c r="EO6" t="s">
        <v>30</v>
      </c>
      <c r="EP6" t="s">
        <v>30</v>
      </c>
      <c r="EQ6" t="s">
        <v>30</v>
      </c>
      <c r="ER6" t="s">
        <v>30</v>
      </c>
      <c r="ES6" t="s">
        <v>30</v>
      </c>
      <c r="ET6" t="s">
        <v>30</v>
      </c>
      <c r="EU6" t="s">
        <v>30</v>
      </c>
      <c r="EV6" t="s">
        <v>30</v>
      </c>
      <c r="EW6" t="s">
        <v>30</v>
      </c>
      <c r="EX6" t="s">
        <v>30</v>
      </c>
      <c r="EY6" t="s">
        <v>30</v>
      </c>
      <c r="EZ6" t="s">
        <v>30</v>
      </c>
      <c r="FA6" t="s">
        <v>30</v>
      </c>
      <c r="FB6" t="s">
        <v>30</v>
      </c>
      <c r="FC6" t="s">
        <v>30</v>
      </c>
      <c r="FD6" t="s">
        <v>30</v>
      </c>
      <c r="FE6" t="s">
        <v>30</v>
      </c>
      <c r="FF6" t="s">
        <v>30</v>
      </c>
      <c r="FG6" t="s">
        <v>30</v>
      </c>
      <c r="FH6" t="s">
        <v>30</v>
      </c>
      <c r="FI6" t="s">
        <v>30</v>
      </c>
      <c r="FJ6" t="s">
        <v>30</v>
      </c>
      <c r="FK6" t="s">
        <v>30</v>
      </c>
      <c r="FL6" t="s">
        <v>30</v>
      </c>
      <c r="FM6" t="s">
        <v>30</v>
      </c>
      <c r="FN6" t="s">
        <v>30</v>
      </c>
      <c r="FO6" t="s">
        <v>30</v>
      </c>
      <c r="FP6" t="s">
        <v>30</v>
      </c>
      <c r="FQ6" t="s">
        <v>30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  <c r="AML6" s="32"/>
    </row>
    <row r="7" ht="15.75" customHeight="1">
      <c r="A7" s="8" t="s">
        <v>30</v>
      </c>
      <c r="B7" s="8" t="s">
        <v>23</v>
      </c>
      <c r="C7" s="8" t="s">
        <v>22</v>
      </c>
      <c r="D7" s="8">
        <v>4000.0</v>
      </c>
      <c r="E7" s="8">
        <v>1000.0</v>
      </c>
      <c r="F7" s="8">
        <v>3000.0</v>
      </c>
      <c r="G7" s="8" t="s">
        <v>45</v>
      </c>
      <c r="H7" s="8"/>
      <c r="I7" s="8"/>
      <c r="J7" s="8">
        <v>10.0</v>
      </c>
      <c r="K7" s="8" t="s">
        <v>32</v>
      </c>
      <c r="L7" s="8" t="s">
        <v>33</v>
      </c>
      <c r="M7" s="8" t="s">
        <v>34</v>
      </c>
      <c r="N7" s="8" t="s">
        <v>30</v>
      </c>
      <c r="O7" s="8">
        <v>10.0</v>
      </c>
      <c r="R7" t="s">
        <v>35</v>
      </c>
      <c r="S7" t="s">
        <v>46</v>
      </c>
      <c r="U7" t="s">
        <v>47</v>
      </c>
      <c r="V7" t="s">
        <v>48</v>
      </c>
      <c r="W7" t="s">
        <v>38</v>
      </c>
      <c r="X7" t="s">
        <v>39</v>
      </c>
      <c r="Y7">
        <v>1.0</v>
      </c>
      <c r="Z7" t="s">
        <v>30</v>
      </c>
      <c r="AA7" t="s">
        <v>40</v>
      </c>
      <c r="AB7" t="s">
        <v>30</v>
      </c>
      <c r="AC7">
        <v>10000.0</v>
      </c>
      <c r="AD7">
        <v>10000.0</v>
      </c>
      <c r="AE7" t="s">
        <v>30</v>
      </c>
      <c r="AF7" t="s">
        <v>41</v>
      </c>
      <c r="AG7" t="s">
        <v>42</v>
      </c>
      <c r="AR7" t="s">
        <v>43</v>
      </c>
      <c r="AT7" t="s">
        <v>30</v>
      </c>
      <c r="AU7" t="s">
        <v>23</v>
      </c>
      <c r="AV7" t="s">
        <v>44</v>
      </c>
      <c r="AW7">
        <v>3000.0</v>
      </c>
      <c r="AX7" t="s">
        <v>30</v>
      </c>
      <c r="AY7" t="s">
        <v>30</v>
      </c>
      <c r="AZ7" t="s">
        <v>30</v>
      </c>
      <c r="BA7" t="s">
        <v>49</v>
      </c>
      <c r="BB7" t="s">
        <v>35</v>
      </c>
      <c r="BC7">
        <v>25.0</v>
      </c>
      <c r="BD7" t="s">
        <v>30</v>
      </c>
      <c r="BE7" t="s">
        <v>30</v>
      </c>
      <c r="BF7" t="s">
        <v>30</v>
      </c>
      <c r="BG7" t="s">
        <v>30</v>
      </c>
      <c r="BH7" t="s">
        <v>30</v>
      </c>
      <c r="BI7" t="s">
        <v>30</v>
      </c>
      <c r="BJ7" t="s">
        <v>30</v>
      </c>
      <c r="BK7" t="s">
        <v>30</v>
      </c>
      <c r="BL7" t="s">
        <v>30</v>
      </c>
      <c r="BM7" t="s">
        <v>30</v>
      </c>
      <c r="BN7" t="s">
        <v>30</v>
      </c>
      <c r="BO7" t="s">
        <v>30</v>
      </c>
      <c r="BP7" t="s">
        <v>30</v>
      </c>
      <c r="BQ7" t="s">
        <v>30</v>
      </c>
      <c r="BR7" t="s">
        <v>30</v>
      </c>
      <c r="BS7" t="s">
        <v>30</v>
      </c>
      <c r="BT7" t="s">
        <v>30</v>
      </c>
      <c r="BU7" t="s">
        <v>30</v>
      </c>
      <c r="BV7" t="s">
        <v>30</v>
      </c>
      <c r="BW7" t="s">
        <v>30</v>
      </c>
      <c r="BX7" t="s">
        <v>30</v>
      </c>
      <c r="BY7" t="s">
        <v>30</v>
      </c>
      <c r="BZ7" t="s">
        <v>30</v>
      </c>
      <c r="CA7" t="s">
        <v>30</v>
      </c>
      <c r="CB7" t="s">
        <v>30</v>
      </c>
      <c r="CC7" t="s">
        <v>30</v>
      </c>
      <c r="CD7" t="s">
        <v>30</v>
      </c>
      <c r="CE7" t="s">
        <v>30</v>
      </c>
      <c r="CF7" t="s">
        <v>30</v>
      </c>
      <c r="CG7" t="s">
        <v>30</v>
      </c>
      <c r="CH7" t="s">
        <v>30</v>
      </c>
      <c r="CI7" t="s">
        <v>30</v>
      </c>
      <c r="CJ7" t="s">
        <v>30</v>
      </c>
      <c r="CK7" t="s">
        <v>30</v>
      </c>
      <c r="CL7" t="s">
        <v>30</v>
      </c>
      <c r="CM7" t="s">
        <v>30</v>
      </c>
      <c r="CN7" t="s">
        <v>30</v>
      </c>
      <c r="CO7" t="s">
        <v>30</v>
      </c>
      <c r="CP7" t="s">
        <v>30</v>
      </c>
      <c r="CQ7" t="s">
        <v>30</v>
      </c>
      <c r="CR7" t="s">
        <v>30</v>
      </c>
      <c r="CS7" t="s">
        <v>30</v>
      </c>
      <c r="CT7" t="s">
        <v>30</v>
      </c>
      <c r="CU7" t="s">
        <v>30</v>
      </c>
      <c r="CV7" t="s">
        <v>30</v>
      </c>
      <c r="CW7" t="s">
        <v>30</v>
      </c>
      <c r="CX7" t="s">
        <v>30</v>
      </c>
      <c r="CY7" t="s">
        <v>30</v>
      </c>
      <c r="CZ7" t="s">
        <v>30</v>
      </c>
      <c r="DA7" t="s">
        <v>30</v>
      </c>
      <c r="DB7" t="s">
        <v>30</v>
      </c>
      <c r="DC7" t="s">
        <v>30</v>
      </c>
      <c r="DD7" t="s">
        <v>30</v>
      </c>
      <c r="DE7" t="s">
        <v>30</v>
      </c>
      <c r="DF7" t="s">
        <v>30</v>
      </c>
      <c r="DG7" t="s">
        <v>30</v>
      </c>
      <c r="DH7" t="s">
        <v>30</v>
      </c>
      <c r="DI7" t="s">
        <v>30</v>
      </c>
      <c r="DJ7" t="s">
        <v>30</v>
      </c>
      <c r="DK7" t="s">
        <v>30</v>
      </c>
      <c r="DL7" t="s">
        <v>30</v>
      </c>
      <c r="DM7" t="s">
        <v>30</v>
      </c>
      <c r="DN7" t="s">
        <v>30</v>
      </c>
      <c r="DO7" t="s">
        <v>30</v>
      </c>
      <c r="DP7" t="s">
        <v>30</v>
      </c>
      <c r="DQ7" t="s">
        <v>30</v>
      </c>
      <c r="DR7" t="s">
        <v>30</v>
      </c>
      <c r="DS7" t="s">
        <v>30</v>
      </c>
      <c r="DT7" t="s">
        <v>30</v>
      </c>
      <c r="DU7" t="s">
        <v>30</v>
      </c>
      <c r="DV7" t="s">
        <v>30</v>
      </c>
      <c r="DW7" t="s">
        <v>30</v>
      </c>
      <c r="DX7" t="s">
        <v>30</v>
      </c>
      <c r="DY7" t="s">
        <v>30</v>
      </c>
      <c r="DZ7" t="s">
        <v>30</v>
      </c>
      <c r="EA7" t="s">
        <v>30</v>
      </c>
      <c r="EB7" t="s">
        <v>30</v>
      </c>
      <c r="EC7" t="s">
        <v>30</v>
      </c>
      <c r="ED7" t="s">
        <v>30</v>
      </c>
      <c r="EE7" t="s">
        <v>30</v>
      </c>
      <c r="EF7" t="s">
        <v>30</v>
      </c>
      <c r="EG7" t="s">
        <v>30</v>
      </c>
      <c r="EH7" t="s">
        <v>30</v>
      </c>
      <c r="EI7" t="s">
        <v>30</v>
      </c>
      <c r="EJ7" t="s">
        <v>30</v>
      </c>
      <c r="EK7" t="s">
        <v>30</v>
      </c>
      <c r="EL7" t="s">
        <v>30</v>
      </c>
      <c r="EM7" t="s">
        <v>30</v>
      </c>
      <c r="EN7" t="s">
        <v>30</v>
      </c>
      <c r="EO7" t="s">
        <v>30</v>
      </c>
      <c r="EP7" t="s">
        <v>30</v>
      </c>
      <c r="EQ7" t="s">
        <v>30</v>
      </c>
      <c r="ER7" t="s">
        <v>30</v>
      </c>
      <c r="ES7" t="s">
        <v>30</v>
      </c>
      <c r="ET7" t="s">
        <v>30</v>
      </c>
      <c r="EU7" t="s">
        <v>30</v>
      </c>
      <c r="EV7" t="s">
        <v>30</v>
      </c>
      <c r="EW7" t="s">
        <v>30</v>
      </c>
      <c r="EX7" t="s">
        <v>30</v>
      </c>
      <c r="EY7" t="s">
        <v>30</v>
      </c>
      <c r="EZ7" t="s">
        <v>30</v>
      </c>
      <c r="FA7" t="s">
        <v>30</v>
      </c>
      <c r="FB7" t="s">
        <v>30</v>
      </c>
      <c r="FC7" t="s">
        <v>30</v>
      </c>
      <c r="FD7" t="s">
        <v>30</v>
      </c>
      <c r="FE7" t="s">
        <v>30</v>
      </c>
      <c r="FF7" t="s">
        <v>30</v>
      </c>
      <c r="FG7" t="s">
        <v>30</v>
      </c>
      <c r="FH7" t="s">
        <v>30</v>
      </c>
      <c r="FI7" t="s">
        <v>30</v>
      </c>
      <c r="FJ7" t="s">
        <v>30</v>
      </c>
      <c r="FK7" t="s">
        <v>30</v>
      </c>
      <c r="FL7" t="s">
        <v>30</v>
      </c>
      <c r="FM7" t="s">
        <v>30</v>
      </c>
      <c r="FN7" t="s">
        <v>30</v>
      </c>
      <c r="FO7" t="s">
        <v>30</v>
      </c>
      <c r="FP7" t="s">
        <v>30</v>
      </c>
      <c r="FQ7" t="s">
        <v>30</v>
      </c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  <c r="AKP7" s="32"/>
      <c r="AKQ7" s="32"/>
      <c r="AKR7" s="32"/>
      <c r="AKS7" s="32"/>
      <c r="AKT7" s="32"/>
      <c r="AKU7" s="32"/>
      <c r="AKV7" s="32"/>
      <c r="AKW7" s="32"/>
      <c r="AKX7" s="32"/>
      <c r="AKY7" s="32"/>
      <c r="AKZ7" s="32"/>
      <c r="ALA7" s="32"/>
      <c r="ALB7" s="32"/>
      <c r="ALC7" s="32"/>
      <c r="ALD7" s="32"/>
      <c r="ALE7" s="32"/>
      <c r="ALF7" s="32"/>
      <c r="ALG7" s="32"/>
      <c r="ALH7" s="32"/>
      <c r="ALI7" s="32"/>
      <c r="ALJ7" s="32"/>
      <c r="ALK7" s="32"/>
      <c r="ALL7" s="32"/>
      <c r="ALM7" s="32"/>
      <c r="ALN7" s="32"/>
      <c r="ALO7" s="32"/>
      <c r="ALP7" s="32"/>
      <c r="ALQ7" s="32"/>
      <c r="ALR7" s="32"/>
      <c r="ALS7" s="32"/>
      <c r="ALT7" s="32"/>
      <c r="ALU7" s="32"/>
      <c r="ALV7" s="32"/>
      <c r="ALW7" s="32"/>
      <c r="ALX7" s="32"/>
      <c r="ALY7" s="32"/>
      <c r="ALZ7" s="32"/>
      <c r="AMA7" s="32"/>
      <c r="AMB7" s="32"/>
      <c r="AMC7" s="32"/>
      <c r="AMD7" s="32"/>
      <c r="AME7" s="32"/>
      <c r="AMF7" s="32"/>
      <c r="AMG7" s="32"/>
      <c r="AMH7" s="32"/>
      <c r="AMI7" s="32"/>
      <c r="AMJ7" s="32"/>
      <c r="AMK7" s="32"/>
      <c r="AML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21</v>
      </c>
      <c r="E6" s="30"/>
      <c r="F6" s="12" t="s">
        <v>22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23</v>
      </c>
      <c r="E6" s="30"/>
      <c r="F6" s="12" t="s">
        <v>22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