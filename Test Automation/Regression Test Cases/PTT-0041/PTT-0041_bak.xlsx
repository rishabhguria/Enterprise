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DoneAwayOrder1" sheetId="11" r:id="rId13"/>
    <sheet state="visible" name="GetDataAllocation" sheetId="12" r:id="rId14"/>
    <sheet state="visible" name="CheckAllocatedGroups" sheetId="13" r:id="rId15"/>
    <sheet state="visible" name="Unallocate" sheetId="14" r:id="rId16"/>
    <sheet state="visible" name="SelectUnallocatedGroup" sheetId="15" r:id="rId17"/>
    <sheet state="visible" name="EnterCustomAllocatePreference" sheetId="16" r:id="rId18"/>
    <sheet state="visible" name="EnterAccountValuesToAllocate" sheetId="17" r:id="rId19"/>
    <sheet state="visible" name="CheckAllocatedGroups1" sheetId="18" r:id="rId20"/>
    <sheet state="visible" name="GetDataClosing" sheetId="19" r:id="rId21"/>
    <sheet state="visible" name="VerifyLongPositionsGrid" sheetId="20" r:id="rId22"/>
  </sheets>
  <definedNames/>
  <calcPr/>
</workbook>
</file>

<file path=xl/sharedStrings.xml><?xml version="1.0" encoding="utf-8"?>
<sst xmlns="http://schemas.openxmlformats.org/spreadsheetml/2006/main" count="241" uniqueCount="55">
  <si>
    <t>Modules Info</t>
  </si>
  <si>
    <t>Modules</t>
  </si>
  <si>
    <t>Settings</t>
  </si>
  <si>
    <t>Module Step Setting File</t>
  </si>
  <si>
    <t>1SjPeSWwRpBugiikkQOq62Yx18jld1tXhatfH2a3lB70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</si>
  <si>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</si>
  <si>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</si>
  <si>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</si>
  <si>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</si>
  <si>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</si>
  <si>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</si>
  <si>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</si>
  <si>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</si>
  <si>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</si>
  <si>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</si>
  <si>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</si>
  <si>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</si>
  <si>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</si>
  <si>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</si>
  <si>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</si>
  <si>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</si>
  <si>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</si>
  <si>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</si>
  <si>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</si>
  <si>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Allocation1,Allocation3</t>
  </si>
  <si>
    <t>50,50</t>
  </si>
  <si>
    <t>PricingInput</t>
  </si>
  <si>
    <t>PTT</t>
  </si>
  <si>
    <t>CalculatePTT</t>
  </si>
  <si>
    <t>Increase</t>
  </si>
  <si>
    <t>Percentage</t>
  </si>
  <si>
    <t>No</t>
  </si>
  <si>
    <t>Account</t>
  </si>
  <si>
    <t>VerifyPTT</t>
  </si>
  <si>
    <t>TradePTT</t>
  </si>
  <si>
    <t>Allocation</t>
  </si>
  <si>
    <t>GetDataAllocation</t>
  </si>
  <si>
    <t xml:space="preserve">Current </t>
  </si>
  <si>
    <t>CheckAllocatedGroups</t>
  </si>
  <si>
    <t>Multiple</t>
  </si>
  <si>
    <t>MS</t>
  </si>
  <si>
    <t>Open</t>
  </si>
  <si>
    <t>NASDAQ</t>
  </si>
  <si>
    <t>M</t>
  </si>
  <si>
    <t>US</t>
  </si>
  <si>
    <t>Unallocate</t>
  </si>
  <si>
    <t>SelectUnallocatedGroup</t>
  </si>
  <si>
    <t>EnterCustomAllocatePreference</t>
  </si>
  <si>
    <t>Calculated</t>
  </si>
  <si>
    <t>EnterAccountValuesToAllocate</t>
  </si>
  <si>
    <t>Closing</t>
  </si>
  <si>
    <t>GetDataClosing</t>
  </si>
  <si>
    <t>Current</t>
  </si>
  <si>
    <t>VerifyLongPositionsGrid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</si>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</sst>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"/>
    <numFmt numFmtId="166" formatCode="m/d/yyyy h:mm:ss am/p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333333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16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wrapText="1"/>
    </xf>
    <xf borderId="0" fillId="0" fontId="13" numFmtId="0" xfId="0" applyAlignment="1" applyFont="1">
      <alignment readingOrder="0" shrinkToFit="0" wrapText="0"/>
    </xf>
    <xf borderId="0" fillId="0" fontId="13" numFmtId="11" xfId="0" applyAlignment="1" applyFont="1" applyNumberFormat="1">
      <alignment horizontal="right" readingOrder="0" shrinkToFit="0" wrapText="0"/>
    </xf>
    <xf borderId="0" fillId="0" fontId="13" numFmtId="165" xfId="0" applyAlignment="1" applyFont="1" applyNumberFormat="1">
      <alignment horizontal="right" readingOrder="0" shrinkToFit="0" wrapText="0"/>
    </xf>
    <xf borderId="0" fillId="0" fontId="13" numFmtId="0" xfId="0" applyAlignment="1" applyFont="1">
      <alignment horizontal="right" readingOrder="0" shrinkToFit="0" wrapText="0"/>
    </xf>
    <xf borderId="0" fillId="0" fontId="13" numFmtId="0" xfId="0" applyAlignment="1" applyFont="1">
      <alignment shrinkToFit="0" wrapText="0"/>
    </xf>
    <xf borderId="0" fillId="0" fontId="13" numFmtId="166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45298</v>
      </c>
      <c r="C6" s="31">
        <f t="shared" si="1"/>
        <v>45298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17</v>
      </c>
      <c r="C6" s="33" t="s">
        <v>18</v>
      </c>
      <c r="D6" s="35">
        <v>40000.0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19</v>
      </c>
      <c r="C7" s="34" t="s">
        <v>18</v>
      </c>
      <c r="D7" s="36">
        <v>40000.0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22</v>
      </c>
      <c r="C6" s="33" t="s">
        <v>23</v>
      </c>
      <c r="D6" s="37">
        <v>100.0</v>
      </c>
      <c r="E6" s="37">
        <v>100.0</v>
      </c>
      <c r="F6" s="33"/>
      <c r="G6" s="33"/>
      <c r="H6" s="33"/>
      <c r="I6" s="33"/>
      <c r="J6" s="38">
        <v>20.0</v>
      </c>
      <c r="K6" s="33"/>
      <c r="L6" s="33"/>
      <c r="M6" s="33"/>
      <c r="N6" s="31">
        <f>TODAY()</f>
        <v>45299</v>
      </c>
      <c r="O6" s="38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24</v>
      </c>
      <c r="AL6" s="34" t="s">
        <v>25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22</v>
      </c>
      <c r="C6" s="38">
        <v>20.0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9" t="s">
        <v>22</v>
      </c>
      <c r="C6" s="40" t="s">
        <v>29</v>
      </c>
      <c r="D6" s="41" t="s">
        <v>30</v>
      </c>
      <c r="E6" s="38">
        <v>5.0</v>
      </c>
      <c r="F6" s="33"/>
      <c r="G6" s="40" t="s">
        <v>31</v>
      </c>
      <c r="H6" s="42" t="s">
        <v>32</v>
      </c>
      <c r="I6" s="42" t="s">
        <v>24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17</v>
      </c>
      <c r="C6" s="44">
        <v>40000.0</v>
      </c>
      <c r="D6" s="44">
        <v>50.0</v>
      </c>
      <c r="E6" s="44">
        <v>1000.0</v>
      </c>
      <c r="F6" s="44">
        <v>2.5</v>
      </c>
      <c r="G6" s="44">
        <v>5.0</v>
      </c>
      <c r="H6" s="44">
        <v>7.5</v>
      </c>
      <c r="I6" s="44">
        <v>100.0</v>
      </c>
      <c r="J6" s="44">
        <v>150.0</v>
      </c>
      <c r="K6" s="44">
        <v>3000.0</v>
      </c>
      <c r="L6" s="44">
        <v>50.0</v>
      </c>
      <c r="M6" s="44">
        <v>1.0</v>
      </c>
      <c r="O6" s="8"/>
    </row>
    <row r="7" ht="15.75" customHeight="1">
      <c r="A7" s="8"/>
      <c r="B7" s="43" t="s">
        <v>19</v>
      </c>
      <c r="C7" s="44">
        <v>40000.0</v>
      </c>
      <c r="D7" s="44">
        <v>50.0</v>
      </c>
      <c r="E7" s="44">
        <v>1000.0</v>
      </c>
      <c r="F7" s="44">
        <v>2.5</v>
      </c>
      <c r="G7" s="44">
        <v>5.0</v>
      </c>
      <c r="H7" s="44">
        <v>7.5</v>
      </c>
      <c r="I7" s="44">
        <v>100.0</v>
      </c>
      <c r="J7" s="44">
        <v>150.0</v>
      </c>
      <c r="K7" s="44">
        <v>3000.0</v>
      </c>
      <c r="L7" s="44">
        <v>50.0</v>
      </c>
      <c r="M7" s="44">
        <v>1.0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9" t="s">
        <v>22</v>
      </c>
      <c r="C6" s="40" t="s">
        <v>29</v>
      </c>
      <c r="D6" s="41" t="s">
        <v>30</v>
      </c>
      <c r="E6" s="38">
        <v>5.0</v>
      </c>
      <c r="F6" s="33"/>
      <c r="G6" s="40" t="s">
        <v>31</v>
      </c>
      <c r="H6" s="42" t="s">
        <v>32</v>
      </c>
      <c r="I6" s="42" t="s">
        <v>24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8"/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39</v>
      </c>
      <c r="C6" s="8"/>
      <c r="D6" s="11"/>
      <c r="E6" s="44">
        <v>100.0</v>
      </c>
      <c r="F6" s="8"/>
      <c r="G6" s="8"/>
      <c r="H6" s="8"/>
      <c r="I6" s="8"/>
      <c r="J6" s="8"/>
      <c r="K6" s="44">
        <v>20.0</v>
      </c>
      <c r="L6" s="44">
        <v>20.0</v>
      </c>
      <c r="M6" s="8"/>
      <c r="N6" s="8"/>
      <c r="O6" s="11" t="s">
        <v>40</v>
      </c>
      <c r="S6" s="43" t="s">
        <v>41</v>
      </c>
      <c r="Z6" s="43" t="s">
        <v>18</v>
      </c>
      <c r="AD6" s="43" t="s">
        <v>42</v>
      </c>
      <c r="AE6" s="44">
        <v>100.0</v>
      </c>
      <c r="AH6" s="9" t="s">
        <v>43</v>
      </c>
      <c r="AI6" s="9">
        <v>1.0</v>
      </c>
      <c r="AT6" s="46">
        <v>2014.0011</v>
      </c>
      <c r="AU6" s="46">
        <v>2014.0011</v>
      </c>
      <c r="BE6" s="46">
        <v>2000.0</v>
      </c>
      <c r="BF6" s="46">
        <v>2000.0</v>
      </c>
      <c r="BJ6" s="44">
        <v>100.0</v>
      </c>
      <c r="BM6" s="9" t="s">
        <v>18</v>
      </c>
      <c r="BO6" s="9" t="s">
        <v>23</v>
      </c>
      <c r="BT6" s="9" t="s">
        <v>22</v>
      </c>
      <c r="BW6" s="44">
        <v>14.0011</v>
      </c>
      <c r="CH6" s="9" t="s">
        <v>27</v>
      </c>
      <c r="CI6" s="43" t="s">
        <v>23</v>
      </c>
      <c r="CK6" s="43" t="s">
        <v>44</v>
      </c>
      <c r="CM6" s="43" t="s">
        <v>22</v>
      </c>
    </row>
    <row r="7" ht="15.75" customHeight="1">
      <c r="A7" s="8"/>
      <c r="B7" s="43" t="s">
        <v>39</v>
      </c>
      <c r="C7" s="8"/>
      <c r="D7" s="8"/>
      <c r="E7" s="44">
        <v>200.0</v>
      </c>
      <c r="F7" s="8"/>
      <c r="G7" s="8"/>
      <c r="H7" s="8"/>
      <c r="I7" s="8"/>
      <c r="J7" s="8"/>
      <c r="K7" s="44">
        <v>20.0</v>
      </c>
      <c r="L7" s="44">
        <v>20.0</v>
      </c>
      <c r="M7" s="8"/>
      <c r="N7" s="8"/>
      <c r="O7" s="11" t="s">
        <v>40</v>
      </c>
      <c r="S7" s="43" t="s">
        <v>41</v>
      </c>
      <c r="Z7" s="43" t="s">
        <v>18</v>
      </c>
      <c r="AD7" s="43" t="s">
        <v>42</v>
      </c>
      <c r="AE7" s="44">
        <v>200.0</v>
      </c>
      <c r="AH7" s="9" t="s">
        <v>43</v>
      </c>
      <c r="AI7" s="9">
        <v>1.0</v>
      </c>
      <c r="AT7" s="46">
        <v>4014.0022</v>
      </c>
      <c r="AU7" s="46">
        <v>4014.0022</v>
      </c>
      <c r="BE7" s="46">
        <v>4000.0</v>
      </c>
      <c r="BF7" s="46">
        <v>4000.0</v>
      </c>
      <c r="BJ7" s="44">
        <v>200.0</v>
      </c>
      <c r="BM7" s="9" t="s">
        <v>18</v>
      </c>
      <c r="BO7" s="9" t="s">
        <v>23</v>
      </c>
      <c r="BT7" s="9" t="s">
        <v>22</v>
      </c>
      <c r="BW7" s="44">
        <v>14.0022</v>
      </c>
      <c r="CH7" s="9" t="s">
        <v>27</v>
      </c>
      <c r="CI7" s="43" t="s">
        <v>23</v>
      </c>
      <c r="CK7" s="43" t="s">
        <v>44</v>
      </c>
      <c r="CM7" s="43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22</v>
      </c>
      <c r="C6" s="44">
        <v>100.0</v>
      </c>
      <c r="D6" s="47"/>
      <c r="E6" s="43" t="s">
        <v>39</v>
      </c>
      <c r="F6" s="9" t="s">
        <v>23</v>
      </c>
      <c r="G6" s="8"/>
      <c r="H6" s="11"/>
      <c r="I6" s="8"/>
      <c r="J6" s="8"/>
      <c r="K6" s="8"/>
      <c r="L6" s="8"/>
      <c r="M6" s="8"/>
      <c r="N6" s="8"/>
      <c r="O6" s="8"/>
      <c r="AQ6" s="44"/>
      <c r="AS6" s="44"/>
      <c r="AT6" s="46"/>
      <c r="AU6" s="46"/>
      <c r="CQ6" s="43"/>
    </row>
    <row r="7" ht="15.75" customHeight="1">
      <c r="A7" s="8"/>
      <c r="B7" s="34" t="s">
        <v>22</v>
      </c>
      <c r="C7" s="44">
        <v>200.0</v>
      </c>
      <c r="D7" s="47"/>
      <c r="E7" s="43" t="s">
        <v>39</v>
      </c>
      <c r="F7" s="9" t="s">
        <v>23</v>
      </c>
      <c r="G7" s="8"/>
      <c r="H7" s="11"/>
      <c r="I7" s="8"/>
      <c r="J7" s="8"/>
      <c r="K7" s="8"/>
      <c r="L7" s="8"/>
      <c r="M7" s="8"/>
      <c r="N7" s="8"/>
      <c r="O7" s="8"/>
      <c r="AQ7" s="44"/>
      <c r="AS7" s="44"/>
      <c r="AT7" s="46"/>
      <c r="AU7" s="46"/>
      <c r="CQ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22</v>
      </c>
      <c r="C6" s="9" t="s">
        <v>23</v>
      </c>
      <c r="D6" s="44">
        <v>100.0</v>
      </c>
      <c r="E6" s="44">
        <v>100.0</v>
      </c>
      <c r="F6" s="8"/>
      <c r="G6" s="46"/>
      <c r="H6" s="8"/>
      <c r="I6" s="11"/>
      <c r="J6" s="11"/>
      <c r="K6" s="11"/>
      <c r="L6" s="8"/>
      <c r="M6" s="8"/>
      <c r="N6" s="11"/>
      <c r="O6" s="11"/>
      <c r="CO6" s="43"/>
    </row>
    <row r="7" ht="15.75" customHeight="1">
      <c r="A7" s="8"/>
      <c r="B7" s="34" t="s">
        <v>22</v>
      </c>
      <c r="C7" s="9" t="s">
        <v>23</v>
      </c>
      <c r="D7" s="44">
        <v>200.0</v>
      </c>
      <c r="E7" s="44">
        <v>200.0</v>
      </c>
      <c r="F7" s="8"/>
      <c r="G7" s="46"/>
      <c r="H7" s="8"/>
      <c r="I7" s="11"/>
      <c r="J7" s="11"/>
      <c r="K7" s="11"/>
      <c r="L7" s="8"/>
      <c r="M7" s="8"/>
      <c r="N7" s="11"/>
      <c r="O7" s="11"/>
      <c r="CO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 t="str">
        <f>IFERROR(__xludf.DUMMYFUNCTION("""COMPUTED_VALUE"""),"Custom")</f>
        <v>Custom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48</v>
      </c>
      <c r="C6" s="8"/>
      <c r="D6" s="11"/>
      <c r="E6" s="45"/>
      <c r="F6" s="8"/>
      <c r="G6" s="8"/>
      <c r="H6" s="8"/>
      <c r="I6" s="8"/>
      <c r="J6" s="8"/>
      <c r="K6" s="8"/>
      <c r="L6" s="11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EnterCustomAllocatePreference!$4:$4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1mOtszotVOdqHquQTLi-4CBnAUrtAF2MEABuvYJh_hzw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>
        <v>50.0</v>
      </c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19</v>
      </c>
      <c r="C7" s="11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39</v>
      </c>
      <c r="C6" s="8"/>
      <c r="D6" s="11"/>
      <c r="E6" s="44">
        <v>100.0</v>
      </c>
      <c r="F6" s="8"/>
      <c r="G6" s="8"/>
      <c r="H6" s="8"/>
      <c r="I6" s="8"/>
      <c r="J6" s="8"/>
      <c r="K6" s="44">
        <v>20.0</v>
      </c>
      <c r="L6" s="44">
        <v>20.0</v>
      </c>
      <c r="M6" s="8"/>
      <c r="N6" s="8"/>
      <c r="O6" s="11" t="s">
        <v>40</v>
      </c>
      <c r="S6" s="43" t="s">
        <v>41</v>
      </c>
      <c r="Z6" s="43" t="s">
        <v>18</v>
      </c>
      <c r="AD6" s="43" t="s">
        <v>42</v>
      </c>
      <c r="AE6" s="44">
        <v>100.0</v>
      </c>
      <c r="AH6" s="9" t="s">
        <v>43</v>
      </c>
      <c r="AI6" s="9">
        <v>1.0</v>
      </c>
      <c r="AT6" s="46">
        <v>2014.0011</v>
      </c>
      <c r="AU6" s="46">
        <v>2014.0011</v>
      </c>
      <c r="BE6" s="46">
        <v>2000.0</v>
      </c>
      <c r="BF6" s="46">
        <v>2000.0</v>
      </c>
      <c r="BJ6" s="44">
        <v>100.0</v>
      </c>
      <c r="BM6" s="9" t="s">
        <v>18</v>
      </c>
      <c r="BO6" s="9" t="s">
        <v>23</v>
      </c>
      <c r="BT6" s="9" t="s">
        <v>22</v>
      </c>
      <c r="BW6" s="44">
        <v>14.0011</v>
      </c>
      <c r="CH6" s="48" t="s">
        <v>27</v>
      </c>
      <c r="CI6" s="43" t="s">
        <v>23</v>
      </c>
      <c r="CK6" s="43" t="s">
        <v>44</v>
      </c>
      <c r="CM6" s="43" t="s">
        <v>22</v>
      </c>
    </row>
    <row r="7" ht="15.75" customHeight="1">
      <c r="A7" s="8"/>
      <c r="B7" s="43" t="s">
        <v>39</v>
      </c>
      <c r="C7" s="8"/>
      <c r="D7" s="8"/>
      <c r="E7" s="44">
        <v>200.0</v>
      </c>
      <c r="F7" s="8"/>
      <c r="G7" s="8"/>
      <c r="H7" s="8"/>
      <c r="I7" s="8"/>
      <c r="J7" s="8"/>
      <c r="K7" s="44">
        <v>20.0</v>
      </c>
      <c r="L7" s="44">
        <v>20.0</v>
      </c>
      <c r="M7" s="8"/>
      <c r="N7" s="8"/>
      <c r="O7" s="11" t="s">
        <v>40</v>
      </c>
      <c r="S7" s="43" t="s">
        <v>41</v>
      </c>
      <c r="Z7" s="43" t="s">
        <v>18</v>
      </c>
      <c r="AD7" s="43" t="s">
        <v>42</v>
      </c>
      <c r="AE7" s="44">
        <v>200.0</v>
      </c>
      <c r="AH7" s="9" t="s">
        <v>43</v>
      </c>
      <c r="AI7" s="9">
        <v>1.0</v>
      </c>
      <c r="AT7" s="46">
        <v>4014.0022</v>
      </c>
      <c r="AU7" s="46">
        <v>4014.0022</v>
      </c>
      <c r="BE7" s="46">
        <v>4000.0</v>
      </c>
      <c r="BF7" s="46">
        <v>4000.0</v>
      </c>
      <c r="BJ7" s="44">
        <v>200.0</v>
      </c>
      <c r="BM7" s="9" t="s">
        <v>18</v>
      </c>
      <c r="BO7" s="9" t="s">
        <v>23</v>
      </c>
      <c r="BT7" s="9" t="s">
        <v>22</v>
      </c>
      <c r="BW7" s="44">
        <v>14.0022</v>
      </c>
      <c r="CH7" s="43" t="s">
        <v>27</v>
      </c>
      <c r="CI7" s="43" t="s">
        <v>23</v>
      </c>
      <c r="CK7" s="43" t="s">
        <v>44</v>
      </c>
      <c r="CM7" s="43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52</v>
      </c>
      <c r="C6" s="8"/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s">
        <v>19</v>
      </c>
      <c r="C6" s="49" t="s">
        <v>54</v>
      </c>
      <c r="D6" s="50"/>
      <c r="G6" s="51"/>
      <c r="H6" s="52">
        <v>1007.00055</v>
      </c>
      <c r="I6" s="52">
        <v>20.0</v>
      </c>
      <c r="J6" s="52"/>
      <c r="K6" s="51"/>
      <c r="M6" s="52">
        <v>50.0</v>
      </c>
      <c r="N6" s="49"/>
      <c r="P6" s="49" t="s">
        <v>23</v>
      </c>
      <c r="Q6" s="49"/>
      <c r="R6" s="49" t="s">
        <v>22</v>
      </c>
      <c r="S6" s="53"/>
      <c r="T6" s="52">
        <v>7.00055</v>
      </c>
      <c r="U6" s="49"/>
      <c r="V6" s="49" t="s">
        <v>23</v>
      </c>
      <c r="X6" s="52"/>
      <c r="Y6" s="52"/>
      <c r="Z6" s="49">
        <v>20.0</v>
      </c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52"/>
      <c r="AM6" s="49"/>
      <c r="AN6" s="49"/>
      <c r="AO6" s="52"/>
      <c r="AP6" s="52"/>
      <c r="AQ6" s="52"/>
      <c r="AR6" s="52"/>
      <c r="AS6" s="49"/>
      <c r="AT6" s="54"/>
      <c r="AU6" s="49"/>
      <c r="AV6" s="52"/>
    </row>
    <row r="7" ht="15.75" customHeight="1">
      <c r="A7" s="8"/>
      <c r="B7" s="49" t="s">
        <v>17</v>
      </c>
      <c r="C7" s="49" t="s">
        <v>54</v>
      </c>
      <c r="D7" s="50"/>
      <c r="G7" s="51"/>
      <c r="H7" s="52">
        <v>1007.00055</v>
      </c>
      <c r="I7" s="52">
        <v>20.0</v>
      </c>
      <c r="J7" s="52"/>
      <c r="K7" s="51"/>
      <c r="M7" s="52">
        <v>50.0</v>
      </c>
      <c r="N7" s="49"/>
      <c r="P7" s="49" t="s">
        <v>23</v>
      </c>
      <c r="Q7" s="49"/>
      <c r="R7" s="49" t="s">
        <v>22</v>
      </c>
      <c r="S7" s="53"/>
      <c r="T7" s="52">
        <v>7.00055</v>
      </c>
      <c r="U7" s="49"/>
      <c r="V7" s="49" t="s">
        <v>23</v>
      </c>
      <c r="X7" s="52"/>
      <c r="Y7" s="52"/>
      <c r="Z7" s="49">
        <v>20.0</v>
      </c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52"/>
      <c r="AM7" s="49"/>
      <c r="AN7" s="49"/>
      <c r="AO7" s="52"/>
      <c r="AP7" s="52"/>
      <c r="AQ7" s="52"/>
      <c r="AR7" s="52"/>
      <c r="AS7" s="49"/>
      <c r="AT7" s="54"/>
      <c r="AU7" s="49"/>
      <c r="AV7" s="52"/>
    </row>
    <row r="8" ht="15.75" customHeight="1">
      <c r="A8" s="8"/>
      <c r="B8" s="49" t="s">
        <v>19</v>
      </c>
      <c r="C8" s="49" t="s">
        <v>54</v>
      </c>
      <c r="D8" s="50"/>
      <c r="G8" s="51"/>
      <c r="H8" s="52">
        <v>2007.0011</v>
      </c>
      <c r="I8" s="52">
        <v>20.0</v>
      </c>
      <c r="J8" s="52"/>
      <c r="K8" s="51"/>
      <c r="M8" s="52">
        <v>100.0</v>
      </c>
      <c r="N8" s="49"/>
      <c r="P8" s="49" t="s">
        <v>23</v>
      </c>
      <c r="Q8" s="49"/>
      <c r="R8" s="49" t="s">
        <v>22</v>
      </c>
      <c r="S8" s="53"/>
      <c r="T8" s="52">
        <v>7.0011</v>
      </c>
      <c r="U8" s="49"/>
      <c r="V8" s="49" t="s">
        <v>23</v>
      </c>
      <c r="X8" s="52"/>
      <c r="Y8" s="52"/>
      <c r="Z8" s="49">
        <v>20.0</v>
      </c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52"/>
      <c r="AM8" s="49"/>
      <c r="AN8" s="49"/>
      <c r="AO8" s="52"/>
      <c r="AP8" s="52"/>
      <c r="AQ8" s="52"/>
      <c r="AR8" s="52"/>
      <c r="AS8" s="49"/>
      <c r="AT8" s="54"/>
      <c r="AU8" s="53"/>
      <c r="AV8" s="52"/>
    </row>
    <row r="9" ht="15.75" customHeight="1">
      <c r="A9" s="8"/>
      <c r="B9" s="49" t="s">
        <v>17</v>
      </c>
      <c r="C9" s="49" t="s">
        <v>54</v>
      </c>
      <c r="D9" s="50"/>
      <c r="G9" s="51"/>
      <c r="H9" s="52">
        <v>2007.0011</v>
      </c>
      <c r="I9" s="52">
        <v>20.0</v>
      </c>
      <c r="J9" s="52"/>
      <c r="K9" s="51"/>
      <c r="M9" s="52">
        <v>100.0</v>
      </c>
      <c r="N9" s="49"/>
      <c r="P9" s="49" t="s">
        <v>23</v>
      </c>
      <c r="Q9" s="49"/>
      <c r="R9" s="49" t="s">
        <v>22</v>
      </c>
      <c r="S9" s="53"/>
      <c r="T9" s="52">
        <v>7.0011</v>
      </c>
      <c r="U9" s="49"/>
      <c r="V9" s="49" t="s">
        <v>23</v>
      </c>
      <c r="X9" s="52"/>
      <c r="Y9" s="52"/>
      <c r="Z9" s="49">
        <v>20.0</v>
      </c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52"/>
      <c r="AM9" s="49"/>
      <c r="AN9" s="49"/>
      <c r="AO9" s="52"/>
      <c r="AP9" s="52"/>
      <c r="AQ9" s="52"/>
      <c r="AR9" s="52"/>
      <c r="AS9" s="49"/>
      <c r="AT9" s="54"/>
      <c r="AU9" s="53"/>
      <c r="AV9" s="5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