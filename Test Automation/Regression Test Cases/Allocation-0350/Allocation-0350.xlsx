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AutoGroupingPreferences" sheetId="4" r:id="rId6"/>
    <sheet state="visible" name="SetAutoGroupingAccount" sheetId="5" r:id="rId7"/>
    <sheet state="visible" name="CreateDoneAwayOrder" sheetId="6" r:id="rId8"/>
    <sheet state="visible" name="GetDataAllocation" sheetId="7" r:id="rId9"/>
    <sheet state="visible" name="SelectUnallocatedGroup" sheetId="8" r:id="rId10"/>
    <sheet state="visible" name="EditUnallocatedGroupSidePanel" sheetId="9" r:id="rId11"/>
    <sheet state="visible" name="SelectUnallocatedGroup1" sheetId="10" r:id="rId12"/>
    <sheet state="visible" name="EditUnallocatedGroupSidePanel1" sheetId="11" r:id="rId13"/>
    <sheet state="visible" name="SelectUnallocatedGroup2" sheetId="12" r:id="rId14"/>
    <sheet state="visible" name="EditUnallocatedGroupSidePanel2" sheetId="13" r:id="rId15"/>
    <sheet state="visible" name="SelectUnallocatedGroup3" sheetId="14" r:id="rId16"/>
    <sheet state="visible" name="EditUnallocatedGroupSidePanel3" sheetId="15" r:id="rId17"/>
    <sheet state="visible" name="CheckUnallocatedGroups" sheetId="16" r:id="rId18"/>
  </sheets>
  <definedNames/>
  <calcPr/>
</workbook>
</file>

<file path=xl/sharedStrings.xml><?xml version="1.0" encoding="utf-8"?>
<sst xmlns="http://schemas.openxmlformats.org/spreadsheetml/2006/main" count="540" uniqueCount="43">
  <si>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</si>
  <si>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</si>
  <si>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</si>
  <si>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</si>
  <si>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</si>
  <si>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</si>
  <si>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</si>
  <si>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</si>
  <si>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</si>
  <si>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</si>
  <si>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</si>
  <si>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</si>
  <si>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</si>
  <si>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</si>
  <si>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</si>
  <si>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</si>
  <si>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</si>
  <si>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Unallocated</t>
  </si>
  <si>
    <t>TradingTicket</t>
  </si>
  <si>
    <t>CreateDoneAwayOrder</t>
  </si>
  <si>
    <t>SAP</t>
  </si>
  <si>
    <t>Sell short</t>
  </si>
  <si>
    <t>Sell</t>
  </si>
  <si>
    <t>AAPL</t>
  </si>
  <si>
    <t>MSFT</t>
  </si>
  <si>
    <t>GOOG</t>
  </si>
  <si>
    <t>GetDataAllocation</t>
  </si>
  <si>
    <t>CURRENT</t>
  </si>
  <si>
    <t>SelectUnallocatedGroup</t>
  </si>
  <si>
    <t>EditUnallocatedGroupSidePanel</t>
  </si>
  <si>
    <t>CheckUnallocatedGroups</t>
  </si>
  <si>
    <t/>
  </si>
  <si>
    <t>Equity</t>
  </si>
  <si>
    <t>MS</t>
  </si>
  <si>
    <t>USD</t>
  </si>
  <si>
    <t>BrokerNotes</t>
  </si>
  <si>
    <t>M</t>
  </si>
  <si>
    <t>Market</t>
  </si>
  <si>
    <t>GCCAP1</t>
  </si>
  <si>
    <t>SellShort</t>
  </si>
  <si>
    <t>US</t>
  </si>
  <si>
    <t>jpearce</t>
  </si>
  <si>
    <t>NASDAQ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</si>
</sst>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vertical="bottom"/>
    </xf>
    <xf borderId="5" fillId="0" fontId="3" numFmtId="164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IFERROR(__xludf.DUMMYFUNCTION("""COMPUTED_VALUE"""),"Admin")</f>
        <v>Admin</v>
      </c>
      <c r="B678" t="str">
        <f>IFERROR(__xludf.DUMMYFUNCTION("""COMPUTED_VALUE"""),"SetAuecExecutingBroker")</f>
        <v>SetAuecExecutingBroker</v>
      </c>
      <c r="C678" t="str">
        <f>IFERROR(__xludf.DUMMYFUNCTION("""COMPUTED_VALUE"""),"1FOtSQ752PHH-4nayG7R-PaG921WCWKVU8Lsl4pC6Mr0")</f>
        <v>1FOtSQ752PHH-4nayG7R-PaG921WCWKVU8Lsl4pC6Mr0</v>
      </c>
    </row>
    <row r="679" ht="15.75" customHeight="1">
      <c r="A679" t="str">
        <f>IFERROR(__xludf.DUMMYFUNCTION("""COMPUTED_VALUE"""),"AuditTrail")</f>
        <v>AuditTrail</v>
      </c>
      <c r="B679" t="str">
        <f>IFERROR(__xludf.DUMMYFUNCTION("""COMPUTED_VALUE"""),"GetDataFromAuditTrail")</f>
        <v>GetDataFromAuditTrail</v>
      </c>
      <c r="C679" t="str">
        <f>IFERROR(__xludf.DUMMYFUNCTION("""COMPUTED_VALUE"""),"1tNXZNqCj-1qo8Li9Rf4t_XiY-dX6itH2UAbOSe3-Mxc")</f>
        <v>1tNXZNqCj-1qo8Li9Rf4t_XiY-dX6itH2UAbOSe3-Mxc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IFERROR(__xludf.DUMMYFUNCTION("""COMPUTED_VALUE"""),"VerifyAuditTrail")</f>
        <v>VerifyAuditTrail</v>
      </c>
      <c r="C680" t="str">
        <f>IFERROR(__xludf.DUMMYFUNCTION("""COMPUTED_VALUE"""),"1yv4ikffZOFZ-OOoWF_aNEGZA8dcvqtzobkyZjf8TDRs")</f>
        <v>1yv4ikffZOFZ-OOoWF_aNEGZA8dcvqtzobkyZjf8TDRs</v>
      </c>
    </row>
    <row r="681" ht="15.75" customHeight="1">
      <c r="A681" t="str">
        <f>IFERROR(__xludf.DUMMYFUNCTION("""COMPUTED_VALUE"""),"Simulator")</f>
        <v>Simulator</v>
      </c>
      <c r="B681" t="str">
        <f>IFERROR(__xludf.DUMMYFUNCTION("""COMPUTED_VALUE"""),"DoneForDay")</f>
        <v>DoneForDay</v>
      </c>
      <c r="C681" t="str">
        <f>IFERROR(__xludf.DUMMYFUNCTION("""COMPUTED_VALUE"""),"Undefined")</f>
        <v>Undefined</v>
      </c>
    </row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IFERROR(__xludf.DUMMYFUNCTION("""COMPUTED_VALUE"""),"AutoGroup")</f>
        <v>AutoGroup</v>
      </c>
      <c r="C5" s="28" t="str">
        <f>IFERROR(__xludf.DUMMYFUNCTION("""COMPUTED_VALUE"""),"TradeAttribute1")</f>
        <v>TradeAttribute1</v>
      </c>
      <c r="D5" s="28" t="str">
        <f>IFERROR(__xludf.DUMMYFUNCTION("""COMPUTED_VALUE"""),"TradeAttribute2")</f>
        <v>TradeAttribute2</v>
      </c>
      <c r="E5" s="28" t="str">
        <f>IFERROR(__xludf.DUMMYFUNCTION("""COMPUTED_VALUE"""),"TradeAttribute3")</f>
        <v>TradeAttribute3</v>
      </c>
      <c r="F5" s="29" t="str">
        <f>IFERROR(__xludf.DUMMYFUNCTION("""COMPUTED_VALUE"""),"TradeAttribute4")</f>
        <v>TradeAttribute4</v>
      </c>
      <c r="G5" s="28" t="str">
        <f>IFERROR(__xludf.DUMMYFUNCTION("""COMPUTED_VALUE"""),"TradeAttribute5")</f>
        <v>TradeAttribute5</v>
      </c>
      <c r="H5" s="28" t="str">
        <f>IFERROR(__xludf.DUMMYFUNCTION("""COMPUTED_VALUE"""),"TradeAttribute6")</f>
        <v>TradeAttribute6</v>
      </c>
      <c r="I5" s="28" t="str">
        <f>IFERROR(__xludf.DUMMYFUNCTION("""COMPUTED_VALUE"""),"Broker")</f>
        <v>Broker</v>
      </c>
      <c r="J5" s="28" t="str">
        <f>IFERROR(__xludf.DUMMYFUNCTION("""COMPUTED_VALUE"""),"Venue")</f>
        <v>Venue</v>
      </c>
      <c r="K5" s="28" t="str">
        <f>IFERROR(__xludf.DUMMYFUNCTION("""COMPUTED_VALUE"""),"TradingAC")</f>
        <v>TradingAC</v>
      </c>
      <c r="L5" s="28" t="str">
        <f>IFERROR(__xludf.DUMMYFUNCTION("""COMPUTED_VALUE"""),"TradeDate")</f>
        <v>TradeDate</v>
      </c>
      <c r="M5" s="28" t="str">
        <f>IFERROR(__xludf.DUMMYFUNCTION("""COMPUTED_VALUE"""),"ProcessDate")</f>
        <v>ProcessDate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b">
        <v>1</v>
      </c>
      <c r="C6" s="33"/>
      <c r="D6" s="31"/>
      <c r="E6" s="33"/>
      <c r="F6" s="33"/>
      <c r="G6" s="33"/>
      <c r="H6" s="33"/>
      <c r="I6" s="33"/>
      <c r="J6" s="33"/>
      <c r="K6" s="33"/>
      <c r="L6" s="34" t="b">
        <v>1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SetAutoGroupingPreferences!$4:$4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IFERROR(__xludf.DUMMYFUNCTION("""COMPUTED_VALUE"""),"FundName")</f>
        <v>FundName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17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SetAutoGroupingAccount!$4:$4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20</v>
      </c>
      <c r="C6" s="36" t="s">
        <v>21</v>
      </c>
      <c r="D6" s="37">
        <v>100.0</v>
      </c>
      <c r="E6" s="38">
        <v>10.0</v>
      </c>
      <c r="F6" s="36" t="s">
        <v>17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6" t="s">
        <v>20</v>
      </c>
      <c r="C7" s="36" t="s">
        <v>21</v>
      </c>
      <c r="D7" s="38">
        <v>200.0</v>
      </c>
      <c r="E7" s="38">
        <v>10.0</v>
      </c>
      <c r="F7" s="36" t="s">
        <v>17</v>
      </c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6" t="s">
        <v>20</v>
      </c>
      <c r="C8" s="36" t="s">
        <v>22</v>
      </c>
      <c r="D8" s="38">
        <v>100.0</v>
      </c>
      <c r="E8" s="38">
        <v>10.0</v>
      </c>
      <c r="F8" s="36" t="s">
        <v>17</v>
      </c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9" t="s">
        <v>23</v>
      </c>
      <c r="C9" s="36" t="s">
        <v>21</v>
      </c>
      <c r="D9" s="38">
        <v>100.0</v>
      </c>
      <c r="E9" s="33"/>
      <c r="F9" s="36" t="s">
        <v>17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9" t="s">
        <v>23</v>
      </c>
      <c r="C10" s="36" t="s">
        <v>21</v>
      </c>
      <c r="D10" s="38">
        <v>200.0</v>
      </c>
      <c r="E10" s="33"/>
      <c r="F10" s="36" t="s">
        <v>17</v>
      </c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9" t="s">
        <v>23</v>
      </c>
      <c r="C11" s="36" t="s">
        <v>22</v>
      </c>
      <c r="D11" s="38">
        <v>100.0</v>
      </c>
      <c r="E11" s="33"/>
      <c r="F11" s="36" t="s">
        <v>17</v>
      </c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40" t="s">
        <v>24</v>
      </c>
      <c r="C12" s="33" t="s">
        <v>21</v>
      </c>
      <c r="D12" s="38">
        <v>100.0</v>
      </c>
      <c r="E12" s="33"/>
      <c r="F12" s="33" t="s">
        <v>17</v>
      </c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40" t="s">
        <v>24</v>
      </c>
      <c r="C13" s="33" t="s">
        <v>21</v>
      </c>
      <c r="D13" s="41">
        <v>200.0</v>
      </c>
      <c r="E13" s="33"/>
      <c r="F13" s="33" t="s">
        <v>17</v>
      </c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40" t="s">
        <v>24</v>
      </c>
      <c r="C14" s="33" t="s">
        <v>22</v>
      </c>
      <c r="D14" s="41">
        <v>100.0</v>
      </c>
      <c r="E14" s="33"/>
      <c r="F14" s="33" t="s">
        <v>17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40" t="s">
        <v>25</v>
      </c>
      <c r="C15" s="33" t="s">
        <v>21</v>
      </c>
      <c r="D15" s="38">
        <v>100.0</v>
      </c>
      <c r="E15" s="33"/>
      <c r="F15" s="33" t="s">
        <v>17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33"/>
      <c r="B16" s="40" t="s">
        <v>25</v>
      </c>
      <c r="C16" s="33" t="s">
        <v>21</v>
      </c>
      <c r="D16" s="38">
        <v>200.0</v>
      </c>
      <c r="E16" s="33"/>
      <c r="F16" s="33" t="s">
        <v>17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</row>
    <row r="17" ht="15.75" customHeight="1">
      <c r="A17" s="33"/>
      <c r="B17" s="40" t="s">
        <v>25</v>
      </c>
      <c r="C17" s="33" t="s">
        <v>22</v>
      </c>
      <c r="D17" s="38">
        <v>100.0</v>
      </c>
      <c r="E17" s="33"/>
      <c r="F17" s="33" t="s">
        <v>17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27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20</v>
      </c>
      <c r="C6" s="36" t="s">
        <v>22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5" t="s">
        <v>21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EditUnallocatedGroupSidePanel!$4:$4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23</v>
      </c>
      <c r="C6" s="36" t="s">
        <v>22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5" t="s">
        <v>21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EditUnallocatedGroupSidePanel1!$4:$4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24</v>
      </c>
      <c r="C6" s="36" t="s">
        <v>22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SelectUnallocatedGroup2!$4:$4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21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EditUnallocatedGroupSidePanel2!$4:$4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25</v>
      </c>
      <c r="C6" s="33" t="s">
        <v>22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IFERROR(__xludf.DUMMYFUNCTION("""COMPUTED_VALUE"""),"ExecutedQty")</f>
        <v>ExecutedQty</v>
      </c>
      <c r="C5" s="28" t="str">
        <f>IFERROR(__xludf.DUMMYFUNCTION("""COMPUTED_VALUE"""),"AvgPrice")</f>
        <v>AvgPrice</v>
      </c>
      <c r="D5" s="28" t="str">
        <f>IFERROR(__xludf.DUMMYFUNCTION("""COMPUTED_VALUE"""),"Side")</f>
        <v>Side</v>
      </c>
      <c r="E5" s="28" t="str">
        <f>IFERROR(__xludf.DUMMYFUNCTION("""COMPUTED_VALUE"""),"TradeDate")</f>
        <v>TradeDate</v>
      </c>
      <c r="F5" s="29" t="str">
        <f>IFERROR(__xludf.DUMMYFUNCTION("""COMPUTED_VALUE"""),"ProcessDate")</f>
        <v>ProcessDate</v>
      </c>
      <c r="G5" s="28" t="str">
        <f>IFERROR(__xludf.DUMMYFUNCTION("""COMPUTED_VALUE"""),"OriginalPurchaseDate")</f>
        <v>OriginalPurchaseDate</v>
      </c>
      <c r="H5" s="28" t="str">
        <f>IFERROR(__xludf.DUMMYFUNCTION("""COMPUTED_VALUE"""),"SettlementDate")</f>
        <v>SettlementDate</v>
      </c>
      <c r="I5" s="28" t="str">
        <f>IFERROR(__xludf.DUMMYFUNCTION("""COMPUTED_VALUE"""),"Commission")</f>
        <v>Commission</v>
      </c>
      <c r="J5" s="28" t="str">
        <f>IFERROR(__xludf.DUMMYFUNCTION("""COMPUTED_VALUE"""),"SoftCommission")</f>
        <v>SoftCommission</v>
      </c>
      <c r="K5" s="28" t="str">
        <f>IFERROR(__xludf.DUMMYFUNCTION("""COMPUTED_VALUE"""),"OtherBrokerFees")</f>
        <v>OtherBrokerFees</v>
      </c>
      <c r="L5" s="28" t="str">
        <f>IFERROR(__xludf.DUMMYFUNCTION("""COMPUTED_VALUE"""),"ClearingBrokerFees")</f>
        <v>ClearingBrokerFees</v>
      </c>
      <c r="M5" s="28" t="str">
        <f>IFERROR(__xludf.DUMMYFUNCTION("""COMPUTED_VALUE"""),"StampDuty")</f>
        <v>StampDuty</v>
      </c>
      <c r="N5" s="28" t="str">
        <f>IFERROR(__xludf.DUMMYFUNCTION("""COMPUTED_VALUE"""),"TransactionLevy")</f>
        <v>TransactionLevy</v>
      </c>
      <c r="O5" s="28" t="str">
        <f>IFERROR(__xludf.DUMMYFUNCTION("""COMPUTED_VALUE"""),"AUECFee1")</f>
        <v>AUECFee1</v>
      </c>
      <c r="P5" s="28" t="str">
        <f>IFERROR(__xludf.DUMMYFUNCTION("""COMPUTED_VALUE"""),"TaxOnCommissions")</f>
        <v>TaxOnCommissions</v>
      </c>
      <c r="Q5" s="28" t="str">
        <f>IFERROR(__xludf.DUMMYFUNCTION("""COMPUTED_VALUE"""),"AUECFee2")</f>
        <v>AUECFee2</v>
      </c>
      <c r="R5" s="28" t="str">
        <f>IFERROR(__xludf.DUMMYFUNCTION("""COMPUTED_VALUE"""),"SecFee")</f>
        <v>SecFee</v>
      </c>
      <c r="S5" s="28" t="str">
        <f>IFERROR(__xludf.DUMMYFUNCTION("""COMPUTED_VALUE"""),"OccFee")</f>
        <v>OccFee</v>
      </c>
      <c r="T5" s="30" t="str">
        <f>IFERROR(__xludf.DUMMYFUNCTION("""COMPUTED_VALUE"""),"OrfFee")</f>
        <v>OrfFee</v>
      </c>
      <c r="U5" s="30" t="str">
        <f>IFERROR(__xludf.DUMMYFUNCTION("""COMPUTED_VALUE"""),"Broker")</f>
        <v>Broker</v>
      </c>
      <c r="V5" s="30" t="str">
        <f>IFERROR(__xludf.DUMMYFUNCTION("""COMPUTED_VALUE"""),"Venue")</f>
        <v>Venue</v>
      </c>
      <c r="W5" s="30" t="str">
        <f>IFERROR(__xludf.DUMMYFUNCTION("""COMPUTED_VALUE"""),"Description")</f>
        <v>Description</v>
      </c>
      <c r="X5" s="30" t="str">
        <f>IFERROR(__xludf.DUMMYFUNCTION("""COMPUTED_VALUE"""),"InternalComments")</f>
        <v>InternalComments</v>
      </c>
      <c r="Y5" s="30" t="str">
        <f>IFERROR(__xludf.DUMMYFUNCTION("""COMPUTED_VALUE"""),"FXRate")</f>
        <v>FXRate</v>
      </c>
      <c r="Z5" s="30" t="str">
        <f>IFERROR(__xludf.DUMMYFUNCTION("""COMPUTED_VALUE"""),"FxConvOperator")</f>
        <v>FxConvOperator</v>
      </c>
      <c r="AA5" s="30" t="str">
        <f>IFERROR(__xludf.DUMMYFUNCTION("""COMPUTED_VALUE"""),"AccruedInterest")</f>
        <v>AccruedInterest</v>
      </c>
      <c r="AB5" s="30" t="str">
        <f>IFERROR(__xludf.DUMMYFUNCTION("""COMPUTED_VALUE"""),"TradeAttribute1")</f>
        <v>TradeAttribute1</v>
      </c>
      <c r="AC5" s="30" t="str">
        <f>IFERROR(__xludf.DUMMYFUNCTION("""COMPUTED_VALUE"""),"TradeAttribute2")</f>
        <v>TradeAttribute2</v>
      </c>
      <c r="AD5" s="30" t="str">
        <f>IFERROR(__xludf.DUMMYFUNCTION("""COMPUTED_VALUE"""),"TradeAttribute3")</f>
        <v>TradeAttribute3</v>
      </c>
      <c r="AE5" s="30" t="str">
        <f>IFERROR(__xludf.DUMMYFUNCTION("""COMPUTED_VALUE"""),"TradeAttribute4")</f>
        <v>TradeAttribute4</v>
      </c>
      <c r="AF5" s="30" t="str">
        <f>IFERROR(__xludf.DUMMYFUNCTION("""COMPUTED_VALUE"""),"TradeAttribute5")</f>
        <v>TradeAttribute5</v>
      </c>
      <c r="AG5" s="30" t="str">
        <f>IFERROR(__xludf.DUMMYFUNCTION("""COMPUTED_VALUE"""),"TradeAttribute6")</f>
        <v>TradeAttribute6</v>
      </c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3"/>
      <c r="D6" s="31" t="s">
        <v>21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EditUnallocatedGroupSidePanel3!$4:$4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 t="str">
        <f>IFERROR(__xludf.DUMMYFUNCTION("""COMPUTED_VALUE"""),"MandatoryColumn")</f>
        <v>MandatoryColumn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1" t="s">
        <v>31</v>
      </c>
      <c r="B6" s="31" t="s">
        <v>31</v>
      </c>
      <c r="C6" s="33"/>
      <c r="D6" s="31"/>
      <c r="E6" s="33"/>
      <c r="F6" s="33" t="s">
        <v>32</v>
      </c>
      <c r="G6" s="33"/>
      <c r="H6" s="33"/>
      <c r="I6" s="42">
        <v>15.0</v>
      </c>
      <c r="J6" s="41">
        <v>0.0</v>
      </c>
      <c r="K6" s="41">
        <v>0.0</v>
      </c>
      <c r="L6" s="33"/>
      <c r="M6" s="33" t="s">
        <v>31</v>
      </c>
      <c r="N6" s="33" t="s">
        <v>33</v>
      </c>
      <c r="O6" s="33"/>
      <c r="P6" s="33"/>
      <c r="Q6" s="33"/>
      <c r="R6" s="33"/>
      <c r="S6" s="33"/>
      <c r="T6" s="33"/>
      <c r="U6" s="33"/>
      <c r="V6" s="33"/>
      <c r="W6" s="41">
        <v>1.0</v>
      </c>
      <c r="X6" s="33" t="s">
        <v>31</v>
      </c>
      <c r="Y6" s="33" t="s">
        <v>31</v>
      </c>
      <c r="Z6" s="33" t="s">
        <v>34</v>
      </c>
      <c r="AA6" s="33"/>
      <c r="AB6" s="41">
        <v>1.0</v>
      </c>
      <c r="AC6" s="33" t="s">
        <v>35</v>
      </c>
      <c r="AD6" s="33"/>
      <c r="AE6" s="41">
        <v>30.0</v>
      </c>
      <c r="AF6" s="33"/>
      <c r="AG6" s="33" t="s">
        <v>36</v>
      </c>
      <c r="AH6" s="41">
        <v>1.0</v>
      </c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42">
        <v>-6.0</v>
      </c>
      <c r="AU6" s="42">
        <v>-6.0</v>
      </c>
      <c r="AV6" s="33"/>
      <c r="AW6" s="33"/>
      <c r="AX6" s="33"/>
      <c r="AY6" s="33" t="s">
        <v>37</v>
      </c>
      <c r="AZ6" s="33"/>
      <c r="BA6" s="33"/>
      <c r="BB6" s="33"/>
      <c r="BC6" s="33"/>
      <c r="BD6" s="33"/>
      <c r="BE6" s="41">
        <v>0.0</v>
      </c>
      <c r="BF6" s="41">
        <v>0.0</v>
      </c>
      <c r="BG6" s="33"/>
      <c r="BH6" s="33"/>
      <c r="BI6" s="33"/>
      <c r="BJ6" s="41">
        <v>400.0</v>
      </c>
      <c r="BK6" s="33"/>
      <c r="BL6" s="33" t="s">
        <v>31</v>
      </c>
      <c r="BM6" s="33" t="s">
        <v>34</v>
      </c>
      <c r="BN6" s="33"/>
      <c r="BO6" s="33" t="s">
        <v>21</v>
      </c>
      <c r="BP6" s="33"/>
      <c r="BQ6" s="33"/>
      <c r="BR6" s="33"/>
      <c r="BS6" s="33" t="s">
        <v>20</v>
      </c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 t="s">
        <v>38</v>
      </c>
      <c r="CF6" s="33"/>
      <c r="CG6" s="33"/>
      <c r="CH6" s="33" t="s">
        <v>39</v>
      </c>
      <c r="CI6" s="41">
        <v>30.0</v>
      </c>
      <c r="CJ6" s="33" t="s">
        <v>40</v>
      </c>
      <c r="CK6" s="41">
        <v>1.0</v>
      </c>
      <c r="CL6" s="33"/>
      <c r="CM6" s="33" t="s">
        <v>41</v>
      </c>
      <c r="CN6" s="33" t="s">
        <v>42</v>
      </c>
      <c r="CO6" s="33"/>
      <c r="CP6" s="33"/>
      <c r="CQ6" s="33"/>
      <c r="CR6" s="33"/>
      <c r="CS6" s="33" t="s">
        <v>31</v>
      </c>
      <c r="CT6" s="33" t="s">
        <v>31</v>
      </c>
      <c r="CU6" s="33" t="s">
        <v>31</v>
      </c>
      <c r="CV6" s="33" t="s">
        <v>31</v>
      </c>
      <c r="CW6" s="33" t="s">
        <v>31</v>
      </c>
      <c r="CX6" s="33" t="s">
        <v>31</v>
      </c>
      <c r="CY6" s="33" t="s">
        <v>31</v>
      </c>
      <c r="CZ6" s="33" t="s">
        <v>31</v>
      </c>
      <c r="DA6" s="33" t="s">
        <v>31</v>
      </c>
      <c r="DB6" s="33" t="s">
        <v>31</v>
      </c>
      <c r="DC6" s="33" t="s">
        <v>31</v>
      </c>
      <c r="DD6" s="33" t="s">
        <v>31</v>
      </c>
      <c r="DE6" s="33" t="s">
        <v>31</v>
      </c>
      <c r="DF6" s="33" t="s">
        <v>31</v>
      </c>
      <c r="DG6" s="33" t="s">
        <v>31</v>
      </c>
      <c r="DH6" s="33" t="s">
        <v>31</v>
      </c>
      <c r="DI6" s="33" t="s">
        <v>31</v>
      </c>
      <c r="DJ6" s="33" t="s">
        <v>31</v>
      </c>
      <c r="DK6" s="33" t="s">
        <v>31</v>
      </c>
      <c r="DL6" s="33" t="s">
        <v>31</v>
      </c>
      <c r="DM6" s="33" t="s">
        <v>31</v>
      </c>
      <c r="DN6" s="33" t="s">
        <v>31</v>
      </c>
      <c r="DO6" s="33" t="s">
        <v>31</v>
      </c>
      <c r="DP6" s="33" t="s">
        <v>31</v>
      </c>
      <c r="DQ6" s="33" t="s">
        <v>31</v>
      </c>
      <c r="DR6" s="33" t="s">
        <v>31</v>
      </c>
      <c r="DS6" s="33" t="s">
        <v>31</v>
      </c>
      <c r="DT6" s="33" t="s">
        <v>31</v>
      </c>
      <c r="DU6" s="33" t="s">
        <v>31</v>
      </c>
      <c r="DV6" s="33" t="s">
        <v>31</v>
      </c>
      <c r="DW6" s="33" t="s">
        <v>31</v>
      </c>
      <c r="DX6" s="33" t="s">
        <v>31</v>
      </c>
      <c r="DY6" s="33" t="s">
        <v>31</v>
      </c>
      <c r="DZ6" s="33" t="s">
        <v>31</v>
      </c>
      <c r="EA6" s="33" t="s">
        <v>31</v>
      </c>
      <c r="EB6" s="33" t="s">
        <v>31</v>
      </c>
      <c r="EC6" s="33" t="s">
        <v>31</v>
      </c>
      <c r="ED6" s="33" t="s">
        <v>31</v>
      </c>
      <c r="EE6" s="33" t="s">
        <v>31</v>
      </c>
      <c r="EF6" s="33" t="s">
        <v>31</v>
      </c>
      <c r="EG6" s="33" t="s">
        <v>31</v>
      </c>
      <c r="EH6" s="33" t="s">
        <v>31</v>
      </c>
      <c r="EI6" s="33" t="s">
        <v>31</v>
      </c>
      <c r="EJ6" s="33" t="s">
        <v>31</v>
      </c>
      <c r="EK6" s="33" t="s">
        <v>31</v>
      </c>
      <c r="EL6" s="33" t="s">
        <v>31</v>
      </c>
      <c r="EM6" s="33" t="s">
        <v>31</v>
      </c>
      <c r="EN6" s="33" t="s">
        <v>31</v>
      </c>
      <c r="EO6" s="33" t="s">
        <v>31</v>
      </c>
      <c r="EP6" s="33" t="s">
        <v>31</v>
      </c>
      <c r="EQ6" s="33" t="s">
        <v>31</v>
      </c>
      <c r="ER6" s="33" t="s">
        <v>31</v>
      </c>
      <c r="ES6" s="33" t="s">
        <v>31</v>
      </c>
      <c r="ET6" s="33" t="s">
        <v>31</v>
      </c>
      <c r="EU6" s="33" t="s">
        <v>31</v>
      </c>
      <c r="EV6" s="33" t="s">
        <v>31</v>
      </c>
      <c r="EW6" s="33" t="s">
        <v>31</v>
      </c>
      <c r="EX6" s="33" t="s">
        <v>31</v>
      </c>
      <c r="EY6" s="33" t="s">
        <v>31</v>
      </c>
      <c r="EZ6" s="33" t="s">
        <v>31</v>
      </c>
      <c r="FA6" s="33" t="s">
        <v>31</v>
      </c>
      <c r="FB6" s="33" t="s">
        <v>31</v>
      </c>
      <c r="FC6" s="33" t="s">
        <v>31</v>
      </c>
      <c r="FD6" s="33" t="s">
        <v>31</v>
      </c>
      <c r="FE6" s="33" t="s">
        <v>31</v>
      </c>
      <c r="FF6" s="33" t="s">
        <v>31</v>
      </c>
      <c r="FG6" s="33" t="s">
        <v>31</v>
      </c>
      <c r="FH6" s="33" t="s">
        <v>31</v>
      </c>
      <c r="FI6" s="33" t="s">
        <v>31</v>
      </c>
      <c r="FJ6" s="33" t="s">
        <v>31</v>
      </c>
      <c r="FK6" s="33" t="s">
        <v>31</v>
      </c>
      <c r="FL6" s="33" t="s">
        <v>31</v>
      </c>
      <c r="FM6" s="33" t="s">
        <v>31</v>
      </c>
      <c r="FN6" s="33" t="s">
        <v>31</v>
      </c>
      <c r="FO6" s="33" t="s">
        <v>31</v>
      </c>
      <c r="FP6" s="33" t="s">
        <v>31</v>
      </c>
      <c r="FQ6" s="33" t="s">
        <v>31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4"/>
      <c r="LP6" s="43"/>
      <c r="LQ6" s="44"/>
      <c r="LR6" s="44"/>
      <c r="LS6" s="44"/>
      <c r="LT6" s="44"/>
      <c r="LU6" s="44"/>
      <c r="LV6" s="44"/>
      <c r="LW6" s="44"/>
      <c r="LX6" s="44"/>
      <c r="LY6" s="44"/>
      <c r="LZ6" s="44"/>
      <c r="MA6" s="44"/>
      <c r="MB6" s="44"/>
      <c r="MC6" s="44"/>
      <c r="MD6" s="44"/>
      <c r="ME6" s="44"/>
      <c r="MF6" s="44"/>
      <c r="MG6" s="44"/>
      <c r="MH6" s="44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4"/>
      <c r="RX6" s="43"/>
      <c r="RY6" s="44"/>
      <c r="RZ6" s="44"/>
      <c r="SA6" s="44"/>
      <c r="SB6" s="44"/>
      <c r="SC6" s="44"/>
      <c r="SD6" s="44"/>
      <c r="SE6" s="44"/>
      <c r="SF6" s="44"/>
      <c r="SG6" s="44"/>
      <c r="SH6" s="44"/>
      <c r="SI6" s="44"/>
      <c r="SJ6" s="44"/>
      <c r="SK6" s="44"/>
      <c r="SL6" s="44"/>
      <c r="SM6" s="44"/>
      <c r="SN6" s="44"/>
      <c r="SO6" s="44"/>
      <c r="SP6" s="44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4"/>
      <c r="YF6" s="43"/>
      <c r="YG6" s="44"/>
      <c r="YH6" s="44"/>
      <c r="YI6" s="44"/>
      <c r="YJ6" s="44"/>
      <c r="YK6" s="44"/>
      <c r="YL6" s="44"/>
      <c r="YM6" s="44"/>
      <c r="YN6" s="44"/>
      <c r="YO6" s="44"/>
      <c r="YP6" s="44"/>
      <c r="YQ6" s="44"/>
      <c r="YR6" s="44"/>
      <c r="YS6" s="44"/>
      <c r="YT6" s="44"/>
      <c r="YU6" s="44"/>
      <c r="YV6" s="44"/>
      <c r="YW6" s="44"/>
      <c r="YX6" s="44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4"/>
      <c r="AEN6" s="43"/>
      <c r="AEO6" s="44"/>
      <c r="AEP6" s="44"/>
      <c r="AEQ6" s="44"/>
      <c r="AER6" s="44"/>
      <c r="AES6" s="44"/>
      <c r="AET6" s="44"/>
      <c r="AEU6" s="44"/>
      <c r="AEV6" s="44"/>
      <c r="AEW6" s="44"/>
      <c r="AEX6" s="44"/>
      <c r="AEY6" s="44"/>
      <c r="AEZ6" s="44"/>
      <c r="AFA6" s="44"/>
      <c r="AFB6" s="44"/>
      <c r="AFC6" s="44"/>
      <c r="AFD6" s="44"/>
      <c r="AFE6" s="44"/>
      <c r="AFF6" s="44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4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</row>
    <row r="7" ht="15.75" customHeight="1">
      <c r="A7" s="33" t="s">
        <v>31</v>
      </c>
      <c r="B7" s="33" t="s">
        <v>31</v>
      </c>
      <c r="C7" s="33"/>
      <c r="D7" s="33"/>
      <c r="E7" s="33"/>
      <c r="F7" s="36" t="s">
        <v>32</v>
      </c>
      <c r="G7" s="33"/>
      <c r="H7" s="33"/>
      <c r="I7" s="42">
        <v>1.0</v>
      </c>
      <c r="J7" s="38">
        <v>0.0</v>
      </c>
      <c r="K7" s="38">
        <v>0.0</v>
      </c>
      <c r="L7" s="33"/>
      <c r="M7" s="33" t="s">
        <v>31</v>
      </c>
      <c r="N7" s="36" t="s">
        <v>33</v>
      </c>
      <c r="O7" s="33"/>
      <c r="P7" s="33"/>
      <c r="Q7" s="33"/>
      <c r="R7" s="33"/>
      <c r="S7" s="33"/>
      <c r="T7" s="33"/>
      <c r="U7" s="33"/>
      <c r="V7" s="36"/>
      <c r="W7" s="38">
        <v>1.0</v>
      </c>
      <c r="X7" s="33" t="s">
        <v>31</v>
      </c>
      <c r="Y7" s="33" t="s">
        <v>31</v>
      </c>
      <c r="Z7" s="36" t="s">
        <v>34</v>
      </c>
      <c r="AA7" s="33"/>
      <c r="AB7" s="38">
        <v>1.0</v>
      </c>
      <c r="AC7" s="36" t="s">
        <v>35</v>
      </c>
      <c r="AD7" s="36"/>
      <c r="AE7" s="38">
        <v>400.0</v>
      </c>
      <c r="AF7" s="33"/>
      <c r="AG7" s="36" t="s">
        <v>36</v>
      </c>
      <c r="AH7" s="38">
        <v>1.0</v>
      </c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42">
        <v>-42.0</v>
      </c>
      <c r="AU7" s="42">
        <v>-42.0</v>
      </c>
      <c r="AV7" s="33"/>
      <c r="AW7" s="33"/>
      <c r="AX7" s="33"/>
      <c r="AY7" s="36" t="s">
        <v>37</v>
      </c>
      <c r="AZ7" s="33"/>
      <c r="BA7" s="33"/>
      <c r="BB7" s="33"/>
      <c r="BC7" s="33"/>
      <c r="BD7" s="33"/>
      <c r="BE7" s="38">
        <v>0.0</v>
      </c>
      <c r="BF7" s="38">
        <v>0.0</v>
      </c>
      <c r="BG7" s="33"/>
      <c r="BH7" s="33"/>
      <c r="BI7" s="33"/>
      <c r="BJ7" s="38">
        <v>400.0</v>
      </c>
      <c r="BK7" s="33"/>
      <c r="BL7" s="33" t="s">
        <v>31</v>
      </c>
      <c r="BM7" s="36" t="s">
        <v>34</v>
      </c>
      <c r="BN7" s="33"/>
      <c r="BO7" s="36" t="s">
        <v>21</v>
      </c>
      <c r="BP7" s="33"/>
      <c r="BQ7" s="33"/>
      <c r="BR7" s="33"/>
      <c r="BS7" s="39" t="s">
        <v>23</v>
      </c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6" t="s">
        <v>38</v>
      </c>
      <c r="CF7" s="33"/>
      <c r="CG7" s="33"/>
      <c r="CH7" s="36" t="s">
        <v>39</v>
      </c>
      <c r="CI7" s="38">
        <v>400.0</v>
      </c>
      <c r="CJ7" s="36" t="s">
        <v>40</v>
      </c>
      <c r="CK7" s="38">
        <v>1.0</v>
      </c>
      <c r="CL7" s="33"/>
      <c r="CM7" s="36" t="s">
        <v>41</v>
      </c>
      <c r="CN7" s="36" t="s">
        <v>42</v>
      </c>
      <c r="CO7" s="33"/>
      <c r="CP7" s="33"/>
      <c r="CQ7" s="33"/>
      <c r="CR7" s="33"/>
      <c r="CS7" s="33" t="s">
        <v>31</v>
      </c>
      <c r="CT7" s="33" t="s">
        <v>31</v>
      </c>
      <c r="CU7" s="33" t="s">
        <v>31</v>
      </c>
      <c r="CV7" s="33" t="s">
        <v>31</v>
      </c>
      <c r="CW7" s="33" t="s">
        <v>31</v>
      </c>
      <c r="CX7" s="33" t="s">
        <v>31</v>
      </c>
      <c r="CY7" s="33" t="s">
        <v>31</v>
      </c>
      <c r="CZ7" s="33" t="s">
        <v>31</v>
      </c>
      <c r="DA7" s="33" t="s">
        <v>31</v>
      </c>
      <c r="DB7" s="33" t="s">
        <v>31</v>
      </c>
      <c r="DC7" s="33" t="s">
        <v>31</v>
      </c>
      <c r="DD7" s="33" t="s">
        <v>31</v>
      </c>
      <c r="DE7" s="33" t="s">
        <v>31</v>
      </c>
      <c r="DF7" s="33" t="s">
        <v>31</v>
      </c>
      <c r="DG7" s="33" t="s">
        <v>31</v>
      </c>
      <c r="DH7" s="33" t="s">
        <v>31</v>
      </c>
      <c r="DI7" s="33" t="s">
        <v>31</v>
      </c>
      <c r="DJ7" s="33" t="s">
        <v>31</v>
      </c>
      <c r="DK7" s="33" t="s">
        <v>31</v>
      </c>
      <c r="DL7" s="33" t="s">
        <v>31</v>
      </c>
      <c r="DM7" s="33" t="s">
        <v>31</v>
      </c>
      <c r="DN7" s="33" t="s">
        <v>31</v>
      </c>
      <c r="DO7" s="33" t="s">
        <v>31</v>
      </c>
      <c r="DP7" s="33" t="s">
        <v>31</v>
      </c>
      <c r="DQ7" s="33" t="s">
        <v>31</v>
      </c>
      <c r="DR7" s="33" t="s">
        <v>31</v>
      </c>
      <c r="DS7" s="33" t="s">
        <v>31</v>
      </c>
      <c r="DT7" s="33" t="s">
        <v>31</v>
      </c>
      <c r="DU7" s="33" t="s">
        <v>31</v>
      </c>
      <c r="DV7" s="33" t="s">
        <v>31</v>
      </c>
      <c r="DW7" s="33" t="s">
        <v>31</v>
      </c>
      <c r="DX7" s="33" t="s">
        <v>31</v>
      </c>
      <c r="DY7" s="33" t="s">
        <v>31</v>
      </c>
      <c r="DZ7" s="33" t="s">
        <v>31</v>
      </c>
      <c r="EA7" s="33" t="s">
        <v>31</v>
      </c>
      <c r="EB7" s="33" t="s">
        <v>31</v>
      </c>
      <c r="EC7" s="33" t="s">
        <v>31</v>
      </c>
      <c r="ED7" s="33" t="s">
        <v>31</v>
      </c>
      <c r="EE7" s="33" t="s">
        <v>31</v>
      </c>
      <c r="EF7" s="33" t="s">
        <v>31</v>
      </c>
      <c r="EG7" s="33" t="s">
        <v>31</v>
      </c>
      <c r="EH7" s="33" t="s">
        <v>31</v>
      </c>
      <c r="EI7" s="33" t="s">
        <v>31</v>
      </c>
      <c r="EJ7" s="33" t="s">
        <v>31</v>
      </c>
      <c r="EK7" s="33" t="s">
        <v>31</v>
      </c>
      <c r="EL7" s="33" t="s">
        <v>31</v>
      </c>
      <c r="EM7" s="33" t="s">
        <v>31</v>
      </c>
      <c r="EN7" s="33" t="s">
        <v>31</v>
      </c>
      <c r="EO7" s="33" t="s">
        <v>31</v>
      </c>
      <c r="EP7" s="33" t="s">
        <v>31</v>
      </c>
      <c r="EQ7" s="33" t="s">
        <v>31</v>
      </c>
      <c r="ER7" s="33" t="s">
        <v>31</v>
      </c>
      <c r="ES7" s="33" t="s">
        <v>31</v>
      </c>
      <c r="ET7" s="33" t="s">
        <v>31</v>
      </c>
      <c r="EU7" s="33" t="s">
        <v>31</v>
      </c>
      <c r="EV7" s="33" t="s">
        <v>31</v>
      </c>
      <c r="EW7" s="33" t="s">
        <v>31</v>
      </c>
      <c r="EX7" s="33" t="s">
        <v>31</v>
      </c>
      <c r="EY7" s="33" t="s">
        <v>31</v>
      </c>
      <c r="EZ7" s="33" t="s">
        <v>31</v>
      </c>
      <c r="FA7" s="33" t="s">
        <v>31</v>
      </c>
      <c r="FB7" s="33" t="s">
        <v>31</v>
      </c>
      <c r="FC7" s="33" t="s">
        <v>31</v>
      </c>
      <c r="FD7" s="33" t="s">
        <v>31</v>
      </c>
      <c r="FE7" s="33" t="s">
        <v>31</v>
      </c>
      <c r="FF7" s="33" t="s">
        <v>31</v>
      </c>
      <c r="FG7" s="33" t="s">
        <v>31</v>
      </c>
      <c r="FH7" s="33" t="s">
        <v>31</v>
      </c>
      <c r="FI7" s="33" t="s">
        <v>31</v>
      </c>
      <c r="FJ7" s="33" t="s">
        <v>31</v>
      </c>
      <c r="FK7" s="33" t="s">
        <v>31</v>
      </c>
      <c r="FL7" s="33" t="s">
        <v>31</v>
      </c>
      <c r="FM7" s="33" t="s">
        <v>31</v>
      </c>
      <c r="FN7" s="33" t="s">
        <v>31</v>
      </c>
      <c r="FO7" s="33" t="s">
        <v>31</v>
      </c>
      <c r="FP7" s="33" t="s">
        <v>31</v>
      </c>
      <c r="FQ7" s="33" t="s">
        <v>31</v>
      </c>
      <c r="FR7" s="43"/>
      <c r="FS7" s="43"/>
      <c r="FT7" s="43"/>
      <c r="FU7" s="43"/>
      <c r="FV7" s="43"/>
      <c r="FW7" s="43"/>
      <c r="FX7" s="43"/>
      <c r="FY7" s="43"/>
      <c r="FZ7" s="43"/>
      <c r="GA7" s="43"/>
      <c r="GB7" s="43"/>
      <c r="GC7" s="43"/>
      <c r="GD7" s="43"/>
      <c r="GE7" s="43"/>
      <c r="GF7" s="43"/>
      <c r="GG7" s="43"/>
      <c r="GH7" s="43"/>
      <c r="GI7" s="43"/>
      <c r="GJ7" s="43"/>
      <c r="GK7" s="43"/>
      <c r="GL7" s="43"/>
      <c r="GM7" s="43"/>
      <c r="GN7" s="43"/>
      <c r="GO7" s="43"/>
      <c r="GP7" s="43"/>
      <c r="GQ7" s="43"/>
      <c r="GR7" s="43"/>
      <c r="GS7" s="43"/>
      <c r="GT7" s="43"/>
      <c r="GU7" s="43"/>
      <c r="GV7" s="43"/>
      <c r="GW7" s="43"/>
      <c r="GX7" s="43"/>
      <c r="GY7" s="43"/>
      <c r="GZ7" s="43"/>
      <c r="HA7" s="43"/>
      <c r="HB7" s="43"/>
      <c r="HC7" s="43"/>
      <c r="HD7" s="43"/>
      <c r="HE7" s="43"/>
      <c r="HF7" s="43"/>
      <c r="HG7" s="43"/>
      <c r="HH7" s="43"/>
      <c r="HI7" s="43"/>
      <c r="HJ7" s="43"/>
      <c r="HK7" s="43"/>
      <c r="HL7" s="43"/>
      <c r="HM7" s="43"/>
      <c r="HN7" s="43"/>
      <c r="HO7" s="43"/>
      <c r="HP7" s="43"/>
      <c r="HQ7" s="43"/>
      <c r="HR7" s="43"/>
      <c r="HS7" s="43"/>
      <c r="HT7" s="43"/>
      <c r="HU7" s="43"/>
      <c r="HV7" s="43"/>
      <c r="HW7" s="43"/>
      <c r="HX7" s="43"/>
      <c r="HY7" s="43"/>
      <c r="HZ7" s="43"/>
      <c r="IA7" s="43"/>
      <c r="IB7" s="43"/>
      <c r="IC7" s="43"/>
      <c r="ID7" s="43"/>
      <c r="IE7" s="43"/>
      <c r="IF7" s="43"/>
      <c r="IG7" s="43"/>
      <c r="IH7" s="43"/>
      <c r="II7" s="43"/>
      <c r="IJ7" s="43"/>
      <c r="IK7" s="43"/>
      <c r="IL7" s="43"/>
      <c r="IM7" s="43"/>
      <c r="IN7" s="43"/>
      <c r="IO7" s="43"/>
      <c r="IP7" s="43"/>
      <c r="IQ7" s="43"/>
      <c r="IR7" s="43"/>
      <c r="IS7" s="43"/>
      <c r="IT7" s="43"/>
      <c r="IU7" s="43"/>
      <c r="IV7" s="43"/>
      <c r="IW7" s="43"/>
      <c r="IX7" s="43"/>
      <c r="IY7" s="43"/>
      <c r="IZ7" s="43"/>
      <c r="JA7" s="43"/>
      <c r="JB7" s="43"/>
      <c r="JC7" s="43"/>
      <c r="JD7" s="43"/>
      <c r="JE7" s="43"/>
      <c r="JF7" s="43"/>
      <c r="JG7" s="43"/>
      <c r="JH7" s="43"/>
      <c r="JI7" s="43"/>
      <c r="JJ7" s="43"/>
      <c r="JK7" s="43"/>
      <c r="JL7" s="43"/>
      <c r="JM7" s="43"/>
      <c r="JN7" s="43"/>
      <c r="JO7" s="43"/>
      <c r="JP7" s="43"/>
      <c r="JQ7" s="43"/>
      <c r="JR7" s="43"/>
      <c r="JS7" s="43"/>
      <c r="JT7" s="43"/>
      <c r="JU7" s="43"/>
      <c r="JV7" s="43"/>
      <c r="JW7" s="43"/>
      <c r="JX7" s="43"/>
      <c r="JY7" s="43"/>
      <c r="JZ7" s="43"/>
      <c r="KA7" s="43"/>
      <c r="KB7" s="43"/>
      <c r="KC7" s="43"/>
      <c r="KD7" s="43"/>
      <c r="KE7" s="43"/>
      <c r="KF7" s="43"/>
      <c r="KG7" s="43"/>
      <c r="KH7" s="43"/>
      <c r="KI7" s="43"/>
      <c r="KJ7" s="43"/>
      <c r="KK7" s="43"/>
      <c r="KL7" s="43"/>
      <c r="KM7" s="43"/>
      <c r="KN7" s="43"/>
      <c r="KO7" s="43"/>
      <c r="KP7" s="43"/>
      <c r="KQ7" s="43"/>
      <c r="KR7" s="43"/>
      <c r="KS7" s="43"/>
      <c r="KT7" s="43"/>
      <c r="KU7" s="43"/>
      <c r="KV7" s="43"/>
      <c r="KW7" s="43"/>
      <c r="KX7" s="43"/>
      <c r="KY7" s="43"/>
      <c r="KZ7" s="43"/>
      <c r="LA7" s="43"/>
      <c r="LB7" s="43"/>
      <c r="LC7" s="43"/>
      <c r="LD7" s="43"/>
      <c r="LE7" s="43"/>
      <c r="LF7" s="43"/>
      <c r="LG7" s="43"/>
      <c r="LH7" s="43"/>
      <c r="LI7" s="43"/>
      <c r="LJ7" s="43"/>
      <c r="LK7" s="43"/>
      <c r="LL7" s="43"/>
      <c r="LM7" s="43"/>
      <c r="LN7" s="43"/>
      <c r="LO7" s="44"/>
      <c r="LP7" s="43"/>
      <c r="LQ7" s="44"/>
      <c r="LR7" s="44"/>
      <c r="LS7" s="44"/>
      <c r="LT7" s="44"/>
      <c r="LU7" s="44"/>
      <c r="LV7" s="44"/>
      <c r="LW7" s="44"/>
      <c r="LX7" s="44"/>
      <c r="LY7" s="44"/>
      <c r="LZ7" s="44"/>
      <c r="MA7" s="44"/>
      <c r="MB7" s="44"/>
      <c r="MC7" s="44"/>
      <c r="MD7" s="44"/>
      <c r="ME7" s="44"/>
      <c r="MF7" s="44"/>
      <c r="MG7" s="44"/>
      <c r="MH7" s="44"/>
      <c r="MI7" s="43"/>
      <c r="MJ7" s="43"/>
      <c r="MK7" s="43"/>
      <c r="ML7" s="43"/>
      <c r="MM7" s="43"/>
      <c r="MN7" s="43"/>
      <c r="MO7" s="43"/>
      <c r="MP7" s="43"/>
      <c r="MQ7" s="43"/>
      <c r="MR7" s="43"/>
      <c r="MS7" s="43"/>
      <c r="MT7" s="43"/>
      <c r="MU7" s="43"/>
      <c r="MV7" s="43"/>
      <c r="MW7" s="43"/>
      <c r="MX7" s="43"/>
      <c r="MY7" s="43"/>
      <c r="MZ7" s="43"/>
      <c r="NA7" s="43"/>
      <c r="NB7" s="43"/>
      <c r="NC7" s="43"/>
      <c r="ND7" s="43"/>
      <c r="NE7" s="43"/>
      <c r="NF7" s="43"/>
      <c r="NG7" s="43"/>
      <c r="NH7" s="43"/>
      <c r="NI7" s="43"/>
      <c r="NJ7" s="43"/>
      <c r="NK7" s="43"/>
      <c r="NL7" s="43"/>
      <c r="NM7" s="43"/>
      <c r="NN7" s="43"/>
      <c r="NO7" s="43"/>
      <c r="NP7" s="43"/>
      <c r="NQ7" s="43"/>
      <c r="NR7" s="43"/>
      <c r="NS7" s="43"/>
      <c r="NT7" s="43"/>
      <c r="NU7" s="43"/>
      <c r="NV7" s="43"/>
      <c r="NW7" s="43"/>
      <c r="NX7" s="43"/>
      <c r="NY7" s="43"/>
      <c r="NZ7" s="43"/>
      <c r="OA7" s="43"/>
      <c r="OB7" s="43"/>
      <c r="OC7" s="43"/>
      <c r="OD7" s="43"/>
      <c r="OE7" s="43"/>
      <c r="OF7" s="43"/>
      <c r="OG7" s="43"/>
      <c r="OH7" s="43"/>
      <c r="OI7" s="43"/>
      <c r="OJ7" s="43"/>
      <c r="OK7" s="43"/>
      <c r="OL7" s="43"/>
      <c r="OM7" s="43"/>
      <c r="ON7" s="43"/>
      <c r="OO7" s="43"/>
      <c r="OP7" s="43"/>
      <c r="OQ7" s="43"/>
      <c r="OR7" s="43"/>
      <c r="OS7" s="43"/>
      <c r="OT7" s="43"/>
      <c r="OU7" s="43"/>
      <c r="OV7" s="43"/>
      <c r="OW7" s="43"/>
      <c r="OX7" s="43"/>
      <c r="OY7" s="43"/>
      <c r="OZ7" s="43"/>
      <c r="PA7" s="43"/>
      <c r="PB7" s="43"/>
      <c r="PC7" s="43"/>
      <c r="PD7" s="43"/>
      <c r="PE7" s="43"/>
      <c r="PF7" s="43"/>
      <c r="PG7" s="43"/>
      <c r="PH7" s="43"/>
      <c r="PI7" s="43"/>
      <c r="PJ7" s="43"/>
      <c r="PK7" s="43"/>
      <c r="PL7" s="43"/>
      <c r="PM7" s="43"/>
      <c r="PN7" s="43"/>
      <c r="PO7" s="43"/>
      <c r="PP7" s="43"/>
      <c r="PQ7" s="43"/>
      <c r="PR7" s="43"/>
      <c r="PS7" s="43"/>
      <c r="PT7" s="43"/>
      <c r="PU7" s="43"/>
      <c r="PV7" s="43"/>
      <c r="PW7" s="43"/>
      <c r="PX7" s="43"/>
      <c r="PY7" s="43"/>
      <c r="PZ7" s="43"/>
      <c r="QA7" s="43"/>
      <c r="QB7" s="43"/>
      <c r="QC7" s="43"/>
      <c r="QD7" s="43"/>
      <c r="QE7" s="43"/>
      <c r="QF7" s="43"/>
      <c r="QG7" s="43"/>
      <c r="QH7" s="43"/>
      <c r="QI7" s="43"/>
      <c r="QJ7" s="43"/>
      <c r="QK7" s="43"/>
      <c r="QL7" s="43"/>
      <c r="QM7" s="43"/>
      <c r="QN7" s="43"/>
      <c r="QO7" s="43"/>
      <c r="QP7" s="43"/>
      <c r="QQ7" s="43"/>
      <c r="QR7" s="43"/>
      <c r="QS7" s="43"/>
      <c r="QT7" s="43"/>
      <c r="QU7" s="43"/>
      <c r="QV7" s="43"/>
      <c r="QW7" s="43"/>
      <c r="QX7" s="43"/>
      <c r="QY7" s="43"/>
      <c r="QZ7" s="43"/>
      <c r="RA7" s="43"/>
      <c r="RB7" s="43"/>
      <c r="RC7" s="43"/>
      <c r="RD7" s="43"/>
      <c r="RE7" s="43"/>
      <c r="RF7" s="43"/>
      <c r="RG7" s="43"/>
      <c r="RH7" s="43"/>
      <c r="RI7" s="43"/>
      <c r="RJ7" s="43"/>
      <c r="RK7" s="43"/>
      <c r="RL7" s="43"/>
      <c r="RM7" s="43"/>
      <c r="RN7" s="43"/>
      <c r="RO7" s="43"/>
      <c r="RP7" s="43"/>
      <c r="RQ7" s="43"/>
      <c r="RR7" s="43"/>
      <c r="RS7" s="43"/>
      <c r="RT7" s="43"/>
      <c r="RU7" s="43"/>
      <c r="RV7" s="43"/>
      <c r="RW7" s="44"/>
      <c r="RX7" s="43"/>
      <c r="RY7" s="44"/>
      <c r="RZ7" s="44"/>
      <c r="SA7" s="44"/>
      <c r="SB7" s="44"/>
      <c r="SC7" s="44"/>
      <c r="SD7" s="44"/>
      <c r="SE7" s="44"/>
      <c r="SF7" s="44"/>
      <c r="SG7" s="44"/>
      <c r="SH7" s="44"/>
      <c r="SI7" s="44"/>
      <c r="SJ7" s="44"/>
      <c r="SK7" s="44"/>
      <c r="SL7" s="44"/>
      <c r="SM7" s="44"/>
      <c r="SN7" s="44"/>
      <c r="SO7" s="44"/>
      <c r="SP7" s="44"/>
      <c r="SQ7" s="43"/>
      <c r="SR7" s="43"/>
      <c r="SS7" s="43"/>
      <c r="ST7" s="43"/>
      <c r="SU7" s="43"/>
      <c r="SV7" s="43"/>
      <c r="SW7" s="43"/>
      <c r="SX7" s="43"/>
      <c r="SY7" s="43"/>
      <c r="SZ7" s="43"/>
      <c r="TA7" s="43"/>
      <c r="TB7" s="43"/>
      <c r="TC7" s="43"/>
      <c r="TD7" s="43"/>
      <c r="TE7" s="43"/>
      <c r="TF7" s="43"/>
      <c r="TG7" s="43"/>
      <c r="TH7" s="43"/>
      <c r="TI7" s="43"/>
      <c r="TJ7" s="43"/>
      <c r="TK7" s="43"/>
      <c r="TL7" s="43"/>
      <c r="TM7" s="43"/>
      <c r="TN7" s="43"/>
      <c r="TO7" s="43"/>
      <c r="TP7" s="43"/>
      <c r="TQ7" s="43"/>
      <c r="TR7" s="43"/>
      <c r="TS7" s="43"/>
      <c r="TT7" s="43"/>
      <c r="TU7" s="43"/>
      <c r="TV7" s="43"/>
      <c r="TW7" s="43"/>
      <c r="TX7" s="43"/>
      <c r="TY7" s="43"/>
      <c r="TZ7" s="43"/>
      <c r="UA7" s="43"/>
      <c r="UB7" s="43"/>
      <c r="UC7" s="43"/>
      <c r="UD7" s="43"/>
      <c r="UE7" s="43"/>
      <c r="UF7" s="43"/>
      <c r="UG7" s="43"/>
      <c r="UH7" s="43"/>
      <c r="UI7" s="43"/>
      <c r="UJ7" s="43"/>
      <c r="UK7" s="43"/>
      <c r="UL7" s="43"/>
      <c r="UM7" s="43"/>
      <c r="UN7" s="43"/>
      <c r="UO7" s="43"/>
      <c r="UP7" s="43"/>
      <c r="UQ7" s="43"/>
      <c r="UR7" s="43"/>
      <c r="US7" s="43"/>
      <c r="UT7" s="43"/>
      <c r="UU7" s="43"/>
      <c r="UV7" s="43"/>
      <c r="UW7" s="43"/>
      <c r="UX7" s="43"/>
      <c r="UY7" s="43"/>
      <c r="UZ7" s="43"/>
      <c r="VA7" s="43"/>
      <c r="VB7" s="43"/>
      <c r="VC7" s="43"/>
      <c r="VD7" s="43"/>
      <c r="VE7" s="43"/>
      <c r="VF7" s="43"/>
      <c r="VG7" s="43"/>
      <c r="VH7" s="43"/>
      <c r="VI7" s="43"/>
      <c r="VJ7" s="43"/>
      <c r="VK7" s="43"/>
      <c r="VL7" s="43"/>
      <c r="VM7" s="43"/>
      <c r="VN7" s="43"/>
      <c r="VO7" s="43"/>
      <c r="VP7" s="43"/>
      <c r="VQ7" s="43"/>
      <c r="VR7" s="43"/>
      <c r="VS7" s="43"/>
      <c r="VT7" s="43"/>
      <c r="VU7" s="43"/>
      <c r="VV7" s="43"/>
      <c r="VW7" s="43"/>
      <c r="VX7" s="43"/>
      <c r="VY7" s="43"/>
      <c r="VZ7" s="43"/>
      <c r="WA7" s="43"/>
      <c r="WB7" s="43"/>
      <c r="WC7" s="43"/>
      <c r="WD7" s="43"/>
      <c r="WE7" s="43"/>
      <c r="WF7" s="43"/>
      <c r="WG7" s="43"/>
      <c r="WH7" s="43"/>
      <c r="WI7" s="43"/>
      <c r="WJ7" s="43"/>
      <c r="WK7" s="43"/>
      <c r="WL7" s="43"/>
      <c r="WM7" s="43"/>
      <c r="WN7" s="43"/>
      <c r="WO7" s="43"/>
      <c r="WP7" s="43"/>
      <c r="WQ7" s="43"/>
      <c r="WR7" s="43"/>
      <c r="WS7" s="43"/>
      <c r="WT7" s="43"/>
      <c r="WU7" s="43"/>
      <c r="WV7" s="43"/>
      <c r="WW7" s="43"/>
      <c r="WX7" s="43"/>
      <c r="WY7" s="43"/>
      <c r="WZ7" s="43"/>
      <c r="XA7" s="43"/>
      <c r="XB7" s="43"/>
      <c r="XC7" s="43"/>
      <c r="XD7" s="43"/>
      <c r="XE7" s="43"/>
      <c r="XF7" s="43"/>
      <c r="XG7" s="43"/>
      <c r="XH7" s="43"/>
      <c r="XI7" s="43"/>
      <c r="XJ7" s="43"/>
      <c r="XK7" s="43"/>
      <c r="XL7" s="43"/>
      <c r="XM7" s="43"/>
      <c r="XN7" s="43"/>
      <c r="XO7" s="43"/>
      <c r="XP7" s="43"/>
      <c r="XQ7" s="43"/>
      <c r="XR7" s="43"/>
      <c r="XS7" s="43"/>
      <c r="XT7" s="43"/>
      <c r="XU7" s="43"/>
      <c r="XV7" s="43"/>
      <c r="XW7" s="43"/>
      <c r="XX7" s="43"/>
      <c r="XY7" s="43"/>
      <c r="XZ7" s="43"/>
      <c r="YA7" s="43"/>
      <c r="YB7" s="43"/>
      <c r="YC7" s="43"/>
      <c r="YD7" s="43"/>
      <c r="YE7" s="44"/>
      <c r="YF7" s="43"/>
      <c r="YG7" s="44"/>
      <c r="YH7" s="44"/>
      <c r="YI7" s="44"/>
      <c r="YJ7" s="44"/>
      <c r="YK7" s="44"/>
      <c r="YL7" s="44"/>
      <c r="YM7" s="44"/>
      <c r="YN7" s="44"/>
      <c r="YO7" s="44"/>
      <c r="YP7" s="44"/>
      <c r="YQ7" s="44"/>
      <c r="YR7" s="44"/>
      <c r="YS7" s="44"/>
      <c r="YT7" s="44"/>
      <c r="YU7" s="44"/>
      <c r="YV7" s="44"/>
      <c r="YW7" s="44"/>
      <c r="YX7" s="44"/>
      <c r="YY7" s="43"/>
      <c r="YZ7" s="43"/>
      <c r="ZA7" s="43"/>
      <c r="ZB7" s="43"/>
      <c r="ZC7" s="43"/>
      <c r="ZD7" s="43"/>
      <c r="ZE7" s="43"/>
      <c r="ZF7" s="43"/>
      <c r="ZG7" s="43"/>
      <c r="ZH7" s="43"/>
      <c r="ZI7" s="43"/>
      <c r="ZJ7" s="43"/>
      <c r="ZK7" s="43"/>
      <c r="ZL7" s="43"/>
      <c r="ZM7" s="43"/>
      <c r="ZN7" s="43"/>
      <c r="ZO7" s="43"/>
      <c r="ZP7" s="43"/>
      <c r="ZQ7" s="43"/>
      <c r="ZR7" s="43"/>
      <c r="ZS7" s="43"/>
      <c r="ZT7" s="43"/>
      <c r="ZU7" s="43"/>
      <c r="ZV7" s="43"/>
      <c r="ZW7" s="43"/>
      <c r="ZX7" s="43"/>
      <c r="ZY7" s="43"/>
      <c r="ZZ7" s="43"/>
      <c r="AAA7" s="43"/>
      <c r="AAB7" s="43"/>
      <c r="AAC7" s="43"/>
      <c r="AAD7" s="43"/>
      <c r="AAE7" s="43"/>
      <c r="AAF7" s="43"/>
      <c r="AAG7" s="43"/>
      <c r="AAH7" s="43"/>
      <c r="AAI7" s="43"/>
      <c r="AAJ7" s="43"/>
      <c r="AAK7" s="43"/>
      <c r="AAL7" s="43"/>
      <c r="AAM7" s="43"/>
      <c r="AAN7" s="43"/>
      <c r="AAO7" s="43"/>
      <c r="AAP7" s="43"/>
      <c r="AAQ7" s="43"/>
      <c r="AAR7" s="43"/>
      <c r="AAS7" s="43"/>
      <c r="AAT7" s="43"/>
      <c r="AAU7" s="43"/>
      <c r="AAV7" s="43"/>
      <c r="AAW7" s="43"/>
      <c r="AAX7" s="43"/>
      <c r="AAY7" s="43"/>
      <c r="AAZ7" s="43"/>
      <c r="ABA7" s="43"/>
      <c r="ABB7" s="43"/>
      <c r="ABC7" s="43"/>
      <c r="ABD7" s="43"/>
      <c r="ABE7" s="43"/>
      <c r="ABF7" s="43"/>
      <c r="ABG7" s="43"/>
      <c r="ABH7" s="43"/>
      <c r="ABI7" s="43"/>
      <c r="ABJ7" s="43"/>
      <c r="ABK7" s="43"/>
      <c r="ABL7" s="43"/>
      <c r="ABM7" s="43"/>
      <c r="ABN7" s="43"/>
      <c r="ABO7" s="43"/>
      <c r="ABP7" s="43"/>
      <c r="ABQ7" s="43"/>
      <c r="ABR7" s="43"/>
      <c r="ABS7" s="43"/>
      <c r="ABT7" s="43"/>
      <c r="ABU7" s="43"/>
      <c r="ABV7" s="43"/>
      <c r="ABW7" s="43"/>
      <c r="ABX7" s="43"/>
      <c r="ABY7" s="43"/>
      <c r="ABZ7" s="43"/>
      <c r="ACA7" s="43"/>
      <c r="ACB7" s="43"/>
      <c r="ACC7" s="43"/>
      <c r="ACD7" s="43"/>
      <c r="ACE7" s="43"/>
      <c r="ACF7" s="43"/>
      <c r="ACG7" s="43"/>
      <c r="ACH7" s="43"/>
      <c r="ACI7" s="43"/>
      <c r="ACJ7" s="43"/>
      <c r="ACK7" s="43"/>
      <c r="ACL7" s="43"/>
      <c r="ACM7" s="43"/>
      <c r="ACN7" s="43"/>
      <c r="ACO7" s="43"/>
      <c r="ACP7" s="43"/>
      <c r="ACQ7" s="43"/>
      <c r="ACR7" s="43"/>
      <c r="ACS7" s="43"/>
      <c r="ACT7" s="43"/>
      <c r="ACU7" s="43"/>
      <c r="ACV7" s="43"/>
      <c r="ACW7" s="43"/>
      <c r="ACX7" s="43"/>
      <c r="ACY7" s="43"/>
      <c r="ACZ7" s="43"/>
      <c r="ADA7" s="43"/>
      <c r="ADB7" s="43"/>
      <c r="ADC7" s="43"/>
      <c r="ADD7" s="43"/>
      <c r="ADE7" s="43"/>
      <c r="ADF7" s="43"/>
      <c r="ADG7" s="43"/>
      <c r="ADH7" s="43"/>
      <c r="ADI7" s="43"/>
      <c r="ADJ7" s="43"/>
      <c r="ADK7" s="43"/>
      <c r="ADL7" s="43"/>
      <c r="ADM7" s="43"/>
      <c r="ADN7" s="43"/>
      <c r="ADO7" s="43"/>
      <c r="ADP7" s="43"/>
      <c r="ADQ7" s="43"/>
      <c r="ADR7" s="43"/>
      <c r="ADS7" s="43"/>
      <c r="ADT7" s="43"/>
      <c r="ADU7" s="43"/>
      <c r="ADV7" s="43"/>
      <c r="ADW7" s="43"/>
      <c r="ADX7" s="43"/>
      <c r="ADY7" s="43"/>
      <c r="ADZ7" s="43"/>
      <c r="AEA7" s="43"/>
      <c r="AEB7" s="43"/>
      <c r="AEC7" s="43"/>
      <c r="AED7" s="43"/>
      <c r="AEE7" s="43"/>
      <c r="AEF7" s="43"/>
      <c r="AEG7" s="43"/>
      <c r="AEH7" s="43"/>
      <c r="AEI7" s="43"/>
      <c r="AEJ7" s="43"/>
      <c r="AEK7" s="43"/>
      <c r="AEL7" s="43"/>
      <c r="AEM7" s="44"/>
      <c r="AEN7" s="43"/>
      <c r="AEO7" s="44"/>
      <c r="AEP7" s="44"/>
      <c r="AEQ7" s="44"/>
      <c r="AER7" s="44"/>
      <c r="AES7" s="44"/>
      <c r="AET7" s="44"/>
      <c r="AEU7" s="44"/>
      <c r="AEV7" s="44"/>
      <c r="AEW7" s="44"/>
      <c r="AEX7" s="44"/>
      <c r="AEY7" s="44"/>
      <c r="AEZ7" s="44"/>
      <c r="AFA7" s="44"/>
      <c r="AFB7" s="44"/>
      <c r="AFC7" s="44"/>
      <c r="AFD7" s="44"/>
      <c r="AFE7" s="44"/>
      <c r="AFF7" s="44"/>
      <c r="AFG7" s="43"/>
      <c r="AFH7" s="43"/>
      <c r="AFI7" s="43"/>
      <c r="AFJ7" s="43"/>
      <c r="AFK7" s="43"/>
      <c r="AFL7" s="43"/>
      <c r="AFM7" s="43"/>
      <c r="AFN7" s="43"/>
      <c r="AFO7" s="43"/>
      <c r="AFP7" s="43"/>
      <c r="AFQ7" s="43"/>
      <c r="AFR7" s="43"/>
      <c r="AFS7" s="43"/>
      <c r="AFT7" s="43"/>
      <c r="AFU7" s="43"/>
      <c r="AFV7" s="43"/>
      <c r="AFW7" s="43"/>
      <c r="AFX7" s="43"/>
      <c r="AFY7" s="43"/>
      <c r="AFZ7" s="43"/>
      <c r="AGA7" s="43"/>
      <c r="AGB7" s="43"/>
      <c r="AGC7" s="43"/>
      <c r="AGD7" s="43"/>
      <c r="AGE7" s="43"/>
      <c r="AGF7" s="43"/>
      <c r="AGG7" s="43"/>
      <c r="AGH7" s="43"/>
      <c r="AGI7" s="43"/>
      <c r="AGJ7" s="43"/>
      <c r="AGK7" s="43"/>
      <c r="AGL7" s="43"/>
      <c r="AGM7" s="43"/>
      <c r="AGN7" s="43"/>
      <c r="AGO7" s="43"/>
      <c r="AGP7" s="43"/>
      <c r="AGQ7" s="43"/>
      <c r="AGR7" s="43"/>
      <c r="AGS7" s="43"/>
      <c r="AGT7" s="43"/>
      <c r="AGU7" s="43"/>
      <c r="AGV7" s="43"/>
      <c r="AGW7" s="43"/>
      <c r="AGX7" s="43"/>
      <c r="AGY7" s="43"/>
      <c r="AGZ7" s="43"/>
      <c r="AHA7" s="43"/>
      <c r="AHB7" s="43"/>
      <c r="AHC7" s="43"/>
      <c r="AHD7" s="43"/>
      <c r="AHE7" s="43"/>
      <c r="AHF7" s="43"/>
      <c r="AHG7" s="43"/>
      <c r="AHH7" s="43"/>
      <c r="AHI7" s="43"/>
      <c r="AHJ7" s="43"/>
      <c r="AHK7" s="43"/>
      <c r="AHL7" s="43"/>
      <c r="AHM7" s="43"/>
      <c r="AHN7" s="43"/>
      <c r="AHO7" s="43"/>
      <c r="AHP7" s="43"/>
      <c r="AHQ7" s="43"/>
      <c r="AHR7" s="43"/>
      <c r="AHS7" s="43"/>
      <c r="AHT7" s="43"/>
      <c r="AHU7" s="43"/>
      <c r="AHV7" s="43"/>
      <c r="AHW7" s="43"/>
      <c r="AHX7" s="43"/>
      <c r="AHY7" s="43"/>
      <c r="AHZ7" s="43"/>
      <c r="AIA7" s="43"/>
      <c r="AIB7" s="43"/>
      <c r="AIC7" s="43"/>
      <c r="AID7" s="43"/>
      <c r="AIE7" s="43"/>
      <c r="AIF7" s="43"/>
      <c r="AIG7" s="43"/>
      <c r="AIH7" s="43"/>
      <c r="AII7" s="43"/>
      <c r="AIJ7" s="43"/>
      <c r="AIK7" s="43"/>
      <c r="AIL7" s="43"/>
      <c r="AIM7" s="43"/>
      <c r="AIN7" s="43"/>
      <c r="AIO7" s="43"/>
      <c r="AIP7" s="43"/>
      <c r="AIQ7" s="43"/>
      <c r="AIR7" s="43"/>
      <c r="AIS7" s="43"/>
      <c r="AIT7" s="43"/>
      <c r="AIU7" s="43"/>
      <c r="AIV7" s="43"/>
      <c r="AIW7" s="43"/>
      <c r="AIX7" s="43"/>
      <c r="AIY7" s="43"/>
      <c r="AIZ7" s="43"/>
      <c r="AJA7" s="43"/>
      <c r="AJB7" s="43"/>
      <c r="AJC7" s="43"/>
      <c r="AJD7" s="43"/>
      <c r="AJE7" s="43"/>
      <c r="AJF7" s="43"/>
      <c r="AJG7" s="43"/>
      <c r="AJH7" s="43"/>
      <c r="AJI7" s="43"/>
      <c r="AJJ7" s="43"/>
      <c r="AJK7" s="43"/>
      <c r="AJL7" s="43"/>
      <c r="AJM7" s="43"/>
      <c r="AJN7" s="43"/>
      <c r="AJO7" s="43"/>
      <c r="AJP7" s="43"/>
      <c r="AJQ7" s="43"/>
      <c r="AJR7" s="43"/>
      <c r="AJS7" s="43"/>
      <c r="AJT7" s="43"/>
      <c r="AJU7" s="43"/>
      <c r="AJV7" s="43"/>
      <c r="AJW7" s="43"/>
      <c r="AJX7" s="43"/>
      <c r="AJY7" s="43"/>
      <c r="AJZ7" s="43"/>
      <c r="AKA7" s="43"/>
      <c r="AKB7" s="43"/>
      <c r="AKC7" s="43"/>
      <c r="AKD7" s="43"/>
      <c r="AKE7" s="43"/>
      <c r="AKF7" s="43"/>
      <c r="AKG7" s="43"/>
      <c r="AKH7" s="43"/>
      <c r="AKI7" s="43"/>
      <c r="AKJ7" s="43"/>
      <c r="AKK7" s="43"/>
      <c r="AKL7" s="43"/>
      <c r="AKM7" s="43"/>
      <c r="AKN7" s="43"/>
      <c r="AKO7" s="43"/>
      <c r="AKP7" s="43"/>
      <c r="AKQ7" s="43"/>
      <c r="AKR7" s="43"/>
      <c r="AKS7" s="43"/>
      <c r="AKT7" s="43"/>
      <c r="AKU7" s="44"/>
      <c r="AKV7" s="43"/>
      <c r="AKW7" s="43"/>
      <c r="AKX7" s="43"/>
      <c r="AKY7" s="43"/>
      <c r="AKZ7" s="43"/>
      <c r="ALA7" s="43"/>
      <c r="ALB7" s="43"/>
      <c r="ALC7" s="43"/>
      <c r="ALD7" s="43"/>
      <c r="ALE7" s="43"/>
      <c r="ALF7" s="43"/>
      <c r="ALG7" s="43"/>
      <c r="ALH7" s="43"/>
      <c r="ALI7" s="43"/>
      <c r="ALJ7" s="43"/>
      <c r="ALK7" s="43"/>
      <c r="ALL7" s="43"/>
      <c r="ALM7" s="43"/>
      <c r="ALN7" s="43"/>
      <c r="ALO7" s="43"/>
      <c r="ALP7" s="43"/>
      <c r="ALQ7" s="43"/>
      <c r="ALR7" s="43"/>
      <c r="ALS7" s="43"/>
      <c r="ALT7" s="43"/>
      <c r="ALU7" s="43"/>
      <c r="ALV7" s="43"/>
      <c r="ALW7" s="43"/>
      <c r="ALX7" s="43"/>
      <c r="ALY7" s="43"/>
      <c r="ALZ7" s="43"/>
      <c r="AMA7" s="43"/>
      <c r="AMB7" s="43"/>
      <c r="AMC7" s="43"/>
      <c r="AMD7" s="43"/>
      <c r="AME7" s="43"/>
      <c r="AMF7" s="43"/>
      <c r="AMG7" s="43"/>
      <c r="AMH7" s="43"/>
      <c r="AMI7" s="43"/>
      <c r="AMJ7" s="43"/>
      <c r="AMK7" s="43"/>
    </row>
    <row r="8" ht="15.75" customHeight="1">
      <c r="A8" s="33" t="s">
        <v>31</v>
      </c>
      <c r="B8" s="33" t="s">
        <v>31</v>
      </c>
      <c r="C8" s="33"/>
      <c r="D8" s="33"/>
      <c r="E8" s="33"/>
      <c r="F8" s="36" t="s">
        <v>32</v>
      </c>
      <c r="G8" s="33"/>
      <c r="H8" s="33"/>
      <c r="I8" s="42">
        <v>1.0</v>
      </c>
      <c r="J8" s="38">
        <v>0.0</v>
      </c>
      <c r="K8" s="38">
        <v>0.0</v>
      </c>
      <c r="L8" s="33"/>
      <c r="M8" s="33" t="s">
        <v>31</v>
      </c>
      <c r="N8" s="36" t="s">
        <v>33</v>
      </c>
      <c r="O8" s="33"/>
      <c r="P8" s="33"/>
      <c r="Q8" s="33"/>
      <c r="R8" s="33"/>
      <c r="S8" s="33"/>
      <c r="T8" s="33"/>
      <c r="U8" s="33"/>
      <c r="V8" s="36"/>
      <c r="W8" s="38">
        <v>1.0</v>
      </c>
      <c r="X8" s="33" t="s">
        <v>31</v>
      </c>
      <c r="Y8" s="33" t="s">
        <v>31</v>
      </c>
      <c r="Z8" s="36" t="s">
        <v>34</v>
      </c>
      <c r="AA8" s="33"/>
      <c r="AB8" s="38">
        <v>1.0</v>
      </c>
      <c r="AC8" s="36" t="s">
        <v>35</v>
      </c>
      <c r="AD8" s="36"/>
      <c r="AE8" s="38">
        <v>400.0</v>
      </c>
      <c r="AF8" s="33"/>
      <c r="AG8" s="36" t="s">
        <v>36</v>
      </c>
      <c r="AH8" s="38">
        <v>1.0</v>
      </c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42">
        <v>-42.0</v>
      </c>
      <c r="AU8" s="42">
        <v>-42.0</v>
      </c>
      <c r="AV8" s="33"/>
      <c r="AW8" s="33"/>
      <c r="AX8" s="33"/>
      <c r="AY8" s="36" t="s">
        <v>37</v>
      </c>
      <c r="AZ8" s="33"/>
      <c r="BA8" s="33"/>
      <c r="BB8" s="33"/>
      <c r="BC8" s="33"/>
      <c r="BD8" s="33"/>
      <c r="BE8" s="38">
        <v>0.0</v>
      </c>
      <c r="BF8" s="38">
        <v>0.0</v>
      </c>
      <c r="BG8" s="33"/>
      <c r="BH8" s="33"/>
      <c r="BI8" s="33"/>
      <c r="BJ8" s="38">
        <v>400.0</v>
      </c>
      <c r="BK8" s="33"/>
      <c r="BL8" s="33" t="s">
        <v>31</v>
      </c>
      <c r="BM8" s="36" t="s">
        <v>34</v>
      </c>
      <c r="BN8" s="33"/>
      <c r="BO8" s="36" t="s">
        <v>21</v>
      </c>
      <c r="BP8" s="33"/>
      <c r="BQ8" s="33"/>
      <c r="BR8" s="33"/>
      <c r="BS8" s="39" t="s">
        <v>24</v>
      </c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6" t="s">
        <v>38</v>
      </c>
      <c r="CF8" s="33"/>
      <c r="CG8" s="33"/>
      <c r="CH8" s="36" t="s">
        <v>39</v>
      </c>
      <c r="CI8" s="38">
        <v>400.0</v>
      </c>
      <c r="CJ8" s="36" t="s">
        <v>40</v>
      </c>
      <c r="CK8" s="38">
        <v>1.0</v>
      </c>
      <c r="CL8" s="33"/>
      <c r="CM8" s="36" t="s">
        <v>41</v>
      </c>
      <c r="CN8" s="36" t="s">
        <v>42</v>
      </c>
      <c r="CO8" s="33"/>
      <c r="CP8" s="33"/>
      <c r="CQ8" s="33"/>
      <c r="CR8" s="33"/>
      <c r="CS8" s="33" t="s">
        <v>31</v>
      </c>
      <c r="CT8" s="33" t="s">
        <v>31</v>
      </c>
      <c r="CU8" s="33" t="s">
        <v>31</v>
      </c>
      <c r="CV8" s="33" t="s">
        <v>31</v>
      </c>
      <c r="CW8" s="33" t="s">
        <v>31</v>
      </c>
      <c r="CX8" s="33" t="s">
        <v>31</v>
      </c>
      <c r="CY8" s="33" t="s">
        <v>31</v>
      </c>
      <c r="CZ8" s="33" t="s">
        <v>31</v>
      </c>
      <c r="DA8" s="33" t="s">
        <v>31</v>
      </c>
      <c r="DB8" s="33" t="s">
        <v>31</v>
      </c>
      <c r="DC8" s="33" t="s">
        <v>31</v>
      </c>
      <c r="DD8" s="33" t="s">
        <v>31</v>
      </c>
      <c r="DE8" s="33" t="s">
        <v>31</v>
      </c>
      <c r="DF8" s="33" t="s">
        <v>31</v>
      </c>
      <c r="DG8" s="33" t="s">
        <v>31</v>
      </c>
      <c r="DH8" s="33" t="s">
        <v>31</v>
      </c>
      <c r="DI8" s="33" t="s">
        <v>31</v>
      </c>
      <c r="DJ8" s="33" t="s">
        <v>31</v>
      </c>
      <c r="DK8" s="33" t="s">
        <v>31</v>
      </c>
      <c r="DL8" s="33" t="s">
        <v>31</v>
      </c>
      <c r="DM8" s="33" t="s">
        <v>31</v>
      </c>
      <c r="DN8" s="33" t="s">
        <v>31</v>
      </c>
      <c r="DO8" s="33" t="s">
        <v>31</v>
      </c>
      <c r="DP8" s="33" t="s">
        <v>31</v>
      </c>
      <c r="DQ8" s="33" t="s">
        <v>31</v>
      </c>
      <c r="DR8" s="33" t="s">
        <v>31</v>
      </c>
      <c r="DS8" s="33" t="s">
        <v>31</v>
      </c>
      <c r="DT8" s="33" t="s">
        <v>31</v>
      </c>
      <c r="DU8" s="33" t="s">
        <v>31</v>
      </c>
      <c r="DV8" s="33" t="s">
        <v>31</v>
      </c>
      <c r="DW8" s="33" t="s">
        <v>31</v>
      </c>
      <c r="DX8" s="33" t="s">
        <v>31</v>
      </c>
      <c r="DY8" s="33" t="s">
        <v>31</v>
      </c>
      <c r="DZ8" s="33" t="s">
        <v>31</v>
      </c>
      <c r="EA8" s="33" t="s">
        <v>31</v>
      </c>
      <c r="EB8" s="33" t="s">
        <v>31</v>
      </c>
      <c r="EC8" s="33" t="s">
        <v>31</v>
      </c>
      <c r="ED8" s="33" t="s">
        <v>31</v>
      </c>
      <c r="EE8" s="33" t="s">
        <v>31</v>
      </c>
      <c r="EF8" s="33" t="s">
        <v>31</v>
      </c>
      <c r="EG8" s="33" t="s">
        <v>31</v>
      </c>
      <c r="EH8" s="33" t="s">
        <v>31</v>
      </c>
      <c r="EI8" s="33" t="s">
        <v>31</v>
      </c>
      <c r="EJ8" s="33" t="s">
        <v>31</v>
      </c>
      <c r="EK8" s="33" t="s">
        <v>31</v>
      </c>
      <c r="EL8" s="33" t="s">
        <v>31</v>
      </c>
      <c r="EM8" s="33" t="s">
        <v>31</v>
      </c>
      <c r="EN8" s="33" t="s">
        <v>31</v>
      </c>
      <c r="EO8" s="33" t="s">
        <v>31</v>
      </c>
      <c r="EP8" s="33" t="s">
        <v>31</v>
      </c>
      <c r="EQ8" s="33" t="s">
        <v>31</v>
      </c>
      <c r="ER8" s="33" t="s">
        <v>31</v>
      </c>
      <c r="ES8" s="33" t="s">
        <v>31</v>
      </c>
      <c r="ET8" s="33" t="s">
        <v>31</v>
      </c>
      <c r="EU8" s="33" t="s">
        <v>31</v>
      </c>
      <c r="EV8" s="33" t="s">
        <v>31</v>
      </c>
      <c r="EW8" s="33" t="s">
        <v>31</v>
      </c>
      <c r="EX8" s="33" t="s">
        <v>31</v>
      </c>
      <c r="EY8" s="33" t="s">
        <v>31</v>
      </c>
      <c r="EZ8" s="33" t="s">
        <v>31</v>
      </c>
      <c r="FA8" s="33" t="s">
        <v>31</v>
      </c>
      <c r="FB8" s="33" t="s">
        <v>31</v>
      </c>
      <c r="FC8" s="33" t="s">
        <v>31</v>
      </c>
      <c r="FD8" s="33" t="s">
        <v>31</v>
      </c>
      <c r="FE8" s="33" t="s">
        <v>31</v>
      </c>
      <c r="FF8" s="33" t="s">
        <v>31</v>
      </c>
      <c r="FG8" s="33" t="s">
        <v>31</v>
      </c>
      <c r="FH8" s="33" t="s">
        <v>31</v>
      </c>
      <c r="FI8" s="33" t="s">
        <v>31</v>
      </c>
      <c r="FJ8" s="33" t="s">
        <v>31</v>
      </c>
      <c r="FK8" s="33" t="s">
        <v>31</v>
      </c>
      <c r="FL8" s="33" t="s">
        <v>31</v>
      </c>
      <c r="FM8" s="33" t="s">
        <v>31</v>
      </c>
      <c r="FN8" s="33" t="s">
        <v>31</v>
      </c>
      <c r="FO8" s="33" t="s">
        <v>31</v>
      </c>
      <c r="FP8" s="33" t="s">
        <v>31</v>
      </c>
      <c r="FQ8" s="33" t="s">
        <v>31</v>
      </c>
      <c r="FR8" s="43"/>
      <c r="FS8" s="43"/>
      <c r="FT8" s="43"/>
      <c r="FU8" s="43"/>
      <c r="FV8" s="43"/>
      <c r="FW8" s="43"/>
      <c r="FX8" s="43"/>
      <c r="FY8" s="43"/>
      <c r="FZ8" s="43"/>
      <c r="GA8" s="43"/>
      <c r="GB8" s="43"/>
      <c r="GC8" s="43"/>
      <c r="GD8" s="43"/>
      <c r="GE8" s="43"/>
      <c r="GF8" s="43"/>
      <c r="GG8" s="43"/>
      <c r="GH8" s="43"/>
      <c r="GI8" s="43"/>
      <c r="GJ8" s="43"/>
      <c r="GK8" s="43"/>
      <c r="GL8" s="43"/>
      <c r="GM8" s="43"/>
      <c r="GN8" s="43"/>
      <c r="GO8" s="43"/>
      <c r="GP8" s="43"/>
      <c r="GQ8" s="43"/>
      <c r="GR8" s="43"/>
      <c r="GS8" s="43"/>
      <c r="GT8" s="43"/>
      <c r="GU8" s="43"/>
      <c r="GV8" s="43"/>
      <c r="GW8" s="43"/>
      <c r="GX8" s="43"/>
      <c r="GY8" s="43"/>
      <c r="GZ8" s="43"/>
      <c r="HA8" s="43"/>
      <c r="HB8" s="43"/>
      <c r="HC8" s="43"/>
      <c r="HD8" s="43"/>
      <c r="HE8" s="43"/>
      <c r="HF8" s="43"/>
      <c r="HG8" s="43"/>
      <c r="HH8" s="43"/>
      <c r="HI8" s="43"/>
      <c r="HJ8" s="43"/>
      <c r="HK8" s="43"/>
      <c r="HL8" s="43"/>
      <c r="HM8" s="43"/>
      <c r="HN8" s="43"/>
      <c r="HO8" s="43"/>
      <c r="HP8" s="43"/>
      <c r="HQ8" s="43"/>
      <c r="HR8" s="43"/>
      <c r="HS8" s="43"/>
      <c r="HT8" s="43"/>
      <c r="HU8" s="43"/>
      <c r="HV8" s="43"/>
      <c r="HW8" s="43"/>
      <c r="HX8" s="43"/>
      <c r="HY8" s="43"/>
      <c r="HZ8" s="43"/>
      <c r="IA8" s="43"/>
      <c r="IB8" s="43"/>
      <c r="IC8" s="43"/>
      <c r="ID8" s="43"/>
      <c r="IE8" s="43"/>
      <c r="IF8" s="43"/>
      <c r="IG8" s="43"/>
      <c r="IH8" s="43"/>
      <c r="II8" s="43"/>
      <c r="IJ8" s="43"/>
      <c r="IK8" s="43"/>
      <c r="IL8" s="43"/>
      <c r="IM8" s="43"/>
      <c r="IN8" s="43"/>
      <c r="IO8" s="43"/>
      <c r="IP8" s="43"/>
      <c r="IQ8" s="43"/>
      <c r="IR8" s="43"/>
      <c r="IS8" s="43"/>
      <c r="IT8" s="43"/>
      <c r="IU8" s="43"/>
      <c r="IV8" s="43"/>
      <c r="IW8" s="43"/>
      <c r="IX8" s="43"/>
      <c r="IY8" s="43"/>
      <c r="IZ8" s="43"/>
      <c r="JA8" s="43"/>
      <c r="JB8" s="43"/>
      <c r="JC8" s="43"/>
      <c r="JD8" s="43"/>
      <c r="JE8" s="43"/>
      <c r="JF8" s="43"/>
      <c r="JG8" s="43"/>
      <c r="JH8" s="43"/>
      <c r="JI8" s="43"/>
      <c r="JJ8" s="43"/>
      <c r="JK8" s="43"/>
      <c r="JL8" s="43"/>
      <c r="JM8" s="43"/>
      <c r="JN8" s="43"/>
      <c r="JO8" s="43"/>
      <c r="JP8" s="43"/>
      <c r="JQ8" s="43"/>
      <c r="JR8" s="43"/>
      <c r="JS8" s="43"/>
      <c r="JT8" s="43"/>
      <c r="JU8" s="43"/>
      <c r="JV8" s="43"/>
      <c r="JW8" s="43"/>
      <c r="JX8" s="43"/>
      <c r="JY8" s="43"/>
      <c r="JZ8" s="43"/>
      <c r="KA8" s="43"/>
      <c r="KB8" s="43"/>
      <c r="KC8" s="43"/>
      <c r="KD8" s="43"/>
      <c r="KE8" s="43"/>
      <c r="KF8" s="43"/>
      <c r="KG8" s="43"/>
      <c r="KH8" s="43"/>
      <c r="KI8" s="43"/>
      <c r="KJ8" s="43"/>
      <c r="KK8" s="43"/>
      <c r="KL8" s="43"/>
      <c r="KM8" s="43"/>
      <c r="KN8" s="43"/>
      <c r="KO8" s="43"/>
      <c r="KP8" s="43"/>
      <c r="KQ8" s="43"/>
      <c r="KR8" s="43"/>
      <c r="KS8" s="43"/>
      <c r="KT8" s="43"/>
      <c r="KU8" s="43"/>
      <c r="KV8" s="43"/>
      <c r="KW8" s="43"/>
      <c r="KX8" s="43"/>
      <c r="KY8" s="43"/>
      <c r="KZ8" s="43"/>
      <c r="LA8" s="43"/>
      <c r="LB8" s="43"/>
      <c r="LC8" s="43"/>
      <c r="LD8" s="43"/>
      <c r="LE8" s="43"/>
      <c r="LF8" s="43"/>
      <c r="LG8" s="43"/>
      <c r="LH8" s="43"/>
      <c r="LI8" s="43"/>
      <c r="LJ8" s="43"/>
      <c r="LK8" s="43"/>
      <c r="LL8" s="43"/>
      <c r="LM8" s="43"/>
      <c r="LN8" s="43"/>
      <c r="LO8" s="44"/>
      <c r="LP8" s="43"/>
      <c r="LQ8" s="44"/>
      <c r="LR8" s="44"/>
      <c r="LS8" s="44"/>
      <c r="LT8" s="44"/>
      <c r="LU8" s="44"/>
      <c r="LV8" s="44"/>
      <c r="LW8" s="44"/>
      <c r="LX8" s="44"/>
      <c r="LY8" s="44"/>
      <c r="LZ8" s="44"/>
      <c r="MA8" s="44"/>
      <c r="MB8" s="44"/>
      <c r="MC8" s="44"/>
      <c r="MD8" s="44"/>
      <c r="ME8" s="44"/>
      <c r="MF8" s="44"/>
      <c r="MG8" s="44"/>
      <c r="MH8" s="44"/>
      <c r="MI8" s="43"/>
      <c r="MJ8" s="43"/>
      <c r="MK8" s="43"/>
      <c r="ML8" s="43"/>
      <c r="MM8" s="43"/>
      <c r="MN8" s="43"/>
      <c r="MO8" s="43"/>
      <c r="MP8" s="43"/>
      <c r="MQ8" s="43"/>
      <c r="MR8" s="43"/>
      <c r="MS8" s="43"/>
      <c r="MT8" s="43"/>
      <c r="MU8" s="43"/>
      <c r="MV8" s="43"/>
      <c r="MW8" s="43"/>
      <c r="MX8" s="43"/>
      <c r="MY8" s="43"/>
      <c r="MZ8" s="43"/>
      <c r="NA8" s="43"/>
      <c r="NB8" s="43"/>
      <c r="NC8" s="43"/>
      <c r="ND8" s="43"/>
      <c r="NE8" s="43"/>
      <c r="NF8" s="43"/>
      <c r="NG8" s="43"/>
      <c r="NH8" s="43"/>
      <c r="NI8" s="43"/>
      <c r="NJ8" s="43"/>
      <c r="NK8" s="43"/>
      <c r="NL8" s="43"/>
      <c r="NM8" s="43"/>
      <c r="NN8" s="43"/>
      <c r="NO8" s="43"/>
      <c r="NP8" s="43"/>
      <c r="NQ8" s="43"/>
      <c r="NR8" s="43"/>
      <c r="NS8" s="43"/>
      <c r="NT8" s="43"/>
      <c r="NU8" s="43"/>
      <c r="NV8" s="43"/>
      <c r="NW8" s="43"/>
      <c r="NX8" s="43"/>
      <c r="NY8" s="43"/>
      <c r="NZ8" s="43"/>
      <c r="OA8" s="43"/>
      <c r="OB8" s="43"/>
      <c r="OC8" s="43"/>
      <c r="OD8" s="43"/>
      <c r="OE8" s="43"/>
      <c r="OF8" s="43"/>
      <c r="OG8" s="43"/>
      <c r="OH8" s="43"/>
      <c r="OI8" s="43"/>
      <c r="OJ8" s="43"/>
      <c r="OK8" s="43"/>
      <c r="OL8" s="43"/>
      <c r="OM8" s="43"/>
      <c r="ON8" s="43"/>
      <c r="OO8" s="43"/>
      <c r="OP8" s="43"/>
      <c r="OQ8" s="43"/>
      <c r="OR8" s="43"/>
      <c r="OS8" s="43"/>
      <c r="OT8" s="43"/>
      <c r="OU8" s="43"/>
      <c r="OV8" s="43"/>
      <c r="OW8" s="43"/>
      <c r="OX8" s="43"/>
      <c r="OY8" s="43"/>
      <c r="OZ8" s="43"/>
      <c r="PA8" s="43"/>
      <c r="PB8" s="43"/>
      <c r="PC8" s="43"/>
      <c r="PD8" s="43"/>
      <c r="PE8" s="43"/>
      <c r="PF8" s="43"/>
      <c r="PG8" s="43"/>
      <c r="PH8" s="43"/>
      <c r="PI8" s="43"/>
      <c r="PJ8" s="43"/>
      <c r="PK8" s="43"/>
      <c r="PL8" s="43"/>
      <c r="PM8" s="43"/>
      <c r="PN8" s="43"/>
      <c r="PO8" s="43"/>
      <c r="PP8" s="43"/>
      <c r="PQ8" s="43"/>
      <c r="PR8" s="43"/>
      <c r="PS8" s="43"/>
      <c r="PT8" s="43"/>
      <c r="PU8" s="43"/>
      <c r="PV8" s="43"/>
      <c r="PW8" s="43"/>
      <c r="PX8" s="43"/>
      <c r="PY8" s="43"/>
      <c r="PZ8" s="43"/>
      <c r="QA8" s="43"/>
      <c r="QB8" s="43"/>
      <c r="QC8" s="43"/>
      <c r="QD8" s="43"/>
      <c r="QE8" s="43"/>
      <c r="QF8" s="43"/>
      <c r="QG8" s="43"/>
      <c r="QH8" s="43"/>
      <c r="QI8" s="43"/>
      <c r="QJ8" s="43"/>
      <c r="QK8" s="43"/>
      <c r="QL8" s="43"/>
      <c r="QM8" s="43"/>
      <c r="QN8" s="43"/>
      <c r="QO8" s="43"/>
      <c r="QP8" s="43"/>
      <c r="QQ8" s="43"/>
      <c r="QR8" s="43"/>
      <c r="QS8" s="43"/>
      <c r="QT8" s="43"/>
      <c r="QU8" s="43"/>
      <c r="QV8" s="43"/>
      <c r="QW8" s="43"/>
      <c r="QX8" s="43"/>
      <c r="QY8" s="43"/>
      <c r="QZ8" s="43"/>
      <c r="RA8" s="43"/>
      <c r="RB8" s="43"/>
      <c r="RC8" s="43"/>
      <c r="RD8" s="43"/>
      <c r="RE8" s="43"/>
      <c r="RF8" s="43"/>
      <c r="RG8" s="43"/>
      <c r="RH8" s="43"/>
      <c r="RI8" s="43"/>
      <c r="RJ8" s="43"/>
      <c r="RK8" s="43"/>
      <c r="RL8" s="43"/>
      <c r="RM8" s="43"/>
      <c r="RN8" s="43"/>
      <c r="RO8" s="43"/>
      <c r="RP8" s="43"/>
      <c r="RQ8" s="43"/>
      <c r="RR8" s="43"/>
      <c r="RS8" s="43"/>
      <c r="RT8" s="43"/>
      <c r="RU8" s="43"/>
      <c r="RV8" s="43"/>
      <c r="RW8" s="44"/>
      <c r="RX8" s="43"/>
      <c r="RY8" s="44"/>
      <c r="RZ8" s="44"/>
      <c r="SA8" s="44"/>
      <c r="SB8" s="44"/>
      <c r="SC8" s="44"/>
      <c r="SD8" s="44"/>
      <c r="SE8" s="44"/>
      <c r="SF8" s="44"/>
      <c r="SG8" s="44"/>
      <c r="SH8" s="44"/>
      <c r="SI8" s="44"/>
      <c r="SJ8" s="44"/>
      <c r="SK8" s="44"/>
      <c r="SL8" s="44"/>
      <c r="SM8" s="44"/>
      <c r="SN8" s="44"/>
      <c r="SO8" s="44"/>
      <c r="SP8" s="44"/>
      <c r="SQ8" s="43"/>
      <c r="SR8" s="43"/>
      <c r="SS8" s="43"/>
      <c r="ST8" s="43"/>
      <c r="SU8" s="43"/>
      <c r="SV8" s="43"/>
      <c r="SW8" s="43"/>
      <c r="SX8" s="43"/>
      <c r="SY8" s="43"/>
      <c r="SZ8" s="43"/>
      <c r="TA8" s="43"/>
      <c r="TB8" s="43"/>
      <c r="TC8" s="43"/>
      <c r="TD8" s="43"/>
      <c r="TE8" s="43"/>
      <c r="TF8" s="43"/>
      <c r="TG8" s="43"/>
      <c r="TH8" s="43"/>
      <c r="TI8" s="43"/>
      <c r="TJ8" s="43"/>
      <c r="TK8" s="43"/>
      <c r="TL8" s="43"/>
      <c r="TM8" s="43"/>
      <c r="TN8" s="43"/>
      <c r="TO8" s="43"/>
      <c r="TP8" s="43"/>
      <c r="TQ8" s="43"/>
      <c r="TR8" s="43"/>
      <c r="TS8" s="43"/>
      <c r="TT8" s="43"/>
      <c r="TU8" s="43"/>
      <c r="TV8" s="43"/>
      <c r="TW8" s="43"/>
      <c r="TX8" s="43"/>
      <c r="TY8" s="43"/>
      <c r="TZ8" s="43"/>
      <c r="UA8" s="43"/>
      <c r="UB8" s="43"/>
      <c r="UC8" s="43"/>
      <c r="UD8" s="43"/>
      <c r="UE8" s="43"/>
      <c r="UF8" s="43"/>
      <c r="UG8" s="43"/>
      <c r="UH8" s="43"/>
      <c r="UI8" s="43"/>
      <c r="UJ8" s="43"/>
      <c r="UK8" s="43"/>
      <c r="UL8" s="43"/>
      <c r="UM8" s="43"/>
      <c r="UN8" s="43"/>
      <c r="UO8" s="43"/>
      <c r="UP8" s="43"/>
      <c r="UQ8" s="43"/>
      <c r="UR8" s="43"/>
      <c r="US8" s="43"/>
      <c r="UT8" s="43"/>
      <c r="UU8" s="43"/>
      <c r="UV8" s="43"/>
      <c r="UW8" s="43"/>
      <c r="UX8" s="43"/>
      <c r="UY8" s="43"/>
      <c r="UZ8" s="43"/>
      <c r="VA8" s="43"/>
      <c r="VB8" s="43"/>
      <c r="VC8" s="43"/>
      <c r="VD8" s="43"/>
      <c r="VE8" s="43"/>
      <c r="VF8" s="43"/>
      <c r="VG8" s="43"/>
      <c r="VH8" s="43"/>
      <c r="VI8" s="43"/>
      <c r="VJ8" s="43"/>
      <c r="VK8" s="43"/>
      <c r="VL8" s="43"/>
      <c r="VM8" s="43"/>
      <c r="VN8" s="43"/>
      <c r="VO8" s="43"/>
      <c r="VP8" s="43"/>
      <c r="VQ8" s="43"/>
      <c r="VR8" s="43"/>
      <c r="VS8" s="43"/>
      <c r="VT8" s="43"/>
      <c r="VU8" s="43"/>
      <c r="VV8" s="43"/>
      <c r="VW8" s="43"/>
      <c r="VX8" s="43"/>
      <c r="VY8" s="43"/>
      <c r="VZ8" s="43"/>
      <c r="WA8" s="43"/>
      <c r="WB8" s="43"/>
      <c r="WC8" s="43"/>
      <c r="WD8" s="43"/>
      <c r="WE8" s="43"/>
      <c r="WF8" s="43"/>
      <c r="WG8" s="43"/>
      <c r="WH8" s="43"/>
      <c r="WI8" s="43"/>
      <c r="WJ8" s="43"/>
      <c r="WK8" s="43"/>
      <c r="WL8" s="43"/>
      <c r="WM8" s="43"/>
      <c r="WN8" s="43"/>
      <c r="WO8" s="43"/>
      <c r="WP8" s="43"/>
      <c r="WQ8" s="43"/>
      <c r="WR8" s="43"/>
      <c r="WS8" s="43"/>
      <c r="WT8" s="43"/>
      <c r="WU8" s="43"/>
      <c r="WV8" s="43"/>
      <c r="WW8" s="43"/>
      <c r="WX8" s="43"/>
      <c r="WY8" s="43"/>
      <c r="WZ8" s="43"/>
      <c r="XA8" s="43"/>
      <c r="XB8" s="43"/>
      <c r="XC8" s="43"/>
      <c r="XD8" s="43"/>
      <c r="XE8" s="43"/>
      <c r="XF8" s="43"/>
      <c r="XG8" s="43"/>
      <c r="XH8" s="43"/>
      <c r="XI8" s="43"/>
      <c r="XJ8" s="43"/>
      <c r="XK8" s="43"/>
      <c r="XL8" s="43"/>
      <c r="XM8" s="43"/>
      <c r="XN8" s="43"/>
      <c r="XO8" s="43"/>
      <c r="XP8" s="43"/>
      <c r="XQ8" s="43"/>
      <c r="XR8" s="43"/>
      <c r="XS8" s="43"/>
      <c r="XT8" s="43"/>
      <c r="XU8" s="43"/>
      <c r="XV8" s="43"/>
      <c r="XW8" s="43"/>
      <c r="XX8" s="43"/>
      <c r="XY8" s="43"/>
      <c r="XZ8" s="43"/>
      <c r="YA8" s="43"/>
      <c r="YB8" s="43"/>
      <c r="YC8" s="43"/>
      <c r="YD8" s="43"/>
      <c r="YE8" s="44"/>
      <c r="YF8" s="43"/>
      <c r="YG8" s="44"/>
      <c r="YH8" s="44"/>
      <c r="YI8" s="44"/>
      <c r="YJ8" s="44"/>
      <c r="YK8" s="44"/>
      <c r="YL8" s="44"/>
      <c r="YM8" s="44"/>
      <c r="YN8" s="44"/>
      <c r="YO8" s="44"/>
      <c r="YP8" s="44"/>
      <c r="YQ8" s="44"/>
      <c r="YR8" s="44"/>
      <c r="YS8" s="44"/>
      <c r="YT8" s="44"/>
      <c r="YU8" s="44"/>
      <c r="YV8" s="44"/>
      <c r="YW8" s="44"/>
      <c r="YX8" s="44"/>
      <c r="YY8" s="43"/>
      <c r="YZ8" s="43"/>
      <c r="ZA8" s="43"/>
      <c r="ZB8" s="43"/>
      <c r="ZC8" s="43"/>
      <c r="ZD8" s="43"/>
      <c r="ZE8" s="43"/>
      <c r="ZF8" s="43"/>
      <c r="ZG8" s="43"/>
      <c r="ZH8" s="43"/>
      <c r="ZI8" s="43"/>
      <c r="ZJ8" s="43"/>
      <c r="ZK8" s="43"/>
      <c r="ZL8" s="43"/>
      <c r="ZM8" s="43"/>
      <c r="ZN8" s="43"/>
      <c r="ZO8" s="43"/>
      <c r="ZP8" s="43"/>
      <c r="ZQ8" s="43"/>
      <c r="ZR8" s="43"/>
      <c r="ZS8" s="43"/>
      <c r="ZT8" s="43"/>
      <c r="ZU8" s="43"/>
      <c r="ZV8" s="43"/>
      <c r="ZW8" s="43"/>
      <c r="ZX8" s="43"/>
      <c r="ZY8" s="43"/>
      <c r="ZZ8" s="43"/>
      <c r="AAA8" s="43"/>
      <c r="AAB8" s="43"/>
      <c r="AAC8" s="43"/>
      <c r="AAD8" s="43"/>
      <c r="AAE8" s="43"/>
      <c r="AAF8" s="43"/>
      <c r="AAG8" s="43"/>
      <c r="AAH8" s="43"/>
      <c r="AAI8" s="43"/>
      <c r="AAJ8" s="43"/>
      <c r="AAK8" s="43"/>
      <c r="AAL8" s="43"/>
      <c r="AAM8" s="43"/>
      <c r="AAN8" s="43"/>
      <c r="AAO8" s="43"/>
      <c r="AAP8" s="43"/>
      <c r="AAQ8" s="43"/>
      <c r="AAR8" s="43"/>
      <c r="AAS8" s="43"/>
      <c r="AAT8" s="43"/>
      <c r="AAU8" s="43"/>
      <c r="AAV8" s="43"/>
      <c r="AAW8" s="43"/>
      <c r="AAX8" s="43"/>
      <c r="AAY8" s="43"/>
      <c r="AAZ8" s="43"/>
      <c r="ABA8" s="43"/>
      <c r="ABB8" s="43"/>
      <c r="ABC8" s="43"/>
      <c r="ABD8" s="43"/>
      <c r="ABE8" s="43"/>
      <c r="ABF8" s="43"/>
      <c r="ABG8" s="43"/>
      <c r="ABH8" s="43"/>
      <c r="ABI8" s="43"/>
      <c r="ABJ8" s="43"/>
      <c r="ABK8" s="43"/>
      <c r="ABL8" s="43"/>
      <c r="ABM8" s="43"/>
      <c r="ABN8" s="43"/>
      <c r="ABO8" s="43"/>
      <c r="ABP8" s="43"/>
      <c r="ABQ8" s="43"/>
      <c r="ABR8" s="43"/>
      <c r="ABS8" s="43"/>
      <c r="ABT8" s="43"/>
      <c r="ABU8" s="43"/>
      <c r="ABV8" s="43"/>
      <c r="ABW8" s="43"/>
      <c r="ABX8" s="43"/>
      <c r="ABY8" s="43"/>
      <c r="ABZ8" s="43"/>
      <c r="ACA8" s="43"/>
      <c r="ACB8" s="43"/>
      <c r="ACC8" s="43"/>
      <c r="ACD8" s="43"/>
      <c r="ACE8" s="43"/>
      <c r="ACF8" s="43"/>
      <c r="ACG8" s="43"/>
      <c r="ACH8" s="43"/>
      <c r="ACI8" s="43"/>
      <c r="ACJ8" s="43"/>
      <c r="ACK8" s="43"/>
      <c r="ACL8" s="43"/>
      <c r="ACM8" s="43"/>
      <c r="ACN8" s="43"/>
      <c r="ACO8" s="43"/>
      <c r="ACP8" s="43"/>
      <c r="ACQ8" s="43"/>
      <c r="ACR8" s="43"/>
      <c r="ACS8" s="43"/>
      <c r="ACT8" s="43"/>
      <c r="ACU8" s="43"/>
      <c r="ACV8" s="43"/>
      <c r="ACW8" s="43"/>
      <c r="ACX8" s="43"/>
      <c r="ACY8" s="43"/>
      <c r="ACZ8" s="43"/>
      <c r="ADA8" s="43"/>
      <c r="ADB8" s="43"/>
      <c r="ADC8" s="43"/>
      <c r="ADD8" s="43"/>
      <c r="ADE8" s="43"/>
      <c r="ADF8" s="43"/>
      <c r="ADG8" s="43"/>
      <c r="ADH8" s="43"/>
      <c r="ADI8" s="43"/>
      <c r="ADJ8" s="43"/>
      <c r="ADK8" s="43"/>
      <c r="ADL8" s="43"/>
      <c r="ADM8" s="43"/>
      <c r="ADN8" s="43"/>
      <c r="ADO8" s="43"/>
      <c r="ADP8" s="43"/>
      <c r="ADQ8" s="43"/>
      <c r="ADR8" s="43"/>
      <c r="ADS8" s="43"/>
      <c r="ADT8" s="43"/>
      <c r="ADU8" s="43"/>
      <c r="ADV8" s="43"/>
      <c r="ADW8" s="43"/>
      <c r="ADX8" s="43"/>
      <c r="ADY8" s="43"/>
      <c r="ADZ8" s="43"/>
      <c r="AEA8" s="43"/>
      <c r="AEB8" s="43"/>
      <c r="AEC8" s="43"/>
      <c r="AED8" s="43"/>
      <c r="AEE8" s="43"/>
      <c r="AEF8" s="43"/>
      <c r="AEG8" s="43"/>
      <c r="AEH8" s="43"/>
      <c r="AEI8" s="43"/>
      <c r="AEJ8" s="43"/>
      <c r="AEK8" s="43"/>
      <c r="AEL8" s="43"/>
      <c r="AEM8" s="44"/>
      <c r="AEN8" s="43"/>
      <c r="AEO8" s="44"/>
      <c r="AEP8" s="44"/>
      <c r="AEQ8" s="44"/>
      <c r="AER8" s="44"/>
      <c r="AES8" s="44"/>
      <c r="AET8" s="44"/>
      <c r="AEU8" s="44"/>
      <c r="AEV8" s="44"/>
      <c r="AEW8" s="44"/>
      <c r="AEX8" s="44"/>
      <c r="AEY8" s="44"/>
      <c r="AEZ8" s="44"/>
      <c r="AFA8" s="44"/>
      <c r="AFB8" s="44"/>
      <c r="AFC8" s="44"/>
      <c r="AFD8" s="44"/>
      <c r="AFE8" s="44"/>
      <c r="AFF8" s="44"/>
      <c r="AFG8" s="43"/>
      <c r="AFH8" s="43"/>
      <c r="AFI8" s="43"/>
      <c r="AFJ8" s="43"/>
      <c r="AFK8" s="43"/>
      <c r="AFL8" s="43"/>
      <c r="AFM8" s="43"/>
      <c r="AFN8" s="43"/>
      <c r="AFO8" s="43"/>
      <c r="AFP8" s="43"/>
      <c r="AFQ8" s="43"/>
      <c r="AFR8" s="43"/>
      <c r="AFS8" s="43"/>
      <c r="AFT8" s="43"/>
      <c r="AFU8" s="43"/>
      <c r="AFV8" s="43"/>
      <c r="AFW8" s="43"/>
      <c r="AFX8" s="43"/>
      <c r="AFY8" s="43"/>
      <c r="AFZ8" s="43"/>
      <c r="AGA8" s="43"/>
      <c r="AGB8" s="43"/>
      <c r="AGC8" s="43"/>
      <c r="AGD8" s="43"/>
      <c r="AGE8" s="43"/>
      <c r="AGF8" s="43"/>
      <c r="AGG8" s="43"/>
      <c r="AGH8" s="43"/>
      <c r="AGI8" s="43"/>
      <c r="AGJ8" s="43"/>
      <c r="AGK8" s="43"/>
      <c r="AGL8" s="43"/>
      <c r="AGM8" s="43"/>
      <c r="AGN8" s="43"/>
      <c r="AGO8" s="43"/>
      <c r="AGP8" s="43"/>
      <c r="AGQ8" s="43"/>
      <c r="AGR8" s="43"/>
      <c r="AGS8" s="43"/>
      <c r="AGT8" s="43"/>
      <c r="AGU8" s="43"/>
      <c r="AGV8" s="43"/>
      <c r="AGW8" s="43"/>
      <c r="AGX8" s="43"/>
      <c r="AGY8" s="43"/>
      <c r="AGZ8" s="43"/>
      <c r="AHA8" s="43"/>
      <c r="AHB8" s="43"/>
      <c r="AHC8" s="43"/>
      <c r="AHD8" s="43"/>
      <c r="AHE8" s="43"/>
      <c r="AHF8" s="43"/>
      <c r="AHG8" s="43"/>
      <c r="AHH8" s="43"/>
      <c r="AHI8" s="43"/>
      <c r="AHJ8" s="43"/>
      <c r="AHK8" s="43"/>
      <c r="AHL8" s="43"/>
      <c r="AHM8" s="43"/>
      <c r="AHN8" s="43"/>
      <c r="AHO8" s="43"/>
      <c r="AHP8" s="43"/>
      <c r="AHQ8" s="43"/>
      <c r="AHR8" s="43"/>
      <c r="AHS8" s="43"/>
      <c r="AHT8" s="43"/>
      <c r="AHU8" s="43"/>
      <c r="AHV8" s="43"/>
      <c r="AHW8" s="43"/>
      <c r="AHX8" s="43"/>
      <c r="AHY8" s="43"/>
      <c r="AHZ8" s="43"/>
      <c r="AIA8" s="43"/>
      <c r="AIB8" s="43"/>
      <c r="AIC8" s="43"/>
      <c r="AID8" s="43"/>
      <c r="AIE8" s="43"/>
      <c r="AIF8" s="43"/>
      <c r="AIG8" s="43"/>
      <c r="AIH8" s="43"/>
      <c r="AII8" s="43"/>
      <c r="AIJ8" s="43"/>
      <c r="AIK8" s="43"/>
      <c r="AIL8" s="43"/>
      <c r="AIM8" s="43"/>
      <c r="AIN8" s="43"/>
      <c r="AIO8" s="43"/>
      <c r="AIP8" s="43"/>
      <c r="AIQ8" s="43"/>
      <c r="AIR8" s="43"/>
      <c r="AIS8" s="43"/>
      <c r="AIT8" s="43"/>
      <c r="AIU8" s="43"/>
      <c r="AIV8" s="43"/>
      <c r="AIW8" s="43"/>
      <c r="AIX8" s="43"/>
      <c r="AIY8" s="43"/>
      <c r="AIZ8" s="43"/>
      <c r="AJA8" s="43"/>
      <c r="AJB8" s="43"/>
      <c r="AJC8" s="43"/>
      <c r="AJD8" s="43"/>
      <c r="AJE8" s="43"/>
      <c r="AJF8" s="43"/>
      <c r="AJG8" s="43"/>
      <c r="AJH8" s="43"/>
      <c r="AJI8" s="43"/>
      <c r="AJJ8" s="43"/>
      <c r="AJK8" s="43"/>
      <c r="AJL8" s="43"/>
      <c r="AJM8" s="43"/>
      <c r="AJN8" s="43"/>
      <c r="AJO8" s="43"/>
      <c r="AJP8" s="43"/>
      <c r="AJQ8" s="43"/>
      <c r="AJR8" s="43"/>
      <c r="AJS8" s="43"/>
      <c r="AJT8" s="43"/>
      <c r="AJU8" s="43"/>
      <c r="AJV8" s="43"/>
      <c r="AJW8" s="43"/>
      <c r="AJX8" s="43"/>
      <c r="AJY8" s="43"/>
      <c r="AJZ8" s="43"/>
      <c r="AKA8" s="43"/>
      <c r="AKB8" s="43"/>
      <c r="AKC8" s="43"/>
      <c r="AKD8" s="43"/>
      <c r="AKE8" s="43"/>
      <c r="AKF8" s="43"/>
      <c r="AKG8" s="43"/>
      <c r="AKH8" s="43"/>
      <c r="AKI8" s="43"/>
      <c r="AKJ8" s="43"/>
      <c r="AKK8" s="43"/>
      <c r="AKL8" s="43"/>
      <c r="AKM8" s="43"/>
      <c r="AKN8" s="43"/>
      <c r="AKO8" s="43"/>
      <c r="AKP8" s="43"/>
      <c r="AKQ8" s="43"/>
      <c r="AKR8" s="43"/>
      <c r="AKS8" s="43"/>
      <c r="AKT8" s="43"/>
      <c r="AKU8" s="44"/>
      <c r="AKV8" s="43"/>
      <c r="AKW8" s="43"/>
      <c r="AKX8" s="43"/>
      <c r="AKY8" s="43"/>
      <c r="AKZ8" s="43"/>
      <c r="ALA8" s="43"/>
      <c r="ALB8" s="43"/>
      <c r="ALC8" s="43"/>
      <c r="ALD8" s="43"/>
      <c r="ALE8" s="43"/>
      <c r="ALF8" s="43"/>
      <c r="ALG8" s="43"/>
      <c r="ALH8" s="43"/>
      <c r="ALI8" s="43"/>
      <c r="ALJ8" s="43"/>
      <c r="ALK8" s="43"/>
      <c r="ALL8" s="43"/>
      <c r="ALM8" s="43"/>
      <c r="ALN8" s="43"/>
      <c r="ALO8" s="43"/>
      <c r="ALP8" s="43"/>
      <c r="ALQ8" s="43"/>
      <c r="ALR8" s="43"/>
      <c r="ALS8" s="43"/>
      <c r="ALT8" s="43"/>
      <c r="ALU8" s="43"/>
      <c r="ALV8" s="43"/>
      <c r="ALW8" s="43"/>
      <c r="ALX8" s="43"/>
      <c r="ALY8" s="43"/>
      <c r="ALZ8" s="43"/>
      <c r="AMA8" s="43"/>
      <c r="AMB8" s="43"/>
      <c r="AMC8" s="43"/>
      <c r="AMD8" s="43"/>
      <c r="AME8" s="43"/>
      <c r="AMF8" s="43"/>
      <c r="AMG8" s="43"/>
      <c r="AMH8" s="43"/>
      <c r="AMI8" s="43"/>
      <c r="AMJ8" s="43"/>
      <c r="AMK8" s="43"/>
    </row>
    <row r="9" ht="15.75" customHeight="1">
      <c r="A9" s="33" t="s">
        <v>31</v>
      </c>
      <c r="B9" s="33" t="s">
        <v>31</v>
      </c>
      <c r="C9" s="33"/>
      <c r="D9" s="33"/>
      <c r="E9" s="33"/>
      <c r="F9" s="33" t="s">
        <v>32</v>
      </c>
      <c r="G9" s="33"/>
      <c r="H9" s="33"/>
      <c r="I9" s="42">
        <v>1.0</v>
      </c>
      <c r="J9" s="41">
        <v>0.0</v>
      </c>
      <c r="K9" s="41">
        <v>0.0</v>
      </c>
      <c r="L9" s="33"/>
      <c r="M9" s="33" t="s">
        <v>31</v>
      </c>
      <c r="N9" s="33" t="s">
        <v>33</v>
      </c>
      <c r="O9" s="33"/>
      <c r="P9" s="33"/>
      <c r="Q9" s="33"/>
      <c r="R9" s="33"/>
      <c r="S9" s="33"/>
      <c r="T9" s="33"/>
      <c r="U9" s="33"/>
      <c r="V9" s="33"/>
      <c r="W9" s="41">
        <v>1.0</v>
      </c>
      <c r="X9" s="33" t="s">
        <v>31</v>
      </c>
      <c r="Y9" s="33" t="s">
        <v>31</v>
      </c>
      <c r="Z9" s="33" t="s">
        <v>34</v>
      </c>
      <c r="AA9" s="33"/>
      <c r="AB9" s="41">
        <v>1.0</v>
      </c>
      <c r="AC9" s="33" t="s">
        <v>35</v>
      </c>
      <c r="AD9" s="33"/>
      <c r="AE9" s="41">
        <v>400.0</v>
      </c>
      <c r="AF9" s="33"/>
      <c r="AG9" s="33" t="s">
        <v>36</v>
      </c>
      <c r="AH9" s="41">
        <v>1.0</v>
      </c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42">
        <v>-42.0</v>
      </c>
      <c r="AU9" s="42">
        <v>-42.0</v>
      </c>
      <c r="AV9" s="33"/>
      <c r="AW9" s="33"/>
      <c r="AX9" s="33"/>
      <c r="AY9" s="33" t="s">
        <v>37</v>
      </c>
      <c r="AZ9" s="33"/>
      <c r="BA9" s="33"/>
      <c r="BB9" s="33"/>
      <c r="BC9" s="33"/>
      <c r="BD9" s="33"/>
      <c r="BE9" s="41">
        <v>0.0</v>
      </c>
      <c r="BF9" s="41">
        <v>0.0</v>
      </c>
      <c r="BG9" s="33"/>
      <c r="BH9" s="33"/>
      <c r="BI9" s="33"/>
      <c r="BJ9" s="41">
        <v>400.0</v>
      </c>
      <c r="BK9" s="33"/>
      <c r="BL9" s="33" t="s">
        <v>31</v>
      </c>
      <c r="BM9" s="33" t="s">
        <v>34</v>
      </c>
      <c r="BN9" s="33"/>
      <c r="BO9" s="33" t="s">
        <v>21</v>
      </c>
      <c r="BP9" s="33"/>
      <c r="BQ9" s="33"/>
      <c r="BR9" s="33"/>
      <c r="BS9" s="40" t="s">
        <v>25</v>
      </c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 t="s">
        <v>38</v>
      </c>
      <c r="CF9" s="33"/>
      <c r="CG9" s="33"/>
      <c r="CH9" s="33" t="s">
        <v>39</v>
      </c>
      <c r="CI9" s="41">
        <v>400.0</v>
      </c>
      <c r="CJ9" s="33" t="s">
        <v>40</v>
      </c>
      <c r="CK9" s="41">
        <v>1.0</v>
      </c>
      <c r="CL9" s="33"/>
      <c r="CM9" s="33" t="s">
        <v>41</v>
      </c>
      <c r="CN9" s="33" t="s">
        <v>42</v>
      </c>
      <c r="CO9" s="33"/>
      <c r="CP9" s="33"/>
      <c r="CQ9" s="33"/>
      <c r="CR9" s="33"/>
      <c r="CS9" s="33" t="s">
        <v>31</v>
      </c>
      <c r="CT9" s="33" t="s">
        <v>31</v>
      </c>
      <c r="CU9" s="33" t="s">
        <v>31</v>
      </c>
      <c r="CV9" s="33" t="s">
        <v>31</v>
      </c>
      <c r="CW9" s="33" t="s">
        <v>31</v>
      </c>
      <c r="CX9" s="33" t="s">
        <v>31</v>
      </c>
      <c r="CY9" s="33" t="s">
        <v>31</v>
      </c>
      <c r="CZ9" s="33" t="s">
        <v>31</v>
      </c>
      <c r="DA9" s="33" t="s">
        <v>31</v>
      </c>
      <c r="DB9" s="33" t="s">
        <v>31</v>
      </c>
      <c r="DC9" s="33" t="s">
        <v>31</v>
      </c>
      <c r="DD9" s="33" t="s">
        <v>31</v>
      </c>
      <c r="DE9" s="33" t="s">
        <v>31</v>
      </c>
      <c r="DF9" s="33" t="s">
        <v>31</v>
      </c>
      <c r="DG9" s="33" t="s">
        <v>31</v>
      </c>
      <c r="DH9" s="33" t="s">
        <v>31</v>
      </c>
      <c r="DI9" s="33" t="s">
        <v>31</v>
      </c>
      <c r="DJ9" s="33" t="s">
        <v>31</v>
      </c>
      <c r="DK9" s="33" t="s">
        <v>31</v>
      </c>
      <c r="DL9" s="33" t="s">
        <v>31</v>
      </c>
      <c r="DM9" s="33" t="s">
        <v>31</v>
      </c>
      <c r="DN9" s="33" t="s">
        <v>31</v>
      </c>
      <c r="DO9" s="33" t="s">
        <v>31</v>
      </c>
      <c r="DP9" s="33" t="s">
        <v>31</v>
      </c>
      <c r="DQ9" s="33" t="s">
        <v>31</v>
      </c>
      <c r="DR9" s="33" t="s">
        <v>31</v>
      </c>
      <c r="DS9" s="33" t="s">
        <v>31</v>
      </c>
      <c r="DT9" s="33" t="s">
        <v>31</v>
      </c>
      <c r="DU9" s="33" t="s">
        <v>31</v>
      </c>
      <c r="DV9" s="33" t="s">
        <v>31</v>
      </c>
      <c r="DW9" s="33" t="s">
        <v>31</v>
      </c>
      <c r="DX9" s="33" t="s">
        <v>31</v>
      </c>
      <c r="DY9" s="33" t="s">
        <v>31</v>
      </c>
      <c r="DZ9" s="33" t="s">
        <v>31</v>
      </c>
      <c r="EA9" s="33" t="s">
        <v>31</v>
      </c>
      <c r="EB9" s="33" t="s">
        <v>31</v>
      </c>
      <c r="EC9" s="33" t="s">
        <v>31</v>
      </c>
      <c r="ED9" s="33" t="s">
        <v>31</v>
      </c>
      <c r="EE9" s="33" t="s">
        <v>31</v>
      </c>
      <c r="EF9" s="33" t="s">
        <v>31</v>
      </c>
      <c r="EG9" s="33" t="s">
        <v>31</v>
      </c>
      <c r="EH9" s="33" t="s">
        <v>31</v>
      </c>
      <c r="EI9" s="33" t="s">
        <v>31</v>
      </c>
      <c r="EJ9" s="33" t="s">
        <v>31</v>
      </c>
      <c r="EK9" s="33" t="s">
        <v>31</v>
      </c>
      <c r="EL9" s="33" t="s">
        <v>31</v>
      </c>
      <c r="EM9" s="33" t="s">
        <v>31</v>
      </c>
      <c r="EN9" s="33" t="s">
        <v>31</v>
      </c>
      <c r="EO9" s="33" t="s">
        <v>31</v>
      </c>
      <c r="EP9" s="33" t="s">
        <v>31</v>
      </c>
      <c r="EQ9" s="33" t="s">
        <v>31</v>
      </c>
      <c r="ER9" s="33" t="s">
        <v>31</v>
      </c>
      <c r="ES9" s="33" t="s">
        <v>31</v>
      </c>
      <c r="ET9" s="33" t="s">
        <v>31</v>
      </c>
      <c r="EU9" s="33" t="s">
        <v>31</v>
      </c>
      <c r="EV9" s="33" t="s">
        <v>31</v>
      </c>
      <c r="EW9" s="33" t="s">
        <v>31</v>
      </c>
      <c r="EX9" s="33" t="s">
        <v>31</v>
      </c>
      <c r="EY9" s="33" t="s">
        <v>31</v>
      </c>
      <c r="EZ9" s="33" t="s">
        <v>31</v>
      </c>
      <c r="FA9" s="33" t="s">
        <v>31</v>
      </c>
      <c r="FB9" s="33" t="s">
        <v>31</v>
      </c>
      <c r="FC9" s="33" t="s">
        <v>31</v>
      </c>
      <c r="FD9" s="33" t="s">
        <v>31</v>
      </c>
      <c r="FE9" s="33" t="s">
        <v>31</v>
      </c>
      <c r="FF9" s="33" t="s">
        <v>31</v>
      </c>
      <c r="FG9" s="33" t="s">
        <v>31</v>
      </c>
      <c r="FH9" s="33" t="s">
        <v>31</v>
      </c>
      <c r="FI9" s="33" t="s">
        <v>31</v>
      </c>
      <c r="FJ9" s="33" t="s">
        <v>31</v>
      </c>
      <c r="FK9" s="33" t="s">
        <v>31</v>
      </c>
      <c r="FL9" s="33" t="s">
        <v>31</v>
      </c>
      <c r="FM9" s="33" t="s">
        <v>31</v>
      </c>
      <c r="FN9" s="33" t="s">
        <v>31</v>
      </c>
      <c r="FO9" s="33" t="s">
        <v>31</v>
      </c>
      <c r="FP9" s="33" t="s">
        <v>31</v>
      </c>
      <c r="FQ9" s="33" t="s">
        <v>31</v>
      </c>
      <c r="FR9" s="43"/>
      <c r="FS9" s="43"/>
      <c r="FT9" s="43"/>
      <c r="FU9" s="43"/>
      <c r="FV9" s="43"/>
      <c r="FW9" s="43"/>
      <c r="FX9" s="43"/>
      <c r="FY9" s="43"/>
      <c r="FZ9" s="43"/>
      <c r="GA9" s="43"/>
      <c r="GB9" s="43"/>
      <c r="GC9" s="43"/>
      <c r="GD9" s="43"/>
      <c r="GE9" s="43"/>
      <c r="GF9" s="43"/>
      <c r="GG9" s="43"/>
      <c r="GH9" s="43"/>
      <c r="GI9" s="43"/>
      <c r="GJ9" s="43"/>
      <c r="GK9" s="43"/>
      <c r="GL9" s="43"/>
      <c r="GM9" s="43"/>
      <c r="GN9" s="43"/>
      <c r="GO9" s="43"/>
      <c r="GP9" s="43"/>
      <c r="GQ9" s="43"/>
      <c r="GR9" s="43"/>
      <c r="GS9" s="43"/>
      <c r="GT9" s="43"/>
      <c r="GU9" s="43"/>
      <c r="GV9" s="43"/>
      <c r="GW9" s="43"/>
      <c r="GX9" s="43"/>
      <c r="GY9" s="43"/>
      <c r="GZ9" s="43"/>
      <c r="HA9" s="43"/>
      <c r="HB9" s="43"/>
      <c r="HC9" s="43"/>
      <c r="HD9" s="43"/>
      <c r="HE9" s="43"/>
      <c r="HF9" s="43"/>
      <c r="HG9" s="43"/>
      <c r="HH9" s="43"/>
      <c r="HI9" s="43"/>
      <c r="HJ9" s="43"/>
      <c r="HK9" s="43"/>
      <c r="HL9" s="43"/>
      <c r="HM9" s="43"/>
      <c r="HN9" s="43"/>
      <c r="HO9" s="43"/>
      <c r="HP9" s="43"/>
      <c r="HQ9" s="43"/>
      <c r="HR9" s="43"/>
      <c r="HS9" s="43"/>
      <c r="HT9" s="43"/>
      <c r="HU9" s="43"/>
      <c r="HV9" s="43"/>
      <c r="HW9" s="43"/>
      <c r="HX9" s="43"/>
      <c r="HY9" s="43"/>
      <c r="HZ9" s="43"/>
      <c r="IA9" s="43"/>
      <c r="IB9" s="43"/>
      <c r="IC9" s="43"/>
      <c r="ID9" s="43"/>
      <c r="IE9" s="43"/>
      <c r="IF9" s="43"/>
      <c r="IG9" s="43"/>
      <c r="IH9" s="43"/>
      <c r="II9" s="43"/>
      <c r="IJ9" s="43"/>
      <c r="IK9" s="43"/>
      <c r="IL9" s="43"/>
      <c r="IM9" s="43"/>
      <c r="IN9" s="43"/>
      <c r="IO9" s="43"/>
      <c r="IP9" s="43"/>
      <c r="IQ9" s="43"/>
      <c r="IR9" s="43"/>
      <c r="IS9" s="43"/>
      <c r="IT9" s="43"/>
      <c r="IU9" s="43"/>
      <c r="IV9" s="43"/>
      <c r="IW9" s="43"/>
      <c r="IX9" s="43"/>
      <c r="IY9" s="43"/>
      <c r="IZ9" s="43"/>
      <c r="JA9" s="43"/>
      <c r="JB9" s="43"/>
      <c r="JC9" s="43"/>
      <c r="JD9" s="43"/>
      <c r="JE9" s="43"/>
      <c r="JF9" s="43"/>
      <c r="JG9" s="43"/>
      <c r="JH9" s="43"/>
      <c r="JI9" s="43"/>
      <c r="JJ9" s="43"/>
      <c r="JK9" s="43"/>
      <c r="JL9" s="43"/>
      <c r="JM9" s="43"/>
      <c r="JN9" s="43"/>
      <c r="JO9" s="43"/>
      <c r="JP9" s="43"/>
      <c r="JQ9" s="43"/>
      <c r="JR9" s="43"/>
      <c r="JS9" s="43"/>
      <c r="JT9" s="43"/>
      <c r="JU9" s="43"/>
      <c r="JV9" s="43"/>
      <c r="JW9" s="43"/>
      <c r="JX9" s="43"/>
      <c r="JY9" s="43"/>
      <c r="JZ9" s="43"/>
      <c r="KA9" s="43"/>
      <c r="KB9" s="43"/>
      <c r="KC9" s="43"/>
      <c r="KD9" s="43"/>
      <c r="KE9" s="43"/>
      <c r="KF9" s="43"/>
      <c r="KG9" s="43"/>
      <c r="KH9" s="43"/>
      <c r="KI9" s="43"/>
      <c r="KJ9" s="43"/>
      <c r="KK9" s="43"/>
      <c r="KL9" s="43"/>
      <c r="KM9" s="43"/>
      <c r="KN9" s="43"/>
      <c r="KO9" s="43"/>
      <c r="KP9" s="43"/>
      <c r="KQ9" s="43"/>
      <c r="KR9" s="43"/>
      <c r="KS9" s="43"/>
      <c r="KT9" s="43"/>
      <c r="KU9" s="43"/>
      <c r="KV9" s="43"/>
      <c r="KW9" s="43"/>
      <c r="KX9" s="43"/>
      <c r="KY9" s="43"/>
      <c r="KZ9" s="43"/>
      <c r="LA9" s="43"/>
      <c r="LB9" s="43"/>
      <c r="LC9" s="43"/>
      <c r="LD9" s="43"/>
      <c r="LE9" s="43"/>
      <c r="LF9" s="43"/>
      <c r="LG9" s="43"/>
      <c r="LH9" s="43"/>
      <c r="LI9" s="43"/>
      <c r="LJ9" s="43"/>
      <c r="LK9" s="43"/>
      <c r="LL9" s="43"/>
      <c r="LM9" s="43"/>
      <c r="LN9" s="43"/>
      <c r="LO9" s="44"/>
      <c r="LP9" s="43"/>
      <c r="LQ9" s="44"/>
      <c r="LR9" s="44"/>
      <c r="LS9" s="44"/>
      <c r="LT9" s="44"/>
      <c r="LU9" s="44"/>
      <c r="LV9" s="44"/>
      <c r="LW9" s="44"/>
      <c r="LX9" s="44"/>
      <c r="LY9" s="44"/>
      <c r="LZ9" s="44"/>
      <c r="MA9" s="44"/>
      <c r="MB9" s="44"/>
      <c r="MC9" s="44"/>
      <c r="MD9" s="44"/>
      <c r="ME9" s="44"/>
      <c r="MF9" s="44"/>
      <c r="MG9" s="44"/>
      <c r="MH9" s="44"/>
      <c r="MI9" s="43"/>
      <c r="MJ9" s="43"/>
      <c r="MK9" s="43"/>
      <c r="ML9" s="43"/>
      <c r="MM9" s="43"/>
      <c r="MN9" s="43"/>
      <c r="MO9" s="43"/>
      <c r="MP9" s="43"/>
      <c r="MQ9" s="43"/>
      <c r="MR9" s="43"/>
      <c r="MS9" s="43"/>
      <c r="MT9" s="43"/>
      <c r="MU9" s="43"/>
      <c r="MV9" s="43"/>
      <c r="MW9" s="43"/>
      <c r="MX9" s="43"/>
      <c r="MY9" s="43"/>
      <c r="MZ9" s="43"/>
      <c r="NA9" s="43"/>
      <c r="NB9" s="43"/>
      <c r="NC9" s="43"/>
      <c r="ND9" s="43"/>
      <c r="NE9" s="43"/>
      <c r="NF9" s="43"/>
      <c r="NG9" s="43"/>
      <c r="NH9" s="43"/>
      <c r="NI9" s="43"/>
      <c r="NJ9" s="43"/>
      <c r="NK9" s="43"/>
      <c r="NL9" s="43"/>
      <c r="NM9" s="43"/>
      <c r="NN9" s="43"/>
      <c r="NO9" s="43"/>
      <c r="NP9" s="43"/>
      <c r="NQ9" s="43"/>
      <c r="NR9" s="43"/>
      <c r="NS9" s="43"/>
      <c r="NT9" s="43"/>
      <c r="NU9" s="43"/>
      <c r="NV9" s="43"/>
      <c r="NW9" s="43"/>
      <c r="NX9" s="43"/>
      <c r="NY9" s="43"/>
      <c r="NZ9" s="43"/>
      <c r="OA9" s="43"/>
      <c r="OB9" s="43"/>
      <c r="OC9" s="43"/>
      <c r="OD9" s="43"/>
      <c r="OE9" s="43"/>
      <c r="OF9" s="43"/>
      <c r="OG9" s="43"/>
      <c r="OH9" s="43"/>
      <c r="OI9" s="43"/>
      <c r="OJ9" s="43"/>
      <c r="OK9" s="43"/>
      <c r="OL9" s="43"/>
      <c r="OM9" s="43"/>
      <c r="ON9" s="43"/>
      <c r="OO9" s="43"/>
      <c r="OP9" s="43"/>
      <c r="OQ9" s="43"/>
      <c r="OR9" s="43"/>
      <c r="OS9" s="43"/>
      <c r="OT9" s="43"/>
      <c r="OU9" s="43"/>
      <c r="OV9" s="43"/>
      <c r="OW9" s="43"/>
      <c r="OX9" s="43"/>
      <c r="OY9" s="43"/>
      <c r="OZ9" s="43"/>
      <c r="PA9" s="43"/>
      <c r="PB9" s="43"/>
      <c r="PC9" s="43"/>
      <c r="PD9" s="43"/>
      <c r="PE9" s="43"/>
      <c r="PF9" s="43"/>
      <c r="PG9" s="43"/>
      <c r="PH9" s="43"/>
      <c r="PI9" s="43"/>
      <c r="PJ9" s="43"/>
      <c r="PK9" s="43"/>
      <c r="PL9" s="43"/>
      <c r="PM9" s="43"/>
      <c r="PN9" s="43"/>
      <c r="PO9" s="43"/>
      <c r="PP9" s="43"/>
      <c r="PQ9" s="43"/>
      <c r="PR9" s="43"/>
      <c r="PS9" s="43"/>
      <c r="PT9" s="43"/>
      <c r="PU9" s="43"/>
      <c r="PV9" s="43"/>
      <c r="PW9" s="43"/>
      <c r="PX9" s="43"/>
      <c r="PY9" s="43"/>
      <c r="PZ9" s="43"/>
      <c r="QA9" s="43"/>
      <c r="QB9" s="43"/>
      <c r="QC9" s="43"/>
      <c r="QD9" s="43"/>
      <c r="QE9" s="43"/>
      <c r="QF9" s="43"/>
      <c r="QG9" s="43"/>
      <c r="QH9" s="43"/>
      <c r="QI9" s="43"/>
      <c r="QJ9" s="43"/>
      <c r="QK9" s="43"/>
      <c r="QL9" s="43"/>
      <c r="QM9" s="43"/>
      <c r="QN9" s="43"/>
      <c r="QO9" s="43"/>
      <c r="QP9" s="43"/>
      <c r="QQ9" s="43"/>
      <c r="QR9" s="43"/>
      <c r="QS9" s="43"/>
      <c r="QT9" s="43"/>
      <c r="QU9" s="43"/>
      <c r="QV9" s="43"/>
      <c r="QW9" s="43"/>
      <c r="QX9" s="43"/>
      <c r="QY9" s="43"/>
      <c r="QZ9" s="43"/>
      <c r="RA9" s="43"/>
      <c r="RB9" s="43"/>
      <c r="RC9" s="43"/>
      <c r="RD9" s="43"/>
      <c r="RE9" s="43"/>
      <c r="RF9" s="43"/>
      <c r="RG9" s="43"/>
      <c r="RH9" s="43"/>
      <c r="RI9" s="43"/>
      <c r="RJ9" s="43"/>
      <c r="RK9" s="43"/>
      <c r="RL9" s="43"/>
      <c r="RM9" s="43"/>
      <c r="RN9" s="43"/>
      <c r="RO9" s="43"/>
      <c r="RP9" s="43"/>
      <c r="RQ9" s="43"/>
      <c r="RR9" s="43"/>
      <c r="RS9" s="43"/>
      <c r="RT9" s="43"/>
      <c r="RU9" s="43"/>
      <c r="RV9" s="43"/>
      <c r="RW9" s="44"/>
      <c r="RX9" s="43"/>
      <c r="RY9" s="44"/>
      <c r="RZ9" s="44"/>
      <c r="SA9" s="44"/>
      <c r="SB9" s="44"/>
      <c r="SC9" s="44"/>
      <c r="SD9" s="44"/>
      <c r="SE9" s="44"/>
      <c r="SF9" s="44"/>
      <c r="SG9" s="44"/>
      <c r="SH9" s="44"/>
      <c r="SI9" s="44"/>
      <c r="SJ9" s="44"/>
      <c r="SK9" s="44"/>
      <c r="SL9" s="44"/>
      <c r="SM9" s="44"/>
      <c r="SN9" s="44"/>
      <c r="SO9" s="44"/>
      <c r="SP9" s="44"/>
      <c r="SQ9" s="43"/>
      <c r="SR9" s="43"/>
      <c r="SS9" s="43"/>
      <c r="ST9" s="43"/>
      <c r="SU9" s="43"/>
      <c r="SV9" s="43"/>
      <c r="SW9" s="43"/>
      <c r="SX9" s="43"/>
      <c r="SY9" s="43"/>
      <c r="SZ9" s="43"/>
      <c r="TA9" s="43"/>
      <c r="TB9" s="43"/>
      <c r="TC9" s="43"/>
      <c r="TD9" s="43"/>
      <c r="TE9" s="43"/>
      <c r="TF9" s="43"/>
      <c r="TG9" s="43"/>
      <c r="TH9" s="43"/>
      <c r="TI9" s="43"/>
      <c r="TJ9" s="43"/>
      <c r="TK9" s="43"/>
      <c r="TL9" s="43"/>
      <c r="TM9" s="43"/>
      <c r="TN9" s="43"/>
      <c r="TO9" s="43"/>
      <c r="TP9" s="43"/>
      <c r="TQ9" s="43"/>
      <c r="TR9" s="43"/>
      <c r="TS9" s="43"/>
      <c r="TT9" s="43"/>
      <c r="TU9" s="43"/>
      <c r="TV9" s="43"/>
      <c r="TW9" s="43"/>
      <c r="TX9" s="43"/>
      <c r="TY9" s="43"/>
      <c r="TZ9" s="43"/>
      <c r="UA9" s="43"/>
      <c r="UB9" s="43"/>
      <c r="UC9" s="43"/>
      <c r="UD9" s="43"/>
      <c r="UE9" s="43"/>
      <c r="UF9" s="43"/>
      <c r="UG9" s="43"/>
      <c r="UH9" s="43"/>
      <c r="UI9" s="43"/>
      <c r="UJ9" s="43"/>
      <c r="UK9" s="43"/>
      <c r="UL9" s="43"/>
      <c r="UM9" s="43"/>
      <c r="UN9" s="43"/>
      <c r="UO9" s="43"/>
      <c r="UP9" s="43"/>
      <c r="UQ9" s="43"/>
      <c r="UR9" s="43"/>
      <c r="US9" s="43"/>
      <c r="UT9" s="43"/>
      <c r="UU9" s="43"/>
      <c r="UV9" s="43"/>
      <c r="UW9" s="43"/>
      <c r="UX9" s="43"/>
      <c r="UY9" s="43"/>
      <c r="UZ9" s="43"/>
      <c r="VA9" s="43"/>
      <c r="VB9" s="43"/>
      <c r="VC9" s="43"/>
      <c r="VD9" s="43"/>
      <c r="VE9" s="43"/>
      <c r="VF9" s="43"/>
      <c r="VG9" s="43"/>
      <c r="VH9" s="43"/>
      <c r="VI9" s="43"/>
      <c r="VJ9" s="43"/>
      <c r="VK9" s="43"/>
      <c r="VL9" s="43"/>
      <c r="VM9" s="43"/>
      <c r="VN9" s="43"/>
      <c r="VO9" s="43"/>
      <c r="VP9" s="43"/>
      <c r="VQ9" s="43"/>
      <c r="VR9" s="43"/>
      <c r="VS9" s="43"/>
      <c r="VT9" s="43"/>
      <c r="VU9" s="43"/>
      <c r="VV9" s="43"/>
      <c r="VW9" s="43"/>
      <c r="VX9" s="43"/>
      <c r="VY9" s="43"/>
      <c r="VZ9" s="43"/>
      <c r="WA9" s="43"/>
      <c r="WB9" s="43"/>
      <c r="WC9" s="43"/>
      <c r="WD9" s="43"/>
      <c r="WE9" s="43"/>
      <c r="WF9" s="43"/>
      <c r="WG9" s="43"/>
      <c r="WH9" s="43"/>
      <c r="WI9" s="43"/>
      <c r="WJ9" s="43"/>
      <c r="WK9" s="43"/>
      <c r="WL9" s="43"/>
      <c r="WM9" s="43"/>
      <c r="WN9" s="43"/>
      <c r="WO9" s="43"/>
      <c r="WP9" s="43"/>
      <c r="WQ9" s="43"/>
      <c r="WR9" s="43"/>
      <c r="WS9" s="43"/>
      <c r="WT9" s="43"/>
      <c r="WU9" s="43"/>
      <c r="WV9" s="43"/>
      <c r="WW9" s="43"/>
      <c r="WX9" s="43"/>
      <c r="WY9" s="43"/>
      <c r="WZ9" s="43"/>
      <c r="XA9" s="43"/>
      <c r="XB9" s="43"/>
      <c r="XC9" s="43"/>
      <c r="XD9" s="43"/>
      <c r="XE9" s="43"/>
      <c r="XF9" s="43"/>
      <c r="XG9" s="43"/>
      <c r="XH9" s="43"/>
      <c r="XI9" s="43"/>
      <c r="XJ9" s="43"/>
      <c r="XK9" s="43"/>
      <c r="XL9" s="43"/>
      <c r="XM9" s="43"/>
      <c r="XN9" s="43"/>
      <c r="XO9" s="43"/>
      <c r="XP9" s="43"/>
      <c r="XQ9" s="43"/>
      <c r="XR9" s="43"/>
      <c r="XS9" s="43"/>
      <c r="XT9" s="43"/>
      <c r="XU9" s="43"/>
      <c r="XV9" s="43"/>
      <c r="XW9" s="43"/>
      <c r="XX9" s="43"/>
      <c r="XY9" s="43"/>
      <c r="XZ9" s="43"/>
      <c r="YA9" s="43"/>
      <c r="YB9" s="43"/>
      <c r="YC9" s="43"/>
      <c r="YD9" s="43"/>
      <c r="YE9" s="44"/>
      <c r="YF9" s="43"/>
      <c r="YG9" s="44"/>
      <c r="YH9" s="44"/>
      <c r="YI9" s="44"/>
      <c r="YJ9" s="44"/>
      <c r="YK9" s="44"/>
      <c r="YL9" s="44"/>
      <c r="YM9" s="44"/>
      <c r="YN9" s="44"/>
      <c r="YO9" s="44"/>
      <c r="YP9" s="44"/>
      <c r="YQ9" s="44"/>
      <c r="YR9" s="44"/>
      <c r="YS9" s="44"/>
      <c r="YT9" s="44"/>
      <c r="YU9" s="44"/>
      <c r="YV9" s="44"/>
      <c r="YW9" s="44"/>
      <c r="YX9" s="44"/>
      <c r="YY9" s="43"/>
      <c r="YZ9" s="43"/>
      <c r="ZA9" s="43"/>
      <c r="ZB9" s="43"/>
      <c r="ZC9" s="43"/>
      <c r="ZD9" s="43"/>
      <c r="ZE9" s="43"/>
      <c r="ZF9" s="43"/>
      <c r="ZG9" s="43"/>
      <c r="ZH9" s="43"/>
      <c r="ZI9" s="43"/>
      <c r="ZJ9" s="43"/>
      <c r="ZK9" s="43"/>
      <c r="ZL9" s="43"/>
      <c r="ZM9" s="43"/>
      <c r="ZN9" s="43"/>
      <c r="ZO9" s="43"/>
      <c r="ZP9" s="43"/>
      <c r="ZQ9" s="43"/>
      <c r="ZR9" s="43"/>
      <c r="ZS9" s="43"/>
      <c r="ZT9" s="43"/>
      <c r="ZU9" s="43"/>
      <c r="ZV9" s="43"/>
      <c r="ZW9" s="43"/>
      <c r="ZX9" s="43"/>
      <c r="ZY9" s="43"/>
      <c r="ZZ9" s="43"/>
      <c r="AAA9" s="43"/>
      <c r="AAB9" s="43"/>
      <c r="AAC9" s="43"/>
      <c r="AAD9" s="43"/>
      <c r="AAE9" s="43"/>
      <c r="AAF9" s="43"/>
      <c r="AAG9" s="43"/>
      <c r="AAH9" s="43"/>
      <c r="AAI9" s="43"/>
      <c r="AAJ9" s="43"/>
      <c r="AAK9" s="43"/>
      <c r="AAL9" s="43"/>
      <c r="AAM9" s="43"/>
      <c r="AAN9" s="43"/>
      <c r="AAO9" s="43"/>
      <c r="AAP9" s="43"/>
      <c r="AAQ9" s="43"/>
      <c r="AAR9" s="43"/>
      <c r="AAS9" s="43"/>
      <c r="AAT9" s="43"/>
      <c r="AAU9" s="43"/>
      <c r="AAV9" s="43"/>
      <c r="AAW9" s="43"/>
      <c r="AAX9" s="43"/>
      <c r="AAY9" s="43"/>
      <c r="AAZ9" s="43"/>
      <c r="ABA9" s="43"/>
      <c r="ABB9" s="43"/>
      <c r="ABC9" s="43"/>
      <c r="ABD9" s="43"/>
      <c r="ABE9" s="43"/>
      <c r="ABF9" s="43"/>
      <c r="ABG9" s="43"/>
      <c r="ABH9" s="43"/>
      <c r="ABI9" s="43"/>
      <c r="ABJ9" s="43"/>
      <c r="ABK9" s="43"/>
      <c r="ABL9" s="43"/>
      <c r="ABM9" s="43"/>
      <c r="ABN9" s="43"/>
      <c r="ABO9" s="43"/>
      <c r="ABP9" s="43"/>
      <c r="ABQ9" s="43"/>
      <c r="ABR9" s="43"/>
      <c r="ABS9" s="43"/>
      <c r="ABT9" s="43"/>
      <c r="ABU9" s="43"/>
      <c r="ABV9" s="43"/>
      <c r="ABW9" s="43"/>
      <c r="ABX9" s="43"/>
      <c r="ABY9" s="43"/>
      <c r="ABZ9" s="43"/>
      <c r="ACA9" s="43"/>
      <c r="ACB9" s="43"/>
      <c r="ACC9" s="43"/>
      <c r="ACD9" s="43"/>
      <c r="ACE9" s="43"/>
      <c r="ACF9" s="43"/>
      <c r="ACG9" s="43"/>
      <c r="ACH9" s="43"/>
      <c r="ACI9" s="43"/>
      <c r="ACJ9" s="43"/>
      <c r="ACK9" s="43"/>
      <c r="ACL9" s="43"/>
      <c r="ACM9" s="43"/>
      <c r="ACN9" s="43"/>
      <c r="ACO9" s="43"/>
      <c r="ACP9" s="43"/>
      <c r="ACQ9" s="43"/>
      <c r="ACR9" s="43"/>
      <c r="ACS9" s="43"/>
      <c r="ACT9" s="43"/>
      <c r="ACU9" s="43"/>
      <c r="ACV9" s="43"/>
      <c r="ACW9" s="43"/>
      <c r="ACX9" s="43"/>
      <c r="ACY9" s="43"/>
      <c r="ACZ9" s="43"/>
      <c r="ADA9" s="43"/>
      <c r="ADB9" s="43"/>
      <c r="ADC9" s="43"/>
      <c r="ADD9" s="43"/>
      <c r="ADE9" s="43"/>
      <c r="ADF9" s="43"/>
      <c r="ADG9" s="43"/>
      <c r="ADH9" s="43"/>
      <c r="ADI9" s="43"/>
      <c r="ADJ9" s="43"/>
      <c r="ADK9" s="43"/>
      <c r="ADL9" s="43"/>
      <c r="ADM9" s="43"/>
      <c r="ADN9" s="43"/>
      <c r="ADO9" s="43"/>
      <c r="ADP9" s="43"/>
      <c r="ADQ9" s="43"/>
      <c r="ADR9" s="43"/>
      <c r="ADS9" s="43"/>
      <c r="ADT9" s="43"/>
      <c r="ADU9" s="43"/>
      <c r="ADV9" s="43"/>
      <c r="ADW9" s="43"/>
      <c r="ADX9" s="43"/>
      <c r="ADY9" s="43"/>
      <c r="ADZ9" s="43"/>
      <c r="AEA9" s="43"/>
      <c r="AEB9" s="43"/>
      <c r="AEC9" s="43"/>
      <c r="AED9" s="43"/>
      <c r="AEE9" s="43"/>
      <c r="AEF9" s="43"/>
      <c r="AEG9" s="43"/>
      <c r="AEH9" s="43"/>
      <c r="AEI9" s="43"/>
      <c r="AEJ9" s="43"/>
      <c r="AEK9" s="43"/>
      <c r="AEL9" s="43"/>
      <c r="AEM9" s="44"/>
      <c r="AEN9" s="43"/>
      <c r="AEO9" s="44"/>
      <c r="AEP9" s="44"/>
      <c r="AEQ9" s="44"/>
      <c r="AER9" s="44"/>
      <c r="AES9" s="44"/>
      <c r="AET9" s="44"/>
      <c r="AEU9" s="44"/>
      <c r="AEV9" s="44"/>
      <c r="AEW9" s="44"/>
      <c r="AEX9" s="44"/>
      <c r="AEY9" s="44"/>
      <c r="AEZ9" s="44"/>
      <c r="AFA9" s="44"/>
      <c r="AFB9" s="44"/>
      <c r="AFC9" s="44"/>
      <c r="AFD9" s="44"/>
      <c r="AFE9" s="44"/>
      <c r="AFF9" s="44"/>
      <c r="AFG9" s="43"/>
      <c r="AFH9" s="43"/>
      <c r="AFI9" s="43"/>
      <c r="AFJ9" s="43"/>
      <c r="AFK9" s="43"/>
      <c r="AFL9" s="43"/>
      <c r="AFM9" s="43"/>
      <c r="AFN9" s="43"/>
      <c r="AFO9" s="43"/>
      <c r="AFP9" s="43"/>
      <c r="AFQ9" s="43"/>
      <c r="AFR9" s="43"/>
      <c r="AFS9" s="43"/>
      <c r="AFT9" s="43"/>
      <c r="AFU9" s="43"/>
      <c r="AFV9" s="43"/>
      <c r="AFW9" s="43"/>
      <c r="AFX9" s="43"/>
      <c r="AFY9" s="43"/>
      <c r="AFZ9" s="43"/>
      <c r="AGA9" s="43"/>
      <c r="AGB9" s="43"/>
      <c r="AGC9" s="43"/>
      <c r="AGD9" s="43"/>
      <c r="AGE9" s="43"/>
      <c r="AGF9" s="43"/>
      <c r="AGG9" s="43"/>
      <c r="AGH9" s="43"/>
      <c r="AGI9" s="43"/>
      <c r="AGJ9" s="43"/>
      <c r="AGK9" s="43"/>
      <c r="AGL9" s="43"/>
      <c r="AGM9" s="43"/>
      <c r="AGN9" s="43"/>
      <c r="AGO9" s="43"/>
      <c r="AGP9" s="43"/>
      <c r="AGQ9" s="43"/>
      <c r="AGR9" s="43"/>
      <c r="AGS9" s="43"/>
      <c r="AGT9" s="43"/>
      <c r="AGU9" s="43"/>
      <c r="AGV9" s="43"/>
      <c r="AGW9" s="43"/>
      <c r="AGX9" s="43"/>
      <c r="AGY9" s="43"/>
      <c r="AGZ9" s="43"/>
      <c r="AHA9" s="43"/>
      <c r="AHB9" s="43"/>
      <c r="AHC9" s="43"/>
      <c r="AHD9" s="43"/>
      <c r="AHE9" s="43"/>
      <c r="AHF9" s="43"/>
      <c r="AHG9" s="43"/>
      <c r="AHH9" s="43"/>
      <c r="AHI9" s="43"/>
      <c r="AHJ9" s="43"/>
      <c r="AHK9" s="43"/>
      <c r="AHL9" s="43"/>
      <c r="AHM9" s="43"/>
      <c r="AHN9" s="43"/>
      <c r="AHO9" s="43"/>
      <c r="AHP9" s="43"/>
      <c r="AHQ9" s="43"/>
      <c r="AHR9" s="43"/>
      <c r="AHS9" s="43"/>
      <c r="AHT9" s="43"/>
      <c r="AHU9" s="43"/>
      <c r="AHV9" s="43"/>
      <c r="AHW9" s="43"/>
      <c r="AHX9" s="43"/>
      <c r="AHY9" s="43"/>
      <c r="AHZ9" s="43"/>
      <c r="AIA9" s="43"/>
      <c r="AIB9" s="43"/>
      <c r="AIC9" s="43"/>
      <c r="AID9" s="43"/>
      <c r="AIE9" s="43"/>
      <c r="AIF9" s="43"/>
      <c r="AIG9" s="43"/>
      <c r="AIH9" s="43"/>
      <c r="AII9" s="43"/>
      <c r="AIJ9" s="43"/>
      <c r="AIK9" s="43"/>
      <c r="AIL9" s="43"/>
      <c r="AIM9" s="43"/>
      <c r="AIN9" s="43"/>
      <c r="AIO9" s="43"/>
      <c r="AIP9" s="43"/>
      <c r="AIQ9" s="43"/>
      <c r="AIR9" s="43"/>
      <c r="AIS9" s="43"/>
      <c r="AIT9" s="43"/>
      <c r="AIU9" s="43"/>
      <c r="AIV9" s="43"/>
      <c r="AIW9" s="43"/>
      <c r="AIX9" s="43"/>
      <c r="AIY9" s="43"/>
      <c r="AIZ9" s="43"/>
      <c r="AJA9" s="43"/>
      <c r="AJB9" s="43"/>
      <c r="AJC9" s="43"/>
      <c r="AJD9" s="43"/>
      <c r="AJE9" s="43"/>
      <c r="AJF9" s="43"/>
      <c r="AJG9" s="43"/>
      <c r="AJH9" s="43"/>
      <c r="AJI9" s="43"/>
      <c r="AJJ9" s="43"/>
      <c r="AJK9" s="43"/>
      <c r="AJL9" s="43"/>
      <c r="AJM9" s="43"/>
      <c r="AJN9" s="43"/>
      <c r="AJO9" s="43"/>
      <c r="AJP9" s="43"/>
      <c r="AJQ9" s="43"/>
      <c r="AJR9" s="43"/>
      <c r="AJS9" s="43"/>
      <c r="AJT9" s="43"/>
      <c r="AJU9" s="43"/>
      <c r="AJV9" s="43"/>
      <c r="AJW9" s="43"/>
      <c r="AJX9" s="43"/>
      <c r="AJY9" s="43"/>
      <c r="AJZ9" s="43"/>
      <c r="AKA9" s="43"/>
      <c r="AKB9" s="43"/>
      <c r="AKC9" s="43"/>
      <c r="AKD9" s="43"/>
      <c r="AKE9" s="43"/>
      <c r="AKF9" s="43"/>
      <c r="AKG9" s="43"/>
      <c r="AKH9" s="43"/>
      <c r="AKI9" s="43"/>
      <c r="AKJ9" s="43"/>
      <c r="AKK9" s="43"/>
      <c r="AKL9" s="43"/>
      <c r="AKM9" s="43"/>
      <c r="AKN9" s="43"/>
      <c r="AKO9" s="43"/>
      <c r="AKP9" s="43"/>
      <c r="AKQ9" s="43"/>
      <c r="AKR9" s="43"/>
      <c r="AKS9" s="43"/>
      <c r="AKT9" s="43"/>
      <c r="AKU9" s="44"/>
      <c r="AKV9" s="43"/>
      <c r="AKW9" s="43"/>
      <c r="AKX9" s="43"/>
      <c r="AKY9" s="43"/>
      <c r="AKZ9" s="43"/>
      <c r="ALA9" s="43"/>
      <c r="ALB9" s="43"/>
      <c r="ALC9" s="43"/>
      <c r="ALD9" s="43"/>
      <c r="ALE9" s="43"/>
      <c r="ALF9" s="43"/>
      <c r="ALG9" s="43"/>
      <c r="ALH9" s="43"/>
      <c r="ALI9" s="43"/>
      <c r="ALJ9" s="43"/>
      <c r="ALK9" s="43"/>
      <c r="ALL9" s="43"/>
      <c r="ALM9" s="43"/>
      <c r="ALN9" s="43"/>
      <c r="ALO9" s="43"/>
      <c r="ALP9" s="43"/>
      <c r="ALQ9" s="43"/>
      <c r="ALR9" s="43"/>
      <c r="ALS9" s="43"/>
      <c r="ALT9" s="43"/>
      <c r="ALU9" s="43"/>
      <c r="ALV9" s="43"/>
      <c r="ALW9" s="43"/>
      <c r="ALX9" s="43"/>
      <c r="ALY9" s="43"/>
      <c r="ALZ9" s="43"/>
      <c r="AMA9" s="43"/>
      <c r="AMB9" s="43"/>
      <c r="AMC9" s="43"/>
      <c r="AMD9" s="43"/>
      <c r="AME9" s="43"/>
      <c r="AMF9" s="43"/>
      <c r="AMG9" s="43"/>
      <c r="AMH9" s="43"/>
      <c r="AMI9" s="43"/>
      <c r="AMJ9" s="43"/>
      <c r="AMK9" s="4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