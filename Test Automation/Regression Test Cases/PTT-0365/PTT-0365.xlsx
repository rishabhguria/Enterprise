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alculatePTT" sheetId="6" r:id="rId8"/>
    <sheet state="visible" name="CustomOrderTT" sheetId="7" r:id="rId9"/>
    <sheet state="visible" name="AddTabBlotter" sheetId="8" r:id="rId10"/>
    <sheet state="visible" name="CustomTabActions" sheetId="9" r:id="rId11"/>
    <sheet state="visible" name="VerifyTT" sheetId="10" r:id="rId12"/>
    <sheet state="visible" name="ReloadOrderFromBlotter" sheetId="11" r:id="rId13"/>
    <sheet state="visible" name="VerifyOrder" sheetId="12" r:id="rId14"/>
    <sheet state="visible" name="CheckRealTimeSymAccountMonitor" sheetId="13" r:id="rId15"/>
    <sheet state="visible" name="OpenRTPNL" sheetId="14" r:id="rId16"/>
    <sheet state="visible" name="LoginClient" sheetId="15" r:id="rId17"/>
  </sheets>
  <definedNames/>
  <calcPr/>
</workbook>
</file>

<file path=xl/sharedStrings.xml><?xml version="1.0" encoding="utf-8"?>
<sst xmlns="http://schemas.openxmlformats.org/spreadsheetml/2006/main" count="148" uniqueCount="56">
  <si>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</si>
  <si>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</si>
  <si>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</si>
  <si>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</si>
  <si>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</si>
  <si>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</si>
  <si>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</si>
  <si>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</si>
  <si>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</si>
  <si>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</si>
  <si>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</si>
  <si>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</si>
  <si>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</si>
  <si>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</si>
  <si>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</si>
  <si>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</si>
  <si>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</si>
  <si>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</si>
  <si>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</si>
  <si>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</si>
  <si>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PTT</t>
  </si>
  <si>
    <t>CalculatePTT</t>
  </si>
  <si>
    <t>AAPL</t>
  </si>
  <si>
    <t>Allocation1,Allocation2</t>
  </si>
  <si>
    <t>TradingTicket</t>
  </si>
  <si>
    <t>CustomOrderTT</t>
  </si>
  <si>
    <t>DoneAway</t>
  </si>
  <si>
    <t>Blotter</t>
  </si>
  <si>
    <t>AddTabBlotter</t>
  </si>
  <si>
    <t>kartik</t>
  </si>
  <si>
    <t>Add Tab(Order)</t>
  </si>
  <si>
    <t>CustomTabActions</t>
  </si>
  <si>
    <t>Reload Order</t>
  </si>
  <si>
    <t>order</t>
  </si>
  <si>
    <t>VerifyTT</t>
  </si>
  <si>
    <t>ReloadOrderFromBlotter</t>
  </si>
  <si>
    <t>VerifyOrder</t>
  </si>
  <si>
    <t>NASDAQ</t>
  </si>
  <si>
    <t>Samsara</t>
  </si>
  <si>
    <t>Buy</t>
  </si>
  <si>
    <t>Filled</t>
  </si>
  <si>
    <t>MS</t>
  </si>
  <si>
    <t>Day</t>
  </si>
  <si>
    <t>RTPNL</t>
  </si>
  <si>
    <t>CheckRealTimeSymAccountMonitor</t>
  </si>
  <si>
    <t>APPLE</t>
  </si>
  <si>
    <t>NewMF</t>
  </si>
  <si>
    <t>Equity</t>
  </si>
  <si>
    <t>Long</t>
  </si>
  <si>
    <t>NewMF1</t>
  </si>
  <si>
    <t>OpenRTPNL</t>
  </si>
  <si>
    <t>Nirvana,PM</t>
  </si>
  <si>
    <t>PranaClient</t>
  </si>
  <si>
    <t>LoginClient</t>
  </si>
  <si>
    <t>Support6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</si>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</sst>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Monospace"/>
    </font>
    <font>
      <sz val="11.0"/>
      <color rgb="FFFFFFFF"/>
      <name val="Calibri"/>
    </font>
    <font>
      <sz val="11.0"/>
      <color rgb="FF35C759"/>
      <name val="Calibri"/>
    </font>
    <font>
      <sz val="11.0"/>
      <color rgb="FF9DC8ED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5" fillId="7" fontId="15" numFmtId="0" xfId="0" applyAlignment="1" applyBorder="1" applyFill="1" applyFont="1">
      <alignment readingOrder="0" shrinkToFit="0" vertical="bottom" wrapText="0"/>
    </xf>
    <xf borderId="5" fillId="7" fontId="16" numFmtId="0" xfId="0" applyAlignment="1" applyBorder="1" applyFont="1">
      <alignment readingOrder="0" shrinkToFit="0" vertical="bottom" wrapText="0"/>
    </xf>
    <xf borderId="5" fillId="7" fontId="17" numFmtId="0" xfId="0" applyAlignment="1" applyBorder="1" applyFont="1">
      <alignment readingOrder="0" shrinkToFit="0" vertical="bottom" wrapText="0"/>
    </xf>
    <xf borderId="5" fillId="7" fontId="15" numFmtId="0" xfId="0" applyAlignment="1" applyBorder="1" applyFont="1">
      <alignment horizontal="right" readingOrder="0" shrinkToFit="0" vertical="bottom" wrapText="0"/>
    </xf>
    <xf borderId="5" fillId="8" fontId="15" numFmtId="0" xfId="0" applyAlignment="1" applyBorder="1" applyFill="1" applyFont="1">
      <alignment readingOrder="0" shrinkToFit="0" vertical="bottom" wrapText="0"/>
    </xf>
    <xf borderId="5" fillId="8" fontId="16" numFmtId="0" xfId="0" applyAlignment="1" applyBorder="1" applyFont="1">
      <alignment readingOrder="0" shrinkToFit="0" vertical="bottom" wrapText="0"/>
    </xf>
    <xf borderId="5" fillId="8" fontId="17" numFmtId="0" xfId="0" applyAlignment="1" applyBorder="1" applyFont="1">
      <alignment readingOrder="0" shrinkToFit="0" vertical="bottom" wrapText="0"/>
    </xf>
    <xf borderId="5" fillId="8" fontId="15" numFmtId="0" xfId="0" applyAlignment="1" applyBorder="1" applyFont="1">
      <alignment horizontal="right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8" numFmtId="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45833</v>
      </c>
      <c r="C6" s="32">
        <f>TODAY()</f>
        <v>45834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5" t="s">
        <v>18</v>
      </c>
      <c r="D6" s="36">
        <v>500000.0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19</v>
      </c>
      <c r="C7" s="35" t="s">
        <v>18</v>
      </c>
      <c r="D7" s="36">
        <v>500000.0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7"/>
      <c r="C8" s="35"/>
      <c r="D8" s="36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7"/>
      <c r="C9" s="35"/>
      <c r="D9" s="36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13">
        <v>10.0</v>
      </c>
      <c r="F6" s="13">
        <v>10.0</v>
      </c>
      <c r="G6" s="8"/>
      <c r="H6" s="8"/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32</v>
      </c>
      <c r="C6" s="13" t="s">
        <v>33</v>
      </c>
      <c r="D6" s="13" t="s">
        <v>29</v>
      </c>
      <c r="E6" s="13" t="s">
        <v>22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 t="str">
        <f>IFERROR(__xludf.DUMMYFUNCTION("""COMPUTED_VALUE"""),"Exposure")</f>
        <v>Exposure</v>
      </c>
      <c r="AS5" s="30" t="str">
        <f>IFERROR(__xludf.DUMMYFUNCTION("""COMPUTED_VALUE"""),"Day P&amp;L")</f>
        <v>Day P&amp;L</v>
      </c>
      <c r="AT5" s="30" t="str">
        <f>IFERROR(__xludf.DUMMYFUNCTION("""COMPUTED_VALUE"""),"VerifyDisableVenue")</f>
        <v>VerifyDisableVenue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J6" s="9">
        <v>10000.0</v>
      </c>
      <c r="AP6" s="9">
        <v>100000.0</v>
      </c>
      <c r="AQ6" s="9">
        <v>100000.0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40" t="s">
        <v>37</v>
      </c>
      <c r="I6" s="40" t="s">
        <v>38</v>
      </c>
      <c r="J6" s="8"/>
      <c r="K6" s="8"/>
      <c r="L6" s="8"/>
      <c r="M6" s="8"/>
      <c r="N6" s="8"/>
      <c r="O6" s="8"/>
      <c r="AI6" s="40" t="s">
        <v>22</v>
      </c>
      <c r="AJ6" s="41" t="s">
        <v>39</v>
      </c>
      <c r="AK6" s="42" t="s">
        <v>40</v>
      </c>
      <c r="AL6" s="43">
        <v>10000.0</v>
      </c>
      <c r="AS6" s="40" t="s">
        <v>41</v>
      </c>
      <c r="BA6" s="40" t="s">
        <v>38</v>
      </c>
      <c r="BG6" s="40"/>
      <c r="BH6" s="40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44" t="s">
        <v>37</v>
      </c>
      <c r="I7" s="40" t="s">
        <v>38</v>
      </c>
      <c r="J7" s="8"/>
      <c r="K7" s="8"/>
      <c r="L7" s="8"/>
      <c r="M7" s="8"/>
      <c r="N7" s="8"/>
      <c r="O7" s="8"/>
      <c r="AI7" s="44" t="s">
        <v>22</v>
      </c>
      <c r="AJ7" s="45" t="s">
        <v>39</v>
      </c>
      <c r="AK7" s="46" t="s">
        <v>40</v>
      </c>
      <c r="AL7" s="47">
        <v>10000.0</v>
      </c>
      <c r="AS7" s="44" t="s">
        <v>41</v>
      </c>
      <c r="BA7" s="40" t="s">
        <v>38</v>
      </c>
      <c r="BG7" s="44"/>
      <c r="BH7" s="44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40" t="s">
        <v>37</v>
      </c>
      <c r="I8" s="40" t="s">
        <v>38</v>
      </c>
      <c r="J8" s="8"/>
      <c r="K8" s="8"/>
      <c r="L8" s="8"/>
      <c r="M8" s="8"/>
      <c r="N8" s="8"/>
      <c r="O8" s="8"/>
      <c r="AI8" s="40" t="s">
        <v>22</v>
      </c>
      <c r="AJ8" s="41" t="s">
        <v>39</v>
      </c>
      <c r="AK8" s="42" t="s">
        <v>40</v>
      </c>
      <c r="AL8" s="43">
        <v>10000.0</v>
      </c>
      <c r="AS8" s="40" t="s">
        <v>41</v>
      </c>
      <c r="BA8" s="40" t="s">
        <v>38</v>
      </c>
      <c r="BG8" s="40"/>
      <c r="BH8" s="40" t="s">
        <v>42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IFERROR(__xludf.DUMMYFUNCTION("""COMPUTED_VALUE"""),"Testing Type")</f>
        <v>Testing Type</v>
      </c>
      <c r="U5" s="30" t="str">
        <f>IFERROR(__xludf.DUMMYFUNCTION("""COMPUTED_VALUE"""),"Testing Column")</f>
        <v>Testing Column</v>
      </c>
      <c r="V5" s="30" t="str">
        <f>IFERROR(__xludf.DUMMYFUNCTION("""COMPUTED_VALUE"""),"Testing Col Value")</f>
        <v>Testing Col Value</v>
      </c>
      <c r="W5" s="30" t="str">
        <f>IFERROR(__xludf.DUMMYFUNCTION("""COMPUTED_VALUE"""),"DuplicateCountOnUI")</f>
        <v>DuplicateCountOnUI</v>
      </c>
      <c r="X5" s="30" t="str">
        <f>IFERROR(__xludf.DUMMYFUNCTION("""COMPUTED_VALUE"""),"DuplicateRow")</f>
        <v>DuplicateRow</v>
      </c>
      <c r="Y5" s="30" t="str">
        <f>IFERROR(__xludf.DUMMYFUNCTION("""COMPUTED_VALUE"""),"TabName")</f>
        <v>TabName</v>
      </c>
      <c r="Z5" s="30" t="str">
        <f>IFERROR(__xludf.DUMMYFUNCTION("""COMPUTED_VALUE"""),"GridDataWidgetName")</f>
        <v>GridDataWidgetName</v>
      </c>
      <c r="AA5" s="30" t="str">
        <f>IFERROR(__xludf.DUMMYFUNCTION("""COMPUTED_VALUE"""),"Bloomberg Symbol")</f>
        <v>Bloomberg Symbol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22</v>
      </c>
      <c r="C6" s="48" t="s">
        <v>45</v>
      </c>
      <c r="D6" s="48" t="s">
        <v>46</v>
      </c>
      <c r="E6" s="48" t="s">
        <v>17</v>
      </c>
      <c r="F6" s="48" t="s">
        <v>47</v>
      </c>
      <c r="G6" s="49">
        <v>15000.0</v>
      </c>
      <c r="H6" s="48" t="s">
        <v>48</v>
      </c>
      <c r="I6" s="48">
        <v>10.0</v>
      </c>
      <c r="J6" s="48">
        <v>10.0</v>
      </c>
      <c r="K6" s="8"/>
      <c r="L6" s="8"/>
      <c r="M6" s="8"/>
      <c r="N6" s="8"/>
      <c r="O6" s="8"/>
    </row>
    <row r="7" ht="15.75" customHeight="1">
      <c r="A7" s="8"/>
      <c r="B7" s="48" t="s">
        <v>22</v>
      </c>
      <c r="C7" s="48" t="s">
        <v>45</v>
      </c>
      <c r="D7" s="48" t="s">
        <v>49</v>
      </c>
      <c r="E7" s="48" t="s">
        <v>19</v>
      </c>
      <c r="F7" s="48" t="s">
        <v>47</v>
      </c>
      <c r="G7" s="49">
        <v>15000.0</v>
      </c>
      <c r="H7" s="48" t="s">
        <v>48</v>
      </c>
      <c r="I7" s="48">
        <v>10.0</v>
      </c>
      <c r="J7" s="48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54</v>
      </c>
      <c r="C6" s="13" t="s">
        <v>55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