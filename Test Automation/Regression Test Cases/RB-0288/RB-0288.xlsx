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ForexConversion" sheetId="6" r:id="rId8"/>
    <sheet state="visible" name="UpdateForexConversion" sheetId="7" r:id="rId9"/>
    <sheet state="visible" name="GetDailyCash" sheetId="8" r:id="rId10"/>
    <sheet state="visible" name="UpdateMultipleDailyCash" sheetId="9" r:id="rId11"/>
    <sheet state="visible" name="RebalancePreference" sheetId="10" r:id="rId12"/>
    <sheet state="visible" name="FetchAccountPositions" sheetId="11" r:id="rId13"/>
    <sheet state="visible" name="AddCash" sheetId="12" r:id="rId14"/>
    <sheet state="visible" name="RunRebalance" sheetId="13" r:id="rId15"/>
    <sheet state="visible" name="SendtoStaging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<sst xmlns="http://schemas.openxmlformats.org/spreadsheetml/2006/main" count="245" uniqueCount="51">
  <si>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</si>
  <si>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</si>
  <si>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</si>
  <si>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</si>
  <si>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</si>
  <si>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</si>
  <si>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</si>
  <si>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</si>
  <si>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</si>
  <si>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</si>
  <si>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</si>
  <si>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</si>
  <si>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</si>
  <si>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</si>
  <si>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</si>
  <si>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</si>
  <si>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FRU-TC</t>
  </si>
  <si>
    <t>Buy</t>
  </si>
  <si>
    <t>Allocation1</t>
  </si>
  <si>
    <t>PricingInput</t>
  </si>
  <si>
    <t>DailyValuation</t>
  </si>
  <si>
    <t>GetForexConversion</t>
  </si>
  <si>
    <t>UpdateForexConversion</t>
  </si>
  <si>
    <t>USD</t>
  </si>
  <si>
    <t>CAD</t>
  </si>
  <si>
    <t>CAD A0-FX</t>
  </si>
  <si>
    <t>GetDailyCash</t>
  </si>
  <si>
    <t>UpdateMultipleDailyCash</t>
  </si>
  <si>
    <t>Rebalancer</t>
  </si>
  <si>
    <t>RebalancePreference</t>
  </si>
  <si>
    <t>Master Fund</t>
  </si>
  <si>
    <t>FetchAccountPositions</t>
  </si>
  <si>
    <t>AddCash</t>
  </si>
  <si>
    <t>Impact NAV</t>
  </si>
  <si>
    <t>None</t>
  </si>
  <si>
    <t>RunRebalance</t>
  </si>
  <si>
    <t>Nearest Round Off</t>
  </si>
  <si>
    <t>SendtoStaging</t>
  </si>
  <si>
    <t>Blotter</t>
  </si>
  <si>
    <t>VerifyOrder</t>
  </si>
  <si>
    <t/>
  </si>
  <si>
    <t>FRU CN EQUITY</t>
  </si>
  <si>
    <t>NASDAQ</t>
  </si>
  <si>
    <t>jpearce</t>
  </si>
  <si>
    <t>US</t>
  </si>
  <si>
    <t>GCCAP1</t>
  </si>
  <si>
    <t>NewMF</t>
  </si>
  <si>
    <t>Equity</t>
  </si>
  <si>
    <t>New</t>
  </si>
  <si>
    <t>MS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</si>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</sst>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  <font>
      <sz val="10.0"/>
      <color rgb="FF1155CC"/>
      <name val="Calibri"/>
    </font>
    <font>
      <sz val="10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readingOrder="0" vertical="bottom"/>
    </xf>
    <xf borderId="0" fillId="0" fontId="14" numFmtId="3" xfId="0" applyAlignment="1" applyFont="1" applyNumberFormat="1">
      <alignment vertical="bottom"/>
    </xf>
    <xf borderId="0" fillId="0" fontId="14" numFmtId="1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6" fontId="15" numFmtId="14" xfId="0" applyAlignment="1" applyFill="1" applyFont="1" applyNumberFormat="1">
      <alignment horizontal="right" vertical="bottom"/>
    </xf>
    <xf borderId="0" fillId="0" fontId="14" numFmtId="16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5" fillId="0" fontId="14" numFmtId="0" xfId="0" applyAlignment="1" applyBorder="1" applyFont="1">
      <alignment vertical="bottom"/>
    </xf>
    <xf borderId="6" fillId="0" fontId="14" numFmtId="0" xfId="0" applyAlignment="1" applyBorder="1" applyFont="1">
      <alignment horizontal="right" vertical="bottom"/>
    </xf>
    <xf borderId="6" fillId="0" fontId="14" numFmtId="0" xfId="0" applyAlignment="1" applyBorder="1" applyFont="1">
      <alignment vertical="bottom"/>
    </xf>
    <xf borderId="6" fillId="0" fontId="14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3"/>
      <c r="F6" s="33" t="s">
        <v>18</v>
      </c>
      <c r="G6" s="35"/>
      <c r="H6" s="33"/>
      <c r="I6" s="33"/>
      <c r="J6" s="33">
        <v>10.0</v>
      </c>
      <c r="K6" s="33"/>
      <c r="L6" s="33"/>
      <c r="M6" s="33"/>
      <c r="N6" s="36">
        <f>today()-1</f>
        <v>45130</v>
      </c>
      <c r="O6" s="36"/>
      <c r="P6" s="33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8">
        <v>10.0</v>
      </c>
      <c r="D6" s="31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 t="shared" ref="B6:C6" si="1">TODAY()-1</f>
        <v>45130</v>
      </c>
      <c r="C6" s="39">
        <f t="shared" si="1"/>
        <v>45130</v>
      </c>
      <c r="D6" s="31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7" t="s">
        <v>24</v>
      </c>
      <c r="D6" s="31" t="s">
        <v>25</v>
      </c>
      <c r="E6" s="33">
        <v>1.4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>
        <f t="shared" ref="B6:C6" si="1">TODAY()-1</f>
        <v>45130</v>
      </c>
      <c r="C6" s="40">
        <f t="shared" si="1"/>
        <v>45130</v>
      </c>
      <c r="D6" s="31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7" t="s">
        <v>23</v>
      </c>
      <c r="D6" s="32">
        <v>10000.0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 t="str">
        <f>IFERROR(__xludf.DUMMYFUNCTION("""COMPUTED_VALUE"""),"Rounding Type")</f>
        <v>Rounding Type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1"/>
      <c r="F6" s="8"/>
      <c r="G6" s="8"/>
      <c r="H6" s="8"/>
      <c r="I6" s="8"/>
      <c r="J6" s="13" t="s">
        <v>30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18</v>
      </c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44">
        <v>50000.0</v>
      </c>
      <c r="C6" s="45" t="s">
        <v>33</v>
      </c>
      <c r="D6" s="46" t="s">
        <v>34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7"/>
      <c r="B6" s="48" t="s">
        <v>36</v>
      </c>
      <c r="C6" s="49"/>
      <c r="D6" s="47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0" t="s">
        <v>18</v>
      </c>
      <c r="C6" s="51" t="s">
        <v>17</v>
      </c>
      <c r="D6" s="32" t="s">
        <v>16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52" t="s">
        <v>40</v>
      </c>
      <c r="B6" s="52"/>
      <c r="C6" s="8"/>
      <c r="D6" s="52"/>
      <c r="E6" s="8" t="s">
        <v>41</v>
      </c>
      <c r="F6" s="8"/>
      <c r="G6" s="8"/>
      <c r="H6" s="8" t="s">
        <v>42</v>
      </c>
      <c r="I6" s="8" t="s">
        <v>43</v>
      </c>
      <c r="J6" s="8" t="s">
        <v>16</v>
      </c>
      <c r="K6" s="8" t="s">
        <v>44</v>
      </c>
      <c r="L6" s="8" t="s">
        <v>45</v>
      </c>
      <c r="M6" s="8"/>
      <c r="N6" s="8"/>
      <c r="O6" s="8"/>
      <c r="U6" t="s">
        <v>24</v>
      </c>
      <c r="AA6" t="s">
        <v>46</v>
      </c>
      <c r="AH6" t="s">
        <v>47</v>
      </c>
      <c r="AI6" t="s">
        <v>16</v>
      </c>
      <c r="AJ6" t="s">
        <v>17</v>
      </c>
      <c r="AK6" t="s">
        <v>48</v>
      </c>
      <c r="AS6" t="s">
        <v>49</v>
      </c>
      <c r="AT6" t="s">
        <v>18</v>
      </c>
      <c r="AU6" t="s">
        <v>50</v>
      </c>
      <c r="BA6" t="s">
        <v>43</v>
      </c>
      <c r="BB6" t="s">
        <v>40</v>
      </c>
      <c r="BC6" t="s">
        <v>40</v>
      </c>
      <c r="BD6" t="s">
        <v>40</v>
      </c>
      <c r="BE6" t="s">
        <v>40</v>
      </c>
      <c r="BF6" t="s">
        <v>40</v>
      </c>
      <c r="BH6" t="s">
        <v>40</v>
      </c>
      <c r="BI6" t="s">
        <v>40</v>
      </c>
      <c r="BJ6" t="s">
        <v>40</v>
      </c>
      <c r="BK6" t="s">
        <v>40</v>
      </c>
      <c r="BL6" t="s">
        <v>40</v>
      </c>
      <c r="BM6" t="s">
        <v>40</v>
      </c>
      <c r="BN6" t="s">
        <v>40</v>
      </c>
      <c r="BO6" t="s">
        <v>40</v>
      </c>
      <c r="BP6" t="s">
        <v>40</v>
      </c>
      <c r="BQ6" t="s">
        <v>40</v>
      </c>
      <c r="BR6" t="s">
        <v>40</v>
      </c>
      <c r="BS6" t="s">
        <v>40</v>
      </c>
      <c r="BT6" t="s">
        <v>40</v>
      </c>
      <c r="BU6" t="s">
        <v>40</v>
      </c>
      <c r="BV6" t="s">
        <v>40</v>
      </c>
      <c r="BW6" t="s">
        <v>40</v>
      </c>
      <c r="BX6" t="s">
        <v>40</v>
      </c>
      <c r="BY6" t="s">
        <v>40</v>
      </c>
      <c r="BZ6" t="s">
        <v>40</v>
      </c>
      <c r="CA6" t="s">
        <v>40</v>
      </c>
      <c r="CB6" t="s">
        <v>40</v>
      </c>
      <c r="CC6" t="s">
        <v>40</v>
      </c>
      <c r="CD6" t="s">
        <v>40</v>
      </c>
      <c r="CE6" t="s">
        <v>40</v>
      </c>
      <c r="CF6" t="s">
        <v>40</v>
      </c>
      <c r="CG6" t="s">
        <v>40</v>
      </c>
      <c r="CH6" t="s">
        <v>40</v>
      </c>
      <c r="CI6" t="s">
        <v>40</v>
      </c>
      <c r="CJ6" t="s">
        <v>40</v>
      </c>
      <c r="CK6" t="s">
        <v>40</v>
      </c>
      <c r="CL6" t="s">
        <v>40</v>
      </c>
      <c r="CM6" t="s">
        <v>40</v>
      </c>
      <c r="CN6" t="s">
        <v>40</v>
      </c>
      <c r="CO6" t="s">
        <v>40</v>
      </c>
      <c r="CP6" t="s">
        <v>40</v>
      </c>
      <c r="CQ6" t="s">
        <v>40</v>
      </c>
      <c r="CR6" t="s">
        <v>40</v>
      </c>
      <c r="CS6" t="s">
        <v>40</v>
      </c>
      <c r="CT6" t="s">
        <v>40</v>
      </c>
      <c r="CU6" t="s">
        <v>40</v>
      </c>
      <c r="CV6" t="s">
        <v>40</v>
      </c>
      <c r="CW6" t="s">
        <v>40</v>
      </c>
      <c r="CX6" t="s">
        <v>40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I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