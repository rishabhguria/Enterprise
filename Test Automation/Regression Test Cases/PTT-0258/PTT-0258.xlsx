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AddSymbolToWatchlist" sheetId="10" r:id="rId12"/>
    <sheet state="visible" name="TradeFromWatchlist" sheetId="11" r:id="rId13"/>
    <sheet state="visible" name="CalculatePTT" sheetId="12" r:id="rId14"/>
    <sheet state="visible" name="TradeFromWatchlist1" sheetId="13" r:id="rId15"/>
    <sheet state="visible" name="CalculatePTT1" sheetId="14" r:id="rId16"/>
  </sheets>
  <calcPr fullCalcOnLoad="1" fullPrecision="1"/>
</workbook>
</file>

<file path=xl/sharedStrings.xml><?xml version="1.0" encoding="utf-8"?>
<sst xmlns="http://schemas.openxmlformats.org/spreadsheetml/2006/main" count="103" uniqueCount="103">
  <si>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</si>
  <si>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</si>
  <si>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</si>
  <si>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</si>
  <si>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</si>
  <si>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</si>
  <si>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</si>
  <si>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</si>
  <si>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</si>
  <si>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</si>
  <si>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</si>
  <si>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</si>
  <si>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</si>
  <si>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</si>
  <si>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</si>
  <si>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</si>
  <si>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FactSet</t>
  </si>
  <si>
    <t>TradingTicket</t>
  </si>
  <si>
    <t>SetGeneralPreference</t>
  </si>
  <si>
    <t>FactSet Symbol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</si>
  <si>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</si>
  <si>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</si>
  <si>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</si>
  <si>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</si>
  <si>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</si>
  <si>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</si>
  <si>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</si>
  <si>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</si>
  <si>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</si>
  <si>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</si>
  <si>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</si>
  <si>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</si>
  <si>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</si>
  <si>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</si>
  <si>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</si>
  <si>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</si>
  <si>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</si>
  <si>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</si>
  <si>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</si>
  <si>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</si>
  <si>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</si>
  <si>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</si>
  <si>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</si>
  <si>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</si>
  <si>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</si>
  <si>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</si>
  <si>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</si>
  <si>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</si>
  <si>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</si>
  <si>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</si>
  <si>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</si>
  <si>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</si>
  <si>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</si>
  <si>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</si>
  <si>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</si>
  <si>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</si>
  <si>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</si>
  <si>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</si>
  <si>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</si>
  <si>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</si>
  <si>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</si>
  <si>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</si>
  <si>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</si>
  <si>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</si>
  <si>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</si>
  <si>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</si>
  <si>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</si>
  <si>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</si>
  <si>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</si>
  <si>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</si>
  <si>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</si>
  <si>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</si>
  <si>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</si>
  <si>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</si>
  <si>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</si>
  <si>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</si>
  <si>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</si>
  <si>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</si>
  <si>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</si>
  <si>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</si>
  <si>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</si>
  <si>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</si>
  <si>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</si>
  <si>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</si>
  <si>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FB-USD</t>
  </si>
  <si>
    <t>Buy</t>
  </si>
  <si>
    <t>IPLY-USD</t>
  </si>
  <si>
    <t>Allocation2</t>
  </si>
  <si>
    <t>PricingInput</t>
  </si>
  <si>
    <t>FB</t>
  </si>
  <si>
    <t>IPLY</t>
  </si>
  <si>
    <t>DailyValuation</t>
  </si>
  <si>
    <t>GetDailyCash</t>
  </si>
  <si>
    <t>UpdateMultipleDailyCash</t>
  </si>
  <si>
    <t>Allocation1</t>
  </si>
  <si>
    <t>USD</t>
  </si>
  <si>
    <t>Watchlist</t>
  </si>
  <si>
    <t>AddSymbolToWatchlist</t>
  </si>
  <si>
    <t>TradeFromWatchlist</t>
  </si>
  <si>
    <t>Adjust</t>
  </si>
  <si>
    <t>PTT</t>
  </si>
  <si>
    <t>CalculatePTT</t>
  </si>
  <si>
    <t>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</si>
</sst>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9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0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5" applyFont="1" fillId="0" borderId="0" xfId="0" applyAlignment="1"/>
    <xf numFmtId="0" fontId="3" applyFont="1" fillId="0" borderId="0" xfId="0" applyAlignment="1"/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14" applyNumberFormat="1" fontId="5" applyFont="1" fillId="0" borderId="0" xfId="0" applyAlignment="1">
      <alignment horizontal="right"/>
    </xf>
    <xf numFmtId="0" fontId="5" applyFont="1" fillId="0" borderId="0" xfId="0" applyAlignment="1"/>
    <xf numFmtId="0" fontId="5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A3CBBA0-1816-44BA-8E74-07D829853E2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A8EC285-EDE4-432C-AE3B-1C17956F1936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A73AF827-ABFA-408E-B406-855E762617C8}">
          <x14:formula1>
            <xm:f>SetMarketDataProvider!$4:$4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72309A6-1D9A-40D3-88B3-4EA24B386D2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7CBCE2C-9C0B-4097-87B9-AB20E0EC78F1}">
          <x14:formula1>
            <xm:f>SetGeneralPreference!$4:$4</xm:f>
          </x14:formula1>
          <xm:sqref>E3</xm:sqref>
        </x14:dataValidation>
        <x14:dataValidation type="list" allowBlank="1" showInputMessage="1" showErrorMessage="1" prompt="Choose an available module" xr:uid="{30192F0A-4747-486F-906A-9B9438ED0087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 t="s">
        <v>43</v>
      </c>
      <c r="Y5" s="0" t="s">
        <v>44</v>
      </c>
      <c r="Z5" s="0" t="s">
        <v>45</v>
      </c>
      <c r="AA5" s="0" t="s">
        <v>46</v>
      </c>
      <c r="AB5" s="0" t="s">
        <v>47</v>
      </c>
      <c r="AC5" s="0" t="s">
        <v>48</v>
      </c>
      <c r="AD5" s="0" t="s">
        <v>49</v>
      </c>
      <c r="AE5" s="0" t="s">
        <v>50</v>
      </c>
      <c r="AF5" s="0" t="s">
        <v>51</v>
      </c>
      <c r="AG5" s="0" t="s">
        <v>52</v>
      </c>
      <c r="AH5" s="0" t="s">
        <v>53</v>
      </c>
      <c r="AI5" s="0" t="s">
        <v>54</v>
      </c>
      <c r="AJ5" s="0" t="s">
        <v>55</v>
      </c>
      <c r="AK5" s="0" t="s">
        <v>56</v>
      </c>
      <c r="AL5" s="0" t="s">
        <v>57</v>
      </c>
      <c r="AM5" s="0" t="s">
        <v>58</v>
      </c>
      <c r="AN5" s="0" t="s">
        <v>59</v>
      </c>
      <c r="AO5" s="0" t="s">
        <v>60</v>
      </c>
      <c r="AP5" s="0" t="s">
        <v>61</v>
      </c>
      <c r="AQ5" s="0" t="s">
        <v>62</v>
      </c>
      <c r="AR5" s="0" t="s">
        <v>63</v>
      </c>
      <c r="AS5" s="0" t="s">
        <v>64</v>
      </c>
      <c r="AT5" s="0" t="s">
        <v>65</v>
      </c>
      <c r="AU5" s="0" t="s">
        <v>66</v>
      </c>
      <c r="AV5" s="0" t="s">
        <v>67</v>
      </c>
      <c r="AW5" s="0" t="s">
        <v>68</v>
      </c>
      <c r="AX5" s="0" t="s">
        <v>69</v>
      </c>
      <c r="AY5" s="0" t="s">
        <v>70</v>
      </c>
      <c r="AZ5" s="0" t="s">
        <v>71</v>
      </c>
      <c r="BA5" s="0" t="s">
        <v>72</v>
      </c>
      <c r="BB5" s="0" t="s">
        <v>73</v>
      </c>
      <c r="BC5" s="0" t="s">
        <v>74</v>
      </c>
      <c r="BD5" s="0" t="s">
        <v>75</v>
      </c>
      <c r="BE5" s="0" t="s">
        <v>76</v>
      </c>
      <c r="BF5" s="0" t="s">
        <v>77</v>
      </c>
      <c r="BG5" s="0" t="s">
        <v>78</v>
      </c>
      <c r="BH5" s="0" t="s">
        <v>79</v>
      </c>
      <c r="BI5" s="0" t="s">
        <v>80</v>
      </c>
      <c r="BJ5" s="0" t="s">
        <v>81</v>
      </c>
      <c r="BK5" s="0" t="s">
        <v>82</v>
      </c>
      <c r="BL5" s="0" t="s">
        <v>83</v>
      </c>
    </row>
    <row r="6" ht="17.25" customHeight="1">
      <c r="A6" s="32"/>
      <c r="B6" s="33" t="s">
        <v>84</v>
      </c>
      <c r="C6" s="34" t="s">
        <v>85</v>
      </c>
      <c r="D6" s="35">
        <v>1</v>
      </c>
      <c r="E6" s="34"/>
      <c r="F6" s="34"/>
      <c r="G6" s="34"/>
      <c r="H6" s="34"/>
      <c r="I6" s="34"/>
      <c r="J6" s="36">
        <v>1</v>
      </c>
      <c r="K6" s="34"/>
      <c r="L6" s="34"/>
      <c r="M6" s="34"/>
      <c r="N6" s="37">
        <f ref="N6:N7" t="shared" si="1">TODAY()-1</f>
        <v>45854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 t="s">
        <v>86</v>
      </c>
      <c r="C7" s="34" t="s">
        <v>85</v>
      </c>
      <c r="D7" s="36">
        <v>1</v>
      </c>
      <c r="E7" s="34"/>
      <c r="F7" s="34" t="s">
        <v>87</v>
      </c>
      <c r="G7" s="34"/>
      <c r="H7" s="34"/>
      <c r="I7" s="34"/>
      <c r="J7" s="36">
        <v>1</v>
      </c>
      <c r="K7" s="34"/>
      <c r="L7" s="34"/>
      <c r="M7" s="34"/>
      <c r="N7" s="37">
        <f t="shared" si="1"/>
        <v>45854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75ACC59-926C-4DAD-93C0-AD067FDCD59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96DF8BF-E4EB-4994-A5E3-28030A09C08E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FB20B75-BC74-4A24-93FE-72D2F3D448DA}">
          <x14:formula1>
            <xm:f>CreateDoneAwayOrder!$4:$4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88</v>
      </c>
      <c r="D3" s="5" t="s">
        <v>9</v>
      </c>
      <c r="E3" s="23" t="s">
        <v>88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89</v>
      </c>
      <c r="C6" s="36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90</v>
      </c>
      <c r="C7" s="36">
        <v>10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CB1C316-73E3-415F-A8A2-93CEF80DBBC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7956255-D634-4887-A707-2A68FC493668}">
          <x14:formula1>
            <xm:f>PricingInput!$4:$4</xm:f>
          </x14:formula1>
          <xm:sqref>E3</xm:sqref>
        </x14:dataValidation>
        <x14:dataValidation type="list" allowBlank="1" showInputMessage="1" showErrorMessage="1" prompt="Choose an available module" xr:uid="{5CD2E8B8-7B7B-40ED-85BF-B557F66E2D80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91</v>
      </c>
      <c r="D3" s="5" t="s">
        <v>9</v>
      </c>
      <c r="E3" s="23" t="s">
        <v>92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>
        <f>TODAY()-1</f>
        <v>45854</v>
      </c>
      <c r="C6" s="37">
        <f>TODAY()</f>
        <v>45855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5202814-FAEF-408F-BFAD-AB65CE4B4E8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3A70E47-C7C7-4B63-8A23-5DBC3487EE04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4C3BAC51-0FD6-4AB9-87E1-D82BD764A162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91</v>
      </c>
      <c r="D3" s="5" t="s">
        <v>9</v>
      </c>
      <c r="E3" s="23" t="s">
        <v>93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94</v>
      </c>
      <c r="C6" s="34" t="s">
        <v>95</v>
      </c>
      <c r="D6" s="35">
        <v>10000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87</v>
      </c>
      <c r="C7" s="34" t="s">
        <v>95</v>
      </c>
      <c r="D7" s="36">
        <v>10000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3BA33ED-CBDF-4BE1-96C9-9E960428691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693A68F-9C22-418E-B60B-2A6C985293DE}">
          <x14:formula1>
            <xm:f>UpdateMultipleDailyCash!$4:$4</xm:f>
          </x14:formula1>
          <xm:sqref>E3</xm:sqref>
        </x14:dataValidation>
        <x14:dataValidation type="list" allowBlank="1" showInputMessage="1" showErrorMessage="1" prompt="Choose an available module" xr:uid="{86C8F5C8-A2B6-43F9-A955-C52207938378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96</v>
      </c>
      <c r="D3" s="5" t="s">
        <v>9</v>
      </c>
      <c r="E3" s="23" t="s">
        <v>97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84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86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B5EFC05-9C7A-4FA3-81FA-3198D3AA76D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D52BE62-7DDD-4DCD-A947-5C89084034CC}">
          <x14:formula1>
            <xm:f>AddSymbolToWatchlist!$4:$4</xm:f>
          </x14:formula1>
          <xm:sqref>E3</xm:sqref>
        </x14:dataValidation>
        <x14:dataValidation type="list" allowBlank="1" showInputMessage="1" showErrorMessage="1" prompt="Choose an available module" xr:uid="{017CD6F0-9BD4-4311-A586-B499FA9F5204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96</v>
      </c>
      <c r="D3" s="5" t="s">
        <v>9</v>
      </c>
      <c r="E3" s="23" t="s">
        <v>98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89</v>
      </c>
      <c r="C6" s="38" t="s">
        <v>99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110D747-9DF7-461E-9744-D8C61AB1174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12E7ECB-F275-4FFC-B21D-EE3D65A7CD24}">
          <x14:formula1>
            <xm:f>TradeFromWatchlist!$4:$4</xm:f>
          </x14:formula1>
          <xm:sqref>E3</xm:sqref>
        </x14:dataValidation>
        <x14:dataValidation type="list" allowBlank="1" showInputMessage="1" showErrorMessage="1" prompt="Choose an available module" xr:uid="{3BFBBCFC-712A-4DF2-BB3D-5BB14603C6D5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100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84</v>
      </c>
      <c r="C6" s="34" t="s">
        <v>102</v>
      </c>
      <c r="D6" s="32"/>
      <c r="E6" s="36">
        <v>100</v>
      </c>
      <c r="F6" s="34"/>
      <c r="G6" s="34"/>
      <c r="H6" s="34"/>
      <c r="I6" s="34" t="s">
        <v>94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AF112A5-1C89-45E7-B2DF-6D54C72F579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6869592-E161-4889-93F2-B97E568A589B}">
          <x14:formula1>
            <xm:f>CalculatePTT!$4:$4</xm:f>
          </x14:formula1>
          <xm:sqref>E3</xm:sqref>
        </x14:dataValidation>
        <x14:dataValidation type="list" allowBlank="1" showInputMessage="1" showErrorMessage="1" prompt="Choose an available module" xr:uid="{98F77789-3794-485B-A91C-1F22AC595D7C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96</v>
      </c>
      <c r="D3" s="5" t="s">
        <v>9</v>
      </c>
      <c r="E3" s="23" t="s">
        <v>98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9" t="s">
        <v>90</v>
      </c>
      <c r="C6" s="38" t="s">
        <v>99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5364DE5-4C19-4357-A34B-B2260ACEBA1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9617E7E-D66B-4266-B97B-94DF98430CDE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F02B6CF9-C002-4FF7-BDB1-8D90A39592D3}">
          <x14:formula1>
            <xm:f>TradeFromWatchlist1!$4:$4</xm:f>
          </x14:formula1>
          <xm:sqref>E3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100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86</v>
      </c>
      <c r="C6" s="34" t="s">
        <v>102</v>
      </c>
      <c r="D6" s="32"/>
      <c r="E6" s="36">
        <v>150</v>
      </c>
      <c r="F6" s="34"/>
      <c r="G6" s="34"/>
      <c r="H6" s="34"/>
      <c r="I6" s="34" t="s">
        <v>87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3C949C1-2E72-42C5-9CED-4BF637E60B3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A9B5B15-6C38-4D30-BF27-C2FA4415550E}">
          <x14:formula1>
            <xm:f>CalculatePTT1!$4:$4</xm:f>
          </x14:formula1>
          <xm:sqref>E3</xm:sqref>
        </x14:dataValidation>
        <x14:dataValidation type="list" allowBlank="1" showInputMessage="1" showErrorMessage="1" prompt="Choose an available module" xr:uid="{CE8C9C4D-1509-467B-A93F-4EF5EE6FB30B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