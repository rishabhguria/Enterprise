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40" windowWidth="20775" windowHeight="10680" firstSheet="11" activeTab="14"/>
  </bookViews>
  <sheets>
    <sheet name="_Modules" sheetId="1" r:id="rId1"/>
    <sheet name="_Settings" sheetId="2" r:id="rId2"/>
    <sheet name="_MasterData" sheetId="3" r:id="rId3"/>
    <sheet name="CreateDoneAwayOrder" sheetId="4" r:id="rId4"/>
    <sheet name="CheckPortfolioManagement" sheetId="5" r:id="rId5"/>
    <sheet name="FilterPM" sheetId="6" r:id="rId6"/>
    <sheet name="CloseAccountPositionFromPM" sheetId="7" r:id="rId7"/>
    <sheet name="CreateDoneAwayOrder1" sheetId="8" r:id="rId8"/>
    <sheet name="GetDataClosing" sheetId="9" r:id="rId9"/>
    <sheet name="VerifyLongPositionsGrid" sheetId="10" r:id="rId10"/>
    <sheet name="VerifyShortPositionsGrid" sheetId="11" r:id="rId11"/>
    <sheet name="VerifyOrder" sheetId="12" r:id="rId12"/>
    <sheet name="GetDataAllocation" sheetId="13" r:id="rId13"/>
    <sheet name="CheckAllocatedGroups" sheetId="14" r:id="rId14"/>
    <sheet name="CheckPortfolioManagement1" sheetId="15" r:id="rId15"/>
  </sheets>
  <calcPr calcId="145621"/>
</workbook>
</file>

<file path=xl/calcChain.xml><?xml version="1.0" encoding="utf-8"?>
<calcChain xmlns="http://schemas.openxmlformats.org/spreadsheetml/2006/main">
  <c r="J2" i="15" l="1"/>
  <c r="J2" i="14"/>
  <c r="J2" i="13"/>
  <c r="J2" i="12"/>
  <c r="J2" i="11"/>
  <c r="J2" i="10"/>
  <c r="J2" i="9"/>
  <c r="J2" i="8"/>
  <c r="J2" i="7"/>
  <c r="J2" i="6"/>
  <c r="J2" i="5"/>
  <c r="J2" i="4"/>
  <c r="BK5" i="15"/>
  <c r="BK5" i="5"/>
  <c r="FA5" i="15"/>
  <c r="ES5" i="15"/>
  <c r="EK5" i="15"/>
  <c r="EC5" i="15"/>
  <c r="DU5" i="15"/>
  <c r="DM5" i="15"/>
  <c r="DE5" i="15"/>
  <c r="CW5" i="15"/>
  <c r="CO5" i="15"/>
  <c r="CG5" i="15"/>
  <c r="BY5" i="15"/>
  <c r="BQ5" i="15"/>
  <c r="BI5" i="15"/>
  <c r="BA5" i="15"/>
  <c r="AS5" i="15"/>
  <c r="AK5" i="15"/>
  <c r="AC5" i="15"/>
  <c r="U5" i="15"/>
  <c r="M5" i="15"/>
  <c r="E5" i="15"/>
  <c r="V4" i="15"/>
  <c r="N4" i="15"/>
  <c r="F4" i="15"/>
  <c r="CQ5" i="14"/>
  <c r="CI5" i="14"/>
  <c r="CA5" i="14"/>
  <c r="BS5" i="14"/>
  <c r="BK5" i="14"/>
  <c r="BC5" i="14"/>
  <c r="AU5" i="14"/>
  <c r="AM5" i="14"/>
  <c r="AE5" i="14"/>
  <c r="W5" i="14"/>
  <c r="O5" i="14"/>
  <c r="G5" i="14"/>
  <c r="DK4" i="14"/>
  <c r="DC4" i="14"/>
  <c r="CU4" i="14"/>
  <c r="CM4" i="14"/>
  <c r="CE4" i="14"/>
  <c r="BW4" i="14"/>
  <c r="BO4" i="14"/>
  <c r="BG4" i="14"/>
  <c r="AY4" i="14"/>
  <c r="AQ4" i="14"/>
  <c r="AI4" i="14"/>
  <c r="AA4" i="14"/>
  <c r="S4" i="14"/>
  <c r="K4" i="14"/>
  <c r="C4" i="14"/>
  <c r="M5" i="13"/>
  <c r="E5" i="13"/>
  <c r="DI4" i="13"/>
  <c r="DA4" i="13"/>
  <c r="CS4" i="13"/>
  <c r="CK4" i="13"/>
  <c r="CC4" i="13"/>
  <c r="BU4" i="13"/>
  <c r="BM4" i="13"/>
  <c r="BE4" i="13"/>
  <c r="AW4" i="13"/>
  <c r="AO4" i="13"/>
  <c r="AG4" i="13"/>
  <c r="Y4" i="13"/>
  <c r="Q4" i="13"/>
  <c r="I4" i="13"/>
  <c r="EZ5" i="15"/>
  <c r="ER5" i="15"/>
  <c r="EJ5" i="15"/>
  <c r="EB5" i="15"/>
  <c r="DT5" i="15"/>
  <c r="DL5" i="15"/>
  <c r="DD5" i="15"/>
  <c r="CV5" i="15"/>
  <c r="CN5" i="15"/>
  <c r="CF5" i="15"/>
  <c r="BX5" i="15"/>
  <c r="BP5" i="15"/>
  <c r="BH5" i="15"/>
  <c r="AZ5" i="15"/>
  <c r="AR5" i="15"/>
  <c r="AJ5" i="15"/>
  <c r="AB5" i="15"/>
  <c r="T5" i="15"/>
  <c r="L5" i="15"/>
  <c r="D5" i="15"/>
  <c r="U4" i="15"/>
  <c r="M4" i="15"/>
  <c r="E4" i="15"/>
  <c r="CP5" i="14"/>
  <c r="CH5" i="14"/>
  <c r="BZ5" i="14"/>
  <c r="BR5" i="14"/>
  <c r="BJ5" i="14"/>
  <c r="BB5" i="14"/>
  <c r="AT5" i="14"/>
  <c r="AL5" i="14"/>
  <c r="AD5" i="14"/>
  <c r="V5" i="14"/>
  <c r="N5" i="14"/>
  <c r="F5" i="14"/>
  <c r="DJ4" i="14"/>
  <c r="DB4" i="14"/>
  <c r="CT4" i="14"/>
  <c r="CL4" i="14"/>
  <c r="CD4" i="14"/>
  <c r="BV4" i="14"/>
  <c r="BN4" i="14"/>
  <c r="BF4" i="14"/>
  <c r="AX4" i="14"/>
  <c r="AP4" i="14"/>
  <c r="AH4" i="14"/>
  <c r="Z4" i="14"/>
  <c r="R4" i="14"/>
  <c r="J4" i="14"/>
  <c r="B4" i="14"/>
  <c r="L5" i="13"/>
  <c r="D5" i="13"/>
  <c r="DH4" i="13"/>
  <c r="CZ4" i="13"/>
  <c r="CR4" i="13"/>
  <c r="CJ4" i="13"/>
  <c r="CB4" i="13"/>
  <c r="BT4" i="13"/>
  <c r="BL4" i="13"/>
  <c r="BD4" i="13"/>
  <c r="AV4" i="13"/>
  <c r="AN4" i="13"/>
  <c r="AF4" i="13"/>
  <c r="X4" i="13"/>
  <c r="P4" i="13"/>
  <c r="H4" i="13"/>
  <c r="AZ5" i="12"/>
  <c r="AR5" i="12"/>
  <c r="AJ5" i="12"/>
  <c r="AB5" i="12"/>
  <c r="T5" i="12"/>
  <c r="L5" i="12"/>
  <c r="D5" i="12"/>
  <c r="AP4" i="12"/>
  <c r="AH4" i="12"/>
  <c r="Z4" i="12"/>
  <c r="R4" i="12"/>
  <c r="J4" i="12"/>
  <c r="B4" i="12"/>
  <c r="T5" i="11"/>
  <c r="L5" i="11"/>
  <c r="D5" i="11"/>
  <c r="Y4" i="11"/>
  <c r="Q4" i="11"/>
  <c r="I4" i="11"/>
  <c r="EY5" i="15"/>
  <c r="EQ5" i="15"/>
  <c r="EI5" i="15"/>
  <c r="EA5" i="15"/>
  <c r="DS5" i="15"/>
  <c r="DK5" i="15"/>
  <c r="DC5" i="15"/>
  <c r="CU5" i="15"/>
  <c r="CM5" i="15"/>
  <c r="CE5" i="15"/>
  <c r="BW5" i="15"/>
  <c r="BO5" i="15"/>
  <c r="BG5" i="15"/>
  <c r="AY5" i="15"/>
  <c r="AQ5" i="15"/>
  <c r="AI5" i="15"/>
  <c r="AA5" i="15"/>
  <c r="S5" i="15"/>
  <c r="K5" i="15"/>
  <c r="C5" i="15"/>
  <c r="T4" i="15"/>
  <c r="L4" i="15"/>
  <c r="D4" i="15"/>
  <c r="CO5" i="14"/>
  <c r="CG5" i="14"/>
  <c r="BY5" i="14"/>
  <c r="BQ5" i="14"/>
  <c r="BI5" i="14"/>
  <c r="BA5" i="14"/>
  <c r="AS5" i="14"/>
  <c r="AK5" i="14"/>
  <c r="AC5" i="14"/>
  <c r="U5" i="14"/>
  <c r="M5" i="14"/>
  <c r="E5" i="14"/>
  <c r="DI4" i="14"/>
  <c r="DA4" i="14"/>
  <c r="CS4" i="14"/>
  <c r="CK4" i="14"/>
  <c r="CC4" i="14"/>
  <c r="BU4" i="14"/>
  <c r="BM4" i="14"/>
  <c r="BE4" i="14"/>
  <c r="AW4" i="14"/>
  <c r="AO4" i="14"/>
  <c r="AG4" i="14"/>
  <c r="Y4" i="14"/>
  <c r="Q4" i="14"/>
  <c r="I4" i="14"/>
  <c r="EX5" i="15"/>
  <c r="EP5" i="15"/>
  <c r="EH5" i="15"/>
  <c r="DZ5" i="15"/>
  <c r="DR5" i="15"/>
  <c r="DJ5" i="15"/>
  <c r="DB5" i="15"/>
  <c r="CT5" i="15"/>
  <c r="CL5" i="15"/>
  <c r="CD5" i="15"/>
  <c r="BV5" i="15"/>
  <c r="BN5" i="15"/>
  <c r="BF5" i="15"/>
  <c r="AX5" i="15"/>
  <c r="AP5" i="15"/>
  <c r="AH5" i="15"/>
  <c r="Z5" i="15"/>
  <c r="R5" i="15"/>
  <c r="J5" i="15"/>
  <c r="B5" i="15"/>
  <c r="S4" i="15"/>
  <c r="K4" i="15"/>
  <c r="C4" i="15"/>
  <c r="CN5" i="14"/>
  <c r="CF5" i="14"/>
  <c r="BX5" i="14"/>
  <c r="BP5" i="14"/>
  <c r="BH5" i="14"/>
  <c r="AZ5" i="14"/>
  <c r="AR5" i="14"/>
  <c r="AJ5" i="14"/>
  <c r="AB5" i="14"/>
  <c r="T5" i="14"/>
  <c r="L5" i="14"/>
  <c r="D5" i="14"/>
  <c r="DH4" i="14"/>
  <c r="CZ4" i="14"/>
  <c r="CR4" i="14"/>
  <c r="CJ4" i="14"/>
  <c r="CB4" i="14"/>
  <c r="BT4" i="14"/>
  <c r="BL4" i="14"/>
  <c r="BD4" i="14"/>
  <c r="AV4" i="14"/>
  <c r="AN4" i="14"/>
  <c r="AF4" i="14"/>
  <c r="X4" i="14"/>
  <c r="P4" i="14"/>
  <c r="H4" i="14"/>
  <c r="R5" i="13"/>
  <c r="J5" i="13"/>
  <c r="B5" i="13"/>
  <c r="DF4" i="13"/>
  <c r="CX4" i="13"/>
  <c r="CP4" i="13"/>
  <c r="CH4" i="13"/>
  <c r="BZ4" i="13"/>
  <c r="BR4" i="13"/>
  <c r="BJ4" i="13"/>
  <c r="BB4" i="13"/>
  <c r="AT4" i="13"/>
  <c r="AL4" i="13"/>
  <c r="AD4" i="13"/>
  <c r="V4" i="13"/>
  <c r="N4" i="13"/>
  <c r="F4" i="13"/>
  <c r="AX5" i="12"/>
  <c r="AP5" i="12"/>
  <c r="AH5" i="12"/>
  <c r="Z5" i="12"/>
  <c r="R5" i="12"/>
  <c r="J5" i="12"/>
  <c r="B5" i="12"/>
  <c r="AN4" i="12"/>
  <c r="AF4" i="12"/>
  <c r="X4" i="12"/>
  <c r="P4" i="12"/>
  <c r="H4" i="12"/>
  <c r="Z5" i="11"/>
  <c r="R5" i="11"/>
  <c r="J5" i="11"/>
  <c r="B5" i="11"/>
  <c r="W4" i="11"/>
  <c r="O4" i="11"/>
  <c r="G4" i="11"/>
  <c r="Y5" i="10"/>
  <c r="Q5" i="10"/>
  <c r="I5" i="10"/>
  <c r="A5" i="10"/>
  <c r="V4" i="10"/>
  <c r="N4" i="10"/>
  <c r="F4" i="10"/>
  <c r="C5" i="9"/>
  <c r="X4" i="9"/>
  <c r="P4" i="9"/>
  <c r="H4" i="9"/>
  <c r="AO5" i="8"/>
  <c r="AG5" i="8"/>
  <c r="Y5" i="8"/>
  <c r="Q5" i="8"/>
  <c r="I5" i="8"/>
  <c r="A5" i="8"/>
  <c r="M4" i="8"/>
  <c r="E4" i="8"/>
  <c r="Y4" i="7"/>
  <c r="Q4" i="7"/>
  <c r="I4" i="7"/>
  <c r="EW5" i="15"/>
  <c r="EO5" i="15"/>
  <c r="EG5" i="15"/>
  <c r="DY5" i="15"/>
  <c r="DQ5" i="15"/>
  <c r="DI5" i="15"/>
  <c r="DA5" i="15"/>
  <c r="CS5" i="15"/>
  <c r="CK5" i="15"/>
  <c r="CC5" i="15"/>
  <c r="BU5" i="15"/>
  <c r="BM5" i="15"/>
  <c r="BE5" i="15"/>
  <c r="AW5" i="15"/>
  <c r="AO5" i="15"/>
  <c r="AG5" i="15"/>
  <c r="Y5" i="15"/>
  <c r="Q5" i="15"/>
  <c r="I5" i="15"/>
  <c r="A5" i="15"/>
  <c r="R4" i="15"/>
  <c r="J4" i="15"/>
  <c r="B4" i="15"/>
  <c r="CM5" i="14"/>
  <c r="CE5" i="14"/>
  <c r="BW5" i="14"/>
  <c r="BO5" i="14"/>
  <c r="BG5" i="14"/>
  <c r="AY5" i="14"/>
  <c r="AQ5" i="14"/>
  <c r="AI5" i="14"/>
  <c r="AA5" i="14"/>
  <c r="S5" i="14"/>
  <c r="K5" i="14"/>
  <c r="C5" i="14"/>
  <c r="DG4" i="14"/>
  <c r="CY4" i="14"/>
  <c r="CQ4" i="14"/>
  <c r="CI4" i="14"/>
  <c r="CA4" i="14"/>
  <c r="BS4" i="14"/>
  <c r="BK4" i="14"/>
  <c r="BC4" i="14"/>
  <c r="AU4" i="14"/>
  <c r="AM4" i="14"/>
  <c r="AE4" i="14"/>
  <c r="W4" i="14"/>
  <c r="O4" i="14"/>
  <c r="G4" i="14"/>
  <c r="Q5" i="13"/>
  <c r="I5" i="13"/>
  <c r="A5" i="13"/>
  <c r="DE4" i="13"/>
  <c r="CW4" i="13"/>
  <c r="CO4" i="13"/>
  <c r="CG4" i="13"/>
  <c r="BY4" i="13"/>
  <c r="BQ4" i="13"/>
  <c r="BI4" i="13"/>
  <c r="BA4" i="13"/>
  <c r="AS4" i="13"/>
  <c r="AK4" i="13"/>
  <c r="AC4" i="13"/>
  <c r="U4" i="13"/>
  <c r="M4" i="13"/>
  <c r="E4" i="13"/>
  <c r="AW5" i="12"/>
  <c r="AO5" i="12"/>
  <c r="AG5" i="12"/>
  <c r="Y5" i="12"/>
  <c r="Q5" i="12"/>
  <c r="I5" i="12"/>
  <c r="A5" i="12"/>
  <c r="AM4" i="12"/>
  <c r="AE4" i="12"/>
  <c r="W4" i="12"/>
  <c r="O4" i="12"/>
  <c r="G4" i="12"/>
  <c r="Y5" i="11"/>
  <c r="Q5" i="11"/>
  <c r="I5" i="11"/>
  <c r="A5" i="11"/>
  <c r="V4" i="11"/>
  <c r="N4" i="11"/>
  <c r="F4" i="11"/>
  <c r="X5" i="10"/>
  <c r="P5" i="10"/>
  <c r="H5" i="10"/>
  <c r="AC4" i="10"/>
  <c r="U4" i="10"/>
  <c r="M4" i="10"/>
  <c r="E4" i="10"/>
  <c r="B5" i="9"/>
  <c r="W4" i="9"/>
  <c r="O4" i="9"/>
  <c r="G4" i="9"/>
  <c r="AN5" i="8"/>
  <c r="AF5" i="8"/>
  <c r="X5" i="8"/>
  <c r="P5" i="8"/>
  <c r="H5" i="8"/>
  <c r="T4" i="8"/>
  <c r="L4" i="8"/>
  <c r="D4" i="8"/>
  <c r="X4" i="7"/>
  <c r="P4" i="7"/>
  <c r="H4" i="7"/>
  <c r="C5" i="6"/>
  <c r="T4" i="6"/>
  <c r="L4" i="6"/>
  <c r="D4" i="6"/>
  <c r="EW5" i="5"/>
  <c r="EO5" i="5"/>
  <c r="EG5" i="5"/>
  <c r="DY5" i="5"/>
  <c r="DQ5" i="5"/>
  <c r="DI5" i="5"/>
  <c r="DA5" i="5"/>
  <c r="CS5" i="5"/>
  <c r="CK5" i="5"/>
  <c r="CC5" i="5"/>
  <c r="BU5" i="5"/>
  <c r="BM5" i="5"/>
  <c r="BE5" i="5"/>
  <c r="AW5" i="5"/>
  <c r="AO5" i="5"/>
  <c r="AG5" i="5"/>
  <c r="EV5" i="15"/>
  <c r="EN5" i="15"/>
  <c r="EF5" i="15"/>
  <c r="DX5" i="15"/>
  <c r="DP5" i="15"/>
  <c r="DH5" i="15"/>
  <c r="CZ5" i="15"/>
  <c r="CR5" i="15"/>
  <c r="CJ5" i="15"/>
  <c r="CB5" i="15"/>
  <c r="BT5" i="15"/>
  <c r="BL5" i="15"/>
  <c r="BD5" i="15"/>
  <c r="AV5" i="15"/>
  <c r="AN5" i="15"/>
  <c r="AF5" i="15"/>
  <c r="X5" i="15"/>
  <c r="P5" i="15"/>
  <c r="H5" i="15"/>
  <c r="Y4" i="15"/>
  <c r="Q4" i="15"/>
  <c r="I4" i="15"/>
  <c r="EU5" i="15"/>
  <c r="EM5" i="15"/>
  <c r="EE5" i="15"/>
  <c r="DW5" i="15"/>
  <c r="DO5" i="15"/>
  <c r="DG5" i="15"/>
  <c r="CY5" i="15"/>
  <c r="CQ5" i="15"/>
  <c r="CI5" i="15"/>
  <c r="CA5" i="15"/>
  <c r="BS5" i="15"/>
  <c r="BC5" i="15"/>
  <c r="AU5" i="15"/>
  <c r="AM5" i="15"/>
  <c r="AE5" i="15"/>
  <c r="W5" i="15"/>
  <c r="O5" i="15"/>
  <c r="G5" i="15"/>
  <c r="X4" i="15"/>
  <c r="P4" i="15"/>
  <c r="H4" i="15"/>
  <c r="CS5" i="14"/>
  <c r="CK5" i="14"/>
  <c r="CC5" i="14"/>
  <c r="BU5" i="14"/>
  <c r="BM5" i="14"/>
  <c r="BE5" i="14"/>
  <c r="AW5" i="14"/>
  <c r="AO5" i="14"/>
  <c r="AG5" i="14"/>
  <c r="Y5" i="14"/>
  <c r="Q5" i="14"/>
  <c r="I5" i="14"/>
  <c r="A5" i="14"/>
  <c r="DE4" i="14"/>
  <c r="CW4" i="14"/>
  <c r="CO4" i="14"/>
  <c r="CG4" i="14"/>
  <c r="BY4" i="14"/>
  <c r="BQ4" i="14"/>
  <c r="BI4" i="14"/>
  <c r="BA4" i="14"/>
  <c r="AS4" i="14"/>
  <c r="AK4" i="14"/>
  <c r="AC4" i="14"/>
  <c r="U4" i="14"/>
  <c r="M4" i="14"/>
  <c r="E4" i="14"/>
  <c r="O5" i="13"/>
  <c r="G5" i="13"/>
  <c r="DK4" i="13"/>
  <c r="DC4" i="13"/>
  <c r="CU4" i="13"/>
  <c r="CM4" i="13"/>
  <c r="CE4" i="13"/>
  <c r="BW4" i="13"/>
  <c r="BO4" i="13"/>
  <c r="BG4" i="13"/>
  <c r="AY4" i="13"/>
  <c r="AQ4" i="13"/>
  <c r="AI4" i="13"/>
  <c r="AA4" i="13"/>
  <c r="S4" i="13"/>
  <c r="K4" i="13"/>
  <c r="C4" i="13"/>
  <c r="AU5" i="12"/>
  <c r="AM5" i="12"/>
  <c r="AE5" i="12"/>
  <c r="W5" i="12"/>
  <c r="O5" i="12"/>
  <c r="G5" i="12"/>
  <c r="AS4" i="12"/>
  <c r="AK4" i="12"/>
  <c r="AC4" i="12"/>
  <c r="U4" i="12"/>
  <c r="M4" i="12"/>
  <c r="E4" i="12"/>
  <c r="W5" i="11"/>
  <c r="O5" i="11"/>
  <c r="G5" i="11"/>
  <c r="AB4" i="11"/>
  <c r="T4" i="11"/>
  <c r="L4" i="11"/>
  <c r="D4" i="11"/>
  <c r="V5" i="10"/>
  <c r="N5" i="10"/>
  <c r="F5" i="10"/>
  <c r="AA4" i="10"/>
  <c r="S4" i="10"/>
  <c r="K4" i="10"/>
  <c r="C4" i="10"/>
  <c r="AC4" i="9"/>
  <c r="U4" i="9"/>
  <c r="M4" i="9"/>
  <c r="E4" i="9"/>
  <c r="AL5" i="8"/>
  <c r="AD5" i="8"/>
  <c r="V5" i="8"/>
  <c r="N5" i="8"/>
  <c r="F5" i="8"/>
  <c r="R4" i="8"/>
  <c r="J4" i="8"/>
  <c r="B4" i="8"/>
  <c r="V4" i="7"/>
  <c r="N4" i="7"/>
  <c r="F4" i="7"/>
  <c r="A5" i="6"/>
  <c r="R4" i="6"/>
  <c r="J4" i="6"/>
  <c r="B4" i="6"/>
  <c r="EU5" i="5"/>
  <c r="EM5" i="5"/>
  <c r="EE5" i="5"/>
  <c r="DW5" i="5"/>
  <c r="DO5" i="5"/>
  <c r="DG5" i="5"/>
  <c r="CY5" i="5"/>
  <c r="CQ5" i="5"/>
  <c r="CI5" i="5"/>
  <c r="ET5" i="15"/>
  <c r="EL5" i="15"/>
  <c r="ED5" i="15"/>
  <c r="DV5" i="15"/>
  <c r="DN5" i="15"/>
  <c r="DF5" i="15"/>
  <c r="CX5" i="15"/>
  <c r="CP5" i="15"/>
  <c r="CH5" i="15"/>
  <c r="BZ5" i="15"/>
  <c r="BR5" i="15"/>
  <c r="BJ5" i="15"/>
  <c r="BB5" i="15"/>
  <c r="AT5" i="15"/>
  <c r="AL5" i="15"/>
  <c r="AD5" i="15"/>
  <c r="V5" i="15"/>
  <c r="N5" i="15"/>
  <c r="F5" i="15"/>
  <c r="W4" i="15"/>
  <c r="O4" i="15"/>
  <c r="G4" i="15"/>
  <c r="CR5" i="14"/>
  <c r="CJ5" i="14"/>
  <c r="CB5" i="14"/>
  <c r="BT5" i="14"/>
  <c r="BL5" i="14"/>
  <c r="BD5" i="14"/>
  <c r="AV5" i="14"/>
  <c r="AN5" i="14"/>
  <c r="AF5" i="14"/>
  <c r="X5" i="14"/>
  <c r="P5" i="14"/>
  <c r="H5" i="14"/>
  <c r="DL4" i="14"/>
  <c r="DD4" i="14"/>
  <c r="CV4" i="14"/>
  <c r="CN4" i="14"/>
  <c r="CF4" i="14"/>
  <c r="BX4" i="14"/>
  <c r="BP4" i="14"/>
  <c r="BH4" i="14"/>
  <c r="AZ4" i="14"/>
  <c r="AR4" i="14"/>
  <c r="AJ4" i="14"/>
  <c r="AB4" i="14"/>
  <c r="T4" i="14"/>
  <c r="L4" i="14"/>
  <c r="D4" i="14"/>
  <c r="N5" i="13"/>
  <c r="F5" i="13"/>
  <c r="DJ4" i="13"/>
  <c r="DB4" i="13"/>
  <c r="CT4" i="13"/>
  <c r="CL4" i="13"/>
  <c r="CD4" i="13"/>
  <c r="BV4" i="13"/>
  <c r="BN4" i="13"/>
  <c r="BF4" i="13"/>
  <c r="AX4" i="13"/>
  <c r="AP4" i="13"/>
  <c r="AH4" i="13"/>
  <c r="Z4" i="13"/>
  <c r="R4" i="13"/>
  <c r="J4" i="13"/>
  <c r="B4" i="13"/>
  <c r="AT5" i="12"/>
  <c r="AL5" i="12"/>
  <c r="AD5" i="12"/>
  <c r="V5" i="12"/>
  <c r="N5" i="12"/>
  <c r="F5" i="12"/>
  <c r="AR4" i="12"/>
  <c r="AJ4" i="12"/>
  <c r="AB4" i="12"/>
  <c r="T4" i="12"/>
  <c r="L4" i="12"/>
  <c r="D4" i="12"/>
  <c r="V5" i="11"/>
  <c r="N5" i="11"/>
  <c r="F5" i="11"/>
  <c r="AA4" i="11"/>
  <c r="S4" i="11"/>
  <c r="K4" i="11"/>
  <c r="C4" i="11"/>
  <c r="U5" i="10"/>
  <c r="M5" i="10"/>
  <c r="E5" i="10"/>
  <c r="Z4" i="10"/>
  <c r="R4" i="10"/>
  <c r="J4" i="10"/>
  <c r="B4" i="10"/>
  <c r="AB4" i="9"/>
  <c r="T4" i="9"/>
  <c r="L4" i="9"/>
  <c r="D4" i="9"/>
  <c r="AK5" i="8"/>
  <c r="AC5" i="8"/>
  <c r="U5" i="8"/>
  <c r="M5" i="8"/>
  <c r="E5" i="8"/>
  <c r="Q4" i="8"/>
  <c r="I4" i="8"/>
  <c r="CL5" i="14"/>
  <c r="Z5" i="14"/>
  <c r="BZ4" i="14"/>
  <c r="N4" i="14"/>
  <c r="DG4" i="13"/>
  <c r="CA4" i="13"/>
  <c r="AU4" i="13"/>
  <c r="O4" i="13"/>
  <c r="AQ5" i="12"/>
  <c r="U5" i="12"/>
  <c r="AT4" i="12"/>
  <c r="Y4" i="12"/>
  <c r="C4" i="12"/>
  <c r="H5" i="11"/>
  <c r="P4" i="11"/>
  <c r="W5" i="10"/>
  <c r="G5" i="10"/>
  <c r="T4" i="10"/>
  <c r="D4" i="10"/>
  <c r="V4" i="9"/>
  <c r="F4" i="9"/>
  <c r="AE5" i="8"/>
  <c r="O5" i="8"/>
  <c r="S4" i="8"/>
  <c r="C4" i="8"/>
  <c r="S4" i="7"/>
  <c r="E4" i="7"/>
  <c r="W4" i="6"/>
  <c r="M4" i="6"/>
  <c r="ER5" i="5"/>
  <c r="EH5" i="5"/>
  <c r="DV5" i="5"/>
  <c r="DL5" i="5"/>
  <c r="DB5" i="5"/>
  <c r="CP5" i="5"/>
  <c r="CF5" i="5"/>
  <c r="BW5" i="5"/>
  <c r="BN5" i="5"/>
  <c r="BD5" i="5"/>
  <c r="AU5" i="5"/>
  <c r="AL5" i="5"/>
  <c r="AC5" i="5"/>
  <c r="U5" i="5"/>
  <c r="M5" i="5"/>
  <c r="E5" i="5"/>
  <c r="V4" i="5"/>
  <c r="N4" i="5"/>
  <c r="F4" i="5"/>
  <c r="AM5" i="4"/>
  <c r="AE5" i="4"/>
  <c r="W5" i="4"/>
  <c r="O5" i="4"/>
  <c r="G5" i="4"/>
  <c r="S4" i="4"/>
  <c r="K4" i="4"/>
  <c r="C4" i="4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CD5" i="14"/>
  <c r="R5" i="14"/>
  <c r="BR4" i="14"/>
  <c r="F4" i="14"/>
  <c r="DD4" i="13"/>
  <c r="BX4" i="13"/>
  <c r="AR4" i="13"/>
  <c r="L4" i="13"/>
  <c r="AN5" i="12"/>
  <c r="S5" i="12"/>
  <c r="AQ4" i="12"/>
  <c r="V4" i="12"/>
  <c r="E5" i="11"/>
  <c r="M4" i="11"/>
  <c r="T5" i="10"/>
  <c r="D5" i="10"/>
  <c r="Q4" i="10"/>
  <c r="S4" i="9"/>
  <c r="C4" i="9"/>
  <c r="AB5" i="8"/>
  <c r="L5" i="8"/>
  <c r="P4" i="8"/>
  <c r="R4" i="7"/>
  <c r="D4" i="7"/>
  <c r="V4" i="6"/>
  <c r="K4" i="6"/>
  <c r="FA5" i="5"/>
  <c r="EQ5" i="5"/>
  <c r="EF5" i="5"/>
  <c r="DU5" i="5"/>
  <c r="DK5" i="5"/>
  <c r="CZ5" i="5"/>
  <c r="CO5" i="5"/>
  <c r="CE5" i="5"/>
  <c r="BV5" i="5"/>
  <c r="BL5" i="5"/>
  <c r="BC5" i="5"/>
  <c r="AT5" i="5"/>
  <c r="AK5" i="5"/>
  <c r="AB5" i="5"/>
  <c r="T5" i="5"/>
  <c r="L5" i="5"/>
  <c r="D5" i="5"/>
  <c r="U4" i="5"/>
  <c r="M4" i="5"/>
  <c r="E4" i="5"/>
  <c r="AL5" i="4"/>
  <c r="AD5" i="4"/>
  <c r="V5" i="4"/>
  <c r="N5" i="4"/>
  <c r="F5" i="4"/>
  <c r="R4" i="4"/>
  <c r="J4" i="4"/>
  <c r="B4" i="4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BV5" i="14"/>
  <c r="J5" i="14"/>
  <c r="BJ4" i="14"/>
  <c r="CY4" i="13"/>
  <c r="BS4" i="13"/>
  <c r="AM4" i="13"/>
  <c r="G4" i="13"/>
  <c r="AK5" i="12"/>
  <c r="P5" i="12"/>
  <c r="AO4" i="12"/>
  <c r="S4" i="12"/>
  <c r="X5" i="11"/>
  <c r="C5" i="11"/>
  <c r="J4" i="11"/>
  <c r="S5" i="10"/>
  <c r="C5" i="10"/>
  <c r="P4" i="10"/>
  <c r="E5" i="9"/>
  <c r="R4" i="9"/>
  <c r="B4" i="9"/>
  <c r="AA5" i="8"/>
  <c r="K5" i="8"/>
  <c r="O4" i="8"/>
  <c r="C5" i="7"/>
  <c r="O4" i="7"/>
  <c r="C4" i="7"/>
  <c r="U4" i="6"/>
  <c r="I4" i="6"/>
  <c r="EZ5" i="5"/>
  <c r="EP5" i="5"/>
  <c r="ED5" i="5"/>
  <c r="DT5" i="5"/>
  <c r="DJ5" i="5"/>
  <c r="CX5" i="5"/>
  <c r="CN5" i="5"/>
  <c r="CD5" i="5"/>
  <c r="BT5" i="5"/>
  <c r="BB5" i="5"/>
  <c r="AS5" i="5"/>
  <c r="AJ5" i="5"/>
  <c r="AA5" i="5"/>
  <c r="S5" i="5"/>
  <c r="K5" i="5"/>
  <c r="C5" i="5"/>
  <c r="T4" i="5"/>
  <c r="L4" i="5"/>
  <c r="D4" i="5"/>
  <c r="AK5" i="4"/>
  <c r="AC5" i="4"/>
  <c r="U5" i="4"/>
  <c r="M5" i="4"/>
  <c r="E5" i="4"/>
  <c r="Q4" i="4"/>
  <c r="I4" i="4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BN5" i="14"/>
  <c r="B5" i="14"/>
  <c r="BB4" i="14"/>
  <c r="P5" i="13"/>
  <c r="CV4" i="13"/>
  <c r="BP4" i="13"/>
  <c r="AJ4" i="13"/>
  <c r="D4" i="13"/>
  <c r="AI5" i="12"/>
  <c r="M5" i="12"/>
  <c r="AL4" i="12"/>
  <c r="Q4" i="12"/>
  <c r="U5" i="11"/>
  <c r="AC4" i="11"/>
  <c r="H4" i="11"/>
  <c r="R5" i="10"/>
  <c r="B5" i="10"/>
  <c r="O4" i="10"/>
  <c r="D5" i="9"/>
  <c r="Q4" i="9"/>
  <c r="Z5" i="8"/>
  <c r="J5" i="8"/>
  <c r="N4" i="8"/>
  <c r="B5" i="7"/>
  <c r="M4" i="7"/>
  <c r="B4" i="7"/>
  <c r="S4" i="6"/>
  <c r="H4" i="6"/>
  <c r="EY5" i="5"/>
  <c r="EN5" i="5"/>
  <c r="EC5" i="5"/>
  <c r="DS5" i="5"/>
  <c r="DH5" i="5"/>
  <c r="CW5" i="5"/>
  <c r="CM5" i="5"/>
  <c r="CB5" i="5"/>
  <c r="BS5" i="5"/>
  <c r="BJ5" i="5"/>
  <c r="BA5" i="5"/>
  <c r="AR5" i="5"/>
  <c r="AI5" i="5"/>
  <c r="Z5" i="5"/>
  <c r="R5" i="5"/>
  <c r="J5" i="5"/>
  <c r="B5" i="5"/>
  <c r="S4" i="5"/>
  <c r="K4" i="5"/>
  <c r="C4" i="5"/>
  <c r="AJ5" i="4"/>
  <c r="AB5" i="4"/>
  <c r="T5" i="4"/>
  <c r="L5" i="4"/>
  <c r="D5" i="4"/>
  <c r="P4" i="4"/>
  <c r="H4" i="4"/>
  <c r="A4" i="3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BF5" i="14"/>
  <c r="DF4" i="14"/>
  <c r="AT4" i="14"/>
  <c r="K5" i="13"/>
  <c r="CQ4" i="13"/>
  <c r="BK4" i="13"/>
  <c r="AE4" i="13"/>
  <c r="AF5" i="12"/>
  <c r="K5" i="12"/>
  <c r="AI4" i="12"/>
  <c r="N4" i="12"/>
  <c r="S5" i="11"/>
  <c r="Z4" i="11"/>
  <c r="E4" i="11"/>
  <c r="O5" i="10"/>
  <c r="AB4" i="10"/>
  <c r="L4" i="10"/>
  <c r="A5" i="9"/>
  <c r="N4" i="9"/>
  <c r="AM5" i="8"/>
  <c r="W5" i="8"/>
  <c r="G5" i="8"/>
  <c r="K4" i="8"/>
  <c r="A5" i="7"/>
  <c r="L4" i="7"/>
  <c r="Q4" i="6"/>
  <c r="G4" i="6"/>
  <c r="EX5" i="5"/>
  <c r="EL5" i="5"/>
  <c r="EB5" i="5"/>
  <c r="DR5" i="5"/>
  <c r="DF5" i="5"/>
  <c r="CV5" i="5"/>
  <c r="CL5" i="5"/>
  <c r="CA5" i="5"/>
  <c r="BR5" i="5"/>
  <c r="BI5" i="5"/>
  <c r="AZ5" i="5"/>
  <c r="AQ5" i="5"/>
  <c r="AH5" i="5"/>
  <c r="Y5" i="5"/>
  <c r="Q5" i="5"/>
  <c r="I5" i="5"/>
  <c r="A5" i="5"/>
  <c r="R4" i="5"/>
  <c r="J4" i="5"/>
  <c r="B4" i="5"/>
  <c r="AI5" i="4"/>
  <c r="AA5" i="4"/>
  <c r="S5" i="4"/>
  <c r="K5" i="4"/>
  <c r="C5" i="4"/>
  <c r="O4" i="4"/>
  <c r="G4" i="4"/>
  <c r="C452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AX5" i="14"/>
  <c r="CX4" i="14"/>
  <c r="AL4" i="14"/>
  <c r="H5" i="13"/>
  <c r="CN4" i="13"/>
  <c r="BH4" i="13"/>
  <c r="AB4" i="13"/>
  <c r="AY5" i="12"/>
  <c r="AC5" i="12"/>
  <c r="H5" i="12"/>
  <c r="AG4" i="12"/>
  <c r="K4" i="12"/>
  <c r="P5" i="11"/>
  <c r="X4" i="11"/>
  <c r="B4" i="11"/>
  <c r="L5" i="10"/>
  <c r="Y4" i="10"/>
  <c r="I4" i="10"/>
  <c r="AA4" i="9"/>
  <c r="K4" i="9"/>
  <c r="AJ5" i="8"/>
  <c r="T5" i="8"/>
  <c r="D5" i="8"/>
  <c r="H4" i="8"/>
  <c r="W4" i="7"/>
  <c r="K4" i="7"/>
  <c r="B5" i="6"/>
  <c r="P4" i="6"/>
  <c r="F4" i="6"/>
  <c r="EV5" i="5"/>
  <c r="EK5" i="5"/>
  <c r="EA5" i="5"/>
  <c r="DP5" i="5"/>
  <c r="DE5" i="5"/>
  <c r="CU5" i="5"/>
  <c r="CJ5" i="5"/>
  <c r="BZ5" i="5"/>
  <c r="BQ5" i="5"/>
  <c r="BH5" i="5"/>
  <c r="AY5" i="5"/>
  <c r="AP5" i="5"/>
  <c r="AF5" i="5"/>
  <c r="X5" i="5"/>
  <c r="P5" i="5"/>
  <c r="H5" i="5"/>
  <c r="Y4" i="5"/>
  <c r="Q4" i="5"/>
  <c r="I4" i="5"/>
  <c r="AH5" i="4"/>
  <c r="Z5" i="4"/>
  <c r="R5" i="4"/>
  <c r="J5" i="4"/>
  <c r="B5" i="4"/>
  <c r="N4" i="4"/>
  <c r="F4" i="4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AP5" i="14"/>
  <c r="CP4" i="14"/>
  <c r="AD4" i="14"/>
  <c r="C5" i="13"/>
  <c r="CI4" i="13"/>
  <c r="BC4" i="13"/>
  <c r="W4" i="13"/>
  <c r="AV5" i="12"/>
  <c r="AA5" i="12"/>
  <c r="E5" i="12"/>
  <c r="AD4" i="12"/>
  <c r="I4" i="12"/>
  <c r="M5" i="11"/>
  <c r="U4" i="11"/>
  <c r="K5" i="10"/>
  <c r="X4" i="10"/>
  <c r="H4" i="10"/>
  <c r="Z4" i="9"/>
  <c r="J4" i="9"/>
  <c r="AI5" i="8"/>
  <c r="S5" i="8"/>
  <c r="C5" i="8"/>
  <c r="G4" i="8"/>
  <c r="U4" i="7"/>
  <c r="J4" i="7"/>
  <c r="Y4" i="6"/>
  <c r="O4" i="6"/>
  <c r="E4" i="6"/>
  <c r="ET5" i="5"/>
  <c r="EJ5" i="5"/>
  <c r="DZ5" i="5"/>
  <c r="DN5" i="5"/>
  <c r="DD5" i="5"/>
  <c r="CT5" i="5"/>
  <c r="CH5" i="5"/>
  <c r="BY5" i="5"/>
  <c r="BP5" i="5"/>
  <c r="BG5" i="5"/>
  <c r="AX5" i="5"/>
  <c r="AN5" i="5"/>
  <c r="AE5" i="5"/>
  <c r="W5" i="5"/>
  <c r="O5" i="5"/>
  <c r="G5" i="5"/>
  <c r="X4" i="5"/>
  <c r="P4" i="5"/>
  <c r="H4" i="5"/>
  <c r="AO5" i="4"/>
  <c r="AG5" i="4"/>
  <c r="Y5" i="4"/>
  <c r="Q5" i="4"/>
  <c r="I5" i="4"/>
  <c r="A5" i="4"/>
  <c r="M4" i="4"/>
  <c r="E4" i="4"/>
  <c r="A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H5" i="14"/>
  <c r="CH4" i="14"/>
  <c r="V4" i="14"/>
  <c r="DL4" i="13"/>
  <c r="CF4" i="13"/>
  <c r="AZ4" i="13"/>
  <c r="T4" i="13"/>
  <c r="AS5" i="12"/>
  <c r="X5" i="12"/>
  <c r="C5" i="12"/>
  <c r="AA4" i="12"/>
  <c r="F4" i="12"/>
  <c r="K5" i="11"/>
  <c r="R4" i="11"/>
  <c r="Z5" i="10"/>
  <c r="J5" i="10"/>
  <c r="W4" i="10"/>
  <c r="G4" i="10"/>
  <c r="Y4" i="9"/>
  <c r="I4" i="9"/>
  <c r="AH5" i="8"/>
  <c r="R5" i="8"/>
  <c r="B5" i="8"/>
  <c r="F4" i="8"/>
  <c r="T4" i="7"/>
  <c r="G4" i="7"/>
  <c r="X4" i="6"/>
  <c r="N4" i="6"/>
  <c r="C4" i="6"/>
  <c r="ES5" i="5"/>
  <c r="EI5" i="5"/>
  <c r="DX5" i="5"/>
  <c r="DM5" i="5"/>
  <c r="DC5" i="5"/>
  <c r="CR5" i="5"/>
  <c r="CG5" i="5"/>
  <c r="BX5" i="5"/>
  <c r="BO5" i="5"/>
  <c r="BF5" i="5"/>
  <c r="AV5" i="5"/>
  <c r="AM5" i="5"/>
  <c r="AD5" i="5"/>
  <c r="V5" i="5"/>
  <c r="N5" i="5"/>
  <c r="F5" i="5"/>
  <c r="W4" i="5"/>
  <c r="O4" i="5"/>
  <c r="G4" i="5"/>
  <c r="AN5" i="4"/>
  <c r="AF5" i="4"/>
  <c r="X5" i="4"/>
  <c r="P5" i="4"/>
  <c r="H5" i="4"/>
  <c r="T4" i="4"/>
  <c r="L4" i="4"/>
  <c r="D4" i="4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A262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C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5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</calcChain>
</file>

<file path=xl/sharedStrings.xml><?xml version="1.0" encoding="utf-8"?>
<sst xmlns="http://schemas.openxmlformats.org/spreadsheetml/2006/main" count="263" uniqueCount="49">
  <si>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</si>
  <si>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</si>
  <si>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</si>
  <si>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</si>
  <si>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</si>
  <si>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</si>
  <si>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</si>
  <si>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</si>
  <si>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</si>
  <si>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</si>
  <si>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</si>
  <si>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</si>
  <si>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</si>
  <si>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</si>
  <si>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</si>
  <si>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</si>
  <si>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</si>
  <si>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</si>
  <si>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</si>
  <si>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MSFT</t>
  </si>
  <si>
    <t>IBM</t>
  </si>
  <si>
    <t>PortfolioManagement</t>
  </si>
  <si>
    <t>CheckPortfolioManagement</t>
  </si>
  <si>
    <t>Long</t>
  </si>
  <si>
    <t>Equity</t>
  </si>
  <si>
    <t>FilterPM</t>
  </si>
  <si>
    <t>Symbol</t>
  </si>
  <si>
    <t>CloseAccountPositionFromPM</t>
  </si>
  <si>
    <t>Sell</t>
  </si>
  <si>
    <t>Closing</t>
  </si>
  <si>
    <t>GetDataClosing</t>
  </si>
  <si>
    <t>Current</t>
  </si>
  <si>
    <t>VerifyLongPositionsGrid</t>
  </si>
  <si>
    <t>APPLE</t>
  </si>
  <si>
    <t>US</t>
  </si>
  <si>
    <t>MICROSOFT INC</t>
  </si>
  <si>
    <t>VerifyShortPositionsGrid</t>
  </si>
  <si>
    <t>Blotter</t>
  </si>
  <si>
    <t>VerifyOrder</t>
  </si>
  <si>
    <t>Filled</t>
  </si>
  <si>
    <t>MS</t>
  </si>
  <si>
    <t>Market</t>
  </si>
  <si>
    <t>Allocation</t>
  </si>
  <si>
    <t>GetDataAllocation</t>
  </si>
  <si>
    <t>CheckAllocatedGroups</t>
  </si>
  <si>
    <t>Open</t>
  </si>
  <si>
    <t>USD</t>
  </si>
  <si>
    <t>M</t>
  </si>
  <si>
    <t>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</si>
</sst>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#,###,###,###,##0.00#############"/>
  </numFmts>
  <fonts count="14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0" fontId="3" fillId="0" borderId="5" xfId="0" applyFont="1" applyBorder="1" applyAlignment="1"/>
    <xf numFmtId="0" fontId="3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horizontal="right"/>
    </xf>
    <xf numFmtId="3" fontId="2" fillId="0" borderId="0" xfId="0" applyNumberFormat="1" applyFont="1" applyAlignment="1"/>
    <xf numFmtId="0" fontId="13" fillId="0" borderId="0" xfId="0" applyFont="1" applyAlignment="1"/>
    <xf numFmtId="164" fontId="13" fillId="0" borderId="0" xfId="0" applyNumberFormat="1" applyFont="1" applyAlignment="1">
      <alignment horizontal="right"/>
    </xf>
    <xf numFmtId="0" fontId="13" fillId="0" borderId="0" xfId="0" applyFont="1" applyAlignment="1"/>
    <xf numFmtId="3" fontId="5" fillId="0" borderId="0" xfId="0" applyNumberFormat="1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35" t="s">
        <v>0</v>
      </c>
      <c r="B1" s="36"/>
      <c r="C1" s="36"/>
      <c r="D1" s="36"/>
      <c r="E1" s="36"/>
      <c r="F1" s="37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/>
      <c r="E4" s="1"/>
      <c r="F4" s="1"/>
    </row>
    <row r="5" spans="1:6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IFERROR(__xludf.DUMMYFUNCTION("""COMPUTED_VALUE"""),"OpenCreateTransactionFromPM")</f>
        <v>OpenCreateTransactionFromPM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IFERROR(__xludf.DUMMYFUNCTION("""COMPUTED_VALUE"""),"OpenClosingFromPM")</f>
        <v>OpenClosingFromPM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IFERROR(__xludf.DUMMYFUNCTION("""COMPUTED_VALUE"""),"OpenCorporateActionFromPM")</f>
        <v>OpenCorporateActionFromPM</v>
      </c>
      <c r="C319" t="str">
        <f ca="1">IFERROR(__xludf.DUMMYFUNCTION("""COMPUTED_VALUE"""),"undefined")</f>
        <v>undefined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IFERROR(__xludf.DUMMYFUNCTION("""COMPUTED_VALUE"""),"OpenDailyValuationFromPM")</f>
        <v>OpenDailyValuationFromPM</v>
      </c>
      <c r="C320" t="str">
        <f ca="1">IFERROR(__xludf.DUMMYFUNCTION("""COMPUTED_VALUE"""),"undefined")</f>
        <v>undefined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IFERROR(__xludf.DUMMYFUNCTION("""COMPUTED_VALUE"""),"ClosePositionFromPM")</f>
        <v>ClosePositionFromPM</v>
      </c>
      <c r="C321" t="str">
        <f ca="1">IFERROR(__xludf.DUMMYFUNCTION("""COMPUTED_VALUE"""),"1-P8y2jWa8-TgjIAgysm8LiFOFNCawLK6ehtNf8n3g0o")</f>
        <v>1-P8y2jWa8-TgjIAgysm8LiFOFNCawLK6ehtNf8n3g0o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IFERROR(__xludf.DUMMYFUNCTION("""COMPUTED_VALUE"""),"ShowSummaryToolFromPM")</f>
        <v>ShowSummaryToolFromPM</v>
      </c>
      <c r="C322" t="str">
        <f ca="1">IFERROR(__xludf.DUMMYFUNCTION("""COMPUTED_VALUE"""),"undefined")</f>
        <v>undefined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IFERROR(__xludf.DUMMYFUNCTION("""COMPUTED_VALUE"""),"HideSummaryToolFromPM")</f>
        <v>HideSummaryToolFromPM</v>
      </c>
      <c r="C323" t="str">
        <f ca="1">IFERROR(__xludf.DUMMYFUNCTION("""COMPUTED_VALUE"""),"undefined")</f>
        <v>undefined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IFERROR(__xludf.DUMMYFUNCTION("""COMPUTED_VALUE"""),"CloseAccountPositionFromPM")</f>
        <v>CloseAccountPositionFromPM</v>
      </c>
      <c r="C324" t="str">
        <f ca="1">IFERROR(__xludf.DUMMYFUNCTION("""COMPUTED_VALUE"""),"1r4mdKH6xHBGXly0xX_3kfVZnbgFRt6h09CKzb6B2j30")</f>
        <v>1r4mdKH6xHBGXly0xX_3kfVZnbgFRt6h09CKzb6B2j30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IFERROR(__xludf.DUMMYFUNCTION("""COMPUTED_VALUE"""),"CloseSelectedTaxlotsFromPM")</f>
        <v>CloseSelectedTaxlotsFromPM</v>
      </c>
      <c r="C325" t="str">
        <f ca="1">IFERROR(__xludf.DUMMYFUNCTION("""COMPUTED_VALUE"""),"1bepmvkmXtLL4UpGLcjeYXrovfZi8iUwi1A3os0v1Uj0")</f>
        <v>1bepmvkmXtLL4UpGLcjeYXrovfZi8iUwi1A3os0v1Uj0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IFERROR(__xludf.DUMMYFUNCTION("""COMPUTED_VALUE"""),"ExpandCollapsePM")</f>
        <v>ExpandCollapsePM</v>
      </c>
      <c r="C326" t="str">
        <f ca="1">IFERROR(__xludf.DUMMYFUNCTION("""COMPUTED_VALUE"""),"undefined")</f>
        <v>undefined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IFERROR(__xludf.DUMMYFUNCTION("""COMPUTED_VALUE"""),"AddCustomViewPM")</f>
        <v>AddCustomViewPM</v>
      </c>
      <c r="C327" t="str">
        <f ca="1">IFERROR(__xludf.DUMMYFUNCTION("""COMPUTED_VALUE"""),"1NbdvoXzq9bLTUkCX2_gVxCtjCR2kBldnGGw-z1Eim8I")</f>
        <v>1NbdvoXzq9bLTUkCX2_gVxCtjCR2kBldnGGw-z1Eim8I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IFERROR(__xludf.DUMMYFUNCTION("""COMPUTED_VALUE"""),"AddCustomViewRightClickPM")</f>
        <v>AddCustomViewRightClickPM</v>
      </c>
      <c r="C328" t="str">
        <f ca="1">IFERROR(__xludf.DUMMYFUNCTION("""COMPUTED_VALUE"""),"1Q7iif6wWXqCIfSrgSBzoU30gZbMUkNAMhcF68qLMvps")</f>
        <v>1Q7iif6wWXqCIfSrgSBzoU30gZbMUkNAMhcF68qLMvps</v>
      </c>
    </row>
    <row r="329" spans="1:3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IFERROR(__xludf.DUMMYFUNCTION("""COMPUTED_VALUE"""),"RenameCustomViewPM")</f>
        <v>RenameCustomViewPM</v>
      </c>
      <c r="C329" t="str">
        <f ca="1">IFERROR(__xludf.DUMMYFUNCTION("""COMPUTED_VALUE"""),"11-lGY3oTzf5kpgkJM4lHHX32AUcd6BpZ2CU2UsLPpAE")</f>
        <v>11-lGY3oTzf5kpgkJM4lHHX32AUcd6BpZ2CU2UsLPpAE</v>
      </c>
    </row>
    <row r="330" spans="1:3" ht="15.75" customHeight="1">
      <c r="A330" t="str">
        <f ca="1">IFERROR(__xludf.DUMMYFUNCTION("""COMPUTED_VALUE"""),"PortfolioManagement")</f>
        <v>PortfolioManagement</v>
      </c>
      <c r="B330" t="str">
        <f ca="1">IFERROR(__xludf.DUMMYFUNCTION("""COMPUTED_VALUE"""),"DeleteCustomViewPM")</f>
        <v>DeleteCustomViewPM</v>
      </c>
      <c r="C330" t="str">
        <f ca="1">IFERROR(__xludf.DUMMYFUNCTION("""COMPUTED_VALUE"""),"1X-gnstY40ismguHxChNKmthJ1G80Q49D37OBmzHA5BM")</f>
        <v>1X-gnstY40ismguHxChNKmthJ1G80Q49D37OBmzHA5BM</v>
      </c>
    </row>
    <row r="331" spans="1:3" ht="15.75" customHeight="1">
      <c r="A331" t="str">
        <f ca="1">IFERROR(__xludf.DUMMYFUNCTION("""COMPUTED_VALUE"""),"Closing")</f>
        <v>Closing</v>
      </c>
      <c r="B331" t="str">
        <f ca="1">IFERROR(__xludf.DUMMYFUNCTION("""COMPUTED_VALUE"""),"SetClosingPreference")</f>
        <v>SetClosingPreference</v>
      </c>
      <c r="C331" t="str">
        <f ca="1">IFERROR(__xludf.DUMMYFUNCTION("""COMPUTED_VALUE"""),"1SBWCGC1qCDElP5xT215lxXFECJmufBKtZhmLiF-uDlE")</f>
        <v>1SBWCGC1qCDElP5xT215lxXFECJmufBKtZhmLiF-uDlE</v>
      </c>
    </row>
    <row r="332" spans="1:3" ht="15.75" customHeight="1">
      <c r="A332" t="str">
        <f ca="1">IFERROR(__xludf.DUMMYFUNCTION("""COMPUTED_VALUE"""),"CreateTransaction")</f>
        <v>CreateTransaction</v>
      </c>
      <c r="B332" t="str">
        <f ca="1">IFERROR(__xludf.DUMMYFUNCTION("""COMPUTED_VALUE"""),"SaveTransaction")</f>
        <v>SaveTransaction</v>
      </c>
      <c r="C332" t="str">
        <f ca="1">IFERROR(__xludf.DUMMYFUNCTION("""COMPUTED_VALUE"""),"undefined")</f>
        <v>undefined</v>
      </c>
    </row>
    <row r="333" spans="1:3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IFERROR(__xludf.DUMMYFUNCTION("""COMPUTED_VALUE"""),"EditUnallocatedGrid")</f>
        <v>EditUnallocatedGrid</v>
      </c>
      <c r="C333" t="str">
        <f ca="1">IFERROR(__xludf.DUMMYFUNCTION("""COMPUTED_VALUE"""),"13ZNMuqKcSpAW_MsR69_GoKBz_beluHfFVyViDpUnCkc")</f>
        <v>13ZNMuqKcSpAW_MsR69_GoKBz_beluHfFVyViDpUnCkc</v>
      </c>
    </row>
    <row r="334" spans="1:3" ht="15.75" customHeight="1">
      <c r="A334" t="str">
        <f ca="1">IFERROR(__xludf.DUMMYFUNCTION("""COMPUTED_VALUE"""),"Allocation")</f>
        <v>Allocation</v>
      </c>
      <c r="B334" t="str">
        <f ca="1">IFERROR(__xludf.DUMMYFUNCTION("""COMPUTED_VALUE"""),"EditAllocatedGrid")</f>
        <v>EditAllocatedGrid</v>
      </c>
      <c r="C334" t="str">
        <f ca="1">IFERROR(__xludf.DUMMYFUNCTION("""COMPUTED_VALUE"""),"1Qe_MB72ABGFy_tC-AtAJSBoOqNECmDnuHW2p--em0xc")</f>
        <v>1Qe_MB72ABGFy_tC-AtAJSBoOqNECmDnuHW2p--em0xc</v>
      </c>
    </row>
    <row r="335" spans="1:3" ht="15.75" customHeight="1">
      <c r="A335" t="str">
        <f ca="1">IFERROR(__xludf.DUMMYFUNCTION("""COMPUTED_VALUE"""),"PTT")</f>
        <v>PTT</v>
      </c>
      <c r="B335" t="str">
        <f ca="1">IFERROR(__xludf.DUMMYFUNCTION("""COMPUTED_VALUE"""),"SetPTTPreference")</f>
        <v>SetPTTPreference</v>
      </c>
      <c r="C335" t="str">
        <f ca="1">IFERROR(__xludf.DUMMYFUNCTION("""COMPUTED_VALUE"""),"1ldeUCvJu8gA2hZDe6NneM5_zHpORs3VIMmFqtZK_zTo")</f>
        <v>1ldeUCvJu8gA2hZDe6NneM5_zHpORs3VIMmFqtZK_zTo</v>
      </c>
    </row>
    <row r="336" spans="1:3" ht="15.75" customHeight="1">
      <c r="A336" t="str">
        <f ca="1">IFERROR(__xludf.DUMMYFUNCTION("""COMPUTED_VALUE"""),"PTT")</f>
        <v>PTT</v>
      </c>
      <c r="B336" t="str">
        <f ca="1">IFERROR(__xludf.DUMMYFUNCTION("""COMPUTED_VALUE"""),"SetLongShortPTTPreference")</f>
        <v>SetLongShortPTTPreference</v>
      </c>
      <c r="C336" t="str">
        <f ca="1">IFERROR(__xludf.DUMMYFUNCTION("""COMPUTED_VALUE"""),"1K6pZbNryz6dksItb7aYYpqHUV4sWPVRsnYGiEZCb6BY")</f>
        <v>1K6pZbNryz6dksItb7aYYpqHUV4sWPVRsnYGiEZCb6BY</v>
      </c>
    </row>
    <row r="337" spans="1:3" ht="15.75" customHeight="1">
      <c r="A337" t="str">
        <f ca="1">IFERROR(__xludf.DUMMYFUNCTION("""COMPUTED_VALUE"""),"TradingTicket")</f>
        <v>TradingTicket</v>
      </c>
      <c r="B337" t="str">
        <f ca="1">IFERROR(__xludf.DUMMYFUNCTION("""COMPUTED_VALUE"""),"VerifyTT")</f>
        <v>VerifyTT</v>
      </c>
      <c r="C337" t="str">
        <f ca="1">IFERROR(__xludf.DUMMYFUNCTION("""COMPUTED_VALUE"""),"1bKhXEya1wodNYLnY1-QcHI_XG3UWZaHQ81HV-TN-5Kc")</f>
        <v>1bKhXEya1wodNYLnY1-QcHI_XG3UWZaHQ81HV-TN-5Kc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IFERROR(__xludf.DUMMYFUNCTION("""COMPUTED_VALUE"""),"SaveLayoutAllocatedGrid")</f>
        <v>SaveLayoutAllocatedGrid</v>
      </c>
      <c r="C338" t="str">
        <f ca="1">IFERROR(__xludf.DUMMYFUNCTION("""COMPUTED_VALUE"""),"1aTyf1QMUlY1sd90ATn_Ik7tSnqoJNJ2ORUTgE2CcKVc")</f>
        <v>1aTyf1QMUlY1sd90ATn_Ik7tSnqoJNJ2ORUTgE2CcKVc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IFERROR(__xludf.DUMMYFUNCTION("""COMPUTED_VALUE"""),"SaveLayoutUnallocatedGrid")</f>
        <v>SaveLayoutUnallocatedGrid</v>
      </c>
      <c r="C339" t="str">
        <f ca="1">IFERROR(__xludf.DUMMYFUNCTION("""COMPUTED_VALUE"""),"14EKTplxgrSnZ3LrmPGSsdvC3A1Cn7Gl3iYaLoliVy5c")</f>
        <v>14EKTplxgrSnZ3LrmPGSsdvC3A1Cn7Gl3iYaLoliVy5c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IFERROR(__xludf.DUMMYFUNCTION("""COMPUTED_VALUE"""),"SaveLayoutAllocationUI")</f>
        <v>SaveLayoutAllocationUI</v>
      </c>
      <c r="C340" t="str">
        <f ca="1">IFERROR(__xludf.DUMMYFUNCTION("""COMPUTED_VALUE"""),"1w55ijS0jNdggXMegSAddndubbfCazPcYQ4T-iQXE9-8")</f>
        <v>1w55ijS0jNdggXMegSAddndubbfCazPcYQ4T-iQXE9-8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IFERROR(__xludf.DUMMYFUNCTION("""COMPUTED_VALUE"""),"ClearFiltersAllocatedGrid")</f>
        <v>ClearFiltersAllocatedGrid</v>
      </c>
      <c r="C341" t="str">
        <f ca="1">IFERROR(__xludf.DUMMYFUNCTION("""COMPUTED_VALUE"""),"undefined")</f>
        <v>undefined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IFERROR(__xludf.DUMMYFUNCTION("""COMPUTED_VALUE"""),"ClearFiltersUnallocatedGrid")</f>
        <v>ClearFiltersUnallocatedGrid</v>
      </c>
      <c r="C342" t="str">
        <f ca="1">IFERROR(__xludf.DUMMYFUNCTION("""COMPUTED_VALUE"""),"undefined")</f>
        <v>undefined</v>
      </c>
    </row>
    <row r="343" spans="1:3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IFERROR(__xludf.DUMMYFUNCTION("""COMPUTED_VALUE"""),"VerifyLayoutAllocatedGrid")</f>
        <v>VerifyLayoutAllocatedGrid</v>
      </c>
      <c r="C343" t="str">
        <f ca="1">IFERROR(__xludf.DUMMYFUNCTION("""COMPUTED_VALUE"""),"1Dm60vGCrArH03PZJNSUJF2XSLE8bTZId3GMfDSiNsgE")</f>
        <v>1Dm60vGCrArH03PZJNSUJF2XSLE8bTZId3GMfDSiNsgE</v>
      </c>
    </row>
    <row r="344" spans="1:3" ht="15.75" customHeight="1">
      <c r="A344" t="str">
        <f ca="1">IFERROR(__xludf.DUMMYFUNCTION("""COMPUTED_VALUE"""),"Allocation")</f>
        <v>Allocation</v>
      </c>
      <c r="B344" t="str">
        <f ca="1">IFERROR(__xludf.DUMMYFUNCTION("""COMPUTED_VALUE"""),"VerifyLayoutUnallocatedGrid")</f>
        <v>VerifyLayoutUnallocatedGrid</v>
      </c>
      <c r="C344" t="str">
        <f ca="1">IFERROR(__xludf.DUMMYFUNCTION("""COMPUTED_VALUE"""),"13oH5Ytu1wVsxt5b13YVUvBPplFK0NO_TK4bRhOZWxN8")</f>
        <v>13oH5Ytu1wVsxt5b13YVUvBPplFK0NO_TK4bRhOZWxN8</v>
      </c>
    </row>
    <row r="345" spans="1:3" ht="15.75" customHeight="1">
      <c r="A345" t="str">
        <f ca="1">IFERROR(__xludf.DUMMYFUNCTION("""COMPUTED_VALUE"""),"DailyValuation")</f>
        <v>DailyValuation</v>
      </c>
      <c r="B345" t="str">
        <f ca="1">IFERROR(__xludf.DUMMYFUNCTION("""COMPUTED_VALUE"""),"UpdateForexConversionMonthly")</f>
        <v>UpdateForexConversionMonthly</v>
      </c>
      <c r="C345" t="str">
        <f ca="1">IFERROR(__xludf.DUMMYFUNCTION("""COMPUTED_VALUE"""),"1TZUZ5-nBzkzBtbjFUoa_EB6_eDzdYjS0ibH5XGYYwAw")</f>
        <v>1TZUZ5-nBzkzBtbjFUoa_EB6_eDzdYjS0ibH5XGYYwAw</v>
      </c>
    </row>
    <row r="346" spans="1:3" ht="15.75" customHeight="1">
      <c r="A346" t="str">
        <f ca="1">IFERROR(__xludf.DUMMYFUNCTION("""COMPUTED_VALUE"""),"GeneralLedger")</f>
        <v>GeneralLedger</v>
      </c>
      <c r="B346" t="str">
        <f ca="1">IFERROR(__xludf.DUMMYFUNCTION("""COMPUTED_VALUE"""),"SaveTransaction")</f>
        <v>SaveTransaction</v>
      </c>
      <c r="C346" t="str">
        <f ca="1">IFERROR(__xludf.DUMMYFUNCTION("""COMPUTED_VALUE"""),"undefined")</f>
        <v>undefined</v>
      </c>
    </row>
    <row r="347" spans="1:3" ht="15.75" customHeight="1">
      <c r="A347" t="str">
        <f ca="1">IFERROR(__xludf.DUMMYFUNCTION("""COMPUTED_VALUE"""),"DailyValuation")</f>
        <v>DailyValuation</v>
      </c>
      <c r="B347" t="str">
        <f ca="1">IFERROR(__xludf.DUMMYFUNCTION("""COMPUTED_VALUE"""),"UpdateMarkPriceMonthly")</f>
        <v>UpdateMarkPriceMonthly</v>
      </c>
      <c r="C347" t="str">
        <f ca="1">IFERROR(__xludf.DUMMYFUNCTION("""COMPUTED_VALUE"""),"1CAqtQbVxh4NllyrMXscZd9EiKnaMKSW-_a9zZtK2ULI")</f>
        <v>1CAqtQbVxh4NllyrMXscZd9EiKnaMKSW-_a9zZtK2ULI</v>
      </c>
    </row>
    <row r="348" spans="1:3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IFERROR(__xludf.DUMMYFUNCTION("""COMPUTED_VALUE"""),"CleanUp")</f>
        <v>CleanUp</v>
      </c>
      <c r="C348" t="str">
        <f ca="1">IFERROR(__xludf.DUMMYFUNCTION("""COMPUTED_VALUE"""),"141237jvZTCMRUMwfe0LXJI6_OVqTlCniHe4xfwketxs")</f>
        <v>141237jvZTCMRUMwfe0LXJI6_OVqTlCniHe4xfwketxs</v>
      </c>
    </row>
    <row r="349" spans="1:3" ht="15.75" customHeight="1">
      <c r="A349" t="str">
        <f ca="1">IFERROR(__xludf.DUMMYFUNCTION("""COMPUTED_VALUE"""),"Allocation")</f>
        <v>Allocation</v>
      </c>
      <c r="B349" t="str">
        <f ca="1">IFERROR(__xludf.DUMMYFUNCTION("""COMPUTED_VALUE"""),"CheckAllocatedTaxlots")</f>
        <v>CheckAllocatedTaxlots</v>
      </c>
      <c r="C349" t="str">
        <f ca="1">IFERROR(__xludf.DUMMYFUNCTION("""COMPUTED_VALUE"""),"1ly27YrdiNWaAup2LCqtlbPCuNU2qHnDVGbGX6s6cAJM")</f>
        <v>1ly27YrdiNWaAup2LCqtlbPCuNU2qHnDVGbGX6s6cAJM</v>
      </c>
    </row>
    <row r="350" spans="1:3" ht="15.75" customHeight="1">
      <c r="A350" t="str">
        <f ca="1">IFERROR(__xludf.DUMMYFUNCTION("""COMPUTED_VALUE"""),"Closing")</f>
        <v>Closing</v>
      </c>
      <c r="B350" t="str">
        <f ca="1">IFERROR(__xludf.DUMMYFUNCTION("""COMPUTED_VALUE"""),"EditTradeUnexpiredUnsettled")</f>
        <v>EditTradeUnexpiredUnsettled</v>
      </c>
      <c r="C350" t="str">
        <f ca="1">IFERROR(__xludf.DUMMYFUNCTION("""COMPUTED_VALUE"""),"1gjlTvz7BOfWSUwRY25-5BkROLuD55WxDrFeD31t9BlQ")</f>
        <v>1gjlTvz7BOfWSUwRY25-5BkROLuD55WxDrFeD31t9BlQ</v>
      </c>
    </row>
    <row r="351" spans="1:3" ht="15.75" customHeight="1">
      <c r="A351" t="str">
        <f ca="1">IFERROR(__xludf.DUMMYFUNCTION("""COMPUTED_VALUE"""),"ThirdParty")</f>
        <v>ThirdParty</v>
      </c>
      <c r="B351" t="str">
        <f ca="1">IFERROR(__xludf.DUMMYFUNCTION("""COMPUTED_VALUE"""),"VerifyThirdPartyView")</f>
        <v>VerifyThirdPartyView</v>
      </c>
      <c r="C351" t="str">
        <f ca="1">IFERROR(__xludf.DUMMYFUNCTION("""COMPUTED_VALUE"""),"1OPgUZqNYhV3KEPmPCahj5p6WvTvcu6yt-IilVEoYdck")</f>
        <v>1OPgUZqNYhV3KEPmPCahj5p6WvTvcu6yt-IilVEoYdck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IFERROR(__xludf.DUMMYFUNCTION("""COMPUTED_VALUE"""),"CheckCompliance")</f>
        <v>CheckCompliance</v>
      </c>
      <c r="C352" t="str">
        <f ca="1">IFERROR(__xludf.DUMMYFUNCTION("""COMPUTED_VALUE"""),"1rHjLXpZjBLQM6QWnpXPgAllc-YEEgN3ft01yzOc3Z_k")</f>
        <v>1rHjLXpZjBLQM6QWnpXPgAllc-YEEgN3ft01yzOc3Z_k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IFERROR(__xludf.DUMMYFUNCTION("""COMPUTED_VALUE"""),"VerifyAccountDivisorWindow")</f>
        <v>VerifyAccountDivisorWindow</v>
      </c>
      <c r="C353" t="str">
        <f ca="1">IFERROR(__xludf.DUMMYFUNCTION("""COMPUTED_VALUE"""),"1o2I6wY7Q2ZhQmtkXdRpqlxQVJ8IApk0IcIxM0anIe4E")</f>
        <v>1o2I6wY7Q2ZhQmtkXdRpqlxQVJ8IApk0IcIxM0anIe4E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IFERROR(__xludf.DUMMYFUNCTION("""COMPUTED_VALUE"""),"VerifyAccountSymbolDivisorWindow")</f>
        <v>VerifyAccountSymbolDivisorWindow</v>
      </c>
      <c r="C354" t="str">
        <f ca="1">IFERROR(__xludf.DUMMYFUNCTION("""COMPUTED_VALUE"""),"1ADKVvtlUcDE2a_GFsrcnF3qLRtLLDQ1rEJbzQws78i8")</f>
        <v>1ADKVvtlUcDE2a_GFsrcnF3qLRtLLDQ1rEJbzQws78i8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IFERROR(__xludf.DUMMYFUNCTION("""COMPUTED_VALUE"""),"VerifyAggregationAccountSymbolWithNav")</f>
        <v>VerifyAggregationAccountSymbolWithNav</v>
      </c>
      <c r="C355" t="str">
        <f ca="1">IFERROR(__xludf.DUMMYFUNCTION("""COMPUTED_VALUE"""),"1lnfZcSlUOa9o7gHKbVZNk25z7jkFzrWO3HCg1iRDEhg")</f>
        <v>1lnfZcSlUOa9o7gHKbVZNk25z7jkFzrWO3HCg1iRDEhg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IFERROR(__xludf.DUMMYFUNCTION("""COMPUTED_VALUE"""),"VerifyAggregationAccountWithNav")</f>
        <v>VerifyAggregationAccountWithNav</v>
      </c>
      <c r="C356" t="str">
        <f ca="1">IFERROR(__xludf.DUMMYFUNCTION("""COMPUTED_VALUE"""),"1bVQ8hXYcI8QA4dwbvx9VW307agnDiO6msA8_55Z9Ho4")</f>
        <v>1bVQ8hXYcI8QA4dwbvx9VW307agnDiO6msA8_55Z9Ho4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IFERROR(__xludf.DUMMYFUNCTION("""COMPUTED_VALUE"""),"VerifyAggregationMasterFundSymbolWithNav")</f>
        <v>VerifyAggregationMasterFundSymbolWithNav</v>
      </c>
      <c r="C357" t="str">
        <f ca="1">IFERROR(__xludf.DUMMYFUNCTION("""COMPUTED_VALUE"""),"149nnw4Cwl1HHouYCXdqP9R7Mx98I_xiisiVCYk7UJkk")</f>
        <v>149nnw4Cwl1HHouYCXdqP9R7Mx98I_xiisiVCYk7UJkk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IFERROR(__xludf.DUMMYFUNCTION("""COMPUTED_VALUE"""),"VerifyAggregationMasterFundUnderlyingSymbolWithNav")</f>
        <v>VerifyAggregationMasterFundUnderlyingSymbolWithNav</v>
      </c>
      <c r="C358" t="str">
        <f ca="1">IFERROR(__xludf.DUMMYFUNCTION("""COMPUTED_VALUE"""),"14DzH-ZDYwWbCfXuBzG8v04Qb1mQp1of2O6GLQXcWMsQ")</f>
        <v>14DzH-ZDYwWbCfXuBzG8v04Qb1mQp1of2O6GLQXcWMsQ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IFERROR(__xludf.DUMMYFUNCTION("""COMPUTED_VALUE"""),"VerifyAggregationMasterFundWithNav")</f>
        <v>VerifyAggregationMasterFundWithNav</v>
      </c>
      <c r="C359" t="str">
        <f ca="1">IFERROR(__xludf.DUMMYFUNCTION("""COMPUTED_VALUE"""),"1zsjoqOkIN3nYkIIxRHJMhmyX6J_C62DE3Oo2y7BGdVs")</f>
        <v>1zsjoqOkIN3nYkIIxRHJMhmyX6J_C62DE3Oo2y7BGdVs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IFERROR(__xludf.DUMMYFUNCTION("""COMPUTED_VALUE"""),"VerifyAggregationSectorWithNav")</f>
        <v>VerifyAggregationSectorWithNav</v>
      </c>
      <c r="C360" t="str">
        <f ca="1">IFERROR(__xludf.DUMMYFUNCTION("""COMPUTED_VALUE"""),"1PwtsUw7M1uKb7OUFflhtzsANVeSCTOQuOmvDpORnIho")</f>
        <v>1PwtsUw7M1uKb7OUFflhtzsANVeSCTOQuOmvDpORnIho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IFERROR(__xludf.DUMMYFUNCTION("""COMPUTED_VALUE"""),"VerifyAggregationUnderlyingSymbolWithNav")</f>
        <v>VerifyAggregationUnderlyingSymbolWithNav</v>
      </c>
      <c r="C361" t="str">
        <f ca="1">IFERROR(__xludf.DUMMYFUNCTION("""COMPUTED_VALUE"""),"176-KXks3ZB5ZHuKBMwUMw29_Cv2044sZyo8Km9DSXhY")</f>
        <v>176-KXks3ZB5ZHuKBMwUMw29_Cv2044sZyo8Km9DSXhY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IFERROR(__xludf.DUMMYFUNCTION("""COMPUTED_VALUE"""),"VerifyAuecWindow")</f>
        <v>VerifyAuecWindow</v>
      </c>
      <c r="C362" t="str">
        <f ca="1">IFERROR(__xludf.DUMMYFUNCTION("""COMPUTED_VALUE"""),"16b_2-FgoStwuBkNr_JjCAyklRXIuqbbe3yokDxprokc")</f>
        <v>16b_2-FgoStwuBkNr_JjCAyklRXIuqbbe3yokDxprokc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IFERROR(__xludf.DUMMYFUNCTION("""COMPUTED_VALUE"""),"VerifyBetaWindow")</f>
        <v>VerifyBetaWindow</v>
      </c>
      <c r="C363" t="str">
        <f ca="1">IFERROR(__xludf.DUMMYFUNCTION("""COMPUTED_VALUE"""),"1fbKcjC8gLwYcrNAXPL4_1obtoTCCX0MmPEKkR5s582U")</f>
        <v>1fbKcjC8gLwYcrNAXPL4_1obtoTCCX0MmPEKkR5s582U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IFERROR(__xludf.DUMMYFUNCTION("""COMPUTED_VALUE"""),"VerifyCustomSymbolDataWindow")</f>
        <v>VerifyCustomSymbolDataWindow</v>
      </c>
      <c r="C364" t="str">
        <f ca="1">IFERROR(__xludf.DUMMYFUNCTION("""COMPUTED_VALUE"""),"1-ro_FbZAIVOSxzuukFA-JqauiFzAp2zzPW1nR5HDbNQ")</f>
        <v>1-ro_FbZAIVOSxzuukFA-JqauiFzAp2zzPW1nR5HDbNQ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IFERROR(__xludf.DUMMYFUNCTION("""COMPUTED_VALUE"""),"VerifyDayEndCashAccountWindow")</f>
        <v>VerifyDayEndCashAccountWindow</v>
      </c>
      <c r="C365" t="str">
        <f ca="1">IFERROR(__xludf.DUMMYFUNCTION("""COMPUTED_VALUE"""),"14hibcKhSsVy9-wON6kpUuT3WpnX2wo9pBQzmPi8qLL0")</f>
        <v>14hibcKhSsVy9-wON6kpUuT3WpnX2wo9pBQzmPi8qLL0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IFERROR(__xludf.DUMMYFUNCTION("""COMPUTED_VALUE"""),"VerifyDbNavWindow")</f>
        <v>VerifyDbNavWindow</v>
      </c>
      <c r="C366" t="str">
        <f ca="1">IFERROR(__xludf.DUMMYFUNCTION("""COMPUTED_VALUE"""),"18-WlIts2DAJ-WJbsdY1Rpj5dOSmW5uYCwetKlx26fnQ")</f>
        <v>18-WlIts2DAJ-WJbsdY1Rpj5dOSmW5uYCwetKlx26fnQ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IFERROR(__xludf.DUMMYFUNCTION("""COMPUTED_VALUE"""),"VerifyGlobalDivisorWindow")</f>
        <v>VerifyGlobalDivisorWindow</v>
      </c>
      <c r="C367" t="str">
        <f ca="1">IFERROR(__xludf.DUMMYFUNCTION("""COMPUTED_VALUE"""),"1z5ONnrNdd3WVB7RZIGa-yHhn0U7mw19K0moh5ObmK-I")</f>
        <v>1z5ONnrNdd3WVB7RZIGa-yHhn0U7mw19K0moh5ObmK-I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IFERROR(__xludf.DUMMYFUNCTION("""COMPUTED_VALUE"""),"VerifyPmCalculationPreferenceWindow")</f>
        <v>VerifyPmCalculationPreferenceWindow</v>
      </c>
      <c r="C368" t="str">
        <f ca="1">IFERROR(__xludf.DUMMYFUNCTION("""COMPUTED_VALUE"""),"1yse7cNfakHdRjfRrq1SQW0Yxxopg67W_juGAkOyqHPk")</f>
        <v>1yse7cNfakHdRjfRrq1SQW0Yxxopg67W_juGAkOyqHPk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IFERROR(__xludf.DUMMYFUNCTION("""COMPUTED_VALUE"""),"VerifyRowCalculationBaseWindow")</f>
        <v>VerifyRowCalculationBaseWindow</v>
      </c>
      <c r="C369" t="str">
        <f ca="1">IFERROR(__xludf.DUMMYFUNCTION("""COMPUTED_VALUE"""),"16bZAwMHOfN8bD2TadtVor3HvDM0dtF51XYU1iRUEXpQ")</f>
        <v>16bZAwMHOfN8bD2TadtVor3HvDM0dtF51XYU1iRUEXpQ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IFERROR(__xludf.DUMMYFUNCTION("""COMPUTED_VALUE"""),"VerifySecurityWindow")</f>
        <v>VerifySecurityWindow</v>
      </c>
      <c r="C370" t="str">
        <f ca="1">IFERROR(__xludf.DUMMYFUNCTION("""COMPUTED_VALUE"""),"1xeK-JWq8oHwAbmnGt_N4qn9Nt8F9XHo5-Mtr0t_7pRw")</f>
        <v>1xeK-JWq8oHwAbmnGt_N4qn9Nt8F9XHo5-Mtr0t_7pRw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IFERROR(__xludf.DUMMYFUNCTION("""COMPUTED_VALUE"""),"VerifySymbolDataWindow")</f>
        <v>VerifySymbolDataWindow</v>
      </c>
      <c r="C371" t="str">
        <f ca="1">IFERROR(__xludf.DUMMYFUNCTION("""COMPUTED_VALUE"""),"13iKSNjdwzv3DKe_1fcHZJ8GUk5s-HKAGG5PE6MY-smA")</f>
        <v>13iKSNjdwzv3DKe_1fcHZJ8GUk5s-HKAGG5PE6MY-smA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IFERROR(__xludf.DUMMYFUNCTION("""COMPUTED_VALUE"""),"VerifySymbolDivisorWindow")</f>
        <v>VerifySymbolDivisorWindow</v>
      </c>
      <c r="C372" t="str">
        <f ca="1">IFERROR(__xludf.DUMMYFUNCTION("""COMPUTED_VALUE"""),"1uyHz1cQUHCK-GcBufMehtS9i6BspKa5HVCLnf4pfGuk")</f>
        <v>1uyHz1cQUHCK-GcBufMehtS9i6BspKa5HVCLnf4pfGuk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IFERROR(__xludf.DUMMYFUNCTION("""COMPUTED_VALUE"""),"VerifyTaxlotWindow")</f>
        <v>VerifyTaxlotWindow</v>
      </c>
      <c r="C373" t="str">
        <f ca="1">IFERROR(__xludf.DUMMYFUNCTION("""COMPUTED_VALUE"""),"1LmfcHeXwbnPa-An0b_OD4pDLm7pUlzSX41G5QZ2Uons")</f>
        <v>1LmfcHeXwbnPa-An0b_OD4pDLm7pUlzSX41G5QZ2Uons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IFERROR(__xludf.DUMMYFUNCTION("""COMPUTED_VALUE"""),"RestartEsper")</f>
        <v>RestartEsper</v>
      </c>
      <c r="C374" t="str">
        <f ca="1">IFERROR(__xludf.DUMMYFUNCTION("""COMPUTED_VALUE"""),"undefined")</f>
        <v>undefined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IFERROR(__xludf.DUMMYFUNCTION("""COMPUTED_VALUE"""),"VerifyAccountNavPreferenceWindow")</f>
        <v>VerifyAccountNavPreferenceWindow</v>
      </c>
      <c r="C375" t="str">
        <f ca="1">IFERROR(__xludf.DUMMYFUNCTION("""COMPUTED_VALUE"""),"1PbpS5QGNvwJE_YSvMrjHxbUPPQhcUDrQHC4N9KHYjWY")</f>
        <v>1PbpS5QGNvwJE_YSvMrjHxbUPPQhcUDrQHC4N9KHYjWY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 VerifyAggregationAccountUnderlyingSymbolWithNav")</f>
        <v xml:space="preserve"> VerifyAggregationAccountUnderlyingSymbolWithNav</v>
      </c>
      <c r="C376" t="str">
        <f ca="1">IFERROR(__xludf.DUMMYFUNCTION("""COMPUTED_VALUE"""),"1e43aiziZ9lVzR6j8eABeYJVnCkgU34OcPRcWujsT2Sk")</f>
        <v>1e43aiziZ9lVzR6j8eABeYJVnCkgU34OcPRcWujsT2Sk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IFERROR(__xludf.DUMMYFUNCTION("""COMPUTED_VALUE"""),"VerifyAggregationAssetWithNav")</f>
        <v>VerifyAggregationAssetWithNav</v>
      </c>
      <c r="C377" t="str">
        <f ca="1">IFERROR(__xludf.DUMMYFUNCTION("""COMPUTED_VALUE"""),"1etvN2Ze8TA6NI_8xSaOdqLwhWnk9NXKUUDhi-_NctcY")</f>
        <v>1etvN2Ze8TA6NI_8xSaOdqLwhWnk9NXKUUDhi-_NctcY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IFERROR(__xludf.DUMMYFUNCTION("""COMPUTED_VALUE"""),"VerifyAggregationSymbolWithNav")</f>
        <v>VerifyAggregationSymbolWithNav</v>
      </c>
      <c r="C378" t="str">
        <f ca="1">IFERROR(__xludf.DUMMYFUNCTION("""COMPUTED_VALUE"""),"13XyCHzB6LhftZ5UNht5K7e3dan_fGbii_TnOOGLwDg0")</f>
        <v>13XyCHzB6LhftZ5UNht5K7e3dan_fGbii_TnOOGLwDg0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IFERROR(__xludf.DUMMYFUNCTION("""COMPUTED_VALUE"""),"VerifyAggregationSubSectorWithNav")</f>
        <v>VerifyAggregationSubSectorWithNav</v>
      </c>
      <c r="C379" t="str">
        <f ca="1">IFERROR(__xludf.DUMMYFUNCTION("""COMPUTED_VALUE"""),"1DBHQwTuKH0lzdeBCel_4raYQn6PkkFTYydpCHbsB4Qk")</f>
        <v>1DBHQwTuKH0lzdeBCel_4raYQn6PkkFTYydpCHbsB4Qk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IFERROR(__xludf.DUMMYFUNCTION("""COMPUTED_VALUE"""),"VerifyAggregationGlobalWithNav")</f>
        <v>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 VerifyAggregationGlobalWithNav")</f>
        <v xml:space="preserve"> VerifyAggregationGlobalWithNav</v>
      </c>
      <c r="C381" t="str">
        <f ca="1">IFERROR(__xludf.DUMMYFUNCTION("""COMPUTED_VALUE"""),"1XVSAkmIoWI-AC0BHXwWO3TqCkz2uOlJFE5eM6W0_Cew")</f>
        <v>1XVSAkmIoWI-AC0BHXwWO3TqCkz2uOlJFE5eM6W0_Cew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 VerifyAccrualForAccountWindow")</f>
        <v xml:space="preserve"> VerifyAccrualForAccountWindow</v>
      </c>
      <c r="C383" t="str">
        <f ca="1">IFERROR(__xludf.DUMMYFUNCTION("""COMPUTED_VALUE"""),"1zKkT3mW6MMJ2tPzzT2fHVQT6vyc0mePzllndBlUl5IM")</f>
        <v>1zKkT3mW6MMJ2tPzzT2fHVQT6vyc0mePzllndBlUl5IM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IFERROR(__xludf.DUMMYFUNCTION("""COMPUTED_VALUE"""),"VerifyGlobalDivisorWindow")</f>
        <v>VerifyGlobalDivisorWindow</v>
      </c>
      <c r="C384" t="str">
        <f ca="1">IFERROR(__xludf.DUMMYFUNCTION("""COMPUTED_VALUE"""),"1z5ONnrNdd3WVB7RZIGa-yHhn0U7mw19K0moh5ObmK-I")</f>
        <v>1z5ONnrNdd3WVB7RZIGa-yHhn0U7mw19K0moh5ObmK-I</v>
      </c>
    </row>
    <row r="385" spans="1:3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IFERROR(__xludf.DUMMYFUNCTION("""COMPUTED_VALUE"""),"VerifyMasterFundDivisorWindow")</f>
        <v>VerifyMasterFundDivisorWindow</v>
      </c>
      <c r="C385" t="str">
        <f ca="1">IFERROR(__xludf.DUMMYFUNCTION("""COMPUTED_VALUE"""),"13rWeedH_MlhhxYACJeLeckVtBWejh246MGPN4QQpmMM")</f>
        <v>13rWeedH_MlhhxYACJeLeckVtBWejh246MGPN4QQpmMM</v>
      </c>
    </row>
    <row r="386" spans="1:3" ht="15.75" customHeight="1">
      <c r="A386" t="str">
        <f ca="1">IFERROR(__xludf.DUMMYFUNCTION("""COMPUTED_VALUE"""),"Compliance")</f>
        <v>Compliance</v>
      </c>
      <c r="B386" t="str">
        <f ca="1">IFERROR(__xludf.DUMMYFUNCTION("""COMPUTED_VALUE"""),"VerifyMasterFundSymbolDivisorWindow")</f>
        <v>VerifyMasterFundSymbolDivisorWindow</v>
      </c>
      <c r="C386" t="str">
        <f ca="1">IFERROR(__xludf.DUMMYFUNCTION("""COMPUTED_VALUE"""),"1YPctyrs3yMgf0X1_jVz3LRORCo4B4cNqbyc_K0FujO0")</f>
        <v>1YPctyrs3yMgf0X1_jVz3LRORCo4B4cNqbyc_K0FujO0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IFERROR(__xludf.DUMMYFUNCTION("""COMPUTED_VALUE"""),"FetchAccountPositions")</f>
        <v>FetchAccountPositions</v>
      </c>
      <c r="C387" t="str">
        <f ca="1">IFERROR(__xludf.DUMMYFUNCTION("""COMPUTED_VALUE"""),"1BeNn_44h4ClIE46em_ho4qgzGnXy_GxtYTH3cBmtKPk")</f>
        <v>1BeNn_44h4ClIE46em_ho4qgzGnXy_GxtYTH3cBmtKPk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IFERROR(__xludf.DUMMYFUNCTION("""COMPUTED_VALUE"""),"AddCash")</f>
        <v>AddCash</v>
      </c>
      <c r="C388" t="str">
        <f ca="1">IFERROR(__xludf.DUMMYFUNCTION("""COMPUTED_VALUE"""),"1jkLpZFgLuRokIigwbjW9_Z47rlvj-YDlRcP_c4XkP_k")</f>
        <v>1jkLpZFgLuRokIigwbjW9_Z47rlvj-YDlRcP_c4XkP_k</v>
      </c>
    </row>
    <row r="389" spans="1:3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IFERROR(__xludf.DUMMYFUNCTION("""COMPUTED_VALUE"""),"VerifyGridData")</f>
        <v>VerifyGridData</v>
      </c>
      <c r="C389" t="str">
        <f ca="1">IFERROR(__xludf.DUMMYFUNCTION("""COMPUTED_VALUE"""),"1mspGsgTjI-yT8NsZKZn8moOE-Vp0hoNdUziI1pFBq0I")</f>
        <v>1mspGsgTjI-yT8NsZKZn8moOE-Vp0hoNdUziI1pFBq0I</v>
      </c>
    </row>
    <row r="390" spans="1:3" ht="15.75" customHeight="1">
      <c r="A390" t="str">
        <f ca="1">IFERROR(__xludf.DUMMYFUNCTION("""COMPUTED_VALUE"""),"Rebalancer")</f>
        <v>Rebalancer</v>
      </c>
      <c r="B390" t="str">
        <f ca="1">IFERROR(__xludf.DUMMYFUNCTION("""COMPUTED_VALUE"""),"RunRebalance")</f>
        <v>RunRebalance</v>
      </c>
      <c r="C390" t="str">
        <f ca="1">IFERROR(__xludf.DUMMYFUNCTION("""COMPUTED_VALUE"""),"1B2L3J6YUrDWz8rRtdvv0lYDQvnH8nYkmqQm12ZwK7jc")</f>
        <v>1B2L3J6YUrDWz8rRtdvv0lYDQvnH8nYkmqQm12ZwK7jc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IFERROR(__xludf.DUMMYFUNCTION("""COMPUTED_VALUE"""),"SelectTrade")</f>
        <v>SelectTrade</v>
      </c>
      <c r="C391" t="str">
        <f ca="1">IFERROR(__xludf.DUMMYFUNCTION("""COMPUTED_VALUE"""),"1FTTZIzpIKJz6P-IPbrA5EPTxiMe2ARbyGfgsnMXlct4")</f>
        <v>1FTTZIzpIKJz6P-IPbrA5EPTxiMe2ARbyGfgsnMXlct4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IFERROR(__xludf.DUMMYFUNCTION("""COMPUTED_VALUE"""),"AcknowledgeTrade")</f>
        <v>AcknowledgeTrade</v>
      </c>
      <c r="C392" t="str">
        <f ca="1">IFERROR(__xludf.DUMMYFUNCTION("""COMPUTED_VALUE"""),"1sQAsvIkAT3oSRlv0P4ERgM6O-p9EGHnCNRCfZZ6EKPM")</f>
        <v>1sQAsvIkAT3oSRlv0P4ERgM6O-p9EGHnCNRCfZZ6EKPM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IFERROR(__xludf.DUMMYFUNCTION("""COMPUTED_VALUE"""),"RejectTrade")</f>
        <v>RejectTrade</v>
      </c>
      <c r="C393" t="str">
        <f ca="1">IFERROR(__xludf.DUMMYFUNCTION("""COMPUTED_VALUE"""),"18DR7gQzurIoB_fivnSt8QoqUWcLVRpZQSDr37UqoXKU")</f>
        <v>18DR7gQzurIoB_fivnSt8QoqUWcLVRpZQSDr37UqoXKU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IFERROR(__xludf.DUMMYFUNCTION("""COMPUTED_VALUE"""),"ExecuteTrade")</f>
        <v>ExecuteTrade</v>
      </c>
      <c r="C394" t="str">
        <f ca="1">IFERROR(__xludf.DUMMYFUNCTION("""COMPUTED_VALUE"""),"1pp_DAI1bHvMNnrEvw8O7TeJWebgUjt3FSsdgjVWeJkE")</f>
        <v>1pp_DAI1bHvMNnrEvw8O7TeJWebgUjt3FSsdgjVWeJkE</v>
      </c>
    </row>
    <row r="395" spans="1:3" ht="15.75" customHeight="1">
      <c r="A395" t="str">
        <f ca="1">IFERROR(__xludf.DUMMYFUNCTION("""COMPUTED_VALUE"""),"Simulator")</f>
        <v>Simulator</v>
      </c>
      <c r="B395" t="str">
        <f ca="1">IFERROR(__xludf.DUMMYFUNCTION("""COMPUTED_VALUE"""),"CancelTrade")</f>
        <v>CancelTrade</v>
      </c>
      <c r="C395" t="str">
        <f ca="1">IFERROR(__xludf.DUMMYFUNCTION("""COMPUTED_VALUE"""),"1hX7-3j5InwEYhwGhZXePVHcW-9vxINkOET671xdWGsc")</f>
        <v>1hX7-3j5InwEYhwGhZXePVHcW-9vxINkOET671xdWGsc</v>
      </c>
    </row>
    <row r="396" spans="1:3" ht="15.75" customHeight="1">
      <c r="A396" t="str">
        <f ca="1">IFERROR(__xludf.DUMMYFUNCTION("""COMPUTED_VALUE"""),"Simulator")</f>
        <v>Simulator</v>
      </c>
      <c r="B396" t="str">
        <f ca="1">IFERROR(__xludf.DUMMYFUNCTION("""COMPUTED_VALUE"""),"OpenLiveTT")</f>
        <v>OpenLiveTT</v>
      </c>
      <c r="C396" t="str">
        <f ca="1">IFERROR(__xludf.DUMMYFUNCTION("""COMPUTED_VALUE"""),"1q3BIdA-Gau2cX2cBnlgy7eas26rbuZEdQMfROhYvOgI")</f>
        <v>1q3BIdA-Gau2cX2cBnlgy7eas26rbuZEdQMfROhYvOgI</v>
      </c>
    </row>
    <row r="397" spans="1:3" ht="15.75" customHeight="1">
      <c r="A397" t="str">
        <f ca="1">IFERROR(__xludf.DUMMYFUNCTION("""COMPUTED_VALUE"""),"TradingTicket")</f>
        <v>TradingTicket</v>
      </c>
      <c r="B397" t="str">
        <f ca="1">IFERROR(__xludf.DUMMYFUNCTION("""COMPUTED_VALUE"""),"CreateLiveOrder")</f>
        <v>CreateLiveOrder</v>
      </c>
      <c r="C397" t="str">
        <f ca="1">IFERROR(__xludf.DUMMYFUNCTION("""COMPUTED_VALUE"""),"115Bw2-ohdF1ilHcVpmgJ2DX9SJjX1zI-6SvF3CpCjm8")</f>
        <v>115Bw2-ohdF1ilHcVpmgJ2DX9SJjX1zI-6SvF3CpCjm8</v>
      </c>
    </row>
    <row r="398" spans="1:3" ht="15.75" customHeight="1">
      <c r="A398" t="str">
        <f ca="1">IFERROR(__xludf.DUMMYFUNCTION("""COMPUTED_VALUE"""),"Simulator")</f>
        <v>Simulator</v>
      </c>
      <c r="B398" t="str">
        <f ca="1">IFERROR(__xludf.DUMMYFUNCTION("""COMPUTED_VALUE"""),"SetManualResponse ")</f>
        <v xml:space="preserve">SetManualResponse </v>
      </c>
      <c r="C398" t="str">
        <f ca="1">IFERROR(__xludf.DUMMYFUNCTION("""COMPUTED_VALUE"""),"10qeNhV85AQPMToOqHZlhzdXyNnDNjiueFxVwGUI_MO4")</f>
        <v>10qeNhV85AQPMToOqHZlhzdXyNnDNjiueFxVwGUI_MO4</v>
      </c>
    </row>
    <row r="399" spans="1:3" ht="15.75" customHeight="1">
      <c r="A399" t="str">
        <f ca="1">IFERROR(__xludf.DUMMYFUNCTION("""COMPUTED_VALUE"""),"Simulator")</f>
        <v>Simulator</v>
      </c>
      <c r="B399" t="str">
        <f ca="1">IFERROR(__xludf.DUMMYFUNCTION("""COMPUTED_VALUE"""),"ClearUI")</f>
        <v>ClearUI</v>
      </c>
      <c r="C399" t="str">
        <f ca="1">IFERROR(__xludf.DUMMYFUNCTION("""COMPUTED_VALUE"""),"1LO0lVmw42vb8rN4FBdD2nZspNUXqgQCerd4ip5U8His")</f>
        <v>1LO0lVmw42vb8rN4FBdD2nZspNUXqgQCerd4ip5U8His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IFERROR(__xludf.DUMMYFUNCTION("""COMPUTED_VALUE"""),"RebalanceAcrossSecurities")</f>
        <v>RebalanceAcrossSecurities</v>
      </c>
      <c r="C400" t="str">
        <f ca="1">IFERROR(__xludf.DUMMYFUNCTION("""COMPUTED_VALUE"""),"1C-pSRr2mYlstlgFOXGSaoMyr-7ZKnUyCiCZMgNR75C0")</f>
        <v>1C-pSRr2mYlstlgFOXGSaoMyr-7ZKnUyCiCZMgNR75C0</v>
      </c>
    </row>
    <row r="401" spans="1:3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IFERROR(__xludf.DUMMYFUNCTION("""COMPUTED_VALUE"""),"ClearCalculations")</f>
        <v>ClearCalculations</v>
      </c>
      <c r="C401" t="str">
        <f ca="1">IFERROR(__xludf.DUMMYFUNCTION("""COMPUTED_VALUE"""),"1pQy7yDMWL8pTAYmkyQd-37O6NjL8-HJsxUSDe_0vr3Y")</f>
        <v>1pQy7yDMWL8pTAYmkyQd-37O6NjL8-HJsxUSDe_0vr3Y</v>
      </c>
    </row>
    <row r="402" spans="1:3" ht="15.75" customHeight="1">
      <c r="A402" t="str">
        <f ca="1">IFERROR(__xludf.DUMMYFUNCTION("""COMPUTED_VALUE"""),"Rebalancer")</f>
        <v>Rebalancer</v>
      </c>
      <c r="B402" t="str">
        <f ca="1">IFERROR(__xludf.DUMMYFUNCTION("""COMPUTED_VALUE"""),"ModifyRebalance")</f>
        <v>ModifyRebalance</v>
      </c>
      <c r="C402" t="str">
        <f ca="1">IFERROR(__xludf.DUMMYFUNCTION("""COMPUTED_VALUE"""),"1PL-GKbx6oOTs--yRdzkUeclt9Wvb6f5jt4XN1oEGIZk")</f>
        <v>1PL-GKbx6oOTs--yRdzkUeclt9Wvb6f5jt4XN1oEGIZk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IFERROR(__xludf.DUMMYFUNCTION("""COMPUTED_VALUE"""),"SelectThirdParty")</f>
        <v>SelectThirdParty</v>
      </c>
      <c r="C403" t="str">
        <f ca="1">IFERROR(__xludf.DUMMYFUNCTION("""COMPUTED_VALUE"""),"1liR_hGZCDbVQXoq6lXJaHhVX-C6zpm2FZKNUaUnD7k8")</f>
        <v>1liR_hGZCDbVQXoq6lXJaHhVX-C6zpm2FZKNUaUnD7k8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IFERROR(__xludf.DUMMYFUNCTION("""COMPUTED_VALUE"""),"ViewThirdParty")</f>
        <v>ViewThirdParty</v>
      </c>
      <c r="C404" t="str">
        <f ca="1">IFERROR(__xludf.DUMMYFUNCTION("""COMPUTED_VALUE"""),"1L-T9YKEKNm_ncTLX6p563fxmzW1DvdfOn3fW5ZhQiKs")</f>
        <v>1L-T9YKEKNm_ncTLX6p563fxmzW1DvdfOn3fW5ZhQiKs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IFERROR(__xludf.DUMMYFUNCTION("""COMPUTED_VALUE"""),"ThirdPartyGenerate")</f>
        <v>ThirdPartyGenerate</v>
      </c>
      <c r="C405" t="str">
        <f ca="1">IFERROR(__xludf.DUMMYFUNCTION("""COMPUTED_VALUE"""),"1hWXI97uokXrkZMWLiuOrUPZMYEmIb2-QuYGHPvEooqk")</f>
        <v>1hWXI97uokXrkZMWLiuOrUPZMYEmIb2-QuYGHPvEooqk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IFERROR(__xludf.DUMMYFUNCTION("""COMPUTED_VALUE"""),"VerifyThirdPartyView")</f>
        <v>VerifyThirdPartyView</v>
      </c>
      <c r="C406" t="str">
        <f ca="1">IFERROR(__xludf.DUMMYFUNCTION("""COMPUTED_VALUE"""),"1OPgUZqNYhV3KEPmPCahj5p6WvTvcu6yt-IilVEoYdck")</f>
        <v>1OPgUZqNYhV3KEPmPCahj5p6WvTvcu6yt-IilVEoYdck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IFERROR(__xludf.DUMMYFUNCTION("""COMPUTED_VALUE"""),"VerifyThirdPartyGenerate")</f>
        <v>VerifyThirdPartyGenerate</v>
      </c>
      <c r="C407" t="str">
        <f ca="1">IFERROR(__xludf.DUMMYFUNCTION("""COMPUTED_VALUE"""),"1TX-aVCyjewgmTHgLEH493prpSt_ChoMDatfBG5cVehM")</f>
        <v>1TX-aVCyjewgmTHgLEH493prpSt_ChoMDatfBG5cVehM</v>
      </c>
    </row>
    <row r="408" spans="1:3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IFERROR(__xludf.DUMMYFUNCTION("""COMPUTED_VALUE"""),"VerifyThirdPartySend")</f>
        <v>VerifyThirdPartySend</v>
      </c>
      <c r="C408" t="str">
        <f ca="1">IFERROR(__xludf.DUMMYFUNCTION("""COMPUTED_VALUE"""),"1TFrpzJZv_IpTrlD7aBcoe8mWXKXiq4OeBVw49pOpJY8")</f>
        <v>1TFrpzJZv_IpTrlD7aBcoe8mWXKXiq4OeBVw49pOpJY8</v>
      </c>
    </row>
    <row r="409" spans="1:3" ht="15.75" customHeight="1">
      <c r="A409" t="str">
        <f ca="1">IFERROR(__xludf.DUMMYFUNCTION("""COMPUTED_VALUE"""),"ThirdParty")</f>
        <v>ThirdParty</v>
      </c>
      <c r="B409" t="str">
        <f ca="1">IFERROR(__xludf.DUMMYFUNCTION("""COMPUTED_VALUE"""),"ThirdPartySend")</f>
        <v>ThirdPartySend</v>
      </c>
      <c r="C409" t="str">
        <f ca="1">IFERROR(__xludf.DUMMYFUNCTION("""COMPUTED_VALUE"""),"1ELxt02tfMApvtpApk-Uz6JQVqK95xGCxH6tEwuv_yMQ")</f>
        <v>1ELxt02tfMApvtpApk-Uz6JQVqK95xGCxH6tEwuv_yMQ</v>
      </c>
    </row>
    <row r="410" spans="1:3" ht="15.75" customHeight="1">
      <c r="A410" t="str">
        <f ca="1">IFERROR(__xludf.DUMMYFUNCTION("""COMPUTED_VALUE"""),"Blotter")</f>
        <v>Blotter</v>
      </c>
      <c r="B410" t="str">
        <f ca="1">IFERROR(__xludf.DUMMYFUNCTION("""COMPUTED_VALUE"""),"VerifyViewAllocationDetails")</f>
        <v>VerifyViewAllocationDetails</v>
      </c>
      <c r="C410" t="str">
        <f ca="1">IFERROR(__xludf.DUMMYFUNCTION("""COMPUTED_VALUE"""),"1onX95lO5NTDqGvP-5pv_fQlL0p1SAPerH3jm5s9xIbE")</f>
        <v>1onX95lO5NTDqGvP-5pv_fQlL0p1SAPerH3jm5s9xIbE</v>
      </c>
    </row>
    <row r="411" spans="1:3" ht="15.75" customHeight="1">
      <c r="A411" t="str">
        <f ca="1">IFERROR(__xludf.DUMMYFUNCTION("""COMPUTED_VALUE"""),"PTT")</f>
        <v>PTT</v>
      </c>
      <c r="B411" t="str">
        <f ca="1">IFERROR(__xludf.DUMMYFUNCTION("""COMPUTED_VALUE"""),"SelectPTTRecord")</f>
        <v>SelectPTTRecord</v>
      </c>
      <c r="C411" t="str">
        <f ca="1">IFERROR(__xludf.DUMMYFUNCTION("""COMPUTED_VALUE"""),"1MzR4w0s74eMMAMcl-KSxjpoZfHiuOypwn42ACvmTkKM")</f>
        <v>1MzR4w0s74eMMAMcl-KSxjpoZfHiuOypwn42ACvmTkKM</v>
      </c>
    </row>
    <row r="412" spans="1:3" ht="15.75" customHeight="1">
      <c r="A412" t="str">
        <f ca="1">IFERROR(__xludf.DUMMYFUNCTION("""COMPUTED_VALUE"""),"PTT")</f>
        <v>PTT</v>
      </c>
      <c r="B412" t="str">
        <f ca="1">IFERROR(__xludf.DUMMYFUNCTION("""COMPUTED_VALUE"""),"EditPTTRecord")</f>
        <v>EditPTTRecord</v>
      </c>
      <c r="C412" t="str">
        <f ca="1">IFERROR(__xludf.DUMMYFUNCTION("""COMPUTED_VALUE"""),"13Ecyy3eTKlOlM2mlZRP_nxQjfP02VfkmPAAS8AQWMQk")</f>
        <v>13Ecyy3eTKlOlM2mlZRP_nxQjfP02VfkmPAAS8AQWMQk</v>
      </c>
    </row>
    <row r="413" spans="1:3" ht="15.75" customHeight="1">
      <c r="A413" t="str">
        <f ca="1">IFERROR(__xludf.DUMMYFUNCTION("""COMPUTED_VALUE"""),"Blotter")</f>
        <v>Blotter</v>
      </c>
      <c r="B413" t="str">
        <f ca="1">IFERROR(__xludf.DUMMYFUNCTION("""COMPUTED_VALUE"""),"GoToAllocation")</f>
        <v>GoToAllocation</v>
      </c>
      <c r="C413" t="str">
        <f ca="1">IFERROR(__xludf.DUMMYFUNCTION("""COMPUTED_VALUE"""),"1O10TSVXx7-qL87FJas1gFd9p3JugF_Bn4u9W7TpD46U")</f>
        <v>1O10TSVXx7-qL87FJas1gFd9p3JugF_Bn4u9W7TpD46U</v>
      </c>
    </row>
    <row r="414" spans="1:3" ht="15.75" customHeight="1">
      <c r="A414" t="str">
        <f ca="1">IFERROR(__xludf.DUMMYFUNCTION("""COMPUTED_VALUE"""),"Simulator")</f>
        <v>Simulator</v>
      </c>
      <c r="B414" t="str">
        <f ca="1">IFERROR(__xludf.DUMMYFUNCTION("""COMPUTED_VALUE"""),"CloseSimulator")</f>
        <v>CloseSimulator</v>
      </c>
      <c r="C414" t="str">
        <f ca="1">IFERROR(__xludf.DUMMYFUNCTION("""COMPUTED_VALUE"""),"undefined")</f>
        <v>undefined</v>
      </c>
    </row>
    <row r="415" spans="1:3" ht="15.75" customHeight="1">
      <c r="A415" t="str">
        <f ca="1">IFERROR(__xludf.DUMMYFUNCTION("""COMPUTED_VALUE"""),"GeneralLedger")</f>
        <v>GeneralLedger</v>
      </c>
      <c r="B415" t="str">
        <f ca="1">IFERROR(__xludf.DUMMYFUNCTION("""COMPUTED_VALUE"""),"VerifyCashTransaction")</f>
        <v>VerifyCashTransaction</v>
      </c>
      <c r="C415" t="str">
        <f ca="1">IFERROR(__xludf.DUMMYFUNCTION("""COMPUTED_VALUE"""),"1txiXYRv6RuxBB6CkKPa64Foilc8XIy5M-1KPAOBp9Z0")</f>
        <v>1txiXYRv6RuxBB6CkKPa64Foilc8XIy5M-1KPAOBp9Z0</v>
      </c>
    </row>
    <row r="416" spans="1:3" ht="15.75" customHeight="1">
      <c r="A416" t="str">
        <f ca="1">IFERROR(__xludf.DUMMYFUNCTION("""COMPUTED_VALUE"""),"Rebalancer")</f>
        <v>Rebalancer</v>
      </c>
      <c r="B416" t="str">
        <f ca="1">IFERROR(__xludf.DUMMYFUNCTION("""COMPUTED_VALUE"""),"ModelPortfolio")</f>
        <v>ModelPortfolio</v>
      </c>
      <c r="C416" t="str">
        <f ca="1">IFERROR(__xludf.DUMMYFUNCTION("""COMPUTED_VALUE"""),"1w51NpunZkBS_x4rZvkQXu2o8AUhD_GQPCtuFN-r1AFw")</f>
        <v>1w51NpunZkBS_x4rZvkQXu2o8AUhD_GQPCtuFN-r1AFw</v>
      </c>
    </row>
    <row r="417" spans="1:3" ht="15.75" customHeight="1">
      <c r="A417" t="str">
        <f ca="1">IFERROR(__xludf.DUMMYFUNCTION("""COMPUTED_VALUE"""),"DailyValuation")</f>
        <v>DailyValuation</v>
      </c>
      <c r="B417" t="str">
        <f ca="1">IFERROR(__xludf.DUMMYFUNCTION("""COMPUTED_VALUE"""),"VerifyDailyCash")</f>
        <v>VerifyDailyCash</v>
      </c>
      <c r="C417" t="str">
        <f ca="1">IFERROR(__xludf.DUMMYFUNCTION("""COMPUTED_VALUE"""),"1wXn8vaJbEg8VcRqhsw0cR1-Odkjr1m2zE8tXCmLX54g")</f>
        <v>1wXn8vaJbEg8VcRqhsw0cR1-Odkjr1m2zE8tXCmLX54g</v>
      </c>
    </row>
    <row r="418" spans="1:3" ht="15.75" customHeight="1">
      <c r="A418" t="str">
        <f ca="1">IFERROR(__xludf.DUMMYFUNCTION("""COMPUTED_VALUE"""),"Admin")</f>
        <v>Admin</v>
      </c>
      <c r="B418" t="str">
        <f ca="1">IFERROR(__xludf.DUMMYFUNCTION("""COMPUTED_VALUE"""),"SetCheckSide")</f>
        <v>SetCheckSide</v>
      </c>
      <c r="C418" t="str">
        <f ca="1">IFERROR(__xludf.DUMMYFUNCTION("""COMPUTED_VALUE"""),"1yyQmTWt6_vzUYvOiD3DjjThIuA-7rtaxLv1CWXWSP1c")</f>
        <v>1yyQmTWt6_vzUYvOiD3DjjThIuA-7rtaxLv1CWXWSP1c</v>
      </c>
    </row>
    <row r="419" spans="1:3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IFERROR(__xludf.DUMMYFUNCTION("""COMPUTED_VALUE"""),"OpenSpinOff")</f>
        <v>OpenSpinOff</v>
      </c>
      <c r="C419" t="str">
        <f ca="1">IFERROR(__xludf.DUMMYFUNCTION("""COMPUTED_VALUE"""),"1s7UywmXsvA66vGSvDSU_CidM0OgQwEbFnisEBEFmoz0")</f>
        <v>1s7UywmXsvA66vGSvDSU_CidM0OgQwEbFnisEBEFmoz0</v>
      </c>
    </row>
    <row r="420" spans="1:3" ht="15.75" customHeight="1">
      <c r="A420" t="str">
        <f ca="1">IFERROR(__xludf.DUMMYFUNCTION("""COMPUTED_VALUE"""),"CorporateAction")</f>
        <v>CorporateAction</v>
      </c>
      <c r="B420" t="str">
        <f ca="1">IFERROR(__xludf.DUMMYFUNCTION("""COMPUTED_VALUE"""),"VerifyAndApplyCorpAction")</f>
        <v>VerifyAndApplyCorpAction</v>
      </c>
      <c r="C420" t="str">
        <f ca="1">IFERROR(__xludf.DUMMYFUNCTION("""COMPUTED_VALUE"""),"1cHNKlWy_s_rmmZHG2nid4hP7PjQozO104yUNI3CyU1o")</f>
        <v>1cHNKlWy_s_rmmZHG2nid4hP7PjQozO104yUNI3CyU1o</v>
      </c>
    </row>
    <row r="421" spans="1:3" ht="15.75" customHeight="1">
      <c r="A421" t="str">
        <f ca="1">IFERROR(__xludf.DUMMYFUNCTION("""COMPUTED_VALUE"""),"CorporateAction ")</f>
        <v xml:space="preserve">CorporateAction </v>
      </c>
      <c r="B421" t="str">
        <f ca="1">IFERROR(__xludf.DUMMYFUNCTION("""COMPUTED_VALUE"""),"VerifyAndSaveCorpAction")</f>
        <v>VerifyAndSaveCorpAction</v>
      </c>
      <c r="C421" t="str">
        <f ca="1">IFERROR(__xludf.DUMMYFUNCTION("""COMPUTED_VALUE"""),"1bruEDkUzHa33GtKgwOjgeu-gUDGJFATMt-u7J51XEU4")</f>
        <v>1bruEDkUzHa33GtKgwOjgeu-gUDGJFATMt-u7J51XEU4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IFERROR(__xludf.DUMMYFUNCTION("""COMPUTED_VALUE"""),"DisableChecksideForAsset")</f>
        <v>DisableChecksideForAsset</v>
      </c>
      <c r="C422" t="str">
        <f ca="1">IFERROR(__xludf.DUMMYFUNCTION("""COMPUTED_VALUE"""),"1w1BRJVZsjn1B0PDYrYEKzXGEw-NFKSMIyNqeBCt4yec")</f>
        <v>1w1BRJVZsjn1B0PDYrYEKzXGEw-NFKSMIyNqeBCt4yec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IFERROR(__xludf.DUMMYFUNCTION("""COMPUTED_VALUE"""),"DisableChecksideForAccount")</f>
        <v>DisableChecksideForAccount</v>
      </c>
      <c r="C423" t="str">
        <f ca="1">IFERROR(__xludf.DUMMYFUNCTION("""COMPUTED_VALUE"""),"1m8_kQ_0tVJoTiBpYOtlKW23NWSHVfniRS6qC-gXm10s")</f>
        <v>1m8_kQ_0tVJoTiBpYOtlKW23NWSHVfniRS6qC-gXm10s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IFERROR(__xludf.DUMMYFUNCTION("""COMPUTED_VALUE"""),"DisableChecksideForCounterParty")</f>
        <v>DisableChecksideForCounterParty</v>
      </c>
      <c r="C424" t="str">
        <f ca="1">IFERROR(__xludf.DUMMYFUNCTION("""COMPUTED_VALUE"""),"17N8VCOwI2fnS5Lh1_oE2TZ5tHs8EeP3ATBk93WwvRHk")</f>
        <v>17N8VCOwI2fnS5Lh1_oE2TZ5tHs8EeP3ATBk93WwvRHk</v>
      </c>
    </row>
    <row r="425" spans="1:3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IFERROR(__xludf.DUMMYFUNCTION("""COMPUTED_VALUE"""),"DisableCheckside")</f>
        <v>DisableCheckside</v>
      </c>
      <c r="C425" t="str">
        <f ca="1">IFERROR(__xludf.DUMMYFUNCTION("""COMPUTED_VALUE"""),"1F88uJdltwqga7oeOfytDjDGsBP4kpEF_aSFBEzDCUqY")</f>
        <v>1F88uJdltwqga7oeOfytDjDGsBP4kpEF_aSFBEzDCUqY</v>
      </c>
    </row>
    <row r="426" spans="1:3" ht="15.75" customHeight="1">
      <c r="A426" t="str">
        <f ca="1">IFERROR(__xludf.DUMMYFUNCTION("""COMPUTED_VALUE"""),"Allocation")</f>
        <v>Allocation</v>
      </c>
      <c r="B426" t="str">
        <f ca="1">IFERROR(__xludf.DUMMYFUNCTION("""COMPUTED_VALUE"""),"ApplyMasterFundFilter")</f>
        <v>ApplyMasterFundFilter</v>
      </c>
      <c r="C426" t="str">
        <f ca="1">IFERROR(__xludf.DUMMYFUNCTION("""COMPUTED_VALUE"""),"1yIy9yo2gUgRLah_KTWBr8Q8ouxWuW7qEoYCxd-IyZqU")</f>
        <v>1yIy9yo2gUgRLah_KTWBr8Q8ouxWuW7qEoYCxd-IyZqU</v>
      </c>
    </row>
    <row r="427" spans="1:3" ht="15.75" customHeight="1">
      <c r="A427" t="str">
        <f ca="1">IFERROR(__xludf.DUMMYFUNCTION("""COMPUTED_VALUE"""),"TradingTicket")</f>
        <v>TradingTicket</v>
      </c>
      <c r="B427" t="str">
        <f ca="1">IFERROR(__xludf.DUMMYFUNCTION("""COMPUTED_VALUE"""),"UpdateMasterFundOnTT")</f>
        <v>UpdateMasterFundOnTT</v>
      </c>
      <c r="C427" t="str">
        <f ca="1">IFERROR(__xludf.DUMMYFUNCTION("""COMPUTED_VALUE"""),"1vtwSXTZXLwVYR5bhmfKT7b9o6JVmS_9MOZn7CcypLvw")</f>
        <v>1vtwSXTZXLwVYR5bhmfKT7b9o6JVmS_9MOZn7CcypLvw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IFERROR(__xludf.DUMMYFUNCTION("""COMPUTED_VALUE"""),"ShowMasterFundOnTT")</f>
        <v>ShowMasterFundOnTT</v>
      </c>
      <c r="C428" t="str">
        <f ca="1">IFERROR(__xludf.DUMMYFUNCTION("""COMPUTED_VALUE"""),"1tY8_vmgwAtlU3wdGRDk8WSaRLCv6640XZ0pVR7jx06k")</f>
        <v>1tY8_vmgwAtlU3wdGRDk8WSaRLCv6640XZ0pVR7jx06k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IFERROR(__xludf.DUMMYFUNCTION("""COMPUTED_VALUE"""),"ShowMasterFundAsClient")</f>
        <v>ShowMasterFundAsClient</v>
      </c>
      <c r="C429" t="str">
        <f ca="1">IFERROR(__xludf.DUMMYFUNCTION("""COMPUTED_VALUE"""),"1dXSCZtp_PbY2-xO4HyuQFjP9rqovyxBIHohhAalWHdk")</f>
        <v>1dXSCZtp_PbY2-xO4HyuQFjP9rqovyxBIHohhAalWHdk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IFERROR(__xludf.DUMMYFUNCTION("""COMPUTED_VALUE"""),"SetBrokerAccountMapping")</f>
        <v>SetBrokerAccountMapping</v>
      </c>
      <c r="C430" t="str">
        <f ca="1">IFERROR(__xludf.DUMMYFUNCTION("""COMPUTED_VALUE"""),"1MPDRlprMFMS8DkR-4ntdGvBOQ6Gp4Cbkz1mGJyRiPBU")</f>
        <v>1MPDRlprMFMS8DkR-4ntdGvBOQ6Gp4Cbkz1mGJyRiPBU</v>
      </c>
    </row>
    <row r="431" spans="1:3" ht="15.75" customHeight="1">
      <c r="A431" t="str">
        <f ca="1">IFERROR(__xludf.DUMMYFUNCTION("""COMPUTED_VALUE"""),"Allocation")</f>
        <v>Allocation</v>
      </c>
      <c r="B431" t="str">
        <f ca="1">IFERROR(__xludf.DUMMYFUNCTION("""COMPUTED_VALUE"""),"EditUnallocatedGridWPF")</f>
        <v>EditUnallocatedGridWPF</v>
      </c>
      <c r="C431" t="str">
        <f ca="1">IFERROR(__xludf.DUMMYFUNCTION("""COMPUTED_VALUE"""),"1FoqMjsh7kSUAPZgAsBdK0Dgz6XaVskoGr37G773xRsI")</f>
        <v>1FoqMjsh7kSUAPZgAsBdK0Dgz6XaVskoGr37G773xRsI</v>
      </c>
    </row>
    <row r="432" spans="1:3" ht="15.75" customHeight="1">
      <c r="A432" t="str">
        <f ca="1">IFERROR(__xludf.DUMMYFUNCTION("""COMPUTED_VALUE"""),"Allocation")</f>
        <v>Allocation</v>
      </c>
      <c r="B432" t="str">
        <f ca="1">IFERROR(__xludf.DUMMYFUNCTION("""COMPUTED_VALUE"""),"EditAllocatedGridWPF")</f>
        <v>EditAllocatedGridWPF</v>
      </c>
      <c r="C432" t="str">
        <f ca="1">IFERROR(__xludf.DUMMYFUNCTION("""COMPUTED_VALUE"""),"1JDZt3yDzGJYLwgfnrM-1JpkYjLh4xdqn3im1wNwUiWg")</f>
        <v>1JDZt3yDzGJYLwgfnrM-1JpkYjLh4xdqn3im1wNwUiWg</v>
      </c>
    </row>
    <row r="433" spans="1:3" ht="15.75" customHeight="1">
      <c r="A433" t="str">
        <f ca="1">IFERROR(__xludf.DUMMYFUNCTION("""COMPUTED_VALUE"""),"Admin")</f>
        <v>Admin</v>
      </c>
      <c r="B433" t="str">
        <f ca="1">IFERROR(__xludf.DUMMYFUNCTION("""COMPUTED_VALUE"""),"SetRollover")</f>
        <v>SetRollover</v>
      </c>
      <c r="C433" t="str">
        <f ca="1">IFERROR(__xludf.DUMMYFUNCTION("""COMPUTED_VALUE"""),"1mcj3boGZkRmnkbGNVOiMK0RBd1tDfxGwoUagq09FwTM")</f>
        <v>1mcj3boGZkRmnkbGNVOiMK0RBd1tDfxGwoUagq09FwTM</v>
      </c>
    </row>
    <row r="434" spans="1:3" ht="15.75" customHeight="1">
      <c r="A434" t="str">
        <f ca="1">IFERROR(__xludf.DUMMYFUNCTION("""COMPUTED_VALUE"""),"Blotter")</f>
        <v>Blotter</v>
      </c>
      <c r="B434" t="str">
        <f ca="1">IFERROR(__xludf.DUMMYFUNCTION("""COMPUTED_VALUE"""),"VerifyRollover")</f>
        <v>VerifyRollover</v>
      </c>
      <c r="C434" t="str">
        <f ca="1">IFERROR(__xludf.DUMMYFUNCTION("""COMPUTED_VALUE"""),"1ZZ2-R1OHOoSZ9jUfqlZ7UX-MNoTL_RipoEPOEeDhUiU")</f>
        <v>1ZZ2-R1OHOoSZ9jUfqlZ7UX-MNoTL_RipoEPOEeDhUiU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IFERROR(__xludf.DUMMYFUNCTION("""COMPUTED_VALUE"""),"EditAllocatedGridTaxlot")</f>
        <v>EditAllocatedGridTaxlot</v>
      </c>
      <c r="C435" t="str">
        <f ca="1">IFERROR(__xludf.DUMMYFUNCTION("""COMPUTED_VALUE"""),"1tuNkOgVUAgmGZdePkvb6Kq4fOIVUbM2Oo-j35VwEMxU")</f>
        <v>1tuNkOgVUAgmGZdePkvb6Kq4fOIVUbM2Oo-j35VwEMxU</v>
      </c>
    </row>
    <row r="436" spans="1:3" ht="15.75" customHeight="1">
      <c r="A436" t="str">
        <f ca="1">IFERROR(__xludf.DUMMYFUNCTION("""COMPUTED_VALUE"""),"Allocation")</f>
        <v>Allocation</v>
      </c>
      <c r="B436" t="str">
        <f ca="1">IFERROR(__xludf.DUMMYFUNCTION("""COMPUTED_VALUE"""),"ExpandCollapseAllocatedGrid")</f>
        <v>ExpandCollapseAllocatedGrid</v>
      </c>
      <c r="C436" t="str">
        <f ca="1">IFERROR(__xludf.DUMMYFUNCTION("""COMPUTED_VALUE"""),"1rFegPn3vtFd9CjW_Q7sLLAAJfMR24R2aIjZeDzV88kI")</f>
        <v>1rFegPn3vtFd9CjW_Q7sLLAAJfMR24R2aIjZeDzV88kI</v>
      </c>
    </row>
    <row r="437" spans="1:3" ht="15.75" customHeight="1">
      <c r="A437" t="str">
        <f ca="1">IFERROR(__xludf.DUMMYFUNCTION("""COMPUTED_VALUE"""),"Allocation")</f>
        <v>Allocation</v>
      </c>
      <c r="B437" t="str">
        <f ca="1">IFERROR(__xludf.DUMMYFUNCTION("""COMPUTED_VALUE"""),"ExpandCollapseUnallocatedGrid")</f>
        <v>ExpandCollapseUnallocatedGrid</v>
      </c>
      <c r="C437" t="str">
        <f ca="1">IFERROR(__xludf.DUMMYFUNCTION("""COMPUTED_VALUE"""),"1AUbU9P9evi80SGX-0B0OEU4EIeSy8XoX0Jxc2neUG7Y")</f>
        <v>1AUbU9P9evi80SGX-0B0OEU4EIeSy8XoX0Jxc2neUG7Y</v>
      </c>
    </row>
    <row r="438" spans="1:3" ht="15.75" customHeight="1">
      <c r="A438" t="str">
        <f ca="1">IFERROR(__xludf.DUMMYFUNCTION("""COMPUTED_VALUE"""),"Blotter")</f>
        <v>Blotter</v>
      </c>
      <c r="B438" t="str">
        <f ca="1">IFERROR(__xludf.DUMMYFUNCTION("""COMPUTED_VALUE"""),"VerifySubOrderAfterRollover")</f>
        <v>VerifySubOrderAfterRollover</v>
      </c>
      <c r="C438" t="str">
        <f ca="1">IFERROR(__xludf.DUMMYFUNCTION("""COMPUTED_VALUE"""),"1BmRHukyQ4miHL0fDoU1ytWmIfZkbbUhts6aUXOoJt1M")</f>
        <v>1BmRHukyQ4miHL0fDoU1ytWmIfZkbbUhts6aUXOoJt1M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IFERROR(__xludf.DUMMYFUNCTION("""COMPUTED_VALUE"""),"SelectTransactionImportType")</f>
        <v>SelectTransactionImportType</v>
      </c>
      <c r="C439" t="str">
        <f ca="1">IFERROR(__xludf.DUMMYFUNCTION("""COMPUTED_VALUE"""),"1ultylVChPDBFQEPMhDgNhsGAOiEjOy4yrylpQgIIDRs")</f>
        <v>1ultylVChPDBFQEPMhDgNhsGAOiEjOy4yrylpQgIIDRs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IFERROR(__xludf.DUMMYFUNCTION("""COMPUTED_VALUE"""),"SelectAllOnImport")</f>
        <v>SelectAllOnImport</v>
      </c>
      <c r="C440" t="str">
        <f ca="1">IFERROR(__xludf.DUMMYFUNCTION("""COMPUTED_VALUE"""),"1kfuraVHmWK4GQJ5l-V_xi5ZOvrVVE_6df75wO3Tczkw")</f>
        <v>1kfuraVHmWK4GQJ5l-V_xi5ZOvrVVE_6df75wO3Tczkw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IFERROR(__xludf.DUMMYFUNCTION("""COMPUTED_VALUE"""),"SelectMarkPriceImportType")</f>
        <v>SelectMarkPriceImportType</v>
      </c>
      <c r="C441" t="str">
        <f ca="1">IFERROR(__xludf.DUMMYFUNCTION("""COMPUTED_VALUE"""),"16WxFw58KivOf3P1utNNMuCYVONlWBgTIRn0wVd6Sq10")</f>
        <v>16WxFw58KivOf3P1utNNMuCYVONlWBgTIRn0wVd6Sq10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IFERROR(__xludf.DUMMYFUNCTION("""COMPUTED_VALUE"""),"SelectForexImportType")</f>
        <v>SelectForexImportType</v>
      </c>
      <c r="C442" t="str">
        <f ca="1">IFERROR(__xludf.DUMMYFUNCTION("""COMPUTED_VALUE"""),"1niCpVuSl0IoWtjAcvElNI0GeVHeA4cKvepxzq7Z4t0Y")</f>
        <v>1niCpVuSl0IoWtjAcvElNI0GeVHeA4cKvepxzq7Z4t0Y</v>
      </c>
    </row>
    <row r="443" spans="1:3" ht="15.75" customHeight="1">
      <c r="A443" t="str">
        <f ca="1">IFERROR(__xludf.DUMMYFUNCTION("""COMPUTED_VALUE"""),"Import")</f>
        <v>Import</v>
      </c>
      <c r="B443" t="str">
        <f ca="1">IFERROR(__xludf.DUMMYFUNCTION("""COMPUTED_VALUE"""),"SelectDoubleEntryCashImportType")</f>
        <v>SelectDoubleEntryCashImportType</v>
      </c>
      <c r="C443" t="str">
        <f ca="1">IFERROR(__xludf.DUMMYFUNCTION("""COMPUTED_VALUE"""),"1c3AV5tCWYyTG5GupbNYTh4Y6mBGeI5Q18WF7jbA_FoE")</f>
        <v>1c3AV5tCWYyTG5GupbNYTh4Y6mBGeI5Q18WF7jbA_FoE</v>
      </c>
    </row>
    <row r="444" spans="1:3" ht="15.75" customHeight="1">
      <c r="A444" t="str">
        <f ca="1">IFERROR(__xludf.DUMMYFUNCTION("""COMPUTED_VALUE"""),"Import")</f>
        <v>Import</v>
      </c>
      <c r="B444" t="str">
        <f ca="1">IFERROR(__xludf.DUMMYFUNCTION("""COMPUTED_VALUE"""),"SelectActivitiesImportType")</f>
        <v>SelectActivitiesImportType</v>
      </c>
      <c r="C444" t="str">
        <f ca="1">IFERROR(__xludf.DUMMYFUNCTION("""COMPUTED_VALUE"""),"1X6nskWL8-xWWF-gN9qfxhhV3aBuAeoxKsrdra5tJcpQ")</f>
        <v>1X6nskWL8-xWWF-gN9qfxhhV3aBuAeoxKsrdra5tJcpQ</v>
      </c>
    </row>
    <row r="445" spans="1:3" ht="15.75" customHeight="1">
      <c r="A445" t="str">
        <f ca="1">IFERROR(__xludf.DUMMYFUNCTION("""COMPUTED_VALUE"""),"TradingTicket")</f>
        <v>TradingTicket</v>
      </c>
      <c r="B445" t="str">
        <f ca="1">IFERROR(__xludf.DUMMYFUNCTION("""COMPUTED_VALUE"""),"SetTTCompliancePreference")</f>
        <v>SetTTCompliancePreference</v>
      </c>
      <c r="C445" t="str">
        <f ca="1">IFERROR(__xludf.DUMMYFUNCTION("""COMPUTED_VALUE"""),"1OPa8vYQi1QXXNENlCNdP6ay_L5vU7WyWP5dErE2KHEA")</f>
        <v>1OPa8vYQi1QXXNENlCNdP6ay_L5vU7WyWP5dErE2KHEA</v>
      </c>
    </row>
    <row r="446" spans="1:3" ht="15.75" customHeight="1">
      <c r="A446" t="str">
        <f ca="1">IFERROR(__xludf.DUMMYFUNCTION("""COMPUTED_VALUE"""),"Rebalancer")</f>
        <v>Rebalancer</v>
      </c>
      <c r="B446" t="str">
        <f ca="1">IFERROR(__xludf.DUMMYFUNCTION("""COMPUTED_VALUE"""),"LockandUnlockGridData")</f>
        <v>LockandUnlockGridData</v>
      </c>
      <c r="C446" t="str">
        <f ca="1">IFERROR(__xludf.DUMMYFUNCTION("""COMPUTED_VALUE"""),"1Km85kIYSTzG-NQHFDL8ZVRQQ0TKLUDOYsw-kdDX29xE")</f>
        <v>1Km85kIYSTzG-NQHFDL8ZVRQQ0TKLUDOYsw-kdDX29xE</v>
      </c>
    </row>
    <row r="447" spans="1:3" ht="15.75" customHeight="1">
      <c r="A447" t="str">
        <f ca="1">IFERROR(__xludf.DUMMYFUNCTION("""COMPUTED_VALUE"""),"Allocation")</f>
        <v>Allocation</v>
      </c>
      <c r="B447" t="str">
        <f ca="1">IFERROR(__xludf.DUMMYFUNCTION("""COMPUTED_VALUE"""),"SetTradeAttributePreferences")</f>
        <v>SetTradeAttributePreferences</v>
      </c>
      <c r="C447" t="str">
        <f ca="1">IFERROR(__xludf.DUMMYFUNCTION("""COMPUTED_VALUE"""),"1jyPRPc_0lTWCpP9oldB5fgtg2dy3jSnXLkS_qYf40-I")</f>
        <v>1jyPRPc_0lTWCpP9oldB5fgtg2dy3jSnXLkS_qYf40-I</v>
      </c>
    </row>
    <row r="448" spans="1:3" ht="15.75" customHeight="1">
      <c r="A448" t="str">
        <f ca="1">IFERROR(__xludf.DUMMYFUNCTION("""COMPUTED_VALUE"""),"GeneralLedger")</f>
        <v>GeneralLedger</v>
      </c>
      <c r="B448" t="str">
        <f ca="1">IFERROR(__xludf.DUMMYFUNCTION("""COMPUTED_VALUE"""),"VerifyAccountBalances")</f>
        <v>VerifyAccountBalances</v>
      </c>
      <c r="C448" t="str">
        <f ca="1">IFERROR(__xludf.DUMMYFUNCTION("""COMPUTED_VALUE"""),"1ym14EKcw7B3au8SvVteq2gmFR3cDcsMvQQEIm0TQjf4")</f>
        <v>1ym14EKcw7B3au8SvVteq2gmFR3cDcsMvQQEIm0TQjf4</v>
      </c>
    </row>
    <row r="449" spans="1:3" ht="15.75" customHeight="1">
      <c r="A449" t="str">
        <f ca="1">IFERROR(__xludf.DUMMYFUNCTION("""COMPUTED_VALUE"""),"Rebalancer")</f>
        <v>Rebalancer</v>
      </c>
      <c r="B449" t="str">
        <f ca="1">IFERROR(__xludf.DUMMYFUNCTION("""COMPUTED_VALUE"""),"RefreshGridData")</f>
        <v>RefreshGridData</v>
      </c>
      <c r="C449" t="str">
        <f ca="1">IFERROR(__xludf.DUMMYFUNCTION("""COMPUTED_VALUE"""),"1iFsjUbnYA0Jwd89eYQjg5OrnW3lr2WGVb5quimwHrRw")</f>
        <v>1iFsjUbnYA0Jwd89eYQjg5OrnW3lr2WGVb5quimwHrRw</v>
      </c>
    </row>
    <row r="450" spans="1:3" ht="15.75" customHeight="1">
      <c r="A450" t="str">
        <f ca="1">IFERROR(__xludf.DUMMYFUNCTION("""COMPUTED_VALUE"""),"GeneralLedger")</f>
        <v>GeneralLedger</v>
      </c>
      <c r="B450" t="str">
        <f ca="1">IFERROR(__xludf.DUMMYFUNCTION("""COMPUTED_VALUE"""),"AddMultipleOpeningBalTranItem")</f>
        <v>AddMultipleOpeningBalTranItem</v>
      </c>
      <c r="C450" t="str">
        <f ca="1">IFERROR(__xludf.DUMMYFUNCTION("""COMPUTED_VALUE"""),"14VkN8stineosylh8hvnYNK-GMxNG0uFZBKPjv00GOVc")</f>
        <v>14VkN8stineosylh8hvnYNK-GMxNG0uFZBKPjv00GOVc</v>
      </c>
    </row>
    <row r="451" spans="1:3" ht="15.75" customHeight="1">
      <c r="A451" t="str">
        <f ca="1">IFERROR(__xludf.DUMMYFUNCTION("""COMPUTED_VALUE"""),"Import")</f>
        <v>Import</v>
      </c>
      <c r="B451" t="str">
        <f ca="1">IFERROR(__xludf.DUMMYFUNCTION("""COMPUTED_VALUE"""),"ApplyFilterOnImport")</f>
        <v>ApplyFilterOnImport</v>
      </c>
      <c r="C451" t="str">
        <f ca="1">IFERROR(__xludf.DUMMYFUNCTION("""COMPUTED_VALUE"""),"1NbH6CrAG4P2-tfFJ5m9jUCbnHY9N7cAluffYy9kFrtg")</f>
        <v>1NbH6CrAG4P2-tfFJ5m9jUCbnHY9N7cAluffYy9kFrtg</v>
      </c>
    </row>
    <row r="452" spans="1:3" ht="15.75" customHeight="1">
      <c r="A452" t="str">
        <f ca="1">IFERROR(__xludf.DUMMYFUNCTION("""COMPUTED_VALUE"""),"Rebalancer")</f>
        <v>Rebalancer</v>
      </c>
      <c r="B452" t="str">
        <f ca="1">IFERROR(__xludf.DUMMYFUNCTION("""COMPUTED_VALUE"""),"SendtoStaging")</f>
        <v>SendtoStaging</v>
      </c>
      <c r="C452" t="str">
        <f ca="1">IFERROR(__xludf.DUMMYFUNCTION("""COMPUTED_VALUE"""),"1Zhte_TGc173a8WWc7feC_7HQ_A-M9Q7Np-aK2NPeTIo")</f>
        <v>1Zhte_TGc173a8WWc7feC_7HQ_A-M9Q7Np-aK2NPeTIo</v>
      </c>
    </row>
    <row r="453" spans="1:3" ht="15.75" customHeight="1"/>
    <row r="454" spans="1:3" ht="15.75" customHeight="1"/>
    <row r="455" spans="1:3" ht="15.75" customHeight="1"/>
    <row r="456" spans="1:3" ht="15.75" customHeight="1"/>
    <row r="457" spans="1:3" ht="15.75" customHeight="1"/>
    <row r="458" spans="1:3" ht="15.75" customHeight="1"/>
    <row r="459" spans="1:3" ht="15.75" customHeight="1"/>
    <row r="460" spans="1:3" ht="15.75" customHeight="1"/>
    <row r="461" spans="1:3" ht="15.75" customHeight="1"/>
    <row r="462" spans="1:3" ht="15.75" customHeight="1"/>
    <row r="463" spans="1:3" ht="15.75" customHeight="1"/>
    <row r="464" spans="1:3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38" t="s">
        <v>2</v>
      </c>
      <c r="B1" s="36"/>
      <c r="C1" s="37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7" t="s">
        <v>6</v>
      </c>
      <c r="C4" s="5"/>
    </row>
    <row r="5" spans="1:3" ht="15.75" customHeight="1">
      <c r="A5" s="9"/>
      <c r="B5" s="5"/>
      <c r="C5" s="5"/>
    </row>
    <row r="6" spans="1:3" ht="15.75" customHeight="1">
      <c r="A6" s="9"/>
      <c r="B6" s="5"/>
      <c r="C6" s="5"/>
    </row>
    <row r="7" spans="1:3" ht="15.75" customHeight="1">
      <c r="A7" s="9"/>
      <c r="B7" s="5"/>
      <c r="C7" s="5"/>
    </row>
    <row r="8" spans="1:3" ht="15.75" customHeight="1">
      <c r="A8" s="9"/>
      <c r="B8" s="5"/>
      <c r="C8" s="5"/>
    </row>
    <row r="9" spans="1:3" ht="15.75" customHeight="1">
      <c r="A9" s="9"/>
      <c r="B9" s="5"/>
      <c r="C9" s="5"/>
    </row>
    <row r="10" spans="1:3" ht="15.75" customHeight="1">
      <c r="A10" s="9"/>
      <c r="B10" s="5"/>
      <c r="C10" s="5"/>
    </row>
    <row r="11" spans="1:3" ht="15.75" customHeight="1">
      <c r="A11" s="9"/>
      <c r="B11" s="5"/>
      <c r="C11" s="5"/>
    </row>
    <row r="12" spans="1:3" ht="15.75" customHeight="1">
      <c r="A12" s="9"/>
      <c r="B12" s="5"/>
      <c r="C12" s="5"/>
    </row>
    <row r="13" spans="1:3" ht="15.75" customHeight="1">
      <c r="A13" s="9"/>
      <c r="B13" s="5"/>
      <c r="C13" s="5"/>
    </row>
    <row r="14" spans="1:3" ht="15.75" customHeight="1">
      <c r="A14" s="9"/>
      <c r="B14" s="5"/>
      <c r="C14" s="5"/>
    </row>
    <row r="15" spans="1:3" ht="15.75" customHeight="1">
      <c r="A15" s="9"/>
      <c r="B15" s="5"/>
      <c r="C15" s="5"/>
    </row>
    <row r="16" spans="1:3" ht="15.75" customHeight="1">
      <c r="A16" s="9"/>
      <c r="B16" s="5"/>
      <c r="C16" s="5"/>
    </row>
    <row r="17" spans="1:3" ht="15.75" customHeight="1">
      <c r="A17" s="9"/>
      <c r="B17" s="5"/>
      <c r="C17" s="5"/>
    </row>
    <row r="18" spans="1:3" ht="15.75" customHeight="1">
      <c r="A18" s="9"/>
      <c r="B18" s="5"/>
      <c r="C18" s="5"/>
    </row>
    <row r="19" spans="1:3" ht="15.75" customHeight="1">
      <c r="A19" s="9"/>
      <c r="B19" s="5"/>
      <c r="C19" s="5"/>
    </row>
    <row r="20" spans="1:3" ht="15.75" customHeight="1">
      <c r="A20" s="9"/>
      <c r="B20" s="5"/>
      <c r="C20" s="5"/>
    </row>
    <row r="21" spans="1:3" ht="15.75" customHeight="1">
      <c r="A21" s="9"/>
      <c r="B21" s="5"/>
      <c r="C21" s="5"/>
    </row>
    <row r="22" spans="1:3" ht="15.75" customHeight="1">
      <c r="A22" s="9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35" t="s">
        <v>7</v>
      </c>
      <c r="B1" s="36"/>
      <c r="C1" s="36"/>
      <c r="D1" s="36"/>
      <c r="E1" s="36"/>
      <c r="F1" s="37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5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16</v>
      </c>
      <c r="C6" s="7" t="s">
        <v>17</v>
      </c>
      <c r="D6" s="7">
        <v>1000</v>
      </c>
      <c r="E6" s="7">
        <v>1000</v>
      </c>
      <c r="F6" s="7" t="s">
        <v>18</v>
      </c>
      <c r="G6" s="5"/>
      <c r="H6" s="5"/>
      <c r="I6" s="5"/>
      <c r="J6" s="7">
        <v>10</v>
      </c>
      <c r="K6" s="5"/>
      <c r="L6" s="5"/>
      <c r="M6" s="5"/>
      <c r="N6" s="5"/>
      <c r="O6" s="5"/>
    </row>
    <row r="7" spans="1:154" ht="15.75" customHeight="1">
      <c r="A7" s="5"/>
      <c r="B7" s="7" t="s">
        <v>19</v>
      </c>
      <c r="C7" s="7" t="s">
        <v>17</v>
      </c>
      <c r="D7" s="7">
        <v>1500</v>
      </c>
      <c r="E7" s="7">
        <v>1500</v>
      </c>
      <c r="F7" s="7" t="s">
        <v>18</v>
      </c>
      <c r="G7" s="5"/>
      <c r="H7" s="5"/>
      <c r="I7" s="5"/>
      <c r="J7" s="7">
        <v>15</v>
      </c>
      <c r="K7" s="5"/>
      <c r="L7" s="5"/>
      <c r="M7" s="5"/>
      <c r="N7" s="5"/>
      <c r="O7" s="5"/>
    </row>
    <row r="8" spans="1:154" ht="15.75" customHeight="1">
      <c r="A8" s="5"/>
      <c r="B8" s="7" t="s">
        <v>20</v>
      </c>
      <c r="C8" s="7" t="s">
        <v>17</v>
      </c>
      <c r="D8" s="7">
        <v>2000</v>
      </c>
      <c r="E8" s="7">
        <v>2000</v>
      </c>
      <c r="F8" s="7" t="s">
        <v>18</v>
      </c>
      <c r="G8" s="5"/>
      <c r="H8" s="5"/>
      <c r="I8" s="5"/>
      <c r="J8" s="7">
        <v>20</v>
      </c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K100"/>
  <sheetViews>
    <sheetView topLeftCell="BD1" workbookViewId="0">
      <selection activeCell="BK6" sqref="BK6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27.140625" customWidth="1"/>
    <col min="64" max="167" width="14.42578125" customWidth="1"/>
  </cols>
  <sheetData>
    <row r="1" spans="1:167" ht="15.75" customHeight="1">
      <c r="A1" s="13"/>
      <c r="B1" s="35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</row>
    <row r="2" spans="1:167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67" ht="15.75" customHeight="1">
      <c r="A3" s="16"/>
      <c r="B3" s="2" t="s">
        <v>8</v>
      </c>
      <c r="C3" s="17" t="s">
        <v>21</v>
      </c>
      <c r="D3" s="2" t="s">
        <v>9</v>
      </c>
      <c r="E3" s="17" t="s">
        <v>22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</row>
    <row r="4" spans="1:167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IFERROR(__xludf.DUMMYFUNCTION("""COMPUTED_VALUE"""),"OpenCreateTransactionFromPM")</f>
        <v>OpenCreateTransactionFromPM</v>
      </c>
      <c r="M4" s="19" t="str">
        <f ca="1">IFERROR(__xludf.DUMMYFUNCTION("""COMPUTED_VALUE"""),"OpenClosingFromPM")</f>
        <v>OpenClosingFromPM</v>
      </c>
      <c r="N4" s="19" t="str">
        <f ca="1">IFERROR(__xludf.DUMMYFUNCTION("""COMPUTED_VALUE"""),"OpenCorporateActionFromPM")</f>
        <v>OpenCorporateActionFromPM</v>
      </c>
      <c r="O4" s="19" t="str">
        <f ca="1">IFERROR(__xludf.DUMMYFUNCTION("""COMPUTED_VALUE"""),"OpenDailyValuationFromPM")</f>
        <v>OpenDailyValuationFromPM</v>
      </c>
      <c r="P4" s="20" t="str">
        <f ca="1">IFERROR(__xludf.DUMMYFUNCTION("""COMPUTED_VALUE"""),"ClosePositionFromPM")</f>
        <v>ClosePositionFromPM</v>
      </c>
      <c r="Q4" s="20" t="str">
        <f ca="1">IFERROR(__xludf.DUMMYFUNCTION("""COMPUTED_VALUE"""),"ShowSummaryToolFromPM")</f>
        <v>ShowSummaryToolFromPM</v>
      </c>
      <c r="R4" s="20" t="str">
        <f ca="1">IFERROR(__xludf.DUMMYFUNCTION("""COMPUTED_VALUE"""),"HideSummaryToolFromPM")</f>
        <v>HideSummaryToolFromPM</v>
      </c>
      <c r="S4" s="20" t="str">
        <f ca="1">IFERROR(__xludf.DUMMYFUNCTION("""COMPUTED_VALUE"""),"CloseAccountPositionFromPM")</f>
        <v>CloseAccountPositionFromPM</v>
      </c>
      <c r="T4" s="20" t="str">
        <f ca="1">IFERROR(__xludf.DUMMYFUNCTION("""COMPUTED_VALUE"""),"CloseSelectedTaxlotsFromPM")</f>
        <v>CloseSelectedTaxlotsFromPM</v>
      </c>
      <c r="U4" s="20" t="str">
        <f ca="1">IFERROR(__xludf.DUMMYFUNCTION("""COMPUTED_VALUE"""),"ExpandCollapsePM")</f>
        <v>ExpandCollapsePM</v>
      </c>
      <c r="V4" s="20" t="str">
        <f ca="1">IFERROR(__xludf.DUMMYFUNCTION("""COMPUTED_VALUE"""),"AddCustomViewPM")</f>
        <v>AddCustomViewPM</v>
      </c>
      <c r="W4" s="20" t="str">
        <f ca="1">IFERROR(__xludf.DUMMYFUNCTION("""COMPUTED_VALUE"""),"AddCustomViewRightClickPM")</f>
        <v>AddCustomViewRightClickPM</v>
      </c>
      <c r="X4" s="20" t="str">
        <f ca="1">IFERROR(__xludf.DUMMYFUNCTION("""COMPUTED_VALUE"""),"RenameCustomViewPM")</f>
        <v>RenameCustomViewPM</v>
      </c>
      <c r="Y4" s="20" t="str">
        <f ca="1">IFERROR(__xludf.DUMMYFUNCTION("""COMPUTED_VALUE"""),"DeleteCustomViewPM")</f>
        <v>DeleteCustomViewPM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</row>
    <row r="5" spans="1:167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/>
      <c r="FC5" s="24"/>
      <c r="FD5" s="24"/>
      <c r="FE5" s="24"/>
      <c r="FF5" s="24"/>
      <c r="FG5" s="24"/>
      <c r="FH5" s="24"/>
      <c r="FI5" s="24"/>
      <c r="FJ5" s="24"/>
      <c r="FK5" s="24"/>
    </row>
    <row r="6" spans="1:167" ht="15.75" customHeight="1">
      <c r="A6" s="7"/>
      <c r="B6" s="7"/>
      <c r="C6" s="7" t="s">
        <v>16</v>
      </c>
      <c r="D6" s="7">
        <v>1000</v>
      </c>
      <c r="E6" s="7" t="s">
        <v>18</v>
      </c>
      <c r="F6" s="5"/>
      <c r="G6" s="5"/>
      <c r="H6" s="6" t="s">
        <v>23</v>
      </c>
      <c r="I6" s="5"/>
      <c r="J6" s="5"/>
      <c r="K6" s="5"/>
      <c r="L6" s="5"/>
      <c r="M6" s="5"/>
      <c r="N6" s="5"/>
      <c r="O6" s="5"/>
      <c r="T6" s="6" t="s">
        <v>24</v>
      </c>
      <c r="AN6" s="6" t="s">
        <v>17</v>
      </c>
    </row>
    <row r="7" spans="1:167" ht="15.75" customHeight="1">
      <c r="A7" s="5"/>
      <c r="B7" s="5"/>
      <c r="C7" s="7" t="s">
        <v>20</v>
      </c>
      <c r="D7" s="7">
        <v>2000</v>
      </c>
      <c r="E7" s="7" t="s">
        <v>18</v>
      </c>
      <c r="F7" s="5"/>
      <c r="G7" s="5"/>
      <c r="H7" s="6" t="s">
        <v>23</v>
      </c>
      <c r="I7" s="5"/>
      <c r="J7" s="5"/>
      <c r="K7" s="5"/>
      <c r="L7" s="5"/>
      <c r="M7" s="5"/>
      <c r="N7" s="5"/>
      <c r="O7" s="5"/>
      <c r="T7" s="6" t="s">
        <v>24</v>
      </c>
      <c r="AN7" s="6" t="s">
        <v>17</v>
      </c>
    </row>
    <row r="8" spans="1:167" ht="15.75" customHeight="1">
      <c r="A8" s="5"/>
      <c r="B8" s="5"/>
      <c r="C8" s="7" t="s">
        <v>19</v>
      </c>
      <c r="D8" s="7">
        <v>1500</v>
      </c>
      <c r="E8" s="7" t="s">
        <v>18</v>
      </c>
      <c r="F8" s="5"/>
      <c r="G8" s="5"/>
      <c r="H8" s="6" t="s">
        <v>23</v>
      </c>
      <c r="I8" s="5"/>
      <c r="J8" s="5"/>
      <c r="K8" s="5"/>
      <c r="L8" s="5"/>
      <c r="M8" s="5"/>
      <c r="N8" s="5"/>
      <c r="O8" s="5"/>
      <c r="T8" s="6" t="s">
        <v>24</v>
      </c>
      <c r="AN8" s="6" t="s">
        <v>17</v>
      </c>
    </row>
    <row r="9" spans="1:167" ht="15.75" customHeight="1">
      <c r="A9" s="5"/>
      <c r="B9" s="5"/>
      <c r="C9" s="5"/>
      <c r="D9" s="5"/>
      <c r="E9" s="5"/>
      <c r="F9" s="5"/>
      <c r="G9" s="5"/>
      <c r="H9" s="1"/>
      <c r="I9" s="5"/>
      <c r="J9" s="5"/>
      <c r="K9" s="5"/>
      <c r="L9" s="5"/>
      <c r="M9" s="5"/>
      <c r="N9" s="5"/>
      <c r="O9" s="5"/>
    </row>
    <row r="10" spans="1:167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7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7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7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7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7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7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5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21</v>
      </c>
      <c r="D3" s="2" t="s">
        <v>9</v>
      </c>
      <c r="E3" s="17" t="s">
        <v>25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IFERROR(__xludf.DUMMYFUNCTION("""COMPUTED_VALUE"""),"OpenCreateTransactionFromPM")</f>
        <v>OpenCreateTransactionFromPM</v>
      </c>
      <c r="M4" s="19" t="str">
        <f ca="1">IFERROR(__xludf.DUMMYFUNCTION("""COMPUTED_VALUE"""),"OpenClosingFromPM")</f>
        <v>OpenClosingFromPM</v>
      </c>
      <c r="N4" s="19" t="str">
        <f ca="1">IFERROR(__xludf.DUMMYFUNCTION("""COMPUTED_VALUE"""),"OpenCorporateActionFromPM")</f>
        <v>OpenCorporateActionFromPM</v>
      </c>
      <c r="O4" s="19" t="str">
        <f ca="1">IFERROR(__xludf.DUMMYFUNCTION("""COMPUTED_VALUE"""),"OpenDailyValuationFromPM")</f>
        <v>OpenDailyValuationFromPM</v>
      </c>
      <c r="P4" s="20" t="str">
        <f ca="1">IFERROR(__xludf.DUMMYFUNCTION("""COMPUTED_VALUE"""),"ClosePositionFromPM")</f>
        <v>ClosePositionFromPM</v>
      </c>
      <c r="Q4" s="20" t="str">
        <f ca="1">IFERROR(__xludf.DUMMYFUNCTION("""COMPUTED_VALUE"""),"ShowSummaryToolFromPM")</f>
        <v>ShowSummaryToolFromPM</v>
      </c>
      <c r="R4" s="20" t="str">
        <f ca="1">IFERROR(__xludf.DUMMYFUNCTION("""COMPUTED_VALUE"""),"HideSummaryToolFromPM")</f>
        <v>HideSummaryToolFromPM</v>
      </c>
      <c r="S4" s="20" t="str">
        <f ca="1">IFERROR(__xludf.DUMMYFUNCTION("""COMPUTED_VALUE"""),"CloseAccountPositionFromPM")</f>
        <v>CloseAccountPositionFromPM</v>
      </c>
      <c r="T4" s="20" t="str">
        <f ca="1">IFERROR(__xludf.DUMMYFUNCTION("""COMPUTED_VALUE"""),"CloseSelectedTaxlotsFromPM")</f>
        <v>CloseSelectedTaxlotsFromPM</v>
      </c>
      <c r="U4" s="20" t="str">
        <f ca="1">IFERROR(__xludf.DUMMYFUNCTION("""COMPUTED_VALUE"""),"ExpandCollapsePM")</f>
        <v>ExpandCollapsePM</v>
      </c>
      <c r="V4" s="20" t="str">
        <f ca="1">IFERROR(__xludf.DUMMYFUNCTION("""COMPUTED_VALUE"""),"AddCustomViewPM")</f>
        <v>AddCustomViewPM</v>
      </c>
      <c r="W4" s="20" t="str">
        <f ca="1">IFERROR(__xludf.DUMMYFUNCTION("""COMPUTED_VALUE"""),"AddCustomViewRightClickPM")</f>
        <v>AddCustomViewRightClickPM</v>
      </c>
      <c r="X4" s="20" t="str">
        <f ca="1">IFERROR(__xludf.DUMMYFUNCTION("""COMPUTED_VALUE"""),"RenameCustomViewPM")</f>
        <v>RenameCustomViewPM</v>
      </c>
      <c r="Y4" s="20" t="str">
        <f ca="1">IFERROR(__xludf.DUMMYFUNCTION("""COMPUTED_VALUE"""),"DeleteCustomViewPM")</f>
        <v>DeleteCustomViewPM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IFERROR(__xludf.DUMMYFUNCTION("""COMPUTED_VALUE"""),"ColumnName")</f>
        <v>ColumnName</v>
      </c>
      <c r="C5" s="22" t="str">
        <f ca="1">IFERROR(__xludf.DUMMYFUNCTION("""COMPUTED_VALUE"""),"FilterList")</f>
        <v>FilterList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26</v>
      </c>
      <c r="C6" s="7" t="s">
        <v>16</v>
      </c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5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21</v>
      </c>
      <c r="D3" s="2" t="s">
        <v>9</v>
      </c>
      <c r="E3" s="17" t="s">
        <v>27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IFERROR(__xludf.DUMMYFUNCTION("""COMPUTED_VALUE"""),"OpenCreateTransactionFromPM")</f>
        <v>OpenCreateTransactionFromPM</v>
      </c>
      <c r="M4" s="19" t="str">
        <f ca="1">IFERROR(__xludf.DUMMYFUNCTION("""COMPUTED_VALUE"""),"OpenClosingFromPM")</f>
        <v>OpenClosingFromPM</v>
      </c>
      <c r="N4" s="19" t="str">
        <f ca="1">IFERROR(__xludf.DUMMYFUNCTION("""COMPUTED_VALUE"""),"OpenCorporateActionFromPM")</f>
        <v>OpenCorporateActionFromPM</v>
      </c>
      <c r="O4" s="19" t="str">
        <f ca="1">IFERROR(__xludf.DUMMYFUNCTION("""COMPUTED_VALUE"""),"OpenDailyValuationFromPM")</f>
        <v>OpenDailyValuationFromPM</v>
      </c>
      <c r="P4" s="20" t="str">
        <f ca="1">IFERROR(__xludf.DUMMYFUNCTION("""COMPUTED_VALUE"""),"ClosePositionFromPM")</f>
        <v>ClosePositionFromPM</v>
      </c>
      <c r="Q4" s="20" t="str">
        <f ca="1">IFERROR(__xludf.DUMMYFUNCTION("""COMPUTED_VALUE"""),"ShowSummaryToolFromPM")</f>
        <v>ShowSummaryToolFromPM</v>
      </c>
      <c r="R4" s="20" t="str">
        <f ca="1">IFERROR(__xludf.DUMMYFUNCTION("""COMPUTED_VALUE"""),"HideSummaryToolFromPM")</f>
        <v>HideSummaryToolFromPM</v>
      </c>
      <c r="S4" s="20" t="str">
        <f ca="1">IFERROR(__xludf.DUMMYFUNCTION("""COMPUTED_VALUE"""),"CloseAccountPositionFromPM")</f>
        <v>CloseAccountPositionFromPM</v>
      </c>
      <c r="T4" s="20" t="str">
        <f ca="1">IFERROR(__xludf.DUMMYFUNCTION("""COMPUTED_VALUE"""),"CloseSelectedTaxlotsFromPM")</f>
        <v>CloseSelectedTaxlotsFromPM</v>
      </c>
      <c r="U4" s="20" t="str">
        <f ca="1">IFERROR(__xludf.DUMMYFUNCTION("""COMPUTED_VALUE"""),"ExpandCollapsePM")</f>
        <v>ExpandCollapsePM</v>
      </c>
      <c r="V4" s="20" t="str">
        <f ca="1">IFERROR(__xludf.DUMMYFUNCTION("""COMPUTED_VALUE"""),"AddCustomViewPM")</f>
        <v>AddCustomViewPM</v>
      </c>
      <c r="W4" s="20" t="str">
        <f ca="1">IFERROR(__xludf.DUMMYFUNCTION("""COMPUTED_VALUE"""),"AddCustomViewRightClickPM")</f>
        <v>AddCustomViewRightClickPM</v>
      </c>
      <c r="X4" s="20" t="str">
        <f ca="1">IFERROR(__xludf.DUMMYFUNCTION("""COMPUTED_VALUE"""),"RenameCustomViewPM")</f>
        <v>RenameCustomViewPM</v>
      </c>
      <c r="Y4" s="20" t="str">
        <f ca="1">IFERROR(__xludf.DUMMYFUNCTION("""COMPUTED_VALUE"""),"DeleteCustomViewPM")</f>
        <v>DeleteCustomViewPM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IFERROR(__xludf.DUMMYFUNCTION("""COMPUTED_VALUE"""),"Symbol")</f>
        <v>Symbol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18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5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16</v>
      </c>
      <c r="C6" s="7" t="s">
        <v>28</v>
      </c>
      <c r="D6" s="7">
        <v>1000</v>
      </c>
      <c r="E6" s="7">
        <v>1000</v>
      </c>
      <c r="F6" s="26" t="s">
        <v>18</v>
      </c>
      <c r="G6" s="5"/>
      <c r="H6" s="5"/>
      <c r="I6" s="5"/>
      <c r="J6" s="7">
        <v>20</v>
      </c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5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29</v>
      </c>
      <c r="D3" s="2" t="s">
        <v>9</v>
      </c>
      <c r="E3" s="17" t="s">
        <v>30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IFERROR(__xludf.DUMMYFUNCTION("""COMPUTED_VALUE"""),"Account Filter")</f>
        <v>Account Filter</v>
      </c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31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5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29</v>
      </c>
      <c r="D3" s="2" t="s">
        <v>9</v>
      </c>
      <c r="E3" s="17" t="s">
        <v>32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IFERROR(__xludf.DUMMYFUNCTION("""COMPUTED_VALUE"""),"Asset Class")</f>
        <v>Asset Class</v>
      </c>
      <c r="D5" s="22" t="str">
        <f ca="1">IFERROR(__xludf.DUMMYFUNCTION("""COMPUTED_VALUE"""),"AUECID")</f>
        <v>AUECID</v>
      </c>
      <c r="E5" s="22" t="str">
        <f ca="1">IFERROR(__xludf.DUMMYFUNCTION("""COMPUTED_VALUE"""),"ExternalTransId")</f>
        <v>ExternalTransId</v>
      </c>
      <c r="F5" s="23" t="str">
        <f ca="1">IFERROR(__xludf.DUMMYFUNCTION("""COMPUTED_VALUE"""),"IsSwapped")</f>
        <v>IsSwapped</v>
      </c>
      <c r="G5" s="22" t="str">
        <f ca="1">IFERROR(__xludf.DUMMYFUNCTION("""COMPUTED_VALUE"""),"LotId")</f>
        <v>LotId</v>
      </c>
      <c r="H5" s="22" t="str">
        <f ca="1">IFERROR(__xludf.DUMMYFUNCTION("""COMPUTED_VALUE"""),"Net Notional")</f>
        <v>Net Notional</v>
      </c>
      <c r="I5" s="22" t="str">
        <f ca="1">IFERROR(__xludf.DUMMYFUNCTION("""COMPUTED_VALUE"""),"Opening Price")</f>
        <v>Opening Price</v>
      </c>
      <c r="J5" s="22" t="str">
        <f ca="1">IFERROR(__xludf.DUMMYFUNCTION("""COMPUTED_VALUE"""),"Original Purchase Date")</f>
        <v>Original Purchase Date</v>
      </c>
      <c r="K5" s="22" t="str">
        <f ca="1">IFERROR(__xludf.DUMMYFUNCTION("""COMPUTED_VALUE"""),"PositionTag")</f>
        <v>PositionTag</v>
      </c>
      <c r="L5" s="22" t="str">
        <f ca="1">IFERROR(__xludf.DUMMYFUNCTION("""COMPUTED_VALUE"""),"Process Date")</f>
        <v>Process Date</v>
      </c>
      <c r="M5" s="22" t="str">
        <f ca="1">IFERROR(__xludf.DUMMYFUNCTION("""COMPUTED_VALUE"""),"Quantity")</f>
        <v>Quantity</v>
      </c>
      <c r="N5" s="22" t="str">
        <f ca="1">IFERROR(__xludf.DUMMYFUNCTION("""COMPUTED_VALUE"""),"Security Name")</f>
        <v>Security Name</v>
      </c>
      <c r="O5" s="22" t="str">
        <f ca="1">IFERROR(__xludf.DUMMYFUNCTION("""COMPUTED_VALUE"""),"Settlement Currency")</f>
        <v>Settlement Currency</v>
      </c>
      <c r="P5" s="22" t="str">
        <f ca="1">IFERROR(__xludf.DUMMYFUNCTION("""COMPUTED_VALUE"""),"Side")</f>
        <v>Side</v>
      </c>
      <c r="Q5" s="22" t="str">
        <f ca="1">IFERROR(__xludf.DUMMYFUNCTION("""COMPUTED_VALUE"""),"Strategy")</f>
        <v>Strategy</v>
      </c>
      <c r="R5" s="22" t="str">
        <f ca="1">IFERROR(__xludf.DUMMYFUNCTION("""COMPUTED_VALUE"""),"Symbol")</f>
        <v>Symbol</v>
      </c>
      <c r="S5" s="22" t="str">
        <f ca="1">IFERROR(__xludf.DUMMYFUNCTION("""COMPUTED_VALUE"""),"Taxlot ID")</f>
        <v>Taxlot ID</v>
      </c>
      <c r="T5" s="24" t="str">
        <f ca="1">IFERROR(__xludf.DUMMYFUNCTION("""COMPUTED_VALUE"""),"Total Fees and Commission")</f>
        <v>Total Fees and Commission</v>
      </c>
      <c r="U5" s="24" t="str">
        <f ca="1">IFERROR(__xludf.DUMMYFUNCTION("""COMPUTED_VALUE"""),"Trade Date")</f>
        <v>Trade Date</v>
      </c>
      <c r="V5" s="24" t="str">
        <f ca="1">IFERROR(__xludf.DUMMYFUNCTION("""COMPUTED_VALUE"""),"Transaction Type")</f>
        <v>Transaction Type</v>
      </c>
      <c r="W5" s="24" t="str">
        <f ca="1">IFERROR(__xludf.DUMMYFUNCTION("""COMPUTED_VALUE"""),"UnderlyingName")</f>
        <v>UnderlyingName</v>
      </c>
      <c r="X5" s="24" t="str">
        <f ca="1">IFERROR(__xludf.DUMMYFUNCTION("""COMPUTED_VALUE"""),"UnitCost")</f>
        <v>UnitCost</v>
      </c>
      <c r="Y5" s="24" t="str">
        <f ca="1">IFERROR(__xludf.DUMMYFUNCTION("""COMPUTED_VALUE"""),"Unit Cost(Base)")</f>
        <v>Unit Cost(Base)</v>
      </c>
      <c r="Z5" s="24" t="str">
        <f ca="1">IFERROR(__xludf.DUMMYFUNCTION("""COMPUTED_VALUE"""),"AvgPriceBase")</f>
        <v>AvgPriceBase</v>
      </c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27" t="s">
        <v>18</v>
      </c>
      <c r="C6" s="28" t="s">
        <v>24</v>
      </c>
      <c r="D6" s="7"/>
      <c r="E6" s="25"/>
      <c r="F6" s="5"/>
      <c r="G6" s="5"/>
      <c r="H6" s="29">
        <v>10014.0056</v>
      </c>
      <c r="I6" s="29">
        <v>10</v>
      </c>
      <c r="J6" s="5"/>
      <c r="K6" s="5"/>
      <c r="L6" s="5"/>
      <c r="M6" s="29">
        <v>1000</v>
      </c>
      <c r="N6" s="28" t="s">
        <v>33</v>
      </c>
      <c r="P6" s="28" t="s">
        <v>17</v>
      </c>
      <c r="R6" s="28" t="s">
        <v>16</v>
      </c>
      <c r="T6" s="29">
        <v>14.005599999999999</v>
      </c>
      <c r="V6" s="28" t="s">
        <v>17</v>
      </c>
      <c r="W6" s="28" t="s">
        <v>34</v>
      </c>
      <c r="X6" s="29">
        <v>10.014005600000001</v>
      </c>
      <c r="Y6" s="29">
        <v>10.014005600000001</v>
      </c>
      <c r="Z6" s="29">
        <v>10</v>
      </c>
    </row>
    <row r="7" spans="1:154" ht="15.75" customHeight="1">
      <c r="A7" s="5"/>
      <c r="B7" s="27" t="s">
        <v>18</v>
      </c>
      <c r="C7" s="28" t="s">
        <v>24</v>
      </c>
      <c r="D7" s="5"/>
      <c r="E7" s="5"/>
      <c r="F7" s="5"/>
      <c r="G7" s="5"/>
      <c r="H7" s="29">
        <v>22514.012599999998</v>
      </c>
      <c r="I7" s="29">
        <v>15</v>
      </c>
      <c r="J7" s="5"/>
      <c r="K7" s="5"/>
      <c r="L7" s="5"/>
      <c r="M7" s="29">
        <v>1500</v>
      </c>
      <c r="N7" s="28" t="s">
        <v>35</v>
      </c>
      <c r="P7" s="28" t="s">
        <v>17</v>
      </c>
      <c r="R7" s="28" t="s">
        <v>19</v>
      </c>
      <c r="T7" s="29">
        <v>14.012600000000001</v>
      </c>
      <c r="V7" s="28" t="s">
        <v>17</v>
      </c>
      <c r="W7" s="28" t="s">
        <v>34</v>
      </c>
      <c r="X7" s="29">
        <v>15.009341733333301</v>
      </c>
      <c r="Y7" s="29">
        <v>15.009341733333301</v>
      </c>
      <c r="Z7" s="29">
        <v>15</v>
      </c>
    </row>
    <row r="8" spans="1:154" ht="15.75" customHeight="1">
      <c r="A8" s="5"/>
      <c r="B8" s="27" t="s">
        <v>18</v>
      </c>
      <c r="C8" s="28" t="s">
        <v>24</v>
      </c>
      <c r="D8" s="5"/>
      <c r="E8" s="5"/>
      <c r="F8" s="5"/>
      <c r="G8" s="5"/>
      <c r="H8" s="29">
        <v>40368</v>
      </c>
      <c r="I8" s="29">
        <v>20</v>
      </c>
      <c r="J8" s="5"/>
      <c r="K8" s="5"/>
      <c r="L8" s="5"/>
      <c r="M8" s="29">
        <v>2000</v>
      </c>
      <c r="N8" s="28" t="s">
        <v>20</v>
      </c>
      <c r="P8" s="28" t="s">
        <v>17</v>
      </c>
      <c r="R8" s="28" t="s">
        <v>20</v>
      </c>
      <c r="T8" s="29">
        <v>368</v>
      </c>
      <c r="V8" s="28" t="s">
        <v>17</v>
      </c>
      <c r="W8" s="28" t="s">
        <v>34</v>
      </c>
      <c r="X8" s="29">
        <v>20.184000000000001</v>
      </c>
      <c r="Y8" s="29">
        <v>20.184000000000001</v>
      </c>
      <c r="Z8" s="29">
        <v>20</v>
      </c>
    </row>
    <row r="9" spans="1:154" ht="15.75" customHeight="1">
      <c r="A9" s="5"/>
      <c r="B9" s="5"/>
      <c r="C9" s="5"/>
      <c r="D9" s="5"/>
      <c r="E9" s="5"/>
      <c r="F9" s="5"/>
      <c r="G9" s="5"/>
      <c r="H9" s="28"/>
      <c r="I9" s="5"/>
      <c r="J9" s="5"/>
      <c r="K9" s="5"/>
      <c r="L9" s="5"/>
      <c r="M9" s="5"/>
      <c r="N9" s="28"/>
      <c r="P9" s="28"/>
      <c r="W9" s="28"/>
      <c r="Y9" s="28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5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29</v>
      </c>
      <c r="D3" s="2" t="s">
        <v>9</v>
      </c>
      <c r="E3" s="17" t="s">
        <v>36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IFERROR(__xludf.DUMMYFUNCTION("""COMPUTED_VALUE"""),"Asset Class")</f>
        <v>Asset Class</v>
      </c>
      <c r="D5" s="22" t="str">
        <f ca="1">IFERROR(__xludf.DUMMYFUNCTION("""COMPUTED_VALUE"""),"AUECID")</f>
        <v>AUECID</v>
      </c>
      <c r="E5" s="22" t="str">
        <f ca="1">IFERROR(__xludf.DUMMYFUNCTION("""COMPUTED_VALUE"""),"ExternalTransId")</f>
        <v>ExternalTransId</v>
      </c>
      <c r="F5" s="23" t="str">
        <f ca="1">IFERROR(__xludf.DUMMYFUNCTION("""COMPUTED_VALUE"""),"IsSwapped")</f>
        <v>IsSwapped</v>
      </c>
      <c r="G5" s="22" t="str">
        <f ca="1">IFERROR(__xludf.DUMMYFUNCTION("""COMPUTED_VALUE"""),"LotId")</f>
        <v>LotId</v>
      </c>
      <c r="H5" s="22" t="str">
        <f ca="1">IFERROR(__xludf.DUMMYFUNCTION("""COMPUTED_VALUE"""),"Net Notional")</f>
        <v>Net Notional</v>
      </c>
      <c r="I5" s="22" t="str">
        <f ca="1">IFERROR(__xludf.DUMMYFUNCTION("""COMPUTED_VALUE"""),"Opening Price")</f>
        <v>Opening Price</v>
      </c>
      <c r="J5" s="22" t="str">
        <f ca="1">IFERROR(__xludf.DUMMYFUNCTION("""COMPUTED_VALUE"""),"Original Purchase Date")</f>
        <v>Original Purchase Date</v>
      </c>
      <c r="K5" s="22" t="str">
        <f ca="1">IFERROR(__xludf.DUMMYFUNCTION("""COMPUTED_VALUE"""),"PositionTag")</f>
        <v>PositionTag</v>
      </c>
      <c r="L5" s="22" t="str">
        <f ca="1">IFERROR(__xludf.DUMMYFUNCTION("""COMPUTED_VALUE"""),"Process Date")</f>
        <v>Process Date</v>
      </c>
      <c r="M5" s="22" t="str">
        <f ca="1">IFERROR(__xludf.DUMMYFUNCTION("""COMPUTED_VALUE"""),"Quantity")</f>
        <v>Quantity</v>
      </c>
      <c r="N5" s="22" t="str">
        <f ca="1">IFERROR(__xludf.DUMMYFUNCTION("""COMPUTED_VALUE"""),"Security Name")</f>
        <v>Security Name</v>
      </c>
      <c r="O5" s="22" t="str">
        <f ca="1">IFERROR(__xludf.DUMMYFUNCTION("""COMPUTED_VALUE"""),"Settlement Currency")</f>
        <v>Settlement Currency</v>
      </c>
      <c r="P5" s="22" t="str">
        <f ca="1">IFERROR(__xludf.DUMMYFUNCTION("""COMPUTED_VALUE"""),"Side")</f>
        <v>Side</v>
      </c>
      <c r="Q5" s="22" t="str">
        <f ca="1">IFERROR(__xludf.DUMMYFUNCTION("""COMPUTED_VALUE"""),"Strategy")</f>
        <v>Strategy</v>
      </c>
      <c r="R5" s="22" t="str">
        <f ca="1">IFERROR(__xludf.DUMMYFUNCTION("""COMPUTED_VALUE"""),"Symbol")</f>
        <v>Symbol</v>
      </c>
      <c r="S5" s="22" t="str">
        <f ca="1">IFERROR(__xludf.DUMMYFUNCTION("""COMPUTED_VALUE"""),"Taxlot ID")</f>
        <v>Taxlot ID</v>
      </c>
      <c r="T5" s="24" t="str">
        <f ca="1">IFERROR(__xludf.DUMMYFUNCTION("""COMPUTED_VALUE"""),"Total Fees and Commission")</f>
        <v>Total Fees and Commission</v>
      </c>
      <c r="U5" s="24" t="str">
        <f ca="1">IFERROR(__xludf.DUMMYFUNCTION("""COMPUTED_VALUE"""),"Trade Date")</f>
        <v>Trade Date</v>
      </c>
      <c r="V5" s="24" t="str">
        <f ca="1">IFERROR(__xludf.DUMMYFUNCTION("""COMPUTED_VALUE"""),"Transaction Type")</f>
        <v>Transaction Type</v>
      </c>
      <c r="W5" s="24" t="str">
        <f ca="1">IFERROR(__xludf.DUMMYFUNCTION("""COMPUTED_VALUE"""),"UnderlyingName")</f>
        <v>UnderlyingName</v>
      </c>
      <c r="X5" s="24" t="str">
        <f ca="1">IFERROR(__xludf.DUMMYFUNCTION("""COMPUTED_VALUE"""),"UnitCost")</f>
        <v>UnitCost</v>
      </c>
      <c r="Y5" s="24" t="str">
        <f ca="1">IFERROR(__xludf.DUMMYFUNCTION("""COMPUTED_VALUE"""),"Unit Cost(Base)")</f>
        <v>Unit Cost(Base)</v>
      </c>
      <c r="Z5" s="24" t="str">
        <f ca="1">IFERROR(__xludf.DUMMYFUNCTION("""COMPUTED_VALUE"""),"AvgPriceBase")</f>
        <v>AvgPriceBase</v>
      </c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27" t="s">
        <v>18</v>
      </c>
      <c r="C6" s="28" t="s">
        <v>24</v>
      </c>
      <c r="D6" s="7"/>
      <c r="E6" s="25"/>
      <c r="F6" s="5"/>
      <c r="G6" s="5"/>
      <c r="H6" s="29">
        <v>19985.988799999999</v>
      </c>
      <c r="I6" s="29">
        <v>20</v>
      </c>
      <c r="J6" s="5"/>
      <c r="K6" s="5"/>
      <c r="L6" s="5"/>
      <c r="M6" s="29">
        <v>1000</v>
      </c>
      <c r="N6" s="28" t="s">
        <v>33</v>
      </c>
      <c r="O6" s="5"/>
      <c r="P6" s="28" t="s">
        <v>28</v>
      </c>
      <c r="R6" s="28" t="s">
        <v>16</v>
      </c>
      <c r="T6" s="29">
        <v>14.011200000000001</v>
      </c>
      <c r="V6" s="28" t="s">
        <v>28</v>
      </c>
      <c r="W6" s="28" t="s">
        <v>34</v>
      </c>
      <c r="X6" s="29">
        <v>19.985988800000001</v>
      </c>
      <c r="Y6" s="29">
        <v>19.985988800000001</v>
      </c>
      <c r="Z6" s="29">
        <v>20</v>
      </c>
    </row>
    <row r="7" spans="1:154" ht="15.75" customHeight="1">
      <c r="A7" s="5"/>
      <c r="B7" s="28"/>
      <c r="C7" s="28"/>
      <c r="D7" s="5"/>
      <c r="E7" s="5"/>
      <c r="F7" s="5"/>
      <c r="G7" s="5"/>
      <c r="H7" s="29"/>
      <c r="I7" s="29"/>
      <c r="J7" s="5"/>
      <c r="K7" s="5"/>
      <c r="L7" s="5"/>
      <c r="M7" s="29"/>
      <c r="N7" s="28"/>
      <c r="O7" s="5"/>
      <c r="P7" s="28"/>
      <c r="R7" s="28"/>
      <c r="T7" s="29"/>
      <c r="V7" s="28"/>
      <c r="W7" s="28"/>
      <c r="X7" s="29"/>
      <c r="Y7" s="29"/>
      <c r="Z7" s="29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X8" s="28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5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37</v>
      </c>
      <c r="D3" s="2" t="s">
        <v>9</v>
      </c>
      <c r="E3" s="17" t="s">
        <v>38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/>
      <c r="C6" s="5"/>
      <c r="D6" s="7">
        <v>10</v>
      </c>
      <c r="E6" s="25"/>
      <c r="F6" s="5"/>
      <c r="G6" s="5"/>
      <c r="H6" s="5"/>
      <c r="I6" s="5"/>
      <c r="J6" s="5"/>
      <c r="K6" s="5"/>
      <c r="L6" s="5"/>
      <c r="M6" s="5"/>
      <c r="N6" s="5"/>
      <c r="O6" s="5"/>
      <c r="AD6" s="6">
        <v>1</v>
      </c>
      <c r="AH6" s="6" t="s">
        <v>24</v>
      </c>
      <c r="AI6" s="6" t="s">
        <v>16</v>
      </c>
      <c r="AJ6" s="6" t="s">
        <v>17</v>
      </c>
      <c r="AK6" s="6" t="s">
        <v>39</v>
      </c>
      <c r="AL6" s="30">
        <v>1000</v>
      </c>
      <c r="AM6" s="30">
        <v>1000</v>
      </c>
      <c r="AN6" s="6">
        <v>100</v>
      </c>
      <c r="AO6" s="30">
        <v>1000</v>
      </c>
      <c r="AQ6" s="6">
        <v>10</v>
      </c>
      <c r="AR6" s="6">
        <v>10</v>
      </c>
      <c r="AS6" s="6" t="s">
        <v>40</v>
      </c>
      <c r="AT6" s="6" t="s">
        <v>18</v>
      </c>
      <c r="AU6" s="6" t="s">
        <v>41</v>
      </c>
      <c r="AY6" s="30">
        <v>1000</v>
      </c>
      <c r="AZ6" s="6">
        <v>0</v>
      </c>
    </row>
    <row r="7" spans="1:154" ht="15.75" customHeight="1">
      <c r="A7" s="5"/>
      <c r="B7" s="5"/>
      <c r="C7" s="5"/>
      <c r="D7" s="7">
        <v>20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AD7" s="6">
        <v>1</v>
      </c>
      <c r="AH7" s="6" t="s">
        <v>24</v>
      </c>
      <c r="AI7" s="6" t="s">
        <v>16</v>
      </c>
      <c r="AJ7" s="6" t="s">
        <v>28</v>
      </c>
      <c r="AK7" s="6" t="s">
        <v>39</v>
      </c>
      <c r="AL7" s="30">
        <v>1000</v>
      </c>
      <c r="AM7" s="30">
        <v>1000</v>
      </c>
      <c r="AN7" s="6">
        <v>100</v>
      </c>
      <c r="AO7" s="30">
        <v>1000</v>
      </c>
      <c r="AQ7" s="6">
        <v>20</v>
      </c>
      <c r="AR7" s="6">
        <v>20</v>
      </c>
      <c r="AS7" s="6" t="s">
        <v>40</v>
      </c>
      <c r="AT7" s="6" t="s">
        <v>18</v>
      </c>
      <c r="AU7" s="6" t="s">
        <v>41</v>
      </c>
      <c r="AY7" s="30">
        <v>1000</v>
      </c>
      <c r="AZ7" s="6">
        <v>0</v>
      </c>
    </row>
    <row r="8" spans="1:154" ht="15.75" customHeight="1">
      <c r="A8" s="5"/>
      <c r="B8" s="5"/>
      <c r="C8" s="5"/>
      <c r="D8" s="7">
        <v>20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AD8" s="6">
        <v>1</v>
      </c>
      <c r="AH8" s="6" t="s">
        <v>24</v>
      </c>
      <c r="AI8" s="6" t="s">
        <v>20</v>
      </c>
      <c r="AJ8" s="6" t="s">
        <v>17</v>
      </c>
      <c r="AK8" s="6" t="s">
        <v>39</v>
      </c>
      <c r="AL8" s="30">
        <v>2000</v>
      </c>
      <c r="AM8" s="30">
        <v>2000</v>
      </c>
      <c r="AN8" s="6">
        <v>100</v>
      </c>
      <c r="AO8" s="30">
        <v>2000</v>
      </c>
      <c r="AQ8" s="6">
        <v>20</v>
      </c>
      <c r="AR8" s="6">
        <v>20</v>
      </c>
      <c r="AS8" s="6" t="s">
        <v>40</v>
      </c>
      <c r="AT8" s="6" t="s">
        <v>18</v>
      </c>
      <c r="AU8" s="6" t="s">
        <v>41</v>
      </c>
      <c r="AY8" s="30">
        <v>2000</v>
      </c>
      <c r="AZ8" s="6">
        <v>0</v>
      </c>
    </row>
    <row r="9" spans="1:154" ht="15.75" customHeight="1">
      <c r="A9" s="5"/>
      <c r="B9" s="5"/>
      <c r="C9" s="5"/>
      <c r="D9" s="7">
        <v>15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AD9" s="6">
        <v>1</v>
      </c>
      <c r="AH9" s="6" t="s">
        <v>24</v>
      </c>
      <c r="AI9" s="6" t="s">
        <v>19</v>
      </c>
      <c r="AJ9" s="6" t="s">
        <v>17</v>
      </c>
      <c r="AK9" s="6" t="s">
        <v>39</v>
      </c>
      <c r="AL9" s="30">
        <v>1500</v>
      </c>
      <c r="AM9" s="30">
        <v>1500</v>
      </c>
      <c r="AN9" s="6">
        <v>100</v>
      </c>
      <c r="AO9" s="30">
        <v>1500</v>
      </c>
      <c r="AQ9" s="6">
        <v>15</v>
      </c>
      <c r="AR9" s="6">
        <v>15</v>
      </c>
      <c r="AS9" s="6" t="s">
        <v>40</v>
      </c>
      <c r="AT9" s="6" t="s">
        <v>18</v>
      </c>
      <c r="AU9" s="6" t="s">
        <v>41</v>
      </c>
      <c r="AY9" s="30">
        <v>1500</v>
      </c>
      <c r="AZ9" s="6">
        <v>0</v>
      </c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5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42</v>
      </c>
      <c r="D3" s="2" t="s">
        <v>9</v>
      </c>
      <c r="E3" s="17" t="s">
        <v>43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31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5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42</v>
      </c>
      <c r="D3" s="2" t="s">
        <v>9</v>
      </c>
      <c r="E3" s="17" t="s">
        <v>44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31" t="s">
        <v>18</v>
      </c>
      <c r="D6" s="32">
        <v>0</v>
      </c>
      <c r="E6" s="32">
        <v>1000</v>
      </c>
      <c r="F6" s="5"/>
      <c r="G6" s="5"/>
      <c r="H6" s="32">
        <v>4</v>
      </c>
      <c r="I6" s="32">
        <v>5</v>
      </c>
      <c r="J6" s="5"/>
      <c r="K6" s="32">
        <v>10</v>
      </c>
      <c r="L6" s="32">
        <v>10</v>
      </c>
      <c r="M6" s="5"/>
      <c r="N6" s="5"/>
      <c r="O6" s="7" t="s">
        <v>40</v>
      </c>
      <c r="R6" s="32">
        <v>0</v>
      </c>
      <c r="S6" s="33" t="s">
        <v>45</v>
      </c>
      <c r="T6" s="32">
        <v>0</v>
      </c>
      <c r="U6" s="32">
        <v>0</v>
      </c>
      <c r="V6" s="33" t="s">
        <v>33</v>
      </c>
      <c r="Z6" s="33" t="s">
        <v>46</v>
      </c>
      <c r="AE6" s="32">
        <v>1000</v>
      </c>
      <c r="AH6" s="33" t="s">
        <v>47</v>
      </c>
      <c r="AI6" s="32">
        <v>1</v>
      </c>
      <c r="AT6" s="32">
        <v>10014.0056</v>
      </c>
      <c r="AU6" s="32">
        <v>10014.0056</v>
      </c>
      <c r="AW6" s="6">
        <v>0</v>
      </c>
      <c r="AX6" s="6">
        <v>0</v>
      </c>
      <c r="AY6" s="33" t="s">
        <v>41</v>
      </c>
      <c r="AZ6" s="6">
        <v>0</v>
      </c>
      <c r="BC6" s="32">
        <v>0</v>
      </c>
      <c r="BE6" s="32">
        <v>10000</v>
      </c>
      <c r="BF6" s="32">
        <v>10000</v>
      </c>
      <c r="BJ6" s="32">
        <v>1000</v>
      </c>
      <c r="BK6" s="32">
        <v>0</v>
      </c>
      <c r="BO6" s="33" t="s">
        <v>17</v>
      </c>
      <c r="BP6" s="32">
        <v>0</v>
      </c>
      <c r="BQ6" s="32">
        <v>0</v>
      </c>
      <c r="BT6" s="33" t="s">
        <v>16</v>
      </c>
      <c r="BU6" s="32">
        <v>3</v>
      </c>
      <c r="BV6" s="32">
        <v>0</v>
      </c>
      <c r="BW6" s="32">
        <v>14.005599999999999</v>
      </c>
      <c r="BX6" s="32">
        <v>0</v>
      </c>
      <c r="CJ6" s="32">
        <v>0</v>
      </c>
    </row>
    <row r="7" spans="1:154" ht="15.75" customHeight="1">
      <c r="A7" s="5"/>
      <c r="B7" s="31" t="s">
        <v>18</v>
      </c>
      <c r="D7" s="32">
        <v>0</v>
      </c>
      <c r="E7" s="32">
        <v>1500</v>
      </c>
      <c r="F7" s="5"/>
      <c r="G7" s="5"/>
      <c r="H7" s="32">
        <v>4</v>
      </c>
      <c r="I7" s="32">
        <v>5</v>
      </c>
      <c r="J7" s="5"/>
      <c r="K7" s="32">
        <v>15</v>
      </c>
      <c r="L7" s="32">
        <v>15</v>
      </c>
      <c r="M7" s="5"/>
      <c r="N7" s="5"/>
      <c r="O7" s="7" t="s">
        <v>40</v>
      </c>
      <c r="R7" s="32">
        <v>0</v>
      </c>
      <c r="S7" s="33" t="s">
        <v>45</v>
      </c>
      <c r="T7" s="32">
        <v>0</v>
      </c>
      <c r="U7" s="32">
        <v>0</v>
      </c>
      <c r="V7" s="33" t="s">
        <v>35</v>
      </c>
      <c r="Z7" s="33" t="s">
        <v>46</v>
      </c>
      <c r="AE7" s="32">
        <v>1500</v>
      </c>
      <c r="AH7" s="33" t="s">
        <v>47</v>
      </c>
      <c r="AI7" s="32">
        <v>1</v>
      </c>
      <c r="AT7" s="32">
        <v>22514.012599999998</v>
      </c>
      <c r="AU7" s="32">
        <v>22514.012599999998</v>
      </c>
      <c r="AW7" s="6">
        <v>0</v>
      </c>
      <c r="AX7" s="6">
        <v>0</v>
      </c>
      <c r="AY7" s="33" t="s">
        <v>41</v>
      </c>
      <c r="AZ7" s="6">
        <v>0</v>
      </c>
      <c r="BC7" s="32">
        <v>0</v>
      </c>
      <c r="BE7" s="32">
        <v>22500</v>
      </c>
      <c r="BF7" s="32">
        <v>22500</v>
      </c>
      <c r="BJ7" s="32">
        <v>1500</v>
      </c>
      <c r="BK7" s="32">
        <v>0</v>
      </c>
      <c r="BO7" s="33" t="s">
        <v>17</v>
      </c>
      <c r="BP7" s="32">
        <v>0</v>
      </c>
      <c r="BQ7" s="32">
        <v>0</v>
      </c>
      <c r="BT7" s="33" t="s">
        <v>19</v>
      </c>
      <c r="BU7" s="32">
        <v>3</v>
      </c>
      <c r="BV7" s="32">
        <v>0</v>
      </c>
      <c r="BW7" s="32">
        <v>14.012600000000001</v>
      </c>
      <c r="BX7" s="32">
        <v>0</v>
      </c>
      <c r="CJ7" s="32">
        <v>0</v>
      </c>
    </row>
    <row r="8" spans="1:154" ht="15.75" customHeight="1">
      <c r="A8" s="5"/>
      <c r="B8" s="31" t="s">
        <v>18</v>
      </c>
      <c r="D8" s="32">
        <v>0</v>
      </c>
      <c r="E8" s="32">
        <v>2000</v>
      </c>
      <c r="F8" s="5"/>
      <c r="G8" s="5"/>
      <c r="H8" s="32">
        <v>360</v>
      </c>
      <c r="I8" s="32">
        <v>0</v>
      </c>
      <c r="J8" s="5"/>
      <c r="K8" s="32">
        <v>20</v>
      </c>
      <c r="L8" s="32">
        <v>20</v>
      </c>
      <c r="M8" s="5"/>
      <c r="N8" s="5"/>
      <c r="O8" s="7" t="s">
        <v>40</v>
      </c>
      <c r="R8" s="32">
        <v>0</v>
      </c>
      <c r="S8" s="33" t="s">
        <v>45</v>
      </c>
      <c r="T8" s="32">
        <v>0</v>
      </c>
      <c r="U8" s="32">
        <v>0</v>
      </c>
      <c r="V8" s="33" t="s">
        <v>20</v>
      </c>
      <c r="Z8" s="33" t="s">
        <v>46</v>
      </c>
      <c r="AE8" s="32">
        <v>2000</v>
      </c>
      <c r="AH8" s="33" t="s">
        <v>47</v>
      </c>
      <c r="AI8" s="32">
        <v>1</v>
      </c>
      <c r="AT8" s="32">
        <v>40368</v>
      </c>
      <c r="AU8" s="32">
        <v>40368</v>
      </c>
      <c r="AW8" s="6">
        <v>0</v>
      </c>
      <c r="AX8" s="6">
        <v>0</v>
      </c>
      <c r="AY8" s="33" t="s">
        <v>41</v>
      </c>
      <c r="AZ8" s="6">
        <v>0</v>
      </c>
      <c r="BC8" s="32">
        <v>0</v>
      </c>
      <c r="BE8" s="32">
        <v>40000</v>
      </c>
      <c r="BF8" s="32">
        <v>40000</v>
      </c>
      <c r="BJ8" s="32">
        <v>2000</v>
      </c>
      <c r="BK8" s="32">
        <v>0</v>
      </c>
      <c r="BO8" s="33" t="s">
        <v>17</v>
      </c>
      <c r="BP8" s="32">
        <v>0</v>
      </c>
      <c r="BQ8" s="32">
        <v>0</v>
      </c>
      <c r="BT8" s="33" t="s">
        <v>20</v>
      </c>
      <c r="BU8" s="32">
        <v>1</v>
      </c>
      <c r="BV8" s="32">
        <v>0</v>
      </c>
      <c r="BW8" s="32">
        <v>368</v>
      </c>
      <c r="BX8" s="32">
        <v>0</v>
      </c>
      <c r="CJ8" s="32">
        <v>0</v>
      </c>
    </row>
    <row r="9" spans="1:154" ht="15.75" customHeight="1">
      <c r="A9" s="5"/>
      <c r="B9" s="33" t="s">
        <v>18</v>
      </c>
      <c r="D9" s="32">
        <v>0</v>
      </c>
      <c r="E9" s="32">
        <v>1000</v>
      </c>
      <c r="F9" s="5"/>
      <c r="G9" s="5"/>
      <c r="H9" s="32">
        <v>4</v>
      </c>
      <c r="I9" s="32">
        <v>5</v>
      </c>
      <c r="J9" s="5"/>
      <c r="K9" s="32">
        <v>20</v>
      </c>
      <c r="L9" s="32">
        <v>20</v>
      </c>
      <c r="M9" s="5"/>
      <c r="N9" s="5"/>
      <c r="O9" s="7" t="s">
        <v>40</v>
      </c>
      <c r="R9" s="32">
        <v>0</v>
      </c>
      <c r="S9" s="33" t="s">
        <v>45</v>
      </c>
      <c r="T9" s="32">
        <v>0</v>
      </c>
      <c r="U9" s="32">
        <v>0</v>
      </c>
      <c r="V9" s="33" t="s">
        <v>33</v>
      </c>
      <c r="Z9" s="33" t="s">
        <v>46</v>
      </c>
      <c r="AE9" s="32">
        <v>1000</v>
      </c>
      <c r="AH9" s="33" t="s">
        <v>47</v>
      </c>
      <c r="AI9" s="32">
        <v>1</v>
      </c>
      <c r="AT9" s="32">
        <v>19985.988799999999</v>
      </c>
      <c r="AU9" s="32">
        <v>19985.988799999999</v>
      </c>
      <c r="AW9" s="6">
        <v>0</v>
      </c>
      <c r="AX9" s="6">
        <v>0</v>
      </c>
      <c r="AY9" s="33" t="s">
        <v>41</v>
      </c>
      <c r="AZ9" s="6">
        <v>0</v>
      </c>
      <c r="BC9" s="32">
        <v>0</v>
      </c>
      <c r="BE9" s="32">
        <v>20000</v>
      </c>
      <c r="BF9" s="32">
        <v>20000</v>
      </c>
      <c r="BJ9" s="32">
        <v>1000</v>
      </c>
      <c r="BK9" s="32">
        <v>0</v>
      </c>
      <c r="BO9" s="33" t="s">
        <v>28</v>
      </c>
      <c r="BP9" s="32">
        <v>0</v>
      </c>
      <c r="BQ9" s="32">
        <v>0</v>
      </c>
      <c r="BT9" s="33" t="s">
        <v>16</v>
      </c>
      <c r="BU9" s="32">
        <v>3</v>
      </c>
      <c r="BV9" s="32">
        <v>0</v>
      </c>
      <c r="BW9" s="32">
        <v>14.011200000000001</v>
      </c>
      <c r="BX9" s="32">
        <v>0</v>
      </c>
      <c r="CJ9" s="32">
        <v>0</v>
      </c>
    </row>
    <row r="10" spans="1:154" ht="15.75" customHeight="1">
      <c r="A10" s="5"/>
      <c r="B10" s="33"/>
      <c r="D10" s="32"/>
      <c r="E10" s="32"/>
      <c r="F10" s="5"/>
      <c r="G10" s="5"/>
      <c r="H10" s="32"/>
      <c r="I10" s="32"/>
      <c r="J10" s="5"/>
      <c r="K10" s="32"/>
      <c r="L10" s="32"/>
      <c r="M10" s="5"/>
      <c r="N10" s="5"/>
      <c r="O10" s="7"/>
      <c r="R10" s="32"/>
      <c r="S10" s="33"/>
      <c r="T10" s="32"/>
      <c r="U10" s="32"/>
      <c r="V10" s="33"/>
      <c r="Z10" s="33"/>
      <c r="AE10" s="32"/>
      <c r="AH10" s="33"/>
      <c r="AI10" s="32"/>
      <c r="AT10" s="32"/>
      <c r="AU10" s="32"/>
      <c r="AY10" s="33"/>
      <c r="BC10" s="32"/>
      <c r="BE10" s="32"/>
      <c r="BF10" s="32"/>
      <c r="BJ10" s="32"/>
      <c r="BK10" s="32"/>
      <c r="BO10" s="33"/>
      <c r="BP10" s="32"/>
      <c r="BQ10" s="32"/>
      <c r="BT10" s="33"/>
      <c r="BU10" s="32"/>
      <c r="BV10" s="32"/>
      <c r="BW10" s="32"/>
      <c r="BX10" s="32"/>
      <c r="CJ10" s="32"/>
    </row>
    <row r="11" spans="1:154" ht="15.75" customHeight="1">
      <c r="A11" s="5"/>
      <c r="B11" s="33"/>
      <c r="D11" s="33"/>
      <c r="E11" s="33"/>
      <c r="F11" s="5"/>
      <c r="G11" s="5"/>
      <c r="H11" s="5"/>
      <c r="I11" s="5"/>
      <c r="J11" s="5"/>
      <c r="K11" s="33"/>
      <c r="L11" s="33"/>
      <c r="M11" s="5"/>
      <c r="N11" s="5"/>
      <c r="O11" s="5"/>
      <c r="T11" s="33"/>
      <c r="U11" s="33"/>
      <c r="V11" s="33"/>
      <c r="Z11" s="33"/>
      <c r="AE11" s="33"/>
      <c r="AT11" s="33"/>
      <c r="AU11" s="33"/>
      <c r="AY11" s="33"/>
      <c r="BU11" s="33"/>
    </row>
    <row r="12" spans="1:154" ht="15.75" customHeight="1">
      <c r="A12" s="5"/>
      <c r="B12" s="5"/>
      <c r="C12" s="5"/>
      <c r="D12" s="5"/>
      <c r="E12" s="33"/>
      <c r="F12" s="5"/>
      <c r="G12" s="5"/>
      <c r="H12" s="5"/>
      <c r="I12" s="5"/>
      <c r="J12" s="5"/>
      <c r="K12" s="5"/>
      <c r="L12" s="5"/>
      <c r="M12" s="5"/>
      <c r="N12" s="5"/>
      <c r="O12" s="5"/>
      <c r="T12" s="33"/>
      <c r="U12" s="33"/>
      <c r="V12" s="33"/>
      <c r="AE12" s="33"/>
      <c r="AY12" s="33"/>
      <c r="BU12" s="33"/>
    </row>
    <row r="13" spans="1:154" ht="15.75" customHeight="1">
      <c r="A13" s="5"/>
      <c r="B13" s="5"/>
      <c r="C13" s="5"/>
      <c r="D13" s="5"/>
      <c r="E13" s="33"/>
      <c r="F13" s="5"/>
      <c r="G13" s="5"/>
      <c r="H13" s="5"/>
      <c r="I13" s="5"/>
      <c r="J13" s="5"/>
      <c r="K13" s="5"/>
      <c r="L13" s="5"/>
      <c r="M13" s="5"/>
      <c r="N13" s="5"/>
      <c r="O13" s="5"/>
      <c r="T13" s="33"/>
      <c r="U13" s="33"/>
      <c r="V13" s="33"/>
      <c r="AE13" s="33"/>
    </row>
    <row r="14" spans="1:154" ht="15.75" customHeight="1">
      <c r="A14" s="5"/>
      <c r="B14" s="5"/>
      <c r="C14" s="5"/>
      <c r="D14" s="5"/>
      <c r="E14" s="33"/>
      <c r="F14" s="5"/>
      <c r="G14" s="5"/>
      <c r="H14" s="5"/>
      <c r="I14" s="5"/>
      <c r="J14" s="5"/>
      <c r="K14" s="5"/>
      <c r="L14" s="5"/>
      <c r="M14" s="5"/>
      <c r="N14" s="5"/>
      <c r="O14" s="5"/>
      <c r="AE14" s="33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AE15" s="33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K100"/>
  <sheetViews>
    <sheetView tabSelected="1" topLeftCell="BE1" workbookViewId="0">
      <selection activeCell="BK15" sqref="BK15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30.85546875" customWidth="1"/>
    <col min="64" max="167" width="14.42578125" customWidth="1"/>
  </cols>
  <sheetData>
    <row r="1" spans="1:167" ht="15.75" customHeight="1">
      <c r="A1" s="13"/>
      <c r="B1" s="35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</row>
    <row r="2" spans="1:167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67" ht="15.75" customHeight="1">
      <c r="A3" s="16"/>
      <c r="B3" s="2" t="s">
        <v>8</v>
      </c>
      <c r="C3" s="17" t="s">
        <v>21</v>
      </c>
      <c r="D3" s="2" t="s">
        <v>9</v>
      </c>
      <c r="E3" s="17" t="s">
        <v>22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</row>
    <row r="4" spans="1:167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IFERROR(__xludf.DUMMYFUNCTION("""COMPUTED_VALUE"""),"OpenCreateTransactionFromPM")</f>
        <v>OpenCreateTransactionFromPM</v>
      </c>
      <c r="M4" s="19" t="str">
        <f ca="1">IFERROR(__xludf.DUMMYFUNCTION("""COMPUTED_VALUE"""),"OpenClosingFromPM")</f>
        <v>OpenClosingFromPM</v>
      </c>
      <c r="N4" s="19" t="str">
        <f ca="1">IFERROR(__xludf.DUMMYFUNCTION("""COMPUTED_VALUE"""),"OpenCorporateActionFromPM")</f>
        <v>OpenCorporateActionFromPM</v>
      </c>
      <c r="O4" s="19" t="str">
        <f ca="1">IFERROR(__xludf.DUMMYFUNCTION("""COMPUTED_VALUE"""),"OpenDailyValuationFromPM")</f>
        <v>OpenDailyValuationFromPM</v>
      </c>
      <c r="P4" s="20" t="str">
        <f ca="1">IFERROR(__xludf.DUMMYFUNCTION("""COMPUTED_VALUE"""),"ClosePositionFromPM")</f>
        <v>ClosePositionFromPM</v>
      </c>
      <c r="Q4" s="20" t="str">
        <f ca="1">IFERROR(__xludf.DUMMYFUNCTION("""COMPUTED_VALUE"""),"ShowSummaryToolFromPM")</f>
        <v>ShowSummaryToolFromPM</v>
      </c>
      <c r="R4" s="20" t="str">
        <f ca="1">IFERROR(__xludf.DUMMYFUNCTION("""COMPUTED_VALUE"""),"HideSummaryToolFromPM")</f>
        <v>HideSummaryToolFromPM</v>
      </c>
      <c r="S4" s="20" t="str">
        <f ca="1">IFERROR(__xludf.DUMMYFUNCTION("""COMPUTED_VALUE"""),"CloseAccountPositionFromPM")</f>
        <v>CloseAccountPositionFromPM</v>
      </c>
      <c r="T4" s="20" t="str">
        <f ca="1">IFERROR(__xludf.DUMMYFUNCTION("""COMPUTED_VALUE"""),"CloseSelectedTaxlotsFromPM")</f>
        <v>CloseSelectedTaxlotsFromPM</v>
      </c>
      <c r="U4" s="20" t="str">
        <f ca="1">IFERROR(__xludf.DUMMYFUNCTION("""COMPUTED_VALUE"""),"ExpandCollapsePM")</f>
        <v>ExpandCollapsePM</v>
      </c>
      <c r="V4" s="20" t="str">
        <f ca="1">IFERROR(__xludf.DUMMYFUNCTION("""COMPUTED_VALUE"""),"AddCustomViewPM")</f>
        <v>AddCustomViewPM</v>
      </c>
      <c r="W4" s="20" t="str">
        <f ca="1">IFERROR(__xludf.DUMMYFUNCTION("""COMPUTED_VALUE"""),"AddCustomViewRightClickPM")</f>
        <v>AddCustomViewRightClickPM</v>
      </c>
      <c r="X4" s="20" t="str">
        <f ca="1">IFERROR(__xludf.DUMMYFUNCTION("""COMPUTED_VALUE"""),"RenameCustomViewPM")</f>
        <v>RenameCustomViewPM</v>
      </c>
      <c r="Y4" s="20" t="str">
        <f ca="1">IFERROR(__xludf.DUMMYFUNCTION("""COMPUTED_VALUE"""),"DeleteCustomViewPM")</f>
        <v>DeleteCustomViewPM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</row>
    <row r="5" spans="1:167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/>
      <c r="FC5" s="24"/>
      <c r="FD5" s="24"/>
      <c r="FE5" s="24"/>
      <c r="FF5" s="24"/>
      <c r="FG5" s="24"/>
      <c r="FH5" s="24"/>
      <c r="FI5" s="24"/>
      <c r="FJ5" s="24"/>
      <c r="FK5" s="24"/>
    </row>
    <row r="6" spans="1:167" ht="15.75" customHeight="1">
      <c r="A6" s="7"/>
      <c r="B6" s="7"/>
      <c r="C6" s="7" t="s">
        <v>16</v>
      </c>
      <c r="D6" s="34">
        <v>1000</v>
      </c>
      <c r="E6" s="7" t="s">
        <v>18</v>
      </c>
      <c r="F6" s="5"/>
      <c r="G6" s="5"/>
      <c r="H6" s="7" t="s">
        <v>48</v>
      </c>
      <c r="I6" s="7">
        <v>0</v>
      </c>
      <c r="J6" s="5"/>
      <c r="K6" s="5"/>
      <c r="L6" s="5"/>
      <c r="M6" s="5"/>
      <c r="N6" s="34">
        <v>-10000</v>
      </c>
      <c r="O6" s="5"/>
      <c r="Q6" s="34">
        <v>-10000</v>
      </c>
      <c r="T6" s="6" t="s">
        <v>24</v>
      </c>
      <c r="U6" s="6" t="s">
        <v>34</v>
      </c>
      <c r="W6" s="6" t="s">
        <v>46</v>
      </c>
      <c r="Y6" s="6">
        <v>1</v>
      </c>
      <c r="AB6" s="6">
        <v>0</v>
      </c>
      <c r="AC6" s="6">
        <v>0</v>
      </c>
      <c r="AD6" s="6">
        <v>0</v>
      </c>
      <c r="AE6" s="6">
        <v>0</v>
      </c>
      <c r="AF6" s="30">
        <v>1000</v>
      </c>
      <c r="AG6" s="6">
        <v>0</v>
      </c>
      <c r="AH6" s="6">
        <v>0</v>
      </c>
      <c r="AI6" s="6">
        <v>0</v>
      </c>
      <c r="AJ6" s="6">
        <v>0</v>
      </c>
      <c r="AK6" s="34">
        <v>-10000</v>
      </c>
      <c r="AL6" s="6">
        <v>1</v>
      </c>
      <c r="AM6" s="6">
        <v>1</v>
      </c>
      <c r="AN6" s="6" t="s">
        <v>17</v>
      </c>
      <c r="AQ6" s="6" t="s">
        <v>16</v>
      </c>
      <c r="AR6" s="6">
        <v>0</v>
      </c>
      <c r="AS6" s="6">
        <v>1</v>
      </c>
      <c r="AV6" s="6">
        <v>1</v>
      </c>
      <c r="AW6" s="34">
        <v>-10000</v>
      </c>
      <c r="AX6" s="6">
        <v>0</v>
      </c>
      <c r="AY6" s="6">
        <v>0</v>
      </c>
      <c r="AZ6" s="6">
        <v>0</v>
      </c>
      <c r="BC6" s="6">
        <v>1</v>
      </c>
      <c r="BD6" s="34">
        <v>-10000</v>
      </c>
      <c r="BE6" s="6" t="s">
        <v>24</v>
      </c>
      <c r="BJ6" s="6">
        <v>0</v>
      </c>
      <c r="BK6" s="6">
        <v>0</v>
      </c>
      <c r="BL6" s="6">
        <v>0</v>
      </c>
      <c r="BM6" s="6">
        <v>0</v>
      </c>
      <c r="BP6" s="6">
        <v>0</v>
      </c>
      <c r="BR6" s="6" t="s">
        <v>40</v>
      </c>
      <c r="BS6" s="6">
        <v>0</v>
      </c>
      <c r="BT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C6" s="6">
        <v>0</v>
      </c>
      <c r="CD6" s="30">
        <v>-10000</v>
      </c>
      <c r="CE6" s="6">
        <v>0</v>
      </c>
      <c r="CF6" s="6">
        <v>0</v>
      </c>
      <c r="CG6" s="30">
        <v>-10000</v>
      </c>
      <c r="CI6" s="6">
        <v>0</v>
      </c>
      <c r="CJ6" s="6">
        <v>0</v>
      </c>
      <c r="CS6" s="6">
        <v>10</v>
      </c>
      <c r="DA6" s="6">
        <v>0</v>
      </c>
      <c r="DB6" s="6">
        <v>0</v>
      </c>
      <c r="DE6" s="6">
        <v>0</v>
      </c>
      <c r="DF6" s="6">
        <v>0</v>
      </c>
      <c r="DG6" s="6">
        <v>0</v>
      </c>
      <c r="DI6" s="6">
        <v>0</v>
      </c>
      <c r="DJ6" s="6" t="s">
        <v>17</v>
      </c>
      <c r="DK6" s="6">
        <v>0</v>
      </c>
      <c r="DL6" s="6">
        <v>0</v>
      </c>
      <c r="DN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</row>
    <row r="7" spans="1:167" ht="15.75" customHeight="1">
      <c r="A7" s="5"/>
      <c r="B7" s="5"/>
      <c r="C7" s="7" t="s">
        <v>19</v>
      </c>
      <c r="D7" s="34">
        <v>1500</v>
      </c>
      <c r="E7" s="7" t="s">
        <v>18</v>
      </c>
      <c r="F7" s="5"/>
      <c r="G7" s="5"/>
      <c r="H7" s="6" t="s">
        <v>23</v>
      </c>
      <c r="I7" s="7">
        <v>0</v>
      </c>
      <c r="J7" s="5"/>
      <c r="K7" s="5"/>
      <c r="L7" s="5"/>
      <c r="M7" s="5"/>
      <c r="N7" s="34">
        <v>-22500</v>
      </c>
      <c r="O7" s="5"/>
      <c r="Q7" s="34">
        <v>-22500</v>
      </c>
      <c r="T7" s="6" t="s">
        <v>24</v>
      </c>
      <c r="U7" s="6" t="s">
        <v>34</v>
      </c>
      <c r="W7" s="6" t="s">
        <v>46</v>
      </c>
      <c r="Y7" s="6">
        <v>1</v>
      </c>
      <c r="AB7" s="6">
        <v>0</v>
      </c>
      <c r="AC7" s="6">
        <v>0</v>
      </c>
      <c r="AD7" s="6">
        <v>0</v>
      </c>
      <c r="AE7" s="6">
        <v>0</v>
      </c>
      <c r="AF7" s="30">
        <v>1500</v>
      </c>
      <c r="AG7" s="6">
        <v>0</v>
      </c>
      <c r="AH7" s="6">
        <v>0</v>
      </c>
      <c r="AI7" s="6">
        <v>0</v>
      </c>
      <c r="AJ7" s="6">
        <v>0</v>
      </c>
      <c r="AK7" s="34">
        <v>-22500</v>
      </c>
      <c r="AL7" s="6">
        <v>1</v>
      </c>
      <c r="AM7" s="6">
        <v>1</v>
      </c>
      <c r="AN7" s="6" t="s">
        <v>17</v>
      </c>
      <c r="AQ7" s="6" t="s">
        <v>19</v>
      </c>
      <c r="AR7" s="6">
        <v>0</v>
      </c>
      <c r="AS7" s="6">
        <v>1</v>
      </c>
      <c r="AV7" s="6">
        <v>1</v>
      </c>
      <c r="AW7" s="34">
        <v>-22500</v>
      </c>
      <c r="AX7" s="6">
        <v>0</v>
      </c>
      <c r="AY7" s="6">
        <v>0</v>
      </c>
      <c r="AZ7" s="6">
        <v>0</v>
      </c>
      <c r="BC7" s="6">
        <v>1</v>
      </c>
      <c r="BD7" s="34">
        <v>-22500</v>
      </c>
      <c r="BE7" s="6" t="s">
        <v>24</v>
      </c>
      <c r="BJ7" s="6">
        <v>0</v>
      </c>
      <c r="BK7" s="6">
        <v>0</v>
      </c>
      <c r="BL7" s="6">
        <v>0</v>
      </c>
      <c r="BM7" s="6">
        <v>0</v>
      </c>
      <c r="BP7" s="6">
        <v>0</v>
      </c>
      <c r="BR7" s="6" t="s">
        <v>40</v>
      </c>
      <c r="BS7" s="6">
        <v>0</v>
      </c>
      <c r="BT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C7" s="6">
        <v>0</v>
      </c>
      <c r="CD7" s="30">
        <v>-22500</v>
      </c>
      <c r="CE7" s="6">
        <v>0</v>
      </c>
      <c r="CF7" s="6">
        <v>0</v>
      </c>
      <c r="CG7" s="30">
        <v>-22500</v>
      </c>
      <c r="CI7" s="6">
        <v>0</v>
      </c>
      <c r="CJ7" s="6">
        <v>0</v>
      </c>
      <c r="CS7" s="6">
        <v>15</v>
      </c>
      <c r="DA7" s="6">
        <v>0</v>
      </c>
      <c r="DB7" s="6">
        <v>0</v>
      </c>
      <c r="DE7" s="6">
        <v>0</v>
      </c>
      <c r="DF7" s="6">
        <v>0</v>
      </c>
      <c r="DG7" s="6">
        <v>0</v>
      </c>
      <c r="DI7" s="6">
        <v>0</v>
      </c>
      <c r="DJ7" s="6" t="s">
        <v>17</v>
      </c>
      <c r="DK7" s="6">
        <v>0</v>
      </c>
      <c r="DL7" s="6">
        <v>0</v>
      </c>
      <c r="DN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</row>
    <row r="8" spans="1:167" ht="15.75" customHeight="1">
      <c r="A8" s="5"/>
      <c r="B8" s="5"/>
      <c r="C8" s="7" t="s">
        <v>20</v>
      </c>
      <c r="D8" s="34">
        <v>2000</v>
      </c>
      <c r="E8" s="7" t="s">
        <v>18</v>
      </c>
      <c r="F8" s="5"/>
      <c r="G8" s="5"/>
      <c r="H8" s="6" t="s">
        <v>23</v>
      </c>
      <c r="I8" s="7">
        <v>0</v>
      </c>
      <c r="J8" s="5"/>
      <c r="K8" s="5"/>
      <c r="L8" s="5"/>
      <c r="M8" s="5"/>
      <c r="N8" s="34">
        <v>-40000</v>
      </c>
      <c r="O8" s="5"/>
      <c r="Q8" s="34">
        <v>-40000</v>
      </c>
      <c r="T8" s="6" t="s">
        <v>24</v>
      </c>
      <c r="U8" s="6" t="s">
        <v>34</v>
      </c>
      <c r="W8" s="6" t="s">
        <v>46</v>
      </c>
      <c r="Y8" s="6">
        <v>1</v>
      </c>
      <c r="AB8" s="6">
        <v>0</v>
      </c>
      <c r="AC8" s="6">
        <v>0</v>
      </c>
      <c r="AD8" s="6">
        <v>0</v>
      </c>
      <c r="AE8" s="6">
        <v>0</v>
      </c>
      <c r="AF8" s="30">
        <v>2000</v>
      </c>
      <c r="AG8" s="6">
        <v>0</v>
      </c>
      <c r="AH8" s="6">
        <v>0</v>
      </c>
      <c r="AI8" s="6">
        <v>0</v>
      </c>
      <c r="AJ8" s="6">
        <v>0</v>
      </c>
      <c r="AK8" s="34">
        <v>-40000</v>
      </c>
      <c r="AL8" s="6">
        <v>1</v>
      </c>
      <c r="AM8" s="6">
        <v>1</v>
      </c>
      <c r="AN8" s="6" t="s">
        <v>17</v>
      </c>
      <c r="AQ8" s="6" t="s">
        <v>20</v>
      </c>
      <c r="AR8" s="6">
        <v>0</v>
      </c>
      <c r="AS8" s="6">
        <v>1</v>
      </c>
      <c r="AV8" s="6">
        <v>1</v>
      </c>
      <c r="AW8" s="34">
        <v>-40000</v>
      </c>
      <c r="AX8" s="6">
        <v>0</v>
      </c>
      <c r="AY8" s="6">
        <v>0</v>
      </c>
      <c r="AZ8" s="6">
        <v>0</v>
      </c>
      <c r="BC8" s="6">
        <v>1</v>
      </c>
      <c r="BD8" s="34">
        <v>-40000</v>
      </c>
      <c r="BE8" s="6" t="s">
        <v>24</v>
      </c>
      <c r="BJ8" s="6">
        <v>0</v>
      </c>
      <c r="BK8" s="6">
        <v>0</v>
      </c>
      <c r="BL8" s="6">
        <v>0</v>
      </c>
      <c r="BM8" s="6">
        <v>0</v>
      </c>
      <c r="BP8" s="6">
        <v>0</v>
      </c>
      <c r="BR8" s="6" t="s">
        <v>40</v>
      </c>
      <c r="BS8" s="6">
        <v>0</v>
      </c>
      <c r="BT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C8" s="6">
        <v>0</v>
      </c>
      <c r="CD8" s="30">
        <v>-40000</v>
      </c>
      <c r="CE8" s="6">
        <v>0</v>
      </c>
      <c r="CF8" s="6">
        <v>0</v>
      </c>
      <c r="CG8" s="30">
        <v>-40000</v>
      </c>
      <c r="CI8" s="6">
        <v>0</v>
      </c>
      <c r="CJ8" s="6">
        <v>0</v>
      </c>
      <c r="CS8" s="6">
        <v>20</v>
      </c>
      <c r="DA8" s="6">
        <v>0</v>
      </c>
      <c r="DB8" s="6">
        <v>0</v>
      </c>
      <c r="DE8" s="6">
        <v>0</v>
      </c>
      <c r="DF8" s="6">
        <v>0</v>
      </c>
      <c r="DG8" s="6">
        <v>0</v>
      </c>
      <c r="DI8" s="6">
        <v>0</v>
      </c>
      <c r="DJ8" s="6" t="s">
        <v>17</v>
      </c>
      <c r="DK8" s="6">
        <v>0</v>
      </c>
      <c r="DL8" s="6">
        <v>0</v>
      </c>
      <c r="DN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</row>
    <row r="9" spans="1:167" ht="15.75" customHeight="1">
      <c r="A9" s="5"/>
      <c r="B9" s="5"/>
      <c r="C9" s="7" t="s">
        <v>16</v>
      </c>
      <c r="D9" s="34">
        <v>-1000</v>
      </c>
      <c r="E9" s="7" t="s">
        <v>18</v>
      </c>
      <c r="F9" s="5"/>
      <c r="G9" s="5"/>
      <c r="H9" s="7" t="s">
        <v>48</v>
      </c>
      <c r="I9" s="7">
        <v>0</v>
      </c>
      <c r="J9" s="5"/>
      <c r="K9" s="5"/>
      <c r="L9" s="5"/>
      <c r="M9" s="5"/>
      <c r="N9" s="34">
        <v>20000</v>
      </c>
      <c r="O9" s="5"/>
      <c r="Q9" s="34">
        <v>20000</v>
      </c>
      <c r="T9" s="6" t="s">
        <v>24</v>
      </c>
      <c r="U9" s="6" t="s">
        <v>34</v>
      </c>
      <c r="W9" s="6" t="s">
        <v>46</v>
      </c>
      <c r="Y9" s="6">
        <v>1</v>
      </c>
      <c r="AB9" s="6">
        <v>0</v>
      </c>
      <c r="AC9" s="6">
        <v>0</v>
      </c>
      <c r="AD9" s="6">
        <v>0</v>
      </c>
      <c r="AE9" s="6">
        <v>0</v>
      </c>
      <c r="AF9" s="30">
        <v>-1000</v>
      </c>
      <c r="AG9" s="6">
        <v>0</v>
      </c>
      <c r="AH9" s="6">
        <v>0</v>
      </c>
      <c r="AI9" s="6">
        <v>0</v>
      </c>
      <c r="AJ9" s="6">
        <v>0</v>
      </c>
      <c r="AK9" s="34">
        <v>20000</v>
      </c>
      <c r="AL9" s="6">
        <v>1</v>
      </c>
      <c r="AM9" s="6">
        <v>1</v>
      </c>
      <c r="AN9" s="6" t="s">
        <v>28</v>
      </c>
      <c r="AQ9" s="6" t="s">
        <v>16</v>
      </c>
      <c r="AR9" s="6">
        <v>0</v>
      </c>
      <c r="AS9" s="6">
        <v>-1</v>
      </c>
      <c r="AV9" s="6">
        <v>1</v>
      </c>
      <c r="AW9" s="34">
        <v>20000</v>
      </c>
      <c r="AX9" s="6">
        <v>0</v>
      </c>
      <c r="AY9" s="6">
        <v>0</v>
      </c>
      <c r="AZ9" s="6">
        <v>0</v>
      </c>
      <c r="BC9" s="6">
        <v>1</v>
      </c>
      <c r="BD9" s="34">
        <v>20000</v>
      </c>
      <c r="BE9" s="6" t="s">
        <v>24</v>
      </c>
      <c r="BJ9" s="6">
        <v>0</v>
      </c>
      <c r="BK9" s="6">
        <v>0</v>
      </c>
      <c r="BL9" s="6">
        <v>0</v>
      </c>
      <c r="BM9" s="6">
        <v>0</v>
      </c>
      <c r="BP9" s="6">
        <v>0</v>
      </c>
      <c r="BR9" s="6" t="s">
        <v>40</v>
      </c>
      <c r="BS9" s="6">
        <v>0</v>
      </c>
      <c r="BT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C9" s="6">
        <v>0</v>
      </c>
      <c r="CD9" s="30">
        <v>20000</v>
      </c>
      <c r="CE9" s="6">
        <v>0</v>
      </c>
      <c r="CF9" s="6">
        <v>0</v>
      </c>
      <c r="CG9" s="30">
        <v>20000</v>
      </c>
      <c r="CI9" s="6">
        <v>0</v>
      </c>
      <c r="CJ9" s="6">
        <v>0</v>
      </c>
      <c r="CS9" s="6">
        <v>20</v>
      </c>
      <c r="DA9" s="6">
        <v>0</v>
      </c>
      <c r="DB9" s="6">
        <v>0</v>
      </c>
      <c r="DE9" s="6">
        <v>0</v>
      </c>
      <c r="DF9" s="6">
        <v>0</v>
      </c>
      <c r="DG9" s="6">
        <v>0</v>
      </c>
      <c r="DI9" s="6">
        <v>0</v>
      </c>
      <c r="DJ9" s="6" t="s">
        <v>28</v>
      </c>
      <c r="DK9" s="6">
        <v>0</v>
      </c>
      <c r="DL9" s="6">
        <v>0</v>
      </c>
      <c r="DN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</row>
    <row r="10" spans="1:167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7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7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7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7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7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7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_Modules</vt:lpstr>
      <vt:lpstr>_Settings</vt:lpstr>
      <vt:lpstr>_MasterData</vt:lpstr>
      <vt:lpstr>CreateDoneAwayOrder</vt:lpstr>
      <vt:lpstr>CheckPortfolioManagement</vt:lpstr>
      <vt:lpstr>FilterPM</vt:lpstr>
      <vt:lpstr>CloseAccountPositionFromPM</vt:lpstr>
      <vt:lpstr>CreateDoneAwayOrder1</vt:lpstr>
      <vt:lpstr>GetDataClosing</vt:lpstr>
      <vt:lpstr>VerifyLongPositionsGrid</vt:lpstr>
      <vt:lpstr>VerifyShortPositionsGrid</vt:lpstr>
      <vt:lpstr>VerifyOrder</vt:lpstr>
      <vt:lpstr>GetDataAllocation</vt:lpstr>
      <vt:lpstr>CheckAllocatedGroups</vt:lpstr>
      <vt:lpstr>CheckPortfolioManagement1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2021-08-04T11:00:45Z</dcterms:modified>
</cp:coreProperties>
</file>