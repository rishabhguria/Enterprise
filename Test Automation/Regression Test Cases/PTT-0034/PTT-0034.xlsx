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Monthly" sheetId="9" r:id="rId11"/>
    <sheet state="visible" name="CalculatePTT" sheetId="10" r:id="rId12"/>
    <sheet state="visible" name="VerifyPTT" sheetId="11" r:id="rId13"/>
    <sheet state="visible" name="CreateOrderPTT" sheetId="12" r:id="rId14"/>
    <sheet state="visible" name="TradeNewSubOrder" sheetId="13" r:id="rId15"/>
    <sheet state="visible" name="CreateDoneAwayOrder1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  <sheet state="visible" name="CreateNewSubOrder" sheetId="19" r:id="rId21"/>
  </sheets>
  <definedNames/>
  <calcPr/>
</workbook>
</file>

<file path=xl/sharedStrings.xml><?xml version="1.0" encoding="utf-8"?>
<sst xmlns="http://schemas.openxmlformats.org/spreadsheetml/2006/main" count="188" uniqueCount="54">
  <si>
    <t>Modules Info</t>
  </si>
  <si>
    <t>Modules</t>
  </si>
  <si>
    <t>Settings</t>
  </si>
  <si>
    <t>Module Step Setting File</t>
  </si>
  <si>
    <t>1zLC2_XjbohxbVZGZgSebGI80QC6jvANPsgOkkJYVWcM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</si>
  <si>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</si>
  <si>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</si>
  <si>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</si>
  <si>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</si>
  <si>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</si>
  <si>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</si>
  <si>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</si>
  <si>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</si>
  <si>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</si>
  <si>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</si>
  <si>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</si>
  <si>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</si>
  <si>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</si>
  <si>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</si>
  <si>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Allocation2</t>
  </si>
  <si>
    <t>TradingTicket</t>
  </si>
  <si>
    <t>CreateDoneAwayOrder</t>
  </si>
  <si>
    <t>FRU-TC</t>
  </si>
  <si>
    <t>Buy</t>
  </si>
  <si>
    <t>PricingInput</t>
  </si>
  <si>
    <t>GetForexConversion</t>
  </si>
  <si>
    <t>UpdateForexConversionMonthly</t>
  </si>
  <si>
    <t>CAD</t>
  </si>
  <si>
    <t>CAD A0-FX</t>
  </si>
  <si>
    <t>PTT</t>
  </si>
  <si>
    <t>CalculatePTT</t>
  </si>
  <si>
    <t>Set</t>
  </si>
  <si>
    <t>Percentage</t>
  </si>
  <si>
    <t>No</t>
  </si>
  <si>
    <t>Account</t>
  </si>
  <si>
    <t>Allocation1,Allocation2</t>
  </si>
  <si>
    <t>VerifyPTT</t>
  </si>
  <si>
    <t>CreateOrderPTT</t>
  </si>
  <si>
    <t>Blotter</t>
  </si>
  <si>
    <t>TradeNewSubOrder</t>
  </si>
  <si>
    <t>New</t>
  </si>
  <si>
    <t>Market</t>
  </si>
  <si>
    <t>VerifyOrder</t>
  </si>
  <si>
    <t>Filled</t>
  </si>
  <si>
    <t>Multiple</t>
  </si>
  <si>
    <t>Allocation</t>
  </si>
  <si>
    <t>GetDataAllocation</t>
  </si>
  <si>
    <t>Current</t>
  </si>
  <si>
    <t>CheckAllocatedGroups</t>
  </si>
  <si>
    <t xml:space="preserve">Buy </t>
  </si>
  <si>
    <t>Sell</t>
  </si>
  <si>
    <t>PortfolioManagement</t>
  </si>
  <si>
    <t>CheckPortfolioManagement</t>
  </si>
  <si>
    <t>CreateNewSubOrder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</si>
</sst>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6" fontId="13" numFmtId="164" xfId="0" applyFill="1" applyFont="1" applyNumberFormat="1"/>
    <xf borderId="0" fillId="0" fontId="5" numFmtId="14" xfId="0" applyAlignment="1" applyFont="1" applyNumberFormat="1">
      <alignment readingOrder="0" shrinkToFit="0" wrapText="0"/>
    </xf>
    <xf borderId="0" fillId="2" fontId="1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IFERROR(__xludf.DUMMYFUNCTION("IF(C3="""","""",Transpose(IMPORTRANGE('_Settings'!$B$3,C3&amp;""!A4:A1000"")))"),"FilterBlankMP")</f>
        <v>FilterBlankMP</v>
      </c>
      <c r="C4" s="24" t="str">
        <f>IFERROR(__xludf.DUMMYFUNCTION("""COMPUTED_VALUE"""),"UpdateBlankMP")</f>
        <v>UpdateBlankMP</v>
      </c>
      <c r="D4" s="24" t="str">
        <f>IFERROR(__xludf.DUMMYFUNCTION("""COMPUTED_VALUE"""),"UpateSymbolBlankMP")</f>
        <v>UpateSymbolBlankMP</v>
      </c>
      <c r="E4" s="24" t="str">
        <f>IFERROR(__xludf.DUMMYFUNCTION("""COMPUTED_VALUE"""),"EnableBlankMarkPrices")</f>
        <v>EnableBlankMarkPrices</v>
      </c>
      <c r="F4" s="24" t="str">
        <f>IFERROR(__xludf.DUMMYFUNCTION("""COMPUTED_VALUE"""),"UpdateBeta")</f>
        <v>UpdateBeta</v>
      </c>
      <c r="G4" s="24" t="str">
        <f>IFERROR(__xludf.DUMMYFUNCTION("""COMPUTED_VALUE"""),"UpdateDailyCash")</f>
        <v>UpdateDailyCash</v>
      </c>
      <c r="H4" s="24" t="str">
        <f>IFERROR(__xludf.DUMMYFUNCTION("""COMPUTED_VALUE"""),"UpdateMultipleDailyCash")</f>
        <v>UpdateMultipleDailyCash</v>
      </c>
      <c r="I4" s="24" t="str">
        <f>IFERROR(__xludf.DUMMYFUNCTION("""COMPUTED_VALUE"""),"UpdateForexConversion")</f>
        <v>UpdateForexConversion</v>
      </c>
      <c r="J4" s="24" t="str">
        <f>IFERROR(__xludf.DUMMYFUNCTION("""COMPUTED_VALUE"""),"UpdateMarkPrice")</f>
        <v>UpdateMarkPrice</v>
      </c>
      <c r="K4" s="24" t="str">
        <f>IFERROR(__xludf.DUMMYFUNCTION("""COMPUTED_VALUE"""),"CleanUp")</f>
        <v>CleanUp</v>
      </c>
      <c r="L4" s="24" t="str">
        <f>IFERROR(__xludf.DUMMYFUNCTION("""COMPUTED_VALUE"""),"GetMarkPriceData")</f>
        <v>GetMarkPriceData</v>
      </c>
      <c r="M4" s="24" t="str">
        <f>IFERROR(__xludf.DUMMYFUNCTION("""COMPUTED_VALUE"""),"GetForwardPoints")</f>
        <v>GetForwardPoints</v>
      </c>
      <c r="N4" s="24" t="str">
        <f>IFERROR(__xludf.DUMMYFUNCTION("""COMPUTED_VALUE"""),"UpdateForwardPoints")</f>
        <v>UpdateForwardPoints</v>
      </c>
      <c r="O4" s="24" t="str">
        <f>IFERROR(__xludf.DUMMYFUNCTION("""COMPUTED_VALUE"""),"GetForexConversion")</f>
        <v>GetForexConversion</v>
      </c>
      <c r="P4" s="25" t="str">
        <f>IFERROR(__xludf.DUMMYFUNCTION("""COMPUTED_VALUE"""),"DeleteNAV")</f>
        <v>DeleteNAV</v>
      </c>
      <c r="Q4" s="25" t="str">
        <f>IFERROR(__xludf.DUMMYFUNCTION("""COMPUTED_VALUE"""),"GetDailyCash")</f>
        <v>GetDailyCash</v>
      </c>
      <c r="R4" s="25" t="str">
        <f>IFERROR(__xludf.DUMMYFUNCTION("""COMPUTED_VALUE"""),"GetDailyBeta")</f>
        <v>GetDailyBeta</v>
      </c>
      <c r="S4" s="25" t="str">
        <f>IFERROR(__xludf.DUMMYFUNCTION("""COMPUTED_VALUE"""),"GetDailyVolatility")</f>
        <v>GetDailyVolatility</v>
      </c>
      <c r="T4" s="25" t="str">
        <f>IFERROR(__xludf.DUMMYFUNCTION("""COMPUTED_VALUE"""),"GetDailyDividendYield")</f>
        <v>GetDailyDividendYield</v>
      </c>
      <c r="U4" s="25" t="str">
        <f>IFERROR(__xludf.DUMMYFUNCTION("""COMPUTED_VALUE"""),"GetDailyTradingVolume")</f>
        <v>GetDailyTradingVolume</v>
      </c>
      <c r="V4" s="25" t="str">
        <f>IFERROR(__xludf.DUMMYFUNCTION("""COMPUTED_VALUE"""),"GetDailyOutstandings")</f>
        <v>GetDailyOutstandings</v>
      </c>
      <c r="W4" s="25" t="str">
        <f>IFERROR(__xludf.DUMMYFUNCTION("""COMPUTED_VALUE"""),"VerifyDailyCash")</f>
        <v>VerifyDailyCash</v>
      </c>
      <c r="X4" s="25" t="str">
        <f>IFERROR(__xludf.DUMMYFUNCTION("""COMPUTED_VALUE"""),"GetDailyDelta")</f>
        <v>GetDailyDelta</v>
      </c>
      <c r="Y4" s="25" t="str">
        <f>IFERROR(__xludf.DUMMYFUNCTION("""COMPUTED_VALUE"""),"UpdateDailyVolatility")</f>
        <v>UpdateDailyVolatility</v>
      </c>
      <c r="Z4" s="25" t="str">
        <f>IFERROR(__xludf.DUMMYFUNCTION("""COMPUTED_VALUE"""),"UpdateDividendYield")</f>
        <v>UpdateDividendYield</v>
      </c>
      <c r="AA4" s="25" t="str">
        <f>IFERROR(__xludf.DUMMYFUNCTION("""COMPUTED_VALUE"""),"UpdateTradingVolume")</f>
        <v>UpdateTradingVolume</v>
      </c>
      <c r="AB4" s="25" t="str">
        <f>IFERROR(__xludf.DUMMYFUNCTION("""COMPUTED_VALUE"""),"UpdateDailyDelta")</f>
        <v>UpdateDailyDelta</v>
      </c>
      <c r="AC4" s="25" t="str">
        <f>IFERROR(__xludf.DUMMYFUNCTION("""COMPUTED_VALUE"""),"UpdateDailyOutstandings")</f>
        <v>UpdateDailyOutstandings</v>
      </c>
      <c r="AD4" s="25" t="str">
        <f>IFERROR(__xludf.DUMMYFUNCTION("""COMPUTED_VALUE"""),"UpdateBeta")</f>
        <v>UpdateBeta</v>
      </c>
      <c r="AE4" s="25" t="str">
        <f>IFERROR(__xludf.DUMMYFUNCTION("""COMPUTED_VALUE"""),"UpdateNAV")</f>
        <v>UpdateNAV</v>
      </c>
      <c r="AF4" s="25" t="str">
        <f>IFERROR(__xludf.DUMMYFUNCTION("""COMPUTED_VALUE"""),"UpdateDailyCash")</f>
        <v>UpdateDailyCash</v>
      </c>
      <c r="AG4" s="25" t="str">
        <f>IFERROR(__xludf.DUMMYFUNCTION("""COMPUTED_VALUE"""),"UpdateDailyCreditLimt")</f>
        <v>UpdateDailyCreditLimt</v>
      </c>
      <c r="AH4" s="25" t="str">
        <f>IFERROR(__xludf.DUMMYFUNCTION("""COMPUTED_VALUE"""),"RemoveDailyCreditLimit")</f>
        <v>RemoveDailyCreditLimit</v>
      </c>
      <c r="AI4" s="25" t="str">
        <f>IFERROR(__xludf.DUMMYFUNCTION("""COMPUTED_VALUE"""),"RemoveDailyCash")</f>
        <v>RemoveDailyCash</v>
      </c>
      <c r="AJ4" s="25" t="str">
        <f>IFERROR(__xludf.DUMMYFUNCTION("""COMPUTED_VALUE"""),"RemoveNAV")</f>
        <v>RemoveNAV</v>
      </c>
      <c r="AK4" s="25" t="str">
        <f>IFERROR(__xludf.DUMMYFUNCTION("""COMPUTED_VALUE"""),"UpdateMarkPriceMonthly")</f>
        <v>UpdateMarkPriceMonthly</v>
      </c>
      <c r="AL4" s="25" t="str">
        <f>IFERROR(__xludf.DUMMYFUNCTION("""COMPUTED_VALUE"""),"UpdateForexConversionMonthly")</f>
        <v>UpdateForexConversionMonthly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>TODAY()-1</f>
        <v>45204</v>
      </c>
      <c r="C6" s="30">
        <f>TODAY()</f>
        <v>45205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IFERROR(__xludf.DUMMYFUNCTION("IF(C3="""","""",Transpose(IMPORTRANGE('_Settings'!$B$3,C3&amp;""!A4:A1000"")))"),"FilterBlankMP")</f>
        <v>FilterBlankMP</v>
      </c>
      <c r="C4" s="24" t="str">
        <f>IFERROR(__xludf.DUMMYFUNCTION("""COMPUTED_VALUE"""),"UpdateBlankMP")</f>
        <v>UpdateBlankMP</v>
      </c>
      <c r="D4" s="24" t="str">
        <f>IFERROR(__xludf.DUMMYFUNCTION("""COMPUTED_VALUE"""),"UpateSymbolBlankMP")</f>
        <v>UpateSymbolBlankMP</v>
      </c>
      <c r="E4" s="24" t="str">
        <f>IFERROR(__xludf.DUMMYFUNCTION("""COMPUTED_VALUE"""),"EnableBlankMarkPrices")</f>
        <v>EnableBlankMarkPrices</v>
      </c>
      <c r="F4" s="24" t="str">
        <f>IFERROR(__xludf.DUMMYFUNCTION("""COMPUTED_VALUE"""),"UpdateBeta")</f>
        <v>UpdateBeta</v>
      </c>
      <c r="G4" s="24" t="str">
        <f>IFERROR(__xludf.DUMMYFUNCTION("""COMPUTED_VALUE"""),"UpdateDailyCash")</f>
        <v>UpdateDailyCash</v>
      </c>
      <c r="H4" s="24" t="str">
        <f>IFERROR(__xludf.DUMMYFUNCTION("""COMPUTED_VALUE"""),"UpdateMultipleDailyCash")</f>
        <v>UpdateMultipleDailyCash</v>
      </c>
      <c r="I4" s="24" t="str">
        <f>IFERROR(__xludf.DUMMYFUNCTION("""COMPUTED_VALUE"""),"UpdateForexConversion")</f>
        <v>UpdateForexConversion</v>
      </c>
      <c r="J4" s="24" t="str">
        <f>IFERROR(__xludf.DUMMYFUNCTION("""COMPUTED_VALUE"""),"UpdateMarkPrice")</f>
        <v>UpdateMarkPrice</v>
      </c>
      <c r="K4" s="24" t="str">
        <f>IFERROR(__xludf.DUMMYFUNCTION("""COMPUTED_VALUE"""),"CleanUp")</f>
        <v>CleanUp</v>
      </c>
      <c r="L4" s="24" t="str">
        <f>IFERROR(__xludf.DUMMYFUNCTION("""COMPUTED_VALUE"""),"GetMarkPriceData")</f>
        <v>GetMarkPriceData</v>
      </c>
      <c r="M4" s="24" t="str">
        <f>IFERROR(__xludf.DUMMYFUNCTION("""COMPUTED_VALUE"""),"GetForwardPoints")</f>
        <v>GetForwardPoints</v>
      </c>
      <c r="N4" s="24" t="str">
        <f>IFERROR(__xludf.DUMMYFUNCTION("""COMPUTED_VALUE"""),"UpdateForwardPoints")</f>
        <v>UpdateForwardPoints</v>
      </c>
      <c r="O4" s="24" t="str">
        <f>IFERROR(__xludf.DUMMYFUNCTION("""COMPUTED_VALUE"""),"GetForexConversion")</f>
        <v>GetForexConversion</v>
      </c>
      <c r="P4" s="25" t="str">
        <f>IFERROR(__xludf.DUMMYFUNCTION("""COMPUTED_VALUE"""),"DeleteNAV")</f>
        <v>DeleteNAV</v>
      </c>
      <c r="Q4" s="25" t="str">
        <f>IFERROR(__xludf.DUMMYFUNCTION("""COMPUTED_VALUE"""),"GetDailyCash")</f>
        <v>GetDailyCash</v>
      </c>
      <c r="R4" s="25" t="str">
        <f>IFERROR(__xludf.DUMMYFUNCTION("""COMPUTED_VALUE"""),"GetDailyBeta")</f>
        <v>GetDailyBeta</v>
      </c>
      <c r="S4" s="25" t="str">
        <f>IFERROR(__xludf.DUMMYFUNCTION("""COMPUTED_VALUE"""),"GetDailyVolatility")</f>
        <v>GetDailyVolatility</v>
      </c>
      <c r="T4" s="25" t="str">
        <f>IFERROR(__xludf.DUMMYFUNCTION("""COMPUTED_VALUE"""),"GetDailyDividendYield")</f>
        <v>GetDailyDividendYield</v>
      </c>
      <c r="U4" s="25" t="str">
        <f>IFERROR(__xludf.DUMMYFUNCTION("""COMPUTED_VALUE"""),"GetDailyTradingVolume")</f>
        <v>GetDailyTradingVolume</v>
      </c>
      <c r="V4" s="25" t="str">
        <f>IFERROR(__xludf.DUMMYFUNCTION("""COMPUTED_VALUE"""),"GetDailyOutstandings")</f>
        <v>GetDailyOutstandings</v>
      </c>
      <c r="W4" s="25" t="str">
        <f>IFERROR(__xludf.DUMMYFUNCTION("""COMPUTED_VALUE"""),"VerifyDailyCash")</f>
        <v>VerifyDailyCash</v>
      </c>
      <c r="X4" s="25" t="str">
        <f>IFERROR(__xludf.DUMMYFUNCTION("""COMPUTED_VALUE"""),"GetDailyDelta")</f>
        <v>GetDailyDelta</v>
      </c>
      <c r="Y4" s="25" t="str">
        <f>IFERROR(__xludf.DUMMYFUNCTION("""COMPUTED_VALUE"""),"UpdateDailyVolatility")</f>
        <v>UpdateDailyVolatility</v>
      </c>
      <c r="Z4" s="25" t="str">
        <f>IFERROR(__xludf.DUMMYFUNCTION("""COMPUTED_VALUE"""),"UpdateDividendYield")</f>
        <v>UpdateDividendYield</v>
      </c>
      <c r="AA4" s="25" t="str">
        <f>IFERROR(__xludf.DUMMYFUNCTION("""COMPUTED_VALUE"""),"UpdateTradingVolume")</f>
        <v>UpdateTradingVolume</v>
      </c>
      <c r="AB4" s="25" t="str">
        <f>IFERROR(__xludf.DUMMYFUNCTION("""COMPUTED_VALUE"""),"UpdateDailyDelta")</f>
        <v>UpdateDailyDelta</v>
      </c>
      <c r="AC4" s="25" t="str">
        <f>IFERROR(__xludf.DUMMYFUNCTION("""COMPUTED_VALUE"""),"UpdateDailyOutstandings")</f>
        <v>UpdateDailyOutstandings</v>
      </c>
      <c r="AD4" s="25" t="str">
        <f>IFERROR(__xludf.DUMMYFUNCTION("""COMPUTED_VALUE"""),"UpdateBeta")</f>
        <v>UpdateBeta</v>
      </c>
      <c r="AE4" s="25" t="str">
        <f>IFERROR(__xludf.DUMMYFUNCTION("""COMPUTED_VALUE"""),"UpdateNAV")</f>
        <v>UpdateNAV</v>
      </c>
      <c r="AF4" s="25" t="str">
        <f>IFERROR(__xludf.DUMMYFUNCTION("""COMPUTED_VALUE"""),"UpdateDailyCash")</f>
        <v>UpdateDailyCash</v>
      </c>
      <c r="AG4" s="25" t="str">
        <f>IFERROR(__xludf.DUMMYFUNCTION("""COMPUTED_VALUE"""),"UpdateDailyCreditLimt")</f>
        <v>UpdateDailyCreditLimt</v>
      </c>
      <c r="AH4" s="25" t="str">
        <f>IFERROR(__xludf.DUMMYFUNCTION("""COMPUTED_VALUE"""),"RemoveDailyCreditLimit")</f>
        <v>RemoveDailyCreditLimit</v>
      </c>
      <c r="AI4" s="25" t="str">
        <f>IFERROR(__xludf.DUMMYFUNCTION("""COMPUTED_VALUE"""),"RemoveDailyCash")</f>
        <v>RemoveDailyCash</v>
      </c>
      <c r="AJ4" s="25" t="str">
        <f>IFERROR(__xludf.DUMMYFUNCTION("""COMPUTED_VALUE"""),"RemoveNAV")</f>
        <v>RemoveNAV</v>
      </c>
      <c r="AK4" s="25" t="str">
        <f>IFERROR(__xludf.DUMMYFUNCTION("""COMPUTED_VALUE"""),"UpdateMarkPriceMonthly")</f>
        <v>UpdateMarkPriceMonthly</v>
      </c>
      <c r="AL4" s="25" t="str">
        <f>IFERROR(__xludf.DUMMYFUNCTION("""COMPUTED_VALUE"""),"UpdateForexConversionMonthly")</f>
        <v>UpdateForexConversionMonthly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18</v>
      </c>
      <c r="D7" s="11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1000.0</v>
      </c>
      <c r="E6" s="11">
        <v>1000.0</v>
      </c>
      <c r="F6" s="9" t="s">
        <v>17</v>
      </c>
      <c r="G6" s="8"/>
      <c r="H6" s="8"/>
      <c r="I6" s="8"/>
      <c r="J6" s="11">
        <v>20.0</v>
      </c>
      <c r="K6" s="8"/>
      <c r="L6" s="8"/>
      <c r="M6" s="8"/>
      <c r="N6" s="30">
        <f t="shared" ref="N6:N7" si="1">TODAY()</f>
        <v>45205</v>
      </c>
      <c r="O6" s="11">
        <v>0.5</v>
      </c>
    </row>
    <row r="7" ht="15.75" customHeight="1">
      <c r="A7" s="8"/>
      <c r="B7" s="11" t="s">
        <v>22</v>
      </c>
      <c r="C7" s="11" t="s">
        <v>23</v>
      </c>
      <c r="D7" s="11">
        <v>1000.0</v>
      </c>
      <c r="E7" s="11">
        <v>1000.0</v>
      </c>
      <c r="F7" s="9" t="s">
        <v>19</v>
      </c>
      <c r="G7" s="8"/>
      <c r="H7" s="8"/>
      <c r="I7" s="8"/>
      <c r="J7" s="11">
        <v>20.0</v>
      </c>
      <c r="K7" s="8"/>
      <c r="L7" s="8"/>
      <c r="M7" s="8"/>
      <c r="N7" s="32">
        <f t="shared" si="1"/>
        <v>45205</v>
      </c>
      <c r="O7" s="11">
        <v>0.5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IFERROR(__xludf.DUMMYFUNCTION("""COMPUTED_VALUE"""),"UncheckDividendYield")</f>
        <v>UncheckDividendYield</v>
      </c>
      <c r="E4" s="24" t="str">
        <f>IFERROR(__xludf.DUMMYFUNCTION("""COMPUTED_VALUE"""),"EODTPreferences")</f>
        <v>EODTPreferences</v>
      </c>
      <c r="F4" s="24" t="str">
        <f>IFERROR(__xludf.DUMMYFUNCTION("""COMPUTED_VALUE"""),"LiveData")</f>
        <v>LiveData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>
        <v>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IFERROR(__xludf.DUMMYFUNCTION("IF(C3="""","""",Transpose(IMPORTRANGE('_Settings'!$B$3,C3&amp;""!A4:A1000"")))"),"FilterBlankMP")</f>
        <v>FilterBlankMP</v>
      </c>
      <c r="C4" s="24" t="str">
        <f>IFERROR(__xludf.DUMMYFUNCTION("""COMPUTED_VALUE"""),"UpdateBlankMP")</f>
        <v>UpdateBlankMP</v>
      </c>
      <c r="D4" s="24" t="str">
        <f>IFERROR(__xludf.DUMMYFUNCTION("""COMPUTED_VALUE"""),"UpateSymbolBlankMP")</f>
        <v>UpateSymbolBlankMP</v>
      </c>
      <c r="E4" s="24" t="str">
        <f>IFERROR(__xludf.DUMMYFUNCTION("""COMPUTED_VALUE"""),"EnableBlankMarkPrices")</f>
        <v>EnableBlankMarkPrices</v>
      </c>
      <c r="F4" s="24" t="str">
        <f>IFERROR(__xludf.DUMMYFUNCTION("""COMPUTED_VALUE"""),"UpdateBeta")</f>
        <v>UpdateBeta</v>
      </c>
      <c r="G4" s="24" t="str">
        <f>IFERROR(__xludf.DUMMYFUNCTION("""COMPUTED_VALUE"""),"UpdateDailyCash")</f>
        <v>UpdateDailyCash</v>
      </c>
      <c r="H4" s="24" t="str">
        <f>IFERROR(__xludf.DUMMYFUNCTION("""COMPUTED_VALUE"""),"UpdateMultipleDailyCash")</f>
        <v>UpdateMultipleDailyCash</v>
      </c>
      <c r="I4" s="24" t="str">
        <f>IFERROR(__xludf.DUMMYFUNCTION("""COMPUTED_VALUE"""),"UpdateForexConversion")</f>
        <v>UpdateForexConversion</v>
      </c>
      <c r="J4" s="24" t="str">
        <f>IFERROR(__xludf.DUMMYFUNCTION("""COMPUTED_VALUE"""),"UpdateMarkPrice")</f>
        <v>UpdateMarkPrice</v>
      </c>
      <c r="K4" s="24" t="str">
        <f>IFERROR(__xludf.DUMMYFUNCTION("""COMPUTED_VALUE"""),"CleanUp")</f>
        <v>CleanUp</v>
      </c>
      <c r="L4" s="24" t="str">
        <f>IFERROR(__xludf.DUMMYFUNCTION("""COMPUTED_VALUE"""),"GetMarkPriceData")</f>
        <v>GetMarkPriceData</v>
      </c>
      <c r="M4" s="24" t="str">
        <f>IFERROR(__xludf.DUMMYFUNCTION("""COMPUTED_VALUE"""),"GetForwardPoints")</f>
        <v>GetForwardPoints</v>
      </c>
      <c r="N4" s="24" t="str">
        <f>IFERROR(__xludf.DUMMYFUNCTION("""COMPUTED_VALUE"""),"UpdateForwardPoints")</f>
        <v>UpdateForwardPoints</v>
      </c>
      <c r="O4" s="24" t="str">
        <f>IFERROR(__xludf.DUMMYFUNCTION("""COMPUTED_VALUE"""),"GetForexConversion")</f>
        <v>GetForexConversion</v>
      </c>
      <c r="P4" s="25" t="str">
        <f>IFERROR(__xludf.DUMMYFUNCTION("""COMPUTED_VALUE"""),"DeleteNAV")</f>
        <v>DeleteNAV</v>
      </c>
      <c r="Q4" s="25" t="str">
        <f>IFERROR(__xludf.DUMMYFUNCTION("""COMPUTED_VALUE"""),"GetDailyCash")</f>
        <v>GetDailyCash</v>
      </c>
      <c r="R4" s="25" t="str">
        <f>IFERROR(__xludf.DUMMYFUNCTION("""COMPUTED_VALUE"""),"GetDailyBeta")</f>
        <v>GetDailyBeta</v>
      </c>
      <c r="S4" s="25" t="str">
        <f>IFERROR(__xludf.DUMMYFUNCTION("""COMPUTED_VALUE"""),"GetDailyVolatility")</f>
        <v>GetDailyVolatility</v>
      </c>
      <c r="T4" s="25" t="str">
        <f>IFERROR(__xludf.DUMMYFUNCTION("""COMPUTED_VALUE"""),"GetDailyDividendYield")</f>
        <v>GetDailyDividendYield</v>
      </c>
      <c r="U4" s="25" t="str">
        <f>IFERROR(__xludf.DUMMYFUNCTION("""COMPUTED_VALUE"""),"GetDailyTradingVolume")</f>
        <v>GetDailyTradingVolume</v>
      </c>
      <c r="V4" s="25" t="str">
        <f>IFERROR(__xludf.DUMMYFUNCTION("""COMPUTED_VALUE"""),"GetDailyOutstandings")</f>
        <v>GetDailyOutstandings</v>
      </c>
      <c r="W4" s="25" t="str">
        <f>IFERROR(__xludf.DUMMYFUNCTION("""COMPUTED_VALUE"""),"VerifyDailyCash")</f>
        <v>VerifyDailyCash</v>
      </c>
      <c r="X4" s="25" t="str">
        <f>IFERROR(__xludf.DUMMYFUNCTION("""COMPUTED_VALUE"""),"GetDailyDelta")</f>
        <v>GetDailyDelta</v>
      </c>
      <c r="Y4" s="25" t="str">
        <f>IFERROR(__xludf.DUMMYFUNCTION("""COMPUTED_VALUE"""),"UpdateDailyVolatility")</f>
        <v>UpdateDailyVolatility</v>
      </c>
      <c r="Z4" s="25" t="str">
        <f>IFERROR(__xludf.DUMMYFUNCTION("""COMPUTED_VALUE"""),"UpdateDividendYield")</f>
        <v>UpdateDividendYield</v>
      </c>
      <c r="AA4" s="25" t="str">
        <f>IFERROR(__xludf.DUMMYFUNCTION("""COMPUTED_VALUE"""),"UpdateTradingVolume")</f>
        <v>UpdateTradingVolume</v>
      </c>
      <c r="AB4" s="25" t="str">
        <f>IFERROR(__xludf.DUMMYFUNCTION("""COMPUTED_VALUE"""),"UpdateDailyDelta")</f>
        <v>UpdateDailyDelta</v>
      </c>
      <c r="AC4" s="25" t="str">
        <f>IFERROR(__xludf.DUMMYFUNCTION("""COMPUTED_VALUE"""),"UpdateDailyOutstandings")</f>
        <v>UpdateDailyOutstandings</v>
      </c>
      <c r="AD4" s="25" t="str">
        <f>IFERROR(__xludf.DUMMYFUNCTION("""COMPUTED_VALUE"""),"UpdateBeta")</f>
        <v>UpdateBeta</v>
      </c>
      <c r="AE4" s="25" t="str">
        <f>IFERROR(__xludf.DUMMYFUNCTION("""COMPUTED_VALUE"""),"UpdateNAV")</f>
        <v>UpdateNAV</v>
      </c>
      <c r="AF4" s="25" t="str">
        <f>IFERROR(__xludf.DUMMYFUNCTION("""COMPUTED_VALUE"""),"UpdateDailyCash")</f>
        <v>UpdateDailyCash</v>
      </c>
      <c r="AG4" s="25" t="str">
        <f>IFERROR(__xludf.DUMMYFUNCTION("""COMPUTED_VALUE"""),"UpdateDailyCreditLimt")</f>
        <v>UpdateDailyCreditLimt</v>
      </c>
      <c r="AH4" s="25" t="str">
        <f>IFERROR(__xludf.DUMMYFUNCTION("""COMPUTED_VALUE"""),"RemoveDailyCreditLimit")</f>
        <v>RemoveDailyCreditLimit</v>
      </c>
      <c r="AI4" s="25" t="str">
        <f>IFERROR(__xludf.DUMMYFUNCTION("""COMPUTED_VALUE"""),"RemoveDailyCash")</f>
        <v>RemoveDailyCash</v>
      </c>
      <c r="AJ4" s="25" t="str">
        <f>IFERROR(__xludf.DUMMYFUNCTION("""COMPUTED_VALUE"""),"RemoveNAV")</f>
        <v>RemoveNAV</v>
      </c>
      <c r="AK4" s="25" t="str">
        <f>IFERROR(__xludf.DUMMYFUNCTION("""COMPUTED_VALUE"""),"UpdateMarkPriceMonthly")</f>
        <v>UpdateMarkPriceMonthly</v>
      </c>
      <c r="AL4" s="25" t="str">
        <f>IFERROR(__xludf.DUMMYFUNCTION("""COMPUTED_VALUE"""),"UpdateForexConversionMonthly")</f>
        <v>UpdateForexConversionMonthly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f>TODAY()</f>
        <v>45205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IFERROR(__xludf.DUMMYFUNCTION("IF(C3="""","""",Transpose(IMPORTRANGE('_Settings'!$B$3,C3&amp;""!A4:A1000"")))"),"FilterBlankMP")</f>
        <v>FilterBlankMP</v>
      </c>
      <c r="C4" s="24" t="str">
        <f>IFERROR(__xludf.DUMMYFUNCTION("""COMPUTED_VALUE"""),"UpdateBlankMP")</f>
        <v>UpdateBlankMP</v>
      </c>
      <c r="D4" s="24" t="str">
        <f>IFERROR(__xludf.DUMMYFUNCTION("""COMPUTED_VALUE"""),"UpateSymbolBlankMP")</f>
        <v>UpateSymbolBlankMP</v>
      </c>
      <c r="E4" s="24" t="str">
        <f>IFERROR(__xludf.DUMMYFUNCTION("""COMPUTED_VALUE"""),"EnableBlankMarkPrices")</f>
        <v>EnableBlankMarkPrices</v>
      </c>
      <c r="F4" s="24" t="str">
        <f>IFERROR(__xludf.DUMMYFUNCTION("""COMPUTED_VALUE"""),"UpdateBeta")</f>
        <v>UpdateBeta</v>
      </c>
      <c r="G4" s="24" t="str">
        <f>IFERROR(__xludf.DUMMYFUNCTION("""COMPUTED_VALUE"""),"UpdateDailyCash")</f>
        <v>UpdateDailyCash</v>
      </c>
      <c r="H4" s="24" t="str">
        <f>IFERROR(__xludf.DUMMYFUNCTION("""COMPUTED_VALUE"""),"UpdateMultipleDailyCash")</f>
        <v>UpdateMultipleDailyCash</v>
      </c>
      <c r="I4" s="24" t="str">
        <f>IFERROR(__xludf.DUMMYFUNCTION("""COMPUTED_VALUE"""),"UpdateForexConversion")</f>
        <v>UpdateForexConversion</v>
      </c>
      <c r="J4" s="24" t="str">
        <f>IFERROR(__xludf.DUMMYFUNCTION("""COMPUTED_VALUE"""),"UpdateMarkPrice")</f>
        <v>UpdateMarkPrice</v>
      </c>
      <c r="K4" s="24" t="str">
        <f>IFERROR(__xludf.DUMMYFUNCTION("""COMPUTED_VALUE"""),"CleanUp")</f>
        <v>CleanUp</v>
      </c>
      <c r="L4" s="24" t="str">
        <f>IFERROR(__xludf.DUMMYFUNCTION("""COMPUTED_VALUE"""),"GetMarkPriceData")</f>
        <v>GetMarkPriceData</v>
      </c>
      <c r="M4" s="24" t="str">
        <f>IFERROR(__xludf.DUMMYFUNCTION("""COMPUTED_VALUE"""),"GetForwardPoints")</f>
        <v>GetForwardPoints</v>
      </c>
      <c r="N4" s="24" t="str">
        <f>IFERROR(__xludf.DUMMYFUNCTION("""COMPUTED_VALUE"""),"UpdateForwardPoints")</f>
        <v>UpdateForwardPoints</v>
      </c>
      <c r="O4" s="24" t="str">
        <f>IFERROR(__xludf.DUMMYFUNCTION("""COMPUTED_VALUE"""),"GetForexConversion")</f>
        <v>GetForexConversion</v>
      </c>
      <c r="P4" s="25" t="str">
        <f>IFERROR(__xludf.DUMMYFUNCTION("""COMPUTED_VALUE"""),"DeleteNAV")</f>
        <v>DeleteNAV</v>
      </c>
      <c r="Q4" s="25" t="str">
        <f>IFERROR(__xludf.DUMMYFUNCTION("""COMPUTED_VALUE"""),"GetDailyCash")</f>
        <v>GetDailyCash</v>
      </c>
      <c r="R4" s="25" t="str">
        <f>IFERROR(__xludf.DUMMYFUNCTION("""COMPUTED_VALUE"""),"GetDailyBeta")</f>
        <v>GetDailyBeta</v>
      </c>
      <c r="S4" s="25" t="str">
        <f>IFERROR(__xludf.DUMMYFUNCTION("""COMPUTED_VALUE"""),"GetDailyVolatility")</f>
        <v>GetDailyVolatility</v>
      </c>
      <c r="T4" s="25" t="str">
        <f>IFERROR(__xludf.DUMMYFUNCTION("""COMPUTED_VALUE"""),"GetDailyDividendYield")</f>
        <v>GetDailyDividendYield</v>
      </c>
      <c r="U4" s="25" t="str">
        <f>IFERROR(__xludf.DUMMYFUNCTION("""COMPUTED_VALUE"""),"GetDailyTradingVolume")</f>
        <v>GetDailyTradingVolume</v>
      </c>
      <c r="V4" s="25" t="str">
        <f>IFERROR(__xludf.DUMMYFUNCTION("""COMPUTED_VALUE"""),"GetDailyOutstandings")</f>
        <v>GetDailyOutstandings</v>
      </c>
      <c r="W4" s="25" t="str">
        <f>IFERROR(__xludf.DUMMYFUNCTION("""COMPUTED_VALUE"""),"VerifyDailyCash")</f>
        <v>VerifyDailyCash</v>
      </c>
      <c r="X4" s="25" t="str">
        <f>IFERROR(__xludf.DUMMYFUNCTION("""COMPUTED_VALUE"""),"GetDailyDelta")</f>
        <v>GetDailyDelta</v>
      </c>
      <c r="Y4" s="25" t="str">
        <f>IFERROR(__xludf.DUMMYFUNCTION("""COMPUTED_VALUE"""),"UpdateDailyVolatility")</f>
        <v>UpdateDailyVolatility</v>
      </c>
      <c r="Z4" s="25" t="str">
        <f>IFERROR(__xludf.DUMMYFUNCTION("""COMPUTED_VALUE"""),"UpdateDividendYield")</f>
        <v>UpdateDividendYield</v>
      </c>
      <c r="AA4" s="25" t="str">
        <f>IFERROR(__xludf.DUMMYFUNCTION("""COMPUTED_VALUE"""),"UpdateTradingVolume")</f>
        <v>UpdateTradingVolume</v>
      </c>
      <c r="AB4" s="25" t="str">
        <f>IFERROR(__xludf.DUMMYFUNCTION("""COMPUTED_VALUE"""),"UpdateDailyDelta")</f>
        <v>UpdateDailyDelta</v>
      </c>
      <c r="AC4" s="25" t="str">
        <f>IFERROR(__xludf.DUMMYFUNCTION("""COMPUTED_VALUE"""),"UpdateDailyOutstandings")</f>
        <v>UpdateDailyOutstandings</v>
      </c>
      <c r="AD4" s="25" t="str">
        <f>IFERROR(__xludf.DUMMYFUNCTION("""COMPUTED_VALUE"""),"UpdateBeta")</f>
        <v>UpdateBeta</v>
      </c>
      <c r="AE4" s="25" t="str">
        <f>IFERROR(__xludf.DUMMYFUNCTION("""COMPUTED_VALUE"""),"UpdateNAV")</f>
        <v>UpdateNAV</v>
      </c>
      <c r="AF4" s="25" t="str">
        <f>IFERROR(__xludf.DUMMYFUNCTION("""COMPUTED_VALUE"""),"UpdateDailyCash")</f>
        <v>UpdateDailyCash</v>
      </c>
      <c r="AG4" s="25" t="str">
        <f>IFERROR(__xludf.DUMMYFUNCTION("""COMPUTED_VALUE"""),"UpdateDailyCreditLimt")</f>
        <v>UpdateDailyCreditLimt</v>
      </c>
      <c r="AH4" s="25" t="str">
        <f>IFERROR(__xludf.DUMMYFUNCTION("""COMPUTED_VALUE"""),"RemoveDailyCreditLimit")</f>
        <v>RemoveDailyCreditLimit</v>
      </c>
      <c r="AI4" s="25" t="str">
        <f>IFERROR(__xludf.DUMMYFUNCTION("""COMPUTED_VALUE"""),"RemoveDailyCash")</f>
        <v>RemoveDailyCash</v>
      </c>
      <c r="AJ4" s="25" t="str">
        <f>IFERROR(__xludf.DUMMYFUNCTION("""COMPUTED_VALUE"""),"RemoveNAV")</f>
        <v>RemoveNAV</v>
      </c>
      <c r="AK4" s="25" t="str">
        <f>IFERROR(__xludf.DUMMYFUNCTION("""COMPUTED_VALUE"""),"UpdateMarkPriceMonthly")</f>
        <v>UpdateMarkPriceMonthly</v>
      </c>
      <c r="AL4" s="25" t="str">
        <f>IFERROR(__xludf.DUMMYFUNCTION("""COMPUTED_VALUE"""),"UpdateForexConversionMonthly")</f>
        <v>UpdateForexConversionMonthly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27</v>
      </c>
      <c r="D6" s="11" t="s">
        <v>28</v>
      </c>
      <c r="E6" s="30">
        <f>TODAY()</f>
        <v>45205</v>
      </c>
      <c r="F6" s="11">
        <v>0.2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/>
      <c r="C7" s="11"/>
      <c r="D7" s="11"/>
      <c r="E7" s="30"/>
      <c r="F7" s="11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34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IFERROR(__xludf.DUMMYFUNCTION("IF(C3="""","""",Transpose(IMPORTRANGE('_Settings'!$B$3,C3&amp;""!A4:A1000"")))"),"AutoStageImportFromPTTExport")</f>
        <v>AutoStageImportFromPTTExport</v>
      </c>
      <c r="C4" s="24" t="str">
        <f>IFERROR(__xludf.DUMMYFUNCTION("""COMPUTED_VALUE"""),"EditPTTAccountLevelWPF")</f>
        <v>EditPTTAccountLevelWPF</v>
      </c>
      <c r="D4" s="24" t="str">
        <f>IFERROR(__xludf.DUMMYFUNCTION("""COMPUTED_VALUE"""),"SetDefaultSymbology")</f>
        <v>SetDefaultSymbology</v>
      </c>
      <c r="E4" s="24" t="str">
        <f>IFERROR(__xludf.DUMMYFUNCTION("""COMPUTED_VALUE"""),"EditPTTWPFGrid")</f>
        <v>EditPTTWPFGrid</v>
      </c>
      <c r="F4" s="24" t="str">
        <f>IFERROR(__xludf.DUMMYFUNCTION("""COMPUTED_VALUE"""),"CreateOrderAfterEditPTT")</f>
        <v>CreateOrderAfterEditPTT</v>
      </c>
      <c r="G4" s="24" t="str">
        <f>IFERROR(__xludf.DUMMYFUNCTION("""COMPUTED_VALUE"""),"EditPTTRecord")</f>
        <v>EditPTTRecord</v>
      </c>
      <c r="H4" s="24" t="str">
        <f>IFERROR(__xludf.DUMMYFUNCTION("""COMPUTED_VALUE"""),"SelectPTTRecord")</f>
        <v>SelectPTTRecord</v>
      </c>
      <c r="I4" s="24" t="str">
        <f>IFERROR(__xludf.DUMMYFUNCTION("""COMPUTED_VALUE"""),"CalculatePTT")</f>
        <v>CalculatePTT</v>
      </c>
      <c r="J4" s="24" t="str">
        <f>IFERROR(__xludf.DUMMYFUNCTION("""COMPUTED_VALUE"""),"TradeUsingPTT")</f>
        <v>TradeUsingPTT</v>
      </c>
      <c r="K4" s="24" t="str">
        <f>IFERROR(__xludf.DUMMYFUNCTION("""COMPUTED_VALUE"""),"VerifyPTTCompliance")</f>
        <v>VerifyPTTCompliance</v>
      </c>
      <c r="L4" s="24" t="str">
        <f>IFERROR(__xludf.DUMMYFUNCTION("""COMPUTED_VALUE"""),"StageOrderUsingPTT")</f>
        <v>StageOrderUsingPTT</v>
      </c>
      <c r="M4" s="24" t="str">
        <f>IFERROR(__xludf.DUMMYFUNCTION("""COMPUTED_VALUE"""),"CreateOrderPTT")</f>
        <v>CreateOrderPTT</v>
      </c>
      <c r="N4" s="24" t="str">
        <f>IFERROR(__xludf.DUMMYFUNCTION("""COMPUTED_VALUE"""),"TradePTT")</f>
        <v>TradePTT</v>
      </c>
      <c r="O4" s="24" t="str">
        <f>IFERROR(__xludf.DUMMYFUNCTION("""COMPUTED_VALUE"""),"VerifyPTT")</f>
        <v>VerifyPTT</v>
      </c>
      <c r="P4" s="25" t="str">
        <f>IFERROR(__xludf.DUMMYFUNCTION("""COMPUTED_VALUE"""),"OpenMultiTTFromPTT")</f>
        <v>OpenMultiTTFromPTT</v>
      </c>
      <c r="Q4" s="25" t="str">
        <f>IFERROR(__xludf.DUMMYFUNCTION("""COMPUTED_VALUE"""),"SelectMultiTT")</f>
        <v>SelectMultiTT</v>
      </c>
      <c r="R4" s="25" t="str">
        <f>IFERROR(__xludf.DUMMYFUNCTION("""COMPUTED_VALUE"""),"EditMultiTT")</f>
        <v>EditMultiTT</v>
      </c>
      <c r="S4" s="25" t="str">
        <f>IFERROR(__xludf.DUMMYFUNCTION("""COMPUTED_VALUE"""),"SetLongShortPTTPreference")</f>
        <v>SetLongShortPTTPreference</v>
      </c>
      <c r="T4" s="25" t="str">
        <f>IFERROR(__xludf.DUMMYFUNCTION("""COMPUTED_VALUE"""),"SetPTTPreference")</f>
        <v>SetPTTPreference</v>
      </c>
      <c r="U4" s="25" t="str">
        <f>IFERROR(__xludf.DUMMYFUNCTION("""COMPUTED_VALUE"""),"SetAccountFactor")</f>
        <v>SetAccountFactor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31</v>
      </c>
      <c r="D6" s="11" t="s">
        <v>32</v>
      </c>
      <c r="E6" s="11">
        <v>30.0</v>
      </c>
      <c r="F6" s="11">
        <v>20.0</v>
      </c>
      <c r="G6" s="11" t="s">
        <v>33</v>
      </c>
      <c r="H6" s="11" t="s">
        <v>34</v>
      </c>
      <c r="I6" s="11" t="s">
        <v>35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IFERROR(__xludf.DUMMYFUNCTION("IF(C3="""","""",Transpose(IMPORTRANGE('_Settings'!$B$3,C3&amp;""!A4:A1000"")))"),"AutoStageImportFromPTTExport")</f>
        <v>AutoStageImportFromPTTExport</v>
      </c>
      <c r="C4" s="24" t="str">
        <f>IFERROR(__xludf.DUMMYFUNCTION("""COMPUTED_VALUE"""),"EditPTTAccountLevelWPF")</f>
        <v>EditPTTAccountLevelWPF</v>
      </c>
      <c r="D4" s="24" t="str">
        <f>IFERROR(__xludf.DUMMYFUNCTION("""COMPUTED_VALUE"""),"SetDefaultSymbology")</f>
        <v>SetDefaultSymbology</v>
      </c>
      <c r="E4" s="24" t="str">
        <f>IFERROR(__xludf.DUMMYFUNCTION("""COMPUTED_VALUE"""),"EditPTTWPFGrid")</f>
        <v>EditPTTWPFGrid</v>
      </c>
      <c r="F4" s="24" t="str">
        <f>IFERROR(__xludf.DUMMYFUNCTION("""COMPUTED_VALUE"""),"CreateOrderAfterEditPTT")</f>
        <v>CreateOrderAfterEditPTT</v>
      </c>
      <c r="G4" s="24" t="str">
        <f>IFERROR(__xludf.DUMMYFUNCTION("""COMPUTED_VALUE"""),"EditPTTRecord")</f>
        <v>EditPTTRecord</v>
      </c>
      <c r="H4" s="24" t="str">
        <f>IFERROR(__xludf.DUMMYFUNCTION("""COMPUTED_VALUE"""),"SelectPTTRecord")</f>
        <v>SelectPTTRecord</v>
      </c>
      <c r="I4" s="24" t="str">
        <f>IFERROR(__xludf.DUMMYFUNCTION("""COMPUTED_VALUE"""),"CalculatePTT")</f>
        <v>CalculatePTT</v>
      </c>
      <c r="J4" s="24" t="str">
        <f>IFERROR(__xludf.DUMMYFUNCTION("""COMPUTED_VALUE"""),"TradeUsingPTT")</f>
        <v>TradeUsingPTT</v>
      </c>
      <c r="K4" s="24" t="str">
        <f>IFERROR(__xludf.DUMMYFUNCTION("""COMPUTED_VALUE"""),"VerifyPTTCompliance")</f>
        <v>VerifyPTTCompliance</v>
      </c>
      <c r="L4" s="24" t="str">
        <f>IFERROR(__xludf.DUMMYFUNCTION("""COMPUTED_VALUE"""),"StageOrderUsingPTT")</f>
        <v>StageOrderUsingPTT</v>
      </c>
      <c r="M4" s="24" t="str">
        <f>IFERROR(__xludf.DUMMYFUNCTION("""COMPUTED_VALUE"""),"CreateOrderPTT")</f>
        <v>CreateOrderPTT</v>
      </c>
      <c r="N4" s="24" t="str">
        <f>IFERROR(__xludf.DUMMYFUNCTION("""COMPUTED_VALUE"""),"TradePTT")</f>
        <v>TradePTT</v>
      </c>
      <c r="O4" s="24" t="str">
        <f>IFERROR(__xludf.DUMMYFUNCTION("""COMPUTED_VALUE"""),"VerifyPTT")</f>
        <v>VerifyPTT</v>
      </c>
      <c r="P4" s="25" t="str">
        <f>IFERROR(__xludf.DUMMYFUNCTION("""COMPUTED_VALUE"""),"OpenMultiTTFromPTT")</f>
        <v>OpenMultiTTFromPTT</v>
      </c>
      <c r="Q4" s="25" t="str">
        <f>IFERROR(__xludf.DUMMYFUNCTION("""COMPUTED_VALUE"""),"SelectMultiTT")</f>
        <v>SelectMultiTT</v>
      </c>
      <c r="R4" s="25" t="str">
        <f>IFERROR(__xludf.DUMMYFUNCTION("""COMPUTED_VALUE"""),"EditMultiTT")</f>
        <v>EditMultiTT</v>
      </c>
      <c r="S4" s="25" t="str">
        <f>IFERROR(__xludf.DUMMYFUNCTION("""COMPUTED_VALUE"""),"SetLongShortPTTPreference")</f>
        <v>SetLongShortPTTPreference</v>
      </c>
      <c r="T4" s="25" t="str">
        <f>IFERROR(__xludf.DUMMYFUNCTION("""COMPUTED_VALUE"""),"SetPTTPreference")</f>
        <v>SetPTTPreference</v>
      </c>
      <c r="U4" s="25" t="str">
        <f>IFERROR(__xludf.DUMMYFUNCTION("""COMPUTED_VALUE"""),"SetAccountFactor")</f>
        <v>SetAccountFactor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8"/>
      <c r="D6" s="11">
        <v>1000.0</v>
      </c>
      <c r="E6" s="11">
        <v>100000.0</v>
      </c>
      <c r="F6" s="11"/>
      <c r="G6" s="11"/>
      <c r="H6" s="11">
        <v>30.0</v>
      </c>
      <c r="I6" s="11"/>
      <c r="J6" s="8"/>
      <c r="K6" s="8"/>
      <c r="L6" s="8"/>
      <c r="M6" s="11">
        <v>5.0</v>
      </c>
      <c r="N6" s="8"/>
      <c r="O6" s="8"/>
    </row>
    <row r="7" ht="15.75" customHeight="1">
      <c r="A7" s="8"/>
      <c r="B7" s="11" t="s">
        <v>19</v>
      </c>
      <c r="C7" s="8"/>
      <c r="D7" s="11">
        <v>1000.0</v>
      </c>
      <c r="E7" s="11">
        <v>100000.0</v>
      </c>
      <c r="F7" s="11"/>
      <c r="G7" s="11"/>
      <c r="H7" s="11">
        <v>30.0</v>
      </c>
      <c r="I7" s="11"/>
      <c r="J7" s="8"/>
      <c r="K7" s="8"/>
      <c r="L7" s="8"/>
      <c r="M7" s="11">
        <v>5.0</v>
      </c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IFERROR(__xludf.DUMMYFUNCTION("IF(C3="""","""",Transpose(IMPORTRANGE('_Settings'!$B$3,C3&amp;""!A4:A1000"")))"),"AutoStageImportFromPTTExport")</f>
        <v>AutoStageImportFromPTTExport</v>
      </c>
      <c r="C4" s="24" t="str">
        <f>IFERROR(__xludf.DUMMYFUNCTION("""COMPUTED_VALUE"""),"EditPTTAccountLevelWPF")</f>
        <v>EditPTTAccountLevelWPF</v>
      </c>
      <c r="D4" s="24" t="str">
        <f>IFERROR(__xludf.DUMMYFUNCTION("""COMPUTED_VALUE"""),"SetDefaultSymbology")</f>
        <v>SetDefaultSymbology</v>
      </c>
      <c r="E4" s="24" t="str">
        <f>IFERROR(__xludf.DUMMYFUNCTION("""COMPUTED_VALUE"""),"EditPTTWPFGrid")</f>
        <v>EditPTTWPFGrid</v>
      </c>
      <c r="F4" s="24" t="str">
        <f>IFERROR(__xludf.DUMMYFUNCTION("""COMPUTED_VALUE"""),"CreateOrderAfterEditPTT")</f>
        <v>CreateOrderAfterEditPTT</v>
      </c>
      <c r="G4" s="24" t="str">
        <f>IFERROR(__xludf.DUMMYFUNCTION("""COMPUTED_VALUE"""),"EditPTTRecord")</f>
        <v>EditPTTRecord</v>
      </c>
      <c r="H4" s="24" t="str">
        <f>IFERROR(__xludf.DUMMYFUNCTION("""COMPUTED_VALUE"""),"SelectPTTRecord")</f>
        <v>SelectPTTRecord</v>
      </c>
      <c r="I4" s="24" t="str">
        <f>IFERROR(__xludf.DUMMYFUNCTION("""COMPUTED_VALUE"""),"CalculatePTT")</f>
        <v>CalculatePTT</v>
      </c>
      <c r="J4" s="24" t="str">
        <f>IFERROR(__xludf.DUMMYFUNCTION("""COMPUTED_VALUE"""),"TradeUsingPTT")</f>
        <v>TradeUsingPTT</v>
      </c>
      <c r="K4" s="24" t="str">
        <f>IFERROR(__xludf.DUMMYFUNCTION("""COMPUTED_VALUE"""),"VerifyPTTCompliance")</f>
        <v>VerifyPTTCompliance</v>
      </c>
      <c r="L4" s="24" t="str">
        <f>IFERROR(__xludf.DUMMYFUNCTION("""COMPUTED_VALUE"""),"StageOrderUsingPTT")</f>
        <v>StageOrderUsingPTT</v>
      </c>
      <c r="M4" s="24" t="str">
        <f>IFERROR(__xludf.DUMMYFUNCTION("""COMPUTED_VALUE"""),"CreateOrderPTT")</f>
        <v>CreateOrderPTT</v>
      </c>
      <c r="N4" s="24" t="str">
        <f>IFERROR(__xludf.DUMMYFUNCTION("""COMPUTED_VALUE"""),"TradePTT")</f>
        <v>TradePTT</v>
      </c>
      <c r="O4" s="24" t="str">
        <f>IFERROR(__xludf.DUMMYFUNCTION("""COMPUTED_VALUE"""),"VerifyPTT")</f>
        <v>VerifyPTT</v>
      </c>
      <c r="P4" s="25" t="str">
        <f>IFERROR(__xludf.DUMMYFUNCTION("""COMPUTED_VALUE"""),"OpenMultiTTFromPTT")</f>
        <v>OpenMultiTTFromPTT</v>
      </c>
      <c r="Q4" s="25" t="str">
        <f>IFERROR(__xludf.DUMMYFUNCTION("""COMPUTED_VALUE"""),"SelectMultiTT")</f>
        <v>SelectMultiTT</v>
      </c>
      <c r="R4" s="25" t="str">
        <f>IFERROR(__xludf.DUMMYFUNCTION("""COMPUTED_VALUE"""),"EditMultiTT")</f>
        <v>EditMultiTT</v>
      </c>
      <c r="S4" s="25" t="str">
        <f>IFERROR(__xludf.DUMMYFUNCTION("""COMPUTED_VALUE"""),"SetLongShortPTTPreference")</f>
        <v>SetLongShortPTTPreference</v>
      </c>
      <c r="T4" s="25" t="str">
        <f>IFERROR(__xludf.DUMMYFUNCTION("""COMPUTED_VALUE"""),"SetPTTPreference")</f>
        <v>SetPTTPreference</v>
      </c>
      <c r="U4" s="25" t="str">
        <f>IFERROR(__xludf.DUMMYFUNCTION("""COMPUTED_VALUE"""),"SetAccountFactor")</f>
        <v>SetAccountFactor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31</v>
      </c>
      <c r="D6" s="11" t="s">
        <v>32</v>
      </c>
      <c r="E6" s="11">
        <v>30.0</v>
      </c>
      <c r="F6" s="11">
        <v>20.0</v>
      </c>
      <c r="G6" s="11" t="s">
        <v>33</v>
      </c>
      <c r="H6" s="11" t="s">
        <v>34</v>
      </c>
      <c r="I6" s="11" t="s">
        <v>35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IFERROR(__xludf.DUMMYFUNCTION("IF(C3="""","""",Transpose(IMPORTRANGE('_Settings'!$B$3,C3&amp;""!A4:A1000"")))"),"SelectCheckBoxOnOrderGrid")</f>
        <v>SelectCheckBoxOnOrderGrid</v>
      </c>
      <c r="C4" s="24" t="str">
        <f>IFERROR(__xludf.DUMMYFUNCTION("""COMPUTED_VALUE"""),"SaveOrRemoveInWorkingSubsTab")</f>
        <v>SaveOrRemoveInWorkingSubsTab</v>
      </c>
      <c r="D4" s="24" t="str">
        <f>IFERROR(__xludf.DUMMYFUNCTION("""COMPUTED_VALUE"""),"SaveOrRemoveInSummaryTab")</f>
        <v>SaveOrRemoveInSummaryTab</v>
      </c>
      <c r="E4" s="24" t="str">
        <f>IFERROR(__xludf.DUMMYFUNCTION("""COMPUTED_VALUE"""),"VerifyLowerStripBlotterUI")</f>
        <v>VerifyLowerStripBlotterUI</v>
      </c>
      <c r="F4" s="24" t="str">
        <f>IFERROR(__xludf.DUMMYFUNCTION("""COMPUTED_VALUE"""),"AddTabBlotter")</f>
        <v>AddTabBlotter</v>
      </c>
      <c r="G4" s="24" t="str">
        <f>IFERROR(__xludf.DUMMYFUNCTION("""COMPUTED_VALUE"""),"VerifyMergeOrder")</f>
        <v>VerifyMergeOrder</v>
      </c>
      <c r="H4" s="24" t="str">
        <f>IFERROR(__xludf.DUMMYFUNCTION("""COMPUTED_VALUE"""),"MergeOrder")</f>
        <v>MergeOrder</v>
      </c>
      <c r="I4" s="24" t="str">
        <f>IFERROR(__xludf.DUMMYFUNCTION("""COMPUTED_VALUE"""),"ReplaceFillsOnBlotter")</f>
        <v>ReplaceFillsOnBlotter</v>
      </c>
      <c r="J4" s="24" t="str">
        <f>IFERROR(__xludf.DUMMYFUNCTION("""COMPUTED_VALUE"""),"CheckBlotter")</f>
        <v>CheckBlotter</v>
      </c>
      <c r="K4" s="24" t="str">
        <f>IFERROR(__xludf.DUMMYFUNCTION("""COMPUTED_VALUE"""),"ViewPTTAllocationDetails")</f>
        <v>ViewPTTAllocationDetails</v>
      </c>
      <c r="L4" s="24" t="str">
        <f>IFERROR(__xludf.DUMMYFUNCTION("""COMPUTED_VALUE"""),"AllocateFromBlotter")</f>
        <v>AllocateFromBlotter</v>
      </c>
      <c r="M4" s="24" t="str">
        <f>IFERROR(__xludf.DUMMYFUNCTION("""COMPUTED_VALUE"""),"ModifyFills")</f>
        <v>ModifyFills</v>
      </c>
      <c r="N4" s="24" t="str">
        <f>IFERROR(__xludf.DUMMYFUNCTION("""COMPUTED_VALUE"""),"BlotterFunctionalities")</f>
        <v>BlotterFunctionalities</v>
      </c>
      <c r="O4" s="24" t="str">
        <f>IFERROR(__xludf.DUMMYFUNCTION("""COMPUTED_VALUE"""),"SelectFills")</f>
        <v>SelectFills</v>
      </c>
      <c r="P4" s="25" t="str">
        <f>IFERROR(__xludf.DUMMYFUNCTION("""COMPUTED_VALUE"""),"ReloadOrderFromWorkingSubs")</f>
        <v>ReloadOrderFromWorkingSubs</v>
      </c>
      <c r="Q4" s="25" t="str">
        <f>IFERROR(__xludf.DUMMYFUNCTION("""COMPUTED_VALUE"""),"ReloadOrderFromSubOrder")</f>
        <v>ReloadOrderFromSubOrder</v>
      </c>
      <c r="R4" s="25" t="str">
        <f>IFERROR(__xludf.DUMMYFUNCTION("""COMPUTED_VALUE"""),"ReloadOrderFromBlotter")</f>
        <v>ReloadOrderFromBlotter</v>
      </c>
      <c r="S4" s="25" t="str">
        <f>IFERROR(__xludf.DUMMYFUNCTION("""COMPUTED_VALUE"""),"MultipleTradeTransferToUser")</f>
        <v>MultipleTradeTransferToUser</v>
      </c>
      <c r="T4" s="25" t="str">
        <f>IFERROR(__xludf.DUMMYFUNCTION("""COMPUTED_VALUE"""),"BlotterExecutionReportSnapshot")</f>
        <v>BlotterExecutionReportSnapshot</v>
      </c>
      <c r="U4" s="25" t="str">
        <f>IFERROR(__xludf.DUMMYFUNCTION("""COMPUTED_VALUE"""),"VerifyExecutionReport")</f>
        <v>VerifyExecutionReport</v>
      </c>
      <c r="V4" s="25" t="str">
        <f>IFERROR(__xludf.DUMMYFUNCTION("""COMPUTED_VALUE"""),"ExportExecutionReportData")</f>
        <v>ExportExecutionReportData</v>
      </c>
      <c r="W4" s="25" t="str">
        <f>IFERROR(__xludf.DUMMYFUNCTION("""COMPUTED_VALUE"""),"GetExecutionReportDetails")</f>
        <v>GetExecutionReportDetails</v>
      </c>
      <c r="X4" s="25" t="str">
        <f>IFERROR(__xludf.DUMMYFUNCTION("""COMPUTED_VALUE"""),"GetExecutionReportOrders")</f>
        <v>GetExecutionReportOrders</v>
      </c>
      <c r="Y4" s="25" t="str">
        <f>IFERROR(__xludf.DUMMYFUNCTION("""COMPUTED_VALUE"""),"RemoveExecutionWorkingSubs")</f>
        <v>RemoveExecutionWorkingSubs</v>
      </c>
      <c r="Z4" s="25" t="str">
        <f>IFERROR(__xludf.DUMMYFUNCTION("""COMPUTED_VALUE"""),"RemoveManualExecution")</f>
        <v>RemoveManualExecution</v>
      </c>
      <c r="AA4" s="25" t="str">
        <f>IFERROR(__xludf.DUMMYFUNCTION("""COMPUTED_VALUE"""),"TransferToUserWorkingSubs")</f>
        <v>TransferToUserWorkingSubs</v>
      </c>
      <c r="AB4" s="25" t="str">
        <f>IFERROR(__xludf.DUMMYFUNCTION("""COMPUTED_VALUE"""),"OpenBlotter")</f>
        <v>OpenBlotter</v>
      </c>
      <c r="AC4" s="25" t="str">
        <f>IFERROR(__xludf.DUMMYFUNCTION("""COMPUTED_VALUE"""),"CancelWorkingSubs")</f>
        <v>CancelWorkingSubs</v>
      </c>
      <c r="AD4" s="25" t="str">
        <f>IFERROR(__xludf.DUMMYFUNCTION("""COMPUTED_VALUE"""),"ReplaceWorkingSubs")</f>
        <v>ReplaceWorkingSubs</v>
      </c>
      <c r="AE4" s="25" t="str">
        <f>IFERROR(__xludf.DUMMYFUNCTION("""COMPUTED_VALUE"""),"ViewAllocationDetailsWorkingSub")</f>
        <v>ViewAllocationDetailsWorkingSub</v>
      </c>
      <c r="AF4" s="25" t="str">
        <f>IFERROR(__xludf.DUMMYFUNCTION("""COMPUTED_VALUE"""),"OpenBlotter")</f>
        <v>OpenBlotter</v>
      </c>
      <c r="AG4" s="25" t="str">
        <f>IFERROR(__xludf.DUMMYFUNCTION("""COMPUTED_VALUE"""),"SelectTradeOnOrderGrid")</f>
        <v>SelectTradeOnOrderGrid</v>
      </c>
      <c r="AH4" s="25" t="str">
        <f>IFERROR(__xludf.DUMMYFUNCTION("""COMPUTED_VALUE"""),"ShowDetailsForAlgoTradeSubOrder")</f>
        <v>ShowDetailsForAlgoTradeSubOrder</v>
      </c>
      <c r="AI4" s="25" t="str">
        <f>IFERROR(__xludf.DUMMYFUNCTION("""COMPUTED_VALUE"""),"SelectTradeOrderBlotter")</f>
        <v>SelectTradeOrderBlotter</v>
      </c>
      <c r="AJ4" s="25" t="str">
        <f>IFERROR(__xludf.DUMMYFUNCTION("""COMPUTED_VALUE"""),"AddFillsWorkingSubs")</f>
        <v>AddFillsWorkingSubs</v>
      </c>
      <c r="AK4" s="25" t="str">
        <f>IFERROR(__xludf.DUMMYFUNCTION("""COMPUTED_VALUE"""),"EditAddFillsDetails")</f>
        <v>EditAddFillsDetails</v>
      </c>
      <c r="AL4" s="25" t="str">
        <f>IFERROR(__xludf.DUMMYFUNCTION("""COMPUTED_VALUE"""),"ShowDetailsForAlgoTradeWorkingSubs")</f>
        <v>ShowDetailsForAlgoTradeWorkingSubs</v>
      </c>
      <c r="AM4" s="25" t="str">
        <f>IFERROR(__xludf.DUMMYFUNCTION("""COMPUTED_VALUE"""),"VerifyWorkingSubs")</f>
        <v>VerifyWorkingSubs</v>
      </c>
      <c r="AN4" s="25" t="str">
        <f>IFERROR(__xludf.DUMMYFUNCTION("""COMPUTED_VALUE"""),"TransferToUserOrder")</f>
        <v>TransferToUserOrder</v>
      </c>
      <c r="AO4" s="25" t="str">
        <f>IFERROR(__xludf.DUMMYFUNCTION("""COMPUTED_VALUE"""),"EditOrder")</f>
        <v>EditOrder</v>
      </c>
      <c r="AP4" s="25" t="str">
        <f>IFERROR(__xludf.DUMMYFUNCTION("""COMPUTED_VALUE"""),"SelectTradeSubOrderBlotter")</f>
        <v>SelectTradeSubOrderBlotter</v>
      </c>
      <c r="AQ4" s="25" t="str">
        <f>IFERROR(__xludf.DUMMYFUNCTION("""COMPUTED_VALUE"""),"VerifyOrder")</f>
        <v>VerifyOrder</v>
      </c>
      <c r="AR4" s="25" t="str">
        <f>IFERROR(__xludf.DUMMYFUNCTION("""COMPUTED_VALUE"""),"VerifySubOrder")</f>
        <v>VerifySubOrder</v>
      </c>
      <c r="AS4" s="25" t="str">
        <f>IFERROR(__xludf.DUMMYFUNCTION("""COMPUTED_VALUE"""),"RemoveSelectedOrders")</f>
        <v>RemoveSelectedOrders</v>
      </c>
      <c r="AT4" s="25" t="str">
        <f>IFERROR(__xludf.DUMMYFUNCTION("""COMPUTED_VALUE"""),"CancelAllSelectedSubs")</f>
        <v>CancelAllSelectedSubs</v>
      </c>
      <c r="AU4" s="25" t="str">
        <f>IFERROR(__xludf.DUMMYFUNCTION("""COMPUTED_VALUE"""),"MultiTradingTicket")</f>
        <v>MultiTradingTicket</v>
      </c>
      <c r="AV4" s="25" t="str">
        <f>IFERROR(__xludf.DUMMYFUNCTION("""COMPUTED_VALUE"""),"AuditTrailOrderBlotter")</f>
        <v>AuditTrailOrderBlotter</v>
      </c>
      <c r="AW4" s="25" t="str">
        <f>IFERROR(__xludf.DUMMYFUNCTION("""COMPUTED_VALUE"""),"TradeNewSubOrder")</f>
        <v>TradeNewSubOrder</v>
      </c>
      <c r="AX4" s="25" t="str">
        <f>IFERROR(__xludf.DUMMYFUNCTION("""COMPUTED_VALUE"""),"RemoveStageOrder")</f>
        <v>RemoveStageOrder</v>
      </c>
      <c r="AY4" s="25" t="str">
        <f>IFERROR(__xludf.DUMMYFUNCTION("""COMPUTED_VALUE"""),"TransferToUserSubOrder")</f>
        <v>TransferToUserSubOrder</v>
      </c>
      <c r="AZ4" s="25" t="str">
        <f>IFERROR(__xludf.DUMMYFUNCTION("""COMPUTED_VALUE"""),"DetailsForAlgoTradeOrder")</f>
        <v>DetailsForAlgoTradeOrder</v>
      </c>
      <c r="BA4" s="25" t="str">
        <f>IFERROR(__xludf.DUMMYFUNCTION("""COMPUTED_VALUE"""),"AddFillsSubOrder")</f>
        <v>AddFillsSubOrder</v>
      </c>
      <c r="BB4" s="25" t="str">
        <f>IFERROR(__xludf.DUMMYFUNCTION("""COMPUTED_VALUE"""),"ViewAllocationDetailsSubOrder")</f>
        <v>ViewAllocationDetailsSubOrder</v>
      </c>
      <c r="BC4" s="25" t="str">
        <f>IFERROR(__xludf.DUMMYFUNCTION("""COMPUTED_VALUE"""),"VerifySubOrderAfterRollover")</f>
        <v>VerifySubOrderAfterRollover</v>
      </c>
      <c r="BD4" s="25" t="str">
        <f>IFERROR(__xludf.DUMMYFUNCTION("""COMPUTED_VALUE"""),"VerifyRollover")</f>
        <v>VerifyRollover</v>
      </c>
      <c r="BE4" s="25" t="str">
        <f>IFERROR(__xludf.DUMMYFUNCTION("""COMPUTED_VALUE"""),"CancelAllSubs")</f>
        <v>CancelAllSubs</v>
      </c>
      <c r="BF4" s="25" t="str">
        <f>IFERROR(__xludf.DUMMYFUNCTION("""COMPUTED_VALUE"""),"CancelSubOrder")</f>
        <v>CancelSubOrder</v>
      </c>
      <c r="BG4" s="25" t="str">
        <f>IFERROR(__xludf.DUMMYFUNCTION("""COMPUTED_VALUE"""),"EditStageOrder")</f>
        <v>EditStageOrder</v>
      </c>
      <c r="BH4" s="25" t="str">
        <f>IFERROR(__xludf.DUMMYFUNCTION("""COMPUTED_VALUE"""),"ReplaceSubOrder")</f>
        <v>ReplaceSubOrder</v>
      </c>
      <c r="BI4" s="25" t="str">
        <f>IFERROR(__xludf.DUMMYFUNCTION("""COMPUTED_VALUE"""),"SelectTradeWorkingSubsBlotter")</f>
        <v>SelectTradeWorkingSubsBlotter</v>
      </c>
      <c r="BJ4" s="25" t="str">
        <f>IFERROR(__xludf.DUMMYFUNCTION("""COMPUTED_VALUE"""),"GoToAllocation")</f>
        <v>GoToAllocation</v>
      </c>
      <c r="BK4" s="25" t="str">
        <f>IFERROR(__xludf.DUMMYFUNCTION("""COMPUTED_VALUE"""),"VerifyAlgoDetails")</f>
        <v>VerifyAlgoDetails</v>
      </c>
      <c r="BL4" s="25" t="str">
        <f>IFERROR(__xludf.DUMMYFUNCTION("""COMPUTED_VALUE"""),"VerifyTransferToUserOrder")</f>
        <v>VerifyTransferToUserOrder</v>
      </c>
      <c r="BM4" s="25" t="str">
        <f>IFERROR(__xludf.DUMMYFUNCTION("""COMPUTED_VALUE"""),"VerifyTransferToUserSubOdr")</f>
        <v>VerifyTransferToUserSubOdr</v>
      </c>
      <c r="BN4" s="25" t="str">
        <f>IFERROR(__xludf.DUMMYFUNCTION("""COMPUTED_VALUE"""),"VerifyTransferToUserWorkSub")</f>
        <v>VerifyTransferToUserWorkSub</v>
      </c>
      <c r="BO4" s="25" t="str">
        <f>IFERROR(__xludf.DUMMYFUNCTION("""COMPUTED_VALUE"""),"VerifyViewAllocationDetails")</f>
        <v>VerifyViewAllocationDetails</v>
      </c>
      <c r="BP4" s="25" t="str">
        <f>IFERROR(__xludf.DUMMYFUNCTION("""COMPUTED_VALUE"""),"SaveLayoutOrderGrid")</f>
        <v>SaveLayoutOrderGrid</v>
      </c>
      <c r="BQ4" s="25" t="str">
        <f>IFERROR(__xludf.DUMMYFUNCTION("""COMPUTED_VALUE"""),"ReplaceStageOrder")</f>
        <v>ReplaceStageOrder</v>
      </c>
      <c r="BR4" s="25" t="str">
        <f>IFERROR(__xludf.DUMMYFUNCTION("""COMPUTED_VALUE"""),"MultiTradingTicketFromBlotter")</f>
        <v>MultiTradingTicketFromBlotter</v>
      </c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100.0</v>
      </c>
      <c r="E6" s="31"/>
      <c r="F6" s="11">
        <v>0.0</v>
      </c>
      <c r="G6" s="8"/>
      <c r="H6" s="8"/>
      <c r="I6" s="8"/>
      <c r="J6" s="8"/>
      <c r="K6" s="8"/>
      <c r="L6" s="8"/>
      <c r="M6" s="8"/>
      <c r="N6" s="8"/>
      <c r="O6" s="8"/>
      <c r="AD6" s="9">
        <v>5.0</v>
      </c>
      <c r="AI6" s="9" t="s">
        <v>22</v>
      </c>
      <c r="AK6" s="9" t="s">
        <v>40</v>
      </c>
      <c r="AL6" s="9">
        <v>1040.0</v>
      </c>
      <c r="AQ6" s="9">
        <v>20.0</v>
      </c>
      <c r="AR6" s="9">
        <v>20.0</v>
      </c>
      <c r="AU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31"/>
      <c r="F6" s="8"/>
      <c r="G6" s="8"/>
      <c r="H6" s="8"/>
      <c r="I6" s="8"/>
      <c r="J6" s="11">
        <v>20.0</v>
      </c>
      <c r="K6" s="8"/>
      <c r="L6" s="8"/>
      <c r="M6" s="8"/>
      <c r="N6" s="8"/>
      <c r="O6" s="11">
        <v>0.2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IFERROR(__xludf.DUMMYFUNCTION("IF(C3="""","""",Transpose(IMPORTRANGE('_Settings'!$B$3,C3&amp;""!A4:A1000"")))"),"SelectCheckBoxOnOrderGrid")</f>
        <v>SelectCheckBoxOnOrderGrid</v>
      </c>
      <c r="C4" s="24" t="str">
        <f>IFERROR(__xludf.DUMMYFUNCTION("""COMPUTED_VALUE"""),"SaveOrRemoveInWorkingSubsTab")</f>
        <v>SaveOrRemoveInWorkingSubsTab</v>
      </c>
      <c r="D4" s="24" t="str">
        <f>IFERROR(__xludf.DUMMYFUNCTION("""COMPUTED_VALUE"""),"SaveOrRemoveInSummaryTab")</f>
        <v>SaveOrRemoveInSummaryTab</v>
      </c>
      <c r="E4" s="24" t="str">
        <f>IFERROR(__xludf.DUMMYFUNCTION("""COMPUTED_VALUE"""),"VerifyLowerStripBlotterUI")</f>
        <v>VerifyLowerStripBlotterUI</v>
      </c>
      <c r="F4" s="24" t="str">
        <f>IFERROR(__xludf.DUMMYFUNCTION("""COMPUTED_VALUE"""),"AddTabBlotter")</f>
        <v>AddTabBlotter</v>
      </c>
      <c r="G4" s="24" t="str">
        <f>IFERROR(__xludf.DUMMYFUNCTION("""COMPUTED_VALUE"""),"VerifyMergeOrder")</f>
        <v>VerifyMergeOrder</v>
      </c>
      <c r="H4" s="24" t="str">
        <f>IFERROR(__xludf.DUMMYFUNCTION("""COMPUTED_VALUE"""),"MergeOrder")</f>
        <v>MergeOrder</v>
      </c>
      <c r="I4" s="24" t="str">
        <f>IFERROR(__xludf.DUMMYFUNCTION("""COMPUTED_VALUE"""),"ReplaceFillsOnBlotter")</f>
        <v>ReplaceFillsOnBlotter</v>
      </c>
      <c r="J4" s="24" t="str">
        <f>IFERROR(__xludf.DUMMYFUNCTION("""COMPUTED_VALUE"""),"CheckBlotter")</f>
        <v>CheckBlotter</v>
      </c>
      <c r="K4" s="24" t="str">
        <f>IFERROR(__xludf.DUMMYFUNCTION("""COMPUTED_VALUE"""),"ViewPTTAllocationDetails")</f>
        <v>ViewPTTAllocationDetails</v>
      </c>
      <c r="L4" s="24" t="str">
        <f>IFERROR(__xludf.DUMMYFUNCTION("""COMPUTED_VALUE"""),"AllocateFromBlotter")</f>
        <v>AllocateFromBlotter</v>
      </c>
      <c r="M4" s="24" t="str">
        <f>IFERROR(__xludf.DUMMYFUNCTION("""COMPUTED_VALUE"""),"ModifyFills")</f>
        <v>ModifyFills</v>
      </c>
      <c r="N4" s="24" t="str">
        <f>IFERROR(__xludf.DUMMYFUNCTION("""COMPUTED_VALUE"""),"BlotterFunctionalities")</f>
        <v>BlotterFunctionalities</v>
      </c>
      <c r="O4" s="24" t="str">
        <f>IFERROR(__xludf.DUMMYFUNCTION("""COMPUTED_VALUE"""),"SelectFills")</f>
        <v>SelectFills</v>
      </c>
      <c r="P4" s="25" t="str">
        <f>IFERROR(__xludf.DUMMYFUNCTION("""COMPUTED_VALUE"""),"ReloadOrderFromWorkingSubs")</f>
        <v>ReloadOrderFromWorkingSubs</v>
      </c>
      <c r="Q4" s="25" t="str">
        <f>IFERROR(__xludf.DUMMYFUNCTION("""COMPUTED_VALUE"""),"ReloadOrderFromSubOrder")</f>
        <v>ReloadOrderFromSubOrder</v>
      </c>
      <c r="R4" s="25" t="str">
        <f>IFERROR(__xludf.DUMMYFUNCTION("""COMPUTED_VALUE"""),"ReloadOrderFromBlotter")</f>
        <v>ReloadOrderFromBlotter</v>
      </c>
      <c r="S4" s="25" t="str">
        <f>IFERROR(__xludf.DUMMYFUNCTION("""COMPUTED_VALUE"""),"MultipleTradeTransferToUser")</f>
        <v>MultipleTradeTransferToUser</v>
      </c>
      <c r="T4" s="25" t="str">
        <f>IFERROR(__xludf.DUMMYFUNCTION("""COMPUTED_VALUE"""),"BlotterExecutionReportSnapshot")</f>
        <v>BlotterExecutionReportSnapshot</v>
      </c>
      <c r="U4" s="25" t="str">
        <f>IFERROR(__xludf.DUMMYFUNCTION("""COMPUTED_VALUE"""),"VerifyExecutionReport")</f>
        <v>VerifyExecutionReport</v>
      </c>
      <c r="V4" s="25" t="str">
        <f>IFERROR(__xludf.DUMMYFUNCTION("""COMPUTED_VALUE"""),"ExportExecutionReportData")</f>
        <v>ExportExecutionReportData</v>
      </c>
      <c r="W4" s="25" t="str">
        <f>IFERROR(__xludf.DUMMYFUNCTION("""COMPUTED_VALUE"""),"GetExecutionReportDetails")</f>
        <v>GetExecutionReportDetails</v>
      </c>
      <c r="X4" s="25" t="str">
        <f>IFERROR(__xludf.DUMMYFUNCTION("""COMPUTED_VALUE"""),"GetExecutionReportOrders")</f>
        <v>GetExecutionReportOrders</v>
      </c>
      <c r="Y4" s="25" t="str">
        <f>IFERROR(__xludf.DUMMYFUNCTION("""COMPUTED_VALUE"""),"RemoveExecutionWorkingSubs")</f>
        <v>RemoveExecutionWorkingSubs</v>
      </c>
      <c r="Z4" s="25" t="str">
        <f>IFERROR(__xludf.DUMMYFUNCTION("""COMPUTED_VALUE"""),"RemoveManualExecution")</f>
        <v>RemoveManualExecution</v>
      </c>
      <c r="AA4" s="25" t="str">
        <f>IFERROR(__xludf.DUMMYFUNCTION("""COMPUTED_VALUE"""),"TransferToUserWorkingSubs")</f>
        <v>TransferToUserWorkingSubs</v>
      </c>
      <c r="AB4" s="25" t="str">
        <f>IFERROR(__xludf.DUMMYFUNCTION("""COMPUTED_VALUE"""),"OpenBlotter")</f>
        <v>OpenBlotter</v>
      </c>
      <c r="AC4" s="25" t="str">
        <f>IFERROR(__xludf.DUMMYFUNCTION("""COMPUTED_VALUE"""),"CancelWorkingSubs")</f>
        <v>CancelWorkingSubs</v>
      </c>
      <c r="AD4" s="25" t="str">
        <f>IFERROR(__xludf.DUMMYFUNCTION("""COMPUTED_VALUE"""),"ReplaceWorkingSubs")</f>
        <v>ReplaceWorkingSubs</v>
      </c>
      <c r="AE4" s="25" t="str">
        <f>IFERROR(__xludf.DUMMYFUNCTION("""COMPUTED_VALUE"""),"ViewAllocationDetailsWorkingSub")</f>
        <v>ViewAllocationDetailsWorkingSub</v>
      </c>
      <c r="AF4" s="25" t="str">
        <f>IFERROR(__xludf.DUMMYFUNCTION("""COMPUTED_VALUE"""),"OpenBlotter")</f>
        <v>OpenBlotter</v>
      </c>
      <c r="AG4" s="25" t="str">
        <f>IFERROR(__xludf.DUMMYFUNCTION("""COMPUTED_VALUE"""),"SelectTradeOnOrderGrid")</f>
        <v>SelectTradeOnOrderGrid</v>
      </c>
      <c r="AH4" s="25" t="str">
        <f>IFERROR(__xludf.DUMMYFUNCTION("""COMPUTED_VALUE"""),"ShowDetailsForAlgoTradeSubOrder")</f>
        <v>ShowDetailsForAlgoTradeSubOrder</v>
      </c>
      <c r="AI4" s="25" t="str">
        <f>IFERROR(__xludf.DUMMYFUNCTION("""COMPUTED_VALUE"""),"SelectTradeOrderBlotter")</f>
        <v>SelectTradeOrderBlotter</v>
      </c>
      <c r="AJ4" s="25" t="str">
        <f>IFERROR(__xludf.DUMMYFUNCTION("""COMPUTED_VALUE"""),"AddFillsWorkingSubs")</f>
        <v>AddFillsWorkingSubs</v>
      </c>
      <c r="AK4" s="25" t="str">
        <f>IFERROR(__xludf.DUMMYFUNCTION("""COMPUTED_VALUE"""),"EditAddFillsDetails")</f>
        <v>EditAddFillsDetails</v>
      </c>
      <c r="AL4" s="25" t="str">
        <f>IFERROR(__xludf.DUMMYFUNCTION("""COMPUTED_VALUE"""),"ShowDetailsForAlgoTradeWorkingSubs")</f>
        <v>ShowDetailsForAlgoTradeWorkingSubs</v>
      </c>
      <c r="AM4" s="25" t="str">
        <f>IFERROR(__xludf.DUMMYFUNCTION("""COMPUTED_VALUE"""),"VerifyWorkingSubs")</f>
        <v>VerifyWorkingSubs</v>
      </c>
      <c r="AN4" s="25" t="str">
        <f>IFERROR(__xludf.DUMMYFUNCTION("""COMPUTED_VALUE"""),"TransferToUserOrder")</f>
        <v>TransferToUserOrder</v>
      </c>
      <c r="AO4" s="25" t="str">
        <f>IFERROR(__xludf.DUMMYFUNCTION("""COMPUTED_VALUE"""),"EditOrder")</f>
        <v>EditOrder</v>
      </c>
      <c r="AP4" s="25" t="str">
        <f>IFERROR(__xludf.DUMMYFUNCTION("""COMPUTED_VALUE"""),"SelectTradeSubOrderBlotter")</f>
        <v>SelectTradeSubOrderBlotter</v>
      </c>
      <c r="AQ4" s="25" t="str">
        <f>IFERROR(__xludf.DUMMYFUNCTION("""COMPUTED_VALUE"""),"VerifyOrder")</f>
        <v>VerifyOrder</v>
      </c>
      <c r="AR4" s="25" t="str">
        <f>IFERROR(__xludf.DUMMYFUNCTION("""COMPUTED_VALUE"""),"VerifySubOrder")</f>
        <v>VerifySubOrder</v>
      </c>
      <c r="AS4" s="25" t="str">
        <f>IFERROR(__xludf.DUMMYFUNCTION("""COMPUTED_VALUE"""),"RemoveSelectedOrders")</f>
        <v>RemoveSelectedOrders</v>
      </c>
      <c r="AT4" s="25" t="str">
        <f>IFERROR(__xludf.DUMMYFUNCTION("""COMPUTED_VALUE"""),"CancelAllSelectedSubs")</f>
        <v>CancelAllSelectedSubs</v>
      </c>
      <c r="AU4" s="25" t="str">
        <f>IFERROR(__xludf.DUMMYFUNCTION("""COMPUTED_VALUE"""),"MultiTradingTicket")</f>
        <v>MultiTradingTicket</v>
      </c>
      <c r="AV4" s="25" t="str">
        <f>IFERROR(__xludf.DUMMYFUNCTION("""COMPUTED_VALUE"""),"AuditTrailOrderBlotter")</f>
        <v>AuditTrailOrderBlotter</v>
      </c>
      <c r="AW4" s="25" t="str">
        <f>IFERROR(__xludf.DUMMYFUNCTION("""COMPUTED_VALUE"""),"TradeNewSubOrder")</f>
        <v>TradeNewSubOrder</v>
      </c>
      <c r="AX4" s="25" t="str">
        <f>IFERROR(__xludf.DUMMYFUNCTION("""COMPUTED_VALUE"""),"RemoveStageOrder")</f>
        <v>RemoveStageOrder</v>
      </c>
      <c r="AY4" s="25" t="str">
        <f>IFERROR(__xludf.DUMMYFUNCTION("""COMPUTED_VALUE"""),"TransferToUserSubOrder")</f>
        <v>TransferToUserSubOrder</v>
      </c>
      <c r="AZ4" s="25" t="str">
        <f>IFERROR(__xludf.DUMMYFUNCTION("""COMPUTED_VALUE"""),"DetailsForAlgoTradeOrder")</f>
        <v>DetailsForAlgoTradeOrder</v>
      </c>
      <c r="BA4" s="25" t="str">
        <f>IFERROR(__xludf.DUMMYFUNCTION("""COMPUTED_VALUE"""),"AddFillsSubOrder")</f>
        <v>AddFillsSubOrder</v>
      </c>
      <c r="BB4" s="25" t="str">
        <f>IFERROR(__xludf.DUMMYFUNCTION("""COMPUTED_VALUE"""),"ViewAllocationDetailsSubOrder")</f>
        <v>ViewAllocationDetailsSubOrder</v>
      </c>
      <c r="BC4" s="25" t="str">
        <f>IFERROR(__xludf.DUMMYFUNCTION("""COMPUTED_VALUE"""),"VerifySubOrderAfterRollover")</f>
        <v>VerifySubOrderAfterRollover</v>
      </c>
      <c r="BD4" s="25" t="str">
        <f>IFERROR(__xludf.DUMMYFUNCTION("""COMPUTED_VALUE"""),"VerifyRollover")</f>
        <v>VerifyRollover</v>
      </c>
      <c r="BE4" s="25" t="str">
        <f>IFERROR(__xludf.DUMMYFUNCTION("""COMPUTED_VALUE"""),"CancelAllSubs")</f>
        <v>CancelAllSubs</v>
      </c>
      <c r="BF4" s="25" t="str">
        <f>IFERROR(__xludf.DUMMYFUNCTION("""COMPUTED_VALUE"""),"CancelSubOrder")</f>
        <v>CancelSubOrder</v>
      </c>
      <c r="BG4" s="25" t="str">
        <f>IFERROR(__xludf.DUMMYFUNCTION("""COMPUTED_VALUE"""),"EditStageOrder")</f>
        <v>EditStageOrder</v>
      </c>
      <c r="BH4" s="25" t="str">
        <f>IFERROR(__xludf.DUMMYFUNCTION("""COMPUTED_VALUE"""),"ReplaceSubOrder")</f>
        <v>ReplaceSubOrder</v>
      </c>
      <c r="BI4" s="25" t="str">
        <f>IFERROR(__xludf.DUMMYFUNCTION("""COMPUTED_VALUE"""),"SelectTradeWorkingSubsBlotter")</f>
        <v>SelectTradeWorkingSubsBlotter</v>
      </c>
      <c r="BJ4" s="25" t="str">
        <f>IFERROR(__xludf.DUMMYFUNCTION("""COMPUTED_VALUE"""),"GoToAllocation")</f>
        <v>GoToAllocation</v>
      </c>
      <c r="BK4" s="25" t="str">
        <f>IFERROR(__xludf.DUMMYFUNCTION("""COMPUTED_VALUE"""),"VerifyAlgoDetails")</f>
        <v>VerifyAlgoDetails</v>
      </c>
      <c r="BL4" s="25" t="str">
        <f>IFERROR(__xludf.DUMMYFUNCTION("""COMPUTED_VALUE"""),"VerifyTransferToUserOrder")</f>
        <v>VerifyTransferToUserOrder</v>
      </c>
      <c r="BM4" s="25" t="str">
        <f>IFERROR(__xludf.DUMMYFUNCTION("""COMPUTED_VALUE"""),"VerifyTransferToUserSubOdr")</f>
        <v>VerifyTransferToUserSubOdr</v>
      </c>
      <c r="BN4" s="25" t="str">
        <f>IFERROR(__xludf.DUMMYFUNCTION("""COMPUTED_VALUE"""),"VerifyTransferToUserWorkSub")</f>
        <v>VerifyTransferToUserWorkSub</v>
      </c>
      <c r="BO4" s="25" t="str">
        <f>IFERROR(__xludf.DUMMYFUNCTION("""COMPUTED_VALUE"""),"VerifyViewAllocationDetails")</f>
        <v>VerifyViewAllocationDetails</v>
      </c>
      <c r="BP4" s="25" t="str">
        <f>IFERROR(__xludf.DUMMYFUNCTION("""COMPUTED_VALUE"""),"SaveLayoutOrderGrid")</f>
        <v>SaveLayoutOrderGrid</v>
      </c>
      <c r="BQ4" s="25" t="str">
        <f>IFERROR(__xludf.DUMMYFUNCTION("""COMPUTED_VALUE"""),"ReplaceStageOrder")</f>
        <v>ReplaceStageOrder</v>
      </c>
      <c r="BR4" s="25" t="str">
        <f>IFERROR(__xludf.DUMMYFUNCTION("""COMPUTED_VALUE"""),"MultiTradingTicketFromBlotter")</f>
        <v>MultiTradingTicketFromBlotter</v>
      </c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1"/>
      <c r="F6" s="11">
        <v>0.0</v>
      </c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K6" s="9" t="s">
        <v>43</v>
      </c>
      <c r="AL6" s="9">
        <v>1040.0</v>
      </c>
      <c r="AQ6" s="9">
        <v>20.0</v>
      </c>
      <c r="AR6" s="9">
        <v>20.0</v>
      </c>
      <c r="AT6" s="9" t="s">
        <v>44</v>
      </c>
      <c r="AU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47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Z6" s="9" t="s">
        <v>27</v>
      </c>
      <c r="AI6" s="9">
        <v>0.5</v>
      </c>
      <c r="AY6" s="9" t="s">
        <v>41</v>
      </c>
      <c r="BO6" s="9" t="s">
        <v>49</v>
      </c>
      <c r="BT6" s="9" t="s">
        <v>22</v>
      </c>
    </row>
    <row r="7" ht="15.75" customHeight="1">
      <c r="A7" s="8"/>
      <c r="B7" s="11" t="s">
        <v>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Z7" s="9" t="s">
        <v>27</v>
      </c>
      <c r="AI7" s="9">
        <v>0.5</v>
      </c>
      <c r="AY7" s="9" t="s">
        <v>41</v>
      </c>
      <c r="BO7" s="9" t="s">
        <v>49</v>
      </c>
      <c r="BT7" s="9" t="s">
        <v>22</v>
      </c>
    </row>
    <row r="8" ht="15.75" customHeight="1">
      <c r="A8" s="8"/>
      <c r="B8" s="11" t="s">
        <v>44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Z8" s="9" t="s">
        <v>27</v>
      </c>
      <c r="AI8" s="9">
        <v>0.2</v>
      </c>
      <c r="AY8" s="9" t="s">
        <v>41</v>
      </c>
      <c r="BO8" s="9" t="s">
        <v>50</v>
      </c>
      <c r="BT8" s="9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IFERROR(__xludf.DUMMYFUNCTION("""COMPUTED_VALUE"""),"IncreasePositionFromPM")</f>
        <v>IncreasePositionFromPM</v>
      </c>
      <c r="G4" s="24" t="str">
        <f>IFERROR(__xludf.DUMMYFUNCTION("""COMPUTED_VALUE"""),"ClosePM")</f>
        <v>ClosePM</v>
      </c>
      <c r="H4" s="24" t="str">
        <f>IFERROR(__xludf.DUMMYFUNCTION("""COMPUTED_VALUE"""),"RemoveGroupingFromPM")</f>
        <v>RemoveGroupingFromPM</v>
      </c>
      <c r="I4" s="24" t="str">
        <f>IFERROR(__xludf.DUMMYFUNCTION("""COMPUTED_VALUE"""),"OpenCreateTransactionFromPM")</f>
        <v>OpenCreateTransactionFromPM</v>
      </c>
      <c r="J4" s="24" t="str">
        <f>IFERROR(__xludf.DUMMYFUNCTION("""COMPUTED_VALUE"""),"FilterPM")</f>
        <v>FilterPM</v>
      </c>
      <c r="K4" s="24" t="str">
        <f>IFERROR(__xludf.DUMMYFUNCTION("""COMPUTED_VALUE"""),"GroupRowPM")</f>
        <v>GroupRowPM</v>
      </c>
      <c r="L4" s="24" t="str">
        <f>IFERROR(__xludf.DUMMYFUNCTION("""COMPUTED_VALUE"""),"CheckDashboardWithPM")</f>
        <v>CheckDashboardWithPM</v>
      </c>
      <c r="M4" s="24" t="str">
        <f>IFERROR(__xludf.DUMMYFUNCTION("""COMPUTED_VALUE"""),"RemoveFilterPM")</f>
        <v>RemoveFilterPM</v>
      </c>
      <c r="N4" s="24" t="str">
        <f>IFERROR(__xludf.DUMMYFUNCTION("""COMPUTED_VALUE"""),"CheckSummaryRowsPM")</f>
        <v>CheckSummaryRowsPM</v>
      </c>
      <c r="O4" s="24" t="str">
        <f>IFERROR(__xludf.DUMMYFUNCTION("""COMPUTED_VALUE"""),"OpenPTTFromPM")</f>
        <v>OpenPTTFromPM</v>
      </c>
      <c r="P4" s="25" t="str">
        <f>IFERROR(__xludf.DUMMYFUNCTION("""COMPUTED_VALUE"""),"DeleteCustomViewPM")</f>
        <v>DeleteCustomViewPM</v>
      </c>
      <c r="Q4" s="25" t="str">
        <f>IFERROR(__xludf.DUMMYFUNCTION("""COMPUTED_VALUE"""),"RenameCustomViewPM")</f>
        <v>RenameCustomViewPM</v>
      </c>
      <c r="R4" s="25" t="str">
        <f>IFERROR(__xludf.DUMMYFUNCTION("""COMPUTED_VALUE"""),"AddCustomViewRightClickPM")</f>
        <v>AddCustomViewRightClickPM</v>
      </c>
      <c r="S4" s="25" t="str">
        <f>IFERROR(__xludf.DUMMYFUNCTION("""COMPUTED_VALUE"""),"AddCustomViewPM")</f>
        <v>AddCustomViewPM</v>
      </c>
      <c r="T4" s="25" t="str">
        <f>IFERROR(__xludf.DUMMYFUNCTION("""COMPUTED_VALUE"""),"ExpandCollapsePM")</f>
        <v>ExpandCollapsePM</v>
      </c>
      <c r="U4" s="25" t="str">
        <f>IFERROR(__xludf.DUMMYFUNCTION("""COMPUTED_VALUE"""),"CloseSelectedTaxlotsFromPM")</f>
        <v>CloseSelectedTaxlotsFromPM</v>
      </c>
      <c r="V4" s="25" t="str">
        <f>IFERROR(__xludf.DUMMYFUNCTION("""COMPUTED_VALUE"""),"CloseAccountPositionFromPM")</f>
        <v>CloseAccountPositionFromPM</v>
      </c>
      <c r="W4" s="25" t="str">
        <f>IFERROR(__xludf.DUMMYFUNCTION("""COMPUTED_VALUE"""),"HideSummaryToolFromPM")</f>
        <v>HideSummaryToolFromPM</v>
      </c>
      <c r="X4" s="25" t="str">
        <f>IFERROR(__xludf.DUMMYFUNCTION("""COMPUTED_VALUE"""),"ShowSummaryToolFromPM")</f>
        <v>ShowSummaryToolFromPM</v>
      </c>
      <c r="Y4" s="25" t="str">
        <f>IFERROR(__xludf.DUMMYFUNCTION("""COMPUTED_VALUE"""),"ClosePositionFromPM")</f>
        <v>ClosePositionFromPM</v>
      </c>
      <c r="Z4" s="25" t="str">
        <f>IFERROR(__xludf.DUMMYFUNCTION("""COMPUTED_VALUE"""),"OpenDailyValuationFromPM")</f>
        <v>OpenDailyValuationFromPM</v>
      </c>
      <c r="AA4" s="25" t="str">
        <f>IFERROR(__xludf.DUMMYFUNCTION("""COMPUTED_VALUE"""),"OpenCorporateActionFromPM")</f>
        <v>OpenCorporateActionFromPM</v>
      </c>
      <c r="AB4" s="25" t="str">
        <f>IFERROR(__xludf.DUMMYFUNCTION("""COMPUTED_VALUE"""),"OpenClosingFromPM")</f>
        <v>OpenClosingFromPM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</row>
    <row r="6" ht="15.75" customHeight="1">
      <c r="A6" s="11"/>
      <c r="B6" s="11"/>
      <c r="C6" s="11" t="s">
        <v>22</v>
      </c>
      <c r="D6" s="31"/>
      <c r="E6" s="9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  <c r="Y6" s="9">
        <v>5.0</v>
      </c>
      <c r="AN6" s="9" t="s">
        <v>23</v>
      </c>
      <c r="EF6" s="9">
        <v>0.2</v>
      </c>
    </row>
    <row r="7" ht="15.75" customHeight="1">
      <c r="A7" s="8"/>
      <c r="B7" s="8"/>
      <c r="C7" s="11" t="s">
        <v>22</v>
      </c>
      <c r="D7" s="11"/>
      <c r="E7" s="9" t="s">
        <v>17</v>
      </c>
      <c r="F7" s="8"/>
      <c r="G7" s="8"/>
      <c r="H7" s="8"/>
      <c r="I7" s="8"/>
      <c r="J7" s="8"/>
      <c r="K7" s="8"/>
      <c r="L7" s="8"/>
      <c r="M7" s="8"/>
      <c r="N7" s="8"/>
      <c r="O7" s="8"/>
      <c r="Y7" s="9">
        <v>5.0</v>
      </c>
      <c r="AN7" s="9" t="s">
        <v>50</v>
      </c>
      <c r="EF7" s="9">
        <v>0.2</v>
      </c>
    </row>
    <row r="8" ht="15.75" customHeight="1">
      <c r="A8" s="8"/>
      <c r="B8" s="8"/>
      <c r="C8" s="11" t="s">
        <v>22</v>
      </c>
      <c r="D8" s="11"/>
      <c r="E8" s="11" t="s">
        <v>19</v>
      </c>
      <c r="F8" s="8"/>
      <c r="G8" s="8"/>
      <c r="H8" s="8"/>
      <c r="I8" s="8"/>
      <c r="J8" s="8"/>
      <c r="K8" s="8"/>
      <c r="L8" s="8"/>
      <c r="M8" s="8"/>
      <c r="N8" s="8"/>
      <c r="O8" s="8"/>
      <c r="Y8" s="9">
        <v>5.0</v>
      </c>
      <c r="AN8" s="9" t="s">
        <v>23</v>
      </c>
      <c r="EF8" s="9">
        <v>0.2</v>
      </c>
    </row>
    <row r="9" ht="15.75" customHeight="1">
      <c r="A9" s="8"/>
      <c r="B9" s="8"/>
      <c r="C9" s="11" t="s">
        <v>22</v>
      </c>
      <c r="D9" s="11"/>
      <c r="E9" s="9" t="s">
        <v>19</v>
      </c>
      <c r="F9" s="8"/>
      <c r="G9" s="8"/>
      <c r="H9" s="8"/>
      <c r="I9" s="8"/>
      <c r="J9" s="8"/>
      <c r="K9" s="8"/>
      <c r="L9" s="8"/>
      <c r="M9" s="8"/>
      <c r="N9" s="8"/>
      <c r="O9" s="8"/>
      <c r="Y9" s="9">
        <v>5.0</v>
      </c>
      <c r="AN9" s="9" t="s">
        <v>50</v>
      </c>
      <c r="EF9" s="9">
        <v>0.2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31"/>
      <c r="F6" s="8"/>
      <c r="G6" s="8"/>
      <c r="H6" s="8"/>
      <c r="I6" s="8"/>
      <c r="J6" s="11">
        <v>20.0</v>
      </c>
      <c r="K6" s="8"/>
      <c r="L6" s="8"/>
      <c r="M6" s="8"/>
      <c r="N6" s="8"/>
      <c r="O6" s="11">
        <v>0.2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