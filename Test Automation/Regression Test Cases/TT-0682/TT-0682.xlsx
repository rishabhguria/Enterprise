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ickSymbolLookup" sheetId="4" r:id="rId6"/>
    <sheet state="visible" name="AddSymbol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<sst xmlns="http://schemas.openxmlformats.org/spreadsheetml/2006/main" count="179" uniqueCount="41">
  <si>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</si>
  <si>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</si>
  <si>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</si>
  <si>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</si>
  <si>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</si>
  <si>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</si>
  <si>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</si>
  <si>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</si>
  <si>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</si>
  <si>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</si>
  <si>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</si>
  <si>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</si>
  <si>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</si>
  <si>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ClickSymbolLookup</t>
  </si>
  <si>
    <t>Data Format</t>
  </si>
  <si>
    <t>Input Format</t>
  </si>
  <si>
    <t>O:AAPL 16H9.50D19</t>
  </si>
  <si>
    <t>SymbolLookup</t>
  </si>
  <si>
    <t>AddSymbol</t>
  </si>
  <si>
    <t>OPTS-EquityOption</t>
  </si>
  <si>
    <t>USD</t>
  </si>
  <si>
    <t>AAPL</t>
  </si>
  <si>
    <t>CreateDoneAwayOrder</t>
  </si>
  <si>
    <t>Buy to Open</t>
  </si>
  <si>
    <t>Allocation1</t>
  </si>
  <si>
    <t>MS</t>
  </si>
  <si>
    <t>Blotter</t>
  </si>
  <si>
    <t>VerifyOrder</t>
  </si>
  <si>
    <t/>
  </si>
  <si>
    <t>NASDAQ</t>
  </si>
  <si>
    <t>jpearce</t>
  </si>
  <si>
    <t>US</t>
  </si>
  <si>
    <t>GCCAP1</t>
  </si>
  <si>
    <t>PUT</t>
  </si>
  <si>
    <t>NewMF</t>
  </si>
  <si>
    <t>DefaultNotes</t>
  </si>
  <si>
    <t>EquityOption</t>
  </si>
  <si>
    <t>Filled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</si>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</sst>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ClickSymbolLookup!$4:$4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IFERROR(__xludf.DUMMYFUNCTION("""COMPUTED_VALUE"""),"ExchangeIdentifier")</f>
        <v>ExchangeIdentifier</v>
      </c>
      <c r="C5" s="27" t="str">
        <f>IFERROR(__xludf.DUMMYFUNCTION("""COMPUTED_VALUE"""),"Symbol")</f>
        <v>Symbol</v>
      </c>
      <c r="D5" s="27" t="str">
        <f>IFERROR(__xludf.DUMMYFUNCTION("""COMPUTED_VALUE"""),"Currency")</f>
        <v>Currency</v>
      </c>
      <c r="E5" s="27" t="str">
        <f>IFERROR(__xludf.DUMMYFUNCTION("""COMPUTED_VALUE"""),"Multiplier")</f>
        <v>Multiplier</v>
      </c>
      <c r="F5" s="28" t="str">
        <f>IFERROR(__xludf.DUMMYFUNCTION("""COMPUTED_VALUE"""),"UnderLyingName")</f>
        <v>UnderLyingName</v>
      </c>
      <c r="G5" s="27" t="str">
        <f>IFERROR(__xludf.DUMMYFUNCTION("""COMPUTED_VALUE"""),"Bloomberg Symbol")</f>
        <v>Bloomberg Symbol</v>
      </c>
      <c r="H5" s="27" t="str">
        <f>IFERROR(__xludf.DUMMYFUNCTION("""COMPUTED_VALUE"""),"Description")</f>
        <v>Description</v>
      </c>
      <c r="I5" s="27" t="str">
        <f>IFERROR(__xludf.DUMMYFUNCTION("""COMPUTED_VALUE"""),"Expiration Date")</f>
        <v>Expiration Date</v>
      </c>
      <c r="J5" s="27" t="str">
        <f>IFERROR(__xludf.DUMMYFUNCTION("""COMPUTED_VALUE"""),"Put/Call")</f>
        <v>Put/Call</v>
      </c>
      <c r="K5" s="27" t="str">
        <f>IFERROR(__xludf.DUMMYFUNCTION("""COMPUTED_VALUE"""),"Strike Price")</f>
        <v>Strike Price</v>
      </c>
      <c r="L5" s="27" t="str">
        <f>IFERROR(__xludf.DUMMYFUNCTION("""COMPUTED_VALUE"""),"Issue Date")</f>
        <v>Issue Date</v>
      </c>
      <c r="M5" s="27" t="str">
        <f>IFERROR(__xludf.DUMMYFUNCTION("""COMPUTED_VALUE"""),"Accrual Basis")</f>
        <v>Accrual Basis</v>
      </c>
      <c r="N5" s="27" t="str">
        <f>IFERROR(__xludf.DUMMYFUNCTION("""COMPUTED_VALUE"""),"Coupon Frequency")</f>
        <v>Coupon Frequency</v>
      </c>
      <c r="O5" s="27" t="str">
        <f>IFERROR(__xludf.DUMMYFUNCTION("""COMPUTED_VALUE"""),"Coupon")</f>
        <v>Coupon</v>
      </c>
      <c r="P5" s="27" t="str">
        <f>IFERROR(__xludf.DUMMYFUNCTION("""COMPUTED_VALUE"""),"Bond Type")</f>
        <v>Bond Type</v>
      </c>
      <c r="Q5" s="27" t="str">
        <f>IFERROR(__xludf.DUMMYFUNCTION("""COMPUTED_VALUE"""),"First Coupan Date")</f>
        <v>First Coupan Date</v>
      </c>
      <c r="R5" s="27" t="str">
        <f>IFERROR(__xludf.DUMMYFUNCTION("""COMPUTED_VALUE"""),"Days To Settlement")</f>
        <v>Days To Settlement</v>
      </c>
      <c r="S5" s="27" t="str">
        <f>IFERROR(__xludf.DUMMYFUNCTION("""COMPUTED_VALUE"""),"IsZero")</f>
        <v>IsZero</v>
      </c>
      <c r="T5" s="29" t="str">
        <f>IFERROR(__xludf.DUMMYFUNCTION("""COMPUTED_VALUE"""),"Collateral Type")</f>
        <v>Collateral Type</v>
      </c>
      <c r="U5" s="29" t="str">
        <f>IFERROR(__xludf.DUMMYFUNCTION("""COMPUTED_VALUE"""),"RoundLots")</f>
        <v>RoundLots</v>
      </c>
      <c r="V5" s="29" t="str">
        <f>IFERROR(__xludf.DUMMYFUNCTION("""COMPUTED_VALUE"""),"LeveragedFactor")</f>
        <v>LeveragedFactor</v>
      </c>
      <c r="W5" s="29" t="str">
        <f>IFERROR(__xludf.DUMMYFUNCTION("""COMPUTED_VALUE"""),"Strike Price Multiplier")</f>
        <v>Strike Price Multiplier</v>
      </c>
      <c r="X5" s="29" t="str">
        <f>IFERROR(__xludf.DUMMYFUNCTION("""COMPUTED_VALUE"""),"Sedol Symbol")</f>
        <v>Sedol Symbol</v>
      </c>
      <c r="Y5" s="29" t="str">
        <f>IFERROR(__xludf.DUMMYFUNCTION("""COMPUTED_VALUE"""),"Cusip Symbol")</f>
        <v>Cusip Symbol</v>
      </c>
      <c r="Z5" s="29" t="str">
        <f>IFERROR(__xludf.DUMMYFUNCTION("""COMPUTED_VALUE"""),"ISIN Symbol")</f>
        <v>ISIN Symbol</v>
      </c>
      <c r="AA5" s="29" t="str">
        <f>IFERROR(__xludf.DUMMYFUNCTION("""COMPUTED_VALUE"""),"IDCOOption-22")</f>
        <v>IDCOOption-22</v>
      </c>
      <c r="AB5" s="29" t="str">
        <f>IFERROR(__xludf.DUMMYFUNCTION("""COMPUTED_VALUE"""),"OSIOption-21")</f>
        <v>OSIOption-21</v>
      </c>
      <c r="AC5" s="29" t="str">
        <f>IFERROR(__xludf.DUMMYFUNCTION("""COMPUTED_VALUE"""),"Comments")</f>
        <v>Comments</v>
      </c>
      <c r="AD5" s="29" t="str">
        <f>IFERROR(__xludf.DUMMYFUNCTION("""COMPUTED_VALUE"""),"Shares Outstanding")</f>
        <v>Shares Outstanding</v>
      </c>
      <c r="AE5" s="29" t="str">
        <f>IFERROR(__xludf.DUMMYFUNCTION("""COMPUTED_VALUE"""),"FactSet Symbol")</f>
        <v>FactSet Symbol</v>
      </c>
      <c r="AF5" s="29" t="str">
        <f>IFERROR(__xludf.DUMMYFUNCTION("""COMPUTED_VALUE"""),"ACTIV Symbol")</f>
        <v>ACTIV Symbol</v>
      </c>
      <c r="AG5" s="29" t="str">
        <f>IFERROR(__xludf.DUMMYFUNCTION("""COMPUTED_VALUE"""),"UDA Security Type")</f>
        <v>UDA Security Type</v>
      </c>
      <c r="AH5" s="29" t="str">
        <f>IFERROR(__xludf.DUMMYFUNCTION("""COMPUTED_VALUE"""),"UDA Country")</f>
        <v>UDA Country</v>
      </c>
      <c r="AI5" s="29" t="str">
        <f>IFERROR(__xludf.DUMMYFUNCTION("""COMPUTED_VALUE"""),"UDA Asset Class")</f>
        <v>UDA Asset Class</v>
      </c>
      <c r="AJ5" s="29" t="str">
        <f>IFERROR(__xludf.DUMMYFUNCTION("""COMPUTED_VALUE"""),"UDA Sector")</f>
        <v>UDA Sector</v>
      </c>
      <c r="AK5" s="29" t="str">
        <f>IFERROR(__xludf.DUMMYFUNCTION("""COMPUTED_VALUE"""),"UDA Sub Sector")</f>
        <v>UDA Sub Sector</v>
      </c>
      <c r="AL5" s="29" t="str">
        <f>IFERROR(__xludf.DUMMYFUNCTION("""COMPUTED_VALUE"""),"Proxy Symbol")</f>
        <v>Proxy Symbol</v>
      </c>
      <c r="AM5" s="29" t="str">
        <f>IFERROR(__xludf.DUMMYFUNCTION("""COMPUTED_VALUE"""),"FromTT?")</f>
        <v>FromTT?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19</v>
      </c>
      <c r="D6" s="33" t="s">
        <v>20</v>
      </c>
      <c r="E6" s="34">
        <v>1.0</v>
      </c>
      <c r="F6" s="30" t="s">
        <v>21</v>
      </c>
      <c r="G6" s="35"/>
      <c r="H6" s="30" t="s">
        <v>21</v>
      </c>
      <c r="I6" s="36">
        <f>today()+20</f>
        <v>45361</v>
      </c>
      <c r="J6" s="35"/>
      <c r="K6" s="34">
        <v>50.0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0" t="s">
        <v>16</v>
      </c>
      <c r="AM6" s="37" t="b">
        <v>1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16</v>
      </c>
      <c r="C6" s="35" t="s">
        <v>23</v>
      </c>
      <c r="D6" s="38">
        <v>100.0</v>
      </c>
      <c r="E6" s="35"/>
      <c r="F6" s="39" t="s">
        <v>24</v>
      </c>
      <c r="G6" s="39" t="s">
        <v>25</v>
      </c>
      <c r="H6" s="35"/>
      <c r="I6" s="40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28</v>
      </c>
      <c r="B6" s="32"/>
      <c r="C6" s="35"/>
      <c r="D6" s="38">
        <v>10.0</v>
      </c>
      <c r="E6" s="35"/>
      <c r="F6" s="35"/>
      <c r="G6" s="35"/>
      <c r="H6" s="39" t="s">
        <v>29</v>
      </c>
      <c r="I6" s="39" t="s">
        <v>30</v>
      </c>
      <c r="J6" s="30" t="s">
        <v>21</v>
      </c>
      <c r="K6" s="39" t="s">
        <v>31</v>
      </c>
      <c r="L6" s="39" t="s">
        <v>32</v>
      </c>
      <c r="M6" s="35"/>
      <c r="N6" s="35"/>
      <c r="O6" s="35"/>
      <c r="P6" s="35"/>
      <c r="Q6" s="35"/>
      <c r="R6" s="35"/>
      <c r="S6" s="41">
        <v>50.0</v>
      </c>
      <c r="T6" s="35"/>
      <c r="U6" s="35" t="s">
        <v>20</v>
      </c>
      <c r="V6" s="35" t="s">
        <v>33</v>
      </c>
      <c r="W6" s="35"/>
      <c r="X6" s="35"/>
      <c r="Y6" s="35"/>
      <c r="Z6" s="35"/>
      <c r="AA6" s="35" t="s">
        <v>34</v>
      </c>
      <c r="AB6" s="41">
        <v>100.0</v>
      </c>
      <c r="AC6" s="35" t="s">
        <v>35</v>
      </c>
      <c r="AD6" s="35"/>
      <c r="AE6" s="35"/>
      <c r="AF6" s="35"/>
      <c r="AG6" s="41">
        <v>10.0</v>
      </c>
      <c r="AH6" s="35" t="s">
        <v>36</v>
      </c>
      <c r="AI6" s="30" t="s">
        <v>16</v>
      </c>
      <c r="AJ6" s="35" t="s">
        <v>23</v>
      </c>
      <c r="AK6" s="35" t="s">
        <v>37</v>
      </c>
      <c r="AL6" s="41">
        <v>100.0</v>
      </c>
      <c r="AM6" s="41">
        <v>100.0</v>
      </c>
      <c r="AN6" s="41">
        <v>100.0</v>
      </c>
      <c r="AO6" s="41">
        <v>100.0</v>
      </c>
      <c r="AP6" s="35"/>
      <c r="AQ6" s="41">
        <v>10.0</v>
      </c>
      <c r="AR6" s="41">
        <v>10.0</v>
      </c>
      <c r="AS6" s="35" t="s">
        <v>25</v>
      </c>
      <c r="AT6" s="35" t="s">
        <v>24</v>
      </c>
      <c r="AU6" s="35" t="s">
        <v>38</v>
      </c>
      <c r="AV6" s="41">
        <v>1000.0</v>
      </c>
      <c r="AW6" s="41">
        <v>1000.0</v>
      </c>
      <c r="AX6" s="35" t="s">
        <v>39</v>
      </c>
      <c r="AY6" s="35" t="s">
        <v>28</v>
      </c>
      <c r="AZ6" s="35"/>
      <c r="BA6" s="35" t="s">
        <v>30</v>
      </c>
      <c r="BB6" s="35" t="s">
        <v>28</v>
      </c>
      <c r="BC6" s="35" t="s">
        <v>28</v>
      </c>
      <c r="BD6" s="35" t="s">
        <v>28</v>
      </c>
      <c r="BE6" s="35" t="s">
        <v>28</v>
      </c>
      <c r="BF6" s="35" t="s">
        <v>28</v>
      </c>
      <c r="BG6" s="35"/>
      <c r="BH6" s="35" t="s">
        <v>40</v>
      </c>
      <c r="BI6" s="35"/>
      <c r="BJ6" s="35"/>
      <c r="BK6" s="35" t="s">
        <v>28</v>
      </c>
      <c r="BL6" s="35"/>
      <c r="BM6" s="35"/>
      <c r="BN6" s="35"/>
      <c r="BO6" s="35"/>
      <c r="BP6" s="35" t="s">
        <v>28</v>
      </c>
      <c r="BQ6" s="35" t="s">
        <v>28</v>
      </c>
      <c r="BR6" s="35" t="s">
        <v>28</v>
      </c>
      <c r="BS6" s="35" t="s">
        <v>28</v>
      </c>
      <c r="BT6" s="35" t="s">
        <v>28</v>
      </c>
      <c r="BU6" s="35" t="s">
        <v>28</v>
      </c>
      <c r="BV6" s="35" t="s">
        <v>28</v>
      </c>
      <c r="BW6" s="35" t="s">
        <v>28</v>
      </c>
      <c r="BX6" s="35" t="s">
        <v>28</v>
      </c>
      <c r="BY6" s="35" t="s">
        <v>28</v>
      </c>
      <c r="BZ6" s="35" t="s">
        <v>28</v>
      </c>
      <c r="CA6" s="35" t="s">
        <v>28</v>
      </c>
      <c r="CB6" s="35" t="s">
        <v>28</v>
      </c>
      <c r="CC6" s="35" t="s">
        <v>28</v>
      </c>
      <c r="CD6" s="35" t="s">
        <v>28</v>
      </c>
      <c r="CE6" s="35" t="s">
        <v>28</v>
      </c>
      <c r="CF6" s="35" t="s">
        <v>28</v>
      </c>
      <c r="CG6" s="35" t="s">
        <v>28</v>
      </c>
      <c r="CH6" s="35" t="s">
        <v>28</v>
      </c>
      <c r="CI6" s="35" t="s">
        <v>28</v>
      </c>
      <c r="CJ6" s="35" t="s">
        <v>28</v>
      </c>
      <c r="CK6" s="35" t="s">
        <v>28</v>
      </c>
      <c r="CL6" s="35" t="s">
        <v>28</v>
      </c>
      <c r="CM6" s="35" t="s">
        <v>28</v>
      </c>
      <c r="CN6" s="35" t="s">
        <v>28</v>
      </c>
      <c r="CO6" s="35" t="s">
        <v>28</v>
      </c>
      <c r="CP6" s="35" t="s">
        <v>28</v>
      </c>
      <c r="CQ6" s="35" t="s">
        <v>28</v>
      </c>
      <c r="CR6" s="35" t="s">
        <v>28</v>
      </c>
      <c r="CS6" s="35" t="s">
        <v>28</v>
      </c>
      <c r="CT6" s="35" t="s">
        <v>28</v>
      </c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/>
      <c r="EZ6" s="35"/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/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