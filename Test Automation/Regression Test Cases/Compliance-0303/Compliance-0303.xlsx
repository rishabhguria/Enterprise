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ilyCash" sheetId="12" r:id="rId14"/>
    <sheet state="visible" name="UpdateMultipleDailyCash" sheetId="13" r:id="rId15"/>
    <sheet state="visible" name="CreateComplianceOrder" sheetId="14" r:id="rId16"/>
    <sheet state="visible" name="VerifyComplianceOrder" sheetId="15" r:id="rId17"/>
    <sheet state="visible" name="CalculatePTT" sheetId="16" r:id="rId18"/>
    <sheet state="visible" name="VerifyPTTCompliance" sheetId="17" r:id="rId19"/>
  </sheets>
  <definedNames/>
  <calcPr/>
</workbook>
</file>

<file path=xl/sharedStrings.xml><?xml version="1.0" encoding="utf-8"?>
<sst xmlns="http://schemas.openxmlformats.org/spreadsheetml/2006/main" count="158" uniqueCount="55">
  <si>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</si>
  <si>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</si>
  <si>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</si>
  <si>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</si>
  <si>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</si>
  <si>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</si>
  <si>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</si>
  <si>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</si>
  <si>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</si>
  <si>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</si>
  <si>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</si>
  <si>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</si>
  <si>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</si>
  <si>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</si>
  <si>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</si>
  <si>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</si>
  <si>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</si>
  <si>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</si>
  <si>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</si>
  <si>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</si>
  <si>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</si>
  <si>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FRA-FRA</t>
  </si>
  <si>
    <t>Buy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</si>
  <si>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</si>
  <si>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</si>
  <si>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</si>
  <si>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</si>
  <si>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</si>
  <si>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</si>
  <si>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</si>
  <si>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GetMarkPriceData</t>
  </si>
  <si>
    <t>UpdateMarkPrice</t>
  </si>
  <si>
    <t>GetDailyCash</t>
  </si>
  <si>
    <t>UpdateMultipleDailyCash</t>
  </si>
  <si>
    <t>Allocation1</t>
  </si>
  <si>
    <t>CreateComplianceOrder</t>
  </si>
  <si>
    <t>No</t>
  </si>
  <si>
    <t>DoneAway</t>
  </si>
  <si>
    <t>VerifyComplianceOrder</t>
  </si>
  <si>
    <t>Soft</t>
  </si>
  <si>
    <t>Account_Symbol3</t>
  </si>
  <si>
    <t>Enter Summary</t>
  </si>
  <si>
    <t>Allocation1-FRA-FRA</t>
  </si>
  <si>
    <t>Multiple</t>
  </si>
  <si>
    <t>quantity: 300.00, dayPnLBase: 1,000.00, dayPnLLocal: 1,000.00, netMarketValueBase: 3,000.00, netMarketValueLocal: 3,000.00, selectedFeedPrice: 10.00, accountNav: 11,000.00, AccountShortName: Allocation1, Symbol: FRA-FRA</t>
  </si>
  <si>
    <t>Account-sym-AJ</t>
  </si>
  <si>
    <t>quantity: 300.00, selectedFeedPrice: 10.00, dayPnLBase: 1,000.00, dayPnLLocal: 1,000.00, costBasisPnLBase: 0.00, costBasisPnLLocal: 0.00, netMarketValueBase: 3,000.00, netMarketValueLocal: 3,000.00, grossExposureBase: 3,000.00, grossExposureLocal: 3,000.00, AccountShortName: Allocation1, Symbol: FRA-FRA</t>
  </si>
  <si>
    <t>PTT</t>
  </si>
  <si>
    <t>CalculatePTT</t>
  </si>
  <si>
    <t>Increase</t>
  </si>
  <si>
    <t>Account</t>
  </si>
  <si>
    <t>VerifyPTTCompliance</t>
  </si>
  <si>
    <t>Sample Test Automation Summary</t>
  </si>
  <si>
    <t>quantity: 200.00, dayPnLBase: 1,000.00, dayPnLLocal: 1,000.00, netMarketValueBase: 2,000.00, netMarketValueLocal: 2,000.00, selectedFeedPrice: 10.00, accountNav: 11,000.00, AccountShortName: Allocation1, Symbol: FRA-FRA</t>
  </si>
  <si>
    <t>quantity: 200.00, selectedFeedPrice: 10.00, dayPnLBase: 1,000.00, dayPnLLocal: 1,000.00, costBasisPnLBase: 0.00, costBasisPnLLocal: 0.00, netMarketValueBase: 2,000.00, netMarketValueLocal: 2,000.00, grossExposureBase: 2,000.00, grossExposureLocal: 2,000.00, AccountShortName: Allocation1, Symbol: FRA-FRA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</si>
</sst>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readingOrder="0" shrinkToFit="0" vertical="top" wrapText="0"/>
    </xf>
    <xf borderId="5" fillId="8" fontId="15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31">
        <f>TODAY()-1</f>
        <v>45873</v>
      </c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45873</v>
      </c>
      <c r="C6" s="32">
        <f>TODAY()</f>
        <v>45874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 t="s">
        <v>29</v>
      </c>
      <c r="E6" s="12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45873</v>
      </c>
      <c r="C6" s="32">
        <f>TODAY()</f>
        <v>45874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TODAY()-1</f>
        <v>45873</v>
      </c>
      <c r="C6" s="32">
        <f t="shared" si="1"/>
        <v>45873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27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36</v>
      </c>
      <c r="AX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39</v>
      </c>
      <c r="C6" s="34" t="s">
        <v>40</v>
      </c>
      <c r="D6" s="34" t="s">
        <v>41</v>
      </c>
      <c r="E6" s="34" t="s">
        <v>42</v>
      </c>
      <c r="F6" s="34" t="s">
        <v>43</v>
      </c>
      <c r="G6" s="34" t="s">
        <v>43</v>
      </c>
      <c r="H6" s="34" t="s">
        <v>44</v>
      </c>
      <c r="I6" s="8"/>
      <c r="J6" s="8"/>
      <c r="K6" s="12" t="s">
        <v>36</v>
      </c>
      <c r="L6" s="8"/>
      <c r="M6" s="12" t="s">
        <v>37</v>
      </c>
      <c r="N6" s="8"/>
      <c r="O6" s="8"/>
    </row>
    <row r="7" ht="15.75" customHeight="1">
      <c r="A7" s="8"/>
      <c r="B7" s="33" t="s">
        <v>39</v>
      </c>
      <c r="C7" s="35" t="s">
        <v>45</v>
      </c>
      <c r="D7" s="35" t="s">
        <v>41</v>
      </c>
      <c r="E7" s="35" t="s">
        <v>42</v>
      </c>
      <c r="F7" s="35" t="s">
        <v>43</v>
      </c>
      <c r="G7" s="35" t="s">
        <v>43</v>
      </c>
      <c r="H7" s="35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34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1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35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49</v>
      </c>
      <c r="D6" s="12"/>
      <c r="E6" s="12">
        <v>10.0</v>
      </c>
      <c r="F6" s="12">
        <v>20.0</v>
      </c>
      <c r="G6" s="8"/>
      <c r="H6" s="12" t="s">
        <v>50</v>
      </c>
      <c r="I6" s="12" t="s">
        <v>34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39</v>
      </c>
      <c r="C6" s="34" t="s">
        <v>40</v>
      </c>
      <c r="D6" s="34" t="s">
        <v>52</v>
      </c>
      <c r="E6" s="34" t="s">
        <v>42</v>
      </c>
      <c r="F6" s="34" t="s">
        <v>43</v>
      </c>
      <c r="G6" s="34" t="s">
        <v>43</v>
      </c>
      <c r="H6" s="36" t="s">
        <v>53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39</v>
      </c>
      <c r="C7" s="35" t="s">
        <v>45</v>
      </c>
      <c r="D7" s="35" t="s">
        <v>41</v>
      </c>
      <c r="E7" s="35" t="s">
        <v>42</v>
      </c>
      <c r="F7" s="35" t="s">
        <v>43</v>
      </c>
      <c r="G7" s="35" t="s">
        <v>43</v>
      </c>
      <c r="H7" s="37" t="s">
        <v>54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