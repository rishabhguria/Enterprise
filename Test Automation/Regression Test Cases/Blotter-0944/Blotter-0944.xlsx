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ReloadOrderFromBlotter" sheetId="5" r:id="rId7"/>
    <sheet state="visible" name="CustomOrderTT1" sheetId="6" r:id="rId8"/>
    <sheet state="visible" name="VerifyRowAllFixLogs" sheetId="7" r:id="rId9"/>
    <sheet state="visible" name="SelectTrade" sheetId="8" r:id="rId10"/>
    <sheet state="visible" name="AcknowledgeTrade" sheetId="9" r:id="rId11"/>
    <sheet state="visible" name="VerifyRowAllFixLogs1" sheetId="10" r:id="rId12"/>
    <sheet state="visible" name="ExecuteTrade" sheetId="11" r:id="rId13"/>
    <sheet state="visible" name="VerifyRowAllFixLogs2" sheetId="12" r:id="rId14"/>
  </sheets>
  <definedNames/>
  <calcPr/>
</workbook>
</file>

<file path=xl/sharedStrings.xml><?xml version="1.0" encoding="utf-8"?>
<sst xmlns="http://schemas.openxmlformats.org/spreadsheetml/2006/main" count="88" uniqueCount="32">
  <si>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</si>
  <si>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</si>
  <si>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</si>
  <si>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</si>
  <si>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</si>
  <si>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</si>
  <si>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</si>
  <si>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</si>
  <si>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</si>
  <si>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</si>
  <si>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</si>
  <si>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</si>
  <si>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</si>
  <si>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</si>
  <si>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</si>
  <si>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</si>
  <si>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AAPL</t>
  </si>
  <si>
    <t>CreateOrder</t>
  </si>
  <si>
    <t>Sell short</t>
  </si>
  <si>
    <t>GTC</t>
  </si>
  <si>
    <t>Blotter</t>
  </si>
  <si>
    <t>ReloadOrderFromBlotter</t>
  </si>
  <si>
    <t>New</t>
  </si>
  <si>
    <t>Send</t>
  </si>
  <si>
    <t>Simulator</t>
  </si>
  <si>
    <t>VerifyRowAllFixLogs</t>
  </si>
  <si>
    <t>(8=FIX.4.2_x0001_9=219_x0001_35=D_x0001_49=SendToMS_x0001_56=MS_x0001_34=15_x0001_52=20250701-10:29:50_x0001_115=TITNTRFXSTNE_x0001_128=SNEX_x0001_116=Support_TEST_x0001_11=2025070115475719_x0001_18=1_x0001_55=AAPL_x0001_54=5_x0001_60=20250701-10:29:50_x0001_40=1_x0001_59=1_x0001_21=3_x0001_167=CS_x0001_114=Y_x0001_38=200_x0001_48=AAPL_x0001_47=A_x0001_22=2_x0001_15=USD_x0001_100=US_x0001_10=111_x0001_)</t>
  </si>
  <si>
    <t>SelectTrade</t>
  </si>
  <si>
    <t>AcknowledgeTrade</t>
  </si>
  <si>
    <t>(8=FIX.4.2_x0001_9=190_x0001_35=8_x0001_49=MS_x0001_56=SendToMS_x0001_34=17_x0001_52=20250701-10:29:58_x0001_54=5_x0001_11=2025070115475719_x0001_40=1_x0001_38=200_x0001_39=0_x0001_55=AAPL_x0001_17=2025070115475719:0:Ack_x0001_20=0_x0001_37=2025070115475719_x0001_150=0_x0001_6=0_x0001_151=200_x0001_14=0_x0001_32=0_x0001_31=0_x0001_555=0_x0001_10=067_x0001_)</t>
  </si>
  <si>
    <t>ExecuteTrade</t>
  </si>
  <si>
    <t>(8=FIX.4.2_x0001_9=195_x0001_35=8_x0001_49=MS_x0001_56=SendToMS_x0001_34=18_x0001_52=20250701-10:30:02_x0001_54=5_x0001_11=2025070115475719_x0001_40=1_x0001_38=200_x0001_39=2_x0001_55=AAPL_x0001_17=2025070115475719:1:Fill_x0001_20=0_x0001_37=2025070115475719_x0001_150=2_x0001_6=10_x0001_151=0_x0001_14=200_x0001_32=200_x0001_31=10_x0001_555=0_x0001_10=119_x0001_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</si>
</sst>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IFERROR(__xludf.DUMMYFUNCTION("""COMPUTED_VALUE"""),"1Yw4tQ35sAxNJda9xoHyKAOkv1uUSL6Lyjkb7t2gRWzU")</f>
        <v>1Yw4tQ35sAxNJda9xoHyKAOkv1uUSL6Lyjkb7t2gRWzU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 t="str">
        <f>IFERROR(__xludf.DUMMYFUNCTION("""COMPUTED_VALUE"""),"Trade Attribute 01 suggestion")</f>
        <v>Trade Attribute 01 suggestion</v>
      </c>
      <c r="AT5" s="29" t="str">
        <f>IFERROR(__xludf.DUMMYFUNCTION("""COMPUTED_VALUE"""),"Trade Attribute 02 suggestion")</f>
        <v>Trade Attribute 02 suggestion</v>
      </c>
      <c r="AU5" s="29" t="str">
        <f>IFERROR(__xludf.DUMMYFUNCTION("""COMPUTED_VALUE"""),"Trade Attribute 03 suggestion")</f>
        <v>Trade Attribute 03 suggestion</v>
      </c>
      <c r="AV5" s="29" t="str">
        <f>IFERROR(__xludf.DUMMYFUNCTION("""COMPUTED_VALUE"""),"Trade Attribute 04 suggestion")</f>
        <v>Trade Attribute 04 suggestion</v>
      </c>
      <c r="AW5" s="29" t="str">
        <f>IFERROR(__xludf.DUMMYFUNCTION("""COMPUTED_VALUE"""),"Trade Attribute 05 suggestion")</f>
        <v>Trade Attribute 05 suggestion</v>
      </c>
      <c r="AX5" s="29" t="str">
        <f>IFERROR(__xludf.DUMMYFUNCTION("""COMPUTED_VALUE"""),"Trade Attribute 06 suggestion")</f>
        <v>Trade Attribute 06 suggestion</v>
      </c>
      <c r="AY5" s="29" t="str">
        <f>IFERROR(__xludf.DUMMYFUNCTION("""COMPUTED_VALUE"""),"Strategy")</f>
        <v>Strategy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>
        <v>100.0</v>
      </c>
      <c r="D6" s="12">
        <v>10.0</v>
      </c>
      <c r="E6" s="12" t="s">
        <v>17</v>
      </c>
      <c r="F6" s="8"/>
      <c r="G6" s="8"/>
      <c r="H6" s="8"/>
      <c r="I6" s="8"/>
      <c r="J6" s="12" t="s">
        <v>18</v>
      </c>
      <c r="K6" s="8"/>
      <c r="L6" s="8"/>
      <c r="M6" s="8"/>
      <c r="N6" s="8"/>
      <c r="O6" s="8"/>
      <c r="U6" s="9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18</v>
      </c>
      <c r="AK6" s="9" t="s">
        <v>22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ReloadOrderFromBlotter!$4:$4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 t="str">
        <f>IFERROR(__xludf.DUMMYFUNCTION("""COMPUTED_VALUE"""),"Trade Attribute 01 suggestion")</f>
        <v>Trade Attribute 01 suggestion</v>
      </c>
      <c r="AT5" s="29" t="str">
        <f>IFERROR(__xludf.DUMMYFUNCTION("""COMPUTED_VALUE"""),"Trade Attribute 02 suggestion")</f>
        <v>Trade Attribute 02 suggestion</v>
      </c>
      <c r="AU5" s="29" t="str">
        <f>IFERROR(__xludf.DUMMYFUNCTION("""COMPUTED_VALUE"""),"Trade Attribute 03 suggestion")</f>
        <v>Trade Attribute 03 suggestion</v>
      </c>
      <c r="AV5" s="29" t="str">
        <f>IFERROR(__xludf.DUMMYFUNCTION("""COMPUTED_VALUE"""),"Trade Attribute 04 suggestion")</f>
        <v>Trade Attribute 04 suggestion</v>
      </c>
      <c r="AW5" s="29" t="str">
        <f>IFERROR(__xludf.DUMMYFUNCTION("""COMPUTED_VALUE"""),"Trade Attribute 05 suggestion")</f>
        <v>Trade Attribute 05 suggestion</v>
      </c>
      <c r="AX5" s="29" t="str">
        <f>IFERROR(__xludf.DUMMYFUNCTION("""COMPUTED_VALUE"""),"Trade Attribute 06 suggestion")</f>
        <v>Trade Attribute 06 suggestion</v>
      </c>
      <c r="AY5" s="29" t="str">
        <f>IFERROR(__xludf.DUMMYFUNCTION("""COMPUTED_VALUE"""),"Strategy")</f>
        <v>Strategy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>
        <v>200.0</v>
      </c>
      <c r="D6" s="12">
        <v>10.0</v>
      </c>
      <c r="E6" s="12" t="s">
        <v>23</v>
      </c>
      <c r="F6" s="8"/>
      <c r="G6" s="8"/>
      <c r="H6" s="8"/>
      <c r="I6" s="8"/>
      <c r="J6" s="12" t="s">
        <v>18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IFERROR(__xludf.DUMMYFUNCTION("""COMPUTED_VALUE"""),"RowLog")</f>
        <v>RowLog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26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VerifyRowAllFixLogs!$4:$4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12"/>
      <c r="D6" s="12"/>
      <c r="E6" s="30"/>
      <c r="F6" s="8"/>
      <c r="G6" s="12">
        <v>200.0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12"/>
      <c r="D6" s="12"/>
      <c r="E6" s="30"/>
      <c r="F6" s="8"/>
      <c r="G6" s="12">
        <v>200.0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IFERROR(__xludf.DUMMYFUNCTION("""COMPUTED_VALUE"""),"RowLog")</f>
        <v>RowLog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29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VerifyRowAllFixLogs1!$4:$4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10.0</v>
      </c>
      <c r="C6" s="12">
        <v>200.0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IFERROR(__xludf.DUMMYFUNCTION("""COMPUTED_VALUE"""),"RowLog")</f>
        <v>RowLog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31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VerifyRowAllFixLogs2!$4:$4</formula1>
    </dataValidation>
  </dataValidations>
  <drawing r:id="rId1"/>
</worksheet>
</file>