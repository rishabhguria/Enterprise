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GetDailyCash" sheetId="5" r:id="rId7"/>
    <sheet state="visible" name="UpdateMultipleDailyCash" sheetId="6" r:id="rId8"/>
    <sheet state="visible" name="CreateLiveOrder" sheetId="7" r:id="rId9"/>
    <sheet state="visible" name="SelectTrade" sheetId="8" r:id="rId10"/>
    <sheet state="visible" name="AcknowledgeTrade" sheetId="9" r:id="rId11"/>
    <sheet state="visible" name="ExecuteTrade" sheetId="10" r:id="rId12"/>
    <sheet state="visible" name="SelectTrade1" sheetId="11" r:id="rId13"/>
    <sheet state="visible" name="AcknowledgeTrade1" sheetId="12" r:id="rId14"/>
    <sheet state="visible" name="ExecuteTrade1" sheetId="13" r:id="rId15"/>
    <sheet state="visible" name="SelectTrade2" sheetId="14" r:id="rId16"/>
    <sheet state="visible" name="AcknowledgeTrade2" sheetId="15" r:id="rId17"/>
    <sheet state="visible" name="ExecuteTrade3" sheetId="16" r:id="rId18"/>
    <sheet state="visible" name="SelectTrade4" sheetId="17" r:id="rId19"/>
    <sheet state="visible" name="AcknowledgeTrade4" sheetId="18" r:id="rId20"/>
    <sheet state="visible" name="ExecuteTrade4" sheetId="19" r:id="rId21"/>
    <sheet state="visible" name="SelectTrade5" sheetId="20" r:id="rId22"/>
    <sheet state="visible" name="AcknowledgeTrade5" sheetId="21" r:id="rId23"/>
    <sheet state="visible" name="ExecuteTrade5" sheetId="22" r:id="rId24"/>
    <sheet state="visible" name="SelectTrade6" sheetId="23" r:id="rId25"/>
    <sheet state="visible" name="AcknowledgeTrade6" sheetId="24" r:id="rId26"/>
    <sheet state="visible" name="ExecuteTrade6" sheetId="25" r:id="rId27"/>
    <sheet state="visible" name="SelectTrade7" sheetId="26" r:id="rId28"/>
    <sheet state="visible" name="AcknowledgeTrade7" sheetId="27" r:id="rId29"/>
    <sheet state="visible" name="ExecuteTrade7" sheetId="28" r:id="rId30"/>
    <sheet state="visible" name="SelectTrade8" sheetId="29" r:id="rId31"/>
    <sheet state="visible" name="AcknowledgeTrade8" sheetId="30" r:id="rId32"/>
    <sheet state="visible" name="ExecuteTrade8" sheetId="31" r:id="rId33"/>
    <sheet state="visible" name="VerifyOrder" sheetId="32" r:id="rId34"/>
    <sheet state="visible" name="GetDataAllocation" sheetId="33" r:id="rId35"/>
    <sheet state="visible" name="CheckAllocatedGroups" sheetId="34" r:id="rId36"/>
    <sheet state="visible" name="CheckPortfolioManagement" sheetId="35" r:id="rId37"/>
  </sheets>
  <definedNames/>
  <calcPr/>
</workbook>
</file>

<file path=xl/sharedStrings.xml><?xml version="1.0" encoding="utf-8"?>
<sst xmlns="http://schemas.openxmlformats.org/spreadsheetml/2006/main" count="524" uniqueCount="49">
  <si>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</si>
  <si>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</si>
  <si>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</si>
  <si>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</si>
  <si>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</si>
  <si>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</si>
  <si>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</si>
  <si>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</si>
  <si>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</si>
  <si>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</si>
  <si>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</si>
  <si>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</si>
  <si>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</si>
  <si>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</si>
  <si>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</si>
  <si>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</si>
  <si>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DailyValuation</t>
  </si>
  <si>
    <t>GetDailyCash</t>
  </si>
  <si>
    <t>UpdateMultipleDailyCash</t>
  </si>
  <si>
    <t>Allocation1</t>
  </si>
  <si>
    <t>USD</t>
  </si>
  <si>
    <t>Allocation2</t>
  </si>
  <si>
    <t>TradingTicket</t>
  </si>
  <si>
    <t>CreateLiveOrder</t>
  </si>
  <si>
    <t>AAPL</t>
  </si>
  <si>
    <t>Buy</t>
  </si>
  <si>
    <t>MS</t>
  </si>
  <si>
    <t>Sell</t>
  </si>
  <si>
    <t>Simulator</t>
  </si>
  <si>
    <t>SelectTrade</t>
  </si>
  <si>
    <t>AcknowledgeTrade</t>
  </si>
  <si>
    <t>ExecuteTrade</t>
  </si>
  <si>
    <t>Blotter</t>
  </si>
  <si>
    <t>VerifyOrder</t>
  </si>
  <si>
    <t>Equity</t>
  </si>
  <si>
    <t>Filled</t>
  </si>
  <si>
    <t>Market</t>
  </si>
  <si>
    <t>NewMF1</t>
  </si>
  <si>
    <t>NewMF</t>
  </si>
  <si>
    <t>Allocation</t>
  </si>
  <si>
    <t>GetDataAllocation</t>
  </si>
  <si>
    <t>Current</t>
  </si>
  <si>
    <t>CheckAllocatedGroups</t>
  </si>
  <si>
    <t>Open</t>
  </si>
  <si>
    <t>NASDAQ</t>
  </si>
  <si>
    <t>PortfolioManagement</t>
  </si>
  <si>
    <t>CheckPortfolioManagement</t>
  </si>
  <si>
    <t>US</t>
  </si>
  <si>
    <t>Long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</si>
</sst>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5" numFmtId="164" xfId="0" applyAlignment="1" applyFont="1" applyNumberFormat="1">
      <alignment readingOrder="0" shrinkToFit="0" wrapText="0"/>
    </xf>
    <xf borderId="0" fillId="0" fontId="2" numFmtId="3" xfId="0" applyAlignment="1" applyFont="1" applyNumberFormat="1">
      <alignment readingOrder="0"/>
    </xf>
    <xf borderId="0" fillId="0" fontId="5" numFmtId="4" xfId="0" applyAlignment="1" applyFont="1" applyNumberFormat="1">
      <alignment readingOrder="0" shrinkToFit="0" wrapText="0"/>
    </xf>
    <xf borderId="0" fillId="0" fontId="2" numFmtId="4" xfId="0" applyAlignment="1" applyFont="1" applyNumberFormat="1">
      <alignment readingOrder="0"/>
    </xf>
    <xf borderId="0" fillId="0" fontId="5" numFmtId="3" xfId="0" applyAlignment="1" applyFont="1" applyNumberForma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35" Type="http://schemas.openxmlformats.org/officeDocument/2006/relationships/worksheet" Target="worksheets/sheet33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37" Type="http://schemas.openxmlformats.org/officeDocument/2006/relationships/worksheet" Target="worksheets/sheet35.xml"/><Relationship Id="rId14" Type="http://schemas.openxmlformats.org/officeDocument/2006/relationships/worksheet" Target="worksheets/sheet12.xml"/><Relationship Id="rId36" Type="http://schemas.openxmlformats.org/officeDocument/2006/relationships/worksheet" Target="worksheets/sheet34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3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3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IFERROR(__xludf.DUMMYFUNCTION("""COMPUTED_VALUE"""),"RTPNL")</f>
        <v>RTPNL</v>
      </c>
      <c r="B767" t="str">
        <f>IFERROR(__xludf.DUMMYFUNCTION("""COMPUTED_VALUE"""),"RenameTabs")</f>
        <v>RenameTabs</v>
      </c>
      <c r="C767" t="str">
        <f>IFERROR(__xludf.DUMMYFUNCTION("""COMPUTED_VALUE"""),"1K7LcioEl1sTwLRhqHc9go_7jNmUIRZNy9zBQLMgtBw8")</f>
        <v>1K7LcioEl1sTwLRhqHc9go_7jNmUIRZNy9zBQLMgtBw8</v>
      </c>
    </row>
    <row r="768" ht="15.75" customHeight="1">
      <c r="A768" t="str">
        <f>IFERROR(__xludf.DUMMYFUNCTION("""COMPUTED_VALUE"""),"RTPNL")</f>
        <v>RTPNL</v>
      </c>
      <c r="B768" t="str">
        <f>IFERROR(__xludf.DUMMYFUNCTION("""COMPUTED_VALUE"""),"ResizeEnsure")</f>
        <v>ResizeEnsure</v>
      </c>
      <c r="C768" t="str">
        <f>IFERROR(__xludf.DUMMYFUNCTION("""COMPUTED_VALUE"""),"1-peVyQ_nIwd8owwmtDtNW-yx12KQx2nHeYee6duB46M")</f>
        <v>1-peVyQ_nIwd8owwmtDtNW-yx12KQx2nHeYee6duB46M</v>
      </c>
    </row>
    <row r="769" ht="15.75" customHeight="1">
      <c r="A769" t="str">
        <f>IFERROR(__xludf.DUMMYFUNCTION("""COMPUTED_VALUE"""),"Admin")</f>
        <v>Admin</v>
      </c>
      <c r="B769" t="str">
        <f>IFERROR(__xludf.DUMMYFUNCTION("""COMPUTED_VALUE"""),"ClearRTPNLtabs")</f>
        <v>ClearRTPNLtabs</v>
      </c>
      <c r="C769" t="str">
        <f>IFERROR(__xludf.DUMMYFUNCTION("""COMPUTED_VALUE"""),"Undefined")</f>
        <v>Undefined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IFERROR(__xludf.DUMMYFUNCTION("""COMPUTED_VALUE"""),"AddTabRTPNL")</f>
        <v>AddTabRTPNL</v>
      </c>
      <c r="C770" t="str">
        <f>IFERROR(__xludf.DUMMYFUNCTION("""COMPUTED_VALUE"""),"18kG7vS-CfSLW8Q-ho416lyPlP36XJPPHA0cRbCk3vjU")</f>
        <v>18kG7vS-CfSLW8Q-ho416lyPlP36XJPPHA0cRbCk3vjU</v>
      </c>
    </row>
    <row r="771" ht="15.75" customHeight="1">
      <c r="A771" t="str">
        <f>IFERROR(__xludf.DUMMYFUNCTION("""COMPUTED_VALUE"""),"PortfolioManagement")</f>
        <v>PortfolioManagement</v>
      </c>
      <c r="B771" t="str">
        <f>IFERROR(__xludf.DUMMYFUNCTION("""COMPUTED_VALUE"""),"SelectTradeOnPM")</f>
        <v>SelectTradeOnPM</v>
      </c>
      <c r="C771" t="str">
        <f>IFERROR(__xludf.DUMMYFUNCTION("""COMPUTED_VALUE"""),"1_tBJjps2mULQyHra_AnC6BBvPbOko3FAY-kc11l7eTg")</f>
        <v>1_tBJjps2mULQyHra_AnC6BBvPbOko3FAY-kc11l7eTg</v>
      </c>
    </row>
    <row r="772" ht="15.75" customHeight="1">
      <c r="A772" t="str">
        <f>IFERROR(__xludf.DUMMYFUNCTION("""COMPUTED_VALUE"""),"Unknown")</f>
        <v>Unknown</v>
      </c>
      <c r="B772" t="str">
        <f>IFERROR(__xludf.DUMMYFUNCTION("""COMPUTED_VALUE"""),"RightClickOperations")</f>
        <v>RightClickOperations</v>
      </c>
      <c r="C772" t="str">
        <f>IFERROR(__xludf.DUMMYFUNCTION("""COMPUTED_VALUE"""),"17jhCujI-0V0U3n5lzlkc-azSuwCa7rf-4KwcSInm9ts")</f>
        <v>17jhCujI-0V0U3n5lzlkc-azSuwCa7rf-4KwcSInm9ts</v>
      </c>
    </row>
    <row r="773" ht="15.75" customHeight="1">
      <c r="A773" t="str">
        <f>IFERROR(__xludf.DUMMYFUNCTION("""COMPUTED_VALUE"""),"Unknown")</f>
        <v>Unknown</v>
      </c>
      <c r="B773" t="str">
        <f>IFERROR(__xludf.DUMMYFUNCTION("""COMPUTED_VALUE"""),"RightClickAndClickOperations")</f>
        <v>RightClickAndClickOperations</v>
      </c>
      <c r="C773" t="str">
        <f>IFERROR(__xludf.DUMMYFUNCTION("""COMPUTED_VALUE"""),"1e9jtl9r57SkbYm3S4wbHtvkeG2KExZEiFSIkkRSaq-8")</f>
        <v>1e9jtl9r57SkbYm3S4wbHtvkeG2KExZEiFSIkkRSaq-8</v>
      </c>
    </row>
    <row r="774" ht="15.75" customHeight="1">
      <c r="A774" t="str">
        <f>IFERROR(__xludf.DUMMYFUNCTION("""COMPUTED_VALUE"""),"Blotter")</f>
        <v>Blotter</v>
      </c>
      <c r="B774" t="str">
        <f>IFERROR(__xludf.DUMMYFUNCTION("""COMPUTED_VALUE"""),"BlotterToolBarAction")</f>
        <v>BlotterToolBarAction</v>
      </c>
      <c r="C774" t="str">
        <f>IFERROR(__xludf.DUMMYFUNCTION("""COMPUTED_VALUE"""),"1bI1kIBxH6qy8zi5tx46rN3vNgbmxbdwtAo1inrXDALs")</f>
        <v>1bI1kIBxH6qy8zi5tx46rN3vNgbmxbdwtAo1inrXDALs</v>
      </c>
    </row>
    <row r="775" ht="15.75" customHeight="1">
      <c r="A775" t="str">
        <f>IFERROR(__xludf.DUMMYFUNCTION("""COMPUTED_VALUE"""),"TradingTicket")</f>
        <v>TradingTicket</v>
      </c>
      <c r="B775" t="str">
        <f>IFERROR(__xludf.DUMMYFUNCTION("""COMPUTED_VALUE"""),"MergeTT")</f>
        <v>MergeTT</v>
      </c>
      <c r="C775" t="str">
        <f>IFERROR(__xludf.DUMMYFUNCTION("""COMPUTED_VALUE"""),"1BEiRPdwHXsXVZ0ioude04Me5qSQ_YU6xh1ZwMWgExVU")</f>
        <v>1BEiRPdwHXsXVZ0ioude04Me5qSQ_YU6xh1ZwMWgExVU</v>
      </c>
    </row>
    <row r="776" ht="15.75" customHeight="1">
      <c r="A776" t="str">
        <f>IFERROR(__xludf.DUMMYFUNCTION("""COMPUTED_VALUE"""),"PortfolioManagement")</f>
        <v>PortfolioManagement</v>
      </c>
      <c r="B776" t="str">
        <f>IFERROR(__xludf.DUMMYFUNCTION("""COMPUTED_VALUE"""),"OperationsonPM")</f>
        <v>OperationsonPM</v>
      </c>
      <c r="C776" t="str">
        <f>IFERROR(__xludf.DUMMYFUNCTION("""COMPUTED_VALUE"""),"13hKVogBv66c752V1EGUyqXp4dGESQOZLmMqIB56fbAs")</f>
        <v>13hKVogBv66c752V1EGUyqXp4dGESQOZLmMqIB56fbAs</v>
      </c>
    </row>
    <row r="777" ht="15.75" customHeight="1">
      <c r="A777" t="str">
        <f>IFERROR(__xludf.DUMMYFUNCTION("""COMPUTED_VALUE"""),"Rebalancer")</f>
        <v>Rebalancer</v>
      </c>
      <c r="B777" t="str">
        <f>IFERROR(__xludf.DUMMYFUNCTION("""COMPUTED_VALUE"""),"CreateOrViewModelPortfolio")</f>
        <v>CreateOrViewModelPortfolio</v>
      </c>
      <c r="C777" t="str">
        <f>IFERROR(__xludf.DUMMYFUNCTION("""COMPUTED_VALUE"""),"1vejknW_QiO0r5pMzMjOGCCsgwLVes4a3Ubx1l-0Mg1k")</f>
        <v>1vejknW_QiO0r5pMzMjOGCCsgwLVes4a3Ubx1l-0Mg1k</v>
      </c>
    </row>
    <row r="778" ht="15.75" customHeight="1">
      <c r="A778" t="str">
        <f>IFERROR(__xludf.DUMMYFUNCTION("""COMPUTED_VALUE"""),"Rebalancer")</f>
        <v>Rebalancer</v>
      </c>
      <c r="B778" t="str">
        <f>IFERROR(__xludf.DUMMYFUNCTION("""COMPUTED_VALUE"""),"VerifyModelPortfolio")</f>
        <v>VerifyModelPortfolio</v>
      </c>
      <c r="C778" t="str">
        <f>IFERROR(__xludf.DUMMYFUNCTION("""COMPUTED_VALUE"""),"1Tza5cx7NJ2J8vr_f6DC-KPhnXCzf7l1m0EERc6z_T-U")</f>
        <v>1Tza5cx7NJ2J8vr_f6DC-KPhnXCzf7l1m0EERc6z_T-U</v>
      </c>
    </row>
    <row r="779" ht="15.75" customHeight="1">
      <c r="A779" t="str">
        <f>IFERROR(__xludf.DUMMYFUNCTION("""COMPUTED_VALUE"""),"Allocation")</f>
        <v>Allocation</v>
      </c>
      <c r="B779" t="str">
        <f>IFERROR(__xludf.DUMMYFUNCTION("""COMPUTED_VALUE"""),"ReviewExistingPositions")</f>
        <v>ReviewExistingPositions</v>
      </c>
      <c r="C779" t="str">
        <f>IFERROR(__xludf.DUMMYFUNCTION("""COMPUTED_VALUE"""),"1KwYoTdpeW6LDhzloVKHp5buZqc8IjXEShjwnUx45Ql8")</f>
        <v>1KwYoTdpeW6LDhzloVKHp5buZqc8IjXEShjwnUx45Ql8</v>
      </c>
    </row>
    <row r="780" ht="15.75" customHeight="1">
      <c r="A780" t="str">
        <f>IFERROR(__xludf.DUMMYFUNCTION("""COMPUTED_VALUE"""),"PTT")</f>
        <v>PTT</v>
      </c>
      <c r="B780" t="str">
        <f>IFERROR(__xludf.DUMMYFUNCTION("""COMPUTED_VALUE"""),"OperationsonPTT")</f>
        <v>OperationsonPTT</v>
      </c>
      <c r="C780" t="str">
        <f>IFERROR(__xludf.DUMMYFUNCTION("""COMPUTED_VALUE"""),"1J40rCXEDilLEF_x0Wkeeg1lwGfejucV1VSY9UcyeSlw")</f>
        <v>1J40rCXEDilLEF_x0Wkeeg1lwGfejucV1VSY9UcyeSlw</v>
      </c>
    </row>
    <row r="781" ht="15.75" customHeight="1">
      <c r="A781" t="str">
        <f>IFERROR(__xludf.DUMMYFUNCTION("""COMPUTED_VALUE"""),"PricingInput")</f>
        <v>PricingInput</v>
      </c>
      <c r="B781" t="str">
        <f>IFERROR(__xludf.DUMMYFUNCTION("""COMPUTED_VALUE"""),"UpdatePricingInput")</f>
        <v>UpdatePricingInput</v>
      </c>
      <c r="C781" t="str">
        <f>IFERROR(__xludf.DUMMYFUNCTION("""COMPUTED_VALUE"""),"1CG9iYOkRKzlGEsKh7QuEyMdGRQea_W4KDWwlnjE2BdE")</f>
        <v>1CG9iYOkRKzlGEsKh7QuEyMdGRQea_W4KDWwlnjE2BdE</v>
      </c>
    </row>
    <row r="782" ht="15.75" customHeight="1">
      <c r="A782" t="str">
        <f>IFERROR(__xludf.DUMMYFUNCTION("""COMPUTED_VALUE"""),"DailyValuation")</f>
        <v>DailyValuation</v>
      </c>
      <c r="B782" t="str">
        <f>IFERROR(__xludf.DUMMYFUNCTION("""COMPUTED_VALUE"""),"UpdateMPAndFC")</f>
        <v>UpdateMPAndFC</v>
      </c>
      <c r="C782" t="str">
        <f>IFERROR(__xludf.DUMMYFUNCTION("""COMPUTED_VALUE"""),"1UCNfZng94LprScqCmSKImRjCwiKlLQU_e1kY1tum91I")</f>
        <v>1UCNfZng94LprScqCmSKImRjCwiKlLQU_e1kY1tum91I</v>
      </c>
    </row>
    <row r="783" ht="15.75" customHeight="1">
      <c r="A783" t="str">
        <f>IFERROR(__xludf.DUMMYFUNCTION("""COMPUTED_VALUE"""),"Rebalancer")</f>
        <v>Rebalancer</v>
      </c>
      <c r="B783" t="str">
        <f>IFERROR(__xludf.DUMMYFUNCTION("""COMPUTED_VALUE"""),"SelectAndVerifyTradeList")</f>
        <v>SelectAndVerifyTradeList</v>
      </c>
      <c r="C783" t="str">
        <f>IFERROR(__xludf.DUMMYFUNCTION("""COMPUTED_VALUE"""),"1fXJG--hBH0hPvU7g5jtXyZnD1GiwJXfYX9HdEyhGyGs")</f>
        <v>1fXJG--hBH0hPvU7g5jtXyZnD1GiwJXfYX9HdEyhGyGs</v>
      </c>
    </row>
    <row r="784" ht="15.75" customHeight="1">
      <c r="A784" t="str">
        <f>IFERROR(__xludf.DUMMYFUNCTION("""COMPUTED_VALUE"""),"Rebalancer")</f>
        <v>Rebalancer</v>
      </c>
      <c r="B784" t="str">
        <f>IFERROR(__xludf.DUMMYFUNCTION("""COMPUTED_VALUE"""),"ActionOnTradeBuySellListView")</f>
        <v>ActionOnTradeBuySellListView</v>
      </c>
      <c r="C784" t="str">
        <f>IFERROR(__xludf.DUMMYFUNCTION("""COMPUTED_VALUE"""),"1xeJEpkdxtbik3vPUTkxALkXsnL-Vl5dF07PBUoheM3k")</f>
        <v>1xeJEpkdxtbik3vPUTkxALkXsnL-Vl5dF07PBUoheM3k</v>
      </c>
    </row>
    <row r="785" ht="15.75" customHeight="1">
      <c r="A785" t="str">
        <f>IFERROR(__xludf.DUMMYFUNCTION("""COMPUTED_VALUE"""),"Blotter")</f>
        <v>Blotter</v>
      </c>
      <c r="B785" t="str">
        <f>IFERROR(__xludf.DUMMYFUNCTION("""COMPUTED_VALUE"""),"AddTabToFav")</f>
        <v>AddTabToFav</v>
      </c>
      <c r="C785" t="str">
        <f>IFERROR(__xludf.DUMMYFUNCTION("""COMPUTED_VALUE"""),"1Hrblc1gk4JIYboQ1lGHgl7HatAXp5amAl9mS58vzT-0")</f>
        <v>1Hrblc1gk4JIYboQ1lGHgl7HatAXp5amAl9mS58vzT-0</v>
      </c>
    </row>
    <row r="786" ht="15.75" customHeight="1">
      <c r="A786" t="str">
        <f>IFERROR(__xludf.DUMMYFUNCTION("""COMPUTED_VALUE"""),"TradingTicket")</f>
        <v>TradingTicket</v>
      </c>
      <c r="B786" t="str">
        <f>IFERROR(__xludf.DUMMYFUNCTION("""COMPUTED_VALUE"""),"VerifyExecutionType")</f>
        <v>VerifyExecutionType</v>
      </c>
      <c r="C786" t="str">
        <f>IFERROR(__xludf.DUMMYFUNCTION("""COMPUTED_VALUE"""),"1GeLKG0YL6nDFQYX8NohWSG0yonppxuSHWgOuwLzEWwI")</f>
        <v>1GeLKG0YL6nDFQYX8NohWSG0yonppxuSHWgOuwLzEWwI</v>
      </c>
    </row>
    <row r="787" ht="15.75" customHeight="1">
      <c r="A787" t="str">
        <f>IFERROR(__xludf.DUMMYFUNCTION("""COMPUTED_VALUE"""),"OpenFin")</f>
        <v>OpenFin</v>
      </c>
      <c r="B787" t="str">
        <f>IFERROR(__xludf.DUMMYFUNCTION("""COMPUTED_VALUE"""),"VerifyNotification")</f>
        <v>VerifyNotification</v>
      </c>
      <c r="C787" t="str">
        <f>IFERROR(__xludf.DUMMYFUNCTION("""COMPUTED_VALUE"""),"1rm7dGZ4-j6MPtyiMlJDHnZgIjnFk8Hv19VRPaPCgUMY")</f>
        <v>1rm7dGZ4-j6MPtyiMlJDHnZgIjnFk8Hv19VRPaPCgUMY</v>
      </c>
    </row>
    <row r="788" ht="15.75" customHeight="1">
      <c r="A788" t="str">
        <f>IFERROR(__xludf.DUMMYFUNCTION("""COMPUTED_VALUE"""),"Blotter")</f>
        <v>Blotter</v>
      </c>
      <c r="B788" t="str">
        <f>IFERROR(__xludf.DUMMYFUNCTION("""COMPUTED_VALUE"""),"RollOverContextMenu")</f>
        <v>RollOverContextMenu</v>
      </c>
      <c r="C788" t="str">
        <f>IFERROR(__xludf.DUMMYFUNCTION("""COMPUTED_VALUE"""),"1d45ieJRLC6DQ7t19pclAZz5EI6hBsZ5_VdNJYb3VsNc")</f>
        <v>1d45ieJRLC6DQ7t19pclAZz5EI6hBsZ5_VdNJYb3VsNc</v>
      </c>
    </row>
    <row r="789" ht="15.75" customHeight="1">
      <c r="A789" t="str">
        <f>IFERROR(__xludf.DUMMYFUNCTION("""COMPUTED_VALUE"""),"PTT")</f>
        <v>PTT</v>
      </c>
      <c r="B789" t="str">
        <f>IFERROR(__xludf.DUMMYFUNCTION("""COMPUTED_VALUE"""),"RefreshCalculation")</f>
        <v>RefreshCalculation</v>
      </c>
    </row>
    <row r="790" ht="15.75" customHeight="1">
      <c r="A790" t="str">
        <f>IFERROR(__xludf.DUMMYFUNCTION("""COMPUTED_VALUE"""),"Blotter")</f>
        <v>Blotter</v>
      </c>
      <c r="B790" t="str">
        <f>IFERROR(__xludf.DUMMYFUNCTION("""COMPUTED_VALUE"""),"BookAsSwap")</f>
        <v>BookAsSwap</v>
      </c>
      <c r="C790" t="str">
        <f>IFERROR(__xludf.DUMMYFUNCTION("""COMPUTED_VALUE"""),"1tnkP5eD3WH53SXu2O-MWk6774J7b5ihwlD7r9dGtpiY")</f>
        <v>1tnkP5eD3WH53SXu2O-MWk6774J7b5ihwlD7r9dGtpiY</v>
      </c>
    </row>
    <row r="791" ht="15.75" customHeight="1">
      <c r="A791" t="str">
        <f>IFERROR(__xludf.DUMMYFUNCTION("""COMPUTED_VALUE"""),"Blotter")</f>
        <v>Blotter</v>
      </c>
      <c r="B791" t="str">
        <f>IFERROR(__xludf.DUMMYFUNCTION("""COMPUTED_VALUE"""),"ActionOnFloatingWindow")</f>
        <v>ActionOnFloatingWindow</v>
      </c>
      <c r="C791" t="str">
        <f>IFERROR(__xludf.DUMMYFUNCTION("""COMPUTED_VALUE"""),"1tFNUPT3PXgCKRnnehGwo6OF7EhLu13UJ8Elfq83HArE")</f>
        <v>1tFNUPT3PXgCKRnnehGwo6OF7EhLu13UJ8Elfq83HArE</v>
      </c>
    </row>
    <row r="792" ht="15.75" customHeight="1">
      <c r="A792" t="str">
        <f>IFERROR(__xludf.DUMMYFUNCTION("""COMPUTED_VALUE"""),"OpenFin")</f>
        <v>OpenFin</v>
      </c>
      <c r="B792" t="str">
        <f>IFERROR(__xludf.DUMMYFUNCTION("""COMPUTED_VALUE"""),"LockUnlockModule")</f>
        <v>LockUnlockModule</v>
      </c>
      <c r="C792" t="str">
        <f>IFERROR(__xludf.DUMMYFUNCTION("""COMPUTED_VALUE"""),"179D0kPRO8f_KLxd7hs6seM9XGxpL-u1rhIhNgFVePsQ")</f>
        <v>179D0kPRO8f_KLxd7hs6seM9XGxpL-u1rhIhNgFVePsQ</v>
      </c>
    </row>
    <row r="793" ht="15.75" customHeight="1">
      <c r="A793" t="str">
        <f>IFERROR(__xludf.DUMMYFUNCTION("""COMPUTED_VALUE"""),"OpenFin")</f>
        <v>OpenFin</v>
      </c>
      <c r="B793" t="str">
        <f>IFERROR(__xludf.DUMMYFUNCTION("""COMPUTED_VALUE"""),"OpenModule")</f>
        <v>OpenModule</v>
      </c>
      <c r="C793" t="str">
        <f>IFERROR(__xludf.DUMMYFUNCTION("""COMPUTED_VALUE"""),"1IdmD7l42pWNjFNVt_7UwbOO7y5tDxaXr7tE60c9ETLw")</f>
        <v>1IdmD7l42pWNjFNVt_7UwbOO7y5tDxaXr7tE60c9ETLw</v>
      </c>
    </row>
    <row r="794" ht="15.75" customHeight="1">
      <c r="A794" t="str">
        <f>IFERROR(__xludf.DUMMYFUNCTION("""COMPUTED_VALUE"""),"TradingTicket")</f>
        <v>TradingTicket</v>
      </c>
      <c r="B794" t="str">
        <f>IFERROR(__xludf.DUMMYFUNCTION("""COMPUTED_VALUE"""),"SymbolSuggestionVerify")</f>
        <v>SymbolSuggestionVerify</v>
      </c>
      <c r="C794" t="str">
        <f>IFERROR(__xludf.DUMMYFUNCTION("""COMPUTED_VALUE"""),"14aTeLjmUbS-nhaQwjtZAMGxdQ5DS6UsBjE5OTWN-LQU")</f>
        <v>14aTeLjmUbS-nhaQwjtZAMGxdQ5DS6UsBjE5OTWN-LQU</v>
      </c>
    </row>
    <row r="795" ht="15.75" customHeight="1">
      <c r="A795" t="str">
        <f>IFERROR(__xludf.DUMMYFUNCTION("""COMPUTED_VALUE"""),"Blotter")</f>
        <v>Blotter</v>
      </c>
      <c r="B795" t="str">
        <f>IFERROR(__xludf.DUMMYFUNCTION("""COMPUTED_VALUE"""),"CreateHotButtonOnBlotter")</f>
        <v>CreateHotButtonOnBlotter</v>
      </c>
      <c r="C795" t="str">
        <f>IFERROR(__xludf.DUMMYFUNCTION("""COMPUTED_VALUE"""),"1Yu7Fb6AjhUP8b-KuRJvgAwq8TykNK6BDh9F0Xpf12Ek")</f>
        <v>1Yu7Fb6AjhUP8b-KuRJvgAwq8TykNK6BDh9F0Xpf12Ek</v>
      </c>
    </row>
    <row r="796" ht="15.75" customHeight="1">
      <c r="A796" t="str">
        <f>IFERROR(__xludf.DUMMYFUNCTION("""COMPUTED_VALUE"""),"Blotter")</f>
        <v>Blotter</v>
      </c>
      <c r="B796" t="str">
        <f>IFERROR(__xludf.DUMMYFUNCTION("""COMPUTED_VALUE"""),"FillHBdetailsOnBlotter")</f>
        <v>FillHBdetailsOnBlotter</v>
      </c>
      <c r="C796" t="str">
        <f>IFERROR(__xludf.DUMMYFUNCTION("""COMPUTED_VALUE"""),"13Isj5c5k8kObxI-GBT6Ir9VBOz_46lzhwVxXXVP8jQU")</f>
        <v>13Isj5c5k8kObxI-GBT6Ir9VBOz_46lzhwVxXXVP8jQU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IFERROR(__xludf.DUMMYFUNCTION("""COMPUTED_VALUE"""),"RemoveMasterUser")</f>
        <v>RemoveMasterUser</v>
      </c>
      <c r="AK4" s="25" t="str">
        <f>IFERROR(__xludf.DUMMYFUNCTION("""COMPUTED_VALUE"""),"ClearRTPNLtabs")</f>
        <v>ClearRTPNLtabs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IFERROR(__xludf.DUMMYFUNCTION("""COMPUTED_VALUE"""),"OverSellTradingRule")</f>
        <v>OverSellTradingRule</v>
      </c>
      <c r="C5" s="27" t="str">
        <f>IFERROR(__xludf.DUMMYFUNCTION("""COMPUTED_VALUE"""),"OverBuyTradingRule")</f>
        <v>OverBuyTradingRule</v>
      </c>
      <c r="D5" s="27" t="str">
        <f>IFERROR(__xludf.DUMMYFUNCTION("""COMPUTED_VALUE"""),"FatFingerTradingRule")</f>
        <v>FatFingerTradingRule</v>
      </c>
      <c r="E5" s="27" t="str">
        <f>IFERROR(__xludf.DUMMYFUNCTION("""COMPUTED_VALUE"""),"UnallocatedTradeAlert")</f>
        <v>UnallocatedTradeAlert</v>
      </c>
      <c r="F5" s="28" t="str">
        <f>IFERROR(__xludf.DUMMYFUNCTION("""COMPUTED_VALUE"""),"DuplicateTradeAlert")</f>
        <v>DuplicateTradeAlert</v>
      </c>
      <c r="G5" s="27" t="str">
        <f>IFERROR(__xludf.DUMMYFUNCTION("""COMPUTED_VALUE"""),"PendingNewOrderAlert")</f>
        <v>PendingNewOrderAlert</v>
      </c>
      <c r="H5" s="27" t="str">
        <f>IFERROR(__xludf.DUMMYFUNCTION("""COMPUTED_VALUE"""),"FatFingerPercent")</f>
        <v>FatFingerPercent</v>
      </c>
      <c r="I5" s="27" t="str">
        <f>IFERROR(__xludf.DUMMYFUNCTION("""COMPUTED_VALUE"""),"DuplicateTradeAlertTime")</f>
        <v>DuplicateTradeAlertTime</v>
      </c>
      <c r="J5" s="27" t="str">
        <f>IFERROR(__xludf.DUMMYFUNCTION("""COMPUTED_VALUE"""),"PendingNewOrderAlertTime")</f>
        <v>PendingNewOrderAlertTime</v>
      </c>
      <c r="K5" s="27" t="str">
        <f>IFERROR(__xludf.DUMMYFUNCTION("""COMPUTED_VALUE"""),"FatFingerAccountOrMasterFund")</f>
        <v>FatFingerAccountOrMasterFund</v>
      </c>
      <c r="L5" s="27" t="str">
        <f>IFERROR(__xludf.DUMMYFUNCTION("""COMPUTED_VALUE"""),"IsAbsoluteAmountOrDefinePercent")</f>
        <v>IsAbsoluteAmountOrDefinePercent</v>
      </c>
      <c r="M5" s="27" t="str">
        <f>IFERROR(__xludf.DUMMYFUNCTION("""COMPUTED_VALUE"""),"IsInMarketIncluded")</f>
        <v>IsInMarketIncluded</v>
      </c>
      <c r="N5" s="27" t="str">
        <f>IFERROR(__xludf.DUMMYFUNCTION("""COMPUTED_VALUE"""),"IsSharesOutstandingRule")</f>
        <v>IsSharesOutstandingRule</v>
      </c>
      <c r="O5" s="27" t="str">
        <f>IFERROR(__xludf.DUMMYFUNCTION("""COMPUTED_VALUE"""),"SharesOutstandingPercent")</f>
        <v>SharesOutstandingPercent</v>
      </c>
      <c r="P5" s="27" t="str">
        <f>IFERROR(__xludf.DUMMYFUNCTION("""COMPUTED_VALUE"""),"SharesOutstandingAccountOrMF")</f>
        <v>SharesOutstandingAccountOrMF</v>
      </c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b">
        <v>1</v>
      </c>
      <c r="E6" s="30"/>
      <c r="F6" s="8"/>
      <c r="G6" s="8"/>
      <c r="H6" s="12">
        <v>10.0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IFERROR(__xludf.DUMMYFUNCTION("""COMPUTED_VALUE"""),"UpdateMPAndFC")</f>
        <v>UpdateMPAndFC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>
        <v>45475.0</v>
      </c>
      <c r="C6" s="31">
        <v>45475.0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IFERROR(__xludf.DUMMYFUNCTION("""COMPUTED_VALUE"""),"UpdateMPAndFC")</f>
        <v>UpdateMPAndFC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12" t="s">
        <v>20</v>
      </c>
      <c r="D6" s="12">
        <v>300000.0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21</v>
      </c>
      <c r="C7" s="12" t="s">
        <v>20</v>
      </c>
      <c r="D7" s="12">
        <v>300000.0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 t="str">
        <f>IFERROR(__xludf.DUMMYFUNCTION("""COMPUTED_VALUE"""),"ResAllowedListPopUp")</f>
        <v>ResAllowedListPopUp</v>
      </c>
      <c r="AS5" s="29" t="str">
        <f>IFERROR(__xludf.DUMMYFUNCTION("""COMPUTED_VALUE"""),"ChkBoxBookAsSwap")</f>
        <v>ChkBoxBookAsSwap</v>
      </c>
      <c r="AT5" s="29" t="str">
        <f>IFERROR(__xludf.DUMMYFUNCTION("""COMPUTED_VALUE"""),"Interest Rate")</f>
        <v>Interest Rate</v>
      </c>
      <c r="AU5" s="29" t="str">
        <f>IFERROR(__xludf.DUMMYFUNCTION("""COMPUTED_VALUE"""),"OrderPendingNewPopup")</f>
        <v>OrderPendingNewPopup</v>
      </c>
      <c r="AV5" s="29" t="str">
        <f>IFERROR(__xludf.DUMMYFUNCTION("""COMPUTED_VALUE"""),"Master Funds")</f>
        <v>Master Funds</v>
      </c>
      <c r="AW5" s="29" t="str">
        <f>IFERROR(__xludf.DUMMYFUNCTION("""COMPUTED_VALUE"""),"Allow Duplicate Trade")</f>
        <v>Allow Duplicate Trade</v>
      </c>
      <c r="AX5" s="29" t="str">
        <f>IFERROR(__xludf.DUMMYFUNCTION("""COMPUTED_VALUE"""),"TRVAccountName")</f>
        <v>TRVAccountName</v>
      </c>
      <c r="AY5" s="29" t="str">
        <f>IFERROR(__xludf.DUMMYFUNCTION("""COMPUTED_VALUE"""),"TRVTradeQuantity")</f>
        <v>TRVTradeQuantity</v>
      </c>
      <c r="AZ5" s="29" t="str">
        <f>IFERROR(__xludf.DUMMYFUNCTION("""COMPUTED_VALUE"""),"TRVCurrentPosition")</f>
        <v>TRVCurrentPosition</v>
      </c>
      <c r="BA5" s="29" t="str">
        <f>IFERROR(__xludf.DUMMYFUNCTION("""COMPUTED_VALUE"""),"TRVNav")</f>
        <v>TRVNav</v>
      </c>
      <c r="BB5" s="29" t="str">
        <f>IFERROR(__xludf.DUMMYFUNCTION("""COMPUTED_VALUE"""),"SendClickOnNO")</f>
        <v>SendClickOnNO</v>
      </c>
      <c r="BC5" s="29" t="str">
        <f>IFERROR(__xludf.DUMMYFUNCTION("""COMPUTED_VALUE"""),"PendingApprovalPopUp")</f>
        <v>PendingApprovalPopUp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24</v>
      </c>
      <c r="C6" s="12" t="s">
        <v>25</v>
      </c>
      <c r="D6" s="12">
        <v>100.0</v>
      </c>
      <c r="E6" s="12">
        <v>100.0</v>
      </c>
      <c r="F6" s="12" t="s">
        <v>19</v>
      </c>
      <c r="G6" s="12" t="s">
        <v>26</v>
      </c>
      <c r="H6" s="8"/>
      <c r="I6" s="8"/>
      <c r="J6" s="12">
        <v>210.0</v>
      </c>
      <c r="K6" s="8"/>
      <c r="L6" s="8"/>
      <c r="M6" s="8"/>
      <c r="N6" s="8"/>
      <c r="O6" s="8"/>
    </row>
    <row r="7" ht="15.75" customHeight="1">
      <c r="A7" s="8"/>
      <c r="B7" s="12" t="s">
        <v>24</v>
      </c>
      <c r="C7" s="12" t="s">
        <v>25</v>
      </c>
      <c r="D7" s="12">
        <v>100000.0</v>
      </c>
      <c r="E7" s="12">
        <v>100000.0</v>
      </c>
      <c r="F7" s="12" t="s">
        <v>19</v>
      </c>
      <c r="G7" s="12" t="s">
        <v>26</v>
      </c>
      <c r="H7" s="8"/>
      <c r="I7" s="8"/>
      <c r="J7" s="12">
        <v>210.0</v>
      </c>
      <c r="K7" s="8"/>
      <c r="L7" s="8"/>
      <c r="M7" s="8"/>
      <c r="N7" s="8"/>
      <c r="O7" s="8"/>
    </row>
    <row r="8" ht="15.75" customHeight="1">
      <c r="A8" s="8"/>
      <c r="B8" s="12" t="s">
        <v>24</v>
      </c>
      <c r="C8" s="12" t="s">
        <v>25</v>
      </c>
      <c r="D8" s="12">
        <v>50.0</v>
      </c>
      <c r="E8" s="12">
        <v>50.0</v>
      </c>
      <c r="F8" s="12" t="s">
        <v>21</v>
      </c>
      <c r="G8" s="12" t="s">
        <v>26</v>
      </c>
      <c r="H8" s="8"/>
      <c r="I8" s="8"/>
      <c r="J8" s="12">
        <v>310.0</v>
      </c>
      <c r="K8" s="8"/>
      <c r="L8" s="8"/>
      <c r="M8" s="8"/>
      <c r="N8" s="8"/>
      <c r="O8" s="8"/>
    </row>
    <row r="9" ht="15.75" customHeight="1">
      <c r="A9" s="8"/>
      <c r="B9" s="12" t="s">
        <v>24</v>
      </c>
      <c r="C9" s="12" t="s">
        <v>25</v>
      </c>
      <c r="D9" s="12">
        <v>500000.0</v>
      </c>
      <c r="E9" s="12">
        <v>500000.0</v>
      </c>
      <c r="F9" s="12" t="s">
        <v>21</v>
      </c>
      <c r="G9" s="12" t="s">
        <v>26</v>
      </c>
      <c r="H9" s="8"/>
      <c r="I9" s="8"/>
      <c r="J9" s="12">
        <v>310.0</v>
      </c>
      <c r="K9" s="8"/>
      <c r="L9" s="8"/>
      <c r="M9" s="8"/>
      <c r="N9" s="8"/>
      <c r="O9" s="8"/>
    </row>
    <row r="10" ht="15.75" customHeight="1">
      <c r="A10" s="8"/>
      <c r="B10" s="12" t="s">
        <v>24</v>
      </c>
      <c r="C10" s="12" t="s">
        <v>27</v>
      </c>
      <c r="D10" s="12">
        <v>100.0</v>
      </c>
      <c r="E10" s="12">
        <v>100.0</v>
      </c>
      <c r="F10" s="12" t="s">
        <v>19</v>
      </c>
      <c r="G10" s="12" t="s">
        <v>26</v>
      </c>
      <c r="H10" s="8"/>
      <c r="I10" s="8"/>
      <c r="J10" s="12">
        <v>210.0</v>
      </c>
      <c r="K10" s="8"/>
      <c r="L10" s="8"/>
      <c r="M10" s="8"/>
      <c r="N10" s="8"/>
      <c r="O10" s="8"/>
    </row>
    <row r="11" ht="15.75" customHeight="1">
      <c r="A11" s="8"/>
      <c r="B11" s="12" t="s">
        <v>24</v>
      </c>
      <c r="C11" s="12" t="s">
        <v>27</v>
      </c>
      <c r="D11" s="12">
        <v>100000.0</v>
      </c>
      <c r="E11" s="12">
        <v>100000.0</v>
      </c>
      <c r="F11" s="12" t="s">
        <v>19</v>
      </c>
      <c r="G11" s="12" t="s">
        <v>26</v>
      </c>
      <c r="H11" s="8"/>
      <c r="I11" s="8"/>
      <c r="J11" s="12">
        <v>210.0</v>
      </c>
      <c r="K11" s="8"/>
      <c r="L11" s="8"/>
      <c r="M11" s="8"/>
      <c r="N11" s="8"/>
      <c r="O11" s="8"/>
    </row>
    <row r="12" ht="15.75" customHeight="1">
      <c r="A12" s="8"/>
      <c r="B12" s="12" t="s">
        <v>24</v>
      </c>
      <c r="C12" s="12" t="s">
        <v>27</v>
      </c>
      <c r="D12" s="12">
        <v>50.0</v>
      </c>
      <c r="E12" s="12">
        <v>50.0</v>
      </c>
      <c r="F12" s="12" t="s">
        <v>21</v>
      </c>
      <c r="G12" s="12" t="s">
        <v>26</v>
      </c>
      <c r="H12" s="8"/>
      <c r="I12" s="8"/>
      <c r="J12" s="12">
        <v>310.0</v>
      </c>
      <c r="K12" s="8"/>
      <c r="L12" s="8"/>
      <c r="M12" s="8"/>
      <c r="N12" s="8"/>
      <c r="O12" s="8"/>
    </row>
    <row r="13" ht="15.75" customHeight="1">
      <c r="A13" s="8"/>
      <c r="B13" s="12" t="s">
        <v>24</v>
      </c>
      <c r="C13" s="12" t="s">
        <v>27</v>
      </c>
      <c r="D13" s="12">
        <v>500000.0</v>
      </c>
      <c r="E13" s="12">
        <v>500000.0</v>
      </c>
      <c r="F13" s="12" t="s">
        <v>21</v>
      </c>
      <c r="G13" s="12" t="s">
        <v>26</v>
      </c>
      <c r="H13" s="8"/>
      <c r="I13" s="8"/>
      <c r="J13" s="12">
        <v>310.0</v>
      </c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25</v>
      </c>
      <c r="C6" s="12" t="s">
        <v>24</v>
      </c>
      <c r="D6" s="12"/>
      <c r="E6" s="30"/>
      <c r="F6" s="8"/>
      <c r="G6" s="12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25</v>
      </c>
      <c r="C6" s="12" t="s">
        <v>24</v>
      </c>
      <c r="D6" s="12"/>
      <c r="E6" s="30"/>
      <c r="F6" s="8"/>
      <c r="G6" s="12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210.0</v>
      </c>
      <c r="C6" s="12">
        <v>100.0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25</v>
      </c>
      <c r="C6" s="12" t="s">
        <v>24</v>
      </c>
      <c r="D6" s="12"/>
      <c r="E6" s="30"/>
      <c r="F6" s="8"/>
      <c r="G6" s="12">
        <v>100000.0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25</v>
      </c>
      <c r="C6" s="12" t="s">
        <v>24</v>
      </c>
      <c r="D6" s="12"/>
      <c r="E6" s="30"/>
      <c r="F6" s="8"/>
      <c r="G6" s="12">
        <v>100000.0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AcknowledgeTrade1!$4:$4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210.0</v>
      </c>
      <c r="C6" s="12">
        <v>100000.0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ExecuteTrade1!$4:$4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25</v>
      </c>
      <c r="C6" s="12" t="s">
        <v>24</v>
      </c>
      <c r="D6" s="12"/>
      <c r="E6" s="30"/>
      <c r="F6" s="8"/>
      <c r="G6" s="12">
        <v>50.0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25</v>
      </c>
      <c r="C6" s="12" t="s">
        <v>24</v>
      </c>
      <c r="D6" s="12"/>
      <c r="E6" s="30"/>
      <c r="F6" s="8"/>
      <c r="G6" s="12">
        <v>50.0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310.0</v>
      </c>
      <c r="C6" s="12">
        <v>50.0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25</v>
      </c>
      <c r="C6" s="12" t="s">
        <v>24</v>
      </c>
      <c r="D6" s="12"/>
      <c r="E6" s="30"/>
      <c r="F6" s="8"/>
      <c r="G6" s="12">
        <v>500000.0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SelectTrade4!$4:$4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25</v>
      </c>
      <c r="C6" s="12" t="s">
        <v>24</v>
      </c>
      <c r="D6" s="12"/>
      <c r="E6" s="30"/>
      <c r="F6" s="8"/>
      <c r="G6" s="12">
        <v>500000.0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AcknowledgeTrade4!$4:$4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310.0</v>
      </c>
      <c r="C6" s="12">
        <v>500000.0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ExecuteTrade4!$4:$4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27</v>
      </c>
      <c r="C6" s="12" t="s">
        <v>24</v>
      </c>
      <c r="D6" s="12"/>
      <c r="E6" s="30"/>
      <c r="F6" s="8"/>
      <c r="G6" s="12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SelectTrade5!$4:$4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27</v>
      </c>
      <c r="C6" s="12" t="s">
        <v>24</v>
      </c>
      <c r="D6" s="12"/>
      <c r="E6" s="30"/>
      <c r="F6" s="8"/>
      <c r="G6" s="12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AcknowledgeTrade5!$4:$4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210.0</v>
      </c>
      <c r="C6" s="12">
        <v>100.0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ExecuteTrade5!$4:$4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27</v>
      </c>
      <c r="C6" s="12" t="s">
        <v>24</v>
      </c>
      <c r="D6" s="12"/>
      <c r="E6" s="30"/>
      <c r="F6" s="8"/>
      <c r="G6" s="12">
        <v>100000.0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SelectTrade6!$4:$4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27</v>
      </c>
      <c r="C6" s="12" t="s">
        <v>24</v>
      </c>
      <c r="D6" s="12"/>
      <c r="E6" s="30"/>
      <c r="F6" s="8"/>
      <c r="G6" s="12">
        <v>100000.0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AcknowledgeTrade6!$4:$4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210.0</v>
      </c>
      <c r="C6" s="12">
        <v>100000.0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ExecuteTrade6!$4:$4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27</v>
      </c>
      <c r="C6" s="12" t="s">
        <v>24</v>
      </c>
      <c r="D6" s="12"/>
      <c r="E6" s="30"/>
      <c r="F6" s="8"/>
      <c r="G6" s="12">
        <v>50.0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SelectTrade7!$4:$4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27</v>
      </c>
      <c r="C6" s="12" t="s">
        <v>24</v>
      </c>
      <c r="D6" s="12"/>
      <c r="E6" s="30"/>
      <c r="F6" s="8"/>
      <c r="G6" s="12">
        <v>50.0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AcknowledgeTrade7!$4:$4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310.0</v>
      </c>
      <c r="C6" s="12">
        <v>50.0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ExecuteTrade7!$4:$4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27</v>
      </c>
      <c r="C6" s="12" t="s">
        <v>24</v>
      </c>
      <c r="D6" s="12"/>
      <c r="E6" s="30"/>
      <c r="F6" s="8"/>
      <c r="G6" s="12">
        <v>500000.0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SelectTrade8!$4:$4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27</v>
      </c>
      <c r="C6" s="12" t="s">
        <v>24</v>
      </c>
      <c r="D6" s="12"/>
      <c r="E6" s="30"/>
      <c r="F6" s="8"/>
      <c r="G6" s="12">
        <v>500000.0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AcknowledgeTrade8!$4:$4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310.0</v>
      </c>
      <c r="C6" s="12">
        <v>500000.0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ExecuteTrade8!$4:$4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>
        <v>310.0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D6" s="9">
        <v>1.0</v>
      </c>
      <c r="AH6" s="9" t="s">
        <v>34</v>
      </c>
      <c r="AI6" s="9" t="s">
        <v>24</v>
      </c>
      <c r="AJ6" s="9" t="s">
        <v>25</v>
      </c>
      <c r="AK6" s="9" t="s">
        <v>35</v>
      </c>
      <c r="AL6" s="9">
        <v>50.0</v>
      </c>
      <c r="AM6" s="9">
        <v>50.0</v>
      </c>
      <c r="AN6" s="9">
        <v>100.0</v>
      </c>
      <c r="AO6" s="9">
        <v>50.0</v>
      </c>
      <c r="AQ6" s="9">
        <v>310.0</v>
      </c>
      <c r="AR6" s="9">
        <v>310.0</v>
      </c>
      <c r="AS6" s="9" t="s">
        <v>26</v>
      </c>
      <c r="AT6" s="9" t="s">
        <v>21</v>
      </c>
      <c r="AU6" s="9" t="s">
        <v>36</v>
      </c>
      <c r="AV6" s="32">
        <v>15500.0</v>
      </c>
      <c r="AW6" s="32">
        <v>15500.0</v>
      </c>
    </row>
    <row r="7" ht="15.75" customHeight="1">
      <c r="A7" s="8"/>
      <c r="B7" s="8"/>
      <c r="C7" s="8"/>
      <c r="D7" s="12">
        <v>210.0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  <c r="AD7" s="9">
        <v>1.0</v>
      </c>
      <c r="AH7" s="9" t="s">
        <v>34</v>
      </c>
      <c r="AI7" s="9" t="s">
        <v>24</v>
      </c>
      <c r="AJ7" s="9" t="s">
        <v>25</v>
      </c>
      <c r="AK7" s="9" t="s">
        <v>35</v>
      </c>
      <c r="AL7" s="9">
        <v>100.0</v>
      </c>
      <c r="AM7" s="9">
        <v>100.0</v>
      </c>
      <c r="AN7" s="9">
        <v>100.0</v>
      </c>
      <c r="AO7" s="9">
        <v>100.0</v>
      </c>
      <c r="AQ7" s="9">
        <v>210.0</v>
      </c>
      <c r="AR7" s="9">
        <v>210.0</v>
      </c>
      <c r="AS7" s="9" t="s">
        <v>26</v>
      </c>
      <c r="AT7" s="9" t="s">
        <v>19</v>
      </c>
      <c r="AU7" s="9" t="s">
        <v>36</v>
      </c>
      <c r="AV7" s="9">
        <v>21000.0</v>
      </c>
      <c r="AW7" s="9">
        <v>21000.0</v>
      </c>
    </row>
    <row r="8" ht="15.75" customHeight="1">
      <c r="A8" s="8"/>
      <c r="B8" s="8"/>
      <c r="C8" s="8"/>
      <c r="D8" s="12">
        <v>210.0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  <c r="AD8" s="9">
        <v>1.0</v>
      </c>
      <c r="AH8" s="9" t="s">
        <v>34</v>
      </c>
      <c r="AI8" s="9" t="s">
        <v>24</v>
      </c>
      <c r="AJ8" s="9" t="s">
        <v>25</v>
      </c>
      <c r="AK8" s="9" t="s">
        <v>35</v>
      </c>
      <c r="AL8" s="9">
        <v>100000.0</v>
      </c>
      <c r="AM8" s="9">
        <v>100000.0</v>
      </c>
      <c r="AN8" s="9">
        <v>100.0</v>
      </c>
      <c r="AO8" s="9">
        <v>100000.0</v>
      </c>
      <c r="AQ8" s="9">
        <v>210.0</v>
      </c>
      <c r="AR8" s="9">
        <v>210.0</v>
      </c>
      <c r="AS8" s="9" t="s">
        <v>26</v>
      </c>
      <c r="AT8" s="9" t="s">
        <v>19</v>
      </c>
      <c r="AU8" s="9" t="s">
        <v>36</v>
      </c>
      <c r="AV8" s="32">
        <v>2.1E7</v>
      </c>
      <c r="AW8" s="32">
        <v>2.1E7</v>
      </c>
    </row>
    <row r="9" ht="15.75" customHeight="1">
      <c r="A9" s="8"/>
      <c r="B9" s="8"/>
      <c r="C9" s="8"/>
      <c r="D9" s="12">
        <v>310.0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  <c r="AD9" s="9">
        <v>1.0</v>
      </c>
      <c r="AH9" s="9" t="s">
        <v>34</v>
      </c>
      <c r="AI9" s="9" t="s">
        <v>24</v>
      </c>
      <c r="AJ9" s="9" t="s">
        <v>25</v>
      </c>
      <c r="AK9" s="9" t="s">
        <v>35</v>
      </c>
      <c r="AL9" s="9">
        <v>500000.0</v>
      </c>
      <c r="AM9" s="9">
        <v>500000.0</v>
      </c>
      <c r="AN9" s="9">
        <v>100.0</v>
      </c>
      <c r="AO9" s="9">
        <v>500000.0</v>
      </c>
      <c r="AQ9" s="9">
        <v>310.0</v>
      </c>
      <c r="AR9" s="9">
        <v>310.0</v>
      </c>
      <c r="AS9" s="9" t="s">
        <v>26</v>
      </c>
      <c r="AT9" s="9" t="s">
        <v>21</v>
      </c>
      <c r="AU9" s="9" t="s">
        <v>36</v>
      </c>
      <c r="AV9" s="32">
        <v>1.55E8</v>
      </c>
      <c r="AW9" s="32">
        <v>1.55E8</v>
      </c>
    </row>
    <row r="10" ht="15.75" customHeight="1">
      <c r="A10" s="8"/>
      <c r="B10" s="8"/>
      <c r="C10" s="8"/>
      <c r="D10" s="12">
        <v>310.0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AA10" s="9" t="s">
        <v>37</v>
      </c>
      <c r="AD10" s="9">
        <v>1.0</v>
      </c>
      <c r="AH10" s="9" t="s">
        <v>34</v>
      </c>
      <c r="AI10" s="9" t="s">
        <v>24</v>
      </c>
      <c r="AJ10" s="9" t="s">
        <v>27</v>
      </c>
      <c r="AK10" s="9" t="s">
        <v>35</v>
      </c>
      <c r="AL10" s="9">
        <v>50.0</v>
      </c>
      <c r="AM10" s="9">
        <v>50.0</v>
      </c>
      <c r="AN10" s="9">
        <v>100.0</v>
      </c>
      <c r="AO10" s="9">
        <v>50.0</v>
      </c>
      <c r="AQ10" s="9">
        <v>310.0</v>
      </c>
      <c r="AR10" s="9">
        <v>310.0</v>
      </c>
      <c r="AS10" s="9" t="s">
        <v>26</v>
      </c>
      <c r="AT10" s="9" t="s">
        <v>21</v>
      </c>
      <c r="AU10" s="9" t="s">
        <v>36</v>
      </c>
      <c r="AV10" s="32">
        <v>-15500.0</v>
      </c>
      <c r="AW10" s="32">
        <v>-15500.0</v>
      </c>
      <c r="AY10" s="9">
        <v>50.0</v>
      </c>
    </row>
    <row r="11" ht="15.75" customHeight="1">
      <c r="A11" s="8"/>
      <c r="B11" s="8"/>
      <c r="C11" s="8"/>
      <c r="D11" s="12">
        <v>210.0</v>
      </c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AA11" s="9" t="s">
        <v>38</v>
      </c>
      <c r="AD11" s="9">
        <v>1.0</v>
      </c>
      <c r="AH11" s="9" t="s">
        <v>34</v>
      </c>
      <c r="AI11" s="9" t="s">
        <v>24</v>
      </c>
      <c r="AJ11" s="9" t="s">
        <v>27</v>
      </c>
      <c r="AK11" s="9" t="s">
        <v>35</v>
      </c>
      <c r="AL11" s="9">
        <v>100.0</v>
      </c>
      <c r="AM11" s="9">
        <v>100.0</v>
      </c>
      <c r="AN11" s="9">
        <v>100.0</v>
      </c>
      <c r="AO11" s="9">
        <v>100.0</v>
      </c>
      <c r="AQ11" s="9">
        <v>210.0</v>
      </c>
      <c r="AR11" s="9">
        <v>210.0</v>
      </c>
      <c r="AS11" s="9" t="s">
        <v>26</v>
      </c>
      <c r="AT11" s="9" t="s">
        <v>19</v>
      </c>
      <c r="AU11" s="9" t="s">
        <v>36</v>
      </c>
      <c r="AV11" s="9">
        <v>-21000.0</v>
      </c>
      <c r="AW11" s="9">
        <v>-21000.0</v>
      </c>
      <c r="AY11" s="9">
        <v>100.0</v>
      </c>
    </row>
    <row r="12" ht="15.75" customHeight="1">
      <c r="A12" s="8"/>
      <c r="B12" s="8"/>
      <c r="C12" s="8"/>
      <c r="D12" s="12">
        <v>210.0</v>
      </c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AA12" s="9" t="s">
        <v>38</v>
      </c>
      <c r="AD12" s="9">
        <v>1.0</v>
      </c>
      <c r="AH12" s="9" t="s">
        <v>34</v>
      </c>
      <c r="AI12" s="9" t="s">
        <v>24</v>
      </c>
      <c r="AJ12" s="9" t="s">
        <v>27</v>
      </c>
      <c r="AK12" s="9" t="s">
        <v>35</v>
      </c>
      <c r="AL12" s="9">
        <v>100000.0</v>
      </c>
      <c r="AM12" s="9">
        <v>100000.0</v>
      </c>
      <c r="AN12" s="9">
        <v>100.0</v>
      </c>
      <c r="AO12" s="9">
        <v>100000.0</v>
      </c>
      <c r="AQ12" s="9">
        <v>210.0</v>
      </c>
      <c r="AR12" s="9">
        <v>210.0</v>
      </c>
      <c r="AS12" s="9" t="s">
        <v>26</v>
      </c>
      <c r="AT12" s="9" t="s">
        <v>19</v>
      </c>
      <c r="AU12" s="9" t="s">
        <v>36</v>
      </c>
      <c r="AV12" s="32">
        <v>-2.1E7</v>
      </c>
      <c r="AW12" s="32">
        <v>-2.1E7</v>
      </c>
      <c r="AY12" s="32">
        <v>100000.0</v>
      </c>
    </row>
    <row r="13" ht="15.75" customHeight="1">
      <c r="A13" s="8"/>
      <c r="B13" s="8"/>
      <c r="C13" s="8"/>
      <c r="D13" s="12">
        <v>310.0</v>
      </c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AA13" s="9" t="s">
        <v>37</v>
      </c>
      <c r="AD13" s="9">
        <v>1.0</v>
      </c>
      <c r="AH13" s="9" t="s">
        <v>34</v>
      </c>
      <c r="AI13" s="9" t="s">
        <v>24</v>
      </c>
      <c r="AJ13" s="9" t="s">
        <v>27</v>
      </c>
      <c r="AK13" s="9" t="s">
        <v>35</v>
      </c>
      <c r="AL13" s="9">
        <v>500000.0</v>
      </c>
      <c r="AM13" s="9">
        <v>500000.0</v>
      </c>
      <c r="AN13" s="9">
        <v>100.0</v>
      </c>
      <c r="AO13" s="9">
        <v>500000.0</v>
      </c>
      <c r="AQ13" s="9">
        <v>310.0</v>
      </c>
      <c r="AR13" s="9">
        <v>310.0</v>
      </c>
      <c r="AS13" s="9" t="s">
        <v>26</v>
      </c>
      <c r="AT13" s="9" t="s">
        <v>21</v>
      </c>
      <c r="AU13" s="9" t="s">
        <v>36</v>
      </c>
      <c r="AV13" s="32">
        <v>-1.55E8</v>
      </c>
      <c r="AW13" s="32">
        <v>-1.55E8</v>
      </c>
      <c r="AY13" s="32">
        <v>500000.0</v>
      </c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39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41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39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8"/>
      <c r="D6" s="12">
        <v>0.0</v>
      </c>
      <c r="E6" s="33">
        <v>100000.0</v>
      </c>
      <c r="F6" s="8"/>
      <c r="G6" s="12" t="s">
        <v>34</v>
      </c>
      <c r="H6" s="12">
        <v>4.0</v>
      </c>
      <c r="I6" s="12">
        <v>5.0</v>
      </c>
      <c r="J6" s="8"/>
      <c r="K6" s="12">
        <v>210.0</v>
      </c>
      <c r="L6" s="12">
        <v>210.0</v>
      </c>
      <c r="M6" s="8"/>
      <c r="N6" s="8"/>
      <c r="O6" s="12" t="s">
        <v>26</v>
      </c>
      <c r="R6" s="9">
        <v>0.0</v>
      </c>
      <c r="S6" s="9" t="s">
        <v>43</v>
      </c>
      <c r="T6" s="9">
        <v>0.0</v>
      </c>
      <c r="U6" s="9">
        <v>0.0</v>
      </c>
      <c r="AE6" s="34">
        <v>100000.0</v>
      </c>
      <c r="AI6" s="9">
        <v>1.0</v>
      </c>
      <c r="AT6" s="34">
        <v>2.100002576E7</v>
      </c>
      <c r="AU6" s="34">
        <v>2.100002576E7</v>
      </c>
      <c r="AW6" s="9">
        <v>0.0</v>
      </c>
      <c r="AX6" s="9">
        <v>0.0</v>
      </c>
      <c r="AY6" s="9" t="s">
        <v>36</v>
      </c>
      <c r="AZ6" s="9">
        <v>0.0</v>
      </c>
      <c r="BC6" s="9">
        <v>0.0</v>
      </c>
      <c r="BE6" s="34">
        <v>2.1E7</v>
      </c>
      <c r="BF6" s="34">
        <v>2.1E7</v>
      </c>
      <c r="BJ6" s="34">
        <v>100000.0</v>
      </c>
      <c r="BO6" s="9" t="s">
        <v>25</v>
      </c>
      <c r="BP6" s="9">
        <v>0.0</v>
      </c>
      <c r="BT6" s="9" t="s">
        <v>24</v>
      </c>
      <c r="BU6" s="9">
        <v>3.0</v>
      </c>
      <c r="BV6" s="9">
        <v>0.0</v>
      </c>
      <c r="BW6" s="9">
        <v>25.76</v>
      </c>
    </row>
    <row r="7" ht="15.75" customHeight="1">
      <c r="A7" s="8"/>
      <c r="B7" s="12" t="s">
        <v>21</v>
      </c>
      <c r="C7" s="8"/>
      <c r="D7" s="12">
        <v>0.0</v>
      </c>
      <c r="E7" s="12">
        <v>50.0</v>
      </c>
      <c r="F7" s="8"/>
      <c r="G7" s="12" t="s">
        <v>34</v>
      </c>
      <c r="H7" s="12">
        <v>4.0</v>
      </c>
      <c r="I7" s="12">
        <v>5.0</v>
      </c>
      <c r="J7" s="8"/>
      <c r="K7" s="12">
        <v>310.0</v>
      </c>
      <c r="L7" s="12">
        <v>310.0</v>
      </c>
      <c r="M7" s="8"/>
      <c r="N7" s="8"/>
      <c r="O7" s="12" t="s">
        <v>26</v>
      </c>
      <c r="R7" s="9">
        <v>0.0</v>
      </c>
      <c r="S7" s="9" t="s">
        <v>43</v>
      </c>
      <c r="T7" s="9">
        <v>0.0</v>
      </c>
      <c r="U7" s="9">
        <v>0.0</v>
      </c>
      <c r="AE7" s="9">
        <v>50.0</v>
      </c>
      <c r="AI7" s="9">
        <v>1.0</v>
      </c>
      <c r="AT7" s="34">
        <v>15514.0087</v>
      </c>
      <c r="AU7" s="34">
        <v>15514.0087</v>
      </c>
      <c r="AW7" s="9">
        <v>0.0</v>
      </c>
      <c r="AX7" s="9">
        <v>0.0</v>
      </c>
      <c r="AY7" s="9" t="s">
        <v>36</v>
      </c>
      <c r="AZ7" s="9">
        <v>0.0</v>
      </c>
      <c r="BC7" s="9">
        <v>0.0</v>
      </c>
      <c r="BE7" s="34">
        <v>15500.0</v>
      </c>
      <c r="BF7" s="34">
        <v>15500.0</v>
      </c>
      <c r="BJ7" s="9">
        <v>50.0</v>
      </c>
      <c r="BO7" s="9" t="s">
        <v>25</v>
      </c>
      <c r="BP7" s="9">
        <v>0.0</v>
      </c>
      <c r="BT7" s="9" t="s">
        <v>24</v>
      </c>
      <c r="BU7" s="9">
        <v>3.0</v>
      </c>
      <c r="BV7" s="9">
        <v>0.0</v>
      </c>
      <c r="BW7" s="9">
        <v>14.0087</v>
      </c>
    </row>
    <row r="8" ht="15.75" customHeight="1">
      <c r="A8" s="8"/>
      <c r="B8" s="12" t="s">
        <v>19</v>
      </c>
      <c r="C8" s="8"/>
      <c r="D8" s="12">
        <v>0.0</v>
      </c>
      <c r="E8" s="12">
        <v>100.0</v>
      </c>
      <c r="F8" s="8"/>
      <c r="G8" s="12" t="s">
        <v>34</v>
      </c>
      <c r="H8" s="12">
        <v>4.0</v>
      </c>
      <c r="I8" s="12">
        <v>5.0</v>
      </c>
      <c r="J8" s="8"/>
      <c r="K8" s="12">
        <v>210.0</v>
      </c>
      <c r="L8" s="12">
        <v>210.0</v>
      </c>
      <c r="M8" s="8"/>
      <c r="N8" s="8"/>
      <c r="O8" s="12" t="s">
        <v>26</v>
      </c>
      <c r="R8" s="9">
        <v>0.0</v>
      </c>
      <c r="S8" s="9" t="s">
        <v>43</v>
      </c>
      <c r="T8" s="9">
        <v>0.0</v>
      </c>
      <c r="U8" s="9">
        <v>0.0</v>
      </c>
      <c r="AE8" s="9">
        <v>100.0</v>
      </c>
      <c r="AI8" s="9">
        <v>1.0</v>
      </c>
      <c r="AT8" s="34">
        <v>21014.0118</v>
      </c>
      <c r="AU8" s="34">
        <v>21014.0118</v>
      </c>
      <c r="AW8" s="9">
        <v>0.0</v>
      </c>
      <c r="AX8" s="9">
        <v>0.0</v>
      </c>
      <c r="AY8" s="9" t="s">
        <v>36</v>
      </c>
      <c r="AZ8" s="9">
        <v>0.0</v>
      </c>
      <c r="BC8" s="9">
        <v>0.0</v>
      </c>
      <c r="BE8" s="34">
        <v>21000.0</v>
      </c>
      <c r="BF8" s="34">
        <v>21000.0</v>
      </c>
      <c r="BJ8" s="9">
        <v>100.0</v>
      </c>
      <c r="BO8" s="9" t="s">
        <v>25</v>
      </c>
      <c r="BP8" s="9">
        <v>0.0</v>
      </c>
      <c r="BT8" s="9" t="s">
        <v>24</v>
      </c>
      <c r="BU8" s="9">
        <v>3.0</v>
      </c>
      <c r="BV8" s="9">
        <v>0.0</v>
      </c>
      <c r="BW8" s="9">
        <v>14.0118</v>
      </c>
    </row>
    <row r="9" ht="15.75" customHeight="1">
      <c r="A9" s="8"/>
      <c r="B9" s="12" t="s">
        <v>21</v>
      </c>
      <c r="C9" s="8"/>
      <c r="D9" s="12">
        <v>0.0</v>
      </c>
      <c r="E9" s="33">
        <v>500000.0</v>
      </c>
      <c r="F9" s="8"/>
      <c r="G9" s="12" t="s">
        <v>34</v>
      </c>
      <c r="H9" s="12">
        <v>4.0</v>
      </c>
      <c r="I9" s="12">
        <v>5.0</v>
      </c>
      <c r="J9" s="8"/>
      <c r="K9" s="12">
        <v>310.0</v>
      </c>
      <c r="L9" s="12">
        <v>310.0</v>
      </c>
      <c r="M9" s="8"/>
      <c r="N9" s="8"/>
      <c r="O9" s="12" t="s">
        <v>26</v>
      </c>
      <c r="R9" s="9">
        <v>0.0</v>
      </c>
      <c r="S9" s="9" t="s">
        <v>43</v>
      </c>
      <c r="T9" s="9">
        <v>0.0</v>
      </c>
      <c r="U9" s="9">
        <v>0.0</v>
      </c>
      <c r="AE9" s="34">
        <v>500000.0</v>
      </c>
      <c r="AI9" s="9">
        <v>1.0</v>
      </c>
      <c r="AT9" s="34">
        <v>1.550001008E8</v>
      </c>
      <c r="AU9" s="34">
        <v>1.550001008E8</v>
      </c>
      <c r="AW9" s="9">
        <v>0.0</v>
      </c>
      <c r="AX9" s="9">
        <v>0.0</v>
      </c>
      <c r="AY9" s="9" t="s">
        <v>36</v>
      </c>
      <c r="AZ9" s="9">
        <v>0.0</v>
      </c>
      <c r="BC9" s="9">
        <v>0.0</v>
      </c>
      <c r="BE9" s="34">
        <v>1.55E8</v>
      </c>
      <c r="BF9" s="34">
        <v>1.55E8</v>
      </c>
      <c r="BJ9" s="34">
        <v>500000.0</v>
      </c>
      <c r="BO9" s="9" t="s">
        <v>25</v>
      </c>
      <c r="BP9" s="9">
        <v>0.0</v>
      </c>
      <c r="BT9" s="9" t="s">
        <v>24</v>
      </c>
      <c r="BU9" s="9">
        <v>3.0</v>
      </c>
      <c r="BV9" s="9">
        <v>0.0</v>
      </c>
      <c r="BW9" s="9">
        <v>100.8</v>
      </c>
    </row>
    <row r="10" ht="15.75" customHeight="1">
      <c r="A10" s="8"/>
      <c r="B10" s="12" t="s">
        <v>19</v>
      </c>
      <c r="C10" s="8"/>
      <c r="D10" s="12">
        <v>0.0</v>
      </c>
      <c r="E10" s="33">
        <v>100000.0</v>
      </c>
      <c r="F10" s="8"/>
      <c r="G10" s="12" t="s">
        <v>34</v>
      </c>
      <c r="H10" s="12">
        <v>4.0</v>
      </c>
      <c r="I10" s="12">
        <v>5.0</v>
      </c>
      <c r="J10" s="8"/>
      <c r="K10" s="12">
        <v>210.0</v>
      </c>
      <c r="L10" s="12">
        <v>210.0</v>
      </c>
      <c r="M10" s="8"/>
      <c r="N10" s="8"/>
      <c r="O10" s="12" t="s">
        <v>26</v>
      </c>
      <c r="Q10" s="9">
        <v>3.0</v>
      </c>
      <c r="R10" s="9">
        <v>0.0</v>
      </c>
      <c r="S10" s="9" t="s">
        <v>43</v>
      </c>
      <c r="T10" s="9">
        <v>0.0</v>
      </c>
      <c r="U10" s="9">
        <v>0.0</v>
      </c>
      <c r="AD10" s="9" t="s">
        <v>44</v>
      </c>
      <c r="AE10" s="34">
        <v>100000.0</v>
      </c>
      <c r="AI10" s="9">
        <v>1.0</v>
      </c>
      <c r="AT10" s="34">
        <v>2.099997424E7</v>
      </c>
      <c r="AU10" s="34">
        <v>2.099997424E7</v>
      </c>
      <c r="AW10" s="9">
        <v>0.0</v>
      </c>
      <c r="AX10" s="9">
        <v>0.0</v>
      </c>
      <c r="AY10" s="9" t="s">
        <v>36</v>
      </c>
      <c r="AZ10" s="9">
        <v>0.0</v>
      </c>
      <c r="BC10" s="9">
        <v>0.0</v>
      </c>
      <c r="BE10" s="34">
        <v>2.1E7</v>
      </c>
      <c r="BF10" s="34">
        <v>2.1E7</v>
      </c>
      <c r="BJ10" s="34">
        <v>100000.0</v>
      </c>
      <c r="BK10" s="9">
        <v>0.0</v>
      </c>
      <c r="BO10" s="9" t="s">
        <v>27</v>
      </c>
      <c r="BP10" s="9">
        <v>0.0</v>
      </c>
      <c r="BT10" s="9" t="s">
        <v>24</v>
      </c>
      <c r="BU10" s="9">
        <v>3.0</v>
      </c>
      <c r="BV10" s="9">
        <v>0.0</v>
      </c>
      <c r="BW10" s="9">
        <v>25.76</v>
      </c>
      <c r="BX10" s="9">
        <v>0.0</v>
      </c>
      <c r="CI10" s="9" t="s">
        <v>27</v>
      </c>
    </row>
    <row r="11" ht="15.75" customHeight="1">
      <c r="A11" s="8"/>
      <c r="B11" s="12" t="s">
        <v>21</v>
      </c>
      <c r="C11" s="8"/>
      <c r="D11" s="12">
        <v>0.0</v>
      </c>
      <c r="E11" s="33">
        <v>500000.0</v>
      </c>
      <c r="F11" s="8"/>
      <c r="G11" s="12" t="s">
        <v>34</v>
      </c>
      <c r="H11" s="12">
        <v>4.0</v>
      </c>
      <c r="I11" s="12">
        <v>5.0</v>
      </c>
      <c r="J11" s="8"/>
      <c r="K11" s="12">
        <v>310.0</v>
      </c>
      <c r="L11" s="12">
        <v>310.0</v>
      </c>
      <c r="M11" s="8"/>
      <c r="N11" s="8"/>
      <c r="O11" s="12" t="s">
        <v>26</v>
      </c>
      <c r="Q11" s="9">
        <v>3.0</v>
      </c>
      <c r="R11" s="9">
        <v>0.0</v>
      </c>
      <c r="S11" s="9" t="s">
        <v>43</v>
      </c>
      <c r="T11" s="9">
        <v>0.0</v>
      </c>
      <c r="U11" s="9">
        <v>0.0</v>
      </c>
      <c r="AD11" s="9" t="s">
        <v>44</v>
      </c>
      <c r="AE11" s="34">
        <v>500000.0</v>
      </c>
      <c r="AI11" s="9">
        <v>1.0</v>
      </c>
      <c r="AT11" s="34">
        <v>1.549998992E8</v>
      </c>
      <c r="AU11" s="34">
        <v>1.549998992E8</v>
      </c>
      <c r="AW11" s="9">
        <v>0.0</v>
      </c>
      <c r="AX11" s="9">
        <v>0.0</v>
      </c>
      <c r="AY11" s="9" t="s">
        <v>36</v>
      </c>
      <c r="AZ11" s="9">
        <v>0.0</v>
      </c>
      <c r="BC11" s="9">
        <v>0.0</v>
      </c>
      <c r="BE11" s="34">
        <v>1.55E8</v>
      </c>
      <c r="BF11" s="34">
        <v>1.55E8</v>
      </c>
      <c r="BJ11" s="34">
        <v>500000.0</v>
      </c>
      <c r="BK11" s="9">
        <v>0.0</v>
      </c>
      <c r="BO11" s="9" t="s">
        <v>27</v>
      </c>
      <c r="BP11" s="9">
        <v>0.0</v>
      </c>
      <c r="BT11" s="9" t="s">
        <v>24</v>
      </c>
      <c r="BU11" s="9">
        <v>3.0</v>
      </c>
      <c r="BV11" s="9">
        <v>0.0</v>
      </c>
      <c r="BW11" s="9">
        <v>100.8</v>
      </c>
      <c r="BX11" s="9">
        <v>0.0</v>
      </c>
      <c r="CI11" s="9" t="s">
        <v>27</v>
      </c>
    </row>
    <row r="12" ht="15.75" customHeight="1">
      <c r="A12" s="8"/>
      <c r="B12" s="12" t="s">
        <v>19</v>
      </c>
      <c r="C12" s="8"/>
      <c r="D12" s="12">
        <v>0.0</v>
      </c>
      <c r="E12" s="12">
        <v>100.0</v>
      </c>
      <c r="F12" s="8"/>
      <c r="G12" s="12" t="s">
        <v>34</v>
      </c>
      <c r="H12" s="12">
        <v>4.0</v>
      </c>
      <c r="I12" s="12">
        <v>5.0</v>
      </c>
      <c r="J12" s="8"/>
      <c r="K12" s="12">
        <v>210.0</v>
      </c>
      <c r="L12" s="12">
        <v>210.0</v>
      </c>
      <c r="M12" s="8"/>
      <c r="N12" s="8"/>
      <c r="O12" s="12" t="s">
        <v>26</v>
      </c>
      <c r="Q12" s="9">
        <v>3.0</v>
      </c>
      <c r="R12" s="9">
        <v>0.0</v>
      </c>
      <c r="S12" s="9" t="s">
        <v>43</v>
      </c>
      <c r="T12" s="9">
        <v>0.0</v>
      </c>
      <c r="U12" s="9">
        <v>0.0</v>
      </c>
      <c r="AD12" s="9" t="s">
        <v>44</v>
      </c>
      <c r="AE12" s="9">
        <v>100.0</v>
      </c>
      <c r="AI12" s="9">
        <v>1.0</v>
      </c>
      <c r="AT12" s="34">
        <v>20985.9882</v>
      </c>
      <c r="AU12" s="34">
        <v>20985.9882</v>
      </c>
      <c r="AW12" s="9">
        <v>0.0</v>
      </c>
      <c r="AX12" s="9">
        <v>0.0</v>
      </c>
      <c r="AY12" s="9" t="s">
        <v>36</v>
      </c>
      <c r="AZ12" s="9">
        <v>0.0</v>
      </c>
      <c r="BC12" s="9">
        <v>0.0</v>
      </c>
      <c r="BE12" s="34">
        <v>21000.0</v>
      </c>
      <c r="BF12" s="34">
        <v>21000.0</v>
      </c>
      <c r="BJ12" s="9">
        <v>100.0</v>
      </c>
      <c r="BK12" s="9">
        <v>0.0</v>
      </c>
      <c r="BO12" s="9" t="s">
        <v>27</v>
      </c>
      <c r="BP12" s="9">
        <v>0.0</v>
      </c>
      <c r="BT12" s="9" t="s">
        <v>24</v>
      </c>
      <c r="BU12" s="9">
        <v>3.0</v>
      </c>
      <c r="BV12" s="9">
        <v>0.0</v>
      </c>
      <c r="BW12" s="9">
        <v>14.0118</v>
      </c>
      <c r="BX12" s="9">
        <v>0.0</v>
      </c>
      <c r="CI12" s="9" t="s">
        <v>27</v>
      </c>
    </row>
    <row r="13" ht="15.75" customHeight="1">
      <c r="A13" s="8"/>
      <c r="B13" s="12" t="s">
        <v>21</v>
      </c>
      <c r="C13" s="8"/>
      <c r="D13" s="12">
        <v>0.0</v>
      </c>
      <c r="E13" s="12">
        <v>50.0</v>
      </c>
      <c r="F13" s="8"/>
      <c r="G13" s="12" t="s">
        <v>34</v>
      </c>
      <c r="H13" s="12">
        <v>4.0</v>
      </c>
      <c r="I13" s="12">
        <v>5.0</v>
      </c>
      <c r="J13" s="8"/>
      <c r="K13" s="12">
        <v>310.0</v>
      </c>
      <c r="L13" s="12">
        <v>310.0</v>
      </c>
      <c r="M13" s="8"/>
      <c r="N13" s="8"/>
      <c r="O13" s="12" t="s">
        <v>26</v>
      </c>
      <c r="Q13" s="9">
        <v>3.0</v>
      </c>
      <c r="R13" s="9">
        <v>0.0</v>
      </c>
      <c r="S13" s="9" t="s">
        <v>43</v>
      </c>
      <c r="T13" s="9">
        <v>0.0</v>
      </c>
      <c r="U13" s="9">
        <v>0.0</v>
      </c>
      <c r="AD13" s="9" t="s">
        <v>44</v>
      </c>
      <c r="AE13" s="9">
        <v>50.0</v>
      </c>
      <c r="AI13" s="9">
        <v>1.0</v>
      </c>
      <c r="AT13" s="34">
        <v>15485.9913</v>
      </c>
      <c r="AU13" s="34">
        <v>15485.9913</v>
      </c>
      <c r="AW13" s="9">
        <v>0.0</v>
      </c>
      <c r="AX13" s="9">
        <v>0.0</v>
      </c>
      <c r="AY13" s="9" t="s">
        <v>36</v>
      </c>
      <c r="AZ13" s="9">
        <v>0.0</v>
      </c>
      <c r="BC13" s="9">
        <v>0.0</v>
      </c>
      <c r="BE13" s="34">
        <v>15500.0</v>
      </c>
      <c r="BF13" s="34">
        <v>15500.0</v>
      </c>
      <c r="BJ13" s="9">
        <v>50.0</v>
      </c>
      <c r="BK13" s="9">
        <v>0.0</v>
      </c>
      <c r="BO13" s="9" t="s">
        <v>27</v>
      </c>
      <c r="BP13" s="9">
        <v>0.0</v>
      </c>
      <c r="BT13" s="9" t="s">
        <v>24</v>
      </c>
      <c r="BU13" s="9">
        <v>3.0</v>
      </c>
      <c r="BV13" s="9">
        <v>0.0</v>
      </c>
      <c r="BW13" s="9">
        <v>14.0087</v>
      </c>
      <c r="BX13" s="9">
        <v>0.0</v>
      </c>
      <c r="CI13" s="9" t="s">
        <v>27</v>
      </c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89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45</v>
      </c>
      <c r="D3" s="5" t="s">
        <v>9</v>
      </c>
      <c r="E3" s="22" t="s">
        <v>46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IFERROR(__xludf.DUMMYFUNCTION("""COMPUTED_VALUE"""),"CheckPMLiveFeed")</f>
        <v>CheckPMLiveFeed</v>
      </c>
      <c r="E4" s="24" t="str">
        <f>IFERROR(__xludf.DUMMYFUNCTION("""COMPUTED_VALUE"""),"OpenPSTFromPM")</f>
        <v>OpenPSTFromPM</v>
      </c>
      <c r="F4" s="24" t="str">
        <f>IFERROR(__xludf.DUMMYFUNCTION("""COMPUTED_VALUE"""),"ClosePM")</f>
        <v>ClosePM</v>
      </c>
      <c r="G4" s="24" t="str">
        <f>IFERROR(__xludf.DUMMYFUNCTION("""COMPUTED_VALUE"""),"FilterPM")</f>
        <v>FilterPM</v>
      </c>
      <c r="H4" s="24" t="str">
        <f>IFERROR(__xludf.DUMMYFUNCTION("""COMPUTED_VALUE"""),"GroupRowPM")</f>
        <v>GroupRowPM</v>
      </c>
      <c r="I4" s="24" t="str">
        <f>IFERROR(__xludf.DUMMYFUNCTION("""COMPUTED_VALUE"""),"CheckDashboardWithPM")</f>
        <v>CheckDashboardWithPM</v>
      </c>
      <c r="J4" s="24" t="str">
        <f>IFERROR(__xludf.DUMMYFUNCTION("""COMPUTED_VALUE"""),"RemoveFilterPM")</f>
        <v>RemoveFilterPM</v>
      </c>
      <c r="K4" s="24" t="str">
        <f>IFERROR(__xludf.DUMMYFUNCTION("""COMPUTED_VALUE"""),"CheckSummaryRowsPM")</f>
        <v>CheckSummaryRowsPM</v>
      </c>
      <c r="L4" s="24" t="str">
        <f>IFERROR(__xludf.DUMMYFUNCTION("""COMPUTED_VALUE"""),"OpenPTTFromPM")</f>
        <v>OpenPTTFromPM</v>
      </c>
      <c r="M4" s="24" t="str">
        <f>IFERROR(__xludf.DUMMYFUNCTION("""COMPUTED_VALUE"""),"OpenClosingFromPM")</f>
        <v>OpenClosingFromPM</v>
      </c>
      <c r="N4" s="24" t="str">
        <f>IFERROR(__xludf.DUMMYFUNCTION("""COMPUTED_VALUE"""),"OpenCorporateActionFromPM")</f>
        <v>OpenCorporateActionFromPM</v>
      </c>
      <c r="O4" s="24" t="str">
        <f>IFERROR(__xludf.DUMMYFUNCTION("""COMPUTED_VALUE"""),"OpenDailyValuationFromPM")</f>
        <v>OpenDailyValuationFromPM</v>
      </c>
      <c r="P4" s="25" t="str">
        <f>IFERROR(__xludf.DUMMYFUNCTION("""COMPUTED_VALUE"""),"ClosePositionFromPM")</f>
        <v>ClosePositionFromPM</v>
      </c>
      <c r="Q4" s="25" t="str">
        <f>IFERROR(__xludf.DUMMYFUNCTION("""COMPUTED_VALUE"""),"ShowSummaryToolFromPM")</f>
        <v>ShowSummaryToolFromPM</v>
      </c>
      <c r="R4" s="25" t="str">
        <f>IFERROR(__xludf.DUMMYFUNCTION("""COMPUTED_VALUE"""),"HideSummaryToolFromPM")</f>
        <v>HideSummaryToolFromPM</v>
      </c>
      <c r="S4" s="25" t="str">
        <f>IFERROR(__xludf.DUMMYFUNCTION("""COMPUTED_VALUE"""),"CloseAccountPositionFromPM")</f>
        <v>CloseAccountPositionFromPM</v>
      </c>
      <c r="T4" s="25" t="str">
        <f>IFERROR(__xludf.DUMMYFUNCTION("""COMPUTED_VALUE"""),"CloseSelectedTaxlotsFromPM")</f>
        <v>CloseSelectedTaxlotsFromPM</v>
      </c>
      <c r="U4" s="25" t="str">
        <f>IFERROR(__xludf.DUMMYFUNCTION("""COMPUTED_VALUE"""),"ExpandCollapsePM")</f>
        <v>ExpandCollapsePM</v>
      </c>
      <c r="V4" s="25" t="str">
        <f>IFERROR(__xludf.DUMMYFUNCTION("""COMPUTED_VALUE"""),"AddCustomViewPM")</f>
        <v>AddCustomViewPM</v>
      </c>
      <c r="W4" s="25" t="str">
        <f>IFERROR(__xludf.DUMMYFUNCTION("""COMPUTED_VALUE"""),"AddCustomViewRightClickPM")</f>
        <v>AddCustomViewRightClickPM</v>
      </c>
      <c r="X4" s="25" t="str">
        <f>IFERROR(__xludf.DUMMYFUNCTION("""COMPUTED_VALUE"""),"RenameCustomViewPM")</f>
        <v>RenameCustomViewPM</v>
      </c>
      <c r="Y4" s="25" t="str">
        <f>IFERROR(__xludf.DUMMYFUNCTION("""COMPUTED_VALUE"""),"DeleteCustomViewPM")</f>
        <v>DeleteCustomViewPM</v>
      </c>
      <c r="Z4" s="25" t="str">
        <f>IFERROR(__xludf.DUMMYFUNCTION("""COMPUTED_VALUE"""),"OpenCreateTransactionFromPM")</f>
        <v>OpenCreateTransactionFromPM</v>
      </c>
      <c r="AA4" s="25" t="str">
        <f>IFERROR(__xludf.DUMMYFUNCTION("""COMPUTED_VALUE"""),"RemoveGroupingFromPM")</f>
        <v>RemoveGroupingFromPM</v>
      </c>
      <c r="AB4" s="25" t="str">
        <f>IFERROR(__xludf.DUMMYFUNCTION("""COMPUTED_VALUE"""),"IncreasePositionFromPM")</f>
        <v>IncreasePositionFromPM</v>
      </c>
      <c r="AC4" s="25" t="str">
        <f>IFERROR(__xludf.DUMMYFUNCTION("""COMPUTED_VALUE"""),"SortAndVerifyPM")</f>
        <v>SortAndVerifyPM</v>
      </c>
      <c r="AD4" s="25" t="str">
        <f>IFERROR(__xludf.DUMMYFUNCTION("""COMPUTED_VALUE"""),"OpenPIFromPM")</f>
        <v>OpenPIFromPM</v>
      </c>
      <c r="AE4" s="25" t="str">
        <f>IFERROR(__xludf.DUMMYFUNCTION("""COMPUTED_VALUE"""),"ViewSettings")</f>
        <v>ViewSettings</v>
      </c>
      <c r="AF4" s="25" t="str">
        <f>IFERROR(__xludf.DUMMYFUNCTION("""COMPUTED_VALUE"""),"SaveLayoutPM")</f>
        <v>SaveLayoutPM</v>
      </c>
      <c r="AG4" s="25" t="str">
        <f>IFERROR(__xludf.DUMMYFUNCTION("""COMPUTED_VALUE"""),"SaveLayoutPM")</f>
        <v>SaveLayoutPM</v>
      </c>
      <c r="AH4" s="25" t="str">
        <f>IFERROR(__xludf.DUMMYFUNCTION("""COMPUTED_VALUE"""),"CustomView")</f>
        <v>CustomView</v>
      </c>
      <c r="AI4" s="25" t="str">
        <f>IFERROR(__xludf.DUMMYFUNCTION("""COMPUTED_VALUE"""),"OpenCustomView")</f>
        <v>OpenCustomView</v>
      </c>
      <c r="AJ4" s="25" t="str">
        <f>IFERROR(__xludf.DUMMYFUNCTION("""COMPUTED_VALUE"""),"CheckSummaryRowsPM")</f>
        <v>CheckSummaryRowsPM</v>
      </c>
      <c r="AK4" s="25" t="str">
        <f>IFERROR(__xludf.DUMMYFUNCTION("""COMPUTED_VALUE"""),"CheckCustomViewRowSummary")</f>
        <v>CheckCustomViewRowSummary</v>
      </c>
      <c r="AL4" s="25" t="str">
        <f>IFERROR(__xludf.DUMMYFUNCTION("""COMPUTED_VALUE"""),"GroupRowCustomView")</f>
        <v>GroupRowCustomView</v>
      </c>
      <c r="AM4" s="25" t="str">
        <f>IFERROR(__xludf.DUMMYFUNCTION("""COMPUTED_VALUE"""),"CheckCustomViewRowSummary")</f>
        <v>CheckCustomViewRowSummary</v>
      </c>
      <c r="AN4" s="25" t="str">
        <f>IFERROR(__xludf.DUMMYFUNCTION("""COMPUTED_VALUE"""),"OpenTaxlotDetails")</f>
        <v>OpenTaxlotDetails</v>
      </c>
      <c r="AO4" s="25" t="str">
        <f>IFERROR(__xludf.DUMMYFUNCTION("""COMPUTED_VALUE"""),"CheckTaxlotDetails")</f>
        <v>CheckTaxlotDetails</v>
      </c>
      <c r="AP4" s="25" t="str">
        <f>IFERROR(__xludf.DUMMYFUNCTION("""COMPUTED_VALUE"""),"SelectTradeOnPM")</f>
        <v>SelectTradeOnPM</v>
      </c>
      <c r="AQ4" s="25" t="str">
        <f>IFERROR(__xludf.DUMMYFUNCTION("""COMPUTED_VALUE"""),"OperationsonPM")</f>
        <v>OperationsonPM</v>
      </c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IFERROR(__xludf.DUMMYFUNCTION("""COMPUTED_VALUE"""),"Day Traded Position")</f>
        <v>Day Traded Position</v>
      </c>
      <c r="FI5" s="29" t="str">
        <f>IFERROR(__xludf.DUMMYFUNCTION("""COMPUTED_VALUE"""),"isRowCountCheck")</f>
        <v>isRowCountCheck</v>
      </c>
      <c r="FJ5" s="29" t="str">
        <f>IFERROR(__xludf.DUMMYFUNCTION("""COMPUTED_VALUE"""),"ACTIV Symbol")</f>
        <v>ACTIV Symbol</v>
      </c>
      <c r="FK5" s="29" t="str">
        <f>IFERROR(__xludf.DUMMYFUNCTION("""COMPUTED_VALUE"""),"IsAccountBlank")</f>
        <v>IsAccountBlank</v>
      </c>
      <c r="FL5" s="29" t="str">
        <f>IFERROR(__xludf.DUMMYFUNCTION("""COMPUTED_VALUE"""),"MandatoryColumn")</f>
        <v>MandatoryColumn</v>
      </c>
      <c r="FM5" s="29" t="str">
        <f>IFERROR(__xludf.DUMMYFUNCTION("""COMPUTED_VALUE"""),"Px Last")</f>
        <v>Px Last</v>
      </c>
      <c r="FN5" s="29" t="str">
        <f>IFERROR(__xludf.DUMMYFUNCTION("""COMPUTED_VALUE"""),"Px Ask")</f>
        <v>Px Ask</v>
      </c>
      <c r="FO5" s="29" t="str">
        <f>IFERROR(__xludf.DUMMYFUNCTION("""COMPUTED_VALUE"""),"Px Bid")</f>
        <v>Px Bid</v>
      </c>
      <c r="FP5" s="29" t="str">
        <f>IFERROR(__xludf.DUMMYFUNCTION("""COMPUTED_VALUE"""),"Px Mid")</f>
        <v>Px Mid</v>
      </c>
      <c r="FQ5" s="29" t="str">
        <f>IFERROR(__xludf.DUMMYFUNCTION("""COMPUTED_VALUE"""),"Closing Price")</f>
        <v>Closing Price</v>
      </c>
      <c r="FR5" s="29" t="str">
        <f>IFERROR(__xludf.DUMMYFUNCTION("""COMPUTED_VALUE"""),"Total Volume")</f>
        <v>Total Volume</v>
      </c>
      <c r="FS5" s="29" t="str">
        <f>IFERROR(__xludf.DUMMYFUNCTION("""COMPUTED_VALUE"""),"Custom UDA8")</f>
        <v>Custom UDA8</v>
      </c>
      <c r="FT5" s="29" t="str">
        <f>IFERROR(__xludf.DUMMYFUNCTION("""COMPUTED_VALUE"""),"Custom UDA9")</f>
        <v>Custom UDA9</v>
      </c>
      <c r="FU5" s="29" t="str">
        <f>IFERROR(__xludf.DUMMYFUNCTION("""COMPUTED_VALUE"""),"Custom UDA10")</f>
        <v>Custom UDA10</v>
      </c>
      <c r="FV5" s="29" t="str">
        <f>IFERROR(__xludf.DUMMYFUNCTION("""COMPUTED_VALUE"""),"Custom UDA11")</f>
        <v>Custom UDA11</v>
      </c>
      <c r="FW5" s="29" t="str">
        <f>IFERROR(__xludf.DUMMYFUNCTION("""COMPUTED_VALUE"""),"Custom UDA12")</f>
        <v>Custom UDA12</v>
      </c>
      <c r="FX5" s="29"/>
      <c r="FY5" s="29"/>
      <c r="FZ5" s="29"/>
      <c r="GA5" s="29"/>
      <c r="GB5" s="29"/>
      <c r="GC5" s="29"/>
      <c r="GD5" s="29"/>
      <c r="GE5" s="29"/>
      <c r="GF5" s="29"/>
      <c r="GG5" s="29"/>
    </row>
    <row r="6" ht="15.75" customHeight="1">
      <c r="A6" s="12"/>
      <c r="B6" s="12"/>
      <c r="C6" s="12" t="s">
        <v>24</v>
      </c>
      <c r="D6" s="12">
        <v>100.0</v>
      </c>
      <c r="E6" s="12" t="s">
        <v>19</v>
      </c>
      <c r="F6" s="8"/>
      <c r="G6" s="12">
        <v>210.0</v>
      </c>
      <c r="H6" s="12"/>
      <c r="I6" s="12">
        <v>0.0</v>
      </c>
      <c r="J6" s="8"/>
      <c r="K6" s="12">
        <v>0.0</v>
      </c>
      <c r="L6" s="8"/>
      <c r="M6" s="8"/>
      <c r="N6" s="35">
        <v>-21000.0</v>
      </c>
      <c r="O6" s="8"/>
      <c r="Q6" s="32">
        <v>-21000.0</v>
      </c>
      <c r="T6" s="9" t="s">
        <v>34</v>
      </c>
      <c r="U6" s="9" t="s">
        <v>47</v>
      </c>
      <c r="V6" s="9" t="s">
        <v>44</v>
      </c>
      <c r="W6" s="9" t="s">
        <v>20</v>
      </c>
      <c r="Y6" s="9">
        <v>1.0</v>
      </c>
      <c r="AB6" s="9">
        <v>0.0</v>
      </c>
      <c r="AC6" s="9">
        <v>0.0</v>
      </c>
      <c r="AD6" s="9">
        <v>0.0</v>
      </c>
      <c r="AE6" s="9">
        <v>0.0</v>
      </c>
      <c r="AF6" s="9">
        <v>100.0</v>
      </c>
      <c r="AG6" s="9">
        <v>0.0</v>
      </c>
      <c r="AH6" s="9">
        <v>0.0</v>
      </c>
      <c r="AI6" s="9">
        <v>0.0</v>
      </c>
      <c r="AJ6" s="9">
        <v>0.0</v>
      </c>
      <c r="AK6" s="32">
        <v>-21000.0</v>
      </c>
      <c r="AN6" s="9" t="s">
        <v>25</v>
      </c>
      <c r="AP6" s="9" t="s">
        <v>48</v>
      </c>
      <c r="AW6" s="32">
        <v>-21000.0</v>
      </c>
      <c r="AX6" s="9">
        <v>0.0</v>
      </c>
      <c r="AY6" s="9">
        <v>0.0</v>
      </c>
      <c r="AZ6" s="9">
        <v>0.0</v>
      </c>
      <c r="BC6" s="9">
        <v>1.0</v>
      </c>
      <c r="BD6" s="32">
        <v>-21000.0</v>
      </c>
      <c r="BJ6" s="9">
        <v>0.0</v>
      </c>
      <c r="BK6" s="9">
        <v>0.0</v>
      </c>
      <c r="BL6" s="9">
        <v>0.0</v>
      </c>
      <c r="BM6" s="9">
        <v>0.0</v>
      </c>
      <c r="BO6" s="32">
        <v>-21000.0</v>
      </c>
      <c r="BR6" s="9" t="s">
        <v>26</v>
      </c>
      <c r="BS6" s="9">
        <v>0.0</v>
      </c>
      <c r="BT6" s="9">
        <v>0.0</v>
      </c>
      <c r="BW6" s="9">
        <v>0.0</v>
      </c>
      <c r="BY6" s="9">
        <v>0.0</v>
      </c>
      <c r="BZ6" s="9">
        <v>0.0</v>
      </c>
      <c r="CA6" s="9">
        <v>0.0</v>
      </c>
      <c r="CD6" s="32">
        <v>-21000.0</v>
      </c>
      <c r="CE6" s="9">
        <v>0.0</v>
      </c>
      <c r="CF6" s="9">
        <v>0.0</v>
      </c>
      <c r="CG6" s="32">
        <v>-21000.0</v>
      </c>
      <c r="DA6" s="9">
        <v>0.0</v>
      </c>
      <c r="DB6" s="9">
        <v>0.0</v>
      </c>
      <c r="DE6" s="9">
        <v>0.0</v>
      </c>
      <c r="DF6" s="9">
        <v>0.0</v>
      </c>
      <c r="DG6" s="9">
        <v>0.0</v>
      </c>
      <c r="DI6" s="9">
        <v>0.0</v>
      </c>
      <c r="DJ6" s="9" t="s">
        <v>25</v>
      </c>
      <c r="EF6" s="9">
        <v>0.0</v>
      </c>
      <c r="EG6" s="9">
        <v>0.0</v>
      </c>
      <c r="EH6" s="9">
        <v>0.0</v>
      </c>
      <c r="EI6" s="9">
        <v>0.0</v>
      </c>
      <c r="EJ6" s="9">
        <v>0.0</v>
      </c>
      <c r="EK6" s="9">
        <v>0.0</v>
      </c>
    </row>
    <row r="7" ht="15.75" customHeight="1">
      <c r="A7" s="8"/>
      <c r="B7" s="8"/>
      <c r="C7" s="12" t="s">
        <v>24</v>
      </c>
      <c r="D7" s="35">
        <v>100000.0</v>
      </c>
      <c r="E7" s="12" t="s">
        <v>19</v>
      </c>
      <c r="F7" s="8"/>
      <c r="G7" s="12">
        <v>210.0</v>
      </c>
      <c r="H7" s="12"/>
      <c r="I7" s="12">
        <v>0.0</v>
      </c>
      <c r="J7" s="8"/>
      <c r="K7" s="12">
        <v>0.0</v>
      </c>
      <c r="L7" s="8"/>
      <c r="M7" s="8"/>
      <c r="N7" s="35">
        <v>-2.1E7</v>
      </c>
      <c r="O7" s="8"/>
      <c r="Q7" s="32">
        <v>-2.1E7</v>
      </c>
      <c r="T7" s="9" t="s">
        <v>34</v>
      </c>
      <c r="U7" s="9" t="s">
        <v>47</v>
      </c>
      <c r="V7" s="9" t="s">
        <v>44</v>
      </c>
      <c r="W7" s="9" t="s">
        <v>20</v>
      </c>
      <c r="Y7" s="9">
        <v>1.0</v>
      </c>
      <c r="AB7" s="9">
        <v>0.0</v>
      </c>
      <c r="AC7" s="9">
        <v>0.0</v>
      </c>
      <c r="AD7" s="9">
        <v>0.0</v>
      </c>
      <c r="AE7" s="9">
        <v>0.0</v>
      </c>
      <c r="AF7" s="32">
        <v>100000.0</v>
      </c>
      <c r="AG7" s="9">
        <v>0.0</v>
      </c>
      <c r="AH7" s="9">
        <v>0.0</v>
      </c>
      <c r="AI7" s="9">
        <v>0.0</v>
      </c>
      <c r="AJ7" s="9">
        <v>0.0</v>
      </c>
      <c r="AK7" s="32">
        <v>-2.1E7</v>
      </c>
      <c r="AN7" s="9" t="s">
        <v>25</v>
      </c>
      <c r="AP7" s="9" t="s">
        <v>48</v>
      </c>
      <c r="AW7" s="32">
        <v>-2.1E7</v>
      </c>
      <c r="AX7" s="9">
        <v>0.0</v>
      </c>
      <c r="AY7" s="9">
        <v>0.0</v>
      </c>
      <c r="AZ7" s="9">
        <v>0.0</v>
      </c>
      <c r="BC7" s="9">
        <v>1.0</v>
      </c>
      <c r="BD7" s="32">
        <v>-2.1E7</v>
      </c>
      <c r="BJ7" s="9">
        <v>0.0</v>
      </c>
      <c r="BK7" s="9">
        <v>0.0</v>
      </c>
      <c r="BL7" s="9">
        <v>0.0</v>
      </c>
      <c r="BM7" s="9">
        <v>0.0</v>
      </c>
      <c r="BO7" s="32">
        <v>-2.1E7</v>
      </c>
      <c r="BR7" s="9" t="s">
        <v>26</v>
      </c>
      <c r="BS7" s="9">
        <v>0.0</v>
      </c>
      <c r="BT7" s="9">
        <v>0.0</v>
      </c>
      <c r="BW7" s="9">
        <v>0.0</v>
      </c>
      <c r="BY7" s="9">
        <v>0.0</v>
      </c>
      <c r="BZ7" s="9">
        <v>0.0</v>
      </c>
      <c r="CA7" s="9">
        <v>0.0</v>
      </c>
      <c r="CD7" s="32">
        <v>-2.1E7</v>
      </c>
      <c r="CE7" s="9">
        <v>0.0</v>
      </c>
      <c r="CF7" s="9">
        <v>0.0</v>
      </c>
      <c r="CG7" s="32">
        <v>-2.1E7</v>
      </c>
      <c r="DA7" s="9">
        <v>0.0</v>
      </c>
      <c r="DB7" s="9">
        <v>0.0</v>
      </c>
      <c r="DE7" s="9">
        <v>0.0</v>
      </c>
      <c r="DF7" s="9">
        <v>0.0</v>
      </c>
      <c r="DG7" s="9">
        <v>0.0</v>
      </c>
      <c r="DI7" s="9">
        <v>0.0</v>
      </c>
      <c r="DJ7" s="9" t="s">
        <v>25</v>
      </c>
      <c r="EF7" s="9">
        <v>0.0</v>
      </c>
      <c r="EG7" s="9">
        <v>0.0</v>
      </c>
      <c r="EH7" s="9">
        <v>0.0</v>
      </c>
      <c r="EI7" s="9">
        <v>0.0</v>
      </c>
      <c r="EJ7" s="9">
        <v>0.0</v>
      </c>
      <c r="EK7" s="9">
        <v>0.0</v>
      </c>
    </row>
    <row r="8" ht="15.75" customHeight="1">
      <c r="A8" s="8"/>
      <c r="B8" s="8"/>
      <c r="C8" s="12" t="s">
        <v>24</v>
      </c>
      <c r="D8" s="12">
        <v>50.0</v>
      </c>
      <c r="E8" s="12" t="s">
        <v>21</v>
      </c>
      <c r="F8" s="8"/>
      <c r="G8" s="12">
        <v>310.0</v>
      </c>
      <c r="H8" s="12"/>
      <c r="I8" s="12">
        <v>0.0</v>
      </c>
      <c r="J8" s="8"/>
      <c r="K8" s="12">
        <v>0.0</v>
      </c>
      <c r="L8" s="8"/>
      <c r="M8" s="8"/>
      <c r="N8" s="35">
        <v>-15500.0</v>
      </c>
      <c r="O8" s="8"/>
      <c r="Q8" s="32">
        <v>-15500.0</v>
      </c>
      <c r="T8" s="9" t="s">
        <v>34</v>
      </c>
      <c r="U8" s="9" t="s">
        <v>47</v>
      </c>
      <c r="V8" s="9" t="s">
        <v>44</v>
      </c>
      <c r="W8" s="9" t="s">
        <v>20</v>
      </c>
      <c r="Y8" s="9">
        <v>1.0</v>
      </c>
      <c r="AB8" s="9">
        <v>0.0</v>
      </c>
      <c r="AC8" s="9">
        <v>0.0</v>
      </c>
      <c r="AD8" s="9">
        <v>0.0</v>
      </c>
      <c r="AE8" s="9">
        <v>0.0</v>
      </c>
      <c r="AF8" s="9">
        <v>50.0</v>
      </c>
      <c r="AG8" s="9">
        <v>0.0</v>
      </c>
      <c r="AH8" s="9">
        <v>0.0</v>
      </c>
      <c r="AI8" s="9">
        <v>0.0</v>
      </c>
      <c r="AJ8" s="9">
        <v>0.0</v>
      </c>
      <c r="AK8" s="32">
        <v>-15500.0</v>
      </c>
      <c r="AN8" s="9" t="s">
        <v>25</v>
      </c>
      <c r="AP8" s="9" t="s">
        <v>48</v>
      </c>
      <c r="AW8" s="32">
        <v>-15500.0</v>
      </c>
      <c r="AX8" s="9">
        <v>0.0</v>
      </c>
      <c r="AY8" s="9">
        <v>0.0</v>
      </c>
      <c r="AZ8" s="9">
        <v>0.0</v>
      </c>
      <c r="BC8" s="9">
        <v>1.0</v>
      </c>
      <c r="BD8" s="32">
        <v>-15500.0</v>
      </c>
      <c r="BJ8" s="9">
        <v>0.0</v>
      </c>
      <c r="BK8" s="9">
        <v>0.0</v>
      </c>
      <c r="BL8" s="9">
        <v>0.0</v>
      </c>
      <c r="BM8" s="9">
        <v>0.0</v>
      </c>
      <c r="BO8" s="32">
        <v>-15500.0</v>
      </c>
      <c r="BR8" s="9" t="s">
        <v>26</v>
      </c>
      <c r="BS8" s="9">
        <v>0.0</v>
      </c>
      <c r="BT8" s="9">
        <v>0.0</v>
      </c>
      <c r="BW8" s="9">
        <v>0.0</v>
      </c>
      <c r="BY8" s="9">
        <v>0.0</v>
      </c>
      <c r="BZ8" s="9">
        <v>0.0</v>
      </c>
      <c r="CA8" s="9">
        <v>0.0</v>
      </c>
      <c r="CD8" s="32">
        <v>-15500.0</v>
      </c>
      <c r="CE8" s="9">
        <v>0.0</v>
      </c>
      <c r="CF8" s="9">
        <v>0.0</v>
      </c>
      <c r="CG8" s="32">
        <v>-15500.0</v>
      </c>
      <c r="DA8" s="9">
        <v>0.0</v>
      </c>
      <c r="DB8" s="9">
        <v>0.0</v>
      </c>
      <c r="DE8" s="9">
        <v>0.0</v>
      </c>
      <c r="DF8" s="9">
        <v>0.0</v>
      </c>
      <c r="DG8" s="9">
        <v>0.0</v>
      </c>
      <c r="DI8" s="9">
        <v>0.0</v>
      </c>
      <c r="DJ8" s="9" t="s">
        <v>25</v>
      </c>
      <c r="EF8" s="9">
        <v>0.0</v>
      </c>
      <c r="EG8" s="9">
        <v>0.0</v>
      </c>
      <c r="EH8" s="9">
        <v>0.0</v>
      </c>
      <c r="EI8" s="9">
        <v>0.0</v>
      </c>
      <c r="EJ8" s="9">
        <v>0.0</v>
      </c>
      <c r="EK8" s="9">
        <v>0.0</v>
      </c>
    </row>
    <row r="9" ht="15.75" customHeight="1">
      <c r="A9" s="8"/>
      <c r="B9" s="8"/>
      <c r="C9" s="12" t="s">
        <v>24</v>
      </c>
      <c r="D9" s="35">
        <v>500000.0</v>
      </c>
      <c r="E9" s="12" t="s">
        <v>21</v>
      </c>
      <c r="F9" s="8"/>
      <c r="G9" s="12">
        <v>310.0</v>
      </c>
      <c r="H9" s="12"/>
      <c r="I9" s="12">
        <v>0.0</v>
      </c>
      <c r="J9" s="8"/>
      <c r="K9" s="12">
        <v>0.0</v>
      </c>
      <c r="L9" s="8"/>
      <c r="M9" s="8"/>
      <c r="N9" s="35">
        <v>-1.55E8</v>
      </c>
      <c r="O9" s="8"/>
      <c r="Q9" s="32">
        <v>-1.55E8</v>
      </c>
      <c r="T9" s="9" t="s">
        <v>34</v>
      </c>
      <c r="U9" s="9" t="s">
        <v>47</v>
      </c>
      <c r="V9" s="9" t="s">
        <v>44</v>
      </c>
      <c r="W9" s="9" t="s">
        <v>20</v>
      </c>
      <c r="Y9" s="9">
        <v>1.0</v>
      </c>
      <c r="AB9" s="9">
        <v>0.0</v>
      </c>
      <c r="AC9" s="9">
        <v>0.0</v>
      </c>
      <c r="AD9" s="9">
        <v>0.0</v>
      </c>
      <c r="AE9" s="9">
        <v>0.0</v>
      </c>
      <c r="AF9" s="32">
        <v>500000.0</v>
      </c>
      <c r="AG9" s="9">
        <v>0.0</v>
      </c>
      <c r="AH9" s="9">
        <v>0.0</v>
      </c>
      <c r="AI9" s="9">
        <v>0.0</v>
      </c>
      <c r="AJ9" s="9">
        <v>0.0</v>
      </c>
      <c r="AK9" s="32">
        <v>-1.55E8</v>
      </c>
      <c r="AN9" s="9" t="s">
        <v>25</v>
      </c>
      <c r="AP9" s="9" t="s">
        <v>48</v>
      </c>
      <c r="AW9" s="32">
        <v>-1.55E8</v>
      </c>
      <c r="AX9" s="9">
        <v>0.0</v>
      </c>
      <c r="AY9" s="9">
        <v>0.0</v>
      </c>
      <c r="AZ9" s="9">
        <v>0.0</v>
      </c>
      <c r="BC9" s="9">
        <v>1.0</v>
      </c>
      <c r="BD9" s="32">
        <v>-1.55E8</v>
      </c>
      <c r="BJ9" s="9">
        <v>0.0</v>
      </c>
      <c r="BK9" s="9">
        <v>0.0</v>
      </c>
      <c r="BL9" s="9">
        <v>0.0</v>
      </c>
      <c r="BM9" s="9">
        <v>0.0</v>
      </c>
      <c r="BO9" s="32">
        <v>-1.55E8</v>
      </c>
      <c r="BR9" s="9" t="s">
        <v>26</v>
      </c>
      <c r="BS9" s="9">
        <v>0.0</v>
      </c>
      <c r="BT9" s="9">
        <v>0.0</v>
      </c>
      <c r="BW9" s="9">
        <v>0.0</v>
      </c>
      <c r="BY9" s="9">
        <v>0.0</v>
      </c>
      <c r="BZ9" s="9">
        <v>0.0</v>
      </c>
      <c r="CA9" s="9">
        <v>0.0</v>
      </c>
      <c r="CD9" s="32">
        <v>-1.55E8</v>
      </c>
      <c r="CE9" s="9">
        <v>0.0</v>
      </c>
      <c r="CF9" s="9">
        <v>0.0</v>
      </c>
      <c r="CG9" s="32">
        <v>-1.55E8</v>
      </c>
      <c r="DA9" s="9">
        <v>0.0</v>
      </c>
      <c r="DB9" s="9">
        <v>0.0</v>
      </c>
      <c r="DE9" s="9">
        <v>0.0</v>
      </c>
      <c r="DF9" s="9">
        <v>0.0</v>
      </c>
      <c r="DG9" s="9">
        <v>0.0</v>
      </c>
      <c r="DI9" s="9">
        <v>0.0</v>
      </c>
      <c r="DJ9" s="9" t="s">
        <v>25</v>
      </c>
      <c r="EF9" s="9">
        <v>0.0</v>
      </c>
      <c r="EG9" s="9">
        <v>0.0</v>
      </c>
      <c r="EH9" s="9">
        <v>0.0</v>
      </c>
      <c r="EI9" s="9">
        <v>0.0</v>
      </c>
      <c r="EJ9" s="9">
        <v>0.0</v>
      </c>
      <c r="EK9" s="9">
        <v>0.0</v>
      </c>
    </row>
    <row r="10" ht="15.75" customHeight="1">
      <c r="A10" s="8"/>
      <c r="B10" s="8"/>
      <c r="C10" s="12" t="s">
        <v>24</v>
      </c>
      <c r="D10" s="12">
        <v>-100.0</v>
      </c>
      <c r="E10" s="12" t="s">
        <v>19</v>
      </c>
      <c r="F10" s="12" t="s">
        <v>38</v>
      </c>
      <c r="G10" s="12">
        <v>210.0</v>
      </c>
      <c r="H10" s="12"/>
      <c r="I10" s="12">
        <v>0.0</v>
      </c>
      <c r="J10" s="12">
        <v>0.0</v>
      </c>
      <c r="K10" s="12">
        <v>0.0</v>
      </c>
      <c r="L10" s="12">
        <v>0.0</v>
      </c>
      <c r="M10" s="8"/>
      <c r="N10" s="35">
        <v>21000.0</v>
      </c>
      <c r="O10" s="8"/>
      <c r="Q10" s="32">
        <v>21000.0</v>
      </c>
      <c r="T10" s="9" t="s">
        <v>34</v>
      </c>
      <c r="U10" s="9" t="s">
        <v>47</v>
      </c>
      <c r="V10" s="9" t="s">
        <v>44</v>
      </c>
      <c r="W10" s="9" t="s">
        <v>20</v>
      </c>
      <c r="Y10" s="9">
        <v>1.0</v>
      </c>
      <c r="AB10" s="9">
        <v>0.0</v>
      </c>
      <c r="AC10" s="9">
        <v>0.0</v>
      </c>
      <c r="AD10" s="9">
        <v>0.0</v>
      </c>
      <c r="AE10" s="9">
        <v>0.0</v>
      </c>
      <c r="AF10" s="9">
        <v>-100.0</v>
      </c>
      <c r="AG10" s="9">
        <v>0.0</v>
      </c>
      <c r="AH10" s="9">
        <v>0.0</v>
      </c>
      <c r="AI10" s="9">
        <v>0.0</v>
      </c>
      <c r="AJ10" s="9">
        <v>0.0</v>
      </c>
      <c r="AK10" s="32">
        <v>21000.0</v>
      </c>
      <c r="AL10" s="9">
        <v>1.0</v>
      </c>
      <c r="AM10" s="9">
        <v>1.0</v>
      </c>
      <c r="AN10" s="9" t="s">
        <v>27</v>
      </c>
      <c r="AP10" s="9" t="s">
        <v>48</v>
      </c>
      <c r="AQ10" s="9" t="s">
        <v>24</v>
      </c>
      <c r="AR10" s="9">
        <v>0.0</v>
      </c>
      <c r="AW10" s="32">
        <v>21000.0</v>
      </c>
      <c r="AX10" s="9">
        <v>0.0</v>
      </c>
      <c r="AY10" s="9">
        <v>0.0</v>
      </c>
      <c r="AZ10" s="9">
        <v>0.0</v>
      </c>
      <c r="BC10" s="9">
        <v>1.0</v>
      </c>
      <c r="BD10" s="32">
        <v>21000.0</v>
      </c>
      <c r="BE10" s="9" t="s">
        <v>34</v>
      </c>
      <c r="BJ10" s="9">
        <v>0.0</v>
      </c>
      <c r="BK10" s="9">
        <v>0.0</v>
      </c>
      <c r="BL10" s="9">
        <v>0.0</v>
      </c>
      <c r="BM10" s="9">
        <v>0.0</v>
      </c>
      <c r="BO10" s="32">
        <v>21000.0</v>
      </c>
      <c r="BP10" s="9">
        <v>0.0</v>
      </c>
      <c r="BR10" s="9" t="s">
        <v>26</v>
      </c>
      <c r="BS10" s="9">
        <v>0.0</v>
      </c>
      <c r="BT10" s="9">
        <v>0.0</v>
      </c>
      <c r="BU10" s="9" t="s">
        <v>34</v>
      </c>
      <c r="BW10" s="9">
        <v>0.0</v>
      </c>
      <c r="BX10" s="9">
        <v>0.0</v>
      </c>
      <c r="BY10" s="9">
        <v>0.0</v>
      </c>
      <c r="BZ10" s="9">
        <v>0.0</v>
      </c>
      <c r="CA10" s="9">
        <v>0.0</v>
      </c>
      <c r="CC10" s="9">
        <v>0.0</v>
      </c>
      <c r="CD10" s="32">
        <v>21000.0</v>
      </c>
      <c r="CE10" s="9">
        <v>0.0</v>
      </c>
      <c r="CF10" s="9">
        <v>0.0</v>
      </c>
      <c r="CG10" s="32">
        <v>21000.0</v>
      </c>
      <c r="CH10" s="9">
        <v>100.0</v>
      </c>
      <c r="CI10" s="9">
        <v>0.0</v>
      </c>
      <c r="CJ10" s="9">
        <v>0.0</v>
      </c>
      <c r="DA10" s="9">
        <v>0.0</v>
      </c>
      <c r="DB10" s="9">
        <v>0.0</v>
      </c>
      <c r="DE10" s="9">
        <v>0.0</v>
      </c>
      <c r="DF10" s="9">
        <v>0.0</v>
      </c>
      <c r="DG10" s="9">
        <v>0.0</v>
      </c>
      <c r="DI10" s="9">
        <v>0.0</v>
      </c>
      <c r="DJ10" s="9" t="s">
        <v>27</v>
      </c>
      <c r="DK10" s="9">
        <v>0.0</v>
      </c>
      <c r="DL10" s="9">
        <v>0.0</v>
      </c>
      <c r="DM10" s="9">
        <v>1.0</v>
      </c>
      <c r="DN10" s="9">
        <v>0.0</v>
      </c>
      <c r="EF10" s="9">
        <v>0.0</v>
      </c>
      <c r="EG10" s="9">
        <v>0.0</v>
      </c>
      <c r="EH10" s="9">
        <v>0.0</v>
      </c>
      <c r="EI10" s="9">
        <v>0.0</v>
      </c>
      <c r="EJ10" s="9">
        <v>0.0</v>
      </c>
      <c r="EM10" s="9">
        <v>0.0</v>
      </c>
      <c r="EN10" s="9">
        <v>0.0</v>
      </c>
      <c r="EQ10" s="9">
        <v>0.0</v>
      </c>
      <c r="ER10" s="9">
        <v>0.0</v>
      </c>
      <c r="EU10" s="9">
        <v>0.0</v>
      </c>
    </row>
    <row r="11" ht="15.75" customHeight="1">
      <c r="A11" s="8"/>
      <c r="B11" s="8"/>
      <c r="C11" s="12" t="s">
        <v>24</v>
      </c>
      <c r="D11" s="35">
        <v>-100000.0</v>
      </c>
      <c r="E11" s="12" t="s">
        <v>19</v>
      </c>
      <c r="F11" s="12" t="s">
        <v>38</v>
      </c>
      <c r="G11" s="12">
        <v>210.0</v>
      </c>
      <c r="H11" s="12"/>
      <c r="I11" s="12">
        <v>0.0</v>
      </c>
      <c r="J11" s="12">
        <v>0.0</v>
      </c>
      <c r="K11" s="12">
        <v>0.0</v>
      </c>
      <c r="L11" s="12">
        <v>0.0</v>
      </c>
      <c r="M11" s="8"/>
      <c r="N11" s="35">
        <v>2.1E7</v>
      </c>
      <c r="O11" s="8"/>
      <c r="Q11" s="32">
        <v>2.1E7</v>
      </c>
      <c r="T11" s="9" t="s">
        <v>34</v>
      </c>
      <c r="U11" s="9" t="s">
        <v>47</v>
      </c>
      <c r="V11" s="9" t="s">
        <v>44</v>
      </c>
      <c r="W11" s="9" t="s">
        <v>20</v>
      </c>
      <c r="Y11" s="9">
        <v>1.0</v>
      </c>
      <c r="AB11" s="9">
        <v>0.0</v>
      </c>
      <c r="AC11" s="9">
        <v>0.0</v>
      </c>
      <c r="AD11" s="9">
        <v>0.0</v>
      </c>
      <c r="AE11" s="9">
        <v>0.0</v>
      </c>
      <c r="AF11" s="32">
        <v>-100000.0</v>
      </c>
      <c r="AG11" s="9">
        <v>0.0</v>
      </c>
      <c r="AH11" s="9">
        <v>0.0</v>
      </c>
      <c r="AI11" s="9">
        <v>0.0</v>
      </c>
      <c r="AJ11" s="9">
        <v>0.0</v>
      </c>
      <c r="AK11" s="32">
        <v>2.1E7</v>
      </c>
      <c r="AL11" s="9">
        <v>1.0</v>
      </c>
      <c r="AM11" s="9">
        <v>1.0</v>
      </c>
      <c r="AN11" s="9" t="s">
        <v>27</v>
      </c>
      <c r="AP11" s="9" t="s">
        <v>48</v>
      </c>
      <c r="AQ11" s="9" t="s">
        <v>24</v>
      </c>
      <c r="AR11" s="9">
        <v>0.0</v>
      </c>
      <c r="AW11" s="32">
        <v>2.1E7</v>
      </c>
      <c r="AX11" s="9">
        <v>0.0</v>
      </c>
      <c r="AY11" s="9">
        <v>0.0</v>
      </c>
      <c r="AZ11" s="9">
        <v>0.0</v>
      </c>
      <c r="BC11" s="9">
        <v>1.0</v>
      </c>
      <c r="BD11" s="32">
        <v>2.1E7</v>
      </c>
      <c r="BE11" s="9" t="s">
        <v>34</v>
      </c>
      <c r="BJ11" s="9">
        <v>0.0</v>
      </c>
      <c r="BK11" s="9">
        <v>0.0</v>
      </c>
      <c r="BL11" s="9">
        <v>0.0</v>
      </c>
      <c r="BM11" s="9">
        <v>0.0</v>
      </c>
      <c r="BO11" s="32">
        <v>2.1E7</v>
      </c>
      <c r="BP11" s="9">
        <v>0.0</v>
      </c>
      <c r="BR11" s="9" t="s">
        <v>26</v>
      </c>
      <c r="BS11" s="9">
        <v>0.0</v>
      </c>
      <c r="BT11" s="9">
        <v>0.0</v>
      </c>
      <c r="BU11" s="9" t="s">
        <v>34</v>
      </c>
      <c r="BW11" s="9">
        <v>0.0</v>
      </c>
      <c r="BX11" s="9">
        <v>0.0</v>
      </c>
      <c r="BY11" s="9">
        <v>0.0</v>
      </c>
      <c r="BZ11" s="9">
        <v>0.0</v>
      </c>
      <c r="CA11" s="9">
        <v>0.0</v>
      </c>
      <c r="CC11" s="9">
        <v>0.0</v>
      </c>
      <c r="CD11" s="32">
        <v>2.1E7</v>
      </c>
      <c r="CE11" s="9">
        <v>0.0</v>
      </c>
      <c r="CF11" s="9">
        <v>0.0</v>
      </c>
      <c r="CG11" s="32">
        <v>2.1E7</v>
      </c>
      <c r="CH11" s="9">
        <v>100.0</v>
      </c>
      <c r="CI11" s="9">
        <v>0.0</v>
      </c>
      <c r="CJ11" s="9">
        <v>0.0</v>
      </c>
      <c r="DA11" s="9">
        <v>0.0</v>
      </c>
      <c r="DB11" s="9">
        <v>0.0</v>
      </c>
      <c r="DE11" s="9">
        <v>0.0</v>
      </c>
      <c r="DF11" s="9">
        <v>0.0</v>
      </c>
      <c r="DG11" s="9">
        <v>0.0</v>
      </c>
      <c r="DI11" s="9">
        <v>0.0</v>
      </c>
      <c r="DJ11" s="9" t="s">
        <v>27</v>
      </c>
      <c r="DK11" s="9">
        <v>0.0</v>
      </c>
      <c r="DL11" s="9">
        <v>0.0</v>
      </c>
      <c r="DM11" s="9">
        <v>1.0</v>
      </c>
      <c r="DN11" s="9">
        <v>0.0</v>
      </c>
      <c r="EF11" s="9">
        <v>0.0</v>
      </c>
      <c r="EG11" s="9">
        <v>0.0</v>
      </c>
      <c r="EH11" s="9">
        <v>0.0</v>
      </c>
      <c r="EI11" s="9">
        <v>0.0</v>
      </c>
      <c r="EJ11" s="9">
        <v>0.0</v>
      </c>
      <c r="EM11" s="9">
        <v>0.0</v>
      </c>
      <c r="EN11" s="9">
        <v>0.0</v>
      </c>
      <c r="EQ11" s="9">
        <v>0.0</v>
      </c>
      <c r="ER11" s="9">
        <v>0.0</v>
      </c>
      <c r="EU11" s="9">
        <v>0.0</v>
      </c>
    </row>
    <row r="12" ht="15.75" customHeight="1">
      <c r="A12" s="8"/>
      <c r="B12" s="8"/>
      <c r="C12" s="12" t="s">
        <v>24</v>
      </c>
      <c r="D12" s="12">
        <v>-50.0</v>
      </c>
      <c r="E12" s="12" t="s">
        <v>21</v>
      </c>
      <c r="F12" s="12" t="s">
        <v>37</v>
      </c>
      <c r="G12" s="12">
        <v>310.0</v>
      </c>
      <c r="H12" s="12"/>
      <c r="I12" s="12">
        <v>0.0</v>
      </c>
      <c r="J12" s="12">
        <v>0.0</v>
      </c>
      <c r="K12" s="12">
        <v>0.0</v>
      </c>
      <c r="L12" s="12">
        <v>0.0</v>
      </c>
      <c r="M12" s="8"/>
      <c r="N12" s="35">
        <v>15500.0</v>
      </c>
      <c r="O12" s="8"/>
      <c r="Q12" s="32">
        <v>15500.0</v>
      </c>
      <c r="T12" s="9" t="s">
        <v>34</v>
      </c>
      <c r="U12" s="9" t="s">
        <v>47</v>
      </c>
      <c r="V12" s="9" t="s">
        <v>44</v>
      </c>
      <c r="W12" s="9" t="s">
        <v>20</v>
      </c>
      <c r="Y12" s="9">
        <v>1.0</v>
      </c>
      <c r="AB12" s="9">
        <v>0.0</v>
      </c>
      <c r="AC12" s="9">
        <v>0.0</v>
      </c>
      <c r="AD12" s="9">
        <v>0.0</v>
      </c>
      <c r="AE12" s="9">
        <v>0.0</v>
      </c>
      <c r="AF12" s="9">
        <v>-50.0</v>
      </c>
      <c r="AG12" s="9">
        <v>0.0</v>
      </c>
      <c r="AH12" s="9">
        <v>0.0</v>
      </c>
      <c r="AI12" s="9">
        <v>0.0</v>
      </c>
      <c r="AJ12" s="9">
        <v>0.0</v>
      </c>
      <c r="AK12" s="32">
        <v>15500.0</v>
      </c>
      <c r="AL12" s="9">
        <v>1.0</v>
      </c>
      <c r="AM12" s="9">
        <v>1.0</v>
      </c>
      <c r="AN12" s="9" t="s">
        <v>27</v>
      </c>
      <c r="AP12" s="9" t="s">
        <v>48</v>
      </c>
      <c r="AQ12" s="9" t="s">
        <v>24</v>
      </c>
      <c r="AR12" s="9">
        <v>0.0</v>
      </c>
      <c r="AW12" s="32">
        <v>15500.0</v>
      </c>
      <c r="AX12" s="9">
        <v>0.0</v>
      </c>
      <c r="AY12" s="9">
        <v>0.0</v>
      </c>
      <c r="AZ12" s="9">
        <v>0.0</v>
      </c>
      <c r="BC12" s="9">
        <v>1.0</v>
      </c>
      <c r="BD12" s="32">
        <v>15500.0</v>
      </c>
      <c r="BE12" s="9" t="s">
        <v>34</v>
      </c>
      <c r="BJ12" s="9">
        <v>0.0</v>
      </c>
      <c r="BK12" s="9">
        <v>0.0</v>
      </c>
      <c r="BL12" s="9">
        <v>0.0</v>
      </c>
      <c r="BM12" s="9">
        <v>0.0</v>
      </c>
      <c r="BO12" s="32">
        <v>15500.0</v>
      </c>
      <c r="BP12" s="9">
        <v>0.0</v>
      </c>
      <c r="BR12" s="9" t="s">
        <v>26</v>
      </c>
      <c r="BS12" s="9">
        <v>0.0</v>
      </c>
      <c r="BT12" s="9">
        <v>0.0</v>
      </c>
      <c r="BU12" s="9" t="s">
        <v>34</v>
      </c>
      <c r="BW12" s="9">
        <v>0.0</v>
      </c>
      <c r="BX12" s="9">
        <v>0.0</v>
      </c>
      <c r="BY12" s="9">
        <v>0.0</v>
      </c>
      <c r="BZ12" s="9">
        <v>0.0</v>
      </c>
      <c r="CA12" s="9">
        <v>0.0</v>
      </c>
      <c r="CC12" s="9">
        <v>0.0</v>
      </c>
      <c r="CD12" s="32">
        <v>15500.0</v>
      </c>
      <c r="CE12" s="9">
        <v>0.0</v>
      </c>
      <c r="CF12" s="9">
        <v>0.0</v>
      </c>
      <c r="CG12" s="32">
        <v>15500.0</v>
      </c>
      <c r="CH12" s="9">
        <v>100.0</v>
      </c>
      <c r="CI12" s="9">
        <v>0.0</v>
      </c>
      <c r="CJ12" s="9">
        <v>0.0</v>
      </c>
      <c r="DA12" s="9">
        <v>0.0</v>
      </c>
      <c r="DB12" s="9">
        <v>0.0</v>
      </c>
      <c r="DE12" s="9">
        <v>0.0</v>
      </c>
      <c r="DF12" s="9">
        <v>0.0</v>
      </c>
      <c r="DG12" s="9">
        <v>0.0</v>
      </c>
      <c r="DI12" s="9">
        <v>0.0</v>
      </c>
      <c r="DJ12" s="9" t="s">
        <v>27</v>
      </c>
      <c r="DK12" s="9">
        <v>0.0</v>
      </c>
      <c r="DL12" s="9">
        <v>0.0</v>
      </c>
      <c r="DM12" s="9">
        <v>1.0</v>
      </c>
      <c r="DN12" s="9">
        <v>0.0</v>
      </c>
      <c r="EF12" s="9">
        <v>0.0</v>
      </c>
      <c r="EG12" s="9">
        <v>0.0</v>
      </c>
      <c r="EH12" s="9">
        <v>0.0</v>
      </c>
      <c r="EI12" s="9">
        <v>0.0</v>
      </c>
      <c r="EJ12" s="9">
        <v>0.0</v>
      </c>
      <c r="EM12" s="9">
        <v>0.0</v>
      </c>
      <c r="EN12" s="9">
        <v>0.0</v>
      </c>
      <c r="EQ12" s="9">
        <v>0.0</v>
      </c>
      <c r="ER12" s="9">
        <v>0.0</v>
      </c>
      <c r="EU12" s="9">
        <v>0.0</v>
      </c>
    </row>
    <row r="13" ht="15.75" customHeight="1">
      <c r="A13" s="8"/>
      <c r="B13" s="8"/>
      <c r="C13" s="12" t="s">
        <v>24</v>
      </c>
      <c r="D13" s="35">
        <v>-500000.0</v>
      </c>
      <c r="E13" s="12" t="s">
        <v>21</v>
      </c>
      <c r="F13" s="12" t="s">
        <v>37</v>
      </c>
      <c r="G13" s="12">
        <v>310.0</v>
      </c>
      <c r="H13" s="12"/>
      <c r="I13" s="12">
        <v>0.0</v>
      </c>
      <c r="J13" s="12">
        <v>0.0</v>
      </c>
      <c r="K13" s="12">
        <v>0.0</v>
      </c>
      <c r="L13" s="12">
        <v>0.0</v>
      </c>
      <c r="M13" s="8"/>
      <c r="N13" s="35">
        <v>1.55E8</v>
      </c>
      <c r="O13" s="8"/>
      <c r="Q13" s="32">
        <v>1.55E8</v>
      </c>
      <c r="T13" s="9" t="s">
        <v>34</v>
      </c>
      <c r="U13" s="9" t="s">
        <v>47</v>
      </c>
      <c r="V13" s="9" t="s">
        <v>44</v>
      </c>
      <c r="W13" s="9" t="s">
        <v>20</v>
      </c>
      <c r="Y13" s="9">
        <v>1.0</v>
      </c>
      <c r="AB13" s="9">
        <v>0.0</v>
      </c>
      <c r="AC13" s="9">
        <v>0.0</v>
      </c>
      <c r="AD13" s="9">
        <v>0.0</v>
      </c>
      <c r="AE13" s="9">
        <v>0.0</v>
      </c>
      <c r="AF13" s="32">
        <v>-500000.0</v>
      </c>
      <c r="AG13" s="9">
        <v>0.0</v>
      </c>
      <c r="AH13" s="9">
        <v>0.0</v>
      </c>
      <c r="AI13" s="9">
        <v>0.0</v>
      </c>
      <c r="AJ13" s="9">
        <v>0.0</v>
      </c>
      <c r="AK13" s="32">
        <v>1.55E8</v>
      </c>
      <c r="AL13" s="9">
        <v>1.0</v>
      </c>
      <c r="AM13" s="9">
        <v>1.0</v>
      </c>
      <c r="AN13" s="9" t="s">
        <v>27</v>
      </c>
      <c r="AP13" s="9" t="s">
        <v>48</v>
      </c>
      <c r="AQ13" s="9" t="s">
        <v>24</v>
      </c>
      <c r="AR13" s="9">
        <v>0.0</v>
      </c>
      <c r="AW13" s="32">
        <v>1.55E8</v>
      </c>
      <c r="AX13" s="9">
        <v>0.0</v>
      </c>
      <c r="AY13" s="9">
        <v>0.0</v>
      </c>
      <c r="AZ13" s="9">
        <v>0.0</v>
      </c>
      <c r="BC13" s="9">
        <v>1.0</v>
      </c>
      <c r="BD13" s="32">
        <v>1.55E8</v>
      </c>
      <c r="BE13" s="9" t="s">
        <v>34</v>
      </c>
      <c r="BJ13" s="9">
        <v>0.0</v>
      </c>
      <c r="BK13" s="9">
        <v>0.0</v>
      </c>
      <c r="BL13" s="9">
        <v>0.0</v>
      </c>
      <c r="BM13" s="9">
        <v>0.0</v>
      </c>
      <c r="BO13" s="32">
        <v>1.55E8</v>
      </c>
      <c r="BP13" s="9">
        <v>0.0</v>
      </c>
      <c r="BR13" s="9" t="s">
        <v>26</v>
      </c>
      <c r="BS13" s="9">
        <v>0.0</v>
      </c>
      <c r="BT13" s="9">
        <v>0.0</v>
      </c>
      <c r="BU13" s="9" t="s">
        <v>34</v>
      </c>
      <c r="BW13" s="9">
        <v>0.0</v>
      </c>
      <c r="BX13" s="9">
        <v>0.0</v>
      </c>
      <c r="BY13" s="9">
        <v>0.0</v>
      </c>
      <c r="BZ13" s="9">
        <v>0.0</v>
      </c>
      <c r="CA13" s="9">
        <v>0.0</v>
      </c>
      <c r="CC13" s="9">
        <v>0.0</v>
      </c>
      <c r="CD13" s="32">
        <v>1.55E8</v>
      </c>
      <c r="CE13" s="9">
        <v>0.0</v>
      </c>
      <c r="CF13" s="9">
        <v>0.0</v>
      </c>
      <c r="CG13" s="32">
        <v>1.55E8</v>
      </c>
      <c r="CH13" s="9">
        <v>100.0</v>
      </c>
      <c r="CI13" s="9">
        <v>0.0</v>
      </c>
      <c r="CJ13" s="9">
        <v>0.0</v>
      </c>
      <c r="DA13" s="9">
        <v>0.0</v>
      </c>
      <c r="DB13" s="9">
        <v>0.0</v>
      </c>
      <c r="DE13" s="9">
        <v>0.0</v>
      </c>
      <c r="DF13" s="9">
        <v>0.0</v>
      </c>
      <c r="DG13" s="9">
        <v>0.0</v>
      </c>
      <c r="DI13" s="9">
        <v>0.0</v>
      </c>
      <c r="DJ13" s="9" t="s">
        <v>27</v>
      </c>
      <c r="DK13" s="9">
        <v>0.0</v>
      </c>
      <c r="DL13" s="9">
        <v>0.0</v>
      </c>
      <c r="DM13" s="9">
        <v>1.0</v>
      </c>
      <c r="DN13" s="9">
        <v>0.0</v>
      </c>
      <c r="EF13" s="9">
        <v>0.0</v>
      </c>
      <c r="EG13" s="9">
        <v>0.0</v>
      </c>
      <c r="EH13" s="9">
        <v>0.0</v>
      </c>
      <c r="EI13" s="9">
        <v>0.0</v>
      </c>
      <c r="EJ13" s="9">
        <v>0.0</v>
      </c>
      <c r="EM13" s="9">
        <v>0.0</v>
      </c>
      <c r="EN13" s="9">
        <v>0.0</v>
      </c>
      <c r="EQ13" s="9">
        <v>0.0</v>
      </c>
      <c r="ER13" s="9">
        <v>0.0</v>
      </c>
      <c r="EU13" s="9">
        <v>0.0</v>
      </c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