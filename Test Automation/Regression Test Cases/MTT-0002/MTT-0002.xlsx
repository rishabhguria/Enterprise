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VerifyOrder" sheetId="7" r:id="rId9"/>
    <sheet state="visible" name="VerifyWorkingSubs" sheetId="8" r:id="rId10"/>
    <sheet state="visible" name="CheckAllocatedGroups" sheetId="9" r:id="rId11"/>
    <sheet state="visible" name="CheckPortfolioManagement" sheetId="10" r:id="rId12"/>
    <sheet state="visible" name="GetDataAllocation" sheetId="11" r:id="rId13"/>
  </sheets>
  <definedNames/>
  <calcPr/>
</workbook>
</file>

<file path=xl/sharedStrings.xml><?xml version="1.0" encoding="utf-8"?>
<sst xmlns="http://schemas.openxmlformats.org/spreadsheetml/2006/main" count="145" uniqueCount="43">
  <si>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</si>
  <si>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</si>
  <si>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</si>
  <si>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</si>
  <si>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</si>
  <si>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</si>
  <si>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</si>
  <si>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</si>
  <si>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</si>
  <si>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</si>
  <si>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</si>
  <si>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</si>
  <si>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</si>
  <si>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</si>
  <si>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</si>
  <si>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</si>
  <si>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CIE</t>
  </si>
  <si>
    <t>Buy</t>
  </si>
  <si>
    <t>FIT</t>
  </si>
  <si>
    <t>Sell short</t>
  </si>
  <si>
    <t>CLUB</t>
  </si>
  <si>
    <t>Sell</t>
  </si>
  <si>
    <t xml:space="preserve"> PUBM</t>
  </si>
  <si>
    <t>Buy to Close</t>
  </si>
  <si>
    <t>Blotter</t>
  </si>
  <si>
    <t>MultiTradingTicketFromBlotter</t>
  </si>
  <si>
    <t>New</t>
  </si>
  <si>
    <t>MultiTradingTicket</t>
  </si>
  <si>
    <t>BulkChangeTradeDoneAway</t>
  </si>
  <si>
    <t>$#$</t>
  </si>
  <si>
    <t>abc</t>
  </si>
  <si>
    <t>Notional BPS</t>
  </si>
  <si>
    <t>Flat Amount</t>
  </si>
  <si>
    <t>VerifyOrder</t>
  </si>
  <si>
    <t>Filled</t>
  </si>
  <si>
    <t>VerifyWorkingSubs</t>
  </si>
  <si>
    <t>Allocation</t>
  </si>
  <si>
    <t>CheckAllocatedGroups</t>
  </si>
  <si>
    <t>Allocation1</t>
  </si>
  <si>
    <t>PortfolioManagement</t>
  </si>
  <si>
    <t>CheckPortfolioManagement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</si>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</sst>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5">
        <v>500.0</v>
      </c>
      <c r="F6" s="36"/>
      <c r="G6" s="36"/>
      <c r="H6" s="36"/>
      <c r="I6" s="36"/>
      <c r="J6" s="35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2" t="s">
        <v>18</v>
      </c>
      <c r="C7" s="33" t="s">
        <v>19</v>
      </c>
      <c r="D7" s="35">
        <v>400.0</v>
      </c>
      <c r="E7" s="35">
        <v>400.0</v>
      </c>
      <c r="F7" s="36"/>
      <c r="G7" s="36"/>
      <c r="H7" s="36"/>
      <c r="I7" s="36"/>
      <c r="J7" s="35">
        <v>5.0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2" t="s">
        <v>20</v>
      </c>
      <c r="C8" s="33" t="s">
        <v>21</v>
      </c>
      <c r="D8" s="35">
        <v>300.0</v>
      </c>
      <c r="E8" s="35">
        <v>300.0</v>
      </c>
      <c r="F8" s="36"/>
      <c r="G8" s="36"/>
      <c r="H8" s="36"/>
      <c r="I8" s="36"/>
      <c r="J8" s="35">
        <v>6.0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2" t="s">
        <v>22</v>
      </c>
      <c r="C9" s="33" t="s">
        <v>23</v>
      </c>
      <c r="D9" s="35">
        <v>600.0</v>
      </c>
      <c r="E9" s="35">
        <v>600.0</v>
      </c>
      <c r="F9" s="36"/>
      <c r="G9" s="36"/>
      <c r="H9" s="36"/>
      <c r="I9" s="36"/>
      <c r="J9" s="35">
        <v>7.0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3" t="s">
        <v>17</v>
      </c>
      <c r="AK6" s="38" t="s">
        <v>26</v>
      </c>
      <c r="AL6" s="35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18</v>
      </c>
      <c r="AJ7" s="33" t="s">
        <v>19</v>
      </c>
      <c r="AK7" s="38" t="s">
        <v>26</v>
      </c>
      <c r="AL7" s="35">
        <v>400.0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2" t="s">
        <v>20</v>
      </c>
      <c r="AJ8" s="33" t="s">
        <v>21</v>
      </c>
      <c r="AK8" s="38" t="s">
        <v>26</v>
      </c>
      <c r="AL8" s="35">
        <v>300.0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2" t="s">
        <v>22</v>
      </c>
      <c r="AJ9" s="33" t="s">
        <v>23</v>
      </c>
      <c r="AK9" s="38" t="s">
        <v>26</v>
      </c>
      <c r="AL9" s="35">
        <v>600.0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 t="str">
        <f>IFERROR(__xludf.DUMMYFUNCTION("""COMPUTED_VALUE"""),"Algo Type")</f>
        <v>Algo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3" t="s">
        <v>29</v>
      </c>
      <c r="D6" s="40" t="s">
        <v>29</v>
      </c>
      <c r="E6" s="35"/>
      <c r="F6" s="32"/>
      <c r="G6" s="36"/>
      <c r="H6" s="33"/>
      <c r="I6" s="33"/>
      <c r="J6" s="35"/>
      <c r="K6" s="33" t="s">
        <v>29</v>
      </c>
      <c r="L6" s="33" t="s">
        <v>29</v>
      </c>
      <c r="M6" s="33" t="s">
        <v>29</v>
      </c>
      <c r="N6" s="41"/>
      <c r="O6" s="35">
        <v>1.0</v>
      </c>
      <c r="P6" s="36" t="s">
        <v>30</v>
      </c>
      <c r="Q6" s="36"/>
      <c r="R6" s="36" t="s">
        <v>31</v>
      </c>
      <c r="S6" s="42">
        <v>5.0</v>
      </c>
      <c r="T6" s="36" t="s">
        <v>32</v>
      </c>
      <c r="U6" s="42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42"/>
      <c r="AH6" s="42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3" t="s">
        <v>17</v>
      </c>
      <c r="AK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18</v>
      </c>
      <c r="AJ7" s="33" t="s">
        <v>19</v>
      </c>
      <c r="AK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2" t="s">
        <v>20</v>
      </c>
      <c r="AJ8" s="33" t="s">
        <v>21</v>
      </c>
      <c r="AK8" s="9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2" t="s">
        <v>22</v>
      </c>
      <c r="AJ9" s="33" t="s">
        <v>23</v>
      </c>
      <c r="AK9" s="9" t="s">
        <v>34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 t="s">
        <v>17</v>
      </c>
      <c r="D6" s="35">
        <v>500.0</v>
      </c>
      <c r="E6" s="35">
        <v>500.0</v>
      </c>
      <c r="F6" s="8"/>
      <c r="G6" s="13" t="s">
        <v>34</v>
      </c>
      <c r="I6" s="8"/>
      <c r="J6" s="8"/>
      <c r="K6" s="8"/>
      <c r="L6" s="8"/>
      <c r="M6" s="13"/>
      <c r="N6" s="8"/>
      <c r="O6" s="8"/>
    </row>
    <row r="7" ht="15.75" customHeight="1">
      <c r="A7" s="8"/>
      <c r="B7" s="32" t="s">
        <v>18</v>
      </c>
      <c r="C7" s="33" t="s">
        <v>19</v>
      </c>
      <c r="D7" s="35">
        <v>400.0</v>
      </c>
      <c r="E7" s="35">
        <v>400.0</v>
      </c>
      <c r="F7" s="8"/>
      <c r="G7" s="13" t="s">
        <v>34</v>
      </c>
      <c r="I7" s="8"/>
      <c r="J7" s="8"/>
      <c r="K7" s="8"/>
      <c r="L7" s="8"/>
      <c r="M7" s="13"/>
      <c r="N7" s="8"/>
      <c r="O7" s="8"/>
    </row>
    <row r="8" ht="15.75" customHeight="1">
      <c r="A8" s="8"/>
      <c r="B8" s="32" t="s">
        <v>20</v>
      </c>
      <c r="C8" s="33" t="s">
        <v>21</v>
      </c>
      <c r="D8" s="35">
        <v>300.0</v>
      </c>
      <c r="E8" s="35">
        <v>300.0</v>
      </c>
      <c r="F8" s="8"/>
      <c r="G8" s="13" t="s">
        <v>34</v>
      </c>
      <c r="I8" s="8"/>
      <c r="J8" s="8"/>
      <c r="K8" s="8"/>
      <c r="L8" s="8"/>
      <c r="M8" s="13"/>
      <c r="N8" s="8"/>
      <c r="O8" s="8"/>
    </row>
    <row r="9" ht="15.75" customHeight="1">
      <c r="A9" s="8"/>
      <c r="B9" s="32" t="s">
        <v>22</v>
      </c>
      <c r="C9" s="33" t="s">
        <v>23</v>
      </c>
      <c r="D9" s="35">
        <v>600.0</v>
      </c>
      <c r="E9" s="35">
        <v>600.0</v>
      </c>
      <c r="F9" s="8"/>
      <c r="G9" s="13" t="s">
        <v>34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BO6" s="33" t="s">
        <v>17</v>
      </c>
      <c r="BT6" s="32" t="s">
        <v>16</v>
      </c>
    </row>
    <row r="7" ht="15.75" customHeight="1">
      <c r="A7" s="8"/>
      <c r="B7" s="13" t="s">
        <v>38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O7" s="33" t="s">
        <v>19</v>
      </c>
      <c r="BT7" s="32" t="s">
        <v>18</v>
      </c>
    </row>
    <row r="8" ht="15.75" customHeight="1">
      <c r="A8" s="8"/>
      <c r="B8" s="13" t="s">
        <v>38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BO8" s="33" t="s">
        <v>21</v>
      </c>
      <c r="BT8" s="32" t="s">
        <v>20</v>
      </c>
    </row>
    <row r="9" ht="15.75" customHeight="1">
      <c r="A9" s="8"/>
      <c r="B9" s="13" t="s">
        <v>38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O9" s="33" t="s">
        <v>23</v>
      </c>
      <c r="BT9" s="32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</row>
    <row r="6" ht="15.75" customHeight="1">
      <c r="A6" s="13"/>
      <c r="B6" s="13"/>
      <c r="C6" s="32" t="s">
        <v>16</v>
      </c>
      <c r="D6" s="13"/>
      <c r="E6" s="13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  <c r="AN6" s="33" t="s">
        <v>17</v>
      </c>
    </row>
    <row r="7" ht="15.75" customHeight="1">
      <c r="A7" s="8"/>
      <c r="B7" s="8"/>
      <c r="C7" s="32" t="s">
        <v>18</v>
      </c>
      <c r="D7" s="8"/>
      <c r="E7" s="13" t="s">
        <v>38</v>
      </c>
      <c r="F7" s="8"/>
      <c r="G7" s="8"/>
      <c r="H7" s="8"/>
      <c r="I7" s="8"/>
      <c r="J7" s="8"/>
      <c r="K7" s="8"/>
      <c r="L7" s="8"/>
      <c r="M7" s="8"/>
      <c r="N7" s="8"/>
      <c r="O7" s="8"/>
      <c r="AN7" s="33" t="s">
        <v>19</v>
      </c>
    </row>
    <row r="8" ht="15.75" customHeight="1">
      <c r="A8" s="8"/>
      <c r="B8" s="8"/>
      <c r="C8" s="32" t="s">
        <v>20</v>
      </c>
      <c r="D8" s="8"/>
      <c r="E8" s="13" t="s">
        <v>38</v>
      </c>
      <c r="F8" s="8"/>
      <c r="G8" s="8"/>
      <c r="H8" s="8"/>
      <c r="I8" s="8"/>
      <c r="J8" s="8"/>
      <c r="K8" s="8"/>
      <c r="L8" s="8"/>
      <c r="M8" s="8"/>
      <c r="N8" s="8"/>
      <c r="O8" s="8"/>
      <c r="AN8" s="33" t="s">
        <v>21</v>
      </c>
    </row>
    <row r="9" ht="15.75" customHeight="1">
      <c r="A9" s="8"/>
      <c r="B9" s="8"/>
      <c r="C9" s="32" t="s">
        <v>22</v>
      </c>
      <c r="D9" s="8"/>
      <c r="E9" s="13" t="s">
        <v>38</v>
      </c>
      <c r="F9" s="8"/>
      <c r="G9" s="8"/>
      <c r="H9" s="8"/>
      <c r="I9" s="8"/>
      <c r="J9" s="8"/>
      <c r="K9" s="8"/>
      <c r="L9" s="8"/>
      <c r="M9" s="8"/>
      <c r="N9" s="8"/>
      <c r="O9" s="8"/>
      <c r="AN9" s="33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