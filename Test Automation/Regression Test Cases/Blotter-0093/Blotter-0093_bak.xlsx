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" sheetId="6" r:id="rId8"/>
    <sheet state="visible" name="ExecuteTrade" sheetId="7" r:id="rId9"/>
    <sheet state="visible" name="VerifyTrades" sheetId="8" r:id="rId10"/>
    <sheet state="visible" name="EditStageOrder" sheetId="9" r:id="rId11"/>
    <sheet state="visible" name="CreateReplaceOrder" sheetId="10" r:id="rId12"/>
    <sheet state="visible" name="ReplaceSubOrder" sheetId="11" r:id="rId13"/>
    <sheet state="visible" name="CreateReplaceOrder1" sheetId="12" r:id="rId14"/>
    <sheet state="visible" name="AcknowledgeTrade1" sheetId="13" r:id="rId15"/>
    <sheet state="visible" name="SelectTrade1" sheetId="14" r:id="rId16"/>
    <sheet state="visible" name="ExecuteTrade1" sheetId="15" r:id="rId17"/>
    <sheet state="visible" name="VerifyTrades1" sheetId="16" r:id="rId18"/>
    <sheet state="visible" name="CancelSubOrder" sheetId="17" r:id="rId19"/>
    <sheet state="visible" name="AcknowledgeTrade2" sheetId="18" r:id="rId20"/>
    <sheet state="visible" name="VerifyOrder" sheetId="19" r:id="rId21"/>
    <sheet state="visible" name="VerifySubOrder" sheetId="20" r:id="rId22"/>
    <sheet state="visible" name="GetDataAllocation" sheetId="21" r:id="rId23"/>
    <sheet state="visible" name="CheckAllocatedGroups" sheetId="22" r:id="rId24"/>
    <sheet state="visible" name="CheckPortfolioManagement" sheetId="23" r:id="rId25"/>
    <sheet state="visible" name="GetDataClosing" sheetId="24" r:id="rId26"/>
    <sheet state="visible" name="VerifyLongPositionsGrid" sheetId="25" r:id="rId27"/>
    <sheet state="visible" name="SelectTradeOnOrderGrid" sheetId="26" r:id="rId28"/>
    <sheet state="visible" name="SelectTradeOnOrderGrid1" sheetId="27" r:id="rId29"/>
  </sheets>
  <definedNames/>
  <calcPr/>
</workbook>
</file>

<file path=xl/sharedStrings.xml><?xml version="1.0" encoding="utf-8"?>
<sst xmlns="http://schemas.openxmlformats.org/spreadsheetml/2006/main" count="268" uniqueCount="54">
  <si>
    <t>Modules Info</t>
  </si>
  <si>
    <t>Modules</t>
  </si>
  <si>
    <t>Settings</t>
  </si>
  <si>
    <t>Module Step Setting File</t>
  </si>
  <si>
    <t>1-YzRU9k076OTLvhUStpIR0Eu6nrBz7vYPArbk2m7Tjk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</si>
  <si>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</si>
  <si>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</si>
  <si>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</si>
  <si>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</si>
  <si>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</si>
  <si>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</si>
  <si>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</si>
  <si>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</si>
  <si>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</si>
  <si>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</si>
  <si>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</si>
  <si>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NM/WS</t>
  </si>
  <si>
    <t>Buy</t>
  </si>
  <si>
    <t>Allocation1</t>
  </si>
  <si>
    <t>Simulator</t>
  </si>
  <si>
    <t>AcknowledgeTrade</t>
  </si>
  <si>
    <t>SelectTrade</t>
  </si>
  <si>
    <t>ExecuteTrade</t>
  </si>
  <si>
    <t>VerifyTrades</t>
  </si>
  <si>
    <t>Blotter</t>
  </si>
  <si>
    <t>EditStageOrder</t>
  </si>
  <si>
    <t>PartiallyFilled</t>
  </si>
  <si>
    <t>MS</t>
  </si>
  <si>
    <t>Market</t>
  </si>
  <si>
    <t>CreateReplaceOrder</t>
  </si>
  <si>
    <t>ReplaceSubOrder</t>
  </si>
  <si>
    <t>PartialllyFilled</t>
  </si>
  <si>
    <t>CancelSubOrder</t>
  </si>
  <si>
    <t>VerifyOrder</t>
  </si>
  <si>
    <t>VerifySubOrder</t>
  </si>
  <si>
    <t>Cancelled</t>
  </si>
  <si>
    <t>Allocation</t>
  </si>
  <si>
    <t>GetDataAllocation</t>
  </si>
  <si>
    <t>Current</t>
  </si>
  <si>
    <t>CheckAllocatedGroups</t>
  </si>
  <si>
    <t>Equity</t>
  </si>
  <si>
    <t>Open</t>
  </si>
  <si>
    <t>USD</t>
  </si>
  <si>
    <t>PortfolioManagement</t>
  </si>
  <si>
    <t>CheckPortfolioManagement</t>
  </si>
  <si>
    <t>NewMF</t>
  </si>
  <si>
    <t>Long</t>
  </si>
  <si>
    <t>US</t>
  </si>
  <si>
    <t>Closing</t>
  </si>
  <si>
    <t>GetDataClosing</t>
  </si>
  <si>
    <t>VerifyLongPositionsGrid</t>
  </si>
  <si>
    <t>Strategy Unallocated</t>
  </si>
  <si>
    <t>SelectTradeOnOrderGrid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</si>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</sst>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FF8000"/>
      <name val="Verdana"/>
    </font>
    <font>
      <sz val="11.0"/>
      <color rgb="FF000000"/>
      <name val="Calibri"/>
    </font>
    <font>
      <b/>
    </font>
    <font>
      <sz val="11.0"/>
      <color rgb="FF000000"/>
      <name val="Inconsolat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14" numFmtId="0" xfId="0" applyAlignment="1" applyBorder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7" fontId="15" numFmtId="0" xfId="0" applyAlignment="1" applyFill="1" applyFont="1">
      <alignment horizontal="center" readingOrder="0" shrinkToFit="0" vertical="top" wrapText="0"/>
    </xf>
    <xf borderId="0" fillId="7" fontId="16" numFmtId="0" xfId="0" applyAlignment="1" applyFont="1">
      <alignment horizontal="center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center" readingOrder="0" shrinkToFit="0" vertical="top" wrapText="0"/>
    </xf>
    <xf borderId="0" fillId="0" fontId="18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18" numFmtId="4" xfId="0" applyAlignment="1" applyFont="1" applyNumberFormat="1">
      <alignment horizontal="right" readingOrder="0" vertical="bottom"/>
    </xf>
    <xf borderId="0" fillId="0" fontId="18" numFmtId="164" xfId="0" applyAlignment="1" applyFont="1" applyNumberFormat="1">
      <alignment horizontal="right" readingOrder="0" shrinkToFit="0" vertical="bottom" wrapText="0"/>
    </xf>
    <xf borderId="0" fillId="0" fontId="18" numFmtId="4" xfId="0" applyAlignment="1" applyFont="1" applyNumberFormat="1">
      <alignment horizontal="right"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18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18" numFmtId="3" xfId="0" applyAlignment="1" applyFont="1" applyNumberFormat="1">
      <alignment horizontal="right" readingOrder="0" shrinkToFit="0" vertical="bottom" wrapText="0"/>
    </xf>
    <xf borderId="0" fillId="0" fontId="19" numFmtId="0" xfId="0" applyAlignment="1" applyFont="1">
      <alignment readingOrder="0"/>
    </xf>
    <xf borderId="0" fillId="0" fontId="18" numFmtId="0" xfId="0" applyAlignment="1" applyFont="1">
      <alignment horizontal="right" readingOrder="0" shrinkToFit="0" wrapText="0"/>
    </xf>
    <xf borderId="0" fillId="4" fontId="20" numFmtId="14" xfId="0" applyFont="1" applyNumberFormat="1"/>
    <xf borderId="0" fillId="0" fontId="18" numFmtId="0" xfId="0" applyAlignment="1" applyFont="1">
      <alignment readingOrder="0" shrinkToFit="0" wrapText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100.0</v>
      </c>
      <c r="E6" s="33">
        <v>100.0</v>
      </c>
      <c r="F6" s="32" t="s">
        <v>18</v>
      </c>
      <c r="G6" s="34"/>
      <c r="H6" s="34"/>
      <c r="I6" s="34"/>
      <c r="J6" s="35">
        <v>10.0</v>
      </c>
      <c r="K6" s="34"/>
      <c r="L6" s="34"/>
      <c r="M6" s="34"/>
      <c r="N6" s="36">
        <f>TODAY()</f>
        <v>44343</v>
      </c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17</v>
      </c>
      <c r="C6" s="39" t="s">
        <v>16</v>
      </c>
      <c r="D6" s="38"/>
      <c r="E6" s="34"/>
      <c r="F6" s="34"/>
      <c r="G6" s="3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17</v>
      </c>
      <c r="C6" s="39" t="s">
        <v>16</v>
      </c>
      <c r="D6" s="38"/>
      <c r="E6" s="34"/>
      <c r="F6" s="40"/>
      <c r="G6" s="3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17</v>
      </c>
      <c r="C6" s="39" t="s">
        <v>16</v>
      </c>
      <c r="D6" s="38"/>
      <c r="E6" s="34"/>
      <c r="F6" s="40"/>
      <c r="G6" s="3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AI6" s="42" t="s">
        <v>16</v>
      </c>
      <c r="AJ6" s="42" t="s">
        <v>17</v>
      </c>
      <c r="AK6" s="43" t="s">
        <v>26</v>
      </c>
      <c r="AL6" s="44">
        <v>100.0</v>
      </c>
      <c r="AM6" s="45">
        <v>50.0</v>
      </c>
      <c r="AN6" s="45">
        <v>50.0</v>
      </c>
      <c r="AO6" s="45">
        <v>50.0</v>
      </c>
      <c r="AP6" s="42"/>
      <c r="AQ6" s="43">
        <v>10.0</v>
      </c>
      <c r="AR6" s="45">
        <v>10.0</v>
      </c>
      <c r="AS6" s="45" t="s">
        <v>27</v>
      </c>
      <c r="AT6" s="42" t="s">
        <v>18</v>
      </c>
      <c r="AU6" s="42" t="s">
        <v>28</v>
      </c>
      <c r="AZ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EditStageOrder!$4:$4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>
        <v>200.0</v>
      </c>
      <c r="E6" s="4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13">
        <v>50.0</v>
      </c>
      <c r="H6" s="8"/>
      <c r="I6" s="8"/>
      <c r="J6" s="8"/>
      <c r="K6" s="8"/>
      <c r="L6" s="8"/>
      <c r="M6" s="8"/>
      <c r="N6" s="8"/>
      <c r="O6" s="8"/>
      <c r="AJ6" s="42" t="s">
        <v>16</v>
      </c>
      <c r="AK6" s="42" t="s">
        <v>17</v>
      </c>
      <c r="AL6" s="43" t="s">
        <v>31</v>
      </c>
      <c r="AM6" s="43">
        <v>100.0</v>
      </c>
      <c r="AN6" s="45">
        <v>50.0</v>
      </c>
      <c r="AO6" s="45">
        <v>50.0</v>
      </c>
      <c r="AP6" s="45"/>
      <c r="AQ6" s="42"/>
      <c r="AR6" s="43">
        <v>10.0</v>
      </c>
      <c r="AS6" s="45">
        <v>10.0</v>
      </c>
      <c r="AT6" s="45" t="s">
        <v>27</v>
      </c>
      <c r="AU6" s="42" t="s">
        <v>18</v>
      </c>
      <c r="AV6" s="42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150.0</v>
      </c>
      <c r="E6" s="4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17</v>
      </c>
      <c r="C6" s="39" t="s">
        <v>16</v>
      </c>
      <c r="D6" s="38"/>
      <c r="E6" s="34"/>
      <c r="F6" s="34"/>
      <c r="G6" s="3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17</v>
      </c>
      <c r="C6" s="39" t="s">
        <v>16</v>
      </c>
      <c r="D6" s="38"/>
      <c r="E6" s="34"/>
      <c r="F6" s="34"/>
      <c r="G6" s="3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17</v>
      </c>
      <c r="C6" s="39" t="s">
        <v>16</v>
      </c>
      <c r="D6" s="38"/>
      <c r="E6" s="34"/>
      <c r="F6" s="40"/>
      <c r="G6" s="3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13">
        <v>50.0</v>
      </c>
      <c r="H6" s="8"/>
      <c r="I6" s="8"/>
      <c r="J6" s="8"/>
      <c r="K6" s="8"/>
      <c r="L6" s="8"/>
      <c r="M6" s="8"/>
      <c r="N6" s="8"/>
      <c r="O6" s="8"/>
      <c r="AJ6" s="42" t="s">
        <v>16</v>
      </c>
      <c r="AK6" s="42" t="s">
        <v>17</v>
      </c>
      <c r="AL6" s="43" t="s">
        <v>31</v>
      </c>
      <c r="AM6" s="43">
        <v>100.0</v>
      </c>
      <c r="AN6" s="45"/>
      <c r="AO6" s="45"/>
      <c r="AP6" s="45"/>
      <c r="AQ6" s="42"/>
      <c r="AR6" s="43">
        <v>10.0</v>
      </c>
      <c r="AS6" s="45" t="s">
        <v>27</v>
      </c>
      <c r="AT6" s="42" t="s">
        <v>18</v>
      </c>
      <c r="AU6" s="42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17</v>
      </c>
      <c r="C6" s="39" t="s">
        <v>16</v>
      </c>
      <c r="D6" s="38"/>
      <c r="E6" s="34"/>
      <c r="F6" s="34"/>
      <c r="G6" s="3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U6" s="46"/>
      <c r="AI6" s="42" t="s">
        <v>16</v>
      </c>
      <c r="AJ6" s="42" t="s">
        <v>17</v>
      </c>
      <c r="AK6" s="43" t="s">
        <v>26</v>
      </c>
      <c r="AL6" s="44">
        <v>200.0</v>
      </c>
      <c r="AM6" s="9">
        <v>100.0</v>
      </c>
      <c r="AN6" s="45">
        <v>50.0</v>
      </c>
      <c r="AO6" s="44">
        <v>100.0</v>
      </c>
      <c r="AP6" s="43"/>
      <c r="AQ6" s="43"/>
      <c r="AR6" s="45">
        <v>10.0</v>
      </c>
      <c r="AS6" s="45" t="s">
        <v>27</v>
      </c>
      <c r="AT6" s="42" t="s">
        <v>18</v>
      </c>
      <c r="AU6" s="42" t="s">
        <v>28</v>
      </c>
      <c r="AV6" s="42">
        <v>1000.0</v>
      </c>
      <c r="AW6" s="42">
        <v>1000.0</v>
      </c>
      <c r="AZ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  <c r="U6" s="46"/>
      <c r="AI6" s="42" t="s">
        <v>16</v>
      </c>
      <c r="AJ6" s="42" t="s">
        <v>17</v>
      </c>
      <c r="AK6" s="42" t="s">
        <v>35</v>
      </c>
      <c r="AL6" s="44">
        <v>150.0</v>
      </c>
      <c r="AM6" s="44">
        <v>100.0</v>
      </c>
      <c r="AN6" s="45"/>
      <c r="AP6" s="44">
        <v>10.0</v>
      </c>
      <c r="AQ6" s="42" t="s">
        <v>27</v>
      </c>
      <c r="AR6" s="42" t="s">
        <v>18</v>
      </c>
      <c r="AS6" s="42" t="s">
        <v>28</v>
      </c>
      <c r="AT6" s="42">
        <v>1000.0</v>
      </c>
      <c r="AU6" s="42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47">
        <v>100.0</v>
      </c>
      <c r="F6" s="8"/>
      <c r="G6" s="13" t="s">
        <v>40</v>
      </c>
      <c r="H6" s="8"/>
      <c r="I6" s="8"/>
      <c r="J6" s="8"/>
      <c r="K6" s="35">
        <v>10.0</v>
      </c>
      <c r="L6" s="35">
        <v>10.0</v>
      </c>
      <c r="M6" s="34"/>
      <c r="N6" s="34"/>
      <c r="O6" s="32" t="s">
        <v>27</v>
      </c>
      <c r="S6" s="9" t="s">
        <v>41</v>
      </c>
      <c r="T6" s="48"/>
      <c r="U6" s="37"/>
      <c r="V6" s="37"/>
      <c r="W6" s="37"/>
      <c r="X6" s="37"/>
      <c r="Y6" s="37"/>
      <c r="Z6" s="37" t="s">
        <v>42</v>
      </c>
      <c r="AA6" s="37"/>
      <c r="AB6" s="37"/>
      <c r="AC6" s="37"/>
      <c r="AD6" s="37"/>
      <c r="AE6" s="49">
        <v>100.0</v>
      </c>
      <c r="AI6" s="48">
        <v>1.0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50">
        <v>1010.175</v>
      </c>
      <c r="AU6" s="50">
        <v>1010.175</v>
      </c>
      <c r="AY6" s="9" t="s">
        <v>28</v>
      </c>
      <c r="BE6" s="51">
        <v>1000.0</v>
      </c>
      <c r="BF6" s="51">
        <v>1000.0</v>
      </c>
      <c r="BJ6" s="9">
        <v>150.0</v>
      </c>
      <c r="BO6" s="37" t="s">
        <v>17</v>
      </c>
      <c r="BP6" s="48"/>
      <c r="BQ6" s="37"/>
      <c r="BR6" s="37"/>
      <c r="BS6" s="37"/>
      <c r="BT6" s="52" t="s">
        <v>16</v>
      </c>
      <c r="CI6" s="53" t="s">
        <v>17</v>
      </c>
      <c r="CJ6" s="54">
        <v>0.0</v>
      </c>
      <c r="CK6" s="37"/>
      <c r="CL6" s="37"/>
      <c r="CM6" s="52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7" width="14.43"/>
    <col customWidth="1" min="28" max="28" width="18.0"/>
    <col customWidth="1" min="29" max="61" width="14.43"/>
    <col customWidth="1" min="62" max="62" width="18.86"/>
    <col customWidth="1" min="63" max="63" width="23.71"/>
    <col customWidth="1" min="64" max="64" width="20.71"/>
    <col customWidth="1" min="65" max="65" width="23.57"/>
    <col customWidth="1" min="66" max="74" width="14.43"/>
    <col customWidth="1" min="75" max="75" width="19.0"/>
    <col customWidth="1" min="76" max="76" width="19.71"/>
    <col customWidth="1" min="77" max="77" width="24.86"/>
    <col customWidth="1" min="78" max="78" width="21.57"/>
    <col customWidth="1" min="79" max="79" width="21.14"/>
    <col customWidth="1" min="80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13"/>
      <c r="B6" s="13"/>
      <c r="C6" s="52" t="s">
        <v>16</v>
      </c>
      <c r="D6" s="47">
        <v>100.0</v>
      </c>
      <c r="E6" s="52" t="s">
        <v>18</v>
      </c>
      <c r="F6" s="52" t="s">
        <v>45</v>
      </c>
      <c r="G6" s="47">
        <v>10.0</v>
      </c>
      <c r="H6" s="52" t="s">
        <v>46</v>
      </c>
      <c r="I6" s="8"/>
      <c r="J6" s="8"/>
      <c r="K6" s="8"/>
      <c r="L6" s="8"/>
      <c r="M6" s="8"/>
      <c r="N6" s="55">
        <v>-1000.0</v>
      </c>
      <c r="O6" s="8"/>
      <c r="Q6" s="55">
        <v>-1000.0</v>
      </c>
      <c r="T6" s="37" t="s">
        <v>40</v>
      </c>
      <c r="U6" s="37" t="s">
        <v>47</v>
      </c>
      <c r="V6" s="37"/>
      <c r="W6" s="37" t="s">
        <v>42</v>
      </c>
      <c r="X6" s="37"/>
      <c r="Y6" s="48">
        <v>1.0</v>
      </c>
      <c r="AB6" s="48">
        <v>0.0</v>
      </c>
      <c r="AC6" s="48">
        <v>0.0</v>
      </c>
      <c r="AF6" s="9">
        <v>100.0</v>
      </c>
      <c r="AK6" s="55">
        <v>-1000.0</v>
      </c>
      <c r="AN6" s="9" t="s">
        <v>17</v>
      </c>
      <c r="AP6" s="56" t="s">
        <v>46</v>
      </c>
      <c r="AQ6" s="52" t="s">
        <v>16</v>
      </c>
      <c r="AV6" s="9">
        <v>1.0</v>
      </c>
      <c r="AW6" s="55">
        <v>-1000.0</v>
      </c>
      <c r="AZ6" s="9">
        <v>0.0</v>
      </c>
      <c r="BD6" s="55">
        <v>-1000.0</v>
      </c>
      <c r="BE6" s="52" t="s">
        <v>40</v>
      </c>
      <c r="BJ6" s="48">
        <v>0.0</v>
      </c>
      <c r="BK6" s="48">
        <v>0.0</v>
      </c>
      <c r="BL6" s="48">
        <v>0.0</v>
      </c>
      <c r="BM6" s="48">
        <v>0.0</v>
      </c>
      <c r="BP6" s="48">
        <v>0.0</v>
      </c>
      <c r="BQ6" s="37"/>
      <c r="BR6" s="37" t="s">
        <v>27</v>
      </c>
      <c r="BS6" s="48">
        <v>0.0</v>
      </c>
      <c r="BT6" s="48">
        <v>0.0</v>
      </c>
      <c r="BU6" s="37" t="s">
        <v>40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55">
        <v>-1000.0</v>
      </c>
      <c r="CE6" s="9">
        <v>0.0</v>
      </c>
      <c r="CF6" s="9">
        <v>0.0</v>
      </c>
      <c r="CG6" s="55">
        <v>-1000.0</v>
      </c>
      <c r="CI6" s="48">
        <v>0.0</v>
      </c>
      <c r="CJ6" s="48">
        <v>0.0</v>
      </c>
      <c r="DA6" s="48">
        <v>0.0</v>
      </c>
      <c r="DB6" s="48"/>
      <c r="DE6" s="48">
        <v>0.0</v>
      </c>
      <c r="DF6" s="48">
        <v>0.0</v>
      </c>
      <c r="DG6" s="9">
        <v>0.0</v>
      </c>
      <c r="DJ6" s="37" t="s">
        <v>17</v>
      </c>
      <c r="DK6" s="37"/>
      <c r="DL6" s="37"/>
      <c r="DM6" s="48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18.86"/>
    <col customWidth="1" min="18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18</v>
      </c>
      <c r="C6" s="32" t="s">
        <v>40</v>
      </c>
      <c r="D6" s="13"/>
      <c r="E6" s="41"/>
      <c r="F6" s="8"/>
      <c r="G6" s="8"/>
      <c r="H6" s="57">
        <v>1010.175</v>
      </c>
      <c r="I6" s="57">
        <v>10.0</v>
      </c>
      <c r="J6" s="58">
        <f>today()</f>
        <v>44343</v>
      </c>
      <c r="K6" s="13" t="s">
        <v>46</v>
      </c>
      <c r="L6" s="8"/>
      <c r="M6" s="57">
        <v>100.0</v>
      </c>
      <c r="N6" s="8"/>
      <c r="O6" s="32" t="s">
        <v>42</v>
      </c>
      <c r="P6" s="34" t="s">
        <v>17</v>
      </c>
      <c r="Q6" s="59" t="s">
        <v>51</v>
      </c>
      <c r="R6" s="59" t="s">
        <v>16</v>
      </c>
      <c r="T6" s="57"/>
      <c r="U6" s="60">
        <f>today()</f>
        <v>44343</v>
      </c>
      <c r="V6" s="37" t="s">
        <v>17</v>
      </c>
      <c r="W6" s="37" t="s">
        <v>47</v>
      </c>
      <c r="Y6" s="57">
        <v>10.10175</v>
      </c>
      <c r="Z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41"/>
      <c r="F6" s="13" t="s">
        <v>17</v>
      </c>
      <c r="G6" s="13" t="s">
        <v>53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41"/>
      <c r="F6" s="13" t="s">
        <v>17</v>
      </c>
      <c r="G6" s="13" t="s">
        <v>53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