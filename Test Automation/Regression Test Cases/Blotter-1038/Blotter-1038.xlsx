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TradeNewSubOrder" sheetId="5" r:id="rId8"/>
    <sheet state="visible" name="CustomOrderTT1" sheetId="6" r:id="rId9"/>
    <sheet state="visible" name="SelectTradeOnBlotter" sheetId="7" r:id="rId10"/>
    <sheet state="visible" name="AllocateFromBlotter" sheetId="8" r:id="rId11"/>
    <sheet state="visible" name="VerifySubOrder" sheetId="9" r:id="rId12"/>
  </sheets>
  <definedNames/>
  <calcPr/>
  <extLst>
    <ext uri="GoogleSheetsCustomDataVersion2">
      <go:sheetsCustomData xmlns:go="http://customooxmlschemas.google.com/" r:id="rId13" roundtripDataChecksum="u3K7ATyuk/q5fjMZ+Z/7EH8gD3gHBlV/PpzUhm5Mw+4="/>
    </ext>
  </extLst>
</workbook>
</file>

<file path=xl/sharedStrings.xml><?xml version="1.0" encoding="utf-8"?>
<sst xmlns="http://schemas.openxmlformats.org/spreadsheetml/2006/main" count="141" uniqueCount="103">
  <si>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</si>
  <si>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</si>
  <si>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</si>
  <si>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</si>
  <si>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</si>
  <si>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</si>
  <si>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</si>
  <si>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</si>
  <si>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</si>
  <si>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</si>
  <si>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</si>
  <si>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</si>
  <si>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</si>
  <si>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</si>
  <si>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</si>
  <si>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</si>
  <si>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</si>
  <si>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</si>
  <si>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</si>
  <si>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Allocation1,Allocation2</t>
  </si>
  <si>
    <t>50,50</t>
  </si>
  <si>
    <t>Blotter</t>
  </si>
  <si>
    <t>TradeNewSubOrder</t>
  </si>
  <si>
    <t>DoneAway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</si>
  <si>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</si>
  <si>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</si>
  <si>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</si>
  <si>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</si>
  <si>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</si>
  <si>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</si>
  <si>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</si>
  <si>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</si>
  <si>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</si>
  <si>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</si>
  <si>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</si>
  <si>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</si>
  <si>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</si>
  <si>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</si>
  <si>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</si>
  <si>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</si>
  <si>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</si>
  <si>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</si>
  <si>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</si>
  <si>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</si>
  <si>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</si>
  <si>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</si>
  <si>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</si>
  <si>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</si>
  <si>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</si>
  <si>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</si>
  <si>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</si>
  <si>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</si>
  <si>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</si>
  <si>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</si>
  <si>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</si>
  <si>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</si>
  <si>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</si>
  <si>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</si>
  <si>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</si>
  <si>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</si>
  <si>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</si>
  <si>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</si>
  <si>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</si>
  <si>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</si>
  <si>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</si>
  <si>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</si>
  <si>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</si>
  <si>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</si>
  <si>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</si>
  <si>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</si>
  <si>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</si>
  <si>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</si>
  <si>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</si>
  <si>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</si>
  <si>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</si>
  <si>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</si>
  <si>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</si>
  <si>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</si>
  <si>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</si>
  <si>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</si>
  <si>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</si>
  <si>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</si>
  <si>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</si>
  <si>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</si>
  <si>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</si>
  <si>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</si>
  <si>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</si>
  <si>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</si>
  <si>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</si>
  <si>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</si>
  <si>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</si>
  <si>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</si>
  <si>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AllocateFromBlotter</t>
  </si>
  <si>
    <t>Allocation2</t>
  </si>
  <si>
    <t>Allocation3</t>
  </si>
  <si>
    <t>VerifySubOrder</t>
  </si>
  <si>
    <t>NASDAQ</t>
  </si>
  <si>
    <t>M</t>
  </si>
  <si>
    <t>Equity</t>
  </si>
  <si>
    <t>Filled</t>
  </si>
  <si>
    <t>MS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</si>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</sst>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3" fillId="3" fontId="8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3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19.25"/>
    <col customWidth="1" min="17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24"/>
      <c r="B6" s="25" t="s">
        <v>16</v>
      </c>
      <c r="C6" s="26">
        <v>100.0</v>
      </c>
      <c r="D6" s="27">
        <v>10.0</v>
      </c>
      <c r="E6" s="28" t="s">
        <v>17</v>
      </c>
      <c r="F6" s="24"/>
      <c r="G6" s="24"/>
      <c r="H6" s="24"/>
      <c r="I6" s="24"/>
      <c r="J6" s="25" t="s">
        <v>18</v>
      </c>
      <c r="K6" s="24"/>
      <c r="L6" s="24"/>
      <c r="M6" s="24"/>
      <c r="N6" s="24"/>
      <c r="O6" s="24"/>
      <c r="P6" s="29" t="s">
        <v>19</v>
      </c>
      <c r="Q6" s="29" t="s">
        <v>20</v>
      </c>
      <c r="R6" s="24"/>
      <c r="S6" s="24"/>
      <c r="T6" s="24"/>
      <c r="U6" s="24"/>
      <c r="V6" s="24"/>
      <c r="W6" s="24"/>
      <c r="X6" s="30"/>
      <c r="Y6" s="31"/>
      <c r="Z6" s="31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32" t="s">
        <v>21</v>
      </c>
      <c r="D3" s="4" t="s">
        <v>9</v>
      </c>
      <c r="E3" s="32" t="s">
        <v>22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IFERROR(__xludf.DUMMYFUNCTION("""COMPUTED_VALUE"""),"Status (With Rollover)")</f>
        <v>Status (With Rollover)</v>
      </c>
      <c r="AZ5" s="23" t="str">
        <f>IFERROR(__xludf.DUMMYFUNCTION("""COMPUTED_VALUE"""),"Start of Day Qty")</f>
        <v>Start of Day Qty</v>
      </c>
      <c r="BA5" s="23" t="str">
        <f>IFERROR(__xludf.DUMMYFUNCTION("""COMPUTED_VALUE"""),"Leaves")</f>
        <v>Leaves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10" t="s">
        <v>16</v>
      </c>
      <c r="AJ6" s="10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32" t="s">
        <v>12</v>
      </c>
      <c r="D3" s="4" t="s">
        <v>9</v>
      </c>
      <c r="E3" s="32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</row>
    <row r="6" ht="15.75" customHeight="1">
      <c r="A6" s="6"/>
      <c r="B6" s="6"/>
      <c r="C6" s="6"/>
      <c r="D6" s="33">
        <v>10.0</v>
      </c>
      <c r="E6" s="33" t="s">
        <v>23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24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</row>
    <row r="5" ht="15.75" customHeight="1">
      <c r="A5" s="34"/>
      <c r="B5" s="35" t="s">
        <v>25</v>
      </c>
      <c r="C5" s="35" t="s">
        <v>26</v>
      </c>
      <c r="D5" s="35" t="s">
        <v>27</v>
      </c>
      <c r="E5" s="35" t="s">
        <v>28</v>
      </c>
      <c r="F5" s="35" t="s">
        <v>29</v>
      </c>
      <c r="G5" s="35" t="s">
        <v>30</v>
      </c>
      <c r="H5" s="35" t="s">
        <v>31</v>
      </c>
      <c r="I5" s="35" t="s">
        <v>32</v>
      </c>
      <c r="J5" s="35" t="s">
        <v>33</v>
      </c>
      <c r="K5" s="35" t="s">
        <v>34</v>
      </c>
      <c r="L5" s="35" t="s">
        <v>35</v>
      </c>
      <c r="M5" s="35" t="s">
        <v>36</v>
      </c>
      <c r="N5" s="35" t="s">
        <v>37</v>
      </c>
      <c r="O5" s="35" t="s">
        <v>38</v>
      </c>
      <c r="P5" s="35" t="s">
        <v>39</v>
      </c>
      <c r="Q5" s="35" t="s">
        <v>40</v>
      </c>
      <c r="R5" s="35" t="s">
        <v>41</v>
      </c>
      <c r="S5" s="35" t="s">
        <v>42</v>
      </c>
      <c r="T5" s="36" t="s">
        <v>43</v>
      </c>
      <c r="U5" s="36" t="s">
        <v>44</v>
      </c>
      <c r="V5" s="36" t="s">
        <v>45</v>
      </c>
      <c r="W5" s="36" t="s">
        <v>46</v>
      </c>
      <c r="X5" s="36" t="s">
        <v>47</v>
      </c>
      <c r="Y5" s="36" t="s">
        <v>48</v>
      </c>
      <c r="Z5" s="36" t="s">
        <v>49</v>
      </c>
      <c r="AA5" s="36" t="s">
        <v>50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55</v>
      </c>
      <c r="AG5" s="36" t="s">
        <v>56</v>
      </c>
      <c r="AH5" s="36" t="s">
        <v>57</v>
      </c>
      <c r="AI5" s="36" t="s">
        <v>58</v>
      </c>
      <c r="AJ5" s="36" t="s">
        <v>59</v>
      </c>
      <c r="AK5" s="36" t="s">
        <v>60</v>
      </c>
      <c r="AL5" s="36" t="s">
        <v>61</v>
      </c>
      <c r="AM5" s="36" t="s">
        <v>62</v>
      </c>
      <c r="AN5" s="36" t="s">
        <v>63</v>
      </c>
      <c r="AO5" s="36" t="s">
        <v>64</v>
      </c>
      <c r="AP5" s="36" t="s">
        <v>65</v>
      </c>
      <c r="AQ5" s="36" t="s">
        <v>66</v>
      </c>
      <c r="AR5" s="36" t="s">
        <v>67</v>
      </c>
      <c r="AS5" s="36" t="s">
        <v>68</v>
      </c>
      <c r="AT5" s="36" t="s">
        <v>69</v>
      </c>
      <c r="AU5" s="36" t="s">
        <v>70</v>
      </c>
      <c r="AV5" s="36" t="s">
        <v>71</v>
      </c>
      <c r="AW5" s="36" t="s">
        <v>72</v>
      </c>
      <c r="AX5" s="36" t="s">
        <v>73</v>
      </c>
      <c r="AY5" s="36" t="s">
        <v>74</v>
      </c>
      <c r="AZ5" s="36" t="s">
        <v>75</v>
      </c>
      <c r="BA5" s="36" t="s">
        <v>76</v>
      </c>
      <c r="BB5" s="36" t="s">
        <v>77</v>
      </c>
      <c r="BC5" s="36" t="s">
        <v>78</v>
      </c>
      <c r="BD5" s="36" t="s">
        <v>79</v>
      </c>
      <c r="BE5" s="36" t="s">
        <v>80</v>
      </c>
      <c r="BF5" s="36" t="s">
        <v>81</v>
      </c>
      <c r="BG5" s="36" t="s">
        <v>82</v>
      </c>
      <c r="BH5" s="36" t="s">
        <v>83</v>
      </c>
      <c r="BI5" s="36" t="s">
        <v>84</v>
      </c>
      <c r="BJ5" s="36" t="s">
        <v>85</v>
      </c>
      <c r="BK5" s="36" t="s">
        <v>86</v>
      </c>
      <c r="BL5" s="36" t="s">
        <v>87</v>
      </c>
      <c r="BM5" s="36" t="s">
        <v>88</v>
      </c>
      <c r="BN5" s="36" t="s">
        <v>89</v>
      </c>
      <c r="BO5" s="36" t="s">
        <v>90</v>
      </c>
      <c r="BP5" s="36" t="s">
        <v>91</v>
      </c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</row>
    <row r="6" ht="15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 t="s">
        <v>16</v>
      </c>
      <c r="AJ6" s="24" t="s">
        <v>18</v>
      </c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92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IFERROR(__xludf.DUMMYFUNCTION("""COMPUTED_VALUE"""),"PreferenceName")</f>
        <v>PreferenceName</v>
      </c>
      <c r="C5" s="22" t="str">
        <f>IFERROR(__xludf.DUMMYFUNCTION("""COMPUTED_VALUE"""),"Account")</f>
        <v>Account</v>
      </c>
      <c r="D5" s="22" t="str">
        <f>IFERROR(__xludf.DUMMYFUNCTION("""COMPUTED_VALUE"""),"Target Allocation Percentage")</f>
        <v>Target Allocation Percentage</v>
      </c>
      <c r="E5" s="22" t="str">
        <f>IFERROR(__xludf.DUMMYFUNCTION("""COMPUTED_VALUE"""),"TargetAllocationQuantity")</f>
        <v>TargetAllocationQuantity</v>
      </c>
      <c r="F5" s="22" t="str">
        <f>IFERROR(__xludf.DUMMYFUNCTION("""COMPUTED_VALUE"""),"ViewAllocationVerfication")</f>
        <v>ViewAllocationVerfication</v>
      </c>
      <c r="G5" s="22" t="str">
        <f>IFERROR(__xludf.DUMMYFUNCTION("""COMPUTED_VALUE"""),"RESET")</f>
        <v>RESET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</row>
    <row r="6" ht="15.75" customHeight="1">
      <c r="A6" s="6"/>
      <c r="B6" s="6"/>
      <c r="C6" s="37" t="s">
        <v>93</v>
      </c>
      <c r="D6" s="38">
        <v>50.0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25" t="s">
        <v>94</v>
      </c>
      <c r="D7" s="38">
        <v>50.0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95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 t="str">
        <f>IFERROR(__xludf.DUMMYFUNCTION("""COMPUTED_VALUE"""),"Expiry Date")</f>
        <v>Expiry Date</v>
      </c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</row>
    <row r="6" ht="15.75" customHeight="1">
      <c r="A6" s="24"/>
      <c r="B6" s="24"/>
      <c r="C6" s="24"/>
      <c r="D6" s="24"/>
      <c r="E6" s="24"/>
      <c r="F6" s="24"/>
      <c r="G6" s="24"/>
      <c r="H6" s="24" t="s">
        <v>96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>
        <v>1.0</v>
      </c>
      <c r="AE6" s="24"/>
      <c r="AF6" s="24" t="s">
        <v>97</v>
      </c>
      <c r="AG6" s="24"/>
      <c r="AH6" s="24" t="s">
        <v>98</v>
      </c>
      <c r="AI6" s="24" t="s">
        <v>16</v>
      </c>
      <c r="AJ6" s="24" t="s">
        <v>18</v>
      </c>
      <c r="AK6" s="27" t="s">
        <v>99</v>
      </c>
      <c r="AL6" s="27">
        <v>100.0</v>
      </c>
      <c r="AM6" s="27">
        <v>100.0</v>
      </c>
      <c r="AN6" s="24"/>
      <c r="AO6" s="24"/>
      <c r="AP6" s="24"/>
      <c r="AQ6" s="24" t="s">
        <v>100</v>
      </c>
      <c r="AR6" s="27" t="s">
        <v>101</v>
      </c>
      <c r="AS6" s="27" t="s">
        <v>102</v>
      </c>
      <c r="AT6" s="27"/>
      <c r="AU6" s="27"/>
      <c r="AV6" s="27"/>
      <c r="AW6" s="27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