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VerifyPTT" sheetId="6" r:id="rId8"/>
    <sheet state="visible" name="CalculatePTT" sheetId="7" r:id="rId9"/>
    <sheet state="visible" name="TradePTT" sheetId="8" r:id="rId10"/>
    <sheet state="visible" name="CreateDoneAwayOrder1" sheetId="9" r:id="rId11"/>
    <sheet state="visible" name="CustomOrderTT" sheetId="10" r:id="rId12"/>
    <sheet state="visible" name="VerifyOrder" sheetId="11" r:id="rId13"/>
    <sheet state="visible" name="CreateDoneAwayOrder2" sheetId="12" r:id="rId14"/>
    <sheet state="visible" name="GetDailyCash" sheetId="13" r:id="rId15"/>
    <sheet state="visible" name="UpdateMultipleDailyCash" sheetId="14" r:id="rId16"/>
    <sheet state="visible" name="CreateOrderPTT" sheetId="15" r:id="rId17"/>
    <sheet state="visible" name="CreateOrderPTT1" sheetId="16" r:id="rId18"/>
    <sheet state="visible" name="MultiTradingTicketFromBlotter" sheetId="17" r:id="rId19"/>
    <sheet state="visible" name="SelectTradeUsingMTT" sheetId="18" r:id="rId20"/>
    <sheet state="visible" name="EditTradeUsingMTT" sheetId="19" r:id="rId21"/>
    <sheet state="visible" name="SelectTradeUsingMTT1" sheetId="20" r:id="rId22"/>
    <sheet state="visible" name="EditTradeUsingMTT1" sheetId="21" r:id="rId23"/>
    <sheet state="visible" name="DoneAwayUsingMTT" sheetId="22" r:id="rId24"/>
    <sheet state="visible" name="VerifyWorkingSubs" sheetId="23" r:id="rId25"/>
    <sheet state="visible" name="CreateOrderPTT2" sheetId="24" r:id="rId26"/>
    <sheet state="visible" name="CreateOrderPTT3" sheetId="25" r:id="rId27"/>
    <sheet state="visible" name="MultiTradingTicketFromBlotter1" sheetId="26" r:id="rId28"/>
    <sheet state="visible" name="SelectTradeUsingMTT2" sheetId="27" r:id="rId29"/>
    <sheet state="visible" name="EditTradeUsingMTT2" sheetId="28" r:id="rId30"/>
    <sheet state="visible" name="SelectTradeUsingMTT3" sheetId="29" r:id="rId31"/>
    <sheet state="visible" name="EditTradeUsingMTT3" sheetId="30" r:id="rId32"/>
    <sheet state="visible" name="SendOrderUsingMTT" sheetId="31" r:id="rId33"/>
    <sheet state="visible" name="VerifyWorkingSubs1" sheetId="32" r:id="rId34"/>
    <sheet state="visible" name="VerifyOrder1" sheetId="33" r:id="rId35"/>
  </sheets>
  <definedNames/>
  <calcPr/>
</workbook>
</file>

<file path=xl/sharedStrings.xml><?xml version="1.0" encoding="utf-8"?>
<sst xmlns="http://schemas.openxmlformats.org/spreadsheetml/2006/main" count="1466" uniqueCount="70">
  <si>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</si>
  <si>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</si>
  <si>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</si>
  <si>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</si>
  <si>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</si>
  <si>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</si>
  <si>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</si>
  <si>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</si>
  <si>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</si>
  <si>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</si>
  <si>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</si>
  <si>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</si>
  <si>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</si>
  <si>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</si>
  <si>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</si>
  <si>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</si>
  <si>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</si>
  <si>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</si>
  <si>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rt</t>
  </si>
  <si>
    <t>PricingInput</t>
  </si>
  <si>
    <t>PTT</t>
  </si>
  <si>
    <t>VerifyPTT</t>
  </si>
  <si>
    <t/>
  </si>
  <si>
    <t>CalculatePTT</t>
  </si>
  <si>
    <t>Set</t>
  </si>
  <si>
    <t>Percentage</t>
  </si>
  <si>
    <t>MasterFund</t>
  </si>
  <si>
    <t>NewMF</t>
  </si>
  <si>
    <t>TradePTT</t>
  </si>
  <si>
    <t>Increase</t>
  </si>
  <si>
    <t>Account</t>
  </si>
  <si>
    <t>Sell short</t>
  </si>
  <si>
    <t>CustomOrderTT</t>
  </si>
  <si>
    <t>DONEAWAY</t>
  </si>
  <si>
    <t>Blotter</t>
  </si>
  <si>
    <t>VerifyOrder</t>
  </si>
  <si>
    <t>AAPL US EQUITY</t>
  </si>
  <si>
    <t>NASDAQ</t>
  </si>
  <si>
    <t>jpearce</t>
  </si>
  <si>
    <t>US</t>
  </si>
  <si>
    <t>GCCAP1</t>
  </si>
  <si>
    <t>USD</t>
  </si>
  <si>
    <t>NONE</t>
  </si>
  <si>
    <t>M</t>
  </si>
  <si>
    <t>Equity</t>
  </si>
  <si>
    <t>Filled</t>
  </si>
  <si>
    <t>MS</t>
  </si>
  <si>
    <t>Market</t>
  </si>
  <si>
    <t>Allocation1</t>
  </si>
  <si>
    <t>Allocation2</t>
  </si>
  <si>
    <t>Allocation3</t>
  </si>
  <si>
    <t>Allocation4</t>
  </si>
  <si>
    <t>DailyValuation</t>
  </si>
  <si>
    <t>GetDailyCash</t>
  </si>
  <si>
    <t>UpdateMultipleDailyCash</t>
  </si>
  <si>
    <t>CreateOrderPTT</t>
  </si>
  <si>
    <t>MultiTradingTicketFromBlotter</t>
  </si>
  <si>
    <t>MultiTradingTicket</t>
  </si>
  <si>
    <t>SelectTradeUsingMTT</t>
  </si>
  <si>
    <t>EditTradeUsingMTT</t>
  </si>
  <si>
    <t>DoneAwayUsingMTT</t>
  </si>
  <si>
    <t>VerifyWorkingSubs</t>
  </si>
  <si>
    <t>Manual</t>
  </si>
  <si>
    <t>ALLOCATED</t>
  </si>
  <si>
    <t>NewMF1</t>
  </si>
  <si>
    <t>SendOrderUsingMTT</t>
  </si>
  <si>
    <t>Fix</t>
  </si>
  <si>
    <t>Strategy Unallocated</t>
  </si>
  <si>
    <t>New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</si>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</sst>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00BFFF"/>
      <name val="&quot;Segoe UI&quot;"/>
    </font>
    <font>
      <sz val="9.0"/>
      <color rgb="FFFF8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4" fontId="14" numFmtId="0" xfId="0" applyAlignment="1" applyFont="1">
      <alignment horizontal="left" readingOrder="0"/>
    </xf>
    <xf borderId="0" fillId="0" fontId="5" numFmtId="14" xfId="0" applyAlignment="1" applyFont="1" applyNumberFormat="1">
      <alignment readingOrder="0" shrinkToFit="0" wrapText="0"/>
    </xf>
    <xf borderId="5" fillId="6" fontId="4" numFmtId="0" xfId="0" applyAlignment="1" applyBorder="1" applyFont="1">
      <alignment shrinkToFit="0" wrapText="0"/>
    </xf>
    <xf borderId="5" fillId="6" fontId="4" numFmtId="0" xfId="0" applyAlignment="1" applyBorder="1" applyFont="1">
      <alignment readingOrder="0" shrinkToFit="0" wrapText="0"/>
    </xf>
    <xf borderId="0" fillId="4" fontId="5" numFmtId="0" xfId="0" applyAlignment="1" applyFont="1">
      <alignment horizontal="left" shrinkToFit="0" vertical="bottom" wrapText="0"/>
    </xf>
    <xf borderId="0" fillId="4" fontId="15" numFmtId="0" xfId="0" applyAlignment="1" applyFont="1">
      <alignment horizontal="left" shrinkToFit="0" vertical="bottom" wrapText="0"/>
    </xf>
    <xf borderId="0" fillId="4" fontId="2" numFmtId="0" xfId="0" applyAlignment="1" applyFont="1">
      <alignment horizontal="left" vertical="bottom"/>
    </xf>
    <xf borderId="0" fillId="4" fontId="2" numFmtId="164" xfId="0" applyAlignment="1" applyFont="1" applyNumberFormat="1">
      <alignment horizontal="left" vertical="bottom"/>
    </xf>
    <xf borderId="0" fillId="4" fontId="16" numFmtId="0" xfId="0" applyAlignment="1" applyFont="1">
      <alignment horizontal="left" shrinkToFit="0" vertical="bottom" wrapText="0"/>
    </xf>
    <xf borderId="0" fillId="4" fontId="5" numFmtId="0" xfId="0" applyAlignment="1" applyFont="1">
      <alignment shrinkToFit="0" wrapText="0"/>
    </xf>
    <xf borderId="0" fillId="4" fontId="16" numFmtId="0" xfId="0" applyAlignment="1" applyFont="1">
      <alignment horizontal="right" readingOrder="0" shrinkToFit="0" vertical="top" wrapText="0"/>
    </xf>
    <xf borderId="0" fillId="4" fontId="2" numFmtId="0" xfId="0" applyFont="1"/>
    <xf borderId="0" fillId="4" fontId="2" numFmtId="164" xfId="0" applyFont="1" applyNumberFormat="1"/>
    <xf borderId="0" fillId="4" fontId="15" numFmtId="0" xfId="0" applyAlignment="1" applyFont="1">
      <alignment horizontal="right" readingOrder="0" shrinkToFit="0" vertical="top" wrapText="0"/>
    </xf>
    <xf borderId="0" fillId="0" fontId="17" numFmtId="0" xfId="0" applyAlignment="1" applyFont="1">
      <alignment shrinkToFit="0" vertical="bottom" wrapText="0"/>
    </xf>
    <xf borderId="6" fillId="7" fontId="15" numFmtId="0" xfId="0" applyAlignment="1" applyBorder="1" applyFill="1" applyFont="1">
      <alignment horizontal="right" shrinkToFit="0" vertical="top" wrapText="0"/>
    </xf>
    <xf borderId="6" fillId="8" fontId="15" numFmtId="0" xfId="0" applyAlignment="1" applyBorder="1" applyFill="1" applyFon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22</v>
      </c>
      <c r="B6" s="32" t="s">
        <v>22</v>
      </c>
      <c r="C6" s="8" t="s">
        <v>22</v>
      </c>
      <c r="D6" s="32">
        <v>0.0</v>
      </c>
      <c r="E6" s="8">
        <v>0.0</v>
      </c>
      <c r="F6" s="8">
        <v>0.0</v>
      </c>
      <c r="G6" s="8">
        <v>0.0</v>
      </c>
      <c r="H6" s="8">
        <v>0.0</v>
      </c>
      <c r="I6" s="8">
        <v>0.0</v>
      </c>
      <c r="J6" s="8">
        <v>0.0</v>
      </c>
      <c r="K6" s="8">
        <v>0.0</v>
      </c>
      <c r="L6" s="8">
        <v>0.0</v>
      </c>
      <c r="M6" s="8">
        <v>1.0</v>
      </c>
      <c r="N6" s="8" t="s">
        <v>22</v>
      </c>
      <c r="O6" s="8" t="s">
        <v>22</v>
      </c>
      <c r="P6" t="s">
        <v>22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  <c r="AH6" t="s">
        <v>22</v>
      </c>
      <c r="AI6" t="s">
        <v>22</v>
      </c>
      <c r="AJ6" t="s">
        <v>22</v>
      </c>
      <c r="AK6" t="s">
        <v>22</v>
      </c>
      <c r="AL6" t="s">
        <v>22</v>
      </c>
      <c r="AM6" t="s">
        <v>22</v>
      </c>
      <c r="AN6" t="s">
        <v>22</v>
      </c>
      <c r="AO6" t="s">
        <v>22</v>
      </c>
      <c r="AP6" t="s">
        <v>22</v>
      </c>
      <c r="AQ6" t="s">
        <v>22</v>
      </c>
      <c r="AR6" t="s">
        <v>22</v>
      </c>
      <c r="AS6" t="s">
        <v>22</v>
      </c>
      <c r="AT6" t="s">
        <v>22</v>
      </c>
      <c r="AU6" t="s">
        <v>22</v>
      </c>
      <c r="AV6" t="s">
        <v>22</v>
      </c>
      <c r="AW6" t="s">
        <v>22</v>
      </c>
      <c r="AX6" t="s">
        <v>22</v>
      </c>
      <c r="AY6" t="s">
        <v>22</v>
      </c>
      <c r="AZ6" t="s">
        <v>22</v>
      </c>
      <c r="BA6" t="s">
        <v>22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22</v>
      </c>
      <c r="BH6" t="s">
        <v>22</v>
      </c>
      <c r="BI6" t="s">
        <v>22</v>
      </c>
      <c r="BJ6" t="s">
        <v>22</v>
      </c>
      <c r="BK6" t="s">
        <v>22</v>
      </c>
      <c r="BL6" t="s">
        <v>22</v>
      </c>
      <c r="BM6" t="s">
        <v>22</v>
      </c>
      <c r="BN6" t="s">
        <v>22</v>
      </c>
      <c r="BO6" t="s">
        <v>22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 t="s">
        <v>22</v>
      </c>
      <c r="CF6" t="s">
        <v>22</v>
      </c>
      <c r="CG6" t="s">
        <v>22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  <c r="DU6" t="s">
        <v>22</v>
      </c>
      <c r="DV6" t="s">
        <v>22</v>
      </c>
      <c r="DW6" t="s">
        <v>22</v>
      </c>
      <c r="DX6" t="s">
        <v>22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t="s">
        <v>22</v>
      </c>
      <c r="EF6" t="s">
        <v>22</v>
      </c>
      <c r="EG6" t="s">
        <v>22</v>
      </c>
      <c r="EH6" t="s">
        <v>22</v>
      </c>
      <c r="EI6" t="s">
        <v>22</v>
      </c>
      <c r="EJ6" t="s">
        <v>22</v>
      </c>
      <c r="EK6" t="s">
        <v>22</v>
      </c>
      <c r="EL6" t="s">
        <v>22</v>
      </c>
      <c r="EM6" t="s">
        <v>22</v>
      </c>
      <c r="EN6" t="s">
        <v>22</v>
      </c>
      <c r="EO6" t="s">
        <v>22</v>
      </c>
      <c r="EP6" t="s">
        <v>22</v>
      </c>
      <c r="EQ6" t="s">
        <v>22</v>
      </c>
      <c r="ER6" t="s">
        <v>22</v>
      </c>
      <c r="ES6" t="s">
        <v>22</v>
      </c>
      <c r="ET6" t="s">
        <v>22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22</v>
      </c>
      <c r="FC6" t="s">
        <v>22</v>
      </c>
      <c r="FD6" t="s">
        <v>22</v>
      </c>
      <c r="FE6" t="s">
        <v>22</v>
      </c>
      <c r="FF6" t="s">
        <v>22</v>
      </c>
      <c r="FG6" t="s">
        <v>22</v>
      </c>
      <c r="FH6" t="s">
        <v>22</v>
      </c>
      <c r="FI6" t="s">
        <v>22</v>
      </c>
      <c r="FJ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 t="s">
        <v>25</v>
      </c>
      <c r="E6" s="13">
        <v>0.0</v>
      </c>
      <c r="F6" s="8"/>
      <c r="G6" s="8"/>
      <c r="H6" s="13" t="s">
        <v>26</v>
      </c>
      <c r="I6" s="13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29</v>
      </c>
      <c r="D6" s="13" t="s">
        <v>25</v>
      </c>
      <c r="E6" s="13">
        <v>25.0</v>
      </c>
      <c r="F6" s="8"/>
      <c r="G6" s="8"/>
      <c r="H6" s="13" t="s">
        <v>30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D6" s="13"/>
      <c r="E6" s="13" t="s">
        <v>33</v>
      </c>
      <c r="F6" s="8"/>
      <c r="G6" s="8"/>
      <c r="H6" s="8"/>
      <c r="I6" s="8"/>
      <c r="J6" s="8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22</v>
      </c>
      <c r="B6" s="32"/>
      <c r="C6" s="8"/>
      <c r="D6" s="32">
        <v>140.0</v>
      </c>
      <c r="E6" s="8" t="s">
        <v>36</v>
      </c>
      <c r="F6" s="8"/>
      <c r="G6" s="8"/>
      <c r="H6" s="8" t="s">
        <v>37</v>
      </c>
      <c r="I6" s="8" t="s">
        <v>38</v>
      </c>
      <c r="J6" s="8" t="s">
        <v>16</v>
      </c>
      <c r="K6" s="8" t="s">
        <v>39</v>
      </c>
      <c r="L6" s="8" t="s">
        <v>40</v>
      </c>
      <c r="M6" s="8"/>
      <c r="N6" s="8"/>
      <c r="O6" s="8"/>
      <c r="U6" t="s">
        <v>41</v>
      </c>
      <c r="V6" t="s">
        <v>42</v>
      </c>
      <c r="AB6">
        <v>23.0</v>
      </c>
      <c r="AD6">
        <v>1.0</v>
      </c>
      <c r="AF6" t="s">
        <v>43</v>
      </c>
      <c r="AG6">
        <v>140.0</v>
      </c>
      <c r="AH6" t="s">
        <v>44</v>
      </c>
      <c r="AI6" t="s">
        <v>16</v>
      </c>
      <c r="AJ6" t="s">
        <v>31</v>
      </c>
      <c r="AK6" t="s">
        <v>45</v>
      </c>
      <c r="AN6">
        <v>100.0</v>
      </c>
      <c r="AO6">
        <v>23.0</v>
      </c>
      <c r="AQ6">
        <v>140.0</v>
      </c>
      <c r="AR6">
        <v>140.0</v>
      </c>
      <c r="AS6" t="s">
        <v>46</v>
      </c>
      <c r="AU6" t="s">
        <v>47</v>
      </c>
      <c r="BA6" t="s">
        <v>38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s="34" t="s">
        <v>12</v>
      </c>
      <c r="BH6" t="s">
        <v>22</v>
      </c>
      <c r="BK6" t="s">
        <v>22</v>
      </c>
      <c r="BL6" t="s">
        <v>22</v>
      </c>
      <c r="BM6" t="s">
        <v>22</v>
      </c>
      <c r="BN6" t="s">
        <v>22</v>
      </c>
      <c r="BO6" t="s">
        <v>22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 t="s">
        <v>22</v>
      </c>
      <c r="CF6" t="s">
        <v>22</v>
      </c>
      <c r="CG6" t="s">
        <v>22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  <c r="DU6" t="s">
        <v>22</v>
      </c>
      <c r="DV6" t="s">
        <v>22</v>
      </c>
      <c r="DW6" t="s">
        <v>22</v>
      </c>
      <c r="DX6" t="s">
        <v>22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t="s">
        <v>22</v>
      </c>
      <c r="EF6" t="s">
        <v>22</v>
      </c>
      <c r="EG6" t="s">
        <v>22</v>
      </c>
      <c r="EH6" t="s">
        <v>22</v>
      </c>
      <c r="EI6" t="s">
        <v>22</v>
      </c>
      <c r="EJ6" t="s">
        <v>22</v>
      </c>
      <c r="EK6" t="s">
        <v>22</v>
      </c>
      <c r="EL6" t="s">
        <v>22</v>
      </c>
      <c r="EM6" t="s">
        <v>22</v>
      </c>
      <c r="EN6" t="s">
        <v>22</v>
      </c>
      <c r="EO6" t="s">
        <v>22</v>
      </c>
      <c r="EP6" t="s">
        <v>22</v>
      </c>
      <c r="EQ6" t="s">
        <v>22</v>
      </c>
      <c r="ER6" t="s">
        <v>22</v>
      </c>
      <c r="ES6" t="s">
        <v>22</v>
      </c>
      <c r="ET6" t="s">
        <v>22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22</v>
      </c>
      <c r="FC6" t="s">
        <v>22</v>
      </c>
      <c r="FD6" t="s">
        <v>22</v>
      </c>
      <c r="FE6" t="s">
        <v>22</v>
      </c>
      <c r="FF6" t="s">
        <v>22</v>
      </c>
      <c r="FG6" t="s">
        <v>22</v>
      </c>
      <c r="FH6" t="s">
        <v>22</v>
      </c>
      <c r="FI6" t="s">
        <v>22</v>
      </c>
      <c r="FJ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48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100.0</v>
      </c>
      <c r="E7" s="31"/>
      <c r="F7" s="13" t="s">
        <v>49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13"/>
      <c r="B8" s="13" t="s">
        <v>16</v>
      </c>
      <c r="C8" s="13" t="s">
        <v>31</v>
      </c>
      <c r="D8" s="13">
        <v>100.0</v>
      </c>
      <c r="E8" s="31"/>
      <c r="F8" s="13" t="s">
        <v>50</v>
      </c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13"/>
      <c r="B9" s="13" t="s">
        <v>16</v>
      </c>
      <c r="C9" s="13" t="s">
        <v>31</v>
      </c>
      <c r="D9" s="13">
        <v>100.0</v>
      </c>
      <c r="E9" s="31"/>
      <c r="F9" s="13" t="s">
        <v>51</v>
      </c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45335</v>
      </c>
      <c r="C6" s="35">
        <f>TODAY()</f>
        <v>45336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13" t="s">
        <v>41</v>
      </c>
      <c r="D6" s="13">
        <v>1000000.0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49</v>
      </c>
      <c r="C7" s="13" t="s">
        <v>41</v>
      </c>
      <c r="D7" s="13">
        <v>1000000.0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3"/>
      <c r="B8" s="13" t="s">
        <v>50</v>
      </c>
      <c r="C8" s="13" t="s">
        <v>41</v>
      </c>
      <c r="D8" s="13">
        <v>1000000.0</v>
      </c>
      <c r="E8" s="31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13"/>
      <c r="B9" s="13" t="s">
        <v>51</v>
      </c>
      <c r="C9" s="13" t="s">
        <v>41</v>
      </c>
      <c r="D9" s="13">
        <v>1000000.0</v>
      </c>
      <c r="E9" s="31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 t="s">
        <v>25</v>
      </c>
      <c r="E6" s="13">
        <v>10.0</v>
      </c>
      <c r="F6" s="8"/>
      <c r="G6" s="8"/>
      <c r="H6" s="13" t="s">
        <v>30</v>
      </c>
      <c r="I6" s="13" t="s">
        <v>48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 t="s">
        <v>25</v>
      </c>
      <c r="E6" s="13">
        <v>10.0</v>
      </c>
      <c r="F6" s="8"/>
      <c r="G6" s="8"/>
      <c r="H6" s="13" t="s">
        <v>30</v>
      </c>
      <c r="I6" s="13" t="s">
        <v>49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I6" s="9" t="s">
        <v>16</v>
      </c>
      <c r="AT6" s="9" t="s">
        <v>48</v>
      </c>
    </row>
    <row r="7" ht="15.75" customHeight="1">
      <c r="A7" s="13"/>
      <c r="B7" s="13"/>
      <c r="C7" s="8"/>
      <c r="D7" s="13"/>
      <c r="E7" s="31"/>
      <c r="F7" s="8"/>
      <c r="G7" s="8"/>
      <c r="H7" s="8"/>
      <c r="I7" s="8"/>
      <c r="J7" s="13" t="s">
        <v>16</v>
      </c>
      <c r="K7" s="8"/>
      <c r="L7" s="8"/>
      <c r="M7" s="8"/>
      <c r="N7" s="8"/>
      <c r="O7" s="8"/>
      <c r="AI7" s="9" t="s">
        <v>16</v>
      </c>
      <c r="AT7" s="9" t="s">
        <v>49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13" t="s">
        <v>48</v>
      </c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10.0</v>
      </c>
      <c r="E6" s="31"/>
      <c r="F6" s="13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13" t="s">
        <v>49</v>
      </c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10.0</v>
      </c>
      <c r="E6" s="31"/>
      <c r="F6" s="13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13" t="s">
        <v>48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8"/>
      <c r="D7" s="8"/>
      <c r="E7" s="8"/>
      <c r="F7" s="13" t="s">
        <v>49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IFERROR(__xludf.DUMMYFUNCTION("""COMPUTED_VALUE"""),"Symbol")</f>
        <v>Symbol</v>
      </c>
      <c r="C5" s="36" t="str">
        <f>IFERROR(__xludf.DUMMYFUNCTION("""COMPUTED_VALUE"""),"Side")</f>
        <v>Side</v>
      </c>
      <c r="D5" s="36" t="str">
        <f>IFERROR(__xludf.DUMMYFUNCTION("""COMPUTED_VALUE"""),"Quantity")</f>
        <v>Quantity</v>
      </c>
      <c r="E5" s="36" t="str">
        <f>IFERROR(__xludf.DUMMYFUNCTION("""COMPUTED_VALUE"""),"Executed Qty")</f>
        <v>Executed Qty</v>
      </c>
      <c r="F5" s="37" t="str">
        <f>IFERROR(__xludf.DUMMYFUNCTION("""COMPUTED_VALUE"""),"Unexecuted Qty")</f>
        <v>Unexecuted Qty</v>
      </c>
      <c r="G5" s="36" t="str">
        <f>IFERROR(__xludf.DUMMYFUNCTION("""COMPUTED_VALUE"""),"Status")</f>
        <v>Status</v>
      </c>
      <c r="H5" s="36" t="str">
        <f>IFERROR(__xludf.DUMMYFUNCTION("""COMPUTED_VALUE"""),"Last Shares")</f>
        <v>Last Shares</v>
      </c>
      <c r="I5" s="36" t="str">
        <f>IFERROR(__xludf.DUMMYFUNCTION("""COMPUTED_VALUE"""),"Last Fill Price (Local)")</f>
        <v>Last Fill Price (Local)</v>
      </c>
      <c r="J5" s="36" t="str">
        <f>IFERROR(__xludf.DUMMYFUNCTION("""COMPUTED_VALUE"""),"Avg Fill Price (Local)")</f>
        <v>Avg Fill Price (Local)</v>
      </c>
      <c r="K5" s="36" t="str">
        <f>IFERROR(__xludf.DUMMYFUNCTION("""COMPUTED_VALUE"""),"Broker")</f>
        <v>Broker</v>
      </c>
      <c r="L5" s="36" t="str">
        <f>IFERROR(__xludf.DUMMYFUNCTION("""COMPUTED_VALUE"""),"Account")</f>
        <v>Account</v>
      </c>
      <c r="M5" s="36" t="str">
        <f>IFERROR(__xludf.DUMMYFUNCTION("""COMPUTED_VALUE"""),"Order Type")</f>
        <v>Order Type</v>
      </c>
      <c r="N5" s="36" t="str">
        <f>IFERROR(__xludf.DUMMYFUNCTION("""COMPUTED_VALUE"""),"OrderStatus")</f>
        <v>OrderStatus</v>
      </c>
      <c r="O5" s="36" t="str">
        <f>IFERROR(__xludf.DUMMYFUNCTION("""COMPUTED_VALUE"""),"Avg Fill Price (Base)")</f>
        <v>Avg Fill Price (Base)</v>
      </c>
      <c r="P5" s="36" t="str">
        <f>IFERROR(__xludf.DUMMYFUNCTION("""COMPUTED_VALUE"""),"Limit Price")</f>
        <v>Limit Price</v>
      </c>
      <c r="Q5" s="36" t="str">
        <f>IFERROR(__xludf.DUMMYFUNCTION("""COMPUTED_VALUE"""),"Stop Price")</f>
        <v>Stop Price</v>
      </c>
      <c r="R5" s="36" t="str">
        <f>IFERROR(__xludf.DUMMYFUNCTION("""COMPUTED_VALUE"""),"Actual User")</f>
        <v>Actual User</v>
      </c>
      <c r="S5" s="36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22</v>
      </c>
      <c r="B6" s="39" t="s">
        <v>16</v>
      </c>
      <c r="C6" s="39" t="s">
        <v>17</v>
      </c>
      <c r="D6" s="39">
        <v>10.0</v>
      </c>
      <c r="E6" s="39">
        <v>10.0</v>
      </c>
      <c r="F6" s="38"/>
      <c r="G6" s="39" t="s">
        <v>45</v>
      </c>
      <c r="H6" s="39">
        <v>10.0</v>
      </c>
      <c r="I6" s="39">
        <v>10.0</v>
      </c>
      <c r="J6" s="39">
        <v>10.0</v>
      </c>
      <c r="K6" s="39" t="s">
        <v>46</v>
      </c>
      <c r="L6" s="39" t="s">
        <v>49</v>
      </c>
      <c r="M6" s="38" t="s">
        <v>47</v>
      </c>
      <c r="N6" s="38" t="s">
        <v>22</v>
      </c>
      <c r="O6" s="38">
        <v>10.0</v>
      </c>
      <c r="P6" s="40"/>
      <c r="Q6" s="40"/>
      <c r="R6" s="40" t="s">
        <v>38</v>
      </c>
      <c r="S6" s="40" t="s">
        <v>36</v>
      </c>
      <c r="T6" s="40" t="s">
        <v>22</v>
      </c>
      <c r="U6" s="40" t="s">
        <v>62</v>
      </c>
      <c r="V6" s="39" t="s">
        <v>63</v>
      </c>
      <c r="W6" s="40" t="s">
        <v>44</v>
      </c>
      <c r="X6" s="40" t="s">
        <v>43</v>
      </c>
      <c r="Y6" s="40">
        <v>1.0</v>
      </c>
      <c r="Z6" s="40" t="s">
        <v>22</v>
      </c>
      <c r="AA6" s="40"/>
      <c r="AB6" s="40" t="s">
        <v>22</v>
      </c>
      <c r="AC6" s="39">
        <v>100.0</v>
      </c>
      <c r="AD6" s="39">
        <v>100.0</v>
      </c>
      <c r="AE6" s="40"/>
      <c r="AF6" s="40" t="s">
        <v>42</v>
      </c>
      <c r="AG6" s="40" t="s">
        <v>41</v>
      </c>
      <c r="AH6" s="40" t="s">
        <v>22</v>
      </c>
      <c r="AI6" s="40" t="s">
        <v>22</v>
      </c>
      <c r="AJ6" s="40" t="s">
        <v>22</v>
      </c>
      <c r="AK6" s="40" t="s">
        <v>22</v>
      </c>
      <c r="AL6" s="40"/>
      <c r="AM6" s="40"/>
      <c r="AN6" s="40"/>
      <c r="AO6" s="40"/>
      <c r="AP6" s="40"/>
      <c r="AQ6" s="40"/>
      <c r="AR6" s="39"/>
      <c r="AS6" s="40"/>
      <c r="AT6" s="40" t="s">
        <v>39</v>
      </c>
      <c r="AU6" s="40" t="s">
        <v>16</v>
      </c>
      <c r="AV6" s="40" t="s">
        <v>37</v>
      </c>
      <c r="AW6" s="40"/>
      <c r="AX6" s="40" t="s">
        <v>22</v>
      </c>
      <c r="AY6" s="40" t="s">
        <v>22</v>
      </c>
      <c r="AZ6" s="40" t="s">
        <v>22</v>
      </c>
      <c r="BA6" s="39" t="s">
        <v>64</v>
      </c>
      <c r="BB6" s="40" t="s">
        <v>38</v>
      </c>
      <c r="BC6" s="40">
        <v>100.0</v>
      </c>
      <c r="BD6" s="40" t="s">
        <v>22</v>
      </c>
      <c r="BE6" s="40" t="s">
        <v>22</v>
      </c>
      <c r="BF6" s="40" t="s">
        <v>22</v>
      </c>
      <c r="BG6" s="40" t="s">
        <v>22</v>
      </c>
      <c r="BH6" s="40" t="s">
        <v>22</v>
      </c>
      <c r="BI6" s="40" t="s">
        <v>22</v>
      </c>
      <c r="BJ6" s="40" t="s">
        <v>22</v>
      </c>
      <c r="BK6" s="40" t="s">
        <v>22</v>
      </c>
      <c r="BL6" s="40" t="s">
        <v>22</v>
      </c>
      <c r="BM6" s="40" t="s">
        <v>22</v>
      </c>
      <c r="BN6" s="40" t="s">
        <v>22</v>
      </c>
      <c r="BO6" s="40" t="s">
        <v>22</v>
      </c>
      <c r="BP6" s="40" t="s">
        <v>22</v>
      </c>
      <c r="BQ6" s="40" t="s">
        <v>22</v>
      </c>
      <c r="BR6" s="40" t="s">
        <v>22</v>
      </c>
      <c r="BS6" s="40" t="s">
        <v>22</v>
      </c>
      <c r="BT6" s="40" t="s">
        <v>22</v>
      </c>
      <c r="BU6" s="40" t="s">
        <v>22</v>
      </c>
      <c r="BV6" s="40" t="s">
        <v>22</v>
      </c>
      <c r="BW6" s="40" t="s">
        <v>22</v>
      </c>
      <c r="BX6" s="40" t="s">
        <v>22</v>
      </c>
      <c r="BY6" s="40" t="s">
        <v>22</v>
      </c>
      <c r="BZ6" s="40" t="s">
        <v>22</v>
      </c>
      <c r="CA6" s="40" t="s">
        <v>22</v>
      </c>
      <c r="CB6" s="40" t="s">
        <v>22</v>
      </c>
      <c r="CC6" s="40" t="s">
        <v>22</v>
      </c>
      <c r="CD6" s="40" t="s">
        <v>22</v>
      </c>
      <c r="CE6" s="40" t="s">
        <v>22</v>
      </c>
      <c r="CF6" s="40" t="s">
        <v>22</v>
      </c>
      <c r="CG6" s="40" t="s">
        <v>22</v>
      </c>
      <c r="CH6" s="40" t="s">
        <v>22</v>
      </c>
      <c r="CI6" s="40" t="s">
        <v>22</v>
      </c>
      <c r="CJ6" s="40" t="s">
        <v>22</v>
      </c>
      <c r="CK6" s="40" t="s">
        <v>22</v>
      </c>
      <c r="CL6" s="40" t="s">
        <v>22</v>
      </c>
      <c r="CM6" s="40" t="s">
        <v>22</v>
      </c>
      <c r="CN6" s="40" t="s">
        <v>22</v>
      </c>
      <c r="CO6" s="40" t="s">
        <v>22</v>
      </c>
      <c r="CP6" s="40" t="s">
        <v>22</v>
      </c>
      <c r="CQ6" s="40" t="s">
        <v>22</v>
      </c>
      <c r="CR6" s="40" t="s">
        <v>22</v>
      </c>
      <c r="CS6" s="40" t="s">
        <v>22</v>
      </c>
      <c r="CT6" s="40" t="s">
        <v>22</v>
      </c>
      <c r="CU6" s="40" t="s">
        <v>22</v>
      </c>
      <c r="CV6" s="40" t="s">
        <v>22</v>
      </c>
      <c r="CW6" s="40" t="s">
        <v>22</v>
      </c>
      <c r="CX6" s="40" t="s">
        <v>22</v>
      </c>
      <c r="CY6" s="40" t="s">
        <v>22</v>
      </c>
      <c r="CZ6" s="40" t="s">
        <v>22</v>
      </c>
      <c r="DA6" s="40" t="s">
        <v>22</v>
      </c>
      <c r="DB6" s="40" t="s">
        <v>22</v>
      </c>
      <c r="DC6" s="40" t="s">
        <v>22</v>
      </c>
      <c r="DD6" s="40" t="s">
        <v>22</v>
      </c>
      <c r="DE6" s="40" t="s">
        <v>22</v>
      </c>
      <c r="DF6" s="40" t="s">
        <v>22</v>
      </c>
      <c r="DG6" s="40" t="s">
        <v>22</v>
      </c>
      <c r="DH6" s="40" t="s">
        <v>22</v>
      </c>
      <c r="DI6" s="40" t="s">
        <v>22</v>
      </c>
      <c r="DJ6" s="40" t="s">
        <v>22</v>
      </c>
      <c r="DK6" s="40" t="s">
        <v>22</v>
      </c>
      <c r="DL6" s="40" t="s">
        <v>22</v>
      </c>
      <c r="DM6" s="40" t="s">
        <v>22</v>
      </c>
      <c r="DN6" s="40" t="s">
        <v>22</v>
      </c>
      <c r="DO6" s="40" t="s">
        <v>22</v>
      </c>
      <c r="DP6" s="40" t="s">
        <v>22</v>
      </c>
      <c r="DQ6" s="40" t="s">
        <v>22</v>
      </c>
      <c r="DR6" s="40" t="s">
        <v>22</v>
      </c>
      <c r="DS6" s="40" t="s">
        <v>22</v>
      </c>
      <c r="DT6" s="40" t="s">
        <v>22</v>
      </c>
      <c r="DU6" s="40" t="s">
        <v>22</v>
      </c>
      <c r="DV6" s="40" t="s">
        <v>22</v>
      </c>
      <c r="DW6" s="40" t="s">
        <v>22</v>
      </c>
      <c r="DX6" s="40" t="s">
        <v>22</v>
      </c>
      <c r="DY6" s="40" t="s">
        <v>22</v>
      </c>
      <c r="DZ6" s="40" t="s">
        <v>22</v>
      </c>
      <c r="EA6" s="40" t="s">
        <v>22</v>
      </c>
      <c r="EB6" s="40" t="s">
        <v>22</v>
      </c>
      <c r="EC6" s="40" t="s">
        <v>22</v>
      </c>
      <c r="ED6" s="40" t="s">
        <v>22</v>
      </c>
      <c r="EE6" s="40" t="s">
        <v>22</v>
      </c>
      <c r="EF6" s="40" t="s">
        <v>22</v>
      </c>
      <c r="EG6" s="40" t="s">
        <v>22</v>
      </c>
      <c r="EH6" s="40" t="s">
        <v>22</v>
      </c>
      <c r="EI6" s="40" t="s">
        <v>22</v>
      </c>
      <c r="EJ6" s="40" t="s">
        <v>22</v>
      </c>
      <c r="EK6" s="40" t="s">
        <v>22</v>
      </c>
      <c r="EL6" s="40" t="s">
        <v>22</v>
      </c>
      <c r="EM6" s="40" t="s">
        <v>22</v>
      </c>
      <c r="EN6" s="40" t="s">
        <v>22</v>
      </c>
      <c r="EO6" s="40" t="s">
        <v>22</v>
      </c>
      <c r="EP6" s="40" t="s">
        <v>22</v>
      </c>
      <c r="EQ6" s="40" t="s">
        <v>22</v>
      </c>
      <c r="ER6" s="40" t="s">
        <v>22</v>
      </c>
      <c r="ES6" s="40" t="s">
        <v>22</v>
      </c>
      <c r="ET6" s="40" t="s">
        <v>22</v>
      </c>
      <c r="EU6" s="40" t="s">
        <v>22</v>
      </c>
      <c r="EV6" s="40" t="s">
        <v>22</v>
      </c>
      <c r="EW6" s="40" t="s">
        <v>22</v>
      </c>
      <c r="EX6" s="40" t="s">
        <v>22</v>
      </c>
      <c r="EY6" s="40" t="s">
        <v>22</v>
      </c>
      <c r="EZ6" s="40" t="s">
        <v>22</v>
      </c>
      <c r="FA6" s="40" t="s">
        <v>22</v>
      </c>
      <c r="FB6" s="40" t="s">
        <v>22</v>
      </c>
      <c r="FC6" s="40" t="s">
        <v>22</v>
      </c>
      <c r="FD6" s="40" t="s">
        <v>22</v>
      </c>
      <c r="FE6" s="40" t="s">
        <v>22</v>
      </c>
      <c r="FF6" s="40" t="s">
        <v>22</v>
      </c>
      <c r="FG6" s="40" t="s">
        <v>22</v>
      </c>
      <c r="FH6" s="40" t="s">
        <v>22</v>
      </c>
      <c r="FI6" s="40" t="s">
        <v>22</v>
      </c>
      <c r="FJ6" s="40" t="s">
        <v>22</v>
      </c>
      <c r="FK6" s="40" t="s">
        <v>22</v>
      </c>
      <c r="FL6" s="40" t="s">
        <v>22</v>
      </c>
      <c r="FM6" s="40" t="s">
        <v>22</v>
      </c>
      <c r="FN6" s="40" t="s">
        <v>22</v>
      </c>
      <c r="FO6" s="40" t="s">
        <v>22</v>
      </c>
      <c r="FP6" s="40" t="s">
        <v>22</v>
      </c>
      <c r="FQ6" s="40" t="s">
        <v>22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38" t="s">
        <v>22</v>
      </c>
      <c r="B7" s="42" t="s">
        <v>16</v>
      </c>
      <c r="C7" s="42" t="s">
        <v>17</v>
      </c>
      <c r="D7" s="42">
        <v>10.0</v>
      </c>
      <c r="E7" s="42">
        <v>10.0</v>
      </c>
      <c r="F7" s="38"/>
      <c r="G7" s="42" t="s">
        <v>45</v>
      </c>
      <c r="H7" s="42">
        <v>10.0</v>
      </c>
      <c r="I7" s="42">
        <v>10.0</v>
      </c>
      <c r="J7" s="42">
        <v>10.0</v>
      </c>
      <c r="K7" s="42" t="s">
        <v>46</v>
      </c>
      <c r="L7" s="42" t="s">
        <v>48</v>
      </c>
      <c r="M7" s="38" t="s">
        <v>47</v>
      </c>
      <c r="N7" s="38" t="s">
        <v>22</v>
      </c>
      <c r="O7" s="38">
        <v>10.0</v>
      </c>
      <c r="P7" s="40"/>
      <c r="Q7" s="40"/>
      <c r="R7" s="40" t="s">
        <v>38</v>
      </c>
      <c r="S7" s="40" t="s">
        <v>36</v>
      </c>
      <c r="T7" s="40" t="s">
        <v>22</v>
      </c>
      <c r="U7" s="40" t="s">
        <v>62</v>
      </c>
      <c r="V7" s="42" t="s">
        <v>63</v>
      </c>
      <c r="W7" s="40" t="s">
        <v>44</v>
      </c>
      <c r="X7" s="40" t="s">
        <v>43</v>
      </c>
      <c r="Y7" s="40">
        <v>1.0</v>
      </c>
      <c r="Z7" s="40" t="s">
        <v>22</v>
      </c>
      <c r="AA7" s="40"/>
      <c r="AB7" s="40" t="s">
        <v>22</v>
      </c>
      <c r="AC7" s="42">
        <v>100.0</v>
      </c>
      <c r="AD7" s="42">
        <v>100.0</v>
      </c>
      <c r="AE7" s="40"/>
      <c r="AF7" s="40" t="s">
        <v>42</v>
      </c>
      <c r="AG7" s="40" t="s">
        <v>41</v>
      </c>
      <c r="AH7" s="40" t="s">
        <v>22</v>
      </c>
      <c r="AI7" s="40" t="s">
        <v>22</v>
      </c>
      <c r="AJ7" s="40" t="s">
        <v>22</v>
      </c>
      <c r="AK7" s="40" t="s">
        <v>22</v>
      </c>
      <c r="AL7" s="40"/>
      <c r="AM7" s="40"/>
      <c r="AN7" s="40"/>
      <c r="AO7" s="40"/>
      <c r="AP7" s="40"/>
      <c r="AQ7" s="40"/>
      <c r="AR7" s="42"/>
      <c r="AS7" s="40"/>
      <c r="AT7" s="40" t="s">
        <v>39</v>
      </c>
      <c r="AU7" s="40" t="s">
        <v>16</v>
      </c>
      <c r="AV7" s="40" t="s">
        <v>37</v>
      </c>
      <c r="AW7" s="40"/>
      <c r="AX7" s="40" t="s">
        <v>22</v>
      </c>
      <c r="AY7" s="40" t="s">
        <v>22</v>
      </c>
      <c r="AZ7" s="40" t="s">
        <v>22</v>
      </c>
      <c r="BA7" s="42" t="s">
        <v>64</v>
      </c>
      <c r="BB7" s="40" t="s">
        <v>38</v>
      </c>
      <c r="BC7" s="40">
        <v>100.0</v>
      </c>
      <c r="BD7" s="40" t="s">
        <v>22</v>
      </c>
      <c r="BE7" s="40" t="s">
        <v>22</v>
      </c>
      <c r="BF7" s="40" t="s">
        <v>22</v>
      </c>
      <c r="BG7" s="40" t="s">
        <v>22</v>
      </c>
      <c r="BH7" s="40" t="s">
        <v>22</v>
      </c>
      <c r="BI7" s="40" t="s">
        <v>22</v>
      </c>
      <c r="BJ7" s="40" t="s">
        <v>22</v>
      </c>
      <c r="BK7" s="40" t="s">
        <v>22</v>
      </c>
      <c r="BL7" s="40" t="s">
        <v>22</v>
      </c>
      <c r="BM7" s="40" t="s">
        <v>22</v>
      </c>
      <c r="BN7" s="40" t="s">
        <v>22</v>
      </c>
      <c r="BO7" s="40" t="s">
        <v>22</v>
      </c>
      <c r="BP7" s="40" t="s">
        <v>22</v>
      </c>
      <c r="BQ7" s="40" t="s">
        <v>22</v>
      </c>
      <c r="BR7" s="40" t="s">
        <v>22</v>
      </c>
      <c r="BS7" s="40" t="s">
        <v>22</v>
      </c>
      <c r="BT7" s="40" t="s">
        <v>22</v>
      </c>
      <c r="BU7" s="40" t="s">
        <v>22</v>
      </c>
      <c r="BV7" s="40" t="s">
        <v>22</v>
      </c>
      <c r="BW7" s="40" t="s">
        <v>22</v>
      </c>
      <c r="BX7" s="40" t="s">
        <v>22</v>
      </c>
      <c r="BY7" s="40" t="s">
        <v>22</v>
      </c>
      <c r="BZ7" s="40" t="s">
        <v>22</v>
      </c>
      <c r="CA7" s="40" t="s">
        <v>22</v>
      </c>
      <c r="CB7" s="40" t="s">
        <v>22</v>
      </c>
      <c r="CC7" s="40" t="s">
        <v>22</v>
      </c>
      <c r="CD7" s="40" t="s">
        <v>22</v>
      </c>
      <c r="CE7" s="40" t="s">
        <v>22</v>
      </c>
      <c r="CF7" s="40" t="s">
        <v>22</v>
      </c>
      <c r="CG7" s="40" t="s">
        <v>22</v>
      </c>
      <c r="CH7" s="40" t="s">
        <v>22</v>
      </c>
      <c r="CI7" s="40" t="s">
        <v>22</v>
      </c>
      <c r="CJ7" s="40" t="s">
        <v>22</v>
      </c>
      <c r="CK7" s="40" t="s">
        <v>22</v>
      </c>
      <c r="CL7" s="40" t="s">
        <v>22</v>
      </c>
      <c r="CM7" s="40" t="s">
        <v>22</v>
      </c>
      <c r="CN7" s="40" t="s">
        <v>22</v>
      </c>
      <c r="CO7" s="40" t="s">
        <v>22</v>
      </c>
      <c r="CP7" s="40" t="s">
        <v>22</v>
      </c>
      <c r="CQ7" s="40" t="s">
        <v>22</v>
      </c>
      <c r="CR7" s="40" t="s">
        <v>22</v>
      </c>
      <c r="CS7" s="40" t="s">
        <v>22</v>
      </c>
      <c r="CT7" s="40" t="s">
        <v>22</v>
      </c>
      <c r="CU7" s="40" t="s">
        <v>22</v>
      </c>
      <c r="CV7" s="40" t="s">
        <v>22</v>
      </c>
      <c r="CW7" s="40" t="s">
        <v>22</v>
      </c>
      <c r="CX7" s="40" t="s">
        <v>22</v>
      </c>
      <c r="CY7" s="40" t="s">
        <v>22</v>
      </c>
      <c r="CZ7" s="40" t="s">
        <v>22</v>
      </c>
      <c r="DA7" s="40" t="s">
        <v>22</v>
      </c>
      <c r="DB7" s="40" t="s">
        <v>22</v>
      </c>
      <c r="DC7" s="40" t="s">
        <v>22</v>
      </c>
      <c r="DD7" s="40" t="s">
        <v>22</v>
      </c>
      <c r="DE7" s="40" t="s">
        <v>22</v>
      </c>
      <c r="DF7" s="40" t="s">
        <v>22</v>
      </c>
      <c r="DG7" s="40" t="s">
        <v>22</v>
      </c>
      <c r="DH7" s="40" t="s">
        <v>22</v>
      </c>
      <c r="DI7" s="40" t="s">
        <v>22</v>
      </c>
      <c r="DJ7" s="40" t="s">
        <v>22</v>
      </c>
      <c r="DK7" s="40" t="s">
        <v>22</v>
      </c>
      <c r="DL7" s="40" t="s">
        <v>22</v>
      </c>
      <c r="DM7" s="40" t="s">
        <v>22</v>
      </c>
      <c r="DN7" s="40" t="s">
        <v>22</v>
      </c>
      <c r="DO7" s="40" t="s">
        <v>22</v>
      </c>
      <c r="DP7" s="40" t="s">
        <v>22</v>
      </c>
      <c r="DQ7" s="40" t="s">
        <v>22</v>
      </c>
      <c r="DR7" s="40" t="s">
        <v>22</v>
      </c>
      <c r="DS7" s="40" t="s">
        <v>22</v>
      </c>
      <c r="DT7" s="40" t="s">
        <v>22</v>
      </c>
      <c r="DU7" s="40" t="s">
        <v>22</v>
      </c>
      <c r="DV7" s="40" t="s">
        <v>22</v>
      </c>
      <c r="DW7" s="40" t="s">
        <v>22</v>
      </c>
      <c r="DX7" s="40" t="s">
        <v>22</v>
      </c>
      <c r="DY7" s="40" t="s">
        <v>22</v>
      </c>
      <c r="DZ7" s="40" t="s">
        <v>22</v>
      </c>
      <c r="EA7" s="40" t="s">
        <v>22</v>
      </c>
      <c r="EB7" s="40" t="s">
        <v>22</v>
      </c>
      <c r="EC7" s="40" t="s">
        <v>22</v>
      </c>
      <c r="ED7" s="40" t="s">
        <v>22</v>
      </c>
      <c r="EE7" s="40" t="s">
        <v>22</v>
      </c>
      <c r="EF7" s="40" t="s">
        <v>22</v>
      </c>
      <c r="EG7" s="40" t="s">
        <v>22</v>
      </c>
      <c r="EH7" s="40" t="s">
        <v>22</v>
      </c>
      <c r="EI7" s="40" t="s">
        <v>22</v>
      </c>
      <c r="EJ7" s="40" t="s">
        <v>22</v>
      </c>
      <c r="EK7" s="40" t="s">
        <v>22</v>
      </c>
      <c r="EL7" s="40" t="s">
        <v>22</v>
      </c>
      <c r="EM7" s="40" t="s">
        <v>22</v>
      </c>
      <c r="EN7" s="40" t="s">
        <v>22</v>
      </c>
      <c r="EO7" s="40" t="s">
        <v>22</v>
      </c>
      <c r="EP7" s="40" t="s">
        <v>22</v>
      </c>
      <c r="EQ7" s="40" t="s">
        <v>22</v>
      </c>
      <c r="ER7" s="40" t="s">
        <v>22</v>
      </c>
      <c r="ES7" s="40" t="s">
        <v>22</v>
      </c>
      <c r="ET7" s="40" t="s">
        <v>22</v>
      </c>
      <c r="EU7" s="40" t="s">
        <v>22</v>
      </c>
      <c r="EV7" s="40" t="s">
        <v>22</v>
      </c>
      <c r="EW7" s="40" t="s">
        <v>22</v>
      </c>
      <c r="EX7" s="40" t="s">
        <v>22</v>
      </c>
      <c r="EY7" s="40" t="s">
        <v>22</v>
      </c>
      <c r="EZ7" s="40" t="s">
        <v>22</v>
      </c>
      <c r="FA7" s="40" t="s">
        <v>22</v>
      </c>
      <c r="FB7" s="40" t="s">
        <v>22</v>
      </c>
      <c r="FC7" s="40" t="s">
        <v>22</v>
      </c>
      <c r="FD7" s="40" t="s">
        <v>22</v>
      </c>
      <c r="FE7" s="40" t="s">
        <v>22</v>
      </c>
      <c r="FF7" s="40" t="s">
        <v>22</v>
      </c>
      <c r="FG7" s="40" t="s">
        <v>22</v>
      </c>
      <c r="FH7" s="40" t="s">
        <v>22</v>
      </c>
      <c r="FI7" s="40" t="s">
        <v>22</v>
      </c>
      <c r="FJ7" s="40" t="s">
        <v>22</v>
      </c>
      <c r="FK7" s="40" t="s">
        <v>22</v>
      </c>
      <c r="FL7" s="40" t="s">
        <v>22</v>
      </c>
      <c r="FM7" s="40" t="s">
        <v>22</v>
      </c>
      <c r="FN7" s="40" t="s">
        <v>22</v>
      </c>
      <c r="FO7" s="40" t="s">
        <v>22</v>
      </c>
      <c r="FP7" s="40" t="s">
        <v>22</v>
      </c>
      <c r="FQ7" s="40" t="s">
        <v>22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43"/>
      <c r="B8" s="44"/>
      <c r="C8" s="44"/>
      <c r="D8" s="44"/>
      <c r="E8" s="44"/>
      <c r="F8" s="43"/>
      <c r="G8" s="44"/>
      <c r="H8" s="44"/>
      <c r="I8" s="44"/>
      <c r="J8" s="44"/>
      <c r="K8" s="44"/>
      <c r="L8" s="44"/>
      <c r="M8" s="43"/>
      <c r="N8" s="43"/>
      <c r="O8" s="43"/>
      <c r="P8" s="45"/>
      <c r="Q8" s="45"/>
      <c r="R8" s="45"/>
      <c r="S8" s="45"/>
      <c r="T8" s="45"/>
      <c r="U8" s="45"/>
      <c r="V8" s="44"/>
      <c r="W8" s="45"/>
      <c r="X8" s="45"/>
      <c r="Y8" s="45"/>
      <c r="Z8" s="45"/>
      <c r="AA8" s="45"/>
      <c r="AB8" s="45"/>
      <c r="AC8" s="44"/>
      <c r="AD8" s="44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4"/>
      <c r="AS8" s="45"/>
      <c r="AT8" s="45"/>
      <c r="AU8" s="45"/>
      <c r="AV8" s="45"/>
      <c r="AW8" s="45"/>
      <c r="AX8" s="45"/>
      <c r="AY8" s="45"/>
      <c r="AZ8" s="45"/>
      <c r="BA8" s="44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</row>
    <row r="9" ht="15.75" customHeight="1">
      <c r="A9" s="43"/>
      <c r="B9" s="47"/>
      <c r="C9" s="47"/>
      <c r="D9" s="47"/>
      <c r="E9" s="47"/>
      <c r="F9" s="43"/>
      <c r="G9" s="47"/>
      <c r="H9" s="47"/>
      <c r="I9" s="47"/>
      <c r="J9" s="47"/>
      <c r="K9" s="47"/>
      <c r="L9" s="47"/>
      <c r="M9" s="43"/>
      <c r="N9" s="43"/>
      <c r="O9" s="43"/>
      <c r="P9" s="45"/>
      <c r="Q9" s="45"/>
      <c r="R9" s="45"/>
      <c r="S9" s="45"/>
      <c r="T9" s="45"/>
      <c r="U9" s="45"/>
      <c r="V9" s="47"/>
      <c r="W9" s="45"/>
      <c r="X9" s="45"/>
      <c r="Y9" s="45"/>
      <c r="Z9" s="45"/>
      <c r="AA9" s="45"/>
      <c r="AB9" s="45"/>
      <c r="AC9" s="47"/>
      <c r="AD9" s="47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7"/>
      <c r="AS9" s="45"/>
      <c r="AT9" s="45"/>
      <c r="AU9" s="45"/>
      <c r="AV9" s="45"/>
      <c r="AW9" s="45"/>
      <c r="AX9" s="45"/>
      <c r="AY9" s="45"/>
      <c r="AZ9" s="45"/>
      <c r="BA9" s="47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46"/>
      <c r="PJ9" s="46"/>
      <c r="PK9" s="46"/>
      <c r="PL9" s="46"/>
      <c r="PM9" s="46"/>
      <c r="PN9" s="46"/>
      <c r="PO9" s="46"/>
      <c r="PP9" s="46"/>
      <c r="PQ9" s="46"/>
      <c r="PR9" s="46"/>
      <c r="PS9" s="46"/>
      <c r="PT9" s="46"/>
      <c r="PU9" s="46"/>
      <c r="PV9" s="46"/>
      <c r="PW9" s="46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46"/>
      <c r="RR9" s="46"/>
      <c r="RS9" s="46"/>
      <c r="RT9" s="46"/>
      <c r="RU9" s="46"/>
      <c r="RV9" s="46"/>
      <c r="RW9" s="46"/>
      <c r="RX9" s="46"/>
      <c r="RY9" s="46"/>
      <c r="RZ9" s="46"/>
      <c r="SA9" s="46"/>
      <c r="SB9" s="46"/>
      <c r="SC9" s="46"/>
      <c r="SD9" s="46"/>
      <c r="SE9" s="46"/>
      <c r="SF9" s="46"/>
      <c r="SG9" s="46"/>
      <c r="SH9" s="46"/>
      <c r="SI9" s="46"/>
      <c r="SJ9" s="46"/>
      <c r="SK9" s="46"/>
      <c r="SL9" s="46"/>
      <c r="SM9" s="46"/>
      <c r="SN9" s="46"/>
      <c r="SO9" s="46"/>
      <c r="SP9" s="46"/>
      <c r="SQ9" s="46"/>
      <c r="SR9" s="46"/>
      <c r="SS9" s="46"/>
      <c r="ST9" s="46"/>
      <c r="SU9" s="46"/>
      <c r="SV9" s="46"/>
      <c r="SW9" s="46"/>
      <c r="SX9" s="46"/>
      <c r="SY9" s="46"/>
      <c r="SZ9" s="46"/>
      <c r="TA9" s="46"/>
      <c r="TB9" s="46"/>
      <c r="TC9" s="46"/>
      <c r="TD9" s="46"/>
      <c r="TE9" s="46"/>
      <c r="TF9" s="46"/>
      <c r="TG9" s="46"/>
      <c r="TH9" s="46"/>
      <c r="TI9" s="46"/>
      <c r="TJ9" s="46"/>
      <c r="TK9" s="46"/>
      <c r="TL9" s="46"/>
      <c r="TM9" s="46"/>
      <c r="TN9" s="46"/>
      <c r="TO9" s="46"/>
      <c r="TP9" s="46"/>
      <c r="TQ9" s="46"/>
      <c r="TR9" s="46"/>
      <c r="TS9" s="46"/>
      <c r="TT9" s="46"/>
      <c r="TU9" s="46"/>
      <c r="TV9" s="46"/>
      <c r="TW9" s="46"/>
      <c r="TX9" s="46"/>
      <c r="TY9" s="46"/>
      <c r="TZ9" s="46"/>
      <c r="UA9" s="46"/>
      <c r="UB9" s="46"/>
      <c r="UC9" s="46"/>
      <c r="UD9" s="46"/>
      <c r="UE9" s="46"/>
      <c r="UF9" s="46"/>
      <c r="UG9" s="46"/>
      <c r="UH9" s="46"/>
      <c r="UI9" s="46"/>
      <c r="UJ9" s="46"/>
      <c r="UK9" s="46"/>
      <c r="UL9" s="46"/>
      <c r="UM9" s="46"/>
      <c r="UN9" s="46"/>
      <c r="UO9" s="46"/>
      <c r="UP9" s="46"/>
      <c r="UQ9" s="46"/>
      <c r="UR9" s="46"/>
      <c r="US9" s="46"/>
      <c r="UT9" s="46"/>
      <c r="UU9" s="46"/>
      <c r="UV9" s="46"/>
      <c r="UW9" s="46"/>
      <c r="UX9" s="46"/>
      <c r="UY9" s="46"/>
      <c r="UZ9" s="46"/>
      <c r="VA9" s="46"/>
      <c r="VB9" s="46"/>
      <c r="VC9" s="46"/>
      <c r="VD9" s="46"/>
      <c r="VE9" s="46"/>
      <c r="VF9" s="46"/>
      <c r="VG9" s="46"/>
      <c r="VH9" s="46"/>
      <c r="VI9" s="46"/>
      <c r="VJ9" s="46"/>
      <c r="VK9" s="46"/>
      <c r="VL9" s="46"/>
      <c r="VM9" s="46"/>
      <c r="VN9" s="46"/>
      <c r="VO9" s="46"/>
      <c r="VP9" s="46"/>
      <c r="VQ9" s="46"/>
      <c r="VR9" s="46"/>
      <c r="VS9" s="46"/>
      <c r="VT9" s="46"/>
      <c r="VU9" s="46"/>
      <c r="VV9" s="46"/>
      <c r="VW9" s="46"/>
      <c r="VX9" s="46"/>
      <c r="VY9" s="46"/>
      <c r="VZ9" s="46"/>
      <c r="WA9" s="46"/>
      <c r="WB9" s="46"/>
      <c r="WC9" s="46"/>
      <c r="WD9" s="46"/>
      <c r="WE9" s="46"/>
      <c r="WF9" s="46"/>
      <c r="WG9" s="46"/>
      <c r="WH9" s="46"/>
      <c r="WI9" s="46"/>
      <c r="WJ9" s="46"/>
      <c r="WK9" s="46"/>
      <c r="WL9" s="46"/>
      <c r="WM9" s="46"/>
      <c r="WN9" s="46"/>
      <c r="WO9" s="46"/>
      <c r="WP9" s="46"/>
      <c r="WQ9" s="46"/>
      <c r="WR9" s="46"/>
      <c r="WS9" s="46"/>
      <c r="WT9" s="46"/>
      <c r="WU9" s="46"/>
      <c r="WV9" s="46"/>
      <c r="WW9" s="46"/>
      <c r="WX9" s="46"/>
      <c r="WY9" s="46"/>
      <c r="WZ9" s="46"/>
      <c r="XA9" s="46"/>
      <c r="XB9" s="46"/>
      <c r="XC9" s="46"/>
      <c r="XD9" s="46"/>
      <c r="XE9" s="46"/>
      <c r="XF9" s="46"/>
      <c r="XG9" s="46"/>
      <c r="XH9" s="46"/>
      <c r="XI9" s="46"/>
      <c r="XJ9" s="46"/>
      <c r="XK9" s="46"/>
      <c r="XL9" s="46"/>
      <c r="XM9" s="46"/>
      <c r="XN9" s="46"/>
      <c r="XO9" s="46"/>
      <c r="XP9" s="46"/>
      <c r="XQ9" s="46"/>
      <c r="XR9" s="46"/>
      <c r="XS9" s="46"/>
      <c r="XT9" s="46"/>
      <c r="XU9" s="46"/>
      <c r="XV9" s="46"/>
      <c r="XW9" s="46"/>
      <c r="XX9" s="46"/>
      <c r="XY9" s="46"/>
      <c r="XZ9" s="46"/>
      <c r="YA9" s="46"/>
      <c r="YB9" s="46"/>
      <c r="YC9" s="46"/>
      <c r="YD9" s="46"/>
      <c r="YE9" s="46"/>
      <c r="YF9" s="46"/>
      <c r="YG9" s="46"/>
      <c r="YH9" s="46"/>
      <c r="YI9" s="46"/>
      <c r="YJ9" s="46"/>
      <c r="YK9" s="46"/>
      <c r="YL9" s="46"/>
      <c r="YM9" s="46"/>
      <c r="YN9" s="46"/>
      <c r="YO9" s="46"/>
      <c r="YP9" s="46"/>
      <c r="YQ9" s="46"/>
      <c r="YR9" s="46"/>
      <c r="YS9" s="46"/>
      <c r="YT9" s="46"/>
      <c r="YU9" s="46"/>
      <c r="YV9" s="46"/>
      <c r="YW9" s="46"/>
      <c r="YX9" s="46"/>
      <c r="YY9" s="46"/>
      <c r="YZ9" s="46"/>
      <c r="ZA9" s="46"/>
      <c r="ZB9" s="46"/>
      <c r="ZC9" s="46"/>
      <c r="ZD9" s="46"/>
      <c r="ZE9" s="46"/>
      <c r="ZF9" s="46"/>
      <c r="ZG9" s="46"/>
      <c r="ZH9" s="46"/>
      <c r="ZI9" s="46"/>
      <c r="ZJ9" s="46"/>
      <c r="ZK9" s="46"/>
      <c r="ZL9" s="46"/>
      <c r="ZM9" s="46"/>
      <c r="ZN9" s="46"/>
      <c r="ZO9" s="46"/>
      <c r="ZP9" s="46"/>
      <c r="ZQ9" s="46"/>
      <c r="ZR9" s="46"/>
      <c r="ZS9" s="46"/>
      <c r="ZT9" s="46"/>
      <c r="ZU9" s="46"/>
      <c r="ZV9" s="46"/>
      <c r="ZW9" s="46"/>
      <c r="ZX9" s="46"/>
      <c r="ZY9" s="46"/>
      <c r="ZZ9" s="46"/>
      <c r="AAA9" s="46"/>
      <c r="AAB9" s="46"/>
      <c r="AAC9" s="46"/>
      <c r="AAD9" s="46"/>
      <c r="AAE9" s="46"/>
      <c r="AAF9" s="46"/>
      <c r="AAG9" s="46"/>
      <c r="AAH9" s="46"/>
      <c r="AAI9" s="46"/>
      <c r="AAJ9" s="46"/>
      <c r="AAK9" s="46"/>
      <c r="AAL9" s="46"/>
      <c r="AAM9" s="46"/>
      <c r="AAN9" s="46"/>
      <c r="AAO9" s="46"/>
      <c r="AAP9" s="46"/>
      <c r="AAQ9" s="46"/>
      <c r="AAR9" s="46"/>
      <c r="AAS9" s="46"/>
      <c r="AAT9" s="46"/>
      <c r="AAU9" s="46"/>
      <c r="AAV9" s="46"/>
      <c r="AAW9" s="46"/>
      <c r="AAX9" s="46"/>
      <c r="AAY9" s="46"/>
      <c r="AAZ9" s="46"/>
      <c r="ABA9" s="46"/>
      <c r="ABB9" s="46"/>
      <c r="ABC9" s="46"/>
      <c r="ABD9" s="46"/>
      <c r="ABE9" s="46"/>
      <c r="ABF9" s="46"/>
      <c r="ABG9" s="46"/>
      <c r="ABH9" s="46"/>
      <c r="ABI9" s="46"/>
      <c r="ABJ9" s="46"/>
      <c r="ABK9" s="46"/>
      <c r="ABL9" s="46"/>
      <c r="ABM9" s="46"/>
      <c r="ABN9" s="46"/>
      <c r="ABO9" s="46"/>
      <c r="ABP9" s="46"/>
      <c r="ABQ9" s="46"/>
      <c r="ABR9" s="46"/>
      <c r="ABS9" s="46"/>
      <c r="ABT9" s="46"/>
      <c r="ABU9" s="46"/>
      <c r="ABV9" s="46"/>
      <c r="ABW9" s="46"/>
      <c r="ABX9" s="46"/>
      <c r="ABY9" s="46"/>
      <c r="ABZ9" s="46"/>
      <c r="ACA9" s="46"/>
      <c r="ACB9" s="46"/>
      <c r="ACC9" s="46"/>
      <c r="ACD9" s="46"/>
      <c r="ACE9" s="46"/>
      <c r="ACF9" s="46"/>
      <c r="ACG9" s="46"/>
      <c r="ACH9" s="46"/>
      <c r="ACI9" s="46"/>
      <c r="ACJ9" s="46"/>
      <c r="ACK9" s="46"/>
      <c r="ACL9" s="46"/>
      <c r="ACM9" s="46"/>
      <c r="ACN9" s="46"/>
      <c r="ACO9" s="46"/>
      <c r="ACP9" s="46"/>
      <c r="ACQ9" s="46"/>
      <c r="ACR9" s="46"/>
      <c r="ACS9" s="46"/>
      <c r="ACT9" s="46"/>
      <c r="ACU9" s="46"/>
      <c r="ACV9" s="46"/>
      <c r="ACW9" s="46"/>
      <c r="ACX9" s="46"/>
      <c r="ACY9" s="46"/>
      <c r="ACZ9" s="46"/>
      <c r="ADA9" s="46"/>
      <c r="ADB9" s="46"/>
      <c r="ADC9" s="46"/>
      <c r="ADD9" s="46"/>
      <c r="ADE9" s="46"/>
      <c r="ADF9" s="46"/>
      <c r="ADG9" s="46"/>
      <c r="ADH9" s="46"/>
      <c r="ADI9" s="46"/>
      <c r="ADJ9" s="46"/>
      <c r="ADK9" s="46"/>
      <c r="ADL9" s="46"/>
      <c r="ADM9" s="46"/>
      <c r="ADN9" s="46"/>
      <c r="ADO9" s="46"/>
      <c r="ADP9" s="46"/>
      <c r="ADQ9" s="46"/>
      <c r="ADR9" s="46"/>
      <c r="ADS9" s="46"/>
      <c r="ADT9" s="46"/>
      <c r="ADU9" s="46"/>
      <c r="ADV9" s="46"/>
      <c r="ADW9" s="46"/>
      <c r="ADX9" s="46"/>
      <c r="ADY9" s="46"/>
      <c r="ADZ9" s="46"/>
      <c r="AEA9" s="46"/>
      <c r="AEB9" s="46"/>
      <c r="AEC9" s="46"/>
      <c r="AED9" s="46"/>
      <c r="AEE9" s="46"/>
      <c r="AEF9" s="46"/>
      <c r="AEG9" s="46"/>
      <c r="AEH9" s="46"/>
      <c r="AEI9" s="46"/>
      <c r="AEJ9" s="46"/>
      <c r="AEK9" s="46"/>
      <c r="AEL9" s="46"/>
      <c r="AEM9" s="46"/>
      <c r="AEN9" s="46"/>
      <c r="AEO9" s="46"/>
      <c r="AEP9" s="46"/>
      <c r="AEQ9" s="46"/>
      <c r="AER9" s="46"/>
      <c r="AES9" s="46"/>
      <c r="AET9" s="46"/>
      <c r="AEU9" s="46"/>
      <c r="AEV9" s="46"/>
      <c r="AEW9" s="46"/>
      <c r="AEX9" s="46"/>
      <c r="AEY9" s="46"/>
      <c r="AEZ9" s="46"/>
      <c r="AFA9" s="46"/>
      <c r="AFB9" s="46"/>
      <c r="AFC9" s="46"/>
      <c r="AFD9" s="46"/>
      <c r="AFE9" s="46"/>
      <c r="AFF9" s="46"/>
      <c r="AFG9" s="46"/>
      <c r="AFH9" s="46"/>
      <c r="AFI9" s="46"/>
      <c r="AFJ9" s="46"/>
      <c r="AFK9" s="46"/>
      <c r="AFL9" s="46"/>
      <c r="AFM9" s="46"/>
      <c r="AFN9" s="46"/>
      <c r="AFO9" s="46"/>
      <c r="AFP9" s="46"/>
      <c r="AFQ9" s="46"/>
      <c r="AFR9" s="46"/>
      <c r="AFS9" s="46"/>
      <c r="AFT9" s="46"/>
      <c r="AFU9" s="46"/>
      <c r="AFV9" s="46"/>
      <c r="AFW9" s="46"/>
      <c r="AFX9" s="46"/>
      <c r="AFY9" s="46"/>
      <c r="AFZ9" s="46"/>
      <c r="AGA9" s="46"/>
      <c r="AGB9" s="46"/>
      <c r="AGC9" s="46"/>
      <c r="AGD9" s="46"/>
      <c r="AGE9" s="46"/>
      <c r="AGF9" s="46"/>
      <c r="AGG9" s="46"/>
      <c r="AGH9" s="46"/>
      <c r="AGI9" s="46"/>
      <c r="AGJ9" s="46"/>
      <c r="AGK9" s="46"/>
      <c r="AGL9" s="46"/>
      <c r="AGM9" s="46"/>
      <c r="AGN9" s="46"/>
      <c r="AGO9" s="46"/>
      <c r="AGP9" s="46"/>
      <c r="AGQ9" s="46"/>
      <c r="AGR9" s="46"/>
      <c r="AGS9" s="46"/>
      <c r="AGT9" s="46"/>
      <c r="AGU9" s="46"/>
      <c r="AGV9" s="46"/>
      <c r="AGW9" s="46"/>
      <c r="AGX9" s="46"/>
      <c r="AGY9" s="46"/>
      <c r="AGZ9" s="46"/>
      <c r="AHA9" s="46"/>
      <c r="AHB9" s="46"/>
      <c r="AHC9" s="46"/>
      <c r="AHD9" s="46"/>
      <c r="AHE9" s="46"/>
      <c r="AHF9" s="46"/>
      <c r="AHG9" s="46"/>
      <c r="AHH9" s="46"/>
      <c r="AHI9" s="46"/>
      <c r="AHJ9" s="46"/>
      <c r="AHK9" s="46"/>
      <c r="AHL9" s="46"/>
      <c r="AHM9" s="46"/>
      <c r="AHN9" s="46"/>
      <c r="AHO9" s="46"/>
      <c r="AHP9" s="46"/>
      <c r="AHQ9" s="46"/>
      <c r="AHR9" s="46"/>
      <c r="AHS9" s="46"/>
      <c r="AHT9" s="46"/>
      <c r="AHU9" s="46"/>
      <c r="AHV9" s="46"/>
      <c r="AHW9" s="46"/>
      <c r="AHX9" s="46"/>
      <c r="AHY9" s="46"/>
      <c r="AHZ9" s="46"/>
      <c r="AIA9" s="46"/>
      <c r="AIB9" s="46"/>
      <c r="AIC9" s="46"/>
      <c r="AID9" s="46"/>
      <c r="AIE9" s="46"/>
      <c r="AIF9" s="46"/>
      <c r="AIG9" s="46"/>
      <c r="AIH9" s="46"/>
      <c r="AII9" s="46"/>
      <c r="AIJ9" s="46"/>
      <c r="AIK9" s="46"/>
      <c r="AIL9" s="46"/>
      <c r="AIM9" s="46"/>
      <c r="AIN9" s="46"/>
      <c r="AIO9" s="46"/>
      <c r="AIP9" s="46"/>
      <c r="AIQ9" s="46"/>
      <c r="AIR9" s="46"/>
      <c r="AIS9" s="46"/>
      <c r="AIT9" s="46"/>
      <c r="AIU9" s="46"/>
      <c r="AIV9" s="46"/>
      <c r="AIW9" s="46"/>
      <c r="AIX9" s="46"/>
      <c r="AIY9" s="46"/>
      <c r="AIZ9" s="46"/>
      <c r="AJA9" s="46"/>
      <c r="AJB9" s="46"/>
      <c r="AJC9" s="46"/>
      <c r="AJD9" s="46"/>
      <c r="AJE9" s="46"/>
      <c r="AJF9" s="46"/>
      <c r="AJG9" s="46"/>
      <c r="AJH9" s="46"/>
      <c r="AJI9" s="46"/>
      <c r="AJJ9" s="46"/>
      <c r="AJK9" s="46"/>
      <c r="AJL9" s="46"/>
      <c r="AJM9" s="46"/>
      <c r="AJN9" s="46"/>
      <c r="AJO9" s="46"/>
      <c r="AJP9" s="46"/>
      <c r="AJQ9" s="46"/>
      <c r="AJR9" s="46"/>
      <c r="AJS9" s="46"/>
      <c r="AJT9" s="46"/>
      <c r="AJU9" s="46"/>
      <c r="AJV9" s="46"/>
      <c r="AJW9" s="46"/>
      <c r="AJX9" s="46"/>
      <c r="AJY9" s="46"/>
      <c r="AJZ9" s="46"/>
      <c r="AKA9" s="46"/>
      <c r="AKB9" s="46"/>
      <c r="AKC9" s="46"/>
      <c r="AKD9" s="46"/>
      <c r="AKE9" s="46"/>
      <c r="AKF9" s="46"/>
      <c r="AKG9" s="46"/>
      <c r="AKH9" s="46"/>
      <c r="AKI9" s="46"/>
      <c r="AKJ9" s="46"/>
      <c r="AKK9" s="46"/>
      <c r="AKL9" s="46"/>
      <c r="AKM9" s="46"/>
      <c r="AKN9" s="46"/>
      <c r="AKO9" s="46"/>
      <c r="AKP9" s="46"/>
      <c r="AKQ9" s="46"/>
      <c r="AKR9" s="46"/>
      <c r="AKS9" s="46"/>
      <c r="AKT9" s="46"/>
      <c r="AKU9" s="46"/>
      <c r="AKV9" s="46"/>
      <c r="AKW9" s="46"/>
      <c r="AKX9" s="46"/>
      <c r="AKY9" s="46"/>
      <c r="AKZ9" s="46"/>
      <c r="ALA9" s="46"/>
      <c r="ALB9" s="46"/>
      <c r="ALC9" s="46"/>
      <c r="ALD9" s="46"/>
      <c r="ALE9" s="46"/>
      <c r="ALF9" s="46"/>
      <c r="ALG9" s="46"/>
      <c r="ALH9" s="46"/>
      <c r="ALI9" s="46"/>
      <c r="ALJ9" s="46"/>
      <c r="ALK9" s="46"/>
      <c r="ALL9" s="46"/>
      <c r="ALM9" s="46"/>
      <c r="ALN9" s="46"/>
      <c r="ALO9" s="46"/>
      <c r="ALP9" s="46"/>
      <c r="ALQ9" s="46"/>
      <c r="ALR9" s="46"/>
      <c r="ALS9" s="46"/>
      <c r="ALT9" s="46"/>
      <c r="ALU9" s="46"/>
      <c r="ALV9" s="46"/>
      <c r="ALW9" s="46"/>
      <c r="ALX9" s="46"/>
      <c r="ALY9" s="46"/>
      <c r="ALZ9" s="46"/>
      <c r="AMA9" s="46"/>
      <c r="AMB9" s="46"/>
      <c r="AMC9" s="46"/>
      <c r="AMD9" s="46"/>
      <c r="AME9" s="46"/>
      <c r="AMF9" s="46"/>
      <c r="AMG9" s="46"/>
      <c r="AMH9" s="46"/>
      <c r="AMI9" s="46"/>
      <c r="AMJ9" s="46"/>
      <c r="AMK9" s="46"/>
    </row>
    <row r="10" ht="15.75" customHeight="1">
      <c r="A10" s="43"/>
      <c r="B10" s="47"/>
      <c r="C10" s="47"/>
      <c r="D10" s="47"/>
      <c r="E10" s="47"/>
      <c r="F10" s="43"/>
      <c r="G10" s="47"/>
      <c r="H10" s="47"/>
      <c r="I10" s="47"/>
      <c r="J10" s="47"/>
      <c r="K10" s="47"/>
      <c r="L10" s="47"/>
      <c r="M10" s="43"/>
      <c r="N10" s="43"/>
      <c r="O10" s="43"/>
      <c r="P10" s="45"/>
      <c r="Q10" s="45"/>
      <c r="R10" s="45"/>
      <c r="S10" s="45"/>
      <c r="T10" s="45"/>
      <c r="U10" s="45"/>
      <c r="V10" s="47"/>
      <c r="W10" s="45"/>
      <c r="X10" s="45"/>
      <c r="Y10" s="45"/>
      <c r="Z10" s="45"/>
      <c r="AA10" s="45"/>
      <c r="AB10" s="45"/>
      <c r="AC10" s="47"/>
      <c r="AD10" s="47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7"/>
      <c r="AS10" s="45"/>
      <c r="AT10" s="45"/>
      <c r="AU10" s="45"/>
      <c r="AV10" s="45"/>
      <c r="AW10" s="45"/>
      <c r="AX10" s="45"/>
      <c r="AY10" s="45"/>
      <c r="AZ10" s="45"/>
      <c r="BA10" s="47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  <c r="IU10" s="46"/>
      <c r="IV10" s="46"/>
      <c r="IW10" s="46"/>
      <c r="IX10" s="46"/>
      <c r="IY10" s="46"/>
      <c r="IZ10" s="46"/>
      <c r="JA10" s="46"/>
      <c r="JB10" s="46"/>
      <c r="JC10" s="46"/>
      <c r="JD10" s="46"/>
      <c r="JE10" s="46"/>
      <c r="JF10" s="46"/>
      <c r="JG10" s="46"/>
      <c r="JH10" s="46"/>
      <c r="JI10" s="46"/>
      <c r="JJ10" s="46"/>
      <c r="JK10" s="46"/>
      <c r="JL10" s="46"/>
      <c r="JM10" s="46"/>
      <c r="JN10" s="46"/>
      <c r="JO10" s="46"/>
      <c r="JP10" s="46"/>
      <c r="JQ10" s="46"/>
      <c r="JR10" s="46"/>
      <c r="JS10" s="46"/>
      <c r="JT10" s="46"/>
      <c r="JU10" s="46"/>
      <c r="JV10" s="46"/>
      <c r="JW10" s="46"/>
      <c r="JX10" s="46"/>
      <c r="JY10" s="46"/>
      <c r="JZ10" s="46"/>
      <c r="KA10" s="46"/>
      <c r="KB10" s="46"/>
      <c r="KC10" s="46"/>
      <c r="KD10" s="46"/>
      <c r="KE10" s="46"/>
      <c r="KF10" s="46"/>
      <c r="KG10" s="46"/>
      <c r="KH10" s="46"/>
      <c r="KI10" s="46"/>
      <c r="KJ10" s="46"/>
      <c r="KK10" s="46"/>
      <c r="KL10" s="46"/>
      <c r="KM10" s="46"/>
      <c r="KN10" s="46"/>
      <c r="KO10" s="46"/>
      <c r="KP10" s="46"/>
      <c r="KQ10" s="46"/>
      <c r="KR10" s="46"/>
      <c r="KS10" s="46"/>
      <c r="KT10" s="46"/>
      <c r="KU10" s="46"/>
      <c r="KV10" s="46"/>
      <c r="KW10" s="46"/>
      <c r="KX10" s="46"/>
      <c r="KY10" s="46"/>
      <c r="KZ10" s="46"/>
      <c r="LA10" s="46"/>
      <c r="LB10" s="46"/>
      <c r="LC10" s="46"/>
      <c r="LD10" s="46"/>
      <c r="LE10" s="46"/>
      <c r="LF10" s="46"/>
      <c r="LG10" s="46"/>
      <c r="LH10" s="46"/>
      <c r="LI10" s="46"/>
      <c r="LJ10" s="46"/>
      <c r="LK10" s="46"/>
      <c r="LL10" s="46"/>
      <c r="LM10" s="46"/>
      <c r="LN10" s="46"/>
      <c r="LO10" s="46"/>
      <c r="LP10" s="46"/>
      <c r="LQ10" s="46"/>
      <c r="LR10" s="46"/>
      <c r="LS10" s="46"/>
      <c r="LT10" s="46"/>
      <c r="LU10" s="46"/>
      <c r="LV10" s="46"/>
      <c r="LW10" s="46"/>
      <c r="LX10" s="46"/>
      <c r="LY10" s="46"/>
      <c r="LZ10" s="46"/>
      <c r="MA10" s="46"/>
      <c r="MB10" s="46"/>
      <c r="MC10" s="46"/>
      <c r="MD10" s="46"/>
      <c r="ME10" s="46"/>
      <c r="MF10" s="46"/>
      <c r="MG10" s="46"/>
      <c r="MH10" s="46"/>
      <c r="MI10" s="46"/>
      <c r="MJ10" s="46"/>
      <c r="MK10" s="46"/>
      <c r="ML10" s="46"/>
      <c r="MM10" s="46"/>
      <c r="MN10" s="46"/>
      <c r="MO10" s="46"/>
      <c r="MP10" s="46"/>
      <c r="MQ10" s="46"/>
      <c r="MR10" s="46"/>
      <c r="MS10" s="46"/>
      <c r="MT10" s="46"/>
      <c r="MU10" s="46"/>
      <c r="MV10" s="46"/>
      <c r="MW10" s="46"/>
      <c r="MX10" s="46"/>
      <c r="MY10" s="46"/>
      <c r="MZ10" s="46"/>
      <c r="NA10" s="46"/>
      <c r="NB10" s="46"/>
      <c r="NC10" s="46"/>
      <c r="ND10" s="46"/>
      <c r="NE10" s="46"/>
      <c r="NF10" s="46"/>
      <c r="NG10" s="46"/>
      <c r="NH10" s="46"/>
      <c r="NI10" s="46"/>
      <c r="NJ10" s="46"/>
      <c r="NK10" s="46"/>
      <c r="NL10" s="46"/>
      <c r="NM10" s="46"/>
      <c r="NN10" s="46"/>
      <c r="NO10" s="46"/>
      <c r="NP10" s="46"/>
      <c r="NQ10" s="46"/>
      <c r="NR10" s="46"/>
      <c r="NS10" s="46"/>
      <c r="NT10" s="46"/>
      <c r="NU10" s="46"/>
      <c r="NV10" s="46"/>
      <c r="NW10" s="46"/>
      <c r="NX10" s="46"/>
      <c r="NY10" s="46"/>
      <c r="NZ10" s="46"/>
      <c r="OA10" s="46"/>
      <c r="OB10" s="46"/>
      <c r="OC10" s="46"/>
      <c r="OD10" s="46"/>
      <c r="OE10" s="46"/>
      <c r="OF10" s="46"/>
      <c r="OG10" s="46"/>
      <c r="OH10" s="46"/>
      <c r="OI10" s="46"/>
      <c r="OJ10" s="46"/>
      <c r="OK10" s="46"/>
      <c r="OL10" s="46"/>
      <c r="OM10" s="46"/>
      <c r="ON10" s="46"/>
      <c r="OO10" s="46"/>
      <c r="OP10" s="46"/>
      <c r="OQ10" s="46"/>
      <c r="OR10" s="46"/>
      <c r="OS10" s="46"/>
      <c r="OT10" s="46"/>
      <c r="OU10" s="46"/>
      <c r="OV10" s="46"/>
      <c r="OW10" s="46"/>
      <c r="OX10" s="46"/>
      <c r="OY10" s="46"/>
      <c r="OZ10" s="46"/>
      <c r="PA10" s="46"/>
      <c r="PB10" s="46"/>
      <c r="PC10" s="46"/>
      <c r="PD10" s="46"/>
      <c r="PE10" s="46"/>
      <c r="PF10" s="46"/>
      <c r="PG10" s="46"/>
      <c r="PH10" s="46"/>
      <c r="PI10" s="46"/>
      <c r="PJ10" s="46"/>
      <c r="PK10" s="46"/>
      <c r="PL10" s="46"/>
      <c r="PM10" s="46"/>
      <c r="PN10" s="46"/>
      <c r="PO10" s="46"/>
      <c r="PP10" s="46"/>
      <c r="PQ10" s="46"/>
      <c r="PR10" s="46"/>
      <c r="PS10" s="46"/>
      <c r="PT10" s="46"/>
      <c r="PU10" s="46"/>
      <c r="PV10" s="46"/>
      <c r="PW10" s="46"/>
      <c r="PX10" s="46"/>
      <c r="PY10" s="46"/>
      <c r="PZ10" s="46"/>
      <c r="QA10" s="46"/>
      <c r="QB10" s="46"/>
      <c r="QC10" s="46"/>
      <c r="QD10" s="46"/>
      <c r="QE10" s="46"/>
      <c r="QF10" s="46"/>
      <c r="QG10" s="46"/>
      <c r="QH10" s="46"/>
      <c r="QI10" s="46"/>
      <c r="QJ10" s="46"/>
      <c r="QK10" s="46"/>
      <c r="QL10" s="46"/>
      <c r="QM10" s="46"/>
      <c r="QN10" s="46"/>
      <c r="QO10" s="46"/>
      <c r="QP10" s="46"/>
      <c r="QQ10" s="46"/>
      <c r="QR10" s="46"/>
      <c r="QS10" s="46"/>
      <c r="QT10" s="46"/>
      <c r="QU10" s="46"/>
      <c r="QV10" s="46"/>
      <c r="QW10" s="46"/>
      <c r="QX10" s="46"/>
      <c r="QY10" s="46"/>
      <c r="QZ10" s="46"/>
      <c r="RA10" s="46"/>
      <c r="RB10" s="46"/>
      <c r="RC10" s="46"/>
      <c r="RD10" s="46"/>
      <c r="RE10" s="46"/>
      <c r="RF10" s="46"/>
      <c r="RG10" s="46"/>
      <c r="RH10" s="46"/>
      <c r="RI10" s="46"/>
      <c r="RJ10" s="46"/>
      <c r="RK10" s="46"/>
      <c r="RL10" s="46"/>
      <c r="RM10" s="46"/>
      <c r="RN10" s="46"/>
      <c r="RO10" s="46"/>
      <c r="RP10" s="46"/>
      <c r="RQ10" s="46"/>
      <c r="RR10" s="46"/>
      <c r="RS10" s="46"/>
      <c r="RT10" s="46"/>
      <c r="RU10" s="46"/>
      <c r="RV10" s="46"/>
      <c r="RW10" s="46"/>
      <c r="RX10" s="46"/>
      <c r="RY10" s="46"/>
      <c r="RZ10" s="46"/>
      <c r="SA10" s="46"/>
      <c r="SB10" s="46"/>
      <c r="SC10" s="46"/>
      <c r="SD10" s="46"/>
      <c r="SE10" s="46"/>
      <c r="SF10" s="46"/>
      <c r="SG10" s="46"/>
      <c r="SH10" s="46"/>
      <c r="SI10" s="46"/>
      <c r="SJ10" s="46"/>
      <c r="SK10" s="46"/>
      <c r="SL10" s="46"/>
      <c r="SM10" s="46"/>
      <c r="SN10" s="46"/>
      <c r="SO10" s="46"/>
      <c r="SP10" s="46"/>
      <c r="SQ10" s="46"/>
      <c r="SR10" s="46"/>
      <c r="SS10" s="46"/>
      <c r="ST10" s="46"/>
      <c r="SU10" s="46"/>
      <c r="SV10" s="46"/>
      <c r="SW10" s="46"/>
      <c r="SX10" s="46"/>
      <c r="SY10" s="46"/>
      <c r="SZ10" s="46"/>
      <c r="TA10" s="46"/>
      <c r="TB10" s="46"/>
      <c r="TC10" s="46"/>
      <c r="TD10" s="46"/>
      <c r="TE10" s="46"/>
      <c r="TF10" s="46"/>
      <c r="TG10" s="46"/>
      <c r="TH10" s="46"/>
      <c r="TI10" s="46"/>
      <c r="TJ10" s="46"/>
      <c r="TK10" s="46"/>
      <c r="TL10" s="46"/>
      <c r="TM10" s="46"/>
      <c r="TN10" s="46"/>
      <c r="TO10" s="46"/>
      <c r="TP10" s="46"/>
      <c r="TQ10" s="46"/>
      <c r="TR10" s="46"/>
      <c r="TS10" s="46"/>
      <c r="TT10" s="46"/>
      <c r="TU10" s="46"/>
      <c r="TV10" s="46"/>
      <c r="TW10" s="46"/>
      <c r="TX10" s="46"/>
      <c r="TY10" s="46"/>
      <c r="TZ10" s="46"/>
      <c r="UA10" s="46"/>
      <c r="UB10" s="46"/>
      <c r="UC10" s="46"/>
      <c r="UD10" s="46"/>
      <c r="UE10" s="46"/>
      <c r="UF10" s="46"/>
      <c r="UG10" s="46"/>
      <c r="UH10" s="46"/>
      <c r="UI10" s="46"/>
      <c r="UJ10" s="46"/>
      <c r="UK10" s="46"/>
      <c r="UL10" s="46"/>
      <c r="UM10" s="46"/>
      <c r="UN10" s="46"/>
      <c r="UO10" s="46"/>
      <c r="UP10" s="46"/>
      <c r="UQ10" s="46"/>
      <c r="UR10" s="46"/>
      <c r="US10" s="46"/>
      <c r="UT10" s="46"/>
      <c r="UU10" s="46"/>
      <c r="UV10" s="46"/>
      <c r="UW10" s="46"/>
      <c r="UX10" s="46"/>
      <c r="UY10" s="46"/>
      <c r="UZ10" s="46"/>
      <c r="VA10" s="46"/>
      <c r="VB10" s="46"/>
      <c r="VC10" s="46"/>
      <c r="VD10" s="46"/>
      <c r="VE10" s="46"/>
      <c r="VF10" s="46"/>
      <c r="VG10" s="46"/>
      <c r="VH10" s="46"/>
      <c r="VI10" s="46"/>
      <c r="VJ10" s="46"/>
      <c r="VK10" s="46"/>
      <c r="VL10" s="46"/>
      <c r="VM10" s="46"/>
      <c r="VN10" s="46"/>
      <c r="VO10" s="46"/>
      <c r="VP10" s="46"/>
      <c r="VQ10" s="46"/>
      <c r="VR10" s="46"/>
      <c r="VS10" s="46"/>
      <c r="VT10" s="46"/>
      <c r="VU10" s="46"/>
      <c r="VV10" s="46"/>
      <c r="VW10" s="46"/>
      <c r="VX10" s="46"/>
      <c r="VY10" s="46"/>
      <c r="VZ10" s="46"/>
      <c r="WA10" s="46"/>
      <c r="WB10" s="46"/>
      <c r="WC10" s="46"/>
      <c r="WD10" s="46"/>
      <c r="WE10" s="46"/>
      <c r="WF10" s="46"/>
      <c r="WG10" s="46"/>
      <c r="WH10" s="46"/>
      <c r="WI10" s="46"/>
      <c r="WJ10" s="46"/>
      <c r="WK10" s="46"/>
      <c r="WL10" s="46"/>
      <c r="WM10" s="46"/>
      <c r="WN10" s="46"/>
      <c r="WO10" s="46"/>
      <c r="WP10" s="46"/>
      <c r="WQ10" s="46"/>
      <c r="WR10" s="46"/>
      <c r="WS10" s="46"/>
      <c r="WT10" s="46"/>
      <c r="WU10" s="46"/>
      <c r="WV10" s="46"/>
      <c r="WW10" s="46"/>
      <c r="WX10" s="46"/>
      <c r="WY10" s="46"/>
      <c r="WZ10" s="46"/>
      <c r="XA10" s="46"/>
      <c r="XB10" s="46"/>
      <c r="XC10" s="46"/>
      <c r="XD10" s="46"/>
      <c r="XE10" s="46"/>
      <c r="XF10" s="46"/>
      <c r="XG10" s="46"/>
      <c r="XH10" s="46"/>
      <c r="XI10" s="46"/>
      <c r="XJ10" s="46"/>
      <c r="XK10" s="46"/>
      <c r="XL10" s="46"/>
      <c r="XM10" s="46"/>
      <c r="XN10" s="46"/>
      <c r="XO10" s="46"/>
      <c r="XP10" s="46"/>
      <c r="XQ10" s="46"/>
      <c r="XR10" s="46"/>
      <c r="XS10" s="46"/>
      <c r="XT10" s="46"/>
      <c r="XU10" s="46"/>
      <c r="XV10" s="46"/>
      <c r="XW10" s="46"/>
      <c r="XX10" s="46"/>
      <c r="XY10" s="46"/>
      <c r="XZ10" s="46"/>
      <c r="YA10" s="46"/>
      <c r="YB10" s="46"/>
      <c r="YC10" s="46"/>
      <c r="YD10" s="46"/>
      <c r="YE10" s="46"/>
      <c r="YF10" s="46"/>
      <c r="YG10" s="46"/>
      <c r="YH10" s="46"/>
      <c r="YI10" s="46"/>
      <c r="YJ10" s="46"/>
      <c r="YK10" s="46"/>
      <c r="YL10" s="46"/>
      <c r="YM10" s="46"/>
      <c r="YN10" s="46"/>
      <c r="YO10" s="46"/>
      <c r="YP10" s="46"/>
      <c r="YQ10" s="46"/>
      <c r="YR10" s="46"/>
      <c r="YS10" s="46"/>
      <c r="YT10" s="46"/>
      <c r="YU10" s="46"/>
      <c r="YV10" s="46"/>
      <c r="YW10" s="46"/>
      <c r="YX10" s="46"/>
      <c r="YY10" s="46"/>
      <c r="YZ10" s="46"/>
      <c r="ZA10" s="46"/>
      <c r="ZB10" s="46"/>
      <c r="ZC10" s="46"/>
      <c r="ZD10" s="46"/>
      <c r="ZE10" s="46"/>
      <c r="ZF10" s="46"/>
      <c r="ZG10" s="46"/>
      <c r="ZH10" s="46"/>
      <c r="ZI10" s="46"/>
      <c r="ZJ10" s="46"/>
      <c r="ZK10" s="46"/>
      <c r="ZL10" s="46"/>
      <c r="ZM10" s="46"/>
      <c r="ZN10" s="46"/>
      <c r="ZO10" s="46"/>
      <c r="ZP10" s="46"/>
      <c r="ZQ10" s="46"/>
      <c r="ZR10" s="46"/>
      <c r="ZS10" s="46"/>
      <c r="ZT10" s="46"/>
      <c r="ZU10" s="46"/>
      <c r="ZV10" s="46"/>
      <c r="ZW10" s="46"/>
      <c r="ZX10" s="46"/>
      <c r="ZY10" s="46"/>
      <c r="ZZ10" s="46"/>
      <c r="AAA10" s="46"/>
      <c r="AAB10" s="46"/>
      <c r="AAC10" s="46"/>
      <c r="AAD10" s="46"/>
      <c r="AAE10" s="46"/>
      <c r="AAF10" s="46"/>
      <c r="AAG10" s="46"/>
      <c r="AAH10" s="46"/>
      <c r="AAI10" s="46"/>
      <c r="AAJ10" s="46"/>
      <c r="AAK10" s="46"/>
      <c r="AAL10" s="46"/>
      <c r="AAM10" s="46"/>
      <c r="AAN10" s="46"/>
      <c r="AAO10" s="46"/>
      <c r="AAP10" s="46"/>
      <c r="AAQ10" s="46"/>
      <c r="AAR10" s="46"/>
      <c r="AAS10" s="46"/>
      <c r="AAT10" s="46"/>
      <c r="AAU10" s="46"/>
      <c r="AAV10" s="46"/>
      <c r="AAW10" s="46"/>
      <c r="AAX10" s="46"/>
      <c r="AAY10" s="46"/>
      <c r="AAZ10" s="46"/>
      <c r="ABA10" s="46"/>
      <c r="ABB10" s="46"/>
      <c r="ABC10" s="46"/>
      <c r="ABD10" s="46"/>
      <c r="ABE10" s="46"/>
      <c r="ABF10" s="46"/>
      <c r="ABG10" s="46"/>
      <c r="ABH10" s="46"/>
      <c r="ABI10" s="46"/>
      <c r="ABJ10" s="46"/>
      <c r="ABK10" s="46"/>
      <c r="ABL10" s="46"/>
      <c r="ABM10" s="46"/>
      <c r="ABN10" s="46"/>
      <c r="ABO10" s="46"/>
      <c r="ABP10" s="46"/>
      <c r="ABQ10" s="46"/>
      <c r="ABR10" s="46"/>
      <c r="ABS10" s="46"/>
      <c r="ABT10" s="46"/>
      <c r="ABU10" s="46"/>
      <c r="ABV10" s="46"/>
      <c r="ABW10" s="46"/>
      <c r="ABX10" s="46"/>
      <c r="ABY10" s="46"/>
      <c r="ABZ10" s="46"/>
      <c r="ACA10" s="46"/>
      <c r="ACB10" s="46"/>
      <c r="ACC10" s="46"/>
      <c r="ACD10" s="46"/>
      <c r="ACE10" s="46"/>
      <c r="ACF10" s="46"/>
      <c r="ACG10" s="46"/>
      <c r="ACH10" s="46"/>
      <c r="ACI10" s="46"/>
      <c r="ACJ10" s="46"/>
      <c r="ACK10" s="46"/>
      <c r="ACL10" s="46"/>
      <c r="ACM10" s="46"/>
      <c r="ACN10" s="46"/>
      <c r="ACO10" s="46"/>
      <c r="ACP10" s="46"/>
      <c r="ACQ10" s="46"/>
      <c r="ACR10" s="46"/>
      <c r="ACS10" s="46"/>
      <c r="ACT10" s="46"/>
      <c r="ACU10" s="46"/>
      <c r="ACV10" s="46"/>
      <c r="ACW10" s="46"/>
      <c r="ACX10" s="46"/>
      <c r="ACY10" s="46"/>
      <c r="ACZ10" s="46"/>
      <c r="ADA10" s="46"/>
      <c r="ADB10" s="46"/>
      <c r="ADC10" s="46"/>
      <c r="ADD10" s="46"/>
      <c r="ADE10" s="46"/>
      <c r="ADF10" s="46"/>
      <c r="ADG10" s="46"/>
      <c r="ADH10" s="46"/>
      <c r="ADI10" s="46"/>
      <c r="ADJ10" s="46"/>
      <c r="ADK10" s="46"/>
      <c r="ADL10" s="46"/>
      <c r="ADM10" s="46"/>
      <c r="ADN10" s="46"/>
      <c r="ADO10" s="46"/>
      <c r="ADP10" s="46"/>
      <c r="ADQ10" s="46"/>
      <c r="ADR10" s="46"/>
      <c r="ADS10" s="46"/>
      <c r="ADT10" s="46"/>
      <c r="ADU10" s="46"/>
      <c r="ADV10" s="46"/>
      <c r="ADW10" s="46"/>
      <c r="ADX10" s="46"/>
      <c r="ADY10" s="46"/>
      <c r="ADZ10" s="46"/>
      <c r="AEA10" s="46"/>
      <c r="AEB10" s="46"/>
      <c r="AEC10" s="46"/>
      <c r="AED10" s="46"/>
      <c r="AEE10" s="46"/>
      <c r="AEF10" s="46"/>
      <c r="AEG10" s="46"/>
      <c r="AEH10" s="46"/>
      <c r="AEI10" s="46"/>
      <c r="AEJ10" s="46"/>
      <c r="AEK10" s="46"/>
      <c r="AEL10" s="46"/>
      <c r="AEM10" s="46"/>
      <c r="AEN10" s="46"/>
      <c r="AEO10" s="46"/>
      <c r="AEP10" s="46"/>
      <c r="AEQ10" s="46"/>
      <c r="AER10" s="46"/>
      <c r="AES10" s="46"/>
      <c r="AET10" s="46"/>
      <c r="AEU10" s="46"/>
      <c r="AEV10" s="46"/>
      <c r="AEW10" s="46"/>
      <c r="AEX10" s="46"/>
      <c r="AEY10" s="46"/>
      <c r="AEZ10" s="46"/>
      <c r="AFA10" s="46"/>
      <c r="AFB10" s="46"/>
      <c r="AFC10" s="46"/>
      <c r="AFD10" s="46"/>
      <c r="AFE10" s="46"/>
      <c r="AFF10" s="46"/>
      <c r="AFG10" s="46"/>
      <c r="AFH10" s="46"/>
      <c r="AFI10" s="46"/>
      <c r="AFJ10" s="46"/>
      <c r="AFK10" s="46"/>
      <c r="AFL10" s="46"/>
      <c r="AFM10" s="46"/>
      <c r="AFN10" s="46"/>
      <c r="AFO10" s="46"/>
      <c r="AFP10" s="46"/>
      <c r="AFQ10" s="46"/>
      <c r="AFR10" s="46"/>
      <c r="AFS10" s="46"/>
      <c r="AFT10" s="46"/>
      <c r="AFU10" s="46"/>
      <c r="AFV10" s="46"/>
      <c r="AFW10" s="46"/>
      <c r="AFX10" s="46"/>
      <c r="AFY10" s="46"/>
      <c r="AFZ10" s="46"/>
      <c r="AGA10" s="46"/>
      <c r="AGB10" s="46"/>
      <c r="AGC10" s="46"/>
      <c r="AGD10" s="46"/>
      <c r="AGE10" s="46"/>
      <c r="AGF10" s="46"/>
      <c r="AGG10" s="46"/>
      <c r="AGH10" s="46"/>
      <c r="AGI10" s="46"/>
      <c r="AGJ10" s="46"/>
      <c r="AGK10" s="46"/>
      <c r="AGL10" s="46"/>
      <c r="AGM10" s="46"/>
      <c r="AGN10" s="46"/>
      <c r="AGO10" s="46"/>
      <c r="AGP10" s="46"/>
      <c r="AGQ10" s="46"/>
      <c r="AGR10" s="46"/>
      <c r="AGS10" s="46"/>
      <c r="AGT10" s="46"/>
      <c r="AGU10" s="46"/>
      <c r="AGV10" s="46"/>
      <c r="AGW10" s="46"/>
      <c r="AGX10" s="46"/>
      <c r="AGY10" s="46"/>
      <c r="AGZ10" s="46"/>
      <c r="AHA10" s="46"/>
      <c r="AHB10" s="46"/>
      <c r="AHC10" s="46"/>
      <c r="AHD10" s="46"/>
      <c r="AHE10" s="46"/>
      <c r="AHF10" s="46"/>
      <c r="AHG10" s="46"/>
      <c r="AHH10" s="46"/>
      <c r="AHI10" s="46"/>
      <c r="AHJ10" s="46"/>
      <c r="AHK10" s="46"/>
      <c r="AHL10" s="46"/>
      <c r="AHM10" s="46"/>
      <c r="AHN10" s="46"/>
      <c r="AHO10" s="46"/>
      <c r="AHP10" s="46"/>
      <c r="AHQ10" s="46"/>
      <c r="AHR10" s="46"/>
      <c r="AHS10" s="46"/>
      <c r="AHT10" s="46"/>
      <c r="AHU10" s="46"/>
      <c r="AHV10" s="46"/>
      <c r="AHW10" s="46"/>
      <c r="AHX10" s="46"/>
      <c r="AHY10" s="46"/>
      <c r="AHZ10" s="46"/>
      <c r="AIA10" s="46"/>
      <c r="AIB10" s="46"/>
      <c r="AIC10" s="46"/>
      <c r="AID10" s="46"/>
      <c r="AIE10" s="46"/>
      <c r="AIF10" s="46"/>
      <c r="AIG10" s="46"/>
      <c r="AIH10" s="46"/>
      <c r="AII10" s="46"/>
      <c r="AIJ10" s="46"/>
      <c r="AIK10" s="46"/>
      <c r="AIL10" s="46"/>
      <c r="AIM10" s="46"/>
      <c r="AIN10" s="46"/>
      <c r="AIO10" s="46"/>
      <c r="AIP10" s="46"/>
      <c r="AIQ10" s="46"/>
      <c r="AIR10" s="46"/>
      <c r="AIS10" s="46"/>
      <c r="AIT10" s="46"/>
      <c r="AIU10" s="46"/>
      <c r="AIV10" s="46"/>
      <c r="AIW10" s="46"/>
      <c r="AIX10" s="46"/>
      <c r="AIY10" s="46"/>
      <c r="AIZ10" s="46"/>
      <c r="AJA10" s="46"/>
      <c r="AJB10" s="46"/>
      <c r="AJC10" s="46"/>
      <c r="AJD10" s="46"/>
      <c r="AJE10" s="46"/>
      <c r="AJF10" s="46"/>
      <c r="AJG10" s="46"/>
      <c r="AJH10" s="46"/>
      <c r="AJI10" s="46"/>
      <c r="AJJ10" s="46"/>
      <c r="AJK10" s="46"/>
      <c r="AJL10" s="46"/>
      <c r="AJM10" s="46"/>
      <c r="AJN10" s="46"/>
      <c r="AJO10" s="46"/>
      <c r="AJP10" s="46"/>
      <c r="AJQ10" s="46"/>
      <c r="AJR10" s="46"/>
      <c r="AJS10" s="46"/>
      <c r="AJT10" s="46"/>
      <c r="AJU10" s="46"/>
      <c r="AJV10" s="46"/>
      <c r="AJW10" s="46"/>
      <c r="AJX10" s="46"/>
      <c r="AJY10" s="46"/>
      <c r="AJZ10" s="46"/>
      <c r="AKA10" s="46"/>
      <c r="AKB10" s="46"/>
      <c r="AKC10" s="46"/>
      <c r="AKD10" s="46"/>
      <c r="AKE10" s="46"/>
      <c r="AKF10" s="46"/>
      <c r="AKG10" s="46"/>
      <c r="AKH10" s="46"/>
      <c r="AKI10" s="46"/>
      <c r="AKJ10" s="46"/>
      <c r="AKK10" s="46"/>
      <c r="AKL10" s="46"/>
      <c r="AKM10" s="46"/>
      <c r="AKN10" s="46"/>
      <c r="AKO10" s="46"/>
      <c r="AKP10" s="46"/>
      <c r="AKQ10" s="46"/>
      <c r="AKR10" s="46"/>
      <c r="AKS10" s="46"/>
      <c r="AKT10" s="46"/>
      <c r="AKU10" s="46"/>
      <c r="AKV10" s="46"/>
      <c r="AKW10" s="46"/>
      <c r="AKX10" s="46"/>
      <c r="AKY10" s="46"/>
      <c r="AKZ10" s="46"/>
      <c r="ALA10" s="46"/>
      <c r="ALB10" s="46"/>
      <c r="ALC10" s="46"/>
      <c r="ALD10" s="46"/>
      <c r="ALE10" s="46"/>
      <c r="ALF10" s="46"/>
      <c r="ALG10" s="46"/>
      <c r="ALH10" s="46"/>
      <c r="ALI10" s="46"/>
      <c r="ALJ10" s="46"/>
      <c r="ALK10" s="46"/>
      <c r="ALL10" s="46"/>
      <c r="ALM10" s="46"/>
      <c r="ALN10" s="46"/>
      <c r="ALO10" s="46"/>
      <c r="ALP10" s="46"/>
      <c r="ALQ10" s="46"/>
      <c r="ALR10" s="46"/>
      <c r="ALS10" s="46"/>
      <c r="ALT10" s="46"/>
      <c r="ALU10" s="46"/>
      <c r="ALV10" s="46"/>
      <c r="ALW10" s="46"/>
      <c r="ALX10" s="46"/>
      <c r="ALY10" s="46"/>
      <c r="ALZ10" s="46"/>
      <c r="AMA10" s="46"/>
      <c r="AMB10" s="46"/>
      <c r="AMC10" s="46"/>
      <c r="AMD10" s="46"/>
      <c r="AME10" s="46"/>
      <c r="AMF10" s="46"/>
      <c r="AMG10" s="46"/>
      <c r="AMH10" s="46"/>
      <c r="AMI10" s="46"/>
      <c r="AMJ10" s="46"/>
      <c r="AMK10" s="46"/>
    </row>
    <row r="11" ht="15.75" customHeight="1">
      <c r="A11" s="8"/>
      <c r="B11" s="8"/>
      <c r="C11" s="8"/>
      <c r="D11" s="48"/>
      <c r="E11" s="8"/>
      <c r="F11" s="8"/>
      <c r="G11" s="48"/>
      <c r="H11" s="8"/>
      <c r="I11" s="8"/>
      <c r="J11" s="48"/>
      <c r="K11" s="48"/>
      <c r="L11" s="48"/>
      <c r="M11" s="8"/>
      <c r="N11" s="8"/>
      <c r="O11" s="8"/>
      <c r="AR11" s="48"/>
      <c r="BA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 t="s">
        <v>25</v>
      </c>
      <c r="E6" s="13">
        <v>10.0</v>
      </c>
      <c r="F6" s="8"/>
      <c r="G6" s="8"/>
      <c r="H6" s="13" t="s">
        <v>30</v>
      </c>
      <c r="I6" s="13" t="s">
        <v>50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 t="s">
        <v>25</v>
      </c>
      <c r="E6" s="13">
        <v>10.0</v>
      </c>
      <c r="F6" s="8"/>
      <c r="G6" s="8"/>
      <c r="H6" s="13" t="s">
        <v>30</v>
      </c>
      <c r="I6" s="13" t="s">
        <v>51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CreateOrderPTT3!$4:$4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I6" s="9" t="s">
        <v>16</v>
      </c>
      <c r="AT6" s="9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3" t="s">
        <v>16</v>
      </c>
      <c r="K7" s="8"/>
      <c r="L7" s="8"/>
      <c r="M7" s="8"/>
      <c r="N7" s="8"/>
      <c r="O7" s="8"/>
      <c r="AI7" s="9" t="s">
        <v>16</v>
      </c>
      <c r="AT7" s="9" t="s">
        <v>51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13" t="s">
        <v>50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10.0</v>
      </c>
      <c r="E6" s="31"/>
      <c r="F6" s="13" t="s">
        <v>50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13" t="s">
        <v>51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10.0</v>
      </c>
      <c r="E6" s="31"/>
      <c r="F6" s="13" t="s">
        <v>51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13" t="s">
        <v>50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8"/>
      <c r="D7" s="8"/>
      <c r="E7" s="8"/>
      <c r="F7" s="13" t="s">
        <v>51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22</v>
      </c>
      <c r="B6" s="49" t="s">
        <v>16</v>
      </c>
      <c r="C6" s="49" t="s">
        <v>31</v>
      </c>
      <c r="D6" s="49">
        <v>10.0</v>
      </c>
      <c r="E6" s="49">
        <v>10.0</v>
      </c>
      <c r="F6" s="8"/>
      <c r="G6" s="49" t="s">
        <v>45</v>
      </c>
      <c r="H6" s="8"/>
      <c r="I6" s="8"/>
      <c r="J6" s="8"/>
      <c r="K6" s="49" t="s">
        <v>46</v>
      </c>
      <c r="L6" s="49" t="s">
        <v>51</v>
      </c>
      <c r="M6" s="8" t="s">
        <v>47</v>
      </c>
      <c r="N6" s="8" t="s">
        <v>22</v>
      </c>
      <c r="O6" s="8"/>
      <c r="R6" t="s">
        <v>38</v>
      </c>
      <c r="S6" s="49" t="s">
        <v>36</v>
      </c>
      <c r="U6" s="49" t="s">
        <v>62</v>
      </c>
      <c r="V6" s="49" t="s">
        <v>63</v>
      </c>
      <c r="W6" t="s">
        <v>44</v>
      </c>
      <c r="X6" t="s">
        <v>43</v>
      </c>
      <c r="Y6">
        <v>1.0</v>
      </c>
      <c r="AF6" t="s">
        <v>42</v>
      </c>
      <c r="AG6" t="s">
        <v>41</v>
      </c>
      <c r="AH6" t="s">
        <v>66</v>
      </c>
      <c r="AI6" t="s">
        <v>45</v>
      </c>
      <c r="AJ6" t="s">
        <v>67</v>
      </c>
      <c r="AT6" t="s">
        <v>39</v>
      </c>
      <c r="AU6" t="s">
        <v>16</v>
      </c>
      <c r="AV6" t="s">
        <v>37</v>
      </c>
      <c r="BA6" t="s">
        <v>64</v>
      </c>
      <c r="BB6" t="s">
        <v>38</v>
      </c>
      <c r="BC6">
        <v>100.0</v>
      </c>
      <c r="BD6" t="s">
        <v>22</v>
      </c>
      <c r="BE6" t="s">
        <v>22</v>
      </c>
      <c r="BF6" t="s">
        <v>22</v>
      </c>
      <c r="BG6" t="s">
        <v>22</v>
      </c>
      <c r="BH6" t="s">
        <v>22</v>
      </c>
      <c r="BI6" t="s">
        <v>22</v>
      </c>
      <c r="BJ6" t="s">
        <v>22</v>
      </c>
      <c r="BK6" t="s">
        <v>22</v>
      </c>
      <c r="BL6" t="s">
        <v>22</v>
      </c>
      <c r="BM6" t="s">
        <v>22</v>
      </c>
      <c r="BN6" t="s">
        <v>22</v>
      </c>
      <c r="BO6" t="s">
        <v>22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 t="s">
        <v>22</v>
      </c>
      <c r="CF6" t="s">
        <v>22</v>
      </c>
      <c r="CG6" t="s">
        <v>22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  <c r="DU6" t="s">
        <v>22</v>
      </c>
      <c r="DV6" t="s">
        <v>22</v>
      </c>
      <c r="DW6" t="s">
        <v>22</v>
      </c>
      <c r="DX6" t="s">
        <v>22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t="s">
        <v>22</v>
      </c>
      <c r="EF6" t="s">
        <v>22</v>
      </c>
      <c r="EG6" t="s">
        <v>22</v>
      </c>
      <c r="EH6" t="s">
        <v>22</v>
      </c>
      <c r="EI6" t="s">
        <v>22</v>
      </c>
      <c r="EJ6" t="s">
        <v>22</v>
      </c>
      <c r="EK6" t="s">
        <v>22</v>
      </c>
      <c r="EL6" t="s">
        <v>22</v>
      </c>
      <c r="EM6" t="s">
        <v>22</v>
      </c>
      <c r="EN6" t="s">
        <v>22</v>
      </c>
      <c r="EO6" t="s">
        <v>22</v>
      </c>
      <c r="EP6" t="s">
        <v>22</v>
      </c>
      <c r="EQ6" t="s">
        <v>22</v>
      </c>
      <c r="ER6" t="s">
        <v>22</v>
      </c>
      <c r="ES6" t="s">
        <v>22</v>
      </c>
      <c r="ET6" t="s">
        <v>22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22</v>
      </c>
      <c r="FC6" t="s">
        <v>22</v>
      </c>
      <c r="FD6" t="s">
        <v>22</v>
      </c>
      <c r="FE6" t="s">
        <v>22</v>
      </c>
      <c r="FF6" t="s">
        <v>22</v>
      </c>
      <c r="FG6" t="s">
        <v>22</v>
      </c>
      <c r="FH6" t="s">
        <v>22</v>
      </c>
      <c r="FI6" t="s">
        <v>22</v>
      </c>
      <c r="FJ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22</v>
      </c>
      <c r="B7" s="50" t="s">
        <v>16</v>
      </c>
      <c r="C7" s="50" t="s">
        <v>31</v>
      </c>
      <c r="D7" s="50">
        <v>10.0</v>
      </c>
      <c r="E7" s="50">
        <v>10.0</v>
      </c>
      <c r="F7" s="8"/>
      <c r="G7" s="50" t="s">
        <v>45</v>
      </c>
      <c r="H7" s="8"/>
      <c r="I7" s="8"/>
      <c r="J7" s="8"/>
      <c r="K7" s="50" t="s">
        <v>46</v>
      </c>
      <c r="L7" s="50" t="s">
        <v>50</v>
      </c>
      <c r="M7" s="8" t="s">
        <v>47</v>
      </c>
      <c r="N7" s="8" t="s">
        <v>22</v>
      </c>
      <c r="O7" s="8"/>
      <c r="R7" t="s">
        <v>38</v>
      </c>
      <c r="S7" s="50" t="s">
        <v>36</v>
      </c>
      <c r="U7" s="50" t="s">
        <v>62</v>
      </c>
      <c r="V7" s="50" t="s">
        <v>63</v>
      </c>
      <c r="W7" t="s">
        <v>44</v>
      </c>
      <c r="X7" t="s">
        <v>43</v>
      </c>
      <c r="Y7">
        <v>1.0</v>
      </c>
      <c r="AF7" t="s">
        <v>42</v>
      </c>
      <c r="AG7" t="s">
        <v>41</v>
      </c>
      <c r="AH7" t="s">
        <v>66</v>
      </c>
      <c r="AI7" t="s">
        <v>45</v>
      </c>
      <c r="AJ7" t="s">
        <v>67</v>
      </c>
      <c r="AT7" t="s">
        <v>39</v>
      </c>
      <c r="AU7" t="s">
        <v>16</v>
      </c>
      <c r="AV7" t="s">
        <v>37</v>
      </c>
      <c r="BA7" t="s">
        <v>27</v>
      </c>
      <c r="BB7" t="s">
        <v>38</v>
      </c>
      <c r="BC7">
        <v>100.0</v>
      </c>
      <c r="BD7" t="s">
        <v>22</v>
      </c>
      <c r="BE7" t="s">
        <v>22</v>
      </c>
      <c r="BF7" t="s">
        <v>22</v>
      </c>
      <c r="BG7" t="s">
        <v>22</v>
      </c>
      <c r="BH7" t="s">
        <v>22</v>
      </c>
      <c r="BI7" t="s">
        <v>22</v>
      </c>
      <c r="BJ7" t="s">
        <v>22</v>
      </c>
      <c r="BK7" t="s">
        <v>22</v>
      </c>
      <c r="BL7" t="s">
        <v>22</v>
      </c>
      <c r="BM7" t="s">
        <v>22</v>
      </c>
      <c r="BN7" t="s">
        <v>22</v>
      </c>
      <c r="BO7" t="s">
        <v>22</v>
      </c>
      <c r="BP7" t="s">
        <v>22</v>
      </c>
      <c r="BQ7" t="s">
        <v>22</v>
      </c>
      <c r="BR7" t="s">
        <v>22</v>
      </c>
      <c r="BS7" t="s">
        <v>22</v>
      </c>
      <c r="BT7" t="s">
        <v>22</v>
      </c>
      <c r="BU7" t="s">
        <v>22</v>
      </c>
      <c r="BV7" t="s">
        <v>22</v>
      </c>
      <c r="BW7" t="s">
        <v>22</v>
      </c>
      <c r="BX7" t="s">
        <v>22</v>
      </c>
      <c r="BY7" t="s">
        <v>22</v>
      </c>
      <c r="BZ7" t="s">
        <v>22</v>
      </c>
      <c r="CA7" t="s">
        <v>22</v>
      </c>
      <c r="CB7" t="s">
        <v>22</v>
      </c>
      <c r="CC7" t="s">
        <v>22</v>
      </c>
      <c r="CD7" t="s">
        <v>22</v>
      </c>
      <c r="CE7" t="s">
        <v>22</v>
      </c>
      <c r="CF7" t="s">
        <v>22</v>
      </c>
      <c r="CG7" t="s">
        <v>22</v>
      </c>
      <c r="CH7" t="s">
        <v>22</v>
      </c>
      <c r="CI7" t="s">
        <v>22</v>
      </c>
      <c r="CJ7" t="s">
        <v>22</v>
      </c>
      <c r="CK7" t="s">
        <v>22</v>
      </c>
      <c r="CL7" t="s">
        <v>22</v>
      </c>
      <c r="CM7" t="s">
        <v>22</v>
      </c>
      <c r="CN7" t="s">
        <v>22</v>
      </c>
      <c r="CO7" t="s">
        <v>22</v>
      </c>
      <c r="CP7" t="s">
        <v>22</v>
      </c>
      <c r="CQ7" t="s">
        <v>22</v>
      </c>
      <c r="CR7" t="s">
        <v>22</v>
      </c>
      <c r="CS7" t="s">
        <v>22</v>
      </c>
      <c r="CT7" t="s">
        <v>22</v>
      </c>
      <c r="CU7" t="s">
        <v>22</v>
      </c>
      <c r="CV7" t="s">
        <v>22</v>
      </c>
      <c r="CW7" t="s">
        <v>22</v>
      </c>
      <c r="CX7" t="s">
        <v>22</v>
      </c>
      <c r="CY7" t="s">
        <v>22</v>
      </c>
      <c r="CZ7" t="s">
        <v>22</v>
      </c>
      <c r="DA7" t="s">
        <v>22</v>
      </c>
      <c r="DB7" t="s">
        <v>22</v>
      </c>
      <c r="DC7" t="s">
        <v>22</v>
      </c>
      <c r="DD7" t="s">
        <v>22</v>
      </c>
      <c r="DE7" t="s">
        <v>22</v>
      </c>
      <c r="DF7" t="s">
        <v>22</v>
      </c>
      <c r="DG7" t="s">
        <v>22</v>
      </c>
      <c r="DH7" t="s">
        <v>22</v>
      </c>
      <c r="DI7" t="s">
        <v>22</v>
      </c>
      <c r="DJ7" t="s">
        <v>22</v>
      </c>
      <c r="DK7" t="s">
        <v>22</v>
      </c>
      <c r="DL7" t="s">
        <v>22</v>
      </c>
      <c r="DM7" t="s">
        <v>22</v>
      </c>
      <c r="DN7" t="s">
        <v>22</v>
      </c>
      <c r="DO7" t="s">
        <v>22</v>
      </c>
      <c r="DP7" t="s">
        <v>22</v>
      </c>
      <c r="DQ7" t="s">
        <v>22</v>
      </c>
      <c r="DR7" t="s">
        <v>22</v>
      </c>
      <c r="DS7" t="s">
        <v>22</v>
      </c>
      <c r="DT7" t="s">
        <v>22</v>
      </c>
      <c r="DU7" t="s">
        <v>22</v>
      </c>
      <c r="DV7" t="s">
        <v>22</v>
      </c>
      <c r="DW7" t="s">
        <v>22</v>
      </c>
      <c r="DX7" t="s">
        <v>22</v>
      </c>
      <c r="DY7" t="s">
        <v>22</v>
      </c>
      <c r="DZ7" t="s">
        <v>22</v>
      </c>
      <c r="EA7" t="s">
        <v>22</v>
      </c>
      <c r="EB7" t="s">
        <v>22</v>
      </c>
      <c r="EC7" t="s">
        <v>22</v>
      </c>
      <c r="ED7" t="s">
        <v>22</v>
      </c>
      <c r="EE7" t="s">
        <v>22</v>
      </c>
      <c r="EF7" t="s">
        <v>22</v>
      </c>
      <c r="EG7" t="s">
        <v>22</v>
      </c>
      <c r="EH7" t="s">
        <v>22</v>
      </c>
      <c r="EI7" t="s">
        <v>22</v>
      </c>
      <c r="EJ7" t="s">
        <v>22</v>
      </c>
      <c r="EK7" t="s">
        <v>22</v>
      </c>
      <c r="EL7" t="s">
        <v>22</v>
      </c>
      <c r="EM7" t="s">
        <v>22</v>
      </c>
      <c r="EN7" t="s">
        <v>22</v>
      </c>
      <c r="EO7" t="s">
        <v>22</v>
      </c>
      <c r="EP7" t="s">
        <v>22</v>
      </c>
      <c r="EQ7" t="s">
        <v>22</v>
      </c>
      <c r="ER7" t="s">
        <v>22</v>
      </c>
      <c r="ES7" t="s">
        <v>22</v>
      </c>
      <c r="ET7" t="s">
        <v>22</v>
      </c>
      <c r="EU7" t="s">
        <v>22</v>
      </c>
      <c r="EV7" t="s">
        <v>22</v>
      </c>
      <c r="EW7" t="s">
        <v>22</v>
      </c>
      <c r="EX7" t="s">
        <v>22</v>
      </c>
      <c r="EY7" t="s">
        <v>22</v>
      </c>
      <c r="EZ7" t="s">
        <v>22</v>
      </c>
      <c r="FA7" t="s">
        <v>22</v>
      </c>
      <c r="FB7" t="s">
        <v>22</v>
      </c>
      <c r="FC7" t="s">
        <v>22</v>
      </c>
      <c r="FD7" t="s">
        <v>22</v>
      </c>
      <c r="FE7" t="s">
        <v>22</v>
      </c>
      <c r="FF7" t="s">
        <v>22</v>
      </c>
      <c r="FG7" t="s">
        <v>22</v>
      </c>
      <c r="FH7" t="s">
        <v>22</v>
      </c>
      <c r="FI7" t="s">
        <v>22</v>
      </c>
      <c r="FJ7" t="s">
        <v>22</v>
      </c>
      <c r="FK7" t="s">
        <v>22</v>
      </c>
      <c r="FL7" t="s">
        <v>22</v>
      </c>
      <c r="FM7" t="s">
        <v>22</v>
      </c>
      <c r="FN7" t="s">
        <v>22</v>
      </c>
      <c r="FO7" t="s">
        <v>22</v>
      </c>
      <c r="FP7" t="s">
        <v>22</v>
      </c>
      <c r="FQ7" t="s">
        <v>22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/>
      <c r="B8" s="8"/>
      <c r="C8" s="8"/>
      <c r="D8" s="8"/>
      <c r="E8" s="48"/>
      <c r="F8" s="8"/>
      <c r="G8" s="48"/>
      <c r="H8" s="8"/>
      <c r="I8" s="8"/>
      <c r="J8" s="8"/>
      <c r="K8" s="8"/>
      <c r="L8" s="8"/>
      <c r="M8" s="8"/>
      <c r="N8" s="8"/>
      <c r="O8" s="8"/>
      <c r="S8" s="48"/>
      <c r="U8" s="4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S9" s="4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S10" s="4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22</v>
      </c>
      <c r="B6" s="32"/>
      <c r="C6" s="8"/>
      <c r="D6" s="32"/>
      <c r="E6" s="8" t="s">
        <v>36</v>
      </c>
      <c r="F6" s="8"/>
      <c r="G6" s="8">
        <v>10.0</v>
      </c>
      <c r="H6" s="8" t="s">
        <v>37</v>
      </c>
      <c r="I6" s="8" t="s">
        <v>38</v>
      </c>
      <c r="J6" s="8" t="s">
        <v>16</v>
      </c>
      <c r="K6" s="8" t="s">
        <v>39</v>
      </c>
      <c r="L6" s="8"/>
      <c r="M6" s="8"/>
      <c r="N6" s="8"/>
      <c r="O6" s="8"/>
      <c r="U6" t="s">
        <v>41</v>
      </c>
      <c r="V6" t="s">
        <v>42</v>
      </c>
      <c r="AA6" t="s">
        <v>27</v>
      </c>
      <c r="AD6">
        <v>1.0</v>
      </c>
      <c r="AF6" t="s">
        <v>43</v>
      </c>
      <c r="AH6" t="s">
        <v>44</v>
      </c>
      <c r="AI6" t="s">
        <v>16</v>
      </c>
      <c r="AJ6" t="s">
        <v>31</v>
      </c>
      <c r="AK6" t="s">
        <v>68</v>
      </c>
      <c r="AL6">
        <v>605.0</v>
      </c>
      <c r="AP6">
        <v>595.0</v>
      </c>
      <c r="AS6" t="s">
        <v>46</v>
      </c>
      <c r="AT6" t="s">
        <v>50</v>
      </c>
      <c r="AU6" t="s">
        <v>47</v>
      </c>
      <c r="AX6" t="s">
        <v>62</v>
      </c>
      <c r="AY6">
        <v>605.0</v>
      </c>
      <c r="AZ6">
        <v>605.0</v>
      </c>
      <c r="BA6" t="s">
        <v>38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20</v>
      </c>
      <c r="BH6" t="s">
        <v>69</v>
      </c>
      <c r="BK6" t="s">
        <v>22</v>
      </c>
      <c r="BL6" t="s">
        <v>22</v>
      </c>
      <c r="BM6" t="s">
        <v>22</v>
      </c>
      <c r="BN6" t="s">
        <v>22</v>
      </c>
      <c r="BO6" t="s">
        <v>22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 t="s">
        <v>22</v>
      </c>
      <c r="CF6" t="s">
        <v>22</v>
      </c>
      <c r="CG6" t="s">
        <v>22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  <c r="DU6" t="s">
        <v>22</v>
      </c>
      <c r="DV6" t="s">
        <v>22</v>
      </c>
      <c r="DW6" t="s">
        <v>22</v>
      </c>
      <c r="DX6" t="s">
        <v>22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t="s">
        <v>22</v>
      </c>
      <c r="EF6" t="s">
        <v>22</v>
      </c>
      <c r="EG6" t="s">
        <v>22</v>
      </c>
      <c r="EH6" t="s">
        <v>22</v>
      </c>
      <c r="EI6" t="s">
        <v>22</v>
      </c>
      <c r="EJ6" t="s">
        <v>22</v>
      </c>
      <c r="EK6" t="s">
        <v>22</v>
      </c>
      <c r="EL6" t="s">
        <v>22</v>
      </c>
      <c r="EM6" t="s">
        <v>22</v>
      </c>
      <c r="EN6" t="s">
        <v>22</v>
      </c>
      <c r="EO6" t="s">
        <v>22</v>
      </c>
      <c r="EP6" t="s">
        <v>22</v>
      </c>
      <c r="EQ6" t="s">
        <v>22</v>
      </c>
      <c r="ER6" t="s">
        <v>22</v>
      </c>
      <c r="ES6" t="s">
        <v>22</v>
      </c>
      <c r="ET6" t="s">
        <v>22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22</v>
      </c>
      <c r="FC6" t="s">
        <v>22</v>
      </c>
      <c r="FD6" t="s">
        <v>22</v>
      </c>
      <c r="FE6" t="s">
        <v>22</v>
      </c>
      <c r="FF6" t="s">
        <v>22</v>
      </c>
      <c r="FG6" t="s">
        <v>22</v>
      </c>
      <c r="FH6" t="s">
        <v>22</v>
      </c>
      <c r="FI6" t="s">
        <v>22</v>
      </c>
      <c r="FJ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22</v>
      </c>
      <c r="B7" s="8"/>
      <c r="C7" s="8"/>
      <c r="D7" s="8"/>
      <c r="E7" s="8" t="s">
        <v>36</v>
      </c>
      <c r="F7" s="8"/>
      <c r="G7" s="8">
        <v>10.0</v>
      </c>
      <c r="H7" s="8" t="s">
        <v>37</v>
      </c>
      <c r="I7" s="8" t="s">
        <v>38</v>
      </c>
      <c r="J7" s="8" t="s">
        <v>16</v>
      </c>
      <c r="K7" s="8" t="s">
        <v>39</v>
      </c>
      <c r="L7" s="8"/>
      <c r="M7" s="8"/>
      <c r="N7" s="8"/>
      <c r="O7" s="8"/>
      <c r="U7" t="s">
        <v>41</v>
      </c>
      <c r="V7" t="s">
        <v>42</v>
      </c>
      <c r="AA7" t="s">
        <v>64</v>
      </c>
      <c r="AD7">
        <v>1.0</v>
      </c>
      <c r="AF7" t="s">
        <v>43</v>
      </c>
      <c r="AH7" t="s">
        <v>44</v>
      </c>
      <c r="AI7" t="s">
        <v>16</v>
      </c>
      <c r="AJ7" t="s">
        <v>31</v>
      </c>
      <c r="AK7" t="s">
        <v>68</v>
      </c>
      <c r="AL7">
        <v>605.0</v>
      </c>
      <c r="AP7">
        <v>595.0</v>
      </c>
      <c r="AS7" t="s">
        <v>46</v>
      </c>
      <c r="AT7" t="s">
        <v>51</v>
      </c>
      <c r="AU7" t="s">
        <v>47</v>
      </c>
      <c r="AX7" t="s">
        <v>62</v>
      </c>
      <c r="AY7">
        <v>605.0</v>
      </c>
      <c r="AZ7">
        <v>605.0</v>
      </c>
      <c r="BA7" t="s">
        <v>38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G7" t="s">
        <v>20</v>
      </c>
      <c r="BH7" t="s">
        <v>69</v>
      </c>
      <c r="BK7" t="s">
        <v>22</v>
      </c>
      <c r="BL7" t="s">
        <v>22</v>
      </c>
      <c r="BM7" t="s">
        <v>22</v>
      </c>
      <c r="BN7" t="s">
        <v>22</v>
      </c>
      <c r="BO7" t="s">
        <v>22</v>
      </c>
      <c r="BP7" t="s">
        <v>22</v>
      </c>
      <c r="BQ7" t="s">
        <v>22</v>
      </c>
      <c r="BR7" t="s">
        <v>22</v>
      </c>
      <c r="BS7" t="s">
        <v>22</v>
      </c>
      <c r="BT7" t="s">
        <v>22</v>
      </c>
      <c r="BU7" t="s">
        <v>22</v>
      </c>
      <c r="BV7" t="s">
        <v>22</v>
      </c>
      <c r="BW7" t="s">
        <v>22</v>
      </c>
      <c r="BX7" t="s">
        <v>22</v>
      </c>
      <c r="BY7" t="s">
        <v>22</v>
      </c>
      <c r="BZ7" t="s">
        <v>22</v>
      </c>
      <c r="CA7" t="s">
        <v>22</v>
      </c>
      <c r="CB7" t="s">
        <v>22</v>
      </c>
      <c r="CC7" t="s">
        <v>22</v>
      </c>
      <c r="CD7" t="s">
        <v>22</v>
      </c>
      <c r="CE7" t="s">
        <v>22</v>
      </c>
      <c r="CF7" t="s">
        <v>22</v>
      </c>
      <c r="CG7" t="s">
        <v>22</v>
      </c>
      <c r="CH7" t="s">
        <v>22</v>
      </c>
      <c r="CI7" t="s">
        <v>22</v>
      </c>
      <c r="CJ7" t="s">
        <v>22</v>
      </c>
      <c r="CK7" t="s">
        <v>22</v>
      </c>
      <c r="CL7" t="s">
        <v>22</v>
      </c>
      <c r="CM7" t="s">
        <v>22</v>
      </c>
      <c r="CN7" t="s">
        <v>22</v>
      </c>
      <c r="CO7" t="s">
        <v>22</v>
      </c>
      <c r="CP7" t="s">
        <v>22</v>
      </c>
      <c r="CQ7" t="s">
        <v>22</v>
      </c>
      <c r="CR7" t="s">
        <v>22</v>
      </c>
      <c r="CS7" t="s">
        <v>22</v>
      </c>
      <c r="CT7" t="s">
        <v>22</v>
      </c>
      <c r="CU7" t="s">
        <v>22</v>
      </c>
      <c r="CV7" t="s">
        <v>22</v>
      </c>
      <c r="CW7" t="s">
        <v>22</v>
      </c>
      <c r="CX7" t="s">
        <v>22</v>
      </c>
      <c r="CY7" t="s">
        <v>22</v>
      </c>
      <c r="CZ7" t="s">
        <v>22</v>
      </c>
      <c r="DA7" t="s">
        <v>22</v>
      </c>
      <c r="DB7" t="s">
        <v>22</v>
      </c>
      <c r="DC7" t="s">
        <v>22</v>
      </c>
      <c r="DD7" t="s">
        <v>22</v>
      </c>
      <c r="DE7" t="s">
        <v>22</v>
      </c>
      <c r="DF7" t="s">
        <v>22</v>
      </c>
      <c r="DG7" t="s">
        <v>22</v>
      </c>
      <c r="DH7" t="s">
        <v>22</v>
      </c>
      <c r="DI7" t="s">
        <v>22</v>
      </c>
      <c r="DJ7" t="s">
        <v>22</v>
      </c>
      <c r="DK7" t="s">
        <v>22</v>
      </c>
      <c r="DL7" t="s">
        <v>22</v>
      </c>
      <c r="DM7" t="s">
        <v>22</v>
      </c>
      <c r="DN7" t="s">
        <v>22</v>
      </c>
      <c r="DO7" t="s">
        <v>22</v>
      </c>
      <c r="DP7" t="s">
        <v>22</v>
      </c>
      <c r="DQ7" t="s">
        <v>22</v>
      </c>
      <c r="DR7" t="s">
        <v>22</v>
      </c>
      <c r="DS7" t="s">
        <v>22</v>
      </c>
      <c r="DT7" t="s">
        <v>22</v>
      </c>
      <c r="DU7" t="s">
        <v>22</v>
      </c>
      <c r="DV7" t="s">
        <v>22</v>
      </c>
      <c r="DW7" t="s">
        <v>22</v>
      </c>
      <c r="DX7" t="s">
        <v>22</v>
      </c>
      <c r="DY7" t="s">
        <v>22</v>
      </c>
      <c r="DZ7" t="s">
        <v>22</v>
      </c>
      <c r="EA7" t="s">
        <v>22</v>
      </c>
      <c r="EB7" t="s">
        <v>22</v>
      </c>
      <c r="EC7" t="s">
        <v>22</v>
      </c>
      <c r="ED7" t="s">
        <v>22</v>
      </c>
      <c r="EE7" t="s">
        <v>22</v>
      </c>
      <c r="EF7" t="s">
        <v>22</v>
      </c>
      <c r="EG7" t="s">
        <v>22</v>
      </c>
      <c r="EH7" t="s">
        <v>22</v>
      </c>
      <c r="EI7" t="s">
        <v>22</v>
      </c>
      <c r="EJ7" t="s">
        <v>22</v>
      </c>
      <c r="EK7" t="s">
        <v>22</v>
      </c>
      <c r="EL7" t="s">
        <v>22</v>
      </c>
      <c r="EM7" t="s">
        <v>22</v>
      </c>
      <c r="EN7" t="s">
        <v>22</v>
      </c>
      <c r="EO7" t="s">
        <v>22</v>
      </c>
      <c r="EP7" t="s">
        <v>22</v>
      </c>
      <c r="EQ7" t="s">
        <v>22</v>
      </c>
      <c r="ER7" t="s">
        <v>22</v>
      </c>
      <c r="ES7" t="s">
        <v>22</v>
      </c>
      <c r="ET7" t="s">
        <v>22</v>
      </c>
      <c r="EU7" t="s">
        <v>22</v>
      </c>
      <c r="EV7" t="s">
        <v>22</v>
      </c>
      <c r="EW7" t="s">
        <v>22</v>
      </c>
      <c r="EX7" t="s">
        <v>22</v>
      </c>
      <c r="EY7" t="s">
        <v>22</v>
      </c>
      <c r="EZ7" t="s">
        <v>22</v>
      </c>
      <c r="FA7" t="s">
        <v>22</v>
      </c>
      <c r="FB7" t="s">
        <v>22</v>
      </c>
      <c r="FC7" t="s">
        <v>22</v>
      </c>
      <c r="FD7" t="s">
        <v>22</v>
      </c>
      <c r="FE7" t="s">
        <v>22</v>
      </c>
      <c r="FF7" t="s">
        <v>22</v>
      </c>
      <c r="FG7" t="s">
        <v>22</v>
      </c>
      <c r="FH7" t="s">
        <v>22</v>
      </c>
      <c r="FI7" t="s">
        <v>22</v>
      </c>
      <c r="FJ7" t="s">
        <v>22</v>
      </c>
      <c r="FK7" t="s">
        <v>22</v>
      </c>
      <c r="FL7" t="s">
        <v>22</v>
      </c>
      <c r="FM7" t="s">
        <v>22</v>
      </c>
      <c r="FN7" t="s">
        <v>22</v>
      </c>
      <c r="FO7" t="s">
        <v>22</v>
      </c>
      <c r="FP7" t="s">
        <v>22</v>
      </c>
      <c r="FQ7" t="s">
        <v>22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