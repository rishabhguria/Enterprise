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TabBlotter" sheetId="5" r:id="rId7"/>
    <sheet state="visible" name="SelectCheckBoxOnCustomTab" sheetId="6" r:id="rId8"/>
    <sheet state="visible" name="VerifyLowerStripBlotterUI" sheetId="7" r:id="rId9"/>
    <sheet state="visible" name="OpenBlotter" sheetId="8" r:id="rId10"/>
  </sheets>
  <calcPr fullCalcOnLoad="1" fullPrecision="1"/>
</workbook>
</file>

<file path=xl/sharedStrings.xml><?xml version="1.0" encoding="utf-8"?>
<sst xmlns="http://schemas.openxmlformats.org/spreadsheetml/2006/main" count="27" uniqueCount="27">
  <si>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</si>
  <si>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</si>
  <si>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</si>
  <si>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</si>
  <si>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</si>
  <si>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</si>
  <si>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</si>
  <si>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</si>
  <si>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</si>
  <si>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</si>
  <si>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</si>
  <si>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</si>
  <si>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</si>
  <si>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</si>
  <si>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</si>
  <si>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</si>
  <si>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</si>
  <si>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</si>
  <si>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</si>
  <si>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AddTabBlotter</t>
  </si>
  <si>
    <t>test</t>
  </si>
  <si>
    <t>Add Tab(Order)</t>
  </si>
  <si>
    <t>SelectCheckBoxOnCustomTab</t>
  </si>
  <si>
    <t>VerifyLowerStripBlotterUI</t>
  </si>
  <si>
    <t xml:space="preserve">Count(Selected Orders) : 1  ;  Sum(Target Qty) : 100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</si>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</sst>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3" applyNumberFormat="1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A1B390-997D-4126-A0EB-053ECC1832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A8F6970-4BD0-41A7-8419-C6EB13FA22AD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FF0E331B-ADDA-4EF6-A367-9F6536B9AFCA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A81258C-63FE-4A28-9811-8686E5B968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21101BA-10B1-47F1-894D-F511FE49657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A1F0826-A5FC-45ED-BDC1-97A658AEAA82}">
          <x14:formula1>
            <xm:f>AddTabBlotter!$4:$4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IFERROR(__xludf.DUMMYFUNCTION("""COMPUTED_VALUE"""),"TabName")</f>
        <v>TabName</v>
      </c>
      <c r="C5" s="27" t="str">
        <f>IFERROR(__xludf.DUMMYFUNCTION("""COMPUTED_VALUE"""),"Transaction Time")</f>
        <v>Transaction Time</v>
      </c>
      <c r="D5" s="27" t="str">
        <f>IFERROR(__xludf.DUMMYFUNCTION("""COMPUTED_VALUE"""),"Algo")</f>
        <v>Algo</v>
      </c>
      <c r="E5" s="27" t="str">
        <f>IFERROR(__xludf.DUMMYFUNCTION("""COMPUTED_VALUE"""),"Avg Fill Price (Base)")</f>
        <v>Avg Fill Price (Base)</v>
      </c>
      <c r="F5" s="28" t="str">
        <f>IFERROR(__xludf.DUMMYFUNCTION("""COMPUTED_VALUE"""),"Bloomberg Symbol")</f>
        <v>Bloomberg Symbol</v>
      </c>
      <c r="G5" s="27" t="str">
        <f>IFERROR(__xludf.DUMMYFUNCTION("""COMPUTED_VALUE"""),"Limit Price")</f>
        <v>Limit Price</v>
      </c>
      <c r="H5" s="27" t="str">
        <f>IFERROR(__xludf.DUMMYFUNCTION("""COMPUTED_VALUE"""),"Working Qty")</f>
        <v>Working Qty</v>
      </c>
      <c r="I5" s="27" t="str">
        <f>IFERROR(__xludf.DUMMYFUNCTION("""COMPUTED_VALUE"""),"Venue")</f>
        <v>Venue</v>
      </c>
      <c r="J5" s="27" t="str">
        <f>IFERROR(__xludf.DUMMYFUNCTION("""COMPUTED_VALUE"""),"User")</f>
        <v>User</v>
      </c>
      <c r="K5" s="27" t="str">
        <f>IFERROR(__xludf.DUMMYFUNCTION("""COMPUTED_VALUE"""),"Underlying Symbol")</f>
        <v>Underlying Symbol</v>
      </c>
      <c r="L5" s="27" t="str">
        <f>IFERROR(__xludf.DUMMYFUNCTION("""COMPUTED_VALUE"""),"Underlying Country")</f>
        <v>Underlying Country</v>
      </c>
      <c r="M5" s="27" t="str">
        <f>IFERROR(__xludf.DUMMYFUNCTION("""COMPUTED_VALUE"""),"Trader")</f>
        <v>Trader</v>
      </c>
      <c r="N5" s="27" t="str">
        <f>IFERROR(__xludf.DUMMYFUNCTION("""COMPUTED_VALUE"""),"Trade Attribute 1")</f>
        <v>Trade Attribute 1</v>
      </c>
      <c r="O5" s="27" t="str">
        <f>IFERROR(__xludf.DUMMYFUNCTION("""COMPUTED_VALUE"""),"Trade Attribute 2")</f>
        <v>Trade Attribute 2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4")</f>
        <v>Trade Attribute 4</v>
      </c>
      <c r="R5" s="27" t="str">
        <f>IFERROR(__xludf.DUMMYFUNCTION("""COMPUTED_VALUE"""),"Trade Attribute 5")</f>
        <v>Trade Attribute 5</v>
      </c>
      <c r="S5" s="27" t="str">
        <f>IFERROR(__xludf.DUMMYFUNCTION("""COMPUTED_VALUE"""),"Trade Attribute 6")</f>
        <v>Trade Attribute 6</v>
      </c>
      <c r="T5" s="29" t="str">
        <f>IFERROR(__xludf.DUMMYFUNCTION("""COMPUTED_VALUE"""),"Strike Price")</f>
        <v>Strike Price</v>
      </c>
      <c r="U5" s="29" t="str">
        <f>IFERROR(__xludf.DUMMYFUNCTION("""COMPUTED_VALUE"""),"Stop Price")</f>
        <v>Stop Price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IFERROR(__xludf.DUMMYFUNCTION("""COMPUTED_VALUE"""),"Target Qty")</f>
        <v>Target Qty</v>
      </c>
      <c r="AN5" s="29" t="str">
        <f>IFERROR(__xludf.DUMMYFUNCTION("""COMPUTED_VALUE"""),"Total Executed Qty")</f>
        <v>Total 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AC71268-4848-401B-8634-31129FC52A0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B694A64-5065-4964-B833-8C68E4AA9DB6}">
          <x14:formula1>
            <xm:f>SelectCheckBoxOnCustomTab!$4:$4</xm:f>
          </x14:formula1>
          <xm:sqref>E3</xm:sqref>
        </x14:dataValidation>
        <x14:dataValidation type="list" allowBlank="1" showInputMessage="1" showErrorMessage="1" prompt="Choose an available module" xr:uid="{573D17E0-C75B-4ADC-AA61-28E6D6FFC992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IFERROR(__xludf.DUMMYFUNCTION("""COMPUTED_VALUE"""),"Count(Orders),Sum(TargetQty)")</f>
        <v>Count(Orders),Sum(TargetQty)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ECFC05C-52F2-4621-BEFA-47BDC446AE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E7FCD37-AD21-4BBC-8AB5-3AC71D198A64}">
          <x14:formula1>
            <xm:f>VerifyLowerStripBlotterUI!$4:$4</xm:f>
          </x14:formula1>
          <xm:sqref>E3</xm:sqref>
        </x14:dataValidation>
        <x14:dataValidation type="list" allowBlank="1" showInputMessage="1" showErrorMessage="1" prompt="Choose an available module" xr:uid="{B428A2D2-9498-4D97-BBCB-83AF048FE346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/>
    <row r="6" ht="15.75" customHeight="1">
      <c r="A6" s="12"/>
      <c r="B6" s="12" t="s">
        <v>25</v>
      </c>
      <c r="C6" s="8"/>
      <c r="D6" s="12" t="s">
        <v>26</v>
      </c>
      <c r="E6" s="30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F4A24C-6712-45CC-85DB-99321193DEB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8050C8B-27E1-4192-8AD7-EBFB8BFB4A53}">
          <x14:formula1>
            <xm:f>OpenBlotter!$4:$4</xm:f>
          </x14:formula1>
          <xm:sqref>E3</xm:sqref>
        </x14:dataValidation>
        <x14:dataValidation type="list" allowBlank="1" showInputMessage="1" showErrorMessage="1" prompt="Choose an available module" xr:uid="{855B3826-A0E1-435E-9BF9-D429EC9E42F2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