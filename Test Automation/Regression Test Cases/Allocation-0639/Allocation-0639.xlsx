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Unallocate" sheetId="6" r:id="rId8"/>
    <sheet state="visible" name="SelectUnallocatedGroup" sheetId="7" r:id="rId9"/>
    <sheet state="visible" name="EnterAccountValuesToAllocate" sheetId="8" r:id="rId10"/>
    <sheet state="visible" name="CheckAllocatedGroups" sheetId="9" r:id="rId11"/>
  </sheets>
  <definedNames/>
  <calcPr/>
</workbook>
</file>

<file path=xl/sharedStrings.xml><?xml version="1.0" encoding="utf-8"?>
<sst xmlns="http://schemas.openxmlformats.org/spreadsheetml/2006/main" count="96" uniqueCount="42">
  <si>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</si>
  <si>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</si>
  <si>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</si>
  <si>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</si>
  <si>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</si>
  <si>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</si>
  <si>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</si>
  <si>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</si>
  <si>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</si>
  <si>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</si>
  <si>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</si>
  <si>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</si>
  <si>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</si>
  <si>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</si>
  <si>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</si>
  <si>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</si>
  <si>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</si>
  <si>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</si>
  <si>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</si>
  <si>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MSFT</t>
  </si>
  <si>
    <t>Sell short</t>
  </si>
  <si>
    <t>Allocation3</t>
  </si>
  <si>
    <t>Allocation</t>
  </si>
  <si>
    <t>GetDataAllocation</t>
  </si>
  <si>
    <t>Historical</t>
  </si>
  <si>
    <t>Unallocate</t>
  </si>
  <si>
    <t>SelectUnallocatedGroup</t>
  </si>
  <si>
    <t>EnterAccountValuesToAllocate</t>
  </si>
  <si>
    <t>Allocation2</t>
  </si>
  <si>
    <t>CheckAllocatedGroups</t>
  </si>
  <si>
    <t>Multiple</t>
  </si>
  <si>
    <t>Manual</t>
  </si>
  <si>
    <t>Equity</t>
  </si>
  <si>
    <t>AAPL US EQUITY</t>
  </si>
  <si>
    <t>Treasury</t>
  </si>
  <si>
    <t>MS</t>
  </si>
  <si>
    <t>APPLE</t>
  </si>
  <si>
    <t>USD</t>
  </si>
  <si>
    <t>NASDAQ</t>
  </si>
  <si>
    <t>M</t>
  </si>
  <si>
    <t>MSFT US EQUITY</t>
  </si>
  <si>
    <t>MICROSOFT INC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</si>
</sst>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vertical="bottom"/>
    </xf>
    <xf borderId="0" fillId="0" fontId="3" numFmtId="14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13" numFmtId="0" xfId="0" applyAlignment="1" applyFont="1">
      <alignment readingOrder="0" shrinkToFit="0" vertical="bottom" wrapText="0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IFERROR(__xludf.DUMMYFUNCTION("""COMPUTED_VALUE"""),"CreateModelPortfolio")</f>
        <v>CreateModelPortfolio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12" t="s">
        <v>17</v>
      </c>
      <c r="D6" s="12">
        <v>1000.0</v>
      </c>
      <c r="E6" s="31"/>
      <c r="F6" s="12" t="s">
        <v>18</v>
      </c>
      <c r="G6" s="8"/>
      <c r="H6" s="8"/>
      <c r="I6" s="8"/>
      <c r="J6" s="12">
        <v>2.0</v>
      </c>
      <c r="K6" s="8"/>
      <c r="L6" s="8"/>
      <c r="M6" s="8"/>
      <c r="N6" s="32">
        <f t="shared" ref="N6:N7" si="1">today()-1</f>
        <v>45617</v>
      </c>
      <c r="O6" s="8"/>
    </row>
    <row r="7" ht="15.75" customHeight="1">
      <c r="A7" s="8"/>
      <c r="B7" s="33" t="s">
        <v>19</v>
      </c>
      <c r="C7" s="12" t="s">
        <v>20</v>
      </c>
      <c r="D7" s="12">
        <v>123.0</v>
      </c>
      <c r="E7" s="8"/>
      <c r="F7" s="12" t="s">
        <v>21</v>
      </c>
      <c r="G7" s="8"/>
      <c r="H7" s="8"/>
      <c r="I7" s="8"/>
      <c r="J7" s="12">
        <v>2.0</v>
      </c>
      <c r="K7" s="8"/>
      <c r="L7" s="8"/>
      <c r="M7" s="8"/>
      <c r="N7" s="32">
        <f t="shared" si="1"/>
        <v>45617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34">
        <f>today()-1</f>
        <v>45617</v>
      </c>
      <c r="D6" s="34">
        <f>today()</f>
        <v>45618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8"/>
      <c r="D6" s="12"/>
      <c r="E6" s="31"/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19</v>
      </c>
      <c r="C7" s="8"/>
      <c r="D7" s="8"/>
      <c r="E7" s="8"/>
      <c r="F7" s="12" t="s">
        <v>20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12" t="s">
        <v>17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19</v>
      </c>
      <c r="C7" s="12" t="s">
        <v>20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0" t="s">
        <v>18</v>
      </c>
      <c r="C6" s="36">
        <v>33.0</v>
      </c>
      <c r="D6" s="35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3" t="s">
        <v>28</v>
      </c>
      <c r="C7" s="36">
        <v>33.0</v>
      </c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3" t="s">
        <v>21</v>
      </c>
      <c r="C8" s="36">
        <v>34.0</v>
      </c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30</v>
      </c>
      <c r="C6" s="8"/>
      <c r="D6" s="12"/>
      <c r="E6" s="39">
        <v>1000.0</v>
      </c>
      <c r="F6" s="38" t="s">
        <v>31</v>
      </c>
      <c r="G6" s="38" t="s">
        <v>32</v>
      </c>
      <c r="H6" s="40">
        <v>4.0</v>
      </c>
      <c r="I6" s="40">
        <v>5.0</v>
      </c>
      <c r="J6" s="40">
        <v>1.0</v>
      </c>
      <c r="K6" s="40">
        <v>2.0</v>
      </c>
      <c r="L6" s="40">
        <v>2.0</v>
      </c>
      <c r="M6" s="38" t="s">
        <v>33</v>
      </c>
      <c r="N6" s="38" t="s">
        <v>34</v>
      </c>
      <c r="O6" s="38" t="s">
        <v>35</v>
      </c>
      <c r="V6" s="38" t="s">
        <v>36</v>
      </c>
      <c r="Z6" s="38" t="s">
        <v>37</v>
      </c>
      <c r="AA6" s="38" t="s">
        <v>16</v>
      </c>
      <c r="AD6" s="38" t="s">
        <v>38</v>
      </c>
      <c r="AE6" s="39">
        <v>1000.0</v>
      </c>
      <c r="AH6" s="38" t="s">
        <v>39</v>
      </c>
      <c r="AI6" s="40">
        <v>1.0</v>
      </c>
      <c r="BJ6" s="39">
        <v>1000.0</v>
      </c>
      <c r="BO6" s="9" t="s">
        <v>17</v>
      </c>
      <c r="BT6" s="9" t="s">
        <v>16</v>
      </c>
    </row>
    <row r="7" ht="15.75" customHeight="1">
      <c r="A7" s="8"/>
      <c r="B7" s="38" t="s">
        <v>30</v>
      </c>
      <c r="C7" s="8"/>
      <c r="D7" s="8"/>
      <c r="E7" s="40">
        <v>123.0</v>
      </c>
      <c r="F7" s="38" t="s">
        <v>31</v>
      </c>
      <c r="G7" s="38" t="s">
        <v>32</v>
      </c>
      <c r="H7" s="40">
        <v>4.0</v>
      </c>
      <c r="I7" s="40">
        <v>5.0</v>
      </c>
      <c r="J7" s="40">
        <v>1.0</v>
      </c>
      <c r="K7" s="40">
        <v>2.0</v>
      </c>
      <c r="L7" s="40">
        <v>2.0</v>
      </c>
      <c r="M7" s="38" t="s">
        <v>40</v>
      </c>
      <c r="N7" s="38" t="s">
        <v>34</v>
      </c>
      <c r="O7" s="38" t="s">
        <v>35</v>
      </c>
      <c r="V7" s="38" t="s">
        <v>41</v>
      </c>
      <c r="Z7" s="38" t="s">
        <v>37</v>
      </c>
      <c r="AA7" s="38">
        <v>5.94918104E8</v>
      </c>
      <c r="AD7" s="38" t="s">
        <v>38</v>
      </c>
      <c r="AE7" s="40">
        <v>123.0</v>
      </c>
      <c r="AH7" s="38" t="s">
        <v>39</v>
      </c>
      <c r="AI7" s="40">
        <v>1.0</v>
      </c>
      <c r="BJ7" s="40">
        <v>123.0</v>
      </c>
      <c r="BO7" s="9" t="s">
        <v>20</v>
      </c>
      <c r="BT7" s="9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