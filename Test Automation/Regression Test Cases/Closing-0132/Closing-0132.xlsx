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VerifyUnExpiredUnSettledGrid" sheetId="8" r:id="rId10"/>
    <sheet state="visible" name="GetDataClosing" sheetId="9" r:id="rId11"/>
  </sheets>
  <definedNames/>
  <calcPr/>
</workbook>
</file>

<file path=xl/sharedStrings.xml><?xml version="1.0" encoding="utf-8"?>
<sst xmlns="http://schemas.openxmlformats.org/spreadsheetml/2006/main" count="165" uniqueCount="52">
  <si>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</si>
  <si>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</si>
  <si>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</si>
  <si>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</si>
  <si>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</si>
  <si>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</si>
  <si>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</si>
  <si>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</si>
  <si>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</si>
  <si>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</si>
  <si>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</si>
  <si>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</si>
  <si>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</si>
  <si>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</si>
  <si>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</si>
  <si>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</si>
  <si>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</si>
  <si>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</si>
  <si>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</si>
  <si>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</si>
  <si>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</si>
  <si>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</si>
  <si>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</si>
  <si>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</si>
  <si>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</si>
  <si>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</si>
  <si>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</si>
  <si>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</si>
  <si>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ABM</t>
  </si>
  <si>
    <t>SAP</t>
  </si>
  <si>
    <t>Sell to Open</t>
  </si>
  <si>
    <t>DailyValuation</t>
  </si>
  <si>
    <t>GetMarkPriceData</t>
  </si>
  <si>
    <t>UpdateMarkPrice</t>
  </si>
  <si>
    <t>Closing</t>
  </si>
  <si>
    <t>VerifyUnExpiredUnSettledGrid</t>
  </si>
  <si>
    <t>EquityOption</t>
  </si>
  <si>
    <t>RIG US 08/21/10 C75 Equity</t>
  </si>
  <si>
    <t>Auto</t>
  </si>
  <si>
    <t>Open</t>
  </si>
  <si>
    <t>USD</t>
  </si>
  <si>
    <t>Undefined</t>
  </si>
  <si>
    <t>OPTS</t>
  </si>
  <si>
    <t>M</t>
  </si>
  <si>
    <t>CALL</t>
  </si>
  <si>
    <t>ITM</t>
  </si>
  <si>
    <t>XLE US 06/19/10 P52 Equity</t>
  </si>
  <si>
    <t>PUT</t>
  </si>
  <si>
    <t>OTM</t>
  </si>
  <si>
    <t>ABM US 07/23/21 C100.00 EQUITY</t>
  </si>
  <si>
    <t>GetDataClosing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</si>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</sst>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5" fillId="0" fontId="14" numFmtId="0" xfId="0" applyAlignment="1" applyBorder="1" applyFont="1">
      <alignment shrinkToFit="0" vertical="bottom" wrapText="0"/>
    </xf>
    <xf borderId="5" fillId="0" fontId="14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>
      <c r="A599" t="str">
        <f>IFERROR(__xludf.DUMMYFUNCTION("""COMPUTED_VALUE"""),"Compliance")</f>
        <v>Compliance</v>
      </c>
      <c r="B599" t="str">
        <f>IFERROR(__xludf.DUMMYFUNCTION("""COMPUTED_VALUE"""),"ApproveorRejectpendingapproval")</f>
        <v>ApproveorRejectpendingapproval</v>
      </c>
      <c r="C599" t="str">
        <f>IFERROR(__xludf.DUMMYFUNCTION("""COMPUTED_VALUE"""),"1y-sTWmoC_H1YDpnZGfQbhkY373SoIrYiLpMuGNBQ0Sg")</f>
        <v>1y-sTWmoC_H1YDpnZGfQbhkY373SoIrYiLpMuGNBQ0Sg</v>
      </c>
    </row>
    <row r="600" ht="15.75" customHeight="1">
      <c r="A600" t="str">
        <f>IFERROR(__xludf.DUMMYFUNCTION("""COMPUTED_VALUE"""),"Compliance")</f>
        <v>Compliance</v>
      </c>
      <c r="B600" t="str">
        <f>IFERROR(__xludf.DUMMYFUNCTION("""COMPUTED_VALUE"""),"VerifyAlertHistory")</f>
        <v>VerifyAlertHistory</v>
      </c>
      <c r="C600" t="str">
        <f>IFERROR(__xludf.DUMMYFUNCTION("""COMPUTED_VALUE"""),"11YtQ09JiPm_fxJbDxXEHFdwP8lXJA1EhSMiSMDI8-Mg")</f>
        <v>11YtQ09JiPm_fxJbDxXEHFdwP8lXJA1EhSMiSMDI8-Mg</v>
      </c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</f>
        <v>44778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f t="shared" si="1"/>
        <v>44778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f t="shared" ref="C8:C9" si="2">today()+3</f>
        <v>44781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f t="shared" si="2"/>
        <v>44781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22</v>
      </c>
      <c r="C6" s="38" t="s">
        <v>23</v>
      </c>
      <c r="D6" s="39">
        <v>100.0</v>
      </c>
      <c r="E6" s="40">
        <v>100.0</v>
      </c>
      <c r="F6" s="38" t="s">
        <v>24</v>
      </c>
      <c r="G6" s="38"/>
      <c r="H6" s="38"/>
      <c r="I6" s="38"/>
      <c r="J6" s="40">
        <v>10.0</v>
      </c>
      <c r="K6" s="38"/>
      <c r="L6" s="38"/>
      <c r="M6" s="38"/>
      <c r="N6" s="32">
        <f t="shared" ref="N6:N7" si="1">today()-1</f>
        <v>44777</v>
      </c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25</v>
      </c>
      <c r="C7" s="41" t="s">
        <v>23</v>
      </c>
      <c r="D7" s="42">
        <v>100.0</v>
      </c>
      <c r="E7" s="42">
        <v>100.0</v>
      </c>
      <c r="F7" s="41" t="s">
        <v>24</v>
      </c>
      <c r="G7" s="41"/>
      <c r="H7" s="41"/>
      <c r="I7" s="41"/>
      <c r="J7" s="42">
        <v>10.0</v>
      </c>
      <c r="K7" s="41"/>
      <c r="L7" s="41"/>
      <c r="M7" s="41"/>
      <c r="N7" s="35">
        <f t="shared" si="1"/>
        <v>44777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16</v>
      </c>
      <c r="C8" s="43" t="s">
        <v>26</v>
      </c>
      <c r="D8" s="42">
        <v>100.0</v>
      </c>
      <c r="E8" s="42">
        <v>100.0</v>
      </c>
      <c r="F8" s="41" t="s">
        <v>27</v>
      </c>
      <c r="G8" s="41"/>
      <c r="H8" s="41"/>
      <c r="I8" s="41"/>
      <c r="J8" s="42">
        <v>10.0</v>
      </c>
      <c r="K8" s="41"/>
      <c r="L8" s="41"/>
      <c r="M8" s="41"/>
      <c r="N8" s="35">
        <f t="shared" ref="N8:N9" si="2">today()</f>
        <v>44778</v>
      </c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 t="s">
        <v>17</v>
      </c>
      <c r="C9" s="43" t="s">
        <v>26</v>
      </c>
      <c r="D9" s="42">
        <v>100.0</v>
      </c>
      <c r="E9" s="42">
        <v>100.0</v>
      </c>
      <c r="F9" s="41" t="s">
        <v>27</v>
      </c>
      <c r="G9" s="41"/>
      <c r="H9" s="41"/>
      <c r="I9" s="41"/>
      <c r="J9" s="42">
        <v>10.0</v>
      </c>
      <c r="K9" s="41"/>
      <c r="L9" s="41"/>
      <c r="M9" s="41"/>
      <c r="N9" s="35">
        <f t="shared" si="2"/>
        <v>44778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38" t="s">
        <v>28</v>
      </c>
      <c r="C10" s="38" t="s">
        <v>23</v>
      </c>
      <c r="D10" s="40">
        <v>100.0</v>
      </c>
      <c r="E10" s="40">
        <v>100.0</v>
      </c>
      <c r="F10" s="44" t="s">
        <v>24</v>
      </c>
      <c r="G10" s="38"/>
      <c r="H10" s="38"/>
      <c r="I10" s="38"/>
      <c r="J10" s="40">
        <v>10.0</v>
      </c>
      <c r="K10" s="38"/>
      <c r="L10" s="38"/>
      <c r="M10" s="38"/>
      <c r="N10" s="32">
        <f t="shared" ref="N10:N11" si="3">today()-1</f>
        <v>44777</v>
      </c>
      <c r="O10" s="38"/>
      <c r="P10" s="38"/>
      <c r="Q10" s="38"/>
      <c r="R10" s="38"/>
      <c r="S10" s="38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 t="s">
        <v>29</v>
      </c>
      <c r="C11" s="41" t="s">
        <v>23</v>
      </c>
      <c r="D11" s="42">
        <v>100.0</v>
      </c>
      <c r="E11" s="42">
        <v>100.0</v>
      </c>
      <c r="F11" s="45" t="s">
        <v>24</v>
      </c>
      <c r="G11" s="41"/>
      <c r="H11" s="41"/>
      <c r="I11" s="41"/>
      <c r="J11" s="42">
        <v>10.0</v>
      </c>
      <c r="K11" s="41"/>
      <c r="L11" s="41"/>
      <c r="M11" s="41"/>
      <c r="N11" s="35">
        <f t="shared" si="3"/>
        <v>44777</v>
      </c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34" t="s">
        <v>18</v>
      </c>
      <c r="C12" s="46" t="s">
        <v>30</v>
      </c>
      <c r="D12" s="42">
        <v>100.0</v>
      </c>
      <c r="E12" s="42">
        <v>100.0</v>
      </c>
      <c r="F12" s="47" t="s">
        <v>27</v>
      </c>
      <c r="G12" s="41"/>
      <c r="H12" s="41"/>
      <c r="I12" s="41"/>
      <c r="J12" s="42">
        <v>10.0</v>
      </c>
      <c r="K12" s="41"/>
      <c r="L12" s="41"/>
      <c r="M12" s="41"/>
      <c r="N12" s="35">
        <f t="shared" ref="N12:N13" si="4">today()</f>
        <v>44778</v>
      </c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38"/>
      <c r="B13" s="48" t="s">
        <v>19</v>
      </c>
      <c r="C13" s="44" t="s">
        <v>30</v>
      </c>
      <c r="D13" s="40">
        <v>100.0</v>
      </c>
      <c r="E13" s="40">
        <v>100.0</v>
      </c>
      <c r="F13" s="49" t="s">
        <v>27</v>
      </c>
      <c r="G13" s="38"/>
      <c r="H13" s="38"/>
      <c r="I13" s="38"/>
      <c r="J13" s="40">
        <v>10.0</v>
      </c>
      <c r="K13" s="38"/>
      <c r="L13" s="38"/>
      <c r="M13" s="38"/>
      <c r="N13" s="32">
        <f t="shared" si="4"/>
        <v>44778</v>
      </c>
      <c r="O13" s="38"/>
      <c r="P13" s="38"/>
      <c r="Q13" s="38"/>
      <c r="R13" s="38"/>
      <c r="S13" s="38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2">
        <f>today()-1</f>
        <v>44777</v>
      </c>
      <c r="C6" s="32">
        <f>today()</f>
        <v>44778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22</v>
      </c>
      <c r="C6" s="50">
        <v>110.0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25</v>
      </c>
      <c r="C7" s="50">
        <v>110.0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28</v>
      </c>
      <c r="C8" s="50">
        <v>110.0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 t="s">
        <v>29</v>
      </c>
      <c r="C9" s="50">
        <v>110.0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IFERROR(__xludf.DUMMYFUNCTION("""COMPUTED_VALUE"""),"AssetName")</f>
        <v>AssetName</v>
      </c>
      <c r="G5" s="28" t="str">
        <f>IFERROR(__xludf.DUMMYFUNCTION("""COMPUTED_VALUE"""),"AUCID")</f>
        <v>AUCID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IFERROR(__xludf.DUMMYFUNCTION("""COMPUTED_VALUE"""),"SettlCurrFxRate")</f>
        <v>SettlCurrFxRate</v>
      </c>
      <c r="CQ5" s="30" t="str">
        <f>IFERROR(__xludf.DUMMYFUNCTION("""COMPUTED_VALUE"""),"SettlCurrFxRateCalc")</f>
        <v>SettlCurrFxRateCalc</v>
      </c>
      <c r="CR5" s="30" t="str">
        <f>IFERROR(__xludf.DUMMYFUNCTION("""COMPUTED_VALUE"""),"SettlCurrUnitCost")</f>
        <v>SettlCurrUnitCost</v>
      </c>
      <c r="CS5" s="30" t="str">
        <f>IFERROR(__xludf.DUMMYFUNCTION("""COMPUTED_VALUE"""),"Settlement Mode")</f>
        <v>Settlement Mode</v>
      </c>
      <c r="CT5" s="30" t="str">
        <f>IFERROR(__xludf.DUMMYFUNCTION("""COMPUTED_VALUE"""),"Settlement Qty")</f>
        <v>Settlement Qty</v>
      </c>
      <c r="CU5" s="30" t="str">
        <f>IFERROR(__xludf.DUMMYFUNCTION("""COMPUTED_VALUE"""),"SettlementCurrencyID")</f>
        <v>SettlementCurrencyID</v>
      </c>
      <c r="CV5" s="30" t="str">
        <f>IFERROR(__xludf.DUMMYFUNCTION("""COMPUTED_VALUE"""),"SettlementDate")</f>
        <v>SettlementDate</v>
      </c>
      <c r="CW5" s="30" t="str">
        <f>IFERROR(__xludf.DUMMYFUNCTION("""COMPUTED_VALUE"""),"SideMultiplier")</f>
        <v>SideMultiplier</v>
      </c>
      <c r="CX5" s="30" t="str">
        <f>IFERROR(__xludf.DUMMYFUNCTION("""COMPUTED_VALUE"""),"SoftCommission")</f>
        <v>SoftCommission</v>
      </c>
      <c r="CY5" s="30" t="str">
        <f>IFERROR(__xludf.DUMMYFUNCTION("""COMPUTED_VALUE"""),"SoftCommissionAmt")</f>
        <v>SoftCommissionAmt</v>
      </c>
      <c r="CZ5" s="30" t="str">
        <f>IFERROR(__xludf.DUMMYFUNCTION("""COMPUTED_VALUE"""),"SoftCommissionCalcBasis")</f>
        <v>SoftCommissionCalcBasis</v>
      </c>
      <c r="DA5" s="30" t="str">
        <f>IFERROR(__xludf.DUMMYFUNCTION("""COMPUTED_VALUE"""),"SoftCommissionRate")</f>
        <v>SoftCommissionRate</v>
      </c>
      <c r="DB5" s="30" t="str">
        <f>IFERROR(__xludf.DUMMYFUNCTION("""COMPUTED_VALUE"""),"StampDuty")</f>
        <v>StampDuty</v>
      </c>
      <c r="DC5" s="30" t="str">
        <f>IFERROR(__xludf.DUMMYFUNCTION("""COMPUTED_VALUE"""),"Strategy")</f>
        <v>Strategy</v>
      </c>
      <c r="DD5" s="30" t="str">
        <f>IFERROR(__xludf.DUMMYFUNCTION("""COMPUTED_VALUE"""),"StrikePrice")</f>
        <v>StrikePrice</v>
      </c>
      <c r="DE5" s="30" t="str">
        <f>IFERROR(__xludf.DUMMYFUNCTION("""COMPUTED_VALUE"""),"SubSectorName")</f>
        <v>SubSectorName</v>
      </c>
      <c r="DF5" s="30" t="str">
        <f>IFERROR(__xludf.DUMMYFUNCTION("""COMPUTED_VALUE"""),"SwapParameters")</f>
        <v>SwapParameters</v>
      </c>
      <c r="DG5" s="30" t="str">
        <f>IFERROR(__xludf.DUMMYFUNCTION("""COMPUTED_VALUE"""),"Symbol")</f>
        <v>Symbol</v>
      </c>
      <c r="DH5" s="30" t="str">
        <f>IFERROR(__xludf.DUMMYFUNCTION("""COMPUTED_VALUE"""),"TaxlotClosingId")</f>
        <v>TaxlotClosingId</v>
      </c>
      <c r="DI5" s="30" t="str">
        <f>IFERROR(__xludf.DUMMYFUNCTION("""COMPUTED_VALUE"""),"TaxLotID")</f>
        <v>TaxLotID</v>
      </c>
      <c r="DJ5" s="30" t="str">
        <f>IFERROR(__xludf.DUMMYFUNCTION("""COMPUTED_VALUE"""),"TaxlotPk")</f>
        <v>TaxlotPk</v>
      </c>
      <c r="DK5" s="30" t="str">
        <f>IFERROR(__xludf.DUMMYFUNCTION("""COMPUTED_VALUE"""),"TaxLotQtyToClose")</f>
        <v>TaxLotQtyToClose</v>
      </c>
      <c r="DL5" s="30" t="str">
        <f>IFERROR(__xludf.DUMMYFUNCTION("""COMPUTED_VALUE"""),"TaxonCommissions")</f>
        <v>TaxonCommissions</v>
      </c>
      <c r="DM5" s="30" t="str">
        <f>IFERROR(__xludf.DUMMYFUNCTION("""COMPUTED_VALUE"""),"TimeOfSaveUTC")</f>
        <v>TimeOfSaveUTC</v>
      </c>
      <c r="DN5" s="30" t="str">
        <f>IFERROR(__xludf.DUMMYFUNCTION("""COMPUTED_VALUE"""),"TotalCommission&amp;Fees")</f>
        <v>TotalCommission&amp;Fees</v>
      </c>
      <c r="DO5" s="30" t="str">
        <f>IFERROR(__xludf.DUMMYFUNCTION("""COMPUTED_VALUE"""),"TotalCommissionandFees")</f>
        <v>TotalCommissionandFees</v>
      </c>
      <c r="DP5" s="30" t="str">
        <f>IFERROR(__xludf.DUMMYFUNCTION("""COMPUTED_VALUE"""),"Tradedate")</f>
        <v>Tradedate</v>
      </c>
      <c r="DQ5" s="30" t="str">
        <f>IFERROR(__xludf.DUMMYFUNCTION("""COMPUTED_VALUE"""),"Trade Attribute 1")</f>
        <v>Trade Attribute 1</v>
      </c>
      <c r="DR5" s="30" t="str">
        <f>IFERROR(__xludf.DUMMYFUNCTION("""COMPUTED_VALUE"""),"TradeAttribute2")</f>
        <v>TradeAttribute2</v>
      </c>
      <c r="DS5" s="30" t="str">
        <f>IFERROR(__xludf.DUMMYFUNCTION("""COMPUTED_VALUE"""),"TradeAttribute3")</f>
        <v>TradeAttribute3</v>
      </c>
      <c r="DT5" s="30" t="str">
        <f>IFERROR(__xludf.DUMMYFUNCTION("""COMPUTED_VALUE"""),"TradeAttribute4")</f>
        <v>TradeAttribute4</v>
      </c>
      <c r="DU5" s="30" t="str">
        <f>IFERROR(__xludf.DUMMYFUNCTION("""COMPUTED_VALUE"""),"TradeAttribute5")</f>
        <v>TradeAttribute5</v>
      </c>
      <c r="DV5" s="30" t="str">
        <f>IFERROR(__xludf.DUMMYFUNCTION("""COMPUTED_VALUE"""),"TradeAttribute6")</f>
        <v>TradeAttribute6</v>
      </c>
      <c r="DW5" s="30" t="str">
        <f>IFERROR(__xludf.DUMMYFUNCTION("""COMPUTED_VALUE"""),"TradingAccountName")</f>
        <v>TradingAccountName</v>
      </c>
      <c r="DX5" s="30" t="str">
        <f>IFERROR(__xludf.DUMMYFUNCTION("""COMPUTED_VALUE"""),"TransactionLevy")</f>
        <v>TransactionLevy</v>
      </c>
      <c r="DY5" s="30" t="str">
        <f>IFERROR(__xludf.DUMMYFUNCTION("""COMPUTED_VALUE"""),"TransactionType")</f>
        <v>TransactionType</v>
      </c>
      <c r="DZ5" s="30" t="str">
        <f>IFERROR(__xludf.DUMMYFUNCTION("""COMPUTED_VALUE"""),"UcitsEligibleTag")</f>
        <v>UcitsEligibleTag</v>
      </c>
      <c r="EA5" s="30" t="str">
        <f>IFERROR(__xludf.DUMMYFUNCTION("""COMPUTED_VALUE"""),"UDAAsset")</f>
        <v>UDAAsset</v>
      </c>
      <c r="EB5" s="30" t="str">
        <f>IFERROR(__xludf.DUMMYFUNCTION("""COMPUTED_VALUE"""),"UnderlyingDelta")</f>
        <v>UnderlyingDelta</v>
      </c>
      <c r="EC5" s="30" t="str">
        <f>IFERROR(__xludf.DUMMYFUNCTION("""COMPUTED_VALUE"""),"UnderlyingName")</f>
        <v>UnderlyingName</v>
      </c>
      <c r="ED5" s="30" t="str">
        <f>IFERROR(__xludf.DUMMYFUNCTION("""COMPUTED_VALUE"""),"UnderlyingSymbol")</f>
        <v>UnderlyingSymbol</v>
      </c>
      <c r="EE5" s="30" t="str">
        <f>IFERROR(__xludf.DUMMYFUNCTION("""COMPUTED_VALUE"""),"UnitCost")</f>
        <v>UnitCost</v>
      </c>
      <c r="EF5" s="30" t="str">
        <f>IFERROR(__xludf.DUMMYFUNCTION("""COMPUTED_VALUE"""),"UnRealizedPNL")</f>
        <v>UnRealizedPNL</v>
      </c>
      <c r="EG5" s="30" t="str">
        <f>IFERROR(__xludf.DUMMYFUNCTION("""COMPUTED_VALUE"""),"Venue")</f>
        <v>Venue</v>
      </c>
      <c r="EH5" s="30" t="str">
        <f>IFERROR(__xludf.DUMMYFUNCTION("""COMPUTED_VALUE"""),"VsCurrencyID")</f>
        <v>VsCurrencyID</v>
      </c>
      <c r="EI5" s="30" t="str">
        <f>IFERROR(__xludf.DUMMYFUNCTION("""COMPUTED_VALUE"""),"WorkflowState")</f>
        <v>WorkflowState</v>
      </c>
      <c r="EJ5" s="30" t="str">
        <f>IFERROR(__xludf.DUMMYFUNCTION("""COMPUTED_VALUE"""),"AvgPriceBase")</f>
        <v>AvgPriceBase</v>
      </c>
      <c r="EK5" s="30" t="str">
        <f>IFERROR(__xludf.DUMMYFUNCTION("""COMPUTED_VALUE"""),"MarketCap")</f>
        <v>MarketCap</v>
      </c>
      <c r="EL5" s="30" t="str">
        <f>IFERROR(__xludf.DUMMYFUNCTION("""COMPUTED_VALUE"""),"UnitCostBase")</f>
        <v>UnitCostBase</v>
      </c>
      <c r="EM5" s="30" t="str">
        <f>IFERROR(__xludf.DUMMYFUNCTION("""COMPUTED_VALUE"""),"ITM/OTM")</f>
        <v>ITM/OTM</v>
      </c>
      <c r="EN5" s="30" t="str">
        <f>IFERROR(__xludf.DUMMYFUNCTION("""COMPUTED_VALUE"""),"Days to Expiry")</f>
        <v>Days to Expiry</v>
      </c>
      <c r="EO5" s="30" t="str">
        <f>IFERROR(__xludf.DUMMYFUNCTION("""COMPUTED_VALUE"""),"% of ITM/OTM")</f>
        <v>% of ITM/OTM</v>
      </c>
      <c r="EP5" s="30" t="str">
        <f>IFERROR(__xludf.DUMMYFUNCTION("""COMPUTED_VALUE"""),"Intrinsic value")</f>
        <v>Intrinsic value</v>
      </c>
      <c r="EQ5" s="30" t="str">
        <f>IFERROR(__xludf.DUMMYFUNCTION("""COMPUTED_VALUE"""),"Gain/Loss if Ex./Assign")</f>
        <v>Gain/Loss if Ex./Assign</v>
      </c>
      <c r="ER5" s="30" t="str">
        <f>IFERROR(__xludf.DUMMYFUNCTION("""COMPUTED_VALUE"""),"isRowCountCheck")</f>
        <v>isRowCountCheck</v>
      </c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27</v>
      </c>
      <c r="C6" s="8"/>
      <c r="D6" s="13"/>
      <c r="E6" s="51" t="s">
        <v>36</v>
      </c>
      <c r="F6" s="8"/>
      <c r="G6" s="8"/>
      <c r="H6" s="8"/>
      <c r="I6" s="13">
        <v>10.0</v>
      </c>
      <c r="J6" s="52" t="s">
        <v>37</v>
      </c>
      <c r="K6" s="8"/>
      <c r="L6" s="41" t="s">
        <v>38</v>
      </c>
      <c r="M6" s="13">
        <v>0.0</v>
      </c>
      <c r="N6" s="8"/>
      <c r="O6" s="8"/>
      <c r="P6" s="9">
        <v>0.0</v>
      </c>
      <c r="R6" s="9">
        <v>0.0</v>
      </c>
      <c r="S6" s="9">
        <v>0.0</v>
      </c>
      <c r="U6" s="41" t="s">
        <v>39</v>
      </c>
      <c r="AE6" s="41" t="s">
        <v>40</v>
      </c>
      <c r="AG6" s="53" t="s">
        <v>41</v>
      </c>
      <c r="AH6" s="53" t="s">
        <v>41</v>
      </c>
      <c r="AI6" s="53" t="s">
        <v>41</v>
      </c>
      <c r="AJ6" s="53" t="s">
        <v>41</v>
      </c>
      <c r="AK6" s="53" t="s">
        <v>41</v>
      </c>
      <c r="AL6" s="53" t="s">
        <v>41</v>
      </c>
      <c r="AM6" s="53" t="s">
        <v>41</v>
      </c>
      <c r="AP6" s="41" t="s">
        <v>42</v>
      </c>
      <c r="AQ6" s="54">
        <v>100.0</v>
      </c>
      <c r="AT6" s="41" t="s">
        <v>43</v>
      </c>
      <c r="AU6" s="54">
        <v>1.0</v>
      </c>
      <c r="BK6" s="9">
        <v>0.0</v>
      </c>
      <c r="BO6" s="54">
        <v>100000.0</v>
      </c>
      <c r="BV6" s="53" t="s">
        <v>26</v>
      </c>
      <c r="CF6" s="9" t="s">
        <v>44</v>
      </c>
      <c r="CG6" s="55">
        <v>100.0</v>
      </c>
      <c r="DG6" s="53" t="s">
        <v>16</v>
      </c>
      <c r="ED6" s="53" t="s">
        <v>22</v>
      </c>
      <c r="EJ6" s="54">
        <v>10.0</v>
      </c>
      <c r="EM6" s="9" t="s">
        <v>45</v>
      </c>
      <c r="EN6" s="55">
        <v>0.0</v>
      </c>
      <c r="EO6" s="9">
        <v>10.0</v>
      </c>
      <c r="EP6" s="9">
        <v>10.0</v>
      </c>
      <c r="EQ6" s="9">
        <v>0.0</v>
      </c>
    </row>
    <row r="7" ht="15.75" customHeight="1">
      <c r="A7" s="8"/>
      <c r="B7" s="51" t="s">
        <v>27</v>
      </c>
      <c r="C7" s="8"/>
      <c r="D7" s="8"/>
      <c r="E7" s="51" t="s">
        <v>36</v>
      </c>
      <c r="F7" s="8"/>
      <c r="G7" s="8"/>
      <c r="H7" s="8"/>
      <c r="I7" s="13">
        <v>10.0</v>
      </c>
      <c r="J7" s="53" t="s">
        <v>46</v>
      </c>
      <c r="K7" s="8"/>
      <c r="L7" s="41" t="s">
        <v>38</v>
      </c>
      <c r="M7" s="13">
        <v>0.0</v>
      </c>
      <c r="N7" s="8"/>
      <c r="O7" s="8"/>
      <c r="P7" s="9">
        <v>0.0</v>
      </c>
      <c r="R7" s="9">
        <v>0.0</v>
      </c>
      <c r="S7" s="9">
        <v>0.0</v>
      </c>
      <c r="U7" s="41" t="s">
        <v>39</v>
      </c>
      <c r="AE7" s="41" t="s">
        <v>40</v>
      </c>
      <c r="AG7" s="53" t="s">
        <v>41</v>
      </c>
      <c r="AH7" s="53" t="s">
        <v>41</v>
      </c>
      <c r="AI7" s="53" t="s">
        <v>41</v>
      </c>
      <c r="AJ7" s="53" t="s">
        <v>41</v>
      </c>
      <c r="AK7" s="53" t="s">
        <v>41</v>
      </c>
      <c r="AL7" s="53" t="s">
        <v>41</v>
      </c>
      <c r="AM7" s="53" t="s">
        <v>41</v>
      </c>
      <c r="AP7" s="41" t="s">
        <v>42</v>
      </c>
      <c r="AQ7" s="54">
        <v>100.0</v>
      </c>
      <c r="AT7" s="41" t="s">
        <v>43</v>
      </c>
      <c r="AU7" s="54">
        <v>1.0</v>
      </c>
      <c r="BK7" s="9">
        <v>0.0</v>
      </c>
      <c r="BO7" s="54">
        <v>100000.0</v>
      </c>
      <c r="BV7" s="53" t="s">
        <v>26</v>
      </c>
      <c r="CF7" s="9" t="s">
        <v>47</v>
      </c>
      <c r="CG7" s="55">
        <v>100.0</v>
      </c>
      <c r="DG7" s="52" t="s">
        <v>17</v>
      </c>
      <c r="ED7" s="53" t="s">
        <v>25</v>
      </c>
      <c r="EJ7" s="54">
        <v>10.0</v>
      </c>
      <c r="EM7" s="9" t="s">
        <v>48</v>
      </c>
      <c r="EN7" s="55">
        <v>0.0</v>
      </c>
      <c r="EO7" s="9">
        <v>-10.0</v>
      </c>
      <c r="EP7" s="9">
        <v>0.0</v>
      </c>
      <c r="EQ7" s="9">
        <v>-100000.0</v>
      </c>
    </row>
    <row r="8" ht="15.75" customHeight="1">
      <c r="A8" s="8"/>
      <c r="B8" s="51" t="s">
        <v>27</v>
      </c>
      <c r="C8" s="8"/>
      <c r="D8" s="8"/>
      <c r="E8" s="51" t="s">
        <v>36</v>
      </c>
      <c r="F8" s="8"/>
      <c r="G8" s="8"/>
      <c r="H8" s="8"/>
      <c r="I8" s="13">
        <v>10.0</v>
      </c>
      <c r="J8" s="53" t="s">
        <v>49</v>
      </c>
      <c r="K8" s="8"/>
      <c r="L8" s="41" t="s">
        <v>38</v>
      </c>
      <c r="M8" s="13">
        <v>0.0</v>
      </c>
      <c r="N8" s="8"/>
      <c r="O8" s="8"/>
      <c r="P8" s="9">
        <v>0.0</v>
      </c>
      <c r="R8" s="9">
        <v>0.0</v>
      </c>
      <c r="S8" s="9">
        <v>0.0</v>
      </c>
      <c r="U8" s="41" t="s">
        <v>39</v>
      </c>
      <c r="AE8" s="41" t="s">
        <v>40</v>
      </c>
      <c r="AG8" s="53" t="s">
        <v>41</v>
      </c>
      <c r="AH8" s="53" t="s">
        <v>41</v>
      </c>
      <c r="AI8" s="53" t="s">
        <v>41</v>
      </c>
      <c r="AJ8" s="53" t="s">
        <v>41</v>
      </c>
      <c r="AK8" s="53" t="s">
        <v>41</v>
      </c>
      <c r="AL8" s="53" t="s">
        <v>41</v>
      </c>
      <c r="AM8" s="53" t="s">
        <v>41</v>
      </c>
      <c r="AP8" s="41" t="s">
        <v>42</v>
      </c>
      <c r="AQ8" s="54">
        <v>100.0</v>
      </c>
      <c r="AT8" s="41" t="s">
        <v>43</v>
      </c>
      <c r="AU8" s="54">
        <v>1.0</v>
      </c>
      <c r="BK8" s="9">
        <v>0.0</v>
      </c>
      <c r="BO8" s="54">
        <v>100000.0</v>
      </c>
      <c r="BV8" s="56" t="s">
        <v>30</v>
      </c>
      <c r="CF8" s="9" t="s">
        <v>44</v>
      </c>
      <c r="CG8" s="55">
        <v>100.0</v>
      </c>
      <c r="DG8" s="57" t="s">
        <v>18</v>
      </c>
      <c r="ED8" s="53" t="s">
        <v>28</v>
      </c>
      <c r="EJ8" s="54">
        <v>10.0</v>
      </c>
      <c r="EM8" s="9" t="s">
        <v>45</v>
      </c>
      <c r="EN8" s="55">
        <v>3.0</v>
      </c>
      <c r="EO8" s="9">
        <v>10.0</v>
      </c>
      <c r="EP8" s="9">
        <v>10.0</v>
      </c>
      <c r="EQ8" s="9">
        <v>0.0</v>
      </c>
    </row>
    <row r="9" ht="15.75" customHeight="1">
      <c r="A9" s="8"/>
      <c r="B9" s="51" t="s">
        <v>27</v>
      </c>
      <c r="C9" s="8"/>
      <c r="D9" s="8"/>
      <c r="E9" s="51" t="s">
        <v>36</v>
      </c>
      <c r="F9" s="8"/>
      <c r="G9" s="8"/>
      <c r="H9" s="8"/>
      <c r="I9" s="13">
        <v>10.0</v>
      </c>
      <c r="J9" s="8"/>
      <c r="K9" s="8"/>
      <c r="L9" s="41" t="s">
        <v>38</v>
      </c>
      <c r="M9" s="13">
        <v>0.0</v>
      </c>
      <c r="N9" s="8"/>
      <c r="O9" s="8"/>
      <c r="P9" s="9">
        <v>0.0</v>
      </c>
      <c r="R9" s="9">
        <v>0.0</v>
      </c>
      <c r="S9" s="9">
        <v>0.0</v>
      </c>
      <c r="U9" s="41" t="s">
        <v>39</v>
      </c>
      <c r="AE9" s="41" t="s">
        <v>40</v>
      </c>
      <c r="AG9" s="53" t="s">
        <v>41</v>
      </c>
      <c r="AH9" s="53" t="s">
        <v>41</v>
      </c>
      <c r="AI9" s="53" t="s">
        <v>41</v>
      </c>
      <c r="AJ9" s="53" t="s">
        <v>41</v>
      </c>
      <c r="AK9" s="53" t="s">
        <v>41</v>
      </c>
      <c r="AL9" s="53" t="s">
        <v>41</v>
      </c>
      <c r="AM9" s="53" t="s">
        <v>41</v>
      </c>
      <c r="AP9" s="41" t="s">
        <v>42</v>
      </c>
      <c r="AQ9" s="54">
        <v>100.0</v>
      </c>
      <c r="AT9" s="41" t="s">
        <v>43</v>
      </c>
      <c r="AU9" s="54">
        <v>1.0</v>
      </c>
      <c r="BK9" s="9">
        <v>0.0</v>
      </c>
      <c r="BO9" s="54">
        <v>100000.0</v>
      </c>
      <c r="BV9" s="56" t="s">
        <v>30</v>
      </c>
      <c r="CF9" s="9" t="s">
        <v>47</v>
      </c>
      <c r="CG9" s="55">
        <v>100.0</v>
      </c>
      <c r="DG9" s="57" t="s">
        <v>19</v>
      </c>
      <c r="ED9" s="53" t="s">
        <v>29</v>
      </c>
      <c r="EJ9" s="54">
        <v>10.0</v>
      </c>
      <c r="EM9" s="9" t="s">
        <v>48</v>
      </c>
      <c r="EN9" s="55">
        <v>3.0</v>
      </c>
      <c r="EO9" s="9">
        <v>-10.0</v>
      </c>
      <c r="EP9" s="9">
        <v>0.0</v>
      </c>
      <c r="EQ9" s="58">
        <v>100000.0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41"/>
      <c r="B11" s="53"/>
      <c r="C11" s="41"/>
      <c r="D11" s="41"/>
      <c r="E11" s="53"/>
      <c r="F11" s="41"/>
      <c r="G11" s="41"/>
      <c r="H11" s="41"/>
      <c r="I11" s="42"/>
      <c r="J11" s="53"/>
      <c r="K11" s="53"/>
      <c r="L11" s="41"/>
      <c r="M11" s="42"/>
      <c r="N11" s="41"/>
      <c r="O11" s="41"/>
      <c r="P11" s="55"/>
      <c r="Q11" s="41"/>
      <c r="R11" s="55"/>
      <c r="S11" s="55"/>
      <c r="T11" s="41"/>
      <c r="U11" s="41"/>
      <c r="V11" s="55"/>
      <c r="W11" s="55"/>
      <c r="X11" s="41"/>
      <c r="Y11" s="41"/>
      <c r="Z11" s="41"/>
      <c r="AA11" s="41"/>
      <c r="AB11" s="41"/>
      <c r="AC11" s="41"/>
      <c r="AD11" s="41"/>
      <c r="AE11" s="41"/>
      <c r="AF11" s="41"/>
      <c r="AG11" s="53"/>
      <c r="AH11" s="53"/>
      <c r="AI11" s="53"/>
      <c r="AJ11" s="53"/>
      <c r="AK11" s="53"/>
      <c r="AL11" s="53"/>
      <c r="AM11" s="53"/>
      <c r="AN11" s="54"/>
      <c r="AO11" s="41"/>
      <c r="AP11" s="41"/>
      <c r="AQ11" s="54"/>
      <c r="AR11" s="41"/>
      <c r="AS11" s="41"/>
      <c r="AT11" s="41"/>
      <c r="AU11" s="54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54"/>
      <c r="BL11" s="41"/>
      <c r="BM11" s="41"/>
      <c r="BN11" s="41"/>
      <c r="BO11" s="54"/>
      <c r="BP11" s="41"/>
      <c r="BQ11" s="41"/>
      <c r="BR11" s="41"/>
      <c r="BS11" s="41"/>
      <c r="BT11" s="41"/>
      <c r="BU11" s="41"/>
      <c r="BV11" s="53"/>
      <c r="BW11" s="41"/>
      <c r="BX11" s="41"/>
      <c r="BY11" s="41"/>
      <c r="BZ11" s="41"/>
      <c r="CA11" s="41"/>
      <c r="CB11" s="41"/>
      <c r="CC11" s="41"/>
      <c r="CD11" s="41"/>
      <c r="CE11" s="41"/>
      <c r="CF11" s="53"/>
      <c r="CG11" s="55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54"/>
      <c r="DC11" s="41"/>
      <c r="DD11" s="54"/>
      <c r="DE11" s="38"/>
      <c r="DF11" s="38"/>
      <c r="DG11" s="57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53"/>
      <c r="EE11" s="41"/>
      <c r="EF11" s="41"/>
      <c r="EG11" s="41"/>
      <c r="EH11" s="41"/>
      <c r="EI11" s="41"/>
      <c r="EJ11" s="54"/>
      <c r="EK11" s="53"/>
      <c r="EL11" s="53"/>
      <c r="EM11" s="41"/>
      <c r="EN11" s="55"/>
      <c r="EO11" s="55"/>
      <c r="EP11" s="55"/>
      <c r="EQ11" s="58"/>
      <c r="ER11" s="38"/>
      <c r="ES11" s="52"/>
      <c r="ET11" s="41"/>
      <c r="EU11" s="41"/>
      <c r="EV11" s="41"/>
      <c r="EW11" s="41"/>
      <c r="EX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