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OpenRTPNL" sheetId="5" r:id="rId7"/>
    <sheet state="visible" name="AddWidget" sheetId="6" r:id="rId8"/>
    <sheet state="visible" name="SavePage" sheetId="7" r:id="rId9"/>
    <sheet state="visible" name="CloseRTPNL" sheetId="8" r:id="rId10"/>
    <sheet state="visible" name="OpenRTPNL1" sheetId="9" r:id="rId11"/>
    <sheet state="visible" name="updateWidget" sheetId="10" r:id="rId12"/>
    <sheet state="visible" name="SavePage1" sheetId="11" r:id="rId13"/>
    <sheet state="visible" name="CloseRTPNL1" sheetId="12" r:id="rId14"/>
    <sheet state="visible" name="CheckDashboardWidgetTitle" sheetId="13" r:id="rId15"/>
    <sheet state="visible" name="AddWidget1" sheetId="14" r:id="rId16"/>
    <sheet state="visible" name="OpenRTPNL2" sheetId="15" r:id="rId17"/>
    <sheet state="visible" name="CheckFundLevelAggregation" sheetId="16" r:id="rId18"/>
    <sheet state="visible" name="CheckSymbolLevelAggregation" sheetId="17" r:id="rId19"/>
    <sheet state="visible" name="PricingInput" sheetId="18" r:id="rId20"/>
  </sheets>
  <definedNames/>
  <calcPr/>
</workbook>
</file>

<file path=xl/sharedStrings.xml><?xml version="1.0" encoding="utf-8"?>
<sst xmlns="http://schemas.openxmlformats.org/spreadsheetml/2006/main" count="461" uniqueCount="43">
  <si>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</si>
  <si>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</si>
  <si>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</si>
  <si>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</si>
  <si>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</si>
  <si>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</si>
  <si>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</si>
  <si>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</si>
  <si>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</si>
  <si>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</si>
  <si>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</si>
  <si>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</si>
  <si>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</si>
  <si>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</si>
  <si>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</si>
  <si>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</si>
  <si>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</si>
  <si>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</si>
  <si>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Yes</t>
  </si>
  <si>
    <t>RTPNL</t>
  </si>
  <si>
    <t>OpenRTPNL</t>
  </si>
  <si>
    <t>Nirvana</t>
  </si>
  <si>
    <t>yash</t>
  </si>
  <si>
    <t>AddWidget</t>
  </si>
  <si>
    <t>FundLevelAggregation</t>
  </si>
  <si>
    <t>Aggregation</t>
  </si>
  <si>
    <t>Fund</t>
  </si>
  <si>
    <t>SavePage</t>
  </si>
  <si>
    <t>Save</t>
  </si>
  <si>
    <t>CloseRTPNL</t>
  </si>
  <si>
    <t>Nirvana,yash</t>
  </si>
  <si>
    <t>updateWidget</t>
  </si>
  <si>
    <t>A12</t>
  </si>
  <si>
    <t>CheckDashboardWidgetTitle</t>
  </si>
  <si>
    <t>SymbolLevelAggregation</t>
  </si>
  <si>
    <t>Symbol</t>
  </si>
  <si>
    <t>Nirvana,PM</t>
  </si>
  <si>
    <t>CheckFundLevelAggregation</t>
  </si>
  <si>
    <t/>
  </si>
  <si>
    <t>NewMF</t>
  </si>
  <si>
    <t>CheckSymbolLevelAggregation</t>
  </si>
  <si>
    <t>APPLE</t>
  </si>
  <si>
    <t>PricingInput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</si>
</sst>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Arial"/>
    </font>
    <font>
      <sz val="9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6" fontId="13" numFmtId="0" xfId="0" applyAlignment="1" applyFill="1" applyFont="1">
      <alignment vertical="bottom"/>
    </xf>
    <xf borderId="0" fillId="6" fontId="14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164" xfId="0" applyFont="1" applyNumberFormat="1"/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1" t="s">
        <v>17</v>
      </c>
      <c r="D6" s="32">
        <v>10.0</v>
      </c>
      <c r="E6" s="33"/>
      <c r="F6" s="33"/>
      <c r="G6" s="33"/>
      <c r="H6" s="33"/>
      <c r="I6" s="33"/>
      <c r="J6" s="34">
        <v>5.0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 t="s">
        <v>18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21</v>
      </c>
      <c r="C6" s="31" t="s">
        <v>22</v>
      </c>
      <c r="D6" s="30"/>
      <c r="E6" s="35" t="b">
        <v>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22</v>
      </c>
      <c r="C6" s="31" t="s">
        <v>24</v>
      </c>
      <c r="D6" s="37"/>
      <c r="E6" s="38" t="s">
        <v>25</v>
      </c>
      <c r="F6" s="36" t="s">
        <v>26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22</v>
      </c>
      <c r="C6" s="33" t="s">
        <v>28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SavePage!$4:$4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IFERROR(__xludf.DUMMYFUNCTION("""COMPUTED_VALUE"""),"TitleName")</f>
        <v>TitleName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22</v>
      </c>
      <c r="C6" s="12" t="s">
        <v>32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updateWidget!$4:$4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22</v>
      </c>
      <c r="C6" s="33" t="s">
        <v>28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SavePage1!$4:$4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CloseRTPNL1!$4:$4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IFERROR(__xludf.DUMMYFUNCTION("""COMPUTED_VALUE"""),"TitleNameToCheck")</f>
        <v>TitleNameToCheck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32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CheckDashboardWidgetTitle!$4:$4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22</v>
      </c>
      <c r="C6" s="36" t="s">
        <v>34</v>
      </c>
      <c r="D6" s="37"/>
      <c r="E6" s="38" t="s">
        <v>25</v>
      </c>
      <c r="F6" s="36" t="s">
        <v>35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IFERROR(__xludf.DUMMYFUNCTION("""COMPUTED_VALUE"""),"Fund")</f>
        <v>Fund</v>
      </c>
      <c r="C5" s="27" t="str">
        <f>IFERROR(__xludf.DUMMYFUNCTION("""COMPUTED_VALUE"""),"Market Value")</f>
        <v>Market Value</v>
      </c>
      <c r="D5" s="27" t="str">
        <f>IFERROR(__xludf.DUMMYFUNCTION("""COMPUTED_VALUE"""),"P&amp;L")</f>
        <v>P&amp;L</v>
      </c>
      <c r="E5" s="27" t="str">
        <f>IFERROR(__xludf.DUMMYFUNCTION("""COMPUTED_VALUE"""),"Day P&amp;L")</f>
        <v>Day P&amp;L</v>
      </c>
      <c r="F5" s="28" t="str">
        <f>IFERROR(__xludf.DUMMYFUNCTION("""COMPUTED_VALUE"""),"Exposure")</f>
        <v>Exposure</v>
      </c>
      <c r="G5" s="27" t="str">
        <f>IFERROR(__xludf.DUMMYFUNCTION("""COMPUTED_VALUE"""),"% Gain/Loss Day")</f>
        <v>% Gain/Loss Day</v>
      </c>
      <c r="H5" s="27" t="str">
        <f>IFERROR(__xludf.DUMMYFUNCTION("""COMPUTED_VALUE"""),"% Gain/Loss Cost")</f>
        <v>% Gain/Loss Cost</v>
      </c>
      <c r="I5" s="27" t="str">
        <f>IFERROR(__xludf.DUMMYFUNCTION("""COMPUTED_VALUE"""),"% Market Value")</f>
        <v>% Market Value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IFERROR(__xludf.DUMMYFUNCTION("""COMPUTED_VALUE"""),"Long Exposure")</f>
        <v>Long Exposure</v>
      </c>
      <c r="N5" s="27" t="str">
        <f>IFERROR(__xludf.DUMMYFUNCTION("""COMPUTED_VALUE"""),"% Long Exposure")</f>
        <v>% Long Exposure</v>
      </c>
      <c r="O5" s="27" t="str">
        <f>IFERROR(__xludf.DUMMYFUNCTION("""COMPUTED_VALUE"""),"Accruals")</f>
        <v>Accruals</v>
      </c>
      <c r="P5" s="27" t="str">
        <f>IFERROR(__xludf.DUMMYFUNCTION("""COMPUTED_VALUE"""),"Cash")</f>
        <v>Cash</v>
      </c>
      <c r="Q5" s="27" t="str">
        <f>IFERROR(__xludf.DUMMYFUNCTION("""COMPUTED_VALUE"""),"NAV")</f>
        <v>NAV</v>
      </c>
      <c r="R5" s="27" t="str">
        <f>IFERROR(__xludf.DUMMYFUNCTION("""COMPUTED_VALUE"""),"Testing Type")</f>
        <v>Testing Type</v>
      </c>
      <c r="S5" s="27" t="str">
        <f>IFERROR(__xludf.DUMMYFUNCTION("""COMPUTED_VALUE"""),"Testing Column")</f>
        <v>Testing Column</v>
      </c>
      <c r="T5" s="29" t="str">
        <f>IFERROR(__xludf.DUMMYFUNCTION("""COMPUTED_VALUE"""),"Testing Col Value")</f>
        <v>Testing Col Value</v>
      </c>
      <c r="U5" s="29" t="str">
        <f>IFERROR(__xludf.DUMMYFUNCTION("""COMPUTED_VALUE"""),"DuplicateCountOnUI")</f>
        <v>DuplicateCountOnUI</v>
      </c>
      <c r="V5" s="29" t="str">
        <f>IFERROR(__xludf.DUMMYFUNCTION("""COMPUTED_VALUE"""),"DuplicateRow")</f>
        <v>DuplicateRow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8" t="s">
        <v>38</v>
      </c>
      <c r="B6" s="8" t="s">
        <v>39</v>
      </c>
      <c r="C6" s="8">
        <v>50.0</v>
      </c>
      <c r="D6" s="8"/>
      <c r="E6" s="8"/>
      <c r="F6" s="8">
        <v>50.0</v>
      </c>
      <c r="G6" s="8"/>
      <c r="H6" s="8"/>
      <c r="I6" s="8"/>
      <c r="J6" s="12">
        <v>0.0</v>
      </c>
      <c r="K6" s="8"/>
      <c r="L6" s="8"/>
      <c r="M6" s="8"/>
      <c r="N6" s="8"/>
      <c r="O6" s="8"/>
      <c r="Q6" s="9">
        <v>0.0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38</v>
      </c>
      <c r="AF6" t="s">
        <v>38</v>
      </c>
      <c r="AG6" t="s">
        <v>38</v>
      </c>
      <c r="AH6" t="s">
        <v>38</v>
      </c>
      <c r="AI6" t="s">
        <v>38</v>
      </c>
      <c r="AJ6" t="s">
        <v>38</v>
      </c>
      <c r="AK6" t="s">
        <v>38</v>
      </c>
      <c r="AL6" t="s">
        <v>38</v>
      </c>
      <c r="AM6" t="s">
        <v>38</v>
      </c>
      <c r="AN6" t="s">
        <v>38</v>
      </c>
      <c r="AO6" t="s">
        <v>38</v>
      </c>
      <c r="AP6" t="s">
        <v>38</v>
      </c>
      <c r="AQ6" t="s">
        <v>38</v>
      </c>
      <c r="AR6" t="s">
        <v>38</v>
      </c>
      <c r="AS6" t="s">
        <v>38</v>
      </c>
      <c r="AT6" t="s">
        <v>38</v>
      </c>
      <c r="AU6" t="s">
        <v>38</v>
      </c>
      <c r="AV6" t="s">
        <v>38</v>
      </c>
      <c r="AW6" t="s">
        <v>38</v>
      </c>
      <c r="AX6" t="s">
        <v>38</v>
      </c>
      <c r="AY6" t="s">
        <v>38</v>
      </c>
      <c r="AZ6" t="s">
        <v>38</v>
      </c>
      <c r="BA6" t="s">
        <v>38</v>
      </c>
      <c r="BB6" t="s">
        <v>38</v>
      </c>
      <c r="BC6" t="s">
        <v>38</v>
      </c>
      <c r="BD6" t="s">
        <v>38</v>
      </c>
      <c r="BE6" t="s">
        <v>38</v>
      </c>
      <c r="BF6" t="s">
        <v>38</v>
      </c>
      <c r="BG6" t="s">
        <v>38</v>
      </c>
      <c r="BH6" t="s">
        <v>38</v>
      </c>
      <c r="BI6" t="s">
        <v>38</v>
      </c>
      <c r="BJ6" t="s">
        <v>38</v>
      </c>
      <c r="BK6" t="s">
        <v>38</v>
      </c>
      <c r="BL6" t="s">
        <v>38</v>
      </c>
      <c r="BM6" t="s">
        <v>38</v>
      </c>
      <c r="BN6" t="s">
        <v>38</v>
      </c>
      <c r="BO6" t="s">
        <v>38</v>
      </c>
      <c r="BP6" t="s">
        <v>38</v>
      </c>
      <c r="BQ6" t="s">
        <v>38</v>
      </c>
      <c r="BR6" t="s">
        <v>38</v>
      </c>
      <c r="BS6" t="s">
        <v>38</v>
      </c>
      <c r="BT6" t="s">
        <v>38</v>
      </c>
      <c r="BU6" t="s">
        <v>38</v>
      </c>
      <c r="BV6" t="s">
        <v>38</v>
      </c>
      <c r="BW6" t="s">
        <v>38</v>
      </c>
      <c r="BX6" t="s">
        <v>38</v>
      </c>
      <c r="BY6" t="s">
        <v>38</v>
      </c>
      <c r="BZ6" t="s">
        <v>38</v>
      </c>
      <c r="CA6" t="s">
        <v>38</v>
      </c>
      <c r="CB6" t="s">
        <v>38</v>
      </c>
      <c r="CC6" t="s">
        <v>38</v>
      </c>
      <c r="CD6" t="s">
        <v>38</v>
      </c>
      <c r="CE6" t="s">
        <v>38</v>
      </c>
      <c r="CF6" t="s">
        <v>38</v>
      </c>
      <c r="CG6" t="s">
        <v>38</v>
      </c>
      <c r="CH6" t="s">
        <v>38</v>
      </c>
      <c r="CI6" t="s">
        <v>38</v>
      </c>
      <c r="CJ6" t="s">
        <v>38</v>
      </c>
      <c r="CK6" t="s">
        <v>38</v>
      </c>
      <c r="CL6" t="s">
        <v>38</v>
      </c>
      <c r="CM6" t="s">
        <v>38</v>
      </c>
      <c r="CN6" t="s">
        <v>38</v>
      </c>
      <c r="CO6" t="s">
        <v>38</v>
      </c>
      <c r="CP6" t="s">
        <v>38</v>
      </c>
      <c r="CQ6" t="s">
        <v>38</v>
      </c>
      <c r="CR6" t="s">
        <v>38</v>
      </c>
      <c r="CS6" t="s">
        <v>38</v>
      </c>
      <c r="CT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CheckFundLevelAggregation!$4:$4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IFERROR(__xludf.DUMMYFUNCTION("""COMPUTED_VALUE"""),"Position")</f>
        <v>Position</v>
      </c>
      <c r="E5" s="27" t="str">
        <f>IFERROR(__xludf.DUMMYFUNCTION("""COMPUTED_VALUE"""),"Market Value")</f>
        <v>Market Value</v>
      </c>
      <c r="F5" s="28" t="str">
        <f>IFERROR(__xludf.DUMMYFUNCTION("""COMPUTED_VALUE"""),"Day P&amp;L")</f>
        <v>Day P&amp;L</v>
      </c>
      <c r="G5" s="27" t="str">
        <f>IFERROR(__xludf.DUMMYFUNCTION("""COMPUTED_VALUE"""),"Cost Basis P&amp;L")</f>
        <v>Cost Basis P&amp;L</v>
      </c>
      <c r="H5" s="27" t="str">
        <f>IFERROR(__xludf.DUMMYFUNCTION("""COMPUTED_VALUE"""),"Exposure")</f>
        <v>Exposure</v>
      </c>
      <c r="I5" s="27" t="str">
        <f>IFERROR(__xludf.DUMMYFUNCTION("""COMPUTED_VALUE"""),"% Gain/Loss Day")</f>
        <v>% Gain/Loss Day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IFERROR(__xludf.DUMMYFUNCTION("""COMPUTED_VALUE"""),"% Gain/Loss Cost")</f>
        <v>% Gain/Loss Cost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IFERROR(__xludf.DUMMYFUNCTION("""COMPUTED_VALUE"""),"% Net Market Value")</f>
        <v>% Net Market Value</v>
      </c>
      <c r="Q5" s="27" t="str">
        <f>IFERROR(__xludf.DUMMYFUNCTION("""COMPUTED_VALUE"""),"Testing Type")</f>
        <v>Testing Type</v>
      </c>
      <c r="R5" s="27" t="str">
        <f>IFERROR(__xludf.DUMMYFUNCTION("""COMPUTED_VALUE"""),"Testing Column")</f>
        <v>Testing Column</v>
      </c>
      <c r="S5" s="27" t="str">
        <f>IFERROR(__xludf.DUMMYFUNCTION("""COMPUTED_VALUE"""),"Testing Col Value")</f>
        <v>Testing Col Value</v>
      </c>
      <c r="T5" s="29" t="str">
        <f>IFERROR(__xludf.DUMMYFUNCTION("""COMPUTED_VALUE"""),"DuplicateCountOnUI")</f>
        <v>DuplicateCountOnUI</v>
      </c>
      <c r="U5" s="29" t="str">
        <f>IFERROR(__xludf.DUMMYFUNCTION("""COMPUTED_VALUE"""),"DuplicateRow")</f>
        <v>DuplicateRow</v>
      </c>
      <c r="V5" s="29" t="str">
        <f>IFERROR(__xludf.DUMMYFUNCTION("""COMPUTED_VALUE"""),"Bloomberg Symbol")</f>
        <v>Bloomberg Symbol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38</v>
      </c>
      <c r="B6" s="41" t="s">
        <v>16</v>
      </c>
      <c r="C6" s="8" t="s">
        <v>41</v>
      </c>
      <c r="D6" s="41">
        <v>10.0</v>
      </c>
      <c r="E6" s="41">
        <v>50.0</v>
      </c>
      <c r="F6" s="8"/>
      <c r="G6" s="8"/>
      <c r="H6" s="8">
        <v>50.0</v>
      </c>
      <c r="I6" s="8" t="s">
        <v>38</v>
      </c>
      <c r="J6" s="8" t="s">
        <v>38</v>
      </c>
      <c r="K6" s="8" t="s">
        <v>38</v>
      </c>
      <c r="L6" s="8" t="s">
        <v>38</v>
      </c>
      <c r="M6" s="8" t="s">
        <v>38</v>
      </c>
      <c r="N6" s="8" t="s">
        <v>38</v>
      </c>
      <c r="O6" s="8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38</v>
      </c>
      <c r="AF6" t="s">
        <v>38</v>
      </c>
      <c r="AG6" t="s">
        <v>38</v>
      </c>
      <c r="AH6" t="s">
        <v>38</v>
      </c>
      <c r="AI6" t="s">
        <v>38</v>
      </c>
      <c r="AJ6" t="s">
        <v>38</v>
      </c>
      <c r="AK6" t="s">
        <v>38</v>
      </c>
      <c r="AL6" t="s">
        <v>38</v>
      </c>
      <c r="AM6" t="s">
        <v>38</v>
      </c>
      <c r="AN6" t="s">
        <v>38</v>
      </c>
      <c r="AO6" t="s">
        <v>38</v>
      </c>
      <c r="AP6" t="s">
        <v>38</v>
      </c>
      <c r="AQ6" t="s">
        <v>38</v>
      </c>
      <c r="AR6" t="s">
        <v>38</v>
      </c>
      <c r="AS6" t="s">
        <v>38</v>
      </c>
      <c r="AT6" t="s">
        <v>38</v>
      </c>
      <c r="AU6" t="s">
        <v>38</v>
      </c>
      <c r="AV6" t="s">
        <v>38</v>
      </c>
      <c r="AW6" t="s">
        <v>38</v>
      </c>
      <c r="AX6" t="s">
        <v>38</v>
      </c>
      <c r="AY6" t="s">
        <v>38</v>
      </c>
      <c r="AZ6" t="s">
        <v>38</v>
      </c>
      <c r="BA6" t="s">
        <v>38</v>
      </c>
      <c r="BB6" t="s">
        <v>38</v>
      </c>
      <c r="BC6" t="s">
        <v>38</v>
      </c>
      <c r="BD6" t="s">
        <v>38</v>
      </c>
      <c r="BE6" t="s">
        <v>38</v>
      </c>
      <c r="BF6" t="s">
        <v>38</v>
      </c>
      <c r="BG6" t="s">
        <v>38</v>
      </c>
      <c r="BH6" t="s">
        <v>38</v>
      </c>
      <c r="BI6" t="s">
        <v>38</v>
      </c>
      <c r="BJ6" t="s">
        <v>38</v>
      </c>
      <c r="BK6" t="s">
        <v>38</v>
      </c>
      <c r="BL6" t="s">
        <v>38</v>
      </c>
      <c r="BM6" t="s">
        <v>38</v>
      </c>
      <c r="BN6" t="s">
        <v>38</v>
      </c>
      <c r="BO6" t="s">
        <v>38</v>
      </c>
      <c r="BP6" t="s">
        <v>38</v>
      </c>
      <c r="BQ6" t="s">
        <v>38</v>
      </c>
      <c r="BR6" t="s">
        <v>38</v>
      </c>
      <c r="BS6" t="s">
        <v>38</v>
      </c>
      <c r="BT6" t="s">
        <v>38</v>
      </c>
      <c r="BU6" t="s">
        <v>38</v>
      </c>
      <c r="BV6" t="s">
        <v>38</v>
      </c>
      <c r="BW6" t="s">
        <v>38</v>
      </c>
      <c r="BX6" t="s">
        <v>38</v>
      </c>
      <c r="BY6" t="s">
        <v>38</v>
      </c>
      <c r="BZ6" t="s">
        <v>38</v>
      </c>
      <c r="CA6" t="s">
        <v>38</v>
      </c>
      <c r="CB6" t="s">
        <v>38</v>
      </c>
      <c r="CC6" t="s">
        <v>38</v>
      </c>
      <c r="CD6" t="s">
        <v>38</v>
      </c>
      <c r="CE6" t="s">
        <v>38</v>
      </c>
      <c r="CF6" t="s">
        <v>38</v>
      </c>
      <c r="CG6" t="s">
        <v>38</v>
      </c>
      <c r="CH6" t="s">
        <v>38</v>
      </c>
      <c r="CI6" t="s">
        <v>38</v>
      </c>
      <c r="CJ6" t="s">
        <v>38</v>
      </c>
      <c r="CK6" t="s">
        <v>38</v>
      </c>
      <c r="CL6" t="s">
        <v>38</v>
      </c>
      <c r="CM6" t="s">
        <v>38</v>
      </c>
      <c r="CN6" t="s">
        <v>38</v>
      </c>
      <c r="CO6" t="s">
        <v>38</v>
      </c>
      <c r="CP6" t="s">
        <v>38</v>
      </c>
      <c r="CQ6" t="s">
        <v>38</v>
      </c>
      <c r="CR6" t="s">
        <v>38</v>
      </c>
      <c r="CS6" t="s">
        <v>38</v>
      </c>
      <c r="CT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CheckSymbolLevelAggregation!$4:$4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5.0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