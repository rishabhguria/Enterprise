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ReplaceSubOrder" sheetId="17" r:id="rId19"/>
    <sheet state="visible" name="CreateComplianceOrder1" sheetId="18" r:id="rId20"/>
    <sheet state="visible" name="VerifyComplianceOrder1" sheetId="19" r:id="rId21"/>
    <sheet state="visible" name="CancelSubOrder" sheetId="20" r:id="rId22"/>
    <sheet state="visible" name="VerifyComplianceOrder2" sheetId="21" r:id="rId23"/>
  </sheets>
  <definedNames/>
  <calcPr/>
</workbook>
</file>

<file path=xl/sharedStrings.xml><?xml version="1.0" encoding="utf-8"?>
<sst xmlns="http://schemas.openxmlformats.org/spreadsheetml/2006/main" count="214" uniqueCount="54">
  <si>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</si>
  <si>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</si>
  <si>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</si>
  <si>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</si>
  <si>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</si>
  <si>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</si>
  <si>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</si>
  <si>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</si>
  <si>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</si>
  <si>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</si>
  <si>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</si>
  <si>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</si>
  <si>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</si>
  <si>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</si>
  <si>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</si>
  <si>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</si>
  <si>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</si>
  <si>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</si>
  <si>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</si>
  <si>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</si>
  <si>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</si>
  <si>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O:COP 14O62.50</t>
  </si>
  <si>
    <t>Buy to Open</t>
  </si>
  <si>
    <t>Allocation1</t>
  </si>
  <si>
    <t>ES U2</t>
  </si>
  <si>
    <t>Buy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</si>
  <si>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</si>
  <si>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</si>
  <si>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</si>
  <si>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</si>
  <si>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</si>
  <si>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</si>
  <si>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</si>
  <si>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</si>
  <si>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New</t>
  </si>
  <si>
    <t>Send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</si>
  <si>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</si>
  <si>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</si>
  <si>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</si>
  <si>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</si>
  <si>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</si>
  <si>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</si>
  <si>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29.8507, percentNetMarketValueGlobal: 95.5224, percentGrossExposureGlobal: 29.8507, percentGrossMarketValueGlobal: 95.5224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</si>
  <si>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</si>
  <si>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</si>
  <si>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</si>
  <si>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</si>
  <si>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</si>
  <si>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</si>
  <si>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</si>
  <si>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</si>
  <si>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percentNetExposureGlobal: 29.8507, percentNetMarketValueGlobal: 155.2239, percentGrossExposureGlobal: 29.8507, percentGrossMarketValueGlobal: 155.2239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</si>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</sst>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8" fillId="0" fontId="3" numFmtId="0" xfId="0" applyAlignment="1" applyBorder="1" applyFont="1">
      <alignment vertical="bottom"/>
    </xf>
    <xf borderId="9" fillId="6" fontId="13" numFmtId="0" xfId="0" applyAlignment="1" applyBorder="1" applyFill="1" applyFont="1">
      <alignment vertical="top"/>
    </xf>
    <xf borderId="9" fillId="7" fontId="14" numFmtId="0" xfId="0" applyAlignment="1" applyBorder="1" applyFill="1" applyFont="1">
      <alignment vertical="top"/>
    </xf>
    <xf borderId="9" fillId="7" fontId="14" numFmtId="0" xfId="0" applyAlignment="1" applyBorder="1" applyFont="1">
      <alignment vertical="top"/>
    </xf>
    <xf borderId="10" fillId="7" fontId="14" numFmtId="0" xfId="0" applyAlignment="1" applyBorder="1" applyFont="1">
      <alignment shrinkToFit="0" vertical="top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11" fillId="0" fontId="3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9">
        <v>0.0</v>
      </c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9" si="1">TODAY()-1</f>
        <v>45878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21</v>
      </c>
      <c r="C7" s="37" t="s">
        <v>22</v>
      </c>
      <c r="D7" s="39">
        <v>10.0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45878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1"/>
      <c r="B8" s="42" t="s">
        <v>24</v>
      </c>
      <c r="C8" s="37" t="s">
        <v>25</v>
      </c>
      <c r="D8" s="39">
        <v>100.0</v>
      </c>
      <c r="E8" s="39">
        <v>0.0</v>
      </c>
      <c r="F8" s="37" t="s">
        <v>23</v>
      </c>
      <c r="G8" s="31"/>
      <c r="H8" s="31"/>
      <c r="I8" s="31"/>
      <c r="J8" s="39">
        <v>10.0</v>
      </c>
      <c r="K8" s="31"/>
      <c r="L8" s="31"/>
      <c r="M8" s="31"/>
      <c r="N8" s="40">
        <f t="shared" si="1"/>
        <v>45878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1"/>
      <c r="B9" s="42" t="s">
        <v>24</v>
      </c>
      <c r="C9" s="37" t="s">
        <v>25</v>
      </c>
      <c r="D9" s="39">
        <v>100.0</v>
      </c>
      <c r="E9" s="31"/>
      <c r="F9" s="37" t="s">
        <v>23</v>
      </c>
      <c r="G9" s="31"/>
      <c r="H9" s="31"/>
      <c r="I9" s="31"/>
      <c r="J9" s="39">
        <v>10.0</v>
      </c>
      <c r="K9" s="31"/>
      <c r="L9" s="31"/>
      <c r="M9" s="31"/>
      <c r="N9" s="40">
        <f t="shared" si="1"/>
        <v>45878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1"/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7" si="1">TODAY()-1</f>
        <v>45878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24</v>
      </c>
      <c r="C7" s="37" t="s">
        <v>25</v>
      </c>
      <c r="D7" s="39">
        <v>100.0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45878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9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24</v>
      </c>
      <c r="C7" s="39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f t="shared" ref="B6:C6" si="1">today()-1</f>
        <v>45878</v>
      </c>
      <c r="C6" s="44">
        <f t="shared" si="1"/>
        <v>45878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23</v>
      </c>
      <c r="C6" s="46" t="s">
        <v>31</v>
      </c>
      <c r="D6" s="47">
        <v>115000.0</v>
      </c>
      <c r="E6" s="4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9" t="s">
        <v>32</v>
      </c>
      <c r="C7" s="50" t="s">
        <v>31</v>
      </c>
      <c r="D7" s="51">
        <v>100000.0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100.0</v>
      </c>
      <c r="E6" s="31"/>
      <c r="F6" s="37" t="s">
        <v>23</v>
      </c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52" t="s">
        <v>34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2" t="s">
        <v>35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37</v>
      </c>
      <c r="C6" s="55" t="s">
        <v>38</v>
      </c>
      <c r="D6" s="56" t="s">
        <v>39</v>
      </c>
      <c r="E6" s="55" t="s">
        <v>40</v>
      </c>
      <c r="F6" s="55" t="s">
        <v>41</v>
      </c>
      <c r="G6" s="55" t="s">
        <v>41</v>
      </c>
      <c r="H6" s="57" t="s">
        <v>42</v>
      </c>
      <c r="I6" s="31"/>
      <c r="J6" s="31"/>
      <c r="K6" s="37" t="s">
        <v>18</v>
      </c>
      <c r="L6" s="31"/>
      <c r="M6" s="58" t="s">
        <v>35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6" t="s">
        <v>21</v>
      </c>
      <c r="D6" s="12"/>
      <c r="E6" s="5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6" t="s">
        <v>21</v>
      </c>
      <c r="D6" s="12"/>
      <c r="E6" s="5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5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0"/>
      <c r="C6" s="41"/>
      <c r="D6" s="61" t="s">
        <v>21</v>
      </c>
      <c r="E6" s="31"/>
      <c r="F6" s="37" t="s">
        <v>22</v>
      </c>
      <c r="G6" s="58" t="s">
        <v>34</v>
      </c>
      <c r="H6" s="39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52" t="s">
        <v>34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62" t="s">
        <v>21</v>
      </c>
      <c r="AK6" s="37" t="s">
        <v>22</v>
      </c>
      <c r="AL6" s="52" t="s">
        <v>34</v>
      </c>
      <c r="AM6" s="63">
        <v>100.0</v>
      </c>
      <c r="AN6" s="31"/>
      <c r="AO6" s="31"/>
      <c r="AP6" s="31"/>
      <c r="AQ6" s="31"/>
      <c r="AR6" s="31"/>
      <c r="AS6" s="63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1" t="s">
        <v>21</v>
      </c>
      <c r="C6" s="31"/>
      <c r="D6" s="38">
        <v>200.0</v>
      </c>
      <c r="E6" s="31"/>
      <c r="F6" s="31"/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50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37</v>
      </c>
      <c r="C6" s="55" t="s">
        <v>38</v>
      </c>
      <c r="D6" s="56" t="s">
        <v>39</v>
      </c>
      <c r="E6" s="55" t="s">
        <v>40</v>
      </c>
      <c r="F6" s="55" t="s">
        <v>41</v>
      </c>
      <c r="G6" s="55" t="s">
        <v>41</v>
      </c>
      <c r="H6" s="57" t="s">
        <v>51</v>
      </c>
      <c r="I6" s="31"/>
      <c r="J6" s="31"/>
      <c r="K6" s="37" t="s">
        <v>18</v>
      </c>
      <c r="L6" s="31"/>
      <c r="M6" s="37" t="s">
        <v>50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62" t="s">
        <v>21</v>
      </c>
      <c r="AJ6" s="37" t="s">
        <v>22</v>
      </c>
      <c r="AK6" s="31" t="s">
        <v>53</v>
      </c>
      <c r="AL6" s="63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37</v>
      </c>
      <c r="C6" s="55" t="s">
        <v>38</v>
      </c>
      <c r="D6" s="56" t="s">
        <v>39</v>
      </c>
      <c r="E6" s="55" t="s">
        <v>40</v>
      </c>
      <c r="F6" s="55" t="s">
        <v>41</v>
      </c>
      <c r="G6" s="55" t="s">
        <v>41</v>
      </c>
      <c r="H6" s="57" t="s">
        <v>51</v>
      </c>
      <c r="I6" s="31"/>
      <c r="J6" s="31"/>
      <c r="K6" s="37" t="s">
        <v>18</v>
      </c>
      <c r="L6" s="31"/>
      <c r="M6" s="58" t="s">
        <v>35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