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SelectTradeUnexpiredUnsettled" sheetId="6" r:id="rId8"/>
    <sheet state="visible" name="ExerciseAssignment" sheetId="7" r:id="rId9"/>
    <sheet state="visible" name="CheckPortfolioManagement" sheetId="8" r:id="rId10"/>
    <sheet state="visible" name="EditTradeUnexpiredUnsettled" sheetId="9" r:id="rId11"/>
  </sheets>
  <definedNames/>
  <calcPr/>
</workbook>
</file>

<file path=xl/sharedStrings.xml><?xml version="1.0" encoding="utf-8"?>
<sst xmlns="http://schemas.openxmlformats.org/spreadsheetml/2006/main" count="85" uniqueCount="46">
  <si>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</si>
  <si>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</si>
  <si>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</si>
  <si>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</si>
  <si>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</si>
  <si>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</si>
  <si>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</si>
  <si>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</si>
  <si>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</si>
  <si>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</si>
  <si>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</si>
  <si>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</si>
  <si>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</si>
  <si>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</si>
  <si>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</si>
  <si>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</si>
  <si>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ES H9C700</t>
  </si>
  <si>
    <t>Buy to Open</t>
  </si>
  <si>
    <t>Allocation1</t>
  </si>
  <si>
    <t>Closing</t>
  </si>
  <si>
    <t>GetDataClosing</t>
  </si>
  <si>
    <t>Current</t>
  </si>
  <si>
    <t>SelectTradeUnexpiredUnsettled</t>
  </si>
  <si>
    <t>FutureOption</t>
  </si>
  <si>
    <t xml:space="preserve">Buy to Open </t>
  </si>
  <si>
    <t>ExerciseAssignment</t>
  </si>
  <si>
    <t>PortfolioManagement</t>
  </si>
  <si>
    <t>CheckPortfolioManagement</t>
  </si>
  <si>
    <t>NewMF</t>
  </si>
  <si>
    <t>Long</t>
  </si>
  <si>
    <t>ES H9C7</t>
  </si>
  <si>
    <t>Undefined</t>
  </si>
  <si>
    <t>FIMAT</t>
  </si>
  <si>
    <t>US</t>
  </si>
  <si>
    <t>CMEE</t>
  </si>
  <si>
    <t>USD</t>
  </si>
  <si>
    <t>ES</t>
  </si>
  <si>
    <t>BrokerNotes</t>
  </si>
  <si>
    <t>DefaultNotes</t>
  </si>
  <si>
    <t>Future Call</t>
  </si>
  <si>
    <t>Preferencial</t>
  </si>
  <si>
    <t>Engineering and Construction</t>
  </si>
  <si>
    <t>Aluminum</t>
  </si>
  <si>
    <t>jpearce</t>
  </si>
  <si>
    <t>MS</t>
  </si>
  <si>
    <t>EditTradeUnexpiredUnsettled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</si>
</sst>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10.0</v>
      </c>
      <c r="E6" s="32"/>
      <c r="F6" s="32" t="s">
        <v>18</v>
      </c>
      <c r="G6" s="32"/>
      <c r="H6" s="32"/>
      <c r="I6" s="32"/>
      <c r="J6" s="34">
        <v>1.0</v>
      </c>
      <c r="K6" s="32"/>
      <c r="L6" s="32"/>
      <c r="M6" s="32"/>
      <c r="N6" s="35">
        <f>today()</f>
        <v>45151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/>
      <c r="D6" s="31"/>
      <c r="E6" s="32" t="s">
        <v>23</v>
      </c>
      <c r="F6" s="32"/>
      <c r="G6" s="32"/>
      <c r="H6" s="32"/>
      <c r="I6" s="34">
        <v>1.0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7">
        <v>10.0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 t="s">
        <v>24</v>
      </c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7">
        <v>10.0</v>
      </c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 t="s">
        <v>16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W6" s="9">
        <v>11.0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8" t="s">
        <v>16</v>
      </c>
      <c r="D6" s="39">
        <v>10.0</v>
      </c>
      <c r="E6" s="38" t="s">
        <v>18</v>
      </c>
      <c r="F6" s="38" t="s">
        <v>28</v>
      </c>
      <c r="G6" s="40">
        <v>1.0</v>
      </c>
      <c r="H6" s="38" t="s">
        <v>29</v>
      </c>
      <c r="I6" s="40"/>
      <c r="J6" s="32"/>
      <c r="K6" s="32"/>
      <c r="L6" s="32"/>
      <c r="M6" s="32"/>
      <c r="N6" s="32"/>
      <c r="O6" s="38" t="s">
        <v>30</v>
      </c>
      <c r="P6" s="38" t="s">
        <v>31</v>
      </c>
      <c r="Q6" s="32"/>
      <c r="R6" s="38" t="s">
        <v>32</v>
      </c>
      <c r="S6" s="38"/>
      <c r="T6" s="38" t="s">
        <v>23</v>
      </c>
      <c r="U6" s="38" t="s">
        <v>33</v>
      </c>
      <c r="V6" s="38" t="s">
        <v>34</v>
      </c>
      <c r="W6" s="38" t="s">
        <v>35</v>
      </c>
      <c r="X6" s="40">
        <v>50.0</v>
      </c>
      <c r="Y6" s="40">
        <v>1.0</v>
      </c>
      <c r="Z6" s="32"/>
      <c r="AA6" s="32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38" t="s">
        <v>17</v>
      </c>
      <c r="AO6" s="32"/>
      <c r="AP6" s="38" t="s">
        <v>29</v>
      </c>
      <c r="AQ6" s="38" t="s">
        <v>36</v>
      </c>
      <c r="AR6" s="40"/>
      <c r="AS6" s="40">
        <v>1.0</v>
      </c>
      <c r="AT6" s="38" t="s">
        <v>37</v>
      </c>
      <c r="AU6" s="38" t="s">
        <v>38</v>
      </c>
      <c r="AV6" s="40">
        <v>1.0</v>
      </c>
      <c r="AW6" s="40"/>
      <c r="AX6" s="40"/>
      <c r="AY6" s="40"/>
      <c r="AZ6" s="40"/>
      <c r="BA6" s="40"/>
      <c r="BB6" s="32"/>
      <c r="BC6" s="40"/>
      <c r="BD6" s="40"/>
      <c r="BE6" s="38" t="s">
        <v>39</v>
      </c>
      <c r="BF6" s="38" t="s">
        <v>40</v>
      </c>
      <c r="BG6" s="38" t="s">
        <v>41</v>
      </c>
      <c r="BH6" s="38" t="s">
        <v>42</v>
      </c>
      <c r="BI6" s="40"/>
      <c r="BJ6" s="40"/>
      <c r="BK6" s="40"/>
      <c r="BL6" s="40"/>
      <c r="BM6" s="40"/>
      <c r="BN6" s="32"/>
      <c r="BO6" s="32"/>
      <c r="BP6" s="32"/>
      <c r="BQ6" s="38" t="s">
        <v>43</v>
      </c>
      <c r="BR6" s="38" t="s">
        <v>44</v>
      </c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IFERROR(__xludf.DUMMYFUNCTION("""COMPUTED_VALUE"""),"Original Side")</f>
        <v>Original Side</v>
      </c>
      <c r="D5" s="28" t="str">
        <f>IFERROR(__xludf.DUMMYFUNCTION("""COMPUTED_VALUE"""),"Symbol")</f>
        <v>Symbol</v>
      </c>
      <c r="E5" s="28" t="str">
        <f>IFERROR(__xludf.DUMMYFUNCTION("""COMPUTED_VALUE"""),"Settlement Qty")</f>
        <v>Settlement Qty</v>
      </c>
      <c r="F5" s="29" t="str">
        <f>IFERROR(__xludf.DUMMYFUNCTION("""COMPUTED_VALUE"""),"Quantity")</f>
        <v>Quantity</v>
      </c>
      <c r="G5" s="28" t="str">
        <f>IFERROR(__xludf.DUMMYFUNCTION("""COMPUTED_VALUE"""),"TotalCommission&amp;Fees")</f>
        <v>TotalCommission&amp;Fees</v>
      </c>
      <c r="H5" s="28" t="str">
        <f>IFERROR(__xludf.DUMMYFUNCTION("""COMPUTED_VALUE"""),"Net Notional")</f>
        <v>Net Notional</v>
      </c>
      <c r="I5" s="28" t="str">
        <f>IFERROR(__xludf.DUMMYFUNCTION("""COMPUTED_VALUE"""),"Average Price")</f>
        <v>Average Price</v>
      </c>
      <c r="J5" s="28" t="str">
        <f>IFERROR(__xludf.DUMMYFUNCTION("""COMPUTED_VALUE"""),"UnderlyingName")</f>
        <v>UnderlyingName</v>
      </c>
      <c r="K5" s="28" t="str">
        <f>IFERROR(__xludf.DUMMYFUNCTION("""COMPUTED_VALUE"""),"UnitCost")</f>
        <v>UnitCost</v>
      </c>
      <c r="L5" s="28" t="str">
        <f>IFERROR(__xludf.DUMMYFUNCTION("""COMPUTED_VALUE"""),"PositionTag")</f>
        <v>PositionTag</v>
      </c>
      <c r="M5" s="28" t="str">
        <f>IFERROR(__xludf.DUMMYFUNCTION("""COMPUTED_VALUE"""),"Strategy")</f>
        <v>Strategy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1" t="s">
        <v>17</v>
      </c>
      <c r="D6" s="42" t="s">
        <v>16</v>
      </c>
      <c r="E6" s="43">
        <v>11.0</v>
      </c>
      <c r="F6" s="34">
        <v>10.0</v>
      </c>
      <c r="G6" s="3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