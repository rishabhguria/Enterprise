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package.relationships+xml" Extension="rels"/>
  <Override ContentType="application/vnd.openxmlformats-officedocument.spreadsheetml.worksheet+xml" PartName="/xl/worksheets/sheet4.xml"/>
  <Override ContentType="application/vnd.openxmlformats-officedocument.spreadsheetml.worksheet+xml" PartName="/xl/worksheets/sheet10.xml"/>
  <Override ContentType="application/vnd.openxmlformats-officedocument.spreadsheetml.worksheet+xml" PartName="/xl/worksheets/sheet12.xml"/>
  <Override ContentType="application/vnd.openxmlformats-officedocument.spreadsheetml.worksheet+xml" PartName="/xl/worksheets/sheet15.xml"/>
  <Override ContentType="application/vnd.openxmlformats-officedocument.spreadsheetml.worksheet+xml" PartName="/xl/worksheets/sheet2.xml"/>
  <Override ContentType="application/vnd.openxmlformats-officedocument.spreadsheetml.worksheet+xml" PartName="/xl/worksheets/sheet6.xml"/>
  <Override ContentType="application/vnd.openxmlformats-officedocument.spreadsheetml.worksheet+xml" PartName="/xl/worksheets/sheet8.xml"/>
  <Override ContentType="application/vnd.openxmlformats-officedocument.spreadsheetml.worksheet+xml" PartName="/xl/worksheets/sheet5.xml"/>
  <Override ContentType="application/vnd.openxmlformats-officedocument.spreadsheetml.worksheet+xml" PartName="/xl/worksheets/sheet11.xml"/>
  <Override ContentType="application/vnd.openxmlformats-officedocument.spreadsheetml.worksheet+xml" PartName="/xl/worksheets/sheet14.xml"/>
  <Override ContentType="application/vnd.openxmlformats-officedocument.spreadsheetml.worksheet+xml" PartName="/xl/worksheets/sheet13.xml"/>
  <Override ContentType="application/vnd.openxmlformats-officedocument.spreadsheetml.worksheet+xml" PartName="/xl/worksheets/sheet1.xml"/>
  <Override ContentType="application/vnd.openxmlformats-officedocument.spreadsheetml.worksheet+xml" PartName="/xl/worksheets/sheet3.xml"/>
  <Override ContentType="application/vnd.openxmlformats-officedocument.spreadsheetml.worksheet+xml" PartName="/xl/worksheets/sheet9.xml"/>
  <Override ContentType="application/vnd.openxmlformats-officedocument.spreadsheetml.worksheet+xml" PartName="/xl/worksheets/sheet7.xml"/>
  <Override ContentType="application/vnd.openxmlformats-officedocument.spreadsheetml.sharedStrings+xml" PartName="/xl/sharedStrings.xml"/>
  <Override ContentType="application/vnd.openxmlformats-officedocument.drawing+xml" PartName="/xl/drawings/drawing4.xml"/>
  <Override ContentType="application/vnd.openxmlformats-officedocument.drawing+xml" PartName="/xl/drawings/drawing10.xml"/>
  <Override ContentType="application/vnd.openxmlformats-officedocument.drawing+xml" PartName="/xl/drawings/drawing9.xml"/>
  <Override ContentType="application/vnd.openxmlformats-officedocument.drawing+xml" PartName="/xl/drawings/drawing13.xml"/>
  <Override ContentType="application/vnd.openxmlformats-officedocument.drawing+xml" PartName="/xl/drawings/drawing6.xml"/>
  <Override ContentType="application/vnd.openxmlformats-officedocument.drawing+xml" PartName="/xl/drawings/drawing15.xml"/>
  <Override ContentType="application/vnd.openxmlformats-officedocument.drawing+xml" PartName="/xl/drawings/drawing1.xml"/>
  <Override ContentType="application/vnd.openxmlformats-officedocument.drawing+xml" PartName="/xl/drawings/drawing12.xml"/>
  <Override ContentType="application/vnd.openxmlformats-officedocument.drawing+xml" PartName="/xl/drawings/drawing8.xml"/>
  <Override ContentType="application/vnd.openxmlformats-officedocument.drawing+xml" PartName="/xl/drawings/drawing3.xml"/>
  <Override ContentType="application/vnd.openxmlformats-officedocument.drawing+xml" PartName="/xl/drawings/drawing14.xml"/>
  <Override ContentType="application/vnd.openxmlformats-officedocument.drawing+xml" PartName="/xl/drawings/drawing5.xml"/>
  <Override ContentType="application/vnd.openxmlformats-officedocument.drawing+xml" PartName="/xl/drawings/drawing7.xml"/>
  <Override ContentType="application/vnd.openxmlformats-officedocument.drawing+xml" PartName="/xl/drawings/drawing2.xml"/>
  <Override ContentType="application/vnd.openxmlformats-officedocument.drawing+xml" PartName="/xl/drawings/drawing11.xml"/>
  <Override ContentType="application/vnd.openxmlformats-officedocument.spreadsheetml.styles+xml" PartName="/xl/styles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_Modules" sheetId="1" r:id="rId3"/>
    <sheet state="visible" name="_Settings" sheetId="2" r:id="rId4"/>
    <sheet state="visible" name="_MasterData" sheetId="3" r:id="rId5"/>
    <sheet state="visible" name="UpdateExpirationDate" sheetId="4" r:id="rId6"/>
    <sheet state="visible" name="SetClosingPreference" sheetId="5" r:id="rId7"/>
    <sheet state="visible" name="CreateDoneAwayOrder" sheetId="6" r:id="rId8"/>
    <sheet state="visible" name="GetMarkPriceData" sheetId="7" r:id="rId9"/>
    <sheet state="visible" name="UpdateMarkPrice" sheetId="8" r:id="rId10"/>
    <sheet state="visible" name="GetDataClosing" sheetId="9" r:id="rId11"/>
    <sheet state="visible" name="SelectTradeUnexpiredUnsettled" sheetId="10" r:id="rId12"/>
    <sheet state="visible" name="ExerciseAssignment" sheetId="11" r:id="rId13"/>
    <sheet state="visible" name="GetDataAllocation" sheetId="12" r:id="rId14"/>
    <sheet state="visible" name="CheckAllocatedGroups" sheetId="13" r:id="rId15"/>
    <sheet state="visible" name="CheckAllocatedTaxlots" sheetId="14" r:id="rId16"/>
    <sheet state="visible" name="CheckPortfolioManagement" sheetId="15" r:id="rId17"/>
  </sheets>
  <definedNames/>
  <calcPr/>
</workbook>
</file>

<file path=xl/sharedStrings.xml><?xml version="1.0" encoding="utf-8"?>
<sst xmlns="http://schemas.openxmlformats.org/spreadsheetml/2006/main" count="330" uniqueCount="62">
  <si>
    <t>Modules Info</t>
  </si>
  <si>
    <t>Modules</t>
  </si>
  <si>
    <t>Settings</t>
  </si>
  <si>
    <t>Module Step Setting File</t>
  </si>
  <si>
    <t>1-OnCJJHP2ByjdYbF53fJwv9z4thBiHnNugUdMvYm2nU</t>
  </si>
  <si>
    <t>Master Data Settings File</t>
  </si>
  <si>
    <t>1ET_FzujYIJWcp6rHUh1D2C4DN1gw_3KHpK7g1_mrw08</t>
  </si>
  <si>
    <t>Master Data Info</t>
  </si>
  <si>
    <t>Module</t>
  </si>
  <si>
    <t>Step</t>
  </si>
  <si>
    <t>Master Data Sheet</t>
  </si>
  <si>
    <t>Data</t>
  </si>
  <si>
    <t>Admin</t>
  </si>
  <si>
    <t>UpdateExpirationDate</t>
  </si>
  <si>
    <t>Data Format</t>
  </si>
  <si>
    <t>Input Format</t>
  </si>
  <si>
    <t>O:AAPL 23E90.00D1</t>
  </si>
  <si>
    <t>O:AAPL 23Q110.00D1</t>
  </si>
  <si>
    <t>Closing</t>
  </si>
  <si>
    <t>SetClosingPreference</t>
  </si>
  <si>
    <t>FIFO</t>
  </si>
  <si>
    <t>TradingTicket</t>
  </si>
  <si>
    <t>CreateDoneAwayOrder</t>
  </si>
  <si>
    <t>AAPL</t>
  </si>
  <si>
    <t>Buy</t>
  </si>
  <si>
    <t>Allocation1</t>
  </si>
  <si>
    <t>Sell to Open</t>
  </si>
  <si>
    <t>Buy to Open</t>
  </si>
  <si>
    <t>DailyValuation</t>
  </si>
  <si>
    <t>GetMarkPriceData</t>
  </si>
  <si>
    <t>UpdateMarkPrice</t>
  </si>
  <si>
    <t>GetDataClosing</t>
  </si>
  <si>
    <t>Historical</t>
  </si>
  <si>
    <t>1/1/1800</t>
  </si>
  <si>
    <t>SelectTradeUnexpiredUnsettled</t>
  </si>
  <si>
    <t>EquityOption</t>
  </si>
  <si>
    <t>MS</t>
  </si>
  <si>
    <t>ExerciseAssignment</t>
  </si>
  <si>
    <t>Allocation</t>
  </si>
  <si>
    <t>GetDataAllocation</t>
  </si>
  <si>
    <t>CheckAllocatedGroups</t>
  </si>
  <si>
    <t>USD</t>
  </si>
  <si>
    <t>NASDAQ</t>
  </si>
  <si>
    <t>Strategy Unallocated</t>
  </si>
  <si>
    <t>US</t>
  </si>
  <si>
    <t>OPTS</t>
  </si>
  <si>
    <t>Buy to Close</t>
  </si>
  <si>
    <t>Sell to Close</t>
  </si>
  <si>
    <t>1,00,000.00</t>
  </si>
  <si>
    <t>1,10,000.00</t>
  </si>
  <si>
    <t>Sell short</t>
  </si>
  <si>
    <t>Sell</t>
  </si>
  <si>
    <t>CheckAllocatedTaxlots</t>
  </si>
  <si>
    <t>M</t>
  </si>
  <si>
    <t>D</t>
  </si>
  <si>
    <t>PortfolioManagement</t>
  </si>
  <si>
    <t>CheckPortfolioManagement</t>
  </si>
  <si>
    <t>Short</t>
  </si>
  <si>
    <t>APPLE</t>
  </si>
  <si>
    <t>Equity</t>
  </si>
  <si>
    <t>Long</t>
  </si>
  <si>
    <t>AAPL OPTION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</si>
</sst>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1">
    <numFmt numFmtId="164" formatCode="m/d/yyyy"/>
  </numFmts>
  <fonts count="15">
    <font>
      <sz val="10.0"/>
      <color rgb="FF000000"/>
      <name val="Arial"/>
    </font>
    <font>
      <b/>
      <sz val="14.0"/>
      <color rgb="FFFFFFFF"/>
      <name val="Calibri"/>
    </font>
    <font/>
    <font>
      <name val="Arial"/>
    </font>
    <font>
      <b/>
      <color rgb="FFFFFFFF"/>
      <name val="Calibri"/>
    </font>
    <font>
      <name val="Calibri"/>
    </font>
    <font>
      <sz val="14.0"/>
      <color rgb="FFFFFFFF"/>
      <name val="Calibri"/>
    </font>
    <font>
      <sz val="10.0"/>
      <color/>
      <name val="Calibri"/>
    </font>
    <font>
      <color rgb="FFFFFFFF"/>
      <name val="Calibri"/>
    </font>
    <font>
      <b/>
      <color rgb="FFFFFFFF"/>
      <name val="Arial"/>
    </font>
    <font>
      <b/>
      <color rgb="FFFFFFFF"/>
    </font>
    <font>
      <color rgb="FFFFFFFF"/>
    </font>
    <font>
      <color rgb="FFD9D9D9"/>
      <name val="Calibri"/>
    </font>
    <font>
      <color rgb="FFD9D9D9"/>
    </font>
    <font>
      <sz val="11.0"/>
      <color rgb="FF000000"/>
      <name val="Calibri"/>
    </font>
  </fonts>
  <fills count="6">
    <fill>
      <patternFill patternType="none"/>
    </fill>
    <fill>
      <patternFill patternType="lightGray"/>
    </fill>
    <fill>
      <patternFill patternType="solid">
        <fgColor rgb="FF5B0F00"/>
        <bgColor rgb="FF5B0F00"/>
      </patternFill>
    </fill>
    <fill>
      <patternFill patternType="solid">
        <fgColor rgb="FF000000"/>
        <bgColor rgb="FF000000"/>
      </patternFill>
    </fill>
    <fill>
      <patternFill patternType="solid">
        <fgColor rgb="FFD9D9D9"/>
        <bgColor rgb="FFD9D9D9"/>
      </patternFill>
    </fill>
    <fill>
      <patternFill patternType="solid">
        <fgColor rgb="FF666666"/>
        <bgColor rgb="FF666666"/>
      </patternFill>
    </fill>
  </fills>
  <borders count="5">
    <border/>
    <border>
      <left/>
      <top/>
      <bottom/>
    </border>
    <border>
      <top/>
      <bottom/>
    </border>
    <border>
      <right/>
      <top/>
      <bottom/>
    </border>
    <border>
      <left/>
      <right/>
      <top/>
      <bottom/>
    </border>
  </borders>
  <cellStyleXfs count="1">
    <xf borderId="0" fillId="0" fontId="0" numFmtId="0" applyAlignment="1" applyFont="1"/>
  </cellStyleXfs>
  <cellXfs count="52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 shrinkToFit="0" wrapText="0"/>
    </xf>
    <xf borderId="2" fillId="0" fontId="2" numFmtId="0" xfId="0" applyBorder="1" applyFont="1"/>
    <xf borderId="3" fillId="0" fontId="2" numFmtId="0" xfId="0" applyBorder="1" applyFont="1"/>
    <xf borderId="0" fillId="0" fontId="3" numFmtId="0" xfId="0" applyAlignment="1" applyFont="1">
      <alignment shrinkToFit="0" wrapText="0"/>
    </xf>
    <xf borderId="4" fillId="3" fontId="4" numFmtId="0" xfId="0" applyAlignment="1" applyBorder="1" applyFill="1" applyFont="1">
      <alignment shrinkToFit="0" wrapText="0"/>
    </xf>
    <xf borderId="4" fillId="3" fontId="3" numFmtId="0" xfId="0" applyAlignment="1" applyBorder="1" applyFont="1">
      <alignment readingOrder="0" shrinkToFit="0" wrapText="0"/>
    </xf>
    <xf borderId="4" fillId="3" fontId="3" numFmtId="0" xfId="0" applyAlignment="1" applyBorder="1" applyFont="1">
      <alignment shrinkToFit="0" wrapText="0"/>
    </xf>
    <xf borderId="0" fillId="0" fontId="5" numFmtId="0" xfId="0" applyAlignment="1" applyFont="1">
      <alignment shrinkToFit="0" wrapText="0"/>
    </xf>
    <xf borderId="0" fillId="0" fontId="2" numFmtId="0" xfId="0" applyAlignment="1" applyFont="1">
      <alignment readingOrder="0"/>
    </xf>
    <xf borderId="1" fillId="2" fontId="6" numFmtId="0" xfId="0" applyAlignment="1" applyBorder="1" applyFont="1">
      <alignment horizontal="center" shrinkToFit="0" wrapText="0"/>
    </xf>
    <xf borderId="0" fillId="0" fontId="7" numFmtId="0" xfId="0" applyAlignment="1" applyFont="1">
      <alignment readingOrder="0"/>
    </xf>
    <xf borderId="4" fillId="3" fontId="4" numFmtId="0" xfId="0" applyAlignment="1" applyBorder="1" applyFont="1">
      <alignment readingOrder="0" shrinkToFit="0" wrapText="0"/>
    </xf>
    <xf borderId="0" fillId="0" fontId="5" numFmtId="0" xfId="0" applyAlignment="1" applyFont="1">
      <alignment readingOrder="0" shrinkToFit="0" wrapText="0"/>
    </xf>
    <xf borderId="4" fillId="3" fontId="8" numFmtId="0" xfId="0" applyAlignment="1" applyBorder="1" applyFont="1">
      <alignment shrinkToFit="0" wrapText="0"/>
    </xf>
    <xf borderId="1" fillId="2" fontId="1" numFmtId="0" xfId="0" applyAlignment="1" applyBorder="1" applyFont="1">
      <alignment horizontal="center" readingOrder="0" shrinkToFit="0" wrapText="0"/>
    </xf>
    <xf borderId="4" fillId="3" fontId="9" numFmtId="0" xfId="0" applyAlignment="1" applyBorder="1" applyFont="1">
      <alignment readingOrder="0" shrinkToFit="0" wrapText="0"/>
    </xf>
    <xf borderId="4" fillId="3" fontId="9" numFmtId="0" xfId="0" applyAlignment="1" applyBorder="1" applyFont="1">
      <alignment shrinkToFit="0" wrapText="0"/>
    </xf>
    <xf borderId="0" fillId="0" fontId="10" numFmtId="0" xfId="0" applyFont="1"/>
    <xf borderId="0" fillId="2" fontId="1" numFmtId="0" xfId="0" applyAlignment="1" applyFont="1">
      <alignment horizontal="center" shrinkToFit="0" wrapText="0"/>
    </xf>
    <xf borderId="0" fillId="2" fontId="2" numFmtId="0" xfId="0" applyFont="1"/>
    <xf borderId="0" fillId="0" fontId="8" numFmtId="0" xfId="0" applyAlignment="1" applyFont="1">
      <alignment shrinkToFit="0" wrapText="0"/>
    </xf>
    <xf borderId="0" fillId="3" fontId="4" numFmtId="0" xfId="0" applyAlignment="1" applyFont="1">
      <alignment shrinkToFit="0" wrapText="0"/>
    </xf>
    <xf borderId="4" fillId="3" fontId="8" numFmtId="0" xfId="0" applyAlignment="1" applyBorder="1" applyFont="1">
      <alignment readingOrder="0" shrinkToFit="0" wrapText="0"/>
    </xf>
    <xf borderId="0" fillId="3" fontId="11" numFmtId="0" xfId="0" applyFont="1"/>
    <xf borderId="0" fillId="4" fontId="12" numFmtId="0" xfId="0" applyAlignment="1" applyFill="1" applyFont="1">
      <alignment shrinkToFit="0" wrapText="0"/>
    </xf>
    <xf borderId="0" fillId="4" fontId="13" numFmtId="0" xfId="0" applyFont="1"/>
    <xf borderId="0" fillId="5" fontId="4" numFmtId="0" xfId="0" applyAlignment="1" applyFill="1" applyFont="1">
      <alignment shrinkToFit="0" wrapText="0"/>
    </xf>
    <xf borderId="4" fillId="5" fontId="4" numFmtId="0" xfId="0" applyAlignment="1" applyBorder="1" applyFont="1">
      <alignment shrinkToFit="0" wrapText="0"/>
    </xf>
    <xf borderId="4" fillId="5" fontId="4" numFmtId="0" xfId="0" applyAlignment="1" applyBorder="1" applyFont="1">
      <alignment readingOrder="0" shrinkToFit="0" wrapText="0"/>
    </xf>
    <xf borderId="0" fillId="5" fontId="11" numFmtId="0" xfId="0" applyFont="1"/>
    <xf borderId="0" fillId="0" fontId="3" numFmtId="0" xfId="0" applyAlignment="1" applyFont="1">
      <alignment vertical="bottom"/>
    </xf>
    <xf borderId="0" fillId="0" fontId="5" numFmtId="14" xfId="0" applyAlignment="1" applyFont="1" applyNumberFormat="1">
      <alignment readingOrder="0" shrinkToFit="0" wrapText="0"/>
    </xf>
    <xf borderId="0" fillId="0" fontId="5" numFmtId="0" xfId="0" applyAlignment="1" applyFont="1">
      <alignment readingOrder="0" shrinkToFit="0" wrapText="0"/>
    </xf>
    <xf borderId="0" fillId="0" fontId="3" numFmtId="0" xfId="0" applyAlignment="1" applyFont="1">
      <alignment vertical="bottom"/>
    </xf>
    <xf borderId="0" fillId="0" fontId="5" numFmtId="0" xfId="0" applyAlignment="1" applyFont="1">
      <alignment horizontal="center" vertical="bottom"/>
    </xf>
    <xf borderId="0" fillId="0" fontId="3" numFmtId="0" xfId="0" applyAlignment="1" applyFont="1">
      <alignment readingOrder="0" vertical="bottom"/>
    </xf>
    <xf borderId="0" fillId="0" fontId="5" numFmtId="0" xfId="0" applyAlignment="1" applyFont="1">
      <alignment horizontal="right" readingOrder="0" vertical="bottom"/>
    </xf>
    <xf borderId="0" fillId="0" fontId="5" numFmtId="164" xfId="0" applyAlignment="1" applyFont="1" applyNumberForma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0" xfId="0" applyAlignment="1" applyFont="1">
      <alignment horizontal="right" vertical="bottom"/>
    </xf>
    <xf borderId="0" fillId="0" fontId="5" numFmtId="14" xfId="0" applyAlignment="1" applyFont="1" applyNumberFormat="1">
      <alignment horizontal="right" vertical="bottom"/>
    </xf>
    <xf borderId="0" fillId="0" fontId="5" numFmtId="0" xfId="0" applyAlignment="1" applyFont="1">
      <alignment vertical="bottom"/>
    </xf>
    <xf borderId="0" fillId="0" fontId="3" numFmtId="0" xfId="0" applyAlignment="1" applyFont="1">
      <alignment horizontal="right" vertical="bottom"/>
    </xf>
    <xf borderId="0" fillId="0" fontId="5" numFmtId="0" xfId="0" applyAlignment="1" applyFont="1">
      <alignment readingOrder="0" vertical="bottom"/>
    </xf>
    <xf borderId="0" fillId="0" fontId="3" numFmtId="0" xfId="0" applyAlignment="1" applyFont="1">
      <alignment shrinkToFit="0" vertical="bottom" wrapText="0"/>
    </xf>
    <xf borderId="0" fillId="0" fontId="5" numFmtId="0" xfId="0" applyAlignment="1" applyFont="1">
      <alignment vertical="bottom"/>
    </xf>
    <xf borderId="0" fillId="0" fontId="14" numFmtId="0" xfId="0" applyAlignment="1" applyFont="1">
      <alignment readingOrder="0" shrinkToFit="0" vertical="bottom" wrapText="0"/>
    </xf>
    <xf borderId="0" fillId="0" fontId="14" numFmtId="0" xfId="0" applyAlignment="1" applyFont="1">
      <alignment horizontal="right" readingOrder="0" shrinkToFit="0" vertical="bottom" wrapText="0"/>
    </xf>
    <xf borderId="0" fillId="0" fontId="14" numFmtId="4" xfId="0" applyAlignment="1" applyFont="1" applyNumberFormat="1">
      <alignment horizontal="right" readingOrder="0" shrinkToFit="0" vertical="bottom" wrapText="0"/>
    </xf>
    <xf borderId="0" fillId="0" fontId="14" numFmtId="0" xfId="0" applyAlignment="1" applyFont="1">
      <alignment shrinkToFit="0" vertical="bottom" wrapText="0"/>
    </xf>
    <xf borderId="0" fillId="0" fontId="14" numFmtId="3" xfId="0" applyAlignment="1" applyFont="1" applyNumberFormat="1">
      <alignment horizontal="right" readingOrder="0" shrinkToFit="0" vertical="bottom" wrapText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1" Type="http://schemas.openxmlformats.org/officeDocument/2006/relationships/worksheet" Target="worksheets/sheet9.xml"/><Relationship Id="rId10" Type="http://schemas.openxmlformats.org/officeDocument/2006/relationships/worksheet" Target="worksheets/sheet8.xml"/><Relationship Id="rId13" Type="http://schemas.openxmlformats.org/officeDocument/2006/relationships/worksheet" Target="worksheets/sheet11.xml"/><Relationship Id="rId12" Type="http://schemas.openxmlformats.org/officeDocument/2006/relationships/worksheet" Target="worksheets/sheet10.xml"/><Relationship Id="rId1" Type="http://schemas.openxmlformats.org/officeDocument/2006/relationships/styles" Target="styles.xml"/><Relationship Id="rId2" Type="http://schemas.openxmlformats.org/officeDocument/2006/relationships/sharedStrings" Target="sharedString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9" Type="http://schemas.openxmlformats.org/officeDocument/2006/relationships/worksheet" Target="worksheets/sheet7.xml"/><Relationship Id="rId15" Type="http://schemas.openxmlformats.org/officeDocument/2006/relationships/worksheet" Target="worksheets/sheet13.xml"/><Relationship Id="rId14" Type="http://schemas.openxmlformats.org/officeDocument/2006/relationships/worksheet" Target="worksheets/sheet12.xml"/><Relationship Id="rId17" Type="http://schemas.openxmlformats.org/officeDocument/2006/relationships/worksheet" Target="worksheets/sheet15.xml"/><Relationship Id="rId16" Type="http://schemas.openxmlformats.org/officeDocument/2006/relationships/worksheet" Target="worksheets/sheet14.xml"/><Relationship Id="rId5" Type="http://schemas.openxmlformats.org/officeDocument/2006/relationships/worksheet" Target="worksheets/sheet3.xml"/><Relationship Id="rId6" Type="http://schemas.openxmlformats.org/officeDocument/2006/relationships/worksheet" Target="worksheets/sheet4.xml"/><Relationship Id="rId7" Type="http://schemas.openxmlformats.org/officeDocument/2006/relationships/worksheet" Target="worksheets/sheet5.xml"/><Relationship Id="rId8" Type="http://schemas.openxmlformats.org/officeDocument/2006/relationships/worksheet" Target="worksheets/sheet6.xml"/></Relationships>
</file>

<file path=xl/drawings/_rels/drawing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6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7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8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9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0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2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3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4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_rels/drawing15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Relationship Id="rId2" Type="http://schemas.openxmlformats.org/officeDocument/2006/relationships/image" Target="../media/image2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6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7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8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9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1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2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0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2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7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5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16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8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1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4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19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0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drawings/drawing15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9</xdr:col>
      <xdr:colOff>1133475</xdr:colOff>
      <xdr:row>1</xdr:row>
      <xdr:rowOff>152400</xdr:rowOff>
    </xdr:from>
    <xdr:ext cx="1171575" cy="266700"/>
    <xdr:pic>
      <xdr:nvPicPr>
        <xdr:cNvPr id="0" name="image23.png" title="Image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  <xdr:oneCellAnchor>
    <xdr:from>
      <xdr:col>8</xdr:col>
      <xdr:colOff>1181100</xdr:colOff>
      <xdr:row>1</xdr:row>
      <xdr:rowOff>152400</xdr:rowOff>
    </xdr:from>
    <xdr:ext cx="1133475" cy="266700"/>
    <xdr:pic>
      <xdr:nvPicPr>
        <xdr:cNvPr id="0" name="image24.png" title="Image"/>
        <xdr:cNvPicPr preferRelativeResize="0"/>
      </xdr:nvPicPr>
      <xdr:blipFill>
        <a:blip cstate="print" r:embed="rId2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5.xml"/></Relationships>
</file>

<file path=xl/worksheets/_rels/sheet6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6.xml"/></Relationships>
</file>

<file path=xl/worksheets/_rels/sheet7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7.xml"/></Relationships>
</file>

<file path=xl/worksheets/_rels/sheet8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8.xml"/></Relationships>
</file>

<file path=xl/worksheets/_rels/sheet9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9.xml"/></Relationships>
</file>

<file path=xl/worksheets/_rels/sheet10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0.xml"/></Relationships>
</file>

<file path=xl/worksheets/_rels/sheet1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1.xml"/></Relationships>
</file>

<file path=xl/worksheets/_rels/sheet1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2.xml"/></Relationships>
</file>

<file path=xl/worksheets/_rels/sheet1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3.xml"/></Relationships>
</file>

<file path=xl/worksheets/_rels/sheet14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4.xml"/></Relationships>
</file>

<file path=xl/worksheets/_rels/sheet15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5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16.38"/>
    <col customWidth="1" min="2" max="2" width="23.5"/>
    <col customWidth="1" min="3" max="3" width="44.13"/>
    <col customWidth="1" min="4" max="26" width="12.63"/>
  </cols>
  <sheetData>
    <row r="1" ht="15.75" customHeight="1">
      <c r="A1" s="1" t="s">
        <v>0</v>
      </c>
      <c r="B1" s="2"/>
      <c r="C1" s="2"/>
      <c r="D1" s="2"/>
      <c r="E1" s="2"/>
      <c r="F1" s="3"/>
    </row>
    <row r="2" ht="15.75" customHeight="1">
      <c r="A2" s="4"/>
      <c r="B2" s="4"/>
      <c r="C2" s="4"/>
      <c r="D2" s="4"/>
      <c r="E2" s="4"/>
      <c r="F2" s="4"/>
    </row>
    <row r="3" ht="15.75" customHeight="1">
      <c r="A3" s="5" t="s">
        <v>1</v>
      </c>
      <c r="B3" s="6"/>
      <c r="C3" s="7"/>
      <c r="D3" s="7"/>
      <c r="E3" s="7"/>
      <c r="F3" s="7"/>
    </row>
    <row r="4" ht="15.75" customHeight="1">
      <c r="A4" s="8" t="str">
        <f>IFERROR(__xludf.DUMMYFUNCTION("IMPORTRANGE('_Settings'!B3,""Modules!A4:L1000"")"),"Allocation")</f>
        <v>Allocation</v>
      </c>
      <c r="B4" s="4" t="str">
        <f>IFERROR(__xludf.DUMMYFUNCTION("""COMPUTED_VALUE"""),"Allocate")</f>
        <v>Allocate</v>
      </c>
      <c r="C4" s="4" t="str">
        <f>IFERROR(__xludf.DUMMYFUNCTION("""COMPUTED_VALUE"""),"Undefined")</f>
        <v>Undefined</v>
      </c>
      <c r="D4" s="4"/>
      <c r="E4" s="4"/>
      <c r="F4" s="4"/>
    </row>
    <row r="5" ht="15.75" customHeight="1">
      <c r="A5" s="8" t="str">
        <f>IFERROR(__xludf.DUMMYFUNCTION("""COMPUTED_VALUE"""),"Allocation")</f>
        <v>Allocation</v>
      </c>
      <c r="B5" s="4" t="str">
        <f>IFERROR(__xludf.DUMMYFUNCTION("""COMPUTED_VALUE"""),"CheckAllocatedGroups")</f>
        <v>CheckAllocatedGroups</v>
      </c>
      <c r="C5" s="4" t="str">
        <f>IFERROR(__xludf.DUMMYFUNCTION("""COMPUTED_VALUE"""),"1kXWX5XbWkcCarG3_NeoZcsMD84Dg7Y1HBOol0fT3llw")</f>
        <v>1kXWX5XbWkcCarG3_NeoZcsMD84Dg7Y1HBOol0fT3llw</v>
      </c>
      <c r="D5" s="4"/>
      <c r="E5" s="4"/>
      <c r="F5" s="4"/>
    </row>
    <row r="6" ht="15.75" customHeight="1">
      <c r="A6" s="4" t="str">
        <f>IFERROR(__xludf.DUMMYFUNCTION("""COMPUTED_VALUE"""),"Allocation")</f>
        <v>Allocation</v>
      </c>
      <c r="B6" s="4" t="str">
        <f>IFERROR(__xludf.DUMMYFUNCTION("""COMPUTED_VALUE"""),"GetDataAllocation")</f>
        <v>GetDataAllocation</v>
      </c>
      <c r="C6" s="4" t="str">
        <f>IFERROR(__xludf.DUMMYFUNCTION("""COMPUTED_VALUE"""),"1Fsx99xjLV4wXC7CsT9wtcnBrZWmyHtcJTabwhtzutts")</f>
        <v>1Fsx99xjLV4wXC7CsT9wtcnBrZWmyHtcJTabwhtzutts</v>
      </c>
      <c r="D6" s="4"/>
      <c r="E6" s="4"/>
      <c r="F6" s="4"/>
    </row>
    <row r="7" ht="15.75" customHeight="1">
      <c r="A7" s="4" t="str">
        <f>IFERROR(__xludf.DUMMYFUNCTION("""COMPUTED_VALUE"""),"Allocation")</f>
        <v>Allocation</v>
      </c>
      <c r="B7" s="4" t="str">
        <f>IFERROR(__xludf.DUMMYFUNCTION("""COMPUTED_VALUE"""),"SelectAllocatedGroup")</f>
        <v>SelectAllocatedGroup</v>
      </c>
      <c r="C7" s="4" t="str">
        <f>IFERROR(__xludf.DUMMYFUNCTION("""COMPUTED_VALUE"""),"1zHzWd-dKjjhFUjGMV5t3NQvfyrdLY3UgzQqgPYz_w-M")</f>
        <v>1zHzWd-dKjjhFUjGMV5t3NQvfyrdLY3UgzQqgPYz_w-M</v>
      </c>
      <c r="D7" s="4"/>
      <c r="E7" s="4"/>
      <c r="F7" s="4"/>
    </row>
    <row r="8" ht="15.75" customHeight="1">
      <c r="A8" s="4" t="str">
        <f>IFERROR(__xludf.DUMMYFUNCTION("""COMPUTED_VALUE"""),"Allocation")</f>
        <v>Allocation</v>
      </c>
      <c r="B8" s="4" t="str">
        <f>IFERROR(__xludf.DUMMYFUNCTION("""COMPUTED_VALUE"""),"EditTradesAllocated")</f>
        <v>EditTradesAllocated</v>
      </c>
      <c r="C8" s="4" t="str">
        <f>IFERROR(__xludf.DUMMYFUNCTION("""COMPUTED_VALUE"""),"1Od578flUHxwEJwC1Fz1DITVFvR2djQefHIh7VovYb4w")</f>
        <v>1Od578flUHxwEJwC1Fz1DITVFvR2djQefHIh7VovYb4w</v>
      </c>
      <c r="D8" s="4"/>
      <c r="E8" s="4"/>
      <c r="F8" s="4"/>
    </row>
    <row r="9" ht="15.75" customHeight="1">
      <c r="A9" s="4" t="str">
        <f>IFERROR(__xludf.DUMMYFUNCTION("""COMPUTED_VALUE"""),"Allocation")</f>
        <v>Allocation</v>
      </c>
      <c r="B9" s="4" t="str">
        <f>IFERROR(__xludf.DUMMYFUNCTION("""COMPUTED_VALUE"""),"EditTradesUnallocated")</f>
        <v>EditTradesUnallocated</v>
      </c>
      <c r="C9" s="4" t="str">
        <f>IFERROR(__xludf.DUMMYFUNCTION("""COMPUTED_VALUE"""),"1UDUQRoc1aD2NzlOBbpEHizmHA_TClEqDOUqmI85UdPY")</f>
        <v>1UDUQRoc1aD2NzlOBbpEHizmHA_TClEqDOUqmI85UdPY</v>
      </c>
      <c r="D9" s="4"/>
      <c r="E9" s="4"/>
      <c r="F9" s="4"/>
    </row>
    <row r="10" ht="15.75" customHeight="1">
      <c r="A10" s="4" t="str">
        <f>IFERROR(__xludf.DUMMYFUNCTION("""COMPUTED_VALUE"""),"Allocation")</f>
        <v>Allocation</v>
      </c>
      <c r="B10" s="4" t="str">
        <f>IFERROR(__xludf.DUMMYFUNCTION("""COMPUTED_VALUE"""),"Reallocate")</f>
        <v>Reallocate</v>
      </c>
      <c r="C10" s="4" t="str">
        <f>IFERROR(__xludf.DUMMYFUNCTION("""COMPUTED_VALUE"""),"Undefined")</f>
        <v>Undefined</v>
      </c>
      <c r="D10" s="4"/>
      <c r="E10" s="4"/>
      <c r="F10" s="4"/>
    </row>
    <row r="11" ht="15.75" customHeight="1">
      <c r="A11" s="4" t="str">
        <f>IFERROR(__xludf.DUMMYFUNCTION("""COMPUTED_VALUE"""),"Blotter")</f>
        <v>Blotter</v>
      </c>
      <c r="B11" s="4" t="str">
        <f>IFERROR(__xludf.DUMMYFUNCTION("""COMPUTED_VALUE"""),"ReplaceFillsOnBlotter")</f>
        <v>ReplaceFillsOnBlotter</v>
      </c>
      <c r="C11" s="4" t="str">
        <f>IFERROR(__xludf.DUMMYFUNCTION("""COMPUTED_VALUE"""),"Undefined")</f>
        <v>Undefined</v>
      </c>
      <c r="D11" s="4"/>
      <c r="E11" s="4"/>
      <c r="F11" s="4"/>
    </row>
    <row r="12" ht="15.75" customHeight="1">
      <c r="A12" s="4" t="str">
        <f>IFERROR(__xludf.DUMMYFUNCTION("""COMPUTED_VALUE"""),"Blotter")</f>
        <v>Blotter</v>
      </c>
      <c r="B12" s="4" t="str">
        <f>IFERROR(__xludf.DUMMYFUNCTION("""COMPUTED_VALUE"""),"CheckBlotter")</f>
        <v>CheckBlotter</v>
      </c>
      <c r="C12" s="4" t="str">
        <f>IFERROR(__xludf.DUMMYFUNCTION("""COMPUTED_VALUE"""),"13ZrsiZ70OIEAatRBfOiR_gV5rJ_midISjjF8v-4eL0Y")</f>
        <v>13ZrsiZ70OIEAatRBfOiR_gV5rJ_midISjjF8v-4eL0Y</v>
      </c>
      <c r="D12" s="4"/>
      <c r="E12" s="4"/>
      <c r="F12" s="4"/>
    </row>
    <row r="13" ht="15.75" customHeight="1">
      <c r="A13" s="4" t="str">
        <f>IFERROR(__xludf.DUMMYFUNCTION("""COMPUTED_VALUE"""),"GeneralLedger")</f>
        <v>GeneralLedger</v>
      </c>
      <c r="B13" s="4" t="str">
        <f>IFERROR(__xludf.DUMMYFUNCTION("""COMPUTED_VALUE"""),"GetDataCash")</f>
        <v>GetDataCash</v>
      </c>
      <c r="C13" s="4" t="str">
        <f>IFERROR(__xludf.DUMMYFUNCTION("""COMPUTED_VALUE"""),"1tyMnWQY__e4MUR_xwPpIDDmcPGtTnjD3W3VkZKeGYzI")</f>
        <v>1tyMnWQY__e4MUR_xwPpIDDmcPGtTnjD3W3VkZKeGYzI</v>
      </c>
      <c r="D13" s="4"/>
      <c r="E13" s="4"/>
      <c r="F13" s="4"/>
    </row>
    <row r="14" ht="15.75" customHeight="1">
      <c r="A14" s="4" t="str">
        <f>IFERROR(__xludf.DUMMYFUNCTION("""COMPUTED_VALUE"""),"GeneralLedger")</f>
        <v>GeneralLedger</v>
      </c>
      <c r="B14" s="4" t="str">
        <f>IFERROR(__xludf.DUMMYFUNCTION("""COMPUTED_VALUE"""),"EnterCashDividends")</f>
        <v>EnterCashDividends</v>
      </c>
      <c r="C14" s="4" t="str">
        <f>IFERROR(__xludf.DUMMYFUNCTION("""COMPUTED_VALUE"""),"1USUg7JbYRIA3kdfb0kw6ZMMOSpQ1ZYhS75Gao9wR5T8")</f>
        <v>1USUg7JbYRIA3kdfb0kw6ZMMOSpQ1ZYhS75Gao9wR5T8</v>
      </c>
      <c r="D14" s="4"/>
      <c r="E14" s="4"/>
      <c r="F14" s="4"/>
    </row>
    <row r="15" ht="15.75" customHeight="1">
      <c r="A15" s="4" t="str">
        <f>IFERROR(__xludf.DUMMYFUNCTION("""COMPUTED_VALUE"""),"GeneralLedger")</f>
        <v>GeneralLedger</v>
      </c>
      <c r="B15" s="4" t="str">
        <f>IFERROR(__xludf.DUMMYFUNCTION("""COMPUTED_VALUE"""),"EnterNonTradingTransaction")</f>
        <v>EnterNonTradingTransaction</v>
      </c>
      <c r="C15" s="4" t="str">
        <f>IFERROR(__xludf.DUMMYFUNCTION("""COMPUTED_VALUE"""),"1p2p6gSqvocKogadVT8EcyD1uh3PHpJ19DpW4ijaPhxE")</f>
        <v>1p2p6gSqvocKogadVT8EcyD1uh3PHpJ19DpW4ijaPhxE</v>
      </c>
      <c r="D15" s="4"/>
      <c r="E15" s="4"/>
      <c r="F15" s="4"/>
    </row>
    <row r="16" ht="15.75" customHeight="1">
      <c r="A16" s="4" t="str">
        <f>IFERROR(__xludf.DUMMYFUNCTION("""COMPUTED_VALUE"""),"GeneralLedger")</f>
        <v>GeneralLedger</v>
      </c>
      <c r="B16" s="4" t="str">
        <f>IFERROR(__xludf.DUMMYFUNCTION("""COMPUTED_VALUE"""),"VerifyCash")</f>
        <v>VerifyCash</v>
      </c>
      <c r="C16" s="4" t="str">
        <f>IFERROR(__xludf.DUMMYFUNCTION("""COMPUTED_VALUE"""),"19uFS9OGON_IU8FmYpPrX0mhGeWrYqRslB9hXN6_tcJw")</f>
        <v>19uFS9OGON_IU8FmYpPrX0mhGeWrYqRslB9hXN6_tcJw</v>
      </c>
      <c r="D16" s="4"/>
      <c r="E16" s="4"/>
      <c r="F16" s="4"/>
    </row>
    <row r="17" ht="15.75" customHeight="1">
      <c r="A17" s="4" t="str">
        <f>IFERROR(__xludf.DUMMYFUNCTION("""COMPUTED_VALUE"""),"GeneralLedger")</f>
        <v>GeneralLedger</v>
      </c>
      <c r="B17" s="4" t="str">
        <f>IFERROR(__xludf.DUMMYFUNCTION("""COMPUTED_VALUE"""),"VerifyActivity")</f>
        <v>VerifyActivity</v>
      </c>
      <c r="C17" s="4" t="str">
        <f>IFERROR(__xludf.DUMMYFUNCTION("""COMPUTED_VALUE"""),"1-XlUXAxaC6I6StmIuxYN-EpjycpOsKaKUTf2A8ycEz8")</f>
        <v>1-XlUXAxaC6I6StmIuxYN-EpjycpOsKaKUTf2A8ycEz8</v>
      </c>
      <c r="D17" s="4"/>
      <c r="E17" s="4"/>
      <c r="F17" s="4"/>
    </row>
    <row r="18" ht="15.75" customHeight="1">
      <c r="A18" s="4" t="str">
        <f>IFERROR(__xludf.DUMMYFUNCTION("""COMPUTED_VALUE"""),"GeneralLedger")</f>
        <v>GeneralLedger</v>
      </c>
      <c r="B18" s="4" t="str">
        <f>IFERROR(__xludf.DUMMYFUNCTION("""COMPUTED_VALUE"""),"VerifyTradingTransaction")</f>
        <v>VerifyTradingTransaction</v>
      </c>
      <c r="C18" s="4" t="str">
        <f>IFERROR(__xludf.DUMMYFUNCTION("""COMPUTED_VALUE"""),"1sL_WZLppCT4Ki-R3zoVfUsjrZLxQpK1e4BjriH8glWU")</f>
        <v>1sL_WZLppCT4Ki-R3zoVfUsjrZLxQpK1e4BjriH8glWU</v>
      </c>
      <c r="D18" s="4"/>
      <c r="E18" s="4"/>
      <c r="F18" s="4"/>
    </row>
    <row r="19" ht="15.75" customHeight="1">
      <c r="A19" s="4" t="str">
        <f>IFERROR(__xludf.DUMMYFUNCTION("""COMPUTED_VALUE"""),"GeneralLedger")</f>
        <v>GeneralLedger</v>
      </c>
      <c r="B19" s="4" t="str">
        <f>IFERROR(__xludf.DUMMYFUNCTION("""COMPUTED_VALUE"""),"VerifyRevaluationData")</f>
        <v>VerifyRevaluationData</v>
      </c>
      <c r="C19" s="4" t="str">
        <f>IFERROR(__xludf.DUMMYFUNCTION("""COMPUTED_VALUE"""),"102WNNSUlKvyh3foJRyeIRNwf9zLZy3mPzlXFy3nx5eI")</f>
        <v>102WNNSUlKvyh3foJRyeIRNwf9zLZy3mPzlXFy3nx5eI</v>
      </c>
      <c r="D19" s="4"/>
      <c r="E19" s="4"/>
      <c r="F19" s="4"/>
    </row>
    <row r="20" ht="15.75" customHeight="1">
      <c r="A20" s="4" t="str">
        <f>IFERROR(__xludf.DUMMYFUNCTION("""COMPUTED_VALUE"""),"CorporateAction")</f>
        <v>CorporateAction</v>
      </c>
      <c r="B20" s="4" t="str">
        <f>IFERROR(__xludf.DUMMYFUNCTION("""COMPUTED_VALUE"""),"CorporateAction")</f>
        <v>CorporateAction</v>
      </c>
      <c r="C20" s="4" t="str">
        <f>IFERROR(__xludf.DUMMYFUNCTION("""COMPUTED_VALUE"""),"1-0Em95ZN9Vt-zKWBJwpEk4-Gv9MytxdcIN56mf3XmAY")</f>
        <v>1-0Em95ZN9Vt-zKWBJwpEk4-Gv9MytxdcIN56mf3XmAY</v>
      </c>
      <c r="D20" s="4"/>
      <c r="E20" s="4"/>
      <c r="F20" s="4"/>
    </row>
    <row r="21" ht="15.75" customHeight="1">
      <c r="A21" s="4" t="str">
        <f>IFERROR(__xludf.DUMMYFUNCTION("""COMPUTED_VALUE"""),"CreateTransaction")</f>
        <v>CreateTransaction</v>
      </c>
      <c r="B21" s="4" t="str">
        <f>IFERROR(__xludf.DUMMYFUNCTION("""COMPUTED_VALUE"""),"CreateTransaction")</f>
        <v>CreateTransaction</v>
      </c>
      <c r="C21" s="4" t="str">
        <f>IFERROR(__xludf.DUMMYFUNCTION("""COMPUTED_VALUE"""),"1XBVNrYsG0mscyH68ut4sRom8XHcikIuM5L2SZOnTqh8")</f>
        <v>1XBVNrYsG0mscyH68ut4sRom8XHcikIuM5L2SZOnTqh8</v>
      </c>
      <c r="D21" s="4"/>
      <c r="E21" s="4"/>
      <c r="F21" s="4"/>
    </row>
    <row r="22" ht="15.75" customHeight="1">
      <c r="A22" s="4" t="str">
        <f>IFERROR(__xludf.DUMMYFUNCTION("""COMPUTED_VALUE"""),"DailyValuation")</f>
        <v>DailyValuation</v>
      </c>
      <c r="B22" s="4" t="str">
        <f>IFERROR(__xludf.DUMMYFUNCTION("""COMPUTED_VALUE"""),"UpdateBeta")</f>
        <v>UpdateBeta</v>
      </c>
      <c r="C22" s="4" t="str">
        <f>IFERROR(__xludf.DUMMYFUNCTION("""COMPUTED_VALUE"""),"1dVMhvhPJNkuRqzig0Yyxm9TcxCvSCxm4pGTHTUTnsRE")</f>
        <v>1dVMhvhPJNkuRqzig0Yyxm9TcxCvSCxm4pGTHTUTnsRE</v>
      </c>
      <c r="D22" s="4"/>
      <c r="E22" s="4"/>
      <c r="F22" s="4"/>
    </row>
    <row r="23" ht="15.75" customHeight="1">
      <c r="A23" s="4" t="str">
        <f>IFERROR(__xludf.DUMMYFUNCTION("""COMPUTED_VALUE"""),"DailyValuation")</f>
        <v>DailyValuation</v>
      </c>
      <c r="B23" s="4" t="str">
        <f>IFERROR(__xludf.DUMMYFUNCTION("""COMPUTED_VALUE"""),"UpdateDailyCash")</f>
        <v>UpdateDailyCash</v>
      </c>
      <c r="C23" s="4" t="str">
        <f>IFERROR(__xludf.DUMMYFUNCTION("""COMPUTED_VALUE"""),"1VgfvPkC2fO8lxFnWeV2SJts5aU1T2aFQ0qKO0SLQUe8")</f>
        <v>1VgfvPkC2fO8lxFnWeV2SJts5aU1T2aFQ0qKO0SLQUe8</v>
      </c>
      <c r="D23" s="4"/>
      <c r="E23" s="4"/>
      <c r="F23" s="4"/>
    </row>
    <row r="24" ht="15.75" customHeight="1">
      <c r="A24" s="4" t="str">
        <f>IFERROR(__xludf.DUMMYFUNCTION("""COMPUTED_VALUE"""),"DailyValuation")</f>
        <v>DailyValuation</v>
      </c>
      <c r="B24" s="4" t="str">
        <f>IFERROR(__xludf.DUMMYFUNCTION("""COMPUTED_VALUE"""),"UpdateMultipleDailyCash")</f>
        <v>UpdateMultipleDailyCash</v>
      </c>
      <c r="C24" s="4" t="str">
        <f>IFERROR(__xludf.DUMMYFUNCTION("""COMPUTED_VALUE"""),"1zW-ZRiE_Nva2mXz7B9Rcq8AEgDMa5eZaUAA_V2cuGso")</f>
        <v>1zW-ZRiE_Nva2mXz7B9Rcq8AEgDMa5eZaUAA_V2cuGso</v>
      </c>
      <c r="D24" s="4"/>
      <c r="E24" s="4"/>
      <c r="F24" s="4"/>
    </row>
    <row r="25" ht="15.75" customHeight="1">
      <c r="A25" s="4" t="str">
        <f>IFERROR(__xludf.DUMMYFUNCTION("""COMPUTED_VALUE"""),"DailyValuation")</f>
        <v>DailyValuation</v>
      </c>
      <c r="B25" s="4" t="str">
        <f>IFERROR(__xludf.DUMMYFUNCTION("""COMPUTED_VALUE"""),"UpdateForexConversion")</f>
        <v>UpdateForexConversion</v>
      </c>
      <c r="C25" s="4" t="str">
        <f>IFERROR(__xludf.DUMMYFUNCTION("""COMPUTED_VALUE"""),"16RytMV8yiBXzfJCYZpll7LZktPSSGF4KWO7qf7ok8JQ")</f>
        <v>16RytMV8yiBXzfJCYZpll7LZktPSSGF4KWO7qf7ok8JQ</v>
      </c>
      <c r="D25" s="4"/>
      <c r="E25" s="4"/>
      <c r="F25" s="4"/>
    </row>
    <row r="26" ht="15.75" customHeight="1">
      <c r="A26" s="4" t="str">
        <f>IFERROR(__xludf.DUMMYFUNCTION("""COMPUTED_VALUE"""),"DailyValuation")</f>
        <v>DailyValuation</v>
      </c>
      <c r="B26" s="4" t="str">
        <f>IFERROR(__xludf.DUMMYFUNCTION("""COMPUTED_VALUE"""),"UpdateMarkPrice")</f>
        <v>UpdateMarkPrice</v>
      </c>
      <c r="C26" s="4" t="str">
        <f>IFERROR(__xludf.DUMMYFUNCTION("""COMPUTED_VALUE"""),"1enXmitAcl2gpCRQiXEHfGs14iE42srrOblgmWD48ZBs")</f>
        <v>1enXmitAcl2gpCRQiXEHfGs14iE42srrOblgmWD48ZBs</v>
      </c>
      <c r="D26" s="4"/>
      <c r="E26" s="4"/>
      <c r="F26" s="4"/>
    </row>
    <row r="27" ht="15.75" customHeight="1">
      <c r="A27" s="4" t="str">
        <f>IFERROR(__xludf.DUMMYFUNCTION("""COMPUTED_VALUE"""),"Import")</f>
        <v>Import</v>
      </c>
      <c r="B27" s="4" t="str">
        <f>IFERROR(__xludf.DUMMYFUNCTION("""COMPUTED_VALUE"""),"Import")</f>
        <v>Import</v>
      </c>
      <c r="C27" s="4" t="str">
        <f>IFERROR(__xludf.DUMMYFUNCTION("""COMPUTED_VALUE"""),"1C7Ks4F1TdJ8FZ6aZHjbrGn084nRfj8jEyfA5AFY5Nq0")</f>
        <v>1C7Ks4F1TdJ8FZ6aZHjbrGn084nRfj8jEyfA5AFY5Nq0</v>
      </c>
      <c r="D27" s="4"/>
      <c r="E27" s="4"/>
      <c r="F27" s="4"/>
    </row>
    <row r="28" ht="15.75" customHeight="1">
      <c r="A28" s="4" t="str">
        <f>IFERROR(__xludf.DUMMYFUNCTION("""COMPUTED_VALUE"""),"PortfolioManagement")</f>
        <v>PortfolioManagement</v>
      </c>
      <c r="B28" s="4" t="str">
        <f>IFERROR(__xludf.DUMMYFUNCTION("""COMPUTED_VALUE"""),"CheckDashboardPM")</f>
        <v>CheckDashboardPM</v>
      </c>
      <c r="C28" s="4" t="str">
        <f>IFERROR(__xludf.DUMMYFUNCTION("""COMPUTED_VALUE"""),"1ZYl3uoCzgPXxwJvvcfCJFn-BuPdlu5gk2xFErxHot4E")</f>
        <v>1ZYl3uoCzgPXxwJvvcfCJFn-BuPdlu5gk2xFErxHot4E</v>
      </c>
      <c r="D28" s="4"/>
      <c r="E28" s="4"/>
      <c r="F28" s="4"/>
    </row>
    <row r="29" ht="15.75" customHeight="1">
      <c r="A29" s="4" t="str">
        <f>IFERROR(__xludf.DUMMYFUNCTION("""COMPUTED_VALUE"""),"PortfolioManagement")</f>
        <v>PortfolioManagement</v>
      </c>
      <c r="B29" s="4" t="str">
        <f>IFERROR(__xludf.DUMMYFUNCTION("""COMPUTED_VALUE"""),"CheckPortfolioManagement")</f>
        <v>CheckPortfolioManagement</v>
      </c>
      <c r="C29" s="4" t="str">
        <f>IFERROR(__xludf.DUMMYFUNCTION("""COMPUTED_VALUE"""),"1dhMZot7F9QQRFijtknpohXOzfw-LKDG0jNChXBmHnV0")</f>
        <v>1dhMZot7F9QQRFijtknpohXOzfw-LKDG0jNChXBmHnV0</v>
      </c>
      <c r="D29" s="4"/>
      <c r="E29" s="4"/>
      <c r="F29" s="4"/>
    </row>
    <row r="30" ht="15.75" customHeight="1">
      <c r="A30" s="4" t="str">
        <f>IFERROR(__xludf.DUMMYFUNCTION("""COMPUTED_VALUE"""),"PortfolioManagement")</f>
        <v>PortfolioManagement</v>
      </c>
      <c r="B30" s="4" t="str">
        <f>IFERROR(__xludf.DUMMYFUNCTION("""COMPUTED_VALUE"""),"CheckPMLiveFeed")</f>
        <v>CheckPMLiveFeed</v>
      </c>
      <c r="C30" s="4" t="str">
        <f>IFERROR(__xludf.DUMMYFUNCTION("""COMPUTED_VALUE"""),"1PvJslce4o2d-qEGhOJrynvXMJkt18ljCw9Pu5raIKXY")</f>
        <v>1PvJslce4o2d-qEGhOJrynvXMJkt18ljCw9Pu5raIKXY</v>
      </c>
      <c r="D30" s="4"/>
      <c r="E30" s="4"/>
      <c r="F30" s="4"/>
    </row>
    <row r="31" ht="15.75" customHeight="1">
      <c r="A31" s="4" t="str">
        <f>IFERROR(__xludf.DUMMYFUNCTION("""COMPUTED_VALUE"""),"PricingInput")</f>
        <v>PricingInput</v>
      </c>
      <c r="B31" s="4" t="str">
        <f>IFERROR(__xludf.DUMMYFUNCTION("""COMPUTED_VALUE"""),"PricingInput")</f>
        <v>PricingInput</v>
      </c>
      <c r="C31" s="4" t="str">
        <f>IFERROR(__xludf.DUMMYFUNCTION("""COMPUTED_VALUE"""),"1MWj-Ewd_04hjbFCDp4jovmv42JdTVXl3OPLl_2Xl8YM")</f>
        <v>1MWj-Ewd_04hjbFCDp4jovmv42JdTVXl3OPLl_2Xl8YM</v>
      </c>
      <c r="D31" s="4"/>
      <c r="E31" s="4"/>
      <c r="F31" s="4"/>
    </row>
    <row r="32" ht="15.75" customHeight="1">
      <c r="A32" s="4" t="str">
        <f>IFERROR(__xludf.DUMMYFUNCTION("""COMPUTED_VALUE"""),"PricingInput")</f>
        <v>PricingInput</v>
      </c>
      <c r="B32" s="4" t="str">
        <f>IFERROR(__xludf.DUMMYFUNCTION("""COMPUTED_VALUE"""),"UpdateSharesOutstanding")</f>
        <v>UpdateSharesOutstanding</v>
      </c>
      <c r="C32" s="4" t="str">
        <f>IFERROR(__xludf.DUMMYFUNCTION("""COMPUTED_VALUE"""),"14QSrtmSo-hnXcnllkpyGNjEuADSVYEG-iEsa8-G5EZw")</f>
        <v>14QSrtmSo-hnXcnllkpyGNjEuADSVYEG-iEsa8-G5EZw</v>
      </c>
      <c r="D32" s="4"/>
      <c r="E32" s="4"/>
      <c r="F32" s="4"/>
    </row>
    <row r="33" ht="15.75" customHeight="1">
      <c r="A33" s="4" t="str">
        <f>IFERROR(__xludf.DUMMYFUNCTION("""COMPUTED_VALUE"""),"SymbolLookup")</f>
        <v>SymbolLookup</v>
      </c>
      <c r="B33" s="4" t="str">
        <f>IFERROR(__xludf.DUMMYFUNCTION("""COMPUTED_VALUE"""),"VerifySymbolLookUp")</f>
        <v>VerifySymbolLookUp</v>
      </c>
      <c r="C33" s="4" t="str">
        <f>IFERROR(__xludf.DUMMYFUNCTION("""COMPUTED_VALUE"""),"1Cgo4_M28Dd3NnKk4ASpCKTv_dvi6I8bjSSceZyVjX9A")</f>
        <v>1Cgo4_M28Dd3NnKk4ASpCKTv_dvi6I8bjSSceZyVjX9A</v>
      </c>
      <c r="D33" s="4"/>
      <c r="E33" s="4"/>
      <c r="F33" s="4"/>
    </row>
    <row r="34" ht="15.75" customHeight="1">
      <c r="A34" t="str">
        <f>IFERROR(__xludf.DUMMYFUNCTION("""COMPUTED_VALUE"""),"SymbolLookup")</f>
        <v>SymbolLookup</v>
      </c>
      <c r="B34" t="str">
        <f>IFERROR(__xludf.DUMMYFUNCTION("""COMPUTED_VALUE"""),"SymbolLookupFromTT")</f>
        <v>SymbolLookupFromTT</v>
      </c>
      <c r="C34" t="str">
        <f>IFERROR(__xludf.DUMMYFUNCTION("""COMPUTED_VALUE"""),"1nGpwtxrIFtmReUhGpIilT0MevcyxkX19n4HnGhdnzYE")</f>
        <v>1nGpwtxrIFtmReUhGpIilT0MevcyxkX19n4HnGhdnzYE</v>
      </c>
    </row>
    <row r="35" ht="15.75" customHeight="1">
      <c r="A35" t="str">
        <f>IFERROR(__xludf.DUMMYFUNCTION("""COMPUTED_VALUE"""),"SymbolLookup")</f>
        <v>SymbolLookup</v>
      </c>
      <c r="B35" t="str">
        <f>IFERROR(__xludf.DUMMYFUNCTION("""COMPUTED_VALUE"""),"UpdateUDA")</f>
        <v>UpdateUDA</v>
      </c>
      <c r="C35" t="str">
        <f>IFERROR(__xludf.DUMMYFUNCTION("""COMPUTED_VALUE"""),"1Kg0g4qJialeFYzLCU4TTV0I5NyaTDDmAlGxn3x6T-ok")</f>
        <v>1Kg0g4qJialeFYzLCU4TTV0I5NyaTDDmAlGxn3x6T-ok</v>
      </c>
    </row>
    <row r="36" ht="15.75" customHeight="1">
      <c r="A36" t="str">
        <f>IFERROR(__xludf.DUMMYFUNCTION("""COMPUTED_VALUE"""),"SymbolLookup")</f>
        <v>SymbolLookup</v>
      </c>
      <c r="B36" t="str">
        <f>IFERROR(__xludf.DUMMYFUNCTION("""COMPUTED_VALUE"""),"GetSymbol")</f>
        <v>GetSymbol</v>
      </c>
      <c r="C36" t="str">
        <f>IFERROR(__xludf.DUMMYFUNCTION("""COMPUTED_VALUE"""),"1_Go4Nh_j8RGdlKm_DDwyvOgfOr3AwhBuVa9rA-AUAOw")</f>
        <v>1_Go4Nh_j8RGdlKm_DDwyvOgfOr3AwhBuVa9rA-AUAOw</v>
      </c>
    </row>
    <row r="37" ht="15.75" customHeight="1">
      <c r="A37" t="str">
        <f>IFERROR(__xludf.DUMMYFUNCTION("""COMPUTED_VALUE"""),"SymbolLookup")</f>
        <v>SymbolLookup</v>
      </c>
      <c r="B37" t="str">
        <f>IFERROR(__xludf.DUMMYFUNCTION("""COMPUTED_VALUE"""),"GetDataSymbolLookup")</f>
        <v>GetDataSymbolLookup</v>
      </c>
      <c r="C37" t="str">
        <f>IFERROR(__xludf.DUMMYFUNCTION("""COMPUTED_VALUE"""),"1054Dp-OxM1p-rZnzzSqh-SqQkpD8Z_OWXg3CfFdqy7M")</f>
        <v>1054Dp-OxM1p-rZnzzSqh-SqQkpD8Z_OWXg3CfFdqy7M</v>
      </c>
    </row>
    <row r="38" ht="15.75" customHeight="1">
      <c r="A38" t="str">
        <f>IFERROR(__xludf.DUMMYFUNCTION("""COMPUTED_VALUE"""),"SymbolLookup")</f>
        <v>SymbolLookup</v>
      </c>
      <c r="B38" t="str">
        <f>IFERROR(__xludf.DUMMYFUNCTION("""COMPUTED_VALUE"""),"DeleteValidateSymbol")</f>
        <v>DeleteValidateSymbol</v>
      </c>
      <c r="C38" t="str">
        <f>IFERROR(__xludf.DUMMYFUNCTION("""COMPUTED_VALUE"""),"1uWQj54UjFWhgsLL9n5pavuSkyyDXc2Vcn7SoBgryi3o")</f>
        <v>1uWQj54UjFWhgsLL9n5pavuSkyyDXc2Vcn7SoBgryi3o</v>
      </c>
    </row>
    <row r="39" ht="15.75" customHeight="1">
      <c r="A39" t="str">
        <f>IFERROR(__xludf.DUMMYFUNCTION("""COMPUTED_VALUE"""),"ThirdParty")</f>
        <v>ThirdParty</v>
      </c>
      <c r="B39" t="str">
        <f>IFERROR(__xludf.DUMMYFUNCTION("""COMPUTED_VALUE"""),"GenerateThirdParty")</f>
        <v>GenerateThirdParty</v>
      </c>
      <c r="C39" t="str">
        <f>IFERROR(__xludf.DUMMYFUNCTION("""COMPUTED_VALUE"""),"1QaI6E-t-jX8GKJ5JGoQ4u9mtVMyU1Cn0CKimTSyR5q4")</f>
        <v>1QaI6E-t-jX8GKJ5JGoQ4u9mtVMyU1Cn0CKimTSyR5q4</v>
      </c>
    </row>
    <row r="40" ht="15.75" customHeight="1">
      <c r="A40" t="str">
        <f>IFERROR(__xludf.DUMMYFUNCTION("""COMPUTED_VALUE"""),"ThirdParty")</f>
        <v>ThirdParty</v>
      </c>
      <c r="B40" t="str">
        <f>IFERROR(__xludf.DUMMYFUNCTION("""COMPUTED_VALUE"""),"SendThirdParty")</f>
        <v>SendThirdParty</v>
      </c>
      <c r="C40" t="str">
        <f>IFERROR(__xludf.DUMMYFUNCTION("""COMPUTED_VALUE"""),"11J2CyS04tBp4uY6TcAPw3JIrDRfa-LbGSO4t2uHxwps")</f>
        <v>11J2CyS04tBp4uY6TcAPw3JIrDRfa-LbGSO4t2uHxwps</v>
      </c>
    </row>
    <row r="41" ht="15.75" customHeight="1">
      <c r="A41" t="str">
        <f>IFERROR(__xludf.DUMMYFUNCTION("""COMPUTED_VALUE"""),"ThirdParty")</f>
        <v>ThirdParty</v>
      </c>
      <c r="B41" t="str">
        <f>IFERROR(__xludf.DUMMYFUNCTION("""COMPUTED_VALUE"""),"ViewThirdParty")</f>
        <v>ViewThirdParty</v>
      </c>
      <c r="C41" t="str">
        <f>IFERROR(__xludf.DUMMYFUNCTION("""COMPUTED_VALUE"""),"1M_vWwbJmnVHSZCn_aXTbhje_gX1wR7qPtpIVUwfXXEI")</f>
        <v>1M_vWwbJmnVHSZCn_aXTbhje_gX1wR7qPtpIVUwfXXEI</v>
      </c>
    </row>
    <row r="42" ht="15.75" customHeight="1">
      <c r="A42" t="str">
        <f>IFERROR(__xludf.DUMMYFUNCTION("""COMPUTED_VALUE"""),"ThirdParty")</f>
        <v>ThirdParty</v>
      </c>
      <c r="B42" t="str">
        <f>IFERROR(__xludf.DUMMYFUNCTION("""COMPUTED_VALUE"""),"SelectThirdPartyName")</f>
        <v>SelectThirdPartyName</v>
      </c>
      <c r="C42" t="str">
        <f>IFERROR(__xludf.DUMMYFUNCTION("""COMPUTED_VALUE"""),"1vFZ64ryr2VFLcElyXorjcKwwOhZ8tjDhryLIAHy27bE")</f>
        <v>1vFZ64ryr2VFLcElyXorjcKwwOhZ8tjDhryLIAHy27bE</v>
      </c>
    </row>
    <row r="43" ht="15.75" customHeight="1">
      <c r="A43" t="str">
        <f>IFERROR(__xludf.DUMMYFUNCTION("""COMPUTED_VALUE"""),"ThirdParty")</f>
        <v>ThirdParty</v>
      </c>
      <c r="B43" t="str">
        <f>IFERROR(__xludf.DUMMYFUNCTION("""COMPUTED_VALUE"""),"VerifyThirdPartyData")</f>
        <v>VerifyThirdPartyData</v>
      </c>
      <c r="C43" t="str">
        <f>IFERROR(__xludf.DUMMYFUNCTION("""COMPUTED_VALUE"""),"1L3gN238YfNhME2oXANYOxsDqCsLD4ZEHIlA5Jsb6m6c")</f>
        <v>1L3gN238YfNhME2oXANYOxsDqCsLD4ZEHIlA5Jsb6m6c</v>
      </c>
    </row>
    <row r="44" ht="15.75" customHeight="1">
      <c r="A44" t="str">
        <f>IFERROR(__xludf.DUMMYFUNCTION("""COMPUTED_VALUE"""),"CorporateAction")</f>
        <v>CorporateAction</v>
      </c>
      <c r="B44" t="str">
        <f>IFERROR(__xludf.DUMMYFUNCTION("""COMPUTED_VALUE"""),"CleanUp")</f>
        <v>CleanUp</v>
      </c>
      <c r="C44" t="str">
        <f>IFERROR(__xludf.DUMMYFUNCTION("""COMPUTED_VALUE"""),"Undefined")</f>
        <v>Undefined</v>
      </c>
    </row>
    <row r="45" ht="15.75" customHeight="1">
      <c r="A45" t="str">
        <f>IFERROR(__xludf.DUMMYFUNCTION("""COMPUTED_VALUE"""),"PST")</f>
        <v>PST</v>
      </c>
      <c r="B45" t="str">
        <f>IFERROR(__xludf.DUMMYFUNCTION("""COMPUTED_VALUE"""),"RunPST")</f>
        <v>RunPST</v>
      </c>
      <c r="C45" t="str">
        <f>IFERROR(__xludf.DUMMYFUNCTION("""COMPUTED_VALUE"""),"1pKHneTUFUr5WXMe4F-VBAmct-wXnePCUdmBXuOqeVuw")</f>
        <v>1pKHneTUFUr5WXMe4F-VBAmct-wXnePCUdmBXuOqeVuw</v>
      </c>
    </row>
    <row r="46" ht="15.75" customHeight="1">
      <c r="A46" t="str">
        <f>IFERROR(__xludf.DUMMYFUNCTION("""COMPUTED_VALUE"""),"PST")</f>
        <v>PST</v>
      </c>
      <c r="B46" t="str">
        <f>IFERROR(__xludf.DUMMYFUNCTION("""COMPUTED_VALUE"""),"PSTInputData")</f>
        <v>PSTInputData</v>
      </c>
      <c r="C46" t="str">
        <f>IFERROR(__xludf.DUMMYFUNCTION("""COMPUTED_VALUE"""),"1WzU1RiZXL_7t6r0dcR0WnXz71am7fUsr-wU3kjWCtaE")</f>
        <v>1WzU1RiZXL_7t6r0dcR0WnXz71am7fUsr-wU3kjWCtaE</v>
      </c>
    </row>
    <row r="47" ht="15.75" customHeight="1">
      <c r="A47" t="str">
        <f>IFERROR(__xludf.DUMMYFUNCTION("""COMPUTED_VALUE"""),"PST")</f>
        <v>PST</v>
      </c>
      <c r="B47" t="str">
        <f>IFERROR(__xludf.DUMMYFUNCTION("""COMPUTED_VALUE"""),"PSTVerifyData")</f>
        <v>PSTVerifyData</v>
      </c>
      <c r="C47" t="str">
        <f>IFERROR(__xludf.DUMMYFUNCTION("""COMPUTED_VALUE"""),"1RIHUYWPMKXGpnAsp4Jz6Em30T64FYyR5TIgIkrla3yU")</f>
        <v>1RIHUYWPMKXGpnAsp4Jz6Em30T64FYyR5TIgIkrla3yU</v>
      </c>
    </row>
    <row r="48" ht="15.75" customHeight="1">
      <c r="A48" t="str">
        <f>IFERROR(__xludf.DUMMYFUNCTION("""COMPUTED_VALUE"""),"PST")</f>
        <v>PST</v>
      </c>
      <c r="B48" t="str">
        <f>IFERROR(__xludf.DUMMYFUNCTION("""COMPUTED_VALUE"""),"PSTFunctionalities")</f>
        <v>PSTFunctionalities</v>
      </c>
      <c r="C48" t="str">
        <f>IFERROR(__xludf.DUMMYFUNCTION("""COMPUTED_VALUE"""),"1Q3CvcJTXAvTE2mBIvHOTKjxVj65x69-r_2DX4vvEdI8")</f>
        <v>1Q3CvcJTXAvTE2mBIvHOTKjxVj65x69-r_2DX4vvEdI8</v>
      </c>
    </row>
    <row r="49" ht="15.75" customHeight="1">
      <c r="A49" t="str">
        <f>IFERROR(__xludf.DUMMYFUNCTION("""COMPUTED_VALUE"""),"PortfolioManagement")</f>
        <v>PortfolioManagement</v>
      </c>
      <c r="B49" t="str">
        <f>IFERROR(__xludf.DUMMYFUNCTION("""COMPUTED_VALUE"""),"OpenPSTFromPM")</f>
        <v>OpenPSTFromPM</v>
      </c>
      <c r="C49" t="str">
        <f>IFERROR(__xludf.DUMMYFUNCTION("""COMPUTED_VALUE"""),"1wNuNwZOJqtA-8mRJL9Ia6-naXg3bSmEyC3qYtF3Zb6k")</f>
        <v>1wNuNwZOJqtA-8mRJL9Ia6-naXg3bSmEyC3qYtF3Zb6k</v>
      </c>
    </row>
    <row r="50" ht="15.75" customHeight="1">
      <c r="A50" t="str">
        <f>IFERROR(__xludf.DUMMYFUNCTION("""COMPUTED_VALUE"""),"TradingTicket")</f>
        <v>TradingTicket</v>
      </c>
      <c r="B50" t="str">
        <f>IFERROR(__xludf.DUMMYFUNCTION("""COMPUTED_VALUE"""),"OpenTTFromPST")</f>
        <v>OpenTTFromPST</v>
      </c>
      <c r="C50" t="str">
        <f>IFERROR(__xludf.DUMMYFUNCTION("""COMPUTED_VALUE"""),"1v2TwlXYUVTAW9403xEXtZUKOP9DAhnmCSHAEgc6AVaI")</f>
        <v>1v2TwlXYUVTAW9403xEXtZUKOP9DAhnmCSHAEgc6AVaI</v>
      </c>
    </row>
    <row r="51" ht="15.75" customHeight="1">
      <c r="A51" t="str">
        <f>IFERROR(__xludf.DUMMYFUNCTION("""COMPUTED_VALUE"""),"CorporateAction")</f>
        <v>CorporateAction</v>
      </c>
      <c r="B51" t="str">
        <f>IFERROR(__xludf.DUMMYFUNCTION("""COMPUTED_VALUE"""),"CashDividend")</f>
        <v>CashDividend</v>
      </c>
      <c r="C51" t="str">
        <f>IFERROR(__xludf.DUMMYFUNCTION("""COMPUTED_VALUE"""),"Undefined")</f>
        <v>Undefined</v>
      </c>
    </row>
    <row r="52" ht="15.75" customHeight="1">
      <c r="A52" t="str">
        <f>IFERROR(__xludf.DUMMYFUNCTION("""COMPUTED_VALUE"""),"CorporateAction")</f>
        <v>CorporateAction</v>
      </c>
      <c r="B52" t="str">
        <f>IFERROR(__xludf.DUMMYFUNCTION("""COMPUTED_VALUE"""),"Exchange")</f>
        <v>Exchange</v>
      </c>
      <c r="C52" t="str">
        <f>IFERROR(__xludf.DUMMYFUNCTION("""COMPUTED_VALUE"""),"Undefined")</f>
        <v>Undefined</v>
      </c>
    </row>
    <row r="53" ht="15.75" customHeight="1">
      <c r="A53" t="str">
        <f>IFERROR(__xludf.DUMMYFUNCTION("""COMPUTED_VALUE"""),"CorporateAction")</f>
        <v>CorporateAction</v>
      </c>
      <c r="B53" t="str">
        <f>IFERROR(__xludf.DUMMYFUNCTION("""COMPUTED_VALUE"""),"Merger")</f>
        <v>Merger</v>
      </c>
      <c r="C53" t="str">
        <f>IFERROR(__xludf.DUMMYFUNCTION("""COMPUTED_VALUE"""),"Undefined")</f>
        <v>Undefined</v>
      </c>
    </row>
    <row r="54" ht="15.75" customHeight="1">
      <c r="A54" t="str">
        <f>IFERROR(__xludf.DUMMYFUNCTION("""COMPUTED_VALUE"""),"CorporateAction")</f>
        <v>CorporateAction</v>
      </c>
      <c r="B54" t="str">
        <f>IFERROR(__xludf.DUMMYFUNCTION("""COMPUTED_VALUE"""),"NameChange")</f>
        <v>NameChange</v>
      </c>
      <c r="C54" t="str">
        <f>IFERROR(__xludf.DUMMYFUNCTION("""COMPUTED_VALUE"""),"Undefined")</f>
        <v>Undefined</v>
      </c>
    </row>
    <row r="55" ht="15.75" customHeight="1">
      <c r="A55" t="str">
        <f>IFERROR(__xludf.DUMMYFUNCTION("""COMPUTED_VALUE"""),"CorporateAction")</f>
        <v>CorporateAction</v>
      </c>
      <c r="B55" t="str">
        <f>IFERROR(__xludf.DUMMYFUNCTION("""COMPUTED_VALUE"""),"SpinOff")</f>
        <v>SpinOff</v>
      </c>
      <c r="C55" t="str">
        <f>IFERROR(__xludf.DUMMYFUNCTION("""COMPUTED_VALUE"""),"1N-zYKtF75gyqLL5P02km4hZ7Jkr0uNE2IK0AoWpxdB4")</f>
        <v>1N-zYKtF75gyqLL5P02km4hZ7Jkr0uNE2IK0AoWpxdB4</v>
      </c>
    </row>
    <row r="56" ht="15.75" customHeight="1">
      <c r="A56" t="str">
        <f>IFERROR(__xludf.DUMMYFUNCTION("""COMPUTED_VALUE"""),"CorporateAction")</f>
        <v>CorporateAction</v>
      </c>
      <c r="B56" t="str">
        <f>IFERROR(__xludf.DUMMYFUNCTION("""COMPUTED_VALUE"""),"Split")</f>
        <v>Split</v>
      </c>
      <c r="C56" t="str">
        <f>IFERROR(__xludf.DUMMYFUNCTION("""COMPUTED_VALUE"""),"Undefined")</f>
        <v>Undefined</v>
      </c>
    </row>
    <row r="57" ht="15.75" customHeight="1">
      <c r="A57" t="str">
        <f>IFERROR(__xludf.DUMMYFUNCTION("""COMPUTED_VALUE"""),"CorporateAction")</f>
        <v>CorporateAction</v>
      </c>
      <c r="B57" t="str">
        <f>IFERROR(__xludf.DUMMYFUNCTION("""COMPUTED_VALUE"""),"StockDividend")</f>
        <v>StockDividend</v>
      </c>
      <c r="C57" t="str">
        <f>IFERROR(__xludf.DUMMYFUNCTION("""COMPUTED_VALUE"""),"Undefined")</f>
        <v>Undefined</v>
      </c>
    </row>
    <row r="58" ht="15.75" customHeight="1">
      <c r="A58" t="str">
        <f>IFERROR(__xludf.DUMMYFUNCTION("""COMPUTED_VALUE"""),"TradingTicket")</f>
        <v>TradingTicket</v>
      </c>
      <c r="B58" t="str">
        <f>IFERROR(__xludf.DUMMYFUNCTION("""COMPUTED_VALUE"""),"EnterDetailsOnTT")</f>
        <v>EnterDetailsOnTT</v>
      </c>
      <c r="C58" t="str">
        <f>IFERROR(__xludf.DUMMYFUNCTION("""COMPUTED_VALUE"""),"1USUFnv2khq0UbjkrPU_zQJSuYXrvmItX38YEDm8i76M")</f>
        <v>1USUFnv2khq0UbjkrPU_zQJSuYXrvmItX38YEDm8i76M</v>
      </c>
    </row>
    <row r="59" ht="15.75" customHeight="1">
      <c r="A59" t="str">
        <f>IFERROR(__xludf.DUMMYFUNCTION("""COMPUTED_VALUE"""),"DailyValuation")</f>
        <v>DailyValuation</v>
      </c>
      <c r="B59" t="str">
        <f>IFERROR(__xludf.DUMMYFUNCTION("""COMPUTED_VALUE"""),"CleanUp")</f>
        <v>CleanUp</v>
      </c>
      <c r="C59" t="str">
        <f>IFERROR(__xludf.DUMMYFUNCTION("""COMPUTED_VALUE"""),"Undefined")</f>
        <v>Undefined</v>
      </c>
    </row>
    <row r="60" ht="15.75" customHeight="1">
      <c r="A60" t="str">
        <f>IFERROR(__xludf.DUMMYFUNCTION("""COMPUTED_VALUE"""),"Allocation")</f>
        <v>Allocation</v>
      </c>
      <c r="B60" t="str">
        <f>IFERROR(__xludf.DUMMYFUNCTION("""COMPUTED_VALUE"""),"EditUnallocatedGroupSidePanel")</f>
        <v>EditUnallocatedGroupSidePanel</v>
      </c>
      <c r="C60" t="str">
        <f>IFERROR(__xludf.DUMMYFUNCTION("""COMPUTED_VALUE"""),"1yQCR9Blg-BWAFR5rejoQ3Xot5kTqa1YSrepP8yRI0no")</f>
        <v>1yQCR9Blg-BWAFR5rejoQ3Xot5kTqa1YSrepP8yRI0no</v>
      </c>
    </row>
    <row r="61" ht="15.75" customHeight="1">
      <c r="A61" t="str">
        <f>IFERROR(__xludf.DUMMYFUNCTION("""COMPUTED_VALUE"""),"Allocation")</f>
        <v>Allocation</v>
      </c>
      <c r="B61" t="str">
        <f>IFERROR(__xludf.DUMMYFUNCTION("""COMPUTED_VALUE"""),"TradeAttributeBulkChange")</f>
        <v>TradeAttributeBulkChange</v>
      </c>
      <c r="C61" t="str">
        <f>IFERROR(__xludf.DUMMYFUNCTION("""COMPUTED_VALUE"""),"1xR2U77hDGoYiG9UJiadlkCtex4CRP3XdEHpNVb6-_DU")</f>
        <v>1xR2U77hDGoYiG9UJiadlkCtex4CRP3XdEHpNVb6-_DU</v>
      </c>
    </row>
    <row r="62" ht="15.75" customHeight="1">
      <c r="A62" t="str">
        <f>IFERROR(__xludf.DUMMYFUNCTION("""COMPUTED_VALUE"""),"Allocation")</f>
        <v>Allocation</v>
      </c>
      <c r="B62" t="str">
        <f>IFERROR(__xludf.DUMMYFUNCTION("""COMPUTED_VALUE"""),"ApplyBulkUpdateOnGroups")</f>
        <v>ApplyBulkUpdateOnGroups</v>
      </c>
      <c r="C62" t="str">
        <f>IFERROR(__xludf.DUMMYFUNCTION("""COMPUTED_VALUE"""),"1H1EToJE2qBCDCNT5pO7WcuJ0iHV1kDkWlUcEtahS-t0")</f>
        <v>1H1EToJE2qBCDCNT5pO7WcuJ0iHV1kDkWlUcEtahS-t0</v>
      </c>
    </row>
    <row r="63" ht="15.75" customHeight="1">
      <c r="A63" t="str">
        <f>IFERROR(__xludf.DUMMYFUNCTION("""COMPUTED_VALUE"""),"Allocation")</f>
        <v>Allocation</v>
      </c>
      <c r="B63" t="str">
        <f>IFERROR(__xludf.DUMMYFUNCTION("""COMPUTED_VALUE"""),"ApplyPrefetchFilters")</f>
        <v>ApplyPrefetchFilters</v>
      </c>
      <c r="C63" t="str">
        <f>IFERROR(__xludf.DUMMYFUNCTION("""COMPUTED_VALUE"""),"1Yd3RGZzNaXytrUWlc8Ri6Dz4jB5W5r3-aLLpT8fi0WQ")</f>
        <v>1Yd3RGZzNaXytrUWlc8Ri6Dz4jB5W5r3-aLLpT8fi0WQ</v>
      </c>
    </row>
    <row r="64" ht="15.75" customHeight="1">
      <c r="A64" t="str">
        <f>IFERROR(__xludf.DUMMYFUNCTION("""COMPUTED_VALUE"""),"Allocation")</f>
        <v>Allocation</v>
      </c>
      <c r="B64" t="str">
        <f>IFERROR(__xludf.DUMMYFUNCTION("""COMPUTED_VALUE"""),"GeneralPreferencesDefaultRule")</f>
        <v>GeneralPreferencesDefaultRule</v>
      </c>
      <c r="C64" t="str">
        <f>IFERROR(__xludf.DUMMYFUNCTION("""COMPUTED_VALUE"""),"1NdBqiHIw-u9pqZMPVlcNKatJPe7upqebG7W2y5rMqzE")</f>
        <v>1NdBqiHIw-u9pqZMPVlcNKatJPe7upqebG7W2y5rMqzE</v>
      </c>
    </row>
    <row r="65" ht="15.75" customHeight="1">
      <c r="A65" t="str">
        <f>IFERROR(__xludf.DUMMYFUNCTION("""COMPUTED_VALUE"""),"Allocation")</f>
        <v>Allocation</v>
      </c>
      <c r="B65" t="str">
        <f>IFERROR(__xludf.DUMMYFUNCTION("""COMPUTED_VALUE"""),"GeneralPrefCompanyUserWise")</f>
        <v>GeneralPrefCompanyUserWise</v>
      </c>
      <c r="C65" t="str">
        <f>IFERROR(__xludf.DUMMYFUNCTION("""COMPUTED_VALUE"""),"1_lJmD986KGGdVst_lNkOtnFwiUJJsqL0-r0ZnsgbBOY")</f>
        <v>1_lJmD986KGGdVst_lNkOtnFwiUJJsqL0-r0ZnsgbBOY</v>
      </c>
    </row>
    <row r="66" ht="15.75" customHeight="1">
      <c r="A66" t="str">
        <f>IFERROR(__xludf.DUMMYFUNCTION("""COMPUTED_VALUE"""),"Allocation")</f>
        <v>Allocation</v>
      </c>
      <c r="B66" t="str">
        <f>IFERROR(__xludf.DUMMYFUNCTION("""COMPUTED_VALUE"""),"RenameTradeAttributes")</f>
        <v>RenameTradeAttributes</v>
      </c>
      <c r="C66" t="str">
        <f>IFERROR(__xludf.DUMMYFUNCTION("""COMPUTED_VALUE"""),"1pMOWszVmrlGDHYTadcb5_EUVP8T4vk6pLOP4_kFCagw")</f>
        <v>1pMOWszVmrlGDHYTadcb5_EUVP8T4vk6pLOP4_kFCagw</v>
      </c>
    </row>
    <row r="67" ht="15.75" customHeight="1">
      <c r="A67" t="str">
        <f>IFERROR(__xludf.DUMMYFUNCTION("""COMPUTED_VALUE"""),"Allocation")</f>
        <v>Allocation</v>
      </c>
      <c r="B67" t="str">
        <f>IFERROR(__xludf.DUMMYFUNCTION("""COMPUTED_VALUE"""),"SetGroupingRules")</f>
        <v>SetGroupingRules</v>
      </c>
      <c r="C67" t="str">
        <f>IFERROR(__xludf.DUMMYFUNCTION("""COMPUTED_VALUE"""),"1QLeyqVSjQtcuPzU9zlGJg_H8l4QWFjACqX99YM-g82I")</f>
        <v>1QLeyqVSjQtcuPzU9zlGJg_H8l4QWFjACqX99YM-g82I</v>
      </c>
    </row>
    <row r="68" ht="15.75" customHeight="1">
      <c r="A68" t="str">
        <f>IFERROR(__xludf.DUMMYFUNCTION("""COMPUTED_VALUE"""),"Allocation")</f>
        <v>Allocation</v>
      </c>
      <c r="B68" t="str">
        <f>IFERROR(__xludf.DUMMYFUNCTION("""COMPUTED_VALUE"""),"SetMasterFundRatio")</f>
        <v>SetMasterFundRatio</v>
      </c>
      <c r="C68" t="str">
        <f>IFERROR(__xludf.DUMMYFUNCTION("""COMPUTED_VALUE"""),"1gdeUgF-J2HwokdWex9YmjHD4Ccg50-NZB7E8YkmPtOo")</f>
        <v>1gdeUgF-J2HwokdWex9YmjHD4Ccg50-NZB7E8YkmPtOo</v>
      </c>
    </row>
    <row r="69" ht="15.75" customHeight="1">
      <c r="A69" t="str">
        <f>IFERROR(__xludf.DUMMYFUNCTION("""COMPUTED_VALUE"""),"Allocation")</f>
        <v>Allocation</v>
      </c>
      <c r="B69" t="str">
        <f>IFERROR(__xludf.DUMMYFUNCTION("""COMPUTED_VALUE"""),"CheckFixedPreference")</f>
        <v>CheckFixedPreference</v>
      </c>
      <c r="C69" t="str">
        <f>IFERROR(__xludf.DUMMYFUNCTION("""COMPUTED_VALUE"""),"1Zu2Bi3EmtHPhjLwCDeJ29XaN2qT3Qxabh7bCJWu7PTI")</f>
        <v>1Zu2Bi3EmtHPhjLwCDeJ29XaN2qT3Qxabh7bCJWu7PTI</v>
      </c>
    </row>
    <row r="70" ht="15.75" customHeight="1">
      <c r="A70" t="str">
        <f>IFERROR(__xludf.DUMMYFUNCTION("""COMPUTED_VALUE"""),"Allocation")</f>
        <v>Allocation</v>
      </c>
      <c r="B70" t="str">
        <f>IFERROR(__xludf.DUMMYFUNCTION("""COMPUTED_VALUE"""),"GetFixedPreference")</f>
        <v>GetFixedPreference</v>
      </c>
      <c r="C70" t="str">
        <f>IFERROR(__xludf.DUMMYFUNCTION("""COMPUTED_VALUE"""),"1ODsvxjkKKhh0dGDsE_DQyuSMdpx2X9J4089o-Dt1a9A")</f>
        <v>1ODsvxjkKKhh0dGDsE_DQyuSMdpx2X9J4089o-Dt1a9A</v>
      </c>
    </row>
    <row r="71" ht="15.75" customHeight="1">
      <c r="A71" t="str">
        <f>IFERROR(__xludf.DUMMYFUNCTION("""COMPUTED_VALUE"""),"Allocation")</f>
        <v>Allocation</v>
      </c>
      <c r="B71" t="str">
        <f>IFERROR(__xludf.DUMMYFUNCTION("""COMPUTED_VALUE"""),"AddCalculatedPreferences")</f>
        <v>AddCalculatedPreferences</v>
      </c>
      <c r="C71" t="str">
        <f>IFERROR(__xludf.DUMMYFUNCTION("""COMPUTED_VALUE"""),"1faXJF5y2ZVHmLsgikwmvDB-Jtq_rGbNG6zlAUDzRBtA")</f>
        <v>1faXJF5y2ZVHmLsgikwmvDB-Jtq_rGbNG6zlAUDzRBtA</v>
      </c>
    </row>
    <row r="72" ht="15.75" customHeight="1">
      <c r="A72" t="str">
        <f>IFERROR(__xludf.DUMMYFUNCTION("""COMPUTED_VALUE"""),"Allocation")</f>
        <v>Allocation</v>
      </c>
      <c r="B72" t="str">
        <f>IFERROR(__xludf.DUMMYFUNCTION("""COMPUTED_VALUE"""),"BulkChangeCalculatedPreferences")</f>
        <v>BulkChangeCalculatedPreferences</v>
      </c>
      <c r="C72" t="str">
        <f>IFERROR(__xludf.DUMMYFUNCTION("""COMPUTED_VALUE"""),"1llt7_DP_NqeceNLLJIKbcJarV5Lqj6ALOHCKOuJmGjk")</f>
        <v>1llt7_DP_NqeceNLLJIKbcJarV5Lqj6ALOHCKOuJmGjk</v>
      </c>
    </row>
    <row r="73" ht="15.75" customHeight="1">
      <c r="A73" t="str">
        <f>IFERROR(__xludf.DUMMYFUNCTION("""COMPUTED_VALUE"""),"Allocation")</f>
        <v>Allocation</v>
      </c>
      <c r="B73" t="str">
        <f>IFERROR(__xludf.DUMMYFUNCTION("""COMPUTED_VALUE"""),"DeleteCalculatedPreferences")</f>
        <v>DeleteCalculatedPreferences</v>
      </c>
      <c r="C73" t="str">
        <f>IFERROR(__xludf.DUMMYFUNCTION("""COMPUTED_VALUE"""),"1fNu6gI_y_85KD4O0jSI66dgRQwcPPJheWBdLlHvTGFg")</f>
        <v>1fNu6gI_y_85KD4O0jSI66dgRQwcPPJheWBdLlHvTGFg</v>
      </c>
    </row>
    <row r="74" ht="15.75" customHeight="1">
      <c r="A74" t="str">
        <f>IFERROR(__xludf.DUMMYFUNCTION("""COMPUTED_VALUE"""),"Allocation")</f>
        <v>Allocation</v>
      </c>
      <c r="B74" t="str">
        <f>IFERROR(__xludf.DUMMYFUNCTION("""COMPUTED_VALUE"""),"RenameCalculatedPreferences")</f>
        <v>RenameCalculatedPreferences</v>
      </c>
      <c r="C74" t="str">
        <f>IFERROR(__xludf.DUMMYFUNCTION("""COMPUTED_VALUE"""),"1YxoMrdMTEXgWpPXHs7vTOHT3Df0ifrbC19UEqshVQfI")</f>
        <v>1YxoMrdMTEXgWpPXHs7vTOHT3Df0ifrbC19UEqshVQfI</v>
      </c>
    </row>
    <row r="75" ht="15.75" customHeight="1">
      <c r="A75" t="str">
        <f>IFERROR(__xludf.DUMMYFUNCTION("""COMPUTED_VALUE"""),"Allocation")</f>
        <v>Allocation</v>
      </c>
      <c r="B75" t="str">
        <f>IFERROR(__xludf.DUMMYFUNCTION("""COMPUTED_VALUE"""),"CopyCalculatedPreferences")</f>
        <v>CopyCalculatedPreferences</v>
      </c>
      <c r="C75" t="str">
        <f>IFERROR(__xludf.DUMMYFUNCTION("""COMPUTED_VALUE"""),"1l2YY8Mzn32EgaMbMJhhzT2XMWHmURG-s0Zu8Olt_3fU")</f>
        <v>1l2YY8Mzn32EgaMbMJhhzT2XMWHmURG-s0Zu8Olt_3fU</v>
      </c>
    </row>
    <row r="76" ht="15.75" customHeight="1">
      <c r="A76" t="str">
        <f>IFERROR(__xludf.DUMMYFUNCTION("""COMPUTED_VALUE"""),"Allocation")</f>
        <v>Allocation</v>
      </c>
      <c r="B76" t="str">
        <f>IFERROR(__xludf.DUMMYFUNCTION("""COMPUTED_VALUE"""),"RunAutoGroup")</f>
        <v>RunAutoGroup</v>
      </c>
      <c r="C76" t="str">
        <f>IFERROR(__xludf.DUMMYFUNCTION("""COMPUTED_VALUE"""),"12vKN0G7oN8cWEJ4AlpsbQhg1ZjcvZZ4xGj4U--I5G90")</f>
        <v>12vKN0G7oN8cWEJ4AlpsbQhg1ZjcvZZ4xGj4U--I5G90</v>
      </c>
    </row>
    <row r="77" ht="15.75" customHeight="1">
      <c r="A77" t="str">
        <f>IFERROR(__xludf.DUMMYFUNCTION("""COMPUTED_VALUE"""),"Allocation")</f>
        <v>Allocation</v>
      </c>
      <c r="B77" t="str">
        <f>IFERROR(__xludf.DUMMYFUNCTION("""COMPUTED_VALUE"""),"BookOrUpdateSwap")</f>
        <v>BookOrUpdateSwap</v>
      </c>
      <c r="C77" t="str">
        <f>IFERROR(__xludf.DUMMYFUNCTION("""COMPUTED_VALUE"""),"1kAt3Mgmw5tT6toTdnsGHKVMKAVf3hEh5XynY25StseE")</f>
        <v>1kAt3Mgmw5tT6toTdnsGHKVMKAVf3hEh5XynY25StseE</v>
      </c>
    </row>
    <row r="78" ht="15.75" customHeight="1">
      <c r="A78" t="str">
        <f>IFERROR(__xludf.DUMMYFUNCTION("""COMPUTED_VALUE"""),"Allocation")</f>
        <v>Allocation</v>
      </c>
      <c r="B78" t="str">
        <f>IFERROR(__xludf.DUMMYFUNCTION("""COMPUTED_VALUE"""),"RunProrata")</f>
        <v>RunProrata</v>
      </c>
      <c r="C78" t="str">
        <f>IFERROR(__xludf.DUMMYFUNCTION("""COMPUTED_VALUE"""),"16DnLu_yRMpQd_JaFe_TkLYqrruNMkt7YlE7TbZhNq1k")</f>
        <v>16DnLu_yRMpQd_JaFe_TkLYqrruNMkt7YlE7TbZhNq1k</v>
      </c>
    </row>
    <row r="79" ht="15.75" customHeight="1">
      <c r="A79" t="str">
        <f>IFERROR(__xludf.DUMMYFUNCTION("""COMPUTED_VALUE"""),"Allocation")</f>
        <v>Allocation</v>
      </c>
      <c r="B79" t="str">
        <f>IFERROR(__xludf.DUMMYFUNCTION("""COMPUTED_VALUE"""),"SetDefaultRuleCalculatedPref")</f>
        <v>SetDefaultRuleCalculatedPref</v>
      </c>
      <c r="C79" t="str">
        <f>IFERROR(__xludf.DUMMYFUNCTION("""COMPUTED_VALUE"""),"10JstdZ0oAMKlf3YcIFD3LEy3lSUVJZ88BP-uXbM_37M")</f>
        <v>10JstdZ0oAMKlf3YcIFD3LEy3lSUVJZ88BP-uXbM_37M</v>
      </c>
    </row>
    <row r="80" ht="15.75" customHeight="1">
      <c r="A80" t="str">
        <f>IFERROR(__xludf.DUMMYFUNCTION("""COMPUTED_VALUE"""),"Admin")</f>
        <v>Admin</v>
      </c>
      <c r="B80" t="str">
        <f>IFERROR(__xludf.DUMMYFUNCTION("""COMPUTED_VALUE"""),"SetTTUIPreferences")</f>
        <v>SetTTUIPreferences</v>
      </c>
      <c r="C80" t="str">
        <f>IFERROR(__xludf.DUMMYFUNCTION("""COMPUTED_VALUE"""),"10lnSWIZEIkkrpKRGZSTZZ3CJwUT2e_wja-kp_hFbqgs")</f>
        <v>10lnSWIZEIkkrpKRGZSTZZ3CJwUT2e_wja-kp_hFbqgs</v>
      </c>
    </row>
    <row r="81" ht="15.75" customHeight="1">
      <c r="A81" t="str">
        <f>IFERROR(__xludf.DUMMYFUNCTION("""COMPUTED_VALUE"""),"Admin")</f>
        <v>Admin</v>
      </c>
      <c r="B81" t="str">
        <f>IFERROR(__xludf.DUMMYFUNCTION("""COMPUTED_VALUE"""),"TTPermissionLevel")</f>
        <v>TTPermissionLevel</v>
      </c>
      <c r="C81" t="str">
        <f>IFERROR(__xludf.DUMMYFUNCTION("""COMPUTED_VALUE"""),"10v0BJe2YKjTEVcglnAbRuMYRHHr2FY-iAfdpmMRzRiE")</f>
        <v>10v0BJe2YKjTEVcglnAbRuMYRHHr2FY-iAfdpmMRzRiE</v>
      </c>
    </row>
    <row r="82" ht="15.75" customHeight="1">
      <c r="A82" t="str">
        <f>IFERROR(__xludf.DUMMYFUNCTION("""COMPUTED_VALUE"""),"TradingTicket")</f>
        <v>TradingTicket</v>
      </c>
      <c r="B82" t="str">
        <f>IFERROR(__xludf.DUMMYFUNCTION("""COMPUTED_VALUE"""),"ValidateSymbolTT")</f>
        <v>ValidateSymbolTT</v>
      </c>
      <c r="C82" t="str">
        <f>IFERROR(__xludf.DUMMYFUNCTION("""COMPUTED_VALUE"""),"1isIZCSjuRGxfoo8ExjjNDs0TzIIeZIsHSnQvqmaDKQI")</f>
        <v>1isIZCSjuRGxfoo8ExjjNDs0TzIIeZIsHSnQvqmaDKQI</v>
      </c>
    </row>
    <row r="83" ht="15.75" customHeight="1">
      <c r="A83" t="str">
        <f>IFERROR(__xludf.DUMMYFUNCTION("""COMPUTED_VALUE"""),"TradingTicket")</f>
        <v>TradingTicket</v>
      </c>
      <c r="B83" t="str">
        <f>IFERROR(__xludf.DUMMYFUNCTION("""COMPUTED_VALUE"""),"VerifyDataTT")</f>
        <v>VerifyDataTT</v>
      </c>
      <c r="C83" t="str">
        <f>IFERROR(__xludf.DUMMYFUNCTION("""COMPUTED_VALUE"""),"Undefined")</f>
        <v>Undefined</v>
      </c>
    </row>
    <row r="84" ht="15.75" customHeight="1">
      <c r="A84" t="str">
        <f>IFERROR(__xludf.DUMMYFUNCTION("""COMPUTED_VALUE"""),"TradingTicket")</f>
        <v>TradingTicket</v>
      </c>
      <c r="B84" t="str">
        <f>IFERROR(__xludf.DUMMYFUNCTION("""COMPUTED_VALUE"""),"SetUIPreferencesTT")</f>
        <v>SetUIPreferencesTT</v>
      </c>
      <c r="C84" t="str">
        <f>IFERROR(__xludf.DUMMYFUNCTION("""COMPUTED_VALUE"""),"1on24Xx1A89RTEZQ936dDTQItTDtvLOJ0q7jxDMXximg")</f>
        <v>1on24Xx1A89RTEZQ936dDTQItTDtvLOJ0q7jxDMXximg</v>
      </c>
    </row>
    <row r="85" ht="15.75" customHeight="1">
      <c r="A85" t="str">
        <f>IFERROR(__xludf.DUMMYFUNCTION("""COMPUTED_VALUE"""),"TradingTicket")</f>
        <v>TradingTicket</v>
      </c>
      <c r="B85" t="str">
        <f>IFERROR(__xludf.DUMMYFUNCTION("""COMPUTED_VALUE"""),"SetBrokerWisePreferencesTT")</f>
        <v>SetBrokerWisePreferencesTT</v>
      </c>
      <c r="C85" t="str">
        <f>IFERROR(__xludf.DUMMYFUNCTION("""COMPUTED_VALUE"""),"1oazHOMbdZzIFqt9RWTRPe_FI8r-VEbDEKFhRoyrF_ZI")</f>
        <v>1oazHOMbdZzIFqt9RWTRPe_FI8r-VEbDEKFhRoyrF_ZI</v>
      </c>
    </row>
    <row r="86" ht="15.75" customHeight="1">
      <c r="A86" t="str">
        <f>IFERROR(__xludf.DUMMYFUNCTION("""COMPUTED_VALUE"""),"TradingTicket")</f>
        <v>TradingTicket</v>
      </c>
      <c r="B86" t="str">
        <f>IFERROR(__xludf.DUMMYFUNCTION("""COMPUTED_VALUE"""),"VerifyComplianceOrder")</f>
        <v>VerifyComplianceOrder</v>
      </c>
      <c r="C86" t="str">
        <f>IFERROR(__xludf.DUMMYFUNCTION("""COMPUTED_VALUE"""),"1C1ihxuii7UtcJWaOpuhmq2xNZfrmJtCRgTQInc4VfTM")</f>
        <v>1C1ihxuii7UtcJWaOpuhmq2xNZfrmJtCRgTQInc4VfTM</v>
      </c>
    </row>
    <row r="87" ht="15.75" customHeight="1">
      <c r="A87" t="str">
        <f>IFERROR(__xludf.DUMMYFUNCTION("""COMPUTED_VALUE"""),"Blotter")</f>
        <v>Blotter</v>
      </c>
      <c r="B87" t="str">
        <f>IFERROR(__xludf.DUMMYFUNCTION("""COMPUTED_VALUE"""),"BlotterFunctionalities")</f>
        <v>BlotterFunctionalities</v>
      </c>
      <c r="C87" t="str">
        <f>IFERROR(__xludf.DUMMYFUNCTION("""COMPUTED_VALUE"""),"1NTjIJzn83A5UVkjxsSH3LnmJ5c7qV5uOQs8vtIWCRLg")</f>
        <v>1NTjIJzn83A5UVkjxsSH3LnmJ5c7qV5uOQs8vtIWCRLg</v>
      </c>
    </row>
    <row r="88" ht="15.75" customHeight="1">
      <c r="A88" t="str">
        <f>IFERROR(__xludf.DUMMYFUNCTION("""COMPUTED_VALUE"""),"TradingTicket")</f>
        <v>TradingTicket</v>
      </c>
      <c r="B88" t="str">
        <f>IFERROR(__xludf.DUMMYFUNCTION("""COMPUTED_VALUE"""),"TradeNewSub")</f>
        <v>TradeNewSub</v>
      </c>
      <c r="C88" t="str">
        <f>IFERROR(__xludf.DUMMYFUNCTION("""COMPUTED_VALUE"""),"1zKwPhUWsQiJuXW-5M_TapYbtIUsySxSnBvlnGGYS6Ak")</f>
        <v>1zKwPhUWsQiJuXW-5M_TapYbtIUsySxSnBvlnGGYS6Ak</v>
      </c>
    </row>
    <row r="89" ht="15.75" customHeight="1">
      <c r="A89" t="str">
        <f>IFERROR(__xludf.DUMMYFUNCTION("""COMPUTED_VALUE"""),"GeneralLedger")</f>
        <v>GeneralLedger</v>
      </c>
      <c r="B89" t="str">
        <f>IFERROR(__xludf.DUMMYFUNCTION("""COMPUTED_VALUE"""),"GetTradingTransaction")</f>
        <v>GetTradingTransaction</v>
      </c>
      <c r="C89" t="str">
        <f>IFERROR(__xludf.DUMMYFUNCTION("""COMPUTED_VALUE"""),"1kv8v1CbDlw931gEvlCVeiXqmEc9l3QCI_MwkOELS2qw")</f>
        <v>1kv8v1CbDlw931gEvlCVeiXqmEc9l3QCI_MwkOELS2qw</v>
      </c>
    </row>
    <row r="90" ht="15.75" customHeight="1">
      <c r="A90" t="str">
        <f>IFERROR(__xludf.DUMMYFUNCTION("""COMPUTED_VALUE"""),"GeneralLedger")</f>
        <v>GeneralLedger</v>
      </c>
      <c r="B90" t="str">
        <f>IFERROR(__xludf.DUMMYFUNCTION("""COMPUTED_VALUE"""),"GetActivityData")</f>
        <v>GetActivityData</v>
      </c>
      <c r="C90" t="str">
        <f>IFERROR(__xludf.DUMMYFUNCTION("""COMPUTED_VALUE"""),"1gC0fGcg2kDadwcHwX4w3_k5mEk9qKGCjBN44zKok6kw")</f>
        <v>1gC0fGcg2kDadwcHwX4w3_k5mEk9qKGCjBN44zKok6kw</v>
      </c>
    </row>
    <row r="91" ht="15.75" customHeight="1">
      <c r="A91" t="str">
        <f>IFERROR(__xludf.DUMMYFUNCTION("""COMPUTED_VALUE"""),"Allocation")</f>
        <v>Allocation</v>
      </c>
      <c r="B91" t="str">
        <f>IFERROR(__xludf.DUMMYFUNCTION("""COMPUTED_VALUE"""),"SetAccountValueCalculatedPref")</f>
        <v>SetAccountValueCalculatedPref</v>
      </c>
      <c r="C91" t="str">
        <f>IFERROR(__xludf.DUMMYFUNCTION("""COMPUTED_VALUE"""),"1szyA-wnQxJNDjKp5TPI-uk3EJyLpMX2K0QEQn9jfQ7U")</f>
        <v>1szyA-wnQxJNDjKp5TPI-uk3EJyLpMX2K0QEQn9jfQ7U</v>
      </c>
    </row>
    <row r="92" ht="15.75" customHeight="1">
      <c r="A92" t="str">
        <f>IFERROR(__xludf.DUMMYFUNCTION("""COMPUTED_VALUE"""),"Allocation")</f>
        <v>Allocation</v>
      </c>
      <c r="B92" t="str">
        <f>IFERROR(__xludf.DUMMYFUNCTION("""COMPUTED_VALUE"""),"TradeAttributeBulkChangeGroups")</f>
        <v>TradeAttributeBulkChangeGroups</v>
      </c>
      <c r="C92" t="str">
        <f>IFERROR(__xludf.DUMMYFUNCTION("""COMPUTED_VALUE"""),"1OIjDCM6TnKKQSDlidlK0dxEESXLKiqUJwn0hQQ_tBgg")</f>
        <v>1OIjDCM6TnKKQSDlidlK0dxEESXLKiqUJwn0hQQ_tBgg</v>
      </c>
    </row>
    <row r="93" ht="15.75" customHeight="1">
      <c r="A93" t="str">
        <f>IFERROR(__xludf.DUMMYFUNCTION("""COMPUTED_VALUE"""),"Allocation")</f>
        <v>Allocation</v>
      </c>
      <c r="B93" t="str">
        <f>IFERROR(__xludf.DUMMYFUNCTION("""COMPUTED_VALUE"""),"TradeAttributeBulkChangeTaxlots")</f>
        <v>TradeAttributeBulkChangeTaxlots</v>
      </c>
      <c r="C93" t="str">
        <f>IFERROR(__xludf.DUMMYFUNCTION("""COMPUTED_VALUE"""),"1-EkhvJm1K679q763Pphv6jCkS338lkjK1empSqlEI6g")</f>
        <v>1-EkhvJm1K679q763Pphv6jCkS338lkjK1empSqlEI6g</v>
      </c>
    </row>
    <row r="94" ht="15.75" customHeight="1">
      <c r="A94" t="str">
        <f>IFERROR(__xludf.DUMMYFUNCTION("""COMPUTED_VALUE"""),"Allocation")</f>
        <v>Allocation</v>
      </c>
      <c r="B94" t="str">
        <f>IFERROR(__xludf.DUMMYFUNCTION("""COMPUTED_VALUE"""),"AddCalculatedPreferenceToolbar")</f>
        <v>AddCalculatedPreferenceToolbar</v>
      </c>
      <c r="C94" t="str">
        <f>IFERROR(__xludf.DUMMYFUNCTION("""COMPUTED_VALUE"""),"1DXbBxZ56O_c_EOU2QMzew8pcePIeS9V7oBQzfHm1nrU")</f>
        <v>1DXbBxZ56O_c_EOU2QMzew8pcePIeS9V7oBQzfHm1nrU</v>
      </c>
    </row>
    <row r="95" ht="15.75" customHeight="1">
      <c r="A95" t="str">
        <f>IFERROR(__xludf.DUMMYFUNCTION("""COMPUTED_VALUE"""),"GeneralLedger")</f>
        <v>GeneralLedger</v>
      </c>
      <c r="B95" t="str">
        <f>IFERROR(__xludf.DUMMYFUNCTION("""COMPUTED_VALUE"""),"GetRevaluationData")</f>
        <v>GetRevaluationData</v>
      </c>
      <c r="C95" t="str">
        <f>IFERROR(__xludf.DUMMYFUNCTION("""COMPUTED_VALUE"""),"1_jCrLemDOFwKSZ0VodisRVJ3gJ2pYEa9vtELYDKZ7D8")</f>
        <v>1_jCrLemDOFwKSZ0VodisRVJ3gJ2pYEa9vtELYDKZ7D8</v>
      </c>
    </row>
    <row r="96" ht="15.75" customHeight="1">
      <c r="A96" t="str">
        <f>IFERROR(__xludf.DUMMYFUNCTION("""COMPUTED_VALUE"""),"Allocation")</f>
        <v>Allocation</v>
      </c>
      <c r="B96" t="str">
        <f>IFERROR(__xludf.DUMMYFUNCTION("""COMPUTED_VALUE"""),"SetStrategyValueCalculatedPref")</f>
        <v>SetStrategyValueCalculatedPref</v>
      </c>
      <c r="C96" t="str">
        <f>IFERROR(__xludf.DUMMYFUNCTION("""COMPUTED_VALUE"""),"16RHY1TeGLbg5aTXsB-Ui80dCjjhaTX8_mez3VOo9FEk")</f>
        <v>16RHY1TeGLbg5aTXsB-Ui80dCjjhaTX8_mez3VOo9FEk</v>
      </c>
    </row>
    <row r="97" ht="15.75" customHeight="1">
      <c r="A97" t="str">
        <f>IFERROR(__xludf.DUMMYFUNCTION("""COMPUTED_VALUE"""),"GeneralLedger")</f>
        <v>GeneralLedger</v>
      </c>
      <c r="B97" t="str">
        <f>IFERROR(__xludf.DUMMYFUNCTION("""COMPUTED_VALUE"""),"GetAccountDetails")</f>
        <v>GetAccountDetails</v>
      </c>
      <c r="C97" t="str">
        <f>IFERROR(__xludf.DUMMYFUNCTION("""COMPUTED_VALUE"""),"1TXu6gXnarAC8lKHRoBfjneR2t9URT4SQRLYj-_dv9B8")</f>
        <v>1TXu6gXnarAC8lKHRoBfjneR2t9URT4SQRLYj-_dv9B8</v>
      </c>
    </row>
    <row r="98" ht="15.75" customHeight="1">
      <c r="A98" t="str">
        <f>IFERROR(__xludf.DUMMYFUNCTION("""COMPUTED_VALUE"""),"Allocation")</f>
        <v>Allocation</v>
      </c>
      <c r="B98" t="str">
        <f>IFERROR(__xludf.DUMMYFUNCTION("""COMPUTED_VALUE"""),"ApplyBulkUpdateOnTaxlots")</f>
        <v>ApplyBulkUpdateOnTaxlots</v>
      </c>
      <c r="C98" t="str">
        <f>IFERROR(__xludf.DUMMYFUNCTION("""COMPUTED_VALUE"""),"1VH3caZODr9iY2kqHjoSV3FhwJni6tKZaHoFPgAW7oH0")</f>
        <v>1VH3caZODr9iY2kqHjoSV3FhwJni6tKZaHoFPgAW7oH0</v>
      </c>
    </row>
    <row r="99" ht="15.75" customHeight="1">
      <c r="A99" t="str">
        <f>IFERROR(__xludf.DUMMYFUNCTION("""COMPUTED_VALUE"""),"GeneralLedger")</f>
        <v>GeneralLedger</v>
      </c>
      <c r="B99" t="str">
        <f>IFERROR(__xludf.DUMMYFUNCTION("""COMPUTED_VALUE"""),"GetNonTradingTransaction")</f>
        <v>GetNonTradingTransaction</v>
      </c>
      <c r="C99" t="str">
        <f>IFERROR(__xludf.DUMMYFUNCTION("""COMPUTED_VALUE"""),"1WwXkdWAh3bdjgnontJiBzztlPilW0CctfCnAlV9Jtsk")</f>
        <v>1WwXkdWAh3bdjgnontJiBzztlPilW0CctfCnAlV9Jtsk</v>
      </c>
    </row>
    <row r="100" ht="15.75" customHeight="1">
      <c r="A100" t="str">
        <f>IFERROR(__xludf.DUMMYFUNCTION("""COMPUTED_VALUE"""),"Allocation")</f>
        <v>Allocation</v>
      </c>
      <c r="B100" t="str">
        <f>IFERROR(__xludf.DUMMYFUNCTION("""COMPUTED_VALUE"""),"CommissionBulkChangeOnGroups")</f>
        <v>CommissionBulkChangeOnGroups</v>
      </c>
      <c r="C100" t="str">
        <f>IFERROR(__xludf.DUMMYFUNCTION("""COMPUTED_VALUE"""),"1GHbxG_gmo0oAM2ECsMcvjgkbxL3HmvWhdwso0kHhxxY")</f>
        <v>1GHbxG_gmo0oAM2ECsMcvjgkbxL3HmvWhdwso0kHhxxY</v>
      </c>
    </row>
    <row r="101" ht="15.75" customHeight="1">
      <c r="A101" t="str">
        <f>IFERROR(__xludf.DUMMYFUNCTION("""COMPUTED_VALUE"""),"GeneralLedger")</f>
        <v>GeneralLedger</v>
      </c>
      <c r="B101" t="str">
        <f>IFERROR(__xludf.DUMMYFUNCTION("""COMPUTED_VALUE"""),"GetDividendData")</f>
        <v>GetDividendData</v>
      </c>
      <c r="C101" t="str">
        <f>IFERROR(__xludf.DUMMYFUNCTION("""COMPUTED_VALUE"""),"1GswznQiWvhiSC0OEO7CQehE7tAU2I_GAPgMkpYmR8HY")</f>
        <v>1GswznQiWvhiSC0OEO7CQehE7tAU2I_GAPgMkpYmR8HY</v>
      </c>
    </row>
    <row r="102" ht="15.75" customHeight="1">
      <c r="A102" t="str">
        <f>IFERROR(__xludf.DUMMYFUNCTION("""COMPUTED_VALUE"""),"Allocation")</f>
        <v>Allocation</v>
      </c>
      <c r="B102" t="str">
        <f>IFERROR(__xludf.DUMMYFUNCTION("""COMPUTED_VALUE"""),"CommissionBulkChangeOnTaxlots")</f>
        <v>CommissionBulkChangeOnTaxlots</v>
      </c>
      <c r="C102" t="str">
        <f>IFERROR(__xludf.DUMMYFUNCTION("""COMPUTED_VALUE"""),"1JSV--K7Q9AVdFghlAQLPvoliFST4hJcrUqb7Lm7ht_s")</f>
        <v>1JSV--K7Q9AVdFghlAQLPvoliFST4hJcrUqb7Lm7ht_s</v>
      </c>
    </row>
    <row r="103" ht="15.75" customHeight="1">
      <c r="A103" t="str">
        <f>IFERROR(__xludf.DUMMYFUNCTION("""COMPUTED_VALUE"""),"GeneralLedger")</f>
        <v>GeneralLedger</v>
      </c>
      <c r="B103" t="str">
        <f>IFERROR(__xludf.DUMMYFUNCTION("""COMPUTED_VALUE"""),"VerifyNonTradingTransaction")</f>
        <v>VerifyNonTradingTransaction</v>
      </c>
      <c r="C103" t="str">
        <f>IFERROR(__xludf.DUMMYFUNCTION("""COMPUTED_VALUE"""),"1o4SeiIVOvtilKbWLzkvKtCGRHUJvLPzFD3kWYlOTDFY")</f>
        <v>1o4SeiIVOvtilKbWLzkvKtCGRHUJvLPzFD3kWYlOTDFY</v>
      </c>
    </row>
    <row r="104" ht="15.75" customHeight="1">
      <c r="A104" t="str">
        <f>IFERROR(__xludf.DUMMYFUNCTION("""COMPUTED_VALUE"""),"Allocation")</f>
        <v>Allocation</v>
      </c>
      <c r="B104" t="str">
        <f>IFERROR(__xludf.DUMMYFUNCTION("""COMPUTED_VALUE"""),"SelectUnallocatedGroup")</f>
        <v>SelectUnallocatedGroup</v>
      </c>
      <c r="C104" t="str">
        <f>IFERROR(__xludf.DUMMYFUNCTION("""COMPUTED_VALUE"""),"1PykwrxeWk59EvKJjR2-bkrhi9UOWXCqXJ9LsY_QGIyg")</f>
        <v>1PykwrxeWk59EvKJjR2-bkrhi9UOWXCqXJ9LsY_QGIyg</v>
      </c>
    </row>
    <row r="105" ht="15.75" customHeight="1">
      <c r="A105" t="str">
        <f>IFERROR(__xludf.DUMMYFUNCTION("""COMPUTED_VALUE"""),"GeneralLedger")</f>
        <v>GeneralLedger</v>
      </c>
      <c r="B105" t="str">
        <f>IFERROR(__xludf.DUMMYFUNCTION("""COMPUTED_VALUE"""),"VerifyDividend")</f>
        <v>VerifyDividend</v>
      </c>
      <c r="C105" t="str">
        <f>IFERROR(__xludf.DUMMYFUNCTION("""COMPUTED_VALUE"""),"1yNATSEwdZIg22rajZvFROqYG-SMOcj0UKSuABzCcbrg")</f>
        <v>1yNATSEwdZIg22rajZvFROqYG-SMOcj0UKSuABzCcbrg</v>
      </c>
    </row>
    <row r="106" ht="15.75" customHeight="1">
      <c r="A106" t="str">
        <f>IFERROR(__xludf.DUMMYFUNCTION("""COMPUTED_VALUE"""),"Allocation")</f>
        <v>Allocation</v>
      </c>
      <c r="B106" t="str">
        <f>IFERROR(__xludf.DUMMYFUNCTION("""COMPUTED_VALUE"""),"EnterAccountValuesToAllocate")</f>
        <v>EnterAccountValuesToAllocate</v>
      </c>
      <c r="C106" t="str">
        <f>IFERROR(__xludf.DUMMYFUNCTION("""COMPUTED_VALUE"""),"1kr04YBOz0Ztah2RGYUkYH5t3_s4wso2_y_Z2nndmke4")</f>
        <v>1kr04YBOz0Ztah2RGYUkYH5t3_s4wso2_y_Z2nndmke4</v>
      </c>
    </row>
    <row r="107" ht="15.75" customHeight="1">
      <c r="A107" t="str">
        <f>IFERROR(__xludf.DUMMYFUNCTION("""COMPUTED_VALUE"""),"GeneralLedger")</f>
        <v>GeneralLedger</v>
      </c>
      <c r="B107" t="str">
        <f>IFERROR(__xludf.DUMMYFUNCTION("""COMPUTED_VALUE"""),"GetOpeningBalanceData")</f>
        <v>GetOpeningBalanceData</v>
      </c>
      <c r="C107" t="str">
        <f>IFERROR(__xludf.DUMMYFUNCTION("""COMPUTED_VALUE"""),"1GJsRSs8phBv97QiJwIDXxz__kmfV3tq2DF7jPw6Rzcc")</f>
        <v>1GJsRSs8phBv97QiJwIDXxz__kmfV3tq2DF7jPw6Rzcc</v>
      </c>
    </row>
    <row r="108" ht="15.75" customHeight="1">
      <c r="A108" t="str">
        <f>IFERROR(__xludf.DUMMYFUNCTION("""COMPUTED_VALUE"""),"Allocation")</f>
        <v>Allocation</v>
      </c>
      <c r="B108" t="str">
        <f>IFERROR(__xludf.DUMMYFUNCTION("""COMPUTED_VALUE"""),"EnterAllocatePreference")</f>
        <v>EnterAllocatePreference</v>
      </c>
      <c r="C108" t="str">
        <f>IFERROR(__xludf.DUMMYFUNCTION("""COMPUTED_VALUE"""),"1haSEXf6TIeQYi_1sgjBN0a8Kd0oihrY49BfLwnN7fuI")</f>
        <v>1haSEXf6TIeQYi_1sgjBN0a8Kd0oihrY49BfLwnN7fuI</v>
      </c>
    </row>
    <row r="109" ht="15.75" customHeight="1">
      <c r="A109" t="str">
        <f>IFERROR(__xludf.DUMMYFUNCTION("""COMPUTED_VALUE"""),"GeneralLedger")</f>
        <v>GeneralLedger</v>
      </c>
      <c r="B109" t="str">
        <f>IFERROR(__xludf.DUMMYFUNCTION("""COMPUTED_VALUE"""),"GetAccountBalance")</f>
        <v>GetAccountBalance</v>
      </c>
      <c r="C109" t="str">
        <f>IFERROR(__xludf.DUMMYFUNCTION("""COMPUTED_VALUE"""),"19yGJzO1TCo08wHjexzSA7gxYozh5nmBmm_h8W-7yXXE")</f>
        <v>19yGJzO1TCo08wHjexzSA7gxYozh5nmBmm_h8W-7yXXE</v>
      </c>
    </row>
    <row r="110" ht="15.75" customHeight="1">
      <c r="A110" t="str">
        <f>IFERROR(__xludf.DUMMYFUNCTION("""COMPUTED_VALUE"""),"Expnl")</f>
        <v>Expnl</v>
      </c>
      <c r="B110" t="str">
        <f>IFERROR(__xludf.DUMMYFUNCTION("""COMPUTED_VALUE"""),"RestartExpnl")</f>
        <v>RestartExpnl</v>
      </c>
      <c r="C110" t="str">
        <f>IFERROR(__xludf.DUMMYFUNCTION("""COMPUTED_VALUE"""),"1SFxd7-IZSkRF_20Dfu_Uk623wJILbNPUOwLIkgbyHyc")</f>
        <v>1SFxd7-IZSkRF_20Dfu_Uk623wJILbNPUOwLIkgbyHyc</v>
      </c>
    </row>
    <row r="111" ht="15.75" customHeight="1">
      <c r="A111" t="str">
        <f>IFERROR(__xludf.DUMMYFUNCTION("""COMPUTED_VALUE"""),"PortfolioManagement")</f>
        <v>PortfolioManagement</v>
      </c>
      <c r="B111" t="str">
        <f>IFERROR(__xludf.DUMMYFUNCTION("""COMPUTED_VALUE"""),"ClosePM")</f>
        <v>ClosePM</v>
      </c>
      <c r="C111" t="str">
        <f>IFERROR(__xludf.DUMMYFUNCTION("""COMPUTED_VALUE"""),"Undefined")</f>
        <v>Undefined</v>
      </c>
    </row>
    <row r="112" ht="15.75" customHeight="1">
      <c r="A112" t="str">
        <f>IFERROR(__xludf.DUMMYFUNCTION("""COMPUTED_VALUE"""),"Allocation")</f>
        <v>Allocation</v>
      </c>
      <c r="B112" t="str">
        <f>IFERROR(__xludf.DUMMYFUNCTION("""COMPUTED_VALUE"""),"EnterStrategyValuesToAllocate")</f>
        <v>EnterStrategyValuesToAllocate</v>
      </c>
      <c r="C112" t="str">
        <f>IFERROR(__xludf.DUMMYFUNCTION("""COMPUTED_VALUE"""),"1-8cEVr7pAI2wgMdL3_6tq-WORMZN8GmCtu9xIjj6j6o")</f>
        <v>1-8cEVr7pAI2wgMdL3_6tq-WORMZN8GmCtu9xIjj6j6o</v>
      </c>
    </row>
    <row r="113" ht="15.75" customHeight="1">
      <c r="A113" t="str">
        <f>IFERROR(__xludf.DUMMYFUNCTION("""COMPUTED_VALUE"""),"GeneralLedger")</f>
        <v>GeneralLedger</v>
      </c>
      <c r="B113" t="str">
        <f>IFERROR(__xludf.DUMMYFUNCTION("""COMPUTED_VALUE"""),"SelectNonTradingTransaction")</f>
        <v>SelectNonTradingTransaction</v>
      </c>
      <c r="C113" t="str">
        <f>IFERROR(__xludf.DUMMYFUNCTION("""COMPUTED_VALUE"""),"1ZZCt0lDjl7RLYD2Mntzrt8K90X_eJFTEXwVYmBpuJrI")</f>
        <v>1ZZCt0lDjl7RLYD2Mntzrt8K90X_eJFTEXwVYmBpuJrI</v>
      </c>
    </row>
    <row r="114" ht="15.75" customHeight="1">
      <c r="A114" t="str">
        <f>IFERROR(__xludf.DUMMYFUNCTION("""COMPUTED_VALUE"""),"GeneralLedger")</f>
        <v>GeneralLedger</v>
      </c>
      <c r="B114" t="str">
        <f>IFERROR(__xludf.DUMMYFUNCTION("""COMPUTED_VALUE"""),"SelectNonTradingTranItem")</f>
        <v>SelectNonTradingTranItem</v>
      </c>
      <c r="C114" t="str">
        <f>IFERROR(__xludf.DUMMYFUNCTION("""COMPUTED_VALUE"""),"16m3UbEFQhQPWPiSa_1EhmXlZxLYP_MUqbxMjHJ-ClFY")</f>
        <v>16m3UbEFQhQPWPiSa_1EhmXlZxLYP_MUqbxMjHJ-ClFY</v>
      </c>
    </row>
    <row r="115" ht="15.75" customHeight="1">
      <c r="A115" t="str">
        <f>IFERROR(__xludf.DUMMYFUNCTION("""COMPUTED_VALUE"""),"Allocation")</f>
        <v>Allocation</v>
      </c>
      <c r="B115" t="str">
        <f>IFERROR(__xludf.DUMMYFUNCTION("""COMPUTED_VALUE"""),"CopyCalculatedPreferenceToolbar")</f>
        <v>CopyCalculatedPreferenceToolbar</v>
      </c>
      <c r="C115" t="str">
        <f>IFERROR(__xludf.DUMMYFUNCTION("""COMPUTED_VALUE"""),"1_ToPqKQ7KBsW-Qbh_BzgjcxrmCVkWJXDYrKj7bFoT1c")</f>
        <v>1_ToPqKQ7KBsW-Qbh_BzgjcxrmCVkWJXDYrKj7bFoT1c</v>
      </c>
    </row>
    <row r="116" ht="15.75" customHeight="1">
      <c r="A116" t="str">
        <f>IFERROR(__xludf.DUMMYFUNCTION("""COMPUTED_VALUE"""),"Allocation")</f>
        <v>Allocation</v>
      </c>
      <c r="B116" t="str">
        <f>IFERROR(__xludf.DUMMYFUNCTION("""COMPUTED_VALUE"""),"SetGeneralRuleCalculatedPref")</f>
        <v>SetGeneralRuleCalculatedPref</v>
      </c>
      <c r="C116" t="str">
        <f>IFERROR(__xludf.DUMMYFUNCTION("""COMPUTED_VALUE"""),"1aXiFWEohqaH2_K4j0vh9e2qsSVxsknfuhcQeOE9hi3Q")</f>
        <v>1aXiFWEohqaH2_K4j0vh9e2qsSVxsknfuhcQeOE9hi3Q</v>
      </c>
    </row>
    <row r="117" ht="15.75" customHeight="1">
      <c r="A117" t="str">
        <f>IFERROR(__xludf.DUMMYFUNCTION("""COMPUTED_VALUE"""),"GeneralLedger")</f>
        <v>GeneralLedger</v>
      </c>
      <c r="B117" t="str">
        <f>IFERROR(__xludf.DUMMYFUNCTION("""COMPUTED_VALUE"""),"DeleteNonTradingTransaction")</f>
        <v>DeleteNonTradingTransaction</v>
      </c>
      <c r="C117" t="str">
        <f>IFERROR(__xludf.DUMMYFUNCTION("""COMPUTED_VALUE"""),"1EjVRXlSGmVrAZDdOicBBFp0AQRuU9J2S0sWJSK8n2YQ")</f>
        <v>1EjVRXlSGmVrAZDdOicBBFp0AQRuU9J2S0sWJSK8n2YQ</v>
      </c>
    </row>
    <row r="118" ht="15.75" customHeight="1">
      <c r="A118" s="9" t="str">
        <f>IFERROR(__xludf.DUMMYFUNCTION("""COMPUTED_VALUE"""),"GeneralLedger")</f>
        <v>GeneralLedger</v>
      </c>
      <c r="B118" t="str">
        <f>IFERROR(__xludf.DUMMYFUNCTION("""COMPUTED_VALUE"""),"DeleteNonTradingTranItem")</f>
        <v>DeleteNonTradingTranItem</v>
      </c>
      <c r="C118" t="str">
        <f>IFERROR(__xludf.DUMMYFUNCTION("""COMPUTED_VALUE"""),"17d6nTaGrtU53Ggt44z0DBtOe6BoXa-RluaNmydPewJc")</f>
        <v>17d6nTaGrtU53Ggt44z0DBtOe6BoXa-RluaNmydPewJc</v>
      </c>
    </row>
    <row r="119" ht="15.75" customHeight="1">
      <c r="A119" t="str">
        <f>IFERROR(__xludf.DUMMYFUNCTION("""COMPUTED_VALUE"""),"Allocation")</f>
        <v>Allocation</v>
      </c>
      <c r="B119" t="str">
        <f>IFERROR(__xludf.DUMMYFUNCTION("""COMPUTED_VALUE"""),"ExportAllCalculatedPreferences")</f>
        <v>ExportAllCalculatedPreferences</v>
      </c>
      <c r="C119" t="str">
        <f>IFERROR(__xludf.DUMMYFUNCTION("""COMPUTED_VALUE"""),"1t7n3e5xHa-zqiwDexIMbaSHvIBvZeqc9clL5rr4oU1E")</f>
        <v>1t7n3e5xHa-zqiwDexIMbaSHvIBvZeqc9clL5rr4oU1E</v>
      </c>
    </row>
    <row r="120" ht="15.75" customHeight="1">
      <c r="A120" t="str">
        <f>IFERROR(__xludf.DUMMYFUNCTION("""COMPUTED_VALUE"""),"GeneralLedger")</f>
        <v>GeneralLedger</v>
      </c>
      <c r="B120" t="str">
        <f>IFERROR(__xludf.DUMMYFUNCTION("""COMPUTED_VALUE"""),"AddNonTradingTransaction")</f>
        <v>AddNonTradingTransaction</v>
      </c>
      <c r="C120" t="str">
        <f>IFERROR(__xludf.DUMMYFUNCTION("""COMPUTED_VALUE"""),"1g_iduG9-VROpoRQbgomDMnwhDO5V1MCdoXo7B0KkCjo")</f>
        <v>1g_iduG9-VROpoRQbgomDMnwhDO5V1MCdoXo7B0KkCjo</v>
      </c>
    </row>
    <row r="121" ht="15.75" customHeight="1">
      <c r="A121" t="str">
        <f>IFERROR(__xludf.DUMMYFUNCTION("""COMPUTED_VALUE"""),"GeneralLedger")</f>
        <v>GeneralLedger</v>
      </c>
      <c r="B121" t="str">
        <f>IFERROR(__xludf.DUMMYFUNCTION("""COMPUTED_VALUE"""),"AddNonTradingTranItem")</f>
        <v>AddNonTradingTranItem</v>
      </c>
      <c r="C121" t="str">
        <f>IFERROR(__xludf.DUMMYFUNCTION("""COMPUTED_VALUE"""),"1f-by-zymlQYhK_E-j7JuCFmcrmShTNyoIRdep0I9WiQ")</f>
        <v>1f-by-zymlQYhK_E-j7JuCFmcrmShTNyoIRdep0I9WiQ</v>
      </c>
    </row>
    <row r="122" ht="15.75" customHeight="1">
      <c r="A122" t="str">
        <f>IFERROR(__xludf.DUMMYFUNCTION("""COMPUTED_VALUE"""),"Allocation")</f>
        <v>Allocation</v>
      </c>
      <c r="B122" t="str">
        <f>IFERROR(__xludf.DUMMYFUNCTION("""COMPUTED_VALUE"""),"SaveCalculatedPreferences")</f>
        <v>SaveCalculatedPreferences</v>
      </c>
      <c r="C122" t="str">
        <f>IFERROR(__xludf.DUMMYFUNCTION("""COMPUTED_VALUE"""),"Undefined")</f>
        <v>Undefined</v>
      </c>
    </row>
    <row r="123" ht="15.75" customHeight="1">
      <c r="A123" t="str">
        <f>IFERROR(__xludf.DUMMYFUNCTION("""COMPUTED_VALUE"""),"GeneralLedger")</f>
        <v>GeneralLedger</v>
      </c>
      <c r="B123" t="str">
        <f>IFERROR(__xludf.DUMMYFUNCTION("""COMPUTED_VALUE"""),"VerifyOpeningBalanceData")</f>
        <v>VerifyOpeningBalanceData</v>
      </c>
      <c r="C123" t="str">
        <f>IFERROR(__xludf.DUMMYFUNCTION("""COMPUTED_VALUE"""),"1HBHQimrc8zfoFghmOi00Kyuswkhw5t2zr8z75prYQoU")</f>
        <v>1HBHQimrc8zfoFghmOi00Kyuswkhw5t2zr8z75prYQoU</v>
      </c>
    </row>
    <row r="124" ht="15.75" customHeight="1">
      <c r="A124" t="str">
        <f>IFERROR(__xludf.DUMMYFUNCTION("""COMPUTED_VALUE"""),"GeneralLedger")</f>
        <v>GeneralLedger</v>
      </c>
      <c r="B124" t="str">
        <f>IFERROR(__xludf.DUMMYFUNCTION("""COMPUTED_VALUE"""),"SelectOpeningBalanceTransaction")</f>
        <v>SelectOpeningBalanceTransaction</v>
      </c>
      <c r="C124" t="str">
        <f>IFERROR(__xludf.DUMMYFUNCTION("""COMPUTED_VALUE"""),"1hRgqQ_8KWjDa-IhDaI4dj4DIa-LKAF0dtsLGSuRISFg")</f>
        <v>1hRgqQ_8KWjDa-IhDaI4dj4DIa-LKAF0dtsLGSuRISFg</v>
      </c>
    </row>
    <row r="125" ht="15.75" customHeight="1">
      <c r="A125" t="str">
        <f>IFERROR(__xludf.DUMMYFUNCTION("""COMPUTED_VALUE"""),"TradingTicket")</f>
        <v>TradingTicket</v>
      </c>
      <c r="B125" t="str">
        <f>IFERROR(__xludf.DUMMYFUNCTION("""COMPUTED_VALUE"""),"CreateStageOrder ")</f>
        <v>CreateStageOrder </v>
      </c>
      <c r="C125" t="str">
        <f>IFERROR(__xludf.DUMMYFUNCTION("""COMPUTED_VALUE"""),"1aKdtkgfy-qm5UkM4xEgwsIC2Y0tkkZ2nnlAt2YRyCIY")</f>
        <v>1aKdtkgfy-qm5UkM4xEgwsIC2Y0tkkZ2nnlAt2YRyCIY</v>
      </c>
    </row>
    <row r="126" ht="15.75" customHeight="1">
      <c r="A126" t="str">
        <f>IFERROR(__xludf.DUMMYFUNCTION("""COMPUTED_VALUE"""),"Blotter")</f>
        <v>Blotter</v>
      </c>
      <c r="B126" t="str">
        <f>IFERROR(__xludf.DUMMYFUNCTION("""COMPUTED_VALUE"""),"TransferToUserWorkingSubs")</f>
        <v>TransferToUserWorkingSubs</v>
      </c>
      <c r="C126" t="str">
        <f>IFERROR(__xludf.DUMMYFUNCTION("""COMPUTED_VALUE"""),"1kz2VbYDYVt81r6Crqstq3_e7JPi3pG646PWatn8mPqI")</f>
        <v>1kz2VbYDYVt81r6Crqstq3_e7JPi3pG646PWatn8mPqI</v>
      </c>
    </row>
    <row r="127" ht="15.75" customHeight="1">
      <c r="A127" t="str">
        <f>IFERROR(__xludf.DUMMYFUNCTION("""COMPUTED_VALUE"""),"Blotter")</f>
        <v>Blotter</v>
      </c>
      <c r="B127" t="str">
        <f>IFERROR(__xludf.DUMMYFUNCTION("""COMPUTED_VALUE"""),"CancelWorkingSubs")</f>
        <v>CancelWorkingSubs</v>
      </c>
      <c r="C127" t="str">
        <f>IFERROR(__xludf.DUMMYFUNCTION("""COMPUTED_VALUE"""),"1NBR38i2felKivQP6OhR7WBHM-4rxXfJzcKuENwPKRGE")</f>
        <v>1NBR38i2felKivQP6OhR7WBHM-4rxXfJzcKuENwPKRGE</v>
      </c>
    </row>
    <row r="128" ht="15.75" customHeight="1">
      <c r="A128" t="str">
        <f>IFERROR(__xludf.DUMMYFUNCTION("""COMPUTED_VALUE"""),"Blotter")</f>
        <v>Blotter</v>
      </c>
      <c r="B128" t="str">
        <f>IFERROR(__xludf.DUMMYFUNCTION("""COMPUTED_VALUE"""),"ReplaceWorkingSubs")</f>
        <v>ReplaceWorkingSubs</v>
      </c>
      <c r="C128" t="str">
        <f>IFERROR(__xludf.DUMMYFUNCTION("""COMPUTED_VALUE"""),"1E4shR2SnIPZbHN18xXEMyrgo70wZH3PZ7bsQcZMxqWs")</f>
        <v>1E4shR2SnIPZbHN18xXEMyrgo70wZH3PZ7bsQcZMxqWs</v>
      </c>
    </row>
    <row r="129" ht="15.75" customHeight="1">
      <c r="A129" t="str">
        <f>IFERROR(__xludf.DUMMYFUNCTION("""COMPUTED_VALUE"""),"Expnl")</f>
        <v>Expnl</v>
      </c>
      <c r="B129" t="str">
        <f>IFERROR(__xludf.DUMMYFUNCTION("""COMPUTED_VALUE"""),"UpdateExpnlConfig")</f>
        <v>UpdateExpnlConfig</v>
      </c>
      <c r="C129" t="str">
        <f>IFERROR(__xludf.DUMMYFUNCTION("""COMPUTED_VALUE"""),"1HCFewt-pwGWR5iNNmWN6uvH655SGnG39ZPt3qgn1fzA")</f>
        <v>1HCFewt-pwGWR5iNNmWN6uvH655SGnG39ZPt3qgn1fzA</v>
      </c>
    </row>
    <row r="130" ht="15.75" customHeight="1">
      <c r="A130" t="str">
        <f>IFERROR(__xludf.DUMMYFUNCTION("""COMPUTED_VALUE"""),"Blotter")</f>
        <v>Blotter</v>
      </c>
      <c r="B130" t="str">
        <f>IFERROR(__xludf.DUMMYFUNCTION("""COMPUTED_VALUE"""),"ViewAllocationDetailsWorkingSub")</f>
        <v>ViewAllocationDetailsWorkingSub</v>
      </c>
      <c r="C130" t="str">
        <f>IFERROR(__xludf.DUMMYFUNCTION("""COMPUTED_VALUE"""),"1RIECjeIoo9Ed5LapEOoN4zgF1bqZRnOsbWjnqXuNGVQ")</f>
        <v>1RIECjeIoo9Ed5LapEOoN4zgF1bqZRnOsbWjnqXuNGVQ</v>
      </c>
    </row>
    <row r="131" ht="15.75" customHeight="1">
      <c r="A131" t="str">
        <f>IFERROR(__xludf.DUMMYFUNCTION("""COMPUTED_VALUE"""),"Blotter")</f>
        <v>Blotter</v>
      </c>
      <c r="B131" t="str">
        <f>IFERROR(__xludf.DUMMYFUNCTION("""COMPUTED_VALUE"""),"SelectTradeOnOrderGrid")</f>
        <v>SelectTradeOnOrderGrid</v>
      </c>
      <c r="C131" t="str">
        <f>IFERROR(__xludf.DUMMYFUNCTION("""COMPUTED_VALUE"""),"1G1TzFJzPKFnIeFk1Ygruk-TgZ1E4OzotLzmXkrCfydo")</f>
        <v>1G1TzFJzPKFnIeFk1Ygruk-TgZ1E4OzotLzmXkrCfydo</v>
      </c>
    </row>
    <row r="132" ht="15.75" customHeight="1">
      <c r="A132" t="str">
        <f>IFERROR(__xludf.DUMMYFUNCTION("""COMPUTED_VALUE"""),"Blotter")</f>
        <v>Blotter</v>
      </c>
      <c r="B132" t="str">
        <f>IFERROR(__xludf.DUMMYFUNCTION("""COMPUTED_VALUE"""),"ShowDetailsForAlgoTradeSubOrder")</f>
        <v>ShowDetailsForAlgoTradeSubOrder</v>
      </c>
      <c r="C132" t="str">
        <f>IFERROR(__xludf.DUMMYFUNCTION("""COMPUTED_VALUE"""),"1cs4Fq7TTIBg-0scmlXwevni9dZWkhIRRtH8PFI0zITU")</f>
        <v>1cs4Fq7TTIBg-0scmlXwevni9dZWkhIRRtH8PFI0zITU</v>
      </c>
    </row>
    <row r="133" ht="15.75" customHeight="1">
      <c r="A133" t="str">
        <f>IFERROR(__xludf.DUMMYFUNCTION("""COMPUTED_VALUE"""),"Blotter")</f>
        <v>Blotter</v>
      </c>
      <c r="B133" t="str">
        <f>IFERROR(__xludf.DUMMYFUNCTION("""COMPUTED_VALUE"""),"SelectTradeOrderBlotter")</f>
        <v>SelectTradeOrderBlotter</v>
      </c>
      <c r="C133" t="str">
        <f>IFERROR(__xludf.DUMMYFUNCTION("""COMPUTED_VALUE"""),"13ynqJyBLiTSOeDNH_88Zy2459I5IbcLrArZ3KrZJcUM")</f>
        <v>13ynqJyBLiTSOeDNH_88Zy2459I5IbcLrArZ3KrZJcUM</v>
      </c>
    </row>
    <row r="134" ht="15.75" customHeight="1">
      <c r="A134" t="str">
        <f>IFERROR(__xludf.DUMMYFUNCTION("""COMPUTED_VALUE"""),"Blotter")</f>
        <v>Blotter</v>
      </c>
      <c r="B134" t="str">
        <f>IFERROR(__xludf.DUMMYFUNCTION("""COMPUTED_VALUE"""),"AddFillsWorkingSubs")</f>
        <v>AddFillsWorkingSubs</v>
      </c>
      <c r="C134" t="str">
        <f>IFERROR(__xludf.DUMMYFUNCTION("""COMPUTED_VALUE"""),"1QMJ1EeGqZUMPaentiXmY-qZo0nib_XUvbEJJUqCu54s")</f>
        <v>1QMJ1EeGqZUMPaentiXmY-qZo0nib_XUvbEJJUqCu54s</v>
      </c>
    </row>
    <row r="135" ht="15.75" customHeight="1">
      <c r="A135" t="str">
        <f>IFERROR(__xludf.DUMMYFUNCTION("""COMPUTED_VALUE"""),"Blotter")</f>
        <v>Blotter</v>
      </c>
      <c r="B135" t="str">
        <f>IFERROR(__xludf.DUMMYFUNCTION("""COMPUTED_VALUE"""),"EditAddFillsDetails")</f>
        <v>EditAddFillsDetails</v>
      </c>
      <c r="C135" t="str">
        <f>IFERROR(__xludf.DUMMYFUNCTION("""COMPUTED_VALUE"""),"1E-tAvpWCMvH1-L2VgrY-CsAMjjQbseS53lRaadteqY4")</f>
        <v>1E-tAvpWCMvH1-L2VgrY-CsAMjjQbseS53lRaadteqY4</v>
      </c>
    </row>
    <row r="136" ht="15.75" customHeight="1">
      <c r="A136" t="str">
        <f>IFERROR(__xludf.DUMMYFUNCTION("""COMPUTED_VALUE"""),"Blotter")</f>
        <v>Blotter</v>
      </c>
      <c r="B136" t="str">
        <f>IFERROR(__xludf.DUMMYFUNCTION("""COMPUTED_VALUE"""),"ShowDetailsForAlgoTradeWorkingSubs")</f>
        <v>ShowDetailsForAlgoTradeWorkingSubs</v>
      </c>
      <c r="C136" t="str">
        <f>IFERROR(__xludf.DUMMYFUNCTION("""COMPUTED_VALUE"""),"1MW6UTBXJ6_4nEgZhz-2VRPEBOcOGahWTNBaogUf-_90")</f>
        <v>1MW6UTBXJ6_4nEgZhz-2VRPEBOcOGahWTNBaogUf-_90</v>
      </c>
    </row>
    <row r="137" ht="15.75" customHeight="1">
      <c r="A137" t="str">
        <f>IFERROR(__xludf.DUMMYFUNCTION("""COMPUTED_VALUE"""),"Closing")</f>
        <v>Closing</v>
      </c>
      <c r="B137" t="str">
        <f>IFERROR(__xludf.DUMMYFUNCTION("""COMPUTED_VALUE"""),"SwapExpire")</f>
        <v>SwapExpire</v>
      </c>
      <c r="C137" t="str">
        <f>IFERROR(__xludf.DUMMYFUNCTION("""COMPUTED_VALUE"""),"1sPvrowwTQsK7O1mUC-eQeJJSEgA9er_TCbHzyMsToxw")</f>
        <v>1sPvrowwTQsK7O1mUC-eQeJJSEgA9er_TCbHzyMsToxw</v>
      </c>
    </row>
    <row r="138" ht="15.75" customHeight="1">
      <c r="A138" t="str">
        <f>IFERROR(__xludf.DUMMYFUNCTION("""COMPUTED_VALUE"""),"Blotter")</f>
        <v>Blotter</v>
      </c>
      <c r="B138" t="str">
        <f>IFERROR(__xludf.DUMMYFUNCTION("""COMPUTED_VALUE"""),"VerifyWorkingSubs")</f>
        <v>VerifyWorkingSubs</v>
      </c>
      <c r="C138" t="str">
        <f>IFERROR(__xludf.DUMMYFUNCTION("""COMPUTED_VALUE"""),"13McK_2eAGLCT-zvjQjNR2TNP5foe4OzipdCTy1LibIk")</f>
        <v>13McK_2eAGLCT-zvjQjNR2TNP5foe4OzipdCTy1LibIk</v>
      </c>
    </row>
    <row r="139" ht="15.75" customHeight="1">
      <c r="A139" t="str">
        <f>IFERROR(__xludf.DUMMYFUNCTION("""COMPUTED_VALUE"""),"Blotter")</f>
        <v>Blotter</v>
      </c>
      <c r="B139" t="str">
        <f>IFERROR(__xludf.DUMMYFUNCTION("""COMPUTED_VALUE"""),"TransferToUserOrder")</f>
        <v>TransferToUserOrder</v>
      </c>
      <c r="C139" t="str">
        <f>IFERROR(__xludf.DUMMYFUNCTION("""COMPUTED_VALUE"""),"11uZx-CaSQ01yGgtab77kdvBCGN1nOo3g0k8Bw5WqjZg")</f>
        <v>11uZx-CaSQ01yGgtab77kdvBCGN1nOo3g0k8Bw5WqjZg</v>
      </c>
    </row>
    <row r="140" ht="15.75" customHeight="1">
      <c r="A140" t="str">
        <f>IFERROR(__xludf.DUMMYFUNCTION("""COMPUTED_VALUE"""),"Allocation")</f>
        <v>Allocation</v>
      </c>
      <c r="B140" t="str">
        <f>IFERROR(__xludf.DUMMYFUNCTION("""COMPUTED_VALUE"""),"CloseCalculatedPreferences")</f>
        <v>CloseCalculatedPreferences</v>
      </c>
      <c r="C140" t="str">
        <f>IFERROR(__xludf.DUMMYFUNCTION("""COMPUTED_VALUE"""),"Undefined")</f>
        <v>Undefined</v>
      </c>
    </row>
    <row r="141" ht="15.75" customHeight="1">
      <c r="A141" t="str">
        <f>IFERROR(__xludf.DUMMYFUNCTION("""COMPUTED_VALUE"""),"TradingTicket")</f>
        <v>TradingTicket</v>
      </c>
      <c r="B141" t="str">
        <f>IFERROR(__xludf.DUMMYFUNCTION("""COMPUTED_VALUE"""),"CreateReplaceOrder")</f>
        <v>CreateReplaceOrder</v>
      </c>
      <c r="C141" t="str">
        <f>IFERROR(__xludf.DUMMYFUNCTION("""COMPUTED_VALUE"""),"1yur8pXg-NhCMSD11wSVwvv0Fez2TUQp9ujOOBjwd3Us")</f>
        <v>1yur8pXg-NhCMSD11wSVwvv0Fez2TUQp9ujOOBjwd3Us</v>
      </c>
    </row>
    <row r="142" ht="15.75" customHeight="1">
      <c r="A142" t="str">
        <f>IFERROR(__xludf.DUMMYFUNCTION("""COMPUTED_VALUE"""),"Blotter")</f>
        <v>Blotter</v>
      </c>
      <c r="B142" t="str">
        <f>IFERROR(__xludf.DUMMYFUNCTION("""COMPUTED_VALUE"""),"EditOrder")</f>
        <v>EditOrder</v>
      </c>
      <c r="C142" t="str">
        <f>IFERROR(__xludf.DUMMYFUNCTION("""COMPUTED_VALUE"""),"1lKZmmIgqPZZBJtNH48lLmgj0q9ec1_4IPwkMjm00z-8")</f>
        <v>1lKZmmIgqPZZBJtNH48lLmgj0q9ec1_4IPwkMjm00z-8</v>
      </c>
    </row>
    <row r="143" ht="15.75" customHeight="1">
      <c r="A143" t="str">
        <f>IFERROR(__xludf.DUMMYFUNCTION("""COMPUTED_VALUE"""),"Blotter")</f>
        <v>Blotter</v>
      </c>
      <c r="B143" t="str">
        <f>IFERROR(__xludf.DUMMYFUNCTION("""COMPUTED_VALUE"""),"SelectTradeSubOrderBlotter")</f>
        <v>SelectTradeSubOrderBlotter</v>
      </c>
      <c r="C143" t="str">
        <f>IFERROR(__xludf.DUMMYFUNCTION("""COMPUTED_VALUE"""),"19D1UAVXlfPtqeFEBJfut55kr89Eu_txYvrbwbDEzF8Y")</f>
        <v>19D1UAVXlfPtqeFEBJfut55kr89Eu_txYvrbwbDEzF8Y</v>
      </c>
    </row>
    <row r="144" ht="15.75" customHeight="1">
      <c r="A144" t="str">
        <f>IFERROR(__xludf.DUMMYFUNCTION("""COMPUTED_VALUE"""),"Blotter")</f>
        <v>Blotter</v>
      </c>
      <c r="B144" t="str">
        <f>IFERROR(__xludf.DUMMYFUNCTION("""COMPUTED_VALUE"""),"VerifyOrder")</f>
        <v>VerifyOrder</v>
      </c>
      <c r="C144" t="str">
        <f>IFERROR(__xludf.DUMMYFUNCTION("""COMPUTED_VALUE"""),"19Sn1yI9trlccQAGFXG-Y-afytOt_KfoVnPQzvl6XROo")</f>
        <v>19Sn1yI9trlccQAGFXG-Y-afytOt_KfoVnPQzvl6XROo</v>
      </c>
    </row>
    <row r="145" ht="15.75" customHeight="1">
      <c r="A145" t="str">
        <f>IFERROR(__xludf.DUMMYFUNCTION("""COMPUTED_VALUE"""),"Blotter")</f>
        <v>Blotter</v>
      </c>
      <c r="B145" t="str">
        <f>IFERROR(__xludf.DUMMYFUNCTION("""COMPUTED_VALUE"""),"VerifySubOrder")</f>
        <v>VerifySubOrder</v>
      </c>
      <c r="C145" t="str">
        <f>IFERROR(__xludf.DUMMYFUNCTION("""COMPUTED_VALUE"""),"1Sju_rkEX7ClHISzkl9UFKNY6k_5t_S0tdxtpZAnXpqg")</f>
        <v>1Sju_rkEX7ClHISzkl9UFKNY6k_5t_S0tdxtpZAnXpqg</v>
      </c>
    </row>
    <row r="146" ht="15.75" customHeight="1">
      <c r="A146" t="str">
        <f>IFERROR(__xludf.DUMMYFUNCTION("""COMPUTED_VALUE"""),"Blotter")</f>
        <v>Blotter</v>
      </c>
      <c r="B146" t="str">
        <f>IFERROR(__xludf.DUMMYFUNCTION("""COMPUTED_VALUE"""),"RemoveSelectedOrders")</f>
        <v>RemoveSelectedOrders</v>
      </c>
      <c r="C146" t="str">
        <f>IFERROR(__xludf.DUMMYFUNCTION("""COMPUTED_VALUE"""),"1hMVNdo4B8WswaauY8yqbHmt3Wx_NMRxgdB2vow1p5ag")</f>
        <v>1hMVNdo4B8WswaauY8yqbHmt3Wx_NMRxgdB2vow1p5ag</v>
      </c>
    </row>
    <row r="147" ht="15.75" customHeight="1">
      <c r="A147" t="str">
        <f>IFERROR(__xludf.DUMMYFUNCTION("""COMPUTED_VALUE"""),"Blotter")</f>
        <v>Blotter</v>
      </c>
      <c r="B147" t="str">
        <f>IFERROR(__xludf.DUMMYFUNCTION("""COMPUTED_VALUE"""),"CancelAllSelectedSubs")</f>
        <v>CancelAllSelectedSubs</v>
      </c>
      <c r="C147" t="str">
        <f>IFERROR(__xludf.DUMMYFUNCTION("""COMPUTED_VALUE"""),"17hK-yfN8xD8Jmg_FY__Qc7iyqgJ_SEvFr4VPoKbeMwA")</f>
        <v>17hK-yfN8xD8Jmg_FY__Qc7iyqgJ_SEvFr4VPoKbeMwA</v>
      </c>
    </row>
    <row r="148" ht="15.75" customHeight="1">
      <c r="A148" t="str">
        <f>IFERROR(__xludf.DUMMYFUNCTION("""COMPUTED_VALUE"""),"Blotter")</f>
        <v>Blotter</v>
      </c>
      <c r="B148" t="str">
        <f>IFERROR(__xludf.DUMMYFUNCTION("""COMPUTED_VALUE"""),"MultiTradingTicket")</f>
        <v>MultiTradingTicket</v>
      </c>
      <c r="C148" t="str">
        <f>IFERROR(__xludf.DUMMYFUNCTION("""COMPUTED_VALUE"""),"1PVfLR7ICBE01CuxIYtMmaiNL2Kh672bUXBCbt4UzQ6o")</f>
        <v>1PVfLR7ICBE01CuxIYtMmaiNL2Kh672bUXBCbt4UzQ6o</v>
      </c>
    </row>
    <row r="149" ht="15.75" customHeight="1">
      <c r="A149" t="str">
        <f>IFERROR(__xludf.DUMMYFUNCTION("""COMPUTED_VALUE"""),"Blotter")</f>
        <v>Blotter</v>
      </c>
      <c r="B149" t="str">
        <f>IFERROR(__xludf.DUMMYFUNCTION("""COMPUTED_VALUE"""),"AuditTrailOrderBlotter")</f>
        <v>AuditTrailOrderBlotter</v>
      </c>
      <c r="C149" t="str">
        <f>IFERROR(__xludf.DUMMYFUNCTION("""COMPUTED_VALUE"""),"160g9HJhQPDPrb5GQ9yBr07xujKJVYwd9MqM5deuYRdg")</f>
        <v>160g9HJhQPDPrb5GQ9yBr07xujKJVYwd9MqM5deuYRdg</v>
      </c>
    </row>
    <row r="150" ht="15.75" customHeight="1">
      <c r="A150" t="str">
        <f>IFERROR(__xludf.DUMMYFUNCTION("""COMPUTED_VALUE"""),"Blotter")</f>
        <v>Blotter</v>
      </c>
      <c r="B150" t="str">
        <f>IFERROR(__xludf.DUMMYFUNCTION("""COMPUTED_VALUE"""),"TradeNewSubOrder")</f>
        <v>TradeNewSubOrder</v>
      </c>
      <c r="C150" t="str">
        <f>IFERROR(__xludf.DUMMYFUNCTION("""COMPUTED_VALUE"""),"1Y0fnfatmthYmvzL4CE2DD2fnb5XpxasaQ-eFA8AHZZQ")</f>
        <v>1Y0fnfatmthYmvzL4CE2DD2fnb5XpxasaQ-eFA8AHZZQ</v>
      </c>
    </row>
    <row r="151" ht="15.75" customHeight="1">
      <c r="A151" t="str">
        <f>IFERROR(__xludf.DUMMYFUNCTION("""COMPUTED_VALUE"""),"Blotter")</f>
        <v>Blotter</v>
      </c>
      <c r="B151" t="str">
        <f>IFERROR(__xludf.DUMMYFUNCTION("""COMPUTED_VALUE"""),"RemoveStageOrder")</f>
        <v>RemoveStageOrder</v>
      </c>
      <c r="C151" t="str">
        <f>IFERROR(__xludf.DUMMYFUNCTION("""COMPUTED_VALUE"""),"1GpKhg0atHUhh5xpcVyJ6Pd3hJZQxWyd6a8oGGx9nPYg")</f>
        <v>1GpKhg0atHUhh5xpcVyJ6Pd3hJZQxWyd6a8oGGx9nPYg</v>
      </c>
    </row>
    <row r="152" ht="15.75" customHeight="1">
      <c r="A152" t="str">
        <f>IFERROR(__xludf.DUMMYFUNCTION("""COMPUTED_VALUE"""),"TradingTicket")</f>
        <v>TradingTicket</v>
      </c>
      <c r="B152" t="str">
        <f>IFERROR(__xludf.DUMMYFUNCTION("""COMPUTED_VALUE"""),"SetGeneralPreference")</f>
        <v>SetGeneralPreference</v>
      </c>
      <c r="C152" t="str">
        <f>IFERROR(__xludf.DUMMYFUNCTION("""COMPUTED_VALUE"""),"1phmh27oiwwsNI8gsVMqQfGGO_0r53sX6ECZYHWcovOo")</f>
        <v>1phmh27oiwwsNI8gsVMqQfGGO_0r53sX6ECZYHWcovOo</v>
      </c>
    </row>
    <row r="153" ht="15.75" customHeight="1">
      <c r="A153" t="str">
        <f>IFERROR(__xludf.DUMMYFUNCTION("""COMPUTED_VALUE"""),"Allocation")</f>
        <v>Allocation</v>
      </c>
      <c r="B153" t="str">
        <f>IFERROR(__xludf.DUMMYFUNCTION("""COMPUTED_VALUE"""),"ExportCalculatedPreference")</f>
        <v>ExportCalculatedPreference</v>
      </c>
      <c r="C153" t="str">
        <f>IFERROR(__xludf.DUMMYFUNCTION("""COMPUTED_VALUE"""),"14Z9mQRGA079RUxIVwyD7PLJFHYiOWiv2B-Al2lvfB3o")</f>
        <v>14Z9mQRGA079RUxIVwyD7PLJFHYiOWiv2B-Al2lvfB3o</v>
      </c>
    </row>
    <row r="154" ht="15.75" customHeight="1">
      <c r="A154" t="str">
        <f>IFERROR(__xludf.DUMMYFUNCTION("""COMPUTED_VALUE"""),"GeneralLedger")</f>
        <v>GeneralLedger</v>
      </c>
      <c r="B154" t="str">
        <f>IFERROR(__xludf.DUMMYFUNCTION("""COMPUTED_VALUE"""),"SelectOpeningBalanceTranItem")</f>
        <v>SelectOpeningBalanceTranItem</v>
      </c>
      <c r="C154" t="str">
        <f>IFERROR(__xludf.DUMMYFUNCTION("""COMPUTED_VALUE"""),"1hBeOAPWx6TCdJJCI4w8uFuWHTAtyZoYxMjU6EsfNFEk")</f>
        <v>1hBeOAPWx6TCdJJCI4w8uFuWHTAtyZoYxMjU6EsfNFEk</v>
      </c>
    </row>
    <row r="155" ht="15.75" customHeight="1">
      <c r="A155" t="str">
        <f>IFERROR(__xludf.DUMMYFUNCTION("""COMPUTED_VALUE"""),"PricingInput")</f>
        <v>PricingInput</v>
      </c>
      <c r="B155" t="str">
        <f>IFERROR(__xludf.DUMMYFUNCTION("""COMPUTED_VALUE"""),"EODTPreferences")</f>
        <v>EODTPreferences</v>
      </c>
      <c r="C155" t="str">
        <f>IFERROR(__xludf.DUMMYFUNCTION("""COMPUTED_VALUE"""),"1fFcmVLJC1pdRtoDEYUpc-7PqDqHrSB9eszanKXDSJj4")</f>
        <v>1fFcmVLJC1pdRtoDEYUpc-7PqDqHrSB9eszanKXDSJj4</v>
      </c>
    </row>
    <row r="156" ht="15.75" customHeight="1">
      <c r="A156" t="str">
        <f>IFERROR(__xludf.DUMMYFUNCTION("""COMPUTED_VALUE"""),"PricingInput")</f>
        <v>PricingInput</v>
      </c>
      <c r="B156" t="str">
        <f>IFERROR(__xludf.DUMMYFUNCTION("""COMPUTED_VALUE"""),"LiveData")</f>
        <v>LiveData</v>
      </c>
      <c r="C156" t="str">
        <f>IFERROR(__xludf.DUMMYFUNCTION("""COMPUTED_VALUE"""),"1YOGzCbzwMOUWi6IInIaMz0zG1USfIA94aG1uJB_CI08")</f>
        <v>1YOGzCbzwMOUWi6IInIaMz0zG1USfIA94aG1uJB_CI08</v>
      </c>
    </row>
    <row r="157" ht="15.75" customHeight="1">
      <c r="A157" t="str">
        <f>IFERROR(__xludf.DUMMYFUNCTION("""COMPUTED_VALUE"""),"GeneralLedger")</f>
        <v>GeneralLedger</v>
      </c>
      <c r="B157" t="str">
        <f>IFERROR(__xludf.DUMMYFUNCTION("""COMPUTED_VALUE"""),"EditNonTradingTransaction")</f>
        <v>EditNonTradingTransaction</v>
      </c>
      <c r="C157" t="str">
        <f>IFERROR(__xludf.DUMMYFUNCTION("""COMPUTED_VALUE"""),"1QNAooZZRVTav0dvHEE8XpPUSKYVTrEIX2ZnajpipHy4")</f>
        <v>1QNAooZZRVTav0dvHEE8XpPUSKYVTrEIX2ZnajpipHy4</v>
      </c>
    </row>
    <row r="158" ht="15.75" customHeight="1">
      <c r="A158" t="str">
        <f>IFERROR(__xludf.DUMMYFUNCTION("""COMPUTED_VALUE"""),"GeneralLedger")</f>
        <v>GeneralLedger</v>
      </c>
      <c r="B158" t="str">
        <f>IFERROR(__xludf.DUMMYFUNCTION("""COMPUTED_VALUE"""),"EditNonTradingTranItem")</f>
        <v>EditNonTradingTranItem</v>
      </c>
      <c r="C158" t="str">
        <f>IFERROR(__xludf.DUMMYFUNCTION("""COMPUTED_VALUE"""),"1QcdF9vMihakzH2FxKv9Cpbj_RQbRL9ekc6YNTmX1z84")</f>
        <v>1QcdF9vMihakzH2FxKv9Cpbj_RQbRL9ekc6YNTmX1z84</v>
      </c>
    </row>
    <row r="159" ht="15.75" customHeight="1">
      <c r="A159" t="str">
        <f>IFERROR(__xludf.DUMMYFUNCTION("""COMPUTED_VALUE"""),"GeneralLedger")</f>
        <v>GeneralLedger</v>
      </c>
      <c r="B159" t="str">
        <f>IFERROR(__xludf.DUMMYFUNCTION("""COMPUTED_VALUE"""),"DeleteOpeningBalanceTransaction")</f>
        <v>DeleteOpeningBalanceTransaction</v>
      </c>
      <c r="C159" t="str">
        <f>IFERROR(__xludf.DUMMYFUNCTION("""COMPUTED_VALUE"""),"1rgAbCdFrwIQMzfUdq_wtSIftaHjcPOpcYLMOv57yFm8")</f>
        <v>1rgAbCdFrwIQMzfUdq_wtSIftaHjcPOpcYLMOv57yFm8</v>
      </c>
    </row>
    <row r="160" ht="15.75" customHeight="1">
      <c r="A160" t="str">
        <f>IFERROR(__xludf.DUMMYFUNCTION("""COMPUTED_VALUE"""),"GeneralLedger")</f>
        <v>GeneralLedger</v>
      </c>
      <c r="B160" t="str">
        <f>IFERROR(__xludf.DUMMYFUNCTION("""COMPUTED_VALUE"""),"DeleteOpeningBalanceTranItem")</f>
        <v>DeleteOpeningBalanceTranItem</v>
      </c>
      <c r="C160" t="str">
        <f>IFERROR(__xludf.DUMMYFUNCTION("""COMPUTED_VALUE"""),"1c_LKV6zddYnZbIaXjB1YR41mZ4nlWwdD8Utip2o4gCE")</f>
        <v>1c_LKV6zddYnZbIaXjB1YR41mZ4nlWwdD8Utip2o4gCE</v>
      </c>
    </row>
    <row r="161" ht="15.75" customHeight="1">
      <c r="A161" t="str">
        <f>IFERROR(__xludf.DUMMYFUNCTION("""COMPUTED_VALUE"""),"Allocation")</f>
        <v>Allocation</v>
      </c>
      <c r="B161" t="str">
        <f>IFERROR(__xludf.DUMMYFUNCTION("""COMPUTED_VALUE"""),"ImportCalculatedPreferences")</f>
        <v>ImportCalculatedPreferences</v>
      </c>
      <c r="C161" t="str">
        <f>IFERROR(__xludf.DUMMYFUNCTION("""COMPUTED_VALUE"""),"1UBqDSoxtrz7S7kPHKAv-U3PIbDLOoqvMVk2ePCXS3JI")</f>
        <v>1UBqDSoxtrz7S7kPHKAv-U3PIbDLOoqvMVk2ePCXS3JI</v>
      </c>
    </row>
    <row r="162" ht="15.75" customHeight="1">
      <c r="A162" t="str">
        <f>IFERROR(__xludf.DUMMYFUNCTION("""COMPUTED_VALUE"""),"GeneralLedger")</f>
        <v>GeneralLedger</v>
      </c>
      <c r="B162" t="str">
        <f>IFERROR(__xludf.DUMMYFUNCTION("""COMPUTED_VALUE"""),"GetDayEndCash")</f>
        <v>GetDayEndCash</v>
      </c>
      <c r="C162" t="str">
        <f>IFERROR(__xludf.DUMMYFUNCTION("""COMPUTED_VALUE"""),"1ezlJO3ad1pj8tG7Y13sk4HHPJQqXBEeDnF4yFfqk2vE")</f>
        <v>1ezlJO3ad1pj8tG7Y13sk4HHPJQqXBEeDnF4yFfqk2vE</v>
      </c>
    </row>
    <row r="163" ht="15.75" customHeight="1">
      <c r="A163" t="str">
        <f>IFERROR(__xludf.DUMMYFUNCTION("""COMPUTED_VALUE"""),"GeneralLedger")</f>
        <v>GeneralLedger</v>
      </c>
      <c r="B163" t="str">
        <f>IFERROR(__xludf.DUMMYFUNCTION("""COMPUTED_VALUE"""),"VerifyDayEndCash")</f>
        <v>VerifyDayEndCash</v>
      </c>
      <c r="C163" t="str">
        <f>IFERROR(__xludf.DUMMYFUNCTION("""COMPUTED_VALUE"""),"12Egp-BXTkbQ_7GUw6K5R9vN0h1cCWX33r9TLwUnfo74")</f>
        <v>12Egp-BXTkbQ_7GUw6K5R9vN0h1cCWX33r9TLwUnfo74</v>
      </c>
    </row>
    <row r="164" ht="15.75" customHeight="1">
      <c r="A164" t="str">
        <f>IFERROR(__xludf.DUMMYFUNCTION("""COMPUTED_VALUE"""),"Allocation")</f>
        <v>Allocation</v>
      </c>
      <c r="B164" t="str">
        <f>IFERROR(__xludf.DUMMYFUNCTION("""COMPUTED_VALUE"""),"OpenAuditTrailUnallocatedGroup")</f>
        <v>OpenAuditTrailUnallocatedGroup</v>
      </c>
      <c r="C164" t="str">
        <f>IFERROR(__xludf.DUMMYFUNCTION("""COMPUTED_VALUE"""),"1-L0ACZJpBrZm_Mt6lp10r-l8qiO2nDijPY7e0lp1axM")</f>
        <v>1-L0ACZJpBrZm_Mt6lp10r-l8qiO2nDijPY7e0lp1axM</v>
      </c>
    </row>
    <row r="165" ht="15.75" customHeight="1">
      <c r="A165" t="str">
        <f>IFERROR(__xludf.DUMMYFUNCTION("""COMPUTED_VALUE"""),"Allocation")</f>
        <v>Allocation</v>
      </c>
      <c r="B165" t="str">
        <f>IFERROR(__xludf.DUMMYFUNCTION("""COMPUTED_VALUE"""),"DeleteCalculatedPreferencesTool")</f>
        <v>DeleteCalculatedPreferencesTool</v>
      </c>
      <c r="C165" t="str">
        <f>IFERROR(__xludf.DUMMYFUNCTION("""COMPUTED_VALUE"""),"1_jVpPpMklRkZw3q0WK9yD6CZ9UKHrIwt5zxC5U9dRcg")</f>
        <v>1_jVpPpMklRkZw3q0WK9yD6CZ9UKHrIwt5zxC5U9dRcg</v>
      </c>
    </row>
    <row r="166" ht="15.75" customHeight="1">
      <c r="A166" t="str">
        <f>IFERROR(__xludf.DUMMYFUNCTION("""COMPUTED_VALUE"""),"Allocation")</f>
        <v>Allocation</v>
      </c>
      <c r="B166" t="str">
        <f>IFERROR(__xludf.DUMMYFUNCTION("""COMPUTED_VALUE"""),"ImportCalculatedPreferencesTool")</f>
        <v>ImportCalculatedPreferencesTool</v>
      </c>
      <c r="C166" t="str">
        <f>IFERROR(__xludf.DUMMYFUNCTION("""COMPUTED_VALUE"""),"15cvdIe75lDUXBGGMjjwC10U3pS8MfyoIe2lkeVTiz4Q")</f>
        <v>15cvdIe75lDUXBGGMjjwC10U3pS8MfyoIe2lkeVTiz4Q</v>
      </c>
    </row>
    <row r="167" ht="15.75" customHeight="1">
      <c r="A167" t="str">
        <f>IFERROR(__xludf.DUMMYFUNCTION("""COMPUTED_VALUE"""),"GeneralLedger")</f>
        <v>GeneralLedger</v>
      </c>
      <c r="B167" t="str">
        <f>IFERROR(__xludf.DUMMYFUNCTION("""COMPUTED_VALUE"""),"RunRevaluation")</f>
        <v>RunRevaluation</v>
      </c>
      <c r="C167" t="str">
        <f>IFERROR(__xludf.DUMMYFUNCTION("""COMPUTED_VALUE"""),"1CTkEDNwBtXXECS37_3g9vrTE1pbqsU-d8nKU-xj6BH8")</f>
        <v>1CTkEDNwBtXXECS37_3g9vrTE1pbqsU-d8nKU-xj6BH8</v>
      </c>
    </row>
    <row r="168" ht="15.75" customHeight="1">
      <c r="A168" t="str">
        <f>IFERROR(__xludf.DUMMYFUNCTION("""COMPUTED_VALUE"""),"GeneralLedger")</f>
        <v>GeneralLedger</v>
      </c>
      <c r="B168" t="str">
        <f>IFERROR(__xludf.DUMMYFUNCTION("""COMPUTED_VALUE"""),"CalculateDayEndCash")</f>
        <v>CalculateDayEndCash</v>
      </c>
      <c r="C168" t="str">
        <f>IFERROR(__xludf.DUMMYFUNCTION("""COMPUTED_VALUE"""),"Undefined")</f>
        <v>Undefined</v>
      </c>
    </row>
    <row r="169" ht="15.75" customHeight="1">
      <c r="A169" t="str">
        <f>IFERROR(__xludf.DUMMYFUNCTION("""COMPUTED_VALUE"""),"Allocation")</f>
        <v>Allocation</v>
      </c>
      <c r="B169" t="str">
        <f>IFERROR(__xludf.DUMMYFUNCTION("""COMPUTED_VALUE"""),"ExportAllCalculatedPreferTool")</f>
        <v>ExportAllCalculatedPreferTool</v>
      </c>
      <c r="C169" t="str">
        <f>IFERROR(__xludf.DUMMYFUNCTION("""COMPUTED_VALUE"""),"19sktX0w4yHgQ6O1tvExgZzeUqcWIZA12C1zB18Be3Eg")</f>
        <v>19sktX0w4yHgQ6O1tvExgZzeUqcWIZA12C1zB18Be3Eg</v>
      </c>
    </row>
    <row r="170" ht="15.75" customHeight="1">
      <c r="A170" t="str">
        <f>IFERROR(__xludf.DUMMYFUNCTION("""COMPUTED_VALUE"""),"Allocation")</f>
        <v>Allocation</v>
      </c>
      <c r="B170" t="str">
        <f>IFERROR(__xludf.DUMMYFUNCTION("""COMPUTED_VALUE"""),"OpenAuditTrailAllocatedGroup")</f>
        <v>OpenAuditTrailAllocatedGroup</v>
      </c>
      <c r="C170" t="str">
        <f>IFERROR(__xludf.DUMMYFUNCTION("""COMPUTED_VALUE"""),"1tY0ONne4e_DLk01CP3Yr8PFqkHW7CN5Tcrdg_aTfyIc")</f>
        <v>1tY0ONne4e_DLk01CP3Yr8PFqkHW7CN5Tcrdg_aTfyIc</v>
      </c>
    </row>
    <row r="171" ht="15.75" customHeight="1">
      <c r="A171" t="str">
        <f>IFERROR(__xludf.DUMMYFUNCTION("""COMPUTED_VALUE"""),"Allocation")</f>
        <v>Allocation</v>
      </c>
      <c r="B171" t="str">
        <f>IFERROR(__xludf.DUMMYFUNCTION("""COMPUTED_VALUE"""),"OpenSymbolLookupUnallocateGroup")</f>
        <v>OpenSymbolLookupUnallocateGroup</v>
      </c>
      <c r="C171" t="str">
        <f>IFERROR(__xludf.DUMMYFUNCTION("""COMPUTED_VALUE"""),"1VgMLGfez9GRGMaP1WjU16fe-0tqNQm6Q4avE33EcOYY")</f>
        <v>1VgMLGfez9GRGMaP1WjU16fe-0tqNQm6Q4avE33EcOYY</v>
      </c>
    </row>
    <row r="172" ht="15.75" customHeight="1">
      <c r="A172" t="str">
        <f>IFERROR(__xludf.DUMMYFUNCTION("""COMPUTED_VALUE"""),"Allocation")</f>
        <v>Allocation</v>
      </c>
      <c r="B172" t="str">
        <f>IFERROR(__xludf.DUMMYFUNCTION("""COMPUTED_VALUE"""),"OpenSymbolLookupAllocatedGroup")</f>
        <v>OpenSymbolLookupAllocatedGroup</v>
      </c>
      <c r="C172" t="str">
        <f>IFERROR(__xludf.DUMMYFUNCTION("""COMPUTED_VALUE"""),"1UlD88MnL7cRrdpAs0oIY4CgiqqPAt6rG1QINQRoIUk0")</f>
        <v>1UlD88MnL7cRrdpAs0oIY4CgiqqPAt6rG1QINQRoIUk0</v>
      </c>
    </row>
    <row r="173" ht="15.75" customHeight="1">
      <c r="A173" t="str">
        <f>IFERROR(__xludf.DUMMYFUNCTION("""COMPUTED_VALUE"""),"Allocation")</f>
        <v>Allocation</v>
      </c>
      <c r="B173" t="str">
        <f>IFERROR(__xludf.DUMMYFUNCTION("""COMPUTED_VALUE"""),"DeleteFixedPreference")</f>
        <v>DeleteFixedPreference</v>
      </c>
      <c r="C173" t="str">
        <f>IFERROR(__xludf.DUMMYFUNCTION("""COMPUTED_VALUE"""),"1QuxQdRwCQLhQmIE-7ojQHbkfi3GduKopw_zRf7x4Z8k")</f>
        <v>1QuxQdRwCQLhQmIE-7ojQHbkfi3GduKopw_zRf7x4Z8k</v>
      </c>
    </row>
    <row r="174" ht="15.75" customHeight="1">
      <c r="A174" t="str">
        <f>IFERROR(__xludf.DUMMYFUNCTION("""COMPUTED_VALUE"""),"Blotter")</f>
        <v>Blotter</v>
      </c>
      <c r="B174" t="str">
        <f>IFERROR(__xludf.DUMMYFUNCTION("""COMPUTED_VALUE"""),"TransferToUserSubOrder")</f>
        <v>TransferToUserSubOrder</v>
      </c>
      <c r="C174" t="str">
        <f>IFERROR(__xludf.DUMMYFUNCTION("""COMPUTED_VALUE"""),"1hwATfGdtmHElWfysPQ8SoqtQYGAONa4CD5KGPnZG3g0")</f>
        <v>1hwATfGdtmHElWfysPQ8SoqtQYGAONa4CD5KGPnZG3g0</v>
      </c>
    </row>
    <row r="175" ht="15.75" customHeight="1">
      <c r="A175" t="str">
        <f>IFERROR(__xludf.DUMMYFUNCTION("""COMPUTED_VALUE"""),"Blotter")</f>
        <v>Blotter</v>
      </c>
      <c r="B175" t="str">
        <f>IFERROR(__xludf.DUMMYFUNCTION("""COMPUTED_VALUE"""),"DetailsForAlgoTradeOrder")</f>
        <v>DetailsForAlgoTradeOrder</v>
      </c>
      <c r="C175" t="str">
        <f>IFERROR(__xludf.DUMMYFUNCTION("""COMPUTED_VALUE"""),"1hKsLv5DWOG0nEHHNeqf5DATqVyLmKGNoGDvVEIduyxo")</f>
        <v>1hKsLv5DWOG0nEHHNeqf5DATqVyLmKGNoGDvVEIduyxo</v>
      </c>
    </row>
    <row r="176" ht="15.75" customHeight="1">
      <c r="A176" t="str">
        <f>IFERROR(__xludf.DUMMYFUNCTION("""COMPUTED_VALUE"""),"Blotter")</f>
        <v>Blotter</v>
      </c>
      <c r="B176" t="str">
        <f>IFERROR(__xludf.DUMMYFUNCTION("""COMPUTED_VALUE"""),"AddFillsSubOrder")</f>
        <v>AddFillsSubOrder</v>
      </c>
      <c r="C176" t="str">
        <f>IFERROR(__xludf.DUMMYFUNCTION("""COMPUTED_VALUE"""),"1epH2quBNafssL7JOfzPXsTzTtJ8ZaAHSnA9uKb8qH1U")</f>
        <v>1epH2quBNafssL7JOfzPXsTzTtJ8ZaAHSnA9uKb8qH1U</v>
      </c>
    </row>
    <row r="177" ht="15.75" customHeight="1">
      <c r="A177" t="str">
        <f>IFERROR(__xludf.DUMMYFUNCTION("""COMPUTED_VALUE"""),"Blotter")</f>
        <v>Blotter</v>
      </c>
      <c r="B177" t="str">
        <f>IFERROR(__xludf.DUMMYFUNCTION("""COMPUTED_VALUE"""),"ViewAllocationDetailsSubOrder")</f>
        <v>ViewAllocationDetailsSubOrder</v>
      </c>
      <c r="C177" t="str">
        <f>IFERROR(__xludf.DUMMYFUNCTION("""COMPUTED_VALUE"""),"1WFYL2DkTFjySpR-YYRIeZl8PCVg5VN801r302PFIqUw")</f>
        <v>1WFYL2DkTFjySpR-YYRIeZl8PCVg5VN801r302PFIqUw</v>
      </c>
    </row>
    <row r="178" ht="15.75" customHeight="1">
      <c r="A178" t="str">
        <f>IFERROR(__xludf.DUMMYFUNCTION("""COMPUTED_VALUE"""),"GeneralLedger")</f>
        <v>GeneralLedger</v>
      </c>
      <c r="B178" t="str">
        <f>IFERROR(__xludf.DUMMYFUNCTION("""COMPUTED_VALUE"""),"GetCashTransaction")</f>
        <v>GetCashTransaction</v>
      </c>
      <c r="C178" t="str">
        <f>IFERROR(__xludf.DUMMYFUNCTION("""COMPUTED_VALUE"""),"1eAu5kF0FOdHgLRmmaT6htwYFnDGtrElLVJv94QOc9Jk")</f>
        <v>1eAu5kF0FOdHgLRmmaT6htwYFnDGtrElLVJv94QOc9Jk</v>
      </c>
    </row>
    <row r="179" ht="15.75" customHeight="1">
      <c r="A179" t="str">
        <f>IFERROR(__xludf.DUMMYFUNCTION("""COMPUTED_VALUE"""),"GeneralLedger")</f>
        <v>GeneralLedger</v>
      </c>
      <c r="B179" t="str">
        <f>IFERROR(__xludf.DUMMYFUNCTION("""COMPUTED_VALUE"""),"SelectCashTransaction")</f>
        <v>SelectCashTransaction</v>
      </c>
      <c r="C179" t="str">
        <f>IFERROR(__xludf.DUMMYFUNCTION("""COMPUTED_VALUE"""),"1-JkpHPUP1cA_3kQbZkuY7fNLf2ujwn0GGAXQYg9Q3cs")</f>
        <v>1-JkpHPUP1cA_3kQbZkuY7fNLf2ujwn0GGAXQYg9Q3cs</v>
      </c>
    </row>
    <row r="180" ht="15.75" customHeight="1">
      <c r="A180" t="str">
        <f>IFERROR(__xludf.DUMMYFUNCTION("""COMPUTED_VALUE"""),"GeneralLedger")</f>
        <v>GeneralLedger</v>
      </c>
      <c r="B180" t="str">
        <f>IFERROR(__xludf.DUMMYFUNCTION("""COMPUTED_VALUE"""),"DeleteCashTransaction")</f>
        <v>DeleteCashTransaction</v>
      </c>
      <c r="C180" t="str">
        <f>IFERROR(__xludf.DUMMYFUNCTION("""COMPUTED_VALUE"""),"1-FMKzKFLs35vDwOy-dMpEXAgpkacDP7IxwYnkwezVRA")</f>
        <v>1-FMKzKFLs35vDwOy-dMpEXAgpkacDP7IxwYnkwezVRA</v>
      </c>
    </row>
    <row r="181" ht="15.75" customHeight="1">
      <c r="A181" t="str">
        <f>IFERROR(__xludf.DUMMYFUNCTION("""COMPUTED_VALUE"""),"GeneralLedger")</f>
        <v>GeneralLedger</v>
      </c>
      <c r="B181" t="str">
        <f>IFERROR(__xludf.DUMMYFUNCTION("""COMPUTED_VALUE"""),"EditCashTransaction")</f>
        <v>EditCashTransaction</v>
      </c>
      <c r="C181" t="str">
        <f>IFERROR(__xludf.DUMMYFUNCTION("""COMPUTED_VALUE"""),"1G86u72qdKVcfi1M5XOrtfzhereVolhrkGxtzlcFj3FE")</f>
        <v>1G86u72qdKVcfi1M5XOrtfzhereVolhrkGxtzlcFj3FE</v>
      </c>
    </row>
    <row r="182" ht="15.75" customHeight="1">
      <c r="A182" t="str">
        <f>IFERROR(__xludf.DUMMYFUNCTION("""COMPUTED_VALUE"""),"GeneralLedger")</f>
        <v>GeneralLedger</v>
      </c>
      <c r="B182" t="str">
        <f>IFERROR(__xludf.DUMMYFUNCTION("""COMPUTED_VALUE"""),"AddCashTransaction")</f>
        <v>AddCashTransaction</v>
      </c>
      <c r="C182" t="str">
        <f>IFERROR(__xludf.DUMMYFUNCTION("""COMPUTED_VALUE"""),"1sevd52QJcsTK-3lUhpRdNjV9xdzrQQXZeLRutjI_uKk")</f>
        <v>1sevd52QJcsTK-3lUhpRdNjV9xdzrQQXZeLRutjI_uKk</v>
      </c>
    </row>
    <row r="183" ht="15.75" customHeight="1">
      <c r="A183" t="str">
        <f>IFERROR(__xludf.DUMMYFUNCTION("""COMPUTED_VALUE"""),"Allocation")</f>
        <v>Allocation</v>
      </c>
      <c r="B183" t="str">
        <f>IFERROR(__xludf.DUMMYFUNCTION("""COMPUTED_VALUE"""),"EditAllocatedGroupSidePanel")</f>
        <v>EditAllocatedGroupSidePanel</v>
      </c>
      <c r="C183" t="str">
        <f>IFERROR(__xludf.DUMMYFUNCTION("""COMPUTED_VALUE"""),"1to781E8gHDZpAklYKgq0gbqaOiSm4UKSyxrXQekG8-E")</f>
        <v>1to781E8gHDZpAklYKgq0gbqaOiSm4UKSyxrXQekG8-E</v>
      </c>
    </row>
    <row r="184" ht="15.75" customHeight="1">
      <c r="A184" t="str">
        <f>IFERROR(__xludf.DUMMYFUNCTION("""COMPUTED_VALUE"""),"DailyValuation")</f>
        <v>DailyValuation</v>
      </c>
      <c r="B184" t="str">
        <f>IFERROR(__xludf.DUMMYFUNCTION("""COMPUTED_VALUE"""),"GetMarkPriceData")</f>
        <v>GetMarkPriceData</v>
      </c>
      <c r="C184" t="str">
        <f>IFERROR(__xludf.DUMMYFUNCTION("""COMPUTED_VALUE"""),"1n8_HzZqruobAe_bzZUNDlFTjWWOXhYdC6XO8toLSA1U")</f>
        <v>1n8_HzZqruobAe_bzZUNDlFTjWWOXhYdC6XO8toLSA1U</v>
      </c>
    </row>
    <row r="185" ht="15.75" customHeight="1">
      <c r="A185" t="str">
        <f>IFERROR(__xludf.DUMMYFUNCTION("""COMPUTED_VALUE"""),"DailyValuation")</f>
        <v>DailyValuation</v>
      </c>
      <c r="B185" t="str">
        <f>IFERROR(__xludf.DUMMYFUNCTION("""COMPUTED_VALUE"""),"GetForwardPoints")</f>
        <v>GetForwardPoints</v>
      </c>
      <c r="C185" t="str">
        <f>IFERROR(__xludf.DUMMYFUNCTION("""COMPUTED_VALUE"""),"1QzfIvMI24u1alGmbfvHB8YsLQnTXbnEskdO5U_4c03M")</f>
        <v>1QzfIvMI24u1alGmbfvHB8YsLQnTXbnEskdO5U_4c03M</v>
      </c>
    </row>
    <row r="186" ht="15.75" customHeight="1">
      <c r="A186" t="str">
        <f>IFERROR(__xludf.DUMMYFUNCTION("""COMPUTED_VALUE"""),"DailyValuation")</f>
        <v>DailyValuation</v>
      </c>
      <c r="B186" t="str">
        <f>IFERROR(__xludf.DUMMYFUNCTION("""COMPUTED_VALUE"""),"UpdateForwardPoints")</f>
        <v>UpdateForwardPoints</v>
      </c>
      <c r="C186" t="str">
        <f>IFERROR(__xludf.DUMMYFUNCTION("""COMPUTED_VALUE"""),"13AkdqEmmE2bNXqK_D5_68u-ZCAC0NWVG5008Fv31TBY")</f>
        <v>13AkdqEmmE2bNXqK_D5_68u-ZCAC0NWVG5008Fv31TBY</v>
      </c>
    </row>
    <row r="187" ht="15.75" customHeight="1">
      <c r="A187" t="str">
        <f>IFERROR(__xludf.DUMMYFUNCTION("""COMPUTED_VALUE"""),"DailyValuation")</f>
        <v>DailyValuation</v>
      </c>
      <c r="B187" t="str">
        <f>IFERROR(__xludf.DUMMYFUNCTION("""COMPUTED_VALUE"""),"GetForexConversion")</f>
        <v>GetForexConversion</v>
      </c>
      <c r="C187" t="str">
        <f>IFERROR(__xludf.DUMMYFUNCTION("""COMPUTED_VALUE"""),"1-EtK3j_FyjgJHsYvldAuV4YFHX-qm1CzWPL4SKUKm_I")</f>
        <v>1-EtK3j_FyjgJHsYvldAuV4YFHX-qm1CzWPL4SKUKm_I</v>
      </c>
    </row>
    <row r="188" ht="15.75" customHeight="1">
      <c r="A188" t="str">
        <f>IFERROR(__xludf.DUMMYFUNCTION("""COMPUTED_VALUE"""),"DailyValuation")</f>
        <v>DailyValuation</v>
      </c>
      <c r="B188" t="str">
        <f>IFERROR(__xludf.DUMMYFUNCTION("""COMPUTED_VALUE"""),"DeleteNAV")</f>
        <v>DeleteNAV</v>
      </c>
      <c r="C188" t="str">
        <f>IFERROR(__xludf.DUMMYFUNCTION("""COMPUTED_VALUE"""),"1eh6Leacf5FhDvEUrEksk9SLUjWAOnXtHRxNauMziD4o")</f>
        <v>1eh6Leacf5FhDvEUrEksk9SLUjWAOnXtHRxNauMziD4o</v>
      </c>
    </row>
    <row r="189" ht="15.75" customHeight="1">
      <c r="A189" t="str">
        <f>IFERROR(__xludf.DUMMYFUNCTION("""COMPUTED_VALUE"""),"Allocation")</f>
        <v>Allocation</v>
      </c>
      <c r="B189" t="str">
        <f>IFERROR(__xludf.DUMMYFUNCTION("""COMPUTED_VALUE"""),"CheckUnallocatedGroups")</f>
        <v>CheckUnallocatedGroups</v>
      </c>
      <c r="C189" t="str">
        <f>IFERROR(__xludf.DUMMYFUNCTION("""COMPUTED_VALUE"""),"1TAt_QqMW8h2ttxV57It9jVYC7njvL5tOt-r4EGRYGcE")</f>
        <v>1TAt_QqMW8h2ttxV57It9jVYC7njvL5tOt-r4EGRYGcE</v>
      </c>
    </row>
    <row r="190" ht="15.75" customHeight="1">
      <c r="A190" t="str">
        <f>IFERROR(__xludf.DUMMYFUNCTION("""COMPUTED_VALUE"""),"DailyValuation")</f>
        <v>DailyValuation</v>
      </c>
      <c r="B190" t="str">
        <f>IFERROR(__xludf.DUMMYFUNCTION("""COMPUTED_VALUE"""),"GetDailyCash")</f>
        <v>GetDailyCash</v>
      </c>
      <c r="C190" t="str">
        <f>IFERROR(__xludf.DUMMYFUNCTION("""COMPUTED_VALUE"""),"14gid3u0_rNvP0XS5C1YIlhQOluw_ZaKzbQj6rh_Y-CY")</f>
        <v>14gid3u0_rNvP0XS5C1YIlhQOluw_ZaKzbQj6rh_Y-CY</v>
      </c>
    </row>
    <row r="191" ht="15.75" customHeight="1">
      <c r="A191" t="str">
        <f>IFERROR(__xludf.DUMMYFUNCTION("""COMPUTED_VALUE"""),"Allocation")</f>
        <v>Allocation</v>
      </c>
      <c r="B191" t="str">
        <f>IFERROR(__xludf.DUMMYFUNCTION("""COMPUTED_VALUE"""),"SetGeneralPreferences")</f>
        <v>SetGeneralPreferences</v>
      </c>
      <c r="C191" t="str">
        <f>IFERROR(__xludf.DUMMYFUNCTION("""COMPUTED_VALUE"""),"13lsUBmvcs1NBlGITGBbugtTWepJLuzLGMOMde0zoOFI")</f>
        <v>13lsUBmvcs1NBlGITGBbugtTWepJLuzLGMOMde0zoOFI</v>
      </c>
    </row>
    <row r="192" ht="15.75" customHeight="1">
      <c r="A192" t="str">
        <f>IFERROR(__xludf.DUMMYFUNCTION("""COMPUTED_VALUE"""),"DailyValuation")</f>
        <v>DailyValuation</v>
      </c>
      <c r="B192" t="str">
        <f>IFERROR(__xludf.DUMMYFUNCTION("""COMPUTED_VALUE"""),"GetDailyBeta")</f>
        <v>GetDailyBeta</v>
      </c>
      <c r="C192" t="str">
        <f>IFERROR(__xludf.DUMMYFUNCTION("""COMPUTED_VALUE"""),"1pQIetLHHfnLHOHDOH81rC03QLUOIpHsKO6dDH-9qgiA")</f>
        <v>1pQIetLHHfnLHOHDOH81rC03QLUOIpHsKO6dDH-9qgiA</v>
      </c>
    </row>
    <row r="193" ht="15.75" customHeight="1">
      <c r="A193" t="str">
        <f>IFERROR(__xludf.DUMMYFUNCTION("""COMPUTED_VALUE"""),"DailyValuation")</f>
        <v>DailyValuation</v>
      </c>
      <c r="B193" t="str">
        <f>IFERROR(__xludf.DUMMYFUNCTION("""COMPUTED_VALUE"""),"GetDailyVolatility")</f>
        <v>GetDailyVolatility</v>
      </c>
      <c r="C193" t="str">
        <f>IFERROR(__xludf.DUMMYFUNCTION("""COMPUTED_VALUE"""),"1YzjFof__EtWy8oxu5pQ4N6G7Nktkl0nyAu81BckiIHo")</f>
        <v>1YzjFof__EtWy8oxu5pQ4N6G7Nktkl0nyAu81BckiIHo</v>
      </c>
    </row>
    <row r="194" ht="15.75" customHeight="1">
      <c r="A194" t="str">
        <f>IFERROR(__xludf.DUMMYFUNCTION("""COMPUTED_VALUE"""),"DailyValuation")</f>
        <v>DailyValuation</v>
      </c>
      <c r="B194" t="str">
        <f>IFERROR(__xludf.DUMMYFUNCTION("""COMPUTED_VALUE"""),"GetDailyDividendYield")</f>
        <v>GetDailyDividendYield</v>
      </c>
      <c r="C194" t="str">
        <f>IFERROR(__xludf.DUMMYFUNCTION("""COMPUTED_VALUE"""),"1IT8x5br3VynepPgq_xCGQsJR0piFM3lhqTr5GTh0kyM")</f>
        <v>1IT8x5br3VynepPgq_xCGQsJR0piFM3lhqTr5GTh0kyM</v>
      </c>
    </row>
    <row r="195" ht="15.75" customHeight="1">
      <c r="A195" t="str">
        <f>IFERROR(__xludf.DUMMYFUNCTION("""COMPUTED_VALUE"""),"DailyValuation")</f>
        <v>DailyValuation</v>
      </c>
      <c r="B195" t="str">
        <f>IFERROR(__xludf.DUMMYFUNCTION("""COMPUTED_VALUE"""),"GetDailyTradingVolume")</f>
        <v>GetDailyTradingVolume</v>
      </c>
      <c r="C195" t="str">
        <f>IFERROR(__xludf.DUMMYFUNCTION("""COMPUTED_VALUE"""),"1b0nK_mdsKdKSE4C04O7I8ZpvPLGjbiy-MhX9TjlXJOc")</f>
        <v>1b0nK_mdsKdKSE4C04O7I8ZpvPLGjbiy-MhX9TjlXJOc</v>
      </c>
    </row>
    <row r="196" ht="15.75" customHeight="1">
      <c r="A196" t="str">
        <f>IFERROR(__xludf.DUMMYFUNCTION("""COMPUTED_VALUE"""),"DailyValuation")</f>
        <v>DailyValuation</v>
      </c>
      <c r="B196" t="str">
        <f>IFERROR(__xludf.DUMMYFUNCTION("""COMPUTED_VALUE"""),"GetDailyOutstandings")</f>
        <v>GetDailyOutstandings</v>
      </c>
      <c r="C196" t="str">
        <f>IFERROR(__xludf.DUMMYFUNCTION("""COMPUTED_VALUE"""),"1JWIRWOskU5-ZLGBe3TJje54Hlb55btHuU3SX7Yu7WME")</f>
        <v>1JWIRWOskU5-ZLGBe3TJje54Hlb55btHuU3SX7Yu7WME</v>
      </c>
    </row>
    <row r="197" ht="15.75" customHeight="1">
      <c r="A197" t="str">
        <f>IFERROR(__xludf.DUMMYFUNCTION("""COMPUTED_VALUE"""),"Allocation")</f>
        <v>Allocation</v>
      </c>
      <c r="B197" t="str">
        <f>IFERROR(__xludf.DUMMYFUNCTION("""COMPUTED_VALUE"""),"GroupTrades")</f>
        <v>GroupTrades</v>
      </c>
      <c r="C197" t="str">
        <f>IFERROR(__xludf.DUMMYFUNCTION("""COMPUTED_VALUE"""),"1So5L0BXlev1p0ans29tDBJeLp2hRQnaDt7l5ChXhfes")</f>
        <v>1So5L0BXlev1p0ans29tDBJeLp2hRQnaDt7l5ChXhfes</v>
      </c>
    </row>
    <row r="198" ht="15.75" customHeight="1">
      <c r="A198" t="str">
        <f>IFERROR(__xludf.DUMMYFUNCTION("""COMPUTED_VALUE"""),"Allocation")</f>
        <v>Allocation</v>
      </c>
      <c r="B198" t="str">
        <f>IFERROR(__xludf.DUMMYFUNCTION("""COMPUTED_VALUE"""),"UngroupTrades")</f>
        <v>UngroupTrades</v>
      </c>
      <c r="C198" t="str">
        <f>IFERROR(__xludf.DUMMYFUNCTION("""COMPUTED_VALUE"""),"1pYOsK-haxePz_Yimf8WRvV4AA03Okf2Hys87-MH9gY8")</f>
        <v>1pYOsK-haxePz_Yimf8WRvV4AA03Okf2Hys87-MH9gY8</v>
      </c>
    </row>
    <row r="199" ht="15.75" customHeight="1">
      <c r="A199" t="str">
        <f>IFERROR(__xludf.DUMMYFUNCTION("""COMPUTED_VALUE"""),"Allocation")</f>
        <v>Allocation</v>
      </c>
      <c r="B199" t="str">
        <f>IFERROR(__xludf.DUMMYFUNCTION("""COMPUTED_VALUE"""),"DeleteGroup")</f>
        <v>DeleteGroup</v>
      </c>
      <c r="C199" t="str">
        <f>IFERROR(__xludf.DUMMYFUNCTION("""COMPUTED_VALUE"""),"1GB2HOSoXy5_fXzB6PWrRFuaVq7s_N92V1nsnnHizRIc")</f>
        <v>1GB2HOSoXy5_fXzB6PWrRFuaVq7s_N92V1nsnnHizRIc</v>
      </c>
    </row>
    <row r="200" ht="15.75" customHeight="1">
      <c r="A200" t="str">
        <f>IFERROR(__xludf.DUMMYFUNCTION("""COMPUTED_VALUE"""),"Allocation")</f>
        <v>Allocation</v>
      </c>
      <c r="B200" t="str">
        <f>IFERROR(__xludf.DUMMYFUNCTION("""COMPUTED_VALUE"""),"CloseOrder")</f>
        <v>CloseOrder</v>
      </c>
      <c r="C200" t="str">
        <f>IFERROR(__xludf.DUMMYFUNCTION("""COMPUTED_VALUE"""),"1hQS_ZIe0f-YDXYnVZH0axct7qbeGC9dZ8jS8WCF4z7Q")</f>
        <v>1hQS_ZIe0f-YDXYnVZH0axct7qbeGC9dZ8jS8WCF4z7Q</v>
      </c>
    </row>
    <row r="201" ht="15.75" customHeight="1">
      <c r="A201" t="str">
        <f>IFERROR(__xludf.DUMMYFUNCTION("""COMPUTED_VALUE"""),"Allocation")</f>
        <v>Allocation</v>
      </c>
      <c r="B201" t="str">
        <f>IFERROR(__xludf.DUMMYFUNCTION("""COMPUTED_VALUE"""),"Unallocate")</f>
        <v>Unallocate</v>
      </c>
      <c r="C201" t="str">
        <f>IFERROR(__xludf.DUMMYFUNCTION("""COMPUTED_VALUE"""),"1t4kPkbjkNXIe4MARfTMRmNFGo_pNUbSH11y89_kdYv8")</f>
        <v>1t4kPkbjkNXIe4MARfTMRmNFGo_pNUbSH11y89_kdYv8</v>
      </c>
    </row>
    <row r="202" ht="15.75" customHeight="1">
      <c r="A202" t="str">
        <f>IFERROR(__xludf.DUMMYFUNCTION("""COMPUTED_VALUE"""),"DailyValuation")</f>
        <v>DailyValuation</v>
      </c>
      <c r="B202" t="str">
        <f>IFERROR(__xludf.DUMMYFUNCTION("""COMPUTED_VALUE"""),"GetDailyDelta")</f>
        <v>GetDailyDelta</v>
      </c>
      <c r="C202" t="str">
        <f>IFERROR(__xludf.DUMMYFUNCTION("""COMPUTED_VALUE"""),"1EWopTT0IuOzHKc-T4uQJSGDc_PdR7QnTb3XX-tcRY_w")</f>
        <v>1EWopTT0IuOzHKc-T4uQJSGDc_PdR7QnTb3XX-tcRY_w</v>
      </c>
    </row>
    <row r="203" ht="15.75" customHeight="1">
      <c r="A203" t="str">
        <f>IFERROR(__xludf.DUMMYFUNCTION("""COMPUTED_VALUE"""),"DailyValuation")</f>
        <v>DailyValuation</v>
      </c>
      <c r="B203" t="str">
        <f>IFERROR(__xludf.DUMMYFUNCTION("""COMPUTED_VALUE"""),"UpdateDailyVolatility")</f>
        <v>UpdateDailyVolatility</v>
      </c>
      <c r="C203" t="str">
        <f>IFERROR(__xludf.DUMMYFUNCTION("""COMPUTED_VALUE"""),"1iA4AMqVk2SrSflatQ2iNOBpgxijhht1Fnx5gjinTpNE")</f>
        <v>1iA4AMqVk2SrSflatQ2iNOBpgxijhht1Fnx5gjinTpNE</v>
      </c>
    </row>
    <row r="204" ht="15.75" customHeight="1">
      <c r="A204" t="str">
        <f>IFERROR(__xludf.DUMMYFUNCTION("""COMPUTED_VALUE"""),"GeneralLedger")</f>
        <v>GeneralLedger</v>
      </c>
      <c r="B204" t="str">
        <f>IFERROR(__xludf.DUMMYFUNCTION("""COMPUTED_VALUE"""),"AddOpeningBalanceTransaction")</f>
        <v>AddOpeningBalanceTransaction</v>
      </c>
      <c r="C204" t="str">
        <f>IFERROR(__xludf.DUMMYFUNCTION("""COMPUTED_VALUE"""),"1aYOUexiSRWPy8aTQV4LoLIAgO5vDCT827evf8qbriCw")</f>
        <v>1aYOUexiSRWPy8aTQV4LoLIAgO5vDCT827evf8qbriCw</v>
      </c>
    </row>
    <row r="205" ht="15.75" customHeight="1">
      <c r="A205" t="str">
        <f>IFERROR(__xludf.DUMMYFUNCTION("""COMPUTED_VALUE"""),"GeneralLedger")</f>
        <v>GeneralLedger</v>
      </c>
      <c r="B205" t="str">
        <f>IFERROR(__xludf.DUMMYFUNCTION("""COMPUTED_VALUE"""),"AddOpeningBalanceTranItem")</f>
        <v>AddOpeningBalanceTranItem</v>
      </c>
      <c r="C205" t="str">
        <f>IFERROR(__xludf.DUMMYFUNCTION("""COMPUTED_VALUE"""),"1Fwh_5fQ1FG6uekAkW9Onl3gExHJ4LFINEfUWhVU7RZE")</f>
        <v>1Fwh_5fQ1FG6uekAkW9Onl3gExHJ4LFINEfUWhVU7RZE</v>
      </c>
    </row>
    <row r="206" ht="15.75" customHeight="1">
      <c r="A206" t="str">
        <f>IFERROR(__xludf.DUMMYFUNCTION("""COMPUTED_VALUE"""),"Blotter")</f>
        <v>Blotter</v>
      </c>
      <c r="B206" t="str">
        <f>IFERROR(__xludf.DUMMYFUNCTION("""COMPUTED_VALUE"""),"CancelAllSubs")</f>
        <v>CancelAllSubs</v>
      </c>
      <c r="C206" t="str">
        <f>IFERROR(__xludf.DUMMYFUNCTION("""COMPUTED_VALUE"""),"1SFrgXfnkqGWJMgHFA_u_7p2RPeiz9bYEbsmAuNUkulo")</f>
        <v>1SFrgXfnkqGWJMgHFA_u_7p2RPeiz9bYEbsmAuNUkulo</v>
      </c>
    </row>
    <row r="207" ht="15.75" customHeight="1">
      <c r="A207" t="str">
        <f>IFERROR(__xludf.DUMMYFUNCTION("""COMPUTED_VALUE"""),"Blotter")</f>
        <v>Blotter</v>
      </c>
      <c r="B207" t="str">
        <f>IFERROR(__xludf.DUMMYFUNCTION("""COMPUTED_VALUE"""),"CancelSubOrder")</f>
        <v>CancelSubOrder</v>
      </c>
      <c r="C207" t="str">
        <f>IFERROR(__xludf.DUMMYFUNCTION("""COMPUTED_VALUE"""),"1HgRCOHOWDe0WdsCwOOCeifnh4CU_EMG0jYwvF1Kw5CU")</f>
        <v>1HgRCOHOWDe0WdsCwOOCeifnh4CU_EMG0jYwvF1Kw5CU</v>
      </c>
    </row>
    <row r="208" ht="15.75" customHeight="1">
      <c r="A208" t="str">
        <f>IFERROR(__xludf.DUMMYFUNCTION("""COMPUTED_VALUE"""),"Blotter")</f>
        <v>Blotter</v>
      </c>
      <c r="B208" t="str">
        <f>IFERROR(__xludf.DUMMYFUNCTION("""COMPUTED_VALUE"""),"EditStageOrder")</f>
        <v>EditStageOrder</v>
      </c>
      <c r="C208" t="str">
        <f>IFERROR(__xludf.DUMMYFUNCTION("""COMPUTED_VALUE"""),"1CSJwXvHLRSniyl60uT7TjQbnLpp-heMq72pgOJJ1F2c")</f>
        <v>1CSJwXvHLRSniyl60uT7TjQbnLpp-heMq72pgOJJ1F2c</v>
      </c>
    </row>
    <row r="209" ht="15.75" customHeight="1">
      <c r="A209" t="str">
        <f>IFERROR(__xludf.DUMMYFUNCTION("""COMPUTED_VALUE"""),"Blotter")</f>
        <v>Blotter</v>
      </c>
      <c r="B209" t="str">
        <f>IFERROR(__xludf.DUMMYFUNCTION("""COMPUTED_VALUE"""),"ReplaceSubOrder")</f>
        <v>ReplaceSubOrder</v>
      </c>
      <c r="C209" t="str">
        <f>IFERROR(__xludf.DUMMYFUNCTION("""COMPUTED_VALUE"""),"1DiMnJfL8ny_q4NkWjHDLna6eWN_b1wz9lFLXHDLAxvc")</f>
        <v>1DiMnJfL8ny_q4NkWjHDLna6eWN_b1wz9lFLXHDLAxvc</v>
      </c>
    </row>
    <row r="210" ht="15.75" customHeight="1">
      <c r="A210" t="str">
        <f>IFERROR(__xludf.DUMMYFUNCTION("""COMPUTED_VALUE"""),"Blotter")</f>
        <v>Blotter</v>
      </c>
      <c r="B210" t="str">
        <f>IFERROR(__xludf.DUMMYFUNCTION("""COMPUTED_VALUE"""),"SelectTradeWorkingSubsBlotter")</f>
        <v>SelectTradeWorkingSubsBlotter</v>
      </c>
      <c r="C210" t="str">
        <f>IFERROR(__xludf.DUMMYFUNCTION("""COMPUTED_VALUE"""),"1bMbn1pg_skkJ9tr1sYGLyll2RO_KUXGAY_4l0agiVqs")</f>
        <v>1bMbn1pg_skkJ9tr1sYGLyll2RO_KUXGAY_4l0agiVqs</v>
      </c>
    </row>
    <row r="211" ht="15.75" customHeight="1">
      <c r="A211" t="str">
        <f>IFERROR(__xludf.DUMMYFUNCTION("""COMPUTED_VALUE"""),"Blotter")</f>
        <v>Blotter</v>
      </c>
      <c r="B211" t="str">
        <f>IFERROR(__xludf.DUMMYFUNCTION("""COMPUTED_VALUE"""),"VerifyAlgoDetails")</f>
        <v>VerifyAlgoDetails</v>
      </c>
      <c r="C211" t="str">
        <f>IFERROR(__xludf.DUMMYFUNCTION("""COMPUTED_VALUE"""),"1keLoHSkjbycZTYgUKqJWjQgUdVfUhUyItu_TF_Nnepg")</f>
        <v>1keLoHSkjbycZTYgUKqJWjQgUdVfUhUyItu_TF_Nnepg</v>
      </c>
    </row>
    <row r="212" ht="15.75" customHeight="1">
      <c r="A212" t="str">
        <f>IFERROR(__xludf.DUMMYFUNCTION("""COMPUTED_VALUE"""),"Blotter")</f>
        <v>Blotter</v>
      </c>
      <c r="B212" t="str">
        <f>IFERROR(__xludf.DUMMYFUNCTION("""COMPUTED_VALUE"""),"VerifyTransferToUserOrder")</f>
        <v>VerifyTransferToUserOrder</v>
      </c>
      <c r="C212" t="str">
        <f>IFERROR(__xludf.DUMMYFUNCTION("""COMPUTED_VALUE"""),"1JB77pWGg3Yigh8nRXBE3j84K0MUfsHo66tZGfomxokI")</f>
        <v>1JB77pWGg3Yigh8nRXBE3j84K0MUfsHo66tZGfomxokI</v>
      </c>
    </row>
    <row r="213" ht="15.75" customHeight="1">
      <c r="A213" t="str">
        <f>IFERROR(__xludf.DUMMYFUNCTION("""COMPUTED_VALUE"""),"Blotter")</f>
        <v>Blotter</v>
      </c>
      <c r="B213" t="str">
        <f>IFERROR(__xludf.DUMMYFUNCTION("""COMPUTED_VALUE"""),"VerifyTransferToUserSubOdr")</f>
        <v>VerifyTransferToUserSubOdr</v>
      </c>
      <c r="C213" t="str">
        <f>IFERROR(__xludf.DUMMYFUNCTION("""COMPUTED_VALUE"""),"13i3cde69VhVWqwDeyZvG2UTR0kaaEh6xf5cAoobr5mA")</f>
        <v>13i3cde69VhVWqwDeyZvG2UTR0kaaEh6xf5cAoobr5mA</v>
      </c>
    </row>
    <row r="214" ht="15.75" customHeight="1">
      <c r="A214" t="str">
        <f>IFERROR(__xludf.DUMMYFUNCTION("""COMPUTED_VALUE"""),"Blotter")</f>
        <v>Blotter</v>
      </c>
      <c r="B214" t="str">
        <f>IFERROR(__xludf.DUMMYFUNCTION("""COMPUTED_VALUE"""),"VerifyTransferToUserWorkSub")</f>
        <v>VerifyTransferToUserWorkSub</v>
      </c>
      <c r="C214" t="str">
        <f>IFERROR(__xludf.DUMMYFUNCTION("""COMPUTED_VALUE"""),"1d_4UCN2TwKGLAIryatMhyDmfPFId5_idGnegTQS_lSc")</f>
        <v>1d_4UCN2TwKGLAIryatMhyDmfPFId5_idGnegTQS_lSc</v>
      </c>
    </row>
    <row r="215" ht="15.75" customHeight="1">
      <c r="A215" t="str">
        <f>IFERROR(__xludf.DUMMYFUNCTION("""COMPUTED_VALUE"""),"Blotter")</f>
        <v>Blotter</v>
      </c>
      <c r="B215" t="str">
        <f>IFERROR(__xludf.DUMMYFUNCTION("""COMPUTED_VALUE"""),"SaveLayoutOrderGrid")</f>
        <v>SaveLayoutOrderGrid</v>
      </c>
      <c r="C215" t="str">
        <f>IFERROR(__xludf.DUMMYFUNCTION("""COMPUTED_VALUE"""),"1X0u87WRgFV9nfzAoxarkRCoGrGk1JKkwWhu3-eW1lKE")</f>
        <v>1X0u87WRgFV9nfzAoxarkRCoGrGk1JKkwWhu3-eW1lKE</v>
      </c>
    </row>
    <row r="216" ht="15.75" customHeight="1">
      <c r="A216" t="str">
        <f>IFERROR(__xludf.DUMMYFUNCTION("""COMPUTED_VALUE"""),"DailyValuation")</f>
        <v>DailyValuation</v>
      </c>
      <c r="B216" t="str">
        <f>IFERROR(__xludf.DUMMYFUNCTION("""COMPUTED_VALUE"""),"UpdateDividendYield")</f>
        <v>UpdateDividendYield</v>
      </c>
      <c r="C216" t="str">
        <f>IFERROR(__xludf.DUMMYFUNCTION("""COMPUTED_VALUE"""),"1l5ay-Y1acsWSAUtq9YQrxfOojAfjLCblSDpkEf0NHGo")</f>
        <v>1l5ay-Y1acsWSAUtq9YQrxfOojAfjLCblSDpkEf0NHGo</v>
      </c>
    </row>
    <row r="217" ht="15.75" customHeight="1">
      <c r="A217" t="str">
        <f>IFERROR(__xludf.DUMMYFUNCTION("""COMPUTED_VALUE"""),"DailyValuation")</f>
        <v>DailyValuation</v>
      </c>
      <c r="B217" t="str">
        <f>IFERROR(__xludf.DUMMYFUNCTION("""COMPUTED_VALUE"""),"UpdateTradingVolume")</f>
        <v>UpdateTradingVolume</v>
      </c>
      <c r="C217" t="str">
        <f>IFERROR(__xludf.DUMMYFUNCTION("""COMPUTED_VALUE"""),"1A19wf6hpfMJmBm83N_GhvYK2Gp3K-e3JP9EJ-P576Cw")</f>
        <v>1A19wf6hpfMJmBm83N_GhvYK2Gp3K-e3JP9EJ-P576Cw</v>
      </c>
    </row>
    <row r="218" ht="15.75" customHeight="1">
      <c r="A218" t="str">
        <f>IFERROR(__xludf.DUMMYFUNCTION("""COMPUTED_VALUE"""),"DailyValuation")</f>
        <v>DailyValuation</v>
      </c>
      <c r="B218" t="str">
        <f>IFERROR(__xludf.DUMMYFUNCTION("""COMPUTED_VALUE"""),"UpdateDailyDelta")</f>
        <v>UpdateDailyDelta</v>
      </c>
      <c r="C218" t="str">
        <f>IFERROR(__xludf.DUMMYFUNCTION("""COMPUTED_VALUE"""),"171XsheaaYdF5gMm2y5rdioGxjl_k82Rso_opEanflJI")</f>
        <v>171XsheaaYdF5gMm2y5rdioGxjl_k82Rso_opEanflJI</v>
      </c>
    </row>
    <row r="219" ht="15.75" customHeight="1">
      <c r="A219" t="str">
        <f>IFERROR(__xludf.DUMMYFUNCTION("""COMPUTED_VALUE"""),"DailyValuation")</f>
        <v>DailyValuation</v>
      </c>
      <c r="B219" t="str">
        <f>IFERROR(__xludf.DUMMYFUNCTION("""COMPUTED_VALUE"""),"UpdateDailyOutstandings")</f>
        <v>UpdateDailyOutstandings</v>
      </c>
      <c r="C219" t="str">
        <f>IFERROR(__xludf.DUMMYFUNCTION("""COMPUTED_VALUE"""),"1RX-Gap2zvagmEtgtn-yaOAByX7d1Wf9B5UxxxwHnBG0")</f>
        <v>1RX-Gap2zvagmEtgtn-yaOAByX7d1Wf9B5UxxxwHnBG0</v>
      </c>
    </row>
    <row r="220" ht="15.75" customHeight="1">
      <c r="A220" t="str">
        <f>IFERROR(__xludf.DUMMYFUNCTION("""COMPUTED_VALUE"""),"Closing")</f>
        <v>Closing</v>
      </c>
      <c r="B220" t="str">
        <f>IFERROR(__xludf.DUMMYFUNCTION("""COMPUTED_VALUE"""),"GetDataClosing")</f>
        <v>GetDataClosing</v>
      </c>
      <c r="C220" t="str">
        <f>IFERROR(__xludf.DUMMYFUNCTION("""COMPUTED_VALUE"""),"1zpj_umDuj1-o0Qnjy4AhkiZErr6BrbbzovL3thm9fjU")</f>
        <v>1zpj_umDuj1-o0Qnjy4AhkiZErr6BrbbzovL3thm9fjU</v>
      </c>
    </row>
    <row r="221" ht="15.75" customHeight="1">
      <c r="A221" t="str">
        <f>IFERROR(__xludf.DUMMYFUNCTION("""COMPUTED_VALUE"""),"Closing")</f>
        <v>Closing</v>
      </c>
      <c r="B221" t="str">
        <f>IFERROR(__xludf.DUMMYFUNCTION("""COMPUTED_VALUE"""),"ManualClosing")</f>
        <v>ManualClosing</v>
      </c>
      <c r="C221" t="str">
        <f>IFERROR(__xludf.DUMMYFUNCTION("""COMPUTED_VALUE"""),"1leJHZuhOWWw5Ahg0-DWVH5mHJ2YJlmZqRGOyALE7i9o")</f>
        <v>1leJHZuhOWWw5Ahg0-DWVH5mHJ2YJlmZqRGOyALE7i9o</v>
      </c>
    </row>
    <row r="222" ht="15.75" customHeight="1">
      <c r="A222" t="str">
        <f>IFERROR(__xludf.DUMMYFUNCTION("""COMPUTED_VALUE"""),"Closing")</f>
        <v>Closing</v>
      </c>
      <c r="B222" t="str">
        <f>IFERROR(__xludf.DUMMYFUNCTION("""COMPUTED_VALUE"""),"AutomaticClosing")</f>
        <v>AutomaticClosing</v>
      </c>
      <c r="C222" t="str">
        <f>IFERROR(__xludf.DUMMYFUNCTION("""COMPUTED_VALUE"""),"1WIQF7IwpSf3Cn5ovCdMQfdfxSkfCZCzVTpL_YVpEAnE")</f>
        <v>1WIQF7IwpSf3Cn5ovCdMQfdfxSkfCZCzVTpL_YVpEAnE</v>
      </c>
    </row>
    <row r="223" ht="15.75" customHeight="1">
      <c r="A223" t="str">
        <f>IFERROR(__xludf.DUMMYFUNCTION("""COMPUTED_VALUE"""),"Closing")</f>
        <v>Closing</v>
      </c>
      <c r="B223" t="str">
        <f>IFERROR(__xludf.DUMMYFUNCTION("""COMPUTED_VALUE"""),"UnwindClosing")</f>
        <v>UnwindClosing</v>
      </c>
      <c r="C223" t="str">
        <f>IFERROR(__xludf.DUMMYFUNCTION("""COMPUTED_VALUE"""),"1TGfoXbvH7XnRrtTbygxQiP_CGCUiD-kpaKBT1GGlJ5k")</f>
        <v>1TGfoXbvH7XnRrtTbygxQiP_CGCUiD-kpaKBT1GGlJ5k</v>
      </c>
    </row>
    <row r="224" ht="15.75" customHeight="1">
      <c r="A224" t="str">
        <f>IFERROR(__xludf.DUMMYFUNCTION("""COMPUTED_VALUE"""),"Closing")</f>
        <v>Closing</v>
      </c>
      <c r="B224" t="str">
        <f>IFERROR(__xludf.DUMMYFUNCTION("""COMPUTED_VALUE"""),"VerifyClosedTrades")</f>
        <v>VerifyClosedTrades</v>
      </c>
      <c r="C224" t="str">
        <f>IFERROR(__xludf.DUMMYFUNCTION("""COMPUTED_VALUE"""),"1-5-WK8gbrZ5gYJUTrxBke3x1Jgr3YYQdxyXVQBo6G84")</f>
        <v>1-5-WK8gbrZ5gYJUTrxBke3x1Jgr3YYQdxyXVQBo6G84</v>
      </c>
    </row>
    <row r="225" ht="15.75" customHeight="1">
      <c r="A225" t="str">
        <f>IFERROR(__xludf.DUMMYFUNCTION("""COMPUTED_VALUE"""),"Closing")</f>
        <v>Closing</v>
      </c>
      <c r="B225" t="str">
        <f>IFERROR(__xludf.DUMMYFUNCTION("""COMPUTED_VALUE"""),"VerifyLongPositionsGrid")</f>
        <v>VerifyLongPositionsGrid</v>
      </c>
      <c r="C225" t="str">
        <f>IFERROR(__xludf.DUMMYFUNCTION("""COMPUTED_VALUE"""),"1ttg9BWnk78DQDv-O4l-GQH4z2KLYqF-8x1YFxtmb2dM")</f>
        <v>1ttg9BWnk78DQDv-O4l-GQH4z2KLYqF-8x1YFxtmb2dM</v>
      </c>
    </row>
    <row r="226" ht="15.75" customHeight="1">
      <c r="A226" t="str">
        <f>IFERROR(__xludf.DUMMYFUNCTION("""COMPUTED_VALUE"""),"Closing")</f>
        <v>Closing</v>
      </c>
      <c r="B226" t="str">
        <f>IFERROR(__xludf.DUMMYFUNCTION("""COMPUTED_VALUE"""),"VerifyShortPositionsGrid")</f>
        <v>VerifyShortPositionsGrid</v>
      </c>
      <c r="C226" t="str">
        <f>IFERROR(__xludf.DUMMYFUNCTION("""COMPUTED_VALUE"""),"1iqnH235Ns1i-v1Te0t9y-s3gqhy30uGvGHdSxw9OuJc")</f>
        <v>1iqnH235Ns1i-v1Te0t9y-s3gqhy30uGvGHdSxw9OuJc</v>
      </c>
    </row>
    <row r="227" ht="15.75" customHeight="1">
      <c r="A227" t="str">
        <f>IFERROR(__xludf.DUMMYFUNCTION("""COMPUTED_VALUE"""),"Closing")</f>
        <v>Closing</v>
      </c>
      <c r="B227" t="str">
        <f>IFERROR(__xludf.DUMMYFUNCTION("""COMPUTED_VALUE"""),"SelectTradeUnexpiredUnsettled")</f>
        <v>SelectTradeUnexpiredUnsettled</v>
      </c>
      <c r="C227" t="str">
        <f>IFERROR(__xludf.DUMMYFUNCTION("""COMPUTED_VALUE"""),"1-lMv6JDKIjGiOD4yxxSfJBqD3PQjTk0_DqLFKliK-P4")</f>
        <v>1-lMv6JDKIjGiOD4yxxSfJBqD3PQjTk0_DqLFKliK-P4</v>
      </c>
    </row>
    <row r="228" ht="15.75" customHeight="1">
      <c r="A228" t="str">
        <f>IFERROR(__xludf.DUMMYFUNCTION("""COMPUTED_VALUE"""),"Closing")</f>
        <v>Closing</v>
      </c>
      <c r="B228" t="str">
        <f>IFERROR(__xludf.DUMMYFUNCTION("""COMPUTED_VALUE"""),"CashSettlementAtCost")</f>
        <v>CashSettlementAtCost</v>
      </c>
      <c r="C228" t="str">
        <f>IFERROR(__xludf.DUMMYFUNCTION("""COMPUTED_VALUE"""),"1WJrc9c47Pmk5qY7KMztGApsKlRbZNjVqNy90oWT9k5s")</f>
        <v>1WJrc9c47Pmk5qY7KMztGApsKlRbZNjVqNy90oWT9k5s</v>
      </c>
    </row>
    <row r="229" ht="15.75" customHeight="1">
      <c r="A229" t="str">
        <f>IFERROR(__xludf.DUMMYFUNCTION("""COMPUTED_VALUE"""),"Closing")</f>
        <v>Closing</v>
      </c>
      <c r="B229" t="str">
        <f>IFERROR(__xludf.DUMMYFUNCTION("""COMPUTED_VALUE"""),"CashSettlementAtZeroPrice")</f>
        <v>CashSettlementAtZeroPrice</v>
      </c>
      <c r="C229" t="str">
        <f>IFERROR(__xludf.DUMMYFUNCTION("""COMPUTED_VALUE"""),"17MNUtvIrTvTqiCtkjA9whCS3pSEmYiyq2dCpRNDR-Jw")</f>
        <v>17MNUtvIrTvTqiCtkjA9whCS3pSEmYiyq2dCpRNDR-Jw</v>
      </c>
    </row>
    <row r="230" ht="15.75" customHeight="1">
      <c r="A230" t="str">
        <f>IFERROR(__xludf.DUMMYFUNCTION("""COMPUTED_VALUE"""),"Closing")</f>
        <v>Closing</v>
      </c>
      <c r="B230" t="str">
        <f>IFERROR(__xludf.DUMMYFUNCTION("""COMPUTED_VALUE"""),"CashSettlementAtClosingDtSpotPx")</f>
        <v>CashSettlementAtClosingDtSpotPx</v>
      </c>
      <c r="C230" t="str">
        <f>IFERROR(__xludf.DUMMYFUNCTION("""COMPUTED_VALUE"""),"1C9uStqgFfWCHQzP5yX3EX8U5hkThVJiIrdTCvZ26BMc")</f>
        <v>1C9uStqgFfWCHQzP5yX3EX8U5hkThVJiIrdTCvZ26BMc</v>
      </c>
    </row>
    <row r="231" ht="15.75" customHeight="1">
      <c r="A231" t="str">
        <f>IFERROR(__xludf.DUMMYFUNCTION("""COMPUTED_VALUE"""),"Closing")</f>
        <v>Closing</v>
      </c>
      <c r="B231" t="str">
        <f>IFERROR(__xludf.DUMMYFUNCTION("""COMPUTED_VALUE"""),"PhysicalSettlement")</f>
        <v>PhysicalSettlement</v>
      </c>
      <c r="C231" t="str">
        <f>IFERROR(__xludf.DUMMYFUNCTION("""COMPUTED_VALUE"""),"1wSzKcpaAo_qIGXZhh7cr2aEMjgI5lIRo4Mhvhwq2qeY")</f>
        <v>1wSzKcpaAo_qIGXZhh7cr2aEMjgI5lIRo4Mhvhwq2qeY</v>
      </c>
    </row>
    <row r="232" ht="15.75" customHeight="1">
      <c r="A232" t="str">
        <f>IFERROR(__xludf.DUMMYFUNCTION("""COMPUTED_VALUE"""),"Closing")</f>
        <v>Closing</v>
      </c>
      <c r="B232" t="str">
        <f>IFERROR(__xludf.DUMMYFUNCTION("""COMPUTED_VALUE"""),"Expire")</f>
        <v>Expire</v>
      </c>
      <c r="C232" t="str">
        <f>IFERROR(__xludf.DUMMYFUNCTION("""COMPUTED_VALUE"""),"1Ip_8IOwz9bqljSD-feOp_lKkuwUz0ojb0L1ZfJB16Qk")</f>
        <v>1Ip_8IOwz9bqljSD-feOp_lKkuwUz0ojb0L1ZfJB16Qk</v>
      </c>
    </row>
    <row r="233" ht="15.75" customHeight="1">
      <c r="A233" t="str">
        <f>IFERROR(__xludf.DUMMYFUNCTION("""COMPUTED_VALUE"""),"Closing")</f>
        <v>Closing</v>
      </c>
      <c r="B233" t="str">
        <f>IFERROR(__xludf.DUMMYFUNCTION("""COMPUTED_VALUE"""),"ExerciseAssignment")</f>
        <v>ExerciseAssignment</v>
      </c>
      <c r="C233" t="str">
        <f>IFERROR(__xludf.DUMMYFUNCTION("""COMPUTED_VALUE"""),"1wtRdFxIJps7V6dCVpAiuURu6otnywpC22qYcCc8mcRo")</f>
        <v>1wtRdFxIJps7V6dCVpAiuURu6otnywpC22qYcCc8mcRo</v>
      </c>
    </row>
    <row r="234" ht="15.75" customHeight="1">
      <c r="A234" t="str">
        <f>IFERROR(__xludf.DUMMYFUNCTION("""COMPUTED_VALUE"""),"Closing")</f>
        <v>Closing</v>
      </c>
      <c r="B234" t="str">
        <f>IFERROR(__xludf.DUMMYFUNCTION("""COMPUTED_VALUE"""),"ExerciseAssignmentAtZero")</f>
        <v>ExerciseAssignmentAtZero</v>
      </c>
      <c r="C234" t="str">
        <f>IFERROR(__xludf.DUMMYFUNCTION("""COMPUTED_VALUE"""),"1RDhYUjIX5mcXvife-2a1DhS9e9_nAdKKNtIS723weSU")</f>
        <v>1RDhYUjIX5mcXvife-2a1DhS9e9_nAdKKNtIS723weSU</v>
      </c>
    </row>
    <row r="235" ht="15.75" customHeight="1">
      <c r="A235" t="str">
        <f>IFERROR(__xludf.DUMMYFUNCTION("""COMPUTED_VALUE"""),"Closing")</f>
        <v>Closing</v>
      </c>
      <c r="B235" t="str">
        <f>IFERROR(__xludf.DUMMYFUNCTION("""COMPUTED_VALUE"""),"SwapExpireAndRollover")</f>
        <v>SwapExpireAndRollover</v>
      </c>
      <c r="C235" t="str">
        <f>IFERROR(__xludf.DUMMYFUNCTION("""COMPUTED_VALUE"""),"12ERQgX7aAMiLB-7a8IQzGZT9zRJ3hxpnM1dEsBpvoTs")</f>
        <v>12ERQgX7aAMiLB-7a8IQzGZT9zRJ3hxpnM1dEsBpvoTs</v>
      </c>
    </row>
    <row r="236" ht="15.75" customHeight="1">
      <c r="A236" t="str">
        <f>IFERROR(__xludf.DUMMYFUNCTION("""COMPUTED_VALUE"""),"Closing")</f>
        <v>Closing</v>
      </c>
      <c r="B236" t="str">
        <f>IFERROR(__xludf.DUMMYFUNCTION("""COMPUTED_VALUE"""),"SwapExpire")</f>
        <v>SwapExpire</v>
      </c>
      <c r="C236" t="str">
        <f>IFERROR(__xludf.DUMMYFUNCTION("""COMPUTED_VALUE"""),"1sPvrowwTQsK7O1mUC-eQeJJSEgA9er_TCbHzyMsToxw")</f>
        <v>1sPvrowwTQsK7O1mUC-eQeJJSEgA9er_TCbHzyMsToxw</v>
      </c>
    </row>
    <row r="237" ht="15.75" customHeight="1">
      <c r="A237" t="str">
        <f>IFERROR(__xludf.DUMMYFUNCTION("""COMPUTED_VALUE"""),"Closing")</f>
        <v>Closing</v>
      </c>
      <c r="B237" t="str">
        <f>IFERROR(__xludf.DUMMYFUNCTION("""COMPUTED_VALUE"""),"VerifyExpiredSettledGrid")</f>
        <v>VerifyExpiredSettledGrid</v>
      </c>
      <c r="C237" t="str">
        <f>IFERROR(__xludf.DUMMYFUNCTION("""COMPUTED_VALUE"""),"10Zg67pbgVBxMXLfS0tb0CvJl6d4CddHzic_azwXCniM")</f>
        <v>10Zg67pbgVBxMXLfS0tb0CvJl6d4CddHzic_azwXCniM</v>
      </c>
    </row>
    <row r="238" ht="15.75" customHeight="1">
      <c r="A238" t="str">
        <f>IFERROR(__xludf.DUMMYFUNCTION("""COMPUTED_VALUE"""),"Closing")</f>
        <v>Closing</v>
      </c>
      <c r="B238" t="str">
        <f>IFERROR(__xludf.DUMMYFUNCTION("""COMPUTED_VALUE"""),"VerifyUnExpiredUnSettledGrid")</f>
        <v>VerifyUnExpiredUnSettledGrid</v>
      </c>
      <c r="C238" t="str">
        <f>IFERROR(__xludf.DUMMYFUNCTION("""COMPUTED_VALUE"""),"1rF_yrG82eLBZe-adfgdXilcZYJ6oludm1T8aoBS5c5o")</f>
        <v>1rF_yrG82eLBZe-adfgdXilcZYJ6oludm1T8aoBS5c5o</v>
      </c>
    </row>
    <row r="239" ht="15.75" customHeight="1">
      <c r="A239" t="str">
        <f>IFERROR(__xludf.DUMMYFUNCTION("""COMPUTED_VALUE"""),"Closing")</f>
        <v>Closing</v>
      </c>
      <c r="B239" t="str">
        <f>IFERROR(__xludf.DUMMYFUNCTION("""COMPUTED_VALUE"""),"UnWindTradeSettlement")</f>
        <v>UnWindTradeSettlement</v>
      </c>
      <c r="C239" t="str">
        <f>IFERROR(__xludf.DUMMYFUNCTION("""COMPUTED_VALUE"""),"1pGpjjND8zdK0CvWzT85s06ej72BcB2NDC7Q-WabwmKU")</f>
        <v>1pGpjjND8zdK0CvWzT85s06ej72BcB2NDC7Q-WabwmKU</v>
      </c>
    </row>
    <row r="240" ht="15.75" customHeight="1">
      <c r="A240" t="str">
        <f>IFERROR(__xludf.DUMMYFUNCTION("""COMPUTED_VALUE"""),"Closing")</f>
        <v>Closing</v>
      </c>
      <c r="B240" t="str">
        <f>IFERROR(__xludf.DUMMYFUNCTION("""COMPUTED_VALUE"""),"CloseOrder")</f>
        <v>CloseOrder</v>
      </c>
      <c r="C240" t="str">
        <f>IFERROR(__xludf.DUMMYFUNCTION("""COMPUTED_VALUE"""),"1vv9Kfv9KKSGeFLVF5gLJ02Q1tKJ5c9IHvX-Ou2CFpq4")</f>
        <v>1vv9Kfv9KKSGeFLVF5gLJ02Q1tKJ5c9IHvX-Ou2CFpq4</v>
      </c>
    </row>
    <row r="241" ht="15.75" customHeight="1">
      <c r="A241" t="str">
        <f>IFERROR(__xludf.DUMMYFUNCTION("""COMPUTED_VALUE"""),"Closing")</f>
        <v>Closing</v>
      </c>
      <c r="B241" t="str">
        <f>IFERROR(__xludf.DUMMYFUNCTION("""COMPUTED_VALUE"""),"VerifyCloseOrder")</f>
        <v>VerifyCloseOrder</v>
      </c>
      <c r="C241" t="str">
        <f>IFERROR(__xludf.DUMMYFUNCTION("""COMPUTED_VALUE"""),"1aKet1Md_J6wogUHMdNxyLsRKxYDsQAami-K_3W_9QtQ")</f>
        <v>1aKet1Md_J6wogUHMdNxyLsRKxYDsQAami-K_3W_9QtQ</v>
      </c>
    </row>
    <row r="242" ht="15.75" customHeight="1">
      <c r="A242" t="str">
        <f>IFERROR(__xludf.DUMMYFUNCTION("""COMPUTED_VALUE"""),"Closing")</f>
        <v>Closing</v>
      </c>
      <c r="B242" t="str">
        <f>IFERROR(__xludf.DUMMYFUNCTION("""COMPUTED_VALUE"""),"UnWindCloseOrder")</f>
        <v>UnWindCloseOrder</v>
      </c>
      <c r="C242" t="str">
        <f>IFERROR(__xludf.DUMMYFUNCTION("""COMPUTED_VALUE"""),"1fGQY5n6Q7p59RUxuwZzrcdNms0UeLdsR3hCGQmHSORY")</f>
        <v>1fGQY5n6Q7p59RUxuwZzrcdNms0UeLdsR3hCGQmHSORY</v>
      </c>
    </row>
    <row r="243" ht="15.75" customHeight="1">
      <c r="A243" t="str">
        <f>IFERROR(__xludf.DUMMYFUNCTION("""COMPUTED_VALUE"""),"Closing")</f>
        <v>Closing</v>
      </c>
      <c r="B243" t="str">
        <f>IFERROR(__xludf.DUMMYFUNCTION("""COMPUTED_VALUE"""),"ClosingCleanUp")</f>
        <v>ClosingCleanUp</v>
      </c>
      <c r="C243" t="str">
        <f>IFERROR(__xludf.DUMMYFUNCTION("""COMPUTED_VALUE"""),"1atfrQHjBlCKqTMcOEgTGeCL-hYY6nKtN80Uz1petdC4")</f>
        <v>1atfrQHjBlCKqTMcOEgTGeCL-hYY6nKtN80Uz1petdC4</v>
      </c>
    </row>
    <row r="244" ht="15.75" customHeight="1">
      <c r="A244" t="str">
        <f>IFERROR(__xludf.DUMMYFUNCTION("""COMPUTED_VALUE"""),"Closing")</f>
        <v>Closing</v>
      </c>
      <c r="B244" t="str">
        <f>IFERROR(__xludf.DUMMYFUNCTION("""COMPUTED_VALUE"""),"CloseClosingUI")</f>
        <v>CloseClosingUI</v>
      </c>
      <c r="C244" t="str">
        <f>IFERROR(__xludf.DUMMYFUNCTION("""COMPUTED_VALUE"""),"1Fwftdx7FZtRacGg7lr02b8ReR-9wM2S7uuooFC2sxiM")</f>
        <v>1Fwftdx7FZtRacGg7lr02b8ReR-9wM2S7uuooFC2sxiM</v>
      </c>
    </row>
    <row r="245" ht="15.75" customHeight="1">
      <c r="A245" t="str">
        <f>IFERROR(__xludf.DUMMYFUNCTION("""COMPUTED_VALUE"""),"GeneralLedger")</f>
        <v>GeneralLedger</v>
      </c>
      <c r="B245" t="str">
        <f>IFERROR(__xludf.DUMMYFUNCTION("""COMPUTED_VALUE"""),"GetDailyCalculationsData")</f>
        <v>GetDailyCalculationsData</v>
      </c>
      <c r="C245" t="str">
        <f>IFERROR(__xludf.DUMMYFUNCTION("""COMPUTED_VALUE"""),"1GUy-RbvdREdP9isWFulTF3xqzCn4AWr0RvL_r4boFmE")</f>
        <v>1GUy-RbvdREdP9isWFulTF3xqzCn4AWr0RvL_r4boFmE</v>
      </c>
    </row>
    <row r="246" ht="15.75" customHeight="1">
      <c r="A246" t="str">
        <f>IFERROR(__xludf.DUMMYFUNCTION("""COMPUTED_VALUE"""),"GeneralLedger")</f>
        <v>GeneralLedger</v>
      </c>
      <c r="B246" t="str">
        <f>IFERROR(__xludf.DUMMYFUNCTION("""COMPUTED_VALUE"""),"CalculateDailyCalculations")</f>
        <v>CalculateDailyCalculations</v>
      </c>
      <c r="C246" t="str">
        <f>IFERROR(__xludf.DUMMYFUNCTION("""COMPUTED_VALUE"""),"Undefined")</f>
        <v>Undefined</v>
      </c>
    </row>
    <row r="247" ht="15.75" customHeight="1">
      <c r="A247" t="str">
        <f>IFERROR(__xludf.DUMMYFUNCTION("""COMPUTED_VALUE"""),"GeneralLedger")</f>
        <v>GeneralLedger</v>
      </c>
      <c r="B247" t="str">
        <f>IFERROR(__xludf.DUMMYFUNCTION("""COMPUTED_VALUE"""),"EditOpeningBalanceTransaction")</f>
        <v>EditOpeningBalanceTransaction</v>
      </c>
      <c r="C247" t="str">
        <f>IFERROR(__xludf.DUMMYFUNCTION("""COMPUTED_VALUE"""),"1xA6dyBc4R1EBoqW6kY2Dti984vRAuD-5PxoFrgVMPA8")</f>
        <v>1xA6dyBc4R1EBoqW6kY2Dti984vRAuD-5PxoFrgVMPA8</v>
      </c>
    </row>
    <row r="248" ht="15.75" customHeight="1">
      <c r="A248" t="str">
        <f>IFERROR(__xludf.DUMMYFUNCTION("""COMPUTED_VALUE"""),"GeneralLedger")</f>
        <v>GeneralLedger</v>
      </c>
      <c r="B248" t="str">
        <f>IFERROR(__xludf.DUMMYFUNCTION("""COMPUTED_VALUE"""),"EditOpeningBalanceTranItem")</f>
        <v>EditOpeningBalanceTranItem</v>
      </c>
      <c r="C248" t="str">
        <f>IFERROR(__xludf.DUMMYFUNCTION("""COMPUTED_VALUE"""),"18j5l_WQ5Vfj90uB1s_BQ179tKwHv_Lf1wexmG7TnYu0")</f>
        <v>18j5l_WQ5Vfj90uB1s_BQ179tKwHv_Lf1wexmG7TnYu0</v>
      </c>
    </row>
    <row r="249" ht="15.75" customHeight="1">
      <c r="A249" t="str">
        <f>IFERROR(__xludf.DUMMYFUNCTION("""COMPUTED_VALUE"""),"DailyValuation")</f>
        <v>DailyValuation</v>
      </c>
      <c r="B249" t="str">
        <f>IFERROR(__xludf.DUMMYFUNCTION("""COMPUTED_VALUE"""),"UpdateBeta")</f>
        <v>UpdateBeta</v>
      </c>
      <c r="C249" t="str">
        <f>IFERROR(__xludf.DUMMYFUNCTION("""COMPUTED_VALUE"""),"1dVMhvhPJNkuRqzig0Yyxm9TcxCvSCxm4pGTHTUTnsRE")</f>
        <v>1dVMhvhPJNkuRqzig0Yyxm9TcxCvSCxm4pGTHTUTnsRE</v>
      </c>
    </row>
    <row r="250" ht="15.75" customHeight="1">
      <c r="A250" t="str">
        <f>IFERROR(__xludf.DUMMYFUNCTION("""COMPUTED_VALUE"""),"DailyValuation")</f>
        <v>DailyValuation</v>
      </c>
      <c r="B250" t="str">
        <f>IFERROR(__xludf.DUMMYFUNCTION("""COMPUTED_VALUE"""),"UpdateNAV")</f>
        <v>UpdateNAV</v>
      </c>
      <c r="C250" t="str">
        <f>IFERROR(__xludf.DUMMYFUNCTION("""COMPUTED_VALUE"""),"1hPiMOS3ea665vDEmxN9P-HH8lukKgmMnynK7_ZbYvZE")</f>
        <v>1hPiMOS3ea665vDEmxN9P-HH8lukKgmMnynK7_ZbYvZE</v>
      </c>
    </row>
    <row r="251" ht="15.75" customHeight="1">
      <c r="A251" t="str">
        <f>IFERROR(__xludf.DUMMYFUNCTION("""COMPUTED_VALUE"""),"DailyValuation")</f>
        <v>DailyValuation</v>
      </c>
      <c r="B251" t="str">
        <f>IFERROR(__xludf.DUMMYFUNCTION("""COMPUTED_VALUE"""),"UpdateDailyCash")</f>
        <v>UpdateDailyCash</v>
      </c>
      <c r="C251" t="str">
        <f>IFERROR(__xludf.DUMMYFUNCTION("""COMPUTED_VALUE"""),"1VgfvPkC2fO8lxFnWeV2SJts5aU1T2aFQ0qKO0SLQUe8")</f>
        <v>1VgfvPkC2fO8lxFnWeV2SJts5aU1T2aFQ0qKO0SLQUe8</v>
      </c>
    </row>
    <row r="252" ht="15.75" customHeight="1">
      <c r="A252" t="str">
        <f>IFERROR(__xludf.DUMMYFUNCTION("""COMPUTED_VALUE"""),"GeneralLedger")</f>
        <v>GeneralLedger</v>
      </c>
      <c r="B252" t="str">
        <f>IFERROR(__xludf.DUMMYFUNCTION("""COMPUTED_VALUE"""),"VerifyDailyCalTransactions")</f>
        <v>VerifyDailyCalTransactions</v>
      </c>
      <c r="C252" t="str">
        <f>IFERROR(__xludf.DUMMYFUNCTION("""COMPUTED_VALUE"""),"1GiZkUkl9S3W-syFWHx7eF24G8LX1NhjocAEtLxZqOBI")</f>
        <v>1GiZkUkl9S3W-syFWHx7eF24G8LX1NhjocAEtLxZqOBI</v>
      </c>
    </row>
    <row r="253" ht="15.75" customHeight="1">
      <c r="A253" t="str">
        <f>IFERROR(__xludf.DUMMYFUNCTION("""COMPUTED_VALUE"""),"DailyValuation")</f>
        <v>DailyValuation</v>
      </c>
      <c r="B253" t="str">
        <f>IFERROR(__xludf.DUMMYFUNCTION("""COMPUTED_VALUE"""),"UpdateDailyCreditLimt")</f>
        <v>UpdateDailyCreditLimt</v>
      </c>
      <c r="C253" t="str">
        <f>IFERROR(__xludf.DUMMYFUNCTION("""COMPUTED_VALUE"""),"1PGYnrEHaAZlP-Oh2PMA8WujQmK1pV5B4YlDkScrpR7o")</f>
        <v>1PGYnrEHaAZlP-Oh2PMA8WujQmK1pV5B4YlDkScrpR7o</v>
      </c>
    </row>
    <row r="254" ht="15.75" customHeight="1">
      <c r="A254" t="str">
        <f>IFERROR(__xludf.DUMMYFUNCTION("""COMPUTED_VALUE"""),"DailyValuation")</f>
        <v>DailyValuation</v>
      </c>
      <c r="B254" t="str">
        <f>IFERROR(__xludf.DUMMYFUNCTION("""COMPUTED_VALUE"""),"RemoveDailyCreditLimit")</f>
        <v>RemoveDailyCreditLimit</v>
      </c>
      <c r="C254" t="str">
        <f>IFERROR(__xludf.DUMMYFUNCTION("""COMPUTED_VALUE"""),"1uLdemvg5SsNtTpZzTRX03wcYmYQsfkgO_nbn3yRqMjQ")</f>
        <v>1uLdemvg5SsNtTpZzTRX03wcYmYQsfkgO_nbn3yRqMjQ</v>
      </c>
    </row>
    <row r="255" ht="15.75" customHeight="1">
      <c r="A255" t="str">
        <f>IFERROR(__xludf.DUMMYFUNCTION("""COMPUTED_VALUE"""),"DailyValuation")</f>
        <v>DailyValuation</v>
      </c>
      <c r="B255" t="str">
        <f>IFERROR(__xludf.DUMMYFUNCTION("""COMPUTED_VALUE"""),"RemoveDailyCash")</f>
        <v>RemoveDailyCash</v>
      </c>
      <c r="C255" t="str">
        <f>IFERROR(__xludf.DUMMYFUNCTION("""COMPUTED_VALUE"""),"1MrTHenFxkF5J71zXMaCuxQQEn0MTKrzO5gQMAwfQKRs")</f>
        <v>1MrTHenFxkF5J71zXMaCuxQQEn0MTKrzO5gQMAwfQKRs</v>
      </c>
    </row>
    <row r="256" ht="15.75" customHeight="1">
      <c r="A256" t="str">
        <f>IFERROR(__xludf.DUMMYFUNCTION("""COMPUTED_VALUE"""),"DailyValuation")</f>
        <v>DailyValuation</v>
      </c>
      <c r="B256" t="str">
        <f>IFERROR(__xludf.DUMMYFUNCTION("""COMPUTED_VALUE"""),"RemoveNAV")</f>
        <v>RemoveNAV</v>
      </c>
      <c r="C256" t="str">
        <f>IFERROR(__xludf.DUMMYFUNCTION("""COMPUTED_VALUE"""),"1eaoIETDNb24RXEreULlqBhqvx-wzyLQ-QZEGx6OOWIk")</f>
        <v>1eaoIETDNb24RXEreULlqBhqvx-wzyLQ-QZEGx6OOWIk</v>
      </c>
    </row>
    <row r="257" ht="15.75" customHeight="1">
      <c r="A257" t="str">
        <f>IFERROR(__xludf.DUMMYFUNCTION("""COMPUTED_VALUE"""),"PortfolioManagement")</f>
        <v>PortfolioManagement</v>
      </c>
      <c r="B257" t="str">
        <f>IFERROR(__xludf.DUMMYFUNCTION("""COMPUTED_VALUE"""),"FilterPM")</f>
        <v>FilterPM</v>
      </c>
      <c r="C257" t="str">
        <f>IFERROR(__xludf.DUMMYFUNCTION("""COMPUTED_VALUE"""),"1yC8Wv8pFz-xSKCh-BNoBEG_jvndfI1AIgV0zSlSDMI0")</f>
        <v>1yC8Wv8pFz-xSKCh-BNoBEG_jvndfI1AIgV0zSlSDMI0</v>
      </c>
    </row>
    <row r="258" ht="15.75" customHeight="1">
      <c r="A258" t="str">
        <f>IFERROR(__xludf.DUMMYFUNCTION("""COMPUTED_VALUE"""),"PortfolioManagement")</f>
        <v>PortfolioManagement</v>
      </c>
      <c r="B258" t="str">
        <f>IFERROR(__xludf.DUMMYFUNCTION("""COMPUTED_VALUE"""),"GroupRowPM")</f>
        <v>GroupRowPM</v>
      </c>
      <c r="C258" t="str">
        <f>IFERROR(__xludf.DUMMYFUNCTION("""COMPUTED_VALUE"""),"1BwceFfRFXBSOniiRhT1Nl_2D9MTRETjYIb7ZHUU6W4c")</f>
        <v>1BwceFfRFXBSOniiRhT1Nl_2D9MTRETjYIb7ZHUU6W4c</v>
      </c>
    </row>
    <row r="259" ht="15.75" customHeight="1">
      <c r="A259" t="str">
        <f>IFERROR(__xludf.DUMMYFUNCTION("""COMPUTED_VALUE"""),"Allocation")</f>
        <v>Allocation</v>
      </c>
      <c r="B259" t="str">
        <f>IFERROR(__xludf.DUMMYFUNCTION("""COMPUTED_VALUE"""),"CloseAllocation")</f>
        <v>CloseAllocation</v>
      </c>
      <c r="C259" t="str">
        <f>IFERROR(__xludf.DUMMYFUNCTION("""COMPUTED_VALUE"""),"Undefined")</f>
        <v>Undefined</v>
      </c>
    </row>
    <row r="260" ht="15.75" customHeight="1">
      <c r="A260" t="str">
        <f>IFERROR(__xludf.DUMMYFUNCTION("""COMPUTED_VALUE"""),"PortfolioManagement")</f>
        <v>PortfolioManagement</v>
      </c>
      <c r="B260" t="str">
        <f>IFERROR(__xludf.DUMMYFUNCTION("""COMPUTED_VALUE"""),"CheckDashboardWithPM")</f>
        <v>CheckDashboardWithPM</v>
      </c>
      <c r="C260" t="str">
        <f>IFERROR(__xludf.DUMMYFUNCTION("""COMPUTED_VALUE"""),"Undefined")</f>
        <v>Undefined</v>
      </c>
    </row>
    <row r="261" ht="15.75" customHeight="1">
      <c r="A261" t="str">
        <f>IFERROR(__xludf.DUMMYFUNCTION("""COMPUTED_VALUE"""),"PortfolioManagement")</f>
        <v>PortfolioManagement</v>
      </c>
      <c r="B261" t="str">
        <f>IFERROR(__xludf.DUMMYFUNCTION("""COMPUTED_VALUE"""),"RemoveFilterPM")</f>
        <v>RemoveFilterPM</v>
      </c>
      <c r="C261" t="str">
        <f>IFERROR(__xludf.DUMMYFUNCTION("""COMPUTED_VALUE"""),"Undefined")</f>
        <v>Undefined</v>
      </c>
    </row>
    <row r="262" ht="15.75" customHeight="1">
      <c r="A262" t="str">
        <f>IFERROR(__xludf.DUMMYFUNCTION("""COMPUTED_VALUE"""),"PortfolioManagement")</f>
        <v>PortfolioManagement</v>
      </c>
      <c r="B262" t="str">
        <f>IFERROR(__xludf.DUMMYFUNCTION("""COMPUTED_VALUE"""),"CheckSummaryRowsPM")</f>
        <v>CheckSummaryRowsPM</v>
      </c>
      <c r="C262" t="str">
        <f>IFERROR(__xludf.DUMMYFUNCTION("""COMPUTED_VALUE"""),"1Rvzh-eJXivhL6DEagE3qvEb1nFNqCrK4C1CGKgbWGc8")</f>
        <v>1Rvzh-eJXivhL6DEagE3qvEb1nFNqCrK4C1CGKgbWGc8</v>
      </c>
    </row>
    <row r="263" ht="15.75" customHeight="1">
      <c r="A263" t="str">
        <f>IFERROR(__xludf.DUMMYFUNCTION("""COMPUTED_VALUE"""),"GeneralLedger")</f>
        <v>GeneralLedger</v>
      </c>
      <c r="B263" t="str">
        <f>IFERROR(__xludf.DUMMYFUNCTION("""COMPUTED_VALUE"""),"CloseGeneralLedger")</f>
        <v>CloseGeneralLedger</v>
      </c>
      <c r="C263" t="str">
        <f>IFERROR(__xludf.DUMMYFUNCTION("""COMPUTED_VALUE"""),"Undefined")</f>
        <v>Undefined</v>
      </c>
    </row>
    <row r="264" ht="15.75" customHeight="1">
      <c r="A264" t="str">
        <f>IFERROR(__xludf.DUMMYFUNCTION("""COMPUTED_VALUE"""),"Blotter")</f>
        <v>Blotter</v>
      </c>
      <c r="B264" t="str">
        <f>IFERROR(__xludf.DUMMYFUNCTION("""COMPUTED_VALUE"""),"ReplaceStageOrder")</f>
        <v>ReplaceStageOrder</v>
      </c>
      <c r="C264" t="str">
        <f>IFERROR(__xludf.DUMMYFUNCTION("""COMPUTED_VALUE"""),"1Jso0TC_FWBB044YhD7W2BtiwhvzHb7EOgl_rdA3HFR0")</f>
        <v>1Jso0TC_FWBB044YhD7W2BtiwhvzHb7EOgl_rdA3HFR0</v>
      </c>
    </row>
    <row r="265" ht="15.75" customHeight="1">
      <c r="A265" t="str">
        <f>IFERROR(__xludf.DUMMYFUNCTION("""COMPUTED_VALUE"""),"GeneralLedger")</f>
        <v>GeneralLedger</v>
      </c>
      <c r="B265" t="str">
        <f>IFERROR(__xludf.DUMMYFUNCTION("""COMPUTED_VALUE"""),"VerifyAccountDetails")</f>
        <v>VerifyAccountDetails</v>
      </c>
      <c r="C265" t="str">
        <f>IFERROR(__xludf.DUMMYFUNCTION("""COMPUTED_VALUE"""),"1uyuwvv3L3R9HyXKpbUMYRZcMqOcR0HdO9g8C50GvA7o")</f>
        <v>1uyuwvv3L3R9HyXKpbUMYRZcMqOcR0HdO9g8C50GvA7o</v>
      </c>
    </row>
    <row r="266" ht="15.75" customHeight="1">
      <c r="A266" t="str">
        <f>IFERROR(__xludf.DUMMYFUNCTION("""COMPUTED_VALUE"""),"TradingTicket")</f>
        <v>TradingTicket</v>
      </c>
      <c r="B266" t="str">
        <f>IFERROR(__xludf.DUMMYFUNCTION("""COMPUTED_VALUE"""),"CreateNewSubOrder")</f>
        <v>CreateNewSubOrder</v>
      </c>
      <c r="C266" t="str">
        <f>IFERROR(__xludf.DUMMYFUNCTION("""COMPUTED_VALUE"""),"1AstfuV459BqKeepu1MNmnf9RnELNSqTbT8n5dWFhU4A")</f>
        <v>1AstfuV459BqKeepu1MNmnf9RnELNSqTbT8n5dWFhU4A</v>
      </c>
    </row>
    <row r="267" ht="15.75" customHeight="1">
      <c r="A267" t="str">
        <f>IFERROR(__xludf.DUMMYFUNCTION("""COMPUTED_VALUE"""),"CreateTransaction")</f>
        <v>CreateTransaction</v>
      </c>
      <c r="B267" t="str">
        <f>IFERROR(__xludf.DUMMYFUNCTION("""COMPUTED_VALUE"""),"AddNewTransaction")</f>
        <v>AddNewTransaction</v>
      </c>
      <c r="C267" t="str">
        <f>IFERROR(__xludf.DUMMYFUNCTION("""COMPUTED_VALUE"""),"109VETDxhCZifjTuw0RgdbIACi58AzIZl3dDnb6i6XHo")</f>
        <v>109VETDxhCZifjTuw0RgdbIACi58AzIZl3dDnb6i6XHo</v>
      </c>
    </row>
    <row r="268" ht="15.75" customHeight="1">
      <c r="A268" t="str">
        <f>IFERROR(__xludf.DUMMYFUNCTION("""COMPUTED_VALUE"""),"TradingTicket")</f>
        <v>TradingTicket</v>
      </c>
      <c r="B268" t="str">
        <f>IFERROR(__xludf.DUMMYFUNCTION("""COMPUTED_VALUE"""),"TradeBloomberg")</f>
        <v>TradeBloomberg</v>
      </c>
      <c r="C268" t="str">
        <f>IFERROR(__xludf.DUMMYFUNCTION("""COMPUTED_VALUE"""),"1XdZaKDGYgE9-tKFQso0HKZSgkAxkpHZOvbFRHMlZ3xA")</f>
        <v>1XdZaKDGYgE9-tKFQso0HKZSgkAxkpHZOvbFRHMlZ3xA</v>
      </c>
    </row>
    <row r="269" ht="15.75" customHeight="1">
      <c r="A269" t="str">
        <f>IFERROR(__xludf.DUMMYFUNCTION("""COMPUTED_VALUE"""),"TradingTicket")</f>
        <v>TradingTicket</v>
      </c>
      <c r="B269" t="str">
        <f>IFERROR(__xludf.DUMMYFUNCTION("""COMPUTED_VALUE"""),"ClickSymbolLookup")</f>
        <v>ClickSymbolLookup</v>
      </c>
      <c r="C269" t="str">
        <f>IFERROR(__xludf.DUMMYFUNCTION("""COMPUTED_VALUE"""),"1tUAq8qQntTSgASBY91fvVU8snKI0bJhC-FtS9W_wbzg")</f>
        <v>1tUAq8qQntTSgASBY91fvVU8snKI0bJhC-FtS9W_wbzg</v>
      </c>
    </row>
    <row r="270" ht="15.75" customHeight="1">
      <c r="A270" t="str">
        <f>IFERROR(__xludf.DUMMYFUNCTION("""COMPUTED_VALUE"""),"PricingServer")</f>
        <v>PricingServer</v>
      </c>
      <c r="B270" t="str">
        <f>IFERROR(__xludf.DUMMYFUNCTION("""COMPUTED_VALUE"""),"RestartPricingServer")</f>
        <v>RestartPricingServer</v>
      </c>
      <c r="C270" t="str">
        <f>IFERROR(__xludf.DUMMYFUNCTION("""COMPUTED_VALUE"""),"1Bno1TrJBKAvxD0_Fata4ZCQmTQjAVzTeScSoEZObcVU")</f>
        <v>1Bno1TrJBKAvxD0_Fata4ZCQmTQjAVzTeScSoEZObcVU</v>
      </c>
    </row>
    <row r="271" ht="15.75" customHeight="1">
      <c r="A271" t="str">
        <f>IFERROR(__xludf.DUMMYFUNCTION("""COMPUTED_VALUE"""),"TradeServer")</f>
        <v>TradeServer</v>
      </c>
      <c r="B271" t="str">
        <f>IFERROR(__xludf.DUMMYFUNCTION("""COMPUTED_VALUE"""),"RestartServer")</f>
        <v>RestartServer</v>
      </c>
      <c r="C271" t="str">
        <f>IFERROR(__xludf.DUMMYFUNCTION("""COMPUTED_VALUE"""),"1rgd2fe8QniENxU_y5tc12gCzhrYT-gekVPiniOFI6kw")</f>
        <v>1rgd2fe8QniENxU_y5tc12gCzhrYT-gekVPiniOFI6kw</v>
      </c>
    </row>
    <row r="272" ht="15.75" customHeight="1">
      <c r="A272" t="str">
        <f>IFERROR(__xludf.DUMMYFUNCTION("""COMPUTED_VALUE"""),"PranaClient")</f>
        <v>PranaClient</v>
      </c>
      <c r="B272" t="str">
        <f>IFERROR(__xludf.DUMMYFUNCTION("""COMPUTED_VALUE"""),"RestartClient")</f>
        <v>RestartClient</v>
      </c>
      <c r="C272" t="str">
        <f>IFERROR(__xludf.DUMMYFUNCTION("""COMPUTED_VALUE"""),"17HcIdum8zZH8Ni0jqEsdVE8-5i_Pp7PnFRmrFAMw42c")</f>
        <v>17HcIdum8zZH8Ni0jqEsdVE8-5i_Pp7PnFRmrFAMw42c</v>
      </c>
    </row>
    <row r="273" ht="15.75" customHeight="1">
      <c r="A273" t="str">
        <f>IFERROR(__xludf.DUMMYFUNCTION("""COMPUTED_VALUE"""),"PTT")</f>
        <v>PTT</v>
      </c>
      <c r="B273" t="str">
        <f>IFERROR(__xludf.DUMMYFUNCTION("""COMPUTED_VALUE"""),"CalculatePTT")</f>
        <v>CalculatePTT</v>
      </c>
      <c r="C273" t="str">
        <f>IFERROR(__xludf.DUMMYFUNCTION("""COMPUTED_VALUE"""),"1Usd8z5f1Gxiq2eU1suYXk3Wr-DyU1ioP01IpI3fb7HU")</f>
        <v>1Usd8z5f1Gxiq2eU1suYXk3Wr-DyU1ioP01IpI3fb7HU</v>
      </c>
    </row>
    <row r="274" ht="15.75" customHeight="1">
      <c r="A274" t="str">
        <f>IFERROR(__xludf.DUMMYFUNCTION("""COMPUTED_VALUE"""),"PTT")</f>
        <v>PTT</v>
      </c>
      <c r="B274" t="str">
        <f>IFERROR(__xludf.DUMMYFUNCTION("""COMPUTED_VALUE"""),"TradeUsingPTT")</f>
        <v>TradeUsingPTT</v>
      </c>
      <c r="C274" t="str">
        <f>IFERROR(__xludf.DUMMYFUNCTION("""COMPUTED_VALUE"""),"1eQN7kJn_D3eEi6utF462OrYRTnClw3BNXwnf8Nb24kE")</f>
        <v>1eQN7kJn_D3eEi6utF462OrYRTnClw3BNXwnf8Nb24kE</v>
      </c>
    </row>
    <row r="275" ht="15.75" customHeight="1">
      <c r="A275" t="str">
        <f>IFERROR(__xludf.DUMMYFUNCTION("""COMPUTED_VALUE"""),"PTT")</f>
        <v>PTT</v>
      </c>
      <c r="B275" t="str">
        <f>IFERROR(__xludf.DUMMYFUNCTION("""COMPUTED_VALUE"""),"VerifyPTTCompliance")</f>
        <v>VerifyPTTCompliance</v>
      </c>
      <c r="C275" t="str">
        <f>IFERROR(__xludf.DUMMYFUNCTION("""COMPUTED_VALUE"""),"1Vpasp_hFXJJz1bHltjhvLZZAgyBDtgwZwPCC3yE2F7E")</f>
        <v>1Vpasp_hFXJJz1bHltjhvLZZAgyBDtgwZwPCC3yE2F7E</v>
      </c>
    </row>
    <row r="276" ht="15.75" customHeight="1">
      <c r="A276" t="str">
        <f>IFERROR(__xludf.DUMMYFUNCTION("""COMPUTED_VALUE"""),"PTT")</f>
        <v>PTT</v>
      </c>
      <c r="B276" t="str">
        <f>IFERROR(__xludf.DUMMYFUNCTION("""COMPUTED_VALUE"""),"StageOrderUsingPTT")</f>
        <v>StageOrderUsingPTT</v>
      </c>
      <c r="C276" t="str">
        <f>IFERROR(__xludf.DUMMYFUNCTION("""COMPUTED_VALUE"""),"1aPIvRy1g73wuE_MnfsS9_6sZL8WBRMC5OSbBMVFTwZ4")</f>
        <v>1aPIvRy1g73wuE_MnfsS9_6sZL8WBRMC5OSbBMVFTwZ4</v>
      </c>
    </row>
    <row r="277" ht="15.75" customHeight="1">
      <c r="A277" t="str">
        <f>IFERROR(__xludf.DUMMYFUNCTION("""COMPUTED_VALUE"""),"PTT")</f>
        <v>PTT</v>
      </c>
      <c r="B277" t="str">
        <f>IFERROR(__xludf.DUMMYFUNCTION("""COMPUTED_VALUE"""),"CreateOrderPTT")</f>
        <v>CreateOrderPTT</v>
      </c>
      <c r="C277" t="str">
        <f>IFERROR(__xludf.DUMMYFUNCTION("""COMPUTED_VALUE"""),"1clS5unmZ92YCMaKCVLJ3r_ShuU8JBprNUpRv8R82FGU")</f>
        <v>1clS5unmZ92YCMaKCVLJ3r_ShuU8JBprNUpRv8R82FGU</v>
      </c>
    </row>
    <row r="278" ht="15.75" customHeight="1">
      <c r="A278" t="str">
        <f>IFERROR(__xludf.DUMMYFUNCTION("""COMPUTED_VALUE"""),"PTT")</f>
        <v>PTT</v>
      </c>
      <c r="B278" t="str">
        <f>IFERROR(__xludf.DUMMYFUNCTION("""COMPUTED_VALUE"""),"TradePTT")</f>
        <v>TradePTT</v>
      </c>
      <c r="C278" t="str">
        <f>IFERROR(__xludf.DUMMYFUNCTION("""COMPUTED_VALUE"""),"1B0mYySs5M1I6dikafVQ-4neiuHI-Vn_CefIpGSizjjc")</f>
        <v>1B0mYySs5M1I6dikafVQ-4neiuHI-Vn_CefIpGSizjjc</v>
      </c>
    </row>
    <row r="279" ht="15.75" customHeight="1">
      <c r="A279" t="str">
        <f>IFERROR(__xludf.DUMMYFUNCTION("""COMPUTED_VALUE"""),"PTT")</f>
        <v>PTT</v>
      </c>
      <c r="B279" t="str">
        <f>IFERROR(__xludf.DUMMYFUNCTION("""COMPUTED_VALUE"""),"VerifyPTT")</f>
        <v>VerifyPTT</v>
      </c>
      <c r="C279" t="str">
        <f>IFERROR(__xludf.DUMMYFUNCTION("""COMPUTED_VALUE"""),"1DhRXM2fca9wmYyaQSNF2bw07jlvNCvnHLL6qkOh4VYI")</f>
        <v>1DhRXM2fca9wmYyaQSNF2bw07jlvNCvnHLL6qkOh4VYI</v>
      </c>
    </row>
    <row r="280" ht="15.75" customHeight="1">
      <c r="A280" t="str">
        <f>IFERROR(__xludf.DUMMYFUNCTION("""COMPUTED_VALUE"""),"PortfolioManagement")</f>
        <v>PortfolioManagement</v>
      </c>
      <c r="B280" t="str">
        <f>IFERROR(__xludf.DUMMYFUNCTION("""COMPUTED_VALUE"""),"OpenPTTFromPM")</f>
        <v>OpenPTTFromPM</v>
      </c>
      <c r="C280" t="str">
        <f>IFERROR(__xludf.DUMMYFUNCTION("""COMPUTED_VALUE"""),"1VIvijDDAhEkPlk94McsOVF8Jhhp0VL5XZT6HhpFL9Zc")</f>
        <v>1VIvijDDAhEkPlk94McsOVF8Jhhp0VL5XZT6HhpFL9Zc</v>
      </c>
    </row>
    <row r="281" ht="15.75" customHeight="1">
      <c r="A281" t="str">
        <f>IFERROR(__xludf.DUMMYFUNCTION("""COMPUTED_VALUE"""),"PTT")</f>
        <v>PTT</v>
      </c>
      <c r="B281" t="str">
        <f>IFERROR(__xludf.DUMMYFUNCTION("""COMPUTED_VALUE"""),"OpenMultiTTFromPTT")</f>
        <v>OpenMultiTTFromPTT</v>
      </c>
      <c r="C281" t="str">
        <f>IFERROR(__xludf.DUMMYFUNCTION("""COMPUTED_VALUE"""),"1yFz_O3Qa1RLU4rwM7B95-FObIdnsJkq5W3t8wb25pwk")</f>
        <v>1yFz_O3Qa1RLU4rwM7B95-FObIdnsJkq5W3t8wb25pwk</v>
      </c>
    </row>
    <row r="282" ht="15.75" customHeight="1">
      <c r="A282" t="str">
        <f>IFERROR(__xludf.DUMMYFUNCTION("""COMPUTED_VALUE"""),"PTT")</f>
        <v>PTT</v>
      </c>
      <c r="B282" t="str">
        <f>IFERROR(__xludf.DUMMYFUNCTION("""COMPUTED_VALUE"""),"SelectMultiTT")</f>
        <v>SelectMultiTT</v>
      </c>
      <c r="C282" t="str">
        <f>IFERROR(__xludf.DUMMYFUNCTION("""COMPUTED_VALUE"""),"11zVa4QDQKlc2xL6L7T4ZkXvvPbqsdUS4dwdtv-vQckA")</f>
        <v>11zVa4QDQKlc2xL6L7T4ZkXvvPbqsdUS4dwdtv-vQckA</v>
      </c>
    </row>
    <row r="283" ht="15.75" customHeight="1">
      <c r="A283" t="str">
        <f>IFERROR(__xludf.DUMMYFUNCTION("""COMPUTED_VALUE"""),"PTT")</f>
        <v>PTT</v>
      </c>
      <c r="B283" t="str">
        <f>IFERROR(__xludf.DUMMYFUNCTION("""COMPUTED_VALUE"""),"EditMultiTT")</f>
        <v>EditMultiTT</v>
      </c>
      <c r="C283" t="str">
        <f>IFERROR(__xludf.DUMMYFUNCTION("""COMPUTED_VALUE"""),"1TP115IJHmOPYWofIcvK8Qm4INI0h3lVcWYgM7A1GDY0")</f>
        <v>1TP115IJHmOPYWofIcvK8Qm4INI0h3lVcWYgM7A1GDY0</v>
      </c>
    </row>
    <row r="284" ht="15.75" customHeight="1">
      <c r="A284" t="str">
        <f>IFERROR(__xludf.DUMMYFUNCTION("""COMPUTED_VALUE"""),"MultiTradingTicket")</f>
        <v>MultiTradingTicket</v>
      </c>
      <c r="B284" t="str">
        <f>IFERROR(__xludf.DUMMYFUNCTION("""COMPUTED_VALUE"""),"EditTradeUsingMTT")</f>
        <v>EditTradeUsingMTT</v>
      </c>
      <c r="C284" t="str">
        <f>IFERROR(__xludf.DUMMYFUNCTION("""COMPUTED_VALUE"""),"1VaJGHF0zBhhJsVgD_iWrTX0Nr78l3r6Vi8qxUzFqfpg")</f>
        <v>1VaJGHF0zBhhJsVgD_iWrTX0Nr78l3r6Vi8qxUzFqfpg</v>
      </c>
    </row>
    <row r="285" ht="15.75" customHeight="1">
      <c r="A285" t="str">
        <f>IFERROR(__xludf.DUMMYFUNCTION("""COMPUTED_VALUE"""),"MultiTradingTicket")</f>
        <v>MultiTradingTicket</v>
      </c>
      <c r="B285" t="str">
        <f>IFERROR(__xludf.DUMMYFUNCTION("""COMPUTED_VALUE"""),"SelectTradeUsingMTT")</f>
        <v>SelectTradeUsingMTT</v>
      </c>
      <c r="C285" t="str">
        <f>IFERROR(__xludf.DUMMYFUNCTION("""COMPUTED_VALUE"""),"1S084g8k68lhm_CzYP_s6hwzDsfQY_6PB602z30FlPho")</f>
        <v>1S084g8k68lhm_CzYP_s6hwzDsfQY_6PB602z30FlPho</v>
      </c>
    </row>
    <row r="286" ht="15.75" customHeight="1">
      <c r="A286" t="str">
        <f>IFERROR(__xludf.DUMMYFUNCTION("""COMPUTED_VALUE"""),"MultiTradingTicket")</f>
        <v>MultiTradingTicket</v>
      </c>
      <c r="B286" t="str">
        <f>IFERROR(__xludf.DUMMYFUNCTION("""COMPUTED_VALUE"""),"GetPriceUsingMTT")</f>
        <v>GetPriceUsingMTT</v>
      </c>
      <c r="C286" t="str">
        <f>IFERROR(__xludf.DUMMYFUNCTION("""COMPUTED_VALUE"""),"1_MlZUjk6ONPxfNtDIiycrqW9OaNnNF1m2u9LLf-5PcQ")</f>
        <v>1_MlZUjk6ONPxfNtDIiycrqW9OaNnNF1m2u9LLf-5PcQ</v>
      </c>
    </row>
    <row r="287" ht="15.75" customHeight="1">
      <c r="A287" t="str">
        <f>IFERROR(__xludf.DUMMYFUNCTION("""COMPUTED_VALUE"""),"MultiTradingTicket")</f>
        <v>MultiTradingTicket</v>
      </c>
      <c r="B287" t="str">
        <f>IFERROR(__xludf.DUMMYFUNCTION("""COMPUTED_VALUE"""),"DoneAwayUsingMTT")</f>
        <v>DoneAwayUsingMTT</v>
      </c>
      <c r="C287" t="str">
        <f>IFERROR(__xludf.DUMMYFUNCTION("""COMPUTED_VALUE"""),"17UYmoBLvsngTQLOZr9QrA8jxOAd0meDTXmZZyvI3OXI")</f>
        <v>17UYmoBLvsngTQLOZr9QrA8jxOAd0meDTXmZZyvI3OXI</v>
      </c>
    </row>
    <row r="288" ht="15.75" customHeight="1">
      <c r="A288" t="str">
        <f>IFERROR(__xludf.DUMMYFUNCTION("""COMPUTED_VALUE"""),"MultiTradingTicket")</f>
        <v>MultiTradingTicket</v>
      </c>
      <c r="B288" t="str">
        <f>IFERROR(__xludf.DUMMYFUNCTION("""COMPUTED_VALUE"""),"SendOrderUsingMTT")</f>
        <v>SendOrderUsingMTT</v>
      </c>
      <c r="C288" t="str">
        <f>IFERROR(__xludf.DUMMYFUNCTION("""COMPUTED_VALUE"""),"1Ncu0Zw9d-NZRpdNoPkeEXa5zXKF9E-P2wsxlX0wuyrc")</f>
        <v>1Ncu0Zw9d-NZRpdNoPkeEXa5zXKF9E-P2wsxlX0wuyrc</v>
      </c>
    </row>
    <row r="289" ht="15.75" customHeight="1">
      <c r="A289" t="str">
        <f>IFERROR(__xludf.DUMMYFUNCTION("""COMPUTED_VALUE"""),"Allocation")</f>
        <v>Allocation</v>
      </c>
      <c r="B289" t="str">
        <f>IFERROR(__xludf.DUMMYFUNCTION("""COMPUTED_VALUE"""),"UpdateGRAccountValue")</f>
        <v>UpdateGRAccountValue</v>
      </c>
      <c r="C289" t="str">
        <f>IFERROR(__xludf.DUMMYFUNCTION("""COMPUTED_VALUE"""),"1JNw9FkwFpwS2PGoV2iPz2qmPWmsTb8csLDPno0EuKzY")</f>
        <v>1JNw9FkwFpwS2PGoV2iPz2qmPWmsTb8csLDPno0EuKzY</v>
      </c>
    </row>
    <row r="290" ht="15.75" customHeight="1">
      <c r="A290" t="str">
        <f>IFERROR(__xludf.DUMMYFUNCTION("""COMPUTED_VALUE"""),"MultiTradingTicket")</f>
        <v>MultiTradingTicket</v>
      </c>
      <c r="B290" t="str">
        <f>IFERROR(__xludf.DUMMYFUNCTION("""COMPUTED_VALUE"""),"BulkChangeTradeDoneAway")</f>
        <v>BulkChangeTradeDoneAway</v>
      </c>
      <c r="C290" t="str">
        <f>IFERROR(__xludf.DUMMYFUNCTION("""COMPUTED_VALUE"""),"18XNfQJN7Pu4gTl1w2NXXhtl6NZpq3a53C0HJQ6Sp57c")</f>
        <v>18XNfQJN7Pu4gTl1w2NXXhtl6NZpq3a53C0HJQ6Sp57c</v>
      </c>
    </row>
    <row r="291" ht="15.75" customHeight="1">
      <c r="A291" t="str">
        <f>IFERROR(__xludf.DUMMYFUNCTION("""COMPUTED_VALUE"""),"Allocation")</f>
        <v>Allocation</v>
      </c>
      <c r="B291" t="str">
        <f>IFERROR(__xludf.DUMMYFUNCTION("""COMPUTED_VALUE"""),"UpdateGRStrategyValue")</f>
        <v>UpdateGRStrategyValue</v>
      </c>
      <c r="C291" t="str">
        <f>IFERROR(__xludf.DUMMYFUNCTION("""COMPUTED_VALUE"""),"1rMIUfcuqi6w1rhs_b8qvPSRahQ4icKmE0M2aOjPpKes")</f>
        <v>1rMIUfcuqi6w1rhs_b8qvPSRahQ4icKmE0M2aOjPpKes</v>
      </c>
    </row>
    <row r="292" ht="15.75" customHeight="1">
      <c r="A292" t="str">
        <f>IFERROR(__xludf.DUMMYFUNCTION("""COMPUTED_VALUE"""),"Allocation")</f>
        <v>Allocation</v>
      </c>
      <c r="B292" t="str">
        <f>IFERROR(__xludf.DUMMYFUNCTION("""COMPUTED_VALUE"""),"UpdateGRDefaultRule")</f>
        <v>UpdateGRDefaultRule</v>
      </c>
      <c r="C292" t="str">
        <f>IFERROR(__xludf.DUMMYFUNCTION("""COMPUTED_VALUE"""),"1pw1PrdXa_R5C5EukiFRPZWxGGq7JT9Agg84XvlWtXHM")</f>
        <v>1pw1PrdXa_R5C5EukiFRPZWxGGq7JT9Agg84XvlWtXHM</v>
      </c>
    </row>
    <row r="293" ht="15.75" customHeight="1">
      <c r="A293" t="str">
        <f>IFERROR(__xludf.DUMMYFUNCTION("""COMPUTED_VALUE"""),"Allocation")</f>
        <v>Allocation</v>
      </c>
      <c r="B293" t="str">
        <f>IFERROR(__xludf.DUMMYFUNCTION("""COMPUTED_VALUE"""),"UpdateGeneralRulePref")</f>
        <v>UpdateGeneralRulePref</v>
      </c>
      <c r="C293" t="str">
        <f>IFERROR(__xludf.DUMMYFUNCTION("""COMPUTED_VALUE"""),"Undefined")</f>
        <v>Undefined</v>
      </c>
    </row>
    <row r="294" ht="15.75" customHeight="1">
      <c r="A294" t="str">
        <f>IFERROR(__xludf.DUMMYFUNCTION("""COMPUTED_VALUE"""),"Blotter")</f>
        <v>Blotter</v>
      </c>
      <c r="B294" t="str">
        <f>IFERROR(__xludf.DUMMYFUNCTION("""COMPUTED_VALUE"""),"MultiTradingTicketFromBlotter")</f>
        <v>MultiTradingTicketFromBlotter</v>
      </c>
      <c r="C294" t="str">
        <f>IFERROR(__xludf.DUMMYFUNCTION("""COMPUTED_VALUE"""),"18LoNnAmIEkgMbba_u6IGuxxf0-Qe0rEpckSjd2uUouw")</f>
        <v>18LoNnAmIEkgMbba_u6IGuxxf0-Qe0rEpckSjd2uUouw</v>
      </c>
    </row>
    <row r="295" ht="15.75" customHeight="1">
      <c r="A295" t="str">
        <f>IFERROR(__xludf.DUMMYFUNCTION("""COMPUTED_VALUE"""),"CleanUp")</f>
        <v>CleanUp</v>
      </c>
      <c r="B295" t="str">
        <f>IFERROR(__xludf.DUMMYFUNCTION("""COMPUTED_VALUE"""),"DeleteClientData")</f>
        <v>DeleteClientData</v>
      </c>
      <c r="C295" t="str">
        <f>IFERROR(__xludf.DUMMYFUNCTION("""COMPUTED_VALUE"""),"1M-iHFf8UTEustA_Kaho7JrgnPvw5cftqwiBeRmymzB8")</f>
        <v>1M-iHFf8UTEustA_Kaho7JrgnPvw5cftqwiBeRmymzB8</v>
      </c>
    </row>
    <row r="296" ht="15.75" customHeight="1">
      <c r="A296" t="str">
        <f>IFERROR(__xludf.DUMMYFUNCTION("""COMPUTED_VALUE"""),"Allocation")</f>
        <v>Allocation</v>
      </c>
      <c r="B296" t="str">
        <f>IFERROR(__xludf.DUMMYFUNCTION("""COMPUTED_VALUE"""),"ModifyGRPreferenceValues")</f>
        <v>ModifyGRPreferenceValues</v>
      </c>
      <c r="C296" t="str">
        <f>IFERROR(__xludf.DUMMYFUNCTION("""COMPUTED_VALUE"""),"Undefined")</f>
        <v>Undefined</v>
      </c>
    </row>
    <row r="297" ht="15.75" customHeight="1">
      <c r="A297" t="str">
        <f>IFERROR(__xludf.DUMMYFUNCTION("""COMPUTED_VALUE"""),"Allocation")</f>
        <v>Allocation</v>
      </c>
      <c r="B297" t="str">
        <f>IFERROR(__xludf.DUMMYFUNCTION("""COMPUTED_VALUE"""),"AddMFPreferences")</f>
        <v>AddMFPreferences</v>
      </c>
      <c r="C297" t="str">
        <f>IFERROR(__xludf.DUMMYFUNCTION("""COMPUTED_VALUE"""),"1IlEdaeUqOBtg4mM4gYsuJa70B8Sbnp7plSyIOiAVIgk")</f>
        <v>1IlEdaeUqOBtg4mM4gYsuJa70B8Sbnp7plSyIOiAVIgk</v>
      </c>
    </row>
    <row r="298" ht="15.75" customHeight="1">
      <c r="A298" t="str">
        <f>IFERROR(__xludf.DUMMYFUNCTION("""COMPUTED_VALUE"""),"Allocation")</f>
        <v>Allocation</v>
      </c>
      <c r="B298" t="str">
        <f>IFERROR(__xludf.DUMMYFUNCTION("""COMPUTED_VALUE"""),"AddMFPreferenceToolbar")</f>
        <v>AddMFPreferenceToolbar</v>
      </c>
      <c r="C298" t="str">
        <f>IFERROR(__xludf.DUMMYFUNCTION("""COMPUTED_VALUE"""),"1dj8bA6nfZ1fxsLG7C3A_Ek0CtDIB8q7FR_rcxshATwQ")</f>
        <v>1dj8bA6nfZ1fxsLG7C3A_Ek0CtDIB8q7FR_rcxshATwQ</v>
      </c>
    </row>
    <row r="299" ht="15.75" customHeight="1">
      <c r="A299" t="str">
        <f>IFERROR(__xludf.DUMMYFUNCTION("""COMPUTED_VALUE"""),"Allocation")</f>
        <v>Allocation</v>
      </c>
      <c r="B299" t="str">
        <f>IFERROR(__xludf.DUMMYFUNCTION("""COMPUTED_VALUE"""),"DeleteMFPreferences")</f>
        <v>DeleteMFPreferences</v>
      </c>
      <c r="C299" t="str">
        <f>IFERROR(__xludf.DUMMYFUNCTION("""COMPUTED_VALUE"""),"1Dll2sWDtcfuwrpiTqSe-eN4inI0LypdXOVltGtNIqu8")</f>
        <v>1Dll2sWDtcfuwrpiTqSe-eN4inI0LypdXOVltGtNIqu8</v>
      </c>
    </row>
    <row r="300" ht="15.75" customHeight="1">
      <c r="A300" t="str">
        <f>IFERROR(__xludf.DUMMYFUNCTION("""COMPUTED_VALUE"""),"Allocation")</f>
        <v>Allocation</v>
      </c>
      <c r="B300" t="str">
        <f>IFERROR(__xludf.DUMMYFUNCTION("""COMPUTED_VALUE"""),"DeleteMFPreferenceToolbar")</f>
        <v>DeleteMFPreferenceToolbar</v>
      </c>
      <c r="C300" t="str">
        <f>IFERROR(__xludf.DUMMYFUNCTION("""COMPUTED_VALUE"""),"1lPnz-FV1f1G2GPvvQCySelg_zICYLc6nPkmy7MrNpX8")</f>
        <v>1lPnz-FV1f1G2GPvvQCySelg_zICYLc6nPkmy7MrNpX8</v>
      </c>
    </row>
    <row r="301" ht="15.75" customHeight="1">
      <c r="A301" t="str">
        <f>IFERROR(__xludf.DUMMYFUNCTION("""COMPUTED_VALUE"""),"Allocation")</f>
        <v>Allocation</v>
      </c>
      <c r="B301" t="str">
        <f>IFERROR(__xludf.DUMMYFUNCTION("""COMPUTED_VALUE"""),"RenameMFPreferences")</f>
        <v>RenameMFPreferences</v>
      </c>
      <c r="C301" t="str">
        <f>IFERROR(__xludf.DUMMYFUNCTION("""COMPUTED_VALUE"""),"16cTYyVqnDb0UBDA_IpfqwmNHyWAe8Ms-xO7jo-FKn0A")</f>
        <v>16cTYyVqnDb0UBDA_IpfqwmNHyWAe8Ms-xO7jo-FKn0A</v>
      </c>
    </row>
    <row r="302" ht="15.75" customHeight="1">
      <c r="A302" t="str">
        <f>IFERROR(__xludf.DUMMYFUNCTION("""COMPUTED_VALUE"""),"Allocation")</f>
        <v>Allocation</v>
      </c>
      <c r="B302" t="str">
        <f>IFERROR(__xludf.DUMMYFUNCTION("""COMPUTED_VALUE"""),"SaveCloseMFPreference")</f>
        <v>SaveCloseMFPreference</v>
      </c>
      <c r="C302" t="str">
        <f>IFERROR(__xludf.DUMMYFUNCTION("""COMPUTED_VALUE"""),"Undefined")</f>
        <v>Undefined</v>
      </c>
    </row>
    <row r="303" ht="15.75" customHeight="1">
      <c r="A303" t="str">
        <f>IFERROR(__xludf.DUMMYFUNCTION("""COMPUTED_VALUE"""),"Allocation")</f>
        <v>Allocation</v>
      </c>
      <c r="B303" t="str">
        <f>IFERROR(__xludf.DUMMYFUNCTION("""COMPUTED_VALUE"""),"SetMFPrefAccountValues")</f>
        <v>SetMFPrefAccountValues</v>
      </c>
      <c r="C303" t="str">
        <f>IFERROR(__xludf.DUMMYFUNCTION("""COMPUTED_VALUE"""),"1Owu2cic47Z8WbUo7WLWwgVPP5PNVHDHm-co-OUWbgmc")</f>
        <v>1Owu2cic47Z8WbUo7WLWwgVPP5PNVHDHm-co-OUWbgmc</v>
      </c>
    </row>
    <row r="304" ht="15.75" customHeight="1">
      <c r="A304" t="str">
        <f>IFERROR(__xludf.DUMMYFUNCTION("""COMPUTED_VALUE"""),"Allocation")</f>
        <v>Allocation</v>
      </c>
      <c r="B304" t="str">
        <f>IFERROR(__xludf.DUMMYFUNCTION("""COMPUTED_VALUE"""),"ModifyMFPrefGeneralRuleValues")</f>
        <v>ModifyMFPrefGeneralRuleValues</v>
      </c>
      <c r="C304" t="str">
        <f>IFERROR(__xludf.DUMMYFUNCTION("""COMPUTED_VALUE"""),"Undefined")</f>
        <v>Undefined</v>
      </c>
    </row>
    <row r="305" ht="15.75" customHeight="1">
      <c r="A305" t="str">
        <f>IFERROR(__xludf.DUMMYFUNCTION("""COMPUTED_VALUE"""),"Allocation")</f>
        <v>Allocation</v>
      </c>
      <c r="B305" t="str">
        <f>IFERROR(__xludf.DUMMYFUNCTION("""COMPUTED_VALUE"""),"SetMFPrefStrategyValues")</f>
        <v>SetMFPrefStrategyValues</v>
      </c>
      <c r="C305" t="str">
        <f>IFERROR(__xludf.DUMMYFUNCTION("""COMPUTED_VALUE"""),"1Y50AzSmKdg7JfFK_LD8Z_vfcYqmFBTY5OUH-3AWHhgI")</f>
        <v>1Y50AzSmKdg7JfFK_LD8Z_vfcYqmFBTY5OUH-3AWHhgI</v>
      </c>
    </row>
    <row r="306" ht="15.75" customHeight="1">
      <c r="A306" t="str">
        <f>IFERROR(__xludf.DUMMYFUNCTION("""COMPUTED_VALUE"""),"Allocation")</f>
        <v>Allocation</v>
      </c>
      <c r="B306" t="str">
        <f>IFERROR(__xludf.DUMMYFUNCTION("""COMPUTED_VALUE"""),"SetMFPrefGeneralRule")</f>
        <v>SetMFPrefGeneralRule</v>
      </c>
      <c r="C306" t="str">
        <f>IFERROR(__xludf.DUMMYFUNCTION("""COMPUTED_VALUE"""),"1wTPQxotwV6JCtfSovv5YJI6ZA3N8v8QfO3Rl7M8WBw4")</f>
        <v>1wTPQxotwV6JCtfSovv5YJI6ZA3N8v8QfO3Rl7M8WBw4</v>
      </c>
    </row>
    <row r="307" ht="15.75" customHeight="1">
      <c r="A307" t="str">
        <f>IFERROR(__xludf.DUMMYFUNCTION("""COMPUTED_VALUE"""),"Allocation")</f>
        <v>Allocation</v>
      </c>
      <c r="B307" t="str">
        <f>IFERROR(__xludf.DUMMYFUNCTION("""COMPUTED_VALUE"""),"SetMFPrefFundDistribution")</f>
        <v>SetMFPrefFundDistribution</v>
      </c>
      <c r="C307" t="str">
        <f>IFERROR(__xludf.DUMMYFUNCTION("""COMPUTED_VALUE"""),"1J8U9t3KVSIgtMdaCtvDl7vczUVKJ0rbXoktGlC0pouM")</f>
        <v>1J8U9t3KVSIgtMdaCtvDl7vczUVKJ0rbXoktGlC0pouM</v>
      </c>
    </row>
    <row r="308" ht="15.75" customHeight="1">
      <c r="A308" t="str">
        <f>IFERROR(__xludf.DUMMYFUNCTION("""COMPUTED_VALUE"""),"Allocation")</f>
        <v>Allocation</v>
      </c>
      <c r="B308" t="str">
        <f>IFERROR(__xludf.DUMMYFUNCTION("""COMPUTED_VALUE"""),"SetMFPreferencesDefaultRule")</f>
        <v>SetMFPreferencesDefaultRule</v>
      </c>
      <c r="C308" t="str">
        <f>IFERROR(__xludf.DUMMYFUNCTION("""COMPUTED_VALUE"""),"19ADTickI55w_f0Qh4KDprj-ycjacQTK1rRm3kN1lL9I")</f>
        <v>19ADTickI55w_f0Qh4KDprj-ycjacQTK1rRm3kN1lL9I</v>
      </c>
    </row>
    <row r="309" ht="15.75" customHeight="1">
      <c r="A309" t="str">
        <f>IFERROR(__xludf.DUMMYFUNCTION("""COMPUTED_VALUE"""),"Allocation")</f>
        <v>Allocation</v>
      </c>
      <c r="B309" t="str">
        <f>IFERROR(__xludf.DUMMYFUNCTION("""COMPUTED_VALUE"""),"SetMFPrefFundDefaultRule")</f>
        <v>SetMFPrefFundDefaultRule</v>
      </c>
      <c r="C309" t="str">
        <f>IFERROR(__xludf.DUMMYFUNCTION("""COMPUTED_VALUE"""),"16-eFUIQ3ukzsjSPxB24KZvEky-ECCg70eA4oWMP0k-0")</f>
        <v>16-eFUIQ3ukzsjSPxB24KZvEky-ECCg70eA4oWMP0k-0</v>
      </c>
    </row>
    <row r="310" ht="15.75" customHeight="1">
      <c r="A310" t="str">
        <f>IFERROR(__xludf.DUMMYFUNCTION("""COMPUTED_VALUE"""),"PTT")</f>
        <v>PTT</v>
      </c>
      <c r="B310" t="str">
        <f>IFERROR(__xludf.DUMMYFUNCTION("""COMPUTED_VALUE"""),"SetAccountFactor")</f>
        <v>SetAccountFactor</v>
      </c>
      <c r="C310" t="str">
        <f>IFERROR(__xludf.DUMMYFUNCTION("""COMPUTED_VALUE"""),"10BtQvahVCYnraPnKKsXTlDDrXH35Dfu57xMmuGesPbw")</f>
        <v>10BtQvahVCYnraPnKKsXTlDDrXH35Dfu57xMmuGesPbw</v>
      </c>
    </row>
    <row r="311" ht="15.75" customHeight="1">
      <c r="A311" t="str">
        <f>IFERROR(__xludf.DUMMYFUNCTION("""COMPUTED_VALUE"""),"Allocation")</f>
        <v>Allocation</v>
      </c>
      <c r="B311" t="str">
        <f>IFERROR(__xludf.DUMMYFUNCTION("""COMPUTED_VALUE"""),"ClearPrefetchFilters")</f>
        <v>ClearPrefetchFilters</v>
      </c>
      <c r="C311" t="str">
        <f>IFERROR(__xludf.DUMMYFUNCTION("""COMPUTED_VALUE"""),"Undefined")</f>
        <v>Undefined</v>
      </c>
    </row>
    <row r="312" ht="15.75" customHeight="1">
      <c r="A312" t="str">
        <f>IFERROR(__xludf.DUMMYFUNCTION("""COMPUTED_VALUE"""),"Allocation")</f>
        <v>Allocation</v>
      </c>
      <c r="B312" t="str">
        <f>IFERROR(__xludf.DUMMYFUNCTION("""COMPUTED_VALUE"""),"ExpandCollapseAllUnallocated")</f>
        <v>ExpandCollapseAllUnallocated</v>
      </c>
      <c r="C312" t="str">
        <f>IFERROR(__xludf.DUMMYFUNCTION("""COMPUTED_VALUE"""),"1FlgjlUfMB_Ov2ajxqPDBmx4FjNzjR-hUBeEMwt9iQY4")</f>
        <v>1FlgjlUfMB_Ov2ajxqPDBmx4FjNzjR-hUBeEMwt9iQY4</v>
      </c>
    </row>
    <row r="313" ht="15.75" customHeight="1">
      <c r="A313" t="str">
        <f>IFERROR(__xludf.DUMMYFUNCTION("""COMPUTED_VALUE"""),"Allocation")</f>
        <v>Allocation</v>
      </c>
      <c r="B313" t="str">
        <f>IFERROR(__xludf.DUMMYFUNCTION("""COMPUTED_VALUE"""),"ExpandCollapseAllAllocated")</f>
        <v>ExpandCollapseAllAllocated</v>
      </c>
      <c r="C313" t="str">
        <f>IFERROR(__xludf.DUMMYFUNCTION("""COMPUTED_VALUE"""),"1ehtDHXUOwy3gDt4GoAJ9GbAoxhAGxjndnc_T-1yFgR8")</f>
        <v>1ehtDHXUOwy3gDt4GoAJ9GbAoxhAGxjndnc_T-1yFgR8</v>
      </c>
    </row>
    <row r="314" ht="15.75" customHeight="1">
      <c r="A314" t="str">
        <f>IFERROR(__xludf.DUMMYFUNCTION("""COMPUTED_VALUE"""),"Allocation")</f>
        <v>Allocation</v>
      </c>
      <c r="B314" t="str">
        <f>IFERROR(__xludf.DUMMYFUNCTION("""COMPUTED_VALUE"""),"GenerateCashTransaction")</f>
        <v>GenerateCashTransaction</v>
      </c>
      <c r="C314" t="str">
        <f>IFERROR(__xludf.DUMMYFUNCTION("""COMPUTED_VALUE"""),"1cmWZ4-ng-hApE-psRT8bSWDbTVr7SYk0cVc8bUH6io8")</f>
        <v>1cmWZ4-ng-hApE-psRT8bSWDbTVr7SYk0cVc8bUH6io8</v>
      </c>
    </row>
    <row r="315" ht="15.75" customHeight="1">
      <c r="A315" t="str">
        <f>IFERROR(__xludf.DUMMYFUNCTION("""COMPUTED_VALUE"""),"Allocation")</f>
        <v>Allocation</v>
      </c>
      <c r="B315" t="str">
        <f>IFERROR(__xludf.DUMMYFUNCTION("""COMPUTED_VALUE"""),"SaveAllocation")</f>
        <v>SaveAllocation</v>
      </c>
      <c r="C315" t="str">
        <f>IFERROR(__xludf.DUMMYFUNCTION("""COMPUTED_VALUE"""),"Undefined")</f>
        <v>Undefined</v>
      </c>
    </row>
    <row r="316" ht="15.75" customHeight="1">
      <c r="A316" t="str">
        <f>IFERROR(__xludf.DUMMYFUNCTION("""COMPUTED_VALUE"""),"Allocation")</f>
        <v>Allocation</v>
      </c>
      <c r="B316" t="str">
        <f>IFERROR(__xludf.DUMMYFUNCTION("""COMPUTED_VALUE"""),"UnallocateWithOutSave")</f>
        <v>UnallocateWithOutSave</v>
      </c>
      <c r="C316" t="str">
        <f>IFERROR(__xludf.DUMMYFUNCTION("""COMPUTED_VALUE"""),"1L9Jzxvuy5z_ke_fw4Ut_3K-JV6BVs1ABWW5abckiRuk")</f>
        <v>1L9Jzxvuy5z_ke_fw4Ut_3K-JV6BVs1ABWW5abckiRuk</v>
      </c>
    </row>
    <row r="317" ht="15.75" customHeight="1">
      <c r="A317" t="str">
        <f>IFERROR(__xludf.DUMMYFUNCTION("""COMPUTED_VALUE"""),"TradeServer")</f>
        <v>TradeServer</v>
      </c>
      <c r="B317" t="str">
        <f>IFERROR(__xludf.DUMMYFUNCTION("""COMPUTED_VALUE"""),"UpdateServerConfig")</f>
        <v>UpdateServerConfig</v>
      </c>
      <c r="C317" t="str">
        <f>IFERROR(__xludf.DUMMYFUNCTION("""COMPUTED_VALUE"""),"1TpAslQOfNHC2s8O1Pa0jlryh5LOsLayesGJ-HdRVDoY")</f>
        <v>1TpAslQOfNHC2s8O1Pa0jlryh5LOsLayesGJ-HdRVDoY</v>
      </c>
    </row>
    <row r="318" ht="15.75" customHeight="1">
      <c r="A318" t="str">
        <f>IFERROR(__xludf.DUMMYFUNCTION("""COMPUTED_VALUE"""),"PricingServer")</f>
        <v>PricingServer</v>
      </c>
      <c r="B318" t="str">
        <f>IFERROR(__xludf.DUMMYFUNCTION("""COMPUTED_VALUE"""),"UpdatePricingConfig")</f>
        <v>UpdatePricingConfig</v>
      </c>
      <c r="C318" t="str">
        <f>IFERROR(__xludf.DUMMYFUNCTION("""COMPUTED_VALUE"""),"1Bu2vtRhzucwHoO-CJpsj3Z5UqUWOWJKUcbkMM6vGTqo")</f>
        <v>1Bu2vtRhzucwHoO-CJpsj3Z5UqUWOWJKUcbkMM6vGTqo</v>
      </c>
    </row>
    <row r="319" ht="15.75" customHeight="1">
      <c r="A319" t="str">
        <f>IFERROR(__xludf.DUMMYFUNCTION("""COMPUTED_VALUE"""),"PranaClient")</f>
        <v>PranaClient</v>
      </c>
      <c r="B319" t="str">
        <f>IFERROR(__xludf.DUMMYFUNCTION("""COMPUTED_VALUE"""),"UpdateClientConfig")</f>
        <v>UpdateClientConfig</v>
      </c>
      <c r="C319" t="str">
        <f>IFERROR(__xludf.DUMMYFUNCTION("""COMPUTED_VALUE"""),"18PkgWy5HKnMMEpYHNfztlnZCng_Slh7Iy3Jjdf9FnyI")</f>
        <v>18PkgWy5HKnMMEpYHNfztlnZCng_Slh7Iy3Jjdf9FnyI</v>
      </c>
    </row>
    <row r="320" ht="15.75" customHeight="1">
      <c r="A320" t="str">
        <f>IFERROR(__xludf.DUMMYFUNCTION("""COMPUTED_VALUE"""),"PortfolioManagement")</f>
        <v>PortfolioManagement</v>
      </c>
      <c r="B320" t="str">
        <f>IFERROR(__xludf.DUMMYFUNCTION("""COMPUTED_VALUE"""),"OpenClosingFromPM")</f>
        <v>OpenClosingFromPM</v>
      </c>
      <c r="C320" t="str">
        <f>IFERROR(__xludf.DUMMYFUNCTION("""COMPUTED_VALUE"""),"undefined")</f>
        <v>undefined</v>
      </c>
    </row>
    <row r="321" ht="15.75" customHeight="1">
      <c r="A321" t="str">
        <f>IFERROR(__xludf.DUMMYFUNCTION("""COMPUTED_VALUE"""),"PortfolioManagement")</f>
        <v>PortfolioManagement</v>
      </c>
      <c r="B321" t="str">
        <f>IFERROR(__xludf.DUMMYFUNCTION("""COMPUTED_VALUE"""),"OpenCorporateActionFromPM")</f>
        <v>OpenCorporateActionFromPM</v>
      </c>
      <c r="C321" t="str">
        <f>IFERROR(__xludf.DUMMYFUNCTION("""COMPUTED_VALUE"""),"undefined")</f>
        <v>undefined</v>
      </c>
    </row>
    <row r="322" ht="15.75" customHeight="1">
      <c r="A322" t="str">
        <f>IFERROR(__xludf.DUMMYFUNCTION("""COMPUTED_VALUE"""),"PortfolioManagement")</f>
        <v>PortfolioManagement</v>
      </c>
      <c r="B322" t="str">
        <f>IFERROR(__xludf.DUMMYFUNCTION("""COMPUTED_VALUE"""),"OpenDailyValuationFromPM")</f>
        <v>OpenDailyValuationFromPM</v>
      </c>
      <c r="C322" t="str">
        <f>IFERROR(__xludf.DUMMYFUNCTION("""COMPUTED_VALUE"""),"undefined")</f>
        <v>undefined</v>
      </c>
    </row>
    <row r="323" ht="15.75" customHeight="1">
      <c r="A323" t="str">
        <f>IFERROR(__xludf.DUMMYFUNCTION("""COMPUTED_VALUE"""),"PortfolioManagement")</f>
        <v>PortfolioManagement</v>
      </c>
      <c r="B323" t="str">
        <f>IFERROR(__xludf.DUMMYFUNCTION("""COMPUTED_VALUE"""),"ClosePositionFromPM")</f>
        <v>ClosePositionFromPM</v>
      </c>
      <c r="C323" t="str">
        <f>IFERROR(__xludf.DUMMYFUNCTION("""COMPUTED_VALUE"""),"1EH8pKjhhBPNLqmDrqbG0JqtjsXaV8KJYA6l5N4MrrIY")</f>
        <v>1EH8pKjhhBPNLqmDrqbG0JqtjsXaV8KJYA6l5N4MrrIY</v>
      </c>
    </row>
    <row r="324" ht="15.75" customHeight="1">
      <c r="A324" t="str">
        <f>IFERROR(__xludf.DUMMYFUNCTION("""COMPUTED_VALUE"""),"PortfolioManagement")</f>
        <v>PortfolioManagement</v>
      </c>
      <c r="B324" t="str">
        <f>IFERROR(__xludf.DUMMYFUNCTION("""COMPUTED_VALUE"""),"ShowSummaryToolFromPM")</f>
        <v>ShowSummaryToolFromPM</v>
      </c>
      <c r="C324" t="str">
        <f>IFERROR(__xludf.DUMMYFUNCTION("""COMPUTED_VALUE"""),"Undefined")</f>
        <v>Undefined</v>
      </c>
    </row>
    <row r="325" ht="15.75" customHeight="1">
      <c r="A325" t="str">
        <f>IFERROR(__xludf.DUMMYFUNCTION("""COMPUTED_VALUE"""),"PortfolioManagement")</f>
        <v>PortfolioManagement</v>
      </c>
      <c r="B325" t="str">
        <f>IFERROR(__xludf.DUMMYFUNCTION("""COMPUTED_VALUE"""),"HideSummaryToolFromPM")</f>
        <v>HideSummaryToolFromPM</v>
      </c>
      <c r="C325" t="str">
        <f>IFERROR(__xludf.DUMMYFUNCTION("""COMPUTED_VALUE"""),"Undefined")</f>
        <v>Undefined</v>
      </c>
    </row>
    <row r="326" ht="15.75" customHeight="1">
      <c r="A326" t="str">
        <f>IFERROR(__xludf.DUMMYFUNCTION("""COMPUTED_VALUE"""),"PortfolioManagement")</f>
        <v>PortfolioManagement</v>
      </c>
      <c r="B326" t="str">
        <f>IFERROR(__xludf.DUMMYFUNCTION("""COMPUTED_VALUE"""),"CloseAccountPositionFromPM")</f>
        <v>CloseAccountPositionFromPM</v>
      </c>
      <c r="C326" t="str">
        <f>IFERROR(__xludf.DUMMYFUNCTION("""COMPUTED_VALUE"""),"1gZaSRFUpO1ruQv0px2yVE7mLEnMKIc_QL_JxhUJns6w")</f>
        <v>1gZaSRFUpO1ruQv0px2yVE7mLEnMKIc_QL_JxhUJns6w</v>
      </c>
    </row>
    <row r="327" ht="15.75" customHeight="1">
      <c r="A327" t="str">
        <f>IFERROR(__xludf.DUMMYFUNCTION("""COMPUTED_VALUE"""),"PortfolioManagement")</f>
        <v>PortfolioManagement</v>
      </c>
      <c r="B327" t="str">
        <f>IFERROR(__xludf.DUMMYFUNCTION("""COMPUTED_VALUE"""),"CloseSelectedTaxlotsFromPM")</f>
        <v>CloseSelectedTaxlotsFromPM</v>
      </c>
      <c r="C327" t="str">
        <f>IFERROR(__xludf.DUMMYFUNCTION("""COMPUTED_VALUE"""),"1Z8sb4__Lg0JalM6pM6xkVc_TiLbeNHrj6IknKSnL5H4")</f>
        <v>1Z8sb4__Lg0JalM6pM6xkVc_TiLbeNHrj6IknKSnL5H4</v>
      </c>
    </row>
    <row r="328" ht="15.75" customHeight="1">
      <c r="A328" t="str">
        <f>IFERROR(__xludf.DUMMYFUNCTION("""COMPUTED_VALUE"""),"PortfolioManagement")</f>
        <v>PortfolioManagement</v>
      </c>
      <c r="B328" t="str">
        <f>IFERROR(__xludf.DUMMYFUNCTION("""COMPUTED_VALUE"""),"ExpandCollapsePM")</f>
        <v>ExpandCollapsePM</v>
      </c>
      <c r="C328" t="str">
        <f>IFERROR(__xludf.DUMMYFUNCTION("""COMPUTED_VALUE"""),"16iKUzpEpEJO_Bl2pXlVRM-vD5UK97D5AFC9rw46xLBk")</f>
        <v>16iKUzpEpEJO_Bl2pXlVRM-vD5UK97D5AFC9rw46xLBk</v>
      </c>
    </row>
    <row r="329" ht="15.75" customHeight="1">
      <c r="A329" t="str">
        <f>IFERROR(__xludf.DUMMYFUNCTION("""COMPUTED_VALUE"""),"PortfolioManagement")</f>
        <v>PortfolioManagement</v>
      </c>
      <c r="B329" t="str">
        <f>IFERROR(__xludf.DUMMYFUNCTION("""COMPUTED_VALUE"""),"AddCustomViewPM")</f>
        <v>AddCustomViewPM</v>
      </c>
      <c r="C329" t="str">
        <f>IFERROR(__xludf.DUMMYFUNCTION("""COMPUTED_VALUE"""),"1RTjztF0M6g7xcSJNmqN1nHi0V-gzwXQuBB4-RbMrIdA")</f>
        <v>1RTjztF0M6g7xcSJNmqN1nHi0V-gzwXQuBB4-RbMrIdA</v>
      </c>
    </row>
    <row r="330" ht="15.75" customHeight="1">
      <c r="A330" t="str">
        <f>IFERROR(__xludf.DUMMYFUNCTION("""COMPUTED_VALUE"""),"PortfolioManagement")</f>
        <v>PortfolioManagement</v>
      </c>
      <c r="B330" t="str">
        <f>IFERROR(__xludf.DUMMYFUNCTION("""COMPUTED_VALUE"""),"AddCustomViewRightClickPM")</f>
        <v>AddCustomViewRightClickPM</v>
      </c>
      <c r="C330" t="str">
        <f>IFERROR(__xludf.DUMMYFUNCTION("""COMPUTED_VALUE"""),"1oiSYwztRGp8xzlvAitHk5O2zskEABIhO5tgHUEL1svc")</f>
        <v>1oiSYwztRGp8xzlvAitHk5O2zskEABIhO5tgHUEL1svc</v>
      </c>
    </row>
    <row r="331" ht="15.75" customHeight="1">
      <c r="A331" t="str">
        <f>IFERROR(__xludf.DUMMYFUNCTION("""COMPUTED_VALUE"""),"PortfolioManagement")</f>
        <v>PortfolioManagement</v>
      </c>
      <c r="B331" t="str">
        <f>IFERROR(__xludf.DUMMYFUNCTION("""COMPUTED_VALUE"""),"RenameCustomViewPM")</f>
        <v>RenameCustomViewPM</v>
      </c>
      <c r="C331" t="str">
        <f>IFERROR(__xludf.DUMMYFUNCTION("""COMPUTED_VALUE"""),"17QovWM75UjApdwFwFRSmfy8ed2oBNL4vbwf5BJpKNtg")</f>
        <v>17QovWM75UjApdwFwFRSmfy8ed2oBNL4vbwf5BJpKNtg</v>
      </c>
    </row>
    <row r="332" ht="15.75" customHeight="1">
      <c r="A332" t="str">
        <f>IFERROR(__xludf.DUMMYFUNCTION("""COMPUTED_VALUE"""),"PortfolioManagement")</f>
        <v>PortfolioManagement</v>
      </c>
      <c r="B332" t="str">
        <f>IFERROR(__xludf.DUMMYFUNCTION("""COMPUTED_VALUE"""),"DeleteCustomViewPM")</f>
        <v>DeleteCustomViewPM</v>
      </c>
      <c r="C332" t="str">
        <f>IFERROR(__xludf.DUMMYFUNCTION("""COMPUTED_VALUE"""),"1_kadfg1NiQaQ44l2s4JaAOdX0oK0uIiEpEpcE8kSXc4")</f>
        <v>1_kadfg1NiQaQ44l2s4JaAOdX0oK0uIiEpEpcE8kSXc4</v>
      </c>
    </row>
    <row r="333" ht="15.75" customHeight="1">
      <c r="A333" t="str">
        <f>IFERROR(__xludf.DUMMYFUNCTION("""COMPUTED_VALUE"""),"Closing")</f>
        <v>Closing</v>
      </c>
      <c r="B333" t="str">
        <f>IFERROR(__xludf.DUMMYFUNCTION("""COMPUTED_VALUE"""),"SetClosingPreference")</f>
        <v>SetClosingPreference</v>
      </c>
      <c r="C333" t="str">
        <f>IFERROR(__xludf.DUMMYFUNCTION("""COMPUTED_VALUE"""),"1rIgT_oUd8VYn3uvQkaqypsWXPI5mArskMgfPFTMOqy4")</f>
        <v>1rIgT_oUd8VYn3uvQkaqypsWXPI5mArskMgfPFTMOqy4</v>
      </c>
    </row>
    <row r="334" ht="15.75" customHeight="1">
      <c r="A334" t="str">
        <f>IFERROR(__xludf.DUMMYFUNCTION("""COMPUTED_VALUE"""),"CreateTransaction")</f>
        <v>CreateTransaction</v>
      </c>
      <c r="B334" t="str">
        <f>IFERROR(__xludf.DUMMYFUNCTION("""COMPUTED_VALUE"""),"SaveTransaction")</f>
        <v>SaveTransaction</v>
      </c>
      <c r="C334" t="str">
        <f>IFERROR(__xludf.DUMMYFUNCTION("""COMPUTED_VALUE"""),"Undefined")</f>
        <v>Undefined</v>
      </c>
    </row>
    <row r="335" ht="15.75" customHeight="1">
      <c r="A335" t="str">
        <f>IFERROR(__xludf.DUMMYFUNCTION("""COMPUTED_VALUE"""),"Allocation")</f>
        <v>Allocation</v>
      </c>
      <c r="B335" t="str">
        <f>IFERROR(__xludf.DUMMYFUNCTION("""COMPUTED_VALUE"""),"EditUnallocatedGrid")</f>
        <v>EditUnallocatedGrid</v>
      </c>
      <c r="C335" t="str">
        <f>IFERROR(__xludf.DUMMYFUNCTION("""COMPUTED_VALUE"""),"1CjzXvuGPVDt7n4wJXsXH_CROBLKwj-GiagtBRetK2qU")</f>
        <v>1CjzXvuGPVDt7n4wJXsXH_CROBLKwj-GiagtBRetK2qU</v>
      </c>
    </row>
    <row r="336" ht="15.75" customHeight="1">
      <c r="A336" t="str">
        <f>IFERROR(__xludf.DUMMYFUNCTION("""COMPUTED_VALUE"""),"Allocation")</f>
        <v>Allocation</v>
      </c>
      <c r="B336" t="str">
        <f>IFERROR(__xludf.DUMMYFUNCTION("""COMPUTED_VALUE"""),"EditAllocatedGrid")</f>
        <v>EditAllocatedGrid</v>
      </c>
      <c r="C336" t="str">
        <f>IFERROR(__xludf.DUMMYFUNCTION("""COMPUTED_VALUE"""),"17D-CeSv7zeLu6w3e6KeVgmSR8GUhyfnVkMBKFVBrARI")</f>
        <v>17D-CeSv7zeLu6w3e6KeVgmSR8GUhyfnVkMBKFVBrARI</v>
      </c>
    </row>
    <row r="337" ht="15.75" customHeight="1">
      <c r="A337" t="str">
        <f>IFERROR(__xludf.DUMMYFUNCTION("""COMPUTED_VALUE"""),"PTT")</f>
        <v>PTT</v>
      </c>
      <c r="B337" t="str">
        <f>IFERROR(__xludf.DUMMYFUNCTION("""COMPUTED_VALUE"""),"SetPTTPreference")</f>
        <v>SetPTTPreference</v>
      </c>
      <c r="C337" t="str">
        <f>IFERROR(__xludf.DUMMYFUNCTION("""COMPUTED_VALUE"""),"1JV2odq8th8dTkDYRpq9RVp4raTtWdmbKUn5nMJX441s")</f>
        <v>1JV2odq8th8dTkDYRpq9RVp4raTtWdmbKUn5nMJX441s</v>
      </c>
    </row>
    <row r="338" ht="15.75" customHeight="1">
      <c r="A338" t="str">
        <f>IFERROR(__xludf.DUMMYFUNCTION("""COMPUTED_VALUE"""),"PTT")</f>
        <v>PTT</v>
      </c>
      <c r="B338" t="str">
        <f>IFERROR(__xludf.DUMMYFUNCTION("""COMPUTED_VALUE"""),"SetLongShortPTTPreference")</f>
        <v>SetLongShortPTTPreference</v>
      </c>
      <c r="C338" t="str">
        <f>IFERROR(__xludf.DUMMYFUNCTION("""COMPUTED_VALUE"""),"1sVj_55a0V51yYMgEL9RB8hYTgtzHoJcBI5hYzjILSRk")</f>
        <v>1sVj_55a0V51yYMgEL9RB8hYTgtzHoJcBI5hYzjILSRk</v>
      </c>
    </row>
    <row r="339" ht="15.75" customHeight="1">
      <c r="A339" t="str">
        <f>IFERROR(__xludf.DUMMYFUNCTION("""COMPUTED_VALUE"""),"TradingTicket")</f>
        <v>TradingTicket</v>
      </c>
      <c r="B339" t="str">
        <f>IFERROR(__xludf.DUMMYFUNCTION("""COMPUTED_VALUE"""),"VerifyTT")</f>
        <v>VerifyTT</v>
      </c>
      <c r="C339" t="str">
        <f>IFERROR(__xludf.DUMMYFUNCTION("""COMPUTED_VALUE"""),"1OWqgdRDfNIdrJXb61LMsF2wWIdH59kPrc-oGeZc1MEI")</f>
        <v>1OWqgdRDfNIdrJXb61LMsF2wWIdH59kPrc-oGeZc1MEI</v>
      </c>
    </row>
    <row r="340" ht="15.75" customHeight="1">
      <c r="A340" t="str">
        <f>IFERROR(__xludf.DUMMYFUNCTION("""COMPUTED_VALUE"""),"Allocation")</f>
        <v>Allocation</v>
      </c>
      <c r="B340" t="str">
        <f>IFERROR(__xludf.DUMMYFUNCTION("""COMPUTED_VALUE"""),"SaveLayoutAllocatedGrid")</f>
        <v>SaveLayoutAllocatedGrid</v>
      </c>
      <c r="C340" t="str">
        <f>IFERROR(__xludf.DUMMYFUNCTION("""COMPUTED_VALUE"""),"1aZcLqglE7GPm90-oMIdSJp7HlQrA30JIDZ-M2a2zcms")</f>
        <v>1aZcLqglE7GPm90-oMIdSJp7HlQrA30JIDZ-M2a2zcms</v>
      </c>
    </row>
    <row r="341" ht="15.75" customHeight="1">
      <c r="A341" t="str">
        <f>IFERROR(__xludf.DUMMYFUNCTION("""COMPUTED_VALUE"""),"Allocation")</f>
        <v>Allocation</v>
      </c>
      <c r="B341" t="str">
        <f>IFERROR(__xludf.DUMMYFUNCTION("""COMPUTED_VALUE"""),"SaveLayoutUnallocatedGrid")</f>
        <v>SaveLayoutUnallocatedGrid</v>
      </c>
      <c r="C341" t="str">
        <f>IFERROR(__xludf.DUMMYFUNCTION("""COMPUTED_VALUE"""),"1vcbfMsKMqF_V0OadQLfepNtS8WnwHqU0WFEA0aT_HeU")</f>
        <v>1vcbfMsKMqF_V0OadQLfepNtS8WnwHqU0WFEA0aT_HeU</v>
      </c>
    </row>
    <row r="342" ht="15.75" customHeight="1">
      <c r="A342" t="str">
        <f>IFERROR(__xludf.DUMMYFUNCTION("""COMPUTED_VALUE"""),"Allocation")</f>
        <v>Allocation</v>
      </c>
      <c r="B342" t="str">
        <f>IFERROR(__xludf.DUMMYFUNCTION("""COMPUTED_VALUE"""),"SaveLayoutAllocationUI")</f>
        <v>SaveLayoutAllocationUI</v>
      </c>
      <c r="C342" t="str">
        <f>IFERROR(__xludf.DUMMYFUNCTION("""COMPUTED_VALUE"""),"12wm-nFx8_xYkNhDb-kzakUa7uPl25NpCXbma6t3ZfiQ")</f>
        <v>12wm-nFx8_xYkNhDb-kzakUa7uPl25NpCXbma6t3ZfiQ</v>
      </c>
    </row>
    <row r="343" ht="15.75" customHeight="1">
      <c r="A343" t="str">
        <f>IFERROR(__xludf.DUMMYFUNCTION("""COMPUTED_VALUE"""),"Allocation")</f>
        <v>Allocation</v>
      </c>
      <c r="B343" t="str">
        <f>IFERROR(__xludf.DUMMYFUNCTION("""COMPUTED_VALUE"""),"ClearFiltersAllocatedGrid")</f>
        <v>ClearFiltersAllocatedGrid</v>
      </c>
      <c r="C343" t="str">
        <f>IFERROR(__xludf.DUMMYFUNCTION("""COMPUTED_VALUE"""),"Undefined")</f>
        <v>Undefined</v>
      </c>
    </row>
    <row r="344" ht="15.75" customHeight="1">
      <c r="A344" t="str">
        <f>IFERROR(__xludf.DUMMYFUNCTION("""COMPUTED_VALUE"""),"Allocation")</f>
        <v>Allocation</v>
      </c>
      <c r="B344" t="str">
        <f>IFERROR(__xludf.DUMMYFUNCTION("""COMPUTED_VALUE"""),"ClearFiltersUnallocatedGrid")</f>
        <v>ClearFiltersUnallocatedGrid</v>
      </c>
      <c r="C344" t="str">
        <f>IFERROR(__xludf.DUMMYFUNCTION("""COMPUTED_VALUE"""),"Undefined")</f>
        <v>Undefined</v>
      </c>
    </row>
    <row r="345" ht="15.75" customHeight="1">
      <c r="A345" t="str">
        <f>IFERROR(__xludf.DUMMYFUNCTION("""COMPUTED_VALUE"""),"Allocation")</f>
        <v>Allocation</v>
      </c>
      <c r="B345" t="str">
        <f>IFERROR(__xludf.DUMMYFUNCTION("""COMPUTED_VALUE"""),"VerifyLayoutAllocatedGrid")</f>
        <v>VerifyLayoutAllocatedGrid</v>
      </c>
      <c r="C345" t="str">
        <f>IFERROR(__xludf.DUMMYFUNCTION("""COMPUTED_VALUE"""),"1K-KHAWECCYGz8BTjRLH44g9Ol1pMUScm2Kx6yUQE7BU")</f>
        <v>1K-KHAWECCYGz8BTjRLH44g9Ol1pMUScm2Kx6yUQE7BU</v>
      </c>
    </row>
    <row r="346" ht="15.75" customHeight="1">
      <c r="A346" t="str">
        <f>IFERROR(__xludf.DUMMYFUNCTION("""COMPUTED_VALUE"""),"Allocation")</f>
        <v>Allocation</v>
      </c>
      <c r="B346" t="str">
        <f>IFERROR(__xludf.DUMMYFUNCTION("""COMPUTED_VALUE"""),"VerifyLayoutUnallocatedGrid")</f>
        <v>VerifyLayoutUnallocatedGrid</v>
      </c>
      <c r="C346" t="str">
        <f>IFERROR(__xludf.DUMMYFUNCTION("""COMPUTED_VALUE"""),"1sesgPiGJtT-Ey32zmnnKdOdBkvOJ6shdKgN--cZCNaM")</f>
        <v>1sesgPiGJtT-Ey32zmnnKdOdBkvOJ6shdKgN--cZCNaM</v>
      </c>
    </row>
    <row r="347" ht="15.75" customHeight="1">
      <c r="A347" t="str">
        <f>IFERROR(__xludf.DUMMYFUNCTION("""COMPUTED_VALUE"""),"DailyValuation")</f>
        <v>DailyValuation</v>
      </c>
      <c r="B347" t="str">
        <f>IFERROR(__xludf.DUMMYFUNCTION("""COMPUTED_VALUE"""),"UpdateForexConversionMonthly")</f>
        <v>UpdateForexConversionMonthly</v>
      </c>
      <c r="C347" t="str">
        <f>IFERROR(__xludf.DUMMYFUNCTION("""COMPUTED_VALUE"""),"1tWcQwLro3p26kKsWI6Z1I7GtylC9L1lsnTqAwHOZKzA")</f>
        <v>1tWcQwLro3p26kKsWI6Z1I7GtylC9L1lsnTqAwHOZKzA</v>
      </c>
    </row>
    <row r="348" ht="15.75" customHeight="1">
      <c r="A348" t="str">
        <f>IFERROR(__xludf.DUMMYFUNCTION("""COMPUTED_VALUE"""),"GeneralLedger")</f>
        <v>GeneralLedger</v>
      </c>
      <c r="B348" t="str">
        <f>IFERROR(__xludf.DUMMYFUNCTION("""COMPUTED_VALUE"""),"SaveTransaction")</f>
        <v>SaveTransaction</v>
      </c>
      <c r="C348" t="str">
        <f>IFERROR(__xludf.DUMMYFUNCTION("""COMPUTED_VALUE"""),"Undefined")</f>
        <v>Undefined</v>
      </c>
    </row>
    <row r="349" ht="15.75" customHeight="1">
      <c r="A349" t="str">
        <f>IFERROR(__xludf.DUMMYFUNCTION("""COMPUTED_VALUE"""),"DailyValuation")</f>
        <v>DailyValuation</v>
      </c>
      <c r="B349" t="str">
        <f>IFERROR(__xludf.DUMMYFUNCTION("""COMPUTED_VALUE"""),"UpdateMarkPriceMonthly")</f>
        <v>UpdateMarkPriceMonthly</v>
      </c>
      <c r="C349" t="str">
        <f>IFERROR(__xludf.DUMMYFUNCTION("""COMPUTED_VALUE"""),"1jdvjXxtQbc6B4hMFjCuUSHjrKwafI_4dN8zjMvnoryE")</f>
        <v>1jdvjXxtQbc6B4hMFjCuUSHjrKwafI_4dN8zjMvnoryE</v>
      </c>
    </row>
    <row r="350" ht="15.75" customHeight="1">
      <c r="A350" t="str">
        <f>IFERROR(__xludf.DUMMYFUNCTION("""COMPUTED_VALUE"""),"Allocation")</f>
        <v>Allocation</v>
      </c>
      <c r="B350" t="str">
        <f>IFERROR(__xludf.DUMMYFUNCTION("""COMPUTED_VALUE"""),"CleanUp")</f>
        <v>CleanUp</v>
      </c>
      <c r="C350" t="str">
        <f>IFERROR(__xludf.DUMMYFUNCTION("""COMPUTED_VALUE"""),"1LNsU7ep1l4cr_oy_uI86EJ1CkvkLHF6Yo0WOMRU74S8")</f>
        <v>1LNsU7ep1l4cr_oy_uI86EJ1CkvkLHF6Yo0WOMRU74S8</v>
      </c>
    </row>
    <row r="351" ht="15.75" customHeight="1">
      <c r="A351" t="str">
        <f>IFERROR(__xludf.DUMMYFUNCTION("""COMPUTED_VALUE"""),"Allocation")</f>
        <v>Allocation</v>
      </c>
      <c r="B351" t="str">
        <f>IFERROR(__xludf.DUMMYFUNCTION("""COMPUTED_VALUE"""),"CheckAllocatedTaxlots")</f>
        <v>CheckAllocatedTaxlots</v>
      </c>
      <c r="C351" t="str">
        <f>IFERROR(__xludf.DUMMYFUNCTION("""COMPUTED_VALUE"""),"1eGXUoChdJAU0jioBXcfFCco8AUptTMF3X3Ej_eTbGKk")</f>
        <v>1eGXUoChdJAU0jioBXcfFCco8AUptTMF3X3Ej_eTbGKk</v>
      </c>
    </row>
    <row r="352" ht="15.75" customHeight="1">
      <c r="A352" t="str">
        <f>IFERROR(__xludf.DUMMYFUNCTION("""COMPUTED_VALUE"""),"Closing")</f>
        <v>Closing</v>
      </c>
      <c r="B352" t="str">
        <f>IFERROR(__xludf.DUMMYFUNCTION("""COMPUTED_VALUE"""),"EditTradeUnexpiredUnsettled")</f>
        <v>EditTradeUnexpiredUnsettled</v>
      </c>
      <c r="C352" t="str">
        <f>IFERROR(__xludf.DUMMYFUNCTION("""COMPUTED_VALUE"""),"14HIfvcWxAjFiWkRU_cqPRIr9M_uQUpK5PUWLB8-QGeY")</f>
        <v>14HIfvcWxAjFiWkRU_cqPRIr9M_uQUpK5PUWLB8-QGeY</v>
      </c>
    </row>
    <row r="353" ht="15.75" customHeight="1">
      <c r="A353" t="str">
        <f>IFERROR(__xludf.DUMMYFUNCTION("""COMPUTED_VALUE"""),"ThirdParty")</f>
        <v>ThirdParty</v>
      </c>
      <c r="B353" t="str">
        <f>IFERROR(__xludf.DUMMYFUNCTION("""COMPUTED_VALUE"""),"VerifyThirdPartyView")</f>
        <v>VerifyThirdPartyView</v>
      </c>
      <c r="C353" t="str">
        <f>IFERROR(__xludf.DUMMYFUNCTION("""COMPUTED_VALUE"""),"1PlxAVmA1kQxKEDdmir_dZ2yCnS0sczqxaxI14lspQRc")</f>
        <v>1PlxAVmA1kQxKEDdmir_dZ2yCnS0sczqxaxI14lspQRc</v>
      </c>
    </row>
    <row r="354" ht="15.75" customHeight="1">
      <c r="A354" t="str">
        <f>IFERROR(__xludf.DUMMYFUNCTION("""COMPUTED_VALUE"""),"Compliance")</f>
        <v>Compliance</v>
      </c>
      <c r="B354" t="str">
        <f>IFERROR(__xludf.DUMMYFUNCTION("""COMPUTED_VALUE"""),"CheckCompliance")</f>
        <v>CheckCompliance</v>
      </c>
      <c r="C354" t="str">
        <f>IFERROR(__xludf.DUMMYFUNCTION("""COMPUTED_VALUE"""),"1V1RvmzETVxcH9CLybyKXqI5pWvziKkgQY1hpXLZpRb0")</f>
        <v>1V1RvmzETVxcH9CLybyKXqI5pWvziKkgQY1hpXLZpRb0</v>
      </c>
    </row>
    <row r="355" ht="15.75" customHeight="1">
      <c r="A355" t="str">
        <f>IFERROR(__xludf.DUMMYFUNCTION("""COMPUTED_VALUE"""),"Compliance")</f>
        <v>Compliance</v>
      </c>
      <c r="B355" t="str">
        <f>IFERROR(__xludf.DUMMYFUNCTION("""COMPUTED_VALUE"""),"VerifyAccountDivisorWindow")</f>
        <v>VerifyAccountDivisorWindow</v>
      </c>
      <c r="C355" t="str">
        <f>IFERROR(__xludf.DUMMYFUNCTION("""COMPUTED_VALUE"""),"1AQl7WcPdSUJr2euw305eRRQMuZWLmiJXK_zLYXfXpe0")</f>
        <v>1AQl7WcPdSUJr2euw305eRRQMuZWLmiJXK_zLYXfXpe0</v>
      </c>
    </row>
    <row r="356" ht="15.75" customHeight="1">
      <c r="A356" t="str">
        <f>IFERROR(__xludf.DUMMYFUNCTION("""COMPUTED_VALUE"""),"Compliance")</f>
        <v>Compliance</v>
      </c>
      <c r="B356" t="str">
        <f>IFERROR(__xludf.DUMMYFUNCTION("""COMPUTED_VALUE"""),"VerifyAccountSymbolDivisorWindow")</f>
        <v>VerifyAccountSymbolDivisorWindow</v>
      </c>
      <c r="C356" t="str">
        <f>IFERROR(__xludf.DUMMYFUNCTION("""COMPUTED_VALUE"""),"16JaseGtsYIGOyEASc-NbgrrX2NsXB9UQxLaelT6YRgQ")</f>
        <v>16JaseGtsYIGOyEASc-NbgrrX2NsXB9UQxLaelT6YRgQ</v>
      </c>
    </row>
    <row r="357" ht="15.75" customHeight="1">
      <c r="A357" t="str">
        <f>IFERROR(__xludf.DUMMYFUNCTION("""COMPUTED_VALUE"""),"Compliance")</f>
        <v>Compliance</v>
      </c>
      <c r="B357" t="str">
        <f>IFERROR(__xludf.DUMMYFUNCTION("""COMPUTED_VALUE"""),"VerifyAggregationAccountSymbolWithNav")</f>
        <v>VerifyAggregationAccountSymbolWithNav</v>
      </c>
      <c r="C357" t="str">
        <f>IFERROR(__xludf.DUMMYFUNCTION("""COMPUTED_VALUE"""),"1HqBILRs6rj75XQAhwegUY0yUgq0DFvsYJU1JqOKcCWw")</f>
        <v>1HqBILRs6rj75XQAhwegUY0yUgq0DFvsYJU1JqOKcCWw</v>
      </c>
    </row>
    <row r="358" ht="15.75" customHeight="1">
      <c r="A358" t="str">
        <f>IFERROR(__xludf.DUMMYFUNCTION("""COMPUTED_VALUE"""),"Compliance")</f>
        <v>Compliance</v>
      </c>
      <c r="B358" t="str">
        <f>IFERROR(__xludf.DUMMYFUNCTION("""COMPUTED_VALUE"""),"VerifyAggregationAccountWithNav")</f>
        <v>VerifyAggregationAccountWithNav</v>
      </c>
      <c r="C358" t="str">
        <f>IFERROR(__xludf.DUMMYFUNCTION("""COMPUTED_VALUE"""),"10senHLHNcYUh0kxAWl1Up6T7v4TtqcfQeVnNDTArAjg")</f>
        <v>10senHLHNcYUh0kxAWl1Up6T7v4TtqcfQeVnNDTArAjg</v>
      </c>
    </row>
    <row r="359" ht="15.75" customHeight="1">
      <c r="A359" t="str">
        <f>IFERROR(__xludf.DUMMYFUNCTION("""COMPUTED_VALUE"""),"Compliance")</f>
        <v>Compliance</v>
      </c>
      <c r="B359" t="str">
        <f>IFERROR(__xludf.DUMMYFUNCTION("""COMPUTED_VALUE"""),"VerifyAggregationMasterFundSymbolWithNav")</f>
        <v>VerifyAggregationMasterFundSymbolWithNav</v>
      </c>
      <c r="C359" t="str">
        <f>IFERROR(__xludf.DUMMYFUNCTION("""COMPUTED_VALUE"""),"1hpCDxexdBt2bsLnkKN6YERG6qu69pm_lyvTpfWmMM5Y")</f>
        <v>1hpCDxexdBt2bsLnkKN6YERG6qu69pm_lyvTpfWmMM5Y</v>
      </c>
    </row>
    <row r="360" ht="15.75" customHeight="1">
      <c r="A360" t="str">
        <f>IFERROR(__xludf.DUMMYFUNCTION("""COMPUTED_VALUE"""),"Compliance")</f>
        <v>Compliance</v>
      </c>
      <c r="B360" t="str">
        <f>IFERROR(__xludf.DUMMYFUNCTION("""COMPUTED_VALUE"""),"VerifyAggregationMasterFundUnderlyingSymbolWithNav")</f>
        <v>VerifyAggregationMasterFundUnderlyingSymbolWithNav</v>
      </c>
      <c r="C360" t="str">
        <f>IFERROR(__xludf.DUMMYFUNCTION("""COMPUTED_VALUE"""),"1StAxeCnhmJunJOF4qJw7V7rZDdzeSnvX__M_m1ZuPnM")</f>
        <v>1StAxeCnhmJunJOF4qJw7V7rZDdzeSnvX__M_m1ZuPnM</v>
      </c>
    </row>
    <row r="361" ht="15.75" customHeight="1">
      <c r="A361" t="str">
        <f>IFERROR(__xludf.DUMMYFUNCTION("""COMPUTED_VALUE"""),"Compliance")</f>
        <v>Compliance</v>
      </c>
      <c r="B361" t="str">
        <f>IFERROR(__xludf.DUMMYFUNCTION("""COMPUTED_VALUE"""),"VerifyAggregationMasterFundWithNav")</f>
        <v>VerifyAggregationMasterFundWithNav</v>
      </c>
      <c r="C361" t="str">
        <f>IFERROR(__xludf.DUMMYFUNCTION("""COMPUTED_VALUE"""),"1Jz70Q9qwZ_KOtJ0prDxI5KzBnE_QVBCDBZH3r44j7P8")</f>
        <v>1Jz70Q9qwZ_KOtJ0prDxI5KzBnE_QVBCDBZH3r44j7P8</v>
      </c>
    </row>
    <row r="362" ht="15.75" customHeight="1">
      <c r="A362" t="str">
        <f>IFERROR(__xludf.DUMMYFUNCTION("""COMPUTED_VALUE"""),"Compliance")</f>
        <v>Compliance</v>
      </c>
      <c r="B362" t="str">
        <f>IFERROR(__xludf.DUMMYFUNCTION("""COMPUTED_VALUE"""),"VerifyAggregationSectorWithNav")</f>
        <v>VerifyAggregationSectorWithNav</v>
      </c>
      <c r="C362" t="str">
        <f>IFERROR(__xludf.DUMMYFUNCTION("""COMPUTED_VALUE"""),"1LOLJZdwbbwm5MWN6Aj_y28uGgG8a5k52W10D4WJ-qkQ")</f>
        <v>1LOLJZdwbbwm5MWN6Aj_y28uGgG8a5k52W10D4WJ-qkQ</v>
      </c>
    </row>
    <row r="363" ht="15.75" customHeight="1">
      <c r="A363" t="str">
        <f>IFERROR(__xludf.DUMMYFUNCTION("""COMPUTED_VALUE"""),"Compliance")</f>
        <v>Compliance</v>
      </c>
      <c r="B363" t="str">
        <f>IFERROR(__xludf.DUMMYFUNCTION("""COMPUTED_VALUE"""),"VerifyAggregationUnderlyingSymbolWithNav")</f>
        <v>VerifyAggregationUnderlyingSymbolWithNav</v>
      </c>
      <c r="C363" t="str">
        <f>IFERROR(__xludf.DUMMYFUNCTION("""COMPUTED_VALUE"""),"1IlOCDJWqGZHQTQtKCdo8xvCewBQR_Pw60YZtZIktB4g")</f>
        <v>1IlOCDJWqGZHQTQtKCdo8xvCewBQR_Pw60YZtZIktB4g</v>
      </c>
    </row>
    <row r="364" ht="15.75" customHeight="1">
      <c r="A364" t="str">
        <f>IFERROR(__xludf.DUMMYFUNCTION("""COMPUTED_VALUE"""),"Compliance")</f>
        <v>Compliance</v>
      </c>
      <c r="B364" t="str">
        <f>IFERROR(__xludf.DUMMYFUNCTION("""COMPUTED_VALUE"""),"VerifyAuecWindow")</f>
        <v>VerifyAuecWindow</v>
      </c>
      <c r="C364" t="str">
        <f>IFERROR(__xludf.DUMMYFUNCTION("""COMPUTED_VALUE"""),"1RjKrb8uRhjiDYhV2_08MxltmgLmu-Nvd19RVEJ5t5fU")</f>
        <v>1RjKrb8uRhjiDYhV2_08MxltmgLmu-Nvd19RVEJ5t5fU</v>
      </c>
    </row>
    <row r="365" ht="15.75" customHeight="1">
      <c r="A365" t="str">
        <f>IFERROR(__xludf.DUMMYFUNCTION("""COMPUTED_VALUE"""),"Compliance")</f>
        <v>Compliance</v>
      </c>
      <c r="B365" t="str">
        <f>IFERROR(__xludf.DUMMYFUNCTION("""COMPUTED_VALUE"""),"VerifyBetaWindow")</f>
        <v>VerifyBetaWindow</v>
      </c>
      <c r="C365" t="str">
        <f>IFERROR(__xludf.DUMMYFUNCTION("""COMPUTED_VALUE"""),"1QSOAd6hb8iMGX99AAmBzh30ETFcaz04qbf8FEfLeYvg")</f>
        <v>1QSOAd6hb8iMGX99AAmBzh30ETFcaz04qbf8FEfLeYvg</v>
      </c>
    </row>
    <row r="366" ht="15.75" customHeight="1">
      <c r="A366" t="str">
        <f>IFERROR(__xludf.DUMMYFUNCTION("""COMPUTED_VALUE"""),"Compliance")</f>
        <v>Compliance</v>
      </c>
      <c r="B366" t="str">
        <f>IFERROR(__xludf.DUMMYFUNCTION("""COMPUTED_VALUE"""),"VerifyCustomSymbolDataWindow")</f>
        <v>VerifyCustomSymbolDataWindow</v>
      </c>
      <c r="C366" t="str">
        <f>IFERROR(__xludf.DUMMYFUNCTION("""COMPUTED_VALUE"""),"1giMfU5SJAKDQXA1Q4k75EmpXWW3khjzRDSVLnhL0EIY")</f>
        <v>1giMfU5SJAKDQXA1Q4k75EmpXWW3khjzRDSVLnhL0EIY</v>
      </c>
    </row>
    <row r="367" ht="15.75" customHeight="1">
      <c r="A367" t="str">
        <f>IFERROR(__xludf.DUMMYFUNCTION("""COMPUTED_VALUE"""),"Compliance")</f>
        <v>Compliance</v>
      </c>
      <c r="B367" t="str">
        <f>IFERROR(__xludf.DUMMYFUNCTION("""COMPUTED_VALUE"""),"VerifyDayEndCashAccountWindow")</f>
        <v>VerifyDayEndCashAccountWindow</v>
      </c>
      <c r="C367" t="str">
        <f>IFERROR(__xludf.DUMMYFUNCTION("""COMPUTED_VALUE"""),"1uiC0ZQIk0iOlMA5Va1xcENNDotJcx9lYGyBUwg9Hgto")</f>
        <v>1uiC0ZQIk0iOlMA5Va1xcENNDotJcx9lYGyBUwg9Hgto</v>
      </c>
    </row>
    <row r="368" ht="15.75" customHeight="1">
      <c r="A368" t="str">
        <f>IFERROR(__xludf.DUMMYFUNCTION("""COMPUTED_VALUE"""),"Compliance")</f>
        <v>Compliance</v>
      </c>
      <c r="B368" t="str">
        <f>IFERROR(__xludf.DUMMYFUNCTION("""COMPUTED_VALUE"""),"VerifyDbNavWindow")</f>
        <v>VerifyDbNavWindow</v>
      </c>
      <c r="C368" t="str">
        <f>IFERROR(__xludf.DUMMYFUNCTION("""COMPUTED_VALUE"""),"1SY6I7Y1kNH4RpCgdDlY3E-h8usrAsSq5w0L2A_JbP0E")</f>
        <v>1SY6I7Y1kNH4RpCgdDlY3E-h8usrAsSq5w0L2A_JbP0E</v>
      </c>
    </row>
    <row r="369" ht="15.75" customHeight="1">
      <c r="A369" t="str">
        <f>IFERROR(__xludf.DUMMYFUNCTION("""COMPUTED_VALUE"""),"Compliance")</f>
        <v>Compliance</v>
      </c>
      <c r="B369" t="str">
        <f>IFERROR(__xludf.DUMMYFUNCTION("""COMPUTED_VALUE"""),"VerifyGlobalDivisorWindow")</f>
        <v>VerifyGlobalDivisorWindow</v>
      </c>
      <c r="C369" t="str">
        <f>IFERROR(__xludf.DUMMYFUNCTION("""COMPUTED_VALUE"""),"1k5EBRXPiJ1hAJdYsT4pHusMAvNL8WFGRU-AVEwxmWtw")</f>
        <v>1k5EBRXPiJ1hAJdYsT4pHusMAvNL8WFGRU-AVEwxmWtw</v>
      </c>
    </row>
    <row r="370" ht="15.75" customHeight="1">
      <c r="A370" t="str">
        <f>IFERROR(__xludf.DUMMYFUNCTION("""COMPUTED_VALUE"""),"Compliance")</f>
        <v>Compliance</v>
      </c>
      <c r="B370" t="str">
        <f>IFERROR(__xludf.DUMMYFUNCTION("""COMPUTED_VALUE"""),"VerifyPmCalculationPreferenceWindow")</f>
        <v>VerifyPmCalculationPreferenceWindow</v>
      </c>
      <c r="C370" t="str">
        <f>IFERROR(__xludf.DUMMYFUNCTION("""COMPUTED_VALUE"""),"132M3XrMLcOse0wnuxC6V3UrkiB8-BoFhvU2tLauJ0N4")</f>
        <v>132M3XrMLcOse0wnuxC6V3UrkiB8-BoFhvU2tLauJ0N4</v>
      </c>
    </row>
    <row r="371" ht="15.75" customHeight="1">
      <c r="A371" t="str">
        <f>IFERROR(__xludf.DUMMYFUNCTION("""COMPUTED_VALUE"""),"Compliance")</f>
        <v>Compliance</v>
      </c>
      <c r="B371" t="str">
        <f>IFERROR(__xludf.DUMMYFUNCTION("""COMPUTED_VALUE"""),"VerifyRowCalculationBaseWindow")</f>
        <v>VerifyRowCalculationBaseWindow</v>
      </c>
      <c r="C371" t="str">
        <f>IFERROR(__xludf.DUMMYFUNCTION("""COMPUTED_VALUE"""),"1cajGzH7tqLxFC8BnuHlMCg-SRNTsx7KgHS6low_imiw")</f>
        <v>1cajGzH7tqLxFC8BnuHlMCg-SRNTsx7KgHS6low_imiw</v>
      </c>
    </row>
    <row r="372" ht="15.75" customHeight="1">
      <c r="A372" t="str">
        <f>IFERROR(__xludf.DUMMYFUNCTION("""COMPUTED_VALUE"""),"Compliance")</f>
        <v>Compliance</v>
      </c>
      <c r="B372" t="str">
        <f>IFERROR(__xludf.DUMMYFUNCTION("""COMPUTED_VALUE"""),"VerifySecurityWindow")</f>
        <v>VerifySecurityWindow</v>
      </c>
      <c r="C372" t="str">
        <f>IFERROR(__xludf.DUMMYFUNCTION("""COMPUTED_VALUE"""),"1FIVvYeBou_v0Rajgdlg4Dn259vj948a4ITnN6XGPiHY")</f>
        <v>1FIVvYeBou_v0Rajgdlg4Dn259vj948a4ITnN6XGPiHY</v>
      </c>
    </row>
    <row r="373" ht="15.75" customHeight="1">
      <c r="A373" t="str">
        <f>IFERROR(__xludf.DUMMYFUNCTION("""COMPUTED_VALUE"""),"Compliance")</f>
        <v>Compliance</v>
      </c>
      <c r="B373" t="str">
        <f>IFERROR(__xludf.DUMMYFUNCTION("""COMPUTED_VALUE"""),"VerifySymbolDataWindow")</f>
        <v>VerifySymbolDataWindow</v>
      </c>
      <c r="C373" t="str">
        <f>IFERROR(__xludf.DUMMYFUNCTION("""COMPUTED_VALUE"""),"1OAVpHXxYG9sHC2AdPSAmYbRcNgndP44OYbO-bvaSKIE")</f>
        <v>1OAVpHXxYG9sHC2AdPSAmYbRcNgndP44OYbO-bvaSKIE</v>
      </c>
    </row>
    <row r="374" ht="15.75" customHeight="1">
      <c r="A374" t="str">
        <f>IFERROR(__xludf.DUMMYFUNCTION("""COMPUTED_VALUE"""),"Compliance")</f>
        <v>Compliance</v>
      </c>
      <c r="B374" t="str">
        <f>IFERROR(__xludf.DUMMYFUNCTION("""COMPUTED_VALUE"""),"VerifySymbolDivisorWindow")</f>
        <v>VerifySymbolDivisorWindow</v>
      </c>
      <c r="C374" t="str">
        <f>IFERROR(__xludf.DUMMYFUNCTION("""COMPUTED_VALUE"""),"1deUHsiNLHEEsp-GNB4X4XUHjBGdMJF84xLmjUIBUcLA")</f>
        <v>1deUHsiNLHEEsp-GNB4X4XUHjBGdMJF84xLmjUIBUcLA</v>
      </c>
    </row>
    <row r="375" ht="15.75" customHeight="1">
      <c r="A375" t="str">
        <f>IFERROR(__xludf.DUMMYFUNCTION("""COMPUTED_VALUE"""),"Compliance")</f>
        <v>Compliance</v>
      </c>
      <c r="B375" t="str">
        <f>IFERROR(__xludf.DUMMYFUNCTION("""COMPUTED_VALUE"""),"VerifyTaxlotWindow")</f>
        <v>VerifyTaxlotWindow</v>
      </c>
      <c r="C375" t="str">
        <f>IFERROR(__xludf.DUMMYFUNCTION("""COMPUTED_VALUE"""),"1mnKl6jHQhD7AEx1jzxfLWuc2Kv5kLcwPNU4smHImEPs")</f>
        <v>1mnKl6jHQhD7AEx1jzxfLWuc2Kv5kLcwPNU4smHImEPs</v>
      </c>
    </row>
    <row r="376" ht="15.75" customHeight="1">
      <c r="A376" t="str">
        <f>IFERROR(__xludf.DUMMYFUNCTION("""COMPUTED_VALUE"""),"Compliance")</f>
        <v>Compliance</v>
      </c>
      <c r="B376" t="str">
        <f>IFERROR(__xludf.DUMMYFUNCTION("""COMPUTED_VALUE"""),"RestartEsper")</f>
        <v>RestartEsper</v>
      </c>
      <c r="C376" t="str">
        <f>IFERROR(__xludf.DUMMYFUNCTION("""COMPUTED_VALUE"""),"Undefined")</f>
        <v>Undefined</v>
      </c>
    </row>
    <row r="377" ht="15.75" customHeight="1">
      <c r="A377" t="str">
        <f>IFERROR(__xludf.DUMMYFUNCTION("""COMPUTED_VALUE"""),"Compliance")</f>
        <v>Compliance</v>
      </c>
      <c r="B377" t="str">
        <f>IFERROR(__xludf.DUMMYFUNCTION("""COMPUTED_VALUE"""),"VerifyAccountNavPreferenceWindow")</f>
        <v>VerifyAccountNavPreferenceWindow</v>
      </c>
      <c r="C377" t="str">
        <f>IFERROR(__xludf.DUMMYFUNCTION("""COMPUTED_VALUE"""),"1nf8W2oy_M0GSmFfcCFHOYCHWUwLMlzqDUSGBR36IbaI")</f>
        <v>1nf8W2oy_M0GSmFfcCFHOYCHWUwLMlzqDUSGBR36IbaI</v>
      </c>
    </row>
    <row r="378" ht="15.75" customHeight="1">
      <c r="A378" t="str">
        <f>IFERROR(__xludf.DUMMYFUNCTION("""COMPUTED_VALUE"""),"Compliance")</f>
        <v>Compliance</v>
      </c>
      <c r="B378" t="str">
        <f>IFERROR(__xludf.DUMMYFUNCTION("""COMPUTED_VALUE""")," VerifyAggregationAccountUnderlyingSymbolWithNav")</f>
        <v> VerifyAggregationAccountUnderlyingSymbolWithNav</v>
      </c>
      <c r="C378" t="str">
        <f>IFERROR(__xludf.DUMMYFUNCTION("""COMPUTED_VALUE"""),"1jjVXzRolyFKUIxrpIo6DtnV6bx2CUj1M_kCNY_vsgy4")</f>
        <v>1jjVXzRolyFKUIxrpIo6DtnV6bx2CUj1M_kCNY_vsgy4</v>
      </c>
    </row>
    <row r="379" ht="15.75" customHeight="1">
      <c r="A379" t="str">
        <f>IFERROR(__xludf.DUMMYFUNCTION("""COMPUTED_VALUE"""),"Compliance")</f>
        <v>Compliance</v>
      </c>
      <c r="B379" t="str">
        <f>IFERROR(__xludf.DUMMYFUNCTION("""COMPUTED_VALUE"""),"VerifyAggregationAssetWithNav")</f>
        <v>VerifyAggregationAssetWithNav</v>
      </c>
      <c r="C379" t="str">
        <f>IFERROR(__xludf.DUMMYFUNCTION("""COMPUTED_VALUE"""),"18RcQxNwhAWOwcmy59o0cucJIdPSl6sADpFYIcsJ5sqo")</f>
        <v>18RcQxNwhAWOwcmy59o0cucJIdPSl6sADpFYIcsJ5sqo</v>
      </c>
    </row>
    <row r="380" ht="15.75" customHeight="1">
      <c r="A380" t="str">
        <f>IFERROR(__xludf.DUMMYFUNCTION("""COMPUTED_VALUE"""),"Compliance")</f>
        <v>Compliance</v>
      </c>
      <c r="B380" t="str">
        <f>IFERROR(__xludf.DUMMYFUNCTION("""COMPUTED_VALUE"""),"VerifyAggregationSymbolWithNav")</f>
        <v>VerifyAggregationSymbolWithNav</v>
      </c>
      <c r="C380" t="str">
        <f>IFERROR(__xludf.DUMMYFUNCTION("""COMPUTED_VALUE"""),"1C2o5-jwhnctEvEaVDDPBZz0tGyVsNv4VW3fW1bOL5TQ")</f>
        <v>1C2o5-jwhnctEvEaVDDPBZz0tGyVsNv4VW3fW1bOL5TQ</v>
      </c>
    </row>
    <row r="381" ht="15.75" customHeight="1">
      <c r="A381" t="str">
        <f>IFERROR(__xludf.DUMMYFUNCTION("""COMPUTED_VALUE"""),"Compliance")</f>
        <v>Compliance</v>
      </c>
      <c r="B381" t="str">
        <f>IFERROR(__xludf.DUMMYFUNCTION("""COMPUTED_VALUE"""),"VerifyAggregationSubSectorWithNav")</f>
        <v>VerifyAggregationSubSectorWithNav</v>
      </c>
      <c r="C381" t="str">
        <f>IFERROR(__xludf.DUMMYFUNCTION("""COMPUTED_VALUE"""),"1eX2Mfhb7koI3BhKKW6izvlEfitWdKST9vScAS14DYj0")</f>
        <v>1eX2Mfhb7koI3BhKKW6izvlEfitWdKST9vScAS14DYj0</v>
      </c>
    </row>
    <row r="382" ht="15.75" customHeight="1">
      <c r="A382" t="str">
        <f>IFERROR(__xludf.DUMMYFUNCTION("""COMPUTED_VALUE"""),"Compliance")</f>
        <v>Compliance</v>
      </c>
      <c r="B382" t="str">
        <f>IFERROR(__xludf.DUMMYFUNCTION("""COMPUTED_VALUE"""),"VerifyAggregationGlobalWithNav")</f>
        <v>VerifyAggregationGlobalWithNav</v>
      </c>
      <c r="C382" t="str">
        <f>IFERROR(__xludf.DUMMYFUNCTION("""COMPUTED_VALUE"""),"1CBXHBOOctFe-5Xw_99Yv2wghGcigXObx30_17CJORTs")</f>
        <v>1CBXHBOOctFe-5Xw_99Yv2wghGcigXObx30_17CJORTs</v>
      </c>
    </row>
    <row r="383" ht="15.75" customHeight="1">
      <c r="A383" t="str">
        <f>IFERROR(__xludf.DUMMYFUNCTION("""COMPUTED_VALUE"""),"Compliance")</f>
        <v>Compliance</v>
      </c>
      <c r="B383" t="str">
        <f>IFERROR(__xludf.DUMMYFUNCTION("""COMPUTED_VALUE""")," VerifyAggregationGlobalWithNav")</f>
        <v> VerifyAggregationGlobalWithNav</v>
      </c>
      <c r="C383" t="str">
        <f>IFERROR(__xludf.DUMMYFUNCTION("""COMPUTED_VALUE"""),"1CBXHBOOctFe-5Xw_99Yv2wghGcigXObx30_17CJORTs")</f>
        <v>1CBXHBOOctFe-5Xw_99Yv2wghGcigXObx30_17CJORTs</v>
      </c>
    </row>
    <row r="384" ht="15.75" customHeight="1">
      <c r="A384" t="str">
        <f>IFERROR(__xludf.DUMMYFUNCTION("""COMPUTED_VALUE"""),"Compliance")</f>
        <v>Compliance</v>
      </c>
      <c r="B384" t="str">
        <f>IFERROR(__xludf.DUMMYFUNCTION("""COMPUTED_VALUE"""),"VerifyGlobalDivisorWindow")</f>
        <v>VerifyGlobalDivisorWindow</v>
      </c>
      <c r="C384" t="str">
        <f>IFERROR(__xludf.DUMMYFUNCTION("""COMPUTED_VALUE"""),"1k5EBRXPiJ1hAJdYsT4pHusMAvNL8WFGRU-AVEwxmWtw")</f>
        <v>1k5EBRXPiJ1hAJdYsT4pHusMAvNL8WFGRU-AVEwxmWtw</v>
      </c>
    </row>
    <row r="385" ht="15.75" customHeight="1">
      <c r="A385" t="str">
        <f>IFERROR(__xludf.DUMMYFUNCTION("""COMPUTED_VALUE"""),"Compliance")</f>
        <v>Compliance</v>
      </c>
      <c r="B385" t="str">
        <f>IFERROR(__xludf.DUMMYFUNCTION("""COMPUTED_VALUE""")," VerifyAccrualForAccountWindow")</f>
        <v> VerifyAccrualForAccountWindow</v>
      </c>
      <c r="C385" t="str">
        <f>IFERROR(__xludf.DUMMYFUNCTION("""COMPUTED_VALUE"""),"1c_NLMk5uy2GW1oz-Zyz2EOEkjIs10v95M_q-jh7vKvs")</f>
        <v>1c_NLMk5uy2GW1oz-Zyz2EOEkjIs10v95M_q-jh7vKvs</v>
      </c>
    </row>
    <row r="386" ht="15.75" customHeight="1">
      <c r="A386" t="str">
        <f>IFERROR(__xludf.DUMMYFUNCTION("""COMPUTED_VALUE"""),"Compliance")</f>
        <v>Compliance</v>
      </c>
      <c r="B386" t="str">
        <f>IFERROR(__xludf.DUMMYFUNCTION("""COMPUTED_VALUE"""),"VerifyGlobalDivisorWindow")</f>
        <v>VerifyGlobalDivisorWindow</v>
      </c>
      <c r="C386" t="str">
        <f>IFERROR(__xludf.DUMMYFUNCTION("""COMPUTED_VALUE"""),"1k5EBRXPiJ1hAJdYsT4pHusMAvNL8WFGRU-AVEwxmWtw")</f>
        <v>1k5EBRXPiJ1hAJdYsT4pHusMAvNL8WFGRU-AVEwxmWtw</v>
      </c>
    </row>
    <row r="387" ht="15.75" customHeight="1">
      <c r="A387" t="str">
        <f>IFERROR(__xludf.DUMMYFUNCTION("""COMPUTED_VALUE"""),"Compliance")</f>
        <v>Compliance</v>
      </c>
      <c r="B387" t="str">
        <f>IFERROR(__xludf.DUMMYFUNCTION("""COMPUTED_VALUE"""),"VerifyMasterFundDivisorWindow")</f>
        <v>VerifyMasterFundDivisorWindow</v>
      </c>
      <c r="C387" t="str">
        <f>IFERROR(__xludf.DUMMYFUNCTION("""COMPUTED_VALUE"""),"1eiadZFi4EpW3GFqZaaoMFvWshTpPlk6F-hWhIJ18reQ")</f>
        <v>1eiadZFi4EpW3GFqZaaoMFvWshTpPlk6F-hWhIJ18reQ</v>
      </c>
    </row>
    <row r="388" ht="15.75" customHeight="1">
      <c r="A388" t="str">
        <f>IFERROR(__xludf.DUMMYFUNCTION("""COMPUTED_VALUE"""),"Compliance")</f>
        <v>Compliance</v>
      </c>
      <c r="B388" t="str">
        <f>IFERROR(__xludf.DUMMYFUNCTION("""COMPUTED_VALUE"""),"VerifyMasterFundSymbolDivisorWindow")</f>
        <v>VerifyMasterFundSymbolDivisorWindow</v>
      </c>
      <c r="C388" t="str">
        <f>IFERROR(__xludf.DUMMYFUNCTION("""COMPUTED_VALUE"""),"1tLvFabe6MOsJmg5CfsfrJ40ICMChWvnF-hcgnxRUcCc")</f>
        <v>1tLvFabe6MOsJmg5CfsfrJ40ICMChWvnF-hcgnxRUcCc</v>
      </c>
    </row>
    <row r="389" ht="15.75" customHeight="1">
      <c r="A389" t="str">
        <f>IFERROR(__xludf.DUMMYFUNCTION("""COMPUTED_VALUE"""),"Rebalancer")</f>
        <v>Rebalancer</v>
      </c>
      <c r="B389" t="str">
        <f>IFERROR(__xludf.DUMMYFUNCTION("""COMPUTED_VALUE"""),"FetchAccountPositions")</f>
        <v>FetchAccountPositions</v>
      </c>
      <c r="C389" t="str">
        <f>IFERROR(__xludf.DUMMYFUNCTION("""COMPUTED_VALUE"""),"1AwaQXJiwQ63pRdslfNamOnTIfyFa9PYlvDCRG8Moj7I")</f>
        <v>1AwaQXJiwQ63pRdslfNamOnTIfyFa9PYlvDCRG8Moj7I</v>
      </c>
    </row>
    <row r="390" ht="15.75" customHeight="1">
      <c r="A390" t="str">
        <f>IFERROR(__xludf.DUMMYFUNCTION("""COMPUTED_VALUE"""),"Rebalancer")</f>
        <v>Rebalancer</v>
      </c>
      <c r="B390" t="str">
        <f>IFERROR(__xludf.DUMMYFUNCTION("""COMPUTED_VALUE"""),"AddCash")</f>
        <v>AddCash</v>
      </c>
      <c r="C390" t="str">
        <f>IFERROR(__xludf.DUMMYFUNCTION("""COMPUTED_VALUE"""),"1AXzHAJjwT-9_5UW_XZw8Dwg7yp7Wz6mPkc0bQTXu160")</f>
        <v>1AXzHAJjwT-9_5UW_XZw8Dwg7yp7Wz6mPkc0bQTXu160</v>
      </c>
    </row>
    <row r="391" ht="15.75" customHeight="1">
      <c r="A391" t="str">
        <f>IFERROR(__xludf.DUMMYFUNCTION("""COMPUTED_VALUE"""),"Rebalancer")</f>
        <v>Rebalancer</v>
      </c>
      <c r="B391" t="str">
        <f>IFERROR(__xludf.DUMMYFUNCTION("""COMPUTED_VALUE"""),"VerifyGridData")</f>
        <v>VerifyGridData</v>
      </c>
      <c r="C391" t="str">
        <f>IFERROR(__xludf.DUMMYFUNCTION("""COMPUTED_VALUE"""),"1B7i0IoV9AO1bwZU3Tp_Qg16uzTHINgkzk9LQZ0sW_fs")</f>
        <v>1B7i0IoV9AO1bwZU3Tp_Qg16uzTHINgkzk9LQZ0sW_fs</v>
      </c>
    </row>
    <row r="392" ht="15.75" customHeight="1">
      <c r="A392" t="str">
        <f>IFERROR(__xludf.DUMMYFUNCTION("""COMPUTED_VALUE"""),"Rebalancer")</f>
        <v>Rebalancer</v>
      </c>
      <c r="B392" t="str">
        <f>IFERROR(__xludf.DUMMYFUNCTION("""COMPUTED_VALUE"""),"RunRebalance")</f>
        <v>RunRebalance</v>
      </c>
      <c r="C392" t="str">
        <f>IFERROR(__xludf.DUMMYFUNCTION("""COMPUTED_VALUE"""),"1CEnDaSGOuGcFNjm3hHd8aBDyUcX0sT7u_R9_4qKqDQg")</f>
        <v>1CEnDaSGOuGcFNjm3hHd8aBDyUcX0sT7u_R9_4qKqDQg</v>
      </c>
    </row>
    <row r="393" ht="15.75" customHeight="1">
      <c r="A393" t="str">
        <f>IFERROR(__xludf.DUMMYFUNCTION("""COMPUTED_VALUE"""),"Rebalancer")</f>
        <v>Rebalancer</v>
      </c>
      <c r="B393" t="str">
        <f>IFERROR(__xludf.DUMMYFUNCTION("""COMPUTED_VALUE"""),"EnableComplianceTab")</f>
        <v>EnableComplianceTab</v>
      </c>
      <c r="C393" t="str">
        <f>IFERROR(__xludf.DUMMYFUNCTION("""COMPUTED_VALUE"""),"Undefined")</f>
        <v>Undefined</v>
      </c>
    </row>
    <row r="394" ht="15.75" customHeight="1">
      <c r="A394" t="str">
        <f>IFERROR(__xludf.DUMMYFUNCTION("""COMPUTED_VALUE"""),"Rebalancer")</f>
        <v>Rebalancer</v>
      </c>
      <c r="B394" t="str">
        <f>IFERROR(__xludf.DUMMYFUNCTION("""COMPUTED_VALUE"""),"RebalancePreference")</f>
        <v>RebalancePreference</v>
      </c>
      <c r="C394" t="str">
        <f>IFERROR(__xludf.DUMMYFUNCTION("""COMPUTED_VALUE"""),"1I1ruBtO8EtWeNS27V6l1CtRbmFnyCoGYjJeQKaXGO9c")</f>
        <v>1I1ruBtO8EtWeNS27V6l1CtRbmFnyCoGYjJeQKaXGO9c</v>
      </c>
    </row>
    <row r="395" ht="15.75" customHeight="1">
      <c r="A395" t="str">
        <f>IFERROR(__xludf.DUMMYFUNCTION("""COMPUTED_VALUE"""),"Rebalancer")</f>
        <v>Rebalancer</v>
      </c>
      <c r="B395" t="str">
        <f>IFERROR(__xludf.DUMMYFUNCTION("""COMPUTED_VALUE"""),"ImportModelPortfolio")</f>
        <v>ImportModelPortfolio</v>
      </c>
      <c r="C395" t="str">
        <f>IFERROR(__xludf.DUMMYFUNCTION("""COMPUTED_VALUE"""),"1uA3-X_sfdgHpLlla2gmA5qaIeMTJ6myEpMQomvaH57E")</f>
        <v>1uA3-X_sfdgHpLlla2gmA5qaIeMTJ6myEpMQomvaH57E</v>
      </c>
    </row>
    <row r="396" ht="15.75" customHeight="1">
      <c r="A396" t="str">
        <f>IFERROR(__xludf.DUMMYFUNCTION("""COMPUTED_VALUE"""),"Simulator")</f>
        <v>Simulator</v>
      </c>
      <c r="B396" t="str">
        <f>IFERROR(__xludf.DUMMYFUNCTION("""COMPUTED_VALUE"""),"SelectTrade")</f>
        <v>SelectTrade</v>
      </c>
      <c r="C396" t="str">
        <f>IFERROR(__xludf.DUMMYFUNCTION("""COMPUTED_VALUE"""),"1oJZA4RBw_XCkQDDZBy85ywqvQNpWajanrSAgqZzI13E")</f>
        <v>1oJZA4RBw_XCkQDDZBy85ywqvQNpWajanrSAgqZzI13E</v>
      </c>
    </row>
    <row r="397" ht="15.75" customHeight="1">
      <c r="A397" t="str">
        <f>IFERROR(__xludf.DUMMYFUNCTION("""COMPUTED_VALUE"""),"Simulator")</f>
        <v>Simulator</v>
      </c>
      <c r="B397" t="str">
        <f>IFERROR(__xludf.DUMMYFUNCTION("""COMPUTED_VALUE"""),"AcknowledgeTrade")</f>
        <v>AcknowledgeTrade</v>
      </c>
      <c r="C397" t="str">
        <f>IFERROR(__xludf.DUMMYFUNCTION("""COMPUTED_VALUE"""),"1CdBYKFFqYhOy4q1BEQGu82mUnF7WNWe4Z814u9beHxI")</f>
        <v>1CdBYKFFqYhOy4q1BEQGu82mUnF7WNWe4Z814u9beHxI</v>
      </c>
    </row>
    <row r="398" ht="15.75" customHeight="1">
      <c r="A398" t="str">
        <f>IFERROR(__xludf.DUMMYFUNCTION("""COMPUTED_VALUE"""),"Simulator")</f>
        <v>Simulator</v>
      </c>
      <c r="B398" t="str">
        <f>IFERROR(__xludf.DUMMYFUNCTION("""COMPUTED_VALUE"""),"RejectTrade")</f>
        <v>RejectTrade</v>
      </c>
      <c r="C398" t="str">
        <f>IFERROR(__xludf.DUMMYFUNCTION("""COMPUTED_VALUE"""),"1Y1WdSpP2a4mgL9AgFePTD5-O91_kez0RV_3oa79deEo")</f>
        <v>1Y1WdSpP2a4mgL9AgFePTD5-O91_kez0RV_3oa79deEo</v>
      </c>
    </row>
    <row r="399" ht="15.75" customHeight="1">
      <c r="A399" t="str">
        <f>IFERROR(__xludf.DUMMYFUNCTION("""COMPUTED_VALUE"""),"Simulator")</f>
        <v>Simulator</v>
      </c>
      <c r="B399" t="str">
        <f>IFERROR(__xludf.DUMMYFUNCTION("""COMPUTED_VALUE"""),"ExecuteTrade")</f>
        <v>ExecuteTrade</v>
      </c>
      <c r="C399" t="str">
        <f>IFERROR(__xludf.DUMMYFUNCTION("""COMPUTED_VALUE"""),"1e_0FhonaytFQGqmA2SZC8cqHQ7AVLoOxgvQEkeR849g")</f>
        <v>1e_0FhonaytFQGqmA2SZC8cqHQ7AVLoOxgvQEkeR849g</v>
      </c>
    </row>
    <row r="400" ht="15.75" customHeight="1">
      <c r="A400" t="str">
        <f>IFERROR(__xludf.DUMMYFUNCTION("""COMPUTED_VALUE"""),"Simulator")</f>
        <v>Simulator</v>
      </c>
      <c r="B400" t="str">
        <f>IFERROR(__xludf.DUMMYFUNCTION("""COMPUTED_VALUE"""),"CancelTrade")</f>
        <v>CancelTrade</v>
      </c>
      <c r="C400" t="str">
        <f>IFERROR(__xludf.DUMMYFUNCTION("""COMPUTED_VALUE"""),"1XgmEBTVWV37ueOSbU-KFxQMdWXS2s9BOXYqMxqKf2BY")</f>
        <v>1XgmEBTVWV37ueOSbU-KFxQMdWXS2s9BOXYqMxqKf2BY</v>
      </c>
    </row>
    <row r="401" ht="15.75" customHeight="1">
      <c r="A401" t="str">
        <f>IFERROR(__xludf.DUMMYFUNCTION("""COMPUTED_VALUE"""),"Simulator")</f>
        <v>Simulator</v>
      </c>
      <c r="B401" t="str">
        <f>IFERROR(__xludf.DUMMYFUNCTION("""COMPUTED_VALUE"""),"OpenLiveTT")</f>
        <v>OpenLiveTT</v>
      </c>
      <c r="C401" t="str">
        <f>IFERROR(__xludf.DUMMYFUNCTION("""COMPUTED_VALUE"""),"1e4CzgxX2NVRwzHvDyPOuiTJca4c8SXcpIGr2QVrjYQI")</f>
        <v>1e4CzgxX2NVRwzHvDyPOuiTJca4c8SXcpIGr2QVrjYQI</v>
      </c>
    </row>
    <row r="402" ht="15.75" customHeight="1">
      <c r="A402" t="str">
        <f>IFERROR(__xludf.DUMMYFUNCTION("""COMPUTED_VALUE"""),"TradingTicket")</f>
        <v>TradingTicket</v>
      </c>
      <c r="B402" t="str">
        <f>IFERROR(__xludf.DUMMYFUNCTION("""COMPUTED_VALUE"""),"CreateLiveOrder")</f>
        <v>CreateLiveOrder</v>
      </c>
      <c r="C402" t="str">
        <f>IFERROR(__xludf.DUMMYFUNCTION("""COMPUTED_VALUE"""),"1YElm81jXxZdxskT731iIp16oGd1p-W5Ffb9MVJDoofg")</f>
        <v>1YElm81jXxZdxskT731iIp16oGd1p-W5Ffb9MVJDoofg</v>
      </c>
    </row>
    <row r="403" ht="15.75" customHeight="1">
      <c r="A403" t="str">
        <f>IFERROR(__xludf.DUMMYFUNCTION("""COMPUTED_VALUE"""),"Simulator")</f>
        <v>Simulator</v>
      </c>
      <c r="B403" t="str">
        <f>IFERROR(__xludf.DUMMYFUNCTION("""COMPUTED_VALUE"""),"SetManualResponse ")</f>
        <v>SetManualResponse </v>
      </c>
      <c r="C403" t="str">
        <f>IFERROR(__xludf.DUMMYFUNCTION("""COMPUTED_VALUE"""),"Undefined")</f>
        <v>Undefined</v>
      </c>
    </row>
    <row r="404" ht="15.75" customHeight="1">
      <c r="A404" t="str">
        <f>IFERROR(__xludf.DUMMYFUNCTION("""COMPUTED_VALUE"""),"Simulator")</f>
        <v>Simulator</v>
      </c>
      <c r="B404" t="str">
        <f>IFERROR(__xludf.DUMMYFUNCTION("""COMPUTED_VALUE"""),"ClearUI")</f>
        <v>ClearUI</v>
      </c>
      <c r="C404" t="str">
        <f>IFERROR(__xludf.DUMMYFUNCTION("""COMPUTED_VALUE"""),"1bi6uYRfzxVu3GJCc3nSEh0YvVqGOtn-spYb06yo_hnY")</f>
        <v>1bi6uYRfzxVu3GJCc3nSEh0YvVqGOtn-spYb06yo_hnY</v>
      </c>
    </row>
    <row r="405" ht="15.75" customHeight="1">
      <c r="A405" t="str">
        <f>IFERROR(__xludf.DUMMYFUNCTION("""COMPUTED_VALUE"""),"Rebalancer")</f>
        <v>Rebalancer</v>
      </c>
      <c r="B405" t="str">
        <f>IFERROR(__xludf.DUMMYFUNCTION("""COMPUTED_VALUE"""),"RebalanceAcrossSecurities")</f>
        <v>RebalanceAcrossSecurities</v>
      </c>
      <c r="C405" t="str">
        <f>IFERROR(__xludf.DUMMYFUNCTION("""COMPUTED_VALUE"""),"1_DQqAXKgUDfMNZ4igcBmYvkPrPEjdQfZcn6_6SIc1LA")</f>
        <v>1_DQqAXKgUDfMNZ4igcBmYvkPrPEjdQfZcn6_6SIc1LA</v>
      </c>
    </row>
    <row r="406" ht="15.75" customHeight="1">
      <c r="A406" t="str">
        <f>IFERROR(__xludf.DUMMYFUNCTION("""COMPUTED_VALUE"""),"Rebalancer")</f>
        <v>Rebalancer</v>
      </c>
      <c r="B406" t="str">
        <f>IFERROR(__xludf.DUMMYFUNCTION("""COMPUTED_VALUE"""),"CheckBasketCompliance")</f>
        <v>CheckBasketCompliance</v>
      </c>
      <c r="C406" t="str">
        <f>IFERROR(__xludf.DUMMYFUNCTION("""COMPUTED_VALUE"""),"1OyBrMYDA5pir_a0JoXRjM-kGt-a_f9fa5fayZhq7gQA")</f>
        <v>1OyBrMYDA5pir_a0JoXRjM-kGt-a_f9fa5fayZhq7gQA</v>
      </c>
    </row>
    <row r="407" ht="15.75" customHeight="1">
      <c r="A407" t="str">
        <f>IFERROR(__xludf.DUMMYFUNCTION("""COMPUTED_VALUE"""),"Rebalancer")</f>
        <v>Rebalancer</v>
      </c>
      <c r="B407" t="str">
        <f>IFERROR(__xludf.DUMMYFUNCTION("""COMPUTED_VALUE"""),"ClearCalculations")</f>
        <v>ClearCalculations</v>
      </c>
      <c r="C407" t="str">
        <f>IFERROR(__xludf.DUMMYFUNCTION("""COMPUTED_VALUE"""),"1YZnEM1XNVemOWc-WrHrlgFWLxrgjrRkjzNt5BMMb0SQ")</f>
        <v>1YZnEM1XNVemOWc-WrHrlgFWLxrgjrRkjzNt5BMMb0SQ</v>
      </c>
    </row>
    <row r="408" ht="15.75" customHeight="1">
      <c r="A408" t="str">
        <f>IFERROR(__xludf.DUMMYFUNCTION("""COMPUTED_VALUE"""),"Rebalancer")</f>
        <v>Rebalancer</v>
      </c>
      <c r="B408" t="str">
        <f>IFERROR(__xludf.DUMMYFUNCTION("""COMPUTED_VALUE"""),"ModifyRebalance")</f>
        <v>ModifyRebalance</v>
      </c>
      <c r="C408" t="str">
        <f>IFERROR(__xludf.DUMMYFUNCTION("""COMPUTED_VALUE"""),"14dJxKOyoZUguSNdGUYEkaQb5fO8cn-Xi7Lvco3mqQT0")</f>
        <v>14dJxKOyoZUguSNdGUYEkaQb5fO8cn-Xi7Lvco3mqQT0</v>
      </c>
    </row>
    <row r="409" ht="15.75" customHeight="1">
      <c r="A409" t="str">
        <f>IFERROR(__xludf.DUMMYFUNCTION("""COMPUTED_VALUE"""),"ThirdParty")</f>
        <v>ThirdParty</v>
      </c>
      <c r="B409" t="str">
        <f>IFERROR(__xludf.DUMMYFUNCTION("""COMPUTED_VALUE"""),"SelectThirdParty")</f>
        <v>SelectThirdParty</v>
      </c>
      <c r="C409" t="str">
        <f>IFERROR(__xludf.DUMMYFUNCTION("""COMPUTED_VALUE"""),"1jjylktggovoVKJ93ygprcwMqE7x5APXRPDlZORnG-lM")</f>
        <v>1jjylktggovoVKJ93ygprcwMqE7x5APXRPDlZORnG-lM</v>
      </c>
    </row>
    <row r="410" ht="15.75" customHeight="1">
      <c r="A410" t="str">
        <f>IFERROR(__xludf.DUMMYFUNCTION("""COMPUTED_VALUE"""),"ThirdParty")</f>
        <v>ThirdParty</v>
      </c>
      <c r="B410" t="str">
        <f>IFERROR(__xludf.DUMMYFUNCTION("""COMPUTED_VALUE"""),"ViewThirdParty")</f>
        <v>ViewThirdParty</v>
      </c>
      <c r="C410" t="str">
        <f>IFERROR(__xludf.DUMMYFUNCTION("""COMPUTED_VALUE"""),"1M_vWwbJmnVHSZCn_aXTbhje_gX1wR7qPtpIVUwfXXEI")</f>
        <v>1M_vWwbJmnVHSZCn_aXTbhje_gX1wR7qPtpIVUwfXXEI</v>
      </c>
    </row>
    <row r="411" ht="15.75" customHeight="1">
      <c r="A411" t="str">
        <f>IFERROR(__xludf.DUMMYFUNCTION("""COMPUTED_VALUE"""),"ThirdParty")</f>
        <v>ThirdParty</v>
      </c>
      <c r="B411" t="str">
        <f>IFERROR(__xludf.DUMMYFUNCTION("""COMPUTED_VALUE"""),"ThirdPartyGenerate")</f>
        <v>ThirdPartyGenerate</v>
      </c>
      <c r="C411" t="str">
        <f>IFERROR(__xludf.DUMMYFUNCTION("""COMPUTED_VALUE"""),"1VY_dfHFF7h6QdGCqKyvQNhL1L0AflvVXqmsJf_-Q-wM")</f>
        <v>1VY_dfHFF7h6QdGCqKyvQNhL1L0AflvVXqmsJf_-Q-wM</v>
      </c>
    </row>
    <row r="412" ht="15.75" customHeight="1">
      <c r="A412" t="str">
        <f>IFERROR(__xludf.DUMMYFUNCTION("""COMPUTED_VALUE"""),"ThirdParty")</f>
        <v>ThirdParty</v>
      </c>
      <c r="B412" t="str">
        <f>IFERROR(__xludf.DUMMYFUNCTION("""COMPUTED_VALUE"""),"VerifyThirdPartyView")</f>
        <v>VerifyThirdPartyView</v>
      </c>
      <c r="C412" t="str">
        <f>IFERROR(__xludf.DUMMYFUNCTION("""COMPUTED_VALUE"""),"1PlxAVmA1kQxKEDdmir_dZ2yCnS0sczqxaxI14lspQRc")</f>
        <v>1PlxAVmA1kQxKEDdmir_dZ2yCnS0sczqxaxI14lspQRc</v>
      </c>
    </row>
    <row r="413" ht="15.75" customHeight="1">
      <c r="A413" t="str">
        <f>IFERROR(__xludf.DUMMYFUNCTION("""COMPUTED_VALUE"""),"ThirdParty")</f>
        <v>ThirdParty</v>
      </c>
      <c r="B413" t="str">
        <f>IFERROR(__xludf.DUMMYFUNCTION("""COMPUTED_VALUE"""),"VerifyThirdPartyGenerate")</f>
        <v>VerifyThirdPartyGenerate</v>
      </c>
      <c r="C413" t="str">
        <f>IFERROR(__xludf.DUMMYFUNCTION("""COMPUTED_VALUE"""),"1wcR0IDUt_nDrixwL4ekhCphzdwkRzSvN74wQc6bqa6I")</f>
        <v>1wcR0IDUt_nDrixwL4ekhCphzdwkRzSvN74wQc6bqa6I</v>
      </c>
    </row>
    <row r="414" ht="15.75" customHeight="1">
      <c r="A414" t="str">
        <f>IFERROR(__xludf.DUMMYFUNCTION("""COMPUTED_VALUE"""),"ThirdParty")</f>
        <v>ThirdParty</v>
      </c>
      <c r="B414" t="str">
        <f>IFERROR(__xludf.DUMMYFUNCTION("""COMPUTED_VALUE"""),"VerifyThirdPartySend")</f>
        <v>VerifyThirdPartySend</v>
      </c>
      <c r="C414" t="str">
        <f>IFERROR(__xludf.DUMMYFUNCTION("""COMPUTED_VALUE"""),"1xMTnPgjA-5czlK--QDF7kSLwwzm_Nr_U-hWjlIptwvA")</f>
        <v>1xMTnPgjA-5czlK--QDF7kSLwwzm_Nr_U-hWjlIptwvA</v>
      </c>
    </row>
    <row r="415" ht="15.75" customHeight="1">
      <c r="A415" t="str">
        <f>IFERROR(__xludf.DUMMYFUNCTION("""COMPUTED_VALUE"""),"ThirdParty")</f>
        <v>ThirdParty</v>
      </c>
      <c r="B415" t="str">
        <f>IFERROR(__xludf.DUMMYFUNCTION("""COMPUTED_VALUE"""),"ThirdPartySend")</f>
        <v>ThirdPartySend</v>
      </c>
      <c r="C415" t="str">
        <f>IFERROR(__xludf.DUMMYFUNCTION("""COMPUTED_VALUE"""),"1GTyXwiBJ89Cz8jXXGex2tRDqiQ-zfsA2Ab877TNJGO8")</f>
        <v>1GTyXwiBJ89Cz8jXXGex2tRDqiQ-zfsA2Ab877TNJGO8</v>
      </c>
    </row>
    <row r="416" ht="15.75" customHeight="1">
      <c r="A416" t="str">
        <f>IFERROR(__xludf.DUMMYFUNCTION("""COMPUTED_VALUE"""),"Blotter")</f>
        <v>Blotter</v>
      </c>
      <c r="B416" t="str">
        <f>IFERROR(__xludf.DUMMYFUNCTION("""COMPUTED_VALUE"""),"VerifyViewAllocationDetails")</f>
        <v>VerifyViewAllocationDetails</v>
      </c>
      <c r="C416" t="str">
        <f>IFERROR(__xludf.DUMMYFUNCTION("""COMPUTED_VALUE"""),"1bNNEr-lSd0r160QEx23XXOR6M4VNsWETJctUKdRQISI")</f>
        <v>1bNNEr-lSd0r160QEx23XXOR6M4VNsWETJctUKdRQISI</v>
      </c>
    </row>
    <row r="417" ht="15.75" customHeight="1">
      <c r="A417" t="str">
        <f>IFERROR(__xludf.DUMMYFUNCTION("""COMPUTED_VALUE"""),"PTT")</f>
        <v>PTT</v>
      </c>
      <c r="B417" t="str">
        <f>IFERROR(__xludf.DUMMYFUNCTION("""COMPUTED_VALUE"""),"SelectPTTRecord")</f>
        <v>SelectPTTRecord</v>
      </c>
      <c r="C417" t="str">
        <f>IFERROR(__xludf.DUMMYFUNCTION("""COMPUTED_VALUE"""),"1ZwKNiPobd02LDEL972DGhHwWWjyxykoNCOLI0J0A3FQ")</f>
        <v>1ZwKNiPobd02LDEL972DGhHwWWjyxykoNCOLI0J0A3FQ</v>
      </c>
    </row>
    <row r="418" ht="15.75" customHeight="1">
      <c r="A418" t="str">
        <f>IFERROR(__xludf.DUMMYFUNCTION("""COMPUTED_VALUE"""),"PTT")</f>
        <v>PTT</v>
      </c>
      <c r="B418" t="str">
        <f>IFERROR(__xludf.DUMMYFUNCTION("""COMPUTED_VALUE"""),"EditPTTRecord")</f>
        <v>EditPTTRecord</v>
      </c>
      <c r="C418" t="str">
        <f>IFERROR(__xludf.DUMMYFUNCTION("""COMPUTED_VALUE"""),"1UX2q2cE3Yhd9N1Cymq56lMWFO5b_5MRDssdEeUHk7Uw")</f>
        <v>1UX2q2cE3Yhd9N1Cymq56lMWFO5b_5MRDssdEeUHk7Uw</v>
      </c>
    </row>
    <row r="419" ht="15.75" customHeight="1">
      <c r="A419" t="str">
        <f>IFERROR(__xludf.DUMMYFUNCTION("""COMPUTED_VALUE"""),"PTT")</f>
        <v>PTT</v>
      </c>
      <c r="B419" t="str">
        <f>IFERROR(__xludf.DUMMYFUNCTION("""COMPUTED_VALUE"""),"CreateOrderAfterEditPTT")</f>
        <v>CreateOrderAfterEditPTT</v>
      </c>
      <c r="C419" t="str">
        <f>IFERROR(__xludf.DUMMYFUNCTION("""COMPUTED_VALUE"""),"1_Pi7jaWwC1-jHc4gdZjz6rVBF8BeDCN5MP-lkS3-P5A")</f>
        <v>1_Pi7jaWwC1-jHc4gdZjz6rVBF8BeDCN5MP-lkS3-P5A</v>
      </c>
    </row>
    <row r="420" ht="15.75" customHeight="1">
      <c r="A420" t="str">
        <f>IFERROR(__xludf.DUMMYFUNCTION("""COMPUTED_VALUE"""),"PTT")</f>
        <v>PTT</v>
      </c>
      <c r="B420" t="str">
        <f>IFERROR(__xludf.DUMMYFUNCTION("""COMPUTED_VALUE"""),"EditPTTWPFGrid")</f>
        <v>EditPTTWPFGrid</v>
      </c>
      <c r="C420" t="str">
        <f>IFERROR(__xludf.DUMMYFUNCTION("""COMPUTED_VALUE"""),"1o84-ebWnVj-2eOPPbqtkU7cjAdopGIv9U9UpnvyS_RM")</f>
        <v>1o84-ebWnVj-2eOPPbqtkU7cjAdopGIv9U9UpnvyS_RM</v>
      </c>
    </row>
    <row r="421" ht="15.75" customHeight="1">
      <c r="A421" t="str">
        <f>IFERROR(__xludf.DUMMYFUNCTION("""COMPUTED_VALUE"""),"Blotter")</f>
        <v>Blotter</v>
      </c>
      <c r="B421" t="str">
        <f>IFERROR(__xludf.DUMMYFUNCTION("""COMPUTED_VALUE"""),"GoToAllocation")</f>
        <v>GoToAllocation</v>
      </c>
      <c r="C421" t="str">
        <f>IFERROR(__xludf.DUMMYFUNCTION("""COMPUTED_VALUE"""),"10QzcdIo3u5jhik0CvwvheVC9AB6WY_giUhBXgjokbKA")</f>
        <v>10QzcdIo3u5jhik0CvwvheVC9AB6WY_giUhBXgjokbKA</v>
      </c>
    </row>
    <row r="422" ht="15.75" customHeight="1">
      <c r="A422" t="str">
        <f>IFERROR(__xludf.DUMMYFUNCTION("""COMPUTED_VALUE"""),"Simulator")</f>
        <v>Simulator</v>
      </c>
      <c r="B422" t="str">
        <f>IFERROR(__xludf.DUMMYFUNCTION("""COMPUTED_VALUE"""),"CloseSimulator")</f>
        <v>CloseSimulator</v>
      </c>
      <c r="C422" t="str">
        <f>IFERROR(__xludf.DUMMYFUNCTION("""COMPUTED_VALUE"""),"Undefined")</f>
        <v>Undefined</v>
      </c>
    </row>
    <row r="423" ht="15.75" customHeight="1">
      <c r="A423" t="str">
        <f>IFERROR(__xludf.DUMMYFUNCTION("""COMPUTED_VALUE"""),"GeneralLedger")</f>
        <v>GeneralLedger</v>
      </c>
      <c r="B423" t="str">
        <f>IFERROR(__xludf.DUMMYFUNCTION("""COMPUTED_VALUE"""),"VerifyCashTransaction")</f>
        <v>VerifyCashTransaction</v>
      </c>
      <c r="C423" t="str">
        <f>IFERROR(__xludf.DUMMYFUNCTION("""COMPUTED_VALUE"""),"1yhwHj8QXLwaG6_tqD1DiMTBFbGfFx06eBEkztEnm-Jw")</f>
        <v>1yhwHj8QXLwaG6_tqD1DiMTBFbGfFx06eBEkztEnm-Jw</v>
      </c>
    </row>
    <row r="424" ht="15.75" customHeight="1">
      <c r="A424" t="str">
        <f>IFERROR(__xludf.DUMMYFUNCTION("""COMPUTED_VALUE"""),"Rebalancer")</f>
        <v>Rebalancer</v>
      </c>
      <c r="B424" t="str">
        <f>IFERROR(__xludf.DUMMYFUNCTION("""COMPUTED_VALUE"""),"ModelPortfolio")</f>
        <v>ModelPortfolio</v>
      </c>
      <c r="C424" t="str">
        <f>IFERROR(__xludf.DUMMYFUNCTION("""COMPUTED_VALUE"""),"136i7p89n9UDWHd_V-4a1bV4rkJpS_ilCt9E0-pe1yK8")</f>
        <v>136i7p89n9UDWHd_V-4a1bV4rkJpS_ilCt9E0-pe1yK8</v>
      </c>
    </row>
    <row r="425" ht="15.75" customHeight="1">
      <c r="A425" t="str">
        <f>IFERROR(__xludf.DUMMYFUNCTION("""COMPUTED_VALUE"""),"DailyValuation")</f>
        <v>DailyValuation</v>
      </c>
      <c r="B425" t="str">
        <f>IFERROR(__xludf.DUMMYFUNCTION("""COMPUTED_VALUE"""),"VerifyDailyCash")</f>
        <v>VerifyDailyCash</v>
      </c>
      <c r="C425" t="str">
        <f>IFERROR(__xludf.DUMMYFUNCTION("""COMPUTED_VALUE"""),"1e9G7T26lY7vSvQv24ueVwOQKraBS_0LQ_KuMJQWQhZE")</f>
        <v>1e9G7T26lY7vSvQv24ueVwOQKraBS_0LQ_KuMJQWQhZE</v>
      </c>
    </row>
    <row r="426" ht="15.75" customHeight="1">
      <c r="A426" t="str">
        <f>IFERROR(__xludf.DUMMYFUNCTION("""COMPUTED_VALUE"""),"Admin")</f>
        <v>Admin</v>
      </c>
      <c r="B426" t="str">
        <f>IFERROR(__xludf.DUMMYFUNCTION("""COMPUTED_VALUE"""),"SetCheckSide")</f>
        <v>SetCheckSide</v>
      </c>
      <c r="C426" t="str">
        <f>IFERROR(__xludf.DUMMYFUNCTION("""COMPUTED_VALUE"""),"1ReudWT4409vS83RpMHfwkV9B4orUNJ9atUNdHyDBQ4s")</f>
        <v>1ReudWT4409vS83RpMHfwkV9B4orUNJ9atUNdHyDBQ4s</v>
      </c>
    </row>
    <row r="427" ht="15.75" customHeight="1">
      <c r="A427" t="str">
        <f>IFERROR(__xludf.DUMMYFUNCTION("""COMPUTED_VALUE"""),"CorporateAction")</f>
        <v>CorporateAction</v>
      </c>
      <c r="B427" t="str">
        <f>IFERROR(__xludf.DUMMYFUNCTION("""COMPUTED_VALUE"""),"OpenSpinOff")</f>
        <v>OpenSpinOff</v>
      </c>
      <c r="C427" t="str">
        <f>IFERROR(__xludf.DUMMYFUNCTION("""COMPUTED_VALUE"""),"1ca52Q2hfdhwZ8A2jVvaiicu3dt8a8J8L3Jhcse7pG2A")</f>
        <v>1ca52Q2hfdhwZ8A2jVvaiicu3dt8a8J8L3Jhcse7pG2A</v>
      </c>
    </row>
    <row r="428" ht="15.75" customHeight="1">
      <c r="A428" t="str">
        <f>IFERROR(__xludf.DUMMYFUNCTION("""COMPUTED_VALUE"""),"CorporateAction")</f>
        <v>CorporateAction</v>
      </c>
      <c r="B428" t="str">
        <f>IFERROR(__xludf.DUMMYFUNCTION("""COMPUTED_VALUE"""),"VerifyAndApplyCorpAction")</f>
        <v>VerifyAndApplyCorpAction</v>
      </c>
      <c r="C428" t="str">
        <f>IFERROR(__xludf.DUMMYFUNCTION("""COMPUTED_VALUE"""),"1SBzqeTSAoUoHFDHMn4k7c6g6LHSBIrpd4emybhFreTg")</f>
        <v>1SBzqeTSAoUoHFDHMn4k7c6g6LHSBIrpd4emybhFreTg</v>
      </c>
    </row>
    <row r="429" ht="15.75" customHeight="1">
      <c r="A429" t="str">
        <f>IFERROR(__xludf.DUMMYFUNCTION("""COMPUTED_VALUE"""),"CorporateAction ")</f>
        <v>CorporateAction </v>
      </c>
      <c r="B429" t="str">
        <f>IFERROR(__xludf.DUMMYFUNCTION("""COMPUTED_VALUE"""),"VerifyAndSaveCorpAction")</f>
        <v>VerifyAndSaveCorpAction</v>
      </c>
      <c r="C429" t="str">
        <f>IFERROR(__xludf.DUMMYFUNCTION("""COMPUTED_VALUE"""),"1wAywyRQ48H22P5SEjLRQxebHLFtPifvm4VFxZoSYlTI")</f>
        <v>1wAywyRQ48H22P5SEjLRQxebHLFtPifvm4VFxZoSYlTI</v>
      </c>
    </row>
    <row r="430" ht="15.75" customHeight="1">
      <c r="A430" t="str">
        <f>IFERROR(__xludf.DUMMYFUNCTION("""COMPUTED_VALUE"""),"Allocation")</f>
        <v>Allocation</v>
      </c>
      <c r="B430" t="str">
        <f>IFERROR(__xludf.DUMMYFUNCTION("""COMPUTED_VALUE"""),"DisableChecksideForAsset")</f>
        <v>DisableChecksideForAsset</v>
      </c>
      <c r="C430" t="str">
        <f>IFERROR(__xludf.DUMMYFUNCTION("""COMPUTED_VALUE"""),"16ErDdYMk92r2vHKFbCSsrMnG2qsS600CjuKBnkuz9bg")</f>
        <v>16ErDdYMk92r2vHKFbCSsrMnG2qsS600CjuKBnkuz9bg</v>
      </c>
    </row>
    <row r="431" ht="15.75" customHeight="1">
      <c r="A431" t="str">
        <f>IFERROR(__xludf.DUMMYFUNCTION("""COMPUTED_VALUE"""),"Allocation")</f>
        <v>Allocation</v>
      </c>
      <c r="B431" t="str">
        <f>IFERROR(__xludf.DUMMYFUNCTION("""COMPUTED_VALUE"""),"DisableChecksideForAccount")</f>
        <v>DisableChecksideForAccount</v>
      </c>
      <c r="C431" t="str">
        <f>IFERROR(__xludf.DUMMYFUNCTION("""COMPUTED_VALUE"""),"1_ofNNle4c82uOrOMYVoJijcsU3RrE_tOk8sP-7DTQbE")</f>
        <v>1_ofNNle4c82uOrOMYVoJijcsU3RrE_tOk8sP-7DTQbE</v>
      </c>
    </row>
    <row r="432" ht="15.75" customHeight="1">
      <c r="A432" t="str">
        <f>IFERROR(__xludf.DUMMYFUNCTION("""COMPUTED_VALUE"""),"Allocation")</f>
        <v>Allocation</v>
      </c>
      <c r="B432" t="str">
        <f>IFERROR(__xludf.DUMMYFUNCTION("""COMPUTED_VALUE"""),"DisableChecksideForCounterParty")</f>
        <v>DisableChecksideForCounterParty</v>
      </c>
      <c r="C432" t="str">
        <f>IFERROR(__xludf.DUMMYFUNCTION("""COMPUTED_VALUE"""),"1S6IfjsUhgXZnzhxXTQ9Pu8C2d3owAfDh3AkXsJ77ONs")</f>
        <v>1S6IfjsUhgXZnzhxXTQ9Pu8C2d3owAfDh3AkXsJ77ONs</v>
      </c>
    </row>
    <row r="433" ht="15.75" customHeight="1">
      <c r="A433" t="str">
        <f>IFERROR(__xludf.DUMMYFUNCTION("""COMPUTED_VALUE"""),"Allocation")</f>
        <v>Allocation</v>
      </c>
      <c r="B433" t="str">
        <f>IFERROR(__xludf.DUMMYFUNCTION("""COMPUTED_VALUE"""),"DisableCheckside")</f>
        <v>DisableCheckside</v>
      </c>
      <c r="C433" t="str">
        <f>IFERROR(__xludf.DUMMYFUNCTION("""COMPUTED_VALUE"""),"1VvbbBLsHbv0nOMc8RenJrC7_8Yjvi3rS_glRksBYT_g")</f>
        <v>1VvbbBLsHbv0nOMc8RenJrC7_8Yjvi3rS_glRksBYT_g</v>
      </c>
    </row>
    <row r="434" ht="15.75" customHeight="1">
      <c r="A434" t="str">
        <f>IFERROR(__xludf.DUMMYFUNCTION("""COMPUTED_VALUE"""),"Allocation")</f>
        <v>Allocation</v>
      </c>
      <c r="B434" t="str">
        <f>IFERROR(__xludf.DUMMYFUNCTION("""COMPUTED_VALUE"""),"ApplyMasterFundFilter")</f>
        <v>ApplyMasterFundFilter</v>
      </c>
      <c r="C434" t="str">
        <f>IFERROR(__xludf.DUMMYFUNCTION("""COMPUTED_VALUE"""),"1aOi8zMpuwOlcgS4kk8Ruk2p6o_Y6yab83mZG5CGPHsI")</f>
        <v>1aOi8zMpuwOlcgS4kk8Ruk2p6o_Y6yab83mZG5CGPHsI</v>
      </c>
    </row>
    <row r="435" ht="15.75" customHeight="1">
      <c r="A435" t="str">
        <f>IFERROR(__xludf.DUMMYFUNCTION("""COMPUTED_VALUE"""),"TradingTicket")</f>
        <v>TradingTicket</v>
      </c>
      <c r="B435" t="str">
        <f>IFERROR(__xludf.DUMMYFUNCTION("""COMPUTED_VALUE"""),"UpdateMasterFundOnTT")</f>
        <v>UpdateMasterFundOnTT</v>
      </c>
      <c r="C435" t="str">
        <f>IFERROR(__xludf.DUMMYFUNCTION("""COMPUTED_VALUE"""),"1NH2RgaXiyv04qiaKhglHuboYXdFpvtuQx8ZaQl1cqFs")</f>
        <v>1NH2RgaXiyv04qiaKhglHuboYXdFpvtuQx8ZaQl1cqFs</v>
      </c>
    </row>
    <row r="436" ht="15.75" customHeight="1">
      <c r="A436" t="str">
        <f>IFERROR(__xludf.DUMMYFUNCTION("""COMPUTED_VALUE"""),"Allocation")</f>
        <v>Allocation</v>
      </c>
      <c r="B436" t="str">
        <f>IFERROR(__xludf.DUMMYFUNCTION("""COMPUTED_VALUE"""),"ShowMasterFundOnTT")</f>
        <v>ShowMasterFundOnTT</v>
      </c>
      <c r="C436" t="str">
        <f>IFERROR(__xludf.DUMMYFUNCTION("""COMPUTED_VALUE"""),"1qIRihKlBnQ9rcLjWoqIp-PhksybW-tE4KcRwTi-uTh8")</f>
        <v>1qIRihKlBnQ9rcLjWoqIp-PhksybW-tE4KcRwTi-uTh8</v>
      </c>
    </row>
    <row r="437" ht="15.75" customHeight="1">
      <c r="A437" t="str">
        <f>IFERROR(__xludf.DUMMYFUNCTION("""COMPUTED_VALUE"""),"Allocation")</f>
        <v>Allocation</v>
      </c>
      <c r="B437" t="str">
        <f>IFERROR(__xludf.DUMMYFUNCTION("""COMPUTED_VALUE"""),"ShowMasterFundAsClient")</f>
        <v>ShowMasterFundAsClient</v>
      </c>
      <c r="C437" t="str">
        <f>IFERROR(__xludf.DUMMYFUNCTION("""COMPUTED_VALUE"""),"1mBYEgZFVmhMZkYKMz2zBcLvpelcKVcdkwVNoWjn9Yhg")</f>
        <v>1mBYEgZFVmhMZkYKMz2zBcLvpelcKVcdkwVNoWjn9Yhg</v>
      </c>
    </row>
    <row r="438" ht="15.75" customHeight="1">
      <c r="A438" t="str">
        <f>IFERROR(__xludf.DUMMYFUNCTION("""COMPUTED_VALUE"""),"Allocation")</f>
        <v>Allocation</v>
      </c>
      <c r="B438" t="str">
        <f>IFERROR(__xludf.DUMMYFUNCTION("""COMPUTED_VALUE"""),"SetBrokerAccountMapping")</f>
        <v>SetBrokerAccountMapping</v>
      </c>
      <c r="C438" t="str">
        <f>IFERROR(__xludf.DUMMYFUNCTION("""COMPUTED_VALUE"""),"1nb7n3oYvCbSlMI6mlmZw3W8oxoLWQ1JFUZkN8dhvKGo")</f>
        <v>1nb7n3oYvCbSlMI6mlmZw3W8oxoLWQ1JFUZkN8dhvKGo</v>
      </c>
    </row>
    <row r="439" ht="15.75" customHeight="1">
      <c r="A439" t="str">
        <f>IFERROR(__xludf.DUMMYFUNCTION("""COMPUTED_VALUE"""),"Allocation")</f>
        <v>Allocation</v>
      </c>
      <c r="B439" t="str">
        <f>IFERROR(__xludf.DUMMYFUNCTION("""COMPUTED_VALUE"""),"EditUnallocatedGridWPF")</f>
        <v>EditUnallocatedGridWPF</v>
      </c>
      <c r="C439" t="str">
        <f>IFERROR(__xludf.DUMMYFUNCTION("""COMPUTED_VALUE"""),"1c-Gj_pSa6hbKILBzHvXLuimO2VmGjEek0icIYnPcCPE")</f>
        <v>1c-Gj_pSa6hbKILBzHvXLuimO2VmGjEek0icIYnPcCPE</v>
      </c>
    </row>
    <row r="440" ht="15.75" customHeight="1">
      <c r="A440" t="str">
        <f>IFERROR(__xludf.DUMMYFUNCTION("""COMPUTED_VALUE"""),"Allocation")</f>
        <v>Allocation</v>
      </c>
      <c r="B440" t="str">
        <f>IFERROR(__xludf.DUMMYFUNCTION("""COMPUTED_VALUE"""),"EditAllocatedGridWPF")</f>
        <v>EditAllocatedGridWPF</v>
      </c>
      <c r="C440" t="str">
        <f>IFERROR(__xludf.DUMMYFUNCTION("""COMPUTED_VALUE"""),"1tOzxGOLWmanR1CinNEV8SAdqJX3ajMPchVgiX6Cao8s")</f>
        <v>1tOzxGOLWmanR1CinNEV8SAdqJX3ajMPchVgiX6Cao8s</v>
      </c>
    </row>
    <row r="441" ht="15.75" customHeight="1">
      <c r="A441" t="str">
        <f>IFERROR(__xludf.DUMMYFUNCTION("""COMPUTED_VALUE"""),"Admin")</f>
        <v>Admin</v>
      </c>
      <c r="B441" t="str">
        <f>IFERROR(__xludf.DUMMYFUNCTION("""COMPUTED_VALUE"""),"SetRollover")</f>
        <v>SetRollover</v>
      </c>
      <c r="C441" t="str">
        <f>IFERROR(__xludf.DUMMYFUNCTION("""COMPUTED_VALUE"""),"1B3vLz-YjdbGHniMwguZEWSalbMWNmVHodgQHVzZAq60")</f>
        <v>1B3vLz-YjdbGHniMwguZEWSalbMWNmVHodgQHVzZAq60</v>
      </c>
    </row>
    <row r="442" ht="15.75" customHeight="1">
      <c r="A442" t="str">
        <f>IFERROR(__xludf.DUMMYFUNCTION("""COMPUTED_VALUE"""),"Blotter")</f>
        <v>Blotter</v>
      </c>
      <c r="B442" t="str">
        <f>IFERROR(__xludf.DUMMYFUNCTION("""COMPUTED_VALUE"""),"VerifyRollover")</f>
        <v>VerifyRollover</v>
      </c>
      <c r="C442" t="str">
        <f>IFERROR(__xludf.DUMMYFUNCTION("""COMPUTED_VALUE"""),"1VQh3eCLRiyXufUtJv6VqIb0wjqC_jElZJAWe8vnyiFo")</f>
        <v>1VQh3eCLRiyXufUtJv6VqIb0wjqC_jElZJAWe8vnyiFo</v>
      </c>
    </row>
    <row r="443" ht="15.75" customHeight="1">
      <c r="A443" t="str">
        <f>IFERROR(__xludf.DUMMYFUNCTION("""COMPUTED_VALUE"""),"Allocation")</f>
        <v>Allocation</v>
      </c>
      <c r="B443" t="str">
        <f>IFERROR(__xludf.DUMMYFUNCTION("""COMPUTED_VALUE"""),"EditAllocatedGridTaxlot")</f>
        <v>EditAllocatedGridTaxlot</v>
      </c>
      <c r="C443" t="str">
        <f>IFERROR(__xludf.DUMMYFUNCTION("""COMPUTED_VALUE"""),"1jrQ5cTjzaAnJprHDrMJ7xLoViDRLxJhmViRhlMQyPmc")</f>
        <v>1jrQ5cTjzaAnJprHDrMJ7xLoViDRLxJhmViRhlMQyPmc</v>
      </c>
    </row>
    <row r="444" ht="15.75" customHeight="1">
      <c r="A444" t="str">
        <f>IFERROR(__xludf.DUMMYFUNCTION("""COMPUTED_VALUE"""),"Allocation")</f>
        <v>Allocation</v>
      </c>
      <c r="B444" t="str">
        <f>IFERROR(__xludf.DUMMYFUNCTION("""COMPUTED_VALUE"""),"ExpandCollapseAllocatedGrid")</f>
        <v>ExpandCollapseAllocatedGrid</v>
      </c>
      <c r="C444" t="str">
        <f>IFERROR(__xludf.DUMMYFUNCTION("""COMPUTED_VALUE"""),"1EtqBdhsUhwi27QZ_a5TFGvk7epbQRBAud4wwG4GjT-o")</f>
        <v>1EtqBdhsUhwi27QZ_a5TFGvk7epbQRBAud4wwG4GjT-o</v>
      </c>
    </row>
    <row r="445" ht="15.75" customHeight="1">
      <c r="A445" t="str">
        <f>IFERROR(__xludf.DUMMYFUNCTION("""COMPUTED_VALUE"""),"Allocation")</f>
        <v>Allocation</v>
      </c>
      <c r="B445" t="str">
        <f>IFERROR(__xludf.DUMMYFUNCTION("""COMPUTED_VALUE"""),"ExpandCollapseUnallocatedGrid")</f>
        <v>ExpandCollapseUnallocatedGrid</v>
      </c>
      <c r="C445" t="str">
        <f>IFERROR(__xludf.DUMMYFUNCTION("""COMPUTED_VALUE"""),"1DJn_ByYxhMzgt2AkKP7VvHaijAtfcn500twVCi3FuwY")</f>
        <v>1DJn_ByYxhMzgt2AkKP7VvHaijAtfcn500twVCi3FuwY</v>
      </c>
    </row>
    <row r="446" ht="15.75" customHeight="1">
      <c r="A446" t="str">
        <f>IFERROR(__xludf.DUMMYFUNCTION("""COMPUTED_VALUE"""),"Blotter")</f>
        <v>Blotter</v>
      </c>
      <c r="B446" t="str">
        <f>IFERROR(__xludf.DUMMYFUNCTION("""COMPUTED_VALUE"""),"VerifySubOrderAfterRollover")</f>
        <v>VerifySubOrderAfterRollover</v>
      </c>
      <c r="C446" t="str">
        <f>IFERROR(__xludf.DUMMYFUNCTION("""COMPUTED_VALUE"""),"1zDsXI3LPkoDacftZ2KF5YYjIcUlD3QhRUYRulDL5oN8")</f>
        <v>1zDsXI3LPkoDacftZ2KF5YYjIcUlD3QhRUYRulDL5oN8</v>
      </c>
    </row>
    <row r="447" ht="15.75" customHeight="1">
      <c r="A447" t="str">
        <f>IFERROR(__xludf.DUMMYFUNCTION("""COMPUTED_VALUE"""),"Import")</f>
        <v>Import</v>
      </c>
      <c r="B447" t="str">
        <f>IFERROR(__xludf.DUMMYFUNCTION("""COMPUTED_VALUE"""),"SelectTransactionImportType")</f>
        <v>SelectTransactionImportType</v>
      </c>
      <c r="C447" t="str">
        <f>IFERROR(__xludf.DUMMYFUNCTION("""COMPUTED_VALUE"""),"1MfOpDVrcGiBBIHH8fFTmd6amj1jHHg6rePWgu-2nZK8")</f>
        <v>1MfOpDVrcGiBBIHH8fFTmd6amj1jHHg6rePWgu-2nZK8</v>
      </c>
    </row>
    <row r="448" ht="15.75" customHeight="1">
      <c r="A448" t="str">
        <f>IFERROR(__xludf.DUMMYFUNCTION("""COMPUTED_VALUE"""),"Import")</f>
        <v>Import</v>
      </c>
      <c r="B448" t="str">
        <f>IFERROR(__xludf.DUMMYFUNCTION("""COMPUTED_VALUE"""),"SelectAllOnImport")</f>
        <v>SelectAllOnImport</v>
      </c>
      <c r="C448" t="str">
        <f>IFERROR(__xludf.DUMMYFUNCTION("""COMPUTED_VALUE"""),"1O-Z5n-OqLZKUyKhPsyc4cTH_RWRJRhFVjLQN9iZgf_g")</f>
        <v>1O-Z5n-OqLZKUyKhPsyc4cTH_RWRJRhFVjLQN9iZgf_g</v>
      </c>
    </row>
    <row r="449" ht="15.75" customHeight="1">
      <c r="A449" t="str">
        <f>IFERROR(__xludf.DUMMYFUNCTION("""COMPUTED_VALUE"""),"Import")</f>
        <v>Import</v>
      </c>
      <c r="B449" t="str">
        <f>IFERROR(__xludf.DUMMYFUNCTION("""COMPUTED_VALUE"""),"SelectMarkPriceImportType")</f>
        <v>SelectMarkPriceImportType</v>
      </c>
      <c r="C449" t="str">
        <f>IFERROR(__xludf.DUMMYFUNCTION("""COMPUTED_VALUE"""),"1X60AOW1PdXXC_MqWvlhO-_Xtym74TQ6JiKQf7BaFGFU")</f>
        <v>1X60AOW1PdXXC_MqWvlhO-_Xtym74TQ6JiKQf7BaFGFU</v>
      </c>
    </row>
    <row r="450" ht="15.75" customHeight="1">
      <c r="A450" t="str">
        <f>IFERROR(__xludf.DUMMYFUNCTION("""COMPUTED_VALUE"""),"Import")</f>
        <v>Import</v>
      </c>
      <c r="B450" t="str">
        <f>IFERROR(__xludf.DUMMYFUNCTION("""COMPUTED_VALUE"""),"SelectForexImportType")</f>
        <v>SelectForexImportType</v>
      </c>
      <c r="C450" t="str">
        <f>IFERROR(__xludf.DUMMYFUNCTION("""COMPUTED_VALUE"""),"1pQFXFOAH774XT-VZCbKCTilzQka7eSVAZO_30jAJkzc")</f>
        <v>1pQFXFOAH774XT-VZCbKCTilzQka7eSVAZO_30jAJkzc</v>
      </c>
    </row>
    <row r="451" ht="15.75" customHeight="1">
      <c r="A451" t="str">
        <f>IFERROR(__xludf.DUMMYFUNCTION("""COMPUTED_VALUE"""),"Import")</f>
        <v>Import</v>
      </c>
      <c r="B451" t="str">
        <f>IFERROR(__xludf.DUMMYFUNCTION("""COMPUTED_VALUE"""),"SelectDoubleEntryCashImportType")</f>
        <v>SelectDoubleEntryCashImportType</v>
      </c>
      <c r="C451" t="str">
        <f>IFERROR(__xludf.DUMMYFUNCTION("""COMPUTED_VALUE"""),"1LD-4ln6dD3Xr8MpjRWUrFZphBmyCgSTa6YWxKH2dnro")</f>
        <v>1LD-4ln6dD3Xr8MpjRWUrFZphBmyCgSTa6YWxKH2dnro</v>
      </c>
    </row>
    <row r="452" ht="15.75" customHeight="1">
      <c r="A452" t="str">
        <f>IFERROR(__xludf.DUMMYFUNCTION("""COMPUTED_VALUE"""),"Import")</f>
        <v>Import</v>
      </c>
      <c r="B452" t="str">
        <f>IFERROR(__xludf.DUMMYFUNCTION("""COMPUTED_VALUE"""),"SelectActivitiesImportType")</f>
        <v>SelectActivitiesImportType</v>
      </c>
      <c r="C452" t="str">
        <f>IFERROR(__xludf.DUMMYFUNCTION("""COMPUTED_VALUE"""),"1bU6-nZPWyWD3EHUirvMbX3iEk-dq8pOqW-T-92H7QH0")</f>
        <v>1bU6-nZPWyWD3EHUirvMbX3iEk-dq8pOqW-T-92H7QH0</v>
      </c>
    </row>
    <row r="453" ht="15.75" customHeight="1">
      <c r="A453" t="str">
        <f>IFERROR(__xludf.DUMMYFUNCTION("""COMPUTED_VALUE"""),"TradingTicket")</f>
        <v>TradingTicket</v>
      </c>
      <c r="B453" t="str">
        <f>IFERROR(__xludf.DUMMYFUNCTION("""COMPUTED_VALUE"""),"SetTTCompliancePreference")</f>
        <v>SetTTCompliancePreference</v>
      </c>
      <c r="C453" t="str">
        <f>IFERROR(__xludf.DUMMYFUNCTION("""COMPUTED_VALUE"""),"1Grp3J4MoPb4ugRngl-qzV4SSJXRISkZhbgiuGuLVEz4")</f>
        <v>1Grp3J4MoPb4ugRngl-qzV4SSJXRISkZhbgiuGuLVEz4</v>
      </c>
    </row>
    <row r="454" ht="15.75" customHeight="1">
      <c r="A454" t="str">
        <f>IFERROR(__xludf.DUMMYFUNCTION("""COMPUTED_VALUE"""),"Rebalancer")</f>
        <v>Rebalancer</v>
      </c>
      <c r="B454" t="str">
        <f>IFERROR(__xludf.DUMMYFUNCTION("""COMPUTED_VALUE"""),"LockandUnlockGridData")</f>
        <v>LockandUnlockGridData</v>
      </c>
      <c r="C454" t="str">
        <f>IFERROR(__xludf.DUMMYFUNCTION("""COMPUTED_VALUE"""),"1EAH65rZNySGGob__JM-Ohve-xSIVrLprry1-bHfxlIE")</f>
        <v>1EAH65rZNySGGob__JM-Ohve-xSIVrLprry1-bHfxlIE</v>
      </c>
    </row>
    <row r="455" ht="15.75" customHeight="1">
      <c r="A455" t="str">
        <f>IFERROR(__xludf.DUMMYFUNCTION("""COMPUTED_VALUE"""),"Allocation")</f>
        <v>Allocation</v>
      </c>
      <c r="B455" t="str">
        <f>IFERROR(__xludf.DUMMYFUNCTION("""COMPUTED_VALUE"""),"SetTradeAttributePreferences")</f>
        <v>SetTradeAttributePreferences</v>
      </c>
      <c r="C455" t="str">
        <f>IFERROR(__xludf.DUMMYFUNCTION("""COMPUTED_VALUE"""),"1my_zLaXc6szWpIOxmI-qCSNy0-rZqlHsM-ta7yilhBY")</f>
        <v>1my_zLaXc6szWpIOxmI-qCSNy0-rZqlHsM-ta7yilhBY</v>
      </c>
    </row>
    <row r="456" ht="15.75" customHeight="1">
      <c r="A456" t="str">
        <f>IFERROR(__xludf.DUMMYFUNCTION("""COMPUTED_VALUE"""),"GeneralLedger")</f>
        <v>GeneralLedger</v>
      </c>
      <c r="B456" t="str">
        <f>IFERROR(__xludf.DUMMYFUNCTION("""COMPUTED_VALUE"""),"VerifyAccountBalances")</f>
        <v>VerifyAccountBalances</v>
      </c>
      <c r="C456" t="str">
        <f>IFERROR(__xludf.DUMMYFUNCTION("""COMPUTED_VALUE"""),"1DPjaL7vtGJ9FJ9_Z4o7CkMSXYNcU4Qiga6SLll9BoUQ")</f>
        <v>1DPjaL7vtGJ9FJ9_Z4o7CkMSXYNcU4Qiga6SLll9BoUQ</v>
      </c>
    </row>
    <row r="457" ht="15.75" customHeight="1">
      <c r="A457" t="str">
        <f>IFERROR(__xludf.DUMMYFUNCTION("""COMPUTED_VALUE"""),"Rebalancer")</f>
        <v>Rebalancer</v>
      </c>
      <c r="B457" t="str">
        <f>IFERROR(__xludf.DUMMYFUNCTION("""COMPUTED_VALUE"""),"RefreshGridData")</f>
        <v>RefreshGridData</v>
      </c>
      <c r="C457" t="str">
        <f>IFERROR(__xludf.DUMMYFUNCTION("""COMPUTED_VALUE"""),"1Twh9hXbusYu_GS7dbW4xTddG57o7_sRf_eA0tSIHHnI")</f>
        <v>1Twh9hXbusYu_GS7dbW4xTddG57o7_sRf_eA0tSIHHnI</v>
      </c>
    </row>
    <row r="458" ht="15.75" customHeight="1">
      <c r="A458" t="str">
        <f>IFERROR(__xludf.DUMMYFUNCTION("""COMPUTED_VALUE"""),"GeneralLedger")</f>
        <v>GeneralLedger</v>
      </c>
      <c r="B458" t="str">
        <f>IFERROR(__xludf.DUMMYFUNCTION("""COMPUTED_VALUE"""),"AddMultipleOpeningBalTranItem")</f>
        <v>AddMultipleOpeningBalTranItem</v>
      </c>
      <c r="C458" t="str">
        <f>IFERROR(__xludf.DUMMYFUNCTION("""COMPUTED_VALUE"""),"1bJ3bDpFjTc_8g8qo7j1JVshB_LOl23u_1DYWXef1veE")</f>
        <v>1bJ3bDpFjTc_8g8qo7j1JVshB_LOl23u_1DYWXef1veE</v>
      </c>
    </row>
    <row r="459" ht="15.75" customHeight="1">
      <c r="A459" t="str">
        <f>IFERROR(__xludf.DUMMYFUNCTION("""COMPUTED_VALUE"""),"Import")</f>
        <v>Import</v>
      </c>
      <c r="B459" t="str">
        <f>IFERROR(__xludf.DUMMYFUNCTION("""COMPUTED_VALUE"""),"ApplyFilterOnImport")</f>
        <v>ApplyFilterOnImport</v>
      </c>
      <c r="C459" t="str">
        <f>IFERROR(__xludf.DUMMYFUNCTION("""COMPUTED_VALUE"""),"1Da-rjrbxEE3vLRnSqkr_MNxdUBaUjvyrVyCRsADwJKU")</f>
        <v>1Da-rjrbxEE3vLRnSqkr_MNxdUBaUjvyrVyCRsADwJKU</v>
      </c>
    </row>
    <row r="460" ht="15.75" customHeight="1">
      <c r="A460" t="str">
        <f>IFERROR(__xludf.DUMMYFUNCTION("""COMPUTED_VALUE"""),"Rebalancer")</f>
        <v>Rebalancer</v>
      </c>
      <c r="B460" t="str">
        <f>IFERROR(__xludf.DUMMYFUNCTION("""COMPUTED_VALUE"""),"SendtoStaging")</f>
        <v>SendtoStaging</v>
      </c>
      <c r="C460" t="str">
        <f>IFERROR(__xludf.DUMMYFUNCTION("""COMPUTED_VALUE"""),"1LVrDx22SvXtNLHuCgAdGOnjsdhE3b9tjTEtzx2RdECc")</f>
        <v>1LVrDx22SvXtNLHuCgAdGOnjsdhE3b9tjTEtzx2RdECc</v>
      </c>
    </row>
    <row r="461" ht="15.75" customHeight="1">
      <c r="A461" t="str">
        <f>IFERROR(__xludf.DUMMYFUNCTION("""COMPUTED_VALUE"""),"Rebalancer")</f>
        <v>Rebalancer</v>
      </c>
      <c r="B461" t="str">
        <f>IFERROR(__xludf.DUMMYFUNCTION("""COMPUTED_VALUE"""),"SendToStagingExport")</f>
        <v>SendToStagingExport</v>
      </c>
      <c r="C461" t="str">
        <f>IFERROR(__xludf.DUMMYFUNCTION("""COMPUTED_VALUE"""),"1ed4mu6dPKZ1upq8fj0V3A44fKKF0Kaci13w3MzPRi94")</f>
        <v>1ed4mu6dPKZ1upq8fj0V3A44fKKF0Kaci13w3MzPRi94</v>
      </c>
    </row>
    <row r="462" ht="15.75" customHeight="1">
      <c r="A462" t="str">
        <f>IFERROR(__xludf.DUMMYFUNCTION("""COMPUTED_VALUE"""),"PTT")</f>
        <v>PTT</v>
      </c>
      <c r="B462" t="str">
        <f>IFERROR(__xludf.DUMMYFUNCTION("""COMPUTED_VALUE"""),"SetDefaultSymbology")</f>
        <v>SetDefaultSymbology</v>
      </c>
      <c r="C462" t="str">
        <f>IFERROR(__xludf.DUMMYFUNCTION("""COMPUTED_VALUE"""),"1c8RXMSMKCCZZhGpaSJFpL0iNAB41irezmfODVoz-HOM")</f>
        <v>1c8RXMSMKCCZZhGpaSJFpL0iNAB41irezmfODVoz-HOM</v>
      </c>
    </row>
    <row r="463" ht="15.75" customHeight="1">
      <c r="A463" t="str">
        <f>IFERROR(__xludf.DUMMYFUNCTION("""COMPUTED_VALUE"""),"Allocation")</f>
        <v>Allocation</v>
      </c>
      <c r="B463" t="str">
        <f>IFERROR(__xludf.DUMMYFUNCTION("""COMPUTED_VALUE"""),"EnterCustomAllocatePreference")</f>
        <v>EnterCustomAllocatePreference</v>
      </c>
      <c r="C463" t="str">
        <f>IFERROR(__xludf.DUMMYFUNCTION("""COMPUTED_VALUE"""),"1Ag9B515mUdzPP5zMlZiJvXg_TX9Pf0V-JJb7HHGUFZQ")</f>
        <v>1Ag9B515mUdzPP5zMlZiJvXg_TX9Pf0V-JJb7HHGUFZQ</v>
      </c>
    </row>
    <row r="464" ht="15.75" customHeight="1">
      <c r="A464" t="str">
        <f>IFERROR(__xludf.DUMMYFUNCTION("""COMPUTED_VALUE"""),"PTT")</f>
        <v>PTT</v>
      </c>
      <c r="B464" t="str">
        <f>IFERROR(__xludf.DUMMYFUNCTION("""COMPUTED_VALUE"""),"EditPTTAccountLevelWPF")</f>
        <v>EditPTTAccountLevelWPF</v>
      </c>
      <c r="C464" t="str">
        <f>IFERROR(__xludf.DUMMYFUNCTION("""COMPUTED_VALUE"""),"14SRXKP6K_jM43UPVxHLajQ3RiPUNkFiafNIpKFU1qJw")</f>
        <v>14SRXKP6K_jM43UPVxHLajQ3RiPUNkFiafNIpKFU1qJw</v>
      </c>
    </row>
    <row r="465" ht="15.75" customHeight="1">
      <c r="A465" t="str">
        <f>IFERROR(__xludf.DUMMYFUNCTION("""COMPUTED_VALUE"""),"PortfolioManagement")</f>
        <v>PortfolioManagement</v>
      </c>
      <c r="B465" t="str">
        <f>IFERROR(__xludf.DUMMYFUNCTION("""COMPUTED_VALUE"""),"OpenCreateTransactionFromPM")</f>
        <v>OpenCreateTransactionFromPM</v>
      </c>
      <c r="C465" t="str">
        <f>IFERROR(__xludf.DUMMYFUNCTION("""COMPUTED_VALUE"""),"1Iqlyl1OX0stY1-IKyRyaVqLsL4U21WB22TR5R9IOuV0")</f>
        <v>1Iqlyl1OX0stY1-IKyRyaVqLsL4U21WB22TR5R9IOuV0</v>
      </c>
    </row>
    <row r="466" ht="15.75" customHeight="1">
      <c r="A466" t="str">
        <f>IFERROR(__xludf.DUMMYFUNCTION("""COMPUTED_VALUE"""),"Allocation")</f>
        <v>Allocation</v>
      </c>
      <c r="B466" t="str">
        <f>IFERROR(__xludf.DUMMYFUNCTION("""COMPUTED_VALUE"""),"SetAutoGroupingPreferences")</f>
        <v>SetAutoGroupingPreferences</v>
      </c>
      <c r="C466" t="str">
        <f>IFERROR(__xludf.DUMMYFUNCTION("""COMPUTED_VALUE"""),"1w0BOrROJMhSBD6gLWR9m2PsXt7yg48njQgJ3X9qWWeE")</f>
        <v>1w0BOrROJMhSBD6gLWR9m2PsXt7yg48njQgJ3X9qWWeE</v>
      </c>
    </row>
    <row r="467" ht="15.75" customHeight="1">
      <c r="A467" t="str">
        <f>IFERROR(__xludf.DUMMYFUNCTION("""COMPUTED_VALUE"""),"Allocation")</f>
        <v>Allocation</v>
      </c>
      <c r="B467" t="str">
        <f>IFERROR(__xludf.DUMMYFUNCTION("""COMPUTED_VALUE"""),"SetAutoGroupingAccount")</f>
        <v>SetAutoGroupingAccount</v>
      </c>
      <c r="C467" t="str">
        <f>IFERROR(__xludf.DUMMYFUNCTION("""COMPUTED_VALUE"""),"1UpTQDv3-OcoXnckKzH1C0np-5xkdjS3szbTcvwX-VWE")</f>
        <v>1UpTQDv3-OcoXnckKzH1C0np-5xkdjS3szbTcvwX-VWE</v>
      </c>
    </row>
    <row r="468" ht="15.75" customHeight="1">
      <c r="A468" t="str">
        <f>IFERROR(__xludf.DUMMYFUNCTION("""COMPUTED_VALUE"""),"Allocation")</f>
        <v>Allocation</v>
      </c>
      <c r="B468" t="str">
        <f>IFERROR(__xludf.DUMMYFUNCTION("""COMPUTED_VALUE"""),"SetAvgPriceRounding")</f>
        <v>SetAvgPriceRounding</v>
      </c>
      <c r="C468" t="str">
        <f>IFERROR(__xludf.DUMMYFUNCTION("""COMPUTED_VALUE"""),"1vMyQT3uR4ejtWOsCfpo0iqiZJvk8d4CyZ1m7nZfRedw")</f>
        <v>1vMyQT3uR4ejtWOsCfpo0iqiZJvk8d4CyZ1m7nZfRedw</v>
      </c>
    </row>
    <row r="469" ht="15.75" customHeight="1">
      <c r="A469" t="str">
        <f>IFERROR(__xludf.DUMMYFUNCTION("""COMPUTED_VALUE"""),"Admin")</f>
        <v>Admin</v>
      </c>
      <c r="B469" t="str">
        <f>IFERROR(__xludf.DUMMYFUNCTION("""COMPUTED_VALUE"""),"SetActive")</f>
        <v>SetActive</v>
      </c>
      <c r="C469" t="str">
        <f>IFERROR(__xludf.DUMMYFUNCTION("""COMPUTED_VALUE"""),"1ML-STLVrOrrVravDSrrhHBiPP2STeaHPpz6u2UzUbjY")</f>
        <v>1ML-STLVrOrrVravDSrrhHBiPP2STeaHPpz6u2UzUbjY</v>
      </c>
    </row>
    <row r="470" ht="15.75" customHeight="1">
      <c r="A470" t="str">
        <f>IFERROR(__xludf.DUMMYFUNCTION("""COMPUTED_VALUE"""),"Admin")</f>
        <v>Admin</v>
      </c>
      <c r="B470" t="str">
        <f>IFERROR(__xludf.DUMMYFUNCTION("""COMPUTED_VALUE"""),"SetThirdPartyFormat")</f>
        <v>SetThirdPartyFormat</v>
      </c>
      <c r="C470" t="str">
        <f>IFERROR(__xludf.DUMMYFUNCTION("""COMPUTED_VALUE"""),"1lpUcHcElZaOXkhMXuDMlsMhf---N3oQjSe1rn2RnGjE")</f>
        <v>1lpUcHcElZaOXkhMXuDMlsMhf---N3oQjSe1rn2RnGjE</v>
      </c>
    </row>
    <row r="471" ht="15.75" customHeight="1">
      <c r="A471" t="str">
        <f>IFERROR(__xludf.DUMMYFUNCTION("""COMPUTED_VALUE"""),"Admin")</f>
        <v>Admin</v>
      </c>
      <c r="B471" t="str">
        <f>IFERROR(__xludf.DUMMYFUNCTION("""COMPUTED_VALUE"""),"UpdateRoundLot")</f>
        <v>UpdateRoundLot</v>
      </c>
      <c r="C471" t="str">
        <f>IFERROR(__xludf.DUMMYFUNCTION("""COMPUTED_VALUE"""),"1IDlXbwq4xx3F351jk1e9GhmOOysQkjY49iti_LJY29Y")</f>
        <v>1IDlXbwq4xx3F351jk1e9GhmOOysQkjY49iti_LJY29Y</v>
      </c>
    </row>
    <row r="472" ht="15.75" customHeight="1">
      <c r="A472" t="str">
        <f>IFERROR(__xludf.DUMMYFUNCTION("""COMPUTED_VALUE"""),"Rebalancer")</f>
        <v>Rebalancer</v>
      </c>
      <c r="B472" t="str">
        <f>IFERROR(__xludf.DUMMYFUNCTION("""COMPUTED_VALUE"""),"RebalanceViaBloomberg")</f>
        <v>RebalanceViaBloomberg</v>
      </c>
      <c r="C472" t="str">
        <f>IFERROR(__xludf.DUMMYFUNCTION("""COMPUTED_VALUE"""),"1LwzjM4qhF7L7Sxpj0tmKmwrbnudRqAXE2o9sTrXIRg4")</f>
        <v>1LwzjM4qhF7L7Sxpj0tmKmwrbnudRqAXE2o9sTrXIRg4</v>
      </c>
    </row>
    <row r="473" ht="15.75" customHeight="1">
      <c r="A473" t="str">
        <f>IFERROR(__xludf.DUMMYFUNCTION("""COMPUTED_VALUE"""),"ThirdParty")</f>
        <v>ThirdParty</v>
      </c>
      <c r="B473" t="str">
        <f>IFERROR(__xludf.DUMMYFUNCTION("""COMPUTED_VALUE"""),"RefreshThirdParty")</f>
        <v>RefreshThirdParty</v>
      </c>
      <c r="C473" t="str">
        <f>IFERROR(__xludf.DUMMYFUNCTION("""COMPUTED_VALUE"""),"1guMwvYY7eIhwmTxoDxp96X7I1ob2jLHmhM39Dwo1Y_0")</f>
        <v>1guMwvYY7eIhwmTxoDxp96X7I1ob2jLHmhM39Dwo1Y_0</v>
      </c>
    </row>
    <row r="474" ht="15.75" customHeight="1">
      <c r="A474" t="str">
        <f>IFERROR(__xludf.DUMMYFUNCTION("""COMPUTED_VALUE"""),"Rebalancer")</f>
        <v>Rebalancer</v>
      </c>
      <c r="B474" t="str">
        <f>IFERROR(__xludf.DUMMYFUNCTION("""COMPUTED_VALUE"""),"AddUserAdjustedNAV")</f>
        <v>AddUserAdjustedNAV</v>
      </c>
      <c r="C474" t="str">
        <f>IFERROR(__xludf.DUMMYFUNCTION("""COMPUTED_VALUE"""),"19OVwZsuCpOR4wNoumc9dcWKh-GlmHGzdDHpxrI9vy2Q")</f>
        <v>19OVwZsuCpOR4wNoumc9dcWKh-GlmHGzdDHpxrI9vy2Q</v>
      </c>
    </row>
    <row r="475" ht="15.75" customHeight="1">
      <c r="A475" t="str">
        <f>IFERROR(__xludf.DUMMYFUNCTION("""COMPUTED_VALUE"""),"Allocation")</f>
        <v>Allocation</v>
      </c>
      <c r="B475" t="str">
        <f>IFERROR(__xludf.DUMMYFUNCTION("""COMPUTED_VALUE"""),"IsAllocationOpen")</f>
        <v>IsAllocationOpen</v>
      </c>
      <c r="C475" t="str">
        <f>IFERROR(__xludf.DUMMYFUNCTION("""COMPUTED_VALUE"""),"1tXfGlqhDgCdohzVgP6y6ZH15Fk9uu1P72qRZ3Z2rpG4")</f>
        <v>1tXfGlqhDgCdohzVgP6y6ZH15Fk9uu1P72qRZ3Z2rpG4</v>
      </c>
    </row>
    <row r="476" ht="15.75" customHeight="1">
      <c r="A476" t="str">
        <f>IFERROR(__xludf.DUMMYFUNCTION("""COMPUTED_VALUE"""),"ShortLocate")</f>
        <v>ShortLocate</v>
      </c>
      <c r="B476" t="str">
        <f>IFERROR(__xludf.DUMMYFUNCTION("""COMPUTED_VALUE"""),"ImportOnShortLocate")</f>
        <v>ImportOnShortLocate</v>
      </c>
      <c r="C476" t="str">
        <f>IFERROR(__xludf.DUMMYFUNCTION("""COMPUTED_VALUE"""),"19QVF-aiOcmBqU2qKUK-OCu98j5uyT4B-XqK8arWvdUE")</f>
        <v>19QVF-aiOcmBqU2qKUK-OCu98j5uyT4B-XqK8arWvdUE</v>
      </c>
    </row>
    <row r="477" ht="15.75" customHeight="1">
      <c r="A477" t="str">
        <f>IFERROR(__xludf.DUMMYFUNCTION("""COMPUTED_VALUE"""),"ShortLocate")</f>
        <v>ShortLocate</v>
      </c>
      <c r="B477" t="str">
        <f>IFERROR(__xludf.DUMMYFUNCTION("""COMPUTED_VALUE"""),"ApplyFilterOnShortLocate")</f>
        <v>ApplyFilterOnShortLocate</v>
      </c>
      <c r="C477" t="str">
        <f>IFERROR(__xludf.DUMMYFUNCTION("""COMPUTED_VALUE"""),"1PEbXqnVsJIUstDlBtSQ74U3EFTjGSqLfB7FqQsO5Lmw")</f>
        <v>1PEbXqnVsJIUstDlBtSQ74U3EFTjGSqLfB7FqQsO5Lmw</v>
      </c>
    </row>
    <row r="478" ht="15.75" customHeight="1">
      <c r="A478" t="str">
        <f>IFERROR(__xludf.DUMMYFUNCTION("""COMPUTED_VALUE"""),"ShortLocate")</f>
        <v>ShortLocate</v>
      </c>
      <c r="B478" t="str">
        <f>IFERROR(__xludf.DUMMYFUNCTION("""COMPUTED_VALUE"""),"OpenTTFromShortLocate")</f>
        <v>OpenTTFromShortLocate</v>
      </c>
      <c r="C478" t="str">
        <f>IFERROR(__xludf.DUMMYFUNCTION("""COMPUTED_VALUE"""),"1C5cKOwx9EUg1jODdQv4vMSqPEx82TJf3ahEnHpr3WXQ")</f>
        <v>1C5cKOwx9EUg1jODdQv4vMSqPEx82TJf3ahEnHpr3WXQ</v>
      </c>
    </row>
    <row r="479" ht="15.75" customHeight="1">
      <c r="A479" t="str">
        <f>IFERROR(__xludf.DUMMYFUNCTION("""COMPUTED_VALUE"""),"PortfolioManagement")</f>
        <v>PortfolioManagement</v>
      </c>
      <c r="B479" t="str">
        <f>IFERROR(__xludf.DUMMYFUNCTION("""COMPUTED_VALUE"""),"RemoveGroupingFromPM")</f>
        <v>RemoveGroupingFromPM</v>
      </c>
      <c r="C479" t="str">
        <f>IFERROR(__xludf.DUMMYFUNCTION("""COMPUTED_VALUE"""),"1dHOaB4ss1ElxiqF88xo8RR5XXPvF76pKh6JDOySJu-E")</f>
        <v>1dHOaB4ss1ElxiqF88xo8RR5XXPvF76pKh6JDOySJu-E</v>
      </c>
    </row>
    <row r="480" ht="15.75" customHeight="1">
      <c r="A480" t="str">
        <f>IFERROR(__xludf.DUMMYFUNCTION("""COMPUTED_VALUE"""),"Watchlist")</f>
        <v>Watchlist</v>
      </c>
      <c r="B480" t="str">
        <f>IFERROR(__xludf.DUMMYFUNCTION("""COMPUTED_VALUE"""),"AddTabOnWatchlist")</f>
        <v>AddTabOnWatchlist</v>
      </c>
      <c r="C480" t="str">
        <f>IFERROR(__xludf.DUMMYFUNCTION("""COMPUTED_VALUE"""),"1-Fquq09E5X5hH37sCvpU3vM33MTlYZO2fGOuT5GEl_0")</f>
        <v>1-Fquq09E5X5hH37sCvpU3vM33MTlYZO2fGOuT5GEl_0</v>
      </c>
    </row>
    <row r="481" ht="15.75" customHeight="1">
      <c r="A481" t="str">
        <f>IFERROR(__xludf.DUMMYFUNCTION("""COMPUTED_VALUE"""),"Watchlist")</f>
        <v>Watchlist</v>
      </c>
      <c r="B481" t="str">
        <f>IFERROR(__xludf.DUMMYFUNCTION("""COMPUTED_VALUE"""),"DeleteTabOnWatchlist")</f>
        <v>DeleteTabOnWatchlist</v>
      </c>
      <c r="C481" t="str">
        <f>IFERROR(__xludf.DUMMYFUNCTION("""COMPUTED_VALUE"""),"1aPotCHpuxmGXORel0Or7Cz4LqQtNgOXy6cutDrXC4ZA")</f>
        <v>1aPotCHpuxmGXORel0Or7Cz4LqQtNgOXy6cutDrXC4ZA</v>
      </c>
    </row>
    <row r="482" ht="15.75" customHeight="1">
      <c r="A482" t="str">
        <f>IFERROR(__xludf.DUMMYFUNCTION("""COMPUTED_VALUE"""),"ShortLocate")</f>
        <v>ShortLocate</v>
      </c>
      <c r="B482" t="str">
        <f>IFERROR(__xludf.DUMMYFUNCTION("""COMPUTED_VALUE"""),"Upload")</f>
        <v>Upload</v>
      </c>
      <c r="C482" t="str">
        <f>IFERROR(__xludf.DUMMYFUNCTION("""COMPUTED_VALUE"""),"1Yt8a2lXlhGObiQrMMM5W_j6RdU8jQn-mLCPBdmpe7Q4")</f>
        <v>1Yt8a2lXlhGObiQrMMM5W_j6RdU8jQn-mLCPBdmpe7Q4</v>
      </c>
    </row>
    <row r="483" ht="15.75" customHeight="1">
      <c r="A483" t="str">
        <f>IFERROR(__xludf.DUMMYFUNCTION("""COMPUTED_VALUE"""),"Recon")</f>
        <v>Recon</v>
      </c>
      <c r="B483" t="str">
        <f>IFERROR(__xludf.DUMMYFUNCTION("""COMPUTED_VALUE"""),"ViewDataOnRecon")</f>
        <v>ViewDataOnRecon</v>
      </c>
      <c r="C483" t="str">
        <f>IFERROR(__xludf.DUMMYFUNCTION("""COMPUTED_VALUE"""),"1MvpMdaCDeVLEpK1FmZNAkpQIPeitH0as0fCgj60iBiI")</f>
        <v>1MvpMdaCDeVLEpK1FmZNAkpQIPeitH0as0fCgj60iBiI</v>
      </c>
    </row>
    <row r="484" ht="15.75" customHeight="1">
      <c r="A484" t="str">
        <f>IFERROR(__xludf.DUMMYFUNCTION("""COMPUTED_VALUE"""),"Recon")</f>
        <v>Recon</v>
      </c>
      <c r="B484" t="str">
        <f>IFERROR(__xludf.DUMMYFUNCTION("""COMPUTED_VALUE"""),"RunRecon")</f>
        <v>RunRecon</v>
      </c>
      <c r="C484" t="str">
        <f>IFERROR(__xludf.DUMMYFUNCTION("""COMPUTED_VALUE"""),"1DDa6JCeggmfNaYD62TTTcjt1bmrk6ge5KcAe2yFoeMw")</f>
        <v>1DDa6JCeggmfNaYD62TTTcjt1bmrk6ge5KcAe2yFoeMw</v>
      </c>
    </row>
    <row r="485" ht="15.75" customHeight="1">
      <c r="A485" t="str">
        <f>IFERROR(__xludf.DUMMYFUNCTION("""COMPUTED_VALUE"""),"Recon")</f>
        <v>Recon</v>
      </c>
      <c r="B485" t="str">
        <f>IFERROR(__xludf.DUMMYFUNCTION("""COMPUTED_VALUE"""),"GenerateExceptionReport")</f>
        <v>GenerateExceptionReport</v>
      </c>
      <c r="C485" t="str">
        <f>IFERROR(__xludf.DUMMYFUNCTION("""COMPUTED_VALUE"""),"1UdCz3mbG1GJqgKZJ828uP7hYNKCi5g_gMKrTM4Nuw70")</f>
        <v>1UdCz3mbG1GJqgKZJ828uP7hYNKCi5g_gMKrTM4Nuw70</v>
      </c>
    </row>
    <row r="486" ht="15.75" customHeight="1">
      <c r="A486" t="str">
        <f>IFERROR(__xludf.DUMMYFUNCTION("""COMPUTED_VALUE"""),"Recon")</f>
        <v>Recon</v>
      </c>
      <c r="B486" t="str">
        <f>IFERROR(__xludf.DUMMYFUNCTION("""COMPUTED_VALUE"""),"ImportDataOnRecon")</f>
        <v>ImportDataOnRecon</v>
      </c>
      <c r="C486" t="str">
        <f>IFERROR(__xludf.DUMMYFUNCTION("""COMPUTED_VALUE"""),"1TGSSMCVBapTePkTNPegO5K-1JXoG29MXtaMfvS42lT4")</f>
        <v>1TGSSMCVBapTePkTNPegO5K-1JXoG29MXtaMfvS42lT4</v>
      </c>
    </row>
    <row r="487" ht="15.75" customHeight="1">
      <c r="A487" t="str">
        <f>IFERROR(__xludf.DUMMYFUNCTION("""COMPUTED_VALUE"""),"ShortLocate")</f>
        <v>ShortLocate</v>
      </c>
      <c r="B487" t="str">
        <f>IFERROR(__xludf.DUMMYFUNCTION("""COMPUTED_VALUE"""),"VerifyShortLocateGrid")</f>
        <v>VerifyShortLocateGrid</v>
      </c>
      <c r="C487" t="str">
        <f>IFERROR(__xludf.DUMMYFUNCTION("""COMPUTED_VALUE"""),"1sQkk0Iso34FqpWhLPcYXKUPQnmZ8Pjini2G3BJhnquM")</f>
        <v>1sQkk0Iso34FqpWhLPcYXKUPQnmZ8Pjini2G3BJhnquM</v>
      </c>
    </row>
    <row r="488" ht="15.75" customHeight="1">
      <c r="A488" t="str">
        <f>IFERROR(__xludf.DUMMYFUNCTION("""COMPUTED_VALUE"""),"Recon")</f>
        <v>Recon</v>
      </c>
      <c r="B488" t="str">
        <f>IFERROR(__xludf.DUMMYFUNCTION("""COMPUTED_VALUE"""),"VerifyApplicationData")</f>
        <v>VerifyApplicationData</v>
      </c>
      <c r="C488" t="str">
        <f>IFERROR(__xludf.DUMMYFUNCTION("""COMPUTED_VALUE"""),"12uaBilYuoqtrRW6_HDDP48tS7_jnEsipPeSiI04cKsU")</f>
        <v>12uaBilYuoqtrRW6_HDDP48tS7_jnEsipPeSiI04cKsU</v>
      </c>
    </row>
    <row r="489" ht="15.75" customHeight="1">
      <c r="A489" t="str">
        <f>IFERROR(__xludf.DUMMYFUNCTION("""COMPUTED_VALUE"""),"Recon")</f>
        <v>Recon</v>
      </c>
      <c r="B489" t="str">
        <f>IFERROR(__xludf.DUMMYFUNCTION("""COMPUTED_VALUE"""),"VerifyExceptionReport")</f>
        <v>VerifyExceptionReport</v>
      </c>
      <c r="C489" t="str">
        <f>IFERROR(__xludf.DUMMYFUNCTION("""COMPUTED_VALUE"""),"1XV5X_FcfT9lsESq_rfDGc3fxjjBPTf0U6hi--LgJFpk")</f>
        <v>1XV5X_FcfT9lsESq_rfDGc3fxjjBPTf0U6hi--LgJFpk</v>
      </c>
    </row>
    <row r="490" ht="15.75" customHeight="1">
      <c r="A490" t="str">
        <f>IFERROR(__xludf.DUMMYFUNCTION("""COMPUTED_VALUE"""),"Recon")</f>
        <v>Recon</v>
      </c>
      <c r="B490" t="str">
        <f>IFERROR(__xludf.DUMMYFUNCTION("""COMPUTED_VALUE"""),"VerifyPrimeBrokerData")</f>
        <v>VerifyPrimeBrokerData</v>
      </c>
      <c r="C490" t="str">
        <f>IFERROR(__xludf.DUMMYFUNCTION("""COMPUTED_VALUE"""),"1t0clw8YL_XSFlsdLmKvJToFZu0s9objoeJH9wCCADyE")</f>
        <v>1t0clw8YL_XSFlsdLmKvJToFZu0s9objoeJH9wCCADyE</v>
      </c>
    </row>
    <row r="491" ht="15.75" customHeight="1">
      <c r="A491" t="str">
        <f>IFERROR(__xludf.DUMMYFUNCTION("""COMPUTED_VALUE"""),"Admin")</f>
        <v>Admin</v>
      </c>
      <c r="B491" t="str">
        <f>IFERROR(__xludf.DUMMYFUNCTION("""COMPUTED_VALUE"""),"SetTradingComplianceRules")</f>
        <v>SetTradingComplianceRules</v>
      </c>
      <c r="C491" t="str">
        <f>IFERROR(__xludf.DUMMYFUNCTION("""COMPUTED_VALUE"""),"1azN1M08dpW7VMj-beZnqcg3K67iDFaQtsG3VPQICd34")</f>
        <v>1azN1M08dpW7VMj-beZnqcg3K67iDFaQtsG3VPQICd34</v>
      </c>
    </row>
    <row r="492" ht="15.75" customHeight="1">
      <c r="A492" t="str">
        <f>IFERROR(__xludf.DUMMYFUNCTION("""COMPUTED_VALUE"""),"TradingTicket")</f>
        <v>TradingTicket</v>
      </c>
      <c r="B492" t="str">
        <f>IFERROR(__xludf.DUMMYFUNCTION("""COMPUTED_VALUE"""),"ImportSymbol")</f>
        <v>ImportSymbol</v>
      </c>
      <c r="C492" t="str">
        <f>IFERROR(__xludf.DUMMYFUNCTION("""COMPUTED_VALUE"""),"1J1yzfPy0VAAGjLSKMbWrAky24FH9wnzsX22WqJo0rTw")</f>
        <v>1J1yzfPy0VAAGjLSKMbWrAky24FH9wnzsX22WqJo0rTw</v>
      </c>
    </row>
    <row r="493" ht="15.75" customHeight="1">
      <c r="A493" t="str">
        <f>IFERROR(__xludf.DUMMYFUNCTION("""COMPUTED_VALUE"""),"TradingTicket")</f>
        <v>TradingTicket</v>
      </c>
      <c r="B493" t="str">
        <f>IFERROR(__xludf.DUMMYFUNCTION("""COMPUTED_VALUE"""),"ExportSymbolFromRAList")</f>
        <v>ExportSymbolFromRAList</v>
      </c>
      <c r="C493" t="str">
        <f>IFERROR(__xludf.DUMMYFUNCTION("""COMPUTED_VALUE"""),"1_Jcd2NyXYod49jJBTF7mnnyrz-bqcIOuRrXNBhoAndM")</f>
        <v>1_Jcd2NyXYod49jJBTF7mnnyrz-bqcIOuRrXNBhoAndM</v>
      </c>
    </row>
    <row r="494" ht="15.75" customHeight="1">
      <c r="A494" t="str">
        <f>IFERROR(__xludf.DUMMYFUNCTION("""COMPUTED_VALUE"""),"TradingTicket")</f>
        <v>TradingTicket</v>
      </c>
      <c r="B494" t="str">
        <f>IFERROR(__xludf.DUMMYFUNCTION("""COMPUTED_VALUE""")," CheckPendingNewOrderAlert")</f>
        <v> CheckPendingNewOrderAlert</v>
      </c>
      <c r="C494" t="str">
        <f>IFERROR(__xludf.DUMMYFUNCTION("""COMPUTED_VALUE"""),"1IjKsUSAA3GmZT9QQkCwzDRD8t7aMh3gfEnicm2yt7yk")</f>
        <v>1IjKsUSAA3GmZT9QQkCwzDRD8t7aMh3gfEnicm2yt7yk</v>
      </c>
    </row>
    <row r="495" ht="15.75" customHeight="1">
      <c r="A495" t="str">
        <f>IFERROR(__xludf.DUMMYFUNCTION("""COMPUTED_VALUE"""),"TradingTicket")</f>
        <v>TradingTicket</v>
      </c>
      <c r="B495" t="str">
        <f>IFERROR(__xludf.DUMMYFUNCTION("""COMPUTED_VALUE"""),"AddSymbolOnRAList")</f>
        <v>AddSymbolOnRAList</v>
      </c>
      <c r="C495" t="str">
        <f>IFERROR(__xludf.DUMMYFUNCTION("""COMPUTED_VALUE"""),"1msdo-HHZukw5R83IjNxsWerlvkI-fgQTDh4cp_x-lEM")</f>
        <v>1msdo-HHZukw5R83IjNxsWerlvkI-fgQTDh4cp_x-lEM</v>
      </c>
    </row>
    <row r="496" ht="15.75" customHeight="1">
      <c r="A496" t="str">
        <f>IFERROR(__xludf.DUMMYFUNCTION("""COMPUTED_VALUE"""),"TradingTicket")</f>
        <v>TradingTicket</v>
      </c>
      <c r="B496" t="str">
        <f>IFERROR(__xludf.DUMMYFUNCTION("""COMPUTED_VALUE"""),"DeleteSymbolListFromRA")</f>
        <v>DeleteSymbolListFromRA</v>
      </c>
      <c r="C496" t="str">
        <f>IFERROR(__xludf.DUMMYFUNCTION("""COMPUTED_VALUE"""),"1kvkQ3sHjIMOR6FW4ddUp3GL5YgZFuVUrFwr0ccGcALs")</f>
        <v>1kvkQ3sHjIMOR6FW4ddUp3GL5YgZFuVUrFwr0ccGcALs</v>
      </c>
    </row>
    <row r="497" ht="15.75" customHeight="1">
      <c r="A497" t="str">
        <f>IFERROR(__xludf.DUMMYFUNCTION("""COMPUTED_VALUE"""),"TradingTicket")</f>
        <v>TradingTicket</v>
      </c>
      <c r="B497" t="str">
        <f>IFERROR(__xludf.DUMMYFUNCTION("""COMPUTED_VALUE"""),"RemoveSymbolFromRAList")</f>
        <v>RemoveSymbolFromRAList</v>
      </c>
      <c r="C497" t="str">
        <f>IFERROR(__xludf.DUMMYFUNCTION("""COMPUTED_VALUE"""),"1-YmkMS_HNizqClLTgaGFhyqIssE8ZUmQHizsGnCO0-0")</f>
        <v>1-YmkMS_HNizqClLTgaGFhyqIssE8ZUmQHizsGnCO0-0</v>
      </c>
    </row>
    <row r="498" ht="15.75" customHeight="1">
      <c r="A498" t="str">
        <f>IFERROR(__xludf.DUMMYFUNCTION("""COMPUTED_VALUE"""),"Report")</f>
        <v>Report</v>
      </c>
      <c r="B498" t="str">
        <f>IFERROR(__xludf.DUMMYFUNCTION("""COMPUTED_VALUE"""),"ReportMatching")</f>
        <v>ReportMatching</v>
      </c>
      <c r="C498" t="str">
        <f>IFERROR(__xludf.DUMMYFUNCTION("""COMPUTED_VALUE"""),"1jht2hZ44HjYgB6aaBYiPuuuTSaEkHaPT4jKo7YIRGu4")</f>
        <v>1jht2hZ44HjYgB6aaBYiPuuuTSaEkHaPT4jKo7YIRGu4</v>
      </c>
    </row>
    <row r="499" ht="15.75" customHeight="1">
      <c r="A499" t="str">
        <f>IFERROR(__xludf.DUMMYFUNCTION("""COMPUTED_VALUE"""),"Admin")</f>
        <v>Admin</v>
      </c>
      <c r="B499" t="str">
        <f>IFERROR(__xludf.DUMMYFUNCTION("""COMPUTED_VALUE"""),"EnableBreakdownRealizedPNL")</f>
        <v>EnableBreakdownRealizedPNL</v>
      </c>
      <c r="C499" t="str">
        <f>IFERROR(__xludf.DUMMYFUNCTION("""COMPUTED_VALUE"""),"1fOE8jOgP2gNa3oRibbTXnvv_lvz-lbHvy-pceE4ajbs")</f>
        <v>1fOE8jOgP2gNa3oRibbTXnvv_lvz-lbHvy-pceE4ajbs</v>
      </c>
    </row>
    <row r="500" ht="15.75" customHeight="1">
      <c r="A500" t="str">
        <f>IFERROR(__xludf.DUMMYFUNCTION("""COMPUTED_VALUE"""),"Admin")</f>
        <v>Admin</v>
      </c>
      <c r="B500" t="str">
        <f>IFERROR(__xludf.DUMMYFUNCTION("""COMPUTED_VALUE"""),"SetTTGeneralPreferences")</f>
        <v>SetTTGeneralPreferences</v>
      </c>
      <c r="C500" t="str">
        <f>IFERROR(__xludf.DUMMYFUNCTION("""COMPUTED_VALUE"""),"1HhQmll51_SDv5EfY7waeq2fCv92vjcbj_GijhdZyvhI")</f>
        <v>1HhQmll51_SDv5EfY7waeq2fCv92vjcbj_GijhdZyvhI</v>
      </c>
    </row>
    <row r="501" ht="15.75" customHeight="1">
      <c r="A501" t="str">
        <f>IFERROR(__xludf.DUMMYFUNCTION("""COMPUTED_VALUE"""),"Blotter")</f>
        <v>Blotter</v>
      </c>
      <c r="B501" t="str">
        <f>IFERROR(__xludf.DUMMYFUNCTION("""COMPUTED_VALUE"""),"OpenBlotter")</f>
        <v>OpenBlotter</v>
      </c>
      <c r="C501" t="str">
        <f>IFERROR(__xludf.DUMMYFUNCTION("""COMPUTED_VALUE"""),"1gxr6RyiwWcasB3fKgXdgFiGMuKmec4L2x__tgBOzGJ4")</f>
        <v>1gxr6RyiwWcasB3fKgXdgFiGMuKmec4L2x__tgBOzGJ4</v>
      </c>
    </row>
    <row r="502" ht="15.75" customHeight="1">
      <c r="A502" t="str">
        <f>IFERROR(__xludf.DUMMYFUNCTION("""COMPUTED_VALUE"""),"ExeExecutor")</f>
        <v>ExeExecutor</v>
      </c>
      <c r="B502" t="str">
        <f>IFERROR(__xludf.DUMMYFUNCTION("""COMPUTED_VALUE"""),"CallExeExecutor")</f>
        <v>CallExeExecutor</v>
      </c>
      <c r="C502" t="str">
        <f>IFERROR(__xludf.DUMMYFUNCTION("""COMPUTED_VALUE"""),"1owuq6wQlz8I3_fYGTcvp_BtK2b79jE6vCJTDGLtxi4k")</f>
        <v>1owuq6wQlz8I3_fYGTcvp_BtK2b79jE6vCJTDGLtxi4k</v>
      </c>
    </row>
    <row r="503" ht="15.75" customHeight="1">
      <c r="A503" t="str">
        <f>IFERROR(__xludf.DUMMYFUNCTION("""COMPUTED_VALUE"""),"TradingTicket")</f>
        <v>TradingTicket</v>
      </c>
      <c r="B503" t="str">
        <f>IFERROR(__xludf.DUMMYFUNCTION("""COMPUTED_VALUE"""),"ToggleBlombergOnRA")</f>
        <v>ToggleBlombergOnRA</v>
      </c>
      <c r="C503" t="str">
        <f>IFERROR(__xludf.DUMMYFUNCTION("""COMPUTED_VALUE"""),"11C1E7MWiLt7_Bk66Vw9dmQ6oZNSONXaMtNXDJOQXq5s")</f>
        <v>11C1E7MWiLt7_Bk66Vw9dmQ6oZNSONXaMtNXDJOQXq5s</v>
      </c>
    </row>
    <row r="504" ht="15.75" customHeight="1">
      <c r="A504" t="str">
        <f>IFERROR(__xludf.DUMMYFUNCTION("""COMPUTED_VALUE"""),"Blotter")</f>
        <v>Blotter</v>
      </c>
      <c r="B504" t="str">
        <f>IFERROR(__xludf.DUMMYFUNCTION("""COMPUTED_VALUE"""),"RemoveManualExecution")</f>
        <v>RemoveManualExecution</v>
      </c>
      <c r="C504" t="str">
        <f>IFERROR(__xludf.DUMMYFUNCTION("""COMPUTED_VALUE"""),"1U6qqov4LzcjxrSucq0agJD46Q-GxDor6UdqCigUJ4Hk")</f>
        <v>1U6qqov4LzcjxrSucq0agJD46Q-GxDor6UdqCigUJ4Hk</v>
      </c>
    </row>
    <row r="505" ht="15.75" customHeight="1">
      <c r="A505" t="str">
        <f>IFERROR(__xludf.DUMMYFUNCTION("""COMPUTED_VALUE"""),"Blotter")</f>
        <v>Blotter</v>
      </c>
      <c r="B505" t="str">
        <f>IFERROR(__xludf.DUMMYFUNCTION("""COMPUTED_VALUE"""),"RemoveExecutionWorkingSubs")</f>
        <v>RemoveExecutionWorkingSubs</v>
      </c>
      <c r="C505" t="str">
        <f>IFERROR(__xludf.DUMMYFUNCTION("""COMPUTED_VALUE"""),"1gr6T2UvPfnYDk0z6dFV_mRYS8DySX1Vq8xjIgjK43Ok")</f>
        <v>1gr6T2UvPfnYDk0z6dFV_mRYS8DySX1Vq8xjIgjK43Ok</v>
      </c>
    </row>
    <row r="506" ht="15.75" customHeight="1">
      <c r="A506" t="str">
        <f>IFERROR(__xludf.DUMMYFUNCTION("""COMPUTED_VALUE"""),"Dropcopy")</f>
        <v>Dropcopy</v>
      </c>
      <c r="B506" t="str">
        <f>IFERROR(__xludf.DUMMYFUNCTION("""COMPUTED_VALUE"""),"UploadDropcopyFile")</f>
        <v>UploadDropcopyFile</v>
      </c>
      <c r="C506" t="str">
        <f>IFERROR(__xludf.DUMMYFUNCTION("""COMPUTED_VALUE"""),"1Tr2xSDgsBU643lR2QckIJKwAkNLNn-X0DpSgL4BbVB4")</f>
        <v>1Tr2xSDgsBU643lR2QckIJKwAkNLNn-X0DpSgL4BbVB4</v>
      </c>
    </row>
    <row r="507" ht="15.75" customHeight="1">
      <c r="A507" t="str">
        <f>IFERROR(__xludf.DUMMYFUNCTION("""COMPUTED_VALUE"""),"TradeServer")</f>
        <v>TradeServer</v>
      </c>
      <c r="B507" t="str">
        <f>IFERROR(__xludf.DUMMYFUNCTION("""COMPUTED_VALUE"""),"StartTradeServer")</f>
        <v>StartTradeServer</v>
      </c>
      <c r="C507" t="str">
        <f>IFERROR(__xludf.DUMMYFUNCTION("""COMPUTED_VALUE"""),"1_V828-1UqtJPJrCVclzkn3URR23OxnBP06IouHxEc18")</f>
        <v>1_V828-1UqtJPJrCVclzkn3URR23OxnBP06IouHxEc18</v>
      </c>
    </row>
    <row r="508" ht="15.75" customHeight="1">
      <c r="A508" t="str">
        <f>IFERROR(__xludf.DUMMYFUNCTION("""COMPUTED_VALUE"""),"TradeServer")</f>
        <v>TradeServer</v>
      </c>
      <c r="B508" t="str">
        <f>IFERROR(__xludf.DUMMYFUNCTION("""COMPUTED_VALUE"""),"CloseTradeServer ")</f>
        <v>CloseTradeServer </v>
      </c>
      <c r="C508" t="str">
        <f>IFERROR(__xludf.DUMMYFUNCTION("""COMPUTED_VALUE"""),"1NkAbdJ74ry_1fxzkJoBzFl9F_rMWydAb8sHkBebiFjk")</f>
        <v>1NkAbdJ74ry_1fxzkJoBzFl9F_rMWydAb8sHkBebiFjk</v>
      </c>
    </row>
    <row r="509" ht="15.75" customHeight="1">
      <c r="A509" t="str">
        <f>IFERROR(__xludf.DUMMYFUNCTION("""COMPUTED_VALUE"""),"Blotter")</f>
        <v>Blotter</v>
      </c>
      <c r="B509" t="str">
        <f>IFERROR(__xludf.DUMMYFUNCTION("""COMPUTED_VALUE"""),"GetExecutionReportOrders")</f>
        <v>GetExecutionReportOrders</v>
      </c>
      <c r="C509" t="str">
        <f>IFERROR(__xludf.DUMMYFUNCTION("""COMPUTED_VALUE"""),"1n7tEPxTe0qMZZ4L3gBhqHDVhiNPODDDQ1d__74EcJC8")</f>
        <v>1n7tEPxTe0qMZZ4L3gBhqHDVhiNPODDDQ1d__74EcJC8</v>
      </c>
    </row>
    <row r="510" ht="15.75" customHeight="1">
      <c r="A510" t="str">
        <f>IFERROR(__xludf.DUMMYFUNCTION("""COMPUTED_VALUE"""),"Blotter")</f>
        <v>Blotter</v>
      </c>
      <c r="B510" t="str">
        <f>IFERROR(__xludf.DUMMYFUNCTION("""COMPUTED_VALUE"""),"GetExecutionReportDetails")</f>
        <v>GetExecutionReportDetails</v>
      </c>
      <c r="C510" t="str">
        <f>IFERROR(__xludf.DUMMYFUNCTION("""COMPUTED_VALUE"""),"1S6sj5FWvIc-3o_AfPaPuatehpzQm1Qx2rydxXGom_dg")</f>
        <v>1S6sj5FWvIc-3o_AfPaPuatehpzQm1Qx2rydxXGom_dg</v>
      </c>
    </row>
    <row r="511" ht="15.75" customHeight="1">
      <c r="A511" t="str">
        <f>IFERROR(__xludf.DUMMYFUNCTION("""COMPUTED_VALUE"""),"Blotter")</f>
        <v>Blotter</v>
      </c>
      <c r="B511" t="str">
        <f>IFERROR(__xludf.DUMMYFUNCTION("""COMPUTED_VALUE"""),"ExportExecutionReportData")</f>
        <v>ExportExecutionReportData</v>
      </c>
      <c r="C511" t="str">
        <f>IFERROR(__xludf.DUMMYFUNCTION("""COMPUTED_VALUE"""),"1NuepzxikoEeQ9UGIazOW9FdK3u7QGJplxR7E8kC43zk")</f>
        <v>1NuepzxikoEeQ9UGIazOW9FdK3u7QGJplxR7E8kC43zk</v>
      </c>
    </row>
    <row r="512" ht="15.75" customHeight="1">
      <c r="A512" t="str">
        <f>IFERROR(__xludf.DUMMYFUNCTION("""COMPUTED_VALUE"""),"Blotter")</f>
        <v>Blotter</v>
      </c>
      <c r="B512" t="str">
        <f>IFERROR(__xludf.DUMMYFUNCTION("""COMPUTED_VALUE"""),"VerifyExecutionReport")</f>
        <v>VerifyExecutionReport</v>
      </c>
      <c r="C512" t="str">
        <f>IFERROR(__xludf.DUMMYFUNCTION("""COMPUTED_VALUE"""),"1oFdiPMJZ6QcqQOw8iiVuMy67mAJN06vJWm3q-cVwnno")</f>
        <v>1oFdiPMJZ6QcqQOw8iiVuMy67mAJN06vJWm3q-cVwnno</v>
      </c>
    </row>
    <row r="513" ht="15.75" customHeight="1">
      <c r="A513" t="str">
        <f>IFERROR(__xludf.DUMMYFUNCTION("""COMPUTED_VALUE"""),"Blotter")</f>
        <v>Blotter</v>
      </c>
      <c r="B513" t="str">
        <f>IFERROR(__xludf.DUMMYFUNCTION("""COMPUTED_VALUE"""),"BlotterExecutionReportSnapshot")</f>
        <v>BlotterExecutionReportSnapshot</v>
      </c>
      <c r="C513" t="str">
        <f>IFERROR(__xludf.DUMMYFUNCTION("""COMPUTED_VALUE"""),"1qS_WdHc-9zx-QFEzjKFnwArW39qAuRmf2BwbLZIYrx8")</f>
        <v>1qS_WdHc-9zx-QFEzjKFnwArW39qAuRmf2BwbLZIYrx8</v>
      </c>
    </row>
    <row r="514" ht="15.75" customHeight="1">
      <c r="A514" t="str">
        <f>IFERROR(__xludf.DUMMYFUNCTION("""COMPUTED_VALUE"""),"Admin")</f>
        <v>Admin</v>
      </c>
      <c r="B514" t="str">
        <f>IFERROR(__xludf.DUMMYFUNCTION("""COMPUTED_VALUE"""),"SetDollarAmountPermission")</f>
        <v>SetDollarAmountPermission</v>
      </c>
      <c r="C514" t="str">
        <f>IFERROR(__xludf.DUMMYFUNCTION("""COMPUTED_VALUE"""),"1xOFeeEAfRZ7uVQd-bOgJ8e2jRaAjMLV_Blt4kgkW758")</f>
        <v>1xOFeeEAfRZ7uVQd-bOgJ8e2jRaAjMLV_Blt4kgkW758</v>
      </c>
    </row>
    <row r="515" ht="15.75" customHeight="1">
      <c r="A515" t="str">
        <f>IFERROR(__xludf.DUMMYFUNCTION("""COMPUTED_VALUE"""),"Admin")</f>
        <v>Admin</v>
      </c>
      <c r="B515" t="str">
        <f>IFERROR(__xludf.DUMMYFUNCTION("""COMPUTED_VALUE"""),"EnableDisableModule")</f>
        <v>EnableDisableModule</v>
      </c>
      <c r="C515" t="str">
        <f>IFERROR(__xludf.DUMMYFUNCTION("""COMPUTED_VALUE"""),"1gOEnHffMXCfk3OHpA4l1AxtdYLt7yCY9nIAHCVLNwVc")</f>
        <v>1gOEnHffMXCfk3OHpA4l1AxtdYLt7yCY9nIAHCVLNwVc</v>
      </c>
    </row>
    <row r="516" ht="15.75" customHeight="1">
      <c r="A516" t="str">
        <f>IFERROR(__xludf.DUMMYFUNCTION("""COMPUTED_VALUE"""),"Blotter")</f>
        <v>Blotter</v>
      </c>
      <c r="B516" t="str">
        <f>IFERROR(__xludf.DUMMYFUNCTION("""COMPUTED_VALUE"""),"MultipleTradeTransferToUser")</f>
        <v>MultipleTradeTransferToUser</v>
      </c>
      <c r="C516" t="str">
        <f>IFERROR(__xludf.DUMMYFUNCTION("""COMPUTED_VALUE"""),"1MwTe8wnpOxfAt8LI3PyswJ6sddAaGzi5MdpUL8JAo-E")</f>
        <v>1MwTe8wnpOxfAt8LI3PyswJ6sddAaGzi5MdpUL8JAo-E</v>
      </c>
    </row>
    <row r="517" ht="15.75" customHeight="1">
      <c r="A517" t="str">
        <f>IFERROR(__xludf.DUMMYFUNCTION("""COMPUTED_VALUE"""),"Admin")</f>
        <v>Admin</v>
      </c>
      <c r="B517" t="str">
        <f>IFERROR(__xludf.DUMMYFUNCTION("""COMPUTED_VALUE"""),"IsImportOverrideOnShortLocate")</f>
        <v>IsImportOverrideOnShortLocate</v>
      </c>
      <c r="C517" t="str">
        <f>IFERROR(__xludf.DUMMYFUNCTION("""COMPUTED_VALUE"""),"1JlA0Y1H-vrWeIlqgP3MsswQdI6cigTmArnA7R2LWQc4")</f>
        <v>1JlA0Y1H-vrWeIlqgP3MsswQdI6cigTmArnA7R2LWQc4</v>
      </c>
    </row>
    <row r="518" ht="15.75" customHeight="1">
      <c r="A518" t="str">
        <f>IFERROR(__xludf.DUMMYFUNCTION("""COMPUTED_VALUE"""),"Admin")</f>
        <v>Admin</v>
      </c>
      <c r="B518" t="str">
        <f>IFERROR(__xludf.DUMMYFUNCTION("""COMPUTED_VALUE"""),"SetShortLocateStructures")</f>
        <v>SetShortLocateStructures</v>
      </c>
      <c r="C518" t="str">
        <f>IFERROR(__xludf.DUMMYFUNCTION("""COMPUTED_VALUE"""),"1kR80czhB9OTe0d_J57MU3TZ4AfXbKGWNfDZ-2FQbHwI")</f>
        <v>1kR80czhB9OTe0d_J57MU3TZ4AfXbKGWNfDZ-2FQbHwI</v>
      </c>
    </row>
    <row r="519" ht="15.75" customHeight="1">
      <c r="A519" t="str">
        <f>IFERROR(__xludf.DUMMYFUNCTION("""COMPUTED_VALUE"""),"ShortLocate")</f>
        <v>ShortLocate</v>
      </c>
      <c r="B519" t="str">
        <f>IFERROR(__xludf.DUMMYFUNCTION("""COMPUTED_VALUE"""),"DownloadFile")</f>
        <v>DownloadFile</v>
      </c>
      <c r="C519" t="str">
        <f>IFERROR(__xludf.DUMMYFUNCTION("""COMPUTED_VALUE"""),"1o7j1EbVMp55C2W0LtWgInbcaRCadHrS8uLmpnVq98uY")</f>
        <v>1o7j1EbVMp55C2W0LtWgInbcaRCadHrS8uLmpnVq98uY</v>
      </c>
    </row>
    <row r="520" ht="15.75" customHeight="1">
      <c r="A520" t="str">
        <f>IFERROR(__xludf.DUMMYFUNCTION("""COMPUTED_VALUE"""),"ShortLocate")</f>
        <v>ShortLocate</v>
      </c>
      <c r="B520" t="str">
        <f>IFERROR(__xludf.DUMMYFUNCTION("""COMPUTED_VALUE"""),"SearchShortLocateUI")</f>
        <v>SearchShortLocateUI</v>
      </c>
      <c r="C520" t="str">
        <f>IFERROR(__xludf.DUMMYFUNCTION("""COMPUTED_VALUE"""),"1WpyTBvj-iezHv6E9PbjJ3UJKNDEkGuyVLw4TOx5zcas")</f>
        <v>1WpyTBvj-iezHv6E9PbjJ3UJKNDEkGuyVLw4TOx5zcas</v>
      </c>
    </row>
    <row r="521" ht="15.75" customHeight="1">
      <c r="A521" t="str">
        <f>IFERROR(__xludf.DUMMYFUNCTION("""COMPUTED_VALUE"""),"TradingTicket")</f>
        <v>TradingTicket</v>
      </c>
      <c r="B521" t="str">
        <f>IFERROR(__xludf.DUMMYFUNCTION("""COMPUTED_VALUE"""),"CreateDoneAwayOrder")</f>
        <v>CreateDoneAwayOrder</v>
      </c>
      <c r="C521" t="str">
        <f>IFERROR(__xludf.DUMMYFUNCTION("""COMPUTED_VALUE"""),"1u6KqBelmQQ2oYAB3PeSwYS-Dl3oOd1Dhuag0CXdBdWI")</f>
        <v>1u6KqBelmQQ2oYAB3PeSwYS-Dl3oOd1Dhuag0CXdBdWI</v>
      </c>
    </row>
    <row r="522" ht="15.75" customHeight="1">
      <c r="A522" t="str">
        <f>IFERROR(__xludf.DUMMYFUNCTION("""COMPUTED_VALUE"""),"TradingTicket")</f>
        <v>TradingTicket</v>
      </c>
      <c r="B522" t="str">
        <f>IFERROR(__xludf.DUMMYFUNCTION("""COMPUTED_VALUE"""),"CreateComplianceOrder")</f>
        <v>CreateComplianceOrder</v>
      </c>
      <c r="C522" t="str">
        <f>IFERROR(__xludf.DUMMYFUNCTION("""COMPUTED_VALUE"""),"1gmcte0l7mexRV3mcVKh44GtDozpoxvkubq93yh2tGqU")</f>
        <v>1gmcte0l7mexRV3mcVKh44GtDozpoxvkubq93yh2tGqU</v>
      </c>
    </row>
    <row r="523" ht="15.75" customHeight="1">
      <c r="A523" t="str">
        <f>IFERROR(__xludf.DUMMYFUNCTION("""COMPUTED_VALUE"""),"Simulator")</f>
        <v>Simulator</v>
      </c>
      <c r="B523" t="str">
        <f>IFERROR(__xludf.DUMMYFUNCTION("""COMPUTED_VALUE"""),"VerifyTrades")</f>
        <v>VerifyTrades</v>
      </c>
      <c r="C523" t="str">
        <f>IFERROR(__xludf.DUMMYFUNCTION("""COMPUTED_VALUE"""),"1dCrY-kPvBYwHWZFEAPkwG7_-NIXiZCgTXwbmTvW0ejY")</f>
        <v>1dCrY-kPvBYwHWZFEAPkwG7_-NIXiZCgTXwbmTvW0ejY</v>
      </c>
    </row>
    <row r="524" ht="15.75" customHeight="1">
      <c r="A524" t="str">
        <f>IFERROR(__xludf.DUMMYFUNCTION("""COMPUTED_VALUE"""),"ShortLocate")</f>
        <v>ShortLocate</v>
      </c>
      <c r="B524" t="str">
        <f>IFERROR(__xludf.DUMMYFUNCTION("""COMPUTED_VALUE"""),"SetShortLocatePreferences")</f>
        <v>SetShortLocatePreferences</v>
      </c>
      <c r="C524" t="str">
        <f>IFERROR(__xludf.DUMMYFUNCTION("""COMPUTED_VALUE"""),"1YBhqpdTe5HhM37nCSMHR8xiY56Y5rQdUizIAR0ZhetA")</f>
        <v>1YBhqpdTe5HhM37nCSMHR8xiY56Y5rQdUizIAR0ZhetA</v>
      </c>
    </row>
    <row r="525" ht="15.75" customHeight="1">
      <c r="A525" t="str">
        <f>IFERROR(__xludf.DUMMYFUNCTION("""COMPUTED_VALUE"""),"SecurityMaster")</f>
        <v>SecurityMaster</v>
      </c>
      <c r="B525" t="str">
        <f>IFERROR(__xludf.DUMMYFUNCTION("""COMPUTED_VALUE"""),"GetSymbolData")</f>
        <v>GetSymbolData</v>
      </c>
      <c r="C525" t="str">
        <f>IFERROR(__xludf.DUMMYFUNCTION("""COMPUTED_VALUE"""),"1DkMDvYHJVI0PJ-rTpp2qT_DByDKjy7Jk0saOYBb6-mU")</f>
        <v>1DkMDvYHJVI0PJ-rTpp2qT_DByDKjy7Jk0saOYBb6-mU</v>
      </c>
    </row>
    <row r="526" ht="15.75" customHeight="1">
      <c r="A526" t="str">
        <f>IFERROR(__xludf.DUMMYFUNCTION("""COMPUTED_VALUE"""),"SecurityMaster")</f>
        <v>SecurityMaster</v>
      </c>
      <c r="B526" t="str">
        <f>IFERROR(__xludf.DUMMYFUNCTION("""COMPUTED_VALUE"""),"EditSMData")</f>
        <v>EditSMData</v>
      </c>
      <c r="C526" t="str">
        <f>IFERROR(__xludf.DUMMYFUNCTION("""COMPUTED_VALUE"""),"1d9VnMnman_DekbWVZZe1TyFq1K7qIz4-u3Ho348l7NQ")</f>
        <v>1d9VnMnman_DekbWVZZe1TyFq1K7qIz4-u3Ho348l7NQ</v>
      </c>
    </row>
    <row r="527" ht="15.75" customHeight="1">
      <c r="A527" t="str">
        <f>IFERROR(__xludf.DUMMYFUNCTION("""COMPUTED_VALUE"""),"Compliance")</f>
        <v>Compliance</v>
      </c>
      <c r="B527" t="str">
        <f>IFERROR(__xludf.DUMMYFUNCTION("""COMPUTED_VALUE"""),"RestartRuleMediator")</f>
        <v>RestartRuleMediator</v>
      </c>
      <c r="C527" t="str">
        <f>IFERROR(__xludf.DUMMYFUNCTION("""COMPUTED_VALUE"""),"1x9o8wpvtq-vnalvhw9-bSPFTvsAgLuSBv39sk-__sqA")</f>
        <v>1x9o8wpvtq-vnalvhw9-bSPFTvsAgLuSBv39sk-__sqA</v>
      </c>
    </row>
    <row r="528" ht="15.75" customHeight="1">
      <c r="A528" t="str">
        <f>IFERROR(__xludf.DUMMYFUNCTION("""COMPUTED_VALUE"""),"Compliance")</f>
        <v>Compliance</v>
      </c>
      <c r="B528" t="str">
        <f>IFERROR(__xludf.DUMMYFUNCTION("""COMPUTED_VALUE"""),"VerifyAggAccountSymbolWithNav")</f>
        <v>VerifyAggAccountSymbolWithNav</v>
      </c>
      <c r="C528" t="str">
        <f>IFERROR(__xludf.DUMMYFUNCTION("""COMPUTED_VALUE"""),"1QnRdwOkq7zW-9t1KpCO8lLG9e-abFT1Hi2jBNJs6XSQ")</f>
        <v>1QnRdwOkq7zW-9t1KpCO8lLG9e-abFT1Hi2jBNJs6XSQ</v>
      </c>
    </row>
    <row r="529" ht="15.75" customHeight="1">
      <c r="A529" t="str">
        <f>IFERROR(__xludf.DUMMYFUNCTION("""COMPUTED_VALUE"""),"Admin")</f>
        <v>Admin</v>
      </c>
      <c r="B529" t="str">
        <f>IFERROR(__xludf.DUMMYFUNCTION("""COMPUTED_VALUE"""),"SetComplianceAlert")</f>
        <v>SetComplianceAlert</v>
      </c>
      <c r="C529" t="str">
        <f>IFERROR(__xludf.DUMMYFUNCTION("""COMPUTED_VALUE"""),"1w3Tl0jhDzxZ-1bnuGo4OGQ5EoVFrAYr0TQ6Xl0YgpAY")</f>
        <v>1w3Tl0jhDzxZ-1bnuGo4OGQ5EoVFrAYr0TQ6Xl0YgpAY</v>
      </c>
    </row>
    <row r="530" ht="15.75" customHeight="1">
      <c r="A530" t="str">
        <f>IFERROR(__xludf.DUMMYFUNCTION("""COMPUTED_VALUE"""),"Blotter")</f>
        <v>Blotter</v>
      </c>
      <c r="B530" t="str">
        <f>IFERROR(__xludf.DUMMYFUNCTION("""COMPUTED_VALUE"""),"ReloadOrderFromBlotter")</f>
        <v>ReloadOrderFromBlotter</v>
      </c>
      <c r="C530" t="str">
        <f>IFERROR(__xludf.DUMMYFUNCTION("""COMPUTED_VALUE"""),"1qE7n9le_EHMocRkBbKlAcMbopbxmR7c6Nd_yVObz5Hc")</f>
        <v>1qE7n9le_EHMocRkBbKlAcMbopbxmR7c6Nd_yVObz5Hc</v>
      </c>
    </row>
    <row r="531" ht="15.75" customHeight="1">
      <c r="A531" t="str">
        <f>IFERROR(__xludf.DUMMYFUNCTION("""COMPUTED_VALUE"""),"Blotter")</f>
        <v>Blotter</v>
      </c>
      <c r="B531" t="str">
        <f>IFERROR(__xludf.DUMMYFUNCTION("""COMPUTED_VALUE"""),"ReloadOrderFromSubOrder")</f>
        <v>ReloadOrderFromSubOrder</v>
      </c>
      <c r="C531" t="str">
        <f>IFERROR(__xludf.DUMMYFUNCTION("""COMPUTED_VALUE"""),"1g0ptpj616n-M3tdgp6QODnakxqVbRiuaH5fglhhWvUA")</f>
        <v>1g0ptpj616n-M3tdgp6QODnakxqVbRiuaH5fglhhWvUA</v>
      </c>
    </row>
    <row r="532" ht="15.75" customHeight="1">
      <c r="A532" t="str">
        <f>IFERROR(__xludf.DUMMYFUNCTION("""COMPUTED_VALUE"""),"Blotter")</f>
        <v>Blotter</v>
      </c>
      <c r="B532" t="str">
        <f>IFERROR(__xludf.DUMMYFUNCTION("""COMPUTED_VALUE"""),"ReloadOrderFromWorkingSubs")</f>
        <v>ReloadOrderFromWorkingSubs</v>
      </c>
      <c r="C532" t="str">
        <f>IFERROR(__xludf.DUMMYFUNCTION("""COMPUTED_VALUE"""),"1XQ4pQr3fnuG-wfebHJWeoAU_oWraVvaEoq5vxfmeyFU")</f>
        <v>1XQ4pQr3fnuG-wfebHJWeoAU_oWraVvaEoq5vxfmeyFU</v>
      </c>
    </row>
    <row r="533" ht="15.75" customHeight="1">
      <c r="A533" t="str">
        <f>IFERROR(__xludf.DUMMYFUNCTION("""COMPUTED_VALUE"""),"Closing")</f>
        <v>Closing</v>
      </c>
      <c r="B533" t="str">
        <f>IFERROR(__xludf.DUMMYFUNCTION("""COMPUTED_VALUE"""),"AutoExercise")</f>
        <v>AutoExercise</v>
      </c>
      <c r="C533" t="str">
        <f>IFERROR(__xludf.DUMMYFUNCTION("""COMPUTED_VALUE"""),"1txUo3R71Idwek_WSkxDmfa85jvmU4skpklkunC9l4to")</f>
        <v>1txUo3R71Idwek_WSkxDmfa85jvmU4skpklkunC9l4to</v>
      </c>
    </row>
    <row r="534" ht="15.75" customHeight="1">
      <c r="A534" t="str">
        <f>IFERROR(__xludf.DUMMYFUNCTION("""COMPUTED_VALUE"""),"PortfolioManagement")</f>
        <v>PortfolioManagement</v>
      </c>
      <c r="B534" t="str">
        <f>IFERROR(__xludf.DUMMYFUNCTION("""COMPUTED_VALUE"""),"IncreasePositionFromPM")</f>
        <v>IncreasePositionFromPM</v>
      </c>
      <c r="C534" t="str">
        <f>IFERROR(__xludf.DUMMYFUNCTION("""COMPUTED_VALUE"""),"1jo5CsRlvFnrD55hhWEgqFOiGuhY6UoAWRWk9ysrekJ4")</f>
        <v>1jo5CsRlvFnrD55hhWEgqFOiGuhY6UoAWRWk9ysrekJ4</v>
      </c>
    </row>
    <row r="535" ht="15.75" customHeight="1">
      <c r="A535" t="str">
        <f>IFERROR(__xludf.DUMMYFUNCTION("""COMPUTED_VALUE"""),"TradingTicket")</f>
        <v>TradingTicket</v>
      </c>
      <c r="B535" t="str">
        <f>IFERROR(__xludf.DUMMYFUNCTION("""COMPUTED_VALUE"""),"AddOptionTrade")</f>
        <v>AddOptionTrade</v>
      </c>
      <c r="C535" t="str">
        <f>IFERROR(__xludf.DUMMYFUNCTION("""COMPUTED_VALUE"""),"17x5jnRAVCvQUGHBhgiiVTUeAomMG3s-WN918W8i78RY")</f>
        <v>17x5jnRAVCvQUGHBhgiiVTUeAomMG3s-WN918W8i78RY</v>
      </c>
    </row>
    <row r="536" ht="15.75" customHeight="1">
      <c r="A536" t="str">
        <f>IFERROR(__xludf.DUMMYFUNCTION("""COMPUTED_VALUE"""),"TradingTicket")</f>
        <v>TradingTicket</v>
      </c>
      <c r="B536" t="str">
        <f>IFERROR(__xludf.DUMMYFUNCTION("""COMPUTED_VALUE"""),"SendLiveBloomberg")</f>
        <v>SendLiveBloomberg</v>
      </c>
      <c r="C536" t="str">
        <f>IFERROR(__xludf.DUMMYFUNCTION("""COMPUTED_VALUE"""),"11bhQDFMxUdCHiZELuMSPwLt6XZavd_QvQB5Lxkm1XXE")</f>
        <v>11bhQDFMxUdCHiZELuMSPwLt6XZavd_QvQB5Lxkm1XXE</v>
      </c>
    </row>
    <row r="537" ht="15.75" customHeight="1">
      <c r="A537" t="str">
        <f>IFERROR(__xludf.DUMMYFUNCTION("""COMPUTED_VALUE"""),"Admin")</f>
        <v>Admin</v>
      </c>
      <c r="B537" t="str">
        <f>IFERROR(__xludf.DUMMYFUNCTION("""COMPUTED_VALUE"""),"UpdateExpirationDate")</f>
        <v>UpdateExpirationDate</v>
      </c>
      <c r="C537" t="str">
        <f>IFERROR(__xludf.DUMMYFUNCTION("""COMPUTED_VALUE"""),"1v_DBl1sU9-btwN2cjxlFI_LWcxrlSVvrF1KOzeJisPg")</f>
        <v>1v_DBl1sU9-btwN2cjxlFI_LWcxrlSVvrF1KOzeJisPg</v>
      </c>
    </row>
    <row r="538" ht="15.75" customHeight="1">
      <c r="A538" t="str">
        <f>IFERROR(__xludf.DUMMYFUNCTION("""COMPUTED_VALUE"""),"PricingInput")</f>
        <v>PricingInput</v>
      </c>
      <c r="B538" t="str">
        <f>IFERROR(__xludf.DUMMYFUNCTION("""COMPUTED_VALUE"""),"UncheckDividendYield")</f>
        <v>UncheckDividendYield</v>
      </c>
      <c r="C538" t="str">
        <f>IFERROR(__xludf.DUMMYFUNCTION("""COMPUTED_VALUE"""),"191PZhRplV1PcCALc5XtZSmsny5aT0kGj27fH7ERiAd8")</f>
        <v>191PZhRplV1PcCALc5XtZSmsny5aT0kGj27fH7ERiAd8</v>
      </c>
    </row>
    <row r="539" ht="15.75" customHeight="1">
      <c r="A539" t="str">
        <f>IFERROR(__xludf.DUMMYFUNCTION("""COMPUTED_VALUE"""),"Admin")</f>
        <v>Admin</v>
      </c>
      <c r="B539" t="str">
        <f>IFERROR(__xludf.DUMMYFUNCTION("""COMPUTED_VALUE"""),"RenameMasterStrategy")</f>
        <v>RenameMasterStrategy</v>
      </c>
      <c r="C539" t="str">
        <f>IFERROR(__xludf.DUMMYFUNCTION("""COMPUTED_VALUE"""),"1rUVERdbqvBECNyG_BrwWmTnx6C02IGItQZFJkw5ZzvM")</f>
        <v>1rUVERdbqvBECNyG_BrwWmTnx6C02IGItQZFJkw5ZzvM</v>
      </c>
    </row>
    <row r="540" ht="15.75" customHeight="1">
      <c r="A540" t="str">
        <f>IFERROR(__xludf.DUMMYFUNCTION("""COMPUTED_VALUE"""),"Blotter")</f>
        <v>Blotter</v>
      </c>
      <c r="B540" t="str">
        <f>IFERROR(__xludf.DUMMYFUNCTION("""COMPUTED_VALUE"""),"SelectFills")</f>
        <v>SelectFills</v>
      </c>
      <c r="C540" t="str">
        <f>IFERROR(__xludf.DUMMYFUNCTION("""COMPUTED_VALUE"""),"1Ies-dH6F3ega-0G78bGC6O4wv2KeaxZVCOrQ36yBSlQ")</f>
        <v>1Ies-dH6F3ega-0G78bGC6O4wv2KeaxZVCOrQ36yBSlQ</v>
      </c>
    </row>
    <row r="541" ht="15.75" customHeight="1">
      <c r="A541" t="str">
        <f>IFERROR(__xludf.DUMMYFUNCTION("""COMPUTED_VALUE"""),"Blotter")</f>
        <v>Blotter</v>
      </c>
      <c r="B541" t="str">
        <f>IFERROR(__xludf.DUMMYFUNCTION("""COMPUTED_VALUE"""),"ModifyFills")</f>
        <v>ModifyFills</v>
      </c>
      <c r="C541" t="str">
        <f>IFERROR(__xludf.DUMMYFUNCTION("""COMPUTED_VALUE"""),"1MILvcLzeuv6xKRk3qd4Sxn9N81mZ-zAP1j_d22RRaRk")</f>
        <v>1MILvcLzeuv6xKRk3qd4Sxn9N81mZ-zAP1j_d22RRaRk</v>
      </c>
    </row>
    <row r="542" ht="15.75" customHeight="1">
      <c r="A542" t="str">
        <f>IFERROR(__xludf.DUMMYFUNCTION("""COMPUTED_VALUE"""),"PranaClient")</f>
        <v>PranaClient</v>
      </c>
      <c r="B542" t="str">
        <f>IFERROR(__xludf.DUMMYFUNCTION("""COMPUTED_VALUE"""),"PranaClient")</f>
        <v>PranaClient</v>
      </c>
      <c r="C542" t="str">
        <f>IFERROR(__xludf.DUMMYFUNCTION("""COMPUTED_VALUE"""),"1WDFAjSIlOFsNX0LLYwhJaUkTKf6rViDpcTcizTr7tkE")</f>
        <v>1WDFAjSIlOFsNX0LLYwhJaUkTKf6rViDpcTcizTr7tkE</v>
      </c>
    </row>
    <row r="543" ht="15.75" customHeight="1">
      <c r="A543" t="str">
        <f>IFERROR(__xludf.DUMMYFUNCTION("""COMPUTED_VALUE"""),"Closing")</f>
        <v>Closing</v>
      </c>
      <c r="B543" t="str">
        <f>IFERROR(__xludf.DUMMYFUNCTION("""COMPUTED_VALUE"""),"EditMultipleCloseQuantity")</f>
        <v>EditMultipleCloseQuantity</v>
      </c>
      <c r="C543" t="str">
        <f>IFERROR(__xludf.DUMMYFUNCTION("""COMPUTED_VALUE"""),"1As4aK9TB7BNLyLzv833qnm_81Y9C10iVC1t_pVb_g4o")</f>
        <v>1As4aK9TB7BNLyLzv833qnm_81Y9C10iVC1t_pVb_g4o</v>
      </c>
    </row>
    <row r="544" ht="15.75" customHeight="1">
      <c r="A544" t="str">
        <f>IFERROR(__xludf.DUMMYFUNCTION("""COMPUTED_VALUE"""),"Closing")</f>
        <v>Closing</v>
      </c>
      <c r="B544" t="str">
        <f>IFERROR(__xludf.DUMMYFUNCTION("""COMPUTED_VALUE"""),"ManualCloseOrder")</f>
        <v>ManualCloseOrder</v>
      </c>
      <c r="C544" t="str">
        <f>IFERROR(__xludf.DUMMYFUNCTION("""COMPUTED_VALUE"""),"1Z6VinSFfvyzX51UkxNQ57jx1V4d_2r5QgnF-82XZiII")</f>
        <v>1Z6VinSFfvyzX51UkxNQ57jx1V4d_2r5QgnF-82XZiII</v>
      </c>
    </row>
    <row r="545" ht="15.75" customHeight="1">
      <c r="A545" t="str">
        <f>IFERROR(__xludf.DUMMYFUNCTION("""COMPUTED_VALUE"""),"Admin")</f>
        <v>Admin</v>
      </c>
      <c r="B545" t="str">
        <f>IFERROR(__xludf.DUMMYFUNCTION("""COMPUTED_VALUE"""),"SetTTUIAdminPreferences")</f>
        <v>SetTTUIAdminPreferences</v>
      </c>
      <c r="C545" t="str">
        <f>IFERROR(__xludf.DUMMYFUNCTION("""COMPUTED_VALUE"""),"1Xoytpjlm_uCbH7E2OBVyA5cpiEdagmLynZS77w0sB9E")</f>
        <v>1Xoytpjlm_uCbH7E2OBVyA5cpiEdagmLynZS77w0sB9E</v>
      </c>
    </row>
    <row r="546" ht="15.75" customHeight="1">
      <c r="A546" t="str">
        <f>IFERROR(__xludf.DUMMYFUNCTION("""COMPUTED_VALUE"""),"Closing")</f>
        <v>Closing</v>
      </c>
      <c r="B546" t="str">
        <f>IFERROR(__xludf.DUMMYFUNCTION("""COMPUTED_VALUE"""),"PreviewDataWithFilters")</f>
        <v>PreviewDataWithFilters</v>
      </c>
      <c r="C546" t="str">
        <f>IFERROR(__xludf.DUMMYFUNCTION("""COMPUTED_VALUE"""),"1KuYiSB26XWBfbzb75TDdM5e9oYb3vnk75drHSH0LnqY")</f>
        <v>1KuYiSB26XWBfbzb75TDdM5e9oYb3vnk75drHSH0LnqY</v>
      </c>
    </row>
    <row r="547" ht="15.75" customHeight="1">
      <c r="A547" t="str">
        <f>IFERROR(__xludf.DUMMYFUNCTION("""COMPUTED_VALUE"""),"TradingTicket")</f>
        <v>TradingTicket</v>
      </c>
      <c r="B547" t="str">
        <f>IFERROR(__xludf.DUMMYFUNCTION("""COMPUTED_VALUE"""),"ViewAllocation")</f>
        <v>ViewAllocation</v>
      </c>
      <c r="C547" t="str">
        <f>IFERROR(__xludf.DUMMYFUNCTION("""COMPUTED_VALUE"""),"1lByE4-9oGLqgyjwm136U-2hfBqhRA_J-WHj8Eo1iTAo")</f>
        <v>1lByE4-9oGLqgyjwm136U-2hfBqhRA_J-WHj8Eo1iTAo</v>
      </c>
    </row>
    <row r="548" ht="15.75" customHeight="1">
      <c r="A548" t="str">
        <f>IFERROR(__xludf.DUMMYFUNCTION("""COMPUTED_VALUE"""),"Admin")</f>
        <v>Admin</v>
      </c>
      <c r="B548" t="str">
        <f>IFERROR(__xludf.DUMMYFUNCTION("""COMPUTED_VALUE"""),"UpdateSecFee")</f>
        <v>UpdateSecFee</v>
      </c>
      <c r="C548" t="str">
        <f>IFERROR(__xludf.DUMMYFUNCTION("""COMPUTED_VALUE"""),"1gRoCh9m9NqIGTjNnEl44mGE3VScdhFYZFIGauMOiu0A")</f>
        <v>1gRoCh9m9NqIGTjNnEl44mGE3VScdhFYZFIGauMOiu0A</v>
      </c>
    </row>
    <row r="549" ht="15.75" customHeight="1">
      <c r="A549" t="str">
        <f>IFERROR(__xludf.DUMMYFUNCTION("""COMPUTED_VALUE"""),"Closing")</f>
        <v>Closing</v>
      </c>
      <c r="B549" t="str">
        <f>IFERROR(__xludf.DUMMYFUNCTION("""COMPUTED_VALUE"""),"CreateClosingTemplate")</f>
        <v>CreateClosingTemplate</v>
      </c>
      <c r="C549" t="str">
        <f>IFERROR(__xludf.DUMMYFUNCTION("""COMPUTED_VALUE"""),"1jfp8aZqh3UdVRZlAjBYQgJyHqTyBbhFc4uHQA7y9krs")</f>
        <v>1jfp8aZqh3UdVRZlAjBYQgJyHqTyBbhFc4uHQA7y9krs</v>
      </c>
    </row>
    <row r="550" ht="15.75" customHeight="1">
      <c r="A550" t="str">
        <f>IFERROR(__xludf.DUMMYFUNCTION("""COMPUTED_VALUE"""),"Closing")</f>
        <v>Closing</v>
      </c>
      <c r="B550" t="str">
        <f>IFERROR(__xludf.DUMMYFUNCTION("""COMPUTED_VALUE"""),"CreateUnwindingTemplate")</f>
        <v>CreateUnwindingTemplate</v>
      </c>
      <c r="C550" t="str">
        <f>IFERROR(__xludf.DUMMYFUNCTION("""COMPUTED_VALUE"""),"1Mu3QSS9ja4VJBNwHgxOrColyJvnFp-9taHs7WERfoGA")</f>
        <v>1Mu3QSS9ja4VJBNwHgxOrColyJvnFp-9taHs7WERfoGA</v>
      </c>
    </row>
    <row r="551" ht="15.75" customHeight="1">
      <c r="A551" t="str">
        <f>IFERROR(__xludf.DUMMYFUNCTION("""COMPUTED_VALUE"""),"Closing")</f>
        <v>Closing</v>
      </c>
      <c r="B551" t="str">
        <f>IFERROR(__xludf.DUMMYFUNCTION("""COMPUTED_VALUE"""),"EditTemplate")</f>
        <v>EditTemplate</v>
      </c>
      <c r="C551" t="str">
        <f>IFERROR(__xludf.DUMMYFUNCTION("""COMPUTED_VALUE"""),"1M-9P8q5tiKJgPHUTttNF6nknqVv2KelBDn-DmSjTqzE")</f>
        <v>1M-9P8q5tiKJgPHUTttNF6nknqVv2KelBDn-DmSjTqzE</v>
      </c>
    </row>
    <row r="552" ht="15.75" customHeight="1">
      <c r="A552" t="str">
        <f>IFERROR(__xludf.DUMMYFUNCTION("""COMPUTED_VALUE"""),"Closing")</f>
        <v>Closing</v>
      </c>
      <c r="B552" t="str">
        <f>IFERROR(__xludf.DUMMYFUNCTION("""COMPUTED_VALUE"""),"DeleteTemplate")</f>
        <v>DeleteTemplate</v>
      </c>
      <c r="C552" t="str">
        <f>IFERROR(__xludf.DUMMYFUNCTION("""COMPUTED_VALUE"""),"125HVLz9JsDfW-RasFrXrQbkmpfBgoLNIwAOq-tzTlKg")</f>
        <v>125HVLz9JsDfW-RasFrXrQbkmpfBgoLNIwAOq-tzTlKg</v>
      </c>
    </row>
    <row r="553" ht="15.75" customHeight="1">
      <c r="A553" t="str">
        <f>IFERROR(__xludf.DUMMYFUNCTION("""COMPUTED_VALUE"""),"Allocation")</f>
        <v>Allocation</v>
      </c>
      <c r="B553" t="str">
        <f>IFERROR(__xludf.DUMMYFUNCTION("""COMPUTED_VALUE"""),"AllocationAuditTrail")</f>
        <v>AllocationAuditTrail</v>
      </c>
      <c r="C553" t="str">
        <f>IFERROR(__xludf.DUMMYFUNCTION("""COMPUTED_VALUE"""),"10yWz7qGDCZSmNciBeD3O041xErneAlctCAKUTSUMCjo")</f>
        <v>10yWz7qGDCZSmNciBeD3O041xErneAlctCAKUTSUMCjo</v>
      </c>
    </row>
    <row r="554" ht="15.75" customHeight="1">
      <c r="A554" t="str">
        <f>IFERROR(__xludf.DUMMYFUNCTION("""COMPUTED_VALUE"""),"Allocation")</f>
        <v>Allocation</v>
      </c>
      <c r="B554" t="str">
        <f>IFERROR(__xludf.DUMMYFUNCTION("""COMPUTED_VALUE"""),"GetAuditTrailData")</f>
        <v>GetAuditTrailData</v>
      </c>
      <c r="C554" t="str">
        <f>IFERROR(__xludf.DUMMYFUNCTION("""COMPUTED_VALUE"""),"1tE0JmmhLdBJdhU5UVnPXGBlkR2I3vOjQv07gU21GvxE")</f>
        <v>1tE0JmmhLdBJdhU5UVnPXGBlkR2I3vOjQv07gU21GvxE</v>
      </c>
    </row>
    <row r="555" ht="15.75" customHeight="1">
      <c r="A555" t="str">
        <f>IFERROR(__xludf.DUMMYFUNCTION("""COMPUTED_VALUE"""),"Allocation")</f>
        <v>Allocation</v>
      </c>
      <c r="B555" t="str">
        <f>IFERROR(__xludf.DUMMYFUNCTION("""COMPUTED_VALUE"""),"CheckAuditTrailData")</f>
        <v>CheckAuditTrailData</v>
      </c>
      <c r="C555" t="str">
        <f>IFERROR(__xludf.DUMMYFUNCTION("""COMPUTED_VALUE"""),"12-0bH70bYN6Seh10B26EVNX7irTpsc_sZyluYAHwjQc")</f>
        <v>12-0bH70bYN6Seh10B26EVNX7irTpsc_sZyluYAHwjQc</v>
      </c>
    </row>
    <row r="556" ht="15.75" customHeight="1">
      <c r="A556" t="str">
        <f>IFERROR(__xludf.DUMMYFUNCTION("""COMPUTED_VALUE"""),"Closing")</f>
        <v>Closing</v>
      </c>
      <c r="B556" t="str">
        <f>IFERROR(__xludf.DUMMYFUNCTION("""COMPUTED_VALUE"""),"RunTemplate")</f>
        <v>RunTemplate</v>
      </c>
      <c r="C556" t="str">
        <f>IFERROR(__xludf.DUMMYFUNCTION("""COMPUTED_VALUE"""),"1bVzO569ANMee7krdBrWkFhCZKN5hTw6usYeUmdMDkzI")</f>
        <v>1bVzO569ANMee7krdBrWkFhCZKN5hTw6usYeUmdMDkzI</v>
      </c>
    </row>
    <row r="557" ht="15.75" customHeight="1">
      <c r="A557" t="str">
        <f>IFERROR(__xludf.DUMMYFUNCTION("""COMPUTED_VALUE"""),"SymbolLookup")</f>
        <v>SymbolLookup</v>
      </c>
      <c r="B557" t="str">
        <f>IFERROR(__xludf.DUMMYFUNCTION("""COMPUTED_VALUE"""),"EnterEquity")</f>
        <v>EnterEquity</v>
      </c>
      <c r="C557" t="str">
        <f>IFERROR(__xludf.DUMMYFUNCTION("""COMPUTED_VALUE"""),"1gNFsXBL_FJJrxJtDO2zjzVWu9qT_j1bzsfLqt4p-_Fo")</f>
        <v>1gNFsXBL_FJJrxJtDO2zjzVWu9qT_j1bzsfLqt4p-_Fo</v>
      </c>
    </row>
    <row r="558" ht="15.75" customHeight="1">
      <c r="A558" t="str">
        <f>IFERROR(__xludf.DUMMYFUNCTION("""COMPUTED_VALUE"""),"SymbolLookup")</f>
        <v>SymbolLookup</v>
      </c>
      <c r="B558" t="str">
        <f>IFERROR(__xludf.DUMMYFUNCTION("""COMPUTED_VALUE"""),"UpdateSecurityInfoOnSM")</f>
        <v>UpdateSecurityInfoOnSM</v>
      </c>
      <c r="C558" t="str">
        <f>IFERROR(__xludf.DUMMYFUNCTION("""COMPUTED_VALUE"""),"1RAgAbVa3RJzX7cn7Q8rWnjjzhfqmjIR64sJ84ZIl6PU")</f>
        <v>1RAgAbVa3RJzX7cn7Q8rWnjjzhfqmjIR64sJ84ZIl6PU</v>
      </c>
    </row>
    <row r="559" ht="15.75" customHeight="1">
      <c r="A559" t="str">
        <f>IFERROR(__xludf.DUMMYFUNCTION("""COMPUTED_VALUE"""),"Blotter")</f>
        <v>Blotter</v>
      </c>
      <c r="B559" t="str">
        <f>IFERROR(__xludf.DUMMYFUNCTION("""COMPUTED_VALUE"""),"AllocateFromBlotter")</f>
        <v>AllocateFromBlotter</v>
      </c>
      <c r="C559" t="str">
        <f>IFERROR(__xludf.DUMMYFUNCTION("""COMPUTED_VALUE"""),"1GsnTQHJQ7cVEizrryoUXk5eXeK0x0migAZPTN4d4rNQ")</f>
        <v>1GsnTQHJQ7cVEizrryoUXk5eXeK0x0migAZPTN4d4rNQ</v>
      </c>
    </row>
    <row r="560" ht="15.75" customHeight="1">
      <c r="A560" t="str">
        <f>IFERROR(__xludf.DUMMYFUNCTION("""COMPUTED_VALUE"""),"Admin")</f>
        <v>Admin</v>
      </c>
      <c r="B560" t="str">
        <f>IFERROR(__xludf.DUMMYFUNCTION("""COMPUTED_VALUE"""),"UpdateFee")</f>
        <v>UpdateFee</v>
      </c>
      <c r="C560" t="str">
        <f>IFERROR(__xludf.DUMMYFUNCTION("""COMPUTED_VALUE"""),"1t-RYeXwDqpClPnSrtgjRvnnCBVV4IZrE5q5cPKHHLLU")</f>
        <v>1t-RYeXwDqpClPnSrtgjRvnnCBVV4IZrE5q5cPKHHLLU</v>
      </c>
    </row>
    <row r="561" ht="15.75" customHeight="1">
      <c r="A561" t="str">
        <f>IFERROR(__xludf.DUMMYFUNCTION("""COMPUTED_VALUE"""),"Allocation")</f>
        <v>Allocation</v>
      </c>
      <c r="B561" t="str">
        <f>IFERROR(__xludf.DUMMYFUNCTION("""COMPUTED_VALUE"""),"DeleteGroupWithOutSave")</f>
        <v>DeleteGroupWithOutSave</v>
      </c>
      <c r="C561" t="str">
        <f>IFERROR(__xludf.DUMMYFUNCTION("""COMPUTED_VALUE"""),"1iBGHDOTSzgrcmh6jUKtLpmkIWeAU7Bkq-hGCZgisALw")</f>
        <v>1iBGHDOTSzgrcmh6jUKtLpmkIWeAU7Bkq-hGCZgisALw</v>
      </c>
    </row>
    <row r="562" ht="15.75" customHeight="1">
      <c r="A562" t="str">
        <f>IFERROR(__xludf.DUMMYFUNCTION("""COMPUTED_VALUE"""),"Allocation")</f>
        <v>Allocation</v>
      </c>
      <c r="B562" t="str">
        <f>IFERROR(__xludf.DUMMYFUNCTION("""COMPUTED_VALUE"""),"CheckPreferences")</f>
        <v>CheckPreferences</v>
      </c>
      <c r="C562" t="str">
        <f>IFERROR(__xludf.DUMMYFUNCTION("""COMPUTED_VALUE"""),"1HVuVuvAGvAMqFZra8_Q_UePURkSApZwNJIWqtez9PKM")</f>
        <v>1HVuVuvAGvAMqFZra8_Q_UePURkSApZwNJIWqtez9PKM</v>
      </c>
    </row>
    <row r="563" ht="15.75" customHeight="1">
      <c r="A563" t="str">
        <f>IFERROR(__xludf.DUMMYFUNCTION("""COMPUTED_VALUE"""),"Rebalancer")</f>
        <v>Rebalancer</v>
      </c>
      <c r="B563" t="str">
        <f>IFERROR(__xludf.DUMMYFUNCTION("""COMPUTED_VALUE"""),"SymbologyChangeRB")</f>
        <v>SymbologyChangeRB</v>
      </c>
      <c r="C563" t="str">
        <f>IFERROR(__xludf.DUMMYFUNCTION("""COMPUTED_VALUE"""),"Undefined")</f>
        <v>Undefined</v>
      </c>
    </row>
    <row r="564" ht="15.75" customHeight="1">
      <c r="A564" t="str">
        <f>IFERROR(__xludf.DUMMYFUNCTION("""COMPUTED_VALUE"""),"TradingTicket")</f>
        <v>TradingTicket</v>
      </c>
      <c r="B564" t="str">
        <f>IFERROR(__xludf.DUMMYFUNCTION("""COMPUTED_VALUE"""),"CreateReplaceLiveOrder")</f>
        <v>CreateReplaceLiveOrder</v>
      </c>
      <c r="C564" t="str">
        <f>IFERROR(__xludf.DUMMYFUNCTION("""COMPUTED_VALUE"""),"1XwWb172lSyEQcY3jmIlN32DUfXzcpCX3TAaiFMrAW6Q")</f>
        <v>1XwWb172lSyEQcY3jmIlN32DUfXzcpCX3TAaiFMrAW6Q</v>
      </c>
    </row>
    <row r="565" ht="15.75" customHeight="1">
      <c r="A565" t="str">
        <f>IFERROR(__xludf.DUMMYFUNCTION("""COMPUTED_VALUE"""),"Admin")</f>
        <v>Admin</v>
      </c>
      <c r="B565" t="str">
        <f>IFERROR(__xludf.DUMMYFUNCTION("""COMPUTED_VALUE"""),"RevertingSMSharesOutValue")</f>
        <v>RevertingSMSharesOutValue</v>
      </c>
      <c r="C565" t="str">
        <f>IFERROR(__xludf.DUMMYFUNCTION("""COMPUTED_VALUE"""),"1UFQ_O137A9fYomG8U3DZi6u0aJOLhEdOb9uPd1XRGg4")</f>
        <v>1UFQ_O137A9fYomG8U3DZi6u0aJOLhEdOb9uPd1XRGg4</v>
      </c>
    </row>
    <row r="566" ht="15.75" customHeight="1">
      <c r="A566" t="str">
        <f>IFERROR(__xludf.DUMMYFUNCTION("""COMPUTED_VALUE"""),"SymbolLookup")</f>
        <v>SymbolLookup</v>
      </c>
      <c r="B566" t="str">
        <f>IFERROR(__xludf.DUMMYFUNCTION("""COMPUTED_VALUE"""),"TradeSymbolFromSM")</f>
        <v>TradeSymbolFromSM</v>
      </c>
      <c r="C566" t="str">
        <f>IFERROR(__xludf.DUMMYFUNCTION("""COMPUTED_VALUE"""),"1PNlRP_f9Ce4d39zh_JfxS1-IRQ2lZ9LmbDv-YNbW0ws")</f>
        <v>1PNlRP_f9Ce4d39zh_JfxS1-IRQ2lZ9LmbDv-YNbW0ws</v>
      </c>
    </row>
    <row r="567" ht="15.75" customHeight="1">
      <c r="A567" t="str">
        <f>IFERROR(__xludf.DUMMYFUNCTION("""COMPUTED_VALUE"""),"Closing")</f>
        <v>Closing</v>
      </c>
      <c r="B567" t="str">
        <f>IFERROR(__xludf.DUMMYFUNCTION("""COMPUTED_VALUE"""),"SelectAccountWiseAsset")</f>
        <v>SelectAccountWiseAsset</v>
      </c>
      <c r="C567" t="str">
        <f>IFERROR(__xludf.DUMMYFUNCTION("""COMPUTED_VALUE"""),"10MC6_i1BVoL1LzM9Lj5pQq11-DVZxi4lg6JmZyXndlA")</f>
        <v>10MC6_i1BVoL1LzM9Lj5pQq11-DVZxi4lg6JmZyXndlA</v>
      </c>
    </row>
    <row r="568" ht="15.75" customHeight="1">
      <c r="A568" t="str">
        <f>IFERROR(__xludf.DUMMYFUNCTION("""COMPUTED_VALUE"""),"Closing")</f>
        <v>Closing</v>
      </c>
      <c r="B568" t="str">
        <f>IFERROR(__xludf.DUMMYFUNCTION("""COMPUTED_VALUE"""),"VerifyCTData")</f>
        <v>VerifyCTData</v>
      </c>
      <c r="C568" t="str">
        <f>IFERROR(__xludf.DUMMYFUNCTION("""COMPUTED_VALUE"""),"1wwRMdxFwMzL4j6aOJK1awK-P3H5mg_73kIOYdQV-jzE")</f>
        <v>1wwRMdxFwMzL4j6aOJK1awK-P3H5mg_73kIOYdQV-jzE</v>
      </c>
    </row>
    <row r="569" ht="15.75" customHeight="1">
      <c r="A569" t="str">
        <f>IFERROR(__xludf.DUMMYFUNCTION("""COMPUTED_VALUE"""),"Closing")</f>
        <v>Closing</v>
      </c>
      <c r="B569" t="str">
        <f>IFERROR(__xludf.DUMMYFUNCTION("""COMPUTED_VALUE"""),"ExerciseAssignmentWithOutSave")</f>
        <v>ExerciseAssignmentWithOutSave</v>
      </c>
      <c r="C569" t="str">
        <f>IFERROR(__xludf.DUMMYFUNCTION("""COMPUTED_VALUE"""),"1ydTFRdCEiW0S4QjO_nq3U9QkZ_sElCJSRuC8YTFTmDM")</f>
        <v>1ydTFRdCEiW0S4QjO_nq3U9QkZ_sElCJSRuC8YTFTmDM</v>
      </c>
    </row>
    <row r="570" ht="15.75" customHeight="1">
      <c r="A570" t="str">
        <f>IFERROR(__xludf.DUMMYFUNCTION("""COMPUTED_VALUE"""),"Closing")</f>
        <v>Closing</v>
      </c>
      <c r="B570" t="str">
        <f>IFERROR(__xludf.DUMMYFUNCTION("""COMPUTED_VALUE"""),"SaveCTData")</f>
        <v>SaveCTData</v>
      </c>
      <c r="C570" t="str">
        <f>IFERROR(__xludf.DUMMYFUNCTION("""COMPUTED_VALUE"""),"1TyXEOncuetpBc6awaz-9e8qmzRPhspaacAFxbb1KuXk")</f>
        <v>1TyXEOncuetpBc6awaz-9e8qmzRPhspaacAFxbb1KuXk</v>
      </c>
    </row>
    <row r="571" ht="15.75" customHeight="1">
      <c r="A571" t="str">
        <f>IFERROR(__xludf.DUMMYFUNCTION("""COMPUTED_VALUE"""),"Allocation")</f>
        <v>Allocation</v>
      </c>
      <c r="B571" t="str">
        <f>IFERROR(__xludf.DUMMYFUNCTION("""COMPUTED_VALUE"""),"AllocateWithPopUp")</f>
        <v>AllocateWithPopUp</v>
      </c>
      <c r="C571" t="str">
        <f>IFERROR(__xludf.DUMMYFUNCTION("""COMPUTED_VALUE"""),"1ujrr9fe1BF5zNwGm3FQX-VQGjnK8-GTda2InZicXhr0")</f>
        <v>1ujrr9fe1BF5zNwGm3FQX-VQGjnK8-GTda2InZicXhr0</v>
      </c>
    </row>
    <row r="572" ht="15.75" customHeight="1">
      <c r="A572" t="str">
        <f>IFERROR(__xludf.DUMMYFUNCTION("""COMPUTED_VALUE"""),"TradingTicket")</f>
        <v>TradingTicket</v>
      </c>
      <c r="B572" t="str">
        <f>IFERROR(__xludf.DUMMYFUNCTION("""COMPUTED_VALUE"""),"CreateNewSubLiveOrder")</f>
        <v>CreateNewSubLiveOrder</v>
      </c>
      <c r="C572" t="str">
        <f>IFERROR(__xludf.DUMMYFUNCTION("""COMPUTED_VALUE"""),"1VZ3yefl1NzzIoTT3B2uyDuSCt5Koeutvqcmf9ljJY2s")</f>
        <v>1VZ3yefl1NzzIoTT3B2uyDuSCt5Koeutvqcmf9ljJY2s</v>
      </c>
    </row>
    <row r="573" ht="15.75" customHeight="1">
      <c r="A573" t="str">
        <f>IFERROR(__xludf.DUMMYFUNCTION("""COMPUTED_VALUE"""),"Blotter")</f>
        <v>Blotter</v>
      </c>
      <c r="B573" t="str">
        <f>IFERROR(__xludf.DUMMYFUNCTION("""COMPUTED_VALUE"""),"ViewPTTAllocationDetails")</f>
        <v>ViewPTTAllocationDetails</v>
      </c>
      <c r="C573" t="str">
        <f>IFERROR(__xludf.DUMMYFUNCTION("""COMPUTED_VALUE"""),"1zhdc8S2ATpongUWtw4_n_Ao2z4dmVK8NaK3KnXEZcVs")</f>
        <v>1zhdc8S2ATpongUWtw4_n_Ao2z4dmVK8NaK3KnXEZcVs</v>
      </c>
    </row>
    <row r="574" ht="15.75" customHeight="1">
      <c r="A574" t="str">
        <f>IFERROR(__xludf.DUMMYFUNCTION("""COMPUTED_VALUE"""),"Admin")</f>
        <v>Admin</v>
      </c>
      <c r="B574" t="str">
        <f>IFERROR(__xludf.DUMMYFUNCTION("""COMPUTED_VALUE"""),"RestartSQL")</f>
        <v>RestartSQL</v>
      </c>
      <c r="C574" t="str">
        <f>IFERROR(__xludf.DUMMYFUNCTION("""COMPUTED_VALUE"""),"1Tf2tkH3voMf7Bddd7JKWvwpP_UlMk-ToxSdRxfAD0jM")</f>
        <v>1Tf2tkH3voMf7Bddd7JKWvwpP_UlMk-ToxSdRxfAD0jM</v>
      </c>
    </row>
    <row r="575" ht="15.75" customHeight="1">
      <c r="A575" t="str">
        <f>IFERROR(__xludf.DUMMYFUNCTION("""COMPUTED_VALUE"""),"Admin")</f>
        <v>Admin</v>
      </c>
      <c r="B575" t="str">
        <f>IFERROR(__xludf.DUMMYFUNCTION("""COMPUTED_VALUE"""),"TradeAuditCleanUp")</f>
        <v>TradeAuditCleanUp</v>
      </c>
      <c r="C575" t="str">
        <f>IFERROR(__xludf.DUMMYFUNCTION("""COMPUTED_VALUE"""),"1I5ypN0xJd-5h0D0FV3MNW12oOCuKLopQXeYbU4uymsQ")</f>
        <v>1I5ypN0xJd-5h0D0FV3MNW12oOCuKLopQXeYbU4uymsQ</v>
      </c>
    </row>
    <row r="576" ht="15.75" customHeight="1">
      <c r="A576" t="str">
        <f>IFERROR(__xludf.DUMMYFUNCTION("""COMPUTED_VALUE"""),"Import")</f>
        <v>Import</v>
      </c>
      <c r="B576" t="str">
        <f>IFERROR(__xludf.DUMMYFUNCTION("""COMPUTED_VALUE"""),"SelectTradeOnImport")</f>
        <v>SelectTradeOnImport</v>
      </c>
      <c r="C576" t="str">
        <f>IFERROR(__xludf.DUMMYFUNCTION("""COMPUTED_VALUE"""),"1HjUosyUubSyBTOoMjfoEXPhhuwTE0zxlMg_E5M-35KI")</f>
        <v>1HjUosyUubSyBTOoMjfoEXPhhuwTE0zxlMg_E5M-35KI</v>
      </c>
    </row>
    <row r="577" ht="15.75" customHeight="1">
      <c r="A577" t="str">
        <f>IFERROR(__xludf.DUMMYFUNCTION("""COMPUTED_VALUE"""),"Allocation")</f>
        <v>Allocation</v>
      </c>
      <c r="B577" t="str">
        <f>IFERROR(__xludf.DUMMYFUNCTION("""COMPUTED_VALUE"""),"SelectAllRowsAllocated")</f>
        <v>SelectAllRowsAllocated</v>
      </c>
      <c r="C577" t="str">
        <f>IFERROR(__xludf.DUMMYFUNCTION("""COMPUTED_VALUE"""),"Undefined")</f>
        <v>Undefined</v>
      </c>
    </row>
    <row r="578" ht="15.75" customHeight="1">
      <c r="A578" t="str">
        <f>IFERROR(__xludf.DUMMYFUNCTION("""COMPUTED_VALUE"""),"Closing")</f>
        <v>Closing</v>
      </c>
      <c r="B578" t="str">
        <f>IFERROR(__xludf.DUMMYFUNCTION("""COMPUTED_VALUE"""),"FilterLongPositionGrid")</f>
        <v>FilterLongPositionGrid</v>
      </c>
      <c r="C578" t="str">
        <f>IFERROR(__xludf.DUMMYFUNCTION("""COMPUTED_VALUE"""),"1ntkjcw7jS8fAkXNT1tS7ljnkeomzfYY3hPmh4aD_sAA")</f>
        <v>1ntkjcw7jS8fAkXNT1tS7ljnkeomzfYY3hPmh4aD_sAA</v>
      </c>
    </row>
    <row r="579" ht="15.75" customHeight="1">
      <c r="A579" t="str">
        <f>IFERROR(__xludf.DUMMYFUNCTION("""COMPUTED_VALUE"""),"Closing")</f>
        <v>Closing</v>
      </c>
      <c r="B579" t="str">
        <f>IFERROR(__xludf.DUMMYFUNCTION("""COMPUTED_VALUE"""),"FilterShortPositionGrid")</f>
        <v>FilterShortPositionGrid</v>
      </c>
      <c r="C579" t="str">
        <f>IFERROR(__xludf.DUMMYFUNCTION("""COMPUTED_VALUE"""),"1fmfWmLW7JtnC3QwQKE2SYNBjpfVryomKbf8dddB6uHo")</f>
        <v>1fmfWmLW7JtnC3QwQKE2SYNBjpfVryomKbf8dddB6uHo</v>
      </c>
    </row>
    <row r="580" ht="15.75" customHeight="1">
      <c r="A580" t="str">
        <f>IFERROR(__xludf.DUMMYFUNCTION("""COMPUTED_VALUE"""),"Closing")</f>
        <v>Closing</v>
      </c>
      <c r="B580" t="str">
        <f>IFERROR(__xludf.DUMMYFUNCTION("""COMPUTED_VALUE"""),"FilterClosingGrid")</f>
        <v>FilterClosingGrid</v>
      </c>
      <c r="C580" t="str">
        <f>IFERROR(__xludf.DUMMYFUNCTION("""COMPUTED_VALUE"""),"1z_Tn21iZAmnP5WjmCfyv2uDZQ6_QCU53OGLuDkx8Oc4")</f>
        <v>1z_Tn21iZAmnP5WjmCfyv2uDZQ6_QCU53OGLuDkx8Oc4</v>
      </c>
    </row>
    <row r="581" ht="15.75" customHeight="1">
      <c r="A581" t="str">
        <f>IFERROR(__xludf.DUMMYFUNCTION("""COMPUTED_VALUE"""),"Closing")</f>
        <v>Closing</v>
      </c>
      <c r="B581" t="str">
        <f>IFERROR(__xludf.DUMMYFUNCTION("""COMPUTED_VALUE"""),"FilterUnexpiredGrid")</f>
        <v>FilterUnexpiredGrid</v>
      </c>
      <c r="C581" t="str">
        <f>IFERROR(__xludf.DUMMYFUNCTION("""COMPUTED_VALUE"""),"1xZ1BV6Hh4RBWqJJnN_kJeyL0fwG7Ahrr3S06JFmSoYg")</f>
        <v>1xZ1BV6Hh4RBWqJJnN_kJeyL0fwG7Ahrr3S06JFmSoYg</v>
      </c>
    </row>
    <row r="582" ht="15.75" customHeight="1">
      <c r="A582" t="str">
        <f>IFERROR(__xludf.DUMMYFUNCTION("""COMPUTED_VALUE"""),"Closing")</f>
        <v>Closing</v>
      </c>
      <c r="B582" t="str">
        <f>IFERROR(__xludf.DUMMYFUNCTION("""COMPUTED_VALUE"""),"FilterExpiredGrid")</f>
        <v>FilterExpiredGrid</v>
      </c>
      <c r="C582" t="str">
        <f>IFERROR(__xludf.DUMMYFUNCTION("""COMPUTED_VALUE"""),"1wHqenR3Gam1p0PqW3aulNwmgLPY_UioCzlLWNtUNPfA")</f>
        <v>1wHqenR3Gam1p0PqW3aulNwmgLPY_UioCzlLWNtUNPfA</v>
      </c>
    </row>
    <row r="583" ht="15.75" customHeight="1">
      <c r="A583" t="str">
        <f>IFERROR(__xludf.DUMMYFUNCTION("""COMPUTED_VALUE"""),"GeneralLedger")</f>
        <v>GeneralLedger</v>
      </c>
      <c r="B583" t="str">
        <f>IFERROR(__xludf.DUMMYFUNCTION("""COMPUTED_VALUE"""),"FilterCashTransactionGrid")</f>
        <v>FilterCashTransactionGrid</v>
      </c>
      <c r="C583" t="str">
        <f>IFERROR(__xludf.DUMMYFUNCTION("""COMPUTED_VALUE"""),"1dC0jq3TP8OpNNJ8iqYrIIpx_-wGyka9u3QG_vMPR6Jk")</f>
        <v>1dC0jq3TP8OpNNJ8iqYrIIpx_-wGyka9u3QG_vMPR6Jk</v>
      </c>
    </row>
    <row r="584" ht="15.75" customHeight="1">
      <c r="A584" t="str">
        <f>IFERROR(__xludf.DUMMYFUNCTION("""COMPUTED_VALUE"""),"Recon")</f>
        <v>Recon</v>
      </c>
      <c r="B584" t="str">
        <f>IFERROR(__xludf.DUMMYFUNCTION("""COMPUTED_VALUE"""),"VerifyApplicationData")</f>
        <v>VerifyApplicationData</v>
      </c>
      <c r="C584" t="str">
        <f>IFERROR(__xludf.DUMMYFUNCTION("""COMPUTED_VALUE"""),"12uaBilYuoqtrRW6_HDDP48tS7_jnEsipPeSiI04cKsU")</f>
        <v>12uaBilYuoqtrRW6_HDDP48tS7_jnEsipPeSiI04cKsU</v>
      </c>
    </row>
    <row r="585" ht="15.75" customHeight="1">
      <c r="A585" t="str">
        <f>IFERROR(__xludf.DUMMYFUNCTION("""COMPUTED_VALUE"""),"GeneralLedger")</f>
        <v>GeneralLedger</v>
      </c>
      <c r="B585" t="str">
        <f>IFERROR(__xludf.DUMMYFUNCTION("""COMPUTED_VALUE"""),"EditGridCashTransactions")</f>
        <v>EditGridCashTransactions</v>
      </c>
      <c r="C585" t="str">
        <f>IFERROR(__xludf.DUMMYFUNCTION("""COMPUTED_VALUE"""),"1DbIO0VY7xpdEigO0mZ-XsVT568tgFmOXTwVpApe1exI")</f>
        <v>1DbIO0VY7xpdEigO0mZ-XsVT568tgFmOXTwVpApe1exI</v>
      </c>
    </row>
    <row r="586" ht="15.75" customHeight="1">
      <c r="A586" t="str">
        <f>IFERROR(__xludf.DUMMYFUNCTION("""COMPUTED_VALUE"""),"Closing")</f>
        <v>Closing</v>
      </c>
      <c r="B586" t="str">
        <f>IFERROR(__xludf.DUMMYFUNCTION("""COMPUTED_VALUE"""),"UnwindAllClosingData")</f>
        <v>UnwindAllClosingData</v>
      </c>
      <c r="C586" t="str">
        <f>IFERROR(__xludf.DUMMYFUNCTION("""COMPUTED_VALUE"""),"1LaX9icgrLb7UfkgW9ctd7uQhtirYerCxwOcdswi3qJ4")</f>
        <v>1LaX9icgrLb7UfkgW9ctd7uQhtirYerCxwOcdswi3qJ4</v>
      </c>
    </row>
    <row r="587" ht="15.75" customHeight="1">
      <c r="A587" t="str">
        <f>IFERROR(__xludf.DUMMYFUNCTION("""COMPUTED_VALUE"""),"GeneralLedger")</f>
        <v>GeneralLedger</v>
      </c>
      <c r="B587" t="str">
        <f>IFERROR(__xludf.DUMMYFUNCTION("""COMPUTED_VALUE"""),"SaveCashTransaction")</f>
        <v>SaveCashTransaction</v>
      </c>
      <c r="C587" t="str">
        <f>IFERROR(__xludf.DUMMYFUNCTION("""COMPUTED_VALUE"""),"1C9P1HbY6Ro9lyEQ5ZR0swuE8ZsndB32hjwqmgHAPO48")</f>
        <v>1C9P1HbY6Ro9lyEQ5ZR0swuE8ZsndB32hjwqmgHAPO48</v>
      </c>
    </row>
    <row r="588" ht="15.75" customHeight="1">
      <c r="A588" t="str">
        <f>IFERROR(__xludf.DUMMYFUNCTION("""COMPUTED_VALUE"""),"ThirdParty")</f>
        <v>ThirdParty</v>
      </c>
      <c r="B588" t="str">
        <f>IFERROR(__xludf.DUMMYFUNCTION("""COMPUTED_VALUE"""),"ChangeThirdpartyDate")</f>
        <v>ChangeThirdpartyDate</v>
      </c>
      <c r="C588" t="str">
        <f>IFERROR(__xludf.DUMMYFUNCTION("""COMPUTED_VALUE"""),"1r1jHbvFBzvHIf55vHWyS1tZHMjEnQ-JSG4wuNkUdo8w")</f>
        <v>1r1jHbvFBzvHIf55vHWyS1tZHMjEnQ-JSG4wuNkUdo8w</v>
      </c>
    </row>
    <row r="589" ht="15.75" customHeight="1">
      <c r="A589" t="str">
        <f>IFERROR(__xludf.DUMMYFUNCTION("""COMPUTED_VALUE"""),"GeneralLedger")</f>
        <v>GeneralLedger</v>
      </c>
      <c r="B589" t="str">
        <f>IFERROR(__xludf.DUMMYFUNCTION("""COMPUTED_VALUE"""),"RunManualRevaluation")</f>
        <v>RunManualRevaluation</v>
      </c>
      <c r="C589" t="str">
        <f>IFERROR(__xludf.DUMMYFUNCTION("""COMPUTED_VALUE"""),"1IpFI6-6JOwbL8gM-udQe1oYtIYXeEUX23ACYlbw7CAY")</f>
        <v>1IpFI6-6JOwbL8gM-udQe1oYtIYXeEUX23ACYlbw7CAY</v>
      </c>
    </row>
    <row r="590" ht="15.75" customHeight="1">
      <c r="A590" t="str">
        <f>IFERROR(__xludf.DUMMYFUNCTION("""COMPUTED_VALUE"""),"SymbolLookup")</f>
        <v>SymbolLookup</v>
      </c>
      <c r="B590" t="str">
        <f>IFERROR(__xludf.DUMMYFUNCTION("""COMPUTED_VALUE"""),"AddSymbol")</f>
        <v>AddSymbol</v>
      </c>
      <c r="C590" t="str">
        <f>IFERROR(__xludf.DUMMYFUNCTION("""COMPUTED_VALUE"""),"1PUyWc_VM13xLUcyQtECH7mYIvYQznLYdEjD41p5ATvo")</f>
        <v>1PUyWc_VM13xLUcyQtECH7mYIvYQznLYdEjD41p5ATvo</v>
      </c>
    </row>
    <row r="591" ht="15.75" customHeight="1">
      <c r="A591" t="str">
        <f>IFERROR(__xludf.DUMMYFUNCTION("""COMPUTED_VALUE"""),"Admin")</f>
        <v>Admin</v>
      </c>
      <c r="B591" t="str">
        <f>IFERROR(__xludf.DUMMYFUNCTION("""COMPUTED_VALUE"""),"DeleteSymbolFromSM")</f>
        <v>DeleteSymbolFromSM</v>
      </c>
      <c r="C591" t="str">
        <f>IFERROR(__xludf.DUMMYFUNCTION("""COMPUTED_VALUE"""),"1UQGi8IiCImUPn2i6EU0ofTcyy_2hwKGgHnjxdlRJD1s")</f>
        <v>1UQGi8IiCImUPn2i6EU0ofTcyy_2hwKGgHnjxdlRJD1s</v>
      </c>
    </row>
    <row r="592" ht="15.75" customHeight="1">
      <c r="A592" t="str">
        <f>IFERROR(__xludf.DUMMYFUNCTION("""COMPUTED_VALUE"""),"Watchlist")</f>
        <v>Watchlist</v>
      </c>
      <c r="B592" t="str">
        <f>IFERROR(__xludf.DUMMYFUNCTION("""COMPUTED_VALUE"""),"AddSymbolToWatchlist")</f>
        <v>AddSymbolToWatchlist</v>
      </c>
      <c r="C592" t="str">
        <f>IFERROR(__xludf.DUMMYFUNCTION("""COMPUTED_VALUE"""),"1CWvtsX9WRwgsY7IPC9XXmj-zkwapfAoP4tauSGybyb8")</f>
        <v>1CWvtsX9WRwgsY7IPC9XXmj-zkwapfAoP4tauSGybyb8</v>
      </c>
    </row>
    <row r="593" ht="15.75" customHeight="1">
      <c r="A593" t="str">
        <f>IFERROR(__xludf.DUMMYFUNCTION("""COMPUTED_VALUE"""),"Watchlist")</f>
        <v>Watchlist</v>
      </c>
      <c r="B593" t="str">
        <f>IFERROR(__xludf.DUMMYFUNCTION("""COMPUTED_VALUE"""),"TradeFromWatchlist")</f>
        <v>TradeFromWatchlist</v>
      </c>
      <c r="C593" t="str">
        <f>IFERROR(__xludf.DUMMYFUNCTION("""COMPUTED_VALUE"""),"1_gr9yAcv8XFCvsAga7kXC2kGLcr4Um8jwnsOhyTDua8")</f>
        <v>1_gr9yAcv8XFCvsAga7kXC2kGLcr4Um8jwnsOhyTDua8</v>
      </c>
    </row>
    <row r="594" ht="15.75" customHeight="1">
      <c r="A594" t="str">
        <f>IFERROR(__xludf.DUMMYFUNCTION("""COMPUTED_VALUE"""),"Watchlist")</f>
        <v>Watchlist</v>
      </c>
      <c r="B594" t="str">
        <f>IFERROR(__xludf.DUMMYFUNCTION("""COMPUTED_VALUE"""),"MultiTradeFromWatchlist")</f>
        <v>MultiTradeFromWatchlist</v>
      </c>
      <c r="C594" t="str">
        <f>IFERROR(__xludf.DUMMYFUNCTION("""COMPUTED_VALUE"""),"1rHIT8qxxt2ksNiLFI6Ig6ZXBYvp7yIuHfgc6AYFwYbs")</f>
        <v>1rHIT8qxxt2ksNiLFI6Ig6ZXBYvp7yIuHfgc6AYFwYbs</v>
      </c>
    </row>
    <row r="595" ht="15.75" customHeight="1">
      <c r="A595" t="str">
        <f>IFERROR(__xludf.DUMMYFUNCTION("""COMPUTED_VALUE"""),"Watchlist")</f>
        <v>Watchlist</v>
      </c>
      <c r="B595" t="str">
        <f>IFERROR(__xludf.DUMMYFUNCTION("""COMPUTED_VALUE"""),"DeleteSymbolFromWatchlist")</f>
        <v>DeleteSymbolFromWatchlist</v>
      </c>
      <c r="C595" t="str">
        <f>IFERROR(__xludf.DUMMYFUNCTION("""COMPUTED_VALUE"""),"1dTWLDYGXBeQl6LezEPzd60kFiyaea6looT7M4rwMv2I")</f>
        <v>1dTWLDYGXBeQl6LezEPzd60kFiyaea6looT7M4rwMv2I</v>
      </c>
    </row>
    <row r="596" ht="15.75" customHeight="1">
      <c r="A596" t="str">
        <f>IFERROR(__xludf.DUMMYFUNCTION("""COMPUTED_VALUE"""),"Watchlist")</f>
        <v>Watchlist</v>
      </c>
      <c r="B596" t="str">
        <f>IFERROR(__xludf.DUMMYFUNCTION("""COMPUTED_VALUE"""),"VerifySymbolsOnWatchlist")</f>
        <v>VerifySymbolsOnWatchlist</v>
      </c>
      <c r="C596" t="str">
        <f>IFERROR(__xludf.DUMMYFUNCTION("""COMPUTED_VALUE"""),"1znuLT8W_GL5u40WjJBKcPVMDYjEc2dCFxwQ_2yTGzRk")</f>
        <v>1znuLT8W_GL5u40WjJBKcPVMDYjEc2dCFxwQ_2yTGzRk</v>
      </c>
    </row>
    <row r="597" ht="15.75" customHeight="1">
      <c r="A597" t="str">
        <f>IFERROR(__xludf.DUMMYFUNCTION("""COMPUTED_VALUE"""),"Recon")</f>
        <v>Recon</v>
      </c>
      <c r="B597" t="str">
        <f>IFERROR(__xludf.DUMMYFUNCTION("""COMPUTED_VALUE"""),"VerifyAppMatchedData")</f>
        <v>VerifyAppMatchedData</v>
      </c>
      <c r="C597" t="str">
        <f>IFERROR(__xludf.DUMMYFUNCTION("""COMPUTED_VALUE"""),"1FcLdR_WnLZQHNZAb7fo31xvViPBiukK-X3k3IfDUT5E")</f>
        <v>1FcLdR_WnLZQHNZAb7fo31xvViPBiukK-X3k3IfDUT5E</v>
      </c>
    </row>
    <row r="598" ht="15.75" customHeight="1">
      <c r="A598" t="str">
        <f>IFERROR(__xludf.DUMMYFUNCTION("""COMPUTED_VALUE"""),"Recon")</f>
        <v>Recon</v>
      </c>
      <c r="B598" t="str">
        <f>IFERROR(__xludf.DUMMYFUNCTION("""COMPUTED_VALUE"""),"VerifyAppUnmatchedData")</f>
        <v>VerifyAppUnmatchedData</v>
      </c>
      <c r="C598" t="str">
        <f>IFERROR(__xludf.DUMMYFUNCTION("""COMPUTED_VALUE"""),"1xeVMiuwuNo3S6RUbUKWd8vGC2KydXNR7P51U89_3Yj4")</f>
        <v>1xeVMiuwuNo3S6RUbUKWd8vGC2KydXNR7P51U89_3Yj4</v>
      </c>
    </row>
    <row r="599" ht="15.75" customHeight="1">
      <c r="A599" t="str">
        <f>IFERROR(__xludf.DUMMYFUNCTION("""COMPUTED_VALUE"""),"Recon")</f>
        <v>Recon</v>
      </c>
      <c r="B599" t="str">
        <f>IFERROR(__xludf.DUMMYFUNCTION("""COMPUTED_VALUE"""),"VerifyPBMatchedData")</f>
        <v>VerifyPBMatchedData</v>
      </c>
      <c r="C599" t="str">
        <f>IFERROR(__xludf.DUMMYFUNCTION("""COMPUTED_VALUE"""),"1Wf4tlPp9DuAnbeTQJSJP1jFGY3nQl4LX2Px79JxbDdo")</f>
        <v>1Wf4tlPp9DuAnbeTQJSJP1jFGY3nQl4LX2Px79JxbDdo</v>
      </c>
    </row>
    <row r="600" ht="15.75" customHeight="1">
      <c r="A600" t="str">
        <f>IFERROR(__xludf.DUMMYFUNCTION("""COMPUTED_VALUE"""),"Recon")</f>
        <v>Recon</v>
      </c>
      <c r="B600" t="str">
        <f>IFERROR(__xludf.DUMMYFUNCTION("""COMPUTED_VALUE"""),"VerifyPBUnmatchedData")</f>
        <v>VerifyPBUnmatchedData</v>
      </c>
      <c r="C600" t="str">
        <f>IFERROR(__xludf.DUMMYFUNCTION("""COMPUTED_VALUE"""),"1SyeWrX5C-iBb5GKLRjVajC7dDI8Z7jALI4Z_58qM1t0")</f>
        <v>1SyeWrX5C-iBb5GKLRjVajC7dDI8Z7jALI4Z_58qM1t0</v>
      </c>
    </row>
    <row r="601" ht="15.75" customHeight="1">
      <c r="A601" t="str">
        <f>IFERROR(__xludf.DUMMYFUNCTION("""COMPUTED_VALUE"""),"QTT")</f>
        <v>QTT</v>
      </c>
      <c r="B601" t="str">
        <f>IFERROR(__xludf.DUMMYFUNCTION("""COMPUTED_VALUE"""),"OpenQtt")</f>
        <v>OpenQtt</v>
      </c>
      <c r="C601" t="str">
        <f>IFERROR(__xludf.DUMMYFUNCTION("""COMPUTED_VALUE"""),"1fxUsSbuYzzoFKbiPI8jP3qpfTtLIg38iXf_eO_-wiMQ")</f>
        <v>1fxUsSbuYzzoFKbiPI8jP3qpfTtLIg38iXf_eO_-wiMQ</v>
      </c>
    </row>
    <row r="602" ht="15.75" customHeight="1">
      <c r="A602" t="str">
        <f>IFERROR(__xludf.DUMMYFUNCTION("""COMPUTED_VALUE"""),"QTT")</f>
        <v>QTT</v>
      </c>
      <c r="B602" t="str">
        <f>IFERROR(__xludf.DUMMYFUNCTION("""COMPUTED_VALUE"""),"TradeFromQTT")</f>
        <v>TradeFromQTT</v>
      </c>
      <c r="C602" t="str">
        <f>IFERROR(__xludf.DUMMYFUNCTION("""COMPUTED_VALUE"""),"1c8z9uEtlJwmoxKTHOI7GTZUAANw-oZmQlhfT_OI-_oE")</f>
        <v>1c8z9uEtlJwmoxKTHOI7GTZUAANw-oZmQlhfT_OI-_oE</v>
      </c>
    </row>
    <row r="603" ht="15.75" customHeight="1">
      <c r="A603" t="str">
        <f>IFERROR(__xludf.DUMMYFUNCTION("""COMPUTED_VALUE"""),"TradingTicket")</f>
        <v>TradingTicket</v>
      </c>
      <c r="B603" t="str">
        <f>IFERROR(__xludf.DUMMYFUNCTION("""COMPUTED_VALUE"""),"VerifyBasketExport")</f>
        <v>VerifyBasketExport</v>
      </c>
      <c r="C603" t="str">
        <f>IFERROR(__xludf.DUMMYFUNCTION("""COMPUTED_VALUE"""),"1BncbZbC0fRvgdJBGqgOpno2NiNysxguEOKqQ_wx4rRM")</f>
        <v>1BncbZbC0fRvgdJBGqgOpno2NiNysxguEOKqQ_wx4rRM</v>
      </c>
    </row>
    <row r="604" ht="15.75" customHeight="1">
      <c r="A604" t="str">
        <f>IFERROR(__xludf.DUMMYFUNCTION("""COMPUTED_VALUE"""),"Admin")</f>
        <v>Admin</v>
      </c>
      <c r="B604" t="str">
        <f>IFERROR(__xludf.DUMMYFUNCTION("""COMPUTED_VALUE"""),"SetCompliancePermission")</f>
        <v>SetCompliancePermission</v>
      </c>
      <c r="C604" t="str">
        <f>IFERROR(__xludf.DUMMYFUNCTION("""COMPUTED_VALUE"""),"1-pNim8pz7Yv4cffmGN5HGGavnpzLzpq_5kA4AE20NYM")</f>
        <v>1-pNim8pz7Yv4cffmGN5HGGavnpzLzpq_5kA4AE20NYM</v>
      </c>
    </row>
    <row r="605" ht="15.75" customHeight="1">
      <c r="A605" t="str">
        <f>IFERROR(__xludf.DUMMYFUNCTION("""COMPUTED_VALUE"""),"Compliance")</f>
        <v>Compliance</v>
      </c>
      <c r="B605" t="str">
        <f>IFERROR(__xludf.DUMMYFUNCTION("""COMPUTED_VALUE"""),"ApproveorRejectpendingapproval")</f>
        <v>ApproveorRejectpendingapproval</v>
      </c>
      <c r="C605" t="str">
        <f>IFERROR(__xludf.DUMMYFUNCTION("""COMPUTED_VALUE"""),"1UhtKaIOSsaBasxqY3sKs-yzcdn7UYylLMA_S4p_LSUg")</f>
        <v>1UhtKaIOSsaBasxqY3sKs-yzcdn7UYylLMA_S4p_LSUg</v>
      </c>
    </row>
    <row r="606" ht="15.75" customHeight="1">
      <c r="A606" t="str">
        <f>IFERROR(__xludf.DUMMYFUNCTION("""COMPUTED_VALUE"""),"Compliance")</f>
        <v>Compliance</v>
      </c>
      <c r="B606" t="str">
        <f>IFERROR(__xludf.DUMMYFUNCTION("""COMPUTED_VALUE"""),"VerifyAlertHistory")</f>
        <v>VerifyAlertHistory</v>
      </c>
      <c r="C606" t="str">
        <f>IFERROR(__xludf.DUMMYFUNCTION("""COMPUTED_VALUE"""),"1ygGptXUyfzDQoJvkfgVUkPUYd4xHQRbgZPB1q7Mq4kI")</f>
        <v>1ygGptXUyfzDQoJvkfgVUkPUYd4xHQRbgZPB1q7Mq4kI</v>
      </c>
    </row>
    <row r="607" ht="15.75" customHeight="1">
      <c r="A607" t="str">
        <f>IFERROR(__xludf.DUMMYFUNCTION("""COMPUTED_VALUE"""),"Blotter")</f>
        <v>Blotter</v>
      </c>
      <c r="B607" t="str">
        <f>IFERROR(__xludf.DUMMYFUNCTION("""COMPUTED_VALUE"""),"MergeOrder")</f>
        <v>MergeOrder</v>
      </c>
      <c r="C607" t="str">
        <f>IFERROR(__xludf.DUMMYFUNCTION("""COMPUTED_VALUE"""),"1kwyTwH_g61zdsuJMhxqb6Maa6M29IITtQgDUPkSqCfI")</f>
        <v>1kwyTwH_g61zdsuJMhxqb6Maa6M29IITtQgDUPkSqCfI</v>
      </c>
    </row>
    <row r="608" ht="15.75" customHeight="1">
      <c r="A608" t="str">
        <f>IFERROR(__xludf.DUMMYFUNCTION("""COMPUTED_VALUE"""),"Blotter")</f>
        <v>Blotter</v>
      </c>
      <c r="B608" t="str">
        <f>IFERROR(__xludf.DUMMYFUNCTION("""COMPUTED_VALUE"""),"VerifyMergeOrder")</f>
        <v>VerifyMergeOrder</v>
      </c>
      <c r="C608" t="str">
        <f>IFERROR(__xludf.DUMMYFUNCTION("""COMPUTED_VALUE"""),"1dgPXerDnGponQg7QoRz9zJh5jFCq9rY4gVQkfW6ueRs")</f>
        <v>1dgPXerDnGponQg7QoRz9zJh5jFCq9rY4gVQkfW6ueRs</v>
      </c>
    </row>
    <row r="609" ht="15.75" customHeight="1">
      <c r="A609" t="str">
        <f>IFERROR(__xludf.DUMMYFUNCTION("""COMPUTED_VALUE"""),"Blotter")</f>
        <v>Blotter</v>
      </c>
      <c r="B609" t="str">
        <f>IFERROR(__xludf.DUMMYFUNCTION("""COMPUTED_VALUE"""),"AddTabBlotter")</f>
        <v>AddTabBlotter</v>
      </c>
      <c r="C609" t="str">
        <f>IFERROR(__xludf.DUMMYFUNCTION("""COMPUTED_VALUE"""),"1-HZoUz8p44kRmIYxeitmY0y8sxzMyURZWzTS0g37nzA")</f>
        <v>1-HZoUz8p44kRmIYxeitmY0y8sxzMyURZWzTS0g37nzA</v>
      </c>
    </row>
    <row r="610" ht="15.75" customHeight="1">
      <c r="A610" t="str">
        <f>IFERROR(__xludf.DUMMYFUNCTION("""COMPUTED_VALUE"""),"Rebalancer")</f>
        <v>Rebalancer</v>
      </c>
      <c r="B610" t="str">
        <f>IFERROR(__xludf.DUMMYFUNCTION("""COMPUTED_VALUE"""),"CloseRebalancer")</f>
        <v>CloseRebalancer</v>
      </c>
      <c r="C610" t="str">
        <f>IFERROR(__xludf.DUMMYFUNCTION("""COMPUTED_VALUE"""),"Undefined")</f>
        <v>Undefined</v>
      </c>
    </row>
    <row r="611" ht="15.75" customHeight="1">
      <c r="A611" t="str">
        <f>IFERROR(__xludf.DUMMYFUNCTION("""COMPUTED_VALUE"""),"Rebalancer")</f>
        <v>Rebalancer</v>
      </c>
      <c r="B611" t="str">
        <f>IFERROR(__xludf.DUMMYFUNCTION("""COMPUTED_VALUE"""),"AddCustomCashUsingImport")</f>
        <v>AddCustomCashUsingImport</v>
      </c>
      <c r="C611" t="str">
        <f>IFERROR(__xludf.DUMMYFUNCTION("""COMPUTED_VALUE"""),"1O3SOjzGFXrKLUBVExe6mkwP-cW27WQT9G0PcvkNksJc")</f>
        <v>1O3SOjzGFXrKLUBVExe6mkwP-cW27WQT9G0PcvkNksJc</v>
      </c>
    </row>
    <row r="612" ht="15.75" customHeight="1">
      <c r="A612" t="str">
        <f>IFERROR(__xludf.DUMMYFUNCTION("""COMPUTED_VALUE"""),"Rebalancer")</f>
        <v>Rebalancer</v>
      </c>
      <c r="B612" t="str">
        <f>IFERROR(__xludf.DUMMYFUNCTION("""COMPUTED_VALUE"""),"EditRebalanceGrid")</f>
        <v>EditRebalanceGrid</v>
      </c>
      <c r="C612" t="str">
        <f>IFERROR(__xludf.DUMMYFUNCTION("""COMPUTED_VALUE"""),"1E0dJWA33kTyYO_fdwidKBhJ1jMfTMbCADdoV67llPOA")</f>
        <v>1E0dJWA33kTyYO_fdwidKBhJ1jMfTMbCADdoV67llPOA</v>
      </c>
    </row>
    <row r="613" ht="15.75" customHeight="1">
      <c r="A613" t="str">
        <f>IFERROR(__xludf.DUMMYFUNCTION("""COMPUTED_VALUE"""),"DailyValuation")</f>
        <v>DailyValuation</v>
      </c>
      <c r="B613" t="str">
        <f>IFERROR(__xludf.DUMMYFUNCTION("""COMPUTED_VALUE"""),"EnableBlankMarkPrices")</f>
        <v>EnableBlankMarkPrices</v>
      </c>
      <c r="C613" t="str">
        <f>IFERROR(__xludf.DUMMYFUNCTION("""COMPUTED_VALUE"""),"1Lqg6zZCIQgFixPQUaXAjHwB-7OqPvbCOe32Jestm87U")</f>
        <v>1Lqg6zZCIQgFixPQUaXAjHwB-7OqPvbCOe32Jestm87U</v>
      </c>
    </row>
    <row r="614" ht="15.75" customHeight="1">
      <c r="A614" t="str">
        <f>IFERROR(__xludf.DUMMYFUNCTION("""COMPUTED_VALUE"""),"DailyValuation")</f>
        <v>DailyValuation</v>
      </c>
      <c r="B614" t="str">
        <f>IFERROR(__xludf.DUMMYFUNCTION("""COMPUTED_VALUE"""),"UpateSymbolBlankMP")</f>
        <v>UpateSymbolBlankMP</v>
      </c>
      <c r="C614" t="str">
        <f>IFERROR(__xludf.DUMMYFUNCTION("""COMPUTED_VALUE"""),"1kPqUA1eIuSVlgOBITs5CA81FHMww-cIa-anDNa23yuk")</f>
        <v>1kPqUA1eIuSVlgOBITs5CA81FHMww-cIa-anDNa23yuk</v>
      </c>
    </row>
    <row r="615" ht="15.75" customHeight="1">
      <c r="A615" t="str">
        <f>IFERROR(__xludf.DUMMYFUNCTION("""COMPUTED_VALUE"""),"DailyValuation")</f>
        <v>DailyValuation</v>
      </c>
      <c r="B615" t="str">
        <f>IFERROR(__xludf.DUMMYFUNCTION("""COMPUTED_VALUE"""),"UpdateBlankMP")</f>
        <v>UpdateBlankMP</v>
      </c>
      <c r="C615" t="str">
        <f>IFERROR(__xludf.DUMMYFUNCTION("""COMPUTED_VALUE"""),"1ED_HWp6cWhFdSYM9FJ4WIjNK5s9YQ96UM3HY6z7Uego")</f>
        <v>1ED_HWp6cWhFdSYM9FJ4WIjNK5s9YQ96UM3HY6z7Uego</v>
      </c>
    </row>
    <row r="616" ht="15.75" customHeight="1">
      <c r="A616" t="str">
        <f>IFERROR(__xludf.DUMMYFUNCTION("""COMPUTED_VALUE"""),"DailyValuation")</f>
        <v>DailyValuation</v>
      </c>
      <c r="B616" t="str">
        <f>IFERROR(__xludf.DUMMYFUNCTION("""COMPUTED_VALUE"""),"FilterBlankMP")</f>
        <v>FilterBlankMP</v>
      </c>
      <c r="C616" t="str">
        <f>IFERROR(__xludf.DUMMYFUNCTION("""COMPUTED_VALUE"""),"1hie509djkqOqzLwQ7S4lThLSFspiAn7Ow8Bo7rnDW4A")</f>
        <v>1hie509djkqOqzLwQ7S4lThLSFspiAn7Ow8Bo7rnDW4A</v>
      </c>
    </row>
    <row r="617" ht="15.75" customHeight="1">
      <c r="A617" t="str">
        <f>IFERROR(__xludf.DUMMYFUNCTION("""COMPUTED_VALUE"""),"SymbolLookup")</f>
        <v>SymbolLookup</v>
      </c>
      <c r="B617" t="str">
        <f>IFERROR(__xludf.DUMMYFUNCTION("""COMPUTED_VALUE"""),"SelectFromSMGridUI")</f>
        <v>SelectFromSMGridUI</v>
      </c>
      <c r="C617" t="str">
        <f>IFERROR(__xludf.DUMMYFUNCTION("""COMPUTED_VALUE"""),"1PjcRlbekDcLgzexy59Ff3csyLlFtkgjkCABuxqPrIFk")</f>
        <v>1PjcRlbekDcLgzexy59Ff3csyLlFtkgjkCABuxqPrIFk</v>
      </c>
    </row>
    <row r="618" ht="15.75" customHeight="1">
      <c r="A618" t="str">
        <f>IFERROR(__xludf.DUMMYFUNCTION("""COMPUTED_VALUE"""),"SymbolLookup")</f>
        <v>SymbolLookup</v>
      </c>
      <c r="B618" t="str">
        <f>IFERROR(__xludf.DUMMYFUNCTION("""COMPUTED_VALUE"""),"EditSMGridUi")</f>
        <v>EditSMGridUi</v>
      </c>
      <c r="C618" t="str">
        <f>IFERROR(__xludf.DUMMYFUNCTION("""COMPUTED_VALUE"""),"1HrnkYuHLAx8E64bu4fG7IGtnxXUEuwos_yJXHep8Gc0")</f>
        <v>1HrnkYuHLAx8E64bu4fG7IGtnxXUEuwos_yJXHep8Gc0</v>
      </c>
    </row>
    <row r="619" ht="15.75" customHeight="1">
      <c r="A619" t="str">
        <f>IFERROR(__xludf.DUMMYFUNCTION("""COMPUTED_VALUE"""),"Compliance")</f>
        <v>Compliance</v>
      </c>
      <c r="B619" t="str">
        <f>IFERROR(__xludf.DUMMYFUNCTION("""COMPUTED_VALUE"""),"EditInterceptorFile")</f>
        <v>EditInterceptorFile</v>
      </c>
      <c r="C619" t="str">
        <f>IFERROR(__xludf.DUMMYFUNCTION("""COMPUTED_VALUE"""),"1uRm_GGzspf-weRP6J-_7fCGDgJxtBXOqQ0LWy8KA90Q")</f>
        <v>1uRm_GGzspf-weRP6J-_7fCGDgJxtBXOqQ0LWy8KA90Q</v>
      </c>
    </row>
    <row r="620" ht="15.75" customHeight="1">
      <c r="A620" t="str">
        <f>IFERROR(__xludf.DUMMYFUNCTION("""COMPUTED_VALUE"""),"Compliance")</f>
        <v>Compliance</v>
      </c>
      <c r="B620" t="str">
        <f>IFERROR(__xludf.DUMMYFUNCTION("""COMPUTED_VALUE"""),"ReplaceInterceptorFile")</f>
        <v>ReplaceInterceptorFile</v>
      </c>
      <c r="C620" t="str">
        <f>IFERROR(__xludf.DUMMYFUNCTION("""COMPUTED_VALUE"""),"Undefined")</f>
        <v>Undefined</v>
      </c>
    </row>
    <row r="621" ht="15.75" customHeight="1">
      <c r="A621" t="str">
        <f>IFERROR(__xludf.DUMMYFUNCTION("""COMPUTED_VALUE"""),"Blotter")</f>
        <v>Blotter</v>
      </c>
      <c r="B621" t="str">
        <f>IFERROR(__xludf.DUMMYFUNCTION("""COMPUTED_VALUE"""),"VerifyLowerStripBlotterUI")</f>
        <v>VerifyLowerStripBlotterUI</v>
      </c>
      <c r="C621" t="str">
        <f>IFERROR(__xludf.DUMMYFUNCTION("""COMPUTED_VALUE"""),"1YDrduYEvyxQ-ys7ZmzJ1hAFHnVlU4eDnSPUoOeGr_f4")</f>
        <v>1YDrduYEvyxQ-ys7ZmzJ1hAFHnVlU4eDnSPUoOeGr_f4</v>
      </c>
    </row>
    <row r="622" ht="15.75" customHeight="1">
      <c r="A622" t="str">
        <f>IFERROR(__xludf.DUMMYFUNCTION("""COMPUTED_VALUE"""),"Blotter")</f>
        <v>Blotter</v>
      </c>
      <c r="B622" t="str">
        <f>IFERROR(__xludf.DUMMYFUNCTION("""COMPUTED_VALUE"""),"SaveOrRemoveInSummaryTab")</f>
        <v>SaveOrRemoveInSummaryTab</v>
      </c>
      <c r="C622" t="str">
        <f>IFERROR(__xludf.DUMMYFUNCTION("""COMPUTED_VALUE"""),"1w2lTzhhnevYZjNuQsbEfjU06TK5bPsmZrffn3PWjstA")</f>
        <v>1w2lTzhhnevYZjNuQsbEfjU06TK5bPsmZrffn3PWjstA</v>
      </c>
    </row>
    <row r="623" ht="15.75" customHeight="1">
      <c r="A623" t="str">
        <f>IFERROR(__xludf.DUMMYFUNCTION("""COMPUTED_VALUE"""),"Blotter")</f>
        <v>Blotter</v>
      </c>
      <c r="B623" t="str">
        <f>IFERROR(__xludf.DUMMYFUNCTION("""COMPUTED_VALUE"""),"SaveOrRemoveInWorkingSubsTab")</f>
        <v>SaveOrRemoveInWorkingSubsTab</v>
      </c>
      <c r="C623" t="str">
        <f>IFERROR(__xludf.DUMMYFUNCTION("""COMPUTED_VALUE"""),"1pTm3IssLBKuCHCVwzzjA4Y-2hzUGPXPx9Or-EGngy50")</f>
        <v>1pTm3IssLBKuCHCVwzzjA4Y-2hzUGPXPx9Or-EGngy50</v>
      </c>
    </row>
    <row r="624" ht="15.75" customHeight="1">
      <c r="A624" t="str">
        <f>IFERROR(__xludf.DUMMYFUNCTION("""COMPUTED_VALUE"""),"Blotter")</f>
        <v>Blotter</v>
      </c>
      <c r="B624" t="str">
        <f>IFERROR(__xludf.DUMMYFUNCTION("""COMPUTED_VALUE"""),"SelectCheckBoxOnOrderGrid")</f>
        <v>SelectCheckBoxOnOrderGrid</v>
      </c>
      <c r="C624" t="str">
        <f>IFERROR(__xludf.DUMMYFUNCTION("""COMPUTED_VALUE"""),"1pBoTKoxm2i8Grrd5C95OVH3v8ny3DiEsw2du30G_8Og")</f>
        <v>1pBoTKoxm2i8Grrd5C95OVH3v8ny3DiEsw2du30G_8Og</v>
      </c>
    </row>
    <row r="625" ht="15.75" customHeight="1">
      <c r="A625" t="str">
        <f>IFERROR(__xludf.DUMMYFUNCTION("""COMPUTED_VALUE"""),"Compliance")</f>
        <v>Compliance</v>
      </c>
      <c r="B625" t="str">
        <f>IFERROR(__xludf.DUMMYFUNCTION("""COMPUTED_VALUE"""),"RestartReleasesAndServices")</f>
        <v>RestartReleasesAndServices</v>
      </c>
      <c r="C625" t="str">
        <f>IFERROR(__xludf.DUMMYFUNCTION("""COMPUTED_VALUE"""),"19yYT51s3MQyYorKH4wk_SdxFAdVT_LG3M60cam5_IiY")</f>
        <v>19yYT51s3MQyYorKH4wk_SdxFAdVT_LG3M60cam5_IiY</v>
      </c>
    </row>
    <row r="626" ht="15.75" customHeight="1">
      <c r="A626" t="str">
        <f>IFERROR(__xludf.DUMMYFUNCTION("""COMPUTED_VALUE"""),"PTT")</f>
        <v>PTT</v>
      </c>
      <c r="B626" t="str">
        <f>IFERROR(__xludf.DUMMYFUNCTION("""COMPUTED_VALUE"""),"AutoStageImportFromPTTExport")</f>
        <v>AutoStageImportFromPTTExport</v>
      </c>
      <c r="C626" t="str">
        <f>IFERROR(__xludf.DUMMYFUNCTION("""COMPUTED_VALUE"""),"Undefined")</f>
        <v>Undefined</v>
      </c>
    </row>
    <row r="627" ht="15.75" customHeight="1">
      <c r="A627" t="str">
        <f>IFERROR(__xludf.DUMMYFUNCTION("""COMPUTED_VALUE"""),"Closing")</f>
        <v>Closing</v>
      </c>
      <c r="B627" t="str">
        <f>IFERROR(__xludf.DUMMYFUNCTION("""COMPUTED_VALUE"""),"FilterClosing")</f>
        <v>FilterClosing</v>
      </c>
      <c r="C627" t="str">
        <f>IFERROR(__xludf.DUMMYFUNCTION("""COMPUTED_VALUE"""),"1jVBqTixWDU8JyJbGKGBtrJQjm_NeYTaz3wu41AO1fk8")</f>
        <v>1jVBqTixWDU8JyJbGKGBtrJQjm_NeYTaz3wu41AO1fk8</v>
      </c>
    </row>
    <row r="628" ht="15.75" customHeight="1">
      <c r="A628" t="str">
        <f>IFERROR(__xludf.DUMMYFUNCTION("""COMPUTED_VALUE"""),"MultiTradingTicket")</f>
        <v>MultiTradingTicket</v>
      </c>
      <c r="B628" t="str">
        <f>IFERROR(__xludf.DUMMYFUNCTION("""COMPUTED_VALUE"""),"BulkEditUpdateFromMTT")</f>
        <v>BulkEditUpdateFromMTT</v>
      </c>
      <c r="C628" t="str">
        <f>IFERROR(__xludf.DUMMYFUNCTION("""COMPUTED_VALUE"""),"1PXjnQRFWRpATbYq-3yGKHrs-7O07blOuuM8BjzF_UGs")</f>
        <v>1PXjnQRFWRpATbYq-3yGKHrs-7O07blOuuM8BjzF_UGs</v>
      </c>
    </row>
    <row r="629" ht="15.75" customHeight="1">
      <c r="A629" t="str">
        <f>IFERROR(__xludf.DUMMYFUNCTION("""COMPUTED_VALUE"""),"MultiTradingTicket")</f>
        <v>MultiTradingTicket</v>
      </c>
      <c r="B629" t="str">
        <f>IFERROR(__xludf.DUMMYFUNCTION("""COMPUTED_VALUE"""),"BulkChangeCreateStageOrder")</f>
        <v>BulkChangeCreateStageOrder</v>
      </c>
      <c r="C629" t="str">
        <f>IFERROR(__xludf.DUMMYFUNCTION("""COMPUTED_VALUE"""),"1XpPlMHrXIkdrEc4GgpL4YGWBTY6izs1MK6Jy7Z3jR-Q")</f>
        <v>1XpPlMHrXIkdrEc4GgpL4YGWBTY6izs1MK6Jy7Z3jR-Q</v>
      </c>
    </row>
    <row r="630" ht="15.75" customHeight="1">
      <c r="A630" t="str">
        <f>IFERROR(__xludf.DUMMYFUNCTION("""COMPUTED_VALUE"""),"MultiTradingTicket")</f>
        <v>MultiTradingTicket</v>
      </c>
      <c r="B630" t="str">
        <f>IFERROR(__xludf.DUMMYFUNCTION("""COMPUTED_VALUE"""),"BulkUpdateUsingMTT")</f>
        <v>BulkUpdateUsingMTT</v>
      </c>
      <c r="C630" t="str">
        <f>IFERROR(__xludf.DUMMYFUNCTION("""COMPUTED_VALUE"""),"1z5unUI4CMAB-Y1nnow1quueM3t3SDsE_5x7GoqlPJdo")</f>
        <v>1z5unUI4CMAB-Y1nnow1quueM3t3SDsE_5x7GoqlPJdo</v>
      </c>
    </row>
    <row r="631" ht="15.75" customHeight="1">
      <c r="A631" t="str">
        <f>IFERROR(__xludf.DUMMYFUNCTION("""COMPUTED_VALUE"""),"PranaClient")</f>
        <v>PranaClient</v>
      </c>
      <c r="B631" t="str">
        <f>IFERROR(__xludf.DUMMYFUNCTION("""COMPUTED_VALUE"""),"CompareXML")</f>
        <v>CompareXML</v>
      </c>
      <c r="C631" t="str">
        <f>IFERROR(__xludf.DUMMYFUNCTION("""COMPUTED_VALUE"""),"1UbkLLvFc4omZgamtV9FPjYfaLw9XLbjQYRKGGO3lyPE")</f>
        <v>1UbkLLvFc4omZgamtV9FPjYfaLw9XLbjQYRKGGO3lyPE</v>
      </c>
    </row>
    <row r="632" ht="15.75" customHeight="1">
      <c r="A632" t="str">
        <f>IFERROR(__xludf.DUMMYFUNCTION("""COMPUTED_VALUE"""),"Admin")</f>
        <v>Admin</v>
      </c>
      <c r="B632" t="str">
        <f>IFERROR(__xludf.DUMMYFUNCTION("""COMPUTED_VALUE"""),"SetMasterFundOnTT")</f>
        <v>SetMasterFundOnTT</v>
      </c>
      <c r="C632" t="str">
        <f>IFERROR(__xludf.DUMMYFUNCTION("""COMPUTED_VALUE"""),"1LK3f7jczHzLHkY7I_RK-58BnR45KNGpebn0hHO3eSgo")</f>
        <v>1LK3f7jczHzLHkY7I_RK-58BnR45KNGpebn0hHO3eSgo</v>
      </c>
    </row>
    <row r="633" ht="15.75" customHeight="1">
      <c r="A633" t="str">
        <f>IFERROR(__xludf.DUMMYFUNCTION("""COMPUTED_VALUE"""),"TradingTicket")</f>
        <v>TradingTicket</v>
      </c>
      <c r="B633" t="str">
        <f>IFERROR(__xludf.DUMMYFUNCTION("""COMPUTED_VALUE"""),"VerifyCustomAllocationonTT")</f>
        <v>VerifyCustomAllocationonTT</v>
      </c>
      <c r="C633" t="str">
        <f>IFERROR(__xludf.DUMMYFUNCTION("""COMPUTED_VALUE"""),"10ici7f6_wpSFiwpn22nHeSOFsZ1dU_pzk6nMLQKHIRY")</f>
        <v>10ici7f6_wpSFiwpn22nHeSOFsZ1dU_pzk6nMLQKHIRY</v>
      </c>
    </row>
    <row r="634" ht="15.75" customHeight="1">
      <c r="A634" t="str">
        <f>IFERROR(__xludf.DUMMYFUNCTION("""COMPUTED_VALUE"""),"Blotter")</f>
        <v>Blotter</v>
      </c>
      <c r="B634" t="str">
        <f>IFERROR(__xludf.DUMMYFUNCTION("""COMPUTED_VALUE"""),"ReAllocateFromBlotterByAllocate")</f>
        <v>ReAllocateFromBlotterByAllocate</v>
      </c>
      <c r="C634" t="str">
        <f>IFERROR(__xludf.DUMMYFUNCTION("""COMPUTED_VALUE"""),"1RA-PKK7Kzfl_fgl03zAC8sp1VOE9HjaY5EL7ItkPBK4")</f>
        <v>1RA-PKK7Kzfl_fgl03zAC8sp1VOE9HjaY5EL7ItkPBK4</v>
      </c>
    </row>
    <row r="635" ht="15.75" customHeight="1">
      <c r="A635" t="str">
        <f>IFERROR(__xludf.DUMMYFUNCTION("""COMPUTED_VALUE"""),"Simulator")</f>
        <v>Simulator</v>
      </c>
      <c r="B635" t="str">
        <f>IFERROR(__xludf.DUMMYFUNCTION("""COMPUTED_VALUE"""),"VerifyTagInAllFixLogs")</f>
        <v>VerifyTagInAllFixLogs</v>
      </c>
      <c r="C635" t="str">
        <f>IFERROR(__xludf.DUMMYFUNCTION("""COMPUTED_VALUE"""),"1jKDiJYpLWAfkSGRoeJ_liPC1ZaTdCTC5AqjDzj9I61Q")</f>
        <v>1jKDiJYpLWAfkSGRoeJ_liPC1ZaTdCTC5AqjDzj9I61Q</v>
      </c>
    </row>
    <row r="636" ht="15.75" customHeight="1">
      <c r="A636" t="str">
        <f>IFERROR(__xludf.DUMMYFUNCTION("""COMPUTED_VALUE"""),"PranaClient")</f>
        <v>PranaClient</v>
      </c>
      <c r="B636" t="str">
        <f>IFERROR(__xludf.DUMMYFUNCTION("""COMPUTED_VALUE"""),"LoginClient")</f>
        <v>LoginClient</v>
      </c>
      <c r="C636" t="str">
        <f>IFERROR(__xludf.DUMMYFUNCTION("""COMPUTED_VALUE"""),"15s_MBgGJ0dfZ8sabmSGlh8UnFHbnEhlY_4upAbjXzmg")</f>
        <v>15s_MBgGJ0dfZ8sabmSGlh8UnFHbnEhlY_4upAbjXzmg</v>
      </c>
    </row>
    <row r="637" ht="15.75" customHeight="1">
      <c r="A637" t="str">
        <f>IFERROR(__xludf.DUMMYFUNCTION("""COMPUTED_VALUE"""),"PortfolioManagement")</f>
        <v>PortfolioManagement</v>
      </c>
      <c r="B637" t="str">
        <f>IFERROR(__xludf.DUMMYFUNCTION("""COMPUTED_VALUE"""),"SortAndVerifyPM")</f>
        <v>SortAndVerifyPM</v>
      </c>
      <c r="C637" t="str">
        <f>IFERROR(__xludf.DUMMYFUNCTION("""COMPUTED_VALUE"""),"1TqhiATlN6jhyI-VeiodnGdVQyLGZiu97o5NWbxOWr9s")</f>
        <v>1TqhiATlN6jhyI-VeiodnGdVQyLGZiu97o5NWbxOWr9s</v>
      </c>
    </row>
    <row r="638" ht="15.75" customHeight="1">
      <c r="A638" t="str">
        <f>IFERROR(__xludf.DUMMYFUNCTION("""COMPUTED_VALUE"""),"PortfolioManagement")</f>
        <v>PortfolioManagement</v>
      </c>
      <c r="B638" t="str">
        <f>IFERROR(__xludf.DUMMYFUNCTION("""COMPUTED_VALUE"""),"OpenPIFromPM")</f>
        <v>OpenPIFromPM</v>
      </c>
      <c r="C638" t="str">
        <f>IFERROR(__xludf.DUMMYFUNCTION("""COMPUTED_VALUE"""),"1dPK0Rp0k7gPTdi7pAXxULvjivbVrTViWALmSew6wF-0")</f>
        <v>1dPK0Rp0k7gPTdi7pAXxULvjivbVrTViWALmSew6wF-0</v>
      </c>
    </row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F1"/>
  </mergeCells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21.25"/>
    <col customWidth="1" min="2" max="2" width="42.63"/>
    <col customWidth="1" min="3" max="23" width="12.63"/>
  </cols>
  <sheetData>
    <row r="1" ht="15.75" customHeight="1">
      <c r="A1" s="10" t="s">
        <v>2</v>
      </c>
      <c r="B1" s="2"/>
      <c r="C1" s="3"/>
    </row>
    <row r="2" ht="15.75" customHeight="1">
      <c r="A2" s="8"/>
      <c r="B2" s="8"/>
      <c r="C2" s="8"/>
    </row>
    <row r="3" ht="15.75" customHeight="1">
      <c r="A3" s="5" t="s">
        <v>3</v>
      </c>
      <c r="B3" s="11" t="s">
        <v>4</v>
      </c>
      <c r="C3" s="8"/>
    </row>
    <row r="4" ht="15.75" customHeight="1">
      <c r="A4" s="12" t="s">
        <v>5</v>
      </c>
      <c r="B4" s="13" t="s">
        <v>6</v>
      </c>
      <c r="C4" s="8"/>
    </row>
    <row r="5" ht="15.75" customHeight="1">
      <c r="A5" s="14"/>
      <c r="B5" s="8"/>
      <c r="C5" s="8"/>
    </row>
    <row r="6" ht="15.75" customHeight="1">
      <c r="A6" s="14"/>
      <c r="B6" s="8"/>
      <c r="C6" s="8"/>
    </row>
    <row r="7" ht="15.75" customHeight="1">
      <c r="A7" s="14"/>
      <c r="B7" s="8"/>
      <c r="C7" s="8"/>
    </row>
    <row r="8" ht="15.75" customHeight="1">
      <c r="A8" s="14"/>
      <c r="B8" s="8"/>
      <c r="C8" s="8"/>
    </row>
    <row r="9" ht="15.75" customHeight="1">
      <c r="A9" s="14"/>
      <c r="B9" s="8"/>
      <c r="C9" s="8"/>
    </row>
    <row r="10" ht="15.75" customHeight="1">
      <c r="A10" s="14"/>
      <c r="B10" s="8"/>
      <c r="C10" s="8"/>
    </row>
    <row r="11" ht="15.75" customHeight="1">
      <c r="A11" s="14"/>
      <c r="B11" s="8"/>
      <c r="C11" s="8"/>
    </row>
    <row r="12" ht="15.75" customHeight="1">
      <c r="A12" s="14"/>
      <c r="B12" s="8"/>
      <c r="C12" s="8"/>
    </row>
    <row r="13" ht="15.75" customHeight="1">
      <c r="A13" s="14"/>
      <c r="B13" s="8"/>
      <c r="C13" s="8"/>
    </row>
    <row r="14" ht="15.75" customHeight="1">
      <c r="A14" s="14"/>
      <c r="B14" s="8"/>
      <c r="C14" s="8"/>
    </row>
    <row r="15" ht="15.75" customHeight="1">
      <c r="A15" s="14"/>
      <c r="B15" s="8"/>
      <c r="C15" s="8"/>
    </row>
    <row r="16" ht="15.75" customHeight="1">
      <c r="A16" s="14"/>
      <c r="B16" s="8"/>
      <c r="C16" s="8"/>
    </row>
    <row r="17" ht="15.75" customHeight="1">
      <c r="A17" s="14"/>
      <c r="B17" s="8"/>
      <c r="C17" s="8"/>
    </row>
    <row r="18" ht="15.75" customHeight="1">
      <c r="A18" s="14"/>
      <c r="B18" s="8"/>
      <c r="C18" s="8"/>
    </row>
    <row r="19" ht="15.75" customHeight="1">
      <c r="A19" s="14"/>
      <c r="B19" s="8"/>
      <c r="C19" s="8"/>
    </row>
    <row r="20" ht="15.75" customHeight="1">
      <c r="A20" s="14"/>
      <c r="B20" s="8"/>
      <c r="C20" s="8"/>
    </row>
    <row r="21" ht="15.75" customHeight="1">
      <c r="A21" s="14"/>
      <c r="B21" s="8"/>
      <c r="C21" s="8"/>
    </row>
    <row r="22" ht="15.75" customHeight="1">
      <c r="A22" s="14"/>
      <c r="B22" s="8"/>
      <c r="C22" s="8"/>
    </row>
    <row r="23" ht="15.75" customHeight="1"/>
    <row r="24" ht="15.75" customHeight="1"/>
    <row r="25" ht="15.75" customHeight="1"/>
    <row r="26" ht="15.75" customHeight="1"/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  <row r="102" ht="15.75" customHeight="1"/>
    <row r="103" ht="15.75" customHeight="1"/>
    <row r="104" ht="15.75" customHeight="1"/>
    <row r="105" ht="15.75" customHeight="1"/>
    <row r="106" ht="15.75" customHeight="1"/>
    <row r="107" ht="15.75" customHeight="1"/>
    <row r="108" ht="15.75" customHeight="1"/>
    <row r="109" ht="15.75" customHeight="1"/>
    <row r="110" ht="15.75" customHeight="1"/>
    <row r="111" ht="15.75" customHeight="1"/>
    <row r="112" ht="15.75" customHeight="1"/>
    <row r="113" ht="15.75" customHeight="1"/>
    <row r="114" ht="15.75" customHeight="1"/>
    <row r="115" ht="15.75" customHeight="1"/>
    <row r="116" ht="15.75" customHeight="1"/>
    <row r="117" ht="15.75" customHeight="1"/>
    <row r="118" ht="15.75" customHeight="1"/>
    <row r="119" ht="15.75" customHeight="1"/>
    <row r="120" ht="15.75" customHeight="1"/>
    <row r="121" ht="15.75" customHeight="1"/>
    <row r="122" ht="15.75" customHeight="1"/>
    <row r="123" ht="15.75" customHeight="1"/>
    <row r="124" ht="15.75" customHeight="1"/>
    <row r="125" ht="15.75" customHeight="1"/>
    <row r="126" ht="15.75" customHeight="1"/>
    <row r="127" ht="15.75" customHeight="1"/>
    <row r="128" ht="15.75" customHeight="1"/>
    <row r="129" ht="15.75" customHeight="1"/>
    <row r="130" ht="15.75" customHeight="1"/>
    <row r="131" ht="15.75" customHeight="1"/>
    <row r="132" ht="15.75" customHeight="1"/>
    <row r="133" ht="15.75" customHeight="1"/>
    <row r="134" ht="15.75" customHeight="1"/>
    <row r="135" ht="15.75" customHeight="1"/>
    <row r="136" ht="15.75" customHeight="1"/>
    <row r="137" ht="15.75" customHeight="1"/>
    <row r="138" ht="15.75" customHeight="1"/>
    <row r="139" ht="15.75" customHeight="1"/>
    <row r="140" ht="15.75" customHeight="1"/>
    <row r="141" ht="15.75" customHeight="1"/>
    <row r="142" ht="15.75" customHeight="1"/>
    <row r="143" ht="15.75" customHeight="1"/>
    <row r="144" ht="15.75" customHeight="1"/>
    <row r="145" ht="15.75" customHeight="1"/>
    <row r="146" ht="15.75" customHeight="1"/>
    <row r="147" ht="15.75" customHeight="1"/>
    <row r="148" ht="15.75" customHeight="1"/>
    <row r="149" ht="15.75" customHeight="1"/>
    <row r="150" ht="15.75" customHeight="1"/>
    <row r="151" ht="15.75" customHeight="1"/>
    <row r="152" ht="15.75" customHeight="1"/>
    <row r="153" ht="15.75" customHeight="1"/>
    <row r="154" ht="15.75" customHeight="1"/>
    <row r="155" ht="15.75" customHeight="1"/>
    <row r="156" ht="15.75" customHeight="1"/>
    <row r="157" ht="15.75" customHeight="1"/>
    <row r="158" ht="15.75" customHeight="1"/>
    <row r="159" ht="15.75" customHeight="1"/>
    <row r="160" ht="15.75" customHeight="1"/>
    <row r="161" ht="15.75" customHeight="1"/>
    <row r="162" ht="15.75" customHeight="1"/>
    <row r="163" ht="15.75" customHeight="1"/>
    <row r="164" ht="15.75" customHeight="1"/>
    <row r="165" ht="15.75" customHeight="1"/>
    <row r="166" ht="15.75" customHeight="1"/>
    <row r="167" ht="15.75" customHeight="1"/>
    <row r="168" ht="15.75" customHeight="1"/>
    <row r="169" ht="15.75" customHeight="1"/>
    <row r="170" ht="15.75" customHeight="1"/>
    <row r="171" ht="15.75" customHeight="1"/>
    <row r="172" ht="15.75" customHeight="1"/>
    <row r="173" ht="15.75" customHeight="1"/>
    <row r="174" ht="15.75" customHeight="1"/>
    <row r="175" ht="15.75" customHeight="1"/>
    <row r="176" ht="15.75" customHeight="1"/>
    <row r="177" ht="15.75" customHeight="1"/>
    <row r="178" ht="15.75" customHeight="1"/>
    <row r="179" ht="15.75" customHeight="1"/>
    <row r="180" ht="15.75" customHeight="1"/>
    <row r="181" ht="15.75" customHeight="1"/>
    <row r="182" ht="15.75" customHeight="1"/>
    <row r="183" ht="15.75" customHeight="1"/>
    <row r="184" ht="15.75" customHeight="1"/>
    <row r="185" ht="15.75" customHeight="1"/>
    <row r="186" ht="15.75" customHeight="1"/>
    <row r="187" ht="15.75" customHeight="1"/>
    <row r="188" ht="15.75" customHeight="1"/>
    <row r="189" ht="15.75" customHeight="1"/>
    <row r="190" ht="15.75" customHeight="1"/>
    <row r="191" ht="15.75" customHeight="1"/>
    <row r="192" ht="15.75" customHeight="1"/>
    <row r="193" ht="15.75" customHeight="1"/>
    <row r="194" ht="15.75" customHeight="1"/>
    <row r="195" ht="15.75" customHeight="1"/>
    <row r="196" ht="15.75" customHeight="1"/>
    <row r="197" ht="15.75" customHeight="1"/>
    <row r="198" ht="15.75" customHeight="1"/>
    <row r="199" ht="15.75" customHeight="1"/>
    <row r="200" ht="15.75" customHeight="1"/>
    <row r="201" ht="15.75" customHeight="1"/>
    <row r="202" ht="15.75" customHeight="1"/>
    <row r="203" ht="15.75" customHeight="1"/>
    <row r="204" ht="15.75" customHeight="1"/>
    <row r="205" ht="15.75" customHeight="1"/>
    <row r="206" ht="15.75" customHeight="1"/>
    <row r="207" ht="15.75" customHeight="1"/>
    <row r="208" ht="15.75" customHeight="1"/>
    <row r="209" ht="15.75" customHeight="1"/>
    <row r="210" ht="15.75" customHeight="1"/>
    <row r="211" ht="15.75" customHeight="1"/>
    <row r="212" ht="15.75" customHeight="1"/>
    <row r="213" ht="15.75" customHeight="1"/>
    <row r="214" ht="15.75" customHeight="1"/>
    <row r="215" ht="15.75" customHeight="1"/>
    <row r="216" ht="15.75" customHeight="1"/>
    <row r="217" ht="15.75" customHeight="1"/>
    <row r="218" ht="15.75" customHeight="1"/>
    <row r="219" ht="15.75" customHeight="1"/>
    <row r="220" ht="15.75" customHeight="1"/>
    <row r="221" ht="15.75" customHeight="1"/>
    <row r="222" ht="15.75" customHeight="1"/>
    <row r="223" ht="15.75" customHeight="1"/>
    <row r="224" ht="15.75" customHeight="1"/>
    <row r="225" ht="15.75" customHeight="1"/>
    <row r="226" ht="15.75" customHeight="1"/>
    <row r="227" ht="15.75" customHeight="1"/>
    <row r="228" ht="15.75" customHeight="1"/>
    <row r="229" ht="15.75" customHeight="1"/>
    <row r="230" ht="15.75" customHeight="1"/>
    <row r="231" ht="15.75" customHeight="1"/>
    <row r="232" ht="15.75" customHeight="1"/>
    <row r="233" ht="15.75" customHeight="1"/>
    <row r="234" ht="15.75" customHeight="1"/>
    <row r="235" ht="15.75" customHeight="1"/>
    <row r="236" ht="15.75" customHeight="1"/>
    <row r="237" ht="15.75" customHeight="1"/>
    <row r="238" ht="15.75" customHeight="1"/>
    <row r="239" ht="15.75" customHeight="1"/>
    <row r="240" ht="15.75" customHeight="1"/>
    <row r="241" ht="15.75" customHeight="1"/>
    <row r="242" ht="15.75" customHeight="1"/>
    <row r="243" ht="15.75" customHeight="1"/>
    <row r="244" ht="15.75" customHeight="1"/>
    <row r="245" ht="15.75" customHeight="1"/>
    <row r="246" ht="15.75" customHeight="1"/>
    <row r="247" ht="15.75" customHeight="1"/>
    <row r="248" ht="15.75" customHeight="1"/>
    <row r="249" ht="15.75" customHeight="1"/>
    <row r="250" ht="15.75" customHeight="1"/>
    <row r="251" ht="15.75" customHeight="1"/>
    <row r="252" ht="15.75" customHeight="1"/>
    <row r="253" ht="15.75" customHeight="1"/>
    <row r="254" ht="15.75" customHeight="1"/>
    <row r="255" ht="15.75" customHeight="1"/>
    <row r="256" ht="15.75" customHeight="1"/>
    <row r="257" ht="15.75" customHeight="1"/>
    <row r="258" ht="15.75" customHeight="1"/>
    <row r="259" ht="15.75" customHeight="1"/>
    <row r="260" ht="15.75" customHeight="1"/>
    <row r="261" ht="15.75" customHeight="1"/>
    <row r="262" ht="15.75" customHeight="1"/>
    <row r="263" ht="15.75" customHeight="1"/>
    <row r="264" ht="15.75" customHeight="1"/>
    <row r="265" ht="15.75" customHeight="1"/>
    <row r="266" ht="15.75" customHeight="1"/>
    <row r="267" ht="15.75" customHeight="1"/>
    <row r="268" ht="15.75" customHeight="1"/>
    <row r="269" ht="15.75" customHeight="1"/>
    <row r="270" ht="15.75" customHeight="1"/>
    <row r="271" ht="15.75" customHeight="1"/>
    <row r="272" ht="15.75" customHeight="1"/>
    <row r="273" ht="15.75" customHeight="1"/>
    <row r="274" ht="15.75" customHeight="1"/>
    <row r="275" ht="15.75" customHeight="1"/>
    <row r="276" ht="15.75" customHeight="1"/>
    <row r="277" ht="15.75" customHeight="1"/>
    <row r="278" ht="15.75" customHeight="1"/>
    <row r="279" ht="15.75" customHeight="1"/>
    <row r="280" ht="15.75" customHeight="1"/>
    <row r="281" ht="15.75" customHeight="1"/>
    <row r="282" ht="15.75" customHeight="1"/>
    <row r="283" ht="15.75" customHeight="1"/>
    <row r="284" ht="15.75" customHeight="1"/>
    <row r="285" ht="15.75" customHeight="1"/>
    <row r="286" ht="15.75" customHeight="1"/>
    <row r="287" ht="15.75" customHeight="1"/>
    <row r="288" ht="15.75" customHeight="1"/>
    <row r="289" ht="15.75" customHeight="1"/>
    <row r="290" ht="15.75" customHeight="1"/>
    <row r="291" ht="15.75" customHeight="1"/>
    <row r="292" ht="15.75" customHeight="1"/>
    <row r="293" ht="15.75" customHeight="1"/>
    <row r="294" ht="15.75" customHeight="1"/>
    <row r="295" ht="15.75" customHeight="1"/>
    <row r="296" ht="15.75" customHeight="1"/>
    <row r="297" ht="15.75" customHeight="1"/>
    <row r="298" ht="15.75" customHeight="1"/>
    <row r="299" ht="15.75" customHeight="1"/>
    <row r="300" ht="15.75" customHeight="1"/>
    <row r="301" ht="15.75" customHeight="1"/>
    <row r="302" ht="15.75" customHeight="1"/>
    <row r="303" ht="15.75" customHeight="1"/>
    <row r="304" ht="15.75" customHeight="1"/>
    <row r="305" ht="15.75" customHeight="1"/>
    <row r="306" ht="15.75" customHeight="1"/>
    <row r="307" ht="15.75" customHeight="1"/>
    <row r="308" ht="15.75" customHeight="1"/>
    <row r="309" ht="15.75" customHeight="1"/>
    <row r="310" ht="15.75" customHeight="1"/>
    <row r="311" ht="15.75" customHeight="1"/>
    <row r="312" ht="15.75" customHeight="1"/>
    <row r="313" ht="15.75" customHeight="1"/>
    <row r="314" ht="15.75" customHeight="1"/>
    <row r="315" ht="15.75" customHeight="1"/>
    <row r="316" ht="15.75" customHeight="1"/>
    <row r="317" ht="15.75" customHeight="1"/>
    <row r="318" ht="15.75" customHeight="1"/>
    <row r="319" ht="15.75" customHeight="1"/>
    <row r="320" ht="15.75" customHeight="1"/>
    <row r="321" ht="15.75" customHeight="1"/>
    <row r="322" ht="15.75" customHeight="1"/>
    <row r="323" ht="15.75" customHeight="1"/>
    <row r="324" ht="15.75" customHeight="1"/>
    <row r="325" ht="15.75" customHeight="1"/>
    <row r="326" ht="15.75" customHeight="1"/>
    <row r="327" ht="15.75" customHeight="1"/>
    <row r="328" ht="15.75" customHeight="1"/>
    <row r="329" ht="15.75" customHeight="1"/>
    <row r="330" ht="15.75" customHeight="1"/>
    <row r="331" ht="15.75" customHeight="1"/>
    <row r="332" ht="15.75" customHeight="1"/>
    <row r="333" ht="15.75" customHeight="1"/>
    <row r="334" ht="15.75" customHeight="1"/>
    <row r="335" ht="15.75" customHeight="1"/>
    <row r="336" ht="15.75" customHeight="1"/>
    <row r="337" ht="15.75" customHeight="1"/>
    <row r="338" ht="15.75" customHeight="1"/>
    <row r="339" ht="15.75" customHeight="1"/>
    <row r="340" ht="15.75" customHeight="1"/>
    <row r="341" ht="15.75" customHeight="1"/>
    <row r="342" ht="15.75" customHeight="1"/>
    <row r="343" ht="15.75" customHeight="1"/>
    <row r="344" ht="15.75" customHeight="1"/>
    <row r="345" ht="15.75" customHeight="1"/>
    <row r="346" ht="15.75" customHeight="1"/>
    <row r="347" ht="15.75" customHeight="1"/>
    <row r="348" ht="15.75" customHeight="1"/>
    <row r="349" ht="15.75" customHeight="1"/>
    <row r="350" ht="15.75" customHeight="1"/>
    <row r="351" ht="15.75" customHeight="1"/>
    <row r="352" ht="15.75" customHeight="1"/>
    <row r="353" ht="15.75" customHeight="1"/>
    <row r="354" ht="15.75" customHeight="1"/>
    <row r="355" ht="15.75" customHeight="1"/>
    <row r="356" ht="15.75" customHeight="1"/>
    <row r="357" ht="15.75" customHeight="1"/>
    <row r="358" ht="15.75" customHeight="1"/>
    <row r="359" ht="15.75" customHeight="1"/>
    <row r="360" ht="15.75" customHeight="1"/>
    <row r="361" ht="15.75" customHeight="1"/>
    <row r="362" ht="15.75" customHeight="1"/>
    <row r="363" ht="15.75" customHeight="1"/>
    <row r="364" ht="15.75" customHeight="1"/>
    <row r="365" ht="15.75" customHeight="1"/>
    <row r="366" ht="15.75" customHeight="1"/>
    <row r="367" ht="15.75" customHeight="1"/>
    <row r="368" ht="15.75" customHeight="1"/>
    <row r="369" ht="15.75" customHeight="1"/>
    <row r="370" ht="15.75" customHeight="1"/>
    <row r="371" ht="15.75" customHeight="1"/>
    <row r="372" ht="15.75" customHeight="1"/>
    <row r="373" ht="15.75" customHeight="1"/>
    <row r="374" ht="15.75" customHeight="1"/>
    <row r="375" ht="15.75" customHeight="1"/>
    <row r="376" ht="15.75" customHeight="1"/>
    <row r="377" ht="15.75" customHeight="1"/>
    <row r="378" ht="15.75" customHeight="1"/>
    <row r="379" ht="15.75" customHeight="1"/>
    <row r="380" ht="15.75" customHeight="1"/>
    <row r="381" ht="15.75" customHeight="1"/>
    <row r="382" ht="15.75" customHeight="1"/>
    <row r="383" ht="15.75" customHeight="1"/>
    <row r="384" ht="15.75" customHeight="1"/>
    <row r="385" ht="15.75" customHeight="1"/>
    <row r="386" ht="15.75" customHeight="1"/>
    <row r="387" ht="15.75" customHeight="1"/>
    <row r="388" ht="15.75" customHeight="1"/>
    <row r="389" ht="15.75" customHeight="1"/>
    <row r="390" ht="15.75" customHeight="1"/>
    <row r="391" ht="15.75" customHeight="1"/>
    <row r="392" ht="15.75" customHeight="1"/>
    <row r="393" ht="15.75" customHeight="1"/>
    <row r="394" ht="15.75" customHeight="1"/>
    <row r="395" ht="15.75" customHeight="1"/>
    <row r="396" ht="15.75" customHeight="1"/>
    <row r="397" ht="15.75" customHeight="1"/>
    <row r="398" ht="15.75" customHeight="1"/>
    <row r="399" ht="15.75" customHeight="1"/>
    <row r="400" ht="15.75" customHeight="1"/>
    <row r="401" ht="15.75" customHeight="1"/>
    <row r="402" ht="15.75" customHeight="1"/>
    <row r="403" ht="15.75" customHeight="1"/>
    <row r="404" ht="15.75" customHeight="1"/>
    <row r="405" ht="15.75" customHeight="1"/>
    <row r="406" ht="15.75" customHeight="1"/>
    <row r="407" ht="15.75" customHeight="1"/>
    <row r="408" ht="15.75" customHeight="1"/>
    <row r="409" ht="15.75" customHeight="1"/>
    <row r="410" ht="15.75" customHeight="1"/>
    <row r="411" ht="15.75" customHeight="1"/>
    <row r="412" ht="15.75" customHeight="1"/>
    <row r="413" ht="15.75" customHeight="1"/>
    <row r="414" ht="15.75" customHeight="1"/>
    <row r="415" ht="15.75" customHeight="1"/>
    <row r="416" ht="15.75" customHeight="1"/>
    <row r="417" ht="15.75" customHeight="1"/>
    <row r="418" ht="15.75" customHeight="1"/>
    <row r="419" ht="15.75" customHeight="1"/>
    <row r="420" ht="15.75" customHeight="1"/>
    <row r="421" ht="15.75" customHeight="1"/>
    <row r="422" ht="15.75" customHeight="1"/>
    <row r="423" ht="15.75" customHeight="1"/>
    <row r="424" ht="15.75" customHeight="1"/>
    <row r="425" ht="15.75" customHeight="1"/>
    <row r="426" ht="15.75" customHeight="1"/>
    <row r="427" ht="15.75" customHeight="1"/>
    <row r="428" ht="15.75" customHeight="1"/>
    <row r="429" ht="15.75" customHeight="1"/>
    <row r="430" ht="15.75" customHeight="1"/>
    <row r="431" ht="15.75" customHeight="1"/>
    <row r="432" ht="15.75" customHeight="1"/>
    <row r="433" ht="15.75" customHeight="1"/>
    <row r="434" ht="15.75" customHeight="1"/>
    <row r="435" ht="15.75" customHeight="1"/>
    <row r="436" ht="15.75" customHeight="1"/>
    <row r="437" ht="15.75" customHeight="1"/>
    <row r="438" ht="15.75" customHeight="1"/>
    <row r="439" ht="15.75" customHeight="1"/>
    <row r="440" ht="15.75" customHeight="1"/>
    <row r="441" ht="15.75" customHeight="1"/>
    <row r="442" ht="15.75" customHeight="1"/>
    <row r="443" ht="15.75" customHeight="1"/>
    <row r="444" ht="15.75" customHeight="1"/>
    <row r="445" ht="15.75" customHeight="1"/>
    <row r="446" ht="15.75" customHeight="1"/>
    <row r="447" ht="15.75" customHeight="1"/>
    <row r="448" ht="15.75" customHeight="1"/>
    <row r="449" ht="15.75" customHeight="1"/>
    <row r="450" ht="15.75" customHeight="1"/>
    <row r="451" ht="15.75" customHeight="1"/>
    <row r="452" ht="15.75" customHeight="1"/>
    <row r="453" ht="15.75" customHeight="1"/>
    <row r="454" ht="15.75" customHeight="1"/>
    <row r="455" ht="15.75" customHeight="1"/>
    <row r="456" ht="15.75" customHeight="1"/>
    <row r="457" ht="15.75" customHeight="1"/>
    <row r="458" ht="15.75" customHeight="1"/>
    <row r="459" ht="15.75" customHeight="1"/>
    <row r="460" ht="15.75" customHeight="1"/>
    <row r="461" ht="15.75" customHeight="1"/>
    <row r="462" ht="15.75" customHeight="1"/>
    <row r="463" ht="15.75" customHeight="1"/>
    <row r="464" ht="15.75" customHeight="1"/>
    <row r="465" ht="15.75" customHeight="1"/>
    <row r="466" ht="15.75" customHeight="1"/>
    <row r="467" ht="15.75" customHeight="1"/>
    <row r="468" ht="15.75" customHeight="1"/>
    <row r="469" ht="15.75" customHeight="1"/>
    <row r="470" ht="15.75" customHeight="1"/>
    <row r="471" ht="15.75" customHeight="1"/>
    <row r="472" ht="15.75" customHeight="1"/>
    <row r="473" ht="15.75" customHeight="1"/>
    <row r="474" ht="15.75" customHeight="1"/>
    <row r="475" ht="15.75" customHeight="1"/>
    <row r="476" ht="15.75" customHeight="1"/>
    <row r="477" ht="15.75" customHeight="1"/>
    <row r="478" ht="15.75" customHeight="1"/>
    <row r="479" ht="15.75" customHeight="1"/>
    <row r="480" ht="15.75" customHeight="1"/>
    <row r="481" ht="15.75" customHeight="1"/>
    <row r="482" ht="15.75" customHeight="1"/>
    <row r="483" ht="15.75" customHeight="1"/>
    <row r="484" ht="15.75" customHeight="1"/>
    <row r="485" ht="15.75" customHeight="1"/>
    <row r="486" ht="15.75" customHeight="1"/>
    <row r="487" ht="15.75" customHeight="1"/>
    <row r="488" ht="15.75" customHeight="1"/>
    <row r="489" ht="15.75" customHeight="1"/>
    <row r="490" ht="15.75" customHeight="1"/>
    <row r="491" ht="15.75" customHeight="1"/>
    <row r="492" ht="15.75" customHeight="1"/>
    <row r="493" ht="15.75" customHeight="1"/>
    <row r="494" ht="15.75" customHeight="1"/>
    <row r="495" ht="15.75" customHeight="1"/>
    <row r="496" ht="15.75" customHeight="1"/>
    <row r="497" ht="15.75" customHeight="1"/>
    <row r="498" ht="15.75" customHeight="1"/>
    <row r="499" ht="15.75" customHeight="1"/>
    <row r="500" ht="15.75" customHeight="1"/>
    <row r="501" ht="15.75" customHeight="1"/>
    <row r="502" ht="15.75" customHeight="1"/>
    <row r="503" ht="15.75" customHeight="1"/>
    <row r="504" ht="15.75" customHeight="1"/>
    <row r="505" ht="15.75" customHeight="1"/>
    <row r="506" ht="15.75" customHeight="1"/>
    <row r="507" ht="15.75" customHeight="1"/>
    <row r="508" ht="15.75" customHeight="1"/>
    <row r="509" ht="15.75" customHeight="1"/>
    <row r="510" ht="15.75" customHeight="1"/>
    <row r="511" ht="15.75" customHeight="1"/>
    <row r="512" ht="15.75" customHeight="1"/>
    <row r="513" ht="15.75" customHeight="1"/>
    <row r="514" ht="15.75" customHeight="1"/>
    <row r="515" ht="15.75" customHeight="1"/>
    <row r="516" ht="15.75" customHeight="1"/>
    <row r="517" ht="15.75" customHeight="1"/>
    <row r="518" ht="15.75" customHeight="1"/>
    <row r="519" ht="15.75" customHeight="1"/>
    <row r="520" ht="15.75" customHeight="1"/>
    <row r="521" ht="15.75" customHeight="1"/>
    <row r="522" ht="15.75" customHeight="1"/>
    <row r="523" ht="15.75" customHeight="1"/>
    <row r="524" ht="15.75" customHeight="1"/>
    <row r="525" ht="15.75" customHeight="1"/>
    <row r="526" ht="15.75" customHeight="1"/>
    <row r="527" ht="15.75" customHeight="1"/>
    <row r="528" ht="15.75" customHeight="1"/>
    <row r="529" ht="15.75" customHeight="1"/>
    <row r="530" ht="15.75" customHeight="1"/>
    <row r="531" ht="15.75" customHeight="1"/>
    <row r="532" ht="15.75" customHeight="1"/>
    <row r="533" ht="15.75" customHeight="1"/>
    <row r="534" ht="15.75" customHeight="1"/>
    <row r="535" ht="15.75" customHeight="1"/>
    <row r="536" ht="15.75" customHeight="1"/>
    <row r="537" ht="15.75" customHeight="1"/>
    <row r="538" ht="15.75" customHeight="1"/>
    <row r="539" ht="15.75" customHeight="1"/>
    <row r="540" ht="15.75" customHeight="1"/>
    <row r="541" ht="15.75" customHeight="1"/>
    <row r="542" ht="15.75" customHeight="1"/>
    <row r="543" ht="15.75" customHeight="1"/>
    <row r="544" ht="15.75" customHeight="1"/>
    <row r="545" ht="15.75" customHeight="1"/>
    <row r="546" ht="15.75" customHeight="1"/>
    <row r="547" ht="15.75" customHeight="1"/>
    <row r="548" ht="15.75" customHeight="1"/>
    <row r="549" ht="15.75" customHeight="1"/>
    <row r="550" ht="15.75" customHeight="1"/>
    <row r="551" ht="15.75" customHeight="1"/>
    <row r="552" ht="15.75" customHeight="1"/>
    <row r="553" ht="15.75" customHeight="1"/>
    <row r="554" ht="15.75" customHeight="1"/>
    <row r="555" ht="15.75" customHeight="1"/>
    <row r="556" ht="15.75" customHeight="1"/>
    <row r="557" ht="15.75" customHeight="1"/>
    <row r="558" ht="15.75" customHeight="1"/>
    <row r="559" ht="15.75" customHeight="1"/>
    <row r="560" ht="15.75" customHeight="1"/>
    <row r="561" ht="15.75" customHeight="1"/>
    <row r="562" ht="15.75" customHeight="1"/>
    <row r="563" ht="15.75" customHeight="1"/>
    <row r="564" ht="15.75" customHeight="1"/>
    <row r="565" ht="15.75" customHeight="1"/>
    <row r="566" ht="15.75" customHeight="1"/>
    <row r="567" ht="15.75" customHeight="1"/>
    <row r="568" ht="15.75" customHeight="1"/>
    <row r="569" ht="15.75" customHeight="1"/>
    <row r="570" ht="15.75" customHeight="1"/>
    <row r="571" ht="15.75" customHeight="1"/>
    <row r="572" ht="15.75" customHeight="1"/>
    <row r="573" ht="15.75" customHeight="1"/>
    <row r="574" ht="15.75" customHeight="1"/>
    <row r="575" ht="15.75" customHeight="1"/>
    <row r="576" ht="15.75" customHeight="1"/>
    <row r="577" ht="15.75" customHeight="1"/>
    <row r="578" ht="15.75" customHeight="1"/>
    <row r="579" ht="15.75" customHeight="1"/>
    <row r="580" ht="15.75" customHeight="1"/>
    <row r="581" ht="15.75" customHeight="1"/>
    <row r="582" ht="15.75" customHeight="1"/>
    <row r="583" ht="15.75" customHeight="1"/>
    <row r="584" ht="15.75" customHeight="1"/>
    <row r="585" ht="15.75" customHeight="1"/>
    <row r="586" ht="15.75" customHeight="1"/>
    <row r="587" ht="15.75" customHeight="1"/>
    <row r="588" ht="15.75" customHeight="1"/>
    <row r="589" ht="15.75" customHeight="1"/>
    <row r="590" ht="15.75" customHeight="1"/>
    <row r="591" ht="15.75" customHeight="1"/>
    <row r="592" ht="15.75" customHeight="1"/>
    <row r="593" ht="15.75" customHeight="1"/>
    <row r="594" ht="15.75" customHeight="1"/>
    <row r="595" ht="15.75" customHeight="1"/>
    <row r="596" ht="15.75" customHeight="1"/>
    <row r="597" ht="15.75" customHeight="1"/>
    <row r="598" ht="15.75" customHeight="1"/>
    <row r="599" ht="15.75" customHeight="1"/>
    <row r="600" ht="15.75" customHeight="1"/>
    <row r="601" ht="15.75" customHeight="1"/>
    <row r="602" ht="15.75" customHeight="1"/>
    <row r="603" ht="15.75" customHeight="1"/>
    <row r="604" ht="15.75" customHeight="1"/>
    <row r="605" ht="15.75" customHeight="1"/>
    <row r="606" ht="15.75" customHeight="1"/>
    <row r="607" ht="15.75" customHeight="1"/>
    <row r="608" ht="15.75" customHeight="1"/>
    <row r="609" ht="15.75" customHeight="1"/>
    <row r="610" ht="15.75" customHeight="1"/>
    <row r="611" ht="15.75" customHeight="1"/>
    <row r="612" ht="15.75" customHeight="1"/>
    <row r="613" ht="15.75" customHeight="1"/>
    <row r="614" ht="15.75" customHeight="1"/>
    <row r="615" ht="15.75" customHeight="1"/>
    <row r="616" ht="15.75" customHeight="1"/>
    <row r="617" ht="15.75" customHeight="1"/>
    <row r="618" ht="15.75" customHeight="1"/>
    <row r="619" ht="15.75" customHeight="1"/>
    <row r="620" ht="15.75" customHeight="1"/>
    <row r="621" ht="15.75" customHeight="1"/>
    <row r="622" ht="15.75" customHeight="1"/>
    <row r="623" ht="15.75" customHeight="1"/>
    <row r="624" ht="15.75" customHeight="1"/>
    <row r="625" ht="15.75" customHeight="1"/>
    <row r="626" ht="15.75" customHeight="1"/>
    <row r="627" ht="15.75" customHeight="1"/>
    <row r="628" ht="15.75" customHeight="1"/>
    <row r="629" ht="15.75" customHeight="1"/>
    <row r="630" ht="15.75" customHeight="1"/>
    <row r="631" ht="15.75" customHeight="1"/>
    <row r="632" ht="15.75" customHeight="1"/>
    <row r="633" ht="15.75" customHeight="1"/>
    <row r="634" ht="15.75" customHeight="1"/>
    <row r="635" ht="15.75" customHeight="1"/>
    <row r="636" ht="15.75" customHeight="1"/>
    <row r="637" ht="15.75" customHeight="1"/>
    <row r="638" ht="15.75" customHeight="1"/>
    <row r="639" ht="15.75" customHeight="1"/>
    <row r="640" ht="15.75" customHeight="1"/>
    <row r="641" ht="15.75" customHeight="1"/>
    <row r="642" ht="15.75" customHeight="1"/>
    <row r="643" ht="15.75" customHeight="1"/>
    <row r="644" ht="15.75" customHeight="1"/>
    <row r="645" ht="15.75" customHeight="1"/>
    <row r="646" ht="15.75" customHeight="1"/>
    <row r="647" ht="15.75" customHeight="1"/>
    <row r="648" ht="15.75" customHeight="1"/>
    <row r="649" ht="15.75" customHeight="1"/>
    <row r="650" ht="15.75" customHeight="1"/>
    <row r="651" ht="15.75" customHeight="1"/>
    <row r="652" ht="15.75" customHeight="1"/>
    <row r="653" ht="15.75" customHeight="1"/>
    <row r="654" ht="15.75" customHeight="1"/>
    <row r="655" ht="15.75" customHeight="1"/>
    <row r="656" ht="15.75" customHeight="1"/>
    <row r="657" ht="15.75" customHeight="1"/>
    <row r="658" ht="15.75" customHeight="1"/>
    <row r="659" ht="15.75" customHeight="1"/>
    <row r="660" ht="15.75" customHeight="1"/>
    <row r="661" ht="15.75" customHeight="1"/>
    <row r="662" ht="15.75" customHeight="1"/>
    <row r="663" ht="15.75" customHeight="1"/>
    <row r="664" ht="15.75" customHeight="1"/>
    <row r="665" ht="15.75" customHeight="1"/>
    <row r="666" ht="15.75" customHeight="1"/>
    <row r="667" ht="15.75" customHeight="1"/>
    <row r="668" ht="15.75" customHeight="1"/>
    <row r="669" ht="15.75" customHeight="1"/>
    <row r="670" ht="15.75" customHeight="1"/>
    <row r="671" ht="15.75" customHeight="1"/>
    <row r="672" ht="15.75" customHeight="1"/>
    <row r="673" ht="15.75" customHeight="1"/>
    <row r="674" ht="15.75" customHeight="1"/>
    <row r="675" ht="15.75" customHeight="1"/>
    <row r="676" ht="15.75" customHeight="1"/>
    <row r="677" ht="15.75" customHeight="1"/>
    <row r="678" ht="15.75" customHeight="1"/>
    <row r="679" ht="15.75" customHeight="1"/>
    <row r="680" ht="15.75" customHeight="1"/>
    <row r="681" ht="15.75" customHeight="1"/>
    <row r="682" ht="15.75" customHeight="1"/>
    <row r="683" ht="15.75" customHeight="1"/>
    <row r="684" ht="15.75" customHeight="1"/>
    <row r="685" ht="15.75" customHeight="1"/>
    <row r="686" ht="15.75" customHeight="1"/>
    <row r="687" ht="15.75" customHeight="1"/>
    <row r="688" ht="15.75" customHeight="1"/>
    <row r="689" ht="15.75" customHeight="1"/>
    <row r="690" ht="15.75" customHeight="1"/>
    <row r="691" ht="15.75" customHeight="1"/>
    <row r="692" ht="15.75" customHeight="1"/>
    <row r="693" ht="15.75" customHeight="1"/>
    <row r="694" ht="15.75" customHeight="1"/>
    <row r="695" ht="15.75" customHeight="1"/>
    <row r="696" ht="15.75" customHeight="1"/>
    <row r="697" ht="15.75" customHeight="1"/>
    <row r="698" ht="15.75" customHeight="1"/>
    <row r="699" ht="15.75" customHeight="1"/>
    <row r="700" ht="15.75" customHeight="1"/>
    <row r="701" ht="15.75" customHeight="1"/>
    <row r="702" ht="15.75" customHeight="1"/>
    <row r="703" ht="15.75" customHeight="1"/>
    <row r="704" ht="15.75" customHeight="1"/>
    <row r="705" ht="15.75" customHeight="1"/>
    <row r="706" ht="15.75" customHeight="1"/>
    <row r="707" ht="15.75" customHeight="1"/>
    <row r="708" ht="15.75" customHeight="1"/>
    <row r="709" ht="15.75" customHeight="1"/>
    <row r="710" ht="15.75" customHeight="1"/>
    <row r="711" ht="15.75" customHeight="1"/>
    <row r="712" ht="15.75" customHeight="1"/>
    <row r="713" ht="15.75" customHeight="1"/>
    <row r="714" ht="15.75" customHeight="1"/>
    <row r="715" ht="15.75" customHeight="1"/>
    <row r="716" ht="15.75" customHeight="1"/>
    <row r="717" ht="15.75" customHeight="1"/>
    <row r="718" ht="15.75" customHeight="1"/>
    <row r="719" ht="15.75" customHeight="1"/>
    <row r="720" ht="15.75" customHeight="1"/>
    <row r="721" ht="15.75" customHeight="1"/>
    <row r="722" ht="15.75" customHeight="1"/>
    <row r="723" ht="15.75" customHeight="1"/>
    <row r="724" ht="15.75" customHeight="1"/>
    <row r="725" ht="15.75" customHeight="1"/>
    <row r="726" ht="15.75" customHeight="1"/>
    <row r="727" ht="15.75" customHeight="1"/>
    <row r="728" ht="15.75" customHeight="1"/>
    <row r="729" ht="15.75" customHeight="1"/>
    <row r="730" ht="15.75" customHeight="1"/>
    <row r="731" ht="15.75" customHeight="1"/>
    <row r="732" ht="15.75" customHeight="1"/>
    <row r="733" ht="15.75" customHeight="1"/>
    <row r="734" ht="15.75" customHeight="1"/>
    <row r="735" ht="15.75" customHeight="1"/>
    <row r="736" ht="15.75" customHeight="1"/>
    <row r="737" ht="15.75" customHeight="1"/>
    <row r="738" ht="15.75" customHeight="1"/>
    <row r="739" ht="15.75" customHeight="1"/>
    <row r="740" ht="15.75" customHeight="1"/>
    <row r="741" ht="15.75" customHeight="1"/>
    <row r="742" ht="15.75" customHeight="1"/>
    <row r="743" ht="15.75" customHeight="1"/>
    <row r="744" ht="15.75" customHeight="1"/>
    <row r="745" ht="15.75" customHeight="1"/>
    <row r="746" ht="15.75" customHeight="1"/>
    <row r="747" ht="15.75" customHeight="1"/>
    <row r="748" ht="15.75" customHeight="1"/>
    <row r="749" ht="15.75" customHeight="1"/>
    <row r="750" ht="15.75" customHeight="1"/>
    <row r="751" ht="15.75" customHeight="1"/>
    <row r="752" ht="15.75" customHeight="1"/>
    <row r="753" ht="15.75" customHeight="1"/>
    <row r="754" ht="15.75" customHeight="1"/>
    <row r="755" ht="15.75" customHeight="1"/>
    <row r="756" ht="15.75" customHeight="1"/>
    <row r="757" ht="15.75" customHeight="1"/>
    <row r="758" ht="15.75" customHeight="1"/>
    <row r="759" ht="15.75" customHeight="1"/>
    <row r="760" ht="15.75" customHeight="1"/>
    <row r="761" ht="15.75" customHeight="1"/>
    <row r="762" ht="15.75" customHeight="1"/>
    <row r="763" ht="15.75" customHeight="1"/>
    <row r="764" ht="15.75" customHeight="1"/>
    <row r="765" ht="15.75" customHeight="1"/>
    <row r="766" ht="15.75" customHeight="1"/>
    <row r="767" ht="15.75" customHeight="1"/>
    <row r="768" ht="15.75" customHeight="1"/>
    <row r="769" ht="15.75" customHeight="1"/>
    <row r="770" ht="15.75" customHeight="1"/>
    <row r="771" ht="15.75" customHeight="1"/>
    <row r="772" ht="15.75" customHeight="1"/>
    <row r="773" ht="15.75" customHeight="1"/>
    <row r="774" ht="15.75" customHeight="1"/>
    <row r="775" ht="15.75" customHeight="1"/>
    <row r="776" ht="15.75" customHeight="1"/>
    <row r="777" ht="15.75" customHeight="1"/>
    <row r="778" ht="15.75" customHeight="1"/>
    <row r="779" ht="15.75" customHeight="1"/>
    <row r="780" ht="15.75" customHeight="1"/>
    <row r="781" ht="15.75" customHeight="1"/>
    <row r="782" ht="15.75" customHeight="1"/>
    <row r="783" ht="15.75" customHeight="1"/>
    <row r="784" ht="15.75" customHeight="1"/>
    <row r="785" ht="15.75" customHeight="1"/>
    <row r="786" ht="15.75" customHeight="1"/>
    <row r="787" ht="15.75" customHeight="1"/>
    <row r="788" ht="15.75" customHeight="1"/>
    <row r="789" ht="15.75" customHeight="1"/>
    <row r="790" ht="15.75" customHeight="1"/>
    <row r="791" ht="15.75" customHeight="1"/>
    <row r="792" ht="15.75" customHeight="1"/>
    <row r="793" ht="15.75" customHeight="1"/>
    <row r="794" ht="15.75" customHeight="1"/>
    <row r="795" ht="15.75" customHeight="1"/>
    <row r="796" ht="15.75" customHeight="1"/>
    <row r="797" ht="15.75" customHeight="1"/>
    <row r="798" ht="15.75" customHeight="1"/>
    <row r="799" ht="15.75" customHeight="1"/>
    <row r="800" ht="15.75" customHeight="1"/>
    <row r="801" ht="15.75" customHeight="1"/>
    <row r="802" ht="15.75" customHeight="1"/>
    <row r="803" ht="15.75" customHeight="1"/>
    <row r="804" ht="15.75" customHeight="1"/>
    <row r="805" ht="15.75" customHeight="1"/>
    <row r="806" ht="15.75" customHeight="1"/>
    <row r="807" ht="15.75" customHeight="1"/>
    <row r="808" ht="15.75" customHeight="1"/>
    <row r="809" ht="15.75" customHeight="1"/>
    <row r="810" ht="15.75" customHeight="1"/>
    <row r="811" ht="15.75" customHeight="1"/>
    <row r="812" ht="15.75" customHeight="1"/>
    <row r="813" ht="15.75" customHeight="1"/>
    <row r="814" ht="15.75" customHeight="1"/>
    <row r="815" ht="15.75" customHeight="1"/>
    <row r="816" ht="15.75" customHeight="1"/>
    <row r="817" ht="15.75" customHeight="1"/>
    <row r="818" ht="15.75" customHeight="1"/>
    <row r="819" ht="15.75" customHeight="1"/>
    <row r="820" ht="15.75" customHeight="1"/>
    <row r="821" ht="15.75" customHeight="1"/>
    <row r="822" ht="15.75" customHeight="1"/>
    <row r="823" ht="15.75" customHeight="1"/>
    <row r="824" ht="15.75" customHeight="1"/>
    <row r="825" ht="15.75" customHeight="1"/>
    <row r="826" ht="15.75" customHeight="1"/>
    <row r="827" ht="15.75" customHeight="1"/>
    <row r="828" ht="15.75" customHeight="1"/>
    <row r="829" ht="15.75" customHeight="1"/>
    <row r="830" ht="15.75" customHeight="1"/>
    <row r="831" ht="15.75" customHeight="1"/>
    <row r="832" ht="15.75" customHeight="1"/>
    <row r="833" ht="15.75" customHeight="1"/>
    <row r="834" ht="15.75" customHeight="1"/>
    <row r="835" ht="15.75" customHeight="1"/>
    <row r="836" ht="15.75" customHeight="1"/>
    <row r="837" ht="15.75" customHeight="1"/>
    <row r="838" ht="15.75" customHeight="1"/>
    <row r="839" ht="15.75" customHeight="1"/>
    <row r="840" ht="15.75" customHeight="1"/>
    <row r="841" ht="15.75" customHeight="1"/>
    <row r="842" ht="15.75" customHeight="1"/>
    <row r="843" ht="15.75" customHeight="1"/>
    <row r="844" ht="15.75" customHeight="1"/>
    <row r="845" ht="15.75" customHeight="1"/>
    <row r="846" ht="15.75" customHeight="1"/>
    <row r="847" ht="15.75" customHeight="1"/>
    <row r="848" ht="15.75" customHeight="1"/>
    <row r="849" ht="15.75" customHeight="1"/>
    <row r="850" ht="15.75" customHeight="1"/>
    <row r="851" ht="15.75" customHeight="1"/>
    <row r="852" ht="15.75" customHeight="1"/>
    <row r="853" ht="15.75" customHeight="1"/>
    <row r="854" ht="15.75" customHeight="1"/>
    <row r="855" ht="15.75" customHeight="1"/>
    <row r="856" ht="15.75" customHeight="1"/>
    <row r="857" ht="15.75" customHeight="1"/>
    <row r="858" ht="15.75" customHeight="1"/>
    <row r="859" ht="15.75" customHeight="1"/>
    <row r="860" ht="15.75" customHeight="1"/>
    <row r="861" ht="15.75" customHeight="1"/>
    <row r="862" ht="15.75" customHeight="1"/>
    <row r="863" ht="15.75" customHeight="1"/>
    <row r="864" ht="15.75" customHeight="1"/>
    <row r="865" ht="15.75" customHeight="1"/>
    <row r="866" ht="15.75" customHeight="1"/>
    <row r="867" ht="15.75" customHeight="1"/>
    <row r="868" ht="15.75" customHeight="1"/>
    <row r="869" ht="15.75" customHeight="1"/>
    <row r="870" ht="15.75" customHeight="1"/>
    <row r="871" ht="15.75" customHeight="1"/>
    <row r="872" ht="15.75" customHeight="1"/>
    <row r="873" ht="15.75" customHeight="1"/>
    <row r="874" ht="15.75" customHeight="1"/>
    <row r="875" ht="15.75" customHeight="1"/>
    <row r="876" ht="15.75" customHeight="1"/>
    <row r="877" ht="15.75" customHeight="1"/>
    <row r="878" ht="15.75" customHeight="1"/>
    <row r="879" ht="15.75" customHeight="1"/>
    <row r="880" ht="15.75" customHeight="1"/>
    <row r="881" ht="15.75" customHeight="1"/>
    <row r="882" ht="15.75" customHeight="1"/>
    <row r="883" ht="15.75" customHeight="1"/>
    <row r="884" ht="15.75" customHeight="1"/>
    <row r="885" ht="15.75" customHeight="1"/>
    <row r="886" ht="15.75" customHeight="1"/>
    <row r="887" ht="15.75" customHeight="1"/>
    <row r="888" ht="15.75" customHeight="1"/>
    <row r="889" ht="15.75" customHeight="1"/>
    <row r="890" ht="15.75" customHeight="1"/>
    <row r="891" ht="15.75" customHeight="1"/>
    <row r="892" ht="15.75" customHeight="1"/>
    <row r="893" ht="15.75" customHeight="1"/>
    <row r="894" ht="15.75" customHeight="1"/>
    <row r="895" ht="15.75" customHeight="1"/>
    <row r="896" ht="15.75" customHeight="1"/>
    <row r="897" ht="15.75" customHeight="1"/>
    <row r="898" ht="15.75" customHeight="1"/>
    <row r="899" ht="15.75" customHeight="1"/>
    <row r="900" ht="15.75" customHeight="1"/>
    <row r="901" ht="15.75" customHeight="1"/>
    <row r="902" ht="15.75" customHeight="1"/>
    <row r="903" ht="15.75" customHeight="1"/>
    <row r="904" ht="15.75" customHeight="1"/>
    <row r="905" ht="15.75" customHeight="1"/>
    <row r="906" ht="15.75" customHeight="1"/>
    <row r="907" ht="15.75" customHeight="1"/>
    <row r="908" ht="15.75" customHeight="1"/>
    <row r="909" ht="15.75" customHeight="1"/>
    <row r="910" ht="15.75" customHeight="1"/>
    <row r="911" ht="15.75" customHeight="1"/>
    <row r="912" ht="15.75" customHeight="1"/>
    <row r="913" ht="15.75" customHeight="1"/>
    <row r="914" ht="15.75" customHeight="1"/>
    <row r="915" ht="15.75" customHeight="1"/>
    <row r="916" ht="15.75" customHeight="1"/>
    <row r="917" ht="15.75" customHeight="1"/>
    <row r="918" ht="15.75" customHeight="1"/>
    <row r="919" ht="15.75" customHeight="1"/>
    <row r="920" ht="15.75" customHeight="1"/>
    <row r="921" ht="15.75" customHeight="1"/>
    <row r="922" ht="15.75" customHeight="1"/>
    <row r="923" ht="15.75" customHeight="1"/>
    <row r="924" ht="15.75" customHeight="1"/>
    <row r="925" ht="15.75" customHeight="1"/>
    <row r="926" ht="15.75" customHeight="1"/>
    <row r="927" ht="15.75" customHeight="1"/>
    <row r="928" ht="15.75" customHeight="1"/>
    <row r="929" ht="15.75" customHeight="1"/>
    <row r="930" ht="15.75" customHeight="1"/>
    <row r="931" ht="15.75" customHeight="1"/>
    <row r="932" ht="15.75" customHeight="1"/>
    <row r="933" ht="15.75" customHeight="1"/>
    <row r="934" ht="15.75" customHeight="1"/>
    <row r="935" ht="15.75" customHeight="1"/>
    <row r="936" ht="15.75" customHeight="1"/>
    <row r="937" ht="15.75" customHeight="1"/>
    <row r="938" ht="15.75" customHeight="1"/>
    <row r="939" ht="15.75" customHeight="1"/>
    <row r="940" ht="15.75" customHeight="1"/>
    <row r="941" ht="15.75" customHeight="1"/>
    <row r="942" ht="15.75" customHeight="1"/>
    <row r="943" ht="15.75" customHeight="1"/>
    <row r="944" ht="15.75" customHeight="1"/>
    <row r="945" ht="15.75" customHeight="1"/>
    <row r="946" ht="15.75" customHeight="1"/>
    <row r="947" ht="15.75" customHeight="1"/>
    <row r="948" ht="15.75" customHeight="1"/>
    <row r="949" ht="15.75" customHeight="1"/>
    <row r="950" ht="15.75" customHeight="1"/>
    <row r="951" ht="15.75" customHeight="1"/>
    <row r="952" ht="15.75" customHeight="1"/>
    <row r="953" ht="15.75" customHeight="1"/>
    <row r="954" ht="15.75" customHeight="1"/>
    <row r="955" ht="15.75" customHeight="1"/>
    <row r="956" ht="15.75" customHeight="1"/>
    <row r="957" ht="15.75" customHeight="1"/>
    <row r="958" ht="15.75" customHeight="1"/>
    <row r="959" ht="15.75" customHeight="1"/>
    <row r="960" ht="15.75" customHeight="1"/>
    <row r="961" ht="15.75" customHeight="1"/>
    <row r="962" ht="15.75" customHeight="1"/>
    <row r="963" ht="15.75" customHeight="1"/>
    <row r="964" ht="15.75" customHeight="1"/>
    <row r="965" ht="15.75" customHeight="1"/>
    <row r="966" ht="15.75" customHeight="1"/>
    <row r="967" ht="15.75" customHeight="1"/>
    <row r="968" ht="15.75" customHeight="1"/>
    <row r="969" ht="15.75" customHeight="1"/>
    <row r="970" ht="15.75" customHeight="1"/>
    <row r="971" ht="15.75" customHeight="1"/>
    <row r="972" ht="15.75" customHeight="1"/>
    <row r="973" ht="15.75" customHeight="1"/>
    <row r="974" ht="15.75" customHeight="1"/>
    <row r="975" ht="15.75" customHeight="1"/>
    <row r="976" ht="15.75" customHeight="1"/>
    <row r="977" ht="15.75" customHeight="1"/>
    <row r="978" ht="15.75" customHeight="1"/>
    <row r="979" ht="15.75" customHeight="1"/>
    <row r="980" ht="15.75" customHeight="1"/>
    <row r="981" ht="15.75" customHeight="1"/>
    <row r="982" ht="15.75" customHeight="1"/>
    <row r="983" ht="15.75" customHeight="1"/>
    <row r="984" ht="15.75" customHeight="1"/>
    <row r="985" ht="15.75" customHeight="1"/>
    <row r="986" ht="15.75" customHeight="1"/>
    <row r="987" ht="15.75" customHeight="1"/>
    <row r="988" ht="15.75" customHeight="1"/>
    <row r="989" ht="15.75" customHeight="1"/>
    <row r="990" ht="15.75" customHeight="1"/>
    <row r="991" ht="15.75" customHeight="1"/>
    <row r="992" ht="15.75" customHeight="1"/>
    <row r="993" ht="15.75" customHeight="1"/>
    <row r="994" ht="15.75" customHeight="1"/>
    <row r="995" ht="15.75" customHeight="1"/>
    <row r="996" ht="15.75" customHeight="1"/>
    <row r="997" ht="15.75" customHeight="1"/>
    <row r="998" ht="15.75" customHeight="1"/>
    <row r="999" ht="15.75" customHeight="1"/>
    <row r="1000" ht="15.75" customHeight="1"/>
  </sheetData>
  <mergeCells count="1">
    <mergeCell ref="A1:C1"/>
  </mergeCells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4" max="4" width="33.63"/>
  </cols>
  <sheetData>
    <row r="1">
      <c r="A1" s="15" t="s">
        <v>7</v>
      </c>
      <c r="B1" s="2"/>
      <c r="C1" s="2"/>
      <c r="D1" s="2"/>
      <c r="E1" s="2"/>
      <c r="F1" s="3"/>
    </row>
    <row r="2">
      <c r="A2" s="4"/>
      <c r="B2" s="4"/>
      <c r="C2" s="4"/>
      <c r="D2" s="4"/>
      <c r="E2" s="4"/>
      <c r="F2" s="4"/>
    </row>
    <row r="3">
      <c r="A3" s="12" t="s">
        <v>8</v>
      </c>
      <c r="B3" s="16" t="s">
        <v>9</v>
      </c>
      <c r="C3" s="16" t="s">
        <v>10</v>
      </c>
      <c r="D3" s="17"/>
      <c r="E3" s="17"/>
      <c r="F3" s="17"/>
      <c r="G3" s="18"/>
      <c r="H3" s="18"/>
      <c r="I3" s="18"/>
      <c r="J3" s="18"/>
      <c r="K3" s="18"/>
      <c r="L3" s="18"/>
      <c r="M3" s="18"/>
      <c r="N3" s="18"/>
      <c r="O3" s="18"/>
      <c r="P3" s="18"/>
      <c r="Q3" s="18"/>
      <c r="R3" s="18"/>
      <c r="S3" s="18"/>
      <c r="T3" s="18"/>
      <c r="U3" s="18"/>
      <c r="V3" s="18"/>
      <c r="W3" s="18"/>
      <c r="X3" s="18"/>
      <c r="Y3" s="18"/>
      <c r="Z3" s="18"/>
    </row>
    <row r="4">
      <c r="A4" t="str">
        <f>IFERROR(__xludf.DUMMYFUNCTION("IMPORTRANGE('_Settings'!B4,""Master Data!A4:L1000"")"),"#REF!")</f>
        <v>#REF!</v>
      </c>
    </row>
  </sheetData>
  <mergeCells count="1">
    <mergeCell ref="A1:F1"/>
  </mergeCells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12</v>
      </c>
      <c r="D3" s="5" t="s">
        <v>9</v>
      </c>
      <c r="E3" s="23" t="s">
        <v>13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IFERROR(__xludf.DUMMYFUNCTION("IF(C3="""","""",Transpose(IMPORTRANGE('_Settings'!$B$3,C3&amp;""!A4:A1000"")))"),"SetCompliancePermission")</f>
        <v>SetCompliancePermission</v>
      </c>
      <c r="C4" s="25" t="str">
        <f>IFERROR(__xludf.DUMMYFUNCTION("""COMPUTED_VALUE"""),"DeleteSymbolFromSM")</f>
        <v>DeleteSymbolFromSM</v>
      </c>
      <c r="D4" s="25" t="str">
        <f>IFERROR(__xludf.DUMMYFUNCTION("""COMPUTED_VALUE"""),"TradeAuditCleanUp")</f>
        <v>TradeAuditCleanUp</v>
      </c>
      <c r="E4" s="25" t="str">
        <f>IFERROR(__xludf.DUMMYFUNCTION("""COMPUTED_VALUE"""),"RestartSQL")</f>
        <v>RestartSQL</v>
      </c>
      <c r="F4" s="25" t="str">
        <f>IFERROR(__xludf.DUMMYFUNCTION("""COMPUTED_VALUE"""),"RevertingSMSharesOutValue")</f>
        <v>RevertingSMSharesOutValue</v>
      </c>
      <c r="G4" s="25" t="str">
        <f>IFERROR(__xludf.DUMMYFUNCTION("""COMPUTED_VALUE"""),"UpdateFee")</f>
        <v>UpdateFee</v>
      </c>
      <c r="H4" s="25" t="str">
        <f>IFERROR(__xludf.DUMMYFUNCTION("""COMPUTED_VALUE"""),"UpdateSecFee")</f>
        <v>UpdateSecFee</v>
      </c>
      <c r="I4" s="25" t="str">
        <f>IFERROR(__xludf.DUMMYFUNCTION("""COMPUTED_VALUE"""),"SetTTUIPreferences")</f>
        <v>SetTTUIPreferences</v>
      </c>
      <c r="J4" s="25" t="str">
        <f>IFERROR(__xludf.DUMMYFUNCTION("""COMPUTED_VALUE"""),"SetTTUIAdminPreferences")</f>
        <v>SetTTUIAdminPreferences</v>
      </c>
      <c r="K4" s="25" t="str">
        <f>IFERROR(__xludf.DUMMYFUNCTION("""COMPUTED_VALUE"""),"TTPermissionLevel")</f>
        <v>TTPermissionLevel</v>
      </c>
      <c r="L4" s="25" t="str">
        <f>IFERROR(__xludf.DUMMYFUNCTION("""COMPUTED_VALUE"""),"RenameMasterStrategy")</f>
        <v>RenameMasterStrategy</v>
      </c>
      <c r="M4" s="25" t="str">
        <f>IFERROR(__xludf.DUMMYFUNCTION("""COMPUTED_VALUE"""),"UpdateExpirationDate")</f>
        <v>UpdateExpirationDate</v>
      </c>
      <c r="N4" s="25" t="str">
        <f>IFERROR(__xludf.DUMMYFUNCTION("""COMPUTED_VALUE"""),"SetComplianceAlert")</f>
        <v>SetComplianceAlert</v>
      </c>
      <c r="O4" s="25" t="str">
        <f>IFERROR(__xludf.DUMMYFUNCTION("""COMPUTED_VALUE"""),"SetShortLocateStructures")</f>
        <v>SetShortLocateStructures</v>
      </c>
      <c r="P4" s="26" t="str">
        <f>IFERROR(__xludf.DUMMYFUNCTION("""COMPUTED_VALUE"""),"IsImportOverrideOnShortLocate")</f>
        <v>IsImportOverrideOnShortLocate</v>
      </c>
      <c r="Q4" s="26" t="str">
        <f>IFERROR(__xludf.DUMMYFUNCTION("""COMPUTED_VALUE"""),"EnableDisableModule")</f>
        <v>EnableDisableModule</v>
      </c>
      <c r="R4" s="26" t="str">
        <f>IFERROR(__xludf.DUMMYFUNCTION("""COMPUTED_VALUE"""),"SetDollarAmountPermission")</f>
        <v>SetDollarAmountPermission</v>
      </c>
      <c r="S4" s="26" t="str">
        <f>IFERROR(__xludf.DUMMYFUNCTION("""COMPUTED_VALUE"""),"SetTTGeneralPreferences")</f>
        <v>SetTTGeneralPreferences</v>
      </c>
      <c r="T4" s="26" t="str">
        <f>IFERROR(__xludf.DUMMYFUNCTION("""COMPUTED_VALUE"""),"EnableBreakdownRealizedPNL")</f>
        <v>EnableBreakdownRealizedPNL</v>
      </c>
      <c r="U4" s="26" t="str">
        <f>IFERROR(__xludf.DUMMYFUNCTION("""COMPUTED_VALUE"""),"SetTradingComplianceRules")</f>
        <v>SetTradingComplianceRules</v>
      </c>
      <c r="V4" s="26" t="str">
        <f>IFERROR(__xludf.DUMMYFUNCTION("""COMPUTED_VALUE"""),"UpdateRoundLot")</f>
        <v>UpdateRoundLot</v>
      </c>
      <c r="W4" s="26" t="str">
        <f>IFERROR(__xludf.DUMMYFUNCTION("""COMPUTED_VALUE"""),"SetThirdPartyFormat")</f>
        <v>SetThirdPartyFormat</v>
      </c>
      <c r="X4" s="26" t="str">
        <f>IFERROR(__xludf.DUMMYFUNCTION("""COMPUTED_VALUE"""),"SetActive")</f>
        <v>SetActive</v>
      </c>
      <c r="Y4" s="26" t="str">
        <f>IFERROR(__xludf.DUMMYFUNCTION("""COMPUTED_VALUE"""),"SetRollover")</f>
        <v>SetRollover</v>
      </c>
      <c r="Z4" s="26" t="str">
        <f>IFERROR(__xludf.DUMMYFUNCTION("""COMPUTED_VALUE"""),"SetCheckSide")</f>
        <v>SetCheckSide</v>
      </c>
      <c r="AA4" s="26"/>
      <c r="AB4" s="26"/>
      <c r="AC4" s="26"/>
      <c r="AD4" s="26"/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IFERROR(__xludf.DUMMYFUNCTION("""COMPUTED_VALUE"""),"Option")</f>
        <v>Option</v>
      </c>
      <c r="C5" s="28" t="str">
        <f>IFERROR(__xludf.DUMMYFUNCTION("""COMPUTED_VALUE"""),"Expiration Date")</f>
        <v>Expiration Date</v>
      </c>
      <c r="D5" s="28" t="str">
        <f>IFERROR(__xludf.DUMMYFUNCTION("""COMPUTED_VALUE"""),"AssetClass")</f>
        <v>AssetClass</v>
      </c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31" t="s">
        <v>16</v>
      </c>
      <c r="C6" s="32">
        <f>TODAY()+3</f>
        <v>45054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34" t="s">
        <v>17</v>
      </c>
      <c r="C7" s="32">
        <f>TODAY()+4</f>
        <v>45055</v>
      </c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UpdateExpirationDate!$4:$4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19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IFERROR(__xludf.DUMMYFUNCTION("""COMPUTED_VALUE"""),"Method")</f>
        <v>Method</v>
      </c>
      <c r="C5" s="28" t="str">
        <f>IFERROR(__xludf.DUMMYFUNCTION("""COMPUTED_VALUE"""),"Global Algorithm")</f>
        <v>Global Algorithm</v>
      </c>
      <c r="D5" s="28" t="str">
        <f>IFERROR(__xludf.DUMMYFUNCTION("""COMPUTED_VALUE"""),"Secondary Sort Criteria")</f>
        <v>Secondary Sort Criteria</v>
      </c>
      <c r="E5" s="28" t="str">
        <f>IFERROR(__xludf.DUMMYFUNCTION("""COMPUTED_VALUE"""),"Override Global Algorithm")</f>
        <v>Override Global Algorithm</v>
      </c>
      <c r="F5" s="29" t="str">
        <f>IFERROR(__xludf.DUMMYFUNCTION("""COMPUTED_VALUE"""),"Can close Sell Short with Buy and Buy to Open")</f>
        <v>Can close Sell Short with Buy and Buy to Open</v>
      </c>
      <c r="G5" s="28" t="str">
        <f>IFERROR(__xludf.DUMMYFUNCTION("""COMPUTED_VALUE"""),"Can close Sell with Buy to Close")</f>
        <v>Can close Sell with Buy to Close</v>
      </c>
      <c r="H5" s="28" t="str">
        <f>IFERROR(__xludf.DUMMYFUNCTION("""COMPUTED_VALUE"""),"Fetch Data Automatically")</f>
        <v>Fetch Data Automatically</v>
      </c>
      <c r="I5" s="28" t="str">
        <f>IFERROR(__xludf.DUMMYFUNCTION("""COMPUTED_VALUE"""),"Auto Close Stategy")</f>
        <v>Auto Close Stategy</v>
      </c>
      <c r="J5" s="28" t="str">
        <f>IFERROR(__xludf.DUMMYFUNCTION("""COMPUTED_VALUE"""),"Exercise/Assign CheckSide Validation")</f>
        <v>Exercise/Assign CheckSide Validation</v>
      </c>
      <c r="K5" s="28" t="str">
        <f>IFERROR(__xludf.DUMMYFUNCTION("""COMPUTED_VALUE"""),"Long Term Tax Rate (%)")</f>
        <v>Long Term Tax Rate (%)</v>
      </c>
      <c r="L5" s="28" t="str">
        <f>IFERROR(__xludf.DUMMYFUNCTION("""COMPUTED_VALUE"""),"Short Term Tax Rate (%)")</f>
        <v>Short Term Tax Rate (%)</v>
      </c>
      <c r="M5" s="28" t="str">
        <f>IFERROR(__xludf.DUMMYFUNCTION("""COMPUTED_VALUE"""),"Quantity round off digits")</f>
        <v>Quantity round off digits</v>
      </c>
      <c r="N5" s="28" t="str">
        <f>IFERROR(__xludf.DUMMYFUNCTION("""COMPUTED_VALUE"""),"Price round off digits")</f>
        <v>Price round off digits</v>
      </c>
      <c r="O5" s="28" t="str">
        <f>IFERROR(__xludf.DUMMYFUNCTION("""COMPUTED_VALUE"""),"Closing Field")</f>
        <v>Closing Field</v>
      </c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1"/>
      <c r="C6" s="34" t="s">
        <v>20</v>
      </c>
      <c r="D6" s="31"/>
      <c r="E6" s="35" t="b">
        <v>1</v>
      </c>
      <c r="F6" s="34"/>
      <c r="G6" s="34"/>
      <c r="H6" s="34"/>
      <c r="I6" s="34"/>
      <c r="J6" s="35" t="b">
        <v>1</v>
      </c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vailable step for selected module" sqref="E3">
      <formula1>SetClosingPreference!$4:$4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21</v>
      </c>
      <c r="D3" s="5" t="s">
        <v>9</v>
      </c>
      <c r="E3" s="23" t="s">
        <v>22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IFERROR(__xludf.DUMMYFUNCTION("IF(C3="""","""",Transpose(IMPORTRANGE('_Settings'!$B$3,C3&amp;""!A4:A1000"")))"),"VerifyBasketExport")</f>
        <v>VerifyBasketExport</v>
      </c>
      <c r="C4" s="25" t="str">
        <f>IFERROR(__xludf.DUMMYFUNCTION("""COMPUTED_VALUE"""),"OpenTTFromPST")</f>
        <v>OpenTTFromPST</v>
      </c>
      <c r="D4" s="25" t="str">
        <f>IFERROR(__xludf.DUMMYFUNCTION("""COMPUTED_VALUE"""),"CreateNewSubLiveOrder")</f>
        <v>CreateNewSubLiveOrder</v>
      </c>
      <c r="E4" s="25" t="str">
        <f>IFERROR(__xludf.DUMMYFUNCTION("""COMPUTED_VALUE"""),"CreateReplaceLiveOrder")</f>
        <v>CreateReplaceLiveOrder</v>
      </c>
      <c r="F4" s="25" t="str">
        <f>IFERROR(__xludf.DUMMYFUNCTION("""COMPUTED_VALUE"""),"EnterDetailsOnTT")</f>
        <v>EnterDetailsOnTT</v>
      </c>
      <c r="G4" s="25" t="str">
        <f>IFERROR(__xludf.DUMMYFUNCTION("""COMPUTED_VALUE"""),"ViewAllocation")</f>
        <v>ViewAllocation</v>
      </c>
      <c r="H4" s="25" t="str">
        <f>IFERROR(__xludf.DUMMYFUNCTION("""COMPUTED_VALUE"""),"ValidateSymbolTT")</f>
        <v>ValidateSymbolTT</v>
      </c>
      <c r="I4" s="25" t="str">
        <f>IFERROR(__xludf.DUMMYFUNCTION("""COMPUTED_VALUE"""),"VerifyDataTT")</f>
        <v>VerifyDataTT</v>
      </c>
      <c r="J4" s="25" t="str">
        <f>IFERROR(__xludf.DUMMYFUNCTION("""COMPUTED_VALUE"""),"SetUIPreferencesTT")</f>
        <v>SetUIPreferencesTT</v>
      </c>
      <c r="K4" s="25" t="str">
        <f>IFERROR(__xludf.DUMMYFUNCTION("""COMPUTED_VALUE"""),"SetBrokerWisePreferencesTT")</f>
        <v>SetBrokerWisePreferencesTT</v>
      </c>
      <c r="L4" s="25" t="str">
        <f>IFERROR(__xludf.DUMMYFUNCTION("""COMPUTED_VALUE"""),"VerifyComplianceOrder")</f>
        <v>VerifyComplianceOrder</v>
      </c>
      <c r="M4" s="25" t="str">
        <f>IFERROR(__xludf.DUMMYFUNCTION("""COMPUTED_VALUE"""),"TradeNewSub")</f>
        <v>TradeNewSub</v>
      </c>
      <c r="N4" s="25" t="str">
        <f>IFERROR(__xludf.DUMMYFUNCTION("""COMPUTED_VALUE"""),"SendLiveBloomberg")</f>
        <v>SendLiveBloomberg</v>
      </c>
      <c r="O4" s="25" t="str">
        <f>IFERROR(__xludf.DUMMYFUNCTION("""COMPUTED_VALUE"""),"AddOptionTrade")</f>
        <v>AddOptionTrade</v>
      </c>
      <c r="P4" s="26" t="str">
        <f>IFERROR(__xludf.DUMMYFUNCTION("""COMPUTED_VALUE"""),"CreateComplianceOrder")</f>
        <v>CreateComplianceOrder</v>
      </c>
      <c r="Q4" s="26" t="str">
        <f>IFERROR(__xludf.DUMMYFUNCTION("""COMPUTED_VALUE"""),"CreateDoneAwayOrder")</f>
        <v>CreateDoneAwayOrder</v>
      </c>
      <c r="R4" s="26" t="str">
        <f>IFERROR(__xludf.DUMMYFUNCTION("""COMPUTED_VALUE"""),"CreateStageOrder")</f>
        <v>CreateStageOrder</v>
      </c>
      <c r="S4" s="26" t="str">
        <f>IFERROR(__xludf.DUMMYFUNCTION("""COMPUTED_VALUE"""),"ToggleBlombergOnRA")</f>
        <v>ToggleBlombergOnRA</v>
      </c>
      <c r="T4" s="26" t="str">
        <f>IFERROR(__xludf.DUMMYFUNCTION("""COMPUTED_VALUE"""),"CreateReplaceOrder")</f>
        <v>CreateReplaceOrder</v>
      </c>
      <c r="U4" s="26" t="str">
        <f>IFERROR(__xludf.DUMMYFUNCTION("""COMPUTED_VALUE"""),"RemoveSymbolFromRAList")</f>
        <v>RemoveSymbolFromRAList</v>
      </c>
      <c r="V4" s="26" t="str">
        <f>IFERROR(__xludf.DUMMYFUNCTION("""COMPUTED_VALUE"""),"DeleteSymbolListFromRA")</f>
        <v>DeleteSymbolListFromRA</v>
      </c>
      <c r="W4" s="26" t="str">
        <f>IFERROR(__xludf.DUMMYFUNCTION("""COMPUTED_VALUE"""),"AddSymbolOnRAList")</f>
        <v>AddSymbolOnRAList</v>
      </c>
      <c r="X4" s="26" t="str">
        <f>IFERROR(__xludf.DUMMYFUNCTION("""COMPUTED_VALUE"""),"CheckPendingNewOrderAlert")</f>
        <v>CheckPendingNewOrderAlert</v>
      </c>
      <c r="Y4" s="26" t="str">
        <f>IFERROR(__xludf.DUMMYFUNCTION("""COMPUTED_VALUE"""),"ExportSymbolFromRAList")</f>
        <v>ExportSymbolFromRAList</v>
      </c>
      <c r="Z4" s="26" t="str">
        <f>IFERROR(__xludf.DUMMYFUNCTION("""COMPUTED_VALUE"""),"ImportSymbol")</f>
        <v>ImportSymbol</v>
      </c>
      <c r="AA4" s="26" t="str">
        <f>IFERROR(__xludf.DUMMYFUNCTION("""COMPUTED_VALUE"""),"SetGeneralPreference")</f>
        <v>SetGeneralPreference</v>
      </c>
      <c r="AB4" s="26" t="str">
        <f>IFERROR(__xludf.DUMMYFUNCTION("""COMPUTED_VALUE"""),"SetTTCompliancePreference")</f>
        <v>SetTTCompliancePreference</v>
      </c>
      <c r="AC4" s="26" t="str">
        <f>IFERROR(__xludf.DUMMYFUNCTION("""COMPUTED_VALUE"""),"UpdateMasterFundOnTT")</f>
        <v>UpdateMasterFundOnTT</v>
      </c>
      <c r="AD4" s="26" t="str">
        <f>IFERROR(__xludf.DUMMYFUNCTION("""COMPUTED_VALUE"""),"CreateLiveOrder")</f>
        <v>CreateLiveOrder</v>
      </c>
      <c r="AE4" s="26" t="str">
        <f>IFERROR(__xludf.DUMMYFUNCTION("""COMPUTED_VALUE"""),"CreateNewSubOrder")</f>
        <v>CreateNewSubOrder</v>
      </c>
      <c r="AF4" s="26" t="str">
        <f>IFERROR(__xludf.DUMMYFUNCTION("""COMPUTED_VALUE"""),"TradeBloomberg")</f>
        <v>TradeBloomberg</v>
      </c>
      <c r="AG4" s="26" t="str">
        <f>IFERROR(__xludf.DUMMYFUNCTION("""COMPUTED_VALUE"""),"ClickSymbolLookup")</f>
        <v>ClickSymbolLookup</v>
      </c>
      <c r="AH4" s="26" t="str">
        <f>IFERROR(__xludf.DUMMYFUNCTION("""COMPUTED_VALUE"""),"VerifyTT")</f>
        <v>VerifyTT</v>
      </c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IFERROR(__xludf.DUMMYFUNCTION("""COMPUTED_VALUE"""),"Order Side")</f>
        <v>Order Side</v>
      </c>
      <c r="D5" s="28" t="str">
        <f>IFERROR(__xludf.DUMMYFUNCTION("""COMPUTED_VALUE"""),"Quantity")</f>
        <v>Quantity</v>
      </c>
      <c r="E5" s="28" t="str">
        <f>IFERROR(__xludf.DUMMYFUNCTION("""COMPUTED_VALUE"""),"TargetQuantityIn")</f>
        <v>TargetQuantityIn</v>
      </c>
      <c r="F5" s="29" t="str">
        <f>IFERROR(__xludf.DUMMYFUNCTION("""COMPUTED_VALUE"""),"AllocationMethod")</f>
        <v>AllocationMethod</v>
      </c>
      <c r="G5" s="28" t="str">
        <f>IFERROR(__xludf.DUMMYFUNCTION("""COMPUTED_VALUE"""),"Broker")</f>
        <v>Broker</v>
      </c>
      <c r="H5" s="28" t="str">
        <f>IFERROR(__xludf.DUMMYFUNCTION("""COMPUTED_VALUE"""),"TIF")</f>
        <v>TIF</v>
      </c>
      <c r="I5" s="28" t="str">
        <f>IFERROR(__xludf.DUMMYFUNCTION("""COMPUTED_VALUE"""),"Order Type")</f>
        <v>Order Type</v>
      </c>
      <c r="J5" s="28" t="str">
        <f>IFERROR(__xludf.DUMMYFUNCTION("""COMPUTED_VALUE"""),"Price")</f>
        <v>Price</v>
      </c>
      <c r="K5" s="28" t="str">
        <f>IFERROR(__xludf.DUMMYFUNCTION("""COMPUTED_VALUE"""),"Stop")</f>
        <v>Stop</v>
      </c>
      <c r="L5" s="28" t="str">
        <f>IFERROR(__xludf.DUMMYFUNCTION("""COMPUTED_VALUE"""),"Limit")</f>
        <v>Limit</v>
      </c>
      <c r="M5" s="28" t="str">
        <f>IFERROR(__xludf.DUMMYFUNCTION("""COMPUTED_VALUE"""),"Strategy")</f>
        <v>Strategy</v>
      </c>
      <c r="N5" s="28" t="str">
        <f>IFERROR(__xludf.DUMMYFUNCTION("""COMPUTED_VALUE"""),"Trade Date")</f>
        <v>Trade Date</v>
      </c>
      <c r="O5" s="28" t="str">
        <f>IFERROR(__xludf.DUMMYFUNCTION("""COMPUTED_VALUE"""),"FxRate")</f>
        <v>FxRate</v>
      </c>
      <c r="P5" s="28" t="str">
        <f>IFERROR(__xludf.DUMMYFUNCTION("""COMPUTED_VALUE"""),"Notes")</f>
        <v>Notes</v>
      </c>
      <c r="Q5" s="28" t="str">
        <f>IFERROR(__xludf.DUMMYFUNCTION("""COMPUTED_VALUE"""),"Broker Notes")</f>
        <v>Broker Notes</v>
      </c>
      <c r="R5" s="28" t="str">
        <f>IFERROR(__xludf.DUMMYFUNCTION("""COMPUTED_VALUE"""),"CommissionBasis")</f>
        <v>CommissionBasis</v>
      </c>
      <c r="S5" s="28" t="str">
        <f>IFERROR(__xludf.DUMMYFUNCTION("""COMPUTED_VALUE"""),"CommissionRate")</f>
        <v>CommissionRate</v>
      </c>
      <c r="T5" s="30" t="str">
        <f>IFERROR(__xludf.DUMMYFUNCTION("""COMPUTED_VALUE"""),"SoftBasis")</f>
        <v>SoftBasis</v>
      </c>
      <c r="U5" s="30" t="str">
        <f>IFERROR(__xludf.DUMMYFUNCTION("""COMPUTED_VALUE"""),"SoftRate")</f>
        <v>SoftRate</v>
      </c>
      <c r="V5" s="30" t="str">
        <f>IFERROR(__xludf.DUMMYFUNCTION("""COMPUTED_VALUE"""),"TradeAttribute1")</f>
        <v>TradeAttribute1</v>
      </c>
      <c r="W5" s="30" t="str">
        <f>IFERROR(__xludf.DUMMYFUNCTION("""COMPUTED_VALUE"""),"TradeAttribute2")</f>
        <v>TradeAttribute2</v>
      </c>
      <c r="X5" s="30" t="str">
        <f>IFERROR(__xludf.DUMMYFUNCTION("""COMPUTED_VALUE"""),"TradeAttribute3")</f>
        <v>TradeAttribute3</v>
      </c>
      <c r="Y5" s="30" t="str">
        <f>IFERROR(__xludf.DUMMYFUNCTION("""COMPUTED_VALUE"""),"TradeAttribute4")</f>
        <v>TradeAttribute4</v>
      </c>
      <c r="Z5" s="30" t="str">
        <f>IFERROR(__xludf.DUMMYFUNCTION("""COMPUTED_VALUE"""),"TradeAttribute5")</f>
        <v>TradeAttribute5</v>
      </c>
      <c r="AA5" s="30" t="str">
        <f>IFERROR(__xludf.DUMMYFUNCTION("""COMPUTED_VALUE"""),"TradeAttribute6")</f>
        <v>TradeAttribute6</v>
      </c>
      <c r="AB5" s="30" t="str">
        <f>IFERROR(__xludf.DUMMYFUNCTION("""COMPUTED_VALUE"""),"Venue")</f>
        <v>Venue</v>
      </c>
      <c r="AC5" s="30" t="str">
        <f>IFERROR(__xludf.DUMMYFUNCTION("""COMPUTED_VALUE"""),"ExecutionInstructions")</f>
        <v>ExecutionInstructions</v>
      </c>
      <c r="AD5" s="30" t="str">
        <f>IFERROR(__xludf.DUMMYFUNCTION("""COMPUTED_VALUE"""),"HandlingInstructions")</f>
        <v>HandlingInstructions</v>
      </c>
      <c r="AE5" s="30" t="str">
        <f>IFERROR(__xludf.DUMMYFUNCTION("""COMPUTED_VALUE"""),"Trader")</f>
        <v>Trader</v>
      </c>
      <c r="AF5" s="30" t="str">
        <f>IFERROR(__xludf.DUMMYFUNCTION("""COMPUTED_VALUE"""),"SettlementCurrency")</f>
        <v>SettlementCurrency</v>
      </c>
      <c r="AG5" s="30" t="str">
        <f>IFERROR(__xludf.DUMMYFUNCTION("""COMPUTED_VALUE"""),"SettlementFXRate")</f>
        <v>SettlementFXRate</v>
      </c>
      <c r="AH5" s="30" t="str">
        <f>IFERROR(__xludf.DUMMYFUNCTION("""COMPUTED_VALUE"""),"SettlementAmount")</f>
        <v>SettlementAmount</v>
      </c>
      <c r="AI5" s="30" t="str">
        <f>IFERROR(__xludf.DUMMYFUNCTION("""COMPUTED_VALUE"""),"SettlementFXOperator")</f>
        <v>SettlementFXOperator</v>
      </c>
      <c r="AJ5" s="30" t="str">
        <f>IFERROR(__xludf.DUMMYFUNCTION("""COMPUTED_VALUE"""),"SettleByBroker")</f>
        <v>SettleByBroker</v>
      </c>
      <c r="AK5" s="30" t="str">
        <f>IFERROR(__xludf.DUMMYFUNCTION("""COMPUTED_VALUE"""),"Account")</f>
        <v>Account</v>
      </c>
      <c r="AL5" s="30" t="str">
        <f>IFERROR(__xludf.DUMMYFUNCTION("""COMPUTED_VALUE"""),"Account %")</f>
        <v>Account %</v>
      </c>
      <c r="AM5" s="30" t="str">
        <f>IFERROR(__xludf.DUMMYFUNCTION("""COMPUTED_VALUE"""),"Deal In")</f>
        <v>Deal In</v>
      </c>
      <c r="AN5" s="30" t="str">
        <f>IFERROR(__xludf.DUMMYFUNCTION("""COMPUTED_VALUE"""),"ChkBoxBookAsSwap")</f>
        <v>ChkBoxBookAsSwap</v>
      </c>
      <c r="AO5" s="30" t="str">
        <f>IFERROR(__xludf.DUMMYFUNCTION("""COMPUTED_VALUE"""),"PopUpQuantity")</f>
        <v>PopUpQuantity</v>
      </c>
      <c r="AP5" s="30" t="str">
        <f>IFERROR(__xludf.DUMMYFUNCTION("""COMPUTED_VALUE"""),"ShortLocate")</f>
        <v>ShortLocate</v>
      </c>
      <c r="AQ5" s="30" t="str">
        <f>IFERROR(__xludf.DUMMYFUNCTION("""COMPUTED_VALUE"""),"AllowTrade")</f>
        <v>AllowTrade</v>
      </c>
      <c r="AR5" s="30" t="str">
        <f>IFERROR(__xludf.DUMMYFUNCTION("""COMPUTED_VALUE"""),"SharesOutstandingPopUpQty")</f>
        <v>SharesOutstandingPopUpQty</v>
      </c>
      <c r="AS5" s="30" t="str">
        <f>IFERROR(__xludf.DUMMYFUNCTION("""COMPUTED_VALUE"""),"SharesOutstandingPopUp")</f>
        <v>SharesOutstandingPopUp</v>
      </c>
      <c r="AT5" s="30" t="str">
        <f>IFERROR(__xludf.DUMMYFUNCTION("""COMPUTED_VALUE"""),"ResAllowedListPopUp")</f>
        <v>ResAllowedListPopUp</v>
      </c>
      <c r="AU5" s="30" t="str">
        <f>IFERROR(__xludf.DUMMYFUNCTION("""COMPUTED_VALUE"""),"Rate(%)")</f>
        <v>Rate(%)</v>
      </c>
      <c r="AV5" s="30" t="str">
        <f>IFERROR(__xludf.DUMMYFUNCTION("""COMPUTED_VALUE"""),"Interest Rate")</f>
        <v>Interest Rate</v>
      </c>
      <c r="AW5" s="30" t="str">
        <f>IFERROR(__xludf.DUMMYFUNCTION("""COMPUTED_VALUE"""),"SelectAlgoStrategy")</f>
        <v>SelectAlgoStrategy</v>
      </c>
      <c r="AX5" s="30" t="str">
        <f>IFERROR(__xludf.DUMMYFUNCTION("""COMPUTED_VALUE"""),"Increase/Decrease Quantity")</f>
        <v>Increase/Decrease Quantity</v>
      </c>
      <c r="AY5" s="30" t="str">
        <f>IFERROR(__xludf.DUMMYFUNCTION("""COMPUTED_VALUE"""),"Master Funds")</f>
        <v>Master Funds</v>
      </c>
      <c r="AZ5" s="30" t="str">
        <f>IFERROR(__xludf.DUMMYFUNCTION("""COMPUTED_VALUE"""),"TRVAccountName")</f>
        <v>TRVAccountName</v>
      </c>
      <c r="BA5" s="30" t="str">
        <f>IFERROR(__xludf.DUMMYFUNCTION("""COMPUTED_VALUE"""),"TRVTradeQuantity")</f>
        <v>TRVTradeQuantity</v>
      </c>
      <c r="BB5" s="30" t="str">
        <f>IFERROR(__xludf.DUMMYFUNCTION("""COMPUTED_VALUE"""),"TRVCurrentPosition")</f>
        <v>TRVCurrentPosition</v>
      </c>
      <c r="BC5" s="30" t="str">
        <f>IFERROR(__xludf.DUMMYFUNCTION("""COMPUTED_VALUE"""),"TRVNav")</f>
        <v>TRVNav</v>
      </c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36" t="s">
        <v>23</v>
      </c>
      <c r="C6" s="36" t="s">
        <v>24</v>
      </c>
      <c r="D6" s="37">
        <v>100.0</v>
      </c>
      <c r="E6" s="34"/>
      <c r="F6" s="36" t="s">
        <v>25</v>
      </c>
      <c r="G6" s="34"/>
      <c r="H6" s="34"/>
      <c r="I6" s="34"/>
      <c r="J6" s="37">
        <v>10.0</v>
      </c>
      <c r="K6" s="34"/>
      <c r="L6" s="34"/>
      <c r="M6" s="34"/>
      <c r="N6" s="38">
        <f>TODAY()-8</f>
        <v>45043</v>
      </c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1"/>
      <c r="B7" s="31" t="s">
        <v>16</v>
      </c>
      <c r="C7" s="36" t="s">
        <v>26</v>
      </c>
      <c r="D7" s="39">
        <v>10.0</v>
      </c>
      <c r="E7" s="34"/>
      <c r="F7" s="36" t="s">
        <v>25</v>
      </c>
      <c r="G7" s="34"/>
      <c r="H7" s="34"/>
      <c r="I7" s="34"/>
      <c r="J7" s="40">
        <v>10.0</v>
      </c>
      <c r="K7" s="34"/>
      <c r="L7" s="34"/>
      <c r="M7" s="34"/>
      <c r="N7" s="38">
        <f>TODAY()-4</f>
        <v>45047</v>
      </c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34"/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34"/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34"/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34"/>
      <c r="B8" s="34" t="s">
        <v>17</v>
      </c>
      <c r="C8" s="34" t="s">
        <v>27</v>
      </c>
      <c r="D8" s="40">
        <v>10.0</v>
      </c>
      <c r="E8" s="34"/>
      <c r="F8" s="36" t="s">
        <v>25</v>
      </c>
      <c r="G8" s="34"/>
      <c r="H8" s="34"/>
      <c r="I8" s="34"/>
      <c r="J8" s="40">
        <v>10.0</v>
      </c>
      <c r="K8" s="34"/>
      <c r="L8" s="34"/>
      <c r="M8" s="34"/>
      <c r="N8" s="38">
        <f>TODAY()-3</f>
        <v>45048</v>
      </c>
      <c r="O8" s="34"/>
      <c r="P8" s="34"/>
      <c r="Q8" s="34"/>
      <c r="R8" s="34"/>
      <c r="S8" s="34"/>
      <c r="T8" s="34"/>
      <c r="U8" s="34"/>
      <c r="V8" s="34"/>
      <c r="W8" s="34"/>
      <c r="X8" s="34"/>
      <c r="Y8" s="34"/>
      <c r="Z8" s="34"/>
      <c r="AA8" s="34"/>
      <c r="AB8" s="34"/>
      <c r="AC8" s="34"/>
      <c r="AD8" s="34"/>
      <c r="AE8" s="34"/>
      <c r="AF8" s="34"/>
      <c r="AG8" s="34"/>
      <c r="AH8" s="34"/>
      <c r="AI8" s="34"/>
      <c r="AJ8" s="34"/>
      <c r="AK8" s="34"/>
      <c r="AL8" s="34"/>
      <c r="AM8" s="34"/>
      <c r="AN8" s="34"/>
      <c r="AO8" s="34"/>
      <c r="AP8" s="34"/>
      <c r="AQ8" s="34"/>
      <c r="AR8" s="34"/>
      <c r="AS8" s="34"/>
      <c r="AT8" s="34"/>
      <c r="AU8" s="34"/>
      <c r="AV8" s="34"/>
      <c r="AW8" s="34"/>
      <c r="AX8" s="34"/>
      <c r="AY8" s="34"/>
      <c r="AZ8" s="34"/>
      <c r="BA8" s="34"/>
      <c r="BB8" s="34"/>
      <c r="BC8" s="34"/>
      <c r="BD8" s="34"/>
      <c r="BE8" s="34"/>
      <c r="BF8" s="34"/>
      <c r="BG8" s="34"/>
      <c r="BH8" s="34"/>
      <c r="BI8" s="34"/>
      <c r="BJ8" s="34"/>
      <c r="BK8" s="34"/>
      <c r="BL8" s="34"/>
      <c r="BM8" s="34"/>
      <c r="BN8" s="34"/>
      <c r="BO8" s="34"/>
      <c r="BP8" s="34"/>
      <c r="BQ8" s="34"/>
      <c r="BR8" s="34"/>
      <c r="BS8" s="34"/>
      <c r="BT8" s="34"/>
      <c r="BU8" s="34"/>
      <c r="BV8" s="34"/>
      <c r="BW8" s="34"/>
      <c r="BX8" s="34"/>
      <c r="BY8" s="34"/>
      <c r="BZ8" s="34"/>
      <c r="CA8" s="34"/>
      <c r="CB8" s="34"/>
      <c r="CC8" s="34"/>
      <c r="CD8" s="34"/>
      <c r="CE8" s="34"/>
      <c r="CF8" s="34"/>
      <c r="CG8" s="34"/>
      <c r="CH8" s="34"/>
      <c r="CI8" s="34"/>
      <c r="CJ8" s="34"/>
      <c r="CK8" s="34"/>
      <c r="CL8" s="34"/>
      <c r="CM8" s="34"/>
      <c r="CN8" s="34"/>
      <c r="CO8" s="34"/>
      <c r="CP8" s="34"/>
      <c r="CQ8" s="34"/>
      <c r="CR8" s="34"/>
      <c r="CS8" s="34"/>
      <c r="CT8" s="34"/>
      <c r="CU8" s="34"/>
      <c r="CV8" s="34"/>
      <c r="CW8" s="34"/>
      <c r="CX8" s="34"/>
      <c r="CY8" s="34"/>
      <c r="CZ8" s="34"/>
      <c r="DA8" s="34"/>
      <c r="DB8" s="34"/>
      <c r="DC8" s="34"/>
      <c r="DD8" s="34"/>
      <c r="DE8" s="34"/>
      <c r="DF8" s="34"/>
      <c r="DG8" s="34"/>
      <c r="DH8" s="34"/>
      <c r="DI8" s="34"/>
      <c r="DJ8" s="34"/>
      <c r="DK8" s="34"/>
      <c r="DL8" s="34"/>
      <c r="DM8" s="34"/>
      <c r="DN8" s="34"/>
      <c r="DO8" s="34"/>
      <c r="DP8" s="34"/>
      <c r="DQ8" s="34"/>
      <c r="DR8" s="34"/>
      <c r="DS8" s="34"/>
      <c r="DT8" s="34"/>
      <c r="DU8" s="34"/>
      <c r="DV8" s="34"/>
      <c r="DW8" s="34"/>
      <c r="DX8" s="34"/>
      <c r="DY8" s="34"/>
      <c r="DZ8" s="34"/>
      <c r="EA8" s="34"/>
      <c r="EB8" s="34"/>
      <c r="EC8" s="34"/>
      <c r="ED8" s="34"/>
      <c r="EE8" s="34"/>
      <c r="EF8" s="34"/>
      <c r="EG8" s="34"/>
      <c r="EH8" s="34"/>
      <c r="EI8" s="34"/>
      <c r="EJ8" s="34"/>
      <c r="EK8" s="34"/>
      <c r="EL8" s="34"/>
      <c r="EM8" s="34"/>
      <c r="EN8" s="34"/>
      <c r="EO8" s="34"/>
      <c r="EP8" s="34"/>
      <c r="EQ8" s="34"/>
      <c r="ER8" s="34"/>
      <c r="ES8" s="34"/>
      <c r="ET8" s="34"/>
      <c r="EU8" s="34"/>
      <c r="EV8" s="34"/>
      <c r="EW8" s="34"/>
      <c r="EX8" s="34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>
      <c r="A27" s="8"/>
      <c r="B27" s="8"/>
      <c r="C27" s="8"/>
      <c r="D27" s="8"/>
      <c r="E27" s="8"/>
      <c r="F27" s="8"/>
      <c r="G27" s="8"/>
      <c r="H27" s="8"/>
      <c r="I27" s="8"/>
      <c r="J27" s="8"/>
      <c r="K27" s="8"/>
      <c r="L27" s="8"/>
      <c r="M27" s="8"/>
      <c r="N27" s="8"/>
      <c r="O27" s="8"/>
    </row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  <row r="101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CreateDoneAwayOrder!$4:$4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7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29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IFERROR(__xludf.DUMMYFUNCTION("""COMPUTED_VALUE"""),"Select Date")</f>
        <v>Select Date</v>
      </c>
      <c r="C5" s="28" t="str">
        <f>IFERROR(__xludf.DUMMYFUNCTION("""COMPUTED_VALUE"""),"Copy Date ")</f>
        <v>Copy Date 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1">
        <f>today()-1</f>
        <v>45050</v>
      </c>
      <c r="C6" s="41">
        <f>today()</f>
        <v>45051</v>
      </c>
      <c r="D6" s="31"/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GetMarkPriceData!$4:$4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8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28</v>
      </c>
      <c r="D3" s="5" t="s">
        <v>9</v>
      </c>
      <c r="E3" s="23" t="s">
        <v>30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IFERROR(__xludf.DUMMYFUNCTION("IF(C3="""","""",Transpose(IMPORTRANGE('_Settings'!$B$3,C3&amp;""!A4:A1000"")))"),"FilterBlankMP")</f>
        <v>FilterBlankMP</v>
      </c>
      <c r="C4" s="25" t="str">
        <f>IFERROR(__xludf.DUMMYFUNCTION("""COMPUTED_VALUE"""),"UpdateBlankMP")</f>
        <v>UpdateBlankMP</v>
      </c>
      <c r="D4" s="25" t="str">
        <f>IFERROR(__xludf.DUMMYFUNCTION("""COMPUTED_VALUE"""),"UpateSymbolBlankMP")</f>
        <v>UpateSymbolBlankMP</v>
      </c>
      <c r="E4" s="25" t="str">
        <f>IFERROR(__xludf.DUMMYFUNCTION("""COMPUTED_VALUE"""),"EnableBlankMarkPrices")</f>
        <v>EnableBlankMarkPrices</v>
      </c>
      <c r="F4" s="25" t="str">
        <f>IFERROR(__xludf.DUMMYFUNCTION("""COMPUTED_VALUE"""),"UpdateBeta")</f>
        <v>UpdateBeta</v>
      </c>
      <c r="G4" s="25" t="str">
        <f>IFERROR(__xludf.DUMMYFUNCTION("""COMPUTED_VALUE"""),"UpdateDailyCash")</f>
        <v>UpdateDailyCash</v>
      </c>
      <c r="H4" s="25" t="str">
        <f>IFERROR(__xludf.DUMMYFUNCTION("""COMPUTED_VALUE"""),"UpdateMultipleDailyCash")</f>
        <v>UpdateMultipleDailyCash</v>
      </c>
      <c r="I4" s="25" t="str">
        <f>IFERROR(__xludf.DUMMYFUNCTION("""COMPUTED_VALUE"""),"UpdateForexConversion")</f>
        <v>UpdateForexConversion</v>
      </c>
      <c r="J4" s="25" t="str">
        <f>IFERROR(__xludf.DUMMYFUNCTION("""COMPUTED_VALUE"""),"UpdateMarkPrice")</f>
        <v>UpdateMarkPrice</v>
      </c>
      <c r="K4" s="25" t="str">
        <f>IFERROR(__xludf.DUMMYFUNCTION("""COMPUTED_VALUE"""),"CleanUp")</f>
        <v>CleanUp</v>
      </c>
      <c r="L4" s="25" t="str">
        <f>IFERROR(__xludf.DUMMYFUNCTION("""COMPUTED_VALUE"""),"GetMarkPriceData")</f>
        <v>GetMarkPriceData</v>
      </c>
      <c r="M4" s="25" t="str">
        <f>IFERROR(__xludf.DUMMYFUNCTION("""COMPUTED_VALUE"""),"GetForwardPoints")</f>
        <v>GetForwardPoints</v>
      </c>
      <c r="N4" s="25" t="str">
        <f>IFERROR(__xludf.DUMMYFUNCTION("""COMPUTED_VALUE"""),"UpdateForwardPoints")</f>
        <v>UpdateForwardPoints</v>
      </c>
      <c r="O4" s="25" t="str">
        <f>IFERROR(__xludf.DUMMYFUNCTION("""COMPUTED_VALUE"""),"GetForexConversion")</f>
        <v>GetForexConversion</v>
      </c>
      <c r="P4" s="26" t="str">
        <f>IFERROR(__xludf.DUMMYFUNCTION("""COMPUTED_VALUE"""),"DeleteNAV")</f>
        <v>DeleteNAV</v>
      </c>
      <c r="Q4" s="26" t="str">
        <f>IFERROR(__xludf.DUMMYFUNCTION("""COMPUTED_VALUE"""),"GetDailyCash")</f>
        <v>GetDailyCash</v>
      </c>
      <c r="R4" s="26" t="str">
        <f>IFERROR(__xludf.DUMMYFUNCTION("""COMPUTED_VALUE"""),"GetDailyBeta")</f>
        <v>GetDailyBeta</v>
      </c>
      <c r="S4" s="26" t="str">
        <f>IFERROR(__xludf.DUMMYFUNCTION("""COMPUTED_VALUE"""),"GetDailyVolatility")</f>
        <v>GetDailyVolatility</v>
      </c>
      <c r="T4" s="26" t="str">
        <f>IFERROR(__xludf.DUMMYFUNCTION("""COMPUTED_VALUE"""),"GetDailyDividendYield")</f>
        <v>GetDailyDividendYield</v>
      </c>
      <c r="U4" s="26" t="str">
        <f>IFERROR(__xludf.DUMMYFUNCTION("""COMPUTED_VALUE"""),"GetDailyTradingVolume")</f>
        <v>GetDailyTradingVolume</v>
      </c>
      <c r="V4" s="26" t="str">
        <f>IFERROR(__xludf.DUMMYFUNCTION("""COMPUTED_VALUE"""),"GetDailyOutstandings")</f>
        <v>GetDailyOutstandings</v>
      </c>
      <c r="W4" s="26" t="str">
        <f>IFERROR(__xludf.DUMMYFUNCTION("""COMPUTED_VALUE"""),"VerifyDailyCash")</f>
        <v>VerifyDailyCash</v>
      </c>
      <c r="X4" s="26" t="str">
        <f>IFERROR(__xludf.DUMMYFUNCTION("""COMPUTED_VALUE"""),"GetDailyDelta")</f>
        <v>GetDailyDelta</v>
      </c>
      <c r="Y4" s="26" t="str">
        <f>IFERROR(__xludf.DUMMYFUNCTION("""COMPUTED_VALUE"""),"UpdateDailyVolatility")</f>
        <v>UpdateDailyVolatility</v>
      </c>
      <c r="Z4" s="26" t="str">
        <f>IFERROR(__xludf.DUMMYFUNCTION("""COMPUTED_VALUE"""),"UpdateDividendYield")</f>
        <v>UpdateDividendYield</v>
      </c>
      <c r="AA4" s="26" t="str">
        <f>IFERROR(__xludf.DUMMYFUNCTION("""COMPUTED_VALUE"""),"UpdateTradingVolume")</f>
        <v>UpdateTradingVolume</v>
      </c>
      <c r="AB4" s="26" t="str">
        <f>IFERROR(__xludf.DUMMYFUNCTION("""COMPUTED_VALUE"""),"UpdateDailyDelta")</f>
        <v>UpdateDailyDelta</v>
      </c>
      <c r="AC4" s="26" t="str">
        <f>IFERROR(__xludf.DUMMYFUNCTION("""COMPUTED_VALUE"""),"UpdateDailyOutstandings")</f>
        <v>UpdateDailyOutstandings</v>
      </c>
      <c r="AD4" s="26" t="str">
        <f>IFERROR(__xludf.DUMMYFUNCTION("""COMPUTED_VALUE"""),"UpdateBeta")</f>
        <v>UpdateBeta</v>
      </c>
      <c r="AE4" s="26" t="str">
        <f>IFERROR(__xludf.DUMMYFUNCTION("""COMPUTED_VALUE"""),"UpdateNAV")</f>
        <v>UpdateNAV</v>
      </c>
      <c r="AF4" s="26" t="str">
        <f>IFERROR(__xludf.DUMMYFUNCTION("""COMPUTED_VALUE"""),"UpdateDailyCash")</f>
        <v>UpdateDailyCash</v>
      </c>
      <c r="AG4" s="26" t="str">
        <f>IFERROR(__xludf.DUMMYFUNCTION("""COMPUTED_VALUE"""),"UpdateDailyCreditLimt")</f>
        <v>UpdateDailyCreditLimt</v>
      </c>
      <c r="AH4" s="26" t="str">
        <f>IFERROR(__xludf.DUMMYFUNCTION("""COMPUTED_VALUE"""),"RemoveDailyCreditLimit")</f>
        <v>RemoveDailyCreditLimit</v>
      </c>
      <c r="AI4" s="26" t="str">
        <f>IFERROR(__xludf.DUMMYFUNCTION("""COMPUTED_VALUE"""),"RemoveDailyCash")</f>
        <v>RemoveDailyCash</v>
      </c>
      <c r="AJ4" s="26" t="str">
        <f>IFERROR(__xludf.DUMMYFUNCTION("""COMPUTED_VALUE"""),"RemoveNAV")</f>
        <v>RemoveNAV</v>
      </c>
      <c r="AK4" s="26" t="str">
        <f>IFERROR(__xludf.DUMMYFUNCTION("""COMPUTED_VALUE"""),"UpdateMarkPriceMonthly")</f>
        <v>UpdateMarkPriceMonthly</v>
      </c>
      <c r="AL4" s="26" t="str">
        <f>IFERROR(__xludf.DUMMYFUNCTION("""COMPUTED_VALUE"""),"UpdateForexConversionMonthly")</f>
        <v>UpdateForexConversionMonthly</v>
      </c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IFERROR(__xludf.DUMMYFUNCTION("""COMPUTED_VALUE"""),"Symbol")</f>
        <v>Symbol</v>
      </c>
      <c r="C5" s="28" t="str">
        <f>IFERROR(__xludf.DUMMYFUNCTION("""COMPUTED_VALUE"""),"Price")</f>
        <v>Price</v>
      </c>
      <c r="D5" s="28"/>
      <c r="E5" s="28"/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 t="s">
        <v>23</v>
      </c>
      <c r="C6" s="13">
        <v>120.0</v>
      </c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UpdateMarkPrice!$4:$4</formula1>
    </dataValidation>
  </dataValidations>
  <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31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IFERROR(__xludf.DUMMYFUNCTION("""COMPUTED_VALUE"""),"Account Filter")</f>
        <v>Account Filter</v>
      </c>
      <c r="F5" s="29"/>
      <c r="G5" s="28"/>
      <c r="H5" s="28"/>
      <c r="I5" s="28"/>
      <c r="J5" s="28"/>
      <c r="K5" s="28"/>
      <c r="L5" s="28"/>
      <c r="M5" s="28"/>
      <c r="N5" s="28"/>
      <c r="O5" s="28"/>
      <c r="P5" s="28"/>
      <c r="Q5" s="28"/>
      <c r="R5" s="28"/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32</v>
      </c>
      <c r="C6" s="38" t="s">
        <v>33</v>
      </c>
      <c r="D6" s="38">
        <f>TODAY()</f>
        <v>45051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GetDataClosing!$4:$4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0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34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IFERROR(__xludf.DUMMYFUNCTION("""COMPUTED_VALUE"""),"AccruedInterest")</f>
        <v>AccruedInterest</v>
      </c>
      <c r="D5" s="28" t="str">
        <f>IFERROR(__xludf.DUMMYFUNCTION("""COMPUTED_VALUE"""),"Analyst")</f>
        <v>Analyst</v>
      </c>
      <c r="E5" s="28" t="str">
        <f>IFERROR(__xludf.DUMMYFUNCTION("""COMPUTED_VALUE"""),"Asset Class")</f>
        <v>Asset Class</v>
      </c>
      <c r="F5" s="29" t="str">
        <f>IFERROR(__xludf.DUMMYFUNCTION("""COMPUTED_VALUE"""),"Asset Derivative")</f>
        <v>Asset Derivative</v>
      </c>
      <c r="G5" s="28" t="str">
        <f>IFERROR(__xludf.DUMMYFUNCTION("""COMPUTED_VALUE"""),"AUECID")</f>
        <v>AUECID</v>
      </c>
      <c r="H5" s="28" t="str">
        <f>IFERROR(__xludf.DUMMYFUNCTION("""COMPUTED_VALUE"""),"AUECModifiedDate")</f>
        <v>AUECModifiedDate</v>
      </c>
      <c r="I5" s="28" t="str">
        <f>IFERROR(__xludf.DUMMYFUNCTION("""COMPUTED_VALUE"""),"Average Price")</f>
        <v>Average Price</v>
      </c>
      <c r="J5" s="28" t="str">
        <f>IFERROR(__xludf.DUMMYFUNCTION("""COMPUTED_VALUE"""),"BloombergSymbol")</f>
        <v>BloombergSymbol</v>
      </c>
      <c r="K5" s="28" t="str">
        <f>IFERROR(__xludf.DUMMYFUNCTION("""COMPUTED_VALUE"""),"Broker")</f>
        <v>Broker</v>
      </c>
      <c r="L5" s="28" t="str">
        <f>IFERROR(__xludf.DUMMYFUNCTION("""COMPUTED_VALUE"""),"CalcBasis")</f>
        <v>CalcBasis</v>
      </c>
      <c r="M5" s="28" t="str">
        <f>IFERROR(__xludf.DUMMYFUNCTION("""COMPUTED_VALUE"""),"CashSettledPrice")</f>
        <v>CashSettledPrice</v>
      </c>
      <c r="N5" s="28" t="str">
        <f>IFERROR(__xludf.DUMMYFUNCTION("""COMPUTED_VALUE"""),"ChangeComment")</f>
        <v>ChangeComment</v>
      </c>
      <c r="O5" s="28" t="str">
        <f>IFERROR(__xludf.DUMMYFUNCTION("""COMPUTED_VALUE"""),"ChangeType")</f>
        <v>ChangeType</v>
      </c>
      <c r="P5" s="28" t="str">
        <f>IFERROR(__xludf.DUMMYFUNCTION("""COMPUTED_VALUE"""),"ClearingBrokerFee")</f>
        <v>ClearingBrokerFee</v>
      </c>
      <c r="Q5" s="28" t="str">
        <f>IFERROR(__xludf.DUMMYFUNCTION("""COMPUTED_VALUE"""),"ClearingFee")</f>
        <v>ClearingFee</v>
      </c>
      <c r="R5" s="28" t="str">
        <f>IFERROR(__xludf.DUMMYFUNCTION("""COMPUTED_VALUE"""),"ClosedTotalCommissionandFees")</f>
        <v>ClosedTotalCommissionandFees</v>
      </c>
      <c r="S5" s="28" t="str">
        <f>IFERROR(__xludf.DUMMYFUNCTION("""COMPUTED_VALUE"""),"ClosingAlgo")</f>
        <v>ClosingAlgo</v>
      </c>
      <c r="T5" s="30" t="str">
        <f>IFERROR(__xludf.DUMMYFUNCTION("""COMPUTED_VALUE"""),"ClosingDate")</f>
        <v>ClosingDate</v>
      </c>
      <c r="U5" s="30" t="str">
        <f>IFERROR(__xludf.DUMMYFUNCTION("""COMPUTED_VALUE"""),"ClosingStatus")</f>
        <v>ClosingStatus</v>
      </c>
      <c r="V5" s="30" t="str">
        <f>IFERROR(__xludf.DUMMYFUNCTION("""COMPUTED_VALUE"""),"Commission")</f>
        <v>Commission</v>
      </c>
      <c r="W5" s="30" t="str">
        <f>IFERROR(__xludf.DUMMYFUNCTION("""COMPUTED_VALUE"""),"CommissionAmt")</f>
        <v>CommissionAmt</v>
      </c>
      <c r="X5" s="30" t="str">
        <f>IFERROR(__xludf.DUMMYFUNCTION("""COMPUTED_VALUE"""),"CommissionRate")</f>
        <v>CommissionRate</v>
      </c>
      <c r="Y5" s="30" t="str">
        <f>IFERROR(__xludf.DUMMYFUNCTION("""COMPUTED_VALUE"""),"CompanyUserName")</f>
        <v>CompanyUserName</v>
      </c>
      <c r="Z5" s="30" t="str">
        <f>IFERROR(__xludf.DUMMYFUNCTION("""COMPUTED_VALUE"""),"ContractMultiplier")</f>
        <v>ContractMultiplier</v>
      </c>
      <c r="AA5" s="30" t="str">
        <f>IFERROR(__xludf.DUMMYFUNCTION("""COMPUTED_VALUE"""),"CountryName")</f>
        <v>CountryName</v>
      </c>
      <c r="AB5" s="30" t="str">
        <f>IFERROR(__xludf.DUMMYFUNCTION("""COMPUTED_VALUE"""),"CountryOfRisk")</f>
        <v>CountryOfRisk</v>
      </c>
      <c r="AC5" s="30" t="str">
        <f>IFERROR(__xludf.DUMMYFUNCTION("""COMPUTED_VALUE"""),"CumQty")</f>
        <v>CumQty</v>
      </c>
      <c r="AD5" s="30" t="str">
        <f>IFERROR(__xludf.DUMMYFUNCTION("""COMPUTED_VALUE"""),"CurrencyID")</f>
        <v>CurrencyID</v>
      </c>
      <c r="AE5" s="30" t="str">
        <f>IFERROR(__xludf.DUMMYFUNCTION("""COMPUTED_VALUE"""),"CurrencyName")</f>
        <v>CurrencyName</v>
      </c>
      <c r="AF5" s="30" t="str">
        <f>IFERROR(__xludf.DUMMYFUNCTION("""COMPUTED_VALUE"""),"CusipSymbol")</f>
        <v>CusipSymbol</v>
      </c>
      <c r="AG5" s="30" t="str">
        <f>IFERROR(__xludf.DUMMYFUNCTION("""COMPUTED_VALUE"""),"CustomUDA1")</f>
        <v>CustomUDA1</v>
      </c>
      <c r="AH5" s="30" t="str">
        <f>IFERROR(__xludf.DUMMYFUNCTION("""COMPUTED_VALUE"""),"CustomUDA2")</f>
        <v>CustomUDA2</v>
      </c>
      <c r="AI5" s="30" t="str">
        <f>IFERROR(__xludf.DUMMYFUNCTION("""COMPUTED_VALUE"""),"CustomUDA3")</f>
        <v>CustomUDA3</v>
      </c>
      <c r="AJ5" s="30" t="str">
        <f>IFERROR(__xludf.DUMMYFUNCTION("""COMPUTED_VALUE"""),"CustomUDA4")</f>
        <v>CustomUDA4</v>
      </c>
      <c r="AK5" s="30" t="str">
        <f>IFERROR(__xludf.DUMMYFUNCTION("""COMPUTED_VALUE"""),"CustomUDA5")</f>
        <v>CustomUDA5</v>
      </c>
      <c r="AL5" s="30" t="str">
        <f>IFERROR(__xludf.DUMMYFUNCTION("""COMPUTED_VALUE"""),"CustomUDA6")</f>
        <v>CustomUDA6</v>
      </c>
      <c r="AM5" s="30" t="str">
        <f>IFERROR(__xludf.DUMMYFUNCTION("""COMPUTED_VALUE"""),"CustomUDA7")</f>
        <v>CustomUDA7</v>
      </c>
      <c r="AN5" s="30" t="str">
        <f>IFERROR(__xludf.DUMMYFUNCTION("""COMPUTED_VALUE"""),"Delta")</f>
        <v>Delta</v>
      </c>
      <c r="AO5" s="30" t="str">
        <f>IFERROR(__xludf.DUMMYFUNCTION("""COMPUTED_VALUE"""),"Description")</f>
        <v>Description</v>
      </c>
      <c r="AP5" s="30" t="str">
        <f>IFERROR(__xludf.DUMMYFUNCTION("""COMPUTED_VALUE"""),"ExchangeName")</f>
        <v>ExchangeName</v>
      </c>
      <c r="AQ5" s="30" t="str">
        <f>IFERROR(__xludf.DUMMYFUNCTION("""COMPUTED_VALUE"""),"ExecutedQty")</f>
        <v>ExecutedQty</v>
      </c>
      <c r="AR5" s="30" t="str">
        <f>IFERROR(__xludf.DUMMYFUNCTION("""COMPUTED_VALUE"""),"ExpirationDate")</f>
        <v>ExpirationDate</v>
      </c>
      <c r="AS5" s="30" t="str">
        <f>IFERROR(__xludf.DUMMYFUNCTION("""COMPUTED_VALUE"""),"ExternalTransID")</f>
        <v>ExternalTransID</v>
      </c>
      <c r="AT5" s="30" t="str">
        <f>IFERROR(__xludf.DUMMYFUNCTION("""COMPUTED_VALUE"""),"FXConversionMethodOperator")</f>
        <v>FXConversionMethodOperator</v>
      </c>
      <c r="AU5" s="30" t="str">
        <f>IFERROR(__xludf.DUMMYFUNCTION("""COMPUTED_VALUE"""),"FXRate")</f>
        <v>FXRate</v>
      </c>
      <c r="AV5" s="30" t="str">
        <f>IFERROR(__xludf.DUMMYFUNCTION("""COMPUTED_VALUE"""),"GroupID")</f>
        <v>GroupID</v>
      </c>
      <c r="AW5" s="30" t="str">
        <f>IFERROR(__xludf.DUMMYFUNCTION("""COMPUTED_VALUE"""),"IDCOSymbol")</f>
        <v>IDCOSymbol</v>
      </c>
      <c r="AX5" s="30" t="str">
        <f>IFERROR(__xludf.DUMMYFUNCTION("""COMPUTED_VALUE"""),"InternalComments")</f>
        <v>InternalComments</v>
      </c>
      <c r="AY5" s="30" t="str">
        <f>IFERROR(__xludf.DUMMYFUNCTION("""COMPUTED_VALUE"""),"IsExerciseAtZero")</f>
        <v>IsExerciseAtZero</v>
      </c>
      <c r="AZ5" s="30" t="str">
        <f>IFERROR(__xludf.DUMMYFUNCTION("""COMPUTED_VALUE"""),"ISINSymbol")</f>
        <v>ISINSymbol</v>
      </c>
      <c r="BA5" s="30" t="str">
        <f>IFERROR(__xludf.DUMMYFUNCTION("""COMPUTED_VALUE"""),"IsNDF")</f>
        <v>IsNDF</v>
      </c>
      <c r="BB5" s="30" t="str">
        <f>IFERROR(__xludf.DUMMYFUNCTION("""COMPUTED_VALUE"""),"IsPosition")</f>
        <v>IsPosition</v>
      </c>
      <c r="BC5" s="30" t="str">
        <f>IFERROR(__xludf.DUMMYFUNCTION("""COMPUTED_VALUE"""),"IsPreAllocated")</f>
        <v>IsPreAllocated</v>
      </c>
      <c r="BD5" s="30" t="str">
        <f>IFERROR(__xludf.DUMMYFUNCTION("""COMPUTED_VALUE"""),"Issuer")</f>
        <v>Issuer</v>
      </c>
      <c r="BE5" s="30" t="str">
        <f>IFERROR(__xludf.DUMMYFUNCTION("""COMPUTED_VALUE"""),"IsSwapped")</f>
        <v>IsSwapped</v>
      </c>
      <c r="BF5" s="30" t="str">
        <f>IFERROR(__xludf.DUMMYFUNCTION("""COMPUTED_VALUE"""),"LeadCurrencyID")</f>
        <v>LeadCurrencyID</v>
      </c>
      <c r="BG5" s="30" t="str">
        <f>IFERROR(__xludf.DUMMYFUNCTION("""COMPUTED_VALUE"""),"LiquidTag")</f>
        <v>LiquidTag</v>
      </c>
      <c r="BH5" s="30" t="str">
        <f>IFERROR(__xludf.DUMMYFUNCTION("""COMPUTED_VALUE"""),"LongOrShort")</f>
        <v>LongOrShort</v>
      </c>
      <c r="BI5" s="30" t="str">
        <f>IFERROR(__xludf.DUMMYFUNCTION("""COMPUTED_VALUE"""),"LotId")</f>
        <v>LotId</v>
      </c>
      <c r="BJ5" s="30" t="str">
        <f>IFERROR(__xludf.DUMMYFUNCTION("""COMPUTED_VALUE"""),"M2MProfitLoss")</f>
        <v>M2MProfitLoss</v>
      </c>
      <c r="BK5" s="30" t="str">
        <f>IFERROR(__xludf.DUMMYFUNCTION("""COMPUTED_VALUE"""),"MarkPrice")</f>
        <v>MarkPrice</v>
      </c>
      <c r="BL5" s="30" t="str">
        <f>IFERROR(__xludf.DUMMYFUNCTION("""COMPUTED_VALUE"""),"MasterFund")</f>
        <v>MasterFund</v>
      </c>
      <c r="BM5" s="30" t="str">
        <f>IFERROR(__xludf.DUMMYFUNCTION("""COMPUTED_VALUE"""),"MiscFees")</f>
        <v>MiscFees</v>
      </c>
      <c r="BN5" s="30" t="str">
        <f>IFERROR(__xludf.DUMMYFUNCTION("""COMPUTED_VALUE"""),"NavLockStatus")</f>
        <v>NavLockStatus</v>
      </c>
      <c r="BO5" s="30" t="str">
        <f>IFERROR(__xludf.DUMMYFUNCTION("""COMPUTED_VALUE"""),"Net Notional")</f>
        <v>Net Notional</v>
      </c>
      <c r="BP5" s="30" t="str">
        <f>IFERROR(__xludf.DUMMYFUNCTION("""COMPUTED_VALUE"""),"NirvanaProcessDate")</f>
        <v>NirvanaProcessDate</v>
      </c>
      <c r="BQ5" s="30" t="str">
        <f>IFERROR(__xludf.DUMMYFUNCTION("""COMPUTED_VALUE"""),"OccFee")</f>
        <v>OccFee</v>
      </c>
      <c r="BR5" s="30" t="str">
        <f>IFERROR(__xludf.DUMMYFUNCTION("""COMPUTED_VALUE"""),"OptionPremiumAdjustment")</f>
        <v>OptionPremiumAdjustment</v>
      </c>
      <c r="BS5" s="30" t="str">
        <f>IFERROR(__xludf.DUMMYFUNCTION("""COMPUTED_VALUE"""),"OrderSideTagValue")</f>
        <v>OrderSideTagValue</v>
      </c>
      <c r="BT5" s="30" t="str">
        <f>IFERROR(__xludf.DUMMYFUNCTION("""COMPUTED_VALUE"""),"OrderType")</f>
        <v>OrderType</v>
      </c>
      <c r="BU5" s="30" t="str">
        <f>IFERROR(__xludf.DUMMYFUNCTION("""COMPUTED_VALUE"""),"OrfFee")</f>
        <v>OrfFee</v>
      </c>
      <c r="BV5" s="30" t="str">
        <f>IFERROR(__xludf.DUMMYFUNCTION("""COMPUTED_VALUE"""),"Original Side")</f>
        <v>Original Side</v>
      </c>
      <c r="BW5" s="30" t="str">
        <f>IFERROR(__xludf.DUMMYFUNCTION("""COMPUTED_VALUE"""),"OriginalPurchase Date")</f>
        <v>OriginalPurchase Date</v>
      </c>
      <c r="BX5" s="30" t="str">
        <f>IFERROR(__xludf.DUMMYFUNCTION("""COMPUTED_VALUE"""),"OSISymbol")</f>
        <v>OSISymbol</v>
      </c>
      <c r="BY5" s="30" t="str">
        <f>IFERROR(__xludf.DUMMYFUNCTION("""COMPUTED_VALUE"""),"OtherBrokerFees")</f>
        <v>OtherBrokerFees</v>
      </c>
      <c r="BZ5" s="30" t="str">
        <f>IFERROR(__xludf.DUMMYFUNCTION("""COMPUTED_VALUE"""),"ParentRowPK")</f>
        <v>ParentRowPK</v>
      </c>
      <c r="CA5" s="30" t="str">
        <f>IFERROR(__xludf.DUMMYFUNCTION("""COMPUTED_VALUE"""),"Percentage")</f>
        <v>Percentage</v>
      </c>
      <c r="CB5" s="30" t="str">
        <f>IFERROR(__xludf.DUMMYFUNCTION("""COMPUTED_VALUE"""),"PositionTag")</f>
        <v>PositionTag</v>
      </c>
      <c r="CC5" s="30" t="str">
        <f>IFERROR(__xludf.DUMMYFUNCTION("""COMPUTED_VALUE"""),"PositionType")</f>
        <v>PositionType</v>
      </c>
      <c r="CD5" s="30" t="str">
        <f>IFERROR(__xludf.DUMMYFUNCTION("""COMPUTED_VALUE"""),"Process Date")</f>
        <v>Process Date</v>
      </c>
      <c r="CE5" s="30" t="str">
        <f>IFERROR(__xludf.DUMMYFUNCTION("""COMPUTED_VALUE"""),"ProxySymbol")</f>
        <v>ProxySymbol</v>
      </c>
      <c r="CF5" s="30" t="str">
        <f>IFERROR(__xludf.DUMMYFUNCTION("""COMPUTED_VALUE"""),"PutOrCall")</f>
        <v>PutOrCall</v>
      </c>
      <c r="CG5" s="30" t="str">
        <f>IFERROR(__xludf.DUMMYFUNCTION("""COMPUTED_VALUE"""),"Quantity")</f>
        <v>Quantity</v>
      </c>
      <c r="CH5" s="30" t="str">
        <f>IFERROR(__xludf.DUMMYFUNCTION("""COMPUTED_VALUE"""),"Region")</f>
        <v>Region</v>
      </c>
      <c r="CI5" s="30" t="str">
        <f>IFERROR(__xludf.DUMMYFUNCTION("""COMPUTED_VALUE"""),"ReutersSymbol")</f>
        <v>ReutersSymbol</v>
      </c>
      <c r="CJ5" s="30" t="str">
        <f>IFERROR(__xludf.DUMMYFUNCTION("""COMPUTED_VALUE"""),"RiskCurrency")</f>
        <v>RiskCurrency</v>
      </c>
      <c r="CK5" s="30" t="str">
        <f>IFERROR(__xludf.DUMMYFUNCTION("""COMPUTED_VALUE"""),"SecFee")</f>
        <v>SecFee</v>
      </c>
      <c r="CL5" s="30" t="str">
        <f>IFERROR(__xludf.DUMMYFUNCTION("""COMPUTED_VALUE"""),"SectorName")</f>
        <v>SectorName</v>
      </c>
      <c r="CM5" s="30" t="str">
        <f>IFERROR(__xludf.DUMMYFUNCTION("""COMPUTED_VALUE"""),"Security Name")</f>
        <v>Security Name</v>
      </c>
      <c r="CN5" s="30" t="str">
        <f>IFERROR(__xludf.DUMMYFUNCTION("""COMPUTED_VALUE"""),"SecurityTypeName")</f>
        <v>SecurityTypeName</v>
      </c>
      <c r="CO5" s="30" t="str">
        <f>IFERROR(__xludf.DUMMYFUNCTION("""COMPUTED_VALUE"""),"SedolSymbol")</f>
        <v>SedolSymbol</v>
      </c>
      <c r="CP5" s="30" t="str">
        <f>IFERROR(__xludf.DUMMYFUNCTION("""COMPUTED_VALUE"""),"SettlCurrAmt")</f>
        <v>SettlCurrAmt</v>
      </c>
      <c r="CQ5" s="30" t="str">
        <f>IFERROR(__xludf.DUMMYFUNCTION("""COMPUTED_VALUE"""),"SettlCurrFxRate")</f>
        <v>SettlCurrFxRate</v>
      </c>
      <c r="CR5" s="30" t="str">
        <f>IFERROR(__xludf.DUMMYFUNCTION("""COMPUTED_VALUE"""),"SettlCurrFxRateCalc")</f>
        <v>SettlCurrFxRateCalc</v>
      </c>
      <c r="CS5" s="30" t="str">
        <f>IFERROR(__xludf.DUMMYFUNCTION("""COMPUTED_VALUE"""),"SettlCurrUnitCost")</f>
        <v>SettlCurrUnitCost</v>
      </c>
      <c r="CT5" s="30" t="str">
        <f>IFERROR(__xludf.DUMMYFUNCTION("""COMPUTED_VALUE"""),"Settlement Mode")</f>
        <v>Settlement Mode</v>
      </c>
      <c r="CU5" s="30" t="str">
        <f>IFERROR(__xludf.DUMMYFUNCTION("""COMPUTED_VALUE"""),"Settlement Qty")</f>
        <v>Settlement Qty</v>
      </c>
      <c r="CV5" s="30" t="str">
        <f>IFERROR(__xludf.DUMMYFUNCTION("""COMPUTED_VALUE"""),"SettlementCurrencyID")</f>
        <v>SettlementCurrencyID</v>
      </c>
      <c r="CW5" s="30" t="str">
        <f>IFERROR(__xludf.DUMMYFUNCTION("""COMPUTED_VALUE"""),"SettlementDate")</f>
        <v>SettlementDate</v>
      </c>
      <c r="CX5" s="30" t="str">
        <f>IFERROR(__xludf.DUMMYFUNCTION("""COMPUTED_VALUE"""),"SideMultiplier")</f>
        <v>SideMultiplier</v>
      </c>
      <c r="CY5" s="30" t="str">
        <f>IFERROR(__xludf.DUMMYFUNCTION("""COMPUTED_VALUE"""),"SoftCommission")</f>
        <v>SoftCommission</v>
      </c>
      <c r="CZ5" s="30" t="str">
        <f>IFERROR(__xludf.DUMMYFUNCTION("""COMPUTED_VALUE"""),"SoftCommissionAmt")</f>
        <v>SoftCommissionAmt</v>
      </c>
      <c r="DA5" s="30" t="str">
        <f>IFERROR(__xludf.DUMMYFUNCTION("""COMPUTED_VALUE"""),"SoftCommissionCalcBasis")</f>
        <v>SoftCommissionCalcBasis</v>
      </c>
      <c r="DB5" s="30" t="str">
        <f>IFERROR(__xludf.DUMMYFUNCTION("""COMPUTED_VALUE"""),"SoftCommissionRate")</f>
        <v>SoftCommissionRate</v>
      </c>
      <c r="DC5" s="30" t="str">
        <f>IFERROR(__xludf.DUMMYFUNCTION("""COMPUTED_VALUE"""),"StampDuty")</f>
        <v>StampDuty</v>
      </c>
      <c r="DD5" s="30" t="str">
        <f>IFERROR(__xludf.DUMMYFUNCTION("""COMPUTED_VALUE"""),"Strategy")</f>
        <v>Strategy</v>
      </c>
      <c r="DE5" s="30" t="str">
        <f>IFERROR(__xludf.DUMMYFUNCTION("""COMPUTED_VALUE"""),"Strike Price")</f>
        <v>Strike Price</v>
      </c>
      <c r="DF5" s="30" t="str">
        <f>IFERROR(__xludf.DUMMYFUNCTION("""COMPUTED_VALUE"""),"SubSectorName")</f>
        <v>SubSectorName</v>
      </c>
      <c r="DG5" s="30" t="str">
        <f>IFERROR(__xludf.DUMMYFUNCTION("""COMPUTED_VALUE"""),"SwapParameters")</f>
        <v>SwapParameters</v>
      </c>
      <c r="DH5" s="30" t="str">
        <f>IFERROR(__xludf.DUMMYFUNCTION("""COMPUTED_VALUE"""),"Symbol")</f>
        <v>Symbol</v>
      </c>
      <c r="DI5" s="30" t="str">
        <f>IFERROR(__xludf.DUMMYFUNCTION("""COMPUTED_VALUE"""),"TaxlotClosingId")</f>
        <v>TaxlotClosingId</v>
      </c>
      <c r="DJ5" s="30" t="str">
        <f>IFERROR(__xludf.DUMMYFUNCTION("""COMPUTED_VALUE"""),"TaxLotID")</f>
        <v>TaxLotID</v>
      </c>
      <c r="DK5" s="30" t="str">
        <f>IFERROR(__xludf.DUMMYFUNCTION("""COMPUTED_VALUE"""),"TaxlotPk")</f>
        <v>TaxlotPk</v>
      </c>
      <c r="DL5" s="30" t="str">
        <f>IFERROR(__xludf.DUMMYFUNCTION("""COMPUTED_VALUE"""),"TaxLotQtyToClose")</f>
        <v>TaxLotQtyToClose</v>
      </c>
      <c r="DM5" s="30" t="str">
        <f>IFERROR(__xludf.DUMMYFUNCTION("""COMPUTED_VALUE"""),"TaxonCommissions")</f>
        <v>TaxonCommissions</v>
      </c>
      <c r="DN5" s="30" t="str">
        <f>IFERROR(__xludf.DUMMYFUNCTION("""COMPUTED_VALUE"""),"TimeOfSaveUTC")</f>
        <v>TimeOfSaveUTC</v>
      </c>
      <c r="DO5" s="30" t="str">
        <f>IFERROR(__xludf.DUMMYFUNCTION("""COMPUTED_VALUE"""),"TotalCommission&amp;Fees")</f>
        <v>TotalCommission&amp;Fees</v>
      </c>
      <c r="DP5" s="30" t="str">
        <f>IFERROR(__xludf.DUMMYFUNCTION("""COMPUTED_VALUE"""),"TotalCommissionandFees")</f>
        <v>TotalCommissionandFees</v>
      </c>
      <c r="DQ5" s="30" t="str">
        <f>IFERROR(__xludf.DUMMYFUNCTION("""COMPUTED_VALUE"""),"Tradedate")</f>
        <v>Tradedate</v>
      </c>
      <c r="DR5" s="30" t="str">
        <f>IFERROR(__xludf.DUMMYFUNCTION("""COMPUTED_VALUE"""),"TradeAttribute1")</f>
        <v>TradeAttribute1</v>
      </c>
      <c r="DS5" s="30" t="str">
        <f>IFERROR(__xludf.DUMMYFUNCTION("""COMPUTED_VALUE"""),"TradeAttribute2")</f>
        <v>TradeAttribute2</v>
      </c>
      <c r="DT5" s="30" t="str">
        <f>IFERROR(__xludf.DUMMYFUNCTION("""COMPUTED_VALUE"""),"TradeAttribute3")</f>
        <v>TradeAttribute3</v>
      </c>
      <c r="DU5" s="30" t="str">
        <f>IFERROR(__xludf.DUMMYFUNCTION("""COMPUTED_VALUE"""),"TradeAttribute4")</f>
        <v>TradeAttribute4</v>
      </c>
      <c r="DV5" s="30" t="str">
        <f>IFERROR(__xludf.DUMMYFUNCTION("""COMPUTED_VALUE"""),"TradeAttribute5")</f>
        <v>TradeAttribute5</v>
      </c>
      <c r="DW5" s="30" t="str">
        <f>IFERROR(__xludf.DUMMYFUNCTION("""COMPUTED_VALUE"""),"TradeAttribute6")</f>
        <v>TradeAttribute6</v>
      </c>
      <c r="DX5" s="30" t="str">
        <f>IFERROR(__xludf.DUMMYFUNCTION("""COMPUTED_VALUE"""),"TradingAccountName")</f>
        <v>TradingAccountName</v>
      </c>
      <c r="DY5" s="30" t="str">
        <f>IFERROR(__xludf.DUMMYFUNCTION("""COMPUTED_VALUE"""),"TransactionLevy")</f>
        <v>TransactionLevy</v>
      </c>
      <c r="DZ5" s="30" t="str">
        <f>IFERROR(__xludf.DUMMYFUNCTION("""COMPUTED_VALUE"""),"TransactionType")</f>
        <v>TransactionType</v>
      </c>
      <c r="EA5" s="30" t="str">
        <f>IFERROR(__xludf.DUMMYFUNCTION("""COMPUTED_VALUE"""),"UcitsEligibleTag")</f>
        <v>UcitsEligibleTag</v>
      </c>
      <c r="EB5" s="30" t="str">
        <f>IFERROR(__xludf.DUMMYFUNCTION("""COMPUTED_VALUE"""),"UDAAsset")</f>
        <v>UDAAsset</v>
      </c>
      <c r="EC5" s="30" t="str">
        <f>IFERROR(__xludf.DUMMYFUNCTION("""COMPUTED_VALUE"""),"UnderlyingDelta")</f>
        <v>UnderlyingDelta</v>
      </c>
      <c r="ED5" s="30" t="str">
        <f>IFERROR(__xludf.DUMMYFUNCTION("""COMPUTED_VALUE"""),"UnderlyingName")</f>
        <v>UnderlyingName</v>
      </c>
      <c r="EE5" s="30" t="str">
        <f>IFERROR(__xludf.DUMMYFUNCTION("""COMPUTED_VALUE"""),"UnderlyingSymbol")</f>
        <v>UnderlyingSymbol</v>
      </c>
      <c r="EF5" s="30" t="str">
        <f>IFERROR(__xludf.DUMMYFUNCTION("""COMPUTED_VALUE"""),"UnitCost")</f>
        <v>UnitCost</v>
      </c>
      <c r="EG5" s="30" t="str">
        <f>IFERROR(__xludf.DUMMYFUNCTION("""COMPUTED_VALUE"""),"UnRealizedPNL")</f>
        <v>UnRealizedPNL</v>
      </c>
      <c r="EH5" s="30" t="str">
        <f>IFERROR(__xludf.DUMMYFUNCTION("""COMPUTED_VALUE"""),"Venue")</f>
        <v>Venue</v>
      </c>
      <c r="EI5" s="30" t="str">
        <f>IFERROR(__xludf.DUMMYFUNCTION("""COMPUTED_VALUE"""),"VsCurrencyID")</f>
        <v>VsCurrencyID</v>
      </c>
      <c r="EJ5" s="30" t="str">
        <f>IFERROR(__xludf.DUMMYFUNCTION("""COMPUTED_VALUE"""),"WorkflowState")</f>
        <v>WorkflowState</v>
      </c>
      <c r="EK5" s="30" t="str">
        <f>IFERROR(__xludf.DUMMYFUNCTION("""COMPUTED_VALUE"""),"AvgPriceBase")</f>
        <v>AvgPriceBase</v>
      </c>
      <c r="EL5" s="30" t="str">
        <f>IFERROR(__xludf.DUMMYFUNCTION("""COMPUTED_VALUE"""),"MarketCap")</f>
        <v>MarketCap</v>
      </c>
      <c r="EM5" s="30" t="str">
        <f>IFERROR(__xludf.DUMMYFUNCTION("""COMPUTED_VALUE"""),"UnitCostBase")</f>
        <v>UnitCostBase</v>
      </c>
      <c r="EN5" s="30" t="str">
        <f>IFERROR(__xludf.DUMMYFUNCTION("""COMPUTED_VALUE"""),"ITM/OTM")</f>
        <v>ITM/OTM</v>
      </c>
      <c r="EO5" s="30" t="str">
        <f>IFERROR(__xludf.DUMMYFUNCTION("""COMPUTED_VALUE"""),"Days to Expiry")</f>
        <v>Days to Expiry</v>
      </c>
      <c r="EP5" s="30" t="str">
        <f>IFERROR(__xludf.DUMMYFUNCTION("""COMPUTED_VALUE"""),"% of Underlying Price")</f>
        <v>% of Underlying Price</v>
      </c>
      <c r="EQ5" s="30" t="str">
        <f>IFERROR(__xludf.DUMMYFUNCTION("""COMPUTED_VALUE"""),"Intrinsic value")</f>
        <v>Intrinsic value</v>
      </c>
      <c r="ER5" s="30" t="str">
        <f>IFERROR(__xludf.DUMMYFUNCTION("""COMPUTED_VALUE"""),"Gain/Loss if Ex./Assign")</f>
        <v>Gain/Loss if Ex./Assign</v>
      </c>
      <c r="ES5" s="30"/>
      <c r="ET5" s="30"/>
      <c r="EU5" s="30"/>
      <c r="EV5" s="30"/>
      <c r="EW5" s="30"/>
      <c r="EX5" s="30"/>
    </row>
    <row r="6" ht="15.75" customHeight="1">
      <c r="A6" s="31"/>
      <c r="B6" s="31" t="s">
        <v>25</v>
      </c>
      <c r="C6" s="34"/>
      <c r="D6" s="31"/>
      <c r="E6" s="34" t="s">
        <v>35</v>
      </c>
      <c r="F6" s="34"/>
      <c r="G6" s="34"/>
      <c r="H6" s="34"/>
      <c r="I6" s="40">
        <v>10.0</v>
      </c>
      <c r="J6" s="34"/>
      <c r="K6" s="34" t="s">
        <v>36</v>
      </c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43">
        <v>10.0</v>
      </c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44" t="s">
        <v>26</v>
      </c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45" t="s">
        <v>16</v>
      </c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34"/>
      <c r="B7" s="34" t="s">
        <v>25</v>
      </c>
      <c r="C7" s="34"/>
      <c r="D7" s="34"/>
      <c r="E7" s="34" t="s">
        <v>35</v>
      </c>
      <c r="F7" s="34"/>
      <c r="G7" s="34"/>
      <c r="H7" s="34"/>
      <c r="I7" s="40">
        <v>10.0</v>
      </c>
      <c r="J7" s="34"/>
      <c r="K7" s="34" t="s">
        <v>36</v>
      </c>
      <c r="L7" s="34"/>
      <c r="M7" s="34"/>
      <c r="N7" s="34"/>
      <c r="O7" s="34"/>
      <c r="P7" s="34"/>
      <c r="Q7" s="34"/>
      <c r="R7" s="34"/>
      <c r="S7" s="34"/>
      <c r="T7" s="34"/>
      <c r="U7" s="34"/>
      <c r="V7" s="34"/>
      <c r="W7" s="34"/>
      <c r="X7" s="34"/>
      <c r="Y7" s="34"/>
      <c r="Z7" s="34"/>
      <c r="AA7" s="34"/>
      <c r="AB7" s="34"/>
      <c r="AC7" s="34"/>
      <c r="AD7" s="34"/>
      <c r="AE7" s="34"/>
      <c r="AF7" s="34"/>
      <c r="AG7" s="34"/>
      <c r="AH7" s="34"/>
      <c r="AI7" s="34"/>
      <c r="AJ7" s="34"/>
      <c r="AK7" s="34"/>
      <c r="AL7" s="34"/>
      <c r="AM7" s="34"/>
      <c r="AN7" s="34"/>
      <c r="AO7" s="34"/>
      <c r="AP7" s="34"/>
      <c r="AQ7" s="43">
        <v>10.0</v>
      </c>
      <c r="AR7" s="34"/>
      <c r="AS7" s="34"/>
      <c r="AT7" s="34"/>
      <c r="AU7" s="34"/>
      <c r="AV7" s="34"/>
      <c r="AW7" s="34"/>
      <c r="AX7" s="34"/>
      <c r="AY7" s="34"/>
      <c r="AZ7" s="34"/>
      <c r="BA7" s="34"/>
      <c r="BB7" s="34"/>
      <c r="BC7" s="34"/>
      <c r="BD7" s="34"/>
      <c r="BE7" s="34"/>
      <c r="BF7" s="34"/>
      <c r="BG7" s="34"/>
      <c r="BH7" s="34"/>
      <c r="BI7" s="34"/>
      <c r="BJ7" s="34"/>
      <c r="BK7" s="34"/>
      <c r="BL7" s="34"/>
      <c r="BM7" s="34"/>
      <c r="BN7" s="34"/>
      <c r="BO7" s="34"/>
      <c r="BP7" s="34"/>
      <c r="BQ7" s="34"/>
      <c r="BR7" s="34"/>
      <c r="BS7" s="34"/>
      <c r="BT7" s="34"/>
      <c r="BU7" s="34"/>
      <c r="BV7" s="46" t="s">
        <v>27</v>
      </c>
      <c r="BW7" s="34"/>
      <c r="BX7" s="34"/>
      <c r="BY7" s="34"/>
      <c r="BZ7" s="34"/>
      <c r="CA7" s="34"/>
      <c r="CB7" s="34"/>
      <c r="CC7" s="34"/>
      <c r="CD7" s="34"/>
      <c r="CE7" s="34"/>
      <c r="CF7" s="34"/>
      <c r="CG7" s="34"/>
      <c r="CH7" s="34"/>
      <c r="CI7" s="34"/>
      <c r="CJ7" s="34"/>
      <c r="CK7" s="34"/>
      <c r="CL7" s="34"/>
      <c r="CM7" s="34"/>
      <c r="CN7" s="34"/>
      <c r="CO7" s="34"/>
      <c r="CP7" s="34"/>
      <c r="CQ7" s="34"/>
      <c r="CR7" s="34"/>
      <c r="CS7" s="34"/>
      <c r="CT7" s="34"/>
      <c r="CU7" s="34"/>
      <c r="CV7" s="34"/>
      <c r="CW7" s="34"/>
      <c r="CX7" s="34"/>
      <c r="CY7" s="34"/>
      <c r="CZ7" s="34"/>
      <c r="DA7" s="34"/>
      <c r="DB7" s="34"/>
      <c r="DC7" s="34"/>
      <c r="DD7" s="34"/>
      <c r="DE7" s="34"/>
      <c r="DF7" s="34"/>
      <c r="DG7" s="34"/>
      <c r="DH7" s="45" t="s">
        <v>17</v>
      </c>
      <c r="DI7" s="34"/>
      <c r="DJ7" s="34"/>
      <c r="DK7" s="34"/>
      <c r="DL7" s="34"/>
      <c r="DM7" s="34"/>
      <c r="DN7" s="34"/>
      <c r="DO7" s="34"/>
      <c r="DP7" s="34"/>
      <c r="DQ7" s="34"/>
      <c r="DR7" s="34"/>
      <c r="DS7" s="34"/>
      <c r="DT7" s="34"/>
      <c r="DU7" s="34"/>
      <c r="DV7" s="34"/>
      <c r="DW7" s="34"/>
      <c r="DX7" s="34"/>
      <c r="DY7" s="34"/>
      <c r="DZ7" s="34"/>
      <c r="EA7" s="34"/>
      <c r="EB7" s="34"/>
      <c r="EC7" s="34"/>
      <c r="ED7" s="34"/>
      <c r="EE7" s="34"/>
      <c r="EF7" s="34"/>
      <c r="EG7" s="34"/>
      <c r="EH7" s="34"/>
      <c r="EI7" s="34"/>
      <c r="EJ7" s="34"/>
      <c r="EK7" s="34"/>
      <c r="EL7" s="34"/>
      <c r="EM7" s="34"/>
      <c r="EN7" s="34"/>
      <c r="EO7" s="34"/>
      <c r="EP7" s="34"/>
      <c r="EQ7" s="34"/>
      <c r="ER7" s="34"/>
      <c r="ES7" s="34"/>
      <c r="ET7" s="34"/>
      <c r="EU7" s="34"/>
      <c r="EV7" s="34"/>
      <c r="EW7" s="34"/>
      <c r="EX7" s="34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SelectTradeUnexpiredUnsettled!$4:$4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18</v>
      </c>
      <c r="D3" s="5" t="s">
        <v>9</v>
      </c>
      <c r="E3" s="23" t="s">
        <v>37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IFERROR(__xludf.DUMMYFUNCTION("IF(C3="""","""",Transpose(IMPORTRANGE('_Settings'!$B$3,C3&amp;""!A4:A1000"")))"),"FilterClosing")</f>
        <v>FilterClosing</v>
      </c>
      <c r="C4" s="25" t="str">
        <f>IFERROR(__xludf.DUMMYFUNCTION("""COMPUTED_VALUE"""),"UnwindAllClosingData")</f>
        <v>UnwindAllClosingData</v>
      </c>
      <c r="D4" s="25" t="str">
        <f>IFERROR(__xludf.DUMMYFUNCTION("""COMPUTED_VALUE"""),"FilterExpiredGrid")</f>
        <v>FilterExpiredGrid</v>
      </c>
      <c r="E4" s="25" t="str">
        <f>IFERROR(__xludf.DUMMYFUNCTION("""COMPUTED_VALUE"""),"FilterUnexpiredGrid")</f>
        <v>FilterUnexpiredGrid</v>
      </c>
      <c r="F4" s="25" t="str">
        <f>IFERROR(__xludf.DUMMYFUNCTION("""COMPUTED_VALUE"""),"FilterClosingGrid")</f>
        <v>FilterClosingGrid</v>
      </c>
      <c r="G4" s="25" t="str">
        <f>IFERROR(__xludf.DUMMYFUNCTION("""COMPUTED_VALUE"""),"FilterShortPositionGrid")</f>
        <v>FilterShortPositionGrid</v>
      </c>
      <c r="H4" s="25" t="str">
        <f>IFERROR(__xludf.DUMMYFUNCTION("""COMPUTED_VALUE"""),"FilterLongPositionGrid")</f>
        <v>FilterLongPositionGrid</v>
      </c>
      <c r="I4" s="25" t="str">
        <f>IFERROR(__xludf.DUMMYFUNCTION("""COMPUTED_VALUE"""),"SaveCTData")</f>
        <v>SaveCTData</v>
      </c>
      <c r="J4" s="25" t="str">
        <f>IFERROR(__xludf.DUMMYFUNCTION("""COMPUTED_VALUE"""),"ExerciseAssignmentWithOutSave")</f>
        <v>ExerciseAssignmentWithOutSave</v>
      </c>
      <c r="K4" s="25" t="str">
        <f>IFERROR(__xludf.DUMMYFUNCTION("""COMPUTED_VALUE"""),"VerifyCTData")</f>
        <v>VerifyCTData</v>
      </c>
      <c r="L4" s="25" t="str">
        <f>IFERROR(__xludf.DUMMYFUNCTION("""COMPUTED_VALUE"""),"SelectAccountWiseAsset")</f>
        <v>SelectAccountWiseAsset</v>
      </c>
      <c r="M4" s="25" t="str">
        <f>IFERROR(__xludf.DUMMYFUNCTION("""COMPUTED_VALUE"""),"RunTemplate")</f>
        <v>RunTemplate</v>
      </c>
      <c r="N4" s="25" t="str">
        <f>IFERROR(__xludf.DUMMYFUNCTION("""COMPUTED_VALUE"""),"DeleteTemplate")</f>
        <v>DeleteTemplate</v>
      </c>
      <c r="O4" s="25" t="str">
        <f>IFERROR(__xludf.DUMMYFUNCTION("""COMPUTED_VALUE"""),"EditTemplate")</f>
        <v>EditTemplate</v>
      </c>
      <c r="P4" s="26" t="str">
        <f>IFERROR(__xludf.DUMMYFUNCTION("""COMPUTED_VALUE"""),"CreateUnwindingTemplate")</f>
        <v>CreateUnwindingTemplate</v>
      </c>
      <c r="Q4" s="26" t="str">
        <f>IFERROR(__xludf.DUMMYFUNCTION("""COMPUTED_VALUE"""),"CreateClosingTemplate")</f>
        <v>CreateClosingTemplate</v>
      </c>
      <c r="R4" s="26" t="str">
        <f>IFERROR(__xludf.DUMMYFUNCTION("""COMPUTED_VALUE"""),"PreviewDataWithFilters")</f>
        <v>PreviewDataWithFilters</v>
      </c>
      <c r="S4" s="26" t="str">
        <f>IFERROR(__xludf.DUMMYFUNCTION("""COMPUTED_VALUE"""),"ManualCloseOrder")</f>
        <v>ManualCloseOrder</v>
      </c>
      <c r="T4" s="26" t="str">
        <f>IFERROR(__xludf.DUMMYFUNCTION("""COMPUTED_VALUE"""),"EditMultipleCloseQuantity")</f>
        <v>EditMultipleCloseQuantity</v>
      </c>
      <c r="U4" s="26" t="str">
        <f>IFERROR(__xludf.DUMMYFUNCTION("""COMPUTED_VALUE"""),"AutoExercise")</f>
        <v>AutoExercise</v>
      </c>
      <c r="V4" s="26" t="str">
        <f>IFERROR(__xludf.DUMMYFUNCTION("""COMPUTED_VALUE"""),"SwapExpire")</f>
        <v>SwapExpire</v>
      </c>
      <c r="W4" s="26" t="str">
        <f>IFERROR(__xludf.DUMMYFUNCTION("""COMPUTED_VALUE"""),"GetDataClosing")</f>
        <v>GetDataClosing</v>
      </c>
      <c r="X4" s="26" t="str">
        <f>IFERROR(__xludf.DUMMYFUNCTION("""COMPUTED_VALUE"""),"ManualClosing")</f>
        <v>ManualClosing</v>
      </c>
      <c r="Y4" s="26" t="str">
        <f>IFERROR(__xludf.DUMMYFUNCTION("""COMPUTED_VALUE"""),"AutomaticClosing")</f>
        <v>AutomaticClosing</v>
      </c>
      <c r="Z4" s="26" t="str">
        <f>IFERROR(__xludf.DUMMYFUNCTION("""COMPUTED_VALUE"""),"UnwindClosing")</f>
        <v>UnwindClosing</v>
      </c>
      <c r="AA4" s="26" t="str">
        <f>IFERROR(__xludf.DUMMYFUNCTION("""COMPUTED_VALUE"""),"VerifyClosedTrades")</f>
        <v>VerifyClosedTrades</v>
      </c>
      <c r="AB4" s="26" t="str">
        <f>IFERROR(__xludf.DUMMYFUNCTION("""COMPUTED_VALUE"""),"VerifyLongPositionsGrid")</f>
        <v>VerifyLongPositionsGrid</v>
      </c>
      <c r="AC4" s="26" t="str">
        <f>IFERROR(__xludf.DUMMYFUNCTION("""COMPUTED_VALUE"""),"VerifyShortPositionsGrid")</f>
        <v>VerifyShortPositionsGrid</v>
      </c>
      <c r="AD4" s="26" t="str">
        <f>IFERROR(__xludf.DUMMYFUNCTION("""COMPUTED_VALUE"""),"CashSettlementAtCost")</f>
        <v>CashSettlementAtCost</v>
      </c>
      <c r="AE4" s="26" t="str">
        <f>IFERROR(__xludf.DUMMYFUNCTION("""COMPUTED_VALUE"""),"SelectTradeUnexpiredUnsettled")</f>
        <v>SelectTradeUnexpiredUnsettled</v>
      </c>
      <c r="AF4" s="26" t="str">
        <f>IFERROR(__xludf.DUMMYFUNCTION("""COMPUTED_VALUE"""),"CashSettlementAtClosingDtSpotPx")</f>
        <v>CashSettlementAtClosingDtSpotPx</v>
      </c>
      <c r="AG4" s="26" t="str">
        <f>IFERROR(__xludf.DUMMYFUNCTION("""COMPUTED_VALUE"""),"PhysicalSettlement")</f>
        <v>PhysicalSettlement</v>
      </c>
      <c r="AH4" s="26" t="str">
        <f>IFERROR(__xludf.DUMMYFUNCTION("""COMPUTED_VALUE"""),"Expire")</f>
        <v>Expire</v>
      </c>
      <c r="AI4" s="26" t="str">
        <f>IFERROR(__xludf.DUMMYFUNCTION("""COMPUTED_VALUE"""),"ExerciseAssignment")</f>
        <v>ExerciseAssignment</v>
      </c>
      <c r="AJ4" s="26" t="str">
        <f>IFERROR(__xludf.DUMMYFUNCTION("""COMPUTED_VALUE"""),"ExerciseAssignmentAtZero")</f>
        <v>ExerciseAssignmentAtZero</v>
      </c>
      <c r="AK4" s="26" t="str">
        <f>IFERROR(__xludf.DUMMYFUNCTION("""COMPUTED_VALUE"""),"SwapExpireAndRollover")</f>
        <v>SwapExpireAndRollover</v>
      </c>
      <c r="AL4" s="26" t="str">
        <f>IFERROR(__xludf.DUMMYFUNCTION("""COMPUTED_VALUE"""),"SwapExpire")</f>
        <v>SwapExpire</v>
      </c>
      <c r="AM4" s="26" t="str">
        <f>IFERROR(__xludf.DUMMYFUNCTION("""COMPUTED_VALUE"""),"VerifyExpiredSettledGrid")</f>
        <v>VerifyExpiredSettledGrid</v>
      </c>
      <c r="AN4" s="26" t="str">
        <f>IFERROR(__xludf.DUMMYFUNCTION("""COMPUTED_VALUE"""),"VerifyUnExpiredUnSettledGrid")</f>
        <v>VerifyUnExpiredUnSettledGrid</v>
      </c>
      <c r="AO4" s="26" t="str">
        <f>IFERROR(__xludf.DUMMYFUNCTION("""COMPUTED_VALUE"""),"UnWindTradeSettlement")</f>
        <v>UnWindTradeSettlement</v>
      </c>
      <c r="AP4" s="26" t="str">
        <f>IFERROR(__xludf.DUMMYFUNCTION("""COMPUTED_VALUE"""),"CloseOrder")</f>
        <v>CloseOrder</v>
      </c>
      <c r="AQ4" s="26" t="str">
        <f>IFERROR(__xludf.DUMMYFUNCTION("""COMPUTED_VALUE"""),"VerifyCloseOrder")</f>
        <v>VerifyCloseOrder</v>
      </c>
      <c r="AR4" s="26" t="str">
        <f>IFERROR(__xludf.DUMMYFUNCTION("""COMPUTED_VALUE"""),"UnWindCloseOrder")</f>
        <v>UnWindCloseOrder</v>
      </c>
      <c r="AS4" s="26" t="str">
        <f>IFERROR(__xludf.DUMMYFUNCTION("""COMPUTED_VALUE"""),"ClosingCleanUp")</f>
        <v>ClosingCleanUp</v>
      </c>
      <c r="AT4" s="26" t="str">
        <f>IFERROR(__xludf.DUMMYFUNCTION("""COMPUTED_VALUE"""),"CloseClosingUI")</f>
        <v>CloseClosingUI</v>
      </c>
      <c r="AU4" s="26" t="str">
        <f>IFERROR(__xludf.DUMMYFUNCTION("""COMPUTED_VALUE"""),"EditTradeUnexpiredUnsettled")</f>
        <v>EditTradeUnexpiredUnsettled</v>
      </c>
      <c r="AV4" s="26" t="str">
        <f>IFERROR(__xludf.DUMMYFUNCTION("""COMPUTED_VALUE"""),"SetClosingPreference")</f>
        <v>SetClosingPreference</v>
      </c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IFERROR(__xludf.DUMMYFUNCTION("""COMPUTED_VALUE"""),"Account")</f>
        <v>Account</v>
      </c>
      <c r="C5" s="28" t="str">
        <f>IFERROR(__xludf.DUMMYFUNCTION("""COMPUTED_VALUE"""),"AccountValue")</f>
        <v>AccountValue</v>
      </c>
      <c r="D5" s="28" t="str">
        <f>IFERROR(__xludf.DUMMYFUNCTION("""COMPUTED_VALUE"""),"AccruedInterest")</f>
        <v>AccruedInterest</v>
      </c>
      <c r="E5" s="28" t="str">
        <f>IFERROR(__xludf.DUMMYFUNCTION("""COMPUTED_VALUE"""),"Asset")</f>
        <v>Asset</v>
      </c>
      <c r="F5" s="29" t="str">
        <f>IFERROR(__xludf.DUMMYFUNCTION("""COMPUTED_VALUE"""),"AUEC Fee1")</f>
        <v>AUEC Fee1</v>
      </c>
      <c r="G5" s="28" t="str">
        <f>IFERROR(__xludf.DUMMYFUNCTION("""COMPUTED_VALUE"""),"AUCE Fee2")</f>
        <v>AUCE Fee2</v>
      </c>
      <c r="H5" s="28" t="str">
        <f>IFERROR(__xludf.DUMMYFUNCTION("""COMPUTED_VALUE"""),"AUECID")</f>
        <v>AUECID</v>
      </c>
      <c r="I5" s="28" t="str">
        <f>IFERROR(__xludf.DUMMYFUNCTION("""COMPUTED_VALUE"""),"AUECLocalDateToday")</f>
        <v>AUECLocalDateToday</v>
      </c>
      <c r="J5" s="28" t="str">
        <f>IFERROR(__xludf.DUMMYFUNCTION("""COMPUTED_VALUE"""),"Average Price")</f>
        <v>Average Price</v>
      </c>
      <c r="K5" s="28" t="str">
        <f>IFERROR(__xludf.DUMMYFUNCTION("""COMPUTED_VALUE"""),"AvgPriceRealizedPL")</f>
        <v>AvgPriceRealizedPL</v>
      </c>
      <c r="L5" s="28" t="str">
        <f>IFERROR(__xludf.DUMMYFUNCTION("""COMPUTED_VALUE"""),"Broker")</f>
        <v>Broker</v>
      </c>
      <c r="M5" s="28" t="str">
        <f>IFERROR(__xludf.DUMMYFUNCTION("""COMPUTED_VALUE"""),"Clearing Broker Fee")</f>
        <v>Clearing Broker Fee</v>
      </c>
      <c r="N5" s="28" t="str">
        <f>IFERROR(__xludf.DUMMYFUNCTION("""COMPUTED_VALUE"""),"ClosedQty")</f>
        <v>ClosedQty</v>
      </c>
      <c r="O5" s="28" t="str">
        <f>IFERROR(__xludf.DUMMYFUNCTION("""COMPUTED_VALUE"""),"Commission")</f>
        <v>Commission</v>
      </c>
      <c r="P5" s="28" t="str">
        <f>IFERROR(__xludf.DUMMYFUNCTION("""COMPUTED_VALUE"""),"CostBasisRealizePNL")</f>
        <v>CostBasisRealizePNL</v>
      </c>
      <c r="Q5" s="28" t="str">
        <f>IFERROR(__xludf.DUMMYFUNCTION("""COMPUTED_VALUE"""),"Currency")</f>
        <v>Currency</v>
      </c>
      <c r="R5" s="28" t="str">
        <f>IFERROR(__xludf.DUMMYFUNCTION("""COMPUTED_VALUE"""),"Description")</f>
        <v>Description</v>
      </c>
      <c r="S5" s="28" t="str">
        <f>IFERROR(__xludf.DUMMYFUNCTION("""COMPUTED_VALUE"""),"EndDate")</f>
        <v>EndDate</v>
      </c>
      <c r="T5" s="30" t="str">
        <f>IFERROR(__xludf.DUMMYFUNCTION("""COMPUTED_VALUE"""),"ExchangeID")</f>
        <v>ExchangeID</v>
      </c>
      <c r="U5" s="30" t="str">
        <f>IFERROR(__xludf.DUMMYFUNCTION("""COMPUTED_VALUE"""),"Expiration Date")</f>
        <v>Expiration Date</v>
      </c>
      <c r="V5" s="30" t="str">
        <f>IFERROR(__xludf.DUMMYFUNCTION("""COMPUTED_VALUE"""),"ExpiredQty")</f>
        <v>ExpiredQty</v>
      </c>
      <c r="W5" s="30" t="str">
        <f>IFERROR(__xludf.DUMMYFUNCTION("""COMPUTED_VALUE"""),"ExpiredTaxlotID")</f>
        <v>ExpiredTaxlotID</v>
      </c>
      <c r="X5" s="30" t="str">
        <f>IFERROR(__xludf.DUMMYFUNCTION("""COMPUTED_VALUE"""),"FXRate")</f>
        <v>FXRate</v>
      </c>
      <c r="Y5" s="30" t="str">
        <f>IFERROR(__xludf.DUMMYFUNCTION("""COMPUTED_VALUE"""),"FXRateoperator")</f>
        <v>FXRateoperator</v>
      </c>
      <c r="Z5" s="30" t="str">
        <f>IFERROR(__xludf.DUMMYFUNCTION("""COMPUTED_VALUE"""),"ID")</f>
        <v>ID</v>
      </c>
      <c r="AA5" s="30" t="str">
        <f>IFERROR(__xludf.DUMMYFUNCTION("""COMPUTED_VALUE"""),"If Pay/Recevie Changes")</f>
        <v>If Pay/Recevie Changes</v>
      </c>
      <c r="AB5" s="30" t="str">
        <f>IFERROR(__xludf.DUMMYFUNCTION("""COMPUTED_VALUE"""),"IntPositionType")</f>
        <v>IntPositionType</v>
      </c>
      <c r="AC5" s="30" t="str">
        <f>IFERROR(__xludf.DUMMYFUNCTION("""COMPUTED_VALUE"""),"LeadCurrencyID")</f>
        <v>LeadCurrencyID</v>
      </c>
      <c r="AD5" s="30" t="str">
        <f>IFERROR(__xludf.DUMMYFUNCTION("""COMPUTED_VALUE"""),"Leveraged Factor")</f>
        <v>Leveraged Factor</v>
      </c>
      <c r="AE5" s="30" t="str">
        <f>IFERROR(__xludf.DUMMYFUNCTION("""COMPUTED_VALUE"""),"MarkPriceForMonth")</f>
        <v>MarkPriceForMonth</v>
      </c>
      <c r="AF5" s="30" t="str">
        <f>IFERROR(__xludf.DUMMYFUNCTION("""COMPUTED_VALUE"""),"MonthToDateRealizedProfit")</f>
        <v>MonthToDateRealizedProfit</v>
      </c>
      <c r="AG5" s="30" t="str">
        <f>IFERROR(__xludf.DUMMYFUNCTION("""COMPUTED_VALUE"""),"Multiplier")</f>
        <v>Multiplier</v>
      </c>
      <c r="AH5" s="30" t="str">
        <f>IFERROR(__xludf.DUMMYFUNCTION("""COMPUTED_VALUE"""),"NotionalValue")</f>
        <v>NotionalValue</v>
      </c>
      <c r="AI5" s="30" t="str">
        <f>IFERROR(__xludf.DUMMYFUNCTION("""COMPUTED_VALUE"""),"OCC Fee")</f>
        <v>OCC Fee</v>
      </c>
      <c r="AJ5" s="30" t="str">
        <f>IFERROR(__xludf.DUMMYFUNCTION("""COMPUTED_VALUE"""),"OpenQty")</f>
        <v>OpenQty</v>
      </c>
      <c r="AK5" s="30" t="str">
        <f>IFERROR(__xludf.DUMMYFUNCTION("""COMPUTED_VALUE"""),"Option Activated")</f>
        <v>Option Activated</v>
      </c>
      <c r="AL5" s="30" t="str">
        <f>IFERROR(__xludf.DUMMYFUNCTION("""COMPUTED_VALUE"""),"Option Type")</f>
        <v>Option Type</v>
      </c>
      <c r="AM5" s="30" t="str">
        <f>IFERROR(__xludf.DUMMYFUNCTION("""COMPUTED_VALUE"""),"OptionPremiumAdjustment")</f>
        <v>OptionPremiumAdjustment</v>
      </c>
      <c r="AN5" s="30" t="str">
        <f>IFERROR(__xludf.DUMMYFUNCTION("""COMPUTED_VALUE"""),"ORF Fee")</f>
        <v>ORF Fee</v>
      </c>
      <c r="AO5" s="30" t="str">
        <f>IFERROR(__xludf.DUMMYFUNCTION("""COMPUTED_VALUE"""),"Original Side")</f>
        <v>Original Side</v>
      </c>
      <c r="AP5" s="30" t="str">
        <f>IFERROR(__xludf.DUMMYFUNCTION("""COMPUTED_VALUE"""),"OriginalPurchaseDate")</f>
        <v>OriginalPurchaseDate</v>
      </c>
      <c r="AQ5" s="30" t="str">
        <f>IFERROR(__xludf.DUMMYFUNCTION("""COMPUTED_VALUE"""),"Other Broker Fees")</f>
        <v>Other Broker Fees</v>
      </c>
      <c r="AR5" s="30" t="str">
        <f>IFERROR(__xludf.DUMMYFUNCTION("""COMPUTED_VALUE"""),"ParentTradeDate")</f>
        <v>ParentTradeDate</v>
      </c>
      <c r="AS5" s="30" t="str">
        <f>IFERROR(__xludf.DUMMYFUNCTION("""COMPUTED_VALUE"""),"Pay/Recive")</f>
        <v>Pay/Recive</v>
      </c>
      <c r="AT5" s="30" t="str">
        <f>IFERROR(__xludf.DUMMYFUNCTION("""COMPUTED_VALUE"""),"PositionType")</f>
        <v>PositionType</v>
      </c>
      <c r="AU5" s="30" t="str">
        <f>IFERROR(__xludf.DUMMYFUNCTION("""COMPUTED_VALUE"""),"ProcessDate")</f>
        <v>ProcessDate</v>
      </c>
      <c r="AV5" s="30" t="str">
        <f>IFERROR(__xludf.DUMMYFUNCTION("""COMPUTED_VALUE"""),"QtyCurrency")</f>
        <v>QtyCurrency</v>
      </c>
      <c r="AW5" s="30" t="str">
        <f>IFERROR(__xludf.DUMMYFUNCTION("""COMPUTED_VALUE"""),"Quantity")</f>
        <v>Quantity</v>
      </c>
      <c r="AX5" s="30" t="str">
        <f>IFERROR(__xludf.DUMMYFUNCTION("""COMPUTED_VALUE"""),"RecordType")</f>
        <v>RecordType</v>
      </c>
      <c r="AY5" s="30" t="str">
        <f>IFERROR(__xludf.DUMMYFUNCTION("""COMPUTED_VALUE"""),"SEC Fee")</f>
        <v>SEC Fee</v>
      </c>
      <c r="AZ5" s="30" t="str">
        <f>IFERROR(__xludf.DUMMYFUNCTION("""COMPUTED_VALUE"""),"Settlement Currency")</f>
        <v>Settlement Currency</v>
      </c>
      <c r="BA5" s="30" t="str">
        <f>IFERROR(__xludf.DUMMYFUNCTION("""COMPUTED_VALUE"""),"Settlement Date")</f>
        <v>Settlement Date</v>
      </c>
      <c r="BB5" s="30" t="str">
        <f>IFERROR(__xludf.DUMMYFUNCTION("""COMPUTED_VALUE"""),"Settlement FxRate")</f>
        <v>Settlement FxRate</v>
      </c>
      <c r="BC5" s="30" t="str">
        <f>IFERROR(__xludf.DUMMYFUNCTION("""COMPUTED_VALUE"""),"Settlement FxRate Operator")</f>
        <v>Settlement FxRate Operator</v>
      </c>
      <c r="BD5" s="30" t="str">
        <f>IFERROR(__xludf.DUMMYFUNCTION("""COMPUTED_VALUE"""),"Settlement Price")</f>
        <v>Settlement Price</v>
      </c>
      <c r="BE5" s="30" t="str">
        <f>IFERROR(__xludf.DUMMYFUNCTION("""COMPUTED_VALUE"""),"Side")</f>
        <v>Side</v>
      </c>
      <c r="BF5" s="30" t="str">
        <f>IFERROR(__xludf.DUMMYFUNCTION("""COMPUTED_VALUE"""),"Soft Commission")</f>
        <v>Soft Commission</v>
      </c>
      <c r="BG5" s="30" t="str">
        <f>IFERROR(__xludf.DUMMYFUNCTION("""COMPUTED_VALUE"""),"Stamp Duty")</f>
        <v>Stamp Duty</v>
      </c>
      <c r="BH5" s="30" t="str">
        <f>IFERROR(__xludf.DUMMYFUNCTION("""COMPUTED_VALUE"""),"StartTaxlotID")</f>
        <v>StartTaxlotID</v>
      </c>
      <c r="BI5" s="30" t="str">
        <f>IFERROR(__xludf.DUMMYFUNCTION("""COMPUTED_VALUE"""),"Status")</f>
        <v>Status</v>
      </c>
      <c r="BJ5" s="30" t="str">
        <f>IFERROR(__xludf.DUMMYFUNCTION("""COMPUTED_VALUE"""),"Strategy")</f>
        <v>Strategy</v>
      </c>
      <c r="BK5" s="30" t="str">
        <f>IFERROR(__xludf.DUMMYFUNCTION("""COMPUTED_VALUE"""),"Strike Price")</f>
        <v>Strike Price</v>
      </c>
      <c r="BL5" s="30" t="str">
        <f>IFERROR(__xludf.DUMMYFUNCTION("""COMPUTED_VALUE"""),"Symbol")</f>
        <v>Symbol</v>
      </c>
      <c r="BM5" s="30" t="str">
        <f>IFERROR(__xludf.DUMMYFUNCTION("""COMPUTED_VALUE"""),"SymbolAveragePrice")</f>
        <v>SymbolAveragePrice</v>
      </c>
      <c r="BN5" s="30" t="str">
        <f>IFERROR(__xludf.DUMMYFUNCTION("""COMPUTED_VALUE"""),"Tax On Commissions")</f>
        <v>Tax On Commissions</v>
      </c>
      <c r="BO5" s="30" t="str">
        <f>IFERROR(__xludf.DUMMYFUNCTION("""COMPUTED_VALUE"""),"TaxLotClosingId")</f>
        <v>TaxLotClosingId</v>
      </c>
      <c r="BP5" s="30" t="str">
        <f>IFERROR(__xludf.DUMMYFUNCTION("""COMPUTED_VALUE"""),"Trade Date")</f>
        <v>Trade Date</v>
      </c>
      <c r="BQ5" s="30" t="str">
        <f>IFERROR(__xludf.DUMMYFUNCTION("""COMPUTED_VALUE"""),"Transaction Levy")</f>
        <v>Transaction Levy</v>
      </c>
      <c r="BR5" s="30" t="str">
        <f>IFERROR(__xludf.DUMMYFUNCTION("""COMPUTED_VALUE"""),"Transaction Type")</f>
        <v>Transaction Type</v>
      </c>
      <c r="BS5" s="30" t="str">
        <f>IFERROR(__xludf.DUMMYFUNCTION("""COMPUTED_VALUE"""),"TransactionSource")</f>
        <v>TransactionSource</v>
      </c>
      <c r="BT5" s="30" t="str">
        <f>IFERROR(__xludf.DUMMYFUNCTION("""COMPUTED_VALUE"""),"Underlying Symbol")</f>
        <v>Underlying Symbol</v>
      </c>
      <c r="BU5" s="30" t="str">
        <f>IFERROR(__xludf.DUMMYFUNCTION("""COMPUTED_VALUE"""),"UnderlyingID")</f>
        <v>UnderlyingID</v>
      </c>
      <c r="BV5" s="30" t="str">
        <f>IFERROR(__xludf.DUMMYFUNCTION("""COMPUTED_VALUE"""),"Venue")</f>
        <v>Venue</v>
      </c>
      <c r="BW5" s="30" t="str">
        <f>IFERROR(__xludf.DUMMYFUNCTION("""COMPUTED_VALUE"""),"Settlement Qty")</f>
        <v>Settlement Qty</v>
      </c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13"/>
      <c r="C6" s="8"/>
      <c r="D6" s="13"/>
      <c r="E6" s="33"/>
      <c r="F6" s="8"/>
      <c r="G6" s="8"/>
      <c r="H6" s="8"/>
      <c r="I6" s="8"/>
      <c r="J6" s="8"/>
      <c r="K6" s="8"/>
      <c r="L6" s="8"/>
      <c r="M6" s="8"/>
      <c r="N6" s="8"/>
      <c r="O6" s="8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ExerciseAssignment!$4:$4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

<file path=xl/worksheets/sheet1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39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IFERROR(__xludf.DUMMYFUNCTION("""COMPUTED_VALUE"""),"RangeType")</f>
        <v>RangeType</v>
      </c>
      <c r="C5" s="28" t="str">
        <f>IFERROR(__xludf.DUMMYFUNCTION("""COMPUTED_VALUE"""),"From")</f>
        <v>From</v>
      </c>
      <c r="D5" s="28" t="str">
        <f>IFERROR(__xludf.DUMMYFUNCTION("""COMPUTED_VALUE"""),"To")</f>
        <v>To</v>
      </c>
      <c r="E5" s="28" t="str">
        <f>IFERROR(__xludf.DUMMYFUNCTION("""COMPUTED_VALUE"""),"FilterTabName")</f>
        <v>FilterTabName</v>
      </c>
      <c r="F5" s="29" t="str">
        <f>IFERROR(__xludf.DUMMYFUNCTION("""COMPUTED_VALUE"""),"Symbol")</f>
        <v>Symbol</v>
      </c>
      <c r="G5" s="28" t="str">
        <f>IFERROR(__xludf.DUMMYFUNCTION("""COMPUTED_VALUE"""),"Asset")</f>
        <v>Asset</v>
      </c>
      <c r="H5" s="28" t="str">
        <f>IFERROR(__xludf.DUMMYFUNCTION("""COMPUTED_VALUE"""),"Side")</f>
        <v>Side</v>
      </c>
      <c r="I5" s="28" t="str">
        <f>IFERROR(__xludf.DUMMYFUNCTION("""COMPUTED_VALUE"""),"Account")</f>
        <v>Account</v>
      </c>
      <c r="J5" s="28" t="str">
        <f>IFERROR(__xludf.DUMMYFUNCTION("""COMPUTED_VALUE"""),"Broker")</f>
        <v>Broker</v>
      </c>
      <c r="K5" s="28" t="str">
        <f>IFERROR(__xludf.DUMMYFUNCTION("""COMPUTED_VALUE"""),"Currency")</f>
        <v>Currency</v>
      </c>
      <c r="L5" s="28" t="str">
        <f>IFERROR(__xludf.DUMMYFUNCTION("""COMPUTED_VALUE"""),"Exchange")</f>
        <v>Exchange</v>
      </c>
      <c r="M5" s="28" t="str">
        <f>IFERROR(__xludf.DUMMYFUNCTION("""COMPUTED_VALUE"""),"StrategyName")</f>
        <v>StrategyName</v>
      </c>
      <c r="N5" s="28" t="str">
        <f>IFERROR(__xludf.DUMMYFUNCTION("""COMPUTED_VALUE"""),"Underlying")</f>
        <v>Underlying</v>
      </c>
      <c r="O5" s="28" t="str">
        <f>IFERROR(__xludf.DUMMYFUNCTION("""COMPUTED_VALUE"""),"Venue")</f>
        <v>Venue</v>
      </c>
      <c r="P5" s="28" t="str">
        <f>IFERROR(__xludf.DUMMYFUNCTION("""COMPUTED_VALUE"""),"TradingAccount")</f>
        <v>TradingAccount</v>
      </c>
      <c r="Q5" s="28" t="str">
        <f>IFERROR(__xludf.DUMMYFUNCTION("""COMPUTED_VALUE"""),"PreAllocated")</f>
        <v>PreAllocated</v>
      </c>
      <c r="R5" s="28" t="str">
        <f>IFERROR(__xludf.DUMMYFUNCTION("""COMPUTED_VALUE"""),"ManualGroup")</f>
        <v>ManualGroup</v>
      </c>
      <c r="S5" s="28"/>
      <c r="T5" s="30"/>
      <c r="U5" s="30"/>
      <c r="V5" s="30"/>
      <c r="W5" s="30"/>
      <c r="X5" s="30"/>
      <c r="Y5" s="30"/>
      <c r="Z5" s="30"/>
      <c r="AA5" s="30"/>
      <c r="AB5" s="30"/>
      <c r="AC5" s="30"/>
      <c r="AD5" s="30"/>
      <c r="AE5" s="30"/>
      <c r="AF5" s="30"/>
      <c r="AG5" s="30"/>
      <c r="AH5" s="30"/>
      <c r="AI5" s="30"/>
      <c r="AJ5" s="30"/>
      <c r="AK5" s="30"/>
      <c r="AL5" s="30"/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31"/>
      <c r="B6" s="42" t="s">
        <v>32</v>
      </c>
      <c r="C6" s="38" t="s">
        <v>33</v>
      </c>
      <c r="D6" s="38">
        <f>TODAY()</f>
        <v>45051</v>
      </c>
      <c r="E6" s="34"/>
      <c r="F6" s="34"/>
      <c r="G6" s="34"/>
      <c r="H6" s="34"/>
      <c r="I6" s="34"/>
      <c r="J6" s="34"/>
      <c r="K6" s="34"/>
      <c r="L6" s="34"/>
      <c r="M6" s="34"/>
      <c r="N6" s="34"/>
      <c r="O6" s="34"/>
      <c r="P6" s="34"/>
      <c r="Q6" s="34"/>
      <c r="R6" s="34"/>
      <c r="S6" s="34"/>
      <c r="T6" s="34"/>
      <c r="U6" s="34"/>
      <c r="V6" s="34"/>
      <c r="W6" s="34"/>
      <c r="X6" s="34"/>
      <c r="Y6" s="34"/>
      <c r="Z6" s="34"/>
      <c r="AA6" s="34"/>
      <c r="AB6" s="34"/>
      <c r="AC6" s="34"/>
      <c r="AD6" s="34"/>
      <c r="AE6" s="34"/>
      <c r="AF6" s="34"/>
      <c r="AG6" s="34"/>
      <c r="AH6" s="34"/>
      <c r="AI6" s="34"/>
      <c r="AJ6" s="34"/>
      <c r="AK6" s="34"/>
      <c r="AL6" s="34"/>
      <c r="AM6" s="34"/>
      <c r="AN6" s="34"/>
      <c r="AO6" s="34"/>
      <c r="AP6" s="34"/>
      <c r="AQ6" s="34"/>
      <c r="AR6" s="34"/>
      <c r="AS6" s="34"/>
      <c r="AT6" s="34"/>
      <c r="AU6" s="34"/>
      <c r="AV6" s="34"/>
      <c r="AW6" s="34"/>
      <c r="AX6" s="34"/>
      <c r="AY6" s="34"/>
      <c r="AZ6" s="34"/>
      <c r="BA6" s="34"/>
      <c r="BB6" s="34"/>
      <c r="BC6" s="34"/>
      <c r="BD6" s="34"/>
      <c r="BE6" s="34"/>
      <c r="BF6" s="34"/>
      <c r="BG6" s="34"/>
      <c r="BH6" s="34"/>
      <c r="BI6" s="34"/>
      <c r="BJ6" s="34"/>
      <c r="BK6" s="34"/>
      <c r="BL6" s="34"/>
      <c r="BM6" s="34"/>
      <c r="BN6" s="34"/>
      <c r="BO6" s="34"/>
      <c r="BP6" s="34"/>
      <c r="BQ6" s="34"/>
      <c r="BR6" s="34"/>
      <c r="BS6" s="34"/>
      <c r="BT6" s="34"/>
      <c r="BU6" s="34"/>
      <c r="BV6" s="34"/>
      <c r="BW6" s="34"/>
      <c r="BX6" s="34"/>
      <c r="BY6" s="34"/>
      <c r="BZ6" s="34"/>
      <c r="CA6" s="34"/>
      <c r="CB6" s="34"/>
      <c r="CC6" s="34"/>
      <c r="CD6" s="34"/>
      <c r="CE6" s="34"/>
      <c r="CF6" s="34"/>
      <c r="CG6" s="34"/>
      <c r="CH6" s="34"/>
      <c r="CI6" s="34"/>
      <c r="CJ6" s="34"/>
      <c r="CK6" s="34"/>
      <c r="CL6" s="34"/>
      <c r="CM6" s="34"/>
      <c r="CN6" s="34"/>
      <c r="CO6" s="34"/>
      <c r="CP6" s="34"/>
      <c r="CQ6" s="34"/>
      <c r="CR6" s="34"/>
      <c r="CS6" s="34"/>
      <c r="CT6" s="34"/>
      <c r="CU6" s="34"/>
      <c r="CV6" s="34"/>
      <c r="CW6" s="34"/>
      <c r="CX6" s="34"/>
      <c r="CY6" s="34"/>
      <c r="CZ6" s="34"/>
      <c r="DA6" s="34"/>
      <c r="DB6" s="34"/>
      <c r="DC6" s="34"/>
      <c r="DD6" s="34"/>
      <c r="DE6" s="34"/>
      <c r="DF6" s="34"/>
      <c r="DG6" s="34"/>
      <c r="DH6" s="34"/>
      <c r="DI6" s="34"/>
      <c r="DJ6" s="34"/>
      <c r="DK6" s="34"/>
      <c r="DL6" s="34"/>
      <c r="DM6" s="34"/>
      <c r="DN6" s="34"/>
      <c r="DO6" s="34"/>
      <c r="DP6" s="34"/>
      <c r="DQ6" s="34"/>
      <c r="DR6" s="34"/>
      <c r="DS6" s="34"/>
      <c r="DT6" s="34"/>
      <c r="DU6" s="34"/>
      <c r="DV6" s="34"/>
      <c r="DW6" s="34"/>
      <c r="DX6" s="34"/>
      <c r="DY6" s="34"/>
      <c r="DZ6" s="34"/>
      <c r="EA6" s="34"/>
      <c r="EB6" s="34"/>
      <c r="EC6" s="34"/>
      <c r="ED6" s="34"/>
      <c r="EE6" s="34"/>
      <c r="EF6" s="34"/>
      <c r="EG6" s="34"/>
      <c r="EH6" s="34"/>
      <c r="EI6" s="34"/>
      <c r="EJ6" s="34"/>
      <c r="EK6" s="34"/>
      <c r="EL6" s="34"/>
      <c r="EM6" s="34"/>
      <c r="EN6" s="34"/>
      <c r="EO6" s="34"/>
      <c r="EP6" s="34"/>
      <c r="EQ6" s="34"/>
      <c r="ER6" s="34"/>
      <c r="ES6" s="34"/>
      <c r="ET6" s="34"/>
      <c r="EU6" s="34"/>
      <c r="EV6" s="34"/>
      <c r="EW6" s="34"/>
      <c r="EX6" s="34"/>
    </row>
    <row r="7" ht="15.75" customHeight="1">
      <c r="A7" s="8"/>
      <c r="B7" s="8"/>
      <c r="C7" s="8"/>
      <c r="D7" s="8"/>
      <c r="E7" s="8"/>
      <c r="F7" s="8"/>
      <c r="G7" s="8"/>
      <c r="H7" s="8"/>
      <c r="I7" s="8"/>
      <c r="J7" s="8"/>
      <c r="K7" s="8"/>
      <c r="L7" s="8"/>
      <c r="M7" s="8"/>
      <c r="N7" s="8"/>
      <c r="O7" s="8"/>
    </row>
    <row r="8" ht="15.75" customHeight="1">
      <c r="A8" s="8"/>
      <c r="B8" s="8"/>
      <c r="C8" s="8"/>
      <c r="D8" s="8"/>
      <c r="E8" s="8"/>
      <c r="F8" s="8"/>
      <c r="G8" s="8"/>
      <c r="H8" s="8"/>
      <c r="I8" s="8"/>
      <c r="J8" s="8"/>
      <c r="K8" s="8"/>
      <c r="L8" s="8"/>
      <c r="M8" s="8"/>
      <c r="N8" s="8"/>
      <c r="O8" s="8"/>
    </row>
    <row r="9" ht="15.75" customHeight="1">
      <c r="A9" s="8"/>
      <c r="B9" s="8"/>
      <c r="C9" s="8"/>
      <c r="D9" s="8"/>
      <c r="E9" s="8"/>
      <c r="F9" s="8"/>
      <c r="G9" s="8"/>
      <c r="H9" s="8"/>
      <c r="I9" s="8"/>
      <c r="J9" s="8"/>
      <c r="K9" s="8"/>
      <c r="L9" s="8"/>
      <c r="M9" s="8"/>
      <c r="N9" s="8"/>
      <c r="O9" s="8"/>
    </row>
    <row r="10" ht="15.75" customHeight="1">
      <c r="A10" s="8"/>
      <c r="B10" s="8"/>
      <c r="C10" s="8"/>
      <c r="D10" s="8"/>
      <c r="E10" s="8"/>
      <c r="F10" s="8"/>
      <c r="G10" s="8"/>
      <c r="H10" s="8"/>
      <c r="I10" s="8"/>
      <c r="J10" s="8"/>
      <c r="K10" s="8"/>
      <c r="L10" s="8"/>
      <c r="M10" s="8"/>
      <c r="N10" s="8"/>
      <c r="O10" s="8"/>
    </row>
    <row r="11" ht="15.75" customHeight="1">
      <c r="A11" s="8"/>
      <c r="B11" s="8"/>
      <c r="C11" s="8"/>
      <c r="D11" s="8"/>
      <c r="E11" s="8"/>
      <c r="F11" s="8"/>
      <c r="G11" s="8"/>
      <c r="H11" s="8"/>
      <c r="I11" s="8"/>
      <c r="J11" s="8"/>
      <c r="K11" s="8"/>
      <c r="L11" s="8"/>
      <c r="M11" s="8"/>
      <c r="N11" s="8"/>
      <c r="O11" s="8"/>
    </row>
    <row r="12" ht="15.75" customHeight="1">
      <c r="A12" s="8"/>
      <c r="B12" s="8"/>
      <c r="C12" s="8"/>
      <c r="D12" s="8"/>
      <c r="E12" s="8"/>
      <c r="F12" s="8"/>
      <c r="G12" s="8"/>
      <c r="H12" s="8"/>
      <c r="I12" s="8"/>
      <c r="J12" s="8"/>
      <c r="K12" s="8"/>
      <c r="L12" s="8"/>
      <c r="M12" s="8"/>
      <c r="N12" s="8"/>
      <c r="O12" s="8"/>
    </row>
    <row r="13" ht="15.75" customHeight="1">
      <c r="A13" s="8"/>
      <c r="B13" s="8"/>
      <c r="C13" s="8"/>
      <c r="D13" s="8"/>
      <c r="E13" s="8"/>
      <c r="F13" s="8"/>
      <c r="G13" s="8"/>
      <c r="H13" s="8"/>
      <c r="I13" s="8"/>
      <c r="J13" s="8"/>
      <c r="K13" s="8"/>
      <c r="L13" s="8"/>
      <c r="M13" s="8"/>
      <c r="N13" s="8"/>
      <c r="O13" s="8"/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GetDataAllocation!$4:$4</formula1>
    </dataValidation>
  </dataValidations>
  <drawing r:id="rId1"/>
</worksheet>
</file>

<file path=xl/worksheets/sheet1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40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IFERROR(__xludf.DUMMYFUNCTION("""COMPUTED_VALUE"""),"Account Name")</f>
        <v>Account Name</v>
      </c>
      <c r="C5" s="28" t="str">
        <f>IFERROR(__xludf.DUMMYFUNCTION("""COMPUTED_VALUE"""),"Accrual Basis")</f>
        <v>Accrual Basis</v>
      </c>
      <c r="D5" s="28" t="str">
        <f>IFERROR(__xludf.DUMMYFUNCTION("""COMPUTED_VALUE"""),"Accrued Interest")</f>
        <v>Accrued Interest</v>
      </c>
      <c r="E5" s="28" t="str">
        <f>IFERROR(__xludf.DUMMYFUNCTION("""COMPUTED_VALUE"""),"Allocated Qty")</f>
        <v>Allocated Qty</v>
      </c>
      <c r="F5" s="29" t="str">
        <f>IFERROR(__xludf.DUMMYFUNCTION("""COMPUTED_VALUE"""),"Allocation Scheme Name")</f>
        <v>Allocation Scheme Name</v>
      </c>
      <c r="G5" s="28" t="str">
        <f>IFERROR(__xludf.DUMMYFUNCTION("""COMPUTED_VALUE"""),"Asset Category")</f>
        <v>Asset Category</v>
      </c>
      <c r="H5" s="28" t="str">
        <f>IFERROR(__xludf.DUMMYFUNCTION("""COMPUTED_VALUE"""),"AUEC Fee1")</f>
        <v>AUEC Fee1</v>
      </c>
      <c r="I5" s="28" t="str">
        <f>IFERROR(__xludf.DUMMYFUNCTION("""COMPUTED_VALUE"""),"AUEC Fee2")</f>
        <v>AUEC Fee2</v>
      </c>
      <c r="J5" s="28" t="str">
        <f>IFERROR(__xludf.DUMMYFUNCTION("""COMPUTED_VALUE"""),"AUECID")</f>
        <v>AUECID</v>
      </c>
      <c r="K5" s="28" t="str">
        <f>IFERROR(__xludf.DUMMYFUNCTION("""COMPUTED_VALUE"""),"Avg Price(Base)")</f>
        <v>Avg Price(Base)</v>
      </c>
      <c r="L5" s="28" t="str">
        <f>IFERROR(__xludf.DUMMYFUNCTION("""COMPUTED_VALUE"""),"Avg Price(Local)")</f>
        <v>Avg Price(Local)</v>
      </c>
      <c r="M5" s="28" t="str">
        <f>IFERROR(__xludf.DUMMYFUNCTION("""COMPUTED_VALUE"""),"Bloomberg")</f>
        <v>Bloomberg</v>
      </c>
      <c r="N5" s="28" t="str">
        <f>IFERROR(__xludf.DUMMYFUNCTION("""COMPUTED_VALUE"""),"Bond Type")</f>
        <v>Bond Type</v>
      </c>
      <c r="O5" s="28" t="str">
        <f>IFERROR(__xludf.DUMMYFUNCTION("""COMPUTED_VALUE"""),"Broker")</f>
        <v>Broker</v>
      </c>
      <c r="P5" s="28" t="str">
        <f>IFERROR(__xludf.DUMMYFUNCTION("""COMPUTED_VALUE"""),"Change Comment")</f>
        <v>Change Comment</v>
      </c>
      <c r="Q5" s="28" t="str">
        <f>IFERROR(__xludf.DUMMYFUNCTION("""COMPUTED_VALUE"""),"Change Type")</f>
        <v>Change Type</v>
      </c>
      <c r="R5" s="28" t="str">
        <f>IFERROR(__xludf.DUMMYFUNCTION("""COMPUTED_VALUE"""),"Clearing Broker Fee")</f>
        <v>Clearing Broker Fee</v>
      </c>
      <c r="S5" s="28" t="str">
        <f>IFERROR(__xludf.DUMMYFUNCTION("""COMPUTED_VALUE"""),"Closing Status")</f>
        <v>Closing Status</v>
      </c>
      <c r="T5" s="30" t="str">
        <f>IFERROR(__xludf.DUMMYFUNCTION("""COMPUTED_VALUE"""),"Commission")</f>
        <v>Commission</v>
      </c>
      <c r="U5" s="30" t="str">
        <f>IFERROR(__xludf.DUMMYFUNCTION("""COMPUTED_VALUE"""),"Commission Per Share")</f>
        <v>Commission Per Share</v>
      </c>
      <c r="V5" s="30" t="str">
        <f>IFERROR(__xludf.DUMMYFUNCTION("""COMPUTED_VALUE"""),"Company")</f>
        <v>Company</v>
      </c>
      <c r="W5" s="30" t="str">
        <f>IFERROR(__xludf.DUMMYFUNCTION("""COMPUTED_VALUE"""),"Contract Multiplier")</f>
        <v>Contract Multiplier</v>
      </c>
      <c r="X5" s="30" t="str">
        <f>IFERROR(__xludf.DUMMYFUNCTION("""COMPUTED_VALUE"""),"Coupon Rate")</f>
        <v>Coupon Rate</v>
      </c>
      <c r="Y5" s="30" t="str">
        <f>IFERROR(__xludf.DUMMYFUNCTION("""COMPUTED_VALUE"""),"Cum Qty For Sub Order")</f>
        <v>Cum Qty For Sub Order</v>
      </c>
      <c r="Z5" s="30" t="str">
        <f>IFERROR(__xludf.DUMMYFUNCTION("""COMPUTED_VALUE"""),"Currency")</f>
        <v>Currency</v>
      </c>
      <c r="AA5" s="30" t="str">
        <f>IFERROR(__xludf.DUMMYFUNCTION("""COMPUTED_VALUE"""),"Cusip Symbol")</f>
        <v>Cusip Symbol</v>
      </c>
      <c r="AB5" s="30" t="str">
        <f>IFERROR(__xludf.DUMMYFUNCTION("""COMPUTED_VALUE"""),"Delta")</f>
        <v>Delta</v>
      </c>
      <c r="AC5" s="30" t="str">
        <f>IFERROR(__xludf.DUMMYFUNCTION("""COMPUTED_VALUE"""),"Description")</f>
        <v>Description</v>
      </c>
      <c r="AD5" s="30" t="str">
        <f>IFERROR(__xludf.DUMMYFUNCTION("""COMPUTED_VALUE"""),"Exchange")</f>
        <v>Exchange</v>
      </c>
      <c r="AE5" s="30" t="str">
        <f>IFERROR(__xludf.DUMMYFUNCTION("""COMPUTED_VALUE"""),"Executed Qty")</f>
        <v>Executed Qty</v>
      </c>
      <c r="AF5" s="30" t="str">
        <f>IFERROR(__xludf.DUMMYFUNCTION("""COMPUTED_VALUE"""),"Exceution Time")</f>
        <v>Exceution Time</v>
      </c>
      <c r="AG5" s="30" t="str">
        <f>IFERROR(__xludf.DUMMYFUNCTION("""COMPUTED_VALUE"""),"Expiration Date")</f>
        <v>Expiration Date</v>
      </c>
      <c r="AH5" s="30" t="str">
        <f>IFERROR(__xludf.DUMMYFUNCTION("""COMPUTED_VALUE"""),"FX Conversion Operator")</f>
        <v>FX Conversion Operator</v>
      </c>
      <c r="AI5" s="30" t="str">
        <f>IFERROR(__xludf.DUMMYFUNCTION("""COMPUTED_VALUE"""),"FX Rate")</f>
        <v>FX Rate</v>
      </c>
      <c r="AJ5" s="30" t="str">
        <f>IFERROR(__xludf.DUMMYFUNCTION("""COMPUTED_VALUE"""),"Group Status")</f>
        <v>Group Status</v>
      </c>
      <c r="AK5" s="30" t="str">
        <f>IFERROR(__xludf.DUMMYFUNCTION("""COMPUTED_VALUE"""),"IDCOSymbol")</f>
        <v>IDCOSymbol</v>
      </c>
      <c r="AL5" s="30" t="str">
        <f>IFERROR(__xludf.DUMMYFUNCTION("""COMPUTED_VALUE"""),"Import File Name")</f>
        <v>Import File Name</v>
      </c>
      <c r="AM5" s="30" t="str">
        <f>IFERROR(__xludf.DUMMYFUNCTION("""COMPUTED_VALUE"""),"Internal Comments")</f>
        <v>Internal Comments</v>
      </c>
      <c r="AN5" s="30" t="str">
        <f>IFERROR(__xludf.DUMMYFUNCTION("""COMPUTED_VALUE"""),"IsAnotherTaxlotAttributesUpdated")</f>
        <v>IsAnotherTaxlotAttributesUpdated</v>
      </c>
      <c r="AO5" s="30" t="str">
        <f>IFERROR(__xludf.DUMMYFUNCTION("""COMPUTED_VALUE"""),"ISIN")</f>
        <v>ISIN</v>
      </c>
      <c r="AP5" s="30" t="str">
        <f>IFERROR(__xludf.DUMMYFUNCTION("""COMPUTED_VALUE"""),"IsManual Group")</f>
        <v>IsManual Group</v>
      </c>
      <c r="AQ5" s="30" t="str">
        <f>IFERROR(__xludf.DUMMYFUNCTION("""COMPUTED_VALUE"""),"ISNDF")</f>
        <v>ISNDF</v>
      </c>
      <c r="AR5" s="30" t="str">
        <f>IFERROR(__xludf.DUMMYFUNCTION("""COMPUTED_VALUE"""),"IsPreAllocated")</f>
        <v>IsPreAllocated</v>
      </c>
      <c r="AS5" s="30" t="str">
        <f>IFERROR(__xludf.DUMMYFUNCTION("""COMPUTED_VALUE"""),"M2MProfitLoss")</f>
        <v>M2MProfitLoss</v>
      </c>
      <c r="AT5" s="30" t="str">
        <f>IFERROR(__xludf.DUMMYFUNCTION("""COMPUTED_VALUE"""),"Net Amount( Base)")</f>
        <v>Net Amount( Base)</v>
      </c>
      <c r="AU5" s="30" t="str">
        <f>IFERROR(__xludf.DUMMYFUNCTION("""COMPUTED_VALUE"""),"Net Amount( Local)")</f>
        <v>Net Amount( Local)</v>
      </c>
      <c r="AV5" s="30" t="str">
        <f>IFERROR(__xludf.DUMMYFUNCTION("""COMPUTED_VALUE"""),"Nirvana Process Date")</f>
        <v>Nirvana Process Date</v>
      </c>
      <c r="AW5" s="30" t="str">
        <f>IFERROR(__xludf.DUMMYFUNCTION("""COMPUTED_VALUE"""),"OCC Fee")</f>
        <v>OCC Fee</v>
      </c>
      <c r="AX5" s="30" t="str">
        <f>IFERROR(__xludf.DUMMYFUNCTION("""COMPUTED_VALUE"""),"Option Premium Adjustment")</f>
        <v>Option Premium Adjustment</v>
      </c>
      <c r="AY5" s="30" t="str">
        <f>IFERROR(__xludf.DUMMYFUNCTION("""COMPUTED_VALUE"""),"Order Type")</f>
        <v>Order Type</v>
      </c>
      <c r="AZ5" s="30" t="str">
        <f>IFERROR(__xludf.DUMMYFUNCTION("""COMPUTED_VALUE"""),"ORF Fee")</f>
        <v>ORF Fee</v>
      </c>
      <c r="BA5" s="30" t="str">
        <f>IFERROR(__xludf.DUMMYFUNCTION("""COMPUTED_VALUE"""),"Original Purchase Date")</f>
        <v>Original Purchase Date</v>
      </c>
      <c r="BB5" s="30" t="str">
        <f>IFERROR(__xludf.DUMMYFUNCTION("""COMPUTED_VALUE"""),"OSISSymbol")</f>
        <v>OSISSymbol</v>
      </c>
      <c r="BC5" s="30" t="str">
        <f>IFERROR(__xludf.DUMMYFUNCTION("""COMPUTED_VALUE"""),"Other Broker Fees")</f>
        <v>Other Broker Fees</v>
      </c>
      <c r="BD5" s="30" t="str">
        <f>IFERROR(__xludf.DUMMYFUNCTION("""COMPUTED_VALUE"""),"Prana Msg Type")</f>
        <v>Prana Msg Type</v>
      </c>
      <c r="BE5" s="30" t="str">
        <f>IFERROR(__xludf.DUMMYFUNCTION("""COMPUTED_VALUE"""),"Principal Amount( Base)")</f>
        <v>Principal Amount( Base)</v>
      </c>
      <c r="BF5" s="30" t="str">
        <f>IFERROR(__xludf.DUMMYFUNCTION("""COMPUTED_VALUE"""),"Principal Amount( Local)")</f>
        <v>Principal Amount( Local)</v>
      </c>
      <c r="BG5" s="30" t="str">
        <f>IFERROR(__xludf.DUMMYFUNCTION("""COMPUTED_VALUE"""),"Process Date")</f>
        <v>Process Date</v>
      </c>
      <c r="BH5" s="30" t="str">
        <f>IFERROR(__xludf.DUMMYFUNCTION("""COMPUTED_VALUE"""),"Proxy Symbol")</f>
        <v>Proxy Symbol</v>
      </c>
      <c r="BI5" s="30" t="str">
        <f>IFERROR(__xludf.DUMMYFUNCTION("""COMPUTED_VALUE"""),"Put Or Call")</f>
        <v>Put Or Call</v>
      </c>
      <c r="BJ5" s="30" t="str">
        <f>IFERROR(__xludf.DUMMYFUNCTION("""COMPUTED_VALUE"""),"Quantity")</f>
        <v>Quantity</v>
      </c>
      <c r="BK5" s="30" t="str">
        <f>IFERROR(__xludf.DUMMYFUNCTION("""COMPUTED_VALUE"""),"SEC Fee")</f>
        <v>SEC Fee</v>
      </c>
      <c r="BL5" s="30" t="str">
        <f>IFERROR(__xludf.DUMMYFUNCTION("""COMPUTED_VALUE"""),"Sedol Symbol")</f>
        <v>Sedol Symbol</v>
      </c>
      <c r="BM5" s="30" t="str">
        <f>IFERROR(__xludf.DUMMYFUNCTION("""COMPUTED_VALUE"""),"Settlement Currency")</f>
        <v>Settlement Currency</v>
      </c>
      <c r="BN5" s="30" t="str">
        <f>IFERROR(__xludf.DUMMYFUNCTION("""COMPUTED_VALUE"""),"Settlement Date")</f>
        <v>Settlement Date</v>
      </c>
      <c r="BO5" s="30" t="str">
        <f>IFERROR(__xludf.DUMMYFUNCTION("""COMPUTED_VALUE"""),"Side")</f>
        <v>Side</v>
      </c>
      <c r="BP5" s="30" t="str">
        <f>IFERROR(__xludf.DUMMYFUNCTION("""COMPUTED_VALUE"""),"Soft Commission")</f>
        <v>Soft Commission</v>
      </c>
      <c r="BQ5" s="30" t="str">
        <f>IFERROR(__xludf.DUMMYFUNCTION("""COMPUTED_VALUE"""),"Soft Commission Per Share")</f>
        <v>Soft Commission Per Share</v>
      </c>
      <c r="BR5" s="30" t="str">
        <f>IFERROR(__xludf.DUMMYFUNCTION("""COMPUTED_VALUE"""),"Stamp Duty")</f>
        <v>Stamp Duty</v>
      </c>
      <c r="BS5" s="30" t="str">
        <f>IFERROR(__xludf.DUMMYFUNCTION("""COMPUTED_VALUE"""),"Strategy Name")</f>
        <v>Strategy Name</v>
      </c>
      <c r="BT5" s="30" t="str">
        <f>IFERROR(__xludf.DUMMYFUNCTION("""COMPUTED_VALUE"""),"Symbol")</f>
        <v>Symbol</v>
      </c>
      <c r="BU5" s="30" t="str">
        <f>IFERROR(__xludf.DUMMYFUNCTION("""COMPUTED_VALUE"""),"Tax On Commissions")</f>
        <v>Tax On Commissions</v>
      </c>
      <c r="BV5" s="30" t="str">
        <f>IFERROR(__xludf.DUMMYFUNCTION("""COMPUTED_VALUE"""),"Total Commission")</f>
        <v>Total Commission</v>
      </c>
      <c r="BW5" s="30" t="str">
        <f>IFERROR(__xludf.DUMMYFUNCTION("""COMPUTED_VALUE"""),"Total Commission And Fee")</f>
        <v>Total Commission And Fee</v>
      </c>
      <c r="BX5" s="30" t="str">
        <f>IFERROR(__xludf.DUMMYFUNCTION("""COMPUTED_VALUE"""),"Total Commission Per Share")</f>
        <v>Total Commission Per Share</v>
      </c>
      <c r="BY5" s="30" t="str">
        <f>IFERROR(__xludf.DUMMYFUNCTION("""COMPUTED_VALUE"""),"Trade Attribute 1")</f>
        <v>Trade Attribute 1</v>
      </c>
      <c r="BZ5" s="30" t="str">
        <f>IFERROR(__xludf.DUMMYFUNCTION("""COMPUTED_VALUE"""),"Trade Attribute 2")</f>
        <v>Trade Attribute 2</v>
      </c>
      <c r="CA5" s="30" t="str">
        <f>IFERROR(__xludf.DUMMYFUNCTION("""COMPUTED_VALUE"""),"Trade Attribute 3")</f>
        <v>Trade Attribute 3</v>
      </c>
      <c r="CB5" s="30" t="str">
        <f>IFERROR(__xludf.DUMMYFUNCTION("""COMPUTED_VALUE"""),"Trade Attribute 4")</f>
        <v>Trade Attribute 4</v>
      </c>
      <c r="CC5" s="30" t="str">
        <f>IFERROR(__xludf.DUMMYFUNCTION("""COMPUTED_VALUE"""),"Trade Attribute 5")</f>
        <v>Trade Attribute 5</v>
      </c>
      <c r="CD5" s="30" t="str">
        <f>IFERROR(__xludf.DUMMYFUNCTION("""COMPUTED_VALUE"""),"Trade Attribute 6")</f>
        <v>Trade Attribute 6</v>
      </c>
      <c r="CE5" s="30" t="str">
        <f>IFERROR(__xludf.DUMMYFUNCTION("""COMPUTED_VALUE"""),"Trade Date")</f>
        <v>Trade Date</v>
      </c>
      <c r="CF5" s="30" t="str">
        <f>IFERROR(__xludf.DUMMYFUNCTION("""COMPUTED_VALUE"""),"Trading Account")</f>
        <v>Trading Account</v>
      </c>
      <c r="CG5" s="30" t="str">
        <f>IFERROR(__xludf.DUMMYFUNCTION("""COMPUTED_VALUE"""),"Transaction Levy")</f>
        <v>Transaction Levy</v>
      </c>
      <c r="CH5" s="30" t="str">
        <f>IFERROR(__xludf.DUMMYFUNCTION("""COMPUTED_VALUE"""),"Transaction Source")</f>
        <v>Transaction Source</v>
      </c>
      <c r="CI5" s="30" t="str">
        <f>IFERROR(__xludf.DUMMYFUNCTION("""COMPUTED_VALUE"""),"Transaction Type")</f>
        <v>Transaction Type</v>
      </c>
      <c r="CJ5" s="30" t="str">
        <f>IFERROR(__xludf.DUMMYFUNCTION("""COMPUTED_VALUE"""),"UnAllocatedQty")</f>
        <v>UnAllocatedQty</v>
      </c>
      <c r="CK5" s="30" t="str">
        <f>IFERROR(__xludf.DUMMYFUNCTION("""COMPUTED_VALUE"""),"Underlying")</f>
        <v>Underlying</v>
      </c>
      <c r="CL5" s="30" t="str">
        <f>IFERROR(__xludf.DUMMYFUNCTION("""COMPUTED_VALUE"""),"Underlying Delta")</f>
        <v>Underlying Delta</v>
      </c>
      <c r="CM5" s="30" t="str">
        <f>IFERROR(__xludf.DUMMYFUNCTION("""COMPUTED_VALUE"""),"Underlying Symbol")</f>
        <v>Underlying Symbol</v>
      </c>
      <c r="CN5" s="30" t="str">
        <f>IFERROR(__xludf.DUMMYFUNCTION("""COMPUTED_VALUE"""),"User")</f>
        <v>User</v>
      </c>
      <c r="CO5" s="30" t="str">
        <f>IFERROR(__xludf.DUMMYFUNCTION("""COMPUTED_VALUE"""),"Venue")</f>
        <v>Venue</v>
      </c>
      <c r="CP5" s="30" t="str">
        <f>IFERROR(__xludf.DUMMYFUNCTION("""COMPUTED_VALUE"""),"Closing Method")</f>
        <v>Closing Method</v>
      </c>
      <c r="CQ5" s="30" t="str">
        <f>IFERROR(__xludf.DUMMYFUNCTION("""COMPUTED_VALUE"""),"Closing Date")</f>
        <v>Closing Date</v>
      </c>
      <c r="CR5" s="30" t="str">
        <f>IFERROR(__xludf.DUMMYFUNCTION("""COMPUTED_VALUE"""),"GroupID")</f>
        <v>GroupID</v>
      </c>
      <c r="CS5" s="30" t="str">
        <f>IFERROR(__xludf.DUMMYFUNCTION("""COMPUTED_VALUE"""),"Client")</f>
        <v>Client</v>
      </c>
      <c r="CT5" s="30" t="str">
        <f>IFERROR(__xludf.DUMMYFUNCTION("""COMPUTED_VALUE"""),"Borrow Broker")</f>
        <v>Borrow Broker</v>
      </c>
      <c r="CU5" s="30" t="str">
        <f>IFERROR(__xludf.DUMMYFUNCTION("""COMPUTED_VALUE"""),"ACTIV Symbol")</f>
        <v>ACTIV Symbol</v>
      </c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7" t="s">
        <v>25</v>
      </c>
      <c r="D6" s="13"/>
      <c r="E6" s="48">
        <v>100.0</v>
      </c>
      <c r="F6" s="8"/>
      <c r="G6" s="8"/>
      <c r="H6" s="8"/>
      <c r="I6" s="8"/>
      <c r="J6" s="48">
        <v>1.0</v>
      </c>
      <c r="K6" s="48">
        <v>10.0</v>
      </c>
      <c r="L6" s="48">
        <v>10.0</v>
      </c>
      <c r="M6" s="8"/>
      <c r="N6" s="8"/>
      <c r="O6" s="8"/>
      <c r="Z6" s="47" t="s">
        <v>41</v>
      </c>
      <c r="AD6" s="47" t="s">
        <v>42</v>
      </c>
      <c r="AE6" s="48">
        <v>100.0</v>
      </c>
      <c r="AI6" s="48">
        <v>1.0</v>
      </c>
      <c r="AT6" s="49">
        <v>1014.0006</v>
      </c>
      <c r="AU6" s="49">
        <v>1014.0006</v>
      </c>
      <c r="BE6" s="49">
        <v>1000.0</v>
      </c>
      <c r="BF6" s="49">
        <v>1000.0</v>
      </c>
      <c r="BJ6" s="48">
        <v>100.0</v>
      </c>
      <c r="BM6" s="47" t="s">
        <v>41</v>
      </c>
      <c r="BO6" s="47" t="s">
        <v>24</v>
      </c>
      <c r="BS6" s="47" t="s">
        <v>43</v>
      </c>
      <c r="BT6" s="47" t="s">
        <v>23</v>
      </c>
      <c r="CK6" s="47" t="s">
        <v>44</v>
      </c>
      <c r="CM6" s="47" t="s">
        <v>23</v>
      </c>
    </row>
    <row r="7" ht="15.75" customHeight="1">
      <c r="A7" s="8"/>
      <c r="B7" s="47" t="s">
        <v>25</v>
      </c>
      <c r="D7" s="8"/>
      <c r="E7" s="48">
        <v>10.0</v>
      </c>
      <c r="F7" s="8"/>
      <c r="G7" s="8"/>
      <c r="H7" s="8"/>
      <c r="I7" s="8"/>
      <c r="J7" s="48">
        <v>12.0</v>
      </c>
      <c r="K7" s="48">
        <v>10.0</v>
      </c>
      <c r="L7" s="48">
        <v>10.0</v>
      </c>
      <c r="M7" s="8"/>
      <c r="N7" s="8"/>
      <c r="O7" s="8"/>
      <c r="Z7" s="47" t="s">
        <v>41</v>
      </c>
      <c r="AD7" s="47" t="s">
        <v>45</v>
      </c>
      <c r="AE7" s="48">
        <v>10.0</v>
      </c>
      <c r="AI7" s="48">
        <v>1.0</v>
      </c>
      <c r="AT7" s="49">
        <v>10000.0</v>
      </c>
      <c r="AU7" s="49">
        <v>10000.0</v>
      </c>
      <c r="BE7" s="49">
        <v>10000.0</v>
      </c>
      <c r="BF7" s="49">
        <v>10000.0</v>
      </c>
      <c r="BJ7" s="48">
        <v>10.0</v>
      </c>
      <c r="BM7" s="47" t="s">
        <v>41</v>
      </c>
      <c r="BO7" s="47" t="s">
        <v>26</v>
      </c>
      <c r="BS7" s="47" t="s">
        <v>43</v>
      </c>
      <c r="BT7" s="47" t="s">
        <v>16</v>
      </c>
      <c r="CK7" s="47" t="s">
        <v>44</v>
      </c>
      <c r="CM7" s="47" t="s">
        <v>23</v>
      </c>
    </row>
    <row r="8" ht="15.75" customHeight="1">
      <c r="A8" s="8"/>
      <c r="B8" s="47" t="s">
        <v>25</v>
      </c>
      <c r="D8" s="8"/>
      <c r="E8" s="48">
        <v>10.0</v>
      </c>
      <c r="F8" s="8"/>
      <c r="G8" s="8"/>
      <c r="H8" s="8"/>
      <c r="I8" s="8"/>
      <c r="J8" s="48">
        <v>12.0</v>
      </c>
      <c r="K8" s="48">
        <v>10.0</v>
      </c>
      <c r="L8" s="48">
        <v>10.0</v>
      </c>
      <c r="M8" s="8"/>
      <c r="N8" s="8"/>
      <c r="O8" s="8"/>
      <c r="Z8" s="47" t="s">
        <v>41</v>
      </c>
      <c r="AD8" s="47" t="s">
        <v>45</v>
      </c>
      <c r="AE8" s="48">
        <v>10.0</v>
      </c>
      <c r="AI8" s="48">
        <v>1.0</v>
      </c>
      <c r="AT8" s="49">
        <v>10000.0</v>
      </c>
      <c r="AU8" s="49">
        <v>10000.0</v>
      </c>
      <c r="BE8" s="49">
        <v>10000.0</v>
      </c>
      <c r="BF8" s="49">
        <v>10000.0</v>
      </c>
      <c r="BJ8" s="48">
        <v>10.0</v>
      </c>
      <c r="BM8" s="47" t="s">
        <v>41</v>
      </c>
      <c r="BO8" s="47" t="s">
        <v>27</v>
      </c>
      <c r="BS8" s="47" t="s">
        <v>43</v>
      </c>
      <c r="BT8" s="47" t="s">
        <v>17</v>
      </c>
      <c r="CK8" s="47" t="s">
        <v>44</v>
      </c>
      <c r="CM8" s="47" t="s">
        <v>23</v>
      </c>
    </row>
    <row r="9" ht="15.75" customHeight="1">
      <c r="A9" s="8"/>
      <c r="B9" s="47" t="s">
        <v>25</v>
      </c>
      <c r="D9" s="8"/>
      <c r="E9" s="48">
        <v>10.0</v>
      </c>
      <c r="F9" s="8"/>
      <c r="G9" s="8"/>
      <c r="H9" s="8"/>
      <c r="I9" s="8"/>
      <c r="J9" s="48">
        <v>12.0</v>
      </c>
      <c r="K9" s="48">
        <v>0.0</v>
      </c>
      <c r="L9" s="48">
        <v>0.0</v>
      </c>
      <c r="M9" s="8"/>
      <c r="N9" s="8"/>
      <c r="O9" s="8"/>
      <c r="Z9" s="47" t="s">
        <v>41</v>
      </c>
      <c r="AD9" s="47" t="s">
        <v>45</v>
      </c>
      <c r="AE9" s="48">
        <v>10.0</v>
      </c>
      <c r="AI9" s="48">
        <v>1.0</v>
      </c>
      <c r="AT9" s="49">
        <v>10000.0</v>
      </c>
      <c r="AU9" s="49">
        <v>10000.0</v>
      </c>
      <c r="BE9" s="48">
        <v>0.0</v>
      </c>
      <c r="BF9" s="48">
        <v>0.0</v>
      </c>
      <c r="BJ9" s="48">
        <v>10.0</v>
      </c>
      <c r="BM9" s="47" t="s">
        <v>41</v>
      </c>
      <c r="BO9" s="47" t="s">
        <v>46</v>
      </c>
      <c r="BS9" s="47" t="s">
        <v>43</v>
      </c>
      <c r="BT9" s="47" t="s">
        <v>16</v>
      </c>
      <c r="CK9" s="47" t="s">
        <v>44</v>
      </c>
      <c r="CM9" s="47" t="s">
        <v>23</v>
      </c>
    </row>
    <row r="10" ht="15.75" customHeight="1">
      <c r="A10" s="8"/>
      <c r="B10" s="47" t="s">
        <v>25</v>
      </c>
      <c r="D10" s="8"/>
      <c r="E10" s="48">
        <v>10.0</v>
      </c>
      <c r="F10" s="8"/>
      <c r="G10" s="8"/>
      <c r="H10" s="8"/>
      <c r="I10" s="8"/>
      <c r="J10" s="48">
        <v>12.0</v>
      </c>
      <c r="K10" s="48">
        <v>0.0</v>
      </c>
      <c r="L10" s="48">
        <v>0.0</v>
      </c>
      <c r="M10" s="8"/>
      <c r="N10" s="8"/>
      <c r="O10" s="8"/>
      <c r="Z10" s="47" t="s">
        <v>41</v>
      </c>
      <c r="AD10" s="47" t="s">
        <v>45</v>
      </c>
      <c r="AE10" s="48">
        <v>10.0</v>
      </c>
      <c r="AI10" s="48">
        <v>1.0</v>
      </c>
      <c r="AT10" s="49">
        <v>10000.0</v>
      </c>
      <c r="AU10" s="49">
        <v>10000.0</v>
      </c>
      <c r="BE10" s="48">
        <v>0.0</v>
      </c>
      <c r="BF10" s="48">
        <v>0.0</v>
      </c>
      <c r="BJ10" s="48">
        <v>10.0</v>
      </c>
      <c r="BM10" s="47" t="s">
        <v>41</v>
      </c>
      <c r="BO10" s="47" t="s">
        <v>47</v>
      </c>
      <c r="BS10" s="47" t="s">
        <v>43</v>
      </c>
      <c r="BT10" s="47" t="s">
        <v>17</v>
      </c>
      <c r="CK10" s="47" t="s">
        <v>44</v>
      </c>
      <c r="CM10" s="47" t="s">
        <v>23</v>
      </c>
    </row>
    <row r="11" ht="15.75" customHeight="1">
      <c r="A11" s="8"/>
      <c r="B11" s="47" t="s">
        <v>25</v>
      </c>
      <c r="D11" s="8"/>
      <c r="E11" s="49">
        <v>1000.0</v>
      </c>
      <c r="F11" s="8"/>
      <c r="G11" s="8"/>
      <c r="H11" s="8"/>
      <c r="I11" s="8"/>
      <c r="J11" s="48">
        <v>1.0</v>
      </c>
      <c r="K11" s="48">
        <v>110.0</v>
      </c>
      <c r="L11" s="48">
        <v>110.0</v>
      </c>
      <c r="M11" s="8"/>
      <c r="N11" s="8"/>
      <c r="O11" s="8"/>
      <c r="Z11" s="47" t="s">
        <v>41</v>
      </c>
      <c r="AD11" s="47" t="s">
        <v>42</v>
      </c>
      <c r="AE11" s="49">
        <v>1000.0</v>
      </c>
      <c r="AI11" s="48">
        <v>1.0</v>
      </c>
      <c r="AT11" s="48" t="s">
        <v>48</v>
      </c>
      <c r="AU11" s="48" t="s">
        <v>48</v>
      </c>
      <c r="BE11" s="48" t="s">
        <v>49</v>
      </c>
      <c r="BF11" s="48" t="s">
        <v>49</v>
      </c>
      <c r="BJ11" s="49">
        <v>1000.0</v>
      </c>
      <c r="BM11" s="47" t="s">
        <v>41</v>
      </c>
      <c r="BO11" s="47" t="s">
        <v>50</v>
      </c>
      <c r="BS11" s="47" t="s">
        <v>43</v>
      </c>
      <c r="BT11" s="47" t="s">
        <v>23</v>
      </c>
      <c r="CK11" s="47" t="s">
        <v>44</v>
      </c>
      <c r="CM11" s="47" t="s">
        <v>23</v>
      </c>
    </row>
    <row r="12" ht="15.75" customHeight="1">
      <c r="A12" s="8"/>
      <c r="B12" s="47" t="s">
        <v>25</v>
      </c>
      <c r="D12" s="8"/>
      <c r="E12" s="48">
        <v>100.0</v>
      </c>
      <c r="F12" s="8"/>
      <c r="G12" s="8"/>
      <c r="H12" s="8"/>
      <c r="I12" s="8"/>
      <c r="J12" s="48">
        <v>1.0</v>
      </c>
      <c r="K12" s="48">
        <v>90.0</v>
      </c>
      <c r="L12" s="48">
        <v>90.0</v>
      </c>
      <c r="M12" s="8"/>
      <c r="N12" s="8"/>
      <c r="O12" s="8"/>
      <c r="Z12" s="47" t="s">
        <v>41</v>
      </c>
      <c r="AD12" s="47" t="s">
        <v>42</v>
      </c>
      <c r="AE12" s="48">
        <v>100.0</v>
      </c>
      <c r="AI12" s="48">
        <v>1.0</v>
      </c>
      <c r="AT12" s="49">
        <v>10000.0</v>
      </c>
      <c r="AU12" s="49">
        <v>10000.0</v>
      </c>
      <c r="BE12" s="49">
        <v>9000.0</v>
      </c>
      <c r="BF12" s="49">
        <v>9000.0</v>
      </c>
      <c r="BJ12" s="48">
        <v>100.0</v>
      </c>
      <c r="BM12" s="47" t="s">
        <v>41</v>
      </c>
      <c r="BO12" s="47" t="s">
        <v>51</v>
      </c>
      <c r="BS12" s="47" t="s">
        <v>43</v>
      </c>
      <c r="BT12" s="47" t="s">
        <v>23</v>
      </c>
      <c r="CK12" s="47" t="s">
        <v>44</v>
      </c>
      <c r="CM12" s="47" t="s">
        <v>23</v>
      </c>
    </row>
    <row r="13" ht="15.75" customHeight="1">
      <c r="A13" s="8"/>
      <c r="B13" s="47" t="s">
        <v>25</v>
      </c>
      <c r="D13" s="8"/>
      <c r="E13" s="48">
        <v>900.0</v>
      </c>
      <c r="F13" s="8"/>
      <c r="G13" s="8"/>
      <c r="H13" s="8"/>
      <c r="I13" s="8"/>
      <c r="J13" s="48">
        <v>1.0</v>
      </c>
      <c r="K13" s="48">
        <v>90.0</v>
      </c>
      <c r="L13" s="48">
        <v>90.0</v>
      </c>
      <c r="M13" s="8"/>
      <c r="N13" s="8"/>
      <c r="O13" s="8"/>
      <c r="Z13" s="47" t="s">
        <v>41</v>
      </c>
      <c r="AD13" s="47" t="s">
        <v>42</v>
      </c>
      <c r="AE13" s="48">
        <v>900.0</v>
      </c>
      <c r="AI13" s="48">
        <v>1.0</v>
      </c>
      <c r="AT13" s="49">
        <v>90000.0</v>
      </c>
      <c r="AU13" s="49">
        <v>90000.0</v>
      </c>
      <c r="BE13" s="49">
        <v>81000.0</v>
      </c>
      <c r="BF13" s="49">
        <v>81000.0</v>
      </c>
      <c r="BJ13" s="48">
        <v>900.0</v>
      </c>
      <c r="BM13" s="47" t="s">
        <v>41</v>
      </c>
      <c r="BO13" s="47" t="s">
        <v>50</v>
      </c>
      <c r="BS13" s="47" t="s">
        <v>43</v>
      </c>
      <c r="BT13" s="47" t="s">
        <v>23</v>
      </c>
      <c r="CK13" s="47" t="s">
        <v>44</v>
      </c>
      <c r="CM13" s="47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50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CheckAllocatedGroups!$4:$4</formula1>
    </dataValidation>
  </dataValidations>
  <drawing r:id="rId1"/>
</worksheet>
</file>

<file path=xl/worksheets/sheet14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54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38</v>
      </c>
      <c r="D3" s="5" t="s">
        <v>9</v>
      </c>
      <c r="E3" s="23" t="s">
        <v>52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</row>
    <row r="4" ht="15.75" customHeight="1">
      <c r="A4" s="25"/>
      <c r="B4" s="25" t="str">
        <f>IFERROR(__xludf.DUMMYFUNCTION("IF(C3="""","""",Transpose(IMPORTRANGE('_Settings'!$B$3,C3&amp;""!A4:A1000"")))"),"Allocate")</f>
        <v>Allocate</v>
      </c>
      <c r="C4" s="25" t="str">
        <f>IFERROR(__xludf.DUMMYFUNCTION("""COMPUTED_VALUE"""),"CheckAllocatedGroups")</f>
        <v>CheckAllocatedGroups</v>
      </c>
      <c r="D4" s="25" t="str">
        <f>IFERROR(__xludf.DUMMYFUNCTION("""COMPUTED_VALUE"""),"GetDataAllocation")</f>
        <v>GetDataAllocation</v>
      </c>
      <c r="E4" s="25" t="str">
        <f>IFERROR(__xludf.DUMMYFUNCTION("""COMPUTED_VALUE"""),"SelectAllocatedGroup")</f>
        <v>SelectAllocatedGroup</v>
      </c>
      <c r="F4" s="25" t="str">
        <f>IFERROR(__xludf.DUMMYFUNCTION("""COMPUTED_VALUE"""),"EditTradesAllocated")</f>
        <v>EditTradesAllocated</v>
      </c>
      <c r="G4" s="25" t="str">
        <f>IFERROR(__xludf.DUMMYFUNCTION("""COMPUTED_VALUE"""),"EditTradesUnallocated")</f>
        <v>EditTradesUnallocated</v>
      </c>
      <c r="H4" s="25" t="str">
        <f>IFERROR(__xludf.DUMMYFUNCTION("""COMPUTED_VALUE"""),"Reallocate")</f>
        <v>Reallocate</v>
      </c>
      <c r="I4" s="25" t="str">
        <f>IFERROR(__xludf.DUMMYFUNCTION("""COMPUTED_VALUE"""),"SelectAllRowsAllocated")</f>
        <v>SelectAllRowsAllocated</v>
      </c>
      <c r="J4" s="25" t="str">
        <f>IFERROR(__xludf.DUMMYFUNCTION("""COMPUTED_VALUE"""),"AllocateWithPopUp")</f>
        <v>AllocateWithPopUp</v>
      </c>
      <c r="K4" s="25" t="str">
        <f>IFERROR(__xludf.DUMMYFUNCTION("""COMPUTED_VALUE"""),"EditUnallocatedGroupSidePanel")</f>
        <v>EditUnallocatedGroupSidePanel</v>
      </c>
      <c r="L4" s="25" t="str">
        <f>IFERROR(__xludf.DUMMYFUNCTION("""COMPUTED_VALUE"""),"CheckPreferences")</f>
        <v>CheckPreferences</v>
      </c>
      <c r="M4" s="25" t="str">
        <f>IFERROR(__xludf.DUMMYFUNCTION("""COMPUTED_VALUE"""),"DeleteGroupWithOutSave")</f>
        <v>DeleteGroupWithOutSave</v>
      </c>
      <c r="N4" s="25" t="str">
        <f>IFERROR(__xludf.DUMMYFUNCTION("""COMPUTED_VALUE"""),"TradeAttributeBulkChange")</f>
        <v>TradeAttributeBulkChange</v>
      </c>
      <c r="O4" s="25" t="str">
        <f>IFERROR(__xludf.DUMMYFUNCTION("""COMPUTED_VALUE"""),"ApplyBulkUpdateOnGroups")</f>
        <v>ApplyBulkUpdateOnGroups</v>
      </c>
      <c r="P4" s="26" t="str">
        <f>IFERROR(__xludf.DUMMYFUNCTION("""COMPUTED_VALUE"""),"ApplyPrefetchFilters")</f>
        <v>ApplyPrefetchFilters</v>
      </c>
      <c r="Q4" s="26" t="str">
        <f>IFERROR(__xludf.DUMMYFUNCTION("""COMPUTED_VALUE"""),"GeneralPreferencesDefaultRule")</f>
        <v>GeneralPreferencesDefaultRule</v>
      </c>
      <c r="R4" s="26" t="str">
        <f>IFERROR(__xludf.DUMMYFUNCTION("""COMPUTED_VALUE"""),"GeneralPrefCompanyUserWise")</f>
        <v>GeneralPrefCompanyUserWise</v>
      </c>
      <c r="S4" s="26" t="str">
        <f>IFERROR(__xludf.DUMMYFUNCTION("""COMPUTED_VALUE"""),"RenameTradeAttributes")</f>
        <v>RenameTradeAttributes</v>
      </c>
      <c r="T4" s="26" t="str">
        <f>IFERROR(__xludf.DUMMYFUNCTION("""COMPUTED_VALUE"""),"SetGroupingRules")</f>
        <v>SetGroupingRules</v>
      </c>
      <c r="U4" s="26" t="str">
        <f>IFERROR(__xludf.DUMMYFUNCTION("""COMPUTED_VALUE"""),"SetMasterFundRatio")</f>
        <v>SetMasterFundRatio</v>
      </c>
      <c r="V4" s="26" t="str">
        <f>IFERROR(__xludf.DUMMYFUNCTION("""COMPUTED_VALUE"""),"CheckFixedPreference")</f>
        <v>CheckFixedPreference</v>
      </c>
      <c r="W4" s="26" t="str">
        <f>IFERROR(__xludf.DUMMYFUNCTION("""COMPUTED_VALUE"""),"GetFixedPreference")</f>
        <v>GetFixedPreference</v>
      </c>
      <c r="X4" s="26" t="str">
        <f>IFERROR(__xludf.DUMMYFUNCTION("""COMPUTED_VALUE"""),"AddCalculatedPreferences")</f>
        <v>AddCalculatedPreferences</v>
      </c>
      <c r="Y4" s="26" t="str">
        <f>IFERROR(__xludf.DUMMYFUNCTION("""COMPUTED_VALUE"""),"BulkChangeCalculatedPreferences")</f>
        <v>BulkChangeCalculatedPreferences</v>
      </c>
      <c r="Z4" s="26" t="str">
        <f>IFERROR(__xludf.DUMMYFUNCTION("""COMPUTED_VALUE"""),"CheckAuditTrailData")</f>
        <v>CheckAuditTrailData</v>
      </c>
      <c r="AA4" s="26" t="str">
        <f>IFERROR(__xludf.DUMMYFUNCTION("""COMPUTED_VALUE"""),"DeleteCalculatedPreferences")</f>
        <v>DeleteCalculatedPreferences</v>
      </c>
      <c r="AB4" s="26" t="str">
        <f>IFERROR(__xludf.DUMMYFUNCTION("""COMPUTED_VALUE"""),"GetAuditTrailData")</f>
        <v>GetAuditTrailData</v>
      </c>
      <c r="AC4" s="26" t="str">
        <f>IFERROR(__xludf.DUMMYFUNCTION("""COMPUTED_VALUE"""),"RenameCalculatedPreferences")</f>
        <v>RenameCalculatedPreferences</v>
      </c>
      <c r="AD4" s="26" t="str">
        <f>IFERROR(__xludf.DUMMYFUNCTION("""COMPUTED_VALUE"""),"AllocationAuditTrail")</f>
        <v>AllocationAuditTrail</v>
      </c>
      <c r="AE4" s="26" t="str">
        <f>IFERROR(__xludf.DUMMYFUNCTION("""COMPUTED_VALUE"""),"CopyCalculatedPreferences")</f>
        <v>CopyCalculatedPreferences</v>
      </c>
      <c r="AF4" s="26" t="str">
        <f>IFERROR(__xludf.DUMMYFUNCTION("""COMPUTED_VALUE"""),"RunAutoGroup")</f>
        <v>RunAutoGroup</v>
      </c>
      <c r="AG4" s="26" t="str">
        <f>IFERROR(__xludf.DUMMYFUNCTION("""COMPUTED_VALUE"""),"BookOrUpdateSwap")</f>
        <v>BookOrUpdateSwap</v>
      </c>
      <c r="AH4" s="26" t="str">
        <f>IFERROR(__xludf.DUMMYFUNCTION("""COMPUTED_VALUE"""),"SetDefaultRuleCalculatedPref")</f>
        <v>SetDefaultRuleCalculatedPref</v>
      </c>
      <c r="AI4" s="26" t="str">
        <f>IFERROR(__xludf.DUMMYFUNCTION("""COMPUTED_VALUE"""),"RunProrata")</f>
        <v>RunProrata</v>
      </c>
      <c r="AJ4" s="26" t="str">
        <f>IFERROR(__xludf.DUMMYFUNCTION("""COMPUTED_VALUE"""),"SetAccountValueCalculatedPref")</f>
        <v>SetAccountValueCalculatedPref</v>
      </c>
      <c r="AK4" s="26" t="str">
        <f>IFERROR(__xludf.DUMMYFUNCTION("""COMPUTED_VALUE"""),"TradeAttributeBulkChangeGroups")</f>
        <v>TradeAttributeBulkChangeGroups</v>
      </c>
      <c r="AL4" s="26" t="str">
        <f>IFERROR(__xludf.DUMMYFUNCTION("""COMPUTED_VALUE"""),"TradeAttributeBulkChangeTaxlots")</f>
        <v>TradeAttributeBulkChangeTaxlots</v>
      </c>
      <c r="AM4" s="26" t="str">
        <f>IFERROR(__xludf.DUMMYFUNCTION("""COMPUTED_VALUE"""),"AddCalculatedPreferenceToolbar")</f>
        <v>AddCalculatedPreferenceToolbar</v>
      </c>
      <c r="AN4" s="26" t="str">
        <f>IFERROR(__xludf.DUMMYFUNCTION("""COMPUTED_VALUE"""),"SetStrategyValueCalculatedPref")</f>
        <v>SetStrategyValueCalculatedPref</v>
      </c>
      <c r="AO4" s="26" t="str">
        <f>IFERROR(__xludf.DUMMYFUNCTION("""COMPUTED_VALUE"""),"ApplyBulkUpdateOnTaxlots")</f>
        <v>ApplyBulkUpdateOnTaxlots</v>
      </c>
      <c r="AP4" s="26" t="str">
        <f>IFERROR(__xludf.DUMMYFUNCTION("""COMPUTED_VALUE"""),"CommissionBulkChangeOnGroups")</f>
        <v>CommissionBulkChangeOnGroups</v>
      </c>
      <c r="AQ4" s="26" t="str">
        <f>IFERROR(__xludf.DUMMYFUNCTION("""COMPUTED_VALUE"""),"CommissionBulkChangeOnTaxlots")</f>
        <v>CommissionBulkChangeOnTaxlots</v>
      </c>
      <c r="AR4" s="26" t="str">
        <f>IFERROR(__xludf.DUMMYFUNCTION("""COMPUTED_VALUE"""),"SelectUnallocatedGroup")</f>
        <v>SelectUnallocatedGroup</v>
      </c>
      <c r="AS4" s="26" t="str">
        <f>IFERROR(__xludf.DUMMYFUNCTION("""COMPUTED_VALUE"""),"EnterAccountValuesToAllocate")</f>
        <v>EnterAccountValuesToAllocate</v>
      </c>
      <c r="AT4" s="26" t="str">
        <f>IFERROR(__xludf.DUMMYFUNCTION("""COMPUTED_VALUE"""),"EnterAllocatePreference")</f>
        <v>EnterAllocatePreference</v>
      </c>
      <c r="AU4" s="26" t="str">
        <f>IFERROR(__xludf.DUMMYFUNCTION("""COMPUTED_VALUE"""),"EnterStrategyValuesToAllocate")</f>
        <v>EnterStrategyValuesToAllocate</v>
      </c>
      <c r="AV4" s="26" t="str">
        <f>IFERROR(__xludf.DUMMYFUNCTION("""COMPUTED_VALUE"""),"CopyCalculatedPreferenceToolbar")</f>
        <v>CopyCalculatedPreferenceToolbar</v>
      </c>
      <c r="AW4" s="26" t="str">
        <f>IFERROR(__xludf.DUMMYFUNCTION("""COMPUTED_VALUE"""),"SetGeneralRuleCalculatedPref")</f>
        <v>SetGeneralRuleCalculatedPref</v>
      </c>
      <c r="AX4" s="26" t="str">
        <f>IFERROR(__xludf.DUMMYFUNCTION("""COMPUTED_VALUE"""),"ExportAllCalculatedPreferences")</f>
        <v>ExportAllCalculatedPreferences</v>
      </c>
      <c r="AY4" s="26" t="str">
        <f>IFERROR(__xludf.DUMMYFUNCTION("""COMPUTED_VALUE"""),"SaveCalculatedPreferences")</f>
        <v>SaveCalculatedPreferences</v>
      </c>
      <c r="AZ4" s="26" t="str">
        <f>IFERROR(__xludf.DUMMYFUNCTION("""COMPUTED_VALUE"""),"CloseCalculatedPreferences")</f>
        <v>CloseCalculatedPreferences</v>
      </c>
      <c r="BA4" s="26" t="str">
        <f>IFERROR(__xludf.DUMMYFUNCTION("""COMPUTED_VALUE"""),"ExportCalculatedPreference")</f>
        <v>ExportCalculatedPreference</v>
      </c>
      <c r="BB4" s="26" t="str">
        <f>IFERROR(__xludf.DUMMYFUNCTION("""COMPUTED_VALUE"""),"ImportCalculatedPreferences")</f>
        <v>ImportCalculatedPreferences</v>
      </c>
      <c r="BC4" s="26" t="str">
        <f>IFERROR(__xludf.DUMMYFUNCTION("""COMPUTED_VALUE"""),"IsAllocationOpen")</f>
        <v>IsAllocationOpen</v>
      </c>
      <c r="BD4" s="26" t="str">
        <f>IFERROR(__xludf.DUMMYFUNCTION("""COMPUTED_VALUE"""),"OpenAuditTrailUnallocatedGroup")</f>
        <v>OpenAuditTrailUnallocatedGroup</v>
      </c>
      <c r="BE4" s="26" t="str">
        <f>IFERROR(__xludf.DUMMYFUNCTION("""COMPUTED_VALUE"""),"DeleteCalculatedPreferencesTool")</f>
        <v>DeleteCalculatedPreferencesTool</v>
      </c>
      <c r="BF4" s="26" t="str">
        <f>IFERROR(__xludf.DUMMYFUNCTION("""COMPUTED_VALUE"""),"ImportCalculatedPreferencesTool")</f>
        <v>ImportCalculatedPreferencesTool</v>
      </c>
      <c r="BG4" s="26" t="str">
        <f>IFERROR(__xludf.DUMMYFUNCTION("""COMPUTED_VALUE"""),"SetAvgPriceRounding")</f>
        <v>SetAvgPriceRounding</v>
      </c>
      <c r="BH4" s="26" t="str">
        <f>IFERROR(__xludf.DUMMYFUNCTION("""COMPUTED_VALUE"""),"SetAutoGroupingAccount")</f>
        <v>SetAutoGroupingAccount</v>
      </c>
      <c r="BI4" s="26" t="str">
        <f>IFERROR(__xludf.DUMMYFUNCTION("""COMPUTED_VALUE"""),"SetAutoGroupingPreferences")</f>
        <v>SetAutoGroupingPreferences</v>
      </c>
      <c r="BJ4" s="26" t="str">
        <f>IFERROR(__xludf.DUMMYFUNCTION("""COMPUTED_VALUE"""),"ExportAllCalculatedPreferTool")</f>
        <v>ExportAllCalculatedPreferTool</v>
      </c>
      <c r="BK4" s="26" t="str">
        <f>IFERROR(__xludf.DUMMYFUNCTION("""COMPUTED_VALUE"""),"EnterCustomAllocatePreference")</f>
        <v>EnterCustomAllocatePreference</v>
      </c>
      <c r="BL4" s="26" t="str">
        <f>IFERROR(__xludf.DUMMYFUNCTION("""COMPUTED_VALUE"""),"OpenSymbolLookupUnallocateGroup")</f>
        <v>OpenSymbolLookupUnallocateGroup</v>
      </c>
      <c r="BM4" s="26" t="str">
        <f>IFERROR(__xludf.DUMMYFUNCTION("""COMPUTED_VALUE"""),"OpenAuditTrailAllocatedGroup")</f>
        <v>OpenAuditTrailAllocatedGroup</v>
      </c>
      <c r="BN4" s="26" t="str">
        <f>IFERROR(__xludf.DUMMYFUNCTION("""COMPUTED_VALUE"""),"OpenSymbolLookupAllocatedGroup")</f>
        <v>OpenSymbolLookupAllocatedGroup</v>
      </c>
      <c r="BO4" s="26" t="str">
        <f>IFERROR(__xludf.DUMMYFUNCTION("""COMPUTED_VALUE"""),"DeleteFixedPreference")</f>
        <v>DeleteFixedPreference</v>
      </c>
      <c r="BP4" s="26" t="str">
        <f>IFERROR(__xludf.DUMMYFUNCTION("""COMPUTED_VALUE"""),"SetTradeAttributePreferences")</f>
        <v>SetTradeAttributePreferences</v>
      </c>
      <c r="BQ4" s="26" t="str">
        <f>IFERROR(__xludf.DUMMYFUNCTION("""COMPUTED_VALUE"""),"EditAllocatedGroupSidePanel")</f>
        <v>EditAllocatedGroupSidePanel</v>
      </c>
      <c r="BR4" s="26" t="str">
        <f>IFERROR(__xludf.DUMMYFUNCTION("""COMPUTED_VALUE"""),"ExpandCollapseAllocatedGrid")</f>
        <v>ExpandCollapseAllocatedGrid</v>
      </c>
      <c r="BS4" s="26" t="str">
        <f>IFERROR(__xludf.DUMMYFUNCTION("""COMPUTED_VALUE"""),"ExpandCollapseUnallocatedGrid")</f>
        <v>ExpandCollapseUnallocatedGrid</v>
      </c>
      <c r="BT4" s="26" t="str">
        <f>IFERROR(__xludf.DUMMYFUNCTION("""COMPUTED_VALUE"""),"EditAllocatedGridTaxlot")</f>
        <v>EditAllocatedGridTaxlot</v>
      </c>
      <c r="BU4" s="26" t="str">
        <f>IFERROR(__xludf.DUMMYFUNCTION("""COMPUTED_VALUE"""),"CheckUnallocatedGroups")</f>
        <v>CheckUnallocatedGroups</v>
      </c>
      <c r="BV4" s="26" t="str">
        <f>IFERROR(__xludf.DUMMYFUNCTION("""COMPUTED_VALUE"""),"EditAllocatedGridWPF")</f>
        <v>EditAllocatedGridWPF</v>
      </c>
      <c r="BW4" s="26" t="str">
        <f>IFERROR(__xludf.DUMMYFUNCTION("""COMPUTED_VALUE"""),"SetGeneralPreferences")</f>
        <v>SetGeneralPreferences</v>
      </c>
      <c r="BX4" s="26" t="str">
        <f>IFERROR(__xludf.DUMMYFUNCTION("""COMPUTED_VALUE"""),"EditUnallocatedGridWPF")</f>
        <v>EditUnallocatedGridWPF</v>
      </c>
      <c r="BY4" s="26" t="str">
        <f>IFERROR(__xludf.DUMMYFUNCTION("""COMPUTED_VALUE"""),"SetBrokerAccountMapping")</f>
        <v>SetBrokerAccountMapping</v>
      </c>
      <c r="BZ4" s="26" t="str">
        <f>IFERROR(__xludf.DUMMYFUNCTION("""COMPUTED_VALUE"""),"ShowMasterFundAsClient")</f>
        <v>ShowMasterFundAsClient</v>
      </c>
      <c r="CA4" s="26" t="str">
        <f>IFERROR(__xludf.DUMMYFUNCTION("""COMPUTED_VALUE"""),"ShowMasterFundOnTT")</f>
        <v>ShowMasterFundOnTT</v>
      </c>
      <c r="CB4" s="26" t="str">
        <f>IFERROR(__xludf.DUMMYFUNCTION("""COMPUTED_VALUE"""),"ApplyMasterFundFilter")</f>
        <v>ApplyMasterFundFilter</v>
      </c>
      <c r="CC4" s="26" t="str">
        <f>IFERROR(__xludf.DUMMYFUNCTION("""COMPUTED_VALUE"""),"GroupTrades")</f>
        <v>GroupTrades</v>
      </c>
      <c r="CD4" s="26" t="str">
        <f>IFERROR(__xludf.DUMMYFUNCTION("""COMPUTED_VALUE"""),"DisableCheckside")</f>
        <v>DisableCheckside</v>
      </c>
      <c r="CE4" s="26" t="str">
        <f>IFERROR(__xludf.DUMMYFUNCTION("""COMPUTED_VALUE"""),"UngroupTrades")</f>
        <v>UngroupTrades</v>
      </c>
      <c r="CF4" s="26" t="str">
        <f>IFERROR(__xludf.DUMMYFUNCTION("""COMPUTED_VALUE"""),"DisableChecksideForCounterParty")</f>
        <v>DisableChecksideForCounterParty</v>
      </c>
      <c r="CG4" s="26" t="str">
        <f>IFERROR(__xludf.DUMMYFUNCTION("""COMPUTED_VALUE"""),"DisableChecksideForAccount")</f>
        <v>DisableChecksideForAccount</v>
      </c>
      <c r="CH4" s="26" t="str">
        <f>IFERROR(__xludf.DUMMYFUNCTION("""COMPUTED_VALUE"""),"DeleteGroup")</f>
        <v>DeleteGroup</v>
      </c>
      <c r="CI4" s="26" t="str">
        <f>IFERROR(__xludf.DUMMYFUNCTION("""COMPUTED_VALUE"""),"DisableChecksideForAsset")</f>
        <v>DisableChecksideForAsset</v>
      </c>
      <c r="CJ4" s="26" t="str">
        <f>IFERROR(__xludf.DUMMYFUNCTION("""COMPUTED_VALUE"""),"CloseOrder")</f>
        <v>CloseOrder</v>
      </c>
      <c r="CK4" s="26" t="str">
        <f>IFERROR(__xludf.DUMMYFUNCTION("""COMPUTED_VALUE"""),"Unallocate")</f>
        <v>Unallocate</v>
      </c>
      <c r="CL4" s="26" t="str">
        <f>IFERROR(__xludf.DUMMYFUNCTION("""COMPUTED_VALUE"""),"CloseAllocation")</f>
        <v>CloseAllocation</v>
      </c>
      <c r="CM4" s="26" t="str">
        <f>IFERROR(__xludf.DUMMYFUNCTION("""COMPUTED_VALUE"""),"CheckAllocatedTaxlots")</f>
        <v>CheckAllocatedTaxlots</v>
      </c>
      <c r="CN4" s="26" t="str">
        <f>IFERROR(__xludf.DUMMYFUNCTION("""COMPUTED_VALUE"""),"CleanUp")</f>
        <v>CleanUp</v>
      </c>
      <c r="CO4" s="26" t="str">
        <f>IFERROR(__xludf.DUMMYFUNCTION("""COMPUTED_VALUE"""),"VerifyLayoutAllocatedGrid")</f>
        <v>VerifyLayoutAllocatedGrid</v>
      </c>
      <c r="CP4" s="26" t="str">
        <f>IFERROR(__xludf.DUMMYFUNCTION("""COMPUTED_VALUE"""),"VerifyLayoutUnallocatedGrid")</f>
        <v>VerifyLayoutUnallocatedGrid</v>
      </c>
      <c r="CQ4" s="26" t="str">
        <f>IFERROR(__xludf.DUMMYFUNCTION("""COMPUTED_VALUE"""),"ClearFiltersUnallocatedGrid")</f>
        <v>ClearFiltersUnallocatedGrid</v>
      </c>
      <c r="CR4" s="26" t="str">
        <f>IFERROR(__xludf.DUMMYFUNCTION("""COMPUTED_VALUE"""),"ClearFiltersAllocatedGrid")</f>
        <v>ClearFiltersAllocatedGrid</v>
      </c>
      <c r="CS4" s="26" t="str">
        <f>IFERROR(__xludf.DUMMYFUNCTION("""COMPUTED_VALUE"""),"UpdateGRAccountValue")</f>
        <v>UpdateGRAccountValue</v>
      </c>
      <c r="CT4" s="26" t="str">
        <f>IFERROR(__xludf.DUMMYFUNCTION("""COMPUTED_VALUE"""),"UpdateGRStrategyValue")</f>
        <v>UpdateGRStrategyValue</v>
      </c>
      <c r="CU4" s="26" t="str">
        <f>IFERROR(__xludf.DUMMYFUNCTION("""COMPUTED_VALUE"""),"UpdateGRDefaultRule")</f>
        <v>UpdateGRDefaultRule</v>
      </c>
      <c r="CV4" s="26" t="str">
        <f>IFERROR(__xludf.DUMMYFUNCTION("""COMPUTED_VALUE"""),"UpdateGeneralRulePref")</f>
        <v>UpdateGeneralRulePref</v>
      </c>
      <c r="CW4" s="26" t="str">
        <f>IFERROR(__xludf.DUMMYFUNCTION("""COMPUTED_VALUE"""),"AddMFPreferences")</f>
        <v>AddMFPreferences</v>
      </c>
      <c r="CX4" s="26" t="str">
        <f>IFERROR(__xludf.DUMMYFUNCTION("""COMPUTED_VALUE"""),"ModifyGRPreferenceValues")</f>
        <v>ModifyGRPreferenceValues</v>
      </c>
      <c r="CY4" s="26" t="str">
        <f>IFERROR(__xludf.DUMMYFUNCTION("""COMPUTED_VALUE"""),"AddMFPreferenceToolbar")</f>
        <v>AddMFPreferenceToolbar</v>
      </c>
      <c r="CZ4" s="26" t="str">
        <f>IFERROR(__xludf.DUMMYFUNCTION("""COMPUTED_VALUE"""),"DeleteMFPreferences")</f>
        <v>DeleteMFPreferences</v>
      </c>
      <c r="DA4" s="26" t="str">
        <f>IFERROR(__xludf.DUMMYFUNCTION("""COMPUTED_VALUE"""),"SaveLayoutAllocationUI")</f>
        <v>SaveLayoutAllocationUI</v>
      </c>
      <c r="DB4" s="26" t="str">
        <f>IFERROR(__xludf.DUMMYFUNCTION("""COMPUTED_VALUE"""),"DeleteMFPreferenceToolbar")</f>
        <v>DeleteMFPreferenceToolbar</v>
      </c>
      <c r="DC4" s="26" t="str">
        <f>IFERROR(__xludf.DUMMYFUNCTION("""COMPUTED_VALUE"""),"SaveLayoutUnallocatedGrid")</f>
        <v>SaveLayoutUnallocatedGrid</v>
      </c>
      <c r="DD4" s="26" t="str">
        <f>IFERROR(__xludf.DUMMYFUNCTION("""COMPUTED_VALUE"""),"SaveLayoutAllocatedGrid")</f>
        <v>SaveLayoutAllocatedGrid</v>
      </c>
      <c r="DE4" s="26" t="str">
        <f>IFERROR(__xludf.DUMMYFUNCTION("""COMPUTED_VALUE"""),"EditAllocatedGrid")</f>
        <v>EditAllocatedGrid</v>
      </c>
      <c r="DF4" s="26" t="str">
        <f>IFERROR(__xludf.DUMMYFUNCTION("""COMPUTED_VALUE"""),"EditUnallocatedGrid")</f>
        <v>EditUnallocatedGrid</v>
      </c>
      <c r="DG4" s="26" t="str">
        <f>IFERROR(__xludf.DUMMYFUNCTION("""COMPUTED_VALUE"""),"UnallocateWithOutSave")</f>
        <v>UnallocateWithOutSave</v>
      </c>
      <c r="DH4" s="26" t="str">
        <f>IFERROR(__xludf.DUMMYFUNCTION("""COMPUTED_VALUE"""),"SaveAllocation")</f>
        <v>SaveAllocation</v>
      </c>
      <c r="DI4" s="26" t="str">
        <f>IFERROR(__xludf.DUMMYFUNCTION("""COMPUTED_VALUE"""),"GenerateCashTransaction")</f>
        <v>GenerateCashTransaction</v>
      </c>
      <c r="DJ4" s="26" t="str">
        <f>IFERROR(__xludf.DUMMYFUNCTION("""COMPUTED_VALUE"""),"ExpandCollapseAllAllocated")</f>
        <v>ExpandCollapseAllAllocated</v>
      </c>
      <c r="DK4" s="26" t="str">
        <f>IFERROR(__xludf.DUMMYFUNCTION("""COMPUTED_VALUE"""),"ExpandCollapseAllUnallocated")</f>
        <v>ExpandCollapseAllUnallocated</v>
      </c>
      <c r="DL4" s="26" t="str">
        <f>IFERROR(__xludf.DUMMYFUNCTION("""COMPUTED_VALUE"""),"ClearPrefetchFilters")</f>
        <v>ClearPrefetchFilters</v>
      </c>
      <c r="DM4" s="26" t="str">
        <f>IFERROR(__xludf.DUMMYFUNCTION("""COMPUTED_VALUE"""),"RenameMFPreferences")</f>
        <v>RenameMFPreferences</v>
      </c>
      <c r="DN4" s="26" t="str">
        <f>IFERROR(__xludf.DUMMYFUNCTION("""COMPUTED_VALUE"""),"SetMFPrefFundDefaultRule")</f>
        <v>SetMFPrefFundDefaultRule</v>
      </c>
      <c r="DO4" s="26" t="str">
        <f>IFERROR(__xludf.DUMMYFUNCTION("""COMPUTED_VALUE"""),"SaveCloseMFPreference")</f>
        <v>SaveCloseMFPreference</v>
      </c>
      <c r="DP4" s="26" t="str">
        <f>IFERROR(__xludf.DUMMYFUNCTION("""COMPUTED_VALUE"""),"SetMFPrefAccountValues")</f>
        <v>SetMFPrefAccountValues</v>
      </c>
      <c r="DQ4" s="26" t="str">
        <f>IFERROR(__xludf.DUMMYFUNCTION("""COMPUTED_VALUE"""),"SetMFPreferencesDefaultRule")</f>
        <v>SetMFPreferencesDefaultRule</v>
      </c>
      <c r="DR4" s="26" t="str">
        <f>IFERROR(__xludf.DUMMYFUNCTION("""COMPUTED_VALUE"""),"SetMFPrefFundDistribution")</f>
        <v>SetMFPrefFundDistribution</v>
      </c>
      <c r="DS4" s="26" t="str">
        <f>IFERROR(__xludf.DUMMYFUNCTION("""COMPUTED_VALUE"""),"SetMFPrefGeneralRule")</f>
        <v>SetMFPrefGeneralRule</v>
      </c>
      <c r="DT4" s="26" t="str">
        <f>IFERROR(__xludf.DUMMYFUNCTION("""COMPUTED_VALUE"""),"ModifyMFPrefGeneralRuleValues")</f>
        <v>ModifyMFPrefGeneralRuleValues</v>
      </c>
      <c r="DU4" s="26" t="str">
        <f>IFERROR(__xludf.DUMMYFUNCTION("""COMPUTED_VALUE"""),"SetMFPrefStrategyValues")</f>
        <v>SetMFPrefStrategyValues</v>
      </c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IFERROR(__xludf.DUMMYFUNCTION("""COMPUTED_VALUE"""),"Net Amount(Local)")</f>
        <v>Net Amount(Local)</v>
      </c>
      <c r="C5" s="28" t="str">
        <f>IFERROR(__xludf.DUMMYFUNCTION("""COMPUTED_VALUE"""),"Net Amount(Base)")</f>
        <v>Net Amount(Base)</v>
      </c>
      <c r="D5" s="28" t="str">
        <f>IFERROR(__xludf.DUMMYFUNCTION("""COMPUTED_VALUE"""),"Principal Amount(Local)")</f>
        <v>Principal Amount(Local)</v>
      </c>
      <c r="E5" s="28" t="str">
        <f>IFERROR(__xludf.DUMMYFUNCTION("""COMPUTED_VALUE"""),"Principal Amount(Base)")</f>
        <v>Principal Amount(Base)</v>
      </c>
      <c r="F5" s="29" t="str">
        <f>IFERROR(__xludf.DUMMYFUNCTION("""COMPUTED_VALUE"""),"FX Conversion Operator")</f>
        <v>FX Conversion Operator</v>
      </c>
      <c r="G5" s="28" t="str">
        <f>IFERROR(__xludf.DUMMYFUNCTION("""COMPUTED_VALUE"""),"TaxLotID")</f>
        <v>TaxLotID</v>
      </c>
      <c r="H5" s="28" t="str">
        <f>IFERROR(__xludf.DUMMYFUNCTION("""COMPUTED_VALUE"""),"Settlement Currency")</f>
        <v>Settlement Currency</v>
      </c>
      <c r="I5" s="28" t="str">
        <f>IFERROR(__xludf.DUMMYFUNCTION("""COMPUTED_VALUE"""),"Trade Attribute 1")</f>
        <v>Trade Attribute 1</v>
      </c>
      <c r="J5" s="28" t="str">
        <f>IFERROR(__xludf.DUMMYFUNCTION("""COMPUTED_VALUE"""),"Trade Attribute 2")</f>
        <v>Trade Attribute 2</v>
      </c>
      <c r="K5" s="28" t="str">
        <f>IFERROR(__xludf.DUMMYFUNCTION("""COMPUTED_VALUE"""),"Trade Attribute 3")</f>
        <v>Trade Attribute 3</v>
      </c>
      <c r="L5" s="28" t="str">
        <f>IFERROR(__xludf.DUMMYFUNCTION("""COMPUTED_VALUE"""),"Trade Attribute 4")</f>
        <v>Trade Attribute 4</v>
      </c>
      <c r="M5" s="28" t="str">
        <f>IFERROR(__xludf.DUMMYFUNCTION("""COMPUTED_VALUE"""),"Trade Attribute 5")</f>
        <v>Trade Attribute 5</v>
      </c>
      <c r="N5" s="28" t="str">
        <f>IFERROR(__xludf.DUMMYFUNCTION("""COMPUTED_VALUE"""),"Trade Attribute 6")</f>
        <v>Trade Attribute 6</v>
      </c>
      <c r="O5" s="28" t="str">
        <f>IFERROR(__xludf.DUMMYFUNCTION("""COMPUTED_VALUE"""),"Account Name")</f>
        <v>Account Name</v>
      </c>
      <c r="P5" s="28" t="str">
        <f>IFERROR(__xludf.DUMMYFUNCTION("""COMPUTED_VALUE"""),"Strategy Name")</f>
        <v>Strategy Name</v>
      </c>
      <c r="Q5" s="28" t="str">
        <f>IFERROR(__xludf.DUMMYFUNCTION("""COMPUTED_VALUE"""),"Percentage")</f>
        <v>Percentage</v>
      </c>
      <c r="R5" s="28" t="str">
        <f>IFERROR(__xludf.DUMMYFUNCTION("""COMPUTED_VALUE"""),"Taxlot Qty")</f>
        <v>Taxlot Qty</v>
      </c>
      <c r="S5" s="28" t="str">
        <f>IFERROR(__xludf.DUMMYFUNCTION("""COMPUTED_VALUE"""),"Commission")</f>
        <v>Commission</v>
      </c>
      <c r="T5" s="30" t="str">
        <f>IFERROR(__xludf.DUMMYFUNCTION("""COMPUTED_VALUE"""),"Soft Commission")</f>
        <v>Soft Commission</v>
      </c>
      <c r="U5" s="30" t="str">
        <f>IFERROR(__xludf.DUMMYFUNCTION("""COMPUTED_VALUE"""),"Other Broker Fees")</f>
        <v>Other Broker Fees</v>
      </c>
      <c r="V5" s="30" t="str">
        <f>IFERROR(__xludf.DUMMYFUNCTION("""COMPUTED_VALUE"""),"Clearing Broker Fees")</f>
        <v>Clearing Broker Fees</v>
      </c>
      <c r="W5" s="30" t="str">
        <f>IFERROR(__xludf.DUMMYFUNCTION("""COMPUTED_VALUE"""),"Stamp Duty")</f>
        <v>Stamp Duty</v>
      </c>
      <c r="X5" s="30" t="str">
        <f>IFERROR(__xludf.DUMMYFUNCTION("""COMPUTED_VALUE"""),"Transaction Levy")</f>
        <v>Transaction Levy</v>
      </c>
      <c r="Y5" s="30" t="str">
        <f>IFERROR(__xludf.DUMMYFUNCTION("""COMPUTED_VALUE"""),"AUEC Fee1")</f>
        <v>AUEC Fee1</v>
      </c>
      <c r="Z5" s="30" t="str">
        <f>IFERROR(__xludf.DUMMYFUNCTION("""COMPUTED_VALUE"""),"Tax On Commissions")</f>
        <v>Tax On Commissions</v>
      </c>
      <c r="AA5" s="30" t="str">
        <f>IFERROR(__xludf.DUMMYFUNCTION("""COMPUTED_VALUE"""),"AUEC Fee2")</f>
        <v>AUEC Fee2</v>
      </c>
      <c r="AB5" s="30" t="str">
        <f>IFERROR(__xludf.DUMMYFUNCTION("""COMPUTED_VALUE"""),"SEC Fee")</f>
        <v>SEC Fee</v>
      </c>
      <c r="AC5" s="30" t="str">
        <f>IFERROR(__xludf.DUMMYFUNCTION("""COMPUTED_VALUE"""),"OCC Fee")</f>
        <v>OCC Fee</v>
      </c>
      <c r="AD5" s="30" t="str">
        <f>IFERROR(__xludf.DUMMYFUNCTION("""COMPUTED_VALUE"""),"ORF Fee")</f>
        <v>ORF Fee</v>
      </c>
      <c r="AE5" s="30" t="str">
        <f>IFERROR(__xludf.DUMMYFUNCTION("""COMPUTED_VALUE"""),"Option Premium Adjustment")</f>
        <v>Option Premium Adjustment</v>
      </c>
      <c r="AF5" s="30" t="str">
        <f>IFERROR(__xludf.DUMMYFUNCTION("""COMPUTED_VALUE"""),"Closing Status")</f>
        <v>Closing Status</v>
      </c>
      <c r="AG5" s="30" t="str">
        <f>IFERROR(__xludf.DUMMYFUNCTION("""COMPUTED_VALUE"""),"External Transaction ID")</f>
        <v>External Transaction ID</v>
      </c>
      <c r="AH5" s="30" t="str">
        <f>IFERROR(__xludf.DUMMYFUNCTION("""COMPUTED_VALUE"""),"Lot ID")</f>
        <v>Lot ID</v>
      </c>
      <c r="AI5" s="30" t="str">
        <f>IFERROR(__xludf.DUMMYFUNCTION("""COMPUTED_VALUE"""),"AvgPriceBase")</f>
        <v>AvgPriceBase</v>
      </c>
      <c r="AJ5" s="30" t="str">
        <f>IFERROR(__xludf.DUMMYFUNCTION("""COMPUTED_VALUE"""),"Accrued Interest")</f>
        <v>Accrued Interest</v>
      </c>
      <c r="AK5" s="30" t="str">
        <f>IFERROR(__xludf.DUMMYFUNCTION("""COMPUTED_VALUE"""),"FXRate")</f>
        <v>FXRate</v>
      </c>
      <c r="AL5" s="30" t="str">
        <f>IFERROR(__xludf.DUMMYFUNCTION("""COMPUTED_VALUE"""),"Change Type")</f>
        <v>Change Type</v>
      </c>
      <c r="AM5" s="30"/>
      <c r="AN5" s="30"/>
      <c r="AO5" s="30"/>
      <c r="AP5" s="30"/>
      <c r="AQ5" s="30"/>
      <c r="AR5" s="30"/>
      <c r="AS5" s="30"/>
      <c r="AT5" s="30"/>
      <c r="AU5" s="30"/>
      <c r="AV5" s="30"/>
      <c r="AW5" s="30"/>
      <c r="AX5" s="30"/>
      <c r="AY5" s="30"/>
      <c r="AZ5" s="30"/>
      <c r="BA5" s="30"/>
      <c r="BB5" s="30"/>
      <c r="BC5" s="30"/>
      <c r="BD5" s="30"/>
      <c r="BE5" s="30"/>
      <c r="BF5" s="30"/>
      <c r="BG5" s="30"/>
      <c r="BH5" s="30"/>
      <c r="BI5" s="30"/>
      <c r="BJ5" s="30"/>
      <c r="BK5" s="30"/>
      <c r="BL5" s="30"/>
      <c r="BM5" s="30"/>
      <c r="BN5" s="30"/>
      <c r="BO5" s="30"/>
      <c r="BP5" s="30"/>
      <c r="BQ5" s="30"/>
      <c r="BR5" s="30"/>
      <c r="BS5" s="30"/>
      <c r="BT5" s="30"/>
      <c r="BU5" s="30"/>
      <c r="BV5" s="30"/>
      <c r="BW5" s="30"/>
      <c r="BX5" s="30"/>
      <c r="BY5" s="30"/>
      <c r="BZ5" s="30"/>
      <c r="CA5" s="30"/>
      <c r="CB5" s="30"/>
      <c r="CC5" s="30"/>
      <c r="CD5" s="30"/>
      <c r="CE5" s="30"/>
      <c r="CF5" s="30"/>
      <c r="CG5" s="30"/>
      <c r="CH5" s="30"/>
      <c r="CI5" s="30"/>
      <c r="CJ5" s="30"/>
      <c r="CK5" s="30"/>
      <c r="CL5" s="30"/>
      <c r="CM5" s="30"/>
      <c r="CN5" s="30"/>
      <c r="CO5" s="30"/>
      <c r="CP5" s="30"/>
      <c r="CQ5" s="30"/>
      <c r="CR5" s="30"/>
      <c r="CS5" s="30"/>
      <c r="CT5" s="30"/>
      <c r="CU5" s="30"/>
      <c r="CV5" s="30"/>
      <c r="CW5" s="30"/>
      <c r="CX5" s="30"/>
      <c r="CY5" s="30"/>
      <c r="CZ5" s="30"/>
      <c r="DA5" s="30"/>
      <c r="DB5" s="30"/>
      <c r="DC5" s="30"/>
      <c r="DD5" s="30"/>
      <c r="DE5" s="30"/>
      <c r="DF5" s="30"/>
      <c r="DG5" s="30"/>
      <c r="DH5" s="30"/>
      <c r="DI5" s="30"/>
      <c r="DJ5" s="30"/>
      <c r="DK5" s="30"/>
      <c r="DL5" s="30"/>
      <c r="DM5" s="30"/>
      <c r="DN5" s="30"/>
      <c r="DO5" s="30"/>
      <c r="DP5" s="30"/>
      <c r="DQ5" s="30"/>
      <c r="DR5" s="30"/>
      <c r="DS5" s="30"/>
      <c r="DT5" s="30"/>
      <c r="DU5" s="30"/>
      <c r="DV5" s="30"/>
      <c r="DW5" s="30"/>
      <c r="DX5" s="30"/>
      <c r="DY5" s="30"/>
      <c r="DZ5" s="30"/>
      <c r="EA5" s="30"/>
      <c r="EB5" s="30"/>
      <c r="EC5" s="30"/>
      <c r="ED5" s="30"/>
      <c r="EE5" s="30"/>
      <c r="EF5" s="30"/>
      <c r="EG5" s="30"/>
      <c r="EH5" s="30"/>
      <c r="EI5" s="30"/>
      <c r="EJ5" s="30"/>
      <c r="EK5" s="30"/>
      <c r="EL5" s="30"/>
      <c r="EM5" s="30"/>
      <c r="EN5" s="30"/>
      <c r="EO5" s="30"/>
      <c r="EP5" s="30"/>
      <c r="EQ5" s="30"/>
      <c r="ER5" s="30"/>
      <c r="ES5" s="30"/>
      <c r="ET5" s="30"/>
      <c r="EU5" s="30"/>
      <c r="EV5" s="30"/>
      <c r="EW5" s="30"/>
      <c r="EX5" s="30"/>
    </row>
    <row r="6" ht="15.75" customHeight="1">
      <c r="A6" s="13"/>
      <c r="B6" s="49">
        <v>1014.0006</v>
      </c>
      <c r="C6" s="49">
        <v>1014.0006</v>
      </c>
      <c r="D6" s="49">
        <v>1000.0</v>
      </c>
      <c r="E6" s="49">
        <v>1000.0</v>
      </c>
      <c r="F6" s="47" t="s">
        <v>53</v>
      </c>
      <c r="G6" s="8"/>
      <c r="H6" s="47" t="s">
        <v>41</v>
      </c>
      <c r="I6" s="8"/>
      <c r="J6" s="8"/>
      <c r="K6" s="8"/>
      <c r="L6" s="8"/>
      <c r="M6" s="8"/>
      <c r="N6" s="8"/>
      <c r="O6" s="47" t="s">
        <v>25</v>
      </c>
      <c r="P6" s="47" t="s">
        <v>43</v>
      </c>
      <c r="Q6" s="48">
        <v>100.0</v>
      </c>
      <c r="R6" s="48">
        <v>100.0</v>
      </c>
      <c r="AI6" s="48">
        <v>10.0</v>
      </c>
      <c r="AJ6" s="48"/>
      <c r="AK6" s="48">
        <v>1.0</v>
      </c>
      <c r="AL6" s="48">
        <v>3.0</v>
      </c>
    </row>
    <row r="7" ht="15.75" customHeight="1">
      <c r="A7" s="8"/>
      <c r="B7" s="49">
        <v>10000.0</v>
      </c>
      <c r="C7" s="49">
        <v>10000.0</v>
      </c>
      <c r="D7" s="49">
        <v>10000.0</v>
      </c>
      <c r="E7" s="49">
        <v>10000.0</v>
      </c>
      <c r="F7" s="47" t="s">
        <v>53</v>
      </c>
      <c r="G7" s="8"/>
      <c r="H7" s="47" t="s">
        <v>41</v>
      </c>
      <c r="I7" s="8"/>
      <c r="J7" s="8"/>
      <c r="K7" s="8"/>
      <c r="L7" s="8"/>
      <c r="M7" s="8"/>
      <c r="N7" s="8"/>
      <c r="O7" s="47" t="s">
        <v>25</v>
      </c>
      <c r="P7" s="47" t="s">
        <v>43</v>
      </c>
      <c r="Q7" s="48">
        <v>100.0</v>
      </c>
      <c r="R7" s="48">
        <v>10.0</v>
      </c>
      <c r="AI7" s="48">
        <v>10.0</v>
      </c>
      <c r="AJ7" s="48"/>
      <c r="AK7" s="48">
        <v>1.0</v>
      </c>
      <c r="AL7" s="48">
        <v>3.0</v>
      </c>
    </row>
    <row r="8" ht="15.75" customHeight="1">
      <c r="A8" s="8"/>
      <c r="B8" s="49">
        <v>10000.0</v>
      </c>
      <c r="C8" s="49">
        <v>10000.0</v>
      </c>
      <c r="D8" s="49">
        <v>10000.0</v>
      </c>
      <c r="E8" s="49">
        <v>10000.0</v>
      </c>
      <c r="F8" s="47" t="s">
        <v>53</v>
      </c>
      <c r="G8" s="8"/>
      <c r="H8" s="47" t="s">
        <v>41</v>
      </c>
      <c r="I8" s="8"/>
      <c r="J8" s="8"/>
      <c r="K8" s="8"/>
      <c r="L8" s="8"/>
      <c r="M8" s="8"/>
      <c r="N8" s="8"/>
      <c r="O8" s="47" t="s">
        <v>25</v>
      </c>
      <c r="P8" s="47" t="s">
        <v>43</v>
      </c>
      <c r="Q8" s="48">
        <v>100.0</v>
      </c>
      <c r="R8" s="48">
        <v>10.0</v>
      </c>
      <c r="AI8" s="48">
        <v>10.0</v>
      </c>
      <c r="AJ8" s="48"/>
      <c r="AK8" s="48">
        <v>1.0</v>
      </c>
      <c r="AL8" s="48">
        <v>3.0</v>
      </c>
    </row>
    <row r="9" ht="15.75" customHeight="1">
      <c r="A9" s="8"/>
      <c r="B9" s="48">
        <v>0.0</v>
      </c>
      <c r="C9" s="48">
        <v>0.0</v>
      </c>
      <c r="D9" s="48">
        <v>0.0</v>
      </c>
      <c r="E9" s="48">
        <v>0.0</v>
      </c>
      <c r="F9" s="47" t="s">
        <v>53</v>
      </c>
      <c r="G9" s="8"/>
      <c r="H9" s="47" t="s">
        <v>41</v>
      </c>
      <c r="I9" s="8"/>
      <c r="J9" s="8"/>
      <c r="K9" s="8"/>
      <c r="L9" s="8"/>
      <c r="M9" s="8"/>
      <c r="N9" s="8"/>
      <c r="O9" s="47" t="s">
        <v>25</v>
      </c>
      <c r="P9" s="47" t="s">
        <v>43</v>
      </c>
      <c r="Q9" s="48">
        <v>100.0</v>
      </c>
      <c r="R9" s="48">
        <v>10.0</v>
      </c>
      <c r="AI9" s="48">
        <v>0.0</v>
      </c>
      <c r="AJ9" s="48"/>
      <c r="AK9" s="48">
        <v>1.0</v>
      </c>
      <c r="AL9" s="48">
        <v>3.0</v>
      </c>
    </row>
    <row r="10" ht="15.75" customHeight="1">
      <c r="A10" s="8"/>
      <c r="B10" s="48">
        <v>0.0</v>
      </c>
      <c r="C10" s="48">
        <v>0.0</v>
      </c>
      <c r="D10" s="48">
        <v>0.0</v>
      </c>
      <c r="E10" s="48">
        <v>0.0</v>
      </c>
      <c r="F10" s="47" t="s">
        <v>53</v>
      </c>
      <c r="G10" s="8"/>
      <c r="H10" s="47" t="s">
        <v>41</v>
      </c>
      <c r="I10" s="8"/>
      <c r="J10" s="8"/>
      <c r="K10" s="8"/>
      <c r="L10" s="8"/>
      <c r="M10" s="8"/>
      <c r="N10" s="8"/>
      <c r="O10" s="47" t="s">
        <v>25</v>
      </c>
      <c r="P10" s="47" t="s">
        <v>43</v>
      </c>
      <c r="Q10" s="48">
        <v>100.0</v>
      </c>
      <c r="R10" s="48">
        <v>10.0</v>
      </c>
      <c r="AI10" s="48">
        <v>0.0</v>
      </c>
      <c r="AJ10" s="48"/>
      <c r="AK10" s="48">
        <v>1.0</v>
      </c>
      <c r="AL10" s="48">
        <v>3.0</v>
      </c>
    </row>
    <row r="11" ht="15.75" customHeight="1">
      <c r="A11" s="8"/>
      <c r="B11" s="48" t="s">
        <v>49</v>
      </c>
      <c r="C11" s="48" t="s">
        <v>49</v>
      </c>
      <c r="D11" s="48" t="s">
        <v>49</v>
      </c>
      <c r="E11" s="48" t="s">
        <v>49</v>
      </c>
      <c r="F11" s="47" t="s">
        <v>54</v>
      </c>
      <c r="G11" s="8"/>
      <c r="H11" s="47" t="s">
        <v>41</v>
      </c>
      <c r="I11" s="8"/>
      <c r="J11" s="8"/>
      <c r="K11" s="8"/>
      <c r="L11" s="8"/>
      <c r="M11" s="8"/>
      <c r="N11" s="8"/>
      <c r="O11" s="47" t="s">
        <v>25</v>
      </c>
      <c r="P11" s="47" t="s">
        <v>43</v>
      </c>
      <c r="Q11" s="48">
        <v>100.0</v>
      </c>
      <c r="R11" s="49">
        <v>1000.0</v>
      </c>
      <c r="AI11" s="48">
        <v>110.0</v>
      </c>
      <c r="AJ11" s="48"/>
      <c r="AK11" s="48">
        <v>1.0</v>
      </c>
      <c r="AL11" s="48">
        <v>3.0</v>
      </c>
    </row>
    <row r="12" ht="15.75" customHeight="1">
      <c r="A12" s="8"/>
      <c r="B12" s="49">
        <v>9000.0</v>
      </c>
      <c r="C12" s="49">
        <v>9000.0</v>
      </c>
      <c r="D12" s="49">
        <v>9000.0</v>
      </c>
      <c r="E12" s="49">
        <v>9000.0</v>
      </c>
      <c r="F12" s="47" t="s">
        <v>54</v>
      </c>
      <c r="G12" s="8"/>
      <c r="H12" s="47" t="s">
        <v>41</v>
      </c>
      <c r="I12" s="8"/>
      <c r="J12" s="8"/>
      <c r="K12" s="8"/>
      <c r="L12" s="8"/>
      <c r="M12" s="8"/>
      <c r="N12" s="8"/>
      <c r="O12" s="47" t="s">
        <v>25</v>
      </c>
      <c r="P12" s="47" t="s">
        <v>43</v>
      </c>
      <c r="Q12" s="48">
        <v>100.0</v>
      </c>
      <c r="R12" s="48">
        <v>100.0</v>
      </c>
      <c r="AI12" s="48">
        <v>90.0</v>
      </c>
      <c r="AJ12" s="48"/>
      <c r="AK12" s="48">
        <v>1.0</v>
      </c>
      <c r="AL12" s="48">
        <v>3.0</v>
      </c>
    </row>
    <row r="13" ht="15.75" customHeight="1">
      <c r="A13" s="8"/>
      <c r="B13" s="49">
        <v>81000.0</v>
      </c>
      <c r="C13" s="49">
        <v>81000.0</v>
      </c>
      <c r="D13" s="49">
        <v>81000.0</v>
      </c>
      <c r="E13" s="49">
        <v>81000.0</v>
      </c>
      <c r="F13" s="47" t="s">
        <v>53</v>
      </c>
      <c r="G13" s="8"/>
      <c r="H13" s="47" t="s">
        <v>41</v>
      </c>
      <c r="I13" s="8"/>
      <c r="J13" s="8"/>
      <c r="K13" s="8"/>
      <c r="L13" s="8"/>
      <c r="M13" s="8"/>
      <c r="N13" s="8"/>
      <c r="O13" s="47" t="s">
        <v>25</v>
      </c>
      <c r="P13" s="47" t="s">
        <v>43</v>
      </c>
      <c r="Q13" s="48">
        <v>100.0</v>
      </c>
      <c r="R13" s="48">
        <v>900.0</v>
      </c>
      <c r="AI13" s="48">
        <v>90.0</v>
      </c>
      <c r="AJ13" s="48"/>
      <c r="AK13" s="48">
        <v>1.0</v>
      </c>
      <c r="AL13" s="48">
        <v>3.0</v>
      </c>
    </row>
    <row r="14" ht="15.75" customHeight="1">
      <c r="A14" s="8"/>
      <c r="B14" s="8"/>
      <c r="C14" s="8"/>
      <c r="D14" s="8"/>
      <c r="E14" s="8"/>
      <c r="F14" s="8"/>
      <c r="G14" s="8"/>
      <c r="H14" s="50"/>
      <c r="I14" s="8"/>
      <c r="J14" s="8"/>
      <c r="K14" s="8"/>
      <c r="L14" s="8"/>
      <c r="M14" s="8"/>
      <c r="N14" s="8"/>
      <c r="O14" s="8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  <dataValidation type="list" allowBlank="1" showInputMessage="1" showErrorMessage="1" prompt="Choose available step for selected module" sqref="E3">
      <formula1>CheckAllocatedTaxlots!$4:$4</formula1>
    </dataValidation>
  </dataValidations>
  <drawing r:id="rId1"/>
</worksheet>
</file>

<file path=xl/worksheets/sheet15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5.13" defaultRowHeight="15.0"/>
  <cols>
    <col customWidth="1" min="1" max="1" width="5.88"/>
    <col customWidth="1" min="2" max="4" width="12.63"/>
    <col customWidth="1" min="5" max="5" width="16.25"/>
    <col customWidth="1" min="6" max="8" width="12.63"/>
    <col customWidth="1" min="9" max="9" width="15.88"/>
    <col customWidth="1" min="10" max="11" width="15.25"/>
    <col customWidth="1" min="12" max="176" width="12.63"/>
  </cols>
  <sheetData>
    <row r="1" ht="15.75" customHeight="1">
      <c r="A1" s="19"/>
      <c r="B1" s="1" t="s">
        <v>11</v>
      </c>
      <c r="C1" s="2"/>
      <c r="D1" s="2"/>
      <c r="E1" s="2"/>
      <c r="F1" s="2"/>
      <c r="G1" s="2"/>
      <c r="H1" s="3"/>
      <c r="I1" s="19"/>
      <c r="J1" s="19"/>
      <c r="K1" s="19"/>
      <c r="L1" s="19"/>
      <c r="M1" s="19"/>
      <c r="N1" s="19"/>
      <c r="O1" s="19"/>
      <c r="P1" s="20"/>
      <c r="Q1" s="20"/>
      <c r="R1" s="20"/>
      <c r="S1" s="20"/>
      <c r="T1" s="20"/>
      <c r="U1" s="20"/>
      <c r="V1" s="20"/>
      <c r="W1" s="20"/>
      <c r="X1" s="20"/>
      <c r="Y1" s="20"/>
      <c r="Z1" s="20"/>
      <c r="AA1" s="20"/>
      <c r="AB1" s="20"/>
      <c r="AC1" s="20"/>
      <c r="AD1" s="20"/>
      <c r="AE1" s="20"/>
      <c r="AF1" s="20"/>
      <c r="AG1" s="20"/>
      <c r="AH1" s="20"/>
      <c r="AI1" s="20"/>
      <c r="AJ1" s="20"/>
      <c r="AK1" s="20"/>
      <c r="AL1" s="20"/>
      <c r="AM1" s="20"/>
      <c r="AN1" s="20"/>
      <c r="AO1" s="20"/>
      <c r="AP1" s="20"/>
      <c r="AQ1" s="20"/>
      <c r="AR1" s="20"/>
      <c r="AS1" s="20"/>
      <c r="AT1" s="20"/>
      <c r="AU1" s="20"/>
      <c r="AV1" s="20"/>
      <c r="AW1" s="20"/>
      <c r="AX1" s="20"/>
      <c r="AY1" s="20"/>
      <c r="AZ1" s="20"/>
      <c r="BA1" s="20"/>
      <c r="BB1" s="20"/>
      <c r="BC1" s="20"/>
      <c r="BD1" s="20"/>
      <c r="BE1" s="20"/>
      <c r="BF1" s="20"/>
      <c r="BG1" s="20"/>
      <c r="BH1" s="20"/>
      <c r="BI1" s="20"/>
      <c r="BJ1" s="20"/>
      <c r="BK1" s="20"/>
      <c r="BL1" s="20"/>
      <c r="BM1" s="20"/>
      <c r="BN1" s="20"/>
      <c r="BO1" s="20"/>
      <c r="BP1" s="20"/>
      <c r="BQ1" s="20"/>
      <c r="BR1" s="20"/>
      <c r="BS1" s="20"/>
      <c r="BT1" s="20"/>
      <c r="BU1" s="20"/>
      <c r="BV1" s="20"/>
      <c r="BW1" s="20"/>
      <c r="BX1" s="20"/>
      <c r="BY1" s="20"/>
      <c r="BZ1" s="20"/>
      <c r="CA1" s="20"/>
      <c r="CB1" s="20"/>
      <c r="CC1" s="20"/>
      <c r="CD1" s="20"/>
      <c r="CE1" s="20"/>
      <c r="CF1" s="20"/>
      <c r="CG1" s="20"/>
      <c r="CH1" s="20"/>
      <c r="CI1" s="20"/>
      <c r="CJ1" s="20"/>
      <c r="CK1" s="20"/>
      <c r="CL1" s="20"/>
      <c r="CM1" s="20"/>
      <c r="CN1" s="20"/>
      <c r="CO1" s="20"/>
      <c r="CP1" s="20"/>
      <c r="CQ1" s="20"/>
      <c r="CR1" s="20"/>
      <c r="CS1" s="20"/>
      <c r="CT1" s="20"/>
      <c r="CU1" s="20"/>
      <c r="CV1" s="20"/>
      <c r="CW1" s="20"/>
      <c r="CX1" s="20"/>
      <c r="CY1" s="20"/>
      <c r="CZ1" s="20"/>
      <c r="DA1" s="20"/>
      <c r="DB1" s="20"/>
      <c r="DC1" s="20"/>
      <c r="DD1" s="20"/>
      <c r="DE1" s="20"/>
      <c r="DF1" s="20"/>
      <c r="DG1" s="20"/>
      <c r="DH1" s="20"/>
      <c r="DI1" s="20"/>
      <c r="DJ1" s="20"/>
      <c r="DK1" s="20"/>
      <c r="DL1" s="20"/>
      <c r="DM1" s="20"/>
      <c r="DN1" s="20"/>
      <c r="DO1" s="20"/>
      <c r="DP1" s="20"/>
      <c r="DQ1" s="20"/>
      <c r="DR1" s="20"/>
      <c r="DS1" s="20"/>
      <c r="DT1" s="20"/>
      <c r="DU1" s="20"/>
      <c r="DV1" s="20"/>
      <c r="DW1" s="20"/>
      <c r="DX1" s="20"/>
      <c r="DY1" s="20"/>
      <c r="DZ1" s="20"/>
      <c r="EA1" s="20"/>
      <c r="EB1" s="20"/>
      <c r="EC1" s="20"/>
      <c r="ED1" s="20"/>
      <c r="EE1" s="20"/>
      <c r="EF1" s="20"/>
      <c r="EG1" s="20"/>
      <c r="EH1" s="20"/>
      <c r="EI1" s="20"/>
      <c r="EJ1" s="20"/>
      <c r="EK1" s="20"/>
      <c r="EL1" s="20"/>
      <c r="EM1" s="20"/>
      <c r="EN1" s="20"/>
      <c r="EO1" s="20"/>
      <c r="EP1" s="20"/>
      <c r="EQ1" s="20"/>
      <c r="ER1" s="20"/>
      <c r="ES1" s="20"/>
      <c r="ET1" s="20"/>
      <c r="EU1" s="20"/>
      <c r="EV1" s="20"/>
      <c r="EW1" s="20"/>
      <c r="EX1" s="20"/>
      <c r="EY1" s="20"/>
      <c r="EZ1" s="20"/>
      <c r="FA1" s="20"/>
      <c r="FB1" s="20"/>
      <c r="FC1" s="20"/>
      <c r="FD1" s="20"/>
      <c r="FE1" s="20"/>
      <c r="FF1" s="20"/>
      <c r="FG1" s="20"/>
      <c r="FH1" s="20"/>
      <c r="FI1" s="20"/>
      <c r="FJ1" s="20"/>
      <c r="FK1" s="20"/>
      <c r="FL1" s="20"/>
      <c r="FM1" s="20"/>
      <c r="FN1" s="20"/>
      <c r="FO1" s="20"/>
      <c r="FP1" s="20"/>
      <c r="FQ1" s="20"/>
      <c r="FR1" s="20"/>
      <c r="FS1" s="20"/>
      <c r="FT1" s="20"/>
    </row>
    <row r="2" ht="15.75" customHeight="1">
      <c r="A2" s="8"/>
      <c r="B2" s="8"/>
      <c r="C2" s="8"/>
      <c r="D2" s="8"/>
      <c r="E2" s="8"/>
      <c r="F2" s="8"/>
      <c r="G2" s="8"/>
      <c r="H2" s="8"/>
      <c r="I2" s="8"/>
      <c r="J2" s="21" t="str">
        <f> VLOOKUP($E$3,'_MasterData'!B4:D1000,3,FALSE)</f>
        <v>#N/A</v>
      </c>
      <c r="K2" s="21"/>
      <c r="L2" s="8"/>
      <c r="M2" s="8"/>
      <c r="N2" s="8"/>
      <c r="O2" s="8"/>
    </row>
    <row r="3" ht="15.75" customHeight="1">
      <c r="A3" s="22"/>
      <c r="B3" s="5" t="s">
        <v>8</v>
      </c>
      <c r="C3" s="23" t="s">
        <v>55</v>
      </c>
      <c r="D3" s="5" t="s">
        <v>9</v>
      </c>
      <c r="E3" s="23" t="s">
        <v>56</v>
      </c>
      <c r="F3" s="5" t="s">
        <v>14</v>
      </c>
      <c r="G3" s="14" t="s">
        <v>15</v>
      </c>
      <c r="H3" s="5"/>
      <c r="I3" s="22"/>
      <c r="J3" s="22"/>
      <c r="K3" s="22"/>
      <c r="L3" s="22"/>
      <c r="M3" s="22"/>
      <c r="N3" s="22"/>
      <c r="O3" s="22"/>
      <c r="P3" s="24"/>
      <c r="Q3" s="24"/>
      <c r="R3" s="24"/>
      <c r="S3" s="24"/>
      <c r="T3" s="24"/>
      <c r="U3" s="24"/>
      <c r="V3" s="24"/>
      <c r="W3" s="24"/>
      <c r="X3" s="24"/>
      <c r="Y3" s="24"/>
      <c r="Z3" s="24"/>
      <c r="AA3" s="24"/>
      <c r="AB3" s="24"/>
      <c r="AC3" s="24"/>
      <c r="AD3" s="24"/>
      <c r="AE3" s="24"/>
      <c r="AF3" s="24"/>
      <c r="AG3" s="24"/>
      <c r="AH3" s="24"/>
      <c r="AI3" s="24"/>
      <c r="AJ3" s="24"/>
      <c r="AK3" s="24"/>
      <c r="AL3" s="24"/>
      <c r="AM3" s="24"/>
      <c r="AN3" s="24"/>
      <c r="AO3" s="24"/>
      <c r="AP3" s="24"/>
      <c r="AQ3" s="24"/>
      <c r="AR3" s="24"/>
      <c r="AS3" s="24"/>
      <c r="AT3" s="24"/>
      <c r="AU3" s="24"/>
      <c r="AV3" s="24"/>
      <c r="AW3" s="24"/>
      <c r="AX3" s="24"/>
      <c r="AY3" s="24"/>
      <c r="AZ3" s="24"/>
      <c r="BA3" s="24"/>
      <c r="BB3" s="24"/>
      <c r="BC3" s="24"/>
      <c r="BD3" s="24"/>
      <c r="BE3" s="24"/>
      <c r="BF3" s="24"/>
      <c r="BG3" s="24"/>
      <c r="BH3" s="24"/>
      <c r="BI3" s="24"/>
      <c r="BJ3" s="24"/>
      <c r="BK3" s="24"/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BZ3" s="24"/>
      <c r="CA3" s="24"/>
      <c r="CB3" s="24"/>
      <c r="CC3" s="24"/>
      <c r="CD3" s="24"/>
      <c r="CE3" s="24"/>
      <c r="CF3" s="24"/>
      <c r="CG3" s="24"/>
      <c r="CH3" s="24"/>
      <c r="CI3" s="24"/>
      <c r="CJ3" s="24"/>
      <c r="CK3" s="24"/>
      <c r="CL3" s="24"/>
      <c r="CM3" s="24"/>
      <c r="CN3" s="24"/>
      <c r="CO3" s="24"/>
      <c r="CP3" s="24"/>
      <c r="CQ3" s="24"/>
      <c r="CR3" s="24"/>
      <c r="CS3" s="24"/>
      <c r="CT3" s="24"/>
      <c r="CU3" s="24"/>
      <c r="CV3" s="24"/>
      <c r="CW3" s="24"/>
      <c r="CX3" s="24"/>
      <c r="CY3" s="24"/>
      <c r="CZ3" s="24"/>
      <c r="DA3" s="24"/>
      <c r="DB3" s="24"/>
      <c r="DC3" s="24"/>
      <c r="DD3" s="24"/>
      <c r="DE3" s="24"/>
      <c r="DF3" s="24"/>
      <c r="DG3" s="24"/>
      <c r="DH3" s="24"/>
      <c r="DI3" s="24"/>
      <c r="DJ3" s="24"/>
      <c r="DK3" s="24"/>
      <c r="DL3" s="24"/>
      <c r="DM3" s="24"/>
      <c r="DN3" s="24"/>
      <c r="DO3" s="24"/>
      <c r="DP3" s="24"/>
      <c r="DQ3" s="24"/>
      <c r="DR3" s="24"/>
      <c r="DS3" s="24"/>
      <c r="DT3" s="24"/>
      <c r="DU3" s="24"/>
      <c r="DV3" s="24"/>
      <c r="DW3" s="24"/>
      <c r="DX3" s="24"/>
      <c r="DY3" s="24"/>
      <c r="DZ3" s="24"/>
      <c r="EA3" s="24"/>
      <c r="EB3" s="24"/>
      <c r="EC3" s="24"/>
      <c r="ED3" s="24"/>
      <c r="EE3" s="24"/>
      <c r="EF3" s="24"/>
      <c r="EG3" s="24"/>
      <c r="EH3" s="24"/>
      <c r="EI3" s="24"/>
      <c r="EJ3" s="24"/>
      <c r="EK3" s="24"/>
      <c r="EL3" s="24"/>
      <c r="EM3" s="24"/>
      <c r="EN3" s="24"/>
      <c r="EO3" s="24"/>
      <c r="EP3" s="24"/>
      <c r="EQ3" s="24"/>
      <c r="ER3" s="24"/>
      <c r="ES3" s="24"/>
      <c r="ET3" s="24"/>
      <c r="EU3" s="24"/>
      <c r="EV3" s="24"/>
      <c r="EW3" s="24"/>
      <c r="EX3" s="24"/>
      <c r="EY3" s="24"/>
      <c r="EZ3" s="24"/>
      <c r="FA3" s="24"/>
      <c r="FB3" s="24"/>
      <c r="FC3" s="24"/>
      <c r="FD3" s="24"/>
      <c r="FE3" s="24"/>
      <c r="FF3" s="24"/>
      <c r="FG3" s="24"/>
      <c r="FH3" s="24"/>
      <c r="FI3" s="24"/>
      <c r="FJ3" s="24"/>
      <c r="FK3" s="24"/>
      <c r="FL3" s="24"/>
      <c r="FM3" s="24"/>
      <c r="FN3" s="24"/>
      <c r="FO3" s="24"/>
      <c r="FP3" s="24"/>
      <c r="FQ3" s="24"/>
      <c r="FR3" s="24"/>
      <c r="FS3" s="24"/>
      <c r="FT3" s="24"/>
    </row>
    <row r="4" ht="15.75" customHeight="1">
      <c r="A4" s="25"/>
      <c r="B4" s="25" t="str">
        <f>IFERROR(__xludf.DUMMYFUNCTION("IF(C3="""","""",Transpose(IMPORTRANGE('_Settings'!$B$3,C3&amp;""!A4:A1000"")))"),"CheckDashboardPM")</f>
        <v>CheckDashboardPM</v>
      </c>
      <c r="C4" s="25" t="str">
        <f>IFERROR(__xludf.DUMMYFUNCTION("""COMPUTED_VALUE"""),"CheckPortfolioManagement")</f>
        <v>CheckPortfolioManagement</v>
      </c>
      <c r="D4" s="25" t="str">
        <f>IFERROR(__xludf.DUMMYFUNCTION("""COMPUTED_VALUE"""),"CheckPMLiveFeed")</f>
        <v>CheckPMLiveFeed</v>
      </c>
      <c r="E4" s="25" t="str">
        <f>IFERROR(__xludf.DUMMYFUNCTION("""COMPUTED_VALUE"""),"OpenPSTFromPM")</f>
        <v>OpenPSTFromPM</v>
      </c>
      <c r="F4" s="25" t="str">
        <f>IFERROR(__xludf.DUMMYFUNCTION("""COMPUTED_VALUE"""),"IncreasePositionFromPM")</f>
        <v>IncreasePositionFromPM</v>
      </c>
      <c r="G4" s="25" t="str">
        <f>IFERROR(__xludf.DUMMYFUNCTION("""COMPUTED_VALUE"""),"ClosePM")</f>
        <v>ClosePM</v>
      </c>
      <c r="H4" s="25" t="str">
        <f>IFERROR(__xludf.DUMMYFUNCTION("""COMPUTED_VALUE"""),"RemoveGroupingFromPM")</f>
        <v>RemoveGroupingFromPM</v>
      </c>
      <c r="I4" s="25" t="str">
        <f>IFERROR(__xludf.DUMMYFUNCTION("""COMPUTED_VALUE"""),"OpenCreateTransactionFromPM")</f>
        <v>OpenCreateTransactionFromPM</v>
      </c>
      <c r="J4" s="25" t="str">
        <f>IFERROR(__xludf.DUMMYFUNCTION("""COMPUTED_VALUE"""),"FilterPM")</f>
        <v>FilterPM</v>
      </c>
      <c r="K4" s="25" t="str">
        <f>IFERROR(__xludf.DUMMYFUNCTION("""COMPUTED_VALUE"""),"GroupRowPM")</f>
        <v>GroupRowPM</v>
      </c>
      <c r="L4" s="25" t="str">
        <f>IFERROR(__xludf.DUMMYFUNCTION("""COMPUTED_VALUE"""),"CheckDashboardWithPM")</f>
        <v>CheckDashboardWithPM</v>
      </c>
      <c r="M4" s="25" t="str">
        <f>IFERROR(__xludf.DUMMYFUNCTION("""COMPUTED_VALUE"""),"RemoveFilterPM")</f>
        <v>RemoveFilterPM</v>
      </c>
      <c r="N4" s="25" t="str">
        <f>IFERROR(__xludf.DUMMYFUNCTION("""COMPUTED_VALUE"""),"CheckSummaryRowsPM")</f>
        <v>CheckSummaryRowsPM</v>
      </c>
      <c r="O4" s="25" t="str">
        <f>IFERROR(__xludf.DUMMYFUNCTION("""COMPUTED_VALUE"""),"OpenPTTFromPM")</f>
        <v>OpenPTTFromPM</v>
      </c>
      <c r="P4" s="26" t="str">
        <f>IFERROR(__xludf.DUMMYFUNCTION("""COMPUTED_VALUE"""),"DeleteCustomViewPM")</f>
        <v>DeleteCustomViewPM</v>
      </c>
      <c r="Q4" s="26" t="str">
        <f>IFERROR(__xludf.DUMMYFUNCTION("""COMPUTED_VALUE"""),"RenameCustomViewPM")</f>
        <v>RenameCustomViewPM</v>
      </c>
      <c r="R4" s="26" t="str">
        <f>IFERROR(__xludf.DUMMYFUNCTION("""COMPUTED_VALUE"""),"AddCustomViewRightClickPM")</f>
        <v>AddCustomViewRightClickPM</v>
      </c>
      <c r="S4" s="26" t="str">
        <f>IFERROR(__xludf.DUMMYFUNCTION("""COMPUTED_VALUE"""),"AddCustomViewPM")</f>
        <v>AddCustomViewPM</v>
      </c>
      <c r="T4" s="26" t="str">
        <f>IFERROR(__xludf.DUMMYFUNCTION("""COMPUTED_VALUE"""),"ExpandCollapsePM")</f>
        <v>ExpandCollapsePM</v>
      </c>
      <c r="U4" s="26" t="str">
        <f>IFERROR(__xludf.DUMMYFUNCTION("""COMPUTED_VALUE"""),"CloseSelectedTaxlotsFromPM")</f>
        <v>CloseSelectedTaxlotsFromPM</v>
      </c>
      <c r="V4" s="26" t="str">
        <f>IFERROR(__xludf.DUMMYFUNCTION("""COMPUTED_VALUE"""),"CloseAccountPositionFromPM")</f>
        <v>CloseAccountPositionFromPM</v>
      </c>
      <c r="W4" s="26" t="str">
        <f>IFERROR(__xludf.DUMMYFUNCTION("""COMPUTED_VALUE"""),"HideSummaryToolFromPM")</f>
        <v>HideSummaryToolFromPM</v>
      </c>
      <c r="X4" s="26" t="str">
        <f>IFERROR(__xludf.DUMMYFUNCTION("""COMPUTED_VALUE"""),"ShowSummaryToolFromPM")</f>
        <v>ShowSummaryToolFromPM</v>
      </c>
      <c r="Y4" s="26" t="str">
        <f>IFERROR(__xludf.DUMMYFUNCTION("""COMPUTED_VALUE"""),"ClosePositionFromPM")</f>
        <v>ClosePositionFromPM</v>
      </c>
      <c r="Z4" s="26" t="str">
        <f>IFERROR(__xludf.DUMMYFUNCTION("""COMPUTED_VALUE"""),"OpenDailyValuationFromPM")</f>
        <v>OpenDailyValuationFromPM</v>
      </c>
      <c r="AA4" s="26" t="str">
        <f>IFERROR(__xludf.DUMMYFUNCTION("""COMPUTED_VALUE"""),"OpenCorporateActionFromPM")</f>
        <v>OpenCorporateActionFromPM</v>
      </c>
      <c r="AB4" s="26" t="str">
        <f>IFERROR(__xludf.DUMMYFUNCTION("""COMPUTED_VALUE"""),"OpenClosingFromPM")</f>
        <v>OpenClosingFromPM</v>
      </c>
      <c r="AC4" s="26" t="str">
        <f>IFERROR(__xludf.DUMMYFUNCTION("""COMPUTED_VALUE"""),"SortAndVerifyPM")</f>
        <v>SortAndVerifyPM</v>
      </c>
      <c r="AD4" s="26" t="str">
        <f>IFERROR(__xludf.DUMMYFUNCTION("""COMPUTED_VALUE"""),"OpenPIFromPM")</f>
        <v>OpenPIFromPM</v>
      </c>
      <c r="AE4" s="26"/>
      <c r="AF4" s="26"/>
      <c r="AG4" s="26"/>
      <c r="AH4" s="26"/>
      <c r="AI4" s="26"/>
      <c r="AJ4" s="26"/>
      <c r="AK4" s="26"/>
      <c r="AL4" s="26"/>
      <c r="AM4" s="26"/>
      <c r="AN4" s="26"/>
      <c r="AO4" s="26"/>
      <c r="AP4" s="26"/>
      <c r="AQ4" s="26"/>
      <c r="AR4" s="26"/>
      <c r="AS4" s="26"/>
      <c r="AT4" s="26"/>
      <c r="AU4" s="26"/>
      <c r="AV4" s="26"/>
      <c r="AW4" s="26"/>
      <c r="AX4" s="26"/>
      <c r="AY4" s="26"/>
      <c r="AZ4" s="26"/>
      <c r="BA4" s="26"/>
      <c r="BB4" s="26"/>
      <c r="BC4" s="26"/>
      <c r="BD4" s="26"/>
      <c r="BE4" s="26"/>
      <c r="BF4" s="26"/>
      <c r="BG4" s="26"/>
      <c r="BH4" s="26"/>
      <c r="BI4" s="26"/>
      <c r="BJ4" s="26"/>
      <c r="BK4" s="26"/>
      <c r="BL4" s="26"/>
      <c r="BM4" s="26"/>
      <c r="BN4" s="26"/>
      <c r="BO4" s="26"/>
      <c r="BP4" s="26"/>
      <c r="BQ4" s="26"/>
      <c r="BR4" s="26"/>
      <c r="BS4" s="26"/>
      <c r="BT4" s="26"/>
      <c r="BU4" s="26"/>
      <c r="BV4" s="26"/>
      <c r="BW4" s="26"/>
      <c r="BX4" s="26"/>
      <c r="BY4" s="26"/>
      <c r="BZ4" s="26"/>
      <c r="CA4" s="26"/>
      <c r="CB4" s="26"/>
      <c r="CC4" s="26"/>
      <c r="CD4" s="26"/>
      <c r="CE4" s="26"/>
      <c r="CF4" s="26"/>
      <c r="CG4" s="26"/>
      <c r="CH4" s="26"/>
      <c r="CI4" s="26"/>
      <c r="CJ4" s="26"/>
      <c r="CK4" s="26"/>
      <c r="CL4" s="26"/>
      <c r="CM4" s="26"/>
      <c r="CN4" s="26"/>
      <c r="CO4" s="26"/>
      <c r="CP4" s="26"/>
      <c r="CQ4" s="26"/>
      <c r="CR4" s="26"/>
      <c r="CS4" s="26"/>
      <c r="CT4" s="26"/>
      <c r="CU4" s="26"/>
      <c r="CV4" s="26"/>
      <c r="CW4" s="26"/>
      <c r="CX4" s="26"/>
      <c r="CY4" s="26"/>
      <c r="CZ4" s="26"/>
      <c r="DA4" s="26"/>
      <c r="DB4" s="26"/>
      <c r="DC4" s="26"/>
      <c r="DD4" s="26"/>
      <c r="DE4" s="26"/>
      <c r="DF4" s="26"/>
      <c r="DG4" s="26"/>
      <c r="DH4" s="26"/>
      <c r="DI4" s="26"/>
      <c r="DJ4" s="26"/>
      <c r="DK4" s="26"/>
      <c r="DL4" s="26"/>
      <c r="DM4" s="26"/>
      <c r="DN4" s="26"/>
      <c r="DO4" s="26"/>
      <c r="DP4" s="26"/>
      <c r="DQ4" s="26"/>
      <c r="DR4" s="26"/>
      <c r="DS4" s="26"/>
      <c r="DT4" s="26"/>
      <c r="DU4" s="26"/>
      <c r="DV4" s="26"/>
      <c r="DW4" s="26"/>
      <c r="DX4" s="26"/>
      <c r="DY4" s="26"/>
      <c r="DZ4" s="26"/>
      <c r="EA4" s="26"/>
      <c r="EB4" s="26"/>
      <c r="EC4" s="26"/>
      <c r="ED4" s="26"/>
      <c r="EE4" s="26"/>
      <c r="EF4" s="26"/>
      <c r="EG4" s="26"/>
      <c r="EH4" s="26"/>
      <c r="EI4" s="26"/>
      <c r="EJ4" s="26"/>
      <c r="EK4" s="26"/>
      <c r="EL4" s="26"/>
      <c r="EM4" s="26"/>
      <c r="EN4" s="26"/>
      <c r="EO4" s="26"/>
      <c r="EP4" s="26"/>
      <c r="EQ4" s="26"/>
      <c r="ER4" s="26"/>
      <c r="ES4" s="26"/>
      <c r="ET4" s="26"/>
      <c r="EU4" s="26"/>
      <c r="EV4" s="26"/>
      <c r="EW4" s="26"/>
      <c r="EX4" s="26"/>
      <c r="EY4" s="26"/>
      <c r="EZ4" s="26"/>
      <c r="FA4" s="26"/>
      <c r="FB4" s="26"/>
      <c r="FC4" s="26"/>
      <c r="FD4" s="26"/>
      <c r="FE4" s="26"/>
      <c r="FF4" s="26"/>
      <c r="FG4" s="26"/>
      <c r="FH4" s="26"/>
      <c r="FI4" s="26"/>
      <c r="FJ4" s="26"/>
      <c r="FK4" s="26"/>
      <c r="FL4" s="26"/>
      <c r="FM4" s="26"/>
      <c r="FN4" s="26"/>
      <c r="FO4" s="26"/>
      <c r="FP4" s="26"/>
      <c r="FQ4" s="26"/>
      <c r="FR4" s="26"/>
      <c r="FS4" s="26"/>
      <c r="FT4" s="26"/>
    </row>
    <row r="5" ht="15.75" customHeight="1">
      <c r="A5" s="27" t="str">
        <f>IFERROR(__xludf.DUMMYFUNCTION("TRANSPOSE(IMPORTRANGE(VLOOKUP($E$3,IMPORTRANGE('_Settings'!$B$3,$C$3&amp;""!A4:B1000""),2,FALSE),$G$3&amp;""!A4:A1000""))"),"")</f>
        <v/>
      </c>
      <c r="B5" s="28" t="str">
        <f>IFERROR(__xludf.DUMMYFUNCTION("""COMPUTED_VALUE"""),"Trade Date")</f>
        <v>Trade Date</v>
      </c>
      <c r="C5" s="28" t="str">
        <f>IFERROR(__xludf.DUMMYFUNCTION("""COMPUTED_VALUE"""),"Symbol")</f>
        <v>Symbol</v>
      </c>
      <c r="D5" s="28" t="str">
        <f>IFERROR(__xludf.DUMMYFUNCTION("""COMPUTED_VALUE"""),"Position")</f>
        <v>Position</v>
      </c>
      <c r="E5" s="28" t="str">
        <f>IFERROR(__xludf.DUMMYFUNCTION("""COMPUTED_VALUE"""),"Account")</f>
        <v>Account</v>
      </c>
      <c r="F5" s="29" t="str">
        <f>IFERROR(__xludf.DUMMYFUNCTION("""COMPUTED_VALUE"""),"MasterFund")</f>
        <v>MasterFund</v>
      </c>
      <c r="G5" s="28" t="str">
        <f>IFERROR(__xludf.DUMMYFUNCTION("""COMPUTED_VALUE"""),"Cost Basis")</f>
        <v>Cost Basis</v>
      </c>
      <c r="H5" s="28" t="str">
        <f>IFERROR(__xludf.DUMMYFUNCTION("""COMPUTED_VALUE"""),"Position Side")</f>
        <v>Position Side</v>
      </c>
      <c r="I5" s="28" t="str">
        <f>IFERROR(__xludf.DUMMYFUNCTION("""COMPUTED_VALUE"""),"Market Value (Base)")</f>
        <v>Market Value (Base)</v>
      </c>
      <c r="J5" s="28" t="str">
        <f>IFERROR(__xludf.DUMMYFUNCTION("""COMPUTED_VALUE"""),"% Day P&amp;L (Gross MV)")</f>
        <v>% Day P&amp;L (Gross MV)</v>
      </c>
      <c r="K5" s="28" t="str">
        <f>IFERROR(__xludf.DUMMYFUNCTION("""COMPUTED_VALUE"""),"Net Exposure (Base)")</f>
        <v>Net Exposure (Base)</v>
      </c>
      <c r="L5" s="28" t="str">
        <f>IFERROR(__xludf.DUMMYFUNCTION("""COMPUTED_VALUE"""),"Beta Adj. Gross Exposure (Base)")</f>
        <v>Beta Adj. Gross Exposure (Base)</v>
      </c>
      <c r="M5" s="28" t="str">
        <f>IFERROR(__xludf.DUMMYFUNCTION("""COMPUTED_VALUE"""),"Beta Adj. Gross Exposure (Underlying) (Base)")</f>
        <v>Beta Adj. Gross Exposure (Underlying) (Base)</v>
      </c>
      <c r="N5" s="28" t="str">
        <f>IFERROR(__xludf.DUMMYFUNCTION("""COMPUTED_VALUE"""),"Day P&amp;L (Base)")</f>
        <v>Day P&amp;L (Base)</v>
      </c>
      <c r="O5" s="28" t="str">
        <f>IFERROR(__xludf.DUMMYFUNCTION("""COMPUTED_VALUE"""),"Security Name")</f>
        <v>Security Name</v>
      </c>
      <c r="P5" s="28" t="str">
        <f>IFERROR(__xludf.DUMMYFUNCTION("""COMPUTED_VALUE"""),"Closing Mark")</f>
        <v>Closing Mark</v>
      </c>
      <c r="Q5" s="28" t="str">
        <f>IFERROR(__xludf.DUMMYFUNCTION("""COMPUTED_VALUE"""),"Cost Basis P&amp;L (Base)")</f>
        <v>Cost Basis P&amp;L (Base)</v>
      </c>
      <c r="R5" s="28" t="str">
        <f>IFERROR(__xludf.DUMMYFUNCTION("""COMPUTED_VALUE"""),"Prime Broker")</f>
        <v>Prime Broker</v>
      </c>
      <c r="S5" s="28" t="str">
        <f>IFERROR(__xludf.DUMMYFUNCTION("""COMPUTED_VALUE"""),"Strategy")</f>
        <v>Strategy</v>
      </c>
      <c r="T5" s="30" t="str">
        <f>IFERROR(__xludf.DUMMYFUNCTION("""COMPUTED_VALUE"""),"Asset Class")</f>
        <v>Asset Class</v>
      </c>
      <c r="U5" s="30" t="str">
        <f>IFERROR(__xludf.DUMMYFUNCTION("""COMPUTED_VALUE"""),"Underlying")</f>
        <v>Underlying</v>
      </c>
      <c r="V5" s="30" t="str">
        <f>IFERROR(__xludf.DUMMYFUNCTION("""COMPUTED_VALUE"""),"Exchange")</f>
        <v>Exchange</v>
      </c>
      <c r="W5" s="30" t="str">
        <f>IFERROR(__xludf.DUMMYFUNCTION("""COMPUTED_VALUE"""),"Trade Currency")</f>
        <v>Trade Currency</v>
      </c>
      <c r="X5" s="30" t="str">
        <f>IFERROR(__xludf.DUMMYFUNCTION("""COMPUTED_VALUE"""),"Multiplier")</f>
        <v>Multiplier</v>
      </c>
      <c r="Y5" s="30" t="str">
        <f>IFERROR(__xludf.DUMMYFUNCTION("""COMPUTED_VALUE"""),"FX Rate")</f>
        <v>FX Rate</v>
      </c>
      <c r="Z5" s="30" t="str">
        <f>IFERROR(__xludf.DUMMYFUNCTION("""COMPUTED_VALUE"""),"Vs Currency")</f>
        <v>Vs Currency</v>
      </c>
      <c r="AA5" s="30" t="str">
        <f>IFERROR(__xludf.DUMMYFUNCTION("""COMPUTED_VALUE"""),"Lead Currency")</f>
        <v>Lead Currency</v>
      </c>
      <c r="AB5" s="30" t="str">
        <f>IFERROR(__xludf.DUMMYFUNCTION("""COMPUTED_VALUE"""),"Dividend Yield (%)")</f>
        <v>Dividend Yield (%)</v>
      </c>
      <c r="AC5" s="30" t="str">
        <f>IFERROR(__xludf.DUMMYFUNCTION("""COMPUTED_VALUE"""),"% Change")</f>
        <v>% Change</v>
      </c>
      <c r="AD5" s="30" t="str">
        <f>IFERROR(__xludf.DUMMYFUNCTION("""COMPUTED_VALUE"""),"Net Exposure (Local)")</f>
        <v>Net Exposure (Local)</v>
      </c>
      <c r="AE5" s="30" t="str">
        <f>IFERROR(__xludf.DUMMYFUNCTION("""COMPUTED_VALUE"""),"Exposure (Local)")</f>
        <v>Exposure (Local)</v>
      </c>
      <c r="AF5" s="30" t="str">
        <f>IFERROR(__xludf.DUMMYFUNCTION("""COMPUTED_VALUE"""),"Delta Adj. Position")</f>
        <v>Delta Adj. Position</v>
      </c>
      <c r="AG5" s="30" t="str">
        <f>IFERROR(__xludf.DUMMYFUNCTION("""COMPUTED_VALUE"""),"Exposure (Base)")</f>
        <v>Exposure (Base)</v>
      </c>
      <c r="AH5" s="30" t="str">
        <f>IFERROR(__xludf.DUMMYFUNCTION("""COMPUTED_VALUE"""),"Beta Adj. Exposure (Local)")</f>
        <v>Beta Adj. Exposure (Local)</v>
      </c>
      <c r="AI5" s="30" t="str">
        <f>IFERROR(__xludf.DUMMYFUNCTION("""COMPUTED_VALUE"""),"Beta Adj. Exposure (Base)")</f>
        <v>Beta Adj. Exposure (Base)</v>
      </c>
      <c r="AJ5" s="30" t="str">
        <f>IFERROR(__xludf.DUMMYFUNCTION("""COMPUTED_VALUE"""),"Exposure (BP)(Base)")</f>
        <v>Exposure (BP)(Base)</v>
      </c>
      <c r="AK5" s="30" t="str">
        <f>IFERROR(__xludf.DUMMYFUNCTION("""COMPUTED_VALUE"""),"Day P&amp;L (Local)")</f>
        <v>Day P&amp;L (Local)</v>
      </c>
      <c r="AL5" s="30" t="str">
        <f>IFERROR(__xludf.DUMMYFUNCTION("""COMPUTED_VALUE"""),"Delta")</f>
        <v>Delta</v>
      </c>
      <c r="AM5" s="30" t="str">
        <f>IFERROR(__xludf.DUMMYFUNCTION("""COMPUTED_VALUE"""),"Leveraged Factor")</f>
        <v>Leveraged Factor</v>
      </c>
      <c r="AN5" s="30" t="str">
        <f>IFERROR(__xludf.DUMMYFUNCTION("""COMPUTED_VALUE"""),"Order Side")</f>
        <v>Order Side</v>
      </c>
      <c r="AO5" s="30" t="str">
        <f>IFERROR(__xludf.DUMMYFUNCTION("""COMPUTED_VALUE"""),"Master Strategy")</f>
        <v>Master Strategy</v>
      </c>
      <c r="AP5" s="30" t="str">
        <f>IFERROR(__xludf.DUMMYFUNCTION("""COMPUTED_VALUE"""),"Transaction Side")</f>
        <v>Transaction Side</v>
      </c>
      <c r="AQ5" s="30" t="str">
        <f>IFERROR(__xludf.DUMMYFUNCTION("""COMPUTED_VALUE"""),"Underlying Symbol")</f>
        <v>Underlying Symbol</v>
      </c>
      <c r="AR5" s="30" t="str">
        <f>IFERROR(__xludf.DUMMYFUNCTION("""COMPUTED_VALUE"""),"Underlying Price")</f>
        <v>Underlying Price</v>
      </c>
      <c r="AS5" s="30" t="str">
        <f>IFERROR(__xludf.DUMMYFUNCTION("""COMPUTED_VALUE"""),"Side Multiplier")</f>
        <v>Side Multiplier</v>
      </c>
      <c r="AT5" s="30" t="str">
        <f>IFERROR(__xludf.DUMMYFUNCTION("""COMPUTED_VALUE"""),"Description")</f>
        <v>Description</v>
      </c>
      <c r="AU5" s="30" t="str">
        <f>IFERROR(__xludf.DUMMYFUNCTION("""COMPUTED_VALUE"""),"Internal Comments")</f>
        <v>Internal Comments</v>
      </c>
      <c r="AV5" s="30" t="str">
        <f>IFERROR(__xludf.DUMMYFUNCTION("""COMPUTED_VALUE"""),"FX Rate On Trade Date")</f>
        <v>FX Rate On Trade Date</v>
      </c>
      <c r="AW5" s="30" t="str">
        <f>IFERROR(__xludf.DUMMYFUNCTION("""COMPUTED_VALUE"""),"Cost Basis P&amp;L (Local)")</f>
        <v>Cost Basis P&amp;L (Local)</v>
      </c>
      <c r="AX5" s="30" t="str">
        <f>IFERROR(__xludf.DUMMYFUNCTION("""COMPUTED_VALUE"""),"Day Interest")</f>
        <v>Day Interest</v>
      </c>
      <c r="AY5" s="30" t="str">
        <f>IFERROR(__xludf.DUMMYFUNCTION("""COMPUTED_VALUE"""),"Total Interest")</f>
        <v>Total Interest</v>
      </c>
      <c r="AZ5" s="30" t="str">
        <f>IFERROR(__xludf.DUMMYFUNCTION("""COMPUTED_VALUE"""),"Market Value (Local)")</f>
        <v>Market Value (Local)</v>
      </c>
      <c r="BA5" s="30" t="str">
        <f>IFERROR(__xludf.DUMMYFUNCTION("""COMPUTED_VALUE"""),"% Gain/Loss Day")</f>
        <v>% Gain/Loss Day</v>
      </c>
      <c r="BB5" s="30" t="str">
        <f>IFERROR(__xludf.DUMMYFUNCTION("""COMPUTED_VALUE"""),"Update Time (Last Price)")</f>
        <v>Update Time (Last Price)</v>
      </c>
      <c r="BC5" s="30" t="str">
        <f>IFERROR(__xludf.DUMMYFUNCTION("""COMPUTED_VALUE"""),"Beta")</f>
        <v>Beta</v>
      </c>
      <c r="BD5" s="30" t="str">
        <f>IFERROR(__xludf.DUMMYFUNCTION("""COMPUTED_VALUE"""),"Cash Impact (Local)")</f>
        <v>Cash Impact (Local)</v>
      </c>
      <c r="BE5" s="30" t="str">
        <f>IFERROR(__xludf.DUMMYFUNCTION("""COMPUTED_VALUE"""),"User Asset")</f>
        <v>User Asset</v>
      </c>
      <c r="BF5" s="30" t="str">
        <f>IFERROR(__xludf.DUMMYFUNCTION("""COMPUTED_VALUE"""),"Security Type")</f>
        <v>Security Type</v>
      </c>
      <c r="BG5" s="30" t="str">
        <f>IFERROR(__xludf.DUMMYFUNCTION("""COMPUTED_VALUE"""),"Sector")</f>
        <v>Sector</v>
      </c>
      <c r="BH5" s="30" t="str">
        <f>IFERROR(__xludf.DUMMYFUNCTION("""COMPUTED_VALUE"""),"Sub Sector")</f>
        <v>Sub Sector</v>
      </c>
      <c r="BI5" s="30" t="str">
        <f>IFERROR(__xludf.DUMMYFUNCTION("""COMPUTED_VALUE"""),"Country")</f>
        <v>Country</v>
      </c>
      <c r="BJ5" s="30" t="str">
        <f>IFERROR(__xludf.DUMMYFUNCTION("""COMPUTED_VALUE"""),"Market Cap")</f>
        <v>Market Cap</v>
      </c>
      <c r="BK5" s="30" t="str">
        <f>IFERROR(__xludf.DUMMYFUNCTION("""COMPUTED_VALUE"""),"Shares Outstanding (MM)")</f>
        <v>Shares Outstanding (MM)</v>
      </c>
      <c r="BL5" s="30" t="str">
        <f>IFERROR(__xludf.DUMMYFUNCTION("""COMPUTED_VALUE"""),"Avg Volume 20 Day")</f>
        <v>Avg Volume 20 Day</v>
      </c>
      <c r="BM5" s="30" t="str">
        <f>IFERROR(__xludf.DUMMYFUNCTION("""COMPUTED_VALUE"""),"% Avg Volume (Delta Adj.)")</f>
        <v>% Avg Volume (Delta Adj.)</v>
      </c>
      <c r="BN5" s="30" t="str">
        <f>IFERROR(__xludf.DUMMYFUNCTION("""COMPUTED_VALUE"""),"Ex Dividend Date")</f>
        <v>Ex Dividend Date</v>
      </c>
      <c r="BO5" s="30" t="str">
        <f>IFERROR(__xludf.DUMMYFUNCTION("""COMPUTED_VALUE"""),"Cash Impact (Base)")</f>
        <v>Cash Impact (Base)</v>
      </c>
      <c r="BP5" s="30" t="str">
        <f>IFERROR(__xludf.DUMMYFUNCTION("""COMPUTED_VALUE"""),"Volatility (%)")</f>
        <v>Volatility (%)</v>
      </c>
      <c r="BQ5" s="30" t="str">
        <f>IFERROR(__xludf.DUMMYFUNCTION("""COMPUTED_VALUE"""),"User")</f>
        <v>User</v>
      </c>
      <c r="BR5" s="30" t="str">
        <f>IFERROR(__xludf.DUMMYFUNCTION("""COMPUTED_VALUE"""),"Broker")</f>
        <v>Broker</v>
      </c>
      <c r="BS5" s="30" t="str">
        <f>IFERROR(__xludf.DUMMYFUNCTION("""COMPUTED_VALUE"""),"Earned Dividend (Local)")</f>
        <v>Earned Dividend (Local)</v>
      </c>
      <c r="BT5" s="30" t="str">
        <f>IFERROR(__xludf.DUMMYFUNCTION("""COMPUTED_VALUE"""),"Earned Dividend (Base)")</f>
        <v>Earned Dividend (Base)</v>
      </c>
      <c r="BU5" s="30" t="str">
        <f>IFERROR(__xludf.DUMMYFUNCTION("""COMPUTED_VALUE"""),"Put/Call")</f>
        <v>Put/Call</v>
      </c>
      <c r="BV5" s="30" t="str">
        <f>IFERROR(__xludf.DUMMYFUNCTION("""COMPUTED_VALUE"""),"Expiration Date")</f>
        <v>Expiration Date</v>
      </c>
      <c r="BW5" s="30" t="str">
        <f>IFERROR(__xludf.DUMMYFUNCTION("""COMPUTED_VALUE"""),"Strike Price")</f>
        <v>Strike Price</v>
      </c>
      <c r="BX5" s="30" t="str">
        <f>IFERROR(__xludf.DUMMYFUNCTION("""COMPUTED_VALUE"""),"Gross Exposure (Base)")</f>
        <v>Gross Exposure (Base)</v>
      </c>
      <c r="BY5" s="30" t="str">
        <f>IFERROR(__xludf.DUMMYFUNCTION("""COMPUTED_VALUE"""),"Gross Market Value (Base)")</f>
        <v>Gross Market Value (Base)</v>
      </c>
      <c r="BZ5" s="30" t="str">
        <f>IFERROR(__xludf.DUMMYFUNCTION("""COMPUTED_VALUE"""),"Px Selected Feed (Local)")</f>
        <v>Px Selected Feed (Local)</v>
      </c>
      <c r="CA5" s="30" t="str">
        <f>IFERROR(__xludf.DUMMYFUNCTION("""COMPUTED_VALUE"""),"Px Selected Feed (Base)")</f>
        <v>Px Selected Feed (Base)</v>
      </c>
      <c r="CB5" s="30" t="str">
        <f>IFERROR(__xludf.DUMMYFUNCTION("""COMPUTED_VALUE"""),"Settlement Date")</f>
        <v>Settlement Date</v>
      </c>
      <c r="CC5" s="30" t="str">
        <f>IFERROR(__xludf.DUMMYFUNCTION("""COMPUTED_VALUE"""),"% Avg Volume")</f>
        <v>% Avg Volume</v>
      </c>
      <c r="CD5" s="30" t="str">
        <f>IFERROR(__xludf.DUMMYFUNCTION("""COMPUTED_VALUE"""),"Day P&amp;L (Base)(Price Gain)")</f>
        <v>Day P&amp;L (Base)(Price Gain)</v>
      </c>
      <c r="CE5" s="30" t="str">
        <f>IFERROR(__xludf.DUMMYFUNCTION("""COMPUTED_VALUE"""),"Day P&amp;L (Base)(FX Gain)")</f>
        <v>Day P&amp;L (Base)(FX Gain)</v>
      </c>
      <c r="CF5" s="30" t="str">
        <f>IFERROR(__xludf.DUMMYFUNCTION("""COMPUTED_VALUE"""),"Cost Basis P&amp;L (Base)(FX Gain)")</f>
        <v>Cost Basis P&amp;L (Base)(FX Gain)</v>
      </c>
      <c r="CG5" s="30" t="str">
        <f>IFERROR(__xludf.DUMMYFUNCTION("""COMPUTED_VALUE"""),"Cost Basis P&amp;L (Base)(Price Gain)")</f>
        <v>Cost Basis P&amp;L (Base)(Price Gain)</v>
      </c>
      <c r="CH5" s="30" t="str">
        <f>IFERROR(__xludf.DUMMYFUNCTION("""COMPUTED_VALUE"""),"% Gain/Loss Cost")</f>
        <v>% Gain/Loss Cost</v>
      </c>
      <c r="CI5" s="30" t="str">
        <f>IFERROR(__xludf.DUMMYFUNCTION("""COMPUTED_VALUE"""),"Underlying Value (Options)")</f>
        <v>Underlying Value (Options)</v>
      </c>
      <c r="CJ5" s="30" t="str">
        <f>IFERROR(__xludf.DUMMYFUNCTION("""COMPUTED_VALUE"""),"Avg Volume 20 Day (Underlying Symbol)")</f>
        <v>Avg Volume 20 Day (Underlying Symbol)</v>
      </c>
      <c r="CK5" s="30" t="str">
        <f>IFERROR(__xludf.DUMMYFUNCTION("""COMPUTED_VALUE"""),"IsStaleData")</f>
        <v>IsStaleData</v>
      </c>
      <c r="CL5" s="30" t="str">
        <f>IFERROR(__xludf.DUMMYFUNCTION("""COMPUTED_VALUE"""),"IDCO")</f>
        <v>IDCO</v>
      </c>
      <c r="CM5" s="30" t="str">
        <f>IFERROR(__xludf.DUMMYFUNCTION("""COMPUTED_VALUE"""),"OSI")</f>
        <v>OSI</v>
      </c>
      <c r="CN5" s="30" t="str">
        <f>IFERROR(__xludf.DUMMYFUNCTION("""COMPUTED_VALUE"""),"SEDOL")</f>
        <v>SEDOL</v>
      </c>
      <c r="CO5" s="30" t="str">
        <f>IFERROR(__xludf.DUMMYFUNCTION("""COMPUTED_VALUE"""),"CUSIP")</f>
        <v>CUSIP</v>
      </c>
      <c r="CP5" s="30" t="str">
        <f>IFERROR(__xludf.DUMMYFUNCTION("""COMPUTED_VALUE"""),"Bloomberg")</f>
        <v>Bloomberg</v>
      </c>
      <c r="CQ5" s="30" t="str">
        <f>IFERROR(__xludf.DUMMYFUNCTION("""COMPUTED_VALUE"""),"ISIN")</f>
        <v>ISIN</v>
      </c>
      <c r="CR5" s="30" t="str">
        <f>IFERROR(__xludf.DUMMYFUNCTION("""COMPUTED_VALUE"""),"Start Trade Date")</f>
        <v>Start Trade Date</v>
      </c>
      <c r="CS5" s="30" t="str">
        <f>IFERROR(__xludf.DUMMYFUNCTION("""COMPUTED_VALUE"""),"Cost Basis (Break Even)")</f>
        <v>Cost Basis (Break Even)</v>
      </c>
      <c r="CT5" s="30" t="str">
        <f>IFERROR(__xludf.DUMMYFUNCTION("""COMPUTED_VALUE"""),"Trade Attribute 3")</f>
        <v>Trade Attribute 3</v>
      </c>
      <c r="CU5" s="30" t="str">
        <f>IFERROR(__xludf.DUMMYFUNCTION("""COMPUTED_VALUE"""),"Trade Attribute 4")</f>
        <v>Trade Attribute 4</v>
      </c>
      <c r="CV5" s="30" t="str">
        <f>IFERROR(__xludf.DUMMYFUNCTION("""COMPUTED_VALUE"""),"Trade Attribute 5")</f>
        <v>Trade Attribute 5</v>
      </c>
      <c r="CW5" s="30" t="str">
        <f>IFERROR(__xludf.DUMMYFUNCTION("""COMPUTED_VALUE"""),"Trade Attribute 6")</f>
        <v>Trade Attribute 6</v>
      </c>
      <c r="CX5" s="30" t="str">
        <f>IFERROR(__xludf.DUMMYFUNCTION("""COMPUTED_VALUE"""),"Proxy Symbol")</f>
        <v>Proxy Symbol</v>
      </c>
      <c r="CY5" s="30" t="str">
        <f>IFERROR(__xludf.DUMMYFUNCTION("""COMPUTED_VALUE"""),"Pricing Source")</f>
        <v>Pricing Source</v>
      </c>
      <c r="CZ5" s="30" t="str">
        <f>IFERROR(__xludf.DUMMYFUNCTION("""COMPUTED_VALUE"""),"Delta Source")</f>
        <v>Delta Source</v>
      </c>
      <c r="DA5" s="30" t="str">
        <f>IFERROR(__xludf.DUMMYFUNCTION("""COMPUTED_VALUE"""),"Gross Exposure (Local)")</f>
        <v>Gross Exposure (Local)</v>
      </c>
      <c r="DB5" s="30" t="str">
        <f>IFERROR(__xludf.DUMMYFUNCTION("""COMPUTED_VALUE"""),"% Day P&amp;L (Net MV)")</f>
        <v>% Day P&amp;L (Net MV)</v>
      </c>
      <c r="DC5" s="30" t="str">
        <f>IFERROR(__xludf.DUMMYFUNCTION("""COMPUTED_VALUE"""),"Expiration Month")</f>
        <v>Expiration Month</v>
      </c>
      <c r="DD5" s="30" t="str">
        <f>IFERROR(__xludf.DUMMYFUNCTION("""COMPUTED_VALUE"""),"Delta Adj. Position (LME)")</f>
        <v>Delta Adj. Position (LME)</v>
      </c>
      <c r="DE5" s="30" t="str">
        <f>IFERROR(__xludf.DUMMYFUNCTION("""COMPUTED_VALUE"""),"Premium")</f>
        <v>Premium</v>
      </c>
      <c r="DF5" s="30" t="str">
        <f>IFERROR(__xludf.DUMMYFUNCTION("""COMPUTED_VALUE"""),"Premium $")</f>
        <v>Premium $</v>
      </c>
      <c r="DG5" s="30" t="str">
        <f>IFERROR(__xludf.DUMMYFUNCTION("""COMPUTED_VALUE"""),"Forward Points")</f>
        <v>Forward Points</v>
      </c>
      <c r="DH5" s="30" t="str">
        <f>IFERROR(__xludf.DUMMYFUNCTION("""COMPUTED_VALUE"""),"Closing Mark (Underlying)")</f>
        <v>Closing Mark (Underlying)</v>
      </c>
      <c r="DI5" s="30" t="str">
        <f>IFERROR(__xludf.DUMMYFUNCTION("""COMPUTED_VALUE"""),"% Change (Underlying Price)")</f>
        <v>% Change (Underlying Price)</v>
      </c>
      <c r="DJ5" s="30" t="str">
        <f>IFERROR(__xludf.DUMMYFUNCTION("""COMPUTED_VALUE"""),"Transaction Type")</f>
        <v>Transaction Type</v>
      </c>
      <c r="DK5" s="30" t="str">
        <f>IFERROR(__xludf.DUMMYFUNCTION("""COMPUTED_VALUE"""),"Closing Market Value (Local)")</f>
        <v>Closing Market Value (Local)</v>
      </c>
      <c r="DL5" s="30" t="str">
        <f>IFERROR(__xludf.DUMMYFUNCTION("""COMPUTED_VALUE"""),"Closing Market Value (Base)")</f>
        <v>Closing Market Value (Base)</v>
      </c>
      <c r="DM5" s="30" t="str">
        <f>IFERROR(__xludf.DUMMYFUNCTION("""COMPUTED_VALUE"""),"Closing FX Rate")</f>
        <v>Closing FX Rate</v>
      </c>
      <c r="DN5" s="30" t="str">
        <f>IFERROR(__xludf.DUMMYFUNCTION("""COMPUTED_VALUE"""),"Change In Underlying Price")</f>
        <v>Change In Underlying Price</v>
      </c>
      <c r="DO5" s="30" t="str">
        <f>IFERROR(__xludf.DUMMYFUNCTION("""COMPUTED_VALUE"""),"RIC")</f>
        <v>RIC</v>
      </c>
      <c r="DP5" s="30" t="str">
        <f>IFERROR(__xludf.DUMMYFUNCTION("""COMPUTED_VALUE"""),"Position Side Exposure (Boxed)")</f>
        <v>Position Side Exposure (Boxed)</v>
      </c>
      <c r="DQ5" s="30" t="str">
        <f>IFERROR(__xludf.DUMMYFUNCTION("""COMPUTED_VALUE"""),"Analyst")</f>
        <v>Analyst</v>
      </c>
      <c r="DR5" s="30" t="str">
        <f>IFERROR(__xludf.DUMMYFUNCTION("""COMPUTED_VALUE"""),"Country Of Risk")</f>
        <v>Country Of Risk</v>
      </c>
      <c r="DS5" s="30" t="str">
        <f>IFERROR(__xludf.DUMMYFUNCTION("""COMPUTED_VALUE"""),"Custom UDA1")</f>
        <v>Custom UDA1</v>
      </c>
      <c r="DT5" s="30" t="str">
        <f>IFERROR(__xludf.DUMMYFUNCTION("""COMPUTED_VALUE"""),"Custom UDA2")</f>
        <v>Custom UDA2</v>
      </c>
      <c r="DU5" s="30" t="str">
        <f>IFERROR(__xludf.DUMMYFUNCTION("""COMPUTED_VALUE"""),"Custom UDA3")</f>
        <v>Custom UDA3</v>
      </c>
      <c r="DV5" s="30" t="str">
        <f>IFERROR(__xludf.DUMMYFUNCTION("""COMPUTED_VALUE"""),"Custom UDA4")</f>
        <v>Custom UDA4</v>
      </c>
      <c r="DW5" s="30" t="str">
        <f>IFERROR(__xludf.DUMMYFUNCTION("""COMPUTED_VALUE"""),"Custom UDA5")</f>
        <v>Custom UDA5</v>
      </c>
      <c r="DX5" s="30" t="str">
        <f>IFERROR(__xludf.DUMMYFUNCTION("""COMPUTED_VALUE"""),"Custom UDA6")</f>
        <v>Custom UDA6</v>
      </c>
      <c r="DY5" s="30" t="str">
        <f>IFERROR(__xludf.DUMMYFUNCTION("""COMPUTED_VALUE"""),"Custom UDA7")</f>
        <v>Custom UDA7</v>
      </c>
      <c r="DZ5" s="30" t="str">
        <f>IFERROR(__xludf.DUMMYFUNCTION("""COMPUTED_VALUE"""),"Issuer")</f>
        <v>Issuer</v>
      </c>
      <c r="EA5" s="30" t="str">
        <f>IFERROR(__xludf.DUMMYFUNCTION("""COMPUTED_VALUE"""),"Liquid Tag")</f>
        <v>Liquid Tag</v>
      </c>
      <c r="EB5" s="30" t="str">
        <f>IFERROR(__xludf.DUMMYFUNCTION("""COMPUTED_VALUE"""),"Market Cap UDA")</f>
        <v>Market Cap UDA</v>
      </c>
      <c r="EC5" s="30" t="str">
        <f>IFERROR(__xludf.DUMMYFUNCTION("""COMPUTED_VALUE"""),"Region")</f>
        <v>Region</v>
      </c>
      <c r="ED5" s="30" t="str">
        <f>IFERROR(__xludf.DUMMYFUNCTION("""COMPUTED_VALUE"""),"Risk Currency")</f>
        <v>Risk Currency</v>
      </c>
      <c r="EE5" s="30" t="str">
        <f>IFERROR(__xludf.DUMMYFUNCTION("""COMPUTED_VALUE"""),"UCITS Eligible Tag")</f>
        <v>UCITS Eligible Tag</v>
      </c>
      <c r="EF5" s="30" t="str">
        <f>IFERROR(__xludf.DUMMYFUNCTION("""COMPUTED_VALUE"""),"FX Rate (Display)")</f>
        <v>FX Rate (Display)</v>
      </c>
      <c r="EG5" s="30" t="str">
        <f>IFERROR(__xludf.DUMMYFUNCTION("""COMPUTED_VALUE"""),"% Net Exposure (Base)")</f>
        <v>% Net Exposure (Base)</v>
      </c>
      <c r="EH5" s="30" t="str">
        <f>IFERROR(__xludf.DUMMYFUNCTION("""COMPUTED_VALUE"""),"% Gross Exposure (Base)")</f>
        <v>% Gross Exposure (Base)</v>
      </c>
      <c r="EI5" s="30" t="str">
        <f>IFERROR(__xludf.DUMMYFUNCTION("""COMPUTED_VALUE"""),"% Exposure (Base)")</f>
        <v>% Exposure (Base)</v>
      </c>
      <c r="EJ5" s="30" t="str">
        <f>IFERROR(__xludf.DUMMYFUNCTION("""COMPUTED_VALUE"""),"% Gross Exposure (Underlying) (Base)")</f>
        <v>% Gross Exposure (Underlying) (Base)</v>
      </c>
      <c r="EK5" s="30" t="str">
        <f>IFERROR(__xludf.DUMMYFUNCTION("""COMPUTED_VALUE"""),"% Beta Adj. Gross Exposure (Base)")</f>
        <v>% Beta Adj. Gross Exposure (Base)</v>
      </c>
      <c r="EL5" s="30" t="str">
        <f>IFERROR(__xludf.DUMMYFUNCTION("""COMPUTED_VALUE"""),"Position Side Exposure (Underlying)")</f>
        <v>Position Side Exposure (Underlying)</v>
      </c>
      <c r="EM5" s="30" t="str">
        <f>IFERROR(__xludf.DUMMYFUNCTION("""COMPUTED_VALUE"""),"Gross Exposure (Underlying) (Base)")</f>
        <v>Gross Exposure (Underlying) (Base)</v>
      </c>
      <c r="EN5" s="30" t="str">
        <f>IFERROR(__xludf.DUMMYFUNCTION("""COMPUTED_VALUE"""),"Gross Exposure (Underlying)")</f>
        <v>Gross Exposure (Underlying)</v>
      </c>
      <c r="EO5" s="30" t="str">
        <f>IFERROR(__xludf.DUMMYFUNCTION("""COMPUTED_VALUE"""),"Day Return")</f>
        <v>Day Return</v>
      </c>
      <c r="EP5" s="30" t="str">
        <f>IFERROR(__xludf.DUMMYFUNCTION("""COMPUTED_VALUE"""),"Start of Day NAV")</f>
        <v>Start of Day NAV</v>
      </c>
      <c r="EQ5" s="30" t="str">
        <f>IFERROR(__xludf.DUMMYFUNCTION("""COMPUTED_VALUE"""),"% Gross Market Value (Base)")</f>
        <v>% Gross Market Value (Base)</v>
      </c>
      <c r="ER5" s="30" t="str">
        <f>IFERROR(__xludf.DUMMYFUNCTION("""COMPUTED_VALUE"""),"Beta Adj. Gross Exposure (Underlying) (Local)")</f>
        <v>Beta Adj. Gross Exposure (Underlying) (Local)</v>
      </c>
      <c r="ES5" s="30" t="str">
        <f>IFERROR(__xludf.DUMMYFUNCTION("""COMPUTED_VALUE"""),"NAV")</f>
        <v>NAV</v>
      </c>
      <c r="ET5" s="30" t="str">
        <f>IFERROR(__xludf.DUMMYFUNCTION("""COMPUTED_VALUE"""),"% P&amp;L Contribution")</f>
        <v>% P&amp;L Contribution</v>
      </c>
      <c r="EU5" s="30" t="str">
        <f>IFERROR(__xludf.DUMMYFUNCTION("""COMPUTED_VALUE"""),"% Net Market Value (Base)")</f>
        <v>% Net Market Value (Base)</v>
      </c>
      <c r="EV5" s="30" t="str">
        <f>IFERROR(__xludf.DUMMYFUNCTION("""COMPUTED_VALUE"""),"Position Side Exposure")</f>
        <v>Position Side Exposure</v>
      </c>
      <c r="EW5" s="30" t="str">
        <f>IFERROR(__xludf.DUMMYFUNCTION("""COMPUTED_VALUE"""),"NAV (Touch)")</f>
        <v>NAV (Touch)</v>
      </c>
      <c r="EX5" s="30" t="str">
        <f>IFERROR(__xludf.DUMMYFUNCTION("""COMPUTED_VALUE"""),"IgnorePropertyChangeEvents")</f>
        <v>IgnorePropertyChangeEvents</v>
      </c>
      <c r="EY5" s="30" t="str">
        <f>IFERROR(__xludf.DUMMYFUNCTION("""COMPUTED_VALUE"""),"Trade Attribute 1")</f>
        <v>Trade Attribute 1</v>
      </c>
      <c r="EZ5" s="30" t="str">
        <f>IFERROR(__xludf.DUMMYFUNCTION("""COMPUTED_VALUE"""),"Trade Attribute 2")</f>
        <v>Trade Attribute 2</v>
      </c>
      <c r="FA5" s="30" t="str">
        <f>IFERROR(__xludf.DUMMYFUNCTION("""COMPUTED_VALUE"""),"Client")</f>
        <v>Client</v>
      </c>
      <c r="FB5" s="30" t="str">
        <f>IFERROR(__xludf.DUMMYFUNCTION("""COMPUTED_VALUE"""),"IsCustomViewTab")</f>
        <v>IsCustomViewTab</v>
      </c>
      <c r="FC5" s="30" t="str">
        <f>IFERROR(__xludf.DUMMYFUNCTION("""COMPUTED_VALUE"""),"ITM/OTM")</f>
        <v>ITM/OTM</v>
      </c>
      <c r="FD5" s="30" t="str">
        <f>IFERROR(__xludf.DUMMYFUNCTION("""COMPUTED_VALUE"""),"Days to Expiry")</f>
        <v>Days to Expiry</v>
      </c>
      <c r="FE5" s="30" t="str">
        <f>IFERROR(__xludf.DUMMYFUNCTION("""COMPUTED_VALUE"""),"% of Underlying Price")</f>
        <v>% of Underlying Price</v>
      </c>
      <c r="FF5" s="30" t="str">
        <f>IFERROR(__xludf.DUMMYFUNCTION("""COMPUTED_VALUE"""),"Intrinsic value")</f>
        <v>Intrinsic value</v>
      </c>
      <c r="FG5" s="30" t="str">
        <f>IFERROR(__xludf.DUMMYFUNCTION("""COMPUTED_VALUE"""),"Gain/Loss if Ex./Assign")</f>
        <v>Gain/Loss if Ex./Assign</v>
      </c>
      <c r="FH5" s="30" t="str">
        <f>IFERROR(__xludf.DUMMYFUNCTION("""COMPUTED_VALUE"""),"Day Traded Position")</f>
        <v>Day Traded Position</v>
      </c>
      <c r="FI5" s="30" t="str">
        <f>IFERROR(__xludf.DUMMYFUNCTION("""COMPUTED_VALUE"""),"isRowCountCheck")</f>
        <v>isRowCountCheck</v>
      </c>
      <c r="FJ5" s="30" t="str">
        <f>IFERROR(__xludf.DUMMYFUNCTION("""COMPUTED_VALUE"""),"ACTIV Symbol")</f>
        <v>ACTIV Symbol</v>
      </c>
      <c r="FK5" s="30"/>
      <c r="FL5" s="30"/>
      <c r="FM5" s="30"/>
      <c r="FN5" s="30"/>
      <c r="FO5" s="30"/>
      <c r="FP5" s="30"/>
      <c r="FQ5" s="30"/>
      <c r="FR5" s="30"/>
      <c r="FS5" s="30"/>
      <c r="FT5" s="30"/>
    </row>
    <row r="6" ht="15.75" customHeight="1">
      <c r="A6" s="13"/>
      <c r="B6" s="13"/>
      <c r="C6" s="47" t="s">
        <v>23</v>
      </c>
      <c r="D6" s="48"/>
      <c r="E6" s="47" t="s">
        <v>25</v>
      </c>
      <c r="F6" s="8"/>
      <c r="G6" s="48">
        <v>10.0</v>
      </c>
      <c r="H6" s="47" t="s">
        <v>57</v>
      </c>
      <c r="I6" s="8"/>
      <c r="J6" s="8"/>
      <c r="K6" s="8"/>
      <c r="L6" s="8"/>
      <c r="M6" s="8"/>
      <c r="N6" s="8"/>
      <c r="O6" s="47" t="s">
        <v>58</v>
      </c>
      <c r="S6" s="47" t="s">
        <v>43</v>
      </c>
      <c r="T6" s="47" t="s">
        <v>59</v>
      </c>
      <c r="U6" s="47" t="s">
        <v>44</v>
      </c>
      <c r="V6" s="47" t="s">
        <v>42</v>
      </c>
      <c r="W6" s="47" t="s">
        <v>41</v>
      </c>
      <c r="Y6" s="48">
        <v>1.0</v>
      </c>
      <c r="AN6" s="47" t="s">
        <v>24</v>
      </c>
      <c r="AP6" s="47" t="s">
        <v>60</v>
      </c>
      <c r="AQ6" s="47" t="s">
        <v>23</v>
      </c>
    </row>
    <row r="7" ht="15.75" customHeight="1">
      <c r="A7" s="8"/>
      <c r="B7" s="8"/>
      <c r="C7" s="47" t="s">
        <v>16</v>
      </c>
      <c r="D7" s="48"/>
      <c r="E7" s="47" t="s">
        <v>25</v>
      </c>
      <c r="F7" s="8"/>
      <c r="G7" s="48">
        <v>10.0</v>
      </c>
      <c r="H7" s="47" t="s">
        <v>57</v>
      </c>
      <c r="I7" s="8"/>
      <c r="J7" s="8"/>
      <c r="K7" s="8"/>
      <c r="L7" s="8"/>
      <c r="M7" s="8"/>
      <c r="N7" s="8"/>
      <c r="O7" s="47" t="s">
        <v>61</v>
      </c>
      <c r="S7" s="47" t="s">
        <v>43</v>
      </c>
      <c r="T7" s="47" t="s">
        <v>35</v>
      </c>
      <c r="U7" s="47" t="s">
        <v>44</v>
      </c>
      <c r="V7" s="47" t="s">
        <v>45</v>
      </c>
      <c r="W7" s="47" t="s">
        <v>41</v>
      </c>
      <c r="Y7" s="48">
        <v>1.0</v>
      </c>
      <c r="AN7" s="47" t="s">
        <v>26</v>
      </c>
      <c r="AP7" s="47" t="s">
        <v>60</v>
      </c>
      <c r="AQ7" s="47" t="s">
        <v>23</v>
      </c>
    </row>
    <row r="8" ht="15.75" customHeight="1">
      <c r="A8" s="8"/>
      <c r="B8" s="8"/>
      <c r="C8" s="47" t="s">
        <v>17</v>
      </c>
      <c r="D8" s="48"/>
      <c r="E8" s="47" t="s">
        <v>25</v>
      </c>
      <c r="F8" s="8"/>
      <c r="G8" s="48">
        <v>10.0</v>
      </c>
      <c r="H8" s="47" t="s">
        <v>60</v>
      </c>
      <c r="I8" s="8"/>
      <c r="J8" s="8"/>
      <c r="K8" s="8"/>
      <c r="L8" s="8"/>
      <c r="M8" s="8"/>
      <c r="N8" s="8"/>
      <c r="O8" s="47" t="s">
        <v>61</v>
      </c>
      <c r="S8" s="47" t="s">
        <v>43</v>
      </c>
      <c r="T8" s="47" t="s">
        <v>35</v>
      </c>
      <c r="U8" s="47" t="s">
        <v>44</v>
      </c>
      <c r="V8" s="47" t="s">
        <v>45</v>
      </c>
      <c r="W8" s="47" t="s">
        <v>41</v>
      </c>
      <c r="Y8" s="48">
        <v>1.0</v>
      </c>
      <c r="AN8" s="47" t="s">
        <v>27</v>
      </c>
      <c r="AP8" s="47" t="s">
        <v>60</v>
      </c>
      <c r="AQ8" s="47" t="s">
        <v>23</v>
      </c>
    </row>
    <row r="9" ht="15.75" customHeight="1">
      <c r="A9" s="8"/>
      <c r="B9" s="8"/>
      <c r="C9" s="47" t="s">
        <v>16</v>
      </c>
      <c r="D9" s="48"/>
      <c r="E9" s="47" t="s">
        <v>25</v>
      </c>
      <c r="F9" s="8"/>
      <c r="G9" s="48">
        <v>0.0</v>
      </c>
      <c r="H9" s="47" t="s">
        <v>57</v>
      </c>
      <c r="I9" s="8"/>
      <c r="J9" s="8"/>
      <c r="K9" s="8"/>
      <c r="L9" s="8"/>
      <c r="M9" s="8"/>
      <c r="N9" s="8"/>
      <c r="O9" s="47" t="s">
        <v>61</v>
      </c>
      <c r="S9" s="47" t="s">
        <v>43</v>
      </c>
      <c r="T9" s="47" t="s">
        <v>35</v>
      </c>
      <c r="U9" s="47" t="s">
        <v>44</v>
      </c>
      <c r="V9" s="47" t="s">
        <v>45</v>
      </c>
      <c r="W9" s="47" t="s">
        <v>41</v>
      </c>
      <c r="Y9" s="48">
        <v>1.0</v>
      </c>
      <c r="AN9" s="47" t="s">
        <v>46</v>
      </c>
      <c r="AP9" s="47" t="s">
        <v>60</v>
      </c>
      <c r="AQ9" s="47" t="s">
        <v>23</v>
      </c>
    </row>
    <row r="10" ht="15.75" customHeight="1">
      <c r="A10" s="8"/>
      <c r="B10" s="8"/>
      <c r="C10" s="47" t="s">
        <v>17</v>
      </c>
      <c r="D10" s="48"/>
      <c r="E10" s="47" t="s">
        <v>25</v>
      </c>
      <c r="F10" s="8"/>
      <c r="G10" s="48">
        <v>0.0</v>
      </c>
      <c r="H10" s="47" t="s">
        <v>60</v>
      </c>
      <c r="I10" s="8"/>
      <c r="J10" s="8"/>
      <c r="K10" s="8"/>
      <c r="L10" s="8"/>
      <c r="M10" s="8"/>
      <c r="N10" s="8"/>
      <c r="O10" s="47" t="s">
        <v>61</v>
      </c>
      <c r="S10" s="47" t="s">
        <v>43</v>
      </c>
      <c r="T10" s="47" t="s">
        <v>35</v>
      </c>
      <c r="U10" s="47" t="s">
        <v>44</v>
      </c>
      <c r="V10" s="47" t="s">
        <v>45</v>
      </c>
      <c r="W10" s="47" t="s">
        <v>41</v>
      </c>
      <c r="Y10" s="48">
        <v>1.0</v>
      </c>
      <c r="AN10" s="47" t="s">
        <v>47</v>
      </c>
      <c r="AP10" s="47" t="s">
        <v>60</v>
      </c>
      <c r="AQ10" s="47" t="s">
        <v>23</v>
      </c>
    </row>
    <row r="11" ht="15.75" customHeight="1">
      <c r="A11" s="8"/>
      <c r="B11" s="8"/>
      <c r="C11" s="47" t="s">
        <v>23</v>
      </c>
      <c r="D11" s="51"/>
      <c r="E11" s="47" t="s">
        <v>25</v>
      </c>
      <c r="F11" s="8"/>
      <c r="G11" s="48">
        <v>110.0</v>
      </c>
      <c r="H11" s="47" t="s">
        <v>57</v>
      </c>
      <c r="I11" s="8"/>
      <c r="J11" s="8"/>
      <c r="K11" s="8"/>
      <c r="L11" s="8"/>
      <c r="M11" s="8"/>
      <c r="N11" s="8"/>
      <c r="O11" s="47" t="s">
        <v>58</v>
      </c>
      <c r="S11" s="47" t="s">
        <v>43</v>
      </c>
      <c r="T11" s="47" t="s">
        <v>59</v>
      </c>
      <c r="U11" s="47" t="s">
        <v>44</v>
      </c>
      <c r="V11" s="47" t="s">
        <v>42</v>
      </c>
      <c r="W11" s="47" t="s">
        <v>41</v>
      </c>
      <c r="Y11" s="48">
        <v>1.0</v>
      </c>
      <c r="AN11" s="47" t="s">
        <v>50</v>
      </c>
      <c r="AP11" s="47" t="s">
        <v>57</v>
      </c>
      <c r="AQ11" s="47" t="s">
        <v>23</v>
      </c>
    </row>
    <row r="12" ht="15.75" customHeight="1">
      <c r="A12" s="8"/>
      <c r="B12" s="8"/>
      <c r="C12" s="47" t="s">
        <v>23</v>
      </c>
      <c r="D12" s="48"/>
      <c r="E12" s="47" t="s">
        <v>25</v>
      </c>
      <c r="F12" s="8"/>
      <c r="G12" s="48">
        <v>90.0</v>
      </c>
      <c r="H12" s="47" t="s">
        <v>57</v>
      </c>
      <c r="I12" s="8"/>
      <c r="J12" s="8"/>
      <c r="K12" s="8"/>
      <c r="L12" s="8"/>
      <c r="M12" s="8"/>
      <c r="N12" s="8"/>
      <c r="O12" s="47" t="s">
        <v>58</v>
      </c>
      <c r="S12" s="47" t="s">
        <v>43</v>
      </c>
      <c r="T12" s="47" t="s">
        <v>59</v>
      </c>
      <c r="U12" s="47" t="s">
        <v>44</v>
      </c>
      <c r="V12" s="47" t="s">
        <v>42</v>
      </c>
      <c r="W12" s="47" t="s">
        <v>41</v>
      </c>
      <c r="Y12" s="48">
        <v>1.0</v>
      </c>
      <c r="AN12" s="47" t="s">
        <v>51</v>
      </c>
      <c r="AP12" s="47" t="s">
        <v>60</v>
      </c>
      <c r="AQ12" s="47" t="s">
        <v>23</v>
      </c>
    </row>
    <row r="13" ht="15.75" customHeight="1">
      <c r="A13" s="8"/>
      <c r="B13" s="8"/>
      <c r="C13" s="47" t="s">
        <v>23</v>
      </c>
      <c r="D13" s="48"/>
      <c r="E13" s="47" t="s">
        <v>25</v>
      </c>
      <c r="F13" s="8"/>
      <c r="G13" s="48">
        <v>90.0</v>
      </c>
      <c r="H13" s="47" t="s">
        <v>57</v>
      </c>
      <c r="I13" s="8"/>
      <c r="J13" s="8"/>
      <c r="K13" s="8"/>
      <c r="L13" s="8"/>
      <c r="M13" s="8"/>
      <c r="N13" s="8"/>
      <c r="O13" s="47" t="s">
        <v>58</v>
      </c>
      <c r="S13" s="47" t="s">
        <v>43</v>
      </c>
      <c r="T13" s="47" t="s">
        <v>59</v>
      </c>
      <c r="U13" s="47" t="s">
        <v>44</v>
      </c>
      <c r="V13" s="47" t="s">
        <v>42</v>
      </c>
      <c r="W13" s="47" t="s">
        <v>41</v>
      </c>
      <c r="Y13" s="48">
        <v>1.0</v>
      </c>
      <c r="AN13" s="47" t="s">
        <v>50</v>
      </c>
      <c r="AP13" s="47" t="s">
        <v>57</v>
      </c>
      <c r="AQ13" s="47" t="s">
        <v>23</v>
      </c>
    </row>
    <row r="14" ht="15.75" customHeight="1">
      <c r="A14" s="8"/>
      <c r="B14" s="8"/>
      <c r="C14" s="8"/>
      <c r="D14" s="8"/>
      <c r="E14" s="8"/>
      <c r="F14" s="8"/>
      <c r="G14" s="8"/>
      <c r="H14" s="8"/>
      <c r="I14" s="8"/>
      <c r="J14" s="8"/>
      <c r="K14" s="8"/>
      <c r="L14" s="8"/>
      <c r="M14" s="8"/>
      <c r="N14" s="8"/>
      <c r="O14" s="8"/>
      <c r="AQ14" s="50"/>
    </row>
    <row r="15" ht="15.75" customHeight="1">
      <c r="A15" s="8"/>
      <c r="B15" s="8"/>
      <c r="C15" s="8"/>
      <c r="D15" s="8"/>
      <c r="E15" s="8"/>
      <c r="F15" s="8"/>
      <c r="G15" s="8"/>
      <c r="H15" s="8"/>
      <c r="I15" s="8"/>
      <c r="J15" s="8"/>
      <c r="K15" s="8"/>
      <c r="L15" s="8"/>
      <c r="M15" s="8"/>
      <c r="N15" s="8"/>
      <c r="O15" s="8"/>
    </row>
    <row r="16" ht="15.75" customHeight="1">
      <c r="A16" s="8"/>
      <c r="B16" s="8"/>
      <c r="C16" s="8"/>
      <c r="D16" s="8"/>
      <c r="E16" s="8"/>
      <c r="F16" s="8"/>
      <c r="G16" s="8"/>
      <c r="H16" s="8"/>
      <c r="I16" s="8"/>
      <c r="J16" s="8"/>
      <c r="K16" s="8"/>
      <c r="L16" s="8"/>
      <c r="M16" s="8"/>
      <c r="N16" s="8"/>
      <c r="O16" s="8"/>
    </row>
    <row r="17" ht="15.75" customHeight="1">
      <c r="A17" s="8"/>
      <c r="B17" s="8"/>
      <c r="C17" s="8"/>
      <c r="D17" s="8"/>
      <c r="E17" s="8"/>
      <c r="F17" s="8"/>
      <c r="G17" s="8"/>
      <c r="H17" s="8"/>
      <c r="I17" s="8"/>
      <c r="J17" s="8"/>
      <c r="K17" s="8"/>
      <c r="L17" s="8"/>
      <c r="M17" s="8"/>
      <c r="N17" s="8"/>
      <c r="O17" s="8"/>
    </row>
    <row r="18" ht="15.75" customHeight="1">
      <c r="A18" s="8"/>
      <c r="B18" s="8"/>
      <c r="C18" s="8"/>
      <c r="D18" s="8"/>
      <c r="E18" s="8"/>
      <c r="F18" s="8"/>
      <c r="G18" s="8"/>
      <c r="H18" s="8"/>
      <c r="I18" s="8"/>
      <c r="J18" s="8"/>
      <c r="K18" s="8"/>
      <c r="L18" s="8"/>
      <c r="M18" s="8"/>
      <c r="N18" s="8"/>
      <c r="O18" s="8"/>
    </row>
    <row r="19" ht="15.75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</row>
    <row r="20" ht="15.75" customHeight="1">
      <c r="A20" s="8"/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</row>
    <row r="21" ht="15.75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</row>
    <row r="22" ht="15.75" customHeight="1">
      <c r="A22" s="8"/>
      <c r="B22" s="8"/>
      <c r="C22" s="8"/>
      <c r="D22" s="8"/>
      <c r="E22" s="8"/>
      <c r="F22" s="8"/>
      <c r="G22" s="8"/>
      <c r="H22" s="8"/>
      <c r="I22" s="8"/>
      <c r="J22" s="8"/>
      <c r="K22" s="8"/>
      <c r="L22" s="8"/>
      <c r="M22" s="8"/>
      <c r="N22" s="8"/>
      <c r="O22" s="8"/>
    </row>
    <row r="23" ht="15.75" customHeight="1">
      <c r="A23" s="8"/>
      <c r="B23" s="8"/>
      <c r="C23" s="8"/>
      <c r="D23" s="8"/>
      <c r="E23" s="8"/>
      <c r="F23" s="8"/>
      <c r="G23" s="8"/>
      <c r="H23" s="8"/>
      <c r="I23" s="8"/>
      <c r="J23" s="8"/>
      <c r="K23" s="8"/>
      <c r="L23" s="8"/>
      <c r="M23" s="8"/>
      <c r="N23" s="8"/>
      <c r="O23" s="8"/>
    </row>
    <row r="24" ht="15.75" customHeight="1">
      <c r="A24" s="8"/>
      <c r="B24" s="8"/>
      <c r="C24" s="8"/>
      <c r="D24" s="8"/>
      <c r="E24" s="8"/>
      <c r="F24" s="8"/>
      <c r="G24" s="8"/>
      <c r="H24" s="8"/>
      <c r="I24" s="8"/>
      <c r="J24" s="8"/>
      <c r="K24" s="8"/>
      <c r="L24" s="8"/>
      <c r="M24" s="8"/>
      <c r="N24" s="8"/>
      <c r="O24" s="8"/>
    </row>
    <row r="25" ht="15.75" customHeight="1">
      <c r="A25" s="8"/>
      <c r="B25" s="8"/>
      <c r="C25" s="8"/>
      <c r="D25" s="8"/>
      <c r="E25" s="8"/>
      <c r="F25" s="8"/>
      <c r="G25" s="8"/>
      <c r="H25" s="8"/>
      <c r="I25" s="8"/>
      <c r="J25" s="8"/>
      <c r="K25" s="8"/>
      <c r="L25" s="8"/>
      <c r="M25" s="8"/>
      <c r="N25" s="8"/>
      <c r="O25" s="8"/>
    </row>
    <row r="26" ht="15.75" customHeight="1">
      <c r="A26" s="8"/>
      <c r="B26" s="8"/>
      <c r="C26" s="8"/>
      <c r="D26" s="8"/>
      <c r="E26" s="8"/>
      <c r="F26" s="8"/>
      <c r="G26" s="8"/>
      <c r="H26" s="8"/>
      <c r="I26" s="8"/>
      <c r="J26" s="8"/>
      <c r="K26" s="8"/>
      <c r="L26" s="8"/>
      <c r="M26" s="8"/>
      <c r="N26" s="8"/>
      <c r="O26" s="8"/>
    </row>
    <row r="27" ht="15.75" customHeight="1"/>
    <row r="28" ht="15.75" customHeight="1"/>
    <row r="29" ht="15.75" customHeight="1"/>
    <row r="30" ht="15.75" customHeight="1"/>
    <row r="31" ht="15.75" customHeight="1"/>
    <row r="32" ht="15.75" customHeight="1"/>
    <row r="33" ht="15.75" customHeight="1"/>
    <row r="34" ht="15.75" customHeight="1"/>
    <row r="35" ht="15.75" customHeight="1"/>
    <row r="36" ht="15.75" customHeight="1"/>
    <row r="37" ht="15.75" customHeight="1"/>
    <row r="38" ht="15.75" customHeight="1"/>
    <row r="39" ht="15.75" customHeight="1"/>
    <row r="40" ht="15.75" customHeight="1"/>
    <row r="41" ht="15.75" customHeight="1"/>
    <row r="42" ht="15.75" customHeight="1"/>
    <row r="43" ht="15.75" customHeight="1"/>
    <row r="44" ht="15.75" customHeight="1"/>
    <row r="45" ht="15.75" customHeight="1"/>
    <row r="46" ht="15.75" customHeight="1"/>
    <row r="47" ht="15.75" customHeight="1"/>
    <row r="48" ht="15.75" customHeight="1"/>
    <row r="49" ht="15.75" customHeight="1"/>
    <row r="50" ht="15.75" customHeight="1"/>
    <row r="51" ht="15.75" customHeight="1"/>
    <row r="52" ht="15.75" customHeight="1"/>
    <row r="53" ht="15.75" customHeight="1"/>
    <row r="54" ht="15.75" customHeight="1"/>
    <row r="55" ht="15.75" customHeight="1"/>
    <row r="56" ht="15.75" customHeight="1"/>
    <row r="57" ht="15.75" customHeight="1"/>
    <row r="58" ht="15.75" customHeight="1"/>
    <row r="59" ht="15.75" customHeight="1"/>
    <row r="60" ht="15.75" customHeight="1"/>
    <row r="61" ht="15.75" customHeight="1"/>
    <row r="62" ht="15.75" customHeight="1"/>
    <row r="63" ht="15.75" customHeight="1"/>
    <row r="64" ht="15.75" customHeight="1"/>
    <row r="65" ht="15.75" customHeight="1"/>
    <row r="66" ht="15.75" customHeight="1"/>
    <row r="67" ht="15.75" customHeight="1"/>
    <row r="68" ht="15.75" customHeight="1"/>
    <row r="69" ht="15.75" customHeight="1"/>
    <row r="70" ht="15.75" customHeight="1"/>
    <row r="71" ht="15.75" customHeight="1"/>
    <row r="72" ht="15.75" customHeight="1"/>
    <row r="73" ht="15.75" customHeight="1"/>
    <row r="74" ht="15.75" customHeight="1"/>
    <row r="75" ht="15.75" customHeight="1"/>
    <row r="76" ht="15.75" customHeight="1"/>
    <row r="77" ht="15.75" customHeight="1"/>
    <row r="78" ht="15.75" customHeight="1"/>
    <row r="79" ht="15.75" customHeight="1"/>
    <row r="80" ht="15.75" customHeight="1"/>
    <row r="81" ht="15.75" customHeight="1"/>
    <row r="82" ht="15.75" customHeight="1"/>
    <row r="83" ht="15.75" customHeight="1"/>
    <row r="84" ht="15.75" customHeight="1"/>
    <row r="85" ht="15.75" customHeight="1"/>
    <row r="86" ht="15.75" customHeight="1"/>
    <row r="87" ht="15.75" customHeight="1"/>
    <row r="88" ht="15.75" customHeight="1"/>
    <row r="89" ht="15.75" customHeight="1"/>
    <row r="90" ht="15.75" customHeight="1"/>
    <row r="91" ht="15.75" customHeight="1"/>
    <row r="92" ht="15.75" customHeight="1"/>
    <row r="93" ht="15.75" customHeight="1"/>
    <row r="94" ht="15.75" customHeight="1"/>
    <row r="95" ht="15.75" customHeight="1"/>
    <row r="96" ht="15.75" customHeight="1"/>
    <row r="97" ht="15.75" customHeight="1"/>
    <row r="98" ht="15.75" customHeight="1"/>
    <row r="99" ht="15.75" customHeight="1"/>
    <row r="100" ht="15.75" customHeight="1"/>
  </sheetData>
  <mergeCells count="1">
    <mergeCell ref="B1:H1"/>
  </mergeCells>
  <dataValidations>
    <dataValidation type="list" allowBlank="1" showInputMessage="1" showErrorMessage="1" prompt="Choose available step for selected module" sqref="E3">
      <formula1>CheckPortfolioManagement!$4:$4</formula1>
    </dataValidation>
    <dataValidation type="list" allowBlank="1" showInputMessage="1" showErrorMessage="1" prompt="Choose a format for current sheet" sqref="G3">
      <formula1>"Input Format,Output Format"</formula1>
    </dataValidation>
    <dataValidation type="list" allowBlank="1" showInputMessage="1" showErrorMessage="1" prompt="Choose an available module" sqref="C3">
      <formula1>'_Modules'!$A$4:$A$1000</formula1>
    </dataValidation>
  </dataValidations>
  <drawing r:id="rId1"/>
</worksheet>
</file>