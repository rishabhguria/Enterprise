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Order" sheetId="5" r:id="rId7"/>
    <sheet state="visible" name="GetDataAllocation" sheetId="6" r:id="rId8"/>
    <sheet state="visible" name="CheckAllocatedGroups" sheetId="7" r:id="rId9"/>
    <sheet state="visible" name="CheckPortfolioManagement" sheetId="8" r:id="rId10"/>
    <sheet state="visible" name="EditOrder" sheetId="9" r:id="rId11"/>
    <sheet state="visible" name="CreateReplaceOrder" sheetId="10" r:id="rId12"/>
    <sheet state="visible" name="SelectTradeOnOrderGrid" sheetId="11" r:id="rId13"/>
    <sheet state="visible" name="AddFillsSubOrder" sheetId="12" r:id="rId14"/>
    <sheet state="visible" name="EditAddFillsDetails" sheetId="13" r:id="rId15"/>
  </sheets>
  <definedNames/>
  <calcPr/>
</workbook>
</file>

<file path=xl/sharedStrings.xml><?xml version="1.0" encoding="utf-8"?>
<sst xmlns="http://schemas.openxmlformats.org/spreadsheetml/2006/main" count="135" uniqueCount="46">
  <si>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</si>
  <si>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</si>
  <si>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</si>
  <si>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</si>
  <si>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</si>
  <si>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</si>
  <si>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</si>
  <si>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</si>
  <si>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</si>
  <si>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</si>
  <si>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</si>
  <si>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</si>
  <si>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</si>
  <si>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</si>
  <si>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</si>
  <si>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</si>
  <si>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</si>
  <si>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</si>
  <si>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Allocation1</t>
  </si>
  <si>
    <t>Blotter</t>
  </si>
  <si>
    <t>VerifyOrder</t>
  </si>
  <si>
    <t>M</t>
  </si>
  <si>
    <t>Equity</t>
  </si>
  <si>
    <t>Filled</t>
  </si>
  <si>
    <t>Market</t>
  </si>
  <si>
    <t>Allocation</t>
  </si>
  <si>
    <t>GetDataAllocation</t>
  </si>
  <si>
    <t>Current</t>
  </si>
  <si>
    <t>CheckAllocatedGroups</t>
  </si>
  <si>
    <t>AAPL US EQUITY</t>
  </si>
  <si>
    <t>APPLE</t>
  </si>
  <si>
    <t>USD</t>
  </si>
  <si>
    <t>NASDAQ</t>
  </si>
  <si>
    <t>PortfolioManagement</t>
  </si>
  <si>
    <t>CheckPortfolioManagement</t>
  </si>
  <si>
    <t>NewMF</t>
  </si>
  <si>
    <t>Long</t>
  </si>
  <si>
    <t>Strategy Unallocated</t>
  </si>
  <si>
    <t>US</t>
  </si>
  <si>
    <t>EditOrder</t>
  </si>
  <si>
    <t>CreateReplaceOrder</t>
  </si>
  <si>
    <t>SelectTradeOnOrderGrid</t>
  </si>
  <si>
    <t>Replaced</t>
  </si>
  <si>
    <t>AAPL US Equity</t>
  </si>
  <si>
    <t>AddFillsSubOrder</t>
  </si>
  <si>
    <t>EditAddFillsDetails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</si>
</sst>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horizontal="right" readingOrder="0" vertical="bottom"/>
    </xf>
    <xf borderId="0" fillId="0" fontId="5" numFmtId="0" xfId="0" applyAlignment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0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1000.0</v>
      </c>
      <c r="E6" s="34">
        <v>1000.0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1000.0</v>
      </c>
      <c r="AM6" s="35">
        <v>1000.0</v>
      </c>
      <c r="AN6" s="32"/>
      <c r="AO6" s="32"/>
      <c r="AP6" s="32"/>
      <c r="AQ6" s="32"/>
      <c r="AR6" s="32"/>
      <c r="AS6" s="32"/>
      <c r="AT6" s="32" t="s">
        <v>18</v>
      </c>
      <c r="AU6" s="32" t="s">
        <v>24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27</v>
      </c>
      <c r="C6" s="8"/>
      <c r="D6" s="13"/>
      <c r="E6" s="36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18</v>
      </c>
      <c r="C6" s="32"/>
      <c r="D6" s="31"/>
      <c r="E6" s="34">
        <v>1000.0</v>
      </c>
      <c r="F6" s="32"/>
      <c r="G6" s="32" t="s">
        <v>22</v>
      </c>
      <c r="H6" s="34">
        <v>4.0</v>
      </c>
      <c r="I6" s="34">
        <v>5.0</v>
      </c>
      <c r="J6" s="32"/>
      <c r="K6" s="32"/>
      <c r="L6" s="32"/>
      <c r="M6" s="32" t="s">
        <v>29</v>
      </c>
      <c r="N6" s="32"/>
      <c r="O6" s="32"/>
      <c r="P6" s="32"/>
      <c r="Q6" s="32"/>
      <c r="R6" s="32"/>
      <c r="S6" s="32"/>
      <c r="T6" s="32"/>
      <c r="U6" s="32"/>
      <c r="V6" s="32" t="s">
        <v>30</v>
      </c>
      <c r="W6" s="32"/>
      <c r="X6" s="32"/>
      <c r="Y6" s="32"/>
      <c r="Z6" s="32" t="s">
        <v>31</v>
      </c>
      <c r="AA6" s="32"/>
      <c r="AB6" s="32"/>
      <c r="AC6" s="32"/>
      <c r="AD6" s="32" t="s">
        <v>32</v>
      </c>
      <c r="AE6" s="35">
        <v>1000.0</v>
      </c>
      <c r="AF6" s="32"/>
      <c r="AG6" s="32"/>
      <c r="AH6" s="32" t="s">
        <v>21</v>
      </c>
      <c r="AI6" s="35">
        <v>1.0</v>
      </c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 t="s">
        <v>24</v>
      </c>
      <c r="AZ6" s="32"/>
      <c r="BA6" s="32"/>
      <c r="BB6" s="32"/>
      <c r="BC6" s="32"/>
      <c r="BD6" s="32"/>
      <c r="BE6" s="35">
        <v>1000.0</v>
      </c>
      <c r="BF6" s="35">
        <v>1000.0</v>
      </c>
      <c r="BG6" s="32"/>
      <c r="BH6" s="32"/>
      <c r="BI6" s="32"/>
      <c r="BJ6" s="35">
        <v>1000.0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2"/>
      <c r="BT6" s="32" t="s">
        <v>16</v>
      </c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7" t="s">
        <v>16</v>
      </c>
      <c r="D6" s="38">
        <v>1000.0</v>
      </c>
      <c r="E6" s="37" t="s">
        <v>18</v>
      </c>
      <c r="F6" s="37" t="s">
        <v>35</v>
      </c>
      <c r="G6" s="32"/>
      <c r="H6" s="37" t="s">
        <v>36</v>
      </c>
      <c r="I6" s="32"/>
      <c r="J6" s="32"/>
      <c r="K6" s="32"/>
      <c r="L6" s="32"/>
      <c r="M6" s="32"/>
      <c r="N6" s="32"/>
      <c r="O6" s="32"/>
      <c r="P6" s="32"/>
      <c r="Q6" s="32"/>
      <c r="R6" s="32"/>
      <c r="S6" s="37" t="s">
        <v>37</v>
      </c>
      <c r="T6" s="37" t="s">
        <v>22</v>
      </c>
      <c r="U6" s="37" t="s">
        <v>38</v>
      </c>
      <c r="V6" s="37" t="s">
        <v>32</v>
      </c>
      <c r="W6" s="37" t="s">
        <v>31</v>
      </c>
      <c r="X6" s="32"/>
      <c r="Y6" s="39">
        <v>1.0</v>
      </c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 t="s">
        <v>17</v>
      </c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  <c r="EY6" s="32"/>
      <c r="EZ6" s="32"/>
      <c r="FA6" s="32"/>
      <c r="FB6" s="32"/>
      <c r="FC6" s="32"/>
      <c r="FD6" s="32"/>
      <c r="FE6" s="32"/>
      <c r="FF6" s="32"/>
      <c r="FG6" s="32"/>
      <c r="FH6" s="32"/>
      <c r="FI6" s="32"/>
      <c r="FJ6" s="32"/>
      <c r="FK6" s="32"/>
      <c r="FL6" s="32"/>
      <c r="FM6" s="32"/>
      <c r="FN6" s="32"/>
      <c r="FO6" s="32"/>
      <c r="FP6" s="32"/>
      <c r="FQ6" s="32"/>
      <c r="FR6" s="32"/>
      <c r="FS6" s="32"/>
      <c r="FT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 t="s">
        <v>21</v>
      </c>
      <c r="AG6" s="32"/>
      <c r="AH6" s="32" t="s">
        <v>22</v>
      </c>
      <c r="AI6" s="32" t="s">
        <v>16</v>
      </c>
      <c r="AJ6" s="32" t="s">
        <v>17</v>
      </c>
      <c r="AK6" s="32" t="s">
        <v>23</v>
      </c>
      <c r="AL6" s="35">
        <v>1000.0</v>
      </c>
      <c r="AM6" s="35">
        <v>1000.0</v>
      </c>
      <c r="AN6" s="32"/>
      <c r="AO6" s="32"/>
      <c r="AP6" s="32"/>
      <c r="AQ6" s="32"/>
      <c r="AR6" s="32"/>
      <c r="AS6" s="32"/>
      <c r="AT6" s="32" t="s">
        <v>18</v>
      </c>
      <c r="AU6" s="32" t="s">
        <v>24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2000.0</v>
      </c>
      <c r="E6" s="34">
        <v>1000.0</v>
      </c>
      <c r="F6" s="32" t="s">
        <v>18</v>
      </c>
      <c r="G6" s="32"/>
      <c r="H6" s="32"/>
      <c r="I6" s="32"/>
      <c r="J6" s="34">
        <v>1.0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40" t="s">
        <v>16</v>
      </c>
      <c r="E6" s="32"/>
      <c r="F6" s="40" t="s">
        <v>17</v>
      </c>
      <c r="G6" s="41" t="s">
        <v>42</v>
      </c>
      <c r="H6" s="40">
        <v>2000.0</v>
      </c>
      <c r="I6" s="40">
        <v>1000.0</v>
      </c>
      <c r="J6" s="32"/>
      <c r="K6" s="32"/>
      <c r="L6" s="32"/>
      <c r="M6" s="32"/>
      <c r="N6" s="32"/>
      <c r="O6" s="32"/>
      <c r="P6" s="32"/>
      <c r="Q6" s="32"/>
      <c r="R6" s="40" t="s">
        <v>18</v>
      </c>
      <c r="S6" s="32"/>
      <c r="T6" s="40" t="s">
        <v>24</v>
      </c>
      <c r="U6" s="32"/>
      <c r="V6" s="32"/>
      <c r="W6" s="32"/>
      <c r="X6" s="32"/>
      <c r="Y6" s="32"/>
      <c r="Z6" s="32"/>
      <c r="AA6" s="32"/>
      <c r="AB6" s="40" t="s">
        <v>43</v>
      </c>
      <c r="AC6" s="32"/>
      <c r="AD6" s="42" t="s">
        <v>35</v>
      </c>
      <c r="AE6" s="32"/>
      <c r="AF6" s="40" t="s">
        <v>22</v>
      </c>
      <c r="AG6" s="32"/>
      <c r="AH6" s="32"/>
      <c r="AI6" s="32"/>
      <c r="AJ6" s="32"/>
      <c r="AK6" s="32"/>
      <c r="AL6" s="42" t="s">
        <v>21</v>
      </c>
      <c r="AM6" s="35"/>
      <c r="AN6" s="32"/>
      <c r="AO6" s="32"/>
      <c r="AP6" s="40">
        <v>1.0</v>
      </c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        ")</f>
        <v>Allocation Scheme Name        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IFERROR(__xludf.DUMMYFUNCTION("""COMPUTED_VALUE"""),"Allocation Status")</f>
        <v>Allocation Status</v>
      </c>
      <c r="AW5" s="30" t="str">
        <f>IFERROR(__xludf.DUMMYFUNCTION("""COMPUTED_VALUE"""),"Source")</f>
        <v>Source</v>
      </c>
      <c r="AX5" s="30" t="str">
        <f>IFERROR(__xludf.DUMMYFUNCTION("""COMPUTED_VALUE"""),"Strategy")</f>
        <v>Strategy</v>
      </c>
      <c r="AY5" s="30" t="str">
        <f>IFERROR(__xludf.DUMMYFUNCTION("""COMPUTED_VALUE"""),"Unexecuted Qty")</f>
        <v>Unexecuted Qty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E6" s="36"/>
      <c r="F6" s="13" t="s">
        <v>17</v>
      </c>
      <c r="G6" s="13" t="s">
        <v>23</v>
      </c>
      <c r="H6" s="13">
        <v>1000.0</v>
      </c>
      <c r="I6" s="13">
        <v>1000.0</v>
      </c>
      <c r="J6" s="8"/>
      <c r="K6" s="8"/>
      <c r="L6" s="8"/>
      <c r="M6" s="8"/>
      <c r="N6" s="8"/>
      <c r="O6" s="13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AddFillsSubOrder!$4:$4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IFERROR(__xludf.DUMMYFUNCTION("""COMPUTED_VALUE"""),"Fill")</f>
        <v>Fill</v>
      </c>
      <c r="C5" s="28" t="str">
        <f>IFERROR(__xludf.DUMMYFUNCTION("""COMPUTED_VALUE"""),"Last Fill Price (Local)")</f>
        <v>Last Fill Price (Local)</v>
      </c>
      <c r="D5" s="28" t="str">
        <f>IFERROR(__xludf.DUMMYFUNCTION("""COMPUTED_VALUE"""),"New")</f>
        <v>New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8.0" customHeight="1">
      <c r="A6" s="31"/>
      <c r="B6" s="41">
        <v>2000.0</v>
      </c>
      <c r="C6" s="41">
        <v>1.0</v>
      </c>
      <c r="D6" s="43" t="b">
        <v>1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8.0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EditAddFillsDetails!$4:$4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