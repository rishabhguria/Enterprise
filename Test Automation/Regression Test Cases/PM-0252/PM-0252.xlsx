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CheckDashboardPM" sheetId="6" r:id="rId8"/>
    <sheet state="visible" name="GetNonTradingTransaction" sheetId="7" r:id="rId9"/>
    <sheet state="visible" name="AddNonTradingTransaction" sheetId="8" r:id="rId10"/>
    <sheet state="visible" name="CheckDashboardPM1" sheetId="9" r:id="rId11"/>
    <sheet state="visible" name="UpdateExpnlConfig1" sheetId="10" r:id="rId12"/>
    <sheet state="visible" name="CreateDoneAwayOrder1" sheetId="11" r:id="rId13"/>
    <sheet state="visible" name="CheckDashboardPM2" sheetId="12" r:id="rId14"/>
  </sheets>
  <definedNames/>
  <calcPr/>
</workbook>
</file>

<file path=xl/sharedStrings.xml><?xml version="1.0" encoding="utf-8"?>
<sst xmlns="http://schemas.openxmlformats.org/spreadsheetml/2006/main" count="93" uniqueCount="35">
  <si>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</si>
  <si>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</si>
  <si>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</si>
  <si>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</si>
  <si>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</si>
  <si>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</si>
  <si>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</si>
  <si>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</si>
  <si>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</si>
  <si>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</si>
  <si>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</si>
  <si>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</si>
  <si>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</si>
  <si>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</si>
  <si>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</si>
  <si>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</si>
  <si>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IsIncludeTradingDayAccruals</t>
  </si>
  <si>
    <t>IsAccrualsNeededOnPM</t>
  </si>
  <si>
    <t>TradingTicket</t>
  </si>
  <si>
    <t>CreateDoneAwayOrder</t>
  </si>
  <si>
    <t>AAPL</t>
  </si>
  <si>
    <t>Buy</t>
  </si>
  <si>
    <t>PortfolioManagement</t>
  </si>
  <si>
    <t>CheckDashboardPM</t>
  </si>
  <si>
    <t>GeneralLedger</t>
  </si>
  <si>
    <t>GetNonTradingTransaction</t>
  </si>
  <si>
    <t>Allocation1</t>
  </si>
  <si>
    <t>AddNonTradingTransaction</t>
  </si>
  <si>
    <t>USD</t>
  </si>
  <si>
    <t>Dividend - Expense [Expenses]</t>
  </si>
  <si>
    <t>DR</t>
  </si>
  <si>
    <t>Dividend - Payable [Liability]</t>
  </si>
  <si>
    <t>CR</t>
  </si>
  <si>
    <t>MSFT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</si>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</sst>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Segoe UI"/>
    </font>
    <font>
      <sz val="9.0"/>
      <color rgb="FFE7E8E9"/>
      <name val="Segoe UI"/>
    </font>
    <font>
      <sz val="9.0"/>
      <color rgb="FF868686"/>
      <name val="Segoe U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212C39"/>
      </left>
      <right style="thin">
        <color rgb="FF212C39"/>
      </right>
      <top style="thin">
        <color rgb="FF212C39"/>
      </top>
      <bottom style="thin">
        <color rgb="FF212C39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5" fillId="6" fontId="13" numFmtId="164" xfId="0" applyAlignment="1" applyBorder="1" applyFill="1" applyFont="1" applyNumberFormat="1">
      <alignment horizontal="right" vertical="bottom"/>
    </xf>
    <xf borderId="5" fillId="6" fontId="13" numFmtId="0" xfId="0" applyAlignment="1" applyBorder="1" applyFont="1">
      <alignment horizontal="right" vertical="bottom"/>
    </xf>
    <xf borderId="5" fillId="6" fontId="3" numFmtId="0" xfId="0" applyAlignment="1" applyBorder="1" applyFont="1">
      <alignment vertical="bottom"/>
    </xf>
    <xf borderId="5" fillId="6" fontId="14" numFmtId="0" xfId="0" applyAlignment="1" applyBorder="1" applyFont="1">
      <alignment horizontal="right" vertical="bottom"/>
    </xf>
    <xf borderId="5" fillId="6" fontId="3" numFmtId="0" xfId="0" applyAlignment="1" applyBorder="1" applyFont="1">
      <alignment vertical="bottom"/>
    </xf>
    <xf borderId="5" fillId="7" fontId="13" numFmtId="0" xfId="0" applyAlignment="1" applyBorder="1" applyFill="1" applyFont="1">
      <alignment horizontal="right" vertical="bottom"/>
    </xf>
    <xf borderId="5" fillId="7" fontId="1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 t="str">
        <f>IFERROR(__xludf.DUMMYFUNCTION("""COMPUTED_VALUE"""),"RefreshExpnlUi")</f>
        <v>RefreshExpnlUi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b">
        <v>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 t="b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>
        <v>1000.0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IFERROR(__xludf.DUMMYFUNCTION("""COMPUTED_VALUE"""),"Start Of Day Cash")</f>
        <v>Start Of Day Cash</v>
      </c>
      <c r="C5" s="27" t="str">
        <f>IFERROR(__xludf.DUMMYFUNCTION("""COMPUTED_VALUE"""),"Start Of Day Accruals")</f>
        <v>Start Of Day Accruals</v>
      </c>
      <c r="D5" s="27" t="str">
        <f>IFERROR(__xludf.DUMMYFUNCTION("""COMPUTED_VALUE"""),"Day Accruals")</f>
        <v>Day Accruals</v>
      </c>
      <c r="E5" s="27" t="str">
        <f>IFERROR(__xludf.DUMMYFUNCTION("""COMPUTED_VALUE"""),"Cash Inflow")</f>
        <v>Cash Inflow</v>
      </c>
      <c r="F5" s="28" t="str">
        <f>IFERROR(__xludf.DUMMYFUNCTION("""COMPUTED_VALUE"""),"Cash Outflow")</f>
        <v>Cash Outflow</v>
      </c>
      <c r="G5" s="27" t="str">
        <f>IFERROR(__xludf.DUMMYFUNCTION("""COMPUTED_VALUE"""),"Day P&amp;L (Long)")</f>
        <v>Day P&amp;L (Long)</v>
      </c>
      <c r="H5" s="27" t="str">
        <f>IFERROR(__xludf.DUMMYFUNCTION("""COMPUTED_VALUE"""),"Day P&amp;L (Short)")</f>
        <v>Day P&amp;L (Short)</v>
      </c>
      <c r="I5" s="27" t="str">
        <f>IFERROR(__xludf.DUMMYFUNCTION("""COMPUTED_VALUE"""),"Day P&amp;L")</f>
        <v>Day P&amp;L</v>
      </c>
      <c r="J5" s="27" t="str">
        <f>IFERROR(__xludf.DUMMYFUNCTION("""COMPUTED_VALUE"""),"LongExposure")</f>
        <v>LongExposure</v>
      </c>
      <c r="K5" s="27" t="str">
        <f>IFERROR(__xludf.DUMMYFUNCTION("""COMPUTED_VALUE"""),"ShortExposure")</f>
        <v>ShortExposure</v>
      </c>
      <c r="L5" s="27" t="str">
        <f>IFERROR(__xludf.DUMMYFUNCTION("""COMPUTED_VALUE"""),"Net Exposure")</f>
        <v>Net Exposure</v>
      </c>
      <c r="M5" s="27" t="str">
        <f>IFERROR(__xludf.DUMMYFUNCTION("""COMPUTED_VALUE"""),"NAV")</f>
        <v>NAV</v>
      </c>
      <c r="N5" s="27" t="str">
        <f>IFERROR(__xludf.DUMMYFUNCTION("""COMPUTED_VALUE"""),"Underlying Value (Options)")</f>
        <v>Underlying Value (Options)</v>
      </c>
      <c r="O5" s="27" t="str">
        <f>IFERROR(__xludf.DUMMYFUNCTION("""COMPUTED_VALUE"""),"Level1ID")</f>
        <v>Level1ID</v>
      </c>
      <c r="P5" s="27" t="str">
        <f>IFERROR(__xludf.DUMMYFUNCTION("""COMPUTED_VALUE"""),"UnderlyingSymbol")</f>
        <v>UnderlyingSymbol</v>
      </c>
      <c r="Q5" s="27" t="str">
        <f>IFERROR(__xludf.DUMMYFUNCTION("""COMPUTED_VALUE"""),"Symbol")</f>
        <v>Symbol</v>
      </c>
      <c r="R5" s="27" t="str">
        <f>IFERROR(__xludf.DUMMYFUNCTION("""COMPUTED_VALUE"""),"P&amp;L Contribution")</f>
        <v>P&amp;L Contribution</v>
      </c>
      <c r="S5" s="27" t="str">
        <f>IFERROR(__xludf.DUMMYFUNCTION("""COMPUTED_VALUE"""),"Long Market Value")</f>
        <v>Long Market Value</v>
      </c>
      <c r="T5" s="29" t="str">
        <f>IFERROR(__xludf.DUMMYFUNCTION("""COMPUTED_VALUE"""),"Short Market Value")</f>
        <v>Short Market Value</v>
      </c>
      <c r="U5" s="29" t="str">
        <f>IFERROR(__xludf.DUMMYFUNCTION("""COMPUTED_VALUE"""),"Net Market Value")</f>
        <v>Net Market Value</v>
      </c>
      <c r="V5" s="29" t="str">
        <f>IFERROR(__xludf.DUMMYFUNCTION("""COMPUTED_VALUE"""),"Cash Value")</f>
        <v>Cash Value</v>
      </c>
      <c r="W5" s="29" t="str">
        <f>IFERROR(__xludf.DUMMYFUNCTION("""COMPUTED_VALUE"""),"Closing Market Value")</f>
        <v>Closing Market Value</v>
      </c>
      <c r="X5" s="29" t="str">
        <f>IFERROR(__xludf.DUMMYFUNCTION("""COMPUTED_VALUE"""),"NetPosition")</f>
        <v>NetPosition</v>
      </c>
      <c r="Y5" s="29" t="str">
        <f>IFERROR(__xludf.DUMMYFUNCTION("""COMPUTED_VALUE"""),"PositionSideMV")</f>
        <v>PositionSideMV</v>
      </c>
      <c r="Z5" s="29" t="str">
        <f>IFERROR(__xludf.DUMMYFUNCTION("""COMPUTED_VALUE"""),"PositionSideExposure")</f>
        <v>PositionSideExposure</v>
      </c>
      <c r="AA5" s="29" t="str">
        <f>IFERROR(__xludf.DUMMYFUNCTION("""COMPUTED_VALUE"""),"NAVString")</f>
        <v>NAVString</v>
      </c>
      <c r="AB5" s="29" t="str">
        <f>IFERROR(__xludf.DUMMYFUNCTION("""COMPUTED_VALUE"""),"Net Exposure %")</f>
        <v>Net Exposure %</v>
      </c>
      <c r="AC5" s="29" t="str">
        <f>IFERROR(__xludf.DUMMYFUNCTION("""COMPUTED_VALUE"""),"Beta Adj. Exposure %")</f>
        <v>Beta Adj. Exposure %</v>
      </c>
      <c r="AD5" s="29" t="str">
        <f>IFERROR(__xludf.DUMMYFUNCTION("""COMPUTED_VALUE"""),"Cash Value %")</f>
        <v>Cash Value %</v>
      </c>
      <c r="AE5" s="29" t="str">
        <f>IFERROR(__xludf.DUMMYFUNCTION("""COMPUTED_VALUE"""),"Gross Market Value %")</f>
        <v>Gross Market Value %</v>
      </c>
      <c r="AF5" s="29" t="str">
        <f>IFERROR(__xludf.DUMMYFUNCTION("""COMPUTED_VALUE"""),"Long Market Value %")</f>
        <v>Long Market Value %</v>
      </c>
      <c r="AG5" s="29" t="str">
        <f>IFERROR(__xludf.DUMMYFUNCTION("""COMPUTED_VALUE"""),"Net Exposure % (Gross Exposure)")</f>
        <v>Net Exposure % (Gross Exposure)</v>
      </c>
      <c r="AH5" s="29" t="str">
        <f>IFERROR(__xludf.DUMMYFUNCTION("""COMPUTED_VALUE"""),"Short Market Value %")</f>
        <v>Short Market Value %</v>
      </c>
      <c r="AI5" s="29" t="str">
        <f>IFERROR(__xludf.DUMMYFUNCTION("""COMPUTED_VALUE"""),"Cost Basis P&amp;L")</f>
        <v>Cost Basis P&amp;L</v>
      </c>
      <c r="AJ5" s="29" t="str">
        <f>IFERROR(__xludf.DUMMYFUNCTION("""COMPUTED_VALUE"""),"Start of Day NAV")</f>
        <v>Start of Day NAV</v>
      </c>
      <c r="AK5" s="29" t="str">
        <f>IFERROR(__xludf.DUMMYFUNCTION("""COMPUTED_VALUE"""),"Day Return")</f>
        <v>Day Return</v>
      </c>
      <c r="AL5" s="29" t="str">
        <f>IFERROR(__xludf.DUMMYFUNCTION("""COMPUTED_VALUE"""),"Beta Adj. Exposure")</f>
        <v>Beta Adj. Exposure</v>
      </c>
      <c r="AM5" s="29" t="str">
        <f>IFERROR(__xludf.DUMMYFUNCTION("""COMPUTED_VALUE"""),"Earned Dividend Base")</f>
        <v>Earned Dividend Base</v>
      </c>
      <c r="AN5" s="29" t="str">
        <f>IFERROR(__xludf.DUMMYFUNCTION("""COMPUTED_VALUE"""),"YTD Return")</f>
        <v>YTD Return</v>
      </c>
      <c r="AO5" s="29" t="str">
        <f>IFERROR(__xludf.DUMMYFUNCTION("""COMPUTED_VALUE"""),"QTD Return")</f>
        <v>QTD Return</v>
      </c>
      <c r="AP5" s="29" t="str">
        <f>IFERROR(__xludf.DUMMYFUNCTION("""COMPUTED_VALUE"""),"MTD Return")</f>
        <v>MTD Return</v>
      </c>
      <c r="AQ5" s="29" t="str">
        <f>IFERROR(__xludf.DUMMYFUNCTION("""COMPUTED_VALUE"""),"Gross Market Value")</f>
        <v>Gross Market Value</v>
      </c>
      <c r="AR5" s="29" t="str">
        <f>IFERROR(__xludf.DUMMYFUNCTION("""COMPUTED_VALUE"""),"GrossExposure")</f>
        <v>GrossExposure</v>
      </c>
      <c r="AS5" s="29" t="str">
        <f>IFERROR(__xludf.DUMMYFUNCTION("""COMPUTED_VALUE"""),"Net Market Value %")</f>
        <v>Net Market Value %</v>
      </c>
      <c r="AT5" s="29" t="str">
        <f>IFERROR(__xludf.DUMMYFUNCTION("""COMPUTED_VALUE"""),"Net Market Value % (Gross MV)")</f>
        <v>Net Market Value % (Gross MV)</v>
      </c>
      <c r="AU5" s="29" t="str">
        <f>IFERROR(__xludf.DUMMYFUNCTION("""COMPUTED_VALUE"""),"Day Return % (Gross MV)")</f>
        <v>Day Return % (Gross MV)</v>
      </c>
      <c r="AV5" s="29" t="str">
        <f>IFERROR(__xludf.DUMMYFUNCTION("""COMPUTED_VALUE"""),"Gross Exposure")</f>
        <v>Gross Exposure</v>
      </c>
      <c r="AW5" s="29" t="str">
        <f>IFERROR(__xludf.DUMMYFUNCTION("""COMPUTED_VALUE"""),"Gross Exposure %")</f>
        <v>Gross Exposure %</v>
      </c>
      <c r="AX5" s="29" t="str">
        <f>IFERROR(__xludf.DUMMYFUNCTION("""COMPUTED_VALUE"""),"Long Debit Limit")</f>
        <v>Long Debit Limit</v>
      </c>
      <c r="AY5" s="29" t="str">
        <f>IFERROR(__xludf.DUMMYFUNCTION("""COMPUTED_VALUE"""),"Short Credit Limit")</f>
        <v>Short Credit Limit</v>
      </c>
      <c r="AZ5" s="29" t="str">
        <f>IFERROR(__xludf.DUMMYFUNCTION("""COMPUTED_VALUE"""),"Long Debit Balance")</f>
        <v>Long Debit Balance</v>
      </c>
      <c r="BA5" s="29" t="str">
        <f>IFERROR(__xludf.DUMMYFUNCTION("""COMPUTED_VALUE"""),"Short Credit Balance")</f>
        <v>Short Credit Balance</v>
      </c>
      <c r="BB5" s="29" t="str">
        <f>IFERROR(__xludf.DUMMYFUNCTION("""COMPUTED_VALUE"""),"Long Exposure")</f>
        <v>Long Exposure</v>
      </c>
      <c r="BC5" s="29" t="str">
        <f>IFERROR(__xludf.DUMMYFUNCTION("""COMPUTED_VALUE"""),"Long Exposure %")</f>
        <v>Long Exposure %</v>
      </c>
      <c r="BD5" s="29" t="str">
        <f>IFERROR(__xludf.DUMMYFUNCTION("""COMPUTED_VALUE"""),"Short Exposure")</f>
        <v>Short Exposure</v>
      </c>
      <c r="BE5" s="29" t="str">
        <f>IFERROR(__xludf.DUMMYFUNCTION("""COMPUTED_VALUE"""),"Short Exposure %")</f>
        <v>Short Exposure %</v>
      </c>
      <c r="BF5" s="29" t="str">
        <f>IFERROR(__xludf.DUMMYFUNCTION("""COMPUTED_VALUE"""),"BetaAdjustedGrossExposure")</f>
        <v>BetaAdjustedGrossExposure</v>
      </c>
      <c r="BG5" s="29" t="str">
        <f>IFERROR(__xludf.DUMMYFUNCTION("""COMPUTED_VALUE"""),"BetaAdjustedLongExposure")</f>
        <v>BetaAdjustedLongExposure</v>
      </c>
      <c r="BH5" s="29" t="str">
        <f>IFERROR(__xludf.DUMMYFUNCTION("""COMPUTED_VALUE"""),"BetaAdjustedShortExposure")</f>
        <v>BetaAdjustedShortExposure</v>
      </c>
      <c r="BI5" s="29" t="str">
        <f>IFERROR(__xludf.DUMMYFUNCTION("""COMPUTED_VALUE"""),"Beta")</f>
        <v>Beta</v>
      </c>
      <c r="BJ5" s="29" t="str">
        <f>IFERROR(__xludf.DUMMYFUNCTION("""COMPUTED_VALUE"""),"Beta Adj. Gross Exposure")</f>
        <v>Beta Adj. Gross Exposure</v>
      </c>
      <c r="BK5" s="29" t="str">
        <f>IFERROR(__xludf.DUMMYFUNCTION("""COMPUTED_VALUE"""),"Beta Adj. Gross Exposure %")</f>
        <v>Beta Adj. Gross Exposure %</v>
      </c>
      <c r="BL5" s="29" t="str">
        <f>IFERROR(__xludf.DUMMYFUNCTION("""COMPUTED_VALUE"""),"Beta Adj. Long Exposure")</f>
        <v>Beta Adj. Long Exposure</v>
      </c>
      <c r="BM5" s="29" t="str">
        <f>IFERROR(__xludf.DUMMYFUNCTION("""COMPUTED_VALUE"""),"Beta Adj. Long Exposure %")</f>
        <v>Beta Adj. Long Exposure %</v>
      </c>
      <c r="BN5" s="29" t="str">
        <f>IFERROR(__xludf.DUMMYFUNCTION("""COMPUTED_VALUE"""),"Beta Adj. Short Exposure")</f>
        <v>Beta Adj. Short Exposure</v>
      </c>
      <c r="BO5" s="29" t="str">
        <f>IFERROR(__xludf.DUMMYFUNCTION("""COMPUTED_VALUE"""),"Beta Adj. Short Exposure %")</f>
        <v>Beta Adj. Short Exposure %</v>
      </c>
      <c r="BP5" s="29" t="str">
        <f>IFERROR(__xludf.DUMMYFUNCTION("""COMPUTED_VALUE"""),"MTD P&amp;L")</f>
        <v>MTD P&amp;L</v>
      </c>
      <c r="BQ5" s="29" t="str">
        <f>IFERROR(__xludf.DUMMYFUNCTION("""COMPUTED_VALUE"""),"QTD P&amp;L")</f>
        <v>QTD P&amp;L</v>
      </c>
      <c r="BR5" s="29" t="str">
        <f>IFERROR(__xludf.DUMMYFUNCTION("""COMPUTED_VALUE"""),"YTD P&amp;L")</f>
        <v>YTD P&amp;L</v>
      </c>
      <c r="BS5" s="29" t="str">
        <f>IFERROR(__xludf.DUMMYFUNCTION("""COMPUTED_VALUE"""),"MasterfundID")</f>
        <v>MasterfundID</v>
      </c>
      <c r="BT5" s="29" t="str">
        <f>IFERROR(__xludf.DUMMYFUNCTION("""COMPUTED_VALUE"""),"NetExposureLocal")</f>
        <v>NetExposureLocal</v>
      </c>
      <c r="BU5" s="29" t="str">
        <f>IFERROR(__xludf.DUMMYFUNCTION("""COMPUTED_VALUE"""),"GrossExposureLocal")</f>
        <v>GrossExposureLocal</v>
      </c>
      <c r="BV5" s="29" t="str">
        <f>IFERROR(__xludf.DUMMYFUNCTION("""COMPUTED_VALUE"""),"BetaAdjustedGrossExposureLocal")</f>
        <v>BetaAdjustedGrossExposureLocal</v>
      </c>
      <c r="BW5" s="29" t="str">
        <f>IFERROR(__xludf.DUMMYFUNCTION("""COMPUTED_VALUE"""),"AssetCategory")</f>
        <v>AssetCategory</v>
      </c>
      <c r="BX5" s="29" t="str">
        <f>IFERROR(__xludf.DUMMYFUNCTION("""COMPUTED_VALUE"""),"Day P&amp;L (FX)")</f>
        <v>Day P&amp;L (FX)</v>
      </c>
      <c r="BY5" s="29" t="str">
        <f>IFERROR(__xludf.DUMMYFUNCTION("""COMPUTED_VALUE"""),"Day P&amp;L (Short) %")</f>
        <v>Day P&amp;L (Short) %</v>
      </c>
      <c r="BZ5" s="29" t="str">
        <f>IFERROR(__xludf.DUMMYFUNCTION("""COMPUTED_VALUE"""),"Day P&amp;L (Long) %")</f>
        <v>Day P&amp;L (Long) %</v>
      </c>
      <c r="CA5" s="29" t="str">
        <f>IFERROR(__xludf.DUMMYFUNCTION("""COMPUTED_VALUE"""),"Day P&amp;L (FX) %")</f>
        <v>Day P&amp;L (FX) %</v>
      </c>
      <c r="CB5" s="29" t="str">
        <f>IFERROR(__xludf.DUMMYFUNCTION("""COMPUTED_VALUE"""),"Long/Short Ratio")</f>
        <v>Long/Short Ratio</v>
      </c>
      <c r="CC5" s="29" t="str">
        <f>IFERROR(__xludf.DUMMYFUNCTION("""COMPUTED_VALUE"""),"LeverageFactor")</f>
        <v>LeverageFactor</v>
      </c>
      <c r="CD5" s="29" t="str">
        <f>IFERROR(__xludf.DUMMYFUNCTION("""COMPUTED_VALUE"""),"AllocatedSymbolWiseQuantity")</f>
        <v>AllocatedSymbolWiseQuantity</v>
      </c>
      <c r="CE5" s="29" t="str">
        <f>IFERROR(__xludf.DUMMYFUNCTION("""COMPUTED_VALUE"""),"CurrencyID")</f>
        <v>CurrencyID</v>
      </c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CheckDashboardPM!$4:$4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1" t="s">
        <v>26</v>
      </c>
      <c r="D6" s="32">
        <f t="shared" ref="D6:E6" si="1">TODAY()</f>
        <v>45818</v>
      </c>
      <c r="E6" s="32">
        <f t="shared" si="1"/>
        <v>45818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>
        <v>45813.0</v>
      </c>
      <c r="C6" s="34" t="s">
        <v>26</v>
      </c>
      <c r="D6" s="35"/>
      <c r="E6" s="34" t="s">
        <v>28</v>
      </c>
      <c r="F6" s="34" t="s">
        <v>29</v>
      </c>
      <c r="G6" s="34" t="s">
        <v>30</v>
      </c>
      <c r="H6" s="34">
        <v>10.0</v>
      </c>
      <c r="I6" s="36">
        <v>0.0</v>
      </c>
      <c r="J6" s="8"/>
      <c r="K6" s="8"/>
      <c r="L6" s="8"/>
      <c r="M6" s="8"/>
      <c r="N6" s="8"/>
      <c r="O6" s="8"/>
    </row>
    <row r="7" ht="15.75" customHeight="1">
      <c r="A7" s="8"/>
      <c r="B7" s="33">
        <v>45813.0</v>
      </c>
      <c r="C7" s="34" t="s">
        <v>26</v>
      </c>
      <c r="D7" s="37"/>
      <c r="E7" s="34" t="s">
        <v>28</v>
      </c>
      <c r="F7" s="38" t="s">
        <v>31</v>
      </c>
      <c r="G7" s="38" t="s">
        <v>32</v>
      </c>
      <c r="H7" s="39">
        <v>0.0</v>
      </c>
      <c r="I7" s="38">
        <v>10.0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IFERROR(__xludf.DUMMYFUNCTION("""COMPUTED_VALUE"""),"Start Of Day Cash")</f>
        <v>Start Of Day Cash</v>
      </c>
      <c r="C5" s="27" t="str">
        <f>IFERROR(__xludf.DUMMYFUNCTION("""COMPUTED_VALUE"""),"Start Of Day Accruals")</f>
        <v>Start Of Day Accruals</v>
      </c>
      <c r="D5" s="27" t="str">
        <f>IFERROR(__xludf.DUMMYFUNCTION("""COMPUTED_VALUE"""),"Day Accruals")</f>
        <v>Day Accruals</v>
      </c>
      <c r="E5" s="27" t="str">
        <f>IFERROR(__xludf.DUMMYFUNCTION("""COMPUTED_VALUE"""),"Cash Inflow")</f>
        <v>Cash Inflow</v>
      </c>
      <c r="F5" s="28" t="str">
        <f>IFERROR(__xludf.DUMMYFUNCTION("""COMPUTED_VALUE"""),"Cash Outflow")</f>
        <v>Cash Outflow</v>
      </c>
      <c r="G5" s="27" t="str">
        <f>IFERROR(__xludf.DUMMYFUNCTION("""COMPUTED_VALUE"""),"Day P&amp;L (Long)")</f>
        <v>Day P&amp;L (Long)</v>
      </c>
      <c r="H5" s="27" t="str">
        <f>IFERROR(__xludf.DUMMYFUNCTION("""COMPUTED_VALUE"""),"Day P&amp;L (Short)")</f>
        <v>Day P&amp;L (Short)</v>
      </c>
      <c r="I5" s="27" t="str">
        <f>IFERROR(__xludf.DUMMYFUNCTION("""COMPUTED_VALUE"""),"Day P&amp;L")</f>
        <v>Day P&amp;L</v>
      </c>
      <c r="J5" s="27" t="str">
        <f>IFERROR(__xludf.DUMMYFUNCTION("""COMPUTED_VALUE"""),"LongExposure")</f>
        <v>LongExposure</v>
      </c>
      <c r="K5" s="27" t="str">
        <f>IFERROR(__xludf.DUMMYFUNCTION("""COMPUTED_VALUE"""),"ShortExposure")</f>
        <v>ShortExposure</v>
      </c>
      <c r="L5" s="27" t="str">
        <f>IFERROR(__xludf.DUMMYFUNCTION("""COMPUTED_VALUE"""),"Net Exposure")</f>
        <v>Net Exposure</v>
      </c>
      <c r="M5" s="27" t="str">
        <f>IFERROR(__xludf.DUMMYFUNCTION("""COMPUTED_VALUE"""),"NAV")</f>
        <v>NAV</v>
      </c>
      <c r="N5" s="27" t="str">
        <f>IFERROR(__xludf.DUMMYFUNCTION("""COMPUTED_VALUE"""),"Underlying Value (Options)")</f>
        <v>Underlying Value (Options)</v>
      </c>
      <c r="O5" s="27" t="str">
        <f>IFERROR(__xludf.DUMMYFUNCTION("""COMPUTED_VALUE"""),"Level1ID")</f>
        <v>Level1ID</v>
      </c>
      <c r="P5" s="27" t="str">
        <f>IFERROR(__xludf.DUMMYFUNCTION("""COMPUTED_VALUE"""),"UnderlyingSymbol")</f>
        <v>UnderlyingSymbol</v>
      </c>
      <c r="Q5" s="27" t="str">
        <f>IFERROR(__xludf.DUMMYFUNCTION("""COMPUTED_VALUE"""),"Symbol")</f>
        <v>Symbol</v>
      </c>
      <c r="R5" s="27" t="str">
        <f>IFERROR(__xludf.DUMMYFUNCTION("""COMPUTED_VALUE"""),"P&amp;L Contribution")</f>
        <v>P&amp;L Contribution</v>
      </c>
      <c r="S5" s="27" t="str">
        <f>IFERROR(__xludf.DUMMYFUNCTION("""COMPUTED_VALUE"""),"Long Market Value")</f>
        <v>Long Market Value</v>
      </c>
      <c r="T5" s="29" t="str">
        <f>IFERROR(__xludf.DUMMYFUNCTION("""COMPUTED_VALUE"""),"Short Market Value")</f>
        <v>Short Market Value</v>
      </c>
      <c r="U5" s="29" t="str">
        <f>IFERROR(__xludf.DUMMYFUNCTION("""COMPUTED_VALUE"""),"Net Market Value")</f>
        <v>Net Market Value</v>
      </c>
      <c r="V5" s="29" t="str">
        <f>IFERROR(__xludf.DUMMYFUNCTION("""COMPUTED_VALUE"""),"Cash Value")</f>
        <v>Cash Value</v>
      </c>
      <c r="W5" s="29" t="str">
        <f>IFERROR(__xludf.DUMMYFUNCTION("""COMPUTED_VALUE"""),"Closing Market Value")</f>
        <v>Closing Market Value</v>
      </c>
      <c r="X5" s="29" t="str">
        <f>IFERROR(__xludf.DUMMYFUNCTION("""COMPUTED_VALUE"""),"NetPosition")</f>
        <v>NetPosition</v>
      </c>
      <c r="Y5" s="29" t="str">
        <f>IFERROR(__xludf.DUMMYFUNCTION("""COMPUTED_VALUE"""),"PositionSideMV")</f>
        <v>PositionSideMV</v>
      </c>
      <c r="Z5" s="29" t="str">
        <f>IFERROR(__xludf.DUMMYFUNCTION("""COMPUTED_VALUE"""),"PositionSideExposure")</f>
        <v>PositionSideExposure</v>
      </c>
      <c r="AA5" s="29" t="str">
        <f>IFERROR(__xludf.DUMMYFUNCTION("""COMPUTED_VALUE"""),"NAVString")</f>
        <v>NAVString</v>
      </c>
      <c r="AB5" s="29" t="str">
        <f>IFERROR(__xludf.DUMMYFUNCTION("""COMPUTED_VALUE"""),"Net Exposure %")</f>
        <v>Net Exposure %</v>
      </c>
      <c r="AC5" s="29" t="str">
        <f>IFERROR(__xludf.DUMMYFUNCTION("""COMPUTED_VALUE"""),"Beta Adj. Exposure %")</f>
        <v>Beta Adj. Exposure %</v>
      </c>
      <c r="AD5" s="29" t="str">
        <f>IFERROR(__xludf.DUMMYFUNCTION("""COMPUTED_VALUE"""),"Cash Value %")</f>
        <v>Cash Value %</v>
      </c>
      <c r="AE5" s="29" t="str">
        <f>IFERROR(__xludf.DUMMYFUNCTION("""COMPUTED_VALUE"""),"Gross Market Value %")</f>
        <v>Gross Market Value %</v>
      </c>
      <c r="AF5" s="29" t="str">
        <f>IFERROR(__xludf.DUMMYFUNCTION("""COMPUTED_VALUE"""),"Long Market Value %")</f>
        <v>Long Market Value %</v>
      </c>
      <c r="AG5" s="29" t="str">
        <f>IFERROR(__xludf.DUMMYFUNCTION("""COMPUTED_VALUE"""),"Net Exposure % (Gross Exposure)")</f>
        <v>Net Exposure % (Gross Exposure)</v>
      </c>
      <c r="AH5" s="29" t="str">
        <f>IFERROR(__xludf.DUMMYFUNCTION("""COMPUTED_VALUE"""),"Short Market Value %")</f>
        <v>Short Market Value %</v>
      </c>
      <c r="AI5" s="29" t="str">
        <f>IFERROR(__xludf.DUMMYFUNCTION("""COMPUTED_VALUE"""),"Cost Basis P&amp;L")</f>
        <v>Cost Basis P&amp;L</v>
      </c>
      <c r="AJ5" s="29" t="str">
        <f>IFERROR(__xludf.DUMMYFUNCTION("""COMPUTED_VALUE"""),"Start of Day NAV")</f>
        <v>Start of Day NAV</v>
      </c>
      <c r="AK5" s="29" t="str">
        <f>IFERROR(__xludf.DUMMYFUNCTION("""COMPUTED_VALUE"""),"Day Return")</f>
        <v>Day Return</v>
      </c>
      <c r="AL5" s="29" t="str">
        <f>IFERROR(__xludf.DUMMYFUNCTION("""COMPUTED_VALUE"""),"Beta Adj. Exposure")</f>
        <v>Beta Adj. Exposure</v>
      </c>
      <c r="AM5" s="29" t="str">
        <f>IFERROR(__xludf.DUMMYFUNCTION("""COMPUTED_VALUE"""),"Earned Dividend Base")</f>
        <v>Earned Dividend Base</v>
      </c>
      <c r="AN5" s="29" t="str">
        <f>IFERROR(__xludf.DUMMYFUNCTION("""COMPUTED_VALUE"""),"YTD Return")</f>
        <v>YTD Return</v>
      </c>
      <c r="AO5" s="29" t="str">
        <f>IFERROR(__xludf.DUMMYFUNCTION("""COMPUTED_VALUE"""),"QTD Return")</f>
        <v>QTD Return</v>
      </c>
      <c r="AP5" s="29" t="str">
        <f>IFERROR(__xludf.DUMMYFUNCTION("""COMPUTED_VALUE"""),"MTD Return")</f>
        <v>MTD Return</v>
      </c>
      <c r="AQ5" s="29" t="str">
        <f>IFERROR(__xludf.DUMMYFUNCTION("""COMPUTED_VALUE"""),"Gross Market Value")</f>
        <v>Gross Market Value</v>
      </c>
      <c r="AR5" s="29" t="str">
        <f>IFERROR(__xludf.DUMMYFUNCTION("""COMPUTED_VALUE"""),"GrossExposure")</f>
        <v>GrossExposure</v>
      </c>
      <c r="AS5" s="29" t="str">
        <f>IFERROR(__xludf.DUMMYFUNCTION("""COMPUTED_VALUE"""),"Net Market Value %")</f>
        <v>Net Market Value %</v>
      </c>
      <c r="AT5" s="29" t="str">
        <f>IFERROR(__xludf.DUMMYFUNCTION("""COMPUTED_VALUE"""),"Net Market Value % (Gross MV)")</f>
        <v>Net Market Value % (Gross MV)</v>
      </c>
      <c r="AU5" s="29" t="str">
        <f>IFERROR(__xludf.DUMMYFUNCTION("""COMPUTED_VALUE"""),"Day Return % (Gross MV)")</f>
        <v>Day Return % (Gross MV)</v>
      </c>
      <c r="AV5" s="29" t="str">
        <f>IFERROR(__xludf.DUMMYFUNCTION("""COMPUTED_VALUE"""),"Gross Exposure")</f>
        <v>Gross Exposure</v>
      </c>
      <c r="AW5" s="29" t="str">
        <f>IFERROR(__xludf.DUMMYFUNCTION("""COMPUTED_VALUE"""),"Gross Exposure %")</f>
        <v>Gross Exposure %</v>
      </c>
      <c r="AX5" s="29" t="str">
        <f>IFERROR(__xludf.DUMMYFUNCTION("""COMPUTED_VALUE"""),"Long Debit Limit")</f>
        <v>Long Debit Limit</v>
      </c>
      <c r="AY5" s="29" t="str">
        <f>IFERROR(__xludf.DUMMYFUNCTION("""COMPUTED_VALUE"""),"Short Credit Limit")</f>
        <v>Short Credit Limit</v>
      </c>
      <c r="AZ5" s="29" t="str">
        <f>IFERROR(__xludf.DUMMYFUNCTION("""COMPUTED_VALUE"""),"Long Debit Balance")</f>
        <v>Long Debit Balance</v>
      </c>
      <c r="BA5" s="29" t="str">
        <f>IFERROR(__xludf.DUMMYFUNCTION("""COMPUTED_VALUE"""),"Short Credit Balance")</f>
        <v>Short Credit Balance</v>
      </c>
      <c r="BB5" s="29" t="str">
        <f>IFERROR(__xludf.DUMMYFUNCTION("""COMPUTED_VALUE"""),"Long Exposure")</f>
        <v>Long Exposure</v>
      </c>
      <c r="BC5" s="29" t="str">
        <f>IFERROR(__xludf.DUMMYFUNCTION("""COMPUTED_VALUE"""),"Long Exposure %")</f>
        <v>Long Exposure %</v>
      </c>
      <c r="BD5" s="29" t="str">
        <f>IFERROR(__xludf.DUMMYFUNCTION("""COMPUTED_VALUE"""),"Short Exposure")</f>
        <v>Short Exposure</v>
      </c>
      <c r="BE5" s="29" t="str">
        <f>IFERROR(__xludf.DUMMYFUNCTION("""COMPUTED_VALUE"""),"Short Exposure %")</f>
        <v>Short Exposure %</v>
      </c>
      <c r="BF5" s="29" t="str">
        <f>IFERROR(__xludf.DUMMYFUNCTION("""COMPUTED_VALUE"""),"BetaAdjustedGrossExposure")</f>
        <v>BetaAdjustedGrossExposure</v>
      </c>
      <c r="BG5" s="29" t="str">
        <f>IFERROR(__xludf.DUMMYFUNCTION("""COMPUTED_VALUE"""),"BetaAdjustedLongExposure")</f>
        <v>BetaAdjustedLongExposure</v>
      </c>
      <c r="BH5" s="29" t="str">
        <f>IFERROR(__xludf.DUMMYFUNCTION("""COMPUTED_VALUE"""),"BetaAdjustedShortExposure")</f>
        <v>BetaAdjustedShortExposure</v>
      </c>
      <c r="BI5" s="29" t="str">
        <f>IFERROR(__xludf.DUMMYFUNCTION("""COMPUTED_VALUE"""),"Beta")</f>
        <v>Beta</v>
      </c>
      <c r="BJ5" s="29" t="str">
        <f>IFERROR(__xludf.DUMMYFUNCTION("""COMPUTED_VALUE"""),"Beta Adj. Gross Exposure")</f>
        <v>Beta Adj. Gross Exposure</v>
      </c>
      <c r="BK5" s="29" t="str">
        <f>IFERROR(__xludf.DUMMYFUNCTION("""COMPUTED_VALUE"""),"Beta Adj. Gross Exposure %")</f>
        <v>Beta Adj. Gross Exposure %</v>
      </c>
      <c r="BL5" s="29" t="str">
        <f>IFERROR(__xludf.DUMMYFUNCTION("""COMPUTED_VALUE"""),"Beta Adj. Long Exposure")</f>
        <v>Beta Adj. Long Exposure</v>
      </c>
      <c r="BM5" s="29" t="str">
        <f>IFERROR(__xludf.DUMMYFUNCTION("""COMPUTED_VALUE"""),"Beta Adj. Long Exposure %")</f>
        <v>Beta Adj. Long Exposure %</v>
      </c>
      <c r="BN5" s="29" t="str">
        <f>IFERROR(__xludf.DUMMYFUNCTION("""COMPUTED_VALUE"""),"Beta Adj. Short Exposure")</f>
        <v>Beta Adj. Short Exposure</v>
      </c>
      <c r="BO5" s="29" t="str">
        <f>IFERROR(__xludf.DUMMYFUNCTION("""COMPUTED_VALUE"""),"Beta Adj. Short Exposure %")</f>
        <v>Beta Adj. Short Exposure %</v>
      </c>
      <c r="BP5" s="29" t="str">
        <f>IFERROR(__xludf.DUMMYFUNCTION("""COMPUTED_VALUE"""),"MTD P&amp;L")</f>
        <v>MTD P&amp;L</v>
      </c>
      <c r="BQ5" s="29" t="str">
        <f>IFERROR(__xludf.DUMMYFUNCTION("""COMPUTED_VALUE"""),"QTD P&amp;L")</f>
        <v>QTD P&amp;L</v>
      </c>
      <c r="BR5" s="29" t="str">
        <f>IFERROR(__xludf.DUMMYFUNCTION("""COMPUTED_VALUE"""),"YTD P&amp;L")</f>
        <v>YTD P&amp;L</v>
      </c>
      <c r="BS5" s="29" t="str">
        <f>IFERROR(__xludf.DUMMYFUNCTION("""COMPUTED_VALUE"""),"MasterfundID")</f>
        <v>MasterfundID</v>
      </c>
      <c r="BT5" s="29" t="str">
        <f>IFERROR(__xludf.DUMMYFUNCTION("""COMPUTED_VALUE"""),"NetExposureLocal")</f>
        <v>NetExposureLocal</v>
      </c>
      <c r="BU5" s="29" t="str">
        <f>IFERROR(__xludf.DUMMYFUNCTION("""COMPUTED_VALUE"""),"GrossExposureLocal")</f>
        <v>GrossExposureLocal</v>
      </c>
      <c r="BV5" s="29" t="str">
        <f>IFERROR(__xludf.DUMMYFUNCTION("""COMPUTED_VALUE"""),"BetaAdjustedGrossExposureLocal")</f>
        <v>BetaAdjustedGrossExposureLocal</v>
      </c>
      <c r="BW5" s="29" t="str">
        <f>IFERROR(__xludf.DUMMYFUNCTION("""COMPUTED_VALUE"""),"AssetCategory")</f>
        <v>AssetCategory</v>
      </c>
      <c r="BX5" s="29" t="str">
        <f>IFERROR(__xludf.DUMMYFUNCTION("""COMPUTED_VALUE"""),"Day P&amp;L (FX)")</f>
        <v>Day P&amp;L (FX)</v>
      </c>
      <c r="BY5" s="29" t="str">
        <f>IFERROR(__xludf.DUMMYFUNCTION("""COMPUTED_VALUE"""),"Day P&amp;L (Short) %")</f>
        <v>Day P&amp;L (Short) %</v>
      </c>
      <c r="BZ5" s="29" t="str">
        <f>IFERROR(__xludf.DUMMYFUNCTION("""COMPUTED_VALUE"""),"Day P&amp;L (Long) %")</f>
        <v>Day P&amp;L (Long) %</v>
      </c>
      <c r="CA5" s="29" t="str">
        <f>IFERROR(__xludf.DUMMYFUNCTION("""COMPUTED_VALUE"""),"Day P&amp;L (FX) %")</f>
        <v>Day P&amp;L (FX) %</v>
      </c>
      <c r="CB5" s="29" t="str">
        <f>IFERROR(__xludf.DUMMYFUNCTION("""COMPUTED_VALUE"""),"Long/Short Ratio")</f>
        <v>Long/Short Ratio</v>
      </c>
      <c r="CC5" s="29" t="str">
        <f>IFERROR(__xludf.DUMMYFUNCTION("""COMPUTED_VALUE"""),"LeverageFactor")</f>
        <v>LeverageFactor</v>
      </c>
      <c r="CD5" s="29" t="str">
        <f>IFERROR(__xludf.DUMMYFUNCTION("""COMPUTED_VALUE"""),"AllocatedSymbolWiseQuantity")</f>
        <v>AllocatedSymbolWiseQuantity</v>
      </c>
      <c r="CE5" s="29" t="str">
        <f>IFERROR(__xludf.DUMMYFUNCTION("""COMPUTED_VALUE"""),"CurrencyID")</f>
        <v>CurrencyID</v>
      </c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CheckDashboardPM1!$4:$4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 t="str">
        <f>IFERROR(__xludf.DUMMYFUNCTION("""COMPUTED_VALUE"""),"RefreshExpnlUi")</f>
        <v>RefreshExpnlUi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 t="b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UpdateExpnlConfig1!$4:$4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21</v>
      </c>
      <c r="D6" s="12">
        <v>100.0</v>
      </c>
      <c r="E6" s="30"/>
      <c r="F6" s="8"/>
      <c r="G6" s="8"/>
      <c r="H6" s="8"/>
      <c r="I6" s="8"/>
      <c r="J6" s="12">
        <v>12.0</v>
      </c>
      <c r="K6" s="8"/>
      <c r="L6" s="8"/>
      <c r="M6" s="8"/>
      <c r="N6" s="8"/>
      <c r="O6" s="8"/>
    </row>
    <row r="7" ht="15.75" customHeight="1">
      <c r="A7" s="8"/>
      <c r="B7" s="12" t="s">
        <v>33</v>
      </c>
      <c r="C7" s="12" t="s">
        <v>34</v>
      </c>
      <c r="D7" s="12">
        <v>100.0</v>
      </c>
      <c r="E7" s="8"/>
      <c r="F7" s="8"/>
      <c r="G7" s="8"/>
      <c r="H7" s="8"/>
      <c r="I7" s="8"/>
      <c r="J7" s="12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IFERROR(__xludf.DUMMYFUNCTION("""COMPUTED_VALUE"""),"Start Of Day Cash")</f>
        <v>Start Of Day Cash</v>
      </c>
      <c r="C5" s="27" t="str">
        <f>IFERROR(__xludf.DUMMYFUNCTION("""COMPUTED_VALUE"""),"Start Of Day Accruals")</f>
        <v>Start Of Day Accruals</v>
      </c>
      <c r="D5" s="27" t="str">
        <f>IFERROR(__xludf.DUMMYFUNCTION("""COMPUTED_VALUE"""),"Day Accruals")</f>
        <v>Day Accruals</v>
      </c>
      <c r="E5" s="27" t="str">
        <f>IFERROR(__xludf.DUMMYFUNCTION("""COMPUTED_VALUE"""),"Cash Inflow")</f>
        <v>Cash Inflow</v>
      </c>
      <c r="F5" s="28" t="str">
        <f>IFERROR(__xludf.DUMMYFUNCTION("""COMPUTED_VALUE"""),"Cash Outflow")</f>
        <v>Cash Outflow</v>
      </c>
      <c r="G5" s="27" t="str">
        <f>IFERROR(__xludf.DUMMYFUNCTION("""COMPUTED_VALUE"""),"Day P&amp;L (Long)")</f>
        <v>Day P&amp;L (Long)</v>
      </c>
      <c r="H5" s="27" t="str">
        <f>IFERROR(__xludf.DUMMYFUNCTION("""COMPUTED_VALUE"""),"Day P&amp;L (Short)")</f>
        <v>Day P&amp;L (Short)</v>
      </c>
      <c r="I5" s="27" t="str">
        <f>IFERROR(__xludf.DUMMYFUNCTION("""COMPUTED_VALUE"""),"Day P&amp;L")</f>
        <v>Day P&amp;L</v>
      </c>
      <c r="J5" s="27" t="str">
        <f>IFERROR(__xludf.DUMMYFUNCTION("""COMPUTED_VALUE"""),"LongExposure")</f>
        <v>LongExposure</v>
      </c>
      <c r="K5" s="27" t="str">
        <f>IFERROR(__xludf.DUMMYFUNCTION("""COMPUTED_VALUE"""),"ShortExposure")</f>
        <v>ShortExposure</v>
      </c>
      <c r="L5" s="27" t="str">
        <f>IFERROR(__xludf.DUMMYFUNCTION("""COMPUTED_VALUE"""),"Net Exposure")</f>
        <v>Net Exposure</v>
      </c>
      <c r="M5" s="27" t="str">
        <f>IFERROR(__xludf.DUMMYFUNCTION("""COMPUTED_VALUE"""),"NAV")</f>
        <v>NAV</v>
      </c>
      <c r="N5" s="27" t="str">
        <f>IFERROR(__xludf.DUMMYFUNCTION("""COMPUTED_VALUE"""),"Underlying Value (Options)")</f>
        <v>Underlying Value (Options)</v>
      </c>
      <c r="O5" s="27" t="str">
        <f>IFERROR(__xludf.DUMMYFUNCTION("""COMPUTED_VALUE"""),"Level1ID")</f>
        <v>Level1ID</v>
      </c>
      <c r="P5" s="27" t="str">
        <f>IFERROR(__xludf.DUMMYFUNCTION("""COMPUTED_VALUE"""),"UnderlyingSymbol")</f>
        <v>UnderlyingSymbol</v>
      </c>
      <c r="Q5" s="27" t="str">
        <f>IFERROR(__xludf.DUMMYFUNCTION("""COMPUTED_VALUE"""),"Symbol")</f>
        <v>Symbol</v>
      </c>
      <c r="R5" s="27" t="str">
        <f>IFERROR(__xludf.DUMMYFUNCTION("""COMPUTED_VALUE"""),"P&amp;L Contribution")</f>
        <v>P&amp;L Contribution</v>
      </c>
      <c r="S5" s="27" t="str">
        <f>IFERROR(__xludf.DUMMYFUNCTION("""COMPUTED_VALUE"""),"Long Market Value")</f>
        <v>Long Market Value</v>
      </c>
      <c r="T5" s="29" t="str">
        <f>IFERROR(__xludf.DUMMYFUNCTION("""COMPUTED_VALUE"""),"Short Market Value")</f>
        <v>Short Market Value</v>
      </c>
      <c r="U5" s="29" t="str">
        <f>IFERROR(__xludf.DUMMYFUNCTION("""COMPUTED_VALUE"""),"Net Market Value")</f>
        <v>Net Market Value</v>
      </c>
      <c r="V5" s="29" t="str">
        <f>IFERROR(__xludf.DUMMYFUNCTION("""COMPUTED_VALUE"""),"Cash Value")</f>
        <v>Cash Value</v>
      </c>
      <c r="W5" s="29" t="str">
        <f>IFERROR(__xludf.DUMMYFUNCTION("""COMPUTED_VALUE"""),"Closing Market Value")</f>
        <v>Closing Market Value</v>
      </c>
      <c r="X5" s="29" t="str">
        <f>IFERROR(__xludf.DUMMYFUNCTION("""COMPUTED_VALUE"""),"NetPosition")</f>
        <v>NetPosition</v>
      </c>
      <c r="Y5" s="29" t="str">
        <f>IFERROR(__xludf.DUMMYFUNCTION("""COMPUTED_VALUE"""),"PositionSideMV")</f>
        <v>PositionSideMV</v>
      </c>
      <c r="Z5" s="29" t="str">
        <f>IFERROR(__xludf.DUMMYFUNCTION("""COMPUTED_VALUE"""),"PositionSideExposure")</f>
        <v>PositionSideExposure</v>
      </c>
      <c r="AA5" s="29" t="str">
        <f>IFERROR(__xludf.DUMMYFUNCTION("""COMPUTED_VALUE"""),"NAVString")</f>
        <v>NAVString</v>
      </c>
      <c r="AB5" s="29" t="str">
        <f>IFERROR(__xludf.DUMMYFUNCTION("""COMPUTED_VALUE"""),"Net Exposure %")</f>
        <v>Net Exposure %</v>
      </c>
      <c r="AC5" s="29" t="str">
        <f>IFERROR(__xludf.DUMMYFUNCTION("""COMPUTED_VALUE"""),"Beta Adj. Exposure %")</f>
        <v>Beta Adj. Exposure %</v>
      </c>
      <c r="AD5" s="29" t="str">
        <f>IFERROR(__xludf.DUMMYFUNCTION("""COMPUTED_VALUE"""),"Cash Value %")</f>
        <v>Cash Value %</v>
      </c>
      <c r="AE5" s="29" t="str">
        <f>IFERROR(__xludf.DUMMYFUNCTION("""COMPUTED_VALUE"""),"Gross Market Value %")</f>
        <v>Gross Market Value %</v>
      </c>
      <c r="AF5" s="29" t="str">
        <f>IFERROR(__xludf.DUMMYFUNCTION("""COMPUTED_VALUE"""),"Long Market Value %")</f>
        <v>Long Market Value %</v>
      </c>
      <c r="AG5" s="29" t="str">
        <f>IFERROR(__xludf.DUMMYFUNCTION("""COMPUTED_VALUE"""),"Net Exposure % (Gross Exposure)")</f>
        <v>Net Exposure % (Gross Exposure)</v>
      </c>
      <c r="AH5" s="29" t="str">
        <f>IFERROR(__xludf.DUMMYFUNCTION("""COMPUTED_VALUE"""),"Short Market Value %")</f>
        <v>Short Market Value %</v>
      </c>
      <c r="AI5" s="29" t="str">
        <f>IFERROR(__xludf.DUMMYFUNCTION("""COMPUTED_VALUE"""),"Cost Basis P&amp;L")</f>
        <v>Cost Basis P&amp;L</v>
      </c>
      <c r="AJ5" s="29" t="str">
        <f>IFERROR(__xludf.DUMMYFUNCTION("""COMPUTED_VALUE"""),"Start of Day NAV")</f>
        <v>Start of Day NAV</v>
      </c>
      <c r="AK5" s="29" t="str">
        <f>IFERROR(__xludf.DUMMYFUNCTION("""COMPUTED_VALUE"""),"Day Return")</f>
        <v>Day Return</v>
      </c>
      <c r="AL5" s="29" t="str">
        <f>IFERROR(__xludf.DUMMYFUNCTION("""COMPUTED_VALUE"""),"Beta Adj. Exposure")</f>
        <v>Beta Adj. Exposure</v>
      </c>
      <c r="AM5" s="29" t="str">
        <f>IFERROR(__xludf.DUMMYFUNCTION("""COMPUTED_VALUE"""),"Earned Dividend Base")</f>
        <v>Earned Dividend Base</v>
      </c>
      <c r="AN5" s="29" t="str">
        <f>IFERROR(__xludf.DUMMYFUNCTION("""COMPUTED_VALUE"""),"YTD Return")</f>
        <v>YTD Return</v>
      </c>
      <c r="AO5" s="29" t="str">
        <f>IFERROR(__xludf.DUMMYFUNCTION("""COMPUTED_VALUE"""),"QTD Return")</f>
        <v>QTD Return</v>
      </c>
      <c r="AP5" s="29" t="str">
        <f>IFERROR(__xludf.DUMMYFUNCTION("""COMPUTED_VALUE"""),"MTD Return")</f>
        <v>MTD Return</v>
      </c>
      <c r="AQ5" s="29" t="str">
        <f>IFERROR(__xludf.DUMMYFUNCTION("""COMPUTED_VALUE"""),"Gross Market Value")</f>
        <v>Gross Market Value</v>
      </c>
      <c r="AR5" s="29" t="str">
        <f>IFERROR(__xludf.DUMMYFUNCTION("""COMPUTED_VALUE"""),"GrossExposure")</f>
        <v>GrossExposure</v>
      </c>
      <c r="AS5" s="29" t="str">
        <f>IFERROR(__xludf.DUMMYFUNCTION("""COMPUTED_VALUE"""),"Net Market Value %")</f>
        <v>Net Market Value %</v>
      </c>
      <c r="AT5" s="29" t="str">
        <f>IFERROR(__xludf.DUMMYFUNCTION("""COMPUTED_VALUE"""),"Net Market Value % (Gross MV)")</f>
        <v>Net Market Value % (Gross MV)</v>
      </c>
      <c r="AU5" s="29" t="str">
        <f>IFERROR(__xludf.DUMMYFUNCTION("""COMPUTED_VALUE"""),"Day Return % (Gross MV)")</f>
        <v>Day Return % (Gross MV)</v>
      </c>
      <c r="AV5" s="29" t="str">
        <f>IFERROR(__xludf.DUMMYFUNCTION("""COMPUTED_VALUE"""),"Gross Exposure")</f>
        <v>Gross Exposure</v>
      </c>
      <c r="AW5" s="29" t="str">
        <f>IFERROR(__xludf.DUMMYFUNCTION("""COMPUTED_VALUE"""),"Gross Exposure %")</f>
        <v>Gross Exposure %</v>
      </c>
      <c r="AX5" s="29" t="str">
        <f>IFERROR(__xludf.DUMMYFUNCTION("""COMPUTED_VALUE"""),"Long Debit Limit")</f>
        <v>Long Debit Limit</v>
      </c>
      <c r="AY5" s="29" t="str">
        <f>IFERROR(__xludf.DUMMYFUNCTION("""COMPUTED_VALUE"""),"Short Credit Limit")</f>
        <v>Short Credit Limit</v>
      </c>
      <c r="AZ5" s="29" t="str">
        <f>IFERROR(__xludf.DUMMYFUNCTION("""COMPUTED_VALUE"""),"Long Debit Balance")</f>
        <v>Long Debit Balance</v>
      </c>
      <c r="BA5" s="29" t="str">
        <f>IFERROR(__xludf.DUMMYFUNCTION("""COMPUTED_VALUE"""),"Short Credit Balance")</f>
        <v>Short Credit Balance</v>
      </c>
      <c r="BB5" s="29" t="str">
        <f>IFERROR(__xludf.DUMMYFUNCTION("""COMPUTED_VALUE"""),"Long Exposure")</f>
        <v>Long Exposure</v>
      </c>
      <c r="BC5" s="29" t="str">
        <f>IFERROR(__xludf.DUMMYFUNCTION("""COMPUTED_VALUE"""),"Long Exposure %")</f>
        <v>Long Exposure %</v>
      </c>
      <c r="BD5" s="29" t="str">
        <f>IFERROR(__xludf.DUMMYFUNCTION("""COMPUTED_VALUE"""),"Short Exposure")</f>
        <v>Short Exposure</v>
      </c>
      <c r="BE5" s="29" t="str">
        <f>IFERROR(__xludf.DUMMYFUNCTION("""COMPUTED_VALUE"""),"Short Exposure %")</f>
        <v>Short Exposure %</v>
      </c>
      <c r="BF5" s="29" t="str">
        <f>IFERROR(__xludf.DUMMYFUNCTION("""COMPUTED_VALUE"""),"BetaAdjustedGrossExposure")</f>
        <v>BetaAdjustedGrossExposure</v>
      </c>
      <c r="BG5" s="29" t="str">
        <f>IFERROR(__xludf.DUMMYFUNCTION("""COMPUTED_VALUE"""),"BetaAdjustedLongExposure")</f>
        <v>BetaAdjustedLongExposure</v>
      </c>
      <c r="BH5" s="29" t="str">
        <f>IFERROR(__xludf.DUMMYFUNCTION("""COMPUTED_VALUE"""),"BetaAdjustedShortExposure")</f>
        <v>BetaAdjustedShortExposure</v>
      </c>
      <c r="BI5" s="29" t="str">
        <f>IFERROR(__xludf.DUMMYFUNCTION("""COMPUTED_VALUE"""),"Beta")</f>
        <v>Beta</v>
      </c>
      <c r="BJ5" s="29" t="str">
        <f>IFERROR(__xludf.DUMMYFUNCTION("""COMPUTED_VALUE"""),"Beta Adj. Gross Exposure")</f>
        <v>Beta Adj. Gross Exposure</v>
      </c>
      <c r="BK5" s="29" t="str">
        <f>IFERROR(__xludf.DUMMYFUNCTION("""COMPUTED_VALUE"""),"Beta Adj. Gross Exposure %")</f>
        <v>Beta Adj. Gross Exposure %</v>
      </c>
      <c r="BL5" s="29" t="str">
        <f>IFERROR(__xludf.DUMMYFUNCTION("""COMPUTED_VALUE"""),"Beta Adj. Long Exposure")</f>
        <v>Beta Adj. Long Exposure</v>
      </c>
      <c r="BM5" s="29" t="str">
        <f>IFERROR(__xludf.DUMMYFUNCTION("""COMPUTED_VALUE"""),"Beta Adj. Long Exposure %")</f>
        <v>Beta Adj. Long Exposure %</v>
      </c>
      <c r="BN5" s="29" t="str">
        <f>IFERROR(__xludf.DUMMYFUNCTION("""COMPUTED_VALUE"""),"Beta Adj. Short Exposure")</f>
        <v>Beta Adj. Short Exposure</v>
      </c>
      <c r="BO5" s="29" t="str">
        <f>IFERROR(__xludf.DUMMYFUNCTION("""COMPUTED_VALUE"""),"Beta Adj. Short Exposure %")</f>
        <v>Beta Adj. Short Exposure %</v>
      </c>
      <c r="BP5" s="29" t="str">
        <f>IFERROR(__xludf.DUMMYFUNCTION("""COMPUTED_VALUE"""),"MTD P&amp;L")</f>
        <v>MTD P&amp;L</v>
      </c>
      <c r="BQ5" s="29" t="str">
        <f>IFERROR(__xludf.DUMMYFUNCTION("""COMPUTED_VALUE"""),"QTD P&amp;L")</f>
        <v>QTD P&amp;L</v>
      </c>
      <c r="BR5" s="29" t="str">
        <f>IFERROR(__xludf.DUMMYFUNCTION("""COMPUTED_VALUE"""),"YTD P&amp;L")</f>
        <v>YTD P&amp;L</v>
      </c>
      <c r="BS5" s="29" t="str">
        <f>IFERROR(__xludf.DUMMYFUNCTION("""COMPUTED_VALUE"""),"MasterfundID")</f>
        <v>MasterfundID</v>
      </c>
      <c r="BT5" s="29" t="str">
        <f>IFERROR(__xludf.DUMMYFUNCTION("""COMPUTED_VALUE"""),"NetExposureLocal")</f>
        <v>NetExposureLocal</v>
      </c>
      <c r="BU5" s="29" t="str">
        <f>IFERROR(__xludf.DUMMYFUNCTION("""COMPUTED_VALUE"""),"GrossExposureLocal")</f>
        <v>GrossExposureLocal</v>
      </c>
      <c r="BV5" s="29" t="str">
        <f>IFERROR(__xludf.DUMMYFUNCTION("""COMPUTED_VALUE"""),"BetaAdjustedGrossExposureLocal")</f>
        <v>BetaAdjustedGrossExposureLocal</v>
      </c>
      <c r="BW5" s="29" t="str">
        <f>IFERROR(__xludf.DUMMYFUNCTION("""COMPUTED_VALUE"""),"AssetCategory")</f>
        <v>AssetCategory</v>
      </c>
      <c r="BX5" s="29" t="str">
        <f>IFERROR(__xludf.DUMMYFUNCTION("""COMPUTED_VALUE"""),"Day P&amp;L (FX)")</f>
        <v>Day P&amp;L (FX)</v>
      </c>
      <c r="BY5" s="29" t="str">
        <f>IFERROR(__xludf.DUMMYFUNCTION("""COMPUTED_VALUE"""),"Day P&amp;L (Short) %")</f>
        <v>Day P&amp;L (Short) %</v>
      </c>
      <c r="BZ5" s="29" t="str">
        <f>IFERROR(__xludf.DUMMYFUNCTION("""COMPUTED_VALUE"""),"Day P&amp;L (Long) %")</f>
        <v>Day P&amp;L (Long) %</v>
      </c>
      <c r="CA5" s="29" t="str">
        <f>IFERROR(__xludf.DUMMYFUNCTION("""COMPUTED_VALUE"""),"Day P&amp;L (FX) %")</f>
        <v>Day P&amp;L (FX) %</v>
      </c>
      <c r="CB5" s="29" t="str">
        <f>IFERROR(__xludf.DUMMYFUNCTION("""COMPUTED_VALUE"""),"Long/Short Ratio")</f>
        <v>Long/Short Ratio</v>
      </c>
      <c r="CC5" s="29" t="str">
        <f>IFERROR(__xludf.DUMMYFUNCTION("""COMPUTED_VALUE"""),"LeverageFactor")</f>
        <v>LeverageFactor</v>
      </c>
      <c r="CD5" s="29" t="str">
        <f>IFERROR(__xludf.DUMMYFUNCTION("""COMPUTED_VALUE"""),"AllocatedSymbolWiseQuantity")</f>
        <v>AllocatedSymbolWiseQuantity</v>
      </c>
      <c r="CE5" s="29" t="str">
        <f>IFERROR(__xludf.DUMMYFUNCTION("""COMPUTED_VALUE"""),"CurrencyID")</f>
        <v>CurrencyID</v>
      </c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CheckDashboardPM2!$4:$4</formula1>
    </dataValidation>
  </dataValidations>
  <drawing r:id="rId1"/>
</worksheet>
</file>