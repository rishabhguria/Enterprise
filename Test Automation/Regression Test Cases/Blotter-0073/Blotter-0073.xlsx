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activeTab="3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CreateLiveOrder" sheetId="6" r:id="rId6"/>
    <sheet name="CheckPendingNewOrderAlert" sheetId="7" r:id="rId7"/>
    <sheet name="VerifyOrder" sheetId="8" r:id="rId8"/>
  </sheets>
  <calcPr calcId="145621"/>
</workbook>
</file>

<file path=xl/calcChain.xml><?xml version="1.0" encoding="utf-8"?>
<calcChain xmlns="http://schemas.openxmlformats.org/spreadsheetml/2006/main">
  <c r="J2" i="8" l="1"/>
  <c r="J2" i="7"/>
  <c r="J2" i="6"/>
  <c r="J2" i="5"/>
  <c r="J2" i="4"/>
  <c r="BA5" i="8"/>
  <c r="AS5" i="8"/>
  <c r="AK5" i="8"/>
  <c r="AC5" i="8"/>
  <c r="U5" i="8"/>
  <c r="M5" i="8"/>
  <c r="E5" i="8"/>
  <c r="AS4" i="8"/>
  <c r="AK4" i="8"/>
  <c r="AC4" i="8"/>
  <c r="U4" i="8"/>
  <c r="M4" i="8"/>
  <c r="E4" i="8"/>
  <c r="AA4" i="7"/>
  <c r="S4" i="7"/>
  <c r="K4" i="7"/>
  <c r="C4" i="7"/>
  <c r="AI5" i="6"/>
  <c r="AA5" i="6"/>
  <c r="S5" i="6"/>
  <c r="K5" i="6"/>
  <c r="C5" i="6"/>
  <c r="W4" i="6"/>
  <c r="O4" i="6"/>
  <c r="G4" i="6"/>
  <c r="A5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5" i="4"/>
  <c r="G4" i="4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AZ5" i="8"/>
  <c r="AR5" i="8"/>
  <c r="AJ5" i="8"/>
  <c r="AB5" i="8"/>
  <c r="T5" i="8"/>
  <c r="L5" i="8"/>
  <c r="D5" i="8"/>
  <c r="AR4" i="8"/>
  <c r="AJ4" i="8"/>
  <c r="AB4" i="8"/>
  <c r="T4" i="8"/>
  <c r="L4" i="8"/>
  <c r="D4" i="8"/>
  <c r="Z4" i="7"/>
  <c r="R4" i="7"/>
  <c r="J4" i="7"/>
  <c r="B4" i="7"/>
  <c r="AH5" i="6"/>
  <c r="Z5" i="6"/>
  <c r="R5" i="6"/>
  <c r="J5" i="6"/>
  <c r="B5" i="6"/>
  <c r="V4" i="6"/>
  <c r="N4" i="6"/>
  <c r="F4" i="6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D5" i="4"/>
  <c r="F4" i="4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Y5" i="8"/>
  <c r="AQ5" i="8"/>
  <c r="AI5" i="8"/>
  <c r="AA5" i="8"/>
  <c r="S5" i="8"/>
  <c r="K5" i="8"/>
  <c r="C5" i="8"/>
  <c r="AQ4" i="8"/>
  <c r="AI4" i="8"/>
  <c r="AA4" i="8"/>
  <c r="S4" i="8"/>
  <c r="K4" i="8"/>
  <c r="C4" i="8"/>
  <c r="Y4" i="7"/>
  <c r="Q4" i="7"/>
  <c r="I4" i="7"/>
  <c r="AG5" i="6"/>
  <c r="Y5" i="6"/>
  <c r="Q5" i="6"/>
  <c r="I5" i="6"/>
  <c r="A5" i="6"/>
  <c r="U4" i="6"/>
  <c r="M4" i="6"/>
  <c r="E4" i="6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K5" i="4"/>
  <c r="C5" i="4"/>
  <c r="E4" i="4"/>
  <c r="A491" i="1"/>
  <c r="B488" i="1"/>
  <c r="C485" i="1"/>
  <c r="A483" i="1"/>
  <c r="B480" i="1"/>
  <c r="C477" i="1"/>
  <c r="A475" i="1"/>
  <c r="B472" i="1"/>
  <c r="AX5" i="8"/>
  <c r="AP5" i="8"/>
  <c r="AH5" i="8"/>
  <c r="Z5" i="8"/>
  <c r="R5" i="8"/>
  <c r="J5" i="8"/>
  <c r="B5" i="8"/>
  <c r="AP4" i="8"/>
  <c r="AH4" i="8"/>
  <c r="Z4" i="8"/>
  <c r="R4" i="8"/>
  <c r="J4" i="8"/>
  <c r="B4" i="8"/>
  <c r="X4" i="7"/>
  <c r="P4" i="7"/>
  <c r="H4" i="7"/>
  <c r="AN5" i="6"/>
  <c r="AF5" i="6"/>
  <c r="X5" i="6"/>
  <c r="P5" i="6"/>
  <c r="H5" i="6"/>
  <c r="AB4" i="6"/>
  <c r="T4" i="6"/>
  <c r="L4" i="6"/>
  <c r="D4" i="6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J5" i="4"/>
  <c r="B5" i="4"/>
  <c r="D4" i="4"/>
  <c r="C490" i="1"/>
  <c r="A488" i="1"/>
  <c r="B485" i="1"/>
  <c r="AW5" i="8"/>
  <c r="AO5" i="8"/>
  <c r="AG5" i="8"/>
  <c r="Y5" i="8"/>
  <c r="Q5" i="8"/>
  <c r="I5" i="8"/>
  <c r="A5" i="8"/>
  <c r="AO4" i="8"/>
  <c r="AG4" i="8"/>
  <c r="Y4" i="8"/>
  <c r="Q4" i="8"/>
  <c r="I4" i="8"/>
  <c r="W4" i="7"/>
  <c r="O4" i="7"/>
  <c r="G4" i="7"/>
  <c r="AM5" i="6"/>
  <c r="AE5" i="6"/>
  <c r="W5" i="6"/>
  <c r="O5" i="6"/>
  <c r="G5" i="6"/>
  <c r="AA4" i="6"/>
  <c r="S4" i="6"/>
  <c r="K4" i="6"/>
  <c r="C4" i="6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I5" i="4"/>
  <c r="A5" i="4"/>
  <c r="C4" i="4"/>
  <c r="B490" i="1"/>
  <c r="C487" i="1"/>
  <c r="A485" i="1"/>
  <c r="B482" i="1"/>
  <c r="C479" i="1"/>
  <c r="A477" i="1"/>
  <c r="B474" i="1"/>
  <c r="C471" i="1"/>
  <c r="A469" i="1"/>
  <c r="B466" i="1"/>
  <c r="C463" i="1"/>
  <c r="A461" i="1"/>
  <c r="AV5" i="8"/>
  <c r="AN5" i="8"/>
  <c r="AF5" i="8"/>
  <c r="X5" i="8"/>
  <c r="P5" i="8"/>
  <c r="H5" i="8"/>
  <c r="AV4" i="8"/>
  <c r="AN4" i="8"/>
  <c r="AF4" i="8"/>
  <c r="X4" i="8"/>
  <c r="P4" i="8"/>
  <c r="H4" i="8"/>
  <c r="B5" i="7"/>
  <c r="V4" i="7"/>
  <c r="N4" i="7"/>
  <c r="F4" i="7"/>
  <c r="AL5" i="6"/>
  <c r="AD5" i="6"/>
  <c r="V5" i="6"/>
  <c r="N5" i="6"/>
  <c r="F5" i="6"/>
  <c r="Z4" i="6"/>
  <c r="R4" i="6"/>
  <c r="J4" i="6"/>
  <c r="B4" i="6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H5" i="4"/>
  <c r="J4" i="4"/>
  <c r="B4" i="4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AU5" i="8"/>
  <c r="AM5" i="8"/>
  <c r="AE5" i="8"/>
  <c r="W5" i="8"/>
  <c r="O5" i="8"/>
  <c r="G5" i="8"/>
  <c r="AU4" i="8"/>
  <c r="AM4" i="8"/>
  <c r="AE4" i="8"/>
  <c r="W4" i="8"/>
  <c r="O4" i="8"/>
  <c r="G4" i="8"/>
  <c r="A5" i="7"/>
  <c r="U4" i="7"/>
  <c r="M4" i="7"/>
  <c r="E4" i="7"/>
  <c r="AK5" i="6"/>
  <c r="AC5" i="6"/>
  <c r="U5" i="6"/>
  <c r="M5" i="6"/>
  <c r="E5" i="6"/>
  <c r="Y4" i="6"/>
  <c r="Q4" i="6"/>
  <c r="I4" i="6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G5" i="4"/>
  <c r="I4" i="4"/>
  <c r="C489" i="1"/>
  <c r="A487" i="1"/>
  <c r="B484" i="1"/>
  <c r="C481" i="1"/>
  <c r="A479" i="1"/>
  <c r="B476" i="1"/>
  <c r="C473" i="1"/>
  <c r="A471" i="1"/>
  <c r="AT5" i="8"/>
  <c r="AL5" i="8"/>
  <c r="AD5" i="8"/>
  <c r="V5" i="8"/>
  <c r="N5" i="8"/>
  <c r="F5" i="8"/>
  <c r="AT4" i="8"/>
  <c r="AL4" i="8"/>
  <c r="AD4" i="8"/>
  <c r="V4" i="8"/>
  <c r="N4" i="8"/>
  <c r="F4" i="8"/>
  <c r="AB4" i="7"/>
  <c r="T4" i="7"/>
  <c r="L4" i="7"/>
  <c r="D4" i="7"/>
  <c r="AJ5" i="6"/>
  <c r="AB5" i="6"/>
  <c r="T5" i="6"/>
  <c r="L5" i="6"/>
  <c r="D5" i="6"/>
  <c r="X4" i="6"/>
  <c r="P4" i="6"/>
  <c r="H4" i="6"/>
  <c r="B5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F5" i="4"/>
  <c r="H4" i="4"/>
  <c r="A4" i="3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C482" i="1"/>
  <c r="A467" i="1"/>
  <c r="B460" i="1"/>
  <c r="A455" i="1"/>
  <c r="C449" i="1"/>
  <c r="B444" i="1"/>
  <c r="A439" i="1"/>
  <c r="C433" i="1"/>
  <c r="B428" i="1"/>
  <c r="A423" i="1"/>
  <c r="C418" i="1"/>
  <c r="A414" i="1"/>
  <c r="B410" i="1"/>
  <c r="C405" i="1"/>
  <c r="C401" i="1"/>
  <c r="B397" i="1"/>
  <c r="C392" i="1"/>
  <c r="A389" i="1"/>
  <c r="B384" i="1"/>
  <c r="B380" i="1"/>
  <c r="A376" i="1"/>
  <c r="B371" i="1"/>
  <c r="C367" i="1"/>
  <c r="A363" i="1"/>
  <c r="A359" i="1"/>
  <c r="C354" i="1"/>
  <c r="A350" i="1"/>
  <c r="B346" i="1"/>
  <c r="C341" i="1"/>
  <c r="C337" i="1"/>
  <c r="B333" i="1"/>
  <c r="C328" i="1"/>
  <c r="A325" i="1"/>
  <c r="B320" i="1"/>
  <c r="B316" i="1"/>
  <c r="A312" i="1"/>
  <c r="B307" i="1"/>
  <c r="C303" i="1"/>
  <c r="C300" i="1"/>
  <c r="C297" i="1"/>
  <c r="B294" i="1"/>
  <c r="B291" i="1"/>
  <c r="B288" i="1"/>
  <c r="B285" i="1"/>
  <c r="B282" i="1"/>
  <c r="B279" i="1"/>
  <c r="B276" i="1"/>
  <c r="A273" i="1"/>
  <c r="A270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A480" i="1"/>
  <c r="C466" i="1"/>
  <c r="A459" i="1"/>
  <c r="C453" i="1"/>
  <c r="B448" i="1"/>
  <c r="A443" i="1"/>
  <c r="C437" i="1"/>
  <c r="B432" i="1"/>
  <c r="A427" i="1"/>
  <c r="A422" i="1"/>
  <c r="B418" i="1"/>
  <c r="C413" i="1"/>
  <c r="C409" i="1"/>
  <c r="B405" i="1"/>
  <c r="C400" i="1"/>
  <c r="A397" i="1"/>
  <c r="B392" i="1"/>
  <c r="B388" i="1"/>
  <c r="A384" i="1"/>
  <c r="B379" i="1"/>
  <c r="C375" i="1"/>
  <c r="A371" i="1"/>
  <c r="A367" i="1"/>
  <c r="C362" i="1"/>
  <c r="A358" i="1"/>
  <c r="B354" i="1"/>
  <c r="C349" i="1"/>
  <c r="C345" i="1"/>
  <c r="B341" i="1"/>
  <c r="C336" i="1"/>
  <c r="A333" i="1"/>
  <c r="B328" i="1"/>
  <c r="B324" i="1"/>
  <c r="A320" i="1"/>
  <c r="B315" i="1"/>
  <c r="C311" i="1"/>
  <c r="A307" i="1"/>
  <c r="B303" i="1"/>
  <c r="B300" i="1"/>
  <c r="A297" i="1"/>
  <c r="A294" i="1"/>
  <c r="A291" i="1"/>
  <c r="A288" i="1"/>
  <c r="A285" i="1"/>
  <c r="A282" i="1"/>
  <c r="A279" i="1"/>
  <c r="C275" i="1"/>
  <c r="C272" i="1"/>
  <c r="C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B477" i="1"/>
  <c r="C465" i="1"/>
  <c r="C458" i="1"/>
  <c r="B453" i="1"/>
  <c r="A448" i="1"/>
  <c r="C442" i="1"/>
  <c r="B437" i="1"/>
  <c r="A432" i="1"/>
  <c r="C426" i="1"/>
  <c r="C421" i="1"/>
  <c r="C417" i="1"/>
  <c r="B413" i="1"/>
  <c r="C408" i="1"/>
  <c r="A405" i="1"/>
  <c r="B400" i="1"/>
  <c r="B396" i="1"/>
  <c r="A392" i="1"/>
  <c r="B387" i="1"/>
  <c r="C383" i="1"/>
  <c r="A379" i="1"/>
  <c r="A375" i="1"/>
  <c r="C370" i="1"/>
  <c r="A366" i="1"/>
  <c r="B362" i="1"/>
  <c r="C357" i="1"/>
  <c r="C353" i="1"/>
  <c r="B349" i="1"/>
  <c r="C344" i="1"/>
  <c r="A341" i="1"/>
  <c r="B336" i="1"/>
  <c r="B332" i="1"/>
  <c r="A328" i="1"/>
  <c r="B323" i="1"/>
  <c r="C319" i="1"/>
  <c r="A315" i="1"/>
  <c r="A311" i="1"/>
  <c r="C306" i="1"/>
  <c r="A303" i="1"/>
  <c r="C299" i="1"/>
  <c r="C296" i="1"/>
  <c r="C293" i="1"/>
  <c r="C290" i="1"/>
  <c r="C287" i="1"/>
  <c r="C284" i="1"/>
  <c r="C281" i="1"/>
  <c r="B278" i="1"/>
  <c r="B275" i="1"/>
  <c r="B272" i="1"/>
  <c r="B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C474" i="1"/>
  <c r="B464" i="1"/>
  <c r="B458" i="1"/>
  <c r="A453" i="1"/>
  <c r="C447" i="1"/>
  <c r="B442" i="1"/>
  <c r="A437" i="1"/>
  <c r="C431" i="1"/>
  <c r="B426" i="1"/>
  <c r="B421" i="1"/>
  <c r="C416" i="1"/>
  <c r="A413" i="1"/>
  <c r="B408" i="1"/>
  <c r="B404" i="1"/>
  <c r="A400" i="1"/>
  <c r="B395" i="1"/>
  <c r="C391" i="1"/>
  <c r="A387" i="1"/>
  <c r="A383" i="1"/>
  <c r="C378" i="1"/>
  <c r="A374" i="1"/>
  <c r="B370" i="1"/>
  <c r="C365" i="1"/>
  <c r="C361" i="1"/>
  <c r="B357" i="1"/>
  <c r="C352" i="1"/>
  <c r="A349" i="1"/>
  <c r="B344" i="1"/>
  <c r="B340" i="1"/>
  <c r="A336" i="1"/>
  <c r="B331" i="1"/>
  <c r="C327" i="1"/>
  <c r="A323" i="1"/>
  <c r="A319" i="1"/>
  <c r="C314" i="1"/>
  <c r="A310" i="1"/>
  <c r="B306" i="1"/>
  <c r="B302" i="1"/>
  <c r="B299" i="1"/>
  <c r="B296" i="1"/>
  <c r="B293" i="1"/>
  <c r="B290" i="1"/>
  <c r="B287" i="1"/>
  <c r="B284" i="1"/>
  <c r="A281" i="1"/>
  <c r="A278" i="1"/>
  <c r="A275" i="1"/>
  <c r="A272" i="1"/>
  <c r="A269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472" i="1"/>
  <c r="A464" i="1"/>
  <c r="C457" i="1"/>
  <c r="B452" i="1"/>
  <c r="A447" i="1"/>
  <c r="C441" i="1"/>
  <c r="B436" i="1"/>
  <c r="A431" i="1"/>
  <c r="C425" i="1"/>
  <c r="A421" i="1"/>
  <c r="B416" i="1"/>
  <c r="B412" i="1"/>
  <c r="A408" i="1"/>
  <c r="B403" i="1"/>
  <c r="C399" i="1"/>
  <c r="A395" i="1"/>
  <c r="A391" i="1"/>
  <c r="C386" i="1"/>
  <c r="A382" i="1"/>
  <c r="B378" i="1"/>
  <c r="C373" i="1"/>
  <c r="C369" i="1"/>
  <c r="B365" i="1"/>
  <c r="C360" i="1"/>
  <c r="A357" i="1"/>
  <c r="B352" i="1"/>
  <c r="B348" i="1"/>
  <c r="A344" i="1"/>
  <c r="B339" i="1"/>
  <c r="C335" i="1"/>
  <c r="A331" i="1"/>
  <c r="A327" i="1"/>
  <c r="C322" i="1"/>
  <c r="A318" i="1"/>
  <c r="B314" i="1"/>
  <c r="C309" i="1"/>
  <c r="C305" i="1"/>
  <c r="A302" i="1"/>
  <c r="A299" i="1"/>
  <c r="A296" i="1"/>
  <c r="A293" i="1"/>
  <c r="A290" i="1"/>
  <c r="A287" i="1"/>
  <c r="C283" i="1"/>
  <c r="C280" i="1"/>
  <c r="C277" i="1"/>
  <c r="C274" i="1"/>
  <c r="C271" i="1"/>
  <c r="C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469" i="1"/>
  <c r="A463" i="1"/>
  <c r="B456" i="1"/>
  <c r="A451" i="1"/>
  <c r="C445" i="1"/>
  <c r="B440" i="1"/>
  <c r="A435" i="1"/>
  <c r="C429" i="1"/>
  <c r="B424" i="1"/>
  <c r="B420" i="1"/>
  <c r="A416" i="1"/>
  <c r="B411" i="1"/>
  <c r="C407" i="1"/>
  <c r="A403" i="1"/>
  <c r="A399" i="1"/>
  <c r="C394" i="1"/>
  <c r="A390" i="1"/>
  <c r="B386" i="1"/>
  <c r="C381" i="1"/>
  <c r="C377" i="1"/>
  <c r="B373" i="1"/>
  <c r="C368" i="1"/>
  <c r="A365" i="1"/>
  <c r="B360" i="1"/>
  <c r="B356" i="1"/>
  <c r="A352" i="1"/>
  <c r="B347" i="1"/>
  <c r="C343" i="1"/>
  <c r="A339" i="1"/>
  <c r="A335" i="1"/>
  <c r="C330" i="1"/>
  <c r="A326" i="1"/>
  <c r="B322" i="1"/>
  <c r="C317" i="1"/>
  <c r="C313" i="1"/>
  <c r="B309" i="1"/>
  <c r="C304" i="1"/>
  <c r="C301" i="1"/>
  <c r="C298" i="1"/>
  <c r="C295" i="1"/>
  <c r="C292" i="1"/>
  <c r="C289" i="1"/>
  <c r="B286" i="1"/>
  <c r="B283" i="1"/>
  <c r="B280" i="1"/>
  <c r="B277" i="1"/>
  <c r="B274" i="1"/>
  <c r="B271" i="1"/>
  <c r="B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B469" i="1"/>
  <c r="C461" i="1"/>
  <c r="A456" i="1"/>
  <c r="C450" i="1"/>
  <c r="B445" i="1"/>
  <c r="A440" i="1"/>
  <c r="C434" i="1"/>
  <c r="B429" i="1"/>
  <c r="A424" i="1"/>
  <c r="B419" i="1"/>
  <c r="C415" i="1"/>
  <c r="A411" i="1"/>
  <c r="A407" i="1"/>
  <c r="C402" i="1"/>
  <c r="A398" i="1"/>
  <c r="B394" i="1"/>
  <c r="C389" i="1"/>
  <c r="C385" i="1"/>
  <c r="B381" i="1"/>
  <c r="C376" i="1"/>
  <c r="A373" i="1"/>
  <c r="B368" i="1"/>
  <c r="B364" i="1"/>
  <c r="A360" i="1"/>
  <c r="B355" i="1"/>
  <c r="C351" i="1"/>
  <c r="A347" i="1"/>
  <c r="A343" i="1"/>
  <c r="C338" i="1"/>
  <c r="A334" i="1"/>
  <c r="B330" i="1"/>
  <c r="C325" i="1"/>
  <c r="C321" i="1"/>
  <c r="B317" i="1"/>
  <c r="C312" i="1"/>
  <c r="A309" i="1"/>
  <c r="B304" i="1"/>
  <c r="B301" i="1"/>
  <c r="B298" i="1"/>
  <c r="B295" i="1"/>
  <c r="B292" i="1"/>
  <c r="A289" i="1"/>
  <c r="A286" i="1"/>
  <c r="A283" i="1"/>
  <c r="A280" i="1"/>
  <c r="A277" i="1"/>
  <c r="A274" i="1"/>
  <c r="A271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B468" i="1"/>
  <c r="B461" i="1"/>
  <c r="C455" i="1"/>
  <c r="B450" i="1"/>
  <c r="A445" i="1"/>
  <c r="C439" i="1"/>
  <c r="B434" i="1"/>
  <c r="A429" i="1"/>
  <c r="C423" i="1"/>
  <c r="A419" i="1"/>
  <c r="A415" i="1"/>
  <c r="C410" i="1"/>
  <c r="A406" i="1"/>
  <c r="B402" i="1"/>
  <c r="C397" i="1"/>
  <c r="C393" i="1"/>
  <c r="B389" i="1"/>
  <c r="C384" i="1"/>
  <c r="A381" i="1"/>
  <c r="B376" i="1"/>
  <c r="B372" i="1"/>
  <c r="A368" i="1"/>
  <c r="B363" i="1"/>
  <c r="C359" i="1"/>
  <c r="A355" i="1"/>
  <c r="A351" i="1"/>
  <c r="C346" i="1"/>
  <c r="A342" i="1"/>
  <c r="B338" i="1"/>
  <c r="C333" i="1"/>
  <c r="C329" i="1"/>
  <c r="B325" i="1"/>
  <c r="C320" i="1"/>
  <c r="A317" i="1"/>
  <c r="B312" i="1"/>
  <c r="B308" i="1"/>
  <c r="A304" i="1"/>
  <c r="A301" i="1"/>
  <c r="A298" i="1"/>
  <c r="A295" i="1"/>
  <c r="C291" i="1"/>
  <c r="C288" i="1"/>
  <c r="C285" i="1"/>
  <c r="C282" i="1"/>
  <c r="C279" i="1"/>
  <c r="C276" i="1"/>
  <c r="C273" i="1"/>
  <c r="B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C61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17" i="1"/>
  <c r="A12" i="1"/>
  <c r="A4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C14" i="1"/>
  <c r="B9" i="1"/>
  <c r="C6" i="1"/>
  <c r="A5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6" i="1"/>
  <c r="B7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C5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A10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C4" i="1"/>
</calcChain>
</file>

<file path=xl/sharedStrings.xml><?xml version="1.0" encoding="utf-8"?>
<sst xmlns="http://schemas.openxmlformats.org/spreadsheetml/2006/main" count="58" uniqueCount="31">
  <si>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</si>
  <si>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</si>
  <si>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</si>
  <si>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</si>
  <si>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</si>
  <si>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</si>
  <si>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</si>
  <si>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</si>
  <si>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</si>
  <si>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</si>
  <si>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</si>
  <si>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</si>
  <si>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</si>
  <si>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</si>
  <si>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</si>
  <si>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</si>
  <si>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</si>
  <si>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</si>
  <si>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TradingTicket</t>
  </si>
  <si>
    <t>CreateLiveOrder</t>
  </si>
  <si>
    <t>MSFT</t>
  </si>
  <si>
    <t>Sell</t>
  </si>
  <si>
    <t>Allocation1</t>
  </si>
  <si>
    <t>CheckPendingNewOrderAlert</t>
  </si>
  <si>
    <t>Blotter</t>
  </si>
  <si>
    <t>VerifyOrder</t>
  </si>
  <si>
    <t>USD</t>
  </si>
  <si>
    <t>Equity</t>
  </si>
  <si>
    <t>New</t>
  </si>
  <si>
    <t>MS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</si>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</sst>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5" t="s">
        <v>0</v>
      </c>
      <c r="B1" s="36"/>
      <c r="C1" s="36"/>
      <c r="D1" s="36"/>
      <c r="E1" s="36"/>
      <c r="F1" s="37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 x14ac:dyDescent="0.2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 x14ac:dyDescent="0.2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 x14ac:dyDescent="0.2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 x14ac:dyDescent="0.2">
      <c r="A489" t="str">
        <f ca="1">IFERROR(__xludf.DUMMYFUNCTION("""COMPUTED_VALUE"""),"Admin")</f>
        <v>Admin</v>
      </c>
      <c r="B489" t="str">
        <f ca="1">IFERROR(__xludf.DUMMYFUNCTION("""COMPUTED_VALUE"""),"EnableBreakdownRealizedPNL")</f>
        <v>EnableBreakdownRealizedPNL</v>
      </c>
      <c r="C489" t="str">
        <f ca="1">IFERROR(__xludf.DUMMYFUNCTION("""COMPUTED_VALUE"""),"1MsdAMudFZTDN6c4GJMzmiY0zvgautsPJWcDY1jxOGP0")</f>
        <v>1MsdAMudFZTDN6c4GJMzmiY0zvgautsPJWcDY1jxOGP0</v>
      </c>
    </row>
    <row r="490" spans="1:3" ht="15.75" customHeight="1" x14ac:dyDescent="0.2">
      <c r="A490" t="str">
        <f ca="1">IFERROR(__xludf.DUMMYFUNCTION("""COMPUTED_VALUE"""),"Admin")</f>
        <v>Admin</v>
      </c>
      <c r="B490" t="str">
        <f ca="1">IFERROR(__xludf.DUMMYFUNCTION("""COMPUTED_VALUE"""),"SetTTGeneralPreferences")</f>
        <v>SetTTGeneralPreferences</v>
      </c>
      <c r="C490" t="str">
        <f ca="1">IFERROR(__xludf.DUMMYFUNCTION("""COMPUTED_VALUE"""),"1VU4CqD-ZRcRyvM1M2otqULbHS-fnUmcO_NcgQMsS9rE")</f>
        <v>1VU4CqD-ZRcRyvM1M2otqULbHS-fnUmcO_NcgQMsS9rE</v>
      </c>
    </row>
    <row r="491" spans="1:3" ht="15.75" customHeight="1" x14ac:dyDescent="0.2">
      <c r="A491" t="str">
        <f ca="1">IFERROR(__xludf.DUMMYFUNCTION("""COMPUTED_VALUE"""),"Blotter")</f>
        <v>Blotter</v>
      </c>
      <c r="B491" t="str">
        <f ca="1">IFERROR(__xludf.DUMMYFUNCTION("""COMPUTED_VALUE"""),"OpenBlotter")</f>
        <v>OpenBlotter</v>
      </c>
      <c r="C491" t="str">
        <f ca="1">IFERROR(__xludf.DUMMYFUNCTION("""COMPUTED_VALUE"""),"12ceIzEYIShy-_njSlPPAl07iNZK9EY7UC-GDAyLFzV4")</f>
        <v>12ceIzEYIShy-_njSlPPAl07iNZK9EY7UC-GDAyLFzV4</v>
      </c>
    </row>
    <row r="492" spans="1:3" ht="15.75" customHeight="1" x14ac:dyDescent="0.2"/>
    <row r="493" spans="1:3" ht="15.75" customHeight="1" x14ac:dyDescent="0.2"/>
    <row r="494" spans="1:3" ht="15.75" customHeight="1" x14ac:dyDescent="0.2"/>
    <row r="495" spans="1:3" ht="15.75" customHeight="1" x14ac:dyDescent="0.2"/>
    <row r="496" spans="1:3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8" t="s">
        <v>2</v>
      </c>
      <c r="B1" s="36"/>
      <c r="C1" s="37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5" t="s">
        <v>7</v>
      </c>
      <c r="B1" s="36"/>
      <c r="C1" s="36"/>
      <c r="D1" s="36"/>
      <c r="E1" s="36"/>
      <c r="F1" s="37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J17" activeCellId="1" sqref="J6 J17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/>
      <c r="E6" s="25"/>
      <c r="F6" s="5"/>
      <c r="G6" s="7" t="b">
        <v>1</v>
      </c>
      <c r="H6" s="5"/>
      <c r="I6" s="5"/>
      <c r="J6" s="7">
        <v>30</v>
      </c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26"/>
      <c r="B10" s="26"/>
      <c r="C10" s="26"/>
      <c r="D10" s="27"/>
      <c r="E10" s="26"/>
      <c r="F10" s="26"/>
      <c r="G10" s="28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9"/>
      <c r="T10" s="29"/>
      <c r="U10" s="26"/>
      <c r="V10" s="26"/>
      <c r="W10" s="26"/>
      <c r="X10" s="26"/>
      <c r="Y10" s="26"/>
      <c r="Z10" s="26"/>
      <c r="AA10" s="26"/>
      <c r="AB10" s="26"/>
      <c r="AC10" s="26"/>
      <c r="AD10" s="29"/>
      <c r="AE10" s="26"/>
      <c r="AF10" s="26"/>
      <c r="AG10" s="29"/>
      <c r="AH10" s="26"/>
      <c r="AI10" s="26"/>
      <c r="AJ10" s="26"/>
      <c r="AK10" s="26"/>
      <c r="AL10" s="30"/>
      <c r="AM10" s="26"/>
      <c r="AN10" s="26"/>
      <c r="AO10" s="26"/>
      <c r="AP10" s="26"/>
      <c r="AQ10" s="29"/>
      <c r="AR10" s="29"/>
      <c r="AS10" s="26"/>
      <c r="AT10" s="26"/>
      <c r="AU10" s="26"/>
      <c r="AV10" s="29"/>
      <c r="AW10" s="29"/>
      <c r="AX10" s="26"/>
      <c r="AY10" s="30"/>
      <c r="AZ10" s="30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6"/>
      <c r="B6" s="31" t="s">
        <v>20</v>
      </c>
      <c r="C6" s="31" t="s">
        <v>21</v>
      </c>
      <c r="D6" s="32">
        <v>1000</v>
      </c>
      <c r="E6" s="32">
        <v>1000</v>
      </c>
      <c r="F6" s="31" t="s">
        <v>22</v>
      </c>
      <c r="G6" s="31"/>
      <c r="H6" s="31"/>
      <c r="I6" s="31"/>
      <c r="J6" s="33">
        <v>10</v>
      </c>
      <c r="K6" s="31"/>
      <c r="L6" s="31"/>
      <c r="M6" s="31"/>
      <c r="N6" s="31"/>
      <c r="O6" s="31"/>
      <c r="P6" s="31"/>
      <c r="Q6" s="31"/>
      <c r="R6" s="31"/>
      <c r="S6" s="31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IFERROR(__xludf.DUMMYFUNCTION("""COMPUTED_VALUE"""),"PendingNewOrderAlertTime")</f>
        <v>PendingNewOrderAlertTime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30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31"/>
      <c r="B6" s="31"/>
      <c r="C6" s="31"/>
      <c r="D6" s="33">
        <v>0</v>
      </c>
      <c r="E6" s="31"/>
      <c r="F6" s="31"/>
      <c r="G6" s="32">
        <v>1000</v>
      </c>
      <c r="H6" s="31"/>
      <c r="I6" s="31"/>
      <c r="J6" s="31" t="s">
        <v>20</v>
      </c>
      <c r="K6" s="31"/>
      <c r="L6" s="31"/>
      <c r="M6" s="31"/>
      <c r="N6" s="31"/>
      <c r="O6" s="31"/>
      <c r="P6" s="31"/>
      <c r="Q6" s="31"/>
      <c r="R6" s="31"/>
      <c r="S6" s="34">
        <v>0</v>
      </c>
      <c r="T6" s="29">
        <v>0</v>
      </c>
      <c r="U6" s="26" t="s">
        <v>26</v>
      </c>
      <c r="V6" s="26"/>
      <c r="W6" s="26"/>
      <c r="X6" s="26"/>
      <c r="Y6" s="26"/>
      <c r="Z6" s="26"/>
      <c r="AA6" s="26"/>
      <c r="AB6" s="26"/>
      <c r="AC6" s="26"/>
      <c r="AD6" s="29">
        <v>1</v>
      </c>
      <c r="AE6" s="26"/>
      <c r="AF6" s="26"/>
      <c r="AG6" s="29">
        <v>0</v>
      </c>
      <c r="AH6" s="26" t="s">
        <v>27</v>
      </c>
      <c r="AI6" s="26" t="s">
        <v>20</v>
      </c>
      <c r="AJ6" s="26" t="s">
        <v>21</v>
      </c>
      <c r="AK6" s="26" t="s">
        <v>28</v>
      </c>
      <c r="AL6" s="30">
        <v>1000</v>
      </c>
      <c r="AM6" s="26"/>
      <c r="AN6" s="26"/>
      <c r="AO6" s="26"/>
      <c r="AP6" s="26"/>
      <c r="AQ6" s="29">
        <v>0</v>
      </c>
      <c r="AR6" s="29">
        <v>0</v>
      </c>
      <c r="AS6" s="26" t="s">
        <v>29</v>
      </c>
      <c r="AT6" s="26" t="s">
        <v>22</v>
      </c>
      <c r="AU6" s="26" t="s">
        <v>30</v>
      </c>
      <c r="AV6" s="29">
        <v>0</v>
      </c>
      <c r="AW6" s="29">
        <v>0</v>
      </c>
      <c r="AX6" s="26"/>
      <c r="AY6" s="30">
        <v>1000</v>
      </c>
      <c r="AZ6" s="30">
        <v>1000</v>
      </c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_Modules</vt:lpstr>
      <vt:lpstr>_Settings</vt:lpstr>
      <vt:lpstr>_MasterData</vt:lpstr>
      <vt:lpstr>SetTradingComplianceRules</vt:lpstr>
      <vt:lpstr>ShowMasterFundOnTT</vt:lpstr>
      <vt:lpstr>CreateLiveOrder</vt:lpstr>
      <vt:lpstr>CheckPendingNewOrderAlert</vt:lpstr>
      <vt:lpstr>VerifyOrder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2021-08-25T12:21:30Z</dcterms:modified>
</cp:coreProperties>
</file>