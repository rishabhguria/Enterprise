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roupRowPM" sheetId="5" r:id="rId7"/>
    <sheet state="visible" name="CheckSummaryRowsPM" sheetId="6" r:id="rId8"/>
  </sheets>
  <definedNames/>
  <calcPr/>
</workbook>
</file>

<file path=xl/sharedStrings.xml><?xml version="1.0" encoding="utf-8"?>
<sst xmlns="http://schemas.openxmlformats.org/spreadsheetml/2006/main" count="41" uniqueCount="26">
  <si>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</si>
  <si>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</si>
  <si>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</si>
  <si>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</si>
  <si>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</si>
  <si>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</si>
  <si>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</si>
  <si>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</si>
  <si>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</si>
  <si>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</si>
  <si>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</si>
  <si>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</si>
  <si>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</si>
  <si>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</si>
  <si>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</si>
  <si>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</si>
  <si>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</si>
  <si>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</si>
  <si>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Sell</t>
  </si>
  <si>
    <t>PortfolioManagement</t>
  </si>
  <si>
    <t>GroupRowPM</t>
  </si>
  <si>
    <t>Symbol,Account,Asset Class</t>
  </si>
  <si>
    <t>CheckSummaryRowsPM</t>
  </si>
  <si>
    <t>Allocation1</t>
  </si>
  <si>
    <t>NewMF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</si>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</sst>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4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3" numFmtId="164" xfId="0" applyAlignment="1" applyFont="1" applyNumberFormat="1">
      <alignment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right" readingOrder="0" vertical="bottom"/>
    </xf>
    <xf borderId="0" fillId="0" fontId="3" numFmtId="3" xfId="0" applyAlignment="1" applyFont="1" applyNumberFormat="1">
      <alignment vertical="bottom"/>
    </xf>
    <xf borderId="0" fillId="0" fontId="16" numFmtId="0" xfId="0" applyAlignment="1" applyFont="1">
      <alignment readingOrder="0" shrinkToFit="0" vertical="bottom" wrapText="0"/>
    </xf>
    <xf borderId="0" fillId="0" fontId="3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/>
      <c r="F6" s="35"/>
      <c r="G6" s="35"/>
      <c r="H6" s="35"/>
      <c r="I6" s="35"/>
      <c r="J6" s="36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16</v>
      </c>
      <c r="C7" s="37" t="s">
        <v>18</v>
      </c>
      <c r="D7" s="36">
        <v>100.0</v>
      </c>
      <c r="E7" s="35"/>
      <c r="F7" s="35"/>
      <c r="G7" s="35"/>
      <c r="H7" s="35"/>
      <c r="I7" s="35"/>
      <c r="J7" s="36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GroupRowPM!$4:$4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IFERROR(__xludf.DUMMYFUNCTION("""COMPUTED_VALUE"""),"Trader")</f>
        <v>Trader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IFERROR(__xludf.DUMMYFUNCTION("""COMPUTED_VALUE"""),"% Day Return (Gross MV)")</f>
        <v>% Day Return (Gross MV)</v>
      </c>
      <c r="CU5" s="30" t="str">
        <f>IFERROR(__xludf.DUMMYFUNCTION("""COMPUTED_VALUE"""),"Carry")</f>
        <v>Carry</v>
      </c>
      <c r="CV5" s="30" t="str">
        <f>IFERROR(__xludf.DUMMYFUNCTION("""COMPUTED_VALUE"""),"Trade TEST")</f>
        <v>Trade TEST</v>
      </c>
      <c r="CW5" s="30" t="str">
        <f>IFERROR(__xludf.DUMMYFUNCTION("""COMPUTED_VALUE"""),"Trade Attribute 3")</f>
        <v>Trade Attribute 3</v>
      </c>
      <c r="CX5" s="30" t="str">
        <f>IFERROR(__xludf.DUMMYFUNCTION("""COMPUTED_VALUE"""),"Trade Attribute 4")</f>
        <v>Trade Attribute 4</v>
      </c>
      <c r="CY5" s="30" t="str">
        <f>IFERROR(__xludf.DUMMYFUNCTION("""COMPUTED_VALUE"""),"Trade Attribute 5")</f>
        <v>Trade Attribute 5</v>
      </c>
      <c r="CZ5" s="30" t="str">
        <f>IFERROR(__xludf.DUMMYFUNCTION("""COMPUTED_VALUE"""),"Trade Attribute 6")</f>
        <v>Trade Attribute 6</v>
      </c>
      <c r="DA5" s="30" t="str">
        <f>IFERROR(__xludf.DUMMYFUNCTION("""COMPUTED_VALUE"""),"Proxy Symbol")</f>
        <v>Proxy Symbol</v>
      </c>
      <c r="DB5" s="30" t="str">
        <f>IFERROR(__xludf.DUMMYFUNCTION("""COMPUTED_VALUE"""),"Pricing Source")</f>
        <v>Pricing Source</v>
      </c>
      <c r="DC5" s="30" t="str">
        <f>IFERROR(__xludf.DUMMYFUNCTION("""COMPUTED_VALUE"""),"Delta Source")</f>
        <v>Delta Source</v>
      </c>
      <c r="DD5" s="30" t="str">
        <f>IFERROR(__xludf.DUMMYFUNCTION("""COMPUTED_VALUE"""),"Gross Exposure (Local)")</f>
        <v>Gross Exposure (Local)</v>
      </c>
      <c r="DE5" s="30" t="str">
        <f>IFERROR(__xludf.DUMMYFUNCTION("""COMPUTED_VALUE"""),"% Day P&amp;L (Net MV)")</f>
        <v>% Day P&amp;L (Net MV)</v>
      </c>
      <c r="DF5" s="30" t="str">
        <f>IFERROR(__xludf.DUMMYFUNCTION("""COMPUTED_VALUE"""),"Expiration Month")</f>
        <v>Expiration Month</v>
      </c>
      <c r="DG5" s="30" t="str">
        <f>IFERROR(__xludf.DUMMYFUNCTION("""COMPUTED_VALUE"""),"Delta Adj. Position (LME)")</f>
        <v>Delta Adj. Position (LME)</v>
      </c>
      <c r="DH5" s="30" t="str">
        <f>IFERROR(__xludf.DUMMYFUNCTION("""COMPUTED_VALUE"""),"Premium")</f>
        <v>Premium</v>
      </c>
      <c r="DI5" s="30" t="str">
        <f>IFERROR(__xludf.DUMMYFUNCTION("""COMPUTED_VALUE"""),"Premium $")</f>
        <v>Premium $</v>
      </c>
      <c r="DJ5" s="30" t="str">
        <f>IFERROR(__xludf.DUMMYFUNCTION("""COMPUTED_VALUE"""),"Forward Points")</f>
        <v>Forward Points</v>
      </c>
      <c r="DK5" s="30" t="str">
        <f>IFERROR(__xludf.DUMMYFUNCTION("""COMPUTED_VALUE"""),"Strike Gap Risk")</f>
        <v>Strike Gap Risk</v>
      </c>
      <c r="DL5" s="30" t="str">
        <f>IFERROR(__xludf.DUMMYFUNCTION("""COMPUTED_VALUE"""),"Strike Gap Exposure")</f>
        <v>Strike Gap Exposure</v>
      </c>
      <c r="DM5" s="30" t="str">
        <f>IFERROR(__xludf.DUMMYFUNCTION("""COMPUTED_VALUE"""),"Closing Mark (Underlying)")</f>
        <v>Closing Mark (Underlying)</v>
      </c>
      <c r="DN5" s="30" t="str">
        <f>IFERROR(__xludf.DUMMYFUNCTION("""COMPUTED_VALUE"""),"% Change (Underlying Price)")</f>
        <v>% Change (Underlying Price)</v>
      </c>
      <c r="DO5" s="30" t="str">
        <f>IFERROR(__xludf.DUMMYFUNCTION("""COMPUTED_VALUE"""),"Transaction Type")</f>
        <v>Transaction Type</v>
      </c>
      <c r="DP5" s="30" t="str">
        <f>IFERROR(__xludf.DUMMYFUNCTION("""COMPUTED_VALUE"""),"Closing Market Value (Local)")</f>
        <v>Closing Market Value (Local)</v>
      </c>
      <c r="DQ5" s="30" t="str">
        <f>IFERROR(__xludf.DUMMYFUNCTION("""COMPUTED_VALUE"""),"Closing Market Value (Base)")</f>
        <v>Closing Market Value (Base)</v>
      </c>
      <c r="DR5" s="30" t="str">
        <f>IFERROR(__xludf.DUMMYFUNCTION("""COMPUTED_VALUE"""),"Closing FX Rate")</f>
        <v>Closing FX Rate</v>
      </c>
      <c r="DS5" s="30" t="str">
        <f>IFERROR(__xludf.DUMMYFUNCTION("""COMPUTED_VALUE"""),"Change In Underlying Price")</f>
        <v>Change In Underlying Price</v>
      </c>
      <c r="DT5" s="30" t="str">
        <f>IFERROR(__xludf.DUMMYFUNCTION("""COMPUTED_VALUE"""),"RIC")</f>
        <v>RIC</v>
      </c>
      <c r="DU5" s="30" t="str">
        <f>IFERROR(__xludf.DUMMYFUNCTION("""COMPUTED_VALUE"""),"Position Side Exposure (Boxed)")</f>
        <v>Position Side Exposure (Boxed)</v>
      </c>
      <c r="DV5" s="30" t="str">
        <f>IFERROR(__xludf.DUMMYFUNCTION("""COMPUTED_VALUE"""),"Analyst")</f>
        <v>Analyst</v>
      </c>
      <c r="DW5" s="30" t="str">
        <f>IFERROR(__xludf.DUMMYFUNCTION("""COMPUTED_VALUE"""),"Country Of Risk")</f>
        <v>Country Of Risk</v>
      </c>
      <c r="DX5" s="30" t="str">
        <f>IFERROR(__xludf.DUMMYFUNCTION("""COMPUTED_VALUE"""),"Custom UDA1")</f>
        <v>Custom UDA1</v>
      </c>
      <c r="DY5" s="30" t="str">
        <f>IFERROR(__xludf.DUMMYFUNCTION("""COMPUTED_VALUE"""),"Custom UDA2")</f>
        <v>Custom UDA2</v>
      </c>
      <c r="DZ5" s="30" t="str">
        <f>IFERROR(__xludf.DUMMYFUNCTION("""COMPUTED_VALUE"""),"Custom UDA3")</f>
        <v>Custom UDA3</v>
      </c>
      <c r="EA5" s="30" t="str">
        <f>IFERROR(__xludf.DUMMYFUNCTION("""COMPUTED_VALUE"""),"Custom UDA4")</f>
        <v>Custom UDA4</v>
      </c>
      <c r="EB5" s="30" t="str">
        <f>IFERROR(__xludf.DUMMYFUNCTION("""COMPUTED_VALUE"""),"Custom UDA5")</f>
        <v>Custom UDA5</v>
      </c>
      <c r="EC5" s="30" t="str">
        <f>IFERROR(__xludf.DUMMYFUNCTION("""COMPUTED_VALUE"""),"Custom UDA6")</f>
        <v>Custom UDA6</v>
      </c>
      <c r="ED5" s="30" t="str">
        <f>IFERROR(__xludf.DUMMYFUNCTION("""COMPUTED_VALUE"""),"Custom UDA7")</f>
        <v>Custom UDA7</v>
      </c>
      <c r="EE5" s="30" t="str">
        <f>IFERROR(__xludf.DUMMYFUNCTION("""COMPUTED_VALUE"""),"Issuer")</f>
        <v>Issuer</v>
      </c>
      <c r="EF5" s="30" t="str">
        <f>IFERROR(__xludf.DUMMYFUNCTION("""COMPUTED_VALUE"""),"Liquid Tag")</f>
        <v>Liquid Tag</v>
      </c>
      <c r="EG5" s="30" t="str">
        <f>IFERROR(__xludf.DUMMYFUNCTION("""COMPUTED_VALUE"""),"Market Cap UDA")</f>
        <v>Market Cap UDA</v>
      </c>
      <c r="EH5" s="30" t="str">
        <f>IFERROR(__xludf.DUMMYFUNCTION("""COMPUTED_VALUE"""),"Region")</f>
        <v>Region</v>
      </c>
      <c r="EI5" s="30" t="str">
        <f>IFERROR(__xludf.DUMMYFUNCTION("""COMPUTED_VALUE"""),"Risk Currency")</f>
        <v>Risk Currency</v>
      </c>
      <c r="EJ5" s="30" t="str">
        <f>IFERROR(__xludf.DUMMYFUNCTION("""COMPUTED_VALUE"""),"UCITS Eligible Tag")</f>
        <v>UCITS Eligible Tag</v>
      </c>
      <c r="EK5" s="30" t="str">
        <f>IFERROR(__xludf.DUMMYFUNCTION("""COMPUTED_VALUE"""),"FX Rate (Display)")</f>
        <v>FX Rate (Display)</v>
      </c>
      <c r="EL5" s="30" t="str">
        <f>IFERROR(__xludf.DUMMYFUNCTION("""COMPUTED_VALUE"""),"% Net Exposure (Base)")</f>
        <v>% Net Exposure (Base)</v>
      </c>
      <c r="EM5" s="30" t="str">
        <f>IFERROR(__xludf.DUMMYFUNCTION("""COMPUTED_VALUE"""),"% Gross Exposure (Base)")</f>
        <v>% Gross Exposure (Base)</v>
      </c>
      <c r="EN5" s="30" t="str">
        <f>IFERROR(__xludf.DUMMYFUNCTION("""COMPUTED_VALUE"""),"% Exposure (Base)")</f>
        <v>% Exposure (Base)</v>
      </c>
      <c r="EO5" s="30" t="str">
        <f>IFERROR(__xludf.DUMMYFUNCTION("""COMPUTED_VALUE"""),"% Gross Exposure (Underlying) (Base)")</f>
        <v>% Gross Exposure (Underlying) (Base)</v>
      </c>
      <c r="EP5" s="30" t="str">
        <f>IFERROR(__xludf.DUMMYFUNCTION("""COMPUTED_VALUE"""),"% Beta Adj. Gross Exposure (Base)")</f>
        <v>% Beta Adj. Gross Exposure (Base)</v>
      </c>
      <c r="EQ5" s="30" t="str">
        <f>IFERROR(__xludf.DUMMYFUNCTION("""COMPUTED_VALUE"""),"Position Side Exposure (Underlying)")</f>
        <v>Position Side Exposure (Underlying)</v>
      </c>
      <c r="ER5" s="30" t="str">
        <f>IFERROR(__xludf.DUMMYFUNCTION("""COMPUTED_VALUE"""),"Gross Exposure (Underlying) (Base)")</f>
        <v>Gross Exposure (Underlying) (Base)</v>
      </c>
      <c r="ES5" s="30" t="str">
        <f>IFERROR(__xludf.DUMMYFUNCTION("""COMPUTED_VALUE"""),"Gross Exposure (Underlying)")</f>
        <v>Gross Exposure (Underlying)</v>
      </c>
      <c r="ET5" s="30" t="str">
        <f>IFERROR(__xludf.DUMMYFUNCTION("""COMPUTED_VALUE"""),"Day Return")</f>
        <v>Day Return</v>
      </c>
      <c r="EU5" s="30" t="str">
        <f>IFERROR(__xludf.DUMMYFUNCTION("""COMPUTED_VALUE"""),"Start of Day NAV")</f>
        <v>Start of Day NAV</v>
      </c>
      <c r="EV5" s="30" t="str">
        <f>IFERROR(__xludf.DUMMYFUNCTION("""COMPUTED_VALUE"""),"% Gross Market Value (Base)")</f>
        <v>% Gross Market Value (Base)</v>
      </c>
      <c r="EW5" s="30" t="str">
        <f>IFERROR(__xludf.DUMMYFUNCTION("""COMPUTED_VALUE"""),"Beta Adj. Gross Exposure (Underlying) (Local)")</f>
        <v>Beta Adj. Gross Exposure (Underlying) (Local)</v>
      </c>
      <c r="EX5" s="30" t="str">
        <f>IFERROR(__xludf.DUMMYFUNCTION("""COMPUTED_VALUE"""),"NAV")</f>
        <v>NAV</v>
      </c>
      <c r="EY5" s="30" t="str">
        <f>IFERROR(__xludf.DUMMYFUNCTION("""COMPUTED_VALUE"""),"% P&amp;L Contribution")</f>
        <v>% P&amp;L Contribution</v>
      </c>
      <c r="EZ5" s="30" t="str">
        <f>IFERROR(__xludf.DUMMYFUNCTION("""COMPUTED_VALUE"""),"% Net Market Value (Base)")</f>
        <v>% Net Market Value (Base)</v>
      </c>
      <c r="FA5" s="30" t="str">
        <f>IFERROR(__xludf.DUMMYFUNCTION("""COMPUTED_VALUE"""),"Position Side Exposure")</f>
        <v>Position Side Exposure</v>
      </c>
      <c r="FB5" s="30" t="str">
        <f>IFERROR(__xludf.DUMMYFUNCTION("""COMPUTED_VALUE"""),"NAV (Touch)")</f>
        <v>NAV (Touch)</v>
      </c>
      <c r="FC5" s="30" t="str">
        <f>IFERROR(__xludf.DUMMYFUNCTION("""COMPUTED_VALUE"""),"IgnorePropertyChangeEvents")</f>
        <v>IgnorePropertyChangeEvents</v>
      </c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31"/>
      <c r="B6" s="39"/>
      <c r="C6" s="40" t="s">
        <v>16</v>
      </c>
      <c r="D6" s="41">
        <v>0.0</v>
      </c>
      <c r="E6" s="40" t="s">
        <v>23</v>
      </c>
      <c r="F6" s="40" t="s">
        <v>24</v>
      </c>
      <c r="G6" s="40"/>
      <c r="H6" s="40"/>
      <c r="I6" s="35"/>
      <c r="J6" s="35"/>
      <c r="K6" s="35"/>
      <c r="L6" s="35"/>
      <c r="M6" s="35"/>
      <c r="N6" s="40"/>
      <c r="O6" s="40"/>
      <c r="P6" s="35"/>
      <c r="Q6" s="35"/>
      <c r="R6" s="40"/>
      <c r="S6" s="40"/>
      <c r="T6" s="40"/>
      <c r="U6" s="40"/>
      <c r="V6" s="40"/>
      <c r="W6" s="40"/>
      <c r="X6" s="35"/>
      <c r="Y6" s="40"/>
      <c r="Z6" s="40"/>
      <c r="AA6" s="35"/>
      <c r="AB6" s="35"/>
      <c r="AC6" s="35"/>
      <c r="AD6" s="35"/>
      <c r="AE6" s="35"/>
      <c r="AF6" s="35"/>
      <c r="AG6" s="35"/>
      <c r="AH6" s="35"/>
      <c r="AI6" s="42"/>
      <c r="AJ6" s="35"/>
      <c r="AK6" s="35"/>
      <c r="AL6" s="35"/>
      <c r="AM6" s="35"/>
      <c r="AN6" s="43" t="s">
        <v>25</v>
      </c>
      <c r="AO6" s="40"/>
      <c r="AP6" s="35"/>
      <c r="AQ6" s="35"/>
      <c r="AR6" s="40"/>
      <c r="AS6" s="40"/>
      <c r="AT6" s="35"/>
      <c r="AU6" s="35"/>
      <c r="AV6" s="35"/>
      <c r="AW6" s="35"/>
      <c r="AX6" s="35"/>
      <c r="AY6" s="35"/>
      <c r="AZ6" s="44"/>
      <c r="BA6" s="35"/>
      <c r="BB6" s="35"/>
      <c r="BC6" s="40"/>
      <c r="BD6" s="40"/>
      <c r="BE6" s="40"/>
      <c r="BF6" s="40"/>
      <c r="BG6" s="40"/>
      <c r="BH6" s="35"/>
      <c r="BI6" s="35"/>
      <c r="BJ6" s="35"/>
      <c r="BK6" s="35"/>
      <c r="BL6" s="44"/>
      <c r="BM6" s="35"/>
      <c r="BN6" s="35"/>
      <c r="BO6" s="40"/>
      <c r="BP6" s="40"/>
      <c r="BQ6" s="35"/>
      <c r="BR6" s="35"/>
      <c r="BS6" s="40"/>
      <c r="BT6" s="35"/>
      <c r="BU6" s="35"/>
      <c r="BV6" s="35"/>
      <c r="BW6" s="35"/>
      <c r="BX6" s="35"/>
      <c r="BY6" s="35"/>
      <c r="BZ6" s="35"/>
      <c r="CA6" s="39"/>
      <c r="CB6" s="35"/>
      <c r="CC6" s="35"/>
      <c r="CD6" s="35"/>
      <c r="CE6" s="35"/>
      <c r="CF6" s="35"/>
      <c r="CG6" s="35"/>
      <c r="CH6" s="35"/>
      <c r="CI6" s="35"/>
      <c r="CJ6" s="40"/>
      <c r="CK6" s="35"/>
      <c r="CL6" s="35"/>
      <c r="CM6" s="35"/>
      <c r="CN6" s="35"/>
      <c r="CO6" s="40"/>
      <c r="CP6" s="35"/>
      <c r="CQ6" s="39"/>
      <c r="CR6" s="35"/>
      <c r="CS6" s="35"/>
      <c r="CT6" s="35"/>
      <c r="CU6" s="35"/>
      <c r="CV6" s="35"/>
      <c r="CW6" s="35"/>
      <c r="CX6" s="35"/>
      <c r="CY6" s="35"/>
      <c r="CZ6" s="40"/>
      <c r="DA6" s="40"/>
      <c r="DB6" s="35"/>
      <c r="DC6" s="35"/>
      <c r="DD6" s="35"/>
      <c r="DE6" s="44"/>
      <c r="DF6" s="35"/>
      <c r="DG6" s="35"/>
      <c r="DH6" s="35"/>
      <c r="DI6" s="35"/>
      <c r="DJ6" s="40"/>
      <c r="DK6" s="35"/>
      <c r="DL6" s="40"/>
      <c r="DM6" s="35"/>
      <c r="DN6" s="35"/>
      <c r="DO6" s="35"/>
      <c r="DP6" s="35"/>
      <c r="DQ6" s="35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35"/>
      <c r="EI6" s="35"/>
      <c r="EJ6" s="35"/>
      <c r="EK6" s="35"/>
      <c r="EL6" s="35"/>
      <c r="EM6" s="35"/>
      <c r="EN6" s="40"/>
      <c r="EO6" s="35"/>
      <c r="EP6" s="35"/>
      <c r="EQ6" s="35"/>
      <c r="ER6" s="35"/>
      <c r="ES6" s="35"/>
      <c r="ET6" s="35"/>
      <c r="EU6" s="35"/>
      <c r="EV6" s="35"/>
      <c r="EW6" s="35"/>
      <c r="EX6" s="40"/>
      <c r="EY6" s="35"/>
      <c r="EZ6" s="40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CheckSummaryRowsPM!$4:$4</formula1>
    </dataValidation>
  </dataValidations>
  <drawing r:id="rId1"/>
</worksheet>
</file>