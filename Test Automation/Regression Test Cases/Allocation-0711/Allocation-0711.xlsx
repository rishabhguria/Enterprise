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CreateLiveOrder" sheetId="6" r:id="rId8"/>
    <sheet state="visible" name="SelectTrade1" sheetId="7" r:id="rId9"/>
    <sheet state="visible" name="AcknowledgeTrade1" sheetId="8" r:id="rId10"/>
    <sheet state="visible" name="ExecuteTrade1" sheetId="9" r:id="rId11"/>
    <sheet state="visible" name="SelectTrade2" sheetId="10" r:id="rId12"/>
    <sheet state="visible" name="AcknowledgeTrade2" sheetId="11" r:id="rId13"/>
    <sheet state="visible" name="ExecuteTrade2" sheetId="12" r:id="rId14"/>
    <sheet state="visible" name="SelectTrade3" sheetId="13" r:id="rId15"/>
    <sheet state="visible" name="AcknowledgeTrade3" sheetId="14" r:id="rId16"/>
    <sheet state="visible" name="ExecuteTrade3" sheetId="15" r:id="rId17"/>
    <sheet state="visible" name="GetDataAllocation" sheetId="16" r:id="rId18"/>
    <sheet state="visible" name="SelectAllocatedGroup" sheetId="17" r:id="rId19"/>
    <sheet state="visible" name="ReviewExistingPositions" sheetId="18" r:id="rId20"/>
    <sheet state="visible" name="CheckPortfolioManagement" sheetId="19" r:id="rId21"/>
    <sheet state="visible" name="SetAllocationPreferences" sheetId="20" r:id="rId22"/>
  </sheets>
  <definedNames/>
  <calcPr/>
</workbook>
</file>

<file path=xl/sharedStrings.xml><?xml version="1.0" encoding="utf-8"?>
<sst xmlns="http://schemas.openxmlformats.org/spreadsheetml/2006/main" count="166" uniqueCount="36">
  <si>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</si>
  <si>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</si>
  <si>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</si>
  <si>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</si>
  <si>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</si>
  <si>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</si>
  <si>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</si>
  <si>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</si>
  <si>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</si>
  <si>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</si>
  <si>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</si>
  <si>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</si>
  <si>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</si>
  <si>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</si>
  <si>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</si>
  <si>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</si>
  <si>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</si>
  <si>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</si>
  <si>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</si>
  <si>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</si>
  <si>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</si>
  <si>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Yes</t>
  </si>
  <si>
    <t>CreateLiveOrder</t>
  </si>
  <si>
    <t>Buy to Close</t>
  </si>
  <si>
    <t>Simulator</t>
  </si>
  <si>
    <t>SelectTrade</t>
  </si>
  <si>
    <t>AcknowledgeTrade</t>
  </si>
  <si>
    <t>ExecuteTrade</t>
  </si>
  <si>
    <t>GetDataAllocation</t>
  </si>
  <si>
    <t>Historical</t>
  </si>
  <si>
    <t>SelectAllocatedGroup</t>
  </si>
  <si>
    <t>ReviewExistingPositions</t>
  </si>
  <si>
    <t>PortfolioManagement</t>
  </si>
  <si>
    <t>CheckPortfolioManagement</t>
  </si>
  <si>
    <t>Admin</t>
  </si>
  <si>
    <t>SetAllocationPreferences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</si>
</sst>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B6" s="13" t="s">
        <v>18</v>
      </c>
      <c r="C6" s="13" t="s">
        <v>19</v>
      </c>
      <c r="D6" s="9">
        <v>37500.0</v>
      </c>
      <c r="F6" s="9" t="s">
        <v>20</v>
      </c>
      <c r="J6" s="9">
        <v>1.0</v>
      </c>
      <c r="AQ6" s="9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>
        <v>5000.0</v>
      </c>
      <c r="E6" s="31"/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  <c r="AO6" s="9" t="s">
        <v>21</v>
      </c>
    </row>
    <row r="7" ht="15.75" customHeight="1">
      <c r="A7" s="8"/>
      <c r="B7" s="13" t="s">
        <v>18</v>
      </c>
      <c r="C7" s="13" t="s">
        <v>23</v>
      </c>
      <c r="D7" s="13">
        <v>25000.0</v>
      </c>
      <c r="E7" s="8"/>
      <c r="F7" s="13" t="s">
        <v>20</v>
      </c>
      <c r="G7" s="8"/>
      <c r="H7" s="8"/>
      <c r="I7" s="8"/>
      <c r="J7" s="13">
        <v>1.0</v>
      </c>
      <c r="K7" s="8"/>
      <c r="L7" s="8"/>
      <c r="M7" s="8"/>
      <c r="N7" s="8"/>
      <c r="O7" s="8"/>
      <c r="AO7" s="9" t="s">
        <v>21</v>
      </c>
    </row>
    <row r="8" ht="15.75" customHeight="1">
      <c r="A8" s="8"/>
      <c r="B8" s="13" t="s">
        <v>18</v>
      </c>
      <c r="C8" s="13" t="s">
        <v>23</v>
      </c>
      <c r="D8" s="13">
        <v>7501.0</v>
      </c>
      <c r="E8" s="8"/>
      <c r="F8" s="13" t="s">
        <v>20</v>
      </c>
      <c r="G8" s="8"/>
      <c r="H8" s="8"/>
      <c r="I8" s="8"/>
      <c r="J8" s="13">
        <v>1.0</v>
      </c>
      <c r="K8" s="8"/>
      <c r="L8" s="8"/>
      <c r="M8" s="8"/>
      <c r="N8" s="8"/>
      <c r="O8" s="8"/>
      <c r="AO8" s="9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5000.0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E6" s="31"/>
      <c r="F6" s="8"/>
      <c r="G6" s="13">
        <v>25000.0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E6" s="31"/>
      <c r="F6" s="8"/>
      <c r="G6" s="13">
        <v>25000.0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25000.0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E6" s="31"/>
      <c r="F6" s="8"/>
      <c r="G6" s="13">
        <v>7501.0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E6" s="31"/>
      <c r="F6" s="8"/>
      <c r="G6" s="13">
        <v>7501.0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7501.0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32">
        <v>45636.0</v>
      </c>
      <c r="D6" s="32">
        <v>45637.0</v>
      </c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5000.0</v>
      </c>
      <c r="D6" s="13"/>
      <c r="E6" s="13" t="s">
        <v>20</v>
      </c>
      <c r="F6" s="13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>
        <v>1.0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18</v>
      </c>
      <c r="D6" s="13">
        <v>1.0</v>
      </c>
      <c r="E6" s="13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IFERROR(__xludf.DUMMYFUNCTION("""COMPUTED_VALUE"""),"CompanyId")</f>
        <v>CompanyId</v>
      </c>
      <c r="C5" s="28" t="str">
        <f>IFERROR(__xludf.DUMMYFUNCTION("""COMPUTED_VALUE"""),"AutoGroup")</f>
        <v>AutoGroup</v>
      </c>
      <c r="D5" s="28" t="str">
        <f>IFERROR(__xludf.DUMMYFUNCTION("""COMPUTED_VALUE"""),"TradeAttribute1")</f>
        <v>TradeAttribute1</v>
      </c>
      <c r="E5" s="28" t="str">
        <f>IFERROR(__xludf.DUMMYFUNCTION("""COMPUTED_VALUE"""),"TradeAttribute2")</f>
        <v>TradeAttribute2</v>
      </c>
      <c r="F5" s="29" t="str">
        <f>IFERROR(__xludf.DUMMYFUNCTION("""COMPUTED_VALUE"""),"TradeAttribute3")</f>
        <v>TradeAttribute3</v>
      </c>
      <c r="G5" s="28" t="str">
        <f>IFERROR(__xludf.DUMMYFUNCTION("""COMPUTED_VALUE"""),"TradeAttribute4")</f>
        <v>TradeAttribute4</v>
      </c>
      <c r="H5" s="28" t="str">
        <f>IFERROR(__xludf.DUMMYFUNCTION("""COMPUTED_VALUE"""),"TradeAttribute5")</f>
        <v>TradeAttribute5</v>
      </c>
      <c r="I5" s="28" t="str">
        <f>IFERROR(__xludf.DUMMYFUNCTION("""COMPUTED_VALUE"""),"TradeAttribute6")</f>
        <v>TradeAttribute6</v>
      </c>
      <c r="J5" s="28" t="str">
        <f>IFERROR(__xludf.DUMMYFUNCTION("""COMPUTED_VALUE"""),"Broker")</f>
        <v>Broker</v>
      </c>
      <c r="K5" s="28" t="str">
        <f>IFERROR(__xludf.DUMMYFUNCTION("""COMPUTED_VALUE"""),"Venue")</f>
        <v>Venue</v>
      </c>
      <c r="L5" s="28" t="str">
        <f>IFERROR(__xludf.DUMMYFUNCTION("""COMPUTED_VALUE"""),"TradingAC")</f>
        <v>TradingAC</v>
      </c>
      <c r="M5" s="28" t="str">
        <f>IFERROR(__xludf.DUMMYFUNCTION("""COMPUTED_VALUE"""),"TradeDate")</f>
        <v>TradeDate</v>
      </c>
      <c r="N5" s="28" t="str">
        <f>IFERROR(__xludf.DUMMYFUNCTION("""COMPUTED_VALUE"""),"ProcessDate")</f>
        <v>ProcessDate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5.0</v>
      </c>
      <c r="C6" s="34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SetAllocationPreferences!$4:$4</formula1>
    </dataValidation>
  </dataValidations>
  <drawing r:id="rId1"/>
</worksheet>
</file>